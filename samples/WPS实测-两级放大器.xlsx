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Q:\CodexData\Workspaces\RF-Link-Calculator\artifacts\office-accepted\"/>
    </mc:Choice>
  </mc:AlternateContent>
  <bookViews>
    <workbookView/>
  </bookViews>
  <sheets>
    <sheet name="使用说明" sheetId="1" r:id="rId1"/>
    <sheet name="输入配置" sheetId="2" r:id="rId2"/>
    <sheet name="器件参数" sheetId="3" r:id="rId3"/>
    <sheet name="逐级计算" sheetId="4" r:id="rId4"/>
    <sheet name="系统汇总" sheetId="5" r:id="rId5"/>
    <sheet name="压缩求解" sheetId="6" r:id="rId6"/>
    <sheet name="结果快照" sheetId="7" r:id="rId7"/>
    <sheet name="公式与来源" sheetId="8" r:id="rId8"/>
  </sheets>
  <definedNames>
    <definedName name="Pin_dBm">输入配置!$C$2</definedName>
    <definedName name="SourceFreq">输入配置!$C$3</definedName>
    <definedName name="SignalBW">输入配置!$C$4</definedName>
    <definedName name="Bnoise_Hz">输入配置!$C$5</definedName>
    <definedName name="Tsource_K">输入配置!$C$6</definedName>
    <definedName name="Tref_K">输入配置!$C$7</definedName>
    <definedName name="RequiredSNR_dB">输入配置!$C$8</definedName>
    <definedName name="ImplLoss_dB">输入配置!$C$9</definedName>
    <definedName name="Backoff_dB">输入配置!$C$10</definedName>
    <definedName name="DefaultP">输入配置!$C$11</definedName>
    <definedName name="ToneEnabled">输入配置!$C$12</definedName>
    <definedName name="TonePin">输入配置!$C$13</definedName>
    <definedName name="ToneSpacing">输入配置!$C$14</definedName>
    <definedName name="Boltzmann">输入配置!$C$15</definedName>
    <definedName name="NoiseConfigOK">输入配置!$C$17</definedName>
    <definedName name="_xlnm.Print_Titles" localSheetId="0">使用说明!$1:$3</definedName>
    <definedName name="_xlnm.Print_Titles" localSheetId="1">输入配置!$1:$3</definedName>
    <definedName name="_xlnm.Print_Titles" localSheetId="2">器件参数!$1:$3</definedName>
    <definedName name="_xlnm.Print_Titles" localSheetId="3">逐级计算!$1:$3</definedName>
    <definedName name="_xlnm.Print_Titles" localSheetId="4">系统汇总!$1:$3</definedName>
    <definedName name="_xlnm.Print_Titles" localSheetId="5">压缩求解!$1:$3</definedName>
    <definedName name="_xlnm.Print_Titles" localSheetId="6">结果快照!$1:$3</definedName>
    <definedName name="_xlnm.Print_Titles" localSheetId="7">公式与来源!$1:$3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<sst xmlns="http://schemas.openxmlformats.org/spreadsheetml/2006/main" count="2983" uniqueCount="643">
  <si>
    <t>RF-Link-Calculator｜可重算射频链路工作簿</t>
  </si>
  <si>
    <t>构造基准A / 两级放大器</t>
  </si>
  <si>
    <t>浅蓝色为可编辑输入，浅灰色为真实公式。打开Excel后请完整重算（Ctrl+Alt+F9）。</t>
  </si>
  <si>
    <t>openpyxl不执行公式；本文件未在本机Excel桌面重算验证。结果快照是导出时静态报告。</t>
  </si>
  <si>
    <t>最多200级，第4～203行。取消隐藏空行后填写并启用；删除器件请禁用，勿删除物理行。</t>
  </si>
  <si>
    <t>顺序由器件参数表的整行位置决定；整表排序/移动需包含所有列。不得单独排序某参数列。</t>
  </si>
  <si>
    <t>噪声模式: manual/passive_thermal/ideal/unknown；IP3与P1: finite/ideal/unknown。</t>
  </si>
  <si>
    <t>IP3参考: input/output；P1参考: input/actual_output/linear_output。实际输出P1换算有额外1 dB。</t>
  </si>
  <si>
    <t>不启用任何宏、插件或循环计算。压缩求解表使用82次完整链路传播（2次夹根检查＋80次二分）。</t>
  </si>
  <si>
    <t>JSON是标准回读格式；Excel修改不会回写网页、JSON或导出时快照。</t>
  </si>
  <si>
    <t>NF、IP3、P1未知分别阻断依赖指标；双音每音功率独立于主CW输入。</t>
  </si>
  <si>
    <t>Excel线性因子有数值范围，极端链路会显示数值域错误；Python采用对数域可覆盖更大范围。</t>
  </si>
  <si>
    <t>频率适用性和额定告警参见逐级计算AK/AM列；IP3/IM3为独立弱非线性模型。</t>
  </si>
  <si>
    <t>禁用代表逻辑旁路；边界标注不能参与天线增益或ADC量化噪声预算。</t>
  </si>
  <si>
    <t>输入散列: b734fd1094ba77af9e9f4ef89f2794b1811672f403af324ce831ef1d93ea3aed</t>
  </si>
  <si>
    <t>计算散列: b11ebf15bd1f2acd77b99a7dcea0e45352016482802d1a05113fa2e01a94bc0b</t>
  </si>
  <si>
    <t>公式版本: 1.0.0；模型: p1_anchored_soft_saturation_v1</t>
  </si>
  <si>
    <t>内部名称</t>
  </si>
  <si>
    <t>中文说明</t>
  </si>
  <si>
    <t>输入值</t>
  </si>
  <si>
    <t>单位</t>
  </si>
  <si>
    <t>Pin_dBm</t>
  </si>
  <si>
    <t>主CW输入功率</t>
  </si>
  <si>
    <t>dBm</t>
  </si>
  <si>
    <t>SourceFreq</t>
  </si>
  <si>
    <t>输入中心频率</t>
  </si>
  <si>
    <t>Hz</t>
  </si>
  <si>
    <t>SignalBW</t>
  </si>
  <si>
    <t>信号带宽</t>
  </si>
  <si>
    <t>Bnoise_Hz</t>
  </si>
  <si>
    <t>等效噪声带宽</t>
  </si>
  <si>
    <t>Tsource_K</t>
  </si>
  <si>
    <t>输入源等效噪声温度</t>
  </si>
  <si>
    <t>K</t>
  </si>
  <si>
    <t>Tref_K</t>
  </si>
  <si>
    <t>固定NF参考温度（勿改）</t>
  </si>
  <si>
    <t>RequiredSNR_dB</t>
  </si>
  <si>
    <t>所需信噪比</t>
  </si>
  <si>
    <t>dB</t>
  </si>
  <si>
    <t>ImplLoss_dB</t>
  </si>
  <si>
    <t>实现损失</t>
  </si>
  <si>
    <t>Backoff_dB</t>
  </si>
  <si>
    <t>压缩回退</t>
  </si>
  <si>
    <t>DefaultP</t>
  </si>
  <si>
    <t>默认压缩形状p</t>
  </si>
  <si>
    <t/>
  </si>
  <si>
    <t>ToneEnabled</t>
  </si>
  <si>
    <t>独立双音分析启用</t>
  </si>
  <si>
    <t>bool</t>
  </si>
  <si>
    <t>TonePin</t>
  </si>
  <si>
    <t>每音输入功率</t>
  </si>
  <si>
    <t>ToneSpacing</t>
  </si>
  <si>
    <t>双音间隔</t>
  </si>
  <si>
    <t>Boltzmann</t>
  </si>
  <si>
    <t>玻尔兹曼常数（勿改）</t>
  </si>
  <si>
    <t>J/K</t>
  </si>
  <si>
    <t>NoiseConfigOK</t>
  </si>
  <si>
    <t>噪声配置有效</t>
  </si>
  <si>
    <t>编辑输入：最多200级；空行明确禁用，整行重排；名称与备注不会执行为公式</t>
  </si>
  <si>
    <t>顺序</t>
  </si>
  <si>
    <t>启用</t>
  </si>
  <si>
    <t>器件ID</t>
  </si>
  <si>
    <t>名称</t>
  </si>
  <si>
    <t>类型</t>
  </si>
  <si>
    <t>增益dB</t>
  </si>
  <si>
    <t>噪声模式</t>
  </si>
  <si>
    <t>NF dB</t>
  </si>
  <si>
    <t>物理温度K</t>
  </si>
  <si>
    <t>IP3模式</t>
  </si>
  <si>
    <t>IP3参考</t>
  </si>
  <si>
    <t>IP3 dBm</t>
  </si>
  <si>
    <t>P1模式</t>
  </si>
  <si>
    <t>P1参考</t>
  </si>
  <si>
    <t>P1 dBm</t>
  </si>
  <si>
    <t>形状p</t>
  </si>
  <si>
    <t>来源与条件</t>
  </si>
  <si>
    <t>频率下限Hz</t>
  </si>
  <si>
    <t>频率上限Hz</t>
  </si>
  <si>
    <t>LO Hz</t>
  </si>
  <si>
    <t>变频关系</t>
  </si>
  <si>
    <t>NF口径</t>
  </si>
  <si>
    <t>噪声口径已确认</t>
  </si>
  <si>
    <t>最大输入dBm</t>
  </si>
  <si>
    <t>备注</t>
  </si>
  <si>
    <t>2f996e9f-a030-58e7-8824-f65c22788ebc</t>
  </si>
  <si>
    <t>放大器A</t>
  </si>
  <si>
    <t>amplifier</t>
  </si>
  <si>
    <t>manual</t>
  </si>
  <si>
    <t>finite</t>
  </si>
  <si>
    <t>input</t>
  </si>
  <si>
    <t>{'kind': 'synthetic_example', 'note': '构造演示值，不代表实测或任何厂商'}</t>
  </si>
  <si>
    <t>0ed06258-f7fd-5875-b34b-17563dee4380</t>
  </si>
  <si>
    <t>放大器B</t>
  </si>
  <si>
    <t>reserved-3</t>
  </si>
  <si>
    <t>custom</t>
  </si>
  <si>
    <t>unknown</t>
  </si>
  <si>
    <t>reserved-4</t>
  </si>
  <si>
    <t>reserved-5</t>
  </si>
  <si>
    <t>reserved-6</t>
  </si>
  <si>
    <t>reserved-7</t>
  </si>
  <si>
    <t>reserved-8</t>
  </si>
  <si>
    <t>reserved-9</t>
  </si>
  <si>
    <t>reserved-10</t>
  </si>
  <si>
    <t>reserved-11</t>
  </si>
  <si>
    <t>reserved-12</t>
  </si>
  <si>
    <t>reserved-13</t>
  </si>
  <si>
    <t>reserved-14</t>
  </si>
  <si>
    <t>reserved-15</t>
  </si>
  <si>
    <t>reserved-16</t>
  </si>
  <si>
    <t>reserved-17</t>
  </si>
  <si>
    <t>reserved-18</t>
  </si>
  <si>
    <t>reserved-19</t>
  </si>
  <si>
    <t>reserved-20</t>
  </si>
  <si>
    <t>reserved-21</t>
  </si>
  <si>
    <t>reserved-22</t>
  </si>
  <si>
    <t>reserved-23</t>
  </si>
  <si>
    <t>reserved-24</t>
  </si>
  <si>
    <t>reserved-25</t>
  </si>
  <si>
    <t>reserved-26</t>
  </si>
  <si>
    <t>reserved-27</t>
  </si>
  <si>
    <t>reserved-28</t>
  </si>
  <si>
    <t>reserved-29</t>
  </si>
  <si>
    <t>reserved-30</t>
  </si>
  <si>
    <t>reserved-31</t>
  </si>
  <si>
    <t>reserved-32</t>
  </si>
  <si>
    <t>reserved-33</t>
  </si>
  <si>
    <t>reserved-34</t>
  </si>
  <si>
    <t>reserved-35</t>
  </si>
  <si>
    <t>reserved-36</t>
  </si>
  <si>
    <t>reserved-37</t>
  </si>
  <si>
    <t>reserved-38</t>
  </si>
  <si>
    <t>reserved-39</t>
  </si>
  <si>
    <t>reserved-40</t>
  </si>
  <si>
    <t>reserved-41</t>
  </si>
  <si>
    <t>reserved-42</t>
  </si>
  <si>
    <t>reserved-43</t>
  </si>
  <si>
    <t>reserved-44</t>
  </si>
  <si>
    <t>reserved-45</t>
  </si>
  <si>
    <t>reserved-46</t>
  </si>
  <si>
    <t>reserved-47</t>
  </si>
  <si>
    <t>reserved-48</t>
  </si>
  <si>
    <t>reserved-49</t>
  </si>
  <si>
    <t>reserved-50</t>
  </si>
  <si>
    <t>reserved-51</t>
  </si>
  <si>
    <t>reserved-52</t>
  </si>
  <si>
    <t>reserved-53</t>
  </si>
  <si>
    <t>reserved-54</t>
  </si>
  <si>
    <t>reserved-55</t>
  </si>
  <si>
    <t>reserved-56</t>
  </si>
  <si>
    <t>reserved-57</t>
  </si>
  <si>
    <t>reserved-58</t>
  </si>
  <si>
    <t>reserved-59</t>
  </si>
  <si>
    <t>reserved-60</t>
  </si>
  <si>
    <t>reserved-61</t>
  </si>
  <si>
    <t>reserved-62</t>
  </si>
  <si>
    <t>reserved-63</t>
  </si>
  <si>
    <t>reserved-64</t>
  </si>
  <si>
    <t>reserved-65</t>
  </si>
  <si>
    <t>reserved-66</t>
  </si>
  <si>
    <t>reserved-67</t>
  </si>
  <si>
    <t>reserved-68</t>
  </si>
  <si>
    <t>reserved-69</t>
  </si>
  <si>
    <t>reserved-70</t>
  </si>
  <si>
    <t>reserved-71</t>
  </si>
  <si>
    <t>reserved-72</t>
  </si>
  <si>
    <t>reserved-73</t>
  </si>
  <si>
    <t>reserved-74</t>
  </si>
  <si>
    <t>reserved-75</t>
  </si>
  <si>
    <t>reserved-76</t>
  </si>
  <si>
    <t>reserved-77</t>
  </si>
  <si>
    <t>reserved-78</t>
  </si>
  <si>
    <t>reserved-79</t>
  </si>
  <si>
    <t>reserved-80</t>
  </si>
  <si>
    <t>reserved-81</t>
  </si>
  <si>
    <t>reserved-82</t>
  </si>
  <si>
    <t>reserved-83</t>
  </si>
  <si>
    <t>reserved-84</t>
  </si>
  <si>
    <t>reserved-85</t>
  </si>
  <si>
    <t>reserved-86</t>
  </si>
  <si>
    <t>reserved-87</t>
  </si>
  <si>
    <t>reserved-88</t>
  </si>
  <si>
    <t>reserved-89</t>
  </si>
  <si>
    <t>reserved-90</t>
  </si>
  <si>
    <t>reserved-91</t>
  </si>
  <si>
    <t>reserved-92</t>
  </si>
  <si>
    <t>reserved-93</t>
  </si>
  <si>
    <t>reserved-94</t>
  </si>
  <si>
    <t>reserved-95</t>
  </si>
  <si>
    <t>reserved-96</t>
  </si>
  <si>
    <t>reserved-97</t>
  </si>
  <si>
    <t>reserved-98</t>
  </si>
  <si>
    <t>reserved-99</t>
  </si>
  <si>
    <t>reserved-100</t>
  </si>
  <si>
    <t>reserved-101</t>
  </si>
  <si>
    <t>reserved-102</t>
  </si>
  <si>
    <t>reserved-103</t>
  </si>
  <si>
    <t>reserved-104</t>
  </si>
  <si>
    <t>reserved-105</t>
  </si>
  <si>
    <t>reserved-106</t>
  </si>
  <si>
    <t>reserved-107</t>
  </si>
  <si>
    <t>reserved-108</t>
  </si>
  <si>
    <t>reserved-109</t>
  </si>
  <si>
    <t>reserved-110</t>
  </si>
  <si>
    <t>reserved-111</t>
  </si>
  <si>
    <t>reserved-112</t>
  </si>
  <si>
    <t>reserved-113</t>
  </si>
  <si>
    <t>reserved-114</t>
  </si>
  <si>
    <t>reserved-115</t>
  </si>
  <si>
    <t>reserved-116</t>
  </si>
  <si>
    <t>reserved-117</t>
  </si>
  <si>
    <t>reserved-118</t>
  </si>
  <si>
    <t>reserved-119</t>
  </si>
  <si>
    <t>reserved-120</t>
  </si>
  <si>
    <t>reserved-121</t>
  </si>
  <si>
    <t>reserved-122</t>
  </si>
  <si>
    <t>reserved-123</t>
  </si>
  <si>
    <t>reserved-124</t>
  </si>
  <si>
    <t>reserved-125</t>
  </si>
  <si>
    <t>reserved-126</t>
  </si>
  <si>
    <t>reserved-127</t>
  </si>
  <si>
    <t>reserved-128</t>
  </si>
  <si>
    <t>reserved-129</t>
  </si>
  <si>
    <t>reserved-130</t>
  </si>
  <si>
    <t>reserved-131</t>
  </si>
  <si>
    <t>reserved-132</t>
  </si>
  <si>
    <t>reserved-133</t>
  </si>
  <si>
    <t>reserved-134</t>
  </si>
  <si>
    <t>reserved-135</t>
  </si>
  <si>
    <t>reserved-136</t>
  </si>
  <si>
    <t>reserved-137</t>
  </si>
  <si>
    <t>reserved-138</t>
  </si>
  <si>
    <t>reserved-139</t>
  </si>
  <si>
    <t>reserved-140</t>
  </si>
  <si>
    <t>reserved-141</t>
  </si>
  <si>
    <t>reserved-142</t>
  </si>
  <si>
    <t>reserved-143</t>
  </si>
  <si>
    <t>reserved-144</t>
  </si>
  <si>
    <t>reserved-145</t>
  </si>
  <si>
    <t>reserved-146</t>
  </si>
  <si>
    <t>reserved-147</t>
  </si>
  <si>
    <t>reserved-148</t>
  </si>
  <si>
    <t>reserved-149</t>
  </si>
  <si>
    <t>reserved-150</t>
  </si>
  <si>
    <t>reserved-151</t>
  </si>
  <si>
    <t>reserved-152</t>
  </si>
  <si>
    <t>reserved-153</t>
  </si>
  <si>
    <t>reserved-154</t>
  </si>
  <si>
    <t>reserved-155</t>
  </si>
  <si>
    <t>reserved-156</t>
  </si>
  <si>
    <t>reserved-157</t>
  </si>
  <si>
    <t>reserved-158</t>
  </si>
  <si>
    <t>reserved-159</t>
  </si>
  <si>
    <t>reserved-160</t>
  </si>
  <si>
    <t>reserved-161</t>
  </si>
  <si>
    <t>reserved-162</t>
  </si>
  <si>
    <t>reserved-163</t>
  </si>
  <si>
    <t>reserved-164</t>
  </si>
  <si>
    <t>reserved-165</t>
  </si>
  <si>
    <t>reserved-166</t>
  </si>
  <si>
    <t>reserved-167</t>
  </si>
  <si>
    <t>reserved-168</t>
  </si>
  <si>
    <t>reserved-169</t>
  </si>
  <si>
    <t>reserved-170</t>
  </si>
  <si>
    <t>reserved-171</t>
  </si>
  <si>
    <t>reserved-172</t>
  </si>
  <si>
    <t>reserved-173</t>
  </si>
  <si>
    <t>reserved-174</t>
  </si>
  <si>
    <t>reserved-175</t>
  </si>
  <si>
    <t>reserved-176</t>
  </si>
  <si>
    <t>reserved-177</t>
  </si>
  <si>
    <t>reserved-178</t>
  </si>
  <si>
    <t>reserved-179</t>
  </si>
  <si>
    <t>reserved-180</t>
  </si>
  <si>
    <t>reserved-181</t>
  </si>
  <si>
    <t>reserved-182</t>
  </si>
  <si>
    <t>reserved-183</t>
  </si>
  <si>
    <t>reserved-184</t>
  </si>
  <si>
    <t>reserved-185</t>
  </si>
  <si>
    <t>reserved-186</t>
  </si>
  <si>
    <t>reserved-187</t>
  </si>
  <si>
    <t>reserved-188</t>
  </si>
  <si>
    <t>reserved-189</t>
  </si>
  <si>
    <t>reserved-190</t>
  </si>
  <si>
    <t>reserved-191</t>
  </si>
  <si>
    <t>reserved-192</t>
  </si>
  <si>
    <t>reserved-193</t>
  </si>
  <si>
    <t>reserved-194</t>
  </si>
  <si>
    <t>reserved-195</t>
  </si>
  <si>
    <t>reserved-196</t>
  </si>
  <si>
    <t>reserved-197</t>
  </si>
  <si>
    <t>reserved-198</t>
  </si>
  <si>
    <t>reserved-199</t>
  </si>
  <si>
    <t>reserved-200</t>
  </si>
  <si>
    <t>当前Excel公式结果（自动重算）｜压缩为模型估算｜噪声为小信号预算</t>
  </si>
  <si>
    <t>器件名称</t>
  </si>
  <si>
    <t>有效增益dB</t>
  </si>
  <si>
    <t>前级增益dB</t>
  </si>
  <si>
    <t>累计增益dB</t>
  </si>
  <si>
    <t>前级线性增益</t>
  </si>
  <si>
    <t>本级噪声因子</t>
  </si>
  <si>
    <t>累计噪声因子</t>
  </si>
  <si>
    <t>累计NF dB</t>
  </si>
  <si>
    <t>线性输入dBm</t>
  </si>
  <si>
    <t>线性输出dBm</t>
  </si>
  <si>
    <t>本级IIP3 dBm</t>
  </si>
  <si>
    <t>IP3倒数和</t>
  </si>
  <si>
    <t>累计IIP3 dBm</t>
  </si>
  <si>
    <t>累计OIP3 dBm</t>
  </si>
  <si>
    <t>本级输入P1 dBm</t>
  </si>
  <si>
    <t>有效p</t>
  </si>
  <si>
    <t>估算输入dBm</t>
  </si>
  <si>
    <t>稳定指数z</t>
  </si>
  <si>
    <t>本级压缩dB</t>
  </si>
  <si>
    <t>估算输出dBm</t>
  </si>
  <si>
    <t>累计压缩dB</t>
  </si>
  <si>
    <t>入口折算阈值dBm</t>
  </si>
  <si>
    <t>压缩模式 -1未知/0理想/1有限</t>
  </si>
  <si>
    <t>噪声状态</t>
  </si>
  <si>
    <t>IP3状态</t>
  </si>
  <si>
    <t>压缩状态</t>
  </si>
  <si>
    <t>输入频率Hz</t>
  </si>
  <si>
    <t>输出频率Hz</t>
  </si>
  <si>
    <t>本级NF dB</t>
  </si>
  <si>
    <t>输入温度贡献K</t>
  </si>
  <si>
    <t>输出噪声dBm</t>
  </si>
  <si>
    <t>SNR dB</t>
  </si>
  <si>
    <t>每音输出dBm</t>
  </si>
  <si>
    <t>弱非线性IM3外推dBm</t>
  </si>
  <si>
    <t>有限级p</t>
  </si>
  <si>
    <t>频率适用性</t>
  </si>
  <si>
    <t>同p闭式项</t>
  </si>
  <si>
    <t>额定告警</t>
  </si>
  <si>
    <t>基波1 Hz</t>
  </si>
  <si>
    <t>基波2 Hz</t>
  </si>
  <si>
    <t>IM3低侧Hz</t>
  </si>
  <si>
    <t>IM3高侧Hz</t>
  </si>
  <si>
    <t>双音通带条件</t>
  </si>
  <si>
    <t>当前Excel公式结果｜P1与压缩为模型估算｜空值必须结合状态列阅读</t>
  </si>
  <si>
    <t>指标</t>
  </si>
  <si>
    <t>当前值</t>
  </si>
  <si>
    <t>状态／条件</t>
  </si>
  <si>
    <t>内部键</t>
  </si>
  <si>
    <t>总增益</t>
  </si>
  <si>
    <t>gain_db</t>
  </si>
  <si>
    <t>线性输出功率</t>
  </si>
  <si>
    <t>linear_output_dbm</t>
  </si>
  <si>
    <t>级联噪声系数</t>
  </si>
  <si>
    <t>nf_db</t>
  </si>
  <si>
    <t>等效输入附加噪声温度</t>
  </si>
  <si>
    <t>te_k</t>
  </si>
  <si>
    <t>输入参考噪声</t>
  </si>
  <si>
    <t>noise_input_dbm</t>
  </si>
  <si>
    <t>输出噪声</t>
  </si>
  <si>
    <t>noise_output_dbm</t>
  </si>
  <si>
    <t>线性输出信噪比</t>
  </si>
  <si>
    <t>snr_db</t>
  </si>
  <si>
    <t>系统IIP3</t>
  </si>
  <si>
    <t>iip3_dbm</t>
  </si>
  <si>
    <t>系统OIP3</t>
  </si>
  <si>
    <t>oip3_dbm</t>
  </si>
  <si>
    <t>系统输入P1（模型估算）</t>
  </si>
  <si>
    <t>ip1_dbm</t>
  </si>
  <si>
    <t>系统实际输出P1（模型估算）</t>
  </si>
  <si>
    <t>op1_dbm</t>
  </si>
  <si>
    <t>当前压缩输出（模型估算）</t>
  </si>
  <si>
    <t>compressed_output_dbm</t>
  </si>
  <si>
    <t>当前总压缩（模型估算）</t>
  </si>
  <si>
    <t>compression_db</t>
  </si>
  <si>
    <t>输入灵敏度</t>
  </si>
  <si>
    <t>sensitivity_dbm</t>
  </si>
  <si>
    <t>P1回退约束输入动态范围（估算）</t>
  </si>
  <si>
    <t>compression_dr_db</t>
  </si>
  <si>
    <t>SFDR3（指定噪声带宽）</t>
  </si>
  <si>
    <t>sfdr3_db</t>
  </si>
  <si>
    <t>SFDR3（1 Hz归一化）</t>
  </si>
  <si>
    <t>dB·Hz^(2/3)</t>
  </si>
  <si>
    <t>sfdr3_normalized</t>
  </si>
  <si>
    <t>IM3等于噪声的每音输入上限</t>
  </si>
  <si>
    <t>tone_limit_dbm</t>
  </si>
  <si>
    <t>满足指定SNR的双音可用跨度</t>
  </si>
  <si>
    <t>tone_span_db</t>
  </si>
  <si>
    <t>双音每音输入</t>
  </si>
  <si>
    <t>tone_input_dbm</t>
  </si>
  <si>
    <t>双音总平均输入</t>
  </si>
  <si>
    <t>tone_total_dbm</t>
  </si>
  <si>
    <t>每音线性输出</t>
  </si>
  <si>
    <t>tone_output_dbm</t>
  </si>
  <si>
    <t>每个IM3分量输出</t>
  </si>
  <si>
    <t>im3_dbm</t>
  </si>
  <si>
    <t>IM3相对每音基波</t>
  </si>
  <si>
    <t>dBc</t>
  </si>
  <si>
    <t>im3_dbc</t>
  </si>
  <si>
    <t>输出中心频率</t>
  </si>
  <si>
    <t>frequency_output_hz</t>
  </si>
  <si>
    <t>负动态范围／额定告警</t>
  </si>
  <si>
    <t>系统1 dB压缩：区间检查＋80次无宏二分；全部理想／缺参数分别标记</t>
  </si>
  <si>
    <t>完整模型状态</t>
  </si>
  <si>
    <t>同p闭式对照</t>
  </si>
  <si>
    <t>夹根状态</t>
  </si>
  <si>
    <t>步骤</t>
  </si>
  <si>
    <t>下界</t>
  </si>
  <si>
    <t>试探输入dBm</t>
  </si>
  <si>
    <t>总压缩dB</t>
  </si>
  <si>
    <t>第1级输出</t>
  </si>
  <si>
    <t>第2级输出</t>
  </si>
  <si>
    <t>第3级输出</t>
  </si>
  <si>
    <t>第4级输出</t>
  </si>
  <si>
    <t>第5级输出</t>
  </si>
  <si>
    <t>第6级输出</t>
  </si>
  <si>
    <t>第7级输出</t>
  </si>
  <si>
    <t>第8级输出</t>
  </si>
  <si>
    <t>第9级输出</t>
  </si>
  <si>
    <t>第10级输出</t>
  </si>
  <si>
    <t>第11级输出</t>
  </si>
  <si>
    <t>第12级输出</t>
  </si>
  <si>
    <t>第13级输出</t>
  </si>
  <si>
    <t>第14级输出</t>
  </si>
  <si>
    <t>第15级输出</t>
  </si>
  <si>
    <t>第16级输出</t>
  </si>
  <si>
    <t>第17级输出</t>
  </si>
  <si>
    <t>第18级输出</t>
  </si>
  <si>
    <t>第19级输出</t>
  </si>
  <si>
    <t>第20级输出</t>
  </si>
  <si>
    <t>第21级输出</t>
  </si>
  <si>
    <t>第22级输出</t>
  </si>
  <si>
    <t>第23级输出</t>
  </si>
  <si>
    <t>第24级输出</t>
  </si>
  <si>
    <t>第25级输出</t>
  </si>
  <si>
    <t>第26级输出</t>
  </si>
  <si>
    <t>第27级输出</t>
  </si>
  <si>
    <t>第28级输出</t>
  </si>
  <si>
    <t>第29级输出</t>
  </si>
  <si>
    <t>第30级输出</t>
  </si>
  <si>
    <t>第31级输出</t>
  </si>
  <si>
    <t>第32级输出</t>
  </si>
  <si>
    <t>第33级输出</t>
  </si>
  <si>
    <t>第34级输出</t>
  </si>
  <si>
    <t>第35级输出</t>
  </si>
  <si>
    <t>第36级输出</t>
  </si>
  <si>
    <t>第37级输出</t>
  </si>
  <si>
    <t>第38级输出</t>
  </si>
  <si>
    <t>第39级输出</t>
  </si>
  <si>
    <t>第40级输出</t>
  </si>
  <si>
    <t>第41级输出</t>
  </si>
  <si>
    <t>第42级输出</t>
  </si>
  <si>
    <t>第43级输出</t>
  </si>
  <si>
    <t>第44级输出</t>
  </si>
  <si>
    <t>第45级输出</t>
  </si>
  <si>
    <t>第46级输出</t>
  </si>
  <si>
    <t>第47级输出</t>
  </si>
  <si>
    <t>第48级输出</t>
  </si>
  <si>
    <t>第49级输出</t>
  </si>
  <si>
    <t>第50级输出</t>
  </si>
  <si>
    <t>第51级输出</t>
  </si>
  <si>
    <t>第52级输出</t>
  </si>
  <si>
    <t>第53级输出</t>
  </si>
  <si>
    <t>第54级输出</t>
  </si>
  <si>
    <t>第55级输出</t>
  </si>
  <si>
    <t>第56级输出</t>
  </si>
  <si>
    <t>第57级输出</t>
  </si>
  <si>
    <t>第58级输出</t>
  </si>
  <si>
    <t>第59级输出</t>
  </si>
  <si>
    <t>第60级输出</t>
  </si>
  <si>
    <t>第61级输出</t>
  </si>
  <si>
    <t>第62级输出</t>
  </si>
  <si>
    <t>第63级输出</t>
  </si>
  <si>
    <t>第64级输出</t>
  </si>
  <si>
    <t>第65级输出</t>
  </si>
  <si>
    <t>第66级输出</t>
  </si>
  <si>
    <t>第67级输出</t>
  </si>
  <si>
    <t>第68级输出</t>
  </si>
  <si>
    <t>第69级输出</t>
  </si>
  <si>
    <t>第70级输出</t>
  </si>
  <si>
    <t>第71级输出</t>
  </si>
  <si>
    <t>第72级输出</t>
  </si>
  <si>
    <t>第73级输出</t>
  </si>
  <si>
    <t>第74级输出</t>
  </si>
  <si>
    <t>第75级输出</t>
  </si>
  <si>
    <t>第76级输出</t>
  </si>
  <si>
    <t>第77级输出</t>
  </si>
  <si>
    <t>第78级输出</t>
  </si>
  <si>
    <t>第79级输出</t>
  </si>
  <si>
    <t>第80级输出</t>
  </si>
  <si>
    <t>第81级输出</t>
  </si>
  <si>
    <t>第82级输出</t>
  </si>
  <si>
    <t>第83级输出</t>
  </si>
  <si>
    <t>第84级输出</t>
  </si>
  <si>
    <t>第85级输出</t>
  </si>
  <si>
    <t>第86级输出</t>
  </si>
  <si>
    <t>第87级输出</t>
  </si>
  <si>
    <t>第88级输出</t>
  </si>
  <si>
    <t>第89级输出</t>
  </si>
  <si>
    <t>第90级输出</t>
  </si>
  <si>
    <t>第91级输出</t>
  </si>
  <si>
    <t>第92级输出</t>
  </si>
  <si>
    <t>第93级输出</t>
  </si>
  <si>
    <t>第94级输出</t>
  </si>
  <si>
    <t>第95级输出</t>
  </si>
  <si>
    <t>第96级输出</t>
  </si>
  <si>
    <t>第97级输出</t>
  </si>
  <si>
    <t>第98级输出</t>
  </si>
  <si>
    <t>第99级输出</t>
  </si>
  <si>
    <t>第100级输出</t>
  </si>
  <si>
    <t>第101级输出</t>
  </si>
  <si>
    <t>第102级输出</t>
  </si>
  <si>
    <t>第103级输出</t>
  </si>
  <si>
    <t>第104级输出</t>
  </si>
  <si>
    <t>第105级输出</t>
  </si>
  <si>
    <t>第106级输出</t>
  </si>
  <si>
    <t>第107级输出</t>
  </si>
  <si>
    <t>第108级输出</t>
  </si>
  <si>
    <t>第109级输出</t>
  </si>
  <si>
    <t>第110级输出</t>
  </si>
  <si>
    <t>第111级输出</t>
  </si>
  <si>
    <t>第112级输出</t>
  </si>
  <si>
    <t>第113级输出</t>
  </si>
  <si>
    <t>第114级输出</t>
  </si>
  <si>
    <t>第115级输出</t>
  </si>
  <si>
    <t>第116级输出</t>
  </si>
  <si>
    <t>第117级输出</t>
  </si>
  <si>
    <t>第118级输出</t>
  </si>
  <si>
    <t>第119级输出</t>
  </si>
  <si>
    <t>第120级输出</t>
  </si>
  <si>
    <t>第121级输出</t>
  </si>
  <si>
    <t>第122级输出</t>
  </si>
  <si>
    <t>第123级输出</t>
  </si>
  <si>
    <t>第124级输出</t>
  </si>
  <si>
    <t>第125级输出</t>
  </si>
  <si>
    <t>第126级输出</t>
  </si>
  <si>
    <t>第127级输出</t>
  </si>
  <si>
    <t>第128级输出</t>
  </si>
  <si>
    <t>第129级输出</t>
  </si>
  <si>
    <t>第130级输出</t>
  </si>
  <si>
    <t>第131级输出</t>
  </si>
  <si>
    <t>第132级输出</t>
  </si>
  <si>
    <t>第133级输出</t>
  </si>
  <si>
    <t>第134级输出</t>
  </si>
  <si>
    <t>第135级输出</t>
  </si>
  <si>
    <t>第136级输出</t>
  </si>
  <si>
    <t>第137级输出</t>
  </si>
  <si>
    <t>第138级输出</t>
  </si>
  <si>
    <t>第139级输出</t>
  </si>
  <si>
    <t>第140级输出</t>
  </si>
  <si>
    <t>第141级输出</t>
  </si>
  <si>
    <t>第142级输出</t>
  </si>
  <si>
    <t>第143级输出</t>
  </si>
  <si>
    <t>第144级输出</t>
  </si>
  <si>
    <t>第145级输出</t>
  </si>
  <si>
    <t>第146级输出</t>
  </si>
  <si>
    <t>第147级输出</t>
  </si>
  <si>
    <t>第148级输出</t>
  </si>
  <si>
    <t>第149级输出</t>
  </si>
  <si>
    <t>第150级输出</t>
  </si>
  <si>
    <t>第151级输出</t>
  </si>
  <si>
    <t>第152级输出</t>
  </si>
  <si>
    <t>第153级输出</t>
  </si>
  <si>
    <t>第154级输出</t>
  </si>
  <si>
    <t>第155级输出</t>
  </si>
  <si>
    <t>第156级输出</t>
  </si>
  <si>
    <t>第157级输出</t>
  </si>
  <si>
    <t>第158级输出</t>
  </si>
  <si>
    <t>第159级输出</t>
  </si>
  <si>
    <t>第160级输出</t>
  </si>
  <si>
    <t>第161级输出</t>
  </si>
  <si>
    <t>第162级输出</t>
  </si>
  <si>
    <t>第163级输出</t>
  </si>
  <si>
    <t>第164级输出</t>
  </si>
  <si>
    <t>第165级输出</t>
  </si>
  <si>
    <t>第166级输出</t>
  </si>
  <si>
    <t>第167级输出</t>
  </si>
  <si>
    <t>第168级输出</t>
  </si>
  <si>
    <t>第169级输出</t>
  </si>
  <si>
    <t>第170级输出</t>
  </si>
  <si>
    <t>第171级输出</t>
  </si>
  <si>
    <t>第172级输出</t>
  </si>
  <si>
    <t>第173级输出</t>
  </si>
  <si>
    <t>第174级输出</t>
  </si>
  <si>
    <t>第175级输出</t>
  </si>
  <si>
    <t>第176级输出</t>
  </si>
  <si>
    <t>第177级输出</t>
  </si>
  <si>
    <t>第178级输出</t>
  </si>
  <si>
    <t>第179级输出</t>
  </si>
  <si>
    <t>第180级输出</t>
  </si>
  <si>
    <t>第181级输出</t>
  </si>
  <si>
    <t>第182级输出</t>
  </si>
  <si>
    <t>第183级输出</t>
  </si>
  <si>
    <t>第184级输出</t>
  </si>
  <si>
    <t>第185级输出</t>
  </si>
  <si>
    <t>第186级输出</t>
  </si>
  <si>
    <t>第187级输出</t>
  </si>
  <si>
    <t>第188级输出</t>
  </si>
  <si>
    <t>第189级输出</t>
  </si>
  <si>
    <t>第190级输出</t>
  </si>
  <si>
    <t>第191级输出</t>
  </si>
  <si>
    <t>第192级输出</t>
  </si>
  <si>
    <t>第193级输出</t>
  </si>
  <si>
    <t>第194级输出</t>
  </si>
  <si>
    <t>第195级输出</t>
  </si>
  <si>
    <t>第196级输出</t>
  </si>
  <si>
    <t>第197级输出</t>
  </si>
  <si>
    <t>第198级输出</t>
  </si>
  <si>
    <t>第199级输出</t>
  </si>
  <si>
    <t>第200级输出</t>
  </si>
  <si>
    <t>上界</t>
  </si>
  <si>
    <t>下界验证</t>
  </si>
  <si>
    <t>上界验证</t>
  </si>
  <si>
    <t>二分与闭式差异dB</t>
  </si>
  <si>
    <t>数值一致性</t>
  </si>
  <si>
    <t>导出时快照，不随输入更新</t>
  </si>
  <si>
    <t>导出时间</t>
  </si>
  <si>
    <t>2026-09-23T08:56:19.718669+00:00</t>
  </si>
  <si>
    <t>输入散列</t>
  </si>
  <si>
    <t>b734fd1094ba77af9e9f4ef89f2794b1811672f403af324ce831ef1d93ea3aed</t>
  </si>
  <si>
    <t>计算散列</t>
  </si>
  <si>
    <t>b11ebf15bd1f2acd77b99a7dcea0e45352016482802d1a05113fa2e01a94bc0b</t>
  </si>
  <si>
    <t>Python导出值</t>
  </si>
  <si>
    <t>状态</t>
  </si>
  <si>
    <t>原因</t>
  </si>
  <si>
    <t>有效</t>
  </si>
  <si>
    <t>模型估算</t>
  </si>
  <si>
    <t>同通道平坦标量、弱非线性外推</t>
  </si>
  <si>
    <t>tone_frequency_0_hz</t>
  </si>
  <si>
    <t>tone_frequency_1_hz</t>
  </si>
  <si>
    <t>tone_frequency_2_hz</t>
  </si>
  <si>
    <t>tone_frequency_3_hz</t>
  </si>
  <si>
    <t>逐级快照（静态）</t>
  </si>
  <si>
    <t>器件</t>
  </si>
  <si>
    <t>压缩输出估算dBm</t>
  </si>
  <si>
    <t>公式、参考点与模型</t>
  </si>
  <si>
    <t>Fsys=1+Σ(Fi-1)/A_before；NF=10log10(Fsys)</t>
  </si>
  <si>
    <t>Te=290(Fsys-1)；Nin=k*Bn*(Ts+Te)；Nout=Nin*Gsys</t>
  </si>
  <si>
    <t>1/IIP3sys=ΣA_before/IIP3_i（mW）</t>
  </si>
  <si>
    <t>IM3out=3*每音Pin+Gsys-2*IIP3sys；SFDR3=2/3*(IIP3sys-Nin)</t>
  </si>
  <si>
    <t>实际OP1=IP1+G-1；线性外推OP1=IP1+G；C(x)=10/p log10[1+(10^(p/10)-1)10^(p(x-IP1)/10)]</t>
  </si>
  <si>
    <t>系统P1求解总压缩1 dB；同p闭式只作为独立对照，不将最弱阈值冒充系统P1。</t>
  </si>
  <si>
    <t>https://openpyxl.readthedocs.io/en/stable/simple_formulae.html</t>
  </si>
  <si>
    <t>https://www.mathworks.com/help/rf/ref/rfbudget.html</t>
  </si>
  <si>
    <t>https://www.analog.com/en/resources/technical-articles/use-selectivity-to-improve-receiver-intercept-point.html</t>
  </si>
  <si>
    <t>全链路50 Ω匹配、窄带平坦标量参数；不含S参数失配和任意分支</t>
  </si>
  <si>
    <t>NF参考温度固定290 K；源温度与器件温度分开</t>
  </si>
  <si>
    <t>IP3采用相干最坏相位弱非线性预算，与压缩模型独立</t>
  </si>
  <si>
    <t>P1锚定软饱和为单音CW模型估算；双音总功率仅作粗略筛查</t>
  </si>
  <si>
    <t>图形导出为单向输出，编辑图中文字不会改变计算输入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</si>
</sst>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\ &quot;dB&quot;"/>
    <numFmt numFmtId="178" formatCode="0.000\ &quot;dBm&quot;"/>
    <numFmt numFmtId="179" formatCode="0.000\ &quot;K&quot;"/>
    <numFmt numFmtId="180" formatCode="0.000\ &quot;dB·Hz^(2/3)&quot;"/>
    <numFmt numFmtId="181" formatCode="0.000\ &quot;dBc&quot;"/>
    <numFmt numFmtId="182" formatCode="0.000\ &quot;Hz&quot;"/>
  </numFmts>
  <fonts count="22">
    <font>
      <sz val="11"/>
      <color theme="1"/>
      <name val="宋体"/>
      <charset val="134"/>
      <scheme val="minor"/>
    </font>
    <font>
      <b/>
      <sz val="13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64E63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177" fontId="0" fillId="3" borderId="0" xfId="0" applyNumberFormat="1" applyFill="1" applyAlignment="1">
      <alignment vertical="top" wrapText="1"/>
    </xf>
    <xf numFmtId="176" fontId="0" fillId="3" borderId="0" xfId="0" applyNumberFormat="1" applyFill="1" applyAlignment="1">
      <alignment vertical="top" wrapText="1"/>
    </xf>
    <xf numFmtId="178" fontId="0" fillId="3" borderId="0" xfId="0" applyNumberFormat="1" applyFill="1" applyAlignment="1">
      <alignment vertical="top" wrapText="1"/>
    </xf>
    <xf numFmtId="179" fontId="0" fillId="3" borderId="0" xfId="0" applyNumberFormat="1" applyFill="1" applyAlignment="1">
      <alignment vertical="top" wrapText="1"/>
    </xf>
    <xf numFmtId="180" fontId="0" fillId="3" borderId="0" xfId="0" applyNumberFormat="1" applyFill="1" applyAlignment="1">
      <alignment vertical="top" wrapText="1"/>
    </xf>
    <xf numFmtId="181" fontId="0" fillId="3" borderId="0" xfId="0" applyNumberFormat="1" applyFill="1" applyAlignment="1">
      <alignment vertical="top" wrapText="1"/>
    </xf>
    <xf numFmtId="182" fontId="0" fillId="3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176" fontId="0" fillId="4" borderId="0" xfId="0" applyNumberForma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tageInputs" displayName="StageInputs" ref="A3:Y203">
  <autoFilter xmlns:etc="http://www.wps.cn/officeDocument/2017/etCustomData" ref="A3:Y203" etc:filterBottomFollowUsedRange="0"/>
  <tableColumns count="25">
    <tableColumn id="1" name="顺序"/>
    <tableColumn id="2" name="启用"/>
    <tableColumn id="3" name="器件ID"/>
    <tableColumn id="4" name="名称"/>
    <tableColumn id="5" name="类型"/>
    <tableColumn id="6" name="增益dB"/>
    <tableColumn id="7" name="噪声模式"/>
    <tableColumn id="8" name="NF dB"/>
    <tableColumn id="9" name="物理温度K"/>
    <tableColumn id="10" name="IP3模式"/>
    <tableColumn id="11" name="IP3参考"/>
    <tableColumn id="12" name="IP3 dBm"/>
    <tableColumn id="13" name="P1模式"/>
    <tableColumn id="14" name="P1参考"/>
    <tableColumn id="15" name="P1 dBm"/>
    <tableColumn id="16" name="形状p"/>
    <tableColumn id="17" name="来源与条件"/>
    <tableColumn id="18" name="频率下限Hz"/>
    <tableColumn id="19" name="频率上限Hz"/>
    <tableColumn id="20" name="LO Hz"/>
    <tableColumn id="21" name="变频关系"/>
    <tableColumn id="22" name="NF口径"/>
    <tableColumn id="23" name="噪声口径已确认"/>
    <tableColumn id="24" name="最大输入dBm"/>
    <tableColumn id="2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17"/>
  <sheetViews>
    <sheetView showGridLines="0" tabSelected="1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20" customWidth="1"/>
  </cols>
  <sheetData>
    <row r="1" ht="18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</sheetData>
  <pageMargins left="0.75" right="0.75" top="1" bottom="1" header="0.5" footer="0.5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7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3"/>
  <cols>
    <col min="1" max="1" width="40" customWidth="1"/>
    <col min="2" max="4" width="20" customWidth="1"/>
  </cols>
  <sheetData>
    <row r="1" ht="18" spans="1:4">
      <c r="A1" s="1" t="s">
        <v>17</v>
      </c>
      <c r="B1" s="1" t="s">
        <v>18</v>
      </c>
      <c r="C1" s="1" t="s">
        <v>19</v>
      </c>
      <c r="D1" s="1" t="s">
        <v>20</v>
      </c>
    </row>
    <row r="2" spans="1:4">
      <c r="A2" s="11" t="s">
        <v>21</v>
      </c>
      <c r="B2" s="11" t="s">
        <v>22</v>
      </c>
      <c r="C2" s="12">
        <v>-30</v>
      </c>
      <c r="D2" s="11" t="s">
        <v>23</v>
      </c>
    </row>
    <row r="3" spans="1:4">
      <c r="A3" s="11" t="s">
        <v>24</v>
      </c>
      <c r="B3" s="11" t="s">
        <v>25</v>
      </c>
      <c r="C3" s="12">
        <v>100000000</v>
      </c>
      <c r="D3" s="11" t="s">
        <v>26</v>
      </c>
    </row>
    <row r="4" spans="1:4">
      <c r="A4" s="11" t="s">
        <v>27</v>
      </c>
      <c r="B4" s="11" t="s">
        <v>28</v>
      </c>
      <c r="C4" s="12">
        <v>1000000</v>
      </c>
      <c r="D4" s="11" t="s">
        <v>26</v>
      </c>
    </row>
    <row r="5" spans="1:4">
      <c r="A5" s="11" t="s">
        <v>29</v>
      </c>
      <c r="B5" s="11" t="s">
        <v>30</v>
      </c>
      <c r="C5" s="12">
        <v>1000000</v>
      </c>
      <c r="D5" s="11" t="s">
        <v>26</v>
      </c>
    </row>
    <row r="6" spans="1:4">
      <c r="A6" s="11" t="s">
        <v>31</v>
      </c>
      <c r="B6" s="11" t="s">
        <v>32</v>
      </c>
      <c r="C6" s="12">
        <v>290</v>
      </c>
      <c r="D6" s="11" t="s">
        <v>33</v>
      </c>
    </row>
    <row r="7" ht="28" spans="1:4">
      <c r="A7" s="11" t="s">
        <v>34</v>
      </c>
      <c r="B7" s="11" t="s">
        <v>35</v>
      </c>
      <c r="C7" s="12">
        <v>290</v>
      </c>
      <c r="D7" s="11" t="s">
        <v>33</v>
      </c>
    </row>
    <row r="8" spans="1:4">
      <c r="A8" s="11" t="s">
        <v>36</v>
      </c>
      <c r="B8" s="11" t="s">
        <v>37</v>
      </c>
      <c r="C8" s="12">
        <v>10</v>
      </c>
      <c r="D8" s="11" t="s">
        <v>38</v>
      </c>
    </row>
    <row r="9" spans="1:4">
      <c r="A9" s="11" t="s">
        <v>39</v>
      </c>
      <c r="B9" s="11" t="s">
        <v>40</v>
      </c>
      <c r="C9" s="12">
        <v>0</v>
      </c>
      <c r="D9" s="11" t="s">
        <v>38</v>
      </c>
    </row>
    <row r="10" spans="1:4">
      <c r="A10" s="11" t="s">
        <v>41</v>
      </c>
      <c r="B10" s="11" t="s">
        <v>42</v>
      </c>
      <c r="C10" s="12">
        <v>3</v>
      </c>
      <c r="D10" s="11" t="s">
        <v>38</v>
      </c>
    </row>
    <row r="11" spans="1:4">
      <c r="A11" s="11" t="s">
        <v>43</v>
      </c>
      <c r="B11" s="11" t="s">
        <v>44</v>
      </c>
      <c r="C11" s="12">
        <v>2</v>
      </c>
      <c r="D11" s="11" t="s">
        <v>45</v>
      </c>
    </row>
    <row r="12" spans="1:4">
      <c r="A12" s="11" t="s">
        <v>46</v>
      </c>
      <c r="B12" s="11" t="s">
        <v>47</v>
      </c>
      <c r="C12" s="12" t="b">
        <v>1</v>
      </c>
      <c r="D12" s="11" t="s">
        <v>48</v>
      </c>
    </row>
    <row r="13" spans="1:4">
      <c r="A13" s="11" t="s">
        <v>49</v>
      </c>
      <c r="B13" s="11" t="s">
        <v>50</v>
      </c>
      <c r="C13" s="12">
        <v>-30</v>
      </c>
      <c r="D13" s="11" t="s">
        <v>23</v>
      </c>
    </row>
    <row r="14" spans="1:4">
      <c r="A14" s="11" t="s">
        <v>51</v>
      </c>
      <c r="B14" s="11" t="s">
        <v>52</v>
      </c>
      <c r="C14" s="12">
        <v>100000</v>
      </c>
      <c r="D14" s="11" t="s">
        <v>26</v>
      </c>
    </row>
    <row r="15" ht="28" spans="1:4">
      <c r="A15" s="11" t="s">
        <v>53</v>
      </c>
      <c r="B15" s="11" t="s">
        <v>54</v>
      </c>
      <c r="C15" s="12">
        <v>1.380649e-23</v>
      </c>
      <c r="D15" s="11" t="s">
        <v>55</v>
      </c>
    </row>
    <row r="16" spans="1:4">
      <c r="A16" s="11"/>
      <c r="B16" s="11"/>
      <c r="C16" s="11"/>
      <c r="D16" s="11"/>
    </row>
    <row r="17" spans="1:4">
      <c r="A17" s="11" t="s">
        <v>56</v>
      </c>
      <c r="B17" s="11" t="s">
        <v>57</v>
      </c>
      <c r="C17" s="12" t="b">
        <f>AND(ISNUMBER(Bnoise_Hz),Bnoise_Hz&gt;0,ISNUMBER(Tsource_K),Tsource_K&gt;0,Tref_K=290,Boltzmann=1.380649E-23)</f>
        <v>1</v>
      </c>
      <c r="D17" s="11"/>
    </row>
  </sheetData>
  <dataValidations count="2">
    <dataValidation type="decimal" operator="between" showErrorMessage="1" errorTitle="数值范围错误" error="请输入 1～10 范围内的数值" sqref="C11">
      <formula1>1</formula1>
      <formula2>10</formula2>
    </dataValidation>
    <dataValidation type="decimal" operator="between" showErrorMessage="1" errorTitle="数值范围错误" error="请输入 1e-12～1000000000000000.0 范围内的数值" sqref="C14 C3:C6">
      <formula1>0.000000000001</formula1>
      <formula2>1000000000000000</formula2>
    </dataValidation>
  </dataValidations>
  <pageMargins left="0.75" right="0.75" top="1" bottom="1" header="0.5" footer="0.5"/>
  <pageSetup paperSize="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203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40" customWidth="1"/>
    <col min="2" max="25" width="20" customWidth="1"/>
  </cols>
  <sheetData>
    <row r="1" ht="18" spans="1:2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63</v>
      </c>
      <c r="F3" s="11" t="s">
        <v>64</v>
      </c>
      <c r="G3" s="11" t="s">
        <v>65</v>
      </c>
      <c r="H3" s="11" t="s">
        <v>66</v>
      </c>
      <c r="I3" s="11" t="s">
        <v>67</v>
      </c>
      <c r="J3" s="11" t="s">
        <v>68</v>
      </c>
      <c r="K3" s="11" t="s">
        <v>69</v>
      </c>
      <c r="L3" s="11" t="s">
        <v>70</v>
      </c>
      <c r="M3" s="11" t="s">
        <v>71</v>
      </c>
      <c r="N3" s="11" t="s">
        <v>72</v>
      </c>
      <c r="O3" s="11" t="s">
        <v>73</v>
      </c>
      <c r="P3" s="11" t="s">
        <v>74</v>
      </c>
      <c r="Q3" s="11" t="s">
        <v>75</v>
      </c>
      <c r="R3" s="11" t="s">
        <v>76</v>
      </c>
      <c r="S3" s="11" t="s">
        <v>77</v>
      </c>
      <c r="T3" s="11" t="s">
        <v>78</v>
      </c>
      <c r="U3" s="11" t="s">
        <v>79</v>
      </c>
      <c r="V3" s="11" t="s">
        <v>80</v>
      </c>
      <c r="W3" s="11" t="s">
        <v>81</v>
      </c>
      <c r="X3" s="11" t="s">
        <v>82</v>
      </c>
      <c r="Y3" s="11" t="s">
        <v>83</v>
      </c>
    </row>
    <row r="4" ht="70" spans="1:25">
      <c r="A4" s="12">
        <v>1</v>
      </c>
      <c r="B4" s="12" t="b">
        <v>1</v>
      </c>
      <c r="C4" s="11" t="s">
        <v>84</v>
      </c>
      <c r="D4" s="11" t="s">
        <v>85</v>
      </c>
      <c r="E4" s="11" t="s">
        <v>86</v>
      </c>
      <c r="F4" s="12">
        <v>10</v>
      </c>
      <c r="G4" s="11" t="s">
        <v>87</v>
      </c>
      <c r="H4" s="12">
        <v>3</v>
      </c>
      <c r="I4" s="12">
        <v>290</v>
      </c>
      <c r="J4" s="11" t="s">
        <v>88</v>
      </c>
      <c r="K4" s="11" t="s">
        <v>89</v>
      </c>
      <c r="L4" s="12">
        <v>10</v>
      </c>
      <c r="M4" s="11" t="s">
        <v>88</v>
      </c>
      <c r="N4" s="11" t="s">
        <v>89</v>
      </c>
      <c r="O4" s="12">
        <v>0</v>
      </c>
      <c r="P4" s="12">
        <v>2</v>
      </c>
      <c r="Q4" s="11" t="s">
        <v>90</v>
      </c>
      <c r="R4" s="11"/>
      <c r="S4" s="11"/>
      <c r="T4" s="11"/>
      <c r="U4" s="11" t="s">
        <v>45</v>
      </c>
      <c r="V4" s="11" t="s">
        <v>45</v>
      </c>
      <c r="W4" s="12" t="b">
        <v>0</v>
      </c>
      <c r="X4" s="11"/>
      <c r="Y4" s="11" t="s">
        <v>45</v>
      </c>
    </row>
    <row r="5" ht="70" spans="1:25">
      <c r="A5" s="12">
        <v>2</v>
      </c>
      <c r="B5" s="12" t="b">
        <v>1</v>
      </c>
      <c r="C5" s="11" t="s">
        <v>91</v>
      </c>
      <c r="D5" s="11" t="s">
        <v>92</v>
      </c>
      <c r="E5" s="11" t="s">
        <v>86</v>
      </c>
      <c r="F5" s="12">
        <v>10</v>
      </c>
      <c r="G5" s="11" t="s">
        <v>87</v>
      </c>
      <c r="H5" s="12">
        <v>6</v>
      </c>
      <c r="I5" s="12">
        <v>290</v>
      </c>
      <c r="J5" s="11" t="s">
        <v>88</v>
      </c>
      <c r="K5" s="11" t="s">
        <v>89</v>
      </c>
      <c r="L5" s="12">
        <v>20</v>
      </c>
      <c r="M5" s="11" t="s">
        <v>88</v>
      </c>
      <c r="N5" s="11" t="s">
        <v>89</v>
      </c>
      <c r="O5" s="12">
        <v>5</v>
      </c>
      <c r="P5" s="12">
        <v>2</v>
      </c>
      <c r="Q5" s="11" t="s">
        <v>90</v>
      </c>
      <c r="R5" s="11"/>
      <c r="S5" s="11"/>
      <c r="T5" s="11"/>
      <c r="U5" s="11" t="s">
        <v>45</v>
      </c>
      <c r="V5" s="11" t="s">
        <v>45</v>
      </c>
      <c r="W5" s="12" t="b">
        <v>0</v>
      </c>
      <c r="X5" s="11"/>
      <c r="Y5" s="11" t="s">
        <v>45</v>
      </c>
    </row>
    <row r="6" hidden="1" spans="1:25">
      <c r="A6" s="12">
        <v>3</v>
      </c>
      <c r="B6" s="12" t="b">
        <v>0</v>
      </c>
      <c r="C6" s="11" t="s">
        <v>93</v>
      </c>
      <c r="D6" s="11" t="s">
        <v>45</v>
      </c>
      <c r="E6" s="11" t="s">
        <v>94</v>
      </c>
      <c r="F6" s="11"/>
      <c r="G6" s="11" t="s">
        <v>95</v>
      </c>
      <c r="H6" s="11"/>
      <c r="I6" s="12">
        <v>290</v>
      </c>
      <c r="J6" s="11" t="s">
        <v>95</v>
      </c>
      <c r="K6" s="11" t="s">
        <v>89</v>
      </c>
      <c r="L6" s="11"/>
      <c r="M6" s="11" t="s">
        <v>95</v>
      </c>
      <c r="N6" s="11" t="s">
        <v>89</v>
      </c>
      <c r="O6" s="11"/>
      <c r="P6" s="11"/>
      <c r="Q6" s="11" t="s">
        <v>45</v>
      </c>
      <c r="R6" s="11"/>
      <c r="S6" s="11"/>
      <c r="T6" s="11"/>
      <c r="U6" s="11" t="s">
        <v>45</v>
      </c>
      <c r="V6" s="11" t="s">
        <v>95</v>
      </c>
      <c r="W6" s="12" t="b">
        <v>0</v>
      </c>
      <c r="X6" s="11"/>
      <c r="Y6" s="11" t="s">
        <v>45</v>
      </c>
    </row>
    <row r="7" hidden="1" spans="1:25">
      <c r="A7" s="12">
        <v>4</v>
      </c>
      <c r="B7" s="12" t="b">
        <v>0</v>
      </c>
      <c r="C7" s="11" t="s">
        <v>96</v>
      </c>
      <c r="D7" s="11" t="s">
        <v>45</v>
      </c>
      <c r="E7" s="11" t="s">
        <v>94</v>
      </c>
      <c r="F7" s="11"/>
      <c r="G7" s="11" t="s">
        <v>95</v>
      </c>
      <c r="H7" s="11"/>
      <c r="I7" s="12">
        <v>290</v>
      </c>
      <c r="J7" s="11" t="s">
        <v>95</v>
      </c>
      <c r="K7" s="11" t="s">
        <v>89</v>
      </c>
      <c r="L7" s="11"/>
      <c r="M7" s="11" t="s">
        <v>95</v>
      </c>
      <c r="N7" s="11" t="s">
        <v>89</v>
      </c>
      <c r="O7" s="11"/>
      <c r="P7" s="11"/>
      <c r="Q7" s="11" t="s">
        <v>45</v>
      </c>
      <c r="R7" s="11"/>
      <c r="S7" s="11"/>
      <c r="T7" s="11"/>
      <c r="U7" s="11" t="s">
        <v>45</v>
      </c>
      <c r="V7" s="11" t="s">
        <v>95</v>
      </c>
      <c r="W7" s="12" t="b">
        <v>0</v>
      </c>
      <c r="X7" s="11"/>
      <c r="Y7" s="11" t="s">
        <v>45</v>
      </c>
    </row>
    <row r="8" hidden="1" spans="1:25">
      <c r="A8" s="12">
        <v>5</v>
      </c>
      <c r="B8" s="12" t="b">
        <v>0</v>
      </c>
      <c r="C8" s="11" t="s">
        <v>97</v>
      </c>
      <c r="D8" s="11" t="s">
        <v>45</v>
      </c>
      <c r="E8" s="11" t="s">
        <v>94</v>
      </c>
      <c r="F8" s="11"/>
      <c r="G8" s="11" t="s">
        <v>95</v>
      </c>
      <c r="H8" s="11"/>
      <c r="I8" s="12">
        <v>290</v>
      </c>
      <c r="J8" s="11" t="s">
        <v>95</v>
      </c>
      <c r="K8" s="11" t="s">
        <v>89</v>
      </c>
      <c r="L8" s="11"/>
      <c r="M8" s="11" t="s">
        <v>95</v>
      </c>
      <c r="N8" s="11" t="s">
        <v>89</v>
      </c>
      <c r="O8" s="11"/>
      <c r="P8" s="11"/>
      <c r="Q8" s="11" t="s">
        <v>45</v>
      </c>
      <c r="R8" s="11"/>
      <c r="S8" s="11"/>
      <c r="T8" s="11"/>
      <c r="U8" s="11" t="s">
        <v>45</v>
      </c>
      <c r="V8" s="11" t="s">
        <v>95</v>
      </c>
      <c r="W8" s="12" t="b">
        <v>0</v>
      </c>
      <c r="X8" s="11"/>
      <c r="Y8" s="11" t="s">
        <v>45</v>
      </c>
    </row>
    <row r="9" hidden="1" spans="1:25">
      <c r="A9" s="12">
        <v>6</v>
      </c>
      <c r="B9" s="12" t="b">
        <v>0</v>
      </c>
      <c r="C9" s="11" t="s">
        <v>98</v>
      </c>
      <c r="D9" s="11" t="s">
        <v>45</v>
      </c>
      <c r="E9" s="11" t="s">
        <v>94</v>
      </c>
      <c r="F9" s="11"/>
      <c r="G9" s="11" t="s">
        <v>95</v>
      </c>
      <c r="H9" s="11"/>
      <c r="I9" s="12">
        <v>290</v>
      </c>
      <c r="J9" s="11" t="s">
        <v>95</v>
      </c>
      <c r="K9" s="11" t="s">
        <v>89</v>
      </c>
      <c r="L9" s="11"/>
      <c r="M9" s="11" t="s">
        <v>95</v>
      </c>
      <c r="N9" s="11" t="s">
        <v>89</v>
      </c>
      <c r="O9" s="11"/>
      <c r="P9" s="11"/>
      <c r="Q9" s="11" t="s">
        <v>45</v>
      </c>
      <c r="R9" s="11"/>
      <c r="S9" s="11"/>
      <c r="T9" s="11"/>
      <c r="U9" s="11" t="s">
        <v>45</v>
      </c>
      <c r="V9" s="11" t="s">
        <v>95</v>
      </c>
      <c r="W9" s="12" t="b">
        <v>0</v>
      </c>
      <c r="X9" s="11"/>
      <c r="Y9" s="11" t="s">
        <v>45</v>
      </c>
    </row>
    <row r="10" hidden="1" spans="1:25">
      <c r="A10" s="12">
        <v>7</v>
      </c>
      <c r="B10" s="12" t="b">
        <v>0</v>
      </c>
      <c r="C10" s="11" t="s">
        <v>99</v>
      </c>
      <c r="D10" s="11" t="s">
        <v>45</v>
      </c>
      <c r="E10" s="11" t="s">
        <v>94</v>
      </c>
      <c r="F10" s="11"/>
      <c r="G10" s="11" t="s">
        <v>95</v>
      </c>
      <c r="H10" s="11"/>
      <c r="I10" s="12">
        <v>290</v>
      </c>
      <c r="J10" s="11" t="s">
        <v>95</v>
      </c>
      <c r="K10" s="11" t="s">
        <v>89</v>
      </c>
      <c r="L10" s="11"/>
      <c r="M10" s="11" t="s">
        <v>95</v>
      </c>
      <c r="N10" s="11" t="s">
        <v>89</v>
      </c>
      <c r="O10" s="11"/>
      <c r="P10" s="11"/>
      <c r="Q10" s="11" t="s">
        <v>45</v>
      </c>
      <c r="R10" s="11"/>
      <c r="S10" s="11"/>
      <c r="T10" s="11"/>
      <c r="U10" s="11" t="s">
        <v>45</v>
      </c>
      <c r="V10" s="11" t="s">
        <v>95</v>
      </c>
      <c r="W10" s="12" t="b">
        <v>0</v>
      </c>
      <c r="X10" s="11"/>
      <c r="Y10" s="11" t="s">
        <v>45</v>
      </c>
    </row>
    <row r="11" hidden="1" spans="1:25">
      <c r="A11" s="12">
        <v>8</v>
      </c>
      <c r="B11" s="12" t="b">
        <v>0</v>
      </c>
      <c r="C11" s="11" t="s">
        <v>100</v>
      </c>
      <c r="D11" s="11" t="s">
        <v>45</v>
      </c>
      <c r="E11" s="11" t="s">
        <v>94</v>
      </c>
      <c r="F11" s="11"/>
      <c r="G11" s="11" t="s">
        <v>95</v>
      </c>
      <c r="H11" s="11"/>
      <c r="I11" s="12">
        <v>290</v>
      </c>
      <c r="J11" s="11" t="s">
        <v>95</v>
      </c>
      <c r="K11" s="11" t="s">
        <v>89</v>
      </c>
      <c r="L11" s="11"/>
      <c r="M11" s="11" t="s">
        <v>95</v>
      </c>
      <c r="N11" s="11" t="s">
        <v>89</v>
      </c>
      <c r="O11" s="11"/>
      <c r="P11" s="11"/>
      <c r="Q11" s="11" t="s">
        <v>45</v>
      </c>
      <c r="R11" s="11"/>
      <c r="S11" s="11"/>
      <c r="T11" s="11"/>
      <c r="U11" s="11" t="s">
        <v>45</v>
      </c>
      <c r="V11" s="11" t="s">
        <v>95</v>
      </c>
      <c r="W11" s="12" t="b">
        <v>0</v>
      </c>
      <c r="X11" s="11"/>
      <c r="Y11" s="11" t="s">
        <v>45</v>
      </c>
    </row>
    <row r="12" hidden="1" spans="1:25">
      <c r="A12" s="12">
        <v>9</v>
      </c>
      <c r="B12" s="12" t="b">
        <v>0</v>
      </c>
      <c r="C12" s="11" t="s">
        <v>101</v>
      </c>
      <c r="D12" s="11" t="s">
        <v>45</v>
      </c>
      <c r="E12" s="11" t="s">
        <v>94</v>
      </c>
      <c r="F12" s="11"/>
      <c r="G12" s="11" t="s">
        <v>95</v>
      </c>
      <c r="H12" s="11"/>
      <c r="I12" s="12">
        <v>290</v>
      </c>
      <c r="J12" s="11" t="s">
        <v>95</v>
      </c>
      <c r="K12" s="11" t="s">
        <v>89</v>
      </c>
      <c r="L12" s="11"/>
      <c r="M12" s="11" t="s">
        <v>95</v>
      </c>
      <c r="N12" s="11" t="s">
        <v>89</v>
      </c>
      <c r="O12" s="11"/>
      <c r="P12" s="11"/>
      <c r="Q12" s="11" t="s">
        <v>45</v>
      </c>
      <c r="R12" s="11"/>
      <c r="S12" s="11"/>
      <c r="T12" s="11"/>
      <c r="U12" s="11" t="s">
        <v>45</v>
      </c>
      <c r="V12" s="11" t="s">
        <v>95</v>
      </c>
      <c r="W12" s="12" t="b">
        <v>0</v>
      </c>
      <c r="X12" s="11"/>
      <c r="Y12" s="11" t="s">
        <v>45</v>
      </c>
    </row>
    <row r="13" hidden="1" spans="1:25">
      <c r="A13" s="12">
        <v>10</v>
      </c>
      <c r="B13" s="12" t="b">
        <v>0</v>
      </c>
      <c r="C13" s="11" t="s">
        <v>102</v>
      </c>
      <c r="D13" s="11" t="s">
        <v>45</v>
      </c>
      <c r="E13" s="11" t="s">
        <v>94</v>
      </c>
      <c r="F13" s="11"/>
      <c r="G13" s="11" t="s">
        <v>95</v>
      </c>
      <c r="H13" s="11"/>
      <c r="I13" s="12">
        <v>290</v>
      </c>
      <c r="J13" s="11" t="s">
        <v>95</v>
      </c>
      <c r="K13" s="11" t="s">
        <v>89</v>
      </c>
      <c r="L13" s="11"/>
      <c r="M13" s="11" t="s">
        <v>95</v>
      </c>
      <c r="N13" s="11" t="s">
        <v>89</v>
      </c>
      <c r="O13" s="11"/>
      <c r="P13" s="11"/>
      <c r="Q13" s="11" t="s">
        <v>45</v>
      </c>
      <c r="R13" s="11"/>
      <c r="S13" s="11"/>
      <c r="T13" s="11"/>
      <c r="U13" s="11" t="s">
        <v>45</v>
      </c>
      <c r="V13" s="11" t="s">
        <v>95</v>
      </c>
      <c r="W13" s="12" t="b">
        <v>0</v>
      </c>
      <c r="X13" s="11"/>
      <c r="Y13" s="11" t="s">
        <v>45</v>
      </c>
    </row>
    <row r="14" hidden="1" spans="1:25">
      <c r="A14" s="12">
        <v>11</v>
      </c>
      <c r="B14" s="12" t="b">
        <v>0</v>
      </c>
      <c r="C14" s="11" t="s">
        <v>103</v>
      </c>
      <c r="D14" s="11" t="s">
        <v>45</v>
      </c>
      <c r="E14" s="11" t="s">
        <v>94</v>
      </c>
      <c r="F14" s="11"/>
      <c r="G14" s="11" t="s">
        <v>95</v>
      </c>
      <c r="H14" s="11"/>
      <c r="I14" s="12">
        <v>290</v>
      </c>
      <c r="J14" s="11" t="s">
        <v>95</v>
      </c>
      <c r="K14" s="11" t="s">
        <v>89</v>
      </c>
      <c r="L14" s="11"/>
      <c r="M14" s="11" t="s">
        <v>95</v>
      </c>
      <c r="N14" s="11" t="s">
        <v>89</v>
      </c>
      <c r="O14" s="11"/>
      <c r="P14" s="11"/>
      <c r="Q14" s="11" t="s">
        <v>45</v>
      </c>
      <c r="R14" s="11"/>
      <c r="S14" s="11"/>
      <c r="T14" s="11"/>
      <c r="U14" s="11" t="s">
        <v>45</v>
      </c>
      <c r="V14" s="11" t="s">
        <v>95</v>
      </c>
      <c r="W14" s="12" t="b">
        <v>0</v>
      </c>
      <c r="X14" s="11"/>
      <c r="Y14" s="11" t="s">
        <v>45</v>
      </c>
    </row>
    <row r="15" hidden="1" spans="1:25">
      <c r="A15" s="12">
        <v>12</v>
      </c>
      <c r="B15" s="12" t="b">
        <v>0</v>
      </c>
      <c r="C15" s="11" t="s">
        <v>104</v>
      </c>
      <c r="D15" s="11" t="s">
        <v>45</v>
      </c>
      <c r="E15" s="11" t="s">
        <v>94</v>
      </c>
      <c r="F15" s="11"/>
      <c r="G15" s="11" t="s">
        <v>95</v>
      </c>
      <c r="H15" s="11"/>
      <c r="I15" s="12">
        <v>290</v>
      </c>
      <c r="J15" s="11" t="s">
        <v>95</v>
      </c>
      <c r="K15" s="11" t="s">
        <v>89</v>
      </c>
      <c r="L15" s="11"/>
      <c r="M15" s="11" t="s">
        <v>95</v>
      </c>
      <c r="N15" s="11" t="s">
        <v>89</v>
      </c>
      <c r="O15" s="11"/>
      <c r="P15" s="11"/>
      <c r="Q15" s="11" t="s">
        <v>45</v>
      </c>
      <c r="R15" s="11"/>
      <c r="S15" s="11"/>
      <c r="T15" s="11"/>
      <c r="U15" s="11" t="s">
        <v>45</v>
      </c>
      <c r="V15" s="11" t="s">
        <v>95</v>
      </c>
      <c r="W15" s="12" t="b">
        <v>0</v>
      </c>
      <c r="X15" s="11"/>
      <c r="Y15" s="11" t="s">
        <v>45</v>
      </c>
    </row>
    <row r="16" hidden="1" spans="1:25">
      <c r="A16" s="12">
        <v>13</v>
      </c>
      <c r="B16" s="12" t="b">
        <v>0</v>
      </c>
      <c r="C16" s="11" t="s">
        <v>105</v>
      </c>
      <c r="D16" s="11" t="s">
        <v>45</v>
      </c>
      <c r="E16" s="11" t="s">
        <v>94</v>
      </c>
      <c r="F16" s="11"/>
      <c r="G16" s="11" t="s">
        <v>95</v>
      </c>
      <c r="H16" s="11"/>
      <c r="I16" s="12">
        <v>290</v>
      </c>
      <c r="J16" s="11" t="s">
        <v>95</v>
      </c>
      <c r="K16" s="11" t="s">
        <v>89</v>
      </c>
      <c r="L16" s="11"/>
      <c r="M16" s="11" t="s">
        <v>95</v>
      </c>
      <c r="N16" s="11" t="s">
        <v>89</v>
      </c>
      <c r="O16" s="11"/>
      <c r="P16" s="11"/>
      <c r="Q16" s="11" t="s">
        <v>45</v>
      </c>
      <c r="R16" s="11"/>
      <c r="S16" s="11"/>
      <c r="T16" s="11"/>
      <c r="U16" s="11" t="s">
        <v>45</v>
      </c>
      <c r="V16" s="11" t="s">
        <v>95</v>
      </c>
      <c r="W16" s="12" t="b">
        <v>0</v>
      </c>
      <c r="X16" s="11"/>
      <c r="Y16" s="11" t="s">
        <v>45</v>
      </c>
    </row>
    <row r="17" hidden="1" spans="1:25">
      <c r="A17" s="12">
        <v>14</v>
      </c>
      <c r="B17" s="12" t="b">
        <v>0</v>
      </c>
      <c r="C17" s="11" t="s">
        <v>106</v>
      </c>
      <c r="D17" s="11" t="s">
        <v>45</v>
      </c>
      <c r="E17" s="11" t="s">
        <v>94</v>
      </c>
      <c r="F17" s="11"/>
      <c r="G17" s="11" t="s">
        <v>95</v>
      </c>
      <c r="H17" s="11"/>
      <c r="I17" s="12">
        <v>290</v>
      </c>
      <c r="J17" s="11" t="s">
        <v>95</v>
      </c>
      <c r="K17" s="11" t="s">
        <v>89</v>
      </c>
      <c r="L17" s="11"/>
      <c r="M17" s="11" t="s">
        <v>95</v>
      </c>
      <c r="N17" s="11" t="s">
        <v>89</v>
      </c>
      <c r="O17" s="11"/>
      <c r="P17" s="11"/>
      <c r="Q17" s="11" t="s">
        <v>45</v>
      </c>
      <c r="R17" s="11"/>
      <c r="S17" s="11"/>
      <c r="T17" s="11"/>
      <c r="U17" s="11" t="s">
        <v>45</v>
      </c>
      <c r="V17" s="11" t="s">
        <v>95</v>
      </c>
      <c r="W17" s="12" t="b">
        <v>0</v>
      </c>
      <c r="X17" s="11"/>
      <c r="Y17" s="11" t="s">
        <v>45</v>
      </c>
    </row>
    <row r="18" hidden="1" spans="1:25">
      <c r="A18" s="12">
        <v>15</v>
      </c>
      <c r="B18" s="12" t="b">
        <v>0</v>
      </c>
      <c r="C18" s="11" t="s">
        <v>107</v>
      </c>
      <c r="D18" s="11" t="s">
        <v>45</v>
      </c>
      <c r="E18" s="11" t="s">
        <v>94</v>
      </c>
      <c r="F18" s="11"/>
      <c r="G18" s="11" t="s">
        <v>95</v>
      </c>
      <c r="H18" s="11"/>
      <c r="I18" s="12">
        <v>290</v>
      </c>
      <c r="J18" s="11" t="s">
        <v>95</v>
      </c>
      <c r="K18" s="11" t="s">
        <v>89</v>
      </c>
      <c r="L18" s="11"/>
      <c r="M18" s="11" t="s">
        <v>95</v>
      </c>
      <c r="N18" s="11" t="s">
        <v>89</v>
      </c>
      <c r="O18" s="11"/>
      <c r="P18" s="11"/>
      <c r="Q18" s="11" t="s">
        <v>45</v>
      </c>
      <c r="R18" s="11"/>
      <c r="S18" s="11"/>
      <c r="T18" s="11"/>
      <c r="U18" s="11" t="s">
        <v>45</v>
      </c>
      <c r="V18" s="11" t="s">
        <v>95</v>
      </c>
      <c r="W18" s="12" t="b">
        <v>0</v>
      </c>
      <c r="X18" s="11"/>
      <c r="Y18" s="11" t="s">
        <v>45</v>
      </c>
    </row>
    <row r="19" hidden="1" spans="1:25">
      <c r="A19" s="12">
        <v>16</v>
      </c>
      <c r="B19" s="12" t="b">
        <v>0</v>
      </c>
      <c r="C19" s="11" t="s">
        <v>108</v>
      </c>
      <c r="D19" s="11" t="s">
        <v>45</v>
      </c>
      <c r="E19" s="11" t="s">
        <v>94</v>
      </c>
      <c r="F19" s="11"/>
      <c r="G19" s="11" t="s">
        <v>95</v>
      </c>
      <c r="H19" s="11"/>
      <c r="I19" s="12">
        <v>290</v>
      </c>
      <c r="J19" s="11" t="s">
        <v>95</v>
      </c>
      <c r="K19" s="11" t="s">
        <v>89</v>
      </c>
      <c r="L19" s="11"/>
      <c r="M19" s="11" t="s">
        <v>95</v>
      </c>
      <c r="N19" s="11" t="s">
        <v>89</v>
      </c>
      <c r="O19" s="11"/>
      <c r="P19" s="11"/>
      <c r="Q19" s="11" t="s">
        <v>45</v>
      </c>
      <c r="R19" s="11"/>
      <c r="S19" s="11"/>
      <c r="T19" s="11"/>
      <c r="U19" s="11" t="s">
        <v>45</v>
      </c>
      <c r="V19" s="11" t="s">
        <v>95</v>
      </c>
      <c r="W19" s="12" t="b">
        <v>0</v>
      </c>
      <c r="X19" s="11"/>
      <c r="Y19" s="11" t="s">
        <v>45</v>
      </c>
    </row>
    <row r="20" hidden="1" spans="1:25">
      <c r="A20" s="12">
        <v>17</v>
      </c>
      <c r="B20" s="12" t="b">
        <v>0</v>
      </c>
      <c r="C20" s="11" t="s">
        <v>109</v>
      </c>
      <c r="D20" s="11" t="s">
        <v>45</v>
      </c>
      <c r="E20" s="11" t="s">
        <v>94</v>
      </c>
      <c r="F20" s="11"/>
      <c r="G20" s="11" t="s">
        <v>95</v>
      </c>
      <c r="H20" s="11"/>
      <c r="I20" s="12">
        <v>290</v>
      </c>
      <c r="J20" s="11" t="s">
        <v>95</v>
      </c>
      <c r="K20" s="11" t="s">
        <v>89</v>
      </c>
      <c r="L20" s="11"/>
      <c r="M20" s="11" t="s">
        <v>95</v>
      </c>
      <c r="N20" s="11" t="s">
        <v>89</v>
      </c>
      <c r="O20" s="11"/>
      <c r="P20" s="11"/>
      <c r="Q20" s="11" t="s">
        <v>45</v>
      </c>
      <c r="R20" s="11"/>
      <c r="S20" s="11"/>
      <c r="T20" s="11"/>
      <c r="U20" s="11" t="s">
        <v>45</v>
      </c>
      <c r="V20" s="11" t="s">
        <v>95</v>
      </c>
      <c r="W20" s="12" t="b">
        <v>0</v>
      </c>
      <c r="X20" s="11"/>
      <c r="Y20" s="11" t="s">
        <v>45</v>
      </c>
    </row>
    <row r="21" hidden="1" spans="1:25">
      <c r="A21" s="12">
        <v>18</v>
      </c>
      <c r="B21" s="12" t="b">
        <v>0</v>
      </c>
      <c r="C21" s="11" t="s">
        <v>110</v>
      </c>
      <c r="D21" s="11" t="s">
        <v>45</v>
      </c>
      <c r="E21" s="11" t="s">
        <v>94</v>
      </c>
      <c r="F21" s="11"/>
      <c r="G21" s="11" t="s">
        <v>95</v>
      </c>
      <c r="H21" s="11"/>
      <c r="I21" s="12">
        <v>290</v>
      </c>
      <c r="J21" s="11" t="s">
        <v>95</v>
      </c>
      <c r="K21" s="11" t="s">
        <v>89</v>
      </c>
      <c r="L21" s="11"/>
      <c r="M21" s="11" t="s">
        <v>95</v>
      </c>
      <c r="N21" s="11" t="s">
        <v>89</v>
      </c>
      <c r="O21" s="11"/>
      <c r="P21" s="11"/>
      <c r="Q21" s="11" t="s">
        <v>45</v>
      </c>
      <c r="R21" s="11"/>
      <c r="S21" s="11"/>
      <c r="T21" s="11"/>
      <c r="U21" s="11" t="s">
        <v>45</v>
      </c>
      <c r="V21" s="11" t="s">
        <v>95</v>
      </c>
      <c r="W21" s="12" t="b">
        <v>0</v>
      </c>
      <c r="X21" s="11"/>
      <c r="Y21" s="11" t="s">
        <v>45</v>
      </c>
    </row>
    <row r="22" hidden="1" spans="1:25">
      <c r="A22" s="12">
        <v>19</v>
      </c>
      <c r="B22" s="12" t="b">
        <v>0</v>
      </c>
      <c r="C22" s="11" t="s">
        <v>111</v>
      </c>
      <c r="D22" s="11" t="s">
        <v>45</v>
      </c>
      <c r="E22" s="11" t="s">
        <v>94</v>
      </c>
      <c r="F22" s="11"/>
      <c r="G22" s="11" t="s">
        <v>95</v>
      </c>
      <c r="H22" s="11"/>
      <c r="I22" s="12">
        <v>290</v>
      </c>
      <c r="J22" s="11" t="s">
        <v>95</v>
      </c>
      <c r="K22" s="11" t="s">
        <v>89</v>
      </c>
      <c r="L22" s="11"/>
      <c r="M22" s="11" t="s">
        <v>95</v>
      </c>
      <c r="N22" s="11" t="s">
        <v>89</v>
      </c>
      <c r="O22" s="11"/>
      <c r="P22" s="11"/>
      <c r="Q22" s="11" t="s">
        <v>45</v>
      </c>
      <c r="R22" s="11"/>
      <c r="S22" s="11"/>
      <c r="T22" s="11"/>
      <c r="U22" s="11" t="s">
        <v>45</v>
      </c>
      <c r="V22" s="11" t="s">
        <v>95</v>
      </c>
      <c r="W22" s="12" t="b">
        <v>0</v>
      </c>
      <c r="X22" s="11"/>
      <c r="Y22" s="11" t="s">
        <v>45</v>
      </c>
    </row>
    <row r="23" hidden="1" spans="1:25">
      <c r="A23" s="12">
        <v>20</v>
      </c>
      <c r="B23" s="12" t="b">
        <v>0</v>
      </c>
      <c r="C23" s="11" t="s">
        <v>112</v>
      </c>
      <c r="D23" s="11" t="s">
        <v>45</v>
      </c>
      <c r="E23" s="11" t="s">
        <v>94</v>
      </c>
      <c r="F23" s="11"/>
      <c r="G23" s="11" t="s">
        <v>95</v>
      </c>
      <c r="H23" s="11"/>
      <c r="I23" s="12">
        <v>290</v>
      </c>
      <c r="J23" s="11" t="s">
        <v>95</v>
      </c>
      <c r="K23" s="11" t="s">
        <v>89</v>
      </c>
      <c r="L23" s="11"/>
      <c r="M23" s="11" t="s">
        <v>95</v>
      </c>
      <c r="N23" s="11" t="s">
        <v>89</v>
      </c>
      <c r="O23" s="11"/>
      <c r="P23" s="11"/>
      <c r="Q23" s="11" t="s">
        <v>45</v>
      </c>
      <c r="R23" s="11"/>
      <c r="S23" s="11"/>
      <c r="T23" s="11"/>
      <c r="U23" s="11" t="s">
        <v>45</v>
      </c>
      <c r="V23" s="11" t="s">
        <v>95</v>
      </c>
      <c r="W23" s="12" t="b">
        <v>0</v>
      </c>
      <c r="X23" s="11"/>
      <c r="Y23" s="11" t="s">
        <v>45</v>
      </c>
    </row>
    <row r="24" hidden="1" spans="1:25">
      <c r="A24" s="12">
        <v>21</v>
      </c>
      <c r="B24" s="12" t="b">
        <v>0</v>
      </c>
      <c r="C24" s="11" t="s">
        <v>113</v>
      </c>
      <c r="D24" s="11" t="s">
        <v>45</v>
      </c>
      <c r="E24" s="11" t="s">
        <v>94</v>
      </c>
      <c r="F24" s="11"/>
      <c r="G24" s="11" t="s">
        <v>95</v>
      </c>
      <c r="H24" s="11"/>
      <c r="I24" s="12">
        <v>290</v>
      </c>
      <c r="J24" s="11" t="s">
        <v>95</v>
      </c>
      <c r="K24" s="11" t="s">
        <v>89</v>
      </c>
      <c r="L24" s="11"/>
      <c r="M24" s="11" t="s">
        <v>95</v>
      </c>
      <c r="N24" s="11" t="s">
        <v>89</v>
      </c>
      <c r="O24" s="11"/>
      <c r="P24" s="11"/>
      <c r="Q24" s="11" t="s">
        <v>45</v>
      </c>
      <c r="R24" s="11"/>
      <c r="S24" s="11"/>
      <c r="T24" s="11"/>
      <c r="U24" s="11" t="s">
        <v>45</v>
      </c>
      <c r="V24" s="11" t="s">
        <v>95</v>
      </c>
      <c r="W24" s="12" t="b">
        <v>0</v>
      </c>
      <c r="X24" s="11"/>
      <c r="Y24" s="11" t="s">
        <v>45</v>
      </c>
    </row>
    <row r="25" hidden="1" spans="1:25">
      <c r="A25" s="12">
        <v>22</v>
      </c>
      <c r="B25" s="12" t="b">
        <v>0</v>
      </c>
      <c r="C25" s="11" t="s">
        <v>114</v>
      </c>
      <c r="D25" s="11" t="s">
        <v>45</v>
      </c>
      <c r="E25" s="11" t="s">
        <v>94</v>
      </c>
      <c r="F25" s="11"/>
      <c r="G25" s="11" t="s">
        <v>95</v>
      </c>
      <c r="H25" s="11"/>
      <c r="I25" s="12">
        <v>290</v>
      </c>
      <c r="J25" s="11" t="s">
        <v>95</v>
      </c>
      <c r="K25" s="11" t="s">
        <v>89</v>
      </c>
      <c r="L25" s="11"/>
      <c r="M25" s="11" t="s">
        <v>95</v>
      </c>
      <c r="N25" s="11" t="s">
        <v>89</v>
      </c>
      <c r="O25" s="11"/>
      <c r="P25" s="11"/>
      <c r="Q25" s="11" t="s">
        <v>45</v>
      </c>
      <c r="R25" s="11"/>
      <c r="S25" s="11"/>
      <c r="T25" s="11"/>
      <c r="U25" s="11" t="s">
        <v>45</v>
      </c>
      <c r="V25" s="11" t="s">
        <v>95</v>
      </c>
      <c r="W25" s="12" t="b">
        <v>0</v>
      </c>
      <c r="X25" s="11"/>
      <c r="Y25" s="11" t="s">
        <v>45</v>
      </c>
    </row>
    <row r="26" hidden="1" spans="1:25">
      <c r="A26" s="12">
        <v>23</v>
      </c>
      <c r="B26" s="12" t="b">
        <v>0</v>
      </c>
      <c r="C26" s="11" t="s">
        <v>115</v>
      </c>
      <c r="D26" s="11" t="s">
        <v>45</v>
      </c>
      <c r="E26" s="11" t="s">
        <v>94</v>
      </c>
      <c r="F26" s="11"/>
      <c r="G26" s="11" t="s">
        <v>95</v>
      </c>
      <c r="H26" s="11"/>
      <c r="I26" s="12">
        <v>290</v>
      </c>
      <c r="J26" s="11" t="s">
        <v>95</v>
      </c>
      <c r="K26" s="11" t="s">
        <v>89</v>
      </c>
      <c r="L26" s="11"/>
      <c r="M26" s="11" t="s">
        <v>95</v>
      </c>
      <c r="N26" s="11" t="s">
        <v>89</v>
      </c>
      <c r="O26" s="11"/>
      <c r="P26" s="11"/>
      <c r="Q26" s="11" t="s">
        <v>45</v>
      </c>
      <c r="R26" s="11"/>
      <c r="S26" s="11"/>
      <c r="T26" s="11"/>
      <c r="U26" s="11" t="s">
        <v>45</v>
      </c>
      <c r="V26" s="11" t="s">
        <v>95</v>
      </c>
      <c r="W26" s="12" t="b">
        <v>0</v>
      </c>
      <c r="X26" s="11"/>
      <c r="Y26" s="11" t="s">
        <v>45</v>
      </c>
    </row>
    <row r="27" hidden="1" spans="1:25">
      <c r="A27" s="12">
        <v>24</v>
      </c>
      <c r="B27" s="12" t="b">
        <v>0</v>
      </c>
      <c r="C27" s="11" t="s">
        <v>116</v>
      </c>
      <c r="D27" s="11" t="s">
        <v>45</v>
      </c>
      <c r="E27" s="11" t="s">
        <v>94</v>
      </c>
      <c r="F27" s="11"/>
      <c r="G27" s="11" t="s">
        <v>95</v>
      </c>
      <c r="H27" s="11"/>
      <c r="I27" s="12">
        <v>290</v>
      </c>
      <c r="J27" s="11" t="s">
        <v>95</v>
      </c>
      <c r="K27" s="11" t="s">
        <v>89</v>
      </c>
      <c r="L27" s="11"/>
      <c r="M27" s="11" t="s">
        <v>95</v>
      </c>
      <c r="N27" s="11" t="s">
        <v>89</v>
      </c>
      <c r="O27" s="11"/>
      <c r="P27" s="11"/>
      <c r="Q27" s="11" t="s">
        <v>45</v>
      </c>
      <c r="R27" s="11"/>
      <c r="S27" s="11"/>
      <c r="T27" s="11"/>
      <c r="U27" s="11" t="s">
        <v>45</v>
      </c>
      <c r="V27" s="11" t="s">
        <v>95</v>
      </c>
      <c r="W27" s="12" t="b">
        <v>0</v>
      </c>
      <c r="X27" s="11"/>
      <c r="Y27" s="11" t="s">
        <v>45</v>
      </c>
    </row>
    <row r="28" hidden="1" spans="1:25">
      <c r="A28" s="12">
        <v>25</v>
      </c>
      <c r="B28" s="12" t="b">
        <v>0</v>
      </c>
      <c r="C28" s="11" t="s">
        <v>117</v>
      </c>
      <c r="D28" s="11" t="s">
        <v>45</v>
      </c>
      <c r="E28" s="11" t="s">
        <v>94</v>
      </c>
      <c r="F28" s="11"/>
      <c r="G28" s="11" t="s">
        <v>95</v>
      </c>
      <c r="H28" s="11"/>
      <c r="I28" s="12">
        <v>290</v>
      </c>
      <c r="J28" s="11" t="s">
        <v>95</v>
      </c>
      <c r="K28" s="11" t="s">
        <v>89</v>
      </c>
      <c r="L28" s="11"/>
      <c r="M28" s="11" t="s">
        <v>95</v>
      </c>
      <c r="N28" s="11" t="s">
        <v>89</v>
      </c>
      <c r="O28" s="11"/>
      <c r="P28" s="11"/>
      <c r="Q28" s="11" t="s">
        <v>45</v>
      </c>
      <c r="R28" s="11"/>
      <c r="S28" s="11"/>
      <c r="T28" s="11"/>
      <c r="U28" s="11" t="s">
        <v>45</v>
      </c>
      <c r="V28" s="11" t="s">
        <v>95</v>
      </c>
      <c r="W28" s="12" t="b">
        <v>0</v>
      </c>
      <c r="X28" s="11"/>
      <c r="Y28" s="11" t="s">
        <v>45</v>
      </c>
    </row>
    <row r="29" hidden="1" spans="1:25">
      <c r="A29" s="12">
        <v>26</v>
      </c>
      <c r="B29" s="12" t="b">
        <v>0</v>
      </c>
      <c r="C29" s="11" t="s">
        <v>118</v>
      </c>
      <c r="D29" s="11" t="s">
        <v>45</v>
      </c>
      <c r="E29" s="11" t="s">
        <v>94</v>
      </c>
      <c r="F29" s="11"/>
      <c r="G29" s="11" t="s">
        <v>95</v>
      </c>
      <c r="H29" s="11"/>
      <c r="I29" s="12">
        <v>290</v>
      </c>
      <c r="J29" s="11" t="s">
        <v>95</v>
      </c>
      <c r="K29" s="11" t="s">
        <v>89</v>
      </c>
      <c r="L29" s="11"/>
      <c r="M29" s="11" t="s">
        <v>95</v>
      </c>
      <c r="N29" s="11" t="s">
        <v>89</v>
      </c>
      <c r="O29" s="11"/>
      <c r="P29" s="11"/>
      <c r="Q29" s="11" t="s">
        <v>45</v>
      </c>
      <c r="R29" s="11"/>
      <c r="S29" s="11"/>
      <c r="T29" s="11"/>
      <c r="U29" s="11" t="s">
        <v>45</v>
      </c>
      <c r="V29" s="11" t="s">
        <v>95</v>
      </c>
      <c r="W29" s="12" t="b">
        <v>0</v>
      </c>
      <c r="X29" s="11"/>
      <c r="Y29" s="11" t="s">
        <v>45</v>
      </c>
    </row>
    <row r="30" hidden="1" spans="1:25">
      <c r="A30" s="12">
        <v>27</v>
      </c>
      <c r="B30" s="12" t="b">
        <v>0</v>
      </c>
      <c r="C30" s="11" t="s">
        <v>119</v>
      </c>
      <c r="D30" s="11" t="s">
        <v>45</v>
      </c>
      <c r="E30" s="11" t="s">
        <v>94</v>
      </c>
      <c r="F30" s="11"/>
      <c r="G30" s="11" t="s">
        <v>95</v>
      </c>
      <c r="H30" s="11"/>
      <c r="I30" s="12">
        <v>290</v>
      </c>
      <c r="J30" s="11" t="s">
        <v>95</v>
      </c>
      <c r="K30" s="11" t="s">
        <v>89</v>
      </c>
      <c r="L30" s="11"/>
      <c r="M30" s="11" t="s">
        <v>95</v>
      </c>
      <c r="N30" s="11" t="s">
        <v>89</v>
      </c>
      <c r="O30" s="11"/>
      <c r="P30" s="11"/>
      <c r="Q30" s="11" t="s">
        <v>45</v>
      </c>
      <c r="R30" s="11"/>
      <c r="S30" s="11"/>
      <c r="T30" s="11"/>
      <c r="U30" s="11" t="s">
        <v>45</v>
      </c>
      <c r="V30" s="11" t="s">
        <v>95</v>
      </c>
      <c r="W30" s="12" t="b">
        <v>0</v>
      </c>
      <c r="X30" s="11"/>
      <c r="Y30" s="11" t="s">
        <v>45</v>
      </c>
    </row>
    <row r="31" hidden="1" spans="1:25">
      <c r="A31" s="12">
        <v>28</v>
      </c>
      <c r="B31" s="12" t="b">
        <v>0</v>
      </c>
      <c r="C31" s="11" t="s">
        <v>120</v>
      </c>
      <c r="D31" s="11" t="s">
        <v>45</v>
      </c>
      <c r="E31" s="11" t="s">
        <v>94</v>
      </c>
      <c r="F31" s="11"/>
      <c r="G31" s="11" t="s">
        <v>95</v>
      </c>
      <c r="H31" s="11"/>
      <c r="I31" s="12">
        <v>290</v>
      </c>
      <c r="J31" s="11" t="s">
        <v>95</v>
      </c>
      <c r="K31" s="11" t="s">
        <v>89</v>
      </c>
      <c r="L31" s="11"/>
      <c r="M31" s="11" t="s">
        <v>95</v>
      </c>
      <c r="N31" s="11" t="s">
        <v>89</v>
      </c>
      <c r="O31" s="11"/>
      <c r="P31" s="11"/>
      <c r="Q31" s="11" t="s">
        <v>45</v>
      </c>
      <c r="R31" s="11"/>
      <c r="S31" s="11"/>
      <c r="T31" s="11"/>
      <c r="U31" s="11" t="s">
        <v>45</v>
      </c>
      <c r="V31" s="11" t="s">
        <v>95</v>
      </c>
      <c r="W31" s="12" t="b">
        <v>0</v>
      </c>
      <c r="X31" s="11"/>
      <c r="Y31" s="11" t="s">
        <v>45</v>
      </c>
    </row>
    <row r="32" hidden="1" spans="1:25">
      <c r="A32" s="12">
        <v>29</v>
      </c>
      <c r="B32" s="12" t="b">
        <v>0</v>
      </c>
      <c r="C32" s="11" t="s">
        <v>121</v>
      </c>
      <c r="D32" s="11" t="s">
        <v>45</v>
      </c>
      <c r="E32" s="11" t="s">
        <v>94</v>
      </c>
      <c r="F32" s="11"/>
      <c r="G32" s="11" t="s">
        <v>95</v>
      </c>
      <c r="H32" s="11"/>
      <c r="I32" s="12">
        <v>290</v>
      </c>
      <c r="J32" s="11" t="s">
        <v>95</v>
      </c>
      <c r="K32" s="11" t="s">
        <v>89</v>
      </c>
      <c r="L32" s="11"/>
      <c r="M32" s="11" t="s">
        <v>95</v>
      </c>
      <c r="N32" s="11" t="s">
        <v>89</v>
      </c>
      <c r="O32" s="11"/>
      <c r="P32" s="11"/>
      <c r="Q32" s="11" t="s">
        <v>45</v>
      </c>
      <c r="R32" s="11"/>
      <c r="S32" s="11"/>
      <c r="T32" s="11"/>
      <c r="U32" s="11" t="s">
        <v>45</v>
      </c>
      <c r="V32" s="11" t="s">
        <v>95</v>
      </c>
      <c r="W32" s="12" t="b">
        <v>0</v>
      </c>
      <c r="X32" s="11"/>
      <c r="Y32" s="11" t="s">
        <v>45</v>
      </c>
    </row>
    <row r="33" hidden="1" spans="1:25">
      <c r="A33" s="12">
        <v>30</v>
      </c>
      <c r="B33" s="12" t="b">
        <v>0</v>
      </c>
      <c r="C33" s="11" t="s">
        <v>122</v>
      </c>
      <c r="D33" s="11" t="s">
        <v>45</v>
      </c>
      <c r="E33" s="11" t="s">
        <v>94</v>
      </c>
      <c r="F33" s="11"/>
      <c r="G33" s="11" t="s">
        <v>95</v>
      </c>
      <c r="H33" s="11"/>
      <c r="I33" s="12">
        <v>290</v>
      </c>
      <c r="J33" s="11" t="s">
        <v>95</v>
      </c>
      <c r="K33" s="11" t="s">
        <v>89</v>
      </c>
      <c r="L33" s="11"/>
      <c r="M33" s="11" t="s">
        <v>95</v>
      </c>
      <c r="N33" s="11" t="s">
        <v>89</v>
      </c>
      <c r="O33" s="11"/>
      <c r="P33" s="11"/>
      <c r="Q33" s="11" t="s">
        <v>45</v>
      </c>
      <c r="R33" s="11"/>
      <c r="S33" s="11"/>
      <c r="T33" s="11"/>
      <c r="U33" s="11" t="s">
        <v>45</v>
      </c>
      <c r="V33" s="11" t="s">
        <v>95</v>
      </c>
      <c r="W33" s="12" t="b">
        <v>0</v>
      </c>
      <c r="X33" s="11"/>
      <c r="Y33" s="11" t="s">
        <v>45</v>
      </c>
    </row>
    <row r="34" hidden="1" spans="1:25">
      <c r="A34" s="12">
        <v>31</v>
      </c>
      <c r="B34" s="12" t="b">
        <v>0</v>
      </c>
      <c r="C34" s="11" t="s">
        <v>123</v>
      </c>
      <c r="D34" s="11" t="s">
        <v>45</v>
      </c>
      <c r="E34" s="11" t="s">
        <v>94</v>
      </c>
      <c r="F34" s="11"/>
      <c r="G34" s="11" t="s">
        <v>95</v>
      </c>
      <c r="H34" s="11"/>
      <c r="I34" s="12">
        <v>290</v>
      </c>
      <c r="J34" s="11" t="s">
        <v>95</v>
      </c>
      <c r="K34" s="11" t="s">
        <v>89</v>
      </c>
      <c r="L34" s="11"/>
      <c r="M34" s="11" t="s">
        <v>95</v>
      </c>
      <c r="N34" s="11" t="s">
        <v>89</v>
      </c>
      <c r="O34" s="11"/>
      <c r="P34" s="11"/>
      <c r="Q34" s="11" t="s">
        <v>45</v>
      </c>
      <c r="R34" s="11"/>
      <c r="S34" s="11"/>
      <c r="T34" s="11"/>
      <c r="U34" s="11" t="s">
        <v>45</v>
      </c>
      <c r="V34" s="11" t="s">
        <v>95</v>
      </c>
      <c r="W34" s="12" t="b">
        <v>0</v>
      </c>
      <c r="X34" s="11"/>
      <c r="Y34" s="11" t="s">
        <v>45</v>
      </c>
    </row>
    <row r="35" hidden="1" spans="1:25">
      <c r="A35" s="12">
        <v>32</v>
      </c>
      <c r="B35" s="12" t="b">
        <v>0</v>
      </c>
      <c r="C35" s="11" t="s">
        <v>124</v>
      </c>
      <c r="D35" s="11" t="s">
        <v>45</v>
      </c>
      <c r="E35" s="11" t="s">
        <v>94</v>
      </c>
      <c r="F35" s="11"/>
      <c r="G35" s="11" t="s">
        <v>95</v>
      </c>
      <c r="H35" s="11"/>
      <c r="I35" s="12">
        <v>290</v>
      </c>
      <c r="J35" s="11" t="s">
        <v>95</v>
      </c>
      <c r="K35" s="11" t="s">
        <v>89</v>
      </c>
      <c r="L35" s="11"/>
      <c r="M35" s="11" t="s">
        <v>95</v>
      </c>
      <c r="N35" s="11" t="s">
        <v>89</v>
      </c>
      <c r="O35" s="11"/>
      <c r="P35" s="11"/>
      <c r="Q35" s="11" t="s">
        <v>45</v>
      </c>
      <c r="R35" s="11"/>
      <c r="S35" s="11"/>
      <c r="T35" s="11"/>
      <c r="U35" s="11" t="s">
        <v>45</v>
      </c>
      <c r="V35" s="11" t="s">
        <v>95</v>
      </c>
      <c r="W35" s="12" t="b">
        <v>0</v>
      </c>
      <c r="X35" s="11"/>
      <c r="Y35" s="11" t="s">
        <v>45</v>
      </c>
    </row>
    <row r="36" hidden="1" spans="1:25">
      <c r="A36" s="12">
        <v>33</v>
      </c>
      <c r="B36" s="12" t="b">
        <v>0</v>
      </c>
      <c r="C36" s="11" t="s">
        <v>125</v>
      </c>
      <c r="D36" s="11" t="s">
        <v>45</v>
      </c>
      <c r="E36" s="11" t="s">
        <v>94</v>
      </c>
      <c r="F36" s="11"/>
      <c r="G36" s="11" t="s">
        <v>95</v>
      </c>
      <c r="H36" s="11"/>
      <c r="I36" s="12">
        <v>290</v>
      </c>
      <c r="J36" s="11" t="s">
        <v>95</v>
      </c>
      <c r="K36" s="11" t="s">
        <v>89</v>
      </c>
      <c r="L36" s="11"/>
      <c r="M36" s="11" t="s">
        <v>95</v>
      </c>
      <c r="N36" s="11" t="s">
        <v>89</v>
      </c>
      <c r="O36" s="11"/>
      <c r="P36" s="11"/>
      <c r="Q36" s="11" t="s">
        <v>45</v>
      </c>
      <c r="R36" s="11"/>
      <c r="S36" s="11"/>
      <c r="T36" s="11"/>
      <c r="U36" s="11" t="s">
        <v>45</v>
      </c>
      <c r="V36" s="11" t="s">
        <v>95</v>
      </c>
      <c r="W36" s="12" t="b">
        <v>0</v>
      </c>
      <c r="X36" s="11"/>
      <c r="Y36" s="11" t="s">
        <v>45</v>
      </c>
    </row>
    <row r="37" hidden="1" spans="1:25">
      <c r="A37" s="12">
        <v>34</v>
      </c>
      <c r="B37" s="12" t="b">
        <v>0</v>
      </c>
      <c r="C37" s="11" t="s">
        <v>126</v>
      </c>
      <c r="D37" s="11" t="s">
        <v>45</v>
      </c>
      <c r="E37" s="11" t="s">
        <v>94</v>
      </c>
      <c r="F37" s="11"/>
      <c r="G37" s="11" t="s">
        <v>95</v>
      </c>
      <c r="H37" s="11"/>
      <c r="I37" s="12">
        <v>290</v>
      </c>
      <c r="J37" s="11" t="s">
        <v>95</v>
      </c>
      <c r="K37" s="11" t="s">
        <v>89</v>
      </c>
      <c r="L37" s="11"/>
      <c r="M37" s="11" t="s">
        <v>95</v>
      </c>
      <c r="N37" s="11" t="s">
        <v>89</v>
      </c>
      <c r="O37" s="11"/>
      <c r="P37" s="11"/>
      <c r="Q37" s="11" t="s">
        <v>45</v>
      </c>
      <c r="R37" s="11"/>
      <c r="S37" s="11"/>
      <c r="T37" s="11"/>
      <c r="U37" s="11" t="s">
        <v>45</v>
      </c>
      <c r="V37" s="11" t="s">
        <v>95</v>
      </c>
      <c r="W37" s="12" t="b">
        <v>0</v>
      </c>
      <c r="X37" s="11"/>
      <c r="Y37" s="11" t="s">
        <v>45</v>
      </c>
    </row>
    <row r="38" hidden="1" spans="1:25">
      <c r="A38" s="12">
        <v>35</v>
      </c>
      <c r="B38" s="12" t="b">
        <v>0</v>
      </c>
      <c r="C38" s="11" t="s">
        <v>127</v>
      </c>
      <c r="D38" s="11" t="s">
        <v>45</v>
      </c>
      <c r="E38" s="11" t="s">
        <v>94</v>
      </c>
      <c r="F38" s="11"/>
      <c r="G38" s="11" t="s">
        <v>95</v>
      </c>
      <c r="H38" s="11"/>
      <c r="I38" s="12">
        <v>290</v>
      </c>
      <c r="J38" s="11" t="s">
        <v>95</v>
      </c>
      <c r="K38" s="11" t="s">
        <v>89</v>
      </c>
      <c r="L38" s="11"/>
      <c r="M38" s="11" t="s">
        <v>95</v>
      </c>
      <c r="N38" s="11" t="s">
        <v>89</v>
      </c>
      <c r="O38" s="11"/>
      <c r="P38" s="11"/>
      <c r="Q38" s="11" t="s">
        <v>45</v>
      </c>
      <c r="R38" s="11"/>
      <c r="S38" s="11"/>
      <c r="T38" s="11"/>
      <c r="U38" s="11" t="s">
        <v>45</v>
      </c>
      <c r="V38" s="11" t="s">
        <v>95</v>
      </c>
      <c r="W38" s="12" t="b">
        <v>0</v>
      </c>
      <c r="X38" s="11"/>
      <c r="Y38" s="11" t="s">
        <v>45</v>
      </c>
    </row>
    <row r="39" hidden="1" spans="1:25">
      <c r="A39" s="12">
        <v>36</v>
      </c>
      <c r="B39" s="12" t="b">
        <v>0</v>
      </c>
      <c r="C39" s="11" t="s">
        <v>128</v>
      </c>
      <c r="D39" s="11" t="s">
        <v>45</v>
      </c>
      <c r="E39" s="11" t="s">
        <v>94</v>
      </c>
      <c r="F39" s="11"/>
      <c r="G39" s="11" t="s">
        <v>95</v>
      </c>
      <c r="H39" s="11"/>
      <c r="I39" s="12">
        <v>290</v>
      </c>
      <c r="J39" s="11" t="s">
        <v>95</v>
      </c>
      <c r="K39" s="11" t="s">
        <v>89</v>
      </c>
      <c r="L39" s="11"/>
      <c r="M39" s="11" t="s">
        <v>95</v>
      </c>
      <c r="N39" s="11" t="s">
        <v>89</v>
      </c>
      <c r="O39" s="11"/>
      <c r="P39" s="11"/>
      <c r="Q39" s="11" t="s">
        <v>45</v>
      </c>
      <c r="R39" s="11"/>
      <c r="S39" s="11"/>
      <c r="T39" s="11"/>
      <c r="U39" s="11" t="s">
        <v>45</v>
      </c>
      <c r="V39" s="11" t="s">
        <v>95</v>
      </c>
      <c r="W39" s="12" t="b">
        <v>0</v>
      </c>
      <c r="X39" s="11"/>
      <c r="Y39" s="11" t="s">
        <v>45</v>
      </c>
    </row>
    <row r="40" hidden="1" spans="1:25">
      <c r="A40" s="12">
        <v>37</v>
      </c>
      <c r="B40" s="12" t="b">
        <v>0</v>
      </c>
      <c r="C40" s="11" t="s">
        <v>129</v>
      </c>
      <c r="D40" s="11" t="s">
        <v>45</v>
      </c>
      <c r="E40" s="11" t="s">
        <v>94</v>
      </c>
      <c r="F40" s="11"/>
      <c r="G40" s="11" t="s">
        <v>95</v>
      </c>
      <c r="H40" s="11"/>
      <c r="I40" s="12">
        <v>290</v>
      </c>
      <c r="J40" s="11" t="s">
        <v>95</v>
      </c>
      <c r="K40" s="11" t="s">
        <v>89</v>
      </c>
      <c r="L40" s="11"/>
      <c r="M40" s="11" t="s">
        <v>95</v>
      </c>
      <c r="N40" s="11" t="s">
        <v>89</v>
      </c>
      <c r="O40" s="11"/>
      <c r="P40" s="11"/>
      <c r="Q40" s="11" t="s">
        <v>45</v>
      </c>
      <c r="R40" s="11"/>
      <c r="S40" s="11"/>
      <c r="T40" s="11"/>
      <c r="U40" s="11" t="s">
        <v>45</v>
      </c>
      <c r="V40" s="11" t="s">
        <v>95</v>
      </c>
      <c r="W40" s="12" t="b">
        <v>0</v>
      </c>
      <c r="X40" s="11"/>
      <c r="Y40" s="11" t="s">
        <v>45</v>
      </c>
    </row>
    <row r="41" hidden="1" spans="1:25">
      <c r="A41" s="12">
        <v>38</v>
      </c>
      <c r="B41" s="12" t="b">
        <v>0</v>
      </c>
      <c r="C41" s="11" t="s">
        <v>130</v>
      </c>
      <c r="D41" s="11" t="s">
        <v>45</v>
      </c>
      <c r="E41" s="11" t="s">
        <v>94</v>
      </c>
      <c r="F41" s="11"/>
      <c r="G41" s="11" t="s">
        <v>95</v>
      </c>
      <c r="H41" s="11"/>
      <c r="I41" s="12">
        <v>290</v>
      </c>
      <c r="J41" s="11" t="s">
        <v>95</v>
      </c>
      <c r="K41" s="11" t="s">
        <v>89</v>
      </c>
      <c r="L41" s="11"/>
      <c r="M41" s="11" t="s">
        <v>95</v>
      </c>
      <c r="N41" s="11" t="s">
        <v>89</v>
      </c>
      <c r="O41" s="11"/>
      <c r="P41" s="11"/>
      <c r="Q41" s="11" t="s">
        <v>45</v>
      </c>
      <c r="R41" s="11"/>
      <c r="S41" s="11"/>
      <c r="T41" s="11"/>
      <c r="U41" s="11" t="s">
        <v>45</v>
      </c>
      <c r="V41" s="11" t="s">
        <v>95</v>
      </c>
      <c r="W41" s="12" t="b">
        <v>0</v>
      </c>
      <c r="X41" s="11"/>
      <c r="Y41" s="11" t="s">
        <v>45</v>
      </c>
    </row>
    <row r="42" hidden="1" spans="1:25">
      <c r="A42" s="12">
        <v>39</v>
      </c>
      <c r="B42" s="12" t="b">
        <v>0</v>
      </c>
      <c r="C42" s="11" t="s">
        <v>131</v>
      </c>
      <c r="D42" s="11" t="s">
        <v>45</v>
      </c>
      <c r="E42" s="11" t="s">
        <v>94</v>
      </c>
      <c r="F42" s="11"/>
      <c r="G42" s="11" t="s">
        <v>95</v>
      </c>
      <c r="H42" s="11"/>
      <c r="I42" s="12">
        <v>290</v>
      </c>
      <c r="J42" s="11" t="s">
        <v>95</v>
      </c>
      <c r="K42" s="11" t="s">
        <v>89</v>
      </c>
      <c r="L42" s="11"/>
      <c r="M42" s="11" t="s">
        <v>95</v>
      </c>
      <c r="N42" s="11" t="s">
        <v>89</v>
      </c>
      <c r="O42" s="11"/>
      <c r="P42" s="11"/>
      <c r="Q42" s="11" t="s">
        <v>45</v>
      </c>
      <c r="R42" s="11"/>
      <c r="S42" s="11"/>
      <c r="T42" s="11"/>
      <c r="U42" s="11" t="s">
        <v>45</v>
      </c>
      <c r="V42" s="11" t="s">
        <v>95</v>
      </c>
      <c r="W42" s="12" t="b">
        <v>0</v>
      </c>
      <c r="X42" s="11"/>
      <c r="Y42" s="11" t="s">
        <v>45</v>
      </c>
    </row>
    <row r="43" hidden="1" spans="1:25">
      <c r="A43" s="12">
        <v>40</v>
      </c>
      <c r="B43" s="12" t="b">
        <v>0</v>
      </c>
      <c r="C43" s="11" t="s">
        <v>132</v>
      </c>
      <c r="D43" s="11" t="s">
        <v>45</v>
      </c>
      <c r="E43" s="11" t="s">
        <v>94</v>
      </c>
      <c r="F43" s="11"/>
      <c r="G43" s="11" t="s">
        <v>95</v>
      </c>
      <c r="H43" s="11"/>
      <c r="I43" s="12">
        <v>290</v>
      </c>
      <c r="J43" s="11" t="s">
        <v>95</v>
      </c>
      <c r="K43" s="11" t="s">
        <v>89</v>
      </c>
      <c r="L43" s="11"/>
      <c r="M43" s="11" t="s">
        <v>95</v>
      </c>
      <c r="N43" s="11" t="s">
        <v>89</v>
      </c>
      <c r="O43" s="11"/>
      <c r="P43" s="11"/>
      <c r="Q43" s="11" t="s">
        <v>45</v>
      </c>
      <c r="R43" s="11"/>
      <c r="S43" s="11"/>
      <c r="T43" s="11"/>
      <c r="U43" s="11" t="s">
        <v>45</v>
      </c>
      <c r="V43" s="11" t="s">
        <v>95</v>
      </c>
      <c r="W43" s="12" t="b">
        <v>0</v>
      </c>
      <c r="X43" s="11"/>
      <c r="Y43" s="11" t="s">
        <v>45</v>
      </c>
    </row>
    <row r="44" hidden="1" spans="1:25">
      <c r="A44" s="12">
        <v>41</v>
      </c>
      <c r="B44" s="12" t="b">
        <v>0</v>
      </c>
      <c r="C44" s="11" t="s">
        <v>133</v>
      </c>
      <c r="D44" s="11" t="s">
        <v>45</v>
      </c>
      <c r="E44" s="11" t="s">
        <v>94</v>
      </c>
      <c r="F44" s="11"/>
      <c r="G44" s="11" t="s">
        <v>95</v>
      </c>
      <c r="H44" s="11"/>
      <c r="I44" s="12">
        <v>290</v>
      </c>
      <c r="J44" s="11" t="s">
        <v>95</v>
      </c>
      <c r="K44" s="11" t="s">
        <v>89</v>
      </c>
      <c r="L44" s="11"/>
      <c r="M44" s="11" t="s">
        <v>95</v>
      </c>
      <c r="N44" s="11" t="s">
        <v>89</v>
      </c>
      <c r="O44" s="11"/>
      <c r="P44" s="11"/>
      <c r="Q44" s="11" t="s">
        <v>45</v>
      </c>
      <c r="R44" s="11"/>
      <c r="S44" s="11"/>
      <c r="T44" s="11"/>
      <c r="U44" s="11" t="s">
        <v>45</v>
      </c>
      <c r="V44" s="11" t="s">
        <v>95</v>
      </c>
      <c r="W44" s="12" t="b">
        <v>0</v>
      </c>
      <c r="X44" s="11"/>
      <c r="Y44" s="11" t="s">
        <v>45</v>
      </c>
    </row>
    <row r="45" hidden="1" spans="1:25">
      <c r="A45" s="12">
        <v>42</v>
      </c>
      <c r="B45" s="12" t="b">
        <v>0</v>
      </c>
      <c r="C45" s="11" t="s">
        <v>134</v>
      </c>
      <c r="D45" s="11" t="s">
        <v>45</v>
      </c>
      <c r="E45" s="11" t="s">
        <v>94</v>
      </c>
      <c r="F45" s="11"/>
      <c r="G45" s="11" t="s">
        <v>95</v>
      </c>
      <c r="H45" s="11"/>
      <c r="I45" s="12">
        <v>290</v>
      </c>
      <c r="J45" s="11" t="s">
        <v>95</v>
      </c>
      <c r="K45" s="11" t="s">
        <v>89</v>
      </c>
      <c r="L45" s="11"/>
      <c r="M45" s="11" t="s">
        <v>95</v>
      </c>
      <c r="N45" s="11" t="s">
        <v>89</v>
      </c>
      <c r="O45" s="11"/>
      <c r="P45" s="11"/>
      <c r="Q45" s="11" t="s">
        <v>45</v>
      </c>
      <c r="R45" s="11"/>
      <c r="S45" s="11"/>
      <c r="T45" s="11"/>
      <c r="U45" s="11" t="s">
        <v>45</v>
      </c>
      <c r="V45" s="11" t="s">
        <v>95</v>
      </c>
      <c r="W45" s="12" t="b">
        <v>0</v>
      </c>
      <c r="X45" s="11"/>
      <c r="Y45" s="11" t="s">
        <v>45</v>
      </c>
    </row>
    <row r="46" hidden="1" spans="1:25">
      <c r="A46" s="12">
        <v>43</v>
      </c>
      <c r="B46" s="12" t="b">
        <v>0</v>
      </c>
      <c r="C46" s="11" t="s">
        <v>135</v>
      </c>
      <c r="D46" s="11" t="s">
        <v>45</v>
      </c>
      <c r="E46" s="11" t="s">
        <v>94</v>
      </c>
      <c r="F46" s="11"/>
      <c r="G46" s="11" t="s">
        <v>95</v>
      </c>
      <c r="H46" s="11"/>
      <c r="I46" s="12">
        <v>290</v>
      </c>
      <c r="J46" s="11" t="s">
        <v>95</v>
      </c>
      <c r="K46" s="11" t="s">
        <v>89</v>
      </c>
      <c r="L46" s="11"/>
      <c r="M46" s="11" t="s">
        <v>95</v>
      </c>
      <c r="N46" s="11" t="s">
        <v>89</v>
      </c>
      <c r="O46" s="11"/>
      <c r="P46" s="11"/>
      <c r="Q46" s="11" t="s">
        <v>45</v>
      </c>
      <c r="R46" s="11"/>
      <c r="S46" s="11"/>
      <c r="T46" s="11"/>
      <c r="U46" s="11" t="s">
        <v>45</v>
      </c>
      <c r="V46" s="11" t="s">
        <v>95</v>
      </c>
      <c r="W46" s="12" t="b">
        <v>0</v>
      </c>
      <c r="X46" s="11"/>
      <c r="Y46" s="11" t="s">
        <v>45</v>
      </c>
    </row>
    <row r="47" hidden="1" spans="1:25">
      <c r="A47" s="12">
        <v>44</v>
      </c>
      <c r="B47" s="12" t="b">
        <v>0</v>
      </c>
      <c r="C47" s="11" t="s">
        <v>136</v>
      </c>
      <c r="D47" s="11" t="s">
        <v>45</v>
      </c>
      <c r="E47" s="11" t="s">
        <v>94</v>
      </c>
      <c r="F47" s="11"/>
      <c r="G47" s="11" t="s">
        <v>95</v>
      </c>
      <c r="H47" s="11"/>
      <c r="I47" s="12">
        <v>290</v>
      </c>
      <c r="J47" s="11" t="s">
        <v>95</v>
      </c>
      <c r="K47" s="11" t="s">
        <v>89</v>
      </c>
      <c r="L47" s="11"/>
      <c r="M47" s="11" t="s">
        <v>95</v>
      </c>
      <c r="N47" s="11" t="s">
        <v>89</v>
      </c>
      <c r="O47" s="11"/>
      <c r="P47" s="11"/>
      <c r="Q47" s="11" t="s">
        <v>45</v>
      </c>
      <c r="R47" s="11"/>
      <c r="S47" s="11"/>
      <c r="T47" s="11"/>
      <c r="U47" s="11" t="s">
        <v>45</v>
      </c>
      <c r="V47" s="11" t="s">
        <v>95</v>
      </c>
      <c r="W47" s="12" t="b">
        <v>0</v>
      </c>
      <c r="X47" s="11"/>
      <c r="Y47" s="11" t="s">
        <v>45</v>
      </c>
    </row>
    <row r="48" hidden="1" spans="1:25">
      <c r="A48" s="12">
        <v>45</v>
      </c>
      <c r="B48" s="12" t="b">
        <v>0</v>
      </c>
      <c r="C48" s="11" t="s">
        <v>137</v>
      </c>
      <c r="D48" s="11" t="s">
        <v>45</v>
      </c>
      <c r="E48" s="11" t="s">
        <v>94</v>
      </c>
      <c r="F48" s="11"/>
      <c r="G48" s="11" t="s">
        <v>95</v>
      </c>
      <c r="H48" s="11"/>
      <c r="I48" s="12">
        <v>290</v>
      </c>
      <c r="J48" s="11" t="s">
        <v>95</v>
      </c>
      <c r="K48" s="11" t="s">
        <v>89</v>
      </c>
      <c r="L48" s="11"/>
      <c r="M48" s="11" t="s">
        <v>95</v>
      </c>
      <c r="N48" s="11" t="s">
        <v>89</v>
      </c>
      <c r="O48" s="11"/>
      <c r="P48" s="11"/>
      <c r="Q48" s="11" t="s">
        <v>45</v>
      </c>
      <c r="R48" s="11"/>
      <c r="S48" s="11"/>
      <c r="T48" s="11"/>
      <c r="U48" s="11" t="s">
        <v>45</v>
      </c>
      <c r="V48" s="11" t="s">
        <v>95</v>
      </c>
      <c r="W48" s="12" t="b">
        <v>0</v>
      </c>
      <c r="X48" s="11"/>
      <c r="Y48" s="11" t="s">
        <v>45</v>
      </c>
    </row>
    <row r="49" hidden="1" spans="1:25">
      <c r="A49" s="12">
        <v>46</v>
      </c>
      <c r="B49" s="12" t="b">
        <v>0</v>
      </c>
      <c r="C49" s="11" t="s">
        <v>138</v>
      </c>
      <c r="D49" s="11" t="s">
        <v>45</v>
      </c>
      <c r="E49" s="11" t="s">
        <v>94</v>
      </c>
      <c r="F49" s="11"/>
      <c r="G49" s="11" t="s">
        <v>95</v>
      </c>
      <c r="H49" s="11"/>
      <c r="I49" s="12">
        <v>290</v>
      </c>
      <c r="J49" s="11" t="s">
        <v>95</v>
      </c>
      <c r="K49" s="11" t="s">
        <v>89</v>
      </c>
      <c r="L49" s="11"/>
      <c r="M49" s="11" t="s">
        <v>95</v>
      </c>
      <c r="N49" s="11" t="s">
        <v>89</v>
      </c>
      <c r="O49" s="11"/>
      <c r="P49" s="11"/>
      <c r="Q49" s="11" t="s">
        <v>45</v>
      </c>
      <c r="R49" s="11"/>
      <c r="S49" s="11"/>
      <c r="T49" s="11"/>
      <c r="U49" s="11" t="s">
        <v>45</v>
      </c>
      <c r="V49" s="11" t="s">
        <v>95</v>
      </c>
      <c r="W49" s="12" t="b">
        <v>0</v>
      </c>
      <c r="X49" s="11"/>
      <c r="Y49" s="11" t="s">
        <v>45</v>
      </c>
    </row>
    <row r="50" hidden="1" spans="1:25">
      <c r="A50" s="12">
        <v>47</v>
      </c>
      <c r="B50" s="12" t="b">
        <v>0</v>
      </c>
      <c r="C50" s="11" t="s">
        <v>139</v>
      </c>
      <c r="D50" s="11" t="s">
        <v>45</v>
      </c>
      <c r="E50" s="11" t="s">
        <v>94</v>
      </c>
      <c r="F50" s="11"/>
      <c r="G50" s="11" t="s">
        <v>95</v>
      </c>
      <c r="H50" s="11"/>
      <c r="I50" s="12">
        <v>290</v>
      </c>
      <c r="J50" s="11" t="s">
        <v>95</v>
      </c>
      <c r="K50" s="11" t="s">
        <v>89</v>
      </c>
      <c r="L50" s="11"/>
      <c r="M50" s="11" t="s">
        <v>95</v>
      </c>
      <c r="N50" s="11" t="s">
        <v>89</v>
      </c>
      <c r="O50" s="11"/>
      <c r="P50" s="11"/>
      <c r="Q50" s="11" t="s">
        <v>45</v>
      </c>
      <c r="R50" s="11"/>
      <c r="S50" s="11"/>
      <c r="T50" s="11"/>
      <c r="U50" s="11" t="s">
        <v>45</v>
      </c>
      <c r="V50" s="11" t="s">
        <v>95</v>
      </c>
      <c r="W50" s="12" t="b">
        <v>0</v>
      </c>
      <c r="X50" s="11"/>
      <c r="Y50" s="11" t="s">
        <v>45</v>
      </c>
    </row>
    <row r="51" hidden="1" spans="1:25">
      <c r="A51" s="12">
        <v>48</v>
      </c>
      <c r="B51" s="12" t="b">
        <v>0</v>
      </c>
      <c r="C51" s="11" t="s">
        <v>140</v>
      </c>
      <c r="D51" s="11" t="s">
        <v>45</v>
      </c>
      <c r="E51" s="11" t="s">
        <v>94</v>
      </c>
      <c r="F51" s="11"/>
      <c r="G51" s="11" t="s">
        <v>95</v>
      </c>
      <c r="H51" s="11"/>
      <c r="I51" s="12">
        <v>290</v>
      </c>
      <c r="J51" s="11" t="s">
        <v>95</v>
      </c>
      <c r="K51" s="11" t="s">
        <v>89</v>
      </c>
      <c r="L51" s="11"/>
      <c r="M51" s="11" t="s">
        <v>95</v>
      </c>
      <c r="N51" s="11" t="s">
        <v>89</v>
      </c>
      <c r="O51" s="11"/>
      <c r="P51" s="11"/>
      <c r="Q51" s="11" t="s">
        <v>45</v>
      </c>
      <c r="R51" s="11"/>
      <c r="S51" s="11"/>
      <c r="T51" s="11"/>
      <c r="U51" s="11" t="s">
        <v>45</v>
      </c>
      <c r="V51" s="11" t="s">
        <v>95</v>
      </c>
      <c r="W51" s="12" t="b">
        <v>0</v>
      </c>
      <c r="X51" s="11"/>
      <c r="Y51" s="11" t="s">
        <v>45</v>
      </c>
    </row>
    <row r="52" hidden="1" spans="1:25">
      <c r="A52" s="12">
        <v>49</v>
      </c>
      <c r="B52" s="12" t="b">
        <v>0</v>
      </c>
      <c r="C52" s="11" t="s">
        <v>141</v>
      </c>
      <c r="D52" s="11" t="s">
        <v>45</v>
      </c>
      <c r="E52" s="11" t="s">
        <v>94</v>
      </c>
      <c r="F52" s="11"/>
      <c r="G52" s="11" t="s">
        <v>95</v>
      </c>
      <c r="H52" s="11"/>
      <c r="I52" s="12">
        <v>290</v>
      </c>
      <c r="J52" s="11" t="s">
        <v>95</v>
      </c>
      <c r="K52" s="11" t="s">
        <v>89</v>
      </c>
      <c r="L52" s="11"/>
      <c r="M52" s="11" t="s">
        <v>95</v>
      </c>
      <c r="N52" s="11" t="s">
        <v>89</v>
      </c>
      <c r="O52" s="11"/>
      <c r="P52" s="11"/>
      <c r="Q52" s="11" t="s">
        <v>45</v>
      </c>
      <c r="R52" s="11"/>
      <c r="S52" s="11"/>
      <c r="T52" s="11"/>
      <c r="U52" s="11" t="s">
        <v>45</v>
      </c>
      <c r="V52" s="11" t="s">
        <v>95</v>
      </c>
      <c r="W52" s="12" t="b">
        <v>0</v>
      </c>
      <c r="X52" s="11"/>
      <c r="Y52" s="11" t="s">
        <v>45</v>
      </c>
    </row>
    <row r="53" hidden="1" spans="1:25">
      <c r="A53" s="12">
        <v>50</v>
      </c>
      <c r="B53" s="12" t="b">
        <v>0</v>
      </c>
      <c r="C53" s="11" t="s">
        <v>142</v>
      </c>
      <c r="D53" s="11" t="s">
        <v>45</v>
      </c>
      <c r="E53" s="11" t="s">
        <v>94</v>
      </c>
      <c r="F53" s="11"/>
      <c r="G53" s="11" t="s">
        <v>95</v>
      </c>
      <c r="H53" s="11"/>
      <c r="I53" s="12">
        <v>290</v>
      </c>
      <c r="J53" s="11" t="s">
        <v>95</v>
      </c>
      <c r="K53" s="11" t="s">
        <v>89</v>
      </c>
      <c r="L53" s="11"/>
      <c r="M53" s="11" t="s">
        <v>95</v>
      </c>
      <c r="N53" s="11" t="s">
        <v>89</v>
      </c>
      <c r="O53" s="11"/>
      <c r="P53" s="11"/>
      <c r="Q53" s="11" t="s">
        <v>45</v>
      </c>
      <c r="R53" s="11"/>
      <c r="S53" s="11"/>
      <c r="T53" s="11"/>
      <c r="U53" s="11" t="s">
        <v>45</v>
      </c>
      <c r="V53" s="11" t="s">
        <v>95</v>
      </c>
      <c r="W53" s="12" t="b">
        <v>0</v>
      </c>
      <c r="X53" s="11"/>
      <c r="Y53" s="11" t="s">
        <v>45</v>
      </c>
    </row>
    <row r="54" hidden="1" spans="1:25">
      <c r="A54" s="12">
        <v>51</v>
      </c>
      <c r="B54" s="12" t="b">
        <v>0</v>
      </c>
      <c r="C54" s="11" t="s">
        <v>143</v>
      </c>
      <c r="D54" s="11" t="s">
        <v>45</v>
      </c>
      <c r="E54" s="11" t="s">
        <v>94</v>
      </c>
      <c r="F54" s="11"/>
      <c r="G54" s="11" t="s">
        <v>95</v>
      </c>
      <c r="H54" s="11"/>
      <c r="I54" s="12">
        <v>290</v>
      </c>
      <c r="J54" s="11" t="s">
        <v>95</v>
      </c>
      <c r="K54" s="11" t="s">
        <v>89</v>
      </c>
      <c r="L54" s="11"/>
      <c r="M54" s="11" t="s">
        <v>95</v>
      </c>
      <c r="N54" s="11" t="s">
        <v>89</v>
      </c>
      <c r="O54" s="11"/>
      <c r="P54" s="11"/>
      <c r="Q54" s="11" t="s">
        <v>45</v>
      </c>
      <c r="R54" s="11"/>
      <c r="S54" s="11"/>
      <c r="T54" s="11"/>
      <c r="U54" s="11" t="s">
        <v>45</v>
      </c>
      <c r="V54" s="11" t="s">
        <v>95</v>
      </c>
      <c r="W54" s="12" t="b">
        <v>0</v>
      </c>
      <c r="X54" s="11"/>
      <c r="Y54" s="11" t="s">
        <v>45</v>
      </c>
    </row>
    <row r="55" hidden="1" spans="1:25">
      <c r="A55" s="12">
        <v>52</v>
      </c>
      <c r="B55" s="12" t="b">
        <v>0</v>
      </c>
      <c r="C55" s="11" t="s">
        <v>144</v>
      </c>
      <c r="D55" s="11" t="s">
        <v>45</v>
      </c>
      <c r="E55" s="11" t="s">
        <v>94</v>
      </c>
      <c r="F55" s="11"/>
      <c r="G55" s="11" t="s">
        <v>95</v>
      </c>
      <c r="H55" s="11"/>
      <c r="I55" s="12">
        <v>290</v>
      </c>
      <c r="J55" s="11" t="s">
        <v>95</v>
      </c>
      <c r="K55" s="11" t="s">
        <v>89</v>
      </c>
      <c r="L55" s="11"/>
      <c r="M55" s="11" t="s">
        <v>95</v>
      </c>
      <c r="N55" s="11" t="s">
        <v>89</v>
      </c>
      <c r="O55" s="11"/>
      <c r="P55" s="11"/>
      <c r="Q55" s="11" t="s">
        <v>45</v>
      </c>
      <c r="R55" s="11"/>
      <c r="S55" s="11"/>
      <c r="T55" s="11"/>
      <c r="U55" s="11" t="s">
        <v>45</v>
      </c>
      <c r="V55" s="11" t="s">
        <v>95</v>
      </c>
      <c r="W55" s="12" t="b">
        <v>0</v>
      </c>
      <c r="X55" s="11"/>
      <c r="Y55" s="11" t="s">
        <v>45</v>
      </c>
    </row>
    <row r="56" hidden="1" spans="1:25">
      <c r="A56" s="12">
        <v>53</v>
      </c>
      <c r="B56" s="12" t="b">
        <v>0</v>
      </c>
      <c r="C56" s="11" t="s">
        <v>145</v>
      </c>
      <c r="D56" s="11" t="s">
        <v>45</v>
      </c>
      <c r="E56" s="11" t="s">
        <v>94</v>
      </c>
      <c r="F56" s="11"/>
      <c r="G56" s="11" t="s">
        <v>95</v>
      </c>
      <c r="H56" s="11"/>
      <c r="I56" s="12">
        <v>290</v>
      </c>
      <c r="J56" s="11" t="s">
        <v>95</v>
      </c>
      <c r="K56" s="11" t="s">
        <v>89</v>
      </c>
      <c r="L56" s="11"/>
      <c r="M56" s="11" t="s">
        <v>95</v>
      </c>
      <c r="N56" s="11" t="s">
        <v>89</v>
      </c>
      <c r="O56" s="11"/>
      <c r="P56" s="11"/>
      <c r="Q56" s="11" t="s">
        <v>45</v>
      </c>
      <c r="R56" s="11"/>
      <c r="S56" s="11"/>
      <c r="T56" s="11"/>
      <c r="U56" s="11" t="s">
        <v>45</v>
      </c>
      <c r="V56" s="11" t="s">
        <v>95</v>
      </c>
      <c r="W56" s="12" t="b">
        <v>0</v>
      </c>
      <c r="X56" s="11"/>
      <c r="Y56" s="11" t="s">
        <v>45</v>
      </c>
    </row>
    <row r="57" hidden="1" spans="1:25">
      <c r="A57" s="12">
        <v>54</v>
      </c>
      <c r="B57" s="12" t="b">
        <v>0</v>
      </c>
      <c r="C57" s="11" t="s">
        <v>146</v>
      </c>
      <c r="D57" s="11" t="s">
        <v>45</v>
      </c>
      <c r="E57" s="11" t="s">
        <v>94</v>
      </c>
      <c r="F57" s="11"/>
      <c r="G57" s="11" t="s">
        <v>95</v>
      </c>
      <c r="H57" s="11"/>
      <c r="I57" s="12">
        <v>290</v>
      </c>
      <c r="J57" s="11" t="s">
        <v>95</v>
      </c>
      <c r="K57" s="11" t="s">
        <v>89</v>
      </c>
      <c r="L57" s="11"/>
      <c r="M57" s="11" t="s">
        <v>95</v>
      </c>
      <c r="N57" s="11" t="s">
        <v>89</v>
      </c>
      <c r="O57" s="11"/>
      <c r="P57" s="11"/>
      <c r="Q57" s="11" t="s">
        <v>45</v>
      </c>
      <c r="R57" s="11"/>
      <c r="S57" s="11"/>
      <c r="T57" s="11"/>
      <c r="U57" s="11" t="s">
        <v>45</v>
      </c>
      <c r="V57" s="11" t="s">
        <v>95</v>
      </c>
      <c r="W57" s="12" t="b">
        <v>0</v>
      </c>
      <c r="X57" s="11"/>
      <c r="Y57" s="11" t="s">
        <v>45</v>
      </c>
    </row>
    <row r="58" hidden="1" spans="1:25">
      <c r="A58" s="12">
        <v>55</v>
      </c>
      <c r="B58" s="12" t="b">
        <v>0</v>
      </c>
      <c r="C58" s="11" t="s">
        <v>147</v>
      </c>
      <c r="D58" s="11" t="s">
        <v>45</v>
      </c>
      <c r="E58" s="11" t="s">
        <v>94</v>
      </c>
      <c r="F58" s="11"/>
      <c r="G58" s="11" t="s">
        <v>95</v>
      </c>
      <c r="H58" s="11"/>
      <c r="I58" s="12">
        <v>290</v>
      </c>
      <c r="J58" s="11" t="s">
        <v>95</v>
      </c>
      <c r="K58" s="11" t="s">
        <v>89</v>
      </c>
      <c r="L58" s="11"/>
      <c r="M58" s="11" t="s">
        <v>95</v>
      </c>
      <c r="N58" s="11" t="s">
        <v>89</v>
      </c>
      <c r="O58" s="11"/>
      <c r="P58" s="11"/>
      <c r="Q58" s="11" t="s">
        <v>45</v>
      </c>
      <c r="R58" s="11"/>
      <c r="S58" s="11"/>
      <c r="T58" s="11"/>
      <c r="U58" s="11" t="s">
        <v>45</v>
      </c>
      <c r="V58" s="11" t="s">
        <v>95</v>
      </c>
      <c r="W58" s="12" t="b">
        <v>0</v>
      </c>
      <c r="X58" s="11"/>
      <c r="Y58" s="11" t="s">
        <v>45</v>
      </c>
    </row>
    <row r="59" hidden="1" spans="1:25">
      <c r="A59" s="12">
        <v>56</v>
      </c>
      <c r="B59" s="12" t="b">
        <v>0</v>
      </c>
      <c r="C59" s="11" t="s">
        <v>148</v>
      </c>
      <c r="D59" s="11" t="s">
        <v>45</v>
      </c>
      <c r="E59" s="11" t="s">
        <v>94</v>
      </c>
      <c r="F59" s="11"/>
      <c r="G59" s="11" t="s">
        <v>95</v>
      </c>
      <c r="H59" s="11"/>
      <c r="I59" s="12">
        <v>290</v>
      </c>
      <c r="J59" s="11" t="s">
        <v>95</v>
      </c>
      <c r="K59" s="11" t="s">
        <v>89</v>
      </c>
      <c r="L59" s="11"/>
      <c r="M59" s="11" t="s">
        <v>95</v>
      </c>
      <c r="N59" s="11" t="s">
        <v>89</v>
      </c>
      <c r="O59" s="11"/>
      <c r="P59" s="11"/>
      <c r="Q59" s="11" t="s">
        <v>45</v>
      </c>
      <c r="R59" s="11"/>
      <c r="S59" s="11"/>
      <c r="T59" s="11"/>
      <c r="U59" s="11" t="s">
        <v>45</v>
      </c>
      <c r="V59" s="11" t="s">
        <v>95</v>
      </c>
      <c r="W59" s="12" t="b">
        <v>0</v>
      </c>
      <c r="X59" s="11"/>
      <c r="Y59" s="11" t="s">
        <v>45</v>
      </c>
    </row>
    <row r="60" hidden="1" spans="1:25">
      <c r="A60" s="12">
        <v>57</v>
      </c>
      <c r="B60" s="12" t="b">
        <v>0</v>
      </c>
      <c r="C60" s="11" t="s">
        <v>149</v>
      </c>
      <c r="D60" s="11" t="s">
        <v>45</v>
      </c>
      <c r="E60" s="11" t="s">
        <v>94</v>
      </c>
      <c r="F60" s="11"/>
      <c r="G60" s="11" t="s">
        <v>95</v>
      </c>
      <c r="H60" s="11"/>
      <c r="I60" s="12">
        <v>290</v>
      </c>
      <c r="J60" s="11" t="s">
        <v>95</v>
      </c>
      <c r="K60" s="11" t="s">
        <v>89</v>
      </c>
      <c r="L60" s="11"/>
      <c r="M60" s="11" t="s">
        <v>95</v>
      </c>
      <c r="N60" s="11" t="s">
        <v>89</v>
      </c>
      <c r="O60" s="11"/>
      <c r="P60" s="11"/>
      <c r="Q60" s="11" t="s">
        <v>45</v>
      </c>
      <c r="R60" s="11"/>
      <c r="S60" s="11"/>
      <c r="T60" s="11"/>
      <c r="U60" s="11" t="s">
        <v>45</v>
      </c>
      <c r="V60" s="11" t="s">
        <v>95</v>
      </c>
      <c r="W60" s="12" t="b">
        <v>0</v>
      </c>
      <c r="X60" s="11"/>
      <c r="Y60" s="11" t="s">
        <v>45</v>
      </c>
    </row>
    <row r="61" hidden="1" spans="1:25">
      <c r="A61" s="12">
        <v>58</v>
      </c>
      <c r="B61" s="12" t="b">
        <v>0</v>
      </c>
      <c r="C61" s="11" t="s">
        <v>150</v>
      </c>
      <c r="D61" s="11" t="s">
        <v>45</v>
      </c>
      <c r="E61" s="11" t="s">
        <v>94</v>
      </c>
      <c r="F61" s="11"/>
      <c r="G61" s="11" t="s">
        <v>95</v>
      </c>
      <c r="H61" s="11"/>
      <c r="I61" s="12">
        <v>290</v>
      </c>
      <c r="J61" s="11" t="s">
        <v>95</v>
      </c>
      <c r="K61" s="11" t="s">
        <v>89</v>
      </c>
      <c r="L61" s="11"/>
      <c r="M61" s="11" t="s">
        <v>95</v>
      </c>
      <c r="N61" s="11" t="s">
        <v>89</v>
      </c>
      <c r="O61" s="11"/>
      <c r="P61" s="11"/>
      <c r="Q61" s="11" t="s">
        <v>45</v>
      </c>
      <c r="R61" s="11"/>
      <c r="S61" s="11"/>
      <c r="T61" s="11"/>
      <c r="U61" s="11" t="s">
        <v>45</v>
      </c>
      <c r="V61" s="11" t="s">
        <v>95</v>
      </c>
      <c r="W61" s="12" t="b">
        <v>0</v>
      </c>
      <c r="X61" s="11"/>
      <c r="Y61" s="11" t="s">
        <v>45</v>
      </c>
    </row>
    <row r="62" hidden="1" spans="1:25">
      <c r="A62" s="12">
        <v>59</v>
      </c>
      <c r="B62" s="12" t="b">
        <v>0</v>
      </c>
      <c r="C62" s="11" t="s">
        <v>151</v>
      </c>
      <c r="D62" s="11" t="s">
        <v>45</v>
      </c>
      <c r="E62" s="11" t="s">
        <v>94</v>
      </c>
      <c r="F62" s="11"/>
      <c r="G62" s="11" t="s">
        <v>95</v>
      </c>
      <c r="H62" s="11"/>
      <c r="I62" s="12">
        <v>290</v>
      </c>
      <c r="J62" s="11" t="s">
        <v>95</v>
      </c>
      <c r="K62" s="11" t="s">
        <v>89</v>
      </c>
      <c r="L62" s="11"/>
      <c r="M62" s="11" t="s">
        <v>95</v>
      </c>
      <c r="N62" s="11" t="s">
        <v>89</v>
      </c>
      <c r="O62" s="11"/>
      <c r="P62" s="11"/>
      <c r="Q62" s="11" t="s">
        <v>45</v>
      </c>
      <c r="R62" s="11"/>
      <c r="S62" s="11"/>
      <c r="T62" s="11"/>
      <c r="U62" s="11" t="s">
        <v>45</v>
      </c>
      <c r="V62" s="11" t="s">
        <v>95</v>
      </c>
      <c r="W62" s="12" t="b">
        <v>0</v>
      </c>
      <c r="X62" s="11"/>
      <c r="Y62" s="11" t="s">
        <v>45</v>
      </c>
    </row>
    <row r="63" hidden="1" spans="1:25">
      <c r="A63" s="12">
        <v>60</v>
      </c>
      <c r="B63" s="12" t="b">
        <v>0</v>
      </c>
      <c r="C63" s="11" t="s">
        <v>152</v>
      </c>
      <c r="D63" s="11" t="s">
        <v>45</v>
      </c>
      <c r="E63" s="11" t="s">
        <v>94</v>
      </c>
      <c r="F63" s="11"/>
      <c r="G63" s="11" t="s">
        <v>95</v>
      </c>
      <c r="H63" s="11"/>
      <c r="I63" s="12">
        <v>290</v>
      </c>
      <c r="J63" s="11" t="s">
        <v>95</v>
      </c>
      <c r="K63" s="11" t="s">
        <v>89</v>
      </c>
      <c r="L63" s="11"/>
      <c r="M63" s="11" t="s">
        <v>95</v>
      </c>
      <c r="N63" s="11" t="s">
        <v>89</v>
      </c>
      <c r="O63" s="11"/>
      <c r="P63" s="11"/>
      <c r="Q63" s="11" t="s">
        <v>45</v>
      </c>
      <c r="R63" s="11"/>
      <c r="S63" s="11"/>
      <c r="T63" s="11"/>
      <c r="U63" s="11" t="s">
        <v>45</v>
      </c>
      <c r="V63" s="11" t="s">
        <v>95</v>
      </c>
      <c r="W63" s="12" t="b">
        <v>0</v>
      </c>
      <c r="X63" s="11"/>
      <c r="Y63" s="11" t="s">
        <v>45</v>
      </c>
    </row>
    <row r="64" hidden="1" spans="1:25">
      <c r="A64" s="12">
        <v>61</v>
      </c>
      <c r="B64" s="12" t="b">
        <v>0</v>
      </c>
      <c r="C64" s="11" t="s">
        <v>153</v>
      </c>
      <c r="D64" s="11" t="s">
        <v>45</v>
      </c>
      <c r="E64" s="11" t="s">
        <v>94</v>
      </c>
      <c r="F64" s="11"/>
      <c r="G64" s="11" t="s">
        <v>95</v>
      </c>
      <c r="H64" s="11"/>
      <c r="I64" s="12">
        <v>290</v>
      </c>
      <c r="J64" s="11" t="s">
        <v>95</v>
      </c>
      <c r="K64" s="11" t="s">
        <v>89</v>
      </c>
      <c r="L64" s="11"/>
      <c r="M64" s="11" t="s">
        <v>95</v>
      </c>
      <c r="N64" s="11" t="s">
        <v>89</v>
      </c>
      <c r="O64" s="11"/>
      <c r="P64" s="11"/>
      <c r="Q64" s="11" t="s">
        <v>45</v>
      </c>
      <c r="R64" s="11"/>
      <c r="S64" s="11"/>
      <c r="T64" s="11"/>
      <c r="U64" s="11" t="s">
        <v>45</v>
      </c>
      <c r="V64" s="11" t="s">
        <v>95</v>
      </c>
      <c r="W64" s="12" t="b">
        <v>0</v>
      </c>
      <c r="X64" s="11"/>
      <c r="Y64" s="11" t="s">
        <v>45</v>
      </c>
    </row>
    <row r="65" hidden="1" spans="1:25">
      <c r="A65" s="12">
        <v>62</v>
      </c>
      <c r="B65" s="12" t="b">
        <v>0</v>
      </c>
      <c r="C65" s="11" t="s">
        <v>154</v>
      </c>
      <c r="D65" s="11" t="s">
        <v>45</v>
      </c>
      <c r="E65" s="11" t="s">
        <v>94</v>
      </c>
      <c r="F65" s="11"/>
      <c r="G65" s="11" t="s">
        <v>95</v>
      </c>
      <c r="H65" s="11"/>
      <c r="I65" s="12">
        <v>290</v>
      </c>
      <c r="J65" s="11" t="s">
        <v>95</v>
      </c>
      <c r="K65" s="11" t="s">
        <v>89</v>
      </c>
      <c r="L65" s="11"/>
      <c r="M65" s="11" t="s">
        <v>95</v>
      </c>
      <c r="N65" s="11" t="s">
        <v>89</v>
      </c>
      <c r="O65" s="11"/>
      <c r="P65" s="11"/>
      <c r="Q65" s="11" t="s">
        <v>45</v>
      </c>
      <c r="R65" s="11"/>
      <c r="S65" s="11"/>
      <c r="T65" s="11"/>
      <c r="U65" s="11" t="s">
        <v>45</v>
      </c>
      <c r="V65" s="11" t="s">
        <v>95</v>
      </c>
      <c r="W65" s="12" t="b">
        <v>0</v>
      </c>
      <c r="X65" s="11"/>
      <c r="Y65" s="11" t="s">
        <v>45</v>
      </c>
    </row>
    <row r="66" hidden="1" spans="1:25">
      <c r="A66" s="12">
        <v>63</v>
      </c>
      <c r="B66" s="12" t="b">
        <v>0</v>
      </c>
      <c r="C66" s="11" t="s">
        <v>155</v>
      </c>
      <c r="D66" s="11" t="s">
        <v>45</v>
      </c>
      <c r="E66" s="11" t="s">
        <v>94</v>
      </c>
      <c r="F66" s="11"/>
      <c r="G66" s="11" t="s">
        <v>95</v>
      </c>
      <c r="H66" s="11"/>
      <c r="I66" s="12">
        <v>290</v>
      </c>
      <c r="J66" s="11" t="s">
        <v>95</v>
      </c>
      <c r="K66" s="11" t="s">
        <v>89</v>
      </c>
      <c r="L66" s="11"/>
      <c r="M66" s="11" t="s">
        <v>95</v>
      </c>
      <c r="N66" s="11" t="s">
        <v>89</v>
      </c>
      <c r="O66" s="11"/>
      <c r="P66" s="11"/>
      <c r="Q66" s="11" t="s">
        <v>45</v>
      </c>
      <c r="R66" s="11"/>
      <c r="S66" s="11"/>
      <c r="T66" s="11"/>
      <c r="U66" s="11" t="s">
        <v>45</v>
      </c>
      <c r="V66" s="11" t="s">
        <v>95</v>
      </c>
      <c r="W66" s="12" t="b">
        <v>0</v>
      </c>
      <c r="X66" s="11"/>
      <c r="Y66" s="11" t="s">
        <v>45</v>
      </c>
    </row>
    <row r="67" hidden="1" spans="1:25">
      <c r="A67" s="12">
        <v>64</v>
      </c>
      <c r="B67" s="12" t="b">
        <v>0</v>
      </c>
      <c r="C67" s="11" t="s">
        <v>156</v>
      </c>
      <c r="D67" s="11" t="s">
        <v>45</v>
      </c>
      <c r="E67" s="11" t="s">
        <v>94</v>
      </c>
      <c r="F67" s="11"/>
      <c r="G67" s="11" t="s">
        <v>95</v>
      </c>
      <c r="H67" s="11"/>
      <c r="I67" s="12">
        <v>290</v>
      </c>
      <c r="J67" s="11" t="s">
        <v>95</v>
      </c>
      <c r="K67" s="11" t="s">
        <v>89</v>
      </c>
      <c r="L67" s="11"/>
      <c r="M67" s="11" t="s">
        <v>95</v>
      </c>
      <c r="N67" s="11" t="s">
        <v>89</v>
      </c>
      <c r="O67" s="11"/>
      <c r="P67" s="11"/>
      <c r="Q67" s="11" t="s">
        <v>45</v>
      </c>
      <c r="R67" s="11"/>
      <c r="S67" s="11"/>
      <c r="T67" s="11"/>
      <c r="U67" s="11" t="s">
        <v>45</v>
      </c>
      <c r="V67" s="11" t="s">
        <v>95</v>
      </c>
      <c r="W67" s="12" t="b">
        <v>0</v>
      </c>
      <c r="X67" s="11"/>
      <c r="Y67" s="11" t="s">
        <v>45</v>
      </c>
    </row>
    <row r="68" hidden="1" spans="1:25">
      <c r="A68" s="12">
        <v>65</v>
      </c>
      <c r="B68" s="12" t="b">
        <v>0</v>
      </c>
      <c r="C68" s="11" t="s">
        <v>157</v>
      </c>
      <c r="D68" s="11" t="s">
        <v>45</v>
      </c>
      <c r="E68" s="11" t="s">
        <v>94</v>
      </c>
      <c r="F68" s="11"/>
      <c r="G68" s="11" t="s">
        <v>95</v>
      </c>
      <c r="H68" s="11"/>
      <c r="I68" s="12">
        <v>290</v>
      </c>
      <c r="J68" s="11" t="s">
        <v>95</v>
      </c>
      <c r="K68" s="11" t="s">
        <v>89</v>
      </c>
      <c r="L68" s="11"/>
      <c r="M68" s="11" t="s">
        <v>95</v>
      </c>
      <c r="N68" s="11" t="s">
        <v>89</v>
      </c>
      <c r="O68" s="11"/>
      <c r="P68" s="11"/>
      <c r="Q68" s="11" t="s">
        <v>45</v>
      </c>
      <c r="R68" s="11"/>
      <c r="S68" s="11"/>
      <c r="T68" s="11"/>
      <c r="U68" s="11" t="s">
        <v>45</v>
      </c>
      <c r="V68" s="11" t="s">
        <v>95</v>
      </c>
      <c r="W68" s="12" t="b">
        <v>0</v>
      </c>
      <c r="X68" s="11"/>
      <c r="Y68" s="11" t="s">
        <v>45</v>
      </c>
    </row>
    <row r="69" hidden="1" spans="1:25">
      <c r="A69" s="12">
        <v>66</v>
      </c>
      <c r="B69" s="12" t="b">
        <v>0</v>
      </c>
      <c r="C69" s="11" t="s">
        <v>158</v>
      </c>
      <c r="D69" s="11" t="s">
        <v>45</v>
      </c>
      <c r="E69" s="11" t="s">
        <v>94</v>
      </c>
      <c r="F69" s="11"/>
      <c r="G69" s="11" t="s">
        <v>95</v>
      </c>
      <c r="H69" s="11"/>
      <c r="I69" s="12">
        <v>290</v>
      </c>
      <c r="J69" s="11" t="s">
        <v>95</v>
      </c>
      <c r="K69" s="11" t="s">
        <v>89</v>
      </c>
      <c r="L69" s="11"/>
      <c r="M69" s="11" t="s">
        <v>95</v>
      </c>
      <c r="N69" s="11" t="s">
        <v>89</v>
      </c>
      <c r="O69" s="11"/>
      <c r="P69" s="11"/>
      <c r="Q69" s="11" t="s">
        <v>45</v>
      </c>
      <c r="R69" s="11"/>
      <c r="S69" s="11"/>
      <c r="T69" s="11"/>
      <c r="U69" s="11" t="s">
        <v>45</v>
      </c>
      <c r="V69" s="11" t="s">
        <v>95</v>
      </c>
      <c r="W69" s="12" t="b">
        <v>0</v>
      </c>
      <c r="X69" s="11"/>
      <c r="Y69" s="11" t="s">
        <v>45</v>
      </c>
    </row>
    <row r="70" hidden="1" spans="1:25">
      <c r="A70" s="12">
        <v>67</v>
      </c>
      <c r="B70" s="12" t="b">
        <v>0</v>
      </c>
      <c r="C70" s="11" t="s">
        <v>159</v>
      </c>
      <c r="D70" s="11" t="s">
        <v>45</v>
      </c>
      <c r="E70" s="11" t="s">
        <v>94</v>
      </c>
      <c r="F70" s="11"/>
      <c r="G70" s="11" t="s">
        <v>95</v>
      </c>
      <c r="H70" s="11"/>
      <c r="I70" s="12">
        <v>290</v>
      </c>
      <c r="J70" s="11" t="s">
        <v>95</v>
      </c>
      <c r="K70" s="11" t="s">
        <v>89</v>
      </c>
      <c r="L70" s="11"/>
      <c r="M70" s="11" t="s">
        <v>95</v>
      </c>
      <c r="N70" s="11" t="s">
        <v>89</v>
      </c>
      <c r="O70" s="11"/>
      <c r="P70" s="11"/>
      <c r="Q70" s="11" t="s">
        <v>45</v>
      </c>
      <c r="R70" s="11"/>
      <c r="S70" s="11"/>
      <c r="T70" s="11"/>
      <c r="U70" s="11" t="s">
        <v>45</v>
      </c>
      <c r="V70" s="11" t="s">
        <v>95</v>
      </c>
      <c r="W70" s="12" t="b">
        <v>0</v>
      </c>
      <c r="X70" s="11"/>
      <c r="Y70" s="11" t="s">
        <v>45</v>
      </c>
    </row>
    <row r="71" hidden="1" spans="1:25">
      <c r="A71" s="12">
        <v>68</v>
      </c>
      <c r="B71" s="12" t="b">
        <v>0</v>
      </c>
      <c r="C71" s="11" t="s">
        <v>160</v>
      </c>
      <c r="D71" s="11" t="s">
        <v>45</v>
      </c>
      <c r="E71" s="11" t="s">
        <v>94</v>
      </c>
      <c r="F71" s="11"/>
      <c r="G71" s="11" t="s">
        <v>95</v>
      </c>
      <c r="H71" s="11"/>
      <c r="I71" s="12">
        <v>290</v>
      </c>
      <c r="J71" s="11" t="s">
        <v>95</v>
      </c>
      <c r="K71" s="11" t="s">
        <v>89</v>
      </c>
      <c r="L71" s="11"/>
      <c r="M71" s="11" t="s">
        <v>95</v>
      </c>
      <c r="N71" s="11" t="s">
        <v>89</v>
      </c>
      <c r="O71" s="11"/>
      <c r="P71" s="11"/>
      <c r="Q71" s="11" t="s">
        <v>45</v>
      </c>
      <c r="R71" s="11"/>
      <c r="S71" s="11"/>
      <c r="T71" s="11"/>
      <c r="U71" s="11" t="s">
        <v>45</v>
      </c>
      <c r="V71" s="11" t="s">
        <v>95</v>
      </c>
      <c r="W71" s="12" t="b">
        <v>0</v>
      </c>
      <c r="X71" s="11"/>
      <c r="Y71" s="11" t="s">
        <v>45</v>
      </c>
    </row>
    <row r="72" hidden="1" spans="1:25">
      <c r="A72" s="12">
        <v>69</v>
      </c>
      <c r="B72" s="12" t="b">
        <v>0</v>
      </c>
      <c r="C72" s="11" t="s">
        <v>161</v>
      </c>
      <c r="D72" s="11" t="s">
        <v>45</v>
      </c>
      <c r="E72" s="11" t="s">
        <v>94</v>
      </c>
      <c r="F72" s="11"/>
      <c r="G72" s="11" t="s">
        <v>95</v>
      </c>
      <c r="H72" s="11"/>
      <c r="I72" s="12">
        <v>290</v>
      </c>
      <c r="J72" s="11" t="s">
        <v>95</v>
      </c>
      <c r="K72" s="11" t="s">
        <v>89</v>
      </c>
      <c r="L72" s="11"/>
      <c r="M72" s="11" t="s">
        <v>95</v>
      </c>
      <c r="N72" s="11" t="s">
        <v>89</v>
      </c>
      <c r="O72" s="11"/>
      <c r="P72" s="11"/>
      <c r="Q72" s="11" t="s">
        <v>45</v>
      </c>
      <c r="R72" s="11"/>
      <c r="S72" s="11"/>
      <c r="T72" s="11"/>
      <c r="U72" s="11" t="s">
        <v>45</v>
      </c>
      <c r="V72" s="11" t="s">
        <v>95</v>
      </c>
      <c r="W72" s="12" t="b">
        <v>0</v>
      </c>
      <c r="X72" s="11"/>
      <c r="Y72" s="11" t="s">
        <v>45</v>
      </c>
    </row>
    <row r="73" hidden="1" spans="1:25">
      <c r="A73" s="12">
        <v>70</v>
      </c>
      <c r="B73" s="12" t="b">
        <v>0</v>
      </c>
      <c r="C73" s="11" t="s">
        <v>162</v>
      </c>
      <c r="D73" s="11" t="s">
        <v>45</v>
      </c>
      <c r="E73" s="11" t="s">
        <v>94</v>
      </c>
      <c r="F73" s="11"/>
      <c r="G73" s="11" t="s">
        <v>95</v>
      </c>
      <c r="H73" s="11"/>
      <c r="I73" s="12">
        <v>290</v>
      </c>
      <c r="J73" s="11" t="s">
        <v>95</v>
      </c>
      <c r="K73" s="11" t="s">
        <v>89</v>
      </c>
      <c r="L73" s="11"/>
      <c r="M73" s="11" t="s">
        <v>95</v>
      </c>
      <c r="N73" s="11" t="s">
        <v>89</v>
      </c>
      <c r="O73" s="11"/>
      <c r="P73" s="11"/>
      <c r="Q73" s="11" t="s">
        <v>45</v>
      </c>
      <c r="R73" s="11"/>
      <c r="S73" s="11"/>
      <c r="T73" s="11"/>
      <c r="U73" s="11" t="s">
        <v>45</v>
      </c>
      <c r="V73" s="11" t="s">
        <v>95</v>
      </c>
      <c r="W73" s="12" t="b">
        <v>0</v>
      </c>
      <c r="X73" s="11"/>
      <c r="Y73" s="11" t="s">
        <v>45</v>
      </c>
    </row>
    <row r="74" hidden="1" spans="1:25">
      <c r="A74" s="12">
        <v>71</v>
      </c>
      <c r="B74" s="12" t="b">
        <v>0</v>
      </c>
      <c r="C74" s="11" t="s">
        <v>163</v>
      </c>
      <c r="D74" s="11" t="s">
        <v>45</v>
      </c>
      <c r="E74" s="11" t="s">
        <v>94</v>
      </c>
      <c r="F74" s="11"/>
      <c r="G74" s="11" t="s">
        <v>95</v>
      </c>
      <c r="H74" s="11"/>
      <c r="I74" s="12">
        <v>290</v>
      </c>
      <c r="J74" s="11" t="s">
        <v>95</v>
      </c>
      <c r="K74" s="11" t="s">
        <v>89</v>
      </c>
      <c r="L74" s="11"/>
      <c r="M74" s="11" t="s">
        <v>95</v>
      </c>
      <c r="N74" s="11" t="s">
        <v>89</v>
      </c>
      <c r="O74" s="11"/>
      <c r="P74" s="11"/>
      <c r="Q74" s="11" t="s">
        <v>45</v>
      </c>
      <c r="R74" s="11"/>
      <c r="S74" s="11"/>
      <c r="T74" s="11"/>
      <c r="U74" s="11" t="s">
        <v>45</v>
      </c>
      <c r="V74" s="11" t="s">
        <v>95</v>
      </c>
      <c r="W74" s="12" t="b">
        <v>0</v>
      </c>
      <c r="X74" s="11"/>
      <c r="Y74" s="11" t="s">
        <v>45</v>
      </c>
    </row>
    <row r="75" hidden="1" spans="1:25">
      <c r="A75" s="12">
        <v>72</v>
      </c>
      <c r="B75" s="12" t="b">
        <v>0</v>
      </c>
      <c r="C75" s="11" t="s">
        <v>164</v>
      </c>
      <c r="D75" s="11" t="s">
        <v>45</v>
      </c>
      <c r="E75" s="11" t="s">
        <v>94</v>
      </c>
      <c r="F75" s="11"/>
      <c r="G75" s="11" t="s">
        <v>95</v>
      </c>
      <c r="H75" s="11"/>
      <c r="I75" s="12">
        <v>290</v>
      </c>
      <c r="J75" s="11" t="s">
        <v>95</v>
      </c>
      <c r="K75" s="11" t="s">
        <v>89</v>
      </c>
      <c r="L75" s="11"/>
      <c r="M75" s="11" t="s">
        <v>95</v>
      </c>
      <c r="N75" s="11" t="s">
        <v>89</v>
      </c>
      <c r="O75" s="11"/>
      <c r="P75" s="11"/>
      <c r="Q75" s="11" t="s">
        <v>45</v>
      </c>
      <c r="R75" s="11"/>
      <c r="S75" s="11"/>
      <c r="T75" s="11"/>
      <c r="U75" s="11" t="s">
        <v>45</v>
      </c>
      <c r="V75" s="11" t="s">
        <v>95</v>
      </c>
      <c r="W75" s="12" t="b">
        <v>0</v>
      </c>
      <c r="X75" s="11"/>
      <c r="Y75" s="11" t="s">
        <v>45</v>
      </c>
    </row>
    <row r="76" hidden="1" spans="1:25">
      <c r="A76" s="12">
        <v>73</v>
      </c>
      <c r="B76" s="12" t="b">
        <v>0</v>
      </c>
      <c r="C76" s="11" t="s">
        <v>165</v>
      </c>
      <c r="D76" s="11" t="s">
        <v>45</v>
      </c>
      <c r="E76" s="11" t="s">
        <v>94</v>
      </c>
      <c r="F76" s="11"/>
      <c r="G76" s="11" t="s">
        <v>95</v>
      </c>
      <c r="H76" s="11"/>
      <c r="I76" s="12">
        <v>290</v>
      </c>
      <c r="J76" s="11" t="s">
        <v>95</v>
      </c>
      <c r="K76" s="11" t="s">
        <v>89</v>
      </c>
      <c r="L76" s="11"/>
      <c r="M76" s="11" t="s">
        <v>95</v>
      </c>
      <c r="N76" s="11" t="s">
        <v>89</v>
      </c>
      <c r="O76" s="11"/>
      <c r="P76" s="11"/>
      <c r="Q76" s="11" t="s">
        <v>45</v>
      </c>
      <c r="R76" s="11"/>
      <c r="S76" s="11"/>
      <c r="T76" s="11"/>
      <c r="U76" s="11" t="s">
        <v>45</v>
      </c>
      <c r="V76" s="11" t="s">
        <v>95</v>
      </c>
      <c r="W76" s="12" t="b">
        <v>0</v>
      </c>
      <c r="X76" s="11"/>
      <c r="Y76" s="11" t="s">
        <v>45</v>
      </c>
    </row>
    <row r="77" hidden="1" spans="1:25">
      <c r="A77" s="12">
        <v>74</v>
      </c>
      <c r="B77" s="12" t="b">
        <v>0</v>
      </c>
      <c r="C77" s="11" t="s">
        <v>166</v>
      </c>
      <c r="D77" s="11" t="s">
        <v>45</v>
      </c>
      <c r="E77" s="11" t="s">
        <v>94</v>
      </c>
      <c r="F77" s="11"/>
      <c r="G77" s="11" t="s">
        <v>95</v>
      </c>
      <c r="H77" s="11"/>
      <c r="I77" s="12">
        <v>290</v>
      </c>
      <c r="J77" s="11" t="s">
        <v>95</v>
      </c>
      <c r="K77" s="11" t="s">
        <v>89</v>
      </c>
      <c r="L77" s="11"/>
      <c r="M77" s="11" t="s">
        <v>95</v>
      </c>
      <c r="N77" s="11" t="s">
        <v>89</v>
      </c>
      <c r="O77" s="11"/>
      <c r="P77" s="11"/>
      <c r="Q77" s="11" t="s">
        <v>45</v>
      </c>
      <c r="R77" s="11"/>
      <c r="S77" s="11"/>
      <c r="T77" s="11"/>
      <c r="U77" s="11" t="s">
        <v>45</v>
      </c>
      <c r="V77" s="11" t="s">
        <v>95</v>
      </c>
      <c r="W77" s="12" t="b">
        <v>0</v>
      </c>
      <c r="X77" s="11"/>
      <c r="Y77" s="11" t="s">
        <v>45</v>
      </c>
    </row>
    <row r="78" hidden="1" spans="1:25">
      <c r="A78" s="12">
        <v>75</v>
      </c>
      <c r="B78" s="12" t="b">
        <v>0</v>
      </c>
      <c r="C78" s="11" t="s">
        <v>167</v>
      </c>
      <c r="D78" s="11" t="s">
        <v>45</v>
      </c>
      <c r="E78" s="11" t="s">
        <v>94</v>
      </c>
      <c r="F78" s="11"/>
      <c r="G78" s="11" t="s">
        <v>95</v>
      </c>
      <c r="H78" s="11"/>
      <c r="I78" s="12">
        <v>290</v>
      </c>
      <c r="J78" s="11" t="s">
        <v>95</v>
      </c>
      <c r="K78" s="11" t="s">
        <v>89</v>
      </c>
      <c r="L78" s="11"/>
      <c r="M78" s="11" t="s">
        <v>95</v>
      </c>
      <c r="N78" s="11" t="s">
        <v>89</v>
      </c>
      <c r="O78" s="11"/>
      <c r="P78" s="11"/>
      <c r="Q78" s="11" t="s">
        <v>45</v>
      </c>
      <c r="R78" s="11"/>
      <c r="S78" s="11"/>
      <c r="T78" s="11"/>
      <c r="U78" s="11" t="s">
        <v>45</v>
      </c>
      <c r="V78" s="11" t="s">
        <v>95</v>
      </c>
      <c r="W78" s="12" t="b">
        <v>0</v>
      </c>
      <c r="X78" s="11"/>
      <c r="Y78" s="11" t="s">
        <v>45</v>
      </c>
    </row>
    <row r="79" hidden="1" spans="1:25">
      <c r="A79" s="12">
        <v>76</v>
      </c>
      <c r="B79" s="12" t="b">
        <v>0</v>
      </c>
      <c r="C79" s="11" t="s">
        <v>168</v>
      </c>
      <c r="D79" s="11" t="s">
        <v>45</v>
      </c>
      <c r="E79" s="11" t="s">
        <v>94</v>
      </c>
      <c r="F79" s="11"/>
      <c r="G79" s="11" t="s">
        <v>95</v>
      </c>
      <c r="H79" s="11"/>
      <c r="I79" s="12">
        <v>290</v>
      </c>
      <c r="J79" s="11" t="s">
        <v>95</v>
      </c>
      <c r="K79" s="11" t="s">
        <v>89</v>
      </c>
      <c r="L79" s="11"/>
      <c r="M79" s="11" t="s">
        <v>95</v>
      </c>
      <c r="N79" s="11" t="s">
        <v>89</v>
      </c>
      <c r="O79" s="11"/>
      <c r="P79" s="11"/>
      <c r="Q79" s="11" t="s">
        <v>45</v>
      </c>
      <c r="R79" s="11"/>
      <c r="S79" s="11"/>
      <c r="T79" s="11"/>
      <c r="U79" s="11" t="s">
        <v>45</v>
      </c>
      <c r="V79" s="11" t="s">
        <v>95</v>
      </c>
      <c r="W79" s="12" t="b">
        <v>0</v>
      </c>
      <c r="X79" s="11"/>
      <c r="Y79" s="11" t="s">
        <v>45</v>
      </c>
    </row>
    <row r="80" hidden="1" spans="1:25">
      <c r="A80" s="12">
        <v>77</v>
      </c>
      <c r="B80" s="12" t="b">
        <v>0</v>
      </c>
      <c r="C80" s="11" t="s">
        <v>169</v>
      </c>
      <c r="D80" s="11" t="s">
        <v>45</v>
      </c>
      <c r="E80" s="11" t="s">
        <v>94</v>
      </c>
      <c r="F80" s="11"/>
      <c r="G80" s="11" t="s">
        <v>95</v>
      </c>
      <c r="H80" s="11"/>
      <c r="I80" s="12">
        <v>290</v>
      </c>
      <c r="J80" s="11" t="s">
        <v>95</v>
      </c>
      <c r="K80" s="11" t="s">
        <v>89</v>
      </c>
      <c r="L80" s="11"/>
      <c r="M80" s="11" t="s">
        <v>95</v>
      </c>
      <c r="N80" s="11" t="s">
        <v>89</v>
      </c>
      <c r="O80" s="11"/>
      <c r="P80" s="11"/>
      <c r="Q80" s="11" t="s">
        <v>45</v>
      </c>
      <c r="R80" s="11"/>
      <c r="S80" s="11"/>
      <c r="T80" s="11"/>
      <c r="U80" s="11" t="s">
        <v>45</v>
      </c>
      <c r="V80" s="11" t="s">
        <v>95</v>
      </c>
      <c r="W80" s="12" t="b">
        <v>0</v>
      </c>
      <c r="X80" s="11"/>
      <c r="Y80" s="11" t="s">
        <v>45</v>
      </c>
    </row>
    <row r="81" hidden="1" spans="1:25">
      <c r="A81" s="12">
        <v>78</v>
      </c>
      <c r="B81" s="12" t="b">
        <v>0</v>
      </c>
      <c r="C81" s="11" t="s">
        <v>170</v>
      </c>
      <c r="D81" s="11" t="s">
        <v>45</v>
      </c>
      <c r="E81" s="11" t="s">
        <v>94</v>
      </c>
      <c r="F81" s="11"/>
      <c r="G81" s="11" t="s">
        <v>95</v>
      </c>
      <c r="H81" s="11"/>
      <c r="I81" s="12">
        <v>290</v>
      </c>
      <c r="J81" s="11" t="s">
        <v>95</v>
      </c>
      <c r="K81" s="11" t="s">
        <v>89</v>
      </c>
      <c r="L81" s="11"/>
      <c r="M81" s="11" t="s">
        <v>95</v>
      </c>
      <c r="N81" s="11" t="s">
        <v>89</v>
      </c>
      <c r="O81" s="11"/>
      <c r="P81" s="11"/>
      <c r="Q81" s="11" t="s">
        <v>45</v>
      </c>
      <c r="R81" s="11"/>
      <c r="S81" s="11"/>
      <c r="T81" s="11"/>
      <c r="U81" s="11" t="s">
        <v>45</v>
      </c>
      <c r="V81" s="11" t="s">
        <v>95</v>
      </c>
      <c r="W81" s="12" t="b">
        <v>0</v>
      </c>
      <c r="X81" s="11"/>
      <c r="Y81" s="11" t="s">
        <v>45</v>
      </c>
    </row>
    <row r="82" hidden="1" spans="1:25">
      <c r="A82" s="12">
        <v>79</v>
      </c>
      <c r="B82" s="12" t="b">
        <v>0</v>
      </c>
      <c r="C82" s="11" t="s">
        <v>171</v>
      </c>
      <c r="D82" s="11" t="s">
        <v>45</v>
      </c>
      <c r="E82" s="11" t="s">
        <v>94</v>
      </c>
      <c r="F82" s="11"/>
      <c r="G82" s="11" t="s">
        <v>95</v>
      </c>
      <c r="H82" s="11"/>
      <c r="I82" s="12">
        <v>290</v>
      </c>
      <c r="J82" s="11" t="s">
        <v>95</v>
      </c>
      <c r="K82" s="11" t="s">
        <v>89</v>
      </c>
      <c r="L82" s="11"/>
      <c r="M82" s="11" t="s">
        <v>95</v>
      </c>
      <c r="N82" s="11" t="s">
        <v>89</v>
      </c>
      <c r="O82" s="11"/>
      <c r="P82" s="11"/>
      <c r="Q82" s="11" t="s">
        <v>45</v>
      </c>
      <c r="R82" s="11"/>
      <c r="S82" s="11"/>
      <c r="T82" s="11"/>
      <c r="U82" s="11" t="s">
        <v>45</v>
      </c>
      <c r="V82" s="11" t="s">
        <v>95</v>
      </c>
      <c r="W82" s="12" t="b">
        <v>0</v>
      </c>
      <c r="X82" s="11"/>
      <c r="Y82" s="11" t="s">
        <v>45</v>
      </c>
    </row>
    <row r="83" hidden="1" spans="1:25">
      <c r="A83" s="12">
        <v>80</v>
      </c>
      <c r="B83" s="12" t="b">
        <v>0</v>
      </c>
      <c r="C83" s="11" t="s">
        <v>172</v>
      </c>
      <c r="D83" s="11" t="s">
        <v>45</v>
      </c>
      <c r="E83" s="11" t="s">
        <v>94</v>
      </c>
      <c r="F83" s="11"/>
      <c r="G83" s="11" t="s">
        <v>95</v>
      </c>
      <c r="H83" s="11"/>
      <c r="I83" s="12">
        <v>290</v>
      </c>
      <c r="J83" s="11" t="s">
        <v>95</v>
      </c>
      <c r="K83" s="11" t="s">
        <v>89</v>
      </c>
      <c r="L83" s="11"/>
      <c r="M83" s="11" t="s">
        <v>95</v>
      </c>
      <c r="N83" s="11" t="s">
        <v>89</v>
      </c>
      <c r="O83" s="11"/>
      <c r="P83" s="11"/>
      <c r="Q83" s="11" t="s">
        <v>45</v>
      </c>
      <c r="R83" s="11"/>
      <c r="S83" s="11"/>
      <c r="T83" s="11"/>
      <c r="U83" s="11" t="s">
        <v>45</v>
      </c>
      <c r="V83" s="11" t="s">
        <v>95</v>
      </c>
      <c r="W83" s="12" t="b">
        <v>0</v>
      </c>
      <c r="X83" s="11"/>
      <c r="Y83" s="11" t="s">
        <v>45</v>
      </c>
    </row>
    <row r="84" hidden="1" spans="1:25">
      <c r="A84" s="12">
        <v>81</v>
      </c>
      <c r="B84" s="12" t="b">
        <v>0</v>
      </c>
      <c r="C84" s="11" t="s">
        <v>173</v>
      </c>
      <c r="D84" s="11" t="s">
        <v>45</v>
      </c>
      <c r="E84" s="11" t="s">
        <v>94</v>
      </c>
      <c r="F84" s="11"/>
      <c r="G84" s="11" t="s">
        <v>95</v>
      </c>
      <c r="H84" s="11"/>
      <c r="I84" s="12">
        <v>290</v>
      </c>
      <c r="J84" s="11" t="s">
        <v>95</v>
      </c>
      <c r="K84" s="11" t="s">
        <v>89</v>
      </c>
      <c r="L84" s="11"/>
      <c r="M84" s="11" t="s">
        <v>95</v>
      </c>
      <c r="N84" s="11" t="s">
        <v>89</v>
      </c>
      <c r="O84" s="11"/>
      <c r="P84" s="11"/>
      <c r="Q84" s="11" t="s">
        <v>45</v>
      </c>
      <c r="R84" s="11"/>
      <c r="S84" s="11"/>
      <c r="T84" s="11"/>
      <c r="U84" s="11" t="s">
        <v>45</v>
      </c>
      <c r="V84" s="11" t="s">
        <v>95</v>
      </c>
      <c r="W84" s="12" t="b">
        <v>0</v>
      </c>
      <c r="X84" s="11"/>
      <c r="Y84" s="11" t="s">
        <v>45</v>
      </c>
    </row>
    <row r="85" hidden="1" spans="1:25">
      <c r="A85" s="12">
        <v>82</v>
      </c>
      <c r="B85" s="12" t="b">
        <v>0</v>
      </c>
      <c r="C85" s="11" t="s">
        <v>174</v>
      </c>
      <c r="D85" s="11" t="s">
        <v>45</v>
      </c>
      <c r="E85" s="11" t="s">
        <v>94</v>
      </c>
      <c r="F85" s="11"/>
      <c r="G85" s="11" t="s">
        <v>95</v>
      </c>
      <c r="H85" s="11"/>
      <c r="I85" s="12">
        <v>290</v>
      </c>
      <c r="J85" s="11" t="s">
        <v>95</v>
      </c>
      <c r="K85" s="11" t="s">
        <v>89</v>
      </c>
      <c r="L85" s="11"/>
      <c r="M85" s="11" t="s">
        <v>95</v>
      </c>
      <c r="N85" s="11" t="s">
        <v>89</v>
      </c>
      <c r="O85" s="11"/>
      <c r="P85" s="11"/>
      <c r="Q85" s="11" t="s">
        <v>45</v>
      </c>
      <c r="R85" s="11"/>
      <c r="S85" s="11"/>
      <c r="T85" s="11"/>
      <c r="U85" s="11" t="s">
        <v>45</v>
      </c>
      <c r="V85" s="11" t="s">
        <v>95</v>
      </c>
      <c r="W85" s="12" t="b">
        <v>0</v>
      </c>
      <c r="X85" s="11"/>
      <c r="Y85" s="11" t="s">
        <v>45</v>
      </c>
    </row>
    <row r="86" hidden="1" spans="1:25">
      <c r="A86" s="12">
        <v>83</v>
      </c>
      <c r="B86" s="12" t="b">
        <v>0</v>
      </c>
      <c r="C86" s="11" t="s">
        <v>175</v>
      </c>
      <c r="D86" s="11" t="s">
        <v>45</v>
      </c>
      <c r="E86" s="11" t="s">
        <v>94</v>
      </c>
      <c r="F86" s="11"/>
      <c r="G86" s="11" t="s">
        <v>95</v>
      </c>
      <c r="H86" s="11"/>
      <c r="I86" s="12">
        <v>290</v>
      </c>
      <c r="J86" s="11" t="s">
        <v>95</v>
      </c>
      <c r="K86" s="11" t="s">
        <v>89</v>
      </c>
      <c r="L86" s="11"/>
      <c r="M86" s="11" t="s">
        <v>95</v>
      </c>
      <c r="N86" s="11" t="s">
        <v>89</v>
      </c>
      <c r="O86" s="11"/>
      <c r="P86" s="11"/>
      <c r="Q86" s="11" t="s">
        <v>45</v>
      </c>
      <c r="R86" s="11"/>
      <c r="S86" s="11"/>
      <c r="T86" s="11"/>
      <c r="U86" s="11" t="s">
        <v>45</v>
      </c>
      <c r="V86" s="11" t="s">
        <v>95</v>
      </c>
      <c r="W86" s="12" t="b">
        <v>0</v>
      </c>
      <c r="X86" s="11"/>
      <c r="Y86" s="11" t="s">
        <v>45</v>
      </c>
    </row>
    <row r="87" hidden="1" spans="1:25">
      <c r="A87" s="12">
        <v>84</v>
      </c>
      <c r="B87" s="12" t="b">
        <v>0</v>
      </c>
      <c r="C87" s="11" t="s">
        <v>176</v>
      </c>
      <c r="D87" s="11" t="s">
        <v>45</v>
      </c>
      <c r="E87" s="11" t="s">
        <v>94</v>
      </c>
      <c r="F87" s="11"/>
      <c r="G87" s="11" t="s">
        <v>95</v>
      </c>
      <c r="H87" s="11"/>
      <c r="I87" s="12">
        <v>290</v>
      </c>
      <c r="J87" s="11" t="s">
        <v>95</v>
      </c>
      <c r="K87" s="11" t="s">
        <v>89</v>
      </c>
      <c r="L87" s="11"/>
      <c r="M87" s="11" t="s">
        <v>95</v>
      </c>
      <c r="N87" s="11" t="s">
        <v>89</v>
      </c>
      <c r="O87" s="11"/>
      <c r="P87" s="11"/>
      <c r="Q87" s="11" t="s">
        <v>45</v>
      </c>
      <c r="R87" s="11"/>
      <c r="S87" s="11"/>
      <c r="T87" s="11"/>
      <c r="U87" s="11" t="s">
        <v>45</v>
      </c>
      <c r="V87" s="11" t="s">
        <v>95</v>
      </c>
      <c r="W87" s="12" t="b">
        <v>0</v>
      </c>
      <c r="X87" s="11"/>
      <c r="Y87" s="11" t="s">
        <v>45</v>
      </c>
    </row>
    <row r="88" hidden="1" spans="1:25">
      <c r="A88" s="12">
        <v>85</v>
      </c>
      <c r="B88" s="12" t="b">
        <v>0</v>
      </c>
      <c r="C88" s="11" t="s">
        <v>177</v>
      </c>
      <c r="D88" s="11" t="s">
        <v>45</v>
      </c>
      <c r="E88" s="11" t="s">
        <v>94</v>
      </c>
      <c r="F88" s="11"/>
      <c r="G88" s="11" t="s">
        <v>95</v>
      </c>
      <c r="H88" s="11"/>
      <c r="I88" s="12">
        <v>290</v>
      </c>
      <c r="J88" s="11" t="s">
        <v>95</v>
      </c>
      <c r="K88" s="11" t="s">
        <v>89</v>
      </c>
      <c r="L88" s="11"/>
      <c r="M88" s="11" t="s">
        <v>95</v>
      </c>
      <c r="N88" s="11" t="s">
        <v>89</v>
      </c>
      <c r="O88" s="11"/>
      <c r="P88" s="11"/>
      <c r="Q88" s="11" t="s">
        <v>45</v>
      </c>
      <c r="R88" s="11"/>
      <c r="S88" s="11"/>
      <c r="T88" s="11"/>
      <c r="U88" s="11" t="s">
        <v>45</v>
      </c>
      <c r="V88" s="11" t="s">
        <v>95</v>
      </c>
      <c r="W88" s="12" t="b">
        <v>0</v>
      </c>
      <c r="X88" s="11"/>
      <c r="Y88" s="11" t="s">
        <v>45</v>
      </c>
    </row>
    <row r="89" hidden="1" spans="1:25">
      <c r="A89" s="12">
        <v>86</v>
      </c>
      <c r="B89" s="12" t="b">
        <v>0</v>
      </c>
      <c r="C89" s="11" t="s">
        <v>178</v>
      </c>
      <c r="D89" s="11" t="s">
        <v>45</v>
      </c>
      <c r="E89" s="11" t="s">
        <v>94</v>
      </c>
      <c r="F89" s="11"/>
      <c r="G89" s="11" t="s">
        <v>95</v>
      </c>
      <c r="H89" s="11"/>
      <c r="I89" s="12">
        <v>290</v>
      </c>
      <c r="J89" s="11" t="s">
        <v>95</v>
      </c>
      <c r="K89" s="11" t="s">
        <v>89</v>
      </c>
      <c r="L89" s="11"/>
      <c r="M89" s="11" t="s">
        <v>95</v>
      </c>
      <c r="N89" s="11" t="s">
        <v>89</v>
      </c>
      <c r="O89" s="11"/>
      <c r="P89" s="11"/>
      <c r="Q89" s="11" t="s">
        <v>45</v>
      </c>
      <c r="R89" s="11"/>
      <c r="S89" s="11"/>
      <c r="T89" s="11"/>
      <c r="U89" s="11" t="s">
        <v>45</v>
      </c>
      <c r="V89" s="11" t="s">
        <v>95</v>
      </c>
      <c r="W89" s="12" t="b">
        <v>0</v>
      </c>
      <c r="X89" s="11"/>
      <c r="Y89" s="11" t="s">
        <v>45</v>
      </c>
    </row>
    <row r="90" hidden="1" spans="1:25">
      <c r="A90" s="12">
        <v>87</v>
      </c>
      <c r="B90" s="12" t="b">
        <v>0</v>
      </c>
      <c r="C90" s="11" t="s">
        <v>179</v>
      </c>
      <c r="D90" s="11" t="s">
        <v>45</v>
      </c>
      <c r="E90" s="11" t="s">
        <v>94</v>
      </c>
      <c r="F90" s="11"/>
      <c r="G90" s="11" t="s">
        <v>95</v>
      </c>
      <c r="H90" s="11"/>
      <c r="I90" s="12">
        <v>290</v>
      </c>
      <c r="J90" s="11" t="s">
        <v>95</v>
      </c>
      <c r="K90" s="11" t="s">
        <v>89</v>
      </c>
      <c r="L90" s="11"/>
      <c r="M90" s="11" t="s">
        <v>95</v>
      </c>
      <c r="N90" s="11" t="s">
        <v>89</v>
      </c>
      <c r="O90" s="11"/>
      <c r="P90" s="11"/>
      <c r="Q90" s="11" t="s">
        <v>45</v>
      </c>
      <c r="R90" s="11"/>
      <c r="S90" s="11"/>
      <c r="T90" s="11"/>
      <c r="U90" s="11" t="s">
        <v>45</v>
      </c>
      <c r="V90" s="11" t="s">
        <v>95</v>
      </c>
      <c r="W90" s="12" t="b">
        <v>0</v>
      </c>
      <c r="X90" s="11"/>
      <c r="Y90" s="11" t="s">
        <v>45</v>
      </c>
    </row>
    <row r="91" hidden="1" spans="1:25">
      <c r="A91" s="12">
        <v>88</v>
      </c>
      <c r="B91" s="12" t="b">
        <v>0</v>
      </c>
      <c r="C91" s="11" t="s">
        <v>180</v>
      </c>
      <c r="D91" s="11" t="s">
        <v>45</v>
      </c>
      <c r="E91" s="11" t="s">
        <v>94</v>
      </c>
      <c r="F91" s="11"/>
      <c r="G91" s="11" t="s">
        <v>95</v>
      </c>
      <c r="H91" s="11"/>
      <c r="I91" s="12">
        <v>290</v>
      </c>
      <c r="J91" s="11" t="s">
        <v>95</v>
      </c>
      <c r="K91" s="11" t="s">
        <v>89</v>
      </c>
      <c r="L91" s="11"/>
      <c r="M91" s="11" t="s">
        <v>95</v>
      </c>
      <c r="N91" s="11" t="s">
        <v>89</v>
      </c>
      <c r="O91" s="11"/>
      <c r="P91" s="11"/>
      <c r="Q91" s="11" t="s">
        <v>45</v>
      </c>
      <c r="R91" s="11"/>
      <c r="S91" s="11"/>
      <c r="T91" s="11"/>
      <c r="U91" s="11" t="s">
        <v>45</v>
      </c>
      <c r="V91" s="11" t="s">
        <v>95</v>
      </c>
      <c r="W91" s="12" t="b">
        <v>0</v>
      </c>
      <c r="X91" s="11"/>
      <c r="Y91" s="11" t="s">
        <v>45</v>
      </c>
    </row>
    <row r="92" hidden="1" spans="1:25">
      <c r="A92" s="12">
        <v>89</v>
      </c>
      <c r="B92" s="12" t="b">
        <v>0</v>
      </c>
      <c r="C92" s="11" t="s">
        <v>181</v>
      </c>
      <c r="D92" s="11" t="s">
        <v>45</v>
      </c>
      <c r="E92" s="11" t="s">
        <v>94</v>
      </c>
      <c r="F92" s="11"/>
      <c r="G92" s="11" t="s">
        <v>95</v>
      </c>
      <c r="H92" s="11"/>
      <c r="I92" s="12">
        <v>290</v>
      </c>
      <c r="J92" s="11" t="s">
        <v>95</v>
      </c>
      <c r="K92" s="11" t="s">
        <v>89</v>
      </c>
      <c r="L92" s="11"/>
      <c r="M92" s="11" t="s">
        <v>95</v>
      </c>
      <c r="N92" s="11" t="s">
        <v>89</v>
      </c>
      <c r="O92" s="11"/>
      <c r="P92" s="11"/>
      <c r="Q92" s="11" t="s">
        <v>45</v>
      </c>
      <c r="R92" s="11"/>
      <c r="S92" s="11"/>
      <c r="T92" s="11"/>
      <c r="U92" s="11" t="s">
        <v>45</v>
      </c>
      <c r="V92" s="11" t="s">
        <v>95</v>
      </c>
      <c r="W92" s="12" t="b">
        <v>0</v>
      </c>
      <c r="X92" s="11"/>
      <c r="Y92" s="11" t="s">
        <v>45</v>
      </c>
    </row>
    <row r="93" hidden="1" spans="1:25">
      <c r="A93" s="12">
        <v>90</v>
      </c>
      <c r="B93" s="12" t="b">
        <v>0</v>
      </c>
      <c r="C93" s="11" t="s">
        <v>182</v>
      </c>
      <c r="D93" s="11" t="s">
        <v>45</v>
      </c>
      <c r="E93" s="11" t="s">
        <v>94</v>
      </c>
      <c r="F93" s="11"/>
      <c r="G93" s="11" t="s">
        <v>95</v>
      </c>
      <c r="H93" s="11"/>
      <c r="I93" s="12">
        <v>290</v>
      </c>
      <c r="J93" s="11" t="s">
        <v>95</v>
      </c>
      <c r="K93" s="11" t="s">
        <v>89</v>
      </c>
      <c r="L93" s="11"/>
      <c r="M93" s="11" t="s">
        <v>95</v>
      </c>
      <c r="N93" s="11" t="s">
        <v>89</v>
      </c>
      <c r="O93" s="11"/>
      <c r="P93" s="11"/>
      <c r="Q93" s="11" t="s">
        <v>45</v>
      </c>
      <c r="R93" s="11"/>
      <c r="S93" s="11"/>
      <c r="T93" s="11"/>
      <c r="U93" s="11" t="s">
        <v>45</v>
      </c>
      <c r="V93" s="11" t="s">
        <v>95</v>
      </c>
      <c r="W93" s="12" t="b">
        <v>0</v>
      </c>
      <c r="X93" s="11"/>
      <c r="Y93" s="11" t="s">
        <v>45</v>
      </c>
    </row>
    <row r="94" hidden="1" spans="1:25">
      <c r="A94" s="12">
        <v>91</v>
      </c>
      <c r="B94" s="12" t="b">
        <v>0</v>
      </c>
      <c r="C94" s="11" t="s">
        <v>183</v>
      </c>
      <c r="D94" s="11" t="s">
        <v>45</v>
      </c>
      <c r="E94" s="11" t="s">
        <v>94</v>
      </c>
      <c r="F94" s="11"/>
      <c r="G94" s="11" t="s">
        <v>95</v>
      </c>
      <c r="H94" s="11"/>
      <c r="I94" s="12">
        <v>290</v>
      </c>
      <c r="J94" s="11" t="s">
        <v>95</v>
      </c>
      <c r="K94" s="11" t="s">
        <v>89</v>
      </c>
      <c r="L94" s="11"/>
      <c r="M94" s="11" t="s">
        <v>95</v>
      </c>
      <c r="N94" s="11" t="s">
        <v>89</v>
      </c>
      <c r="O94" s="11"/>
      <c r="P94" s="11"/>
      <c r="Q94" s="11" t="s">
        <v>45</v>
      </c>
      <c r="R94" s="11"/>
      <c r="S94" s="11"/>
      <c r="T94" s="11"/>
      <c r="U94" s="11" t="s">
        <v>45</v>
      </c>
      <c r="V94" s="11" t="s">
        <v>95</v>
      </c>
      <c r="W94" s="12" t="b">
        <v>0</v>
      </c>
      <c r="X94" s="11"/>
      <c r="Y94" s="11" t="s">
        <v>45</v>
      </c>
    </row>
    <row r="95" hidden="1" spans="1:25">
      <c r="A95" s="12">
        <v>92</v>
      </c>
      <c r="B95" s="12" t="b">
        <v>0</v>
      </c>
      <c r="C95" s="11" t="s">
        <v>184</v>
      </c>
      <c r="D95" s="11" t="s">
        <v>45</v>
      </c>
      <c r="E95" s="11" t="s">
        <v>94</v>
      </c>
      <c r="F95" s="11"/>
      <c r="G95" s="11" t="s">
        <v>95</v>
      </c>
      <c r="H95" s="11"/>
      <c r="I95" s="12">
        <v>290</v>
      </c>
      <c r="J95" s="11" t="s">
        <v>95</v>
      </c>
      <c r="K95" s="11" t="s">
        <v>89</v>
      </c>
      <c r="L95" s="11"/>
      <c r="M95" s="11" t="s">
        <v>95</v>
      </c>
      <c r="N95" s="11" t="s">
        <v>89</v>
      </c>
      <c r="O95" s="11"/>
      <c r="P95" s="11"/>
      <c r="Q95" s="11" t="s">
        <v>45</v>
      </c>
      <c r="R95" s="11"/>
      <c r="S95" s="11"/>
      <c r="T95" s="11"/>
      <c r="U95" s="11" t="s">
        <v>45</v>
      </c>
      <c r="V95" s="11" t="s">
        <v>95</v>
      </c>
      <c r="W95" s="12" t="b">
        <v>0</v>
      </c>
      <c r="X95" s="11"/>
      <c r="Y95" s="11" t="s">
        <v>45</v>
      </c>
    </row>
    <row r="96" hidden="1" spans="1:25">
      <c r="A96" s="12">
        <v>93</v>
      </c>
      <c r="B96" s="12" t="b">
        <v>0</v>
      </c>
      <c r="C96" s="11" t="s">
        <v>185</v>
      </c>
      <c r="D96" s="11" t="s">
        <v>45</v>
      </c>
      <c r="E96" s="11" t="s">
        <v>94</v>
      </c>
      <c r="F96" s="11"/>
      <c r="G96" s="11" t="s">
        <v>95</v>
      </c>
      <c r="H96" s="11"/>
      <c r="I96" s="12">
        <v>290</v>
      </c>
      <c r="J96" s="11" t="s">
        <v>95</v>
      </c>
      <c r="K96" s="11" t="s">
        <v>89</v>
      </c>
      <c r="L96" s="11"/>
      <c r="M96" s="11" t="s">
        <v>95</v>
      </c>
      <c r="N96" s="11" t="s">
        <v>89</v>
      </c>
      <c r="O96" s="11"/>
      <c r="P96" s="11"/>
      <c r="Q96" s="11" t="s">
        <v>45</v>
      </c>
      <c r="R96" s="11"/>
      <c r="S96" s="11"/>
      <c r="T96" s="11"/>
      <c r="U96" s="11" t="s">
        <v>45</v>
      </c>
      <c r="V96" s="11" t="s">
        <v>95</v>
      </c>
      <c r="W96" s="12" t="b">
        <v>0</v>
      </c>
      <c r="X96" s="11"/>
      <c r="Y96" s="11" t="s">
        <v>45</v>
      </c>
    </row>
    <row r="97" hidden="1" spans="1:25">
      <c r="A97" s="12">
        <v>94</v>
      </c>
      <c r="B97" s="12" t="b">
        <v>0</v>
      </c>
      <c r="C97" s="11" t="s">
        <v>186</v>
      </c>
      <c r="D97" s="11" t="s">
        <v>45</v>
      </c>
      <c r="E97" s="11" t="s">
        <v>94</v>
      </c>
      <c r="F97" s="11"/>
      <c r="G97" s="11" t="s">
        <v>95</v>
      </c>
      <c r="H97" s="11"/>
      <c r="I97" s="12">
        <v>290</v>
      </c>
      <c r="J97" s="11" t="s">
        <v>95</v>
      </c>
      <c r="K97" s="11" t="s">
        <v>89</v>
      </c>
      <c r="L97" s="11"/>
      <c r="M97" s="11" t="s">
        <v>95</v>
      </c>
      <c r="N97" s="11" t="s">
        <v>89</v>
      </c>
      <c r="O97" s="11"/>
      <c r="P97" s="11"/>
      <c r="Q97" s="11" t="s">
        <v>45</v>
      </c>
      <c r="R97" s="11"/>
      <c r="S97" s="11"/>
      <c r="T97" s="11"/>
      <c r="U97" s="11" t="s">
        <v>45</v>
      </c>
      <c r="V97" s="11" t="s">
        <v>95</v>
      </c>
      <c r="W97" s="12" t="b">
        <v>0</v>
      </c>
      <c r="X97" s="11"/>
      <c r="Y97" s="11" t="s">
        <v>45</v>
      </c>
    </row>
    <row r="98" hidden="1" spans="1:25">
      <c r="A98" s="12">
        <v>95</v>
      </c>
      <c r="B98" s="12" t="b">
        <v>0</v>
      </c>
      <c r="C98" s="11" t="s">
        <v>187</v>
      </c>
      <c r="D98" s="11" t="s">
        <v>45</v>
      </c>
      <c r="E98" s="11" t="s">
        <v>94</v>
      </c>
      <c r="F98" s="11"/>
      <c r="G98" s="11" t="s">
        <v>95</v>
      </c>
      <c r="H98" s="11"/>
      <c r="I98" s="12">
        <v>290</v>
      </c>
      <c r="J98" s="11" t="s">
        <v>95</v>
      </c>
      <c r="K98" s="11" t="s">
        <v>89</v>
      </c>
      <c r="L98" s="11"/>
      <c r="M98" s="11" t="s">
        <v>95</v>
      </c>
      <c r="N98" s="11" t="s">
        <v>89</v>
      </c>
      <c r="O98" s="11"/>
      <c r="P98" s="11"/>
      <c r="Q98" s="11" t="s">
        <v>45</v>
      </c>
      <c r="R98" s="11"/>
      <c r="S98" s="11"/>
      <c r="T98" s="11"/>
      <c r="U98" s="11" t="s">
        <v>45</v>
      </c>
      <c r="V98" s="11" t="s">
        <v>95</v>
      </c>
      <c r="W98" s="12" t="b">
        <v>0</v>
      </c>
      <c r="X98" s="11"/>
      <c r="Y98" s="11" t="s">
        <v>45</v>
      </c>
    </row>
    <row r="99" hidden="1" spans="1:25">
      <c r="A99" s="12">
        <v>96</v>
      </c>
      <c r="B99" s="12" t="b">
        <v>0</v>
      </c>
      <c r="C99" s="11" t="s">
        <v>188</v>
      </c>
      <c r="D99" s="11" t="s">
        <v>45</v>
      </c>
      <c r="E99" s="11" t="s">
        <v>94</v>
      </c>
      <c r="F99" s="11"/>
      <c r="G99" s="11" t="s">
        <v>95</v>
      </c>
      <c r="H99" s="11"/>
      <c r="I99" s="12">
        <v>290</v>
      </c>
      <c r="J99" s="11" t="s">
        <v>95</v>
      </c>
      <c r="K99" s="11" t="s">
        <v>89</v>
      </c>
      <c r="L99" s="11"/>
      <c r="M99" s="11" t="s">
        <v>95</v>
      </c>
      <c r="N99" s="11" t="s">
        <v>89</v>
      </c>
      <c r="O99" s="11"/>
      <c r="P99" s="11"/>
      <c r="Q99" s="11" t="s">
        <v>45</v>
      </c>
      <c r="R99" s="11"/>
      <c r="S99" s="11"/>
      <c r="T99" s="11"/>
      <c r="U99" s="11" t="s">
        <v>45</v>
      </c>
      <c r="V99" s="11" t="s">
        <v>95</v>
      </c>
      <c r="W99" s="12" t="b">
        <v>0</v>
      </c>
      <c r="X99" s="11"/>
      <c r="Y99" s="11" t="s">
        <v>45</v>
      </c>
    </row>
    <row r="100" hidden="1" spans="1:25">
      <c r="A100" s="12">
        <v>97</v>
      </c>
      <c r="B100" s="12" t="b">
        <v>0</v>
      </c>
      <c r="C100" s="11" t="s">
        <v>189</v>
      </c>
      <c r="D100" s="11" t="s">
        <v>45</v>
      </c>
      <c r="E100" s="11" t="s">
        <v>94</v>
      </c>
      <c r="F100" s="11"/>
      <c r="G100" s="11" t="s">
        <v>95</v>
      </c>
      <c r="H100" s="11"/>
      <c r="I100" s="12">
        <v>290</v>
      </c>
      <c r="J100" s="11" t="s">
        <v>95</v>
      </c>
      <c r="K100" s="11" t="s">
        <v>89</v>
      </c>
      <c r="L100" s="11"/>
      <c r="M100" s="11" t="s">
        <v>95</v>
      </c>
      <c r="N100" s="11" t="s">
        <v>89</v>
      </c>
      <c r="O100" s="11"/>
      <c r="P100" s="11"/>
      <c r="Q100" s="11" t="s">
        <v>45</v>
      </c>
      <c r="R100" s="11"/>
      <c r="S100" s="11"/>
      <c r="T100" s="11"/>
      <c r="U100" s="11" t="s">
        <v>45</v>
      </c>
      <c r="V100" s="11" t="s">
        <v>95</v>
      </c>
      <c r="W100" s="12" t="b">
        <v>0</v>
      </c>
      <c r="X100" s="11"/>
      <c r="Y100" s="11" t="s">
        <v>45</v>
      </c>
    </row>
    <row r="101" hidden="1" spans="1:25">
      <c r="A101" s="12">
        <v>98</v>
      </c>
      <c r="B101" s="12" t="b">
        <v>0</v>
      </c>
      <c r="C101" s="11" t="s">
        <v>190</v>
      </c>
      <c r="D101" s="11" t="s">
        <v>45</v>
      </c>
      <c r="E101" s="11" t="s">
        <v>94</v>
      </c>
      <c r="F101" s="11"/>
      <c r="G101" s="11" t="s">
        <v>95</v>
      </c>
      <c r="H101" s="11"/>
      <c r="I101" s="12">
        <v>290</v>
      </c>
      <c r="J101" s="11" t="s">
        <v>95</v>
      </c>
      <c r="K101" s="11" t="s">
        <v>89</v>
      </c>
      <c r="L101" s="11"/>
      <c r="M101" s="11" t="s">
        <v>95</v>
      </c>
      <c r="N101" s="11" t="s">
        <v>89</v>
      </c>
      <c r="O101" s="11"/>
      <c r="P101" s="11"/>
      <c r="Q101" s="11" t="s">
        <v>45</v>
      </c>
      <c r="R101" s="11"/>
      <c r="S101" s="11"/>
      <c r="T101" s="11"/>
      <c r="U101" s="11" t="s">
        <v>45</v>
      </c>
      <c r="V101" s="11" t="s">
        <v>95</v>
      </c>
      <c r="W101" s="12" t="b">
        <v>0</v>
      </c>
      <c r="X101" s="11"/>
      <c r="Y101" s="11" t="s">
        <v>45</v>
      </c>
    </row>
    <row r="102" hidden="1" spans="1:25">
      <c r="A102" s="12">
        <v>99</v>
      </c>
      <c r="B102" s="12" t="b">
        <v>0</v>
      </c>
      <c r="C102" s="11" t="s">
        <v>191</v>
      </c>
      <c r="D102" s="11" t="s">
        <v>45</v>
      </c>
      <c r="E102" s="11" t="s">
        <v>94</v>
      </c>
      <c r="F102" s="11"/>
      <c r="G102" s="11" t="s">
        <v>95</v>
      </c>
      <c r="H102" s="11"/>
      <c r="I102" s="12">
        <v>290</v>
      </c>
      <c r="J102" s="11" t="s">
        <v>95</v>
      </c>
      <c r="K102" s="11" t="s">
        <v>89</v>
      </c>
      <c r="L102" s="11"/>
      <c r="M102" s="11" t="s">
        <v>95</v>
      </c>
      <c r="N102" s="11" t="s">
        <v>89</v>
      </c>
      <c r="O102" s="11"/>
      <c r="P102" s="11"/>
      <c r="Q102" s="11" t="s">
        <v>45</v>
      </c>
      <c r="R102" s="11"/>
      <c r="S102" s="11"/>
      <c r="T102" s="11"/>
      <c r="U102" s="11" t="s">
        <v>45</v>
      </c>
      <c r="V102" s="11" t="s">
        <v>95</v>
      </c>
      <c r="W102" s="12" t="b">
        <v>0</v>
      </c>
      <c r="X102" s="11"/>
      <c r="Y102" s="11" t="s">
        <v>45</v>
      </c>
    </row>
    <row r="103" hidden="1" spans="1:25">
      <c r="A103" s="12">
        <v>100</v>
      </c>
      <c r="B103" s="12" t="b">
        <v>0</v>
      </c>
      <c r="C103" s="11" t="s">
        <v>192</v>
      </c>
      <c r="D103" s="11" t="s">
        <v>45</v>
      </c>
      <c r="E103" s="11" t="s">
        <v>94</v>
      </c>
      <c r="F103" s="11"/>
      <c r="G103" s="11" t="s">
        <v>95</v>
      </c>
      <c r="H103" s="11"/>
      <c r="I103" s="12">
        <v>290</v>
      </c>
      <c r="J103" s="11" t="s">
        <v>95</v>
      </c>
      <c r="K103" s="11" t="s">
        <v>89</v>
      </c>
      <c r="L103" s="11"/>
      <c r="M103" s="11" t="s">
        <v>95</v>
      </c>
      <c r="N103" s="11" t="s">
        <v>89</v>
      </c>
      <c r="O103" s="11"/>
      <c r="P103" s="11"/>
      <c r="Q103" s="11" t="s">
        <v>45</v>
      </c>
      <c r="R103" s="11"/>
      <c r="S103" s="11"/>
      <c r="T103" s="11"/>
      <c r="U103" s="11" t="s">
        <v>45</v>
      </c>
      <c r="V103" s="11" t="s">
        <v>95</v>
      </c>
      <c r="W103" s="12" t="b">
        <v>0</v>
      </c>
      <c r="X103" s="11"/>
      <c r="Y103" s="11" t="s">
        <v>45</v>
      </c>
    </row>
    <row r="104" hidden="1" spans="1:25">
      <c r="A104" s="12">
        <v>101</v>
      </c>
      <c r="B104" s="12" t="b">
        <v>0</v>
      </c>
      <c r="C104" s="11" t="s">
        <v>193</v>
      </c>
      <c r="D104" s="11" t="s">
        <v>45</v>
      </c>
      <c r="E104" s="11" t="s">
        <v>94</v>
      </c>
      <c r="F104" s="11"/>
      <c r="G104" s="11" t="s">
        <v>95</v>
      </c>
      <c r="H104" s="11"/>
      <c r="I104" s="12">
        <v>290</v>
      </c>
      <c r="J104" s="11" t="s">
        <v>95</v>
      </c>
      <c r="K104" s="11" t="s">
        <v>89</v>
      </c>
      <c r="L104" s="11"/>
      <c r="M104" s="11" t="s">
        <v>95</v>
      </c>
      <c r="N104" s="11" t="s">
        <v>89</v>
      </c>
      <c r="O104" s="11"/>
      <c r="P104" s="11"/>
      <c r="Q104" s="11" t="s">
        <v>45</v>
      </c>
      <c r="R104" s="11"/>
      <c r="S104" s="11"/>
      <c r="T104" s="11"/>
      <c r="U104" s="11" t="s">
        <v>45</v>
      </c>
      <c r="V104" s="11" t="s">
        <v>95</v>
      </c>
      <c r="W104" s="12" t="b">
        <v>0</v>
      </c>
      <c r="X104" s="11"/>
      <c r="Y104" s="11" t="s">
        <v>45</v>
      </c>
    </row>
    <row r="105" hidden="1" spans="1:25">
      <c r="A105" s="12">
        <v>102</v>
      </c>
      <c r="B105" s="12" t="b">
        <v>0</v>
      </c>
      <c r="C105" s="11" t="s">
        <v>194</v>
      </c>
      <c r="D105" s="11" t="s">
        <v>45</v>
      </c>
      <c r="E105" s="11" t="s">
        <v>94</v>
      </c>
      <c r="F105" s="11"/>
      <c r="G105" s="11" t="s">
        <v>95</v>
      </c>
      <c r="H105" s="11"/>
      <c r="I105" s="12">
        <v>290</v>
      </c>
      <c r="J105" s="11" t="s">
        <v>95</v>
      </c>
      <c r="K105" s="11" t="s">
        <v>89</v>
      </c>
      <c r="L105" s="11"/>
      <c r="M105" s="11" t="s">
        <v>95</v>
      </c>
      <c r="N105" s="11" t="s">
        <v>89</v>
      </c>
      <c r="O105" s="11"/>
      <c r="P105" s="11"/>
      <c r="Q105" s="11" t="s">
        <v>45</v>
      </c>
      <c r="R105" s="11"/>
      <c r="S105" s="11"/>
      <c r="T105" s="11"/>
      <c r="U105" s="11" t="s">
        <v>45</v>
      </c>
      <c r="V105" s="11" t="s">
        <v>95</v>
      </c>
      <c r="W105" s="12" t="b">
        <v>0</v>
      </c>
      <c r="X105" s="11"/>
      <c r="Y105" s="11" t="s">
        <v>45</v>
      </c>
    </row>
    <row r="106" hidden="1" spans="1:25">
      <c r="A106" s="12">
        <v>103</v>
      </c>
      <c r="B106" s="12" t="b">
        <v>0</v>
      </c>
      <c r="C106" s="11" t="s">
        <v>195</v>
      </c>
      <c r="D106" s="11" t="s">
        <v>45</v>
      </c>
      <c r="E106" s="11" t="s">
        <v>94</v>
      </c>
      <c r="F106" s="11"/>
      <c r="G106" s="11" t="s">
        <v>95</v>
      </c>
      <c r="H106" s="11"/>
      <c r="I106" s="12">
        <v>290</v>
      </c>
      <c r="J106" s="11" t="s">
        <v>95</v>
      </c>
      <c r="K106" s="11" t="s">
        <v>89</v>
      </c>
      <c r="L106" s="11"/>
      <c r="M106" s="11" t="s">
        <v>95</v>
      </c>
      <c r="N106" s="11" t="s">
        <v>89</v>
      </c>
      <c r="O106" s="11"/>
      <c r="P106" s="11"/>
      <c r="Q106" s="11" t="s">
        <v>45</v>
      </c>
      <c r="R106" s="11"/>
      <c r="S106" s="11"/>
      <c r="T106" s="11"/>
      <c r="U106" s="11" t="s">
        <v>45</v>
      </c>
      <c r="V106" s="11" t="s">
        <v>95</v>
      </c>
      <c r="W106" s="12" t="b">
        <v>0</v>
      </c>
      <c r="X106" s="11"/>
      <c r="Y106" s="11" t="s">
        <v>45</v>
      </c>
    </row>
    <row r="107" hidden="1" spans="1:25">
      <c r="A107" s="12">
        <v>104</v>
      </c>
      <c r="B107" s="12" t="b">
        <v>0</v>
      </c>
      <c r="C107" s="11" t="s">
        <v>196</v>
      </c>
      <c r="D107" s="11" t="s">
        <v>45</v>
      </c>
      <c r="E107" s="11" t="s">
        <v>94</v>
      </c>
      <c r="F107" s="11"/>
      <c r="G107" s="11" t="s">
        <v>95</v>
      </c>
      <c r="H107" s="11"/>
      <c r="I107" s="12">
        <v>290</v>
      </c>
      <c r="J107" s="11" t="s">
        <v>95</v>
      </c>
      <c r="K107" s="11" t="s">
        <v>89</v>
      </c>
      <c r="L107" s="11"/>
      <c r="M107" s="11" t="s">
        <v>95</v>
      </c>
      <c r="N107" s="11" t="s">
        <v>89</v>
      </c>
      <c r="O107" s="11"/>
      <c r="P107" s="11"/>
      <c r="Q107" s="11" t="s">
        <v>45</v>
      </c>
      <c r="R107" s="11"/>
      <c r="S107" s="11"/>
      <c r="T107" s="11"/>
      <c r="U107" s="11" t="s">
        <v>45</v>
      </c>
      <c r="V107" s="11" t="s">
        <v>95</v>
      </c>
      <c r="W107" s="12" t="b">
        <v>0</v>
      </c>
      <c r="X107" s="11"/>
      <c r="Y107" s="11" t="s">
        <v>45</v>
      </c>
    </row>
    <row r="108" hidden="1" spans="1:25">
      <c r="A108" s="12">
        <v>105</v>
      </c>
      <c r="B108" s="12" t="b">
        <v>0</v>
      </c>
      <c r="C108" s="11" t="s">
        <v>197</v>
      </c>
      <c r="D108" s="11" t="s">
        <v>45</v>
      </c>
      <c r="E108" s="11" t="s">
        <v>94</v>
      </c>
      <c r="F108" s="11"/>
      <c r="G108" s="11" t="s">
        <v>95</v>
      </c>
      <c r="H108" s="11"/>
      <c r="I108" s="12">
        <v>290</v>
      </c>
      <c r="J108" s="11" t="s">
        <v>95</v>
      </c>
      <c r="K108" s="11" t="s">
        <v>89</v>
      </c>
      <c r="L108" s="11"/>
      <c r="M108" s="11" t="s">
        <v>95</v>
      </c>
      <c r="N108" s="11" t="s">
        <v>89</v>
      </c>
      <c r="O108" s="11"/>
      <c r="P108" s="11"/>
      <c r="Q108" s="11" t="s">
        <v>45</v>
      </c>
      <c r="R108" s="11"/>
      <c r="S108" s="11"/>
      <c r="T108" s="11"/>
      <c r="U108" s="11" t="s">
        <v>45</v>
      </c>
      <c r="V108" s="11" t="s">
        <v>95</v>
      </c>
      <c r="W108" s="12" t="b">
        <v>0</v>
      </c>
      <c r="X108" s="11"/>
      <c r="Y108" s="11" t="s">
        <v>45</v>
      </c>
    </row>
    <row r="109" hidden="1" spans="1:25">
      <c r="A109" s="12">
        <v>106</v>
      </c>
      <c r="B109" s="12" t="b">
        <v>0</v>
      </c>
      <c r="C109" s="11" t="s">
        <v>198</v>
      </c>
      <c r="D109" s="11" t="s">
        <v>45</v>
      </c>
      <c r="E109" s="11" t="s">
        <v>94</v>
      </c>
      <c r="F109" s="11"/>
      <c r="G109" s="11" t="s">
        <v>95</v>
      </c>
      <c r="H109" s="11"/>
      <c r="I109" s="12">
        <v>290</v>
      </c>
      <c r="J109" s="11" t="s">
        <v>95</v>
      </c>
      <c r="K109" s="11" t="s">
        <v>89</v>
      </c>
      <c r="L109" s="11"/>
      <c r="M109" s="11" t="s">
        <v>95</v>
      </c>
      <c r="N109" s="11" t="s">
        <v>89</v>
      </c>
      <c r="O109" s="11"/>
      <c r="P109" s="11"/>
      <c r="Q109" s="11" t="s">
        <v>45</v>
      </c>
      <c r="R109" s="11"/>
      <c r="S109" s="11"/>
      <c r="T109" s="11"/>
      <c r="U109" s="11" t="s">
        <v>45</v>
      </c>
      <c r="V109" s="11" t="s">
        <v>95</v>
      </c>
      <c r="W109" s="12" t="b">
        <v>0</v>
      </c>
      <c r="X109" s="11"/>
      <c r="Y109" s="11" t="s">
        <v>45</v>
      </c>
    </row>
    <row r="110" hidden="1" spans="1:25">
      <c r="A110" s="12">
        <v>107</v>
      </c>
      <c r="B110" s="12" t="b">
        <v>0</v>
      </c>
      <c r="C110" s="11" t="s">
        <v>199</v>
      </c>
      <c r="D110" s="11" t="s">
        <v>45</v>
      </c>
      <c r="E110" s="11" t="s">
        <v>94</v>
      </c>
      <c r="F110" s="11"/>
      <c r="G110" s="11" t="s">
        <v>95</v>
      </c>
      <c r="H110" s="11"/>
      <c r="I110" s="12">
        <v>290</v>
      </c>
      <c r="J110" s="11" t="s">
        <v>95</v>
      </c>
      <c r="K110" s="11" t="s">
        <v>89</v>
      </c>
      <c r="L110" s="11"/>
      <c r="M110" s="11" t="s">
        <v>95</v>
      </c>
      <c r="N110" s="11" t="s">
        <v>89</v>
      </c>
      <c r="O110" s="11"/>
      <c r="P110" s="11"/>
      <c r="Q110" s="11" t="s">
        <v>45</v>
      </c>
      <c r="R110" s="11"/>
      <c r="S110" s="11"/>
      <c r="T110" s="11"/>
      <c r="U110" s="11" t="s">
        <v>45</v>
      </c>
      <c r="V110" s="11" t="s">
        <v>95</v>
      </c>
      <c r="W110" s="12" t="b">
        <v>0</v>
      </c>
      <c r="X110" s="11"/>
      <c r="Y110" s="11" t="s">
        <v>45</v>
      </c>
    </row>
    <row r="111" hidden="1" spans="1:25">
      <c r="A111" s="12">
        <v>108</v>
      </c>
      <c r="B111" s="12" t="b">
        <v>0</v>
      </c>
      <c r="C111" s="11" t="s">
        <v>200</v>
      </c>
      <c r="D111" s="11" t="s">
        <v>45</v>
      </c>
      <c r="E111" s="11" t="s">
        <v>94</v>
      </c>
      <c r="F111" s="11"/>
      <c r="G111" s="11" t="s">
        <v>95</v>
      </c>
      <c r="H111" s="11"/>
      <c r="I111" s="12">
        <v>290</v>
      </c>
      <c r="J111" s="11" t="s">
        <v>95</v>
      </c>
      <c r="K111" s="11" t="s">
        <v>89</v>
      </c>
      <c r="L111" s="11"/>
      <c r="M111" s="11" t="s">
        <v>95</v>
      </c>
      <c r="N111" s="11" t="s">
        <v>89</v>
      </c>
      <c r="O111" s="11"/>
      <c r="P111" s="11"/>
      <c r="Q111" s="11" t="s">
        <v>45</v>
      </c>
      <c r="R111" s="11"/>
      <c r="S111" s="11"/>
      <c r="T111" s="11"/>
      <c r="U111" s="11" t="s">
        <v>45</v>
      </c>
      <c r="V111" s="11" t="s">
        <v>95</v>
      </c>
      <c r="W111" s="12" t="b">
        <v>0</v>
      </c>
      <c r="X111" s="11"/>
      <c r="Y111" s="11" t="s">
        <v>45</v>
      </c>
    </row>
    <row r="112" hidden="1" spans="1:25">
      <c r="A112" s="12">
        <v>109</v>
      </c>
      <c r="B112" s="12" t="b">
        <v>0</v>
      </c>
      <c r="C112" s="11" t="s">
        <v>201</v>
      </c>
      <c r="D112" s="11" t="s">
        <v>45</v>
      </c>
      <c r="E112" s="11" t="s">
        <v>94</v>
      </c>
      <c r="F112" s="11"/>
      <c r="G112" s="11" t="s">
        <v>95</v>
      </c>
      <c r="H112" s="11"/>
      <c r="I112" s="12">
        <v>290</v>
      </c>
      <c r="J112" s="11" t="s">
        <v>95</v>
      </c>
      <c r="K112" s="11" t="s">
        <v>89</v>
      </c>
      <c r="L112" s="11"/>
      <c r="M112" s="11" t="s">
        <v>95</v>
      </c>
      <c r="N112" s="11" t="s">
        <v>89</v>
      </c>
      <c r="O112" s="11"/>
      <c r="P112" s="11"/>
      <c r="Q112" s="11" t="s">
        <v>45</v>
      </c>
      <c r="R112" s="11"/>
      <c r="S112" s="11"/>
      <c r="T112" s="11"/>
      <c r="U112" s="11" t="s">
        <v>45</v>
      </c>
      <c r="V112" s="11" t="s">
        <v>95</v>
      </c>
      <c r="W112" s="12" t="b">
        <v>0</v>
      </c>
      <c r="X112" s="11"/>
      <c r="Y112" s="11" t="s">
        <v>45</v>
      </c>
    </row>
    <row r="113" hidden="1" spans="1:25">
      <c r="A113" s="12">
        <v>110</v>
      </c>
      <c r="B113" s="12" t="b">
        <v>0</v>
      </c>
      <c r="C113" s="11" t="s">
        <v>202</v>
      </c>
      <c r="D113" s="11" t="s">
        <v>45</v>
      </c>
      <c r="E113" s="11" t="s">
        <v>94</v>
      </c>
      <c r="F113" s="11"/>
      <c r="G113" s="11" t="s">
        <v>95</v>
      </c>
      <c r="H113" s="11"/>
      <c r="I113" s="12">
        <v>290</v>
      </c>
      <c r="J113" s="11" t="s">
        <v>95</v>
      </c>
      <c r="K113" s="11" t="s">
        <v>89</v>
      </c>
      <c r="L113" s="11"/>
      <c r="M113" s="11" t="s">
        <v>95</v>
      </c>
      <c r="N113" s="11" t="s">
        <v>89</v>
      </c>
      <c r="O113" s="11"/>
      <c r="P113" s="11"/>
      <c r="Q113" s="11" t="s">
        <v>45</v>
      </c>
      <c r="R113" s="11"/>
      <c r="S113" s="11"/>
      <c r="T113" s="11"/>
      <c r="U113" s="11" t="s">
        <v>45</v>
      </c>
      <c r="V113" s="11" t="s">
        <v>95</v>
      </c>
      <c r="W113" s="12" t="b">
        <v>0</v>
      </c>
      <c r="X113" s="11"/>
      <c r="Y113" s="11" t="s">
        <v>45</v>
      </c>
    </row>
    <row r="114" hidden="1" spans="1:25">
      <c r="A114" s="12">
        <v>111</v>
      </c>
      <c r="B114" s="12" t="b">
        <v>0</v>
      </c>
      <c r="C114" s="11" t="s">
        <v>203</v>
      </c>
      <c r="D114" s="11" t="s">
        <v>45</v>
      </c>
      <c r="E114" s="11" t="s">
        <v>94</v>
      </c>
      <c r="F114" s="11"/>
      <c r="G114" s="11" t="s">
        <v>95</v>
      </c>
      <c r="H114" s="11"/>
      <c r="I114" s="12">
        <v>290</v>
      </c>
      <c r="J114" s="11" t="s">
        <v>95</v>
      </c>
      <c r="K114" s="11" t="s">
        <v>89</v>
      </c>
      <c r="L114" s="11"/>
      <c r="M114" s="11" t="s">
        <v>95</v>
      </c>
      <c r="N114" s="11" t="s">
        <v>89</v>
      </c>
      <c r="O114" s="11"/>
      <c r="P114" s="11"/>
      <c r="Q114" s="11" t="s">
        <v>45</v>
      </c>
      <c r="R114" s="11"/>
      <c r="S114" s="11"/>
      <c r="T114" s="11"/>
      <c r="U114" s="11" t="s">
        <v>45</v>
      </c>
      <c r="V114" s="11" t="s">
        <v>95</v>
      </c>
      <c r="W114" s="12" t="b">
        <v>0</v>
      </c>
      <c r="X114" s="11"/>
      <c r="Y114" s="11" t="s">
        <v>45</v>
      </c>
    </row>
    <row r="115" hidden="1" spans="1:25">
      <c r="A115" s="12">
        <v>112</v>
      </c>
      <c r="B115" s="12" t="b">
        <v>0</v>
      </c>
      <c r="C115" s="11" t="s">
        <v>204</v>
      </c>
      <c r="D115" s="11" t="s">
        <v>45</v>
      </c>
      <c r="E115" s="11" t="s">
        <v>94</v>
      </c>
      <c r="F115" s="11"/>
      <c r="G115" s="11" t="s">
        <v>95</v>
      </c>
      <c r="H115" s="11"/>
      <c r="I115" s="12">
        <v>290</v>
      </c>
      <c r="J115" s="11" t="s">
        <v>95</v>
      </c>
      <c r="K115" s="11" t="s">
        <v>89</v>
      </c>
      <c r="L115" s="11"/>
      <c r="M115" s="11" t="s">
        <v>95</v>
      </c>
      <c r="N115" s="11" t="s">
        <v>89</v>
      </c>
      <c r="O115" s="11"/>
      <c r="P115" s="11"/>
      <c r="Q115" s="11" t="s">
        <v>45</v>
      </c>
      <c r="R115" s="11"/>
      <c r="S115" s="11"/>
      <c r="T115" s="11"/>
      <c r="U115" s="11" t="s">
        <v>45</v>
      </c>
      <c r="V115" s="11" t="s">
        <v>95</v>
      </c>
      <c r="W115" s="12" t="b">
        <v>0</v>
      </c>
      <c r="X115" s="11"/>
      <c r="Y115" s="11" t="s">
        <v>45</v>
      </c>
    </row>
    <row r="116" hidden="1" spans="1:25">
      <c r="A116" s="12">
        <v>113</v>
      </c>
      <c r="B116" s="12" t="b">
        <v>0</v>
      </c>
      <c r="C116" s="11" t="s">
        <v>205</v>
      </c>
      <c r="D116" s="11" t="s">
        <v>45</v>
      </c>
      <c r="E116" s="11" t="s">
        <v>94</v>
      </c>
      <c r="F116" s="11"/>
      <c r="G116" s="11" t="s">
        <v>95</v>
      </c>
      <c r="H116" s="11"/>
      <c r="I116" s="12">
        <v>290</v>
      </c>
      <c r="J116" s="11" t="s">
        <v>95</v>
      </c>
      <c r="K116" s="11" t="s">
        <v>89</v>
      </c>
      <c r="L116" s="11"/>
      <c r="M116" s="11" t="s">
        <v>95</v>
      </c>
      <c r="N116" s="11" t="s">
        <v>89</v>
      </c>
      <c r="O116" s="11"/>
      <c r="P116" s="11"/>
      <c r="Q116" s="11" t="s">
        <v>45</v>
      </c>
      <c r="R116" s="11"/>
      <c r="S116" s="11"/>
      <c r="T116" s="11"/>
      <c r="U116" s="11" t="s">
        <v>45</v>
      </c>
      <c r="V116" s="11" t="s">
        <v>95</v>
      </c>
      <c r="W116" s="12" t="b">
        <v>0</v>
      </c>
      <c r="X116" s="11"/>
      <c r="Y116" s="11" t="s">
        <v>45</v>
      </c>
    </row>
    <row r="117" hidden="1" spans="1:25">
      <c r="A117" s="12">
        <v>114</v>
      </c>
      <c r="B117" s="12" t="b">
        <v>0</v>
      </c>
      <c r="C117" s="11" t="s">
        <v>206</v>
      </c>
      <c r="D117" s="11" t="s">
        <v>45</v>
      </c>
      <c r="E117" s="11" t="s">
        <v>94</v>
      </c>
      <c r="F117" s="11"/>
      <c r="G117" s="11" t="s">
        <v>95</v>
      </c>
      <c r="H117" s="11"/>
      <c r="I117" s="12">
        <v>290</v>
      </c>
      <c r="J117" s="11" t="s">
        <v>95</v>
      </c>
      <c r="K117" s="11" t="s">
        <v>89</v>
      </c>
      <c r="L117" s="11"/>
      <c r="M117" s="11" t="s">
        <v>95</v>
      </c>
      <c r="N117" s="11" t="s">
        <v>89</v>
      </c>
      <c r="O117" s="11"/>
      <c r="P117" s="11"/>
      <c r="Q117" s="11" t="s">
        <v>45</v>
      </c>
      <c r="R117" s="11"/>
      <c r="S117" s="11"/>
      <c r="T117" s="11"/>
      <c r="U117" s="11" t="s">
        <v>45</v>
      </c>
      <c r="V117" s="11" t="s">
        <v>95</v>
      </c>
      <c r="W117" s="12" t="b">
        <v>0</v>
      </c>
      <c r="X117" s="11"/>
      <c r="Y117" s="11" t="s">
        <v>45</v>
      </c>
    </row>
    <row r="118" hidden="1" spans="1:25">
      <c r="A118" s="12">
        <v>115</v>
      </c>
      <c r="B118" s="12" t="b">
        <v>0</v>
      </c>
      <c r="C118" s="11" t="s">
        <v>207</v>
      </c>
      <c r="D118" s="11" t="s">
        <v>45</v>
      </c>
      <c r="E118" s="11" t="s">
        <v>94</v>
      </c>
      <c r="F118" s="11"/>
      <c r="G118" s="11" t="s">
        <v>95</v>
      </c>
      <c r="H118" s="11"/>
      <c r="I118" s="12">
        <v>290</v>
      </c>
      <c r="J118" s="11" t="s">
        <v>95</v>
      </c>
      <c r="K118" s="11" t="s">
        <v>89</v>
      </c>
      <c r="L118" s="11"/>
      <c r="M118" s="11" t="s">
        <v>95</v>
      </c>
      <c r="N118" s="11" t="s">
        <v>89</v>
      </c>
      <c r="O118" s="11"/>
      <c r="P118" s="11"/>
      <c r="Q118" s="11" t="s">
        <v>45</v>
      </c>
      <c r="R118" s="11"/>
      <c r="S118" s="11"/>
      <c r="T118" s="11"/>
      <c r="U118" s="11" t="s">
        <v>45</v>
      </c>
      <c r="V118" s="11" t="s">
        <v>95</v>
      </c>
      <c r="W118" s="12" t="b">
        <v>0</v>
      </c>
      <c r="X118" s="11"/>
      <c r="Y118" s="11" t="s">
        <v>45</v>
      </c>
    </row>
    <row r="119" hidden="1" spans="1:25">
      <c r="A119" s="12">
        <v>116</v>
      </c>
      <c r="B119" s="12" t="b">
        <v>0</v>
      </c>
      <c r="C119" s="11" t="s">
        <v>208</v>
      </c>
      <c r="D119" s="11" t="s">
        <v>45</v>
      </c>
      <c r="E119" s="11" t="s">
        <v>94</v>
      </c>
      <c r="F119" s="11"/>
      <c r="G119" s="11" t="s">
        <v>95</v>
      </c>
      <c r="H119" s="11"/>
      <c r="I119" s="12">
        <v>290</v>
      </c>
      <c r="J119" s="11" t="s">
        <v>95</v>
      </c>
      <c r="K119" s="11" t="s">
        <v>89</v>
      </c>
      <c r="L119" s="11"/>
      <c r="M119" s="11" t="s">
        <v>95</v>
      </c>
      <c r="N119" s="11" t="s">
        <v>89</v>
      </c>
      <c r="O119" s="11"/>
      <c r="P119" s="11"/>
      <c r="Q119" s="11" t="s">
        <v>45</v>
      </c>
      <c r="R119" s="11"/>
      <c r="S119" s="11"/>
      <c r="T119" s="11"/>
      <c r="U119" s="11" t="s">
        <v>45</v>
      </c>
      <c r="V119" s="11" t="s">
        <v>95</v>
      </c>
      <c r="W119" s="12" t="b">
        <v>0</v>
      </c>
      <c r="X119" s="11"/>
      <c r="Y119" s="11" t="s">
        <v>45</v>
      </c>
    </row>
    <row r="120" hidden="1" spans="1:25">
      <c r="A120" s="12">
        <v>117</v>
      </c>
      <c r="B120" s="12" t="b">
        <v>0</v>
      </c>
      <c r="C120" s="11" t="s">
        <v>209</v>
      </c>
      <c r="D120" s="11" t="s">
        <v>45</v>
      </c>
      <c r="E120" s="11" t="s">
        <v>94</v>
      </c>
      <c r="F120" s="11"/>
      <c r="G120" s="11" t="s">
        <v>95</v>
      </c>
      <c r="H120" s="11"/>
      <c r="I120" s="12">
        <v>290</v>
      </c>
      <c r="J120" s="11" t="s">
        <v>95</v>
      </c>
      <c r="K120" s="11" t="s">
        <v>89</v>
      </c>
      <c r="L120" s="11"/>
      <c r="M120" s="11" t="s">
        <v>95</v>
      </c>
      <c r="N120" s="11" t="s">
        <v>89</v>
      </c>
      <c r="O120" s="11"/>
      <c r="P120" s="11"/>
      <c r="Q120" s="11" t="s">
        <v>45</v>
      </c>
      <c r="R120" s="11"/>
      <c r="S120" s="11"/>
      <c r="T120" s="11"/>
      <c r="U120" s="11" t="s">
        <v>45</v>
      </c>
      <c r="V120" s="11" t="s">
        <v>95</v>
      </c>
      <c r="W120" s="12" t="b">
        <v>0</v>
      </c>
      <c r="X120" s="11"/>
      <c r="Y120" s="11" t="s">
        <v>45</v>
      </c>
    </row>
    <row r="121" hidden="1" spans="1:25">
      <c r="A121" s="12">
        <v>118</v>
      </c>
      <c r="B121" s="12" t="b">
        <v>0</v>
      </c>
      <c r="C121" s="11" t="s">
        <v>210</v>
      </c>
      <c r="D121" s="11" t="s">
        <v>45</v>
      </c>
      <c r="E121" s="11" t="s">
        <v>94</v>
      </c>
      <c r="F121" s="11"/>
      <c r="G121" s="11" t="s">
        <v>95</v>
      </c>
      <c r="H121" s="11"/>
      <c r="I121" s="12">
        <v>290</v>
      </c>
      <c r="J121" s="11" t="s">
        <v>95</v>
      </c>
      <c r="K121" s="11" t="s">
        <v>89</v>
      </c>
      <c r="L121" s="11"/>
      <c r="M121" s="11" t="s">
        <v>95</v>
      </c>
      <c r="N121" s="11" t="s">
        <v>89</v>
      </c>
      <c r="O121" s="11"/>
      <c r="P121" s="11"/>
      <c r="Q121" s="11" t="s">
        <v>45</v>
      </c>
      <c r="R121" s="11"/>
      <c r="S121" s="11"/>
      <c r="T121" s="11"/>
      <c r="U121" s="11" t="s">
        <v>45</v>
      </c>
      <c r="V121" s="11" t="s">
        <v>95</v>
      </c>
      <c r="W121" s="12" t="b">
        <v>0</v>
      </c>
      <c r="X121" s="11"/>
      <c r="Y121" s="11" t="s">
        <v>45</v>
      </c>
    </row>
    <row r="122" hidden="1" spans="1:25">
      <c r="A122" s="12">
        <v>119</v>
      </c>
      <c r="B122" s="12" t="b">
        <v>0</v>
      </c>
      <c r="C122" s="11" t="s">
        <v>211</v>
      </c>
      <c r="D122" s="11" t="s">
        <v>45</v>
      </c>
      <c r="E122" s="11" t="s">
        <v>94</v>
      </c>
      <c r="F122" s="11"/>
      <c r="G122" s="11" t="s">
        <v>95</v>
      </c>
      <c r="H122" s="11"/>
      <c r="I122" s="12">
        <v>290</v>
      </c>
      <c r="J122" s="11" t="s">
        <v>95</v>
      </c>
      <c r="K122" s="11" t="s">
        <v>89</v>
      </c>
      <c r="L122" s="11"/>
      <c r="M122" s="11" t="s">
        <v>95</v>
      </c>
      <c r="N122" s="11" t="s">
        <v>89</v>
      </c>
      <c r="O122" s="11"/>
      <c r="P122" s="11"/>
      <c r="Q122" s="11" t="s">
        <v>45</v>
      </c>
      <c r="R122" s="11"/>
      <c r="S122" s="11"/>
      <c r="T122" s="11"/>
      <c r="U122" s="11" t="s">
        <v>45</v>
      </c>
      <c r="V122" s="11" t="s">
        <v>95</v>
      </c>
      <c r="W122" s="12" t="b">
        <v>0</v>
      </c>
      <c r="X122" s="11"/>
      <c r="Y122" s="11" t="s">
        <v>45</v>
      </c>
    </row>
    <row r="123" hidden="1" spans="1:25">
      <c r="A123" s="12">
        <v>120</v>
      </c>
      <c r="B123" s="12" t="b">
        <v>0</v>
      </c>
      <c r="C123" s="11" t="s">
        <v>212</v>
      </c>
      <c r="D123" s="11" t="s">
        <v>45</v>
      </c>
      <c r="E123" s="11" t="s">
        <v>94</v>
      </c>
      <c r="F123" s="11"/>
      <c r="G123" s="11" t="s">
        <v>95</v>
      </c>
      <c r="H123" s="11"/>
      <c r="I123" s="12">
        <v>290</v>
      </c>
      <c r="J123" s="11" t="s">
        <v>95</v>
      </c>
      <c r="K123" s="11" t="s">
        <v>89</v>
      </c>
      <c r="L123" s="11"/>
      <c r="M123" s="11" t="s">
        <v>95</v>
      </c>
      <c r="N123" s="11" t="s">
        <v>89</v>
      </c>
      <c r="O123" s="11"/>
      <c r="P123" s="11"/>
      <c r="Q123" s="11" t="s">
        <v>45</v>
      </c>
      <c r="R123" s="11"/>
      <c r="S123" s="11"/>
      <c r="T123" s="11"/>
      <c r="U123" s="11" t="s">
        <v>45</v>
      </c>
      <c r="V123" s="11" t="s">
        <v>95</v>
      </c>
      <c r="W123" s="12" t="b">
        <v>0</v>
      </c>
      <c r="X123" s="11"/>
      <c r="Y123" s="11" t="s">
        <v>45</v>
      </c>
    </row>
    <row r="124" hidden="1" spans="1:25">
      <c r="A124" s="12">
        <v>121</v>
      </c>
      <c r="B124" s="12" t="b">
        <v>0</v>
      </c>
      <c r="C124" s="11" t="s">
        <v>213</v>
      </c>
      <c r="D124" s="11" t="s">
        <v>45</v>
      </c>
      <c r="E124" s="11" t="s">
        <v>94</v>
      </c>
      <c r="F124" s="11"/>
      <c r="G124" s="11" t="s">
        <v>95</v>
      </c>
      <c r="H124" s="11"/>
      <c r="I124" s="12">
        <v>290</v>
      </c>
      <c r="J124" s="11" t="s">
        <v>95</v>
      </c>
      <c r="K124" s="11" t="s">
        <v>89</v>
      </c>
      <c r="L124" s="11"/>
      <c r="M124" s="11" t="s">
        <v>95</v>
      </c>
      <c r="N124" s="11" t="s">
        <v>89</v>
      </c>
      <c r="O124" s="11"/>
      <c r="P124" s="11"/>
      <c r="Q124" s="11" t="s">
        <v>45</v>
      </c>
      <c r="R124" s="11"/>
      <c r="S124" s="11"/>
      <c r="T124" s="11"/>
      <c r="U124" s="11" t="s">
        <v>45</v>
      </c>
      <c r="V124" s="11" t="s">
        <v>95</v>
      </c>
      <c r="W124" s="12" t="b">
        <v>0</v>
      </c>
      <c r="X124" s="11"/>
      <c r="Y124" s="11" t="s">
        <v>45</v>
      </c>
    </row>
    <row r="125" hidden="1" spans="1:25">
      <c r="A125" s="12">
        <v>122</v>
      </c>
      <c r="B125" s="12" t="b">
        <v>0</v>
      </c>
      <c r="C125" s="11" t="s">
        <v>214</v>
      </c>
      <c r="D125" s="11" t="s">
        <v>45</v>
      </c>
      <c r="E125" s="11" t="s">
        <v>94</v>
      </c>
      <c r="F125" s="11"/>
      <c r="G125" s="11" t="s">
        <v>95</v>
      </c>
      <c r="H125" s="11"/>
      <c r="I125" s="12">
        <v>290</v>
      </c>
      <c r="J125" s="11" t="s">
        <v>95</v>
      </c>
      <c r="K125" s="11" t="s">
        <v>89</v>
      </c>
      <c r="L125" s="11"/>
      <c r="M125" s="11" t="s">
        <v>95</v>
      </c>
      <c r="N125" s="11" t="s">
        <v>89</v>
      </c>
      <c r="O125" s="11"/>
      <c r="P125" s="11"/>
      <c r="Q125" s="11" t="s">
        <v>45</v>
      </c>
      <c r="R125" s="11"/>
      <c r="S125" s="11"/>
      <c r="T125" s="11"/>
      <c r="U125" s="11" t="s">
        <v>45</v>
      </c>
      <c r="V125" s="11" t="s">
        <v>95</v>
      </c>
      <c r="W125" s="12" t="b">
        <v>0</v>
      </c>
      <c r="X125" s="11"/>
      <c r="Y125" s="11" t="s">
        <v>45</v>
      </c>
    </row>
    <row r="126" hidden="1" spans="1:25">
      <c r="A126" s="12">
        <v>123</v>
      </c>
      <c r="B126" s="12" t="b">
        <v>0</v>
      </c>
      <c r="C126" s="11" t="s">
        <v>215</v>
      </c>
      <c r="D126" s="11" t="s">
        <v>45</v>
      </c>
      <c r="E126" s="11" t="s">
        <v>94</v>
      </c>
      <c r="F126" s="11"/>
      <c r="G126" s="11" t="s">
        <v>95</v>
      </c>
      <c r="H126" s="11"/>
      <c r="I126" s="12">
        <v>290</v>
      </c>
      <c r="J126" s="11" t="s">
        <v>95</v>
      </c>
      <c r="K126" s="11" t="s">
        <v>89</v>
      </c>
      <c r="L126" s="11"/>
      <c r="M126" s="11" t="s">
        <v>95</v>
      </c>
      <c r="N126" s="11" t="s">
        <v>89</v>
      </c>
      <c r="O126" s="11"/>
      <c r="P126" s="11"/>
      <c r="Q126" s="11" t="s">
        <v>45</v>
      </c>
      <c r="R126" s="11"/>
      <c r="S126" s="11"/>
      <c r="T126" s="11"/>
      <c r="U126" s="11" t="s">
        <v>45</v>
      </c>
      <c r="V126" s="11" t="s">
        <v>95</v>
      </c>
      <c r="W126" s="12" t="b">
        <v>0</v>
      </c>
      <c r="X126" s="11"/>
      <c r="Y126" s="11" t="s">
        <v>45</v>
      </c>
    </row>
    <row r="127" hidden="1" spans="1:25">
      <c r="A127" s="12">
        <v>124</v>
      </c>
      <c r="B127" s="12" t="b">
        <v>0</v>
      </c>
      <c r="C127" s="11" t="s">
        <v>216</v>
      </c>
      <c r="D127" s="11" t="s">
        <v>45</v>
      </c>
      <c r="E127" s="11" t="s">
        <v>94</v>
      </c>
      <c r="F127" s="11"/>
      <c r="G127" s="11" t="s">
        <v>95</v>
      </c>
      <c r="H127" s="11"/>
      <c r="I127" s="12">
        <v>290</v>
      </c>
      <c r="J127" s="11" t="s">
        <v>95</v>
      </c>
      <c r="K127" s="11" t="s">
        <v>89</v>
      </c>
      <c r="L127" s="11"/>
      <c r="M127" s="11" t="s">
        <v>95</v>
      </c>
      <c r="N127" s="11" t="s">
        <v>89</v>
      </c>
      <c r="O127" s="11"/>
      <c r="P127" s="11"/>
      <c r="Q127" s="11" t="s">
        <v>45</v>
      </c>
      <c r="R127" s="11"/>
      <c r="S127" s="11"/>
      <c r="T127" s="11"/>
      <c r="U127" s="11" t="s">
        <v>45</v>
      </c>
      <c r="V127" s="11" t="s">
        <v>95</v>
      </c>
      <c r="W127" s="12" t="b">
        <v>0</v>
      </c>
      <c r="X127" s="11"/>
      <c r="Y127" s="11" t="s">
        <v>45</v>
      </c>
    </row>
    <row r="128" hidden="1" spans="1:25">
      <c r="A128" s="12">
        <v>125</v>
      </c>
      <c r="B128" s="12" t="b">
        <v>0</v>
      </c>
      <c r="C128" s="11" t="s">
        <v>217</v>
      </c>
      <c r="D128" s="11" t="s">
        <v>45</v>
      </c>
      <c r="E128" s="11" t="s">
        <v>94</v>
      </c>
      <c r="F128" s="11"/>
      <c r="G128" s="11" t="s">
        <v>95</v>
      </c>
      <c r="H128" s="11"/>
      <c r="I128" s="12">
        <v>290</v>
      </c>
      <c r="J128" s="11" t="s">
        <v>95</v>
      </c>
      <c r="K128" s="11" t="s">
        <v>89</v>
      </c>
      <c r="L128" s="11"/>
      <c r="M128" s="11" t="s">
        <v>95</v>
      </c>
      <c r="N128" s="11" t="s">
        <v>89</v>
      </c>
      <c r="O128" s="11"/>
      <c r="P128" s="11"/>
      <c r="Q128" s="11" t="s">
        <v>45</v>
      </c>
      <c r="R128" s="11"/>
      <c r="S128" s="11"/>
      <c r="T128" s="11"/>
      <c r="U128" s="11" t="s">
        <v>45</v>
      </c>
      <c r="V128" s="11" t="s">
        <v>95</v>
      </c>
      <c r="W128" s="12" t="b">
        <v>0</v>
      </c>
      <c r="X128" s="11"/>
      <c r="Y128" s="11" t="s">
        <v>45</v>
      </c>
    </row>
    <row r="129" hidden="1" spans="1:25">
      <c r="A129" s="12">
        <v>126</v>
      </c>
      <c r="B129" s="12" t="b">
        <v>0</v>
      </c>
      <c r="C129" s="11" t="s">
        <v>218</v>
      </c>
      <c r="D129" s="11" t="s">
        <v>45</v>
      </c>
      <c r="E129" s="11" t="s">
        <v>94</v>
      </c>
      <c r="F129" s="11"/>
      <c r="G129" s="11" t="s">
        <v>95</v>
      </c>
      <c r="H129" s="11"/>
      <c r="I129" s="12">
        <v>290</v>
      </c>
      <c r="J129" s="11" t="s">
        <v>95</v>
      </c>
      <c r="K129" s="11" t="s">
        <v>89</v>
      </c>
      <c r="L129" s="11"/>
      <c r="M129" s="11" t="s">
        <v>95</v>
      </c>
      <c r="N129" s="11" t="s">
        <v>89</v>
      </c>
      <c r="O129" s="11"/>
      <c r="P129" s="11"/>
      <c r="Q129" s="11" t="s">
        <v>45</v>
      </c>
      <c r="R129" s="11"/>
      <c r="S129" s="11"/>
      <c r="T129" s="11"/>
      <c r="U129" s="11" t="s">
        <v>45</v>
      </c>
      <c r="V129" s="11" t="s">
        <v>95</v>
      </c>
      <c r="W129" s="12" t="b">
        <v>0</v>
      </c>
      <c r="X129" s="11"/>
      <c r="Y129" s="11" t="s">
        <v>45</v>
      </c>
    </row>
    <row r="130" hidden="1" spans="1:25">
      <c r="A130" s="12">
        <v>127</v>
      </c>
      <c r="B130" s="12" t="b">
        <v>0</v>
      </c>
      <c r="C130" s="11" t="s">
        <v>219</v>
      </c>
      <c r="D130" s="11" t="s">
        <v>45</v>
      </c>
      <c r="E130" s="11" t="s">
        <v>94</v>
      </c>
      <c r="F130" s="11"/>
      <c r="G130" s="11" t="s">
        <v>95</v>
      </c>
      <c r="H130" s="11"/>
      <c r="I130" s="12">
        <v>290</v>
      </c>
      <c r="J130" s="11" t="s">
        <v>95</v>
      </c>
      <c r="K130" s="11" t="s">
        <v>89</v>
      </c>
      <c r="L130" s="11"/>
      <c r="M130" s="11" t="s">
        <v>95</v>
      </c>
      <c r="N130" s="11" t="s">
        <v>89</v>
      </c>
      <c r="O130" s="11"/>
      <c r="P130" s="11"/>
      <c r="Q130" s="11" t="s">
        <v>45</v>
      </c>
      <c r="R130" s="11"/>
      <c r="S130" s="11"/>
      <c r="T130" s="11"/>
      <c r="U130" s="11" t="s">
        <v>45</v>
      </c>
      <c r="V130" s="11" t="s">
        <v>95</v>
      </c>
      <c r="W130" s="12" t="b">
        <v>0</v>
      </c>
      <c r="X130" s="11"/>
      <c r="Y130" s="11" t="s">
        <v>45</v>
      </c>
    </row>
    <row r="131" hidden="1" spans="1:25">
      <c r="A131" s="12">
        <v>128</v>
      </c>
      <c r="B131" s="12" t="b">
        <v>0</v>
      </c>
      <c r="C131" s="11" t="s">
        <v>220</v>
      </c>
      <c r="D131" s="11" t="s">
        <v>45</v>
      </c>
      <c r="E131" s="11" t="s">
        <v>94</v>
      </c>
      <c r="F131" s="11"/>
      <c r="G131" s="11" t="s">
        <v>95</v>
      </c>
      <c r="H131" s="11"/>
      <c r="I131" s="12">
        <v>290</v>
      </c>
      <c r="J131" s="11" t="s">
        <v>95</v>
      </c>
      <c r="K131" s="11" t="s">
        <v>89</v>
      </c>
      <c r="L131" s="11"/>
      <c r="M131" s="11" t="s">
        <v>95</v>
      </c>
      <c r="N131" s="11" t="s">
        <v>89</v>
      </c>
      <c r="O131" s="11"/>
      <c r="P131" s="11"/>
      <c r="Q131" s="11" t="s">
        <v>45</v>
      </c>
      <c r="R131" s="11"/>
      <c r="S131" s="11"/>
      <c r="T131" s="11"/>
      <c r="U131" s="11" t="s">
        <v>45</v>
      </c>
      <c r="V131" s="11" t="s">
        <v>95</v>
      </c>
      <c r="W131" s="12" t="b">
        <v>0</v>
      </c>
      <c r="X131" s="11"/>
      <c r="Y131" s="11" t="s">
        <v>45</v>
      </c>
    </row>
    <row r="132" hidden="1" spans="1:25">
      <c r="A132" s="12">
        <v>129</v>
      </c>
      <c r="B132" s="12" t="b">
        <v>0</v>
      </c>
      <c r="C132" s="11" t="s">
        <v>221</v>
      </c>
      <c r="D132" s="11" t="s">
        <v>45</v>
      </c>
      <c r="E132" s="11" t="s">
        <v>94</v>
      </c>
      <c r="F132" s="11"/>
      <c r="G132" s="11" t="s">
        <v>95</v>
      </c>
      <c r="H132" s="11"/>
      <c r="I132" s="12">
        <v>290</v>
      </c>
      <c r="J132" s="11" t="s">
        <v>95</v>
      </c>
      <c r="K132" s="11" t="s">
        <v>89</v>
      </c>
      <c r="L132" s="11"/>
      <c r="M132" s="11" t="s">
        <v>95</v>
      </c>
      <c r="N132" s="11" t="s">
        <v>89</v>
      </c>
      <c r="O132" s="11"/>
      <c r="P132" s="11"/>
      <c r="Q132" s="11" t="s">
        <v>45</v>
      </c>
      <c r="R132" s="11"/>
      <c r="S132" s="11"/>
      <c r="T132" s="11"/>
      <c r="U132" s="11" t="s">
        <v>45</v>
      </c>
      <c r="V132" s="11" t="s">
        <v>95</v>
      </c>
      <c r="W132" s="12" t="b">
        <v>0</v>
      </c>
      <c r="X132" s="11"/>
      <c r="Y132" s="11" t="s">
        <v>45</v>
      </c>
    </row>
    <row r="133" hidden="1" spans="1:25">
      <c r="A133" s="12">
        <v>130</v>
      </c>
      <c r="B133" s="12" t="b">
        <v>0</v>
      </c>
      <c r="C133" s="11" t="s">
        <v>222</v>
      </c>
      <c r="D133" s="11" t="s">
        <v>45</v>
      </c>
      <c r="E133" s="11" t="s">
        <v>94</v>
      </c>
      <c r="F133" s="11"/>
      <c r="G133" s="11" t="s">
        <v>95</v>
      </c>
      <c r="H133" s="11"/>
      <c r="I133" s="12">
        <v>290</v>
      </c>
      <c r="J133" s="11" t="s">
        <v>95</v>
      </c>
      <c r="K133" s="11" t="s">
        <v>89</v>
      </c>
      <c r="L133" s="11"/>
      <c r="M133" s="11" t="s">
        <v>95</v>
      </c>
      <c r="N133" s="11" t="s">
        <v>89</v>
      </c>
      <c r="O133" s="11"/>
      <c r="P133" s="11"/>
      <c r="Q133" s="11" t="s">
        <v>45</v>
      </c>
      <c r="R133" s="11"/>
      <c r="S133" s="11"/>
      <c r="T133" s="11"/>
      <c r="U133" s="11" t="s">
        <v>45</v>
      </c>
      <c r="V133" s="11" t="s">
        <v>95</v>
      </c>
      <c r="W133" s="12" t="b">
        <v>0</v>
      </c>
      <c r="X133" s="11"/>
      <c r="Y133" s="11" t="s">
        <v>45</v>
      </c>
    </row>
    <row r="134" hidden="1" spans="1:25">
      <c r="A134" s="12">
        <v>131</v>
      </c>
      <c r="B134" s="12" t="b">
        <v>0</v>
      </c>
      <c r="C134" s="11" t="s">
        <v>223</v>
      </c>
      <c r="D134" s="11" t="s">
        <v>45</v>
      </c>
      <c r="E134" s="11" t="s">
        <v>94</v>
      </c>
      <c r="F134" s="11"/>
      <c r="G134" s="11" t="s">
        <v>95</v>
      </c>
      <c r="H134" s="11"/>
      <c r="I134" s="12">
        <v>290</v>
      </c>
      <c r="J134" s="11" t="s">
        <v>95</v>
      </c>
      <c r="K134" s="11" t="s">
        <v>89</v>
      </c>
      <c r="L134" s="11"/>
      <c r="M134" s="11" t="s">
        <v>95</v>
      </c>
      <c r="N134" s="11" t="s">
        <v>89</v>
      </c>
      <c r="O134" s="11"/>
      <c r="P134" s="11"/>
      <c r="Q134" s="11" t="s">
        <v>45</v>
      </c>
      <c r="R134" s="11"/>
      <c r="S134" s="11"/>
      <c r="T134" s="11"/>
      <c r="U134" s="11" t="s">
        <v>45</v>
      </c>
      <c r="V134" s="11" t="s">
        <v>95</v>
      </c>
      <c r="W134" s="12" t="b">
        <v>0</v>
      </c>
      <c r="X134" s="11"/>
      <c r="Y134" s="11" t="s">
        <v>45</v>
      </c>
    </row>
    <row r="135" hidden="1" spans="1:25">
      <c r="A135" s="12">
        <v>132</v>
      </c>
      <c r="B135" s="12" t="b">
        <v>0</v>
      </c>
      <c r="C135" s="11" t="s">
        <v>224</v>
      </c>
      <c r="D135" s="11" t="s">
        <v>45</v>
      </c>
      <c r="E135" s="11" t="s">
        <v>94</v>
      </c>
      <c r="F135" s="11"/>
      <c r="G135" s="11" t="s">
        <v>95</v>
      </c>
      <c r="H135" s="11"/>
      <c r="I135" s="12">
        <v>290</v>
      </c>
      <c r="J135" s="11" t="s">
        <v>95</v>
      </c>
      <c r="K135" s="11" t="s">
        <v>89</v>
      </c>
      <c r="L135" s="11"/>
      <c r="M135" s="11" t="s">
        <v>95</v>
      </c>
      <c r="N135" s="11" t="s">
        <v>89</v>
      </c>
      <c r="O135" s="11"/>
      <c r="P135" s="11"/>
      <c r="Q135" s="11" t="s">
        <v>45</v>
      </c>
      <c r="R135" s="11"/>
      <c r="S135" s="11"/>
      <c r="T135" s="11"/>
      <c r="U135" s="11" t="s">
        <v>45</v>
      </c>
      <c r="V135" s="11" t="s">
        <v>95</v>
      </c>
      <c r="W135" s="12" t="b">
        <v>0</v>
      </c>
      <c r="X135" s="11"/>
      <c r="Y135" s="11" t="s">
        <v>45</v>
      </c>
    </row>
    <row r="136" hidden="1" spans="1:25">
      <c r="A136" s="12">
        <v>133</v>
      </c>
      <c r="B136" s="12" t="b">
        <v>0</v>
      </c>
      <c r="C136" s="11" t="s">
        <v>225</v>
      </c>
      <c r="D136" s="11" t="s">
        <v>45</v>
      </c>
      <c r="E136" s="11" t="s">
        <v>94</v>
      </c>
      <c r="F136" s="11"/>
      <c r="G136" s="11" t="s">
        <v>95</v>
      </c>
      <c r="H136" s="11"/>
      <c r="I136" s="12">
        <v>290</v>
      </c>
      <c r="J136" s="11" t="s">
        <v>95</v>
      </c>
      <c r="K136" s="11" t="s">
        <v>89</v>
      </c>
      <c r="L136" s="11"/>
      <c r="M136" s="11" t="s">
        <v>95</v>
      </c>
      <c r="N136" s="11" t="s">
        <v>89</v>
      </c>
      <c r="O136" s="11"/>
      <c r="P136" s="11"/>
      <c r="Q136" s="11" t="s">
        <v>45</v>
      </c>
      <c r="R136" s="11"/>
      <c r="S136" s="11"/>
      <c r="T136" s="11"/>
      <c r="U136" s="11" t="s">
        <v>45</v>
      </c>
      <c r="V136" s="11" t="s">
        <v>95</v>
      </c>
      <c r="W136" s="12" t="b">
        <v>0</v>
      </c>
      <c r="X136" s="11"/>
      <c r="Y136" s="11" t="s">
        <v>45</v>
      </c>
    </row>
    <row r="137" hidden="1" spans="1:25">
      <c r="A137" s="12">
        <v>134</v>
      </c>
      <c r="B137" s="12" t="b">
        <v>0</v>
      </c>
      <c r="C137" s="11" t="s">
        <v>226</v>
      </c>
      <c r="D137" s="11" t="s">
        <v>45</v>
      </c>
      <c r="E137" s="11" t="s">
        <v>94</v>
      </c>
      <c r="F137" s="11"/>
      <c r="G137" s="11" t="s">
        <v>95</v>
      </c>
      <c r="H137" s="11"/>
      <c r="I137" s="12">
        <v>290</v>
      </c>
      <c r="J137" s="11" t="s">
        <v>95</v>
      </c>
      <c r="K137" s="11" t="s">
        <v>89</v>
      </c>
      <c r="L137" s="11"/>
      <c r="M137" s="11" t="s">
        <v>95</v>
      </c>
      <c r="N137" s="11" t="s">
        <v>89</v>
      </c>
      <c r="O137" s="11"/>
      <c r="P137" s="11"/>
      <c r="Q137" s="11" t="s">
        <v>45</v>
      </c>
      <c r="R137" s="11"/>
      <c r="S137" s="11"/>
      <c r="T137" s="11"/>
      <c r="U137" s="11" t="s">
        <v>45</v>
      </c>
      <c r="V137" s="11" t="s">
        <v>95</v>
      </c>
      <c r="W137" s="12" t="b">
        <v>0</v>
      </c>
      <c r="X137" s="11"/>
      <c r="Y137" s="11" t="s">
        <v>45</v>
      </c>
    </row>
    <row r="138" hidden="1" spans="1:25">
      <c r="A138" s="12">
        <v>135</v>
      </c>
      <c r="B138" s="12" t="b">
        <v>0</v>
      </c>
      <c r="C138" s="11" t="s">
        <v>227</v>
      </c>
      <c r="D138" s="11" t="s">
        <v>45</v>
      </c>
      <c r="E138" s="11" t="s">
        <v>94</v>
      </c>
      <c r="F138" s="11"/>
      <c r="G138" s="11" t="s">
        <v>95</v>
      </c>
      <c r="H138" s="11"/>
      <c r="I138" s="12">
        <v>290</v>
      </c>
      <c r="J138" s="11" t="s">
        <v>95</v>
      </c>
      <c r="K138" s="11" t="s">
        <v>89</v>
      </c>
      <c r="L138" s="11"/>
      <c r="M138" s="11" t="s">
        <v>95</v>
      </c>
      <c r="N138" s="11" t="s">
        <v>89</v>
      </c>
      <c r="O138" s="11"/>
      <c r="P138" s="11"/>
      <c r="Q138" s="11" t="s">
        <v>45</v>
      </c>
      <c r="R138" s="11"/>
      <c r="S138" s="11"/>
      <c r="T138" s="11"/>
      <c r="U138" s="11" t="s">
        <v>45</v>
      </c>
      <c r="V138" s="11" t="s">
        <v>95</v>
      </c>
      <c r="W138" s="12" t="b">
        <v>0</v>
      </c>
      <c r="X138" s="11"/>
      <c r="Y138" s="11" t="s">
        <v>45</v>
      </c>
    </row>
    <row r="139" hidden="1" spans="1:25">
      <c r="A139" s="12">
        <v>136</v>
      </c>
      <c r="B139" s="12" t="b">
        <v>0</v>
      </c>
      <c r="C139" s="11" t="s">
        <v>228</v>
      </c>
      <c r="D139" s="11" t="s">
        <v>45</v>
      </c>
      <c r="E139" s="11" t="s">
        <v>94</v>
      </c>
      <c r="F139" s="11"/>
      <c r="G139" s="11" t="s">
        <v>95</v>
      </c>
      <c r="H139" s="11"/>
      <c r="I139" s="12">
        <v>290</v>
      </c>
      <c r="J139" s="11" t="s">
        <v>95</v>
      </c>
      <c r="K139" s="11" t="s">
        <v>89</v>
      </c>
      <c r="L139" s="11"/>
      <c r="M139" s="11" t="s">
        <v>95</v>
      </c>
      <c r="N139" s="11" t="s">
        <v>89</v>
      </c>
      <c r="O139" s="11"/>
      <c r="P139" s="11"/>
      <c r="Q139" s="11" t="s">
        <v>45</v>
      </c>
      <c r="R139" s="11"/>
      <c r="S139" s="11"/>
      <c r="T139" s="11"/>
      <c r="U139" s="11" t="s">
        <v>45</v>
      </c>
      <c r="V139" s="11" t="s">
        <v>95</v>
      </c>
      <c r="W139" s="12" t="b">
        <v>0</v>
      </c>
      <c r="X139" s="11"/>
      <c r="Y139" s="11" t="s">
        <v>45</v>
      </c>
    </row>
    <row r="140" hidden="1" spans="1:25">
      <c r="A140" s="12">
        <v>137</v>
      </c>
      <c r="B140" s="12" t="b">
        <v>0</v>
      </c>
      <c r="C140" s="11" t="s">
        <v>229</v>
      </c>
      <c r="D140" s="11" t="s">
        <v>45</v>
      </c>
      <c r="E140" s="11" t="s">
        <v>94</v>
      </c>
      <c r="F140" s="11"/>
      <c r="G140" s="11" t="s">
        <v>95</v>
      </c>
      <c r="H140" s="11"/>
      <c r="I140" s="12">
        <v>290</v>
      </c>
      <c r="J140" s="11" t="s">
        <v>95</v>
      </c>
      <c r="K140" s="11" t="s">
        <v>89</v>
      </c>
      <c r="L140" s="11"/>
      <c r="M140" s="11" t="s">
        <v>95</v>
      </c>
      <c r="N140" s="11" t="s">
        <v>89</v>
      </c>
      <c r="O140" s="11"/>
      <c r="P140" s="11"/>
      <c r="Q140" s="11" t="s">
        <v>45</v>
      </c>
      <c r="R140" s="11"/>
      <c r="S140" s="11"/>
      <c r="T140" s="11"/>
      <c r="U140" s="11" t="s">
        <v>45</v>
      </c>
      <c r="V140" s="11" t="s">
        <v>95</v>
      </c>
      <c r="W140" s="12" t="b">
        <v>0</v>
      </c>
      <c r="X140" s="11"/>
      <c r="Y140" s="11" t="s">
        <v>45</v>
      </c>
    </row>
    <row r="141" hidden="1" spans="1:25">
      <c r="A141" s="12">
        <v>138</v>
      </c>
      <c r="B141" s="12" t="b">
        <v>0</v>
      </c>
      <c r="C141" s="11" t="s">
        <v>230</v>
      </c>
      <c r="D141" s="11" t="s">
        <v>45</v>
      </c>
      <c r="E141" s="11" t="s">
        <v>94</v>
      </c>
      <c r="F141" s="11"/>
      <c r="G141" s="11" t="s">
        <v>95</v>
      </c>
      <c r="H141" s="11"/>
      <c r="I141" s="12">
        <v>290</v>
      </c>
      <c r="J141" s="11" t="s">
        <v>95</v>
      </c>
      <c r="K141" s="11" t="s">
        <v>89</v>
      </c>
      <c r="L141" s="11"/>
      <c r="M141" s="11" t="s">
        <v>95</v>
      </c>
      <c r="N141" s="11" t="s">
        <v>89</v>
      </c>
      <c r="O141" s="11"/>
      <c r="P141" s="11"/>
      <c r="Q141" s="11" t="s">
        <v>45</v>
      </c>
      <c r="R141" s="11"/>
      <c r="S141" s="11"/>
      <c r="T141" s="11"/>
      <c r="U141" s="11" t="s">
        <v>45</v>
      </c>
      <c r="V141" s="11" t="s">
        <v>95</v>
      </c>
      <c r="W141" s="12" t="b">
        <v>0</v>
      </c>
      <c r="X141" s="11"/>
      <c r="Y141" s="11" t="s">
        <v>45</v>
      </c>
    </row>
    <row r="142" hidden="1" spans="1:25">
      <c r="A142" s="12">
        <v>139</v>
      </c>
      <c r="B142" s="12" t="b">
        <v>0</v>
      </c>
      <c r="C142" s="11" t="s">
        <v>231</v>
      </c>
      <c r="D142" s="11" t="s">
        <v>45</v>
      </c>
      <c r="E142" s="11" t="s">
        <v>94</v>
      </c>
      <c r="F142" s="11"/>
      <c r="G142" s="11" t="s">
        <v>95</v>
      </c>
      <c r="H142" s="11"/>
      <c r="I142" s="12">
        <v>290</v>
      </c>
      <c r="J142" s="11" t="s">
        <v>95</v>
      </c>
      <c r="K142" s="11" t="s">
        <v>89</v>
      </c>
      <c r="L142" s="11"/>
      <c r="M142" s="11" t="s">
        <v>95</v>
      </c>
      <c r="N142" s="11" t="s">
        <v>89</v>
      </c>
      <c r="O142" s="11"/>
      <c r="P142" s="11"/>
      <c r="Q142" s="11" t="s">
        <v>45</v>
      </c>
      <c r="R142" s="11"/>
      <c r="S142" s="11"/>
      <c r="T142" s="11"/>
      <c r="U142" s="11" t="s">
        <v>45</v>
      </c>
      <c r="V142" s="11" t="s">
        <v>95</v>
      </c>
      <c r="W142" s="12" t="b">
        <v>0</v>
      </c>
      <c r="X142" s="11"/>
      <c r="Y142" s="11" t="s">
        <v>45</v>
      </c>
    </row>
    <row r="143" hidden="1" spans="1:25">
      <c r="A143" s="12">
        <v>140</v>
      </c>
      <c r="B143" s="12" t="b">
        <v>0</v>
      </c>
      <c r="C143" s="11" t="s">
        <v>232</v>
      </c>
      <c r="D143" s="11" t="s">
        <v>45</v>
      </c>
      <c r="E143" s="11" t="s">
        <v>94</v>
      </c>
      <c r="F143" s="11"/>
      <c r="G143" s="11" t="s">
        <v>95</v>
      </c>
      <c r="H143" s="11"/>
      <c r="I143" s="12">
        <v>290</v>
      </c>
      <c r="J143" s="11" t="s">
        <v>95</v>
      </c>
      <c r="K143" s="11" t="s">
        <v>89</v>
      </c>
      <c r="L143" s="11"/>
      <c r="M143" s="11" t="s">
        <v>95</v>
      </c>
      <c r="N143" s="11" t="s">
        <v>89</v>
      </c>
      <c r="O143" s="11"/>
      <c r="P143" s="11"/>
      <c r="Q143" s="11" t="s">
        <v>45</v>
      </c>
      <c r="R143" s="11"/>
      <c r="S143" s="11"/>
      <c r="T143" s="11"/>
      <c r="U143" s="11" t="s">
        <v>45</v>
      </c>
      <c r="V143" s="11" t="s">
        <v>95</v>
      </c>
      <c r="W143" s="12" t="b">
        <v>0</v>
      </c>
      <c r="X143" s="11"/>
      <c r="Y143" s="11" t="s">
        <v>45</v>
      </c>
    </row>
    <row r="144" hidden="1" spans="1:25">
      <c r="A144" s="12">
        <v>141</v>
      </c>
      <c r="B144" s="12" t="b">
        <v>0</v>
      </c>
      <c r="C144" s="11" t="s">
        <v>233</v>
      </c>
      <c r="D144" s="11" t="s">
        <v>45</v>
      </c>
      <c r="E144" s="11" t="s">
        <v>94</v>
      </c>
      <c r="F144" s="11"/>
      <c r="G144" s="11" t="s">
        <v>95</v>
      </c>
      <c r="H144" s="11"/>
      <c r="I144" s="12">
        <v>290</v>
      </c>
      <c r="J144" s="11" t="s">
        <v>95</v>
      </c>
      <c r="K144" s="11" t="s">
        <v>89</v>
      </c>
      <c r="L144" s="11"/>
      <c r="M144" s="11" t="s">
        <v>95</v>
      </c>
      <c r="N144" s="11" t="s">
        <v>89</v>
      </c>
      <c r="O144" s="11"/>
      <c r="P144" s="11"/>
      <c r="Q144" s="11" t="s">
        <v>45</v>
      </c>
      <c r="R144" s="11"/>
      <c r="S144" s="11"/>
      <c r="T144" s="11"/>
      <c r="U144" s="11" t="s">
        <v>45</v>
      </c>
      <c r="V144" s="11" t="s">
        <v>95</v>
      </c>
      <c r="W144" s="12" t="b">
        <v>0</v>
      </c>
      <c r="X144" s="11"/>
      <c r="Y144" s="11" t="s">
        <v>45</v>
      </c>
    </row>
    <row r="145" hidden="1" spans="1:25">
      <c r="A145" s="12">
        <v>142</v>
      </c>
      <c r="B145" s="12" t="b">
        <v>0</v>
      </c>
      <c r="C145" s="11" t="s">
        <v>234</v>
      </c>
      <c r="D145" s="11" t="s">
        <v>45</v>
      </c>
      <c r="E145" s="11" t="s">
        <v>94</v>
      </c>
      <c r="F145" s="11"/>
      <c r="G145" s="11" t="s">
        <v>95</v>
      </c>
      <c r="H145" s="11"/>
      <c r="I145" s="12">
        <v>290</v>
      </c>
      <c r="J145" s="11" t="s">
        <v>95</v>
      </c>
      <c r="K145" s="11" t="s">
        <v>89</v>
      </c>
      <c r="L145" s="11"/>
      <c r="M145" s="11" t="s">
        <v>95</v>
      </c>
      <c r="N145" s="11" t="s">
        <v>89</v>
      </c>
      <c r="O145" s="11"/>
      <c r="P145" s="11"/>
      <c r="Q145" s="11" t="s">
        <v>45</v>
      </c>
      <c r="R145" s="11"/>
      <c r="S145" s="11"/>
      <c r="T145" s="11"/>
      <c r="U145" s="11" t="s">
        <v>45</v>
      </c>
      <c r="V145" s="11" t="s">
        <v>95</v>
      </c>
      <c r="W145" s="12" t="b">
        <v>0</v>
      </c>
      <c r="X145" s="11"/>
      <c r="Y145" s="11" t="s">
        <v>45</v>
      </c>
    </row>
    <row r="146" hidden="1" spans="1:25">
      <c r="A146" s="12">
        <v>143</v>
      </c>
      <c r="B146" s="12" t="b">
        <v>0</v>
      </c>
      <c r="C146" s="11" t="s">
        <v>235</v>
      </c>
      <c r="D146" s="11" t="s">
        <v>45</v>
      </c>
      <c r="E146" s="11" t="s">
        <v>94</v>
      </c>
      <c r="F146" s="11"/>
      <c r="G146" s="11" t="s">
        <v>95</v>
      </c>
      <c r="H146" s="11"/>
      <c r="I146" s="12">
        <v>290</v>
      </c>
      <c r="J146" s="11" t="s">
        <v>95</v>
      </c>
      <c r="K146" s="11" t="s">
        <v>89</v>
      </c>
      <c r="L146" s="11"/>
      <c r="M146" s="11" t="s">
        <v>95</v>
      </c>
      <c r="N146" s="11" t="s">
        <v>89</v>
      </c>
      <c r="O146" s="11"/>
      <c r="P146" s="11"/>
      <c r="Q146" s="11" t="s">
        <v>45</v>
      </c>
      <c r="R146" s="11"/>
      <c r="S146" s="11"/>
      <c r="T146" s="11"/>
      <c r="U146" s="11" t="s">
        <v>45</v>
      </c>
      <c r="V146" s="11" t="s">
        <v>95</v>
      </c>
      <c r="W146" s="12" t="b">
        <v>0</v>
      </c>
      <c r="X146" s="11"/>
      <c r="Y146" s="11" t="s">
        <v>45</v>
      </c>
    </row>
    <row r="147" hidden="1" spans="1:25">
      <c r="A147" s="12">
        <v>144</v>
      </c>
      <c r="B147" s="12" t="b">
        <v>0</v>
      </c>
      <c r="C147" s="11" t="s">
        <v>236</v>
      </c>
      <c r="D147" s="11" t="s">
        <v>45</v>
      </c>
      <c r="E147" s="11" t="s">
        <v>94</v>
      </c>
      <c r="F147" s="11"/>
      <c r="G147" s="11" t="s">
        <v>95</v>
      </c>
      <c r="H147" s="11"/>
      <c r="I147" s="12">
        <v>290</v>
      </c>
      <c r="J147" s="11" t="s">
        <v>95</v>
      </c>
      <c r="K147" s="11" t="s">
        <v>89</v>
      </c>
      <c r="L147" s="11"/>
      <c r="M147" s="11" t="s">
        <v>95</v>
      </c>
      <c r="N147" s="11" t="s">
        <v>89</v>
      </c>
      <c r="O147" s="11"/>
      <c r="P147" s="11"/>
      <c r="Q147" s="11" t="s">
        <v>45</v>
      </c>
      <c r="R147" s="11"/>
      <c r="S147" s="11"/>
      <c r="T147" s="11"/>
      <c r="U147" s="11" t="s">
        <v>45</v>
      </c>
      <c r="V147" s="11" t="s">
        <v>95</v>
      </c>
      <c r="W147" s="12" t="b">
        <v>0</v>
      </c>
      <c r="X147" s="11"/>
      <c r="Y147" s="11" t="s">
        <v>45</v>
      </c>
    </row>
    <row r="148" hidden="1" spans="1:25">
      <c r="A148" s="12">
        <v>145</v>
      </c>
      <c r="B148" s="12" t="b">
        <v>0</v>
      </c>
      <c r="C148" s="11" t="s">
        <v>237</v>
      </c>
      <c r="D148" s="11" t="s">
        <v>45</v>
      </c>
      <c r="E148" s="11" t="s">
        <v>94</v>
      </c>
      <c r="F148" s="11"/>
      <c r="G148" s="11" t="s">
        <v>95</v>
      </c>
      <c r="H148" s="11"/>
      <c r="I148" s="12">
        <v>290</v>
      </c>
      <c r="J148" s="11" t="s">
        <v>95</v>
      </c>
      <c r="K148" s="11" t="s">
        <v>89</v>
      </c>
      <c r="L148" s="11"/>
      <c r="M148" s="11" t="s">
        <v>95</v>
      </c>
      <c r="N148" s="11" t="s">
        <v>89</v>
      </c>
      <c r="O148" s="11"/>
      <c r="P148" s="11"/>
      <c r="Q148" s="11" t="s">
        <v>45</v>
      </c>
      <c r="R148" s="11"/>
      <c r="S148" s="11"/>
      <c r="T148" s="11"/>
      <c r="U148" s="11" t="s">
        <v>45</v>
      </c>
      <c r="V148" s="11" t="s">
        <v>95</v>
      </c>
      <c r="W148" s="12" t="b">
        <v>0</v>
      </c>
      <c r="X148" s="11"/>
      <c r="Y148" s="11" t="s">
        <v>45</v>
      </c>
    </row>
    <row r="149" hidden="1" spans="1:25">
      <c r="A149" s="12">
        <v>146</v>
      </c>
      <c r="B149" s="12" t="b">
        <v>0</v>
      </c>
      <c r="C149" s="11" t="s">
        <v>238</v>
      </c>
      <c r="D149" s="11" t="s">
        <v>45</v>
      </c>
      <c r="E149" s="11" t="s">
        <v>94</v>
      </c>
      <c r="F149" s="11"/>
      <c r="G149" s="11" t="s">
        <v>95</v>
      </c>
      <c r="H149" s="11"/>
      <c r="I149" s="12">
        <v>290</v>
      </c>
      <c r="J149" s="11" t="s">
        <v>95</v>
      </c>
      <c r="K149" s="11" t="s">
        <v>89</v>
      </c>
      <c r="L149" s="11"/>
      <c r="M149" s="11" t="s">
        <v>95</v>
      </c>
      <c r="N149" s="11" t="s">
        <v>89</v>
      </c>
      <c r="O149" s="11"/>
      <c r="P149" s="11"/>
      <c r="Q149" s="11" t="s">
        <v>45</v>
      </c>
      <c r="R149" s="11"/>
      <c r="S149" s="11"/>
      <c r="T149" s="11"/>
      <c r="U149" s="11" t="s">
        <v>45</v>
      </c>
      <c r="V149" s="11" t="s">
        <v>95</v>
      </c>
      <c r="W149" s="12" t="b">
        <v>0</v>
      </c>
      <c r="X149" s="11"/>
      <c r="Y149" s="11" t="s">
        <v>45</v>
      </c>
    </row>
    <row r="150" hidden="1" spans="1:25">
      <c r="A150" s="12">
        <v>147</v>
      </c>
      <c r="B150" s="12" t="b">
        <v>0</v>
      </c>
      <c r="C150" s="11" t="s">
        <v>239</v>
      </c>
      <c r="D150" s="11" t="s">
        <v>45</v>
      </c>
      <c r="E150" s="11" t="s">
        <v>94</v>
      </c>
      <c r="F150" s="11"/>
      <c r="G150" s="11" t="s">
        <v>95</v>
      </c>
      <c r="H150" s="11"/>
      <c r="I150" s="12">
        <v>290</v>
      </c>
      <c r="J150" s="11" t="s">
        <v>95</v>
      </c>
      <c r="K150" s="11" t="s">
        <v>89</v>
      </c>
      <c r="L150" s="11"/>
      <c r="M150" s="11" t="s">
        <v>95</v>
      </c>
      <c r="N150" s="11" t="s">
        <v>89</v>
      </c>
      <c r="O150" s="11"/>
      <c r="P150" s="11"/>
      <c r="Q150" s="11" t="s">
        <v>45</v>
      </c>
      <c r="R150" s="11"/>
      <c r="S150" s="11"/>
      <c r="T150" s="11"/>
      <c r="U150" s="11" t="s">
        <v>45</v>
      </c>
      <c r="V150" s="11" t="s">
        <v>95</v>
      </c>
      <c r="W150" s="12" t="b">
        <v>0</v>
      </c>
      <c r="X150" s="11"/>
      <c r="Y150" s="11" t="s">
        <v>45</v>
      </c>
    </row>
    <row r="151" hidden="1" spans="1:25">
      <c r="A151" s="12">
        <v>148</v>
      </c>
      <c r="B151" s="12" t="b">
        <v>0</v>
      </c>
      <c r="C151" s="11" t="s">
        <v>240</v>
      </c>
      <c r="D151" s="11" t="s">
        <v>45</v>
      </c>
      <c r="E151" s="11" t="s">
        <v>94</v>
      </c>
      <c r="F151" s="11"/>
      <c r="G151" s="11" t="s">
        <v>95</v>
      </c>
      <c r="H151" s="11"/>
      <c r="I151" s="12">
        <v>290</v>
      </c>
      <c r="J151" s="11" t="s">
        <v>95</v>
      </c>
      <c r="K151" s="11" t="s">
        <v>89</v>
      </c>
      <c r="L151" s="11"/>
      <c r="M151" s="11" t="s">
        <v>95</v>
      </c>
      <c r="N151" s="11" t="s">
        <v>89</v>
      </c>
      <c r="O151" s="11"/>
      <c r="P151" s="11"/>
      <c r="Q151" s="11" t="s">
        <v>45</v>
      </c>
      <c r="R151" s="11"/>
      <c r="S151" s="11"/>
      <c r="T151" s="11"/>
      <c r="U151" s="11" t="s">
        <v>45</v>
      </c>
      <c r="V151" s="11" t="s">
        <v>95</v>
      </c>
      <c r="W151" s="12" t="b">
        <v>0</v>
      </c>
      <c r="X151" s="11"/>
      <c r="Y151" s="11" t="s">
        <v>45</v>
      </c>
    </row>
    <row r="152" hidden="1" spans="1:25">
      <c r="A152" s="12">
        <v>149</v>
      </c>
      <c r="B152" s="12" t="b">
        <v>0</v>
      </c>
      <c r="C152" s="11" t="s">
        <v>241</v>
      </c>
      <c r="D152" s="11" t="s">
        <v>45</v>
      </c>
      <c r="E152" s="11" t="s">
        <v>94</v>
      </c>
      <c r="F152" s="11"/>
      <c r="G152" s="11" t="s">
        <v>95</v>
      </c>
      <c r="H152" s="11"/>
      <c r="I152" s="12">
        <v>290</v>
      </c>
      <c r="J152" s="11" t="s">
        <v>95</v>
      </c>
      <c r="K152" s="11" t="s">
        <v>89</v>
      </c>
      <c r="L152" s="11"/>
      <c r="M152" s="11" t="s">
        <v>95</v>
      </c>
      <c r="N152" s="11" t="s">
        <v>89</v>
      </c>
      <c r="O152" s="11"/>
      <c r="P152" s="11"/>
      <c r="Q152" s="11" t="s">
        <v>45</v>
      </c>
      <c r="R152" s="11"/>
      <c r="S152" s="11"/>
      <c r="T152" s="11"/>
      <c r="U152" s="11" t="s">
        <v>45</v>
      </c>
      <c r="V152" s="11" t="s">
        <v>95</v>
      </c>
      <c r="W152" s="12" t="b">
        <v>0</v>
      </c>
      <c r="X152" s="11"/>
      <c r="Y152" s="11" t="s">
        <v>45</v>
      </c>
    </row>
    <row r="153" hidden="1" spans="1:25">
      <c r="A153" s="12">
        <v>150</v>
      </c>
      <c r="B153" s="12" t="b">
        <v>0</v>
      </c>
      <c r="C153" s="11" t="s">
        <v>242</v>
      </c>
      <c r="D153" s="11" t="s">
        <v>45</v>
      </c>
      <c r="E153" s="11" t="s">
        <v>94</v>
      </c>
      <c r="F153" s="11"/>
      <c r="G153" s="11" t="s">
        <v>95</v>
      </c>
      <c r="H153" s="11"/>
      <c r="I153" s="12">
        <v>290</v>
      </c>
      <c r="J153" s="11" t="s">
        <v>95</v>
      </c>
      <c r="K153" s="11" t="s">
        <v>89</v>
      </c>
      <c r="L153" s="11"/>
      <c r="M153" s="11" t="s">
        <v>95</v>
      </c>
      <c r="N153" s="11" t="s">
        <v>89</v>
      </c>
      <c r="O153" s="11"/>
      <c r="P153" s="11"/>
      <c r="Q153" s="11" t="s">
        <v>45</v>
      </c>
      <c r="R153" s="11"/>
      <c r="S153" s="11"/>
      <c r="T153" s="11"/>
      <c r="U153" s="11" t="s">
        <v>45</v>
      </c>
      <c r="V153" s="11" t="s">
        <v>95</v>
      </c>
      <c r="W153" s="12" t="b">
        <v>0</v>
      </c>
      <c r="X153" s="11"/>
      <c r="Y153" s="11" t="s">
        <v>45</v>
      </c>
    </row>
    <row r="154" hidden="1" spans="1:25">
      <c r="A154" s="12">
        <v>151</v>
      </c>
      <c r="B154" s="12" t="b">
        <v>0</v>
      </c>
      <c r="C154" s="11" t="s">
        <v>243</v>
      </c>
      <c r="D154" s="11" t="s">
        <v>45</v>
      </c>
      <c r="E154" s="11" t="s">
        <v>94</v>
      </c>
      <c r="F154" s="11"/>
      <c r="G154" s="11" t="s">
        <v>95</v>
      </c>
      <c r="H154" s="11"/>
      <c r="I154" s="12">
        <v>290</v>
      </c>
      <c r="J154" s="11" t="s">
        <v>95</v>
      </c>
      <c r="K154" s="11" t="s">
        <v>89</v>
      </c>
      <c r="L154" s="11"/>
      <c r="M154" s="11" t="s">
        <v>95</v>
      </c>
      <c r="N154" s="11" t="s">
        <v>89</v>
      </c>
      <c r="O154" s="11"/>
      <c r="P154" s="11"/>
      <c r="Q154" s="11" t="s">
        <v>45</v>
      </c>
      <c r="R154" s="11"/>
      <c r="S154" s="11"/>
      <c r="T154" s="11"/>
      <c r="U154" s="11" t="s">
        <v>45</v>
      </c>
      <c r="V154" s="11" t="s">
        <v>95</v>
      </c>
      <c r="W154" s="12" t="b">
        <v>0</v>
      </c>
      <c r="X154" s="11"/>
      <c r="Y154" s="11" t="s">
        <v>45</v>
      </c>
    </row>
    <row r="155" hidden="1" spans="1:25">
      <c r="A155" s="12">
        <v>152</v>
      </c>
      <c r="B155" s="12" t="b">
        <v>0</v>
      </c>
      <c r="C155" s="11" t="s">
        <v>244</v>
      </c>
      <c r="D155" s="11" t="s">
        <v>45</v>
      </c>
      <c r="E155" s="11" t="s">
        <v>94</v>
      </c>
      <c r="F155" s="11"/>
      <c r="G155" s="11" t="s">
        <v>95</v>
      </c>
      <c r="H155" s="11"/>
      <c r="I155" s="12">
        <v>290</v>
      </c>
      <c r="J155" s="11" t="s">
        <v>95</v>
      </c>
      <c r="K155" s="11" t="s">
        <v>89</v>
      </c>
      <c r="L155" s="11"/>
      <c r="M155" s="11" t="s">
        <v>95</v>
      </c>
      <c r="N155" s="11" t="s">
        <v>89</v>
      </c>
      <c r="O155" s="11"/>
      <c r="P155" s="11"/>
      <c r="Q155" s="11" t="s">
        <v>45</v>
      </c>
      <c r="R155" s="11"/>
      <c r="S155" s="11"/>
      <c r="T155" s="11"/>
      <c r="U155" s="11" t="s">
        <v>45</v>
      </c>
      <c r="V155" s="11" t="s">
        <v>95</v>
      </c>
      <c r="W155" s="12" t="b">
        <v>0</v>
      </c>
      <c r="X155" s="11"/>
      <c r="Y155" s="11" t="s">
        <v>45</v>
      </c>
    </row>
    <row r="156" hidden="1" spans="1:25">
      <c r="A156" s="12">
        <v>153</v>
      </c>
      <c r="B156" s="12" t="b">
        <v>0</v>
      </c>
      <c r="C156" s="11" t="s">
        <v>245</v>
      </c>
      <c r="D156" s="11" t="s">
        <v>45</v>
      </c>
      <c r="E156" s="11" t="s">
        <v>94</v>
      </c>
      <c r="F156" s="11"/>
      <c r="G156" s="11" t="s">
        <v>95</v>
      </c>
      <c r="H156" s="11"/>
      <c r="I156" s="12">
        <v>290</v>
      </c>
      <c r="J156" s="11" t="s">
        <v>95</v>
      </c>
      <c r="K156" s="11" t="s">
        <v>89</v>
      </c>
      <c r="L156" s="11"/>
      <c r="M156" s="11" t="s">
        <v>95</v>
      </c>
      <c r="N156" s="11" t="s">
        <v>89</v>
      </c>
      <c r="O156" s="11"/>
      <c r="P156" s="11"/>
      <c r="Q156" s="11" t="s">
        <v>45</v>
      </c>
      <c r="R156" s="11"/>
      <c r="S156" s="11"/>
      <c r="T156" s="11"/>
      <c r="U156" s="11" t="s">
        <v>45</v>
      </c>
      <c r="V156" s="11" t="s">
        <v>95</v>
      </c>
      <c r="W156" s="12" t="b">
        <v>0</v>
      </c>
      <c r="X156" s="11"/>
      <c r="Y156" s="11" t="s">
        <v>45</v>
      </c>
    </row>
    <row r="157" hidden="1" spans="1:25">
      <c r="A157" s="12">
        <v>154</v>
      </c>
      <c r="B157" s="12" t="b">
        <v>0</v>
      </c>
      <c r="C157" s="11" t="s">
        <v>246</v>
      </c>
      <c r="D157" s="11" t="s">
        <v>45</v>
      </c>
      <c r="E157" s="11" t="s">
        <v>94</v>
      </c>
      <c r="F157" s="11"/>
      <c r="G157" s="11" t="s">
        <v>95</v>
      </c>
      <c r="H157" s="11"/>
      <c r="I157" s="12">
        <v>290</v>
      </c>
      <c r="J157" s="11" t="s">
        <v>95</v>
      </c>
      <c r="K157" s="11" t="s">
        <v>89</v>
      </c>
      <c r="L157" s="11"/>
      <c r="M157" s="11" t="s">
        <v>95</v>
      </c>
      <c r="N157" s="11" t="s">
        <v>89</v>
      </c>
      <c r="O157" s="11"/>
      <c r="P157" s="11"/>
      <c r="Q157" s="11" t="s">
        <v>45</v>
      </c>
      <c r="R157" s="11"/>
      <c r="S157" s="11"/>
      <c r="T157" s="11"/>
      <c r="U157" s="11" t="s">
        <v>45</v>
      </c>
      <c r="V157" s="11" t="s">
        <v>95</v>
      </c>
      <c r="W157" s="12" t="b">
        <v>0</v>
      </c>
      <c r="X157" s="11"/>
      <c r="Y157" s="11" t="s">
        <v>45</v>
      </c>
    </row>
    <row r="158" hidden="1" spans="1:25">
      <c r="A158" s="12">
        <v>155</v>
      </c>
      <c r="B158" s="12" t="b">
        <v>0</v>
      </c>
      <c r="C158" s="11" t="s">
        <v>247</v>
      </c>
      <c r="D158" s="11" t="s">
        <v>45</v>
      </c>
      <c r="E158" s="11" t="s">
        <v>94</v>
      </c>
      <c r="F158" s="11"/>
      <c r="G158" s="11" t="s">
        <v>95</v>
      </c>
      <c r="H158" s="11"/>
      <c r="I158" s="12">
        <v>290</v>
      </c>
      <c r="J158" s="11" t="s">
        <v>95</v>
      </c>
      <c r="K158" s="11" t="s">
        <v>89</v>
      </c>
      <c r="L158" s="11"/>
      <c r="M158" s="11" t="s">
        <v>95</v>
      </c>
      <c r="N158" s="11" t="s">
        <v>89</v>
      </c>
      <c r="O158" s="11"/>
      <c r="P158" s="11"/>
      <c r="Q158" s="11" t="s">
        <v>45</v>
      </c>
      <c r="R158" s="11"/>
      <c r="S158" s="11"/>
      <c r="T158" s="11"/>
      <c r="U158" s="11" t="s">
        <v>45</v>
      </c>
      <c r="V158" s="11" t="s">
        <v>95</v>
      </c>
      <c r="W158" s="12" t="b">
        <v>0</v>
      </c>
      <c r="X158" s="11"/>
      <c r="Y158" s="11" t="s">
        <v>45</v>
      </c>
    </row>
    <row r="159" hidden="1" spans="1:25">
      <c r="A159" s="12">
        <v>156</v>
      </c>
      <c r="B159" s="12" t="b">
        <v>0</v>
      </c>
      <c r="C159" s="11" t="s">
        <v>248</v>
      </c>
      <c r="D159" s="11" t="s">
        <v>45</v>
      </c>
      <c r="E159" s="11" t="s">
        <v>94</v>
      </c>
      <c r="F159" s="11"/>
      <c r="G159" s="11" t="s">
        <v>95</v>
      </c>
      <c r="H159" s="11"/>
      <c r="I159" s="12">
        <v>290</v>
      </c>
      <c r="J159" s="11" t="s">
        <v>95</v>
      </c>
      <c r="K159" s="11" t="s">
        <v>89</v>
      </c>
      <c r="L159" s="11"/>
      <c r="M159" s="11" t="s">
        <v>95</v>
      </c>
      <c r="N159" s="11" t="s">
        <v>89</v>
      </c>
      <c r="O159" s="11"/>
      <c r="P159" s="11"/>
      <c r="Q159" s="11" t="s">
        <v>45</v>
      </c>
      <c r="R159" s="11"/>
      <c r="S159" s="11"/>
      <c r="T159" s="11"/>
      <c r="U159" s="11" t="s">
        <v>45</v>
      </c>
      <c r="V159" s="11" t="s">
        <v>95</v>
      </c>
      <c r="W159" s="12" t="b">
        <v>0</v>
      </c>
      <c r="X159" s="11"/>
      <c r="Y159" s="11" t="s">
        <v>45</v>
      </c>
    </row>
    <row r="160" hidden="1" spans="1:25">
      <c r="A160" s="12">
        <v>157</v>
      </c>
      <c r="B160" s="12" t="b">
        <v>0</v>
      </c>
      <c r="C160" s="11" t="s">
        <v>249</v>
      </c>
      <c r="D160" s="11" t="s">
        <v>45</v>
      </c>
      <c r="E160" s="11" t="s">
        <v>94</v>
      </c>
      <c r="F160" s="11"/>
      <c r="G160" s="11" t="s">
        <v>95</v>
      </c>
      <c r="H160" s="11"/>
      <c r="I160" s="12">
        <v>290</v>
      </c>
      <c r="J160" s="11" t="s">
        <v>95</v>
      </c>
      <c r="K160" s="11" t="s">
        <v>89</v>
      </c>
      <c r="L160" s="11"/>
      <c r="M160" s="11" t="s">
        <v>95</v>
      </c>
      <c r="N160" s="11" t="s">
        <v>89</v>
      </c>
      <c r="O160" s="11"/>
      <c r="P160" s="11"/>
      <c r="Q160" s="11" t="s">
        <v>45</v>
      </c>
      <c r="R160" s="11"/>
      <c r="S160" s="11"/>
      <c r="T160" s="11"/>
      <c r="U160" s="11" t="s">
        <v>45</v>
      </c>
      <c r="V160" s="11" t="s">
        <v>95</v>
      </c>
      <c r="W160" s="12" t="b">
        <v>0</v>
      </c>
      <c r="X160" s="11"/>
      <c r="Y160" s="11" t="s">
        <v>45</v>
      </c>
    </row>
    <row r="161" hidden="1" spans="1:25">
      <c r="A161" s="12">
        <v>158</v>
      </c>
      <c r="B161" s="12" t="b">
        <v>0</v>
      </c>
      <c r="C161" s="11" t="s">
        <v>250</v>
      </c>
      <c r="D161" s="11" t="s">
        <v>45</v>
      </c>
      <c r="E161" s="11" t="s">
        <v>94</v>
      </c>
      <c r="F161" s="11"/>
      <c r="G161" s="11" t="s">
        <v>95</v>
      </c>
      <c r="H161" s="11"/>
      <c r="I161" s="12">
        <v>290</v>
      </c>
      <c r="J161" s="11" t="s">
        <v>95</v>
      </c>
      <c r="K161" s="11" t="s">
        <v>89</v>
      </c>
      <c r="L161" s="11"/>
      <c r="M161" s="11" t="s">
        <v>95</v>
      </c>
      <c r="N161" s="11" t="s">
        <v>89</v>
      </c>
      <c r="O161" s="11"/>
      <c r="P161" s="11"/>
      <c r="Q161" s="11" t="s">
        <v>45</v>
      </c>
      <c r="R161" s="11"/>
      <c r="S161" s="11"/>
      <c r="T161" s="11"/>
      <c r="U161" s="11" t="s">
        <v>45</v>
      </c>
      <c r="V161" s="11" t="s">
        <v>95</v>
      </c>
      <c r="W161" s="12" t="b">
        <v>0</v>
      </c>
      <c r="X161" s="11"/>
      <c r="Y161" s="11" t="s">
        <v>45</v>
      </c>
    </row>
    <row r="162" hidden="1" spans="1:25">
      <c r="A162" s="12">
        <v>159</v>
      </c>
      <c r="B162" s="12" t="b">
        <v>0</v>
      </c>
      <c r="C162" s="11" t="s">
        <v>251</v>
      </c>
      <c r="D162" s="11" t="s">
        <v>45</v>
      </c>
      <c r="E162" s="11" t="s">
        <v>94</v>
      </c>
      <c r="F162" s="11"/>
      <c r="G162" s="11" t="s">
        <v>95</v>
      </c>
      <c r="H162" s="11"/>
      <c r="I162" s="12">
        <v>290</v>
      </c>
      <c r="J162" s="11" t="s">
        <v>95</v>
      </c>
      <c r="K162" s="11" t="s">
        <v>89</v>
      </c>
      <c r="L162" s="11"/>
      <c r="M162" s="11" t="s">
        <v>95</v>
      </c>
      <c r="N162" s="11" t="s">
        <v>89</v>
      </c>
      <c r="O162" s="11"/>
      <c r="P162" s="11"/>
      <c r="Q162" s="11" t="s">
        <v>45</v>
      </c>
      <c r="R162" s="11"/>
      <c r="S162" s="11"/>
      <c r="T162" s="11"/>
      <c r="U162" s="11" t="s">
        <v>45</v>
      </c>
      <c r="V162" s="11" t="s">
        <v>95</v>
      </c>
      <c r="W162" s="12" t="b">
        <v>0</v>
      </c>
      <c r="X162" s="11"/>
      <c r="Y162" s="11" t="s">
        <v>45</v>
      </c>
    </row>
    <row r="163" hidden="1" spans="1:25">
      <c r="A163" s="12">
        <v>160</v>
      </c>
      <c r="B163" s="12" t="b">
        <v>0</v>
      </c>
      <c r="C163" s="11" t="s">
        <v>252</v>
      </c>
      <c r="D163" s="11" t="s">
        <v>45</v>
      </c>
      <c r="E163" s="11" t="s">
        <v>94</v>
      </c>
      <c r="F163" s="11"/>
      <c r="G163" s="11" t="s">
        <v>95</v>
      </c>
      <c r="H163" s="11"/>
      <c r="I163" s="12">
        <v>290</v>
      </c>
      <c r="J163" s="11" t="s">
        <v>95</v>
      </c>
      <c r="K163" s="11" t="s">
        <v>89</v>
      </c>
      <c r="L163" s="11"/>
      <c r="M163" s="11" t="s">
        <v>95</v>
      </c>
      <c r="N163" s="11" t="s">
        <v>89</v>
      </c>
      <c r="O163" s="11"/>
      <c r="P163" s="11"/>
      <c r="Q163" s="11" t="s">
        <v>45</v>
      </c>
      <c r="R163" s="11"/>
      <c r="S163" s="11"/>
      <c r="T163" s="11"/>
      <c r="U163" s="11" t="s">
        <v>45</v>
      </c>
      <c r="V163" s="11" t="s">
        <v>95</v>
      </c>
      <c r="W163" s="12" t="b">
        <v>0</v>
      </c>
      <c r="X163" s="11"/>
      <c r="Y163" s="11" t="s">
        <v>45</v>
      </c>
    </row>
    <row r="164" hidden="1" spans="1:25">
      <c r="A164" s="12">
        <v>161</v>
      </c>
      <c r="B164" s="12" t="b">
        <v>0</v>
      </c>
      <c r="C164" s="11" t="s">
        <v>253</v>
      </c>
      <c r="D164" s="11" t="s">
        <v>45</v>
      </c>
      <c r="E164" s="11" t="s">
        <v>94</v>
      </c>
      <c r="F164" s="11"/>
      <c r="G164" s="11" t="s">
        <v>95</v>
      </c>
      <c r="H164" s="11"/>
      <c r="I164" s="12">
        <v>290</v>
      </c>
      <c r="J164" s="11" t="s">
        <v>95</v>
      </c>
      <c r="K164" s="11" t="s">
        <v>89</v>
      </c>
      <c r="L164" s="11"/>
      <c r="M164" s="11" t="s">
        <v>95</v>
      </c>
      <c r="N164" s="11" t="s">
        <v>89</v>
      </c>
      <c r="O164" s="11"/>
      <c r="P164" s="11"/>
      <c r="Q164" s="11" t="s">
        <v>45</v>
      </c>
      <c r="R164" s="11"/>
      <c r="S164" s="11"/>
      <c r="T164" s="11"/>
      <c r="U164" s="11" t="s">
        <v>45</v>
      </c>
      <c r="V164" s="11" t="s">
        <v>95</v>
      </c>
      <c r="W164" s="12" t="b">
        <v>0</v>
      </c>
      <c r="X164" s="11"/>
      <c r="Y164" s="11" t="s">
        <v>45</v>
      </c>
    </row>
    <row r="165" hidden="1" spans="1:25">
      <c r="A165" s="12">
        <v>162</v>
      </c>
      <c r="B165" s="12" t="b">
        <v>0</v>
      </c>
      <c r="C165" s="11" t="s">
        <v>254</v>
      </c>
      <c r="D165" s="11" t="s">
        <v>45</v>
      </c>
      <c r="E165" s="11" t="s">
        <v>94</v>
      </c>
      <c r="F165" s="11"/>
      <c r="G165" s="11" t="s">
        <v>95</v>
      </c>
      <c r="H165" s="11"/>
      <c r="I165" s="12">
        <v>290</v>
      </c>
      <c r="J165" s="11" t="s">
        <v>95</v>
      </c>
      <c r="K165" s="11" t="s">
        <v>89</v>
      </c>
      <c r="L165" s="11"/>
      <c r="M165" s="11" t="s">
        <v>95</v>
      </c>
      <c r="N165" s="11" t="s">
        <v>89</v>
      </c>
      <c r="O165" s="11"/>
      <c r="P165" s="11"/>
      <c r="Q165" s="11" t="s">
        <v>45</v>
      </c>
      <c r="R165" s="11"/>
      <c r="S165" s="11"/>
      <c r="T165" s="11"/>
      <c r="U165" s="11" t="s">
        <v>45</v>
      </c>
      <c r="V165" s="11" t="s">
        <v>95</v>
      </c>
      <c r="W165" s="12" t="b">
        <v>0</v>
      </c>
      <c r="X165" s="11"/>
      <c r="Y165" s="11" t="s">
        <v>45</v>
      </c>
    </row>
    <row r="166" hidden="1" spans="1:25">
      <c r="A166" s="12">
        <v>163</v>
      </c>
      <c r="B166" s="12" t="b">
        <v>0</v>
      </c>
      <c r="C166" s="11" t="s">
        <v>255</v>
      </c>
      <c r="D166" s="11" t="s">
        <v>45</v>
      </c>
      <c r="E166" s="11" t="s">
        <v>94</v>
      </c>
      <c r="F166" s="11"/>
      <c r="G166" s="11" t="s">
        <v>95</v>
      </c>
      <c r="H166" s="11"/>
      <c r="I166" s="12">
        <v>290</v>
      </c>
      <c r="J166" s="11" t="s">
        <v>95</v>
      </c>
      <c r="K166" s="11" t="s">
        <v>89</v>
      </c>
      <c r="L166" s="11"/>
      <c r="M166" s="11" t="s">
        <v>95</v>
      </c>
      <c r="N166" s="11" t="s">
        <v>89</v>
      </c>
      <c r="O166" s="11"/>
      <c r="P166" s="11"/>
      <c r="Q166" s="11" t="s">
        <v>45</v>
      </c>
      <c r="R166" s="11"/>
      <c r="S166" s="11"/>
      <c r="T166" s="11"/>
      <c r="U166" s="11" t="s">
        <v>45</v>
      </c>
      <c r="V166" s="11" t="s">
        <v>95</v>
      </c>
      <c r="W166" s="12" t="b">
        <v>0</v>
      </c>
      <c r="X166" s="11"/>
      <c r="Y166" s="11" t="s">
        <v>45</v>
      </c>
    </row>
    <row r="167" hidden="1" spans="1:25">
      <c r="A167" s="12">
        <v>164</v>
      </c>
      <c r="B167" s="12" t="b">
        <v>0</v>
      </c>
      <c r="C167" s="11" t="s">
        <v>256</v>
      </c>
      <c r="D167" s="11" t="s">
        <v>45</v>
      </c>
      <c r="E167" s="11" t="s">
        <v>94</v>
      </c>
      <c r="F167" s="11"/>
      <c r="G167" s="11" t="s">
        <v>95</v>
      </c>
      <c r="H167" s="11"/>
      <c r="I167" s="12">
        <v>290</v>
      </c>
      <c r="J167" s="11" t="s">
        <v>95</v>
      </c>
      <c r="K167" s="11" t="s">
        <v>89</v>
      </c>
      <c r="L167" s="11"/>
      <c r="M167" s="11" t="s">
        <v>95</v>
      </c>
      <c r="N167" s="11" t="s">
        <v>89</v>
      </c>
      <c r="O167" s="11"/>
      <c r="P167" s="11"/>
      <c r="Q167" s="11" t="s">
        <v>45</v>
      </c>
      <c r="R167" s="11"/>
      <c r="S167" s="11"/>
      <c r="T167" s="11"/>
      <c r="U167" s="11" t="s">
        <v>45</v>
      </c>
      <c r="V167" s="11" t="s">
        <v>95</v>
      </c>
      <c r="W167" s="12" t="b">
        <v>0</v>
      </c>
      <c r="X167" s="11"/>
      <c r="Y167" s="11" t="s">
        <v>45</v>
      </c>
    </row>
    <row r="168" hidden="1" spans="1:25">
      <c r="A168" s="12">
        <v>165</v>
      </c>
      <c r="B168" s="12" t="b">
        <v>0</v>
      </c>
      <c r="C168" s="11" t="s">
        <v>257</v>
      </c>
      <c r="D168" s="11" t="s">
        <v>45</v>
      </c>
      <c r="E168" s="11" t="s">
        <v>94</v>
      </c>
      <c r="F168" s="11"/>
      <c r="G168" s="11" t="s">
        <v>95</v>
      </c>
      <c r="H168" s="11"/>
      <c r="I168" s="12">
        <v>290</v>
      </c>
      <c r="J168" s="11" t="s">
        <v>95</v>
      </c>
      <c r="K168" s="11" t="s">
        <v>89</v>
      </c>
      <c r="L168" s="11"/>
      <c r="M168" s="11" t="s">
        <v>95</v>
      </c>
      <c r="N168" s="11" t="s">
        <v>89</v>
      </c>
      <c r="O168" s="11"/>
      <c r="P168" s="11"/>
      <c r="Q168" s="11" t="s">
        <v>45</v>
      </c>
      <c r="R168" s="11"/>
      <c r="S168" s="11"/>
      <c r="T168" s="11"/>
      <c r="U168" s="11" t="s">
        <v>45</v>
      </c>
      <c r="V168" s="11" t="s">
        <v>95</v>
      </c>
      <c r="W168" s="12" t="b">
        <v>0</v>
      </c>
      <c r="X168" s="11"/>
      <c r="Y168" s="11" t="s">
        <v>45</v>
      </c>
    </row>
    <row r="169" hidden="1" spans="1:25">
      <c r="A169" s="12">
        <v>166</v>
      </c>
      <c r="B169" s="12" t="b">
        <v>0</v>
      </c>
      <c r="C169" s="11" t="s">
        <v>258</v>
      </c>
      <c r="D169" s="11" t="s">
        <v>45</v>
      </c>
      <c r="E169" s="11" t="s">
        <v>94</v>
      </c>
      <c r="F169" s="11"/>
      <c r="G169" s="11" t="s">
        <v>95</v>
      </c>
      <c r="H169" s="11"/>
      <c r="I169" s="12">
        <v>290</v>
      </c>
      <c r="J169" s="11" t="s">
        <v>95</v>
      </c>
      <c r="K169" s="11" t="s">
        <v>89</v>
      </c>
      <c r="L169" s="11"/>
      <c r="M169" s="11" t="s">
        <v>95</v>
      </c>
      <c r="N169" s="11" t="s">
        <v>89</v>
      </c>
      <c r="O169" s="11"/>
      <c r="P169" s="11"/>
      <c r="Q169" s="11" t="s">
        <v>45</v>
      </c>
      <c r="R169" s="11"/>
      <c r="S169" s="11"/>
      <c r="T169" s="11"/>
      <c r="U169" s="11" t="s">
        <v>45</v>
      </c>
      <c r="V169" s="11" t="s">
        <v>95</v>
      </c>
      <c r="W169" s="12" t="b">
        <v>0</v>
      </c>
      <c r="X169" s="11"/>
      <c r="Y169" s="11" t="s">
        <v>45</v>
      </c>
    </row>
    <row r="170" hidden="1" spans="1:25">
      <c r="A170" s="12">
        <v>167</v>
      </c>
      <c r="B170" s="12" t="b">
        <v>0</v>
      </c>
      <c r="C170" s="11" t="s">
        <v>259</v>
      </c>
      <c r="D170" s="11" t="s">
        <v>45</v>
      </c>
      <c r="E170" s="11" t="s">
        <v>94</v>
      </c>
      <c r="F170" s="11"/>
      <c r="G170" s="11" t="s">
        <v>95</v>
      </c>
      <c r="H170" s="11"/>
      <c r="I170" s="12">
        <v>290</v>
      </c>
      <c r="J170" s="11" t="s">
        <v>95</v>
      </c>
      <c r="K170" s="11" t="s">
        <v>89</v>
      </c>
      <c r="L170" s="11"/>
      <c r="M170" s="11" t="s">
        <v>95</v>
      </c>
      <c r="N170" s="11" t="s">
        <v>89</v>
      </c>
      <c r="O170" s="11"/>
      <c r="P170" s="11"/>
      <c r="Q170" s="11" t="s">
        <v>45</v>
      </c>
      <c r="R170" s="11"/>
      <c r="S170" s="11"/>
      <c r="T170" s="11"/>
      <c r="U170" s="11" t="s">
        <v>45</v>
      </c>
      <c r="V170" s="11" t="s">
        <v>95</v>
      </c>
      <c r="W170" s="12" t="b">
        <v>0</v>
      </c>
      <c r="X170" s="11"/>
      <c r="Y170" s="11" t="s">
        <v>45</v>
      </c>
    </row>
    <row r="171" hidden="1" spans="1:25">
      <c r="A171" s="12">
        <v>168</v>
      </c>
      <c r="B171" s="12" t="b">
        <v>0</v>
      </c>
      <c r="C171" s="11" t="s">
        <v>260</v>
      </c>
      <c r="D171" s="11" t="s">
        <v>45</v>
      </c>
      <c r="E171" s="11" t="s">
        <v>94</v>
      </c>
      <c r="F171" s="11"/>
      <c r="G171" s="11" t="s">
        <v>95</v>
      </c>
      <c r="H171" s="11"/>
      <c r="I171" s="12">
        <v>290</v>
      </c>
      <c r="J171" s="11" t="s">
        <v>95</v>
      </c>
      <c r="K171" s="11" t="s">
        <v>89</v>
      </c>
      <c r="L171" s="11"/>
      <c r="M171" s="11" t="s">
        <v>95</v>
      </c>
      <c r="N171" s="11" t="s">
        <v>89</v>
      </c>
      <c r="O171" s="11"/>
      <c r="P171" s="11"/>
      <c r="Q171" s="11" t="s">
        <v>45</v>
      </c>
      <c r="R171" s="11"/>
      <c r="S171" s="11"/>
      <c r="T171" s="11"/>
      <c r="U171" s="11" t="s">
        <v>45</v>
      </c>
      <c r="V171" s="11" t="s">
        <v>95</v>
      </c>
      <c r="W171" s="12" t="b">
        <v>0</v>
      </c>
      <c r="X171" s="11"/>
      <c r="Y171" s="11" t="s">
        <v>45</v>
      </c>
    </row>
    <row r="172" hidden="1" spans="1:25">
      <c r="A172" s="12">
        <v>169</v>
      </c>
      <c r="B172" s="12" t="b">
        <v>0</v>
      </c>
      <c r="C172" s="11" t="s">
        <v>261</v>
      </c>
      <c r="D172" s="11" t="s">
        <v>45</v>
      </c>
      <c r="E172" s="11" t="s">
        <v>94</v>
      </c>
      <c r="F172" s="11"/>
      <c r="G172" s="11" t="s">
        <v>95</v>
      </c>
      <c r="H172" s="11"/>
      <c r="I172" s="12">
        <v>290</v>
      </c>
      <c r="J172" s="11" t="s">
        <v>95</v>
      </c>
      <c r="K172" s="11" t="s">
        <v>89</v>
      </c>
      <c r="L172" s="11"/>
      <c r="M172" s="11" t="s">
        <v>95</v>
      </c>
      <c r="N172" s="11" t="s">
        <v>89</v>
      </c>
      <c r="O172" s="11"/>
      <c r="P172" s="11"/>
      <c r="Q172" s="11" t="s">
        <v>45</v>
      </c>
      <c r="R172" s="11"/>
      <c r="S172" s="11"/>
      <c r="T172" s="11"/>
      <c r="U172" s="11" t="s">
        <v>45</v>
      </c>
      <c r="V172" s="11" t="s">
        <v>95</v>
      </c>
      <c r="W172" s="12" t="b">
        <v>0</v>
      </c>
      <c r="X172" s="11"/>
      <c r="Y172" s="11" t="s">
        <v>45</v>
      </c>
    </row>
    <row r="173" hidden="1" spans="1:25">
      <c r="A173" s="12">
        <v>170</v>
      </c>
      <c r="B173" s="12" t="b">
        <v>0</v>
      </c>
      <c r="C173" s="11" t="s">
        <v>262</v>
      </c>
      <c r="D173" s="11" t="s">
        <v>45</v>
      </c>
      <c r="E173" s="11" t="s">
        <v>94</v>
      </c>
      <c r="F173" s="11"/>
      <c r="G173" s="11" t="s">
        <v>95</v>
      </c>
      <c r="H173" s="11"/>
      <c r="I173" s="12">
        <v>290</v>
      </c>
      <c r="J173" s="11" t="s">
        <v>95</v>
      </c>
      <c r="K173" s="11" t="s">
        <v>89</v>
      </c>
      <c r="L173" s="11"/>
      <c r="M173" s="11" t="s">
        <v>95</v>
      </c>
      <c r="N173" s="11" t="s">
        <v>89</v>
      </c>
      <c r="O173" s="11"/>
      <c r="P173" s="11"/>
      <c r="Q173" s="11" t="s">
        <v>45</v>
      </c>
      <c r="R173" s="11"/>
      <c r="S173" s="11"/>
      <c r="T173" s="11"/>
      <c r="U173" s="11" t="s">
        <v>45</v>
      </c>
      <c r="V173" s="11" t="s">
        <v>95</v>
      </c>
      <c r="W173" s="12" t="b">
        <v>0</v>
      </c>
      <c r="X173" s="11"/>
      <c r="Y173" s="11" t="s">
        <v>45</v>
      </c>
    </row>
    <row r="174" hidden="1" spans="1:25">
      <c r="A174" s="12">
        <v>171</v>
      </c>
      <c r="B174" s="12" t="b">
        <v>0</v>
      </c>
      <c r="C174" s="11" t="s">
        <v>263</v>
      </c>
      <c r="D174" s="11" t="s">
        <v>45</v>
      </c>
      <c r="E174" s="11" t="s">
        <v>94</v>
      </c>
      <c r="F174" s="11"/>
      <c r="G174" s="11" t="s">
        <v>95</v>
      </c>
      <c r="H174" s="11"/>
      <c r="I174" s="12">
        <v>290</v>
      </c>
      <c r="J174" s="11" t="s">
        <v>95</v>
      </c>
      <c r="K174" s="11" t="s">
        <v>89</v>
      </c>
      <c r="L174" s="11"/>
      <c r="M174" s="11" t="s">
        <v>95</v>
      </c>
      <c r="N174" s="11" t="s">
        <v>89</v>
      </c>
      <c r="O174" s="11"/>
      <c r="P174" s="11"/>
      <c r="Q174" s="11" t="s">
        <v>45</v>
      </c>
      <c r="R174" s="11"/>
      <c r="S174" s="11"/>
      <c r="T174" s="11"/>
      <c r="U174" s="11" t="s">
        <v>45</v>
      </c>
      <c r="V174" s="11" t="s">
        <v>95</v>
      </c>
      <c r="W174" s="12" t="b">
        <v>0</v>
      </c>
      <c r="X174" s="11"/>
      <c r="Y174" s="11" t="s">
        <v>45</v>
      </c>
    </row>
    <row r="175" hidden="1" spans="1:25">
      <c r="A175" s="12">
        <v>172</v>
      </c>
      <c r="B175" s="12" t="b">
        <v>0</v>
      </c>
      <c r="C175" s="11" t="s">
        <v>264</v>
      </c>
      <c r="D175" s="11" t="s">
        <v>45</v>
      </c>
      <c r="E175" s="11" t="s">
        <v>94</v>
      </c>
      <c r="F175" s="11"/>
      <c r="G175" s="11" t="s">
        <v>95</v>
      </c>
      <c r="H175" s="11"/>
      <c r="I175" s="12">
        <v>290</v>
      </c>
      <c r="J175" s="11" t="s">
        <v>95</v>
      </c>
      <c r="K175" s="11" t="s">
        <v>89</v>
      </c>
      <c r="L175" s="11"/>
      <c r="M175" s="11" t="s">
        <v>95</v>
      </c>
      <c r="N175" s="11" t="s">
        <v>89</v>
      </c>
      <c r="O175" s="11"/>
      <c r="P175" s="11"/>
      <c r="Q175" s="11" t="s">
        <v>45</v>
      </c>
      <c r="R175" s="11"/>
      <c r="S175" s="11"/>
      <c r="T175" s="11"/>
      <c r="U175" s="11" t="s">
        <v>45</v>
      </c>
      <c r="V175" s="11" t="s">
        <v>95</v>
      </c>
      <c r="W175" s="12" t="b">
        <v>0</v>
      </c>
      <c r="X175" s="11"/>
      <c r="Y175" s="11" t="s">
        <v>45</v>
      </c>
    </row>
    <row r="176" hidden="1" spans="1:25">
      <c r="A176" s="12">
        <v>173</v>
      </c>
      <c r="B176" s="12" t="b">
        <v>0</v>
      </c>
      <c r="C176" s="11" t="s">
        <v>265</v>
      </c>
      <c r="D176" s="11" t="s">
        <v>45</v>
      </c>
      <c r="E176" s="11" t="s">
        <v>94</v>
      </c>
      <c r="F176" s="11"/>
      <c r="G176" s="11" t="s">
        <v>95</v>
      </c>
      <c r="H176" s="11"/>
      <c r="I176" s="12">
        <v>290</v>
      </c>
      <c r="J176" s="11" t="s">
        <v>95</v>
      </c>
      <c r="K176" s="11" t="s">
        <v>89</v>
      </c>
      <c r="L176" s="11"/>
      <c r="M176" s="11" t="s">
        <v>95</v>
      </c>
      <c r="N176" s="11" t="s">
        <v>89</v>
      </c>
      <c r="O176" s="11"/>
      <c r="P176" s="11"/>
      <c r="Q176" s="11" t="s">
        <v>45</v>
      </c>
      <c r="R176" s="11"/>
      <c r="S176" s="11"/>
      <c r="T176" s="11"/>
      <c r="U176" s="11" t="s">
        <v>45</v>
      </c>
      <c r="V176" s="11" t="s">
        <v>95</v>
      </c>
      <c r="W176" s="12" t="b">
        <v>0</v>
      </c>
      <c r="X176" s="11"/>
      <c r="Y176" s="11" t="s">
        <v>45</v>
      </c>
    </row>
    <row r="177" hidden="1" spans="1:25">
      <c r="A177" s="12">
        <v>174</v>
      </c>
      <c r="B177" s="12" t="b">
        <v>0</v>
      </c>
      <c r="C177" s="11" t="s">
        <v>266</v>
      </c>
      <c r="D177" s="11" t="s">
        <v>45</v>
      </c>
      <c r="E177" s="11" t="s">
        <v>94</v>
      </c>
      <c r="F177" s="11"/>
      <c r="G177" s="11" t="s">
        <v>95</v>
      </c>
      <c r="H177" s="11"/>
      <c r="I177" s="12">
        <v>290</v>
      </c>
      <c r="J177" s="11" t="s">
        <v>95</v>
      </c>
      <c r="K177" s="11" t="s">
        <v>89</v>
      </c>
      <c r="L177" s="11"/>
      <c r="M177" s="11" t="s">
        <v>95</v>
      </c>
      <c r="N177" s="11" t="s">
        <v>89</v>
      </c>
      <c r="O177" s="11"/>
      <c r="P177" s="11"/>
      <c r="Q177" s="11" t="s">
        <v>45</v>
      </c>
      <c r="R177" s="11"/>
      <c r="S177" s="11"/>
      <c r="T177" s="11"/>
      <c r="U177" s="11" t="s">
        <v>45</v>
      </c>
      <c r="V177" s="11" t="s">
        <v>95</v>
      </c>
      <c r="W177" s="12" t="b">
        <v>0</v>
      </c>
      <c r="X177" s="11"/>
      <c r="Y177" s="11" t="s">
        <v>45</v>
      </c>
    </row>
    <row r="178" hidden="1" spans="1:25">
      <c r="A178" s="12">
        <v>175</v>
      </c>
      <c r="B178" s="12" t="b">
        <v>0</v>
      </c>
      <c r="C178" s="11" t="s">
        <v>267</v>
      </c>
      <c r="D178" s="11" t="s">
        <v>45</v>
      </c>
      <c r="E178" s="11" t="s">
        <v>94</v>
      </c>
      <c r="F178" s="11"/>
      <c r="G178" s="11" t="s">
        <v>95</v>
      </c>
      <c r="H178" s="11"/>
      <c r="I178" s="12">
        <v>290</v>
      </c>
      <c r="J178" s="11" t="s">
        <v>95</v>
      </c>
      <c r="K178" s="11" t="s">
        <v>89</v>
      </c>
      <c r="L178" s="11"/>
      <c r="M178" s="11" t="s">
        <v>95</v>
      </c>
      <c r="N178" s="11" t="s">
        <v>89</v>
      </c>
      <c r="O178" s="11"/>
      <c r="P178" s="11"/>
      <c r="Q178" s="11" t="s">
        <v>45</v>
      </c>
      <c r="R178" s="11"/>
      <c r="S178" s="11"/>
      <c r="T178" s="11"/>
      <c r="U178" s="11" t="s">
        <v>45</v>
      </c>
      <c r="V178" s="11" t="s">
        <v>95</v>
      </c>
      <c r="W178" s="12" t="b">
        <v>0</v>
      </c>
      <c r="X178" s="11"/>
      <c r="Y178" s="11" t="s">
        <v>45</v>
      </c>
    </row>
    <row r="179" hidden="1" spans="1:25">
      <c r="A179" s="12">
        <v>176</v>
      </c>
      <c r="B179" s="12" t="b">
        <v>0</v>
      </c>
      <c r="C179" s="11" t="s">
        <v>268</v>
      </c>
      <c r="D179" s="11" t="s">
        <v>45</v>
      </c>
      <c r="E179" s="11" t="s">
        <v>94</v>
      </c>
      <c r="F179" s="11"/>
      <c r="G179" s="11" t="s">
        <v>95</v>
      </c>
      <c r="H179" s="11"/>
      <c r="I179" s="12">
        <v>290</v>
      </c>
      <c r="J179" s="11" t="s">
        <v>95</v>
      </c>
      <c r="K179" s="11" t="s">
        <v>89</v>
      </c>
      <c r="L179" s="11"/>
      <c r="M179" s="11" t="s">
        <v>95</v>
      </c>
      <c r="N179" s="11" t="s">
        <v>89</v>
      </c>
      <c r="O179" s="11"/>
      <c r="P179" s="11"/>
      <c r="Q179" s="11" t="s">
        <v>45</v>
      </c>
      <c r="R179" s="11"/>
      <c r="S179" s="11"/>
      <c r="T179" s="11"/>
      <c r="U179" s="11" t="s">
        <v>45</v>
      </c>
      <c r="V179" s="11" t="s">
        <v>95</v>
      </c>
      <c r="W179" s="12" t="b">
        <v>0</v>
      </c>
      <c r="X179" s="11"/>
      <c r="Y179" s="11" t="s">
        <v>45</v>
      </c>
    </row>
    <row r="180" hidden="1" spans="1:25">
      <c r="A180" s="12">
        <v>177</v>
      </c>
      <c r="B180" s="12" t="b">
        <v>0</v>
      </c>
      <c r="C180" s="11" t="s">
        <v>269</v>
      </c>
      <c r="D180" s="11" t="s">
        <v>45</v>
      </c>
      <c r="E180" s="11" t="s">
        <v>94</v>
      </c>
      <c r="F180" s="11"/>
      <c r="G180" s="11" t="s">
        <v>95</v>
      </c>
      <c r="H180" s="11"/>
      <c r="I180" s="12">
        <v>290</v>
      </c>
      <c r="J180" s="11" t="s">
        <v>95</v>
      </c>
      <c r="K180" s="11" t="s">
        <v>89</v>
      </c>
      <c r="L180" s="11"/>
      <c r="M180" s="11" t="s">
        <v>95</v>
      </c>
      <c r="N180" s="11" t="s">
        <v>89</v>
      </c>
      <c r="O180" s="11"/>
      <c r="P180" s="11"/>
      <c r="Q180" s="11" t="s">
        <v>45</v>
      </c>
      <c r="R180" s="11"/>
      <c r="S180" s="11"/>
      <c r="T180" s="11"/>
      <c r="U180" s="11" t="s">
        <v>45</v>
      </c>
      <c r="V180" s="11" t="s">
        <v>95</v>
      </c>
      <c r="W180" s="12" t="b">
        <v>0</v>
      </c>
      <c r="X180" s="11"/>
      <c r="Y180" s="11" t="s">
        <v>45</v>
      </c>
    </row>
    <row r="181" hidden="1" spans="1:25">
      <c r="A181" s="12">
        <v>178</v>
      </c>
      <c r="B181" s="12" t="b">
        <v>0</v>
      </c>
      <c r="C181" s="11" t="s">
        <v>270</v>
      </c>
      <c r="D181" s="11" t="s">
        <v>45</v>
      </c>
      <c r="E181" s="11" t="s">
        <v>94</v>
      </c>
      <c r="F181" s="11"/>
      <c r="G181" s="11" t="s">
        <v>95</v>
      </c>
      <c r="H181" s="11"/>
      <c r="I181" s="12">
        <v>290</v>
      </c>
      <c r="J181" s="11" t="s">
        <v>95</v>
      </c>
      <c r="K181" s="11" t="s">
        <v>89</v>
      </c>
      <c r="L181" s="11"/>
      <c r="M181" s="11" t="s">
        <v>95</v>
      </c>
      <c r="N181" s="11" t="s">
        <v>89</v>
      </c>
      <c r="O181" s="11"/>
      <c r="P181" s="11"/>
      <c r="Q181" s="11" t="s">
        <v>45</v>
      </c>
      <c r="R181" s="11"/>
      <c r="S181" s="11"/>
      <c r="T181" s="11"/>
      <c r="U181" s="11" t="s">
        <v>45</v>
      </c>
      <c r="V181" s="11" t="s">
        <v>95</v>
      </c>
      <c r="W181" s="12" t="b">
        <v>0</v>
      </c>
      <c r="X181" s="11"/>
      <c r="Y181" s="11" t="s">
        <v>45</v>
      </c>
    </row>
    <row r="182" hidden="1" spans="1:25">
      <c r="A182" s="12">
        <v>179</v>
      </c>
      <c r="B182" s="12" t="b">
        <v>0</v>
      </c>
      <c r="C182" s="11" t="s">
        <v>271</v>
      </c>
      <c r="D182" s="11" t="s">
        <v>45</v>
      </c>
      <c r="E182" s="11" t="s">
        <v>94</v>
      </c>
      <c r="F182" s="11"/>
      <c r="G182" s="11" t="s">
        <v>95</v>
      </c>
      <c r="H182" s="11"/>
      <c r="I182" s="12">
        <v>290</v>
      </c>
      <c r="J182" s="11" t="s">
        <v>95</v>
      </c>
      <c r="K182" s="11" t="s">
        <v>89</v>
      </c>
      <c r="L182" s="11"/>
      <c r="M182" s="11" t="s">
        <v>95</v>
      </c>
      <c r="N182" s="11" t="s">
        <v>89</v>
      </c>
      <c r="O182" s="11"/>
      <c r="P182" s="11"/>
      <c r="Q182" s="11" t="s">
        <v>45</v>
      </c>
      <c r="R182" s="11"/>
      <c r="S182" s="11"/>
      <c r="T182" s="11"/>
      <c r="U182" s="11" t="s">
        <v>45</v>
      </c>
      <c r="V182" s="11" t="s">
        <v>95</v>
      </c>
      <c r="W182" s="12" t="b">
        <v>0</v>
      </c>
      <c r="X182" s="11"/>
      <c r="Y182" s="11" t="s">
        <v>45</v>
      </c>
    </row>
    <row r="183" hidden="1" spans="1:25">
      <c r="A183" s="12">
        <v>180</v>
      </c>
      <c r="B183" s="12" t="b">
        <v>0</v>
      </c>
      <c r="C183" s="11" t="s">
        <v>272</v>
      </c>
      <c r="D183" s="11" t="s">
        <v>45</v>
      </c>
      <c r="E183" s="11" t="s">
        <v>94</v>
      </c>
      <c r="F183" s="11"/>
      <c r="G183" s="11" t="s">
        <v>95</v>
      </c>
      <c r="H183" s="11"/>
      <c r="I183" s="12">
        <v>290</v>
      </c>
      <c r="J183" s="11" t="s">
        <v>95</v>
      </c>
      <c r="K183" s="11" t="s">
        <v>89</v>
      </c>
      <c r="L183" s="11"/>
      <c r="M183" s="11" t="s">
        <v>95</v>
      </c>
      <c r="N183" s="11" t="s">
        <v>89</v>
      </c>
      <c r="O183" s="11"/>
      <c r="P183" s="11"/>
      <c r="Q183" s="11" t="s">
        <v>45</v>
      </c>
      <c r="R183" s="11"/>
      <c r="S183" s="11"/>
      <c r="T183" s="11"/>
      <c r="U183" s="11" t="s">
        <v>45</v>
      </c>
      <c r="V183" s="11" t="s">
        <v>95</v>
      </c>
      <c r="W183" s="12" t="b">
        <v>0</v>
      </c>
      <c r="X183" s="11"/>
      <c r="Y183" s="11" t="s">
        <v>45</v>
      </c>
    </row>
    <row r="184" hidden="1" spans="1:25">
      <c r="A184" s="12">
        <v>181</v>
      </c>
      <c r="B184" s="12" t="b">
        <v>0</v>
      </c>
      <c r="C184" s="11" t="s">
        <v>273</v>
      </c>
      <c r="D184" s="11" t="s">
        <v>45</v>
      </c>
      <c r="E184" s="11" t="s">
        <v>94</v>
      </c>
      <c r="F184" s="11"/>
      <c r="G184" s="11" t="s">
        <v>95</v>
      </c>
      <c r="H184" s="11"/>
      <c r="I184" s="12">
        <v>290</v>
      </c>
      <c r="J184" s="11" t="s">
        <v>95</v>
      </c>
      <c r="K184" s="11" t="s">
        <v>89</v>
      </c>
      <c r="L184" s="11"/>
      <c r="M184" s="11" t="s">
        <v>95</v>
      </c>
      <c r="N184" s="11" t="s">
        <v>89</v>
      </c>
      <c r="O184" s="11"/>
      <c r="P184" s="11"/>
      <c r="Q184" s="11" t="s">
        <v>45</v>
      </c>
      <c r="R184" s="11"/>
      <c r="S184" s="11"/>
      <c r="T184" s="11"/>
      <c r="U184" s="11" t="s">
        <v>45</v>
      </c>
      <c r="V184" s="11" t="s">
        <v>95</v>
      </c>
      <c r="W184" s="12" t="b">
        <v>0</v>
      </c>
      <c r="X184" s="11"/>
      <c r="Y184" s="11" t="s">
        <v>45</v>
      </c>
    </row>
    <row r="185" hidden="1" spans="1:25">
      <c r="A185" s="12">
        <v>182</v>
      </c>
      <c r="B185" s="12" t="b">
        <v>0</v>
      </c>
      <c r="C185" s="11" t="s">
        <v>274</v>
      </c>
      <c r="D185" s="11" t="s">
        <v>45</v>
      </c>
      <c r="E185" s="11" t="s">
        <v>94</v>
      </c>
      <c r="F185" s="11"/>
      <c r="G185" s="11" t="s">
        <v>95</v>
      </c>
      <c r="H185" s="11"/>
      <c r="I185" s="12">
        <v>290</v>
      </c>
      <c r="J185" s="11" t="s">
        <v>95</v>
      </c>
      <c r="K185" s="11" t="s">
        <v>89</v>
      </c>
      <c r="L185" s="11"/>
      <c r="M185" s="11" t="s">
        <v>95</v>
      </c>
      <c r="N185" s="11" t="s">
        <v>89</v>
      </c>
      <c r="O185" s="11"/>
      <c r="P185" s="11"/>
      <c r="Q185" s="11" t="s">
        <v>45</v>
      </c>
      <c r="R185" s="11"/>
      <c r="S185" s="11"/>
      <c r="T185" s="11"/>
      <c r="U185" s="11" t="s">
        <v>45</v>
      </c>
      <c r="V185" s="11" t="s">
        <v>95</v>
      </c>
      <c r="W185" s="12" t="b">
        <v>0</v>
      </c>
      <c r="X185" s="11"/>
      <c r="Y185" s="11" t="s">
        <v>45</v>
      </c>
    </row>
    <row r="186" hidden="1" spans="1:25">
      <c r="A186" s="12">
        <v>183</v>
      </c>
      <c r="B186" s="12" t="b">
        <v>0</v>
      </c>
      <c r="C186" s="11" t="s">
        <v>275</v>
      </c>
      <c r="D186" s="11" t="s">
        <v>45</v>
      </c>
      <c r="E186" s="11" t="s">
        <v>94</v>
      </c>
      <c r="F186" s="11"/>
      <c r="G186" s="11" t="s">
        <v>95</v>
      </c>
      <c r="H186" s="11"/>
      <c r="I186" s="12">
        <v>290</v>
      </c>
      <c r="J186" s="11" t="s">
        <v>95</v>
      </c>
      <c r="K186" s="11" t="s">
        <v>89</v>
      </c>
      <c r="L186" s="11"/>
      <c r="M186" s="11" t="s">
        <v>95</v>
      </c>
      <c r="N186" s="11" t="s">
        <v>89</v>
      </c>
      <c r="O186" s="11"/>
      <c r="P186" s="11"/>
      <c r="Q186" s="11" t="s">
        <v>45</v>
      </c>
      <c r="R186" s="11"/>
      <c r="S186" s="11"/>
      <c r="T186" s="11"/>
      <c r="U186" s="11" t="s">
        <v>45</v>
      </c>
      <c r="V186" s="11" t="s">
        <v>95</v>
      </c>
      <c r="W186" s="12" t="b">
        <v>0</v>
      </c>
      <c r="X186" s="11"/>
      <c r="Y186" s="11" t="s">
        <v>45</v>
      </c>
    </row>
    <row r="187" hidden="1" spans="1:25">
      <c r="A187" s="12">
        <v>184</v>
      </c>
      <c r="B187" s="12" t="b">
        <v>0</v>
      </c>
      <c r="C187" s="11" t="s">
        <v>276</v>
      </c>
      <c r="D187" s="11" t="s">
        <v>45</v>
      </c>
      <c r="E187" s="11" t="s">
        <v>94</v>
      </c>
      <c r="F187" s="11"/>
      <c r="G187" s="11" t="s">
        <v>95</v>
      </c>
      <c r="H187" s="11"/>
      <c r="I187" s="12">
        <v>290</v>
      </c>
      <c r="J187" s="11" t="s">
        <v>95</v>
      </c>
      <c r="K187" s="11" t="s">
        <v>89</v>
      </c>
      <c r="L187" s="11"/>
      <c r="M187" s="11" t="s">
        <v>95</v>
      </c>
      <c r="N187" s="11" t="s">
        <v>89</v>
      </c>
      <c r="O187" s="11"/>
      <c r="P187" s="11"/>
      <c r="Q187" s="11" t="s">
        <v>45</v>
      </c>
      <c r="R187" s="11"/>
      <c r="S187" s="11"/>
      <c r="T187" s="11"/>
      <c r="U187" s="11" t="s">
        <v>45</v>
      </c>
      <c r="V187" s="11" t="s">
        <v>95</v>
      </c>
      <c r="W187" s="12" t="b">
        <v>0</v>
      </c>
      <c r="X187" s="11"/>
      <c r="Y187" s="11" t="s">
        <v>45</v>
      </c>
    </row>
    <row r="188" hidden="1" spans="1:25">
      <c r="A188" s="12">
        <v>185</v>
      </c>
      <c r="B188" s="12" t="b">
        <v>0</v>
      </c>
      <c r="C188" s="11" t="s">
        <v>277</v>
      </c>
      <c r="D188" s="11" t="s">
        <v>45</v>
      </c>
      <c r="E188" s="11" t="s">
        <v>94</v>
      </c>
      <c r="F188" s="11"/>
      <c r="G188" s="11" t="s">
        <v>95</v>
      </c>
      <c r="H188" s="11"/>
      <c r="I188" s="12">
        <v>290</v>
      </c>
      <c r="J188" s="11" t="s">
        <v>95</v>
      </c>
      <c r="K188" s="11" t="s">
        <v>89</v>
      </c>
      <c r="L188" s="11"/>
      <c r="M188" s="11" t="s">
        <v>95</v>
      </c>
      <c r="N188" s="11" t="s">
        <v>89</v>
      </c>
      <c r="O188" s="11"/>
      <c r="P188" s="11"/>
      <c r="Q188" s="11" t="s">
        <v>45</v>
      </c>
      <c r="R188" s="11"/>
      <c r="S188" s="11"/>
      <c r="T188" s="11"/>
      <c r="U188" s="11" t="s">
        <v>45</v>
      </c>
      <c r="V188" s="11" t="s">
        <v>95</v>
      </c>
      <c r="W188" s="12" t="b">
        <v>0</v>
      </c>
      <c r="X188" s="11"/>
      <c r="Y188" s="11" t="s">
        <v>45</v>
      </c>
    </row>
    <row r="189" hidden="1" spans="1:25">
      <c r="A189" s="12">
        <v>186</v>
      </c>
      <c r="B189" s="12" t="b">
        <v>0</v>
      </c>
      <c r="C189" s="11" t="s">
        <v>278</v>
      </c>
      <c r="D189" s="11" t="s">
        <v>45</v>
      </c>
      <c r="E189" s="11" t="s">
        <v>94</v>
      </c>
      <c r="F189" s="11"/>
      <c r="G189" s="11" t="s">
        <v>95</v>
      </c>
      <c r="H189" s="11"/>
      <c r="I189" s="12">
        <v>290</v>
      </c>
      <c r="J189" s="11" t="s">
        <v>95</v>
      </c>
      <c r="K189" s="11" t="s">
        <v>89</v>
      </c>
      <c r="L189" s="11"/>
      <c r="M189" s="11" t="s">
        <v>95</v>
      </c>
      <c r="N189" s="11" t="s">
        <v>89</v>
      </c>
      <c r="O189" s="11"/>
      <c r="P189" s="11"/>
      <c r="Q189" s="11" t="s">
        <v>45</v>
      </c>
      <c r="R189" s="11"/>
      <c r="S189" s="11"/>
      <c r="T189" s="11"/>
      <c r="U189" s="11" t="s">
        <v>45</v>
      </c>
      <c r="V189" s="11" t="s">
        <v>95</v>
      </c>
      <c r="W189" s="12" t="b">
        <v>0</v>
      </c>
      <c r="X189" s="11"/>
      <c r="Y189" s="11" t="s">
        <v>45</v>
      </c>
    </row>
    <row r="190" hidden="1" spans="1:25">
      <c r="A190" s="12">
        <v>187</v>
      </c>
      <c r="B190" s="12" t="b">
        <v>0</v>
      </c>
      <c r="C190" s="11" t="s">
        <v>279</v>
      </c>
      <c r="D190" s="11" t="s">
        <v>45</v>
      </c>
      <c r="E190" s="11" t="s">
        <v>94</v>
      </c>
      <c r="F190" s="11"/>
      <c r="G190" s="11" t="s">
        <v>95</v>
      </c>
      <c r="H190" s="11"/>
      <c r="I190" s="12">
        <v>290</v>
      </c>
      <c r="J190" s="11" t="s">
        <v>95</v>
      </c>
      <c r="K190" s="11" t="s">
        <v>89</v>
      </c>
      <c r="L190" s="11"/>
      <c r="M190" s="11" t="s">
        <v>95</v>
      </c>
      <c r="N190" s="11" t="s">
        <v>89</v>
      </c>
      <c r="O190" s="11"/>
      <c r="P190" s="11"/>
      <c r="Q190" s="11" t="s">
        <v>45</v>
      </c>
      <c r="R190" s="11"/>
      <c r="S190" s="11"/>
      <c r="T190" s="11"/>
      <c r="U190" s="11" t="s">
        <v>45</v>
      </c>
      <c r="V190" s="11" t="s">
        <v>95</v>
      </c>
      <c r="W190" s="12" t="b">
        <v>0</v>
      </c>
      <c r="X190" s="11"/>
      <c r="Y190" s="11" t="s">
        <v>45</v>
      </c>
    </row>
    <row r="191" hidden="1" spans="1:25">
      <c r="A191" s="12">
        <v>188</v>
      </c>
      <c r="B191" s="12" t="b">
        <v>0</v>
      </c>
      <c r="C191" s="11" t="s">
        <v>280</v>
      </c>
      <c r="D191" s="11" t="s">
        <v>45</v>
      </c>
      <c r="E191" s="11" t="s">
        <v>94</v>
      </c>
      <c r="F191" s="11"/>
      <c r="G191" s="11" t="s">
        <v>95</v>
      </c>
      <c r="H191" s="11"/>
      <c r="I191" s="12">
        <v>290</v>
      </c>
      <c r="J191" s="11" t="s">
        <v>95</v>
      </c>
      <c r="K191" s="11" t="s">
        <v>89</v>
      </c>
      <c r="L191" s="11"/>
      <c r="M191" s="11" t="s">
        <v>95</v>
      </c>
      <c r="N191" s="11" t="s">
        <v>89</v>
      </c>
      <c r="O191" s="11"/>
      <c r="P191" s="11"/>
      <c r="Q191" s="11" t="s">
        <v>45</v>
      </c>
      <c r="R191" s="11"/>
      <c r="S191" s="11"/>
      <c r="T191" s="11"/>
      <c r="U191" s="11" t="s">
        <v>45</v>
      </c>
      <c r="V191" s="11" t="s">
        <v>95</v>
      </c>
      <c r="W191" s="12" t="b">
        <v>0</v>
      </c>
      <c r="X191" s="11"/>
      <c r="Y191" s="11" t="s">
        <v>45</v>
      </c>
    </row>
    <row r="192" hidden="1" spans="1:25">
      <c r="A192" s="12">
        <v>189</v>
      </c>
      <c r="B192" s="12" t="b">
        <v>0</v>
      </c>
      <c r="C192" s="11" t="s">
        <v>281</v>
      </c>
      <c r="D192" s="11" t="s">
        <v>45</v>
      </c>
      <c r="E192" s="11" t="s">
        <v>94</v>
      </c>
      <c r="F192" s="11"/>
      <c r="G192" s="11" t="s">
        <v>95</v>
      </c>
      <c r="H192" s="11"/>
      <c r="I192" s="12">
        <v>290</v>
      </c>
      <c r="J192" s="11" t="s">
        <v>95</v>
      </c>
      <c r="K192" s="11" t="s">
        <v>89</v>
      </c>
      <c r="L192" s="11"/>
      <c r="M192" s="11" t="s">
        <v>95</v>
      </c>
      <c r="N192" s="11" t="s">
        <v>89</v>
      </c>
      <c r="O192" s="11"/>
      <c r="P192" s="11"/>
      <c r="Q192" s="11" t="s">
        <v>45</v>
      </c>
      <c r="R192" s="11"/>
      <c r="S192" s="11"/>
      <c r="T192" s="11"/>
      <c r="U192" s="11" t="s">
        <v>45</v>
      </c>
      <c r="V192" s="11" t="s">
        <v>95</v>
      </c>
      <c r="W192" s="12" t="b">
        <v>0</v>
      </c>
      <c r="X192" s="11"/>
      <c r="Y192" s="11" t="s">
        <v>45</v>
      </c>
    </row>
    <row r="193" hidden="1" spans="1:25">
      <c r="A193" s="12">
        <v>190</v>
      </c>
      <c r="B193" s="12" t="b">
        <v>0</v>
      </c>
      <c r="C193" s="11" t="s">
        <v>282</v>
      </c>
      <c r="D193" s="11" t="s">
        <v>45</v>
      </c>
      <c r="E193" s="11" t="s">
        <v>94</v>
      </c>
      <c r="F193" s="11"/>
      <c r="G193" s="11" t="s">
        <v>95</v>
      </c>
      <c r="H193" s="11"/>
      <c r="I193" s="12">
        <v>290</v>
      </c>
      <c r="J193" s="11" t="s">
        <v>95</v>
      </c>
      <c r="K193" s="11" t="s">
        <v>89</v>
      </c>
      <c r="L193" s="11"/>
      <c r="M193" s="11" t="s">
        <v>95</v>
      </c>
      <c r="N193" s="11" t="s">
        <v>89</v>
      </c>
      <c r="O193" s="11"/>
      <c r="P193" s="11"/>
      <c r="Q193" s="11" t="s">
        <v>45</v>
      </c>
      <c r="R193" s="11"/>
      <c r="S193" s="11"/>
      <c r="T193" s="11"/>
      <c r="U193" s="11" t="s">
        <v>45</v>
      </c>
      <c r="V193" s="11" t="s">
        <v>95</v>
      </c>
      <c r="W193" s="12" t="b">
        <v>0</v>
      </c>
      <c r="X193" s="11"/>
      <c r="Y193" s="11" t="s">
        <v>45</v>
      </c>
    </row>
    <row r="194" hidden="1" spans="1:25">
      <c r="A194" s="12">
        <v>191</v>
      </c>
      <c r="B194" s="12" t="b">
        <v>0</v>
      </c>
      <c r="C194" s="11" t="s">
        <v>283</v>
      </c>
      <c r="D194" s="11" t="s">
        <v>45</v>
      </c>
      <c r="E194" s="11" t="s">
        <v>94</v>
      </c>
      <c r="F194" s="11"/>
      <c r="G194" s="11" t="s">
        <v>95</v>
      </c>
      <c r="H194" s="11"/>
      <c r="I194" s="12">
        <v>290</v>
      </c>
      <c r="J194" s="11" t="s">
        <v>95</v>
      </c>
      <c r="K194" s="11" t="s">
        <v>89</v>
      </c>
      <c r="L194" s="11"/>
      <c r="M194" s="11" t="s">
        <v>95</v>
      </c>
      <c r="N194" s="11" t="s">
        <v>89</v>
      </c>
      <c r="O194" s="11"/>
      <c r="P194" s="11"/>
      <c r="Q194" s="11" t="s">
        <v>45</v>
      </c>
      <c r="R194" s="11"/>
      <c r="S194" s="11"/>
      <c r="T194" s="11"/>
      <c r="U194" s="11" t="s">
        <v>45</v>
      </c>
      <c r="V194" s="11" t="s">
        <v>95</v>
      </c>
      <c r="W194" s="12" t="b">
        <v>0</v>
      </c>
      <c r="X194" s="11"/>
      <c r="Y194" s="11" t="s">
        <v>45</v>
      </c>
    </row>
    <row r="195" hidden="1" spans="1:25">
      <c r="A195" s="12">
        <v>192</v>
      </c>
      <c r="B195" s="12" t="b">
        <v>0</v>
      </c>
      <c r="C195" s="11" t="s">
        <v>284</v>
      </c>
      <c r="D195" s="11" t="s">
        <v>45</v>
      </c>
      <c r="E195" s="11" t="s">
        <v>94</v>
      </c>
      <c r="F195" s="11"/>
      <c r="G195" s="11" t="s">
        <v>95</v>
      </c>
      <c r="H195" s="11"/>
      <c r="I195" s="12">
        <v>290</v>
      </c>
      <c r="J195" s="11" t="s">
        <v>95</v>
      </c>
      <c r="K195" s="11" t="s">
        <v>89</v>
      </c>
      <c r="L195" s="11"/>
      <c r="M195" s="11" t="s">
        <v>95</v>
      </c>
      <c r="N195" s="11" t="s">
        <v>89</v>
      </c>
      <c r="O195" s="11"/>
      <c r="P195" s="11"/>
      <c r="Q195" s="11" t="s">
        <v>45</v>
      </c>
      <c r="R195" s="11"/>
      <c r="S195" s="11"/>
      <c r="T195" s="11"/>
      <c r="U195" s="11" t="s">
        <v>45</v>
      </c>
      <c r="V195" s="11" t="s">
        <v>95</v>
      </c>
      <c r="W195" s="12" t="b">
        <v>0</v>
      </c>
      <c r="X195" s="11"/>
      <c r="Y195" s="11" t="s">
        <v>45</v>
      </c>
    </row>
    <row r="196" hidden="1" spans="1:25">
      <c r="A196" s="12">
        <v>193</v>
      </c>
      <c r="B196" s="12" t="b">
        <v>0</v>
      </c>
      <c r="C196" s="11" t="s">
        <v>285</v>
      </c>
      <c r="D196" s="11" t="s">
        <v>45</v>
      </c>
      <c r="E196" s="11" t="s">
        <v>94</v>
      </c>
      <c r="F196" s="11"/>
      <c r="G196" s="11" t="s">
        <v>95</v>
      </c>
      <c r="H196" s="11"/>
      <c r="I196" s="12">
        <v>290</v>
      </c>
      <c r="J196" s="11" t="s">
        <v>95</v>
      </c>
      <c r="K196" s="11" t="s">
        <v>89</v>
      </c>
      <c r="L196" s="11"/>
      <c r="M196" s="11" t="s">
        <v>95</v>
      </c>
      <c r="N196" s="11" t="s">
        <v>89</v>
      </c>
      <c r="O196" s="11"/>
      <c r="P196" s="11"/>
      <c r="Q196" s="11" t="s">
        <v>45</v>
      </c>
      <c r="R196" s="11"/>
      <c r="S196" s="11"/>
      <c r="T196" s="11"/>
      <c r="U196" s="11" t="s">
        <v>45</v>
      </c>
      <c r="V196" s="11" t="s">
        <v>95</v>
      </c>
      <c r="W196" s="12" t="b">
        <v>0</v>
      </c>
      <c r="X196" s="11"/>
      <c r="Y196" s="11" t="s">
        <v>45</v>
      </c>
    </row>
    <row r="197" hidden="1" spans="1:25">
      <c r="A197" s="12">
        <v>194</v>
      </c>
      <c r="B197" s="12" t="b">
        <v>0</v>
      </c>
      <c r="C197" s="11" t="s">
        <v>286</v>
      </c>
      <c r="D197" s="11" t="s">
        <v>45</v>
      </c>
      <c r="E197" s="11" t="s">
        <v>94</v>
      </c>
      <c r="F197" s="11"/>
      <c r="G197" s="11" t="s">
        <v>95</v>
      </c>
      <c r="H197" s="11"/>
      <c r="I197" s="12">
        <v>290</v>
      </c>
      <c r="J197" s="11" t="s">
        <v>95</v>
      </c>
      <c r="K197" s="11" t="s">
        <v>89</v>
      </c>
      <c r="L197" s="11"/>
      <c r="M197" s="11" t="s">
        <v>95</v>
      </c>
      <c r="N197" s="11" t="s">
        <v>89</v>
      </c>
      <c r="O197" s="11"/>
      <c r="P197" s="11"/>
      <c r="Q197" s="11" t="s">
        <v>45</v>
      </c>
      <c r="R197" s="11"/>
      <c r="S197" s="11"/>
      <c r="T197" s="11"/>
      <c r="U197" s="11" t="s">
        <v>45</v>
      </c>
      <c r="V197" s="11" t="s">
        <v>95</v>
      </c>
      <c r="W197" s="12" t="b">
        <v>0</v>
      </c>
      <c r="X197" s="11"/>
      <c r="Y197" s="11" t="s">
        <v>45</v>
      </c>
    </row>
    <row r="198" hidden="1" spans="1:25">
      <c r="A198" s="12">
        <v>195</v>
      </c>
      <c r="B198" s="12" t="b">
        <v>0</v>
      </c>
      <c r="C198" s="11" t="s">
        <v>287</v>
      </c>
      <c r="D198" s="11" t="s">
        <v>45</v>
      </c>
      <c r="E198" s="11" t="s">
        <v>94</v>
      </c>
      <c r="F198" s="11"/>
      <c r="G198" s="11" t="s">
        <v>95</v>
      </c>
      <c r="H198" s="11"/>
      <c r="I198" s="12">
        <v>290</v>
      </c>
      <c r="J198" s="11" t="s">
        <v>95</v>
      </c>
      <c r="K198" s="11" t="s">
        <v>89</v>
      </c>
      <c r="L198" s="11"/>
      <c r="M198" s="11" t="s">
        <v>95</v>
      </c>
      <c r="N198" s="11" t="s">
        <v>89</v>
      </c>
      <c r="O198" s="11"/>
      <c r="P198" s="11"/>
      <c r="Q198" s="11" t="s">
        <v>45</v>
      </c>
      <c r="R198" s="11"/>
      <c r="S198" s="11"/>
      <c r="T198" s="11"/>
      <c r="U198" s="11" t="s">
        <v>45</v>
      </c>
      <c r="V198" s="11" t="s">
        <v>95</v>
      </c>
      <c r="W198" s="12" t="b">
        <v>0</v>
      </c>
      <c r="X198" s="11"/>
      <c r="Y198" s="11" t="s">
        <v>45</v>
      </c>
    </row>
    <row r="199" hidden="1" spans="1:25">
      <c r="A199" s="12">
        <v>196</v>
      </c>
      <c r="B199" s="12" t="b">
        <v>0</v>
      </c>
      <c r="C199" s="11" t="s">
        <v>288</v>
      </c>
      <c r="D199" s="11" t="s">
        <v>45</v>
      </c>
      <c r="E199" s="11" t="s">
        <v>94</v>
      </c>
      <c r="F199" s="11"/>
      <c r="G199" s="11" t="s">
        <v>95</v>
      </c>
      <c r="H199" s="11"/>
      <c r="I199" s="12">
        <v>290</v>
      </c>
      <c r="J199" s="11" t="s">
        <v>95</v>
      </c>
      <c r="K199" s="11" t="s">
        <v>89</v>
      </c>
      <c r="L199" s="11"/>
      <c r="M199" s="11" t="s">
        <v>95</v>
      </c>
      <c r="N199" s="11" t="s">
        <v>89</v>
      </c>
      <c r="O199" s="11"/>
      <c r="P199" s="11"/>
      <c r="Q199" s="11" t="s">
        <v>45</v>
      </c>
      <c r="R199" s="11"/>
      <c r="S199" s="11"/>
      <c r="T199" s="11"/>
      <c r="U199" s="11" t="s">
        <v>45</v>
      </c>
      <c r="V199" s="11" t="s">
        <v>95</v>
      </c>
      <c r="W199" s="12" t="b">
        <v>0</v>
      </c>
      <c r="X199" s="11"/>
      <c r="Y199" s="11" t="s">
        <v>45</v>
      </c>
    </row>
    <row r="200" hidden="1" spans="1:25">
      <c r="A200" s="12">
        <v>197</v>
      </c>
      <c r="B200" s="12" t="b">
        <v>0</v>
      </c>
      <c r="C200" s="11" t="s">
        <v>289</v>
      </c>
      <c r="D200" s="11" t="s">
        <v>45</v>
      </c>
      <c r="E200" s="11" t="s">
        <v>94</v>
      </c>
      <c r="F200" s="11"/>
      <c r="G200" s="11" t="s">
        <v>95</v>
      </c>
      <c r="H200" s="11"/>
      <c r="I200" s="12">
        <v>290</v>
      </c>
      <c r="J200" s="11" t="s">
        <v>95</v>
      </c>
      <c r="K200" s="11" t="s">
        <v>89</v>
      </c>
      <c r="L200" s="11"/>
      <c r="M200" s="11" t="s">
        <v>95</v>
      </c>
      <c r="N200" s="11" t="s">
        <v>89</v>
      </c>
      <c r="O200" s="11"/>
      <c r="P200" s="11"/>
      <c r="Q200" s="11" t="s">
        <v>45</v>
      </c>
      <c r="R200" s="11"/>
      <c r="S200" s="11"/>
      <c r="T200" s="11"/>
      <c r="U200" s="11" t="s">
        <v>45</v>
      </c>
      <c r="V200" s="11" t="s">
        <v>95</v>
      </c>
      <c r="W200" s="12" t="b">
        <v>0</v>
      </c>
      <c r="X200" s="11"/>
      <c r="Y200" s="11" t="s">
        <v>45</v>
      </c>
    </row>
    <row r="201" hidden="1" spans="1:25">
      <c r="A201" s="12">
        <v>198</v>
      </c>
      <c r="B201" s="12" t="b">
        <v>0</v>
      </c>
      <c r="C201" s="11" t="s">
        <v>290</v>
      </c>
      <c r="D201" s="11" t="s">
        <v>45</v>
      </c>
      <c r="E201" s="11" t="s">
        <v>94</v>
      </c>
      <c r="F201" s="11"/>
      <c r="G201" s="11" t="s">
        <v>95</v>
      </c>
      <c r="H201" s="11"/>
      <c r="I201" s="12">
        <v>290</v>
      </c>
      <c r="J201" s="11" t="s">
        <v>95</v>
      </c>
      <c r="K201" s="11" t="s">
        <v>89</v>
      </c>
      <c r="L201" s="11"/>
      <c r="M201" s="11" t="s">
        <v>95</v>
      </c>
      <c r="N201" s="11" t="s">
        <v>89</v>
      </c>
      <c r="O201" s="11"/>
      <c r="P201" s="11"/>
      <c r="Q201" s="11" t="s">
        <v>45</v>
      </c>
      <c r="R201" s="11"/>
      <c r="S201" s="11"/>
      <c r="T201" s="11"/>
      <c r="U201" s="11" t="s">
        <v>45</v>
      </c>
      <c r="V201" s="11" t="s">
        <v>95</v>
      </c>
      <c r="W201" s="12" t="b">
        <v>0</v>
      </c>
      <c r="X201" s="11"/>
      <c r="Y201" s="11" t="s">
        <v>45</v>
      </c>
    </row>
    <row r="202" hidden="1" spans="1:25">
      <c r="A202" s="12">
        <v>199</v>
      </c>
      <c r="B202" s="12" t="b">
        <v>0</v>
      </c>
      <c r="C202" s="11" t="s">
        <v>291</v>
      </c>
      <c r="D202" s="11" t="s">
        <v>45</v>
      </c>
      <c r="E202" s="11" t="s">
        <v>94</v>
      </c>
      <c r="F202" s="11"/>
      <c r="G202" s="11" t="s">
        <v>95</v>
      </c>
      <c r="H202" s="11"/>
      <c r="I202" s="12">
        <v>290</v>
      </c>
      <c r="J202" s="11" t="s">
        <v>95</v>
      </c>
      <c r="K202" s="11" t="s">
        <v>89</v>
      </c>
      <c r="L202" s="11"/>
      <c r="M202" s="11" t="s">
        <v>95</v>
      </c>
      <c r="N202" s="11" t="s">
        <v>89</v>
      </c>
      <c r="O202" s="11"/>
      <c r="P202" s="11"/>
      <c r="Q202" s="11" t="s">
        <v>45</v>
      </c>
      <c r="R202" s="11"/>
      <c r="S202" s="11"/>
      <c r="T202" s="11"/>
      <c r="U202" s="11" t="s">
        <v>45</v>
      </c>
      <c r="V202" s="11" t="s">
        <v>95</v>
      </c>
      <c r="W202" s="12" t="b">
        <v>0</v>
      </c>
      <c r="X202" s="11"/>
      <c r="Y202" s="11" t="s">
        <v>45</v>
      </c>
    </row>
    <row r="203" hidden="1" spans="1:25">
      <c r="A203" s="12">
        <v>200</v>
      </c>
      <c r="B203" s="12" t="b">
        <v>0</v>
      </c>
      <c r="C203" s="11" t="s">
        <v>292</v>
      </c>
      <c r="D203" s="11" t="s">
        <v>45</v>
      </c>
      <c r="E203" s="11" t="s">
        <v>94</v>
      </c>
      <c r="F203" s="11"/>
      <c r="G203" s="11" t="s">
        <v>95</v>
      </c>
      <c r="H203" s="11"/>
      <c r="I203" s="12">
        <v>290</v>
      </c>
      <c r="J203" s="11" t="s">
        <v>95</v>
      </c>
      <c r="K203" s="11" t="s">
        <v>89</v>
      </c>
      <c r="L203" s="11"/>
      <c r="M203" s="11" t="s">
        <v>95</v>
      </c>
      <c r="N203" s="11" t="s">
        <v>89</v>
      </c>
      <c r="O203" s="11"/>
      <c r="P203" s="11"/>
      <c r="Q203" s="11" t="s">
        <v>45</v>
      </c>
      <c r="R203" s="11"/>
      <c r="S203" s="11"/>
      <c r="T203" s="11"/>
      <c r="U203" s="11" t="s">
        <v>45</v>
      </c>
      <c r="V203" s="11" t="s">
        <v>95</v>
      </c>
      <c r="W203" s="12" t="b">
        <v>0</v>
      </c>
      <c r="X203" s="11"/>
      <c r="Y203" s="11" t="s">
        <v>45</v>
      </c>
    </row>
  </sheetData>
  <dataValidations count="6">
    <dataValidation type="list" showErrorMessage="1" errorTitle="参数模式错误" error="请选择列表中的值" sqref="G4:G203">
      <formula1>"unknown,manual,passive_thermal,ideal"</formula1>
    </dataValidation>
    <dataValidation type="list" showErrorMessage="1" errorTitle="参数模式错误" error="请选择列表中的值" sqref="J4:J203 M4:M203">
      <formula1>"unknown,finite,ideal"</formula1>
    </dataValidation>
    <dataValidation type="list" showErrorMessage="1" errorTitle="参数模式错误" error="请选择列表中的值" sqref="K4:K203">
      <formula1>"input,output"</formula1>
    </dataValidation>
    <dataValidation type="list" showErrorMessage="1" errorTitle="参数模式错误" error="请选择列表中的值" sqref="N4:N203">
      <formula1>"input,actual_output,linear_output"</formula1>
    </dataValidation>
    <dataValidation type="list" showErrorMessage="1" errorTitle="参数模式错误" error="请选择列表中的值" sqref="U4:U203">
      <formula1>"sum,difference"</formula1>
    </dataValidation>
    <dataValidation type="list" showErrorMessage="1" errorTitle="参数模式错误" error="请选择列表中的值" sqref="V4:V203">
      <formula1>"unknown,SSB,DSB"</formula1>
    </dataValidation>
  </dataValidations>
  <pageMargins left="0.75" right="0.75" top="1" bottom="1" header="0.5" footer="0.5"/>
  <pageSetup paperSize="8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R203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40" customWidth="1"/>
    <col min="2" max="44" width="20" customWidth="1"/>
  </cols>
  <sheetData>
    <row r="1" ht="18" spans="1:44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28" spans="1:44">
      <c r="A2" s="2" t="s">
        <v>59</v>
      </c>
      <c r="B2" s="2" t="s">
        <v>294</v>
      </c>
      <c r="C2" s="2" t="s">
        <v>295</v>
      </c>
      <c r="D2" s="2" t="s">
        <v>296</v>
      </c>
      <c r="E2" s="2" t="s">
        <v>297</v>
      </c>
      <c r="F2" s="2" t="s">
        <v>298</v>
      </c>
      <c r="G2" s="2" t="s">
        <v>299</v>
      </c>
      <c r="H2" s="2" t="s">
        <v>300</v>
      </c>
      <c r="I2" s="2" t="s">
        <v>301</v>
      </c>
      <c r="J2" s="2" t="s">
        <v>302</v>
      </c>
      <c r="K2" s="2" t="s">
        <v>303</v>
      </c>
      <c r="L2" s="2" t="s">
        <v>304</v>
      </c>
      <c r="M2" s="2" t="s">
        <v>305</v>
      </c>
      <c r="N2" s="2" t="s">
        <v>306</v>
      </c>
      <c r="O2" s="2" t="s">
        <v>307</v>
      </c>
      <c r="P2" s="2" t="s">
        <v>308</v>
      </c>
      <c r="Q2" s="2" t="s">
        <v>309</v>
      </c>
      <c r="R2" s="2" t="s">
        <v>310</v>
      </c>
      <c r="S2" s="2" t="s">
        <v>311</v>
      </c>
      <c r="T2" s="2" t="s">
        <v>312</v>
      </c>
      <c r="U2" s="2" t="s">
        <v>313</v>
      </c>
      <c r="V2" s="2" t="s">
        <v>314</v>
      </c>
      <c r="W2" s="2" t="s">
        <v>315</v>
      </c>
      <c r="X2" s="2" t="s">
        <v>316</v>
      </c>
      <c r="Y2" s="2" t="s">
        <v>317</v>
      </c>
      <c r="Z2" s="2" t="s">
        <v>318</v>
      </c>
      <c r="AA2" s="2" t="s">
        <v>319</v>
      </c>
      <c r="AB2" s="2" t="s">
        <v>320</v>
      </c>
      <c r="AC2" s="2" t="s">
        <v>321</v>
      </c>
      <c r="AD2" s="2" t="s">
        <v>322</v>
      </c>
      <c r="AE2" s="2" t="s">
        <v>323</v>
      </c>
      <c r="AF2" s="2" t="s">
        <v>324</v>
      </c>
      <c r="AG2" s="2" t="s">
        <v>325</v>
      </c>
      <c r="AH2" s="2" t="s">
        <v>326</v>
      </c>
      <c r="AI2" s="2" t="s">
        <v>327</v>
      </c>
      <c r="AJ2" s="2" t="s">
        <v>328</v>
      </c>
      <c r="AK2" s="2" t="s">
        <v>329</v>
      </c>
      <c r="AL2" s="2" t="s">
        <v>330</v>
      </c>
      <c r="AM2" s="2" t="s">
        <v>331</v>
      </c>
      <c r="AN2" s="2" t="s">
        <v>332</v>
      </c>
      <c r="AO2" s="2" t="s">
        <v>333</v>
      </c>
      <c r="AP2" s="2" t="s">
        <v>334</v>
      </c>
      <c r="AQ2" s="2" t="s">
        <v>335</v>
      </c>
      <c r="AR2" s="2" t="s">
        <v>336</v>
      </c>
    </row>
    <row r="3" spans="1:44">
      <c r="A3" s="2"/>
      <c r="B3" s="2"/>
      <c r="C3" s="2"/>
      <c r="D3" s="2"/>
      <c r="E3" s="3">
        <v>0</v>
      </c>
      <c r="F3" s="2"/>
      <c r="G3" s="2"/>
      <c r="H3" s="3">
        <v>1</v>
      </c>
      <c r="I3" s="2"/>
      <c r="J3" s="2"/>
      <c r="K3" s="2"/>
      <c r="L3" s="2"/>
      <c r="M3" s="3">
        <v>0</v>
      </c>
      <c r="N3" s="2"/>
      <c r="O3" s="2"/>
      <c r="P3" s="2"/>
      <c r="Q3" s="2"/>
      <c r="R3" s="2"/>
      <c r="S3" s="2"/>
      <c r="T3" s="2"/>
      <c r="U3" s="5">
        <f>Pin_dBm</f>
        <v>-30</v>
      </c>
      <c r="V3" s="2"/>
      <c r="W3" s="2"/>
      <c r="X3" s="2"/>
      <c r="Y3" s="2"/>
      <c r="Z3" s="2"/>
      <c r="AA3" s="2"/>
      <c r="AB3" s="2"/>
      <c r="AC3" s="5">
        <f>SourceFreq</f>
        <v>100000000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5">
        <f>SourceFreq+(-0.5)*ToneSpacing</f>
        <v>99950000</v>
      </c>
      <c r="AO3" s="5">
        <f>SourceFreq+(0.5)*ToneSpacing</f>
        <v>100050000</v>
      </c>
      <c r="AP3" s="5">
        <f>SourceFreq+(-1.5)*ToneSpacing</f>
        <v>99850000</v>
      </c>
      <c r="AQ3" s="5">
        <f>SourceFreq+(1.5)*ToneSpacing</f>
        <v>100150000</v>
      </c>
      <c r="AR3" s="5" t="b">
        <f>AND(MIN(AN3:AQ3)&gt;0,ToneSpacing&gt;0)</f>
        <v>1</v>
      </c>
    </row>
    <row r="4" spans="1:44">
      <c r="A4" s="5">
        <f>器件参数!A4</f>
        <v>1</v>
      </c>
      <c r="B4" s="5" t="str">
        <f>器件参数!D4</f>
        <v>放大器A</v>
      </c>
      <c r="C4" s="5">
        <f>IF(NOT(器件参数!B4),0,IF(AND(ISNUMBER(器件参数!F4),ABS(器件参数!F4)&lt;=300),器件参数!F4,""))</f>
        <v>10</v>
      </c>
      <c r="D4" s="5">
        <f t="shared" ref="D4:D67" si="0">IF(ISNUMBER(E3),E3,"")</f>
        <v>0</v>
      </c>
      <c r="E4" s="5">
        <f t="shared" ref="E4:E67" si="1">IF(AND(ISNUMBER(C4),ISNUMBER(D4)),C4+D4,"")</f>
        <v>10</v>
      </c>
      <c r="F4" s="5">
        <f t="shared" ref="F4:F67" si="2">IFERROR(IF(AND(ISNUMBER(D4)),10^(D4/10),""),"数值域错误")</f>
        <v>1</v>
      </c>
      <c r="G4" s="5">
        <f>IFERROR(IF(NOT(器件参数!B4),1,IF(NOT(OR(器件参数!E4&lt;&gt;"mixer",AND(OR(器件参数!V4="SSB",器件参数!V4="DSB"),器件参数!W4=TRUE))),"",IF(器件参数!G4="ideal",1,IF(AND(器件参数!G4="manual",ISNUMBER(器件参数!H4),器件参数!H4&gt;=0),10^(器件参数!H4/10),IF(AND(器件参数!G4="passive_thermal",OR(器件参数!E4="filter_bpf",器件参数!E4="filter_lpf",器件参数!E4="filter_hpf",器件参数!E4="filter_bsf",器件参数!E4="attenuator",器件参数!E4="cable",器件参数!E4="connector",器件参数!E4="switch",器件参数!E4="isolator",器件参数!E4="coupler",器件参数!E4="splitter"),AND(ISNUMBER(器件参数!F4),ABS(器件参数!F4)&lt;=300),器件参数!F4&lt;=0,ISNUMBER(器件参数!I4),器件参数!I4&gt;0),1+(10^(-器件参数!F4/10)-1)*器件参数!I4/Tref_K,""))))),"数值域错误")</f>
        <v>1.99526231496888</v>
      </c>
      <c r="H4" s="5">
        <f t="shared" ref="H4:H67" si="3">IFERROR(IF(AND(ISNUMBER(H3),ISNUMBER(G4),ISNUMBER(F4)),H3+(G4-1)/F4,""),"数值域错误")</f>
        <v>1.99526231496888</v>
      </c>
      <c r="I4" s="5">
        <f t="shared" ref="I4:I67" si="4">IF(AND(ISNUMBER(H4)),10*LOG10(H4),"")</f>
        <v>3</v>
      </c>
      <c r="J4" s="5">
        <f>IF(AND(ISNUMBER(Pin_dBm),ISNUMBER(D4)),Pin_dBm+D4,"")</f>
        <v>-30</v>
      </c>
      <c r="K4" s="5">
        <f>IF(AND(ISNUMBER(Pin_dBm),ISNUMBER(E4)),Pin_dBm+E4,"")</f>
        <v>-20</v>
      </c>
      <c r="L4" s="5">
        <f>IF(AND(器件参数!J4="finite",ISNUMBER(器件参数!L4),ISNUMBER(C4)),IF(器件参数!K4="input",器件参数!L4,IF(器件参数!K4="output",器件参数!L4-C4,"")),"")</f>
        <v>10</v>
      </c>
      <c r="M4" s="5">
        <f>IFERROR(IF(NOT(ISNUMBER(M3)),"",IF(OR(NOT(器件参数!B4),器件参数!J4="ideal"),M3,IF(AND(ISNUMBER(L4),ISNUMBER(F4)),M3+F4/10^(L4/10),""))),"数值域错误")</f>
        <v>0.1</v>
      </c>
      <c r="N4" s="5">
        <f t="shared" ref="N4:N67" si="5">IF(AND(ISNUMBER(M4),M4&gt;0),-10*LOG10(M4),"")</f>
        <v>10</v>
      </c>
      <c r="O4" s="5">
        <f t="shared" ref="O4:O67" si="6">IF(AND(ISNUMBER(N4),ISNUMBER(E4)),N4+E4,"")</f>
        <v>20</v>
      </c>
      <c r="P4" s="5">
        <f>IF(AND(器件参数!M4="finite",ISNUMBER(器件参数!O4),ISNUMBER(C4)),IF(器件参数!N4="input",器件参数!O4,IF(器件参数!N4="actual_output",器件参数!O4-C4+1,IF(器件参数!N4="linear_output",器件参数!O4-C4,""))),"")</f>
        <v>0</v>
      </c>
      <c r="Q4" s="5">
        <f>IF(器件参数!P4="",IF(AND(ISNUMBER(DefaultP),DefaultP&gt;=1,DefaultP&lt;=10),DefaultP,""),IF(AND(ISNUMBER(器件参数!P4),器件参数!P4&gt;=1,器件参数!P4&lt;=10),器件参数!P4,""))</f>
        <v>2</v>
      </c>
      <c r="R4" s="5">
        <f t="shared" ref="R4:R67" si="7">IF(ISNUMBER(U3),U3,"")</f>
        <v>-30</v>
      </c>
      <c r="S4" s="5">
        <f t="shared" ref="S4:S67" si="8">IF(AND(ISNUMBER(Q4),ISNUMBER(R4),ISNUMBER(P4)),LN(10^(Q4/10)-1)+Q4*(R4-P4)*LN(10)/10,"")</f>
        <v>-14.3518365833733</v>
      </c>
      <c r="T4" s="5">
        <f t="shared" ref="T4:T67" si="9">IF(X4=0,0,IF(AND(X4=1,ISNUMBER(S4)),10/(Q4*LN(10))*(MAX(S4,0)+LN(1+EXP(-ABS(S4)))),""))</f>
        <v>1.27007905869644e-6</v>
      </c>
      <c r="U4" s="5">
        <f t="shared" ref="U4:U67" si="10">IF(AND(ISNUMBER(R4),ISNUMBER(C4),ISNUMBER(T4)),R4+C4-T4,"")</f>
        <v>-20.0000012700791</v>
      </c>
      <c r="V4" s="5">
        <f>IF(AND(ISNUMBER(Pin_dBm),ISNUMBER(E4),ISNUMBER(U4)),Pin_dBm+E4-U4,"")</f>
        <v>1.27007905703636e-6</v>
      </c>
      <c r="W4" s="5">
        <f>IF(AND(器件参数!B4,X4=1,ISNUMBER(D4)),P4-D4,"")</f>
        <v>0</v>
      </c>
      <c r="X4" s="5">
        <f>IF(NOT(ISNUMBER(C4)),-1,IF(OR(NOT(器件参数!B4),器件参数!M4="ideal"),0,IF(AND(ISNUMBER(P4),ISNUMBER(Q4)),1,-1)))</f>
        <v>1</v>
      </c>
      <c r="Y4" s="5" t="str">
        <f t="shared" ref="Y4:Y67" si="11">IF(ISNUMBER(H4),"有效","未知／噪声参数或口径不完整")</f>
        <v>有效</v>
      </c>
      <c r="Z4" s="5" t="str">
        <f t="shared" ref="Z4:Z67" si="12">IF(NOT(ISNUMBER(M4)),"未知／IP3参数不完整",IF(M4=0,"理想／无有限值","有效"))</f>
        <v>有效</v>
      </c>
      <c r="AA4" s="5" t="str">
        <f t="shared" ref="AA4:AA67" si="13">IF(ISNUMBER(U4),"模型估算","未知／增益或压缩参数不完整")</f>
        <v>模型估算</v>
      </c>
      <c r="AB4" s="5">
        <f t="shared" ref="AB4:AB67" si="14">IF(ISNUMBER(AC3),AC3,"")</f>
        <v>100000000</v>
      </c>
      <c r="AC4" s="5">
        <f>IF(NOT(ISNUMBER(AB4)),"",IF(OR(NOT(器件参数!B4),器件参数!E4&lt;&gt;"mixer"),AB4,IF(AND(ISNUMBER(器件参数!T4),器件参数!T4&gt;0),IF(器件参数!U4="sum",AB4+器件参数!T4,IF(器件参数!U4="difference",ABS(AB4-器件参数!T4),"")),"")))</f>
        <v>100000000</v>
      </c>
      <c r="AD4" s="5">
        <f t="shared" ref="AD4:AD67" si="15">IF(AND(ISNUMBER(G4)),10*LOG10(G4),"")</f>
        <v>3</v>
      </c>
      <c r="AE4" s="5">
        <f>IF(AND(ISNUMBER(G4),ISNUMBER(F4)),Tref_K*(G4-1)/F4,"")</f>
        <v>288.626071340975</v>
      </c>
      <c r="AF4" s="5">
        <f>IF(AND(ISNUMBER(H4),ISNUMBER(E4),NoiseConfigOK),10*LOG10(Boltzmann*Bnoise_Hz*(Tsource_K+Tref_K*(H4-1)))+30+E4,"")</f>
        <v>-100.975187194228</v>
      </c>
      <c r="AG4" s="5">
        <f t="shared" ref="AG4:AG67" si="16">IF(AND(ISNUMBER(K4),ISNUMBER(AF4)),K4-AF4,"")</f>
        <v>80.9751871942281</v>
      </c>
      <c r="AH4" s="5">
        <f>IF(AND(ToneEnabled,ISNUMBER(E4),ISNUMBER(TonePin)),TonePin+E4,"")</f>
        <v>-20</v>
      </c>
      <c r="AI4" s="5">
        <f>IF(AND(ToneEnabled,ISNUMBER(E4),ISNUMBER(N4),ISNUMBER(TonePin)),3*TonePin+E4-2*N4,"")</f>
        <v>-100</v>
      </c>
      <c r="AJ4" s="5">
        <f t="shared" ref="AJ4:AJ67" si="17">IF(X4=1,Q4,"")</f>
        <v>2</v>
      </c>
      <c r="AK4" s="5" t="str">
        <f>IF(NOT(器件参数!B4),"旁路",IF(NOT(ISNUMBER(AC4)),"频率未知",IF(AC4&lt;=SignalBW/2,"跨零频",IF(AND(ISNUMBER(器件参数!R4),ISNUMBER(器件参数!S4)),IF(AND(AB4-SignalBW/2&gt;=器件参数!R4,AB4+SignalBW/2&lt;=器件参数!S4),"有效","超声明通带"),"未声明通带"))))</f>
        <v>未声明通带</v>
      </c>
      <c r="AL4" s="5">
        <f t="shared" ref="AL4:AL67" si="18">IFERROR(IF(AND(X4=1,ISNUMBER(D4)),10^(Q4*(D4-P4)/10),0),"数值域错误")</f>
        <v>1</v>
      </c>
      <c r="AM4" s="5" t="str">
        <f>IF(AND(器件参数!B4,ISNUMBER(器件参数!X4),OR(AND(ISNUMBER(J4),J4&gt;器件参数!X4),IF(AND(ToneEnabled,ISNUMBER(TonePin),ISNUMBER(D4)),TonePin+10*LOG10(2)+D4&gt;器件参数!X4,FALSE))),"超过绝对最大输入额定值","")</f>
        <v/>
      </c>
      <c r="AN4" s="5">
        <f>IF(NOT(ISNUMBER(AN3)),"",IF(OR(NOT(器件参数!B4),器件参数!E4&lt;&gt;"mixer"),AN3,IF(AND(ISNUMBER(器件参数!T4),器件参数!T4&gt;0),IF(器件参数!U4="sum",AN3+器件参数!T4,ABS(AN3-器件参数!T4)),"")))</f>
        <v>99950000</v>
      </c>
      <c r="AO4" s="5">
        <f>IF(NOT(ISNUMBER(AO3)),"",IF(OR(NOT(器件参数!B4),器件参数!E4&lt;&gt;"mixer"),AO3,IF(AND(ISNUMBER(器件参数!T4),器件参数!T4&gt;0),IF(器件参数!U4="sum",AO3+器件参数!T4,ABS(AO3-器件参数!T4)),"")))</f>
        <v>100050000</v>
      </c>
      <c r="AP4" s="5">
        <f>IF(NOT(ISNUMBER(AP3)),"",IF(OR(NOT(器件参数!B4),器件参数!E4&lt;&gt;"mixer"),AP3,IF(AND(ISNUMBER(器件参数!T4),器件参数!T4&gt;0),IF(器件参数!U4="sum",AP3+器件参数!T4,ABS(AP3-器件参数!T4)),"")))</f>
        <v>99850000</v>
      </c>
      <c r="AQ4" s="5">
        <f>IF(NOT(ISNUMBER(AQ3)),"",IF(OR(NOT(器件参数!B4),器件参数!E4&lt;&gt;"mixer"),AQ3,IF(AND(ISNUMBER(器件参数!T4),器件参数!T4&gt;0),IF(器件参数!U4="sum",AQ3+器件参数!T4,ABS(AQ3-器件参数!T4)),"")))</f>
        <v>100150000</v>
      </c>
      <c r="AR4" s="5" t="b">
        <f>IF(NOT(AR3),FALSE,IF(NOT(器件参数!B4),TRUE,AND(COUNT(AN4:AQ4)=4,MIN(AN4:AQ4)&gt;0,IF(AND(ISNUMBER(器件参数!R4),ISNUMBER(器件参数!S4)),AND(MIN(AN3:AQ3)&gt;=器件参数!R4,MAX(AN3:AQ3)&lt;=器件参数!S4),TRUE),IF(AND(器件参数!E4="mixer",器件参数!U4="difference"),OR(器件参数!T4&lt;MIN(AN3:AQ3),器件参数!T4&gt;MAX(AN3:AQ3)),TRUE))))</f>
        <v>1</v>
      </c>
    </row>
    <row r="5" spans="1:44">
      <c r="A5" s="5">
        <f>器件参数!A5</f>
        <v>2</v>
      </c>
      <c r="B5" s="5" t="str">
        <f>器件参数!D5</f>
        <v>放大器B</v>
      </c>
      <c r="C5" s="5">
        <f>IF(NOT(器件参数!B5),0,IF(AND(ISNUMBER(器件参数!F5),ABS(器件参数!F5)&lt;=300),器件参数!F5,""))</f>
        <v>10</v>
      </c>
      <c r="D5" s="5">
        <f t="shared" si="0"/>
        <v>10</v>
      </c>
      <c r="E5" s="5">
        <f t="shared" si="1"/>
        <v>20</v>
      </c>
      <c r="F5" s="5">
        <f t="shared" si="2"/>
        <v>10</v>
      </c>
      <c r="G5" s="5">
        <f>IFERROR(IF(NOT(器件参数!B5),1,IF(NOT(OR(器件参数!E5&lt;&gt;"mixer",AND(OR(器件参数!V5="SSB",器件参数!V5="DSB"),器件参数!W5=TRUE))),"",IF(器件参数!G5="ideal",1,IF(AND(器件参数!G5="manual",ISNUMBER(器件参数!H5),器件参数!H5&gt;=0),10^(器件参数!H5/10),IF(AND(器件参数!G5="passive_thermal",OR(器件参数!E5="filter_bpf",器件参数!E5="filter_lpf",器件参数!E5="filter_hpf",器件参数!E5="filter_bsf",器件参数!E5="attenuator",器件参数!E5="cable",器件参数!E5="connector",器件参数!E5="switch",器件参数!E5="isolator",器件参数!E5="coupler",器件参数!E5="splitter"),AND(ISNUMBER(器件参数!F5),ABS(器件参数!F5)&lt;=300),器件参数!F5&lt;=0,ISNUMBER(器件参数!I5),器件参数!I5&gt;0),1+(10^(-器件参数!F5/10)-1)*器件参数!I5/Tref_K,""))))),"数值域错误")</f>
        <v>3.98107170553497</v>
      </c>
      <c r="H5" s="5">
        <f t="shared" si="3"/>
        <v>2.29336948552238</v>
      </c>
      <c r="I5" s="5">
        <f t="shared" si="4"/>
        <v>3.604740296957</v>
      </c>
      <c r="J5" s="5">
        <f>IF(AND(ISNUMBER(Pin_dBm),ISNUMBER(D5)),Pin_dBm+D5,"")</f>
        <v>-20</v>
      </c>
      <c r="K5" s="5">
        <f>IF(AND(ISNUMBER(Pin_dBm),ISNUMBER(E5)),Pin_dBm+E5,"")</f>
        <v>-10</v>
      </c>
      <c r="L5" s="5">
        <f>IF(AND(器件参数!J5="finite",ISNUMBER(器件参数!L5),ISNUMBER(C5)),IF(器件参数!K5="input",器件参数!L5,IF(器件参数!K5="output",器件参数!L5-C5,"")),"")</f>
        <v>20</v>
      </c>
      <c r="M5" s="5">
        <f>IFERROR(IF(NOT(ISNUMBER(M4)),"",IF(OR(NOT(器件参数!B5),器件参数!J5="ideal"),M4,IF(AND(ISNUMBER(L5),ISNUMBER(F5)),M4+F5/10^(L5/10),""))),"数值域错误")</f>
        <v>0.2</v>
      </c>
      <c r="N5" s="5">
        <f t="shared" si="5"/>
        <v>6.98970004336019</v>
      </c>
      <c r="O5" s="5">
        <f t="shared" si="6"/>
        <v>26.9897000433602</v>
      </c>
      <c r="P5" s="5">
        <f>IF(AND(器件参数!M5="finite",ISNUMBER(器件参数!O5),ISNUMBER(C5)),IF(器件参数!N5="input",器件参数!O5,IF(器件参数!N5="actual_output",器件参数!O5-C5+1,IF(器件参数!N5="linear_output",器件参数!O5-C5,""))),"")</f>
        <v>5</v>
      </c>
      <c r="Q5" s="5">
        <f>IF(器件参数!P5="",IF(AND(ISNUMBER(DefaultP),DefaultP&gt;=1,DefaultP&lt;=10),DefaultP,""),IF(AND(ISNUMBER(器件参数!P5),器件参数!P5&gt;=1,器件参数!P5&lt;=10),器件参数!P5,""))</f>
        <v>2</v>
      </c>
      <c r="R5" s="5">
        <f t="shared" si="7"/>
        <v>-20.0000012700791</v>
      </c>
      <c r="S5" s="5">
        <f t="shared" si="8"/>
        <v>-12.0492520752723</v>
      </c>
      <c r="T5" s="5">
        <f t="shared" si="9"/>
        <v>1.27007497277893e-5</v>
      </c>
      <c r="U5" s="5">
        <f t="shared" si="10"/>
        <v>-10.0000139708288</v>
      </c>
      <c r="V5" s="5">
        <f>IF(AND(ISNUMBER(Pin_dBm),ISNUMBER(E5),ISNUMBER(U5)),Pin_dBm+E5-U5,"")</f>
        <v>1.39708287854035e-5</v>
      </c>
      <c r="W5" s="5">
        <f>IF(AND(器件参数!B5,X5=1,ISNUMBER(D5)),P5-D5,"")</f>
        <v>-5</v>
      </c>
      <c r="X5" s="5">
        <f>IF(NOT(ISNUMBER(C5)),-1,IF(OR(NOT(器件参数!B5),器件参数!M5="ideal"),0,IF(AND(ISNUMBER(P5),ISNUMBER(Q5)),1,-1)))</f>
        <v>1</v>
      </c>
      <c r="Y5" s="5" t="str">
        <f t="shared" si="11"/>
        <v>有效</v>
      </c>
      <c r="Z5" s="5" t="str">
        <f t="shared" si="12"/>
        <v>有效</v>
      </c>
      <c r="AA5" s="5" t="str">
        <f t="shared" si="13"/>
        <v>模型估算</v>
      </c>
      <c r="AB5" s="5">
        <f t="shared" si="14"/>
        <v>100000000</v>
      </c>
      <c r="AC5" s="5">
        <f>IF(NOT(ISNUMBER(AB5)),"",IF(OR(NOT(器件参数!B5),器件参数!E5&lt;&gt;"mixer"),AB5,IF(AND(ISNUMBER(器件参数!T5),器件参数!T5&gt;0),IF(器件参数!U5="sum",AB5+器件参数!T5,IF(器件参数!U5="difference",ABS(AB5-器件参数!T5),"")),"")))</f>
        <v>100000000</v>
      </c>
      <c r="AD5" s="5">
        <f t="shared" si="15"/>
        <v>6</v>
      </c>
      <c r="AE5" s="5">
        <f>IF(AND(ISNUMBER(G5),ISNUMBER(F5)),Tref_K*(G5-1)/F5,"")</f>
        <v>86.4510794605142</v>
      </c>
      <c r="AF5" s="5">
        <f>IF(AND(ISNUMBER(H5),ISNUMBER(E5),NoiseConfigOK),10*LOG10(Boltzmann*Bnoise_Hz*(Tsource_K+Tref_K*(H5-1)))+30+E5,"")</f>
        <v>-90.3704468972711</v>
      </c>
      <c r="AG5" s="5">
        <f t="shared" si="16"/>
        <v>80.3704468972711</v>
      </c>
      <c r="AH5" s="5">
        <f>IF(AND(ToneEnabled,ISNUMBER(E5),ISNUMBER(TonePin)),TonePin+E5,"")</f>
        <v>-10</v>
      </c>
      <c r="AI5" s="5">
        <f>IF(AND(ToneEnabled,ISNUMBER(E5),ISNUMBER(N5),ISNUMBER(TonePin)),3*TonePin+E5-2*N5,"")</f>
        <v>-83.9794000867204</v>
      </c>
      <c r="AJ5" s="5">
        <f t="shared" si="17"/>
        <v>2</v>
      </c>
      <c r="AK5" s="5" t="str">
        <f>IF(NOT(器件参数!B5),"旁路",IF(NOT(ISNUMBER(AC5)),"频率未知",IF(AC5&lt;=SignalBW/2,"跨零频",IF(AND(ISNUMBER(器件参数!R5),ISNUMBER(器件参数!S5)),IF(AND(AB5-SignalBW/2&gt;=器件参数!R5,AB5+SignalBW/2&lt;=器件参数!S5),"有效","超声明通带"),"未声明通带"))))</f>
        <v>未声明通带</v>
      </c>
      <c r="AL5" s="5">
        <f t="shared" si="18"/>
        <v>10</v>
      </c>
      <c r="AM5" s="5" t="str">
        <f>IF(AND(器件参数!B5,ISNUMBER(器件参数!X5),OR(AND(ISNUMBER(J5),J5&gt;器件参数!X5),IF(AND(ToneEnabled,ISNUMBER(TonePin),ISNUMBER(D5)),TonePin+10*LOG10(2)+D5&gt;器件参数!X5,FALSE))),"超过绝对最大输入额定值","")</f>
        <v/>
      </c>
      <c r="AN5" s="5">
        <f>IF(NOT(ISNUMBER(AN4)),"",IF(OR(NOT(器件参数!B5),器件参数!E5&lt;&gt;"mixer"),AN4,IF(AND(ISNUMBER(器件参数!T5),器件参数!T5&gt;0),IF(器件参数!U5="sum",AN4+器件参数!T5,ABS(AN4-器件参数!T5)),"")))</f>
        <v>99950000</v>
      </c>
      <c r="AO5" s="5">
        <f>IF(NOT(ISNUMBER(AO4)),"",IF(OR(NOT(器件参数!B5),器件参数!E5&lt;&gt;"mixer"),AO4,IF(AND(ISNUMBER(器件参数!T5),器件参数!T5&gt;0),IF(器件参数!U5="sum",AO4+器件参数!T5,ABS(AO4-器件参数!T5)),"")))</f>
        <v>100050000</v>
      </c>
      <c r="AP5" s="5">
        <f>IF(NOT(ISNUMBER(AP4)),"",IF(OR(NOT(器件参数!B5),器件参数!E5&lt;&gt;"mixer"),AP4,IF(AND(ISNUMBER(器件参数!T5),器件参数!T5&gt;0),IF(器件参数!U5="sum",AP4+器件参数!T5,ABS(AP4-器件参数!T5)),"")))</f>
        <v>99850000</v>
      </c>
      <c r="AQ5" s="5">
        <f>IF(NOT(ISNUMBER(AQ4)),"",IF(OR(NOT(器件参数!B5),器件参数!E5&lt;&gt;"mixer"),AQ4,IF(AND(ISNUMBER(器件参数!T5),器件参数!T5&gt;0),IF(器件参数!U5="sum",AQ4+器件参数!T5,ABS(AQ4-器件参数!T5)),"")))</f>
        <v>100150000</v>
      </c>
      <c r="AR5" s="5" t="b">
        <f>IF(NOT(AR4),FALSE,IF(NOT(器件参数!B5),TRUE,AND(COUNT(AN5:AQ5)=4,MIN(AN5:AQ5)&gt;0,IF(AND(ISNUMBER(器件参数!R5),ISNUMBER(器件参数!S5)),AND(MIN(AN4:AQ4)&gt;=器件参数!R5,MAX(AN4:AQ4)&lt;=器件参数!S5),TRUE),IF(AND(器件参数!E5="mixer",器件参数!U5="difference"),OR(器件参数!T5&lt;MIN(AN4:AQ4),器件参数!T5&gt;MAX(AN4:AQ4)),TRUE))))</f>
        <v>1</v>
      </c>
    </row>
    <row r="6" hidden="1" spans="1:44">
      <c r="A6" s="5">
        <f>器件参数!A6</f>
        <v>3</v>
      </c>
      <c r="B6" s="5" t="str">
        <f>器件参数!D6</f>
        <v/>
      </c>
      <c r="C6" s="5">
        <f>IF(NOT(器件参数!B6),0,IF(AND(ISNUMBER(器件参数!F6),ABS(器件参数!F6)&lt;=300),器件参数!F6,""))</f>
        <v>0</v>
      </c>
      <c r="D6" s="5">
        <f t="shared" si="0"/>
        <v>20</v>
      </c>
      <c r="E6" s="5">
        <f t="shared" si="1"/>
        <v>20</v>
      </c>
      <c r="F6" s="5">
        <f t="shared" si="2"/>
        <v>100</v>
      </c>
      <c r="G6" s="5">
        <f>IFERROR(IF(NOT(器件参数!B6),1,IF(NOT(OR(器件参数!E6&lt;&gt;"mixer",AND(OR(器件参数!V6="SSB",器件参数!V6="DSB"),器件参数!W6=TRUE))),"",IF(器件参数!G6="ideal",1,IF(AND(器件参数!G6="manual",ISNUMBER(器件参数!H6),器件参数!H6&gt;=0),10^(器件参数!H6/10),IF(AND(器件参数!G6="passive_thermal",OR(器件参数!E6="filter_bpf",器件参数!E6="filter_lpf",器件参数!E6="filter_hpf",器件参数!E6="filter_bsf",器件参数!E6="attenuator",器件参数!E6="cable",器件参数!E6="connector",器件参数!E6="switch",器件参数!E6="isolator",器件参数!E6="coupler",器件参数!E6="splitter"),AND(ISNUMBER(器件参数!F6),ABS(器件参数!F6)&lt;=300),器件参数!F6&lt;=0,ISNUMBER(器件参数!I6),器件参数!I6&gt;0),1+(10^(-器件参数!F6/10)-1)*器件参数!I6/Tref_K,""))))),"数值域错误")</f>
        <v>1</v>
      </c>
      <c r="H6" s="5">
        <f t="shared" si="3"/>
        <v>2.29336948552238</v>
      </c>
      <c r="I6" s="5">
        <f t="shared" si="4"/>
        <v>3.604740296957</v>
      </c>
      <c r="J6" s="5">
        <f>IF(AND(ISNUMBER(Pin_dBm),ISNUMBER(D6)),Pin_dBm+D6,"")</f>
        <v>-10</v>
      </c>
      <c r="K6" s="5">
        <f>IF(AND(ISNUMBER(Pin_dBm),ISNUMBER(E6)),Pin_dBm+E6,"")</f>
        <v>-10</v>
      </c>
      <c r="L6" s="5" t="str">
        <f>IF(AND(器件参数!J6="finite",ISNUMBER(器件参数!L6),ISNUMBER(C6)),IF(器件参数!K6="input",器件参数!L6,IF(器件参数!K6="output",器件参数!L6-C6,"")),"")</f>
        <v/>
      </c>
      <c r="M6" s="5">
        <f>IFERROR(IF(NOT(ISNUMBER(M5)),"",IF(OR(NOT(器件参数!B6),器件参数!J6="ideal"),M5,IF(AND(ISNUMBER(L6),ISNUMBER(F6)),M5+F6/10^(L6/10),""))),"数值域错误")</f>
        <v>0.2</v>
      </c>
      <c r="N6" s="5">
        <f t="shared" si="5"/>
        <v>6.98970004336019</v>
      </c>
      <c r="O6" s="5">
        <f t="shared" si="6"/>
        <v>26.9897000433602</v>
      </c>
      <c r="P6" s="5" t="str">
        <f>IF(AND(器件参数!M6="finite",ISNUMBER(器件参数!O6),ISNUMBER(C6)),IF(器件参数!N6="input",器件参数!O6,IF(器件参数!N6="actual_output",器件参数!O6-C6+1,IF(器件参数!N6="linear_output",器件参数!O6-C6,""))),"")</f>
        <v/>
      </c>
      <c r="Q6" s="5">
        <f>IF(器件参数!P6="",IF(AND(ISNUMBER(DefaultP),DefaultP&gt;=1,DefaultP&lt;=10),DefaultP,""),IF(AND(ISNUMBER(器件参数!P6),器件参数!P6&gt;=1,器件参数!P6&lt;=10),器件参数!P6,""))</f>
        <v>2</v>
      </c>
      <c r="R6" s="5">
        <f t="shared" si="7"/>
        <v>-10.0000139708288</v>
      </c>
      <c r="S6" s="5" t="str">
        <f t="shared" si="8"/>
        <v/>
      </c>
      <c r="T6" s="5">
        <f t="shared" si="9"/>
        <v>0</v>
      </c>
      <c r="U6" s="5">
        <f t="shared" si="10"/>
        <v>-10.0000139708288</v>
      </c>
      <c r="V6" s="5">
        <f>IF(AND(ISNUMBER(Pin_dBm),ISNUMBER(E6),ISNUMBER(U6)),Pin_dBm+E6-U6,"")</f>
        <v>1.39708287854035e-5</v>
      </c>
      <c r="W6" s="5" t="str">
        <f>IF(AND(器件参数!B6,X6=1,ISNUMBER(D6)),P6-D6,"")</f>
        <v/>
      </c>
      <c r="X6" s="5">
        <f>IF(NOT(ISNUMBER(C6)),-1,IF(OR(NOT(器件参数!B6),器件参数!M6="ideal"),0,IF(AND(ISNUMBER(P6),ISNUMBER(Q6)),1,-1)))</f>
        <v>0</v>
      </c>
      <c r="Y6" s="5" t="str">
        <f t="shared" si="11"/>
        <v>有效</v>
      </c>
      <c r="Z6" s="5" t="str">
        <f t="shared" si="12"/>
        <v>有效</v>
      </c>
      <c r="AA6" s="5" t="str">
        <f t="shared" si="13"/>
        <v>模型估算</v>
      </c>
      <c r="AB6" s="5">
        <f t="shared" si="14"/>
        <v>100000000</v>
      </c>
      <c r="AC6" s="5">
        <f>IF(NOT(ISNUMBER(AB6)),"",IF(OR(NOT(器件参数!B6),器件参数!E6&lt;&gt;"mixer"),AB6,IF(AND(ISNUMBER(器件参数!T6),器件参数!T6&gt;0),IF(器件参数!U6="sum",AB6+器件参数!T6,IF(器件参数!U6="difference",ABS(AB6-器件参数!T6),"")),"")))</f>
        <v>100000000</v>
      </c>
      <c r="AD6" s="5">
        <f t="shared" si="15"/>
        <v>0</v>
      </c>
      <c r="AE6" s="5">
        <f>IF(AND(ISNUMBER(G6),ISNUMBER(F6)),Tref_K*(G6-1)/F6,"")</f>
        <v>0</v>
      </c>
      <c r="AF6" s="5">
        <f>IF(AND(ISNUMBER(H6),ISNUMBER(E6),NoiseConfigOK),10*LOG10(Boltzmann*Bnoise_Hz*(Tsource_K+Tref_K*(H6-1)))+30+E6,"")</f>
        <v>-90.3704468972711</v>
      </c>
      <c r="AG6" s="5">
        <f t="shared" si="16"/>
        <v>80.3704468972711</v>
      </c>
      <c r="AH6" s="5">
        <f>IF(AND(ToneEnabled,ISNUMBER(E6),ISNUMBER(TonePin)),TonePin+E6,"")</f>
        <v>-10</v>
      </c>
      <c r="AI6" s="5">
        <f>IF(AND(ToneEnabled,ISNUMBER(E6),ISNUMBER(N6),ISNUMBER(TonePin)),3*TonePin+E6-2*N6,"")</f>
        <v>-83.9794000867204</v>
      </c>
      <c r="AJ6" s="5" t="str">
        <f t="shared" si="17"/>
        <v/>
      </c>
      <c r="AK6" s="5" t="str">
        <f>IF(NOT(器件参数!B6),"旁路",IF(NOT(ISNUMBER(AC6)),"频率未知",IF(AC6&lt;=SignalBW/2,"跨零频",IF(AND(ISNUMBER(器件参数!R6),ISNUMBER(器件参数!S6)),IF(AND(AB6-SignalBW/2&gt;=器件参数!R6,AB6+SignalBW/2&lt;=器件参数!S6),"有效","超声明通带"),"未声明通带"))))</f>
        <v>旁路</v>
      </c>
      <c r="AL6" s="5">
        <f t="shared" si="18"/>
        <v>0</v>
      </c>
      <c r="AM6" s="5" t="str">
        <f>IF(AND(器件参数!B6,ISNUMBER(器件参数!X6),OR(AND(ISNUMBER(J6),J6&gt;器件参数!X6),IF(AND(ToneEnabled,ISNUMBER(TonePin),ISNUMBER(D6)),TonePin+10*LOG10(2)+D6&gt;器件参数!X6,FALSE))),"超过绝对最大输入额定值","")</f>
        <v/>
      </c>
      <c r="AN6" s="5">
        <f>IF(NOT(ISNUMBER(AN5)),"",IF(OR(NOT(器件参数!B6),器件参数!E6&lt;&gt;"mixer"),AN5,IF(AND(ISNUMBER(器件参数!T6),器件参数!T6&gt;0),IF(器件参数!U6="sum",AN5+器件参数!T6,ABS(AN5-器件参数!T6)),"")))</f>
        <v>99950000</v>
      </c>
      <c r="AO6" s="5">
        <f>IF(NOT(ISNUMBER(AO5)),"",IF(OR(NOT(器件参数!B6),器件参数!E6&lt;&gt;"mixer"),AO5,IF(AND(ISNUMBER(器件参数!T6),器件参数!T6&gt;0),IF(器件参数!U6="sum",AO5+器件参数!T6,ABS(AO5-器件参数!T6)),"")))</f>
        <v>100050000</v>
      </c>
      <c r="AP6" s="5">
        <f>IF(NOT(ISNUMBER(AP5)),"",IF(OR(NOT(器件参数!B6),器件参数!E6&lt;&gt;"mixer"),AP5,IF(AND(ISNUMBER(器件参数!T6),器件参数!T6&gt;0),IF(器件参数!U6="sum",AP5+器件参数!T6,ABS(AP5-器件参数!T6)),"")))</f>
        <v>99850000</v>
      </c>
      <c r="AQ6" s="5">
        <f>IF(NOT(ISNUMBER(AQ5)),"",IF(OR(NOT(器件参数!B6),器件参数!E6&lt;&gt;"mixer"),AQ5,IF(AND(ISNUMBER(器件参数!T6),器件参数!T6&gt;0),IF(器件参数!U6="sum",AQ5+器件参数!T6,ABS(AQ5-器件参数!T6)),"")))</f>
        <v>100150000</v>
      </c>
      <c r="AR6" s="5" t="b">
        <f>IF(NOT(AR5),FALSE,IF(NOT(器件参数!B6),TRUE,AND(COUNT(AN6:AQ6)=4,MIN(AN6:AQ6)&gt;0,IF(AND(ISNUMBER(器件参数!R6),ISNUMBER(器件参数!S6)),AND(MIN(AN5:AQ5)&gt;=器件参数!R6,MAX(AN5:AQ5)&lt;=器件参数!S6),TRUE),IF(AND(器件参数!E6="mixer",器件参数!U6="difference"),OR(器件参数!T6&lt;MIN(AN5:AQ5),器件参数!T6&gt;MAX(AN5:AQ5)),TRUE))))</f>
        <v>1</v>
      </c>
    </row>
    <row r="7" hidden="1" spans="1:44">
      <c r="A7" s="5">
        <f>器件参数!A7</f>
        <v>4</v>
      </c>
      <c r="B7" s="5" t="str">
        <f>器件参数!D7</f>
        <v/>
      </c>
      <c r="C7" s="5">
        <f>IF(NOT(器件参数!B7),0,IF(AND(ISNUMBER(器件参数!F7),ABS(器件参数!F7)&lt;=300),器件参数!F7,""))</f>
        <v>0</v>
      </c>
      <c r="D7" s="5">
        <f t="shared" si="0"/>
        <v>20</v>
      </c>
      <c r="E7" s="5">
        <f t="shared" si="1"/>
        <v>20</v>
      </c>
      <c r="F7" s="5">
        <f t="shared" si="2"/>
        <v>100</v>
      </c>
      <c r="G7" s="5">
        <f>IFERROR(IF(NOT(器件参数!B7),1,IF(NOT(OR(器件参数!E7&lt;&gt;"mixer",AND(OR(器件参数!V7="SSB",器件参数!V7="DSB"),器件参数!W7=TRUE))),"",IF(器件参数!G7="ideal",1,IF(AND(器件参数!G7="manual",ISNUMBER(器件参数!H7),器件参数!H7&gt;=0),10^(器件参数!H7/10),IF(AND(器件参数!G7="passive_thermal",OR(器件参数!E7="filter_bpf",器件参数!E7="filter_lpf",器件参数!E7="filter_hpf",器件参数!E7="filter_bsf",器件参数!E7="attenuator",器件参数!E7="cable",器件参数!E7="connector",器件参数!E7="switch",器件参数!E7="isolator",器件参数!E7="coupler",器件参数!E7="splitter"),AND(ISNUMBER(器件参数!F7),ABS(器件参数!F7)&lt;=300),器件参数!F7&lt;=0,ISNUMBER(器件参数!I7),器件参数!I7&gt;0),1+(10^(-器件参数!F7/10)-1)*器件参数!I7/Tref_K,""))))),"数值域错误")</f>
        <v>1</v>
      </c>
      <c r="H7" s="5">
        <f t="shared" si="3"/>
        <v>2.29336948552238</v>
      </c>
      <c r="I7" s="5">
        <f t="shared" si="4"/>
        <v>3.604740296957</v>
      </c>
      <c r="J7" s="5">
        <f>IF(AND(ISNUMBER(Pin_dBm),ISNUMBER(D7)),Pin_dBm+D7,"")</f>
        <v>-10</v>
      </c>
      <c r="K7" s="5">
        <f>IF(AND(ISNUMBER(Pin_dBm),ISNUMBER(E7)),Pin_dBm+E7,"")</f>
        <v>-10</v>
      </c>
      <c r="L7" s="5" t="str">
        <f>IF(AND(器件参数!J7="finite",ISNUMBER(器件参数!L7),ISNUMBER(C7)),IF(器件参数!K7="input",器件参数!L7,IF(器件参数!K7="output",器件参数!L7-C7,"")),"")</f>
        <v/>
      </c>
      <c r="M7" s="5">
        <f>IFERROR(IF(NOT(ISNUMBER(M6)),"",IF(OR(NOT(器件参数!B7),器件参数!J7="ideal"),M6,IF(AND(ISNUMBER(L7),ISNUMBER(F7)),M6+F7/10^(L7/10),""))),"数值域错误")</f>
        <v>0.2</v>
      </c>
      <c r="N7" s="5">
        <f t="shared" si="5"/>
        <v>6.98970004336019</v>
      </c>
      <c r="O7" s="5">
        <f t="shared" si="6"/>
        <v>26.9897000433602</v>
      </c>
      <c r="P7" s="5" t="str">
        <f>IF(AND(器件参数!M7="finite",ISNUMBER(器件参数!O7),ISNUMBER(C7)),IF(器件参数!N7="input",器件参数!O7,IF(器件参数!N7="actual_output",器件参数!O7-C7+1,IF(器件参数!N7="linear_output",器件参数!O7-C7,""))),"")</f>
        <v/>
      </c>
      <c r="Q7" s="5">
        <f>IF(器件参数!P7="",IF(AND(ISNUMBER(DefaultP),DefaultP&gt;=1,DefaultP&lt;=10),DefaultP,""),IF(AND(ISNUMBER(器件参数!P7),器件参数!P7&gt;=1,器件参数!P7&lt;=10),器件参数!P7,""))</f>
        <v>2</v>
      </c>
      <c r="R7" s="5">
        <f t="shared" si="7"/>
        <v>-10.0000139708288</v>
      </c>
      <c r="S7" s="5" t="str">
        <f t="shared" si="8"/>
        <v/>
      </c>
      <c r="T7" s="5">
        <f t="shared" si="9"/>
        <v>0</v>
      </c>
      <c r="U7" s="5">
        <f t="shared" si="10"/>
        <v>-10.0000139708288</v>
      </c>
      <c r="V7" s="5">
        <f>IF(AND(ISNUMBER(Pin_dBm),ISNUMBER(E7),ISNUMBER(U7)),Pin_dBm+E7-U7,"")</f>
        <v>1.39708287854035e-5</v>
      </c>
      <c r="W7" s="5" t="str">
        <f>IF(AND(器件参数!B7,X7=1,ISNUMBER(D7)),P7-D7,"")</f>
        <v/>
      </c>
      <c r="X7" s="5">
        <f>IF(NOT(ISNUMBER(C7)),-1,IF(OR(NOT(器件参数!B7),器件参数!M7="ideal"),0,IF(AND(ISNUMBER(P7),ISNUMBER(Q7)),1,-1)))</f>
        <v>0</v>
      </c>
      <c r="Y7" s="5" t="str">
        <f t="shared" si="11"/>
        <v>有效</v>
      </c>
      <c r="Z7" s="5" t="str">
        <f t="shared" si="12"/>
        <v>有效</v>
      </c>
      <c r="AA7" s="5" t="str">
        <f t="shared" si="13"/>
        <v>模型估算</v>
      </c>
      <c r="AB7" s="5">
        <f t="shared" si="14"/>
        <v>100000000</v>
      </c>
      <c r="AC7" s="5">
        <f>IF(NOT(ISNUMBER(AB7)),"",IF(OR(NOT(器件参数!B7),器件参数!E7&lt;&gt;"mixer"),AB7,IF(AND(ISNUMBER(器件参数!T7),器件参数!T7&gt;0),IF(器件参数!U7="sum",AB7+器件参数!T7,IF(器件参数!U7="difference",ABS(AB7-器件参数!T7),"")),"")))</f>
        <v>100000000</v>
      </c>
      <c r="AD7" s="5">
        <f t="shared" si="15"/>
        <v>0</v>
      </c>
      <c r="AE7" s="5">
        <f>IF(AND(ISNUMBER(G7),ISNUMBER(F7)),Tref_K*(G7-1)/F7,"")</f>
        <v>0</v>
      </c>
      <c r="AF7" s="5">
        <f>IF(AND(ISNUMBER(H7),ISNUMBER(E7),NoiseConfigOK),10*LOG10(Boltzmann*Bnoise_Hz*(Tsource_K+Tref_K*(H7-1)))+30+E7,"")</f>
        <v>-90.3704468972711</v>
      </c>
      <c r="AG7" s="5">
        <f t="shared" si="16"/>
        <v>80.3704468972711</v>
      </c>
      <c r="AH7" s="5">
        <f>IF(AND(ToneEnabled,ISNUMBER(E7),ISNUMBER(TonePin)),TonePin+E7,"")</f>
        <v>-10</v>
      </c>
      <c r="AI7" s="5">
        <f>IF(AND(ToneEnabled,ISNUMBER(E7),ISNUMBER(N7),ISNUMBER(TonePin)),3*TonePin+E7-2*N7,"")</f>
        <v>-83.9794000867204</v>
      </c>
      <c r="AJ7" s="5" t="str">
        <f t="shared" si="17"/>
        <v/>
      </c>
      <c r="AK7" s="5" t="str">
        <f>IF(NOT(器件参数!B7),"旁路",IF(NOT(ISNUMBER(AC7)),"频率未知",IF(AC7&lt;=SignalBW/2,"跨零频",IF(AND(ISNUMBER(器件参数!R7),ISNUMBER(器件参数!S7)),IF(AND(AB7-SignalBW/2&gt;=器件参数!R7,AB7+SignalBW/2&lt;=器件参数!S7),"有效","超声明通带"),"未声明通带"))))</f>
        <v>旁路</v>
      </c>
      <c r="AL7" s="5">
        <f t="shared" si="18"/>
        <v>0</v>
      </c>
      <c r="AM7" s="5" t="str">
        <f>IF(AND(器件参数!B7,ISNUMBER(器件参数!X7),OR(AND(ISNUMBER(J7),J7&gt;器件参数!X7),IF(AND(ToneEnabled,ISNUMBER(TonePin),ISNUMBER(D7)),TonePin+10*LOG10(2)+D7&gt;器件参数!X7,FALSE))),"超过绝对最大输入额定值","")</f>
        <v/>
      </c>
      <c r="AN7" s="5">
        <f>IF(NOT(ISNUMBER(AN6)),"",IF(OR(NOT(器件参数!B7),器件参数!E7&lt;&gt;"mixer"),AN6,IF(AND(ISNUMBER(器件参数!T7),器件参数!T7&gt;0),IF(器件参数!U7="sum",AN6+器件参数!T7,ABS(AN6-器件参数!T7)),"")))</f>
        <v>99950000</v>
      </c>
      <c r="AO7" s="5">
        <f>IF(NOT(ISNUMBER(AO6)),"",IF(OR(NOT(器件参数!B7),器件参数!E7&lt;&gt;"mixer"),AO6,IF(AND(ISNUMBER(器件参数!T7),器件参数!T7&gt;0),IF(器件参数!U7="sum",AO6+器件参数!T7,ABS(AO6-器件参数!T7)),"")))</f>
        <v>100050000</v>
      </c>
      <c r="AP7" s="5">
        <f>IF(NOT(ISNUMBER(AP6)),"",IF(OR(NOT(器件参数!B7),器件参数!E7&lt;&gt;"mixer"),AP6,IF(AND(ISNUMBER(器件参数!T7),器件参数!T7&gt;0),IF(器件参数!U7="sum",AP6+器件参数!T7,ABS(AP6-器件参数!T7)),"")))</f>
        <v>99850000</v>
      </c>
      <c r="AQ7" s="5">
        <f>IF(NOT(ISNUMBER(AQ6)),"",IF(OR(NOT(器件参数!B7),器件参数!E7&lt;&gt;"mixer"),AQ6,IF(AND(ISNUMBER(器件参数!T7),器件参数!T7&gt;0),IF(器件参数!U7="sum",AQ6+器件参数!T7,ABS(AQ6-器件参数!T7)),"")))</f>
        <v>100150000</v>
      </c>
      <c r="AR7" s="5" t="b">
        <f>IF(NOT(AR6),FALSE,IF(NOT(器件参数!B7),TRUE,AND(COUNT(AN7:AQ7)=4,MIN(AN7:AQ7)&gt;0,IF(AND(ISNUMBER(器件参数!R7),ISNUMBER(器件参数!S7)),AND(MIN(AN6:AQ6)&gt;=器件参数!R7,MAX(AN6:AQ6)&lt;=器件参数!S7),TRUE),IF(AND(器件参数!E7="mixer",器件参数!U7="difference"),OR(器件参数!T7&lt;MIN(AN6:AQ6),器件参数!T7&gt;MAX(AN6:AQ6)),TRUE))))</f>
        <v>1</v>
      </c>
    </row>
    <row r="8" hidden="1" spans="1:44">
      <c r="A8" s="5">
        <f>器件参数!A8</f>
        <v>5</v>
      </c>
      <c r="B8" s="5" t="str">
        <f>器件参数!D8</f>
        <v/>
      </c>
      <c r="C8" s="5">
        <f>IF(NOT(器件参数!B8),0,IF(AND(ISNUMBER(器件参数!F8),ABS(器件参数!F8)&lt;=300),器件参数!F8,""))</f>
        <v>0</v>
      </c>
      <c r="D8" s="5">
        <f t="shared" si="0"/>
        <v>20</v>
      </c>
      <c r="E8" s="5">
        <f t="shared" si="1"/>
        <v>20</v>
      </c>
      <c r="F8" s="5">
        <f t="shared" si="2"/>
        <v>100</v>
      </c>
      <c r="G8" s="5">
        <f>IFERROR(IF(NOT(器件参数!B8),1,IF(NOT(OR(器件参数!E8&lt;&gt;"mixer",AND(OR(器件参数!V8="SSB",器件参数!V8="DSB"),器件参数!W8=TRUE))),"",IF(器件参数!G8="ideal",1,IF(AND(器件参数!G8="manual",ISNUMBER(器件参数!H8),器件参数!H8&gt;=0),10^(器件参数!H8/10),IF(AND(器件参数!G8="passive_thermal",OR(器件参数!E8="filter_bpf",器件参数!E8="filter_lpf",器件参数!E8="filter_hpf",器件参数!E8="filter_bsf",器件参数!E8="attenuator",器件参数!E8="cable",器件参数!E8="connector",器件参数!E8="switch",器件参数!E8="isolator",器件参数!E8="coupler",器件参数!E8="splitter"),AND(ISNUMBER(器件参数!F8),ABS(器件参数!F8)&lt;=300),器件参数!F8&lt;=0,ISNUMBER(器件参数!I8),器件参数!I8&gt;0),1+(10^(-器件参数!F8/10)-1)*器件参数!I8/Tref_K,""))))),"数值域错误")</f>
        <v>1</v>
      </c>
      <c r="H8" s="5">
        <f t="shared" si="3"/>
        <v>2.29336948552238</v>
      </c>
      <c r="I8" s="5">
        <f t="shared" si="4"/>
        <v>3.604740296957</v>
      </c>
      <c r="J8" s="5">
        <f>IF(AND(ISNUMBER(Pin_dBm),ISNUMBER(D8)),Pin_dBm+D8,"")</f>
        <v>-10</v>
      </c>
      <c r="K8" s="5">
        <f>IF(AND(ISNUMBER(Pin_dBm),ISNUMBER(E8)),Pin_dBm+E8,"")</f>
        <v>-10</v>
      </c>
      <c r="L8" s="5" t="str">
        <f>IF(AND(器件参数!J8="finite",ISNUMBER(器件参数!L8),ISNUMBER(C8)),IF(器件参数!K8="input",器件参数!L8,IF(器件参数!K8="output",器件参数!L8-C8,"")),"")</f>
        <v/>
      </c>
      <c r="M8" s="5">
        <f>IFERROR(IF(NOT(ISNUMBER(M7)),"",IF(OR(NOT(器件参数!B8),器件参数!J8="ideal"),M7,IF(AND(ISNUMBER(L8),ISNUMBER(F8)),M7+F8/10^(L8/10),""))),"数值域错误")</f>
        <v>0.2</v>
      </c>
      <c r="N8" s="5">
        <f t="shared" si="5"/>
        <v>6.98970004336019</v>
      </c>
      <c r="O8" s="5">
        <f t="shared" si="6"/>
        <v>26.9897000433602</v>
      </c>
      <c r="P8" s="5" t="str">
        <f>IF(AND(器件参数!M8="finite",ISNUMBER(器件参数!O8),ISNUMBER(C8)),IF(器件参数!N8="input",器件参数!O8,IF(器件参数!N8="actual_output",器件参数!O8-C8+1,IF(器件参数!N8="linear_output",器件参数!O8-C8,""))),"")</f>
        <v/>
      </c>
      <c r="Q8" s="5">
        <f>IF(器件参数!P8="",IF(AND(ISNUMBER(DefaultP),DefaultP&gt;=1,DefaultP&lt;=10),DefaultP,""),IF(AND(ISNUMBER(器件参数!P8),器件参数!P8&gt;=1,器件参数!P8&lt;=10),器件参数!P8,""))</f>
        <v>2</v>
      </c>
      <c r="R8" s="5">
        <f t="shared" si="7"/>
        <v>-10.0000139708288</v>
      </c>
      <c r="S8" s="5" t="str">
        <f t="shared" si="8"/>
        <v/>
      </c>
      <c r="T8" s="5">
        <f t="shared" si="9"/>
        <v>0</v>
      </c>
      <c r="U8" s="5">
        <f t="shared" si="10"/>
        <v>-10.0000139708288</v>
      </c>
      <c r="V8" s="5">
        <f>IF(AND(ISNUMBER(Pin_dBm),ISNUMBER(E8),ISNUMBER(U8)),Pin_dBm+E8-U8,"")</f>
        <v>1.39708287854035e-5</v>
      </c>
      <c r="W8" s="5" t="str">
        <f>IF(AND(器件参数!B8,X8=1,ISNUMBER(D8)),P8-D8,"")</f>
        <v/>
      </c>
      <c r="X8" s="5">
        <f>IF(NOT(ISNUMBER(C8)),-1,IF(OR(NOT(器件参数!B8),器件参数!M8="ideal"),0,IF(AND(ISNUMBER(P8),ISNUMBER(Q8)),1,-1)))</f>
        <v>0</v>
      </c>
      <c r="Y8" s="5" t="str">
        <f t="shared" si="11"/>
        <v>有效</v>
      </c>
      <c r="Z8" s="5" t="str">
        <f t="shared" si="12"/>
        <v>有效</v>
      </c>
      <c r="AA8" s="5" t="str">
        <f t="shared" si="13"/>
        <v>模型估算</v>
      </c>
      <c r="AB8" s="5">
        <f t="shared" si="14"/>
        <v>100000000</v>
      </c>
      <c r="AC8" s="5">
        <f>IF(NOT(ISNUMBER(AB8)),"",IF(OR(NOT(器件参数!B8),器件参数!E8&lt;&gt;"mixer"),AB8,IF(AND(ISNUMBER(器件参数!T8),器件参数!T8&gt;0),IF(器件参数!U8="sum",AB8+器件参数!T8,IF(器件参数!U8="difference",ABS(AB8-器件参数!T8),"")),"")))</f>
        <v>100000000</v>
      </c>
      <c r="AD8" s="5">
        <f t="shared" si="15"/>
        <v>0</v>
      </c>
      <c r="AE8" s="5">
        <f>IF(AND(ISNUMBER(G8),ISNUMBER(F8)),Tref_K*(G8-1)/F8,"")</f>
        <v>0</v>
      </c>
      <c r="AF8" s="5">
        <f>IF(AND(ISNUMBER(H8),ISNUMBER(E8),NoiseConfigOK),10*LOG10(Boltzmann*Bnoise_Hz*(Tsource_K+Tref_K*(H8-1)))+30+E8,"")</f>
        <v>-90.3704468972711</v>
      </c>
      <c r="AG8" s="5">
        <f t="shared" si="16"/>
        <v>80.3704468972711</v>
      </c>
      <c r="AH8" s="5">
        <f>IF(AND(ToneEnabled,ISNUMBER(E8),ISNUMBER(TonePin)),TonePin+E8,"")</f>
        <v>-10</v>
      </c>
      <c r="AI8" s="5">
        <f>IF(AND(ToneEnabled,ISNUMBER(E8),ISNUMBER(N8),ISNUMBER(TonePin)),3*TonePin+E8-2*N8,"")</f>
        <v>-83.9794000867204</v>
      </c>
      <c r="AJ8" s="5" t="str">
        <f t="shared" si="17"/>
        <v/>
      </c>
      <c r="AK8" s="5" t="str">
        <f>IF(NOT(器件参数!B8),"旁路",IF(NOT(ISNUMBER(AC8)),"频率未知",IF(AC8&lt;=SignalBW/2,"跨零频",IF(AND(ISNUMBER(器件参数!R8),ISNUMBER(器件参数!S8)),IF(AND(AB8-SignalBW/2&gt;=器件参数!R8,AB8+SignalBW/2&lt;=器件参数!S8),"有效","超声明通带"),"未声明通带"))))</f>
        <v>旁路</v>
      </c>
      <c r="AL8" s="5">
        <f t="shared" si="18"/>
        <v>0</v>
      </c>
      <c r="AM8" s="5" t="str">
        <f>IF(AND(器件参数!B8,ISNUMBER(器件参数!X8),OR(AND(ISNUMBER(J8),J8&gt;器件参数!X8),IF(AND(ToneEnabled,ISNUMBER(TonePin),ISNUMBER(D8)),TonePin+10*LOG10(2)+D8&gt;器件参数!X8,FALSE))),"超过绝对最大输入额定值","")</f>
        <v/>
      </c>
      <c r="AN8" s="5">
        <f>IF(NOT(ISNUMBER(AN7)),"",IF(OR(NOT(器件参数!B8),器件参数!E8&lt;&gt;"mixer"),AN7,IF(AND(ISNUMBER(器件参数!T8),器件参数!T8&gt;0),IF(器件参数!U8="sum",AN7+器件参数!T8,ABS(AN7-器件参数!T8)),"")))</f>
        <v>99950000</v>
      </c>
      <c r="AO8" s="5">
        <f>IF(NOT(ISNUMBER(AO7)),"",IF(OR(NOT(器件参数!B8),器件参数!E8&lt;&gt;"mixer"),AO7,IF(AND(ISNUMBER(器件参数!T8),器件参数!T8&gt;0),IF(器件参数!U8="sum",AO7+器件参数!T8,ABS(AO7-器件参数!T8)),"")))</f>
        <v>100050000</v>
      </c>
      <c r="AP8" s="5">
        <f>IF(NOT(ISNUMBER(AP7)),"",IF(OR(NOT(器件参数!B8),器件参数!E8&lt;&gt;"mixer"),AP7,IF(AND(ISNUMBER(器件参数!T8),器件参数!T8&gt;0),IF(器件参数!U8="sum",AP7+器件参数!T8,ABS(AP7-器件参数!T8)),"")))</f>
        <v>99850000</v>
      </c>
      <c r="AQ8" s="5">
        <f>IF(NOT(ISNUMBER(AQ7)),"",IF(OR(NOT(器件参数!B8),器件参数!E8&lt;&gt;"mixer"),AQ7,IF(AND(ISNUMBER(器件参数!T8),器件参数!T8&gt;0),IF(器件参数!U8="sum",AQ7+器件参数!T8,ABS(AQ7-器件参数!T8)),"")))</f>
        <v>100150000</v>
      </c>
      <c r="AR8" s="5" t="b">
        <f>IF(NOT(AR7),FALSE,IF(NOT(器件参数!B8),TRUE,AND(COUNT(AN8:AQ8)=4,MIN(AN8:AQ8)&gt;0,IF(AND(ISNUMBER(器件参数!R8),ISNUMBER(器件参数!S8)),AND(MIN(AN7:AQ7)&gt;=器件参数!R8,MAX(AN7:AQ7)&lt;=器件参数!S8),TRUE),IF(AND(器件参数!E8="mixer",器件参数!U8="difference"),OR(器件参数!T8&lt;MIN(AN7:AQ7),器件参数!T8&gt;MAX(AN7:AQ7)),TRUE))))</f>
        <v>1</v>
      </c>
    </row>
    <row r="9" hidden="1" spans="1:44">
      <c r="A9" s="5">
        <f>器件参数!A9</f>
        <v>6</v>
      </c>
      <c r="B9" s="5" t="str">
        <f>器件参数!D9</f>
        <v/>
      </c>
      <c r="C9" s="5">
        <f>IF(NOT(器件参数!B9),0,IF(AND(ISNUMBER(器件参数!F9),ABS(器件参数!F9)&lt;=300),器件参数!F9,""))</f>
        <v>0</v>
      </c>
      <c r="D9" s="5">
        <f t="shared" si="0"/>
        <v>20</v>
      </c>
      <c r="E9" s="5">
        <f t="shared" si="1"/>
        <v>20</v>
      </c>
      <c r="F9" s="5">
        <f t="shared" si="2"/>
        <v>100</v>
      </c>
      <c r="G9" s="5">
        <f>IFERROR(IF(NOT(器件参数!B9),1,IF(NOT(OR(器件参数!E9&lt;&gt;"mixer",AND(OR(器件参数!V9="SSB",器件参数!V9="DSB"),器件参数!W9=TRUE))),"",IF(器件参数!G9="ideal",1,IF(AND(器件参数!G9="manual",ISNUMBER(器件参数!H9),器件参数!H9&gt;=0),10^(器件参数!H9/10),IF(AND(器件参数!G9="passive_thermal",OR(器件参数!E9="filter_bpf",器件参数!E9="filter_lpf",器件参数!E9="filter_hpf",器件参数!E9="filter_bsf",器件参数!E9="attenuator",器件参数!E9="cable",器件参数!E9="connector",器件参数!E9="switch",器件参数!E9="isolator",器件参数!E9="coupler",器件参数!E9="splitter"),AND(ISNUMBER(器件参数!F9),ABS(器件参数!F9)&lt;=300),器件参数!F9&lt;=0,ISNUMBER(器件参数!I9),器件参数!I9&gt;0),1+(10^(-器件参数!F9/10)-1)*器件参数!I9/Tref_K,""))))),"数值域错误")</f>
        <v>1</v>
      </c>
      <c r="H9" s="5">
        <f t="shared" si="3"/>
        <v>2.29336948552238</v>
      </c>
      <c r="I9" s="5">
        <f t="shared" si="4"/>
        <v>3.604740296957</v>
      </c>
      <c r="J9" s="5">
        <f>IF(AND(ISNUMBER(Pin_dBm),ISNUMBER(D9)),Pin_dBm+D9,"")</f>
        <v>-10</v>
      </c>
      <c r="K9" s="5">
        <f>IF(AND(ISNUMBER(Pin_dBm),ISNUMBER(E9)),Pin_dBm+E9,"")</f>
        <v>-10</v>
      </c>
      <c r="L9" s="5" t="str">
        <f>IF(AND(器件参数!J9="finite",ISNUMBER(器件参数!L9),ISNUMBER(C9)),IF(器件参数!K9="input",器件参数!L9,IF(器件参数!K9="output",器件参数!L9-C9,"")),"")</f>
        <v/>
      </c>
      <c r="M9" s="5">
        <f>IFERROR(IF(NOT(ISNUMBER(M8)),"",IF(OR(NOT(器件参数!B9),器件参数!J9="ideal"),M8,IF(AND(ISNUMBER(L9),ISNUMBER(F9)),M8+F9/10^(L9/10),""))),"数值域错误")</f>
        <v>0.2</v>
      </c>
      <c r="N9" s="5">
        <f t="shared" si="5"/>
        <v>6.98970004336019</v>
      </c>
      <c r="O9" s="5">
        <f t="shared" si="6"/>
        <v>26.9897000433602</v>
      </c>
      <c r="P9" s="5" t="str">
        <f>IF(AND(器件参数!M9="finite",ISNUMBER(器件参数!O9),ISNUMBER(C9)),IF(器件参数!N9="input",器件参数!O9,IF(器件参数!N9="actual_output",器件参数!O9-C9+1,IF(器件参数!N9="linear_output",器件参数!O9-C9,""))),"")</f>
        <v/>
      </c>
      <c r="Q9" s="5">
        <f>IF(器件参数!P9="",IF(AND(ISNUMBER(DefaultP),DefaultP&gt;=1,DefaultP&lt;=10),DefaultP,""),IF(AND(ISNUMBER(器件参数!P9),器件参数!P9&gt;=1,器件参数!P9&lt;=10),器件参数!P9,""))</f>
        <v>2</v>
      </c>
      <c r="R9" s="5">
        <f t="shared" si="7"/>
        <v>-10.0000139708288</v>
      </c>
      <c r="S9" s="5" t="str">
        <f t="shared" si="8"/>
        <v/>
      </c>
      <c r="T9" s="5">
        <f t="shared" si="9"/>
        <v>0</v>
      </c>
      <c r="U9" s="5">
        <f t="shared" si="10"/>
        <v>-10.0000139708288</v>
      </c>
      <c r="V9" s="5">
        <f>IF(AND(ISNUMBER(Pin_dBm),ISNUMBER(E9),ISNUMBER(U9)),Pin_dBm+E9-U9,"")</f>
        <v>1.39708287854035e-5</v>
      </c>
      <c r="W9" s="5" t="str">
        <f>IF(AND(器件参数!B9,X9=1,ISNUMBER(D9)),P9-D9,"")</f>
        <v/>
      </c>
      <c r="X9" s="5">
        <f>IF(NOT(ISNUMBER(C9)),-1,IF(OR(NOT(器件参数!B9),器件参数!M9="ideal"),0,IF(AND(ISNUMBER(P9),ISNUMBER(Q9)),1,-1)))</f>
        <v>0</v>
      </c>
      <c r="Y9" s="5" t="str">
        <f t="shared" si="11"/>
        <v>有效</v>
      </c>
      <c r="Z9" s="5" t="str">
        <f t="shared" si="12"/>
        <v>有效</v>
      </c>
      <c r="AA9" s="5" t="str">
        <f t="shared" si="13"/>
        <v>模型估算</v>
      </c>
      <c r="AB9" s="5">
        <f t="shared" si="14"/>
        <v>100000000</v>
      </c>
      <c r="AC9" s="5">
        <f>IF(NOT(ISNUMBER(AB9)),"",IF(OR(NOT(器件参数!B9),器件参数!E9&lt;&gt;"mixer"),AB9,IF(AND(ISNUMBER(器件参数!T9),器件参数!T9&gt;0),IF(器件参数!U9="sum",AB9+器件参数!T9,IF(器件参数!U9="difference",ABS(AB9-器件参数!T9),"")),"")))</f>
        <v>100000000</v>
      </c>
      <c r="AD9" s="5">
        <f t="shared" si="15"/>
        <v>0</v>
      </c>
      <c r="AE9" s="5">
        <f>IF(AND(ISNUMBER(G9),ISNUMBER(F9)),Tref_K*(G9-1)/F9,"")</f>
        <v>0</v>
      </c>
      <c r="AF9" s="5">
        <f>IF(AND(ISNUMBER(H9),ISNUMBER(E9),NoiseConfigOK),10*LOG10(Boltzmann*Bnoise_Hz*(Tsource_K+Tref_K*(H9-1)))+30+E9,"")</f>
        <v>-90.3704468972711</v>
      </c>
      <c r="AG9" s="5">
        <f t="shared" si="16"/>
        <v>80.3704468972711</v>
      </c>
      <c r="AH9" s="5">
        <f>IF(AND(ToneEnabled,ISNUMBER(E9),ISNUMBER(TonePin)),TonePin+E9,"")</f>
        <v>-10</v>
      </c>
      <c r="AI9" s="5">
        <f>IF(AND(ToneEnabled,ISNUMBER(E9),ISNUMBER(N9),ISNUMBER(TonePin)),3*TonePin+E9-2*N9,"")</f>
        <v>-83.9794000867204</v>
      </c>
      <c r="AJ9" s="5" t="str">
        <f t="shared" si="17"/>
        <v/>
      </c>
      <c r="AK9" s="5" t="str">
        <f>IF(NOT(器件参数!B9),"旁路",IF(NOT(ISNUMBER(AC9)),"频率未知",IF(AC9&lt;=SignalBW/2,"跨零频",IF(AND(ISNUMBER(器件参数!R9),ISNUMBER(器件参数!S9)),IF(AND(AB9-SignalBW/2&gt;=器件参数!R9,AB9+SignalBW/2&lt;=器件参数!S9),"有效","超声明通带"),"未声明通带"))))</f>
        <v>旁路</v>
      </c>
      <c r="AL9" s="5">
        <f t="shared" si="18"/>
        <v>0</v>
      </c>
      <c r="AM9" s="5" t="str">
        <f>IF(AND(器件参数!B9,ISNUMBER(器件参数!X9),OR(AND(ISNUMBER(J9),J9&gt;器件参数!X9),IF(AND(ToneEnabled,ISNUMBER(TonePin),ISNUMBER(D9)),TonePin+10*LOG10(2)+D9&gt;器件参数!X9,FALSE))),"超过绝对最大输入额定值","")</f>
        <v/>
      </c>
      <c r="AN9" s="5">
        <f>IF(NOT(ISNUMBER(AN8)),"",IF(OR(NOT(器件参数!B9),器件参数!E9&lt;&gt;"mixer"),AN8,IF(AND(ISNUMBER(器件参数!T9),器件参数!T9&gt;0),IF(器件参数!U9="sum",AN8+器件参数!T9,ABS(AN8-器件参数!T9)),"")))</f>
        <v>99950000</v>
      </c>
      <c r="AO9" s="5">
        <f>IF(NOT(ISNUMBER(AO8)),"",IF(OR(NOT(器件参数!B9),器件参数!E9&lt;&gt;"mixer"),AO8,IF(AND(ISNUMBER(器件参数!T9),器件参数!T9&gt;0),IF(器件参数!U9="sum",AO8+器件参数!T9,ABS(AO8-器件参数!T9)),"")))</f>
        <v>100050000</v>
      </c>
      <c r="AP9" s="5">
        <f>IF(NOT(ISNUMBER(AP8)),"",IF(OR(NOT(器件参数!B9),器件参数!E9&lt;&gt;"mixer"),AP8,IF(AND(ISNUMBER(器件参数!T9),器件参数!T9&gt;0),IF(器件参数!U9="sum",AP8+器件参数!T9,ABS(AP8-器件参数!T9)),"")))</f>
        <v>99850000</v>
      </c>
      <c r="AQ9" s="5">
        <f>IF(NOT(ISNUMBER(AQ8)),"",IF(OR(NOT(器件参数!B9),器件参数!E9&lt;&gt;"mixer"),AQ8,IF(AND(ISNUMBER(器件参数!T9),器件参数!T9&gt;0),IF(器件参数!U9="sum",AQ8+器件参数!T9,ABS(AQ8-器件参数!T9)),"")))</f>
        <v>100150000</v>
      </c>
      <c r="AR9" s="5" t="b">
        <f>IF(NOT(AR8),FALSE,IF(NOT(器件参数!B9),TRUE,AND(COUNT(AN9:AQ9)=4,MIN(AN9:AQ9)&gt;0,IF(AND(ISNUMBER(器件参数!R9),ISNUMBER(器件参数!S9)),AND(MIN(AN8:AQ8)&gt;=器件参数!R9,MAX(AN8:AQ8)&lt;=器件参数!S9),TRUE),IF(AND(器件参数!E9="mixer",器件参数!U9="difference"),OR(器件参数!T9&lt;MIN(AN8:AQ8),器件参数!T9&gt;MAX(AN8:AQ8)),TRUE))))</f>
        <v>1</v>
      </c>
    </row>
    <row r="10" hidden="1" spans="1:44">
      <c r="A10" s="5">
        <f>器件参数!A10</f>
        <v>7</v>
      </c>
      <c r="B10" s="5" t="str">
        <f>器件参数!D10</f>
        <v/>
      </c>
      <c r="C10" s="5">
        <f>IF(NOT(器件参数!B10),0,IF(AND(ISNUMBER(器件参数!F10),ABS(器件参数!F10)&lt;=300),器件参数!F10,""))</f>
        <v>0</v>
      </c>
      <c r="D10" s="5">
        <f t="shared" si="0"/>
        <v>20</v>
      </c>
      <c r="E10" s="5">
        <f t="shared" si="1"/>
        <v>20</v>
      </c>
      <c r="F10" s="5">
        <f t="shared" si="2"/>
        <v>100</v>
      </c>
      <c r="G10" s="5">
        <f>IFERROR(IF(NOT(器件参数!B10),1,IF(NOT(OR(器件参数!E10&lt;&gt;"mixer",AND(OR(器件参数!V10="SSB",器件参数!V10="DSB"),器件参数!W10=TRUE))),"",IF(器件参数!G10="ideal",1,IF(AND(器件参数!G10="manual",ISNUMBER(器件参数!H10),器件参数!H10&gt;=0),10^(器件参数!H10/10),IF(AND(器件参数!G10="passive_thermal",OR(器件参数!E10="filter_bpf",器件参数!E10="filter_lpf",器件参数!E10="filter_hpf",器件参数!E10="filter_bsf",器件参数!E10="attenuator",器件参数!E10="cable",器件参数!E10="connector",器件参数!E10="switch",器件参数!E10="isolator",器件参数!E10="coupler",器件参数!E10="splitter"),AND(ISNUMBER(器件参数!F10),ABS(器件参数!F10)&lt;=300),器件参数!F10&lt;=0,ISNUMBER(器件参数!I10),器件参数!I10&gt;0),1+(10^(-器件参数!F10/10)-1)*器件参数!I10/Tref_K,""))))),"数值域错误")</f>
        <v>1</v>
      </c>
      <c r="H10" s="5">
        <f t="shared" si="3"/>
        <v>2.29336948552238</v>
      </c>
      <c r="I10" s="5">
        <f t="shared" si="4"/>
        <v>3.604740296957</v>
      </c>
      <c r="J10" s="5">
        <f>IF(AND(ISNUMBER(Pin_dBm),ISNUMBER(D10)),Pin_dBm+D10,"")</f>
        <v>-10</v>
      </c>
      <c r="K10" s="5">
        <f>IF(AND(ISNUMBER(Pin_dBm),ISNUMBER(E10)),Pin_dBm+E10,"")</f>
        <v>-10</v>
      </c>
      <c r="L10" s="5" t="str">
        <f>IF(AND(器件参数!J10="finite",ISNUMBER(器件参数!L10),ISNUMBER(C10)),IF(器件参数!K10="input",器件参数!L10,IF(器件参数!K10="output",器件参数!L10-C10,"")),"")</f>
        <v/>
      </c>
      <c r="M10" s="5">
        <f>IFERROR(IF(NOT(ISNUMBER(M9)),"",IF(OR(NOT(器件参数!B10),器件参数!J10="ideal"),M9,IF(AND(ISNUMBER(L10),ISNUMBER(F10)),M9+F10/10^(L10/10),""))),"数值域错误")</f>
        <v>0.2</v>
      </c>
      <c r="N10" s="5">
        <f t="shared" si="5"/>
        <v>6.98970004336019</v>
      </c>
      <c r="O10" s="5">
        <f t="shared" si="6"/>
        <v>26.9897000433602</v>
      </c>
      <c r="P10" s="5" t="str">
        <f>IF(AND(器件参数!M10="finite",ISNUMBER(器件参数!O10),ISNUMBER(C10)),IF(器件参数!N10="input",器件参数!O10,IF(器件参数!N10="actual_output",器件参数!O10-C10+1,IF(器件参数!N10="linear_output",器件参数!O10-C10,""))),"")</f>
        <v/>
      </c>
      <c r="Q10" s="5">
        <f>IF(器件参数!P10="",IF(AND(ISNUMBER(DefaultP),DefaultP&gt;=1,DefaultP&lt;=10),DefaultP,""),IF(AND(ISNUMBER(器件参数!P10),器件参数!P10&gt;=1,器件参数!P10&lt;=10),器件参数!P10,""))</f>
        <v>2</v>
      </c>
      <c r="R10" s="5">
        <f t="shared" si="7"/>
        <v>-10.0000139708288</v>
      </c>
      <c r="S10" s="5" t="str">
        <f t="shared" si="8"/>
        <v/>
      </c>
      <c r="T10" s="5">
        <f t="shared" si="9"/>
        <v>0</v>
      </c>
      <c r="U10" s="5">
        <f t="shared" si="10"/>
        <v>-10.0000139708288</v>
      </c>
      <c r="V10" s="5">
        <f>IF(AND(ISNUMBER(Pin_dBm),ISNUMBER(E10),ISNUMBER(U10)),Pin_dBm+E10-U10,"")</f>
        <v>1.39708287854035e-5</v>
      </c>
      <c r="W10" s="5" t="str">
        <f>IF(AND(器件参数!B10,X10=1,ISNUMBER(D10)),P10-D10,"")</f>
        <v/>
      </c>
      <c r="X10" s="5">
        <f>IF(NOT(ISNUMBER(C10)),-1,IF(OR(NOT(器件参数!B10),器件参数!M10="ideal"),0,IF(AND(ISNUMBER(P10),ISNUMBER(Q10)),1,-1)))</f>
        <v>0</v>
      </c>
      <c r="Y10" s="5" t="str">
        <f t="shared" si="11"/>
        <v>有效</v>
      </c>
      <c r="Z10" s="5" t="str">
        <f t="shared" si="12"/>
        <v>有效</v>
      </c>
      <c r="AA10" s="5" t="str">
        <f t="shared" si="13"/>
        <v>模型估算</v>
      </c>
      <c r="AB10" s="5">
        <f t="shared" si="14"/>
        <v>100000000</v>
      </c>
      <c r="AC10" s="5">
        <f>IF(NOT(ISNUMBER(AB10)),"",IF(OR(NOT(器件参数!B10),器件参数!E10&lt;&gt;"mixer"),AB10,IF(AND(ISNUMBER(器件参数!T10),器件参数!T10&gt;0),IF(器件参数!U10="sum",AB10+器件参数!T10,IF(器件参数!U10="difference",ABS(AB10-器件参数!T10),"")),"")))</f>
        <v>100000000</v>
      </c>
      <c r="AD10" s="5">
        <f t="shared" si="15"/>
        <v>0</v>
      </c>
      <c r="AE10" s="5">
        <f>IF(AND(ISNUMBER(G10),ISNUMBER(F10)),Tref_K*(G10-1)/F10,"")</f>
        <v>0</v>
      </c>
      <c r="AF10" s="5">
        <f>IF(AND(ISNUMBER(H10),ISNUMBER(E10),NoiseConfigOK),10*LOG10(Boltzmann*Bnoise_Hz*(Tsource_K+Tref_K*(H10-1)))+30+E10,"")</f>
        <v>-90.3704468972711</v>
      </c>
      <c r="AG10" s="5">
        <f t="shared" si="16"/>
        <v>80.3704468972711</v>
      </c>
      <c r="AH10" s="5">
        <f>IF(AND(ToneEnabled,ISNUMBER(E10),ISNUMBER(TonePin)),TonePin+E10,"")</f>
        <v>-10</v>
      </c>
      <c r="AI10" s="5">
        <f>IF(AND(ToneEnabled,ISNUMBER(E10),ISNUMBER(N10),ISNUMBER(TonePin)),3*TonePin+E10-2*N10,"")</f>
        <v>-83.9794000867204</v>
      </c>
      <c r="AJ10" s="5" t="str">
        <f t="shared" si="17"/>
        <v/>
      </c>
      <c r="AK10" s="5" t="str">
        <f>IF(NOT(器件参数!B10),"旁路",IF(NOT(ISNUMBER(AC10)),"频率未知",IF(AC10&lt;=SignalBW/2,"跨零频",IF(AND(ISNUMBER(器件参数!R10),ISNUMBER(器件参数!S10)),IF(AND(AB10-SignalBW/2&gt;=器件参数!R10,AB10+SignalBW/2&lt;=器件参数!S10),"有效","超声明通带"),"未声明通带"))))</f>
        <v>旁路</v>
      </c>
      <c r="AL10" s="5">
        <f t="shared" si="18"/>
        <v>0</v>
      </c>
      <c r="AM10" s="5" t="str">
        <f>IF(AND(器件参数!B10,ISNUMBER(器件参数!X10),OR(AND(ISNUMBER(J10),J10&gt;器件参数!X10),IF(AND(ToneEnabled,ISNUMBER(TonePin),ISNUMBER(D10)),TonePin+10*LOG10(2)+D10&gt;器件参数!X10,FALSE))),"超过绝对最大输入额定值","")</f>
        <v/>
      </c>
      <c r="AN10" s="5">
        <f>IF(NOT(ISNUMBER(AN9)),"",IF(OR(NOT(器件参数!B10),器件参数!E10&lt;&gt;"mixer"),AN9,IF(AND(ISNUMBER(器件参数!T10),器件参数!T10&gt;0),IF(器件参数!U10="sum",AN9+器件参数!T10,ABS(AN9-器件参数!T10)),"")))</f>
        <v>99950000</v>
      </c>
      <c r="AO10" s="5">
        <f>IF(NOT(ISNUMBER(AO9)),"",IF(OR(NOT(器件参数!B10),器件参数!E10&lt;&gt;"mixer"),AO9,IF(AND(ISNUMBER(器件参数!T10),器件参数!T10&gt;0),IF(器件参数!U10="sum",AO9+器件参数!T10,ABS(AO9-器件参数!T10)),"")))</f>
        <v>100050000</v>
      </c>
      <c r="AP10" s="5">
        <f>IF(NOT(ISNUMBER(AP9)),"",IF(OR(NOT(器件参数!B10),器件参数!E10&lt;&gt;"mixer"),AP9,IF(AND(ISNUMBER(器件参数!T10),器件参数!T10&gt;0),IF(器件参数!U10="sum",AP9+器件参数!T10,ABS(AP9-器件参数!T10)),"")))</f>
        <v>99850000</v>
      </c>
      <c r="AQ10" s="5">
        <f>IF(NOT(ISNUMBER(AQ9)),"",IF(OR(NOT(器件参数!B10),器件参数!E10&lt;&gt;"mixer"),AQ9,IF(AND(ISNUMBER(器件参数!T10),器件参数!T10&gt;0),IF(器件参数!U10="sum",AQ9+器件参数!T10,ABS(AQ9-器件参数!T10)),"")))</f>
        <v>100150000</v>
      </c>
      <c r="AR10" s="5" t="b">
        <f>IF(NOT(AR9),FALSE,IF(NOT(器件参数!B10),TRUE,AND(COUNT(AN10:AQ10)=4,MIN(AN10:AQ10)&gt;0,IF(AND(ISNUMBER(器件参数!R10),ISNUMBER(器件参数!S10)),AND(MIN(AN9:AQ9)&gt;=器件参数!R10,MAX(AN9:AQ9)&lt;=器件参数!S10),TRUE),IF(AND(器件参数!E10="mixer",器件参数!U10="difference"),OR(器件参数!T10&lt;MIN(AN9:AQ9),器件参数!T10&gt;MAX(AN9:AQ9)),TRUE))))</f>
        <v>1</v>
      </c>
    </row>
    <row r="11" hidden="1" spans="1:44">
      <c r="A11" s="5">
        <f>器件参数!A11</f>
        <v>8</v>
      </c>
      <c r="B11" s="5" t="str">
        <f>器件参数!D11</f>
        <v/>
      </c>
      <c r="C11" s="5">
        <f>IF(NOT(器件参数!B11),0,IF(AND(ISNUMBER(器件参数!F11),ABS(器件参数!F11)&lt;=300),器件参数!F11,""))</f>
        <v>0</v>
      </c>
      <c r="D11" s="5">
        <f t="shared" si="0"/>
        <v>20</v>
      </c>
      <c r="E11" s="5">
        <f t="shared" si="1"/>
        <v>20</v>
      </c>
      <c r="F11" s="5">
        <f t="shared" si="2"/>
        <v>100</v>
      </c>
      <c r="G11" s="5">
        <f>IFERROR(IF(NOT(器件参数!B11),1,IF(NOT(OR(器件参数!E11&lt;&gt;"mixer",AND(OR(器件参数!V11="SSB",器件参数!V11="DSB"),器件参数!W11=TRUE))),"",IF(器件参数!G11="ideal",1,IF(AND(器件参数!G11="manual",ISNUMBER(器件参数!H11),器件参数!H11&gt;=0),10^(器件参数!H11/10),IF(AND(器件参数!G11="passive_thermal",OR(器件参数!E11="filter_bpf",器件参数!E11="filter_lpf",器件参数!E11="filter_hpf",器件参数!E11="filter_bsf",器件参数!E11="attenuator",器件参数!E11="cable",器件参数!E11="connector",器件参数!E11="switch",器件参数!E11="isolator",器件参数!E11="coupler",器件参数!E11="splitter"),AND(ISNUMBER(器件参数!F11),ABS(器件参数!F11)&lt;=300),器件参数!F11&lt;=0,ISNUMBER(器件参数!I11),器件参数!I11&gt;0),1+(10^(-器件参数!F11/10)-1)*器件参数!I11/Tref_K,""))))),"数值域错误")</f>
        <v>1</v>
      </c>
      <c r="H11" s="5">
        <f t="shared" si="3"/>
        <v>2.29336948552238</v>
      </c>
      <c r="I11" s="5">
        <f t="shared" si="4"/>
        <v>3.604740296957</v>
      </c>
      <c r="J11" s="5">
        <f>IF(AND(ISNUMBER(Pin_dBm),ISNUMBER(D11)),Pin_dBm+D11,"")</f>
        <v>-10</v>
      </c>
      <c r="K11" s="5">
        <f>IF(AND(ISNUMBER(Pin_dBm),ISNUMBER(E11)),Pin_dBm+E11,"")</f>
        <v>-10</v>
      </c>
      <c r="L11" s="5" t="str">
        <f>IF(AND(器件参数!J11="finite",ISNUMBER(器件参数!L11),ISNUMBER(C11)),IF(器件参数!K11="input",器件参数!L11,IF(器件参数!K11="output",器件参数!L11-C11,"")),"")</f>
        <v/>
      </c>
      <c r="M11" s="5">
        <f>IFERROR(IF(NOT(ISNUMBER(M10)),"",IF(OR(NOT(器件参数!B11),器件参数!J11="ideal"),M10,IF(AND(ISNUMBER(L11),ISNUMBER(F11)),M10+F11/10^(L11/10),""))),"数值域错误")</f>
        <v>0.2</v>
      </c>
      <c r="N11" s="5">
        <f t="shared" si="5"/>
        <v>6.98970004336019</v>
      </c>
      <c r="O11" s="5">
        <f t="shared" si="6"/>
        <v>26.9897000433602</v>
      </c>
      <c r="P11" s="5" t="str">
        <f>IF(AND(器件参数!M11="finite",ISNUMBER(器件参数!O11),ISNUMBER(C11)),IF(器件参数!N11="input",器件参数!O11,IF(器件参数!N11="actual_output",器件参数!O11-C11+1,IF(器件参数!N11="linear_output",器件参数!O11-C11,""))),"")</f>
        <v/>
      </c>
      <c r="Q11" s="5">
        <f>IF(器件参数!P11="",IF(AND(ISNUMBER(DefaultP),DefaultP&gt;=1,DefaultP&lt;=10),DefaultP,""),IF(AND(ISNUMBER(器件参数!P11),器件参数!P11&gt;=1,器件参数!P11&lt;=10),器件参数!P11,""))</f>
        <v>2</v>
      </c>
      <c r="R11" s="5">
        <f t="shared" si="7"/>
        <v>-10.0000139708288</v>
      </c>
      <c r="S11" s="5" t="str">
        <f t="shared" si="8"/>
        <v/>
      </c>
      <c r="T11" s="5">
        <f t="shared" si="9"/>
        <v>0</v>
      </c>
      <c r="U11" s="5">
        <f t="shared" si="10"/>
        <v>-10.0000139708288</v>
      </c>
      <c r="V11" s="5">
        <f>IF(AND(ISNUMBER(Pin_dBm),ISNUMBER(E11),ISNUMBER(U11)),Pin_dBm+E11-U11,"")</f>
        <v>1.39708287854035e-5</v>
      </c>
      <c r="W11" s="5" t="str">
        <f>IF(AND(器件参数!B11,X11=1,ISNUMBER(D11)),P11-D11,"")</f>
        <v/>
      </c>
      <c r="X11" s="5">
        <f>IF(NOT(ISNUMBER(C11)),-1,IF(OR(NOT(器件参数!B11),器件参数!M11="ideal"),0,IF(AND(ISNUMBER(P11),ISNUMBER(Q11)),1,-1)))</f>
        <v>0</v>
      </c>
      <c r="Y11" s="5" t="str">
        <f t="shared" si="11"/>
        <v>有效</v>
      </c>
      <c r="Z11" s="5" t="str">
        <f t="shared" si="12"/>
        <v>有效</v>
      </c>
      <c r="AA11" s="5" t="str">
        <f t="shared" si="13"/>
        <v>模型估算</v>
      </c>
      <c r="AB11" s="5">
        <f t="shared" si="14"/>
        <v>100000000</v>
      </c>
      <c r="AC11" s="5">
        <f>IF(NOT(ISNUMBER(AB11)),"",IF(OR(NOT(器件参数!B11),器件参数!E11&lt;&gt;"mixer"),AB11,IF(AND(ISNUMBER(器件参数!T11),器件参数!T11&gt;0),IF(器件参数!U11="sum",AB11+器件参数!T11,IF(器件参数!U11="difference",ABS(AB11-器件参数!T11),"")),"")))</f>
        <v>100000000</v>
      </c>
      <c r="AD11" s="5">
        <f t="shared" si="15"/>
        <v>0</v>
      </c>
      <c r="AE11" s="5">
        <f>IF(AND(ISNUMBER(G11),ISNUMBER(F11)),Tref_K*(G11-1)/F11,"")</f>
        <v>0</v>
      </c>
      <c r="AF11" s="5">
        <f>IF(AND(ISNUMBER(H11),ISNUMBER(E11),NoiseConfigOK),10*LOG10(Boltzmann*Bnoise_Hz*(Tsource_K+Tref_K*(H11-1)))+30+E11,"")</f>
        <v>-90.3704468972711</v>
      </c>
      <c r="AG11" s="5">
        <f t="shared" si="16"/>
        <v>80.3704468972711</v>
      </c>
      <c r="AH11" s="5">
        <f>IF(AND(ToneEnabled,ISNUMBER(E11),ISNUMBER(TonePin)),TonePin+E11,"")</f>
        <v>-10</v>
      </c>
      <c r="AI11" s="5">
        <f>IF(AND(ToneEnabled,ISNUMBER(E11),ISNUMBER(N11),ISNUMBER(TonePin)),3*TonePin+E11-2*N11,"")</f>
        <v>-83.9794000867204</v>
      </c>
      <c r="AJ11" s="5" t="str">
        <f t="shared" si="17"/>
        <v/>
      </c>
      <c r="AK11" s="5" t="str">
        <f>IF(NOT(器件参数!B11),"旁路",IF(NOT(ISNUMBER(AC11)),"频率未知",IF(AC11&lt;=SignalBW/2,"跨零频",IF(AND(ISNUMBER(器件参数!R11),ISNUMBER(器件参数!S11)),IF(AND(AB11-SignalBW/2&gt;=器件参数!R11,AB11+SignalBW/2&lt;=器件参数!S11),"有效","超声明通带"),"未声明通带"))))</f>
        <v>旁路</v>
      </c>
      <c r="AL11" s="5">
        <f t="shared" si="18"/>
        <v>0</v>
      </c>
      <c r="AM11" s="5" t="str">
        <f>IF(AND(器件参数!B11,ISNUMBER(器件参数!X11),OR(AND(ISNUMBER(J11),J11&gt;器件参数!X11),IF(AND(ToneEnabled,ISNUMBER(TonePin),ISNUMBER(D11)),TonePin+10*LOG10(2)+D11&gt;器件参数!X11,FALSE))),"超过绝对最大输入额定值","")</f>
        <v/>
      </c>
      <c r="AN11" s="5">
        <f>IF(NOT(ISNUMBER(AN10)),"",IF(OR(NOT(器件参数!B11),器件参数!E11&lt;&gt;"mixer"),AN10,IF(AND(ISNUMBER(器件参数!T11),器件参数!T11&gt;0),IF(器件参数!U11="sum",AN10+器件参数!T11,ABS(AN10-器件参数!T11)),"")))</f>
        <v>99950000</v>
      </c>
      <c r="AO11" s="5">
        <f>IF(NOT(ISNUMBER(AO10)),"",IF(OR(NOT(器件参数!B11),器件参数!E11&lt;&gt;"mixer"),AO10,IF(AND(ISNUMBER(器件参数!T11),器件参数!T11&gt;0),IF(器件参数!U11="sum",AO10+器件参数!T11,ABS(AO10-器件参数!T11)),"")))</f>
        <v>100050000</v>
      </c>
      <c r="AP11" s="5">
        <f>IF(NOT(ISNUMBER(AP10)),"",IF(OR(NOT(器件参数!B11),器件参数!E11&lt;&gt;"mixer"),AP10,IF(AND(ISNUMBER(器件参数!T11),器件参数!T11&gt;0),IF(器件参数!U11="sum",AP10+器件参数!T11,ABS(AP10-器件参数!T11)),"")))</f>
        <v>99850000</v>
      </c>
      <c r="AQ11" s="5">
        <f>IF(NOT(ISNUMBER(AQ10)),"",IF(OR(NOT(器件参数!B11),器件参数!E11&lt;&gt;"mixer"),AQ10,IF(AND(ISNUMBER(器件参数!T11),器件参数!T11&gt;0),IF(器件参数!U11="sum",AQ10+器件参数!T11,ABS(AQ10-器件参数!T11)),"")))</f>
        <v>100150000</v>
      </c>
      <c r="AR11" s="5" t="b">
        <f>IF(NOT(AR10),FALSE,IF(NOT(器件参数!B11),TRUE,AND(COUNT(AN11:AQ11)=4,MIN(AN11:AQ11)&gt;0,IF(AND(ISNUMBER(器件参数!R11),ISNUMBER(器件参数!S11)),AND(MIN(AN10:AQ10)&gt;=器件参数!R11,MAX(AN10:AQ10)&lt;=器件参数!S11),TRUE),IF(AND(器件参数!E11="mixer",器件参数!U11="difference"),OR(器件参数!T11&lt;MIN(AN10:AQ10),器件参数!T11&gt;MAX(AN10:AQ10)),TRUE))))</f>
        <v>1</v>
      </c>
    </row>
    <row r="12" hidden="1" spans="1:44">
      <c r="A12" s="5">
        <f>器件参数!A12</f>
        <v>9</v>
      </c>
      <c r="B12" s="5" t="str">
        <f>器件参数!D12</f>
        <v/>
      </c>
      <c r="C12" s="5">
        <f>IF(NOT(器件参数!B12),0,IF(AND(ISNUMBER(器件参数!F12),ABS(器件参数!F12)&lt;=300),器件参数!F12,""))</f>
        <v>0</v>
      </c>
      <c r="D12" s="5">
        <f t="shared" si="0"/>
        <v>20</v>
      </c>
      <c r="E12" s="5">
        <f t="shared" si="1"/>
        <v>20</v>
      </c>
      <c r="F12" s="5">
        <f t="shared" si="2"/>
        <v>100</v>
      </c>
      <c r="G12" s="5">
        <f>IFERROR(IF(NOT(器件参数!B12),1,IF(NOT(OR(器件参数!E12&lt;&gt;"mixer",AND(OR(器件参数!V12="SSB",器件参数!V12="DSB"),器件参数!W12=TRUE))),"",IF(器件参数!G12="ideal",1,IF(AND(器件参数!G12="manual",ISNUMBER(器件参数!H12),器件参数!H12&gt;=0),10^(器件参数!H12/10),IF(AND(器件参数!G12="passive_thermal",OR(器件参数!E12="filter_bpf",器件参数!E12="filter_lpf",器件参数!E12="filter_hpf",器件参数!E12="filter_bsf",器件参数!E12="attenuator",器件参数!E12="cable",器件参数!E12="connector",器件参数!E12="switch",器件参数!E12="isolator",器件参数!E12="coupler",器件参数!E12="splitter"),AND(ISNUMBER(器件参数!F12),ABS(器件参数!F12)&lt;=300),器件参数!F12&lt;=0,ISNUMBER(器件参数!I12),器件参数!I12&gt;0),1+(10^(-器件参数!F12/10)-1)*器件参数!I12/Tref_K,""))))),"数值域错误")</f>
        <v>1</v>
      </c>
      <c r="H12" s="5">
        <f t="shared" si="3"/>
        <v>2.29336948552238</v>
      </c>
      <c r="I12" s="5">
        <f t="shared" si="4"/>
        <v>3.604740296957</v>
      </c>
      <c r="J12" s="5">
        <f>IF(AND(ISNUMBER(Pin_dBm),ISNUMBER(D12)),Pin_dBm+D12,"")</f>
        <v>-10</v>
      </c>
      <c r="K12" s="5">
        <f>IF(AND(ISNUMBER(Pin_dBm),ISNUMBER(E12)),Pin_dBm+E12,"")</f>
        <v>-10</v>
      </c>
      <c r="L12" s="5" t="str">
        <f>IF(AND(器件参数!J12="finite",ISNUMBER(器件参数!L12),ISNUMBER(C12)),IF(器件参数!K12="input",器件参数!L12,IF(器件参数!K12="output",器件参数!L12-C12,"")),"")</f>
        <v/>
      </c>
      <c r="M12" s="5">
        <f>IFERROR(IF(NOT(ISNUMBER(M11)),"",IF(OR(NOT(器件参数!B12),器件参数!J12="ideal"),M11,IF(AND(ISNUMBER(L12),ISNUMBER(F12)),M11+F12/10^(L12/10),""))),"数值域错误")</f>
        <v>0.2</v>
      </c>
      <c r="N12" s="5">
        <f t="shared" si="5"/>
        <v>6.98970004336019</v>
      </c>
      <c r="O12" s="5">
        <f t="shared" si="6"/>
        <v>26.9897000433602</v>
      </c>
      <c r="P12" s="5" t="str">
        <f>IF(AND(器件参数!M12="finite",ISNUMBER(器件参数!O12),ISNUMBER(C12)),IF(器件参数!N12="input",器件参数!O12,IF(器件参数!N12="actual_output",器件参数!O12-C12+1,IF(器件参数!N12="linear_output",器件参数!O12-C12,""))),"")</f>
        <v/>
      </c>
      <c r="Q12" s="5">
        <f>IF(器件参数!P12="",IF(AND(ISNUMBER(DefaultP),DefaultP&gt;=1,DefaultP&lt;=10),DefaultP,""),IF(AND(ISNUMBER(器件参数!P12),器件参数!P12&gt;=1,器件参数!P12&lt;=10),器件参数!P12,""))</f>
        <v>2</v>
      </c>
      <c r="R12" s="5">
        <f t="shared" si="7"/>
        <v>-10.0000139708288</v>
      </c>
      <c r="S12" s="5" t="str">
        <f t="shared" si="8"/>
        <v/>
      </c>
      <c r="T12" s="5">
        <f t="shared" si="9"/>
        <v>0</v>
      </c>
      <c r="U12" s="5">
        <f t="shared" si="10"/>
        <v>-10.0000139708288</v>
      </c>
      <c r="V12" s="5">
        <f>IF(AND(ISNUMBER(Pin_dBm),ISNUMBER(E12),ISNUMBER(U12)),Pin_dBm+E12-U12,"")</f>
        <v>1.39708287854035e-5</v>
      </c>
      <c r="W12" s="5" t="str">
        <f>IF(AND(器件参数!B12,X12=1,ISNUMBER(D12)),P12-D12,"")</f>
        <v/>
      </c>
      <c r="X12" s="5">
        <f>IF(NOT(ISNUMBER(C12)),-1,IF(OR(NOT(器件参数!B12),器件参数!M12="ideal"),0,IF(AND(ISNUMBER(P12),ISNUMBER(Q12)),1,-1)))</f>
        <v>0</v>
      </c>
      <c r="Y12" s="5" t="str">
        <f t="shared" si="11"/>
        <v>有效</v>
      </c>
      <c r="Z12" s="5" t="str">
        <f t="shared" si="12"/>
        <v>有效</v>
      </c>
      <c r="AA12" s="5" t="str">
        <f t="shared" si="13"/>
        <v>模型估算</v>
      </c>
      <c r="AB12" s="5">
        <f t="shared" si="14"/>
        <v>100000000</v>
      </c>
      <c r="AC12" s="5">
        <f>IF(NOT(ISNUMBER(AB12)),"",IF(OR(NOT(器件参数!B12),器件参数!E12&lt;&gt;"mixer"),AB12,IF(AND(ISNUMBER(器件参数!T12),器件参数!T12&gt;0),IF(器件参数!U12="sum",AB12+器件参数!T12,IF(器件参数!U12="difference",ABS(AB12-器件参数!T12),"")),"")))</f>
        <v>100000000</v>
      </c>
      <c r="AD12" s="5">
        <f t="shared" si="15"/>
        <v>0</v>
      </c>
      <c r="AE12" s="5">
        <f>IF(AND(ISNUMBER(G12),ISNUMBER(F12)),Tref_K*(G12-1)/F12,"")</f>
        <v>0</v>
      </c>
      <c r="AF12" s="5">
        <f>IF(AND(ISNUMBER(H12),ISNUMBER(E12),NoiseConfigOK),10*LOG10(Boltzmann*Bnoise_Hz*(Tsource_K+Tref_K*(H12-1)))+30+E12,"")</f>
        <v>-90.3704468972711</v>
      </c>
      <c r="AG12" s="5">
        <f t="shared" si="16"/>
        <v>80.3704468972711</v>
      </c>
      <c r="AH12" s="5">
        <f>IF(AND(ToneEnabled,ISNUMBER(E12),ISNUMBER(TonePin)),TonePin+E12,"")</f>
        <v>-10</v>
      </c>
      <c r="AI12" s="5">
        <f>IF(AND(ToneEnabled,ISNUMBER(E12),ISNUMBER(N12),ISNUMBER(TonePin)),3*TonePin+E12-2*N12,"")</f>
        <v>-83.9794000867204</v>
      </c>
      <c r="AJ12" s="5" t="str">
        <f t="shared" si="17"/>
        <v/>
      </c>
      <c r="AK12" s="5" t="str">
        <f>IF(NOT(器件参数!B12),"旁路",IF(NOT(ISNUMBER(AC12)),"频率未知",IF(AC12&lt;=SignalBW/2,"跨零频",IF(AND(ISNUMBER(器件参数!R12),ISNUMBER(器件参数!S12)),IF(AND(AB12-SignalBW/2&gt;=器件参数!R12,AB12+SignalBW/2&lt;=器件参数!S12),"有效","超声明通带"),"未声明通带"))))</f>
        <v>旁路</v>
      </c>
      <c r="AL12" s="5">
        <f t="shared" si="18"/>
        <v>0</v>
      </c>
      <c r="AM12" s="5" t="str">
        <f>IF(AND(器件参数!B12,ISNUMBER(器件参数!X12),OR(AND(ISNUMBER(J12),J12&gt;器件参数!X12),IF(AND(ToneEnabled,ISNUMBER(TonePin),ISNUMBER(D12)),TonePin+10*LOG10(2)+D12&gt;器件参数!X12,FALSE))),"超过绝对最大输入额定值","")</f>
        <v/>
      </c>
      <c r="AN12" s="5">
        <f>IF(NOT(ISNUMBER(AN11)),"",IF(OR(NOT(器件参数!B12),器件参数!E12&lt;&gt;"mixer"),AN11,IF(AND(ISNUMBER(器件参数!T12),器件参数!T12&gt;0),IF(器件参数!U12="sum",AN11+器件参数!T12,ABS(AN11-器件参数!T12)),"")))</f>
        <v>99950000</v>
      </c>
      <c r="AO12" s="5">
        <f>IF(NOT(ISNUMBER(AO11)),"",IF(OR(NOT(器件参数!B12),器件参数!E12&lt;&gt;"mixer"),AO11,IF(AND(ISNUMBER(器件参数!T12),器件参数!T12&gt;0),IF(器件参数!U12="sum",AO11+器件参数!T12,ABS(AO11-器件参数!T12)),"")))</f>
        <v>100050000</v>
      </c>
      <c r="AP12" s="5">
        <f>IF(NOT(ISNUMBER(AP11)),"",IF(OR(NOT(器件参数!B12),器件参数!E12&lt;&gt;"mixer"),AP11,IF(AND(ISNUMBER(器件参数!T12),器件参数!T12&gt;0),IF(器件参数!U12="sum",AP11+器件参数!T12,ABS(AP11-器件参数!T12)),"")))</f>
        <v>99850000</v>
      </c>
      <c r="AQ12" s="5">
        <f>IF(NOT(ISNUMBER(AQ11)),"",IF(OR(NOT(器件参数!B12),器件参数!E12&lt;&gt;"mixer"),AQ11,IF(AND(ISNUMBER(器件参数!T12),器件参数!T12&gt;0),IF(器件参数!U12="sum",AQ11+器件参数!T12,ABS(AQ11-器件参数!T12)),"")))</f>
        <v>100150000</v>
      </c>
      <c r="AR12" s="5" t="b">
        <f>IF(NOT(AR11),FALSE,IF(NOT(器件参数!B12),TRUE,AND(COUNT(AN12:AQ12)=4,MIN(AN12:AQ12)&gt;0,IF(AND(ISNUMBER(器件参数!R12),ISNUMBER(器件参数!S12)),AND(MIN(AN11:AQ11)&gt;=器件参数!R12,MAX(AN11:AQ11)&lt;=器件参数!S12),TRUE),IF(AND(器件参数!E12="mixer",器件参数!U12="difference"),OR(器件参数!T12&lt;MIN(AN11:AQ11),器件参数!T12&gt;MAX(AN11:AQ11)),TRUE))))</f>
        <v>1</v>
      </c>
    </row>
    <row r="13" hidden="1" spans="1:44">
      <c r="A13" s="5">
        <f>器件参数!A13</f>
        <v>10</v>
      </c>
      <c r="B13" s="5" t="str">
        <f>器件参数!D13</f>
        <v/>
      </c>
      <c r="C13" s="5">
        <f>IF(NOT(器件参数!B13),0,IF(AND(ISNUMBER(器件参数!F13),ABS(器件参数!F13)&lt;=300),器件参数!F13,""))</f>
        <v>0</v>
      </c>
      <c r="D13" s="5">
        <f t="shared" si="0"/>
        <v>20</v>
      </c>
      <c r="E13" s="5">
        <f t="shared" si="1"/>
        <v>20</v>
      </c>
      <c r="F13" s="5">
        <f t="shared" si="2"/>
        <v>100</v>
      </c>
      <c r="G13" s="5">
        <f>IFERROR(IF(NOT(器件参数!B13),1,IF(NOT(OR(器件参数!E13&lt;&gt;"mixer",AND(OR(器件参数!V13="SSB",器件参数!V13="DSB"),器件参数!W13=TRUE))),"",IF(器件参数!G13="ideal",1,IF(AND(器件参数!G13="manual",ISNUMBER(器件参数!H13),器件参数!H13&gt;=0),10^(器件参数!H13/10),IF(AND(器件参数!G13="passive_thermal",OR(器件参数!E13="filter_bpf",器件参数!E13="filter_lpf",器件参数!E13="filter_hpf",器件参数!E13="filter_bsf",器件参数!E13="attenuator",器件参数!E13="cable",器件参数!E13="connector",器件参数!E13="switch",器件参数!E13="isolator",器件参数!E13="coupler",器件参数!E13="splitter"),AND(ISNUMBER(器件参数!F13),ABS(器件参数!F13)&lt;=300),器件参数!F13&lt;=0,ISNUMBER(器件参数!I13),器件参数!I13&gt;0),1+(10^(-器件参数!F13/10)-1)*器件参数!I13/Tref_K,""))))),"数值域错误")</f>
        <v>1</v>
      </c>
      <c r="H13" s="5">
        <f t="shared" si="3"/>
        <v>2.29336948552238</v>
      </c>
      <c r="I13" s="5">
        <f t="shared" si="4"/>
        <v>3.604740296957</v>
      </c>
      <c r="J13" s="5">
        <f>IF(AND(ISNUMBER(Pin_dBm),ISNUMBER(D13)),Pin_dBm+D13,"")</f>
        <v>-10</v>
      </c>
      <c r="K13" s="5">
        <f>IF(AND(ISNUMBER(Pin_dBm),ISNUMBER(E13)),Pin_dBm+E13,"")</f>
        <v>-10</v>
      </c>
      <c r="L13" s="5" t="str">
        <f>IF(AND(器件参数!J13="finite",ISNUMBER(器件参数!L13),ISNUMBER(C13)),IF(器件参数!K13="input",器件参数!L13,IF(器件参数!K13="output",器件参数!L13-C13,"")),"")</f>
        <v/>
      </c>
      <c r="M13" s="5">
        <f>IFERROR(IF(NOT(ISNUMBER(M12)),"",IF(OR(NOT(器件参数!B13),器件参数!J13="ideal"),M12,IF(AND(ISNUMBER(L13),ISNUMBER(F13)),M12+F13/10^(L13/10),""))),"数值域错误")</f>
        <v>0.2</v>
      </c>
      <c r="N13" s="5">
        <f t="shared" si="5"/>
        <v>6.98970004336019</v>
      </c>
      <c r="O13" s="5">
        <f t="shared" si="6"/>
        <v>26.9897000433602</v>
      </c>
      <c r="P13" s="5" t="str">
        <f>IF(AND(器件参数!M13="finite",ISNUMBER(器件参数!O13),ISNUMBER(C13)),IF(器件参数!N13="input",器件参数!O13,IF(器件参数!N13="actual_output",器件参数!O13-C13+1,IF(器件参数!N13="linear_output",器件参数!O13-C13,""))),"")</f>
        <v/>
      </c>
      <c r="Q13" s="5">
        <f>IF(器件参数!P13="",IF(AND(ISNUMBER(DefaultP),DefaultP&gt;=1,DefaultP&lt;=10),DefaultP,""),IF(AND(ISNUMBER(器件参数!P13),器件参数!P13&gt;=1,器件参数!P13&lt;=10),器件参数!P13,""))</f>
        <v>2</v>
      </c>
      <c r="R13" s="5">
        <f t="shared" si="7"/>
        <v>-10.0000139708288</v>
      </c>
      <c r="S13" s="5" t="str">
        <f t="shared" si="8"/>
        <v/>
      </c>
      <c r="T13" s="5">
        <f t="shared" si="9"/>
        <v>0</v>
      </c>
      <c r="U13" s="5">
        <f t="shared" si="10"/>
        <v>-10.0000139708288</v>
      </c>
      <c r="V13" s="5">
        <f>IF(AND(ISNUMBER(Pin_dBm),ISNUMBER(E13),ISNUMBER(U13)),Pin_dBm+E13-U13,"")</f>
        <v>1.39708287854035e-5</v>
      </c>
      <c r="W13" s="5" t="str">
        <f>IF(AND(器件参数!B13,X13=1,ISNUMBER(D13)),P13-D13,"")</f>
        <v/>
      </c>
      <c r="X13" s="5">
        <f>IF(NOT(ISNUMBER(C13)),-1,IF(OR(NOT(器件参数!B13),器件参数!M13="ideal"),0,IF(AND(ISNUMBER(P13),ISNUMBER(Q13)),1,-1)))</f>
        <v>0</v>
      </c>
      <c r="Y13" s="5" t="str">
        <f t="shared" si="11"/>
        <v>有效</v>
      </c>
      <c r="Z13" s="5" t="str">
        <f t="shared" si="12"/>
        <v>有效</v>
      </c>
      <c r="AA13" s="5" t="str">
        <f t="shared" si="13"/>
        <v>模型估算</v>
      </c>
      <c r="AB13" s="5">
        <f t="shared" si="14"/>
        <v>100000000</v>
      </c>
      <c r="AC13" s="5">
        <f>IF(NOT(ISNUMBER(AB13)),"",IF(OR(NOT(器件参数!B13),器件参数!E13&lt;&gt;"mixer"),AB13,IF(AND(ISNUMBER(器件参数!T13),器件参数!T13&gt;0),IF(器件参数!U13="sum",AB13+器件参数!T13,IF(器件参数!U13="difference",ABS(AB13-器件参数!T13),"")),"")))</f>
        <v>100000000</v>
      </c>
      <c r="AD13" s="5">
        <f t="shared" si="15"/>
        <v>0</v>
      </c>
      <c r="AE13" s="5">
        <f>IF(AND(ISNUMBER(G13),ISNUMBER(F13)),Tref_K*(G13-1)/F13,"")</f>
        <v>0</v>
      </c>
      <c r="AF13" s="5">
        <f>IF(AND(ISNUMBER(H13),ISNUMBER(E13),NoiseConfigOK),10*LOG10(Boltzmann*Bnoise_Hz*(Tsource_K+Tref_K*(H13-1)))+30+E13,"")</f>
        <v>-90.3704468972711</v>
      </c>
      <c r="AG13" s="5">
        <f t="shared" si="16"/>
        <v>80.3704468972711</v>
      </c>
      <c r="AH13" s="5">
        <f>IF(AND(ToneEnabled,ISNUMBER(E13),ISNUMBER(TonePin)),TonePin+E13,"")</f>
        <v>-10</v>
      </c>
      <c r="AI13" s="5">
        <f>IF(AND(ToneEnabled,ISNUMBER(E13),ISNUMBER(N13),ISNUMBER(TonePin)),3*TonePin+E13-2*N13,"")</f>
        <v>-83.9794000867204</v>
      </c>
      <c r="AJ13" s="5" t="str">
        <f t="shared" si="17"/>
        <v/>
      </c>
      <c r="AK13" s="5" t="str">
        <f>IF(NOT(器件参数!B13),"旁路",IF(NOT(ISNUMBER(AC13)),"频率未知",IF(AC13&lt;=SignalBW/2,"跨零频",IF(AND(ISNUMBER(器件参数!R13),ISNUMBER(器件参数!S13)),IF(AND(AB13-SignalBW/2&gt;=器件参数!R13,AB13+SignalBW/2&lt;=器件参数!S13),"有效","超声明通带"),"未声明通带"))))</f>
        <v>旁路</v>
      </c>
      <c r="AL13" s="5">
        <f t="shared" si="18"/>
        <v>0</v>
      </c>
      <c r="AM13" s="5" t="str">
        <f>IF(AND(器件参数!B13,ISNUMBER(器件参数!X13),OR(AND(ISNUMBER(J13),J13&gt;器件参数!X13),IF(AND(ToneEnabled,ISNUMBER(TonePin),ISNUMBER(D13)),TonePin+10*LOG10(2)+D13&gt;器件参数!X13,FALSE))),"超过绝对最大输入额定值","")</f>
        <v/>
      </c>
      <c r="AN13" s="5">
        <f>IF(NOT(ISNUMBER(AN12)),"",IF(OR(NOT(器件参数!B13),器件参数!E13&lt;&gt;"mixer"),AN12,IF(AND(ISNUMBER(器件参数!T13),器件参数!T13&gt;0),IF(器件参数!U13="sum",AN12+器件参数!T13,ABS(AN12-器件参数!T13)),"")))</f>
        <v>99950000</v>
      </c>
      <c r="AO13" s="5">
        <f>IF(NOT(ISNUMBER(AO12)),"",IF(OR(NOT(器件参数!B13),器件参数!E13&lt;&gt;"mixer"),AO12,IF(AND(ISNUMBER(器件参数!T13),器件参数!T13&gt;0),IF(器件参数!U13="sum",AO12+器件参数!T13,ABS(AO12-器件参数!T13)),"")))</f>
        <v>100050000</v>
      </c>
      <c r="AP13" s="5">
        <f>IF(NOT(ISNUMBER(AP12)),"",IF(OR(NOT(器件参数!B13),器件参数!E13&lt;&gt;"mixer"),AP12,IF(AND(ISNUMBER(器件参数!T13),器件参数!T13&gt;0),IF(器件参数!U13="sum",AP12+器件参数!T13,ABS(AP12-器件参数!T13)),"")))</f>
        <v>99850000</v>
      </c>
      <c r="AQ13" s="5">
        <f>IF(NOT(ISNUMBER(AQ12)),"",IF(OR(NOT(器件参数!B13),器件参数!E13&lt;&gt;"mixer"),AQ12,IF(AND(ISNUMBER(器件参数!T13),器件参数!T13&gt;0),IF(器件参数!U13="sum",AQ12+器件参数!T13,ABS(AQ12-器件参数!T13)),"")))</f>
        <v>100150000</v>
      </c>
      <c r="AR13" s="5" t="b">
        <f>IF(NOT(AR12),FALSE,IF(NOT(器件参数!B13),TRUE,AND(COUNT(AN13:AQ13)=4,MIN(AN13:AQ13)&gt;0,IF(AND(ISNUMBER(器件参数!R13),ISNUMBER(器件参数!S13)),AND(MIN(AN12:AQ12)&gt;=器件参数!R13,MAX(AN12:AQ12)&lt;=器件参数!S13),TRUE),IF(AND(器件参数!E13="mixer",器件参数!U13="difference"),OR(器件参数!T13&lt;MIN(AN12:AQ12),器件参数!T13&gt;MAX(AN12:AQ12)),TRUE))))</f>
        <v>1</v>
      </c>
    </row>
    <row r="14" hidden="1" spans="1:44">
      <c r="A14" s="5">
        <f>器件参数!A14</f>
        <v>11</v>
      </c>
      <c r="B14" s="5" t="str">
        <f>器件参数!D14</f>
        <v/>
      </c>
      <c r="C14" s="5">
        <f>IF(NOT(器件参数!B14),0,IF(AND(ISNUMBER(器件参数!F14),ABS(器件参数!F14)&lt;=300),器件参数!F14,""))</f>
        <v>0</v>
      </c>
      <c r="D14" s="5">
        <f t="shared" si="0"/>
        <v>20</v>
      </c>
      <c r="E14" s="5">
        <f t="shared" si="1"/>
        <v>20</v>
      </c>
      <c r="F14" s="5">
        <f t="shared" si="2"/>
        <v>100</v>
      </c>
      <c r="G14" s="5">
        <f>IFERROR(IF(NOT(器件参数!B14),1,IF(NOT(OR(器件参数!E14&lt;&gt;"mixer",AND(OR(器件参数!V14="SSB",器件参数!V14="DSB"),器件参数!W14=TRUE))),"",IF(器件参数!G14="ideal",1,IF(AND(器件参数!G14="manual",ISNUMBER(器件参数!H14),器件参数!H14&gt;=0),10^(器件参数!H14/10),IF(AND(器件参数!G14="passive_thermal",OR(器件参数!E14="filter_bpf",器件参数!E14="filter_lpf",器件参数!E14="filter_hpf",器件参数!E14="filter_bsf",器件参数!E14="attenuator",器件参数!E14="cable",器件参数!E14="connector",器件参数!E14="switch",器件参数!E14="isolator",器件参数!E14="coupler",器件参数!E14="splitter"),AND(ISNUMBER(器件参数!F14),ABS(器件参数!F14)&lt;=300),器件参数!F14&lt;=0,ISNUMBER(器件参数!I14),器件参数!I14&gt;0),1+(10^(-器件参数!F14/10)-1)*器件参数!I14/Tref_K,""))))),"数值域错误")</f>
        <v>1</v>
      </c>
      <c r="H14" s="5">
        <f t="shared" si="3"/>
        <v>2.29336948552238</v>
      </c>
      <c r="I14" s="5">
        <f t="shared" si="4"/>
        <v>3.604740296957</v>
      </c>
      <c r="J14" s="5">
        <f>IF(AND(ISNUMBER(Pin_dBm),ISNUMBER(D14)),Pin_dBm+D14,"")</f>
        <v>-10</v>
      </c>
      <c r="K14" s="5">
        <f>IF(AND(ISNUMBER(Pin_dBm),ISNUMBER(E14)),Pin_dBm+E14,"")</f>
        <v>-10</v>
      </c>
      <c r="L14" s="5" t="str">
        <f>IF(AND(器件参数!J14="finite",ISNUMBER(器件参数!L14),ISNUMBER(C14)),IF(器件参数!K14="input",器件参数!L14,IF(器件参数!K14="output",器件参数!L14-C14,"")),"")</f>
        <v/>
      </c>
      <c r="M14" s="5">
        <f>IFERROR(IF(NOT(ISNUMBER(M13)),"",IF(OR(NOT(器件参数!B14),器件参数!J14="ideal"),M13,IF(AND(ISNUMBER(L14),ISNUMBER(F14)),M13+F14/10^(L14/10),""))),"数值域错误")</f>
        <v>0.2</v>
      </c>
      <c r="N14" s="5">
        <f t="shared" si="5"/>
        <v>6.98970004336019</v>
      </c>
      <c r="O14" s="5">
        <f t="shared" si="6"/>
        <v>26.9897000433602</v>
      </c>
      <c r="P14" s="5" t="str">
        <f>IF(AND(器件参数!M14="finite",ISNUMBER(器件参数!O14),ISNUMBER(C14)),IF(器件参数!N14="input",器件参数!O14,IF(器件参数!N14="actual_output",器件参数!O14-C14+1,IF(器件参数!N14="linear_output",器件参数!O14-C14,""))),"")</f>
        <v/>
      </c>
      <c r="Q14" s="5">
        <f>IF(器件参数!P14="",IF(AND(ISNUMBER(DefaultP),DefaultP&gt;=1,DefaultP&lt;=10),DefaultP,""),IF(AND(ISNUMBER(器件参数!P14),器件参数!P14&gt;=1,器件参数!P14&lt;=10),器件参数!P14,""))</f>
        <v>2</v>
      </c>
      <c r="R14" s="5">
        <f t="shared" si="7"/>
        <v>-10.0000139708288</v>
      </c>
      <c r="S14" s="5" t="str">
        <f t="shared" si="8"/>
        <v/>
      </c>
      <c r="T14" s="5">
        <f t="shared" si="9"/>
        <v>0</v>
      </c>
      <c r="U14" s="5">
        <f t="shared" si="10"/>
        <v>-10.0000139708288</v>
      </c>
      <c r="V14" s="5">
        <f>IF(AND(ISNUMBER(Pin_dBm),ISNUMBER(E14),ISNUMBER(U14)),Pin_dBm+E14-U14,"")</f>
        <v>1.39708287854035e-5</v>
      </c>
      <c r="W14" s="5" t="str">
        <f>IF(AND(器件参数!B14,X14=1,ISNUMBER(D14)),P14-D14,"")</f>
        <v/>
      </c>
      <c r="X14" s="5">
        <f>IF(NOT(ISNUMBER(C14)),-1,IF(OR(NOT(器件参数!B14),器件参数!M14="ideal"),0,IF(AND(ISNUMBER(P14),ISNUMBER(Q14)),1,-1)))</f>
        <v>0</v>
      </c>
      <c r="Y14" s="5" t="str">
        <f t="shared" si="11"/>
        <v>有效</v>
      </c>
      <c r="Z14" s="5" t="str">
        <f t="shared" si="12"/>
        <v>有效</v>
      </c>
      <c r="AA14" s="5" t="str">
        <f t="shared" si="13"/>
        <v>模型估算</v>
      </c>
      <c r="AB14" s="5">
        <f t="shared" si="14"/>
        <v>100000000</v>
      </c>
      <c r="AC14" s="5">
        <f>IF(NOT(ISNUMBER(AB14)),"",IF(OR(NOT(器件参数!B14),器件参数!E14&lt;&gt;"mixer"),AB14,IF(AND(ISNUMBER(器件参数!T14),器件参数!T14&gt;0),IF(器件参数!U14="sum",AB14+器件参数!T14,IF(器件参数!U14="difference",ABS(AB14-器件参数!T14),"")),"")))</f>
        <v>100000000</v>
      </c>
      <c r="AD14" s="5">
        <f t="shared" si="15"/>
        <v>0</v>
      </c>
      <c r="AE14" s="5">
        <f>IF(AND(ISNUMBER(G14),ISNUMBER(F14)),Tref_K*(G14-1)/F14,"")</f>
        <v>0</v>
      </c>
      <c r="AF14" s="5">
        <f>IF(AND(ISNUMBER(H14),ISNUMBER(E14),NoiseConfigOK),10*LOG10(Boltzmann*Bnoise_Hz*(Tsource_K+Tref_K*(H14-1)))+30+E14,"")</f>
        <v>-90.3704468972711</v>
      </c>
      <c r="AG14" s="5">
        <f t="shared" si="16"/>
        <v>80.3704468972711</v>
      </c>
      <c r="AH14" s="5">
        <f>IF(AND(ToneEnabled,ISNUMBER(E14),ISNUMBER(TonePin)),TonePin+E14,"")</f>
        <v>-10</v>
      </c>
      <c r="AI14" s="5">
        <f>IF(AND(ToneEnabled,ISNUMBER(E14),ISNUMBER(N14),ISNUMBER(TonePin)),3*TonePin+E14-2*N14,"")</f>
        <v>-83.9794000867204</v>
      </c>
      <c r="AJ14" s="5" t="str">
        <f t="shared" si="17"/>
        <v/>
      </c>
      <c r="AK14" s="5" t="str">
        <f>IF(NOT(器件参数!B14),"旁路",IF(NOT(ISNUMBER(AC14)),"频率未知",IF(AC14&lt;=SignalBW/2,"跨零频",IF(AND(ISNUMBER(器件参数!R14),ISNUMBER(器件参数!S14)),IF(AND(AB14-SignalBW/2&gt;=器件参数!R14,AB14+SignalBW/2&lt;=器件参数!S14),"有效","超声明通带"),"未声明通带"))))</f>
        <v>旁路</v>
      </c>
      <c r="AL14" s="5">
        <f t="shared" si="18"/>
        <v>0</v>
      </c>
      <c r="AM14" s="5" t="str">
        <f>IF(AND(器件参数!B14,ISNUMBER(器件参数!X14),OR(AND(ISNUMBER(J14),J14&gt;器件参数!X14),IF(AND(ToneEnabled,ISNUMBER(TonePin),ISNUMBER(D14)),TonePin+10*LOG10(2)+D14&gt;器件参数!X14,FALSE))),"超过绝对最大输入额定值","")</f>
        <v/>
      </c>
      <c r="AN14" s="5">
        <f>IF(NOT(ISNUMBER(AN13)),"",IF(OR(NOT(器件参数!B14),器件参数!E14&lt;&gt;"mixer"),AN13,IF(AND(ISNUMBER(器件参数!T14),器件参数!T14&gt;0),IF(器件参数!U14="sum",AN13+器件参数!T14,ABS(AN13-器件参数!T14)),"")))</f>
        <v>99950000</v>
      </c>
      <c r="AO14" s="5">
        <f>IF(NOT(ISNUMBER(AO13)),"",IF(OR(NOT(器件参数!B14),器件参数!E14&lt;&gt;"mixer"),AO13,IF(AND(ISNUMBER(器件参数!T14),器件参数!T14&gt;0),IF(器件参数!U14="sum",AO13+器件参数!T14,ABS(AO13-器件参数!T14)),"")))</f>
        <v>100050000</v>
      </c>
      <c r="AP14" s="5">
        <f>IF(NOT(ISNUMBER(AP13)),"",IF(OR(NOT(器件参数!B14),器件参数!E14&lt;&gt;"mixer"),AP13,IF(AND(ISNUMBER(器件参数!T14),器件参数!T14&gt;0),IF(器件参数!U14="sum",AP13+器件参数!T14,ABS(AP13-器件参数!T14)),"")))</f>
        <v>99850000</v>
      </c>
      <c r="AQ14" s="5">
        <f>IF(NOT(ISNUMBER(AQ13)),"",IF(OR(NOT(器件参数!B14),器件参数!E14&lt;&gt;"mixer"),AQ13,IF(AND(ISNUMBER(器件参数!T14),器件参数!T14&gt;0),IF(器件参数!U14="sum",AQ13+器件参数!T14,ABS(AQ13-器件参数!T14)),"")))</f>
        <v>100150000</v>
      </c>
      <c r="AR14" s="5" t="b">
        <f>IF(NOT(AR13),FALSE,IF(NOT(器件参数!B14),TRUE,AND(COUNT(AN14:AQ14)=4,MIN(AN14:AQ14)&gt;0,IF(AND(ISNUMBER(器件参数!R14),ISNUMBER(器件参数!S14)),AND(MIN(AN13:AQ13)&gt;=器件参数!R14,MAX(AN13:AQ13)&lt;=器件参数!S14),TRUE),IF(AND(器件参数!E14="mixer",器件参数!U14="difference"),OR(器件参数!T14&lt;MIN(AN13:AQ13),器件参数!T14&gt;MAX(AN13:AQ13)),TRUE))))</f>
        <v>1</v>
      </c>
    </row>
    <row r="15" hidden="1" spans="1:44">
      <c r="A15" s="5">
        <f>器件参数!A15</f>
        <v>12</v>
      </c>
      <c r="B15" s="5" t="str">
        <f>器件参数!D15</f>
        <v/>
      </c>
      <c r="C15" s="5">
        <f>IF(NOT(器件参数!B15),0,IF(AND(ISNUMBER(器件参数!F15),ABS(器件参数!F15)&lt;=300),器件参数!F15,""))</f>
        <v>0</v>
      </c>
      <c r="D15" s="5">
        <f t="shared" si="0"/>
        <v>20</v>
      </c>
      <c r="E15" s="5">
        <f t="shared" si="1"/>
        <v>20</v>
      </c>
      <c r="F15" s="5">
        <f t="shared" si="2"/>
        <v>100</v>
      </c>
      <c r="G15" s="5">
        <f>IFERROR(IF(NOT(器件参数!B15),1,IF(NOT(OR(器件参数!E15&lt;&gt;"mixer",AND(OR(器件参数!V15="SSB",器件参数!V15="DSB"),器件参数!W15=TRUE))),"",IF(器件参数!G15="ideal",1,IF(AND(器件参数!G15="manual",ISNUMBER(器件参数!H15),器件参数!H15&gt;=0),10^(器件参数!H15/10),IF(AND(器件参数!G15="passive_thermal",OR(器件参数!E15="filter_bpf",器件参数!E15="filter_lpf",器件参数!E15="filter_hpf",器件参数!E15="filter_bsf",器件参数!E15="attenuator",器件参数!E15="cable",器件参数!E15="connector",器件参数!E15="switch",器件参数!E15="isolator",器件参数!E15="coupler",器件参数!E15="splitter"),AND(ISNUMBER(器件参数!F15),ABS(器件参数!F15)&lt;=300),器件参数!F15&lt;=0,ISNUMBER(器件参数!I15),器件参数!I15&gt;0),1+(10^(-器件参数!F15/10)-1)*器件参数!I15/Tref_K,""))))),"数值域错误")</f>
        <v>1</v>
      </c>
      <c r="H15" s="5">
        <f t="shared" si="3"/>
        <v>2.29336948552238</v>
      </c>
      <c r="I15" s="5">
        <f t="shared" si="4"/>
        <v>3.604740296957</v>
      </c>
      <c r="J15" s="5">
        <f>IF(AND(ISNUMBER(Pin_dBm),ISNUMBER(D15)),Pin_dBm+D15,"")</f>
        <v>-10</v>
      </c>
      <c r="K15" s="5">
        <f>IF(AND(ISNUMBER(Pin_dBm),ISNUMBER(E15)),Pin_dBm+E15,"")</f>
        <v>-10</v>
      </c>
      <c r="L15" s="5" t="str">
        <f>IF(AND(器件参数!J15="finite",ISNUMBER(器件参数!L15),ISNUMBER(C15)),IF(器件参数!K15="input",器件参数!L15,IF(器件参数!K15="output",器件参数!L15-C15,"")),"")</f>
        <v/>
      </c>
      <c r="M15" s="5">
        <f>IFERROR(IF(NOT(ISNUMBER(M14)),"",IF(OR(NOT(器件参数!B15),器件参数!J15="ideal"),M14,IF(AND(ISNUMBER(L15),ISNUMBER(F15)),M14+F15/10^(L15/10),""))),"数值域错误")</f>
        <v>0.2</v>
      </c>
      <c r="N15" s="5">
        <f t="shared" si="5"/>
        <v>6.98970004336019</v>
      </c>
      <c r="O15" s="5">
        <f t="shared" si="6"/>
        <v>26.9897000433602</v>
      </c>
      <c r="P15" s="5" t="str">
        <f>IF(AND(器件参数!M15="finite",ISNUMBER(器件参数!O15),ISNUMBER(C15)),IF(器件参数!N15="input",器件参数!O15,IF(器件参数!N15="actual_output",器件参数!O15-C15+1,IF(器件参数!N15="linear_output",器件参数!O15-C15,""))),"")</f>
        <v/>
      </c>
      <c r="Q15" s="5">
        <f>IF(器件参数!P15="",IF(AND(ISNUMBER(DefaultP),DefaultP&gt;=1,DefaultP&lt;=10),DefaultP,""),IF(AND(ISNUMBER(器件参数!P15),器件参数!P15&gt;=1,器件参数!P15&lt;=10),器件参数!P15,""))</f>
        <v>2</v>
      </c>
      <c r="R15" s="5">
        <f t="shared" si="7"/>
        <v>-10.0000139708288</v>
      </c>
      <c r="S15" s="5" t="str">
        <f t="shared" si="8"/>
        <v/>
      </c>
      <c r="T15" s="5">
        <f t="shared" si="9"/>
        <v>0</v>
      </c>
      <c r="U15" s="5">
        <f t="shared" si="10"/>
        <v>-10.0000139708288</v>
      </c>
      <c r="V15" s="5">
        <f>IF(AND(ISNUMBER(Pin_dBm),ISNUMBER(E15),ISNUMBER(U15)),Pin_dBm+E15-U15,"")</f>
        <v>1.39708287854035e-5</v>
      </c>
      <c r="W15" s="5" t="str">
        <f>IF(AND(器件参数!B15,X15=1,ISNUMBER(D15)),P15-D15,"")</f>
        <v/>
      </c>
      <c r="X15" s="5">
        <f>IF(NOT(ISNUMBER(C15)),-1,IF(OR(NOT(器件参数!B15),器件参数!M15="ideal"),0,IF(AND(ISNUMBER(P15),ISNUMBER(Q15)),1,-1)))</f>
        <v>0</v>
      </c>
      <c r="Y15" s="5" t="str">
        <f t="shared" si="11"/>
        <v>有效</v>
      </c>
      <c r="Z15" s="5" t="str">
        <f t="shared" si="12"/>
        <v>有效</v>
      </c>
      <c r="AA15" s="5" t="str">
        <f t="shared" si="13"/>
        <v>模型估算</v>
      </c>
      <c r="AB15" s="5">
        <f t="shared" si="14"/>
        <v>100000000</v>
      </c>
      <c r="AC15" s="5">
        <f>IF(NOT(ISNUMBER(AB15)),"",IF(OR(NOT(器件参数!B15),器件参数!E15&lt;&gt;"mixer"),AB15,IF(AND(ISNUMBER(器件参数!T15),器件参数!T15&gt;0),IF(器件参数!U15="sum",AB15+器件参数!T15,IF(器件参数!U15="difference",ABS(AB15-器件参数!T15),"")),"")))</f>
        <v>100000000</v>
      </c>
      <c r="AD15" s="5">
        <f t="shared" si="15"/>
        <v>0</v>
      </c>
      <c r="AE15" s="5">
        <f>IF(AND(ISNUMBER(G15),ISNUMBER(F15)),Tref_K*(G15-1)/F15,"")</f>
        <v>0</v>
      </c>
      <c r="AF15" s="5">
        <f>IF(AND(ISNUMBER(H15),ISNUMBER(E15),NoiseConfigOK),10*LOG10(Boltzmann*Bnoise_Hz*(Tsource_K+Tref_K*(H15-1)))+30+E15,"")</f>
        <v>-90.3704468972711</v>
      </c>
      <c r="AG15" s="5">
        <f t="shared" si="16"/>
        <v>80.3704468972711</v>
      </c>
      <c r="AH15" s="5">
        <f>IF(AND(ToneEnabled,ISNUMBER(E15),ISNUMBER(TonePin)),TonePin+E15,"")</f>
        <v>-10</v>
      </c>
      <c r="AI15" s="5">
        <f>IF(AND(ToneEnabled,ISNUMBER(E15),ISNUMBER(N15),ISNUMBER(TonePin)),3*TonePin+E15-2*N15,"")</f>
        <v>-83.9794000867204</v>
      </c>
      <c r="AJ15" s="5" t="str">
        <f t="shared" si="17"/>
        <v/>
      </c>
      <c r="AK15" s="5" t="str">
        <f>IF(NOT(器件参数!B15),"旁路",IF(NOT(ISNUMBER(AC15)),"频率未知",IF(AC15&lt;=SignalBW/2,"跨零频",IF(AND(ISNUMBER(器件参数!R15),ISNUMBER(器件参数!S15)),IF(AND(AB15-SignalBW/2&gt;=器件参数!R15,AB15+SignalBW/2&lt;=器件参数!S15),"有效","超声明通带"),"未声明通带"))))</f>
        <v>旁路</v>
      </c>
      <c r="AL15" s="5">
        <f t="shared" si="18"/>
        <v>0</v>
      </c>
      <c r="AM15" s="5" t="str">
        <f>IF(AND(器件参数!B15,ISNUMBER(器件参数!X15),OR(AND(ISNUMBER(J15),J15&gt;器件参数!X15),IF(AND(ToneEnabled,ISNUMBER(TonePin),ISNUMBER(D15)),TonePin+10*LOG10(2)+D15&gt;器件参数!X15,FALSE))),"超过绝对最大输入额定值","")</f>
        <v/>
      </c>
      <c r="AN15" s="5">
        <f>IF(NOT(ISNUMBER(AN14)),"",IF(OR(NOT(器件参数!B15),器件参数!E15&lt;&gt;"mixer"),AN14,IF(AND(ISNUMBER(器件参数!T15),器件参数!T15&gt;0),IF(器件参数!U15="sum",AN14+器件参数!T15,ABS(AN14-器件参数!T15)),"")))</f>
        <v>99950000</v>
      </c>
      <c r="AO15" s="5">
        <f>IF(NOT(ISNUMBER(AO14)),"",IF(OR(NOT(器件参数!B15),器件参数!E15&lt;&gt;"mixer"),AO14,IF(AND(ISNUMBER(器件参数!T15),器件参数!T15&gt;0),IF(器件参数!U15="sum",AO14+器件参数!T15,ABS(AO14-器件参数!T15)),"")))</f>
        <v>100050000</v>
      </c>
      <c r="AP15" s="5">
        <f>IF(NOT(ISNUMBER(AP14)),"",IF(OR(NOT(器件参数!B15),器件参数!E15&lt;&gt;"mixer"),AP14,IF(AND(ISNUMBER(器件参数!T15),器件参数!T15&gt;0),IF(器件参数!U15="sum",AP14+器件参数!T15,ABS(AP14-器件参数!T15)),"")))</f>
        <v>99850000</v>
      </c>
      <c r="AQ15" s="5">
        <f>IF(NOT(ISNUMBER(AQ14)),"",IF(OR(NOT(器件参数!B15),器件参数!E15&lt;&gt;"mixer"),AQ14,IF(AND(ISNUMBER(器件参数!T15),器件参数!T15&gt;0),IF(器件参数!U15="sum",AQ14+器件参数!T15,ABS(AQ14-器件参数!T15)),"")))</f>
        <v>100150000</v>
      </c>
      <c r="AR15" s="5" t="b">
        <f>IF(NOT(AR14),FALSE,IF(NOT(器件参数!B15),TRUE,AND(COUNT(AN15:AQ15)=4,MIN(AN15:AQ15)&gt;0,IF(AND(ISNUMBER(器件参数!R15),ISNUMBER(器件参数!S15)),AND(MIN(AN14:AQ14)&gt;=器件参数!R15,MAX(AN14:AQ14)&lt;=器件参数!S15),TRUE),IF(AND(器件参数!E15="mixer",器件参数!U15="difference"),OR(器件参数!T15&lt;MIN(AN14:AQ14),器件参数!T15&gt;MAX(AN14:AQ14)),TRUE))))</f>
        <v>1</v>
      </c>
    </row>
    <row r="16" hidden="1" spans="1:44">
      <c r="A16" s="5">
        <f>器件参数!A16</f>
        <v>13</v>
      </c>
      <c r="B16" s="5" t="str">
        <f>器件参数!D16</f>
        <v/>
      </c>
      <c r="C16" s="5">
        <f>IF(NOT(器件参数!B16),0,IF(AND(ISNUMBER(器件参数!F16),ABS(器件参数!F16)&lt;=300),器件参数!F16,""))</f>
        <v>0</v>
      </c>
      <c r="D16" s="5">
        <f t="shared" si="0"/>
        <v>20</v>
      </c>
      <c r="E16" s="5">
        <f t="shared" si="1"/>
        <v>20</v>
      </c>
      <c r="F16" s="5">
        <f t="shared" si="2"/>
        <v>100</v>
      </c>
      <c r="G16" s="5">
        <f>IFERROR(IF(NOT(器件参数!B16),1,IF(NOT(OR(器件参数!E16&lt;&gt;"mixer",AND(OR(器件参数!V16="SSB",器件参数!V16="DSB"),器件参数!W16=TRUE))),"",IF(器件参数!G16="ideal",1,IF(AND(器件参数!G16="manual",ISNUMBER(器件参数!H16),器件参数!H16&gt;=0),10^(器件参数!H16/10),IF(AND(器件参数!G16="passive_thermal",OR(器件参数!E16="filter_bpf",器件参数!E16="filter_lpf",器件参数!E16="filter_hpf",器件参数!E16="filter_bsf",器件参数!E16="attenuator",器件参数!E16="cable",器件参数!E16="connector",器件参数!E16="switch",器件参数!E16="isolator",器件参数!E16="coupler",器件参数!E16="splitter"),AND(ISNUMBER(器件参数!F16),ABS(器件参数!F16)&lt;=300),器件参数!F16&lt;=0,ISNUMBER(器件参数!I16),器件参数!I16&gt;0),1+(10^(-器件参数!F16/10)-1)*器件参数!I16/Tref_K,""))))),"数值域错误")</f>
        <v>1</v>
      </c>
      <c r="H16" s="5">
        <f t="shared" si="3"/>
        <v>2.29336948552238</v>
      </c>
      <c r="I16" s="5">
        <f t="shared" si="4"/>
        <v>3.604740296957</v>
      </c>
      <c r="J16" s="5">
        <f>IF(AND(ISNUMBER(Pin_dBm),ISNUMBER(D16)),Pin_dBm+D16,"")</f>
        <v>-10</v>
      </c>
      <c r="K16" s="5">
        <f>IF(AND(ISNUMBER(Pin_dBm),ISNUMBER(E16)),Pin_dBm+E16,"")</f>
        <v>-10</v>
      </c>
      <c r="L16" s="5" t="str">
        <f>IF(AND(器件参数!J16="finite",ISNUMBER(器件参数!L16),ISNUMBER(C16)),IF(器件参数!K16="input",器件参数!L16,IF(器件参数!K16="output",器件参数!L16-C16,"")),"")</f>
        <v/>
      </c>
      <c r="M16" s="5">
        <f>IFERROR(IF(NOT(ISNUMBER(M15)),"",IF(OR(NOT(器件参数!B16),器件参数!J16="ideal"),M15,IF(AND(ISNUMBER(L16),ISNUMBER(F16)),M15+F16/10^(L16/10),""))),"数值域错误")</f>
        <v>0.2</v>
      </c>
      <c r="N16" s="5">
        <f t="shared" si="5"/>
        <v>6.98970004336019</v>
      </c>
      <c r="O16" s="5">
        <f t="shared" si="6"/>
        <v>26.9897000433602</v>
      </c>
      <c r="P16" s="5" t="str">
        <f>IF(AND(器件参数!M16="finite",ISNUMBER(器件参数!O16),ISNUMBER(C16)),IF(器件参数!N16="input",器件参数!O16,IF(器件参数!N16="actual_output",器件参数!O16-C16+1,IF(器件参数!N16="linear_output",器件参数!O16-C16,""))),"")</f>
        <v/>
      </c>
      <c r="Q16" s="5">
        <f>IF(器件参数!P16="",IF(AND(ISNUMBER(DefaultP),DefaultP&gt;=1,DefaultP&lt;=10),DefaultP,""),IF(AND(ISNUMBER(器件参数!P16),器件参数!P16&gt;=1,器件参数!P16&lt;=10),器件参数!P16,""))</f>
        <v>2</v>
      </c>
      <c r="R16" s="5">
        <f t="shared" si="7"/>
        <v>-10.0000139708288</v>
      </c>
      <c r="S16" s="5" t="str">
        <f t="shared" si="8"/>
        <v/>
      </c>
      <c r="T16" s="5">
        <f t="shared" si="9"/>
        <v>0</v>
      </c>
      <c r="U16" s="5">
        <f t="shared" si="10"/>
        <v>-10.0000139708288</v>
      </c>
      <c r="V16" s="5">
        <f>IF(AND(ISNUMBER(Pin_dBm),ISNUMBER(E16),ISNUMBER(U16)),Pin_dBm+E16-U16,"")</f>
        <v>1.39708287854035e-5</v>
      </c>
      <c r="W16" s="5" t="str">
        <f>IF(AND(器件参数!B16,X16=1,ISNUMBER(D16)),P16-D16,"")</f>
        <v/>
      </c>
      <c r="X16" s="5">
        <f>IF(NOT(ISNUMBER(C16)),-1,IF(OR(NOT(器件参数!B16),器件参数!M16="ideal"),0,IF(AND(ISNUMBER(P16),ISNUMBER(Q16)),1,-1)))</f>
        <v>0</v>
      </c>
      <c r="Y16" s="5" t="str">
        <f t="shared" si="11"/>
        <v>有效</v>
      </c>
      <c r="Z16" s="5" t="str">
        <f t="shared" si="12"/>
        <v>有效</v>
      </c>
      <c r="AA16" s="5" t="str">
        <f t="shared" si="13"/>
        <v>模型估算</v>
      </c>
      <c r="AB16" s="5">
        <f t="shared" si="14"/>
        <v>100000000</v>
      </c>
      <c r="AC16" s="5">
        <f>IF(NOT(ISNUMBER(AB16)),"",IF(OR(NOT(器件参数!B16),器件参数!E16&lt;&gt;"mixer"),AB16,IF(AND(ISNUMBER(器件参数!T16),器件参数!T16&gt;0),IF(器件参数!U16="sum",AB16+器件参数!T16,IF(器件参数!U16="difference",ABS(AB16-器件参数!T16),"")),"")))</f>
        <v>100000000</v>
      </c>
      <c r="AD16" s="5">
        <f t="shared" si="15"/>
        <v>0</v>
      </c>
      <c r="AE16" s="5">
        <f>IF(AND(ISNUMBER(G16),ISNUMBER(F16)),Tref_K*(G16-1)/F16,"")</f>
        <v>0</v>
      </c>
      <c r="AF16" s="5">
        <f>IF(AND(ISNUMBER(H16),ISNUMBER(E16),NoiseConfigOK),10*LOG10(Boltzmann*Bnoise_Hz*(Tsource_K+Tref_K*(H16-1)))+30+E16,"")</f>
        <v>-90.3704468972711</v>
      </c>
      <c r="AG16" s="5">
        <f t="shared" si="16"/>
        <v>80.3704468972711</v>
      </c>
      <c r="AH16" s="5">
        <f>IF(AND(ToneEnabled,ISNUMBER(E16),ISNUMBER(TonePin)),TonePin+E16,"")</f>
        <v>-10</v>
      </c>
      <c r="AI16" s="5">
        <f>IF(AND(ToneEnabled,ISNUMBER(E16),ISNUMBER(N16),ISNUMBER(TonePin)),3*TonePin+E16-2*N16,"")</f>
        <v>-83.9794000867204</v>
      </c>
      <c r="AJ16" s="5" t="str">
        <f t="shared" si="17"/>
        <v/>
      </c>
      <c r="AK16" s="5" t="str">
        <f>IF(NOT(器件参数!B16),"旁路",IF(NOT(ISNUMBER(AC16)),"频率未知",IF(AC16&lt;=SignalBW/2,"跨零频",IF(AND(ISNUMBER(器件参数!R16),ISNUMBER(器件参数!S16)),IF(AND(AB16-SignalBW/2&gt;=器件参数!R16,AB16+SignalBW/2&lt;=器件参数!S16),"有效","超声明通带"),"未声明通带"))))</f>
        <v>旁路</v>
      </c>
      <c r="AL16" s="5">
        <f t="shared" si="18"/>
        <v>0</v>
      </c>
      <c r="AM16" s="5" t="str">
        <f>IF(AND(器件参数!B16,ISNUMBER(器件参数!X16),OR(AND(ISNUMBER(J16),J16&gt;器件参数!X16),IF(AND(ToneEnabled,ISNUMBER(TonePin),ISNUMBER(D16)),TonePin+10*LOG10(2)+D16&gt;器件参数!X16,FALSE))),"超过绝对最大输入额定值","")</f>
        <v/>
      </c>
      <c r="AN16" s="5">
        <f>IF(NOT(ISNUMBER(AN15)),"",IF(OR(NOT(器件参数!B16),器件参数!E16&lt;&gt;"mixer"),AN15,IF(AND(ISNUMBER(器件参数!T16),器件参数!T16&gt;0),IF(器件参数!U16="sum",AN15+器件参数!T16,ABS(AN15-器件参数!T16)),"")))</f>
        <v>99950000</v>
      </c>
      <c r="AO16" s="5">
        <f>IF(NOT(ISNUMBER(AO15)),"",IF(OR(NOT(器件参数!B16),器件参数!E16&lt;&gt;"mixer"),AO15,IF(AND(ISNUMBER(器件参数!T16),器件参数!T16&gt;0),IF(器件参数!U16="sum",AO15+器件参数!T16,ABS(AO15-器件参数!T16)),"")))</f>
        <v>100050000</v>
      </c>
      <c r="AP16" s="5">
        <f>IF(NOT(ISNUMBER(AP15)),"",IF(OR(NOT(器件参数!B16),器件参数!E16&lt;&gt;"mixer"),AP15,IF(AND(ISNUMBER(器件参数!T16),器件参数!T16&gt;0),IF(器件参数!U16="sum",AP15+器件参数!T16,ABS(AP15-器件参数!T16)),"")))</f>
        <v>99850000</v>
      </c>
      <c r="AQ16" s="5">
        <f>IF(NOT(ISNUMBER(AQ15)),"",IF(OR(NOT(器件参数!B16),器件参数!E16&lt;&gt;"mixer"),AQ15,IF(AND(ISNUMBER(器件参数!T16),器件参数!T16&gt;0),IF(器件参数!U16="sum",AQ15+器件参数!T16,ABS(AQ15-器件参数!T16)),"")))</f>
        <v>100150000</v>
      </c>
      <c r="AR16" s="5" t="b">
        <f>IF(NOT(AR15),FALSE,IF(NOT(器件参数!B16),TRUE,AND(COUNT(AN16:AQ16)=4,MIN(AN16:AQ16)&gt;0,IF(AND(ISNUMBER(器件参数!R16),ISNUMBER(器件参数!S16)),AND(MIN(AN15:AQ15)&gt;=器件参数!R16,MAX(AN15:AQ15)&lt;=器件参数!S16),TRUE),IF(AND(器件参数!E16="mixer",器件参数!U16="difference"),OR(器件参数!T16&lt;MIN(AN15:AQ15),器件参数!T16&gt;MAX(AN15:AQ15)),TRUE))))</f>
        <v>1</v>
      </c>
    </row>
    <row r="17" hidden="1" spans="1:44">
      <c r="A17" s="5">
        <f>器件参数!A17</f>
        <v>14</v>
      </c>
      <c r="B17" s="5" t="str">
        <f>器件参数!D17</f>
        <v/>
      </c>
      <c r="C17" s="5">
        <f>IF(NOT(器件参数!B17),0,IF(AND(ISNUMBER(器件参数!F17),ABS(器件参数!F17)&lt;=300),器件参数!F17,""))</f>
        <v>0</v>
      </c>
      <c r="D17" s="5">
        <f t="shared" si="0"/>
        <v>20</v>
      </c>
      <c r="E17" s="5">
        <f t="shared" si="1"/>
        <v>20</v>
      </c>
      <c r="F17" s="5">
        <f t="shared" si="2"/>
        <v>100</v>
      </c>
      <c r="G17" s="5">
        <f>IFERROR(IF(NOT(器件参数!B17),1,IF(NOT(OR(器件参数!E17&lt;&gt;"mixer",AND(OR(器件参数!V17="SSB",器件参数!V17="DSB"),器件参数!W17=TRUE))),"",IF(器件参数!G17="ideal",1,IF(AND(器件参数!G17="manual",ISNUMBER(器件参数!H17),器件参数!H17&gt;=0),10^(器件参数!H17/10),IF(AND(器件参数!G17="passive_thermal",OR(器件参数!E17="filter_bpf",器件参数!E17="filter_lpf",器件参数!E17="filter_hpf",器件参数!E17="filter_bsf",器件参数!E17="attenuator",器件参数!E17="cable",器件参数!E17="connector",器件参数!E17="switch",器件参数!E17="isolator",器件参数!E17="coupler",器件参数!E17="splitter"),AND(ISNUMBER(器件参数!F17),ABS(器件参数!F17)&lt;=300),器件参数!F17&lt;=0,ISNUMBER(器件参数!I17),器件参数!I17&gt;0),1+(10^(-器件参数!F17/10)-1)*器件参数!I17/Tref_K,""))))),"数值域错误")</f>
        <v>1</v>
      </c>
      <c r="H17" s="5">
        <f t="shared" si="3"/>
        <v>2.29336948552238</v>
      </c>
      <c r="I17" s="5">
        <f t="shared" si="4"/>
        <v>3.604740296957</v>
      </c>
      <c r="J17" s="5">
        <f>IF(AND(ISNUMBER(Pin_dBm),ISNUMBER(D17)),Pin_dBm+D17,"")</f>
        <v>-10</v>
      </c>
      <c r="K17" s="5">
        <f>IF(AND(ISNUMBER(Pin_dBm),ISNUMBER(E17)),Pin_dBm+E17,"")</f>
        <v>-10</v>
      </c>
      <c r="L17" s="5" t="str">
        <f>IF(AND(器件参数!J17="finite",ISNUMBER(器件参数!L17),ISNUMBER(C17)),IF(器件参数!K17="input",器件参数!L17,IF(器件参数!K17="output",器件参数!L17-C17,"")),"")</f>
        <v/>
      </c>
      <c r="M17" s="5">
        <f>IFERROR(IF(NOT(ISNUMBER(M16)),"",IF(OR(NOT(器件参数!B17),器件参数!J17="ideal"),M16,IF(AND(ISNUMBER(L17),ISNUMBER(F17)),M16+F17/10^(L17/10),""))),"数值域错误")</f>
        <v>0.2</v>
      </c>
      <c r="N17" s="5">
        <f t="shared" si="5"/>
        <v>6.98970004336019</v>
      </c>
      <c r="O17" s="5">
        <f t="shared" si="6"/>
        <v>26.9897000433602</v>
      </c>
      <c r="P17" s="5" t="str">
        <f>IF(AND(器件参数!M17="finite",ISNUMBER(器件参数!O17),ISNUMBER(C17)),IF(器件参数!N17="input",器件参数!O17,IF(器件参数!N17="actual_output",器件参数!O17-C17+1,IF(器件参数!N17="linear_output",器件参数!O17-C17,""))),"")</f>
        <v/>
      </c>
      <c r="Q17" s="5">
        <f>IF(器件参数!P17="",IF(AND(ISNUMBER(DefaultP),DefaultP&gt;=1,DefaultP&lt;=10),DefaultP,""),IF(AND(ISNUMBER(器件参数!P17),器件参数!P17&gt;=1,器件参数!P17&lt;=10),器件参数!P17,""))</f>
        <v>2</v>
      </c>
      <c r="R17" s="5">
        <f t="shared" si="7"/>
        <v>-10.0000139708288</v>
      </c>
      <c r="S17" s="5" t="str">
        <f t="shared" si="8"/>
        <v/>
      </c>
      <c r="T17" s="5">
        <f t="shared" si="9"/>
        <v>0</v>
      </c>
      <c r="U17" s="5">
        <f t="shared" si="10"/>
        <v>-10.0000139708288</v>
      </c>
      <c r="V17" s="5">
        <f>IF(AND(ISNUMBER(Pin_dBm),ISNUMBER(E17),ISNUMBER(U17)),Pin_dBm+E17-U17,"")</f>
        <v>1.39708287854035e-5</v>
      </c>
      <c r="W17" s="5" t="str">
        <f>IF(AND(器件参数!B17,X17=1,ISNUMBER(D17)),P17-D17,"")</f>
        <v/>
      </c>
      <c r="X17" s="5">
        <f>IF(NOT(ISNUMBER(C17)),-1,IF(OR(NOT(器件参数!B17),器件参数!M17="ideal"),0,IF(AND(ISNUMBER(P17),ISNUMBER(Q17)),1,-1)))</f>
        <v>0</v>
      </c>
      <c r="Y17" s="5" t="str">
        <f t="shared" si="11"/>
        <v>有效</v>
      </c>
      <c r="Z17" s="5" t="str">
        <f t="shared" si="12"/>
        <v>有效</v>
      </c>
      <c r="AA17" s="5" t="str">
        <f t="shared" si="13"/>
        <v>模型估算</v>
      </c>
      <c r="AB17" s="5">
        <f t="shared" si="14"/>
        <v>100000000</v>
      </c>
      <c r="AC17" s="5">
        <f>IF(NOT(ISNUMBER(AB17)),"",IF(OR(NOT(器件参数!B17),器件参数!E17&lt;&gt;"mixer"),AB17,IF(AND(ISNUMBER(器件参数!T17),器件参数!T17&gt;0),IF(器件参数!U17="sum",AB17+器件参数!T17,IF(器件参数!U17="difference",ABS(AB17-器件参数!T17),"")),"")))</f>
        <v>100000000</v>
      </c>
      <c r="AD17" s="5">
        <f t="shared" si="15"/>
        <v>0</v>
      </c>
      <c r="AE17" s="5">
        <f>IF(AND(ISNUMBER(G17),ISNUMBER(F17)),Tref_K*(G17-1)/F17,"")</f>
        <v>0</v>
      </c>
      <c r="AF17" s="5">
        <f>IF(AND(ISNUMBER(H17),ISNUMBER(E17),NoiseConfigOK),10*LOG10(Boltzmann*Bnoise_Hz*(Tsource_K+Tref_K*(H17-1)))+30+E17,"")</f>
        <v>-90.3704468972711</v>
      </c>
      <c r="AG17" s="5">
        <f t="shared" si="16"/>
        <v>80.3704468972711</v>
      </c>
      <c r="AH17" s="5">
        <f>IF(AND(ToneEnabled,ISNUMBER(E17),ISNUMBER(TonePin)),TonePin+E17,"")</f>
        <v>-10</v>
      </c>
      <c r="AI17" s="5">
        <f>IF(AND(ToneEnabled,ISNUMBER(E17),ISNUMBER(N17),ISNUMBER(TonePin)),3*TonePin+E17-2*N17,"")</f>
        <v>-83.9794000867204</v>
      </c>
      <c r="AJ17" s="5" t="str">
        <f t="shared" si="17"/>
        <v/>
      </c>
      <c r="AK17" s="5" t="str">
        <f>IF(NOT(器件参数!B17),"旁路",IF(NOT(ISNUMBER(AC17)),"频率未知",IF(AC17&lt;=SignalBW/2,"跨零频",IF(AND(ISNUMBER(器件参数!R17),ISNUMBER(器件参数!S17)),IF(AND(AB17-SignalBW/2&gt;=器件参数!R17,AB17+SignalBW/2&lt;=器件参数!S17),"有效","超声明通带"),"未声明通带"))))</f>
        <v>旁路</v>
      </c>
      <c r="AL17" s="5">
        <f t="shared" si="18"/>
        <v>0</v>
      </c>
      <c r="AM17" s="5" t="str">
        <f>IF(AND(器件参数!B17,ISNUMBER(器件参数!X17),OR(AND(ISNUMBER(J17),J17&gt;器件参数!X17),IF(AND(ToneEnabled,ISNUMBER(TonePin),ISNUMBER(D17)),TonePin+10*LOG10(2)+D17&gt;器件参数!X17,FALSE))),"超过绝对最大输入额定值","")</f>
        <v/>
      </c>
      <c r="AN17" s="5">
        <f>IF(NOT(ISNUMBER(AN16)),"",IF(OR(NOT(器件参数!B17),器件参数!E17&lt;&gt;"mixer"),AN16,IF(AND(ISNUMBER(器件参数!T17),器件参数!T17&gt;0),IF(器件参数!U17="sum",AN16+器件参数!T17,ABS(AN16-器件参数!T17)),"")))</f>
        <v>99950000</v>
      </c>
      <c r="AO17" s="5">
        <f>IF(NOT(ISNUMBER(AO16)),"",IF(OR(NOT(器件参数!B17),器件参数!E17&lt;&gt;"mixer"),AO16,IF(AND(ISNUMBER(器件参数!T17),器件参数!T17&gt;0),IF(器件参数!U17="sum",AO16+器件参数!T17,ABS(AO16-器件参数!T17)),"")))</f>
        <v>100050000</v>
      </c>
      <c r="AP17" s="5">
        <f>IF(NOT(ISNUMBER(AP16)),"",IF(OR(NOT(器件参数!B17),器件参数!E17&lt;&gt;"mixer"),AP16,IF(AND(ISNUMBER(器件参数!T17),器件参数!T17&gt;0),IF(器件参数!U17="sum",AP16+器件参数!T17,ABS(AP16-器件参数!T17)),"")))</f>
        <v>99850000</v>
      </c>
      <c r="AQ17" s="5">
        <f>IF(NOT(ISNUMBER(AQ16)),"",IF(OR(NOT(器件参数!B17),器件参数!E17&lt;&gt;"mixer"),AQ16,IF(AND(ISNUMBER(器件参数!T17),器件参数!T17&gt;0),IF(器件参数!U17="sum",AQ16+器件参数!T17,ABS(AQ16-器件参数!T17)),"")))</f>
        <v>100150000</v>
      </c>
      <c r="AR17" s="5" t="b">
        <f>IF(NOT(AR16),FALSE,IF(NOT(器件参数!B17),TRUE,AND(COUNT(AN17:AQ17)=4,MIN(AN17:AQ17)&gt;0,IF(AND(ISNUMBER(器件参数!R17),ISNUMBER(器件参数!S17)),AND(MIN(AN16:AQ16)&gt;=器件参数!R17,MAX(AN16:AQ16)&lt;=器件参数!S17),TRUE),IF(AND(器件参数!E17="mixer",器件参数!U17="difference"),OR(器件参数!T17&lt;MIN(AN16:AQ16),器件参数!T17&gt;MAX(AN16:AQ16)),TRUE))))</f>
        <v>1</v>
      </c>
    </row>
    <row r="18" hidden="1" spans="1:44">
      <c r="A18" s="5">
        <f>器件参数!A18</f>
        <v>15</v>
      </c>
      <c r="B18" s="5" t="str">
        <f>器件参数!D18</f>
        <v/>
      </c>
      <c r="C18" s="5">
        <f>IF(NOT(器件参数!B18),0,IF(AND(ISNUMBER(器件参数!F18),ABS(器件参数!F18)&lt;=300),器件参数!F18,""))</f>
        <v>0</v>
      </c>
      <c r="D18" s="5">
        <f t="shared" si="0"/>
        <v>20</v>
      </c>
      <c r="E18" s="5">
        <f t="shared" si="1"/>
        <v>20</v>
      </c>
      <c r="F18" s="5">
        <f t="shared" si="2"/>
        <v>100</v>
      </c>
      <c r="G18" s="5">
        <f>IFERROR(IF(NOT(器件参数!B18),1,IF(NOT(OR(器件参数!E18&lt;&gt;"mixer",AND(OR(器件参数!V18="SSB",器件参数!V18="DSB"),器件参数!W18=TRUE))),"",IF(器件参数!G18="ideal",1,IF(AND(器件参数!G18="manual",ISNUMBER(器件参数!H18),器件参数!H18&gt;=0),10^(器件参数!H18/10),IF(AND(器件参数!G18="passive_thermal",OR(器件参数!E18="filter_bpf",器件参数!E18="filter_lpf",器件参数!E18="filter_hpf",器件参数!E18="filter_bsf",器件参数!E18="attenuator",器件参数!E18="cable",器件参数!E18="connector",器件参数!E18="switch",器件参数!E18="isolator",器件参数!E18="coupler",器件参数!E18="splitter"),AND(ISNUMBER(器件参数!F18),ABS(器件参数!F18)&lt;=300),器件参数!F18&lt;=0,ISNUMBER(器件参数!I18),器件参数!I18&gt;0),1+(10^(-器件参数!F18/10)-1)*器件参数!I18/Tref_K,""))))),"数值域错误")</f>
        <v>1</v>
      </c>
      <c r="H18" s="5">
        <f t="shared" si="3"/>
        <v>2.29336948552238</v>
      </c>
      <c r="I18" s="5">
        <f t="shared" si="4"/>
        <v>3.604740296957</v>
      </c>
      <c r="J18" s="5">
        <f>IF(AND(ISNUMBER(Pin_dBm),ISNUMBER(D18)),Pin_dBm+D18,"")</f>
        <v>-10</v>
      </c>
      <c r="K18" s="5">
        <f>IF(AND(ISNUMBER(Pin_dBm),ISNUMBER(E18)),Pin_dBm+E18,"")</f>
        <v>-10</v>
      </c>
      <c r="L18" s="5" t="str">
        <f>IF(AND(器件参数!J18="finite",ISNUMBER(器件参数!L18),ISNUMBER(C18)),IF(器件参数!K18="input",器件参数!L18,IF(器件参数!K18="output",器件参数!L18-C18,"")),"")</f>
        <v/>
      </c>
      <c r="M18" s="5">
        <f>IFERROR(IF(NOT(ISNUMBER(M17)),"",IF(OR(NOT(器件参数!B18),器件参数!J18="ideal"),M17,IF(AND(ISNUMBER(L18),ISNUMBER(F18)),M17+F18/10^(L18/10),""))),"数值域错误")</f>
        <v>0.2</v>
      </c>
      <c r="N18" s="5">
        <f t="shared" si="5"/>
        <v>6.98970004336019</v>
      </c>
      <c r="O18" s="5">
        <f t="shared" si="6"/>
        <v>26.9897000433602</v>
      </c>
      <c r="P18" s="5" t="str">
        <f>IF(AND(器件参数!M18="finite",ISNUMBER(器件参数!O18),ISNUMBER(C18)),IF(器件参数!N18="input",器件参数!O18,IF(器件参数!N18="actual_output",器件参数!O18-C18+1,IF(器件参数!N18="linear_output",器件参数!O18-C18,""))),"")</f>
        <v/>
      </c>
      <c r="Q18" s="5">
        <f>IF(器件参数!P18="",IF(AND(ISNUMBER(DefaultP),DefaultP&gt;=1,DefaultP&lt;=10),DefaultP,""),IF(AND(ISNUMBER(器件参数!P18),器件参数!P18&gt;=1,器件参数!P18&lt;=10),器件参数!P18,""))</f>
        <v>2</v>
      </c>
      <c r="R18" s="5">
        <f t="shared" si="7"/>
        <v>-10.0000139708288</v>
      </c>
      <c r="S18" s="5" t="str">
        <f t="shared" si="8"/>
        <v/>
      </c>
      <c r="T18" s="5">
        <f t="shared" si="9"/>
        <v>0</v>
      </c>
      <c r="U18" s="5">
        <f t="shared" si="10"/>
        <v>-10.0000139708288</v>
      </c>
      <c r="V18" s="5">
        <f>IF(AND(ISNUMBER(Pin_dBm),ISNUMBER(E18),ISNUMBER(U18)),Pin_dBm+E18-U18,"")</f>
        <v>1.39708287854035e-5</v>
      </c>
      <c r="W18" s="5" t="str">
        <f>IF(AND(器件参数!B18,X18=1,ISNUMBER(D18)),P18-D18,"")</f>
        <v/>
      </c>
      <c r="X18" s="5">
        <f>IF(NOT(ISNUMBER(C18)),-1,IF(OR(NOT(器件参数!B18),器件参数!M18="ideal"),0,IF(AND(ISNUMBER(P18),ISNUMBER(Q18)),1,-1)))</f>
        <v>0</v>
      </c>
      <c r="Y18" s="5" t="str">
        <f t="shared" si="11"/>
        <v>有效</v>
      </c>
      <c r="Z18" s="5" t="str">
        <f t="shared" si="12"/>
        <v>有效</v>
      </c>
      <c r="AA18" s="5" t="str">
        <f t="shared" si="13"/>
        <v>模型估算</v>
      </c>
      <c r="AB18" s="5">
        <f t="shared" si="14"/>
        <v>100000000</v>
      </c>
      <c r="AC18" s="5">
        <f>IF(NOT(ISNUMBER(AB18)),"",IF(OR(NOT(器件参数!B18),器件参数!E18&lt;&gt;"mixer"),AB18,IF(AND(ISNUMBER(器件参数!T18),器件参数!T18&gt;0),IF(器件参数!U18="sum",AB18+器件参数!T18,IF(器件参数!U18="difference",ABS(AB18-器件参数!T18),"")),"")))</f>
        <v>100000000</v>
      </c>
      <c r="AD18" s="5">
        <f t="shared" si="15"/>
        <v>0</v>
      </c>
      <c r="AE18" s="5">
        <f>IF(AND(ISNUMBER(G18),ISNUMBER(F18)),Tref_K*(G18-1)/F18,"")</f>
        <v>0</v>
      </c>
      <c r="AF18" s="5">
        <f>IF(AND(ISNUMBER(H18),ISNUMBER(E18),NoiseConfigOK),10*LOG10(Boltzmann*Bnoise_Hz*(Tsource_K+Tref_K*(H18-1)))+30+E18,"")</f>
        <v>-90.3704468972711</v>
      </c>
      <c r="AG18" s="5">
        <f t="shared" si="16"/>
        <v>80.3704468972711</v>
      </c>
      <c r="AH18" s="5">
        <f>IF(AND(ToneEnabled,ISNUMBER(E18),ISNUMBER(TonePin)),TonePin+E18,"")</f>
        <v>-10</v>
      </c>
      <c r="AI18" s="5">
        <f>IF(AND(ToneEnabled,ISNUMBER(E18),ISNUMBER(N18),ISNUMBER(TonePin)),3*TonePin+E18-2*N18,"")</f>
        <v>-83.9794000867204</v>
      </c>
      <c r="AJ18" s="5" t="str">
        <f t="shared" si="17"/>
        <v/>
      </c>
      <c r="AK18" s="5" t="str">
        <f>IF(NOT(器件参数!B18),"旁路",IF(NOT(ISNUMBER(AC18)),"频率未知",IF(AC18&lt;=SignalBW/2,"跨零频",IF(AND(ISNUMBER(器件参数!R18),ISNUMBER(器件参数!S18)),IF(AND(AB18-SignalBW/2&gt;=器件参数!R18,AB18+SignalBW/2&lt;=器件参数!S18),"有效","超声明通带"),"未声明通带"))))</f>
        <v>旁路</v>
      </c>
      <c r="AL18" s="5">
        <f t="shared" si="18"/>
        <v>0</v>
      </c>
      <c r="AM18" s="5" t="str">
        <f>IF(AND(器件参数!B18,ISNUMBER(器件参数!X18),OR(AND(ISNUMBER(J18),J18&gt;器件参数!X18),IF(AND(ToneEnabled,ISNUMBER(TonePin),ISNUMBER(D18)),TonePin+10*LOG10(2)+D18&gt;器件参数!X18,FALSE))),"超过绝对最大输入额定值","")</f>
        <v/>
      </c>
      <c r="AN18" s="5">
        <f>IF(NOT(ISNUMBER(AN17)),"",IF(OR(NOT(器件参数!B18),器件参数!E18&lt;&gt;"mixer"),AN17,IF(AND(ISNUMBER(器件参数!T18),器件参数!T18&gt;0),IF(器件参数!U18="sum",AN17+器件参数!T18,ABS(AN17-器件参数!T18)),"")))</f>
        <v>99950000</v>
      </c>
      <c r="AO18" s="5">
        <f>IF(NOT(ISNUMBER(AO17)),"",IF(OR(NOT(器件参数!B18),器件参数!E18&lt;&gt;"mixer"),AO17,IF(AND(ISNUMBER(器件参数!T18),器件参数!T18&gt;0),IF(器件参数!U18="sum",AO17+器件参数!T18,ABS(AO17-器件参数!T18)),"")))</f>
        <v>100050000</v>
      </c>
      <c r="AP18" s="5">
        <f>IF(NOT(ISNUMBER(AP17)),"",IF(OR(NOT(器件参数!B18),器件参数!E18&lt;&gt;"mixer"),AP17,IF(AND(ISNUMBER(器件参数!T18),器件参数!T18&gt;0),IF(器件参数!U18="sum",AP17+器件参数!T18,ABS(AP17-器件参数!T18)),"")))</f>
        <v>99850000</v>
      </c>
      <c r="AQ18" s="5">
        <f>IF(NOT(ISNUMBER(AQ17)),"",IF(OR(NOT(器件参数!B18),器件参数!E18&lt;&gt;"mixer"),AQ17,IF(AND(ISNUMBER(器件参数!T18),器件参数!T18&gt;0),IF(器件参数!U18="sum",AQ17+器件参数!T18,ABS(AQ17-器件参数!T18)),"")))</f>
        <v>100150000</v>
      </c>
      <c r="AR18" s="5" t="b">
        <f>IF(NOT(AR17),FALSE,IF(NOT(器件参数!B18),TRUE,AND(COUNT(AN18:AQ18)=4,MIN(AN18:AQ18)&gt;0,IF(AND(ISNUMBER(器件参数!R18),ISNUMBER(器件参数!S18)),AND(MIN(AN17:AQ17)&gt;=器件参数!R18,MAX(AN17:AQ17)&lt;=器件参数!S18),TRUE),IF(AND(器件参数!E18="mixer",器件参数!U18="difference"),OR(器件参数!T18&lt;MIN(AN17:AQ17),器件参数!T18&gt;MAX(AN17:AQ17)),TRUE))))</f>
        <v>1</v>
      </c>
    </row>
    <row r="19" hidden="1" spans="1:44">
      <c r="A19" s="5">
        <f>器件参数!A19</f>
        <v>16</v>
      </c>
      <c r="B19" s="5" t="str">
        <f>器件参数!D19</f>
        <v/>
      </c>
      <c r="C19" s="5">
        <f>IF(NOT(器件参数!B19),0,IF(AND(ISNUMBER(器件参数!F19),ABS(器件参数!F19)&lt;=300),器件参数!F19,""))</f>
        <v>0</v>
      </c>
      <c r="D19" s="5">
        <f t="shared" si="0"/>
        <v>20</v>
      </c>
      <c r="E19" s="5">
        <f t="shared" si="1"/>
        <v>20</v>
      </c>
      <c r="F19" s="5">
        <f t="shared" si="2"/>
        <v>100</v>
      </c>
      <c r="G19" s="5">
        <f>IFERROR(IF(NOT(器件参数!B19),1,IF(NOT(OR(器件参数!E19&lt;&gt;"mixer",AND(OR(器件参数!V19="SSB",器件参数!V19="DSB"),器件参数!W19=TRUE))),"",IF(器件参数!G19="ideal",1,IF(AND(器件参数!G19="manual",ISNUMBER(器件参数!H19),器件参数!H19&gt;=0),10^(器件参数!H19/10),IF(AND(器件参数!G19="passive_thermal",OR(器件参数!E19="filter_bpf",器件参数!E19="filter_lpf",器件参数!E19="filter_hpf",器件参数!E19="filter_bsf",器件参数!E19="attenuator",器件参数!E19="cable",器件参数!E19="connector",器件参数!E19="switch",器件参数!E19="isolator",器件参数!E19="coupler",器件参数!E19="splitter"),AND(ISNUMBER(器件参数!F19),ABS(器件参数!F19)&lt;=300),器件参数!F19&lt;=0,ISNUMBER(器件参数!I19),器件参数!I19&gt;0),1+(10^(-器件参数!F19/10)-1)*器件参数!I19/Tref_K,""))))),"数值域错误")</f>
        <v>1</v>
      </c>
      <c r="H19" s="5">
        <f t="shared" si="3"/>
        <v>2.29336948552238</v>
      </c>
      <c r="I19" s="5">
        <f t="shared" si="4"/>
        <v>3.604740296957</v>
      </c>
      <c r="J19" s="5">
        <f>IF(AND(ISNUMBER(Pin_dBm),ISNUMBER(D19)),Pin_dBm+D19,"")</f>
        <v>-10</v>
      </c>
      <c r="K19" s="5">
        <f>IF(AND(ISNUMBER(Pin_dBm),ISNUMBER(E19)),Pin_dBm+E19,"")</f>
        <v>-10</v>
      </c>
      <c r="L19" s="5" t="str">
        <f>IF(AND(器件参数!J19="finite",ISNUMBER(器件参数!L19),ISNUMBER(C19)),IF(器件参数!K19="input",器件参数!L19,IF(器件参数!K19="output",器件参数!L19-C19,"")),"")</f>
        <v/>
      </c>
      <c r="M19" s="5">
        <f>IFERROR(IF(NOT(ISNUMBER(M18)),"",IF(OR(NOT(器件参数!B19),器件参数!J19="ideal"),M18,IF(AND(ISNUMBER(L19),ISNUMBER(F19)),M18+F19/10^(L19/10),""))),"数值域错误")</f>
        <v>0.2</v>
      </c>
      <c r="N19" s="5">
        <f t="shared" si="5"/>
        <v>6.98970004336019</v>
      </c>
      <c r="O19" s="5">
        <f t="shared" si="6"/>
        <v>26.9897000433602</v>
      </c>
      <c r="P19" s="5" t="str">
        <f>IF(AND(器件参数!M19="finite",ISNUMBER(器件参数!O19),ISNUMBER(C19)),IF(器件参数!N19="input",器件参数!O19,IF(器件参数!N19="actual_output",器件参数!O19-C19+1,IF(器件参数!N19="linear_output",器件参数!O19-C19,""))),"")</f>
        <v/>
      </c>
      <c r="Q19" s="5">
        <f>IF(器件参数!P19="",IF(AND(ISNUMBER(DefaultP),DefaultP&gt;=1,DefaultP&lt;=10),DefaultP,""),IF(AND(ISNUMBER(器件参数!P19),器件参数!P19&gt;=1,器件参数!P19&lt;=10),器件参数!P19,""))</f>
        <v>2</v>
      </c>
      <c r="R19" s="5">
        <f t="shared" si="7"/>
        <v>-10.0000139708288</v>
      </c>
      <c r="S19" s="5" t="str">
        <f t="shared" si="8"/>
        <v/>
      </c>
      <c r="T19" s="5">
        <f t="shared" si="9"/>
        <v>0</v>
      </c>
      <c r="U19" s="5">
        <f t="shared" si="10"/>
        <v>-10.0000139708288</v>
      </c>
      <c r="V19" s="5">
        <f>IF(AND(ISNUMBER(Pin_dBm),ISNUMBER(E19),ISNUMBER(U19)),Pin_dBm+E19-U19,"")</f>
        <v>1.39708287854035e-5</v>
      </c>
      <c r="W19" s="5" t="str">
        <f>IF(AND(器件参数!B19,X19=1,ISNUMBER(D19)),P19-D19,"")</f>
        <v/>
      </c>
      <c r="X19" s="5">
        <f>IF(NOT(ISNUMBER(C19)),-1,IF(OR(NOT(器件参数!B19),器件参数!M19="ideal"),0,IF(AND(ISNUMBER(P19),ISNUMBER(Q19)),1,-1)))</f>
        <v>0</v>
      </c>
      <c r="Y19" s="5" t="str">
        <f t="shared" si="11"/>
        <v>有效</v>
      </c>
      <c r="Z19" s="5" t="str">
        <f t="shared" si="12"/>
        <v>有效</v>
      </c>
      <c r="AA19" s="5" t="str">
        <f t="shared" si="13"/>
        <v>模型估算</v>
      </c>
      <c r="AB19" s="5">
        <f t="shared" si="14"/>
        <v>100000000</v>
      </c>
      <c r="AC19" s="5">
        <f>IF(NOT(ISNUMBER(AB19)),"",IF(OR(NOT(器件参数!B19),器件参数!E19&lt;&gt;"mixer"),AB19,IF(AND(ISNUMBER(器件参数!T19),器件参数!T19&gt;0),IF(器件参数!U19="sum",AB19+器件参数!T19,IF(器件参数!U19="difference",ABS(AB19-器件参数!T19),"")),"")))</f>
        <v>100000000</v>
      </c>
      <c r="AD19" s="5">
        <f t="shared" si="15"/>
        <v>0</v>
      </c>
      <c r="AE19" s="5">
        <f>IF(AND(ISNUMBER(G19),ISNUMBER(F19)),Tref_K*(G19-1)/F19,"")</f>
        <v>0</v>
      </c>
      <c r="AF19" s="5">
        <f>IF(AND(ISNUMBER(H19),ISNUMBER(E19),NoiseConfigOK),10*LOG10(Boltzmann*Bnoise_Hz*(Tsource_K+Tref_K*(H19-1)))+30+E19,"")</f>
        <v>-90.3704468972711</v>
      </c>
      <c r="AG19" s="5">
        <f t="shared" si="16"/>
        <v>80.3704468972711</v>
      </c>
      <c r="AH19" s="5">
        <f>IF(AND(ToneEnabled,ISNUMBER(E19),ISNUMBER(TonePin)),TonePin+E19,"")</f>
        <v>-10</v>
      </c>
      <c r="AI19" s="5">
        <f>IF(AND(ToneEnabled,ISNUMBER(E19),ISNUMBER(N19),ISNUMBER(TonePin)),3*TonePin+E19-2*N19,"")</f>
        <v>-83.9794000867204</v>
      </c>
      <c r="AJ19" s="5" t="str">
        <f t="shared" si="17"/>
        <v/>
      </c>
      <c r="AK19" s="5" t="str">
        <f>IF(NOT(器件参数!B19),"旁路",IF(NOT(ISNUMBER(AC19)),"频率未知",IF(AC19&lt;=SignalBW/2,"跨零频",IF(AND(ISNUMBER(器件参数!R19),ISNUMBER(器件参数!S19)),IF(AND(AB19-SignalBW/2&gt;=器件参数!R19,AB19+SignalBW/2&lt;=器件参数!S19),"有效","超声明通带"),"未声明通带"))))</f>
        <v>旁路</v>
      </c>
      <c r="AL19" s="5">
        <f t="shared" si="18"/>
        <v>0</v>
      </c>
      <c r="AM19" s="5" t="str">
        <f>IF(AND(器件参数!B19,ISNUMBER(器件参数!X19),OR(AND(ISNUMBER(J19),J19&gt;器件参数!X19),IF(AND(ToneEnabled,ISNUMBER(TonePin),ISNUMBER(D19)),TonePin+10*LOG10(2)+D19&gt;器件参数!X19,FALSE))),"超过绝对最大输入额定值","")</f>
        <v/>
      </c>
      <c r="AN19" s="5">
        <f>IF(NOT(ISNUMBER(AN18)),"",IF(OR(NOT(器件参数!B19),器件参数!E19&lt;&gt;"mixer"),AN18,IF(AND(ISNUMBER(器件参数!T19),器件参数!T19&gt;0),IF(器件参数!U19="sum",AN18+器件参数!T19,ABS(AN18-器件参数!T19)),"")))</f>
        <v>99950000</v>
      </c>
      <c r="AO19" s="5">
        <f>IF(NOT(ISNUMBER(AO18)),"",IF(OR(NOT(器件参数!B19),器件参数!E19&lt;&gt;"mixer"),AO18,IF(AND(ISNUMBER(器件参数!T19),器件参数!T19&gt;0),IF(器件参数!U19="sum",AO18+器件参数!T19,ABS(AO18-器件参数!T19)),"")))</f>
        <v>100050000</v>
      </c>
      <c r="AP19" s="5">
        <f>IF(NOT(ISNUMBER(AP18)),"",IF(OR(NOT(器件参数!B19),器件参数!E19&lt;&gt;"mixer"),AP18,IF(AND(ISNUMBER(器件参数!T19),器件参数!T19&gt;0),IF(器件参数!U19="sum",AP18+器件参数!T19,ABS(AP18-器件参数!T19)),"")))</f>
        <v>99850000</v>
      </c>
      <c r="AQ19" s="5">
        <f>IF(NOT(ISNUMBER(AQ18)),"",IF(OR(NOT(器件参数!B19),器件参数!E19&lt;&gt;"mixer"),AQ18,IF(AND(ISNUMBER(器件参数!T19),器件参数!T19&gt;0),IF(器件参数!U19="sum",AQ18+器件参数!T19,ABS(AQ18-器件参数!T19)),"")))</f>
        <v>100150000</v>
      </c>
      <c r="AR19" s="5" t="b">
        <f>IF(NOT(AR18),FALSE,IF(NOT(器件参数!B19),TRUE,AND(COUNT(AN19:AQ19)=4,MIN(AN19:AQ19)&gt;0,IF(AND(ISNUMBER(器件参数!R19),ISNUMBER(器件参数!S19)),AND(MIN(AN18:AQ18)&gt;=器件参数!R19,MAX(AN18:AQ18)&lt;=器件参数!S19),TRUE),IF(AND(器件参数!E19="mixer",器件参数!U19="difference"),OR(器件参数!T19&lt;MIN(AN18:AQ18),器件参数!T19&gt;MAX(AN18:AQ18)),TRUE))))</f>
        <v>1</v>
      </c>
    </row>
    <row r="20" hidden="1" spans="1:44">
      <c r="A20" s="5">
        <f>器件参数!A20</f>
        <v>17</v>
      </c>
      <c r="B20" s="5" t="str">
        <f>器件参数!D20</f>
        <v/>
      </c>
      <c r="C20" s="5">
        <f>IF(NOT(器件参数!B20),0,IF(AND(ISNUMBER(器件参数!F20),ABS(器件参数!F20)&lt;=300),器件参数!F20,""))</f>
        <v>0</v>
      </c>
      <c r="D20" s="5">
        <f t="shared" si="0"/>
        <v>20</v>
      </c>
      <c r="E20" s="5">
        <f t="shared" si="1"/>
        <v>20</v>
      </c>
      <c r="F20" s="5">
        <f t="shared" si="2"/>
        <v>100</v>
      </c>
      <c r="G20" s="5">
        <f>IFERROR(IF(NOT(器件参数!B20),1,IF(NOT(OR(器件参数!E20&lt;&gt;"mixer",AND(OR(器件参数!V20="SSB",器件参数!V20="DSB"),器件参数!W20=TRUE))),"",IF(器件参数!G20="ideal",1,IF(AND(器件参数!G20="manual",ISNUMBER(器件参数!H20),器件参数!H20&gt;=0),10^(器件参数!H20/10),IF(AND(器件参数!G20="passive_thermal",OR(器件参数!E20="filter_bpf",器件参数!E20="filter_lpf",器件参数!E20="filter_hpf",器件参数!E20="filter_bsf",器件参数!E20="attenuator",器件参数!E20="cable",器件参数!E20="connector",器件参数!E20="switch",器件参数!E20="isolator",器件参数!E20="coupler",器件参数!E20="splitter"),AND(ISNUMBER(器件参数!F20),ABS(器件参数!F20)&lt;=300),器件参数!F20&lt;=0,ISNUMBER(器件参数!I20),器件参数!I20&gt;0),1+(10^(-器件参数!F20/10)-1)*器件参数!I20/Tref_K,""))))),"数值域错误")</f>
        <v>1</v>
      </c>
      <c r="H20" s="5">
        <f t="shared" si="3"/>
        <v>2.29336948552238</v>
      </c>
      <c r="I20" s="5">
        <f t="shared" si="4"/>
        <v>3.604740296957</v>
      </c>
      <c r="J20" s="5">
        <f>IF(AND(ISNUMBER(Pin_dBm),ISNUMBER(D20)),Pin_dBm+D20,"")</f>
        <v>-10</v>
      </c>
      <c r="K20" s="5">
        <f>IF(AND(ISNUMBER(Pin_dBm),ISNUMBER(E20)),Pin_dBm+E20,"")</f>
        <v>-10</v>
      </c>
      <c r="L20" s="5" t="str">
        <f>IF(AND(器件参数!J20="finite",ISNUMBER(器件参数!L20),ISNUMBER(C20)),IF(器件参数!K20="input",器件参数!L20,IF(器件参数!K20="output",器件参数!L20-C20,"")),"")</f>
        <v/>
      </c>
      <c r="M20" s="5">
        <f>IFERROR(IF(NOT(ISNUMBER(M19)),"",IF(OR(NOT(器件参数!B20),器件参数!J20="ideal"),M19,IF(AND(ISNUMBER(L20),ISNUMBER(F20)),M19+F20/10^(L20/10),""))),"数值域错误")</f>
        <v>0.2</v>
      </c>
      <c r="N20" s="5">
        <f t="shared" si="5"/>
        <v>6.98970004336019</v>
      </c>
      <c r="O20" s="5">
        <f t="shared" si="6"/>
        <v>26.9897000433602</v>
      </c>
      <c r="P20" s="5" t="str">
        <f>IF(AND(器件参数!M20="finite",ISNUMBER(器件参数!O20),ISNUMBER(C20)),IF(器件参数!N20="input",器件参数!O20,IF(器件参数!N20="actual_output",器件参数!O20-C20+1,IF(器件参数!N20="linear_output",器件参数!O20-C20,""))),"")</f>
        <v/>
      </c>
      <c r="Q20" s="5">
        <f>IF(器件参数!P20="",IF(AND(ISNUMBER(DefaultP),DefaultP&gt;=1,DefaultP&lt;=10),DefaultP,""),IF(AND(ISNUMBER(器件参数!P20),器件参数!P20&gt;=1,器件参数!P20&lt;=10),器件参数!P20,""))</f>
        <v>2</v>
      </c>
      <c r="R20" s="5">
        <f t="shared" si="7"/>
        <v>-10.0000139708288</v>
      </c>
      <c r="S20" s="5" t="str">
        <f t="shared" si="8"/>
        <v/>
      </c>
      <c r="T20" s="5">
        <f t="shared" si="9"/>
        <v>0</v>
      </c>
      <c r="U20" s="5">
        <f t="shared" si="10"/>
        <v>-10.0000139708288</v>
      </c>
      <c r="V20" s="5">
        <f>IF(AND(ISNUMBER(Pin_dBm),ISNUMBER(E20),ISNUMBER(U20)),Pin_dBm+E20-U20,"")</f>
        <v>1.39708287854035e-5</v>
      </c>
      <c r="W20" s="5" t="str">
        <f>IF(AND(器件参数!B20,X20=1,ISNUMBER(D20)),P20-D20,"")</f>
        <v/>
      </c>
      <c r="X20" s="5">
        <f>IF(NOT(ISNUMBER(C20)),-1,IF(OR(NOT(器件参数!B20),器件参数!M20="ideal"),0,IF(AND(ISNUMBER(P20),ISNUMBER(Q20)),1,-1)))</f>
        <v>0</v>
      </c>
      <c r="Y20" s="5" t="str">
        <f t="shared" si="11"/>
        <v>有效</v>
      </c>
      <c r="Z20" s="5" t="str">
        <f t="shared" si="12"/>
        <v>有效</v>
      </c>
      <c r="AA20" s="5" t="str">
        <f t="shared" si="13"/>
        <v>模型估算</v>
      </c>
      <c r="AB20" s="5">
        <f t="shared" si="14"/>
        <v>100000000</v>
      </c>
      <c r="AC20" s="5">
        <f>IF(NOT(ISNUMBER(AB20)),"",IF(OR(NOT(器件参数!B20),器件参数!E20&lt;&gt;"mixer"),AB20,IF(AND(ISNUMBER(器件参数!T20),器件参数!T20&gt;0),IF(器件参数!U20="sum",AB20+器件参数!T20,IF(器件参数!U20="difference",ABS(AB20-器件参数!T20),"")),"")))</f>
        <v>100000000</v>
      </c>
      <c r="AD20" s="5">
        <f t="shared" si="15"/>
        <v>0</v>
      </c>
      <c r="AE20" s="5">
        <f>IF(AND(ISNUMBER(G20),ISNUMBER(F20)),Tref_K*(G20-1)/F20,"")</f>
        <v>0</v>
      </c>
      <c r="AF20" s="5">
        <f>IF(AND(ISNUMBER(H20),ISNUMBER(E20),NoiseConfigOK),10*LOG10(Boltzmann*Bnoise_Hz*(Tsource_K+Tref_K*(H20-1)))+30+E20,"")</f>
        <v>-90.3704468972711</v>
      </c>
      <c r="AG20" s="5">
        <f t="shared" si="16"/>
        <v>80.3704468972711</v>
      </c>
      <c r="AH20" s="5">
        <f>IF(AND(ToneEnabled,ISNUMBER(E20),ISNUMBER(TonePin)),TonePin+E20,"")</f>
        <v>-10</v>
      </c>
      <c r="AI20" s="5">
        <f>IF(AND(ToneEnabled,ISNUMBER(E20),ISNUMBER(N20),ISNUMBER(TonePin)),3*TonePin+E20-2*N20,"")</f>
        <v>-83.9794000867204</v>
      </c>
      <c r="AJ20" s="5" t="str">
        <f t="shared" si="17"/>
        <v/>
      </c>
      <c r="AK20" s="5" t="str">
        <f>IF(NOT(器件参数!B20),"旁路",IF(NOT(ISNUMBER(AC20)),"频率未知",IF(AC20&lt;=SignalBW/2,"跨零频",IF(AND(ISNUMBER(器件参数!R20),ISNUMBER(器件参数!S20)),IF(AND(AB20-SignalBW/2&gt;=器件参数!R20,AB20+SignalBW/2&lt;=器件参数!S20),"有效","超声明通带"),"未声明通带"))))</f>
        <v>旁路</v>
      </c>
      <c r="AL20" s="5">
        <f t="shared" si="18"/>
        <v>0</v>
      </c>
      <c r="AM20" s="5" t="str">
        <f>IF(AND(器件参数!B20,ISNUMBER(器件参数!X20),OR(AND(ISNUMBER(J20),J20&gt;器件参数!X20),IF(AND(ToneEnabled,ISNUMBER(TonePin),ISNUMBER(D20)),TonePin+10*LOG10(2)+D20&gt;器件参数!X20,FALSE))),"超过绝对最大输入额定值","")</f>
        <v/>
      </c>
      <c r="AN20" s="5">
        <f>IF(NOT(ISNUMBER(AN19)),"",IF(OR(NOT(器件参数!B20),器件参数!E20&lt;&gt;"mixer"),AN19,IF(AND(ISNUMBER(器件参数!T20),器件参数!T20&gt;0),IF(器件参数!U20="sum",AN19+器件参数!T20,ABS(AN19-器件参数!T20)),"")))</f>
        <v>99950000</v>
      </c>
      <c r="AO20" s="5">
        <f>IF(NOT(ISNUMBER(AO19)),"",IF(OR(NOT(器件参数!B20),器件参数!E20&lt;&gt;"mixer"),AO19,IF(AND(ISNUMBER(器件参数!T20),器件参数!T20&gt;0),IF(器件参数!U20="sum",AO19+器件参数!T20,ABS(AO19-器件参数!T20)),"")))</f>
        <v>100050000</v>
      </c>
      <c r="AP20" s="5">
        <f>IF(NOT(ISNUMBER(AP19)),"",IF(OR(NOT(器件参数!B20),器件参数!E20&lt;&gt;"mixer"),AP19,IF(AND(ISNUMBER(器件参数!T20),器件参数!T20&gt;0),IF(器件参数!U20="sum",AP19+器件参数!T20,ABS(AP19-器件参数!T20)),"")))</f>
        <v>99850000</v>
      </c>
      <c r="AQ20" s="5">
        <f>IF(NOT(ISNUMBER(AQ19)),"",IF(OR(NOT(器件参数!B20),器件参数!E20&lt;&gt;"mixer"),AQ19,IF(AND(ISNUMBER(器件参数!T20),器件参数!T20&gt;0),IF(器件参数!U20="sum",AQ19+器件参数!T20,ABS(AQ19-器件参数!T20)),"")))</f>
        <v>100150000</v>
      </c>
      <c r="AR20" s="5" t="b">
        <f>IF(NOT(AR19),FALSE,IF(NOT(器件参数!B20),TRUE,AND(COUNT(AN20:AQ20)=4,MIN(AN20:AQ20)&gt;0,IF(AND(ISNUMBER(器件参数!R20),ISNUMBER(器件参数!S20)),AND(MIN(AN19:AQ19)&gt;=器件参数!R20,MAX(AN19:AQ19)&lt;=器件参数!S20),TRUE),IF(AND(器件参数!E20="mixer",器件参数!U20="difference"),OR(器件参数!T20&lt;MIN(AN19:AQ19),器件参数!T20&gt;MAX(AN19:AQ19)),TRUE))))</f>
        <v>1</v>
      </c>
    </row>
    <row r="21" hidden="1" spans="1:44">
      <c r="A21" s="5">
        <f>器件参数!A21</f>
        <v>18</v>
      </c>
      <c r="B21" s="5" t="str">
        <f>器件参数!D21</f>
        <v/>
      </c>
      <c r="C21" s="5">
        <f>IF(NOT(器件参数!B21),0,IF(AND(ISNUMBER(器件参数!F21),ABS(器件参数!F21)&lt;=300),器件参数!F21,""))</f>
        <v>0</v>
      </c>
      <c r="D21" s="5">
        <f t="shared" si="0"/>
        <v>20</v>
      </c>
      <c r="E21" s="5">
        <f t="shared" si="1"/>
        <v>20</v>
      </c>
      <c r="F21" s="5">
        <f t="shared" si="2"/>
        <v>100</v>
      </c>
      <c r="G21" s="5">
        <f>IFERROR(IF(NOT(器件参数!B21),1,IF(NOT(OR(器件参数!E21&lt;&gt;"mixer",AND(OR(器件参数!V21="SSB",器件参数!V21="DSB"),器件参数!W21=TRUE))),"",IF(器件参数!G21="ideal",1,IF(AND(器件参数!G21="manual",ISNUMBER(器件参数!H21),器件参数!H21&gt;=0),10^(器件参数!H21/10),IF(AND(器件参数!G21="passive_thermal",OR(器件参数!E21="filter_bpf",器件参数!E21="filter_lpf",器件参数!E21="filter_hpf",器件参数!E21="filter_bsf",器件参数!E21="attenuator",器件参数!E21="cable",器件参数!E21="connector",器件参数!E21="switch",器件参数!E21="isolator",器件参数!E21="coupler",器件参数!E21="splitter"),AND(ISNUMBER(器件参数!F21),ABS(器件参数!F21)&lt;=300),器件参数!F21&lt;=0,ISNUMBER(器件参数!I21),器件参数!I21&gt;0),1+(10^(-器件参数!F21/10)-1)*器件参数!I21/Tref_K,""))))),"数值域错误")</f>
        <v>1</v>
      </c>
      <c r="H21" s="5">
        <f t="shared" si="3"/>
        <v>2.29336948552238</v>
      </c>
      <c r="I21" s="5">
        <f t="shared" si="4"/>
        <v>3.604740296957</v>
      </c>
      <c r="J21" s="5">
        <f>IF(AND(ISNUMBER(Pin_dBm),ISNUMBER(D21)),Pin_dBm+D21,"")</f>
        <v>-10</v>
      </c>
      <c r="K21" s="5">
        <f>IF(AND(ISNUMBER(Pin_dBm),ISNUMBER(E21)),Pin_dBm+E21,"")</f>
        <v>-10</v>
      </c>
      <c r="L21" s="5" t="str">
        <f>IF(AND(器件参数!J21="finite",ISNUMBER(器件参数!L21),ISNUMBER(C21)),IF(器件参数!K21="input",器件参数!L21,IF(器件参数!K21="output",器件参数!L21-C21,"")),"")</f>
        <v/>
      </c>
      <c r="M21" s="5">
        <f>IFERROR(IF(NOT(ISNUMBER(M20)),"",IF(OR(NOT(器件参数!B21),器件参数!J21="ideal"),M20,IF(AND(ISNUMBER(L21),ISNUMBER(F21)),M20+F21/10^(L21/10),""))),"数值域错误")</f>
        <v>0.2</v>
      </c>
      <c r="N21" s="5">
        <f t="shared" si="5"/>
        <v>6.98970004336019</v>
      </c>
      <c r="O21" s="5">
        <f t="shared" si="6"/>
        <v>26.9897000433602</v>
      </c>
      <c r="P21" s="5" t="str">
        <f>IF(AND(器件参数!M21="finite",ISNUMBER(器件参数!O21),ISNUMBER(C21)),IF(器件参数!N21="input",器件参数!O21,IF(器件参数!N21="actual_output",器件参数!O21-C21+1,IF(器件参数!N21="linear_output",器件参数!O21-C21,""))),"")</f>
        <v/>
      </c>
      <c r="Q21" s="5">
        <f>IF(器件参数!P21="",IF(AND(ISNUMBER(DefaultP),DefaultP&gt;=1,DefaultP&lt;=10),DefaultP,""),IF(AND(ISNUMBER(器件参数!P21),器件参数!P21&gt;=1,器件参数!P21&lt;=10),器件参数!P21,""))</f>
        <v>2</v>
      </c>
      <c r="R21" s="5">
        <f t="shared" si="7"/>
        <v>-10.0000139708288</v>
      </c>
      <c r="S21" s="5" t="str">
        <f t="shared" si="8"/>
        <v/>
      </c>
      <c r="T21" s="5">
        <f t="shared" si="9"/>
        <v>0</v>
      </c>
      <c r="U21" s="5">
        <f t="shared" si="10"/>
        <v>-10.0000139708288</v>
      </c>
      <c r="V21" s="5">
        <f>IF(AND(ISNUMBER(Pin_dBm),ISNUMBER(E21),ISNUMBER(U21)),Pin_dBm+E21-U21,"")</f>
        <v>1.39708287854035e-5</v>
      </c>
      <c r="W21" s="5" t="str">
        <f>IF(AND(器件参数!B21,X21=1,ISNUMBER(D21)),P21-D21,"")</f>
        <v/>
      </c>
      <c r="X21" s="5">
        <f>IF(NOT(ISNUMBER(C21)),-1,IF(OR(NOT(器件参数!B21),器件参数!M21="ideal"),0,IF(AND(ISNUMBER(P21),ISNUMBER(Q21)),1,-1)))</f>
        <v>0</v>
      </c>
      <c r="Y21" s="5" t="str">
        <f t="shared" si="11"/>
        <v>有效</v>
      </c>
      <c r="Z21" s="5" t="str">
        <f t="shared" si="12"/>
        <v>有效</v>
      </c>
      <c r="AA21" s="5" t="str">
        <f t="shared" si="13"/>
        <v>模型估算</v>
      </c>
      <c r="AB21" s="5">
        <f t="shared" si="14"/>
        <v>100000000</v>
      </c>
      <c r="AC21" s="5">
        <f>IF(NOT(ISNUMBER(AB21)),"",IF(OR(NOT(器件参数!B21),器件参数!E21&lt;&gt;"mixer"),AB21,IF(AND(ISNUMBER(器件参数!T21),器件参数!T21&gt;0),IF(器件参数!U21="sum",AB21+器件参数!T21,IF(器件参数!U21="difference",ABS(AB21-器件参数!T21),"")),"")))</f>
        <v>100000000</v>
      </c>
      <c r="AD21" s="5">
        <f t="shared" si="15"/>
        <v>0</v>
      </c>
      <c r="AE21" s="5">
        <f>IF(AND(ISNUMBER(G21),ISNUMBER(F21)),Tref_K*(G21-1)/F21,"")</f>
        <v>0</v>
      </c>
      <c r="AF21" s="5">
        <f>IF(AND(ISNUMBER(H21),ISNUMBER(E21),NoiseConfigOK),10*LOG10(Boltzmann*Bnoise_Hz*(Tsource_K+Tref_K*(H21-1)))+30+E21,"")</f>
        <v>-90.3704468972711</v>
      </c>
      <c r="AG21" s="5">
        <f t="shared" si="16"/>
        <v>80.3704468972711</v>
      </c>
      <c r="AH21" s="5">
        <f>IF(AND(ToneEnabled,ISNUMBER(E21),ISNUMBER(TonePin)),TonePin+E21,"")</f>
        <v>-10</v>
      </c>
      <c r="AI21" s="5">
        <f>IF(AND(ToneEnabled,ISNUMBER(E21),ISNUMBER(N21),ISNUMBER(TonePin)),3*TonePin+E21-2*N21,"")</f>
        <v>-83.9794000867204</v>
      </c>
      <c r="AJ21" s="5" t="str">
        <f t="shared" si="17"/>
        <v/>
      </c>
      <c r="AK21" s="5" t="str">
        <f>IF(NOT(器件参数!B21),"旁路",IF(NOT(ISNUMBER(AC21)),"频率未知",IF(AC21&lt;=SignalBW/2,"跨零频",IF(AND(ISNUMBER(器件参数!R21),ISNUMBER(器件参数!S21)),IF(AND(AB21-SignalBW/2&gt;=器件参数!R21,AB21+SignalBW/2&lt;=器件参数!S21),"有效","超声明通带"),"未声明通带"))))</f>
        <v>旁路</v>
      </c>
      <c r="AL21" s="5">
        <f t="shared" si="18"/>
        <v>0</v>
      </c>
      <c r="AM21" s="5" t="str">
        <f>IF(AND(器件参数!B21,ISNUMBER(器件参数!X21),OR(AND(ISNUMBER(J21),J21&gt;器件参数!X21),IF(AND(ToneEnabled,ISNUMBER(TonePin),ISNUMBER(D21)),TonePin+10*LOG10(2)+D21&gt;器件参数!X21,FALSE))),"超过绝对最大输入额定值","")</f>
        <v/>
      </c>
      <c r="AN21" s="5">
        <f>IF(NOT(ISNUMBER(AN20)),"",IF(OR(NOT(器件参数!B21),器件参数!E21&lt;&gt;"mixer"),AN20,IF(AND(ISNUMBER(器件参数!T21),器件参数!T21&gt;0),IF(器件参数!U21="sum",AN20+器件参数!T21,ABS(AN20-器件参数!T21)),"")))</f>
        <v>99950000</v>
      </c>
      <c r="AO21" s="5">
        <f>IF(NOT(ISNUMBER(AO20)),"",IF(OR(NOT(器件参数!B21),器件参数!E21&lt;&gt;"mixer"),AO20,IF(AND(ISNUMBER(器件参数!T21),器件参数!T21&gt;0),IF(器件参数!U21="sum",AO20+器件参数!T21,ABS(AO20-器件参数!T21)),"")))</f>
        <v>100050000</v>
      </c>
      <c r="AP21" s="5">
        <f>IF(NOT(ISNUMBER(AP20)),"",IF(OR(NOT(器件参数!B21),器件参数!E21&lt;&gt;"mixer"),AP20,IF(AND(ISNUMBER(器件参数!T21),器件参数!T21&gt;0),IF(器件参数!U21="sum",AP20+器件参数!T21,ABS(AP20-器件参数!T21)),"")))</f>
        <v>99850000</v>
      </c>
      <c r="AQ21" s="5">
        <f>IF(NOT(ISNUMBER(AQ20)),"",IF(OR(NOT(器件参数!B21),器件参数!E21&lt;&gt;"mixer"),AQ20,IF(AND(ISNUMBER(器件参数!T21),器件参数!T21&gt;0),IF(器件参数!U21="sum",AQ20+器件参数!T21,ABS(AQ20-器件参数!T21)),"")))</f>
        <v>100150000</v>
      </c>
      <c r="AR21" s="5" t="b">
        <f>IF(NOT(AR20),FALSE,IF(NOT(器件参数!B21),TRUE,AND(COUNT(AN21:AQ21)=4,MIN(AN21:AQ21)&gt;0,IF(AND(ISNUMBER(器件参数!R21),ISNUMBER(器件参数!S21)),AND(MIN(AN20:AQ20)&gt;=器件参数!R21,MAX(AN20:AQ20)&lt;=器件参数!S21),TRUE),IF(AND(器件参数!E21="mixer",器件参数!U21="difference"),OR(器件参数!T21&lt;MIN(AN20:AQ20),器件参数!T21&gt;MAX(AN20:AQ20)),TRUE))))</f>
        <v>1</v>
      </c>
    </row>
    <row r="22" hidden="1" spans="1:44">
      <c r="A22" s="5">
        <f>器件参数!A22</f>
        <v>19</v>
      </c>
      <c r="B22" s="5" t="str">
        <f>器件参数!D22</f>
        <v/>
      </c>
      <c r="C22" s="5">
        <f>IF(NOT(器件参数!B22),0,IF(AND(ISNUMBER(器件参数!F22),ABS(器件参数!F22)&lt;=300),器件参数!F22,""))</f>
        <v>0</v>
      </c>
      <c r="D22" s="5">
        <f t="shared" si="0"/>
        <v>20</v>
      </c>
      <c r="E22" s="5">
        <f t="shared" si="1"/>
        <v>20</v>
      </c>
      <c r="F22" s="5">
        <f t="shared" si="2"/>
        <v>100</v>
      </c>
      <c r="G22" s="5">
        <f>IFERROR(IF(NOT(器件参数!B22),1,IF(NOT(OR(器件参数!E22&lt;&gt;"mixer",AND(OR(器件参数!V22="SSB",器件参数!V22="DSB"),器件参数!W22=TRUE))),"",IF(器件参数!G22="ideal",1,IF(AND(器件参数!G22="manual",ISNUMBER(器件参数!H22),器件参数!H22&gt;=0),10^(器件参数!H22/10),IF(AND(器件参数!G22="passive_thermal",OR(器件参数!E22="filter_bpf",器件参数!E22="filter_lpf",器件参数!E22="filter_hpf",器件参数!E22="filter_bsf",器件参数!E22="attenuator",器件参数!E22="cable",器件参数!E22="connector",器件参数!E22="switch",器件参数!E22="isolator",器件参数!E22="coupler",器件参数!E22="splitter"),AND(ISNUMBER(器件参数!F22),ABS(器件参数!F22)&lt;=300),器件参数!F22&lt;=0,ISNUMBER(器件参数!I22),器件参数!I22&gt;0),1+(10^(-器件参数!F22/10)-1)*器件参数!I22/Tref_K,""))))),"数值域错误")</f>
        <v>1</v>
      </c>
      <c r="H22" s="5">
        <f t="shared" si="3"/>
        <v>2.29336948552238</v>
      </c>
      <c r="I22" s="5">
        <f t="shared" si="4"/>
        <v>3.604740296957</v>
      </c>
      <c r="J22" s="5">
        <f>IF(AND(ISNUMBER(Pin_dBm),ISNUMBER(D22)),Pin_dBm+D22,"")</f>
        <v>-10</v>
      </c>
      <c r="K22" s="5">
        <f>IF(AND(ISNUMBER(Pin_dBm),ISNUMBER(E22)),Pin_dBm+E22,"")</f>
        <v>-10</v>
      </c>
      <c r="L22" s="5" t="str">
        <f>IF(AND(器件参数!J22="finite",ISNUMBER(器件参数!L22),ISNUMBER(C22)),IF(器件参数!K22="input",器件参数!L22,IF(器件参数!K22="output",器件参数!L22-C22,"")),"")</f>
        <v/>
      </c>
      <c r="M22" s="5">
        <f>IFERROR(IF(NOT(ISNUMBER(M21)),"",IF(OR(NOT(器件参数!B22),器件参数!J22="ideal"),M21,IF(AND(ISNUMBER(L22),ISNUMBER(F22)),M21+F22/10^(L22/10),""))),"数值域错误")</f>
        <v>0.2</v>
      </c>
      <c r="N22" s="5">
        <f t="shared" si="5"/>
        <v>6.98970004336019</v>
      </c>
      <c r="O22" s="5">
        <f t="shared" si="6"/>
        <v>26.9897000433602</v>
      </c>
      <c r="P22" s="5" t="str">
        <f>IF(AND(器件参数!M22="finite",ISNUMBER(器件参数!O22),ISNUMBER(C22)),IF(器件参数!N22="input",器件参数!O22,IF(器件参数!N22="actual_output",器件参数!O22-C22+1,IF(器件参数!N22="linear_output",器件参数!O22-C22,""))),"")</f>
        <v/>
      </c>
      <c r="Q22" s="5">
        <f>IF(器件参数!P22="",IF(AND(ISNUMBER(DefaultP),DefaultP&gt;=1,DefaultP&lt;=10),DefaultP,""),IF(AND(ISNUMBER(器件参数!P22),器件参数!P22&gt;=1,器件参数!P22&lt;=10),器件参数!P22,""))</f>
        <v>2</v>
      </c>
      <c r="R22" s="5">
        <f t="shared" si="7"/>
        <v>-10.0000139708288</v>
      </c>
      <c r="S22" s="5" t="str">
        <f t="shared" si="8"/>
        <v/>
      </c>
      <c r="T22" s="5">
        <f t="shared" si="9"/>
        <v>0</v>
      </c>
      <c r="U22" s="5">
        <f t="shared" si="10"/>
        <v>-10.0000139708288</v>
      </c>
      <c r="V22" s="5">
        <f>IF(AND(ISNUMBER(Pin_dBm),ISNUMBER(E22),ISNUMBER(U22)),Pin_dBm+E22-U22,"")</f>
        <v>1.39708287854035e-5</v>
      </c>
      <c r="W22" s="5" t="str">
        <f>IF(AND(器件参数!B22,X22=1,ISNUMBER(D22)),P22-D22,"")</f>
        <v/>
      </c>
      <c r="X22" s="5">
        <f>IF(NOT(ISNUMBER(C22)),-1,IF(OR(NOT(器件参数!B22),器件参数!M22="ideal"),0,IF(AND(ISNUMBER(P22),ISNUMBER(Q22)),1,-1)))</f>
        <v>0</v>
      </c>
      <c r="Y22" s="5" t="str">
        <f t="shared" si="11"/>
        <v>有效</v>
      </c>
      <c r="Z22" s="5" t="str">
        <f t="shared" si="12"/>
        <v>有效</v>
      </c>
      <c r="AA22" s="5" t="str">
        <f t="shared" si="13"/>
        <v>模型估算</v>
      </c>
      <c r="AB22" s="5">
        <f t="shared" si="14"/>
        <v>100000000</v>
      </c>
      <c r="AC22" s="5">
        <f>IF(NOT(ISNUMBER(AB22)),"",IF(OR(NOT(器件参数!B22),器件参数!E22&lt;&gt;"mixer"),AB22,IF(AND(ISNUMBER(器件参数!T22),器件参数!T22&gt;0),IF(器件参数!U22="sum",AB22+器件参数!T22,IF(器件参数!U22="difference",ABS(AB22-器件参数!T22),"")),"")))</f>
        <v>100000000</v>
      </c>
      <c r="AD22" s="5">
        <f t="shared" si="15"/>
        <v>0</v>
      </c>
      <c r="AE22" s="5">
        <f>IF(AND(ISNUMBER(G22),ISNUMBER(F22)),Tref_K*(G22-1)/F22,"")</f>
        <v>0</v>
      </c>
      <c r="AF22" s="5">
        <f>IF(AND(ISNUMBER(H22),ISNUMBER(E22),NoiseConfigOK),10*LOG10(Boltzmann*Bnoise_Hz*(Tsource_K+Tref_K*(H22-1)))+30+E22,"")</f>
        <v>-90.3704468972711</v>
      </c>
      <c r="AG22" s="5">
        <f t="shared" si="16"/>
        <v>80.3704468972711</v>
      </c>
      <c r="AH22" s="5">
        <f>IF(AND(ToneEnabled,ISNUMBER(E22),ISNUMBER(TonePin)),TonePin+E22,"")</f>
        <v>-10</v>
      </c>
      <c r="AI22" s="5">
        <f>IF(AND(ToneEnabled,ISNUMBER(E22),ISNUMBER(N22),ISNUMBER(TonePin)),3*TonePin+E22-2*N22,"")</f>
        <v>-83.9794000867204</v>
      </c>
      <c r="AJ22" s="5" t="str">
        <f t="shared" si="17"/>
        <v/>
      </c>
      <c r="AK22" s="5" t="str">
        <f>IF(NOT(器件参数!B22),"旁路",IF(NOT(ISNUMBER(AC22)),"频率未知",IF(AC22&lt;=SignalBW/2,"跨零频",IF(AND(ISNUMBER(器件参数!R22),ISNUMBER(器件参数!S22)),IF(AND(AB22-SignalBW/2&gt;=器件参数!R22,AB22+SignalBW/2&lt;=器件参数!S22),"有效","超声明通带"),"未声明通带"))))</f>
        <v>旁路</v>
      </c>
      <c r="AL22" s="5">
        <f t="shared" si="18"/>
        <v>0</v>
      </c>
      <c r="AM22" s="5" t="str">
        <f>IF(AND(器件参数!B22,ISNUMBER(器件参数!X22),OR(AND(ISNUMBER(J22),J22&gt;器件参数!X22),IF(AND(ToneEnabled,ISNUMBER(TonePin),ISNUMBER(D22)),TonePin+10*LOG10(2)+D22&gt;器件参数!X22,FALSE))),"超过绝对最大输入额定值","")</f>
        <v/>
      </c>
      <c r="AN22" s="5">
        <f>IF(NOT(ISNUMBER(AN21)),"",IF(OR(NOT(器件参数!B22),器件参数!E22&lt;&gt;"mixer"),AN21,IF(AND(ISNUMBER(器件参数!T22),器件参数!T22&gt;0),IF(器件参数!U22="sum",AN21+器件参数!T22,ABS(AN21-器件参数!T22)),"")))</f>
        <v>99950000</v>
      </c>
      <c r="AO22" s="5">
        <f>IF(NOT(ISNUMBER(AO21)),"",IF(OR(NOT(器件参数!B22),器件参数!E22&lt;&gt;"mixer"),AO21,IF(AND(ISNUMBER(器件参数!T22),器件参数!T22&gt;0),IF(器件参数!U22="sum",AO21+器件参数!T22,ABS(AO21-器件参数!T22)),"")))</f>
        <v>100050000</v>
      </c>
      <c r="AP22" s="5">
        <f>IF(NOT(ISNUMBER(AP21)),"",IF(OR(NOT(器件参数!B22),器件参数!E22&lt;&gt;"mixer"),AP21,IF(AND(ISNUMBER(器件参数!T22),器件参数!T22&gt;0),IF(器件参数!U22="sum",AP21+器件参数!T22,ABS(AP21-器件参数!T22)),"")))</f>
        <v>99850000</v>
      </c>
      <c r="AQ22" s="5">
        <f>IF(NOT(ISNUMBER(AQ21)),"",IF(OR(NOT(器件参数!B22),器件参数!E22&lt;&gt;"mixer"),AQ21,IF(AND(ISNUMBER(器件参数!T22),器件参数!T22&gt;0),IF(器件参数!U22="sum",AQ21+器件参数!T22,ABS(AQ21-器件参数!T22)),"")))</f>
        <v>100150000</v>
      </c>
      <c r="AR22" s="5" t="b">
        <f>IF(NOT(AR21),FALSE,IF(NOT(器件参数!B22),TRUE,AND(COUNT(AN22:AQ22)=4,MIN(AN22:AQ22)&gt;0,IF(AND(ISNUMBER(器件参数!R22),ISNUMBER(器件参数!S22)),AND(MIN(AN21:AQ21)&gt;=器件参数!R22,MAX(AN21:AQ21)&lt;=器件参数!S22),TRUE),IF(AND(器件参数!E22="mixer",器件参数!U22="difference"),OR(器件参数!T22&lt;MIN(AN21:AQ21),器件参数!T22&gt;MAX(AN21:AQ21)),TRUE))))</f>
        <v>1</v>
      </c>
    </row>
    <row r="23" hidden="1" spans="1:44">
      <c r="A23" s="5">
        <f>器件参数!A23</f>
        <v>20</v>
      </c>
      <c r="B23" s="5" t="str">
        <f>器件参数!D23</f>
        <v/>
      </c>
      <c r="C23" s="5">
        <f>IF(NOT(器件参数!B23),0,IF(AND(ISNUMBER(器件参数!F23),ABS(器件参数!F23)&lt;=300),器件参数!F23,""))</f>
        <v>0</v>
      </c>
      <c r="D23" s="5">
        <f t="shared" si="0"/>
        <v>20</v>
      </c>
      <c r="E23" s="5">
        <f t="shared" si="1"/>
        <v>20</v>
      </c>
      <c r="F23" s="5">
        <f t="shared" si="2"/>
        <v>100</v>
      </c>
      <c r="G23" s="5">
        <f>IFERROR(IF(NOT(器件参数!B23),1,IF(NOT(OR(器件参数!E23&lt;&gt;"mixer",AND(OR(器件参数!V23="SSB",器件参数!V23="DSB"),器件参数!W23=TRUE))),"",IF(器件参数!G23="ideal",1,IF(AND(器件参数!G23="manual",ISNUMBER(器件参数!H23),器件参数!H23&gt;=0),10^(器件参数!H23/10),IF(AND(器件参数!G23="passive_thermal",OR(器件参数!E23="filter_bpf",器件参数!E23="filter_lpf",器件参数!E23="filter_hpf",器件参数!E23="filter_bsf",器件参数!E23="attenuator",器件参数!E23="cable",器件参数!E23="connector",器件参数!E23="switch",器件参数!E23="isolator",器件参数!E23="coupler",器件参数!E23="splitter"),AND(ISNUMBER(器件参数!F23),ABS(器件参数!F23)&lt;=300),器件参数!F23&lt;=0,ISNUMBER(器件参数!I23),器件参数!I23&gt;0),1+(10^(-器件参数!F23/10)-1)*器件参数!I23/Tref_K,""))))),"数值域错误")</f>
        <v>1</v>
      </c>
      <c r="H23" s="5">
        <f t="shared" si="3"/>
        <v>2.29336948552238</v>
      </c>
      <c r="I23" s="5">
        <f t="shared" si="4"/>
        <v>3.604740296957</v>
      </c>
      <c r="J23" s="5">
        <f>IF(AND(ISNUMBER(Pin_dBm),ISNUMBER(D23)),Pin_dBm+D23,"")</f>
        <v>-10</v>
      </c>
      <c r="K23" s="5">
        <f>IF(AND(ISNUMBER(Pin_dBm),ISNUMBER(E23)),Pin_dBm+E23,"")</f>
        <v>-10</v>
      </c>
      <c r="L23" s="5" t="str">
        <f>IF(AND(器件参数!J23="finite",ISNUMBER(器件参数!L23),ISNUMBER(C23)),IF(器件参数!K23="input",器件参数!L23,IF(器件参数!K23="output",器件参数!L23-C23,"")),"")</f>
        <v/>
      </c>
      <c r="M23" s="5">
        <f>IFERROR(IF(NOT(ISNUMBER(M22)),"",IF(OR(NOT(器件参数!B23),器件参数!J23="ideal"),M22,IF(AND(ISNUMBER(L23),ISNUMBER(F23)),M22+F23/10^(L23/10),""))),"数值域错误")</f>
        <v>0.2</v>
      </c>
      <c r="N23" s="5">
        <f t="shared" si="5"/>
        <v>6.98970004336019</v>
      </c>
      <c r="O23" s="5">
        <f t="shared" si="6"/>
        <v>26.9897000433602</v>
      </c>
      <c r="P23" s="5" t="str">
        <f>IF(AND(器件参数!M23="finite",ISNUMBER(器件参数!O23),ISNUMBER(C23)),IF(器件参数!N23="input",器件参数!O23,IF(器件参数!N23="actual_output",器件参数!O23-C23+1,IF(器件参数!N23="linear_output",器件参数!O23-C23,""))),"")</f>
        <v/>
      </c>
      <c r="Q23" s="5">
        <f>IF(器件参数!P23="",IF(AND(ISNUMBER(DefaultP),DefaultP&gt;=1,DefaultP&lt;=10),DefaultP,""),IF(AND(ISNUMBER(器件参数!P23),器件参数!P23&gt;=1,器件参数!P23&lt;=10),器件参数!P23,""))</f>
        <v>2</v>
      </c>
      <c r="R23" s="5">
        <f t="shared" si="7"/>
        <v>-10.0000139708288</v>
      </c>
      <c r="S23" s="5" t="str">
        <f t="shared" si="8"/>
        <v/>
      </c>
      <c r="T23" s="5">
        <f t="shared" si="9"/>
        <v>0</v>
      </c>
      <c r="U23" s="5">
        <f t="shared" si="10"/>
        <v>-10.0000139708288</v>
      </c>
      <c r="V23" s="5">
        <f>IF(AND(ISNUMBER(Pin_dBm),ISNUMBER(E23),ISNUMBER(U23)),Pin_dBm+E23-U23,"")</f>
        <v>1.39708287854035e-5</v>
      </c>
      <c r="W23" s="5" t="str">
        <f>IF(AND(器件参数!B23,X23=1,ISNUMBER(D23)),P23-D23,"")</f>
        <v/>
      </c>
      <c r="X23" s="5">
        <f>IF(NOT(ISNUMBER(C23)),-1,IF(OR(NOT(器件参数!B23),器件参数!M23="ideal"),0,IF(AND(ISNUMBER(P23),ISNUMBER(Q23)),1,-1)))</f>
        <v>0</v>
      </c>
      <c r="Y23" s="5" t="str">
        <f t="shared" si="11"/>
        <v>有效</v>
      </c>
      <c r="Z23" s="5" t="str">
        <f t="shared" si="12"/>
        <v>有效</v>
      </c>
      <c r="AA23" s="5" t="str">
        <f t="shared" si="13"/>
        <v>模型估算</v>
      </c>
      <c r="AB23" s="5">
        <f t="shared" si="14"/>
        <v>100000000</v>
      </c>
      <c r="AC23" s="5">
        <f>IF(NOT(ISNUMBER(AB23)),"",IF(OR(NOT(器件参数!B23),器件参数!E23&lt;&gt;"mixer"),AB23,IF(AND(ISNUMBER(器件参数!T23),器件参数!T23&gt;0),IF(器件参数!U23="sum",AB23+器件参数!T23,IF(器件参数!U23="difference",ABS(AB23-器件参数!T23),"")),"")))</f>
        <v>100000000</v>
      </c>
      <c r="AD23" s="5">
        <f t="shared" si="15"/>
        <v>0</v>
      </c>
      <c r="AE23" s="5">
        <f>IF(AND(ISNUMBER(G23),ISNUMBER(F23)),Tref_K*(G23-1)/F23,"")</f>
        <v>0</v>
      </c>
      <c r="AF23" s="5">
        <f>IF(AND(ISNUMBER(H23),ISNUMBER(E23),NoiseConfigOK),10*LOG10(Boltzmann*Bnoise_Hz*(Tsource_K+Tref_K*(H23-1)))+30+E23,"")</f>
        <v>-90.3704468972711</v>
      </c>
      <c r="AG23" s="5">
        <f t="shared" si="16"/>
        <v>80.3704468972711</v>
      </c>
      <c r="AH23" s="5">
        <f>IF(AND(ToneEnabled,ISNUMBER(E23),ISNUMBER(TonePin)),TonePin+E23,"")</f>
        <v>-10</v>
      </c>
      <c r="AI23" s="5">
        <f>IF(AND(ToneEnabled,ISNUMBER(E23),ISNUMBER(N23),ISNUMBER(TonePin)),3*TonePin+E23-2*N23,"")</f>
        <v>-83.9794000867204</v>
      </c>
      <c r="AJ23" s="5" t="str">
        <f t="shared" si="17"/>
        <v/>
      </c>
      <c r="AK23" s="5" t="str">
        <f>IF(NOT(器件参数!B23),"旁路",IF(NOT(ISNUMBER(AC23)),"频率未知",IF(AC23&lt;=SignalBW/2,"跨零频",IF(AND(ISNUMBER(器件参数!R23),ISNUMBER(器件参数!S23)),IF(AND(AB23-SignalBW/2&gt;=器件参数!R23,AB23+SignalBW/2&lt;=器件参数!S23),"有效","超声明通带"),"未声明通带"))))</f>
        <v>旁路</v>
      </c>
      <c r="AL23" s="5">
        <f t="shared" si="18"/>
        <v>0</v>
      </c>
      <c r="AM23" s="5" t="str">
        <f>IF(AND(器件参数!B23,ISNUMBER(器件参数!X23),OR(AND(ISNUMBER(J23),J23&gt;器件参数!X23),IF(AND(ToneEnabled,ISNUMBER(TonePin),ISNUMBER(D23)),TonePin+10*LOG10(2)+D23&gt;器件参数!X23,FALSE))),"超过绝对最大输入额定值","")</f>
        <v/>
      </c>
      <c r="AN23" s="5">
        <f>IF(NOT(ISNUMBER(AN22)),"",IF(OR(NOT(器件参数!B23),器件参数!E23&lt;&gt;"mixer"),AN22,IF(AND(ISNUMBER(器件参数!T23),器件参数!T23&gt;0),IF(器件参数!U23="sum",AN22+器件参数!T23,ABS(AN22-器件参数!T23)),"")))</f>
        <v>99950000</v>
      </c>
      <c r="AO23" s="5">
        <f>IF(NOT(ISNUMBER(AO22)),"",IF(OR(NOT(器件参数!B23),器件参数!E23&lt;&gt;"mixer"),AO22,IF(AND(ISNUMBER(器件参数!T23),器件参数!T23&gt;0),IF(器件参数!U23="sum",AO22+器件参数!T23,ABS(AO22-器件参数!T23)),"")))</f>
        <v>100050000</v>
      </c>
      <c r="AP23" s="5">
        <f>IF(NOT(ISNUMBER(AP22)),"",IF(OR(NOT(器件参数!B23),器件参数!E23&lt;&gt;"mixer"),AP22,IF(AND(ISNUMBER(器件参数!T23),器件参数!T23&gt;0),IF(器件参数!U23="sum",AP22+器件参数!T23,ABS(AP22-器件参数!T23)),"")))</f>
        <v>99850000</v>
      </c>
      <c r="AQ23" s="5">
        <f>IF(NOT(ISNUMBER(AQ22)),"",IF(OR(NOT(器件参数!B23),器件参数!E23&lt;&gt;"mixer"),AQ22,IF(AND(ISNUMBER(器件参数!T23),器件参数!T23&gt;0),IF(器件参数!U23="sum",AQ22+器件参数!T23,ABS(AQ22-器件参数!T23)),"")))</f>
        <v>100150000</v>
      </c>
      <c r="AR23" s="5" t="b">
        <f>IF(NOT(AR22),FALSE,IF(NOT(器件参数!B23),TRUE,AND(COUNT(AN23:AQ23)=4,MIN(AN23:AQ23)&gt;0,IF(AND(ISNUMBER(器件参数!R23),ISNUMBER(器件参数!S23)),AND(MIN(AN22:AQ22)&gt;=器件参数!R23,MAX(AN22:AQ22)&lt;=器件参数!S23),TRUE),IF(AND(器件参数!E23="mixer",器件参数!U23="difference"),OR(器件参数!T23&lt;MIN(AN22:AQ22),器件参数!T23&gt;MAX(AN22:AQ22)),TRUE))))</f>
        <v>1</v>
      </c>
    </row>
    <row r="24" hidden="1" spans="1:44">
      <c r="A24" s="5">
        <f>器件参数!A24</f>
        <v>21</v>
      </c>
      <c r="B24" s="5" t="str">
        <f>器件参数!D24</f>
        <v/>
      </c>
      <c r="C24" s="5">
        <f>IF(NOT(器件参数!B24),0,IF(AND(ISNUMBER(器件参数!F24),ABS(器件参数!F24)&lt;=300),器件参数!F24,""))</f>
        <v>0</v>
      </c>
      <c r="D24" s="5">
        <f t="shared" si="0"/>
        <v>20</v>
      </c>
      <c r="E24" s="5">
        <f t="shared" si="1"/>
        <v>20</v>
      </c>
      <c r="F24" s="5">
        <f t="shared" si="2"/>
        <v>100</v>
      </c>
      <c r="G24" s="5">
        <f>IFERROR(IF(NOT(器件参数!B24),1,IF(NOT(OR(器件参数!E24&lt;&gt;"mixer",AND(OR(器件参数!V24="SSB",器件参数!V24="DSB"),器件参数!W24=TRUE))),"",IF(器件参数!G24="ideal",1,IF(AND(器件参数!G24="manual",ISNUMBER(器件参数!H24),器件参数!H24&gt;=0),10^(器件参数!H24/10),IF(AND(器件参数!G24="passive_thermal",OR(器件参数!E24="filter_bpf",器件参数!E24="filter_lpf",器件参数!E24="filter_hpf",器件参数!E24="filter_bsf",器件参数!E24="attenuator",器件参数!E24="cable",器件参数!E24="connector",器件参数!E24="switch",器件参数!E24="isolator",器件参数!E24="coupler",器件参数!E24="splitter"),AND(ISNUMBER(器件参数!F24),ABS(器件参数!F24)&lt;=300),器件参数!F24&lt;=0,ISNUMBER(器件参数!I24),器件参数!I24&gt;0),1+(10^(-器件参数!F24/10)-1)*器件参数!I24/Tref_K,""))))),"数值域错误")</f>
        <v>1</v>
      </c>
      <c r="H24" s="5">
        <f t="shared" si="3"/>
        <v>2.29336948552238</v>
      </c>
      <c r="I24" s="5">
        <f t="shared" si="4"/>
        <v>3.604740296957</v>
      </c>
      <c r="J24" s="5">
        <f>IF(AND(ISNUMBER(Pin_dBm),ISNUMBER(D24)),Pin_dBm+D24,"")</f>
        <v>-10</v>
      </c>
      <c r="K24" s="5">
        <f>IF(AND(ISNUMBER(Pin_dBm),ISNUMBER(E24)),Pin_dBm+E24,"")</f>
        <v>-10</v>
      </c>
      <c r="L24" s="5" t="str">
        <f>IF(AND(器件参数!J24="finite",ISNUMBER(器件参数!L24),ISNUMBER(C24)),IF(器件参数!K24="input",器件参数!L24,IF(器件参数!K24="output",器件参数!L24-C24,"")),"")</f>
        <v/>
      </c>
      <c r="M24" s="5">
        <f>IFERROR(IF(NOT(ISNUMBER(M23)),"",IF(OR(NOT(器件参数!B24),器件参数!J24="ideal"),M23,IF(AND(ISNUMBER(L24),ISNUMBER(F24)),M23+F24/10^(L24/10),""))),"数值域错误")</f>
        <v>0.2</v>
      </c>
      <c r="N24" s="5">
        <f t="shared" si="5"/>
        <v>6.98970004336019</v>
      </c>
      <c r="O24" s="5">
        <f t="shared" si="6"/>
        <v>26.9897000433602</v>
      </c>
      <c r="P24" s="5" t="str">
        <f>IF(AND(器件参数!M24="finite",ISNUMBER(器件参数!O24),ISNUMBER(C24)),IF(器件参数!N24="input",器件参数!O24,IF(器件参数!N24="actual_output",器件参数!O24-C24+1,IF(器件参数!N24="linear_output",器件参数!O24-C24,""))),"")</f>
        <v/>
      </c>
      <c r="Q24" s="5">
        <f>IF(器件参数!P24="",IF(AND(ISNUMBER(DefaultP),DefaultP&gt;=1,DefaultP&lt;=10),DefaultP,""),IF(AND(ISNUMBER(器件参数!P24),器件参数!P24&gt;=1,器件参数!P24&lt;=10),器件参数!P24,""))</f>
        <v>2</v>
      </c>
      <c r="R24" s="5">
        <f t="shared" si="7"/>
        <v>-10.0000139708288</v>
      </c>
      <c r="S24" s="5" t="str">
        <f t="shared" si="8"/>
        <v/>
      </c>
      <c r="T24" s="5">
        <f t="shared" si="9"/>
        <v>0</v>
      </c>
      <c r="U24" s="5">
        <f t="shared" si="10"/>
        <v>-10.0000139708288</v>
      </c>
      <c r="V24" s="5">
        <f>IF(AND(ISNUMBER(Pin_dBm),ISNUMBER(E24),ISNUMBER(U24)),Pin_dBm+E24-U24,"")</f>
        <v>1.39708287854035e-5</v>
      </c>
      <c r="W24" s="5" t="str">
        <f>IF(AND(器件参数!B24,X24=1,ISNUMBER(D24)),P24-D24,"")</f>
        <v/>
      </c>
      <c r="X24" s="5">
        <f>IF(NOT(ISNUMBER(C24)),-1,IF(OR(NOT(器件参数!B24),器件参数!M24="ideal"),0,IF(AND(ISNUMBER(P24),ISNUMBER(Q24)),1,-1)))</f>
        <v>0</v>
      </c>
      <c r="Y24" s="5" t="str">
        <f t="shared" si="11"/>
        <v>有效</v>
      </c>
      <c r="Z24" s="5" t="str">
        <f t="shared" si="12"/>
        <v>有效</v>
      </c>
      <c r="AA24" s="5" t="str">
        <f t="shared" si="13"/>
        <v>模型估算</v>
      </c>
      <c r="AB24" s="5">
        <f t="shared" si="14"/>
        <v>100000000</v>
      </c>
      <c r="AC24" s="5">
        <f>IF(NOT(ISNUMBER(AB24)),"",IF(OR(NOT(器件参数!B24),器件参数!E24&lt;&gt;"mixer"),AB24,IF(AND(ISNUMBER(器件参数!T24),器件参数!T24&gt;0),IF(器件参数!U24="sum",AB24+器件参数!T24,IF(器件参数!U24="difference",ABS(AB24-器件参数!T24),"")),"")))</f>
        <v>100000000</v>
      </c>
      <c r="AD24" s="5">
        <f t="shared" si="15"/>
        <v>0</v>
      </c>
      <c r="AE24" s="5">
        <f>IF(AND(ISNUMBER(G24),ISNUMBER(F24)),Tref_K*(G24-1)/F24,"")</f>
        <v>0</v>
      </c>
      <c r="AF24" s="5">
        <f>IF(AND(ISNUMBER(H24),ISNUMBER(E24),NoiseConfigOK),10*LOG10(Boltzmann*Bnoise_Hz*(Tsource_K+Tref_K*(H24-1)))+30+E24,"")</f>
        <v>-90.3704468972711</v>
      </c>
      <c r="AG24" s="5">
        <f t="shared" si="16"/>
        <v>80.3704468972711</v>
      </c>
      <c r="AH24" s="5">
        <f>IF(AND(ToneEnabled,ISNUMBER(E24),ISNUMBER(TonePin)),TonePin+E24,"")</f>
        <v>-10</v>
      </c>
      <c r="AI24" s="5">
        <f>IF(AND(ToneEnabled,ISNUMBER(E24),ISNUMBER(N24),ISNUMBER(TonePin)),3*TonePin+E24-2*N24,"")</f>
        <v>-83.9794000867204</v>
      </c>
      <c r="AJ24" s="5" t="str">
        <f t="shared" si="17"/>
        <v/>
      </c>
      <c r="AK24" s="5" t="str">
        <f>IF(NOT(器件参数!B24),"旁路",IF(NOT(ISNUMBER(AC24)),"频率未知",IF(AC24&lt;=SignalBW/2,"跨零频",IF(AND(ISNUMBER(器件参数!R24),ISNUMBER(器件参数!S24)),IF(AND(AB24-SignalBW/2&gt;=器件参数!R24,AB24+SignalBW/2&lt;=器件参数!S24),"有效","超声明通带"),"未声明通带"))))</f>
        <v>旁路</v>
      </c>
      <c r="AL24" s="5">
        <f t="shared" si="18"/>
        <v>0</v>
      </c>
      <c r="AM24" s="5" t="str">
        <f>IF(AND(器件参数!B24,ISNUMBER(器件参数!X24),OR(AND(ISNUMBER(J24),J24&gt;器件参数!X24),IF(AND(ToneEnabled,ISNUMBER(TonePin),ISNUMBER(D24)),TonePin+10*LOG10(2)+D24&gt;器件参数!X24,FALSE))),"超过绝对最大输入额定值","")</f>
        <v/>
      </c>
      <c r="AN24" s="5">
        <f>IF(NOT(ISNUMBER(AN23)),"",IF(OR(NOT(器件参数!B24),器件参数!E24&lt;&gt;"mixer"),AN23,IF(AND(ISNUMBER(器件参数!T24),器件参数!T24&gt;0),IF(器件参数!U24="sum",AN23+器件参数!T24,ABS(AN23-器件参数!T24)),"")))</f>
        <v>99950000</v>
      </c>
      <c r="AO24" s="5">
        <f>IF(NOT(ISNUMBER(AO23)),"",IF(OR(NOT(器件参数!B24),器件参数!E24&lt;&gt;"mixer"),AO23,IF(AND(ISNUMBER(器件参数!T24),器件参数!T24&gt;0),IF(器件参数!U24="sum",AO23+器件参数!T24,ABS(AO23-器件参数!T24)),"")))</f>
        <v>100050000</v>
      </c>
      <c r="AP24" s="5">
        <f>IF(NOT(ISNUMBER(AP23)),"",IF(OR(NOT(器件参数!B24),器件参数!E24&lt;&gt;"mixer"),AP23,IF(AND(ISNUMBER(器件参数!T24),器件参数!T24&gt;0),IF(器件参数!U24="sum",AP23+器件参数!T24,ABS(AP23-器件参数!T24)),"")))</f>
        <v>99850000</v>
      </c>
      <c r="AQ24" s="5">
        <f>IF(NOT(ISNUMBER(AQ23)),"",IF(OR(NOT(器件参数!B24),器件参数!E24&lt;&gt;"mixer"),AQ23,IF(AND(ISNUMBER(器件参数!T24),器件参数!T24&gt;0),IF(器件参数!U24="sum",AQ23+器件参数!T24,ABS(AQ23-器件参数!T24)),"")))</f>
        <v>100150000</v>
      </c>
      <c r="AR24" s="5" t="b">
        <f>IF(NOT(AR23),FALSE,IF(NOT(器件参数!B24),TRUE,AND(COUNT(AN24:AQ24)=4,MIN(AN24:AQ24)&gt;0,IF(AND(ISNUMBER(器件参数!R24),ISNUMBER(器件参数!S24)),AND(MIN(AN23:AQ23)&gt;=器件参数!R24,MAX(AN23:AQ23)&lt;=器件参数!S24),TRUE),IF(AND(器件参数!E24="mixer",器件参数!U24="difference"),OR(器件参数!T24&lt;MIN(AN23:AQ23),器件参数!T24&gt;MAX(AN23:AQ23)),TRUE))))</f>
        <v>1</v>
      </c>
    </row>
    <row r="25" hidden="1" spans="1:44">
      <c r="A25" s="5">
        <f>器件参数!A25</f>
        <v>22</v>
      </c>
      <c r="B25" s="5" t="str">
        <f>器件参数!D25</f>
        <v/>
      </c>
      <c r="C25" s="5">
        <f>IF(NOT(器件参数!B25),0,IF(AND(ISNUMBER(器件参数!F25),ABS(器件参数!F25)&lt;=300),器件参数!F25,""))</f>
        <v>0</v>
      </c>
      <c r="D25" s="5">
        <f t="shared" si="0"/>
        <v>20</v>
      </c>
      <c r="E25" s="5">
        <f t="shared" si="1"/>
        <v>20</v>
      </c>
      <c r="F25" s="5">
        <f t="shared" si="2"/>
        <v>100</v>
      </c>
      <c r="G25" s="5">
        <f>IFERROR(IF(NOT(器件参数!B25),1,IF(NOT(OR(器件参数!E25&lt;&gt;"mixer",AND(OR(器件参数!V25="SSB",器件参数!V25="DSB"),器件参数!W25=TRUE))),"",IF(器件参数!G25="ideal",1,IF(AND(器件参数!G25="manual",ISNUMBER(器件参数!H25),器件参数!H25&gt;=0),10^(器件参数!H25/10),IF(AND(器件参数!G25="passive_thermal",OR(器件参数!E25="filter_bpf",器件参数!E25="filter_lpf",器件参数!E25="filter_hpf",器件参数!E25="filter_bsf",器件参数!E25="attenuator",器件参数!E25="cable",器件参数!E25="connector",器件参数!E25="switch",器件参数!E25="isolator",器件参数!E25="coupler",器件参数!E25="splitter"),AND(ISNUMBER(器件参数!F25),ABS(器件参数!F25)&lt;=300),器件参数!F25&lt;=0,ISNUMBER(器件参数!I25),器件参数!I25&gt;0),1+(10^(-器件参数!F25/10)-1)*器件参数!I25/Tref_K,""))))),"数值域错误")</f>
        <v>1</v>
      </c>
      <c r="H25" s="5">
        <f t="shared" si="3"/>
        <v>2.29336948552238</v>
      </c>
      <c r="I25" s="5">
        <f t="shared" si="4"/>
        <v>3.604740296957</v>
      </c>
      <c r="J25" s="5">
        <f>IF(AND(ISNUMBER(Pin_dBm),ISNUMBER(D25)),Pin_dBm+D25,"")</f>
        <v>-10</v>
      </c>
      <c r="K25" s="5">
        <f>IF(AND(ISNUMBER(Pin_dBm),ISNUMBER(E25)),Pin_dBm+E25,"")</f>
        <v>-10</v>
      </c>
      <c r="L25" s="5" t="str">
        <f>IF(AND(器件参数!J25="finite",ISNUMBER(器件参数!L25),ISNUMBER(C25)),IF(器件参数!K25="input",器件参数!L25,IF(器件参数!K25="output",器件参数!L25-C25,"")),"")</f>
        <v/>
      </c>
      <c r="M25" s="5">
        <f>IFERROR(IF(NOT(ISNUMBER(M24)),"",IF(OR(NOT(器件参数!B25),器件参数!J25="ideal"),M24,IF(AND(ISNUMBER(L25),ISNUMBER(F25)),M24+F25/10^(L25/10),""))),"数值域错误")</f>
        <v>0.2</v>
      </c>
      <c r="N25" s="5">
        <f t="shared" si="5"/>
        <v>6.98970004336019</v>
      </c>
      <c r="O25" s="5">
        <f t="shared" si="6"/>
        <v>26.9897000433602</v>
      </c>
      <c r="P25" s="5" t="str">
        <f>IF(AND(器件参数!M25="finite",ISNUMBER(器件参数!O25),ISNUMBER(C25)),IF(器件参数!N25="input",器件参数!O25,IF(器件参数!N25="actual_output",器件参数!O25-C25+1,IF(器件参数!N25="linear_output",器件参数!O25-C25,""))),"")</f>
        <v/>
      </c>
      <c r="Q25" s="5">
        <f>IF(器件参数!P25="",IF(AND(ISNUMBER(DefaultP),DefaultP&gt;=1,DefaultP&lt;=10),DefaultP,""),IF(AND(ISNUMBER(器件参数!P25),器件参数!P25&gt;=1,器件参数!P25&lt;=10),器件参数!P25,""))</f>
        <v>2</v>
      </c>
      <c r="R25" s="5">
        <f t="shared" si="7"/>
        <v>-10.0000139708288</v>
      </c>
      <c r="S25" s="5" t="str">
        <f t="shared" si="8"/>
        <v/>
      </c>
      <c r="T25" s="5">
        <f t="shared" si="9"/>
        <v>0</v>
      </c>
      <c r="U25" s="5">
        <f t="shared" si="10"/>
        <v>-10.0000139708288</v>
      </c>
      <c r="V25" s="5">
        <f>IF(AND(ISNUMBER(Pin_dBm),ISNUMBER(E25),ISNUMBER(U25)),Pin_dBm+E25-U25,"")</f>
        <v>1.39708287854035e-5</v>
      </c>
      <c r="W25" s="5" t="str">
        <f>IF(AND(器件参数!B25,X25=1,ISNUMBER(D25)),P25-D25,"")</f>
        <v/>
      </c>
      <c r="X25" s="5">
        <f>IF(NOT(ISNUMBER(C25)),-1,IF(OR(NOT(器件参数!B25),器件参数!M25="ideal"),0,IF(AND(ISNUMBER(P25),ISNUMBER(Q25)),1,-1)))</f>
        <v>0</v>
      </c>
      <c r="Y25" s="5" t="str">
        <f t="shared" si="11"/>
        <v>有效</v>
      </c>
      <c r="Z25" s="5" t="str">
        <f t="shared" si="12"/>
        <v>有效</v>
      </c>
      <c r="AA25" s="5" t="str">
        <f t="shared" si="13"/>
        <v>模型估算</v>
      </c>
      <c r="AB25" s="5">
        <f t="shared" si="14"/>
        <v>100000000</v>
      </c>
      <c r="AC25" s="5">
        <f>IF(NOT(ISNUMBER(AB25)),"",IF(OR(NOT(器件参数!B25),器件参数!E25&lt;&gt;"mixer"),AB25,IF(AND(ISNUMBER(器件参数!T25),器件参数!T25&gt;0),IF(器件参数!U25="sum",AB25+器件参数!T25,IF(器件参数!U25="difference",ABS(AB25-器件参数!T25),"")),"")))</f>
        <v>100000000</v>
      </c>
      <c r="AD25" s="5">
        <f t="shared" si="15"/>
        <v>0</v>
      </c>
      <c r="AE25" s="5">
        <f>IF(AND(ISNUMBER(G25),ISNUMBER(F25)),Tref_K*(G25-1)/F25,"")</f>
        <v>0</v>
      </c>
      <c r="AF25" s="5">
        <f>IF(AND(ISNUMBER(H25),ISNUMBER(E25),NoiseConfigOK),10*LOG10(Boltzmann*Bnoise_Hz*(Tsource_K+Tref_K*(H25-1)))+30+E25,"")</f>
        <v>-90.3704468972711</v>
      </c>
      <c r="AG25" s="5">
        <f t="shared" si="16"/>
        <v>80.3704468972711</v>
      </c>
      <c r="AH25" s="5">
        <f>IF(AND(ToneEnabled,ISNUMBER(E25),ISNUMBER(TonePin)),TonePin+E25,"")</f>
        <v>-10</v>
      </c>
      <c r="AI25" s="5">
        <f>IF(AND(ToneEnabled,ISNUMBER(E25),ISNUMBER(N25),ISNUMBER(TonePin)),3*TonePin+E25-2*N25,"")</f>
        <v>-83.9794000867204</v>
      </c>
      <c r="AJ25" s="5" t="str">
        <f t="shared" si="17"/>
        <v/>
      </c>
      <c r="AK25" s="5" t="str">
        <f>IF(NOT(器件参数!B25),"旁路",IF(NOT(ISNUMBER(AC25)),"频率未知",IF(AC25&lt;=SignalBW/2,"跨零频",IF(AND(ISNUMBER(器件参数!R25),ISNUMBER(器件参数!S25)),IF(AND(AB25-SignalBW/2&gt;=器件参数!R25,AB25+SignalBW/2&lt;=器件参数!S25),"有效","超声明通带"),"未声明通带"))))</f>
        <v>旁路</v>
      </c>
      <c r="AL25" s="5">
        <f t="shared" si="18"/>
        <v>0</v>
      </c>
      <c r="AM25" s="5" t="str">
        <f>IF(AND(器件参数!B25,ISNUMBER(器件参数!X25),OR(AND(ISNUMBER(J25),J25&gt;器件参数!X25),IF(AND(ToneEnabled,ISNUMBER(TonePin),ISNUMBER(D25)),TonePin+10*LOG10(2)+D25&gt;器件参数!X25,FALSE))),"超过绝对最大输入额定值","")</f>
        <v/>
      </c>
      <c r="AN25" s="5">
        <f>IF(NOT(ISNUMBER(AN24)),"",IF(OR(NOT(器件参数!B25),器件参数!E25&lt;&gt;"mixer"),AN24,IF(AND(ISNUMBER(器件参数!T25),器件参数!T25&gt;0),IF(器件参数!U25="sum",AN24+器件参数!T25,ABS(AN24-器件参数!T25)),"")))</f>
        <v>99950000</v>
      </c>
      <c r="AO25" s="5">
        <f>IF(NOT(ISNUMBER(AO24)),"",IF(OR(NOT(器件参数!B25),器件参数!E25&lt;&gt;"mixer"),AO24,IF(AND(ISNUMBER(器件参数!T25),器件参数!T25&gt;0),IF(器件参数!U25="sum",AO24+器件参数!T25,ABS(AO24-器件参数!T25)),"")))</f>
        <v>100050000</v>
      </c>
      <c r="AP25" s="5">
        <f>IF(NOT(ISNUMBER(AP24)),"",IF(OR(NOT(器件参数!B25),器件参数!E25&lt;&gt;"mixer"),AP24,IF(AND(ISNUMBER(器件参数!T25),器件参数!T25&gt;0),IF(器件参数!U25="sum",AP24+器件参数!T25,ABS(AP24-器件参数!T25)),"")))</f>
        <v>99850000</v>
      </c>
      <c r="AQ25" s="5">
        <f>IF(NOT(ISNUMBER(AQ24)),"",IF(OR(NOT(器件参数!B25),器件参数!E25&lt;&gt;"mixer"),AQ24,IF(AND(ISNUMBER(器件参数!T25),器件参数!T25&gt;0),IF(器件参数!U25="sum",AQ24+器件参数!T25,ABS(AQ24-器件参数!T25)),"")))</f>
        <v>100150000</v>
      </c>
      <c r="AR25" s="5" t="b">
        <f>IF(NOT(AR24),FALSE,IF(NOT(器件参数!B25),TRUE,AND(COUNT(AN25:AQ25)=4,MIN(AN25:AQ25)&gt;0,IF(AND(ISNUMBER(器件参数!R25),ISNUMBER(器件参数!S25)),AND(MIN(AN24:AQ24)&gt;=器件参数!R25,MAX(AN24:AQ24)&lt;=器件参数!S25),TRUE),IF(AND(器件参数!E25="mixer",器件参数!U25="difference"),OR(器件参数!T25&lt;MIN(AN24:AQ24),器件参数!T25&gt;MAX(AN24:AQ24)),TRUE))))</f>
        <v>1</v>
      </c>
    </row>
    <row r="26" hidden="1" spans="1:44">
      <c r="A26" s="5">
        <f>器件参数!A26</f>
        <v>23</v>
      </c>
      <c r="B26" s="5" t="str">
        <f>器件参数!D26</f>
        <v/>
      </c>
      <c r="C26" s="5">
        <f>IF(NOT(器件参数!B26),0,IF(AND(ISNUMBER(器件参数!F26),ABS(器件参数!F26)&lt;=300),器件参数!F26,""))</f>
        <v>0</v>
      </c>
      <c r="D26" s="5">
        <f t="shared" si="0"/>
        <v>20</v>
      </c>
      <c r="E26" s="5">
        <f t="shared" si="1"/>
        <v>20</v>
      </c>
      <c r="F26" s="5">
        <f t="shared" si="2"/>
        <v>100</v>
      </c>
      <c r="G26" s="5">
        <f>IFERROR(IF(NOT(器件参数!B26),1,IF(NOT(OR(器件参数!E26&lt;&gt;"mixer",AND(OR(器件参数!V26="SSB",器件参数!V26="DSB"),器件参数!W26=TRUE))),"",IF(器件参数!G26="ideal",1,IF(AND(器件参数!G26="manual",ISNUMBER(器件参数!H26),器件参数!H26&gt;=0),10^(器件参数!H26/10),IF(AND(器件参数!G26="passive_thermal",OR(器件参数!E26="filter_bpf",器件参数!E26="filter_lpf",器件参数!E26="filter_hpf",器件参数!E26="filter_bsf",器件参数!E26="attenuator",器件参数!E26="cable",器件参数!E26="connector",器件参数!E26="switch",器件参数!E26="isolator",器件参数!E26="coupler",器件参数!E26="splitter"),AND(ISNUMBER(器件参数!F26),ABS(器件参数!F26)&lt;=300),器件参数!F26&lt;=0,ISNUMBER(器件参数!I26),器件参数!I26&gt;0),1+(10^(-器件参数!F26/10)-1)*器件参数!I26/Tref_K,""))))),"数值域错误")</f>
        <v>1</v>
      </c>
      <c r="H26" s="5">
        <f t="shared" si="3"/>
        <v>2.29336948552238</v>
      </c>
      <c r="I26" s="5">
        <f t="shared" si="4"/>
        <v>3.604740296957</v>
      </c>
      <c r="J26" s="5">
        <f>IF(AND(ISNUMBER(Pin_dBm),ISNUMBER(D26)),Pin_dBm+D26,"")</f>
        <v>-10</v>
      </c>
      <c r="K26" s="5">
        <f>IF(AND(ISNUMBER(Pin_dBm),ISNUMBER(E26)),Pin_dBm+E26,"")</f>
        <v>-10</v>
      </c>
      <c r="L26" s="5" t="str">
        <f>IF(AND(器件参数!J26="finite",ISNUMBER(器件参数!L26),ISNUMBER(C26)),IF(器件参数!K26="input",器件参数!L26,IF(器件参数!K26="output",器件参数!L26-C26,"")),"")</f>
        <v/>
      </c>
      <c r="M26" s="5">
        <f>IFERROR(IF(NOT(ISNUMBER(M25)),"",IF(OR(NOT(器件参数!B26),器件参数!J26="ideal"),M25,IF(AND(ISNUMBER(L26),ISNUMBER(F26)),M25+F26/10^(L26/10),""))),"数值域错误")</f>
        <v>0.2</v>
      </c>
      <c r="N26" s="5">
        <f t="shared" si="5"/>
        <v>6.98970004336019</v>
      </c>
      <c r="O26" s="5">
        <f t="shared" si="6"/>
        <v>26.9897000433602</v>
      </c>
      <c r="P26" s="5" t="str">
        <f>IF(AND(器件参数!M26="finite",ISNUMBER(器件参数!O26),ISNUMBER(C26)),IF(器件参数!N26="input",器件参数!O26,IF(器件参数!N26="actual_output",器件参数!O26-C26+1,IF(器件参数!N26="linear_output",器件参数!O26-C26,""))),"")</f>
        <v/>
      </c>
      <c r="Q26" s="5">
        <f>IF(器件参数!P26="",IF(AND(ISNUMBER(DefaultP),DefaultP&gt;=1,DefaultP&lt;=10),DefaultP,""),IF(AND(ISNUMBER(器件参数!P26),器件参数!P26&gt;=1,器件参数!P26&lt;=10),器件参数!P26,""))</f>
        <v>2</v>
      </c>
      <c r="R26" s="5">
        <f t="shared" si="7"/>
        <v>-10.0000139708288</v>
      </c>
      <c r="S26" s="5" t="str">
        <f t="shared" si="8"/>
        <v/>
      </c>
      <c r="T26" s="5">
        <f t="shared" si="9"/>
        <v>0</v>
      </c>
      <c r="U26" s="5">
        <f t="shared" si="10"/>
        <v>-10.0000139708288</v>
      </c>
      <c r="V26" s="5">
        <f>IF(AND(ISNUMBER(Pin_dBm),ISNUMBER(E26),ISNUMBER(U26)),Pin_dBm+E26-U26,"")</f>
        <v>1.39708287854035e-5</v>
      </c>
      <c r="W26" s="5" t="str">
        <f>IF(AND(器件参数!B26,X26=1,ISNUMBER(D26)),P26-D26,"")</f>
        <v/>
      </c>
      <c r="X26" s="5">
        <f>IF(NOT(ISNUMBER(C26)),-1,IF(OR(NOT(器件参数!B26),器件参数!M26="ideal"),0,IF(AND(ISNUMBER(P26),ISNUMBER(Q26)),1,-1)))</f>
        <v>0</v>
      </c>
      <c r="Y26" s="5" t="str">
        <f t="shared" si="11"/>
        <v>有效</v>
      </c>
      <c r="Z26" s="5" t="str">
        <f t="shared" si="12"/>
        <v>有效</v>
      </c>
      <c r="AA26" s="5" t="str">
        <f t="shared" si="13"/>
        <v>模型估算</v>
      </c>
      <c r="AB26" s="5">
        <f t="shared" si="14"/>
        <v>100000000</v>
      </c>
      <c r="AC26" s="5">
        <f>IF(NOT(ISNUMBER(AB26)),"",IF(OR(NOT(器件参数!B26),器件参数!E26&lt;&gt;"mixer"),AB26,IF(AND(ISNUMBER(器件参数!T26),器件参数!T26&gt;0),IF(器件参数!U26="sum",AB26+器件参数!T26,IF(器件参数!U26="difference",ABS(AB26-器件参数!T26),"")),"")))</f>
        <v>100000000</v>
      </c>
      <c r="AD26" s="5">
        <f t="shared" si="15"/>
        <v>0</v>
      </c>
      <c r="AE26" s="5">
        <f>IF(AND(ISNUMBER(G26),ISNUMBER(F26)),Tref_K*(G26-1)/F26,"")</f>
        <v>0</v>
      </c>
      <c r="AF26" s="5">
        <f>IF(AND(ISNUMBER(H26),ISNUMBER(E26),NoiseConfigOK),10*LOG10(Boltzmann*Bnoise_Hz*(Tsource_K+Tref_K*(H26-1)))+30+E26,"")</f>
        <v>-90.3704468972711</v>
      </c>
      <c r="AG26" s="5">
        <f t="shared" si="16"/>
        <v>80.3704468972711</v>
      </c>
      <c r="AH26" s="5">
        <f>IF(AND(ToneEnabled,ISNUMBER(E26),ISNUMBER(TonePin)),TonePin+E26,"")</f>
        <v>-10</v>
      </c>
      <c r="AI26" s="5">
        <f>IF(AND(ToneEnabled,ISNUMBER(E26),ISNUMBER(N26),ISNUMBER(TonePin)),3*TonePin+E26-2*N26,"")</f>
        <v>-83.9794000867204</v>
      </c>
      <c r="AJ26" s="5" t="str">
        <f t="shared" si="17"/>
        <v/>
      </c>
      <c r="AK26" s="5" t="str">
        <f>IF(NOT(器件参数!B26),"旁路",IF(NOT(ISNUMBER(AC26)),"频率未知",IF(AC26&lt;=SignalBW/2,"跨零频",IF(AND(ISNUMBER(器件参数!R26),ISNUMBER(器件参数!S26)),IF(AND(AB26-SignalBW/2&gt;=器件参数!R26,AB26+SignalBW/2&lt;=器件参数!S26),"有效","超声明通带"),"未声明通带"))))</f>
        <v>旁路</v>
      </c>
      <c r="AL26" s="5">
        <f t="shared" si="18"/>
        <v>0</v>
      </c>
      <c r="AM26" s="5" t="str">
        <f>IF(AND(器件参数!B26,ISNUMBER(器件参数!X26),OR(AND(ISNUMBER(J26),J26&gt;器件参数!X26),IF(AND(ToneEnabled,ISNUMBER(TonePin),ISNUMBER(D26)),TonePin+10*LOG10(2)+D26&gt;器件参数!X26,FALSE))),"超过绝对最大输入额定值","")</f>
        <v/>
      </c>
      <c r="AN26" s="5">
        <f>IF(NOT(ISNUMBER(AN25)),"",IF(OR(NOT(器件参数!B26),器件参数!E26&lt;&gt;"mixer"),AN25,IF(AND(ISNUMBER(器件参数!T26),器件参数!T26&gt;0),IF(器件参数!U26="sum",AN25+器件参数!T26,ABS(AN25-器件参数!T26)),"")))</f>
        <v>99950000</v>
      </c>
      <c r="AO26" s="5">
        <f>IF(NOT(ISNUMBER(AO25)),"",IF(OR(NOT(器件参数!B26),器件参数!E26&lt;&gt;"mixer"),AO25,IF(AND(ISNUMBER(器件参数!T26),器件参数!T26&gt;0),IF(器件参数!U26="sum",AO25+器件参数!T26,ABS(AO25-器件参数!T26)),"")))</f>
        <v>100050000</v>
      </c>
      <c r="AP26" s="5">
        <f>IF(NOT(ISNUMBER(AP25)),"",IF(OR(NOT(器件参数!B26),器件参数!E26&lt;&gt;"mixer"),AP25,IF(AND(ISNUMBER(器件参数!T26),器件参数!T26&gt;0),IF(器件参数!U26="sum",AP25+器件参数!T26,ABS(AP25-器件参数!T26)),"")))</f>
        <v>99850000</v>
      </c>
      <c r="AQ26" s="5">
        <f>IF(NOT(ISNUMBER(AQ25)),"",IF(OR(NOT(器件参数!B26),器件参数!E26&lt;&gt;"mixer"),AQ25,IF(AND(ISNUMBER(器件参数!T26),器件参数!T26&gt;0),IF(器件参数!U26="sum",AQ25+器件参数!T26,ABS(AQ25-器件参数!T26)),"")))</f>
        <v>100150000</v>
      </c>
      <c r="AR26" s="5" t="b">
        <f>IF(NOT(AR25),FALSE,IF(NOT(器件参数!B26),TRUE,AND(COUNT(AN26:AQ26)=4,MIN(AN26:AQ26)&gt;0,IF(AND(ISNUMBER(器件参数!R26),ISNUMBER(器件参数!S26)),AND(MIN(AN25:AQ25)&gt;=器件参数!R26,MAX(AN25:AQ25)&lt;=器件参数!S26),TRUE),IF(AND(器件参数!E26="mixer",器件参数!U26="difference"),OR(器件参数!T26&lt;MIN(AN25:AQ25),器件参数!T26&gt;MAX(AN25:AQ25)),TRUE))))</f>
        <v>1</v>
      </c>
    </row>
    <row r="27" hidden="1" spans="1:44">
      <c r="A27" s="5">
        <f>器件参数!A27</f>
        <v>24</v>
      </c>
      <c r="B27" s="5" t="str">
        <f>器件参数!D27</f>
        <v/>
      </c>
      <c r="C27" s="5">
        <f>IF(NOT(器件参数!B27),0,IF(AND(ISNUMBER(器件参数!F27),ABS(器件参数!F27)&lt;=300),器件参数!F27,""))</f>
        <v>0</v>
      </c>
      <c r="D27" s="5">
        <f t="shared" si="0"/>
        <v>20</v>
      </c>
      <c r="E27" s="5">
        <f t="shared" si="1"/>
        <v>20</v>
      </c>
      <c r="F27" s="5">
        <f t="shared" si="2"/>
        <v>100</v>
      </c>
      <c r="G27" s="5">
        <f>IFERROR(IF(NOT(器件参数!B27),1,IF(NOT(OR(器件参数!E27&lt;&gt;"mixer",AND(OR(器件参数!V27="SSB",器件参数!V27="DSB"),器件参数!W27=TRUE))),"",IF(器件参数!G27="ideal",1,IF(AND(器件参数!G27="manual",ISNUMBER(器件参数!H27),器件参数!H27&gt;=0),10^(器件参数!H27/10),IF(AND(器件参数!G27="passive_thermal",OR(器件参数!E27="filter_bpf",器件参数!E27="filter_lpf",器件参数!E27="filter_hpf",器件参数!E27="filter_bsf",器件参数!E27="attenuator",器件参数!E27="cable",器件参数!E27="connector",器件参数!E27="switch",器件参数!E27="isolator",器件参数!E27="coupler",器件参数!E27="splitter"),AND(ISNUMBER(器件参数!F27),ABS(器件参数!F27)&lt;=300),器件参数!F27&lt;=0,ISNUMBER(器件参数!I27),器件参数!I27&gt;0),1+(10^(-器件参数!F27/10)-1)*器件参数!I27/Tref_K,""))))),"数值域错误")</f>
        <v>1</v>
      </c>
      <c r="H27" s="5">
        <f t="shared" si="3"/>
        <v>2.29336948552238</v>
      </c>
      <c r="I27" s="5">
        <f t="shared" si="4"/>
        <v>3.604740296957</v>
      </c>
      <c r="J27" s="5">
        <f>IF(AND(ISNUMBER(Pin_dBm),ISNUMBER(D27)),Pin_dBm+D27,"")</f>
        <v>-10</v>
      </c>
      <c r="K27" s="5">
        <f>IF(AND(ISNUMBER(Pin_dBm),ISNUMBER(E27)),Pin_dBm+E27,"")</f>
        <v>-10</v>
      </c>
      <c r="L27" s="5" t="str">
        <f>IF(AND(器件参数!J27="finite",ISNUMBER(器件参数!L27),ISNUMBER(C27)),IF(器件参数!K27="input",器件参数!L27,IF(器件参数!K27="output",器件参数!L27-C27,"")),"")</f>
        <v/>
      </c>
      <c r="M27" s="5">
        <f>IFERROR(IF(NOT(ISNUMBER(M26)),"",IF(OR(NOT(器件参数!B27),器件参数!J27="ideal"),M26,IF(AND(ISNUMBER(L27),ISNUMBER(F27)),M26+F27/10^(L27/10),""))),"数值域错误")</f>
        <v>0.2</v>
      </c>
      <c r="N27" s="5">
        <f t="shared" si="5"/>
        <v>6.98970004336019</v>
      </c>
      <c r="O27" s="5">
        <f t="shared" si="6"/>
        <v>26.9897000433602</v>
      </c>
      <c r="P27" s="5" t="str">
        <f>IF(AND(器件参数!M27="finite",ISNUMBER(器件参数!O27),ISNUMBER(C27)),IF(器件参数!N27="input",器件参数!O27,IF(器件参数!N27="actual_output",器件参数!O27-C27+1,IF(器件参数!N27="linear_output",器件参数!O27-C27,""))),"")</f>
        <v/>
      </c>
      <c r="Q27" s="5">
        <f>IF(器件参数!P27="",IF(AND(ISNUMBER(DefaultP),DefaultP&gt;=1,DefaultP&lt;=10),DefaultP,""),IF(AND(ISNUMBER(器件参数!P27),器件参数!P27&gt;=1,器件参数!P27&lt;=10),器件参数!P27,""))</f>
        <v>2</v>
      </c>
      <c r="R27" s="5">
        <f t="shared" si="7"/>
        <v>-10.0000139708288</v>
      </c>
      <c r="S27" s="5" t="str">
        <f t="shared" si="8"/>
        <v/>
      </c>
      <c r="T27" s="5">
        <f t="shared" si="9"/>
        <v>0</v>
      </c>
      <c r="U27" s="5">
        <f t="shared" si="10"/>
        <v>-10.0000139708288</v>
      </c>
      <c r="V27" s="5">
        <f>IF(AND(ISNUMBER(Pin_dBm),ISNUMBER(E27),ISNUMBER(U27)),Pin_dBm+E27-U27,"")</f>
        <v>1.39708287854035e-5</v>
      </c>
      <c r="W27" s="5" t="str">
        <f>IF(AND(器件参数!B27,X27=1,ISNUMBER(D27)),P27-D27,"")</f>
        <v/>
      </c>
      <c r="X27" s="5">
        <f>IF(NOT(ISNUMBER(C27)),-1,IF(OR(NOT(器件参数!B27),器件参数!M27="ideal"),0,IF(AND(ISNUMBER(P27),ISNUMBER(Q27)),1,-1)))</f>
        <v>0</v>
      </c>
      <c r="Y27" s="5" t="str">
        <f t="shared" si="11"/>
        <v>有效</v>
      </c>
      <c r="Z27" s="5" t="str">
        <f t="shared" si="12"/>
        <v>有效</v>
      </c>
      <c r="AA27" s="5" t="str">
        <f t="shared" si="13"/>
        <v>模型估算</v>
      </c>
      <c r="AB27" s="5">
        <f t="shared" si="14"/>
        <v>100000000</v>
      </c>
      <c r="AC27" s="5">
        <f>IF(NOT(ISNUMBER(AB27)),"",IF(OR(NOT(器件参数!B27),器件参数!E27&lt;&gt;"mixer"),AB27,IF(AND(ISNUMBER(器件参数!T27),器件参数!T27&gt;0),IF(器件参数!U27="sum",AB27+器件参数!T27,IF(器件参数!U27="difference",ABS(AB27-器件参数!T27),"")),"")))</f>
        <v>100000000</v>
      </c>
      <c r="AD27" s="5">
        <f t="shared" si="15"/>
        <v>0</v>
      </c>
      <c r="AE27" s="5">
        <f>IF(AND(ISNUMBER(G27),ISNUMBER(F27)),Tref_K*(G27-1)/F27,"")</f>
        <v>0</v>
      </c>
      <c r="AF27" s="5">
        <f>IF(AND(ISNUMBER(H27),ISNUMBER(E27),NoiseConfigOK),10*LOG10(Boltzmann*Bnoise_Hz*(Tsource_K+Tref_K*(H27-1)))+30+E27,"")</f>
        <v>-90.3704468972711</v>
      </c>
      <c r="AG27" s="5">
        <f t="shared" si="16"/>
        <v>80.3704468972711</v>
      </c>
      <c r="AH27" s="5">
        <f>IF(AND(ToneEnabled,ISNUMBER(E27),ISNUMBER(TonePin)),TonePin+E27,"")</f>
        <v>-10</v>
      </c>
      <c r="AI27" s="5">
        <f>IF(AND(ToneEnabled,ISNUMBER(E27),ISNUMBER(N27),ISNUMBER(TonePin)),3*TonePin+E27-2*N27,"")</f>
        <v>-83.9794000867204</v>
      </c>
      <c r="AJ27" s="5" t="str">
        <f t="shared" si="17"/>
        <v/>
      </c>
      <c r="AK27" s="5" t="str">
        <f>IF(NOT(器件参数!B27),"旁路",IF(NOT(ISNUMBER(AC27)),"频率未知",IF(AC27&lt;=SignalBW/2,"跨零频",IF(AND(ISNUMBER(器件参数!R27),ISNUMBER(器件参数!S27)),IF(AND(AB27-SignalBW/2&gt;=器件参数!R27,AB27+SignalBW/2&lt;=器件参数!S27),"有效","超声明通带"),"未声明通带"))))</f>
        <v>旁路</v>
      </c>
      <c r="AL27" s="5">
        <f t="shared" si="18"/>
        <v>0</v>
      </c>
      <c r="AM27" s="5" t="str">
        <f>IF(AND(器件参数!B27,ISNUMBER(器件参数!X27),OR(AND(ISNUMBER(J27),J27&gt;器件参数!X27),IF(AND(ToneEnabled,ISNUMBER(TonePin),ISNUMBER(D27)),TonePin+10*LOG10(2)+D27&gt;器件参数!X27,FALSE))),"超过绝对最大输入额定值","")</f>
        <v/>
      </c>
      <c r="AN27" s="5">
        <f>IF(NOT(ISNUMBER(AN26)),"",IF(OR(NOT(器件参数!B27),器件参数!E27&lt;&gt;"mixer"),AN26,IF(AND(ISNUMBER(器件参数!T27),器件参数!T27&gt;0),IF(器件参数!U27="sum",AN26+器件参数!T27,ABS(AN26-器件参数!T27)),"")))</f>
        <v>99950000</v>
      </c>
      <c r="AO27" s="5">
        <f>IF(NOT(ISNUMBER(AO26)),"",IF(OR(NOT(器件参数!B27),器件参数!E27&lt;&gt;"mixer"),AO26,IF(AND(ISNUMBER(器件参数!T27),器件参数!T27&gt;0),IF(器件参数!U27="sum",AO26+器件参数!T27,ABS(AO26-器件参数!T27)),"")))</f>
        <v>100050000</v>
      </c>
      <c r="AP27" s="5">
        <f>IF(NOT(ISNUMBER(AP26)),"",IF(OR(NOT(器件参数!B27),器件参数!E27&lt;&gt;"mixer"),AP26,IF(AND(ISNUMBER(器件参数!T27),器件参数!T27&gt;0),IF(器件参数!U27="sum",AP26+器件参数!T27,ABS(AP26-器件参数!T27)),"")))</f>
        <v>99850000</v>
      </c>
      <c r="AQ27" s="5">
        <f>IF(NOT(ISNUMBER(AQ26)),"",IF(OR(NOT(器件参数!B27),器件参数!E27&lt;&gt;"mixer"),AQ26,IF(AND(ISNUMBER(器件参数!T27),器件参数!T27&gt;0),IF(器件参数!U27="sum",AQ26+器件参数!T27,ABS(AQ26-器件参数!T27)),"")))</f>
        <v>100150000</v>
      </c>
      <c r="AR27" s="5" t="b">
        <f>IF(NOT(AR26),FALSE,IF(NOT(器件参数!B27),TRUE,AND(COUNT(AN27:AQ27)=4,MIN(AN27:AQ27)&gt;0,IF(AND(ISNUMBER(器件参数!R27),ISNUMBER(器件参数!S27)),AND(MIN(AN26:AQ26)&gt;=器件参数!R27,MAX(AN26:AQ26)&lt;=器件参数!S27),TRUE),IF(AND(器件参数!E27="mixer",器件参数!U27="difference"),OR(器件参数!T27&lt;MIN(AN26:AQ26),器件参数!T27&gt;MAX(AN26:AQ26)),TRUE))))</f>
        <v>1</v>
      </c>
    </row>
    <row r="28" hidden="1" spans="1:44">
      <c r="A28" s="5">
        <f>器件参数!A28</f>
        <v>25</v>
      </c>
      <c r="B28" s="5" t="str">
        <f>器件参数!D28</f>
        <v/>
      </c>
      <c r="C28" s="5">
        <f>IF(NOT(器件参数!B28),0,IF(AND(ISNUMBER(器件参数!F28),ABS(器件参数!F28)&lt;=300),器件参数!F28,""))</f>
        <v>0</v>
      </c>
      <c r="D28" s="5">
        <f t="shared" si="0"/>
        <v>20</v>
      </c>
      <c r="E28" s="5">
        <f t="shared" si="1"/>
        <v>20</v>
      </c>
      <c r="F28" s="5">
        <f t="shared" si="2"/>
        <v>100</v>
      </c>
      <c r="G28" s="5">
        <f>IFERROR(IF(NOT(器件参数!B28),1,IF(NOT(OR(器件参数!E28&lt;&gt;"mixer",AND(OR(器件参数!V28="SSB",器件参数!V28="DSB"),器件参数!W28=TRUE))),"",IF(器件参数!G28="ideal",1,IF(AND(器件参数!G28="manual",ISNUMBER(器件参数!H28),器件参数!H28&gt;=0),10^(器件参数!H28/10),IF(AND(器件参数!G28="passive_thermal",OR(器件参数!E28="filter_bpf",器件参数!E28="filter_lpf",器件参数!E28="filter_hpf",器件参数!E28="filter_bsf",器件参数!E28="attenuator",器件参数!E28="cable",器件参数!E28="connector",器件参数!E28="switch",器件参数!E28="isolator",器件参数!E28="coupler",器件参数!E28="splitter"),AND(ISNUMBER(器件参数!F28),ABS(器件参数!F28)&lt;=300),器件参数!F28&lt;=0,ISNUMBER(器件参数!I28),器件参数!I28&gt;0),1+(10^(-器件参数!F28/10)-1)*器件参数!I28/Tref_K,""))))),"数值域错误")</f>
        <v>1</v>
      </c>
      <c r="H28" s="5">
        <f t="shared" si="3"/>
        <v>2.29336948552238</v>
      </c>
      <c r="I28" s="5">
        <f t="shared" si="4"/>
        <v>3.604740296957</v>
      </c>
      <c r="J28" s="5">
        <f>IF(AND(ISNUMBER(Pin_dBm),ISNUMBER(D28)),Pin_dBm+D28,"")</f>
        <v>-10</v>
      </c>
      <c r="K28" s="5">
        <f>IF(AND(ISNUMBER(Pin_dBm),ISNUMBER(E28)),Pin_dBm+E28,"")</f>
        <v>-10</v>
      </c>
      <c r="L28" s="5" t="str">
        <f>IF(AND(器件参数!J28="finite",ISNUMBER(器件参数!L28),ISNUMBER(C28)),IF(器件参数!K28="input",器件参数!L28,IF(器件参数!K28="output",器件参数!L28-C28,"")),"")</f>
        <v/>
      </c>
      <c r="M28" s="5">
        <f>IFERROR(IF(NOT(ISNUMBER(M27)),"",IF(OR(NOT(器件参数!B28),器件参数!J28="ideal"),M27,IF(AND(ISNUMBER(L28),ISNUMBER(F28)),M27+F28/10^(L28/10),""))),"数值域错误")</f>
        <v>0.2</v>
      </c>
      <c r="N28" s="5">
        <f t="shared" si="5"/>
        <v>6.98970004336019</v>
      </c>
      <c r="O28" s="5">
        <f t="shared" si="6"/>
        <v>26.9897000433602</v>
      </c>
      <c r="P28" s="5" t="str">
        <f>IF(AND(器件参数!M28="finite",ISNUMBER(器件参数!O28),ISNUMBER(C28)),IF(器件参数!N28="input",器件参数!O28,IF(器件参数!N28="actual_output",器件参数!O28-C28+1,IF(器件参数!N28="linear_output",器件参数!O28-C28,""))),"")</f>
        <v/>
      </c>
      <c r="Q28" s="5">
        <f>IF(器件参数!P28="",IF(AND(ISNUMBER(DefaultP),DefaultP&gt;=1,DefaultP&lt;=10),DefaultP,""),IF(AND(ISNUMBER(器件参数!P28),器件参数!P28&gt;=1,器件参数!P28&lt;=10),器件参数!P28,""))</f>
        <v>2</v>
      </c>
      <c r="R28" s="5">
        <f t="shared" si="7"/>
        <v>-10.0000139708288</v>
      </c>
      <c r="S28" s="5" t="str">
        <f t="shared" si="8"/>
        <v/>
      </c>
      <c r="T28" s="5">
        <f t="shared" si="9"/>
        <v>0</v>
      </c>
      <c r="U28" s="5">
        <f t="shared" si="10"/>
        <v>-10.0000139708288</v>
      </c>
      <c r="V28" s="5">
        <f>IF(AND(ISNUMBER(Pin_dBm),ISNUMBER(E28),ISNUMBER(U28)),Pin_dBm+E28-U28,"")</f>
        <v>1.39708287854035e-5</v>
      </c>
      <c r="W28" s="5" t="str">
        <f>IF(AND(器件参数!B28,X28=1,ISNUMBER(D28)),P28-D28,"")</f>
        <v/>
      </c>
      <c r="X28" s="5">
        <f>IF(NOT(ISNUMBER(C28)),-1,IF(OR(NOT(器件参数!B28),器件参数!M28="ideal"),0,IF(AND(ISNUMBER(P28),ISNUMBER(Q28)),1,-1)))</f>
        <v>0</v>
      </c>
      <c r="Y28" s="5" t="str">
        <f t="shared" si="11"/>
        <v>有效</v>
      </c>
      <c r="Z28" s="5" t="str">
        <f t="shared" si="12"/>
        <v>有效</v>
      </c>
      <c r="AA28" s="5" t="str">
        <f t="shared" si="13"/>
        <v>模型估算</v>
      </c>
      <c r="AB28" s="5">
        <f t="shared" si="14"/>
        <v>100000000</v>
      </c>
      <c r="AC28" s="5">
        <f>IF(NOT(ISNUMBER(AB28)),"",IF(OR(NOT(器件参数!B28),器件参数!E28&lt;&gt;"mixer"),AB28,IF(AND(ISNUMBER(器件参数!T28),器件参数!T28&gt;0),IF(器件参数!U28="sum",AB28+器件参数!T28,IF(器件参数!U28="difference",ABS(AB28-器件参数!T28),"")),"")))</f>
        <v>100000000</v>
      </c>
      <c r="AD28" s="5">
        <f t="shared" si="15"/>
        <v>0</v>
      </c>
      <c r="AE28" s="5">
        <f>IF(AND(ISNUMBER(G28),ISNUMBER(F28)),Tref_K*(G28-1)/F28,"")</f>
        <v>0</v>
      </c>
      <c r="AF28" s="5">
        <f>IF(AND(ISNUMBER(H28),ISNUMBER(E28),NoiseConfigOK),10*LOG10(Boltzmann*Bnoise_Hz*(Tsource_K+Tref_K*(H28-1)))+30+E28,"")</f>
        <v>-90.3704468972711</v>
      </c>
      <c r="AG28" s="5">
        <f t="shared" si="16"/>
        <v>80.3704468972711</v>
      </c>
      <c r="AH28" s="5">
        <f>IF(AND(ToneEnabled,ISNUMBER(E28),ISNUMBER(TonePin)),TonePin+E28,"")</f>
        <v>-10</v>
      </c>
      <c r="AI28" s="5">
        <f>IF(AND(ToneEnabled,ISNUMBER(E28),ISNUMBER(N28),ISNUMBER(TonePin)),3*TonePin+E28-2*N28,"")</f>
        <v>-83.9794000867204</v>
      </c>
      <c r="AJ28" s="5" t="str">
        <f t="shared" si="17"/>
        <v/>
      </c>
      <c r="AK28" s="5" t="str">
        <f>IF(NOT(器件参数!B28),"旁路",IF(NOT(ISNUMBER(AC28)),"频率未知",IF(AC28&lt;=SignalBW/2,"跨零频",IF(AND(ISNUMBER(器件参数!R28),ISNUMBER(器件参数!S28)),IF(AND(AB28-SignalBW/2&gt;=器件参数!R28,AB28+SignalBW/2&lt;=器件参数!S28),"有效","超声明通带"),"未声明通带"))))</f>
        <v>旁路</v>
      </c>
      <c r="AL28" s="5">
        <f t="shared" si="18"/>
        <v>0</v>
      </c>
      <c r="AM28" s="5" t="str">
        <f>IF(AND(器件参数!B28,ISNUMBER(器件参数!X28),OR(AND(ISNUMBER(J28),J28&gt;器件参数!X28),IF(AND(ToneEnabled,ISNUMBER(TonePin),ISNUMBER(D28)),TonePin+10*LOG10(2)+D28&gt;器件参数!X28,FALSE))),"超过绝对最大输入额定值","")</f>
        <v/>
      </c>
      <c r="AN28" s="5">
        <f>IF(NOT(ISNUMBER(AN27)),"",IF(OR(NOT(器件参数!B28),器件参数!E28&lt;&gt;"mixer"),AN27,IF(AND(ISNUMBER(器件参数!T28),器件参数!T28&gt;0),IF(器件参数!U28="sum",AN27+器件参数!T28,ABS(AN27-器件参数!T28)),"")))</f>
        <v>99950000</v>
      </c>
      <c r="AO28" s="5">
        <f>IF(NOT(ISNUMBER(AO27)),"",IF(OR(NOT(器件参数!B28),器件参数!E28&lt;&gt;"mixer"),AO27,IF(AND(ISNUMBER(器件参数!T28),器件参数!T28&gt;0),IF(器件参数!U28="sum",AO27+器件参数!T28,ABS(AO27-器件参数!T28)),"")))</f>
        <v>100050000</v>
      </c>
      <c r="AP28" s="5">
        <f>IF(NOT(ISNUMBER(AP27)),"",IF(OR(NOT(器件参数!B28),器件参数!E28&lt;&gt;"mixer"),AP27,IF(AND(ISNUMBER(器件参数!T28),器件参数!T28&gt;0),IF(器件参数!U28="sum",AP27+器件参数!T28,ABS(AP27-器件参数!T28)),"")))</f>
        <v>99850000</v>
      </c>
      <c r="AQ28" s="5">
        <f>IF(NOT(ISNUMBER(AQ27)),"",IF(OR(NOT(器件参数!B28),器件参数!E28&lt;&gt;"mixer"),AQ27,IF(AND(ISNUMBER(器件参数!T28),器件参数!T28&gt;0),IF(器件参数!U28="sum",AQ27+器件参数!T28,ABS(AQ27-器件参数!T28)),"")))</f>
        <v>100150000</v>
      </c>
      <c r="AR28" s="5" t="b">
        <f>IF(NOT(AR27),FALSE,IF(NOT(器件参数!B28),TRUE,AND(COUNT(AN28:AQ28)=4,MIN(AN28:AQ28)&gt;0,IF(AND(ISNUMBER(器件参数!R28),ISNUMBER(器件参数!S28)),AND(MIN(AN27:AQ27)&gt;=器件参数!R28,MAX(AN27:AQ27)&lt;=器件参数!S28),TRUE),IF(AND(器件参数!E28="mixer",器件参数!U28="difference"),OR(器件参数!T28&lt;MIN(AN27:AQ27),器件参数!T28&gt;MAX(AN27:AQ27)),TRUE))))</f>
        <v>1</v>
      </c>
    </row>
    <row r="29" hidden="1" spans="1:44">
      <c r="A29" s="5">
        <f>器件参数!A29</f>
        <v>26</v>
      </c>
      <c r="B29" s="5" t="str">
        <f>器件参数!D29</f>
        <v/>
      </c>
      <c r="C29" s="5">
        <f>IF(NOT(器件参数!B29),0,IF(AND(ISNUMBER(器件参数!F29),ABS(器件参数!F29)&lt;=300),器件参数!F29,""))</f>
        <v>0</v>
      </c>
      <c r="D29" s="5">
        <f t="shared" si="0"/>
        <v>20</v>
      </c>
      <c r="E29" s="5">
        <f t="shared" si="1"/>
        <v>20</v>
      </c>
      <c r="F29" s="5">
        <f t="shared" si="2"/>
        <v>100</v>
      </c>
      <c r="G29" s="5">
        <f>IFERROR(IF(NOT(器件参数!B29),1,IF(NOT(OR(器件参数!E29&lt;&gt;"mixer",AND(OR(器件参数!V29="SSB",器件参数!V29="DSB"),器件参数!W29=TRUE))),"",IF(器件参数!G29="ideal",1,IF(AND(器件参数!G29="manual",ISNUMBER(器件参数!H29),器件参数!H29&gt;=0),10^(器件参数!H29/10),IF(AND(器件参数!G29="passive_thermal",OR(器件参数!E29="filter_bpf",器件参数!E29="filter_lpf",器件参数!E29="filter_hpf",器件参数!E29="filter_bsf",器件参数!E29="attenuator",器件参数!E29="cable",器件参数!E29="connector",器件参数!E29="switch",器件参数!E29="isolator",器件参数!E29="coupler",器件参数!E29="splitter"),AND(ISNUMBER(器件参数!F29),ABS(器件参数!F29)&lt;=300),器件参数!F29&lt;=0,ISNUMBER(器件参数!I29),器件参数!I29&gt;0),1+(10^(-器件参数!F29/10)-1)*器件参数!I29/Tref_K,""))))),"数值域错误")</f>
        <v>1</v>
      </c>
      <c r="H29" s="5">
        <f t="shared" si="3"/>
        <v>2.29336948552238</v>
      </c>
      <c r="I29" s="5">
        <f t="shared" si="4"/>
        <v>3.604740296957</v>
      </c>
      <c r="J29" s="5">
        <f>IF(AND(ISNUMBER(Pin_dBm),ISNUMBER(D29)),Pin_dBm+D29,"")</f>
        <v>-10</v>
      </c>
      <c r="K29" s="5">
        <f>IF(AND(ISNUMBER(Pin_dBm),ISNUMBER(E29)),Pin_dBm+E29,"")</f>
        <v>-10</v>
      </c>
      <c r="L29" s="5" t="str">
        <f>IF(AND(器件参数!J29="finite",ISNUMBER(器件参数!L29),ISNUMBER(C29)),IF(器件参数!K29="input",器件参数!L29,IF(器件参数!K29="output",器件参数!L29-C29,"")),"")</f>
        <v/>
      </c>
      <c r="M29" s="5">
        <f>IFERROR(IF(NOT(ISNUMBER(M28)),"",IF(OR(NOT(器件参数!B29),器件参数!J29="ideal"),M28,IF(AND(ISNUMBER(L29),ISNUMBER(F29)),M28+F29/10^(L29/10),""))),"数值域错误")</f>
        <v>0.2</v>
      </c>
      <c r="N29" s="5">
        <f t="shared" si="5"/>
        <v>6.98970004336019</v>
      </c>
      <c r="O29" s="5">
        <f t="shared" si="6"/>
        <v>26.9897000433602</v>
      </c>
      <c r="P29" s="5" t="str">
        <f>IF(AND(器件参数!M29="finite",ISNUMBER(器件参数!O29),ISNUMBER(C29)),IF(器件参数!N29="input",器件参数!O29,IF(器件参数!N29="actual_output",器件参数!O29-C29+1,IF(器件参数!N29="linear_output",器件参数!O29-C29,""))),"")</f>
        <v/>
      </c>
      <c r="Q29" s="5">
        <f>IF(器件参数!P29="",IF(AND(ISNUMBER(DefaultP),DefaultP&gt;=1,DefaultP&lt;=10),DefaultP,""),IF(AND(ISNUMBER(器件参数!P29),器件参数!P29&gt;=1,器件参数!P29&lt;=10),器件参数!P29,""))</f>
        <v>2</v>
      </c>
      <c r="R29" s="5">
        <f t="shared" si="7"/>
        <v>-10.0000139708288</v>
      </c>
      <c r="S29" s="5" t="str">
        <f t="shared" si="8"/>
        <v/>
      </c>
      <c r="T29" s="5">
        <f t="shared" si="9"/>
        <v>0</v>
      </c>
      <c r="U29" s="5">
        <f t="shared" si="10"/>
        <v>-10.0000139708288</v>
      </c>
      <c r="V29" s="5">
        <f>IF(AND(ISNUMBER(Pin_dBm),ISNUMBER(E29),ISNUMBER(U29)),Pin_dBm+E29-U29,"")</f>
        <v>1.39708287854035e-5</v>
      </c>
      <c r="W29" s="5" t="str">
        <f>IF(AND(器件参数!B29,X29=1,ISNUMBER(D29)),P29-D29,"")</f>
        <v/>
      </c>
      <c r="X29" s="5">
        <f>IF(NOT(ISNUMBER(C29)),-1,IF(OR(NOT(器件参数!B29),器件参数!M29="ideal"),0,IF(AND(ISNUMBER(P29),ISNUMBER(Q29)),1,-1)))</f>
        <v>0</v>
      </c>
      <c r="Y29" s="5" t="str">
        <f t="shared" si="11"/>
        <v>有效</v>
      </c>
      <c r="Z29" s="5" t="str">
        <f t="shared" si="12"/>
        <v>有效</v>
      </c>
      <c r="AA29" s="5" t="str">
        <f t="shared" si="13"/>
        <v>模型估算</v>
      </c>
      <c r="AB29" s="5">
        <f t="shared" si="14"/>
        <v>100000000</v>
      </c>
      <c r="AC29" s="5">
        <f>IF(NOT(ISNUMBER(AB29)),"",IF(OR(NOT(器件参数!B29),器件参数!E29&lt;&gt;"mixer"),AB29,IF(AND(ISNUMBER(器件参数!T29),器件参数!T29&gt;0),IF(器件参数!U29="sum",AB29+器件参数!T29,IF(器件参数!U29="difference",ABS(AB29-器件参数!T29),"")),"")))</f>
        <v>100000000</v>
      </c>
      <c r="AD29" s="5">
        <f t="shared" si="15"/>
        <v>0</v>
      </c>
      <c r="AE29" s="5">
        <f>IF(AND(ISNUMBER(G29),ISNUMBER(F29)),Tref_K*(G29-1)/F29,"")</f>
        <v>0</v>
      </c>
      <c r="AF29" s="5">
        <f>IF(AND(ISNUMBER(H29),ISNUMBER(E29),NoiseConfigOK),10*LOG10(Boltzmann*Bnoise_Hz*(Tsource_K+Tref_K*(H29-1)))+30+E29,"")</f>
        <v>-90.3704468972711</v>
      </c>
      <c r="AG29" s="5">
        <f t="shared" si="16"/>
        <v>80.3704468972711</v>
      </c>
      <c r="AH29" s="5">
        <f>IF(AND(ToneEnabled,ISNUMBER(E29),ISNUMBER(TonePin)),TonePin+E29,"")</f>
        <v>-10</v>
      </c>
      <c r="AI29" s="5">
        <f>IF(AND(ToneEnabled,ISNUMBER(E29),ISNUMBER(N29),ISNUMBER(TonePin)),3*TonePin+E29-2*N29,"")</f>
        <v>-83.9794000867204</v>
      </c>
      <c r="AJ29" s="5" t="str">
        <f t="shared" si="17"/>
        <v/>
      </c>
      <c r="AK29" s="5" t="str">
        <f>IF(NOT(器件参数!B29),"旁路",IF(NOT(ISNUMBER(AC29)),"频率未知",IF(AC29&lt;=SignalBW/2,"跨零频",IF(AND(ISNUMBER(器件参数!R29),ISNUMBER(器件参数!S29)),IF(AND(AB29-SignalBW/2&gt;=器件参数!R29,AB29+SignalBW/2&lt;=器件参数!S29),"有效","超声明通带"),"未声明通带"))))</f>
        <v>旁路</v>
      </c>
      <c r="AL29" s="5">
        <f t="shared" si="18"/>
        <v>0</v>
      </c>
      <c r="AM29" s="5" t="str">
        <f>IF(AND(器件参数!B29,ISNUMBER(器件参数!X29),OR(AND(ISNUMBER(J29),J29&gt;器件参数!X29),IF(AND(ToneEnabled,ISNUMBER(TonePin),ISNUMBER(D29)),TonePin+10*LOG10(2)+D29&gt;器件参数!X29,FALSE))),"超过绝对最大输入额定值","")</f>
        <v/>
      </c>
      <c r="AN29" s="5">
        <f>IF(NOT(ISNUMBER(AN28)),"",IF(OR(NOT(器件参数!B29),器件参数!E29&lt;&gt;"mixer"),AN28,IF(AND(ISNUMBER(器件参数!T29),器件参数!T29&gt;0),IF(器件参数!U29="sum",AN28+器件参数!T29,ABS(AN28-器件参数!T29)),"")))</f>
        <v>99950000</v>
      </c>
      <c r="AO29" s="5">
        <f>IF(NOT(ISNUMBER(AO28)),"",IF(OR(NOT(器件参数!B29),器件参数!E29&lt;&gt;"mixer"),AO28,IF(AND(ISNUMBER(器件参数!T29),器件参数!T29&gt;0),IF(器件参数!U29="sum",AO28+器件参数!T29,ABS(AO28-器件参数!T29)),"")))</f>
        <v>100050000</v>
      </c>
      <c r="AP29" s="5">
        <f>IF(NOT(ISNUMBER(AP28)),"",IF(OR(NOT(器件参数!B29),器件参数!E29&lt;&gt;"mixer"),AP28,IF(AND(ISNUMBER(器件参数!T29),器件参数!T29&gt;0),IF(器件参数!U29="sum",AP28+器件参数!T29,ABS(AP28-器件参数!T29)),"")))</f>
        <v>99850000</v>
      </c>
      <c r="AQ29" s="5">
        <f>IF(NOT(ISNUMBER(AQ28)),"",IF(OR(NOT(器件参数!B29),器件参数!E29&lt;&gt;"mixer"),AQ28,IF(AND(ISNUMBER(器件参数!T29),器件参数!T29&gt;0),IF(器件参数!U29="sum",AQ28+器件参数!T29,ABS(AQ28-器件参数!T29)),"")))</f>
        <v>100150000</v>
      </c>
      <c r="AR29" s="5" t="b">
        <f>IF(NOT(AR28),FALSE,IF(NOT(器件参数!B29),TRUE,AND(COUNT(AN29:AQ29)=4,MIN(AN29:AQ29)&gt;0,IF(AND(ISNUMBER(器件参数!R29),ISNUMBER(器件参数!S29)),AND(MIN(AN28:AQ28)&gt;=器件参数!R29,MAX(AN28:AQ28)&lt;=器件参数!S29),TRUE),IF(AND(器件参数!E29="mixer",器件参数!U29="difference"),OR(器件参数!T29&lt;MIN(AN28:AQ28),器件参数!T29&gt;MAX(AN28:AQ28)),TRUE))))</f>
        <v>1</v>
      </c>
    </row>
    <row r="30" hidden="1" spans="1:44">
      <c r="A30" s="5">
        <f>器件参数!A30</f>
        <v>27</v>
      </c>
      <c r="B30" s="5" t="str">
        <f>器件参数!D30</f>
        <v/>
      </c>
      <c r="C30" s="5">
        <f>IF(NOT(器件参数!B30),0,IF(AND(ISNUMBER(器件参数!F30),ABS(器件参数!F30)&lt;=300),器件参数!F30,""))</f>
        <v>0</v>
      </c>
      <c r="D30" s="5">
        <f t="shared" si="0"/>
        <v>20</v>
      </c>
      <c r="E30" s="5">
        <f t="shared" si="1"/>
        <v>20</v>
      </c>
      <c r="F30" s="5">
        <f t="shared" si="2"/>
        <v>100</v>
      </c>
      <c r="G30" s="5">
        <f>IFERROR(IF(NOT(器件参数!B30),1,IF(NOT(OR(器件参数!E30&lt;&gt;"mixer",AND(OR(器件参数!V30="SSB",器件参数!V30="DSB"),器件参数!W30=TRUE))),"",IF(器件参数!G30="ideal",1,IF(AND(器件参数!G30="manual",ISNUMBER(器件参数!H30),器件参数!H30&gt;=0),10^(器件参数!H30/10),IF(AND(器件参数!G30="passive_thermal",OR(器件参数!E30="filter_bpf",器件参数!E30="filter_lpf",器件参数!E30="filter_hpf",器件参数!E30="filter_bsf",器件参数!E30="attenuator",器件参数!E30="cable",器件参数!E30="connector",器件参数!E30="switch",器件参数!E30="isolator",器件参数!E30="coupler",器件参数!E30="splitter"),AND(ISNUMBER(器件参数!F30),ABS(器件参数!F30)&lt;=300),器件参数!F30&lt;=0,ISNUMBER(器件参数!I30),器件参数!I30&gt;0),1+(10^(-器件参数!F30/10)-1)*器件参数!I30/Tref_K,""))))),"数值域错误")</f>
        <v>1</v>
      </c>
      <c r="H30" s="5">
        <f t="shared" si="3"/>
        <v>2.29336948552238</v>
      </c>
      <c r="I30" s="5">
        <f t="shared" si="4"/>
        <v>3.604740296957</v>
      </c>
      <c r="J30" s="5">
        <f>IF(AND(ISNUMBER(Pin_dBm),ISNUMBER(D30)),Pin_dBm+D30,"")</f>
        <v>-10</v>
      </c>
      <c r="K30" s="5">
        <f>IF(AND(ISNUMBER(Pin_dBm),ISNUMBER(E30)),Pin_dBm+E30,"")</f>
        <v>-10</v>
      </c>
      <c r="L30" s="5" t="str">
        <f>IF(AND(器件参数!J30="finite",ISNUMBER(器件参数!L30),ISNUMBER(C30)),IF(器件参数!K30="input",器件参数!L30,IF(器件参数!K30="output",器件参数!L30-C30,"")),"")</f>
        <v/>
      </c>
      <c r="M30" s="5">
        <f>IFERROR(IF(NOT(ISNUMBER(M29)),"",IF(OR(NOT(器件参数!B30),器件参数!J30="ideal"),M29,IF(AND(ISNUMBER(L30),ISNUMBER(F30)),M29+F30/10^(L30/10),""))),"数值域错误")</f>
        <v>0.2</v>
      </c>
      <c r="N30" s="5">
        <f t="shared" si="5"/>
        <v>6.98970004336019</v>
      </c>
      <c r="O30" s="5">
        <f t="shared" si="6"/>
        <v>26.9897000433602</v>
      </c>
      <c r="P30" s="5" t="str">
        <f>IF(AND(器件参数!M30="finite",ISNUMBER(器件参数!O30),ISNUMBER(C30)),IF(器件参数!N30="input",器件参数!O30,IF(器件参数!N30="actual_output",器件参数!O30-C30+1,IF(器件参数!N30="linear_output",器件参数!O30-C30,""))),"")</f>
        <v/>
      </c>
      <c r="Q30" s="5">
        <f>IF(器件参数!P30="",IF(AND(ISNUMBER(DefaultP),DefaultP&gt;=1,DefaultP&lt;=10),DefaultP,""),IF(AND(ISNUMBER(器件参数!P30),器件参数!P30&gt;=1,器件参数!P30&lt;=10),器件参数!P30,""))</f>
        <v>2</v>
      </c>
      <c r="R30" s="5">
        <f t="shared" si="7"/>
        <v>-10.0000139708288</v>
      </c>
      <c r="S30" s="5" t="str">
        <f t="shared" si="8"/>
        <v/>
      </c>
      <c r="T30" s="5">
        <f t="shared" si="9"/>
        <v>0</v>
      </c>
      <c r="U30" s="5">
        <f t="shared" si="10"/>
        <v>-10.0000139708288</v>
      </c>
      <c r="V30" s="5">
        <f>IF(AND(ISNUMBER(Pin_dBm),ISNUMBER(E30),ISNUMBER(U30)),Pin_dBm+E30-U30,"")</f>
        <v>1.39708287854035e-5</v>
      </c>
      <c r="W30" s="5" t="str">
        <f>IF(AND(器件参数!B30,X30=1,ISNUMBER(D30)),P30-D30,"")</f>
        <v/>
      </c>
      <c r="X30" s="5">
        <f>IF(NOT(ISNUMBER(C30)),-1,IF(OR(NOT(器件参数!B30),器件参数!M30="ideal"),0,IF(AND(ISNUMBER(P30),ISNUMBER(Q30)),1,-1)))</f>
        <v>0</v>
      </c>
      <c r="Y30" s="5" t="str">
        <f t="shared" si="11"/>
        <v>有效</v>
      </c>
      <c r="Z30" s="5" t="str">
        <f t="shared" si="12"/>
        <v>有效</v>
      </c>
      <c r="AA30" s="5" t="str">
        <f t="shared" si="13"/>
        <v>模型估算</v>
      </c>
      <c r="AB30" s="5">
        <f t="shared" si="14"/>
        <v>100000000</v>
      </c>
      <c r="AC30" s="5">
        <f>IF(NOT(ISNUMBER(AB30)),"",IF(OR(NOT(器件参数!B30),器件参数!E30&lt;&gt;"mixer"),AB30,IF(AND(ISNUMBER(器件参数!T30),器件参数!T30&gt;0),IF(器件参数!U30="sum",AB30+器件参数!T30,IF(器件参数!U30="difference",ABS(AB30-器件参数!T30),"")),"")))</f>
        <v>100000000</v>
      </c>
      <c r="AD30" s="5">
        <f t="shared" si="15"/>
        <v>0</v>
      </c>
      <c r="AE30" s="5">
        <f>IF(AND(ISNUMBER(G30),ISNUMBER(F30)),Tref_K*(G30-1)/F30,"")</f>
        <v>0</v>
      </c>
      <c r="AF30" s="5">
        <f>IF(AND(ISNUMBER(H30),ISNUMBER(E30),NoiseConfigOK),10*LOG10(Boltzmann*Bnoise_Hz*(Tsource_K+Tref_K*(H30-1)))+30+E30,"")</f>
        <v>-90.3704468972711</v>
      </c>
      <c r="AG30" s="5">
        <f t="shared" si="16"/>
        <v>80.3704468972711</v>
      </c>
      <c r="AH30" s="5">
        <f>IF(AND(ToneEnabled,ISNUMBER(E30),ISNUMBER(TonePin)),TonePin+E30,"")</f>
        <v>-10</v>
      </c>
      <c r="AI30" s="5">
        <f>IF(AND(ToneEnabled,ISNUMBER(E30),ISNUMBER(N30),ISNUMBER(TonePin)),3*TonePin+E30-2*N30,"")</f>
        <v>-83.9794000867204</v>
      </c>
      <c r="AJ30" s="5" t="str">
        <f t="shared" si="17"/>
        <v/>
      </c>
      <c r="AK30" s="5" t="str">
        <f>IF(NOT(器件参数!B30),"旁路",IF(NOT(ISNUMBER(AC30)),"频率未知",IF(AC30&lt;=SignalBW/2,"跨零频",IF(AND(ISNUMBER(器件参数!R30),ISNUMBER(器件参数!S30)),IF(AND(AB30-SignalBW/2&gt;=器件参数!R30,AB30+SignalBW/2&lt;=器件参数!S30),"有效","超声明通带"),"未声明通带"))))</f>
        <v>旁路</v>
      </c>
      <c r="AL30" s="5">
        <f t="shared" si="18"/>
        <v>0</v>
      </c>
      <c r="AM30" s="5" t="str">
        <f>IF(AND(器件参数!B30,ISNUMBER(器件参数!X30),OR(AND(ISNUMBER(J30),J30&gt;器件参数!X30),IF(AND(ToneEnabled,ISNUMBER(TonePin),ISNUMBER(D30)),TonePin+10*LOG10(2)+D30&gt;器件参数!X30,FALSE))),"超过绝对最大输入额定值","")</f>
        <v/>
      </c>
      <c r="AN30" s="5">
        <f>IF(NOT(ISNUMBER(AN29)),"",IF(OR(NOT(器件参数!B30),器件参数!E30&lt;&gt;"mixer"),AN29,IF(AND(ISNUMBER(器件参数!T30),器件参数!T30&gt;0),IF(器件参数!U30="sum",AN29+器件参数!T30,ABS(AN29-器件参数!T30)),"")))</f>
        <v>99950000</v>
      </c>
      <c r="AO30" s="5">
        <f>IF(NOT(ISNUMBER(AO29)),"",IF(OR(NOT(器件参数!B30),器件参数!E30&lt;&gt;"mixer"),AO29,IF(AND(ISNUMBER(器件参数!T30),器件参数!T30&gt;0),IF(器件参数!U30="sum",AO29+器件参数!T30,ABS(AO29-器件参数!T30)),"")))</f>
        <v>100050000</v>
      </c>
      <c r="AP30" s="5">
        <f>IF(NOT(ISNUMBER(AP29)),"",IF(OR(NOT(器件参数!B30),器件参数!E30&lt;&gt;"mixer"),AP29,IF(AND(ISNUMBER(器件参数!T30),器件参数!T30&gt;0),IF(器件参数!U30="sum",AP29+器件参数!T30,ABS(AP29-器件参数!T30)),"")))</f>
        <v>99850000</v>
      </c>
      <c r="AQ30" s="5">
        <f>IF(NOT(ISNUMBER(AQ29)),"",IF(OR(NOT(器件参数!B30),器件参数!E30&lt;&gt;"mixer"),AQ29,IF(AND(ISNUMBER(器件参数!T30),器件参数!T30&gt;0),IF(器件参数!U30="sum",AQ29+器件参数!T30,ABS(AQ29-器件参数!T30)),"")))</f>
        <v>100150000</v>
      </c>
      <c r="AR30" s="5" t="b">
        <f>IF(NOT(AR29),FALSE,IF(NOT(器件参数!B30),TRUE,AND(COUNT(AN30:AQ30)=4,MIN(AN30:AQ30)&gt;0,IF(AND(ISNUMBER(器件参数!R30),ISNUMBER(器件参数!S30)),AND(MIN(AN29:AQ29)&gt;=器件参数!R30,MAX(AN29:AQ29)&lt;=器件参数!S30),TRUE),IF(AND(器件参数!E30="mixer",器件参数!U30="difference"),OR(器件参数!T30&lt;MIN(AN29:AQ29),器件参数!T30&gt;MAX(AN29:AQ29)),TRUE))))</f>
        <v>1</v>
      </c>
    </row>
    <row r="31" hidden="1" spans="1:44">
      <c r="A31" s="5">
        <f>器件参数!A31</f>
        <v>28</v>
      </c>
      <c r="B31" s="5" t="str">
        <f>器件参数!D31</f>
        <v/>
      </c>
      <c r="C31" s="5">
        <f>IF(NOT(器件参数!B31),0,IF(AND(ISNUMBER(器件参数!F31),ABS(器件参数!F31)&lt;=300),器件参数!F31,""))</f>
        <v>0</v>
      </c>
      <c r="D31" s="5">
        <f t="shared" si="0"/>
        <v>20</v>
      </c>
      <c r="E31" s="5">
        <f t="shared" si="1"/>
        <v>20</v>
      </c>
      <c r="F31" s="5">
        <f t="shared" si="2"/>
        <v>100</v>
      </c>
      <c r="G31" s="5">
        <f>IFERROR(IF(NOT(器件参数!B31),1,IF(NOT(OR(器件参数!E31&lt;&gt;"mixer",AND(OR(器件参数!V31="SSB",器件参数!V31="DSB"),器件参数!W31=TRUE))),"",IF(器件参数!G31="ideal",1,IF(AND(器件参数!G31="manual",ISNUMBER(器件参数!H31),器件参数!H31&gt;=0),10^(器件参数!H31/10),IF(AND(器件参数!G31="passive_thermal",OR(器件参数!E31="filter_bpf",器件参数!E31="filter_lpf",器件参数!E31="filter_hpf",器件参数!E31="filter_bsf",器件参数!E31="attenuator",器件参数!E31="cable",器件参数!E31="connector",器件参数!E31="switch",器件参数!E31="isolator",器件参数!E31="coupler",器件参数!E31="splitter"),AND(ISNUMBER(器件参数!F31),ABS(器件参数!F31)&lt;=300),器件参数!F31&lt;=0,ISNUMBER(器件参数!I31),器件参数!I31&gt;0),1+(10^(-器件参数!F31/10)-1)*器件参数!I31/Tref_K,""))))),"数值域错误")</f>
        <v>1</v>
      </c>
      <c r="H31" s="5">
        <f t="shared" si="3"/>
        <v>2.29336948552238</v>
      </c>
      <c r="I31" s="5">
        <f t="shared" si="4"/>
        <v>3.604740296957</v>
      </c>
      <c r="J31" s="5">
        <f>IF(AND(ISNUMBER(Pin_dBm),ISNUMBER(D31)),Pin_dBm+D31,"")</f>
        <v>-10</v>
      </c>
      <c r="K31" s="5">
        <f>IF(AND(ISNUMBER(Pin_dBm),ISNUMBER(E31)),Pin_dBm+E31,"")</f>
        <v>-10</v>
      </c>
      <c r="L31" s="5" t="str">
        <f>IF(AND(器件参数!J31="finite",ISNUMBER(器件参数!L31),ISNUMBER(C31)),IF(器件参数!K31="input",器件参数!L31,IF(器件参数!K31="output",器件参数!L31-C31,"")),"")</f>
        <v/>
      </c>
      <c r="M31" s="5">
        <f>IFERROR(IF(NOT(ISNUMBER(M30)),"",IF(OR(NOT(器件参数!B31),器件参数!J31="ideal"),M30,IF(AND(ISNUMBER(L31),ISNUMBER(F31)),M30+F31/10^(L31/10),""))),"数值域错误")</f>
        <v>0.2</v>
      </c>
      <c r="N31" s="5">
        <f t="shared" si="5"/>
        <v>6.98970004336019</v>
      </c>
      <c r="O31" s="5">
        <f t="shared" si="6"/>
        <v>26.9897000433602</v>
      </c>
      <c r="P31" s="5" t="str">
        <f>IF(AND(器件参数!M31="finite",ISNUMBER(器件参数!O31),ISNUMBER(C31)),IF(器件参数!N31="input",器件参数!O31,IF(器件参数!N31="actual_output",器件参数!O31-C31+1,IF(器件参数!N31="linear_output",器件参数!O31-C31,""))),"")</f>
        <v/>
      </c>
      <c r="Q31" s="5">
        <f>IF(器件参数!P31="",IF(AND(ISNUMBER(DefaultP),DefaultP&gt;=1,DefaultP&lt;=10),DefaultP,""),IF(AND(ISNUMBER(器件参数!P31),器件参数!P31&gt;=1,器件参数!P31&lt;=10),器件参数!P31,""))</f>
        <v>2</v>
      </c>
      <c r="R31" s="5">
        <f t="shared" si="7"/>
        <v>-10.0000139708288</v>
      </c>
      <c r="S31" s="5" t="str">
        <f t="shared" si="8"/>
        <v/>
      </c>
      <c r="T31" s="5">
        <f t="shared" si="9"/>
        <v>0</v>
      </c>
      <c r="U31" s="5">
        <f t="shared" si="10"/>
        <v>-10.0000139708288</v>
      </c>
      <c r="V31" s="5">
        <f>IF(AND(ISNUMBER(Pin_dBm),ISNUMBER(E31),ISNUMBER(U31)),Pin_dBm+E31-U31,"")</f>
        <v>1.39708287854035e-5</v>
      </c>
      <c r="W31" s="5" t="str">
        <f>IF(AND(器件参数!B31,X31=1,ISNUMBER(D31)),P31-D31,"")</f>
        <v/>
      </c>
      <c r="X31" s="5">
        <f>IF(NOT(ISNUMBER(C31)),-1,IF(OR(NOT(器件参数!B31),器件参数!M31="ideal"),0,IF(AND(ISNUMBER(P31),ISNUMBER(Q31)),1,-1)))</f>
        <v>0</v>
      </c>
      <c r="Y31" s="5" t="str">
        <f t="shared" si="11"/>
        <v>有效</v>
      </c>
      <c r="Z31" s="5" t="str">
        <f t="shared" si="12"/>
        <v>有效</v>
      </c>
      <c r="AA31" s="5" t="str">
        <f t="shared" si="13"/>
        <v>模型估算</v>
      </c>
      <c r="AB31" s="5">
        <f t="shared" si="14"/>
        <v>100000000</v>
      </c>
      <c r="AC31" s="5">
        <f>IF(NOT(ISNUMBER(AB31)),"",IF(OR(NOT(器件参数!B31),器件参数!E31&lt;&gt;"mixer"),AB31,IF(AND(ISNUMBER(器件参数!T31),器件参数!T31&gt;0),IF(器件参数!U31="sum",AB31+器件参数!T31,IF(器件参数!U31="difference",ABS(AB31-器件参数!T31),"")),"")))</f>
        <v>100000000</v>
      </c>
      <c r="AD31" s="5">
        <f t="shared" si="15"/>
        <v>0</v>
      </c>
      <c r="AE31" s="5">
        <f>IF(AND(ISNUMBER(G31),ISNUMBER(F31)),Tref_K*(G31-1)/F31,"")</f>
        <v>0</v>
      </c>
      <c r="AF31" s="5">
        <f>IF(AND(ISNUMBER(H31),ISNUMBER(E31),NoiseConfigOK),10*LOG10(Boltzmann*Bnoise_Hz*(Tsource_K+Tref_K*(H31-1)))+30+E31,"")</f>
        <v>-90.3704468972711</v>
      </c>
      <c r="AG31" s="5">
        <f t="shared" si="16"/>
        <v>80.3704468972711</v>
      </c>
      <c r="AH31" s="5">
        <f>IF(AND(ToneEnabled,ISNUMBER(E31),ISNUMBER(TonePin)),TonePin+E31,"")</f>
        <v>-10</v>
      </c>
      <c r="AI31" s="5">
        <f>IF(AND(ToneEnabled,ISNUMBER(E31),ISNUMBER(N31),ISNUMBER(TonePin)),3*TonePin+E31-2*N31,"")</f>
        <v>-83.9794000867204</v>
      </c>
      <c r="AJ31" s="5" t="str">
        <f t="shared" si="17"/>
        <v/>
      </c>
      <c r="AK31" s="5" t="str">
        <f>IF(NOT(器件参数!B31),"旁路",IF(NOT(ISNUMBER(AC31)),"频率未知",IF(AC31&lt;=SignalBW/2,"跨零频",IF(AND(ISNUMBER(器件参数!R31),ISNUMBER(器件参数!S31)),IF(AND(AB31-SignalBW/2&gt;=器件参数!R31,AB31+SignalBW/2&lt;=器件参数!S31),"有效","超声明通带"),"未声明通带"))))</f>
        <v>旁路</v>
      </c>
      <c r="AL31" s="5">
        <f t="shared" si="18"/>
        <v>0</v>
      </c>
      <c r="AM31" s="5" t="str">
        <f>IF(AND(器件参数!B31,ISNUMBER(器件参数!X31),OR(AND(ISNUMBER(J31),J31&gt;器件参数!X31),IF(AND(ToneEnabled,ISNUMBER(TonePin),ISNUMBER(D31)),TonePin+10*LOG10(2)+D31&gt;器件参数!X31,FALSE))),"超过绝对最大输入额定值","")</f>
        <v/>
      </c>
      <c r="AN31" s="5">
        <f>IF(NOT(ISNUMBER(AN30)),"",IF(OR(NOT(器件参数!B31),器件参数!E31&lt;&gt;"mixer"),AN30,IF(AND(ISNUMBER(器件参数!T31),器件参数!T31&gt;0),IF(器件参数!U31="sum",AN30+器件参数!T31,ABS(AN30-器件参数!T31)),"")))</f>
        <v>99950000</v>
      </c>
      <c r="AO31" s="5">
        <f>IF(NOT(ISNUMBER(AO30)),"",IF(OR(NOT(器件参数!B31),器件参数!E31&lt;&gt;"mixer"),AO30,IF(AND(ISNUMBER(器件参数!T31),器件参数!T31&gt;0),IF(器件参数!U31="sum",AO30+器件参数!T31,ABS(AO30-器件参数!T31)),"")))</f>
        <v>100050000</v>
      </c>
      <c r="AP31" s="5">
        <f>IF(NOT(ISNUMBER(AP30)),"",IF(OR(NOT(器件参数!B31),器件参数!E31&lt;&gt;"mixer"),AP30,IF(AND(ISNUMBER(器件参数!T31),器件参数!T31&gt;0),IF(器件参数!U31="sum",AP30+器件参数!T31,ABS(AP30-器件参数!T31)),"")))</f>
        <v>99850000</v>
      </c>
      <c r="AQ31" s="5">
        <f>IF(NOT(ISNUMBER(AQ30)),"",IF(OR(NOT(器件参数!B31),器件参数!E31&lt;&gt;"mixer"),AQ30,IF(AND(ISNUMBER(器件参数!T31),器件参数!T31&gt;0),IF(器件参数!U31="sum",AQ30+器件参数!T31,ABS(AQ30-器件参数!T31)),"")))</f>
        <v>100150000</v>
      </c>
      <c r="AR31" s="5" t="b">
        <f>IF(NOT(AR30),FALSE,IF(NOT(器件参数!B31),TRUE,AND(COUNT(AN31:AQ31)=4,MIN(AN31:AQ31)&gt;0,IF(AND(ISNUMBER(器件参数!R31),ISNUMBER(器件参数!S31)),AND(MIN(AN30:AQ30)&gt;=器件参数!R31,MAX(AN30:AQ30)&lt;=器件参数!S31),TRUE),IF(AND(器件参数!E31="mixer",器件参数!U31="difference"),OR(器件参数!T31&lt;MIN(AN30:AQ30),器件参数!T31&gt;MAX(AN30:AQ30)),TRUE))))</f>
        <v>1</v>
      </c>
    </row>
    <row r="32" hidden="1" spans="1:44">
      <c r="A32" s="5">
        <f>器件参数!A32</f>
        <v>29</v>
      </c>
      <c r="B32" s="5" t="str">
        <f>器件参数!D32</f>
        <v/>
      </c>
      <c r="C32" s="5">
        <f>IF(NOT(器件参数!B32),0,IF(AND(ISNUMBER(器件参数!F32),ABS(器件参数!F32)&lt;=300),器件参数!F32,""))</f>
        <v>0</v>
      </c>
      <c r="D32" s="5">
        <f t="shared" si="0"/>
        <v>20</v>
      </c>
      <c r="E32" s="5">
        <f t="shared" si="1"/>
        <v>20</v>
      </c>
      <c r="F32" s="5">
        <f t="shared" si="2"/>
        <v>100</v>
      </c>
      <c r="G32" s="5">
        <f>IFERROR(IF(NOT(器件参数!B32),1,IF(NOT(OR(器件参数!E32&lt;&gt;"mixer",AND(OR(器件参数!V32="SSB",器件参数!V32="DSB"),器件参数!W32=TRUE))),"",IF(器件参数!G32="ideal",1,IF(AND(器件参数!G32="manual",ISNUMBER(器件参数!H32),器件参数!H32&gt;=0),10^(器件参数!H32/10),IF(AND(器件参数!G32="passive_thermal",OR(器件参数!E32="filter_bpf",器件参数!E32="filter_lpf",器件参数!E32="filter_hpf",器件参数!E32="filter_bsf",器件参数!E32="attenuator",器件参数!E32="cable",器件参数!E32="connector",器件参数!E32="switch",器件参数!E32="isolator",器件参数!E32="coupler",器件参数!E32="splitter"),AND(ISNUMBER(器件参数!F32),ABS(器件参数!F32)&lt;=300),器件参数!F32&lt;=0,ISNUMBER(器件参数!I32),器件参数!I32&gt;0),1+(10^(-器件参数!F32/10)-1)*器件参数!I32/Tref_K,""))))),"数值域错误")</f>
        <v>1</v>
      </c>
      <c r="H32" s="5">
        <f t="shared" si="3"/>
        <v>2.29336948552238</v>
      </c>
      <c r="I32" s="5">
        <f t="shared" si="4"/>
        <v>3.604740296957</v>
      </c>
      <c r="J32" s="5">
        <f>IF(AND(ISNUMBER(Pin_dBm),ISNUMBER(D32)),Pin_dBm+D32,"")</f>
        <v>-10</v>
      </c>
      <c r="K32" s="5">
        <f>IF(AND(ISNUMBER(Pin_dBm),ISNUMBER(E32)),Pin_dBm+E32,"")</f>
        <v>-10</v>
      </c>
      <c r="L32" s="5" t="str">
        <f>IF(AND(器件参数!J32="finite",ISNUMBER(器件参数!L32),ISNUMBER(C32)),IF(器件参数!K32="input",器件参数!L32,IF(器件参数!K32="output",器件参数!L32-C32,"")),"")</f>
        <v/>
      </c>
      <c r="M32" s="5">
        <f>IFERROR(IF(NOT(ISNUMBER(M31)),"",IF(OR(NOT(器件参数!B32),器件参数!J32="ideal"),M31,IF(AND(ISNUMBER(L32),ISNUMBER(F32)),M31+F32/10^(L32/10),""))),"数值域错误")</f>
        <v>0.2</v>
      </c>
      <c r="N32" s="5">
        <f t="shared" si="5"/>
        <v>6.98970004336019</v>
      </c>
      <c r="O32" s="5">
        <f t="shared" si="6"/>
        <v>26.9897000433602</v>
      </c>
      <c r="P32" s="5" t="str">
        <f>IF(AND(器件参数!M32="finite",ISNUMBER(器件参数!O32),ISNUMBER(C32)),IF(器件参数!N32="input",器件参数!O32,IF(器件参数!N32="actual_output",器件参数!O32-C32+1,IF(器件参数!N32="linear_output",器件参数!O32-C32,""))),"")</f>
        <v/>
      </c>
      <c r="Q32" s="5">
        <f>IF(器件参数!P32="",IF(AND(ISNUMBER(DefaultP),DefaultP&gt;=1,DefaultP&lt;=10),DefaultP,""),IF(AND(ISNUMBER(器件参数!P32),器件参数!P32&gt;=1,器件参数!P32&lt;=10),器件参数!P32,""))</f>
        <v>2</v>
      </c>
      <c r="R32" s="5">
        <f t="shared" si="7"/>
        <v>-10.0000139708288</v>
      </c>
      <c r="S32" s="5" t="str">
        <f t="shared" si="8"/>
        <v/>
      </c>
      <c r="T32" s="5">
        <f t="shared" si="9"/>
        <v>0</v>
      </c>
      <c r="U32" s="5">
        <f t="shared" si="10"/>
        <v>-10.0000139708288</v>
      </c>
      <c r="V32" s="5">
        <f>IF(AND(ISNUMBER(Pin_dBm),ISNUMBER(E32),ISNUMBER(U32)),Pin_dBm+E32-U32,"")</f>
        <v>1.39708287854035e-5</v>
      </c>
      <c r="W32" s="5" t="str">
        <f>IF(AND(器件参数!B32,X32=1,ISNUMBER(D32)),P32-D32,"")</f>
        <v/>
      </c>
      <c r="X32" s="5">
        <f>IF(NOT(ISNUMBER(C32)),-1,IF(OR(NOT(器件参数!B32),器件参数!M32="ideal"),0,IF(AND(ISNUMBER(P32),ISNUMBER(Q32)),1,-1)))</f>
        <v>0</v>
      </c>
      <c r="Y32" s="5" t="str">
        <f t="shared" si="11"/>
        <v>有效</v>
      </c>
      <c r="Z32" s="5" t="str">
        <f t="shared" si="12"/>
        <v>有效</v>
      </c>
      <c r="AA32" s="5" t="str">
        <f t="shared" si="13"/>
        <v>模型估算</v>
      </c>
      <c r="AB32" s="5">
        <f t="shared" si="14"/>
        <v>100000000</v>
      </c>
      <c r="AC32" s="5">
        <f>IF(NOT(ISNUMBER(AB32)),"",IF(OR(NOT(器件参数!B32),器件参数!E32&lt;&gt;"mixer"),AB32,IF(AND(ISNUMBER(器件参数!T32),器件参数!T32&gt;0),IF(器件参数!U32="sum",AB32+器件参数!T32,IF(器件参数!U32="difference",ABS(AB32-器件参数!T32),"")),"")))</f>
        <v>100000000</v>
      </c>
      <c r="AD32" s="5">
        <f t="shared" si="15"/>
        <v>0</v>
      </c>
      <c r="AE32" s="5">
        <f>IF(AND(ISNUMBER(G32),ISNUMBER(F32)),Tref_K*(G32-1)/F32,"")</f>
        <v>0</v>
      </c>
      <c r="AF32" s="5">
        <f>IF(AND(ISNUMBER(H32),ISNUMBER(E32),NoiseConfigOK),10*LOG10(Boltzmann*Bnoise_Hz*(Tsource_K+Tref_K*(H32-1)))+30+E32,"")</f>
        <v>-90.3704468972711</v>
      </c>
      <c r="AG32" s="5">
        <f t="shared" si="16"/>
        <v>80.3704468972711</v>
      </c>
      <c r="AH32" s="5">
        <f>IF(AND(ToneEnabled,ISNUMBER(E32),ISNUMBER(TonePin)),TonePin+E32,"")</f>
        <v>-10</v>
      </c>
      <c r="AI32" s="5">
        <f>IF(AND(ToneEnabled,ISNUMBER(E32),ISNUMBER(N32),ISNUMBER(TonePin)),3*TonePin+E32-2*N32,"")</f>
        <v>-83.9794000867204</v>
      </c>
      <c r="AJ32" s="5" t="str">
        <f t="shared" si="17"/>
        <v/>
      </c>
      <c r="AK32" s="5" t="str">
        <f>IF(NOT(器件参数!B32),"旁路",IF(NOT(ISNUMBER(AC32)),"频率未知",IF(AC32&lt;=SignalBW/2,"跨零频",IF(AND(ISNUMBER(器件参数!R32),ISNUMBER(器件参数!S32)),IF(AND(AB32-SignalBW/2&gt;=器件参数!R32,AB32+SignalBW/2&lt;=器件参数!S32),"有效","超声明通带"),"未声明通带"))))</f>
        <v>旁路</v>
      </c>
      <c r="AL32" s="5">
        <f t="shared" si="18"/>
        <v>0</v>
      </c>
      <c r="AM32" s="5" t="str">
        <f>IF(AND(器件参数!B32,ISNUMBER(器件参数!X32),OR(AND(ISNUMBER(J32),J32&gt;器件参数!X32),IF(AND(ToneEnabled,ISNUMBER(TonePin),ISNUMBER(D32)),TonePin+10*LOG10(2)+D32&gt;器件参数!X32,FALSE))),"超过绝对最大输入额定值","")</f>
        <v/>
      </c>
      <c r="AN32" s="5">
        <f>IF(NOT(ISNUMBER(AN31)),"",IF(OR(NOT(器件参数!B32),器件参数!E32&lt;&gt;"mixer"),AN31,IF(AND(ISNUMBER(器件参数!T32),器件参数!T32&gt;0),IF(器件参数!U32="sum",AN31+器件参数!T32,ABS(AN31-器件参数!T32)),"")))</f>
        <v>99950000</v>
      </c>
      <c r="AO32" s="5">
        <f>IF(NOT(ISNUMBER(AO31)),"",IF(OR(NOT(器件参数!B32),器件参数!E32&lt;&gt;"mixer"),AO31,IF(AND(ISNUMBER(器件参数!T32),器件参数!T32&gt;0),IF(器件参数!U32="sum",AO31+器件参数!T32,ABS(AO31-器件参数!T32)),"")))</f>
        <v>100050000</v>
      </c>
      <c r="AP32" s="5">
        <f>IF(NOT(ISNUMBER(AP31)),"",IF(OR(NOT(器件参数!B32),器件参数!E32&lt;&gt;"mixer"),AP31,IF(AND(ISNUMBER(器件参数!T32),器件参数!T32&gt;0),IF(器件参数!U32="sum",AP31+器件参数!T32,ABS(AP31-器件参数!T32)),"")))</f>
        <v>99850000</v>
      </c>
      <c r="AQ32" s="5">
        <f>IF(NOT(ISNUMBER(AQ31)),"",IF(OR(NOT(器件参数!B32),器件参数!E32&lt;&gt;"mixer"),AQ31,IF(AND(ISNUMBER(器件参数!T32),器件参数!T32&gt;0),IF(器件参数!U32="sum",AQ31+器件参数!T32,ABS(AQ31-器件参数!T32)),"")))</f>
        <v>100150000</v>
      </c>
      <c r="AR32" s="5" t="b">
        <f>IF(NOT(AR31),FALSE,IF(NOT(器件参数!B32),TRUE,AND(COUNT(AN32:AQ32)=4,MIN(AN32:AQ32)&gt;0,IF(AND(ISNUMBER(器件参数!R32),ISNUMBER(器件参数!S32)),AND(MIN(AN31:AQ31)&gt;=器件参数!R32,MAX(AN31:AQ31)&lt;=器件参数!S32),TRUE),IF(AND(器件参数!E32="mixer",器件参数!U32="difference"),OR(器件参数!T32&lt;MIN(AN31:AQ31),器件参数!T32&gt;MAX(AN31:AQ31)),TRUE))))</f>
        <v>1</v>
      </c>
    </row>
    <row r="33" hidden="1" spans="1:44">
      <c r="A33" s="5">
        <f>器件参数!A33</f>
        <v>30</v>
      </c>
      <c r="B33" s="5" t="str">
        <f>器件参数!D33</f>
        <v/>
      </c>
      <c r="C33" s="5">
        <f>IF(NOT(器件参数!B33),0,IF(AND(ISNUMBER(器件参数!F33),ABS(器件参数!F33)&lt;=300),器件参数!F33,""))</f>
        <v>0</v>
      </c>
      <c r="D33" s="5">
        <f t="shared" si="0"/>
        <v>20</v>
      </c>
      <c r="E33" s="5">
        <f t="shared" si="1"/>
        <v>20</v>
      </c>
      <c r="F33" s="5">
        <f t="shared" si="2"/>
        <v>100</v>
      </c>
      <c r="G33" s="5">
        <f>IFERROR(IF(NOT(器件参数!B33),1,IF(NOT(OR(器件参数!E33&lt;&gt;"mixer",AND(OR(器件参数!V33="SSB",器件参数!V33="DSB"),器件参数!W33=TRUE))),"",IF(器件参数!G33="ideal",1,IF(AND(器件参数!G33="manual",ISNUMBER(器件参数!H33),器件参数!H33&gt;=0),10^(器件参数!H33/10),IF(AND(器件参数!G33="passive_thermal",OR(器件参数!E33="filter_bpf",器件参数!E33="filter_lpf",器件参数!E33="filter_hpf",器件参数!E33="filter_bsf",器件参数!E33="attenuator",器件参数!E33="cable",器件参数!E33="connector",器件参数!E33="switch",器件参数!E33="isolator",器件参数!E33="coupler",器件参数!E33="splitter"),AND(ISNUMBER(器件参数!F33),ABS(器件参数!F33)&lt;=300),器件参数!F33&lt;=0,ISNUMBER(器件参数!I33),器件参数!I33&gt;0),1+(10^(-器件参数!F33/10)-1)*器件参数!I33/Tref_K,""))))),"数值域错误")</f>
        <v>1</v>
      </c>
      <c r="H33" s="5">
        <f t="shared" si="3"/>
        <v>2.29336948552238</v>
      </c>
      <c r="I33" s="5">
        <f t="shared" si="4"/>
        <v>3.604740296957</v>
      </c>
      <c r="J33" s="5">
        <f>IF(AND(ISNUMBER(Pin_dBm),ISNUMBER(D33)),Pin_dBm+D33,"")</f>
        <v>-10</v>
      </c>
      <c r="K33" s="5">
        <f>IF(AND(ISNUMBER(Pin_dBm),ISNUMBER(E33)),Pin_dBm+E33,"")</f>
        <v>-10</v>
      </c>
      <c r="L33" s="5" t="str">
        <f>IF(AND(器件参数!J33="finite",ISNUMBER(器件参数!L33),ISNUMBER(C33)),IF(器件参数!K33="input",器件参数!L33,IF(器件参数!K33="output",器件参数!L33-C33,"")),"")</f>
        <v/>
      </c>
      <c r="M33" s="5">
        <f>IFERROR(IF(NOT(ISNUMBER(M32)),"",IF(OR(NOT(器件参数!B33),器件参数!J33="ideal"),M32,IF(AND(ISNUMBER(L33),ISNUMBER(F33)),M32+F33/10^(L33/10),""))),"数值域错误")</f>
        <v>0.2</v>
      </c>
      <c r="N33" s="5">
        <f t="shared" si="5"/>
        <v>6.98970004336019</v>
      </c>
      <c r="O33" s="5">
        <f t="shared" si="6"/>
        <v>26.9897000433602</v>
      </c>
      <c r="P33" s="5" t="str">
        <f>IF(AND(器件参数!M33="finite",ISNUMBER(器件参数!O33),ISNUMBER(C33)),IF(器件参数!N33="input",器件参数!O33,IF(器件参数!N33="actual_output",器件参数!O33-C33+1,IF(器件参数!N33="linear_output",器件参数!O33-C33,""))),"")</f>
        <v/>
      </c>
      <c r="Q33" s="5">
        <f>IF(器件参数!P33="",IF(AND(ISNUMBER(DefaultP),DefaultP&gt;=1,DefaultP&lt;=10),DefaultP,""),IF(AND(ISNUMBER(器件参数!P33),器件参数!P33&gt;=1,器件参数!P33&lt;=10),器件参数!P33,""))</f>
        <v>2</v>
      </c>
      <c r="R33" s="5">
        <f t="shared" si="7"/>
        <v>-10.0000139708288</v>
      </c>
      <c r="S33" s="5" t="str">
        <f t="shared" si="8"/>
        <v/>
      </c>
      <c r="T33" s="5">
        <f t="shared" si="9"/>
        <v>0</v>
      </c>
      <c r="U33" s="5">
        <f t="shared" si="10"/>
        <v>-10.0000139708288</v>
      </c>
      <c r="V33" s="5">
        <f>IF(AND(ISNUMBER(Pin_dBm),ISNUMBER(E33),ISNUMBER(U33)),Pin_dBm+E33-U33,"")</f>
        <v>1.39708287854035e-5</v>
      </c>
      <c r="W33" s="5" t="str">
        <f>IF(AND(器件参数!B33,X33=1,ISNUMBER(D33)),P33-D33,"")</f>
        <v/>
      </c>
      <c r="X33" s="5">
        <f>IF(NOT(ISNUMBER(C33)),-1,IF(OR(NOT(器件参数!B33),器件参数!M33="ideal"),0,IF(AND(ISNUMBER(P33),ISNUMBER(Q33)),1,-1)))</f>
        <v>0</v>
      </c>
      <c r="Y33" s="5" t="str">
        <f t="shared" si="11"/>
        <v>有效</v>
      </c>
      <c r="Z33" s="5" t="str">
        <f t="shared" si="12"/>
        <v>有效</v>
      </c>
      <c r="AA33" s="5" t="str">
        <f t="shared" si="13"/>
        <v>模型估算</v>
      </c>
      <c r="AB33" s="5">
        <f t="shared" si="14"/>
        <v>100000000</v>
      </c>
      <c r="AC33" s="5">
        <f>IF(NOT(ISNUMBER(AB33)),"",IF(OR(NOT(器件参数!B33),器件参数!E33&lt;&gt;"mixer"),AB33,IF(AND(ISNUMBER(器件参数!T33),器件参数!T33&gt;0),IF(器件参数!U33="sum",AB33+器件参数!T33,IF(器件参数!U33="difference",ABS(AB33-器件参数!T33),"")),"")))</f>
        <v>100000000</v>
      </c>
      <c r="AD33" s="5">
        <f t="shared" si="15"/>
        <v>0</v>
      </c>
      <c r="AE33" s="5">
        <f>IF(AND(ISNUMBER(G33),ISNUMBER(F33)),Tref_K*(G33-1)/F33,"")</f>
        <v>0</v>
      </c>
      <c r="AF33" s="5">
        <f>IF(AND(ISNUMBER(H33),ISNUMBER(E33),NoiseConfigOK),10*LOG10(Boltzmann*Bnoise_Hz*(Tsource_K+Tref_K*(H33-1)))+30+E33,"")</f>
        <v>-90.3704468972711</v>
      </c>
      <c r="AG33" s="5">
        <f t="shared" si="16"/>
        <v>80.3704468972711</v>
      </c>
      <c r="AH33" s="5">
        <f>IF(AND(ToneEnabled,ISNUMBER(E33),ISNUMBER(TonePin)),TonePin+E33,"")</f>
        <v>-10</v>
      </c>
      <c r="AI33" s="5">
        <f>IF(AND(ToneEnabled,ISNUMBER(E33),ISNUMBER(N33),ISNUMBER(TonePin)),3*TonePin+E33-2*N33,"")</f>
        <v>-83.9794000867204</v>
      </c>
      <c r="AJ33" s="5" t="str">
        <f t="shared" si="17"/>
        <v/>
      </c>
      <c r="AK33" s="5" t="str">
        <f>IF(NOT(器件参数!B33),"旁路",IF(NOT(ISNUMBER(AC33)),"频率未知",IF(AC33&lt;=SignalBW/2,"跨零频",IF(AND(ISNUMBER(器件参数!R33),ISNUMBER(器件参数!S33)),IF(AND(AB33-SignalBW/2&gt;=器件参数!R33,AB33+SignalBW/2&lt;=器件参数!S33),"有效","超声明通带"),"未声明通带"))))</f>
        <v>旁路</v>
      </c>
      <c r="AL33" s="5">
        <f t="shared" si="18"/>
        <v>0</v>
      </c>
      <c r="AM33" s="5" t="str">
        <f>IF(AND(器件参数!B33,ISNUMBER(器件参数!X33),OR(AND(ISNUMBER(J33),J33&gt;器件参数!X33),IF(AND(ToneEnabled,ISNUMBER(TonePin),ISNUMBER(D33)),TonePin+10*LOG10(2)+D33&gt;器件参数!X33,FALSE))),"超过绝对最大输入额定值","")</f>
        <v/>
      </c>
      <c r="AN33" s="5">
        <f>IF(NOT(ISNUMBER(AN32)),"",IF(OR(NOT(器件参数!B33),器件参数!E33&lt;&gt;"mixer"),AN32,IF(AND(ISNUMBER(器件参数!T33),器件参数!T33&gt;0),IF(器件参数!U33="sum",AN32+器件参数!T33,ABS(AN32-器件参数!T33)),"")))</f>
        <v>99950000</v>
      </c>
      <c r="AO33" s="5">
        <f>IF(NOT(ISNUMBER(AO32)),"",IF(OR(NOT(器件参数!B33),器件参数!E33&lt;&gt;"mixer"),AO32,IF(AND(ISNUMBER(器件参数!T33),器件参数!T33&gt;0),IF(器件参数!U33="sum",AO32+器件参数!T33,ABS(AO32-器件参数!T33)),"")))</f>
        <v>100050000</v>
      </c>
      <c r="AP33" s="5">
        <f>IF(NOT(ISNUMBER(AP32)),"",IF(OR(NOT(器件参数!B33),器件参数!E33&lt;&gt;"mixer"),AP32,IF(AND(ISNUMBER(器件参数!T33),器件参数!T33&gt;0),IF(器件参数!U33="sum",AP32+器件参数!T33,ABS(AP32-器件参数!T33)),"")))</f>
        <v>99850000</v>
      </c>
      <c r="AQ33" s="5">
        <f>IF(NOT(ISNUMBER(AQ32)),"",IF(OR(NOT(器件参数!B33),器件参数!E33&lt;&gt;"mixer"),AQ32,IF(AND(ISNUMBER(器件参数!T33),器件参数!T33&gt;0),IF(器件参数!U33="sum",AQ32+器件参数!T33,ABS(AQ32-器件参数!T33)),"")))</f>
        <v>100150000</v>
      </c>
      <c r="AR33" s="5" t="b">
        <f>IF(NOT(AR32),FALSE,IF(NOT(器件参数!B33),TRUE,AND(COUNT(AN33:AQ33)=4,MIN(AN33:AQ33)&gt;0,IF(AND(ISNUMBER(器件参数!R33),ISNUMBER(器件参数!S33)),AND(MIN(AN32:AQ32)&gt;=器件参数!R33,MAX(AN32:AQ32)&lt;=器件参数!S33),TRUE),IF(AND(器件参数!E33="mixer",器件参数!U33="difference"),OR(器件参数!T33&lt;MIN(AN32:AQ32),器件参数!T33&gt;MAX(AN32:AQ32)),TRUE))))</f>
        <v>1</v>
      </c>
    </row>
    <row r="34" hidden="1" spans="1:44">
      <c r="A34" s="5">
        <f>器件参数!A34</f>
        <v>31</v>
      </c>
      <c r="B34" s="5" t="str">
        <f>器件参数!D34</f>
        <v/>
      </c>
      <c r="C34" s="5">
        <f>IF(NOT(器件参数!B34),0,IF(AND(ISNUMBER(器件参数!F34),ABS(器件参数!F34)&lt;=300),器件参数!F34,""))</f>
        <v>0</v>
      </c>
      <c r="D34" s="5">
        <f t="shared" si="0"/>
        <v>20</v>
      </c>
      <c r="E34" s="5">
        <f t="shared" si="1"/>
        <v>20</v>
      </c>
      <c r="F34" s="5">
        <f t="shared" si="2"/>
        <v>100</v>
      </c>
      <c r="G34" s="5">
        <f>IFERROR(IF(NOT(器件参数!B34),1,IF(NOT(OR(器件参数!E34&lt;&gt;"mixer",AND(OR(器件参数!V34="SSB",器件参数!V34="DSB"),器件参数!W34=TRUE))),"",IF(器件参数!G34="ideal",1,IF(AND(器件参数!G34="manual",ISNUMBER(器件参数!H34),器件参数!H34&gt;=0),10^(器件参数!H34/10),IF(AND(器件参数!G34="passive_thermal",OR(器件参数!E34="filter_bpf",器件参数!E34="filter_lpf",器件参数!E34="filter_hpf",器件参数!E34="filter_bsf",器件参数!E34="attenuator",器件参数!E34="cable",器件参数!E34="connector",器件参数!E34="switch",器件参数!E34="isolator",器件参数!E34="coupler",器件参数!E34="splitter"),AND(ISNUMBER(器件参数!F34),ABS(器件参数!F34)&lt;=300),器件参数!F34&lt;=0,ISNUMBER(器件参数!I34),器件参数!I34&gt;0),1+(10^(-器件参数!F34/10)-1)*器件参数!I34/Tref_K,""))))),"数值域错误")</f>
        <v>1</v>
      </c>
      <c r="H34" s="5">
        <f t="shared" si="3"/>
        <v>2.29336948552238</v>
      </c>
      <c r="I34" s="5">
        <f t="shared" si="4"/>
        <v>3.604740296957</v>
      </c>
      <c r="J34" s="5">
        <f>IF(AND(ISNUMBER(Pin_dBm),ISNUMBER(D34)),Pin_dBm+D34,"")</f>
        <v>-10</v>
      </c>
      <c r="K34" s="5">
        <f>IF(AND(ISNUMBER(Pin_dBm),ISNUMBER(E34)),Pin_dBm+E34,"")</f>
        <v>-10</v>
      </c>
      <c r="L34" s="5" t="str">
        <f>IF(AND(器件参数!J34="finite",ISNUMBER(器件参数!L34),ISNUMBER(C34)),IF(器件参数!K34="input",器件参数!L34,IF(器件参数!K34="output",器件参数!L34-C34,"")),"")</f>
        <v/>
      </c>
      <c r="M34" s="5">
        <f>IFERROR(IF(NOT(ISNUMBER(M33)),"",IF(OR(NOT(器件参数!B34),器件参数!J34="ideal"),M33,IF(AND(ISNUMBER(L34),ISNUMBER(F34)),M33+F34/10^(L34/10),""))),"数值域错误")</f>
        <v>0.2</v>
      </c>
      <c r="N34" s="5">
        <f t="shared" si="5"/>
        <v>6.98970004336019</v>
      </c>
      <c r="O34" s="5">
        <f t="shared" si="6"/>
        <v>26.9897000433602</v>
      </c>
      <c r="P34" s="5" t="str">
        <f>IF(AND(器件参数!M34="finite",ISNUMBER(器件参数!O34),ISNUMBER(C34)),IF(器件参数!N34="input",器件参数!O34,IF(器件参数!N34="actual_output",器件参数!O34-C34+1,IF(器件参数!N34="linear_output",器件参数!O34-C34,""))),"")</f>
        <v/>
      </c>
      <c r="Q34" s="5">
        <f>IF(器件参数!P34="",IF(AND(ISNUMBER(DefaultP),DefaultP&gt;=1,DefaultP&lt;=10),DefaultP,""),IF(AND(ISNUMBER(器件参数!P34),器件参数!P34&gt;=1,器件参数!P34&lt;=10),器件参数!P34,""))</f>
        <v>2</v>
      </c>
      <c r="R34" s="5">
        <f t="shared" si="7"/>
        <v>-10.0000139708288</v>
      </c>
      <c r="S34" s="5" t="str">
        <f t="shared" si="8"/>
        <v/>
      </c>
      <c r="T34" s="5">
        <f t="shared" si="9"/>
        <v>0</v>
      </c>
      <c r="U34" s="5">
        <f t="shared" si="10"/>
        <v>-10.0000139708288</v>
      </c>
      <c r="V34" s="5">
        <f>IF(AND(ISNUMBER(Pin_dBm),ISNUMBER(E34),ISNUMBER(U34)),Pin_dBm+E34-U34,"")</f>
        <v>1.39708287854035e-5</v>
      </c>
      <c r="W34" s="5" t="str">
        <f>IF(AND(器件参数!B34,X34=1,ISNUMBER(D34)),P34-D34,"")</f>
        <v/>
      </c>
      <c r="X34" s="5">
        <f>IF(NOT(ISNUMBER(C34)),-1,IF(OR(NOT(器件参数!B34),器件参数!M34="ideal"),0,IF(AND(ISNUMBER(P34),ISNUMBER(Q34)),1,-1)))</f>
        <v>0</v>
      </c>
      <c r="Y34" s="5" t="str">
        <f t="shared" si="11"/>
        <v>有效</v>
      </c>
      <c r="Z34" s="5" t="str">
        <f t="shared" si="12"/>
        <v>有效</v>
      </c>
      <c r="AA34" s="5" t="str">
        <f t="shared" si="13"/>
        <v>模型估算</v>
      </c>
      <c r="AB34" s="5">
        <f t="shared" si="14"/>
        <v>100000000</v>
      </c>
      <c r="AC34" s="5">
        <f>IF(NOT(ISNUMBER(AB34)),"",IF(OR(NOT(器件参数!B34),器件参数!E34&lt;&gt;"mixer"),AB34,IF(AND(ISNUMBER(器件参数!T34),器件参数!T34&gt;0),IF(器件参数!U34="sum",AB34+器件参数!T34,IF(器件参数!U34="difference",ABS(AB34-器件参数!T34),"")),"")))</f>
        <v>100000000</v>
      </c>
      <c r="AD34" s="5">
        <f t="shared" si="15"/>
        <v>0</v>
      </c>
      <c r="AE34" s="5">
        <f>IF(AND(ISNUMBER(G34),ISNUMBER(F34)),Tref_K*(G34-1)/F34,"")</f>
        <v>0</v>
      </c>
      <c r="AF34" s="5">
        <f>IF(AND(ISNUMBER(H34),ISNUMBER(E34),NoiseConfigOK),10*LOG10(Boltzmann*Bnoise_Hz*(Tsource_K+Tref_K*(H34-1)))+30+E34,"")</f>
        <v>-90.3704468972711</v>
      </c>
      <c r="AG34" s="5">
        <f t="shared" si="16"/>
        <v>80.3704468972711</v>
      </c>
      <c r="AH34" s="5">
        <f>IF(AND(ToneEnabled,ISNUMBER(E34),ISNUMBER(TonePin)),TonePin+E34,"")</f>
        <v>-10</v>
      </c>
      <c r="AI34" s="5">
        <f>IF(AND(ToneEnabled,ISNUMBER(E34),ISNUMBER(N34),ISNUMBER(TonePin)),3*TonePin+E34-2*N34,"")</f>
        <v>-83.9794000867204</v>
      </c>
      <c r="AJ34" s="5" t="str">
        <f t="shared" si="17"/>
        <v/>
      </c>
      <c r="AK34" s="5" t="str">
        <f>IF(NOT(器件参数!B34),"旁路",IF(NOT(ISNUMBER(AC34)),"频率未知",IF(AC34&lt;=SignalBW/2,"跨零频",IF(AND(ISNUMBER(器件参数!R34),ISNUMBER(器件参数!S34)),IF(AND(AB34-SignalBW/2&gt;=器件参数!R34,AB34+SignalBW/2&lt;=器件参数!S34),"有效","超声明通带"),"未声明通带"))))</f>
        <v>旁路</v>
      </c>
      <c r="AL34" s="5">
        <f t="shared" si="18"/>
        <v>0</v>
      </c>
      <c r="AM34" s="5" t="str">
        <f>IF(AND(器件参数!B34,ISNUMBER(器件参数!X34),OR(AND(ISNUMBER(J34),J34&gt;器件参数!X34),IF(AND(ToneEnabled,ISNUMBER(TonePin),ISNUMBER(D34)),TonePin+10*LOG10(2)+D34&gt;器件参数!X34,FALSE))),"超过绝对最大输入额定值","")</f>
        <v/>
      </c>
      <c r="AN34" s="5">
        <f>IF(NOT(ISNUMBER(AN33)),"",IF(OR(NOT(器件参数!B34),器件参数!E34&lt;&gt;"mixer"),AN33,IF(AND(ISNUMBER(器件参数!T34),器件参数!T34&gt;0),IF(器件参数!U34="sum",AN33+器件参数!T34,ABS(AN33-器件参数!T34)),"")))</f>
        <v>99950000</v>
      </c>
      <c r="AO34" s="5">
        <f>IF(NOT(ISNUMBER(AO33)),"",IF(OR(NOT(器件参数!B34),器件参数!E34&lt;&gt;"mixer"),AO33,IF(AND(ISNUMBER(器件参数!T34),器件参数!T34&gt;0),IF(器件参数!U34="sum",AO33+器件参数!T34,ABS(AO33-器件参数!T34)),"")))</f>
        <v>100050000</v>
      </c>
      <c r="AP34" s="5">
        <f>IF(NOT(ISNUMBER(AP33)),"",IF(OR(NOT(器件参数!B34),器件参数!E34&lt;&gt;"mixer"),AP33,IF(AND(ISNUMBER(器件参数!T34),器件参数!T34&gt;0),IF(器件参数!U34="sum",AP33+器件参数!T34,ABS(AP33-器件参数!T34)),"")))</f>
        <v>99850000</v>
      </c>
      <c r="AQ34" s="5">
        <f>IF(NOT(ISNUMBER(AQ33)),"",IF(OR(NOT(器件参数!B34),器件参数!E34&lt;&gt;"mixer"),AQ33,IF(AND(ISNUMBER(器件参数!T34),器件参数!T34&gt;0),IF(器件参数!U34="sum",AQ33+器件参数!T34,ABS(AQ33-器件参数!T34)),"")))</f>
        <v>100150000</v>
      </c>
      <c r="AR34" s="5" t="b">
        <f>IF(NOT(AR33),FALSE,IF(NOT(器件参数!B34),TRUE,AND(COUNT(AN34:AQ34)=4,MIN(AN34:AQ34)&gt;0,IF(AND(ISNUMBER(器件参数!R34),ISNUMBER(器件参数!S34)),AND(MIN(AN33:AQ33)&gt;=器件参数!R34,MAX(AN33:AQ33)&lt;=器件参数!S34),TRUE),IF(AND(器件参数!E34="mixer",器件参数!U34="difference"),OR(器件参数!T34&lt;MIN(AN33:AQ33),器件参数!T34&gt;MAX(AN33:AQ33)),TRUE))))</f>
        <v>1</v>
      </c>
    </row>
    <row r="35" hidden="1" spans="1:44">
      <c r="A35" s="5">
        <f>器件参数!A35</f>
        <v>32</v>
      </c>
      <c r="B35" s="5" t="str">
        <f>器件参数!D35</f>
        <v/>
      </c>
      <c r="C35" s="5">
        <f>IF(NOT(器件参数!B35),0,IF(AND(ISNUMBER(器件参数!F35),ABS(器件参数!F35)&lt;=300),器件参数!F35,""))</f>
        <v>0</v>
      </c>
      <c r="D35" s="5">
        <f t="shared" si="0"/>
        <v>20</v>
      </c>
      <c r="E35" s="5">
        <f t="shared" si="1"/>
        <v>20</v>
      </c>
      <c r="F35" s="5">
        <f t="shared" si="2"/>
        <v>100</v>
      </c>
      <c r="G35" s="5">
        <f>IFERROR(IF(NOT(器件参数!B35),1,IF(NOT(OR(器件参数!E35&lt;&gt;"mixer",AND(OR(器件参数!V35="SSB",器件参数!V35="DSB"),器件参数!W35=TRUE))),"",IF(器件参数!G35="ideal",1,IF(AND(器件参数!G35="manual",ISNUMBER(器件参数!H35),器件参数!H35&gt;=0),10^(器件参数!H35/10),IF(AND(器件参数!G35="passive_thermal",OR(器件参数!E35="filter_bpf",器件参数!E35="filter_lpf",器件参数!E35="filter_hpf",器件参数!E35="filter_bsf",器件参数!E35="attenuator",器件参数!E35="cable",器件参数!E35="connector",器件参数!E35="switch",器件参数!E35="isolator",器件参数!E35="coupler",器件参数!E35="splitter"),AND(ISNUMBER(器件参数!F35),ABS(器件参数!F35)&lt;=300),器件参数!F35&lt;=0,ISNUMBER(器件参数!I35),器件参数!I35&gt;0),1+(10^(-器件参数!F35/10)-1)*器件参数!I35/Tref_K,""))))),"数值域错误")</f>
        <v>1</v>
      </c>
      <c r="H35" s="5">
        <f t="shared" si="3"/>
        <v>2.29336948552238</v>
      </c>
      <c r="I35" s="5">
        <f t="shared" si="4"/>
        <v>3.604740296957</v>
      </c>
      <c r="J35" s="5">
        <f>IF(AND(ISNUMBER(Pin_dBm),ISNUMBER(D35)),Pin_dBm+D35,"")</f>
        <v>-10</v>
      </c>
      <c r="K35" s="5">
        <f>IF(AND(ISNUMBER(Pin_dBm),ISNUMBER(E35)),Pin_dBm+E35,"")</f>
        <v>-10</v>
      </c>
      <c r="L35" s="5" t="str">
        <f>IF(AND(器件参数!J35="finite",ISNUMBER(器件参数!L35),ISNUMBER(C35)),IF(器件参数!K35="input",器件参数!L35,IF(器件参数!K35="output",器件参数!L35-C35,"")),"")</f>
        <v/>
      </c>
      <c r="M35" s="5">
        <f>IFERROR(IF(NOT(ISNUMBER(M34)),"",IF(OR(NOT(器件参数!B35),器件参数!J35="ideal"),M34,IF(AND(ISNUMBER(L35),ISNUMBER(F35)),M34+F35/10^(L35/10),""))),"数值域错误")</f>
        <v>0.2</v>
      </c>
      <c r="N35" s="5">
        <f t="shared" si="5"/>
        <v>6.98970004336019</v>
      </c>
      <c r="O35" s="5">
        <f t="shared" si="6"/>
        <v>26.9897000433602</v>
      </c>
      <c r="P35" s="5" t="str">
        <f>IF(AND(器件参数!M35="finite",ISNUMBER(器件参数!O35),ISNUMBER(C35)),IF(器件参数!N35="input",器件参数!O35,IF(器件参数!N35="actual_output",器件参数!O35-C35+1,IF(器件参数!N35="linear_output",器件参数!O35-C35,""))),"")</f>
        <v/>
      </c>
      <c r="Q35" s="5">
        <f>IF(器件参数!P35="",IF(AND(ISNUMBER(DefaultP),DefaultP&gt;=1,DefaultP&lt;=10),DefaultP,""),IF(AND(ISNUMBER(器件参数!P35),器件参数!P35&gt;=1,器件参数!P35&lt;=10),器件参数!P35,""))</f>
        <v>2</v>
      </c>
      <c r="R35" s="5">
        <f t="shared" si="7"/>
        <v>-10.0000139708288</v>
      </c>
      <c r="S35" s="5" t="str">
        <f t="shared" si="8"/>
        <v/>
      </c>
      <c r="T35" s="5">
        <f t="shared" si="9"/>
        <v>0</v>
      </c>
      <c r="U35" s="5">
        <f t="shared" si="10"/>
        <v>-10.0000139708288</v>
      </c>
      <c r="V35" s="5">
        <f>IF(AND(ISNUMBER(Pin_dBm),ISNUMBER(E35),ISNUMBER(U35)),Pin_dBm+E35-U35,"")</f>
        <v>1.39708287854035e-5</v>
      </c>
      <c r="W35" s="5" t="str">
        <f>IF(AND(器件参数!B35,X35=1,ISNUMBER(D35)),P35-D35,"")</f>
        <v/>
      </c>
      <c r="X35" s="5">
        <f>IF(NOT(ISNUMBER(C35)),-1,IF(OR(NOT(器件参数!B35),器件参数!M35="ideal"),0,IF(AND(ISNUMBER(P35),ISNUMBER(Q35)),1,-1)))</f>
        <v>0</v>
      </c>
      <c r="Y35" s="5" t="str">
        <f t="shared" si="11"/>
        <v>有效</v>
      </c>
      <c r="Z35" s="5" t="str">
        <f t="shared" si="12"/>
        <v>有效</v>
      </c>
      <c r="AA35" s="5" t="str">
        <f t="shared" si="13"/>
        <v>模型估算</v>
      </c>
      <c r="AB35" s="5">
        <f t="shared" si="14"/>
        <v>100000000</v>
      </c>
      <c r="AC35" s="5">
        <f>IF(NOT(ISNUMBER(AB35)),"",IF(OR(NOT(器件参数!B35),器件参数!E35&lt;&gt;"mixer"),AB35,IF(AND(ISNUMBER(器件参数!T35),器件参数!T35&gt;0),IF(器件参数!U35="sum",AB35+器件参数!T35,IF(器件参数!U35="difference",ABS(AB35-器件参数!T35),"")),"")))</f>
        <v>100000000</v>
      </c>
      <c r="AD35" s="5">
        <f t="shared" si="15"/>
        <v>0</v>
      </c>
      <c r="AE35" s="5">
        <f>IF(AND(ISNUMBER(G35),ISNUMBER(F35)),Tref_K*(G35-1)/F35,"")</f>
        <v>0</v>
      </c>
      <c r="AF35" s="5">
        <f>IF(AND(ISNUMBER(H35),ISNUMBER(E35),NoiseConfigOK),10*LOG10(Boltzmann*Bnoise_Hz*(Tsource_K+Tref_K*(H35-1)))+30+E35,"")</f>
        <v>-90.3704468972711</v>
      </c>
      <c r="AG35" s="5">
        <f t="shared" si="16"/>
        <v>80.3704468972711</v>
      </c>
      <c r="AH35" s="5">
        <f>IF(AND(ToneEnabled,ISNUMBER(E35),ISNUMBER(TonePin)),TonePin+E35,"")</f>
        <v>-10</v>
      </c>
      <c r="AI35" s="5">
        <f>IF(AND(ToneEnabled,ISNUMBER(E35),ISNUMBER(N35),ISNUMBER(TonePin)),3*TonePin+E35-2*N35,"")</f>
        <v>-83.9794000867204</v>
      </c>
      <c r="AJ35" s="5" t="str">
        <f t="shared" si="17"/>
        <v/>
      </c>
      <c r="AK35" s="5" t="str">
        <f>IF(NOT(器件参数!B35),"旁路",IF(NOT(ISNUMBER(AC35)),"频率未知",IF(AC35&lt;=SignalBW/2,"跨零频",IF(AND(ISNUMBER(器件参数!R35),ISNUMBER(器件参数!S35)),IF(AND(AB35-SignalBW/2&gt;=器件参数!R35,AB35+SignalBW/2&lt;=器件参数!S35),"有效","超声明通带"),"未声明通带"))))</f>
        <v>旁路</v>
      </c>
      <c r="AL35" s="5">
        <f t="shared" si="18"/>
        <v>0</v>
      </c>
      <c r="AM35" s="5" t="str">
        <f>IF(AND(器件参数!B35,ISNUMBER(器件参数!X35),OR(AND(ISNUMBER(J35),J35&gt;器件参数!X35),IF(AND(ToneEnabled,ISNUMBER(TonePin),ISNUMBER(D35)),TonePin+10*LOG10(2)+D35&gt;器件参数!X35,FALSE))),"超过绝对最大输入额定值","")</f>
        <v/>
      </c>
      <c r="AN35" s="5">
        <f>IF(NOT(ISNUMBER(AN34)),"",IF(OR(NOT(器件参数!B35),器件参数!E35&lt;&gt;"mixer"),AN34,IF(AND(ISNUMBER(器件参数!T35),器件参数!T35&gt;0),IF(器件参数!U35="sum",AN34+器件参数!T35,ABS(AN34-器件参数!T35)),"")))</f>
        <v>99950000</v>
      </c>
      <c r="AO35" s="5">
        <f>IF(NOT(ISNUMBER(AO34)),"",IF(OR(NOT(器件参数!B35),器件参数!E35&lt;&gt;"mixer"),AO34,IF(AND(ISNUMBER(器件参数!T35),器件参数!T35&gt;0),IF(器件参数!U35="sum",AO34+器件参数!T35,ABS(AO34-器件参数!T35)),"")))</f>
        <v>100050000</v>
      </c>
      <c r="AP35" s="5">
        <f>IF(NOT(ISNUMBER(AP34)),"",IF(OR(NOT(器件参数!B35),器件参数!E35&lt;&gt;"mixer"),AP34,IF(AND(ISNUMBER(器件参数!T35),器件参数!T35&gt;0),IF(器件参数!U35="sum",AP34+器件参数!T35,ABS(AP34-器件参数!T35)),"")))</f>
        <v>99850000</v>
      </c>
      <c r="AQ35" s="5">
        <f>IF(NOT(ISNUMBER(AQ34)),"",IF(OR(NOT(器件参数!B35),器件参数!E35&lt;&gt;"mixer"),AQ34,IF(AND(ISNUMBER(器件参数!T35),器件参数!T35&gt;0),IF(器件参数!U35="sum",AQ34+器件参数!T35,ABS(AQ34-器件参数!T35)),"")))</f>
        <v>100150000</v>
      </c>
      <c r="AR35" s="5" t="b">
        <f>IF(NOT(AR34),FALSE,IF(NOT(器件参数!B35),TRUE,AND(COUNT(AN35:AQ35)=4,MIN(AN35:AQ35)&gt;0,IF(AND(ISNUMBER(器件参数!R35),ISNUMBER(器件参数!S35)),AND(MIN(AN34:AQ34)&gt;=器件参数!R35,MAX(AN34:AQ34)&lt;=器件参数!S35),TRUE),IF(AND(器件参数!E35="mixer",器件参数!U35="difference"),OR(器件参数!T35&lt;MIN(AN34:AQ34),器件参数!T35&gt;MAX(AN34:AQ34)),TRUE))))</f>
        <v>1</v>
      </c>
    </row>
    <row r="36" hidden="1" spans="1:44">
      <c r="A36" s="5">
        <f>器件参数!A36</f>
        <v>33</v>
      </c>
      <c r="B36" s="5" t="str">
        <f>器件参数!D36</f>
        <v/>
      </c>
      <c r="C36" s="5">
        <f>IF(NOT(器件参数!B36),0,IF(AND(ISNUMBER(器件参数!F36),ABS(器件参数!F36)&lt;=300),器件参数!F36,""))</f>
        <v>0</v>
      </c>
      <c r="D36" s="5">
        <f t="shared" si="0"/>
        <v>20</v>
      </c>
      <c r="E36" s="5">
        <f t="shared" si="1"/>
        <v>20</v>
      </c>
      <c r="F36" s="5">
        <f t="shared" si="2"/>
        <v>100</v>
      </c>
      <c r="G36" s="5">
        <f>IFERROR(IF(NOT(器件参数!B36),1,IF(NOT(OR(器件参数!E36&lt;&gt;"mixer",AND(OR(器件参数!V36="SSB",器件参数!V36="DSB"),器件参数!W36=TRUE))),"",IF(器件参数!G36="ideal",1,IF(AND(器件参数!G36="manual",ISNUMBER(器件参数!H36),器件参数!H36&gt;=0),10^(器件参数!H36/10),IF(AND(器件参数!G36="passive_thermal",OR(器件参数!E36="filter_bpf",器件参数!E36="filter_lpf",器件参数!E36="filter_hpf",器件参数!E36="filter_bsf",器件参数!E36="attenuator",器件参数!E36="cable",器件参数!E36="connector",器件参数!E36="switch",器件参数!E36="isolator",器件参数!E36="coupler",器件参数!E36="splitter"),AND(ISNUMBER(器件参数!F36),ABS(器件参数!F36)&lt;=300),器件参数!F36&lt;=0,ISNUMBER(器件参数!I36),器件参数!I36&gt;0),1+(10^(-器件参数!F36/10)-1)*器件参数!I36/Tref_K,""))))),"数值域错误")</f>
        <v>1</v>
      </c>
      <c r="H36" s="5">
        <f t="shared" si="3"/>
        <v>2.29336948552238</v>
      </c>
      <c r="I36" s="5">
        <f t="shared" si="4"/>
        <v>3.604740296957</v>
      </c>
      <c r="J36" s="5">
        <f>IF(AND(ISNUMBER(Pin_dBm),ISNUMBER(D36)),Pin_dBm+D36,"")</f>
        <v>-10</v>
      </c>
      <c r="K36" s="5">
        <f>IF(AND(ISNUMBER(Pin_dBm),ISNUMBER(E36)),Pin_dBm+E36,"")</f>
        <v>-10</v>
      </c>
      <c r="L36" s="5" t="str">
        <f>IF(AND(器件参数!J36="finite",ISNUMBER(器件参数!L36),ISNUMBER(C36)),IF(器件参数!K36="input",器件参数!L36,IF(器件参数!K36="output",器件参数!L36-C36,"")),"")</f>
        <v/>
      </c>
      <c r="M36" s="5">
        <f>IFERROR(IF(NOT(ISNUMBER(M35)),"",IF(OR(NOT(器件参数!B36),器件参数!J36="ideal"),M35,IF(AND(ISNUMBER(L36),ISNUMBER(F36)),M35+F36/10^(L36/10),""))),"数值域错误")</f>
        <v>0.2</v>
      </c>
      <c r="N36" s="5">
        <f t="shared" si="5"/>
        <v>6.98970004336019</v>
      </c>
      <c r="O36" s="5">
        <f t="shared" si="6"/>
        <v>26.9897000433602</v>
      </c>
      <c r="P36" s="5" t="str">
        <f>IF(AND(器件参数!M36="finite",ISNUMBER(器件参数!O36),ISNUMBER(C36)),IF(器件参数!N36="input",器件参数!O36,IF(器件参数!N36="actual_output",器件参数!O36-C36+1,IF(器件参数!N36="linear_output",器件参数!O36-C36,""))),"")</f>
        <v/>
      </c>
      <c r="Q36" s="5">
        <f>IF(器件参数!P36="",IF(AND(ISNUMBER(DefaultP),DefaultP&gt;=1,DefaultP&lt;=10),DefaultP,""),IF(AND(ISNUMBER(器件参数!P36),器件参数!P36&gt;=1,器件参数!P36&lt;=10),器件参数!P36,""))</f>
        <v>2</v>
      </c>
      <c r="R36" s="5">
        <f t="shared" si="7"/>
        <v>-10.0000139708288</v>
      </c>
      <c r="S36" s="5" t="str">
        <f t="shared" si="8"/>
        <v/>
      </c>
      <c r="T36" s="5">
        <f t="shared" si="9"/>
        <v>0</v>
      </c>
      <c r="U36" s="5">
        <f t="shared" si="10"/>
        <v>-10.0000139708288</v>
      </c>
      <c r="V36" s="5">
        <f>IF(AND(ISNUMBER(Pin_dBm),ISNUMBER(E36),ISNUMBER(U36)),Pin_dBm+E36-U36,"")</f>
        <v>1.39708287854035e-5</v>
      </c>
      <c r="W36" s="5" t="str">
        <f>IF(AND(器件参数!B36,X36=1,ISNUMBER(D36)),P36-D36,"")</f>
        <v/>
      </c>
      <c r="X36" s="5">
        <f>IF(NOT(ISNUMBER(C36)),-1,IF(OR(NOT(器件参数!B36),器件参数!M36="ideal"),0,IF(AND(ISNUMBER(P36),ISNUMBER(Q36)),1,-1)))</f>
        <v>0</v>
      </c>
      <c r="Y36" s="5" t="str">
        <f t="shared" si="11"/>
        <v>有效</v>
      </c>
      <c r="Z36" s="5" t="str">
        <f t="shared" si="12"/>
        <v>有效</v>
      </c>
      <c r="AA36" s="5" t="str">
        <f t="shared" si="13"/>
        <v>模型估算</v>
      </c>
      <c r="AB36" s="5">
        <f t="shared" si="14"/>
        <v>100000000</v>
      </c>
      <c r="AC36" s="5">
        <f>IF(NOT(ISNUMBER(AB36)),"",IF(OR(NOT(器件参数!B36),器件参数!E36&lt;&gt;"mixer"),AB36,IF(AND(ISNUMBER(器件参数!T36),器件参数!T36&gt;0),IF(器件参数!U36="sum",AB36+器件参数!T36,IF(器件参数!U36="difference",ABS(AB36-器件参数!T36),"")),"")))</f>
        <v>100000000</v>
      </c>
      <c r="AD36" s="5">
        <f t="shared" si="15"/>
        <v>0</v>
      </c>
      <c r="AE36" s="5">
        <f>IF(AND(ISNUMBER(G36),ISNUMBER(F36)),Tref_K*(G36-1)/F36,"")</f>
        <v>0</v>
      </c>
      <c r="AF36" s="5">
        <f>IF(AND(ISNUMBER(H36),ISNUMBER(E36),NoiseConfigOK),10*LOG10(Boltzmann*Bnoise_Hz*(Tsource_K+Tref_K*(H36-1)))+30+E36,"")</f>
        <v>-90.3704468972711</v>
      </c>
      <c r="AG36" s="5">
        <f t="shared" si="16"/>
        <v>80.3704468972711</v>
      </c>
      <c r="AH36" s="5">
        <f>IF(AND(ToneEnabled,ISNUMBER(E36),ISNUMBER(TonePin)),TonePin+E36,"")</f>
        <v>-10</v>
      </c>
      <c r="AI36" s="5">
        <f>IF(AND(ToneEnabled,ISNUMBER(E36),ISNUMBER(N36),ISNUMBER(TonePin)),3*TonePin+E36-2*N36,"")</f>
        <v>-83.9794000867204</v>
      </c>
      <c r="AJ36" s="5" t="str">
        <f t="shared" si="17"/>
        <v/>
      </c>
      <c r="AK36" s="5" t="str">
        <f>IF(NOT(器件参数!B36),"旁路",IF(NOT(ISNUMBER(AC36)),"频率未知",IF(AC36&lt;=SignalBW/2,"跨零频",IF(AND(ISNUMBER(器件参数!R36),ISNUMBER(器件参数!S36)),IF(AND(AB36-SignalBW/2&gt;=器件参数!R36,AB36+SignalBW/2&lt;=器件参数!S36),"有效","超声明通带"),"未声明通带"))))</f>
        <v>旁路</v>
      </c>
      <c r="AL36" s="5">
        <f t="shared" si="18"/>
        <v>0</v>
      </c>
      <c r="AM36" s="5" t="str">
        <f>IF(AND(器件参数!B36,ISNUMBER(器件参数!X36),OR(AND(ISNUMBER(J36),J36&gt;器件参数!X36),IF(AND(ToneEnabled,ISNUMBER(TonePin),ISNUMBER(D36)),TonePin+10*LOG10(2)+D36&gt;器件参数!X36,FALSE))),"超过绝对最大输入额定值","")</f>
        <v/>
      </c>
      <c r="AN36" s="5">
        <f>IF(NOT(ISNUMBER(AN35)),"",IF(OR(NOT(器件参数!B36),器件参数!E36&lt;&gt;"mixer"),AN35,IF(AND(ISNUMBER(器件参数!T36),器件参数!T36&gt;0),IF(器件参数!U36="sum",AN35+器件参数!T36,ABS(AN35-器件参数!T36)),"")))</f>
        <v>99950000</v>
      </c>
      <c r="AO36" s="5">
        <f>IF(NOT(ISNUMBER(AO35)),"",IF(OR(NOT(器件参数!B36),器件参数!E36&lt;&gt;"mixer"),AO35,IF(AND(ISNUMBER(器件参数!T36),器件参数!T36&gt;0),IF(器件参数!U36="sum",AO35+器件参数!T36,ABS(AO35-器件参数!T36)),"")))</f>
        <v>100050000</v>
      </c>
      <c r="AP36" s="5">
        <f>IF(NOT(ISNUMBER(AP35)),"",IF(OR(NOT(器件参数!B36),器件参数!E36&lt;&gt;"mixer"),AP35,IF(AND(ISNUMBER(器件参数!T36),器件参数!T36&gt;0),IF(器件参数!U36="sum",AP35+器件参数!T36,ABS(AP35-器件参数!T36)),"")))</f>
        <v>99850000</v>
      </c>
      <c r="AQ36" s="5">
        <f>IF(NOT(ISNUMBER(AQ35)),"",IF(OR(NOT(器件参数!B36),器件参数!E36&lt;&gt;"mixer"),AQ35,IF(AND(ISNUMBER(器件参数!T36),器件参数!T36&gt;0),IF(器件参数!U36="sum",AQ35+器件参数!T36,ABS(AQ35-器件参数!T36)),"")))</f>
        <v>100150000</v>
      </c>
      <c r="AR36" s="5" t="b">
        <f>IF(NOT(AR35),FALSE,IF(NOT(器件参数!B36),TRUE,AND(COUNT(AN36:AQ36)=4,MIN(AN36:AQ36)&gt;0,IF(AND(ISNUMBER(器件参数!R36),ISNUMBER(器件参数!S36)),AND(MIN(AN35:AQ35)&gt;=器件参数!R36,MAX(AN35:AQ35)&lt;=器件参数!S36),TRUE),IF(AND(器件参数!E36="mixer",器件参数!U36="difference"),OR(器件参数!T36&lt;MIN(AN35:AQ35),器件参数!T36&gt;MAX(AN35:AQ35)),TRUE))))</f>
        <v>1</v>
      </c>
    </row>
    <row r="37" hidden="1" spans="1:44">
      <c r="A37" s="5">
        <f>器件参数!A37</f>
        <v>34</v>
      </c>
      <c r="B37" s="5" t="str">
        <f>器件参数!D37</f>
        <v/>
      </c>
      <c r="C37" s="5">
        <f>IF(NOT(器件参数!B37),0,IF(AND(ISNUMBER(器件参数!F37),ABS(器件参数!F37)&lt;=300),器件参数!F37,""))</f>
        <v>0</v>
      </c>
      <c r="D37" s="5">
        <f t="shared" si="0"/>
        <v>20</v>
      </c>
      <c r="E37" s="5">
        <f t="shared" si="1"/>
        <v>20</v>
      </c>
      <c r="F37" s="5">
        <f t="shared" si="2"/>
        <v>100</v>
      </c>
      <c r="G37" s="5">
        <f>IFERROR(IF(NOT(器件参数!B37),1,IF(NOT(OR(器件参数!E37&lt;&gt;"mixer",AND(OR(器件参数!V37="SSB",器件参数!V37="DSB"),器件参数!W37=TRUE))),"",IF(器件参数!G37="ideal",1,IF(AND(器件参数!G37="manual",ISNUMBER(器件参数!H37),器件参数!H37&gt;=0),10^(器件参数!H37/10),IF(AND(器件参数!G37="passive_thermal",OR(器件参数!E37="filter_bpf",器件参数!E37="filter_lpf",器件参数!E37="filter_hpf",器件参数!E37="filter_bsf",器件参数!E37="attenuator",器件参数!E37="cable",器件参数!E37="connector",器件参数!E37="switch",器件参数!E37="isolator",器件参数!E37="coupler",器件参数!E37="splitter"),AND(ISNUMBER(器件参数!F37),ABS(器件参数!F37)&lt;=300),器件参数!F37&lt;=0,ISNUMBER(器件参数!I37),器件参数!I37&gt;0),1+(10^(-器件参数!F37/10)-1)*器件参数!I37/Tref_K,""))))),"数值域错误")</f>
        <v>1</v>
      </c>
      <c r="H37" s="5">
        <f t="shared" si="3"/>
        <v>2.29336948552238</v>
      </c>
      <c r="I37" s="5">
        <f t="shared" si="4"/>
        <v>3.604740296957</v>
      </c>
      <c r="J37" s="5">
        <f>IF(AND(ISNUMBER(Pin_dBm),ISNUMBER(D37)),Pin_dBm+D37,"")</f>
        <v>-10</v>
      </c>
      <c r="K37" s="5">
        <f>IF(AND(ISNUMBER(Pin_dBm),ISNUMBER(E37)),Pin_dBm+E37,"")</f>
        <v>-10</v>
      </c>
      <c r="L37" s="5" t="str">
        <f>IF(AND(器件参数!J37="finite",ISNUMBER(器件参数!L37),ISNUMBER(C37)),IF(器件参数!K37="input",器件参数!L37,IF(器件参数!K37="output",器件参数!L37-C37,"")),"")</f>
        <v/>
      </c>
      <c r="M37" s="5">
        <f>IFERROR(IF(NOT(ISNUMBER(M36)),"",IF(OR(NOT(器件参数!B37),器件参数!J37="ideal"),M36,IF(AND(ISNUMBER(L37),ISNUMBER(F37)),M36+F37/10^(L37/10),""))),"数值域错误")</f>
        <v>0.2</v>
      </c>
      <c r="N37" s="5">
        <f t="shared" si="5"/>
        <v>6.98970004336019</v>
      </c>
      <c r="O37" s="5">
        <f t="shared" si="6"/>
        <v>26.9897000433602</v>
      </c>
      <c r="P37" s="5" t="str">
        <f>IF(AND(器件参数!M37="finite",ISNUMBER(器件参数!O37),ISNUMBER(C37)),IF(器件参数!N37="input",器件参数!O37,IF(器件参数!N37="actual_output",器件参数!O37-C37+1,IF(器件参数!N37="linear_output",器件参数!O37-C37,""))),"")</f>
        <v/>
      </c>
      <c r="Q37" s="5">
        <f>IF(器件参数!P37="",IF(AND(ISNUMBER(DefaultP),DefaultP&gt;=1,DefaultP&lt;=10),DefaultP,""),IF(AND(ISNUMBER(器件参数!P37),器件参数!P37&gt;=1,器件参数!P37&lt;=10),器件参数!P37,""))</f>
        <v>2</v>
      </c>
      <c r="R37" s="5">
        <f t="shared" si="7"/>
        <v>-10.0000139708288</v>
      </c>
      <c r="S37" s="5" t="str">
        <f t="shared" si="8"/>
        <v/>
      </c>
      <c r="T37" s="5">
        <f t="shared" si="9"/>
        <v>0</v>
      </c>
      <c r="U37" s="5">
        <f t="shared" si="10"/>
        <v>-10.0000139708288</v>
      </c>
      <c r="V37" s="5">
        <f>IF(AND(ISNUMBER(Pin_dBm),ISNUMBER(E37),ISNUMBER(U37)),Pin_dBm+E37-U37,"")</f>
        <v>1.39708287854035e-5</v>
      </c>
      <c r="W37" s="5" t="str">
        <f>IF(AND(器件参数!B37,X37=1,ISNUMBER(D37)),P37-D37,"")</f>
        <v/>
      </c>
      <c r="X37" s="5">
        <f>IF(NOT(ISNUMBER(C37)),-1,IF(OR(NOT(器件参数!B37),器件参数!M37="ideal"),0,IF(AND(ISNUMBER(P37),ISNUMBER(Q37)),1,-1)))</f>
        <v>0</v>
      </c>
      <c r="Y37" s="5" t="str">
        <f t="shared" si="11"/>
        <v>有效</v>
      </c>
      <c r="Z37" s="5" t="str">
        <f t="shared" si="12"/>
        <v>有效</v>
      </c>
      <c r="AA37" s="5" t="str">
        <f t="shared" si="13"/>
        <v>模型估算</v>
      </c>
      <c r="AB37" s="5">
        <f t="shared" si="14"/>
        <v>100000000</v>
      </c>
      <c r="AC37" s="5">
        <f>IF(NOT(ISNUMBER(AB37)),"",IF(OR(NOT(器件参数!B37),器件参数!E37&lt;&gt;"mixer"),AB37,IF(AND(ISNUMBER(器件参数!T37),器件参数!T37&gt;0),IF(器件参数!U37="sum",AB37+器件参数!T37,IF(器件参数!U37="difference",ABS(AB37-器件参数!T37),"")),"")))</f>
        <v>100000000</v>
      </c>
      <c r="AD37" s="5">
        <f t="shared" si="15"/>
        <v>0</v>
      </c>
      <c r="AE37" s="5">
        <f>IF(AND(ISNUMBER(G37),ISNUMBER(F37)),Tref_K*(G37-1)/F37,"")</f>
        <v>0</v>
      </c>
      <c r="AF37" s="5">
        <f>IF(AND(ISNUMBER(H37),ISNUMBER(E37),NoiseConfigOK),10*LOG10(Boltzmann*Bnoise_Hz*(Tsource_K+Tref_K*(H37-1)))+30+E37,"")</f>
        <v>-90.3704468972711</v>
      </c>
      <c r="AG37" s="5">
        <f t="shared" si="16"/>
        <v>80.3704468972711</v>
      </c>
      <c r="AH37" s="5">
        <f>IF(AND(ToneEnabled,ISNUMBER(E37),ISNUMBER(TonePin)),TonePin+E37,"")</f>
        <v>-10</v>
      </c>
      <c r="AI37" s="5">
        <f>IF(AND(ToneEnabled,ISNUMBER(E37),ISNUMBER(N37),ISNUMBER(TonePin)),3*TonePin+E37-2*N37,"")</f>
        <v>-83.9794000867204</v>
      </c>
      <c r="AJ37" s="5" t="str">
        <f t="shared" si="17"/>
        <v/>
      </c>
      <c r="AK37" s="5" t="str">
        <f>IF(NOT(器件参数!B37),"旁路",IF(NOT(ISNUMBER(AC37)),"频率未知",IF(AC37&lt;=SignalBW/2,"跨零频",IF(AND(ISNUMBER(器件参数!R37),ISNUMBER(器件参数!S37)),IF(AND(AB37-SignalBW/2&gt;=器件参数!R37,AB37+SignalBW/2&lt;=器件参数!S37),"有效","超声明通带"),"未声明通带"))))</f>
        <v>旁路</v>
      </c>
      <c r="AL37" s="5">
        <f t="shared" si="18"/>
        <v>0</v>
      </c>
      <c r="AM37" s="5" t="str">
        <f>IF(AND(器件参数!B37,ISNUMBER(器件参数!X37),OR(AND(ISNUMBER(J37),J37&gt;器件参数!X37),IF(AND(ToneEnabled,ISNUMBER(TonePin),ISNUMBER(D37)),TonePin+10*LOG10(2)+D37&gt;器件参数!X37,FALSE))),"超过绝对最大输入额定值","")</f>
        <v/>
      </c>
      <c r="AN37" s="5">
        <f>IF(NOT(ISNUMBER(AN36)),"",IF(OR(NOT(器件参数!B37),器件参数!E37&lt;&gt;"mixer"),AN36,IF(AND(ISNUMBER(器件参数!T37),器件参数!T37&gt;0),IF(器件参数!U37="sum",AN36+器件参数!T37,ABS(AN36-器件参数!T37)),"")))</f>
        <v>99950000</v>
      </c>
      <c r="AO37" s="5">
        <f>IF(NOT(ISNUMBER(AO36)),"",IF(OR(NOT(器件参数!B37),器件参数!E37&lt;&gt;"mixer"),AO36,IF(AND(ISNUMBER(器件参数!T37),器件参数!T37&gt;0),IF(器件参数!U37="sum",AO36+器件参数!T37,ABS(AO36-器件参数!T37)),"")))</f>
        <v>100050000</v>
      </c>
      <c r="AP37" s="5">
        <f>IF(NOT(ISNUMBER(AP36)),"",IF(OR(NOT(器件参数!B37),器件参数!E37&lt;&gt;"mixer"),AP36,IF(AND(ISNUMBER(器件参数!T37),器件参数!T37&gt;0),IF(器件参数!U37="sum",AP36+器件参数!T37,ABS(AP36-器件参数!T37)),"")))</f>
        <v>99850000</v>
      </c>
      <c r="AQ37" s="5">
        <f>IF(NOT(ISNUMBER(AQ36)),"",IF(OR(NOT(器件参数!B37),器件参数!E37&lt;&gt;"mixer"),AQ36,IF(AND(ISNUMBER(器件参数!T37),器件参数!T37&gt;0),IF(器件参数!U37="sum",AQ36+器件参数!T37,ABS(AQ36-器件参数!T37)),"")))</f>
        <v>100150000</v>
      </c>
      <c r="AR37" s="5" t="b">
        <f>IF(NOT(AR36),FALSE,IF(NOT(器件参数!B37),TRUE,AND(COUNT(AN37:AQ37)=4,MIN(AN37:AQ37)&gt;0,IF(AND(ISNUMBER(器件参数!R37),ISNUMBER(器件参数!S37)),AND(MIN(AN36:AQ36)&gt;=器件参数!R37,MAX(AN36:AQ36)&lt;=器件参数!S37),TRUE),IF(AND(器件参数!E37="mixer",器件参数!U37="difference"),OR(器件参数!T37&lt;MIN(AN36:AQ36),器件参数!T37&gt;MAX(AN36:AQ36)),TRUE))))</f>
        <v>1</v>
      </c>
    </row>
    <row r="38" hidden="1" spans="1:44">
      <c r="A38" s="5">
        <f>器件参数!A38</f>
        <v>35</v>
      </c>
      <c r="B38" s="5" t="str">
        <f>器件参数!D38</f>
        <v/>
      </c>
      <c r="C38" s="5">
        <f>IF(NOT(器件参数!B38),0,IF(AND(ISNUMBER(器件参数!F38),ABS(器件参数!F38)&lt;=300),器件参数!F38,""))</f>
        <v>0</v>
      </c>
      <c r="D38" s="5">
        <f t="shared" si="0"/>
        <v>20</v>
      </c>
      <c r="E38" s="5">
        <f t="shared" si="1"/>
        <v>20</v>
      </c>
      <c r="F38" s="5">
        <f t="shared" si="2"/>
        <v>100</v>
      </c>
      <c r="G38" s="5">
        <f>IFERROR(IF(NOT(器件参数!B38),1,IF(NOT(OR(器件参数!E38&lt;&gt;"mixer",AND(OR(器件参数!V38="SSB",器件参数!V38="DSB"),器件参数!W38=TRUE))),"",IF(器件参数!G38="ideal",1,IF(AND(器件参数!G38="manual",ISNUMBER(器件参数!H38),器件参数!H38&gt;=0),10^(器件参数!H38/10),IF(AND(器件参数!G38="passive_thermal",OR(器件参数!E38="filter_bpf",器件参数!E38="filter_lpf",器件参数!E38="filter_hpf",器件参数!E38="filter_bsf",器件参数!E38="attenuator",器件参数!E38="cable",器件参数!E38="connector",器件参数!E38="switch",器件参数!E38="isolator",器件参数!E38="coupler",器件参数!E38="splitter"),AND(ISNUMBER(器件参数!F38),ABS(器件参数!F38)&lt;=300),器件参数!F38&lt;=0,ISNUMBER(器件参数!I38),器件参数!I38&gt;0),1+(10^(-器件参数!F38/10)-1)*器件参数!I38/Tref_K,""))))),"数值域错误")</f>
        <v>1</v>
      </c>
      <c r="H38" s="5">
        <f t="shared" si="3"/>
        <v>2.29336948552238</v>
      </c>
      <c r="I38" s="5">
        <f t="shared" si="4"/>
        <v>3.604740296957</v>
      </c>
      <c r="J38" s="5">
        <f>IF(AND(ISNUMBER(Pin_dBm),ISNUMBER(D38)),Pin_dBm+D38,"")</f>
        <v>-10</v>
      </c>
      <c r="K38" s="5">
        <f>IF(AND(ISNUMBER(Pin_dBm),ISNUMBER(E38)),Pin_dBm+E38,"")</f>
        <v>-10</v>
      </c>
      <c r="L38" s="5" t="str">
        <f>IF(AND(器件参数!J38="finite",ISNUMBER(器件参数!L38),ISNUMBER(C38)),IF(器件参数!K38="input",器件参数!L38,IF(器件参数!K38="output",器件参数!L38-C38,"")),"")</f>
        <v/>
      </c>
      <c r="M38" s="5">
        <f>IFERROR(IF(NOT(ISNUMBER(M37)),"",IF(OR(NOT(器件参数!B38),器件参数!J38="ideal"),M37,IF(AND(ISNUMBER(L38),ISNUMBER(F38)),M37+F38/10^(L38/10),""))),"数值域错误")</f>
        <v>0.2</v>
      </c>
      <c r="N38" s="5">
        <f t="shared" si="5"/>
        <v>6.98970004336019</v>
      </c>
      <c r="O38" s="5">
        <f t="shared" si="6"/>
        <v>26.9897000433602</v>
      </c>
      <c r="P38" s="5" t="str">
        <f>IF(AND(器件参数!M38="finite",ISNUMBER(器件参数!O38),ISNUMBER(C38)),IF(器件参数!N38="input",器件参数!O38,IF(器件参数!N38="actual_output",器件参数!O38-C38+1,IF(器件参数!N38="linear_output",器件参数!O38-C38,""))),"")</f>
        <v/>
      </c>
      <c r="Q38" s="5">
        <f>IF(器件参数!P38="",IF(AND(ISNUMBER(DefaultP),DefaultP&gt;=1,DefaultP&lt;=10),DefaultP,""),IF(AND(ISNUMBER(器件参数!P38),器件参数!P38&gt;=1,器件参数!P38&lt;=10),器件参数!P38,""))</f>
        <v>2</v>
      </c>
      <c r="R38" s="5">
        <f t="shared" si="7"/>
        <v>-10.0000139708288</v>
      </c>
      <c r="S38" s="5" t="str">
        <f t="shared" si="8"/>
        <v/>
      </c>
      <c r="T38" s="5">
        <f t="shared" si="9"/>
        <v>0</v>
      </c>
      <c r="U38" s="5">
        <f t="shared" si="10"/>
        <v>-10.0000139708288</v>
      </c>
      <c r="V38" s="5">
        <f>IF(AND(ISNUMBER(Pin_dBm),ISNUMBER(E38),ISNUMBER(U38)),Pin_dBm+E38-U38,"")</f>
        <v>1.39708287854035e-5</v>
      </c>
      <c r="W38" s="5" t="str">
        <f>IF(AND(器件参数!B38,X38=1,ISNUMBER(D38)),P38-D38,"")</f>
        <v/>
      </c>
      <c r="X38" s="5">
        <f>IF(NOT(ISNUMBER(C38)),-1,IF(OR(NOT(器件参数!B38),器件参数!M38="ideal"),0,IF(AND(ISNUMBER(P38),ISNUMBER(Q38)),1,-1)))</f>
        <v>0</v>
      </c>
      <c r="Y38" s="5" t="str">
        <f t="shared" si="11"/>
        <v>有效</v>
      </c>
      <c r="Z38" s="5" t="str">
        <f t="shared" si="12"/>
        <v>有效</v>
      </c>
      <c r="AA38" s="5" t="str">
        <f t="shared" si="13"/>
        <v>模型估算</v>
      </c>
      <c r="AB38" s="5">
        <f t="shared" si="14"/>
        <v>100000000</v>
      </c>
      <c r="AC38" s="5">
        <f>IF(NOT(ISNUMBER(AB38)),"",IF(OR(NOT(器件参数!B38),器件参数!E38&lt;&gt;"mixer"),AB38,IF(AND(ISNUMBER(器件参数!T38),器件参数!T38&gt;0),IF(器件参数!U38="sum",AB38+器件参数!T38,IF(器件参数!U38="difference",ABS(AB38-器件参数!T38),"")),"")))</f>
        <v>100000000</v>
      </c>
      <c r="AD38" s="5">
        <f t="shared" si="15"/>
        <v>0</v>
      </c>
      <c r="AE38" s="5">
        <f>IF(AND(ISNUMBER(G38),ISNUMBER(F38)),Tref_K*(G38-1)/F38,"")</f>
        <v>0</v>
      </c>
      <c r="AF38" s="5">
        <f>IF(AND(ISNUMBER(H38),ISNUMBER(E38),NoiseConfigOK),10*LOG10(Boltzmann*Bnoise_Hz*(Tsource_K+Tref_K*(H38-1)))+30+E38,"")</f>
        <v>-90.3704468972711</v>
      </c>
      <c r="AG38" s="5">
        <f t="shared" si="16"/>
        <v>80.3704468972711</v>
      </c>
      <c r="AH38" s="5">
        <f>IF(AND(ToneEnabled,ISNUMBER(E38),ISNUMBER(TonePin)),TonePin+E38,"")</f>
        <v>-10</v>
      </c>
      <c r="AI38" s="5">
        <f>IF(AND(ToneEnabled,ISNUMBER(E38),ISNUMBER(N38),ISNUMBER(TonePin)),3*TonePin+E38-2*N38,"")</f>
        <v>-83.9794000867204</v>
      </c>
      <c r="AJ38" s="5" t="str">
        <f t="shared" si="17"/>
        <v/>
      </c>
      <c r="AK38" s="5" t="str">
        <f>IF(NOT(器件参数!B38),"旁路",IF(NOT(ISNUMBER(AC38)),"频率未知",IF(AC38&lt;=SignalBW/2,"跨零频",IF(AND(ISNUMBER(器件参数!R38),ISNUMBER(器件参数!S38)),IF(AND(AB38-SignalBW/2&gt;=器件参数!R38,AB38+SignalBW/2&lt;=器件参数!S38),"有效","超声明通带"),"未声明通带"))))</f>
        <v>旁路</v>
      </c>
      <c r="AL38" s="5">
        <f t="shared" si="18"/>
        <v>0</v>
      </c>
      <c r="AM38" s="5" t="str">
        <f>IF(AND(器件参数!B38,ISNUMBER(器件参数!X38),OR(AND(ISNUMBER(J38),J38&gt;器件参数!X38),IF(AND(ToneEnabled,ISNUMBER(TonePin),ISNUMBER(D38)),TonePin+10*LOG10(2)+D38&gt;器件参数!X38,FALSE))),"超过绝对最大输入额定值","")</f>
        <v/>
      </c>
      <c r="AN38" s="5">
        <f>IF(NOT(ISNUMBER(AN37)),"",IF(OR(NOT(器件参数!B38),器件参数!E38&lt;&gt;"mixer"),AN37,IF(AND(ISNUMBER(器件参数!T38),器件参数!T38&gt;0),IF(器件参数!U38="sum",AN37+器件参数!T38,ABS(AN37-器件参数!T38)),"")))</f>
        <v>99950000</v>
      </c>
      <c r="AO38" s="5">
        <f>IF(NOT(ISNUMBER(AO37)),"",IF(OR(NOT(器件参数!B38),器件参数!E38&lt;&gt;"mixer"),AO37,IF(AND(ISNUMBER(器件参数!T38),器件参数!T38&gt;0),IF(器件参数!U38="sum",AO37+器件参数!T38,ABS(AO37-器件参数!T38)),"")))</f>
        <v>100050000</v>
      </c>
      <c r="AP38" s="5">
        <f>IF(NOT(ISNUMBER(AP37)),"",IF(OR(NOT(器件参数!B38),器件参数!E38&lt;&gt;"mixer"),AP37,IF(AND(ISNUMBER(器件参数!T38),器件参数!T38&gt;0),IF(器件参数!U38="sum",AP37+器件参数!T38,ABS(AP37-器件参数!T38)),"")))</f>
        <v>99850000</v>
      </c>
      <c r="AQ38" s="5">
        <f>IF(NOT(ISNUMBER(AQ37)),"",IF(OR(NOT(器件参数!B38),器件参数!E38&lt;&gt;"mixer"),AQ37,IF(AND(ISNUMBER(器件参数!T38),器件参数!T38&gt;0),IF(器件参数!U38="sum",AQ37+器件参数!T38,ABS(AQ37-器件参数!T38)),"")))</f>
        <v>100150000</v>
      </c>
      <c r="AR38" s="5" t="b">
        <f>IF(NOT(AR37),FALSE,IF(NOT(器件参数!B38),TRUE,AND(COUNT(AN38:AQ38)=4,MIN(AN38:AQ38)&gt;0,IF(AND(ISNUMBER(器件参数!R38),ISNUMBER(器件参数!S38)),AND(MIN(AN37:AQ37)&gt;=器件参数!R38,MAX(AN37:AQ37)&lt;=器件参数!S38),TRUE),IF(AND(器件参数!E38="mixer",器件参数!U38="difference"),OR(器件参数!T38&lt;MIN(AN37:AQ37),器件参数!T38&gt;MAX(AN37:AQ37)),TRUE))))</f>
        <v>1</v>
      </c>
    </row>
    <row r="39" hidden="1" spans="1:44">
      <c r="A39" s="5">
        <f>器件参数!A39</f>
        <v>36</v>
      </c>
      <c r="B39" s="5" t="str">
        <f>器件参数!D39</f>
        <v/>
      </c>
      <c r="C39" s="5">
        <f>IF(NOT(器件参数!B39),0,IF(AND(ISNUMBER(器件参数!F39),ABS(器件参数!F39)&lt;=300),器件参数!F39,""))</f>
        <v>0</v>
      </c>
      <c r="D39" s="5">
        <f t="shared" si="0"/>
        <v>20</v>
      </c>
      <c r="E39" s="5">
        <f t="shared" si="1"/>
        <v>20</v>
      </c>
      <c r="F39" s="5">
        <f t="shared" si="2"/>
        <v>100</v>
      </c>
      <c r="G39" s="5">
        <f>IFERROR(IF(NOT(器件参数!B39),1,IF(NOT(OR(器件参数!E39&lt;&gt;"mixer",AND(OR(器件参数!V39="SSB",器件参数!V39="DSB"),器件参数!W39=TRUE))),"",IF(器件参数!G39="ideal",1,IF(AND(器件参数!G39="manual",ISNUMBER(器件参数!H39),器件参数!H39&gt;=0),10^(器件参数!H39/10),IF(AND(器件参数!G39="passive_thermal",OR(器件参数!E39="filter_bpf",器件参数!E39="filter_lpf",器件参数!E39="filter_hpf",器件参数!E39="filter_bsf",器件参数!E39="attenuator",器件参数!E39="cable",器件参数!E39="connector",器件参数!E39="switch",器件参数!E39="isolator",器件参数!E39="coupler",器件参数!E39="splitter"),AND(ISNUMBER(器件参数!F39),ABS(器件参数!F39)&lt;=300),器件参数!F39&lt;=0,ISNUMBER(器件参数!I39),器件参数!I39&gt;0),1+(10^(-器件参数!F39/10)-1)*器件参数!I39/Tref_K,""))))),"数值域错误")</f>
        <v>1</v>
      </c>
      <c r="H39" s="5">
        <f t="shared" si="3"/>
        <v>2.29336948552238</v>
      </c>
      <c r="I39" s="5">
        <f t="shared" si="4"/>
        <v>3.604740296957</v>
      </c>
      <c r="J39" s="5">
        <f>IF(AND(ISNUMBER(Pin_dBm),ISNUMBER(D39)),Pin_dBm+D39,"")</f>
        <v>-10</v>
      </c>
      <c r="K39" s="5">
        <f>IF(AND(ISNUMBER(Pin_dBm),ISNUMBER(E39)),Pin_dBm+E39,"")</f>
        <v>-10</v>
      </c>
      <c r="L39" s="5" t="str">
        <f>IF(AND(器件参数!J39="finite",ISNUMBER(器件参数!L39),ISNUMBER(C39)),IF(器件参数!K39="input",器件参数!L39,IF(器件参数!K39="output",器件参数!L39-C39,"")),"")</f>
        <v/>
      </c>
      <c r="M39" s="5">
        <f>IFERROR(IF(NOT(ISNUMBER(M38)),"",IF(OR(NOT(器件参数!B39),器件参数!J39="ideal"),M38,IF(AND(ISNUMBER(L39),ISNUMBER(F39)),M38+F39/10^(L39/10),""))),"数值域错误")</f>
        <v>0.2</v>
      </c>
      <c r="N39" s="5">
        <f t="shared" si="5"/>
        <v>6.98970004336019</v>
      </c>
      <c r="O39" s="5">
        <f t="shared" si="6"/>
        <v>26.9897000433602</v>
      </c>
      <c r="P39" s="5" t="str">
        <f>IF(AND(器件参数!M39="finite",ISNUMBER(器件参数!O39),ISNUMBER(C39)),IF(器件参数!N39="input",器件参数!O39,IF(器件参数!N39="actual_output",器件参数!O39-C39+1,IF(器件参数!N39="linear_output",器件参数!O39-C39,""))),"")</f>
        <v/>
      </c>
      <c r="Q39" s="5">
        <f>IF(器件参数!P39="",IF(AND(ISNUMBER(DefaultP),DefaultP&gt;=1,DefaultP&lt;=10),DefaultP,""),IF(AND(ISNUMBER(器件参数!P39),器件参数!P39&gt;=1,器件参数!P39&lt;=10),器件参数!P39,""))</f>
        <v>2</v>
      </c>
      <c r="R39" s="5">
        <f t="shared" si="7"/>
        <v>-10.0000139708288</v>
      </c>
      <c r="S39" s="5" t="str">
        <f t="shared" si="8"/>
        <v/>
      </c>
      <c r="T39" s="5">
        <f t="shared" si="9"/>
        <v>0</v>
      </c>
      <c r="U39" s="5">
        <f t="shared" si="10"/>
        <v>-10.0000139708288</v>
      </c>
      <c r="V39" s="5">
        <f>IF(AND(ISNUMBER(Pin_dBm),ISNUMBER(E39),ISNUMBER(U39)),Pin_dBm+E39-U39,"")</f>
        <v>1.39708287854035e-5</v>
      </c>
      <c r="W39" s="5" t="str">
        <f>IF(AND(器件参数!B39,X39=1,ISNUMBER(D39)),P39-D39,"")</f>
        <v/>
      </c>
      <c r="X39" s="5">
        <f>IF(NOT(ISNUMBER(C39)),-1,IF(OR(NOT(器件参数!B39),器件参数!M39="ideal"),0,IF(AND(ISNUMBER(P39),ISNUMBER(Q39)),1,-1)))</f>
        <v>0</v>
      </c>
      <c r="Y39" s="5" t="str">
        <f t="shared" si="11"/>
        <v>有效</v>
      </c>
      <c r="Z39" s="5" t="str">
        <f t="shared" si="12"/>
        <v>有效</v>
      </c>
      <c r="AA39" s="5" t="str">
        <f t="shared" si="13"/>
        <v>模型估算</v>
      </c>
      <c r="AB39" s="5">
        <f t="shared" si="14"/>
        <v>100000000</v>
      </c>
      <c r="AC39" s="5">
        <f>IF(NOT(ISNUMBER(AB39)),"",IF(OR(NOT(器件参数!B39),器件参数!E39&lt;&gt;"mixer"),AB39,IF(AND(ISNUMBER(器件参数!T39),器件参数!T39&gt;0),IF(器件参数!U39="sum",AB39+器件参数!T39,IF(器件参数!U39="difference",ABS(AB39-器件参数!T39),"")),"")))</f>
        <v>100000000</v>
      </c>
      <c r="AD39" s="5">
        <f t="shared" si="15"/>
        <v>0</v>
      </c>
      <c r="AE39" s="5">
        <f>IF(AND(ISNUMBER(G39),ISNUMBER(F39)),Tref_K*(G39-1)/F39,"")</f>
        <v>0</v>
      </c>
      <c r="AF39" s="5">
        <f>IF(AND(ISNUMBER(H39),ISNUMBER(E39),NoiseConfigOK),10*LOG10(Boltzmann*Bnoise_Hz*(Tsource_K+Tref_K*(H39-1)))+30+E39,"")</f>
        <v>-90.3704468972711</v>
      </c>
      <c r="AG39" s="5">
        <f t="shared" si="16"/>
        <v>80.3704468972711</v>
      </c>
      <c r="AH39" s="5">
        <f>IF(AND(ToneEnabled,ISNUMBER(E39),ISNUMBER(TonePin)),TonePin+E39,"")</f>
        <v>-10</v>
      </c>
      <c r="AI39" s="5">
        <f>IF(AND(ToneEnabled,ISNUMBER(E39),ISNUMBER(N39),ISNUMBER(TonePin)),3*TonePin+E39-2*N39,"")</f>
        <v>-83.9794000867204</v>
      </c>
      <c r="AJ39" s="5" t="str">
        <f t="shared" si="17"/>
        <v/>
      </c>
      <c r="AK39" s="5" t="str">
        <f>IF(NOT(器件参数!B39),"旁路",IF(NOT(ISNUMBER(AC39)),"频率未知",IF(AC39&lt;=SignalBW/2,"跨零频",IF(AND(ISNUMBER(器件参数!R39),ISNUMBER(器件参数!S39)),IF(AND(AB39-SignalBW/2&gt;=器件参数!R39,AB39+SignalBW/2&lt;=器件参数!S39),"有效","超声明通带"),"未声明通带"))))</f>
        <v>旁路</v>
      </c>
      <c r="AL39" s="5">
        <f t="shared" si="18"/>
        <v>0</v>
      </c>
      <c r="AM39" s="5" t="str">
        <f>IF(AND(器件参数!B39,ISNUMBER(器件参数!X39),OR(AND(ISNUMBER(J39),J39&gt;器件参数!X39),IF(AND(ToneEnabled,ISNUMBER(TonePin),ISNUMBER(D39)),TonePin+10*LOG10(2)+D39&gt;器件参数!X39,FALSE))),"超过绝对最大输入额定值","")</f>
        <v/>
      </c>
      <c r="AN39" s="5">
        <f>IF(NOT(ISNUMBER(AN38)),"",IF(OR(NOT(器件参数!B39),器件参数!E39&lt;&gt;"mixer"),AN38,IF(AND(ISNUMBER(器件参数!T39),器件参数!T39&gt;0),IF(器件参数!U39="sum",AN38+器件参数!T39,ABS(AN38-器件参数!T39)),"")))</f>
        <v>99950000</v>
      </c>
      <c r="AO39" s="5">
        <f>IF(NOT(ISNUMBER(AO38)),"",IF(OR(NOT(器件参数!B39),器件参数!E39&lt;&gt;"mixer"),AO38,IF(AND(ISNUMBER(器件参数!T39),器件参数!T39&gt;0),IF(器件参数!U39="sum",AO38+器件参数!T39,ABS(AO38-器件参数!T39)),"")))</f>
        <v>100050000</v>
      </c>
      <c r="AP39" s="5">
        <f>IF(NOT(ISNUMBER(AP38)),"",IF(OR(NOT(器件参数!B39),器件参数!E39&lt;&gt;"mixer"),AP38,IF(AND(ISNUMBER(器件参数!T39),器件参数!T39&gt;0),IF(器件参数!U39="sum",AP38+器件参数!T39,ABS(AP38-器件参数!T39)),"")))</f>
        <v>99850000</v>
      </c>
      <c r="AQ39" s="5">
        <f>IF(NOT(ISNUMBER(AQ38)),"",IF(OR(NOT(器件参数!B39),器件参数!E39&lt;&gt;"mixer"),AQ38,IF(AND(ISNUMBER(器件参数!T39),器件参数!T39&gt;0),IF(器件参数!U39="sum",AQ38+器件参数!T39,ABS(AQ38-器件参数!T39)),"")))</f>
        <v>100150000</v>
      </c>
      <c r="AR39" s="5" t="b">
        <f>IF(NOT(AR38),FALSE,IF(NOT(器件参数!B39),TRUE,AND(COUNT(AN39:AQ39)=4,MIN(AN39:AQ39)&gt;0,IF(AND(ISNUMBER(器件参数!R39),ISNUMBER(器件参数!S39)),AND(MIN(AN38:AQ38)&gt;=器件参数!R39,MAX(AN38:AQ38)&lt;=器件参数!S39),TRUE),IF(AND(器件参数!E39="mixer",器件参数!U39="difference"),OR(器件参数!T39&lt;MIN(AN38:AQ38),器件参数!T39&gt;MAX(AN38:AQ38)),TRUE))))</f>
        <v>1</v>
      </c>
    </row>
    <row r="40" hidden="1" spans="1:44">
      <c r="A40" s="5">
        <f>器件参数!A40</f>
        <v>37</v>
      </c>
      <c r="B40" s="5" t="str">
        <f>器件参数!D40</f>
        <v/>
      </c>
      <c r="C40" s="5">
        <f>IF(NOT(器件参数!B40),0,IF(AND(ISNUMBER(器件参数!F40),ABS(器件参数!F40)&lt;=300),器件参数!F40,""))</f>
        <v>0</v>
      </c>
      <c r="D40" s="5">
        <f t="shared" si="0"/>
        <v>20</v>
      </c>
      <c r="E40" s="5">
        <f t="shared" si="1"/>
        <v>20</v>
      </c>
      <c r="F40" s="5">
        <f t="shared" si="2"/>
        <v>100</v>
      </c>
      <c r="G40" s="5">
        <f>IFERROR(IF(NOT(器件参数!B40),1,IF(NOT(OR(器件参数!E40&lt;&gt;"mixer",AND(OR(器件参数!V40="SSB",器件参数!V40="DSB"),器件参数!W40=TRUE))),"",IF(器件参数!G40="ideal",1,IF(AND(器件参数!G40="manual",ISNUMBER(器件参数!H40),器件参数!H40&gt;=0),10^(器件参数!H40/10),IF(AND(器件参数!G40="passive_thermal",OR(器件参数!E40="filter_bpf",器件参数!E40="filter_lpf",器件参数!E40="filter_hpf",器件参数!E40="filter_bsf",器件参数!E40="attenuator",器件参数!E40="cable",器件参数!E40="connector",器件参数!E40="switch",器件参数!E40="isolator",器件参数!E40="coupler",器件参数!E40="splitter"),AND(ISNUMBER(器件参数!F40),ABS(器件参数!F40)&lt;=300),器件参数!F40&lt;=0,ISNUMBER(器件参数!I40),器件参数!I40&gt;0),1+(10^(-器件参数!F40/10)-1)*器件参数!I40/Tref_K,""))))),"数值域错误")</f>
        <v>1</v>
      </c>
      <c r="H40" s="5">
        <f t="shared" si="3"/>
        <v>2.29336948552238</v>
      </c>
      <c r="I40" s="5">
        <f t="shared" si="4"/>
        <v>3.604740296957</v>
      </c>
      <c r="J40" s="5">
        <f>IF(AND(ISNUMBER(Pin_dBm),ISNUMBER(D40)),Pin_dBm+D40,"")</f>
        <v>-10</v>
      </c>
      <c r="K40" s="5">
        <f>IF(AND(ISNUMBER(Pin_dBm),ISNUMBER(E40)),Pin_dBm+E40,"")</f>
        <v>-10</v>
      </c>
      <c r="L40" s="5" t="str">
        <f>IF(AND(器件参数!J40="finite",ISNUMBER(器件参数!L40),ISNUMBER(C40)),IF(器件参数!K40="input",器件参数!L40,IF(器件参数!K40="output",器件参数!L40-C40,"")),"")</f>
        <v/>
      </c>
      <c r="M40" s="5">
        <f>IFERROR(IF(NOT(ISNUMBER(M39)),"",IF(OR(NOT(器件参数!B40),器件参数!J40="ideal"),M39,IF(AND(ISNUMBER(L40),ISNUMBER(F40)),M39+F40/10^(L40/10),""))),"数值域错误")</f>
        <v>0.2</v>
      </c>
      <c r="N40" s="5">
        <f t="shared" si="5"/>
        <v>6.98970004336019</v>
      </c>
      <c r="O40" s="5">
        <f t="shared" si="6"/>
        <v>26.9897000433602</v>
      </c>
      <c r="P40" s="5" t="str">
        <f>IF(AND(器件参数!M40="finite",ISNUMBER(器件参数!O40),ISNUMBER(C40)),IF(器件参数!N40="input",器件参数!O40,IF(器件参数!N40="actual_output",器件参数!O40-C40+1,IF(器件参数!N40="linear_output",器件参数!O40-C40,""))),"")</f>
        <v/>
      </c>
      <c r="Q40" s="5">
        <f>IF(器件参数!P40="",IF(AND(ISNUMBER(DefaultP),DefaultP&gt;=1,DefaultP&lt;=10),DefaultP,""),IF(AND(ISNUMBER(器件参数!P40),器件参数!P40&gt;=1,器件参数!P40&lt;=10),器件参数!P40,""))</f>
        <v>2</v>
      </c>
      <c r="R40" s="5">
        <f t="shared" si="7"/>
        <v>-10.0000139708288</v>
      </c>
      <c r="S40" s="5" t="str">
        <f t="shared" si="8"/>
        <v/>
      </c>
      <c r="T40" s="5">
        <f t="shared" si="9"/>
        <v>0</v>
      </c>
      <c r="U40" s="5">
        <f t="shared" si="10"/>
        <v>-10.0000139708288</v>
      </c>
      <c r="V40" s="5">
        <f>IF(AND(ISNUMBER(Pin_dBm),ISNUMBER(E40),ISNUMBER(U40)),Pin_dBm+E40-U40,"")</f>
        <v>1.39708287854035e-5</v>
      </c>
      <c r="W40" s="5" t="str">
        <f>IF(AND(器件参数!B40,X40=1,ISNUMBER(D40)),P40-D40,"")</f>
        <v/>
      </c>
      <c r="X40" s="5">
        <f>IF(NOT(ISNUMBER(C40)),-1,IF(OR(NOT(器件参数!B40),器件参数!M40="ideal"),0,IF(AND(ISNUMBER(P40),ISNUMBER(Q40)),1,-1)))</f>
        <v>0</v>
      </c>
      <c r="Y40" s="5" t="str">
        <f t="shared" si="11"/>
        <v>有效</v>
      </c>
      <c r="Z40" s="5" t="str">
        <f t="shared" si="12"/>
        <v>有效</v>
      </c>
      <c r="AA40" s="5" t="str">
        <f t="shared" si="13"/>
        <v>模型估算</v>
      </c>
      <c r="AB40" s="5">
        <f t="shared" si="14"/>
        <v>100000000</v>
      </c>
      <c r="AC40" s="5">
        <f>IF(NOT(ISNUMBER(AB40)),"",IF(OR(NOT(器件参数!B40),器件参数!E40&lt;&gt;"mixer"),AB40,IF(AND(ISNUMBER(器件参数!T40),器件参数!T40&gt;0),IF(器件参数!U40="sum",AB40+器件参数!T40,IF(器件参数!U40="difference",ABS(AB40-器件参数!T40),"")),"")))</f>
        <v>100000000</v>
      </c>
      <c r="AD40" s="5">
        <f t="shared" si="15"/>
        <v>0</v>
      </c>
      <c r="AE40" s="5">
        <f>IF(AND(ISNUMBER(G40),ISNUMBER(F40)),Tref_K*(G40-1)/F40,"")</f>
        <v>0</v>
      </c>
      <c r="AF40" s="5">
        <f>IF(AND(ISNUMBER(H40),ISNUMBER(E40),NoiseConfigOK),10*LOG10(Boltzmann*Bnoise_Hz*(Tsource_K+Tref_K*(H40-1)))+30+E40,"")</f>
        <v>-90.3704468972711</v>
      </c>
      <c r="AG40" s="5">
        <f t="shared" si="16"/>
        <v>80.3704468972711</v>
      </c>
      <c r="AH40" s="5">
        <f>IF(AND(ToneEnabled,ISNUMBER(E40),ISNUMBER(TonePin)),TonePin+E40,"")</f>
        <v>-10</v>
      </c>
      <c r="AI40" s="5">
        <f>IF(AND(ToneEnabled,ISNUMBER(E40),ISNUMBER(N40),ISNUMBER(TonePin)),3*TonePin+E40-2*N40,"")</f>
        <v>-83.9794000867204</v>
      </c>
      <c r="AJ40" s="5" t="str">
        <f t="shared" si="17"/>
        <v/>
      </c>
      <c r="AK40" s="5" t="str">
        <f>IF(NOT(器件参数!B40),"旁路",IF(NOT(ISNUMBER(AC40)),"频率未知",IF(AC40&lt;=SignalBW/2,"跨零频",IF(AND(ISNUMBER(器件参数!R40),ISNUMBER(器件参数!S40)),IF(AND(AB40-SignalBW/2&gt;=器件参数!R40,AB40+SignalBW/2&lt;=器件参数!S40),"有效","超声明通带"),"未声明通带"))))</f>
        <v>旁路</v>
      </c>
      <c r="AL40" s="5">
        <f t="shared" si="18"/>
        <v>0</v>
      </c>
      <c r="AM40" s="5" t="str">
        <f>IF(AND(器件参数!B40,ISNUMBER(器件参数!X40),OR(AND(ISNUMBER(J40),J40&gt;器件参数!X40),IF(AND(ToneEnabled,ISNUMBER(TonePin),ISNUMBER(D40)),TonePin+10*LOG10(2)+D40&gt;器件参数!X40,FALSE))),"超过绝对最大输入额定值","")</f>
        <v/>
      </c>
      <c r="AN40" s="5">
        <f>IF(NOT(ISNUMBER(AN39)),"",IF(OR(NOT(器件参数!B40),器件参数!E40&lt;&gt;"mixer"),AN39,IF(AND(ISNUMBER(器件参数!T40),器件参数!T40&gt;0),IF(器件参数!U40="sum",AN39+器件参数!T40,ABS(AN39-器件参数!T40)),"")))</f>
        <v>99950000</v>
      </c>
      <c r="AO40" s="5">
        <f>IF(NOT(ISNUMBER(AO39)),"",IF(OR(NOT(器件参数!B40),器件参数!E40&lt;&gt;"mixer"),AO39,IF(AND(ISNUMBER(器件参数!T40),器件参数!T40&gt;0),IF(器件参数!U40="sum",AO39+器件参数!T40,ABS(AO39-器件参数!T40)),"")))</f>
        <v>100050000</v>
      </c>
      <c r="AP40" s="5">
        <f>IF(NOT(ISNUMBER(AP39)),"",IF(OR(NOT(器件参数!B40),器件参数!E40&lt;&gt;"mixer"),AP39,IF(AND(ISNUMBER(器件参数!T40),器件参数!T40&gt;0),IF(器件参数!U40="sum",AP39+器件参数!T40,ABS(AP39-器件参数!T40)),"")))</f>
        <v>99850000</v>
      </c>
      <c r="AQ40" s="5">
        <f>IF(NOT(ISNUMBER(AQ39)),"",IF(OR(NOT(器件参数!B40),器件参数!E40&lt;&gt;"mixer"),AQ39,IF(AND(ISNUMBER(器件参数!T40),器件参数!T40&gt;0),IF(器件参数!U40="sum",AQ39+器件参数!T40,ABS(AQ39-器件参数!T40)),"")))</f>
        <v>100150000</v>
      </c>
      <c r="AR40" s="5" t="b">
        <f>IF(NOT(AR39),FALSE,IF(NOT(器件参数!B40),TRUE,AND(COUNT(AN40:AQ40)=4,MIN(AN40:AQ40)&gt;0,IF(AND(ISNUMBER(器件参数!R40),ISNUMBER(器件参数!S40)),AND(MIN(AN39:AQ39)&gt;=器件参数!R40,MAX(AN39:AQ39)&lt;=器件参数!S40),TRUE),IF(AND(器件参数!E40="mixer",器件参数!U40="difference"),OR(器件参数!T40&lt;MIN(AN39:AQ39),器件参数!T40&gt;MAX(AN39:AQ39)),TRUE))))</f>
        <v>1</v>
      </c>
    </row>
    <row r="41" hidden="1" spans="1:44">
      <c r="A41" s="5">
        <f>器件参数!A41</f>
        <v>38</v>
      </c>
      <c r="B41" s="5" t="str">
        <f>器件参数!D41</f>
        <v/>
      </c>
      <c r="C41" s="5">
        <f>IF(NOT(器件参数!B41),0,IF(AND(ISNUMBER(器件参数!F41),ABS(器件参数!F41)&lt;=300),器件参数!F41,""))</f>
        <v>0</v>
      </c>
      <c r="D41" s="5">
        <f t="shared" si="0"/>
        <v>20</v>
      </c>
      <c r="E41" s="5">
        <f t="shared" si="1"/>
        <v>20</v>
      </c>
      <c r="F41" s="5">
        <f t="shared" si="2"/>
        <v>100</v>
      </c>
      <c r="G41" s="5">
        <f>IFERROR(IF(NOT(器件参数!B41),1,IF(NOT(OR(器件参数!E41&lt;&gt;"mixer",AND(OR(器件参数!V41="SSB",器件参数!V41="DSB"),器件参数!W41=TRUE))),"",IF(器件参数!G41="ideal",1,IF(AND(器件参数!G41="manual",ISNUMBER(器件参数!H41),器件参数!H41&gt;=0),10^(器件参数!H41/10),IF(AND(器件参数!G41="passive_thermal",OR(器件参数!E41="filter_bpf",器件参数!E41="filter_lpf",器件参数!E41="filter_hpf",器件参数!E41="filter_bsf",器件参数!E41="attenuator",器件参数!E41="cable",器件参数!E41="connector",器件参数!E41="switch",器件参数!E41="isolator",器件参数!E41="coupler",器件参数!E41="splitter"),AND(ISNUMBER(器件参数!F41),ABS(器件参数!F41)&lt;=300),器件参数!F41&lt;=0,ISNUMBER(器件参数!I41),器件参数!I41&gt;0),1+(10^(-器件参数!F41/10)-1)*器件参数!I41/Tref_K,""))))),"数值域错误")</f>
        <v>1</v>
      </c>
      <c r="H41" s="5">
        <f t="shared" si="3"/>
        <v>2.29336948552238</v>
      </c>
      <c r="I41" s="5">
        <f t="shared" si="4"/>
        <v>3.604740296957</v>
      </c>
      <c r="J41" s="5">
        <f>IF(AND(ISNUMBER(Pin_dBm),ISNUMBER(D41)),Pin_dBm+D41,"")</f>
        <v>-10</v>
      </c>
      <c r="K41" s="5">
        <f>IF(AND(ISNUMBER(Pin_dBm),ISNUMBER(E41)),Pin_dBm+E41,"")</f>
        <v>-10</v>
      </c>
      <c r="L41" s="5" t="str">
        <f>IF(AND(器件参数!J41="finite",ISNUMBER(器件参数!L41),ISNUMBER(C41)),IF(器件参数!K41="input",器件参数!L41,IF(器件参数!K41="output",器件参数!L41-C41,"")),"")</f>
        <v/>
      </c>
      <c r="M41" s="5">
        <f>IFERROR(IF(NOT(ISNUMBER(M40)),"",IF(OR(NOT(器件参数!B41),器件参数!J41="ideal"),M40,IF(AND(ISNUMBER(L41),ISNUMBER(F41)),M40+F41/10^(L41/10),""))),"数值域错误")</f>
        <v>0.2</v>
      </c>
      <c r="N41" s="5">
        <f t="shared" si="5"/>
        <v>6.98970004336019</v>
      </c>
      <c r="O41" s="5">
        <f t="shared" si="6"/>
        <v>26.9897000433602</v>
      </c>
      <c r="P41" s="5" t="str">
        <f>IF(AND(器件参数!M41="finite",ISNUMBER(器件参数!O41),ISNUMBER(C41)),IF(器件参数!N41="input",器件参数!O41,IF(器件参数!N41="actual_output",器件参数!O41-C41+1,IF(器件参数!N41="linear_output",器件参数!O41-C41,""))),"")</f>
        <v/>
      </c>
      <c r="Q41" s="5">
        <f>IF(器件参数!P41="",IF(AND(ISNUMBER(DefaultP),DefaultP&gt;=1,DefaultP&lt;=10),DefaultP,""),IF(AND(ISNUMBER(器件参数!P41),器件参数!P41&gt;=1,器件参数!P41&lt;=10),器件参数!P41,""))</f>
        <v>2</v>
      </c>
      <c r="R41" s="5">
        <f t="shared" si="7"/>
        <v>-10.0000139708288</v>
      </c>
      <c r="S41" s="5" t="str">
        <f t="shared" si="8"/>
        <v/>
      </c>
      <c r="T41" s="5">
        <f t="shared" si="9"/>
        <v>0</v>
      </c>
      <c r="U41" s="5">
        <f t="shared" si="10"/>
        <v>-10.0000139708288</v>
      </c>
      <c r="V41" s="5">
        <f>IF(AND(ISNUMBER(Pin_dBm),ISNUMBER(E41),ISNUMBER(U41)),Pin_dBm+E41-U41,"")</f>
        <v>1.39708287854035e-5</v>
      </c>
      <c r="W41" s="5" t="str">
        <f>IF(AND(器件参数!B41,X41=1,ISNUMBER(D41)),P41-D41,"")</f>
        <v/>
      </c>
      <c r="X41" s="5">
        <f>IF(NOT(ISNUMBER(C41)),-1,IF(OR(NOT(器件参数!B41),器件参数!M41="ideal"),0,IF(AND(ISNUMBER(P41),ISNUMBER(Q41)),1,-1)))</f>
        <v>0</v>
      </c>
      <c r="Y41" s="5" t="str">
        <f t="shared" si="11"/>
        <v>有效</v>
      </c>
      <c r="Z41" s="5" t="str">
        <f t="shared" si="12"/>
        <v>有效</v>
      </c>
      <c r="AA41" s="5" t="str">
        <f t="shared" si="13"/>
        <v>模型估算</v>
      </c>
      <c r="AB41" s="5">
        <f t="shared" si="14"/>
        <v>100000000</v>
      </c>
      <c r="AC41" s="5">
        <f>IF(NOT(ISNUMBER(AB41)),"",IF(OR(NOT(器件参数!B41),器件参数!E41&lt;&gt;"mixer"),AB41,IF(AND(ISNUMBER(器件参数!T41),器件参数!T41&gt;0),IF(器件参数!U41="sum",AB41+器件参数!T41,IF(器件参数!U41="difference",ABS(AB41-器件参数!T41),"")),"")))</f>
        <v>100000000</v>
      </c>
      <c r="AD41" s="5">
        <f t="shared" si="15"/>
        <v>0</v>
      </c>
      <c r="AE41" s="5">
        <f>IF(AND(ISNUMBER(G41),ISNUMBER(F41)),Tref_K*(G41-1)/F41,"")</f>
        <v>0</v>
      </c>
      <c r="AF41" s="5">
        <f>IF(AND(ISNUMBER(H41),ISNUMBER(E41),NoiseConfigOK),10*LOG10(Boltzmann*Bnoise_Hz*(Tsource_K+Tref_K*(H41-1)))+30+E41,"")</f>
        <v>-90.3704468972711</v>
      </c>
      <c r="AG41" s="5">
        <f t="shared" si="16"/>
        <v>80.3704468972711</v>
      </c>
      <c r="AH41" s="5">
        <f>IF(AND(ToneEnabled,ISNUMBER(E41),ISNUMBER(TonePin)),TonePin+E41,"")</f>
        <v>-10</v>
      </c>
      <c r="AI41" s="5">
        <f>IF(AND(ToneEnabled,ISNUMBER(E41),ISNUMBER(N41),ISNUMBER(TonePin)),3*TonePin+E41-2*N41,"")</f>
        <v>-83.9794000867204</v>
      </c>
      <c r="AJ41" s="5" t="str">
        <f t="shared" si="17"/>
        <v/>
      </c>
      <c r="AK41" s="5" t="str">
        <f>IF(NOT(器件参数!B41),"旁路",IF(NOT(ISNUMBER(AC41)),"频率未知",IF(AC41&lt;=SignalBW/2,"跨零频",IF(AND(ISNUMBER(器件参数!R41),ISNUMBER(器件参数!S41)),IF(AND(AB41-SignalBW/2&gt;=器件参数!R41,AB41+SignalBW/2&lt;=器件参数!S41),"有效","超声明通带"),"未声明通带"))))</f>
        <v>旁路</v>
      </c>
      <c r="AL41" s="5">
        <f t="shared" si="18"/>
        <v>0</v>
      </c>
      <c r="AM41" s="5" t="str">
        <f>IF(AND(器件参数!B41,ISNUMBER(器件参数!X41),OR(AND(ISNUMBER(J41),J41&gt;器件参数!X41),IF(AND(ToneEnabled,ISNUMBER(TonePin),ISNUMBER(D41)),TonePin+10*LOG10(2)+D41&gt;器件参数!X41,FALSE))),"超过绝对最大输入额定值","")</f>
        <v/>
      </c>
      <c r="AN41" s="5">
        <f>IF(NOT(ISNUMBER(AN40)),"",IF(OR(NOT(器件参数!B41),器件参数!E41&lt;&gt;"mixer"),AN40,IF(AND(ISNUMBER(器件参数!T41),器件参数!T41&gt;0),IF(器件参数!U41="sum",AN40+器件参数!T41,ABS(AN40-器件参数!T41)),"")))</f>
        <v>99950000</v>
      </c>
      <c r="AO41" s="5">
        <f>IF(NOT(ISNUMBER(AO40)),"",IF(OR(NOT(器件参数!B41),器件参数!E41&lt;&gt;"mixer"),AO40,IF(AND(ISNUMBER(器件参数!T41),器件参数!T41&gt;0),IF(器件参数!U41="sum",AO40+器件参数!T41,ABS(AO40-器件参数!T41)),"")))</f>
        <v>100050000</v>
      </c>
      <c r="AP41" s="5">
        <f>IF(NOT(ISNUMBER(AP40)),"",IF(OR(NOT(器件参数!B41),器件参数!E41&lt;&gt;"mixer"),AP40,IF(AND(ISNUMBER(器件参数!T41),器件参数!T41&gt;0),IF(器件参数!U41="sum",AP40+器件参数!T41,ABS(AP40-器件参数!T41)),"")))</f>
        <v>99850000</v>
      </c>
      <c r="AQ41" s="5">
        <f>IF(NOT(ISNUMBER(AQ40)),"",IF(OR(NOT(器件参数!B41),器件参数!E41&lt;&gt;"mixer"),AQ40,IF(AND(ISNUMBER(器件参数!T41),器件参数!T41&gt;0),IF(器件参数!U41="sum",AQ40+器件参数!T41,ABS(AQ40-器件参数!T41)),"")))</f>
        <v>100150000</v>
      </c>
      <c r="AR41" s="5" t="b">
        <f>IF(NOT(AR40),FALSE,IF(NOT(器件参数!B41),TRUE,AND(COUNT(AN41:AQ41)=4,MIN(AN41:AQ41)&gt;0,IF(AND(ISNUMBER(器件参数!R41),ISNUMBER(器件参数!S41)),AND(MIN(AN40:AQ40)&gt;=器件参数!R41,MAX(AN40:AQ40)&lt;=器件参数!S41),TRUE),IF(AND(器件参数!E41="mixer",器件参数!U41="difference"),OR(器件参数!T41&lt;MIN(AN40:AQ40),器件参数!T41&gt;MAX(AN40:AQ40)),TRUE))))</f>
        <v>1</v>
      </c>
    </row>
    <row r="42" hidden="1" spans="1:44">
      <c r="A42" s="5">
        <f>器件参数!A42</f>
        <v>39</v>
      </c>
      <c r="B42" s="5" t="str">
        <f>器件参数!D42</f>
        <v/>
      </c>
      <c r="C42" s="5">
        <f>IF(NOT(器件参数!B42),0,IF(AND(ISNUMBER(器件参数!F42),ABS(器件参数!F42)&lt;=300),器件参数!F42,""))</f>
        <v>0</v>
      </c>
      <c r="D42" s="5">
        <f t="shared" si="0"/>
        <v>20</v>
      </c>
      <c r="E42" s="5">
        <f t="shared" si="1"/>
        <v>20</v>
      </c>
      <c r="F42" s="5">
        <f t="shared" si="2"/>
        <v>100</v>
      </c>
      <c r="G42" s="5">
        <f>IFERROR(IF(NOT(器件参数!B42),1,IF(NOT(OR(器件参数!E42&lt;&gt;"mixer",AND(OR(器件参数!V42="SSB",器件参数!V42="DSB"),器件参数!W42=TRUE))),"",IF(器件参数!G42="ideal",1,IF(AND(器件参数!G42="manual",ISNUMBER(器件参数!H42),器件参数!H42&gt;=0),10^(器件参数!H42/10),IF(AND(器件参数!G42="passive_thermal",OR(器件参数!E42="filter_bpf",器件参数!E42="filter_lpf",器件参数!E42="filter_hpf",器件参数!E42="filter_bsf",器件参数!E42="attenuator",器件参数!E42="cable",器件参数!E42="connector",器件参数!E42="switch",器件参数!E42="isolator",器件参数!E42="coupler",器件参数!E42="splitter"),AND(ISNUMBER(器件参数!F42),ABS(器件参数!F42)&lt;=300),器件参数!F42&lt;=0,ISNUMBER(器件参数!I42),器件参数!I42&gt;0),1+(10^(-器件参数!F42/10)-1)*器件参数!I42/Tref_K,""))))),"数值域错误")</f>
        <v>1</v>
      </c>
      <c r="H42" s="5">
        <f t="shared" si="3"/>
        <v>2.29336948552238</v>
      </c>
      <c r="I42" s="5">
        <f t="shared" si="4"/>
        <v>3.604740296957</v>
      </c>
      <c r="J42" s="5">
        <f>IF(AND(ISNUMBER(Pin_dBm),ISNUMBER(D42)),Pin_dBm+D42,"")</f>
        <v>-10</v>
      </c>
      <c r="K42" s="5">
        <f>IF(AND(ISNUMBER(Pin_dBm),ISNUMBER(E42)),Pin_dBm+E42,"")</f>
        <v>-10</v>
      </c>
      <c r="L42" s="5" t="str">
        <f>IF(AND(器件参数!J42="finite",ISNUMBER(器件参数!L42),ISNUMBER(C42)),IF(器件参数!K42="input",器件参数!L42,IF(器件参数!K42="output",器件参数!L42-C42,"")),"")</f>
        <v/>
      </c>
      <c r="M42" s="5">
        <f>IFERROR(IF(NOT(ISNUMBER(M41)),"",IF(OR(NOT(器件参数!B42),器件参数!J42="ideal"),M41,IF(AND(ISNUMBER(L42),ISNUMBER(F42)),M41+F42/10^(L42/10),""))),"数值域错误")</f>
        <v>0.2</v>
      </c>
      <c r="N42" s="5">
        <f t="shared" si="5"/>
        <v>6.98970004336019</v>
      </c>
      <c r="O42" s="5">
        <f t="shared" si="6"/>
        <v>26.9897000433602</v>
      </c>
      <c r="P42" s="5" t="str">
        <f>IF(AND(器件参数!M42="finite",ISNUMBER(器件参数!O42),ISNUMBER(C42)),IF(器件参数!N42="input",器件参数!O42,IF(器件参数!N42="actual_output",器件参数!O42-C42+1,IF(器件参数!N42="linear_output",器件参数!O42-C42,""))),"")</f>
        <v/>
      </c>
      <c r="Q42" s="5">
        <f>IF(器件参数!P42="",IF(AND(ISNUMBER(DefaultP),DefaultP&gt;=1,DefaultP&lt;=10),DefaultP,""),IF(AND(ISNUMBER(器件参数!P42),器件参数!P42&gt;=1,器件参数!P42&lt;=10),器件参数!P42,""))</f>
        <v>2</v>
      </c>
      <c r="R42" s="5">
        <f t="shared" si="7"/>
        <v>-10.0000139708288</v>
      </c>
      <c r="S42" s="5" t="str">
        <f t="shared" si="8"/>
        <v/>
      </c>
      <c r="T42" s="5">
        <f t="shared" si="9"/>
        <v>0</v>
      </c>
      <c r="U42" s="5">
        <f t="shared" si="10"/>
        <v>-10.0000139708288</v>
      </c>
      <c r="V42" s="5">
        <f>IF(AND(ISNUMBER(Pin_dBm),ISNUMBER(E42),ISNUMBER(U42)),Pin_dBm+E42-U42,"")</f>
        <v>1.39708287854035e-5</v>
      </c>
      <c r="W42" s="5" t="str">
        <f>IF(AND(器件参数!B42,X42=1,ISNUMBER(D42)),P42-D42,"")</f>
        <v/>
      </c>
      <c r="X42" s="5">
        <f>IF(NOT(ISNUMBER(C42)),-1,IF(OR(NOT(器件参数!B42),器件参数!M42="ideal"),0,IF(AND(ISNUMBER(P42),ISNUMBER(Q42)),1,-1)))</f>
        <v>0</v>
      </c>
      <c r="Y42" s="5" t="str">
        <f t="shared" si="11"/>
        <v>有效</v>
      </c>
      <c r="Z42" s="5" t="str">
        <f t="shared" si="12"/>
        <v>有效</v>
      </c>
      <c r="AA42" s="5" t="str">
        <f t="shared" si="13"/>
        <v>模型估算</v>
      </c>
      <c r="AB42" s="5">
        <f t="shared" si="14"/>
        <v>100000000</v>
      </c>
      <c r="AC42" s="5">
        <f>IF(NOT(ISNUMBER(AB42)),"",IF(OR(NOT(器件参数!B42),器件参数!E42&lt;&gt;"mixer"),AB42,IF(AND(ISNUMBER(器件参数!T42),器件参数!T42&gt;0),IF(器件参数!U42="sum",AB42+器件参数!T42,IF(器件参数!U42="difference",ABS(AB42-器件参数!T42),"")),"")))</f>
        <v>100000000</v>
      </c>
      <c r="AD42" s="5">
        <f t="shared" si="15"/>
        <v>0</v>
      </c>
      <c r="AE42" s="5">
        <f>IF(AND(ISNUMBER(G42),ISNUMBER(F42)),Tref_K*(G42-1)/F42,"")</f>
        <v>0</v>
      </c>
      <c r="AF42" s="5">
        <f>IF(AND(ISNUMBER(H42),ISNUMBER(E42),NoiseConfigOK),10*LOG10(Boltzmann*Bnoise_Hz*(Tsource_K+Tref_K*(H42-1)))+30+E42,"")</f>
        <v>-90.3704468972711</v>
      </c>
      <c r="AG42" s="5">
        <f t="shared" si="16"/>
        <v>80.3704468972711</v>
      </c>
      <c r="AH42" s="5">
        <f>IF(AND(ToneEnabled,ISNUMBER(E42),ISNUMBER(TonePin)),TonePin+E42,"")</f>
        <v>-10</v>
      </c>
      <c r="AI42" s="5">
        <f>IF(AND(ToneEnabled,ISNUMBER(E42),ISNUMBER(N42),ISNUMBER(TonePin)),3*TonePin+E42-2*N42,"")</f>
        <v>-83.9794000867204</v>
      </c>
      <c r="AJ42" s="5" t="str">
        <f t="shared" si="17"/>
        <v/>
      </c>
      <c r="AK42" s="5" t="str">
        <f>IF(NOT(器件参数!B42),"旁路",IF(NOT(ISNUMBER(AC42)),"频率未知",IF(AC42&lt;=SignalBW/2,"跨零频",IF(AND(ISNUMBER(器件参数!R42),ISNUMBER(器件参数!S42)),IF(AND(AB42-SignalBW/2&gt;=器件参数!R42,AB42+SignalBW/2&lt;=器件参数!S42),"有效","超声明通带"),"未声明通带"))))</f>
        <v>旁路</v>
      </c>
      <c r="AL42" s="5">
        <f t="shared" si="18"/>
        <v>0</v>
      </c>
      <c r="AM42" s="5" t="str">
        <f>IF(AND(器件参数!B42,ISNUMBER(器件参数!X42),OR(AND(ISNUMBER(J42),J42&gt;器件参数!X42),IF(AND(ToneEnabled,ISNUMBER(TonePin),ISNUMBER(D42)),TonePin+10*LOG10(2)+D42&gt;器件参数!X42,FALSE))),"超过绝对最大输入额定值","")</f>
        <v/>
      </c>
      <c r="AN42" s="5">
        <f>IF(NOT(ISNUMBER(AN41)),"",IF(OR(NOT(器件参数!B42),器件参数!E42&lt;&gt;"mixer"),AN41,IF(AND(ISNUMBER(器件参数!T42),器件参数!T42&gt;0),IF(器件参数!U42="sum",AN41+器件参数!T42,ABS(AN41-器件参数!T42)),"")))</f>
        <v>99950000</v>
      </c>
      <c r="AO42" s="5">
        <f>IF(NOT(ISNUMBER(AO41)),"",IF(OR(NOT(器件参数!B42),器件参数!E42&lt;&gt;"mixer"),AO41,IF(AND(ISNUMBER(器件参数!T42),器件参数!T42&gt;0),IF(器件参数!U42="sum",AO41+器件参数!T42,ABS(AO41-器件参数!T42)),"")))</f>
        <v>100050000</v>
      </c>
      <c r="AP42" s="5">
        <f>IF(NOT(ISNUMBER(AP41)),"",IF(OR(NOT(器件参数!B42),器件参数!E42&lt;&gt;"mixer"),AP41,IF(AND(ISNUMBER(器件参数!T42),器件参数!T42&gt;0),IF(器件参数!U42="sum",AP41+器件参数!T42,ABS(AP41-器件参数!T42)),"")))</f>
        <v>99850000</v>
      </c>
      <c r="AQ42" s="5">
        <f>IF(NOT(ISNUMBER(AQ41)),"",IF(OR(NOT(器件参数!B42),器件参数!E42&lt;&gt;"mixer"),AQ41,IF(AND(ISNUMBER(器件参数!T42),器件参数!T42&gt;0),IF(器件参数!U42="sum",AQ41+器件参数!T42,ABS(AQ41-器件参数!T42)),"")))</f>
        <v>100150000</v>
      </c>
      <c r="AR42" s="5" t="b">
        <f>IF(NOT(AR41),FALSE,IF(NOT(器件参数!B42),TRUE,AND(COUNT(AN42:AQ42)=4,MIN(AN42:AQ42)&gt;0,IF(AND(ISNUMBER(器件参数!R42),ISNUMBER(器件参数!S42)),AND(MIN(AN41:AQ41)&gt;=器件参数!R42,MAX(AN41:AQ41)&lt;=器件参数!S42),TRUE),IF(AND(器件参数!E42="mixer",器件参数!U42="difference"),OR(器件参数!T42&lt;MIN(AN41:AQ41),器件参数!T42&gt;MAX(AN41:AQ41)),TRUE))))</f>
        <v>1</v>
      </c>
    </row>
    <row r="43" hidden="1" spans="1:44">
      <c r="A43" s="5">
        <f>器件参数!A43</f>
        <v>40</v>
      </c>
      <c r="B43" s="5" t="str">
        <f>器件参数!D43</f>
        <v/>
      </c>
      <c r="C43" s="5">
        <f>IF(NOT(器件参数!B43),0,IF(AND(ISNUMBER(器件参数!F43),ABS(器件参数!F43)&lt;=300),器件参数!F43,""))</f>
        <v>0</v>
      </c>
      <c r="D43" s="5">
        <f t="shared" si="0"/>
        <v>20</v>
      </c>
      <c r="E43" s="5">
        <f t="shared" si="1"/>
        <v>20</v>
      </c>
      <c r="F43" s="5">
        <f t="shared" si="2"/>
        <v>100</v>
      </c>
      <c r="G43" s="5">
        <f>IFERROR(IF(NOT(器件参数!B43),1,IF(NOT(OR(器件参数!E43&lt;&gt;"mixer",AND(OR(器件参数!V43="SSB",器件参数!V43="DSB"),器件参数!W43=TRUE))),"",IF(器件参数!G43="ideal",1,IF(AND(器件参数!G43="manual",ISNUMBER(器件参数!H43),器件参数!H43&gt;=0),10^(器件参数!H43/10),IF(AND(器件参数!G43="passive_thermal",OR(器件参数!E43="filter_bpf",器件参数!E43="filter_lpf",器件参数!E43="filter_hpf",器件参数!E43="filter_bsf",器件参数!E43="attenuator",器件参数!E43="cable",器件参数!E43="connector",器件参数!E43="switch",器件参数!E43="isolator",器件参数!E43="coupler",器件参数!E43="splitter"),AND(ISNUMBER(器件参数!F43),ABS(器件参数!F43)&lt;=300),器件参数!F43&lt;=0,ISNUMBER(器件参数!I43),器件参数!I43&gt;0),1+(10^(-器件参数!F43/10)-1)*器件参数!I43/Tref_K,""))))),"数值域错误")</f>
        <v>1</v>
      </c>
      <c r="H43" s="5">
        <f t="shared" si="3"/>
        <v>2.29336948552238</v>
      </c>
      <c r="I43" s="5">
        <f t="shared" si="4"/>
        <v>3.604740296957</v>
      </c>
      <c r="J43" s="5">
        <f>IF(AND(ISNUMBER(Pin_dBm),ISNUMBER(D43)),Pin_dBm+D43,"")</f>
        <v>-10</v>
      </c>
      <c r="K43" s="5">
        <f>IF(AND(ISNUMBER(Pin_dBm),ISNUMBER(E43)),Pin_dBm+E43,"")</f>
        <v>-10</v>
      </c>
      <c r="L43" s="5" t="str">
        <f>IF(AND(器件参数!J43="finite",ISNUMBER(器件参数!L43),ISNUMBER(C43)),IF(器件参数!K43="input",器件参数!L43,IF(器件参数!K43="output",器件参数!L43-C43,"")),"")</f>
        <v/>
      </c>
      <c r="M43" s="5">
        <f>IFERROR(IF(NOT(ISNUMBER(M42)),"",IF(OR(NOT(器件参数!B43),器件参数!J43="ideal"),M42,IF(AND(ISNUMBER(L43),ISNUMBER(F43)),M42+F43/10^(L43/10),""))),"数值域错误")</f>
        <v>0.2</v>
      </c>
      <c r="N43" s="5">
        <f t="shared" si="5"/>
        <v>6.98970004336019</v>
      </c>
      <c r="O43" s="5">
        <f t="shared" si="6"/>
        <v>26.9897000433602</v>
      </c>
      <c r="P43" s="5" t="str">
        <f>IF(AND(器件参数!M43="finite",ISNUMBER(器件参数!O43),ISNUMBER(C43)),IF(器件参数!N43="input",器件参数!O43,IF(器件参数!N43="actual_output",器件参数!O43-C43+1,IF(器件参数!N43="linear_output",器件参数!O43-C43,""))),"")</f>
        <v/>
      </c>
      <c r="Q43" s="5">
        <f>IF(器件参数!P43="",IF(AND(ISNUMBER(DefaultP),DefaultP&gt;=1,DefaultP&lt;=10),DefaultP,""),IF(AND(ISNUMBER(器件参数!P43),器件参数!P43&gt;=1,器件参数!P43&lt;=10),器件参数!P43,""))</f>
        <v>2</v>
      </c>
      <c r="R43" s="5">
        <f t="shared" si="7"/>
        <v>-10.0000139708288</v>
      </c>
      <c r="S43" s="5" t="str">
        <f t="shared" si="8"/>
        <v/>
      </c>
      <c r="T43" s="5">
        <f t="shared" si="9"/>
        <v>0</v>
      </c>
      <c r="U43" s="5">
        <f t="shared" si="10"/>
        <v>-10.0000139708288</v>
      </c>
      <c r="V43" s="5">
        <f>IF(AND(ISNUMBER(Pin_dBm),ISNUMBER(E43),ISNUMBER(U43)),Pin_dBm+E43-U43,"")</f>
        <v>1.39708287854035e-5</v>
      </c>
      <c r="W43" s="5" t="str">
        <f>IF(AND(器件参数!B43,X43=1,ISNUMBER(D43)),P43-D43,"")</f>
        <v/>
      </c>
      <c r="X43" s="5">
        <f>IF(NOT(ISNUMBER(C43)),-1,IF(OR(NOT(器件参数!B43),器件参数!M43="ideal"),0,IF(AND(ISNUMBER(P43),ISNUMBER(Q43)),1,-1)))</f>
        <v>0</v>
      </c>
      <c r="Y43" s="5" t="str">
        <f t="shared" si="11"/>
        <v>有效</v>
      </c>
      <c r="Z43" s="5" t="str">
        <f t="shared" si="12"/>
        <v>有效</v>
      </c>
      <c r="AA43" s="5" t="str">
        <f t="shared" si="13"/>
        <v>模型估算</v>
      </c>
      <c r="AB43" s="5">
        <f t="shared" si="14"/>
        <v>100000000</v>
      </c>
      <c r="AC43" s="5">
        <f>IF(NOT(ISNUMBER(AB43)),"",IF(OR(NOT(器件参数!B43),器件参数!E43&lt;&gt;"mixer"),AB43,IF(AND(ISNUMBER(器件参数!T43),器件参数!T43&gt;0),IF(器件参数!U43="sum",AB43+器件参数!T43,IF(器件参数!U43="difference",ABS(AB43-器件参数!T43),"")),"")))</f>
        <v>100000000</v>
      </c>
      <c r="AD43" s="5">
        <f t="shared" si="15"/>
        <v>0</v>
      </c>
      <c r="AE43" s="5">
        <f>IF(AND(ISNUMBER(G43),ISNUMBER(F43)),Tref_K*(G43-1)/F43,"")</f>
        <v>0</v>
      </c>
      <c r="AF43" s="5">
        <f>IF(AND(ISNUMBER(H43),ISNUMBER(E43),NoiseConfigOK),10*LOG10(Boltzmann*Bnoise_Hz*(Tsource_K+Tref_K*(H43-1)))+30+E43,"")</f>
        <v>-90.3704468972711</v>
      </c>
      <c r="AG43" s="5">
        <f t="shared" si="16"/>
        <v>80.3704468972711</v>
      </c>
      <c r="AH43" s="5">
        <f>IF(AND(ToneEnabled,ISNUMBER(E43),ISNUMBER(TonePin)),TonePin+E43,"")</f>
        <v>-10</v>
      </c>
      <c r="AI43" s="5">
        <f>IF(AND(ToneEnabled,ISNUMBER(E43),ISNUMBER(N43),ISNUMBER(TonePin)),3*TonePin+E43-2*N43,"")</f>
        <v>-83.9794000867204</v>
      </c>
      <c r="AJ43" s="5" t="str">
        <f t="shared" si="17"/>
        <v/>
      </c>
      <c r="AK43" s="5" t="str">
        <f>IF(NOT(器件参数!B43),"旁路",IF(NOT(ISNUMBER(AC43)),"频率未知",IF(AC43&lt;=SignalBW/2,"跨零频",IF(AND(ISNUMBER(器件参数!R43),ISNUMBER(器件参数!S43)),IF(AND(AB43-SignalBW/2&gt;=器件参数!R43,AB43+SignalBW/2&lt;=器件参数!S43),"有效","超声明通带"),"未声明通带"))))</f>
        <v>旁路</v>
      </c>
      <c r="AL43" s="5">
        <f t="shared" si="18"/>
        <v>0</v>
      </c>
      <c r="AM43" s="5" t="str">
        <f>IF(AND(器件参数!B43,ISNUMBER(器件参数!X43),OR(AND(ISNUMBER(J43),J43&gt;器件参数!X43),IF(AND(ToneEnabled,ISNUMBER(TonePin),ISNUMBER(D43)),TonePin+10*LOG10(2)+D43&gt;器件参数!X43,FALSE))),"超过绝对最大输入额定值","")</f>
        <v/>
      </c>
      <c r="AN43" s="5">
        <f>IF(NOT(ISNUMBER(AN42)),"",IF(OR(NOT(器件参数!B43),器件参数!E43&lt;&gt;"mixer"),AN42,IF(AND(ISNUMBER(器件参数!T43),器件参数!T43&gt;0),IF(器件参数!U43="sum",AN42+器件参数!T43,ABS(AN42-器件参数!T43)),"")))</f>
        <v>99950000</v>
      </c>
      <c r="AO43" s="5">
        <f>IF(NOT(ISNUMBER(AO42)),"",IF(OR(NOT(器件参数!B43),器件参数!E43&lt;&gt;"mixer"),AO42,IF(AND(ISNUMBER(器件参数!T43),器件参数!T43&gt;0),IF(器件参数!U43="sum",AO42+器件参数!T43,ABS(AO42-器件参数!T43)),"")))</f>
        <v>100050000</v>
      </c>
      <c r="AP43" s="5">
        <f>IF(NOT(ISNUMBER(AP42)),"",IF(OR(NOT(器件参数!B43),器件参数!E43&lt;&gt;"mixer"),AP42,IF(AND(ISNUMBER(器件参数!T43),器件参数!T43&gt;0),IF(器件参数!U43="sum",AP42+器件参数!T43,ABS(AP42-器件参数!T43)),"")))</f>
        <v>99850000</v>
      </c>
      <c r="AQ43" s="5">
        <f>IF(NOT(ISNUMBER(AQ42)),"",IF(OR(NOT(器件参数!B43),器件参数!E43&lt;&gt;"mixer"),AQ42,IF(AND(ISNUMBER(器件参数!T43),器件参数!T43&gt;0),IF(器件参数!U43="sum",AQ42+器件参数!T43,ABS(AQ42-器件参数!T43)),"")))</f>
        <v>100150000</v>
      </c>
      <c r="AR43" s="5" t="b">
        <f>IF(NOT(AR42),FALSE,IF(NOT(器件参数!B43),TRUE,AND(COUNT(AN43:AQ43)=4,MIN(AN43:AQ43)&gt;0,IF(AND(ISNUMBER(器件参数!R43),ISNUMBER(器件参数!S43)),AND(MIN(AN42:AQ42)&gt;=器件参数!R43,MAX(AN42:AQ42)&lt;=器件参数!S43),TRUE),IF(AND(器件参数!E43="mixer",器件参数!U43="difference"),OR(器件参数!T43&lt;MIN(AN42:AQ42),器件参数!T43&gt;MAX(AN42:AQ42)),TRUE))))</f>
        <v>1</v>
      </c>
    </row>
    <row r="44" hidden="1" spans="1:44">
      <c r="A44" s="5">
        <f>器件参数!A44</f>
        <v>41</v>
      </c>
      <c r="B44" s="5" t="str">
        <f>器件参数!D44</f>
        <v/>
      </c>
      <c r="C44" s="5">
        <f>IF(NOT(器件参数!B44),0,IF(AND(ISNUMBER(器件参数!F44),ABS(器件参数!F44)&lt;=300),器件参数!F44,""))</f>
        <v>0</v>
      </c>
      <c r="D44" s="5">
        <f t="shared" si="0"/>
        <v>20</v>
      </c>
      <c r="E44" s="5">
        <f t="shared" si="1"/>
        <v>20</v>
      </c>
      <c r="F44" s="5">
        <f t="shared" si="2"/>
        <v>100</v>
      </c>
      <c r="G44" s="5">
        <f>IFERROR(IF(NOT(器件参数!B44),1,IF(NOT(OR(器件参数!E44&lt;&gt;"mixer",AND(OR(器件参数!V44="SSB",器件参数!V44="DSB"),器件参数!W44=TRUE))),"",IF(器件参数!G44="ideal",1,IF(AND(器件参数!G44="manual",ISNUMBER(器件参数!H44),器件参数!H44&gt;=0),10^(器件参数!H44/10),IF(AND(器件参数!G44="passive_thermal",OR(器件参数!E44="filter_bpf",器件参数!E44="filter_lpf",器件参数!E44="filter_hpf",器件参数!E44="filter_bsf",器件参数!E44="attenuator",器件参数!E44="cable",器件参数!E44="connector",器件参数!E44="switch",器件参数!E44="isolator",器件参数!E44="coupler",器件参数!E44="splitter"),AND(ISNUMBER(器件参数!F44),ABS(器件参数!F44)&lt;=300),器件参数!F44&lt;=0,ISNUMBER(器件参数!I44),器件参数!I44&gt;0),1+(10^(-器件参数!F44/10)-1)*器件参数!I44/Tref_K,""))))),"数值域错误")</f>
        <v>1</v>
      </c>
      <c r="H44" s="5">
        <f t="shared" si="3"/>
        <v>2.29336948552238</v>
      </c>
      <c r="I44" s="5">
        <f t="shared" si="4"/>
        <v>3.604740296957</v>
      </c>
      <c r="J44" s="5">
        <f>IF(AND(ISNUMBER(Pin_dBm),ISNUMBER(D44)),Pin_dBm+D44,"")</f>
        <v>-10</v>
      </c>
      <c r="K44" s="5">
        <f>IF(AND(ISNUMBER(Pin_dBm),ISNUMBER(E44)),Pin_dBm+E44,"")</f>
        <v>-10</v>
      </c>
      <c r="L44" s="5" t="str">
        <f>IF(AND(器件参数!J44="finite",ISNUMBER(器件参数!L44),ISNUMBER(C44)),IF(器件参数!K44="input",器件参数!L44,IF(器件参数!K44="output",器件参数!L44-C44,"")),"")</f>
        <v/>
      </c>
      <c r="M44" s="5">
        <f>IFERROR(IF(NOT(ISNUMBER(M43)),"",IF(OR(NOT(器件参数!B44),器件参数!J44="ideal"),M43,IF(AND(ISNUMBER(L44),ISNUMBER(F44)),M43+F44/10^(L44/10),""))),"数值域错误")</f>
        <v>0.2</v>
      </c>
      <c r="N44" s="5">
        <f t="shared" si="5"/>
        <v>6.98970004336019</v>
      </c>
      <c r="O44" s="5">
        <f t="shared" si="6"/>
        <v>26.9897000433602</v>
      </c>
      <c r="P44" s="5" t="str">
        <f>IF(AND(器件参数!M44="finite",ISNUMBER(器件参数!O44),ISNUMBER(C44)),IF(器件参数!N44="input",器件参数!O44,IF(器件参数!N44="actual_output",器件参数!O44-C44+1,IF(器件参数!N44="linear_output",器件参数!O44-C44,""))),"")</f>
        <v/>
      </c>
      <c r="Q44" s="5">
        <f>IF(器件参数!P44="",IF(AND(ISNUMBER(DefaultP),DefaultP&gt;=1,DefaultP&lt;=10),DefaultP,""),IF(AND(ISNUMBER(器件参数!P44),器件参数!P44&gt;=1,器件参数!P44&lt;=10),器件参数!P44,""))</f>
        <v>2</v>
      </c>
      <c r="R44" s="5">
        <f t="shared" si="7"/>
        <v>-10.0000139708288</v>
      </c>
      <c r="S44" s="5" t="str">
        <f t="shared" si="8"/>
        <v/>
      </c>
      <c r="T44" s="5">
        <f t="shared" si="9"/>
        <v>0</v>
      </c>
      <c r="U44" s="5">
        <f t="shared" si="10"/>
        <v>-10.0000139708288</v>
      </c>
      <c r="V44" s="5">
        <f>IF(AND(ISNUMBER(Pin_dBm),ISNUMBER(E44),ISNUMBER(U44)),Pin_dBm+E44-U44,"")</f>
        <v>1.39708287854035e-5</v>
      </c>
      <c r="W44" s="5" t="str">
        <f>IF(AND(器件参数!B44,X44=1,ISNUMBER(D44)),P44-D44,"")</f>
        <v/>
      </c>
      <c r="X44" s="5">
        <f>IF(NOT(ISNUMBER(C44)),-1,IF(OR(NOT(器件参数!B44),器件参数!M44="ideal"),0,IF(AND(ISNUMBER(P44),ISNUMBER(Q44)),1,-1)))</f>
        <v>0</v>
      </c>
      <c r="Y44" s="5" t="str">
        <f t="shared" si="11"/>
        <v>有效</v>
      </c>
      <c r="Z44" s="5" t="str">
        <f t="shared" si="12"/>
        <v>有效</v>
      </c>
      <c r="AA44" s="5" t="str">
        <f t="shared" si="13"/>
        <v>模型估算</v>
      </c>
      <c r="AB44" s="5">
        <f t="shared" si="14"/>
        <v>100000000</v>
      </c>
      <c r="AC44" s="5">
        <f>IF(NOT(ISNUMBER(AB44)),"",IF(OR(NOT(器件参数!B44),器件参数!E44&lt;&gt;"mixer"),AB44,IF(AND(ISNUMBER(器件参数!T44),器件参数!T44&gt;0),IF(器件参数!U44="sum",AB44+器件参数!T44,IF(器件参数!U44="difference",ABS(AB44-器件参数!T44),"")),"")))</f>
        <v>100000000</v>
      </c>
      <c r="AD44" s="5">
        <f t="shared" si="15"/>
        <v>0</v>
      </c>
      <c r="AE44" s="5">
        <f>IF(AND(ISNUMBER(G44),ISNUMBER(F44)),Tref_K*(G44-1)/F44,"")</f>
        <v>0</v>
      </c>
      <c r="AF44" s="5">
        <f>IF(AND(ISNUMBER(H44),ISNUMBER(E44),NoiseConfigOK),10*LOG10(Boltzmann*Bnoise_Hz*(Tsource_K+Tref_K*(H44-1)))+30+E44,"")</f>
        <v>-90.3704468972711</v>
      </c>
      <c r="AG44" s="5">
        <f t="shared" si="16"/>
        <v>80.3704468972711</v>
      </c>
      <c r="AH44" s="5">
        <f>IF(AND(ToneEnabled,ISNUMBER(E44),ISNUMBER(TonePin)),TonePin+E44,"")</f>
        <v>-10</v>
      </c>
      <c r="AI44" s="5">
        <f>IF(AND(ToneEnabled,ISNUMBER(E44),ISNUMBER(N44),ISNUMBER(TonePin)),3*TonePin+E44-2*N44,"")</f>
        <v>-83.9794000867204</v>
      </c>
      <c r="AJ44" s="5" t="str">
        <f t="shared" si="17"/>
        <v/>
      </c>
      <c r="AK44" s="5" t="str">
        <f>IF(NOT(器件参数!B44),"旁路",IF(NOT(ISNUMBER(AC44)),"频率未知",IF(AC44&lt;=SignalBW/2,"跨零频",IF(AND(ISNUMBER(器件参数!R44),ISNUMBER(器件参数!S44)),IF(AND(AB44-SignalBW/2&gt;=器件参数!R44,AB44+SignalBW/2&lt;=器件参数!S44),"有效","超声明通带"),"未声明通带"))))</f>
        <v>旁路</v>
      </c>
      <c r="AL44" s="5">
        <f t="shared" si="18"/>
        <v>0</v>
      </c>
      <c r="AM44" s="5" t="str">
        <f>IF(AND(器件参数!B44,ISNUMBER(器件参数!X44),OR(AND(ISNUMBER(J44),J44&gt;器件参数!X44),IF(AND(ToneEnabled,ISNUMBER(TonePin),ISNUMBER(D44)),TonePin+10*LOG10(2)+D44&gt;器件参数!X44,FALSE))),"超过绝对最大输入额定值","")</f>
        <v/>
      </c>
      <c r="AN44" s="5">
        <f>IF(NOT(ISNUMBER(AN43)),"",IF(OR(NOT(器件参数!B44),器件参数!E44&lt;&gt;"mixer"),AN43,IF(AND(ISNUMBER(器件参数!T44),器件参数!T44&gt;0),IF(器件参数!U44="sum",AN43+器件参数!T44,ABS(AN43-器件参数!T44)),"")))</f>
        <v>99950000</v>
      </c>
      <c r="AO44" s="5">
        <f>IF(NOT(ISNUMBER(AO43)),"",IF(OR(NOT(器件参数!B44),器件参数!E44&lt;&gt;"mixer"),AO43,IF(AND(ISNUMBER(器件参数!T44),器件参数!T44&gt;0),IF(器件参数!U44="sum",AO43+器件参数!T44,ABS(AO43-器件参数!T44)),"")))</f>
        <v>100050000</v>
      </c>
      <c r="AP44" s="5">
        <f>IF(NOT(ISNUMBER(AP43)),"",IF(OR(NOT(器件参数!B44),器件参数!E44&lt;&gt;"mixer"),AP43,IF(AND(ISNUMBER(器件参数!T44),器件参数!T44&gt;0),IF(器件参数!U44="sum",AP43+器件参数!T44,ABS(AP43-器件参数!T44)),"")))</f>
        <v>99850000</v>
      </c>
      <c r="AQ44" s="5">
        <f>IF(NOT(ISNUMBER(AQ43)),"",IF(OR(NOT(器件参数!B44),器件参数!E44&lt;&gt;"mixer"),AQ43,IF(AND(ISNUMBER(器件参数!T44),器件参数!T44&gt;0),IF(器件参数!U44="sum",AQ43+器件参数!T44,ABS(AQ43-器件参数!T44)),"")))</f>
        <v>100150000</v>
      </c>
      <c r="AR44" s="5" t="b">
        <f>IF(NOT(AR43),FALSE,IF(NOT(器件参数!B44),TRUE,AND(COUNT(AN44:AQ44)=4,MIN(AN44:AQ44)&gt;0,IF(AND(ISNUMBER(器件参数!R44),ISNUMBER(器件参数!S44)),AND(MIN(AN43:AQ43)&gt;=器件参数!R44,MAX(AN43:AQ43)&lt;=器件参数!S44),TRUE),IF(AND(器件参数!E44="mixer",器件参数!U44="difference"),OR(器件参数!T44&lt;MIN(AN43:AQ43),器件参数!T44&gt;MAX(AN43:AQ43)),TRUE))))</f>
        <v>1</v>
      </c>
    </row>
    <row r="45" hidden="1" spans="1:44">
      <c r="A45" s="5">
        <f>器件参数!A45</f>
        <v>42</v>
      </c>
      <c r="B45" s="5" t="str">
        <f>器件参数!D45</f>
        <v/>
      </c>
      <c r="C45" s="5">
        <f>IF(NOT(器件参数!B45),0,IF(AND(ISNUMBER(器件参数!F45),ABS(器件参数!F45)&lt;=300),器件参数!F45,""))</f>
        <v>0</v>
      </c>
      <c r="D45" s="5">
        <f t="shared" si="0"/>
        <v>20</v>
      </c>
      <c r="E45" s="5">
        <f t="shared" si="1"/>
        <v>20</v>
      </c>
      <c r="F45" s="5">
        <f t="shared" si="2"/>
        <v>100</v>
      </c>
      <c r="G45" s="5">
        <f>IFERROR(IF(NOT(器件参数!B45),1,IF(NOT(OR(器件参数!E45&lt;&gt;"mixer",AND(OR(器件参数!V45="SSB",器件参数!V45="DSB"),器件参数!W45=TRUE))),"",IF(器件参数!G45="ideal",1,IF(AND(器件参数!G45="manual",ISNUMBER(器件参数!H45),器件参数!H45&gt;=0),10^(器件参数!H45/10),IF(AND(器件参数!G45="passive_thermal",OR(器件参数!E45="filter_bpf",器件参数!E45="filter_lpf",器件参数!E45="filter_hpf",器件参数!E45="filter_bsf",器件参数!E45="attenuator",器件参数!E45="cable",器件参数!E45="connector",器件参数!E45="switch",器件参数!E45="isolator",器件参数!E45="coupler",器件参数!E45="splitter"),AND(ISNUMBER(器件参数!F45),ABS(器件参数!F45)&lt;=300),器件参数!F45&lt;=0,ISNUMBER(器件参数!I45),器件参数!I45&gt;0),1+(10^(-器件参数!F45/10)-1)*器件参数!I45/Tref_K,""))))),"数值域错误")</f>
        <v>1</v>
      </c>
      <c r="H45" s="5">
        <f t="shared" si="3"/>
        <v>2.29336948552238</v>
      </c>
      <c r="I45" s="5">
        <f t="shared" si="4"/>
        <v>3.604740296957</v>
      </c>
      <c r="J45" s="5">
        <f>IF(AND(ISNUMBER(Pin_dBm),ISNUMBER(D45)),Pin_dBm+D45,"")</f>
        <v>-10</v>
      </c>
      <c r="K45" s="5">
        <f>IF(AND(ISNUMBER(Pin_dBm),ISNUMBER(E45)),Pin_dBm+E45,"")</f>
        <v>-10</v>
      </c>
      <c r="L45" s="5" t="str">
        <f>IF(AND(器件参数!J45="finite",ISNUMBER(器件参数!L45),ISNUMBER(C45)),IF(器件参数!K45="input",器件参数!L45,IF(器件参数!K45="output",器件参数!L45-C45,"")),"")</f>
        <v/>
      </c>
      <c r="M45" s="5">
        <f>IFERROR(IF(NOT(ISNUMBER(M44)),"",IF(OR(NOT(器件参数!B45),器件参数!J45="ideal"),M44,IF(AND(ISNUMBER(L45),ISNUMBER(F45)),M44+F45/10^(L45/10),""))),"数值域错误")</f>
        <v>0.2</v>
      </c>
      <c r="N45" s="5">
        <f t="shared" si="5"/>
        <v>6.98970004336019</v>
      </c>
      <c r="O45" s="5">
        <f t="shared" si="6"/>
        <v>26.9897000433602</v>
      </c>
      <c r="P45" s="5" t="str">
        <f>IF(AND(器件参数!M45="finite",ISNUMBER(器件参数!O45),ISNUMBER(C45)),IF(器件参数!N45="input",器件参数!O45,IF(器件参数!N45="actual_output",器件参数!O45-C45+1,IF(器件参数!N45="linear_output",器件参数!O45-C45,""))),"")</f>
        <v/>
      </c>
      <c r="Q45" s="5">
        <f>IF(器件参数!P45="",IF(AND(ISNUMBER(DefaultP),DefaultP&gt;=1,DefaultP&lt;=10),DefaultP,""),IF(AND(ISNUMBER(器件参数!P45),器件参数!P45&gt;=1,器件参数!P45&lt;=10),器件参数!P45,""))</f>
        <v>2</v>
      </c>
      <c r="R45" s="5">
        <f t="shared" si="7"/>
        <v>-10.0000139708288</v>
      </c>
      <c r="S45" s="5" t="str">
        <f t="shared" si="8"/>
        <v/>
      </c>
      <c r="T45" s="5">
        <f t="shared" si="9"/>
        <v>0</v>
      </c>
      <c r="U45" s="5">
        <f t="shared" si="10"/>
        <v>-10.0000139708288</v>
      </c>
      <c r="V45" s="5">
        <f>IF(AND(ISNUMBER(Pin_dBm),ISNUMBER(E45),ISNUMBER(U45)),Pin_dBm+E45-U45,"")</f>
        <v>1.39708287854035e-5</v>
      </c>
      <c r="W45" s="5" t="str">
        <f>IF(AND(器件参数!B45,X45=1,ISNUMBER(D45)),P45-D45,"")</f>
        <v/>
      </c>
      <c r="X45" s="5">
        <f>IF(NOT(ISNUMBER(C45)),-1,IF(OR(NOT(器件参数!B45),器件参数!M45="ideal"),0,IF(AND(ISNUMBER(P45),ISNUMBER(Q45)),1,-1)))</f>
        <v>0</v>
      </c>
      <c r="Y45" s="5" t="str">
        <f t="shared" si="11"/>
        <v>有效</v>
      </c>
      <c r="Z45" s="5" t="str">
        <f t="shared" si="12"/>
        <v>有效</v>
      </c>
      <c r="AA45" s="5" t="str">
        <f t="shared" si="13"/>
        <v>模型估算</v>
      </c>
      <c r="AB45" s="5">
        <f t="shared" si="14"/>
        <v>100000000</v>
      </c>
      <c r="AC45" s="5">
        <f>IF(NOT(ISNUMBER(AB45)),"",IF(OR(NOT(器件参数!B45),器件参数!E45&lt;&gt;"mixer"),AB45,IF(AND(ISNUMBER(器件参数!T45),器件参数!T45&gt;0),IF(器件参数!U45="sum",AB45+器件参数!T45,IF(器件参数!U45="difference",ABS(AB45-器件参数!T45),"")),"")))</f>
        <v>100000000</v>
      </c>
      <c r="AD45" s="5">
        <f t="shared" si="15"/>
        <v>0</v>
      </c>
      <c r="AE45" s="5">
        <f>IF(AND(ISNUMBER(G45),ISNUMBER(F45)),Tref_K*(G45-1)/F45,"")</f>
        <v>0</v>
      </c>
      <c r="AF45" s="5">
        <f>IF(AND(ISNUMBER(H45),ISNUMBER(E45),NoiseConfigOK),10*LOG10(Boltzmann*Bnoise_Hz*(Tsource_K+Tref_K*(H45-1)))+30+E45,"")</f>
        <v>-90.3704468972711</v>
      </c>
      <c r="AG45" s="5">
        <f t="shared" si="16"/>
        <v>80.3704468972711</v>
      </c>
      <c r="AH45" s="5">
        <f>IF(AND(ToneEnabled,ISNUMBER(E45),ISNUMBER(TonePin)),TonePin+E45,"")</f>
        <v>-10</v>
      </c>
      <c r="AI45" s="5">
        <f>IF(AND(ToneEnabled,ISNUMBER(E45),ISNUMBER(N45),ISNUMBER(TonePin)),3*TonePin+E45-2*N45,"")</f>
        <v>-83.9794000867204</v>
      </c>
      <c r="AJ45" s="5" t="str">
        <f t="shared" si="17"/>
        <v/>
      </c>
      <c r="AK45" s="5" t="str">
        <f>IF(NOT(器件参数!B45),"旁路",IF(NOT(ISNUMBER(AC45)),"频率未知",IF(AC45&lt;=SignalBW/2,"跨零频",IF(AND(ISNUMBER(器件参数!R45),ISNUMBER(器件参数!S45)),IF(AND(AB45-SignalBW/2&gt;=器件参数!R45,AB45+SignalBW/2&lt;=器件参数!S45),"有效","超声明通带"),"未声明通带"))))</f>
        <v>旁路</v>
      </c>
      <c r="AL45" s="5">
        <f t="shared" si="18"/>
        <v>0</v>
      </c>
      <c r="AM45" s="5" t="str">
        <f>IF(AND(器件参数!B45,ISNUMBER(器件参数!X45),OR(AND(ISNUMBER(J45),J45&gt;器件参数!X45),IF(AND(ToneEnabled,ISNUMBER(TonePin),ISNUMBER(D45)),TonePin+10*LOG10(2)+D45&gt;器件参数!X45,FALSE))),"超过绝对最大输入额定值","")</f>
        <v/>
      </c>
      <c r="AN45" s="5">
        <f>IF(NOT(ISNUMBER(AN44)),"",IF(OR(NOT(器件参数!B45),器件参数!E45&lt;&gt;"mixer"),AN44,IF(AND(ISNUMBER(器件参数!T45),器件参数!T45&gt;0),IF(器件参数!U45="sum",AN44+器件参数!T45,ABS(AN44-器件参数!T45)),"")))</f>
        <v>99950000</v>
      </c>
      <c r="AO45" s="5">
        <f>IF(NOT(ISNUMBER(AO44)),"",IF(OR(NOT(器件参数!B45),器件参数!E45&lt;&gt;"mixer"),AO44,IF(AND(ISNUMBER(器件参数!T45),器件参数!T45&gt;0),IF(器件参数!U45="sum",AO44+器件参数!T45,ABS(AO44-器件参数!T45)),"")))</f>
        <v>100050000</v>
      </c>
      <c r="AP45" s="5">
        <f>IF(NOT(ISNUMBER(AP44)),"",IF(OR(NOT(器件参数!B45),器件参数!E45&lt;&gt;"mixer"),AP44,IF(AND(ISNUMBER(器件参数!T45),器件参数!T45&gt;0),IF(器件参数!U45="sum",AP44+器件参数!T45,ABS(AP44-器件参数!T45)),"")))</f>
        <v>99850000</v>
      </c>
      <c r="AQ45" s="5">
        <f>IF(NOT(ISNUMBER(AQ44)),"",IF(OR(NOT(器件参数!B45),器件参数!E45&lt;&gt;"mixer"),AQ44,IF(AND(ISNUMBER(器件参数!T45),器件参数!T45&gt;0),IF(器件参数!U45="sum",AQ44+器件参数!T45,ABS(AQ44-器件参数!T45)),"")))</f>
        <v>100150000</v>
      </c>
      <c r="AR45" s="5" t="b">
        <f>IF(NOT(AR44),FALSE,IF(NOT(器件参数!B45),TRUE,AND(COUNT(AN45:AQ45)=4,MIN(AN45:AQ45)&gt;0,IF(AND(ISNUMBER(器件参数!R45),ISNUMBER(器件参数!S45)),AND(MIN(AN44:AQ44)&gt;=器件参数!R45,MAX(AN44:AQ44)&lt;=器件参数!S45),TRUE),IF(AND(器件参数!E45="mixer",器件参数!U45="difference"),OR(器件参数!T45&lt;MIN(AN44:AQ44),器件参数!T45&gt;MAX(AN44:AQ44)),TRUE))))</f>
        <v>1</v>
      </c>
    </row>
    <row r="46" hidden="1" spans="1:44">
      <c r="A46" s="5">
        <f>器件参数!A46</f>
        <v>43</v>
      </c>
      <c r="B46" s="5" t="str">
        <f>器件参数!D46</f>
        <v/>
      </c>
      <c r="C46" s="5">
        <f>IF(NOT(器件参数!B46),0,IF(AND(ISNUMBER(器件参数!F46),ABS(器件参数!F46)&lt;=300),器件参数!F46,""))</f>
        <v>0</v>
      </c>
      <c r="D46" s="5">
        <f t="shared" si="0"/>
        <v>20</v>
      </c>
      <c r="E46" s="5">
        <f t="shared" si="1"/>
        <v>20</v>
      </c>
      <c r="F46" s="5">
        <f t="shared" si="2"/>
        <v>100</v>
      </c>
      <c r="G46" s="5">
        <f>IFERROR(IF(NOT(器件参数!B46),1,IF(NOT(OR(器件参数!E46&lt;&gt;"mixer",AND(OR(器件参数!V46="SSB",器件参数!V46="DSB"),器件参数!W46=TRUE))),"",IF(器件参数!G46="ideal",1,IF(AND(器件参数!G46="manual",ISNUMBER(器件参数!H46),器件参数!H46&gt;=0),10^(器件参数!H46/10),IF(AND(器件参数!G46="passive_thermal",OR(器件参数!E46="filter_bpf",器件参数!E46="filter_lpf",器件参数!E46="filter_hpf",器件参数!E46="filter_bsf",器件参数!E46="attenuator",器件参数!E46="cable",器件参数!E46="connector",器件参数!E46="switch",器件参数!E46="isolator",器件参数!E46="coupler",器件参数!E46="splitter"),AND(ISNUMBER(器件参数!F46),ABS(器件参数!F46)&lt;=300),器件参数!F46&lt;=0,ISNUMBER(器件参数!I46),器件参数!I46&gt;0),1+(10^(-器件参数!F46/10)-1)*器件参数!I46/Tref_K,""))))),"数值域错误")</f>
        <v>1</v>
      </c>
      <c r="H46" s="5">
        <f t="shared" si="3"/>
        <v>2.29336948552238</v>
      </c>
      <c r="I46" s="5">
        <f t="shared" si="4"/>
        <v>3.604740296957</v>
      </c>
      <c r="J46" s="5">
        <f>IF(AND(ISNUMBER(Pin_dBm),ISNUMBER(D46)),Pin_dBm+D46,"")</f>
        <v>-10</v>
      </c>
      <c r="K46" s="5">
        <f>IF(AND(ISNUMBER(Pin_dBm),ISNUMBER(E46)),Pin_dBm+E46,"")</f>
        <v>-10</v>
      </c>
      <c r="L46" s="5" t="str">
        <f>IF(AND(器件参数!J46="finite",ISNUMBER(器件参数!L46),ISNUMBER(C46)),IF(器件参数!K46="input",器件参数!L46,IF(器件参数!K46="output",器件参数!L46-C46,"")),"")</f>
        <v/>
      </c>
      <c r="M46" s="5">
        <f>IFERROR(IF(NOT(ISNUMBER(M45)),"",IF(OR(NOT(器件参数!B46),器件参数!J46="ideal"),M45,IF(AND(ISNUMBER(L46),ISNUMBER(F46)),M45+F46/10^(L46/10),""))),"数值域错误")</f>
        <v>0.2</v>
      </c>
      <c r="N46" s="5">
        <f t="shared" si="5"/>
        <v>6.98970004336019</v>
      </c>
      <c r="O46" s="5">
        <f t="shared" si="6"/>
        <v>26.9897000433602</v>
      </c>
      <c r="P46" s="5" t="str">
        <f>IF(AND(器件参数!M46="finite",ISNUMBER(器件参数!O46),ISNUMBER(C46)),IF(器件参数!N46="input",器件参数!O46,IF(器件参数!N46="actual_output",器件参数!O46-C46+1,IF(器件参数!N46="linear_output",器件参数!O46-C46,""))),"")</f>
        <v/>
      </c>
      <c r="Q46" s="5">
        <f>IF(器件参数!P46="",IF(AND(ISNUMBER(DefaultP),DefaultP&gt;=1,DefaultP&lt;=10),DefaultP,""),IF(AND(ISNUMBER(器件参数!P46),器件参数!P46&gt;=1,器件参数!P46&lt;=10),器件参数!P46,""))</f>
        <v>2</v>
      </c>
      <c r="R46" s="5">
        <f t="shared" si="7"/>
        <v>-10.0000139708288</v>
      </c>
      <c r="S46" s="5" t="str">
        <f t="shared" si="8"/>
        <v/>
      </c>
      <c r="T46" s="5">
        <f t="shared" si="9"/>
        <v>0</v>
      </c>
      <c r="U46" s="5">
        <f t="shared" si="10"/>
        <v>-10.0000139708288</v>
      </c>
      <c r="V46" s="5">
        <f>IF(AND(ISNUMBER(Pin_dBm),ISNUMBER(E46),ISNUMBER(U46)),Pin_dBm+E46-U46,"")</f>
        <v>1.39708287854035e-5</v>
      </c>
      <c r="W46" s="5" t="str">
        <f>IF(AND(器件参数!B46,X46=1,ISNUMBER(D46)),P46-D46,"")</f>
        <v/>
      </c>
      <c r="X46" s="5">
        <f>IF(NOT(ISNUMBER(C46)),-1,IF(OR(NOT(器件参数!B46),器件参数!M46="ideal"),0,IF(AND(ISNUMBER(P46),ISNUMBER(Q46)),1,-1)))</f>
        <v>0</v>
      </c>
      <c r="Y46" s="5" t="str">
        <f t="shared" si="11"/>
        <v>有效</v>
      </c>
      <c r="Z46" s="5" t="str">
        <f t="shared" si="12"/>
        <v>有效</v>
      </c>
      <c r="AA46" s="5" t="str">
        <f t="shared" si="13"/>
        <v>模型估算</v>
      </c>
      <c r="AB46" s="5">
        <f t="shared" si="14"/>
        <v>100000000</v>
      </c>
      <c r="AC46" s="5">
        <f>IF(NOT(ISNUMBER(AB46)),"",IF(OR(NOT(器件参数!B46),器件参数!E46&lt;&gt;"mixer"),AB46,IF(AND(ISNUMBER(器件参数!T46),器件参数!T46&gt;0),IF(器件参数!U46="sum",AB46+器件参数!T46,IF(器件参数!U46="difference",ABS(AB46-器件参数!T46),"")),"")))</f>
        <v>100000000</v>
      </c>
      <c r="AD46" s="5">
        <f t="shared" si="15"/>
        <v>0</v>
      </c>
      <c r="AE46" s="5">
        <f>IF(AND(ISNUMBER(G46),ISNUMBER(F46)),Tref_K*(G46-1)/F46,"")</f>
        <v>0</v>
      </c>
      <c r="AF46" s="5">
        <f>IF(AND(ISNUMBER(H46),ISNUMBER(E46),NoiseConfigOK),10*LOG10(Boltzmann*Bnoise_Hz*(Tsource_K+Tref_K*(H46-1)))+30+E46,"")</f>
        <v>-90.3704468972711</v>
      </c>
      <c r="AG46" s="5">
        <f t="shared" si="16"/>
        <v>80.3704468972711</v>
      </c>
      <c r="AH46" s="5">
        <f>IF(AND(ToneEnabled,ISNUMBER(E46),ISNUMBER(TonePin)),TonePin+E46,"")</f>
        <v>-10</v>
      </c>
      <c r="AI46" s="5">
        <f>IF(AND(ToneEnabled,ISNUMBER(E46),ISNUMBER(N46),ISNUMBER(TonePin)),3*TonePin+E46-2*N46,"")</f>
        <v>-83.9794000867204</v>
      </c>
      <c r="AJ46" s="5" t="str">
        <f t="shared" si="17"/>
        <v/>
      </c>
      <c r="AK46" s="5" t="str">
        <f>IF(NOT(器件参数!B46),"旁路",IF(NOT(ISNUMBER(AC46)),"频率未知",IF(AC46&lt;=SignalBW/2,"跨零频",IF(AND(ISNUMBER(器件参数!R46),ISNUMBER(器件参数!S46)),IF(AND(AB46-SignalBW/2&gt;=器件参数!R46,AB46+SignalBW/2&lt;=器件参数!S46),"有效","超声明通带"),"未声明通带"))))</f>
        <v>旁路</v>
      </c>
      <c r="AL46" s="5">
        <f t="shared" si="18"/>
        <v>0</v>
      </c>
      <c r="AM46" s="5" t="str">
        <f>IF(AND(器件参数!B46,ISNUMBER(器件参数!X46),OR(AND(ISNUMBER(J46),J46&gt;器件参数!X46),IF(AND(ToneEnabled,ISNUMBER(TonePin),ISNUMBER(D46)),TonePin+10*LOG10(2)+D46&gt;器件参数!X46,FALSE))),"超过绝对最大输入额定值","")</f>
        <v/>
      </c>
      <c r="AN46" s="5">
        <f>IF(NOT(ISNUMBER(AN45)),"",IF(OR(NOT(器件参数!B46),器件参数!E46&lt;&gt;"mixer"),AN45,IF(AND(ISNUMBER(器件参数!T46),器件参数!T46&gt;0),IF(器件参数!U46="sum",AN45+器件参数!T46,ABS(AN45-器件参数!T46)),"")))</f>
        <v>99950000</v>
      </c>
      <c r="AO46" s="5">
        <f>IF(NOT(ISNUMBER(AO45)),"",IF(OR(NOT(器件参数!B46),器件参数!E46&lt;&gt;"mixer"),AO45,IF(AND(ISNUMBER(器件参数!T46),器件参数!T46&gt;0),IF(器件参数!U46="sum",AO45+器件参数!T46,ABS(AO45-器件参数!T46)),"")))</f>
        <v>100050000</v>
      </c>
      <c r="AP46" s="5">
        <f>IF(NOT(ISNUMBER(AP45)),"",IF(OR(NOT(器件参数!B46),器件参数!E46&lt;&gt;"mixer"),AP45,IF(AND(ISNUMBER(器件参数!T46),器件参数!T46&gt;0),IF(器件参数!U46="sum",AP45+器件参数!T46,ABS(AP45-器件参数!T46)),"")))</f>
        <v>99850000</v>
      </c>
      <c r="AQ46" s="5">
        <f>IF(NOT(ISNUMBER(AQ45)),"",IF(OR(NOT(器件参数!B46),器件参数!E46&lt;&gt;"mixer"),AQ45,IF(AND(ISNUMBER(器件参数!T46),器件参数!T46&gt;0),IF(器件参数!U46="sum",AQ45+器件参数!T46,ABS(AQ45-器件参数!T46)),"")))</f>
        <v>100150000</v>
      </c>
      <c r="AR46" s="5" t="b">
        <f>IF(NOT(AR45),FALSE,IF(NOT(器件参数!B46),TRUE,AND(COUNT(AN46:AQ46)=4,MIN(AN46:AQ46)&gt;0,IF(AND(ISNUMBER(器件参数!R46),ISNUMBER(器件参数!S46)),AND(MIN(AN45:AQ45)&gt;=器件参数!R46,MAX(AN45:AQ45)&lt;=器件参数!S46),TRUE),IF(AND(器件参数!E46="mixer",器件参数!U46="difference"),OR(器件参数!T46&lt;MIN(AN45:AQ45),器件参数!T46&gt;MAX(AN45:AQ45)),TRUE))))</f>
        <v>1</v>
      </c>
    </row>
    <row r="47" hidden="1" spans="1:44">
      <c r="A47" s="5">
        <f>器件参数!A47</f>
        <v>44</v>
      </c>
      <c r="B47" s="5" t="str">
        <f>器件参数!D47</f>
        <v/>
      </c>
      <c r="C47" s="5">
        <f>IF(NOT(器件参数!B47),0,IF(AND(ISNUMBER(器件参数!F47),ABS(器件参数!F47)&lt;=300),器件参数!F47,""))</f>
        <v>0</v>
      </c>
      <c r="D47" s="5">
        <f t="shared" si="0"/>
        <v>20</v>
      </c>
      <c r="E47" s="5">
        <f t="shared" si="1"/>
        <v>20</v>
      </c>
      <c r="F47" s="5">
        <f t="shared" si="2"/>
        <v>100</v>
      </c>
      <c r="G47" s="5">
        <f>IFERROR(IF(NOT(器件参数!B47),1,IF(NOT(OR(器件参数!E47&lt;&gt;"mixer",AND(OR(器件参数!V47="SSB",器件参数!V47="DSB"),器件参数!W47=TRUE))),"",IF(器件参数!G47="ideal",1,IF(AND(器件参数!G47="manual",ISNUMBER(器件参数!H47),器件参数!H47&gt;=0),10^(器件参数!H47/10),IF(AND(器件参数!G47="passive_thermal",OR(器件参数!E47="filter_bpf",器件参数!E47="filter_lpf",器件参数!E47="filter_hpf",器件参数!E47="filter_bsf",器件参数!E47="attenuator",器件参数!E47="cable",器件参数!E47="connector",器件参数!E47="switch",器件参数!E47="isolator",器件参数!E47="coupler",器件参数!E47="splitter"),AND(ISNUMBER(器件参数!F47),ABS(器件参数!F47)&lt;=300),器件参数!F47&lt;=0,ISNUMBER(器件参数!I47),器件参数!I47&gt;0),1+(10^(-器件参数!F47/10)-1)*器件参数!I47/Tref_K,""))))),"数值域错误")</f>
        <v>1</v>
      </c>
      <c r="H47" s="5">
        <f t="shared" si="3"/>
        <v>2.29336948552238</v>
      </c>
      <c r="I47" s="5">
        <f t="shared" si="4"/>
        <v>3.604740296957</v>
      </c>
      <c r="J47" s="5">
        <f>IF(AND(ISNUMBER(Pin_dBm),ISNUMBER(D47)),Pin_dBm+D47,"")</f>
        <v>-10</v>
      </c>
      <c r="K47" s="5">
        <f>IF(AND(ISNUMBER(Pin_dBm),ISNUMBER(E47)),Pin_dBm+E47,"")</f>
        <v>-10</v>
      </c>
      <c r="L47" s="5" t="str">
        <f>IF(AND(器件参数!J47="finite",ISNUMBER(器件参数!L47),ISNUMBER(C47)),IF(器件参数!K47="input",器件参数!L47,IF(器件参数!K47="output",器件参数!L47-C47,"")),"")</f>
        <v/>
      </c>
      <c r="M47" s="5">
        <f>IFERROR(IF(NOT(ISNUMBER(M46)),"",IF(OR(NOT(器件参数!B47),器件参数!J47="ideal"),M46,IF(AND(ISNUMBER(L47),ISNUMBER(F47)),M46+F47/10^(L47/10),""))),"数值域错误")</f>
        <v>0.2</v>
      </c>
      <c r="N47" s="5">
        <f t="shared" si="5"/>
        <v>6.98970004336019</v>
      </c>
      <c r="O47" s="5">
        <f t="shared" si="6"/>
        <v>26.9897000433602</v>
      </c>
      <c r="P47" s="5" t="str">
        <f>IF(AND(器件参数!M47="finite",ISNUMBER(器件参数!O47),ISNUMBER(C47)),IF(器件参数!N47="input",器件参数!O47,IF(器件参数!N47="actual_output",器件参数!O47-C47+1,IF(器件参数!N47="linear_output",器件参数!O47-C47,""))),"")</f>
        <v/>
      </c>
      <c r="Q47" s="5">
        <f>IF(器件参数!P47="",IF(AND(ISNUMBER(DefaultP),DefaultP&gt;=1,DefaultP&lt;=10),DefaultP,""),IF(AND(ISNUMBER(器件参数!P47),器件参数!P47&gt;=1,器件参数!P47&lt;=10),器件参数!P47,""))</f>
        <v>2</v>
      </c>
      <c r="R47" s="5">
        <f t="shared" si="7"/>
        <v>-10.0000139708288</v>
      </c>
      <c r="S47" s="5" t="str">
        <f t="shared" si="8"/>
        <v/>
      </c>
      <c r="T47" s="5">
        <f t="shared" si="9"/>
        <v>0</v>
      </c>
      <c r="U47" s="5">
        <f t="shared" si="10"/>
        <v>-10.0000139708288</v>
      </c>
      <c r="V47" s="5">
        <f>IF(AND(ISNUMBER(Pin_dBm),ISNUMBER(E47),ISNUMBER(U47)),Pin_dBm+E47-U47,"")</f>
        <v>1.39708287854035e-5</v>
      </c>
      <c r="W47" s="5" t="str">
        <f>IF(AND(器件参数!B47,X47=1,ISNUMBER(D47)),P47-D47,"")</f>
        <v/>
      </c>
      <c r="X47" s="5">
        <f>IF(NOT(ISNUMBER(C47)),-1,IF(OR(NOT(器件参数!B47),器件参数!M47="ideal"),0,IF(AND(ISNUMBER(P47),ISNUMBER(Q47)),1,-1)))</f>
        <v>0</v>
      </c>
      <c r="Y47" s="5" t="str">
        <f t="shared" si="11"/>
        <v>有效</v>
      </c>
      <c r="Z47" s="5" t="str">
        <f t="shared" si="12"/>
        <v>有效</v>
      </c>
      <c r="AA47" s="5" t="str">
        <f t="shared" si="13"/>
        <v>模型估算</v>
      </c>
      <c r="AB47" s="5">
        <f t="shared" si="14"/>
        <v>100000000</v>
      </c>
      <c r="AC47" s="5">
        <f>IF(NOT(ISNUMBER(AB47)),"",IF(OR(NOT(器件参数!B47),器件参数!E47&lt;&gt;"mixer"),AB47,IF(AND(ISNUMBER(器件参数!T47),器件参数!T47&gt;0),IF(器件参数!U47="sum",AB47+器件参数!T47,IF(器件参数!U47="difference",ABS(AB47-器件参数!T47),"")),"")))</f>
        <v>100000000</v>
      </c>
      <c r="AD47" s="5">
        <f t="shared" si="15"/>
        <v>0</v>
      </c>
      <c r="AE47" s="5">
        <f>IF(AND(ISNUMBER(G47),ISNUMBER(F47)),Tref_K*(G47-1)/F47,"")</f>
        <v>0</v>
      </c>
      <c r="AF47" s="5">
        <f>IF(AND(ISNUMBER(H47),ISNUMBER(E47),NoiseConfigOK),10*LOG10(Boltzmann*Bnoise_Hz*(Tsource_K+Tref_K*(H47-1)))+30+E47,"")</f>
        <v>-90.3704468972711</v>
      </c>
      <c r="AG47" s="5">
        <f t="shared" si="16"/>
        <v>80.3704468972711</v>
      </c>
      <c r="AH47" s="5">
        <f>IF(AND(ToneEnabled,ISNUMBER(E47),ISNUMBER(TonePin)),TonePin+E47,"")</f>
        <v>-10</v>
      </c>
      <c r="AI47" s="5">
        <f>IF(AND(ToneEnabled,ISNUMBER(E47),ISNUMBER(N47),ISNUMBER(TonePin)),3*TonePin+E47-2*N47,"")</f>
        <v>-83.9794000867204</v>
      </c>
      <c r="AJ47" s="5" t="str">
        <f t="shared" si="17"/>
        <v/>
      </c>
      <c r="AK47" s="5" t="str">
        <f>IF(NOT(器件参数!B47),"旁路",IF(NOT(ISNUMBER(AC47)),"频率未知",IF(AC47&lt;=SignalBW/2,"跨零频",IF(AND(ISNUMBER(器件参数!R47),ISNUMBER(器件参数!S47)),IF(AND(AB47-SignalBW/2&gt;=器件参数!R47,AB47+SignalBW/2&lt;=器件参数!S47),"有效","超声明通带"),"未声明通带"))))</f>
        <v>旁路</v>
      </c>
      <c r="AL47" s="5">
        <f t="shared" si="18"/>
        <v>0</v>
      </c>
      <c r="AM47" s="5" t="str">
        <f>IF(AND(器件参数!B47,ISNUMBER(器件参数!X47),OR(AND(ISNUMBER(J47),J47&gt;器件参数!X47),IF(AND(ToneEnabled,ISNUMBER(TonePin),ISNUMBER(D47)),TonePin+10*LOG10(2)+D47&gt;器件参数!X47,FALSE))),"超过绝对最大输入额定值","")</f>
        <v/>
      </c>
      <c r="AN47" s="5">
        <f>IF(NOT(ISNUMBER(AN46)),"",IF(OR(NOT(器件参数!B47),器件参数!E47&lt;&gt;"mixer"),AN46,IF(AND(ISNUMBER(器件参数!T47),器件参数!T47&gt;0),IF(器件参数!U47="sum",AN46+器件参数!T47,ABS(AN46-器件参数!T47)),"")))</f>
        <v>99950000</v>
      </c>
      <c r="AO47" s="5">
        <f>IF(NOT(ISNUMBER(AO46)),"",IF(OR(NOT(器件参数!B47),器件参数!E47&lt;&gt;"mixer"),AO46,IF(AND(ISNUMBER(器件参数!T47),器件参数!T47&gt;0),IF(器件参数!U47="sum",AO46+器件参数!T47,ABS(AO46-器件参数!T47)),"")))</f>
        <v>100050000</v>
      </c>
      <c r="AP47" s="5">
        <f>IF(NOT(ISNUMBER(AP46)),"",IF(OR(NOT(器件参数!B47),器件参数!E47&lt;&gt;"mixer"),AP46,IF(AND(ISNUMBER(器件参数!T47),器件参数!T47&gt;0),IF(器件参数!U47="sum",AP46+器件参数!T47,ABS(AP46-器件参数!T47)),"")))</f>
        <v>99850000</v>
      </c>
      <c r="AQ47" s="5">
        <f>IF(NOT(ISNUMBER(AQ46)),"",IF(OR(NOT(器件参数!B47),器件参数!E47&lt;&gt;"mixer"),AQ46,IF(AND(ISNUMBER(器件参数!T47),器件参数!T47&gt;0),IF(器件参数!U47="sum",AQ46+器件参数!T47,ABS(AQ46-器件参数!T47)),"")))</f>
        <v>100150000</v>
      </c>
      <c r="AR47" s="5" t="b">
        <f>IF(NOT(AR46),FALSE,IF(NOT(器件参数!B47),TRUE,AND(COUNT(AN47:AQ47)=4,MIN(AN47:AQ47)&gt;0,IF(AND(ISNUMBER(器件参数!R47),ISNUMBER(器件参数!S47)),AND(MIN(AN46:AQ46)&gt;=器件参数!R47,MAX(AN46:AQ46)&lt;=器件参数!S47),TRUE),IF(AND(器件参数!E47="mixer",器件参数!U47="difference"),OR(器件参数!T47&lt;MIN(AN46:AQ46),器件参数!T47&gt;MAX(AN46:AQ46)),TRUE))))</f>
        <v>1</v>
      </c>
    </row>
    <row r="48" hidden="1" spans="1:44">
      <c r="A48" s="5">
        <f>器件参数!A48</f>
        <v>45</v>
      </c>
      <c r="B48" s="5" t="str">
        <f>器件参数!D48</f>
        <v/>
      </c>
      <c r="C48" s="5">
        <f>IF(NOT(器件参数!B48),0,IF(AND(ISNUMBER(器件参数!F48),ABS(器件参数!F48)&lt;=300),器件参数!F48,""))</f>
        <v>0</v>
      </c>
      <c r="D48" s="5">
        <f t="shared" si="0"/>
        <v>20</v>
      </c>
      <c r="E48" s="5">
        <f t="shared" si="1"/>
        <v>20</v>
      </c>
      <c r="F48" s="5">
        <f t="shared" si="2"/>
        <v>100</v>
      </c>
      <c r="G48" s="5">
        <f>IFERROR(IF(NOT(器件参数!B48),1,IF(NOT(OR(器件参数!E48&lt;&gt;"mixer",AND(OR(器件参数!V48="SSB",器件参数!V48="DSB"),器件参数!W48=TRUE))),"",IF(器件参数!G48="ideal",1,IF(AND(器件参数!G48="manual",ISNUMBER(器件参数!H48),器件参数!H48&gt;=0),10^(器件参数!H48/10),IF(AND(器件参数!G48="passive_thermal",OR(器件参数!E48="filter_bpf",器件参数!E48="filter_lpf",器件参数!E48="filter_hpf",器件参数!E48="filter_bsf",器件参数!E48="attenuator",器件参数!E48="cable",器件参数!E48="connector",器件参数!E48="switch",器件参数!E48="isolator",器件参数!E48="coupler",器件参数!E48="splitter"),AND(ISNUMBER(器件参数!F48),ABS(器件参数!F48)&lt;=300),器件参数!F48&lt;=0,ISNUMBER(器件参数!I48),器件参数!I48&gt;0),1+(10^(-器件参数!F48/10)-1)*器件参数!I48/Tref_K,""))))),"数值域错误")</f>
        <v>1</v>
      </c>
      <c r="H48" s="5">
        <f t="shared" si="3"/>
        <v>2.29336948552238</v>
      </c>
      <c r="I48" s="5">
        <f t="shared" si="4"/>
        <v>3.604740296957</v>
      </c>
      <c r="J48" s="5">
        <f>IF(AND(ISNUMBER(Pin_dBm),ISNUMBER(D48)),Pin_dBm+D48,"")</f>
        <v>-10</v>
      </c>
      <c r="K48" s="5">
        <f>IF(AND(ISNUMBER(Pin_dBm),ISNUMBER(E48)),Pin_dBm+E48,"")</f>
        <v>-10</v>
      </c>
      <c r="L48" s="5" t="str">
        <f>IF(AND(器件参数!J48="finite",ISNUMBER(器件参数!L48),ISNUMBER(C48)),IF(器件参数!K48="input",器件参数!L48,IF(器件参数!K48="output",器件参数!L48-C48,"")),"")</f>
        <v/>
      </c>
      <c r="M48" s="5">
        <f>IFERROR(IF(NOT(ISNUMBER(M47)),"",IF(OR(NOT(器件参数!B48),器件参数!J48="ideal"),M47,IF(AND(ISNUMBER(L48),ISNUMBER(F48)),M47+F48/10^(L48/10),""))),"数值域错误")</f>
        <v>0.2</v>
      </c>
      <c r="N48" s="5">
        <f t="shared" si="5"/>
        <v>6.98970004336019</v>
      </c>
      <c r="O48" s="5">
        <f t="shared" si="6"/>
        <v>26.9897000433602</v>
      </c>
      <c r="P48" s="5" t="str">
        <f>IF(AND(器件参数!M48="finite",ISNUMBER(器件参数!O48),ISNUMBER(C48)),IF(器件参数!N48="input",器件参数!O48,IF(器件参数!N48="actual_output",器件参数!O48-C48+1,IF(器件参数!N48="linear_output",器件参数!O48-C48,""))),"")</f>
        <v/>
      </c>
      <c r="Q48" s="5">
        <f>IF(器件参数!P48="",IF(AND(ISNUMBER(DefaultP),DefaultP&gt;=1,DefaultP&lt;=10),DefaultP,""),IF(AND(ISNUMBER(器件参数!P48),器件参数!P48&gt;=1,器件参数!P48&lt;=10),器件参数!P48,""))</f>
        <v>2</v>
      </c>
      <c r="R48" s="5">
        <f t="shared" si="7"/>
        <v>-10.0000139708288</v>
      </c>
      <c r="S48" s="5" t="str">
        <f t="shared" si="8"/>
        <v/>
      </c>
      <c r="T48" s="5">
        <f t="shared" si="9"/>
        <v>0</v>
      </c>
      <c r="U48" s="5">
        <f t="shared" si="10"/>
        <v>-10.0000139708288</v>
      </c>
      <c r="V48" s="5">
        <f>IF(AND(ISNUMBER(Pin_dBm),ISNUMBER(E48),ISNUMBER(U48)),Pin_dBm+E48-U48,"")</f>
        <v>1.39708287854035e-5</v>
      </c>
      <c r="W48" s="5" t="str">
        <f>IF(AND(器件参数!B48,X48=1,ISNUMBER(D48)),P48-D48,"")</f>
        <v/>
      </c>
      <c r="X48" s="5">
        <f>IF(NOT(ISNUMBER(C48)),-1,IF(OR(NOT(器件参数!B48),器件参数!M48="ideal"),0,IF(AND(ISNUMBER(P48),ISNUMBER(Q48)),1,-1)))</f>
        <v>0</v>
      </c>
      <c r="Y48" s="5" t="str">
        <f t="shared" si="11"/>
        <v>有效</v>
      </c>
      <c r="Z48" s="5" t="str">
        <f t="shared" si="12"/>
        <v>有效</v>
      </c>
      <c r="AA48" s="5" t="str">
        <f t="shared" si="13"/>
        <v>模型估算</v>
      </c>
      <c r="AB48" s="5">
        <f t="shared" si="14"/>
        <v>100000000</v>
      </c>
      <c r="AC48" s="5">
        <f>IF(NOT(ISNUMBER(AB48)),"",IF(OR(NOT(器件参数!B48),器件参数!E48&lt;&gt;"mixer"),AB48,IF(AND(ISNUMBER(器件参数!T48),器件参数!T48&gt;0),IF(器件参数!U48="sum",AB48+器件参数!T48,IF(器件参数!U48="difference",ABS(AB48-器件参数!T48),"")),"")))</f>
        <v>100000000</v>
      </c>
      <c r="AD48" s="5">
        <f t="shared" si="15"/>
        <v>0</v>
      </c>
      <c r="AE48" s="5">
        <f>IF(AND(ISNUMBER(G48),ISNUMBER(F48)),Tref_K*(G48-1)/F48,"")</f>
        <v>0</v>
      </c>
      <c r="AF48" s="5">
        <f>IF(AND(ISNUMBER(H48),ISNUMBER(E48),NoiseConfigOK),10*LOG10(Boltzmann*Bnoise_Hz*(Tsource_K+Tref_K*(H48-1)))+30+E48,"")</f>
        <v>-90.3704468972711</v>
      </c>
      <c r="AG48" s="5">
        <f t="shared" si="16"/>
        <v>80.3704468972711</v>
      </c>
      <c r="AH48" s="5">
        <f>IF(AND(ToneEnabled,ISNUMBER(E48),ISNUMBER(TonePin)),TonePin+E48,"")</f>
        <v>-10</v>
      </c>
      <c r="AI48" s="5">
        <f>IF(AND(ToneEnabled,ISNUMBER(E48),ISNUMBER(N48),ISNUMBER(TonePin)),3*TonePin+E48-2*N48,"")</f>
        <v>-83.9794000867204</v>
      </c>
      <c r="AJ48" s="5" t="str">
        <f t="shared" si="17"/>
        <v/>
      </c>
      <c r="AK48" s="5" t="str">
        <f>IF(NOT(器件参数!B48),"旁路",IF(NOT(ISNUMBER(AC48)),"频率未知",IF(AC48&lt;=SignalBW/2,"跨零频",IF(AND(ISNUMBER(器件参数!R48),ISNUMBER(器件参数!S48)),IF(AND(AB48-SignalBW/2&gt;=器件参数!R48,AB48+SignalBW/2&lt;=器件参数!S48),"有效","超声明通带"),"未声明通带"))))</f>
        <v>旁路</v>
      </c>
      <c r="AL48" s="5">
        <f t="shared" si="18"/>
        <v>0</v>
      </c>
      <c r="AM48" s="5" t="str">
        <f>IF(AND(器件参数!B48,ISNUMBER(器件参数!X48),OR(AND(ISNUMBER(J48),J48&gt;器件参数!X48),IF(AND(ToneEnabled,ISNUMBER(TonePin),ISNUMBER(D48)),TonePin+10*LOG10(2)+D48&gt;器件参数!X48,FALSE))),"超过绝对最大输入额定值","")</f>
        <v/>
      </c>
      <c r="AN48" s="5">
        <f>IF(NOT(ISNUMBER(AN47)),"",IF(OR(NOT(器件参数!B48),器件参数!E48&lt;&gt;"mixer"),AN47,IF(AND(ISNUMBER(器件参数!T48),器件参数!T48&gt;0),IF(器件参数!U48="sum",AN47+器件参数!T48,ABS(AN47-器件参数!T48)),"")))</f>
        <v>99950000</v>
      </c>
      <c r="AO48" s="5">
        <f>IF(NOT(ISNUMBER(AO47)),"",IF(OR(NOT(器件参数!B48),器件参数!E48&lt;&gt;"mixer"),AO47,IF(AND(ISNUMBER(器件参数!T48),器件参数!T48&gt;0),IF(器件参数!U48="sum",AO47+器件参数!T48,ABS(AO47-器件参数!T48)),"")))</f>
        <v>100050000</v>
      </c>
      <c r="AP48" s="5">
        <f>IF(NOT(ISNUMBER(AP47)),"",IF(OR(NOT(器件参数!B48),器件参数!E48&lt;&gt;"mixer"),AP47,IF(AND(ISNUMBER(器件参数!T48),器件参数!T48&gt;0),IF(器件参数!U48="sum",AP47+器件参数!T48,ABS(AP47-器件参数!T48)),"")))</f>
        <v>99850000</v>
      </c>
      <c r="AQ48" s="5">
        <f>IF(NOT(ISNUMBER(AQ47)),"",IF(OR(NOT(器件参数!B48),器件参数!E48&lt;&gt;"mixer"),AQ47,IF(AND(ISNUMBER(器件参数!T48),器件参数!T48&gt;0),IF(器件参数!U48="sum",AQ47+器件参数!T48,ABS(AQ47-器件参数!T48)),"")))</f>
        <v>100150000</v>
      </c>
      <c r="AR48" s="5" t="b">
        <f>IF(NOT(AR47),FALSE,IF(NOT(器件参数!B48),TRUE,AND(COUNT(AN48:AQ48)=4,MIN(AN48:AQ48)&gt;0,IF(AND(ISNUMBER(器件参数!R48),ISNUMBER(器件参数!S48)),AND(MIN(AN47:AQ47)&gt;=器件参数!R48,MAX(AN47:AQ47)&lt;=器件参数!S48),TRUE),IF(AND(器件参数!E48="mixer",器件参数!U48="difference"),OR(器件参数!T48&lt;MIN(AN47:AQ47),器件参数!T48&gt;MAX(AN47:AQ47)),TRUE))))</f>
        <v>1</v>
      </c>
    </row>
    <row r="49" hidden="1" spans="1:44">
      <c r="A49" s="5">
        <f>器件参数!A49</f>
        <v>46</v>
      </c>
      <c r="B49" s="5" t="str">
        <f>器件参数!D49</f>
        <v/>
      </c>
      <c r="C49" s="5">
        <f>IF(NOT(器件参数!B49),0,IF(AND(ISNUMBER(器件参数!F49),ABS(器件参数!F49)&lt;=300),器件参数!F49,""))</f>
        <v>0</v>
      </c>
      <c r="D49" s="5">
        <f t="shared" si="0"/>
        <v>20</v>
      </c>
      <c r="E49" s="5">
        <f t="shared" si="1"/>
        <v>20</v>
      </c>
      <c r="F49" s="5">
        <f t="shared" si="2"/>
        <v>100</v>
      </c>
      <c r="G49" s="5">
        <f>IFERROR(IF(NOT(器件参数!B49),1,IF(NOT(OR(器件参数!E49&lt;&gt;"mixer",AND(OR(器件参数!V49="SSB",器件参数!V49="DSB"),器件参数!W49=TRUE))),"",IF(器件参数!G49="ideal",1,IF(AND(器件参数!G49="manual",ISNUMBER(器件参数!H49),器件参数!H49&gt;=0),10^(器件参数!H49/10),IF(AND(器件参数!G49="passive_thermal",OR(器件参数!E49="filter_bpf",器件参数!E49="filter_lpf",器件参数!E49="filter_hpf",器件参数!E49="filter_bsf",器件参数!E49="attenuator",器件参数!E49="cable",器件参数!E49="connector",器件参数!E49="switch",器件参数!E49="isolator",器件参数!E49="coupler",器件参数!E49="splitter"),AND(ISNUMBER(器件参数!F49),ABS(器件参数!F49)&lt;=300),器件参数!F49&lt;=0,ISNUMBER(器件参数!I49),器件参数!I49&gt;0),1+(10^(-器件参数!F49/10)-1)*器件参数!I49/Tref_K,""))))),"数值域错误")</f>
        <v>1</v>
      </c>
      <c r="H49" s="5">
        <f t="shared" si="3"/>
        <v>2.29336948552238</v>
      </c>
      <c r="I49" s="5">
        <f t="shared" si="4"/>
        <v>3.604740296957</v>
      </c>
      <c r="J49" s="5">
        <f>IF(AND(ISNUMBER(Pin_dBm),ISNUMBER(D49)),Pin_dBm+D49,"")</f>
        <v>-10</v>
      </c>
      <c r="K49" s="5">
        <f>IF(AND(ISNUMBER(Pin_dBm),ISNUMBER(E49)),Pin_dBm+E49,"")</f>
        <v>-10</v>
      </c>
      <c r="L49" s="5" t="str">
        <f>IF(AND(器件参数!J49="finite",ISNUMBER(器件参数!L49),ISNUMBER(C49)),IF(器件参数!K49="input",器件参数!L49,IF(器件参数!K49="output",器件参数!L49-C49,"")),"")</f>
        <v/>
      </c>
      <c r="M49" s="5">
        <f>IFERROR(IF(NOT(ISNUMBER(M48)),"",IF(OR(NOT(器件参数!B49),器件参数!J49="ideal"),M48,IF(AND(ISNUMBER(L49),ISNUMBER(F49)),M48+F49/10^(L49/10),""))),"数值域错误")</f>
        <v>0.2</v>
      </c>
      <c r="N49" s="5">
        <f t="shared" si="5"/>
        <v>6.98970004336019</v>
      </c>
      <c r="O49" s="5">
        <f t="shared" si="6"/>
        <v>26.9897000433602</v>
      </c>
      <c r="P49" s="5" t="str">
        <f>IF(AND(器件参数!M49="finite",ISNUMBER(器件参数!O49),ISNUMBER(C49)),IF(器件参数!N49="input",器件参数!O49,IF(器件参数!N49="actual_output",器件参数!O49-C49+1,IF(器件参数!N49="linear_output",器件参数!O49-C49,""))),"")</f>
        <v/>
      </c>
      <c r="Q49" s="5">
        <f>IF(器件参数!P49="",IF(AND(ISNUMBER(DefaultP),DefaultP&gt;=1,DefaultP&lt;=10),DefaultP,""),IF(AND(ISNUMBER(器件参数!P49),器件参数!P49&gt;=1,器件参数!P49&lt;=10),器件参数!P49,""))</f>
        <v>2</v>
      </c>
      <c r="R49" s="5">
        <f t="shared" si="7"/>
        <v>-10.0000139708288</v>
      </c>
      <c r="S49" s="5" t="str">
        <f t="shared" si="8"/>
        <v/>
      </c>
      <c r="T49" s="5">
        <f t="shared" si="9"/>
        <v>0</v>
      </c>
      <c r="U49" s="5">
        <f t="shared" si="10"/>
        <v>-10.0000139708288</v>
      </c>
      <c r="V49" s="5">
        <f>IF(AND(ISNUMBER(Pin_dBm),ISNUMBER(E49),ISNUMBER(U49)),Pin_dBm+E49-U49,"")</f>
        <v>1.39708287854035e-5</v>
      </c>
      <c r="W49" s="5" t="str">
        <f>IF(AND(器件参数!B49,X49=1,ISNUMBER(D49)),P49-D49,"")</f>
        <v/>
      </c>
      <c r="X49" s="5">
        <f>IF(NOT(ISNUMBER(C49)),-1,IF(OR(NOT(器件参数!B49),器件参数!M49="ideal"),0,IF(AND(ISNUMBER(P49),ISNUMBER(Q49)),1,-1)))</f>
        <v>0</v>
      </c>
      <c r="Y49" s="5" t="str">
        <f t="shared" si="11"/>
        <v>有效</v>
      </c>
      <c r="Z49" s="5" t="str">
        <f t="shared" si="12"/>
        <v>有效</v>
      </c>
      <c r="AA49" s="5" t="str">
        <f t="shared" si="13"/>
        <v>模型估算</v>
      </c>
      <c r="AB49" s="5">
        <f t="shared" si="14"/>
        <v>100000000</v>
      </c>
      <c r="AC49" s="5">
        <f>IF(NOT(ISNUMBER(AB49)),"",IF(OR(NOT(器件参数!B49),器件参数!E49&lt;&gt;"mixer"),AB49,IF(AND(ISNUMBER(器件参数!T49),器件参数!T49&gt;0),IF(器件参数!U49="sum",AB49+器件参数!T49,IF(器件参数!U49="difference",ABS(AB49-器件参数!T49),"")),"")))</f>
        <v>100000000</v>
      </c>
      <c r="AD49" s="5">
        <f t="shared" si="15"/>
        <v>0</v>
      </c>
      <c r="AE49" s="5">
        <f>IF(AND(ISNUMBER(G49),ISNUMBER(F49)),Tref_K*(G49-1)/F49,"")</f>
        <v>0</v>
      </c>
      <c r="AF49" s="5">
        <f>IF(AND(ISNUMBER(H49),ISNUMBER(E49),NoiseConfigOK),10*LOG10(Boltzmann*Bnoise_Hz*(Tsource_K+Tref_K*(H49-1)))+30+E49,"")</f>
        <v>-90.3704468972711</v>
      </c>
      <c r="AG49" s="5">
        <f t="shared" si="16"/>
        <v>80.3704468972711</v>
      </c>
      <c r="AH49" s="5">
        <f>IF(AND(ToneEnabled,ISNUMBER(E49),ISNUMBER(TonePin)),TonePin+E49,"")</f>
        <v>-10</v>
      </c>
      <c r="AI49" s="5">
        <f>IF(AND(ToneEnabled,ISNUMBER(E49),ISNUMBER(N49),ISNUMBER(TonePin)),3*TonePin+E49-2*N49,"")</f>
        <v>-83.9794000867204</v>
      </c>
      <c r="AJ49" s="5" t="str">
        <f t="shared" si="17"/>
        <v/>
      </c>
      <c r="AK49" s="5" t="str">
        <f>IF(NOT(器件参数!B49),"旁路",IF(NOT(ISNUMBER(AC49)),"频率未知",IF(AC49&lt;=SignalBW/2,"跨零频",IF(AND(ISNUMBER(器件参数!R49),ISNUMBER(器件参数!S49)),IF(AND(AB49-SignalBW/2&gt;=器件参数!R49,AB49+SignalBW/2&lt;=器件参数!S49),"有效","超声明通带"),"未声明通带"))))</f>
        <v>旁路</v>
      </c>
      <c r="AL49" s="5">
        <f t="shared" si="18"/>
        <v>0</v>
      </c>
      <c r="AM49" s="5" t="str">
        <f>IF(AND(器件参数!B49,ISNUMBER(器件参数!X49),OR(AND(ISNUMBER(J49),J49&gt;器件参数!X49),IF(AND(ToneEnabled,ISNUMBER(TonePin),ISNUMBER(D49)),TonePin+10*LOG10(2)+D49&gt;器件参数!X49,FALSE))),"超过绝对最大输入额定值","")</f>
        <v/>
      </c>
      <c r="AN49" s="5">
        <f>IF(NOT(ISNUMBER(AN48)),"",IF(OR(NOT(器件参数!B49),器件参数!E49&lt;&gt;"mixer"),AN48,IF(AND(ISNUMBER(器件参数!T49),器件参数!T49&gt;0),IF(器件参数!U49="sum",AN48+器件参数!T49,ABS(AN48-器件参数!T49)),"")))</f>
        <v>99950000</v>
      </c>
      <c r="AO49" s="5">
        <f>IF(NOT(ISNUMBER(AO48)),"",IF(OR(NOT(器件参数!B49),器件参数!E49&lt;&gt;"mixer"),AO48,IF(AND(ISNUMBER(器件参数!T49),器件参数!T49&gt;0),IF(器件参数!U49="sum",AO48+器件参数!T49,ABS(AO48-器件参数!T49)),"")))</f>
        <v>100050000</v>
      </c>
      <c r="AP49" s="5">
        <f>IF(NOT(ISNUMBER(AP48)),"",IF(OR(NOT(器件参数!B49),器件参数!E49&lt;&gt;"mixer"),AP48,IF(AND(ISNUMBER(器件参数!T49),器件参数!T49&gt;0),IF(器件参数!U49="sum",AP48+器件参数!T49,ABS(AP48-器件参数!T49)),"")))</f>
        <v>99850000</v>
      </c>
      <c r="AQ49" s="5">
        <f>IF(NOT(ISNUMBER(AQ48)),"",IF(OR(NOT(器件参数!B49),器件参数!E49&lt;&gt;"mixer"),AQ48,IF(AND(ISNUMBER(器件参数!T49),器件参数!T49&gt;0),IF(器件参数!U49="sum",AQ48+器件参数!T49,ABS(AQ48-器件参数!T49)),"")))</f>
        <v>100150000</v>
      </c>
      <c r="AR49" s="5" t="b">
        <f>IF(NOT(AR48),FALSE,IF(NOT(器件参数!B49),TRUE,AND(COUNT(AN49:AQ49)=4,MIN(AN49:AQ49)&gt;0,IF(AND(ISNUMBER(器件参数!R49),ISNUMBER(器件参数!S49)),AND(MIN(AN48:AQ48)&gt;=器件参数!R49,MAX(AN48:AQ48)&lt;=器件参数!S49),TRUE),IF(AND(器件参数!E49="mixer",器件参数!U49="difference"),OR(器件参数!T49&lt;MIN(AN48:AQ48),器件参数!T49&gt;MAX(AN48:AQ48)),TRUE))))</f>
        <v>1</v>
      </c>
    </row>
    <row r="50" hidden="1" spans="1:44">
      <c r="A50" s="5">
        <f>器件参数!A50</f>
        <v>47</v>
      </c>
      <c r="B50" s="5" t="str">
        <f>器件参数!D50</f>
        <v/>
      </c>
      <c r="C50" s="5">
        <f>IF(NOT(器件参数!B50),0,IF(AND(ISNUMBER(器件参数!F50),ABS(器件参数!F50)&lt;=300),器件参数!F50,""))</f>
        <v>0</v>
      </c>
      <c r="D50" s="5">
        <f t="shared" si="0"/>
        <v>20</v>
      </c>
      <c r="E50" s="5">
        <f t="shared" si="1"/>
        <v>20</v>
      </c>
      <c r="F50" s="5">
        <f t="shared" si="2"/>
        <v>100</v>
      </c>
      <c r="G50" s="5">
        <f>IFERROR(IF(NOT(器件参数!B50),1,IF(NOT(OR(器件参数!E50&lt;&gt;"mixer",AND(OR(器件参数!V50="SSB",器件参数!V50="DSB"),器件参数!W50=TRUE))),"",IF(器件参数!G50="ideal",1,IF(AND(器件参数!G50="manual",ISNUMBER(器件参数!H50),器件参数!H50&gt;=0),10^(器件参数!H50/10),IF(AND(器件参数!G50="passive_thermal",OR(器件参数!E50="filter_bpf",器件参数!E50="filter_lpf",器件参数!E50="filter_hpf",器件参数!E50="filter_bsf",器件参数!E50="attenuator",器件参数!E50="cable",器件参数!E50="connector",器件参数!E50="switch",器件参数!E50="isolator",器件参数!E50="coupler",器件参数!E50="splitter"),AND(ISNUMBER(器件参数!F50),ABS(器件参数!F50)&lt;=300),器件参数!F50&lt;=0,ISNUMBER(器件参数!I50),器件参数!I50&gt;0),1+(10^(-器件参数!F50/10)-1)*器件参数!I50/Tref_K,""))))),"数值域错误")</f>
        <v>1</v>
      </c>
      <c r="H50" s="5">
        <f t="shared" si="3"/>
        <v>2.29336948552238</v>
      </c>
      <c r="I50" s="5">
        <f t="shared" si="4"/>
        <v>3.604740296957</v>
      </c>
      <c r="J50" s="5">
        <f>IF(AND(ISNUMBER(Pin_dBm),ISNUMBER(D50)),Pin_dBm+D50,"")</f>
        <v>-10</v>
      </c>
      <c r="K50" s="5">
        <f>IF(AND(ISNUMBER(Pin_dBm),ISNUMBER(E50)),Pin_dBm+E50,"")</f>
        <v>-10</v>
      </c>
      <c r="L50" s="5" t="str">
        <f>IF(AND(器件参数!J50="finite",ISNUMBER(器件参数!L50),ISNUMBER(C50)),IF(器件参数!K50="input",器件参数!L50,IF(器件参数!K50="output",器件参数!L50-C50,"")),"")</f>
        <v/>
      </c>
      <c r="M50" s="5">
        <f>IFERROR(IF(NOT(ISNUMBER(M49)),"",IF(OR(NOT(器件参数!B50),器件参数!J50="ideal"),M49,IF(AND(ISNUMBER(L50),ISNUMBER(F50)),M49+F50/10^(L50/10),""))),"数值域错误")</f>
        <v>0.2</v>
      </c>
      <c r="N50" s="5">
        <f t="shared" si="5"/>
        <v>6.98970004336019</v>
      </c>
      <c r="O50" s="5">
        <f t="shared" si="6"/>
        <v>26.9897000433602</v>
      </c>
      <c r="P50" s="5" t="str">
        <f>IF(AND(器件参数!M50="finite",ISNUMBER(器件参数!O50),ISNUMBER(C50)),IF(器件参数!N50="input",器件参数!O50,IF(器件参数!N50="actual_output",器件参数!O50-C50+1,IF(器件参数!N50="linear_output",器件参数!O50-C50,""))),"")</f>
        <v/>
      </c>
      <c r="Q50" s="5">
        <f>IF(器件参数!P50="",IF(AND(ISNUMBER(DefaultP),DefaultP&gt;=1,DefaultP&lt;=10),DefaultP,""),IF(AND(ISNUMBER(器件参数!P50),器件参数!P50&gt;=1,器件参数!P50&lt;=10),器件参数!P50,""))</f>
        <v>2</v>
      </c>
      <c r="R50" s="5">
        <f t="shared" si="7"/>
        <v>-10.0000139708288</v>
      </c>
      <c r="S50" s="5" t="str">
        <f t="shared" si="8"/>
        <v/>
      </c>
      <c r="T50" s="5">
        <f t="shared" si="9"/>
        <v>0</v>
      </c>
      <c r="U50" s="5">
        <f t="shared" si="10"/>
        <v>-10.0000139708288</v>
      </c>
      <c r="V50" s="5">
        <f>IF(AND(ISNUMBER(Pin_dBm),ISNUMBER(E50),ISNUMBER(U50)),Pin_dBm+E50-U50,"")</f>
        <v>1.39708287854035e-5</v>
      </c>
      <c r="W50" s="5" t="str">
        <f>IF(AND(器件参数!B50,X50=1,ISNUMBER(D50)),P50-D50,"")</f>
        <v/>
      </c>
      <c r="X50" s="5">
        <f>IF(NOT(ISNUMBER(C50)),-1,IF(OR(NOT(器件参数!B50),器件参数!M50="ideal"),0,IF(AND(ISNUMBER(P50),ISNUMBER(Q50)),1,-1)))</f>
        <v>0</v>
      </c>
      <c r="Y50" s="5" t="str">
        <f t="shared" si="11"/>
        <v>有效</v>
      </c>
      <c r="Z50" s="5" t="str">
        <f t="shared" si="12"/>
        <v>有效</v>
      </c>
      <c r="AA50" s="5" t="str">
        <f t="shared" si="13"/>
        <v>模型估算</v>
      </c>
      <c r="AB50" s="5">
        <f t="shared" si="14"/>
        <v>100000000</v>
      </c>
      <c r="AC50" s="5">
        <f>IF(NOT(ISNUMBER(AB50)),"",IF(OR(NOT(器件参数!B50),器件参数!E50&lt;&gt;"mixer"),AB50,IF(AND(ISNUMBER(器件参数!T50),器件参数!T50&gt;0),IF(器件参数!U50="sum",AB50+器件参数!T50,IF(器件参数!U50="difference",ABS(AB50-器件参数!T50),"")),"")))</f>
        <v>100000000</v>
      </c>
      <c r="AD50" s="5">
        <f t="shared" si="15"/>
        <v>0</v>
      </c>
      <c r="AE50" s="5">
        <f>IF(AND(ISNUMBER(G50),ISNUMBER(F50)),Tref_K*(G50-1)/F50,"")</f>
        <v>0</v>
      </c>
      <c r="AF50" s="5">
        <f>IF(AND(ISNUMBER(H50),ISNUMBER(E50),NoiseConfigOK),10*LOG10(Boltzmann*Bnoise_Hz*(Tsource_K+Tref_K*(H50-1)))+30+E50,"")</f>
        <v>-90.3704468972711</v>
      </c>
      <c r="AG50" s="5">
        <f t="shared" si="16"/>
        <v>80.3704468972711</v>
      </c>
      <c r="AH50" s="5">
        <f>IF(AND(ToneEnabled,ISNUMBER(E50),ISNUMBER(TonePin)),TonePin+E50,"")</f>
        <v>-10</v>
      </c>
      <c r="AI50" s="5">
        <f>IF(AND(ToneEnabled,ISNUMBER(E50),ISNUMBER(N50),ISNUMBER(TonePin)),3*TonePin+E50-2*N50,"")</f>
        <v>-83.9794000867204</v>
      </c>
      <c r="AJ50" s="5" t="str">
        <f t="shared" si="17"/>
        <v/>
      </c>
      <c r="AK50" s="5" t="str">
        <f>IF(NOT(器件参数!B50),"旁路",IF(NOT(ISNUMBER(AC50)),"频率未知",IF(AC50&lt;=SignalBW/2,"跨零频",IF(AND(ISNUMBER(器件参数!R50),ISNUMBER(器件参数!S50)),IF(AND(AB50-SignalBW/2&gt;=器件参数!R50,AB50+SignalBW/2&lt;=器件参数!S50),"有效","超声明通带"),"未声明通带"))))</f>
        <v>旁路</v>
      </c>
      <c r="AL50" s="5">
        <f t="shared" si="18"/>
        <v>0</v>
      </c>
      <c r="AM50" s="5" t="str">
        <f>IF(AND(器件参数!B50,ISNUMBER(器件参数!X50),OR(AND(ISNUMBER(J50),J50&gt;器件参数!X50),IF(AND(ToneEnabled,ISNUMBER(TonePin),ISNUMBER(D50)),TonePin+10*LOG10(2)+D50&gt;器件参数!X50,FALSE))),"超过绝对最大输入额定值","")</f>
        <v/>
      </c>
      <c r="AN50" s="5">
        <f>IF(NOT(ISNUMBER(AN49)),"",IF(OR(NOT(器件参数!B50),器件参数!E50&lt;&gt;"mixer"),AN49,IF(AND(ISNUMBER(器件参数!T50),器件参数!T50&gt;0),IF(器件参数!U50="sum",AN49+器件参数!T50,ABS(AN49-器件参数!T50)),"")))</f>
        <v>99950000</v>
      </c>
      <c r="AO50" s="5">
        <f>IF(NOT(ISNUMBER(AO49)),"",IF(OR(NOT(器件参数!B50),器件参数!E50&lt;&gt;"mixer"),AO49,IF(AND(ISNUMBER(器件参数!T50),器件参数!T50&gt;0),IF(器件参数!U50="sum",AO49+器件参数!T50,ABS(AO49-器件参数!T50)),"")))</f>
        <v>100050000</v>
      </c>
      <c r="AP50" s="5">
        <f>IF(NOT(ISNUMBER(AP49)),"",IF(OR(NOT(器件参数!B50),器件参数!E50&lt;&gt;"mixer"),AP49,IF(AND(ISNUMBER(器件参数!T50),器件参数!T50&gt;0),IF(器件参数!U50="sum",AP49+器件参数!T50,ABS(AP49-器件参数!T50)),"")))</f>
        <v>99850000</v>
      </c>
      <c r="AQ50" s="5">
        <f>IF(NOT(ISNUMBER(AQ49)),"",IF(OR(NOT(器件参数!B50),器件参数!E50&lt;&gt;"mixer"),AQ49,IF(AND(ISNUMBER(器件参数!T50),器件参数!T50&gt;0),IF(器件参数!U50="sum",AQ49+器件参数!T50,ABS(AQ49-器件参数!T50)),"")))</f>
        <v>100150000</v>
      </c>
      <c r="AR50" s="5" t="b">
        <f>IF(NOT(AR49),FALSE,IF(NOT(器件参数!B50),TRUE,AND(COUNT(AN50:AQ50)=4,MIN(AN50:AQ50)&gt;0,IF(AND(ISNUMBER(器件参数!R50),ISNUMBER(器件参数!S50)),AND(MIN(AN49:AQ49)&gt;=器件参数!R50,MAX(AN49:AQ49)&lt;=器件参数!S50),TRUE),IF(AND(器件参数!E50="mixer",器件参数!U50="difference"),OR(器件参数!T50&lt;MIN(AN49:AQ49),器件参数!T50&gt;MAX(AN49:AQ49)),TRUE))))</f>
        <v>1</v>
      </c>
    </row>
    <row r="51" hidden="1" spans="1:44">
      <c r="A51" s="5">
        <f>器件参数!A51</f>
        <v>48</v>
      </c>
      <c r="B51" s="5" t="str">
        <f>器件参数!D51</f>
        <v/>
      </c>
      <c r="C51" s="5">
        <f>IF(NOT(器件参数!B51),0,IF(AND(ISNUMBER(器件参数!F51),ABS(器件参数!F51)&lt;=300),器件参数!F51,""))</f>
        <v>0</v>
      </c>
      <c r="D51" s="5">
        <f t="shared" si="0"/>
        <v>20</v>
      </c>
      <c r="E51" s="5">
        <f t="shared" si="1"/>
        <v>20</v>
      </c>
      <c r="F51" s="5">
        <f t="shared" si="2"/>
        <v>100</v>
      </c>
      <c r="G51" s="5">
        <f>IFERROR(IF(NOT(器件参数!B51),1,IF(NOT(OR(器件参数!E51&lt;&gt;"mixer",AND(OR(器件参数!V51="SSB",器件参数!V51="DSB"),器件参数!W51=TRUE))),"",IF(器件参数!G51="ideal",1,IF(AND(器件参数!G51="manual",ISNUMBER(器件参数!H51),器件参数!H51&gt;=0),10^(器件参数!H51/10),IF(AND(器件参数!G51="passive_thermal",OR(器件参数!E51="filter_bpf",器件参数!E51="filter_lpf",器件参数!E51="filter_hpf",器件参数!E51="filter_bsf",器件参数!E51="attenuator",器件参数!E51="cable",器件参数!E51="connector",器件参数!E51="switch",器件参数!E51="isolator",器件参数!E51="coupler",器件参数!E51="splitter"),AND(ISNUMBER(器件参数!F51),ABS(器件参数!F51)&lt;=300),器件参数!F51&lt;=0,ISNUMBER(器件参数!I51),器件参数!I51&gt;0),1+(10^(-器件参数!F51/10)-1)*器件参数!I51/Tref_K,""))))),"数值域错误")</f>
        <v>1</v>
      </c>
      <c r="H51" s="5">
        <f t="shared" si="3"/>
        <v>2.29336948552238</v>
      </c>
      <c r="I51" s="5">
        <f t="shared" si="4"/>
        <v>3.604740296957</v>
      </c>
      <c r="J51" s="5">
        <f>IF(AND(ISNUMBER(Pin_dBm),ISNUMBER(D51)),Pin_dBm+D51,"")</f>
        <v>-10</v>
      </c>
      <c r="K51" s="5">
        <f>IF(AND(ISNUMBER(Pin_dBm),ISNUMBER(E51)),Pin_dBm+E51,"")</f>
        <v>-10</v>
      </c>
      <c r="L51" s="5" t="str">
        <f>IF(AND(器件参数!J51="finite",ISNUMBER(器件参数!L51),ISNUMBER(C51)),IF(器件参数!K51="input",器件参数!L51,IF(器件参数!K51="output",器件参数!L51-C51,"")),"")</f>
        <v/>
      </c>
      <c r="M51" s="5">
        <f>IFERROR(IF(NOT(ISNUMBER(M50)),"",IF(OR(NOT(器件参数!B51),器件参数!J51="ideal"),M50,IF(AND(ISNUMBER(L51),ISNUMBER(F51)),M50+F51/10^(L51/10),""))),"数值域错误")</f>
        <v>0.2</v>
      </c>
      <c r="N51" s="5">
        <f t="shared" si="5"/>
        <v>6.98970004336019</v>
      </c>
      <c r="O51" s="5">
        <f t="shared" si="6"/>
        <v>26.9897000433602</v>
      </c>
      <c r="P51" s="5" t="str">
        <f>IF(AND(器件参数!M51="finite",ISNUMBER(器件参数!O51),ISNUMBER(C51)),IF(器件参数!N51="input",器件参数!O51,IF(器件参数!N51="actual_output",器件参数!O51-C51+1,IF(器件参数!N51="linear_output",器件参数!O51-C51,""))),"")</f>
        <v/>
      </c>
      <c r="Q51" s="5">
        <f>IF(器件参数!P51="",IF(AND(ISNUMBER(DefaultP),DefaultP&gt;=1,DefaultP&lt;=10),DefaultP,""),IF(AND(ISNUMBER(器件参数!P51),器件参数!P51&gt;=1,器件参数!P51&lt;=10),器件参数!P51,""))</f>
        <v>2</v>
      </c>
      <c r="R51" s="5">
        <f t="shared" si="7"/>
        <v>-10.0000139708288</v>
      </c>
      <c r="S51" s="5" t="str">
        <f t="shared" si="8"/>
        <v/>
      </c>
      <c r="T51" s="5">
        <f t="shared" si="9"/>
        <v>0</v>
      </c>
      <c r="U51" s="5">
        <f t="shared" si="10"/>
        <v>-10.0000139708288</v>
      </c>
      <c r="V51" s="5">
        <f>IF(AND(ISNUMBER(Pin_dBm),ISNUMBER(E51),ISNUMBER(U51)),Pin_dBm+E51-U51,"")</f>
        <v>1.39708287854035e-5</v>
      </c>
      <c r="W51" s="5" t="str">
        <f>IF(AND(器件参数!B51,X51=1,ISNUMBER(D51)),P51-D51,"")</f>
        <v/>
      </c>
      <c r="X51" s="5">
        <f>IF(NOT(ISNUMBER(C51)),-1,IF(OR(NOT(器件参数!B51),器件参数!M51="ideal"),0,IF(AND(ISNUMBER(P51),ISNUMBER(Q51)),1,-1)))</f>
        <v>0</v>
      </c>
      <c r="Y51" s="5" t="str">
        <f t="shared" si="11"/>
        <v>有效</v>
      </c>
      <c r="Z51" s="5" t="str">
        <f t="shared" si="12"/>
        <v>有效</v>
      </c>
      <c r="AA51" s="5" t="str">
        <f t="shared" si="13"/>
        <v>模型估算</v>
      </c>
      <c r="AB51" s="5">
        <f t="shared" si="14"/>
        <v>100000000</v>
      </c>
      <c r="AC51" s="5">
        <f>IF(NOT(ISNUMBER(AB51)),"",IF(OR(NOT(器件参数!B51),器件参数!E51&lt;&gt;"mixer"),AB51,IF(AND(ISNUMBER(器件参数!T51),器件参数!T51&gt;0),IF(器件参数!U51="sum",AB51+器件参数!T51,IF(器件参数!U51="difference",ABS(AB51-器件参数!T51),"")),"")))</f>
        <v>100000000</v>
      </c>
      <c r="AD51" s="5">
        <f t="shared" si="15"/>
        <v>0</v>
      </c>
      <c r="AE51" s="5">
        <f>IF(AND(ISNUMBER(G51),ISNUMBER(F51)),Tref_K*(G51-1)/F51,"")</f>
        <v>0</v>
      </c>
      <c r="AF51" s="5">
        <f>IF(AND(ISNUMBER(H51),ISNUMBER(E51),NoiseConfigOK),10*LOG10(Boltzmann*Bnoise_Hz*(Tsource_K+Tref_K*(H51-1)))+30+E51,"")</f>
        <v>-90.3704468972711</v>
      </c>
      <c r="AG51" s="5">
        <f t="shared" si="16"/>
        <v>80.3704468972711</v>
      </c>
      <c r="AH51" s="5">
        <f>IF(AND(ToneEnabled,ISNUMBER(E51),ISNUMBER(TonePin)),TonePin+E51,"")</f>
        <v>-10</v>
      </c>
      <c r="AI51" s="5">
        <f>IF(AND(ToneEnabled,ISNUMBER(E51),ISNUMBER(N51),ISNUMBER(TonePin)),3*TonePin+E51-2*N51,"")</f>
        <v>-83.9794000867204</v>
      </c>
      <c r="AJ51" s="5" t="str">
        <f t="shared" si="17"/>
        <v/>
      </c>
      <c r="AK51" s="5" t="str">
        <f>IF(NOT(器件参数!B51),"旁路",IF(NOT(ISNUMBER(AC51)),"频率未知",IF(AC51&lt;=SignalBW/2,"跨零频",IF(AND(ISNUMBER(器件参数!R51),ISNUMBER(器件参数!S51)),IF(AND(AB51-SignalBW/2&gt;=器件参数!R51,AB51+SignalBW/2&lt;=器件参数!S51),"有效","超声明通带"),"未声明通带"))))</f>
        <v>旁路</v>
      </c>
      <c r="AL51" s="5">
        <f t="shared" si="18"/>
        <v>0</v>
      </c>
      <c r="AM51" s="5" t="str">
        <f>IF(AND(器件参数!B51,ISNUMBER(器件参数!X51),OR(AND(ISNUMBER(J51),J51&gt;器件参数!X51),IF(AND(ToneEnabled,ISNUMBER(TonePin),ISNUMBER(D51)),TonePin+10*LOG10(2)+D51&gt;器件参数!X51,FALSE))),"超过绝对最大输入额定值","")</f>
        <v/>
      </c>
      <c r="AN51" s="5">
        <f>IF(NOT(ISNUMBER(AN50)),"",IF(OR(NOT(器件参数!B51),器件参数!E51&lt;&gt;"mixer"),AN50,IF(AND(ISNUMBER(器件参数!T51),器件参数!T51&gt;0),IF(器件参数!U51="sum",AN50+器件参数!T51,ABS(AN50-器件参数!T51)),"")))</f>
        <v>99950000</v>
      </c>
      <c r="AO51" s="5">
        <f>IF(NOT(ISNUMBER(AO50)),"",IF(OR(NOT(器件参数!B51),器件参数!E51&lt;&gt;"mixer"),AO50,IF(AND(ISNUMBER(器件参数!T51),器件参数!T51&gt;0),IF(器件参数!U51="sum",AO50+器件参数!T51,ABS(AO50-器件参数!T51)),"")))</f>
        <v>100050000</v>
      </c>
      <c r="AP51" s="5">
        <f>IF(NOT(ISNUMBER(AP50)),"",IF(OR(NOT(器件参数!B51),器件参数!E51&lt;&gt;"mixer"),AP50,IF(AND(ISNUMBER(器件参数!T51),器件参数!T51&gt;0),IF(器件参数!U51="sum",AP50+器件参数!T51,ABS(AP50-器件参数!T51)),"")))</f>
        <v>99850000</v>
      </c>
      <c r="AQ51" s="5">
        <f>IF(NOT(ISNUMBER(AQ50)),"",IF(OR(NOT(器件参数!B51),器件参数!E51&lt;&gt;"mixer"),AQ50,IF(AND(ISNUMBER(器件参数!T51),器件参数!T51&gt;0),IF(器件参数!U51="sum",AQ50+器件参数!T51,ABS(AQ50-器件参数!T51)),"")))</f>
        <v>100150000</v>
      </c>
      <c r="AR51" s="5" t="b">
        <f>IF(NOT(AR50),FALSE,IF(NOT(器件参数!B51),TRUE,AND(COUNT(AN51:AQ51)=4,MIN(AN51:AQ51)&gt;0,IF(AND(ISNUMBER(器件参数!R51),ISNUMBER(器件参数!S51)),AND(MIN(AN50:AQ50)&gt;=器件参数!R51,MAX(AN50:AQ50)&lt;=器件参数!S51),TRUE),IF(AND(器件参数!E51="mixer",器件参数!U51="difference"),OR(器件参数!T51&lt;MIN(AN50:AQ50),器件参数!T51&gt;MAX(AN50:AQ50)),TRUE))))</f>
        <v>1</v>
      </c>
    </row>
    <row r="52" hidden="1" spans="1:44">
      <c r="A52" s="5">
        <f>器件参数!A52</f>
        <v>49</v>
      </c>
      <c r="B52" s="5" t="str">
        <f>器件参数!D52</f>
        <v/>
      </c>
      <c r="C52" s="5">
        <f>IF(NOT(器件参数!B52),0,IF(AND(ISNUMBER(器件参数!F52),ABS(器件参数!F52)&lt;=300),器件参数!F52,""))</f>
        <v>0</v>
      </c>
      <c r="D52" s="5">
        <f t="shared" si="0"/>
        <v>20</v>
      </c>
      <c r="E52" s="5">
        <f t="shared" si="1"/>
        <v>20</v>
      </c>
      <c r="F52" s="5">
        <f t="shared" si="2"/>
        <v>100</v>
      </c>
      <c r="G52" s="5">
        <f>IFERROR(IF(NOT(器件参数!B52),1,IF(NOT(OR(器件参数!E52&lt;&gt;"mixer",AND(OR(器件参数!V52="SSB",器件参数!V52="DSB"),器件参数!W52=TRUE))),"",IF(器件参数!G52="ideal",1,IF(AND(器件参数!G52="manual",ISNUMBER(器件参数!H52),器件参数!H52&gt;=0),10^(器件参数!H52/10),IF(AND(器件参数!G52="passive_thermal",OR(器件参数!E52="filter_bpf",器件参数!E52="filter_lpf",器件参数!E52="filter_hpf",器件参数!E52="filter_bsf",器件参数!E52="attenuator",器件参数!E52="cable",器件参数!E52="connector",器件参数!E52="switch",器件参数!E52="isolator",器件参数!E52="coupler",器件参数!E52="splitter"),AND(ISNUMBER(器件参数!F52),ABS(器件参数!F52)&lt;=300),器件参数!F52&lt;=0,ISNUMBER(器件参数!I52),器件参数!I52&gt;0),1+(10^(-器件参数!F52/10)-1)*器件参数!I52/Tref_K,""))))),"数值域错误")</f>
        <v>1</v>
      </c>
      <c r="H52" s="5">
        <f t="shared" si="3"/>
        <v>2.29336948552238</v>
      </c>
      <c r="I52" s="5">
        <f t="shared" si="4"/>
        <v>3.604740296957</v>
      </c>
      <c r="J52" s="5">
        <f>IF(AND(ISNUMBER(Pin_dBm),ISNUMBER(D52)),Pin_dBm+D52,"")</f>
        <v>-10</v>
      </c>
      <c r="K52" s="5">
        <f>IF(AND(ISNUMBER(Pin_dBm),ISNUMBER(E52)),Pin_dBm+E52,"")</f>
        <v>-10</v>
      </c>
      <c r="L52" s="5" t="str">
        <f>IF(AND(器件参数!J52="finite",ISNUMBER(器件参数!L52),ISNUMBER(C52)),IF(器件参数!K52="input",器件参数!L52,IF(器件参数!K52="output",器件参数!L52-C52,"")),"")</f>
        <v/>
      </c>
      <c r="M52" s="5">
        <f>IFERROR(IF(NOT(ISNUMBER(M51)),"",IF(OR(NOT(器件参数!B52),器件参数!J52="ideal"),M51,IF(AND(ISNUMBER(L52),ISNUMBER(F52)),M51+F52/10^(L52/10),""))),"数值域错误")</f>
        <v>0.2</v>
      </c>
      <c r="N52" s="5">
        <f t="shared" si="5"/>
        <v>6.98970004336019</v>
      </c>
      <c r="O52" s="5">
        <f t="shared" si="6"/>
        <v>26.9897000433602</v>
      </c>
      <c r="P52" s="5" t="str">
        <f>IF(AND(器件参数!M52="finite",ISNUMBER(器件参数!O52),ISNUMBER(C52)),IF(器件参数!N52="input",器件参数!O52,IF(器件参数!N52="actual_output",器件参数!O52-C52+1,IF(器件参数!N52="linear_output",器件参数!O52-C52,""))),"")</f>
        <v/>
      </c>
      <c r="Q52" s="5">
        <f>IF(器件参数!P52="",IF(AND(ISNUMBER(DefaultP),DefaultP&gt;=1,DefaultP&lt;=10),DefaultP,""),IF(AND(ISNUMBER(器件参数!P52),器件参数!P52&gt;=1,器件参数!P52&lt;=10),器件参数!P52,""))</f>
        <v>2</v>
      </c>
      <c r="R52" s="5">
        <f t="shared" si="7"/>
        <v>-10.0000139708288</v>
      </c>
      <c r="S52" s="5" t="str">
        <f t="shared" si="8"/>
        <v/>
      </c>
      <c r="T52" s="5">
        <f t="shared" si="9"/>
        <v>0</v>
      </c>
      <c r="U52" s="5">
        <f t="shared" si="10"/>
        <v>-10.0000139708288</v>
      </c>
      <c r="V52" s="5">
        <f>IF(AND(ISNUMBER(Pin_dBm),ISNUMBER(E52),ISNUMBER(U52)),Pin_dBm+E52-U52,"")</f>
        <v>1.39708287854035e-5</v>
      </c>
      <c r="W52" s="5" t="str">
        <f>IF(AND(器件参数!B52,X52=1,ISNUMBER(D52)),P52-D52,"")</f>
        <v/>
      </c>
      <c r="X52" s="5">
        <f>IF(NOT(ISNUMBER(C52)),-1,IF(OR(NOT(器件参数!B52),器件参数!M52="ideal"),0,IF(AND(ISNUMBER(P52),ISNUMBER(Q52)),1,-1)))</f>
        <v>0</v>
      </c>
      <c r="Y52" s="5" t="str">
        <f t="shared" si="11"/>
        <v>有效</v>
      </c>
      <c r="Z52" s="5" t="str">
        <f t="shared" si="12"/>
        <v>有效</v>
      </c>
      <c r="AA52" s="5" t="str">
        <f t="shared" si="13"/>
        <v>模型估算</v>
      </c>
      <c r="AB52" s="5">
        <f t="shared" si="14"/>
        <v>100000000</v>
      </c>
      <c r="AC52" s="5">
        <f>IF(NOT(ISNUMBER(AB52)),"",IF(OR(NOT(器件参数!B52),器件参数!E52&lt;&gt;"mixer"),AB52,IF(AND(ISNUMBER(器件参数!T52),器件参数!T52&gt;0),IF(器件参数!U52="sum",AB52+器件参数!T52,IF(器件参数!U52="difference",ABS(AB52-器件参数!T52),"")),"")))</f>
        <v>100000000</v>
      </c>
      <c r="AD52" s="5">
        <f t="shared" si="15"/>
        <v>0</v>
      </c>
      <c r="AE52" s="5">
        <f>IF(AND(ISNUMBER(G52),ISNUMBER(F52)),Tref_K*(G52-1)/F52,"")</f>
        <v>0</v>
      </c>
      <c r="AF52" s="5">
        <f>IF(AND(ISNUMBER(H52),ISNUMBER(E52),NoiseConfigOK),10*LOG10(Boltzmann*Bnoise_Hz*(Tsource_K+Tref_K*(H52-1)))+30+E52,"")</f>
        <v>-90.3704468972711</v>
      </c>
      <c r="AG52" s="5">
        <f t="shared" si="16"/>
        <v>80.3704468972711</v>
      </c>
      <c r="AH52" s="5">
        <f>IF(AND(ToneEnabled,ISNUMBER(E52),ISNUMBER(TonePin)),TonePin+E52,"")</f>
        <v>-10</v>
      </c>
      <c r="AI52" s="5">
        <f>IF(AND(ToneEnabled,ISNUMBER(E52),ISNUMBER(N52),ISNUMBER(TonePin)),3*TonePin+E52-2*N52,"")</f>
        <v>-83.9794000867204</v>
      </c>
      <c r="AJ52" s="5" t="str">
        <f t="shared" si="17"/>
        <v/>
      </c>
      <c r="AK52" s="5" t="str">
        <f>IF(NOT(器件参数!B52),"旁路",IF(NOT(ISNUMBER(AC52)),"频率未知",IF(AC52&lt;=SignalBW/2,"跨零频",IF(AND(ISNUMBER(器件参数!R52),ISNUMBER(器件参数!S52)),IF(AND(AB52-SignalBW/2&gt;=器件参数!R52,AB52+SignalBW/2&lt;=器件参数!S52),"有效","超声明通带"),"未声明通带"))))</f>
        <v>旁路</v>
      </c>
      <c r="AL52" s="5">
        <f t="shared" si="18"/>
        <v>0</v>
      </c>
      <c r="AM52" s="5" t="str">
        <f>IF(AND(器件参数!B52,ISNUMBER(器件参数!X52),OR(AND(ISNUMBER(J52),J52&gt;器件参数!X52),IF(AND(ToneEnabled,ISNUMBER(TonePin),ISNUMBER(D52)),TonePin+10*LOG10(2)+D52&gt;器件参数!X52,FALSE))),"超过绝对最大输入额定值","")</f>
        <v/>
      </c>
      <c r="AN52" s="5">
        <f>IF(NOT(ISNUMBER(AN51)),"",IF(OR(NOT(器件参数!B52),器件参数!E52&lt;&gt;"mixer"),AN51,IF(AND(ISNUMBER(器件参数!T52),器件参数!T52&gt;0),IF(器件参数!U52="sum",AN51+器件参数!T52,ABS(AN51-器件参数!T52)),"")))</f>
        <v>99950000</v>
      </c>
      <c r="AO52" s="5">
        <f>IF(NOT(ISNUMBER(AO51)),"",IF(OR(NOT(器件参数!B52),器件参数!E52&lt;&gt;"mixer"),AO51,IF(AND(ISNUMBER(器件参数!T52),器件参数!T52&gt;0),IF(器件参数!U52="sum",AO51+器件参数!T52,ABS(AO51-器件参数!T52)),"")))</f>
        <v>100050000</v>
      </c>
      <c r="AP52" s="5">
        <f>IF(NOT(ISNUMBER(AP51)),"",IF(OR(NOT(器件参数!B52),器件参数!E52&lt;&gt;"mixer"),AP51,IF(AND(ISNUMBER(器件参数!T52),器件参数!T52&gt;0),IF(器件参数!U52="sum",AP51+器件参数!T52,ABS(AP51-器件参数!T52)),"")))</f>
        <v>99850000</v>
      </c>
      <c r="AQ52" s="5">
        <f>IF(NOT(ISNUMBER(AQ51)),"",IF(OR(NOT(器件参数!B52),器件参数!E52&lt;&gt;"mixer"),AQ51,IF(AND(ISNUMBER(器件参数!T52),器件参数!T52&gt;0),IF(器件参数!U52="sum",AQ51+器件参数!T52,ABS(AQ51-器件参数!T52)),"")))</f>
        <v>100150000</v>
      </c>
      <c r="AR52" s="5" t="b">
        <f>IF(NOT(AR51),FALSE,IF(NOT(器件参数!B52),TRUE,AND(COUNT(AN52:AQ52)=4,MIN(AN52:AQ52)&gt;0,IF(AND(ISNUMBER(器件参数!R52),ISNUMBER(器件参数!S52)),AND(MIN(AN51:AQ51)&gt;=器件参数!R52,MAX(AN51:AQ51)&lt;=器件参数!S52),TRUE),IF(AND(器件参数!E52="mixer",器件参数!U52="difference"),OR(器件参数!T52&lt;MIN(AN51:AQ51),器件参数!T52&gt;MAX(AN51:AQ51)),TRUE))))</f>
        <v>1</v>
      </c>
    </row>
    <row r="53" hidden="1" spans="1:44">
      <c r="A53" s="5">
        <f>器件参数!A53</f>
        <v>50</v>
      </c>
      <c r="B53" s="5" t="str">
        <f>器件参数!D53</f>
        <v/>
      </c>
      <c r="C53" s="5">
        <f>IF(NOT(器件参数!B53),0,IF(AND(ISNUMBER(器件参数!F53),ABS(器件参数!F53)&lt;=300),器件参数!F53,""))</f>
        <v>0</v>
      </c>
      <c r="D53" s="5">
        <f t="shared" si="0"/>
        <v>20</v>
      </c>
      <c r="E53" s="5">
        <f t="shared" si="1"/>
        <v>20</v>
      </c>
      <c r="F53" s="5">
        <f t="shared" si="2"/>
        <v>100</v>
      </c>
      <c r="G53" s="5">
        <f>IFERROR(IF(NOT(器件参数!B53),1,IF(NOT(OR(器件参数!E53&lt;&gt;"mixer",AND(OR(器件参数!V53="SSB",器件参数!V53="DSB"),器件参数!W53=TRUE))),"",IF(器件参数!G53="ideal",1,IF(AND(器件参数!G53="manual",ISNUMBER(器件参数!H53),器件参数!H53&gt;=0),10^(器件参数!H53/10),IF(AND(器件参数!G53="passive_thermal",OR(器件参数!E53="filter_bpf",器件参数!E53="filter_lpf",器件参数!E53="filter_hpf",器件参数!E53="filter_bsf",器件参数!E53="attenuator",器件参数!E53="cable",器件参数!E53="connector",器件参数!E53="switch",器件参数!E53="isolator",器件参数!E53="coupler",器件参数!E53="splitter"),AND(ISNUMBER(器件参数!F53),ABS(器件参数!F53)&lt;=300),器件参数!F53&lt;=0,ISNUMBER(器件参数!I53),器件参数!I53&gt;0),1+(10^(-器件参数!F53/10)-1)*器件参数!I53/Tref_K,""))))),"数值域错误")</f>
        <v>1</v>
      </c>
      <c r="H53" s="5">
        <f t="shared" si="3"/>
        <v>2.29336948552238</v>
      </c>
      <c r="I53" s="5">
        <f t="shared" si="4"/>
        <v>3.604740296957</v>
      </c>
      <c r="J53" s="5">
        <f>IF(AND(ISNUMBER(Pin_dBm),ISNUMBER(D53)),Pin_dBm+D53,"")</f>
        <v>-10</v>
      </c>
      <c r="K53" s="5">
        <f>IF(AND(ISNUMBER(Pin_dBm),ISNUMBER(E53)),Pin_dBm+E53,"")</f>
        <v>-10</v>
      </c>
      <c r="L53" s="5" t="str">
        <f>IF(AND(器件参数!J53="finite",ISNUMBER(器件参数!L53),ISNUMBER(C53)),IF(器件参数!K53="input",器件参数!L53,IF(器件参数!K53="output",器件参数!L53-C53,"")),"")</f>
        <v/>
      </c>
      <c r="M53" s="5">
        <f>IFERROR(IF(NOT(ISNUMBER(M52)),"",IF(OR(NOT(器件参数!B53),器件参数!J53="ideal"),M52,IF(AND(ISNUMBER(L53),ISNUMBER(F53)),M52+F53/10^(L53/10),""))),"数值域错误")</f>
        <v>0.2</v>
      </c>
      <c r="N53" s="5">
        <f t="shared" si="5"/>
        <v>6.98970004336019</v>
      </c>
      <c r="O53" s="5">
        <f t="shared" si="6"/>
        <v>26.9897000433602</v>
      </c>
      <c r="P53" s="5" t="str">
        <f>IF(AND(器件参数!M53="finite",ISNUMBER(器件参数!O53),ISNUMBER(C53)),IF(器件参数!N53="input",器件参数!O53,IF(器件参数!N53="actual_output",器件参数!O53-C53+1,IF(器件参数!N53="linear_output",器件参数!O53-C53,""))),"")</f>
        <v/>
      </c>
      <c r="Q53" s="5">
        <f>IF(器件参数!P53="",IF(AND(ISNUMBER(DefaultP),DefaultP&gt;=1,DefaultP&lt;=10),DefaultP,""),IF(AND(ISNUMBER(器件参数!P53),器件参数!P53&gt;=1,器件参数!P53&lt;=10),器件参数!P53,""))</f>
        <v>2</v>
      </c>
      <c r="R53" s="5">
        <f t="shared" si="7"/>
        <v>-10.0000139708288</v>
      </c>
      <c r="S53" s="5" t="str">
        <f t="shared" si="8"/>
        <v/>
      </c>
      <c r="T53" s="5">
        <f t="shared" si="9"/>
        <v>0</v>
      </c>
      <c r="U53" s="5">
        <f t="shared" si="10"/>
        <v>-10.0000139708288</v>
      </c>
      <c r="V53" s="5">
        <f>IF(AND(ISNUMBER(Pin_dBm),ISNUMBER(E53),ISNUMBER(U53)),Pin_dBm+E53-U53,"")</f>
        <v>1.39708287854035e-5</v>
      </c>
      <c r="W53" s="5" t="str">
        <f>IF(AND(器件参数!B53,X53=1,ISNUMBER(D53)),P53-D53,"")</f>
        <v/>
      </c>
      <c r="X53" s="5">
        <f>IF(NOT(ISNUMBER(C53)),-1,IF(OR(NOT(器件参数!B53),器件参数!M53="ideal"),0,IF(AND(ISNUMBER(P53),ISNUMBER(Q53)),1,-1)))</f>
        <v>0</v>
      </c>
      <c r="Y53" s="5" t="str">
        <f t="shared" si="11"/>
        <v>有效</v>
      </c>
      <c r="Z53" s="5" t="str">
        <f t="shared" si="12"/>
        <v>有效</v>
      </c>
      <c r="AA53" s="5" t="str">
        <f t="shared" si="13"/>
        <v>模型估算</v>
      </c>
      <c r="AB53" s="5">
        <f t="shared" si="14"/>
        <v>100000000</v>
      </c>
      <c r="AC53" s="5">
        <f>IF(NOT(ISNUMBER(AB53)),"",IF(OR(NOT(器件参数!B53),器件参数!E53&lt;&gt;"mixer"),AB53,IF(AND(ISNUMBER(器件参数!T53),器件参数!T53&gt;0),IF(器件参数!U53="sum",AB53+器件参数!T53,IF(器件参数!U53="difference",ABS(AB53-器件参数!T53),"")),"")))</f>
        <v>100000000</v>
      </c>
      <c r="AD53" s="5">
        <f t="shared" si="15"/>
        <v>0</v>
      </c>
      <c r="AE53" s="5">
        <f>IF(AND(ISNUMBER(G53),ISNUMBER(F53)),Tref_K*(G53-1)/F53,"")</f>
        <v>0</v>
      </c>
      <c r="AF53" s="5">
        <f>IF(AND(ISNUMBER(H53),ISNUMBER(E53),NoiseConfigOK),10*LOG10(Boltzmann*Bnoise_Hz*(Tsource_K+Tref_K*(H53-1)))+30+E53,"")</f>
        <v>-90.3704468972711</v>
      </c>
      <c r="AG53" s="5">
        <f t="shared" si="16"/>
        <v>80.3704468972711</v>
      </c>
      <c r="AH53" s="5">
        <f>IF(AND(ToneEnabled,ISNUMBER(E53),ISNUMBER(TonePin)),TonePin+E53,"")</f>
        <v>-10</v>
      </c>
      <c r="AI53" s="5">
        <f>IF(AND(ToneEnabled,ISNUMBER(E53),ISNUMBER(N53),ISNUMBER(TonePin)),3*TonePin+E53-2*N53,"")</f>
        <v>-83.9794000867204</v>
      </c>
      <c r="AJ53" s="5" t="str">
        <f t="shared" si="17"/>
        <v/>
      </c>
      <c r="AK53" s="5" t="str">
        <f>IF(NOT(器件参数!B53),"旁路",IF(NOT(ISNUMBER(AC53)),"频率未知",IF(AC53&lt;=SignalBW/2,"跨零频",IF(AND(ISNUMBER(器件参数!R53),ISNUMBER(器件参数!S53)),IF(AND(AB53-SignalBW/2&gt;=器件参数!R53,AB53+SignalBW/2&lt;=器件参数!S53),"有效","超声明通带"),"未声明通带"))))</f>
        <v>旁路</v>
      </c>
      <c r="AL53" s="5">
        <f t="shared" si="18"/>
        <v>0</v>
      </c>
      <c r="AM53" s="5" t="str">
        <f>IF(AND(器件参数!B53,ISNUMBER(器件参数!X53),OR(AND(ISNUMBER(J53),J53&gt;器件参数!X53),IF(AND(ToneEnabled,ISNUMBER(TonePin),ISNUMBER(D53)),TonePin+10*LOG10(2)+D53&gt;器件参数!X53,FALSE))),"超过绝对最大输入额定值","")</f>
        <v/>
      </c>
      <c r="AN53" s="5">
        <f>IF(NOT(ISNUMBER(AN52)),"",IF(OR(NOT(器件参数!B53),器件参数!E53&lt;&gt;"mixer"),AN52,IF(AND(ISNUMBER(器件参数!T53),器件参数!T53&gt;0),IF(器件参数!U53="sum",AN52+器件参数!T53,ABS(AN52-器件参数!T53)),"")))</f>
        <v>99950000</v>
      </c>
      <c r="AO53" s="5">
        <f>IF(NOT(ISNUMBER(AO52)),"",IF(OR(NOT(器件参数!B53),器件参数!E53&lt;&gt;"mixer"),AO52,IF(AND(ISNUMBER(器件参数!T53),器件参数!T53&gt;0),IF(器件参数!U53="sum",AO52+器件参数!T53,ABS(AO52-器件参数!T53)),"")))</f>
        <v>100050000</v>
      </c>
      <c r="AP53" s="5">
        <f>IF(NOT(ISNUMBER(AP52)),"",IF(OR(NOT(器件参数!B53),器件参数!E53&lt;&gt;"mixer"),AP52,IF(AND(ISNUMBER(器件参数!T53),器件参数!T53&gt;0),IF(器件参数!U53="sum",AP52+器件参数!T53,ABS(AP52-器件参数!T53)),"")))</f>
        <v>99850000</v>
      </c>
      <c r="AQ53" s="5">
        <f>IF(NOT(ISNUMBER(AQ52)),"",IF(OR(NOT(器件参数!B53),器件参数!E53&lt;&gt;"mixer"),AQ52,IF(AND(ISNUMBER(器件参数!T53),器件参数!T53&gt;0),IF(器件参数!U53="sum",AQ52+器件参数!T53,ABS(AQ52-器件参数!T53)),"")))</f>
        <v>100150000</v>
      </c>
      <c r="AR53" s="5" t="b">
        <f>IF(NOT(AR52),FALSE,IF(NOT(器件参数!B53),TRUE,AND(COUNT(AN53:AQ53)=4,MIN(AN53:AQ53)&gt;0,IF(AND(ISNUMBER(器件参数!R53),ISNUMBER(器件参数!S53)),AND(MIN(AN52:AQ52)&gt;=器件参数!R53,MAX(AN52:AQ52)&lt;=器件参数!S53),TRUE),IF(AND(器件参数!E53="mixer",器件参数!U53="difference"),OR(器件参数!T53&lt;MIN(AN52:AQ52),器件参数!T53&gt;MAX(AN52:AQ52)),TRUE))))</f>
        <v>1</v>
      </c>
    </row>
    <row r="54" hidden="1" spans="1:44">
      <c r="A54" s="5">
        <f>器件参数!A54</f>
        <v>51</v>
      </c>
      <c r="B54" s="5" t="str">
        <f>器件参数!D54</f>
        <v/>
      </c>
      <c r="C54" s="5">
        <f>IF(NOT(器件参数!B54),0,IF(AND(ISNUMBER(器件参数!F54),ABS(器件参数!F54)&lt;=300),器件参数!F54,""))</f>
        <v>0</v>
      </c>
      <c r="D54" s="5">
        <f t="shared" si="0"/>
        <v>20</v>
      </c>
      <c r="E54" s="5">
        <f t="shared" si="1"/>
        <v>20</v>
      </c>
      <c r="F54" s="5">
        <f t="shared" si="2"/>
        <v>100</v>
      </c>
      <c r="G54" s="5">
        <f>IFERROR(IF(NOT(器件参数!B54),1,IF(NOT(OR(器件参数!E54&lt;&gt;"mixer",AND(OR(器件参数!V54="SSB",器件参数!V54="DSB"),器件参数!W54=TRUE))),"",IF(器件参数!G54="ideal",1,IF(AND(器件参数!G54="manual",ISNUMBER(器件参数!H54),器件参数!H54&gt;=0),10^(器件参数!H54/10),IF(AND(器件参数!G54="passive_thermal",OR(器件参数!E54="filter_bpf",器件参数!E54="filter_lpf",器件参数!E54="filter_hpf",器件参数!E54="filter_bsf",器件参数!E54="attenuator",器件参数!E54="cable",器件参数!E54="connector",器件参数!E54="switch",器件参数!E54="isolator",器件参数!E54="coupler",器件参数!E54="splitter"),AND(ISNUMBER(器件参数!F54),ABS(器件参数!F54)&lt;=300),器件参数!F54&lt;=0,ISNUMBER(器件参数!I54),器件参数!I54&gt;0),1+(10^(-器件参数!F54/10)-1)*器件参数!I54/Tref_K,""))))),"数值域错误")</f>
        <v>1</v>
      </c>
      <c r="H54" s="5">
        <f t="shared" si="3"/>
        <v>2.29336948552238</v>
      </c>
      <c r="I54" s="5">
        <f t="shared" si="4"/>
        <v>3.604740296957</v>
      </c>
      <c r="J54" s="5">
        <f>IF(AND(ISNUMBER(Pin_dBm),ISNUMBER(D54)),Pin_dBm+D54,"")</f>
        <v>-10</v>
      </c>
      <c r="K54" s="5">
        <f>IF(AND(ISNUMBER(Pin_dBm),ISNUMBER(E54)),Pin_dBm+E54,"")</f>
        <v>-10</v>
      </c>
      <c r="L54" s="5" t="str">
        <f>IF(AND(器件参数!J54="finite",ISNUMBER(器件参数!L54),ISNUMBER(C54)),IF(器件参数!K54="input",器件参数!L54,IF(器件参数!K54="output",器件参数!L54-C54,"")),"")</f>
        <v/>
      </c>
      <c r="M54" s="5">
        <f>IFERROR(IF(NOT(ISNUMBER(M53)),"",IF(OR(NOT(器件参数!B54),器件参数!J54="ideal"),M53,IF(AND(ISNUMBER(L54),ISNUMBER(F54)),M53+F54/10^(L54/10),""))),"数值域错误")</f>
        <v>0.2</v>
      </c>
      <c r="N54" s="5">
        <f t="shared" si="5"/>
        <v>6.98970004336019</v>
      </c>
      <c r="O54" s="5">
        <f t="shared" si="6"/>
        <v>26.9897000433602</v>
      </c>
      <c r="P54" s="5" t="str">
        <f>IF(AND(器件参数!M54="finite",ISNUMBER(器件参数!O54),ISNUMBER(C54)),IF(器件参数!N54="input",器件参数!O54,IF(器件参数!N54="actual_output",器件参数!O54-C54+1,IF(器件参数!N54="linear_output",器件参数!O54-C54,""))),"")</f>
        <v/>
      </c>
      <c r="Q54" s="5">
        <f>IF(器件参数!P54="",IF(AND(ISNUMBER(DefaultP),DefaultP&gt;=1,DefaultP&lt;=10),DefaultP,""),IF(AND(ISNUMBER(器件参数!P54),器件参数!P54&gt;=1,器件参数!P54&lt;=10),器件参数!P54,""))</f>
        <v>2</v>
      </c>
      <c r="R54" s="5">
        <f t="shared" si="7"/>
        <v>-10.0000139708288</v>
      </c>
      <c r="S54" s="5" t="str">
        <f t="shared" si="8"/>
        <v/>
      </c>
      <c r="T54" s="5">
        <f t="shared" si="9"/>
        <v>0</v>
      </c>
      <c r="U54" s="5">
        <f t="shared" si="10"/>
        <v>-10.0000139708288</v>
      </c>
      <c r="V54" s="5">
        <f>IF(AND(ISNUMBER(Pin_dBm),ISNUMBER(E54),ISNUMBER(U54)),Pin_dBm+E54-U54,"")</f>
        <v>1.39708287854035e-5</v>
      </c>
      <c r="W54" s="5" t="str">
        <f>IF(AND(器件参数!B54,X54=1,ISNUMBER(D54)),P54-D54,"")</f>
        <v/>
      </c>
      <c r="X54" s="5">
        <f>IF(NOT(ISNUMBER(C54)),-1,IF(OR(NOT(器件参数!B54),器件参数!M54="ideal"),0,IF(AND(ISNUMBER(P54),ISNUMBER(Q54)),1,-1)))</f>
        <v>0</v>
      </c>
      <c r="Y54" s="5" t="str">
        <f t="shared" si="11"/>
        <v>有效</v>
      </c>
      <c r="Z54" s="5" t="str">
        <f t="shared" si="12"/>
        <v>有效</v>
      </c>
      <c r="AA54" s="5" t="str">
        <f t="shared" si="13"/>
        <v>模型估算</v>
      </c>
      <c r="AB54" s="5">
        <f t="shared" si="14"/>
        <v>100000000</v>
      </c>
      <c r="AC54" s="5">
        <f>IF(NOT(ISNUMBER(AB54)),"",IF(OR(NOT(器件参数!B54),器件参数!E54&lt;&gt;"mixer"),AB54,IF(AND(ISNUMBER(器件参数!T54),器件参数!T54&gt;0),IF(器件参数!U54="sum",AB54+器件参数!T54,IF(器件参数!U54="difference",ABS(AB54-器件参数!T54),"")),"")))</f>
        <v>100000000</v>
      </c>
      <c r="AD54" s="5">
        <f t="shared" si="15"/>
        <v>0</v>
      </c>
      <c r="AE54" s="5">
        <f>IF(AND(ISNUMBER(G54),ISNUMBER(F54)),Tref_K*(G54-1)/F54,"")</f>
        <v>0</v>
      </c>
      <c r="AF54" s="5">
        <f>IF(AND(ISNUMBER(H54),ISNUMBER(E54),NoiseConfigOK),10*LOG10(Boltzmann*Bnoise_Hz*(Tsource_K+Tref_K*(H54-1)))+30+E54,"")</f>
        <v>-90.3704468972711</v>
      </c>
      <c r="AG54" s="5">
        <f t="shared" si="16"/>
        <v>80.3704468972711</v>
      </c>
      <c r="AH54" s="5">
        <f>IF(AND(ToneEnabled,ISNUMBER(E54),ISNUMBER(TonePin)),TonePin+E54,"")</f>
        <v>-10</v>
      </c>
      <c r="AI54" s="5">
        <f>IF(AND(ToneEnabled,ISNUMBER(E54),ISNUMBER(N54),ISNUMBER(TonePin)),3*TonePin+E54-2*N54,"")</f>
        <v>-83.9794000867204</v>
      </c>
      <c r="AJ54" s="5" t="str">
        <f t="shared" si="17"/>
        <v/>
      </c>
      <c r="AK54" s="5" t="str">
        <f>IF(NOT(器件参数!B54),"旁路",IF(NOT(ISNUMBER(AC54)),"频率未知",IF(AC54&lt;=SignalBW/2,"跨零频",IF(AND(ISNUMBER(器件参数!R54),ISNUMBER(器件参数!S54)),IF(AND(AB54-SignalBW/2&gt;=器件参数!R54,AB54+SignalBW/2&lt;=器件参数!S54),"有效","超声明通带"),"未声明通带"))))</f>
        <v>旁路</v>
      </c>
      <c r="AL54" s="5">
        <f t="shared" si="18"/>
        <v>0</v>
      </c>
      <c r="AM54" s="5" t="str">
        <f>IF(AND(器件参数!B54,ISNUMBER(器件参数!X54),OR(AND(ISNUMBER(J54),J54&gt;器件参数!X54),IF(AND(ToneEnabled,ISNUMBER(TonePin),ISNUMBER(D54)),TonePin+10*LOG10(2)+D54&gt;器件参数!X54,FALSE))),"超过绝对最大输入额定值","")</f>
        <v/>
      </c>
      <c r="AN54" s="5">
        <f>IF(NOT(ISNUMBER(AN53)),"",IF(OR(NOT(器件参数!B54),器件参数!E54&lt;&gt;"mixer"),AN53,IF(AND(ISNUMBER(器件参数!T54),器件参数!T54&gt;0),IF(器件参数!U54="sum",AN53+器件参数!T54,ABS(AN53-器件参数!T54)),"")))</f>
        <v>99950000</v>
      </c>
      <c r="AO54" s="5">
        <f>IF(NOT(ISNUMBER(AO53)),"",IF(OR(NOT(器件参数!B54),器件参数!E54&lt;&gt;"mixer"),AO53,IF(AND(ISNUMBER(器件参数!T54),器件参数!T54&gt;0),IF(器件参数!U54="sum",AO53+器件参数!T54,ABS(AO53-器件参数!T54)),"")))</f>
        <v>100050000</v>
      </c>
      <c r="AP54" s="5">
        <f>IF(NOT(ISNUMBER(AP53)),"",IF(OR(NOT(器件参数!B54),器件参数!E54&lt;&gt;"mixer"),AP53,IF(AND(ISNUMBER(器件参数!T54),器件参数!T54&gt;0),IF(器件参数!U54="sum",AP53+器件参数!T54,ABS(AP53-器件参数!T54)),"")))</f>
        <v>99850000</v>
      </c>
      <c r="AQ54" s="5">
        <f>IF(NOT(ISNUMBER(AQ53)),"",IF(OR(NOT(器件参数!B54),器件参数!E54&lt;&gt;"mixer"),AQ53,IF(AND(ISNUMBER(器件参数!T54),器件参数!T54&gt;0),IF(器件参数!U54="sum",AQ53+器件参数!T54,ABS(AQ53-器件参数!T54)),"")))</f>
        <v>100150000</v>
      </c>
      <c r="AR54" s="5" t="b">
        <f>IF(NOT(AR53),FALSE,IF(NOT(器件参数!B54),TRUE,AND(COUNT(AN54:AQ54)=4,MIN(AN54:AQ54)&gt;0,IF(AND(ISNUMBER(器件参数!R54),ISNUMBER(器件参数!S54)),AND(MIN(AN53:AQ53)&gt;=器件参数!R54,MAX(AN53:AQ53)&lt;=器件参数!S54),TRUE),IF(AND(器件参数!E54="mixer",器件参数!U54="difference"),OR(器件参数!T54&lt;MIN(AN53:AQ53),器件参数!T54&gt;MAX(AN53:AQ53)),TRUE))))</f>
        <v>1</v>
      </c>
    </row>
    <row r="55" hidden="1" spans="1:44">
      <c r="A55" s="5">
        <f>器件参数!A55</f>
        <v>52</v>
      </c>
      <c r="B55" s="5" t="str">
        <f>器件参数!D55</f>
        <v/>
      </c>
      <c r="C55" s="5">
        <f>IF(NOT(器件参数!B55),0,IF(AND(ISNUMBER(器件参数!F55),ABS(器件参数!F55)&lt;=300),器件参数!F55,""))</f>
        <v>0</v>
      </c>
      <c r="D55" s="5">
        <f t="shared" si="0"/>
        <v>20</v>
      </c>
      <c r="E55" s="5">
        <f t="shared" si="1"/>
        <v>20</v>
      </c>
      <c r="F55" s="5">
        <f t="shared" si="2"/>
        <v>100</v>
      </c>
      <c r="G55" s="5">
        <f>IFERROR(IF(NOT(器件参数!B55),1,IF(NOT(OR(器件参数!E55&lt;&gt;"mixer",AND(OR(器件参数!V55="SSB",器件参数!V55="DSB"),器件参数!W55=TRUE))),"",IF(器件参数!G55="ideal",1,IF(AND(器件参数!G55="manual",ISNUMBER(器件参数!H55),器件参数!H55&gt;=0),10^(器件参数!H55/10),IF(AND(器件参数!G55="passive_thermal",OR(器件参数!E55="filter_bpf",器件参数!E55="filter_lpf",器件参数!E55="filter_hpf",器件参数!E55="filter_bsf",器件参数!E55="attenuator",器件参数!E55="cable",器件参数!E55="connector",器件参数!E55="switch",器件参数!E55="isolator",器件参数!E55="coupler",器件参数!E55="splitter"),AND(ISNUMBER(器件参数!F55),ABS(器件参数!F55)&lt;=300),器件参数!F55&lt;=0,ISNUMBER(器件参数!I55),器件参数!I55&gt;0),1+(10^(-器件参数!F55/10)-1)*器件参数!I55/Tref_K,""))))),"数值域错误")</f>
        <v>1</v>
      </c>
      <c r="H55" s="5">
        <f t="shared" si="3"/>
        <v>2.29336948552238</v>
      </c>
      <c r="I55" s="5">
        <f t="shared" si="4"/>
        <v>3.604740296957</v>
      </c>
      <c r="J55" s="5">
        <f>IF(AND(ISNUMBER(Pin_dBm),ISNUMBER(D55)),Pin_dBm+D55,"")</f>
        <v>-10</v>
      </c>
      <c r="K55" s="5">
        <f>IF(AND(ISNUMBER(Pin_dBm),ISNUMBER(E55)),Pin_dBm+E55,"")</f>
        <v>-10</v>
      </c>
      <c r="L55" s="5" t="str">
        <f>IF(AND(器件参数!J55="finite",ISNUMBER(器件参数!L55),ISNUMBER(C55)),IF(器件参数!K55="input",器件参数!L55,IF(器件参数!K55="output",器件参数!L55-C55,"")),"")</f>
        <v/>
      </c>
      <c r="M55" s="5">
        <f>IFERROR(IF(NOT(ISNUMBER(M54)),"",IF(OR(NOT(器件参数!B55),器件参数!J55="ideal"),M54,IF(AND(ISNUMBER(L55),ISNUMBER(F55)),M54+F55/10^(L55/10),""))),"数值域错误")</f>
        <v>0.2</v>
      </c>
      <c r="N55" s="5">
        <f t="shared" si="5"/>
        <v>6.98970004336019</v>
      </c>
      <c r="O55" s="5">
        <f t="shared" si="6"/>
        <v>26.9897000433602</v>
      </c>
      <c r="P55" s="5" t="str">
        <f>IF(AND(器件参数!M55="finite",ISNUMBER(器件参数!O55),ISNUMBER(C55)),IF(器件参数!N55="input",器件参数!O55,IF(器件参数!N55="actual_output",器件参数!O55-C55+1,IF(器件参数!N55="linear_output",器件参数!O55-C55,""))),"")</f>
        <v/>
      </c>
      <c r="Q55" s="5">
        <f>IF(器件参数!P55="",IF(AND(ISNUMBER(DefaultP),DefaultP&gt;=1,DefaultP&lt;=10),DefaultP,""),IF(AND(ISNUMBER(器件参数!P55),器件参数!P55&gt;=1,器件参数!P55&lt;=10),器件参数!P55,""))</f>
        <v>2</v>
      </c>
      <c r="R55" s="5">
        <f t="shared" si="7"/>
        <v>-10.0000139708288</v>
      </c>
      <c r="S55" s="5" t="str">
        <f t="shared" si="8"/>
        <v/>
      </c>
      <c r="T55" s="5">
        <f t="shared" si="9"/>
        <v>0</v>
      </c>
      <c r="U55" s="5">
        <f t="shared" si="10"/>
        <v>-10.0000139708288</v>
      </c>
      <c r="V55" s="5">
        <f>IF(AND(ISNUMBER(Pin_dBm),ISNUMBER(E55),ISNUMBER(U55)),Pin_dBm+E55-U55,"")</f>
        <v>1.39708287854035e-5</v>
      </c>
      <c r="W55" s="5" t="str">
        <f>IF(AND(器件参数!B55,X55=1,ISNUMBER(D55)),P55-D55,"")</f>
        <v/>
      </c>
      <c r="X55" s="5">
        <f>IF(NOT(ISNUMBER(C55)),-1,IF(OR(NOT(器件参数!B55),器件参数!M55="ideal"),0,IF(AND(ISNUMBER(P55),ISNUMBER(Q55)),1,-1)))</f>
        <v>0</v>
      </c>
      <c r="Y55" s="5" t="str">
        <f t="shared" si="11"/>
        <v>有效</v>
      </c>
      <c r="Z55" s="5" t="str">
        <f t="shared" si="12"/>
        <v>有效</v>
      </c>
      <c r="AA55" s="5" t="str">
        <f t="shared" si="13"/>
        <v>模型估算</v>
      </c>
      <c r="AB55" s="5">
        <f t="shared" si="14"/>
        <v>100000000</v>
      </c>
      <c r="AC55" s="5">
        <f>IF(NOT(ISNUMBER(AB55)),"",IF(OR(NOT(器件参数!B55),器件参数!E55&lt;&gt;"mixer"),AB55,IF(AND(ISNUMBER(器件参数!T55),器件参数!T55&gt;0),IF(器件参数!U55="sum",AB55+器件参数!T55,IF(器件参数!U55="difference",ABS(AB55-器件参数!T55),"")),"")))</f>
        <v>100000000</v>
      </c>
      <c r="AD55" s="5">
        <f t="shared" si="15"/>
        <v>0</v>
      </c>
      <c r="AE55" s="5">
        <f>IF(AND(ISNUMBER(G55),ISNUMBER(F55)),Tref_K*(G55-1)/F55,"")</f>
        <v>0</v>
      </c>
      <c r="AF55" s="5">
        <f>IF(AND(ISNUMBER(H55),ISNUMBER(E55),NoiseConfigOK),10*LOG10(Boltzmann*Bnoise_Hz*(Tsource_K+Tref_K*(H55-1)))+30+E55,"")</f>
        <v>-90.3704468972711</v>
      </c>
      <c r="AG55" s="5">
        <f t="shared" si="16"/>
        <v>80.3704468972711</v>
      </c>
      <c r="AH55" s="5">
        <f>IF(AND(ToneEnabled,ISNUMBER(E55),ISNUMBER(TonePin)),TonePin+E55,"")</f>
        <v>-10</v>
      </c>
      <c r="AI55" s="5">
        <f>IF(AND(ToneEnabled,ISNUMBER(E55),ISNUMBER(N55),ISNUMBER(TonePin)),3*TonePin+E55-2*N55,"")</f>
        <v>-83.9794000867204</v>
      </c>
      <c r="AJ55" s="5" t="str">
        <f t="shared" si="17"/>
        <v/>
      </c>
      <c r="AK55" s="5" t="str">
        <f>IF(NOT(器件参数!B55),"旁路",IF(NOT(ISNUMBER(AC55)),"频率未知",IF(AC55&lt;=SignalBW/2,"跨零频",IF(AND(ISNUMBER(器件参数!R55),ISNUMBER(器件参数!S55)),IF(AND(AB55-SignalBW/2&gt;=器件参数!R55,AB55+SignalBW/2&lt;=器件参数!S55),"有效","超声明通带"),"未声明通带"))))</f>
        <v>旁路</v>
      </c>
      <c r="AL55" s="5">
        <f t="shared" si="18"/>
        <v>0</v>
      </c>
      <c r="AM55" s="5" t="str">
        <f>IF(AND(器件参数!B55,ISNUMBER(器件参数!X55),OR(AND(ISNUMBER(J55),J55&gt;器件参数!X55),IF(AND(ToneEnabled,ISNUMBER(TonePin),ISNUMBER(D55)),TonePin+10*LOG10(2)+D55&gt;器件参数!X55,FALSE))),"超过绝对最大输入额定值","")</f>
        <v/>
      </c>
      <c r="AN55" s="5">
        <f>IF(NOT(ISNUMBER(AN54)),"",IF(OR(NOT(器件参数!B55),器件参数!E55&lt;&gt;"mixer"),AN54,IF(AND(ISNUMBER(器件参数!T55),器件参数!T55&gt;0),IF(器件参数!U55="sum",AN54+器件参数!T55,ABS(AN54-器件参数!T55)),"")))</f>
        <v>99950000</v>
      </c>
      <c r="AO55" s="5">
        <f>IF(NOT(ISNUMBER(AO54)),"",IF(OR(NOT(器件参数!B55),器件参数!E55&lt;&gt;"mixer"),AO54,IF(AND(ISNUMBER(器件参数!T55),器件参数!T55&gt;0),IF(器件参数!U55="sum",AO54+器件参数!T55,ABS(AO54-器件参数!T55)),"")))</f>
        <v>100050000</v>
      </c>
      <c r="AP55" s="5">
        <f>IF(NOT(ISNUMBER(AP54)),"",IF(OR(NOT(器件参数!B55),器件参数!E55&lt;&gt;"mixer"),AP54,IF(AND(ISNUMBER(器件参数!T55),器件参数!T55&gt;0),IF(器件参数!U55="sum",AP54+器件参数!T55,ABS(AP54-器件参数!T55)),"")))</f>
        <v>99850000</v>
      </c>
      <c r="AQ55" s="5">
        <f>IF(NOT(ISNUMBER(AQ54)),"",IF(OR(NOT(器件参数!B55),器件参数!E55&lt;&gt;"mixer"),AQ54,IF(AND(ISNUMBER(器件参数!T55),器件参数!T55&gt;0),IF(器件参数!U55="sum",AQ54+器件参数!T55,ABS(AQ54-器件参数!T55)),"")))</f>
        <v>100150000</v>
      </c>
      <c r="AR55" s="5" t="b">
        <f>IF(NOT(AR54),FALSE,IF(NOT(器件参数!B55),TRUE,AND(COUNT(AN55:AQ55)=4,MIN(AN55:AQ55)&gt;0,IF(AND(ISNUMBER(器件参数!R55),ISNUMBER(器件参数!S55)),AND(MIN(AN54:AQ54)&gt;=器件参数!R55,MAX(AN54:AQ54)&lt;=器件参数!S55),TRUE),IF(AND(器件参数!E55="mixer",器件参数!U55="difference"),OR(器件参数!T55&lt;MIN(AN54:AQ54),器件参数!T55&gt;MAX(AN54:AQ54)),TRUE))))</f>
        <v>1</v>
      </c>
    </row>
    <row r="56" hidden="1" spans="1:44">
      <c r="A56" s="5">
        <f>器件参数!A56</f>
        <v>53</v>
      </c>
      <c r="B56" s="5" t="str">
        <f>器件参数!D56</f>
        <v/>
      </c>
      <c r="C56" s="5">
        <f>IF(NOT(器件参数!B56),0,IF(AND(ISNUMBER(器件参数!F56),ABS(器件参数!F56)&lt;=300),器件参数!F56,""))</f>
        <v>0</v>
      </c>
      <c r="D56" s="5">
        <f t="shared" si="0"/>
        <v>20</v>
      </c>
      <c r="E56" s="5">
        <f t="shared" si="1"/>
        <v>20</v>
      </c>
      <c r="F56" s="5">
        <f t="shared" si="2"/>
        <v>100</v>
      </c>
      <c r="G56" s="5">
        <f>IFERROR(IF(NOT(器件参数!B56),1,IF(NOT(OR(器件参数!E56&lt;&gt;"mixer",AND(OR(器件参数!V56="SSB",器件参数!V56="DSB"),器件参数!W56=TRUE))),"",IF(器件参数!G56="ideal",1,IF(AND(器件参数!G56="manual",ISNUMBER(器件参数!H56),器件参数!H56&gt;=0),10^(器件参数!H56/10),IF(AND(器件参数!G56="passive_thermal",OR(器件参数!E56="filter_bpf",器件参数!E56="filter_lpf",器件参数!E56="filter_hpf",器件参数!E56="filter_bsf",器件参数!E56="attenuator",器件参数!E56="cable",器件参数!E56="connector",器件参数!E56="switch",器件参数!E56="isolator",器件参数!E56="coupler",器件参数!E56="splitter"),AND(ISNUMBER(器件参数!F56),ABS(器件参数!F56)&lt;=300),器件参数!F56&lt;=0,ISNUMBER(器件参数!I56),器件参数!I56&gt;0),1+(10^(-器件参数!F56/10)-1)*器件参数!I56/Tref_K,""))))),"数值域错误")</f>
        <v>1</v>
      </c>
      <c r="H56" s="5">
        <f t="shared" si="3"/>
        <v>2.29336948552238</v>
      </c>
      <c r="I56" s="5">
        <f t="shared" si="4"/>
        <v>3.604740296957</v>
      </c>
      <c r="J56" s="5">
        <f>IF(AND(ISNUMBER(Pin_dBm),ISNUMBER(D56)),Pin_dBm+D56,"")</f>
        <v>-10</v>
      </c>
      <c r="K56" s="5">
        <f>IF(AND(ISNUMBER(Pin_dBm),ISNUMBER(E56)),Pin_dBm+E56,"")</f>
        <v>-10</v>
      </c>
      <c r="L56" s="5" t="str">
        <f>IF(AND(器件参数!J56="finite",ISNUMBER(器件参数!L56),ISNUMBER(C56)),IF(器件参数!K56="input",器件参数!L56,IF(器件参数!K56="output",器件参数!L56-C56,"")),"")</f>
        <v/>
      </c>
      <c r="M56" s="5">
        <f>IFERROR(IF(NOT(ISNUMBER(M55)),"",IF(OR(NOT(器件参数!B56),器件参数!J56="ideal"),M55,IF(AND(ISNUMBER(L56),ISNUMBER(F56)),M55+F56/10^(L56/10),""))),"数值域错误")</f>
        <v>0.2</v>
      </c>
      <c r="N56" s="5">
        <f t="shared" si="5"/>
        <v>6.98970004336019</v>
      </c>
      <c r="O56" s="5">
        <f t="shared" si="6"/>
        <v>26.9897000433602</v>
      </c>
      <c r="P56" s="5" t="str">
        <f>IF(AND(器件参数!M56="finite",ISNUMBER(器件参数!O56),ISNUMBER(C56)),IF(器件参数!N56="input",器件参数!O56,IF(器件参数!N56="actual_output",器件参数!O56-C56+1,IF(器件参数!N56="linear_output",器件参数!O56-C56,""))),"")</f>
        <v/>
      </c>
      <c r="Q56" s="5">
        <f>IF(器件参数!P56="",IF(AND(ISNUMBER(DefaultP),DefaultP&gt;=1,DefaultP&lt;=10),DefaultP,""),IF(AND(ISNUMBER(器件参数!P56),器件参数!P56&gt;=1,器件参数!P56&lt;=10),器件参数!P56,""))</f>
        <v>2</v>
      </c>
      <c r="R56" s="5">
        <f t="shared" si="7"/>
        <v>-10.0000139708288</v>
      </c>
      <c r="S56" s="5" t="str">
        <f t="shared" si="8"/>
        <v/>
      </c>
      <c r="T56" s="5">
        <f t="shared" si="9"/>
        <v>0</v>
      </c>
      <c r="U56" s="5">
        <f t="shared" si="10"/>
        <v>-10.0000139708288</v>
      </c>
      <c r="V56" s="5">
        <f>IF(AND(ISNUMBER(Pin_dBm),ISNUMBER(E56),ISNUMBER(U56)),Pin_dBm+E56-U56,"")</f>
        <v>1.39708287854035e-5</v>
      </c>
      <c r="W56" s="5" t="str">
        <f>IF(AND(器件参数!B56,X56=1,ISNUMBER(D56)),P56-D56,"")</f>
        <v/>
      </c>
      <c r="X56" s="5">
        <f>IF(NOT(ISNUMBER(C56)),-1,IF(OR(NOT(器件参数!B56),器件参数!M56="ideal"),0,IF(AND(ISNUMBER(P56),ISNUMBER(Q56)),1,-1)))</f>
        <v>0</v>
      </c>
      <c r="Y56" s="5" t="str">
        <f t="shared" si="11"/>
        <v>有效</v>
      </c>
      <c r="Z56" s="5" t="str">
        <f t="shared" si="12"/>
        <v>有效</v>
      </c>
      <c r="AA56" s="5" t="str">
        <f t="shared" si="13"/>
        <v>模型估算</v>
      </c>
      <c r="AB56" s="5">
        <f t="shared" si="14"/>
        <v>100000000</v>
      </c>
      <c r="AC56" s="5">
        <f>IF(NOT(ISNUMBER(AB56)),"",IF(OR(NOT(器件参数!B56),器件参数!E56&lt;&gt;"mixer"),AB56,IF(AND(ISNUMBER(器件参数!T56),器件参数!T56&gt;0),IF(器件参数!U56="sum",AB56+器件参数!T56,IF(器件参数!U56="difference",ABS(AB56-器件参数!T56),"")),"")))</f>
        <v>100000000</v>
      </c>
      <c r="AD56" s="5">
        <f t="shared" si="15"/>
        <v>0</v>
      </c>
      <c r="AE56" s="5">
        <f>IF(AND(ISNUMBER(G56),ISNUMBER(F56)),Tref_K*(G56-1)/F56,"")</f>
        <v>0</v>
      </c>
      <c r="AF56" s="5">
        <f>IF(AND(ISNUMBER(H56),ISNUMBER(E56),NoiseConfigOK),10*LOG10(Boltzmann*Bnoise_Hz*(Tsource_K+Tref_K*(H56-1)))+30+E56,"")</f>
        <v>-90.3704468972711</v>
      </c>
      <c r="AG56" s="5">
        <f t="shared" si="16"/>
        <v>80.3704468972711</v>
      </c>
      <c r="AH56" s="5">
        <f>IF(AND(ToneEnabled,ISNUMBER(E56),ISNUMBER(TonePin)),TonePin+E56,"")</f>
        <v>-10</v>
      </c>
      <c r="AI56" s="5">
        <f>IF(AND(ToneEnabled,ISNUMBER(E56),ISNUMBER(N56),ISNUMBER(TonePin)),3*TonePin+E56-2*N56,"")</f>
        <v>-83.9794000867204</v>
      </c>
      <c r="AJ56" s="5" t="str">
        <f t="shared" si="17"/>
        <v/>
      </c>
      <c r="AK56" s="5" t="str">
        <f>IF(NOT(器件参数!B56),"旁路",IF(NOT(ISNUMBER(AC56)),"频率未知",IF(AC56&lt;=SignalBW/2,"跨零频",IF(AND(ISNUMBER(器件参数!R56),ISNUMBER(器件参数!S56)),IF(AND(AB56-SignalBW/2&gt;=器件参数!R56,AB56+SignalBW/2&lt;=器件参数!S56),"有效","超声明通带"),"未声明通带"))))</f>
        <v>旁路</v>
      </c>
      <c r="AL56" s="5">
        <f t="shared" si="18"/>
        <v>0</v>
      </c>
      <c r="AM56" s="5" t="str">
        <f>IF(AND(器件参数!B56,ISNUMBER(器件参数!X56),OR(AND(ISNUMBER(J56),J56&gt;器件参数!X56),IF(AND(ToneEnabled,ISNUMBER(TonePin),ISNUMBER(D56)),TonePin+10*LOG10(2)+D56&gt;器件参数!X56,FALSE))),"超过绝对最大输入额定值","")</f>
        <v/>
      </c>
      <c r="AN56" s="5">
        <f>IF(NOT(ISNUMBER(AN55)),"",IF(OR(NOT(器件参数!B56),器件参数!E56&lt;&gt;"mixer"),AN55,IF(AND(ISNUMBER(器件参数!T56),器件参数!T56&gt;0),IF(器件参数!U56="sum",AN55+器件参数!T56,ABS(AN55-器件参数!T56)),"")))</f>
        <v>99950000</v>
      </c>
      <c r="AO56" s="5">
        <f>IF(NOT(ISNUMBER(AO55)),"",IF(OR(NOT(器件参数!B56),器件参数!E56&lt;&gt;"mixer"),AO55,IF(AND(ISNUMBER(器件参数!T56),器件参数!T56&gt;0),IF(器件参数!U56="sum",AO55+器件参数!T56,ABS(AO55-器件参数!T56)),"")))</f>
        <v>100050000</v>
      </c>
      <c r="AP56" s="5">
        <f>IF(NOT(ISNUMBER(AP55)),"",IF(OR(NOT(器件参数!B56),器件参数!E56&lt;&gt;"mixer"),AP55,IF(AND(ISNUMBER(器件参数!T56),器件参数!T56&gt;0),IF(器件参数!U56="sum",AP55+器件参数!T56,ABS(AP55-器件参数!T56)),"")))</f>
        <v>99850000</v>
      </c>
      <c r="AQ56" s="5">
        <f>IF(NOT(ISNUMBER(AQ55)),"",IF(OR(NOT(器件参数!B56),器件参数!E56&lt;&gt;"mixer"),AQ55,IF(AND(ISNUMBER(器件参数!T56),器件参数!T56&gt;0),IF(器件参数!U56="sum",AQ55+器件参数!T56,ABS(AQ55-器件参数!T56)),"")))</f>
        <v>100150000</v>
      </c>
      <c r="AR56" s="5" t="b">
        <f>IF(NOT(AR55),FALSE,IF(NOT(器件参数!B56),TRUE,AND(COUNT(AN56:AQ56)=4,MIN(AN56:AQ56)&gt;0,IF(AND(ISNUMBER(器件参数!R56),ISNUMBER(器件参数!S56)),AND(MIN(AN55:AQ55)&gt;=器件参数!R56,MAX(AN55:AQ55)&lt;=器件参数!S56),TRUE),IF(AND(器件参数!E56="mixer",器件参数!U56="difference"),OR(器件参数!T56&lt;MIN(AN55:AQ55),器件参数!T56&gt;MAX(AN55:AQ55)),TRUE))))</f>
        <v>1</v>
      </c>
    </row>
    <row r="57" hidden="1" spans="1:44">
      <c r="A57" s="5">
        <f>器件参数!A57</f>
        <v>54</v>
      </c>
      <c r="B57" s="5" t="str">
        <f>器件参数!D57</f>
        <v/>
      </c>
      <c r="C57" s="5">
        <f>IF(NOT(器件参数!B57),0,IF(AND(ISNUMBER(器件参数!F57),ABS(器件参数!F57)&lt;=300),器件参数!F57,""))</f>
        <v>0</v>
      </c>
      <c r="D57" s="5">
        <f t="shared" si="0"/>
        <v>20</v>
      </c>
      <c r="E57" s="5">
        <f t="shared" si="1"/>
        <v>20</v>
      </c>
      <c r="F57" s="5">
        <f t="shared" si="2"/>
        <v>100</v>
      </c>
      <c r="G57" s="5">
        <f>IFERROR(IF(NOT(器件参数!B57),1,IF(NOT(OR(器件参数!E57&lt;&gt;"mixer",AND(OR(器件参数!V57="SSB",器件参数!V57="DSB"),器件参数!W57=TRUE))),"",IF(器件参数!G57="ideal",1,IF(AND(器件参数!G57="manual",ISNUMBER(器件参数!H57),器件参数!H57&gt;=0),10^(器件参数!H57/10),IF(AND(器件参数!G57="passive_thermal",OR(器件参数!E57="filter_bpf",器件参数!E57="filter_lpf",器件参数!E57="filter_hpf",器件参数!E57="filter_bsf",器件参数!E57="attenuator",器件参数!E57="cable",器件参数!E57="connector",器件参数!E57="switch",器件参数!E57="isolator",器件参数!E57="coupler",器件参数!E57="splitter"),AND(ISNUMBER(器件参数!F57),ABS(器件参数!F57)&lt;=300),器件参数!F57&lt;=0,ISNUMBER(器件参数!I57),器件参数!I57&gt;0),1+(10^(-器件参数!F57/10)-1)*器件参数!I57/Tref_K,""))))),"数值域错误")</f>
        <v>1</v>
      </c>
      <c r="H57" s="5">
        <f t="shared" si="3"/>
        <v>2.29336948552238</v>
      </c>
      <c r="I57" s="5">
        <f t="shared" si="4"/>
        <v>3.604740296957</v>
      </c>
      <c r="J57" s="5">
        <f>IF(AND(ISNUMBER(Pin_dBm),ISNUMBER(D57)),Pin_dBm+D57,"")</f>
        <v>-10</v>
      </c>
      <c r="K57" s="5">
        <f>IF(AND(ISNUMBER(Pin_dBm),ISNUMBER(E57)),Pin_dBm+E57,"")</f>
        <v>-10</v>
      </c>
      <c r="L57" s="5" t="str">
        <f>IF(AND(器件参数!J57="finite",ISNUMBER(器件参数!L57),ISNUMBER(C57)),IF(器件参数!K57="input",器件参数!L57,IF(器件参数!K57="output",器件参数!L57-C57,"")),"")</f>
        <v/>
      </c>
      <c r="M57" s="5">
        <f>IFERROR(IF(NOT(ISNUMBER(M56)),"",IF(OR(NOT(器件参数!B57),器件参数!J57="ideal"),M56,IF(AND(ISNUMBER(L57),ISNUMBER(F57)),M56+F57/10^(L57/10),""))),"数值域错误")</f>
        <v>0.2</v>
      </c>
      <c r="N57" s="5">
        <f t="shared" si="5"/>
        <v>6.98970004336019</v>
      </c>
      <c r="O57" s="5">
        <f t="shared" si="6"/>
        <v>26.9897000433602</v>
      </c>
      <c r="P57" s="5" t="str">
        <f>IF(AND(器件参数!M57="finite",ISNUMBER(器件参数!O57),ISNUMBER(C57)),IF(器件参数!N57="input",器件参数!O57,IF(器件参数!N57="actual_output",器件参数!O57-C57+1,IF(器件参数!N57="linear_output",器件参数!O57-C57,""))),"")</f>
        <v/>
      </c>
      <c r="Q57" s="5">
        <f>IF(器件参数!P57="",IF(AND(ISNUMBER(DefaultP),DefaultP&gt;=1,DefaultP&lt;=10),DefaultP,""),IF(AND(ISNUMBER(器件参数!P57),器件参数!P57&gt;=1,器件参数!P57&lt;=10),器件参数!P57,""))</f>
        <v>2</v>
      </c>
      <c r="R57" s="5">
        <f t="shared" si="7"/>
        <v>-10.0000139708288</v>
      </c>
      <c r="S57" s="5" t="str">
        <f t="shared" si="8"/>
        <v/>
      </c>
      <c r="T57" s="5">
        <f t="shared" si="9"/>
        <v>0</v>
      </c>
      <c r="U57" s="5">
        <f t="shared" si="10"/>
        <v>-10.0000139708288</v>
      </c>
      <c r="V57" s="5">
        <f>IF(AND(ISNUMBER(Pin_dBm),ISNUMBER(E57),ISNUMBER(U57)),Pin_dBm+E57-U57,"")</f>
        <v>1.39708287854035e-5</v>
      </c>
      <c r="W57" s="5" t="str">
        <f>IF(AND(器件参数!B57,X57=1,ISNUMBER(D57)),P57-D57,"")</f>
        <v/>
      </c>
      <c r="X57" s="5">
        <f>IF(NOT(ISNUMBER(C57)),-1,IF(OR(NOT(器件参数!B57),器件参数!M57="ideal"),0,IF(AND(ISNUMBER(P57),ISNUMBER(Q57)),1,-1)))</f>
        <v>0</v>
      </c>
      <c r="Y57" s="5" t="str">
        <f t="shared" si="11"/>
        <v>有效</v>
      </c>
      <c r="Z57" s="5" t="str">
        <f t="shared" si="12"/>
        <v>有效</v>
      </c>
      <c r="AA57" s="5" t="str">
        <f t="shared" si="13"/>
        <v>模型估算</v>
      </c>
      <c r="AB57" s="5">
        <f t="shared" si="14"/>
        <v>100000000</v>
      </c>
      <c r="AC57" s="5">
        <f>IF(NOT(ISNUMBER(AB57)),"",IF(OR(NOT(器件参数!B57),器件参数!E57&lt;&gt;"mixer"),AB57,IF(AND(ISNUMBER(器件参数!T57),器件参数!T57&gt;0),IF(器件参数!U57="sum",AB57+器件参数!T57,IF(器件参数!U57="difference",ABS(AB57-器件参数!T57),"")),"")))</f>
        <v>100000000</v>
      </c>
      <c r="AD57" s="5">
        <f t="shared" si="15"/>
        <v>0</v>
      </c>
      <c r="AE57" s="5">
        <f>IF(AND(ISNUMBER(G57),ISNUMBER(F57)),Tref_K*(G57-1)/F57,"")</f>
        <v>0</v>
      </c>
      <c r="AF57" s="5">
        <f>IF(AND(ISNUMBER(H57),ISNUMBER(E57),NoiseConfigOK),10*LOG10(Boltzmann*Bnoise_Hz*(Tsource_K+Tref_K*(H57-1)))+30+E57,"")</f>
        <v>-90.3704468972711</v>
      </c>
      <c r="AG57" s="5">
        <f t="shared" si="16"/>
        <v>80.3704468972711</v>
      </c>
      <c r="AH57" s="5">
        <f>IF(AND(ToneEnabled,ISNUMBER(E57),ISNUMBER(TonePin)),TonePin+E57,"")</f>
        <v>-10</v>
      </c>
      <c r="AI57" s="5">
        <f>IF(AND(ToneEnabled,ISNUMBER(E57),ISNUMBER(N57),ISNUMBER(TonePin)),3*TonePin+E57-2*N57,"")</f>
        <v>-83.9794000867204</v>
      </c>
      <c r="AJ57" s="5" t="str">
        <f t="shared" si="17"/>
        <v/>
      </c>
      <c r="AK57" s="5" t="str">
        <f>IF(NOT(器件参数!B57),"旁路",IF(NOT(ISNUMBER(AC57)),"频率未知",IF(AC57&lt;=SignalBW/2,"跨零频",IF(AND(ISNUMBER(器件参数!R57),ISNUMBER(器件参数!S57)),IF(AND(AB57-SignalBW/2&gt;=器件参数!R57,AB57+SignalBW/2&lt;=器件参数!S57),"有效","超声明通带"),"未声明通带"))))</f>
        <v>旁路</v>
      </c>
      <c r="AL57" s="5">
        <f t="shared" si="18"/>
        <v>0</v>
      </c>
      <c r="AM57" s="5" t="str">
        <f>IF(AND(器件参数!B57,ISNUMBER(器件参数!X57),OR(AND(ISNUMBER(J57),J57&gt;器件参数!X57),IF(AND(ToneEnabled,ISNUMBER(TonePin),ISNUMBER(D57)),TonePin+10*LOG10(2)+D57&gt;器件参数!X57,FALSE))),"超过绝对最大输入额定值","")</f>
        <v/>
      </c>
      <c r="AN57" s="5">
        <f>IF(NOT(ISNUMBER(AN56)),"",IF(OR(NOT(器件参数!B57),器件参数!E57&lt;&gt;"mixer"),AN56,IF(AND(ISNUMBER(器件参数!T57),器件参数!T57&gt;0),IF(器件参数!U57="sum",AN56+器件参数!T57,ABS(AN56-器件参数!T57)),"")))</f>
        <v>99950000</v>
      </c>
      <c r="AO57" s="5">
        <f>IF(NOT(ISNUMBER(AO56)),"",IF(OR(NOT(器件参数!B57),器件参数!E57&lt;&gt;"mixer"),AO56,IF(AND(ISNUMBER(器件参数!T57),器件参数!T57&gt;0),IF(器件参数!U57="sum",AO56+器件参数!T57,ABS(AO56-器件参数!T57)),"")))</f>
        <v>100050000</v>
      </c>
      <c r="AP57" s="5">
        <f>IF(NOT(ISNUMBER(AP56)),"",IF(OR(NOT(器件参数!B57),器件参数!E57&lt;&gt;"mixer"),AP56,IF(AND(ISNUMBER(器件参数!T57),器件参数!T57&gt;0),IF(器件参数!U57="sum",AP56+器件参数!T57,ABS(AP56-器件参数!T57)),"")))</f>
        <v>99850000</v>
      </c>
      <c r="AQ57" s="5">
        <f>IF(NOT(ISNUMBER(AQ56)),"",IF(OR(NOT(器件参数!B57),器件参数!E57&lt;&gt;"mixer"),AQ56,IF(AND(ISNUMBER(器件参数!T57),器件参数!T57&gt;0),IF(器件参数!U57="sum",AQ56+器件参数!T57,ABS(AQ56-器件参数!T57)),"")))</f>
        <v>100150000</v>
      </c>
      <c r="AR57" s="5" t="b">
        <f>IF(NOT(AR56),FALSE,IF(NOT(器件参数!B57),TRUE,AND(COUNT(AN57:AQ57)=4,MIN(AN57:AQ57)&gt;0,IF(AND(ISNUMBER(器件参数!R57),ISNUMBER(器件参数!S57)),AND(MIN(AN56:AQ56)&gt;=器件参数!R57,MAX(AN56:AQ56)&lt;=器件参数!S57),TRUE),IF(AND(器件参数!E57="mixer",器件参数!U57="difference"),OR(器件参数!T57&lt;MIN(AN56:AQ56),器件参数!T57&gt;MAX(AN56:AQ56)),TRUE))))</f>
        <v>1</v>
      </c>
    </row>
    <row r="58" hidden="1" spans="1:44">
      <c r="A58" s="5">
        <f>器件参数!A58</f>
        <v>55</v>
      </c>
      <c r="B58" s="5" t="str">
        <f>器件参数!D58</f>
        <v/>
      </c>
      <c r="C58" s="5">
        <f>IF(NOT(器件参数!B58),0,IF(AND(ISNUMBER(器件参数!F58),ABS(器件参数!F58)&lt;=300),器件参数!F58,""))</f>
        <v>0</v>
      </c>
      <c r="D58" s="5">
        <f t="shared" si="0"/>
        <v>20</v>
      </c>
      <c r="E58" s="5">
        <f t="shared" si="1"/>
        <v>20</v>
      </c>
      <c r="F58" s="5">
        <f t="shared" si="2"/>
        <v>100</v>
      </c>
      <c r="G58" s="5">
        <f>IFERROR(IF(NOT(器件参数!B58),1,IF(NOT(OR(器件参数!E58&lt;&gt;"mixer",AND(OR(器件参数!V58="SSB",器件参数!V58="DSB"),器件参数!W58=TRUE))),"",IF(器件参数!G58="ideal",1,IF(AND(器件参数!G58="manual",ISNUMBER(器件参数!H58),器件参数!H58&gt;=0),10^(器件参数!H58/10),IF(AND(器件参数!G58="passive_thermal",OR(器件参数!E58="filter_bpf",器件参数!E58="filter_lpf",器件参数!E58="filter_hpf",器件参数!E58="filter_bsf",器件参数!E58="attenuator",器件参数!E58="cable",器件参数!E58="connector",器件参数!E58="switch",器件参数!E58="isolator",器件参数!E58="coupler",器件参数!E58="splitter"),AND(ISNUMBER(器件参数!F58),ABS(器件参数!F58)&lt;=300),器件参数!F58&lt;=0,ISNUMBER(器件参数!I58),器件参数!I58&gt;0),1+(10^(-器件参数!F58/10)-1)*器件参数!I58/Tref_K,""))))),"数值域错误")</f>
        <v>1</v>
      </c>
      <c r="H58" s="5">
        <f t="shared" si="3"/>
        <v>2.29336948552238</v>
      </c>
      <c r="I58" s="5">
        <f t="shared" si="4"/>
        <v>3.604740296957</v>
      </c>
      <c r="J58" s="5">
        <f>IF(AND(ISNUMBER(Pin_dBm),ISNUMBER(D58)),Pin_dBm+D58,"")</f>
        <v>-10</v>
      </c>
      <c r="K58" s="5">
        <f>IF(AND(ISNUMBER(Pin_dBm),ISNUMBER(E58)),Pin_dBm+E58,"")</f>
        <v>-10</v>
      </c>
      <c r="L58" s="5" t="str">
        <f>IF(AND(器件参数!J58="finite",ISNUMBER(器件参数!L58),ISNUMBER(C58)),IF(器件参数!K58="input",器件参数!L58,IF(器件参数!K58="output",器件参数!L58-C58,"")),"")</f>
        <v/>
      </c>
      <c r="M58" s="5">
        <f>IFERROR(IF(NOT(ISNUMBER(M57)),"",IF(OR(NOT(器件参数!B58),器件参数!J58="ideal"),M57,IF(AND(ISNUMBER(L58),ISNUMBER(F58)),M57+F58/10^(L58/10),""))),"数值域错误")</f>
        <v>0.2</v>
      </c>
      <c r="N58" s="5">
        <f t="shared" si="5"/>
        <v>6.98970004336019</v>
      </c>
      <c r="O58" s="5">
        <f t="shared" si="6"/>
        <v>26.9897000433602</v>
      </c>
      <c r="P58" s="5" t="str">
        <f>IF(AND(器件参数!M58="finite",ISNUMBER(器件参数!O58),ISNUMBER(C58)),IF(器件参数!N58="input",器件参数!O58,IF(器件参数!N58="actual_output",器件参数!O58-C58+1,IF(器件参数!N58="linear_output",器件参数!O58-C58,""))),"")</f>
        <v/>
      </c>
      <c r="Q58" s="5">
        <f>IF(器件参数!P58="",IF(AND(ISNUMBER(DefaultP),DefaultP&gt;=1,DefaultP&lt;=10),DefaultP,""),IF(AND(ISNUMBER(器件参数!P58),器件参数!P58&gt;=1,器件参数!P58&lt;=10),器件参数!P58,""))</f>
        <v>2</v>
      </c>
      <c r="R58" s="5">
        <f t="shared" si="7"/>
        <v>-10.0000139708288</v>
      </c>
      <c r="S58" s="5" t="str">
        <f t="shared" si="8"/>
        <v/>
      </c>
      <c r="T58" s="5">
        <f t="shared" si="9"/>
        <v>0</v>
      </c>
      <c r="U58" s="5">
        <f t="shared" si="10"/>
        <v>-10.0000139708288</v>
      </c>
      <c r="V58" s="5">
        <f>IF(AND(ISNUMBER(Pin_dBm),ISNUMBER(E58),ISNUMBER(U58)),Pin_dBm+E58-U58,"")</f>
        <v>1.39708287854035e-5</v>
      </c>
      <c r="W58" s="5" t="str">
        <f>IF(AND(器件参数!B58,X58=1,ISNUMBER(D58)),P58-D58,"")</f>
        <v/>
      </c>
      <c r="X58" s="5">
        <f>IF(NOT(ISNUMBER(C58)),-1,IF(OR(NOT(器件参数!B58),器件参数!M58="ideal"),0,IF(AND(ISNUMBER(P58),ISNUMBER(Q58)),1,-1)))</f>
        <v>0</v>
      </c>
      <c r="Y58" s="5" t="str">
        <f t="shared" si="11"/>
        <v>有效</v>
      </c>
      <c r="Z58" s="5" t="str">
        <f t="shared" si="12"/>
        <v>有效</v>
      </c>
      <c r="AA58" s="5" t="str">
        <f t="shared" si="13"/>
        <v>模型估算</v>
      </c>
      <c r="AB58" s="5">
        <f t="shared" si="14"/>
        <v>100000000</v>
      </c>
      <c r="AC58" s="5">
        <f>IF(NOT(ISNUMBER(AB58)),"",IF(OR(NOT(器件参数!B58),器件参数!E58&lt;&gt;"mixer"),AB58,IF(AND(ISNUMBER(器件参数!T58),器件参数!T58&gt;0),IF(器件参数!U58="sum",AB58+器件参数!T58,IF(器件参数!U58="difference",ABS(AB58-器件参数!T58),"")),"")))</f>
        <v>100000000</v>
      </c>
      <c r="AD58" s="5">
        <f t="shared" si="15"/>
        <v>0</v>
      </c>
      <c r="AE58" s="5">
        <f>IF(AND(ISNUMBER(G58),ISNUMBER(F58)),Tref_K*(G58-1)/F58,"")</f>
        <v>0</v>
      </c>
      <c r="AF58" s="5">
        <f>IF(AND(ISNUMBER(H58),ISNUMBER(E58),NoiseConfigOK),10*LOG10(Boltzmann*Bnoise_Hz*(Tsource_K+Tref_K*(H58-1)))+30+E58,"")</f>
        <v>-90.3704468972711</v>
      </c>
      <c r="AG58" s="5">
        <f t="shared" si="16"/>
        <v>80.3704468972711</v>
      </c>
      <c r="AH58" s="5">
        <f>IF(AND(ToneEnabled,ISNUMBER(E58),ISNUMBER(TonePin)),TonePin+E58,"")</f>
        <v>-10</v>
      </c>
      <c r="AI58" s="5">
        <f>IF(AND(ToneEnabled,ISNUMBER(E58),ISNUMBER(N58),ISNUMBER(TonePin)),3*TonePin+E58-2*N58,"")</f>
        <v>-83.9794000867204</v>
      </c>
      <c r="AJ58" s="5" t="str">
        <f t="shared" si="17"/>
        <v/>
      </c>
      <c r="AK58" s="5" t="str">
        <f>IF(NOT(器件参数!B58),"旁路",IF(NOT(ISNUMBER(AC58)),"频率未知",IF(AC58&lt;=SignalBW/2,"跨零频",IF(AND(ISNUMBER(器件参数!R58),ISNUMBER(器件参数!S58)),IF(AND(AB58-SignalBW/2&gt;=器件参数!R58,AB58+SignalBW/2&lt;=器件参数!S58),"有效","超声明通带"),"未声明通带"))))</f>
        <v>旁路</v>
      </c>
      <c r="AL58" s="5">
        <f t="shared" si="18"/>
        <v>0</v>
      </c>
      <c r="AM58" s="5" t="str">
        <f>IF(AND(器件参数!B58,ISNUMBER(器件参数!X58),OR(AND(ISNUMBER(J58),J58&gt;器件参数!X58),IF(AND(ToneEnabled,ISNUMBER(TonePin),ISNUMBER(D58)),TonePin+10*LOG10(2)+D58&gt;器件参数!X58,FALSE))),"超过绝对最大输入额定值","")</f>
        <v/>
      </c>
      <c r="AN58" s="5">
        <f>IF(NOT(ISNUMBER(AN57)),"",IF(OR(NOT(器件参数!B58),器件参数!E58&lt;&gt;"mixer"),AN57,IF(AND(ISNUMBER(器件参数!T58),器件参数!T58&gt;0),IF(器件参数!U58="sum",AN57+器件参数!T58,ABS(AN57-器件参数!T58)),"")))</f>
        <v>99950000</v>
      </c>
      <c r="AO58" s="5">
        <f>IF(NOT(ISNUMBER(AO57)),"",IF(OR(NOT(器件参数!B58),器件参数!E58&lt;&gt;"mixer"),AO57,IF(AND(ISNUMBER(器件参数!T58),器件参数!T58&gt;0),IF(器件参数!U58="sum",AO57+器件参数!T58,ABS(AO57-器件参数!T58)),"")))</f>
        <v>100050000</v>
      </c>
      <c r="AP58" s="5">
        <f>IF(NOT(ISNUMBER(AP57)),"",IF(OR(NOT(器件参数!B58),器件参数!E58&lt;&gt;"mixer"),AP57,IF(AND(ISNUMBER(器件参数!T58),器件参数!T58&gt;0),IF(器件参数!U58="sum",AP57+器件参数!T58,ABS(AP57-器件参数!T58)),"")))</f>
        <v>99850000</v>
      </c>
      <c r="AQ58" s="5">
        <f>IF(NOT(ISNUMBER(AQ57)),"",IF(OR(NOT(器件参数!B58),器件参数!E58&lt;&gt;"mixer"),AQ57,IF(AND(ISNUMBER(器件参数!T58),器件参数!T58&gt;0),IF(器件参数!U58="sum",AQ57+器件参数!T58,ABS(AQ57-器件参数!T58)),"")))</f>
        <v>100150000</v>
      </c>
      <c r="AR58" s="5" t="b">
        <f>IF(NOT(AR57),FALSE,IF(NOT(器件参数!B58),TRUE,AND(COUNT(AN58:AQ58)=4,MIN(AN58:AQ58)&gt;0,IF(AND(ISNUMBER(器件参数!R58),ISNUMBER(器件参数!S58)),AND(MIN(AN57:AQ57)&gt;=器件参数!R58,MAX(AN57:AQ57)&lt;=器件参数!S58),TRUE),IF(AND(器件参数!E58="mixer",器件参数!U58="difference"),OR(器件参数!T58&lt;MIN(AN57:AQ57),器件参数!T58&gt;MAX(AN57:AQ57)),TRUE))))</f>
        <v>1</v>
      </c>
    </row>
    <row r="59" hidden="1" spans="1:44">
      <c r="A59" s="5">
        <f>器件参数!A59</f>
        <v>56</v>
      </c>
      <c r="B59" s="5" t="str">
        <f>器件参数!D59</f>
        <v/>
      </c>
      <c r="C59" s="5">
        <f>IF(NOT(器件参数!B59),0,IF(AND(ISNUMBER(器件参数!F59),ABS(器件参数!F59)&lt;=300),器件参数!F59,""))</f>
        <v>0</v>
      </c>
      <c r="D59" s="5">
        <f t="shared" si="0"/>
        <v>20</v>
      </c>
      <c r="E59" s="5">
        <f t="shared" si="1"/>
        <v>20</v>
      </c>
      <c r="F59" s="5">
        <f t="shared" si="2"/>
        <v>100</v>
      </c>
      <c r="G59" s="5">
        <f>IFERROR(IF(NOT(器件参数!B59),1,IF(NOT(OR(器件参数!E59&lt;&gt;"mixer",AND(OR(器件参数!V59="SSB",器件参数!V59="DSB"),器件参数!W59=TRUE))),"",IF(器件参数!G59="ideal",1,IF(AND(器件参数!G59="manual",ISNUMBER(器件参数!H59),器件参数!H59&gt;=0),10^(器件参数!H59/10),IF(AND(器件参数!G59="passive_thermal",OR(器件参数!E59="filter_bpf",器件参数!E59="filter_lpf",器件参数!E59="filter_hpf",器件参数!E59="filter_bsf",器件参数!E59="attenuator",器件参数!E59="cable",器件参数!E59="connector",器件参数!E59="switch",器件参数!E59="isolator",器件参数!E59="coupler",器件参数!E59="splitter"),AND(ISNUMBER(器件参数!F59),ABS(器件参数!F59)&lt;=300),器件参数!F59&lt;=0,ISNUMBER(器件参数!I59),器件参数!I59&gt;0),1+(10^(-器件参数!F59/10)-1)*器件参数!I59/Tref_K,""))))),"数值域错误")</f>
        <v>1</v>
      </c>
      <c r="H59" s="5">
        <f t="shared" si="3"/>
        <v>2.29336948552238</v>
      </c>
      <c r="I59" s="5">
        <f t="shared" si="4"/>
        <v>3.604740296957</v>
      </c>
      <c r="J59" s="5">
        <f>IF(AND(ISNUMBER(Pin_dBm),ISNUMBER(D59)),Pin_dBm+D59,"")</f>
        <v>-10</v>
      </c>
      <c r="K59" s="5">
        <f>IF(AND(ISNUMBER(Pin_dBm),ISNUMBER(E59)),Pin_dBm+E59,"")</f>
        <v>-10</v>
      </c>
      <c r="L59" s="5" t="str">
        <f>IF(AND(器件参数!J59="finite",ISNUMBER(器件参数!L59),ISNUMBER(C59)),IF(器件参数!K59="input",器件参数!L59,IF(器件参数!K59="output",器件参数!L59-C59,"")),"")</f>
        <v/>
      </c>
      <c r="M59" s="5">
        <f>IFERROR(IF(NOT(ISNUMBER(M58)),"",IF(OR(NOT(器件参数!B59),器件参数!J59="ideal"),M58,IF(AND(ISNUMBER(L59),ISNUMBER(F59)),M58+F59/10^(L59/10),""))),"数值域错误")</f>
        <v>0.2</v>
      </c>
      <c r="N59" s="5">
        <f t="shared" si="5"/>
        <v>6.98970004336019</v>
      </c>
      <c r="O59" s="5">
        <f t="shared" si="6"/>
        <v>26.9897000433602</v>
      </c>
      <c r="P59" s="5" t="str">
        <f>IF(AND(器件参数!M59="finite",ISNUMBER(器件参数!O59),ISNUMBER(C59)),IF(器件参数!N59="input",器件参数!O59,IF(器件参数!N59="actual_output",器件参数!O59-C59+1,IF(器件参数!N59="linear_output",器件参数!O59-C59,""))),"")</f>
        <v/>
      </c>
      <c r="Q59" s="5">
        <f>IF(器件参数!P59="",IF(AND(ISNUMBER(DefaultP),DefaultP&gt;=1,DefaultP&lt;=10),DefaultP,""),IF(AND(ISNUMBER(器件参数!P59),器件参数!P59&gt;=1,器件参数!P59&lt;=10),器件参数!P59,""))</f>
        <v>2</v>
      </c>
      <c r="R59" s="5">
        <f t="shared" si="7"/>
        <v>-10.0000139708288</v>
      </c>
      <c r="S59" s="5" t="str">
        <f t="shared" si="8"/>
        <v/>
      </c>
      <c r="T59" s="5">
        <f t="shared" si="9"/>
        <v>0</v>
      </c>
      <c r="U59" s="5">
        <f t="shared" si="10"/>
        <v>-10.0000139708288</v>
      </c>
      <c r="V59" s="5">
        <f>IF(AND(ISNUMBER(Pin_dBm),ISNUMBER(E59),ISNUMBER(U59)),Pin_dBm+E59-U59,"")</f>
        <v>1.39708287854035e-5</v>
      </c>
      <c r="W59" s="5" t="str">
        <f>IF(AND(器件参数!B59,X59=1,ISNUMBER(D59)),P59-D59,"")</f>
        <v/>
      </c>
      <c r="X59" s="5">
        <f>IF(NOT(ISNUMBER(C59)),-1,IF(OR(NOT(器件参数!B59),器件参数!M59="ideal"),0,IF(AND(ISNUMBER(P59),ISNUMBER(Q59)),1,-1)))</f>
        <v>0</v>
      </c>
      <c r="Y59" s="5" t="str">
        <f t="shared" si="11"/>
        <v>有效</v>
      </c>
      <c r="Z59" s="5" t="str">
        <f t="shared" si="12"/>
        <v>有效</v>
      </c>
      <c r="AA59" s="5" t="str">
        <f t="shared" si="13"/>
        <v>模型估算</v>
      </c>
      <c r="AB59" s="5">
        <f t="shared" si="14"/>
        <v>100000000</v>
      </c>
      <c r="AC59" s="5">
        <f>IF(NOT(ISNUMBER(AB59)),"",IF(OR(NOT(器件参数!B59),器件参数!E59&lt;&gt;"mixer"),AB59,IF(AND(ISNUMBER(器件参数!T59),器件参数!T59&gt;0),IF(器件参数!U59="sum",AB59+器件参数!T59,IF(器件参数!U59="difference",ABS(AB59-器件参数!T59),"")),"")))</f>
        <v>100000000</v>
      </c>
      <c r="AD59" s="5">
        <f t="shared" si="15"/>
        <v>0</v>
      </c>
      <c r="AE59" s="5">
        <f>IF(AND(ISNUMBER(G59),ISNUMBER(F59)),Tref_K*(G59-1)/F59,"")</f>
        <v>0</v>
      </c>
      <c r="AF59" s="5">
        <f>IF(AND(ISNUMBER(H59),ISNUMBER(E59),NoiseConfigOK),10*LOG10(Boltzmann*Bnoise_Hz*(Tsource_K+Tref_K*(H59-1)))+30+E59,"")</f>
        <v>-90.3704468972711</v>
      </c>
      <c r="AG59" s="5">
        <f t="shared" si="16"/>
        <v>80.3704468972711</v>
      </c>
      <c r="AH59" s="5">
        <f>IF(AND(ToneEnabled,ISNUMBER(E59),ISNUMBER(TonePin)),TonePin+E59,"")</f>
        <v>-10</v>
      </c>
      <c r="AI59" s="5">
        <f>IF(AND(ToneEnabled,ISNUMBER(E59),ISNUMBER(N59),ISNUMBER(TonePin)),3*TonePin+E59-2*N59,"")</f>
        <v>-83.9794000867204</v>
      </c>
      <c r="AJ59" s="5" t="str">
        <f t="shared" si="17"/>
        <v/>
      </c>
      <c r="AK59" s="5" t="str">
        <f>IF(NOT(器件参数!B59),"旁路",IF(NOT(ISNUMBER(AC59)),"频率未知",IF(AC59&lt;=SignalBW/2,"跨零频",IF(AND(ISNUMBER(器件参数!R59),ISNUMBER(器件参数!S59)),IF(AND(AB59-SignalBW/2&gt;=器件参数!R59,AB59+SignalBW/2&lt;=器件参数!S59),"有效","超声明通带"),"未声明通带"))))</f>
        <v>旁路</v>
      </c>
      <c r="AL59" s="5">
        <f t="shared" si="18"/>
        <v>0</v>
      </c>
      <c r="AM59" s="5" t="str">
        <f>IF(AND(器件参数!B59,ISNUMBER(器件参数!X59),OR(AND(ISNUMBER(J59),J59&gt;器件参数!X59),IF(AND(ToneEnabled,ISNUMBER(TonePin),ISNUMBER(D59)),TonePin+10*LOG10(2)+D59&gt;器件参数!X59,FALSE))),"超过绝对最大输入额定值","")</f>
        <v/>
      </c>
      <c r="AN59" s="5">
        <f>IF(NOT(ISNUMBER(AN58)),"",IF(OR(NOT(器件参数!B59),器件参数!E59&lt;&gt;"mixer"),AN58,IF(AND(ISNUMBER(器件参数!T59),器件参数!T59&gt;0),IF(器件参数!U59="sum",AN58+器件参数!T59,ABS(AN58-器件参数!T59)),"")))</f>
        <v>99950000</v>
      </c>
      <c r="AO59" s="5">
        <f>IF(NOT(ISNUMBER(AO58)),"",IF(OR(NOT(器件参数!B59),器件参数!E59&lt;&gt;"mixer"),AO58,IF(AND(ISNUMBER(器件参数!T59),器件参数!T59&gt;0),IF(器件参数!U59="sum",AO58+器件参数!T59,ABS(AO58-器件参数!T59)),"")))</f>
        <v>100050000</v>
      </c>
      <c r="AP59" s="5">
        <f>IF(NOT(ISNUMBER(AP58)),"",IF(OR(NOT(器件参数!B59),器件参数!E59&lt;&gt;"mixer"),AP58,IF(AND(ISNUMBER(器件参数!T59),器件参数!T59&gt;0),IF(器件参数!U59="sum",AP58+器件参数!T59,ABS(AP58-器件参数!T59)),"")))</f>
        <v>99850000</v>
      </c>
      <c r="AQ59" s="5">
        <f>IF(NOT(ISNUMBER(AQ58)),"",IF(OR(NOT(器件参数!B59),器件参数!E59&lt;&gt;"mixer"),AQ58,IF(AND(ISNUMBER(器件参数!T59),器件参数!T59&gt;0),IF(器件参数!U59="sum",AQ58+器件参数!T59,ABS(AQ58-器件参数!T59)),"")))</f>
        <v>100150000</v>
      </c>
      <c r="AR59" s="5" t="b">
        <f>IF(NOT(AR58),FALSE,IF(NOT(器件参数!B59),TRUE,AND(COUNT(AN59:AQ59)=4,MIN(AN59:AQ59)&gt;0,IF(AND(ISNUMBER(器件参数!R59),ISNUMBER(器件参数!S59)),AND(MIN(AN58:AQ58)&gt;=器件参数!R59,MAX(AN58:AQ58)&lt;=器件参数!S59),TRUE),IF(AND(器件参数!E59="mixer",器件参数!U59="difference"),OR(器件参数!T59&lt;MIN(AN58:AQ58),器件参数!T59&gt;MAX(AN58:AQ58)),TRUE))))</f>
        <v>1</v>
      </c>
    </row>
    <row r="60" hidden="1" spans="1:44">
      <c r="A60" s="5">
        <f>器件参数!A60</f>
        <v>57</v>
      </c>
      <c r="B60" s="5" t="str">
        <f>器件参数!D60</f>
        <v/>
      </c>
      <c r="C60" s="5">
        <f>IF(NOT(器件参数!B60),0,IF(AND(ISNUMBER(器件参数!F60),ABS(器件参数!F60)&lt;=300),器件参数!F60,""))</f>
        <v>0</v>
      </c>
      <c r="D60" s="5">
        <f t="shared" si="0"/>
        <v>20</v>
      </c>
      <c r="E60" s="5">
        <f t="shared" si="1"/>
        <v>20</v>
      </c>
      <c r="F60" s="5">
        <f t="shared" si="2"/>
        <v>100</v>
      </c>
      <c r="G60" s="5">
        <f>IFERROR(IF(NOT(器件参数!B60),1,IF(NOT(OR(器件参数!E60&lt;&gt;"mixer",AND(OR(器件参数!V60="SSB",器件参数!V60="DSB"),器件参数!W60=TRUE))),"",IF(器件参数!G60="ideal",1,IF(AND(器件参数!G60="manual",ISNUMBER(器件参数!H60),器件参数!H60&gt;=0),10^(器件参数!H60/10),IF(AND(器件参数!G60="passive_thermal",OR(器件参数!E60="filter_bpf",器件参数!E60="filter_lpf",器件参数!E60="filter_hpf",器件参数!E60="filter_bsf",器件参数!E60="attenuator",器件参数!E60="cable",器件参数!E60="connector",器件参数!E60="switch",器件参数!E60="isolator",器件参数!E60="coupler",器件参数!E60="splitter"),AND(ISNUMBER(器件参数!F60),ABS(器件参数!F60)&lt;=300),器件参数!F60&lt;=0,ISNUMBER(器件参数!I60),器件参数!I60&gt;0),1+(10^(-器件参数!F60/10)-1)*器件参数!I60/Tref_K,""))))),"数值域错误")</f>
        <v>1</v>
      </c>
      <c r="H60" s="5">
        <f t="shared" si="3"/>
        <v>2.29336948552238</v>
      </c>
      <c r="I60" s="5">
        <f t="shared" si="4"/>
        <v>3.604740296957</v>
      </c>
      <c r="J60" s="5">
        <f>IF(AND(ISNUMBER(Pin_dBm),ISNUMBER(D60)),Pin_dBm+D60,"")</f>
        <v>-10</v>
      </c>
      <c r="K60" s="5">
        <f>IF(AND(ISNUMBER(Pin_dBm),ISNUMBER(E60)),Pin_dBm+E60,"")</f>
        <v>-10</v>
      </c>
      <c r="L60" s="5" t="str">
        <f>IF(AND(器件参数!J60="finite",ISNUMBER(器件参数!L60),ISNUMBER(C60)),IF(器件参数!K60="input",器件参数!L60,IF(器件参数!K60="output",器件参数!L60-C60,"")),"")</f>
        <v/>
      </c>
      <c r="M60" s="5">
        <f>IFERROR(IF(NOT(ISNUMBER(M59)),"",IF(OR(NOT(器件参数!B60),器件参数!J60="ideal"),M59,IF(AND(ISNUMBER(L60),ISNUMBER(F60)),M59+F60/10^(L60/10),""))),"数值域错误")</f>
        <v>0.2</v>
      </c>
      <c r="N60" s="5">
        <f t="shared" si="5"/>
        <v>6.98970004336019</v>
      </c>
      <c r="O60" s="5">
        <f t="shared" si="6"/>
        <v>26.9897000433602</v>
      </c>
      <c r="P60" s="5" t="str">
        <f>IF(AND(器件参数!M60="finite",ISNUMBER(器件参数!O60),ISNUMBER(C60)),IF(器件参数!N60="input",器件参数!O60,IF(器件参数!N60="actual_output",器件参数!O60-C60+1,IF(器件参数!N60="linear_output",器件参数!O60-C60,""))),"")</f>
        <v/>
      </c>
      <c r="Q60" s="5">
        <f>IF(器件参数!P60="",IF(AND(ISNUMBER(DefaultP),DefaultP&gt;=1,DefaultP&lt;=10),DefaultP,""),IF(AND(ISNUMBER(器件参数!P60),器件参数!P60&gt;=1,器件参数!P60&lt;=10),器件参数!P60,""))</f>
        <v>2</v>
      </c>
      <c r="R60" s="5">
        <f t="shared" si="7"/>
        <v>-10.0000139708288</v>
      </c>
      <c r="S60" s="5" t="str">
        <f t="shared" si="8"/>
        <v/>
      </c>
      <c r="T60" s="5">
        <f t="shared" si="9"/>
        <v>0</v>
      </c>
      <c r="U60" s="5">
        <f t="shared" si="10"/>
        <v>-10.0000139708288</v>
      </c>
      <c r="V60" s="5">
        <f>IF(AND(ISNUMBER(Pin_dBm),ISNUMBER(E60),ISNUMBER(U60)),Pin_dBm+E60-U60,"")</f>
        <v>1.39708287854035e-5</v>
      </c>
      <c r="W60" s="5" t="str">
        <f>IF(AND(器件参数!B60,X60=1,ISNUMBER(D60)),P60-D60,"")</f>
        <v/>
      </c>
      <c r="X60" s="5">
        <f>IF(NOT(ISNUMBER(C60)),-1,IF(OR(NOT(器件参数!B60),器件参数!M60="ideal"),0,IF(AND(ISNUMBER(P60),ISNUMBER(Q60)),1,-1)))</f>
        <v>0</v>
      </c>
      <c r="Y60" s="5" t="str">
        <f t="shared" si="11"/>
        <v>有效</v>
      </c>
      <c r="Z60" s="5" t="str">
        <f t="shared" si="12"/>
        <v>有效</v>
      </c>
      <c r="AA60" s="5" t="str">
        <f t="shared" si="13"/>
        <v>模型估算</v>
      </c>
      <c r="AB60" s="5">
        <f t="shared" si="14"/>
        <v>100000000</v>
      </c>
      <c r="AC60" s="5">
        <f>IF(NOT(ISNUMBER(AB60)),"",IF(OR(NOT(器件参数!B60),器件参数!E60&lt;&gt;"mixer"),AB60,IF(AND(ISNUMBER(器件参数!T60),器件参数!T60&gt;0),IF(器件参数!U60="sum",AB60+器件参数!T60,IF(器件参数!U60="difference",ABS(AB60-器件参数!T60),"")),"")))</f>
        <v>100000000</v>
      </c>
      <c r="AD60" s="5">
        <f t="shared" si="15"/>
        <v>0</v>
      </c>
      <c r="AE60" s="5">
        <f>IF(AND(ISNUMBER(G60),ISNUMBER(F60)),Tref_K*(G60-1)/F60,"")</f>
        <v>0</v>
      </c>
      <c r="AF60" s="5">
        <f>IF(AND(ISNUMBER(H60),ISNUMBER(E60),NoiseConfigOK),10*LOG10(Boltzmann*Bnoise_Hz*(Tsource_K+Tref_K*(H60-1)))+30+E60,"")</f>
        <v>-90.3704468972711</v>
      </c>
      <c r="AG60" s="5">
        <f t="shared" si="16"/>
        <v>80.3704468972711</v>
      </c>
      <c r="AH60" s="5">
        <f>IF(AND(ToneEnabled,ISNUMBER(E60),ISNUMBER(TonePin)),TonePin+E60,"")</f>
        <v>-10</v>
      </c>
      <c r="AI60" s="5">
        <f>IF(AND(ToneEnabled,ISNUMBER(E60),ISNUMBER(N60),ISNUMBER(TonePin)),3*TonePin+E60-2*N60,"")</f>
        <v>-83.9794000867204</v>
      </c>
      <c r="AJ60" s="5" t="str">
        <f t="shared" si="17"/>
        <v/>
      </c>
      <c r="AK60" s="5" t="str">
        <f>IF(NOT(器件参数!B60),"旁路",IF(NOT(ISNUMBER(AC60)),"频率未知",IF(AC60&lt;=SignalBW/2,"跨零频",IF(AND(ISNUMBER(器件参数!R60),ISNUMBER(器件参数!S60)),IF(AND(AB60-SignalBW/2&gt;=器件参数!R60,AB60+SignalBW/2&lt;=器件参数!S60),"有效","超声明通带"),"未声明通带"))))</f>
        <v>旁路</v>
      </c>
      <c r="AL60" s="5">
        <f t="shared" si="18"/>
        <v>0</v>
      </c>
      <c r="AM60" s="5" t="str">
        <f>IF(AND(器件参数!B60,ISNUMBER(器件参数!X60),OR(AND(ISNUMBER(J60),J60&gt;器件参数!X60),IF(AND(ToneEnabled,ISNUMBER(TonePin),ISNUMBER(D60)),TonePin+10*LOG10(2)+D60&gt;器件参数!X60,FALSE))),"超过绝对最大输入额定值","")</f>
        <v/>
      </c>
      <c r="AN60" s="5">
        <f>IF(NOT(ISNUMBER(AN59)),"",IF(OR(NOT(器件参数!B60),器件参数!E60&lt;&gt;"mixer"),AN59,IF(AND(ISNUMBER(器件参数!T60),器件参数!T60&gt;0),IF(器件参数!U60="sum",AN59+器件参数!T60,ABS(AN59-器件参数!T60)),"")))</f>
        <v>99950000</v>
      </c>
      <c r="AO60" s="5">
        <f>IF(NOT(ISNUMBER(AO59)),"",IF(OR(NOT(器件参数!B60),器件参数!E60&lt;&gt;"mixer"),AO59,IF(AND(ISNUMBER(器件参数!T60),器件参数!T60&gt;0),IF(器件参数!U60="sum",AO59+器件参数!T60,ABS(AO59-器件参数!T60)),"")))</f>
        <v>100050000</v>
      </c>
      <c r="AP60" s="5">
        <f>IF(NOT(ISNUMBER(AP59)),"",IF(OR(NOT(器件参数!B60),器件参数!E60&lt;&gt;"mixer"),AP59,IF(AND(ISNUMBER(器件参数!T60),器件参数!T60&gt;0),IF(器件参数!U60="sum",AP59+器件参数!T60,ABS(AP59-器件参数!T60)),"")))</f>
        <v>99850000</v>
      </c>
      <c r="AQ60" s="5">
        <f>IF(NOT(ISNUMBER(AQ59)),"",IF(OR(NOT(器件参数!B60),器件参数!E60&lt;&gt;"mixer"),AQ59,IF(AND(ISNUMBER(器件参数!T60),器件参数!T60&gt;0),IF(器件参数!U60="sum",AQ59+器件参数!T60,ABS(AQ59-器件参数!T60)),"")))</f>
        <v>100150000</v>
      </c>
      <c r="AR60" s="5" t="b">
        <f>IF(NOT(AR59),FALSE,IF(NOT(器件参数!B60),TRUE,AND(COUNT(AN60:AQ60)=4,MIN(AN60:AQ60)&gt;0,IF(AND(ISNUMBER(器件参数!R60),ISNUMBER(器件参数!S60)),AND(MIN(AN59:AQ59)&gt;=器件参数!R60,MAX(AN59:AQ59)&lt;=器件参数!S60),TRUE),IF(AND(器件参数!E60="mixer",器件参数!U60="difference"),OR(器件参数!T60&lt;MIN(AN59:AQ59),器件参数!T60&gt;MAX(AN59:AQ59)),TRUE))))</f>
        <v>1</v>
      </c>
    </row>
    <row r="61" hidden="1" spans="1:44">
      <c r="A61" s="5">
        <f>器件参数!A61</f>
        <v>58</v>
      </c>
      <c r="B61" s="5" t="str">
        <f>器件参数!D61</f>
        <v/>
      </c>
      <c r="C61" s="5">
        <f>IF(NOT(器件参数!B61),0,IF(AND(ISNUMBER(器件参数!F61),ABS(器件参数!F61)&lt;=300),器件参数!F61,""))</f>
        <v>0</v>
      </c>
      <c r="D61" s="5">
        <f t="shared" si="0"/>
        <v>20</v>
      </c>
      <c r="E61" s="5">
        <f t="shared" si="1"/>
        <v>20</v>
      </c>
      <c r="F61" s="5">
        <f t="shared" si="2"/>
        <v>100</v>
      </c>
      <c r="G61" s="5">
        <f>IFERROR(IF(NOT(器件参数!B61),1,IF(NOT(OR(器件参数!E61&lt;&gt;"mixer",AND(OR(器件参数!V61="SSB",器件参数!V61="DSB"),器件参数!W61=TRUE))),"",IF(器件参数!G61="ideal",1,IF(AND(器件参数!G61="manual",ISNUMBER(器件参数!H61),器件参数!H61&gt;=0),10^(器件参数!H61/10),IF(AND(器件参数!G61="passive_thermal",OR(器件参数!E61="filter_bpf",器件参数!E61="filter_lpf",器件参数!E61="filter_hpf",器件参数!E61="filter_bsf",器件参数!E61="attenuator",器件参数!E61="cable",器件参数!E61="connector",器件参数!E61="switch",器件参数!E61="isolator",器件参数!E61="coupler",器件参数!E61="splitter"),AND(ISNUMBER(器件参数!F61),ABS(器件参数!F61)&lt;=300),器件参数!F61&lt;=0,ISNUMBER(器件参数!I61),器件参数!I61&gt;0),1+(10^(-器件参数!F61/10)-1)*器件参数!I61/Tref_K,""))))),"数值域错误")</f>
        <v>1</v>
      </c>
      <c r="H61" s="5">
        <f t="shared" si="3"/>
        <v>2.29336948552238</v>
      </c>
      <c r="I61" s="5">
        <f t="shared" si="4"/>
        <v>3.604740296957</v>
      </c>
      <c r="J61" s="5">
        <f>IF(AND(ISNUMBER(Pin_dBm),ISNUMBER(D61)),Pin_dBm+D61,"")</f>
        <v>-10</v>
      </c>
      <c r="K61" s="5">
        <f>IF(AND(ISNUMBER(Pin_dBm),ISNUMBER(E61)),Pin_dBm+E61,"")</f>
        <v>-10</v>
      </c>
      <c r="L61" s="5" t="str">
        <f>IF(AND(器件参数!J61="finite",ISNUMBER(器件参数!L61),ISNUMBER(C61)),IF(器件参数!K61="input",器件参数!L61,IF(器件参数!K61="output",器件参数!L61-C61,"")),"")</f>
        <v/>
      </c>
      <c r="M61" s="5">
        <f>IFERROR(IF(NOT(ISNUMBER(M60)),"",IF(OR(NOT(器件参数!B61),器件参数!J61="ideal"),M60,IF(AND(ISNUMBER(L61),ISNUMBER(F61)),M60+F61/10^(L61/10),""))),"数值域错误")</f>
        <v>0.2</v>
      </c>
      <c r="N61" s="5">
        <f t="shared" si="5"/>
        <v>6.98970004336019</v>
      </c>
      <c r="O61" s="5">
        <f t="shared" si="6"/>
        <v>26.9897000433602</v>
      </c>
      <c r="P61" s="5" t="str">
        <f>IF(AND(器件参数!M61="finite",ISNUMBER(器件参数!O61),ISNUMBER(C61)),IF(器件参数!N61="input",器件参数!O61,IF(器件参数!N61="actual_output",器件参数!O61-C61+1,IF(器件参数!N61="linear_output",器件参数!O61-C61,""))),"")</f>
        <v/>
      </c>
      <c r="Q61" s="5">
        <f>IF(器件参数!P61="",IF(AND(ISNUMBER(DefaultP),DefaultP&gt;=1,DefaultP&lt;=10),DefaultP,""),IF(AND(ISNUMBER(器件参数!P61),器件参数!P61&gt;=1,器件参数!P61&lt;=10),器件参数!P61,""))</f>
        <v>2</v>
      </c>
      <c r="R61" s="5">
        <f t="shared" si="7"/>
        <v>-10.0000139708288</v>
      </c>
      <c r="S61" s="5" t="str">
        <f t="shared" si="8"/>
        <v/>
      </c>
      <c r="T61" s="5">
        <f t="shared" si="9"/>
        <v>0</v>
      </c>
      <c r="U61" s="5">
        <f t="shared" si="10"/>
        <v>-10.0000139708288</v>
      </c>
      <c r="V61" s="5">
        <f>IF(AND(ISNUMBER(Pin_dBm),ISNUMBER(E61),ISNUMBER(U61)),Pin_dBm+E61-U61,"")</f>
        <v>1.39708287854035e-5</v>
      </c>
      <c r="W61" s="5" t="str">
        <f>IF(AND(器件参数!B61,X61=1,ISNUMBER(D61)),P61-D61,"")</f>
        <v/>
      </c>
      <c r="X61" s="5">
        <f>IF(NOT(ISNUMBER(C61)),-1,IF(OR(NOT(器件参数!B61),器件参数!M61="ideal"),0,IF(AND(ISNUMBER(P61),ISNUMBER(Q61)),1,-1)))</f>
        <v>0</v>
      </c>
      <c r="Y61" s="5" t="str">
        <f t="shared" si="11"/>
        <v>有效</v>
      </c>
      <c r="Z61" s="5" t="str">
        <f t="shared" si="12"/>
        <v>有效</v>
      </c>
      <c r="AA61" s="5" t="str">
        <f t="shared" si="13"/>
        <v>模型估算</v>
      </c>
      <c r="AB61" s="5">
        <f t="shared" si="14"/>
        <v>100000000</v>
      </c>
      <c r="AC61" s="5">
        <f>IF(NOT(ISNUMBER(AB61)),"",IF(OR(NOT(器件参数!B61),器件参数!E61&lt;&gt;"mixer"),AB61,IF(AND(ISNUMBER(器件参数!T61),器件参数!T61&gt;0),IF(器件参数!U61="sum",AB61+器件参数!T61,IF(器件参数!U61="difference",ABS(AB61-器件参数!T61),"")),"")))</f>
        <v>100000000</v>
      </c>
      <c r="AD61" s="5">
        <f t="shared" si="15"/>
        <v>0</v>
      </c>
      <c r="AE61" s="5">
        <f>IF(AND(ISNUMBER(G61),ISNUMBER(F61)),Tref_K*(G61-1)/F61,"")</f>
        <v>0</v>
      </c>
      <c r="AF61" s="5">
        <f>IF(AND(ISNUMBER(H61),ISNUMBER(E61),NoiseConfigOK),10*LOG10(Boltzmann*Bnoise_Hz*(Tsource_K+Tref_K*(H61-1)))+30+E61,"")</f>
        <v>-90.3704468972711</v>
      </c>
      <c r="AG61" s="5">
        <f t="shared" si="16"/>
        <v>80.3704468972711</v>
      </c>
      <c r="AH61" s="5">
        <f>IF(AND(ToneEnabled,ISNUMBER(E61),ISNUMBER(TonePin)),TonePin+E61,"")</f>
        <v>-10</v>
      </c>
      <c r="AI61" s="5">
        <f>IF(AND(ToneEnabled,ISNUMBER(E61),ISNUMBER(N61),ISNUMBER(TonePin)),3*TonePin+E61-2*N61,"")</f>
        <v>-83.9794000867204</v>
      </c>
      <c r="AJ61" s="5" t="str">
        <f t="shared" si="17"/>
        <v/>
      </c>
      <c r="AK61" s="5" t="str">
        <f>IF(NOT(器件参数!B61),"旁路",IF(NOT(ISNUMBER(AC61)),"频率未知",IF(AC61&lt;=SignalBW/2,"跨零频",IF(AND(ISNUMBER(器件参数!R61),ISNUMBER(器件参数!S61)),IF(AND(AB61-SignalBW/2&gt;=器件参数!R61,AB61+SignalBW/2&lt;=器件参数!S61),"有效","超声明通带"),"未声明通带"))))</f>
        <v>旁路</v>
      </c>
      <c r="AL61" s="5">
        <f t="shared" si="18"/>
        <v>0</v>
      </c>
      <c r="AM61" s="5" t="str">
        <f>IF(AND(器件参数!B61,ISNUMBER(器件参数!X61),OR(AND(ISNUMBER(J61),J61&gt;器件参数!X61),IF(AND(ToneEnabled,ISNUMBER(TonePin),ISNUMBER(D61)),TonePin+10*LOG10(2)+D61&gt;器件参数!X61,FALSE))),"超过绝对最大输入额定值","")</f>
        <v/>
      </c>
      <c r="AN61" s="5">
        <f>IF(NOT(ISNUMBER(AN60)),"",IF(OR(NOT(器件参数!B61),器件参数!E61&lt;&gt;"mixer"),AN60,IF(AND(ISNUMBER(器件参数!T61),器件参数!T61&gt;0),IF(器件参数!U61="sum",AN60+器件参数!T61,ABS(AN60-器件参数!T61)),"")))</f>
        <v>99950000</v>
      </c>
      <c r="AO61" s="5">
        <f>IF(NOT(ISNUMBER(AO60)),"",IF(OR(NOT(器件参数!B61),器件参数!E61&lt;&gt;"mixer"),AO60,IF(AND(ISNUMBER(器件参数!T61),器件参数!T61&gt;0),IF(器件参数!U61="sum",AO60+器件参数!T61,ABS(AO60-器件参数!T61)),"")))</f>
        <v>100050000</v>
      </c>
      <c r="AP61" s="5">
        <f>IF(NOT(ISNUMBER(AP60)),"",IF(OR(NOT(器件参数!B61),器件参数!E61&lt;&gt;"mixer"),AP60,IF(AND(ISNUMBER(器件参数!T61),器件参数!T61&gt;0),IF(器件参数!U61="sum",AP60+器件参数!T61,ABS(AP60-器件参数!T61)),"")))</f>
        <v>99850000</v>
      </c>
      <c r="AQ61" s="5">
        <f>IF(NOT(ISNUMBER(AQ60)),"",IF(OR(NOT(器件参数!B61),器件参数!E61&lt;&gt;"mixer"),AQ60,IF(AND(ISNUMBER(器件参数!T61),器件参数!T61&gt;0),IF(器件参数!U61="sum",AQ60+器件参数!T61,ABS(AQ60-器件参数!T61)),"")))</f>
        <v>100150000</v>
      </c>
      <c r="AR61" s="5" t="b">
        <f>IF(NOT(AR60),FALSE,IF(NOT(器件参数!B61),TRUE,AND(COUNT(AN61:AQ61)=4,MIN(AN61:AQ61)&gt;0,IF(AND(ISNUMBER(器件参数!R61),ISNUMBER(器件参数!S61)),AND(MIN(AN60:AQ60)&gt;=器件参数!R61,MAX(AN60:AQ60)&lt;=器件参数!S61),TRUE),IF(AND(器件参数!E61="mixer",器件参数!U61="difference"),OR(器件参数!T61&lt;MIN(AN60:AQ60),器件参数!T61&gt;MAX(AN60:AQ60)),TRUE))))</f>
        <v>1</v>
      </c>
    </row>
    <row r="62" hidden="1" spans="1:44">
      <c r="A62" s="5">
        <f>器件参数!A62</f>
        <v>59</v>
      </c>
      <c r="B62" s="5" t="str">
        <f>器件参数!D62</f>
        <v/>
      </c>
      <c r="C62" s="5">
        <f>IF(NOT(器件参数!B62),0,IF(AND(ISNUMBER(器件参数!F62),ABS(器件参数!F62)&lt;=300),器件参数!F62,""))</f>
        <v>0</v>
      </c>
      <c r="D62" s="5">
        <f t="shared" si="0"/>
        <v>20</v>
      </c>
      <c r="E62" s="5">
        <f t="shared" si="1"/>
        <v>20</v>
      </c>
      <c r="F62" s="5">
        <f t="shared" si="2"/>
        <v>100</v>
      </c>
      <c r="G62" s="5">
        <f>IFERROR(IF(NOT(器件参数!B62),1,IF(NOT(OR(器件参数!E62&lt;&gt;"mixer",AND(OR(器件参数!V62="SSB",器件参数!V62="DSB"),器件参数!W62=TRUE))),"",IF(器件参数!G62="ideal",1,IF(AND(器件参数!G62="manual",ISNUMBER(器件参数!H62),器件参数!H62&gt;=0),10^(器件参数!H62/10),IF(AND(器件参数!G62="passive_thermal",OR(器件参数!E62="filter_bpf",器件参数!E62="filter_lpf",器件参数!E62="filter_hpf",器件参数!E62="filter_bsf",器件参数!E62="attenuator",器件参数!E62="cable",器件参数!E62="connector",器件参数!E62="switch",器件参数!E62="isolator",器件参数!E62="coupler",器件参数!E62="splitter"),AND(ISNUMBER(器件参数!F62),ABS(器件参数!F62)&lt;=300),器件参数!F62&lt;=0,ISNUMBER(器件参数!I62),器件参数!I62&gt;0),1+(10^(-器件参数!F62/10)-1)*器件参数!I62/Tref_K,""))))),"数值域错误")</f>
        <v>1</v>
      </c>
      <c r="H62" s="5">
        <f t="shared" si="3"/>
        <v>2.29336948552238</v>
      </c>
      <c r="I62" s="5">
        <f t="shared" si="4"/>
        <v>3.604740296957</v>
      </c>
      <c r="J62" s="5">
        <f>IF(AND(ISNUMBER(Pin_dBm),ISNUMBER(D62)),Pin_dBm+D62,"")</f>
        <v>-10</v>
      </c>
      <c r="K62" s="5">
        <f>IF(AND(ISNUMBER(Pin_dBm),ISNUMBER(E62)),Pin_dBm+E62,"")</f>
        <v>-10</v>
      </c>
      <c r="L62" s="5" t="str">
        <f>IF(AND(器件参数!J62="finite",ISNUMBER(器件参数!L62),ISNUMBER(C62)),IF(器件参数!K62="input",器件参数!L62,IF(器件参数!K62="output",器件参数!L62-C62,"")),"")</f>
        <v/>
      </c>
      <c r="M62" s="5">
        <f>IFERROR(IF(NOT(ISNUMBER(M61)),"",IF(OR(NOT(器件参数!B62),器件参数!J62="ideal"),M61,IF(AND(ISNUMBER(L62),ISNUMBER(F62)),M61+F62/10^(L62/10),""))),"数值域错误")</f>
        <v>0.2</v>
      </c>
      <c r="N62" s="5">
        <f t="shared" si="5"/>
        <v>6.98970004336019</v>
      </c>
      <c r="O62" s="5">
        <f t="shared" si="6"/>
        <v>26.9897000433602</v>
      </c>
      <c r="P62" s="5" t="str">
        <f>IF(AND(器件参数!M62="finite",ISNUMBER(器件参数!O62),ISNUMBER(C62)),IF(器件参数!N62="input",器件参数!O62,IF(器件参数!N62="actual_output",器件参数!O62-C62+1,IF(器件参数!N62="linear_output",器件参数!O62-C62,""))),"")</f>
        <v/>
      </c>
      <c r="Q62" s="5">
        <f>IF(器件参数!P62="",IF(AND(ISNUMBER(DefaultP),DefaultP&gt;=1,DefaultP&lt;=10),DefaultP,""),IF(AND(ISNUMBER(器件参数!P62),器件参数!P62&gt;=1,器件参数!P62&lt;=10),器件参数!P62,""))</f>
        <v>2</v>
      </c>
      <c r="R62" s="5">
        <f t="shared" si="7"/>
        <v>-10.0000139708288</v>
      </c>
      <c r="S62" s="5" t="str">
        <f t="shared" si="8"/>
        <v/>
      </c>
      <c r="T62" s="5">
        <f t="shared" si="9"/>
        <v>0</v>
      </c>
      <c r="U62" s="5">
        <f t="shared" si="10"/>
        <v>-10.0000139708288</v>
      </c>
      <c r="V62" s="5">
        <f>IF(AND(ISNUMBER(Pin_dBm),ISNUMBER(E62),ISNUMBER(U62)),Pin_dBm+E62-U62,"")</f>
        <v>1.39708287854035e-5</v>
      </c>
      <c r="W62" s="5" t="str">
        <f>IF(AND(器件参数!B62,X62=1,ISNUMBER(D62)),P62-D62,"")</f>
        <v/>
      </c>
      <c r="X62" s="5">
        <f>IF(NOT(ISNUMBER(C62)),-1,IF(OR(NOT(器件参数!B62),器件参数!M62="ideal"),0,IF(AND(ISNUMBER(P62),ISNUMBER(Q62)),1,-1)))</f>
        <v>0</v>
      </c>
      <c r="Y62" s="5" t="str">
        <f t="shared" si="11"/>
        <v>有效</v>
      </c>
      <c r="Z62" s="5" t="str">
        <f t="shared" si="12"/>
        <v>有效</v>
      </c>
      <c r="AA62" s="5" t="str">
        <f t="shared" si="13"/>
        <v>模型估算</v>
      </c>
      <c r="AB62" s="5">
        <f t="shared" si="14"/>
        <v>100000000</v>
      </c>
      <c r="AC62" s="5">
        <f>IF(NOT(ISNUMBER(AB62)),"",IF(OR(NOT(器件参数!B62),器件参数!E62&lt;&gt;"mixer"),AB62,IF(AND(ISNUMBER(器件参数!T62),器件参数!T62&gt;0),IF(器件参数!U62="sum",AB62+器件参数!T62,IF(器件参数!U62="difference",ABS(AB62-器件参数!T62),"")),"")))</f>
        <v>100000000</v>
      </c>
      <c r="AD62" s="5">
        <f t="shared" si="15"/>
        <v>0</v>
      </c>
      <c r="AE62" s="5">
        <f>IF(AND(ISNUMBER(G62),ISNUMBER(F62)),Tref_K*(G62-1)/F62,"")</f>
        <v>0</v>
      </c>
      <c r="AF62" s="5">
        <f>IF(AND(ISNUMBER(H62),ISNUMBER(E62),NoiseConfigOK),10*LOG10(Boltzmann*Bnoise_Hz*(Tsource_K+Tref_K*(H62-1)))+30+E62,"")</f>
        <v>-90.3704468972711</v>
      </c>
      <c r="AG62" s="5">
        <f t="shared" si="16"/>
        <v>80.3704468972711</v>
      </c>
      <c r="AH62" s="5">
        <f>IF(AND(ToneEnabled,ISNUMBER(E62),ISNUMBER(TonePin)),TonePin+E62,"")</f>
        <v>-10</v>
      </c>
      <c r="AI62" s="5">
        <f>IF(AND(ToneEnabled,ISNUMBER(E62),ISNUMBER(N62),ISNUMBER(TonePin)),3*TonePin+E62-2*N62,"")</f>
        <v>-83.9794000867204</v>
      </c>
      <c r="AJ62" s="5" t="str">
        <f t="shared" si="17"/>
        <v/>
      </c>
      <c r="AK62" s="5" t="str">
        <f>IF(NOT(器件参数!B62),"旁路",IF(NOT(ISNUMBER(AC62)),"频率未知",IF(AC62&lt;=SignalBW/2,"跨零频",IF(AND(ISNUMBER(器件参数!R62),ISNUMBER(器件参数!S62)),IF(AND(AB62-SignalBW/2&gt;=器件参数!R62,AB62+SignalBW/2&lt;=器件参数!S62),"有效","超声明通带"),"未声明通带"))))</f>
        <v>旁路</v>
      </c>
      <c r="AL62" s="5">
        <f t="shared" si="18"/>
        <v>0</v>
      </c>
      <c r="AM62" s="5" t="str">
        <f>IF(AND(器件参数!B62,ISNUMBER(器件参数!X62),OR(AND(ISNUMBER(J62),J62&gt;器件参数!X62),IF(AND(ToneEnabled,ISNUMBER(TonePin),ISNUMBER(D62)),TonePin+10*LOG10(2)+D62&gt;器件参数!X62,FALSE))),"超过绝对最大输入额定值","")</f>
        <v/>
      </c>
      <c r="AN62" s="5">
        <f>IF(NOT(ISNUMBER(AN61)),"",IF(OR(NOT(器件参数!B62),器件参数!E62&lt;&gt;"mixer"),AN61,IF(AND(ISNUMBER(器件参数!T62),器件参数!T62&gt;0),IF(器件参数!U62="sum",AN61+器件参数!T62,ABS(AN61-器件参数!T62)),"")))</f>
        <v>99950000</v>
      </c>
      <c r="AO62" s="5">
        <f>IF(NOT(ISNUMBER(AO61)),"",IF(OR(NOT(器件参数!B62),器件参数!E62&lt;&gt;"mixer"),AO61,IF(AND(ISNUMBER(器件参数!T62),器件参数!T62&gt;0),IF(器件参数!U62="sum",AO61+器件参数!T62,ABS(AO61-器件参数!T62)),"")))</f>
        <v>100050000</v>
      </c>
      <c r="AP62" s="5">
        <f>IF(NOT(ISNUMBER(AP61)),"",IF(OR(NOT(器件参数!B62),器件参数!E62&lt;&gt;"mixer"),AP61,IF(AND(ISNUMBER(器件参数!T62),器件参数!T62&gt;0),IF(器件参数!U62="sum",AP61+器件参数!T62,ABS(AP61-器件参数!T62)),"")))</f>
        <v>99850000</v>
      </c>
      <c r="AQ62" s="5">
        <f>IF(NOT(ISNUMBER(AQ61)),"",IF(OR(NOT(器件参数!B62),器件参数!E62&lt;&gt;"mixer"),AQ61,IF(AND(ISNUMBER(器件参数!T62),器件参数!T62&gt;0),IF(器件参数!U62="sum",AQ61+器件参数!T62,ABS(AQ61-器件参数!T62)),"")))</f>
        <v>100150000</v>
      </c>
      <c r="AR62" s="5" t="b">
        <f>IF(NOT(AR61),FALSE,IF(NOT(器件参数!B62),TRUE,AND(COUNT(AN62:AQ62)=4,MIN(AN62:AQ62)&gt;0,IF(AND(ISNUMBER(器件参数!R62),ISNUMBER(器件参数!S62)),AND(MIN(AN61:AQ61)&gt;=器件参数!R62,MAX(AN61:AQ61)&lt;=器件参数!S62),TRUE),IF(AND(器件参数!E62="mixer",器件参数!U62="difference"),OR(器件参数!T62&lt;MIN(AN61:AQ61),器件参数!T62&gt;MAX(AN61:AQ61)),TRUE))))</f>
        <v>1</v>
      </c>
    </row>
    <row r="63" hidden="1" spans="1:44">
      <c r="A63" s="5">
        <f>器件参数!A63</f>
        <v>60</v>
      </c>
      <c r="B63" s="5" t="str">
        <f>器件参数!D63</f>
        <v/>
      </c>
      <c r="C63" s="5">
        <f>IF(NOT(器件参数!B63),0,IF(AND(ISNUMBER(器件参数!F63),ABS(器件参数!F63)&lt;=300),器件参数!F63,""))</f>
        <v>0</v>
      </c>
      <c r="D63" s="5">
        <f t="shared" si="0"/>
        <v>20</v>
      </c>
      <c r="E63" s="5">
        <f t="shared" si="1"/>
        <v>20</v>
      </c>
      <c r="F63" s="5">
        <f t="shared" si="2"/>
        <v>100</v>
      </c>
      <c r="G63" s="5">
        <f>IFERROR(IF(NOT(器件参数!B63),1,IF(NOT(OR(器件参数!E63&lt;&gt;"mixer",AND(OR(器件参数!V63="SSB",器件参数!V63="DSB"),器件参数!W63=TRUE))),"",IF(器件参数!G63="ideal",1,IF(AND(器件参数!G63="manual",ISNUMBER(器件参数!H63),器件参数!H63&gt;=0),10^(器件参数!H63/10),IF(AND(器件参数!G63="passive_thermal",OR(器件参数!E63="filter_bpf",器件参数!E63="filter_lpf",器件参数!E63="filter_hpf",器件参数!E63="filter_bsf",器件参数!E63="attenuator",器件参数!E63="cable",器件参数!E63="connector",器件参数!E63="switch",器件参数!E63="isolator",器件参数!E63="coupler",器件参数!E63="splitter"),AND(ISNUMBER(器件参数!F63),ABS(器件参数!F63)&lt;=300),器件参数!F63&lt;=0,ISNUMBER(器件参数!I63),器件参数!I63&gt;0),1+(10^(-器件参数!F63/10)-1)*器件参数!I63/Tref_K,""))))),"数值域错误")</f>
        <v>1</v>
      </c>
      <c r="H63" s="5">
        <f t="shared" si="3"/>
        <v>2.29336948552238</v>
      </c>
      <c r="I63" s="5">
        <f t="shared" si="4"/>
        <v>3.604740296957</v>
      </c>
      <c r="J63" s="5">
        <f>IF(AND(ISNUMBER(Pin_dBm),ISNUMBER(D63)),Pin_dBm+D63,"")</f>
        <v>-10</v>
      </c>
      <c r="K63" s="5">
        <f>IF(AND(ISNUMBER(Pin_dBm),ISNUMBER(E63)),Pin_dBm+E63,"")</f>
        <v>-10</v>
      </c>
      <c r="L63" s="5" t="str">
        <f>IF(AND(器件参数!J63="finite",ISNUMBER(器件参数!L63),ISNUMBER(C63)),IF(器件参数!K63="input",器件参数!L63,IF(器件参数!K63="output",器件参数!L63-C63,"")),"")</f>
        <v/>
      </c>
      <c r="M63" s="5">
        <f>IFERROR(IF(NOT(ISNUMBER(M62)),"",IF(OR(NOT(器件参数!B63),器件参数!J63="ideal"),M62,IF(AND(ISNUMBER(L63),ISNUMBER(F63)),M62+F63/10^(L63/10),""))),"数值域错误")</f>
        <v>0.2</v>
      </c>
      <c r="N63" s="5">
        <f t="shared" si="5"/>
        <v>6.98970004336019</v>
      </c>
      <c r="O63" s="5">
        <f t="shared" si="6"/>
        <v>26.9897000433602</v>
      </c>
      <c r="P63" s="5" t="str">
        <f>IF(AND(器件参数!M63="finite",ISNUMBER(器件参数!O63),ISNUMBER(C63)),IF(器件参数!N63="input",器件参数!O63,IF(器件参数!N63="actual_output",器件参数!O63-C63+1,IF(器件参数!N63="linear_output",器件参数!O63-C63,""))),"")</f>
        <v/>
      </c>
      <c r="Q63" s="5">
        <f>IF(器件参数!P63="",IF(AND(ISNUMBER(DefaultP),DefaultP&gt;=1,DefaultP&lt;=10),DefaultP,""),IF(AND(ISNUMBER(器件参数!P63),器件参数!P63&gt;=1,器件参数!P63&lt;=10),器件参数!P63,""))</f>
        <v>2</v>
      </c>
      <c r="R63" s="5">
        <f t="shared" si="7"/>
        <v>-10.0000139708288</v>
      </c>
      <c r="S63" s="5" t="str">
        <f t="shared" si="8"/>
        <v/>
      </c>
      <c r="T63" s="5">
        <f t="shared" si="9"/>
        <v>0</v>
      </c>
      <c r="U63" s="5">
        <f t="shared" si="10"/>
        <v>-10.0000139708288</v>
      </c>
      <c r="V63" s="5">
        <f>IF(AND(ISNUMBER(Pin_dBm),ISNUMBER(E63),ISNUMBER(U63)),Pin_dBm+E63-U63,"")</f>
        <v>1.39708287854035e-5</v>
      </c>
      <c r="W63" s="5" t="str">
        <f>IF(AND(器件参数!B63,X63=1,ISNUMBER(D63)),P63-D63,"")</f>
        <v/>
      </c>
      <c r="X63" s="5">
        <f>IF(NOT(ISNUMBER(C63)),-1,IF(OR(NOT(器件参数!B63),器件参数!M63="ideal"),0,IF(AND(ISNUMBER(P63),ISNUMBER(Q63)),1,-1)))</f>
        <v>0</v>
      </c>
      <c r="Y63" s="5" t="str">
        <f t="shared" si="11"/>
        <v>有效</v>
      </c>
      <c r="Z63" s="5" t="str">
        <f t="shared" si="12"/>
        <v>有效</v>
      </c>
      <c r="AA63" s="5" t="str">
        <f t="shared" si="13"/>
        <v>模型估算</v>
      </c>
      <c r="AB63" s="5">
        <f t="shared" si="14"/>
        <v>100000000</v>
      </c>
      <c r="AC63" s="5">
        <f>IF(NOT(ISNUMBER(AB63)),"",IF(OR(NOT(器件参数!B63),器件参数!E63&lt;&gt;"mixer"),AB63,IF(AND(ISNUMBER(器件参数!T63),器件参数!T63&gt;0),IF(器件参数!U63="sum",AB63+器件参数!T63,IF(器件参数!U63="difference",ABS(AB63-器件参数!T63),"")),"")))</f>
        <v>100000000</v>
      </c>
      <c r="AD63" s="5">
        <f t="shared" si="15"/>
        <v>0</v>
      </c>
      <c r="AE63" s="5">
        <f>IF(AND(ISNUMBER(G63),ISNUMBER(F63)),Tref_K*(G63-1)/F63,"")</f>
        <v>0</v>
      </c>
      <c r="AF63" s="5">
        <f>IF(AND(ISNUMBER(H63),ISNUMBER(E63),NoiseConfigOK),10*LOG10(Boltzmann*Bnoise_Hz*(Tsource_K+Tref_K*(H63-1)))+30+E63,"")</f>
        <v>-90.3704468972711</v>
      </c>
      <c r="AG63" s="5">
        <f t="shared" si="16"/>
        <v>80.3704468972711</v>
      </c>
      <c r="AH63" s="5">
        <f>IF(AND(ToneEnabled,ISNUMBER(E63),ISNUMBER(TonePin)),TonePin+E63,"")</f>
        <v>-10</v>
      </c>
      <c r="AI63" s="5">
        <f>IF(AND(ToneEnabled,ISNUMBER(E63),ISNUMBER(N63),ISNUMBER(TonePin)),3*TonePin+E63-2*N63,"")</f>
        <v>-83.9794000867204</v>
      </c>
      <c r="AJ63" s="5" t="str">
        <f t="shared" si="17"/>
        <v/>
      </c>
      <c r="AK63" s="5" t="str">
        <f>IF(NOT(器件参数!B63),"旁路",IF(NOT(ISNUMBER(AC63)),"频率未知",IF(AC63&lt;=SignalBW/2,"跨零频",IF(AND(ISNUMBER(器件参数!R63),ISNUMBER(器件参数!S63)),IF(AND(AB63-SignalBW/2&gt;=器件参数!R63,AB63+SignalBW/2&lt;=器件参数!S63),"有效","超声明通带"),"未声明通带"))))</f>
        <v>旁路</v>
      </c>
      <c r="AL63" s="5">
        <f t="shared" si="18"/>
        <v>0</v>
      </c>
      <c r="AM63" s="5" t="str">
        <f>IF(AND(器件参数!B63,ISNUMBER(器件参数!X63),OR(AND(ISNUMBER(J63),J63&gt;器件参数!X63),IF(AND(ToneEnabled,ISNUMBER(TonePin),ISNUMBER(D63)),TonePin+10*LOG10(2)+D63&gt;器件参数!X63,FALSE))),"超过绝对最大输入额定值","")</f>
        <v/>
      </c>
      <c r="AN63" s="5">
        <f>IF(NOT(ISNUMBER(AN62)),"",IF(OR(NOT(器件参数!B63),器件参数!E63&lt;&gt;"mixer"),AN62,IF(AND(ISNUMBER(器件参数!T63),器件参数!T63&gt;0),IF(器件参数!U63="sum",AN62+器件参数!T63,ABS(AN62-器件参数!T63)),"")))</f>
        <v>99950000</v>
      </c>
      <c r="AO63" s="5">
        <f>IF(NOT(ISNUMBER(AO62)),"",IF(OR(NOT(器件参数!B63),器件参数!E63&lt;&gt;"mixer"),AO62,IF(AND(ISNUMBER(器件参数!T63),器件参数!T63&gt;0),IF(器件参数!U63="sum",AO62+器件参数!T63,ABS(AO62-器件参数!T63)),"")))</f>
        <v>100050000</v>
      </c>
      <c r="AP63" s="5">
        <f>IF(NOT(ISNUMBER(AP62)),"",IF(OR(NOT(器件参数!B63),器件参数!E63&lt;&gt;"mixer"),AP62,IF(AND(ISNUMBER(器件参数!T63),器件参数!T63&gt;0),IF(器件参数!U63="sum",AP62+器件参数!T63,ABS(AP62-器件参数!T63)),"")))</f>
        <v>99850000</v>
      </c>
      <c r="AQ63" s="5">
        <f>IF(NOT(ISNUMBER(AQ62)),"",IF(OR(NOT(器件参数!B63),器件参数!E63&lt;&gt;"mixer"),AQ62,IF(AND(ISNUMBER(器件参数!T63),器件参数!T63&gt;0),IF(器件参数!U63="sum",AQ62+器件参数!T63,ABS(AQ62-器件参数!T63)),"")))</f>
        <v>100150000</v>
      </c>
      <c r="AR63" s="5" t="b">
        <f>IF(NOT(AR62),FALSE,IF(NOT(器件参数!B63),TRUE,AND(COUNT(AN63:AQ63)=4,MIN(AN63:AQ63)&gt;0,IF(AND(ISNUMBER(器件参数!R63),ISNUMBER(器件参数!S63)),AND(MIN(AN62:AQ62)&gt;=器件参数!R63,MAX(AN62:AQ62)&lt;=器件参数!S63),TRUE),IF(AND(器件参数!E63="mixer",器件参数!U63="difference"),OR(器件参数!T63&lt;MIN(AN62:AQ62),器件参数!T63&gt;MAX(AN62:AQ62)),TRUE))))</f>
        <v>1</v>
      </c>
    </row>
    <row r="64" hidden="1" spans="1:44">
      <c r="A64" s="5">
        <f>器件参数!A64</f>
        <v>61</v>
      </c>
      <c r="B64" s="5" t="str">
        <f>器件参数!D64</f>
        <v/>
      </c>
      <c r="C64" s="5">
        <f>IF(NOT(器件参数!B64),0,IF(AND(ISNUMBER(器件参数!F64),ABS(器件参数!F64)&lt;=300),器件参数!F64,""))</f>
        <v>0</v>
      </c>
      <c r="D64" s="5">
        <f t="shared" si="0"/>
        <v>20</v>
      </c>
      <c r="E64" s="5">
        <f t="shared" si="1"/>
        <v>20</v>
      </c>
      <c r="F64" s="5">
        <f t="shared" si="2"/>
        <v>100</v>
      </c>
      <c r="G64" s="5">
        <f>IFERROR(IF(NOT(器件参数!B64),1,IF(NOT(OR(器件参数!E64&lt;&gt;"mixer",AND(OR(器件参数!V64="SSB",器件参数!V64="DSB"),器件参数!W64=TRUE))),"",IF(器件参数!G64="ideal",1,IF(AND(器件参数!G64="manual",ISNUMBER(器件参数!H64),器件参数!H64&gt;=0),10^(器件参数!H64/10),IF(AND(器件参数!G64="passive_thermal",OR(器件参数!E64="filter_bpf",器件参数!E64="filter_lpf",器件参数!E64="filter_hpf",器件参数!E64="filter_bsf",器件参数!E64="attenuator",器件参数!E64="cable",器件参数!E64="connector",器件参数!E64="switch",器件参数!E64="isolator",器件参数!E64="coupler",器件参数!E64="splitter"),AND(ISNUMBER(器件参数!F64),ABS(器件参数!F64)&lt;=300),器件参数!F64&lt;=0,ISNUMBER(器件参数!I64),器件参数!I64&gt;0),1+(10^(-器件参数!F64/10)-1)*器件参数!I64/Tref_K,""))))),"数值域错误")</f>
        <v>1</v>
      </c>
      <c r="H64" s="5">
        <f t="shared" si="3"/>
        <v>2.29336948552238</v>
      </c>
      <c r="I64" s="5">
        <f t="shared" si="4"/>
        <v>3.604740296957</v>
      </c>
      <c r="J64" s="5">
        <f>IF(AND(ISNUMBER(Pin_dBm),ISNUMBER(D64)),Pin_dBm+D64,"")</f>
        <v>-10</v>
      </c>
      <c r="K64" s="5">
        <f>IF(AND(ISNUMBER(Pin_dBm),ISNUMBER(E64)),Pin_dBm+E64,"")</f>
        <v>-10</v>
      </c>
      <c r="L64" s="5" t="str">
        <f>IF(AND(器件参数!J64="finite",ISNUMBER(器件参数!L64),ISNUMBER(C64)),IF(器件参数!K64="input",器件参数!L64,IF(器件参数!K64="output",器件参数!L64-C64,"")),"")</f>
        <v/>
      </c>
      <c r="M64" s="5">
        <f>IFERROR(IF(NOT(ISNUMBER(M63)),"",IF(OR(NOT(器件参数!B64),器件参数!J64="ideal"),M63,IF(AND(ISNUMBER(L64),ISNUMBER(F64)),M63+F64/10^(L64/10),""))),"数值域错误")</f>
        <v>0.2</v>
      </c>
      <c r="N64" s="5">
        <f t="shared" si="5"/>
        <v>6.98970004336019</v>
      </c>
      <c r="O64" s="5">
        <f t="shared" si="6"/>
        <v>26.9897000433602</v>
      </c>
      <c r="P64" s="5" t="str">
        <f>IF(AND(器件参数!M64="finite",ISNUMBER(器件参数!O64),ISNUMBER(C64)),IF(器件参数!N64="input",器件参数!O64,IF(器件参数!N64="actual_output",器件参数!O64-C64+1,IF(器件参数!N64="linear_output",器件参数!O64-C64,""))),"")</f>
        <v/>
      </c>
      <c r="Q64" s="5">
        <f>IF(器件参数!P64="",IF(AND(ISNUMBER(DefaultP),DefaultP&gt;=1,DefaultP&lt;=10),DefaultP,""),IF(AND(ISNUMBER(器件参数!P64),器件参数!P64&gt;=1,器件参数!P64&lt;=10),器件参数!P64,""))</f>
        <v>2</v>
      </c>
      <c r="R64" s="5">
        <f t="shared" si="7"/>
        <v>-10.0000139708288</v>
      </c>
      <c r="S64" s="5" t="str">
        <f t="shared" si="8"/>
        <v/>
      </c>
      <c r="T64" s="5">
        <f t="shared" si="9"/>
        <v>0</v>
      </c>
      <c r="U64" s="5">
        <f t="shared" si="10"/>
        <v>-10.0000139708288</v>
      </c>
      <c r="V64" s="5">
        <f>IF(AND(ISNUMBER(Pin_dBm),ISNUMBER(E64),ISNUMBER(U64)),Pin_dBm+E64-U64,"")</f>
        <v>1.39708287854035e-5</v>
      </c>
      <c r="W64" s="5" t="str">
        <f>IF(AND(器件参数!B64,X64=1,ISNUMBER(D64)),P64-D64,"")</f>
        <v/>
      </c>
      <c r="X64" s="5">
        <f>IF(NOT(ISNUMBER(C64)),-1,IF(OR(NOT(器件参数!B64),器件参数!M64="ideal"),0,IF(AND(ISNUMBER(P64),ISNUMBER(Q64)),1,-1)))</f>
        <v>0</v>
      </c>
      <c r="Y64" s="5" t="str">
        <f t="shared" si="11"/>
        <v>有效</v>
      </c>
      <c r="Z64" s="5" t="str">
        <f t="shared" si="12"/>
        <v>有效</v>
      </c>
      <c r="AA64" s="5" t="str">
        <f t="shared" si="13"/>
        <v>模型估算</v>
      </c>
      <c r="AB64" s="5">
        <f t="shared" si="14"/>
        <v>100000000</v>
      </c>
      <c r="AC64" s="5">
        <f>IF(NOT(ISNUMBER(AB64)),"",IF(OR(NOT(器件参数!B64),器件参数!E64&lt;&gt;"mixer"),AB64,IF(AND(ISNUMBER(器件参数!T64),器件参数!T64&gt;0),IF(器件参数!U64="sum",AB64+器件参数!T64,IF(器件参数!U64="difference",ABS(AB64-器件参数!T64),"")),"")))</f>
        <v>100000000</v>
      </c>
      <c r="AD64" s="5">
        <f t="shared" si="15"/>
        <v>0</v>
      </c>
      <c r="AE64" s="5">
        <f>IF(AND(ISNUMBER(G64),ISNUMBER(F64)),Tref_K*(G64-1)/F64,"")</f>
        <v>0</v>
      </c>
      <c r="AF64" s="5">
        <f>IF(AND(ISNUMBER(H64),ISNUMBER(E64),NoiseConfigOK),10*LOG10(Boltzmann*Bnoise_Hz*(Tsource_K+Tref_K*(H64-1)))+30+E64,"")</f>
        <v>-90.3704468972711</v>
      </c>
      <c r="AG64" s="5">
        <f t="shared" si="16"/>
        <v>80.3704468972711</v>
      </c>
      <c r="AH64" s="5">
        <f>IF(AND(ToneEnabled,ISNUMBER(E64),ISNUMBER(TonePin)),TonePin+E64,"")</f>
        <v>-10</v>
      </c>
      <c r="AI64" s="5">
        <f>IF(AND(ToneEnabled,ISNUMBER(E64),ISNUMBER(N64),ISNUMBER(TonePin)),3*TonePin+E64-2*N64,"")</f>
        <v>-83.9794000867204</v>
      </c>
      <c r="AJ64" s="5" t="str">
        <f t="shared" si="17"/>
        <v/>
      </c>
      <c r="AK64" s="5" t="str">
        <f>IF(NOT(器件参数!B64),"旁路",IF(NOT(ISNUMBER(AC64)),"频率未知",IF(AC64&lt;=SignalBW/2,"跨零频",IF(AND(ISNUMBER(器件参数!R64),ISNUMBER(器件参数!S64)),IF(AND(AB64-SignalBW/2&gt;=器件参数!R64,AB64+SignalBW/2&lt;=器件参数!S64),"有效","超声明通带"),"未声明通带"))))</f>
        <v>旁路</v>
      </c>
      <c r="AL64" s="5">
        <f t="shared" si="18"/>
        <v>0</v>
      </c>
      <c r="AM64" s="5" t="str">
        <f>IF(AND(器件参数!B64,ISNUMBER(器件参数!X64),OR(AND(ISNUMBER(J64),J64&gt;器件参数!X64),IF(AND(ToneEnabled,ISNUMBER(TonePin),ISNUMBER(D64)),TonePin+10*LOG10(2)+D64&gt;器件参数!X64,FALSE))),"超过绝对最大输入额定值","")</f>
        <v/>
      </c>
      <c r="AN64" s="5">
        <f>IF(NOT(ISNUMBER(AN63)),"",IF(OR(NOT(器件参数!B64),器件参数!E64&lt;&gt;"mixer"),AN63,IF(AND(ISNUMBER(器件参数!T64),器件参数!T64&gt;0),IF(器件参数!U64="sum",AN63+器件参数!T64,ABS(AN63-器件参数!T64)),"")))</f>
        <v>99950000</v>
      </c>
      <c r="AO64" s="5">
        <f>IF(NOT(ISNUMBER(AO63)),"",IF(OR(NOT(器件参数!B64),器件参数!E64&lt;&gt;"mixer"),AO63,IF(AND(ISNUMBER(器件参数!T64),器件参数!T64&gt;0),IF(器件参数!U64="sum",AO63+器件参数!T64,ABS(AO63-器件参数!T64)),"")))</f>
        <v>100050000</v>
      </c>
      <c r="AP64" s="5">
        <f>IF(NOT(ISNUMBER(AP63)),"",IF(OR(NOT(器件参数!B64),器件参数!E64&lt;&gt;"mixer"),AP63,IF(AND(ISNUMBER(器件参数!T64),器件参数!T64&gt;0),IF(器件参数!U64="sum",AP63+器件参数!T64,ABS(AP63-器件参数!T64)),"")))</f>
        <v>99850000</v>
      </c>
      <c r="AQ64" s="5">
        <f>IF(NOT(ISNUMBER(AQ63)),"",IF(OR(NOT(器件参数!B64),器件参数!E64&lt;&gt;"mixer"),AQ63,IF(AND(ISNUMBER(器件参数!T64),器件参数!T64&gt;0),IF(器件参数!U64="sum",AQ63+器件参数!T64,ABS(AQ63-器件参数!T64)),"")))</f>
        <v>100150000</v>
      </c>
      <c r="AR64" s="5" t="b">
        <f>IF(NOT(AR63),FALSE,IF(NOT(器件参数!B64),TRUE,AND(COUNT(AN64:AQ64)=4,MIN(AN64:AQ64)&gt;0,IF(AND(ISNUMBER(器件参数!R64),ISNUMBER(器件参数!S64)),AND(MIN(AN63:AQ63)&gt;=器件参数!R64,MAX(AN63:AQ63)&lt;=器件参数!S64),TRUE),IF(AND(器件参数!E64="mixer",器件参数!U64="difference"),OR(器件参数!T64&lt;MIN(AN63:AQ63),器件参数!T64&gt;MAX(AN63:AQ63)),TRUE))))</f>
        <v>1</v>
      </c>
    </row>
    <row r="65" hidden="1" spans="1:44">
      <c r="A65" s="5">
        <f>器件参数!A65</f>
        <v>62</v>
      </c>
      <c r="B65" s="5" t="str">
        <f>器件参数!D65</f>
        <v/>
      </c>
      <c r="C65" s="5">
        <f>IF(NOT(器件参数!B65),0,IF(AND(ISNUMBER(器件参数!F65),ABS(器件参数!F65)&lt;=300),器件参数!F65,""))</f>
        <v>0</v>
      </c>
      <c r="D65" s="5">
        <f t="shared" si="0"/>
        <v>20</v>
      </c>
      <c r="E65" s="5">
        <f t="shared" si="1"/>
        <v>20</v>
      </c>
      <c r="F65" s="5">
        <f t="shared" si="2"/>
        <v>100</v>
      </c>
      <c r="G65" s="5">
        <f>IFERROR(IF(NOT(器件参数!B65),1,IF(NOT(OR(器件参数!E65&lt;&gt;"mixer",AND(OR(器件参数!V65="SSB",器件参数!V65="DSB"),器件参数!W65=TRUE))),"",IF(器件参数!G65="ideal",1,IF(AND(器件参数!G65="manual",ISNUMBER(器件参数!H65),器件参数!H65&gt;=0),10^(器件参数!H65/10),IF(AND(器件参数!G65="passive_thermal",OR(器件参数!E65="filter_bpf",器件参数!E65="filter_lpf",器件参数!E65="filter_hpf",器件参数!E65="filter_bsf",器件参数!E65="attenuator",器件参数!E65="cable",器件参数!E65="connector",器件参数!E65="switch",器件参数!E65="isolator",器件参数!E65="coupler",器件参数!E65="splitter"),AND(ISNUMBER(器件参数!F65),ABS(器件参数!F65)&lt;=300),器件参数!F65&lt;=0,ISNUMBER(器件参数!I65),器件参数!I65&gt;0),1+(10^(-器件参数!F65/10)-1)*器件参数!I65/Tref_K,""))))),"数值域错误")</f>
        <v>1</v>
      </c>
      <c r="H65" s="5">
        <f t="shared" si="3"/>
        <v>2.29336948552238</v>
      </c>
      <c r="I65" s="5">
        <f t="shared" si="4"/>
        <v>3.604740296957</v>
      </c>
      <c r="J65" s="5">
        <f>IF(AND(ISNUMBER(Pin_dBm),ISNUMBER(D65)),Pin_dBm+D65,"")</f>
        <v>-10</v>
      </c>
      <c r="K65" s="5">
        <f>IF(AND(ISNUMBER(Pin_dBm),ISNUMBER(E65)),Pin_dBm+E65,"")</f>
        <v>-10</v>
      </c>
      <c r="L65" s="5" t="str">
        <f>IF(AND(器件参数!J65="finite",ISNUMBER(器件参数!L65),ISNUMBER(C65)),IF(器件参数!K65="input",器件参数!L65,IF(器件参数!K65="output",器件参数!L65-C65,"")),"")</f>
        <v/>
      </c>
      <c r="M65" s="5">
        <f>IFERROR(IF(NOT(ISNUMBER(M64)),"",IF(OR(NOT(器件参数!B65),器件参数!J65="ideal"),M64,IF(AND(ISNUMBER(L65),ISNUMBER(F65)),M64+F65/10^(L65/10),""))),"数值域错误")</f>
        <v>0.2</v>
      </c>
      <c r="N65" s="5">
        <f t="shared" si="5"/>
        <v>6.98970004336019</v>
      </c>
      <c r="O65" s="5">
        <f t="shared" si="6"/>
        <v>26.9897000433602</v>
      </c>
      <c r="P65" s="5" t="str">
        <f>IF(AND(器件参数!M65="finite",ISNUMBER(器件参数!O65),ISNUMBER(C65)),IF(器件参数!N65="input",器件参数!O65,IF(器件参数!N65="actual_output",器件参数!O65-C65+1,IF(器件参数!N65="linear_output",器件参数!O65-C65,""))),"")</f>
        <v/>
      </c>
      <c r="Q65" s="5">
        <f>IF(器件参数!P65="",IF(AND(ISNUMBER(DefaultP),DefaultP&gt;=1,DefaultP&lt;=10),DefaultP,""),IF(AND(ISNUMBER(器件参数!P65),器件参数!P65&gt;=1,器件参数!P65&lt;=10),器件参数!P65,""))</f>
        <v>2</v>
      </c>
      <c r="R65" s="5">
        <f t="shared" si="7"/>
        <v>-10.0000139708288</v>
      </c>
      <c r="S65" s="5" t="str">
        <f t="shared" si="8"/>
        <v/>
      </c>
      <c r="T65" s="5">
        <f t="shared" si="9"/>
        <v>0</v>
      </c>
      <c r="U65" s="5">
        <f t="shared" si="10"/>
        <v>-10.0000139708288</v>
      </c>
      <c r="V65" s="5">
        <f>IF(AND(ISNUMBER(Pin_dBm),ISNUMBER(E65),ISNUMBER(U65)),Pin_dBm+E65-U65,"")</f>
        <v>1.39708287854035e-5</v>
      </c>
      <c r="W65" s="5" t="str">
        <f>IF(AND(器件参数!B65,X65=1,ISNUMBER(D65)),P65-D65,"")</f>
        <v/>
      </c>
      <c r="X65" s="5">
        <f>IF(NOT(ISNUMBER(C65)),-1,IF(OR(NOT(器件参数!B65),器件参数!M65="ideal"),0,IF(AND(ISNUMBER(P65),ISNUMBER(Q65)),1,-1)))</f>
        <v>0</v>
      </c>
      <c r="Y65" s="5" t="str">
        <f t="shared" si="11"/>
        <v>有效</v>
      </c>
      <c r="Z65" s="5" t="str">
        <f t="shared" si="12"/>
        <v>有效</v>
      </c>
      <c r="AA65" s="5" t="str">
        <f t="shared" si="13"/>
        <v>模型估算</v>
      </c>
      <c r="AB65" s="5">
        <f t="shared" si="14"/>
        <v>100000000</v>
      </c>
      <c r="AC65" s="5">
        <f>IF(NOT(ISNUMBER(AB65)),"",IF(OR(NOT(器件参数!B65),器件参数!E65&lt;&gt;"mixer"),AB65,IF(AND(ISNUMBER(器件参数!T65),器件参数!T65&gt;0),IF(器件参数!U65="sum",AB65+器件参数!T65,IF(器件参数!U65="difference",ABS(AB65-器件参数!T65),"")),"")))</f>
        <v>100000000</v>
      </c>
      <c r="AD65" s="5">
        <f t="shared" si="15"/>
        <v>0</v>
      </c>
      <c r="AE65" s="5">
        <f>IF(AND(ISNUMBER(G65),ISNUMBER(F65)),Tref_K*(G65-1)/F65,"")</f>
        <v>0</v>
      </c>
      <c r="AF65" s="5">
        <f>IF(AND(ISNUMBER(H65),ISNUMBER(E65),NoiseConfigOK),10*LOG10(Boltzmann*Bnoise_Hz*(Tsource_K+Tref_K*(H65-1)))+30+E65,"")</f>
        <v>-90.3704468972711</v>
      </c>
      <c r="AG65" s="5">
        <f t="shared" si="16"/>
        <v>80.3704468972711</v>
      </c>
      <c r="AH65" s="5">
        <f>IF(AND(ToneEnabled,ISNUMBER(E65),ISNUMBER(TonePin)),TonePin+E65,"")</f>
        <v>-10</v>
      </c>
      <c r="AI65" s="5">
        <f>IF(AND(ToneEnabled,ISNUMBER(E65),ISNUMBER(N65),ISNUMBER(TonePin)),3*TonePin+E65-2*N65,"")</f>
        <v>-83.9794000867204</v>
      </c>
      <c r="AJ65" s="5" t="str">
        <f t="shared" si="17"/>
        <v/>
      </c>
      <c r="AK65" s="5" t="str">
        <f>IF(NOT(器件参数!B65),"旁路",IF(NOT(ISNUMBER(AC65)),"频率未知",IF(AC65&lt;=SignalBW/2,"跨零频",IF(AND(ISNUMBER(器件参数!R65),ISNUMBER(器件参数!S65)),IF(AND(AB65-SignalBW/2&gt;=器件参数!R65,AB65+SignalBW/2&lt;=器件参数!S65),"有效","超声明通带"),"未声明通带"))))</f>
        <v>旁路</v>
      </c>
      <c r="AL65" s="5">
        <f t="shared" si="18"/>
        <v>0</v>
      </c>
      <c r="AM65" s="5" t="str">
        <f>IF(AND(器件参数!B65,ISNUMBER(器件参数!X65),OR(AND(ISNUMBER(J65),J65&gt;器件参数!X65),IF(AND(ToneEnabled,ISNUMBER(TonePin),ISNUMBER(D65)),TonePin+10*LOG10(2)+D65&gt;器件参数!X65,FALSE))),"超过绝对最大输入额定值","")</f>
        <v/>
      </c>
      <c r="AN65" s="5">
        <f>IF(NOT(ISNUMBER(AN64)),"",IF(OR(NOT(器件参数!B65),器件参数!E65&lt;&gt;"mixer"),AN64,IF(AND(ISNUMBER(器件参数!T65),器件参数!T65&gt;0),IF(器件参数!U65="sum",AN64+器件参数!T65,ABS(AN64-器件参数!T65)),"")))</f>
        <v>99950000</v>
      </c>
      <c r="AO65" s="5">
        <f>IF(NOT(ISNUMBER(AO64)),"",IF(OR(NOT(器件参数!B65),器件参数!E65&lt;&gt;"mixer"),AO64,IF(AND(ISNUMBER(器件参数!T65),器件参数!T65&gt;0),IF(器件参数!U65="sum",AO64+器件参数!T65,ABS(AO64-器件参数!T65)),"")))</f>
        <v>100050000</v>
      </c>
      <c r="AP65" s="5">
        <f>IF(NOT(ISNUMBER(AP64)),"",IF(OR(NOT(器件参数!B65),器件参数!E65&lt;&gt;"mixer"),AP64,IF(AND(ISNUMBER(器件参数!T65),器件参数!T65&gt;0),IF(器件参数!U65="sum",AP64+器件参数!T65,ABS(AP64-器件参数!T65)),"")))</f>
        <v>99850000</v>
      </c>
      <c r="AQ65" s="5">
        <f>IF(NOT(ISNUMBER(AQ64)),"",IF(OR(NOT(器件参数!B65),器件参数!E65&lt;&gt;"mixer"),AQ64,IF(AND(ISNUMBER(器件参数!T65),器件参数!T65&gt;0),IF(器件参数!U65="sum",AQ64+器件参数!T65,ABS(AQ64-器件参数!T65)),"")))</f>
        <v>100150000</v>
      </c>
      <c r="AR65" s="5" t="b">
        <f>IF(NOT(AR64),FALSE,IF(NOT(器件参数!B65),TRUE,AND(COUNT(AN65:AQ65)=4,MIN(AN65:AQ65)&gt;0,IF(AND(ISNUMBER(器件参数!R65),ISNUMBER(器件参数!S65)),AND(MIN(AN64:AQ64)&gt;=器件参数!R65,MAX(AN64:AQ64)&lt;=器件参数!S65),TRUE),IF(AND(器件参数!E65="mixer",器件参数!U65="difference"),OR(器件参数!T65&lt;MIN(AN64:AQ64),器件参数!T65&gt;MAX(AN64:AQ64)),TRUE))))</f>
        <v>1</v>
      </c>
    </row>
    <row r="66" hidden="1" spans="1:44">
      <c r="A66" s="5">
        <f>器件参数!A66</f>
        <v>63</v>
      </c>
      <c r="B66" s="5" t="str">
        <f>器件参数!D66</f>
        <v/>
      </c>
      <c r="C66" s="5">
        <f>IF(NOT(器件参数!B66),0,IF(AND(ISNUMBER(器件参数!F66),ABS(器件参数!F66)&lt;=300),器件参数!F66,""))</f>
        <v>0</v>
      </c>
      <c r="D66" s="5">
        <f t="shared" si="0"/>
        <v>20</v>
      </c>
      <c r="E66" s="5">
        <f t="shared" si="1"/>
        <v>20</v>
      </c>
      <c r="F66" s="5">
        <f t="shared" si="2"/>
        <v>100</v>
      </c>
      <c r="G66" s="5">
        <f>IFERROR(IF(NOT(器件参数!B66),1,IF(NOT(OR(器件参数!E66&lt;&gt;"mixer",AND(OR(器件参数!V66="SSB",器件参数!V66="DSB"),器件参数!W66=TRUE))),"",IF(器件参数!G66="ideal",1,IF(AND(器件参数!G66="manual",ISNUMBER(器件参数!H66),器件参数!H66&gt;=0),10^(器件参数!H66/10),IF(AND(器件参数!G66="passive_thermal",OR(器件参数!E66="filter_bpf",器件参数!E66="filter_lpf",器件参数!E66="filter_hpf",器件参数!E66="filter_bsf",器件参数!E66="attenuator",器件参数!E66="cable",器件参数!E66="connector",器件参数!E66="switch",器件参数!E66="isolator",器件参数!E66="coupler",器件参数!E66="splitter"),AND(ISNUMBER(器件参数!F66),ABS(器件参数!F66)&lt;=300),器件参数!F66&lt;=0,ISNUMBER(器件参数!I66),器件参数!I66&gt;0),1+(10^(-器件参数!F66/10)-1)*器件参数!I66/Tref_K,""))))),"数值域错误")</f>
        <v>1</v>
      </c>
      <c r="H66" s="5">
        <f t="shared" si="3"/>
        <v>2.29336948552238</v>
      </c>
      <c r="I66" s="5">
        <f t="shared" si="4"/>
        <v>3.604740296957</v>
      </c>
      <c r="J66" s="5">
        <f>IF(AND(ISNUMBER(Pin_dBm),ISNUMBER(D66)),Pin_dBm+D66,"")</f>
        <v>-10</v>
      </c>
      <c r="K66" s="5">
        <f>IF(AND(ISNUMBER(Pin_dBm),ISNUMBER(E66)),Pin_dBm+E66,"")</f>
        <v>-10</v>
      </c>
      <c r="L66" s="5" t="str">
        <f>IF(AND(器件参数!J66="finite",ISNUMBER(器件参数!L66),ISNUMBER(C66)),IF(器件参数!K66="input",器件参数!L66,IF(器件参数!K66="output",器件参数!L66-C66,"")),"")</f>
        <v/>
      </c>
      <c r="M66" s="5">
        <f>IFERROR(IF(NOT(ISNUMBER(M65)),"",IF(OR(NOT(器件参数!B66),器件参数!J66="ideal"),M65,IF(AND(ISNUMBER(L66),ISNUMBER(F66)),M65+F66/10^(L66/10),""))),"数值域错误")</f>
        <v>0.2</v>
      </c>
      <c r="N66" s="5">
        <f t="shared" si="5"/>
        <v>6.98970004336019</v>
      </c>
      <c r="O66" s="5">
        <f t="shared" si="6"/>
        <v>26.9897000433602</v>
      </c>
      <c r="P66" s="5" t="str">
        <f>IF(AND(器件参数!M66="finite",ISNUMBER(器件参数!O66),ISNUMBER(C66)),IF(器件参数!N66="input",器件参数!O66,IF(器件参数!N66="actual_output",器件参数!O66-C66+1,IF(器件参数!N66="linear_output",器件参数!O66-C66,""))),"")</f>
        <v/>
      </c>
      <c r="Q66" s="5">
        <f>IF(器件参数!P66="",IF(AND(ISNUMBER(DefaultP),DefaultP&gt;=1,DefaultP&lt;=10),DefaultP,""),IF(AND(ISNUMBER(器件参数!P66),器件参数!P66&gt;=1,器件参数!P66&lt;=10),器件参数!P66,""))</f>
        <v>2</v>
      </c>
      <c r="R66" s="5">
        <f t="shared" si="7"/>
        <v>-10.0000139708288</v>
      </c>
      <c r="S66" s="5" t="str">
        <f t="shared" si="8"/>
        <v/>
      </c>
      <c r="T66" s="5">
        <f t="shared" si="9"/>
        <v>0</v>
      </c>
      <c r="U66" s="5">
        <f t="shared" si="10"/>
        <v>-10.0000139708288</v>
      </c>
      <c r="V66" s="5">
        <f>IF(AND(ISNUMBER(Pin_dBm),ISNUMBER(E66),ISNUMBER(U66)),Pin_dBm+E66-U66,"")</f>
        <v>1.39708287854035e-5</v>
      </c>
      <c r="W66" s="5" t="str">
        <f>IF(AND(器件参数!B66,X66=1,ISNUMBER(D66)),P66-D66,"")</f>
        <v/>
      </c>
      <c r="X66" s="5">
        <f>IF(NOT(ISNUMBER(C66)),-1,IF(OR(NOT(器件参数!B66),器件参数!M66="ideal"),0,IF(AND(ISNUMBER(P66),ISNUMBER(Q66)),1,-1)))</f>
        <v>0</v>
      </c>
      <c r="Y66" s="5" t="str">
        <f t="shared" si="11"/>
        <v>有效</v>
      </c>
      <c r="Z66" s="5" t="str">
        <f t="shared" si="12"/>
        <v>有效</v>
      </c>
      <c r="AA66" s="5" t="str">
        <f t="shared" si="13"/>
        <v>模型估算</v>
      </c>
      <c r="AB66" s="5">
        <f t="shared" si="14"/>
        <v>100000000</v>
      </c>
      <c r="AC66" s="5">
        <f>IF(NOT(ISNUMBER(AB66)),"",IF(OR(NOT(器件参数!B66),器件参数!E66&lt;&gt;"mixer"),AB66,IF(AND(ISNUMBER(器件参数!T66),器件参数!T66&gt;0),IF(器件参数!U66="sum",AB66+器件参数!T66,IF(器件参数!U66="difference",ABS(AB66-器件参数!T66),"")),"")))</f>
        <v>100000000</v>
      </c>
      <c r="AD66" s="5">
        <f t="shared" si="15"/>
        <v>0</v>
      </c>
      <c r="AE66" s="5">
        <f>IF(AND(ISNUMBER(G66),ISNUMBER(F66)),Tref_K*(G66-1)/F66,"")</f>
        <v>0</v>
      </c>
      <c r="AF66" s="5">
        <f>IF(AND(ISNUMBER(H66),ISNUMBER(E66),NoiseConfigOK),10*LOG10(Boltzmann*Bnoise_Hz*(Tsource_K+Tref_K*(H66-1)))+30+E66,"")</f>
        <v>-90.3704468972711</v>
      </c>
      <c r="AG66" s="5">
        <f t="shared" si="16"/>
        <v>80.3704468972711</v>
      </c>
      <c r="AH66" s="5">
        <f>IF(AND(ToneEnabled,ISNUMBER(E66),ISNUMBER(TonePin)),TonePin+E66,"")</f>
        <v>-10</v>
      </c>
      <c r="AI66" s="5">
        <f>IF(AND(ToneEnabled,ISNUMBER(E66),ISNUMBER(N66),ISNUMBER(TonePin)),3*TonePin+E66-2*N66,"")</f>
        <v>-83.9794000867204</v>
      </c>
      <c r="AJ66" s="5" t="str">
        <f t="shared" si="17"/>
        <v/>
      </c>
      <c r="AK66" s="5" t="str">
        <f>IF(NOT(器件参数!B66),"旁路",IF(NOT(ISNUMBER(AC66)),"频率未知",IF(AC66&lt;=SignalBW/2,"跨零频",IF(AND(ISNUMBER(器件参数!R66),ISNUMBER(器件参数!S66)),IF(AND(AB66-SignalBW/2&gt;=器件参数!R66,AB66+SignalBW/2&lt;=器件参数!S66),"有效","超声明通带"),"未声明通带"))))</f>
        <v>旁路</v>
      </c>
      <c r="AL66" s="5">
        <f t="shared" si="18"/>
        <v>0</v>
      </c>
      <c r="AM66" s="5" t="str">
        <f>IF(AND(器件参数!B66,ISNUMBER(器件参数!X66),OR(AND(ISNUMBER(J66),J66&gt;器件参数!X66),IF(AND(ToneEnabled,ISNUMBER(TonePin),ISNUMBER(D66)),TonePin+10*LOG10(2)+D66&gt;器件参数!X66,FALSE))),"超过绝对最大输入额定值","")</f>
        <v/>
      </c>
      <c r="AN66" s="5">
        <f>IF(NOT(ISNUMBER(AN65)),"",IF(OR(NOT(器件参数!B66),器件参数!E66&lt;&gt;"mixer"),AN65,IF(AND(ISNUMBER(器件参数!T66),器件参数!T66&gt;0),IF(器件参数!U66="sum",AN65+器件参数!T66,ABS(AN65-器件参数!T66)),"")))</f>
        <v>99950000</v>
      </c>
      <c r="AO66" s="5">
        <f>IF(NOT(ISNUMBER(AO65)),"",IF(OR(NOT(器件参数!B66),器件参数!E66&lt;&gt;"mixer"),AO65,IF(AND(ISNUMBER(器件参数!T66),器件参数!T66&gt;0),IF(器件参数!U66="sum",AO65+器件参数!T66,ABS(AO65-器件参数!T66)),"")))</f>
        <v>100050000</v>
      </c>
      <c r="AP66" s="5">
        <f>IF(NOT(ISNUMBER(AP65)),"",IF(OR(NOT(器件参数!B66),器件参数!E66&lt;&gt;"mixer"),AP65,IF(AND(ISNUMBER(器件参数!T66),器件参数!T66&gt;0),IF(器件参数!U66="sum",AP65+器件参数!T66,ABS(AP65-器件参数!T66)),"")))</f>
        <v>99850000</v>
      </c>
      <c r="AQ66" s="5">
        <f>IF(NOT(ISNUMBER(AQ65)),"",IF(OR(NOT(器件参数!B66),器件参数!E66&lt;&gt;"mixer"),AQ65,IF(AND(ISNUMBER(器件参数!T66),器件参数!T66&gt;0),IF(器件参数!U66="sum",AQ65+器件参数!T66,ABS(AQ65-器件参数!T66)),"")))</f>
        <v>100150000</v>
      </c>
      <c r="AR66" s="5" t="b">
        <f>IF(NOT(AR65),FALSE,IF(NOT(器件参数!B66),TRUE,AND(COUNT(AN66:AQ66)=4,MIN(AN66:AQ66)&gt;0,IF(AND(ISNUMBER(器件参数!R66),ISNUMBER(器件参数!S66)),AND(MIN(AN65:AQ65)&gt;=器件参数!R66,MAX(AN65:AQ65)&lt;=器件参数!S66),TRUE),IF(AND(器件参数!E66="mixer",器件参数!U66="difference"),OR(器件参数!T66&lt;MIN(AN65:AQ65),器件参数!T66&gt;MAX(AN65:AQ65)),TRUE))))</f>
        <v>1</v>
      </c>
    </row>
    <row r="67" hidden="1" spans="1:44">
      <c r="A67" s="5">
        <f>器件参数!A67</f>
        <v>64</v>
      </c>
      <c r="B67" s="5" t="str">
        <f>器件参数!D67</f>
        <v/>
      </c>
      <c r="C67" s="5">
        <f>IF(NOT(器件参数!B67),0,IF(AND(ISNUMBER(器件参数!F67),ABS(器件参数!F67)&lt;=300),器件参数!F67,""))</f>
        <v>0</v>
      </c>
      <c r="D67" s="5">
        <f t="shared" si="0"/>
        <v>20</v>
      </c>
      <c r="E67" s="5">
        <f t="shared" si="1"/>
        <v>20</v>
      </c>
      <c r="F67" s="5">
        <f t="shared" si="2"/>
        <v>100</v>
      </c>
      <c r="G67" s="5">
        <f>IFERROR(IF(NOT(器件参数!B67),1,IF(NOT(OR(器件参数!E67&lt;&gt;"mixer",AND(OR(器件参数!V67="SSB",器件参数!V67="DSB"),器件参数!W67=TRUE))),"",IF(器件参数!G67="ideal",1,IF(AND(器件参数!G67="manual",ISNUMBER(器件参数!H67),器件参数!H67&gt;=0),10^(器件参数!H67/10),IF(AND(器件参数!G67="passive_thermal",OR(器件参数!E67="filter_bpf",器件参数!E67="filter_lpf",器件参数!E67="filter_hpf",器件参数!E67="filter_bsf",器件参数!E67="attenuator",器件参数!E67="cable",器件参数!E67="connector",器件参数!E67="switch",器件参数!E67="isolator",器件参数!E67="coupler",器件参数!E67="splitter"),AND(ISNUMBER(器件参数!F67),ABS(器件参数!F67)&lt;=300),器件参数!F67&lt;=0,ISNUMBER(器件参数!I67),器件参数!I67&gt;0),1+(10^(-器件参数!F67/10)-1)*器件参数!I67/Tref_K,""))))),"数值域错误")</f>
        <v>1</v>
      </c>
      <c r="H67" s="5">
        <f t="shared" si="3"/>
        <v>2.29336948552238</v>
      </c>
      <c r="I67" s="5">
        <f t="shared" si="4"/>
        <v>3.604740296957</v>
      </c>
      <c r="J67" s="5">
        <f>IF(AND(ISNUMBER(Pin_dBm),ISNUMBER(D67)),Pin_dBm+D67,"")</f>
        <v>-10</v>
      </c>
      <c r="K67" s="5">
        <f>IF(AND(ISNUMBER(Pin_dBm),ISNUMBER(E67)),Pin_dBm+E67,"")</f>
        <v>-10</v>
      </c>
      <c r="L67" s="5" t="str">
        <f>IF(AND(器件参数!J67="finite",ISNUMBER(器件参数!L67),ISNUMBER(C67)),IF(器件参数!K67="input",器件参数!L67,IF(器件参数!K67="output",器件参数!L67-C67,"")),"")</f>
        <v/>
      </c>
      <c r="M67" s="5">
        <f>IFERROR(IF(NOT(ISNUMBER(M66)),"",IF(OR(NOT(器件参数!B67),器件参数!J67="ideal"),M66,IF(AND(ISNUMBER(L67),ISNUMBER(F67)),M66+F67/10^(L67/10),""))),"数值域错误")</f>
        <v>0.2</v>
      </c>
      <c r="N67" s="5">
        <f t="shared" si="5"/>
        <v>6.98970004336019</v>
      </c>
      <c r="O67" s="5">
        <f t="shared" si="6"/>
        <v>26.9897000433602</v>
      </c>
      <c r="P67" s="5" t="str">
        <f>IF(AND(器件参数!M67="finite",ISNUMBER(器件参数!O67),ISNUMBER(C67)),IF(器件参数!N67="input",器件参数!O67,IF(器件参数!N67="actual_output",器件参数!O67-C67+1,IF(器件参数!N67="linear_output",器件参数!O67-C67,""))),"")</f>
        <v/>
      </c>
      <c r="Q67" s="5">
        <f>IF(器件参数!P67="",IF(AND(ISNUMBER(DefaultP),DefaultP&gt;=1,DefaultP&lt;=10),DefaultP,""),IF(AND(ISNUMBER(器件参数!P67),器件参数!P67&gt;=1,器件参数!P67&lt;=10),器件参数!P67,""))</f>
        <v>2</v>
      </c>
      <c r="R67" s="5">
        <f t="shared" si="7"/>
        <v>-10.0000139708288</v>
      </c>
      <c r="S67" s="5" t="str">
        <f t="shared" si="8"/>
        <v/>
      </c>
      <c r="T67" s="5">
        <f t="shared" si="9"/>
        <v>0</v>
      </c>
      <c r="U67" s="5">
        <f t="shared" si="10"/>
        <v>-10.0000139708288</v>
      </c>
      <c r="V67" s="5">
        <f>IF(AND(ISNUMBER(Pin_dBm),ISNUMBER(E67),ISNUMBER(U67)),Pin_dBm+E67-U67,"")</f>
        <v>1.39708287854035e-5</v>
      </c>
      <c r="W67" s="5" t="str">
        <f>IF(AND(器件参数!B67,X67=1,ISNUMBER(D67)),P67-D67,"")</f>
        <v/>
      </c>
      <c r="X67" s="5">
        <f>IF(NOT(ISNUMBER(C67)),-1,IF(OR(NOT(器件参数!B67),器件参数!M67="ideal"),0,IF(AND(ISNUMBER(P67),ISNUMBER(Q67)),1,-1)))</f>
        <v>0</v>
      </c>
      <c r="Y67" s="5" t="str">
        <f t="shared" si="11"/>
        <v>有效</v>
      </c>
      <c r="Z67" s="5" t="str">
        <f t="shared" si="12"/>
        <v>有效</v>
      </c>
      <c r="AA67" s="5" t="str">
        <f t="shared" si="13"/>
        <v>模型估算</v>
      </c>
      <c r="AB67" s="5">
        <f t="shared" si="14"/>
        <v>100000000</v>
      </c>
      <c r="AC67" s="5">
        <f>IF(NOT(ISNUMBER(AB67)),"",IF(OR(NOT(器件参数!B67),器件参数!E67&lt;&gt;"mixer"),AB67,IF(AND(ISNUMBER(器件参数!T67),器件参数!T67&gt;0),IF(器件参数!U67="sum",AB67+器件参数!T67,IF(器件参数!U67="difference",ABS(AB67-器件参数!T67),"")),"")))</f>
        <v>100000000</v>
      </c>
      <c r="AD67" s="5">
        <f t="shared" si="15"/>
        <v>0</v>
      </c>
      <c r="AE67" s="5">
        <f>IF(AND(ISNUMBER(G67),ISNUMBER(F67)),Tref_K*(G67-1)/F67,"")</f>
        <v>0</v>
      </c>
      <c r="AF67" s="5">
        <f>IF(AND(ISNUMBER(H67),ISNUMBER(E67),NoiseConfigOK),10*LOG10(Boltzmann*Bnoise_Hz*(Tsource_K+Tref_K*(H67-1)))+30+E67,"")</f>
        <v>-90.3704468972711</v>
      </c>
      <c r="AG67" s="5">
        <f t="shared" si="16"/>
        <v>80.3704468972711</v>
      </c>
      <c r="AH67" s="5">
        <f>IF(AND(ToneEnabled,ISNUMBER(E67),ISNUMBER(TonePin)),TonePin+E67,"")</f>
        <v>-10</v>
      </c>
      <c r="AI67" s="5">
        <f>IF(AND(ToneEnabled,ISNUMBER(E67),ISNUMBER(N67),ISNUMBER(TonePin)),3*TonePin+E67-2*N67,"")</f>
        <v>-83.9794000867204</v>
      </c>
      <c r="AJ67" s="5" t="str">
        <f t="shared" si="17"/>
        <v/>
      </c>
      <c r="AK67" s="5" t="str">
        <f>IF(NOT(器件参数!B67),"旁路",IF(NOT(ISNUMBER(AC67)),"频率未知",IF(AC67&lt;=SignalBW/2,"跨零频",IF(AND(ISNUMBER(器件参数!R67),ISNUMBER(器件参数!S67)),IF(AND(AB67-SignalBW/2&gt;=器件参数!R67,AB67+SignalBW/2&lt;=器件参数!S67),"有效","超声明通带"),"未声明通带"))))</f>
        <v>旁路</v>
      </c>
      <c r="AL67" s="5">
        <f t="shared" si="18"/>
        <v>0</v>
      </c>
      <c r="AM67" s="5" t="str">
        <f>IF(AND(器件参数!B67,ISNUMBER(器件参数!X67),OR(AND(ISNUMBER(J67),J67&gt;器件参数!X67),IF(AND(ToneEnabled,ISNUMBER(TonePin),ISNUMBER(D67)),TonePin+10*LOG10(2)+D67&gt;器件参数!X67,FALSE))),"超过绝对最大输入额定值","")</f>
        <v/>
      </c>
      <c r="AN67" s="5">
        <f>IF(NOT(ISNUMBER(AN66)),"",IF(OR(NOT(器件参数!B67),器件参数!E67&lt;&gt;"mixer"),AN66,IF(AND(ISNUMBER(器件参数!T67),器件参数!T67&gt;0),IF(器件参数!U67="sum",AN66+器件参数!T67,ABS(AN66-器件参数!T67)),"")))</f>
        <v>99950000</v>
      </c>
      <c r="AO67" s="5">
        <f>IF(NOT(ISNUMBER(AO66)),"",IF(OR(NOT(器件参数!B67),器件参数!E67&lt;&gt;"mixer"),AO66,IF(AND(ISNUMBER(器件参数!T67),器件参数!T67&gt;0),IF(器件参数!U67="sum",AO66+器件参数!T67,ABS(AO66-器件参数!T67)),"")))</f>
        <v>100050000</v>
      </c>
      <c r="AP67" s="5">
        <f>IF(NOT(ISNUMBER(AP66)),"",IF(OR(NOT(器件参数!B67),器件参数!E67&lt;&gt;"mixer"),AP66,IF(AND(ISNUMBER(器件参数!T67),器件参数!T67&gt;0),IF(器件参数!U67="sum",AP66+器件参数!T67,ABS(AP66-器件参数!T67)),"")))</f>
        <v>99850000</v>
      </c>
      <c r="AQ67" s="5">
        <f>IF(NOT(ISNUMBER(AQ66)),"",IF(OR(NOT(器件参数!B67),器件参数!E67&lt;&gt;"mixer"),AQ66,IF(AND(ISNUMBER(器件参数!T67),器件参数!T67&gt;0),IF(器件参数!U67="sum",AQ66+器件参数!T67,ABS(AQ66-器件参数!T67)),"")))</f>
        <v>100150000</v>
      </c>
      <c r="AR67" s="5" t="b">
        <f>IF(NOT(AR66),FALSE,IF(NOT(器件参数!B67),TRUE,AND(COUNT(AN67:AQ67)=4,MIN(AN67:AQ67)&gt;0,IF(AND(ISNUMBER(器件参数!R67),ISNUMBER(器件参数!S67)),AND(MIN(AN66:AQ66)&gt;=器件参数!R67,MAX(AN66:AQ66)&lt;=器件参数!S67),TRUE),IF(AND(器件参数!E67="mixer",器件参数!U67="difference"),OR(器件参数!T67&lt;MIN(AN66:AQ66),器件参数!T67&gt;MAX(AN66:AQ66)),TRUE))))</f>
        <v>1</v>
      </c>
    </row>
    <row r="68" hidden="1" spans="1:44">
      <c r="A68" s="5">
        <f>器件参数!A68</f>
        <v>65</v>
      </c>
      <c r="B68" s="5" t="str">
        <f>器件参数!D68</f>
        <v/>
      </c>
      <c r="C68" s="5">
        <f>IF(NOT(器件参数!B68),0,IF(AND(ISNUMBER(器件参数!F68),ABS(器件参数!F68)&lt;=300),器件参数!F68,""))</f>
        <v>0</v>
      </c>
      <c r="D68" s="5">
        <f t="shared" ref="D68:D131" si="19">IF(ISNUMBER(E67),E67,"")</f>
        <v>20</v>
      </c>
      <c r="E68" s="5">
        <f t="shared" ref="E68:E131" si="20">IF(AND(ISNUMBER(C68),ISNUMBER(D68)),C68+D68,"")</f>
        <v>20</v>
      </c>
      <c r="F68" s="5">
        <f t="shared" ref="F68:F131" si="21">IFERROR(IF(AND(ISNUMBER(D68)),10^(D68/10),""),"数值域错误")</f>
        <v>100</v>
      </c>
      <c r="G68" s="5">
        <f>IFERROR(IF(NOT(器件参数!B68),1,IF(NOT(OR(器件参数!E68&lt;&gt;"mixer",AND(OR(器件参数!V68="SSB",器件参数!V68="DSB"),器件参数!W68=TRUE))),"",IF(器件参数!G68="ideal",1,IF(AND(器件参数!G68="manual",ISNUMBER(器件参数!H68),器件参数!H68&gt;=0),10^(器件参数!H68/10),IF(AND(器件参数!G68="passive_thermal",OR(器件参数!E68="filter_bpf",器件参数!E68="filter_lpf",器件参数!E68="filter_hpf",器件参数!E68="filter_bsf",器件参数!E68="attenuator",器件参数!E68="cable",器件参数!E68="connector",器件参数!E68="switch",器件参数!E68="isolator",器件参数!E68="coupler",器件参数!E68="splitter"),AND(ISNUMBER(器件参数!F68),ABS(器件参数!F68)&lt;=300),器件参数!F68&lt;=0,ISNUMBER(器件参数!I68),器件参数!I68&gt;0),1+(10^(-器件参数!F68/10)-1)*器件参数!I68/Tref_K,""))))),"数值域错误")</f>
        <v>1</v>
      </c>
      <c r="H68" s="5">
        <f t="shared" ref="H68:H131" si="22">IFERROR(IF(AND(ISNUMBER(H67),ISNUMBER(G68),ISNUMBER(F68)),H67+(G68-1)/F68,""),"数值域错误")</f>
        <v>2.29336948552238</v>
      </c>
      <c r="I68" s="5">
        <f t="shared" ref="I68:I131" si="23">IF(AND(ISNUMBER(H68)),10*LOG10(H68),"")</f>
        <v>3.604740296957</v>
      </c>
      <c r="J68" s="5">
        <f>IF(AND(ISNUMBER(Pin_dBm),ISNUMBER(D68)),Pin_dBm+D68,"")</f>
        <v>-10</v>
      </c>
      <c r="K68" s="5">
        <f>IF(AND(ISNUMBER(Pin_dBm),ISNUMBER(E68)),Pin_dBm+E68,"")</f>
        <v>-10</v>
      </c>
      <c r="L68" s="5" t="str">
        <f>IF(AND(器件参数!J68="finite",ISNUMBER(器件参数!L68),ISNUMBER(C68)),IF(器件参数!K68="input",器件参数!L68,IF(器件参数!K68="output",器件参数!L68-C68,"")),"")</f>
        <v/>
      </c>
      <c r="M68" s="5">
        <f>IFERROR(IF(NOT(ISNUMBER(M67)),"",IF(OR(NOT(器件参数!B68),器件参数!J68="ideal"),M67,IF(AND(ISNUMBER(L68),ISNUMBER(F68)),M67+F68/10^(L68/10),""))),"数值域错误")</f>
        <v>0.2</v>
      </c>
      <c r="N68" s="5">
        <f t="shared" ref="N68:N131" si="24">IF(AND(ISNUMBER(M68),M68&gt;0),-10*LOG10(M68),"")</f>
        <v>6.98970004336019</v>
      </c>
      <c r="O68" s="5">
        <f t="shared" ref="O68:O131" si="25">IF(AND(ISNUMBER(N68),ISNUMBER(E68)),N68+E68,"")</f>
        <v>26.9897000433602</v>
      </c>
      <c r="P68" s="5" t="str">
        <f>IF(AND(器件参数!M68="finite",ISNUMBER(器件参数!O68),ISNUMBER(C68)),IF(器件参数!N68="input",器件参数!O68,IF(器件参数!N68="actual_output",器件参数!O68-C68+1,IF(器件参数!N68="linear_output",器件参数!O68-C68,""))),"")</f>
        <v/>
      </c>
      <c r="Q68" s="5">
        <f>IF(器件参数!P68="",IF(AND(ISNUMBER(DefaultP),DefaultP&gt;=1,DefaultP&lt;=10),DefaultP,""),IF(AND(ISNUMBER(器件参数!P68),器件参数!P68&gt;=1,器件参数!P68&lt;=10),器件参数!P68,""))</f>
        <v>2</v>
      </c>
      <c r="R68" s="5">
        <f t="shared" ref="R68:R131" si="26">IF(ISNUMBER(U67),U67,"")</f>
        <v>-10.0000139708288</v>
      </c>
      <c r="S68" s="5" t="str">
        <f t="shared" ref="S68:S131" si="27">IF(AND(ISNUMBER(Q68),ISNUMBER(R68),ISNUMBER(P68)),LN(10^(Q68/10)-1)+Q68*(R68-P68)*LN(10)/10,"")</f>
        <v/>
      </c>
      <c r="T68" s="5">
        <f t="shared" ref="T68:T131" si="28">IF(X68=0,0,IF(AND(X68=1,ISNUMBER(S68)),10/(Q68*LN(10))*(MAX(S68,0)+LN(1+EXP(-ABS(S68)))),""))</f>
        <v>0</v>
      </c>
      <c r="U68" s="5">
        <f t="shared" ref="U68:U131" si="29">IF(AND(ISNUMBER(R68),ISNUMBER(C68),ISNUMBER(T68)),R68+C68-T68,"")</f>
        <v>-10.0000139708288</v>
      </c>
      <c r="V68" s="5">
        <f>IF(AND(ISNUMBER(Pin_dBm),ISNUMBER(E68),ISNUMBER(U68)),Pin_dBm+E68-U68,"")</f>
        <v>1.39708287854035e-5</v>
      </c>
      <c r="W68" s="5" t="str">
        <f>IF(AND(器件参数!B68,X68=1,ISNUMBER(D68)),P68-D68,"")</f>
        <v/>
      </c>
      <c r="X68" s="5">
        <f>IF(NOT(ISNUMBER(C68)),-1,IF(OR(NOT(器件参数!B68),器件参数!M68="ideal"),0,IF(AND(ISNUMBER(P68),ISNUMBER(Q68)),1,-1)))</f>
        <v>0</v>
      </c>
      <c r="Y68" s="5" t="str">
        <f t="shared" ref="Y68:Y131" si="30">IF(ISNUMBER(H68),"有效","未知／噪声参数或口径不完整")</f>
        <v>有效</v>
      </c>
      <c r="Z68" s="5" t="str">
        <f t="shared" ref="Z68:Z131" si="31">IF(NOT(ISNUMBER(M68)),"未知／IP3参数不完整",IF(M68=0,"理想／无有限值","有效"))</f>
        <v>有效</v>
      </c>
      <c r="AA68" s="5" t="str">
        <f t="shared" ref="AA68:AA131" si="32">IF(ISNUMBER(U68),"模型估算","未知／增益或压缩参数不完整")</f>
        <v>模型估算</v>
      </c>
      <c r="AB68" s="5">
        <f t="shared" ref="AB68:AB131" si="33">IF(ISNUMBER(AC67),AC67,"")</f>
        <v>100000000</v>
      </c>
      <c r="AC68" s="5">
        <f>IF(NOT(ISNUMBER(AB68)),"",IF(OR(NOT(器件参数!B68),器件参数!E68&lt;&gt;"mixer"),AB68,IF(AND(ISNUMBER(器件参数!T68),器件参数!T68&gt;0),IF(器件参数!U68="sum",AB68+器件参数!T68,IF(器件参数!U68="difference",ABS(AB68-器件参数!T68),"")),"")))</f>
        <v>100000000</v>
      </c>
      <c r="AD68" s="5">
        <f t="shared" ref="AD68:AD131" si="34">IF(AND(ISNUMBER(G68)),10*LOG10(G68),"")</f>
        <v>0</v>
      </c>
      <c r="AE68" s="5">
        <f>IF(AND(ISNUMBER(G68),ISNUMBER(F68)),Tref_K*(G68-1)/F68,"")</f>
        <v>0</v>
      </c>
      <c r="AF68" s="5">
        <f>IF(AND(ISNUMBER(H68),ISNUMBER(E68),NoiseConfigOK),10*LOG10(Boltzmann*Bnoise_Hz*(Tsource_K+Tref_K*(H68-1)))+30+E68,"")</f>
        <v>-90.3704468972711</v>
      </c>
      <c r="AG68" s="5">
        <f t="shared" ref="AG68:AG131" si="35">IF(AND(ISNUMBER(K68),ISNUMBER(AF68)),K68-AF68,"")</f>
        <v>80.3704468972711</v>
      </c>
      <c r="AH68" s="5">
        <f>IF(AND(ToneEnabled,ISNUMBER(E68),ISNUMBER(TonePin)),TonePin+E68,"")</f>
        <v>-10</v>
      </c>
      <c r="AI68" s="5">
        <f>IF(AND(ToneEnabled,ISNUMBER(E68),ISNUMBER(N68),ISNUMBER(TonePin)),3*TonePin+E68-2*N68,"")</f>
        <v>-83.9794000867204</v>
      </c>
      <c r="AJ68" s="5" t="str">
        <f t="shared" ref="AJ68:AJ131" si="36">IF(X68=1,Q68,"")</f>
        <v/>
      </c>
      <c r="AK68" s="5" t="str">
        <f>IF(NOT(器件参数!B68),"旁路",IF(NOT(ISNUMBER(AC68)),"频率未知",IF(AC68&lt;=SignalBW/2,"跨零频",IF(AND(ISNUMBER(器件参数!R68),ISNUMBER(器件参数!S68)),IF(AND(AB68-SignalBW/2&gt;=器件参数!R68,AB68+SignalBW/2&lt;=器件参数!S68),"有效","超声明通带"),"未声明通带"))))</f>
        <v>旁路</v>
      </c>
      <c r="AL68" s="5">
        <f t="shared" ref="AL68:AL131" si="37">IFERROR(IF(AND(X68=1,ISNUMBER(D68)),10^(Q68*(D68-P68)/10),0),"数值域错误")</f>
        <v>0</v>
      </c>
      <c r="AM68" s="5" t="str">
        <f>IF(AND(器件参数!B68,ISNUMBER(器件参数!X68),OR(AND(ISNUMBER(J68),J68&gt;器件参数!X68),IF(AND(ToneEnabled,ISNUMBER(TonePin),ISNUMBER(D68)),TonePin+10*LOG10(2)+D68&gt;器件参数!X68,FALSE))),"超过绝对最大输入额定值","")</f>
        <v/>
      </c>
      <c r="AN68" s="5">
        <f>IF(NOT(ISNUMBER(AN67)),"",IF(OR(NOT(器件参数!B68),器件参数!E68&lt;&gt;"mixer"),AN67,IF(AND(ISNUMBER(器件参数!T68),器件参数!T68&gt;0),IF(器件参数!U68="sum",AN67+器件参数!T68,ABS(AN67-器件参数!T68)),"")))</f>
        <v>99950000</v>
      </c>
      <c r="AO68" s="5">
        <f>IF(NOT(ISNUMBER(AO67)),"",IF(OR(NOT(器件参数!B68),器件参数!E68&lt;&gt;"mixer"),AO67,IF(AND(ISNUMBER(器件参数!T68),器件参数!T68&gt;0),IF(器件参数!U68="sum",AO67+器件参数!T68,ABS(AO67-器件参数!T68)),"")))</f>
        <v>100050000</v>
      </c>
      <c r="AP68" s="5">
        <f>IF(NOT(ISNUMBER(AP67)),"",IF(OR(NOT(器件参数!B68),器件参数!E68&lt;&gt;"mixer"),AP67,IF(AND(ISNUMBER(器件参数!T68),器件参数!T68&gt;0),IF(器件参数!U68="sum",AP67+器件参数!T68,ABS(AP67-器件参数!T68)),"")))</f>
        <v>99850000</v>
      </c>
      <c r="AQ68" s="5">
        <f>IF(NOT(ISNUMBER(AQ67)),"",IF(OR(NOT(器件参数!B68),器件参数!E68&lt;&gt;"mixer"),AQ67,IF(AND(ISNUMBER(器件参数!T68),器件参数!T68&gt;0),IF(器件参数!U68="sum",AQ67+器件参数!T68,ABS(AQ67-器件参数!T68)),"")))</f>
        <v>100150000</v>
      </c>
      <c r="AR68" s="5" t="b">
        <f>IF(NOT(AR67),FALSE,IF(NOT(器件参数!B68),TRUE,AND(COUNT(AN68:AQ68)=4,MIN(AN68:AQ68)&gt;0,IF(AND(ISNUMBER(器件参数!R68),ISNUMBER(器件参数!S68)),AND(MIN(AN67:AQ67)&gt;=器件参数!R68,MAX(AN67:AQ67)&lt;=器件参数!S68),TRUE),IF(AND(器件参数!E68="mixer",器件参数!U68="difference"),OR(器件参数!T68&lt;MIN(AN67:AQ67),器件参数!T68&gt;MAX(AN67:AQ67)),TRUE))))</f>
        <v>1</v>
      </c>
    </row>
    <row r="69" hidden="1" spans="1:44">
      <c r="A69" s="5">
        <f>器件参数!A69</f>
        <v>66</v>
      </c>
      <c r="B69" s="5" t="str">
        <f>器件参数!D69</f>
        <v/>
      </c>
      <c r="C69" s="5">
        <f>IF(NOT(器件参数!B69),0,IF(AND(ISNUMBER(器件参数!F69),ABS(器件参数!F69)&lt;=300),器件参数!F69,""))</f>
        <v>0</v>
      </c>
      <c r="D69" s="5">
        <f t="shared" si="19"/>
        <v>20</v>
      </c>
      <c r="E69" s="5">
        <f t="shared" si="20"/>
        <v>20</v>
      </c>
      <c r="F69" s="5">
        <f t="shared" si="21"/>
        <v>100</v>
      </c>
      <c r="G69" s="5">
        <f>IFERROR(IF(NOT(器件参数!B69),1,IF(NOT(OR(器件参数!E69&lt;&gt;"mixer",AND(OR(器件参数!V69="SSB",器件参数!V69="DSB"),器件参数!W69=TRUE))),"",IF(器件参数!G69="ideal",1,IF(AND(器件参数!G69="manual",ISNUMBER(器件参数!H69),器件参数!H69&gt;=0),10^(器件参数!H69/10),IF(AND(器件参数!G69="passive_thermal",OR(器件参数!E69="filter_bpf",器件参数!E69="filter_lpf",器件参数!E69="filter_hpf",器件参数!E69="filter_bsf",器件参数!E69="attenuator",器件参数!E69="cable",器件参数!E69="connector",器件参数!E69="switch",器件参数!E69="isolator",器件参数!E69="coupler",器件参数!E69="splitter"),AND(ISNUMBER(器件参数!F69),ABS(器件参数!F69)&lt;=300),器件参数!F69&lt;=0,ISNUMBER(器件参数!I69),器件参数!I69&gt;0),1+(10^(-器件参数!F69/10)-1)*器件参数!I69/Tref_K,""))))),"数值域错误")</f>
        <v>1</v>
      </c>
      <c r="H69" s="5">
        <f t="shared" si="22"/>
        <v>2.29336948552238</v>
      </c>
      <c r="I69" s="5">
        <f t="shared" si="23"/>
        <v>3.604740296957</v>
      </c>
      <c r="J69" s="5">
        <f>IF(AND(ISNUMBER(Pin_dBm),ISNUMBER(D69)),Pin_dBm+D69,"")</f>
        <v>-10</v>
      </c>
      <c r="K69" s="5">
        <f>IF(AND(ISNUMBER(Pin_dBm),ISNUMBER(E69)),Pin_dBm+E69,"")</f>
        <v>-10</v>
      </c>
      <c r="L69" s="5" t="str">
        <f>IF(AND(器件参数!J69="finite",ISNUMBER(器件参数!L69),ISNUMBER(C69)),IF(器件参数!K69="input",器件参数!L69,IF(器件参数!K69="output",器件参数!L69-C69,"")),"")</f>
        <v/>
      </c>
      <c r="M69" s="5">
        <f>IFERROR(IF(NOT(ISNUMBER(M68)),"",IF(OR(NOT(器件参数!B69),器件参数!J69="ideal"),M68,IF(AND(ISNUMBER(L69),ISNUMBER(F69)),M68+F69/10^(L69/10),""))),"数值域错误")</f>
        <v>0.2</v>
      </c>
      <c r="N69" s="5">
        <f t="shared" si="24"/>
        <v>6.98970004336019</v>
      </c>
      <c r="O69" s="5">
        <f t="shared" si="25"/>
        <v>26.9897000433602</v>
      </c>
      <c r="P69" s="5" t="str">
        <f>IF(AND(器件参数!M69="finite",ISNUMBER(器件参数!O69),ISNUMBER(C69)),IF(器件参数!N69="input",器件参数!O69,IF(器件参数!N69="actual_output",器件参数!O69-C69+1,IF(器件参数!N69="linear_output",器件参数!O69-C69,""))),"")</f>
        <v/>
      </c>
      <c r="Q69" s="5">
        <f>IF(器件参数!P69="",IF(AND(ISNUMBER(DefaultP),DefaultP&gt;=1,DefaultP&lt;=10),DefaultP,""),IF(AND(ISNUMBER(器件参数!P69),器件参数!P69&gt;=1,器件参数!P69&lt;=10),器件参数!P69,""))</f>
        <v>2</v>
      </c>
      <c r="R69" s="5">
        <f t="shared" si="26"/>
        <v>-10.0000139708288</v>
      </c>
      <c r="S69" s="5" t="str">
        <f t="shared" si="27"/>
        <v/>
      </c>
      <c r="T69" s="5">
        <f t="shared" si="28"/>
        <v>0</v>
      </c>
      <c r="U69" s="5">
        <f t="shared" si="29"/>
        <v>-10.0000139708288</v>
      </c>
      <c r="V69" s="5">
        <f>IF(AND(ISNUMBER(Pin_dBm),ISNUMBER(E69),ISNUMBER(U69)),Pin_dBm+E69-U69,"")</f>
        <v>1.39708287854035e-5</v>
      </c>
      <c r="W69" s="5" t="str">
        <f>IF(AND(器件参数!B69,X69=1,ISNUMBER(D69)),P69-D69,"")</f>
        <v/>
      </c>
      <c r="X69" s="5">
        <f>IF(NOT(ISNUMBER(C69)),-1,IF(OR(NOT(器件参数!B69),器件参数!M69="ideal"),0,IF(AND(ISNUMBER(P69),ISNUMBER(Q69)),1,-1)))</f>
        <v>0</v>
      </c>
      <c r="Y69" s="5" t="str">
        <f t="shared" si="30"/>
        <v>有效</v>
      </c>
      <c r="Z69" s="5" t="str">
        <f t="shared" si="31"/>
        <v>有效</v>
      </c>
      <c r="AA69" s="5" t="str">
        <f t="shared" si="32"/>
        <v>模型估算</v>
      </c>
      <c r="AB69" s="5">
        <f t="shared" si="33"/>
        <v>100000000</v>
      </c>
      <c r="AC69" s="5">
        <f>IF(NOT(ISNUMBER(AB69)),"",IF(OR(NOT(器件参数!B69),器件参数!E69&lt;&gt;"mixer"),AB69,IF(AND(ISNUMBER(器件参数!T69),器件参数!T69&gt;0),IF(器件参数!U69="sum",AB69+器件参数!T69,IF(器件参数!U69="difference",ABS(AB69-器件参数!T69),"")),"")))</f>
        <v>100000000</v>
      </c>
      <c r="AD69" s="5">
        <f t="shared" si="34"/>
        <v>0</v>
      </c>
      <c r="AE69" s="5">
        <f>IF(AND(ISNUMBER(G69),ISNUMBER(F69)),Tref_K*(G69-1)/F69,"")</f>
        <v>0</v>
      </c>
      <c r="AF69" s="5">
        <f>IF(AND(ISNUMBER(H69),ISNUMBER(E69),NoiseConfigOK),10*LOG10(Boltzmann*Bnoise_Hz*(Tsource_K+Tref_K*(H69-1)))+30+E69,"")</f>
        <v>-90.3704468972711</v>
      </c>
      <c r="AG69" s="5">
        <f t="shared" si="35"/>
        <v>80.3704468972711</v>
      </c>
      <c r="AH69" s="5">
        <f>IF(AND(ToneEnabled,ISNUMBER(E69),ISNUMBER(TonePin)),TonePin+E69,"")</f>
        <v>-10</v>
      </c>
      <c r="AI69" s="5">
        <f>IF(AND(ToneEnabled,ISNUMBER(E69),ISNUMBER(N69),ISNUMBER(TonePin)),3*TonePin+E69-2*N69,"")</f>
        <v>-83.9794000867204</v>
      </c>
      <c r="AJ69" s="5" t="str">
        <f t="shared" si="36"/>
        <v/>
      </c>
      <c r="AK69" s="5" t="str">
        <f>IF(NOT(器件参数!B69),"旁路",IF(NOT(ISNUMBER(AC69)),"频率未知",IF(AC69&lt;=SignalBW/2,"跨零频",IF(AND(ISNUMBER(器件参数!R69),ISNUMBER(器件参数!S69)),IF(AND(AB69-SignalBW/2&gt;=器件参数!R69,AB69+SignalBW/2&lt;=器件参数!S69),"有效","超声明通带"),"未声明通带"))))</f>
        <v>旁路</v>
      </c>
      <c r="AL69" s="5">
        <f t="shared" si="37"/>
        <v>0</v>
      </c>
      <c r="AM69" s="5" t="str">
        <f>IF(AND(器件参数!B69,ISNUMBER(器件参数!X69),OR(AND(ISNUMBER(J69),J69&gt;器件参数!X69),IF(AND(ToneEnabled,ISNUMBER(TonePin),ISNUMBER(D69)),TonePin+10*LOG10(2)+D69&gt;器件参数!X69,FALSE))),"超过绝对最大输入额定值","")</f>
        <v/>
      </c>
      <c r="AN69" s="5">
        <f>IF(NOT(ISNUMBER(AN68)),"",IF(OR(NOT(器件参数!B69),器件参数!E69&lt;&gt;"mixer"),AN68,IF(AND(ISNUMBER(器件参数!T69),器件参数!T69&gt;0),IF(器件参数!U69="sum",AN68+器件参数!T69,ABS(AN68-器件参数!T69)),"")))</f>
        <v>99950000</v>
      </c>
      <c r="AO69" s="5">
        <f>IF(NOT(ISNUMBER(AO68)),"",IF(OR(NOT(器件参数!B69),器件参数!E69&lt;&gt;"mixer"),AO68,IF(AND(ISNUMBER(器件参数!T69),器件参数!T69&gt;0),IF(器件参数!U69="sum",AO68+器件参数!T69,ABS(AO68-器件参数!T69)),"")))</f>
        <v>100050000</v>
      </c>
      <c r="AP69" s="5">
        <f>IF(NOT(ISNUMBER(AP68)),"",IF(OR(NOT(器件参数!B69),器件参数!E69&lt;&gt;"mixer"),AP68,IF(AND(ISNUMBER(器件参数!T69),器件参数!T69&gt;0),IF(器件参数!U69="sum",AP68+器件参数!T69,ABS(AP68-器件参数!T69)),"")))</f>
        <v>99850000</v>
      </c>
      <c r="AQ69" s="5">
        <f>IF(NOT(ISNUMBER(AQ68)),"",IF(OR(NOT(器件参数!B69),器件参数!E69&lt;&gt;"mixer"),AQ68,IF(AND(ISNUMBER(器件参数!T69),器件参数!T69&gt;0),IF(器件参数!U69="sum",AQ68+器件参数!T69,ABS(AQ68-器件参数!T69)),"")))</f>
        <v>100150000</v>
      </c>
      <c r="AR69" s="5" t="b">
        <f>IF(NOT(AR68),FALSE,IF(NOT(器件参数!B69),TRUE,AND(COUNT(AN69:AQ69)=4,MIN(AN69:AQ69)&gt;0,IF(AND(ISNUMBER(器件参数!R69),ISNUMBER(器件参数!S69)),AND(MIN(AN68:AQ68)&gt;=器件参数!R69,MAX(AN68:AQ68)&lt;=器件参数!S69),TRUE),IF(AND(器件参数!E69="mixer",器件参数!U69="difference"),OR(器件参数!T69&lt;MIN(AN68:AQ68),器件参数!T69&gt;MAX(AN68:AQ68)),TRUE))))</f>
        <v>1</v>
      </c>
    </row>
    <row r="70" hidden="1" spans="1:44">
      <c r="A70" s="5">
        <f>器件参数!A70</f>
        <v>67</v>
      </c>
      <c r="B70" s="5" t="str">
        <f>器件参数!D70</f>
        <v/>
      </c>
      <c r="C70" s="5">
        <f>IF(NOT(器件参数!B70),0,IF(AND(ISNUMBER(器件参数!F70),ABS(器件参数!F70)&lt;=300),器件参数!F70,""))</f>
        <v>0</v>
      </c>
      <c r="D70" s="5">
        <f t="shared" si="19"/>
        <v>20</v>
      </c>
      <c r="E70" s="5">
        <f t="shared" si="20"/>
        <v>20</v>
      </c>
      <c r="F70" s="5">
        <f t="shared" si="21"/>
        <v>100</v>
      </c>
      <c r="G70" s="5">
        <f>IFERROR(IF(NOT(器件参数!B70),1,IF(NOT(OR(器件参数!E70&lt;&gt;"mixer",AND(OR(器件参数!V70="SSB",器件参数!V70="DSB"),器件参数!W70=TRUE))),"",IF(器件参数!G70="ideal",1,IF(AND(器件参数!G70="manual",ISNUMBER(器件参数!H70),器件参数!H70&gt;=0),10^(器件参数!H70/10),IF(AND(器件参数!G70="passive_thermal",OR(器件参数!E70="filter_bpf",器件参数!E70="filter_lpf",器件参数!E70="filter_hpf",器件参数!E70="filter_bsf",器件参数!E70="attenuator",器件参数!E70="cable",器件参数!E70="connector",器件参数!E70="switch",器件参数!E70="isolator",器件参数!E70="coupler",器件参数!E70="splitter"),AND(ISNUMBER(器件参数!F70),ABS(器件参数!F70)&lt;=300),器件参数!F70&lt;=0,ISNUMBER(器件参数!I70),器件参数!I70&gt;0),1+(10^(-器件参数!F70/10)-1)*器件参数!I70/Tref_K,""))))),"数值域错误")</f>
        <v>1</v>
      </c>
      <c r="H70" s="5">
        <f t="shared" si="22"/>
        <v>2.29336948552238</v>
      </c>
      <c r="I70" s="5">
        <f t="shared" si="23"/>
        <v>3.604740296957</v>
      </c>
      <c r="J70" s="5">
        <f>IF(AND(ISNUMBER(Pin_dBm),ISNUMBER(D70)),Pin_dBm+D70,"")</f>
        <v>-10</v>
      </c>
      <c r="K70" s="5">
        <f>IF(AND(ISNUMBER(Pin_dBm),ISNUMBER(E70)),Pin_dBm+E70,"")</f>
        <v>-10</v>
      </c>
      <c r="L70" s="5" t="str">
        <f>IF(AND(器件参数!J70="finite",ISNUMBER(器件参数!L70),ISNUMBER(C70)),IF(器件参数!K70="input",器件参数!L70,IF(器件参数!K70="output",器件参数!L70-C70,"")),"")</f>
        <v/>
      </c>
      <c r="M70" s="5">
        <f>IFERROR(IF(NOT(ISNUMBER(M69)),"",IF(OR(NOT(器件参数!B70),器件参数!J70="ideal"),M69,IF(AND(ISNUMBER(L70),ISNUMBER(F70)),M69+F70/10^(L70/10),""))),"数值域错误")</f>
        <v>0.2</v>
      </c>
      <c r="N70" s="5">
        <f t="shared" si="24"/>
        <v>6.98970004336019</v>
      </c>
      <c r="O70" s="5">
        <f t="shared" si="25"/>
        <v>26.9897000433602</v>
      </c>
      <c r="P70" s="5" t="str">
        <f>IF(AND(器件参数!M70="finite",ISNUMBER(器件参数!O70),ISNUMBER(C70)),IF(器件参数!N70="input",器件参数!O70,IF(器件参数!N70="actual_output",器件参数!O70-C70+1,IF(器件参数!N70="linear_output",器件参数!O70-C70,""))),"")</f>
        <v/>
      </c>
      <c r="Q70" s="5">
        <f>IF(器件参数!P70="",IF(AND(ISNUMBER(DefaultP),DefaultP&gt;=1,DefaultP&lt;=10),DefaultP,""),IF(AND(ISNUMBER(器件参数!P70),器件参数!P70&gt;=1,器件参数!P70&lt;=10),器件参数!P70,""))</f>
        <v>2</v>
      </c>
      <c r="R70" s="5">
        <f t="shared" si="26"/>
        <v>-10.0000139708288</v>
      </c>
      <c r="S70" s="5" t="str">
        <f t="shared" si="27"/>
        <v/>
      </c>
      <c r="T70" s="5">
        <f t="shared" si="28"/>
        <v>0</v>
      </c>
      <c r="U70" s="5">
        <f t="shared" si="29"/>
        <v>-10.0000139708288</v>
      </c>
      <c r="V70" s="5">
        <f>IF(AND(ISNUMBER(Pin_dBm),ISNUMBER(E70),ISNUMBER(U70)),Pin_dBm+E70-U70,"")</f>
        <v>1.39708287854035e-5</v>
      </c>
      <c r="W70" s="5" t="str">
        <f>IF(AND(器件参数!B70,X70=1,ISNUMBER(D70)),P70-D70,"")</f>
        <v/>
      </c>
      <c r="X70" s="5">
        <f>IF(NOT(ISNUMBER(C70)),-1,IF(OR(NOT(器件参数!B70),器件参数!M70="ideal"),0,IF(AND(ISNUMBER(P70),ISNUMBER(Q70)),1,-1)))</f>
        <v>0</v>
      </c>
      <c r="Y70" s="5" t="str">
        <f t="shared" si="30"/>
        <v>有效</v>
      </c>
      <c r="Z70" s="5" t="str">
        <f t="shared" si="31"/>
        <v>有效</v>
      </c>
      <c r="AA70" s="5" t="str">
        <f t="shared" si="32"/>
        <v>模型估算</v>
      </c>
      <c r="AB70" s="5">
        <f t="shared" si="33"/>
        <v>100000000</v>
      </c>
      <c r="AC70" s="5">
        <f>IF(NOT(ISNUMBER(AB70)),"",IF(OR(NOT(器件参数!B70),器件参数!E70&lt;&gt;"mixer"),AB70,IF(AND(ISNUMBER(器件参数!T70),器件参数!T70&gt;0),IF(器件参数!U70="sum",AB70+器件参数!T70,IF(器件参数!U70="difference",ABS(AB70-器件参数!T70),"")),"")))</f>
        <v>100000000</v>
      </c>
      <c r="AD70" s="5">
        <f t="shared" si="34"/>
        <v>0</v>
      </c>
      <c r="AE70" s="5">
        <f>IF(AND(ISNUMBER(G70),ISNUMBER(F70)),Tref_K*(G70-1)/F70,"")</f>
        <v>0</v>
      </c>
      <c r="AF70" s="5">
        <f>IF(AND(ISNUMBER(H70),ISNUMBER(E70),NoiseConfigOK),10*LOG10(Boltzmann*Bnoise_Hz*(Tsource_K+Tref_K*(H70-1)))+30+E70,"")</f>
        <v>-90.3704468972711</v>
      </c>
      <c r="AG70" s="5">
        <f t="shared" si="35"/>
        <v>80.3704468972711</v>
      </c>
      <c r="AH70" s="5">
        <f>IF(AND(ToneEnabled,ISNUMBER(E70),ISNUMBER(TonePin)),TonePin+E70,"")</f>
        <v>-10</v>
      </c>
      <c r="AI70" s="5">
        <f>IF(AND(ToneEnabled,ISNUMBER(E70),ISNUMBER(N70),ISNUMBER(TonePin)),3*TonePin+E70-2*N70,"")</f>
        <v>-83.9794000867204</v>
      </c>
      <c r="AJ70" s="5" t="str">
        <f t="shared" si="36"/>
        <v/>
      </c>
      <c r="AK70" s="5" t="str">
        <f>IF(NOT(器件参数!B70),"旁路",IF(NOT(ISNUMBER(AC70)),"频率未知",IF(AC70&lt;=SignalBW/2,"跨零频",IF(AND(ISNUMBER(器件参数!R70),ISNUMBER(器件参数!S70)),IF(AND(AB70-SignalBW/2&gt;=器件参数!R70,AB70+SignalBW/2&lt;=器件参数!S70),"有效","超声明通带"),"未声明通带"))))</f>
        <v>旁路</v>
      </c>
      <c r="AL70" s="5">
        <f t="shared" si="37"/>
        <v>0</v>
      </c>
      <c r="AM70" s="5" t="str">
        <f>IF(AND(器件参数!B70,ISNUMBER(器件参数!X70),OR(AND(ISNUMBER(J70),J70&gt;器件参数!X70),IF(AND(ToneEnabled,ISNUMBER(TonePin),ISNUMBER(D70)),TonePin+10*LOG10(2)+D70&gt;器件参数!X70,FALSE))),"超过绝对最大输入额定值","")</f>
        <v/>
      </c>
      <c r="AN70" s="5">
        <f>IF(NOT(ISNUMBER(AN69)),"",IF(OR(NOT(器件参数!B70),器件参数!E70&lt;&gt;"mixer"),AN69,IF(AND(ISNUMBER(器件参数!T70),器件参数!T70&gt;0),IF(器件参数!U70="sum",AN69+器件参数!T70,ABS(AN69-器件参数!T70)),"")))</f>
        <v>99950000</v>
      </c>
      <c r="AO70" s="5">
        <f>IF(NOT(ISNUMBER(AO69)),"",IF(OR(NOT(器件参数!B70),器件参数!E70&lt;&gt;"mixer"),AO69,IF(AND(ISNUMBER(器件参数!T70),器件参数!T70&gt;0),IF(器件参数!U70="sum",AO69+器件参数!T70,ABS(AO69-器件参数!T70)),"")))</f>
        <v>100050000</v>
      </c>
      <c r="AP70" s="5">
        <f>IF(NOT(ISNUMBER(AP69)),"",IF(OR(NOT(器件参数!B70),器件参数!E70&lt;&gt;"mixer"),AP69,IF(AND(ISNUMBER(器件参数!T70),器件参数!T70&gt;0),IF(器件参数!U70="sum",AP69+器件参数!T70,ABS(AP69-器件参数!T70)),"")))</f>
        <v>99850000</v>
      </c>
      <c r="AQ70" s="5">
        <f>IF(NOT(ISNUMBER(AQ69)),"",IF(OR(NOT(器件参数!B70),器件参数!E70&lt;&gt;"mixer"),AQ69,IF(AND(ISNUMBER(器件参数!T70),器件参数!T70&gt;0),IF(器件参数!U70="sum",AQ69+器件参数!T70,ABS(AQ69-器件参数!T70)),"")))</f>
        <v>100150000</v>
      </c>
      <c r="AR70" s="5" t="b">
        <f>IF(NOT(AR69),FALSE,IF(NOT(器件参数!B70),TRUE,AND(COUNT(AN70:AQ70)=4,MIN(AN70:AQ70)&gt;0,IF(AND(ISNUMBER(器件参数!R70),ISNUMBER(器件参数!S70)),AND(MIN(AN69:AQ69)&gt;=器件参数!R70,MAX(AN69:AQ69)&lt;=器件参数!S70),TRUE),IF(AND(器件参数!E70="mixer",器件参数!U70="difference"),OR(器件参数!T70&lt;MIN(AN69:AQ69),器件参数!T70&gt;MAX(AN69:AQ69)),TRUE))))</f>
        <v>1</v>
      </c>
    </row>
    <row r="71" hidden="1" spans="1:44">
      <c r="A71" s="5">
        <f>器件参数!A71</f>
        <v>68</v>
      </c>
      <c r="B71" s="5" t="str">
        <f>器件参数!D71</f>
        <v/>
      </c>
      <c r="C71" s="5">
        <f>IF(NOT(器件参数!B71),0,IF(AND(ISNUMBER(器件参数!F71),ABS(器件参数!F71)&lt;=300),器件参数!F71,""))</f>
        <v>0</v>
      </c>
      <c r="D71" s="5">
        <f t="shared" si="19"/>
        <v>20</v>
      </c>
      <c r="E71" s="5">
        <f t="shared" si="20"/>
        <v>20</v>
      </c>
      <c r="F71" s="5">
        <f t="shared" si="21"/>
        <v>100</v>
      </c>
      <c r="G71" s="5">
        <f>IFERROR(IF(NOT(器件参数!B71),1,IF(NOT(OR(器件参数!E71&lt;&gt;"mixer",AND(OR(器件参数!V71="SSB",器件参数!V71="DSB"),器件参数!W71=TRUE))),"",IF(器件参数!G71="ideal",1,IF(AND(器件参数!G71="manual",ISNUMBER(器件参数!H71),器件参数!H71&gt;=0),10^(器件参数!H71/10),IF(AND(器件参数!G71="passive_thermal",OR(器件参数!E71="filter_bpf",器件参数!E71="filter_lpf",器件参数!E71="filter_hpf",器件参数!E71="filter_bsf",器件参数!E71="attenuator",器件参数!E71="cable",器件参数!E71="connector",器件参数!E71="switch",器件参数!E71="isolator",器件参数!E71="coupler",器件参数!E71="splitter"),AND(ISNUMBER(器件参数!F71),ABS(器件参数!F71)&lt;=300),器件参数!F71&lt;=0,ISNUMBER(器件参数!I71),器件参数!I71&gt;0),1+(10^(-器件参数!F71/10)-1)*器件参数!I71/Tref_K,""))))),"数值域错误")</f>
        <v>1</v>
      </c>
      <c r="H71" s="5">
        <f t="shared" si="22"/>
        <v>2.29336948552238</v>
      </c>
      <c r="I71" s="5">
        <f t="shared" si="23"/>
        <v>3.604740296957</v>
      </c>
      <c r="J71" s="5">
        <f>IF(AND(ISNUMBER(Pin_dBm),ISNUMBER(D71)),Pin_dBm+D71,"")</f>
        <v>-10</v>
      </c>
      <c r="K71" s="5">
        <f>IF(AND(ISNUMBER(Pin_dBm),ISNUMBER(E71)),Pin_dBm+E71,"")</f>
        <v>-10</v>
      </c>
      <c r="L71" s="5" t="str">
        <f>IF(AND(器件参数!J71="finite",ISNUMBER(器件参数!L71),ISNUMBER(C71)),IF(器件参数!K71="input",器件参数!L71,IF(器件参数!K71="output",器件参数!L71-C71,"")),"")</f>
        <v/>
      </c>
      <c r="M71" s="5">
        <f>IFERROR(IF(NOT(ISNUMBER(M70)),"",IF(OR(NOT(器件参数!B71),器件参数!J71="ideal"),M70,IF(AND(ISNUMBER(L71),ISNUMBER(F71)),M70+F71/10^(L71/10),""))),"数值域错误")</f>
        <v>0.2</v>
      </c>
      <c r="N71" s="5">
        <f t="shared" si="24"/>
        <v>6.98970004336019</v>
      </c>
      <c r="O71" s="5">
        <f t="shared" si="25"/>
        <v>26.9897000433602</v>
      </c>
      <c r="P71" s="5" t="str">
        <f>IF(AND(器件参数!M71="finite",ISNUMBER(器件参数!O71),ISNUMBER(C71)),IF(器件参数!N71="input",器件参数!O71,IF(器件参数!N71="actual_output",器件参数!O71-C71+1,IF(器件参数!N71="linear_output",器件参数!O71-C71,""))),"")</f>
        <v/>
      </c>
      <c r="Q71" s="5">
        <f>IF(器件参数!P71="",IF(AND(ISNUMBER(DefaultP),DefaultP&gt;=1,DefaultP&lt;=10),DefaultP,""),IF(AND(ISNUMBER(器件参数!P71),器件参数!P71&gt;=1,器件参数!P71&lt;=10),器件参数!P71,""))</f>
        <v>2</v>
      </c>
      <c r="R71" s="5">
        <f t="shared" si="26"/>
        <v>-10.0000139708288</v>
      </c>
      <c r="S71" s="5" t="str">
        <f t="shared" si="27"/>
        <v/>
      </c>
      <c r="T71" s="5">
        <f t="shared" si="28"/>
        <v>0</v>
      </c>
      <c r="U71" s="5">
        <f t="shared" si="29"/>
        <v>-10.0000139708288</v>
      </c>
      <c r="V71" s="5">
        <f>IF(AND(ISNUMBER(Pin_dBm),ISNUMBER(E71),ISNUMBER(U71)),Pin_dBm+E71-U71,"")</f>
        <v>1.39708287854035e-5</v>
      </c>
      <c r="W71" s="5" t="str">
        <f>IF(AND(器件参数!B71,X71=1,ISNUMBER(D71)),P71-D71,"")</f>
        <v/>
      </c>
      <c r="X71" s="5">
        <f>IF(NOT(ISNUMBER(C71)),-1,IF(OR(NOT(器件参数!B71),器件参数!M71="ideal"),0,IF(AND(ISNUMBER(P71),ISNUMBER(Q71)),1,-1)))</f>
        <v>0</v>
      </c>
      <c r="Y71" s="5" t="str">
        <f t="shared" si="30"/>
        <v>有效</v>
      </c>
      <c r="Z71" s="5" t="str">
        <f t="shared" si="31"/>
        <v>有效</v>
      </c>
      <c r="AA71" s="5" t="str">
        <f t="shared" si="32"/>
        <v>模型估算</v>
      </c>
      <c r="AB71" s="5">
        <f t="shared" si="33"/>
        <v>100000000</v>
      </c>
      <c r="AC71" s="5">
        <f>IF(NOT(ISNUMBER(AB71)),"",IF(OR(NOT(器件参数!B71),器件参数!E71&lt;&gt;"mixer"),AB71,IF(AND(ISNUMBER(器件参数!T71),器件参数!T71&gt;0),IF(器件参数!U71="sum",AB71+器件参数!T71,IF(器件参数!U71="difference",ABS(AB71-器件参数!T71),"")),"")))</f>
        <v>100000000</v>
      </c>
      <c r="AD71" s="5">
        <f t="shared" si="34"/>
        <v>0</v>
      </c>
      <c r="AE71" s="5">
        <f>IF(AND(ISNUMBER(G71),ISNUMBER(F71)),Tref_K*(G71-1)/F71,"")</f>
        <v>0</v>
      </c>
      <c r="AF71" s="5">
        <f>IF(AND(ISNUMBER(H71),ISNUMBER(E71),NoiseConfigOK),10*LOG10(Boltzmann*Bnoise_Hz*(Tsource_K+Tref_K*(H71-1)))+30+E71,"")</f>
        <v>-90.3704468972711</v>
      </c>
      <c r="AG71" s="5">
        <f t="shared" si="35"/>
        <v>80.3704468972711</v>
      </c>
      <c r="AH71" s="5">
        <f>IF(AND(ToneEnabled,ISNUMBER(E71),ISNUMBER(TonePin)),TonePin+E71,"")</f>
        <v>-10</v>
      </c>
      <c r="AI71" s="5">
        <f>IF(AND(ToneEnabled,ISNUMBER(E71),ISNUMBER(N71),ISNUMBER(TonePin)),3*TonePin+E71-2*N71,"")</f>
        <v>-83.9794000867204</v>
      </c>
      <c r="AJ71" s="5" t="str">
        <f t="shared" si="36"/>
        <v/>
      </c>
      <c r="AK71" s="5" t="str">
        <f>IF(NOT(器件参数!B71),"旁路",IF(NOT(ISNUMBER(AC71)),"频率未知",IF(AC71&lt;=SignalBW/2,"跨零频",IF(AND(ISNUMBER(器件参数!R71),ISNUMBER(器件参数!S71)),IF(AND(AB71-SignalBW/2&gt;=器件参数!R71,AB71+SignalBW/2&lt;=器件参数!S71),"有效","超声明通带"),"未声明通带"))))</f>
        <v>旁路</v>
      </c>
      <c r="AL71" s="5">
        <f t="shared" si="37"/>
        <v>0</v>
      </c>
      <c r="AM71" s="5" t="str">
        <f>IF(AND(器件参数!B71,ISNUMBER(器件参数!X71),OR(AND(ISNUMBER(J71),J71&gt;器件参数!X71),IF(AND(ToneEnabled,ISNUMBER(TonePin),ISNUMBER(D71)),TonePin+10*LOG10(2)+D71&gt;器件参数!X71,FALSE))),"超过绝对最大输入额定值","")</f>
        <v/>
      </c>
      <c r="AN71" s="5">
        <f>IF(NOT(ISNUMBER(AN70)),"",IF(OR(NOT(器件参数!B71),器件参数!E71&lt;&gt;"mixer"),AN70,IF(AND(ISNUMBER(器件参数!T71),器件参数!T71&gt;0),IF(器件参数!U71="sum",AN70+器件参数!T71,ABS(AN70-器件参数!T71)),"")))</f>
        <v>99950000</v>
      </c>
      <c r="AO71" s="5">
        <f>IF(NOT(ISNUMBER(AO70)),"",IF(OR(NOT(器件参数!B71),器件参数!E71&lt;&gt;"mixer"),AO70,IF(AND(ISNUMBER(器件参数!T71),器件参数!T71&gt;0),IF(器件参数!U71="sum",AO70+器件参数!T71,ABS(AO70-器件参数!T71)),"")))</f>
        <v>100050000</v>
      </c>
      <c r="AP71" s="5">
        <f>IF(NOT(ISNUMBER(AP70)),"",IF(OR(NOT(器件参数!B71),器件参数!E71&lt;&gt;"mixer"),AP70,IF(AND(ISNUMBER(器件参数!T71),器件参数!T71&gt;0),IF(器件参数!U71="sum",AP70+器件参数!T71,ABS(AP70-器件参数!T71)),"")))</f>
        <v>99850000</v>
      </c>
      <c r="AQ71" s="5">
        <f>IF(NOT(ISNUMBER(AQ70)),"",IF(OR(NOT(器件参数!B71),器件参数!E71&lt;&gt;"mixer"),AQ70,IF(AND(ISNUMBER(器件参数!T71),器件参数!T71&gt;0),IF(器件参数!U71="sum",AQ70+器件参数!T71,ABS(AQ70-器件参数!T71)),"")))</f>
        <v>100150000</v>
      </c>
      <c r="AR71" s="5" t="b">
        <f>IF(NOT(AR70),FALSE,IF(NOT(器件参数!B71),TRUE,AND(COUNT(AN71:AQ71)=4,MIN(AN71:AQ71)&gt;0,IF(AND(ISNUMBER(器件参数!R71),ISNUMBER(器件参数!S71)),AND(MIN(AN70:AQ70)&gt;=器件参数!R71,MAX(AN70:AQ70)&lt;=器件参数!S71),TRUE),IF(AND(器件参数!E71="mixer",器件参数!U71="difference"),OR(器件参数!T71&lt;MIN(AN70:AQ70),器件参数!T71&gt;MAX(AN70:AQ70)),TRUE))))</f>
        <v>1</v>
      </c>
    </row>
    <row r="72" hidden="1" spans="1:44">
      <c r="A72" s="5">
        <f>器件参数!A72</f>
        <v>69</v>
      </c>
      <c r="B72" s="5" t="str">
        <f>器件参数!D72</f>
        <v/>
      </c>
      <c r="C72" s="5">
        <f>IF(NOT(器件参数!B72),0,IF(AND(ISNUMBER(器件参数!F72),ABS(器件参数!F72)&lt;=300),器件参数!F72,""))</f>
        <v>0</v>
      </c>
      <c r="D72" s="5">
        <f t="shared" si="19"/>
        <v>20</v>
      </c>
      <c r="E72" s="5">
        <f t="shared" si="20"/>
        <v>20</v>
      </c>
      <c r="F72" s="5">
        <f t="shared" si="21"/>
        <v>100</v>
      </c>
      <c r="G72" s="5">
        <f>IFERROR(IF(NOT(器件参数!B72),1,IF(NOT(OR(器件参数!E72&lt;&gt;"mixer",AND(OR(器件参数!V72="SSB",器件参数!V72="DSB"),器件参数!W72=TRUE))),"",IF(器件参数!G72="ideal",1,IF(AND(器件参数!G72="manual",ISNUMBER(器件参数!H72),器件参数!H72&gt;=0),10^(器件参数!H72/10),IF(AND(器件参数!G72="passive_thermal",OR(器件参数!E72="filter_bpf",器件参数!E72="filter_lpf",器件参数!E72="filter_hpf",器件参数!E72="filter_bsf",器件参数!E72="attenuator",器件参数!E72="cable",器件参数!E72="connector",器件参数!E72="switch",器件参数!E72="isolator",器件参数!E72="coupler",器件参数!E72="splitter"),AND(ISNUMBER(器件参数!F72),ABS(器件参数!F72)&lt;=300),器件参数!F72&lt;=0,ISNUMBER(器件参数!I72),器件参数!I72&gt;0),1+(10^(-器件参数!F72/10)-1)*器件参数!I72/Tref_K,""))))),"数值域错误")</f>
        <v>1</v>
      </c>
      <c r="H72" s="5">
        <f t="shared" si="22"/>
        <v>2.29336948552238</v>
      </c>
      <c r="I72" s="5">
        <f t="shared" si="23"/>
        <v>3.604740296957</v>
      </c>
      <c r="J72" s="5">
        <f>IF(AND(ISNUMBER(Pin_dBm),ISNUMBER(D72)),Pin_dBm+D72,"")</f>
        <v>-10</v>
      </c>
      <c r="K72" s="5">
        <f>IF(AND(ISNUMBER(Pin_dBm),ISNUMBER(E72)),Pin_dBm+E72,"")</f>
        <v>-10</v>
      </c>
      <c r="L72" s="5" t="str">
        <f>IF(AND(器件参数!J72="finite",ISNUMBER(器件参数!L72),ISNUMBER(C72)),IF(器件参数!K72="input",器件参数!L72,IF(器件参数!K72="output",器件参数!L72-C72,"")),"")</f>
        <v/>
      </c>
      <c r="M72" s="5">
        <f>IFERROR(IF(NOT(ISNUMBER(M71)),"",IF(OR(NOT(器件参数!B72),器件参数!J72="ideal"),M71,IF(AND(ISNUMBER(L72),ISNUMBER(F72)),M71+F72/10^(L72/10),""))),"数值域错误")</f>
        <v>0.2</v>
      </c>
      <c r="N72" s="5">
        <f t="shared" si="24"/>
        <v>6.98970004336019</v>
      </c>
      <c r="O72" s="5">
        <f t="shared" si="25"/>
        <v>26.9897000433602</v>
      </c>
      <c r="P72" s="5" t="str">
        <f>IF(AND(器件参数!M72="finite",ISNUMBER(器件参数!O72),ISNUMBER(C72)),IF(器件参数!N72="input",器件参数!O72,IF(器件参数!N72="actual_output",器件参数!O72-C72+1,IF(器件参数!N72="linear_output",器件参数!O72-C72,""))),"")</f>
        <v/>
      </c>
      <c r="Q72" s="5">
        <f>IF(器件参数!P72="",IF(AND(ISNUMBER(DefaultP),DefaultP&gt;=1,DefaultP&lt;=10),DefaultP,""),IF(AND(ISNUMBER(器件参数!P72),器件参数!P72&gt;=1,器件参数!P72&lt;=10),器件参数!P72,""))</f>
        <v>2</v>
      </c>
      <c r="R72" s="5">
        <f t="shared" si="26"/>
        <v>-10.0000139708288</v>
      </c>
      <c r="S72" s="5" t="str">
        <f t="shared" si="27"/>
        <v/>
      </c>
      <c r="T72" s="5">
        <f t="shared" si="28"/>
        <v>0</v>
      </c>
      <c r="U72" s="5">
        <f t="shared" si="29"/>
        <v>-10.0000139708288</v>
      </c>
      <c r="V72" s="5">
        <f>IF(AND(ISNUMBER(Pin_dBm),ISNUMBER(E72),ISNUMBER(U72)),Pin_dBm+E72-U72,"")</f>
        <v>1.39708287854035e-5</v>
      </c>
      <c r="W72" s="5" t="str">
        <f>IF(AND(器件参数!B72,X72=1,ISNUMBER(D72)),P72-D72,"")</f>
        <v/>
      </c>
      <c r="X72" s="5">
        <f>IF(NOT(ISNUMBER(C72)),-1,IF(OR(NOT(器件参数!B72),器件参数!M72="ideal"),0,IF(AND(ISNUMBER(P72),ISNUMBER(Q72)),1,-1)))</f>
        <v>0</v>
      </c>
      <c r="Y72" s="5" t="str">
        <f t="shared" si="30"/>
        <v>有效</v>
      </c>
      <c r="Z72" s="5" t="str">
        <f t="shared" si="31"/>
        <v>有效</v>
      </c>
      <c r="AA72" s="5" t="str">
        <f t="shared" si="32"/>
        <v>模型估算</v>
      </c>
      <c r="AB72" s="5">
        <f t="shared" si="33"/>
        <v>100000000</v>
      </c>
      <c r="AC72" s="5">
        <f>IF(NOT(ISNUMBER(AB72)),"",IF(OR(NOT(器件参数!B72),器件参数!E72&lt;&gt;"mixer"),AB72,IF(AND(ISNUMBER(器件参数!T72),器件参数!T72&gt;0),IF(器件参数!U72="sum",AB72+器件参数!T72,IF(器件参数!U72="difference",ABS(AB72-器件参数!T72),"")),"")))</f>
        <v>100000000</v>
      </c>
      <c r="AD72" s="5">
        <f t="shared" si="34"/>
        <v>0</v>
      </c>
      <c r="AE72" s="5">
        <f>IF(AND(ISNUMBER(G72),ISNUMBER(F72)),Tref_K*(G72-1)/F72,"")</f>
        <v>0</v>
      </c>
      <c r="AF72" s="5">
        <f>IF(AND(ISNUMBER(H72),ISNUMBER(E72),NoiseConfigOK),10*LOG10(Boltzmann*Bnoise_Hz*(Tsource_K+Tref_K*(H72-1)))+30+E72,"")</f>
        <v>-90.3704468972711</v>
      </c>
      <c r="AG72" s="5">
        <f t="shared" si="35"/>
        <v>80.3704468972711</v>
      </c>
      <c r="AH72" s="5">
        <f>IF(AND(ToneEnabled,ISNUMBER(E72),ISNUMBER(TonePin)),TonePin+E72,"")</f>
        <v>-10</v>
      </c>
      <c r="AI72" s="5">
        <f>IF(AND(ToneEnabled,ISNUMBER(E72),ISNUMBER(N72),ISNUMBER(TonePin)),3*TonePin+E72-2*N72,"")</f>
        <v>-83.9794000867204</v>
      </c>
      <c r="AJ72" s="5" t="str">
        <f t="shared" si="36"/>
        <v/>
      </c>
      <c r="AK72" s="5" t="str">
        <f>IF(NOT(器件参数!B72),"旁路",IF(NOT(ISNUMBER(AC72)),"频率未知",IF(AC72&lt;=SignalBW/2,"跨零频",IF(AND(ISNUMBER(器件参数!R72),ISNUMBER(器件参数!S72)),IF(AND(AB72-SignalBW/2&gt;=器件参数!R72,AB72+SignalBW/2&lt;=器件参数!S72),"有效","超声明通带"),"未声明通带"))))</f>
        <v>旁路</v>
      </c>
      <c r="AL72" s="5">
        <f t="shared" si="37"/>
        <v>0</v>
      </c>
      <c r="AM72" s="5" t="str">
        <f>IF(AND(器件参数!B72,ISNUMBER(器件参数!X72),OR(AND(ISNUMBER(J72),J72&gt;器件参数!X72),IF(AND(ToneEnabled,ISNUMBER(TonePin),ISNUMBER(D72)),TonePin+10*LOG10(2)+D72&gt;器件参数!X72,FALSE))),"超过绝对最大输入额定值","")</f>
        <v/>
      </c>
      <c r="AN72" s="5">
        <f>IF(NOT(ISNUMBER(AN71)),"",IF(OR(NOT(器件参数!B72),器件参数!E72&lt;&gt;"mixer"),AN71,IF(AND(ISNUMBER(器件参数!T72),器件参数!T72&gt;0),IF(器件参数!U72="sum",AN71+器件参数!T72,ABS(AN71-器件参数!T72)),"")))</f>
        <v>99950000</v>
      </c>
      <c r="AO72" s="5">
        <f>IF(NOT(ISNUMBER(AO71)),"",IF(OR(NOT(器件参数!B72),器件参数!E72&lt;&gt;"mixer"),AO71,IF(AND(ISNUMBER(器件参数!T72),器件参数!T72&gt;0),IF(器件参数!U72="sum",AO71+器件参数!T72,ABS(AO71-器件参数!T72)),"")))</f>
        <v>100050000</v>
      </c>
      <c r="AP72" s="5">
        <f>IF(NOT(ISNUMBER(AP71)),"",IF(OR(NOT(器件参数!B72),器件参数!E72&lt;&gt;"mixer"),AP71,IF(AND(ISNUMBER(器件参数!T72),器件参数!T72&gt;0),IF(器件参数!U72="sum",AP71+器件参数!T72,ABS(AP71-器件参数!T72)),"")))</f>
        <v>99850000</v>
      </c>
      <c r="AQ72" s="5">
        <f>IF(NOT(ISNUMBER(AQ71)),"",IF(OR(NOT(器件参数!B72),器件参数!E72&lt;&gt;"mixer"),AQ71,IF(AND(ISNUMBER(器件参数!T72),器件参数!T72&gt;0),IF(器件参数!U72="sum",AQ71+器件参数!T72,ABS(AQ71-器件参数!T72)),"")))</f>
        <v>100150000</v>
      </c>
      <c r="AR72" s="5" t="b">
        <f>IF(NOT(AR71),FALSE,IF(NOT(器件参数!B72),TRUE,AND(COUNT(AN72:AQ72)=4,MIN(AN72:AQ72)&gt;0,IF(AND(ISNUMBER(器件参数!R72),ISNUMBER(器件参数!S72)),AND(MIN(AN71:AQ71)&gt;=器件参数!R72,MAX(AN71:AQ71)&lt;=器件参数!S72),TRUE),IF(AND(器件参数!E72="mixer",器件参数!U72="difference"),OR(器件参数!T72&lt;MIN(AN71:AQ71),器件参数!T72&gt;MAX(AN71:AQ71)),TRUE))))</f>
        <v>1</v>
      </c>
    </row>
    <row r="73" hidden="1" spans="1:44">
      <c r="A73" s="5">
        <f>器件参数!A73</f>
        <v>70</v>
      </c>
      <c r="B73" s="5" t="str">
        <f>器件参数!D73</f>
        <v/>
      </c>
      <c r="C73" s="5">
        <f>IF(NOT(器件参数!B73),0,IF(AND(ISNUMBER(器件参数!F73),ABS(器件参数!F73)&lt;=300),器件参数!F73,""))</f>
        <v>0</v>
      </c>
      <c r="D73" s="5">
        <f t="shared" si="19"/>
        <v>20</v>
      </c>
      <c r="E73" s="5">
        <f t="shared" si="20"/>
        <v>20</v>
      </c>
      <c r="F73" s="5">
        <f t="shared" si="21"/>
        <v>100</v>
      </c>
      <c r="G73" s="5">
        <f>IFERROR(IF(NOT(器件参数!B73),1,IF(NOT(OR(器件参数!E73&lt;&gt;"mixer",AND(OR(器件参数!V73="SSB",器件参数!V73="DSB"),器件参数!W73=TRUE))),"",IF(器件参数!G73="ideal",1,IF(AND(器件参数!G73="manual",ISNUMBER(器件参数!H73),器件参数!H73&gt;=0),10^(器件参数!H73/10),IF(AND(器件参数!G73="passive_thermal",OR(器件参数!E73="filter_bpf",器件参数!E73="filter_lpf",器件参数!E73="filter_hpf",器件参数!E73="filter_bsf",器件参数!E73="attenuator",器件参数!E73="cable",器件参数!E73="connector",器件参数!E73="switch",器件参数!E73="isolator",器件参数!E73="coupler",器件参数!E73="splitter"),AND(ISNUMBER(器件参数!F73),ABS(器件参数!F73)&lt;=300),器件参数!F73&lt;=0,ISNUMBER(器件参数!I73),器件参数!I73&gt;0),1+(10^(-器件参数!F73/10)-1)*器件参数!I73/Tref_K,""))))),"数值域错误")</f>
        <v>1</v>
      </c>
      <c r="H73" s="5">
        <f t="shared" si="22"/>
        <v>2.29336948552238</v>
      </c>
      <c r="I73" s="5">
        <f t="shared" si="23"/>
        <v>3.604740296957</v>
      </c>
      <c r="J73" s="5">
        <f>IF(AND(ISNUMBER(Pin_dBm),ISNUMBER(D73)),Pin_dBm+D73,"")</f>
        <v>-10</v>
      </c>
      <c r="K73" s="5">
        <f>IF(AND(ISNUMBER(Pin_dBm),ISNUMBER(E73)),Pin_dBm+E73,"")</f>
        <v>-10</v>
      </c>
      <c r="L73" s="5" t="str">
        <f>IF(AND(器件参数!J73="finite",ISNUMBER(器件参数!L73),ISNUMBER(C73)),IF(器件参数!K73="input",器件参数!L73,IF(器件参数!K73="output",器件参数!L73-C73,"")),"")</f>
        <v/>
      </c>
      <c r="M73" s="5">
        <f>IFERROR(IF(NOT(ISNUMBER(M72)),"",IF(OR(NOT(器件参数!B73),器件参数!J73="ideal"),M72,IF(AND(ISNUMBER(L73),ISNUMBER(F73)),M72+F73/10^(L73/10),""))),"数值域错误")</f>
        <v>0.2</v>
      </c>
      <c r="N73" s="5">
        <f t="shared" si="24"/>
        <v>6.98970004336019</v>
      </c>
      <c r="O73" s="5">
        <f t="shared" si="25"/>
        <v>26.9897000433602</v>
      </c>
      <c r="P73" s="5" t="str">
        <f>IF(AND(器件参数!M73="finite",ISNUMBER(器件参数!O73),ISNUMBER(C73)),IF(器件参数!N73="input",器件参数!O73,IF(器件参数!N73="actual_output",器件参数!O73-C73+1,IF(器件参数!N73="linear_output",器件参数!O73-C73,""))),"")</f>
        <v/>
      </c>
      <c r="Q73" s="5">
        <f>IF(器件参数!P73="",IF(AND(ISNUMBER(DefaultP),DefaultP&gt;=1,DefaultP&lt;=10),DefaultP,""),IF(AND(ISNUMBER(器件参数!P73),器件参数!P73&gt;=1,器件参数!P73&lt;=10),器件参数!P73,""))</f>
        <v>2</v>
      </c>
      <c r="R73" s="5">
        <f t="shared" si="26"/>
        <v>-10.0000139708288</v>
      </c>
      <c r="S73" s="5" t="str">
        <f t="shared" si="27"/>
        <v/>
      </c>
      <c r="T73" s="5">
        <f t="shared" si="28"/>
        <v>0</v>
      </c>
      <c r="U73" s="5">
        <f t="shared" si="29"/>
        <v>-10.0000139708288</v>
      </c>
      <c r="V73" s="5">
        <f>IF(AND(ISNUMBER(Pin_dBm),ISNUMBER(E73),ISNUMBER(U73)),Pin_dBm+E73-U73,"")</f>
        <v>1.39708287854035e-5</v>
      </c>
      <c r="W73" s="5" t="str">
        <f>IF(AND(器件参数!B73,X73=1,ISNUMBER(D73)),P73-D73,"")</f>
        <v/>
      </c>
      <c r="X73" s="5">
        <f>IF(NOT(ISNUMBER(C73)),-1,IF(OR(NOT(器件参数!B73),器件参数!M73="ideal"),0,IF(AND(ISNUMBER(P73),ISNUMBER(Q73)),1,-1)))</f>
        <v>0</v>
      </c>
      <c r="Y73" s="5" t="str">
        <f t="shared" si="30"/>
        <v>有效</v>
      </c>
      <c r="Z73" s="5" t="str">
        <f t="shared" si="31"/>
        <v>有效</v>
      </c>
      <c r="AA73" s="5" t="str">
        <f t="shared" si="32"/>
        <v>模型估算</v>
      </c>
      <c r="AB73" s="5">
        <f t="shared" si="33"/>
        <v>100000000</v>
      </c>
      <c r="AC73" s="5">
        <f>IF(NOT(ISNUMBER(AB73)),"",IF(OR(NOT(器件参数!B73),器件参数!E73&lt;&gt;"mixer"),AB73,IF(AND(ISNUMBER(器件参数!T73),器件参数!T73&gt;0),IF(器件参数!U73="sum",AB73+器件参数!T73,IF(器件参数!U73="difference",ABS(AB73-器件参数!T73),"")),"")))</f>
        <v>100000000</v>
      </c>
      <c r="AD73" s="5">
        <f t="shared" si="34"/>
        <v>0</v>
      </c>
      <c r="AE73" s="5">
        <f>IF(AND(ISNUMBER(G73),ISNUMBER(F73)),Tref_K*(G73-1)/F73,"")</f>
        <v>0</v>
      </c>
      <c r="AF73" s="5">
        <f>IF(AND(ISNUMBER(H73),ISNUMBER(E73),NoiseConfigOK),10*LOG10(Boltzmann*Bnoise_Hz*(Tsource_K+Tref_K*(H73-1)))+30+E73,"")</f>
        <v>-90.3704468972711</v>
      </c>
      <c r="AG73" s="5">
        <f t="shared" si="35"/>
        <v>80.3704468972711</v>
      </c>
      <c r="AH73" s="5">
        <f>IF(AND(ToneEnabled,ISNUMBER(E73),ISNUMBER(TonePin)),TonePin+E73,"")</f>
        <v>-10</v>
      </c>
      <c r="AI73" s="5">
        <f>IF(AND(ToneEnabled,ISNUMBER(E73),ISNUMBER(N73),ISNUMBER(TonePin)),3*TonePin+E73-2*N73,"")</f>
        <v>-83.9794000867204</v>
      </c>
      <c r="AJ73" s="5" t="str">
        <f t="shared" si="36"/>
        <v/>
      </c>
      <c r="AK73" s="5" t="str">
        <f>IF(NOT(器件参数!B73),"旁路",IF(NOT(ISNUMBER(AC73)),"频率未知",IF(AC73&lt;=SignalBW/2,"跨零频",IF(AND(ISNUMBER(器件参数!R73),ISNUMBER(器件参数!S73)),IF(AND(AB73-SignalBW/2&gt;=器件参数!R73,AB73+SignalBW/2&lt;=器件参数!S73),"有效","超声明通带"),"未声明通带"))))</f>
        <v>旁路</v>
      </c>
      <c r="AL73" s="5">
        <f t="shared" si="37"/>
        <v>0</v>
      </c>
      <c r="AM73" s="5" t="str">
        <f>IF(AND(器件参数!B73,ISNUMBER(器件参数!X73),OR(AND(ISNUMBER(J73),J73&gt;器件参数!X73),IF(AND(ToneEnabled,ISNUMBER(TonePin),ISNUMBER(D73)),TonePin+10*LOG10(2)+D73&gt;器件参数!X73,FALSE))),"超过绝对最大输入额定值","")</f>
        <v/>
      </c>
      <c r="AN73" s="5">
        <f>IF(NOT(ISNUMBER(AN72)),"",IF(OR(NOT(器件参数!B73),器件参数!E73&lt;&gt;"mixer"),AN72,IF(AND(ISNUMBER(器件参数!T73),器件参数!T73&gt;0),IF(器件参数!U73="sum",AN72+器件参数!T73,ABS(AN72-器件参数!T73)),"")))</f>
        <v>99950000</v>
      </c>
      <c r="AO73" s="5">
        <f>IF(NOT(ISNUMBER(AO72)),"",IF(OR(NOT(器件参数!B73),器件参数!E73&lt;&gt;"mixer"),AO72,IF(AND(ISNUMBER(器件参数!T73),器件参数!T73&gt;0),IF(器件参数!U73="sum",AO72+器件参数!T73,ABS(AO72-器件参数!T73)),"")))</f>
        <v>100050000</v>
      </c>
      <c r="AP73" s="5">
        <f>IF(NOT(ISNUMBER(AP72)),"",IF(OR(NOT(器件参数!B73),器件参数!E73&lt;&gt;"mixer"),AP72,IF(AND(ISNUMBER(器件参数!T73),器件参数!T73&gt;0),IF(器件参数!U73="sum",AP72+器件参数!T73,ABS(AP72-器件参数!T73)),"")))</f>
        <v>99850000</v>
      </c>
      <c r="AQ73" s="5">
        <f>IF(NOT(ISNUMBER(AQ72)),"",IF(OR(NOT(器件参数!B73),器件参数!E73&lt;&gt;"mixer"),AQ72,IF(AND(ISNUMBER(器件参数!T73),器件参数!T73&gt;0),IF(器件参数!U73="sum",AQ72+器件参数!T73,ABS(AQ72-器件参数!T73)),"")))</f>
        <v>100150000</v>
      </c>
      <c r="AR73" s="5" t="b">
        <f>IF(NOT(AR72),FALSE,IF(NOT(器件参数!B73),TRUE,AND(COUNT(AN73:AQ73)=4,MIN(AN73:AQ73)&gt;0,IF(AND(ISNUMBER(器件参数!R73),ISNUMBER(器件参数!S73)),AND(MIN(AN72:AQ72)&gt;=器件参数!R73,MAX(AN72:AQ72)&lt;=器件参数!S73),TRUE),IF(AND(器件参数!E73="mixer",器件参数!U73="difference"),OR(器件参数!T73&lt;MIN(AN72:AQ72),器件参数!T73&gt;MAX(AN72:AQ72)),TRUE))))</f>
        <v>1</v>
      </c>
    </row>
    <row r="74" hidden="1" spans="1:44">
      <c r="A74" s="5">
        <f>器件参数!A74</f>
        <v>71</v>
      </c>
      <c r="B74" s="5" t="str">
        <f>器件参数!D74</f>
        <v/>
      </c>
      <c r="C74" s="5">
        <f>IF(NOT(器件参数!B74),0,IF(AND(ISNUMBER(器件参数!F74),ABS(器件参数!F74)&lt;=300),器件参数!F74,""))</f>
        <v>0</v>
      </c>
      <c r="D74" s="5">
        <f t="shared" si="19"/>
        <v>20</v>
      </c>
      <c r="E74" s="5">
        <f t="shared" si="20"/>
        <v>20</v>
      </c>
      <c r="F74" s="5">
        <f t="shared" si="21"/>
        <v>100</v>
      </c>
      <c r="G74" s="5">
        <f>IFERROR(IF(NOT(器件参数!B74),1,IF(NOT(OR(器件参数!E74&lt;&gt;"mixer",AND(OR(器件参数!V74="SSB",器件参数!V74="DSB"),器件参数!W74=TRUE))),"",IF(器件参数!G74="ideal",1,IF(AND(器件参数!G74="manual",ISNUMBER(器件参数!H74),器件参数!H74&gt;=0),10^(器件参数!H74/10),IF(AND(器件参数!G74="passive_thermal",OR(器件参数!E74="filter_bpf",器件参数!E74="filter_lpf",器件参数!E74="filter_hpf",器件参数!E74="filter_bsf",器件参数!E74="attenuator",器件参数!E74="cable",器件参数!E74="connector",器件参数!E74="switch",器件参数!E74="isolator",器件参数!E74="coupler",器件参数!E74="splitter"),AND(ISNUMBER(器件参数!F74),ABS(器件参数!F74)&lt;=300),器件参数!F74&lt;=0,ISNUMBER(器件参数!I74),器件参数!I74&gt;0),1+(10^(-器件参数!F74/10)-1)*器件参数!I74/Tref_K,""))))),"数值域错误")</f>
        <v>1</v>
      </c>
      <c r="H74" s="5">
        <f t="shared" si="22"/>
        <v>2.29336948552238</v>
      </c>
      <c r="I74" s="5">
        <f t="shared" si="23"/>
        <v>3.604740296957</v>
      </c>
      <c r="J74" s="5">
        <f>IF(AND(ISNUMBER(Pin_dBm),ISNUMBER(D74)),Pin_dBm+D74,"")</f>
        <v>-10</v>
      </c>
      <c r="K74" s="5">
        <f>IF(AND(ISNUMBER(Pin_dBm),ISNUMBER(E74)),Pin_dBm+E74,"")</f>
        <v>-10</v>
      </c>
      <c r="L74" s="5" t="str">
        <f>IF(AND(器件参数!J74="finite",ISNUMBER(器件参数!L74),ISNUMBER(C74)),IF(器件参数!K74="input",器件参数!L74,IF(器件参数!K74="output",器件参数!L74-C74,"")),"")</f>
        <v/>
      </c>
      <c r="M74" s="5">
        <f>IFERROR(IF(NOT(ISNUMBER(M73)),"",IF(OR(NOT(器件参数!B74),器件参数!J74="ideal"),M73,IF(AND(ISNUMBER(L74),ISNUMBER(F74)),M73+F74/10^(L74/10),""))),"数值域错误")</f>
        <v>0.2</v>
      </c>
      <c r="N74" s="5">
        <f t="shared" si="24"/>
        <v>6.98970004336019</v>
      </c>
      <c r="O74" s="5">
        <f t="shared" si="25"/>
        <v>26.9897000433602</v>
      </c>
      <c r="P74" s="5" t="str">
        <f>IF(AND(器件参数!M74="finite",ISNUMBER(器件参数!O74),ISNUMBER(C74)),IF(器件参数!N74="input",器件参数!O74,IF(器件参数!N74="actual_output",器件参数!O74-C74+1,IF(器件参数!N74="linear_output",器件参数!O74-C74,""))),"")</f>
        <v/>
      </c>
      <c r="Q74" s="5">
        <f>IF(器件参数!P74="",IF(AND(ISNUMBER(DefaultP),DefaultP&gt;=1,DefaultP&lt;=10),DefaultP,""),IF(AND(ISNUMBER(器件参数!P74),器件参数!P74&gt;=1,器件参数!P74&lt;=10),器件参数!P74,""))</f>
        <v>2</v>
      </c>
      <c r="R74" s="5">
        <f t="shared" si="26"/>
        <v>-10.0000139708288</v>
      </c>
      <c r="S74" s="5" t="str">
        <f t="shared" si="27"/>
        <v/>
      </c>
      <c r="T74" s="5">
        <f t="shared" si="28"/>
        <v>0</v>
      </c>
      <c r="U74" s="5">
        <f t="shared" si="29"/>
        <v>-10.0000139708288</v>
      </c>
      <c r="V74" s="5">
        <f>IF(AND(ISNUMBER(Pin_dBm),ISNUMBER(E74),ISNUMBER(U74)),Pin_dBm+E74-U74,"")</f>
        <v>1.39708287854035e-5</v>
      </c>
      <c r="W74" s="5" t="str">
        <f>IF(AND(器件参数!B74,X74=1,ISNUMBER(D74)),P74-D74,"")</f>
        <v/>
      </c>
      <c r="X74" s="5">
        <f>IF(NOT(ISNUMBER(C74)),-1,IF(OR(NOT(器件参数!B74),器件参数!M74="ideal"),0,IF(AND(ISNUMBER(P74),ISNUMBER(Q74)),1,-1)))</f>
        <v>0</v>
      </c>
      <c r="Y74" s="5" t="str">
        <f t="shared" si="30"/>
        <v>有效</v>
      </c>
      <c r="Z74" s="5" t="str">
        <f t="shared" si="31"/>
        <v>有效</v>
      </c>
      <c r="AA74" s="5" t="str">
        <f t="shared" si="32"/>
        <v>模型估算</v>
      </c>
      <c r="AB74" s="5">
        <f t="shared" si="33"/>
        <v>100000000</v>
      </c>
      <c r="AC74" s="5">
        <f>IF(NOT(ISNUMBER(AB74)),"",IF(OR(NOT(器件参数!B74),器件参数!E74&lt;&gt;"mixer"),AB74,IF(AND(ISNUMBER(器件参数!T74),器件参数!T74&gt;0),IF(器件参数!U74="sum",AB74+器件参数!T74,IF(器件参数!U74="difference",ABS(AB74-器件参数!T74),"")),"")))</f>
        <v>100000000</v>
      </c>
      <c r="AD74" s="5">
        <f t="shared" si="34"/>
        <v>0</v>
      </c>
      <c r="AE74" s="5">
        <f>IF(AND(ISNUMBER(G74),ISNUMBER(F74)),Tref_K*(G74-1)/F74,"")</f>
        <v>0</v>
      </c>
      <c r="AF74" s="5">
        <f>IF(AND(ISNUMBER(H74),ISNUMBER(E74),NoiseConfigOK),10*LOG10(Boltzmann*Bnoise_Hz*(Tsource_K+Tref_K*(H74-1)))+30+E74,"")</f>
        <v>-90.3704468972711</v>
      </c>
      <c r="AG74" s="5">
        <f t="shared" si="35"/>
        <v>80.3704468972711</v>
      </c>
      <c r="AH74" s="5">
        <f>IF(AND(ToneEnabled,ISNUMBER(E74),ISNUMBER(TonePin)),TonePin+E74,"")</f>
        <v>-10</v>
      </c>
      <c r="AI74" s="5">
        <f>IF(AND(ToneEnabled,ISNUMBER(E74),ISNUMBER(N74),ISNUMBER(TonePin)),3*TonePin+E74-2*N74,"")</f>
        <v>-83.9794000867204</v>
      </c>
      <c r="AJ74" s="5" t="str">
        <f t="shared" si="36"/>
        <v/>
      </c>
      <c r="AK74" s="5" t="str">
        <f>IF(NOT(器件参数!B74),"旁路",IF(NOT(ISNUMBER(AC74)),"频率未知",IF(AC74&lt;=SignalBW/2,"跨零频",IF(AND(ISNUMBER(器件参数!R74),ISNUMBER(器件参数!S74)),IF(AND(AB74-SignalBW/2&gt;=器件参数!R74,AB74+SignalBW/2&lt;=器件参数!S74),"有效","超声明通带"),"未声明通带"))))</f>
        <v>旁路</v>
      </c>
      <c r="AL74" s="5">
        <f t="shared" si="37"/>
        <v>0</v>
      </c>
      <c r="AM74" s="5" t="str">
        <f>IF(AND(器件参数!B74,ISNUMBER(器件参数!X74),OR(AND(ISNUMBER(J74),J74&gt;器件参数!X74),IF(AND(ToneEnabled,ISNUMBER(TonePin),ISNUMBER(D74)),TonePin+10*LOG10(2)+D74&gt;器件参数!X74,FALSE))),"超过绝对最大输入额定值","")</f>
        <v/>
      </c>
      <c r="AN74" s="5">
        <f>IF(NOT(ISNUMBER(AN73)),"",IF(OR(NOT(器件参数!B74),器件参数!E74&lt;&gt;"mixer"),AN73,IF(AND(ISNUMBER(器件参数!T74),器件参数!T74&gt;0),IF(器件参数!U74="sum",AN73+器件参数!T74,ABS(AN73-器件参数!T74)),"")))</f>
        <v>99950000</v>
      </c>
      <c r="AO74" s="5">
        <f>IF(NOT(ISNUMBER(AO73)),"",IF(OR(NOT(器件参数!B74),器件参数!E74&lt;&gt;"mixer"),AO73,IF(AND(ISNUMBER(器件参数!T74),器件参数!T74&gt;0),IF(器件参数!U74="sum",AO73+器件参数!T74,ABS(AO73-器件参数!T74)),"")))</f>
        <v>100050000</v>
      </c>
      <c r="AP74" s="5">
        <f>IF(NOT(ISNUMBER(AP73)),"",IF(OR(NOT(器件参数!B74),器件参数!E74&lt;&gt;"mixer"),AP73,IF(AND(ISNUMBER(器件参数!T74),器件参数!T74&gt;0),IF(器件参数!U74="sum",AP73+器件参数!T74,ABS(AP73-器件参数!T74)),"")))</f>
        <v>99850000</v>
      </c>
      <c r="AQ74" s="5">
        <f>IF(NOT(ISNUMBER(AQ73)),"",IF(OR(NOT(器件参数!B74),器件参数!E74&lt;&gt;"mixer"),AQ73,IF(AND(ISNUMBER(器件参数!T74),器件参数!T74&gt;0),IF(器件参数!U74="sum",AQ73+器件参数!T74,ABS(AQ73-器件参数!T74)),"")))</f>
        <v>100150000</v>
      </c>
      <c r="AR74" s="5" t="b">
        <f>IF(NOT(AR73),FALSE,IF(NOT(器件参数!B74),TRUE,AND(COUNT(AN74:AQ74)=4,MIN(AN74:AQ74)&gt;0,IF(AND(ISNUMBER(器件参数!R74),ISNUMBER(器件参数!S74)),AND(MIN(AN73:AQ73)&gt;=器件参数!R74,MAX(AN73:AQ73)&lt;=器件参数!S74),TRUE),IF(AND(器件参数!E74="mixer",器件参数!U74="difference"),OR(器件参数!T74&lt;MIN(AN73:AQ73),器件参数!T74&gt;MAX(AN73:AQ73)),TRUE))))</f>
        <v>1</v>
      </c>
    </row>
    <row r="75" hidden="1" spans="1:44">
      <c r="A75" s="5">
        <f>器件参数!A75</f>
        <v>72</v>
      </c>
      <c r="B75" s="5" t="str">
        <f>器件参数!D75</f>
        <v/>
      </c>
      <c r="C75" s="5">
        <f>IF(NOT(器件参数!B75),0,IF(AND(ISNUMBER(器件参数!F75),ABS(器件参数!F75)&lt;=300),器件参数!F75,""))</f>
        <v>0</v>
      </c>
      <c r="D75" s="5">
        <f t="shared" si="19"/>
        <v>20</v>
      </c>
      <c r="E75" s="5">
        <f t="shared" si="20"/>
        <v>20</v>
      </c>
      <c r="F75" s="5">
        <f t="shared" si="21"/>
        <v>100</v>
      </c>
      <c r="G75" s="5">
        <f>IFERROR(IF(NOT(器件参数!B75),1,IF(NOT(OR(器件参数!E75&lt;&gt;"mixer",AND(OR(器件参数!V75="SSB",器件参数!V75="DSB"),器件参数!W75=TRUE))),"",IF(器件参数!G75="ideal",1,IF(AND(器件参数!G75="manual",ISNUMBER(器件参数!H75),器件参数!H75&gt;=0),10^(器件参数!H75/10),IF(AND(器件参数!G75="passive_thermal",OR(器件参数!E75="filter_bpf",器件参数!E75="filter_lpf",器件参数!E75="filter_hpf",器件参数!E75="filter_bsf",器件参数!E75="attenuator",器件参数!E75="cable",器件参数!E75="connector",器件参数!E75="switch",器件参数!E75="isolator",器件参数!E75="coupler",器件参数!E75="splitter"),AND(ISNUMBER(器件参数!F75),ABS(器件参数!F75)&lt;=300),器件参数!F75&lt;=0,ISNUMBER(器件参数!I75),器件参数!I75&gt;0),1+(10^(-器件参数!F75/10)-1)*器件参数!I75/Tref_K,""))))),"数值域错误")</f>
        <v>1</v>
      </c>
      <c r="H75" s="5">
        <f t="shared" si="22"/>
        <v>2.29336948552238</v>
      </c>
      <c r="I75" s="5">
        <f t="shared" si="23"/>
        <v>3.604740296957</v>
      </c>
      <c r="J75" s="5">
        <f>IF(AND(ISNUMBER(Pin_dBm),ISNUMBER(D75)),Pin_dBm+D75,"")</f>
        <v>-10</v>
      </c>
      <c r="K75" s="5">
        <f>IF(AND(ISNUMBER(Pin_dBm),ISNUMBER(E75)),Pin_dBm+E75,"")</f>
        <v>-10</v>
      </c>
      <c r="L75" s="5" t="str">
        <f>IF(AND(器件参数!J75="finite",ISNUMBER(器件参数!L75),ISNUMBER(C75)),IF(器件参数!K75="input",器件参数!L75,IF(器件参数!K75="output",器件参数!L75-C75,"")),"")</f>
        <v/>
      </c>
      <c r="M75" s="5">
        <f>IFERROR(IF(NOT(ISNUMBER(M74)),"",IF(OR(NOT(器件参数!B75),器件参数!J75="ideal"),M74,IF(AND(ISNUMBER(L75),ISNUMBER(F75)),M74+F75/10^(L75/10),""))),"数值域错误")</f>
        <v>0.2</v>
      </c>
      <c r="N75" s="5">
        <f t="shared" si="24"/>
        <v>6.98970004336019</v>
      </c>
      <c r="O75" s="5">
        <f t="shared" si="25"/>
        <v>26.9897000433602</v>
      </c>
      <c r="P75" s="5" t="str">
        <f>IF(AND(器件参数!M75="finite",ISNUMBER(器件参数!O75),ISNUMBER(C75)),IF(器件参数!N75="input",器件参数!O75,IF(器件参数!N75="actual_output",器件参数!O75-C75+1,IF(器件参数!N75="linear_output",器件参数!O75-C75,""))),"")</f>
        <v/>
      </c>
      <c r="Q75" s="5">
        <f>IF(器件参数!P75="",IF(AND(ISNUMBER(DefaultP),DefaultP&gt;=1,DefaultP&lt;=10),DefaultP,""),IF(AND(ISNUMBER(器件参数!P75),器件参数!P75&gt;=1,器件参数!P75&lt;=10),器件参数!P75,""))</f>
        <v>2</v>
      </c>
      <c r="R75" s="5">
        <f t="shared" si="26"/>
        <v>-10.0000139708288</v>
      </c>
      <c r="S75" s="5" t="str">
        <f t="shared" si="27"/>
        <v/>
      </c>
      <c r="T75" s="5">
        <f t="shared" si="28"/>
        <v>0</v>
      </c>
      <c r="U75" s="5">
        <f t="shared" si="29"/>
        <v>-10.0000139708288</v>
      </c>
      <c r="V75" s="5">
        <f>IF(AND(ISNUMBER(Pin_dBm),ISNUMBER(E75),ISNUMBER(U75)),Pin_dBm+E75-U75,"")</f>
        <v>1.39708287854035e-5</v>
      </c>
      <c r="W75" s="5" t="str">
        <f>IF(AND(器件参数!B75,X75=1,ISNUMBER(D75)),P75-D75,"")</f>
        <v/>
      </c>
      <c r="X75" s="5">
        <f>IF(NOT(ISNUMBER(C75)),-1,IF(OR(NOT(器件参数!B75),器件参数!M75="ideal"),0,IF(AND(ISNUMBER(P75),ISNUMBER(Q75)),1,-1)))</f>
        <v>0</v>
      </c>
      <c r="Y75" s="5" t="str">
        <f t="shared" si="30"/>
        <v>有效</v>
      </c>
      <c r="Z75" s="5" t="str">
        <f t="shared" si="31"/>
        <v>有效</v>
      </c>
      <c r="AA75" s="5" t="str">
        <f t="shared" si="32"/>
        <v>模型估算</v>
      </c>
      <c r="AB75" s="5">
        <f t="shared" si="33"/>
        <v>100000000</v>
      </c>
      <c r="AC75" s="5">
        <f>IF(NOT(ISNUMBER(AB75)),"",IF(OR(NOT(器件参数!B75),器件参数!E75&lt;&gt;"mixer"),AB75,IF(AND(ISNUMBER(器件参数!T75),器件参数!T75&gt;0),IF(器件参数!U75="sum",AB75+器件参数!T75,IF(器件参数!U75="difference",ABS(AB75-器件参数!T75),"")),"")))</f>
        <v>100000000</v>
      </c>
      <c r="AD75" s="5">
        <f t="shared" si="34"/>
        <v>0</v>
      </c>
      <c r="AE75" s="5">
        <f>IF(AND(ISNUMBER(G75),ISNUMBER(F75)),Tref_K*(G75-1)/F75,"")</f>
        <v>0</v>
      </c>
      <c r="AF75" s="5">
        <f>IF(AND(ISNUMBER(H75),ISNUMBER(E75),NoiseConfigOK),10*LOG10(Boltzmann*Bnoise_Hz*(Tsource_K+Tref_K*(H75-1)))+30+E75,"")</f>
        <v>-90.3704468972711</v>
      </c>
      <c r="AG75" s="5">
        <f t="shared" si="35"/>
        <v>80.3704468972711</v>
      </c>
      <c r="AH75" s="5">
        <f>IF(AND(ToneEnabled,ISNUMBER(E75),ISNUMBER(TonePin)),TonePin+E75,"")</f>
        <v>-10</v>
      </c>
      <c r="AI75" s="5">
        <f>IF(AND(ToneEnabled,ISNUMBER(E75),ISNUMBER(N75),ISNUMBER(TonePin)),3*TonePin+E75-2*N75,"")</f>
        <v>-83.9794000867204</v>
      </c>
      <c r="AJ75" s="5" t="str">
        <f t="shared" si="36"/>
        <v/>
      </c>
      <c r="AK75" s="5" t="str">
        <f>IF(NOT(器件参数!B75),"旁路",IF(NOT(ISNUMBER(AC75)),"频率未知",IF(AC75&lt;=SignalBW/2,"跨零频",IF(AND(ISNUMBER(器件参数!R75),ISNUMBER(器件参数!S75)),IF(AND(AB75-SignalBW/2&gt;=器件参数!R75,AB75+SignalBW/2&lt;=器件参数!S75),"有效","超声明通带"),"未声明通带"))))</f>
        <v>旁路</v>
      </c>
      <c r="AL75" s="5">
        <f t="shared" si="37"/>
        <v>0</v>
      </c>
      <c r="AM75" s="5" t="str">
        <f>IF(AND(器件参数!B75,ISNUMBER(器件参数!X75),OR(AND(ISNUMBER(J75),J75&gt;器件参数!X75),IF(AND(ToneEnabled,ISNUMBER(TonePin),ISNUMBER(D75)),TonePin+10*LOG10(2)+D75&gt;器件参数!X75,FALSE))),"超过绝对最大输入额定值","")</f>
        <v/>
      </c>
      <c r="AN75" s="5">
        <f>IF(NOT(ISNUMBER(AN74)),"",IF(OR(NOT(器件参数!B75),器件参数!E75&lt;&gt;"mixer"),AN74,IF(AND(ISNUMBER(器件参数!T75),器件参数!T75&gt;0),IF(器件参数!U75="sum",AN74+器件参数!T75,ABS(AN74-器件参数!T75)),"")))</f>
        <v>99950000</v>
      </c>
      <c r="AO75" s="5">
        <f>IF(NOT(ISNUMBER(AO74)),"",IF(OR(NOT(器件参数!B75),器件参数!E75&lt;&gt;"mixer"),AO74,IF(AND(ISNUMBER(器件参数!T75),器件参数!T75&gt;0),IF(器件参数!U75="sum",AO74+器件参数!T75,ABS(AO74-器件参数!T75)),"")))</f>
        <v>100050000</v>
      </c>
      <c r="AP75" s="5">
        <f>IF(NOT(ISNUMBER(AP74)),"",IF(OR(NOT(器件参数!B75),器件参数!E75&lt;&gt;"mixer"),AP74,IF(AND(ISNUMBER(器件参数!T75),器件参数!T75&gt;0),IF(器件参数!U75="sum",AP74+器件参数!T75,ABS(AP74-器件参数!T75)),"")))</f>
        <v>99850000</v>
      </c>
      <c r="AQ75" s="5">
        <f>IF(NOT(ISNUMBER(AQ74)),"",IF(OR(NOT(器件参数!B75),器件参数!E75&lt;&gt;"mixer"),AQ74,IF(AND(ISNUMBER(器件参数!T75),器件参数!T75&gt;0),IF(器件参数!U75="sum",AQ74+器件参数!T75,ABS(AQ74-器件参数!T75)),"")))</f>
        <v>100150000</v>
      </c>
      <c r="AR75" s="5" t="b">
        <f>IF(NOT(AR74),FALSE,IF(NOT(器件参数!B75),TRUE,AND(COUNT(AN75:AQ75)=4,MIN(AN75:AQ75)&gt;0,IF(AND(ISNUMBER(器件参数!R75),ISNUMBER(器件参数!S75)),AND(MIN(AN74:AQ74)&gt;=器件参数!R75,MAX(AN74:AQ74)&lt;=器件参数!S75),TRUE),IF(AND(器件参数!E75="mixer",器件参数!U75="difference"),OR(器件参数!T75&lt;MIN(AN74:AQ74),器件参数!T75&gt;MAX(AN74:AQ74)),TRUE))))</f>
        <v>1</v>
      </c>
    </row>
    <row r="76" hidden="1" spans="1:44">
      <c r="A76" s="5">
        <f>器件参数!A76</f>
        <v>73</v>
      </c>
      <c r="B76" s="5" t="str">
        <f>器件参数!D76</f>
        <v/>
      </c>
      <c r="C76" s="5">
        <f>IF(NOT(器件参数!B76),0,IF(AND(ISNUMBER(器件参数!F76),ABS(器件参数!F76)&lt;=300),器件参数!F76,""))</f>
        <v>0</v>
      </c>
      <c r="D76" s="5">
        <f t="shared" si="19"/>
        <v>20</v>
      </c>
      <c r="E76" s="5">
        <f t="shared" si="20"/>
        <v>20</v>
      </c>
      <c r="F76" s="5">
        <f t="shared" si="21"/>
        <v>100</v>
      </c>
      <c r="G76" s="5">
        <f>IFERROR(IF(NOT(器件参数!B76),1,IF(NOT(OR(器件参数!E76&lt;&gt;"mixer",AND(OR(器件参数!V76="SSB",器件参数!V76="DSB"),器件参数!W76=TRUE))),"",IF(器件参数!G76="ideal",1,IF(AND(器件参数!G76="manual",ISNUMBER(器件参数!H76),器件参数!H76&gt;=0),10^(器件参数!H76/10),IF(AND(器件参数!G76="passive_thermal",OR(器件参数!E76="filter_bpf",器件参数!E76="filter_lpf",器件参数!E76="filter_hpf",器件参数!E76="filter_bsf",器件参数!E76="attenuator",器件参数!E76="cable",器件参数!E76="connector",器件参数!E76="switch",器件参数!E76="isolator",器件参数!E76="coupler",器件参数!E76="splitter"),AND(ISNUMBER(器件参数!F76),ABS(器件参数!F76)&lt;=300),器件参数!F76&lt;=0,ISNUMBER(器件参数!I76),器件参数!I76&gt;0),1+(10^(-器件参数!F76/10)-1)*器件参数!I76/Tref_K,""))))),"数值域错误")</f>
        <v>1</v>
      </c>
      <c r="H76" s="5">
        <f t="shared" si="22"/>
        <v>2.29336948552238</v>
      </c>
      <c r="I76" s="5">
        <f t="shared" si="23"/>
        <v>3.604740296957</v>
      </c>
      <c r="J76" s="5">
        <f>IF(AND(ISNUMBER(Pin_dBm),ISNUMBER(D76)),Pin_dBm+D76,"")</f>
        <v>-10</v>
      </c>
      <c r="K76" s="5">
        <f>IF(AND(ISNUMBER(Pin_dBm),ISNUMBER(E76)),Pin_dBm+E76,"")</f>
        <v>-10</v>
      </c>
      <c r="L76" s="5" t="str">
        <f>IF(AND(器件参数!J76="finite",ISNUMBER(器件参数!L76),ISNUMBER(C76)),IF(器件参数!K76="input",器件参数!L76,IF(器件参数!K76="output",器件参数!L76-C76,"")),"")</f>
        <v/>
      </c>
      <c r="M76" s="5">
        <f>IFERROR(IF(NOT(ISNUMBER(M75)),"",IF(OR(NOT(器件参数!B76),器件参数!J76="ideal"),M75,IF(AND(ISNUMBER(L76),ISNUMBER(F76)),M75+F76/10^(L76/10),""))),"数值域错误")</f>
        <v>0.2</v>
      </c>
      <c r="N76" s="5">
        <f t="shared" si="24"/>
        <v>6.98970004336019</v>
      </c>
      <c r="O76" s="5">
        <f t="shared" si="25"/>
        <v>26.9897000433602</v>
      </c>
      <c r="P76" s="5" t="str">
        <f>IF(AND(器件参数!M76="finite",ISNUMBER(器件参数!O76),ISNUMBER(C76)),IF(器件参数!N76="input",器件参数!O76,IF(器件参数!N76="actual_output",器件参数!O76-C76+1,IF(器件参数!N76="linear_output",器件参数!O76-C76,""))),"")</f>
        <v/>
      </c>
      <c r="Q76" s="5">
        <f>IF(器件参数!P76="",IF(AND(ISNUMBER(DefaultP),DefaultP&gt;=1,DefaultP&lt;=10),DefaultP,""),IF(AND(ISNUMBER(器件参数!P76),器件参数!P76&gt;=1,器件参数!P76&lt;=10),器件参数!P76,""))</f>
        <v>2</v>
      </c>
      <c r="R76" s="5">
        <f t="shared" si="26"/>
        <v>-10.0000139708288</v>
      </c>
      <c r="S76" s="5" t="str">
        <f t="shared" si="27"/>
        <v/>
      </c>
      <c r="T76" s="5">
        <f t="shared" si="28"/>
        <v>0</v>
      </c>
      <c r="U76" s="5">
        <f t="shared" si="29"/>
        <v>-10.0000139708288</v>
      </c>
      <c r="V76" s="5">
        <f>IF(AND(ISNUMBER(Pin_dBm),ISNUMBER(E76),ISNUMBER(U76)),Pin_dBm+E76-U76,"")</f>
        <v>1.39708287854035e-5</v>
      </c>
      <c r="W76" s="5" t="str">
        <f>IF(AND(器件参数!B76,X76=1,ISNUMBER(D76)),P76-D76,"")</f>
        <v/>
      </c>
      <c r="X76" s="5">
        <f>IF(NOT(ISNUMBER(C76)),-1,IF(OR(NOT(器件参数!B76),器件参数!M76="ideal"),0,IF(AND(ISNUMBER(P76),ISNUMBER(Q76)),1,-1)))</f>
        <v>0</v>
      </c>
      <c r="Y76" s="5" t="str">
        <f t="shared" si="30"/>
        <v>有效</v>
      </c>
      <c r="Z76" s="5" t="str">
        <f t="shared" si="31"/>
        <v>有效</v>
      </c>
      <c r="AA76" s="5" t="str">
        <f t="shared" si="32"/>
        <v>模型估算</v>
      </c>
      <c r="AB76" s="5">
        <f t="shared" si="33"/>
        <v>100000000</v>
      </c>
      <c r="AC76" s="5">
        <f>IF(NOT(ISNUMBER(AB76)),"",IF(OR(NOT(器件参数!B76),器件参数!E76&lt;&gt;"mixer"),AB76,IF(AND(ISNUMBER(器件参数!T76),器件参数!T76&gt;0),IF(器件参数!U76="sum",AB76+器件参数!T76,IF(器件参数!U76="difference",ABS(AB76-器件参数!T76),"")),"")))</f>
        <v>100000000</v>
      </c>
      <c r="AD76" s="5">
        <f t="shared" si="34"/>
        <v>0</v>
      </c>
      <c r="AE76" s="5">
        <f>IF(AND(ISNUMBER(G76),ISNUMBER(F76)),Tref_K*(G76-1)/F76,"")</f>
        <v>0</v>
      </c>
      <c r="AF76" s="5">
        <f>IF(AND(ISNUMBER(H76),ISNUMBER(E76),NoiseConfigOK),10*LOG10(Boltzmann*Bnoise_Hz*(Tsource_K+Tref_K*(H76-1)))+30+E76,"")</f>
        <v>-90.3704468972711</v>
      </c>
      <c r="AG76" s="5">
        <f t="shared" si="35"/>
        <v>80.3704468972711</v>
      </c>
      <c r="AH76" s="5">
        <f>IF(AND(ToneEnabled,ISNUMBER(E76),ISNUMBER(TonePin)),TonePin+E76,"")</f>
        <v>-10</v>
      </c>
      <c r="AI76" s="5">
        <f>IF(AND(ToneEnabled,ISNUMBER(E76),ISNUMBER(N76),ISNUMBER(TonePin)),3*TonePin+E76-2*N76,"")</f>
        <v>-83.9794000867204</v>
      </c>
      <c r="AJ76" s="5" t="str">
        <f t="shared" si="36"/>
        <v/>
      </c>
      <c r="AK76" s="5" t="str">
        <f>IF(NOT(器件参数!B76),"旁路",IF(NOT(ISNUMBER(AC76)),"频率未知",IF(AC76&lt;=SignalBW/2,"跨零频",IF(AND(ISNUMBER(器件参数!R76),ISNUMBER(器件参数!S76)),IF(AND(AB76-SignalBW/2&gt;=器件参数!R76,AB76+SignalBW/2&lt;=器件参数!S76),"有效","超声明通带"),"未声明通带"))))</f>
        <v>旁路</v>
      </c>
      <c r="AL76" s="5">
        <f t="shared" si="37"/>
        <v>0</v>
      </c>
      <c r="AM76" s="5" t="str">
        <f>IF(AND(器件参数!B76,ISNUMBER(器件参数!X76),OR(AND(ISNUMBER(J76),J76&gt;器件参数!X76),IF(AND(ToneEnabled,ISNUMBER(TonePin),ISNUMBER(D76)),TonePin+10*LOG10(2)+D76&gt;器件参数!X76,FALSE))),"超过绝对最大输入额定值","")</f>
        <v/>
      </c>
      <c r="AN76" s="5">
        <f>IF(NOT(ISNUMBER(AN75)),"",IF(OR(NOT(器件参数!B76),器件参数!E76&lt;&gt;"mixer"),AN75,IF(AND(ISNUMBER(器件参数!T76),器件参数!T76&gt;0),IF(器件参数!U76="sum",AN75+器件参数!T76,ABS(AN75-器件参数!T76)),"")))</f>
        <v>99950000</v>
      </c>
      <c r="AO76" s="5">
        <f>IF(NOT(ISNUMBER(AO75)),"",IF(OR(NOT(器件参数!B76),器件参数!E76&lt;&gt;"mixer"),AO75,IF(AND(ISNUMBER(器件参数!T76),器件参数!T76&gt;0),IF(器件参数!U76="sum",AO75+器件参数!T76,ABS(AO75-器件参数!T76)),"")))</f>
        <v>100050000</v>
      </c>
      <c r="AP76" s="5">
        <f>IF(NOT(ISNUMBER(AP75)),"",IF(OR(NOT(器件参数!B76),器件参数!E76&lt;&gt;"mixer"),AP75,IF(AND(ISNUMBER(器件参数!T76),器件参数!T76&gt;0),IF(器件参数!U76="sum",AP75+器件参数!T76,ABS(AP75-器件参数!T76)),"")))</f>
        <v>99850000</v>
      </c>
      <c r="AQ76" s="5">
        <f>IF(NOT(ISNUMBER(AQ75)),"",IF(OR(NOT(器件参数!B76),器件参数!E76&lt;&gt;"mixer"),AQ75,IF(AND(ISNUMBER(器件参数!T76),器件参数!T76&gt;0),IF(器件参数!U76="sum",AQ75+器件参数!T76,ABS(AQ75-器件参数!T76)),"")))</f>
        <v>100150000</v>
      </c>
      <c r="AR76" s="5" t="b">
        <f>IF(NOT(AR75),FALSE,IF(NOT(器件参数!B76),TRUE,AND(COUNT(AN76:AQ76)=4,MIN(AN76:AQ76)&gt;0,IF(AND(ISNUMBER(器件参数!R76),ISNUMBER(器件参数!S76)),AND(MIN(AN75:AQ75)&gt;=器件参数!R76,MAX(AN75:AQ75)&lt;=器件参数!S76),TRUE),IF(AND(器件参数!E76="mixer",器件参数!U76="difference"),OR(器件参数!T76&lt;MIN(AN75:AQ75),器件参数!T76&gt;MAX(AN75:AQ75)),TRUE))))</f>
        <v>1</v>
      </c>
    </row>
    <row r="77" hidden="1" spans="1:44">
      <c r="A77" s="5">
        <f>器件参数!A77</f>
        <v>74</v>
      </c>
      <c r="B77" s="5" t="str">
        <f>器件参数!D77</f>
        <v/>
      </c>
      <c r="C77" s="5">
        <f>IF(NOT(器件参数!B77),0,IF(AND(ISNUMBER(器件参数!F77),ABS(器件参数!F77)&lt;=300),器件参数!F77,""))</f>
        <v>0</v>
      </c>
      <c r="D77" s="5">
        <f t="shared" si="19"/>
        <v>20</v>
      </c>
      <c r="E77" s="5">
        <f t="shared" si="20"/>
        <v>20</v>
      </c>
      <c r="F77" s="5">
        <f t="shared" si="21"/>
        <v>100</v>
      </c>
      <c r="G77" s="5">
        <f>IFERROR(IF(NOT(器件参数!B77),1,IF(NOT(OR(器件参数!E77&lt;&gt;"mixer",AND(OR(器件参数!V77="SSB",器件参数!V77="DSB"),器件参数!W77=TRUE))),"",IF(器件参数!G77="ideal",1,IF(AND(器件参数!G77="manual",ISNUMBER(器件参数!H77),器件参数!H77&gt;=0),10^(器件参数!H77/10),IF(AND(器件参数!G77="passive_thermal",OR(器件参数!E77="filter_bpf",器件参数!E77="filter_lpf",器件参数!E77="filter_hpf",器件参数!E77="filter_bsf",器件参数!E77="attenuator",器件参数!E77="cable",器件参数!E77="connector",器件参数!E77="switch",器件参数!E77="isolator",器件参数!E77="coupler",器件参数!E77="splitter"),AND(ISNUMBER(器件参数!F77),ABS(器件参数!F77)&lt;=300),器件参数!F77&lt;=0,ISNUMBER(器件参数!I77),器件参数!I77&gt;0),1+(10^(-器件参数!F77/10)-1)*器件参数!I77/Tref_K,""))))),"数值域错误")</f>
        <v>1</v>
      </c>
      <c r="H77" s="5">
        <f t="shared" si="22"/>
        <v>2.29336948552238</v>
      </c>
      <c r="I77" s="5">
        <f t="shared" si="23"/>
        <v>3.604740296957</v>
      </c>
      <c r="J77" s="5">
        <f>IF(AND(ISNUMBER(Pin_dBm),ISNUMBER(D77)),Pin_dBm+D77,"")</f>
        <v>-10</v>
      </c>
      <c r="K77" s="5">
        <f>IF(AND(ISNUMBER(Pin_dBm),ISNUMBER(E77)),Pin_dBm+E77,"")</f>
        <v>-10</v>
      </c>
      <c r="L77" s="5" t="str">
        <f>IF(AND(器件参数!J77="finite",ISNUMBER(器件参数!L77),ISNUMBER(C77)),IF(器件参数!K77="input",器件参数!L77,IF(器件参数!K77="output",器件参数!L77-C77,"")),"")</f>
        <v/>
      </c>
      <c r="M77" s="5">
        <f>IFERROR(IF(NOT(ISNUMBER(M76)),"",IF(OR(NOT(器件参数!B77),器件参数!J77="ideal"),M76,IF(AND(ISNUMBER(L77),ISNUMBER(F77)),M76+F77/10^(L77/10),""))),"数值域错误")</f>
        <v>0.2</v>
      </c>
      <c r="N77" s="5">
        <f t="shared" si="24"/>
        <v>6.98970004336019</v>
      </c>
      <c r="O77" s="5">
        <f t="shared" si="25"/>
        <v>26.9897000433602</v>
      </c>
      <c r="P77" s="5" t="str">
        <f>IF(AND(器件参数!M77="finite",ISNUMBER(器件参数!O77),ISNUMBER(C77)),IF(器件参数!N77="input",器件参数!O77,IF(器件参数!N77="actual_output",器件参数!O77-C77+1,IF(器件参数!N77="linear_output",器件参数!O77-C77,""))),"")</f>
        <v/>
      </c>
      <c r="Q77" s="5">
        <f>IF(器件参数!P77="",IF(AND(ISNUMBER(DefaultP),DefaultP&gt;=1,DefaultP&lt;=10),DefaultP,""),IF(AND(ISNUMBER(器件参数!P77),器件参数!P77&gt;=1,器件参数!P77&lt;=10),器件参数!P77,""))</f>
        <v>2</v>
      </c>
      <c r="R77" s="5">
        <f t="shared" si="26"/>
        <v>-10.0000139708288</v>
      </c>
      <c r="S77" s="5" t="str">
        <f t="shared" si="27"/>
        <v/>
      </c>
      <c r="T77" s="5">
        <f t="shared" si="28"/>
        <v>0</v>
      </c>
      <c r="U77" s="5">
        <f t="shared" si="29"/>
        <v>-10.0000139708288</v>
      </c>
      <c r="V77" s="5">
        <f>IF(AND(ISNUMBER(Pin_dBm),ISNUMBER(E77),ISNUMBER(U77)),Pin_dBm+E77-U77,"")</f>
        <v>1.39708287854035e-5</v>
      </c>
      <c r="W77" s="5" t="str">
        <f>IF(AND(器件参数!B77,X77=1,ISNUMBER(D77)),P77-D77,"")</f>
        <v/>
      </c>
      <c r="X77" s="5">
        <f>IF(NOT(ISNUMBER(C77)),-1,IF(OR(NOT(器件参数!B77),器件参数!M77="ideal"),0,IF(AND(ISNUMBER(P77),ISNUMBER(Q77)),1,-1)))</f>
        <v>0</v>
      </c>
      <c r="Y77" s="5" t="str">
        <f t="shared" si="30"/>
        <v>有效</v>
      </c>
      <c r="Z77" s="5" t="str">
        <f t="shared" si="31"/>
        <v>有效</v>
      </c>
      <c r="AA77" s="5" t="str">
        <f t="shared" si="32"/>
        <v>模型估算</v>
      </c>
      <c r="AB77" s="5">
        <f t="shared" si="33"/>
        <v>100000000</v>
      </c>
      <c r="AC77" s="5">
        <f>IF(NOT(ISNUMBER(AB77)),"",IF(OR(NOT(器件参数!B77),器件参数!E77&lt;&gt;"mixer"),AB77,IF(AND(ISNUMBER(器件参数!T77),器件参数!T77&gt;0),IF(器件参数!U77="sum",AB77+器件参数!T77,IF(器件参数!U77="difference",ABS(AB77-器件参数!T77),"")),"")))</f>
        <v>100000000</v>
      </c>
      <c r="AD77" s="5">
        <f t="shared" si="34"/>
        <v>0</v>
      </c>
      <c r="AE77" s="5">
        <f>IF(AND(ISNUMBER(G77),ISNUMBER(F77)),Tref_K*(G77-1)/F77,"")</f>
        <v>0</v>
      </c>
      <c r="AF77" s="5">
        <f>IF(AND(ISNUMBER(H77),ISNUMBER(E77),NoiseConfigOK),10*LOG10(Boltzmann*Bnoise_Hz*(Tsource_K+Tref_K*(H77-1)))+30+E77,"")</f>
        <v>-90.3704468972711</v>
      </c>
      <c r="AG77" s="5">
        <f t="shared" si="35"/>
        <v>80.3704468972711</v>
      </c>
      <c r="AH77" s="5">
        <f>IF(AND(ToneEnabled,ISNUMBER(E77),ISNUMBER(TonePin)),TonePin+E77,"")</f>
        <v>-10</v>
      </c>
      <c r="AI77" s="5">
        <f>IF(AND(ToneEnabled,ISNUMBER(E77),ISNUMBER(N77),ISNUMBER(TonePin)),3*TonePin+E77-2*N77,"")</f>
        <v>-83.9794000867204</v>
      </c>
      <c r="AJ77" s="5" t="str">
        <f t="shared" si="36"/>
        <v/>
      </c>
      <c r="AK77" s="5" t="str">
        <f>IF(NOT(器件参数!B77),"旁路",IF(NOT(ISNUMBER(AC77)),"频率未知",IF(AC77&lt;=SignalBW/2,"跨零频",IF(AND(ISNUMBER(器件参数!R77),ISNUMBER(器件参数!S77)),IF(AND(AB77-SignalBW/2&gt;=器件参数!R77,AB77+SignalBW/2&lt;=器件参数!S77),"有效","超声明通带"),"未声明通带"))))</f>
        <v>旁路</v>
      </c>
      <c r="AL77" s="5">
        <f t="shared" si="37"/>
        <v>0</v>
      </c>
      <c r="AM77" s="5" t="str">
        <f>IF(AND(器件参数!B77,ISNUMBER(器件参数!X77),OR(AND(ISNUMBER(J77),J77&gt;器件参数!X77),IF(AND(ToneEnabled,ISNUMBER(TonePin),ISNUMBER(D77)),TonePin+10*LOG10(2)+D77&gt;器件参数!X77,FALSE))),"超过绝对最大输入额定值","")</f>
        <v/>
      </c>
      <c r="AN77" s="5">
        <f>IF(NOT(ISNUMBER(AN76)),"",IF(OR(NOT(器件参数!B77),器件参数!E77&lt;&gt;"mixer"),AN76,IF(AND(ISNUMBER(器件参数!T77),器件参数!T77&gt;0),IF(器件参数!U77="sum",AN76+器件参数!T77,ABS(AN76-器件参数!T77)),"")))</f>
        <v>99950000</v>
      </c>
      <c r="AO77" s="5">
        <f>IF(NOT(ISNUMBER(AO76)),"",IF(OR(NOT(器件参数!B77),器件参数!E77&lt;&gt;"mixer"),AO76,IF(AND(ISNUMBER(器件参数!T77),器件参数!T77&gt;0),IF(器件参数!U77="sum",AO76+器件参数!T77,ABS(AO76-器件参数!T77)),"")))</f>
        <v>100050000</v>
      </c>
      <c r="AP77" s="5">
        <f>IF(NOT(ISNUMBER(AP76)),"",IF(OR(NOT(器件参数!B77),器件参数!E77&lt;&gt;"mixer"),AP76,IF(AND(ISNUMBER(器件参数!T77),器件参数!T77&gt;0),IF(器件参数!U77="sum",AP76+器件参数!T77,ABS(AP76-器件参数!T77)),"")))</f>
        <v>99850000</v>
      </c>
      <c r="AQ77" s="5">
        <f>IF(NOT(ISNUMBER(AQ76)),"",IF(OR(NOT(器件参数!B77),器件参数!E77&lt;&gt;"mixer"),AQ76,IF(AND(ISNUMBER(器件参数!T77),器件参数!T77&gt;0),IF(器件参数!U77="sum",AQ76+器件参数!T77,ABS(AQ76-器件参数!T77)),"")))</f>
        <v>100150000</v>
      </c>
      <c r="AR77" s="5" t="b">
        <f>IF(NOT(AR76),FALSE,IF(NOT(器件参数!B77),TRUE,AND(COUNT(AN77:AQ77)=4,MIN(AN77:AQ77)&gt;0,IF(AND(ISNUMBER(器件参数!R77),ISNUMBER(器件参数!S77)),AND(MIN(AN76:AQ76)&gt;=器件参数!R77,MAX(AN76:AQ76)&lt;=器件参数!S77),TRUE),IF(AND(器件参数!E77="mixer",器件参数!U77="difference"),OR(器件参数!T77&lt;MIN(AN76:AQ76),器件参数!T77&gt;MAX(AN76:AQ76)),TRUE))))</f>
        <v>1</v>
      </c>
    </row>
    <row r="78" hidden="1" spans="1:44">
      <c r="A78" s="5">
        <f>器件参数!A78</f>
        <v>75</v>
      </c>
      <c r="B78" s="5" t="str">
        <f>器件参数!D78</f>
        <v/>
      </c>
      <c r="C78" s="5">
        <f>IF(NOT(器件参数!B78),0,IF(AND(ISNUMBER(器件参数!F78),ABS(器件参数!F78)&lt;=300),器件参数!F78,""))</f>
        <v>0</v>
      </c>
      <c r="D78" s="5">
        <f t="shared" si="19"/>
        <v>20</v>
      </c>
      <c r="E78" s="5">
        <f t="shared" si="20"/>
        <v>20</v>
      </c>
      <c r="F78" s="5">
        <f t="shared" si="21"/>
        <v>100</v>
      </c>
      <c r="G78" s="5">
        <f>IFERROR(IF(NOT(器件参数!B78),1,IF(NOT(OR(器件参数!E78&lt;&gt;"mixer",AND(OR(器件参数!V78="SSB",器件参数!V78="DSB"),器件参数!W78=TRUE))),"",IF(器件参数!G78="ideal",1,IF(AND(器件参数!G78="manual",ISNUMBER(器件参数!H78),器件参数!H78&gt;=0),10^(器件参数!H78/10),IF(AND(器件参数!G78="passive_thermal",OR(器件参数!E78="filter_bpf",器件参数!E78="filter_lpf",器件参数!E78="filter_hpf",器件参数!E78="filter_bsf",器件参数!E78="attenuator",器件参数!E78="cable",器件参数!E78="connector",器件参数!E78="switch",器件参数!E78="isolator",器件参数!E78="coupler",器件参数!E78="splitter"),AND(ISNUMBER(器件参数!F78),ABS(器件参数!F78)&lt;=300),器件参数!F78&lt;=0,ISNUMBER(器件参数!I78),器件参数!I78&gt;0),1+(10^(-器件参数!F78/10)-1)*器件参数!I78/Tref_K,""))))),"数值域错误")</f>
        <v>1</v>
      </c>
      <c r="H78" s="5">
        <f t="shared" si="22"/>
        <v>2.29336948552238</v>
      </c>
      <c r="I78" s="5">
        <f t="shared" si="23"/>
        <v>3.604740296957</v>
      </c>
      <c r="J78" s="5">
        <f>IF(AND(ISNUMBER(Pin_dBm),ISNUMBER(D78)),Pin_dBm+D78,"")</f>
        <v>-10</v>
      </c>
      <c r="K78" s="5">
        <f>IF(AND(ISNUMBER(Pin_dBm),ISNUMBER(E78)),Pin_dBm+E78,"")</f>
        <v>-10</v>
      </c>
      <c r="L78" s="5" t="str">
        <f>IF(AND(器件参数!J78="finite",ISNUMBER(器件参数!L78),ISNUMBER(C78)),IF(器件参数!K78="input",器件参数!L78,IF(器件参数!K78="output",器件参数!L78-C78,"")),"")</f>
        <v/>
      </c>
      <c r="M78" s="5">
        <f>IFERROR(IF(NOT(ISNUMBER(M77)),"",IF(OR(NOT(器件参数!B78),器件参数!J78="ideal"),M77,IF(AND(ISNUMBER(L78),ISNUMBER(F78)),M77+F78/10^(L78/10),""))),"数值域错误")</f>
        <v>0.2</v>
      </c>
      <c r="N78" s="5">
        <f t="shared" si="24"/>
        <v>6.98970004336019</v>
      </c>
      <c r="O78" s="5">
        <f t="shared" si="25"/>
        <v>26.9897000433602</v>
      </c>
      <c r="P78" s="5" t="str">
        <f>IF(AND(器件参数!M78="finite",ISNUMBER(器件参数!O78),ISNUMBER(C78)),IF(器件参数!N78="input",器件参数!O78,IF(器件参数!N78="actual_output",器件参数!O78-C78+1,IF(器件参数!N78="linear_output",器件参数!O78-C78,""))),"")</f>
        <v/>
      </c>
      <c r="Q78" s="5">
        <f>IF(器件参数!P78="",IF(AND(ISNUMBER(DefaultP),DefaultP&gt;=1,DefaultP&lt;=10),DefaultP,""),IF(AND(ISNUMBER(器件参数!P78),器件参数!P78&gt;=1,器件参数!P78&lt;=10),器件参数!P78,""))</f>
        <v>2</v>
      </c>
      <c r="R78" s="5">
        <f t="shared" si="26"/>
        <v>-10.0000139708288</v>
      </c>
      <c r="S78" s="5" t="str">
        <f t="shared" si="27"/>
        <v/>
      </c>
      <c r="T78" s="5">
        <f t="shared" si="28"/>
        <v>0</v>
      </c>
      <c r="U78" s="5">
        <f t="shared" si="29"/>
        <v>-10.0000139708288</v>
      </c>
      <c r="V78" s="5">
        <f>IF(AND(ISNUMBER(Pin_dBm),ISNUMBER(E78),ISNUMBER(U78)),Pin_dBm+E78-U78,"")</f>
        <v>1.39708287854035e-5</v>
      </c>
      <c r="W78" s="5" t="str">
        <f>IF(AND(器件参数!B78,X78=1,ISNUMBER(D78)),P78-D78,"")</f>
        <v/>
      </c>
      <c r="X78" s="5">
        <f>IF(NOT(ISNUMBER(C78)),-1,IF(OR(NOT(器件参数!B78),器件参数!M78="ideal"),0,IF(AND(ISNUMBER(P78),ISNUMBER(Q78)),1,-1)))</f>
        <v>0</v>
      </c>
      <c r="Y78" s="5" t="str">
        <f t="shared" si="30"/>
        <v>有效</v>
      </c>
      <c r="Z78" s="5" t="str">
        <f t="shared" si="31"/>
        <v>有效</v>
      </c>
      <c r="AA78" s="5" t="str">
        <f t="shared" si="32"/>
        <v>模型估算</v>
      </c>
      <c r="AB78" s="5">
        <f t="shared" si="33"/>
        <v>100000000</v>
      </c>
      <c r="AC78" s="5">
        <f>IF(NOT(ISNUMBER(AB78)),"",IF(OR(NOT(器件参数!B78),器件参数!E78&lt;&gt;"mixer"),AB78,IF(AND(ISNUMBER(器件参数!T78),器件参数!T78&gt;0),IF(器件参数!U78="sum",AB78+器件参数!T78,IF(器件参数!U78="difference",ABS(AB78-器件参数!T78),"")),"")))</f>
        <v>100000000</v>
      </c>
      <c r="AD78" s="5">
        <f t="shared" si="34"/>
        <v>0</v>
      </c>
      <c r="AE78" s="5">
        <f>IF(AND(ISNUMBER(G78),ISNUMBER(F78)),Tref_K*(G78-1)/F78,"")</f>
        <v>0</v>
      </c>
      <c r="AF78" s="5">
        <f>IF(AND(ISNUMBER(H78),ISNUMBER(E78),NoiseConfigOK),10*LOG10(Boltzmann*Bnoise_Hz*(Tsource_K+Tref_K*(H78-1)))+30+E78,"")</f>
        <v>-90.3704468972711</v>
      </c>
      <c r="AG78" s="5">
        <f t="shared" si="35"/>
        <v>80.3704468972711</v>
      </c>
      <c r="AH78" s="5">
        <f>IF(AND(ToneEnabled,ISNUMBER(E78),ISNUMBER(TonePin)),TonePin+E78,"")</f>
        <v>-10</v>
      </c>
      <c r="AI78" s="5">
        <f>IF(AND(ToneEnabled,ISNUMBER(E78),ISNUMBER(N78),ISNUMBER(TonePin)),3*TonePin+E78-2*N78,"")</f>
        <v>-83.9794000867204</v>
      </c>
      <c r="AJ78" s="5" t="str">
        <f t="shared" si="36"/>
        <v/>
      </c>
      <c r="AK78" s="5" t="str">
        <f>IF(NOT(器件参数!B78),"旁路",IF(NOT(ISNUMBER(AC78)),"频率未知",IF(AC78&lt;=SignalBW/2,"跨零频",IF(AND(ISNUMBER(器件参数!R78),ISNUMBER(器件参数!S78)),IF(AND(AB78-SignalBW/2&gt;=器件参数!R78,AB78+SignalBW/2&lt;=器件参数!S78),"有效","超声明通带"),"未声明通带"))))</f>
        <v>旁路</v>
      </c>
      <c r="AL78" s="5">
        <f t="shared" si="37"/>
        <v>0</v>
      </c>
      <c r="AM78" s="5" t="str">
        <f>IF(AND(器件参数!B78,ISNUMBER(器件参数!X78),OR(AND(ISNUMBER(J78),J78&gt;器件参数!X78),IF(AND(ToneEnabled,ISNUMBER(TonePin),ISNUMBER(D78)),TonePin+10*LOG10(2)+D78&gt;器件参数!X78,FALSE))),"超过绝对最大输入额定值","")</f>
        <v/>
      </c>
      <c r="AN78" s="5">
        <f>IF(NOT(ISNUMBER(AN77)),"",IF(OR(NOT(器件参数!B78),器件参数!E78&lt;&gt;"mixer"),AN77,IF(AND(ISNUMBER(器件参数!T78),器件参数!T78&gt;0),IF(器件参数!U78="sum",AN77+器件参数!T78,ABS(AN77-器件参数!T78)),"")))</f>
        <v>99950000</v>
      </c>
      <c r="AO78" s="5">
        <f>IF(NOT(ISNUMBER(AO77)),"",IF(OR(NOT(器件参数!B78),器件参数!E78&lt;&gt;"mixer"),AO77,IF(AND(ISNUMBER(器件参数!T78),器件参数!T78&gt;0),IF(器件参数!U78="sum",AO77+器件参数!T78,ABS(AO77-器件参数!T78)),"")))</f>
        <v>100050000</v>
      </c>
      <c r="AP78" s="5">
        <f>IF(NOT(ISNUMBER(AP77)),"",IF(OR(NOT(器件参数!B78),器件参数!E78&lt;&gt;"mixer"),AP77,IF(AND(ISNUMBER(器件参数!T78),器件参数!T78&gt;0),IF(器件参数!U78="sum",AP77+器件参数!T78,ABS(AP77-器件参数!T78)),"")))</f>
        <v>99850000</v>
      </c>
      <c r="AQ78" s="5">
        <f>IF(NOT(ISNUMBER(AQ77)),"",IF(OR(NOT(器件参数!B78),器件参数!E78&lt;&gt;"mixer"),AQ77,IF(AND(ISNUMBER(器件参数!T78),器件参数!T78&gt;0),IF(器件参数!U78="sum",AQ77+器件参数!T78,ABS(AQ77-器件参数!T78)),"")))</f>
        <v>100150000</v>
      </c>
      <c r="AR78" s="5" t="b">
        <f>IF(NOT(AR77),FALSE,IF(NOT(器件参数!B78),TRUE,AND(COUNT(AN78:AQ78)=4,MIN(AN78:AQ78)&gt;0,IF(AND(ISNUMBER(器件参数!R78),ISNUMBER(器件参数!S78)),AND(MIN(AN77:AQ77)&gt;=器件参数!R78,MAX(AN77:AQ77)&lt;=器件参数!S78),TRUE),IF(AND(器件参数!E78="mixer",器件参数!U78="difference"),OR(器件参数!T78&lt;MIN(AN77:AQ77),器件参数!T78&gt;MAX(AN77:AQ77)),TRUE))))</f>
        <v>1</v>
      </c>
    </row>
    <row r="79" hidden="1" spans="1:44">
      <c r="A79" s="5">
        <f>器件参数!A79</f>
        <v>76</v>
      </c>
      <c r="B79" s="5" t="str">
        <f>器件参数!D79</f>
        <v/>
      </c>
      <c r="C79" s="5">
        <f>IF(NOT(器件参数!B79),0,IF(AND(ISNUMBER(器件参数!F79),ABS(器件参数!F79)&lt;=300),器件参数!F79,""))</f>
        <v>0</v>
      </c>
      <c r="D79" s="5">
        <f t="shared" si="19"/>
        <v>20</v>
      </c>
      <c r="E79" s="5">
        <f t="shared" si="20"/>
        <v>20</v>
      </c>
      <c r="F79" s="5">
        <f t="shared" si="21"/>
        <v>100</v>
      </c>
      <c r="G79" s="5">
        <f>IFERROR(IF(NOT(器件参数!B79),1,IF(NOT(OR(器件参数!E79&lt;&gt;"mixer",AND(OR(器件参数!V79="SSB",器件参数!V79="DSB"),器件参数!W79=TRUE))),"",IF(器件参数!G79="ideal",1,IF(AND(器件参数!G79="manual",ISNUMBER(器件参数!H79),器件参数!H79&gt;=0),10^(器件参数!H79/10),IF(AND(器件参数!G79="passive_thermal",OR(器件参数!E79="filter_bpf",器件参数!E79="filter_lpf",器件参数!E79="filter_hpf",器件参数!E79="filter_bsf",器件参数!E79="attenuator",器件参数!E79="cable",器件参数!E79="connector",器件参数!E79="switch",器件参数!E79="isolator",器件参数!E79="coupler",器件参数!E79="splitter"),AND(ISNUMBER(器件参数!F79),ABS(器件参数!F79)&lt;=300),器件参数!F79&lt;=0,ISNUMBER(器件参数!I79),器件参数!I79&gt;0),1+(10^(-器件参数!F79/10)-1)*器件参数!I79/Tref_K,""))))),"数值域错误")</f>
        <v>1</v>
      </c>
      <c r="H79" s="5">
        <f t="shared" si="22"/>
        <v>2.29336948552238</v>
      </c>
      <c r="I79" s="5">
        <f t="shared" si="23"/>
        <v>3.604740296957</v>
      </c>
      <c r="J79" s="5">
        <f>IF(AND(ISNUMBER(Pin_dBm),ISNUMBER(D79)),Pin_dBm+D79,"")</f>
        <v>-10</v>
      </c>
      <c r="K79" s="5">
        <f>IF(AND(ISNUMBER(Pin_dBm),ISNUMBER(E79)),Pin_dBm+E79,"")</f>
        <v>-10</v>
      </c>
      <c r="L79" s="5" t="str">
        <f>IF(AND(器件参数!J79="finite",ISNUMBER(器件参数!L79),ISNUMBER(C79)),IF(器件参数!K79="input",器件参数!L79,IF(器件参数!K79="output",器件参数!L79-C79,"")),"")</f>
        <v/>
      </c>
      <c r="M79" s="5">
        <f>IFERROR(IF(NOT(ISNUMBER(M78)),"",IF(OR(NOT(器件参数!B79),器件参数!J79="ideal"),M78,IF(AND(ISNUMBER(L79),ISNUMBER(F79)),M78+F79/10^(L79/10),""))),"数值域错误")</f>
        <v>0.2</v>
      </c>
      <c r="N79" s="5">
        <f t="shared" si="24"/>
        <v>6.98970004336019</v>
      </c>
      <c r="O79" s="5">
        <f t="shared" si="25"/>
        <v>26.9897000433602</v>
      </c>
      <c r="P79" s="5" t="str">
        <f>IF(AND(器件参数!M79="finite",ISNUMBER(器件参数!O79),ISNUMBER(C79)),IF(器件参数!N79="input",器件参数!O79,IF(器件参数!N79="actual_output",器件参数!O79-C79+1,IF(器件参数!N79="linear_output",器件参数!O79-C79,""))),"")</f>
        <v/>
      </c>
      <c r="Q79" s="5">
        <f>IF(器件参数!P79="",IF(AND(ISNUMBER(DefaultP),DefaultP&gt;=1,DefaultP&lt;=10),DefaultP,""),IF(AND(ISNUMBER(器件参数!P79),器件参数!P79&gt;=1,器件参数!P79&lt;=10),器件参数!P79,""))</f>
        <v>2</v>
      </c>
      <c r="R79" s="5">
        <f t="shared" si="26"/>
        <v>-10.0000139708288</v>
      </c>
      <c r="S79" s="5" t="str">
        <f t="shared" si="27"/>
        <v/>
      </c>
      <c r="T79" s="5">
        <f t="shared" si="28"/>
        <v>0</v>
      </c>
      <c r="U79" s="5">
        <f t="shared" si="29"/>
        <v>-10.0000139708288</v>
      </c>
      <c r="V79" s="5">
        <f>IF(AND(ISNUMBER(Pin_dBm),ISNUMBER(E79),ISNUMBER(U79)),Pin_dBm+E79-U79,"")</f>
        <v>1.39708287854035e-5</v>
      </c>
      <c r="W79" s="5" t="str">
        <f>IF(AND(器件参数!B79,X79=1,ISNUMBER(D79)),P79-D79,"")</f>
        <v/>
      </c>
      <c r="X79" s="5">
        <f>IF(NOT(ISNUMBER(C79)),-1,IF(OR(NOT(器件参数!B79),器件参数!M79="ideal"),0,IF(AND(ISNUMBER(P79),ISNUMBER(Q79)),1,-1)))</f>
        <v>0</v>
      </c>
      <c r="Y79" s="5" t="str">
        <f t="shared" si="30"/>
        <v>有效</v>
      </c>
      <c r="Z79" s="5" t="str">
        <f t="shared" si="31"/>
        <v>有效</v>
      </c>
      <c r="AA79" s="5" t="str">
        <f t="shared" si="32"/>
        <v>模型估算</v>
      </c>
      <c r="AB79" s="5">
        <f t="shared" si="33"/>
        <v>100000000</v>
      </c>
      <c r="AC79" s="5">
        <f>IF(NOT(ISNUMBER(AB79)),"",IF(OR(NOT(器件参数!B79),器件参数!E79&lt;&gt;"mixer"),AB79,IF(AND(ISNUMBER(器件参数!T79),器件参数!T79&gt;0),IF(器件参数!U79="sum",AB79+器件参数!T79,IF(器件参数!U79="difference",ABS(AB79-器件参数!T79),"")),"")))</f>
        <v>100000000</v>
      </c>
      <c r="AD79" s="5">
        <f t="shared" si="34"/>
        <v>0</v>
      </c>
      <c r="AE79" s="5">
        <f>IF(AND(ISNUMBER(G79),ISNUMBER(F79)),Tref_K*(G79-1)/F79,"")</f>
        <v>0</v>
      </c>
      <c r="AF79" s="5">
        <f>IF(AND(ISNUMBER(H79),ISNUMBER(E79),NoiseConfigOK),10*LOG10(Boltzmann*Bnoise_Hz*(Tsource_K+Tref_K*(H79-1)))+30+E79,"")</f>
        <v>-90.3704468972711</v>
      </c>
      <c r="AG79" s="5">
        <f t="shared" si="35"/>
        <v>80.3704468972711</v>
      </c>
      <c r="AH79" s="5">
        <f>IF(AND(ToneEnabled,ISNUMBER(E79),ISNUMBER(TonePin)),TonePin+E79,"")</f>
        <v>-10</v>
      </c>
      <c r="AI79" s="5">
        <f>IF(AND(ToneEnabled,ISNUMBER(E79),ISNUMBER(N79),ISNUMBER(TonePin)),3*TonePin+E79-2*N79,"")</f>
        <v>-83.9794000867204</v>
      </c>
      <c r="AJ79" s="5" t="str">
        <f t="shared" si="36"/>
        <v/>
      </c>
      <c r="AK79" s="5" t="str">
        <f>IF(NOT(器件参数!B79),"旁路",IF(NOT(ISNUMBER(AC79)),"频率未知",IF(AC79&lt;=SignalBW/2,"跨零频",IF(AND(ISNUMBER(器件参数!R79),ISNUMBER(器件参数!S79)),IF(AND(AB79-SignalBW/2&gt;=器件参数!R79,AB79+SignalBW/2&lt;=器件参数!S79),"有效","超声明通带"),"未声明通带"))))</f>
        <v>旁路</v>
      </c>
      <c r="AL79" s="5">
        <f t="shared" si="37"/>
        <v>0</v>
      </c>
      <c r="AM79" s="5" t="str">
        <f>IF(AND(器件参数!B79,ISNUMBER(器件参数!X79),OR(AND(ISNUMBER(J79),J79&gt;器件参数!X79),IF(AND(ToneEnabled,ISNUMBER(TonePin),ISNUMBER(D79)),TonePin+10*LOG10(2)+D79&gt;器件参数!X79,FALSE))),"超过绝对最大输入额定值","")</f>
        <v/>
      </c>
      <c r="AN79" s="5">
        <f>IF(NOT(ISNUMBER(AN78)),"",IF(OR(NOT(器件参数!B79),器件参数!E79&lt;&gt;"mixer"),AN78,IF(AND(ISNUMBER(器件参数!T79),器件参数!T79&gt;0),IF(器件参数!U79="sum",AN78+器件参数!T79,ABS(AN78-器件参数!T79)),"")))</f>
        <v>99950000</v>
      </c>
      <c r="AO79" s="5">
        <f>IF(NOT(ISNUMBER(AO78)),"",IF(OR(NOT(器件参数!B79),器件参数!E79&lt;&gt;"mixer"),AO78,IF(AND(ISNUMBER(器件参数!T79),器件参数!T79&gt;0),IF(器件参数!U79="sum",AO78+器件参数!T79,ABS(AO78-器件参数!T79)),"")))</f>
        <v>100050000</v>
      </c>
      <c r="AP79" s="5">
        <f>IF(NOT(ISNUMBER(AP78)),"",IF(OR(NOT(器件参数!B79),器件参数!E79&lt;&gt;"mixer"),AP78,IF(AND(ISNUMBER(器件参数!T79),器件参数!T79&gt;0),IF(器件参数!U79="sum",AP78+器件参数!T79,ABS(AP78-器件参数!T79)),"")))</f>
        <v>99850000</v>
      </c>
      <c r="AQ79" s="5">
        <f>IF(NOT(ISNUMBER(AQ78)),"",IF(OR(NOT(器件参数!B79),器件参数!E79&lt;&gt;"mixer"),AQ78,IF(AND(ISNUMBER(器件参数!T79),器件参数!T79&gt;0),IF(器件参数!U79="sum",AQ78+器件参数!T79,ABS(AQ78-器件参数!T79)),"")))</f>
        <v>100150000</v>
      </c>
      <c r="AR79" s="5" t="b">
        <f>IF(NOT(AR78),FALSE,IF(NOT(器件参数!B79),TRUE,AND(COUNT(AN79:AQ79)=4,MIN(AN79:AQ79)&gt;0,IF(AND(ISNUMBER(器件参数!R79),ISNUMBER(器件参数!S79)),AND(MIN(AN78:AQ78)&gt;=器件参数!R79,MAX(AN78:AQ78)&lt;=器件参数!S79),TRUE),IF(AND(器件参数!E79="mixer",器件参数!U79="difference"),OR(器件参数!T79&lt;MIN(AN78:AQ78),器件参数!T79&gt;MAX(AN78:AQ78)),TRUE))))</f>
        <v>1</v>
      </c>
    </row>
    <row r="80" hidden="1" spans="1:44">
      <c r="A80" s="5">
        <f>器件参数!A80</f>
        <v>77</v>
      </c>
      <c r="B80" s="5" t="str">
        <f>器件参数!D80</f>
        <v/>
      </c>
      <c r="C80" s="5">
        <f>IF(NOT(器件参数!B80),0,IF(AND(ISNUMBER(器件参数!F80),ABS(器件参数!F80)&lt;=300),器件参数!F80,""))</f>
        <v>0</v>
      </c>
      <c r="D80" s="5">
        <f t="shared" si="19"/>
        <v>20</v>
      </c>
      <c r="E80" s="5">
        <f t="shared" si="20"/>
        <v>20</v>
      </c>
      <c r="F80" s="5">
        <f t="shared" si="21"/>
        <v>100</v>
      </c>
      <c r="G80" s="5">
        <f>IFERROR(IF(NOT(器件参数!B80),1,IF(NOT(OR(器件参数!E80&lt;&gt;"mixer",AND(OR(器件参数!V80="SSB",器件参数!V80="DSB"),器件参数!W80=TRUE))),"",IF(器件参数!G80="ideal",1,IF(AND(器件参数!G80="manual",ISNUMBER(器件参数!H80),器件参数!H80&gt;=0),10^(器件参数!H80/10),IF(AND(器件参数!G80="passive_thermal",OR(器件参数!E80="filter_bpf",器件参数!E80="filter_lpf",器件参数!E80="filter_hpf",器件参数!E80="filter_bsf",器件参数!E80="attenuator",器件参数!E80="cable",器件参数!E80="connector",器件参数!E80="switch",器件参数!E80="isolator",器件参数!E80="coupler",器件参数!E80="splitter"),AND(ISNUMBER(器件参数!F80),ABS(器件参数!F80)&lt;=300),器件参数!F80&lt;=0,ISNUMBER(器件参数!I80),器件参数!I80&gt;0),1+(10^(-器件参数!F80/10)-1)*器件参数!I80/Tref_K,""))))),"数值域错误")</f>
        <v>1</v>
      </c>
      <c r="H80" s="5">
        <f t="shared" si="22"/>
        <v>2.29336948552238</v>
      </c>
      <c r="I80" s="5">
        <f t="shared" si="23"/>
        <v>3.604740296957</v>
      </c>
      <c r="J80" s="5">
        <f>IF(AND(ISNUMBER(Pin_dBm),ISNUMBER(D80)),Pin_dBm+D80,"")</f>
        <v>-10</v>
      </c>
      <c r="K80" s="5">
        <f>IF(AND(ISNUMBER(Pin_dBm),ISNUMBER(E80)),Pin_dBm+E80,"")</f>
        <v>-10</v>
      </c>
      <c r="L80" s="5" t="str">
        <f>IF(AND(器件参数!J80="finite",ISNUMBER(器件参数!L80),ISNUMBER(C80)),IF(器件参数!K80="input",器件参数!L80,IF(器件参数!K80="output",器件参数!L80-C80,"")),"")</f>
        <v/>
      </c>
      <c r="M80" s="5">
        <f>IFERROR(IF(NOT(ISNUMBER(M79)),"",IF(OR(NOT(器件参数!B80),器件参数!J80="ideal"),M79,IF(AND(ISNUMBER(L80),ISNUMBER(F80)),M79+F80/10^(L80/10),""))),"数值域错误")</f>
        <v>0.2</v>
      </c>
      <c r="N80" s="5">
        <f t="shared" si="24"/>
        <v>6.98970004336019</v>
      </c>
      <c r="O80" s="5">
        <f t="shared" si="25"/>
        <v>26.9897000433602</v>
      </c>
      <c r="P80" s="5" t="str">
        <f>IF(AND(器件参数!M80="finite",ISNUMBER(器件参数!O80),ISNUMBER(C80)),IF(器件参数!N80="input",器件参数!O80,IF(器件参数!N80="actual_output",器件参数!O80-C80+1,IF(器件参数!N80="linear_output",器件参数!O80-C80,""))),"")</f>
        <v/>
      </c>
      <c r="Q80" s="5">
        <f>IF(器件参数!P80="",IF(AND(ISNUMBER(DefaultP),DefaultP&gt;=1,DefaultP&lt;=10),DefaultP,""),IF(AND(ISNUMBER(器件参数!P80),器件参数!P80&gt;=1,器件参数!P80&lt;=10),器件参数!P80,""))</f>
        <v>2</v>
      </c>
      <c r="R80" s="5">
        <f t="shared" si="26"/>
        <v>-10.0000139708288</v>
      </c>
      <c r="S80" s="5" t="str">
        <f t="shared" si="27"/>
        <v/>
      </c>
      <c r="T80" s="5">
        <f t="shared" si="28"/>
        <v>0</v>
      </c>
      <c r="U80" s="5">
        <f t="shared" si="29"/>
        <v>-10.0000139708288</v>
      </c>
      <c r="V80" s="5">
        <f>IF(AND(ISNUMBER(Pin_dBm),ISNUMBER(E80),ISNUMBER(U80)),Pin_dBm+E80-U80,"")</f>
        <v>1.39708287854035e-5</v>
      </c>
      <c r="W80" s="5" t="str">
        <f>IF(AND(器件参数!B80,X80=1,ISNUMBER(D80)),P80-D80,"")</f>
        <v/>
      </c>
      <c r="X80" s="5">
        <f>IF(NOT(ISNUMBER(C80)),-1,IF(OR(NOT(器件参数!B80),器件参数!M80="ideal"),0,IF(AND(ISNUMBER(P80),ISNUMBER(Q80)),1,-1)))</f>
        <v>0</v>
      </c>
      <c r="Y80" s="5" t="str">
        <f t="shared" si="30"/>
        <v>有效</v>
      </c>
      <c r="Z80" s="5" t="str">
        <f t="shared" si="31"/>
        <v>有效</v>
      </c>
      <c r="AA80" s="5" t="str">
        <f t="shared" si="32"/>
        <v>模型估算</v>
      </c>
      <c r="AB80" s="5">
        <f t="shared" si="33"/>
        <v>100000000</v>
      </c>
      <c r="AC80" s="5">
        <f>IF(NOT(ISNUMBER(AB80)),"",IF(OR(NOT(器件参数!B80),器件参数!E80&lt;&gt;"mixer"),AB80,IF(AND(ISNUMBER(器件参数!T80),器件参数!T80&gt;0),IF(器件参数!U80="sum",AB80+器件参数!T80,IF(器件参数!U80="difference",ABS(AB80-器件参数!T80),"")),"")))</f>
        <v>100000000</v>
      </c>
      <c r="AD80" s="5">
        <f t="shared" si="34"/>
        <v>0</v>
      </c>
      <c r="AE80" s="5">
        <f>IF(AND(ISNUMBER(G80),ISNUMBER(F80)),Tref_K*(G80-1)/F80,"")</f>
        <v>0</v>
      </c>
      <c r="AF80" s="5">
        <f>IF(AND(ISNUMBER(H80),ISNUMBER(E80),NoiseConfigOK),10*LOG10(Boltzmann*Bnoise_Hz*(Tsource_K+Tref_K*(H80-1)))+30+E80,"")</f>
        <v>-90.3704468972711</v>
      </c>
      <c r="AG80" s="5">
        <f t="shared" si="35"/>
        <v>80.3704468972711</v>
      </c>
      <c r="AH80" s="5">
        <f>IF(AND(ToneEnabled,ISNUMBER(E80),ISNUMBER(TonePin)),TonePin+E80,"")</f>
        <v>-10</v>
      </c>
      <c r="AI80" s="5">
        <f>IF(AND(ToneEnabled,ISNUMBER(E80),ISNUMBER(N80),ISNUMBER(TonePin)),3*TonePin+E80-2*N80,"")</f>
        <v>-83.9794000867204</v>
      </c>
      <c r="AJ80" s="5" t="str">
        <f t="shared" si="36"/>
        <v/>
      </c>
      <c r="AK80" s="5" t="str">
        <f>IF(NOT(器件参数!B80),"旁路",IF(NOT(ISNUMBER(AC80)),"频率未知",IF(AC80&lt;=SignalBW/2,"跨零频",IF(AND(ISNUMBER(器件参数!R80),ISNUMBER(器件参数!S80)),IF(AND(AB80-SignalBW/2&gt;=器件参数!R80,AB80+SignalBW/2&lt;=器件参数!S80),"有效","超声明通带"),"未声明通带"))))</f>
        <v>旁路</v>
      </c>
      <c r="AL80" s="5">
        <f t="shared" si="37"/>
        <v>0</v>
      </c>
      <c r="AM80" s="5" t="str">
        <f>IF(AND(器件参数!B80,ISNUMBER(器件参数!X80),OR(AND(ISNUMBER(J80),J80&gt;器件参数!X80),IF(AND(ToneEnabled,ISNUMBER(TonePin),ISNUMBER(D80)),TonePin+10*LOG10(2)+D80&gt;器件参数!X80,FALSE))),"超过绝对最大输入额定值","")</f>
        <v/>
      </c>
      <c r="AN80" s="5">
        <f>IF(NOT(ISNUMBER(AN79)),"",IF(OR(NOT(器件参数!B80),器件参数!E80&lt;&gt;"mixer"),AN79,IF(AND(ISNUMBER(器件参数!T80),器件参数!T80&gt;0),IF(器件参数!U80="sum",AN79+器件参数!T80,ABS(AN79-器件参数!T80)),"")))</f>
        <v>99950000</v>
      </c>
      <c r="AO80" s="5">
        <f>IF(NOT(ISNUMBER(AO79)),"",IF(OR(NOT(器件参数!B80),器件参数!E80&lt;&gt;"mixer"),AO79,IF(AND(ISNUMBER(器件参数!T80),器件参数!T80&gt;0),IF(器件参数!U80="sum",AO79+器件参数!T80,ABS(AO79-器件参数!T80)),"")))</f>
        <v>100050000</v>
      </c>
      <c r="AP80" s="5">
        <f>IF(NOT(ISNUMBER(AP79)),"",IF(OR(NOT(器件参数!B80),器件参数!E80&lt;&gt;"mixer"),AP79,IF(AND(ISNUMBER(器件参数!T80),器件参数!T80&gt;0),IF(器件参数!U80="sum",AP79+器件参数!T80,ABS(AP79-器件参数!T80)),"")))</f>
        <v>99850000</v>
      </c>
      <c r="AQ80" s="5">
        <f>IF(NOT(ISNUMBER(AQ79)),"",IF(OR(NOT(器件参数!B80),器件参数!E80&lt;&gt;"mixer"),AQ79,IF(AND(ISNUMBER(器件参数!T80),器件参数!T80&gt;0),IF(器件参数!U80="sum",AQ79+器件参数!T80,ABS(AQ79-器件参数!T80)),"")))</f>
        <v>100150000</v>
      </c>
      <c r="AR80" s="5" t="b">
        <f>IF(NOT(AR79),FALSE,IF(NOT(器件参数!B80),TRUE,AND(COUNT(AN80:AQ80)=4,MIN(AN80:AQ80)&gt;0,IF(AND(ISNUMBER(器件参数!R80),ISNUMBER(器件参数!S80)),AND(MIN(AN79:AQ79)&gt;=器件参数!R80,MAX(AN79:AQ79)&lt;=器件参数!S80),TRUE),IF(AND(器件参数!E80="mixer",器件参数!U80="difference"),OR(器件参数!T80&lt;MIN(AN79:AQ79),器件参数!T80&gt;MAX(AN79:AQ79)),TRUE))))</f>
        <v>1</v>
      </c>
    </row>
    <row r="81" hidden="1" spans="1:44">
      <c r="A81" s="5">
        <f>器件参数!A81</f>
        <v>78</v>
      </c>
      <c r="B81" s="5" t="str">
        <f>器件参数!D81</f>
        <v/>
      </c>
      <c r="C81" s="5">
        <f>IF(NOT(器件参数!B81),0,IF(AND(ISNUMBER(器件参数!F81),ABS(器件参数!F81)&lt;=300),器件参数!F81,""))</f>
        <v>0</v>
      </c>
      <c r="D81" s="5">
        <f t="shared" si="19"/>
        <v>20</v>
      </c>
      <c r="E81" s="5">
        <f t="shared" si="20"/>
        <v>20</v>
      </c>
      <c r="F81" s="5">
        <f t="shared" si="21"/>
        <v>100</v>
      </c>
      <c r="G81" s="5">
        <f>IFERROR(IF(NOT(器件参数!B81),1,IF(NOT(OR(器件参数!E81&lt;&gt;"mixer",AND(OR(器件参数!V81="SSB",器件参数!V81="DSB"),器件参数!W81=TRUE))),"",IF(器件参数!G81="ideal",1,IF(AND(器件参数!G81="manual",ISNUMBER(器件参数!H81),器件参数!H81&gt;=0),10^(器件参数!H81/10),IF(AND(器件参数!G81="passive_thermal",OR(器件参数!E81="filter_bpf",器件参数!E81="filter_lpf",器件参数!E81="filter_hpf",器件参数!E81="filter_bsf",器件参数!E81="attenuator",器件参数!E81="cable",器件参数!E81="connector",器件参数!E81="switch",器件参数!E81="isolator",器件参数!E81="coupler",器件参数!E81="splitter"),AND(ISNUMBER(器件参数!F81),ABS(器件参数!F81)&lt;=300),器件参数!F81&lt;=0,ISNUMBER(器件参数!I81),器件参数!I81&gt;0),1+(10^(-器件参数!F81/10)-1)*器件参数!I81/Tref_K,""))))),"数值域错误")</f>
        <v>1</v>
      </c>
      <c r="H81" s="5">
        <f t="shared" si="22"/>
        <v>2.29336948552238</v>
      </c>
      <c r="I81" s="5">
        <f t="shared" si="23"/>
        <v>3.604740296957</v>
      </c>
      <c r="J81" s="5">
        <f>IF(AND(ISNUMBER(Pin_dBm),ISNUMBER(D81)),Pin_dBm+D81,"")</f>
        <v>-10</v>
      </c>
      <c r="K81" s="5">
        <f>IF(AND(ISNUMBER(Pin_dBm),ISNUMBER(E81)),Pin_dBm+E81,"")</f>
        <v>-10</v>
      </c>
      <c r="L81" s="5" t="str">
        <f>IF(AND(器件参数!J81="finite",ISNUMBER(器件参数!L81),ISNUMBER(C81)),IF(器件参数!K81="input",器件参数!L81,IF(器件参数!K81="output",器件参数!L81-C81,"")),"")</f>
        <v/>
      </c>
      <c r="M81" s="5">
        <f>IFERROR(IF(NOT(ISNUMBER(M80)),"",IF(OR(NOT(器件参数!B81),器件参数!J81="ideal"),M80,IF(AND(ISNUMBER(L81),ISNUMBER(F81)),M80+F81/10^(L81/10),""))),"数值域错误")</f>
        <v>0.2</v>
      </c>
      <c r="N81" s="5">
        <f t="shared" si="24"/>
        <v>6.98970004336019</v>
      </c>
      <c r="O81" s="5">
        <f t="shared" si="25"/>
        <v>26.9897000433602</v>
      </c>
      <c r="P81" s="5" t="str">
        <f>IF(AND(器件参数!M81="finite",ISNUMBER(器件参数!O81),ISNUMBER(C81)),IF(器件参数!N81="input",器件参数!O81,IF(器件参数!N81="actual_output",器件参数!O81-C81+1,IF(器件参数!N81="linear_output",器件参数!O81-C81,""))),"")</f>
        <v/>
      </c>
      <c r="Q81" s="5">
        <f>IF(器件参数!P81="",IF(AND(ISNUMBER(DefaultP),DefaultP&gt;=1,DefaultP&lt;=10),DefaultP,""),IF(AND(ISNUMBER(器件参数!P81),器件参数!P81&gt;=1,器件参数!P81&lt;=10),器件参数!P81,""))</f>
        <v>2</v>
      </c>
      <c r="R81" s="5">
        <f t="shared" si="26"/>
        <v>-10.0000139708288</v>
      </c>
      <c r="S81" s="5" t="str">
        <f t="shared" si="27"/>
        <v/>
      </c>
      <c r="T81" s="5">
        <f t="shared" si="28"/>
        <v>0</v>
      </c>
      <c r="U81" s="5">
        <f t="shared" si="29"/>
        <v>-10.0000139708288</v>
      </c>
      <c r="V81" s="5">
        <f>IF(AND(ISNUMBER(Pin_dBm),ISNUMBER(E81),ISNUMBER(U81)),Pin_dBm+E81-U81,"")</f>
        <v>1.39708287854035e-5</v>
      </c>
      <c r="W81" s="5" t="str">
        <f>IF(AND(器件参数!B81,X81=1,ISNUMBER(D81)),P81-D81,"")</f>
        <v/>
      </c>
      <c r="X81" s="5">
        <f>IF(NOT(ISNUMBER(C81)),-1,IF(OR(NOT(器件参数!B81),器件参数!M81="ideal"),0,IF(AND(ISNUMBER(P81),ISNUMBER(Q81)),1,-1)))</f>
        <v>0</v>
      </c>
      <c r="Y81" s="5" t="str">
        <f t="shared" si="30"/>
        <v>有效</v>
      </c>
      <c r="Z81" s="5" t="str">
        <f t="shared" si="31"/>
        <v>有效</v>
      </c>
      <c r="AA81" s="5" t="str">
        <f t="shared" si="32"/>
        <v>模型估算</v>
      </c>
      <c r="AB81" s="5">
        <f t="shared" si="33"/>
        <v>100000000</v>
      </c>
      <c r="AC81" s="5">
        <f>IF(NOT(ISNUMBER(AB81)),"",IF(OR(NOT(器件参数!B81),器件参数!E81&lt;&gt;"mixer"),AB81,IF(AND(ISNUMBER(器件参数!T81),器件参数!T81&gt;0),IF(器件参数!U81="sum",AB81+器件参数!T81,IF(器件参数!U81="difference",ABS(AB81-器件参数!T81),"")),"")))</f>
        <v>100000000</v>
      </c>
      <c r="AD81" s="5">
        <f t="shared" si="34"/>
        <v>0</v>
      </c>
      <c r="AE81" s="5">
        <f>IF(AND(ISNUMBER(G81),ISNUMBER(F81)),Tref_K*(G81-1)/F81,"")</f>
        <v>0</v>
      </c>
      <c r="AF81" s="5">
        <f>IF(AND(ISNUMBER(H81),ISNUMBER(E81),NoiseConfigOK),10*LOG10(Boltzmann*Bnoise_Hz*(Tsource_K+Tref_K*(H81-1)))+30+E81,"")</f>
        <v>-90.3704468972711</v>
      </c>
      <c r="AG81" s="5">
        <f t="shared" si="35"/>
        <v>80.3704468972711</v>
      </c>
      <c r="AH81" s="5">
        <f>IF(AND(ToneEnabled,ISNUMBER(E81),ISNUMBER(TonePin)),TonePin+E81,"")</f>
        <v>-10</v>
      </c>
      <c r="AI81" s="5">
        <f>IF(AND(ToneEnabled,ISNUMBER(E81),ISNUMBER(N81),ISNUMBER(TonePin)),3*TonePin+E81-2*N81,"")</f>
        <v>-83.9794000867204</v>
      </c>
      <c r="AJ81" s="5" t="str">
        <f t="shared" si="36"/>
        <v/>
      </c>
      <c r="AK81" s="5" t="str">
        <f>IF(NOT(器件参数!B81),"旁路",IF(NOT(ISNUMBER(AC81)),"频率未知",IF(AC81&lt;=SignalBW/2,"跨零频",IF(AND(ISNUMBER(器件参数!R81),ISNUMBER(器件参数!S81)),IF(AND(AB81-SignalBW/2&gt;=器件参数!R81,AB81+SignalBW/2&lt;=器件参数!S81),"有效","超声明通带"),"未声明通带"))))</f>
        <v>旁路</v>
      </c>
      <c r="AL81" s="5">
        <f t="shared" si="37"/>
        <v>0</v>
      </c>
      <c r="AM81" s="5" t="str">
        <f>IF(AND(器件参数!B81,ISNUMBER(器件参数!X81),OR(AND(ISNUMBER(J81),J81&gt;器件参数!X81),IF(AND(ToneEnabled,ISNUMBER(TonePin),ISNUMBER(D81)),TonePin+10*LOG10(2)+D81&gt;器件参数!X81,FALSE))),"超过绝对最大输入额定值","")</f>
        <v/>
      </c>
      <c r="AN81" s="5">
        <f>IF(NOT(ISNUMBER(AN80)),"",IF(OR(NOT(器件参数!B81),器件参数!E81&lt;&gt;"mixer"),AN80,IF(AND(ISNUMBER(器件参数!T81),器件参数!T81&gt;0),IF(器件参数!U81="sum",AN80+器件参数!T81,ABS(AN80-器件参数!T81)),"")))</f>
        <v>99950000</v>
      </c>
      <c r="AO81" s="5">
        <f>IF(NOT(ISNUMBER(AO80)),"",IF(OR(NOT(器件参数!B81),器件参数!E81&lt;&gt;"mixer"),AO80,IF(AND(ISNUMBER(器件参数!T81),器件参数!T81&gt;0),IF(器件参数!U81="sum",AO80+器件参数!T81,ABS(AO80-器件参数!T81)),"")))</f>
        <v>100050000</v>
      </c>
      <c r="AP81" s="5">
        <f>IF(NOT(ISNUMBER(AP80)),"",IF(OR(NOT(器件参数!B81),器件参数!E81&lt;&gt;"mixer"),AP80,IF(AND(ISNUMBER(器件参数!T81),器件参数!T81&gt;0),IF(器件参数!U81="sum",AP80+器件参数!T81,ABS(AP80-器件参数!T81)),"")))</f>
        <v>99850000</v>
      </c>
      <c r="AQ81" s="5">
        <f>IF(NOT(ISNUMBER(AQ80)),"",IF(OR(NOT(器件参数!B81),器件参数!E81&lt;&gt;"mixer"),AQ80,IF(AND(ISNUMBER(器件参数!T81),器件参数!T81&gt;0),IF(器件参数!U81="sum",AQ80+器件参数!T81,ABS(AQ80-器件参数!T81)),"")))</f>
        <v>100150000</v>
      </c>
      <c r="AR81" s="5" t="b">
        <f>IF(NOT(AR80),FALSE,IF(NOT(器件参数!B81),TRUE,AND(COUNT(AN81:AQ81)=4,MIN(AN81:AQ81)&gt;0,IF(AND(ISNUMBER(器件参数!R81),ISNUMBER(器件参数!S81)),AND(MIN(AN80:AQ80)&gt;=器件参数!R81,MAX(AN80:AQ80)&lt;=器件参数!S81),TRUE),IF(AND(器件参数!E81="mixer",器件参数!U81="difference"),OR(器件参数!T81&lt;MIN(AN80:AQ80),器件参数!T81&gt;MAX(AN80:AQ80)),TRUE))))</f>
        <v>1</v>
      </c>
    </row>
    <row r="82" hidden="1" spans="1:44">
      <c r="A82" s="5">
        <f>器件参数!A82</f>
        <v>79</v>
      </c>
      <c r="B82" s="5" t="str">
        <f>器件参数!D82</f>
        <v/>
      </c>
      <c r="C82" s="5">
        <f>IF(NOT(器件参数!B82),0,IF(AND(ISNUMBER(器件参数!F82),ABS(器件参数!F82)&lt;=300),器件参数!F82,""))</f>
        <v>0</v>
      </c>
      <c r="D82" s="5">
        <f t="shared" si="19"/>
        <v>20</v>
      </c>
      <c r="E82" s="5">
        <f t="shared" si="20"/>
        <v>20</v>
      </c>
      <c r="F82" s="5">
        <f t="shared" si="21"/>
        <v>100</v>
      </c>
      <c r="G82" s="5">
        <f>IFERROR(IF(NOT(器件参数!B82),1,IF(NOT(OR(器件参数!E82&lt;&gt;"mixer",AND(OR(器件参数!V82="SSB",器件参数!V82="DSB"),器件参数!W82=TRUE))),"",IF(器件参数!G82="ideal",1,IF(AND(器件参数!G82="manual",ISNUMBER(器件参数!H82),器件参数!H82&gt;=0),10^(器件参数!H82/10),IF(AND(器件参数!G82="passive_thermal",OR(器件参数!E82="filter_bpf",器件参数!E82="filter_lpf",器件参数!E82="filter_hpf",器件参数!E82="filter_bsf",器件参数!E82="attenuator",器件参数!E82="cable",器件参数!E82="connector",器件参数!E82="switch",器件参数!E82="isolator",器件参数!E82="coupler",器件参数!E82="splitter"),AND(ISNUMBER(器件参数!F82),ABS(器件参数!F82)&lt;=300),器件参数!F82&lt;=0,ISNUMBER(器件参数!I82),器件参数!I82&gt;0),1+(10^(-器件参数!F82/10)-1)*器件参数!I82/Tref_K,""))))),"数值域错误")</f>
        <v>1</v>
      </c>
      <c r="H82" s="5">
        <f t="shared" si="22"/>
        <v>2.29336948552238</v>
      </c>
      <c r="I82" s="5">
        <f t="shared" si="23"/>
        <v>3.604740296957</v>
      </c>
      <c r="J82" s="5">
        <f>IF(AND(ISNUMBER(Pin_dBm),ISNUMBER(D82)),Pin_dBm+D82,"")</f>
        <v>-10</v>
      </c>
      <c r="K82" s="5">
        <f>IF(AND(ISNUMBER(Pin_dBm),ISNUMBER(E82)),Pin_dBm+E82,"")</f>
        <v>-10</v>
      </c>
      <c r="L82" s="5" t="str">
        <f>IF(AND(器件参数!J82="finite",ISNUMBER(器件参数!L82),ISNUMBER(C82)),IF(器件参数!K82="input",器件参数!L82,IF(器件参数!K82="output",器件参数!L82-C82,"")),"")</f>
        <v/>
      </c>
      <c r="M82" s="5">
        <f>IFERROR(IF(NOT(ISNUMBER(M81)),"",IF(OR(NOT(器件参数!B82),器件参数!J82="ideal"),M81,IF(AND(ISNUMBER(L82),ISNUMBER(F82)),M81+F82/10^(L82/10),""))),"数值域错误")</f>
        <v>0.2</v>
      </c>
      <c r="N82" s="5">
        <f t="shared" si="24"/>
        <v>6.98970004336019</v>
      </c>
      <c r="O82" s="5">
        <f t="shared" si="25"/>
        <v>26.9897000433602</v>
      </c>
      <c r="P82" s="5" t="str">
        <f>IF(AND(器件参数!M82="finite",ISNUMBER(器件参数!O82),ISNUMBER(C82)),IF(器件参数!N82="input",器件参数!O82,IF(器件参数!N82="actual_output",器件参数!O82-C82+1,IF(器件参数!N82="linear_output",器件参数!O82-C82,""))),"")</f>
        <v/>
      </c>
      <c r="Q82" s="5">
        <f>IF(器件参数!P82="",IF(AND(ISNUMBER(DefaultP),DefaultP&gt;=1,DefaultP&lt;=10),DefaultP,""),IF(AND(ISNUMBER(器件参数!P82),器件参数!P82&gt;=1,器件参数!P82&lt;=10),器件参数!P82,""))</f>
        <v>2</v>
      </c>
      <c r="R82" s="5">
        <f t="shared" si="26"/>
        <v>-10.0000139708288</v>
      </c>
      <c r="S82" s="5" t="str">
        <f t="shared" si="27"/>
        <v/>
      </c>
      <c r="T82" s="5">
        <f t="shared" si="28"/>
        <v>0</v>
      </c>
      <c r="U82" s="5">
        <f t="shared" si="29"/>
        <v>-10.0000139708288</v>
      </c>
      <c r="V82" s="5">
        <f>IF(AND(ISNUMBER(Pin_dBm),ISNUMBER(E82),ISNUMBER(U82)),Pin_dBm+E82-U82,"")</f>
        <v>1.39708287854035e-5</v>
      </c>
      <c r="W82" s="5" t="str">
        <f>IF(AND(器件参数!B82,X82=1,ISNUMBER(D82)),P82-D82,"")</f>
        <v/>
      </c>
      <c r="X82" s="5">
        <f>IF(NOT(ISNUMBER(C82)),-1,IF(OR(NOT(器件参数!B82),器件参数!M82="ideal"),0,IF(AND(ISNUMBER(P82),ISNUMBER(Q82)),1,-1)))</f>
        <v>0</v>
      </c>
      <c r="Y82" s="5" t="str">
        <f t="shared" si="30"/>
        <v>有效</v>
      </c>
      <c r="Z82" s="5" t="str">
        <f t="shared" si="31"/>
        <v>有效</v>
      </c>
      <c r="AA82" s="5" t="str">
        <f t="shared" si="32"/>
        <v>模型估算</v>
      </c>
      <c r="AB82" s="5">
        <f t="shared" si="33"/>
        <v>100000000</v>
      </c>
      <c r="AC82" s="5">
        <f>IF(NOT(ISNUMBER(AB82)),"",IF(OR(NOT(器件参数!B82),器件参数!E82&lt;&gt;"mixer"),AB82,IF(AND(ISNUMBER(器件参数!T82),器件参数!T82&gt;0),IF(器件参数!U82="sum",AB82+器件参数!T82,IF(器件参数!U82="difference",ABS(AB82-器件参数!T82),"")),"")))</f>
        <v>100000000</v>
      </c>
      <c r="AD82" s="5">
        <f t="shared" si="34"/>
        <v>0</v>
      </c>
      <c r="AE82" s="5">
        <f>IF(AND(ISNUMBER(G82),ISNUMBER(F82)),Tref_K*(G82-1)/F82,"")</f>
        <v>0</v>
      </c>
      <c r="AF82" s="5">
        <f>IF(AND(ISNUMBER(H82),ISNUMBER(E82),NoiseConfigOK),10*LOG10(Boltzmann*Bnoise_Hz*(Tsource_K+Tref_K*(H82-1)))+30+E82,"")</f>
        <v>-90.3704468972711</v>
      </c>
      <c r="AG82" s="5">
        <f t="shared" si="35"/>
        <v>80.3704468972711</v>
      </c>
      <c r="AH82" s="5">
        <f>IF(AND(ToneEnabled,ISNUMBER(E82),ISNUMBER(TonePin)),TonePin+E82,"")</f>
        <v>-10</v>
      </c>
      <c r="AI82" s="5">
        <f>IF(AND(ToneEnabled,ISNUMBER(E82),ISNUMBER(N82),ISNUMBER(TonePin)),3*TonePin+E82-2*N82,"")</f>
        <v>-83.9794000867204</v>
      </c>
      <c r="AJ82" s="5" t="str">
        <f t="shared" si="36"/>
        <v/>
      </c>
      <c r="AK82" s="5" t="str">
        <f>IF(NOT(器件参数!B82),"旁路",IF(NOT(ISNUMBER(AC82)),"频率未知",IF(AC82&lt;=SignalBW/2,"跨零频",IF(AND(ISNUMBER(器件参数!R82),ISNUMBER(器件参数!S82)),IF(AND(AB82-SignalBW/2&gt;=器件参数!R82,AB82+SignalBW/2&lt;=器件参数!S82),"有效","超声明通带"),"未声明通带"))))</f>
        <v>旁路</v>
      </c>
      <c r="AL82" s="5">
        <f t="shared" si="37"/>
        <v>0</v>
      </c>
      <c r="AM82" s="5" t="str">
        <f>IF(AND(器件参数!B82,ISNUMBER(器件参数!X82),OR(AND(ISNUMBER(J82),J82&gt;器件参数!X82),IF(AND(ToneEnabled,ISNUMBER(TonePin),ISNUMBER(D82)),TonePin+10*LOG10(2)+D82&gt;器件参数!X82,FALSE))),"超过绝对最大输入额定值","")</f>
        <v/>
      </c>
      <c r="AN82" s="5">
        <f>IF(NOT(ISNUMBER(AN81)),"",IF(OR(NOT(器件参数!B82),器件参数!E82&lt;&gt;"mixer"),AN81,IF(AND(ISNUMBER(器件参数!T82),器件参数!T82&gt;0),IF(器件参数!U82="sum",AN81+器件参数!T82,ABS(AN81-器件参数!T82)),"")))</f>
        <v>99950000</v>
      </c>
      <c r="AO82" s="5">
        <f>IF(NOT(ISNUMBER(AO81)),"",IF(OR(NOT(器件参数!B82),器件参数!E82&lt;&gt;"mixer"),AO81,IF(AND(ISNUMBER(器件参数!T82),器件参数!T82&gt;0),IF(器件参数!U82="sum",AO81+器件参数!T82,ABS(AO81-器件参数!T82)),"")))</f>
        <v>100050000</v>
      </c>
      <c r="AP82" s="5">
        <f>IF(NOT(ISNUMBER(AP81)),"",IF(OR(NOT(器件参数!B82),器件参数!E82&lt;&gt;"mixer"),AP81,IF(AND(ISNUMBER(器件参数!T82),器件参数!T82&gt;0),IF(器件参数!U82="sum",AP81+器件参数!T82,ABS(AP81-器件参数!T82)),"")))</f>
        <v>99850000</v>
      </c>
      <c r="AQ82" s="5">
        <f>IF(NOT(ISNUMBER(AQ81)),"",IF(OR(NOT(器件参数!B82),器件参数!E82&lt;&gt;"mixer"),AQ81,IF(AND(ISNUMBER(器件参数!T82),器件参数!T82&gt;0),IF(器件参数!U82="sum",AQ81+器件参数!T82,ABS(AQ81-器件参数!T82)),"")))</f>
        <v>100150000</v>
      </c>
      <c r="AR82" s="5" t="b">
        <f>IF(NOT(AR81),FALSE,IF(NOT(器件参数!B82),TRUE,AND(COUNT(AN82:AQ82)=4,MIN(AN82:AQ82)&gt;0,IF(AND(ISNUMBER(器件参数!R82),ISNUMBER(器件参数!S82)),AND(MIN(AN81:AQ81)&gt;=器件参数!R82,MAX(AN81:AQ81)&lt;=器件参数!S82),TRUE),IF(AND(器件参数!E82="mixer",器件参数!U82="difference"),OR(器件参数!T82&lt;MIN(AN81:AQ81),器件参数!T82&gt;MAX(AN81:AQ81)),TRUE))))</f>
        <v>1</v>
      </c>
    </row>
    <row r="83" hidden="1" spans="1:44">
      <c r="A83" s="5">
        <f>器件参数!A83</f>
        <v>80</v>
      </c>
      <c r="B83" s="5" t="str">
        <f>器件参数!D83</f>
        <v/>
      </c>
      <c r="C83" s="5">
        <f>IF(NOT(器件参数!B83),0,IF(AND(ISNUMBER(器件参数!F83),ABS(器件参数!F83)&lt;=300),器件参数!F83,""))</f>
        <v>0</v>
      </c>
      <c r="D83" s="5">
        <f t="shared" si="19"/>
        <v>20</v>
      </c>
      <c r="E83" s="5">
        <f t="shared" si="20"/>
        <v>20</v>
      </c>
      <c r="F83" s="5">
        <f t="shared" si="21"/>
        <v>100</v>
      </c>
      <c r="G83" s="5">
        <f>IFERROR(IF(NOT(器件参数!B83),1,IF(NOT(OR(器件参数!E83&lt;&gt;"mixer",AND(OR(器件参数!V83="SSB",器件参数!V83="DSB"),器件参数!W83=TRUE))),"",IF(器件参数!G83="ideal",1,IF(AND(器件参数!G83="manual",ISNUMBER(器件参数!H83),器件参数!H83&gt;=0),10^(器件参数!H83/10),IF(AND(器件参数!G83="passive_thermal",OR(器件参数!E83="filter_bpf",器件参数!E83="filter_lpf",器件参数!E83="filter_hpf",器件参数!E83="filter_bsf",器件参数!E83="attenuator",器件参数!E83="cable",器件参数!E83="connector",器件参数!E83="switch",器件参数!E83="isolator",器件参数!E83="coupler",器件参数!E83="splitter"),AND(ISNUMBER(器件参数!F83),ABS(器件参数!F83)&lt;=300),器件参数!F83&lt;=0,ISNUMBER(器件参数!I83),器件参数!I83&gt;0),1+(10^(-器件参数!F83/10)-1)*器件参数!I83/Tref_K,""))))),"数值域错误")</f>
        <v>1</v>
      </c>
      <c r="H83" s="5">
        <f t="shared" si="22"/>
        <v>2.29336948552238</v>
      </c>
      <c r="I83" s="5">
        <f t="shared" si="23"/>
        <v>3.604740296957</v>
      </c>
      <c r="J83" s="5">
        <f>IF(AND(ISNUMBER(Pin_dBm),ISNUMBER(D83)),Pin_dBm+D83,"")</f>
        <v>-10</v>
      </c>
      <c r="K83" s="5">
        <f>IF(AND(ISNUMBER(Pin_dBm),ISNUMBER(E83)),Pin_dBm+E83,"")</f>
        <v>-10</v>
      </c>
      <c r="L83" s="5" t="str">
        <f>IF(AND(器件参数!J83="finite",ISNUMBER(器件参数!L83),ISNUMBER(C83)),IF(器件参数!K83="input",器件参数!L83,IF(器件参数!K83="output",器件参数!L83-C83,"")),"")</f>
        <v/>
      </c>
      <c r="M83" s="5">
        <f>IFERROR(IF(NOT(ISNUMBER(M82)),"",IF(OR(NOT(器件参数!B83),器件参数!J83="ideal"),M82,IF(AND(ISNUMBER(L83),ISNUMBER(F83)),M82+F83/10^(L83/10),""))),"数值域错误")</f>
        <v>0.2</v>
      </c>
      <c r="N83" s="5">
        <f t="shared" si="24"/>
        <v>6.98970004336019</v>
      </c>
      <c r="O83" s="5">
        <f t="shared" si="25"/>
        <v>26.9897000433602</v>
      </c>
      <c r="P83" s="5" t="str">
        <f>IF(AND(器件参数!M83="finite",ISNUMBER(器件参数!O83),ISNUMBER(C83)),IF(器件参数!N83="input",器件参数!O83,IF(器件参数!N83="actual_output",器件参数!O83-C83+1,IF(器件参数!N83="linear_output",器件参数!O83-C83,""))),"")</f>
        <v/>
      </c>
      <c r="Q83" s="5">
        <f>IF(器件参数!P83="",IF(AND(ISNUMBER(DefaultP),DefaultP&gt;=1,DefaultP&lt;=10),DefaultP,""),IF(AND(ISNUMBER(器件参数!P83),器件参数!P83&gt;=1,器件参数!P83&lt;=10),器件参数!P83,""))</f>
        <v>2</v>
      </c>
      <c r="R83" s="5">
        <f t="shared" si="26"/>
        <v>-10.0000139708288</v>
      </c>
      <c r="S83" s="5" t="str">
        <f t="shared" si="27"/>
        <v/>
      </c>
      <c r="T83" s="5">
        <f t="shared" si="28"/>
        <v>0</v>
      </c>
      <c r="U83" s="5">
        <f t="shared" si="29"/>
        <v>-10.0000139708288</v>
      </c>
      <c r="V83" s="5">
        <f>IF(AND(ISNUMBER(Pin_dBm),ISNUMBER(E83),ISNUMBER(U83)),Pin_dBm+E83-U83,"")</f>
        <v>1.39708287854035e-5</v>
      </c>
      <c r="W83" s="5" t="str">
        <f>IF(AND(器件参数!B83,X83=1,ISNUMBER(D83)),P83-D83,"")</f>
        <v/>
      </c>
      <c r="X83" s="5">
        <f>IF(NOT(ISNUMBER(C83)),-1,IF(OR(NOT(器件参数!B83),器件参数!M83="ideal"),0,IF(AND(ISNUMBER(P83),ISNUMBER(Q83)),1,-1)))</f>
        <v>0</v>
      </c>
      <c r="Y83" s="5" t="str">
        <f t="shared" si="30"/>
        <v>有效</v>
      </c>
      <c r="Z83" s="5" t="str">
        <f t="shared" si="31"/>
        <v>有效</v>
      </c>
      <c r="AA83" s="5" t="str">
        <f t="shared" si="32"/>
        <v>模型估算</v>
      </c>
      <c r="AB83" s="5">
        <f t="shared" si="33"/>
        <v>100000000</v>
      </c>
      <c r="AC83" s="5">
        <f>IF(NOT(ISNUMBER(AB83)),"",IF(OR(NOT(器件参数!B83),器件参数!E83&lt;&gt;"mixer"),AB83,IF(AND(ISNUMBER(器件参数!T83),器件参数!T83&gt;0),IF(器件参数!U83="sum",AB83+器件参数!T83,IF(器件参数!U83="difference",ABS(AB83-器件参数!T83),"")),"")))</f>
        <v>100000000</v>
      </c>
      <c r="AD83" s="5">
        <f t="shared" si="34"/>
        <v>0</v>
      </c>
      <c r="AE83" s="5">
        <f>IF(AND(ISNUMBER(G83),ISNUMBER(F83)),Tref_K*(G83-1)/F83,"")</f>
        <v>0</v>
      </c>
      <c r="AF83" s="5">
        <f>IF(AND(ISNUMBER(H83),ISNUMBER(E83),NoiseConfigOK),10*LOG10(Boltzmann*Bnoise_Hz*(Tsource_K+Tref_K*(H83-1)))+30+E83,"")</f>
        <v>-90.3704468972711</v>
      </c>
      <c r="AG83" s="5">
        <f t="shared" si="35"/>
        <v>80.3704468972711</v>
      </c>
      <c r="AH83" s="5">
        <f>IF(AND(ToneEnabled,ISNUMBER(E83),ISNUMBER(TonePin)),TonePin+E83,"")</f>
        <v>-10</v>
      </c>
      <c r="AI83" s="5">
        <f>IF(AND(ToneEnabled,ISNUMBER(E83),ISNUMBER(N83),ISNUMBER(TonePin)),3*TonePin+E83-2*N83,"")</f>
        <v>-83.9794000867204</v>
      </c>
      <c r="AJ83" s="5" t="str">
        <f t="shared" si="36"/>
        <v/>
      </c>
      <c r="AK83" s="5" t="str">
        <f>IF(NOT(器件参数!B83),"旁路",IF(NOT(ISNUMBER(AC83)),"频率未知",IF(AC83&lt;=SignalBW/2,"跨零频",IF(AND(ISNUMBER(器件参数!R83),ISNUMBER(器件参数!S83)),IF(AND(AB83-SignalBW/2&gt;=器件参数!R83,AB83+SignalBW/2&lt;=器件参数!S83),"有效","超声明通带"),"未声明通带"))))</f>
        <v>旁路</v>
      </c>
      <c r="AL83" s="5">
        <f t="shared" si="37"/>
        <v>0</v>
      </c>
      <c r="AM83" s="5" t="str">
        <f>IF(AND(器件参数!B83,ISNUMBER(器件参数!X83),OR(AND(ISNUMBER(J83),J83&gt;器件参数!X83),IF(AND(ToneEnabled,ISNUMBER(TonePin),ISNUMBER(D83)),TonePin+10*LOG10(2)+D83&gt;器件参数!X83,FALSE))),"超过绝对最大输入额定值","")</f>
        <v/>
      </c>
      <c r="AN83" s="5">
        <f>IF(NOT(ISNUMBER(AN82)),"",IF(OR(NOT(器件参数!B83),器件参数!E83&lt;&gt;"mixer"),AN82,IF(AND(ISNUMBER(器件参数!T83),器件参数!T83&gt;0),IF(器件参数!U83="sum",AN82+器件参数!T83,ABS(AN82-器件参数!T83)),"")))</f>
        <v>99950000</v>
      </c>
      <c r="AO83" s="5">
        <f>IF(NOT(ISNUMBER(AO82)),"",IF(OR(NOT(器件参数!B83),器件参数!E83&lt;&gt;"mixer"),AO82,IF(AND(ISNUMBER(器件参数!T83),器件参数!T83&gt;0),IF(器件参数!U83="sum",AO82+器件参数!T83,ABS(AO82-器件参数!T83)),"")))</f>
        <v>100050000</v>
      </c>
      <c r="AP83" s="5">
        <f>IF(NOT(ISNUMBER(AP82)),"",IF(OR(NOT(器件参数!B83),器件参数!E83&lt;&gt;"mixer"),AP82,IF(AND(ISNUMBER(器件参数!T83),器件参数!T83&gt;0),IF(器件参数!U83="sum",AP82+器件参数!T83,ABS(AP82-器件参数!T83)),"")))</f>
        <v>99850000</v>
      </c>
      <c r="AQ83" s="5">
        <f>IF(NOT(ISNUMBER(AQ82)),"",IF(OR(NOT(器件参数!B83),器件参数!E83&lt;&gt;"mixer"),AQ82,IF(AND(ISNUMBER(器件参数!T83),器件参数!T83&gt;0),IF(器件参数!U83="sum",AQ82+器件参数!T83,ABS(AQ82-器件参数!T83)),"")))</f>
        <v>100150000</v>
      </c>
      <c r="AR83" s="5" t="b">
        <f>IF(NOT(AR82),FALSE,IF(NOT(器件参数!B83),TRUE,AND(COUNT(AN83:AQ83)=4,MIN(AN83:AQ83)&gt;0,IF(AND(ISNUMBER(器件参数!R83),ISNUMBER(器件参数!S83)),AND(MIN(AN82:AQ82)&gt;=器件参数!R83,MAX(AN82:AQ82)&lt;=器件参数!S83),TRUE),IF(AND(器件参数!E83="mixer",器件参数!U83="difference"),OR(器件参数!T83&lt;MIN(AN82:AQ82),器件参数!T83&gt;MAX(AN82:AQ82)),TRUE))))</f>
        <v>1</v>
      </c>
    </row>
    <row r="84" hidden="1" spans="1:44">
      <c r="A84" s="5">
        <f>器件参数!A84</f>
        <v>81</v>
      </c>
      <c r="B84" s="5" t="str">
        <f>器件参数!D84</f>
        <v/>
      </c>
      <c r="C84" s="5">
        <f>IF(NOT(器件参数!B84),0,IF(AND(ISNUMBER(器件参数!F84),ABS(器件参数!F84)&lt;=300),器件参数!F84,""))</f>
        <v>0</v>
      </c>
      <c r="D84" s="5">
        <f t="shared" si="19"/>
        <v>20</v>
      </c>
      <c r="E84" s="5">
        <f t="shared" si="20"/>
        <v>20</v>
      </c>
      <c r="F84" s="5">
        <f t="shared" si="21"/>
        <v>100</v>
      </c>
      <c r="G84" s="5">
        <f>IFERROR(IF(NOT(器件参数!B84),1,IF(NOT(OR(器件参数!E84&lt;&gt;"mixer",AND(OR(器件参数!V84="SSB",器件参数!V84="DSB"),器件参数!W84=TRUE))),"",IF(器件参数!G84="ideal",1,IF(AND(器件参数!G84="manual",ISNUMBER(器件参数!H84),器件参数!H84&gt;=0),10^(器件参数!H84/10),IF(AND(器件参数!G84="passive_thermal",OR(器件参数!E84="filter_bpf",器件参数!E84="filter_lpf",器件参数!E84="filter_hpf",器件参数!E84="filter_bsf",器件参数!E84="attenuator",器件参数!E84="cable",器件参数!E84="connector",器件参数!E84="switch",器件参数!E84="isolator",器件参数!E84="coupler",器件参数!E84="splitter"),AND(ISNUMBER(器件参数!F84),ABS(器件参数!F84)&lt;=300),器件参数!F84&lt;=0,ISNUMBER(器件参数!I84),器件参数!I84&gt;0),1+(10^(-器件参数!F84/10)-1)*器件参数!I84/Tref_K,""))))),"数值域错误")</f>
        <v>1</v>
      </c>
      <c r="H84" s="5">
        <f t="shared" si="22"/>
        <v>2.29336948552238</v>
      </c>
      <c r="I84" s="5">
        <f t="shared" si="23"/>
        <v>3.604740296957</v>
      </c>
      <c r="J84" s="5">
        <f>IF(AND(ISNUMBER(Pin_dBm),ISNUMBER(D84)),Pin_dBm+D84,"")</f>
        <v>-10</v>
      </c>
      <c r="K84" s="5">
        <f>IF(AND(ISNUMBER(Pin_dBm),ISNUMBER(E84)),Pin_dBm+E84,"")</f>
        <v>-10</v>
      </c>
      <c r="L84" s="5" t="str">
        <f>IF(AND(器件参数!J84="finite",ISNUMBER(器件参数!L84),ISNUMBER(C84)),IF(器件参数!K84="input",器件参数!L84,IF(器件参数!K84="output",器件参数!L84-C84,"")),"")</f>
        <v/>
      </c>
      <c r="M84" s="5">
        <f>IFERROR(IF(NOT(ISNUMBER(M83)),"",IF(OR(NOT(器件参数!B84),器件参数!J84="ideal"),M83,IF(AND(ISNUMBER(L84),ISNUMBER(F84)),M83+F84/10^(L84/10),""))),"数值域错误")</f>
        <v>0.2</v>
      </c>
      <c r="N84" s="5">
        <f t="shared" si="24"/>
        <v>6.98970004336019</v>
      </c>
      <c r="O84" s="5">
        <f t="shared" si="25"/>
        <v>26.9897000433602</v>
      </c>
      <c r="P84" s="5" t="str">
        <f>IF(AND(器件参数!M84="finite",ISNUMBER(器件参数!O84),ISNUMBER(C84)),IF(器件参数!N84="input",器件参数!O84,IF(器件参数!N84="actual_output",器件参数!O84-C84+1,IF(器件参数!N84="linear_output",器件参数!O84-C84,""))),"")</f>
        <v/>
      </c>
      <c r="Q84" s="5">
        <f>IF(器件参数!P84="",IF(AND(ISNUMBER(DefaultP),DefaultP&gt;=1,DefaultP&lt;=10),DefaultP,""),IF(AND(ISNUMBER(器件参数!P84),器件参数!P84&gt;=1,器件参数!P84&lt;=10),器件参数!P84,""))</f>
        <v>2</v>
      </c>
      <c r="R84" s="5">
        <f t="shared" si="26"/>
        <v>-10.0000139708288</v>
      </c>
      <c r="S84" s="5" t="str">
        <f t="shared" si="27"/>
        <v/>
      </c>
      <c r="T84" s="5">
        <f t="shared" si="28"/>
        <v>0</v>
      </c>
      <c r="U84" s="5">
        <f t="shared" si="29"/>
        <v>-10.0000139708288</v>
      </c>
      <c r="V84" s="5">
        <f>IF(AND(ISNUMBER(Pin_dBm),ISNUMBER(E84),ISNUMBER(U84)),Pin_dBm+E84-U84,"")</f>
        <v>1.39708287854035e-5</v>
      </c>
      <c r="W84" s="5" t="str">
        <f>IF(AND(器件参数!B84,X84=1,ISNUMBER(D84)),P84-D84,"")</f>
        <v/>
      </c>
      <c r="X84" s="5">
        <f>IF(NOT(ISNUMBER(C84)),-1,IF(OR(NOT(器件参数!B84),器件参数!M84="ideal"),0,IF(AND(ISNUMBER(P84),ISNUMBER(Q84)),1,-1)))</f>
        <v>0</v>
      </c>
      <c r="Y84" s="5" t="str">
        <f t="shared" si="30"/>
        <v>有效</v>
      </c>
      <c r="Z84" s="5" t="str">
        <f t="shared" si="31"/>
        <v>有效</v>
      </c>
      <c r="AA84" s="5" t="str">
        <f t="shared" si="32"/>
        <v>模型估算</v>
      </c>
      <c r="AB84" s="5">
        <f t="shared" si="33"/>
        <v>100000000</v>
      </c>
      <c r="AC84" s="5">
        <f>IF(NOT(ISNUMBER(AB84)),"",IF(OR(NOT(器件参数!B84),器件参数!E84&lt;&gt;"mixer"),AB84,IF(AND(ISNUMBER(器件参数!T84),器件参数!T84&gt;0),IF(器件参数!U84="sum",AB84+器件参数!T84,IF(器件参数!U84="difference",ABS(AB84-器件参数!T84),"")),"")))</f>
        <v>100000000</v>
      </c>
      <c r="AD84" s="5">
        <f t="shared" si="34"/>
        <v>0</v>
      </c>
      <c r="AE84" s="5">
        <f>IF(AND(ISNUMBER(G84),ISNUMBER(F84)),Tref_K*(G84-1)/F84,"")</f>
        <v>0</v>
      </c>
      <c r="AF84" s="5">
        <f>IF(AND(ISNUMBER(H84),ISNUMBER(E84),NoiseConfigOK),10*LOG10(Boltzmann*Bnoise_Hz*(Tsource_K+Tref_K*(H84-1)))+30+E84,"")</f>
        <v>-90.3704468972711</v>
      </c>
      <c r="AG84" s="5">
        <f t="shared" si="35"/>
        <v>80.3704468972711</v>
      </c>
      <c r="AH84" s="5">
        <f>IF(AND(ToneEnabled,ISNUMBER(E84),ISNUMBER(TonePin)),TonePin+E84,"")</f>
        <v>-10</v>
      </c>
      <c r="AI84" s="5">
        <f>IF(AND(ToneEnabled,ISNUMBER(E84),ISNUMBER(N84),ISNUMBER(TonePin)),3*TonePin+E84-2*N84,"")</f>
        <v>-83.9794000867204</v>
      </c>
      <c r="AJ84" s="5" t="str">
        <f t="shared" si="36"/>
        <v/>
      </c>
      <c r="AK84" s="5" t="str">
        <f>IF(NOT(器件参数!B84),"旁路",IF(NOT(ISNUMBER(AC84)),"频率未知",IF(AC84&lt;=SignalBW/2,"跨零频",IF(AND(ISNUMBER(器件参数!R84),ISNUMBER(器件参数!S84)),IF(AND(AB84-SignalBW/2&gt;=器件参数!R84,AB84+SignalBW/2&lt;=器件参数!S84),"有效","超声明通带"),"未声明通带"))))</f>
        <v>旁路</v>
      </c>
      <c r="AL84" s="5">
        <f t="shared" si="37"/>
        <v>0</v>
      </c>
      <c r="AM84" s="5" t="str">
        <f>IF(AND(器件参数!B84,ISNUMBER(器件参数!X84),OR(AND(ISNUMBER(J84),J84&gt;器件参数!X84),IF(AND(ToneEnabled,ISNUMBER(TonePin),ISNUMBER(D84)),TonePin+10*LOG10(2)+D84&gt;器件参数!X84,FALSE))),"超过绝对最大输入额定值","")</f>
        <v/>
      </c>
      <c r="AN84" s="5">
        <f>IF(NOT(ISNUMBER(AN83)),"",IF(OR(NOT(器件参数!B84),器件参数!E84&lt;&gt;"mixer"),AN83,IF(AND(ISNUMBER(器件参数!T84),器件参数!T84&gt;0),IF(器件参数!U84="sum",AN83+器件参数!T84,ABS(AN83-器件参数!T84)),"")))</f>
        <v>99950000</v>
      </c>
      <c r="AO84" s="5">
        <f>IF(NOT(ISNUMBER(AO83)),"",IF(OR(NOT(器件参数!B84),器件参数!E84&lt;&gt;"mixer"),AO83,IF(AND(ISNUMBER(器件参数!T84),器件参数!T84&gt;0),IF(器件参数!U84="sum",AO83+器件参数!T84,ABS(AO83-器件参数!T84)),"")))</f>
        <v>100050000</v>
      </c>
      <c r="AP84" s="5">
        <f>IF(NOT(ISNUMBER(AP83)),"",IF(OR(NOT(器件参数!B84),器件参数!E84&lt;&gt;"mixer"),AP83,IF(AND(ISNUMBER(器件参数!T84),器件参数!T84&gt;0),IF(器件参数!U84="sum",AP83+器件参数!T84,ABS(AP83-器件参数!T84)),"")))</f>
        <v>99850000</v>
      </c>
      <c r="AQ84" s="5">
        <f>IF(NOT(ISNUMBER(AQ83)),"",IF(OR(NOT(器件参数!B84),器件参数!E84&lt;&gt;"mixer"),AQ83,IF(AND(ISNUMBER(器件参数!T84),器件参数!T84&gt;0),IF(器件参数!U84="sum",AQ83+器件参数!T84,ABS(AQ83-器件参数!T84)),"")))</f>
        <v>100150000</v>
      </c>
      <c r="AR84" s="5" t="b">
        <f>IF(NOT(AR83),FALSE,IF(NOT(器件参数!B84),TRUE,AND(COUNT(AN84:AQ84)=4,MIN(AN84:AQ84)&gt;0,IF(AND(ISNUMBER(器件参数!R84),ISNUMBER(器件参数!S84)),AND(MIN(AN83:AQ83)&gt;=器件参数!R84,MAX(AN83:AQ83)&lt;=器件参数!S84),TRUE),IF(AND(器件参数!E84="mixer",器件参数!U84="difference"),OR(器件参数!T84&lt;MIN(AN83:AQ83),器件参数!T84&gt;MAX(AN83:AQ83)),TRUE))))</f>
        <v>1</v>
      </c>
    </row>
    <row r="85" hidden="1" spans="1:44">
      <c r="A85" s="5">
        <f>器件参数!A85</f>
        <v>82</v>
      </c>
      <c r="B85" s="5" t="str">
        <f>器件参数!D85</f>
        <v/>
      </c>
      <c r="C85" s="5">
        <f>IF(NOT(器件参数!B85),0,IF(AND(ISNUMBER(器件参数!F85),ABS(器件参数!F85)&lt;=300),器件参数!F85,""))</f>
        <v>0</v>
      </c>
      <c r="D85" s="5">
        <f t="shared" si="19"/>
        <v>20</v>
      </c>
      <c r="E85" s="5">
        <f t="shared" si="20"/>
        <v>20</v>
      </c>
      <c r="F85" s="5">
        <f t="shared" si="21"/>
        <v>100</v>
      </c>
      <c r="G85" s="5">
        <f>IFERROR(IF(NOT(器件参数!B85),1,IF(NOT(OR(器件参数!E85&lt;&gt;"mixer",AND(OR(器件参数!V85="SSB",器件参数!V85="DSB"),器件参数!W85=TRUE))),"",IF(器件参数!G85="ideal",1,IF(AND(器件参数!G85="manual",ISNUMBER(器件参数!H85),器件参数!H85&gt;=0),10^(器件参数!H85/10),IF(AND(器件参数!G85="passive_thermal",OR(器件参数!E85="filter_bpf",器件参数!E85="filter_lpf",器件参数!E85="filter_hpf",器件参数!E85="filter_bsf",器件参数!E85="attenuator",器件参数!E85="cable",器件参数!E85="connector",器件参数!E85="switch",器件参数!E85="isolator",器件参数!E85="coupler",器件参数!E85="splitter"),AND(ISNUMBER(器件参数!F85),ABS(器件参数!F85)&lt;=300),器件参数!F85&lt;=0,ISNUMBER(器件参数!I85),器件参数!I85&gt;0),1+(10^(-器件参数!F85/10)-1)*器件参数!I85/Tref_K,""))))),"数值域错误")</f>
        <v>1</v>
      </c>
      <c r="H85" s="5">
        <f t="shared" si="22"/>
        <v>2.29336948552238</v>
      </c>
      <c r="I85" s="5">
        <f t="shared" si="23"/>
        <v>3.604740296957</v>
      </c>
      <c r="J85" s="5">
        <f>IF(AND(ISNUMBER(Pin_dBm),ISNUMBER(D85)),Pin_dBm+D85,"")</f>
        <v>-10</v>
      </c>
      <c r="K85" s="5">
        <f>IF(AND(ISNUMBER(Pin_dBm),ISNUMBER(E85)),Pin_dBm+E85,"")</f>
        <v>-10</v>
      </c>
      <c r="L85" s="5" t="str">
        <f>IF(AND(器件参数!J85="finite",ISNUMBER(器件参数!L85),ISNUMBER(C85)),IF(器件参数!K85="input",器件参数!L85,IF(器件参数!K85="output",器件参数!L85-C85,"")),"")</f>
        <v/>
      </c>
      <c r="M85" s="5">
        <f>IFERROR(IF(NOT(ISNUMBER(M84)),"",IF(OR(NOT(器件参数!B85),器件参数!J85="ideal"),M84,IF(AND(ISNUMBER(L85),ISNUMBER(F85)),M84+F85/10^(L85/10),""))),"数值域错误")</f>
        <v>0.2</v>
      </c>
      <c r="N85" s="5">
        <f t="shared" si="24"/>
        <v>6.98970004336019</v>
      </c>
      <c r="O85" s="5">
        <f t="shared" si="25"/>
        <v>26.9897000433602</v>
      </c>
      <c r="P85" s="5" t="str">
        <f>IF(AND(器件参数!M85="finite",ISNUMBER(器件参数!O85),ISNUMBER(C85)),IF(器件参数!N85="input",器件参数!O85,IF(器件参数!N85="actual_output",器件参数!O85-C85+1,IF(器件参数!N85="linear_output",器件参数!O85-C85,""))),"")</f>
        <v/>
      </c>
      <c r="Q85" s="5">
        <f>IF(器件参数!P85="",IF(AND(ISNUMBER(DefaultP),DefaultP&gt;=1,DefaultP&lt;=10),DefaultP,""),IF(AND(ISNUMBER(器件参数!P85),器件参数!P85&gt;=1,器件参数!P85&lt;=10),器件参数!P85,""))</f>
        <v>2</v>
      </c>
      <c r="R85" s="5">
        <f t="shared" si="26"/>
        <v>-10.0000139708288</v>
      </c>
      <c r="S85" s="5" t="str">
        <f t="shared" si="27"/>
        <v/>
      </c>
      <c r="T85" s="5">
        <f t="shared" si="28"/>
        <v>0</v>
      </c>
      <c r="U85" s="5">
        <f t="shared" si="29"/>
        <v>-10.0000139708288</v>
      </c>
      <c r="V85" s="5">
        <f>IF(AND(ISNUMBER(Pin_dBm),ISNUMBER(E85),ISNUMBER(U85)),Pin_dBm+E85-U85,"")</f>
        <v>1.39708287854035e-5</v>
      </c>
      <c r="W85" s="5" t="str">
        <f>IF(AND(器件参数!B85,X85=1,ISNUMBER(D85)),P85-D85,"")</f>
        <v/>
      </c>
      <c r="X85" s="5">
        <f>IF(NOT(ISNUMBER(C85)),-1,IF(OR(NOT(器件参数!B85),器件参数!M85="ideal"),0,IF(AND(ISNUMBER(P85),ISNUMBER(Q85)),1,-1)))</f>
        <v>0</v>
      </c>
      <c r="Y85" s="5" t="str">
        <f t="shared" si="30"/>
        <v>有效</v>
      </c>
      <c r="Z85" s="5" t="str">
        <f t="shared" si="31"/>
        <v>有效</v>
      </c>
      <c r="AA85" s="5" t="str">
        <f t="shared" si="32"/>
        <v>模型估算</v>
      </c>
      <c r="AB85" s="5">
        <f t="shared" si="33"/>
        <v>100000000</v>
      </c>
      <c r="AC85" s="5">
        <f>IF(NOT(ISNUMBER(AB85)),"",IF(OR(NOT(器件参数!B85),器件参数!E85&lt;&gt;"mixer"),AB85,IF(AND(ISNUMBER(器件参数!T85),器件参数!T85&gt;0),IF(器件参数!U85="sum",AB85+器件参数!T85,IF(器件参数!U85="difference",ABS(AB85-器件参数!T85),"")),"")))</f>
        <v>100000000</v>
      </c>
      <c r="AD85" s="5">
        <f t="shared" si="34"/>
        <v>0</v>
      </c>
      <c r="AE85" s="5">
        <f>IF(AND(ISNUMBER(G85),ISNUMBER(F85)),Tref_K*(G85-1)/F85,"")</f>
        <v>0</v>
      </c>
      <c r="AF85" s="5">
        <f>IF(AND(ISNUMBER(H85),ISNUMBER(E85),NoiseConfigOK),10*LOG10(Boltzmann*Bnoise_Hz*(Tsource_K+Tref_K*(H85-1)))+30+E85,"")</f>
        <v>-90.3704468972711</v>
      </c>
      <c r="AG85" s="5">
        <f t="shared" si="35"/>
        <v>80.3704468972711</v>
      </c>
      <c r="AH85" s="5">
        <f>IF(AND(ToneEnabled,ISNUMBER(E85),ISNUMBER(TonePin)),TonePin+E85,"")</f>
        <v>-10</v>
      </c>
      <c r="AI85" s="5">
        <f>IF(AND(ToneEnabled,ISNUMBER(E85),ISNUMBER(N85),ISNUMBER(TonePin)),3*TonePin+E85-2*N85,"")</f>
        <v>-83.9794000867204</v>
      </c>
      <c r="AJ85" s="5" t="str">
        <f t="shared" si="36"/>
        <v/>
      </c>
      <c r="AK85" s="5" t="str">
        <f>IF(NOT(器件参数!B85),"旁路",IF(NOT(ISNUMBER(AC85)),"频率未知",IF(AC85&lt;=SignalBW/2,"跨零频",IF(AND(ISNUMBER(器件参数!R85),ISNUMBER(器件参数!S85)),IF(AND(AB85-SignalBW/2&gt;=器件参数!R85,AB85+SignalBW/2&lt;=器件参数!S85),"有效","超声明通带"),"未声明通带"))))</f>
        <v>旁路</v>
      </c>
      <c r="AL85" s="5">
        <f t="shared" si="37"/>
        <v>0</v>
      </c>
      <c r="AM85" s="5" t="str">
        <f>IF(AND(器件参数!B85,ISNUMBER(器件参数!X85),OR(AND(ISNUMBER(J85),J85&gt;器件参数!X85),IF(AND(ToneEnabled,ISNUMBER(TonePin),ISNUMBER(D85)),TonePin+10*LOG10(2)+D85&gt;器件参数!X85,FALSE))),"超过绝对最大输入额定值","")</f>
        <v/>
      </c>
      <c r="AN85" s="5">
        <f>IF(NOT(ISNUMBER(AN84)),"",IF(OR(NOT(器件参数!B85),器件参数!E85&lt;&gt;"mixer"),AN84,IF(AND(ISNUMBER(器件参数!T85),器件参数!T85&gt;0),IF(器件参数!U85="sum",AN84+器件参数!T85,ABS(AN84-器件参数!T85)),"")))</f>
        <v>99950000</v>
      </c>
      <c r="AO85" s="5">
        <f>IF(NOT(ISNUMBER(AO84)),"",IF(OR(NOT(器件参数!B85),器件参数!E85&lt;&gt;"mixer"),AO84,IF(AND(ISNUMBER(器件参数!T85),器件参数!T85&gt;0),IF(器件参数!U85="sum",AO84+器件参数!T85,ABS(AO84-器件参数!T85)),"")))</f>
        <v>100050000</v>
      </c>
      <c r="AP85" s="5">
        <f>IF(NOT(ISNUMBER(AP84)),"",IF(OR(NOT(器件参数!B85),器件参数!E85&lt;&gt;"mixer"),AP84,IF(AND(ISNUMBER(器件参数!T85),器件参数!T85&gt;0),IF(器件参数!U85="sum",AP84+器件参数!T85,ABS(AP84-器件参数!T85)),"")))</f>
        <v>99850000</v>
      </c>
      <c r="AQ85" s="5">
        <f>IF(NOT(ISNUMBER(AQ84)),"",IF(OR(NOT(器件参数!B85),器件参数!E85&lt;&gt;"mixer"),AQ84,IF(AND(ISNUMBER(器件参数!T85),器件参数!T85&gt;0),IF(器件参数!U85="sum",AQ84+器件参数!T85,ABS(AQ84-器件参数!T85)),"")))</f>
        <v>100150000</v>
      </c>
      <c r="AR85" s="5" t="b">
        <f>IF(NOT(AR84),FALSE,IF(NOT(器件参数!B85),TRUE,AND(COUNT(AN85:AQ85)=4,MIN(AN85:AQ85)&gt;0,IF(AND(ISNUMBER(器件参数!R85),ISNUMBER(器件参数!S85)),AND(MIN(AN84:AQ84)&gt;=器件参数!R85,MAX(AN84:AQ84)&lt;=器件参数!S85),TRUE),IF(AND(器件参数!E85="mixer",器件参数!U85="difference"),OR(器件参数!T85&lt;MIN(AN84:AQ84),器件参数!T85&gt;MAX(AN84:AQ84)),TRUE))))</f>
        <v>1</v>
      </c>
    </row>
    <row r="86" hidden="1" spans="1:44">
      <c r="A86" s="5">
        <f>器件参数!A86</f>
        <v>83</v>
      </c>
      <c r="B86" s="5" t="str">
        <f>器件参数!D86</f>
        <v/>
      </c>
      <c r="C86" s="5">
        <f>IF(NOT(器件参数!B86),0,IF(AND(ISNUMBER(器件参数!F86),ABS(器件参数!F86)&lt;=300),器件参数!F86,""))</f>
        <v>0</v>
      </c>
      <c r="D86" s="5">
        <f t="shared" si="19"/>
        <v>20</v>
      </c>
      <c r="E86" s="5">
        <f t="shared" si="20"/>
        <v>20</v>
      </c>
      <c r="F86" s="5">
        <f t="shared" si="21"/>
        <v>100</v>
      </c>
      <c r="G86" s="5">
        <f>IFERROR(IF(NOT(器件参数!B86),1,IF(NOT(OR(器件参数!E86&lt;&gt;"mixer",AND(OR(器件参数!V86="SSB",器件参数!V86="DSB"),器件参数!W86=TRUE))),"",IF(器件参数!G86="ideal",1,IF(AND(器件参数!G86="manual",ISNUMBER(器件参数!H86),器件参数!H86&gt;=0),10^(器件参数!H86/10),IF(AND(器件参数!G86="passive_thermal",OR(器件参数!E86="filter_bpf",器件参数!E86="filter_lpf",器件参数!E86="filter_hpf",器件参数!E86="filter_bsf",器件参数!E86="attenuator",器件参数!E86="cable",器件参数!E86="connector",器件参数!E86="switch",器件参数!E86="isolator",器件参数!E86="coupler",器件参数!E86="splitter"),AND(ISNUMBER(器件参数!F86),ABS(器件参数!F86)&lt;=300),器件参数!F86&lt;=0,ISNUMBER(器件参数!I86),器件参数!I86&gt;0),1+(10^(-器件参数!F86/10)-1)*器件参数!I86/Tref_K,""))))),"数值域错误")</f>
        <v>1</v>
      </c>
      <c r="H86" s="5">
        <f t="shared" si="22"/>
        <v>2.29336948552238</v>
      </c>
      <c r="I86" s="5">
        <f t="shared" si="23"/>
        <v>3.604740296957</v>
      </c>
      <c r="J86" s="5">
        <f>IF(AND(ISNUMBER(Pin_dBm),ISNUMBER(D86)),Pin_dBm+D86,"")</f>
        <v>-10</v>
      </c>
      <c r="K86" s="5">
        <f>IF(AND(ISNUMBER(Pin_dBm),ISNUMBER(E86)),Pin_dBm+E86,"")</f>
        <v>-10</v>
      </c>
      <c r="L86" s="5" t="str">
        <f>IF(AND(器件参数!J86="finite",ISNUMBER(器件参数!L86),ISNUMBER(C86)),IF(器件参数!K86="input",器件参数!L86,IF(器件参数!K86="output",器件参数!L86-C86,"")),"")</f>
        <v/>
      </c>
      <c r="M86" s="5">
        <f>IFERROR(IF(NOT(ISNUMBER(M85)),"",IF(OR(NOT(器件参数!B86),器件参数!J86="ideal"),M85,IF(AND(ISNUMBER(L86),ISNUMBER(F86)),M85+F86/10^(L86/10),""))),"数值域错误")</f>
        <v>0.2</v>
      </c>
      <c r="N86" s="5">
        <f t="shared" si="24"/>
        <v>6.98970004336019</v>
      </c>
      <c r="O86" s="5">
        <f t="shared" si="25"/>
        <v>26.9897000433602</v>
      </c>
      <c r="P86" s="5" t="str">
        <f>IF(AND(器件参数!M86="finite",ISNUMBER(器件参数!O86),ISNUMBER(C86)),IF(器件参数!N86="input",器件参数!O86,IF(器件参数!N86="actual_output",器件参数!O86-C86+1,IF(器件参数!N86="linear_output",器件参数!O86-C86,""))),"")</f>
        <v/>
      </c>
      <c r="Q86" s="5">
        <f>IF(器件参数!P86="",IF(AND(ISNUMBER(DefaultP),DefaultP&gt;=1,DefaultP&lt;=10),DefaultP,""),IF(AND(ISNUMBER(器件参数!P86),器件参数!P86&gt;=1,器件参数!P86&lt;=10),器件参数!P86,""))</f>
        <v>2</v>
      </c>
      <c r="R86" s="5">
        <f t="shared" si="26"/>
        <v>-10.0000139708288</v>
      </c>
      <c r="S86" s="5" t="str">
        <f t="shared" si="27"/>
        <v/>
      </c>
      <c r="T86" s="5">
        <f t="shared" si="28"/>
        <v>0</v>
      </c>
      <c r="U86" s="5">
        <f t="shared" si="29"/>
        <v>-10.0000139708288</v>
      </c>
      <c r="V86" s="5">
        <f>IF(AND(ISNUMBER(Pin_dBm),ISNUMBER(E86),ISNUMBER(U86)),Pin_dBm+E86-U86,"")</f>
        <v>1.39708287854035e-5</v>
      </c>
      <c r="W86" s="5" t="str">
        <f>IF(AND(器件参数!B86,X86=1,ISNUMBER(D86)),P86-D86,"")</f>
        <v/>
      </c>
      <c r="X86" s="5">
        <f>IF(NOT(ISNUMBER(C86)),-1,IF(OR(NOT(器件参数!B86),器件参数!M86="ideal"),0,IF(AND(ISNUMBER(P86),ISNUMBER(Q86)),1,-1)))</f>
        <v>0</v>
      </c>
      <c r="Y86" s="5" t="str">
        <f t="shared" si="30"/>
        <v>有效</v>
      </c>
      <c r="Z86" s="5" t="str">
        <f t="shared" si="31"/>
        <v>有效</v>
      </c>
      <c r="AA86" s="5" t="str">
        <f t="shared" si="32"/>
        <v>模型估算</v>
      </c>
      <c r="AB86" s="5">
        <f t="shared" si="33"/>
        <v>100000000</v>
      </c>
      <c r="AC86" s="5">
        <f>IF(NOT(ISNUMBER(AB86)),"",IF(OR(NOT(器件参数!B86),器件参数!E86&lt;&gt;"mixer"),AB86,IF(AND(ISNUMBER(器件参数!T86),器件参数!T86&gt;0),IF(器件参数!U86="sum",AB86+器件参数!T86,IF(器件参数!U86="difference",ABS(AB86-器件参数!T86),"")),"")))</f>
        <v>100000000</v>
      </c>
      <c r="AD86" s="5">
        <f t="shared" si="34"/>
        <v>0</v>
      </c>
      <c r="AE86" s="5">
        <f>IF(AND(ISNUMBER(G86),ISNUMBER(F86)),Tref_K*(G86-1)/F86,"")</f>
        <v>0</v>
      </c>
      <c r="AF86" s="5">
        <f>IF(AND(ISNUMBER(H86),ISNUMBER(E86),NoiseConfigOK),10*LOG10(Boltzmann*Bnoise_Hz*(Tsource_K+Tref_K*(H86-1)))+30+E86,"")</f>
        <v>-90.3704468972711</v>
      </c>
      <c r="AG86" s="5">
        <f t="shared" si="35"/>
        <v>80.3704468972711</v>
      </c>
      <c r="AH86" s="5">
        <f>IF(AND(ToneEnabled,ISNUMBER(E86),ISNUMBER(TonePin)),TonePin+E86,"")</f>
        <v>-10</v>
      </c>
      <c r="AI86" s="5">
        <f>IF(AND(ToneEnabled,ISNUMBER(E86),ISNUMBER(N86),ISNUMBER(TonePin)),3*TonePin+E86-2*N86,"")</f>
        <v>-83.9794000867204</v>
      </c>
      <c r="AJ86" s="5" t="str">
        <f t="shared" si="36"/>
        <v/>
      </c>
      <c r="AK86" s="5" t="str">
        <f>IF(NOT(器件参数!B86),"旁路",IF(NOT(ISNUMBER(AC86)),"频率未知",IF(AC86&lt;=SignalBW/2,"跨零频",IF(AND(ISNUMBER(器件参数!R86),ISNUMBER(器件参数!S86)),IF(AND(AB86-SignalBW/2&gt;=器件参数!R86,AB86+SignalBW/2&lt;=器件参数!S86),"有效","超声明通带"),"未声明通带"))))</f>
        <v>旁路</v>
      </c>
      <c r="AL86" s="5">
        <f t="shared" si="37"/>
        <v>0</v>
      </c>
      <c r="AM86" s="5" t="str">
        <f>IF(AND(器件参数!B86,ISNUMBER(器件参数!X86),OR(AND(ISNUMBER(J86),J86&gt;器件参数!X86),IF(AND(ToneEnabled,ISNUMBER(TonePin),ISNUMBER(D86)),TonePin+10*LOG10(2)+D86&gt;器件参数!X86,FALSE))),"超过绝对最大输入额定值","")</f>
        <v/>
      </c>
      <c r="AN86" s="5">
        <f>IF(NOT(ISNUMBER(AN85)),"",IF(OR(NOT(器件参数!B86),器件参数!E86&lt;&gt;"mixer"),AN85,IF(AND(ISNUMBER(器件参数!T86),器件参数!T86&gt;0),IF(器件参数!U86="sum",AN85+器件参数!T86,ABS(AN85-器件参数!T86)),"")))</f>
        <v>99950000</v>
      </c>
      <c r="AO86" s="5">
        <f>IF(NOT(ISNUMBER(AO85)),"",IF(OR(NOT(器件参数!B86),器件参数!E86&lt;&gt;"mixer"),AO85,IF(AND(ISNUMBER(器件参数!T86),器件参数!T86&gt;0),IF(器件参数!U86="sum",AO85+器件参数!T86,ABS(AO85-器件参数!T86)),"")))</f>
        <v>100050000</v>
      </c>
      <c r="AP86" s="5">
        <f>IF(NOT(ISNUMBER(AP85)),"",IF(OR(NOT(器件参数!B86),器件参数!E86&lt;&gt;"mixer"),AP85,IF(AND(ISNUMBER(器件参数!T86),器件参数!T86&gt;0),IF(器件参数!U86="sum",AP85+器件参数!T86,ABS(AP85-器件参数!T86)),"")))</f>
        <v>99850000</v>
      </c>
      <c r="AQ86" s="5">
        <f>IF(NOT(ISNUMBER(AQ85)),"",IF(OR(NOT(器件参数!B86),器件参数!E86&lt;&gt;"mixer"),AQ85,IF(AND(ISNUMBER(器件参数!T86),器件参数!T86&gt;0),IF(器件参数!U86="sum",AQ85+器件参数!T86,ABS(AQ85-器件参数!T86)),"")))</f>
        <v>100150000</v>
      </c>
      <c r="AR86" s="5" t="b">
        <f>IF(NOT(AR85),FALSE,IF(NOT(器件参数!B86),TRUE,AND(COUNT(AN86:AQ86)=4,MIN(AN86:AQ86)&gt;0,IF(AND(ISNUMBER(器件参数!R86),ISNUMBER(器件参数!S86)),AND(MIN(AN85:AQ85)&gt;=器件参数!R86,MAX(AN85:AQ85)&lt;=器件参数!S86),TRUE),IF(AND(器件参数!E86="mixer",器件参数!U86="difference"),OR(器件参数!T86&lt;MIN(AN85:AQ85),器件参数!T86&gt;MAX(AN85:AQ85)),TRUE))))</f>
        <v>1</v>
      </c>
    </row>
    <row r="87" hidden="1" spans="1:44">
      <c r="A87" s="5">
        <f>器件参数!A87</f>
        <v>84</v>
      </c>
      <c r="B87" s="5" t="str">
        <f>器件参数!D87</f>
        <v/>
      </c>
      <c r="C87" s="5">
        <f>IF(NOT(器件参数!B87),0,IF(AND(ISNUMBER(器件参数!F87),ABS(器件参数!F87)&lt;=300),器件参数!F87,""))</f>
        <v>0</v>
      </c>
      <c r="D87" s="5">
        <f t="shared" si="19"/>
        <v>20</v>
      </c>
      <c r="E87" s="5">
        <f t="shared" si="20"/>
        <v>20</v>
      </c>
      <c r="F87" s="5">
        <f t="shared" si="21"/>
        <v>100</v>
      </c>
      <c r="G87" s="5">
        <f>IFERROR(IF(NOT(器件参数!B87),1,IF(NOT(OR(器件参数!E87&lt;&gt;"mixer",AND(OR(器件参数!V87="SSB",器件参数!V87="DSB"),器件参数!W87=TRUE))),"",IF(器件参数!G87="ideal",1,IF(AND(器件参数!G87="manual",ISNUMBER(器件参数!H87),器件参数!H87&gt;=0),10^(器件参数!H87/10),IF(AND(器件参数!G87="passive_thermal",OR(器件参数!E87="filter_bpf",器件参数!E87="filter_lpf",器件参数!E87="filter_hpf",器件参数!E87="filter_bsf",器件参数!E87="attenuator",器件参数!E87="cable",器件参数!E87="connector",器件参数!E87="switch",器件参数!E87="isolator",器件参数!E87="coupler",器件参数!E87="splitter"),AND(ISNUMBER(器件参数!F87),ABS(器件参数!F87)&lt;=300),器件参数!F87&lt;=0,ISNUMBER(器件参数!I87),器件参数!I87&gt;0),1+(10^(-器件参数!F87/10)-1)*器件参数!I87/Tref_K,""))))),"数值域错误")</f>
        <v>1</v>
      </c>
      <c r="H87" s="5">
        <f t="shared" si="22"/>
        <v>2.29336948552238</v>
      </c>
      <c r="I87" s="5">
        <f t="shared" si="23"/>
        <v>3.604740296957</v>
      </c>
      <c r="J87" s="5">
        <f>IF(AND(ISNUMBER(Pin_dBm),ISNUMBER(D87)),Pin_dBm+D87,"")</f>
        <v>-10</v>
      </c>
      <c r="K87" s="5">
        <f>IF(AND(ISNUMBER(Pin_dBm),ISNUMBER(E87)),Pin_dBm+E87,"")</f>
        <v>-10</v>
      </c>
      <c r="L87" s="5" t="str">
        <f>IF(AND(器件参数!J87="finite",ISNUMBER(器件参数!L87),ISNUMBER(C87)),IF(器件参数!K87="input",器件参数!L87,IF(器件参数!K87="output",器件参数!L87-C87,"")),"")</f>
        <v/>
      </c>
      <c r="M87" s="5">
        <f>IFERROR(IF(NOT(ISNUMBER(M86)),"",IF(OR(NOT(器件参数!B87),器件参数!J87="ideal"),M86,IF(AND(ISNUMBER(L87),ISNUMBER(F87)),M86+F87/10^(L87/10),""))),"数值域错误")</f>
        <v>0.2</v>
      </c>
      <c r="N87" s="5">
        <f t="shared" si="24"/>
        <v>6.98970004336019</v>
      </c>
      <c r="O87" s="5">
        <f t="shared" si="25"/>
        <v>26.9897000433602</v>
      </c>
      <c r="P87" s="5" t="str">
        <f>IF(AND(器件参数!M87="finite",ISNUMBER(器件参数!O87),ISNUMBER(C87)),IF(器件参数!N87="input",器件参数!O87,IF(器件参数!N87="actual_output",器件参数!O87-C87+1,IF(器件参数!N87="linear_output",器件参数!O87-C87,""))),"")</f>
        <v/>
      </c>
      <c r="Q87" s="5">
        <f>IF(器件参数!P87="",IF(AND(ISNUMBER(DefaultP),DefaultP&gt;=1,DefaultP&lt;=10),DefaultP,""),IF(AND(ISNUMBER(器件参数!P87),器件参数!P87&gt;=1,器件参数!P87&lt;=10),器件参数!P87,""))</f>
        <v>2</v>
      </c>
      <c r="R87" s="5">
        <f t="shared" si="26"/>
        <v>-10.0000139708288</v>
      </c>
      <c r="S87" s="5" t="str">
        <f t="shared" si="27"/>
        <v/>
      </c>
      <c r="T87" s="5">
        <f t="shared" si="28"/>
        <v>0</v>
      </c>
      <c r="U87" s="5">
        <f t="shared" si="29"/>
        <v>-10.0000139708288</v>
      </c>
      <c r="V87" s="5">
        <f>IF(AND(ISNUMBER(Pin_dBm),ISNUMBER(E87),ISNUMBER(U87)),Pin_dBm+E87-U87,"")</f>
        <v>1.39708287854035e-5</v>
      </c>
      <c r="W87" s="5" t="str">
        <f>IF(AND(器件参数!B87,X87=1,ISNUMBER(D87)),P87-D87,"")</f>
        <v/>
      </c>
      <c r="X87" s="5">
        <f>IF(NOT(ISNUMBER(C87)),-1,IF(OR(NOT(器件参数!B87),器件参数!M87="ideal"),0,IF(AND(ISNUMBER(P87),ISNUMBER(Q87)),1,-1)))</f>
        <v>0</v>
      </c>
      <c r="Y87" s="5" t="str">
        <f t="shared" si="30"/>
        <v>有效</v>
      </c>
      <c r="Z87" s="5" t="str">
        <f t="shared" si="31"/>
        <v>有效</v>
      </c>
      <c r="AA87" s="5" t="str">
        <f t="shared" si="32"/>
        <v>模型估算</v>
      </c>
      <c r="AB87" s="5">
        <f t="shared" si="33"/>
        <v>100000000</v>
      </c>
      <c r="AC87" s="5">
        <f>IF(NOT(ISNUMBER(AB87)),"",IF(OR(NOT(器件参数!B87),器件参数!E87&lt;&gt;"mixer"),AB87,IF(AND(ISNUMBER(器件参数!T87),器件参数!T87&gt;0),IF(器件参数!U87="sum",AB87+器件参数!T87,IF(器件参数!U87="difference",ABS(AB87-器件参数!T87),"")),"")))</f>
        <v>100000000</v>
      </c>
      <c r="AD87" s="5">
        <f t="shared" si="34"/>
        <v>0</v>
      </c>
      <c r="AE87" s="5">
        <f>IF(AND(ISNUMBER(G87),ISNUMBER(F87)),Tref_K*(G87-1)/F87,"")</f>
        <v>0</v>
      </c>
      <c r="AF87" s="5">
        <f>IF(AND(ISNUMBER(H87),ISNUMBER(E87),NoiseConfigOK),10*LOG10(Boltzmann*Bnoise_Hz*(Tsource_K+Tref_K*(H87-1)))+30+E87,"")</f>
        <v>-90.3704468972711</v>
      </c>
      <c r="AG87" s="5">
        <f t="shared" si="35"/>
        <v>80.3704468972711</v>
      </c>
      <c r="AH87" s="5">
        <f>IF(AND(ToneEnabled,ISNUMBER(E87),ISNUMBER(TonePin)),TonePin+E87,"")</f>
        <v>-10</v>
      </c>
      <c r="AI87" s="5">
        <f>IF(AND(ToneEnabled,ISNUMBER(E87),ISNUMBER(N87),ISNUMBER(TonePin)),3*TonePin+E87-2*N87,"")</f>
        <v>-83.9794000867204</v>
      </c>
      <c r="AJ87" s="5" t="str">
        <f t="shared" si="36"/>
        <v/>
      </c>
      <c r="AK87" s="5" t="str">
        <f>IF(NOT(器件参数!B87),"旁路",IF(NOT(ISNUMBER(AC87)),"频率未知",IF(AC87&lt;=SignalBW/2,"跨零频",IF(AND(ISNUMBER(器件参数!R87),ISNUMBER(器件参数!S87)),IF(AND(AB87-SignalBW/2&gt;=器件参数!R87,AB87+SignalBW/2&lt;=器件参数!S87),"有效","超声明通带"),"未声明通带"))))</f>
        <v>旁路</v>
      </c>
      <c r="AL87" s="5">
        <f t="shared" si="37"/>
        <v>0</v>
      </c>
      <c r="AM87" s="5" t="str">
        <f>IF(AND(器件参数!B87,ISNUMBER(器件参数!X87),OR(AND(ISNUMBER(J87),J87&gt;器件参数!X87),IF(AND(ToneEnabled,ISNUMBER(TonePin),ISNUMBER(D87)),TonePin+10*LOG10(2)+D87&gt;器件参数!X87,FALSE))),"超过绝对最大输入额定值","")</f>
        <v/>
      </c>
      <c r="AN87" s="5">
        <f>IF(NOT(ISNUMBER(AN86)),"",IF(OR(NOT(器件参数!B87),器件参数!E87&lt;&gt;"mixer"),AN86,IF(AND(ISNUMBER(器件参数!T87),器件参数!T87&gt;0),IF(器件参数!U87="sum",AN86+器件参数!T87,ABS(AN86-器件参数!T87)),"")))</f>
        <v>99950000</v>
      </c>
      <c r="AO87" s="5">
        <f>IF(NOT(ISNUMBER(AO86)),"",IF(OR(NOT(器件参数!B87),器件参数!E87&lt;&gt;"mixer"),AO86,IF(AND(ISNUMBER(器件参数!T87),器件参数!T87&gt;0),IF(器件参数!U87="sum",AO86+器件参数!T87,ABS(AO86-器件参数!T87)),"")))</f>
        <v>100050000</v>
      </c>
      <c r="AP87" s="5">
        <f>IF(NOT(ISNUMBER(AP86)),"",IF(OR(NOT(器件参数!B87),器件参数!E87&lt;&gt;"mixer"),AP86,IF(AND(ISNUMBER(器件参数!T87),器件参数!T87&gt;0),IF(器件参数!U87="sum",AP86+器件参数!T87,ABS(AP86-器件参数!T87)),"")))</f>
        <v>99850000</v>
      </c>
      <c r="AQ87" s="5">
        <f>IF(NOT(ISNUMBER(AQ86)),"",IF(OR(NOT(器件参数!B87),器件参数!E87&lt;&gt;"mixer"),AQ86,IF(AND(ISNUMBER(器件参数!T87),器件参数!T87&gt;0),IF(器件参数!U87="sum",AQ86+器件参数!T87,ABS(AQ86-器件参数!T87)),"")))</f>
        <v>100150000</v>
      </c>
      <c r="AR87" s="5" t="b">
        <f>IF(NOT(AR86),FALSE,IF(NOT(器件参数!B87),TRUE,AND(COUNT(AN87:AQ87)=4,MIN(AN87:AQ87)&gt;0,IF(AND(ISNUMBER(器件参数!R87),ISNUMBER(器件参数!S87)),AND(MIN(AN86:AQ86)&gt;=器件参数!R87,MAX(AN86:AQ86)&lt;=器件参数!S87),TRUE),IF(AND(器件参数!E87="mixer",器件参数!U87="difference"),OR(器件参数!T87&lt;MIN(AN86:AQ86),器件参数!T87&gt;MAX(AN86:AQ86)),TRUE))))</f>
        <v>1</v>
      </c>
    </row>
    <row r="88" hidden="1" spans="1:44">
      <c r="A88" s="5">
        <f>器件参数!A88</f>
        <v>85</v>
      </c>
      <c r="B88" s="5" t="str">
        <f>器件参数!D88</f>
        <v/>
      </c>
      <c r="C88" s="5">
        <f>IF(NOT(器件参数!B88),0,IF(AND(ISNUMBER(器件参数!F88),ABS(器件参数!F88)&lt;=300),器件参数!F88,""))</f>
        <v>0</v>
      </c>
      <c r="D88" s="5">
        <f t="shared" si="19"/>
        <v>20</v>
      </c>
      <c r="E88" s="5">
        <f t="shared" si="20"/>
        <v>20</v>
      </c>
      <c r="F88" s="5">
        <f t="shared" si="21"/>
        <v>100</v>
      </c>
      <c r="G88" s="5">
        <f>IFERROR(IF(NOT(器件参数!B88),1,IF(NOT(OR(器件参数!E88&lt;&gt;"mixer",AND(OR(器件参数!V88="SSB",器件参数!V88="DSB"),器件参数!W88=TRUE))),"",IF(器件参数!G88="ideal",1,IF(AND(器件参数!G88="manual",ISNUMBER(器件参数!H88),器件参数!H88&gt;=0),10^(器件参数!H88/10),IF(AND(器件参数!G88="passive_thermal",OR(器件参数!E88="filter_bpf",器件参数!E88="filter_lpf",器件参数!E88="filter_hpf",器件参数!E88="filter_bsf",器件参数!E88="attenuator",器件参数!E88="cable",器件参数!E88="connector",器件参数!E88="switch",器件参数!E88="isolator",器件参数!E88="coupler",器件参数!E88="splitter"),AND(ISNUMBER(器件参数!F88),ABS(器件参数!F88)&lt;=300),器件参数!F88&lt;=0,ISNUMBER(器件参数!I88),器件参数!I88&gt;0),1+(10^(-器件参数!F88/10)-1)*器件参数!I88/Tref_K,""))))),"数值域错误")</f>
        <v>1</v>
      </c>
      <c r="H88" s="5">
        <f t="shared" si="22"/>
        <v>2.29336948552238</v>
      </c>
      <c r="I88" s="5">
        <f t="shared" si="23"/>
        <v>3.604740296957</v>
      </c>
      <c r="J88" s="5">
        <f>IF(AND(ISNUMBER(Pin_dBm),ISNUMBER(D88)),Pin_dBm+D88,"")</f>
        <v>-10</v>
      </c>
      <c r="K88" s="5">
        <f>IF(AND(ISNUMBER(Pin_dBm),ISNUMBER(E88)),Pin_dBm+E88,"")</f>
        <v>-10</v>
      </c>
      <c r="L88" s="5" t="str">
        <f>IF(AND(器件参数!J88="finite",ISNUMBER(器件参数!L88),ISNUMBER(C88)),IF(器件参数!K88="input",器件参数!L88,IF(器件参数!K88="output",器件参数!L88-C88,"")),"")</f>
        <v/>
      </c>
      <c r="M88" s="5">
        <f>IFERROR(IF(NOT(ISNUMBER(M87)),"",IF(OR(NOT(器件参数!B88),器件参数!J88="ideal"),M87,IF(AND(ISNUMBER(L88),ISNUMBER(F88)),M87+F88/10^(L88/10),""))),"数值域错误")</f>
        <v>0.2</v>
      </c>
      <c r="N88" s="5">
        <f t="shared" si="24"/>
        <v>6.98970004336019</v>
      </c>
      <c r="O88" s="5">
        <f t="shared" si="25"/>
        <v>26.9897000433602</v>
      </c>
      <c r="P88" s="5" t="str">
        <f>IF(AND(器件参数!M88="finite",ISNUMBER(器件参数!O88),ISNUMBER(C88)),IF(器件参数!N88="input",器件参数!O88,IF(器件参数!N88="actual_output",器件参数!O88-C88+1,IF(器件参数!N88="linear_output",器件参数!O88-C88,""))),"")</f>
        <v/>
      </c>
      <c r="Q88" s="5">
        <f>IF(器件参数!P88="",IF(AND(ISNUMBER(DefaultP),DefaultP&gt;=1,DefaultP&lt;=10),DefaultP,""),IF(AND(ISNUMBER(器件参数!P88),器件参数!P88&gt;=1,器件参数!P88&lt;=10),器件参数!P88,""))</f>
        <v>2</v>
      </c>
      <c r="R88" s="5">
        <f t="shared" si="26"/>
        <v>-10.0000139708288</v>
      </c>
      <c r="S88" s="5" t="str">
        <f t="shared" si="27"/>
        <v/>
      </c>
      <c r="T88" s="5">
        <f t="shared" si="28"/>
        <v>0</v>
      </c>
      <c r="U88" s="5">
        <f t="shared" si="29"/>
        <v>-10.0000139708288</v>
      </c>
      <c r="V88" s="5">
        <f>IF(AND(ISNUMBER(Pin_dBm),ISNUMBER(E88),ISNUMBER(U88)),Pin_dBm+E88-U88,"")</f>
        <v>1.39708287854035e-5</v>
      </c>
      <c r="W88" s="5" t="str">
        <f>IF(AND(器件参数!B88,X88=1,ISNUMBER(D88)),P88-D88,"")</f>
        <v/>
      </c>
      <c r="X88" s="5">
        <f>IF(NOT(ISNUMBER(C88)),-1,IF(OR(NOT(器件参数!B88),器件参数!M88="ideal"),0,IF(AND(ISNUMBER(P88),ISNUMBER(Q88)),1,-1)))</f>
        <v>0</v>
      </c>
      <c r="Y88" s="5" t="str">
        <f t="shared" si="30"/>
        <v>有效</v>
      </c>
      <c r="Z88" s="5" t="str">
        <f t="shared" si="31"/>
        <v>有效</v>
      </c>
      <c r="AA88" s="5" t="str">
        <f t="shared" si="32"/>
        <v>模型估算</v>
      </c>
      <c r="AB88" s="5">
        <f t="shared" si="33"/>
        <v>100000000</v>
      </c>
      <c r="AC88" s="5">
        <f>IF(NOT(ISNUMBER(AB88)),"",IF(OR(NOT(器件参数!B88),器件参数!E88&lt;&gt;"mixer"),AB88,IF(AND(ISNUMBER(器件参数!T88),器件参数!T88&gt;0),IF(器件参数!U88="sum",AB88+器件参数!T88,IF(器件参数!U88="difference",ABS(AB88-器件参数!T88),"")),"")))</f>
        <v>100000000</v>
      </c>
      <c r="AD88" s="5">
        <f t="shared" si="34"/>
        <v>0</v>
      </c>
      <c r="AE88" s="5">
        <f>IF(AND(ISNUMBER(G88),ISNUMBER(F88)),Tref_K*(G88-1)/F88,"")</f>
        <v>0</v>
      </c>
      <c r="AF88" s="5">
        <f>IF(AND(ISNUMBER(H88),ISNUMBER(E88),NoiseConfigOK),10*LOG10(Boltzmann*Bnoise_Hz*(Tsource_K+Tref_K*(H88-1)))+30+E88,"")</f>
        <v>-90.3704468972711</v>
      </c>
      <c r="AG88" s="5">
        <f t="shared" si="35"/>
        <v>80.3704468972711</v>
      </c>
      <c r="AH88" s="5">
        <f>IF(AND(ToneEnabled,ISNUMBER(E88),ISNUMBER(TonePin)),TonePin+E88,"")</f>
        <v>-10</v>
      </c>
      <c r="AI88" s="5">
        <f>IF(AND(ToneEnabled,ISNUMBER(E88),ISNUMBER(N88),ISNUMBER(TonePin)),3*TonePin+E88-2*N88,"")</f>
        <v>-83.9794000867204</v>
      </c>
      <c r="AJ88" s="5" t="str">
        <f t="shared" si="36"/>
        <v/>
      </c>
      <c r="AK88" s="5" t="str">
        <f>IF(NOT(器件参数!B88),"旁路",IF(NOT(ISNUMBER(AC88)),"频率未知",IF(AC88&lt;=SignalBW/2,"跨零频",IF(AND(ISNUMBER(器件参数!R88),ISNUMBER(器件参数!S88)),IF(AND(AB88-SignalBW/2&gt;=器件参数!R88,AB88+SignalBW/2&lt;=器件参数!S88),"有效","超声明通带"),"未声明通带"))))</f>
        <v>旁路</v>
      </c>
      <c r="AL88" s="5">
        <f t="shared" si="37"/>
        <v>0</v>
      </c>
      <c r="AM88" s="5" t="str">
        <f>IF(AND(器件参数!B88,ISNUMBER(器件参数!X88),OR(AND(ISNUMBER(J88),J88&gt;器件参数!X88),IF(AND(ToneEnabled,ISNUMBER(TonePin),ISNUMBER(D88)),TonePin+10*LOG10(2)+D88&gt;器件参数!X88,FALSE))),"超过绝对最大输入额定值","")</f>
        <v/>
      </c>
      <c r="AN88" s="5">
        <f>IF(NOT(ISNUMBER(AN87)),"",IF(OR(NOT(器件参数!B88),器件参数!E88&lt;&gt;"mixer"),AN87,IF(AND(ISNUMBER(器件参数!T88),器件参数!T88&gt;0),IF(器件参数!U88="sum",AN87+器件参数!T88,ABS(AN87-器件参数!T88)),"")))</f>
        <v>99950000</v>
      </c>
      <c r="AO88" s="5">
        <f>IF(NOT(ISNUMBER(AO87)),"",IF(OR(NOT(器件参数!B88),器件参数!E88&lt;&gt;"mixer"),AO87,IF(AND(ISNUMBER(器件参数!T88),器件参数!T88&gt;0),IF(器件参数!U88="sum",AO87+器件参数!T88,ABS(AO87-器件参数!T88)),"")))</f>
        <v>100050000</v>
      </c>
      <c r="AP88" s="5">
        <f>IF(NOT(ISNUMBER(AP87)),"",IF(OR(NOT(器件参数!B88),器件参数!E88&lt;&gt;"mixer"),AP87,IF(AND(ISNUMBER(器件参数!T88),器件参数!T88&gt;0),IF(器件参数!U88="sum",AP87+器件参数!T88,ABS(AP87-器件参数!T88)),"")))</f>
        <v>99850000</v>
      </c>
      <c r="AQ88" s="5">
        <f>IF(NOT(ISNUMBER(AQ87)),"",IF(OR(NOT(器件参数!B88),器件参数!E88&lt;&gt;"mixer"),AQ87,IF(AND(ISNUMBER(器件参数!T88),器件参数!T88&gt;0),IF(器件参数!U88="sum",AQ87+器件参数!T88,ABS(AQ87-器件参数!T88)),"")))</f>
        <v>100150000</v>
      </c>
      <c r="AR88" s="5" t="b">
        <f>IF(NOT(AR87),FALSE,IF(NOT(器件参数!B88),TRUE,AND(COUNT(AN88:AQ88)=4,MIN(AN88:AQ88)&gt;0,IF(AND(ISNUMBER(器件参数!R88),ISNUMBER(器件参数!S88)),AND(MIN(AN87:AQ87)&gt;=器件参数!R88,MAX(AN87:AQ87)&lt;=器件参数!S88),TRUE),IF(AND(器件参数!E88="mixer",器件参数!U88="difference"),OR(器件参数!T88&lt;MIN(AN87:AQ87),器件参数!T88&gt;MAX(AN87:AQ87)),TRUE))))</f>
        <v>1</v>
      </c>
    </row>
    <row r="89" hidden="1" spans="1:44">
      <c r="A89" s="5">
        <f>器件参数!A89</f>
        <v>86</v>
      </c>
      <c r="B89" s="5" t="str">
        <f>器件参数!D89</f>
        <v/>
      </c>
      <c r="C89" s="5">
        <f>IF(NOT(器件参数!B89),0,IF(AND(ISNUMBER(器件参数!F89),ABS(器件参数!F89)&lt;=300),器件参数!F89,""))</f>
        <v>0</v>
      </c>
      <c r="D89" s="5">
        <f t="shared" si="19"/>
        <v>20</v>
      </c>
      <c r="E89" s="5">
        <f t="shared" si="20"/>
        <v>20</v>
      </c>
      <c r="F89" s="5">
        <f t="shared" si="21"/>
        <v>100</v>
      </c>
      <c r="G89" s="5">
        <f>IFERROR(IF(NOT(器件参数!B89),1,IF(NOT(OR(器件参数!E89&lt;&gt;"mixer",AND(OR(器件参数!V89="SSB",器件参数!V89="DSB"),器件参数!W89=TRUE))),"",IF(器件参数!G89="ideal",1,IF(AND(器件参数!G89="manual",ISNUMBER(器件参数!H89),器件参数!H89&gt;=0),10^(器件参数!H89/10),IF(AND(器件参数!G89="passive_thermal",OR(器件参数!E89="filter_bpf",器件参数!E89="filter_lpf",器件参数!E89="filter_hpf",器件参数!E89="filter_bsf",器件参数!E89="attenuator",器件参数!E89="cable",器件参数!E89="connector",器件参数!E89="switch",器件参数!E89="isolator",器件参数!E89="coupler",器件参数!E89="splitter"),AND(ISNUMBER(器件参数!F89),ABS(器件参数!F89)&lt;=300),器件参数!F89&lt;=0,ISNUMBER(器件参数!I89),器件参数!I89&gt;0),1+(10^(-器件参数!F89/10)-1)*器件参数!I89/Tref_K,""))))),"数值域错误")</f>
        <v>1</v>
      </c>
      <c r="H89" s="5">
        <f t="shared" si="22"/>
        <v>2.29336948552238</v>
      </c>
      <c r="I89" s="5">
        <f t="shared" si="23"/>
        <v>3.604740296957</v>
      </c>
      <c r="J89" s="5">
        <f>IF(AND(ISNUMBER(Pin_dBm),ISNUMBER(D89)),Pin_dBm+D89,"")</f>
        <v>-10</v>
      </c>
      <c r="K89" s="5">
        <f>IF(AND(ISNUMBER(Pin_dBm),ISNUMBER(E89)),Pin_dBm+E89,"")</f>
        <v>-10</v>
      </c>
      <c r="L89" s="5" t="str">
        <f>IF(AND(器件参数!J89="finite",ISNUMBER(器件参数!L89),ISNUMBER(C89)),IF(器件参数!K89="input",器件参数!L89,IF(器件参数!K89="output",器件参数!L89-C89,"")),"")</f>
        <v/>
      </c>
      <c r="M89" s="5">
        <f>IFERROR(IF(NOT(ISNUMBER(M88)),"",IF(OR(NOT(器件参数!B89),器件参数!J89="ideal"),M88,IF(AND(ISNUMBER(L89),ISNUMBER(F89)),M88+F89/10^(L89/10),""))),"数值域错误")</f>
        <v>0.2</v>
      </c>
      <c r="N89" s="5">
        <f t="shared" si="24"/>
        <v>6.98970004336019</v>
      </c>
      <c r="O89" s="5">
        <f t="shared" si="25"/>
        <v>26.9897000433602</v>
      </c>
      <c r="P89" s="5" t="str">
        <f>IF(AND(器件参数!M89="finite",ISNUMBER(器件参数!O89),ISNUMBER(C89)),IF(器件参数!N89="input",器件参数!O89,IF(器件参数!N89="actual_output",器件参数!O89-C89+1,IF(器件参数!N89="linear_output",器件参数!O89-C89,""))),"")</f>
        <v/>
      </c>
      <c r="Q89" s="5">
        <f>IF(器件参数!P89="",IF(AND(ISNUMBER(DefaultP),DefaultP&gt;=1,DefaultP&lt;=10),DefaultP,""),IF(AND(ISNUMBER(器件参数!P89),器件参数!P89&gt;=1,器件参数!P89&lt;=10),器件参数!P89,""))</f>
        <v>2</v>
      </c>
      <c r="R89" s="5">
        <f t="shared" si="26"/>
        <v>-10.0000139708288</v>
      </c>
      <c r="S89" s="5" t="str">
        <f t="shared" si="27"/>
        <v/>
      </c>
      <c r="T89" s="5">
        <f t="shared" si="28"/>
        <v>0</v>
      </c>
      <c r="U89" s="5">
        <f t="shared" si="29"/>
        <v>-10.0000139708288</v>
      </c>
      <c r="V89" s="5">
        <f>IF(AND(ISNUMBER(Pin_dBm),ISNUMBER(E89),ISNUMBER(U89)),Pin_dBm+E89-U89,"")</f>
        <v>1.39708287854035e-5</v>
      </c>
      <c r="W89" s="5" t="str">
        <f>IF(AND(器件参数!B89,X89=1,ISNUMBER(D89)),P89-D89,"")</f>
        <v/>
      </c>
      <c r="X89" s="5">
        <f>IF(NOT(ISNUMBER(C89)),-1,IF(OR(NOT(器件参数!B89),器件参数!M89="ideal"),0,IF(AND(ISNUMBER(P89),ISNUMBER(Q89)),1,-1)))</f>
        <v>0</v>
      </c>
      <c r="Y89" s="5" t="str">
        <f t="shared" si="30"/>
        <v>有效</v>
      </c>
      <c r="Z89" s="5" t="str">
        <f t="shared" si="31"/>
        <v>有效</v>
      </c>
      <c r="AA89" s="5" t="str">
        <f t="shared" si="32"/>
        <v>模型估算</v>
      </c>
      <c r="AB89" s="5">
        <f t="shared" si="33"/>
        <v>100000000</v>
      </c>
      <c r="AC89" s="5">
        <f>IF(NOT(ISNUMBER(AB89)),"",IF(OR(NOT(器件参数!B89),器件参数!E89&lt;&gt;"mixer"),AB89,IF(AND(ISNUMBER(器件参数!T89),器件参数!T89&gt;0),IF(器件参数!U89="sum",AB89+器件参数!T89,IF(器件参数!U89="difference",ABS(AB89-器件参数!T89),"")),"")))</f>
        <v>100000000</v>
      </c>
      <c r="AD89" s="5">
        <f t="shared" si="34"/>
        <v>0</v>
      </c>
      <c r="AE89" s="5">
        <f>IF(AND(ISNUMBER(G89),ISNUMBER(F89)),Tref_K*(G89-1)/F89,"")</f>
        <v>0</v>
      </c>
      <c r="AF89" s="5">
        <f>IF(AND(ISNUMBER(H89),ISNUMBER(E89),NoiseConfigOK),10*LOG10(Boltzmann*Bnoise_Hz*(Tsource_K+Tref_K*(H89-1)))+30+E89,"")</f>
        <v>-90.3704468972711</v>
      </c>
      <c r="AG89" s="5">
        <f t="shared" si="35"/>
        <v>80.3704468972711</v>
      </c>
      <c r="AH89" s="5">
        <f>IF(AND(ToneEnabled,ISNUMBER(E89),ISNUMBER(TonePin)),TonePin+E89,"")</f>
        <v>-10</v>
      </c>
      <c r="AI89" s="5">
        <f>IF(AND(ToneEnabled,ISNUMBER(E89),ISNUMBER(N89),ISNUMBER(TonePin)),3*TonePin+E89-2*N89,"")</f>
        <v>-83.9794000867204</v>
      </c>
      <c r="AJ89" s="5" t="str">
        <f t="shared" si="36"/>
        <v/>
      </c>
      <c r="AK89" s="5" t="str">
        <f>IF(NOT(器件参数!B89),"旁路",IF(NOT(ISNUMBER(AC89)),"频率未知",IF(AC89&lt;=SignalBW/2,"跨零频",IF(AND(ISNUMBER(器件参数!R89),ISNUMBER(器件参数!S89)),IF(AND(AB89-SignalBW/2&gt;=器件参数!R89,AB89+SignalBW/2&lt;=器件参数!S89),"有效","超声明通带"),"未声明通带"))))</f>
        <v>旁路</v>
      </c>
      <c r="AL89" s="5">
        <f t="shared" si="37"/>
        <v>0</v>
      </c>
      <c r="AM89" s="5" t="str">
        <f>IF(AND(器件参数!B89,ISNUMBER(器件参数!X89),OR(AND(ISNUMBER(J89),J89&gt;器件参数!X89),IF(AND(ToneEnabled,ISNUMBER(TonePin),ISNUMBER(D89)),TonePin+10*LOG10(2)+D89&gt;器件参数!X89,FALSE))),"超过绝对最大输入额定值","")</f>
        <v/>
      </c>
      <c r="AN89" s="5">
        <f>IF(NOT(ISNUMBER(AN88)),"",IF(OR(NOT(器件参数!B89),器件参数!E89&lt;&gt;"mixer"),AN88,IF(AND(ISNUMBER(器件参数!T89),器件参数!T89&gt;0),IF(器件参数!U89="sum",AN88+器件参数!T89,ABS(AN88-器件参数!T89)),"")))</f>
        <v>99950000</v>
      </c>
      <c r="AO89" s="5">
        <f>IF(NOT(ISNUMBER(AO88)),"",IF(OR(NOT(器件参数!B89),器件参数!E89&lt;&gt;"mixer"),AO88,IF(AND(ISNUMBER(器件参数!T89),器件参数!T89&gt;0),IF(器件参数!U89="sum",AO88+器件参数!T89,ABS(AO88-器件参数!T89)),"")))</f>
        <v>100050000</v>
      </c>
      <c r="AP89" s="5">
        <f>IF(NOT(ISNUMBER(AP88)),"",IF(OR(NOT(器件参数!B89),器件参数!E89&lt;&gt;"mixer"),AP88,IF(AND(ISNUMBER(器件参数!T89),器件参数!T89&gt;0),IF(器件参数!U89="sum",AP88+器件参数!T89,ABS(AP88-器件参数!T89)),"")))</f>
        <v>99850000</v>
      </c>
      <c r="AQ89" s="5">
        <f>IF(NOT(ISNUMBER(AQ88)),"",IF(OR(NOT(器件参数!B89),器件参数!E89&lt;&gt;"mixer"),AQ88,IF(AND(ISNUMBER(器件参数!T89),器件参数!T89&gt;0),IF(器件参数!U89="sum",AQ88+器件参数!T89,ABS(AQ88-器件参数!T89)),"")))</f>
        <v>100150000</v>
      </c>
      <c r="AR89" s="5" t="b">
        <f>IF(NOT(AR88),FALSE,IF(NOT(器件参数!B89),TRUE,AND(COUNT(AN89:AQ89)=4,MIN(AN89:AQ89)&gt;0,IF(AND(ISNUMBER(器件参数!R89),ISNUMBER(器件参数!S89)),AND(MIN(AN88:AQ88)&gt;=器件参数!R89,MAX(AN88:AQ88)&lt;=器件参数!S89),TRUE),IF(AND(器件参数!E89="mixer",器件参数!U89="difference"),OR(器件参数!T89&lt;MIN(AN88:AQ88),器件参数!T89&gt;MAX(AN88:AQ88)),TRUE))))</f>
        <v>1</v>
      </c>
    </row>
    <row r="90" hidden="1" spans="1:44">
      <c r="A90" s="5">
        <f>器件参数!A90</f>
        <v>87</v>
      </c>
      <c r="B90" s="5" t="str">
        <f>器件参数!D90</f>
        <v/>
      </c>
      <c r="C90" s="5">
        <f>IF(NOT(器件参数!B90),0,IF(AND(ISNUMBER(器件参数!F90),ABS(器件参数!F90)&lt;=300),器件参数!F90,""))</f>
        <v>0</v>
      </c>
      <c r="D90" s="5">
        <f t="shared" si="19"/>
        <v>20</v>
      </c>
      <c r="E90" s="5">
        <f t="shared" si="20"/>
        <v>20</v>
      </c>
      <c r="F90" s="5">
        <f t="shared" si="21"/>
        <v>100</v>
      </c>
      <c r="G90" s="5">
        <f>IFERROR(IF(NOT(器件参数!B90),1,IF(NOT(OR(器件参数!E90&lt;&gt;"mixer",AND(OR(器件参数!V90="SSB",器件参数!V90="DSB"),器件参数!W90=TRUE))),"",IF(器件参数!G90="ideal",1,IF(AND(器件参数!G90="manual",ISNUMBER(器件参数!H90),器件参数!H90&gt;=0),10^(器件参数!H90/10),IF(AND(器件参数!G90="passive_thermal",OR(器件参数!E90="filter_bpf",器件参数!E90="filter_lpf",器件参数!E90="filter_hpf",器件参数!E90="filter_bsf",器件参数!E90="attenuator",器件参数!E90="cable",器件参数!E90="connector",器件参数!E90="switch",器件参数!E90="isolator",器件参数!E90="coupler",器件参数!E90="splitter"),AND(ISNUMBER(器件参数!F90),ABS(器件参数!F90)&lt;=300),器件参数!F90&lt;=0,ISNUMBER(器件参数!I90),器件参数!I90&gt;0),1+(10^(-器件参数!F90/10)-1)*器件参数!I90/Tref_K,""))))),"数值域错误")</f>
        <v>1</v>
      </c>
      <c r="H90" s="5">
        <f t="shared" si="22"/>
        <v>2.29336948552238</v>
      </c>
      <c r="I90" s="5">
        <f t="shared" si="23"/>
        <v>3.604740296957</v>
      </c>
      <c r="J90" s="5">
        <f>IF(AND(ISNUMBER(Pin_dBm),ISNUMBER(D90)),Pin_dBm+D90,"")</f>
        <v>-10</v>
      </c>
      <c r="K90" s="5">
        <f>IF(AND(ISNUMBER(Pin_dBm),ISNUMBER(E90)),Pin_dBm+E90,"")</f>
        <v>-10</v>
      </c>
      <c r="L90" s="5" t="str">
        <f>IF(AND(器件参数!J90="finite",ISNUMBER(器件参数!L90),ISNUMBER(C90)),IF(器件参数!K90="input",器件参数!L90,IF(器件参数!K90="output",器件参数!L90-C90,"")),"")</f>
        <v/>
      </c>
      <c r="M90" s="5">
        <f>IFERROR(IF(NOT(ISNUMBER(M89)),"",IF(OR(NOT(器件参数!B90),器件参数!J90="ideal"),M89,IF(AND(ISNUMBER(L90),ISNUMBER(F90)),M89+F90/10^(L90/10),""))),"数值域错误")</f>
        <v>0.2</v>
      </c>
      <c r="N90" s="5">
        <f t="shared" si="24"/>
        <v>6.98970004336019</v>
      </c>
      <c r="O90" s="5">
        <f t="shared" si="25"/>
        <v>26.9897000433602</v>
      </c>
      <c r="P90" s="5" t="str">
        <f>IF(AND(器件参数!M90="finite",ISNUMBER(器件参数!O90),ISNUMBER(C90)),IF(器件参数!N90="input",器件参数!O90,IF(器件参数!N90="actual_output",器件参数!O90-C90+1,IF(器件参数!N90="linear_output",器件参数!O90-C90,""))),"")</f>
        <v/>
      </c>
      <c r="Q90" s="5">
        <f>IF(器件参数!P90="",IF(AND(ISNUMBER(DefaultP),DefaultP&gt;=1,DefaultP&lt;=10),DefaultP,""),IF(AND(ISNUMBER(器件参数!P90),器件参数!P90&gt;=1,器件参数!P90&lt;=10),器件参数!P90,""))</f>
        <v>2</v>
      </c>
      <c r="R90" s="5">
        <f t="shared" si="26"/>
        <v>-10.0000139708288</v>
      </c>
      <c r="S90" s="5" t="str">
        <f t="shared" si="27"/>
        <v/>
      </c>
      <c r="T90" s="5">
        <f t="shared" si="28"/>
        <v>0</v>
      </c>
      <c r="U90" s="5">
        <f t="shared" si="29"/>
        <v>-10.0000139708288</v>
      </c>
      <c r="V90" s="5">
        <f>IF(AND(ISNUMBER(Pin_dBm),ISNUMBER(E90),ISNUMBER(U90)),Pin_dBm+E90-U90,"")</f>
        <v>1.39708287854035e-5</v>
      </c>
      <c r="W90" s="5" t="str">
        <f>IF(AND(器件参数!B90,X90=1,ISNUMBER(D90)),P90-D90,"")</f>
        <v/>
      </c>
      <c r="X90" s="5">
        <f>IF(NOT(ISNUMBER(C90)),-1,IF(OR(NOT(器件参数!B90),器件参数!M90="ideal"),0,IF(AND(ISNUMBER(P90),ISNUMBER(Q90)),1,-1)))</f>
        <v>0</v>
      </c>
      <c r="Y90" s="5" t="str">
        <f t="shared" si="30"/>
        <v>有效</v>
      </c>
      <c r="Z90" s="5" t="str">
        <f t="shared" si="31"/>
        <v>有效</v>
      </c>
      <c r="AA90" s="5" t="str">
        <f t="shared" si="32"/>
        <v>模型估算</v>
      </c>
      <c r="AB90" s="5">
        <f t="shared" si="33"/>
        <v>100000000</v>
      </c>
      <c r="AC90" s="5">
        <f>IF(NOT(ISNUMBER(AB90)),"",IF(OR(NOT(器件参数!B90),器件参数!E90&lt;&gt;"mixer"),AB90,IF(AND(ISNUMBER(器件参数!T90),器件参数!T90&gt;0),IF(器件参数!U90="sum",AB90+器件参数!T90,IF(器件参数!U90="difference",ABS(AB90-器件参数!T90),"")),"")))</f>
        <v>100000000</v>
      </c>
      <c r="AD90" s="5">
        <f t="shared" si="34"/>
        <v>0</v>
      </c>
      <c r="AE90" s="5">
        <f>IF(AND(ISNUMBER(G90),ISNUMBER(F90)),Tref_K*(G90-1)/F90,"")</f>
        <v>0</v>
      </c>
      <c r="AF90" s="5">
        <f>IF(AND(ISNUMBER(H90),ISNUMBER(E90),NoiseConfigOK),10*LOG10(Boltzmann*Bnoise_Hz*(Tsource_K+Tref_K*(H90-1)))+30+E90,"")</f>
        <v>-90.3704468972711</v>
      </c>
      <c r="AG90" s="5">
        <f t="shared" si="35"/>
        <v>80.3704468972711</v>
      </c>
      <c r="AH90" s="5">
        <f>IF(AND(ToneEnabled,ISNUMBER(E90),ISNUMBER(TonePin)),TonePin+E90,"")</f>
        <v>-10</v>
      </c>
      <c r="AI90" s="5">
        <f>IF(AND(ToneEnabled,ISNUMBER(E90),ISNUMBER(N90),ISNUMBER(TonePin)),3*TonePin+E90-2*N90,"")</f>
        <v>-83.9794000867204</v>
      </c>
      <c r="AJ90" s="5" t="str">
        <f t="shared" si="36"/>
        <v/>
      </c>
      <c r="AK90" s="5" t="str">
        <f>IF(NOT(器件参数!B90),"旁路",IF(NOT(ISNUMBER(AC90)),"频率未知",IF(AC90&lt;=SignalBW/2,"跨零频",IF(AND(ISNUMBER(器件参数!R90),ISNUMBER(器件参数!S90)),IF(AND(AB90-SignalBW/2&gt;=器件参数!R90,AB90+SignalBW/2&lt;=器件参数!S90),"有效","超声明通带"),"未声明通带"))))</f>
        <v>旁路</v>
      </c>
      <c r="AL90" s="5">
        <f t="shared" si="37"/>
        <v>0</v>
      </c>
      <c r="AM90" s="5" t="str">
        <f>IF(AND(器件参数!B90,ISNUMBER(器件参数!X90),OR(AND(ISNUMBER(J90),J90&gt;器件参数!X90),IF(AND(ToneEnabled,ISNUMBER(TonePin),ISNUMBER(D90)),TonePin+10*LOG10(2)+D90&gt;器件参数!X90,FALSE))),"超过绝对最大输入额定值","")</f>
        <v/>
      </c>
      <c r="AN90" s="5">
        <f>IF(NOT(ISNUMBER(AN89)),"",IF(OR(NOT(器件参数!B90),器件参数!E90&lt;&gt;"mixer"),AN89,IF(AND(ISNUMBER(器件参数!T90),器件参数!T90&gt;0),IF(器件参数!U90="sum",AN89+器件参数!T90,ABS(AN89-器件参数!T90)),"")))</f>
        <v>99950000</v>
      </c>
      <c r="AO90" s="5">
        <f>IF(NOT(ISNUMBER(AO89)),"",IF(OR(NOT(器件参数!B90),器件参数!E90&lt;&gt;"mixer"),AO89,IF(AND(ISNUMBER(器件参数!T90),器件参数!T90&gt;0),IF(器件参数!U90="sum",AO89+器件参数!T90,ABS(AO89-器件参数!T90)),"")))</f>
        <v>100050000</v>
      </c>
      <c r="AP90" s="5">
        <f>IF(NOT(ISNUMBER(AP89)),"",IF(OR(NOT(器件参数!B90),器件参数!E90&lt;&gt;"mixer"),AP89,IF(AND(ISNUMBER(器件参数!T90),器件参数!T90&gt;0),IF(器件参数!U90="sum",AP89+器件参数!T90,ABS(AP89-器件参数!T90)),"")))</f>
        <v>99850000</v>
      </c>
      <c r="AQ90" s="5">
        <f>IF(NOT(ISNUMBER(AQ89)),"",IF(OR(NOT(器件参数!B90),器件参数!E90&lt;&gt;"mixer"),AQ89,IF(AND(ISNUMBER(器件参数!T90),器件参数!T90&gt;0),IF(器件参数!U90="sum",AQ89+器件参数!T90,ABS(AQ89-器件参数!T90)),"")))</f>
        <v>100150000</v>
      </c>
      <c r="AR90" s="5" t="b">
        <f>IF(NOT(AR89),FALSE,IF(NOT(器件参数!B90),TRUE,AND(COUNT(AN90:AQ90)=4,MIN(AN90:AQ90)&gt;0,IF(AND(ISNUMBER(器件参数!R90),ISNUMBER(器件参数!S90)),AND(MIN(AN89:AQ89)&gt;=器件参数!R90,MAX(AN89:AQ89)&lt;=器件参数!S90),TRUE),IF(AND(器件参数!E90="mixer",器件参数!U90="difference"),OR(器件参数!T90&lt;MIN(AN89:AQ89),器件参数!T90&gt;MAX(AN89:AQ89)),TRUE))))</f>
        <v>1</v>
      </c>
    </row>
    <row r="91" hidden="1" spans="1:44">
      <c r="A91" s="5">
        <f>器件参数!A91</f>
        <v>88</v>
      </c>
      <c r="B91" s="5" t="str">
        <f>器件参数!D91</f>
        <v/>
      </c>
      <c r="C91" s="5">
        <f>IF(NOT(器件参数!B91),0,IF(AND(ISNUMBER(器件参数!F91),ABS(器件参数!F91)&lt;=300),器件参数!F91,""))</f>
        <v>0</v>
      </c>
      <c r="D91" s="5">
        <f t="shared" si="19"/>
        <v>20</v>
      </c>
      <c r="E91" s="5">
        <f t="shared" si="20"/>
        <v>20</v>
      </c>
      <c r="F91" s="5">
        <f t="shared" si="21"/>
        <v>100</v>
      </c>
      <c r="G91" s="5">
        <f>IFERROR(IF(NOT(器件参数!B91),1,IF(NOT(OR(器件参数!E91&lt;&gt;"mixer",AND(OR(器件参数!V91="SSB",器件参数!V91="DSB"),器件参数!W91=TRUE))),"",IF(器件参数!G91="ideal",1,IF(AND(器件参数!G91="manual",ISNUMBER(器件参数!H91),器件参数!H91&gt;=0),10^(器件参数!H91/10),IF(AND(器件参数!G91="passive_thermal",OR(器件参数!E91="filter_bpf",器件参数!E91="filter_lpf",器件参数!E91="filter_hpf",器件参数!E91="filter_bsf",器件参数!E91="attenuator",器件参数!E91="cable",器件参数!E91="connector",器件参数!E91="switch",器件参数!E91="isolator",器件参数!E91="coupler",器件参数!E91="splitter"),AND(ISNUMBER(器件参数!F91),ABS(器件参数!F91)&lt;=300),器件参数!F91&lt;=0,ISNUMBER(器件参数!I91),器件参数!I91&gt;0),1+(10^(-器件参数!F91/10)-1)*器件参数!I91/Tref_K,""))))),"数值域错误")</f>
        <v>1</v>
      </c>
      <c r="H91" s="5">
        <f t="shared" si="22"/>
        <v>2.29336948552238</v>
      </c>
      <c r="I91" s="5">
        <f t="shared" si="23"/>
        <v>3.604740296957</v>
      </c>
      <c r="J91" s="5">
        <f>IF(AND(ISNUMBER(Pin_dBm),ISNUMBER(D91)),Pin_dBm+D91,"")</f>
        <v>-10</v>
      </c>
      <c r="K91" s="5">
        <f>IF(AND(ISNUMBER(Pin_dBm),ISNUMBER(E91)),Pin_dBm+E91,"")</f>
        <v>-10</v>
      </c>
      <c r="L91" s="5" t="str">
        <f>IF(AND(器件参数!J91="finite",ISNUMBER(器件参数!L91),ISNUMBER(C91)),IF(器件参数!K91="input",器件参数!L91,IF(器件参数!K91="output",器件参数!L91-C91,"")),"")</f>
        <v/>
      </c>
      <c r="M91" s="5">
        <f>IFERROR(IF(NOT(ISNUMBER(M90)),"",IF(OR(NOT(器件参数!B91),器件参数!J91="ideal"),M90,IF(AND(ISNUMBER(L91),ISNUMBER(F91)),M90+F91/10^(L91/10),""))),"数值域错误")</f>
        <v>0.2</v>
      </c>
      <c r="N91" s="5">
        <f t="shared" si="24"/>
        <v>6.98970004336019</v>
      </c>
      <c r="O91" s="5">
        <f t="shared" si="25"/>
        <v>26.9897000433602</v>
      </c>
      <c r="P91" s="5" t="str">
        <f>IF(AND(器件参数!M91="finite",ISNUMBER(器件参数!O91),ISNUMBER(C91)),IF(器件参数!N91="input",器件参数!O91,IF(器件参数!N91="actual_output",器件参数!O91-C91+1,IF(器件参数!N91="linear_output",器件参数!O91-C91,""))),"")</f>
        <v/>
      </c>
      <c r="Q91" s="5">
        <f>IF(器件参数!P91="",IF(AND(ISNUMBER(DefaultP),DefaultP&gt;=1,DefaultP&lt;=10),DefaultP,""),IF(AND(ISNUMBER(器件参数!P91),器件参数!P91&gt;=1,器件参数!P91&lt;=10),器件参数!P91,""))</f>
        <v>2</v>
      </c>
      <c r="R91" s="5">
        <f t="shared" si="26"/>
        <v>-10.0000139708288</v>
      </c>
      <c r="S91" s="5" t="str">
        <f t="shared" si="27"/>
        <v/>
      </c>
      <c r="T91" s="5">
        <f t="shared" si="28"/>
        <v>0</v>
      </c>
      <c r="U91" s="5">
        <f t="shared" si="29"/>
        <v>-10.0000139708288</v>
      </c>
      <c r="V91" s="5">
        <f>IF(AND(ISNUMBER(Pin_dBm),ISNUMBER(E91),ISNUMBER(U91)),Pin_dBm+E91-U91,"")</f>
        <v>1.39708287854035e-5</v>
      </c>
      <c r="W91" s="5" t="str">
        <f>IF(AND(器件参数!B91,X91=1,ISNUMBER(D91)),P91-D91,"")</f>
        <v/>
      </c>
      <c r="X91" s="5">
        <f>IF(NOT(ISNUMBER(C91)),-1,IF(OR(NOT(器件参数!B91),器件参数!M91="ideal"),0,IF(AND(ISNUMBER(P91),ISNUMBER(Q91)),1,-1)))</f>
        <v>0</v>
      </c>
      <c r="Y91" s="5" t="str">
        <f t="shared" si="30"/>
        <v>有效</v>
      </c>
      <c r="Z91" s="5" t="str">
        <f t="shared" si="31"/>
        <v>有效</v>
      </c>
      <c r="AA91" s="5" t="str">
        <f t="shared" si="32"/>
        <v>模型估算</v>
      </c>
      <c r="AB91" s="5">
        <f t="shared" si="33"/>
        <v>100000000</v>
      </c>
      <c r="AC91" s="5">
        <f>IF(NOT(ISNUMBER(AB91)),"",IF(OR(NOT(器件参数!B91),器件参数!E91&lt;&gt;"mixer"),AB91,IF(AND(ISNUMBER(器件参数!T91),器件参数!T91&gt;0),IF(器件参数!U91="sum",AB91+器件参数!T91,IF(器件参数!U91="difference",ABS(AB91-器件参数!T91),"")),"")))</f>
        <v>100000000</v>
      </c>
      <c r="AD91" s="5">
        <f t="shared" si="34"/>
        <v>0</v>
      </c>
      <c r="AE91" s="5">
        <f>IF(AND(ISNUMBER(G91),ISNUMBER(F91)),Tref_K*(G91-1)/F91,"")</f>
        <v>0</v>
      </c>
      <c r="AF91" s="5">
        <f>IF(AND(ISNUMBER(H91),ISNUMBER(E91),NoiseConfigOK),10*LOG10(Boltzmann*Bnoise_Hz*(Tsource_K+Tref_K*(H91-1)))+30+E91,"")</f>
        <v>-90.3704468972711</v>
      </c>
      <c r="AG91" s="5">
        <f t="shared" si="35"/>
        <v>80.3704468972711</v>
      </c>
      <c r="AH91" s="5">
        <f>IF(AND(ToneEnabled,ISNUMBER(E91),ISNUMBER(TonePin)),TonePin+E91,"")</f>
        <v>-10</v>
      </c>
      <c r="AI91" s="5">
        <f>IF(AND(ToneEnabled,ISNUMBER(E91),ISNUMBER(N91),ISNUMBER(TonePin)),3*TonePin+E91-2*N91,"")</f>
        <v>-83.9794000867204</v>
      </c>
      <c r="AJ91" s="5" t="str">
        <f t="shared" si="36"/>
        <v/>
      </c>
      <c r="AK91" s="5" t="str">
        <f>IF(NOT(器件参数!B91),"旁路",IF(NOT(ISNUMBER(AC91)),"频率未知",IF(AC91&lt;=SignalBW/2,"跨零频",IF(AND(ISNUMBER(器件参数!R91),ISNUMBER(器件参数!S91)),IF(AND(AB91-SignalBW/2&gt;=器件参数!R91,AB91+SignalBW/2&lt;=器件参数!S91),"有效","超声明通带"),"未声明通带"))))</f>
        <v>旁路</v>
      </c>
      <c r="AL91" s="5">
        <f t="shared" si="37"/>
        <v>0</v>
      </c>
      <c r="AM91" s="5" t="str">
        <f>IF(AND(器件参数!B91,ISNUMBER(器件参数!X91),OR(AND(ISNUMBER(J91),J91&gt;器件参数!X91),IF(AND(ToneEnabled,ISNUMBER(TonePin),ISNUMBER(D91)),TonePin+10*LOG10(2)+D91&gt;器件参数!X91,FALSE))),"超过绝对最大输入额定值","")</f>
        <v/>
      </c>
      <c r="AN91" s="5">
        <f>IF(NOT(ISNUMBER(AN90)),"",IF(OR(NOT(器件参数!B91),器件参数!E91&lt;&gt;"mixer"),AN90,IF(AND(ISNUMBER(器件参数!T91),器件参数!T91&gt;0),IF(器件参数!U91="sum",AN90+器件参数!T91,ABS(AN90-器件参数!T91)),"")))</f>
        <v>99950000</v>
      </c>
      <c r="AO91" s="5">
        <f>IF(NOT(ISNUMBER(AO90)),"",IF(OR(NOT(器件参数!B91),器件参数!E91&lt;&gt;"mixer"),AO90,IF(AND(ISNUMBER(器件参数!T91),器件参数!T91&gt;0),IF(器件参数!U91="sum",AO90+器件参数!T91,ABS(AO90-器件参数!T91)),"")))</f>
        <v>100050000</v>
      </c>
      <c r="AP91" s="5">
        <f>IF(NOT(ISNUMBER(AP90)),"",IF(OR(NOT(器件参数!B91),器件参数!E91&lt;&gt;"mixer"),AP90,IF(AND(ISNUMBER(器件参数!T91),器件参数!T91&gt;0),IF(器件参数!U91="sum",AP90+器件参数!T91,ABS(AP90-器件参数!T91)),"")))</f>
        <v>99850000</v>
      </c>
      <c r="AQ91" s="5">
        <f>IF(NOT(ISNUMBER(AQ90)),"",IF(OR(NOT(器件参数!B91),器件参数!E91&lt;&gt;"mixer"),AQ90,IF(AND(ISNUMBER(器件参数!T91),器件参数!T91&gt;0),IF(器件参数!U91="sum",AQ90+器件参数!T91,ABS(AQ90-器件参数!T91)),"")))</f>
        <v>100150000</v>
      </c>
      <c r="AR91" s="5" t="b">
        <f>IF(NOT(AR90),FALSE,IF(NOT(器件参数!B91),TRUE,AND(COUNT(AN91:AQ91)=4,MIN(AN91:AQ91)&gt;0,IF(AND(ISNUMBER(器件参数!R91),ISNUMBER(器件参数!S91)),AND(MIN(AN90:AQ90)&gt;=器件参数!R91,MAX(AN90:AQ90)&lt;=器件参数!S91),TRUE),IF(AND(器件参数!E91="mixer",器件参数!U91="difference"),OR(器件参数!T91&lt;MIN(AN90:AQ90),器件参数!T91&gt;MAX(AN90:AQ90)),TRUE))))</f>
        <v>1</v>
      </c>
    </row>
    <row r="92" hidden="1" spans="1:44">
      <c r="A92" s="5">
        <f>器件参数!A92</f>
        <v>89</v>
      </c>
      <c r="B92" s="5" t="str">
        <f>器件参数!D92</f>
        <v/>
      </c>
      <c r="C92" s="5">
        <f>IF(NOT(器件参数!B92),0,IF(AND(ISNUMBER(器件参数!F92),ABS(器件参数!F92)&lt;=300),器件参数!F92,""))</f>
        <v>0</v>
      </c>
      <c r="D92" s="5">
        <f t="shared" si="19"/>
        <v>20</v>
      </c>
      <c r="E92" s="5">
        <f t="shared" si="20"/>
        <v>20</v>
      </c>
      <c r="F92" s="5">
        <f t="shared" si="21"/>
        <v>100</v>
      </c>
      <c r="G92" s="5">
        <f>IFERROR(IF(NOT(器件参数!B92),1,IF(NOT(OR(器件参数!E92&lt;&gt;"mixer",AND(OR(器件参数!V92="SSB",器件参数!V92="DSB"),器件参数!W92=TRUE))),"",IF(器件参数!G92="ideal",1,IF(AND(器件参数!G92="manual",ISNUMBER(器件参数!H92),器件参数!H92&gt;=0),10^(器件参数!H92/10),IF(AND(器件参数!G92="passive_thermal",OR(器件参数!E92="filter_bpf",器件参数!E92="filter_lpf",器件参数!E92="filter_hpf",器件参数!E92="filter_bsf",器件参数!E92="attenuator",器件参数!E92="cable",器件参数!E92="connector",器件参数!E92="switch",器件参数!E92="isolator",器件参数!E92="coupler",器件参数!E92="splitter"),AND(ISNUMBER(器件参数!F92),ABS(器件参数!F92)&lt;=300),器件参数!F92&lt;=0,ISNUMBER(器件参数!I92),器件参数!I92&gt;0),1+(10^(-器件参数!F92/10)-1)*器件参数!I92/Tref_K,""))))),"数值域错误")</f>
        <v>1</v>
      </c>
      <c r="H92" s="5">
        <f t="shared" si="22"/>
        <v>2.29336948552238</v>
      </c>
      <c r="I92" s="5">
        <f t="shared" si="23"/>
        <v>3.604740296957</v>
      </c>
      <c r="J92" s="5">
        <f>IF(AND(ISNUMBER(Pin_dBm),ISNUMBER(D92)),Pin_dBm+D92,"")</f>
        <v>-10</v>
      </c>
      <c r="K92" s="5">
        <f>IF(AND(ISNUMBER(Pin_dBm),ISNUMBER(E92)),Pin_dBm+E92,"")</f>
        <v>-10</v>
      </c>
      <c r="L92" s="5" t="str">
        <f>IF(AND(器件参数!J92="finite",ISNUMBER(器件参数!L92),ISNUMBER(C92)),IF(器件参数!K92="input",器件参数!L92,IF(器件参数!K92="output",器件参数!L92-C92,"")),"")</f>
        <v/>
      </c>
      <c r="M92" s="5">
        <f>IFERROR(IF(NOT(ISNUMBER(M91)),"",IF(OR(NOT(器件参数!B92),器件参数!J92="ideal"),M91,IF(AND(ISNUMBER(L92),ISNUMBER(F92)),M91+F92/10^(L92/10),""))),"数值域错误")</f>
        <v>0.2</v>
      </c>
      <c r="N92" s="5">
        <f t="shared" si="24"/>
        <v>6.98970004336019</v>
      </c>
      <c r="O92" s="5">
        <f t="shared" si="25"/>
        <v>26.9897000433602</v>
      </c>
      <c r="P92" s="5" t="str">
        <f>IF(AND(器件参数!M92="finite",ISNUMBER(器件参数!O92),ISNUMBER(C92)),IF(器件参数!N92="input",器件参数!O92,IF(器件参数!N92="actual_output",器件参数!O92-C92+1,IF(器件参数!N92="linear_output",器件参数!O92-C92,""))),"")</f>
        <v/>
      </c>
      <c r="Q92" s="5">
        <f>IF(器件参数!P92="",IF(AND(ISNUMBER(DefaultP),DefaultP&gt;=1,DefaultP&lt;=10),DefaultP,""),IF(AND(ISNUMBER(器件参数!P92),器件参数!P92&gt;=1,器件参数!P92&lt;=10),器件参数!P92,""))</f>
        <v>2</v>
      </c>
      <c r="R92" s="5">
        <f t="shared" si="26"/>
        <v>-10.0000139708288</v>
      </c>
      <c r="S92" s="5" t="str">
        <f t="shared" si="27"/>
        <v/>
      </c>
      <c r="T92" s="5">
        <f t="shared" si="28"/>
        <v>0</v>
      </c>
      <c r="U92" s="5">
        <f t="shared" si="29"/>
        <v>-10.0000139708288</v>
      </c>
      <c r="V92" s="5">
        <f>IF(AND(ISNUMBER(Pin_dBm),ISNUMBER(E92),ISNUMBER(U92)),Pin_dBm+E92-U92,"")</f>
        <v>1.39708287854035e-5</v>
      </c>
      <c r="W92" s="5" t="str">
        <f>IF(AND(器件参数!B92,X92=1,ISNUMBER(D92)),P92-D92,"")</f>
        <v/>
      </c>
      <c r="X92" s="5">
        <f>IF(NOT(ISNUMBER(C92)),-1,IF(OR(NOT(器件参数!B92),器件参数!M92="ideal"),0,IF(AND(ISNUMBER(P92),ISNUMBER(Q92)),1,-1)))</f>
        <v>0</v>
      </c>
      <c r="Y92" s="5" t="str">
        <f t="shared" si="30"/>
        <v>有效</v>
      </c>
      <c r="Z92" s="5" t="str">
        <f t="shared" si="31"/>
        <v>有效</v>
      </c>
      <c r="AA92" s="5" t="str">
        <f t="shared" si="32"/>
        <v>模型估算</v>
      </c>
      <c r="AB92" s="5">
        <f t="shared" si="33"/>
        <v>100000000</v>
      </c>
      <c r="AC92" s="5">
        <f>IF(NOT(ISNUMBER(AB92)),"",IF(OR(NOT(器件参数!B92),器件参数!E92&lt;&gt;"mixer"),AB92,IF(AND(ISNUMBER(器件参数!T92),器件参数!T92&gt;0),IF(器件参数!U92="sum",AB92+器件参数!T92,IF(器件参数!U92="difference",ABS(AB92-器件参数!T92),"")),"")))</f>
        <v>100000000</v>
      </c>
      <c r="AD92" s="5">
        <f t="shared" si="34"/>
        <v>0</v>
      </c>
      <c r="AE92" s="5">
        <f>IF(AND(ISNUMBER(G92),ISNUMBER(F92)),Tref_K*(G92-1)/F92,"")</f>
        <v>0</v>
      </c>
      <c r="AF92" s="5">
        <f>IF(AND(ISNUMBER(H92),ISNUMBER(E92),NoiseConfigOK),10*LOG10(Boltzmann*Bnoise_Hz*(Tsource_K+Tref_K*(H92-1)))+30+E92,"")</f>
        <v>-90.3704468972711</v>
      </c>
      <c r="AG92" s="5">
        <f t="shared" si="35"/>
        <v>80.3704468972711</v>
      </c>
      <c r="AH92" s="5">
        <f>IF(AND(ToneEnabled,ISNUMBER(E92),ISNUMBER(TonePin)),TonePin+E92,"")</f>
        <v>-10</v>
      </c>
      <c r="AI92" s="5">
        <f>IF(AND(ToneEnabled,ISNUMBER(E92),ISNUMBER(N92),ISNUMBER(TonePin)),3*TonePin+E92-2*N92,"")</f>
        <v>-83.9794000867204</v>
      </c>
      <c r="AJ92" s="5" t="str">
        <f t="shared" si="36"/>
        <v/>
      </c>
      <c r="AK92" s="5" t="str">
        <f>IF(NOT(器件参数!B92),"旁路",IF(NOT(ISNUMBER(AC92)),"频率未知",IF(AC92&lt;=SignalBW/2,"跨零频",IF(AND(ISNUMBER(器件参数!R92),ISNUMBER(器件参数!S92)),IF(AND(AB92-SignalBW/2&gt;=器件参数!R92,AB92+SignalBW/2&lt;=器件参数!S92),"有效","超声明通带"),"未声明通带"))))</f>
        <v>旁路</v>
      </c>
      <c r="AL92" s="5">
        <f t="shared" si="37"/>
        <v>0</v>
      </c>
      <c r="AM92" s="5" t="str">
        <f>IF(AND(器件参数!B92,ISNUMBER(器件参数!X92),OR(AND(ISNUMBER(J92),J92&gt;器件参数!X92),IF(AND(ToneEnabled,ISNUMBER(TonePin),ISNUMBER(D92)),TonePin+10*LOG10(2)+D92&gt;器件参数!X92,FALSE))),"超过绝对最大输入额定值","")</f>
        <v/>
      </c>
      <c r="AN92" s="5">
        <f>IF(NOT(ISNUMBER(AN91)),"",IF(OR(NOT(器件参数!B92),器件参数!E92&lt;&gt;"mixer"),AN91,IF(AND(ISNUMBER(器件参数!T92),器件参数!T92&gt;0),IF(器件参数!U92="sum",AN91+器件参数!T92,ABS(AN91-器件参数!T92)),"")))</f>
        <v>99950000</v>
      </c>
      <c r="AO92" s="5">
        <f>IF(NOT(ISNUMBER(AO91)),"",IF(OR(NOT(器件参数!B92),器件参数!E92&lt;&gt;"mixer"),AO91,IF(AND(ISNUMBER(器件参数!T92),器件参数!T92&gt;0),IF(器件参数!U92="sum",AO91+器件参数!T92,ABS(AO91-器件参数!T92)),"")))</f>
        <v>100050000</v>
      </c>
      <c r="AP92" s="5">
        <f>IF(NOT(ISNUMBER(AP91)),"",IF(OR(NOT(器件参数!B92),器件参数!E92&lt;&gt;"mixer"),AP91,IF(AND(ISNUMBER(器件参数!T92),器件参数!T92&gt;0),IF(器件参数!U92="sum",AP91+器件参数!T92,ABS(AP91-器件参数!T92)),"")))</f>
        <v>99850000</v>
      </c>
      <c r="AQ92" s="5">
        <f>IF(NOT(ISNUMBER(AQ91)),"",IF(OR(NOT(器件参数!B92),器件参数!E92&lt;&gt;"mixer"),AQ91,IF(AND(ISNUMBER(器件参数!T92),器件参数!T92&gt;0),IF(器件参数!U92="sum",AQ91+器件参数!T92,ABS(AQ91-器件参数!T92)),"")))</f>
        <v>100150000</v>
      </c>
      <c r="AR92" s="5" t="b">
        <f>IF(NOT(AR91),FALSE,IF(NOT(器件参数!B92),TRUE,AND(COUNT(AN92:AQ92)=4,MIN(AN92:AQ92)&gt;0,IF(AND(ISNUMBER(器件参数!R92),ISNUMBER(器件参数!S92)),AND(MIN(AN91:AQ91)&gt;=器件参数!R92,MAX(AN91:AQ91)&lt;=器件参数!S92),TRUE),IF(AND(器件参数!E92="mixer",器件参数!U92="difference"),OR(器件参数!T92&lt;MIN(AN91:AQ91),器件参数!T92&gt;MAX(AN91:AQ91)),TRUE))))</f>
        <v>1</v>
      </c>
    </row>
    <row r="93" hidden="1" spans="1:44">
      <c r="A93" s="5">
        <f>器件参数!A93</f>
        <v>90</v>
      </c>
      <c r="B93" s="5" t="str">
        <f>器件参数!D93</f>
        <v/>
      </c>
      <c r="C93" s="5">
        <f>IF(NOT(器件参数!B93),0,IF(AND(ISNUMBER(器件参数!F93),ABS(器件参数!F93)&lt;=300),器件参数!F93,""))</f>
        <v>0</v>
      </c>
      <c r="D93" s="5">
        <f t="shared" si="19"/>
        <v>20</v>
      </c>
      <c r="E93" s="5">
        <f t="shared" si="20"/>
        <v>20</v>
      </c>
      <c r="F93" s="5">
        <f t="shared" si="21"/>
        <v>100</v>
      </c>
      <c r="G93" s="5">
        <f>IFERROR(IF(NOT(器件参数!B93),1,IF(NOT(OR(器件参数!E93&lt;&gt;"mixer",AND(OR(器件参数!V93="SSB",器件参数!V93="DSB"),器件参数!W93=TRUE))),"",IF(器件参数!G93="ideal",1,IF(AND(器件参数!G93="manual",ISNUMBER(器件参数!H93),器件参数!H93&gt;=0),10^(器件参数!H93/10),IF(AND(器件参数!G93="passive_thermal",OR(器件参数!E93="filter_bpf",器件参数!E93="filter_lpf",器件参数!E93="filter_hpf",器件参数!E93="filter_bsf",器件参数!E93="attenuator",器件参数!E93="cable",器件参数!E93="connector",器件参数!E93="switch",器件参数!E93="isolator",器件参数!E93="coupler",器件参数!E93="splitter"),AND(ISNUMBER(器件参数!F93),ABS(器件参数!F93)&lt;=300),器件参数!F93&lt;=0,ISNUMBER(器件参数!I93),器件参数!I93&gt;0),1+(10^(-器件参数!F93/10)-1)*器件参数!I93/Tref_K,""))))),"数值域错误")</f>
        <v>1</v>
      </c>
      <c r="H93" s="5">
        <f t="shared" si="22"/>
        <v>2.29336948552238</v>
      </c>
      <c r="I93" s="5">
        <f t="shared" si="23"/>
        <v>3.604740296957</v>
      </c>
      <c r="J93" s="5">
        <f>IF(AND(ISNUMBER(Pin_dBm),ISNUMBER(D93)),Pin_dBm+D93,"")</f>
        <v>-10</v>
      </c>
      <c r="K93" s="5">
        <f>IF(AND(ISNUMBER(Pin_dBm),ISNUMBER(E93)),Pin_dBm+E93,"")</f>
        <v>-10</v>
      </c>
      <c r="L93" s="5" t="str">
        <f>IF(AND(器件参数!J93="finite",ISNUMBER(器件参数!L93),ISNUMBER(C93)),IF(器件参数!K93="input",器件参数!L93,IF(器件参数!K93="output",器件参数!L93-C93,"")),"")</f>
        <v/>
      </c>
      <c r="M93" s="5">
        <f>IFERROR(IF(NOT(ISNUMBER(M92)),"",IF(OR(NOT(器件参数!B93),器件参数!J93="ideal"),M92,IF(AND(ISNUMBER(L93),ISNUMBER(F93)),M92+F93/10^(L93/10),""))),"数值域错误")</f>
        <v>0.2</v>
      </c>
      <c r="N93" s="5">
        <f t="shared" si="24"/>
        <v>6.98970004336019</v>
      </c>
      <c r="O93" s="5">
        <f t="shared" si="25"/>
        <v>26.9897000433602</v>
      </c>
      <c r="P93" s="5" t="str">
        <f>IF(AND(器件参数!M93="finite",ISNUMBER(器件参数!O93),ISNUMBER(C93)),IF(器件参数!N93="input",器件参数!O93,IF(器件参数!N93="actual_output",器件参数!O93-C93+1,IF(器件参数!N93="linear_output",器件参数!O93-C93,""))),"")</f>
        <v/>
      </c>
      <c r="Q93" s="5">
        <f>IF(器件参数!P93="",IF(AND(ISNUMBER(DefaultP),DefaultP&gt;=1,DefaultP&lt;=10),DefaultP,""),IF(AND(ISNUMBER(器件参数!P93),器件参数!P93&gt;=1,器件参数!P93&lt;=10),器件参数!P93,""))</f>
        <v>2</v>
      </c>
      <c r="R93" s="5">
        <f t="shared" si="26"/>
        <v>-10.0000139708288</v>
      </c>
      <c r="S93" s="5" t="str">
        <f t="shared" si="27"/>
        <v/>
      </c>
      <c r="T93" s="5">
        <f t="shared" si="28"/>
        <v>0</v>
      </c>
      <c r="U93" s="5">
        <f t="shared" si="29"/>
        <v>-10.0000139708288</v>
      </c>
      <c r="V93" s="5">
        <f>IF(AND(ISNUMBER(Pin_dBm),ISNUMBER(E93),ISNUMBER(U93)),Pin_dBm+E93-U93,"")</f>
        <v>1.39708287854035e-5</v>
      </c>
      <c r="W93" s="5" t="str">
        <f>IF(AND(器件参数!B93,X93=1,ISNUMBER(D93)),P93-D93,"")</f>
        <v/>
      </c>
      <c r="X93" s="5">
        <f>IF(NOT(ISNUMBER(C93)),-1,IF(OR(NOT(器件参数!B93),器件参数!M93="ideal"),0,IF(AND(ISNUMBER(P93),ISNUMBER(Q93)),1,-1)))</f>
        <v>0</v>
      </c>
      <c r="Y93" s="5" t="str">
        <f t="shared" si="30"/>
        <v>有效</v>
      </c>
      <c r="Z93" s="5" t="str">
        <f t="shared" si="31"/>
        <v>有效</v>
      </c>
      <c r="AA93" s="5" t="str">
        <f t="shared" si="32"/>
        <v>模型估算</v>
      </c>
      <c r="AB93" s="5">
        <f t="shared" si="33"/>
        <v>100000000</v>
      </c>
      <c r="AC93" s="5">
        <f>IF(NOT(ISNUMBER(AB93)),"",IF(OR(NOT(器件参数!B93),器件参数!E93&lt;&gt;"mixer"),AB93,IF(AND(ISNUMBER(器件参数!T93),器件参数!T93&gt;0),IF(器件参数!U93="sum",AB93+器件参数!T93,IF(器件参数!U93="difference",ABS(AB93-器件参数!T93),"")),"")))</f>
        <v>100000000</v>
      </c>
      <c r="AD93" s="5">
        <f t="shared" si="34"/>
        <v>0</v>
      </c>
      <c r="AE93" s="5">
        <f>IF(AND(ISNUMBER(G93),ISNUMBER(F93)),Tref_K*(G93-1)/F93,"")</f>
        <v>0</v>
      </c>
      <c r="AF93" s="5">
        <f>IF(AND(ISNUMBER(H93),ISNUMBER(E93),NoiseConfigOK),10*LOG10(Boltzmann*Bnoise_Hz*(Tsource_K+Tref_K*(H93-1)))+30+E93,"")</f>
        <v>-90.3704468972711</v>
      </c>
      <c r="AG93" s="5">
        <f t="shared" si="35"/>
        <v>80.3704468972711</v>
      </c>
      <c r="AH93" s="5">
        <f>IF(AND(ToneEnabled,ISNUMBER(E93),ISNUMBER(TonePin)),TonePin+E93,"")</f>
        <v>-10</v>
      </c>
      <c r="AI93" s="5">
        <f>IF(AND(ToneEnabled,ISNUMBER(E93),ISNUMBER(N93),ISNUMBER(TonePin)),3*TonePin+E93-2*N93,"")</f>
        <v>-83.9794000867204</v>
      </c>
      <c r="AJ93" s="5" t="str">
        <f t="shared" si="36"/>
        <v/>
      </c>
      <c r="AK93" s="5" t="str">
        <f>IF(NOT(器件参数!B93),"旁路",IF(NOT(ISNUMBER(AC93)),"频率未知",IF(AC93&lt;=SignalBW/2,"跨零频",IF(AND(ISNUMBER(器件参数!R93),ISNUMBER(器件参数!S93)),IF(AND(AB93-SignalBW/2&gt;=器件参数!R93,AB93+SignalBW/2&lt;=器件参数!S93),"有效","超声明通带"),"未声明通带"))))</f>
        <v>旁路</v>
      </c>
      <c r="AL93" s="5">
        <f t="shared" si="37"/>
        <v>0</v>
      </c>
      <c r="AM93" s="5" t="str">
        <f>IF(AND(器件参数!B93,ISNUMBER(器件参数!X93),OR(AND(ISNUMBER(J93),J93&gt;器件参数!X93),IF(AND(ToneEnabled,ISNUMBER(TonePin),ISNUMBER(D93)),TonePin+10*LOG10(2)+D93&gt;器件参数!X93,FALSE))),"超过绝对最大输入额定值","")</f>
        <v/>
      </c>
      <c r="AN93" s="5">
        <f>IF(NOT(ISNUMBER(AN92)),"",IF(OR(NOT(器件参数!B93),器件参数!E93&lt;&gt;"mixer"),AN92,IF(AND(ISNUMBER(器件参数!T93),器件参数!T93&gt;0),IF(器件参数!U93="sum",AN92+器件参数!T93,ABS(AN92-器件参数!T93)),"")))</f>
        <v>99950000</v>
      </c>
      <c r="AO93" s="5">
        <f>IF(NOT(ISNUMBER(AO92)),"",IF(OR(NOT(器件参数!B93),器件参数!E93&lt;&gt;"mixer"),AO92,IF(AND(ISNUMBER(器件参数!T93),器件参数!T93&gt;0),IF(器件参数!U93="sum",AO92+器件参数!T93,ABS(AO92-器件参数!T93)),"")))</f>
        <v>100050000</v>
      </c>
      <c r="AP93" s="5">
        <f>IF(NOT(ISNUMBER(AP92)),"",IF(OR(NOT(器件参数!B93),器件参数!E93&lt;&gt;"mixer"),AP92,IF(AND(ISNUMBER(器件参数!T93),器件参数!T93&gt;0),IF(器件参数!U93="sum",AP92+器件参数!T93,ABS(AP92-器件参数!T93)),"")))</f>
        <v>99850000</v>
      </c>
      <c r="AQ93" s="5">
        <f>IF(NOT(ISNUMBER(AQ92)),"",IF(OR(NOT(器件参数!B93),器件参数!E93&lt;&gt;"mixer"),AQ92,IF(AND(ISNUMBER(器件参数!T93),器件参数!T93&gt;0),IF(器件参数!U93="sum",AQ92+器件参数!T93,ABS(AQ92-器件参数!T93)),"")))</f>
        <v>100150000</v>
      </c>
      <c r="AR93" s="5" t="b">
        <f>IF(NOT(AR92),FALSE,IF(NOT(器件参数!B93),TRUE,AND(COUNT(AN93:AQ93)=4,MIN(AN93:AQ93)&gt;0,IF(AND(ISNUMBER(器件参数!R93),ISNUMBER(器件参数!S93)),AND(MIN(AN92:AQ92)&gt;=器件参数!R93,MAX(AN92:AQ92)&lt;=器件参数!S93),TRUE),IF(AND(器件参数!E93="mixer",器件参数!U93="difference"),OR(器件参数!T93&lt;MIN(AN92:AQ92),器件参数!T93&gt;MAX(AN92:AQ92)),TRUE))))</f>
        <v>1</v>
      </c>
    </row>
    <row r="94" hidden="1" spans="1:44">
      <c r="A94" s="5">
        <f>器件参数!A94</f>
        <v>91</v>
      </c>
      <c r="B94" s="5" t="str">
        <f>器件参数!D94</f>
        <v/>
      </c>
      <c r="C94" s="5">
        <f>IF(NOT(器件参数!B94),0,IF(AND(ISNUMBER(器件参数!F94),ABS(器件参数!F94)&lt;=300),器件参数!F94,""))</f>
        <v>0</v>
      </c>
      <c r="D94" s="5">
        <f t="shared" si="19"/>
        <v>20</v>
      </c>
      <c r="E94" s="5">
        <f t="shared" si="20"/>
        <v>20</v>
      </c>
      <c r="F94" s="5">
        <f t="shared" si="21"/>
        <v>100</v>
      </c>
      <c r="G94" s="5">
        <f>IFERROR(IF(NOT(器件参数!B94),1,IF(NOT(OR(器件参数!E94&lt;&gt;"mixer",AND(OR(器件参数!V94="SSB",器件参数!V94="DSB"),器件参数!W94=TRUE))),"",IF(器件参数!G94="ideal",1,IF(AND(器件参数!G94="manual",ISNUMBER(器件参数!H94),器件参数!H94&gt;=0),10^(器件参数!H94/10),IF(AND(器件参数!G94="passive_thermal",OR(器件参数!E94="filter_bpf",器件参数!E94="filter_lpf",器件参数!E94="filter_hpf",器件参数!E94="filter_bsf",器件参数!E94="attenuator",器件参数!E94="cable",器件参数!E94="connector",器件参数!E94="switch",器件参数!E94="isolator",器件参数!E94="coupler",器件参数!E94="splitter"),AND(ISNUMBER(器件参数!F94),ABS(器件参数!F94)&lt;=300),器件参数!F94&lt;=0,ISNUMBER(器件参数!I94),器件参数!I94&gt;0),1+(10^(-器件参数!F94/10)-1)*器件参数!I94/Tref_K,""))))),"数值域错误")</f>
        <v>1</v>
      </c>
      <c r="H94" s="5">
        <f t="shared" si="22"/>
        <v>2.29336948552238</v>
      </c>
      <c r="I94" s="5">
        <f t="shared" si="23"/>
        <v>3.604740296957</v>
      </c>
      <c r="J94" s="5">
        <f>IF(AND(ISNUMBER(Pin_dBm),ISNUMBER(D94)),Pin_dBm+D94,"")</f>
        <v>-10</v>
      </c>
      <c r="K94" s="5">
        <f>IF(AND(ISNUMBER(Pin_dBm),ISNUMBER(E94)),Pin_dBm+E94,"")</f>
        <v>-10</v>
      </c>
      <c r="L94" s="5" t="str">
        <f>IF(AND(器件参数!J94="finite",ISNUMBER(器件参数!L94),ISNUMBER(C94)),IF(器件参数!K94="input",器件参数!L94,IF(器件参数!K94="output",器件参数!L94-C94,"")),"")</f>
        <v/>
      </c>
      <c r="M94" s="5">
        <f>IFERROR(IF(NOT(ISNUMBER(M93)),"",IF(OR(NOT(器件参数!B94),器件参数!J94="ideal"),M93,IF(AND(ISNUMBER(L94),ISNUMBER(F94)),M93+F94/10^(L94/10),""))),"数值域错误")</f>
        <v>0.2</v>
      </c>
      <c r="N94" s="5">
        <f t="shared" si="24"/>
        <v>6.98970004336019</v>
      </c>
      <c r="O94" s="5">
        <f t="shared" si="25"/>
        <v>26.9897000433602</v>
      </c>
      <c r="P94" s="5" t="str">
        <f>IF(AND(器件参数!M94="finite",ISNUMBER(器件参数!O94),ISNUMBER(C94)),IF(器件参数!N94="input",器件参数!O94,IF(器件参数!N94="actual_output",器件参数!O94-C94+1,IF(器件参数!N94="linear_output",器件参数!O94-C94,""))),"")</f>
        <v/>
      </c>
      <c r="Q94" s="5">
        <f>IF(器件参数!P94="",IF(AND(ISNUMBER(DefaultP),DefaultP&gt;=1,DefaultP&lt;=10),DefaultP,""),IF(AND(ISNUMBER(器件参数!P94),器件参数!P94&gt;=1,器件参数!P94&lt;=10),器件参数!P94,""))</f>
        <v>2</v>
      </c>
      <c r="R94" s="5">
        <f t="shared" si="26"/>
        <v>-10.0000139708288</v>
      </c>
      <c r="S94" s="5" t="str">
        <f t="shared" si="27"/>
        <v/>
      </c>
      <c r="T94" s="5">
        <f t="shared" si="28"/>
        <v>0</v>
      </c>
      <c r="U94" s="5">
        <f t="shared" si="29"/>
        <v>-10.0000139708288</v>
      </c>
      <c r="V94" s="5">
        <f>IF(AND(ISNUMBER(Pin_dBm),ISNUMBER(E94),ISNUMBER(U94)),Pin_dBm+E94-U94,"")</f>
        <v>1.39708287854035e-5</v>
      </c>
      <c r="W94" s="5" t="str">
        <f>IF(AND(器件参数!B94,X94=1,ISNUMBER(D94)),P94-D94,"")</f>
        <v/>
      </c>
      <c r="X94" s="5">
        <f>IF(NOT(ISNUMBER(C94)),-1,IF(OR(NOT(器件参数!B94),器件参数!M94="ideal"),0,IF(AND(ISNUMBER(P94),ISNUMBER(Q94)),1,-1)))</f>
        <v>0</v>
      </c>
      <c r="Y94" s="5" t="str">
        <f t="shared" si="30"/>
        <v>有效</v>
      </c>
      <c r="Z94" s="5" t="str">
        <f t="shared" si="31"/>
        <v>有效</v>
      </c>
      <c r="AA94" s="5" t="str">
        <f t="shared" si="32"/>
        <v>模型估算</v>
      </c>
      <c r="AB94" s="5">
        <f t="shared" si="33"/>
        <v>100000000</v>
      </c>
      <c r="AC94" s="5">
        <f>IF(NOT(ISNUMBER(AB94)),"",IF(OR(NOT(器件参数!B94),器件参数!E94&lt;&gt;"mixer"),AB94,IF(AND(ISNUMBER(器件参数!T94),器件参数!T94&gt;0),IF(器件参数!U94="sum",AB94+器件参数!T94,IF(器件参数!U94="difference",ABS(AB94-器件参数!T94),"")),"")))</f>
        <v>100000000</v>
      </c>
      <c r="AD94" s="5">
        <f t="shared" si="34"/>
        <v>0</v>
      </c>
      <c r="AE94" s="5">
        <f>IF(AND(ISNUMBER(G94),ISNUMBER(F94)),Tref_K*(G94-1)/F94,"")</f>
        <v>0</v>
      </c>
      <c r="AF94" s="5">
        <f>IF(AND(ISNUMBER(H94),ISNUMBER(E94),NoiseConfigOK),10*LOG10(Boltzmann*Bnoise_Hz*(Tsource_K+Tref_K*(H94-1)))+30+E94,"")</f>
        <v>-90.3704468972711</v>
      </c>
      <c r="AG94" s="5">
        <f t="shared" si="35"/>
        <v>80.3704468972711</v>
      </c>
      <c r="AH94" s="5">
        <f>IF(AND(ToneEnabled,ISNUMBER(E94),ISNUMBER(TonePin)),TonePin+E94,"")</f>
        <v>-10</v>
      </c>
      <c r="AI94" s="5">
        <f>IF(AND(ToneEnabled,ISNUMBER(E94),ISNUMBER(N94),ISNUMBER(TonePin)),3*TonePin+E94-2*N94,"")</f>
        <v>-83.9794000867204</v>
      </c>
      <c r="AJ94" s="5" t="str">
        <f t="shared" si="36"/>
        <v/>
      </c>
      <c r="AK94" s="5" t="str">
        <f>IF(NOT(器件参数!B94),"旁路",IF(NOT(ISNUMBER(AC94)),"频率未知",IF(AC94&lt;=SignalBW/2,"跨零频",IF(AND(ISNUMBER(器件参数!R94),ISNUMBER(器件参数!S94)),IF(AND(AB94-SignalBW/2&gt;=器件参数!R94,AB94+SignalBW/2&lt;=器件参数!S94),"有效","超声明通带"),"未声明通带"))))</f>
        <v>旁路</v>
      </c>
      <c r="AL94" s="5">
        <f t="shared" si="37"/>
        <v>0</v>
      </c>
      <c r="AM94" s="5" t="str">
        <f>IF(AND(器件参数!B94,ISNUMBER(器件参数!X94),OR(AND(ISNUMBER(J94),J94&gt;器件参数!X94),IF(AND(ToneEnabled,ISNUMBER(TonePin),ISNUMBER(D94)),TonePin+10*LOG10(2)+D94&gt;器件参数!X94,FALSE))),"超过绝对最大输入额定值","")</f>
        <v/>
      </c>
      <c r="AN94" s="5">
        <f>IF(NOT(ISNUMBER(AN93)),"",IF(OR(NOT(器件参数!B94),器件参数!E94&lt;&gt;"mixer"),AN93,IF(AND(ISNUMBER(器件参数!T94),器件参数!T94&gt;0),IF(器件参数!U94="sum",AN93+器件参数!T94,ABS(AN93-器件参数!T94)),"")))</f>
        <v>99950000</v>
      </c>
      <c r="AO94" s="5">
        <f>IF(NOT(ISNUMBER(AO93)),"",IF(OR(NOT(器件参数!B94),器件参数!E94&lt;&gt;"mixer"),AO93,IF(AND(ISNUMBER(器件参数!T94),器件参数!T94&gt;0),IF(器件参数!U94="sum",AO93+器件参数!T94,ABS(AO93-器件参数!T94)),"")))</f>
        <v>100050000</v>
      </c>
      <c r="AP94" s="5">
        <f>IF(NOT(ISNUMBER(AP93)),"",IF(OR(NOT(器件参数!B94),器件参数!E94&lt;&gt;"mixer"),AP93,IF(AND(ISNUMBER(器件参数!T94),器件参数!T94&gt;0),IF(器件参数!U94="sum",AP93+器件参数!T94,ABS(AP93-器件参数!T94)),"")))</f>
        <v>99850000</v>
      </c>
      <c r="AQ94" s="5">
        <f>IF(NOT(ISNUMBER(AQ93)),"",IF(OR(NOT(器件参数!B94),器件参数!E94&lt;&gt;"mixer"),AQ93,IF(AND(ISNUMBER(器件参数!T94),器件参数!T94&gt;0),IF(器件参数!U94="sum",AQ93+器件参数!T94,ABS(AQ93-器件参数!T94)),"")))</f>
        <v>100150000</v>
      </c>
      <c r="AR94" s="5" t="b">
        <f>IF(NOT(AR93),FALSE,IF(NOT(器件参数!B94),TRUE,AND(COUNT(AN94:AQ94)=4,MIN(AN94:AQ94)&gt;0,IF(AND(ISNUMBER(器件参数!R94),ISNUMBER(器件参数!S94)),AND(MIN(AN93:AQ93)&gt;=器件参数!R94,MAX(AN93:AQ93)&lt;=器件参数!S94),TRUE),IF(AND(器件参数!E94="mixer",器件参数!U94="difference"),OR(器件参数!T94&lt;MIN(AN93:AQ93),器件参数!T94&gt;MAX(AN93:AQ93)),TRUE))))</f>
        <v>1</v>
      </c>
    </row>
    <row r="95" hidden="1" spans="1:44">
      <c r="A95" s="5">
        <f>器件参数!A95</f>
        <v>92</v>
      </c>
      <c r="B95" s="5" t="str">
        <f>器件参数!D95</f>
        <v/>
      </c>
      <c r="C95" s="5">
        <f>IF(NOT(器件参数!B95),0,IF(AND(ISNUMBER(器件参数!F95),ABS(器件参数!F95)&lt;=300),器件参数!F95,""))</f>
        <v>0</v>
      </c>
      <c r="D95" s="5">
        <f t="shared" si="19"/>
        <v>20</v>
      </c>
      <c r="E95" s="5">
        <f t="shared" si="20"/>
        <v>20</v>
      </c>
      <c r="F95" s="5">
        <f t="shared" si="21"/>
        <v>100</v>
      </c>
      <c r="G95" s="5">
        <f>IFERROR(IF(NOT(器件参数!B95),1,IF(NOT(OR(器件参数!E95&lt;&gt;"mixer",AND(OR(器件参数!V95="SSB",器件参数!V95="DSB"),器件参数!W95=TRUE))),"",IF(器件参数!G95="ideal",1,IF(AND(器件参数!G95="manual",ISNUMBER(器件参数!H95),器件参数!H95&gt;=0),10^(器件参数!H95/10),IF(AND(器件参数!G95="passive_thermal",OR(器件参数!E95="filter_bpf",器件参数!E95="filter_lpf",器件参数!E95="filter_hpf",器件参数!E95="filter_bsf",器件参数!E95="attenuator",器件参数!E95="cable",器件参数!E95="connector",器件参数!E95="switch",器件参数!E95="isolator",器件参数!E95="coupler",器件参数!E95="splitter"),AND(ISNUMBER(器件参数!F95),ABS(器件参数!F95)&lt;=300),器件参数!F95&lt;=0,ISNUMBER(器件参数!I95),器件参数!I95&gt;0),1+(10^(-器件参数!F95/10)-1)*器件参数!I95/Tref_K,""))))),"数值域错误")</f>
        <v>1</v>
      </c>
      <c r="H95" s="5">
        <f t="shared" si="22"/>
        <v>2.29336948552238</v>
      </c>
      <c r="I95" s="5">
        <f t="shared" si="23"/>
        <v>3.604740296957</v>
      </c>
      <c r="J95" s="5">
        <f>IF(AND(ISNUMBER(Pin_dBm),ISNUMBER(D95)),Pin_dBm+D95,"")</f>
        <v>-10</v>
      </c>
      <c r="K95" s="5">
        <f>IF(AND(ISNUMBER(Pin_dBm),ISNUMBER(E95)),Pin_dBm+E95,"")</f>
        <v>-10</v>
      </c>
      <c r="L95" s="5" t="str">
        <f>IF(AND(器件参数!J95="finite",ISNUMBER(器件参数!L95),ISNUMBER(C95)),IF(器件参数!K95="input",器件参数!L95,IF(器件参数!K95="output",器件参数!L95-C95,"")),"")</f>
        <v/>
      </c>
      <c r="M95" s="5">
        <f>IFERROR(IF(NOT(ISNUMBER(M94)),"",IF(OR(NOT(器件参数!B95),器件参数!J95="ideal"),M94,IF(AND(ISNUMBER(L95),ISNUMBER(F95)),M94+F95/10^(L95/10),""))),"数值域错误")</f>
        <v>0.2</v>
      </c>
      <c r="N95" s="5">
        <f t="shared" si="24"/>
        <v>6.98970004336019</v>
      </c>
      <c r="O95" s="5">
        <f t="shared" si="25"/>
        <v>26.9897000433602</v>
      </c>
      <c r="P95" s="5" t="str">
        <f>IF(AND(器件参数!M95="finite",ISNUMBER(器件参数!O95),ISNUMBER(C95)),IF(器件参数!N95="input",器件参数!O95,IF(器件参数!N95="actual_output",器件参数!O95-C95+1,IF(器件参数!N95="linear_output",器件参数!O95-C95,""))),"")</f>
        <v/>
      </c>
      <c r="Q95" s="5">
        <f>IF(器件参数!P95="",IF(AND(ISNUMBER(DefaultP),DefaultP&gt;=1,DefaultP&lt;=10),DefaultP,""),IF(AND(ISNUMBER(器件参数!P95),器件参数!P95&gt;=1,器件参数!P95&lt;=10),器件参数!P95,""))</f>
        <v>2</v>
      </c>
      <c r="R95" s="5">
        <f t="shared" si="26"/>
        <v>-10.0000139708288</v>
      </c>
      <c r="S95" s="5" t="str">
        <f t="shared" si="27"/>
        <v/>
      </c>
      <c r="T95" s="5">
        <f t="shared" si="28"/>
        <v>0</v>
      </c>
      <c r="U95" s="5">
        <f t="shared" si="29"/>
        <v>-10.0000139708288</v>
      </c>
      <c r="V95" s="5">
        <f>IF(AND(ISNUMBER(Pin_dBm),ISNUMBER(E95),ISNUMBER(U95)),Pin_dBm+E95-U95,"")</f>
        <v>1.39708287854035e-5</v>
      </c>
      <c r="W95" s="5" t="str">
        <f>IF(AND(器件参数!B95,X95=1,ISNUMBER(D95)),P95-D95,"")</f>
        <v/>
      </c>
      <c r="X95" s="5">
        <f>IF(NOT(ISNUMBER(C95)),-1,IF(OR(NOT(器件参数!B95),器件参数!M95="ideal"),0,IF(AND(ISNUMBER(P95),ISNUMBER(Q95)),1,-1)))</f>
        <v>0</v>
      </c>
      <c r="Y95" s="5" t="str">
        <f t="shared" si="30"/>
        <v>有效</v>
      </c>
      <c r="Z95" s="5" t="str">
        <f t="shared" si="31"/>
        <v>有效</v>
      </c>
      <c r="AA95" s="5" t="str">
        <f t="shared" si="32"/>
        <v>模型估算</v>
      </c>
      <c r="AB95" s="5">
        <f t="shared" si="33"/>
        <v>100000000</v>
      </c>
      <c r="AC95" s="5">
        <f>IF(NOT(ISNUMBER(AB95)),"",IF(OR(NOT(器件参数!B95),器件参数!E95&lt;&gt;"mixer"),AB95,IF(AND(ISNUMBER(器件参数!T95),器件参数!T95&gt;0),IF(器件参数!U95="sum",AB95+器件参数!T95,IF(器件参数!U95="difference",ABS(AB95-器件参数!T95),"")),"")))</f>
        <v>100000000</v>
      </c>
      <c r="AD95" s="5">
        <f t="shared" si="34"/>
        <v>0</v>
      </c>
      <c r="AE95" s="5">
        <f>IF(AND(ISNUMBER(G95),ISNUMBER(F95)),Tref_K*(G95-1)/F95,"")</f>
        <v>0</v>
      </c>
      <c r="AF95" s="5">
        <f>IF(AND(ISNUMBER(H95),ISNUMBER(E95),NoiseConfigOK),10*LOG10(Boltzmann*Bnoise_Hz*(Tsource_K+Tref_K*(H95-1)))+30+E95,"")</f>
        <v>-90.3704468972711</v>
      </c>
      <c r="AG95" s="5">
        <f t="shared" si="35"/>
        <v>80.3704468972711</v>
      </c>
      <c r="AH95" s="5">
        <f>IF(AND(ToneEnabled,ISNUMBER(E95),ISNUMBER(TonePin)),TonePin+E95,"")</f>
        <v>-10</v>
      </c>
      <c r="AI95" s="5">
        <f>IF(AND(ToneEnabled,ISNUMBER(E95),ISNUMBER(N95),ISNUMBER(TonePin)),3*TonePin+E95-2*N95,"")</f>
        <v>-83.9794000867204</v>
      </c>
      <c r="AJ95" s="5" t="str">
        <f t="shared" si="36"/>
        <v/>
      </c>
      <c r="AK95" s="5" t="str">
        <f>IF(NOT(器件参数!B95),"旁路",IF(NOT(ISNUMBER(AC95)),"频率未知",IF(AC95&lt;=SignalBW/2,"跨零频",IF(AND(ISNUMBER(器件参数!R95),ISNUMBER(器件参数!S95)),IF(AND(AB95-SignalBW/2&gt;=器件参数!R95,AB95+SignalBW/2&lt;=器件参数!S95),"有效","超声明通带"),"未声明通带"))))</f>
        <v>旁路</v>
      </c>
      <c r="AL95" s="5">
        <f t="shared" si="37"/>
        <v>0</v>
      </c>
      <c r="AM95" s="5" t="str">
        <f>IF(AND(器件参数!B95,ISNUMBER(器件参数!X95),OR(AND(ISNUMBER(J95),J95&gt;器件参数!X95),IF(AND(ToneEnabled,ISNUMBER(TonePin),ISNUMBER(D95)),TonePin+10*LOG10(2)+D95&gt;器件参数!X95,FALSE))),"超过绝对最大输入额定值","")</f>
        <v/>
      </c>
      <c r="AN95" s="5">
        <f>IF(NOT(ISNUMBER(AN94)),"",IF(OR(NOT(器件参数!B95),器件参数!E95&lt;&gt;"mixer"),AN94,IF(AND(ISNUMBER(器件参数!T95),器件参数!T95&gt;0),IF(器件参数!U95="sum",AN94+器件参数!T95,ABS(AN94-器件参数!T95)),"")))</f>
        <v>99950000</v>
      </c>
      <c r="AO95" s="5">
        <f>IF(NOT(ISNUMBER(AO94)),"",IF(OR(NOT(器件参数!B95),器件参数!E95&lt;&gt;"mixer"),AO94,IF(AND(ISNUMBER(器件参数!T95),器件参数!T95&gt;0),IF(器件参数!U95="sum",AO94+器件参数!T95,ABS(AO94-器件参数!T95)),"")))</f>
        <v>100050000</v>
      </c>
      <c r="AP95" s="5">
        <f>IF(NOT(ISNUMBER(AP94)),"",IF(OR(NOT(器件参数!B95),器件参数!E95&lt;&gt;"mixer"),AP94,IF(AND(ISNUMBER(器件参数!T95),器件参数!T95&gt;0),IF(器件参数!U95="sum",AP94+器件参数!T95,ABS(AP94-器件参数!T95)),"")))</f>
        <v>99850000</v>
      </c>
      <c r="AQ95" s="5">
        <f>IF(NOT(ISNUMBER(AQ94)),"",IF(OR(NOT(器件参数!B95),器件参数!E95&lt;&gt;"mixer"),AQ94,IF(AND(ISNUMBER(器件参数!T95),器件参数!T95&gt;0),IF(器件参数!U95="sum",AQ94+器件参数!T95,ABS(AQ94-器件参数!T95)),"")))</f>
        <v>100150000</v>
      </c>
      <c r="AR95" s="5" t="b">
        <f>IF(NOT(AR94),FALSE,IF(NOT(器件参数!B95),TRUE,AND(COUNT(AN95:AQ95)=4,MIN(AN95:AQ95)&gt;0,IF(AND(ISNUMBER(器件参数!R95),ISNUMBER(器件参数!S95)),AND(MIN(AN94:AQ94)&gt;=器件参数!R95,MAX(AN94:AQ94)&lt;=器件参数!S95),TRUE),IF(AND(器件参数!E95="mixer",器件参数!U95="difference"),OR(器件参数!T95&lt;MIN(AN94:AQ94),器件参数!T95&gt;MAX(AN94:AQ94)),TRUE))))</f>
        <v>1</v>
      </c>
    </row>
    <row r="96" hidden="1" spans="1:44">
      <c r="A96" s="5">
        <f>器件参数!A96</f>
        <v>93</v>
      </c>
      <c r="B96" s="5" t="str">
        <f>器件参数!D96</f>
        <v/>
      </c>
      <c r="C96" s="5">
        <f>IF(NOT(器件参数!B96),0,IF(AND(ISNUMBER(器件参数!F96),ABS(器件参数!F96)&lt;=300),器件参数!F96,""))</f>
        <v>0</v>
      </c>
      <c r="D96" s="5">
        <f t="shared" si="19"/>
        <v>20</v>
      </c>
      <c r="E96" s="5">
        <f t="shared" si="20"/>
        <v>20</v>
      </c>
      <c r="F96" s="5">
        <f t="shared" si="21"/>
        <v>100</v>
      </c>
      <c r="G96" s="5">
        <f>IFERROR(IF(NOT(器件参数!B96),1,IF(NOT(OR(器件参数!E96&lt;&gt;"mixer",AND(OR(器件参数!V96="SSB",器件参数!V96="DSB"),器件参数!W96=TRUE))),"",IF(器件参数!G96="ideal",1,IF(AND(器件参数!G96="manual",ISNUMBER(器件参数!H96),器件参数!H96&gt;=0),10^(器件参数!H96/10),IF(AND(器件参数!G96="passive_thermal",OR(器件参数!E96="filter_bpf",器件参数!E96="filter_lpf",器件参数!E96="filter_hpf",器件参数!E96="filter_bsf",器件参数!E96="attenuator",器件参数!E96="cable",器件参数!E96="connector",器件参数!E96="switch",器件参数!E96="isolator",器件参数!E96="coupler",器件参数!E96="splitter"),AND(ISNUMBER(器件参数!F96),ABS(器件参数!F96)&lt;=300),器件参数!F96&lt;=0,ISNUMBER(器件参数!I96),器件参数!I96&gt;0),1+(10^(-器件参数!F96/10)-1)*器件参数!I96/Tref_K,""))))),"数值域错误")</f>
        <v>1</v>
      </c>
      <c r="H96" s="5">
        <f t="shared" si="22"/>
        <v>2.29336948552238</v>
      </c>
      <c r="I96" s="5">
        <f t="shared" si="23"/>
        <v>3.604740296957</v>
      </c>
      <c r="J96" s="5">
        <f>IF(AND(ISNUMBER(Pin_dBm),ISNUMBER(D96)),Pin_dBm+D96,"")</f>
        <v>-10</v>
      </c>
      <c r="K96" s="5">
        <f>IF(AND(ISNUMBER(Pin_dBm),ISNUMBER(E96)),Pin_dBm+E96,"")</f>
        <v>-10</v>
      </c>
      <c r="L96" s="5" t="str">
        <f>IF(AND(器件参数!J96="finite",ISNUMBER(器件参数!L96),ISNUMBER(C96)),IF(器件参数!K96="input",器件参数!L96,IF(器件参数!K96="output",器件参数!L96-C96,"")),"")</f>
        <v/>
      </c>
      <c r="M96" s="5">
        <f>IFERROR(IF(NOT(ISNUMBER(M95)),"",IF(OR(NOT(器件参数!B96),器件参数!J96="ideal"),M95,IF(AND(ISNUMBER(L96),ISNUMBER(F96)),M95+F96/10^(L96/10),""))),"数值域错误")</f>
        <v>0.2</v>
      </c>
      <c r="N96" s="5">
        <f t="shared" si="24"/>
        <v>6.98970004336019</v>
      </c>
      <c r="O96" s="5">
        <f t="shared" si="25"/>
        <v>26.9897000433602</v>
      </c>
      <c r="P96" s="5" t="str">
        <f>IF(AND(器件参数!M96="finite",ISNUMBER(器件参数!O96),ISNUMBER(C96)),IF(器件参数!N96="input",器件参数!O96,IF(器件参数!N96="actual_output",器件参数!O96-C96+1,IF(器件参数!N96="linear_output",器件参数!O96-C96,""))),"")</f>
        <v/>
      </c>
      <c r="Q96" s="5">
        <f>IF(器件参数!P96="",IF(AND(ISNUMBER(DefaultP),DefaultP&gt;=1,DefaultP&lt;=10),DefaultP,""),IF(AND(ISNUMBER(器件参数!P96),器件参数!P96&gt;=1,器件参数!P96&lt;=10),器件参数!P96,""))</f>
        <v>2</v>
      </c>
      <c r="R96" s="5">
        <f t="shared" si="26"/>
        <v>-10.0000139708288</v>
      </c>
      <c r="S96" s="5" t="str">
        <f t="shared" si="27"/>
        <v/>
      </c>
      <c r="T96" s="5">
        <f t="shared" si="28"/>
        <v>0</v>
      </c>
      <c r="U96" s="5">
        <f t="shared" si="29"/>
        <v>-10.0000139708288</v>
      </c>
      <c r="V96" s="5">
        <f>IF(AND(ISNUMBER(Pin_dBm),ISNUMBER(E96),ISNUMBER(U96)),Pin_dBm+E96-U96,"")</f>
        <v>1.39708287854035e-5</v>
      </c>
      <c r="W96" s="5" t="str">
        <f>IF(AND(器件参数!B96,X96=1,ISNUMBER(D96)),P96-D96,"")</f>
        <v/>
      </c>
      <c r="X96" s="5">
        <f>IF(NOT(ISNUMBER(C96)),-1,IF(OR(NOT(器件参数!B96),器件参数!M96="ideal"),0,IF(AND(ISNUMBER(P96),ISNUMBER(Q96)),1,-1)))</f>
        <v>0</v>
      </c>
      <c r="Y96" s="5" t="str">
        <f t="shared" si="30"/>
        <v>有效</v>
      </c>
      <c r="Z96" s="5" t="str">
        <f t="shared" si="31"/>
        <v>有效</v>
      </c>
      <c r="AA96" s="5" t="str">
        <f t="shared" si="32"/>
        <v>模型估算</v>
      </c>
      <c r="AB96" s="5">
        <f t="shared" si="33"/>
        <v>100000000</v>
      </c>
      <c r="AC96" s="5">
        <f>IF(NOT(ISNUMBER(AB96)),"",IF(OR(NOT(器件参数!B96),器件参数!E96&lt;&gt;"mixer"),AB96,IF(AND(ISNUMBER(器件参数!T96),器件参数!T96&gt;0),IF(器件参数!U96="sum",AB96+器件参数!T96,IF(器件参数!U96="difference",ABS(AB96-器件参数!T96),"")),"")))</f>
        <v>100000000</v>
      </c>
      <c r="AD96" s="5">
        <f t="shared" si="34"/>
        <v>0</v>
      </c>
      <c r="AE96" s="5">
        <f>IF(AND(ISNUMBER(G96),ISNUMBER(F96)),Tref_K*(G96-1)/F96,"")</f>
        <v>0</v>
      </c>
      <c r="AF96" s="5">
        <f>IF(AND(ISNUMBER(H96),ISNUMBER(E96),NoiseConfigOK),10*LOG10(Boltzmann*Bnoise_Hz*(Tsource_K+Tref_K*(H96-1)))+30+E96,"")</f>
        <v>-90.3704468972711</v>
      </c>
      <c r="AG96" s="5">
        <f t="shared" si="35"/>
        <v>80.3704468972711</v>
      </c>
      <c r="AH96" s="5">
        <f>IF(AND(ToneEnabled,ISNUMBER(E96),ISNUMBER(TonePin)),TonePin+E96,"")</f>
        <v>-10</v>
      </c>
      <c r="AI96" s="5">
        <f>IF(AND(ToneEnabled,ISNUMBER(E96),ISNUMBER(N96),ISNUMBER(TonePin)),3*TonePin+E96-2*N96,"")</f>
        <v>-83.9794000867204</v>
      </c>
      <c r="AJ96" s="5" t="str">
        <f t="shared" si="36"/>
        <v/>
      </c>
      <c r="AK96" s="5" t="str">
        <f>IF(NOT(器件参数!B96),"旁路",IF(NOT(ISNUMBER(AC96)),"频率未知",IF(AC96&lt;=SignalBW/2,"跨零频",IF(AND(ISNUMBER(器件参数!R96),ISNUMBER(器件参数!S96)),IF(AND(AB96-SignalBW/2&gt;=器件参数!R96,AB96+SignalBW/2&lt;=器件参数!S96),"有效","超声明通带"),"未声明通带"))))</f>
        <v>旁路</v>
      </c>
      <c r="AL96" s="5">
        <f t="shared" si="37"/>
        <v>0</v>
      </c>
      <c r="AM96" s="5" t="str">
        <f>IF(AND(器件参数!B96,ISNUMBER(器件参数!X96),OR(AND(ISNUMBER(J96),J96&gt;器件参数!X96),IF(AND(ToneEnabled,ISNUMBER(TonePin),ISNUMBER(D96)),TonePin+10*LOG10(2)+D96&gt;器件参数!X96,FALSE))),"超过绝对最大输入额定值","")</f>
        <v/>
      </c>
      <c r="AN96" s="5">
        <f>IF(NOT(ISNUMBER(AN95)),"",IF(OR(NOT(器件参数!B96),器件参数!E96&lt;&gt;"mixer"),AN95,IF(AND(ISNUMBER(器件参数!T96),器件参数!T96&gt;0),IF(器件参数!U96="sum",AN95+器件参数!T96,ABS(AN95-器件参数!T96)),"")))</f>
        <v>99950000</v>
      </c>
      <c r="AO96" s="5">
        <f>IF(NOT(ISNUMBER(AO95)),"",IF(OR(NOT(器件参数!B96),器件参数!E96&lt;&gt;"mixer"),AO95,IF(AND(ISNUMBER(器件参数!T96),器件参数!T96&gt;0),IF(器件参数!U96="sum",AO95+器件参数!T96,ABS(AO95-器件参数!T96)),"")))</f>
        <v>100050000</v>
      </c>
      <c r="AP96" s="5">
        <f>IF(NOT(ISNUMBER(AP95)),"",IF(OR(NOT(器件参数!B96),器件参数!E96&lt;&gt;"mixer"),AP95,IF(AND(ISNUMBER(器件参数!T96),器件参数!T96&gt;0),IF(器件参数!U96="sum",AP95+器件参数!T96,ABS(AP95-器件参数!T96)),"")))</f>
        <v>99850000</v>
      </c>
      <c r="AQ96" s="5">
        <f>IF(NOT(ISNUMBER(AQ95)),"",IF(OR(NOT(器件参数!B96),器件参数!E96&lt;&gt;"mixer"),AQ95,IF(AND(ISNUMBER(器件参数!T96),器件参数!T96&gt;0),IF(器件参数!U96="sum",AQ95+器件参数!T96,ABS(AQ95-器件参数!T96)),"")))</f>
        <v>100150000</v>
      </c>
      <c r="AR96" s="5" t="b">
        <f>IF(NOT(AR95),FALSE,IF(NOT(器件参数!B96),TRUE,AND(COUNT(AN96:AQ96)=4,MIN(AN96:AQ96)&gt;0,IF(AND(ISNUMBER(器件参数!R96),ISNUMBER(器件参数!S96)),AND(MIN(AN95:AQ95)&gt;=器件参数!R96,MAX(AN95:AQ95)&lt;=器件参数!S96),TRUE),IF(AND(器件参数!E96="mixer",器件参数!U96="difference"),OR(器件参数!T96&lt;MIN(AN95:AQ95),器件参数!T96&gt;MAX(AN95:AQ95)),TRUE))))</f>
        <v>1</v>
      </c>
    </row>
    <row r="97" hidden="1" spans="1:44">
      <c r="A97" s="5">
        <f>器件参数!A97</f>
        <v>94</v>
      </c>
      <c r="B97" s="5" t="str">
        <f>器件参数!D97</f>
        <v/>
      </c>
      <c r="C97" s="5">
        <f>IF(NOT(器件参数!B97),0,IF(AND(ISNUMBER(器件参数!F97),ABS(器件参数!F97)&lt;=300),器件参数!F97,""))</f>
        <v>0</v>
      </c>
      <c r="D97" s="5">
        <f t="shared" si="19"/>
        <v>20</v>
      </c>
      <c r="E97" s="5">
        <f t="shared" si="20"/>
        <v>20</v>
      </c>
      <c r="F97" s="5">
        <f t="shared" si="21"/>
        <v>100</v>
      </c>
      <c r="G97" s="5">
        <f>IFERROR(IF(NOT(器件参数!B97),1,IF(NOT(OR(器件参数!E97&lt;&gt;"mixer",AND(OR(器件参数!V97="SSB",器件参数!V97="DSB"),器件参数!W97=TRUE))),"",IF(器件参数!G97="ideal",1,IF(AND(器件参数!G97="manual",ISNUMBER(器件参数!H97),器件参数!H97&gt;=0),10^(器件参数!H97/10),IF(AND(器件参数!G97="passive_thermal",OR(器件参数!E97="filter_bpf",器件参数!E97="filter_lpf",器件参数!E97="filter_hpf",器件参数!E97="filter_bsf",器件参数!E97="attenuator",器件参数!E97="cable",器件参数!E97="connector",器件参数!E97="switch",器件参数!E97="isolator",器件参数!E97="coupler",器件参数!E97="splitter"),AND(ISNUMBER(器件参数!F97),ABS(器件参数!F97)&lt;=300),器件参数!F97&lt;=0,ISNUMBER(器件参数!I97),器件参数!I97&gt;0),1+(10^(-器件参数!F97/10)-1)*器件参数!I97/Tref_K,""))))),"数值域错误")</f>
        <v>1</v>
      </c>
      <c r="H97" s="5">
        <f t="shared" si="22"/>
        <v>2.29336948552238</v>
      </c>
      <c r="I97" s="5">
        <f t="shared" si="23"/>
        <v>3.604740296957</v>
      </c>
      <c r="J97" s="5">
        <f>IF(AND(ISNUMBER(Pin_dBm),ISNUMBER(D97)),Pin_dBm+D97,"")</f>
        <v>-10</v>
      </c>
      <c r="K97" s="5">
        <f>IF(AND(ISNUMBER(Pin_dBm),ISNUMBER(E97)),Pin_dBm+E97,"")</f>
        <v>-10</v>
      </c>
      <c r="L97" s="5" t="str">
        <f>IF(AND(器件参数!J97="finite",ISNUMBER(器件参数!L97),ISNUMBER(C97)),IF(器件参数!K97="input",器件参数!L97,IF(器件参数!K97="output",器件参数!L97-C97,"")),"")</f>
        <v/>
      </c>
      <c r="M97" s="5">
        <f>IFERROR(IF(NOT(ISNUMBER(M96)),"",IF(OR(NOT(器件参数!B97),器件参数!J97="ideal"),M96,IF(AND(ISNUMBER(L97),ISNUMBER(F97)),M96+F97/10^(L97/10),""))),"数值域错误")</f>
        <v>0.2</v>
      </c>
      <c r="N97" s="5">
        <f t="shared" si="24"/>
        <v>6.98970004336019</v>
      </c>
      <c r="O97" s="5">
        <f t="shared" si="25"/>
        <v>26.9897000433602</v>
      </c>
      <c r="P97" s="5" t="str">
        <f>IF(AND(器件参数!M97="finite",ISNUMBER(器件参数!O97),ISNUMBER(C97)),IF(器件参数!N97="input",器件参数!O97,IF(器件参数!N97="actual_output",器件参数!O97-C97+1,IF(器件参数!N97="linear_output",器件参数!O97-C97,""))),"")</f>
        <v/>
      </c>
      <c r="Q97" s="5">
        <f>IF(器件参数!P97="",IF(AND(ISNUMBER(DefaultP),DefaultP&gt;=1,DefaultP&lt;=10),DefaultP,""),IF(AND(ISNUMBER(器件参数!P97),器件参数!P97&gt;=1,器件参数!P97&lt;=10),器件参数!P97,""))</f>
        <v>2</v>
      </c>
      <c r="R97" s="5">
        <f t="shared" si="26"/>
        <v>-10.0000139708288</v>
      </c>
      <c r="S97" s="5" t="str">
        <f t="shared" si="27"/>
        <v/>
      </c>
      <c r="T97" s="5">
        <f t="shared" si="28"/>
        <v>0</v>
      </c>
      <c r="U97" s="5">
        <f t="shared" si="29"/>
        <v>-10.0000139708288</v>
      </c>
      <c r="V97" s="5">
        <f>IF(AND(ISNUMBER(Pin_dBm),ISNUMBER(E97),ISNUMBER(U97)),Pin_dBm+E97-U97,"")</f>
        <v>1.39708287854035e-5</v>
      </c>
      <c r="W97" s="5" t="str">
        <f>IF(AND(器件参数!B97,X97=1,ISNUMBER(D97)),P97-D97,"")</f>
        <v/>
      </c>
      <c r="X97" s="5">
        <f>IF(NOT(ISNUMBER(C97)),-1,IF(OR(NOT(器件参数!B97),器件参数!M97="ideal"),0,IF(AND(ISNUMBER(P97),ISNUMBER(Q97)),1,-1)))</f>
        <v>0</v>
      </c>
      <c r="Y97" s="5" t="str">
        <f t="shared" si="30"/>
        <v>有效</v>
      </c>
      <c r="Z97" s="5" t="str">
        <f t="shared" si="31"/>
        <v>有效</v>
      </c>
      <c r="AA97" s="5" t="str">
        <f t="shared" si="32"/>
        <v>模型估算</v>
      </c>
      <c r="AB97" s="5">
        <f t="shared" si="33"/>
        <v>100000000</v>
      </c>
      <c r="AC97" s="5">
        <f>IF(NOT(ISNUMBER(AB97)),"",IF(OR(NOT(器件参数!B97),器件参数!E97&lt;&gt;"mixer"),AB97,IF(AND(ISNUMBER(器件参数!T97),器件参数!T97&gt;0),IF(器件参数!U97="sum",AB97+器件参数!T97,IF(器件参数!U97="difference",ABS(AB97-器件参数!T97),"")),"")))</f>
        <v>100000000</v>
      </c>
      <c r="AD97" s="5">
        <f t="shared" si="34"/>
        <v>0</v>
      </c>
      <c r="AE97" s="5">
        <f>IF(AND(ISNUMBER(G97),ISNUMBER(F97)),Tref_K*(G97-1)/F97,"")</f>
        <v>0</v>
      </c>
      <c r="AF97" s="5">
        <f>IF(AND(ISNUMBER(H97),ISNUMBER(E97),NoiseConfigOK),10*LOG10(Boltzmann*Bnoise_Hz*(Tsource_K+Tref_K*(H97-1)))+30+E97,"")</f>
        <v>-90.3704468972711</v>
      </c>
      <c r="AG97" s="5">
        <f t="shared" si="35"/>
        <v>80.3704468972711</v>
      </c>
      <c r="AH97" s="5">
        <f>IF(AND(ToneEnabled,ISNUMBER(E97),ISNUMBER(TonePin)),TonePin+E97,"")</f>
        <v>-10</v>
      </c>
      <c r="AI97" s="5">
        <f>IF(AND(ToneEnabled,ISNUMBER(E97),ISNUMBER(N97),ISNUMBER(TonePin)),3*TonePin+E97-2*N97,"")</f>
        <v>-83.9794000867204</v>
      </c>
      <c r="AJ97" s="5" t="str">
        <f t="shared" si="36"/>
        <v/>
      </c>
      <c r="AK97" s="5" t="str">
        <f>IF(NOT(器件参数!B97),"旁路",IF(NOT(ISNUMBER(AC97)),"频率未知",IF(AC97&lt;=SignalBW/2,"跨零频",IF(AND(ISNUMBER(器件参数!R97),ISNUMBER(器件参数!S97)),IF(AND(AB97-SignalBW/2&gt;=器件参数!R97,AB97+SignalBW/2&lt;=器件参数!S97),"有效","超声明通带"),"未声明通带"))))</f>
        <v>旁路</v>
      </c>
      <c r="AL97" s="5">
        <f t="shared" si="37"/>
        <v>0</v>
      </c>
      <c r="AM97" s="5" t="str">
        <f>IF(AND(器件参数!B97,ISNUMBER(器件参数!X97),OR(AND(ISNUMBER(J97),J97&gt;器件参数!X97),IF(AND(ToneEnabled,ISNUMBER(TonePin),ISNUMBER(D97)),TonePin+10*LOG10(2)+D97&gt;器件参数!X97,FALSE))),"超过绝对最大输入额定值","")</f>
        <v/>
      </c>
      <c r="AN97" s="5">
        <f>IF(NOT(ISNUMBER(AN96)),"",IF(OR(NOT(器件参数!B97),器件参数!E97&lt;&gt;"mixer"),AN96,IF(AND(ISNUMBER(器件参数!T97),器件参数!T97&gt;0),IF(器件参数!U97="sum",AN96+器件参数!T97,ABS(AN96-器件参数!T97)),"")))</f>
        <v>99950000</v>
      </c>
      <c r="AO97" s="5">
        <f>IF(NOT(ISNUMBER(AO96)),"",IF(OR(NOT(器件参数!B97),器件参数!E97&lt;&gt;"mixer"),AO96,IF(AND(ISNUMBER(器件参数!T97),器件参数!T97&gt;0),IF(器件参数!U97="sum",AO96+器件参数!T97,ABS(AO96-器件参数!T97)),"")))</f>
        <v>100050000</v>
      </c>
      <c r="AP97" s="5">
        <f>IF(NOT(ISNUMBER(AP96)),"",IF(OR(NOT(器件参数!B97),器件参数!E97&lt;&gt;"mixer"),AP96,IF(AND(ISNUMBER(器件参数!T97),器件参数!T97&gt;0),IF(器件参数!U97="sum",AP96+器件参数!T97,ABS(AP96-器件参数!T97)),"")))</f>
        <v>99850000</v>
      </c>
      <c r="AQ97" s="5">
        <f>IF(NOT(ISNUMBER(AQ96)),"",IF(OR(NOT(器件参数!B97),器件参数!E97&lt;&gt;"mixer"),AQ96,IF(AND(ISNUMBER(器件参数!T97),器件参数!T97&gt;0),IF(器件参数!U97="sum",AQ96+器件参数!T97,ABS(AQ96-器件参数!T97)),"")))</f>
        <v>100150000</v>
      </c>
      <c r="AR97" s="5" t="b">
        <f>IF(NOT(AR96),FALSE,IF(NOT(器件参数!B97),TRUE,AND(COUNT(AN97:AQ97)=4,MIN(AN97:AQ97)&gt;0,IF(AND(ISNUMBER(器件参数!R97),ISNUMBER(器件参数!S97)),AND(MIN(AN96:AQ96)&gt;=器件参数!R97,MAX(AN96:AQ96)&lt;=器件参数!S97),TRUE),IF(AND(器件参数!E97="mixer",器件参数!U97="difference"),OR(器件参数!T97&lt;MIN(AN96:AQ96),器件参数!T97&gt;MAX(AN96:AQ96)),TRUE))))</f>
        <v>1</v>
      </c>
    </row>
    <row r="98" hidden="1" spans="1:44">
      <c r="A98" s="5">
        <f>器件参数!A98</f>
        <v>95</v>
      </c>
      <c r="B98" s="5" t="str">
        <f>器件参数!D98</f>
        <v/>
      </c>
      <c r="C98" s="5">
        <f>IF(NOT(器件参数!B98),0,IF(AND(ISNUMBER(器件参数!F98),ABS(器件参数!F98)&lt;=300),器件参数!F98,""))</f>
        <v>0</v>
      </c>
      <c r="D98" s="5">
        <f t="shared" si="19"/>
        <v>20</v>
      </c>
      <c r="E98" s="5">
        <f t="shared" si="20"/>
        <v>20</v>
      </c>
      <c r="F98" s="5">
        <f t="shared" si="21"/>
        <v>100</v>
      </c>
      <c r="G98" s="5">
        <f>IFERROR(IF(NOT(器件参数!B98),1,IF(NOT(OR(器件参数!E98&lt;&gt;"mixer",AND(OR(器件参数!V98="SSB",器件参数!V98="DSB"),器件参数!W98=TRUE))),"",IF(器件参数!G98="ideal",1,IF(AND(器件参数!G98="manual",ISNUMBER(器件参数!H98),器件参数!H98&gt;=0),10^(器件参数!H98/10),IF(AND(器件参数!G98="passive_thermal",OR(器件参数!E98="filter_bpf",器件参数!E98="filter_lpf",器件参数!E98="filter_hpf",器件参数!E98="filter_bsf",器件参数!E98="attenuator",器件参数!E98="cable",器件参数!E98="connector",器件参数!E98="switch",器件参数!E98="isolator",器件参数!E98="coupler",器件参数!E98="splitter"),AND(ISNUMBER(器件参数!F98),ABS(器件参数!F98)&lt;=300),器件参数!F98&lt;=0,ISNUMBER(器件参数!I98),器件参数!I98&gt;0),1+(10^(-器件参数!F98/10)-1)*器件参数!I98/Tref_K,""))))),"数值域错误")</f>
        <v>1</v>
      </c>
      <c r="H98" s="5">
        <f t="shared" si="22"/>
        <v>2.29336948552238</v>
      </c>
      <c r="I98" s="5">
        <f t="shared" si="23"/>
        <v>3.604740296957</v>
      </c>
      <c r="J98" s="5">
        <f>IF(AND(ISNUMBER(Pin_dBm),ISNUMBER(D98)),Pin_dBm+D98,"")</f>
        <v>-10</v>
      </c>
      <c r="K98" s="5">
        <f>IF(AND(ISNUMBER(Pin_dBm),ISNUMBER(E98)),Pin_dBm+E98,"")</f>
        <v>-10</v>
      </c>
      <c r="L98" s="5" t="str">
        <f>IF(AND(器件参数!J98="finite",ISNUMBER(器件参数!L98),ISNUMBER(C98)),IF(器件参数!K98="input",器件参数!L98,IF(器件参数!K98="output",器件参数!L98-C98,"")),"")</f>
        <v/>
      </c>
      <c r="M98" s="5">
        <f>IFERROR(IF(NOT(ISNUMBER(M97)),"",IF(OR(NOT(器件参数!B98),器件参数!J98="ideal"),M97,IF(AND(ISNUMBER(L98),ISNUMBER(F98)),M97+F98/10^(L98/10),""))),"数值域错误")</f>
        <v>0.2</v>
      </c>
      <c r="N98" s="5">
        <f t="shared" si="24"/>
        <v>6.98970004336019</v>
      </c>
      <c r="O98" s="5">
        <f t="shared" si="25"/>
        <v>26.9897000433602</v>
      </c>
      <c r="P98" s="5" t="str">
        <f>IF(AND(器件参数!M98="finite",ISNUMBER(器件参数!O98),ISNUMBER(C98)),IF(器件参数!N98="input",器件参数!O98,IF(器件参数!N98="actual_output",器件参数!O98-C98+1,IF(器件参数!N98="linear_output",器件参数!O98-C98,""))),"")</f>
        <v/>
      </c>
      <c r="Q98" s="5">
        <f>IF(器件参数!P98="",IF(AND(ISNUMBER(DefaultP),DefaultP&gt;=1,DefaultP&lt;=10),DefaultP,""),IF(AND(ISNUMBER(器件参数!P98),器件参数!P98&gt;=1,器件参数!P98&lt;=10),器件参数!P98,""))</f>
        <v>2</v>
      </c>
      <c r="R98" s="5">
        <f t="shared" si="26"/>
        <v>-10.0000139708288</v>
      </c>
      <c r="S98" s="5" t="str">
        <f t="shared" si="27"/>
        <v/>
      </c>
      <c r="T98" s="5">
        <f t="shared" si="28"/>
        <v>0</v>
      </c>
      <c r="U98" s="5">
        <f t="shared" si="29"/>
        <v>-10.0000139708288</v>
      </c>
      <c r="V98" s="5">
        <f>IF(AND(ISNUMBER(Pin_dBm),ISNUMBER(E98),ISNUMBER(U98)),Pin_dBm+E98-U98,"")</f>
        <v>1.39708287854035e-5</v>
      </c>
      <c r="W98" s="5" t="str">
        <f>IF(AND(器件参数!B98,X98=1,ISNUMBER(D98)),P98-D98,"")</f>
        <v/>
      </c>
      <c r="X98" s="5">
        <f>IF(NOT(ISNUMBER(C98)),-1,IF(OR(NOT(器件参数!B98),器件参数!M98="ideal"),0,IF(AND(ISNUMBER(P98),ISNUMBER(Q98)),1,-1)))</f>
        <v>0</v>
      </c>
      <c r="Y98" s="5" t="str">
        <f t="shared" si="30"/>
        <v>有效</v>
      </c>
      <c r="Z98" s="5" t="str">
        <f t="shared" si="31"/>
        <v>有效</v>
      </c>
      <c r="AA98" s="5" t="str">
        <f t="shared" si="32"/>
        <v>模型估算</v>
      </c>
      <c r="AB98" s="5">
        <f t="shared" si="33"/>
        <v>100000000</v>
      </c>
      <c r="AC98" s="5">
        <f>IF(NOT(ISNUMBER(AB98)),"",IF(OR(NOT(器件参数!B98),器件参数!E98&lt;&gt;"mixer"),AB98,IF(AND(ISNUMBER(器件参数!T98),器件参数!T98&gt;0),IF(器件参数!U98="sum",AB98+器件参数!T98,IF(器件参数!U98="difference",ABS(AB98-器件参数!T98),"")),"")))</f>
        <v>100000000</v>
      </c>
      <c r="AD98" s="5">
        <f t="shared" si="34"/>
        <v>0</v>
      </c>
      <c r="AE98" s="5">
        <f>IF(AND(ISNUMBER(G98),ISNUMBER(F98)),Tref_K*(G98-1)/F98,"")</f>
        <v>0</v>
      </c>
      <c r="AF98" s="5">
        <f>IF(AND(ISNUMBER(H98),ISNUMBER(E98),NoiseConfigOK),10*LOG10(Boltzmann*Bnoise_Hz*(Tsource_K+Tref_K*(H98-1)))+30+E98,"")</f>
        <v>-90.3704468972711</v>
      </c>
      <c r="AG98" s="5">
        <f t="shared" si="35"/>
        <v>80.3704468972711</v>
      </c>
      <c r="AH98" s="5">
        <f>IF(AND(ToneEnabled,ISNUMBER(E98),ISNUMBER(TonePin)),TonePin+E98,"")</f>
        <v>-10</v>
      </c>
      <c r="AI98" s="5">
        <f>IF(AND(ToneEnabled,ISNUMBER(E98),ISNUMBER(N98),ISNUMBER(TonePin)),3*TonePin+E98-2*N98,"")</f>
        <v>-83.9794000867204</v>
      </c>
      <c r="AJ98" s="5" t="str">
        <f t="shared" si="36"/>
        <v/>
      </c>
      <c r="AK98" s="5" t="str">
        <f>IF(NOT(器件参数!B98),"旁路",IF(NOT(ISNUMBER(AC98)),"频率未知",IF(AC98&lt;=SignalBW/2,"跨零频",IF(AND(ISNUMBER(器件参数!R98),ISNUMBER(器件参数!S98)),IF(AND(AB98-SignalBW/2&gt;=器件参数!R98,AB98+SignalBW/2&lt;=器件参数!S98),"有效","超声明通带"),"未声明通带"))))</f>
        <v>旁路</v>
      </c>
      <c r="AL98" s="5">
        <f t="shared" si="37"/>
        <v>0</v>
      </c>
      <c r="AM98" s="5" t="str">
        <f>IF(AND(器件参数!B98,ISNUMBER(器件参数!X98),OR(AND(ISNUMBER(J98),J98&gt;器件参数!X98),IF(AND(ToneEnabled,ISNUMBER(TonePin),ISNUMBER(D98)),TonePin+10*LOG10(2)+D98&gt;器件参数!X98,FALSE))),"超过绝对最大输入额定值","")</f>
        <v/>
      </c>
      <c r="AN98" s="5">
        <f>IF(NOT(ISNUMBER(AN97)),"",IF(OR(NOT(器件参数!B98),器件参数!E98&lt;&gt;"mixer"),AN97,IF(AND(ISNUMBER(器件参数!T98),器件参数!T98&gt;0),IF(器件参数!U98="sum",AN97+器件参数!T98,ABS(AN97-器件参数!T98)),"")))</f>
        <v>99950000</v>
      </c>
      <c r="AO98" s="5">
        <f>IF(NOT(ISNUMBER(AO97)),"",IF(OR(NOT(器件参数!B98),器件参数!E98&lt;&gt;"mixer"),AO97,IF(AND(ISNUMBER(器件参数!T98),器件参数!T98&gt;0),IF(器件参数!U98="sum",AO97+器件参数!T98,ABS(AO97-器件参数!T98)),"")))</f>
        <v>100050000</v>
      </c>
      <c r="AP98" s="5">
        <f>IF(NOT(ISNUMBER(AP97)),"",IF(OR(NOT(器件参数!B98),器件参数!E98&lt;&gt;"mixer"),AP97,IF(AND(ISNUMBER(器件参数!T98),器件参数!T98&gt;0),IF(器件参数!U98="sum",AP97+器件参数!T98,ABS(AP97-器件参数!T98)),"")))</f>
        <v>99850000</v>
      </c>
      <c r="AQ98" s="5">
        <f>IF(NOT(ISNUMBER(AQ97)),"",IF(OR(NOT(器件参数!B98),器件参数!E98&lt;&gt;"mixer"),AQ97,IF(AND(ISNUMBER(器件参数!T98),器件参数!T98&gt;0),IF(器件参数!U98="sum",AQ97+器件参数!T98,ABS(AQ97-器件参数!T98)),"")))</f>
        <v>100150000</v>
      </c>
      <c r="AR98" s="5" t="b">
        <f>IF(NOT(AR97),FALSE,IF(NOT(器件参数!B98),TRUE,AND(COUNT(AN98:AQ98)=4,MIN(AN98:AQ98)&gt;0,IF(AND(ISNUMBER(器件参数!R98),ISNUMBER(器件参数!S98)),AND(MIN(AN97:AQ97)&gt;=器件参数!R98,MAX(AN97:AQ97)&lt;=器件参数!S98),TRUE),IF(AND(器件参数!E98="mixer",器件参数!U98="difference"),OR(器件参数!T98&lt;MIN(AN97:AQ97),器件参数!T98&gt;MAX(AN97:AQ97)),TRUE))))</f>
        <v>1</v>
      </c>
    </row>
    <row r="99" hidden="1" spans="1:44">
      <c r="A99" s="5">
        <f>器件参数!A99</f>
        <v>96</v>
      </c>
      <c r="B99" s="5" t="str">
        <f>器件参数!D99</f>
        <v/>
      </c>
      <c r="C99" s="5">
        <f>IF(NOT(器件参数!B99),0,IF(AND(ISNUMBER(器件参数!F99),ABS(器件参数!F99)&lt;=300),器件参数!F99,""))</f>
        <v>0</v>
      </c>
      <c r="D99" s="5">
        <f t="shared" si="19"/>
        <v>20</v>
      </c>
      <c r="E99" s="5">
        <f t="shared" si="20"/>
        <v>20</v>
      </c>
      <c r="F99" s="5">
        <f t="shared" si="21"/>
        <v>100</v>
      </c>
      <c r="G99" s="5">
        <f>IFERROR(IF(NOT(器件参数!B99),1,IF(NOT(OR(器件参数!E99&lt;&gt;"mixer",AND(OR(器件参数!V99="SSB",器件参数!V99="DSB"),器件参数!W99=TRUE))),"",IF(器件参数!G99="ideal",1,IF(AND(器件参数!G99="manual",ISNUMBER(器件参数!H99),器件参数!H99&gt;=0),10^(器件参数!H99/10),IF(AND(器件参数!G99="passive_thermal",OR(器件参数!E99="filter_bpf",器件参数!E99="filter_lpf",器件参数!E99="filter_hpf",器件参数!E99="filter_bsf",器件参数!E99="attenuator",器件参数!E99="cable",器件参数!E99="connector",器件参数!E99="switch",器件参数!E99="isolator",器件参数!E99="coupler",器件参数!E99="splitter"),AND(ISNUMBER(器件参数!F99),ABS(器件参数!F99)&lt;=300),器件参数!F99&lt;=0,ISNUMBER(器件参数!I99),器件参数!I99&gt;0),1+(10^(-器件参数!F99/10)-1)*器件参数!I99/Tref_K,""))))),"数值域错误")</f>
        <v>1</v>
      </c>
      <c r="H99" s="5">
        <f t="shared" si="22"/>
        <v>2.29336948552238</v>
      </c>
      <c r="I99" s="5">
        <f t="shared" si="23"/>
        <v>3.604740296957</v>
      </c>
      <c r="J99" s="5">
        <f>IF(AND(ISNUMBER(Pin_dBm),ISNUMBER(D99)),Pin_dBm+D99,"")</f>
        <v>-10</v>
      </c>
      <c r="K99" s="5">
        <f>IF(AND(ISNUMBER(Pin_dBm),ISNUMBER(E99)),Pin_dBm+E99,"")</f>
        <v>-10</v>
      </c>
      <c r="L99" s="5" t="str">
        <f>IF(AND(器件参数!J99="finite",ISNUMBER(器件参数!L99),ISNUMBER(C99)),IF(器件参数!K99="input",器件参数!L99,IF(器件参数!K99="output",器件参数!L99-C99,"")),"")</f>
        <v/>
      </c>
      <c r="M99" s="5">
        <f>IFERROR(IF(NOT(ISNUMBER(M98)),"",IF(OR(NOT(器件参数!B99),器件参数!J99="ideal"),M98,IF(AND(ISNUMBER(L99),ISNUMBER(F99)),M98+F99/10^(L99/10),""))),"数值域错误")</f>
        <v>0.2</v>
      </c>
      <c r="N99" s="5">
        <f t="shared" si="24"/>
        <v>6.98970004336019</v>
      </c>
      <c r="O99" s="5">
        <f t="shared" si="25"/>
        <v>26.9897000433602</v>
      </c>
      <c r="P99" s="5" t="str">
        <f>IF(AND(器件参数!M99="finite",ISNUMBER(器件参数!O99),ISNUMBER(C99)),IF(器件参数!N99="input",器件参数!O99,IF(器件参数!N99="actual_output",器件参数!O99-C99+1,IF(器件参数!N99="linear_output",器件参数!O99-C99,""))),"")</f>
        <v/>
      </c>
      <c r="Q99" s="5">
        <f>IF(器件参数!P99="",IF(AND(ISNUMBER(DefaultP),DefaultP&gt;=1,DefaultP&lt;=10),DefaultP,""),IF(AND(ISNUMBER(器件参数!P99),器件参数!P99&gt;=1,器件参数!P99&lt;=10),器件参数!P99,""))</f>
        <v>2</v>
      </c>
      <c r="R99" s="5">
        <f t="shared" si="26"/>
        <v>-10.0000139708288</v>
      </c>
      <c r="S99" s="5" t="str">
        <f t="shared" si="27"/>
        <v/>
      </c>
      <c r="T99" s="5">
        <f t="shared" si="28"/>
        <v>0</v>
      </c>
      <c r="U99" s="5">
        <f t="shared" si="29"/>
        <v>-10.0000139708288</v>
      </c>
      <c r="V99" s="5">
        <f>IF(AND(ISNUMBER(Pin_dBm),ISNUMBER(E99),ISNUMBER(U99)),Pin_dBm+E99-U99,"")</f>
        <v>1.39708287854035e-5</v>
      </c>
      <c r="W99" s="5" t="str">
        <f>IF(AND(器件参数!B99,X99=1,ISNUMBER(D99)),P99-D99,"")</f>
        <v/>
      </c>
      <c r="X99" s="5">
        <f>IF(NOT(ISNUMBER(C99)),-1,IF(OR(NOT(器件参数!B99),器件参数!M99="ideal"),0,IF(AND(ISNUMBER(P99),ISNUMBER(Q99)),1,-1)))</f>
        <v>0</v>
      </c>
      <c r="Y99" s="5" t="str">
        <f t="shared" si="30"/>
        <v>有效</v>
      </c>
      <c r="Z99" s="5" t="str">
        <f t="shared" si="31"/>
        <v>有效</v>
      </c>
      <c r="AA99" s="5" t="str">
        <f t="shared" si="32"/>
        <v>模型估算</v>
      </c>
      <c r="AB99" s="5">
        <f t="shared" si="33"/>
        <v>100000000</v>
      </c>
      <c r="AC99" s="5">
        <f>IF(NOT(ISNUMBER(AB99)),"",IF(OR(NOT(器件参数!B99),器件参数!E99&lt;&gt;"mixer"),AB99,IF(AND(ISNUMBER(器件参数!T99),器件参数!T99&gt;0),IF(器件参数!U99="sum",AB99+器件参数!T99,IF(器件参数!U99="difference",ABS(AB99-器件参数!T99),"")),"")))</f>
        <v>100000000</v>
      </c>
      <c r="AD99" s="5">
        <f t="shared" si="34"/>
        <v>0</v>
      </c>
      <c r="AE99" s="5">
        <f>IF(AND(ISNUMBER(G99),ISNUMBER(F99)),Tref_K*(G99-1)/F99,"")</f>
        <v>0</v>
      </c>
      <c r="AF99" s="5">
        <f>IF(AND(ISNUMBER(H99),ISNUMBER(E99),NoiseConfigOK),10*LOG10(Boltzmann*Bnoise_Hz*(Tsource_K+Tref_K*(H99-1)))+30+E99,"")</f>
        <v>-90.3704468972711</v>
      </c>
      <c r="AG99" s="5">
        <f t="shared" si="35"/>
        <v>80.3704468972711</v>
      </c>
      <c r="AH99" s="5">
        <f>IF(AND(ToneEnabled,ISNUMBER(E99),ISNUMBER(TonePin)),TonePin+E99,"")</f>
        <v>-10</v>
      </c>
      <c r="AI99" s="5">
        <f>IF(AND(ToneEnabled,ISNUMBER(E99),ISNUMBER(N99),ISNUMBER(TonePin)),3*TonePin+E99-2*N99,"")</f>
        <v>-83.9794000867204</v>
      </c>
      <c r="AJ99" s="5" t="str">
        <f t="shared" si="36"/>
        <v/>
      </c>
      <c r="AK99" s="5" t="str">
        <f>IF(NOT(器件参数!B99),"旁路",IF(NOT(ISNUMBER(AC99)),"频率未知",IF(AC99&lt;=SignalBW/2,"跨零频",IF(AND(ISNUMBER(器件参数!R99),ISNUMBER(器件参数!S99)),IF(AND(AB99-SignalBW/2&gt;=器件参数!R99,AB99+SignalBW/2&lt;=器件参数!S99),"有效","超声明通带"),"未声明通带"))))</f>
        <v>旁路</v>
      </c>
      <c r="AL99" s="5">
        <f t="shared" si="37"/>
        <v>0</v>
      </c>
      <c r="AM99" s="5" t="str">
        <f>IF(AND(器件参数!B99,ISNUMBER(器件参数!X99),OR(AND(ISNUMBER(J99),J99&gt;器件参数!X99),IF(AND(ToneEnabled,ISNUMBER(TonePin),ISNUMBER(D99)),TonePin+10*LOG10(2)+D99&gt;器件参数!X99,FALSE))),"超过绝对最大输入额定值","")</f>
        <v/>
      </c>
      <c r="AN99" s="5">
        <f>IF(NOT(ISNUMBER(AN98)),"",IF(OR(NOT(器件参数!B99),器件参数!E99&lt;&gt;"mixer"),AN98,IF(AND(ISNUMBER(器件参数!T99),器件参数!T99&gt;0),IF(器件参数!U99="sum",AN98+器件参数!T99,ABS(AN98-器件参数!T99)),"")))</f>
        <v>99950000</v>
      </c>
      <c r="AO99" s="5">
        <f>IF(NOT(ISNUMBER(AO98)),"",IF(OR(NOT(器件参数!B99),器件参数!E99&lt;&gt;"mixer"),AO98,IF(AND(ISNUMBER(器件参数!T99),器件参数!T99&gt;0),IF(器件参数!U99="sum",AO98+器件参数!T99,ABS(AO98-器件参数!T99)),"")))</f>
        <v>100050000</v>
      </c>
      <c r="AP99" s="5">
        <f>IF(NOT(ISNUMBER(AP98)),"",IF(OR(NOT(器件参数!B99),器件参数!E99&lt;&gt;"mixer"),AP98,IF(AND(ISNUMBER(器件参数!T99),器件参数!T99&gt;0),IF(器件参数!U99="sum",AP98+器件参数!T99,ABS(AP98-器件参数!T99)),"")))</f>
        <v>99850000</v>
      </c>
      <c r="AQ99" s="5">
        <f>IF(NOT(ISNUMBER(AQ98)),"",IF(OR(NOT(器件参数!B99),器件参数!E99&lt;&gt;"mixer"),AQ98,IF(AND(ISNUMBER(器件参数!T99),器件参数!T99&gt;0),IF(器件参数!U99="sum",AQ98+器件参数!T99,ABS(AQ98-器件参数!T99)),"")))</f>
        <v>100150000</v>
      </c>
      <c r="AR99" s="5" t="b">
        <f>IF(NOT(AR98),FALSE,IF(NOT(器件参数!B99),TRUE,AND(COUNT(AN99:AQ99)=4,MIN(AN99:AQ99)&gt;0,IF(AND(ISNUMBER(器件参数!R99),ISNUMBER(器件参数!S99)),AND(MIN(AN98:AQ98)&gt;=器件参数!R99,MAX(AN98:AQ98)&lt;=器件参数!S99),TRUE),IF(AND(器件参数!E99="mixer",器件参数!U99="difference"),OR(器件参数!T99&lt;MIN(AN98:AQ98),器件参数!T99&gt;MAX(AN98:AQ98)),TRUE))))</f>
        <v>1</v>
      </c>
    </row>
    <row r="100" hidden="1" spans="1:44">
      <c r="A100" s="5">
        <f>器件参数!A100</f>
        <v>97</v>
      </c>
      <c r="B100" s="5" t="str">
        <f>器件参数!D100</f>
        <v/>
      </c>
      <c r="C100" s="5">
        <f>IF(NOT(器件参数!B100),0,IF(AND(ISNUMBER(器件参数!F100),ABS(器件参数!F100)&lt;=300),器件参数!F100,""))</f>
        <v>0</v>
      </c>
      <c r="D100" s="5">
        <f t="shared" si="19"/>
        <v>20</v>
      </c>
      <c r="E100" s="5">
        <f t="shared" si="20"/>
        <v>20</v>
      </c>
      <c r="F100" s="5">
        <f t="shared" si="21"/>
        <v>100</v>
      </c>
      <c r="G100" s="5">
        <f>IFERROR(IF(NOT(器件参数!B100),1,IF(NOT(OR(器件参数!E100&lt;&gt;"mixer",AND(OR(器件参数!V100="SSB",器件参数!V100="DSB"),器件参数!W100=TRUE))),"",IF(器件参数!G100="ideal",1,IF(AND(器件参数!G100="manual",ISNUMBER(器件参数!H100),器件参数!H100&gt;=0),10^(器件参数!H100/10),IF(AND(器件参数!G100="passive_thermal",OR(器件参数!E100="filter_bpf",器件参数!E100="filter_lpf",器件参数!E100="filter_hpf",器件参数!E100="filter_bsf",器件参数!E100="attenuator",器件参数!E100="cable",器件参数!E100="connector",器件参数!E100="switch",器件参数!E100="isolator",器件参数!E100="coupler",器件参数!E100="splitter"),AND(ISNUMBER(器件参数!F100),ABS(器件参数!F100)&lt;=300),器件参数!F100&lt;=0,ISNUMBER(器件参数!I100),器件参数!I100&gt;0),1+(10^(-器件参数!F100/10)-1)*器件参数!I100/Tref_K,""))))),"数值域错误")</f>
        <v>1</v>
      </c>
      <c r="H100" s="5">
        <f t="shared" si="22"/>
        <v>2.29336948552238</v>
      </c>
      <c r="I100" s="5">
        <f t="shared" si="23"/>
        <v>3.604740296957</v>
      </c>
      <c r="J100" s="5">
        <f>IF(AND(ISNUMBER(Pin_dBm),ISNUMBER(D100)),Pin_dBm+D100,"")</f>
        <v>-10</v>
      </c>
      <c r="K100" s="5">
        <f>IF(AND(ISNUMBER(Pin_dBm),ISNUMBER(E100)),Pin_dBm+E100,"")</f>
        <v>-10</v>
      </c>
      <c r="L100" s="5" t="str">
        <f>IF(AND(器件参数!J100="finite",ISNUMBER(器件参数!L100),ISNUMBER(C100)),IF(器件参数!K100="input",器件参数!L100,IF(器件参数!K100="output",器件参数!L100-C100,"")),"")</f>
        <v/>
      </c>
      <c r="M100" s="5">
        <f>IFERROR(IF(NOT(ISNUMBER(M99)),"",IF(OR(NOT(器件参数!B100),器件参数!J100="ideal"),M99,IF(AND(ISNUMBER(L100),ISNUMBER(F100)),M99+F100/10^(L100/10),""))),"数值域错误")</f>
        <v>0.2</v>
      </c>
      <c r="N100" s="5">
        <f t="shared" si="24"/>
        <v>6.98970004336019</v>
      </c>
      <c r="O100" s="5">
        <f t="shared" si="25"/>
        <v>26.9897000433602</v>
      </c>
      <c r="P100" s="5" t="str">
        <f>IF(AND(器件参数!M100="finite",ISNUMBER(器件参数!O100),ISNUMBER(C100)),IF(器件参数!N100="input",器件参数!O100,IF(器件参数!N100="actual_output",器件参数!O100-C100+1,IF(器件参数!N100="linear_output",器件参数!O100-C100,""))),"")</f>
        <v/>
      </c>
      <c r="Q100" s="5">
        <f>IF(器件参数!P100="",IF(AND(ISNUMBER(DefaultP),DefaultP&gt;=1,DefaultP&lt;=10),DefaultP,""),IF(AND(ISNUMBER(器件参数!P100),器件参数!P100&gt;=1,器件参数!P100&lt;=10),器件参数!P100,""))</f>
        <v>2</v>
      </c>
      <c r="R100" s="5">
        <f t="shared" si="26"/>
        <v>-10.0000139708288</v>
      </c>
      <c r="S100" s="5" t="str">
        <f t="shared" si="27"/>
        <v/>
      </c>
      <c r="T100" s="5">
        <f t="shared" si="28"/>
        <v>0</v>
      </c>
      <c r="U100" s="5">
        <f t="shared" si="29"/>
        <v>-10.0000139708288</v>
      </c>
      <c r="V100" s="5">
        <f>IF(AND(ISNUMBER(Pin_dBm),ISNUMBER(E100),ISNUMBER(U100)),Pin_dBm+E100-U100,"")</f>
        <v>1.39708287854035e-5</v>
      </c>
      <c r="W100" s="5" t="str">
        <f>IF(AND(器件参数!B100,X100=1,ISNUMBER(D100)),P100-D100,"")</f>
        <v/>
      </c>
      <c r="X100" s="5">
        <f>IF(NOT(ISNUMBER(C100)),-1,IF(OR(NOT(器件参数!B100),器件参数!M100="ideal"),0,IF(AND(ISNUMBER(P100),ISNUMBER(Q100)),1,-1)))</f>
        <v>0</v>
      </c>
      <c r="Y100" s="5" t="str">
        <f t="shared" si="30"/>
        <v>有效</v>
      </c>
      <c r="Z100" s="5" t="str">
        <f t="shared" si="31"/>
        <v>有效</v>
      </c>
      <c r="AA100" s="5" t="str">
        <f t="shared" si="32"/>
        <v>模型估算</v>
      </c>
      <c r="AB100" s="5">
        <f t="shared" si="33"/>
        <v>100000000</v>
      </c>
      <c r="AC100" s="5">
        <f>IF(NOT(ISNUMBER(AB100)),"",IF(OR(NOT(器件参数!B100),器件参数!E100&lt;&gt;"mixer"),AB100,IF(AND(ISNUMBER(器件参数!T100),器件参数!T100&gt;0),IF(器件参数!U100="sum",AB100+器件参数!T100,IF(器件参数!U100="difference",ABS(AB100-器件参数!T100),"")),"")))</f>
        <v>100000000</v>
      </c>
      <c r="AD100" s="5">
        <f t="shared" si="34"/>
        <v>0</v>
      </c>
      <c r="AE100" s="5">
        <f>IF(AND(ISNUMBER(G100),ISNUMBER(F100)),Tref_K*(G100-1)/F100,"")</f>
        <v>0</v>
      </c>
      <c r="AF100" s="5">
        <f>IF(AND(ISNUMBER(H100),ISNUMBER(E100),NoiseConfigOK),10*LOG10(Boltzmann*Bnoise_Hz*(Tsource_K+Tref_K*(H100-1)))+30+E100,"")</f>
        <v>-90.3704468972711</v>
      </c>
      <c r="AG100" s="5">
        <f t="shared" si="35"/>
        <v>80.3704468972711</v>
      </c>
      <c r="AH100" s="5">
        <f>IF(AND(ToneEnabled,ISNUMBER(E100),ISNUMBER(TonePin)),TonePin+E100,"")</f>
        <v>-10</v>
      </c>
      <c r="AI100" s="5">
        <f>IF(AND(ToneEnabled,ISNUMBER(E100),ISNUMBER(N100),ISNUMBER(TonePin)),3*TonePin+E100-2*N100,"")</f>
        <v>-83.9794000867204</v>
      </c>
      <c r="AJ100" s="5" t="str">
        <f t="shared" si="36"/>
        <v/>
      </c>
      <c r="AK100" s="5" t="str">
        <f>IF(NOT(器件参数!B100),"旁路",IF(NOT(ISNUMBER(AC100)),"频率未知",IF(AC100&lt;=SignalBW/2,"跨零频",IF(AND(ISNUMBER(器件参数!R100),ISNUMBER(器件参数!S100)),IF(AND(AB100-SignalBW/2&gt;=器件参数!R100,AB100+SignalBW/2&lt;=器件参数!S100),"有效","超声明通带"),"未声明通带"))))</f>
        <v>旁路</v>
      </c>
      <c r="AL100" s="5">
        <f t="shared" si="37"/>
        <v>0</v>
      </c>
      <c r="AM100" s="5" t="str">
        <f>IF(AND(器件参数!B100,ISNUMBER(器件参数!X100),OR(AND(ISNUMBER(J100),J100&gt;器件参数!X100),IF(AND(ToneEnabled,ISNUMBER(TonePin),ISNUMBER(D100)),TonePin+10*LOG10(2)+D100&gt;器件参数!X100,FALSE))),"超过绝对最大输入额定值","")</f>
        <v/>
      </c>
      <c r="AN100" s="5">
        <f>IF(NOT(ISNUMBER(AN99)),"",IF(OR(NOT(器件参数!B100),器件参数!E100&lt;&gt;"mixer"),AN99,IF(AND(ISNUMBER(器件参数!T100),器件参数!T100&gt;0),IF(器件参数!U100="sum",AN99+器件参数!T100,ABS(AN99-器件参数!T100)),"")))</f>
        <v>99950000</v>
      </c>
      <c r="AO100" s="5">
        <f>IF(NOT(ISNUMBER(AO99)),"",IF(OR(NOT(器件参数!B100),器件参数!E100&lt;&gt;"mixer"),AO99,IF(AND(ISNUMBER(器件参数!T100),器件参数!T100&gt;0),IF(器件参数!U100="sum",AO99+器件参数!T100,ABS(AO99-器件参数!T100)),"")))</f>
        <v>100050000</v>
      </c>
      <c r="AP100" s="5">
        <f>IF(NOT(ISNUMBER(AP99)),"",IF(OR(NOT(器件参数!B100),器件参数!E100&lt;&gt;"mixer"),AP99,IF(AND(ISNUMBER(器件参数!T100),器件参数!T100&gt;0),IF(器件参数!U100="sum",AP99+器件参数!T100,ABS(AP99-器件参数!T100)),"")))</f>
        <v>99850000</v>
      </c>
      <c r="AQ100" s="5">
        <f>IF(NOT(ISNUMBER(AQ99)),"",IF(OR(NOT(器件参数!B100),器件参数!E100&lt;&gt;"mixer"),AQ99,IF(AND(ISNUMBER(器件参数!T100),器件参数!T100&gt;0),IF(器件参数!U100="sum",AQ99+器件参数!T100,ABS(AQ99-器件参数!T100)),"")))</f>
        <v>100150000</v>
      </c>
      <c r="AR100" s="5" t="b">
        <f>IF(NOT(AR99),FALSE,IF(NOT(器件参数!B100),TRUE,AND(COUNT(AN100:AQ100)=4,MIN(AN100:AQ100)&gt;0,IF(AND(ISNUMBER(器件参数!R100),ISNUMBER(器件参数!S100)),AND(MIN(AN99:AQ99)&gt;=器件参数!R100,MAX(AN99:AQ99)&lt;=器件参数!S100),TRUE),IF(AND(器件参数!E100="mixer",器件参数!U100="difference"),OR(器件参数!T100&lt;MIN(AN99:AQ99),器件参数!T100&gt;MAX(AN99:AQ99)),TRUE))))</f>
        <v>1</v>
      </c>
    </row>
    <row r="101" hidden="1" spans="1:44">
      <c r="A101" s="5">
        <f>器件参数!A101</f>
        <v>98</v>
      </c>
      <c r="B101" s="5" t="str">
        <f>器件参数!D101</f>
        <v/>
      </c>
      <c r="C101" s="5">
        <f>IF(NOT(器件参数!B101),0,IF(AND(ISNUMBER(器件参数!F101),ABS(器件参数!F101)&lt;=300),器件参数!F101,""))</f>
        <v>0</v>
      </c>
      <c r="D101" s="5">
        <f t="shared" si="19"/>
        <v>20</v>
      </c>
      <c r="E101" s="5">
        <f t="shared" si="20"/>
        <v>20</v>
      </c>
      <c r="F101" s="5">
        <f t="shared" si="21"/>
        <v>100</v>
      </c>
      <c r="G101" s="5">
        <f>IFERROR(IF(NOT(器件参数!B101),1,IF(NOT(OR(器件参数!E101&lt;&gt;"mixer",AND(OR(器件参数!V101="SSB",器件参数!V101="DSB"),器件参数!W101=TRUE))),"",IF(器件参数!G101="ideal",1,IF(AND(器件参数!G101="manual",ISNUMBER(器件参数!H101),器件参数!H101&gt;=0),10^(器件参数!H101/10),IF(AND(器件参数!G101="passive_thermal",OR(器件参数!E101="filter_bpf",器件参数!E101="filter_lpf",器件参数!E101="filter_hpf",器件参数!E101="filter_bsf",器件参数!E101="attenuator",器件参数!E101="cable",器件参数!E101="connector",器件参数!E101="switch",器件参数!E101="isolator",器件参数!E101="coupler",器件参数!E101="splitter"),AND(ISNUMBER(器件参数!F101),ABS(器件参数!F101)&lt;=300),器件参数!F101&lt;=0,ISNUMBER(器件参数!I101),器件参数!I101&gt;0),1+(10^(-器件参数!F101/10)-1)*器件参数!I101/Tref_K,""))))),"数值域错误")</f>
        <v>1</v>
      </c>
      <c r="H101" s="5">
        <f t="shared" si="22"/>
        <v>2.29336948552238</v>
      </c>
      <c r="I101" s="5">
        <f t="shared" si="23"/>
        <v>3.604740296957</v>
      </c>
      <c r="J101" s="5">
        <f>IF(AND(ISNUMBER(Pin_dBm),ISNUMBER(D101)),Pin_dBm+D101,"")</f>
        <v>-10</v>
      </c>
      <c r="K101" s="5">
        <f>IF(AND(ISNUMBER(Pin_dBm),ISNUMBER(E101)),Pin_dBm+E101,"")</f>
        <v>-10</v>
      </c>
      <c r="L101" s="5" t="str">
        <f>IF(AND(器件参数!J101="finite",ISNUMBER(器件参数!L101),ISNUMBER(C101)),IF(器件参数!K101="input",器件参数!L101,IF(器件参数!K101="output",器件参数!L101-C101,"")),"")</f>
        <v/>
      </c>
      <c r="M101" s="5">
        <f>IFERROR(IF(NOT(ISNUMBER(M100)),"",IF(OR(NOT(器件参数!B101),器件参数!J101="ideal"),M100,IF(AND(ISNUMBER(L101),ISNUMBER(F101)),M100+F101/10^(L101/10),""))),"数值域错误")</f>
        <v>0.2</v>
      </c>
      <c r="N101" s="5">
        <f t="shared" si="24"/>
        <v>6.98970004336019</v>
      </c>
      <c r="O101" s="5">
        <f t="shared" si="25"/>
        <v>26.9897000433602</v>
      </c>
      <c r="P101" s="5" t="str">
        <f>IF(AND(器件参数!M101="finite",ISNUMBER(器件参数!O101),ISNUMBER(C101)),IF(器件参数!N101="input",器件参数!O101,IF(器件参数!N101="actual_output",器件参数!O101-C101+1,IF(器件参数!N101="linear_output",器件参数!O101-C101,""))),"")</f>
        <v/>
      </c>
      <c r="Q101" s="5">
        <f>IF(器件参数!P101="",IF(AND(ISNUMBER(DefaultP),DefaultP&gt;=1,DefaultP&lt;=10),DefaultP,""),IF(AND(ISNUMBER(器件参数!P101),器件参数!P101&gt;=1,器件参数!P101&lt;=10),器件参数!P101,""))</f>
        <v>2</v>
      </c>
      <c r="R101" s="5">
        <f t="shared" si="26"/>
        <v>-10.0000139708288</v>
      </c>
      <c r="S101" s="5" t="str">
        <f t="shared" si="27"/>
        <v/>
      </c>
      <c r="T101" s="5">
        <f t="shared" si="28"/>
        <v>0</v>
      </c>
      <c r="U101" s="5">
        <f t="shared" si="29"/>
        <v>-10.0000139708288</v>
      </c>
      <c r="V101" s="5">
        <f>IF(AND(ISNUMBER(Pin_dBm),ISNUMBER(E101),ISNUMBER(U101)),Pin_dBm+E101-U101,"")</f>
        <v>1.39708287854035e-5</v>
      </c>
      <c r="W101" s="5" t="str">
        <f>IF(AND(器件参数!B101,X101=1,ISNUMBER(D101)),P101-D101,"")</f>
        <v/>
      </c>
      <c r="X101" s="5">
        <f>IF(NOT(ISNUMBER(C101)),-1,IF(OR(NOT(器件参数!B101),器件参数!M101="ideal"),0,IF(AND(ISNUMBER(P101),ISNUMBER(Q101)),1,-1)))</f>
        <v>0</v>
      </c>
      <c r="Y101" s="5" t="str">
        <f t="shared" si="30"/>
        <v>有效</v>
      </c>
      <c r="Z101" s="5" t="str">
        <f t="shared" si="31"/>
        <v>有效</v>
      </c>
      <c r="AA101" s="5" t="str">
        <f t="shared" si="32"/>
        <v>模型估算</v>
      </c>
      <c r="AB101" s="5">
        <f t="shared" si="33"/>
        <v>100000000</v>
      </c>
      <c r="AC101" s="5">
        <f>IF(NOT(ISNUMBER(AB101)),"",IF(OR(NOT(器件参数!B101),器件参数!E101&lt;&gt;"mixer"),AB101,IF(AND(ISNUMBER(器件参数!T101),器件参数!T101&gt;0),IF(器件参数!U101="sum",AB101+器件参数!T101,IF(器件参数!U101="difference",ABS(AB101-器件参数!T101),"")),"")))</f>
        <v>100000000</v>
      </c>
      <c r="AD101" s="5">
        <f t="shared" si="34"/>
        <v>0</v>
      </c>
      <c r="AE101" s="5">
        <f>IF(AND(ISNUMBER(G101),ISNUMBER(F101)),Tref_K*(G101-1)/F101,"")</f>
        <v>0</v>
      </c>
      <c r="AF101" s="5">
        <f>IF(AND(ISNUMBER(H101),ISNUMBER(E101),NoiseConfigOK),10*LOG10(Boltzmann*Bnoise_Hz*(Tsource_K+Tref_K*(H101-1)))+30+E101,"")</f>
        <v>-90.3704468972711</v>
      </c>
      <c r="AG101" s="5">
        <f t="shared" si="35"/>
        <v>80.3704468972711</v>
      </c>
      <c r="AH101" s="5">
        <f>IF(AND(ToneEnabled,ISNUMBER(E101),ISNUMBER(TonePin)),TonePin+E101,"")</f>
        <v>-10</v>
      </c>
      <c r="AI101" s="5">
        <f>IF(AND(ToneEnabled,ISNUMBER(E101),ISNUMBER(N101),ISNUMBER(TonePin)),3*TonePin+E101-2*N101,"")</f>
        <v>-83.9794000867204</v>
      </c>
      <c r="AJ101" s="5" t="str">
        <f t="shared" si="36"/>
        <v/>
      </c>
      <c r="AK101" s="5" t="str">
        <f>IF(NOT(器件参数!B101),"旁路",IF(NOT(ISNUMBER(AC101)),"频率未知",IF(AC101&lt;=SignalBW/2,"跨零频",IF(AND(ISNUMBER(器件参数!R101),ISNUMBER(器件参数!S101)),IF(AND(AB101-SignalBW/2&gt;=器件参数!R101,AB101+SignalBW/2&lt;=器件参数!S101),"有效","超声明通带"),"未声明通带"))))</f>
        <v>旁路</v>
      </c>
      <c r="AL101" s="5">
        <f t="shared" si="37"/>
        <v>0</v>
      </c>
      <c r="AM101" s="5" t="str">
        <f>IF(AND(器件参数!B101,ISNUMBER(器件参数!X101),OR(AND(ISNUMBER(J101),J101&gt;器件参数!X101),IF(AND(ToneEnabled,ISNUMBER(TonePin),ISNUMBER(D101)),TonePin+10*LOG10(2)+D101&gt;器件参数!X101,FALSE))),"超过绝对最大输入额定值","")</f>
        <v/>
      </c>
      <c r="AN101" s="5">
        <f>IF(NOT(ISNUMBER(AN100)),"",IF(OR(NOT(器件参数!B101),器件参数!E101&lt;&gt;"mixer"),AN100,IF(AND(ISNUMBER(器件参数!T101),器件参数!T101&gt;0),IF(器件参数!U101="sum",AN100+器件参数!T101,ABS(AN100-器件参数!T101)),"")))</f>
        <v>99950000</v>
      </c>
      <c r="AO101" s="5">
        <f>IF(NOT(ISNUMBER(AO100)),"",IF(OR(NOT(器件参数!B101),器件参数!E101&lt;&gt;"mixer"),AO100,IF(AND(ISNUMBER(器件参数!T101),器件参数!T101&gt;0),IF(器件参数!U101="sum",AO100+器件参数!T101,ABS(AO100-器件参数!T101)),"")))</f>
        <v>100050000</v>
      </c>
      <c r="AP101" s="5">
        <f>IF(NOT(ISNUMBER(AP100)),"",IF(OR(NOT(器件参数!B101),器件参数!E101&lt;&gt;"mixer"),AP100,IF(AND(ISNUMBER(器件参数!T101),器件参数!T101&gt;0),IF(器件参数!U101="sum",AP100+器件参数!T101,ABS(AP100-器件参数!T101)),"")))</f>
        <v>99850000</v>
      </c>
      <c r="AQ101" s="5">
        <f>IF(NOT(ISNUMBER(AQ100)),"",IF(OR(NOT(器件参数!B101),器件参数!E101&lt;&gt;"mixer"),AQ100,IF(AND(ISNUMBER(器件参数!T101),器件参数!T101&gt;0),IF(器件参数!U101="sum",AQ100+器件参数!T101,ABS(AQ100-器件参数!T101)),"")))</f>
        <v>100150000</v>
      </c>
      <c r="AR101" s="5" t="b">
        <f>IF(NOT(AR100),FALSE,IF(NOT(器件参数!B101),TRUE,AND(COUNT(AN101:AQ101)=4,MIN(AN101:AQ101)&gt;0,IF(AND(ISNUMBER(器件参数!R101),ISNUMBER(器件参数!S101)),AND(MIN(AN100:AQ100)&gt;=器件参数!R101,MAX(AN100:AQ100)&lt;=器件参数!S101),TRUE),IF(AND(器件参数!E101="mixer",器件参数!U101="difference"),OR(器件参数!T101&lt;MIN(AN100:AQ100),器件参数!T101&gt;MAX(AN100:AQ100)),TRUE))))</f>
        <v>1</v>
      </c>
    </row>
    <row r="102" hidden="1" spans="1:44">
      <c r="A102" s="5">
        <f>器件参数!A102</f>
        <v>99</v>
      </c>
      <c r="B102" s="5" t="str">
        <f>器件参数!D102</f>
        <v/>
      </c>
      <c r="C102" s="5">
        <f>IF(NOT(器件参数!B102),0,IF(AND(ISNUMBER(器件参数!F102),ABS(器件参数!F102)&lt;=300),器件参数!F102,""))</f>
        <v>0</v>
      </c>
      <c r="D102" s="5">
        <f t="shared" si="19"/>
        <v>20</v>
      </c>
      <c r="E102" s="5">
        <f t="shared" si="20"/>
        <v>20</v>
      </c>
      <c r="F102" s="5">
        <f t="shared" si="21"/>
        <v>100</v>
      </c>
      <c r="G102" s="5">
        <f>IFERROR(IF(NOT(器件参数!B102),1,IF(NOT(OR(器件参数!E102&lt;&gt;"mixer",AND(OR(器件参数!V102="SSB",器件参数!V102="DSB"),器件参数!W102=TRUE))),"",IF(器件参数!G102="ideal",1,IF(AND(器件参数!G102="manual",ISNUMBER(器件参数!H102),器件参数!H102&gt;=0),10^(器件参数!H102/10),IF(AND(器件参数!G102="passive_thermal",OR(器件参数!E102="filter_bpf",器件参数!E102="filter_lpf",器件参数!E102="filter_hpf",器件参数!E102="filter_bsf",器件参数!E102="attenuator",器件参数!E102="cable",器件参数!E102="connector",器件参数!E102="switch",器件参数!E102="isolator",器件参数!E102="coupler",器件参数!E102="splitter"),AND(ISNUMBER(器件参数!F102),ABS(器件参数!F102)&lt;=300),器件参数!F102&lt;=0,ISNUMBER(器件参数!I102),器件参数!I102&gt;0),1+(10^(-器件参数!F102/10)-1)*器件参数!I102/Tref_K,""))))),"数值域错误")</f>
        <v>1</v>
      </c>
      <c r="H102" s="5">
        <f t="shared" si="22"/>
        <v>2.29336948552238</v>
      </c>
      <c r="I102" s="5">
        <f t="shared" si="23"/>
        <v>3.604740296957</v>
      </c>
      <c r="J102" s="5">
        <f>IF(AND(ISNUMBER(Pin_dBm),ISNUMBER(D102)),Pin_dBm+D102,"")</f>
        <v>-10</v>
      </c>
      <c r="K102" s="5">
        <f>IF(AND(ISNUMBER(Pin_dBm),ISNUMBER(E102)),Pin_dBm+E102,"")</f>
        <v>-10</v>
      </c>
      <c r="L102" s="5" t="str">
        <f>IF(AND(器件参数!J102="finite",ISNUMBER(器件参数!L102),ISNUMBER(C102)),IF(器件参数!K102="input",器件参数!L102,IF(器件参数!K102="output",器件参数!L102-C102,"")),"")</f>
        <v/>
      </c>
      <c r="M102" s="5">
        <f>IFERROR(IF(NOT(ISNUMBER(M101)),"",IF(OR(NOT(器件参数!B102),器件参数!J102="ideal"),M101,IF(AND(ISNUMBER(L102),ISNUMBER(F102)),M101+F102/10^(L102/10),""))),"数值域错误")</f>
        <v>0.2</v>
      </c>
      <c r="N102" s="5">
        <f t="shared" si="24"/>
        <v>6.98970004336019</v>
      </c>
      <c r="O102" s="5">
        <f t="shared" si="25"/>
        <v>26.9897000433602</v>
      </c>
      <c r="P102" s="5" t="str">
        <f>IF(AND(器件参数!M102="finite",ISNUMBER(器件参数!O102),ISNUMBER(C102)),IF(器件参数!N102="input",器件参数!O102,IF(器件参数!N102="actual_output",器件参数!O102-C102+1,IF(器件参数!N102="linear_output",器件参数!O102-C102,""))),"")</f>
        <v/>
      </c>
      <c r="Q102" s="5">
        <f>IF(器件参数!P102="",IF(AND(ISNUMBER(DefaultP),DefaultP&gt;=1,DefaultP&lt;=10),DefaultP,""),IF(AND(ISNUMBER(器件参数!P102),器件参数!P102&gt;=1,器件参数!P102&lt;=10),器件参数!P102,""))</f>
        <v>2</v>
      </c>
      <c r="R102" s="5">
        <f t="shared" si="26"/>
        <v>-10.0000139708288</v>
      </c>
      <c r="S102" s="5" t="str">
        <f t="shared" si="27"/>
        <v/>
      </c>
      <c r="T102" s="5">
        <f t="shared" si="28"/>
        <v>0</v>
      </c>
      <c r="U102" s="5">
        <f t="shared" si="29"/>
        <v>-10.0000139708288</v>
      </c>
      <c r="V102" s="5">
        <f>IF(AND(ISNUMBER(Pin_dBm),ISNUMBER(E102),ISNUMBER(U102)),Pin_dBm+E102-U102,"")</f>
        <v>1.39708287854035e-5</v>
      </c>
      <c r="W102" s="5" t="str">
        <f>IF(AND(器件参数!B102,X102=1,ISNUMBER(D102)),P102-D102,"")</f>
        <v/>
      </c>
      <c r="X102" s="5">
        <f>IF(NOT(ISNUMBER(C102)),-1,IF(OR(NOT(器件参数!B102),器件参数!M102="ideal"),0,IF(AND(ISNUMBER(P102),ISNUMBER(Q102)),1,-1)))</f>
        <v>0</v>
      </c>
      <c r="Y102" s="5" t="str">
        <f t="shared" si="30"/>
        <v>有效</v>
      </c>
      <c r="Z102" s="5" t="str">
        <f t="shared" si="31"/>
        <v>有效</v>
      </c>
      <c r="AA102" s="5" t="str">
        <f t="shared" si="32"/>
        <v>模型估算</v>
      </c>
      <c r="AB102" s="5">
        <f t="shared" si="33"/>
        <v>100000000</v>
      </c>
      <c r="AC102" s="5">
        <f>IF(NOT(ISNUMBER(AB102)),"",IF(OR(NOT(器件参数!B102),器件参数!E102&lt;&gt;"mixer"),AB102,IF(AND(ISNUMBER(器件参数!T102),器件参数!T102&gt;0),IF(器件参数!U102="sum",AB102+器件参数!T102,IF(器件参数!U102="difference",ABS(AB102-器件参数!T102),"")),"")))</f>
        <v>100000000</v>
      </c>
      <c r="AD102" s="5">
        <f t="shared" si="34"/>
        <v>0</v>
      </c>
      <c r="AE102" s="5">
        <f>IF(AND(ISNUMBER(G102),ISNUMBER(F102)),Tref_K*(G102-1)/F102,"")</f>
        <v>0</v>
      </c>
      <c r="AF102" s="5">
        <f>IF(AND(ISNUMBER(H102),ISNUMBER(E102),NoiseConfigOK),10*LOG10(Boltzmann*Bnoise_Hz*(Tsource_K+Tref_K*(H102-1)))+30+E102,"")</f>
        <v>-90.3704468972711</v>
      </c>
      <c r="AG102" s="5">
        <f t="shared" si="35"/>
        <v>80.3704468972711</v>
      </c>
      <c r="AH102" s="5">
        <f>IF(AND(ToneEnabled,ISNUMBER(E102),ISNUMBER(TonePin)),TonePin+E102,"")</f>
        <v>-10</v>
      </c>
      <c r="AI102" s="5">
        <f>IF(AND(ToneEnabled,ISNUMBER(E102),ISNUMBER(N102),ISNUMBER(TonePin)),3*TonePin+E102-2*N102,"")</f>
        <v>-83.9794000867204</v>
      </c>
      <c r="AJ102" s="5" t="str">
        <f t="shared" si="36"/>
        <v/>
      </c>
      <c r="AK102" s="5" t="str">
        <f>IF(NOT(器件参数!B102),"旁路",IF(NOT(ISNUMBER(AC102)),"频率未知",IF(AC102&lt;=SignalBW/2,"跨零频",IF(AND(ISNUMBER(器件参数!R102),ISNUMBER(器件参数!S102)),IF(AND(AB102-SignalBW/2&gt;=器件参数!R102,AB102+SignalBW/2&lt;=器件参数!S102),"有效","超声明通带"),"未声明通带"))))</f>
        <v>旁路</v>
      </c>
      <c r="AL102" s="5">
        <f t="shared" si="37"/>
        <v>0</v>
      </c>
      <c r="AM102" s="5" t="str">
        <f>IF(AND(器件参数!B102,ISNUMBER(器件参数!X102),OR(AND(ISNUMBER(J102),J102&gt;器件参数!X102),IF(AND(ToneEnabled,ISNUMBER(TonePin),ISNUMBER(D102)),TonePin+10*LOG10(2)+D102&gt;器件参数!X102,FALSE))),"超过绝对最大输入额定值","")</f>
        <v/>
      </c>
      <c r="AN102" s="5">
        <f>IF(NOT(ISNUMBER(AN101)),"",IF(OR(NOT(器件参数!B102),器件参数!E102&lt;&gt;"mixer"),AN101,IF(AND(ISNUMBER(器件参数!T102),器件参数!T102&gt;0),IF(器件参数!U102="sum",AN101+器件参数!T102,ABS(AN101-器件参数!T102)),"")))</f>
        <v>99950000</v>
      </c>
      <c r="AO102" s="5">
        <f>IF(NOT(ISNUMBER(AO101)),"",IF(OR(NOT(器件参数!B102),器件参数!E102&lt;&gt;"mixer"),AO101,IF(AND(ISNUMBER(器件参数!T102),器件参数!T102&gt;0),IF(器件参数!U102="sum",AO101+器件参数!T102,ABS(AO101-器件参数!T102)),"")))</f>
        <v>100050000</v>
      </c>
      <c r="AP102" s="5">
        <f>IF(NOT(ISNUMBER(AP101)),"",IF(OR(NOT(器件参数!B102),器件参数!E102&lt;&gt;"mixer"),AP101,IF(AND(ISNUMBER(器件参数!T102),器件参数!T102&gt;0),IF(器件参数!U102="sum",AP101+器件参数!T102,ABS(AP101-器件参数!T102)),"")))</f>
        <v>99850000</v>
      </c>
      <c r="AQ102" s="5">
        <f>IF(NOT(ISNUMBER(AQ101)),"",IF(OR(NOT(器件参数!B102),器件参数!E102&lt;&gt;"mixer"),AQ101,IF(AND(ISNUMBER(器件参数!T102),器件参数!T102&gt;0),IF(器件参数!U102="sum",AQ101+器件参数!T102,ABS(AQ101-器件参数!T102)),"")))</f>
        <v>100150000</v>
      </c>
      <c r="AR102" s="5" t="b">
        <f>IF(NOT(AR101),FALSE,IF(NOT(器件参数!B102),TRUE,AND(COUNT(AN102:AQ102)=4,MIN(AN102:AQ102)&gt;0,IF(AND(ISNUMBER(器件参数!R102),ISNUMBER(器件参数!S102)),AND(MIN(AN101:AQ101)&gt;=器件参数!R102,MAX(AN101:AQ101)&lt;=器件参数!S102),TRUE),IF(AND(器件参数!E102="mixer",器件参数!U102="difference"),OR(器件参数!T102&lt;MIN(AN101:AQ101),器件参数!T102&gt;MAX(AN101:AQ101)),TRUE))))</f>
        <v>1</v>
      </c>
    </row>
    <row r="103" hidden="1" spans="1:44">
      <c r="A103" s="5">
        <f>器件参数!A103</f>
        <v>100</v>
      </c>
      <c r="B103" s="5" t="str">
        <f>器件参数!D103</f>
        <v/>
      </c>
      <c r="C103" s="5">
        <f>IF(NOT(器件参数!B103),0,IF(AND(ISNUMBER(器件参数!F103),ABS(器件参数!F103)&lt;=300),器件参数!F103,""))</f>
        <v>0</v>
      </c>
      <c r="D103" s="5">
        <f t="shared" si="19"/>
        <v>20</v>
      </c>
      <c r="E103" s="5">
        <f t="shared" si="20"/>
        <v>20</v>
      </c>
      <c r="F103" s="5">
        <f t="shared" si="21"/>
        <v>100</v>
      </c>
      <c r="G103" s="5">
        <f>IFERROR(IF(NOT(器件参数!B103),1,IF(NOT(OR(器件参数!E103&lt;&gt;"mixer",AND(OR(器件参数!V103="SSB",器件参数!V103="DSB"),器件参数!W103=TRUE))),"",IF(器件参数!G103="ideal",1,IF(AND(器件参数!G103="manual",ISNUMBER(器件参数!H103),器件参数!H103&gt;=0),10^(器件参数!H103/10),IF(AND(器件参数!G103="passive_thermal",OR(器件参数!E103="filter_bpf",器件参数!E103="filter_lpf",器件参数!E103="filter_hpf",器件参数!E103="filter_bsf",器件参数!E103="attenuator",器件参数!E103="cable",器件参数!E103="connector",器件参数!E103="switch",器件参数!E103="isolator",器件参数!E103="coupler",器件参数!E103="splitter"),AND(ISNUMBER(器件参数!F103),ABS(器件参数!F103)&lt;=300),器件参数!F103&lt;=0,ISNUMBER(器件参数!I103),器件参数!I103&gt;0),1+(10^(-器件参数!F103/10)-1)*器件参数!I103/Tref_K,""))))),"数值域错误")</f>
        <v>1</v>
      </c>
      <c r="H103" s="5">
        <f t="shared" si="22"/>
        <v>2.29336948552238</v>
      </c>
      <c r="I103" s="5">
        <f t="shared" si="23"/>
        <v>3.604740296957</v>
      </c>
      <c r="J103" s="5">
        <f>IF(AND(ISNUMBER(Pin_dBm),ISNUMBER(D103)),Pin_dBm+D103,"")</f>
        <v>-10</v>
      </c>
      <c r="K103" s="5">
        <f>IF(AND(ISNUMBER(Pin_dBm),ISNUMBER(E103)),Pin_dBm+E103,"")</f>
        <v>-10</v>
      </c>
      <c r="L103" s="5" t="str">
        <f>IF(AND(器件参数!J103="finite",ISNUMBER(器件参数!L103),ISNUMBER(C103)),IF(器件参数!K103="input",器件参数!L103,IF(器件参数!K103="output",器件参数!L103-C103,"")),"")</f>
        <v/>
      </c>
      <c r="M103" s="5">
        <f>IFERROR(IF(NOT(ISNUMBER(M102)),"",IF(OR(NOT(器件参数!B103),器件参数!J103="ideal"),M102,IF(AND(ISNUMBER(L103),ISNUMBER(F103)),M102+F103/10^(L103/10),""))),"数值域错误")</f>
        <v>0.2</v>
      </c>
      <c r="N103" s="5">
        <f t="shared" si="24"/>
        <v>6.98970004336019</v>
      </c>
      <c r="O103" s="5">
        <f t="shared" si="25"/>
        <v>26.9897000433602</v>
      </c>
      <c r="P103" s="5" t="str">
        <f>IF(AND(器件参数!M103="finite",ISNUMBER(器件参数!O103),ISNUMBER(C103)),IF(器件参数!N103="input",器件参数!O103,IF(器件参数!N103="actual_output",器件参数!O103-C103+1,IF(器件参数!N103="linear_output",器件参数!O103-C103,""))),"")</f>
        <v/>
      </c>
      <c r="Q103" s="5">
        <f>IF(器件参数!P103="",IF(AND(ISNUMBER(DefaultP),DefaultP&gt;=1,DefaultP&lt;=10),DefaultP,""),IF(AND(ISNUMBER(器件参数!P103),器件参数!P103&gt;=1,器件参数!P103&lt;=10),器件参数!P103,""))</f>
        <v>2</v>
      </c>
      <c r="R103" s="5">
        <f t="shared" si="26"/>
        <v>-10.0000139708288</v>
      </c>
      <c r="S103" s="5" t="str">
        <f t="shared" si="27"/>
        <v/>
      </c>
      <c r="T103" s="5">
        <f t="shared" si="28"/>
        <v>0</v>
      </c>
      <c r="U103" s="5">
        <f t="shared" si="29"/>
        <v>-10.0000139708288</v>
      </c>
      <c r="V103" s="5">
        <f>IF(AND(ISNUMBER(Pin_dBm),ISNUMBER(E103),ISNUMBER(U103)),Pin_dBm+E103-U103,"")</f>
        <v>1.39708287854035e-5</v>
      </c>
      <c r="W103" s="5" t="str">
        <f>IF(AND(器件参数!B103,X103=1,ISNUMBER(D103)),P103-D103,"")</f>
        <v/>
      </c>
      <c r="X103" s="5">
        <f>IF(NOT(ISNUMBER(C103)),-1,IF(OR(NOT(器件参数!B103),器件参数!M103="ideal"),0,IF(AND(ISNUMBER(P103),ISNUMBER(Q103)),1,-1)))</f>
        <v>0</v>
      </c>
      <c r="Y103" s="5" t="str">
        <f t="shared" si="30"/>
        <v>有效</v>
      </c>
      <c r="Z103" s="5" t="str">
        <f t="shared" si="31"/>
        <v>有效</v>
      </c>
      <c r="AA103" s="5" t="str">
        <f t="shared" si="32"/>
        <v>模型估算</v>
      </c>
      <c r="AB103" s="5">
        <f t="shared" si="33"/>
        <v>100000000</v>
      </c>
      <c r="AC103" s="5">
        <f>IF(NOT(ISNUMBER(AB103)),"",IF(OR(NOT(器件参数!B103),器件参数!E103&lt;&gt;"mixer"),AB103,IF(AND(ISNUMBER(器件参数!T103),器件参数!T103&gt;0),IF(器件参数!U103="sum",AB103+器件参数!T103,IF(器件参数!U103="difference",ABS(AB103-器件参数!T103),"")),"")))</f>
        <v>100000000</v>
      </c>
      <c r="AD103" s="5">
        <f t="shared" si="34"/>
        <v>0</v>
      </c>
      <c r="AE103" s="5">
        <f>IF(AND(ISNUMBER(G103),ISNUMBER(F103)),Tref_K*(G103-1)/F103,"")</f>
        <v>0</v>
      </c>
      <c r="AF103" s="5">
        <f>IF(AND(ISNUMBER(H103),ISNUMBER(E103),NoiseConfigOK),10*LOG10(Boltzmann*Bnoise_Hz*(Tsource_K+Tref_K*(H103-1)))+30+E103,"")</f>
        <v>-90.3704468972711</v>
      </c>
      <c r="AG103" s="5">
        <f t="shared" si="35"/>
        <v>80.3704468972711</v>
      </c>
      <c r="AH103" s="5">
        <f>IF(AND(ToneEnabled,ISNUMBER(E103),ISNUMBER(TonePin)),TonePin+E103,"")</f>
        <v>-10</v>
      </c>
      <c r="AI103" s="5">
        <f>IF(AND(ToneEnabled,ISNUMBER(E103),ISNUMBER(N103),ISNUMBER(TonePin)),3*TonePin+E103-2*N103,"")</f>
        <v>-83.9794000867204</v>
      </c>
      <c r="AJ103" s="5" t="str">
        <f t="shared" si="36"/>
        <v/>
      </c>
      <c r="AK103" s="5" t="str">
        <f>IF(NOT(器件参数!B103),"旁路",IF(NOT(ISNUMBER(AC103)),"频率未知",IF(AC103&lt;=SignalBW/2,"跨零频",IF(AND(ISNUMBER(器件参数!R103),ISNUMBER(器件参数!S103)),IF(AND(AB103-SignalBW/2&gt;=器件参数!R103,AB103+SignalBW/2&lt;=器件参数!S103),"有效","超声明通带"),"未声明通带"))))</f>
        <v>旁路</v>
      </c>
      <c r="AL103" s="5">
        <f t="shared" si="37"/>
        <v>0</v>
      </c>
      <c r="AM103" s="5" t="str">
        <f>IF(AND(器件参数!B103,ISNUMBER(器件参数!X103),OR(AND(ISNUMBER(J103),J103&gt;器件参数!X103),IF(AND(ToneEnabled,ISNUMBER(TonePin),ISNUMBER(D103)),TonePin+10*LOG10(2)+D103&gt;器件参数!X103,FALSE))),"超过绝对最大输入额定值","")</f>
        <v/>
      </c>
      <c r="AN103" s="5">
        <f>IF(NOT(ISNUMBER(AN102)),"",IF(OR(NOT(器件参数!B103),器件参数!E103&lt;&gt;"mixer"),AN102,IF(AND(ISNUMBER(器件参数!T103),器件参数!T103&gt;0),IF(器件参数!U103="sum",AN102+器件参数!T103,ABS(AN102-器件参数!T103)),"")))</f>
        <v>99950000</v>
      </c>
      <c r="AO103" s="5">
        <f>IF(NOT(ISNUMBER(AO102)),"",IF(OR(NOT(器件参数!B103),器件参数!E103&lt;&gt;"mixer"),AO102,IF(AND(ISNUMBER(器件参数!T103),器件参数!T103&gt;0),IF(器件参数!U103="sum",AO102+器件参数!T103,ABS(AO102-器件参数!T103)),"")))</f>
        <v>100050000</v>
      </c>
      <c r="AP103" s="5">
        <f>IF(NOT(ISNUMBER(AP102)),"",IF(OR(NOT(器件参数!B103),器件参数!E103&lt;&gt;"mixer"),AP102,IF(AND(ISNUMBER(器件参数!T103),器件参数!T103&gt;0),IF(器件参数!U103="sum",AP102+器件参数!T103,ABS(AP102-器件参数!T103)),"")))</f>
        <v>99850000</v>
      </c>
      <c r="AQ103" s="5">
        <f>IF(NOT(ISNUMBER(AQ102)),"",IF(OR(NOT(器件参数!B103),器件参数!E103&lt;&gt;"mixer"),AQ102,IF(AND(ISNUMBER(器件参数!T103),器件参数!T103&gt;0),IF(器件参数!U103="sum",AQ102+器件参数!T103,ABS(AQ102-器件参数!T103)),"")))</f>
        <v>100150000</v>
      </c>
      <c r="AR103" s="5" t="b">
        <f>IF(NOT(AR102),FALSE,IF(NOT(器件参数!B103),TRUE,AND(COUNT(AN103:AQ103)=4,MIN(AN103:AQ103)&gt;0,IF(AND(ISNUMBER(器件参数!R103),ISNUMBER(器件参数!S103)),AND(MIN(AN102:AQ102)&gt;=器件参数!R103,MAX(AN102:AQ102)&lt;=器件参数!S103),TRUE),IF(AND(器件参数!E103="mixer",器件参数!U103="difference"),OR(器件参数!T103&lt;MIN(AN102:AQ102),器件参数!T103&gt;MAX(AN102:AQ102)),TRUE))))</f>
        <v>1</v>
      </c>
    </row>
    <row r="104" hidden="1" spans="1:44">
      <c r="A104" s="5">
        <f>器件参数!A104</f>
        <v>101</v>
      </c>
      <c r="B104" s="5" t="str">
        <f>器件参数!D104</f>
        <v/>
      </c>
      <c r="C104" s="5">
        <f>IF(NOT(器件参数!B104),0,IF(AND(ISNUMBER(器件参数!F104),ABS(器件参数!F104)&lt;=300),器件参数!F104,""))</f>
        <v>0</v>
      </c>
      <c r="D104" s="5">
        <f t="shared" si="19"/>
        <v>20</v>
      </c>
      <c r="E104" s="5">
        <f t="shared" si="20"/>
        <v>20</v>
      </c>
      <c r="F104" s="5">
        <f t="shared" si="21"/>
        <v>100</v>
      </c>
      <c r="G104" s="5">
        <f>IFERROR(IF(NOT(器件参数!B104),1,IF(NOT(OR(器件参数!E104&lt;&gt;"mixer",AND(OR(器件参数!V104="SSB",器件参数!V104="DSB"),器件参数!W104=TRUE))),"",IF(器件参数!G104="ideal",1,IF(AND(器件参数!G104="manual",ISNUMBER(器件参数!H104),器件参数!H104&gt;=0),10^(器件参数!H104/10),IF(AND(器件参数!G104="passive_thermal",OR(器件参数!E104="filter_bpf",器件参数!E104="filter_lpf",器件参数!E104="filter_hpf",器件参数!E104="filter_bsf",器件参数!E104="attenuator",器件参数!E104="cable",器件参数!E104="connector",器件参数!E104="switch",器件参数!E104="isolator",器件参数!E104="coupler",器件参数!E104="splitter"),AND(ISNUMBER(器件参数!F104),ABS(器件参数!F104)&lt;=300),器件参数!F104&lt;=0,ISNUMBER(器件参数!I104),器件参数!I104&gt;0),1+(10^(-器件参数!F104/10)-1)*器件参数!I104/Tref_K,""))))),"数值域错误")</f>
        <v>1</v>
      </c>
      <c r="H104" s="5">
        <f t="shared" si="22"/>
        <v>2.29336948552238</v>
      </c>
      <c r="I104" s="5">
        <f t="shared" si="23"/>
        <v>3.604740296957</v>
      </c>
      <c r="J104" s="5">
        <f>IF(AND(ISNUMBER(Pin_dBm),ISNUMBER(D104)),Pin_dBm+D104,"")</f>
        <v>-10</v>
      </c>
      <c r="K104" s="5">
        <f>IF(AND(ISNUMBER(Pin_dBm),ISNUMBER(E104)),Pin_dBm+E104,"")</f>
        <v>-10</v>
      </c>
      <c r="L104" s="5" t="str">
        <f>IF(AND(器件参数!J104="finite",ISNUMBER(器件参数!L104),ISNUMBER(C104)),IF(器件参数!K104="input",器件参数!L104,IF(器件参数!K104="output",器件参数!L104-C104,"")),"")</f>
        <v/>
      </c>
      <c r="M104" s="5">
        <f>IFERROR(IF(NOT(ISNUMBER(M103)),"",IF(OR(NOT(器件参数!B104),器件参数!J104="ideal"),M103,IF(AND(ISNUMBER(L104),ISNUMBER(F104)),M103+F104/10^(L104/10),""))),"数值域错误")</f>
        <v>0.2</v>
      </c>
      <c r="N104" s="5">
        <f t="shared" si="24"/>
        <v>6.98970004336019</v>
      </c>
      <c r="O104" s="5">
        <f t="shared" si="25"/>
        <v>26.9897000433602</v>
      </c>
      <c r="P104" s="5" t="str">
        <f>IF(AND(器件参数!M104="finite",ISNUMBER(器件参数!O104),ISNUMBER(C104)),IF(器件参数!N104="input",器件参数!O104,IF(器件参数!N104="actual_output",器件参数!O104-C104+1,IF(器件参数!N104="linear_output",器件参数!O104-C104,""))),"")</f>
        <v/>
      </c>
      <c r="Q104" s="5">
        <f>IF(器件参数!P104="",IF(AND(ISNUMBER(DefaultP),DefaultP&gt;=1,DefaultP&lt;=10),DefaultP,""),IF(AND(ISNUMBER(器件参数!P104),器件参数!P104&gt;=1,器件参数!P104&lt;=10),器件参数!P104,""))</f>
        <v>2</v>
      </c>
      <c r="R104" s="5">
        <f t="shared" si="26"/>
        <v>-10.0000139708288</v>
      </c>
      <c r="S104" s="5" t="str">
        <f t="shared" si="27"/>
        <v/>
      </c>
      <c r="T104" s="5">
        <f t="shared" si="28"/>
        <v>0</v>
      </c>
      <c r="U104" s="5">
        <f t="shared" si="29"/>
        <v>-10.0000139708288</v>
      </c>
      <c r="V104" s="5">
        <f>IF(AND(ISNUMBER(Pin_dBm),ISNUMBER(E104),ISNUMBER(U104)),Pin_dBm+E104-U104,"")</f>
        <v>1.39708287854035e-5</v>
      </c>
      <c r="W104" s="5" t="str">
        <f>IF(AND(器件参数!B104,X104=1,ISNUMBER(D104)),P104-D104,"")</f>
        <v/>
      </c>
      <c r="X104" s="5">
        <f>IF(NOT(ISNUMBER(C104)),-1,IF(OR(NOT(器件参数!B104),器件参数!M104="ideal"),0,IF(AND(ISNUMBER(P104),ISNUMBER(Q104)),1,-1)))</f>
        <v>0</v>
      </c>
      <c r="Y104" s="5" t="str">
        <f t="shared" si="30"/>
        <v>有效</v>
      </c>
      <c r="Z104" s="5" t="str">
        <f t="shared" si="31"/>
        <v>有效</v>
      </c>
      <c r="AA104" s="5" t="str">
        <f t="shared" si="32"/>
        <v>模型估算</v>
      </c>
      <c r="AB104" s="5">
        <f t="shared" si="33"/>
        <v>100000000</v>
      </c>
      <c r="AC104" s="5">
        <f>IF(NOT(ISNUMBER(AB104)),"",IF(OR(NOT(器件参数!B104),器件参数!E104&lt;&gt;"mixer"),AB104,IF(AND(ISNUMBER(器件参数!T104),器件参数!T104&gt;0),IF(器件参数!U104="sum",AB104+器件参数!T104,IF(器件参数!U104="difference",ABS(AB104-器件参数!T104),"")),"")))</f>
        <v>100000000</v>
      </c>
      <c r="AD104" s="5">
        <f t="shared" si="34"/>
        <v>0</v>
      </c>
      <c r="AE104" s="5">
        <f>IF(AND(ISNUMBER(G104),ISNUMBER(F104)),Tref_K*(G104-1)/F104,"")</f>
        <v>0</v>
      </c>
      <c r="AF104" s="5">
        <f>IF(AND(ISNUMBER(H104),ISNUMBER(E104),NoiseConfigOK),10*LOG10(Boltzmann*Bnoise_Hz*(Tsource_K+Tref_K*(H104-1)))+30+E104,"")</f>
        <v>-90.3704468972711</v>
      </c>
      <c r="AG104" s="5">
        <f t="shared" si="35"/>
        <v>80.3704468972711</v>
      </c>
      <c r="AH104" s="5">
        <f>IF(AND(ToneEnabled,ISNUMBER(E104),ISNUMBER(TonePin)),TonePin+E104,"")</f>
        <v>-10</v>
      </c>
      <c r="AI104" s="5">
        <f>IF(AND(ToneEnabled,ISNUMBER(E104),ISNUMBER(N104),ISNUMBER(TonePin)),3*TonePin+E104-2*N104,"")</f>
        <v>-83.9794000867204</v>
      </c>
      <c r="AJ104" s="5" t="str">
        <f t="shared" si="36"/>
        <v/>
      </c>
      <c r="AK104" s="5" t="str">
        <f>IF(NOT(器件参数!B104),"旁路",IF(NOT(ISNUMBER(AC104)),"频率未知",IF(AC104&lt;=SignalBW/2,"跨零频",IF(AND(ISNUMBER(器件参数!R104),ISNUMBER(器件参数!S104)),IF(AND(AB104-SignalBW/2&gt;=器件参数!R104,AB104+SignalBW/2&lt;=器件参数!S104),"有效","超声明通带"),"未声明通带"))))</f>
        <v>旁路</v>
      </c>
      <c r="AL104" s="5">
        <f t="shared" si="37"/>
        <v>0</v>
      </c>
      <c r="AM104" s="5" t="str">
        <f>IF(AND(器件参数!B104,ISNUMBER(器件参数!X104),OR(AND(ISNUMBER(J104),J104&gt;器件参数!X104),IF(AND(ToneEnabled,ISNUMBER(TonePin),ISNUMBER(D104)),TonePin+10*LOG10(2)+D104&gt;器件参数!X104,FALSE))),"超过绝对最大输入额定值","")</f>
        <v/>
      </c>
      <c r="AN104" s="5">
        <f>IF(NOT(ISNUMBER(AN103)),"",IF(OR(NOT(器件参数!B104),器件参数!E104&lt;&gt;"mixer"),AN103,IF(AND(ISNUMBER(器件参数!T104),器件参数!T104&gt;0),IF(器件参数!U104="sum",AN103+器件参数!T104,ABS(AN103-器件参数!T104)),"")))</f>
        <v>99950000</v>
      </c>
      <c r="AO104" s="5">
        <f>IF(NOT(ISNUMBER(AO103)),"",IF(OR(NOT(器件参数!B104),器件参数!E104&lt;&gt;"mixer"),AO103,IF(AND(ISNUMBER(器件参数!T104),器件参数!T104&gt;0),IF(器件参数!U104="sum",AO103+器件参数!T104,ABS(AO103-器件参数!T104)),"")))</f>
        <v>100050000</v>
      </c>
      <c r="AP104" s="5">
        <f>IF(NOT(ISNUMBER(AP103)),"",IF(OR(NOT(器件参数!B104),器件参数!E104&lt;&gt;"mixer"),AP103,IF(AND(ISNUMBER(器件参数!T104),器件参数!T104&gt;0),IF(器件参数!U104="sum",AP103+器件参数!T104,ABS(AP103-器件参数!T104)),"")))</f>
        <v>99850000</v>
      </c>
      <c r="AQ104" s="5">
        <f>IF(NOT(ISNUMBER(AQ103)),"",IF(OR(NOT(器件参数!B104),器件参数!E104&lt;&gt;"mixer"),AQ103,IF(AND(ISNUMBER(器件参数!T104),器件参数!T104&gt;0),IF(器件参数!U104="sum",AQ103+器件参数!T104,ABS(AQ103-器件参数!T104)),"")))</f>
        <v>100150000</v>
      </c>
      <c r="AR104" s="5" t="b">
        <f>IF(NOT(AR103),FALSE,IF(NOT(器件参数!B104),TRUE,AND(COUNT(AN104:AQ104)=4,MIN(AN104:AQ104)&gt;0,IF(AND(ISNUMBER(器件参数!R104),ISNUMBER(器件参数!S104)),AND(MIN(AN103:AQ103)&gt;=器件参数!R104,MAX(AN103:AQ103)&lt;=器件参数!S104),TRUE),IF(AND(器件参数!E104="mixer",器件参数!U104="difference"),OR(器件参数!T104&lt;MIN(AN103:AQ103),器件参数!T104&gt;MAX(AN103:AQ103)),TRUE))))</f>
        <v>1</v>
      </c>
    </row>
    <row r="105" hidden="1" spans="1:44">
      <c r="A105" s="5">
        <f>器件参数!A105</f>
        <v>102</v>
      </c>
      <c r="B105" s="5" t="str">
        <f>器件参数!D105</f>
        <v/>
      </c>
      <c r="C105" s="5">
        <f>IF(NOT(器件参数!B105),0,IF(AND(ISNUMBER(器件参数!F105),ABS(器件参数!F105)&lt;=300),器件参数!F105,""))</f>
        <v>0</v>
      </c>
      <c r="D105" s="5">
        <f t="shared" si="19"/>
        <v>20</v>
      </c>
      <c r="E105" s="5">
        <f t="shared" si="20"/>
        <v>20</v>
      </c>
      <c r="F105" s="5">
        <f t="shared" si="21"/>
        <v>100</v>
      </c>
      <c r="G105" s="5">
        <f>IFERROR(IF(NOT(器件参数!B105),1,IF(NOT(OR(器件参数!E105&lt;&gt;"mixer",AND(OR(器件参数!V105="SSB",器件参数!V105="DSB"),器件参数!W105=TRUE))),"",IF(器件参数!G105="ideal",1,IF(AND(器件参数!G105="manual",ISNUMBER(器件参数!H105),器件参数!H105&gt;=0),10^(器件参数!H105/10),IF(AND(器件参数!G105="passive_thermal",OR(器件参数!E105="filter_bpf",器件参数!E105="filter_lpf",器件参数!E105="filter_hpf",器件参数!E105="filter_bsf",器件参数!E105="attenuator",器件参数!E105="cable",器件参数!E105="connector",器件参数!E105="switch",器件参数!E105="isolator",器件参数!E105="coupler",器件参数!E105="splitter"),AND(ISNUMBER(器件参数!F105),ABS(器件参数!F105)&lt;=300),器件参数!F105&lt;=0,ISNUMBER(器件参数!I105),器件参数!I105&gt;0),1+(10^(-器件参数!F105/10)-1)*器件参数!I105/Tref_K,""))))),"数值域错误")</f>
        <v>1</v>
      </c>
      <c r="H105" s="5">
        <f t="shared" si="22"/>
        <v>2.29336948552238</v>
      </c>
      <c r="I105" s="5">
        <f t="shared" si="23"/>
        <v>3.604740296957</v>
      </c>
      <c r="J105" s="5">
        <f>IF(AND(ISNUMBER(Pin_dBm),ISNUMBER(D105)),Pin_dBm+D105,"")</f>
        <v>-10</v>
      </c>
      <c r="K105" s="5">
        <f>IF(AND(ISNUMBER(Pin_dBm),ISNUMBER(E105)),Pin_dBm+E105,"")</f>
        <v>-10</v>
      </c>
      <c r="L105" s="5" t="str">
        <f>IF(AND(器件参数!J105="finite",ISNUMBER(器件参数!L105),ISNUMBER(C105)),IF(器件参数!K105="input",器件参数!L105,IF(器件参数!K105="output",器件参数!L105-C105,"")),"")</f>
        <v/>
      </c>
      <c r="M105" s="5">
        <f>IFERROR(IF(NOT(ISNUMBER(M104)),"",IF(OR(NOT(器件参数!B105),器件参数!J105="ideal"),M104,IF(AND(ISNUMBER(L105),ISNUMBER(F105)),M104+F105/10^(L105/10),""))),"数值域错误")</f>
        <v>0.2</v>
      </c>
      <c r="N105" s="5">
        <f t="shared" si="24"/>
        <v>6.98970004336019</v>
      </c>
      <c r="O105" s="5">
        <f t="shared" si="25"/>
        <v>26.9897000433602</v>
      </c>
      <c r="P105" s="5" t="str">
        <f>IF(AND(器件参数!M105="finite",ISNUMBER(器件参数!O105),ISNUMBER(C105)),IF(器件参数!N105="input",器件参数!O105,IF(器件参数!N105="actual_output",器件参数!O105-C105+1,IF(器件参数!N105="linear_output",器件参数!O105-C105,""))),"")</f>
        <v/>
      </c>
      <c r="Q105" s="5">
        <f>IF(器件参数!P105="",IF(AND(ISNUMBER(DefaultP),DefaultP&gt;=1,DefaultP&lt;=10),DefaultP,""),IF(AND(ISNUMBER(器件参数!P105),器件参数!P105&gt;=1,器件参数!P105&lt;=10),器件参数!P105,""))</f>
        <v>2</v>
      </c>
      <c r="R105" s="5">
        <f t="shared" si="26"/>
        <v>-10.0000139708288</v>
      </c>
      <c r="S105" s="5" t="str">
        <f t="shared" si="27"/>
        <v/>
      </c>
      <c r="T105" s="5">
        <f t="shared" si="28"/>
        <v>0</v>
      </c>
      <c r="U105" s="5">
        <f t="shared" si="29"/>
        <v>-10.0000139708288</v>
      </c>
      <c r="V105" s="5">
        <f>IF(AND(ISNUMBER(Pin_dBm),ISNUMBER(E105),ISNUMBER(U105)),Pin_dBm+E105-U105,"")</f>
        <v>1.39708287854035e-5</v>
      </c>
      <c r="W105" s="5" t="str">
        <f>IF(AND(器件参数!B105,X105=1,ISNUMBER(D105)),P105-D105,"")</f>
        <v/>
      </c>
      <c r="X105" s="5">
        <f>IF(NOT(ISNUMBER(C105)),-1,IF(OR(NOT(器件参数!B105),器件参数!M105="ideal"),0,IF(AND(ISNUMBER(P105),ISNUMBER(Q105)),1,-1)))</f>
        <v>0</v>
      </c>
      <c r="Y105" s="5" t="str">
        <f t="shared" si="30"/>
        <v>有效</v>
      </c>
      <c r="Z105" s="5" t="str">
        <f t="shared" si="31"/>
        <v>有效</v>
      </c>
      <c r="AA105" s="5" t="str">
        <f t="shared" si="32"/>
        <v>模型估算</v>
      </c>
      <c r="AB105" s="5">
        <f t="shared" si="33"/>
        <v>100000000</v>
      </c>
      <c r="AC105" s="5">
        <f>IF(NOT(ISNUMBER(AB105)),"",IF(OR(NOT(器件参数!B105),器件参数!E105&lt;&gt;"mixer"),AB105,IF(AND(ISNUMBER(器件参数!T105),器件参数!T105&gt;0),IF(器件参数!U105="sum",AB105+器件参数!T105,IF(器件参数!U105="difference",ABS(AB105-器件参数!T105),"")),"")))</f>
        <v>100000000</v>
      </c>
      <c r="AD105" s="5">
        <f t="shared" si="34"/>
        <v>0</v>
      </c>
      <c r="AE105" s="5">
        <f>IF(AND(ISNUMBER(G105),ISNUMBER(F105)),Tref_K*(G105-1)/F105,"")</f>
        <v>0</v>
      </c>
      <c r="AF105" s="5">
        <f>IF(AND(ISNUMBER(H105),ISNUMBER(E105),NoiseConfigOK),10*LOG10(Boltzmann*Bnoise_Hz*(Tsource_K+Tref_K*(H105-1)))+30+E105,"")</f>
        <v>-90.3704468972711</v>
      </c>
      <c r="AG105" s="5">
        <f t="shared" si="35"/>
        <v>80.3704468972711</v>
      </c>
      <c r="AH105" s="5">
        <f>IF(AND(ToneEnabled,ISNUMBER(E105),ISNUMBER(TonePin)),TonePin+E105,"")</f>
        <v>-10</v>
      </c>
      <c r="AI105" s="5">
        <f>IF(AND(ToneEnabled,ISNUMBER(E105),ISNUMBER(N105),ISNUMBER(TonePin)),3*TonePin+E105-2*N105,"")</f>
        <v>-83.9794000867204</v>
      </c>
      <c r="AJ105" s="5" t="str">
        <f t="shared" si="36"/>
        <v/>
      </c>
      <c r="AK105" s="5" t="str">
        <f>IF(NOT(器件参数!B105),"旁路",IF(NOT(ISNUMBER(AC105)),"频率未知",IF(AC105&lt;=SignalBW/2,"跨零频",IF(AND(ISNUMBER(器件参数!R105),ISNUMBER(器件参数!S105)),IF(AND(AB105-SignalBW/2&gt;=器件参数!R105,AB105+SignalBW/2&lt;=器件参数!S105),"有效","超声明通带"),"未声明通带"))))</f>
        <v>旁路</v>
      </c>
      <c r="AL105" s="5">
        <f t="shared" si="37"/>
        <v>0</v>
      </c>
      <c r="AM105" s="5" t="str">
        <f>IF(AND(器件参数!B105,ISNUMBER(器件参数!X105),OR(AND(ISNUMBER(J105),J105&gt;器件参数!X105),IF(AND(ToneEnabled,ISNUMBER(TonePin),ISNUMBER(D105)),TonePin+10*LOG10(2)+D105&gt;器件参数!X105,FALSE))),"超过绝对最大输入额定值","")</f>
        <v/>
      </c>
      <c r="AN105" s="5">
        <f>IF(NOT(ISNUMBER(AN104)),"",IF(OR(NOT(器件参数!B105),器件参数!E105&lt;&gt;"mixer"),AN104,IF(AND(ISNUMBER(器件参数!T105),器件参数!T105&gt;0),IF(器件参数!U105="sum",AN104+器件参数!T105,ABS(AN104-器件参数!T105)),"")))</f>
        <v>99950000</v>
      </c>
      <c r="AO105" s="5">
        <f>IF(NOT(ISNUMBER(AO104)),"",IF(OR(NOT(器件参数!B105),器件参数!E105&lt;&gt;"mixer"),AO104,IF(AND(ISNUMBER(器件参数!T105),器件参数!T105&gt;0),IF(器件参数!U105="sum",AO104+器件参数!T105,ABS(AO104-器件参数!T105)),"")))</f>
        <v>100050000</v>
      </c>
      <c r="AP105" s="5">
        <f>IF(NOT(ISNUMBER(AP104)),"",IF(OR(NOT(器件参数!B105),器件参数!E105&lt;&gt;"mixer"),AP104,IF(AND(ISNUMBER(器件参数!T105),器件参数!T105&gt;0),IF(器件参数!U105="sum",AP104+器件参数!T105,ABS(AP104-器件参数!T105)),"")))</f>
        <v>99850000</v>
      </c>
      <c r="AQ105" s="5">
        <f>IF(NOT(ISNUMBER(AQ104)),"",IF(OR(NOT(器件参数!B105),器件参数!E105&lt;&gt;"mixer"),AQ104,IF(AND(ISNUMBER(器件参数!T105),器件参数!T105&gt;0),IF(器件参数!U105="sum",AQ104+器件参数!T105,ABS(AQ104-器件参数!T105)),"")))</f>
        <v>100150000</v>
      </c>
      <c r="AR105" s="5" t="b">
        <f>IF(NOT(AR104),FALSE,IF(NOT(器件参数!B105),TRUE,AND(COUNT(AN105:AQ105)=4,MIN(AN105:AQ105)&gt;0,IF(AND(ISNUMBER(器件参数!R105),ISNUMBER(器件参数!S105)),AND(MIN(AN104:AQ104)&gt;=器件参数!R105,MAX(AN104:AQ104)&lt;=器件参数!S105),TRUE),IF(AND(器件参数!E105="mixer",器件参数!U105="difference"),OR(器件参数!T105&lt;MIN(AN104:AQ104),器件参数!T105&gt;MAX(AN104:AQ104)),TRUE))))</f>
        <v>1</v>
      </c>
    </row>
    <row r="106" hidden="1" spans="1:44">
      <c r="A106" s="5">
        <f>器件参数!A106</f>
        <v>103</v>
      </c>
      <c r="B106" s="5" t="str">
        <f>器件参数!D106</f>
        <v/>
      </c>
      <c r="C106" s="5">
        <f>IF(NOT(器件参数!B106),0,IF(AND(ISNUMBER(器件参数!F106),ABS(器件参数!F106)&lt;=300),器件参数!F106,""))</f>
        <v>0</v>
      </c>
      <c r="D106" s="5">
        <f t="shared" si="19"/>
        <v>20</v>
      </c>
      <c r="E106" s="5">
        <f t="shared" si="20"/>
        <v>20</v>
      </c>
      <c r="F106" s="5">
        <f t="shared" si="21"/>
        <v>100</v>
      </c>
      <c r="G106" s="5">
        <f>IFERROR(IF(NOT(器件参数!B106),1,IF(NOT(OR(器件参数!E106&lt;&gt;"mixer",AND(OR(器件参数!V106="SSB",器件参数!V106="DSB"),器件参数!W106=TRUE))),"",IF(器件参数!G106="ideal",1,IF(AND(器件参数!G106="manual",ISNUMBER(器件参数!H106),器件参数!H106&gt;=0),10^(器件参数!H106/10),IF(AND(器件参数!G106="passive_thermal",OR(器件参数!E106="filter_bpf",器件参数!E106="filter_lpf",器件参数!E106="filter_hpf",器件参数!E106="filter_bsf",器件参数!E106="attenuator",器件参数!E106="cable",器件参数!E106="connector",器件参数!E106="switch",器件参数!E106="isolator",器件参数!E106="coupler",器件参数!E106="splitter"),AND(ISNUMBER(器件参数!F106),ABS(器件参数!F106)&lt;=300),器件参数!F106&lt;=0,ISNUMBER(器件参数!I106),器件参数!I106&gt;0),1+(10^(-器件参数!F106/10)-1)*器件参数!I106/Tref_K,""))))),"数值域错误")</f>
        <v>1</v>
      </c>
      <c r="H106" s="5">
        <f t="shared" si="22"/>
        <v>2.29336948552238</v>
      </c>
      <c r="I106" s="5">
        <f t="shared" si="23"/>
        <v>3.604740296957</v>
      </c>
      <c r="J106" s="5">
        <f>IF(AND(ISNUMBER(Pin_dBm),ISNUMBER(D106)),Pin_dBm+D106,"")</f>
        <v>-10</v>
      </c>
      <c r="K106" s="5">
        <f>IF(AND(ISNUMBER(Pin_dBm),ISNUMBER(E106)),Pin_dBm+E106,"")</f>
        <v>-10</v>
      </c>
      <c r="L106" s="5" t="str">
        <f>IF(AND(器件参数!J106="finite",ISNUMBER(器件参数!L106),ISNUMBER(C106)),IF(器件参数!K106="input",器件参数!L106,IF(器件参数!K106="output",器件参数!L106-C106,"")),"")</f>
        <v/>
      </c>
      <c r="M106" s="5">
        <f>IFERROR(IF(NOT(ISNUMBER(M105)),"",IF(OR(NOT(器件参数!B106),器件参数!J106="ideal"),M105,IF(AND(ISNUMBER(L106),ISNUMBER(F106)),M105+F106/10^(L106/10),""))),"数值域错误")</f>
        <v>0.2</v>
      </c>
      <c r="N106" s="5">
        <f t="shared" si="24"/>
        <v>6.98970004336019</v>
      </c>
      <c r="O106" s="5">
        <f t="shared" si="25"/>
        <v>26.9897000433602</v>
      </c>
      <c r="P106" s="5" t="str">
        <f>IF(AND(器件参数!M106="finite",ISNUMBER(器件参数!O106),ISNUMBER(C106)),IF(器件参数!N106="input",器件参数!O106,IF(器件参数!N106="actual_output",器件参数!O106-C106+1,IF(器件参数!N106="linear_output",器件参数!O106-C106,""))),"")</f>
        <v/>
      </c>
      <c r="Q106" s="5">
        <f>IF(器件参数!P106="",IF(AND(ISNUMBER(DefaultP),DefaultP&gt;=1,DefaultP&lt;=10),DefaultP,""),IF(AND(ISNUMBER(器件参数!P106),器件参数!P106&gt;=1,器件参数!P106&lt;=10),器件参数!P106,""))</f>
        <v>2</v>
      </c>
      <c r="R106" s="5">
        <f t="shared" si="26"/>
        <v>-10.0000139708288</v>
      </c>
      <c r="S106" s="5" t="str">
        <f t="shared" si="27"/>
        <v/>
      </c>
      <c r="T106" s="5">
        <f t="shared" si="28"/>
        <v>0</v>
      </c>
      <c r="U106" s="5">
        <f t="shared" si="29"/>
        <v>-10.0000139708288</v>
      </c>
      <c r="V106" s="5">
        <f>IF(AND(ISNUMBER(Pin_dBm),ISNUMBER(E106),ISNUMBER(U106)),Pin_dBm+E106-U106,"")</f>
        <v>1.39708287854035e-5</v>
      </c>
      <c r="W106" s="5" t="str">
        <f>IF(AND(器件参数!B106,X106=1,ISNUMBER(D106)),P106-D106,"")</f>
        <v/>
      </c>
      <c r="X106" s="5">
        <f>IF(NOT(ISNUMBER(C106)),-1,IF(OR(NOT(器件参数!B106),器件参数!M106="ideal"),0,IF(AND(ISNUMBER(P106),ISNUMBER(Q106)),1,-1)))</f>
        <v>0</v>
      </c>
      <c r="Y106" s="5" t="str">
        <f t="shared" si="30"/>
        <v>有效</v>
      </c>
      <c r="Z106" s="5" t="str">
        <f t="shared" si="31"/>
        <v>有效</v>
      </c>
      <c r="AA106" s="5" t="str">
        <f t="shared" si="32"/>
        <v>模型估算</v>
      </c>
      <c r="AB106" s="5">
        <f t="shared" si="33"/>
        <v>100000000</v>
      </c>
      <c r="AC106" s="5">
        <f>IF(NOT(ISNUMBER(AB106)),"",IF(OR(NOT(器件参数!B106),器件参数!E106&lt;&gt;"mixer"),AB106,IF(AND(ISNUMBER(器件参数!T106),器件参数!T106&gt;0),IF(器件参数!U106="sum",AB106+器件参数!T106,IF(器件参数!U106="difference",ABS(AB106-器件参数!T106),"")),"")))</f>
        <v>100000000</v>
      </c>
      <c r="AD106" s="5">
        <f t="shared" si="34"/>
        <v>0</v>
      </c>
      <c r="AE106" s="5">
        <f>IF(AND(ISNUMBER(G106),ISNUMBER(F106)),Tref_K*(G106-1)/F106,"")</f>
        <v>0</v>
      </c>
      <c r="AF106" s="5">
        <f>IF(AND(ISNUMBER(H106),ISNUMBER(E106),NoiseConfigOK),10*LOG10(Boltzmann*Bnoise_Hz*(Tsource_K+Tref_K*(H106-1)))+30+E106,"")</f>
        <v>-90.3704468972711</v>
      </c>
      <c r="AG106" s="5">
        <f t="shared" si="35"/>
        <v>80.3704468972711</v>
      </c>
      <c r="AH106" s="5">
        <f>IF(AND(ToneEnabled,ISNUMBER(E106),ISNUMBER(TonePin)),TonePin+E106,"")</f>
        <v>-10</v>
      </c>
      <c r="AI106" s="5">
        <f>IF(AND(ToneEnabled,ISNUMBER(E106),ISNUMBER(N106),ISNUMBER(TonePin)),3*TonePin+E106-2*N106,"")</f>
        <v>-83.9794000867204</v>
      </c>
      <c r="AJ106" s="5" t="str">
        <f t="shared" si="36"/>
        <v/>
      </c>
      <c r="AK106" s="5" t="str">
        <f>IF(NOT(器件参数!B106),"旁路",IF(NOT(ISNUMBER(AC106)),"频率未知",IF(AC106&lt;=SignalBW/2,"跨零频",IF(AND(ISNUMBER(器件参数!R106),ISNUMBER(器件参数!S106)),IF(AND(AB106-SignalBW/2&gt;=器件参数!R106,AB106+SignalBW/2&lt;=器件参数!S106),"有效","超声明通带"),"未声明通带"))))</f>
        <v>旁路</v>
      </c>
      <c r="AL106" s="5">
        <f t="shared" si="37"/>
        <v>0</v>
      </c>
      <c r="AM106" s="5" t="str">
        <f>IF(AND(器件参数!B106,ISNUMBER(器件参数!X106),OR(AND(ISNUMBER(J106),J106&gt;器件参数!X106),IF(AND(ToneEnabled,ISNUMBER(TonePin),ISNUMBER(D106)),TonePin+10*LOG10(2)+D106&gt;器件参数!X106,FALSE))),"超过绝对最大输入额定值","")</f>
        <v/>
      </c>
      <c r="AN106" s="5">
        <f>IF(NOT(ISNUMBER(AN105)),"",IF(OR(NOT(器件参数!B106),器件参数!E106&lt;&gt;"mixer"),AN105,IF(AND(ISNUMBER(器件参数!T106),器件参数!T106&gt;0),IF(器件参数!U106="sum",AN105+器件参数!T106,ABS(AN105-器件参数!T106)),"")))</f>
        <v>99950000</v>
      </c>
      <c r="AO106" s="5">
        <f>IF(NOT(ISNUMBER(AO105)),"",IF(OR(NOT(器件参数!B106),器件参数!E106&lt;&gt;"mixer"),AO105,IF(AND(ISNUMBER(器件参数!T106),器件参数!T106&gt;0),IF(器件参数!U106="sum",AO105+器件参数!T106,ABS(AO105-器件参数!T106)),"")))</f>
        <v>100050000</v>
      </c>
      <c r="AP106" s="5">
        <f>IF(NOT(ISNUMBER(AP105)),"",IF(OR(NOT(器件参数!B106),器件参数!E106&lt;&gt;"mixer"),AP105,IF(AND(ISNUMBER(器件参数!T106),器件参数!T106&gt;0),IF(器件参数!U106="sum",AP105+器件参数!T106,ABS(AP105-器件参数!T106)),"")))</f>
        <v>99850000</v>
      </c>
      <c r="AQ106" s="5">
        <f>IF(NOT(ISNUMBER(AQ105)),"",IF(OR(NOT(器件参数!B106),器件参数!E106&lt;&gt;"mixer"),AQ105,IF(AND(ISNUMBER(器件参数!T106),器件参数!T106&gt;0),IF(器件参数!U106="sum",AQ105+器件参数!T106,ABS(AQ105-器件参数!T106)),"")))</f>
        <v>100150000</v>
      </c>
      <c r="AR106" s="5" t="b">
        <f>IF(NOT(AR105),FALSE,IF(NOT(器件参数!B106),TRUE,AND(COUNT(AN106:AQ106)=4,MIN(AN106:AQ106)&gt;0,IF(AND(ISNUMBER(器件参数!R106),ISNUMBER(器件参数!S106)),AND(MIN(AN105:AQ105)&gt;=器件参数!R106,MAX(AN105:AQ105)&lt;=器件参数!S106),TRUE),IF(AND(器件参数!E106="mixer",器件参数!U106="difference"),OR(器件参数!T106&lt;MIN(AN105:AQ105),器件参数!T106&gt;MAX(AN105:AQ105)),TRUE))))</f>
        <v>1</v>
      </c>
    </row>
    <row r="107" hidden="1" spans="1:44">
      <c r="A107" s="5">
        <f>器件参数!A107</f>
        <v>104</v>
      </c>
      <c r="B107" s="5" t="str">
        <f>器件参数!D107</f>
        <v/>
      </c>
      <c r="C107" s="5">
        <f>IF(NOT(器件参数!B107),0,IF(AND(ISNUMBER(器件参数!F107),ABS(器件参数!F107)&lt;=300),器件参数!F107,""))</f>
        <v>0</v>
      </c>
      <c r="D107" s="5">
        <f t="shared" si="19"/>
        <v>20</v>
      </c>
      <c r="E107" s="5">
        <f t="shared" si="20"/>
        <v>20</v>
      </c>
      <c r="F107" s="5">
        <f t="shared" si="21"/>
        <v>100</v>
      </c>
      <c r="G107" s="5">
        <f>IFERROR(IF(NOT(器件参数!B107),1,IF(NOT(OR(器件参数!E107&lt;&gt;"mixer",AND(OR(器件参数!V107="SSB",器件参数!V107="DSB"),器件参数!W107=TRUE))),"",IF(器件参数!G107="ideal",1,IF(AND(器件参数!G107="manual",ISNUMBER(器件参数!H107),器件参数!H107&gt;=0),10^(器件参数!H107/10),IF(AND(器件参数!G107="passive_thermal",OR(器件参数!E107="filter_bpf",器件参数!E107="filter_lpf",器件参数!E107="filter_hpf",器件参数!E107="filter_bsf",器件参数!E107="attenuator",器件参数!E107="cable",器件参数!E107="connector",器件参数!E107="switch",器件参数!E107="isolator",器件参数!E107="coupler",器件参数!E107="splitter"),AND(ISNUMBER(器件参数!F107),ABS(器件参数!F107)&lt;=300),器件参数!F107&lt;=0,ISNUMBER(器件参数!I107),器件参数!I107&gt;0),1+(10^(-器件参数!F107/10)-1)*器件参数!I107/Tref_K,""))))),"数值域错误")</f>
        <v>1</v>
      </c>
      <c r="H107" s="5">
        <f t="shared" si="22"/>
        <v>2.29336948552238</v>
      </c>
      <c r="I107" s="5">
        <f t="shared" si="23"/>
        <v>3.604740296957</v>
      </c>
      <c r="J107" s="5">
        <f>IF(AND(ISNUMBER(Pin_dBm),ISNUMBER(D107)),Pin_dBm+D107,"")</f>
        <v>-10</v>
      </c>
      <c r="K107" s="5">
        <f>IF(AND(ISNUMBER(Pin_dBm),ISNUMBER(E107)),Pin_dBm+E107,"")</f>
        <v>-10</v>
      </c>
      <c r="L107" s="5" t="str">
        <f>IF(AND(器件参数!J107="finite",ISNUMBER(器件参数!L107),ISNUMBER(C107)),IF(器件参数!K107="input",器件参数!L107,IF(器件参数!K107="output",器件参数!L107-C107,"")),"")</f>
        <v/>
      </c>
      <c r="M107" s="5">
        <f>IFERROR(IF(NOT(ISNUMBER(M106)),"",IF(OR(NOT(器件参数!B107),器件参数!J107="ideal"),M106,IF(AND(ISNUMBER(L107),ISNUMBER(F107)),M106+F107/10^(L107/10),""))),"数值域错误")</f>
        <v>0.2</v>
      </c>
      <c r="N107" s="5">
        <f t="shared" si="24"/>
        <v>6.98970004336019</v>
      </c>
      <c r="O107" s="5">
        <f t="shared" si="25"/>
        <v>26.9897000433602</v>
      </c>
      <c r="P107" s="5" t="str">
        <f>IF(AND(器件参数!M107="finite",ISNUMBER(器件参数!O107),ISNUMBER(C107)),IF(器件参数!N107="input",器件参数!O107,IF(器件参数!N107="actual_output",器件参数!O107-C107+1,IF(器件参数!N107="linear_output",器件参数!O107-C107,""))),"")</f>
        <v/>
      </c>
      <c r="Q107" s="5">
        <f>IF(器件参数!P107="",IF(AND(ISNUMBER(DefaultP),DefaultP&gt;=1,DefaultP&lt;=10),DefaultP,""),IF(AND(ISNUMBER(器件参数!P107),器件参数!P107&gt;=1,器件参数!P107&lt;=10),器件参数!P107,""))</f>
        <v>2</v>
      </c>
      <c r="R107" s="5">
        <f t="shared" si="26"/>
        <v>-10.0000139708288</v>
      </c>
      <c r="S107" s="5" t="str">
        <f t="shared" si="27"/>
        <v/>
      </c>
      <c r="T107" s="5">
        <f t="shared" si="28"/>
        <v>0</v>
      </c>
      <c r="U107" s="5">
        <f t="shared" si="29"/>
        <v>-10.0000139708288</v>
      </c>
      <c r="V107" s="5">
        <f>IF(AND(ISNUMBER(Pin_dBm),ISNUMBER(E107),ISNUMBER(U107)),Pin_dBm+E107-U107,"")</f>
        <v>1.39708287854035e-5</v>
      </c>
      <c r="W107" s="5" t="str">
        <f>IF(AND(器件参数!B107,X107=1,ISNUMBER(D107)),P107-D107,"")</f>
        <v/>
      </c>
      <c r="X107" s="5">
        <f>IF(NOT(ISNUMBER(C107)),-1,IF(OR(NOT(器件参数!B107),器件参数!M107="ideal"),0,IF(AND(ISNUMBER(P107),ISNUMBER(Q107)),1,-1)))</f>
        <v>0</v>
      </c>
      <c r="Y107" s="5" t="str">
        <f t="shared" si="30"/>
        <v>有效</v>
      </c>
      <c r="Z107" s="5" t="str">
        <f t="shared" si="31"/>
        <v>有效</v>
      </c>
      <c r="AA107" s="5" t="str">
        <f t="shared" si="32"/>
        <v>模型估算</v>
      </c>
      <c r="AB107" s="5">
        <f t="shared" si="33"/>
        <v>100000000</v>
      </c>
      <c r="AC107" s="5">
        <f>IF(NOT(ISNUMBER(AB107)),"",IF(OR(NOT(器件参数!B107),器件参数!E107&lt;&gt;"mixer"),AB107,IF(AND(ISNUMBER(器件参数!T107),器件参数!T107&gt;0),IF(器件参数!U107="sum",AB107+器件参数!T107,IF(器件参数!U107="difference",ABS(AB107-器件参数!T107),"")),"")))</f>
        <v>100000000</v>
      </c>
      <c r="AD107" s="5">
        <f t="shared" si="34"/>
        <v>0</v>
      </c>
      <c r="AE107" s="5">
        <f>IF(AND(ISNUMBER(G107),ISNUMBER(F107)),Tref_K*(G107-1)/F107,"")</f>
        <v>0</v>
      </c>
      <c r="AF107" s="5">
        <f>IF(AND(ISNUMBER(H107),ISNUMBER(E107),NoiseConfigOK),10*LOG10(Boltzmann*Bnoise_Hz*(Tsource_K+Tref_K*(H107-1)))+30+E107,"")</f>
        <v>-90.3704468972711</v>
      </c>
      <c r="AG107" s="5">
        <f t="shared" si="35"/>
        <v>80.3704468972711</v>
      </c>
      <c r="AH107" s="5">
        <f>IF(AND(ToneEnabled,ISNUMBER(E107),ISNUMBER(TonePin)),TonePin+E107,"")</f>
        <v>-10</v>
      </c>
      <c r="AI107" s="5">
        <f>IF(AND(ToneEnabled,ISNUMBER(E107),ISNUMBER(N107),ISNUMBER(TonePin)),3*TonePin+E107-2*N107,"")</f>
        <v>-83.9794000867204</v>
      </c>
      <c r="AJ107" s="5" t="str">
        <f t="shared" si="36"/>
        <v/>
      </c>
      <c r="AK107" s="5" t="str">
        <f>IF(NOT(器件参数!B107),"旁路",IF(NOT(ISNUMBER(AC107)),"频率未知",IF(AC107&lt;=SignalBW/2,"跨零频",IF(AND(ISNUMBER(器件参数!R107),ISNUMBER(器件参数!S107)),IF(AND(AB107-SignalBW/2&gt;=器件参数!R107,AB107+SignalBW/2&lt;=器件参数!S107),"有效","超声明通带"),"未声明通带"))))</f>
        <v>旁路</v>
      </c>
      <c r="AL107" s="5">
        <f t="shared" si="37"/>
        <v>0</v>
      </c>
      <c r="AM107" s="5" t="str">
        <f>IF(AND(器件参数!B107,ISNUMBER(器件参数!X107),OR(AND(ISNUMBER(J107),J107&gt;器件参数!X107),IF(AND(ToneEnabled,ISNUMBER(TonePin),ISNUMBER(D107)),TonePin+10*LOG10(2)+D107&gt;器件参数!X107,FALSE))),"超过绝对最大输入额定值","")</f>
        <v/>
      </c>
      <c r="AN107" s="5">
        <f>IF(NOT(ISNUMBER(AN106)),"",IF(OR(NOT(器件参数!B107),器件参数!E107&lt;&gt;"mixer"),AN106,IF(AND(ISNUMBER(器件参数!T107),器件参数!T107&gt;0),IF(器件参数!U107="sum",AN106+器件参数!T107,ABS(AN106-器件参数!T107)),"")))</f>
        <v>99950000</v>
      </c>
      <c r="AO107" s="5">
        <f>IF(NOT(ISNUMBER(AO106)),"",IF(OR(NOT(器件参数!B107),器件参数!E107&lt;&gt;"mixer"),AO106,IF(AND(ISNUMBER(器件参数!T107),器件参数!T107&gt;0),IF(器件参数!U107="sum",AO106+器件参数!T107,ABS(AO106-器件参数!T107)),"")))</f>
        <v>100050000</v>
      </c>
      <c r="AP107" s="5">
        <f>IF(NOT(ISNUMBER(AP106)),"",IF(OR(NOT(器件参数!B107),器件参数!E107&lt;&gt;"mixer"),AP106,IF(AND(ISNUMBER(器件参数!T107),器件参数!T107&gt;0),IF(器件参数!U107="sum",AP106+器件参数!T107,ABS(AP106-器件参数!T107)),"")))</f>
        <v>99850000</v>
      </c>
      <c r="AQ107" s="5">
        <f>IF(NOT(ISNUMBER(AQ106)),"",IF(OR(NOT(器件参数!B107),器件参数!E107&lt;&gt;"mixer"),AQ106,IF(AND(ISNUMBER(器件参数!T107),器件参数!T107&gt;0),IF(器件参数!U107="sum",AQ106+器件参数!T107,ABS(AQ106-器件参数!T107)),"")))</f>
        <v>100150000</v>
      </c>
      <c r="AR107" s="5" t="b">
        <f>IF(NOT(AR106),FALSE,IF(NOT(器件参数!B107),TRUE,AND(COUNT(AN107:AQ107)=4,MIN(AN107:AQ107)&gt;0,IF(AND(ISNUMBER(器件参数!R107),ISNUMBER(器件参数!S107)),AND(MIN(AN106:AQ106)&gt;=器件参数!R107,MAX(AN106:AQ106)&lt;=器件参数!S107),TRUE),IF(AND(器件参数!E107="mixer",器件参数!U107="difference"),OR(器件参数!T107&lt;MIN(AN106:AQ106),器件参数!T107&gt;MAX(AN106:AQ106)),TRUE))))</f>
        <v>1</v>
      </c>
    </row>
    <row r="108" hidden="1" spans="1:44">
      <c r="A108" s="5">
        <f>器件参数!A108</f>
        <v>105</v>
      </c>
      <c r="B108" s="5" t="str">
        <f>器件参数!D108</f>
        <v/>
      </c>
      <c r="C108" s="5">
        <f>IF(NOT(器件参数!B108),0,IF(AND(ISNUMBER(器件参数!F108),ABS(器件参数!F108)&lt;=300),器件参数!F108,""))</f>
        <v>0</v>
      </c>
      <c r="D108" s="5">
        <f t="shared" si="19"/>
        <v>20</v>
      </c>
      <c r="E108" s="5">
        <f t="shared" si="20"/>
        <v>20</v>
      </c>
      <c r="F108" s="5">
        <f t="shared" si="21"/>
        <v>100</v>
      </c>
      <c r="G108" s="5">
        <f>IFERROR(IF(NOT(器件参数!B108),1,IF(NOT(OR(器件参数!E108&lt;&gt;"mixer",AND(OR(器件参数!V108="SSB",器件参数!V108="DSB"),器件参数!W108=TRUE))),"",IF(器件参数!G108="ideal",1,IF(AND(器件参数!G108="manual",ISNUMBER(器件参数!H108),器件参数!H108&gt;=0),10^(器件参数!H108/10),IF(AND(器件参数!G108="passive_thermal",OR(器件参数!E108="filter_bpf",器件参数!E108="filter_lpf",器件参数!E108="filter_hpf",器件参数!E108="filter_bsf",器件参数!E108="attenuator",器件参数!E108="cable",器件参数!E108="connector",器件参数!E108="switch",器件参数!E108="isolator",器件参数!E108="coupler",器件参数!E108="splitter"),AND(ISNUMBER(器件参数!F108),ABS(器件参数!F108)&lt;=300),器件参数!F108&lt;=0,ISNUMBER(器件参数!I108),器件参数!I108&gt;0),1+(10^(-器件参数!F108/10)-1)*器件参数!I108/Tref_K,""))))),"数值域错误")</f>
        <v>1</v>
      </c>
      <c r="H108" s="5">
        <f t="shared" si="22"/>
        <v>2.29336948552238</v>
      </c>
      <c r="I108" s="5">
        <f t="shared" si="23"/>
        <v>3.604740296957</v>
      </c>
      <c r="J108" s="5">
        <f>IF(AND(ISNUMBER(Pin_dBm),ISNUMBER(D108)),Pin_dBm+D108,"")</f>
        <v>-10</v>
      </c>
      <c r="K108" s="5">
        <f>IF(AND(ISNUMBER(Pin_dBm),ISNUMBER(E108)),Pin_dBm+E108,"")</f>
        <v>-10</v>
      </c>
      <c r="L108" s="5" t="str">
        <f>IF(AND(器件参数!J108="finite",ISNUMBER(器件参数!L108),ISNUMBER(C108)),IF(器件参数!K108="input",器件参数!L108,IF(器件参数!K108="output",器件参数!L108-C108,"")),"")</f>
        <v/>
      </c>
      <c r="M108" s="5">
        <f>IFERROR(IF(NOT(ISNUMBER(M107)),"",IF(OR(NOT(器件参数!B108),器件参数!J108="ideal"),M107,IF(AND(ISNUMBER(L108),ISNUMBER(F108)),M107+F108/10^(L108/10),""))),"数值域错误")</f>
        <v>0.2</v>
      </c>
      <c r="N108" s="5">
        <f t="shared" si="24"/>
        <v>6.98970004336019</v>
      </c>
      <c r="O108" s="5">
        <f t="shared" si="25"/>
        <v>26.9897000433602</v>
      </c>
      <c r="P108" s="5" t="str">
        <f>IF(AND(器件参数!M108="finite",ISNUMBER(器件参数!O108),ISNUMBER(C108)),IF(器件参数!N108="input",器件参数!O108,IF(器件参数!N108="actual_output",器件参数!O108-C108+1,IF(器件参数!N108="linear_output",器件参数!O108-C108,""))),"")</f>
        <v/>
      </c>
      <c r="Q108" s="5">
        <f>IF(器件参数!P108="",IF(AND(ISNUMBER(DefaultP),DefaultP&gt;=1,DefaultP&lt;=10),DefaultP,""),IF(AND(ISNUMBER(器件参数!P108),器件参数!P108&gt;=1,器件参数!P108&lt;=10),器件参数!P108,""))</f>
        <v>2</v>
      </c>
      <c r="R108" s="5">
        <f t="shared" si="26"/>
        <v>-10.0000139708288</v>
      </c>
      <c r="S108" s="5" t="str">
        <f t="shared" si="27"/>
        <v/>
      </c>
      <c r="T108" s="5">
        <f t="shared" si="28"/>
        <v>0</v>
      </c>
      <c r="U108" s="5">
        <f t="shared" si="29"/>
        <v>-10.0000139708288</v>
      </c>
      <c r="V108" s="5">
        <f>IF(AND(ISNUMBER(Pin_dBm),ISNUMBER(E108),ISNUMBER(U108)),Pin_dBm+E108-U108,"")</f>
        <v>1.39708287854035e-5</v>
      </c>
      <c r="W108" s="5" t="str">
        <f>IF(AND(器件参数!B108,X108=1,ISNUMBER(D108)),P108-D108,"")</f>
        <v/>
      </c>
      <c r="X108" s="5">
        <f>IF(NOT(ISNUMBER(C108)),-1,IF(OR(NOT(器件参数!B108),器件参数!M108="ideal"),0,IF(AND(ISNUMBER(P108),ISNUMBER(Q108)),1,-1)))</f>
        <v>0</v>
      </c>
      <c r="Y108" s="5" t="str">
        <f t="shared" si="30"/>
        <v>有效</v>
      </c>
      <c r="Z108" s="5" t="str">
        <f t="shared" si="31"/>
        <v>有效</v>
      </c>
      <c r="AA108" s="5" t="str">
        <f t="shared" si="32"/>
        <v>模型估算</v>
      </c>
      <c r="AB108" s="5">
        <f t="shared" si="33"/>
        <v>100000000</v>
      </c>
      <c r="AC108" s="5">
        <f>IF(NOT(ISNUMBER(AB108)),"",IF(OR(NOT(器件参数!B108),器件参数!E108&lt;&gt;"mixer"),AB108,IF(AND(ISNUMBER(器件参数!T108),器件参数!T108&gt;0),IF(器件参数!U108="sum",AB108+器件参数!T108,IF(器件参数!U108="difference",ABS(AB108-器件参数!T108),"")),"")))</f>
        <v>100000000</v>
      </c>
      <c r="AD108" s="5">
        <f t="shared" si="34"/>
        <v>0</v>
      </c>
      <c r="AE108" s="5">
        <f>IF(AND(ISNUMBER(G108),ISNUMBER(F108)),Tref_K*(G108-1)/F108,"")</f>
        <v>0</v>
      </c>
      <c r="AF108" s="5">
        <f>IF(AND(ISNUMBER(H108),ISNUMBER(E108),NoiseConfigOK),10*LOG10(Boltzmann*Bnoise_Hz*(Tsource_K+Tref_K*(H108-1)))+30+E108,"")</f>
        <v>-90.3704468972711</v>
      </c>
      <c r="AG108" s="5">
        <f t="shared" si="35"/>
        <v>80.3704468972711</v>
      </c>
      <c r="AH108" s="5">
        <f>IF(AND(ToneEnabled,ISNUMBER(E108),ISNUMBER(TonePin)),TonePin+E108,"")</f>
        <v>-10</v>
      </c>
      <c r="AI108" s="5">
        <f>IF(AND(ToneEnabled,ISNUMBER(E108),ISNUMBER(N108),ISNUMBER(TonePin)),3*TonePin+E108-2*N108,"")</f>
        <v>-83.9794000867204</v>
      </c>
      <c r="AJ108" s="5" t="str">
        <f t="shared" si="36"/>
        <v/>
      </c>
      <c r="AK108" s="5" t="str">
        <f>IF(NOT(器件参数!B108),"旁路",IF(NOT(ISNUMBER(AC108)),"频率未知",IF(AC108&lt;=SignalBW/2,"跨零频",IF(AND(ISNUMBER(器件参数!R108),ISNUMBER(器件参数!S108)),IF(AND(AB108-SignalBW/2&gt;=器件参数!R108,AB108+SignalBW/2&lt;=器件参数!S108),"有效","超声明通带"),"未声明通带"))))</f>
        <v>旁路</v>
      </c>
      <c r="AL108" s="5">
        <f t="shared" si="37"/>
        <v>0</v>
      </c>
      <c r="AM108" s="5" t="str">
        <f>IF(AND(器件参数!B108,ISNUMBER(器件参数!X108),OR(AND(ISNUMBER(J108),J108&gt;器件参数!X108),IF(AND(ToneEnabled,ISNUMBER(TonePin),ISNUMBER(D108)),TonePin+10*LOG10(2)+D108&gt;器件参数!X108,FALSE))),"超过绝对最大输入额定值","")</f>
        <v/>
      </c>
      <c r="AN108" s="5">
        <f>IF(NOT(ISNUMBER(AN107)),"",IF(OR(NOT(器件参数!B108),器件参数!E108&lt;&gt;"mixer"),AN107,IF(AND(ISNUMBER(器件参数!T108),器件参数!T108&gt;0),IF(器件参数!U108="sum",AN107+器件参数!T108,ABS(AN107-器件参数!T108)),"")))</f>
        <v>99950000</v>
      </c>
      <c r="AO108" s="5">
        <f>IF(NOT(ISNUMBER(AO107)),"",IF(OR(NOT(器件参数!B108),器件参数!E108&lt;&gt;"mixer"),AO107,IF(AND(ISNUMBER(器件参数!T108),器件参数!T108&gt;0),IF(器件参数!U108="sum",AO107+器件参数!T108,ABS(AO107-器件参数!T108)),"")))</f>
        <v>100050000</v>
      </c>
      <c r="AP108" s="5">
        <f>IF(NOT(ISNUMBER(AP107)),"",IF(OR(NOT(器件参数!B108),器件参数!E108&lt;&gt;"mixer"),AP107,IF(AND(ISNUMBER(器件参数!T108),器件参数!T108&gt;0),IF(器件参数!U108="sum",AP107+器件参数!T108,ABS(AP107-器件参数!T108)),"")))</f>
        <v>99850000</v>
      </c>
      <c r="AQ108" s="5">
        <f>IF(NOT(ISNUMBER(AQ107)),"",IF(OR(NOT(器件参数!B108),器件参数!E108&lt;&gt;"mixer"),AQ107,IF(AND(ISNUMBER(器件参数!T108),器件参数!T108&gt;0),IF(器件参数!U108="sum",AQ107+器件参数!T108,ABS(AQ107-器件参数!T108)),"")))</f>
        <v>100150000</v>
      </c>
      <c r="AR108" s="5" t="b">
        <f>IF(NOT(AR107),FALSE,IF(NOT(器件参数!B108),TRUE,AND(COUNT(AN108:AQ108)=4,MIN(AN108:AQ108)&gt;0,IF(AND(ISNUMBER(器件参数!R108),ISNUMBER(器件参数!S108)),AND(MIN(AN107:AQ107)&gt;=器件参数!R108,MAX(AN107:AQ107)&lt;=器件参数!S108),TRUE),IF(AND(器件参数!E108="mixer",器件参数!U108="difference"),OR(器件参数!T108&lt;MIN(AN107:AQ107),器件参数!T108&gt;MAX(AN107:AQ107)),TRUE))))</f>
        <v>1</v>
      </c>
    </row>
    <row r="109" hidden="1" spans="1:44">
      <c r="A109" s="5">
        <f>器件参数!A109</f>
        <v>106</v>
      </c>
      <c r="B109" s="5" t="str">
        <f>器件参数!D109</f>
        <v/>
      </c>
      <c r="C109" s="5">
        <f>IF(NOT(器件参数!B109),0,IF(AND(ISNUMBER(器件参数!F109),ABS(器件参数!F109)&lt;=300),器件参数!F109,""))</f>
        <v>0</v>
      </c>
      <c r="D109" s="5">
        <f t="shared" si="19"/>
        <v>20</v>
      </c>
      <c r="E109" s="5">
        <f t="shared" si="20"/>
        <v>20</v>
      </c>
      <c r="F109" s="5">
        <f t="shared" si="21"/>
        <v>100</v>
      </c>
      <c r="G109" s="5">
        <f>IFERROR(IF(NOT(器件参数!B109),1,IF(NOT(OR(器件参数!E109&lt;&gt;"mixer",AND(OR(器件参数!V109="SSB",器件参数!V109="DSB"),器件参数!W109=TRUE))),"",IF(器件参数!G109="ideal",1,IF(AND(器件参数!G109="manual",ISNUMBER(器件参数!H109),器件参数!H109&gt;=0),10^(器件参数!H109/10),IF(AND(器件参数!G109="passive_thermal",OR(器件参数!E109="filter_bpf",器件参数!E109="filter_lpf",器件参数!E109="filter_hpf",器件参数!E109="filter_bsf",器件参数!E109="attenuator",器件参数!E109="cable",器件参数!E109="connector",器件参数!E109="switch",器件参数!E109="isolator",器件参数!E109="coupler",器件参数!E109="splitter"),AND(ISNUMBER(器件参数!F109),ABS(器件参数!F109)&lt;=300),器件参数!F109&lt;=0,ISNUMBER(器件参数!I109),器件参数!I109&gt;0),1+(10^(-器件参数!F109/10)-1)*器件参数!I109/Tref_K,""))))),"数值域错误")</f>
        <v>1</v>
      </c>
      <c r="H109" s="5">
        <f t="shared" si="22"/>
        <v>2.29336948552238</v>
      </c>
      <c r="I109" s="5">
        <f t="shared" si="23"/>
        <v>3.604740296957</v>
      </c>
      <c r="J109" s="5">
        <f>IF(AND(ISNUMBER(Pin_dBm),ISNUMBER(D109)),Pin_dBm+D109,"")</f>
        <v>-10</v>
      </c>
      <c r="K109" s="5">
        <f>IF(AND(ISNUMBER(Pin_dBm),ISNUMBER(E109)),Pin_dBm+E109,"")</f>
        <v>-10</v>
      </c>
      <c r="L109" s="5" t="str">
        <f>IF(AND(器件参数!J109="finite",ISNUMBER(器件参数!L109),ISNUMBER(C109)),IF(器件参数!K109="input",器件参数!L109,IF(器件参数!K109="output",器件参数!L109-C109,"")),"")</f>
        <v/>
      </c>
      <c r="M109" s="5">
        <f>IFERROR(IF(NOT(ISNUMBER(M108)),"",IF(OR(NOT(器件参数!B109),器件参数!J109="ideal"),M108,IF(AND(ISNUMBER(L109),ISNUMBER(F109)),M108+F109/10^(L109/10),""))),"数值域错误")</f>
        <v>0.2</v>
      </c>
      <c r="N109" s="5">
        <f t="shared" si="24"/>
        <v>6.98970004336019</v>
      </c>
      <c r="O109" s="5">
        <f t="shared" si="25"/>
        <v>26.9897000433602</v>
      </c>
      <c r="P109" s="5" t="str">
        <f>IF(AND(器件参数!M109="finite",ISNUMBER(器件参数!O109),ISNUMBER(C109)),IF(器件参数!N109="input",器件参数!O109,IF(器件参数!N109="actual_output",器件参数!O109-C109+1,IF(器件参数!N109="linear_output",器件参数!O109-C109,""))),"")</f>
        <v/>
      </c>
      <c r="Q109" s="5">
        <f>IF(器件参数!P109="",IF(AND(ISNUMBER(DefaultP),DefaultP&gt;=1,DefaultP&lt;=10),DefaultP,""),IF(AND(ISNUMBER(器件参数!P109),器件参数!P109&gt;=1,器件参数!P109&lt;=10),器件参数!P109,""))</f>
        <v>2</v>
      </c>
      <c r="R109" s="5">
        <f t="shared" si="26"/>
        <v>-10.0000139708288</v>
      </c>
      <c r="S109" s="5" t="str">
        <f t="shared" si="27"/>
        <v/>
      </c>
      <c r="T109" s="5">
        <f t="shared" si="28"/>
        <v>0</v>
      </c>
      <c r="U109" s="5">
        <f t="shared" si="29"/>
        <v>-10.0000139708288</v>
      </c>
      <c r="V109" s="5">
        <f>IF(AND(ISNUMBER(Pin_dBm),ISNUMBER(E109),ISNUMBER(U109)),Pin_dBm+E109-U109,"")</f>
        <v>1.39708287854035e-5</v>
      </c>
      <c r="W109" s="5" t="str">
        <f>IF(AND(器件参数!B109,X109=1,ISNUMBER(D109)),P109-D109,"")</f>
        <v/>
      </c>
      <c r="X109" s="5">
        <f>IF(NOT(ISNUMBER(C109)),-1,IF(OR(NOT(器件参数!B109),器件参数!M109="ideal"),0,IF(AND(ISNUMBER(P109),ISNUMBER(Q109)),1,-1)))</f>
        <v>0</v>
      </c>
      <c r="Y109" s="5" t="str">
        <f t="shared" si="30"/>
        <v>有效</v>
      </c>
      <c r="Z109" s="5" t="str">
        <f t="shared" si="31"/>
        <v>有效</v>
      </c>
      <c r="AA109" s="5" t="str">
        <f t="shared" si="32"/>
        <v>模型估算</v>
      </c>
      <c r="AB109" s="5">
        <f t="shared" si="33"/>
        <v>100000000</v>
      </c>
      <c r="AC109" s="5">
        <f>IF(NOT(ISNUMBER(AB109)),"",IF(OR(NOT(器件参数!B109),器件参数!E109&lt;&gt;"mixer"),AB109,IF(AND(ISNUMBER(器件参数!T109),器件参数!T109&gt;0),IF(器件参数!U109="sum",AB109+器件参数!T109,IF(器件参数!U109="difference",ABS(AB109-器件参数!T109),"")),"")))</f>
        <v>100000000</v>
      </c>
      <c r="AD109" s="5">
        <f t="shared" si="34"/>
        <v>0</v>
      </c>
      <c r="AE109" s="5">
        <f>IF(AND(ISNUMBER(G109),ISNUMBER(F109)),Tref_K*(G109-1)/F109,"")</f>
        <v>0</v>
      </c>
      <c r="AF109" s="5">
        <f>IF(AND(ISNUMBER(H109),ISNUMBER(E109),NoiseConfigOK),10*LOG10(Boltzmann*Bnoise_Hz*(Tsource_K+Tref_K*(H109-1)))+30+E109,"")</f>
        <v>-90.3704468972711</v>
      </c>
      <c r="AG109" s="5">
        <f t="shared" si="35"/>
        <v>80.3704468972711</v>
      </c>
      <c r="AH109" s="5">
        <f>IF(AND(ToneEnabled,ISNUMBER(E109),ISNUMBER(TonePin)),TonePin+E109,"")</f>
        <v>-10</v>
      </c>
      <c r="AI109" s="5">
        <f>IF(AND(ToneEnabled,ISNUMBER(E109),ISNUMBER(N109),ISNUMBER(TonePin)),3*TonePin+E109-2*N109,"")</f>
        <v>-83.9794000867204</v>
      </c>
      <c r="AJ109" s="5" t="str">
        <f t="shared" si="36"/>
        <v/>
      </c>
      <c r="AK109" s="5" t="str">
        <f>IF(NOT(器件参数!B109),"旁路",IF(NOT(ISNUMBER(AC109)),"频率未知",IF(AC109&lt;=SignalBW/2,"跨零频",IF(AND(ISNUMBER(器件参数!R109),ISNUMBER(器件参数!S109)),IF(AND(AB109-SignalBW/2&gt;=器件参数!R109,AB109+SignalBW/2&lt;=器件参数!S109),"有效","超声明通带"),"未声明通带"))))</f>
        <v>旁路</v>
      </c>
      <c r="AL109" s="5">
        <f t="shared" si="37"/>
        <v>0</v>
      </c>
      <c r="AM109" s="5" t="str">
        <f>IF(AND(器件参数!B109,ISNUMBER(器件参数!X109),OR(AND(ISNUMBER(J109),J109&gt;器件参数!X109),IF(AND(ToneEnabled,ISNUMBER(TonePin),ISNUMBER(D109)),TonePin+10*LOG10(2)+D109&gt;器件参数!X109,FALSE))),"超过绝对最大输入额定值","")</f>
        <v/>
      </c>
      <c r="AN109" s="5">
        <f>IF(NOT(ISNUMBER(AN108)),"",IF(OR(NOT(器件参数!B109),器件参数!E109&lt;&gt;"mixer"),AN108,IF(AND(ISNUMBER(器件参数!T109),器件参数!T109&gt;0),IF(器件参数!U109="sum",AN108+器件参数!T109,ABS(AN108-器件参数!T109)),"")))</f>
        <v>99950000</v>
      </c>
      <c r="AO109" s="5">
        <f>IF(NOT(ISNUMBER(AO108)),"",IF(OR(NOT(器件参数!B109),器件参数!E109&lt;&gt;"mixer"),AO108,IF(AND(ISNUMBER(器件参数!T109),器件参数!T109&gt;0),IF(器件参数!U109="sum",AO108+器件参数!T109,ABS(AO108-器件参数!T109)),"")))</f>
        <v>100050000</v>
      </c>
      <c r="AP109" s="5">
        <f>IF(NOT(ISNUMBER(AP108)),"",IF(OR(NOT(器件参数!B109),器件参数!E109&lt;&gt;"mixer"),AP108,IF(AND(ISNUMBER(器件参数!T109),器件参数!T109&gt;0),IF(器件参数!U109="sum",AP108+器件参数!T109,ABS(AP108-器件参数!T109)),"")))</f>
        <v>99850000</v>
      </c>
      <c r="AQ109" s="5">
        <f>IF(NOT(ISNUMBER(AQ108)),"",IF(OR(NOT(器件参数!B109),器件参数!E109&lt;&gt;"mixer"),AQ108,IF(AND(ISNUMBER(器件参数!T109),器件参数!T109&gt;0),IF(器件参数!U109="sum",AQ108+器件参数!T109,ABS(AQ108-器件参数!T109)),"")))</f>
        <v>100150000</v>
      </c>
      <c r="AR109" s="5" t="b">
        <f>IF(NOT(AR108),FALSE,IF(NOT(器件参数!B109),TRUE,AND(COUNT(AN109:AQ109)=4,MIN(AN109:AQ109)&gt;0,IF(AND(ISNUMBER(器件参数!R109),ISNUMBER(器件参数!S109)),AND(MIN(AN108:AQ108)&gt;=器件参数!R109,MAX(AN108:AQ108)&lt;=器件参数!S109),TRUE),IF(AND(器件参数!E109="mixer",器件参数!U109="difference"),OR(器件参数!T109&lt;MIN(AN108:AQ108),器件参数!T109&gt;MAX(AN108:AQ108)),TRUE))))</f>
        <v>1</v>
      </c>
    </row>
    <row r="110" hidden="1" spans="1:44">
      <c r="A110" s="5">
        <f>器件参数!A110</f>
        <v>107</v>
      </c>
      <c r="B110" s="5" t="str">
        <f>器件参数!D110</f>
        <v/>
      </c>
      <c r="C110" s="5">
        <f>IF(NOT(器件参数!B110),0,IF(AND(ISNUMBER(器件参数!F110),ABS(器件参数!F110)&lt;=300),器件参数!F110,""))</f>
        <v>0</v>
      </c>
      <c r="D110" s="5">
        <f t="shared" si="19"/>
        <v>20</v>
      </c>
      <c r="E110" s="5">
        <f t="shared" si="20"/>
        <v>20</v>
      </c>
      <c r="F110" s="5">
        <f t="shared" si="21"/>
        <v>100</v>
      </c>
      <c r="G110" s="5">
        <f>IFERROR(IF(NOT(器件参数!B110),1,IF(NOT(OR(器件参数!E110&lt;&gt;"mixer",AND(OR(器件参数!V110="SSB",器件参数!V110="DSB"),器件参数!W110=TRUE))),"",IF(器件参数!G110="ideal",1,IF(AND(器件参数!G110="manual",ISNUMBER(器件参数!H110),器件参数!H110&gt;=0),10^(器件参数!H110/10),IF(AND(器件参数!G110="passive_thermal",OR(器件参数!E110="filter_bpf",器件参数!E110="filter_lpf",器件参数!E110="filter_hpf",器件参数!E110="filter_bsf",器件参数!E110="attenuator",器件参数!E110="cable",器件参数!E110="connector",器件参数!E110="switch",器件参数!E110="isolator",器件参数!E110="coupler",器件参数!E110="splitter"),AND(ISNUMBER(器件参数!F110),ABS(器件参数!F110)&lt;=300),器件参数!F110&lt;=0,ISNUMBER(器件参数!I110),器件参数!I110&gt;0),1+(10^(-器件参数!F110/10)-1)*器件参数!I110/Tref_K,""))))),"数值域错误")</f>
        <v>1</v>
      </c>
      <c r="H110" s="5">
        <f t="shared" si="22"/>
        <v>2.29336948552238</v>
      </c>
      <c r="I110" s="5">
        <f t="shared" si="23"/>
        <v>3.604740296957</v>
      </c>
      <c r="J110" s="5">
        <f>IF(AND(ISNUMBER(Pin_dBm),ISNUMBER(D110)),Pin_dBm+D110,"")</f>
        <v>-10</v>
      </c>
      <c r="K110" s="5">
        <f>IF(AND(ISNUMBER(Pin_dBm),ISNUMBER(E110)),Pin_dBm+E110,"")</f>
        <v>-10</v>
      </c>
      <c r="L110" s="5" t="str">
        <f>IF(AND(器件参数!J110="finite",ISNUMBER(器件参数!L110),ISNUMBER(C110)),IF(器件参数!K110="input",器件参数!L110,IF(器件参数!K110="output",器件参数!L110-C110,"")),"")</f>
        <v/>
      </c>
      <c r="M110" s="5">
        <f>IFERROR(IF(NOT(ISNUMBER(M109)),"",IF(OR(NOT(器件参数!B110),器件参数!J110="ideal"),M109,IF(AND(ISNUMBER(L110),ISNUMBER(F110)),M109+F110/10^(L110/10),""))),"数值域错误")</f>
        <v>0.2</v>
      </c>
      <c r="N110" s="5">
        <f t="shared" si="24"/>
        <v>6.98970004336019</v>
      </c>
      <c r="O110" s="5">
        <f t="shared" si="25"/>
        <v>26.9897000433602</v>
      </c>
      <c r="P110" s="5" t="str">
        <f>IF(AND(器件参数!M110="finite",ISNUMBER(器件参数!O110),ISNUMBER(C110)),IF(器件参数!N110="input",器件参数!O110,IF(器件参数!N110="actual_output",器件参数!O110-C110+1,IF(器件参数!N110="linear_output",器件参数!O110-C110,""))),"")</f>
        <v/>
      </c>
      <c r="Q110" s="5">
        <f>IF(器件参数!P110="",IF(AND(ISNUMBER(DefaultP),DefaultP&gt;=1,DefaultP&lt;=10),DefaultP,""),IF(AND(ISNUMBER(器件参数!P110),器件参数!P110&gt;=1,器件参数!P110&lt;=10),器件参数!P110,""))</f>
        <v>2</v>
      </c>
      <c r="R110" s="5">
        <f t="shared" si="26"/>
        <v>-10.0000139708288</v>
      </c>
      <c r="S110" s="5" t="str">
        <f t="shared" si="27"/>
        <v/>
      </c>
      <c r="T110" s="5">
        <f t="shared" si="28"/>
        <v>0</v>
      </c>
      <c r="U110" s="5">
        <f t="shared" si="29"/>
        <v>-10.0000139708288</v>
      </c>
      <c r="V110" s="5">
        <f>IF(AND(ISNUMBER(Pin_dBm),ISNUMBER(E110),ISNUMBER(U110)),Pin_dBm+E110-U110,"")</f>
        <v>1.39708287854035e-5</v>
      </c>
      <c r="W110" s="5" t="str">
        <f>IF(AND(器件参数!B110,X110=1,ISNUMBER(D110)),P110-D110,"")</f>
        <v/>
      </c>
      <c r="X110" s="5">
        <f>IF(NOT(ISNUMBER(C110)),-1,IF(OR(NOT(器件参数!B110),器件参数!M110="ideal"),0,IF(AND(ISNUMBER(P110),ISNUMBER(Q110)),1,-1)))</f>
        <v>0</v>
      </c>
      <c r="Y110" s="5" t="str">
        <f t="shared" si="30"/>
        <v>有效</v>
      </c>
      <c r="Z110" s="5" t="str">
        <f t="shared" si="31"/>
        <v>有效</v>
      </c>
      <c r="AA110" s="5" t="str">
        <f t="shared" si="32"/>
        <v>模型估算</v>
      </c>
      <c r="AB110" s="5">
        <f t="shared" si="33"/>
        <v>100000000</v>
      </c>
      <c r="AC110" s="5">
        <f>IF(NOT(ISNUMBER(AB110)),"",IF(OR(NOT(器件参数!B110),器件参数!E110&lt;&gt;"mixer"),AB110,IF(AND(ISNUMBER(器件参数!T110),器件参数!T110&gt;0),IF(器件参数!U110="sum",AB110+器件参数!T110,IF(器件参数!U110="difference",ABS(AB110-器件参数!T110),"")),"")))</f>
        <v>100000000</v>
      </c>
      <c r="AD110" s="5">
        <f t="shared" si="34"/>
        <v>0</v>
      </c>
      <c r="AE110" s="5">
        <f>IF(AND(ISNUMBER(G110),ISNUMBER(F110)),Tref_K*(G110-1)/F110,"")</f>
        <v>0</v>
      </c>
      <c r="AF110" s="5">
        <f>IF(AND(ISNUMBER(H110),ISNUMBER(E110),NoiseConfigOK),10*LOG10(Boltzmann*Bnoise_Hz*(Tsource_K+Tref_K*(H110-1)))+30+E110,"")</f>
        <v>-90.3704468972711</v>
      </c>
      <c r="AG110" s="5">
        <f t="shared" si="35"/>
        <v>80.3704468972711</v>
      </c>
      <c r="AH110" s="5">
        <f>IF(AND(ToneEnabled,ISNUMBER(E110),ISNUMBER(TonePin)),TonePin+E110,"")</f>
        <v>-10</v>
      </c>
      <c r="AI110" s="5">
        <f>IF(AND(ToneEnabled,ISNUMBER(E110),ISNUMBER(N110),ISNUMBER(TonePin)),3*TonePin+E110-2*N110,"")</f>
        <v>-83.9794000867204</v>
      </c>
      <c r="AJ110" s="5" t="str">
        <f t="shared" si="36"/>
        <v/>
      </c>
      <c r="AK110" s="5" t="str">
        <f>IF(NOT(器件参数!B110),"旁路",IF(NOT(ISNUMBER(AC110)),"频率未知",IF(AC110&lt;=SignalBW/2,"跨零频",IF(AND(ISNUMBER(器件参数!R110),ISNUMBER(器件参数!S110)),IF(AND(AB110-SignalBW/2&gt;=器件参数!R110,AB110+SignalBW/2&lt;=器件参数!S110),"有效","超声明通带"),"未声明通带"))))</f>
        <v>旁路</v>
      </c>
      <c r="AL110" s="5">
        <f t="shared" si="37"/>
        <v>0</v>
      </c>
      <c r="AM110" s="5" t="str">
        <f>IF(AND(器件参数!B110,ISNUMBER(器件参数!X110),OR(AND(ISNUMBER(J110),J110&gt;器件参数!X110),IF(AND(ToneEnabled,ISNUMBER(TonePin),ISNUMBER(D110)),TonePin+10*LOG10(2)+D110&gt;器件参数!X110,FALSE))),"超过绝对最大输入额定值","")</f>
        <v/>
      </c>
      <c r="AN110" s="5">
        <f>IF(NOT(ISNUMBER(AN109)),"",IF(OR(NOT(器件参数!B110),器件参数!E110&lt;&gt;"mixer"),AN109,IF(AND(ISNUMBER(器件参数!T110),器件参数!T110&gt;0),IF(器件参数!U110="sum",AN109+器件参数!T110,ABS(AN109-器件参数!T110)),"")))</f>
        <v>99950000</v>
      </c>
      <c r="AO110" s="5">
        <f>IF(NOT(ISNUMBER(AO109)),"",IF(OR(NOT(器件参数!B110),器件参数!E110&lt;&gt;"mixer"),AO109,IF(AND(ISNUMBER(器件参数!T110),器件参数!T110&gt;0),IF(器件参数!U110="sum",AO109+器件参数!T110,ABS(AO109-器件参数!T110)),"")))</f>
        <v>100050000</v>
      </c>
      <c r="AP110" s="5">
        <f>IF(NOT(ISNUMBER(AP109)),"",IF(OR(NOT(器件参数!B110),器件参数!E110&lt;&gt;"mixer"),AP109,IF(AND(ISNUMBER(器件参数!T110),器件参数!T110&gt;0),IF(器件参数!U110="sum",AP109+器件参数!T110,ABS(AP109-器件参数!T110)),"")))</f>
        <v>99850000</v>
      </c>
      <c r="AQ110" s="5">
        <f>IF(NOT(ISNUMBER(AQ109)),"",IF(OR(NOT(器件参数!B110),器件参数!E110&lt;&gt;"mixer"),AQ109,IF(AND(ISNUMBER(器件参数!T110),器件参数!T110&gt;0),IF(器件参数!U110="sum",AQ109+器件参数!T110,ABS(AQ109-器件参数!T110)),"")))</f>
        <v>100150000</v>
      </c>
      <c r="AR110" s="5" t="b">
        <f>IF(NOT(AR109),FALSE,IF(NOT(器件参数!B110),TRUE,AND(COUNT(AN110:AQ110)=4,MIN(AN110:AQ110)&gt;0,IF(AND(ISNUMBER(器件参数!R110),ISNUMBER(器件参数!S110)),AND(MIN(AN109:AQ109)&gt;=器件参数!R110,MAX(AN109:AQ109)&lt;=器件参数!S110),TRUE),IF(AND(器件参数!E110="mixer",器件参数!U110="difference"),OR(器件参数!T110&lt;MIN(AN109:AQ109),器件参数!T110&gt;MAX(AN109:AQ109)),TRUE))))</f>
        <v>1</v>
      </c>
    </row>
    <row r="111" hidden="1" spans="1:44">
      <c r="A111" s="5">
        <f>器件参数!A111</f>
        <v>108</v>
      </c>
      <c r="B111" s="5" t="str">
        <f>器件参数!D111</f>
        <v/>
      </c>
      <c r="C111" s="5">
        <f>IF(NOT(器件参数!B111),0,IF(AND(ISNUMBER(器件参数!F111),ABS(器件参数!F111)&lt;=300),器件参数!F111,""))</f>
        <v>0</v>
      </c>
      <c r="D111" s="5">
        <f t="shared" si="19"/>
        <v>20</v>
      </c>
      <c r="E111" s="5">
        <f t="shared" si="20"/>
        <v>20</v>
      </c>
      <c r="F111" s="5">
        <f t="shared" si="21"/>
        <v>100</v>
      </c>
      <c r="G111" s="5">
        <f>IFERROR(IF(NOT(器件参数!B111),1,IF(NOT(OR(器件参数!E111&lt;&gt;"mixer",AND(OR(器件参数!V111="SSB",器件参数!V111="DSB"),器件参数!W111=TRUE))),"",IF(器件参数!G111="ideal",1,IF(AND(器件参数!G111="manual",ISNUMBER(器件参数!H111),器件参数!H111&gt;=0),10^(器件参数!H111/10),IF(AND(器件参数!G111="passive_thermal",OR(器件参数!E111="filter_bpf",器件参数!E111="filter_lpf",器件参数!E111="filter_hpf",器件参数!E111="filter_bsf",器件参数!E111="attenuator",器件参数!E111="cable",器件参数!E111="connector",器件参数!E111="switch",器件参数!E111="isolator",器件参数!E111="coupler",器件参数!E111="splitter"),AND(ISNUMBER(器件参数!F111),ABS(器件参数!F111)&lt;=300),器件参数!F111&lt;=0,ISNUMBER(器件参数!I111),器件参数!I111&gt;0),1+(10^(-器件参数!F111/10)-1)*器件参数!I111/Tref_K,""))))),"数值域错误")</f>
        <v>1</v>
      </c>
      <c r="H111" s="5">
        <f t="shared" si="22"/>
        <v>2.29336948552238</v>
      </c>
      <c r="I111" s="5">
        <f t="shared" si="23"/>
        <v>3.604740296957</v>
      </c>
      <c r="J111" s="5">
        <f>IF(AND(ISNUMBER(Pin_dBm),ISNUMBER(D111)),Pin_dBm+D111,"")</f>
        <v>-10</v>
      </c>
      <c r="K111" s="5">
        <f>IF(AND(ISNUMBER(Pin_dBm),ISNUMBER(E111)),Pin_dBm+E111,"")</f>
        <v>-10</v>
      </c>
      <c r="L111" s="5" t="str">
        <f>IF(AND(器件参数!J111="finite",ISNUMBER(器件参数!L111),ISNUMBER(C111)),IF(器件参数!K111="input",器件参数!L111,IF(器件参数!K111="output",器件参数!L111-C111,"")),"")</f>
        <v/>
      </c>
      <c r="M111" s="5">
        <f>IFERROR(IF(NOT(ISNUMBER(M110)),"",IF(OR(NOT(器件参数!B111),器件参数!J111="ideal"),M110,IF(AND(ISNUMBER(L111),ISNUMBER(F111)),M110+F111/10^(L111/10),""))),"数值域错误")</f>
        <v>0.2</v>
      </c>
      <c r="N111" s="5">
        <f t="shared" si="24"/>
        <v>6.98970004336019</v>
      </c>
      <c r="O111" s="5">
        <f t="shared" si="25"/>
        <v>26.9897000433602</v>
      </c>
      <c r="P111" s="5" t="str">
        <f>IF(AND(器件参数!M111="finite",ISNUMBER(器件参数!O111),ISNUMBER(C111)),IF(器件参数!N111="input",器件参数!O111,IF(器件参数!N111="actual_output",器件参数!O111-C111+1,IF(器件参数!N111="linear_output",器件参数!O111-C111,""))),"")</f>
        <v/>
      </c>
      <c r="Q111" s="5">
        <f>IF(器件参数!P111="",IF(AND(ISNUMBER(DefaultP),DefaultP&gt;=1,DefaultP&lt;=10),DefaultP,""),IF(AND(ISNUMBER(器件参数!P111),器件参数!P111&gt;=1,器件参数!P111&lt;=10),器件参数!P111,""))</f>
        <v>2</v>
      </c>
      <c r="R111" s="5">
        <f t="shared" si="26"/>
        <v>-10.0000139708288</v>
      </c>
      <c r="S111" s="5" t="str">
        <f t="shared" si="27"/>
        <v/>
      </c>
      <c r="T111" s="5">
        <f t="shared" si="28"/>
        <v>0</v>
      </c>
      <c r="U111" s="5">
        <f t="shared" si="29"/>
        <v>-10.0000139708288</v>
      </c>
      <c r="V111" s="5">
        <f>IF(AND(ISNUMBER(Pin_dBm),ISNUMBER(E111),ISNUMBER(U111)),Pin_dBm+E111-U111,"")</f>
        <v>1.39708287854035e-5</v>
      </c>
      <c r="W111" s="5" t="str">
        <f>IF(AND(器件参数!B111,X111=1,ISNUMBER(D111)),P111-D111,"")</f>
        <v/>
      </c>
      <c r="X111" s="5">
        <f>IF(NOT(ISNUMBER(C111)),-1,IF(OR(NOT(器件参数!B111),器件参数!M111="ideal"),0,IF(AND(ISNUMBER(P111),ISNUMBER(Q111)),1,-1)))</f>
        <v>0</v>
      </c>
      <c r="Y111" s="5" t="str">
        <f t="shared" si="30"/>
        <v>有效</v>
      </c>
      <c r="Z111" s="5" t="str">
        <f t="shared" si="31"/>
        <v>有效</v>
      </c>
      <c r="AA111" s="5" t="str">
        <f t="shared" si="32"/>
        <v>模型估算</v>
      </c>
      <c r="AB111" s="5">
        <f t="shared" si="33"/>
        <v>100000000</v>
      </c>
      <c r="AC111" s="5">
        <f>IF(NOT(ISNUMBER(AB111)),"",IF(OR(NOT(器件参数!B111),器件参数!E111&lt;&gt;"mixer"),AB111,IF(AND(ISNUMBER(器件参数!T111),器件参数!T111&gt;0),IF(器件参数!U111="sum",AB111+器件参数!T111,IF(器件参数!U111="difference",ABS(AB111-器件参数!T111),"")),"")))</f>
        <v>100000000</v>
      </c>
      <c r="AD111" s="5">
        <f t="shared" si="34"/>
        <v>0</v>
      </c>
      <c r="AE111" s="5">
        <f>IF(AND(ISNUMBER(G111),ISNUMBER(F111)),Tref_K*(G111-1)/F111,"")</f>
        <v>0</v>
      </c>
      <c r="AF111" s="5">
        <f>IF(AND(ISNUMBER(H111),ISNUMBER(E111),NoiseConfigOK),10*LOG10(Boltzmann*Bnoise_Hz*(Tsource_K+Tref_K*(H111-1)))+30+E111,"")</f>
        <v>-90.3704468972711</v>
      </c>
      <c r="AG111" s="5">
        <f t="shared" si="35"/>
        <v>80.3704468972711</v>
      </c>
      <c r="AH111" s="5">
        <f>IF(AND(ToneEnabled,ISNUMBER(E111),ISNUMBER(TonePin)),TonePin+E111,"")</f>
        <v>-10</v>
      </c>
      <c r="AI111" s="5">
        <f>IF(AND(ToneEnabled,ISNUMBER(E111),ISNUMBER(N111),ISNUMBER(TonePin)),3*TonePin+E111-2*N111,"")</f>
        <v>-83.9794000867204</v>
      </c>
      <c r="AJ111" s="5" t="str">
        <f t="shared" si="36"/>
        <v/>
      </c>
      <c r="AK111" s="5" t="str">
        <f>IF(NOT(器件参数!B111),"旁路",IF(NOT(ISNUMBER(AC111)),"频率未知",IF(AC111&lt;=SignalBW/2,"跨零频",IF(AND(ISNUMBER(器件参数!R111),ISNUMBER(器件参数!S111)),IF(AND(AB111-SignalBW/2&gt;=器件参数!R111,AB111+SignalBW/2&lt;=器件参数!S111),"有效","超声明通带"),"未声明通带"))))</f>
        <v>旁路</v>
      </c>
      <c r="AL111" s="5">
        <f t="shared" si="37"/>
        <v>0</v>
      </c>
      <c r="AM111" s="5" t="str">
        <f>IF(AND(器件参数!B111,ISNUMBER(器件参数!X111),OR(AND(ISNUMBER(J111),J111&gt;器件参数!X111),IF(AND(ToneEnabled,ISNUMBER(TonePin),ISNUMBER(D111)),TonePin+10*LOG10(2)+D111&gt;器件参数!X111,FALSE))),"超过绝对最大输入额定值","")</f>
        <v/>
      </c>
      <c r="AN111" s="5">
        <f>IF(NOT(ISNUMBER(AN110)),"",IF(OR(NOT(器件参数!B111),器件参数!E111&lt;&gt;"mixer"),AN110,IF(AND(ISNUMBER(器件参数!T111),器件参数!T111&gt;0),IF(器件参数!U111="sum",AN110+器件参数!T111,ABS(AN110-器件参数!T111)),"")))</f>
        <v>99950000</v>
      </c>
      <c r="AO111" s="5">
        <f>IF(NOT(ISNUMBER(AO110)),"",IF(OR(NOT(器件参数!B111),器件参数!E111&lt;&gt;"mixer"),AO110,IF(AND(ISNUMBER(器件参数!T111),器件参数!T111&gt;0),IF(器件参数!U111="sum",AO110+器件参数!T111,ABS(AO110-器件参数!T111)),"")))</f>
        <v>100050000</v>
      </c>
      <c r="AP111" s="5">
        <f>IF(NOT(ISNUMBER(AP110)),"",IF(OR(NOT(器件参数!B111),器件参数!E111&lt;&gt;"mixer"),AP110,IF(AND(ISNUMBER(器件参数!T111),器件参数!T111&gt;0),IF(器件参数!U111="sum",AP110+器件参数!T111,ABS(AP110-器件参数!T111)),"")))</f>
        <v>99850000</v>
      </c>
      <c r="AQ111" s="5">
        <f>IF(NOT(ISNUMBER(AQ110)),"",IF(OR(NOT(器件参数!B111),器件参数!E111&lt;&gt;"mixer"),AQ110,IF(AND(ISNUMBER(器件参数!T111),器件参数!T111&gt;0),IF(器件参数!U111="sum",AQ110+器件参数!T111,ABS(AQ110-器件参数!T111)),"")))</f>
        <v>100150000</v>
      </c>
      <c r="AR111" s="5" t="b">
        <f>IF(NOT(AR110),FALSE,IF(NOT(器件参数!B111),TRUE,AND(COUNT(AN111:AQ111)=4,MIN(AN111:AQ111)&gt;0,IF(AND(ISNUMBER(器件参数!R111),ISNUMBER(器件参数!S111)),AND(MIN(AN110:AQ110)&gt;=器件参数!R111,MAX(AN110:AQ110)&lt;=器件参数!S111),TRUE),IF(AND(器件参数!E111="mixer",器件参数!U111="difference"),OR(器件参数!T111&lt;MIN(AN110:AQ110),器件参数!T111&gt;MAX(AN110:AQ110)),TRUE))))</f>
        <v>1</v>
      </c>
    </row>
    <row r="112" hidden="1" spans="1:44">
      <c r="A112" s="5">
        <f>器件参数!A112</f>
        <v>109</v>
      </c>
      <c r="B112" s="5" t="str">
        <f>器件参数!D112</f>
        <v/>
      </c>
      <c r="C112" s="5">
        <f>IF(NOT(器件参数!B112),0,IF(AND(ISNUMBER(器件参数!F112),ABS(器件参数!F112)&lt;=300),器件参数!F112,""))</f>
        <v>0</v>
      </c>
      <c r="D112" s="5">
        <f t="shared" si="19"/>
        <v>20</v>
      </c>
      <c r="E112" s="5">
        <f t="shared" si="20"/>
        <v>20</v>
      </c>
      <c r="F112" s="5">
        <f t="shared" si="21"/>
        <v>100</v>
      </c>
      <c r="G112" s="5">
        <f>IFERROR(IF(NOT(器件参数!B112),1,IF(NOT(OR(器件参数!E112&lt;&gt;"mixer",AND(OR(器件参数!V112="SSB",器件参数!V112="DSB"),器件参数!W112=TRUE))),"",IF(器件参数!G112="ideal",1,IF(AND(器件参数!G112="manual",ISNUMBER(器件参数!H112),器件参数!H112&gt;=0),10^(器件参数!H112/10),IF(AND(器件参数!G112="passive_thermal",OR(器件参数!E112="filter_bpf",器件参数!E112="filter_lpf",器件参数!E112="filter_hpf",器件参数!E112="filter_bsf",器件参数!E112="attenuator",器件参数!E112="cable",器件参数!E112="connector",器件参数!E112="switch",器件参数!E112="isolator",器件参数!E112="coupler",器件参数!E112="splitter"),AND(ISNUMBER(器件参数!F112),ABS(器件参数!F112)&lt;=300),器件参数!F112&lt;=0,ISNUMBER(器件参数!I112),器件参数!I112&gt;0),1+(10^(-器件参数!F112/10)-1)*器件参数!I112/Tref_K,""))))),"数值域错误")</f>
        <v>1</v>
      </c>
      <c r="H112" s="5">
        <f t="shared" si="22"/>
        <v>2.29336948552238</v>
      </c>
      <c r="I112" s="5">
        <f t="shared" si="23"/>
        <v>3.604740296957</v>
      </c>
      <c r="J112" s="5">
        <f>IF(AND(ISNUMBER(Pin_dBm),ISNUMBER(D112)),Pin_dBm+D112,"")</f>
        <v>-10</v>
      </c>
      <c r="K112" s="5">
        <f>IF(AND(ISNUMBER(Pin_dBm),ISNUMBER(E112)),Pin_dBm+E112,"")</f>
        <v>-10</v>
      </c>
      <c r="L112" s="5" t="str">
        <f>IF(AND(器件参数!J112="finite",ISNUMBER(器件参数!L112),ISNUMBER(C112)),IF(器件参数!K112="input",器件参数!L112,IF(器件参数!K112="output",器件参数!L112-C112,"")),"")</f>
        <v/>
      </c>
      <c r="M112" s="5">
        <f>IFERROR(IF(NOT(ISNUMBER(M111)),"",IF(OR(NOT(器件参数!B112),器件参数!J112="ideal"),M111,IF(AND(ISNUMBER(L112),ISNUMBER(F112)),M111+F112/10^(L112/10),""))),"数值域错误")</f>
        <v>0.2</v>
      </c>
      <c r="N112" s="5">
        <f t="shared" si="24"/>
        <v>6.98970004336019</v>
      </c>
      <c r="O112" s="5">
        <f t="shared" si="25"/>
        <v>26.9897000433602</v>
      </c>
      <c r="P112" s="5" t="str">
        <f>IF(AND(器件参数!M112="finite",ISNUMBER(器件参数!O112),ISNUMBER(C112)),IF(器件参数!N112="input",器件参数!O112,IF(器件参数!N112="actual_output",器件参数!O112-C112+1,IF(器件参数!N112="linear_output",器件参数!O112-C112,""))),"")</f>
        <v/>
      </c>
      <c r="Q112" s="5">
        <f>IF(器件参数!P112="",IF(AND(ISNUMBER(DefaultP),DefaultP&gt;=1,DefaultP&lt;=10),DefaultP,""),IF(AND(ISNUMBER(器件参数!P112),器件参数!P112&gt;=1,器件参数!P112&lt;=10),器件参数!P112,""))</f>
        <v>2</v>
      </c>
      <c r="R112" s="5">
        <f t="shared" si="26"/>
        <v>-10.0000139708288</v>
      </c>
      <c r="S112" s="5" t="str">
        <f t="shared" si="27"/>
        <v/>
      </c>
      <c r="T112" s="5">
        <f t="shared" si="28"/>
        <v>0</v>
      </c>
      <c r="U112" s="5">
        <f t="shared" si="29"/>
        <v>-10.0000139708288</v>
      </c>
      <c r="V112" s="5">
        <f>IF(AND(ISNUMBER(Pin_dBm),ISNUMBER(E112),ISNUMBER(U112)),Pin_dBm+E112-U112,"")</f>
        <v>1.39708287854035e-5</v>
      </c>
      <c r="W112" s="5" t="str">
        <f>IF(AND(器件参数!B112,X112=1,ISNUMBER(D112)),P112-D112,"")</f>
        <v/>
      </c>
      <c r="X112" s="5">
        <f>IF(NOT(ISNUMBER(C112)),-1,IF(OR(NOT(器件参数!B112),器件参数!M112="ideal"),0,IF(AND(ISNUMBER(P112),ISNUMBER(Q112)),1,-1)))</f>
        <v>0</v>
      </c>
      <c r="Y112" s="5" t="str">
        <f t="shared" si="30"/>
        <v>有效</v>
      </c>
      <c r="Z112" s="5" t="str">
        <f t="shared" si="31"/>
        <v>有效</v>
      </c>
      <c r="AA112" s="5" t="str">
        <f t="shared" si="32"/>
        <v>模型估算</v>
      </c>
      <c r="AB112" s="5">
        <f t="shared" si="33"/>
        <v>100000000</v>
      </c>
      <c r="AC112" s="5">
        <f>IF(NOT(ISNUMBER(AB112)),"",IF(OR(NOT(器件参数!B112),器件参数!E112&lt;&gt;"mixer"),AB112,IF(AND(ISNUMBER(器件参数!T112),器件参数!T112&gt;0),IF(器件参数!U112="sum",AB112+器件参数!T112,IF(器件参数!U112="difference",ABS(AB112-器件参数!T112),"")),"")))</f>
        <v>100000000</v>
      </c>
      <c r="AD112" s="5">
        <f t="shared" si="34"/>
        <v>0</v>
      </c>
      <c r="AE112" s="5">
        <f>IF(AND(ISNUMBER(G112),ISNUMBER(F112)),Tref_K*(G112-1)/F112,"")</f>
        <v>0</v>
      </c>
      <c r="AF112" s="5">
        <f>IF(AND(ISNUMBER(H112),ISNUMBER(E112),NoiseConfigOK),10*LOG10(Boltzmann*Bnoise_Hz*(Tsource_K+Tref_K*(H112-1)))+30+E112,"")</f>
        <v>-90.3704468972711</v>
      </c>
      <c r="AG112" s="5">
        <f t="shared" si="35"/>
        <v>80.3704468972711</v>
      </c>
      <c r="AH112" s="5">
        <f>IF(AND(ToneEnabled,ISNUMBER(E112),ISNUMBER(TonePin)),TonePin+E112,"")</f>
        <v>-10</v>
      </c>
      <c r="AI112" s="5">
        <f>IF(AND(ToneEnabled,ISNUMBER(E112),ISNUMBER(N112),ISNUMBER(TonePin)),3*TonePin+E112-2*N112,"")</f>
        <v>-83.9794000867204</v>
      </c>
      <c r="AJ112" s="5" t="str">
        <f t="shared" si="36"/>
        <v/>
      </c>
      <c r="AK112" s="5" t="str">
        <f>IF(NOT(器件参数!B112),"旁路",IF(NOT(ISNUMBER(AC112)),"频率未知",IF(AC112&lt;=SignalBW/2,"跨零频",IF(AND(ISNUMBER(器件参数!R112),ISNUMBER(器件参数!S112)),IF(AND(AB112-SignalBW/2&gt;=器件参数!R112,AB112+SignalBW/2&lt;=器件参数!S112),"有效","超声明通带"),"未声明通带"))))</f>
        <v>旁路</v>
      </c>
      <c r="AL112" s="5">
        <f t="shared" si="37"/>
        <v>0</v>
      </c>
      <c r="AM112" s="5" t="str">
        <f>IF(AND(器件参数!B112,ISNUMBER(器件参数!X112),OR(AND(ISNUMBER(J112),J112&gt;器件参数!X112),IF(AND(ToneEnabled,ISNUMBER(TonePin),ISNUMBER(D112)),TonePin+10*LOG10(2)+D112&gt;器件参数!X112,FALSE))),"超过绝对最大输入额定值","")</f>
        <v/>
      </c>
      <c r="AN112" s="5">
        <f>IF(NOT(ISNUMBER(AN111)),"",IF(OR(NOT(器件参数!B112),器件参数!E112&lt;&gt;"mixer"),AN111,IF(AND(ISNUMBER(器件参数!T112),器件参数!T112&gt;0),IF(器件参数!U112="sum",AN111+器件参数!T112,ABS(AN111-器件参数!T112)),"")))</f>
        <v>99950000</v>
      </c>
      <c r="AO112" s="5">
        <f>IF(NOT(ISNUMBER(AO111)),"",IF(OR(NOT(器件参数!B112),器件参数!E112&lt;&gt;"mixer"),AO111,IF(AND(ISNUMBER(器件参数!T112),器件参数!T112&gt;0),IF(器件参数!U112="sum",AO111+器件参数!T112,ABS(AO111-器件参数!T112)),"")))</f>
        <v>100050000</v>
      </c>
      <c r="AP112" s="5">
        <f>IF(NOT(ISNUMBER(AP111)),"",IF(OR(NOT(器件参数!B112),器件参数!E112&lt;&gt;"mixer"),AP111,IF(AND(ISNUMBER(器件参数!T112),器件参数!T112&gt;0),IF(器件参数!U112="sum",AP111+器件参数!T112,ABS(AP111-器件参数!T112)),"")))</f>
        <v>99850000</v>
      </c>
      <c r="AQ112" s="5">
        <f>IF(NOT(ISNUMBER(AQ111)),"",IF(OR(NOT(器件参数!B112),器件参数!E112&lt;&gt;"mixer"),AQ111,IF(AND(ISNUMBER(器件参数!T112),器件参数!T112&gt;0),IF(器件参数!U112="sum",AQ111+器件参数!T112,ABS(AQ111-器件参数!T112)),"")))</f>
        <v>100150000</v>
      </c>
      <c r="AR112" s="5" t="b">
        <f>IF(NOT(AR111),FALSE,IF(NOT(器件参数!B112),TRUE,AND(COUNT(AN112:AQ112)=4,MIN(AN112:AQ112)&gt;0,IF(AND(ISNUMBER(器件参数!R112),ISNUMBER(器件参数!S112)),AND(MIN(AN111:AQ111)&gt;=器件参数!R112,MAX(AN111:AQ111)&lt;=器件参数!S112),TRUE),IF(AND(器件参数!E112="mixer",器件参数!U112="difference"),OR(器件参数!T112&lt;MIN(AN111:AQ111),器件参数!T112&gt;MAX(AN111:AQ111)),TRUE))))</f>
        <v>1</v>
      </c>
    </row>
    <row r="113" hidden="1" spans="1:44">
      <c r="A113" s="5">
        <f>器件参数!A113</f>
        <v>110</v>
      </c>
      <c r="B113" s="5" t="str">
        <f>器件参数!D113</f>
        <v/>
      </c>
      <c r="C113" s="5">
        <f>IF(NOT(器件参数!B113),0,IF(AND(ISNUMBER(器件参数!F113),ABS(器件参数!F113)&lt;=300),器件参数!F113,""))</f>
        <v>0</v>
      </c>
      <c r="D113" s="5">
        <f t="shared" si="19"/>
        <v>20</v>
      </c>
      <c r="E113" s="5">
        <f t="shared" si="20"/>
        <v>20</v>
      </c>
      <c r="F113" s="5">
        <f t="shared" si="21"/>
        <v>100</v>
      </c>
      <c r="G113" s="5">
        <f>IFERROR(IF(NOT(器件参数!B113),1,IF(NOT(OR(器件参数!E113&lt;&gt;"mixer",AND(OR(器件参数!V113="SSB",器件参数!V113="DSB"),器件参数!W113=TRUE))),"",IF(器件参数!G113="ideal",1,IF(AND(器件参数!G113="manual",ISNUMBER(器件参数!H113),器件参数!H113&gt;=0),10^(器件参数!H113/10),IF(AND(器件参数!G113="passive_thermal",OR(器件参数!E113="filter_bpf",器件参数!E113="filter_lpf",器件参数!E113="filter_hpf",器件参数!E113="filter_bsf",器件参数!E113="attenuator",器件参数!E113="cable",器件参数!E113="connector",器件参数!E113="switch",器件参数!E113="isolator",器件参数!E113="coupler",器件参数!E113="splitter"),AND(ISNUMBER(器件参数!F113),ABS(器件参数!F113)&lt;=300),器件参数!F113&lt;=0,ISNUMBER(器件参数!I113),器件参数!I113&gt;0),1+(10^(-器件参数!F113/10)-1)*器件参数!I113/Tref_K,""))))),"数值域错误")</f>
        <v>1</v>
      </c>
      <c r="H113" s="5">
        <f t="shared" si="22"/>
        <v>2.29336948552238</v>
      </c>
      <c r="I113" s="5">
        <f t="shared" si="23"/>
        <v>3.604740296957</v>
      </c>
      <c r="J113" s="5">
        <f>IF(AND(ISNUMBER(Pin_dBm),ISNUMBER(D113)),Pin_dBm+D113,"")</f>
        <v>-10</v>
      </c>
      <c r="K113" s="5">
        <f>IF(AND(ISNUMBER(Pin_dBm),ISNUMBER(E113)),Pin_dBm+E113,"")</f>
        <v>-10</v>
      </c>
      <c r="L113" s="5" t="str">
        <f>IF(AND(器件参数!J113="finite",ISNUMBER(器件参数!L113),ISNUMBER(C113)),IF(器件参数!K113="input",器件参数!L113,IF(器件参数!K113="output",器件参数!L113-C113,"")),"")</f>
        <v/>
      </c>
      <c r="M113" s="5">
        <f>IFERROR(IF(NOT(ISNUMBER(M112)),"",IF(OR(NOT(器件参数!B113),器件参数!J113="ideal"),M112,IF(AND(ISNUMBER(L113),ISNUMBER(F113)),M112+F113/10^(L113/10),""))),"数值域错误")</f>
        <v>0.2</v>
      </c>
      <c r="N113" s="5">
        <f t="shared" si="24"/>
        <v>6.98970004336019</v>
      </c>
      <c r="O113" s="5">
        <f t="shared" si="25"/>
        <v>26.9897000433602</v>
      </c>
      <c r="P113" s="5" t="str">
        <f>IF(AND(器件参数!M113="finite",ISNUMBER(器件参数!O113),ISNUMBER(C113)),IF(器件参数!N113="input",器件参数!O113,IF(器件参数!N113="actual_output",器件参数!O113-C113+1,IF(器件参数!N113="linear_output",器件参数!O113-C113,""))),"")</f>
        <v/>
      </c>
      <c r="Q113" s="5">
        <f>IF(器件参数!P113="",IF(AND(ISNUMBER(DefaultP),DefaultP&gt;=1,DefaultP&lt;=10),DefaultP,""),IF(AND(ISNUMBER(器件参数!P113),器件参数!P113&gt;=1,器件参数!P113&lt;=10),器件参数!P113,""))</f>
        <v>2</v>
      </c>
      <c r="R113" s="5">
        <f t="shared" si="26"/>
        <v>-10.0000139708288</v>
      </c>
      <c r="S113" s="5" t="str">
        <f t="shared" si="27"/>
        <v/>
      </c>
      <c r="T113" s="5">
        <f t="shared" si="28"/>
        <v>0</v>
      </c>
      <c r="U113" s="5">
        <f t="shared" si="29"/>
        <v>-10.0000139708288</v>
      </c>
      <c r="V113" s="5">
        <f>IF(AND(ISNUMBER(Pin_dBm),ISNUMBER(E113),ISNUMBER(U113)),Pin_dBm+E113-U113,"")</f>
        <v>1.39708287854035e-5</v>
      </c>
      <c r="W113" s="5" t="str">
        <f>IF(AND(器件参数!B113,X113=1,ISNUMBER(D113)),P113-D113,"")</f>
        <v/>
      </c>
      <c r="X113" s="5">
        <f>IF(NOT(ISNUMBER(C113)),-1,IF(OR(NOT(器件参数!B113),器件参数!M113="ideal"),0,IF(AND(ISNUMBER(P113),ISNUMBER(Q113)),1,-1)))</f>
        <v>0</v>
      </c>
      <c r="Y113" s="5" t="str">
        <f t="shared" si="30"/>
        <v>有效</v>
      </c>
      <c r="Z113" s="5" t="str">
        <f t="shared" si="31"/>
        <v>有效</v>
      </c>
      <c r="AA113" s="5" t="str">
        <f t="shared" si="32"/>
        <v>模型估算</v>
      </c>
      <c r="AB113" s="5">
        <f t="shared" si="33"/>
        <v>100000000</v>
      </c>
      <c r="AC113" s="5">
        <f>IF(NOT(ISNUMBER(AB113)),"",IF(OR(NOT(器件参数!B113),器件参数!E113&lt;&gt;"mixer"),AB113,IF(AND(ISNUMBER(器件参数!T113),器件参数!T113&gt;0),IF(器件参数!U113="sum",AB113+器件参数!T113,IF(器件参数!U113="difference",ABS(AB113-器件参数!T113),"")),"")))</f>
        <v>100000000</v>
      </c>
      <c r="AD113" s="5">
        <f t="shared" si="34"/>
        <v>0</v>
      </c>
      <c r="AE113" s="5">
        <f>IF(AND(ISNUMBER(G113),ISNUMBER(F113)),Tref_K*(G113-1)/F113,"")</f>
        <v>0</v>
      </c>
      <c r="AF113" s="5">
        <f>IF(AND(ISNUMBER(H113),ISNUMBER(E113),NoiseConfigOK),10*LOG10(Boltzmann*Bnoise_Hz*(Tsource_K+Tref_K*(H113-1)))+30+E113,"")</f>
        <v>-90.3704468972711</v>
      </c>
      <c r="AG113" s="5">
        <f t="shared" si="35"/>
        <v>80.3704468972711</v>
      </c>
      <c r="AH113" s="5">
        <f>IF(AND(ToneEnabled,ISNUMBER(E113),ISNUMBER(TonePin)),TonePin+E113,"")</f>
        <v>-10</v>
      </c>
      <c r="AI113" s="5">
        <f>IF(AND(ToneEnabled,ISNUMBER(E113),ISNUMBER(N113),ISNUMBER(TonePin)),3*TonePin+E113-2*N113,"")</f>
        <v>-83.9794000867204</v>
      </c>
      <c r="AJ113" s="5" t="str">
        <f t="shared" si="36"/>
        <v/>
      </c>
      <c r="AK113" s="5" t="str">
        <f>IF(NOT(器件参数!B113),"旁路",IF(NOT(ISNUMBER(AC113)),"频率未知",IF(AC113&lt;=SignalBW/2,"跨零频",IF(AND(ISNUMBER(器件参数!R113),ISNUMBER(器件参数!S113)),IF(AND(AB113-SignalBW/2&gt;=器件参数!R113,AB113+SignalBW/2&lt;=器件参数!S113),"有效","超声明通带"),"未声明通带"))))</f>
        <v>旁路</v>
      </c>
      <c r="AL113" s="5">
        <f t="shared" si="37"/>
        <v>0</v>
      </c>
      <c r="AM113" s="5" t="str">
        <f>IF(AND(器件参数!B113,ISNUMBER(器件参数!X113),OR(AND(ISNUMBER(J113),J113&gt;器件参数!X113),IF(AND(ToneEnabled,ISNUMBER(TonePin),ISNUMBER(D113)),TonePin+10*LOG10(2)+D113&gt;器件参数!X113,FALSE))),"超过绝对最大输入额定值","")</f>
        <v/>
      </c>
      <c r="AN113" s="5">
        <f>IF(NOT(ISNUMBER(AN112)),"",IF(OR(NOT(器件参数!B113),器件参数!E113&lt;&gt;"mixer"),AN112,IF(AND(ISNUMBER(器件参数!T113),器件参数!T113&gt;0),IF(器件参数!U113="sum",AN112+器件参数!T113,ABS(AN112-器件参数!T113)),"")))</f>
        <v>99950000</v>
      </c>
      <c r="AO113" s="5">
        <f>IF(NOT(ISNUMBER(AO112)),"",IF(OR(NOT(器件参数!B113),器件参数!E113&lt;&gt;"mixer"),AO112,IF(AND(ISNUMBER(器件参数!T113),器件参数!T113&gt;0),IF(器件参数!U113="sum",AO112+器件参数!T113,ABS(AO112-器件参数!T113)),"")))</f>
        <v>100050000</v>
      </c>
      <c r="AP113" s="5">
        <f>IF(NOT(ISNUMBER(AP112)),"",IF(OR(NOT(器件参数!B113),器件参数!E113&lt;&gt;"mixer"),AP112,IF(AND(ISNUMBER(器件参数!T113),器件参数!T113&gt;0),IF(器件参数!U113="sum",AP112+器件参数!T113,ABS(AP112-器件参数!T113)),"")))</f>
        <v>99850000</v>
      </c>
      <c r="AQ113" s="5">
        <f>IF(NOT(ISNUMBER(AQ112)),"",IF(OR(NOT(器件参数!B113),器件参数!E113&lt;&gt;"mixer"),AQ112,IF(AND(ISNUMBER(器件参数!T113),器件参数!T113&gt;0),IF(器件参数!U113="sum",AQ112+器件参数!T113,ABS(AQ112-器件参数!T113)),"")))</f>
        <v>100150000</v>
      </c>
      <c r="AR113" s="5" t="b">
        <f>IF(NOT(AR112),FALSE,IF(NOT(器件参数!B113),TRUE,AND(COUNT(AN113:AQ113)=4,MIN(AN113:AQ113)&gt;0,IF(AND(ISNUMBER(器件参数!R113),ISNUMBER(器件参数!S113)),AND(MIN(AN112:AQ112)&gt;=器件参数!R113,MAX(AN112:AQ112)&lt;=器件参数!S113),TRUE),IF(AND(器件参数!E113="mixer",器件参数!U113="difference"),OR(器件参数!T113&lt;MIN(AN112:AQ112),器件参数!T113&gt;MAX(AN112:AQ112)),TRUE))))</f>
        <v>1</v>
      </c>
    </row>
    <row r="114" hidden="1" spans="1:44">
      <c r="A114" s="5">
        <f>器件参数!A114</f>
        <v>111</v>
      </c>
      <c r="B114" s="5" t="str">
        <f>器件参数!D114</f>
        <v/>
      </c>
      <c r="C114" s="5">
        <f>IF(NOT(器件参数!B114),0,IF(AND(ISNUMBER(器件参数!F114),ABS(器件参数!F114)&lt;=300),器件参数!F114,""))</f>
        <v>0</v>
      </c>
      <c r="D114" s="5">
        <f t="shared" si="19"/>
        <v>20</v>
      </c>
      <c r="E114" s="5">
        <f t="shared" si="20"/>
        <v>20</v>
      </c>
      <c r="F114" s="5">
        <f t="shared" si="21"/>
        <v>100</v>
      </c>
      <c r="G114" s="5">
        <f>IFERROR(IF(NOT(器件参数!B114),1,IF(NOT(OR(器件参数!E114&lt;&gt;"mixer",AND(OR(器件参数!V114="SSB",器件参数!V114="DSB"),器件参数!W114=TRUE))),"",IF(器件参数!G114="ideal",1,IF(AND(器件参数!G114="manual",ISNUMBER(器件参数!H114),器件参数!H114&gt;=0),10^(器件参数!H114/10),IF(AND(器件参数!G114="passive_thermal",OR(器件参数!E114="filter_bpf",器件参数!E114="filter_lpf",器件参数!E114="filter_hpf",器件参数!E114="filter_bsf",器件参数!E114="attenuator",器件参数!E114="cable",器件参数!E114="connector",器件参数!E114="switch",器件参数!E114="isolator",器件参数!E114="coupler",器件参数!E114="splitter"),AND(ISNUMBER(器件参数!F114),ABS(器件参数!F114)&lt;=300),器件参数!F114&lt;=0,ISNUMBER(器件参数!I114),器件参数!I114&gt;0),1+(10^(-器件参数!F114/10)-1)*器件参数!I114/Tref_K,""))))),"数值域错误")</f>
        <v>1</v>
      </c>
      <c r="H114" s="5">
        <f t="shared" si="22"/>
        <v>2.29336948552238</v>
      </c>
      <c r="I114" s="5">
        <f t="shared" si="23"/>
        <v>3.604740296957</v>
      </c>
      <c r="J114" s="5">
        <f>IF(AND(ISNUMBER(Pin_dBm),ISNUMBER(D114)),Pin_dBm+D114,"")</f>
        <v>-10</v>
      </c>
      <c r="K114" s="5">
        <f>IF(AND(ISNUMBER(Pin_dBm),ISNUMBER(E114)),Pin_dBm+E114,"")</f>
        <v>-10</v>
      </c>
      <c r="L114" s="5" t="str">
        <f>IF(AND(器件参数!J114="finite",ISNUMBER(器件参数!L114),ISNUMBER(C114)),IF(器件参数!K114="input",器件参数!L114,IF(器件参数!K114="output",器件参数!L114-C114,"")),"")</f>
        <v/>
      </c>
      <c r="M114" s="5">
        <f>IFERROR(IF(NOT(ISNUMBER(M113)),"",IF(OR(NOT(器件参数!B114),器件参数!J114="ideal"),M113,IF(AND(ISNUMBER(L114),ISNUMBER(F114)),M113+F114/10^(L114/10),""))),"数值域错误")</f>
        <v>0.2</v>
      </c>
      <c r="N114" s="5">
        <f t="shared" si="24"/>
        <v>6.98970004336019</v>
      </c>
      <c r="O114" s="5">
        <f t="shared" si="25"/>
        <v>26.9897000433602</v>
      </c>
      <c r="P114" s="5" t="str">
        <f>IF(AND(器件参数!M114="finite",ISNUMBER(器件参数!O114),ISNUMBER(C114)),IF(器件参数!N114="input",器件参数!O114,IF(器件参数!N114="actual_output",器件参数!O114-C114+1,IF(器件参数!N114="linear_output",器件参数!O114-C114,""))),"")</f>
        <v/>
      </c>
      <c r="Q114" s="5">
        <f>IF(器件参数!P114="",IF(AND(ISNUMBER(DefaultP),DefaultP&gt;=1,DefaultP&lt;=10),DefaultP,""),IF(AND(ISNUMBER(器件参数!P114),器件参数!P114&gt;=1,器件参数!P114&lt;=10),器件参数!P114,""))</f>
        <v>2</v>
      </c>
      <c r="R114" s="5">
        <f t="shared" si="26"/>
        <v>-10.0000139708288</v>
      </c>
      <c r="S114" s="5" t="str">
        <f t="shared" si="27"/>
        <v/>
      </c>
      <c r="T114" s="5">
        <f t="shared" si="28"/>
        <v>0</v>
      </c>
      <c r="U114" s="5">
        <f t="shared" si="29"/>
        <v>-10.0000139708288</v>
      </c>
      <c r="V114" s="5">
        <f>IF(AND(ISNUMBER(Pin_dBm),ISNUMBER(E114),ISNUMBER(U114)),Pin_dBm+E114-U114,"")</f>
        <v>1.39708287854035e-5</v>
      </c>
      <c r="W114" s="5" t="str">
        <f>IF(AND(器件参数!B114,X114=1,ISNUMBER(D114)),P114-D114,"")</f>
        <v/>
      </c>
      <c r="X114" s="5">
        <f>IF(NOT(ISNUMBER(C114)),-1,IF(OR(NOT(器件参数!B114),器件参数!M114="ideal"),0,IF(AND(ISNUMBER(P114),ISNUMBER(Q114)),1,-1)))</f>
        <v>0</v>
      </c>
      <c r="Y114" s="5" t="str">
        <f t="shared" si="30"/>
        <v>有效</v>
      </c>
      <c r="Z114" s="5" t="str">
        <f t="shared" si="31"/>
        <v>有效</v>
      </c>
      <c r="AA114" s="5" t="str">
        <f t="shared" si="32"/>
        <v>模型估算</v>
      </c>
      <c r="AB114" s="5">
        <f t="shared" si="33"/>
        <v>100000000</v>
      </c>
      <c r="AC114" s="5">
        <f>IF(NOT(ISNUMBER(AB114)),"",IF(OR(NOT(器件参数!B114),器件参数!E114&lt;&gt;"mixer"),AB114,IF(AND(ISNUMBER(器件参数!T114),器件参数!T114&gt;0),IF(器件参数!U114="sum",AB114+器件参数!T114,IF(器件参数!U114="difference",ABS(AB114-器件参数!T114),"")),"")))</f>
        <v>100000000</v>
      </c>
      <c r="AD114" s="5">
        <f t="shared" si="34"/>
        <v>0</v>
      </c>
      <c r="AE114" s="5">
        <f>IF(AND(ISNUMBER(G114),ISNUMBER(F114)),Tref_K*(G114-1)/F114,"")</f>
        <v>0</v>
      </c>
      <c r="AF114" s="5">
        <f>IF(AND(ISNUMBER(H114),ISNUMBER(E114),NoiseConfigOK),10*LOG10(Boltzmann*Bnoise_Hz*(Tsource_K+Tref_K*(H114-1)))+30+E114,"")</f>
        <v>-90.3704468972711</v>
      </c>
      <c r="AG114" s="5">
        <f t="shared" si="35"/>
        <v>80.3704468972711</v>
      </c>
      <c r="AH114" s="5">
        <f>IF(AND(ToneEnabled,ISNUMBER(E114),ISNUMBER(TonePin)),TonePin+E114,"")</f>
        <v>-10</v>
      </c>
      <c r="AI114" s="5">
        <f>IF(AND(ToneEnabled,ISNUMBER(E114),ISNUMBER(N114),ISNUMBER(TonePin)),3*TonePin+E114-2*N114,"")</f>
        <v>-83.9794000867204</v>
      </c>
      <c r="AJ114" s="5" t="str">
        <f t="shared" si="36"/>
        <v/>
      </c>
      <c r="AK114" s="5" t="str">
        <f>IF(NOT(器件参数!B114),"旁路",IF(NOT(ISNUMBER(AC114)),"频率未知",IF(AC114&lt;=SignalBW/2,"跨零频",IF(AND(ISNUMBER(器件参数!R114),ISNUMBER(器件参数!S114)),IF(AND(AB114-SignalBW/2&gt;=器件参数!R114,AB114+SignalBW/2&lt;=器件参数!S114),"有效","超声明通带"),"未声明通带"))))</f>
        <v>旁路</v>
      </c>
      <c r="AL114" s="5">
        <f t="shared" si="37"/>
        <v>0</v>
      </c>
      <c r="AM114" s="5" t="str">
        <f>IF(AND(器件参数!B114,ISNUMBER(器件参数!X114),OR(AND(ISNUMBER(J114),J114&gt;器件参数!X114),IF(AND(ToneEnabled,ISNUMBER(TonePin),ISNUMBER(D114)),TonePin+10*LOG10(2)+D114&gt;器件参数!X114,FALSE))),"超过绝对最大输入额定值","")</f>
        <v/>
      </c>
      <c r="AN114" s="5">
        <f>IF(NOT(ISNUMBER(AN113)),"",IF(OR(NOT(器件参数!B114),器件参数!E114&lt;&gt;"mixer"),AN113,IF(AND(ISNUMBER(器件参数!T114),器件参数!T114&gt;0),IF(器件参数!U114="sum",AN113+器件参数!T114,ABS(AN113-器件参数!T114)),"")))</f>
        <v>99950000</v>
      </c>
      <c r="AO114" s="5">
        <f>IF(NOT(ISNUMBER(AO113)),"",IF(OR(NOT(器件参数!B114),器件参数!E114&lt;&gt;"mixer"),AO113,IF(AND(ISNUMBER(器件参数!T114),器件参数!T114&gt;0),IF(器件参数!U114="sum",AO113+器件参数!T114,ABS(AO113-器件参数!T114)),"")))</f>
        <v>100050000</v>
      </c>
      <c r="AP114" s="5">
        <f>IF(NOT(ISNUMBER(AP113)),"",IF(OR(NOT(器件参数!B114),器件参数!E114&lt;&gt;"mixer"),AP113,IF(AND(ISNUMBER(器件参数!T114),器件参数!T114&gt;0),IF(器件参数!U114="sum",AP113+器件参数!T114,ABS(AP113-器件参数!T114)),"")))</f>
        <v>99850000</v>
      </c>
      <c r="AQ114" s="5">
        <f>IF(NOT(ISNUMBER(AQ113)),"",IF(OR(NOT(器件参数!B114),器件参数!E114&lt;&gt;"mixer"),AQ113,IF(AND(ISNUMBER(器件参数!T114),器件参数!T114&gt;0),IF(器件参数!U114="sum",AQ113+器件参数!T114,ABS(AQ113-器件参数!T114)),"")))</f>
        <v>100150000</v>
      </c>
      <c r="AR114" s="5" t="b">
        <f>IF(NOT(AR113),FALSE,IF(NOT(器件参数!B114),TRUE,AND(COUNT(AN114:AQ114)=4,MIN(AN114:AQ114)&gt;0,IF(AND(ISNUMBER(器件参数!R114),ISNUMBER(器件参数!S114)),AND(MIN(AN113:AQ113)&gt;=器件参数!R114,MAX(AN113:AQ113)&lt;=器件参数!S114),TRUE),IF(AND(器件参数!E114="mixer",器件参数!U114="difference"),OR(器件参数!T114&lt;MIN(AN113:AQ113),器件参数!T114&gt;MAX(AN113:AQ113)),TRUE))))</f>
        <v>1</v>
      </c>
    </row>
    <row r="115" hidden="1" spans="1:44">
      <c r="A115" s="5">
        <f>器件参数!A115</f>
        <v>112</v>
      </c>
      <c r="B115" s="5" t="str">
        <f>器件参数!D115</f>
        <v/>
      </c>
      <c r="C115" s="5">
        <f>IF(NOT(器件参数!B115),0,IF(AND(ISNUMBER(器件参数!F115),ABS(器件参数!F115)&lt;=300),器件参数!F115,""))</f>
        <v>0</v>
      </c>
      <c r="D115" s="5">
        <f t="shared" si="19"/>
        <v>20</v>
      </c>
      <c r="E115" s="5">
        <f t="shared" si="20"/>
        <v>20</v>
      </c>
      <c r="F115" s="5">
        <f t="shared" si="21"/>
        <v>100</v>
      </c>
      <c r="G115" s="5">
        <f>IFERROR(IF(NOT(器件参数!B115),1,IF(NOT(OR(器件参数!E115&lt;&gt;"mixer",AND(OR(器件参数!V115="SSB",器件参数!V115="DSB"),器件参数!W115=TRUE))),"",IF(器件参数!G115="ideal",1,IF(AND(器件参数!G115="manual",ISNUMBER(器件参数!H115),器件参数!H115&gt;=0),10^(器件参数!H115/10),IF(AND(器件参数!G115="passive_thermal",OR(器件参数!E115="filter_bpf",器件参数!E115="filter_lpf",器件参数!E115="filter_hpf",器件参数!E115="filter_bsf",器件参数!E115="attenuator",器件参数!E115="cable",器件参数!E115="connector",器件参数!E115="switch",器件参数!E115="isolator",器件参数!E115="coupler",器件参数!E115="splitter"),AND(ISNUMBER(器件参数!F115),ABS(器件参数!F115)&lt;=300),器件参数!F115&lt;=0,ISNUMBER(器件参数!I115),器件参数!I115&gt;0),1+(10^(-器件参数!F115/10)-1)*器件参数!I115/Tref_K,""))))),"数值域错误")</f>
        <v>1</v>
      </c>
      <c r="H115" s="5">
        <f t="shared" si="22"/>
        <v>2.29336948552238</v>
      </c>
      <c r="I115" s="5">
        <f t="shared" si="23"/>
        <v>3.604740296957</v>
      </c>
      <c r="J115" s="5">
        <f>IF(AND(ISNUMBER(Pin_dBm),ISNUMBER(D115)),Pin_dBm+D115,"")</f>
        <v>-10</v>
      </c>
      <c r="K115" s="5">
        <f>IF(AND(ISNUMBER(Pin_dBm),ISNUMBER(E115)),Pin_dBm+E115,"")</f>
        <v>-10</v>
      </c>
      <c r="L115" s="5" t="str">
        <f>IF(AND(器件参数!J115="finite",ISNUMBER(器件参数!L115),ISNUMBER(C115)),IF(器件参数!K115="input",器件参数!L115,IF(器件参数!K115="output",器件参数!L115-C115,"")),"")</f>
        <v/>
      </c>
      <c r="M115" s="5">
        <f>IFERROR(IF(NOT(ISNUMBER(M114)),"",IF(OR(NOT(器件参数!B115),器件参数!J115="ideal"),M114,IF(AND(ISNUMBER(L115),ISNUMBER(F115)),M114+F115/10^(L115/10),""))),"数值域错误")</f>
        <v>0.2</v>
      </c>
      <c r="N115" s="5">
        <f t="shared" si="24"/>
        <v>6.98970004336019</v>
      </c>
      <c r="O115" s="5">
        <f t="shared" si="25"/>
        <v>26.9897000433602</v>
      </c>
      <c r="P115" s="5" t="str">
        <f>IF(AND(器件参数!M115="finite",ISNUMBER(器件参数!O115),ISNUMBER(C115)),IF(器件参数!N115="input",器件参数!O115,IF(器件参数!N115="actual_output",器件参数!O115-C115+1,IF(器件参数!N115="linear_output",器件参数!O115-C115,""))),"")</f>
        <v/>
      </c>
      <c r="Q115" s="5">
        <f>IF(器件参数!P115="",IF(AND(ISNUMBER(DefaultP),DefaultP&gt;=1,DefaultP&lt;=10),DefaultP,""),IF(AND(ISNUMBER(器件参数!P115),器件参数!P115&gt;=1,器件参数!P115&lt;=10),器件参数!P115,""))</f>
        <v>2</v>
      </c>
      <c r="R115" s="5">
        <f t="shared" si="26"/>
        <v>-10.0000139708288</v>
      </c>
      <c r="S115" s="5" t="str">
        <f t="shared" si="27"/>
        <v/>
      </c>
      <c r="T115" s="5">
        <f t="shared" si="28"/>
        <v>0</v>
      </c>
      <c r="U115" s="5">
        <f t="shared" si="29"/>
        <v>-10.0000139708288</v>
      </c>
      <c r="V115" s="5">
        <f>IF(AND(ISNUMBER(Pin_dBm),ISNUMBER(E115),ISNUMBER(U115)),Pin_dBm+E115-U115,"")</f>
        <v>1.39708287854035e-5</v>
      </c>
      <c r="W115" s="5" t="str">
        <f>IF(AND(器件参数!B115,X115=1,ISNUMBER(D115)),P115-D115,"")</f>
        <v/>
      </c>
      <c r="X115" s="5">
        <f>IF(NOT(ISNUMBER(C115)),-1,IF(OR(NOT(器件参数!B115),器件参数!M115="ideal"),0,IF(AND(ISNUMBER(P115),ISNUMBER(Q115)),1,-1)))</f>
        <v>0</v>
      </c>
      <c r="Y115" s="5" t="str">
        <f t="shared" si="30"/>
        <v>有效</v>
      </c>
      <c r="Z115" s="5" t="str">
        <f t="shared" si="31"/>
        <v>有效</v>
      </c>
      <c r="AA115" s="5" t="str">
        <f t="shared" si="32"/>
        <v>模型估算</v>
      </c>
      <c r="AB115" s="5">
        <f t="shared" si="33"/>
        <v>100000000</v>
      </c>
      <c r="AC115" s="5">
        <f>IF(NOT(ISNUMBER(AB115)),"",IF(OR(NOT(器件参数!B115),器件参数!E115&lt;&gt;"mixer"),AB115,IF(AND(ISNUMBER(器件参数!T115),器件参数!T115&gt;0),IF(器件参数!U115="sum",AB115+器件参数!T115,IF(器件参数!U115="difference",ABS(AB115-器件参数!T115),"")),"")))</f>
        <v>100000000</v>
      </c>
      <c r="AD115" s="5">
        <f t="shared" si="34"/>
        <v>0</v>
      </c>
      <c r="AE115" s="5">
        <f>IF(AND(ISNUMBER(G115),ISNUMBER(F115)),Tref_K*(G115-1)/F115,"")</f>
        <v>0</v>
      </c>
      <c r="AF115" s="5">
        <f>IF(AND(ISNUMBER(H115),ISNUMBER(E115),NoiseConfigOK),10*LOG10(Boltzmann*Bnoise_Hz*(Tsource_K+Tref_K*(H115-1)))+30+E115,"")</f>
        <v>-90.3704468972711</v>
      </c>
      <c r="AG115" s="5">
        <f t="shared" si="35"/>
        <v>80.3704468972711</v>
      </c>
      <c r="AH115" s="5">
        <f>IF(AND(ToneEnabled,ISNUMBER(E115),ISNUMBER(TonePin)),TonePin+E115,"")</f>
        <v>-10</v>
      </c>
      <c r="AI115" s="5">
        <f>IF(AND(ToneEnabled,ISNUMBER(E115),ISNUMBER(N115),ISNUMBER(TonePin)),3*TonePin+E115-2*N115,"")</f>
        <v>-83.9794000867204</v>
      </c>
      <c r="AJ115" s="5" t="str">
        <f t="shared" si="36"/>
        <v/>
      </c>
      <c r="AK115" s="5" t="str">
        <f>IF(NOT(器件参数!B115),"旁路",IF(NOT(ISNUMBER(AC115)),"频率未知",IF(AC115&lt;=SignalBW/2,"跨零频",IF(AND(ISNUMBER(器件参数!R115),ISNUMBER(器件参数!S115)),IF(AND(AB115-SignalBW/2&gt;=器件参数!R115,AB115+SignalBW/2&lt;=器件参数!S115),"有效","超声明通带"),"未声明通带"))))</f>
        <v>旁路</v>
      </c>
      <c r="AL115" s="5">
        <f t="shared" si="37"/>
        <v>0</v>
      </c>
      <c r="AM115" s="5" t="str">
        <f>IF(AND(器件参数!B115,ISNUMBER(器件参数!X115),OR(AND(ISNUMBER(J115),J115&gt;器件参数!X115),IF(AND(ToneEnabled,ISNUMBER(TonePin),ISNUMBER(D115)),TonePin+10*LOG10(2)+D115&gt;器件参数!X115,FALSE))),"超过绝对最大输入额定值","")</f>
        <v/>
      </c>
      <c r="AN115" s="5">
        <f>IF(NOT(ISNUMBER(AN114)),"",IF(OR(NOT(器件参数!B115),器件参数!E115&lt;&gt;"mixer"),AN114,IF(AND(ISNUMBER(器件参数!T115),器件参数!T115&gt;0),IF(器件参数!U115="sum",AN114+器件参数!T115,ABS(AN114-器件参数!T115)),"")))</f>
        <v>99950000</v>
      </c>
      <c r="AO115" s="5">
        <f>IF(NOT(ISNUMBER(AO114)),"",IF(OR(NOT(器件参数!B115),器件参数!E115&lt;&gt;"mixer"),AO114,IF(AND(ISNUMBER(器件参数!T115),器件参数!T115&gt;0),IF(器件参数!U115="sum",AO114+器件参数!T115,ABS(AO114-器件参数!T115)),"")))</f>
        <v>100050000</v>
      </c>
      <c r="AP115" s="5">
        <f>IF(NOT(ISNUMBER(AP114)),"",IF(OR(NOT(器件参数!B115),器件参数!E115&lt;&gt;"mixer"),AP114,IF(AND(ISNUMBER(器件参数!T115),器件参数!T115&gt;0),IF(器件参数!U115="sum",AP114+器件参数!T115,ABS(AP114-器件参数!T115)),"")))</f>
        <v>99850000</v>
      </c>
      <c r="AQ115" s="5">
        <f>IF(NOT(ISNUMBER(AQ114)),"",IF(OR(NOT(器件参数!B115),器件参数!E115&lt;&gt;"mixer"),AQ114,IF(AND(ISNUMBER(器件参数!T115),器件参数!T115&gt;0),IF(器件参数!U115="sum",AQ114+器件参数!T115,ABS(AQ114-器件参数!T115)),"")))</f>
        <v>100150000</v>
      </c>
      <c r="AR115" s="5" t="b">
        <f>IF(NOT(AR114),FALSE,IF(NOT(器件参数!B115),TRUE,AND(COUNT(AN115:AQ115)=4,MIN(AN115:AQ115)&gt;0,IF(AND(ISNUMBER(器件参数!R115),ISNUMBER(器件参数!S115)),AND(MIN(AN114:AQ114)&gt;=器件参数!R115,MAX(AN114:AQ114)&lt;=器件参数!S115),TRUE),IF(AND(器件参数!E115="mixer",器件参数!U115="difference"),OR(器件参数!T115&lt;MIN(AN114:AQ114),器件参数!T115&gt;MAX(AN114:AQ114)),TRUE))))</f>
        <v>1</v>
      </c>
    </row>
    <row r="116" hidden="1" spans="1:44">
      <c r="A116" s="5">
        <f>器件参数!A116</f>
        <v>113</v>
      </c>
      <c r="B116" s="5" t="str">
        <f>器件参数!D116</f>
        <v/>
      </c>
      <c r="C116" s="5">
        <f>IF(NOT(器件参数!B116),0,IF(AND(ISNUMBER(器件参数!F116),ABS(器件参数!F116)&lt;=300),器件参数!F116,""))</f>
        <v>0</v>
      </c>
      <c r="D116" s="5">
        <f t="shared" si="19"/>
        <v>20</v>
      </c>
      <c r="E116" s="5">
        <f t="shared" si="20"/>
        <v>20</v>
      </c>
      <c r="F116" s="5">
        <f t="shared" si="21"/>
        <v>100</v>
      </c>
      <c r="G116" s="5">
        <f>IFERROR(IF(NOT(器件参数!B116),1,IF(NOT(OR(器件参数!E116&lt;&gt;"mixer",AND(OR(器件参数!V116="SSB",器件参数!V116="DSB"),器件参数!W116=TRUE))),"",IF(器件参数!G116="ideal",1,IF(AND(器件参数!G116="manual",ISNUMBER(器件参数!H116),器件参数!H116&gt;=0),10^(器件参数!H116/10),IF(AND(器件参数!G116="passive_thermal",OR(器件参数!E116="filter_bpf",器件参数!E116="filter_lpf",器件参数!E116="filter_hpf",器件参数!E116="filter_bsf",器件参数!E116="attenuator",器件参数!E116="cable",器件参数!E116="connector",器件参数!E116="switch",器件参数!E116="isolator",器件参数!E116="coupler",器件参数!E116="splitter"),AND(ISNUMBER(器件参数!F116),ABS(器件参数!F116)&lt;=300),器件参数!F116&lt;=0,ISNUMBER(器件参数!I116),器件参数!I116&gt;0),1+(10^(-器件参数!F116/10)-1)*器件参数!I116/Tref_K,""))))),"数值域错误")</f>
        <v>1</v>
      </c>
      <c r="H116" s="5">
        <f t="shared" si="22"/>
        <v>2.29336948552238</v>
      </c>
      <c r="I116" s="5">
        <f t="shared" si="23"/>
        <v>3.604740296957</v>
      </c>
      <c r="J116" s="5">
        <f>IF(AND(ISNUMBER(Pin_dBm),ISNUMBER(D116)),Pin_dBm+D116,"")</f>
        <v>-10</v>
      </c>
      <c r="K116" s="5">
        <f>IF(AND(ISNUMBER(Pin_dBm),ISNUMBER(E116)),Pin_dBm+E116,"")</f>
        <v>-10</v>
      </c>
      <c r="L116" s="5" t="str">
        <f>IF(AND(器件参数!J116="finite",ISNUMBER(器件参数!L116),ISNUMBER(C116)),IF(器件参数!K116="input",器件参数!L116,IF(器件参数!K116="output",器件参数!L116-C116,"")),"")</f>
        <v/>
      </c>
      <c r="M116" s="5">
        <f>IFERROR(IF(NOT(ISNUMBER(M115)),"",IF(OR(NOT(器件参数!B116),器件参数!J116="ideal"),M115,IF(AND(ISNUMBER(L116),ISNUMBER(F116)),M115+F116/10^(L116/10),""))),"数值域错误")</f>
        <v>0.2</v>
      </c>
      <c r="N116" s="5">
        <f t="shared" si="24"/>
        <v>6.98970004336019</v>
      </c>
      <c r="O116" s="5">
        <f t="shared" si="25"/>
        <v>26.9897000433602</v>
      </c>
      <c r="P116" s="5" t="str">
        <f>IF(AND(器件参数!M116="finite",ISNUMBER(器件参数!O116),ISNUMBER(C116)),IF(器件参数!N116="input",器件参数!O116,IF(器件参数!N116="actual_output",器件参数!O116-C116+1,IF(器件参数!N116="linear_output",器件参数!O116-C116,""))),"")</f>
        <v/>
      </c>
      <c r="Q116" s="5">
        <f>IF(器件参数!P116="",IF(AND(ISNUMBER(DefaultP),DefaultP&gt;=1,DefaultP&lt;=10),DefaultP,""),IF(AND(ISNUMBER(器件参数!P116),器件参数!P116&gt;=1,器件参数!P116&lt;=10),器件参数!P116,""))</f>
        <v>2</v>
      </c>
      <c r="R116" s="5">
        <f t="shared" si="26"/>
        <v>-10.0000139708288</v>
      </c>
      <c r="S116" s="5" t="str">
        <f t="shared" si="27"/>
        <v/>
      </c>
      <c r="T116" s="5">
        <f t="shared" si="28"/>
        <v>0</v>
      </c>
      <c r="U116" s="5">
        <f t="shared" si="29"/>
        <v>-10.0000139708288</v>
      </c>
      <c r="V116" s="5">
        <f>IF(AND(ISNUMBER(Pin_dBm),ISNUMBER(E116),ISNUMBER(U116)),Pin_dBm+E116-U116,"")</f>
        <v>1.39708287854035e-5</v>
      </c>
      <c r="W116" s="5" t="str">
        <f>IF(AND(器件参数!B116,X116=1,ISNUMBER(D116)),P116-D116,"")</f>
        <v/>
      </c>
      <c r="X116" s="5">
        <f>IF(NOT(ISNUMBER(C116)),-1,IF(OR(NOT(器件参数!B116),器件参数!M116="ideal"),0,IF(AND(ISNUMBER(P116),ISNUMBER(Q116)),1,-1)))</f>
        <v>0</v>
      </c>
      <c r="Y116" s="5" t="str">
        <f t="shared" si="30"/>
        <v>有效</v>
      </c>
      <c r="Z116" s="5" t="str">
        <f t="shared" si="31"/>
        <v>有效</v>
      </c>
      <c r="AA116" s="5" t="str">
        <f t="shared" si="32"/>
        <v>模型估算</v>
      </c>
      <c r="AB116" s="5">
        <f t="shared" si="33"/>
        <v>100000000</v>
      </c>
      <c r="AC116" s="5">
        <f>IF(NOT(ISNUMBER(AB116)),"",IF(OR(NOT(器件参数!B116),器件参数!E116&lt;&gt;"mixer"),AB116,IF(AND(ISNUMBER(器件参数!T116),器件参数!T116&gt;0),IF(器件参数!U116="sum",AB116+器件参数!T116,IF(器件参数!U116="difference",ABS(AB116-器件参数!T116),"")),"")))</f>
        <v>100000000</v>
      </c>
      <c r="AD116" s="5">
        <f t="shared" si="34"/>
        <v>0</v>
      </c>
      <c r="AE116" s="5">
        <f>IF(AND(ISNUMBER(G116),ISNUMBER(F116)),Tref_K*(G116-1)/F116,"")</f>
        <v>0</v>
      </c>
      <c r="AF116" s="5">
        <f>IF(AND(ISNUMBER(H116),ISNUMBER(E116),NoiseConfigOK),10*LOG10(Boltzmann*Bnoise_Hz*(Tsource_K+Tref_K*(H116-1)))+30+E116,"")</f>
        <v>-90.3704468972711</v>
      </c>
      <c r="AG116" s="5">
        <f t="shared" si="35"/>
        <v>80.3704468972711</v>
      </c>
      <c r="AH116" s="5">
        <f>IF(AND(ToneEnabled,ISNUMBER(E116),ISNUMBER(TonePin)),TonePin+E116,"")</f>
        <v>-10</v>
      </c>
      <c r="AI116" s="5">
        <f>IF(AND(ToneEnabled,ISNUMBER(E116),ISNUMBER(N116),ISNUMBER(TonePin)),3*TonePin+E116-2*N116,"")</f>
        <v>-83.9794000867204</v>
      </c>
      <c r="AJ116" s="5" t="str">
        <f t="shared" si="36"/>
        <v/>
      </c>
      <c r="AK116" s="5" t="str">
        <f>IF(NOT(器件参数!B116),"旁路",IF(NOT(ISNUMBER(AC116)),"频率未知",IF(AC116&lt;=SignalBW/2,"跨零频",IF(AND(ISNUMBER(器件参数!R116),ISNUMBER(器件参数!S116)),IF(AND(AB116-SignalBW/2&gt;=器件参数!R116,AB116+SignalBW/2&lt;=器件参数!S116),"有效","超声明通带"),"未声明通带"))))</f>
        <v>旁路</v>
      </c>
      <c r="AL116" s="5">
        <f t="shared" si="37"/>
        <v>0</v>
      </c>
      <c r="AM116" s="5" t="str">
        <f>IF(AND(器件参数!B116,ISNUMBER(器件参数!X116),OR(AND(ISNUMBER(J116),J116&gt;器件参数!X116),IF(AND(ToneEnabled,ISNUMBER(TonePin),ISNUMBER(D116)),TonePin+10*LOG10(2)+D116&gt;器件参数!X116,FALSE))),"超过绝对最大输入额定值","")</f>
        <v/>
      </c>
      <c r="AN116" s="5">
        <f>IF(NOT(ISNUMBER(AN115)),"",IF(OR(NOT(器件参数!B116),器件参数!E116&lt;&gt;"mixer"),AN115,IF(AND(ISNUMBER(器件参数!T116),器件参数!T116&gt;0),IF(器件参数!U116="sum",AN115+器件参数!T116,ABS(AN115-器件参数!T116)),"")))</f>
        <v>99950000</v>
      </c>
      <c r="AO116" s="5">
        <f>IF(NOT(ISNUMBER(AO115)),"",IF(OR(NOT(器件参数!B116),器件参数!E116&lt;&gt;"mixer"),AO115,IF(AND(ISNUMBER(器件参数!T116),器件参数!T116&gt;0),IF(器件参数!U116="sum",AO115+器件参数!T116,ABS(AO115-器件参数!T116)),"")))</f>
        <v>100050000</v>
      </c>
      <c r="AP116" s="5">
        <f>IF(NOT(ISNUMBER(AP115)),"",IF(OR(NOT(器件参数!B116),器件参数!E116&lt;&gt;"mixer"),AP115,IF(AND(ISNUMBER(器件参数!T116),器件参数!T116&gt;0),IF(器件参数!U116="sum",AP115+器件参数!T116,ABS(AP115-器件参数!T116)),"")))</f>
        <v>99850000</v>
      </c>
      <c r="AQ116" s="5">
        <f>IF(NOT(ISNUMBER(AQ115)),"",IF(OR(NOT(器件参数!B116),器件参数!E116&lt;&gt;"mixer"),AQ115,IF(AND(ISNUMBER(器件参数!T116),器件参数!T116&gt;0),IF(器件参数!U116="sum",AQ115+器件参数!T116,ABS(AQ115-器件参数!T116)),"")))</f>
        <v>100150000</v>
      </c>
      <c r="AR116" s="5" t="b">
        <f>IF(NOT(AR115),FALSE,IF(NOT(器件参数!B116),TRUE,AND(COUNT(AN116:AQ116)=4,MIN(AN116:AQ116)&gt;0,IF(AND(ISNUMBER(器件参数!R116),ISNUMBER(器件参数!S116)),AND(MIN(AN115:AQ115)&gt;=器件参数!R116,MAX(AN115:AQ115)&lt;=器件参数!S116),TRUE),IF(AND(器件参数!E116="mixer",器件参数!U116="difference"),OR(器件参数!T116&lt;MIN(AN115:AQ115),器件参数!T116&gt;MAX(AN115:AQ115)),TRUE))))</f>
        <v>1</v>
      </c>
    </row>
    <row r="117" hidden="1" spans="1:44">
      <c r="A117" s="5">
        <f>器件参数!A117</f>
        <v>114</v>
      </c>
      <c r="B117" s="5" t="str">
        <f>器件参数!D117</f>
        <v/>
      </c>
      <c r="C117" s="5">
        <f>IF(NOT(器件参数!B117),0,IF(AND(ISNUMBER(器件参数!F117),ABS(器件参数!F117)&lt;=300),器件参数!F117,""))</f>
        <v>0</v>
      </c>
      <c r="D117" s="5">
        <f t="shared" si="19"/>
        <v>20</v>
      </c>
      <c r="E117" s="5">
        <f t="shared" si="20"/>
        <v>20</v>
      </c>
      <c r="F117" s="5">
        <f t="shared" si="21"/>
        <v>100</v>
      </c>
      <c r="G117" s="5">
        <f>IFERROR(IF(NOT(器件参数!B117),1,IF(NOT(OR(器件参数!E117&lt;&gt;"mixer",AND(OR(器件参数!V117="SSB",器件参数!V117="DSB"),器件参数!W117=TRUE))),"",IF(器件参数!G117="ideal",1,IF(AND(器件参数!G117="manual",ISNUMBER(器件参数!H117),器件参数!H117&gt;=0),10^(器件参数!H117/10),IF(AND(器件参数!G117="passive_thermal",OR(器件参数!E117="filter_bpf",器件参数!E117="filter_lpf",器件参数!E117="filter_hpf",器件参数!E117="filter_bsf",器件参数!E117="attenuator",器件参数!E117="cable",器件参数!E117="connector",器件参数!E117="switch",器件参数!E117="isolator",器件参数!E117="coupler",器件参数!E117="splitter"),AND(ISNUMBER(器件参数!F117),ABS(器件参数!F117)&lt;=300),器件参数!F117&lt;=0,ISNUMBER(器件参数!I117),器件参数!I117&gt;0),1+(10^(-器件参数!F117/10)-1)*器件参数!I117/Tref_K,""))))),"数值域错误")</f>
        <v>1</v>
      </c>
      <c r="H117" s="5">
        <f t="shared" si="22"/>
        <v>2.29336948552238</v>
      </c>
      <c r="I117" s="5">
        <f t="shared" si="23"/>
        <v>3.604740296957</v>
      </c>
      <c r="J117" s="5">
        <f>IF(AND(ISNUMBER(Pin_dBm),ISNUMBER(D117)),Pin_dBm+D117,"")</f>
        <v>-10</v>
      </c>
      <c r="K117" s="5">
        <f>IF(AND(ISNUMBER(Pin_dBm),ISNUMBER(E117)),Pin_dBm+E117,"")</f>
        <v>-10</v>
      </c>
      <c r="L117" s="5" t="str">
        <f>IF(AND(器件参数!J117="finite",ISNUMBER(器件参数!L117),ISNUMBER(C117)),IF(器件参数!K117="input",器件参数!L117,IF(器件参数!K117="output",器件参数!L117-C117,"")),"")</f>
        <v/>
      </c>
      <c r="M117" s="5">
        <f>IFERROR(IF(NOT(ISNUMBER(M116)),"",IF(OR(NOT(器件参数!B117),器件参数!J117="ideal"),M116,IF(AND(ISNUMBER(L117),ISNUMBER(F117)),M116+F117/10^(L117/10),""))),"数值域错误")</f>
        <v>0.2</v>
      </c>
      <c r="N117" s="5">
        <f t="shared" si="24"/>
        <v>6.98970004336019</v>
      </c>
      <c r="O117" s="5">
        <f t="shared" si="25"/>
        <v>26.9897000433602</v>
      </c>
      <c r="P117" s="5" t="str">
        <f>IF(AND(器件参数!M117="finite",ISNUMBER(器件参数!O117),ISNUMBER(C117)),IF(器件参数!N117="input",器件参数!O117,IF(器件参数!N117="actual_output",器件参数!O117-C117+1,IF(器件参数!N117="linear_output",器件参数!O117-C117,""))),"")</f>
        <v/>
      </c>
      <c r="Q117" s="5">
        <f>IF(器件参数!P117="",IF(AND(ISNUMBER(DefaultP),DefaultP&gt;=1,DefaultP&lt;=10),DefaultP,""),IF(AND(ISNUMBER(器件参数!P117),器件参数!P117&gt;=1,器件参数!P117&lt;=10),器件参数!P117,""))</f>
        <v>2</v>
      </c>
      <c r="R117" s="5">
        <f t="shared" si="26"/>
        <v>-10.0000139708288</v>
      </c>
      <c r="S117" s="5" t="str">
        <f t="shared" si="27"/>
        <v/>
      </c>
      <c r="T117" s="5">
        <f t="shared" si="28"/>
        <v>0</v>
      </c>
      <c r="U117" s="5">
        <f t="shared" si="29"/>
        <v>-10.0000139708288</v>
      </c>
      <c r="V117" s="5">
        <f>IF(AND(ISNUMBER(Pin_dBm),ISNUMBER(E117),ISNUMBER(U117)),Pin_dBm+E117-U117,"")</f>
        <v>1.39708287854035e-5</v>
      </c>
      <c r="W117" s="5" t="str">
        <f>IF(AND(器件参数!B117,X117=1,ISNUMBER(D117)),P117-D117,"")</f>
        <v/>
      </c>
      <c r="X117" s="5">
        <f>IF(NOT(ISNUMBER(C117)),-1,IF(OR(NOT(器件参数!B117),器件参数!M117="ideal"),0,IF(AND(ISNUMBER(P117),ISNUMBER(Q117)),1,-1)))</f>
        <v>0</v>
      </c>
      <c r="Y117" s="5" t="str">
        <f t="shared" si="30"/>
        <v>有效</v>
      </c>
      <c r="Z117" s="5" t="str">
        <f t="shared" si="31"/>
        <v>有效</v>
      </c>
      <c r="AA117" s="5" t="str">
        <f t="shared" si="32"/>
        <v>模型估算</v>
      </c>
      <c r="AB117" s="5">
        <f t="shared" si="33"/>
        <v>100000000</v>
      </c>
      <c r="AC117" s="5">
        <f>IF(NOT(ISNUMBER(AB117)),"",IF(OR(NOT(器件参数!B117),器件参数!E117&lt;&gt;"mixer"),AB117,IF(AND(ISNUMBER(器件参数!T117),器件参数!T117&gt;0),IF(器件参数!U117="sum",AB117+器件参数!T117,IF(器件参数!U117="difference",ABS(AB117-器件参数!T117),"")),"")))</f>
        <v>100000000</v>
      </c>
      <c r="AD117" s="5">
        <f t="shared" si="34"/>
        <v>0</v>
      </c>
      <c r="AE117" s="5">
        <f>IF(AND(ISNUMBER(G117),ISNUMBER(F117)),Tref_K*(G117-1)/F117,"")</f>
        <v>0</v>
      </c>
      <c r="AF117" s="5">
        <f>IF(AND(ISNUMBER(H117),ISNUMBER(E117),NoiseConfigOK),10*LOG10(Boltzmann*Bnoise_Hz*(Tsource_K+Tref_K*(H117-1)))+30+E117,"")</f>
        <v>-90.3704468972711</v>
      </c>
      <c r="AG117" s="5">
        <f t="shared" si="35"/>
        <v>80.3704468972711</v>
      </c>
      <c r="AH117" s="5">
        <f>IF(AND(ToneEnabled,ISNUMBER(E117),ISNUMBER(TonePin)),TonePin+E117,"")</f>
        <v>-10</v>
      </c>
      <c r="AI117" s="5">
        <f>IF(AND(ToneEnabled,ISNUMBER(E117),ISNUMBER(N117),ISNUMBER(TonePin)),3*TonePin+E117-2*N117,"")</f>
        <v>-83.9794000867204</v>
      </c>
      <c r="AJ117" s="5" t="str">
        <f t="shared" si="36"/>
        <v/>
      </c>
      <c r="AK117" s="5" t="str">
        <f>IF(NOT(器件参数!B117),"旁路",IF(NOT(ISNUMBER(AC117)),"频率未知",IF(AC117&lt;=SignalBW/2,"跨零频",IF(AND(ISNUMBER(器件参数!R117),ISNUMBER(器件参数!S117)),IF(AND(AB117-SignalBW/2&gt;=器件参数!R117,AB117+SignalBW/2&lt;=器件参数!S117),"有效","超声明通带"),"未声明通带"))))</f>
        <v>旁路</v>
      </c>
      <c r="AL117" s="5">
        <f t="shared" si="37"/>
        <v>0</v>
      </c>
      <c r="AM117" s="5" t="str">
        <f>IF(AND(器件参数!B117,ISNUMBER(器件参数!X117),OR(AND(ISNUMBER(J117),J117&gt;器件参数!X117),IF(AND(ToneEnabled,ISNUMBER(TonePin),ISNUMBER(D117)),TonePin+10*LOG10(2)+D117&gt;器件参数!X117,FALSE))),"超过绝对最大输入额定值","")</f>
        <v/>
      </c>
      <c r="AN117" s="5">
        <f>IF(NOT(ISNUMBER(AN116)),"",IF(OR(NOT(器件参数!B117),器件参数!E117&lt;&gt;"mixer"),AN116,IF(AND(ISNUMBER(器件参数!T117),器件参数!T117&gt;0),IF(器件参数!U117="sum",AN116+器件参数!T117,ABS(AN116-器件参数!T117)),"")))</f>
        <v>99950000</v>
      </c>
      <c r="AO117" s="5">
        <f>IF(NOT(ISNUMBER(AO116)),"",IF(OR(NOT(器件参数!B117),器件参数!E117&lt;&gt;"mixer"),AO116,IF(AND(ISNUMBER(器件参数!T117),器件参数!T117&gt;0),IF(器件参数!U117="sum",AO116+器件参数!T117,ABS(AO116-器件参数!T117)),"")))</f>
        <v>100050000</v>
      </c>
      <c r="AP117" s="5">
        <f>IF(NOT(ISNUMBER(AP116)),"",IF(OR(NOT(器件参数!B117),器件参数!E117&lt;&gt;"mixer"),AP116,IF(AND(ISNUMBER(器件参数!T117),器件参数!T117&gt;0),IF(器件参数!U117="sum",AP116+器件参数!T117,ABS(AP116-器件参数!T117)),"")))</f>
        <v>99850000</v>
      </c>
      <c r="AQ117" s="5">
        <f>IF(NOT(ISNUMBER(AQ116)),"",IF(OR(NOT(器件参数!B117),器件参数!E117&lt;&gt;"mixer"),AQ116,IF(AND(ISNUMBER(器件参数!T117),器件参数!T117&gt;0),IF(器件参数!U117="sum",AQ116+器件参数!T117,ABS(AQ116-器件参数!T117)),"")))</f>
        <v>100150000</v>
      </c>
      <c r="AR117" s="5" t="b">
        <f>IF(NOT(AR116),FALSE,IF(NOT(器件参数!B117),TRUE,AND(COUNT(AN117:AQ117)=4,MIN(AN117:AQ117)&gt;0,IF(AND(ISNUMBER(器件参数!R117),ISNUMBER(器件参数!S117)),AND(MIN(AN116:AQ116)&gt;=器件参数!R117,MAX(AN116:AQ116)&lt;=器件参数!S117),TRUE),IF(AND(器件参数!E117="mixer",器件参数!U117="difference"),OR(器件参数!T117&lt;MIN(AN116:AQ116),器件参数!T117&gt;MAX(AN116:AQ116)),TRUE))))</f>
        <v>1</v>
      </c>
    </row>
    <row r="118" hidden="1" spans="1:44">
      <c r="A118" s="5">
        <f>器件参数!A118</f>
        <v>115</v>
      </c>
      <c r="B118" s="5" t="str">
        <f>器件参数!D118</f>
        <v/>
      </c>
      <c r="C118" s="5">
        <f>IF(NOT(器件参数!B118),0,IF(AND(ISNUMBER(器件参数!F118),ABS(器件参数!F118)&lt;=300),器件参数!F118,""))</f>
        <v>0</v>
      </c>
      <c r="D118" s="5">
        <f t="shared" si="19"/>
        <v>20</v>
      </c>
      <c r="E118" s="5">
        <f t="shared" si="20"/>
        <v>20</v>
      </c>
      <c r="F118" s="5">
        <f t="shared" si="21"/>
        <v>100</v>
      </c>
      <c r="G118" s="5">
        <f>IFERROR(IF(NOT(器件参数!B118),1,IF(NOT(OR(器件参数!E118&lt;&gt;"mixer",AND(OR(器件参数!V118="SSB",器件参数!V118="DSB"),器件参数!W118=TRUE))),"",IF(器件参数!G118="ideal",1,IF(AND(器件参数!G118="manual",ISNUMBER(器件参数!H118),器件参数!H118&gt;=0),10^(器件参数!H118/10),IF(AND(器件参数!G118="passive_thermal",OR(器件参数!E118="filter_bpf",器件参数!E118="filter_lpf",器件参数!E118="filter_hpf",器件参数!E118="filter_bsf",器件参数!E118="attenuator",器件参数!E118="cable",器件参数!E118="connector",器件参数!E118="switch",器件参数!E118="isolator",器件参数!E118="coupler",器件参数!E118="splitter"),AND(ISNUMBER(器件参数!F118),ABS(器件参数!F118)&lt;=300),器件参数!F118&lt;=0,ISNUMBER(器件参数!I118),器件参数!I118&gt;0),1+(10^(-器件参数!F118/10)-1)*器件参数!I118/Tref_K,""))))),"数值域错误")</f>
        <v>1</v>
      </c>
      <c r="H118" s="5">
        <f t="shared" si="22"/>
        <v>2.29336948552238</v>
      </c>
      <c r="I118" s="5">
        <f t="shared" si="23"/>
        <v>3.604740296957</v>
      </c>
      <c r="J118" s="5">
        <f>IF(AND(ISNUMBER(Pin_dBm),ISNUMBER(D118)),Pin_dBm+D118,"")</f>
        <v>-10</v>
      </c>
      <c r="K118" s="5">
        <f>IF(AND(ISNUMBER(Pin_dBm),ISNUMBER(E118)),Pin_dBm+E118,"")</f>
        <v>-10</v>
      </c>
      <c r="L118" s="5" t="str">
        <f>IF(AND(器件参数!J118="finite",ISNUMBER(器件参数!L118),ISNUMBER(C118)),IF(器件参数!K118="input",器件参数!L118,IF(器件参数!K118="output",器件参数!L118-C118,"")),"")</f>
        <v/>
      </c>
      <c r="M118" s="5">
        <f>IFERROR(IF(NOT(ISNUMBER(M117)),"",IF(OR(NOT(器件参数!B118),器件参数!J118="ideal"),M117,IF(AND(ISNUMBER(L118),ISNUMBER(F118)),M117+F118/10^(L118/10),""))),"数值域错误")</f>
        <v>0.2</v>
      </c>
      <c r="N118" s="5">
        <f t="shared" si="24"/>
        <v>6.98970004336019</v>
      </c>
      <c r="O118" s="5">
        <f t="shared" si="25"/>
        <v>26.9897000433602</v>
      </c>
      <c r="P118" s="5" t="str">
        <f>IF(AND(器件参数!M118="finite",ISNUMBER(器件参数!O118),ISNUMBER(C118)),IF(器件参数!N118="input",器件参数!O118,IF(器件参数!N118="actual_output",器件参数!O118-C118+1,IF(器件参数!N118="linear_output",器件参数!O118-C118,""))),"")</f>
        <v/>
      </c>
      <c r="Q118" s="5">
        <f>IF(器件参数!P118="",IF(AND(ISNUMBER(DefaultP),DefaultP&gt;=1,DefaultP&lt;=10),DefaultP,""),IF(AND(ISNUMBER(器件参数!P118),器件参数!P118&gt;=1,器件参数!P118&lt;=10),器件参数!P118,""))</f>
        <v>2</v>
      </c>
      <c r="R118" s="5">
        <f t="shared" si="26"/>
        <v>-10.0000139708288</v>
      </c>
      <c r="S118" s="5" t="str">
        <f t="shared" si="27"/>
        <v/>
      </c>
      <c r="T118" s="5">
        <f t="shared" si="28"/>
        <v>0</v>
      </c>
      <c r="U118" s="5">
        <f t="shared" si="29"/>
        <v>-10.0000139708288</v>
      </c>
      <c r="V118" s="5">
        <f>IF(AND(ISNUMBER(Pin_dBm),ISNUMBER(E118),ISNUMBER(U118)),Pin_dBm+E118-U118,"")</f>
        <v>1.39708287854035e-5</v>
      </c>
      <c r="W118" s="5" t="str">
        <f>IF(AND(器件参数!B118,X118=1,ISNUMBER(D118)),P118-D118,"")</f>
        <v/>
      </c>
      <c r="X118" s="5">
        <f>IF(NOT(ISNUMBER(C118)),-1,IF(OR(NOT(器件参数!B118),器件参数!M118="ideal"),0,IF(AND(ISNUMBER(P118),ISNUMBER(Q118)),1,-1)))</f>
        <v>0</v>
      </c>
      <c r="Y118" s="5" t="str">
        <f t="shared" si="30"/>
        <v>有效</v>
      </c>
      <c r="Z118" s="5" t="str">
        <f t="shared" si="31"/>
        <v>有效</v>
      </c>
      <c r="AA118" s="5" t="str">
        <f t="shared" si="32"/>
        <v>模型估算</v>
      </c>
      <c r="AB118" s="5">
        <f t="shared" si="33"/>
        <v>100000000</v>
      </c>
      <c r="AC118" s="5">
        <f>IF(NOT(ISNUMBER(AB118)),"",IF(OR(NOT(器件参数!B118),器件参数!E118&lt;&gt;"mixer"),AB118,IF(AND(ISNUMBER(器件参数!T118),器件参数!T118&gt;0),IF(器件参数!U118="sum",AB118+器件参数!T118,IF(器件参数!U118="difference",ABS(AB118-器件参数!T118),"")),"")))</f>
        <v>100000000</v>
      </c>
      <c r="AD118" s="5">
        <f t="shared" si="34"/>
        <v>0</v>
      </c>
      <c r="AE118" s="5">
        <f>IF(AND(ISNUMBER(G118),ISNUMBER(F118)),Tref_K*(G118-1)/F118,"")</f>
        <v>0</v>
      </c>
      <c r="AF118" s="5">
        <f>IF(AND(ISNUMBER(H118),ISNUMBER(E118),NoiseConfigOK),10*LOG10(Boltzmann*Bnoise_Hz*(Tsource_K+Tref_K*(H118-1)))+30+E118,"")</f>
        <v>-90.3704468972711</v>
      </c>
      <c r="AG118" s="5">
        <f t="shared" si="35"/>
        <v>80.3704468972711</v>
      </c>
      <c r="AH118" s="5">
        <f>IF(AND(ToneEnabled,ISNUMBER(E118),ISNUMBER(TonePin)),TonePin+E118,"")</f>
        <v>-10</v>
      </c>
      <c r="AI118" s="5">
        <f>IF(AND(ToneEnabled,ISNUMBER(E118),ISNUMBER(N118),ISNUMBER(TonePin)),3*TonePin+E118-2*N118,"")</f>
        <v>-83.9794000867204</v>
      </c>
      <c r="AJ118" s="5" t="str">
        <f t="shared" si="36"/>
        <v/>
      </c>
      <c r="AK118" s="5" t="str">
        <f>IF(NOT(器件参数!B118),"旁路",IF(NOT(ISNUMBER(AC118)),"频率未知",IF(AC118&lt;=SignalBW/2,"跨零频",IF(AND(ISNUMBER(器件参数!R118),ISNUMBER(器件参数!S118)),IF(AND(AB118-SignalBW/2&gt;=器件参数!R118,AB118+SignalBW/2&lt;=器件参数!S118),"有效","超声明通带"),"未声明通带"))))</f>
        <v>旁路</v>
      </c>
      <c r="AL118" s="5">
        <f t="shared" si="37"/>
        <v>0</v>
      </c>
      <c r="AM118" s="5" t="str">
        <f>IF(AND(器件参数!B118,ISNUMBER(器件参数!X118),OR(AND(ISNUMBER(J118),J118&gt;器件参数!X118),IF(AND(ToneEnabled,ISNUMBER(TonePin),ISNUMBER(D118)),TonePin+10*LOG10(2)+D118&gt;器件参数!X118,FALSE))),"超过绝对最大输入额定值","")</f>
        <v/>
      </c>
      <c r="AN118" s="5">
        <f>IF(NOT(ISNUMBER(AN117)),"",IF(OR(NOT(器件参数!B118),器件参数!E118&lt;&gt;"mixer"),AN117,IF(AND(ISNUMBER(器件参数!T118),器件参数!T118&gt;0),IF(器件参数!U118="sum",AN117+器件参数!T118,ABS(AN117-器件参数!T118)),"")))</f>
        <v>99950000</v>
      </c>
      <c r="AO118" s="5">
        <f>IF(NOT(ISNUMBER(AO117)),"",IF(OR(NOT(器件参数!B118),器件参数!E118&lt;&gt;"mixer"),AO117,IF(AND(ISNUMBER(器件参数!T118),器件参数!T118&gt;0),IF(器件参数!U118="sum",AO117+器件参数!T118,ABS(AO117-器件参数!T118)),"")))</f>
        <v>100050000</v>
      </c>
      <c r="AP118" s="5">
        <f>IF(NOT(ISNUMBER(AP117)),"",IF(OR(NOT(器件参数!B118),器件参数!E118&lt;&gt;"mixer"),AP117,IF(AND(ISNUMBER(器件参数!T118),器件参数!T118&gt;0),IF(器件参数!U118="sum",AP117+器件参数!T118,ABS(AP117-器件参数!T118)),"")))</f>
        <v>99850000</v>
      </c>
      <c r="AQ118" s="5">
        <f>IF(NOT(ISNUMBER(AQ117)),"",IF(OR(NOT(器件参数!B118),器件参数!E118&lt;&gt;"mixer"),AQ117,IF(AND(ISNUMBER(器件参数!T118),器件参数!T118&gt;0),IF(器件参数!U118="sum",AQ117+器件参数!T118,ABS(AQ117-器件参数!T118)),"")))</f>
        <v>100150000</v>
      </c>
      <c r="AR118" s="5" t="b">
        <f>IF(NOT(AR117),FALSE,IF(NOT(器件参数!B118),TRUE,AND(COUNT(AN118:AQ118)=4,MIN(AN118:AQ118)&gt;0,IF(AND(ISNUMBER(器件参数!R118),ISNUMBER(器件参数!S118)),AND(MIN(AN117:AQ117)&gt;=器件参数!R118,MAX(AN117:AQ117)&lt;=器件参数!S118),TRUE),IF(AND(器件参数!E118="mixer",器件参数!U118="difference"),OR(器件参数!T118&lt;MIN(AN117:AQ117),器件参数!T118&gt;MAX(AN117:AQ117)),TRUE))))</f>
        <v>1</v>
      </c>
    </row>
    <row r="119" hidden="1" spans="1:44">
      <c r="A119" s="5">
        <f>器件参数!A119</f>
        <v>116</v>
      </c>
      <c r="B119" s="5" t="str">
        <f>器件参数!D119</f>
        <v/>
      </c>
      <c r="C119" s="5">
        <f>IF(NOT(器件参数!B119),0,IF(AND(ISNUMBER(器件参数!F119),ABS(器件参数!F119)&lt;=300),器件参数!F119,""))</f>
        <v>0</v>
      </c>
      <c r="D119" s="5">
        <f t="shared" si="19"/>
        <v>20</v>
      </c>
      <c r="E119" s="5">
        <f t="shared" si="20"/>
        <v>20</v>
      </c>
      <c r="F119" s="5">
        <f t="shared" si="21"/>
        <v>100</v>
      </c>
      <c r="G119" s="5">
        <f>IFERROR(IF(NOT(器件参数!B119),1,IF(NOT(OR(器件参数!E119&lt;&gt;"mixer",AND(OR(器件参数!V119="SSB",器件参数!V119="DSB"),器件参数!W119=TRUE))),"",IF(器件参数!G119="ideal",1,IF(AND(器件参数!G119="manual",ISNUMBER(器件参数!H119),器件参数!H119&gt;=0),10^(器件参数!H119/10),IF(AND(器件参数!G119="passive_thermal",OR(器件参数!E119="filter_bpf",器件参数!E119="filter_lpf",器件参数!E119="filter_hpf",器件参数!E119="filter_bsf",器件参数!E119="attenuator",器件参数!E119="cable",器件参数!E119="connector",器件参数!E119="switch",器件参数!E119="isolator",器件参数!E119="coupler",器件参数!E119="splitter"),AND(ISNUMBER(器件参数!F119),ABS(器件参数!F119)&lt;=300),器件参数!F119&lt;=0,ISNUMBER(器件参数!I119),器件参数!I119&gt;0),1+(10^(-器件参数!F119/10)-1)*器件参数!I119/Tref_K,""))))),"数值域错误")</f>
        <v>1</v>
      </c>
      <c r="H119" s="5">
        <f t="shared" si="22"/>
        <v>2.29336948552238</v>
      </c>
      <c r="I119" s="5">
        <f t="shared" si="23"/>
        <v>3.604740296957</v>
      </c>
      <c r="J119" s="5">
        <f>IF(AND(ISNUMBER(Pin_dBm),ISNUMBER(D119)),Pin_dBm+D119,"")</f>
        <v>-10</v>
      </c>
      <c r="K119" s="5">
        <f>IF(AND(ISNUMBER(Pin_dBm),ISNUMBER(E119)),Pin_dBm+E119,"")</f>
        <v>-10</v>
      </c>
      <c r="L119" s="5" t="str">
        <f>IF(AND(器件参数!J119="finite",ISNUMBER(器件参数!L119),ISNUMBER(C119)),IF(器件参数!K119="input",器件参数!L119,IF(器件参数!K119="output",器件参数!L119-C119,"")),"")</f>
        <v/>
      </c>
      <c r="M119" s="5">
        <f>IFERROR(IF(NOT(ISNUMBER(M118)),"",IF(OR(NOT(器件参数!B119),器件参数!J119="ideal"),M118,IF(AND(ISNUMBER(L119),ISNUMBER(F119)),M118+F119/10^(L119/10),""))),"数值域错误")</f>
        <v>0.2</v>
      </c>
      <c r="N119" s="5">
        <f t="shared" si="24"/>
        <v>6.98970004336019</v>
      </c>
      <c r="O119" s="5">
        <f t="shared" si="25"/>
        <v>26.9897000433602</v>
      </c>
      <c r="P119" s="5" t="str">
        <f>IF(AND(器件参数!M119="finite",ISNUMBER(器件参数!O119),ISNUMBER(C119)),IF(器件参数!N119="input",器件参数!O119,IF(器件参数!N119="actual_output",器件参数!O119-C119+1,IF(器件参数!N119="linear_output",器件参数!O119-C119,""))),"")</f>
        <v/>
      </c>
      <c r="Q119" s="5">
        <f>IF(器件参数!P119="",IF(AND(ISNUMBER(DefaultP),DefaultP&gt;=1,DefaultP&lt;=10),DefaultP,""),IF(AND(ISNUMBER(器件参数!P119),器件参数!P119&gt;=1,器件参数!P119&lt;=10),器件参数!P119,""))</f>
        <v>2</v>
      </c>
      <c r="R119" s="5">
        <f t="shared" si="26"/>
        <v>-10.0000139708288</v>
      </c>
      <c r="S119" s="5" t="str">
        <f t="shared" si="27"/>
        <v/>
      </c>
      <c r="T119" s="5">
        <f t="shared" si="28"/>
        <v>0</v>
      </c>
      <c r="U119" s="5">
        <f t="shared" si="29"/>
        <v>-10.0000139708288</v>
      </c>
      <c r="V119" s="5">
        <f>IF(AND(ISNUMBER(Pin_dBm),ISNUMBER(E119),ISNUMBER(U119)),Pin_dBm+E119-U119,"")</f>
        <v>1.39708287854035e-5</v>
      </c>
      <c r="W119" s="5" t="str">
        <f>IF(AND(器件参数!B119,X119=1,ISNUMBER(D119)),P119-D119,"")</f>
        <v/>
      </c>
      <c r="X119" s="5">
        <f>IF(NOT(ISNUMBER(C119)),-1,IF(OR(NOT(器件参数!B119),器件参数!M119="ideal"),0,IF(AND(ISNUMBER(P119),ISNUMBER(Q119)),1,-1)))</f>
        <v>0</v>
      </c>
      <c r="Y119" s="5" t="str">
        <f t="shared" si="30"/>
        <v>有效</v>
      </c>
      <c r="Z119" s="5" t="str">
        <f t="shared" si="31"/>
        <v>有效</v>
      </c>
      <c r="AA119" s="5" t="str">
        <f t="shared" si="32"/>
        <v>模型估算</v>
      </c>
      <c r="AB119" s="5">
        <f t="shared" si="33"/>
        <v>100000000</v>
      </c>
      <c r="AC119" s="5">
        <f>IF(NOT(ISNUMBER(AB119)),"",IF(OR(NOT(器件参数!B119),器件参数!E119&lt;&gt;"mixer"),AB119,IF(AND(ISNUMBER(器件参数!T119),器件参数!T119&gt;0),IF(器件参数!U119="sum",AB119+器件参数!T119,IF(器件参数!U119="difference",ABS(AB119-器件参数!T119),"")),"")))</f>
        <v>100000000</v>
      </c>
      <c r="AD119" s="5">
        <f t="shared" si="34"/>
        <v>0</v>
      </c>
      <c r="AE119" s="5">
        <f>IF(AND(ISNUMBER(G119),ISNUMBER(F119)),Tref_K*(G119-1)/F119,"")</f>
        <v>0</v>
      </c>
      <c r="AF119" s="5">
        <f>IF(AND(ISNUMBER(H119),ISNUMBER(E119),NoiseConfigOK),10*LOG10(Boltzmann*Bnoise_Hz*(Tsource_K+Tref_K*(H119-1)))+30+E119,"")</f>
        <v>-90.3704468972711</v>
      </c>
      <c r="AG119" s="5">
        <f t="shared" si="35"/>
        <v>80.3704468972711</v>
      </c>
      <c r="AH119" s="5">
        <f>IF(AND(ToneEnabled,ISNUMBER(E119),ISNUMBER(TonePin)),TonePin+E119,"")</f>
        <v>-10</v>
      </c>
      <c r="AI119" s="5">
        <f>IF(AND(ToneEnabled,ISNUMBER(E119),ISNUMBER(N119),ISNUMBER(TonePin)),3*TonePin+E119-2*N119,"")</f>
        <v>-83.9794000867204</v>
      </c>
      <c r="AJ119" s="5" t="str">
        <f t="shared" si="36"/>
        <v/>
      </c>
      <c r="AK119" s="5" t="str">
        <f>IF(NOT(器件参数!B119),"旁路",IF(NOT(ISNUMBER(AC119)),"频率未知",IF(AC119&lt;=SignalBW/2,"跨零频",IF(AND(ISNUMBER(器件参数!R119),ISNUMBER(器件参数!S119)),IF(AND(AB119-SignalBW/2&gt;=器件参数!R119,AB119+SignalBW/2&lt;=器件参数!S119),"有效","超声明通带"),"未声明通带"))))</f>
        <v>旁路</v>
      </c>
      <c r="AL119" s="5">
        <f t="shared" si="37"/>
        <v>0</v>
      </c>
      <c r="AM119" s="5" t="str">
        <f>IF(AND(器件参数!B119,ISNUMBER(器件参数!X119),OR(AND(ISNUMBER(J119),J119&gt;器件参数!X119),IF(AND(ToneEnabled,ISNUMBER(TonePin),ISNUMBER(D119)),TonePin+10*LOG10(2)+D119&gt;器件参数!X119,FALSE))),"超过绝对最大输入额定值","")</f>
        <v/>
      </c>
      <c r="AN119" s="5">
        <f>IF(NOT(ISNUMBER(AN118)),"",IF(OR(NOT(器件参数!B119),器件参数!E119&lt;&gt;"mixer"),AN118,IF(AND(ISNUMBER(器件参数!T119),器件参数!T119&gt;0),IF(器件参数!U119="sum",AN118+器件参数!T119,ABS(AN118-器件参数!T119)),"")))</f>
        <v>99950000</v>
      </c>
      <c r="AO119" s="5">
        <f>IF(NOT(ISNUMBER(AO118)),"",IF(OR(NOT(器件参数!B119),器件参数!E119&lt;&gt;"mixer"),AO118,IF(AND(ISNUMBER(器件参数!T119),器件参数!T119&gt;0),IF(器件参数!U119="sum",AO118+器件参数!T119,ABS(AO118-器件参数!T119)),"")))</f>
        <v>100050000</v>
      </c>
      <c r="AP119" s="5">
        <f>IF(NOT(ISNUMBER(AP118)),"",IF(OR(NOT(器件参数!B119),器件参数!E119&lt;&gt;"mixer"),AP118,IF(AND(ISNUMBER(器件参数!T119),器件参数!T119&gt;0),IF(器件参数!U119="sum",AP118+器件参数!T119,ABS(AP118-器件参数!T119)),"")))</f>
        <v>99850000</v>
      </c>
      <c r="AQ119" s="5">
        <f>IF(NOT(ISNUMBER(AQ118)),"",IF(OR(NOT(器件参数!B119),器件参数!E119&lt;&gt;"mixer"),AQ118,IF(AND(ISNUMBER(器件参数!T119),器件参数!T119&gt;0),IF(器件参数!U119="sum",AQ118+器件参数!T119,ABS(AQ118-器件参数!T119)),"")))</f>
        <v>100150000</v>
      </c>
      <c r="AR119" s="5" t="b">
        <f>IF(NOT(AR118),FALSE,IF(NOT(器件参数!B119),TRUE,AND(COUNT(AN119:AQ119)=4,MIN(AN119:AQ119)&gt;0,IF(AND(ISNUMBER(器件参数!R119),ISNUMBER(器件参数!S119)),AND(MIN(AN118:AQ118)&gt;=器件参数!R119,MAX(AN118:AQ118)&lt;=器件参数!S119),TRUE),IF(AND(器件参数!E119="mixer",器件参数!U119="difference"),OR(器件参数!T119&lt;MIN(AN118:AQ118),器件参数!T119&gt;MAX(AN118:AQ118)),TRUE))))</f>
        <v>1</v>
      </c>
    </row>
    <row r="120" hidden="1" spans="1:44">
      <c r="A120" s="5">
        <f>器件参数!A120</f>
        <v>117</v>
      </c>
      <c r="B120" s="5" t="str">
        <f>器件参数!D120</f>
        <v/>
      </c>
      <c r="C120" s="5">
        <f>IF(NOT(器件参数!B120),0,IF(AND(ISNUMBER(器件参数!F120),ABS(器件参数!F120)&lt;=300),器件参数!F120,""))</f>
        <v>0</v>
      </c>
      <c r="D120" s="5">
        <f t="shared" si="19"/>
        <v>20</v>
      </c>
      <c r="E120" s="5">
        <f t="shared" si="20"/>
        <v>20</v>
      </c>
      <c r="F120" s="5">
        <f t="shared" si="21"/>
        <v>100</v>
      </c>
      <c r="G120" s="5">
        <f>IFERROR(IF(NOT(器件参数!B120),1,IF(NOT(OR(器件参数!E120&lt;&gt;"mixer",AND(OR(器件参数!V120="SSB",器件参数!V120="DSB"),器件参数!W120=TRUE))),"",IF(器件参数!G120="ideal",1,IF(AND(器件参数!G120="manual",ISNUMBER(器件参数!H120),器件参数!H120&gt;=0),10^(器件参数!H120/10),IF(AND(器件参数!G120="passive_thermal",OR(器件参数!E120="filter_bpf",器件参数!E120="filter_lpf",器件参数!E120="filter_hpf",器件参数!E120="filter_bsf",器件参数!E120="attenuator",器件参数!E120="cable",器件参数!E120="connector",器件参数!E120="switch",器件参数!E120="isolator",器件参数!E120="coupler",器件参数!E120="splitter"),AND(ISNUMBER(器件参数!F120),ABS(器件参数!F120)&lt;=300),器件参数!F120&lt;=0,ISNUMBER(器件参数!I120),器件参数!I120&gt;0),1+(10^(-器件参数!F120/10)-1)*器件参数!I120/Tref_K,""))))),"数值域错误")</f>
        <v>1</v>
      </c>
      <c r="H120" s="5">
        <f t="shared" si="22"/>
        <v>2.29336948552238</v>
      </c>
      <c r="I120" s="5">
        <f t="shared" si="23"/>
        <v>3.604740296957</v>
      </c>
      <c r="J120" s="5">
        <f>IF(AND(ISNUMBER(Pin_dBm),ISNUMBER(D120)),Pin_dBm+D120,"")</f>
        <v>-10</v>
      </c>
      <c r="K120" s="5">
        <f>IF(AND(ISNUMBER(Pin_dBm),ISNUMBER(E120)),Pin_dBm+E120,"")</f>
        <v>-10</v>
      </c>
      <c r="L120" s="5" t="str">
        <f>IF(AND(器件参数!J120="finite",ISNUMBER(器件参数!L120),ISNUMBER(C120)),IF(器件参数!K120="input",器件参数!L120,IF(器件参数!K120="output",器件参数!L120-C120,"")),"")</f>
        <v/>
      </c>
      <c r="M120" s="5">
        <f>IFERROR(IF(NOT(ISNUMBER(M119)),"",IF(OR(NOT(器件参数!B120),器件参数!J120="ideal"),M119,IF(AND(ISNUMBER(L120),ISNUMBER(F120)),M119+F120/10^(L120/10),""))),"数值域错误")</f>
        <v>0.2</v>
      </c>
      <c r="N120" s="5">
        <f t="shared" si="24"/>
        <v>6.98970004336019</v>
      </c>
      <c r="O120" s="5">
        <f t="shared" si="25"/>
        <v>26.9897000433602</v>
      </c>
      <c r="P120" s="5" t="str">
        <f>IF(AND(器件参数!M120="finite",ISNUMBER(器件参数!O120),ISNUMBER(C120)),IF(器件参数!N120="input",器件参数!O120,IF(器件参数!N120="actual_output",器件参数!O120-C120+1,IF(器件参数!N120="linear_output",器件参数!O120-C120,""))),"")</f>
        <v/>
      </c>
      <c r="Q120" s="5">
        <f>IF(器件参数!P120="",IF(AND(ISNUMBER(DefaultP),DefaultP&gt;=1,DefaultP&lt;=10),DefaultP,""),IF(AND(ISNUMBER(器件参数!P120),器件参数!P120&gt;=1,器件参数!P120&lt;=10),器件参数!P120,""))</f>
        <v>2</v>
      </c>
      <c r="R120" s="5">
        <f t="shared" si="26"/>
        <v>-10.0000139708288</v>
      </c>
      <c r="S120" s="5" t="str">
        <f t="shared" si="27"/>
        <v/>
      </c>
      <c r="T120" s="5">
        <f t="shared" si="28"/>
        <v>0</v>
      </c>
      <c r="U120" s="5">
        <f t="shared" si="29"/>
        <v>-10.0000139708288</v>
      </c>
      <c r="V120" s="5">
        <f>IF(AND(ISNUMBER(Pin_dBm),ISNUMBER(E120),ISNUMBER(U120)),Pin_dBm+E120-U120,"")</f>
        <v>1.39708287854035e-5</v>
      </c>
      <c r="W120" s="5" t="str">
        <f>IF(AND(器件参数!B120,X120=1,ISNUMBER(D120)),P120-D120,"")</f>
        <v/>
      </c>
      <c r="X120" s="5">
        <f>IF(NOT(ISNUMBER(C120)),-1,IF(OR(NOT(器件参数!B120),器件参数!M120="ideal"),0,IF(AND(ISNUMBER(P120),ISNUMBER(Q120)),1,-1)))</f>
        <v>0</v>
      </c>
      <c r="Y120" s="5" t="str">
        <f t="shared" si="30"/>
        <v>有效</v>
      </c>
      <c r="Z120" s="5" t="str">
        <f t="shared" si="31"/>
        <v>有效</v>
      </c>
      <c r="AA120" s="5" t="str">
        <f t="shared" si="32"/>
        <v>模型估算</v>
      </c>
      <c r="AB120" s="5">
        <f t="shared" si="33"/>
        <v>100000000</v>
      </c>
      <c r="AC120" s="5">
        <f>IF(NOT(ISNUMBER(AB120)),"",IF(OR(NOT(器件参数!B120),器件参数!E120&lt;&gt;"mixer"),AB120,IF(AND(ISNUMBER(器件参数!T120),器件参数!T120&gt;0),IF(器件参数!U120="sum",AB120+器件参数!T120,IF(器件参数!U120="difference",ABS(AB120-器件参数!T120),"")),"")))</f>
        <v>100000000</v>
      </c>
      <c r="AD120" s="5">
        <f t="shared" si="34"/>
        <v>0</v>
      </c>
      <c r="AE120" s="5">
        <f>IF(AND(ISNUMBER(G120),ISNUMBER(F120)),Tref_K*(G120-1)/F120,"")</f>
        <v>0</v>
      </c>
      <c r="AF120" s="5">
        <f>IF(AND(ISNUMBER(H120),ISNUMBER(E120),NoiseConfigOK),10*LOG10(Boltzmann*Bnoise_Hz*(Tsource_K+Tref_K*(H120-1)))+30+E120,"")</f>
        <v>-90.3704468972711</v>
      </c>
      <c r="AG120" s="5">
        <f t="shared" si="35"/>
        <v>80.3704468972711</v>
      </c>
      <c r="AH120" s="5">
        <f>IF(AND(ToneEnabled,ISNUMBER(E120),ISNUMBER(TonePin)),TonePin+E120,"")</f>
        <v>-10</v>
      </c>
      <c r="AI120" s="5">
        <f>IF(AND(ToneEnabled,ISNUMBER(E120),ISNUMBER(N120),ISNUMBER(TonePin)),3*TonePin+E120-2*N120,"")</f>
        <v>-83.9794000867204</v>
      </c>
      <c r="AJ120" s="5" t="str">
        <f t="shared" si="36"/>
        <v/>
      </c>
      <c r="AK120" s="5" t="str">
        <f>IF(NOT(器件参数!B120),"旁路",IF(NOT(ISNUMBER(AC120)),"频率未知",IF(AC120&lt;=SignalBW/2,"跨零频",IF(AND(ISNUMBER(器件参数!R120),ISNUMBER(器件参数!S120)),IF(AND(AB120-SignalBW/2&gt;=器件参数!R120,AB120+SignalBW/2&lt;=器件参数!S120),"有效","超声明通带"),"未声明通带"))))</f>
        <v>旁路</v>
      </c>
      <c r="AL120" s="5">
        <f t="shared" si="37"/>
        <v>0</v>
      </c>
      <c r="AM120" s="5" t="str">
        <f>IF(AND(器件参数!B120,ISNUMBER(器件参数!X120),OR(AND(ISNUMBER(J120),J120&gt;器件参数!X120),IF(AND(ToneEnabled,ISNUMBER(TonePin),ISNUMBER(D120)),TonePin+10*LOG10(2)+D120&gt;器件参数!X120,FALSE))),"超过绝对最大输入额定值","")</f>
        <v/>
      </c>
      <c r="AN120" s="5">
        <f>IF(NOT(ISNUMBER(AN119)),"",IF(OR(NOT(器件参数!B120),器件参数!E120&lt;&gt;"mixer"),AN119,IF(AND(ISNUMBER(器件参数!T120),器件参数!T120&gt;0),IF(器件参数!U120="sum",AN119+器件参数!T120,ABS(AN119-器件参数!T120)),"")))</f>
        <v>99950000</v>
      </c>
      <c r="AO120" s="5">
        <f>IF(NOT(ISNUMBER(AO119)),"",IF(OR(NOT(器件参数!B120),器件参数!E120&lt;&gt;"mixer"),AO119,IF(AND(ISNUMBER(器件参数!T120),器件参数!T120&gt;0),IF(器件参数!U120="sum",AO119+器件参数!T120,ABS(AO119-器件参数!T120)),"")))</f>
        <v>100050000</v>
      </c>
      <c r="AP120" s="5">
        <f>IF(NOT(ISNUMBER(AP119)),"",IF(OR(NOT(器件参数!B120),器件参数!E120&lt;&gt;"mixer"),AP119,IF(AND(ISNUMBER(器件参数!T120),器件参数!T120&gt;0),IF(器件参数!U120="sum",AP119+器件参数!T120,ABS(AP119-器件参数!T120)),"")))</f>
        <v>99850000</v>
      </c>
      <c r="AQ120" s="5">
        <f>IF(NOT(ISNUMBER(AQ119)),"",IF(OR(NOT(器件参数!B120),器件参数!E120&lt;&gt;"mixer"),AQ119,IF(AND(ISNUMBER(器件参数!T120),器件参数!T120&gt;0),IF(器件参数!U120="sum",AQ119+器件参数!T120,ABS(AQ119-器件参数!T120)),"")))</f>
        <v>100150000</v>
      </c>
      <c r="AR120" s="5" t="b">
        <f>IF(NOT(AR119),FALSE,IF(NOT(器件参数!B120),TRUE,AND(COUNT(AN120:AQ120)=4,MIN(AN120:AQ120)&gt;0,IF(AND(ISNUMBER(器件参数!R120),ISNUMBER(器件参数!S120)),AND(MIN(AN119:AQ119)&gt;=器件参数!R120,MAX(AN119:AQ119)&lt;=器件参数!S120),TRUE),IF(AND(器件参数!E120="mixer",器件参数!U120="difference"),OR(器件参数!T120&lt;MIN(AN119:AQ119),器件参数!T120&gt;MAX(AN119:AQ119)),TRUE))))</f>
        <v>1</v>
      </c>
    </row>
    <row r="121" hidden="1" spans="1:44">
      <c r="A121" s="5">
        <f>器件参数!A121</f>
        <v>118</v>
      </c>
      <c r="B121" s="5" t="str">
        <f>器件参数!D121</f>
        <v/>
      </c>
      <c r="C121" s="5">
        <f>IF(NOT(器件参数!B121),0,IF(AND(ISNUMBER(器件参数!F121),ABS(器件参数!F121)&lt;=300),器件参数!F121,""))</f>
        <v>0</v>
      </c>
      <c r="D121" s="5">
        <f t="shared" si="19"/>
        <v>20</v>
      </c>
      <c r="E121" s="5">
        <f t="shared" si="20"/>
        <v>20</v>
      </c>
      <c r="F121" s="5">
        <f t="shared" si="21"/>
        <v>100</v>
      </c>
      <c r="G121" s="5">
        <f>IFERROR(IF(NOT(器件参数!B121),1,IF(NOT(OR(器件参数!E121&lt;&gt;"mixer",AND(OR(器件参数!V121="SSB",器件参数!V121="DSB"),器件参数!W121=TRUE))),"",IF(器件参数!G121="ideal",1,IF(AND(器件参数!G121="manual",ISNUMBER(器件参数!H121),器件参数!H121&gt;=0),10^(器件参数!H121/10),IF(AND(器件参数!G121="passive_thermal",OR(器件参数!E121="filter_bpf",器件参数!E121="filter_lpf",器件参数!E121="filter_hpf",器件参数!E121="filter_bsf",器件参数!E121="attenuator",器件参数!E121="cable",器件参数!E121="connector",器件参数!E121="switch",器件参数!E121="isolator",器件参数!E121="coupler",器件参数!E121="splitter"),AND(ISNUMBER(器件参数!F121),ABS(器件参数!F121)&lt;=300),器件参数!F121&lt;=0,ISNUMBER(器件参数!I121),器件参数!I121&gt;0),1+(10^(-器件参数!F121/10)-1)*器件参数!I121/Tref_K,""))))),"数值域错误")</f>
        <v>1</v>
      </c>
      <c r="H121" s="5">
        <f t="shared" si="22"/>
        <v>2.29336948552238</v>
      </c>
      <c r="I121" s="5">
        <f t="shared" si="23"/>
        <v>3.604740296957</v>
      </c>
      <c r="J121" s="5">
        <f>IF(AND(ISNUMBER(Pin_dBm),ISNUMBER(D121)),Pin_dBm+D121,"")</f>
        <v>-10</v>
      </c>
      <c r="K121" s="5">
        <f>IF(AND(ISNUMBER(Pin_dBm),ISNUMBER(E121)),Pin_dBm+E121,"")</f>
        <v>-10</v>
      </c>
      <c r="L121" s="5" t="str">
        <f>IF(AND(器件参数!J121="finite",ISNUMBER(器件参数!L121),ISNUMBER(C121)),IF(器件参数!K121="input",器件参数!L121,IF(器件参数!K121="output",器件参数!L121-C121,"")),"")</f>
        <v/>
      </c>
      <c r="M121" s="5">
        <f>IFERROR(IF(NOT(ISNUMBER(M120)),"",IF(OR(NOT(器件参数!B121),器件参数!J121="ideal"),M120,IF(AND(ISNUMBER(L121),ISNUMBER(F121)),M120+F121/10^(L121/10),""))),"数值域错误")</f>
        <v>0.2</v>
      </c>
      <c r="N121" s="5">
        <f t="shared" si="24"/>
        <v>6.98970004336019</v>
      </c>
      <c r="O121" s="5">
        <f t="shared" si="25"/>
        <v>26.9897000433602</v>
      </c>
      <c r="P121" s="5" t="str">
        <f>IF(AND(器件参数!M121="finite",ISNUMBER(器件参数!O121),ISNUMBER(C121)),IF(器件参数!N121="input",器件参数!O121,IF(器件参数!N121="actual_output",器件参数!O121-C121+1,IF(器件参数!N121="linear_output",器件参数!O121-C121,""))),"")</f>
        <v/>
      </c>
      <c r="Q121" s="5">
        <f>IF(器件参数!P121="",IF(AND(ISNUMBER(DefaultP),DefaultP&gt;=1,DefaultP&lt;=10),DefaultP,""),IF(AND(ISNUMBER(器件参数!P121),器件参数!P121&gt;=1,器件参数!P121&lt;=10),器件参数!P121,""))</f>
        <v>2</v>
      </c>
      <c r="R121" s="5">
        <f t="shared" si="26"/>
        <v>-10.0000139708288</v>
      </c>
      <c r="S121" s="5" t="str">
        <f t="shared" si="27"/>
        <v/>
      </c>
      <c r="T121" s="5">
        <f t="shared" si="28"/>
        <v>0</v>
      </c>
      <c r="U121" s="5">
        <f t="shared" si="29"/>
        <v>-10.0000139708288</v>
      </c>
      <c r="V121" s="5">
        <f>IF(AND(ISNUMBER(Pin_dBm),ISNUMBER(E121),ISNUMBER(U121)),Pin_dBm+E121-U121,"")</f>
        <v>1.39708287854035e-5</v>
      </c>
      <c r="W121" s="5" t="str">
        <f>IF(AND(器件参数!B121,X121=1,ISNUMBER(D121)),P121-D121,"")</f>
        <v/>
      </c>
      <c r="X121" s="5">
        <f>IF(NOT(ISNUMBER(C121)),-1,IF(OR(NOT(器件参数!B121),器件参数!M121="ideal"),0,IF(AND(ISNUMBER(P121),ISNUMBER(Q121)),1,-1)))</f>
        <v>0</v>
      </c>
      <c r="Y121" s="5" t="str">
        <f t="shared" si="30"/>
        <v>有效</v>
      </c>
      <c r="Z121" s="5" t="str">
        <f t="shared" si="31"/>
        <v>有效</v>
      </c>
      <c r="AA121" s="5" t="str">
        <f t="shared" si="32"/>
        <v>模型估算</v>
      </c>
      <c r="AB121" s="5">
        <f t="shared" si="33"/>
        <v>100000000</v>
      </c>
      <c r="AC121" s="5">
        <f>IF(NOT(ISNUMBER(AB121)),"",IF(OR(NOT(器件参数!B121),器件参数!E121&lt;&gt;"mixer"),AB121,IF(AND(ISNUMBER(器件参数!T121),器件参数!T121&gt;0),IF(器件参数!U121="sum",AB121+器件参数!T121,IF(器件参数!U121="difference",ABS(AB121-器件参数!T121),"")),"")))</f>
        <v>100000000</v>
      </c>
      <c r="AD121" s="5">
        <f t="shared" si="34"/>
        <v>0</v>
      </c>
      <c r="AE121" s="5">
        <f>IF(AND(ISNUMBER(G121),ISNUMBER(F121)),Tref_K*(G121-1)/F121,"")</f>
        <v>0</v>
      </c>
      <c r="AF121" s="5">
        <f>IF(AND(ISNUMBER(H121),ISNUMBER(E121),NoiseConfigOK),10*LOG10(Boltzmann*Bnoise_Hz*(Tsource_K+Tref_K*(H121-1)))+30+E121,"")</f>
        <v>-90.3704468972711</v>
      </c>
      <c r="AG121" s="5">
        <f t="shared" si="35"/>
        <v>80.3704468972711</v>
      </c>
      <c r="AH121" s="5">
        <f>IF(AND(ToneEnabled,ISNUMBER(E121),ISNUMBER(TonePin)),TonePin+E121,"")</f>
        <v>-10</v>
      </c>
      <c r="AI121" s="5">
        <f>IF(AND(ToneEnabled,ISNUMBER(E121),ISNUMBER(N121),ISNUMBER(TonePin)),3*TonePin+E121-2*N121,"")</f>
        <v>-83.9794000867204</v>
      </c>
      <c r="AJ121" s="5" t="str">
        <f t="shared" si="36"/>
        <v/>
      </c>
      <c r="AK121" s="5" t="str">
        <f>IF(NOT(器件参数!B121),"旁路",IF(NOT(ISNUMBER(AC121)),"频率未知",IF(AC121&lt;=SignalBW/2,"跨零频",IF(AND(ISNUMBER(器件参数!R121),ISNUMBER(器件参数!S121)),IF(AND(AB121-SignalBW/2&gt;=器件参数!R121,AB121+SignalBW/2&lt;=器件参数!S121),"有效","超声明通带"),"未声明通带"))))</f>
        <v>旁路</v>
      </c>
      <c r="AL121" s="5">
        <f t="shared" si="37"/>
        <v>0</v>
      </c>
      <c r="AM121" s="5" t="str">
        <f>IF(AND(器件参数!B121,ISNUMBER(器件参数!X121),OR(AND(ISNUMBER(J121),J121&gt;器件参数!X121),IF(AND(ToneEnabled,ISNUMBER(TonePin),ISNUMBER(D121)),TonePin+10*LOG10(2)+D121&gt;器件参数!X121,FALSE))),"超过绝对最大输入额定值","")</f>
        <v/>
      </c>
      <c r="AN121" s="5">
        <f>IF(NOT(ISNUMBER(AN120)),"",IF(OR(NOT(器件参数!B121),器件参数!E121&lt;&gt;"mixer"),AN120,IF(AND(ISNUMBER(器件参数!T121),器件参数!T121&gt;0),IF(器件参数!U121="sum",AN120+器件参数!T121,ABS(AN120-器件参数!T121)),"")))</f>
        <v>99950000</v>
      </c>
      <c r="AO121" s="5">
        <f>IF(NOT(ISNUMBER(AO120)),"",IF(OR(NOT(器件参数!B121),器件参数!E121&lt;&gt;"mixer"),AO120,IF(AND(ISNUMBER(器件参数!T121),器件参数!T121&gt;0),IF(器件参数!U121="sum",AO120+器件参数!T121,ABS(AO120-器件参数!T121)),"")))</f>
        <v>100050000</v>
      </c>
      <c r="AP121" s="5">
        <f>IF(NOT(ISNUMBER(AP120)),"",IF(OR(NOT(器件参数!B121),器件参数!E121&lt;&gt;"mixer"),AP120,IF(AND(ISNUMBER(器件参数!T121),器件参数!T121&gt;0),IF(器件参数!U121="sum",AP120+器件参数!T121,ABS(AP120-器件参数!T121)),"")))</f>
        <v>99850000</v>
      </c>
      <c r="AQ121" s="5">
        <f>IF(NOT(ISNUMBER(AQ120)),"",IF(OR(NOT(器件参数!B121),器件参数!E121&lt;&gt;"mixer"),AQ120,IF(AND(ISNUMBER(器件参数!T121),器件参数!T121&gt;0),IF(器件参数!U121="sum",AQ120+器件参数!T121,ABS(AQ120-器件参数!T121)),"")))</f>
        <v>100150000</v>
      </c>
      <c r="AR121" s="5" t="b">
        <f>IF(NOT(AR120),FALSE,IF(NOT(器件参数!B121),TRUE,AND(COUNT(AN121:AQ121)=4,MIN(AN121:AQ121)&gt;0,IF(AND(ISNUMBER(器件参数!R121),ISNUMBER(器件参数!S121)),AND(MIN(AN120:AQ120)&gt;=器件参数!R121,MAX(AN120:AQ120)&lt;=器件参数!S121),TRUE),IF(AND(器件参数!E121="mixer",器件参数!U121="difference"),OR(器件参数!T121&lt;MIN(AN120:AQ120),器件参数!T121&gt;MAX(AN120:AQ120)),TRUE))))</f>
        <v>1</v>
      </c>
    </row>
    <row r="122" hidden="1" spans="1:44">
      <c r="A122" s="5">
        <f>器件参数!A122</f>
        <v>119</v>
      </c>
      <c r="B122" s="5" t="str">
        <f>器件参数!D122</f>
        <v/>
      </c>
      <c r="C122" s="5">
        <f>IF(NOT(器件参数!B122),0,IF(AND(ISNUMBER(器件参数!F122),ABS(器件参数!F122)&lt;=300),器件参数!F122,""))</f>
        <v>0</v>
      </c>
      <c r="D122" s="5">
        <f t="shared" si="19"/>
        <v>20</v>
      </c>
      <c r="E122" s="5">
        <f t="shared" si="20"/>
        <v>20</v>
      </c>
      <c r="F122" s="5">
        <f t="shared" si="21"/>
        <v>100</v>
      </c>
      <c r="G122" s="5">
        <f>IFERROR(IF(NOT(器件参数!B122),1,IF(NOT(OR(器件参数!E122&lt;&gt;"mixer",AND(OR(器件参数!V122="SSB",器件参数!V122="DSB"),器件参数!W122=TRUE))),"",IF(器件参数!G122="ideal",1,IF(AND(器件参数!G122="manual",ISNUMBER(器件参数!H122),器件参数!H122&gt;=0),10^(器件参数!H122/10),IF(AND(器件参数!G122="passive_thermal",OR(器件参数!E122="filter_bpf",器件参数!E122="filter_lpf",器件参数!E122="filter_hpf",器件参数!E122="filter_bsf",器件参数!E122="attenuator",器件参数!E122="cable",器件参数!E122="connector",器件参数!E122="switch",器件参数!E122="isolator",器件参数!E122="coupler",器件参数!E122="splitter"),AND(ISNUMBER(器件参数!F122),ABS(器件参数!F122)&lt;=300),器件参数!F122&lt;=0,ISNUMBER(器件参数!I122),器件参数!I122&gt;0),1+(10^(-器件参数!F122/10)-1)*器件参数!I122/Tref_K,""))))),"数值域错误")</f>
        <v>1</v>
      </c>
      <c r="H122" s="5">
        <f t="shared" si="22"/>
        <v>2.29336948552238</v>
      </c>
      <c r="I122" s="5">
        <f t="shared" si="23"/>
        <v>3.604740296957</v>
      </c>
      <c r="J122" s="5">
        <f>IF(AND(ISNUMBER(Pin_dBm),ISNUMBER(D122)),Pin_dBm+D122,"")</f>
        <v>-10</v>
      </c>
      <c r="K122" s="5">
        <f>IF(AND(ISNUMBER(Pin_dBm),ISNUMBER(E122)),Pin_dBm+E122,"")</f>
        <v>-10</v>
      </c>
      <c r="L122" s="5" t="str">
        <f>IF(AND(器件参数!J122="finite",ISNUMBER(器件参数!L122),ISNUMBER(C122)),IF(器件参数!K122="input",器件参数!L122,IF(器件参数!K122="output",器件参数!L122-C122,"")),"")</f>
        <v/>
      </c>
      <c r="M122" s="5">
        <f>IFERROR(IF(NOT(ISNUMBER(M121)),"",IF(OR(NOT(器件参数!B122),器件参数!J122="ideal"),M121,IF(AND(ISNUMBER(L122),ISNUMBER(F122)),M121+F122/10^(L122/10),""))),"数值域错误")</f>
        <v>0.2</v>
      </c>
      <c r="N122" s="5">
        <f t="shared" si="24"/>
        <v>6.98970004336019</v>
      </c>
      <c r="O122" s="5">
        <f t="shared" si="25"/>
        <v>26.9897000433602</v>
      </c>
      <c r="P122" s="5" t="str">
        <f>IF(AND(器件参数!M122="finite",ISNUMBER(器件参数!O122),ISNUMBER(C122)),IF(器件参数!N122="input",器件参数!O122,IF(器件参数!N122="actual_output",器件参数!O122-C122+1,IF(器件参数!N122="linear_output",器件参数!O122-C122,""))),"")</f>
        <v/>
      </c>
      <c r="Q122" s="5">
        <f>IF(器件参数!P122="",IF(AND(ISNUMBER(DefaultP),DefaultP&gt;=1,DefaultP&lt;=10),DefaultP,""),IF(AND(ISNUMBER(器件参数!P122),器件参数!P122&gt;=1,器件参数!P122&lt;=10),器件参数!P122,""))</f>
        <v>2</v>
      </c>
      <c r="R122" s="5">
        <f t="shared" si="26"/>
        <v>-10.0000139708288</v>
      </c>
      <c r="S122" s="5" t="str">
        <f t="shared" si="27"/>
        <v/>
      </c>
      <c r="T122" s="5">
        <f t="shared" si="28"/>
        <v>0</v>
      </c>
      <c r="U122" s="5">
        <f t="shared" si="29"/>
        <v>-10.0000139708288</v>
      </c>
      <c r="V122" s="5">
        <f>IF(AND(ISNUMBER(Pin_dBm),ISNUMBER(E122),ISNUMBER(U122)),Pin_dBm+E122-U122,"")</f>
        <v>1.39708287854035e-5</v>
      </c>
      <c r="W122" s="5" t="str">
        <f>IF(AND(器件参数!B122,X122=1,ISNUMBER(D122)),P122-D122,"")</f>
        <v/>
      </c>
      <c r="X122" s="5">
        <f>IF(NOT(ISNUMBER(C122)),-1,IF(OR(NOT(器件参数!B122),器件参数!M122="ideal"),0,IF(AND(ISNUMBER(P122),ISNUMBER(Q122)),1,-1)))</f>
        <v>0</v>
      </c>
      <c r="Y122" s="5" t="str">
        <f t="shared" si="30"/>
        <v>有效</v>
      </c>
      <c r="Z122" s="5" t="str">
        <f t="shared" si="31"/>
        <v>有效</v>
      </c>
      <c r="AA122" s="5" t="str">
        <f t="shared" si="32"/>
        <v>模型估算</v>
      </c>
      <c r="AB122" s="5">
        <f t="shared" si="33"/>
        <v>100000000</v>
      </c>
      <c r="AC122" s="5">
        <f>IF(NOT(ISNUMBER(AB122)),"",IF(OR(NOT(器件参数!B122),器件参数!E122&lt;&gt;"mixer"),AB122,IF(AND(ISNUMBER(器件参数!T122),器件参数!T122&gt;0),IF(器件参数!U122="sum",AB122+器件参数!T122,IF(器件参数!U122="difference",ABS(AB122-器件参数!T122),"")),"")))</f>
        <v>100000000</v>
      </c>
      <c r="AD122" s="5">
        <f t="shared" si="34"/>
        <v>0</v>
      </c>
      <c r="AE122" s="5">
        <f>IF(AND(ISNUMBER(G122),ISNUMBER(F122)),Tref_K*(G122-1)/F122,"")</f>
        <v>0</v>
      </c>
      <c r="AF122" s="5">
        <f>IF(AND(ISNUMBER(H122),ISNUMBER(E122),NoiseConfigOK),10*LOG10(Boltzmann*Bnoise_Hz*(Tsource_K+Tref_K*(H122-1)))+30+E122,"")</f>
        <v>-90.3704468972711</v>
      </c>
      <c r="AG122" s="5">
        <f t="shared" si="35"/>
        <v>80.3704468972711</v>
      </c>
      <c r="AH122" s="5">
        <f>IF(AND(ToneEnabled,ISNUMBER(E122),ISNUMBER(TonePin)),TonePin+E122,"")</f>
        <v>-10</v>
      </c>
      <c r="AI122" s="5">
        <f>IF(AND(ToneEnabled,ISNUMBER(E122),ISNUMBER(N122),ISNUMBER(TonePin)),3*TonePin+E122-2*N122,"")</f>
        <v>-83.9794000867204</v>
      </c>
      <c r="AJ122" s="5" t="str">
        <f t="shared" si="36"/>
        <v/>
      </c>
      <c r="AK122" s="5" t="str">
        <f>IF(NOT(器件参数!B122),"旁路",IF(NOT(ISNUMBER(AC122)),"频率未知",IF(AC122&lt;=SignalBW/2,"跨零频",IF(AND(ISNUMBER(器件参数!R122),ISNUMBER(器件参数!S122)),IF(AND(AB122-SignalBW/2&gt;=器件参数!R122,AB122+SignalBW/2&lt;=器件参数!S122),"有效","超声明通带"),"未声明通带"))))</f>
        <v>旁路</v>
      </c>
      <c r="AL122" s="5">
        <f t="shared" si="37"/>
        <v>0</v>
      </c>
      <c r="AM122" s="5" t="str">
        <f>IF(AND(器件参数!B122,ISNUMBER(器件参数!X122),OR(AND(ISNUMBER(J122),J122&gt;器件参数!X122),IF(AND(ToneEnabled,ISNUMBER(TonePin),ISNUMBER(D122)),TonePin+10*LOG10(2)+D122&gt;器件参数!X122,FALSE))),"超过绝对最大输入额定值","")</f>
        <v/>
      </c>
      <c r="AN122" s="5">
        <f>IF(NOT(ISNUMBER(AN121)),"",IF(OR(NOT(器件参数!B122),器件参数!E122&lt;&gt;"mixer"),AN121,IF(AND(ISNUMBER(器件参数!T122),器件参数!T122&gt;0),IF(器件参数!U122="sum",AN121+器件参数!T122,ABS(AN121-器件参数!T122)),"")))</f>
        <v>99950000</v>
      </c>
      <c r="AO122" s="5">
        <f>IF(NOT(ISNUMBER(AO121)),"",IF(OR(NOT(器件参数!B122),器件参数!E122&lt;&gt;"mixer"),AO121,IF(AND(ISNUMBER(器件参数!T122),器件参数!T122&gt;0),IF(器件参数!U122="sum",AO121+器件参数!T122,ABS(AO121-器件参数!T122)),"")))</f>
        <v>100050000</v>
      </c>
      <c r="AP122" s="5">
        <f>IF(NOT(ISNUMBER(AP121)),"",IF(OR(NOT(器件参数!B122),器件参数!E122&lt;&gt;"mixer"),AP121,IF(AND(ISNUMBER(器件参数!T122),器件参数!T122&gt;0),IF(器件参数!U122="sum",AP121+器件参数!T122,ABS(AP121-器件参数!T122)),"")))</f>
        <v>99850000</v>
      </c>
      <c r="AQ122" s="5">
        <f>IF(NOT(ISNUMBER(AQ121)),"",IF(OR(NOT(器件参数!B122),器件参数!E122&lt;&gt;"mixer"),AQ121,IF(AND(ISNUMBER(器件参数!T122),器件参数!T122&gt;0),IF(器件参数!U122="sum",AQ121+器件参数!T122,ABS(AQ121-器件参数!T122)),"")))</f>
        <v>100150000</v>
      </c>
      <c r="AR122" s="5" t="b">
        <f>IF(NOT(AR121),FALSE,IF(NOT(器件参数!B122),TRUE,AND(COUNT(AN122:AQ122)=4,MIN(AN122:AQ122)&gt;0,IF(AND(ISNUMBER(器件参数!R122),ISNUMBER(器件参数!S122)),AND(MIN(AN121:AQ121)&gt;=器件参数!R122,MAX(AN121:AQ121)&lt;=器件参数!S122),TRUE),IF(AND(器件参数!E122="mixer",器件参数!U122="difference"),OR(器件参数!T122&lt;MIN(AN121:AQ121),器件参数!T122&gt;MAX(AN121:AQ121)),TRUE))))</f>
        <v>1</v>
      </c>
    </row>
    <row r="123" hidden="1" spans="1:44">
      <c r="A123" s="5">
        <f>器件参数!A123</f>
        <v>120</v>
      </c>
      <c r="B123" s="5" t="str">
        <f>器件参数!D123</f>
        <v/>
      </c>
      <c r="C123" s="5">
        <f>IF(NOT(器件参数!B123),0,IF(AND(ISNUMBER(器件参数!F123),ABS(器件参数!F123)&lt;=300),器件参数!F123,""))</f>
        <v>0</v>
      </c>
      <c r="D123" s="5">
        <f t="shared" si="19"/>
        <v>20</v>
      </c>
      <c r="E123" s="5">
        <f t="shared" si="20"/>
        <v>20</v>
      </c>
      <c r="F123" s="5">
        <f t="shared" si="21"/>
        <v>100</v>
      </c>
      <c r="G123" s="5">
        <f>IFERROR(IF(NOT(器件参数!B123),1,IF(NOT(OR(器件参数!E123&lt;&gt;"mixer",AND(OR(器件参数!V123="SSB",器件参数!V123="DSB"),器件参数!W123=TRUE))),"",IF(器件参数!G123="ideal",1,IF(AND(器件参数!G123="manual",ISNUMBER(器件参数!H123),器件参数!H123&gt;=0),10^(器件参数!H123/10),IF(AND(器件参数!G123="passive_thermal",OR(器件参数!E123="filter_bpf",器件参数!E123="filter_lpf",器件参数!E123="filter_hpf",器件参数!E123="filter_bsf",器件参数!E123="attenuator",器件参数!E123="cable",器件参数!E123="connector",器件参数!E123="switch",器件参数!E123="isolator",器件参数!E123="coupler",器件参数!E123="splitter"),AND(ISNUMBER(器件参数!F123),ABS(器件参数!F123)&lt;=300),器件参数!F123&lt;=0,ISNUMBER(器件参数!I123),器件参数!I123&gt;0),1+(10^(-器件参数!F123/10)-1)*器件参数!I123/Tref_K,""))))),"数值域错误")</f>
        <v>1</v>
      </c>
      <c r="H123" s="5">
        <f t="shared" si="22"/>
        <v>2.29336948552238</v>
      </c>
      <c r="I123" s="5">
        <f t="shared" si="23"/>
        <v>3.604740296957</v>
      </c>
      <c r="J123" s="5">
        <f>IF(AND(ISNUMBER(Pin_dBm),ISNUMBER(D123)),Pin_dBm+D123,"")</f>
        <v>-10</v>
      </c>
      <c r="K123" s="5">
        <f>IF(AND(ISNUMBER(Pin_dBm),ISNUMBER(E123)),Pin_dBm+E123,"")</f>
        <v>-10</v>
      </c>
      <c r="L123" s="5" t="str">
        <f>IF(AND(器件参数!J123="finite",ISNUMBER(器件参数!L123),ISNUMBER(C123)),IF(器件参数!K123="input",器件参数!L123,IF(器件参数!K123="output",器件参数!L123-C123,"")),"")</f>
        <v/>
      </c>
      <c r="M123" s="5">
        <f>IFERROR(IF(NOT(ISNUMBER(M122)),"",IF(OR(NOT(器件参数!B123),器件参数!J123="ideal"),M122,IF(AND(ISNUMBER(L123),ISNUMBER(F123)),M122+F123/10^(L123/10),""))),"数值域错误")</f>
        <v>0.2</v>
      </c>
      <c r="N123" s="5">
        <f t="shared" si="24"/>
        <v>6.98970004336019</v>
      </c>
      <c r="O123" s="5">
        <f t="shared" si="25"/>
        <v>26.9897000433602</v>
      </c>
      <c r="P123" s="5" t="str">
        <f>IF(AND(器件参数!M123="finite",ISNUMBER(器件参数!O123),ISNUMBER(C123)),IF(器件参数!N123="input",器件参数!O123,IF(器件参数!N123="actual_output",器件参数!O123-C123+1,IF(器件参数!N123="linear_output",器件参数!O123-C123,""))),"")</f>
        <v/>
      </c>
      <c r="Q123" s="5">
        <f>IF(器件参数!P123="",IF(AND(ISNUMBER(DefaultP),DefaultP&gt;=1,DefaultP&lt;=10),DefaultP,""),IF(AND(ISNUMBER(器件参数!P123),器件参数!P123&gt;=1,器件参数!P123&lt;=10),器件参数!P123,""))</f>
        <v>2</v>
      </c>
      <c r="R123" s="5">
        <f t="shared" si="26"/>
        <v>-10.0000139708288</v>
      </c>
      <c r="S123" s="5" t="str">
        <f t="shared" si="27"/>
        <v/>
      </c>
      <c r="T123" s="5">
        <f t="shared" si="28"/>
        <v>0</v>
      </c>
      <c r="U123" s="5">
        <f t="shared" si="29"/>
        <v>-10.0000139708288</v>
      </c>
      <c r="V123" s="5">
        <f>IF(AND(ISNUMBER(Pin_dBm),ISNUMBER(E123),ISNUMBER(U123)),Pin_dBm+E123-U123,"")</f>
        <v>1.39708287854035e-5</v>
      </c>
      <c r="W123" s="5" t="str">
        <f>IF(AND(器件参数!B123,X123=1,ISNUMBER(D123)),P123-D123,"")</f>
        <v/>
      </c>
      <c r="X123" s="5">
        <f>IF(NOT(ISNUMBER(C123)),-1,IF(OR(NOT(器件参数!B123),器件参数!M123="ideal"),0,IF(AND(ISNUMBER(P123),ISNUMBER(Q123)),1,-1)))</f>
        <v>0</v>
      </c>
      <c r="Y123" s="5" t="str">
        <f t="shared" si="30"/>
        <v>有效</v>
      </c>
      <c r="Z123" s="5" t="str">
        <f t="shared" si="31"/>
        <v>有效</v>
      </c>
      <c r="AA123" s="5" t="str">
        <f t="shared" si="32"/>
        <v>模型估算</v>
      </c>
      <c r="AB123" s="5">
        <f t="shared" si="33"/>
        <v>100000000</v>
      </c>
      <c r="AC123" s="5">
        <f>IF(NOT(ISNUMBER(AB123)),"",IF(OR(NOT(器件参数!B123),器件参数!E123&lt;&gt;"mixer"),AB123,IF(AND(ISNUMBER(器件参数!T123),器件参数!T123&gt;0),IF(器件参数!U123="sum",AB123+器件参数!T123,IF(器件参数!U123="difference",ABS(AB123-器件参数!T123),"")),"")))</f>
        <v>100000000</v>
      </c>
      <c r="AD123" s="5">
        <f t="shared" si="34"/>
        <v>0</v>
      </c>
      <c r="AE123" s="5">
        <f>IF(AND(ISNUMBER(G123),ISNUMBER(F123)),Tref_K*(G123-1)/F123,"")</f>
        <v>0</v>
      </c>
      <c r="AF123" s="5">
        <f>IF(AND(ISNUMBER(H123),ISNUMBER(E123),NoiseConfigOK),10*LOG10(Boltzmann*Bnoise_Hz*(Tsource_K+Tref_K*(H123-1)))+30+E123,"")</f>
        <v>-90.3704468972711</v>
      </c>
      <c r="AG123" s="5">
        <f t="shared" si="35"/>
        <v>80.3704468972711</v>
      </c>
      <c r="AH123" s="5">
        <f>IF(AND(ToneEnabled,ISNUMBER(E123),ISNUMBER(TonePin)),TonePin+E123,"")</f>
        <v>-10</v>
      </c>
      <c r="AI123" s="5">
        <f>IF(AND(ToneEnabled,ISNUMBER(E123),ISNUMBER(N123),ISNUMBER(TonePin)),3*TonePin+E123-2*N123,"")</f>
        <v>-83.9794000867204</v>
      </c>
      <c r="AJ123" s="5" t="str">
        <f t="shared" si="36"/>
        <v/>
      </c>
      <c r="AK123" s="5" t="str">
        <f>IF(NOT(器件参数!B123),"旁路",IF(NOT(ISNUMBER(AC123)),"频率未知",IF(AC123&lt;=SignalBW/2,"跨零频",IF(AND(ISNUMBER(器件参数!R123),ISNUMBER(器件参数!S123)),IF(AND(AB123-SignalBW/2&gt;=器件参数!R123,AB123+SignalBW/2&lt;=器件参数!S123),"有效","超声明通带"),"未声明通带"))))</f>
        <v>旁路</v>
      </c>
      <c r="AL123" s="5">
        <f t="shared" si="37"/>
        <v>0</v>
      </c>
      <c r="AM123" s="5" t="str">
        <f>IF(AND(器件参数!B123,ISNUMBER(器件参数!X123),OR(AND(ISNUMBER(J123),J123&gt;器件参数!X123),IF(AND(ToneEnabled,ISNUMBER(TonePin),ISNUMBER(D123)),TonePin+10*LOG10(2)+D123&gt;器件参数!X123,FALSE))),"超过绝对最大输入额定值","")</f>
        <v/>
      </c>
      <c r="AN123" s="5">
        <f>IF(NOT(ISNUMBER(AN122)),"",IF(OR(NOT(器件参数!B123),器件参数!E123&lt;&gt;"mixer"),AN122,IF(AND(ISNUMBER(器件参数!T123),器件参数!T123&gt;0),IF(器件参数!U123="sum",AN122+器件参数!T123,ABS(AN122-器件参数!T123)),"")))</f>
        <v>99950000</v>
      </c>
      <c r="AO123" s="5">
        <f>IF(NOT(ISNUMBER(AO122)),"",IF(OR(NOT(器件参数!B123),器件参数!E123&lt;&gt;"mixer"),AO122,IF(AND(ISNUMBER(器件参数!T123),器件参数!T123&gt;0),IF(器件参数!U123="sum",AO122+器件参数!T123,ABS(AO122-器件参数!T123)),"")))</f>
        <v>100050000</v>
      </c>
      <c r="AP123" s="5">
        <f>IF(NOT(ISNUMBER(AP122)),"",IF(OR(NOT(器件参数!B123),器件参数!E123&lt;&gt;"mixer"),AP122,IF(AND(ISNUMBER(器件参数!T123),器件参数!T123&gt;0),IF(器件参数!U123="sum",AP122+器件参数!T123,ABS(AP122-器件参数!T123)),"")))</f>
        <v>99850000</v>
      </c>
      <c r="AQ123" s="5">
        <f>IF(NOT(ISNUMBER(AQ122)),"",IF(OR(NOT(器件参数!B123),器件参数!E123&lt;&gt;"mixer"),AQ122,IF(AND(ISNUMBER(器件参数!T123),器件参数!T123&gt;0),IF(器件参数!U123="sum",AQ122+器件参数!T123,ABS(AQ122-器件参数!T123)),"")))</f>
        <v>100150000</v>
      </c>
      <c r="AR123" s="5" t="b">
        <f>IF(NOT(AR122),FALSE,IF(NOT(器件参数!B123),TRUE,AND(COUNT(AN123:AQ123)=4,MIN(AN123:AQ123)&gt;0,IF(AND(ISNUMBER(器件参数!R123),ISNUMBER(器件参数!S123)),AND(MIN(AN122:AQ122)&gt;=器件参数!R123,MAX(AN122:AQ122)&lt;=器件参数!S123),TRUE),IF(AND(器件参数!E123="mixer",器件参数!U123="difference"),OR(器件参数!T123&lt;MIN(AN122:AQ122),器件参数!T123&gt;MAX(AN122:AQ122)),TRUE))))</f>
        <v>1</v>
      </c>
    </row>
    <row r="124" hidden="1" spans="1:44">
      <c r="A124" s="5">
        <f>器件参数!A124</f>
        <v>121</v>
      </c>
      <c r="B124" s="5" t="str">
        <f>器件参数!D124</f>
        <v/>
      </c>
      <c r="C124" s="5">
        <f>IF(NOT(器件参数!B124),0,IF(AND(ISNUMBER(器件参数!F124),ABS(器件参数!F124)&lt;=300),器件参数!F124,""))</f>
        <v>0</v>
      </c>
      <c r="D124" s="5">
        <f t="shared" si="19"/>
        <v>20</v>
      </c>
      <c r="E124" s="5">
        <f t="shared" si="20"/>
        <v>20</v>
      </c>
      <c r="F124" s="5">
        <f t="shared" si="21"/>
        <v>100</v>
      </c>
      <c r="G124" s="5">
        <f>IFERROR(IF(NOT(器件参数!B124),1,IF(NOT(OR(器件参数!E124&lt;&gt;"mixer",AND(OR(器件参数!V124="SSB",器件参数!V124="DSB"),器件参数!W124=TRUE))),"",IF(器件参数!G124="ideal",1,IF(AND(器件参数!G124="manual",ISNUMBER(器件参数!H124),器件参数!H124&gt;=0),10^(器件参数!H124/10),IF(AND(器件参数!G124="passive_thermal",OR(器件参数!E124="filter_bpf",器件参数!E124="filter_lpf",器件参数!E124="filter_hpf",器件参数!E124="filter_bsf",器件参数!E124="attenuator",器件参数!E124="cable",器件参数!E124="connector",器件参数!E124="switch",器件参数!E124="isolator",器件参数!E124="coupler",器件参数!E124="splitter"),AND(ISNUMBER(器件参数!F124),ABS(器件参数!F124)&lt;=300),器件参数!F124&lt;=0,ISNUMBER(器件参数!I124),器件参数!I124&gt;0),1+(10^(-器件参数!F124/10)-1)*器件参数!I124/Tref_K,""))))),"数值域错误")</f>
        <v>1</v>
      </c>
      <c r="H124" s="5">
        <f t="shared" si="22"/>
        <v>2.29336948552238</v>
      </c>
      <c r="I124" s="5">
        <f t="shared" si="23"/>
        <v>3.604740296957</v>
      </c>
      <c r="J124" s="5">
        <f>IF(AND(ISNUMBER(Pin_dBm),ISNUMBER(D124)),Pin_dBm+D124,"")</f>
        <v>-10</v>
      </c>
      <c r="K124" s="5">
        <f>IF(AND(ISNUMBER(Pin_dBm),ISNUMBER(E124)),Pin_dBm+E124,"")</f>
        <v>-10</v>
      </c>
      <c r="L124" s="5" t="str">
        <f>IF(AND(器件参数!J124="finite",ISNUMBER(器件参数!L124),ISNUMBER(C124)),IF(器件参数!K124="input",器件参数!L124,IF(器件参数!K124="output",器件参数!L124-C124,"")),"")</f>
        <v/>
      </c>
      <c r="M124" s="5">
        <f>IFERROR(IF(NOT(ISNUMBER(M123)),"",IF(OR(NOT(器件参数!B124),器件参数!J124="ideal"),M123,IF(AND(ISNUMBER(L124),ISNUMBER(F124)),M123+F124/10^(L124/10),""))),"数值域错误")</f>
        <v>0.2</v>
      </c>
      <c r="N124" s="5">
        <f t="shared" si="24"/>
        <v>6.98970004336019</v>
      </c>
      <c r="O124" s="5">
        <f t="shared" si="25"/>
        <v>26.9897000433602</v>
      </c>
      <c r="P124" s="5" t="str">
        <f>IF(AND(器件参数!M124="finite",ISNUMBER(器件参数!O124),ISNUMBER(C124)),IF(器件参数!N124="input",器件参数!O124,IF(器件参数!N124="actual_output",器件参数!O124-C124+1,IF(器件参数!N124="linear_output",器件参数!O124-C124,""))),"")</f>
        <v/>
      </c>
      <c r="Q124" s="5">
        <f>IF(器件参数!P124="",IF(AND(ISNUMBER(DefaultP),DefaultP&gt;=1,DefaultP&lt;=10),DefaultP,""),IF(AND(ISNUMBER(器件参数!P124),器件参数!P124&gt;=1,器件参数!P124&lt;=10),器件参数!P124,""))</f>
        <v>2</v>
      </c>
      <c r="R124" s="5">
        <f t="shared" si="26"/>
        <v>-10.0000139708288</v>
      </c>
      <c r="S124" s="5" t="str">
        <f t="shared" si="27"/>
        <v/>
      </c>
      <c r="T124" s="5">
        <f t="shared" si="28"/>
        <v>0</v>
      </c>
      <c r="U124" s="5">
        <f t="shared" si="29"/>
        <v>-10.0000139708288</v>
      </c>
      <c r="V124" s="5">
        <f>IF(AND(ISNUMBER(Pin_dBm),ISNUMBER(E124),ISNUMBER(U124)),Pin_dBm+E124-U124,"")</f>
        <v>1.39708287854035e-5</v>
      </c>
      <c r="W124" s="5" t="str">
        <f>IF(AND(器件参数!B124,X124=1,ISNUMBER(D124)),P124-D124,"")</f>
        <v/>
      </c>
      <c r="X124" s="5">
        <f>IF(NOT(ISNUMBER(C124)),-1,IF(OR(NOT(器件参数!B124),器件参数!M124="ideal"),0,IF(AND(ISNUMBER(P124),ISNUMBER(Q124)),1,-1)))</f>
        <v>0</v>
      </c>
      <c r="Y124" s="5" t="str">
        <f t="shared" si="30"/>
        <v>有效</v>
      </c>
      <c r="Z124" s="5" t="str">
        <f t="shared" si="31"/>
        <v>有效</v>
      </c>
      <c r="AA124" s="5" t="str">
        <f t="shared" si="32"/>
        <v>模型估算</v>
      </c>
      <c r="AB124" s="5">
        <f t="shared" si="33"/>
        <v>100000000</v>
      </c>
      <c r="AC124" s="5">
        <f>IF(NOT(ISNUMBER(AB124)),"",IF(OR(NOT(器件参数!B124),器件参数!E124&lt;&gt;"mixer"),AB124,IF(AND(ISNUMBER(器件参数!T124),器件参数!T124&gt;0),IF(器件参数!U124="sum",AB124+器件参数!T124,IF(器件参数!U124="difference",ABS(AB124-器件参数!T124),"")),"")))</f>
        <v>100000000</v>
      </c>
      <c r="AD124" s="5">
        <f t="shared" si="34"/>
        <v>0</v>
      </c>
      <c r="AE124" s="5">
        <f>IF(AND(ISNUMBER(G124),ISNUMBER(F124)),Tref_K*(G124-1)/F124,"")</f>
        <v>0</v>
      </c>
      <c r="AF124" s="5">
        <f>IF(AND(ISNUMBER(H124),ISNUMBER(E124),NoiseConfigOK),10*LOG10(Boltzmann*Bnoise_Hz*(Tsource_K+Tref_K*(H124-1)))+30+E124,"")</f>
        <v>-90.3704468972711</v>
      </c>
      <c r="AG124" s="5">
        <f t="shared" si="35"/>
        <v>80.3704468972711</v>
      </c>
      <c r="AH124" s="5">
        <f>IF(AND(ToneEnabled,ISNUMBER(E124),ISNUMBER(TonePin)),TonePin+E124,"")</f>
        <v>-10</v>
      </c>
      <c r="AI124" s="5">
        <f>IF(AND(ToneEnabled,ISNUMBER(E124),ISNUMBER(N124),ISNUMBER(TonePin)),3*TonePin+E124-2*N124,"")</f>
        <v>-83.9794000867204</v>
      </c>
      <c r="AJ124" s="5" t="str">
        <f t="shared" si="36"/>
        <v/>
      </c>
      <c r="AK124" s="5" t="str">
        <f>IF(NOT(器件参数!B124),"旁路",IF(NOT(ISNUMBER(AC124)),"频率未知",IF(AC124&lt;=SignalBW/2,"跨零频",IF(AND(ISNUMBER(器件参数!R124),ISNUMBER(器件参数!S124)),IF(AND(AB124-SignalBW/2&gt;=器件参数!R124,AB124+SignalBW/2&lt;=器件参数!S124),"有效","超声明通带"),"未声明通带"))))</f>
        <v>旁路</v>
      </c>
      <c r="AL124" s="5">
        <f t="shared" si="37"/>
        <v>0</v>
      </c>
      <c r="AM124" s="5" t="str">
        <f>IF(AND(器件参数!B124,ISNUMBER(器件参数!X124),OR(AND(ISNUMBER(J124),J124&gt;器件参数!X124),IF(AND(ToneEnabled,ISNUMBER(TonePin),ISNUMBER(D124)),TonePin+10*LOG10(2)+D124&gt;器件参数!X124,FALSE))),"超过绝对最大输入额定值","")</f>
        <v/>
      </c>
      <c r="AN124" s="5">
        <f>IF(NOT(ISNUMBER(AN123)),"",IF(OR(NOT(器件参数!B124),器件参数!E124&lt;&gt;"mixer"),AN123,IF(AND(ISNUMBER(器件参数!T124),器件参数!T124&gt;0),IF(器件参数!U124="sum",AN123+器件参数!T124,ABS(AN123-器件参数!T124)),"")))</f>
        <v>99950000</v>
      </c>
      <c r="AO124" s="5">
        <f>IF(NOT(ISNUMBER(AO123)),"",IF(OR(NOT(器件参数!B124),器件参数!E124&lt;&gt;"mixer"),AO123,IF(AND(ISNUMBER(器件参数!T124),器件参数!T124&gt;0),IF(器件参数!U124="sum",AO123+器件参数!T124,ABS(AO123-器件参数!T124)),"")))</f>
        <v>100050000</v>
      </c>
      <c r="AP124" s="5">
        <f>IF(NOT(ISNUMBER(AP123)),"",IF(OR(NOT(器件参数!B124),器件参数!E124&lt;&gt;"mixer"),AP123,IF(AND(ISNUMBER(器件参数!T124),器件参数!T124&gt;0),IF(器件参数!U124="sum",AP123+器件参数!T124,ABS(AP123-器件参数!T124)),"")))</f>
        <v>99850000</v>
      </c>
      <c r="AQ124" s="5">
        <f>IF(NOT(ISNUMBER(AQ123)),"",IF(OR(NOT(器件参数!B124),器件参数!E124&lt;&gt;"mixer"),AQ123,IF(AND(ISNUMBER(器件参数!T124),器件参数!T124&gt;0),IF(器件参数!U124="sum",AQ123+器件参数!T124,ABS(AQ123-器件参数!T124)),"")))</f>
        <v>100150000</v>
      </c>
      <c r="AR124" s="5" t="b">
        <f>IF(NOT(AR123),FALSE,IF(NOT(器件参数!B124),TRUE,AND(COUNT(AN124:AQ124)=4,MIN(AN124:AQ124)&gt;0,IF(AND(ISNUMBER(器件参数!R124),ISNUMBER(器件参数!S124)),AND(MIN(AN123:AQ123)&gt;=器件参数!R124,MAX(AN123:AQ123)&lt;=器件参数!S124),TRUE),IF(AND(器件参数!E124="mixer",器件参数!U124="difference"),OR(器件参数!T124&lt;MIN(AN123:AQ123),器件参数!T124&gt;MAX(AN123:AQ123)),TRUE))))</f>
        <v>1</v>
      </c>
    </row>
    <row r="125" hidden="1" spans="1:44">
      <c r="A125" s="5">
        <f>器件参数!A125</f>
        <v>122</v>
      </c>
      <c r="B125" s="5" t="str">
        <f>器件参数!D125</f>
        <v/>
      </c>
      <c r="C125" s="5">
        <f>IF(NOT(器件参数!B125),0,IF(AND(ISNUMBER(器件参数!F125),ABS(器件参数!F125)&lt;=300),器件参数!F125,""))</f>
        <v>0</v>
      </c>
      <c r="D125" s="5">
        <f t="shared" si="19"/>
        <v>20</v>
      </c>
      <c r="E125" s="5">
        <f t="shared" si="20"/>
        <v>20</v>
      </c>
      <c r="F125" s="5">
        <f t="shared" si="21"/>
        <v>100</v>
      </c>
      <c r="G125" s="5">
        <f>IFERROR(IF(NOT(器件参数!B125),1,IF(NOT(OR(器件参数!E125&lt;&gt;"mixer",AND(OR(器件参数!V125="SSB",器件参数!V125="DSB"),器件参数!W125=TRUE))),"",IF(器件参数!G125="ideal",1,IF(AND(器件参数!G125="manual",ISNUMBER(器件参数!H125),器件参数!H125&gt;=0),10^(器件参数!H125/10),IF(AND(器件参数!G125="passive_thermal",OR(器件参数!E125="filter_bpf",器件参数!E125="filter_lpf",器件参数!E125="filter_hpf",器件参数!E125="filter_bsf",器件参数!E125="attenuator",器件参数!E125="cable",器件参数!E125="connector",器件参数!E125="switch",器件参数!E125="isolator",器件参数!E125="coupler",器件参数!E125="splitter"),AND(ISNUMBER(器件参数!F125),ABS(器件参数!F125)&lt;=300),器件参数!F125&lt;=0,ISNUMBER(器件参数!I125),器件参数!I125&gt;0),1+(10^(-器件参数!F125/10)-1)*器件参数!I125/Tref_K,""))))),"数值域错误")</f>
        <v>1</v>
      </c>
      <c r="H125" s="5">
        <f t="shared" si="22"/>
        <v>2.29336948552238</v>
      </c>
      <c r="I125" s="5">
        <f t="shared" si="23"/>
        <v>3.604740296957</v>
      </c>
      <c r="J125" s="5">
        <f>IF(AND(ISNUMBER(Pin_dBm),ISNUMBER(D125)),Pin_dBm+D125,"")</f>
        <v>-10</v>
      </c>
      <c r="K125" s="5">
        <f>IF(AND(ISNUMBER(Pin_dBm),ISNUMBER(E125)),Pin_dBm+E125,"")</f>
        <v>-10</v>
      </c>
      <c r="L125" s="5" t="str">
        <f>IF(AND(器件参数!J125="finite",ISNUMBER(器件参数!L125),ISNUMBER(C125)),IF(器件参数!K125="input",器件参数!L125,IF(器件参数!K125="output",器件参数!L125-C125,"")),"")</f>
        <v/>
      </c>
      <c r="M125" s="5">
        <f>IFERROR(IF(NOT(ISNUMBER(M124)),"",IF(OR(NOT(器件参数!B125),器件参数!J125="ideal"),M124,IF(AND(ISNUMBER(L125),ISNUMBER(F125)),M124+F125/10^(L125/10),""))),"数值域错误")</f>
        <v>0.2</v>
      </c>
      <c r="N125" s="5">
        <f t="shared" si="24"/>
        <v>6.98970004336019</v>
      </c>
      <c r="O125" s="5">
        <f t="shared" si="25"/>
        <v>26.9897000433602</v>
      </c>
      <c r="P125" s="5" t="str">
        <f>IF(AND(器件参数!M125="finite",ISNUMBER(器件参数!O125),ISNUMBER(C125)),IF(器件参数!N125="input",器件参数!O125,IF(器件参数!N125="actual_output",器件参数!O125-C125+1,IF(器件参数!N125="linear_output",器件参数!O125-C125,""))),"")</f>
        <v/>
      </c>
      <c r="Q125" s="5">
        <f>IF(器件参数!P125="",IF(AND(ISNUMBER(DefaultP),DefaultP&gt;=1,DefaultP&lt;=10),DefaultP,""),IF(AND(ISNUMBER(器件参数!P125),器件参数!P125&gt;=1,器件参数!P125&lt;=10),器件参数!P125,""))</f>
        <v>2</v>
      </c>
      <c r="R125" s="5">
        <f t="shared" si="26"/>
        <v>-10.0000139708288</v>
      </c>
      <c r="S125" s="5" t="str">
        <f t="shared" si="27"/>
        <v/>
      </c>
      <c r="T125" s="5">
        <f t="shared" si="28"/>
        <v>0</v>
      </c>
      <c r="U125" s="5">
        <f t="shared" si="29"/>
        <v>-10.0000139708288</v>
      </c>
      <c r="V125" s="5">
        <f>IF(AND(ISNUMBER(Pin_dBm),ISNUMBER(E125),ISNUMBER(U125)),Pin_dBm+E125-U125,"")</f>
        <v>1.39708287854035e-5</v>
      </c>
      <c r="W125" s="5" t="str">
        <f>IF(AND(器件参数!B125,X125=1,ISNUMBER(D125)),P125-D125,"")</f>
        <v/>
      </c>
      <c r="X125" s="5">
        <f>IF(NOT(ISNUMBER(C125)),-1,IF(OR(NOT(器件参数!B125),器件参数!M125="ideal"),0,IF(AND(ISNUMBER(P125),ISNUMBER(Q125)),1,-1)))</f>
        <v>0</v>
      </c>
      <c r="Y125" s="5" t="str">
        <f t="shared" si="30"/>
        <v>有效</v>
      </c>
      <c r="Z125" s="5" t="str">
        <f t="shared" si="31"/>
        <v>有效</v>
      </c>
      <c r="AA125" s="5" t="str">
        <f t="shared" si="32"/>
        <v>模型估算</v>
      </c>
      <c r="AB125" s="5">
        <f t="shared" si="33"/>
        <v>100000000</v>
      </c>
      <c r="AC125" s="5">
        <f>IF(NOT(ISNUMBER(AB125)),"",IF(OR(NOT(器件参数!B125),器件参数!E125&lt;&gt;"mixer"),AB125,IF(AND(ISNUMBER(器件参数!T125),器件参数!T125&gt;0),IF(器件参数!U125="sum",AB125+器件参数!T125,IF(器件参数!U125="difference",ABS(AB125-器件参数!T125),"")),"")))</f>
        <v>100000000</v>
      </c>
      <c r="AD125" s="5">
        <f t="shared" si="34"/>
        <v>0</v>
      </c>
      <c r="AE125" s="5">
        <f>IF(AND(ISNUMBER(G125),ISNUMBER(F125)),Tref_K*(G125-1)/F125,"")</f>
        <v>0</v>
      </c>
      <c r="AF125" s="5">
        <f>IF(AND(ISNUMBER(H125),ISNUMBER(E125),NoiseConfigOK),10*LOG10(Boltzmann*Bnoise_Hz*(Tsource_K+Tref_K*(H125-1)))+30+E125,"")</f>
        <v>-90.3704468972711</v>
      </c>
      <c r="AG125" s="5">
        <f t="shared" si="35"/>
        <v>80.3704468972711</v>
      </c>
      <c r="AH125" s="5">
        <f>IF(AND(ToneEnabled,ISNUMBER(E125),ISNUMBER(TonePin)),TonePin+E125,"")</f>
        <v>-10</v>
      </c>
      <c r="AI125" s="5">
        <f>IF(AND(ToneEnabled,ISNUMBER(E125),ISNUMBER(N125),ISNUMBER(TonePin)),3*TonePin+E125-2*N125,"")</f>
        <v>-83.9794000867204</v>
      </c>
      <c r="AJ125" s="5" t="str">
        <f t="shared" si="36"/>
        <v/>
      </c>
      <c r="AK125" s="5" t="str">
        <f>IF(NOT(器件参数!B125),"旁路",IF(NOT(ISNUMBER(AC125)),"频率未知",IF(AC125&lt;=SignalBW/2,"跨零频",IF(AND(ISNUMBER(器件参数!R125),ISNUMBER(器件参数!S125)),IF(AND(AB125-SignalBW/2&gt;=器件参数!R125,AB125+SignalBW/2&lt;=器件参数!S125),"有效","超声明通带"),"未声明通带"))))</f>
        <v>旁路</v>
      </c>
      <c r="AL125" s="5">
        <f t="shared" si="37"/>
        <v>0</v>
      </c>
      <c r="AM125" s="5" t="str">
        <f>IF(AND(器件参数!B125,ISNUMBER(器件参数!X125),OR(AND(ISNUMBER(J125),J125&gt;器件参数!X125),IF(AND(ToneEnabled,ISNUMBER(TonePin),ISNUMBER(D125)),TonePin+10*LOG10(2)+D125&gt;器件参数!X125,FALSE))),"超过绝对最大输入额定值","")</f>
        <v/>
      </c>
      <c r="AN125" s="5">
        <f>IF(NOT(ISNUMBER(AN124)),"",IF(OR(NOT(器件参数!B125),器件参数!E125&lt;&gt;"mixer"),AN124,IF(AND(ISNUMBER(器件参数!T125),器件参数!T125&gt;0),IF(器件参数!U125="sum",AN124+器件参数!T125,ABS(AN124-器件参数!T125)),"")))</f>
        <v>99950000</v>
      </c>
      <c r="AO125" s="5">
        <f>IF(NOT(ISNUMBER(AO124)),"",IF(OR(NOT(器件参数!B125),器件参数!E125&lt;&gt;"mixer"),AO124,IF(AND(ISNUMBER(器件参数!T125),器件参数!T125&gt;0),IF(器件参数!U125="sum",AO124+器件参数!T125,ABS(AO124-器件参数!T125)),"")))</f>
        <v>100050000</v>
      </c>
      <c r="AP125" s="5">
        <f>IF(NOT(ISNUMBER(AP124)),"",IF(OR(NOT(器件参数!B125),器件参数!E125&lt;&gt;"mixer"),AP124,IF(AND(ISNUMBER(器件参数!T125),器件参数!T125&gt;0),IF(器件参数!U125="sum",AP124+器件参数!T125,ABS(AP124-器件参数!T125)),"")))</f>
        <v>99850000</v>
      </c>
      <c r="AQ125" s="5">
        <f>IF(NOT(ISNUMBER(AQ124)),"",IF(OR(NOT(器件参数!B125),器件参数!E125&lt;&gt;"mixer"),AQ124,IF(AND(ISNUMBER(器件参数!T125),器件参数!T125&gt;0),IF(器件参数!U125="sum",AQ124+器件参数!T125,ABS(AQ124-器件参数!T125)),"")))</f>
        <v>100150000</v>
      </c>
      <c r="AR125" s="5" t="b">
        <f>IF(NOT(AR124),FALSE,IF(NOT(器件参数!B125),TRUE,AND(COUNT(AN125:AQ125)=4,MIN(AN125:AQ125)&gt;0,IF(AND(ISNUMBER(器件参数!R125),ISNUMBER(器件参数!S125)),AND(MIN(AN124:AQ124)&gt;=器件参数!R125,MAX(AN124:AQ124)&lt;=器件参数!S125),TRUE),IF(AND(器件参数!E125="mixer",器件参数!U125="difference"),OR(器件参数!T125&lt;MIN(AN124:AQ124),器件参数!T125&gt;MAX(AN124:AQ124)),TRUE))))</f>
        <v>1</v>
      </c>
    </row>
    <row r="126" hidden="1" spans="1:44">
      <c r="A126" s="5">
        <f>器件参数!A126</f>
        <v>123</v>
      </c>
      <c r="B126" s="5" t="str">
        <f>器件参数!D126</f>
        <v/>
      </c>
      <c r="C126" s="5">
        <f>IF(NOT(器件参数!B126),0,IF(AND(ISNUMBER(器件参数!F126),ABS(器件参数!F126)&lt;=300),器件参数!F126,""))</f>
        <v>0</v>
      </c>
      <c r="D126" s="5">
        <f t="shared" si="19"/>
        <v>20</v>
      </c>
      <c r="E126" s="5">
        <f t="shared" si="20"/>
        <v>20</v>
      </c>
      <c r="F126" s="5">
        <f t="shared" si="21"/>
        <v>100</v>
      </c>
      <c r="G126" s="5">
        <f>IFERROR(IF(NOT(器件参数!B126),1,IF(NOT(OR(器件参数!E126&lt;&gt;"mixer",AND(OR(器件参数!V126="SSB",器件参数!V126="DSB"),器件参数!W126=TRUE))),"",IF(器件参数!G126="ideal",1,IF(AND(器件参数!G126="manual",ISNUMBER(器件参数!H126),器件参数!H126&gt;=0),10^(器件参数!H126/10),IF(AND(器件参数!G126="passive_thermal",OR(器件参数!E126="filter_bpf",器件参数!E126="filter_lpf",器件参数!E126="filter_hpf",器件参数!E126="filter_bsf",器件参数!E126="attenuator",器件参数!E126="cable",器件参数!E126="connector",器件参数!E126="switch",器件参数!E126="isolator",器件参数!E126="coupler",器件参数!E126="splitter"),AND(ISNUMBER(器件参数!F126),ABS(器件参数!F126)&lt;=300),器件参数!F126&lt;=0,ISNUMBER(器件参数!I126),器件参数!I126&gt;0),1+(10^(-器件参数!F126/10)-1)*器件参数!I126/Tref_K,""))))),"数值域错误")</f>
        <v>1</v>
      </c>
      <c r="H126" s="5">
        <f t="shared" si="22"/>
        <v>2.29336948552238</v>
      </c>
      <c r="I126" s="5">
        <f t="shared" si="23"/>
        <v>3.604740296957</v>
      </c>
      <c r="J126" s="5">
        <f>IF(AND(ISNUMBER(Pin_dBm),ISNUMBER(D126)),Pin_dBm+D126,"")</f>
        <v>-10</v>
      </c>
      <c r="K126" s="5">
        <f>IF(AND(ISNUMBER(Pin_dBm),ISNUMBER(E126)),Pin_dBm+E126,"")</f>
        <v>-10</v>
      </c>
      <c r="L126" s="5" t="str">
        <f>IF(AND(器件参数!J126="finite",ISNUMBER(器件参数!L126),ISNUMBER(C126)),IF(器件参数!K126="input",器件参数!L126,IF(器件参数!K126="output",器件参数!L126-C126,"")),"")</f>
        <v/>
      </c>
      <c r="M126" s="5">
        <f>IFERROR(IF(NOT(ISNUMBER(M125)),"",IF(OR(NOT(器件参数!B126),器件参数!J126="ideal"),M125,IF(AND(ISNUMBER(L126),ISNUMBER(F126)),M125+F126/10^(L126/10),""))),"数值域错误")</f>
        <v>0.2</v>
      </c>
      <c r="N126" s="5">
        <f t="shared" si="24"/>
        <v>6.98970004336019</v>
      </c>
      <c r="O126" s="5">
        <f t="shared" si="25"/>
        <v>26.9897000433602</v>
      </c>
      <c r="P126" s="5" t="str">
        <f>IF(AND(器件参数!M126="finite",ISNUMBER(器件参数!O126),ISNUMBER(C126)),IF(器件参数!N126="input",器件参数!O126,IF(器件参数!N126="actual_output",器件参数!O126-C126+1,IF(器件参数!N126="linear_output",器件参数!O126-C126,""))),"")</f>
        <v/>
      </c>
      <c r="Q126" s="5">
        <f>IF(器件参数!P126="",IF(AND(ISNUMBER(DefaultP),DefaultP&gt;=1,DefaultP&lt;=10),DefaultP,""),IF(AND(ISNUMBER(器件参数!P126),器件参数!P126&gt;=1,器件参数!P126&lt;=10),器件参数!P126,""))</f>
        <v>2</v>
      </c>
      <c r="R126" s="5">
        <f t="shared" si="26"/>
        <v>-10.0000139708288</v>
      </c>
      <c r="S126" s="5" t="str">
        <f t="shared" si="27"/>
        <v/>
      </c>
      <c r="T126" s="5">
        <f t="shared" si="28"/>
        <v>0</v>
      </c>
      <c r="U126" s="5">
        <f t="shared" si="29"/>
        <v>-10.0000139708288</v>
      </c>
      <c r="V126" s="5">
        <f>IF(AND(ISNUMBER(Pin_dBm),ISNUMBER(E126),ISNUMBER(U126)),Pin_dBm+E126-U126,"")</f>
        <v>1.39708287854035e-5</v>
      </c>
      <c r="W126" s="5" t="str">
        <f>IF(AND(器件参数!B126,X126=1,ISNUMBER(D126)),P126-D126,"")</f>
        <v/>
      </c>
      <c r="X126" s="5">
        <f>IF(NOT(ISNUMBER(C126)),-1,IF(OR(NOT(器件参数!B126),器件参数!M126="ideal"),0,IF(AND(ISNUMBER(P126),ISNUMBER(Q126)),1,-1)))</f>
        <v>0</v>
      </c>
      <c r="Y126" s="5" t="str">
        <f t="shared" si="30"/>
        <v>有效</v>
      </c>
      <c r="Z126" s="5" t="str">
        <f t="shared" si="31"/>
        <v>有效</v>
      </c>
      <c r="AA126" s="5" t="str">
        <f t="shared" si="32"/>
        <v>模型估算</v>
      </c>
      <c r="AB126" s="5">
        <f t="shared" si="33"/>
        <v>100000000</v>
      </c>
      <c r="AC126" s="5">
        <f>IF(NOT(ISNUMBER(AB126)),"",IF(OR(NOT(器件参数!B126),器件参数!E126&lt;&gt;"mixer"),AB126,IF(AND(ISNUMBER(器件参数!T126),器件参数!T126&gt;0),IF(器件参数!U126="sum",AB126+器件参数!T126,IF(器件参数!U126="difference",ABS(AB126-器件参数!T126),"")),"")))</f>
        <v>100000000</v>
      </c>
      <c r="AD126" s="5">
        <f t="shared" si="34"/>
        <v>0</v>
      </c>
      <c r="AE126" s="5">
        <f>IF(AND(ISNUMBER(G126),ISNUMBER(F126)),Tref_K*(G126-1)/F126,"")</f>
        <v>0</v>
      </c>
      <c r="AF126" s="5">
        <f>IF(AND(ISNUMBER(H126),ISNUMBER(E126),NoiseConfigOK),10*LOG10(Boltzmann*Bnoise_Hz*(Tsource_K+Tref_K*(H126-1)))+30+E126,"")</f>
        <v>-90.3704468972711</v>
      </c>
      <c r="AG126" s="5">
        <f t="shared" si="35"/>
        <v>80.3704468972711</v>
      </c>
      <c r="AH126" s="5">
        <f>IF(AND(ToneEnabled,ISNUMBER(E126),ISNUMBER(TonePin)),TonePin+E126,"")</f>
        <v>-10</v>
      </c>
      <c r="AI126" s="5">
        <f>IF(AND(ToneEnabled,ISNUMBER(E126),ISNUMBER(N126),ISNUMBER(TonePin)),3*TonePin+E126-2*N126,"")</f>
        <v>-83.9794000867204</v>
      </c>
      <c r="AJ126" s="5" t="str">
        <f t="shared" si="36"/>
        <v/>
      </c>
      <c r="AK126" s="5" t="str">
        <f>IF(NOT(器件参数!B126),"旁路",IF(NOT(ISNUMBER(AC126)),"频率未知",IF(AC126&lt;=SignalBW/2,"跨零频",IF(AND(ISNUMBER(器件参数!R126),ISNUMBER(器件参数!S126)),IF(AND(AB126-SignalBW/2&gt;=器件参数!R126,AB126+SignalBW/2&lt;=器件参数!S126),"有效","超声明通带"),"未声明通带"))))</f>
        <v>旁路</v>
      </c>
      <c r="AL126" s="5">
        <f t="shared" si="37"/>
        <v>0</v>
      </c>
      <c r="AM126" s="5" t="str">
        <f>IF(AND(器件参数!B126,ISNUMBER(器件参数!X126),OR(AND(ISNUMBER(J126),J126&gt;器件参数!X126),IF(AND(ToneEnabled,ISNUMBER(TonePin),ISNUMBER(D126)),TonePin+10*LOG10(2)+D126&gt;器件参数!X126,FALSE))),"超过绝对最大输入额定值","")</f>
        <v/>
      </c>
      <c r="AN126" s="5">
        <f>IF(NOT(ISNUMBER(AN125)),"",IF(OR(NOT(器件参数!B126),器件参数!E126&lt;&gt;"mixer"),AN125,IF(AND(ISNUMBER(器件参数!T126),器件参数!T126&gt;0),IF(器件参数!U126="sum",AN125+器件参数!T126,ABS(AN125-器件参数!T126)),"")))</f>
        <v>99950000</v>
      </c>
      <c r="AO126" s="5">
        <f>IF(NOT(ISNUMBER(AO125)),"",IF(OR(NOT(器件参数!B126),器件参数!E126&lt;&gt;"mixer"),AO125,IF(AND(ISNUMBER(器件参数!T126),器件参数!T126&gt;0),IF(器件参数!U126="sum",AO125+器件参数!T126,ABS(AO125-器件参数!T126)),"")))</f>
        <v>100050000</v>
      </c>
      <c r="AP126" s="5">
        <f>IF(NOT(ISNUMBER(AP125)),"",IF(OR(NOT(器件参数!B126),器件参数!E126&lt;&gt;"mixer"),AP125,IF(AND(ISNUMBER(器件参数!T126),器件参数!T126&gt;0),IF(器件参数!U126="sum",AP125+器件参数!T126,ABS(AP125-器件参数!T126)),"")))</f>
        <v>99850000</v>
      </c>
      <c r="AQ126" s="5">
        <f>IF(NOT(ISNUMBER(AQ125)),"",IF(OR(NOT(器件参数!B126),器件参数!E126&lt;&gt;"mixer"),AQ125,IF(AND(ISNUMBER(器件参数!T126),器件参数!T126&gt;0),IF(器件参数!U126="sum",AQ125+器件参数!T126,ABS(AQ125-器件参数!T126)),"")))</f>
        <v>100150000</v>
      </c>
      <c r="AR126" s="5" t="b">
        <f>IF(NOT(AR125),FALSE,IF(NOT(器件参数!B126),TRUE,AND(COUNT(AN126:AQ126)=4,MIN(AN126:AQ126)&gt;0,IF(AND(ISNUMBER(器件参数!R126),ISNUMBER(器件参数!S126)),AND(MIN(AN125:AQ125)&gt;=器件参数!R126,MAX(AN125:AQ125)&lt;=器件参数!S126),TRUE),IF(AND(器件参数!E126="mixer",器件参数!U126="difference"),OR(器件参数!T126&lt;MIN(AN125:AQ125),器件参数!T126&gt;MAX(AN125:AQ125)),TRUE))))</f>
        <v>1</v>
      </c>
    </row>
    <row r="127" hidden="1" spans="1:44">
      <c r="A127" s="5">
        <f>器件参数!A127</f>
        <v>124</v>
      </c>
      <c r="B127" s="5" t="str">
        <f>器件参数!D127</f>
        <v/>
      </c>
      <c r="C127" s="5">
        <f>IF(NOT(器件参数!B127),0,IF(AND(ISNUMBER(器件参数!F127),ABS(器件参数!F127)&lt;=300),器件参数!F127,""))</f>
        <v>0</v>
      </c>
      <c r="D127" s="5">
        <f t="shared" si="19"/>
        <v>20</v>
      </c>
      <c r="E127" s="5">
        <f t="shared" si="20"/>
        <v>20</v>
      </c>
      <c r="F127" s="5">
        <f t="shared" si="21"/>
        <v>100</v>
      </c>
      <c r="G127" s="5">
        <f>IFERROR(IF(NOT(器件参数!B127),1,IF(NOT(OR(器件参数!E127&lt;&gt;"mixer",AND(OR(器件参数!V127="SSB",器件参数!V127="DSB"),器件参数!W127=TRUE))),"",IF(器件参数!G127="ideal",1,IF(AND(器件参数!G127="manual",ISNUMBER(器件参数!H127),器件参数!H127&gt;=0),10^(器件参数!H127/10),IF(AND(器件参数!G127="passive_thermal",OR(器件参数!E127="filter_bpf",器件参数!E127="filter_lpf",器件参数!E127="filter_hpf",器件参数!E127="filter_bsf",器件参数!E127="attenuator",器件参数!E127="cable",器件参数!E127="connector",器件参数!E127="switch",器件参数!E127="isolator",器件参数!E127="coupler",器件参数!E127="splitter"),AND(ISNUMBER(器件参数!F127),ABS(器件参数!F127)&lt;=300),器件参数!F127&lt;=0,ISNUMBER(器件参数!I127),器件参数!I127&gt;0),1+(10^(-器件参数!F127/10)-1)*器件参数!I127/Tref_K,""))))),"数值域错误")</f>
        <v>1</v>
      </c>
      <c r="H127" s="5">
        <f t="shared" si="22"/>
        <v>2.29336948552238</v>
      </c>
      <c r="I127" s="5">
        <f t="shared" si="23"/>
        <v>3.604740296957</v>
      </c>
      <c r="J127" s="5">
        <f>IF(AND(ISNUMBER(Pin_dBm),ISNUMBER(D127)),Pin_dBm+D127,"")</f>
        <v>-10</v>
      </c>
      <c r="K127" s="5">
        <f>IF(AND(ISNUMBER(Pin_dBm),ISNUMBER(E127)),Pin_dBm+E127,"")</f>
        <v>-10</v>
      </c>
      <c r="L127" s="5" t="str">
        <f>IF(AND(器件参数!J127="finite",ISNUMBER(器件参数!L127),ISNUMBER(C127)),IF(器件参数!K127="input",器件参数!L127,IF(器件参数!K127="output",器件参数!L127-C127,"")),"")</f>
        <v/>
      </c>
      <c r="M127" s="5">
        <f>IFERROR(IF(NOT(ISNUMBER(M126)),"",IF(OR(NOT(器件参数!B127),器件参数!J127="ideal"),M126,IF(AND(ISNUMBER(L127),ISNUMBER(F127)),M126+F127/10^(L127/10),""))),"数值域错误")</f>
        <v>0.2</v>
      </c>
      <c r="N127" s="5">
        <f t="shared" si="24"/>
        <v>6.98970004336019</v>
      </c>
      <c r="O127" s="5">
        <f t="shared" si="25"/>
        <v>26.9897000433602</v>
      </c>
      <c r="P127" s="5" t="str">
        <f>IF(AND(器件参数!M127="finite",ISNUMBER(器件参数!O127),ISNUMBER(C127)),IF(器件参数!N127="input",器件参数!O127,IF(器件参数!N127="actual_output",器件参数!O127-C127+1,IF(器件参数!N127="linear_output",器件参数!O127-C127,""))),"")</f>
        <v/>
      </c>
      <c r="Q127" s="5">
        <f>IF(器件参数!P127="",IF(AND(ISNUMBER(DefaultP),DefaultP&gt;=1,DefaultP&lt;=10),DefaultP,""),IF(AND(ISNUMBER(器件参数!P127),器件参数!P127&gt;=1,器件参数!P127&lt;=10),器件参数!P127,""))</f>
        <v>2</v>
      </c>
      <c r="R127" s="5">
        <f t="shared" si="26"/>
        <v>-10.0000139708288</v>
      </c>
      <c r="S127" s="5" t="str">
        <f t="shared" si="27"/>
        <v/>
      </c>
      <c r="T127" s="5">
        <f t="shared" si="28"/>
        <v>0</v>
      </c>
      <c r="U127" s="5">
        <f t="shared" si="29"/>
        <v>-10.0000139708288</v>
      </c>
      <c r="V127" s="5">
        <f>IF(AND(ISNUMBER(Pin_dBm),ISNUMBER(E127),ISNUMBER(U127)),Pin_dBm+E127-U127,"")</f>
        <v>1.39708287854035e-5</v>
      </c>
      <c r="W127" s="5" t="str">
        <f>IF(AND(器件参数!B127,X127=1,ISNUMBER(D127)),P127-D127,"")</f>
        <v/>
      </c>
      <c r="X127" s="5">
        <f>IF(NOT(ISNUMBER(C127)),-1,IF(OR(NOT(器件参数!B127),器件参数!M127="ideal"),0,IF(AND(ISNUMBER(P127),ISNUMBER(Q127)),1,-1)))</f>
        <v>0</v>
      </c>
      <c r="Y127" s="5" t="str">
        <f t="shared" si="30"/>
        <v>有效</v>
      </c>
      <c r="Z127" s="5" t="str">
        <f t="shared" si="31"/>
        <v>有效</v>
      </c>
      <c r="AA127" s="5" t="str">
        <f t="shared" si="32"/>
        <v>模型估算</v>
      </c>
      <c r="AB127" s="5">
        <f t="shared" si="33"/>
        <v>100000000</v>
      </c>
      <c r="AC127" s="5">
        <f>IF(NOT(ISNUMBER(AB127)),"",IF(OR(NOT(器件参数!B127),器件参数!E127&lt;&gt;"mixer"),AB127,IF(AND(ISNUMBER(器件参数!T127),器件参数!T127&gt;0),IF(器件参数!U127="sum",AB127+器件参数!T127,IF(器件参数!U127="difference",ABS(AB127-器件参数!T127),"")),"")))</f>
        <v>100000000</v>
      </c>
      <c r="AD127" s="5">
        <f t="shared" si="34"/>
        <v>0</v>
      </c>
      <c r="AE127" s="5">
        <f>IF(AND(ISNUMBER(G127),ISNUMBER(F127)),Tref_K*(G127-1)/F127,"")</f>
        <v>0</v>
      </c>
      <c r="AF127" s="5">
        <f>IF(AND(ISNUMBER(H127),ISNUMBER(E127),NoiseConfigOK),10*LOG10(Boltzmann*Bnoise_Hz*(Tsource_K+Tref_K*(H127-1)))+30+E127,"")</f>
        <v>-90.3704468972711</v>
      </c>
      <c r="AG127" s="5">
        <f t="shared" si="35"/>
        <v>80.3704468972711</v>
      </c>
      <c r="AH127" s="5">
        <f>IF(AND(ToneEnabled,ISNUMBER(E127),ISNUMBER(TonePin)),TonePin+E127,"")</f>
        <v>-10</v>
      </c>
      <c r="AI127" s="5">
        <f>IF(AND(ToneEnabled,ISNUMBER(E127),ISNUMBER(N127),ISNUMBER(TonePin)),3*TonePin+E127-2*N127,"")</f>
        <v>-83.9794000867204</v>
      </c>
      <c r="AJ127" s="5" t="str">
        <f t="shared" si="36"/>
        <v/>
      </c>
      <c r="AK127" s="5" t="str">
        <f>IF(NOT(器件参数!B127),"旁路",IF(NOT(ISNUMBER(AC127)),"频率未知",IF(AC127&lt;=SignalBW/2,"跨零频",IF(AND(ISNUMBER(器件参数!R127),ISNUMBER(器件参数!S127)),IF(AND(AB127-SignalBW/2&gt;=器件参数!R127,AB127+SignalBW/2&lt;=器件参数!S127),"有效","超声明通带"),"未声明通带"))))</f>
        <v>旁路</v>
      </c>
      <c r="AL127" s="5">
        <f t="shared" si="37"/>
        <v>0</v>
      </c>
      <c r="AM127" s="5" t="str">
        <f>IF(AND(器件参数!B127,ISNUMBER(器件参数!X127),OR(AND(ISNUMBER(J127),J127&gt;器件参数!X127),IF(AND(ToneEnabled,ISNUMBER(TonePin),ISNUMBER(D127)),TonePin+10*LOG10(2)+D127&gt;器件参数!X127,FALSE))),"超过绝对最大输入额定值","")</f>
        <v/>
      </c>
      <c r="AN127" s="5">
        <f>IF(NOT(ISNUMBER(AN126)),"",IF(OR(NOT(器件参数!B127),器件参数!E127&lt;&gt;"mixer"),AN126,IF(AND(ISNUMBER(器件参数!T127),器件参数!T127&gt;0),IF(器件参数!U127="sum",AN126+器件参数!T127,ABS(AN126-器件参数!T127)),"")))</f>
        <v>99950000</v>
      </c>
      <c r="AO127" s="5">
        <f>IF(NOT(ISNUMBER(AO126)),"",IF(OR(NOT(器件参数!B127),器件参数!E127&lt;&gt;"mixer"),AO126,IF(AND(ISNUMBER(器件参数!T127),器件参数!T127&gt;0),IF(器件参数!U127="sum",AO126+器件参数!T127,ABS(AO126-器件参数!T127)),"")))</f>
        <v>100050000</v>
      </c>
      <c r="AP127" s="5">
        <f>IF(NOT(ISNUMBER(AP126)),"",IF(OR(NOT(器件参数!B127),器件参数!E127&lt;&gt;"mixer"),AP126,IF(AND(ISNUMBER(器件参数!T127),器件参数!T127&gt;0),IF(器件参数!U127="sum",AP126+器件参数!T127,ABS(AP126-器件参数!T127)),"")))</f>
        <v>99850000</v>
      </c>
      <c r="AQ127" s="5">
        <f>IF(NOT(ISNUMBER(AQ126)),"",IF(OR(NOT(器件参数!B127),器件参数!E127&lt;&gt;"mixer"),AQ126,IF(AND(ISNUMBER(器件参数!T127),器件参数!T127&gt;0),IF(器件参数!U127="sum",AQ126+器件参数!T127,ABS(AQ126-器件参数!T127)),"")))</f>
        <v>100150000</v>
      </c>
      <c r="AR127" s="5" t="b">
        <f>IF(NOT(AR126),FALSE,IF(NOT(器件参数!B127),TRUE,AND(COUNT(AN127:AQ127)=4,MIN(AN127:AQ127)&gt;0,IF(AND(ISNUMBER(器件参数!R127),ISNUMBER(器件参数!S127)),AND(MIN(AN126:AQ126)&gt;=器件参数!R127,MAX(AN126:AQ126)&lt;=器件参数!S127),TRUE),IF(AND(器件参数!E127="mixer",器件参数!U127="difference"),OR(器件参数!T127&lt;MIN(AN126:AQ126),器件参数!T127&gt;MAX(AN126:AQ126)),TRUE))))</f>
        <v>1</v>
      </c>
    </row>
    <row r="128" hidden="1" spans="1:44">
      <c r="A128" s="5">
        <f>器件参数!A128</f>
        <v>125</v>
      </c>
      <c r="B128" s="5" t="str">
        <f>器件参数!D128</f>
        <v/>
      </c>
      <c r="C128" s="5">
        <f>IF(NOT(器件参数!B128),0,IF(AND(ISNUMBER(器件参数!F128),ABS(器件参数!F128)&lt;=300),器件参数!F128,""))</f>
        <v>0</v>
      </c>
      <c r="D128" s="5">
        <f t="shared" si="19"/>
        <v>20</v>
      </c>
      <c r="E128" s="5">
        <f t="shared" si="20"/>
        <v>20</v>
      </c>
      <c r="F128" s="5">
        <f t="shared" si="21"/>
        <v>100</v>
      </c>
      <c r="G128" s="5">
        <f>IFERROR(IF(NOT(器件参数!B128),1,IF(NOT(OR(器件参数!E128&lt;&gt;"mixer",AND(OR(器件参数!V128="SSB",器件参数!V128="DSB"),器件参数!W128=TRUE))),"",IF(器件参数!G128="ideal",1,IF(AND(器件参数!G128="manual",ISNUMBER(器件参数!H128),器件参数!H128&gt;=0),10^(器件参数!H128/10),IF(AND(器件参数!G128="passive_thermal",OR(器件参数!E128="filter_bpf",器件参数!E128="filter_lpf",器件参数!E128="filter_hpf",器件参数!E128="filter_bsf",器件参数!E128="attenuator",器件参数!E128="cable",器件参数!E128="connector",器件参数!E128="switch",器件参数!E128="isolator",器件参数!E128="coupler",器件参数!E128="splitter"),AND(ISNUMBER(器件参数!F128),ABS(器件参数!F128)&lt;=300),器件参数!F128&lt;=0,ISNUMBER(器件参数!I128),器件参数!I128&gt;0),1+(10^(-器件参数!F128/10)-1)*器件参数!I128/Tref_K,""))))),"数值域错误")</f>
        <v>1</v>
      </c>
      <c r="H128" s="5">
        <f t="shared" si="22"/>
        <v>2.29336948552238</v>
      </c>
      <c r="I128" s="5">
        <f t="shared" si="23"/>
        <v>3.604740296957</v>
      </c>
      <c r="J128" s="5">
        <f>IF(AND(ISNUMBER(Pin_dBm),ISNUMBER(D128)),Pin_dBm+D128,"")</f>
        <v>-10</v>
      </c>
      <c r="K128" s="5">
        <f>IF(AND(ISNUMBER(Pin_dBm),ISNUMBER(E128)),Pin_dBm+E128,"")</f>
        <v>-10</v>
      </c>
      <c r="L128" s="5" t="str">
        <f>IF(AND(器件参数!J128="finite",ISNUMBER(器件参数!L128),ISNUMBER(C128)),IF(器件参数!K128="input",器件参数!L128,IF(器件参数!K128="output",器件参数!L128-C128,"")),"")</f>
        <v/>
      </c>
      <c r="M128" s="5">
        <f>IFERROR(IF(NOT(ISNUMBER(M127)),"",IF(OR(NOT(器件参数!B128),器件参数!J128="ideal"),M127,IF(AND(ISNUMBER(L128),ISNUMBER(F128)),M127+F128/10^(L128/10),""))),"数值域错误")</f>
        <v>0.2</v>
      </c>
      <c r="N128" s="5">
        <f t="shared" si="24"/>
        <v>6.98970004336019</v>
      </c>
      <c r="O128" s="5">
        <f t="shared" si="25"/>
        <v>26.9897000433602</v>
      </c>
      <c r="P128" s="5" t="str">
        <f>IF(AND(器件参数!M128="finite",ISNUMBER(器件参数!O128),ISNUMBER(C128)),IF(器件参数!N128="input",器件参数!O128,IF(器件参数!N128="actual_output",器件参数!O128-C128+1,IF(器件参数!N128="linear_output",器件参数!O128-C128,""))),"")</f>
        <v/>
      </c>
      <c r="Q128" s="5">
        <f>IF(器件参数!P128="",IF(AND(ISNUMBER(DefaultP),DefaultP&gt;=1,DefaultP&lt;=10),DefaultP,""),IF(AND(ISNUMBER(器件参数!P128),器件参数!P128&gt;=1,器件参数!P128&lt;=10),器件参数!P128,""))</f>
        <v>2</v>
      </c>
      <c r="R128" s="5">
        <f t="shared" si="26"/>
        <v>-10.0000139708288</v>
      </c>
      <c r="S128" s="5" t="str">
        <f t="shared" si="27"/>
        <v/>
      </c>
      <c r="T128" s="5">
        <f t="shared" si="28"/>
        <v>0</v>
      </c>
      <c r="U128" s="5">
        <f t="shared" si="29"/>
        <v>-10.0000139708288</v>
      </c>
      <c r="V128" s="5">
        <f>IF(AND(ISNUMBER(Pin_dBm),ISNUMBER(E128),ISNUMBER(U128)),Pin_dBm+E128-U128,"")</f>
        <v>1.39708287854035e-5</v>
      </c>
      <c r="W128" s="5" t="str">
        <f>IF(AND(器件参数!B128,X128=1,ISNUMBER(D128)),P128-D128,"")</f>
        <v/>
      </c>
      <c r="X128" s="5">
        <f>IF(NOT(ISNUMBER(C128)),-1,IF(OR(NOT(器件参数!B128),器件参数!M128="ideal"),0,IF(AND(ISNUMBER(P128),ISNUMBER(Q128)),1,-1)))</f>
        <v>0</v>
      </c>
      <c r="Y128" s="5" t="str">
        <f t="shared" si="30"/>
        <v>有效</v>
      </c>
      <c r="Z128" s="5" t="str">
        <f t="shared" si="31"/>
        <v>有效</v>
      </c>
      <c r="AA128" s="5" t="str">
        <f t="shared" si="32"/>
        <v>模型估算</v>
      </c>
      <c r="AB128" s="5">
        <f t="shared" si="33"/>
        <v>100000000</v>
      </c>
      <c r="AC128" s="5">
        <f>IF(NOT(ISNUMBER(AB128)),"",IF(OR(NOT(器件参数!B128),器件参数!E128&lt;&gt;"mixer"),AB128,IF(AND(ISNUMBER(器件参数!T128),器件参数!T128&gt;0),IF(器件参数!U128="sum",AB128+器件参数!T128,IF(器件参数!U128="difference",ABS(AB128-器件参数!T128),"")),"")))</f>
        <v>100000000</v>
      </c>
      <c r="AD128" s="5">
        <f t="shared" si="34"/>
        <v>0</v>
      </c>
      <c r="AE128" s="5">
        <f>IF(AND(ISNUMBER(G128),ISNUMBER(F128)),Tref_K*(G128-1)/F128,"")</f>
        <v>0</v>
      </c>
      <c r="AF128" s="5">
        <f>IF(AND(ISNUMBER(H128),ISNUMBER(E128),NoiseConfigOK),10*LOG10(Boltzmann*Bnoise_Hz*(Tsource_K+Tref_K*(H128-1)))+30+E128,"")</f>
        <v>-90.3704468972711</v>
      </c>
      <c r="AG128" s="5">
        <f t="shared" si="35"/>
        <v>80.3704468972711</v>
      </c>
      <c r="AH128" s="5">
        <f>IF(AND(ToneEnabled,ISNUMBER(E128),ISNUMBER(TonePin)),TonePin+E128,"")</f>
        <v>-10</v>
      </c>
      <c r="AI128" s="5">
        <f>IF(AND(ToneEnabled,ISNUMBER(E128),ISNUMBER(N128),ISNUMBER(TonePin)),3*TonePin+E128-2*N128,"")</f>
        <v>-83.9794000867204</v>
      </c>
      <c r="AJ128" s="5" t="str">
        <f t="shared" si="36"/>
        <v/>
      </c>
      <c r="AK128" s="5" t="str">
        <f>IF(NOT(器件参数!B128),"旁路",IF(NOT(ISNUMBER(AC128)),"频率未知",IF(AC128&lt;=SignalBW/2,"跨零频",IF(AND(ISNUMBER(器件参数!R128),ISNUMBER(器件参数!S128)),IF(AND(AB128-SignalBW/2&gt;=器件参数!R128,AB128+SignalBW/2&lt;=器件参数!S128),"有效","超声明通带"),"未声明通带"))))</f>
        <v>旁路</v>
      </c>
      <c r="AL128" s="5">
        <f t="shared" si="37"/>
        <v>0</v>
      </c>
      <c r="AM128" s="5" t="str">
        <f>IF(AND(器件参数!B128,ISNUMBER(器件参数!X128),OR(AND(ISNUMBER(J128),J128&gt;器件参数!X128),IF(AND(ToneEnabled,ISNUMBER(TonePin),ISNUMBER(D128)),TonePin+10*LOG10(2)+D128&gt;器件参数!X128,FALSE))),"超过绝对最大输入额定值","")</f>
        <v/>
      </c>
      <c r="AN128" s="5">
        <f>IF(NOT(ISNUMBER(AN127)),"",IF(OR(NOT(器件参数!B128),器件参数!E128&lt;&gt;"mixer"),AN127,IF(AND(ISNUMBER(器件参数!T128),器件参数!T128&gt;0),IF(器件参数!U128="sum",AN127+器件参数!T128,ABS(AN127-器件参数!T128)),"")))</f>
        <v>99950000</v>
      </c>
      <c r="AO128" s="5">
        <f>IF(NOT(ISNUMBER(AO127)),"",IF(OR(NOT(器件参数!B128),器件参数!E128&lt;&gt;"mixer"),AO127,IF(AND(ISNUMBER(器件参数!T128),器件参数!T128&gt;0),IF(器件参数!U128="sum",AO127+器件参数!T128,ABS(AO127-器件参数!T128)),"")))</f>
        <v>100050000</v>
      </c>
      <c r="AP128" s="5">
        <f>IF(NOT(ISNUMBER(AP127)),"",IF(OR(NOT(器件参数!B128),器件参数!E128&lt;&gt;"mixer"),AP127,IF(AND(ISNUMBER(器件参数!T128),器件参数!T128&gt;0),IF(器件参数!U128="sum",AP127+器件参数!T128,ABS(AP127-器件参数!T128)),"")))</f>
        <v>99850000</v>
      </c>
      <c r="AQ128" s="5">
        <f>IF(NOT(ISNUMBER(AQ127)),"",IF(OR(NOT(器件参数!B128),器件参数!E128&lt;&gt;"mixer"),AQ127,IF(AND(ISNUMBER(器件参数!T128),器件参数!T128&gt;0),IF(器件参数!U128="sum",AQ127+器件参数!T128,ABS(AQ127-器件参数!T128)),"")))</f>
        <v>100150000</v>
      </c>
      <c r="AR128" s="5" t="b">
        <f>IF(NOT(AR127),FALSE,IF(NOT(器件参数!B128),TRUE,AND(COUNT(AN128:AQ128)=4,MIN(AN128:AQ128)&gt;0,IF(AND(ISNUMBER(器件参数!R128),ISNUMBER(器件参数!S128)),AND(MIN(AN127:AQ127)&gt;=器件参数!R128,MAX(AN127:AQ127)&lt;=器件参数!S128),TRUE),IF(AND(器件参数!E128="mixer",器件参数!U128="difference"),OR(器件参数!T128&lt;MIN(AN127:AQ127),器件参数!T128&gt;MAX(AN127:AQ127)),TRUE))))</f>
        <v>1</v>
      </c>
    </row>
    <row r="129" hidden="1" spans="1:44">
      <c r="A129" s="5">
        <f>器件参数!A129</f>
        <v>126</v>
      </c>
      <c r="B129" s="5" t="str">
        <f>器件参数!D129</f>
        <v/>
      </c>
      <c r="C129" s="5">
        <f>IF(NOT(器件参数!B129),0,IF(AND(ISNUMBER(器件参数!F129),ABS(器件参数!F129)&lt;=300),器件参数!F129,""))</f>
        <v>0</v>
      </c>
      <c r="D129" s="5">
        <f t="shared" si="19"/>
        <v>20</v>
      </c>
      <c r="E129" s="5">
        <f t="shared" si="20"/>
        <v>20</v>
      </c>
      <c r="F129" s="5">
        <f t="shared" si="21"/>
        <v>100</v>
      </c>
      <c r="G129" s="5">
        <f>IFERROR(IF(NOT(器件参数!B129),1,IF(NOT(OR(器件参数!E129&lt;&gt;"mixer",AND(OR(器件参数!V129="SSB",器件参数!V129="DSB"),器件参数!W129=TRUE))),"",IF(器件参数!G129="ideal",1,IF(AND(器件参数!G129="manual",ISNUMBER(器件参数!H129),器件参数!H129&gt;=0),10^(器件参数!H129/10),IF(AND(器件参数!G129="passive_thermal",OR(器件参数!E129="filter_bpf",器件参数!E129="filter_lpf",器件参数!E129="filter_hpf",器件参数!E129="filter_bsf",器件参数!E129="attenuator",器件参数!E129="cable",器件参数!E129="connector",器件参数!E129="switch",器件参数!E129="isolator",器件参数!E129="coupler",器件参数!E129="splitter"),AND(ISNUMBER(器件参数!F129),ABS(器件参数!F129)&lt;=300),器件参数!F129&lt;=0,ISNUMBER(器件参数!I129),器件参数!I129&gt;0),1+(10^(-器件参数!F129/10)-1)*器件参数!I129/Tref_K,""))))),"数值域错误")</f>
        <v>1</v>
      </c>
      <c r="H129" s="5">
        <f t="shared" si="22"/>
        <v>2.29336948552238</v>
      </c>
      <c r="I129" s="5">
        <f t="shared" si="23"/>
        <v>3.604740296957</v>
      </c>
      <c r="J129" s="5">
        <f>IF(AND(ISNUMBER(Pin_dBm),ISNUMBER(D129)),Pin_dBm+D129,"")</f>
        <v>-10</v>
      </c>
      <c r="K129" s="5">
        <f>IF(AND(ISNUMBER(Pin_dBm),ISNUMBER(E129)),Pin_dBm+E129,"")</f>
        <v>-10</v>
      </c>
      <c r="L129" s="5" t="str">
        <f>IF(AND(器件参数!J129="finite",ISNUMBER(器件参数!L129),ISNUMBER(C129)),IF(器件参数!K129="input",器件参数!L129,IF(器件参数!K129="output",器件参数!L129-C129,"")),"")</f>
        <v/>
      </c>
      <c r="M129" s="5">
        <f>IFERROR(IF(NOT(ISNUMBER(M128)),"",IF(OR(NOT(器件参数!B129),器件参数!J129="ideal"),M128,IF(AND(ISNUMBER(L129),ISNUMBER(F129)),M128+F129/10^(L129/10),""))),"数值域错误")</f>
        <v>0.2</v>
      </c>
      <c r="N129" s="5">
        <f t="shared" si="24"/>
        <v>6.98970004336019</v>
      </c>
      <c r="O129" s="5">
        <f t="shared" si="25"/>
        <v>26.9897000433602</v>
      </c>
      <c r="P129" s="5" t="str">
        <f>IF(AND(器件参数!M129="finite",ISNUMBER(器件参数!O129),ISNUMBER(C129)),IF(器件参数!N129="input",器件参数!O129,IF(器件参数!N129="actual_output",器件参数!O129-C129+1,IF(器件参数!N129="linear_output",器件参数!O129-C129,""))),"")</f>
        <v/>
      </c>
      <c r="Q129" s="5">
        <f>IF(器件参数!P129="",IF(AND(ISNUMBER(DefaultP),DefaultP&gt;=1,DefaultP&lt;=10),DefaultP,""),IF(AND(ISNUMBER(器件参数!P129),器件参数!P129&gt;=1,器件参数!P129&lt;=10),器件参数!P129,""))</f>
        <v>2</v>
      </c>
      <c r="R129" s="5">
        <f t="shared" si="26"/>
        <v>-10.0000139708288</v>
      </c>
      <c r="S129" s="5" t="str">
        <f t="shared" si="27"/>
        <v/>
      </c>
      <c r="T129" s="5">
        <f t="shared" si="28"/>
        <v>0</v>
      </c>
      <c r="U129" s="5">
        <f t="shared" si="29"/>
        <v>-10.0000139708288</v>
      </c>
      <c r="V129" s="5">
        <f>IF(AND(ISNUMBER(Pin_dBm),ISNUMBER(E129),ISNUMBER(U129)),Pin_dBm+E129-U129,"")</f>
        <v>1.39708287854035e-5</v>
      </c>
      <c r="W129" s="5" t="str">
        <f>IF(AND(器件参数!B129,X129=1,ISNUMBER(D129)),P129-D129,"")</f>
        <v/>
      </c>
      <c r="X129" s="5">
        <f>IF(NOT(ISNUMBER(C129)),-1,IF(OR(NOT(器件参数!B129),器件参数!M129="ideal"),0,IF(AND(ISNUMBER(P129),ISNUMBER(Q129)),1,-1)))</f>
        <v>0</v>
      </c>
      <c r="Y129" s="5" t="str">
        <f t="shared" si="30"/>
        <v>有效</v>
      </c>
      <c r="Z129" s="5" t="str">
        <f t="shared" si="31"/>
        <v>有效</v>
      </c>
      <c r="AA129" s="5" t="str">
        <f t="shared" si="32"/>
        <v>模型估算</v>
      </c>
      <c r="AB129" s="5">
        <f t="shared" si="33"/>
        <v>100000000</v>
      </c>
      <c r="AC129" s="5">
        <f>IF(NOT(ISNUMBER(AB129)),"",IF(OR(NOT(器件参数!B129),器件参数!E129&lt;&gt;"mixer"),AB129,IF(AND(ISNUMBER(器件参数!T129),器件参数!T129&gt;0),IF(器件参数!U129="sum",AB129+器件参数!T129,IF(器件参数!U129="difference",ABS(AB129-器件参数!T129),"")),"")))</f>
        <v>100000000</v>
      </c>
      <c r="AD129" s="5">
        <f t="shared" si="34"/>
        <v>0</v>
      </c>
      <c r="AE129" s="5">
        <f>IF(AND(ISNUMBER(G129),ISNUMBER(F129)),Tref_K*(G129-1)/F129,"")</f>
        <v>0</v>
      </c>
      <c r="AF129" s="5">
        <f>IF(AND(ISNUMBER(H129),ISNUMBER(E129),NoiseConfigOK),10*LOG10(Boltzmann*Bnoise_Hz*(Tsource_K+Tref_K*(H129-1)))+30+E129,"")</f>
        <v>-90.3704468972711</v>
      </c>
      <c r="AG129" s="5">
        <f t="shared" si="35"/>
        <v>80.3704468972711</v>
      </c>
      <c r="AH129" s="5">
        <f>IF(AND(ToneEnabled,ISNUMBER(E129),ISNUMBER(TonePin)),TonePin+E129,"")</f>
        <v>-10</v>
      </c>
      <c r="AI129" s="5">
        <f>IF(AND(ToneEnabled,ISNUMBER(E129),ISNUMBER(N129),ISNUMBER(TonePin)),3*TonePin+E129-2*N129,"")</f>
        <v>-83.9794000867204</v>
      </c>
      <c r="AJ129" s="5" t="str">
        <f t="shared" si="36"/>
        <v/>
      </c>
      <c r="AK129" s="5" t="str">
        <f>IF(NOT(器件参数!B129),"旁路",IF(NOT(ISNUMBER(AC129)),"频率未知",IF(AC129&lt;=SignalBW/2,"跨零频",IF(AND(ISNUMBER(器件参数!R129),ISNUMBER(器件参数!S129)),IF(AND(AB129-SignalBW/2&gt;=器件参数!R129,AB129+SignalBW/2&lt;=器件参数!S129),"有效","超声明通带"),"未声明通带"))))</f>
        <v>旁路</v>
      </c>
      <c r="AL129" s="5">
        <f t="shared" si="37"/>
        <v>0</v>
      </c>
      <c r="AM129" s="5" t="str">
        <f>IF(AND(器件参数!B129,ISNUMBER(器件参数!X129),OR(AND(ISNUMBER(J129),J129&gt;器件参数!X129),IF(AND(ToneEnabled,ISNUMBER(TonePin),ISNUMBER(D129)),TonePin+10*LOG10(2)+D129&gt;器件参数!X129,FALSE))),"超过绝对最大输入额定值","")</f>
        <v/>
      </c>
      <c r="AN129" s="5">
        <f>IF(NOT(ISNUMBER(AN128)),"",IF(OR(NOT(器件参数!B129),器件参数!E129&lt;&gt;"mixer"),AN128,IF(AND(ISNUMBER(器件参数!T129),器件参数!T129&gt;0),IF(器件参数!U129="sum",AN128+器件参数!T129,ABS(AN128-器件参数!T129)),"")))</f>
        <v>99950000</v>
      </c>
      <c r="AO129" s="5">
        <f>IF(NOT(ISNUMBER(AO128)),"",IF(OR(NOT(器件参数!B129),器件参数!E129&lt;&gt;"mixer"),AO128,IF(AND(ISNUMBER(器件参数!T129),器件参数!T129&gt;0),IF(器件参数!U129="sum",AO128+器件参数!T129,ABS(AO128-器件参数!T129)),"")))</f>
        <v>100050000</v>
      </c>
      <c r="AP129" s="5">
        <f>IF(NOT(ISNUMBER(AP128)),"",IF(OR(NOT(器件参数!B129),器件参数!E129&lt;&gt;"mixer"),AP128,IF(AND(ISNUMBER(器件参数!T129),器件参数!T129&gt;0),IF(器件参数!U129="sum",AP128+器件参数!T129,ABS(AP128-器件参数!T129)),"")))</f>
        <v>99850000</v>
      </c>
      <c r="AQ129" s="5">
        <f>IF(NOT(ISNUMBER(AQ128)),"",IF(OR(NOT(器件参数!B129),器件参数!E129&lt;&gt;"mixer"),AQ128,IF(AND(ISNUMBER(器件参数!T129),器件参数!T129&gt;0),IF(器件参数!U129="sum",AQ128+器件参数!T129,ABS(AQ128-器件参数!T129)),"")))</f>
        <v>100150000</v>
      </c>
      <c r="AR129" s="5" t="b">
        <f>IF(NOT(AR128),FALSE,IF(NOT(器件参数!B129),TRUE,AND(COUNT(AN129:AQ129)=4,MIN(AN129:AQ129)&gt;0,IF(AND(ISNUMBER(器件参数!R129),ISNUMBER(器件参数!S129)),AND(MIN(AN128:AQ128)&gt;=器件参数!R129,MAX(AN128:AQ128)&lt;=器件参数!S129),TRUE),IF(AND(器件参数!E129="mixer",器件参数!U129="difference"),OR(器件参数!T129&lt;MIN(AN128:AQ128),器件参数!T129&gt;MAX(AN128:AQ128)),TRUE))))</f>
        <v>1</v>
      </c>
    </row>
    <row r="130" hidden="1" spans="1:44">
      <c r="A130" s="5">
        <f>器件参数!A130</f>
        <v>127</v>
      </c>
      <c r="B130" s="5" t="str">
        <f>器件参数!D130</f>
        <v/>
      </c>
      <c r="C130" s="5">
        <f>IF(NOT(器件参数!B130),0,IF(AND(ISNUMBER(器件参数!F130),ABS(器件参数!F130)&lt;=300),器件参数!F130,""))</f>
        <v>0</v>
      </c>
      <c r="D130" s="5">
        <f t="shared" si="19"/>
        <v>20</v>
      </c>
      <c r="E130" s="5">
        <f t="shared" si="20"/>
        <v>20</v>
      </c>
      <c r="F130" s="5">
        <f t="shared" si="21"/>
        <v>100</v>
      </c>
      <c r="G130" s="5">
        <f>IFERROR(IF(NOT(器件参数!B130),1,IF(NOT(OR(器件参数!E130&lt;&gt;"mixer",AND(OR(器件参数!V130="SSB",器件参数!V130="DSB"),器件参数!W130=TRUE))),"",IF(器件参数!G130="ideal",1,IF(AND(器件参数!G130="manual",ISNUMBER(器件参数!H130),器件参数!H130&gt;=0),10^(器件参数!H130/10),IF(AND(器件参数!G130="passive_thermal",OR(器件参数!E130="filter_bpf",器件参数!E130="filter_lpf",器件参数!E130="filter_hpf",器件参数!E130="filter_bsf",器件参数!E130="attenuator",器件参数!E130="cable",器件参数!E130="connector",器件参数!E130="switch",器件参数!E130="isolator",器件参数!E130="coupler",器件参数!E130="splitter"),AND(ISNUMBER(器件参数!F130),ABS(器件参数!F130)&lt;=300),器件参数!F130&lt;=0,ISNUMBER(器件参数!I130),器件参数!I130&gt;0),1+(10^(-器件参数!F130/10)-1)*器件参数!I130/Tref_K,""))))),"数值域错误")</f>
        <v>1</v>
      </c>
      <c r="H130" s="5">
        <f t="shared" si="22"/>
        <v>2.29336948552238</v>
      </c>
      <c r="I130" s="5">
        <f t="shared" si="23"/>
        <v>3.604740296957</v>
      </c>
      <c r="J130" s="5">
        <f>IF(AND(ISNUMBER(Pin_dBm),ISNUMBER(D130)),Pin_dBm+D130,"")</f>
        <v>-10</v>
      </c>
      <c r="K130" s="5">
        <f>IF(AND(ISNUMBER(Pin_dBm),ISNUMBER(E130)),Pin_dBm+E130,"")</f>
        <v>-10</v>
      </c>
      <c r="L130" s="5" t="str">
        <f>IF(AND(器件参数!J130="finite",ISNUMBER(器件参数!L130),ISNUMBER(C130)),IF(器件参数!K130="input",器件参数!L130,IF(器件参数!K130="output",器件参数!L130-C130,"")),"")</f>
        <v/>
      </c>
      <c r="M130" s="5">
        <f>IFERROR(IF(NOT(ISNUMBER(M129)),"",IF(OR(NOT(器件参数!B130),器件参数!J130="ideal"),M129,IF(AND(ISNUMBER(L130),ISNUMBER(F130)),M129+F130/10^(L130/10),""))),"数值域错误")</f>
        <v>0.2</v>
      </c>
      <c r="N130" s="5">
        <f t="shared" si="24"/>
        <v>6.98970004336019</v>
      </c>
      <c r="O130" s="5">
        <f t="shared" si="25"/>
        <v>26.9897000433602</v>
      </c>
      <c r="P130" s="5" t="str">
        <f>IF(AND(器件参数!M130="finite",ISNUMBER(器件参数!O130),ISNUMBER(C130)),IF(器件参数!N130="input",器件参数!O130,IF(器件参数!N130="actual_output",器件参数!O130-C130+1,IF(器件参数!N130="linear_output",器件参数!O130-C130,""))),"")</f>
        <v/>
      </c>
      <c r="Q130" s="5">
        <f>IF(器件参数!P130="",IF(AND(ISNUMBER(DefaultP),DefaultP&gt;=1,DefaultP&lt;=10),DefaultP,""),IF(AND(ISNUMBER(器件参数!P130),器件参数!P130&gt;=1,器件参数!P130&lt;=10),器件参数!P130,""))</f>
        <v>2</v>
      </c>
      <c r="R130" s="5">
        <f t="shared" si="26"/>
        <v>-10.0000139708288</v>
      </c>
      <c r="S130" s="5" t="str">
        <f t="shared" si="27"/>
        <v/>
      </c>
      <c r="T130" s="5">
        <f t="shared" si="28"/>
        <v>0</v>
      </c>
      <c r="U130" s="5">
        <f t="shared" si="29"/>
        <v>-10.0000139708288</v>
      </c>
      <c r="V130" s="5">
        <f>IF(AND(ISNUMBER(Pin_dBm),ISNUMBER(E130),ISNUMBER(U130)),Pin_dBm+E130-U130,"")</f>
        <v>1.39708287854035e-5</v>
      </c>
      <c r="W130" s="5" t="str">
        <f>IF(AND(器件参数!B130,X130=1,ISNUMBER(D130)),P130-D130,"")</f>
        <v/>
      </c>
      <c r="X130" s="5">
        <f>IF(NOT(ISNUMBER(C130)),-1,IF(OR(NOT(器件参数!B130),器件参数!M130="ideal"),0,IF(AND(ISNUMBER(P130),ISNUMBER(Q130)),1,-1)))</f>
        <v>0</v>
      </c>
      <c r="Y130" s="5" t="str">
        <f t="shared" si="30"/>
        <v>有效</v>
      </c>
      <c r="Z130" s="5" t="str">
        <f t="shared" si="31"/>
        <v>有效</v>
      </c>
      <c r="AA130" s="5" t="str">
        <f t="shared" si="32"/>
        <v>模型估算</v>
      </c>
      <c r="AB130" s="5">
        <f t="shared" si="33"/>
        <v>100000000</v>
      </c>
      <c r="AC130" s="5">
        <f>IF(NOT(ISNUMBER(AB130)),"",IF(OR(NOT(器件参数!B130),器件参数!E130&lt;&gt;"mixer"),AB130,IF(AND(ISNUMBER(器件参数!T130),器件参数!T130&gt;0),IF(器件参数!U130="sum",AB130+器件参数!T130,IF(器件参数!U130="difference",ABS(AB130-器件参数!T130),"")),"")))</f>
        <v>100000000</v>
      </c>
      <c r="AD130" s="5">
        <f t="shared" si="34"/>
        <v>0</v>
      </c>
      <c r="AE130" s="5">
        <f>IF(AND(ISNUMBER(G130),ISNUMBER(F130)),Tref_K*(G130-1)/F130,"")</f>
        <v>0</v>
      </c>
      <c r="AF130" s="5">
        <f>IF(AND(ISNUMBER(H130),ISNUMBER(E130),NoiseConfigOK),10*LOG10(Boltzmann*Bnoise_Hz*(Tsource_K+Tref_K*(H130-1)))+30+E130,"")</f>
        <v>-90.3704468972711</v>
      </c>
      <c r="AG130" s="5">
        <f t="shared" si="35"/>
        <v>80.3704468972711</v>
      </c>
      <c r="AH130" s="5">
        <f>IF(AND(ToneEnabled,ISNUMBER(E130),ISNUMBER(TonePin)),TonePin+E130,"")</f>
        <v>-10</v>
      </c>
      <c r="AI130" s="5">
        <f>IF(AND(ToneEnabled,ISNUMBER(E130),ISNUMBER(N130),ISNUMBER(TonePin)),3*TonePin+E130-2*N130,"")</f>
        <v>-83.9794000867204</v>
      </c>
      <c r="AJ130" s="5" t="str">
        <f t="shared" si="36"/>
        <v/>
      </c>
      <c r="AK130" s="5" t="str">
        <f>IF(NOT(器件参数!B130),"旁路",IF(NOT(ISNUMBER(AC130)),"频率未知",IF(AC130&lt;=SignalBW/2,"跨零频",IF(AND(ISNUMBER(器件参数!R130),ISNUMBER(器件参数!S130)),IF(AND(AB130-SignalBW/2&gt;=器件参数!R130,AB130+SignalBW/2&lt;=器件参数!S130),"有效","超声明通带"),"未声明通带"))))</f>
        <v>旁路</v>
      </c>
      <c r="AL130" s="5">
        <f t="shared" si="37"/>
        <v>0</v>
      </c>
      <c r="AM130" s="5" t="str">
        <f>IF(AND(器件参数!B130,ISNUMBER(器件参数!X130),OR(AND(ISNUMBER(J130),J130&gt;器件参数!X130),IF(AND(ToneEnabled,ISNUMBER(TonePin),ISNUMBER(D130)),TonePin+10*LOG10(2)+D130&gt;器件参数!X130,FALSE))),"超过绝对最大输入额定值","")</f>
        <v/>
      </c>
      <c r="AN130" s="5">
        <f>IF(NOT(ISNUMBER(AN129)),"",IF(OR(NOT(器件参数!B130),器件参数!E130&lt;&gt;"mixer"),AN129,IF(AND(ISNUMBER(器件参数!T130),器件参数!T130&gt;0),IF(器件参数!U130="sum",AN129+器件参数!T130,ABS(AN129-器件参数!T130)),"")))</f>
        <v>99950000</v>
      </c>
      <c r="AO130" s="5">
        <f>IF(NOT(ISNUMBER(AO129)),"",IF(OR(NOT(器件参数!B130),器件参数!E130&lt;&gt;"mixer"),AO129,IF(AND(ISNUMBER(器件参数!T130),器件参数!T130&gt;0),IF(器件参数!U130="sum",AO129+器件参数!T130,ABS(AO129-器件参数!T130)),"")))</f>
        <v>100050000</v>
      </c>
      <c r="AP130" s="5">
        <f>IF(NOT(ISNUMBER(AP129)),"",IF(OR(NOT(器件参数!B130),器件参数!E130&lt;&gt;"mixer"),AP129,IF(AND(ISNUMBER(器件参数!T130),器件参数!T130&gt;0),IF(器件参数!U130="sum",AP129+器件参数!T130,ABS(AP129-器件参数!T130)),"")))</f>
        <v>99850000</v>
      </c>
      <c r="AQ130" s="5">
        <f>IF(NOT(ISNUMBER(AQ129)),"",IF(OR(NOT(器件参数!B130),器件参数!E130&lt;&gt;"mixer"),AQ129,IF(AND(ISNUMBER(器件参数!T130),器件参数!T130&gt;0),IF(器件参数!U130="sum",AQ129+器件参数!T130,ABS(AQ129-器件参数!T130)),"")))</f>
        <v>100150000</v>
      </c>
      <c r="AR130" s="5" t="b">
        <f>IF(NOT(AR129),FALSE,IF(NOT(器件参数!B130),TRUE,AND(COUNT(AN130:AQ130)=4,MIN(AN130:AQ130)&gt;0,IF(AND(ISNUMBER(器件参数!R130),ISNUMBER(器件参数!S130)),AND(MIN(AN129:AQ129)&gt;=器件参数!R130,MAX(AN129:AQ129)&lt;=器件参数!S130),TRUE),IF(AND(器件参数!E130="mixer",器件参数!U130="difference"),OR(器件参数!T130&lt;MIN(AN129:AQ129),器件参数!T130&gt;MAX(AN129:AQ129)),TRUE))))</f>
        <v>1</v>
      </c>
    </row>
    <row r="131" hidden="1" spans="1:44">
      <c r="A131" s="5">
        <f>器件参数!A131</f>
        <v>128</v>
      </c>
      <c r="B131" s="5" t="str">
        <f>器件参数!D131</f>
        <v/>
      </c>
      <c r="C131" s="5">
        <f>IF(NOT(器件参数!B131),0,IF(AND(ISNUMBER(器件参数!F131),ABS(器件参数!F131)&lt;=300),器件参数!F131,""))</f>
        <v>0</v>
      </c>
      <c r="D131" s="5">
        <f t="shared" si="19"/>
        <v>20</v>
      </c>
      <c r="E131" s="5">
        <f t="shared" si="20"/>
        <v>20</v>
      </c>
      <c r="F131" s="5">
        <f t="shared" si="21"/>
        <v>100</v>
      </c>
      <c r="G131" s="5">
        <f>IFERROR(IF(NOT(器件参数!B131),1,IF(NOT(OR(器件参数!E131&lt;&gt;"mixer",AND(OR(器件参数!V131="SSB",器件参数!V131="DSB"),器件参数!W131=TRUE))),"",IF(器件参数!G131="ideal",1,IF(AND(器件参数!G131="manual",ISNUMBER(器件参数!H131),器件参数!H131&gt;=0),10^(器件参数!H131/10),IF(AND(器件参数!G131="passive_thermal",OR(器件参数!E131="filter_bpf",器件参数!E131="filter_lpf",器件参数!E131="filter_hpf",器件参数!E131="filter_bsf",器件参数!E131="attenuator",器件参数!E131="cable",器件参数!E131="connector",器件参数!E131="switch",器件参数!E131="isolator",器件参数!E131="coupler",器件参数!E131="splitter"),AND(ISNUMBER(器件参数!F131),ABS(器件参数!F131)&lt;=300),器件参数!F131&lt;=0,ISNUMBER(器件参数!I131),器件参数!I131&gt;0),1+(10^(-器件参数!F131/10)-1)*器件参数!I131/Tref_K,""))))),"数值域错误")</f>
        <v>1</v>
      </c>
      <c r="H131" s="5">
        <f t="shared" si="22"/>
        <v>2.29336948552238</v>
      </c>
      <c r="I131" s="5">
        <f t="shared" si="23"/>
        <v>3.604740296957</v>
      </c>
      <c r="J131" s="5">
        <f>IF(AND(ISNUMBER(Pin_dBm),ISNUMBER(D131)),Pin_dBm+D131,"")</f>
        <v>-10</v>
      </c>
      <c r="K131" s="5">
        <f>IF(AND(ISNUMBER(Pin_dBm),ISNUMBER(E131)),Pin_dBm+E131,"")</f>
        <v>-10</v>
      </c>
      <c r="L131" s="5" t="str">
        <f>IF(AND(器件参数!J131="finite",ISNUMBER(器件参数!L131),ISNUMBER(C131)),IF(器件参数!K131="input",器件参数!L131,IF(器件参数!K131="output",器件参数!L131-C131,"")),"")</f>
        <v/>
      </c>
      <c r="M131" s="5">
        <f>IFERROR(IF(NOT(ISNUMBER(M130)),"",IF(OR(NOT(器件参数!B131),器件参数!J131="ideal"),M130,IF(AND(ISNUMBER(L131),ISNUMBER(F131)),M130+F131/10^(L131/10),""))),"数值域错误")</f>
        <v>0.2</v>
      </c>
      <c r="N131" s="5">
        <f t="shared" si="24"/>
        <v>6.98970004336019</v>
      </c>
      <c r="O131" s="5">
        <f t="shared" si="25"/>
        <v>26.9897000433602</v>
      </c>
      <c r="P131" s="5" t="str">
        <f>IF(AND(器件参数!M131="finite",ISNUMBER(器件参数!O131),ISNUMBER(C131)),IF(器件参数!N131="input",器件参数!O131,IF(器件参数!N131="actual_output",器件参数!O131-C131+1,IF(器件参数!N131="linear_output",器件参数!O131-C131,""))),"")</f>
        <v/>
      </c>
      <c r="Q131" s="5">
        <f>IF(器件参数!P131="",IF(AND(ISNUMBER(DefaultP),DefaultP&gt;=1,DefaultP&lt;=10),DefaultP,""),IF(AND(ISNUMBER(器件参数!P131),器件参数!P131&gt;=1,器件参数!P131&lt;=10),器件参数!P131,""))</f>
        <v>2</v>
      </c>
      <c r="R131" s="5">
        <f t="shared" si="26"/>
        <v>-10.0000139708288</v>
      </c>
      <c r="S131" s="5" t="str">
        <f t="shared" si="27"/>
        <v/>
      </c>
      <c r="T131" s="5">
        <f t="shared" si="28"/>
        <v>0</v>
      </c>
      <c r="U131" s="5">
        <f t="shared" si="29"/>
        <v>-10.0000139708288</v>
      </c>
      <c r="V131" s="5">
        <f>IF(AND(ISNUMBER(Pin_dBm),ISNUMBER(E131),ISNUMBER(U131)),Pin_dBm+E131-U131,"")</f>
        <v>1.39708287854035e-5</v>
      </c>
      <c r="W131" s="5" t="str">
        <f>IF(AND(器件参数!B131,X131=1,ISNUMBER(D131)),P131-D131,"")</f>
        <v/>
      </c>
      <c r="X131" s="5">
        <f>IF(NOT(ISNUMBER(C131)),-1,IF(OR(NOT(器件参数!B131),器件参数!M131="ideal"),0,IF(AND(ISNUMBER(P131),ISNUMBER(Q131)),1,-1)))</f>
        <v>0</v>
      </c>
      <c r="Y131" s="5" t="str">
        <f t="shared" si="30"/>
        <v>有效</v>
      </c>
      <c r="Z131" s="5" t="str">
        <f t="shared" si="31"/>
        <v>有效</v>
      </c>
      <c r="AA131" s="5" t="str">
        <f t="shared" si="32"/>
        <v>模型估算</v>
      </c>
      <c r="AB131" s="5">
        <f t="shared" si="33"/>
        <v>100000000</v>
      </c>
      <c r="AC131" s="5">
        <f>IF(NOT(ISNUMBER(AB131)),"",IF(OR(NOT(器件参数!B131),器件参数!E131&lt;&gt;"mixer"),AB131,IF(AND(ISNUMBER(器件参数!T131),器件参数!T131&gt;0),IF(器件参数!U131="sum",AB131+器件参数!T131,IF(器件参数!U131="difference",ABS(AB131-器件参数!T131),"")),"")))</f>
        <v>100000000</v>
      </c>
      <c r="AD131" s="5">
        <f t="shared" si="34"/>
        <v>0</v>
      </c>
      <c r="AE131" s="5">
        <f>IF(AND(ISNUMBER(G131),ISNUMBER(F131)),Tref_K*(G131-1)/F131,"")</f>
        <v>0</v>
      </c>
      <c r="AF131" s="5">
        <f>IF(AND(ISNUMBER(H131),ISNUMBER(E131),NoiseConfigOK),10*LOG10(Boltzmann*Bnoise_Hz*(Tsource_K+Tref_K*(H131-1)))+30+E131,"")</f>
        <v>-90.3704468972711</v>
      </c>
      <c r="AG131" s="5">
        <f t="shared" si="35"/>
        <v>80.3704468972711</v>
      </c>
      <c r="AH131" s="5">
        <f>IF(AND(ToneEnabled,ISNUMBER(E131),ISNUMBER(TonePin)),TonePin+E131,"")</f>
        <v>-10</v>
      </c>
      <c r="AI131" s="5">
        <f>IF(AND(ToneEnabled,ISNUMBER(E131),ISNUMBER(N131),ISNUMBER(TonePin)),3*TonePin+E131-2*N131,"")</f>
        <v>-83.9794000867204</v>
      </c>
      <c r="AJ131" s="5" t="str">
        <f t="shared" si="36"/>
        <v/>
      </c>
      <c r="AK131" s="5" t="str">
        <f>IF(NOT(器件参数!B131),"旁路",IF(NOT(ISNUMBER(AC131)),"频率未知",IF(AC131&lt;=SignalBW/2,"跨零频",IF(AND(ISNUMBER(器件参数!R131),ISNUMBER(器件参数!S131)),IF(AND(AB131-SignalBW/2&gt;=器件参数!R131,AB131+SignalBW/2&lt;=器件参数!S131),"有效","超声明通带"),"未声明通带"))))</f>
        <v>旁路</v>
      </c>
      <c r="AL131" s="5">
        <f t="shared" si="37"/>
        <v>0</v>
      </c>
      <c r="AM131" s="5" t="str">
        <f>IF(AND(器件参数!B131,ISNUMBER(器件参数!X131),OR(AND(ISNUMBER(J131),J131&gt;器件参数!X131),IF(AND(ToneEnabled,ISNUMBER(TonePin),ISNUMBER(D131)),TonePin+10*LOG10(2)+D131&gt;器件参数!X131,FALSE))),"超过绝对最大输入额定值","")</f>
        <v/>
      </c>
      <c r="AN131" s="5">
        <f>IF(NOT(ISNUMBER(AN130)),"",IF(OR(NOT(器件参数!B131),器件参数!E131&lt;&gt;"mixer"),AN130,IF(AND(ISNUMBER(器件参数!T131),器件参数!T131&gt;0),IF(器件参数!U131="sum",AN130+器件参数!T131,ABS(AN130-器件参数!T131)),"")))</f>
        <v>99950000</v>
      </c>
      <c r="AO131" s="5">
        <f>IF(NOT(ISNUMBER(AO130)),"",IF(OR(NOT(器件参数!B131),器件参数!E131&lt;&gt;"mixer"),AO130,IF(AND(ISNUMBER(器件参数!T131),器件参数!T131&gt;0),IF(器件参数!U131="sum",AO130+器件参数!T131,ABS(AO130-器件参数!T131)),"")))</f>
        <v>100050000</v>
      </c>
      <c r="AP131" s="5">
        <f>IF(NOT(ISNUMBER(AP130)),"",IF(OR(NOT(器件参数!B131),器件参数!E131&lt;&gt;"mixer"),AP130,IF(AND(ISNUMBER(器件参数!T131),器件参数!T131&gt;0),IF(器件参数!U131="sum",AP130+器件参数!T131,ABS(AP130-器件参数!T131)),"")))</f>
        <v>99850000</v>
      </c>
      <c r="AQ131" s="5">
        <f>IF(NOT(ISNUMBER(AQ130)),"",IF(OR(NOT(器件参数!B131),器件参数!E131&lt;&gt;"mixer"),AQ130,IF(AND(ISNUMBER(器件参数!T131),器件参数!T131&gt;0),IF(器件参数!U131="sum",AQ130+器件参数!T131,ABS(AQ130-器件参数!T131)),"")))</f>
        <v>100150000</v>
      </c>
      <c r="AR131" s="5" t="b">
        <f>IF(NOT(AR130),FALSE,IF(NOT(器件参数!B131),TRUE,AND(COUNT(AN131:AQ131)=4,MIN(AN131:AQ131)&gt;0,IF(AND(ISNUMBER(器件参数!R131),ISNUMBER(器件参数!S131)),AND(MIN(AN130:AQ130)&gt;=器件参数!R131,MAX(AN130:AQ130)&lt;=器件参数!S131),TRUE),IF(AND(器件参数!E131="mixer",器件参数!U131="difference"),OR(器件参数!T131&lt;MIN(AN130:AQ130),器件参数!T131&gt;MAX(AN130:AQ130)),TRUE))))</f>
        <v>1</v>
      </c>
    </row>
    <row r="132" hidden="1" spans="1:44">
      <c r="A132" s="5">
        <f>器件参数!A132</f>
        <v>129</v>
      </c>
      <c r="B132" s="5" t="str">
        <f>器件参数!D132</f>
        <v/>
      </c>
      <c r="C132" s="5">
        <f>IF(NOT(器件参数!B132),0,IF(AND(ISNUMBER(器件参数!F132),ABS(器件参数!F132)&lt;=300),器件参数!F132,""))</f>
        <v>0</v>
      </c>
      <c r="D132" s="5">
        <f t="shared" ref="D132:D195" si="38">IF(ISNUMBER(E131),E131,"")</f>
        <v>20</v>
      </c>
      <c r="E132" s="5">
        <f t="shared" ref="E132:E195" si="39">IF(AND(ISNUMBER(C132),ISNUMBER(D132)),C132+D132,"")</f>
        <v>20</v>
      </c>
      <c r="F132" s="5">
        <f t="shared" ref="F132:F195" si="40">IFERROR(IF(AND(ISNUMBER(D132)),10^(D132/10),""),"数值域错误")</f>
        <v>100</v>
      </c>
      <c r="G132" s="5">
        <f>IFERROR(IF(NOT(器件参数!B132),1,IF(NOT(OR(器件参数!E132&lt;&gt;"mixer",AND(OR(器件参数!V132="SSB",器件参数!V132="DSB"),器件参数!W132=TRUE))),"",IF(器件参数!G132="ideal",1,IF(AND(器件参数!G132="manual",ISNUMBER(器件参数!H132),器件参数!H132&gt;=0),10^(器件参数!H132/10),IF(AND(器件参数!G132="passive_thermal",OR(器件参数!E132="filter_bpf",器件参数!E132="filter_lpf",器件参数!E132="filter_hpf",器件参数!E132="filter_bsf",器件参数!E132="attenuator",器件参数!E132="cable",器件参数!E132="connector",器件参数!E132="switch",器件参数!E132="isolator",器件参数!E132="coupler",器件参数!E132="splitter"),AND(ISNUMBER(器件参数!F132),ABS(器件参数!F132)&lt;=300),器件参数!F132&lt;=0,ISNUMBER(器件参数!I132),器件参数!I132&gt;0),1+(10^(-器件参数!F132/10)-1)*器件参数!I132/Tref_K,""))))),"数值域错误")</f>
        <v>1</v>
      </c>
      <c r="H132" s="5">
        <f t="shared" ref="H132:H195" si="41">IFERROR(IF(AND(ISNUMBER(H131),ISNUMBER(G132),ISNUMBER(F132)),H131+(G132-1)/F132,""),"数值域错误")</f>
        <v>2.29336948552238</v>
      </c>
      <c r="I132" s="5">
        <f t="shared" ref="I132:I195" si="42">IF(AND(ISNUMBER(H132)),10*LOG10(H132),"")</f>
        <v>3.604740296957</v>
      </c>
      <c r="J132" s="5">
        <f>IF(AND(ISNUMBER(Pin_dBm),ISNUMBER(D132)),Pin_dBm+D132,"")</f>
        <v>-10</v>
      </c>
      <c r="K132" s="5">
        <f>IF(AND(ISNUMBER(Pin_dBm),ISNUMBER(E132)),Pin_dBm+E132,"")</f>
        <v>-10</v>
      </c>
      <c r="L132" s="5" t="str">
        <f>IF(AND(器件参数!J132="finite",ISNUMBER(器件参数!L132),ISNUMBER(C132)),IF(器件参数!K132="input",器件参数!L132,IF(器件参数!K132="output",器件参数!L132-C132,"")),"")</f>
        <v/>
      </c>
      <c r="M132" s="5">
        <f>IFERROR(IF(NOT(ISNUMBER(M131)),"",IF(OR(NOT(器件参数!B132),器件参数!J132="ideal"),M131,IF(AND(ISNUMBER(L132),ISNUMBER(F132)),M131+F132/10^(L132/10),""))),"数值域错误")</f>
        <v>0.2</v>
      </c>
      <c r="N132" s="5">
        <f t="shared" ref="N132:N195" si="43">IF(AND(ISNUMBER(M132),M132&gt;0),-10*LOG10(M132),"")</f>
        <v>6.98970004336019</v>
      </c>
      <c r="O132" s="5">
        <f t="shared" ref="O132:O195" si="44">IF(AND(ISNUMBER(N132),ISNUMBER(E132)),N132+E132,"")</f>
        <v>26.9897000433602</v>
      </c>
      <c r="P132" s="5" t="str">
        <f>IF(AND(器件参数!M132="finite",ISNUMBER(器件参数!O132),ISNUMBER(C132)),IF(器件参数!N132="input",器件参数!O132,IF(器件参数!N132="actual_output",器件参数!O132-C132+1,IF(器件参数!N132="linear_output",器件参数!O132-C132,""))),"")</f>
        <v/>
      </c>
      <c r="Q132" s="5">
        <f>IF(器件参数!P132="",IF(AND(ISNUMBER(DefaultP),DefaultP&gt;=1,DefaultP&lt;=10),DefaultP,""),IF(AND(ISNUMBER(器件参数!P132),器件参数!P132&gt;=1,器件参数!P132&lt;=10),器件参数!P132,""))</f>
        <v>2</v>
      </c>
      <c r="R132" s="5">
        <f t="shared" ref="R132:R195" si="45">IF(ISNUMBER(U131),U131,"")</f>
        <v>-10.0000139708288</v>
      </c>
      <c r="S132" s="5" t="str">
        <f t="shared" ref="S132:S195" si="46">IF(AND(ISNUMBER(Q132),ISNUMBER(R132),ISNUMBER(P132)),LN(10^(Q132/10)-1)+Q132*(R132-P132)*LN(10)/10,"")</f>
        <v/>
      </c>
      <c r="T132" s="5">
        <f t="shared" ref="T132:T195" si="47">IF(X132=0,0,IF(AND(X132=1,ISNUMBER(S132)),10/(Q132*LN(10))*(MAX(S132,0)+LN(1+EXP(-ABS(S132)))),""))</f>
        <v>0</v>
      </c>
      <c r="U132" s="5">
        <f t="shared" ref="U132:U195" si="48">IF(AND(ISNUMBER(R132),ISNUMBER(C132),ISNUMBER(T132)),R132+C132-T132,"")</f>
        <v>-10.0000139708288</v>
      </c>
      <c r="V132" s="5">
        <f>IF(AND(ISNUMBER(Pin_dBm),ISNUMBER(E132),ISNUMBER(U132)),Pin_dBm+E132-U132,"")</f>
        <v>1.39708287854035e-5</v>
      </c>
      <c r="W132" s="5" t="str">
        <f>IF(AND(器件参数!B132,X132=1,ISNUMBER(D132)),P132-D132,"")</f>
        <v/>
      </c>
      <c r="X132" s="5">
        <f>IF(NOT(ISNUMBER(C132)),-1,IF(OR(NOT(器件参数!B132),器件参数!M132="ideal"),0,IF(AND(ISNUMBER(P132),ISNUMBER(Q132)),1,-1)))</f>
        <v>0</v>
      </c>
      <c r="Y132" s="5" t="str">
        <f t="shared" ref="Y132:Y195" si="49">IF(ISNUMBER(H132),"有效","未知／噪声参数或口径不完整")</f>
        <v>有效</v>
      </c>
      <c r="Z132" s="5" t="str">
        <f t="shared" ref="Z132:Z195" si="50">IF(NOT(ISNUMBER(M132)),"未知／IP3参数不完整",IF(M132=0,"理想／无有限值","有效"))</f>
        <v>有效</v>
      </c>
      <c r="AA132" s="5" t="str">
        <f t="shared" ref="AA132:AA195" si="51">IF(ISNUMBER(U132),"模型估算","未知／增益或压缩参数不完整")</f>
        <v>模型估算</v>
      </c>
      <c r="AB132" s="5">
        <f t="shared" ref="AB132:AB195" si="52">IF(ISNUMBER(AC131),AC131,"")</f>
        <v>100000000</v>
      </c>
      <c r="AC132" s="5">
        <f>IF(NOT(ISNUMBER(AB132)),"",IF(OR(NOT(器件参数!B132),器件参数!E132&lt;&gt;"mixer"),AB132,IF(AND(ISNUMBER(器件参数!T132),器件参数!T132&gt;0),IF(器件参数!U132="sum",AB132+器件参数!T132,IF(器件参数!U132="difference",ABS(AB132-器件参数!T132),"")),"")))</f>
        <v>100000000</v>
      </c>
      <c r="AD132" s="5">
        <f t="shared" ref="AD132:AD195" si="53">IF(AND(ISNUMBER(G132)),10*LOG10(G132),"")</f>
        <v>0</v>
      </c>
      <c r="AE132" s="5">
        <f>IF(AND(ISNUMBER(G132),ISNUMBER(F132)),Tref_K*(G132-1)/F132,"")</f>
        <v>0</v>
      </c>
      <c r="AF132" s="5">
        <f>IF(AND(ISNUMBER(H132),ISNUMBER(E132),NoiseConfigOK),10*LOG10(Boltzmann*Bnoise_Hz*(Tsource_K+Tref_K*(H132-1)))+30+E132,"")</f>
        <v>-90.3704468972711</v>
      </c>
      <c r="AG132" s="5">
        <f t="shared" ref="AG132:AG195" si="54">IF(AND(ISNUMBER(K132),ISNUMBER(AF132)),K132-AF132,"")</f>
        <v>80.3704468972711</v>
      </c>
      <c r="AH132" s="5">
        <f>IF(AND(ToneEnabled,ISNUMBER(E132),ISNUMBER(TonePin)),TonePin+E132,"")</f>
        <v>-10</v>
      </c>
      <c r="AI132" s="5">
        <f>IF(AND(ToneEnabled,ISNUMBER(E132),ISNUMBER(N132),ISNUMBER(TonePin)),3*TonePin+E132-2*N132,"")</f>
        <v>-83.9794000867204</v>
      </c>
      <c r="AJ132" s="5" t="str">
        <f t="shared" ref="AJ132:AJ195" si="55">IF(X132=1,Q132,"")</f>
        <v/>
      </c>
      <c r="AK132" s="5" t="str">
        <f>IF(NOT(器件参数!B132),"旁路",IF(NOT(ISNUMBER(AC132)),"频率未知",IF(AC132&lt;=SignalBW/2,"跨零频",IF(AND(ISNUMBER(器件参数!R132),ISNUMBER(器件参数!S132)),IF(AND(AB132-SignalBW/2&gt;=器件参数!R132,AB132+SignalBW/2&lt;=器件参数!S132),"有效","超声明通带"),"未声明通带"))))</f>
        <v>旁路</v>
      </c>
      <c r="AL132" s="5">
        <f t="shared" ref="AL132:AL195" si="56">IFERROR(IF(AND(X132=1,ISNUMBER(D132)),10^(Q132*(D132-P132)/10),0),"数值域错误")</f>
        <v>0</v>
      </c>
      <c r="AM132" s="5" t="str">
        <f>IF(AND(器件参数!B132,ISNUMBER(器件参数!X132),OR(AND(ISNUMBER(J132),J132&gt;器件参数!X132),IF(AND(ToneEnabled,ISNUMBER(TonePin),ISNUMBER(D132)),TonePin+10*LOG10(2)+D132&gt;器件参数!X132,FALSE))),"超过绝对最大输入额定值","")</f>
        <v/>
      </c>
      <c r="AN132" s="5">
        <f>IF(NOT(ISNUMBER(AN131)),"",IF(OR(NOT(器件参数!B132),器件参数!E132&lt;&gt;"mixer"),AN131,IF(AND(ISNUMBER(器件参数!T132),器件参数!T132&gt;0),IF(器件参数!U132="sum",AN131+器件参数!T132,ABS(AN131-器件参数!T132)),"")))</f>
        <v>99950000</v>
      </c>
      <c r="AO132" s="5">
        <f>IF(NOT(ISNUMBER(AO131)),"",IF(OR(NOT(器件参数!B132),器件参数!E132&lt;&gt;"mixer"),AO131,IF(AND(ISNUMBER(器件参数!T132),器件参数!T132&gt;0),IF(器件参数!U132="sum",AO131+器件参数!T132,ABS(AO131-器件参数!T132)),"")))</f>
        <v>100050000</v>
      </c>
      <c r="AP132" s="5">
        <f>IF(NOT(ISNUMBER(AP131)),"",IF(OR(NOT(器件参数!B132),器件参数!E132&lt;&gt;"mixer"),AP131,IF(AND(ISNUMBER(器件参数!T132),器件参数!T132&gt;0),IF(器件参数!U132="sum",AP131+器件参数!T132,ABS(AP131-器件参数!T132)),"")))</f>
        <v>99850000</v>
      </c>
      <c r="AQ132" s="5">
        <f>IF(NOT(ISNUMBER(AQ131)),"",IF(OR(NOT(器件参数!B132),器件参数!E132&lt;&gt;"mixer"),AQ131,IF(AND(ISNUMBER(器件参数!T132),器件参数!T132&gt;0),IF(器件参数!U132="sum",AQ131+器件参数!T132,ABS(AQ131-器件参数!T132)),"")))</f>
        <v>100150000</v>
      </c>
      <c r="AR132" s="5" t="b">
        <f>IF(NOT(AR131),FALSE,IF(NOT(器件参数!B132),TRUE,AND(COUNT(AN132:AQ132)=4,MIN(AN132:AQ132)&gt;0,IF(AND(ISNUMBER(器件参数!R132),ISNUMBER(器件参数!S132)),AND(MIN(AN131:AQ131)&gt;=器件参数!R132,MAX(AN131:AQ131)&lt;=器件参数!S132),TRUE),IF(AND(器件参数!E132="mixer",器件参数!U132="difference"),OR(器件参数!T132&lt;MIN(AN131:AQ131),器件参数!T132&gt;MAX(AN131:AQ131)),TRUE))))</f>
        <v>1</v>
      </c>
    </row>
    <row r="133" hidden="1" spans="1:44">
      <c r="A133" s="5">
        <f>器件参数!A133</f>
        <v>130</v>
      </c>
      <c r="B133" s="5" t="str">
        <f>器件参数!D133</f>
        <v/>
      </c>
      <c r="C133" s="5">
        <f>IF(NOT(器件参数!B133),0,IF(AND(ISNUMBER(器件参数!F133),ABS(器件参数!F133)&lt;=300),器件参数!F133,""))</f>
        <v>0</v>
      </c>
      <c r="D133" s="5">
        <f t="shared" si="38"/>
        <v>20</v>
      </c>
      <c r="E133" s="5">
        <f t="shared" si="39"/>
        <v>20</v>
      </c>
      <c r="F133" s="5">
        <f t="shared" si="40"/>
        <v>100</v>
      </c>
      <c r="G133" s="5">
        <f>IFERROR(IF(NOT(器件参数!B133),1,IF(NOT(OR(器件参数!E133&lt;&gt;"mixer",AND(OR(器件参数!V133="SSB",器件参数!V133="DSB"),器件参数!W133=TRUE))),"",IF(器件参数!G133="ideal",1,IF(AND(器件参数!G133="manual",ISNUMBER(器件参数!H133),器件参数!H133&gt;=0),10^(器件参数!H133/10),IF(AND(器件参数!G133="passive_thermal",OR(器件参数!E133="filter_bpf",器件参数!E133="filter_lpf",器件参数!E133="filter_hpf",器件参数!E133="filter_bsf",器件参数!E133="attenuator",器件参数!E133="cable",器件参数!E133="connector",器件参数!E133="switch",器件参数!E133="isolator",器件参数!E133="coupler",器件参数!E133="splitter"),AND(ISNUMBER(器件参数!F133),ABS(器件参数!F133)&lt;=300),器件参数!F133&lt;=0,ISNUMBER(器件参数!I133),器件参数!I133&gt;0),1+(10^(-器件参数!F133/10)-1)*器件参数!I133/Tref_K,""))))),"数值域错误")</f>
        <v>1</v>
      </c>
      <c r="H133" s="5">
        <f t="shared" si="41"/>
        <v>2.29336948552238</v>
      </c>
      <c r="I133" s="5">
        <f t="shared" si="42"/>
        <v>3.604740296957</v>
      </c>
      <c r="J133" s="5">
        <f>IF(AND(ISNUMBER(Pin_dBm),ISNUMBER(D133)),Pin_dBm+D133,"")</f>
        <v>-10</v>
      </c>
      <c r="K133" s="5">
        <f>IF(AND(ISNUMBER(Pin_dBm),ISNUMBER(E133)),Pin_dBm+E133,"")</f>
        <v>-10</v>
      </c>
      <c r="L133" s="5" t="str">
        <f>IF(AND(器件参数!J133="finite",ISNUMBER(器件参数!L133),ISNUMBER(C133)),IF(器件参数!K133="input",器件参数!L133,IF(器件参数!K133="output",器件参数!L133-C133,"")),"")</f>
        <v/>
      </c>
      <c r="M133" s="5">
        <f>IFERROR(IF(NOT(ISNUMBER(M132)),"",IF(OR(NOT(器件参数!B133),器件参数!J133="ideal"),M132,IF(AND(ISNUMBER(L133),ISNUMBER(F133)),M132+F133/10^(L133/10),""))),"数值域错误")</f>
        <v>0.2</v>
      </c>
      <c r="N133" s="5">
        <f t="shared" si="43"/>
        <v>6.98970004336019</v>
      </c>
      <c r="O133" s="5">
        <f t="shared" si="44"/>
        <v>26.9897000433602</v>
      </c>
      <c r="P133" s="5" t="str">
        <f>IF(AND(器件参数!M133="finite",ISNUMBER(器件参数!O133),ISNUMBER(C133)),IF(器件参数!N133="input",器件参数!O133,IF(器件参数!N133="actual_output",器件参数!O133-C133+1,IF(器件参数!N133="linear_output",器件参数!O133-C133,""))),"")</f>
        <v/>
      </c>
      <c r="Q133" s="5">
        <f>IF(器件参数!P133="",IF(AND(ISNUMBER(DefaultP),DefaultP&gt;=1,DefaultP&lt;=10),DefaultP,""),IF(AND(ISNUMBER(器件参数!P133),器件参数!P133&gt;=1,器件参数!P133&lt;=10),器件参数!P133,""))</f>
        <v>2</v>
      </c>
      <c r="R133" s="5">
        <f t="shared" si="45"/>
        <v>-10.0000139708288</v>
      </c>
      <c r="S133" s="5" t="str">
        <f t="shared" si="46"/>
        <v/>
      </c>
      <c r="T133" s="5">
        <f t="shared" si="47"/>
        <v>0</v>
      </c>
      <c r="U133" s="5">
        <f t="shared" si="48"/>
        <v>-10.0000139708288</v>
      </c>
      <c r="V133" s="5">
        <f>IF(AND(ISNUMBER(Pin_dBm),ISNUMBER(E133),ISNUMBER(U133)),Pin_dBm+E133-U133,"")</f>
        <v>1.39708287854035e-5</v>
      </c>
      <c r="W133" s="5" t="str">
        <f>IF(AND(器件参数!B133,X133=1,ISNUMBER(D133)),P133-D133,"")</f>
        <v/>
      </c>
      <c r="X133" s="5">
        <f>IF(NOT(ISNUMBER(C133)),-1,IF(OR(NOT(器件参数!B133),器件参数!M133="ideal"),0,IF(AND(ISNUMBER(P133),ISNUMBER(Q133)),1,-1)))</f>
        <v>0</v>
      </c>
      <c r="Y133" s="5" t="str">
        <f t="shared" si="49"/>
        <v>有效</v>
      </c>
      <c r="Z133" s="5" t="str">
        <f t="shared" si="50"/>
        <v>有效</v>
      </c>
      <c r="AA133" s="5" t="str">
        <f t="shared" si="51"/>
        <v>模型估算</v>
      </c>
      <c r="AB133" s="5">
        <f t="shared" si="52"/>
        <v>100000000</v>
      </c>
      <c r="AC133" s="5">
        <f>IF(NOT(ISNUMBER(AB133)),"",IF(OR(NOT(器件参数!B133),器件参数!E133&lt;&gt;"mixer"),AB133,IF(AND(ISNUMBER(器件参数!T133),器件参数!T133&gt;0),IF(器件参数!U133="sum",AB133+器件参数!T133,IF(器件参数!U133="difference",ABS(AB133-器件参数!T133),"")),"")))</f>
        <v>100000000</v>
      </c>
      <c r="AD133" s="5">
        <f t="shared" si="53"/>
        <v>0</v>
      </c>
      <c r="AE133" s="5">
        <f>IF(AND(ISNUMBER(G133),ISNUMBER(F133)),Tref_K*(G133-1)/F133,"")</f>
        <v>0</v>
      </c>
      <c r="AF133" s="5">
        <f>IF(AND(ISNUMBER(H133),ISNUMBER(E133),NoiseConfigOK),10*LOG10(Boltzmann*Bnoise_Hz*(Tsource_K+Tref_K*(H133-1)))+30+E133,"")</f>
        <v>-90.3704468972711</v>
      </c>
      <c r="AG133" s="5">
        <f t="shared" si="54"/>
        <v>80.3704468972711</v>
      </c>
      <c r="AH133" s="5">
        <f>IF(AND(ToneEnabled,ISNUMBER(E133),ISNUMBER(TonePin)),TonePin+E133,"")</f>
        <v>-10</v>
      </c>
      <c r="AI133" s="5">
        <f>IF(AND(ToneEnabled,ISNUMBER(E133),ISNUMBER(N133),ISNUMBER(TonePin)),3*TonePin+E133-2*N133,"")</f>
        <v>-83.9794000867204</v>
      </c>
      <c r="AJ133" s="5" t="str">
        <f t="shared" si="55"/>
        <v/>
      </c>
      <c r="AK133" s="5" t="str">
        <f>IF(NOT(器件参数!B133),"旁路",IF(NOT(ISNUMBER(AC133)),"频率未知",IF(AC133&lt;=SignalBW/2,"跨零频",IF(AND(ISNUMBER(器件参数!R133),ISNUMBER(器件参数!S133)),IF(AND(AB133-SignalBW/2&gt;=器件参数!R133,AB133+SignalBW/2&lt;=器件参数!S133),"有效","超声明通带"),"未声明通带"))))</f>
        <v>旁路</v>
      </c>
      <c r="AL133" s="5">
        <f t="shared" si="56"/>
        <v>0</v>
      </c>
      <c r="AM133" s="5" t="str">
        <f>IF(AND(器件参数!B133,ISNUMBER(器件参数!X133),OR(AND(ISNUMBER(J133),J133&gt;器件参数!X133),IF(AND(ToneEnabled,ISNUMBER(TonePin),ISNUMBER(D133)),TonePin+10*LOG10(2)+D133&gt;器件参数!X133,FALSE))),"超过绝对最大输入额定值","")</f>
        <v/>
      </c>
      <c r="AN133" s="5">
        <f>IF(NOT(ISNUMBER(AN132)),"",IF(OR(NOT(器件参数!B133),器件参数!E133&lt;&gt;"mixer"),AN132,IF(AND(ISNUMBER(器件参数!T133),器件参数!T133&gt;0),IF(器件参数!U133="sum",AN132+器件参数!T133,ABS(AN132-器件参数!T133)),"")))</f>
        <v>99950000</v>
      </c>
      <c r="AO133" s="5">
        <f>IF(NOT(ISNUMBER(AO132)),"",IF(OR(NOT(器件参数!B133),器件参数!E133&lt;&gt;"mixer"),AO132,IF(AND(ISNUMBER(器件参数!T133),器件参数!T133&gt;0),IF(器件参数!U133="sum",AO132+器件参数!T133,ABS(AO132-器件参数!T133)),"")))</f>
        <v>100050000</v>
      </c>
      <c r="AP133" s="5">
        <f>IF(NOT(ISNUMBER(AP132)),"",IF(OR(NOT(器件参数!B133),器件参数!E133&lt;&gt;"mixer"),AP132,IF(AND(ISNUMBER(器件参数!T133),器件参数!T133&gt;0),IF(器件参数!U133="sum",AP132+器件参数!T133,ABS(AP132-器件参数!T133)),"")))</f>
        <v>99850000</v>
      </c>
      <c r="AQ133" s="5">
        <f>IF(NOT(ISNUMBER(AQ132)),"",IF(OR(NOT(器件参数!B133),器件参数!E133&lt;&gt;"mixer"),AQ132,IF(AND(ISNUMBER(器件参数!T133),器件参数!T133&gt;0),IF(器件参数!U133="sum",AQ132+器件参数!T133,ABS(AQ132-器件参数!T133)),"")))</f>
        <v>100150000</v>
      </c>
      <c r="AR133" s="5" t="b">
        <f>IF(NOT(AR132),FALSE,IF(NOT(器件参数!B133),TRUE,AND(COUNT(AN133:AQ133)=4,MIN(AN133:AQ133)&gt;0,IF(AND(ISNUMBER(器件参数!R133),ISNUMBER(器件参数!S133)),AND(MIN(AN132:AQ132)&gt;=器件参数!R133,MAX(AN132:AQ132)&lt;=器件参数!S133),TRUE),IF(AND(器件参数!E133="mixer",器件参数!U133="difference"),OR(器件参数!T133&lt;MIN(AN132:AQ132),器件参数!T133&gt;MAX(AN132:AQ132)),TRUE))))</f>
        <v>1</v>
      </c>
    </row>
    <row r="134" hidden="1" spans="1:44">
      <c r="A134" s="5">
        <f>器件参数!A134</f>
        <v>131</v>
      </c>
      <c r="B134" s="5" t="str">
        <f>器件参数!D134</f>
        <v/>
      </c>
      <c r="C134" s="5">
        <f>IF(NOT(器件参数!B134),0,IF(AND(ISNUMBER(器件参数!F134),ABS(器件参数!F134)&lt;=300),器件参数!F134,""))</f>
        <v>0</v>
      </c>
      <c r="D134" s="5">
        <f t="shared" si="38"/>
        <v>20</v>
      </c>
      <c r="E134" s="5">
        <f t="shared" si="39"/>
        <v>20</v>
      </c>
      <c r="F134" s="5">
        <f t="shared" si="40"/>
        <v>100</v>
      </c>
      <c r="G134" s="5">
        <f>IFERROR(IF(NOT(器件参数!B134),1,IF(NOT(OR(器件参数!E134&lt;&gt;"mixer",AND(OR(器件参数!V134="SSB",器件参数!V134="DSB"),器件参数!W134=TRUE))),"",IF(器件参数!G134="ideal",1,IF(AND(器件参数!G134="manual",ISNUMBER(器件参数!H134),器件参数!H134&gt;=0),10^(器件参数!H134/10),IF(AND(器件参数!G134="passive_thermal",OR(器件参数!E134="filter_bpf",器件参数!E134="filter_lpf",器件参数!E134="filter_hpf",器件参数!E134="filter_bsf",器件参数!E134="attenuator",器件参数!E134="cable",器件参数!E134="connector",器件参数!E134="switch",器件参数!E134="isolator",器件参数!E134="coupler",器件参数!E134="splitter"),AND(ISNUMBER(器件参数!F134),ABS(器件参数!F134)&lt;=300),器件参数!F134&lt;=0,ISNUMBER(器件参数!I134),器件参数!I134&gt;0),1+(10^(-器件参数!F134/10)-1)*器件参数!I134/Tref_K,""))))),"数值域错误")</f>
        <v>1</v>
      </c>
      <c r="H134" s="5">
        <f t="shared" si="41"/>
        <v>2.29336948552238</v>
      </c>
      <c r="I134" s="5">
        <f t="shared" si="42"/>
        <v>3.604740296957</v>
      </c>
      <c r="J134" s="5">
        <f>IF(AND(ISNUMBER(Pin_dBm),ISNUMBER(D134)),Pin_dBm+D134,"")</f>
        <v>-10</v>
      </c>
      <c r="K134" s="5">
        <f>IF(AND(ISNUMBER(Pin_dBm),ISNUMBER(E134)),Pin_dBm+E134,"")</f>
        <v>-10</v>
      </c>
      <c r="L134" s="5" t="str">
        <f>IF(AND(器件参数!J134="finite",ISNUMBER(器件参数!L134),ISNUMBER(C134)),IF(器件参数!K134="input",器件参数!L134,IF(器件参数!K134="output",器件参数!L134-C134,"")),"")</f>
        <v/>
      </c>
      <c r="M134" s="5">
        <f>IFERROR(IF(NOT(ISNUMBER(M133)),"",IF(OR(NOT(器件参数!B134),器件参数!J134="ideal"),M133,IF(AND(ISNUMBER(L134),ISNUMBER(F134)),M133+F134/10^(L134/10),""))),"数值域错误")</f>
        <v>0.2</v>
      </c>
      <c r="N134" s="5">
        <f t="shared" si="43"/>
        <v>6.98970004336019</v>
      </c>
      <c r="O134" s="5">
        <f t="shared" si="44"/>
        <v>26.9897000433602</v>
      </c>
      <c r="P134" s="5" t="str">
        <f>IF(AND(器件参数!M134="finite",ISNUMBER(器件参数!O134),ISNUMBER(C134)),IF(器件参数!N134="input",器件参数!O134,IF(器件参数!N134="actual_output",器件参数!O134-C134+1,IF(器件参数!N134="linear_output",器件参数!O134-C134,""))),"")</f>
        <v/>
      </c>
      <c r="Q134" s="5">
        <f>IF(器件参数!P134="",IF(AND(ISNUMBER(DefaultP),DefaultP&gt;=1,DefaultP&lt;=10),DefaultP,""),IF(AND(ISNUMBER(器件参数!P134),器件参数!P134&gt;=1,器件参数!P134&lt;=10),器件参数!P134,""))</f>
        <v>2</v>
      </c>
      <c r="R134" s="5">
        <f t="shared" si="45"/>
        <v>-10.0000139708288</v>
      </c>
      <c r="S134" s="5" t="str">
        <f t="shared" si="46"/>
        <v/>
      </c>
      <c r="T134" s="5">
        <f t="shared" si="47"/>
        <v>0</v>
      </c>
      <c r="U134" s="5">
        <f t="shared" si="48"/>
        <v>-10.0000139708288</v>
      </c>
      <c r="V134" s="5">
        <f>IF(AND(ISNUMBER(Pin_dBm),ISNUMBER(E134),ISNUMBER(U134)),Pin_dBm+E134-U134,"")</f>
        <v>1.39708287854035e-5</v>
      </c>
      <c r="W134" s="5" t="str">
        <f>IF(AND(器件参数!B134,X134=1,ISNUMBER(D134)),P134-D134,"")</f>
        <v/>
      </c>
      <c r="X134" s="5">
        <f>IF(NOT(ISNUMBER(C134)),-1,IF(OR(NOT(器件参数!B134),器件参数!M134="ideal"),0,IF(AND(ISNUMBER(P134),ISNUMBER(Q134)),1,-1)))</f>
        <v>0</v>
      </c>
      <c r="Y134" s="5" t="str">
        <f t="shared" si="49"/>
        <v>有效</v>
      </c>
      <c r="Z134" s="5" t="str">
        <f t="shared" si="50"/>
        <v>有效</v>
      </c>
      <c r="AA134" s="5" t="str">
        <f t="shared" si="51"/>
        <v>模型估算</v>
      </c>
      <c r="AB134" s="5">
        <f t="shared" si="52"/>
        <v>100000000</v>
      </c>
      <c r="AC134" s="5">
        <f>IF(NOT(ISNUMBER(AB134)),"",IF(OR(NOT(器件参数!B134),器件参数!E134&lt;&gt;"mixer"),AB134,IF(AND(ISNUMBER(器件参数!T134),器件参数!T134&gt;0),IF(器件参数!U134="sum",AB134+器件参数!T134,IF(器件参数!U134="difference",ABS(AB134-器件参数!T134),"")),"")))</f>
        <v>100000000</v>
      </c>
      <c r="AD134" s="5">
        <f t="shared" si="53"/>
        <v>0</v>
      </c>
      <c r="AE134" s="5">
        <f>IF(AND(ISNUMBER(G134),ISNUMBER(F134)),Tref_K*(G134-1)/F134,"")</f>
        <v>0</v>
      </c>
      <c r="AF134" s="5">
        <f>IF(AND(ISNUMBER(H134),ISNUMBER(E134),NoiseConfigOK),10*LOG10(Boltzmann*Bnoise_Hz*(Tsource_K+Tref_K*(H134-1)))+30+E134,"")</f>
        <v>-90.3704468972711</v>
      </c>
      <c r="AG134" s="5">
        <f t="shared" si="54"/>
        <v>80.3704468972711</v>
      </c>
      <c r="AH134" s="5">
        <f>IF(AND(ToneEnabled,ISNUMBER(E134),ISNUMBER(TonePin)),TonePin+E134,"")</f>
        <v>-10</v>
      </c>
      <c r="AI134" s="5">
        <f>IF(AND(ToneEnabled,ISNUMBER(E134),ISNUMBER(N134),ISNUMBER(TonePin)),3*TonePin+E134-2*N134,"")</f>
        <v>-83.9794000867204</v>
      </c>
      <c r="AJ134" s="5" t="str">
        <f t="shared" si="55"/>
        <v/>
      </c>
      <c r="AK134" s="5" t="str">
        <f>IF(NOT(器件参数!B134),"旁路",IF(NOT(ISNUMBER(AC134)),"频率未知",IF(AC134&lt;=SignalBW/2,"跨零频",IF(AND(ISNUMBER(器件参数!R134),ISNUMBER(器件参数!S134)),IF(AND(AB134-SignalBW/2&gt;=器件参数!R134,AB134+SignalBW/2&lt;=器件参数!S134),"有效","超声明通带"),"未声明通带"))))</f>
        <v>旁路</v>
      </c>
      <c r="AL134" s="5">
        <f t="shared" si="56"/>
        <v>0</v>
      </c>
      <c r="AM134" s="5" t="str">
        <f>IF(AND(器件参数!B134,ISNUMBER(器件参数!X134),OR(AND(ISNUMBER(J134),J134&gt;器件参数!X134),IF(AND(ToneEnabled,ISNUMBER(TonePin),ISNUMBER(D134)),TonePin+10*LOG10(2)+D134&gt;器件参数!X134,FALSE))),"超过绝对最大输入额定值","")</f>
        <v/>
      </c>
      <c r="AN134" s="5">
        <f>IF(NOT(ISNUMBER(AN133)),"",IF(OR(NOT(器件参数!B134),器件参数!E134&lt;&gt;"mixer"),AN133,IF(AND(ISNUMBER(器件参数!T134),器件参数!T134&gt;0),IF(器件参数!U134="sum",AN133+器件参数!T134,ABS(AN133-器件参数!T134)),"")))</f>
        <v>99950000</v>
      </c>
      <c r="AO134" s="5">
        <f>IF(NOT(ISNUMBER(AO133)),"",IF(OR(NOT(器件参数!B134),器件参数!E134&lt;&gt;"mixer"),AO133,IF(AND(ISNUMBER(器件参数!T134),器件参数!T134&gt;0),IF(器件参数!U134="sum",AO133+器件参数!T134,ABS(AO133-器件参数!T134)),"")))</f>
        <v>100050000</v>
      </c>
      <c r="AP134" s="5">
        <f>IF(NOT(ISNUMBER(AP133)),"",IF(OR(NOT(器件参数!B134),器件参数!E134&lt;&gt;"mixer"),AP133,IF(AND(ISNUMBER(器件参数!T134),器件参数!T134&gt;0),IF(器件参数!U134="sum",AP133+器件参数!T134,ABS(AP133-器件参数!T134)),"")))</f>
        <v>99850000</v>
      </c>
      <c r="AQ134" s="5">
        <f>IF(NOT(ISNUMBER(AQ133)),"",IF(OR(NOT(器件参数!B134),器件参数!E134&lt;&gt;"mixer"),AQ133,IF(AND(ISNUMBER(器件参数!T134),器件参数!T134&gt;0),IF(器件参数!U134="sum",AQ133+器件参数!T134,ABS(AQ133-器件参数!T134)),"")))</f>
        <v>100150000</v>
      </c>
      <c r="AR134" s="5" t="b">
        <f>IF(NOT(AR133),FALSE,IF(NOT(器件参数!B134),TRUE,AND(COUNT(AN134:AQ134)=4,MIN(AN134:AQ134)&gt;0,IF(AND(ISNUMBER(器件参数!R134),ISNUMBER(器件参数!S134)),AND(MIN(AN133:AQ133)&gt;=器件参数!R134,MAX(AN133:AQ133)&lt;=器件参数!S134),TRUE),IF(AND(器件参数!E134="mixer",器件参数!U134="difference"),OR(器件参数!T134&lt;MIN(AN133:AQ133),器件参数!T134&gt;MAX(AN133:AQ133)),TRUE))))</f>
        <v>1</v>
      </c>
    </row>
    <row r="135" hidden="1" spans="1:44">
      <c r="A135" s="5">
        <f>器件参数!A135</f>
        <v>132</v>
      </c>
      <c r="B135" s="5" t="str">
        <f>器件参数!D135</f>
        <v/>
      </c>
      <c r="C135" s="5">
        <f>IF(NOT(器件参数!B135),0,IF(AND(ISNUMBER(器件参数!F135),ABS(器件参数!F135)&lt;=300),器件参数!F135,""))</f>
        <v>0</v>
      </c>
      <c r="D135" s="5">
        <f t="shared" si="38"/>
        <v>20</v>
      </c>
      <c r="E135" s="5">
        <f t="shared" si="39"/>
        <v>20</v>
      </c>
      <c r="F135" s="5">
        <f t="shared" si="40"/>
        <v>100</v>
      </c>
      <c r="G135" s="5">
        <f>IFERROR(IF(NOT(器件参数!B135),1,IF(NOT(OR(器件参数!E135&lt;&gt;"mixer",AND(OR(器件参数!V135="SSB",器件参数!V135="DSB"),器件参数!W135=TRUE))),"",IF(器件参数!G135="ideal",1,IF(AND(器件参数!G135="manual",ISNUMBER(器件参数!H135),器件参数!H135&gt;=0),10^(器件参数!H135/10),IF(AND(器件参数!G135="passive_thermal",OR(器件参数!E135="filter_bpf",器件参数!E135="filter_lpf",器件参数!E135="filter_hpf",器件参数!E135="filter_bsf",器件参数!E135="attenuator",器件参数!E135="cable",器件参数!E135="connector",器件参数!E135="switch",器件参数!E135="isolator",器件参数!E135="coupler",器件参数!E135="splitter"),AND(ISNUMBER(器件参数!F135),ABS(器件参数!F135)&lt;=300),器件参数!F135&lt;=0,ISNUMBER(器件参数!I135),器件参数!I135&gt;0),1+(10^(-器件参数!F135/10)-1)*器件参数!I135/Tref_K,""))))),"数值域错误")</f>
        <v>1</v>
      </c>
      <c r="H135" s="5">
        <f t="shared" si="41"/>
        <v>2.29336948552238</v>
      </c>
      <c r="I135" s="5">
        <f t="shared" si="42"/>
        <v>3.604740296957</v>
      </c>
      <c r="J135" s="5">
        <f>IF(AND(ISNUMBER(Pin_dBm),ISNUMBER(D135)),Pin_dBm+D135,"")</f>
        <v>-10</v>
      </c>
      <c r="K135" s="5">
        <f>IF(AND(ISNUMBER(Pin_dBm),ISNUMBER(E135)),Pin_dBm+E135,"")</f>
        <v>-10</v>
      </c>
      <c r="L135" s="5" t="str">
        <f>IF(AND(器件参数!J135="finite",ISNUMBER(器件参数!L135),ISNUMBER(C135)),IF(器件参数!K135="input",器件参数!L135,IF(器件参数!K135="output",器件参数!L135-C135,"")),"")</f>
        <v/>
      </c>
      <c r="M135" s="5">
        <f>IFERROR(IF(NOT(ISNUMBER(M134)),"",IF(OR(NOT(器件参数!B135),器件参数!J135="ideal"),M134,IF(AND(ISNUMBER(L135),ISNUMBER(F135)),M134+F135/10^(L135/10),""))),"数值域错误")</f>
        <v>0.2</v>
      </c>
      <c r="N135" s="5">
        <f t="shared" si="43"/>
        <v>6.98970004336019</v>
      </c>
      <c r="O135" s="5">
        <f t="shared" si="44"/>
        <v>26.9897000433602</v>
      </c>
      <c r="P135" s="5" t="str">
        <f>IF(AND(器件参数!M135="finite",ISNUMBER(器件参数!O135),ISNUMBER(C135)),IF(器件参数!N135="input",器件参数!O135,IF(器件参数!N135="actual_output",器件参数!O135-C135+1,IF(器件参数!N135="linear_output",器件参数!O135-C135,""))),"")</f>
        <v/>
      </c>
      <c r="Q135" s="5">
        <f>IF(器件参数!P135="",IF(AND(ISNUMBER(DefaultP),DefaultP&gt;=1,DefaultP&lt;=10),DefaultP,""),IF(AND(ISNUMBER(器件参数!P135),器件参数!P135&gt;=1,器件参数!P135&lt;=10),器件参数!P135,""))</f>
        <v>2</v>
      </c>
      <c r="R135" s="5">
        <f t="shared" si="45"/>
        <v>-10.0000139708288</v>
      </c>
      <c r="S135" s="5" t="str">
        <f t="shared" si="46"/>
        <v/>
      </c>
      <c r="T135" s="5">
        <f t="shared" si="47"/>
        <v>0</v>
      </c>
      <c r="U135" s="5">
        <f t="shared" si="48"/>
        <v>-10.0000139708288</v>
      </c>
      <c r="V135" s="5">
        <f>IF(AND(ISNUMBER(Pin_dBm),ISNUMBER(E135),ISNUMBER(U135)),Pin_dBm+E135-U135,"")</f>
        <v>1.39708287854035e-5</v>
      </c>
      <c r="W135" s="5" t="str">
        <f>IF(AND(器件参数!B135,X135=1,ISNUMBER(D135)),P135-D135,"")</f>
        <v/>
      </c>
      <c r="X135" s="5">
        <f>IF(NOT(ISNUMBER(C135)),-1,IF(OR(NOT(器件参数!B135),器件参数!M135="ideal"),0,IF(AND(ISNUMBER(P135),ISNUMBER(Q135)),1,-1)))</f>
        <v>0</v>
      </c>
      <c r="Y135" s="5" t="str">
        <f t="shared" si="49"/>
        <v>有效</v>
      </c>
      <c r="Z135" s="5" t="str">
        <f t="shared" si="50"/>
        <v>有效</v>
      </c>
      <c r="AA135" s="5" t="str">
        <f t="shared" si="51"/>
        <v>模型估算</v>
      </c>
      <c r="AB135" s="5">
        <f t="shared" si="52"/>
        <v>100000000</v>
      </c>
      <c r="AC135" s="5">
        <f>IF(NOT(ISNUMBER(AB135)),"",IF(OR(NOT(器件参数!B135),器件参数!E135&lt;&gt;"mixer"),AB135,IF(AND(ISNUMBER(器件参数!T135),器件参数!T135&gt;0),IF(器件参数!U135="sum",AB135+器件参数!T135,IF(器件参数!U135="difference",ABS(AB135-器件参数!T135),"")),"")))</f>
        <v>100000000</v>
      </c>
      <c r="AD135" s="5">
        <f t="shared" si="53"/>
        <v>0</v>
      </c>
      <c r="AE135" s="5">
        <f>IF(AND(ISNUMBER(G135),ISNUMBER(F135)),Tref_K*(G135-1)/F135,"")</f>
        <v>0</v>
      </c>
      <c r="AF135" s="5">
        <f>IF(AND(ISNUMBER(H135),ISNUMBER(E135),NoiseConfigOK),10*LOG10(Boltzmann*Bnoise_Hz*(Tsource_K+Tref_K*(H135-1)))+30+E135,"")</f>
        <v>-90.3704468972711</v>
      </c>
      <c r="AG135" s="5">
        <f t="shared" si="54"/>
        <v>80.3704468972711</v>
      </c>
      <c r="AH135" s="5">
        <f>IF(AND(ToneEnabled,ISNUMBER(E135),ISNUMBER(TonePin)),TonePin+E135,"")</f>
        <v>-10</v>
      </c>
      <c r="AI135" s="5">
        <f>IF(AND(ToneEnabled,ISNUMBER(E135),ISNUMBER(N135),ISNUMBER(TonePin)),3*TonePin+E135-2*N135,"")</f>
        <v>-83.9794000867204</v>
      </c>
      <c r="AJ135" s="5" t="str">
        <f t="shared" si="55"/>
        <v/>
      </c>
      <c r="AK135" s="5" t="str">
        <f>IF(NOT(器件参数!B135),"旁路",IF(NOT(ISNUMBER(AC135)),"频率未知",IF(AC135&lt;=SignalBW/2,"跨零频",IF(AND(ISNUMBER(器件参数!R135),ISNUMBER(器件参数!S135)),IF(AND(AB135-SignalBW/2&gt;=器件参数!R135,AB135+SignalBW/2&lt;=器件参数!S135),"有效","超声明通带"),"未声明通带"))))</f>
        <v>旁路</v>
      </c>
      <c r="AL135" s="5">
        <f t="shared" si="56"/>
        <v>0</v>
      </c>
      <c r="AM135" s="5" t="str">
        <f>IF(AND(器件参数!B135,ISNUMBER(器件参数!X135),OR(AND(ISNUMBER(J135),J135&gt;器件参数!X135),IF(AND(ToneEnabled,ISNUMBER(TonePin),ISNUMBER(D135)),TonePin+10*LOG10(2)+D135&gt;器件参数!X135,FALSE))),"超过绝对最大输入额定值","")</f>
        <v/>
      </c>
      <c r="AN135" s="5">
        <f>IF(NOT(ISNUMBER(AN134)),"",IF(OR(NOT(器件参数!B135),器件参数!E135&lt;&gt;"mixer"),AN134,IF(AND(ISNUMBER(器件参数!T135),器件参数!T135&gt;0),IF(器件参数!U135="sum",AN134+器件参数!T135,ABS(AN134-器件参数!T135)),"")))</f>
        <v>99950000</v>
      </c>
      <c r="AO135" s="5">
        <f>IF(NOT(ISNUMBER(AO134)),"",IF(OR(NOT(器件参数!B135),器件参数!E135&lt;&gt;"mixer"),AO134,IF(AND(ISNUMBER(器件参数!T135),器件参数!T135&gt;0),IF(器件参数!U135="sum",AO134+器件参数!T135,ABS(AO134-器件参数!T135)),"")))</f>
        <v>100050000</v>
      </c>
      <c r="AP135" s="5">
        <f>IF(NOT(ISNUMBER(AP134)),"",IF(OR(NOT(器件参数!B135),器件参数!E135&lt;&gt;"mixer"),AP134,IF(AND(ISNUMBER(器件参数!T135),器件参数!T135&gt;0),IF(器件参数!U135="sum",AP134+器件参数!T135,ABS(AP134-器件参数!T135)),"")))</f>
        <v>99850000</v>
      </c>
      <c r="AQ135" s="5">
        <f>IF(NOT(ISNUMBER(AQ134)),"",IF(OR(NOT(器件参数!B135),器件参数!E135&lt;&gt;"mixer"),AQ134,IF(AND(ISNUMBER(器件参数!T135),器件参数!T135&gt;0),IF(器件参数!U135="sum",AQ134+器件参数!T135,ABS(AQ134-器件参数!T135)),"")))</f>
        <v>100150000</v>
      </c>
      <c r="AR135" s="5" t="b">
        <f>IF(NOT(AR134),FALSE,IF(NOT(器件参数!B135),TRUE,AND(COUNT(AN135:AQ135)=4,MIN(AN135:AQ135)&gt;0,IF(AND(ISNUMBER(器件参数!R135),ISNUMBER(器件参数!S135)),AND(MIN(AN134:AQ134)&gt;=器件参数!R135,MAX(AN134:AQ134)&lt;=器件参数!S135),TRUE),IF(AND(器件参数!E135="mixer",器件参数!U135="difference"),OR(器件参数!T135&lt;MIN(AN134:AQ134),器件参数!T135&gt;MAX(AN134:AQ134)),TRUE))))</f>
        <v>1</v>
      </c>
    </row>
    <row r="136" hidden="1" spans="1:44">
      <c r="A136" s="5">
        <f>器件参数!A136</f>
        <v>133</v>
      </c>
      <c r="B136" s="5" t="str">
        <f>器件参数!D136</f>
        <v/>
      </c>
      <c r="C136" s="5">
        <f>IF(NOT(器件参数!B136),0,IF(AND(ISNUMBER(器件参数!F136),ABS(器件参数!F136)&lt;=300),器件参数!F136,""))</f>
        <v>0</v>
      </c>
      <c r="D136" s="5">
        <f t="shared" si="38"/>
        <v>20</v>
      </c>
      <c r="E136" s="5">
        <f t="shared" si="39"/>
        <v>20</v>
      </c>
      <c r="F136" s="5">
        <f t="shared" si="40"/>
        <v>100</v>
      </c>
      <c r="G136" s="5">
        <f>IFERROR(IF(NOT(器件参数!B136),1,IF(NOT(OR(器件参数!E136&lt;&gt;"mixer",AND(OR(器件参数!V136="SSB",器件参数!V136="DSB"),器件参数!W136=TRUE))),"",IF(器件参数!G136="ideal",1,IF(AND(器件参数!G136="manual",ISNUMBER(器件参数!H136),器件参数!H136&gt;=0),10^(器件参数!H136/10),IF(AND(器件参数!G136="passive_thermal",OR(器件参数!E136="filter_bpf",器件参数!E136="filter_lpf",器件参数!E136="filter_hpf",器件参数!E136="filter_bsf",器件参数!E136="attenuator",器件参数!E136="cable",器件参数!E136="connector",器件参数!E136="switch",器件参数!E136="isolator",器件参数!E136="coupler",器件参数!E136="splitter"),AND(ISNUMBER(器件参数!F136),ABS(器件参数!F136)&lt;=300),器件参数!F136&lt;=0,ISNUMBER(器件参数!I136),器件参数!I136&gt;0),1+(10^(-器件参数!F136/10)-1)*器件参数!I136/Tref_K,""))))),"数值域错误")</f>
        <v>1</v>
      </c>
      <c r="H136" s="5">
        <f t="shared" si="41"/>
        <v>2.29336948552238</v>
      </c>
      <c r="I136" s="5">
        <f t="shared" si="42"/>
        <v>3.604740296957</v>
      </c>
      <c r="J136" s="5">
        <f>IF(AND(ISNUMBER(Pin_dBm),ISNUMBER(D136)),Pin_dBm+D136,"")</f>
        <v>-10</v>
      </c>
      <c r="K136" s="5">
        <f>IF(AND(ISNUMBER(Pin_dBm),ISNUMBER(E136)),Pin_dBm+E136,"")</f>
        <v>-10</v>
      </c>
      <c r="L136" s="5" t="str">
        <f>IF(AND(器件参数!J136="finite",ISNUMBER(器件参数!L136),ISNUMBER(C136)),IF(器件参数!K136="input",器件参数!L136,IF(器件参数!K136="output",器件参数!L136-C136,"")),"")</f>
        <v/>
      </c>
      <c r="M136" s="5">
        <f>IFERROR(IF(NOT(ISNUMBER(M135)),"",IF(OR(NOT(器件参数!B136),器件参数!J136="ideal"),M135,IF(AND(ISNUMBER(L136),ISNUMBER(F136)),M135+F136/10^(L136/10),""))),"数值域错误")</f>
        <v>0.2</v>
      </c>
      <c r="N136" s="5">
        <f t="shared" si="43"/>
        <v>6.98970004336019</v>
      </c>
      <c r="O136" s="5">
        <f t="shared" si="44"/>
        <v>26.9897000433602</v>
      </c>
      <c r="P136" s="5" t="str">
        <f>IF(AND(器件参数!M136="finite",ISNUMBER(器件参数!O136),ISNUMBER(C136)),IF(器件参数!N136="input",器件参数!O136,IF(器件参数!N136="actual_output",器件参数!O136-C136+1,IF(器件参数!N136="linear_output",器件参数!O136-C136,""))),"")</f>
        <v/>
      </c>
      <c r="Q136" s="5">
        <f>IF(器件参数!P136="",IF(AND(ISNUMBER(DefaultP),DefaultP&gt;=1,DefaultP&lt;=10),DefaultP,""),IF(AND(ISNUMBER(器件参数!P136),器件参数!P136&gt;=1,器件参数!P136&lt;=10),器件参数!P136,""))</f>
        <v>2</v>
      </c>
      <c r="R136" s="5">
        <f t="shared" si="45"/>
        <v>-10.0000139708288</v>
      </c>
      <c r="S136" s="5" t="str">
        <f t="shared" si="46"/>
        <v/>
      </c>
      <c r="T136" s="5">
        <f t="shared" si="47"/>
        <v>0</v>
      </c>
      <c r="U136" s="5">
        <f t="shared" si="48"/>
        <v>-10.0000139708288</v>
      </c>
      <c r="V136" s="5">
        <f>IF(AND(ISNUMBER(Pin_dBm),ISNUMBER(E136),ISNUMBER(U136)),Pin_dBm+E136-U136,"")</f>
        <v>1.39708287854035e-5</v>
      </c>
      <c r="W136" s="5" t="str">
        <f>IF(AND(器件参数!B136,X136=1,ISNUMBER(D136)),P136-D136,"")</f>
        <v/>
      </c>
      <c r="X136" s="5">
        <f>IF(NOT(ISNUMBER(C136)),-1,IF(OR(NOT(器件参数!B136),器件参数!M136="ideal"),0,IF(AND(ISNUMBER(P136),ISNUMBER(Q136)),1,-1)))</f>
        <v>0</v>
      </c>
      <c r="Y136" s="5" t="str">
        <f t="shared" si="49"/>
        <v>有效</v>
      </c>
      <c r="Z136" s="5" t="str">
        <f t="shared" si="50"/>
        <v>有效</v>
      </c>
      <c r="AA136" s="5" t="str">
        <f t="shared" si="51"/>
        <v>模型估算</v>
      </c>
      <c r="AB136" s="5">
        <f t="shared" si="52"/>
        <v>100000000</v>
      </c>
      <c r="AC136" s="5">
        <f>IF(NOT(ISNUMBER(AB136)),"",IF(OR(NOT(器件参数!B136),器件参数!E136&lt;&gt;"mixer"),AB136,IF(AND(ISNUMBER(器件参数!T136),器件参数!T136&gt;0),IF(器件参数!U136="sum",AB136+器件参数!T136,IF(器件参数!U136="difference",ABS(AB136-器件参数!T136),"")),"")))</f>
        <v>100000000</v>
      </c>
      <c r="AD136" s="5">
        <f t="shared" si="53"/>
        <v>0</v>
      </c>
      <c r="AE136" s="5">
        <f>IF(AND(ISNUMBER(G136),ISNUMBER(F136)),Tref_K*(G136-1)/F136,"")</f>
        <v>0</v>
      </c>
      <c r="AF136" s="5">
        <f>IF(AND(ISNUMBER(H136),ISNUMBER(E136),NoiseConfigOK),10*LOG10(Boltzmann*Bnoise_Hz*(Tsource_K+Tref_K*(H136-1)))+30+E136,"")</f>
        <v>-90.3704468972711</v>
      </c>
      <c r="AG136" s="5">
        <f t="shared" si="54"/>
        <v>80.3704468972711</v>
      </c>
      <c r="AH136" s="5">
        <f>IF(AND(ToneEnabled,ISNUMBER(E136),ISNUMBER(TonePin)),TonePin+E136,"")</f>
        <v>-10</v>
      </c>
      <c r="AI136" s="5">
        <f>IF(AND(ToneEnabled,ISNUMBER(E136),ISNUMBER(N136),ISNUMBER(TonePin)),3*TonePin+E136-2*N136,"")</f>
        <v>-83.9794000867204</v>
      </c>
      <c r="AJ136" s="5" t="str">
        <f t="shared" si="55"/>
        <v/>
      </c>
      <c r="AK136" s="5" t="str">
        <f>IF(NOT(器件参数!B136),"旁路",IF(NOT(ISNUMBER(AC136)),"频率未知",IF(AC136&lt;=SignalBW/2,"跨零频",IF(AND(ISNUMBER(器件参数!R136),ISNUMBER(器件参数!S136)),IF(AND(AB136-SignalBW/2&gt;=器件参数!R136,AB136+SignalBW/2&lt;=器件参数!S136),"有效","超声明通带"),"未声明通带"))))</f>
        <v>旁路</v>
      </c>
      <c r="AL136" s="5">
        <f t="shared" si="56"/>
        <v>0</v>
      </c>
      <c r="AM136" s="5" t="str">
        <f>IF(AND(器件参数!B136,ISNUMBER(器件参数!X136),OR(AND(ISNUMBER(J136),J136&gt;器件参数!X136),IF(AND(ToneEnabled,ISNUMBER(TonePin),ISNUMBER(D136)),TonePin+10*LOG10(2)+D136&gt;器件参数!X136,FALSE))),"超过绝对最大输入额定值","")</f>
        <v/>
      </c>
      <c r="AN136" s="5">
        <f>IF(NOT(ISNUMBER(AN135)),"",IF(OR(NOT(器件参数!B136),器件参数!E136&lt;&gt;"mixer"),AN135,IF(AND(ISNUMBER(器件参数!T136),器件参数!T136&gt;0),IF(器件参数!U136="sum",AN135+器件参数!T136,ABS(AN135-器件参数!T136)),"")))</f>
        <v>99950000</v>
      </c>
      <c r="AO136" s="5">
        <f>IF(NOT(ISNUMBER(AO135)),"",IF(OR(NOT(器件参数!B136),器件参数!E136&lt;&gt;"mixer"),AO135,IF(AND(ISNUMBER(器件参数!T136),器件参数!T136&gt;0),IF(器件参数!U136="sum",AO135+器件参数!T136,ABS(AO135-器件参数!T136)),"")))</f>
        <v>100050000</v>
      </c>
      <c r="AP136" s="5">
        <f>IF(NOT(ISNUMBER(AP135)),"",IF(OR(NOT(器件参数!B136),器件参数!E136&lt;&gt;"mixer"),AP135,IF(AND(ISNUMBER(器件参数!T136),器件参数!T136&gt;0),IF(器件参数!U136="sum",AP135+器件参数!T136,ABS(AP135-器件参数!T136)),"")))</f>
        <v>99850000</v>
      </c>
      <c r="AQ136" s="5">
        <f>IF(NOT(ISNUMBER(AQ135)),"",IF(OR(NOT(器件参数!B136),器件参数!E136&lt;&gt;"mixer"),AQ135,IF(AND(ISNUMBER(器件参数!T136),器件参数!T136&gt;0),IF(器件参数!U136="sum",AQ135+器件参数!T136,ABS(AQ135-器件参数!T136)),"")))</f>
        <v>100150000</v>
      </c>
      <c r="AR136" s="5" t="b">
        <f>IF(NOT(AR135),FALSE,IF(NOT(器件参数!B136),TRUE,AND(COUNT(AN136:AQ136)=4,MIN(AN136:AQ136)&gt;0,IF(AND(ISNUMBER(器件参数!R136),ISNUMBER(器件参数!S136)),AND(MIN(AN135:AQ135)&gt;=器件参数!R136,MAX(AN135:AQ135)&lt;=器件参数!S136),TRUE),IF(AND(器件参数!E136="mixer",器件参数!U136="difference"),OR(器件参数!T136&lt;MIN(AN135:AQ135),器件参数!T136&gt;MAX(AN135:AQ135)),TRUE))))</f>
        <v>1</v>
      </c>
    </row>
    <row r="137" hidden="1" spans="1:44">
      <c r="A137" s="5">
        <f>器件参数!A137</f>
        <v>134</v>
      </c>
      <c r="B137" s="5" t="str">
        <f>器件参数!D137</f>
        <v/>
      </c>
      <c r="C137" s="5">
        <f>IF(NOT(器件参数!B137),0,IF(AND(ISNUMBER(器件参数!F137),ABS(器件参数!F137)&lt;=300),器件参数!F137,""))</f>
        <v>0</v>
      </c>
      <c r="D137" s="5">
        <f t="shared" si="38"/>
        <v>20</v>
      </c>
      <c r="E137" s="5">
        <f t="shared" si="39"/>
        <v>20</v>
      </c>
      <c r="F137" s="5">
        <f t="shared" si="40"/>
        <v>100</v>
      </c>
      <c r="G137" s="5">
        <f>IFERROR(IF(NOT(器件参数!B137),1,IF(NOT(OR(器件参数!E137&lt;&gt;"mixer",AND(OR(器件参数!V137="SSB",器件参数!V137="DSB"),器件参数!W137=TRUE))),"",IF(器件参数!G137="ideal",1,IF(AND(器件参数!G137="manual",ISNUMBER(器件参数!H137),器件参数!H137&gt;=0),10^(器件参数!H137/10),IF(AND(器件参数!G137="passive_thermal",OR(器件参数!E137="filter_bpf",器件参数!E137="filter_lpf",器件参数!E137="filter_hpf",器件参数!E137="filter_bsf",器件参数!E137="attenuator",器件参数!E137="cable",器件参数!E137="connector",器件参数!E137="switch",器件参数!E137="isolator",器件参数!E137="coupler",器件参数!E137="splitter"),AND(ISNUMBER(器件参数!F137),ABS(器件参数!F137)&lt;=300),器件参数!F137&lt;=0,ISNUMBER(器件参数!I137),器件参数!I137&gt;0),1+(10^(-器件参数!F137/10)-1)*器件参数!I137/Tref_K,""))))),"数值域错误")</f>
        <v>1</v>
      </c>
      <c r="H137" s="5">
        <f t="shared" si="41"/>
        <v>2.29336948552238</v>
      </c>
      <c r="I137" s="5">
        <f t="shared" si="42"/>
        <v>3.604740296957</v>
      </c>
      <c r="J137" s="5">
        <f>IF(AND(ISNUMBER(Pin_dBm),ISNUMBER(D137)),Pin_dBm+D137,"")</f>
        <v>-10</v>
      </c>
      <c r="K137" s="5">
        <f>IF(AND(ISNUMBER(Pin_dBm),ISNUMBER(E137)),Pin_dBm+E137,"")</f>
        <v>-10</v>
      </c>
      <c r="L137" s="5" t="str">
        <f>IF(AND(器件参数!J137="finite",ISNUMBER(器件参数!L137),ISNUMBER(C137)),IF(器件参数!K137="input",器件参数!L137,IF(器件参数!K137="output",器件参数!L137-C137,"")),"")</f>
        <v/>
      </c>
      <c r="M137" s="5">
        <f>IFERROR(IF(NOT(ISNUMBER(M136)),"",IF(OR(NOT(器件参数!B137),器件参数!J137="ideal"),M136,IF(AND(ISNUMBER(L137),ISNUMBER(F137)),M136+F137/10^(L137/10),""))),"数值域错误")</f>
        <v>0.2</v>
      </c>
      <c r="N137" s="5">
        <f t="shared" si="43"/>
        <v>6.98970004336019</v>
      </c>
      <c r="O137" s="5">
        <f t="shared" si="44"/>
        <v>26.9897000433602</v>
      </c>
      <c r="P137" s="5" t="str">
        <f>IF(AND(器件参数!M137="finite",ISNUMBER(器件参数!O137),ISNUMBER(C137)),IF(器件参数!N137="input",器件参数!O137,IF(器件参数!N137="actual_output",器件参数!O137-C137+1,IF(器件参数!N137="linear_output",器件参数!O137-C137,""))),"")</f>
        <v/>
      </c>
      <c r="Q137" s="5">
        <f>IF(器件参数!P137="",IF(AND(ISNUMBER(DefaultP),DefaultP&gt;=1,DefaultP&lt;=10),DefaultP,""),IF(AND(ISNUMBER(器件参数!P137),器件参数!P137&gt;=1,器件参数!P137&lt;=10),器件参数!P137,""))</f>
        <v>2</v>
      </c>
      <c r="R137" s="5">
        <f t="shared" si="45"/>
        <v>-10.0000139708288</v>
      </c>
      <c r="S137" s="5" t="str">
        <f t="shared" si="46"/>
        <v/>
      </c>
      <c r="T137" s="5">
        <f t="shared" si="47"/>
        <v>0</v>
      </c>
      <c r="U137" s="5">
        <f t="shared" si="48"/>
        <v>-10.0000139708288</v>
      </c>
      <c r="V137" s="5">
        <f>IF(AND(ISNUMBER(Pin_dBm),ISNUMBER(E137),ISNUMBER(U137)),Pin_dBm+E137-U137,"")</f>
        <v>1.39708287854035e-5</v>
      </c>
      <c r="W137" s="5" t="str">
        <f>IF(AND(器件参数!B137,X137=1,ISNUMBER(D137)),P137-D137,"")</f>
        <v/>
      </c>
      <c r="X137" s="5">
        <f>IF(NOT(ISNUMBER(C137)),-1,IF(OR(NOT(器件参数!B137),器件参数!M137="ideal"),0,IF(AND(ISNUMBER(P137),ISNUMBER(Q137)),1,-1)))</f>
        <v>0</v>
      </c>
      <c r="Y137" s="5" t="str">
        <f t="shared" si="49"/>
        <v>有效</v>
      </c>
      <c r="Z137" s="5" t="str">
        <f t="shared" si="50"/>
        <v>有效</v>
      </c>
      <c r="AA137" s="5" t="str">
        <f t="shared" si="51"/>
        <v>模型估算</v>
      </c>
      <c r="AB137" s="5">
        <f t="shared" si="52"/>
        <v>100000000</v>
      </c>
      <c r="AC137" s="5">
        <f>IF(NOT(ISNUMBER(AB137)),"",IF(OR(NOT(器件参数!B137),器件参数!E137&lt;&gt;"mixer"),AB137,IF(AND(ISNUMBER(器件参数!T137),器件参数!T137&gt;0),IF(器件参数!U137="sum",AB137+器件参数!T137,IF(器件参数!U137="difference",ABS(AB137-器件参数!T137),"")),"")))</f>
        <v>100000000</v>
      </c>
      <c r="AD137" s="5">
        <f t="shared" si="53"/>
        <v>0</v>
      </c>
      <c r="AE137" s="5">
        <f>IF(AND(ISNUMBER(G137),ISNUMBER(F137)),Tref_K*(G137-1)/F137,"")</f>
        <v>0</v>
      </c>
      <c r="AF137" s="5">
        <f>IF(AND(ISNUMBER(H137),ISNUMBER(E137),NoiseConfigOK),10*LOG10(Boltzmann*Bnoise_Hz*(Tsource_K+Tref_K*(H137-1)))+30+E137,"")</f>
        <v>-90.3704468972711</v>
      </c>
      <c r="AG137" s="5">
        <f t="shared" si="54"/>
        <v>80.3704468972711</v>
      </c>
      <c r="AH137" s="5">
        <f>IF(AND(ToneEnabled,ISNUMBER(E137),ISNUMBER(TonePin)),TonePin+E137,"")</f>
        <v>-10</v>
      </c>
      <c r="AI137" s="5">
        <f>IF(AND(ToneEnabled,ISNUMBER(E137),ISNUMBER(N137),ISNUMBER(TonePin)),3*TonePin+E137-2*N137,"")</f>
        <v>-83.9794000867204</v>
      </c>
      <c r="AJ137" s="5" t="str">
        <f t="shared" si="55"/>
        <v/>
      </c>
      <c r="AK137" s="5" t="str">
        <f>IF(NOT(器件参数!B137),"旁路",IF(NOT(ISNUMBER(AC137)),"频率未知",IF(AC137&lt;=SignalBW/2,"跨零频",IF(AND(ISNUMBER(器件参数!R137),ISNUMBER(器件参数!S137)),IF(AND(AB137-SignalBW/2&gt;=器件参数!R137,AB137+SignalBW/2&lt;=器件参数!S137),"有效","超声明通带"),"未声明通带"))))</f>
        <v>旁路</v>
      </c>
      <c r="AL137" s="5">
        <f t="shared" si="56"/>
        <v>0</v>
      </c>
      <c r="AM137" s="5" t="str">
        <f>IF(AND(器件参数!B137,ISNUMBER(器件参数!X137),OR(AND(ISNUMBER(J137),J137&gt;器件参数!X137),IF(AND(ToneEnabled,ISNUMBER(TonePin),ISNUMBER(D137)),TonePin+10*LOG10(2)+D137&gt;器件参数!X137,FALSE))),"超过绝对最大输入额定值","")</f>
        <v/>
      </c>
      <c r="AN137" s="5">
        <f>IF(NOT(ISNUMBER(AN136)),"",IF(OR(NOT(器件参数!B137),器件参数!E137&lt;&gt;"mixer"),AN136,IF(AND(ISNUMBER(器件参数!T137),器件参数!T137&gt;0),IF(器件参数!U137="sum",AN136+器件参数!T137,ABS(AN136-器件参数!T137)),"")))</f>
        <v>99950000</v>
      </c>
      <c r="AO137" s="5">
        <f>IF(NOT(ISNUMBER(AO136)),"",IF(OR(NOT(器件参数!B137),器件参数!E137&lt;&gt;"mixer"),AO136,IF(AND(ISNUMBER(器件参数!T137),器件参数!T137&gt;0),IF(器件参数!U137="sum",AO136+器件参数!T137,ABS(AO136-器件参数!T137)),"")))</f>
        <v>100050000</v>
      </c>
      <c r="AP137" s="5">
        <f>IF(NOT(ISNUMBER(AP136)),"",IF(OR(NOT(器件参数!B137),器件参数!E137&lt;&gt;"mixer"),AP136,IF(AND(ISNUMBER(器件参数!T137),器件参数!T137&gt;0),IF(器件参数!U137="sum",AP136+器件参数!T137,ABS(AP136-器件参数!T137)),"")))</f>
        <v>99850000</v>
      </c>
      <c r="AQ137" s="5">
        <f>IF(NOT(ISNUMBER(AQ136)),"",IF(OR(NOT(器件参数!B137),器件参数!E137&lt;&gt;"mixer"),AQ136,IF(AND(ISNUMBER(器件参数!T137),器件参数!T137&gt;0),IF(器件参数!U137="sum",AQ136+器件参数!T137,ABS(AQ136-器件参数!T137)),"")))</f>
        <v>100150000</v>
      </c>
      <c r="AR137" s="5" t="b">
        <f>IF(NOT(AR136),FALSE,IF(NOT(器件参数!B137),TRUE,AND(COUNT(AN137:AQ137)=4,MIN(AN137:AQ137)&gt;0,IF(AND(ISNUMBER(器件参数!R137),ISNUMBER(器件参数!S137)),AND(MIN(AN136:AQ136)&gt;=器件参数!R137,MAX(AN136:AQ136)&lt;=器件参数!S137),TRUE),IF(AND(器件参数!E137="mixer",器件参数!U137="difference"),OR(器件参数!T137&lt;MIN(AN136:AQ136),器件参数!T137&gt;MAX(AN136:AQ136)),TRUE))))</f>
        <v>1</v>
      </c>
    </row>
    <row r="138" hidden="1" spans="1:44">
      <c r="A138" s="5">
        <f>器件参数!A138</f>
        <v>135</v>
      </c>
      <c r="B138" s="5" t="str">
        <f>器件参数!D138</f>
        <v/>
      </c>
      <c r="C138" s="5">
        <f>IF(NOT(器件参数!B138),0,IF(AND(ISNUMBER(器件参数!F138),ABS(器件参数!F138)&lt;=300),器件参数!F138,""))</f>
        <v>0</v>
      </c>
      <c r="D138" s="5">
        <f t="shared" si="38"/>
        <v>20</v>
      </c>
      <c r="E138" s="5">
        <f t="shared" si="39"/>
        <v>20</v>
      </c>
      <c r="F138" s="5">
        <f t="shared" si="40"/>
        <v>100</v>
      </c>
      <c r="G138" s="5">
        <f>IFERROR(IF(NOT(器件参数!B138),1,IF(NOT(OR(器件参数!E138&lt;&gt;"mixer",AND(OR(器件参数!V138="SSB",器件参数!V138="DSB"),器件参数!W138=TRUE))),"",IF(器件参数!G138="ideal",1,IF(AND(器件参数!G138="manual",ISNUMBER(器件参数!H138),器件参数!H138&gt;=0),10^(器件参数!H138/10),IF(AND(器件参数!G138="passive_thermal",OR(器件参数!E138="filter_bpf",器件参数!E138="filter_lpf",器件参数!E138="filter_hpf",器件参数!E138="filter_bsf",器件参数!E138="attenuator",器件参数!E138="cable",器件参数!E138="connector",器件参数!E138="switch",器件参数!E138="isolator",器件参数!E138="coupler",器件参数!E138="splitter"),AND(ISNUMBER(器件参数!F138),ABS(器件参数!F138)&lt;=300),器件参数!F138&lt;=0,ISNUMBER(器件参数!I138),器件参数!I138&gt;0),1+(10^(-器件参数!F138/10)-1)*器件参数!I138/Tref_K,""))))),"数值域错误")</f>
        <v>1</v>
      </c>
      <c r="H138" s="5">
        <f t="shared" si="41"/>
        <v>2.29336948552238</v>
      </c>
      <c r="I138" s="5">
        <f t="shared" si="42"/>
        <v>3.604740296957</v>
      </c>
      <c r="J138" s="5">
        <f>IF(AND(ISNUMBER(Pin_dBm),ISNUMBER(D138)),Pin_dBm+D138,"")</f>
        <v>-10</v>
      </c>
      <c r="K138" s="5">
        <f>IF(AND(ISNUMBER(Pin_dBm),ISNUMBER(E138)),Pin_dBm+E138,"")</f>
        <v>-10</v>
      </c>
      <c r="L138" s="5" t="str">
        <f>IF(AND(器件参数!J138="finite",ISNUMBER(器件参数!L138),ISNUMBER(C138)),IF(器件参数!K138="input",器件参数!L138,IF(器件参数!K138="output",器件参数!L138-C138,"")),"")</f>
        <v/>
      </c>
      <c r="M138" s="5">
        <f>IFERROR(IF(NOT(ISNUMBER(M137)),"",IF(OR(NOT(器件参数!B138),器件参数!J138="ideal"),M137,IF(AND(ISNUMBER(L138),ISNUMBER(F138)),M137+F138/10^(L138/10),""))),"数值域错误")</f>
        <v>0.2</v>
      </c>
      <c r="N138" s="5">
        <f t="shared" si="43"/>
        <v>6.98970004336019</v>
      </c>
      <c r="O138" s="5">
        <f t="shared" si="44"/>
        <v>26.9897000433602</v>
      </c>
      <c r="P138" s="5" t="str">
        <f>IF(AND(器件参数!M138="finite",ISNUMBER(器件参数!O138),ISNUMBER(C138)),IF(器件参数!N138="input",器件参数!O138,IF(器件参数!N138="actual_output",器件参数!O138-C138+1,IF(器件参数!N138="linear_output",器件参数!O138-C138,""))),"")</f>
        <v/>
      </c>
      <c r="Q138" s="5">
        <f>IF(器件参数!P138="",IF(AND(ISNUMBER(DefaultP),DefaultP&gt;=1,DefaultP&lt;=10),DefaultP,""),IF(AND(ISNUMBER(器件参数!P138),器件参数!P138&gt;=1,器件参数!P138&lt;=10),器件参数!P138,""))</f>
        <v>2</v>
      </c>
      <c r="R138" s="5">
        <f t="shared" si="45"/>
        <v>-10.0000139708288</v>
      </c>
      <c r="S138" s="5" t="str">
        <f t="shared" si="46"/>
        <v/>
      </c>
      <c r="T138" s="5">
        <f t="shared" si="47"/>
        <v>0</v>
      </c>
      <c r="U138" s="5">
        <f t="shared" si="48"/>
        <v>-10.0000139708288</v>
      </c>
      <c r="V138" s="5">
        <f>IF(AND(ISNUMBER(Pin_dBm),ISNUMBER(E138),ISNUMBER(U138)),Pin_dBm+E138-U138,"")</f>
        <v>1.39708287854035e-5</v>
      </c>
      <c r="W138" s="5" t="str">
        <f>IF(AND(器件参数!B138,X138=1,ISNUMBER(D138)),P138-D138,"")</f>
        <v/>
      </c>
      <c r="X138" s="5">
        <f>IF(NOT(ISNUMBER(C138)),-1,IF(OR(NOT(器件参数!B138),器件参数!M138="ideal"),0,IF(AND(ISNUMBER(P138),ISNUMBER(Q138)),1,-1)))</f>
        <v>0</v>
      </c>
      <c r="Y138" s="5" t="str">
        <f t="shared" si="49"/>
        <v>有效</v>
      </c>
      <c r="Z138" s="5" t="str">
        <f t="shared" si="50"/>
        <v>有效</v>
      </c>
      <c r="AA138" s="5" t="str">
        <f t="shared" si="51"/>
        <v>模型估算</v>
      </c>
      <c r="AB138" s="5">
        <f t="shared" si="52"/>
        <v>100000000</v>
      </c>
      <c r="AC138" s="5">
        <f>IF(NOT(ISNUMBER(AB138)),"",IF(OR(NOT(器件参数!B138),器件参数!E138&lt;&gt;"mixer"),AB138,IF(AND(ISNUMBER(器件参数!T138),器件参数!T138&gt;0),IF(器件参数!U138="sum",AB138+器件参数!T138,IF(器件参数!U138="difference",ABS(AB138-器件参数!T138),"")),"")))</f>
        <v>100000000</v>
      </c>
      <c r="AD138" s="5">
        <f t="shared" si="53"/>
        <v>0</v>
      </c>
      <c r="AE138" s="5">
        <f>IF(AND(ISNUMBER(G138),ISNUMBER(F138)),Tref_K*(G138-1)/F138,"")</f>
        <v>0</v>
      </c>
      <c r="AF138" s="5">
        <f>IF(AND(ISNUMBER(H138),ISNUMBER(E138),NoiseConfigOK),10*LOG10(Boltzmann*Bnoise_Hz*(Tsource_K+Tref_K*(H138-1)))+30+E138,"")</f>
        <v>-90.3704468972711</v>
      </c>
      <c r="AG138" s="5">
        <f t="shared" si="54"/>
        <v>80.3704468972711</v>
      </c>
      <c r="AH138" s="5">
        <f>IF(AND(ToneEnabled,ISNUMBER(E138),ISNUMBER(TonePin)),TonePin+E138,"")</f>
        <v>-10</v>
      </c>
      <c r="AI138" s="5">
        <f>IF(AND(ToneEnabled,ISNUMBER(E138),ISNUMBER(N138),ISNUMBER(TonePin)),3*TonePin+E138-2*N138,"")</f>
        <v>-83.9794000867204</v>
      </c>
      <c r="AJ138" s="5" t="str">
        <f t="shared" si="55"/>
        <v/>
      </c>
      <c r="AK138" s="5" t="str">
        <f>IF(NOT(器件参数!B138),"旁路",IF(NOT(ISNUMBER(AC138)),"频率未知",IF(AC138&lt;=SignalBW/2,"跨零频",IF(AND(ISNUMBER(器件参数!R138),ISNUMBER(器件参数!S138)),IF(AND(AB138-SignalBW/2&gt;=器件参数!R138,AB138+SignalBW/2&lt;=器件参数!S138),"有效","超声明通带"),"未声明通带"))))</f>
        <v>旁路</v>
      </c>
      <c r="AL138" s="5">
        <f t="shared" si="56"/>
        <v>0</v>
      </c>
      <c r="AM138" s="5" t="str">
        <f>IF(AND(器件参数!B138,ISNUMBER(器件参数!X138),OR(AND(ISNUMBER(J138),J138&gt;器件参数!X138),IF(AND(ToneEnabled,ISNUMBER(TonePin),ISNUMBER(D138)),TonePin+10*LOG10(2)+D138&gt;器件参数!X138,FALSE))),"超过绝对最大输入额定值","")</f>
        <v/>
      </c>
      <c r="AN138" s="5">
        <f>IF(NOT(ISNUMBER(AN137)),"",IF(OR(NOT(器件参数!B138),器件参数!E138&lt;&gt;"mixer"),AN137,IF(AND(ISNUMBER(器件参数!T138),器件参数!T138&gt;0),IF(器件参数!U138="sum",AN137+器件参数!T138,ABS(AN137-器件参数!T138)),"")))</f>
        <v>99950000</v>
      </c>
      <c r="AO138" s="5">
        <f>IF(NOT(ISNUMBER(AO137)),"",IF(OR(NOT(器件参数!B138),器件参数!E138&lt;&gt;"mixer"),AO137,IF(AND(ISNUMBER(器件参数!T138),器件参数!T138&gt;0),IF(器件参数!U138="sum",AO137+器件参数!T138,ABS(AO137-器件参数!T138)),"")))</f>
        <v>100050000</v>
      </c>
      <c r="AP138" s="5">
        <f>IF(NOT(ISNUMBER(AP137)),"",IF(OR(NOT(器件参数!B138),器件参数!E138&lt;&gt;"mixer"),AP137,IF(AND(ISNUMBER(器件参数!T138),器件参数!T138&gt;0),IF(器件参数!U138="sum",AP137+器件参数!T138,ABS(AP137-器件参数!T138)),"")))</f>
        <v>99850000</v>
      </c>
      <c r="AQ138" s="5">
        <f>IF(NOT(ISNUMBER(AQ137)),"",IF(OR(NOT(器件参数!B138),器件参数!E138&lt;&gt;"mixer"),AQ137,IF(AND(ISNUMBER(器件参数!T138),器件参数!T138&gt;0),IF(器件参数!U138="sum",AQ137+器件参数!T138,ABS(AQ137-器件参数!T138)),"")))</f>
        <v>100150000</v>
      </c>
      <c r="AR138" s="5" t="b">
        <f>IF(NOT(AR137),FALSE,IF(NOT(器件参数!B138),TRUE,AND(COUNT(AN138:AQ138)=4,MIN(AN138:AQ138)&gt;0,IF(AND(ISNUMBER(器件参数!R138),ISNUMBER(器件参数!S138)),AND(MIN(AN137:AQ137)&gt;=器件参数!R138,MAX(AN137:AQ137)&lt;=器件参数!S138),TRUE),IF(AND(器件参数!E138="mixer",器件参数!U138="difference"),OR(器件参数!T138&lt;MIN(AN137:AQ137),器件参数!T138&gt;MAX(AN137:AQ137)),TRUE))))</f>
        <v>1</v>
      </c>
    </row>
    <row r="139" hidden="1" spans="1:44">
      <c r="A139" s="5">
        <f>器件参数!A139</f>
        <v>136</v>
      </c>
      <c r="B139" s="5" t="str">
        <f>器件参数!D139</f>
        <v/>
      </c>
      <c r="C139" s="5">
        <f>IF(NOT(器件参数!B139),0,IF(AND(ISNUMBER(器件参数!F139),ABS(器件参数!F139)&lt;=300),器件参数!F139,""))</f>
        <v>0</v>
      </c>
      <c r="D139" s="5">
        <f t="shared" si="38"/>
        <v>20</v>
      </c>
      <c r="E139" s="5">
        <f t="shared" si="39"/>
        <v>20</v>
      </c>
      <c r="F139" s="5">
        <f t="shared" si="40"/>
        <v>100</v>
      </c>
      <c r="G139" s="5">
        <f>IFERROR(IF(NOT(器件参数!B139),1,IF(NOT(OR(器件参数!E139&lt;&gt;"mixer",AND(OR(器件参数!V139="SSB",器件参数!V139="DSB"),器件参数!W139=TRUE))),"",IF(器件参数!G139="ideal",1,IF(AND(器件参数!G139="manual",ISNUMBER(器件参数!H139),器件参数!H139&gt;=0),10^(器件参数!H139/10),IF(AND(器件参数!G139="passive_thermal",OR(器件参数!E139="filter_bpf",器件参数!E139="filter_lpf",器件参数!E139="filter_hpf",器件参数!E139="filter_bsf",器件参数!E139="attenuator",器件参数!E139="cable",器件参数!E139="connector",器件参数!E139="switch",器件参数!E139="isolator",器件参数!E139="coupler",器件参数!E139="splitter"),AND(ISNUMBER(器件参数!F139),ABS(器件参数!F139)&lt;=300),器件参数!F139&lt;=0,ISNUMBER(器件参数!I139),器件参数!I139&gt;0),1+(10^(-器件参数!F139/10)-1)*器件参数!I139/Tref_K,""))))),"数值域错误")</f>
        <v>1</v>
      </c>
      <c r="H139" s="5">
        <f t="shared" si="41"/>
        <v>2.29336948552238</v>
      </c>
      <c r="I139" s="5">
        <f t="shared" si="42"/>
        <v>3.604740296957</v>
      </c>
      <c r="J139" s="5">
        <f>IF(AND(ISNUMBER(Pin_dBm),ISNUMBER(D139)),Pin_dBm+D139,"")</f>
        <v>-10</v>
      </c>
      <c r="K139" s="5">
        <f>IF(AND(ISNUMBER(Pin_dBm),ISNUMBER(E139)),Pin_dBm+E139,"")</f>
        <v>-10</v>
      </c>
      <c r="L139" s="5" t="str">
        <f>IF(AND(器件参数!J139="finite",ISNUMBER(器件参数!L139),ISNUMBER(C139)),IF(器件参数!K139="input",器件参数!L139,IF(器件参数!K139="output",器件参数!L139-C139,"")),"")</f>
        <v/>
      </c>
      <c r="M139" s="5">
        <f>IFERROR(IF(NOT(ISNUMBER(M138)),"",IF(OR(NOT(器件参数!B139),器件参数!J139="ideal"),M138,IF(AND(ISNUMBER(L139),ISNUMBER(F139)),M138+F139/10^(L139/10),""))),"数值域错误")</f>
        <v>0.2</v>
      </c>
      <c r="N139" s="5">
        <f t="shared" si="43"/>
        <v>6.98970004336019</v>
      </c>
      <c r="O139" s="5">
        <f t="shared" si="44"/>
        <v>26.9897000433602</v>
      </c>
      <c r="P139" s="5" t="str">
        <f>IF(AND(器件参数!M139="finite",ISNUMBER(器件参数!O139),ISNUMBER(C139)),IF(器件参数!N139="input",器件参数!O139,IF(器件参数!N139="actual_output",器件参数!O139-C139+1,IF(器件参数!N139="linear_output",器件参数!O139-C139,""))),"")</f>
        <v/>
      </c>
      <c r="Q139" s="5">
        <f>IF(器件参数!P139="",IF(AND(ISNUMBER(DefaultP),DefaultP&gt;=1,DefaultP&lt;=10),DefaultP,""),IF(AND(ISNUMBER(器件参数!P139),器件参数!P139&gt;=1,器件参数!P139&lt;=10),器件参数!P139,""))</f>
        <v>2</v>
      </c>
      <c r="R139" s="5">
        <f t="shared" si="45"/>
        <v>-10.0000139708288</v>
      </c>
      <c r="S139" s="5" t="str">
        <f t="shared" si="46"/>
        <v/>
      </c>
      <c r="T139" s="5">
        <f t="shared" si="47"/>
        <v>0</v>
      </c>
      <c r="U139" s="5">
        <f t="shared" si="48"/>
        <v>-10.0000139708288</v>
      </c>
      <c r="V139" s="5">
        <f>IF(AND(ISNUMBER(Pin_dBm),ISNUMBER(E139),ISNUMBER(U139)),Pin_dBm+E139-U139,"")</f>
        <v>1.39708287854035e-5</v>
      </c>
      <c r="W139" s="5" t="str">
        <f>IF(AND(器件参数!B139,X139=1,ISNUMBER(D139)),P139-D139,"")</f>
        <v/>
      </c>
      <c r="X139" s="5">
        <f>IF(NOT(ISNUMBER(C139)),-1,IF(OR(NOT(器件参数!B139),器件参数!M139="ideal"),0,IF(AND(ISNUMBER(P139),ISNUMBER(Q139)),1,-1)))</f>
        <v>0</v>
      </c>
      <c r="Y139" s="5" t="str">
        <f t="shared" si="49"/>
        <v>有效</v>
      </c>
      <c r="Z139" s="5" t="str">
        <f t="shared" si="50"/>
        <v>有效</v>
      </c>
      <c r="AA139" s="5" t="str">
        <f t="shared" si="51"/>
        <v>模型估算</v>
      </c>
      <c r="AB139" s="5">
        <f t="shared" si="52"/>
        <v>100000000</v>
      </c>
      <c r="AC139" s="5">
        <f>IF(NOT(ISNUMBER(AB139)),"",IF(OR(NOT(器件参数!B139),器件参数!E139&lt;&gt;"mixer"),AB139,IF(AND(ISNUMBER(器件参数!T139),器件参数!T139&gt;0),IF(器件参数!U139="sum",AB139+器件参数!T139,IF(器件参数!U139="difference",ABS(AB139-器件参数!T139),"")),"")))</f>
        <v>100000000</v>
      </c>
      <c r="AD139" s="5">
        <f t="shared" si="53"/>
        <v>0</v>
      </c>
      <c r="AE139" s="5">
        <f>IF(AND(ISNUMBER(G139),ISNUMBER(F139)),Tref_K*(G139-1)/F139,"")</f>
        <v>0</v>
      </c>
      <c r="AF139" s="5">
        <f>IF(AND(ISNUMBER(H139),ISNUMBER(E139),NoiseConfigOK),10*LOG10(Boltzmann*Bnoise_Hz*(Tsource_K+Tref_K*(H139-1)))+30+E139,"")</f>
        <v>-90.3704468972711</v>
      </c>
      <c r="AG139" s="5">
        <f t="shared" si="54"/>
        <v>80.3704468972711</v>
      </c>
      <c r="AH139" s="5">
        <f>IF(AND(ToneEnabled,ISNUMBER(E139),ISNUMBER(TonePin)),TonePin+E139,"")</f>
        <v>-10</v>
      </c>
      <c r="AI139" s="5">
        <f>IF(AND(ToneEnabled,ISNUMBER(E139),ISNUMBER(N139),ISNUMBER(TonePin)),3*TonePin+E139-2*N139,"")</f>
        <v>-83.9794000867204</v>
      </c>
      <c r="AJ139" s="5" t="str">
        <f t="shared" si="55"/>
        <v/>
      </c>
      <c r="AK139" s="5" t="str">
        <f>IF(NOT(器件参数!B139),"旁路",IF(NOT(ISNUMBER(AC139)),"频率未知",IF(AC139&lt;=SignalBW/2,"跨零频",IF(AND(ISNUMBER(器件参数!R139),ISNUMBER(器件参数!S139)),IF(AND(AB139-SignalBW/2&gt;=器件参数!R139,AB139+SignalBW/2&lt;=器件参数!S139),"有效","超声明通带"),"未声明通带"))))</f>
        <v>旁路</v>
      </c>
      <c r="AL139" s="5">
        <f t="shared" si="56"/>
        <v>0</v>
      </c>
      <c r="AM139" s="5" t="str">
        <f>IF(AND(器件参数!B139,ISNUMBER(器件参数!X139),OR(AND(ISNUMBER(J139),J139&gt;器件参数!X139),IF(AND(ToneEnabled,ISNUMBER(TonePin),ISNUMBER(D139)),TonePin+10*LOG10(2)+D139&gt;器件参数!X139,FALSE))),"超过绝对最大输入额定值","")</f>
        <v/>
      </c>
      <c r="AN139" s="5">
        <f>IF(NOT(ISNUMBER(AN138)),"",IF(OR(NOT(器件参数!B139),器件参数!E139&lt;&gt;"mixer"),AN138,IF(AND(ISNUMBER(器件参数!T139),器件参数!T139&gt;0),IF(器件参数!U139="sum",AN138+器件参数!T139,ABS(AN138-器件参数!T139)),"")))</f>
        <v>99950000</v>
      </c>
      <c r="AO139" s="5">
        <f>IF(NOT(ISNUMBER(AO138)),"",IF(OR(NOT(器件参数!B139),器件参数!E139&lt;&gt;"mixer"),AO138,IF(AND(ISNUMBER(器件参数!T139),器件参数!T139&gt;0),IF(器件参数!U139="sum",AO138+器件参数!T139,ABS(AO138-器件参数!T139)),"")))</f>
        <v>100050000</v>
      </c>
      <c r="AP139" s="5">
        <f>IF(NOT(ISNUMBER(AP138)),"",IF(OR(NOT(器件参数!B139),器件参数!E139&lt;&gt;"mixer"),AP138,IF(AND(ISNUMBER(器件参数!T139),器件参数!T139&gt;0),IF(器件参数!U139="sum",AP138+器件参数!T139,ABS(AP138-器件参数!T139)),"")))</f>
        <v>99850000</v>
      </c>
      <c r="AQ139" s="5">
        <f>IF(NOT(ISNUMBER(AQ138)),"",IF(OR(NOT(器件参数!B139),器件参数!E139&lt;&gt;"mixer"),AQ138,IF(AND(ISNUMBER(器件参数!T139),器件参数!T139&gt;0),IF(器件参数!U139="sum",AQ138+器件参数!T139,ABS(AQ138-器件参数!T139)),"")))</f>
        <v>100150000</v>
      </c>
      <c r="AR139" s="5" t="b">
        <f>IF(NOT(AR138),FALSE,IF(NOT(器件参数!B139),TRUE,AND(COUNT(AN139:AQ139)=4,MIN(AN139:AQ139)&gt;0,IF(AND(ISNUMBER(器件参数!R139),ISNUMBER(器件参数!S139)),AND(MIN(AN138:AQ138)&gt;=器件参数!R139,MAX(AN138:AQ138)&lt;=器件参数!S139),TRUE),IF(AND(器件参数!E139="mixer",器件参数!U139="difference"),OR(器件参数!T139&lt;MIN(AN138:AQ138),器件参数!T139&gt;MAX(AN138:AQ138)),TRUE))))</f>
        <v>1</v>
      </c>
    </row>
    <row r="140" hidden="1" spans="1:44">
      <c r="A140" s="5">
        <f>器件参数!A140</f>
        <v>137</v>
      </c>
      <c r="B140" s="5" t="str">
        <f>器件参数!D140</f>
        <v/>
      </c>
      <c r="C140" s="5">
        <f>IF(NOT(器件参数!B140),0,IF(AND(ISNUMBER(器件参数!F140),ABS(器件参数!F140)&lt;=300),器件参数!F140,""))</f>
        <v>0</v>
      </c>
      <c r="D140" s="5">
        <f t="shared" si="38"/>
        <v>20</v>
      </c>
      <c r="E140" s="5">
        <f t="shared" si="39"/>
        <v>20</v>
      </c>
      <c r="F140" s="5">
        <f t="shared" si="40"/>
        <v>100</v>
      </c>
      <c r="G140" s="5">
        <f>IFERROR(IF(NOT(器件参数!B140),1,IF(NOT(OR(器件参数!E140&lt;&gt;"mixer",AND(OR(器件参数!V140="SSB",器件参数!V140="DSB"),器件参数!W140=TRUE))),"",IF(器件参数!G140="ideal",1,IF(AND(器件参数!G140="manual",ISNUMBER(器件参数!H140),器件参数!H140&gt;=0),10^(器件参数!H140/10),IF(AND(器件参数!G140="passive_thermal",OR(器件参数!E140="filter_bpf",器件参数!E140="filter_lpf",器件参数!E140="filter_hpf",器件参数!E140="filter_bsf",器件参数!E140="attenuator",器件参数!E140="cable",器件参数!E140="connector",器件参数!E140="switch",器件参数!E140="isolator",器件参数!E140="coupler",器件参数!E140="splitter"),AND(ISNUMBER(器件参数!F140),ABS(器件参数!F140)&lt;=300),器件参数!F140&lt;=0,ISNUMBER(器件参数!I140),器件参数!I140&gt;0),1+(10^(-器件参数!F140/10)-1)*器件参数!I140/Tref_K,""))))),"数值域错误")</f>
        <v>1</v>
      </c>
      <c r="H140" s="5">
        <f t="shared" si="41"/>
        <v>2.29336948552238</v>
      </c>
      <c r="I140" s="5">
        <f t="shared" si="42"/>
        <v>3.604740296957</v>
      </c>
      <c r="J140" s="5">
        <f>IF(AND(ISNUMBER(Pin_dBm),ISNUMBER(D140)),Pin_dBm+D140,"")</f>
        <v>-10</v>
      </c>
      <c r="K140" s="5">
        <f>IF(AND(ISNUMBER(Pin_dBm),ISNUMBER(E140)),Pin_dBm+E140,"")</f>
        <v>-10</v>
      </c>
      <c r="L140" s="5" t="str">
        <f>IF(AND(器件参数!J140="finite",ISNUMBER(器件参数!L140),ISNUMBER(C140)),IF(器件参数!K140="input",器件参数!L140,IF(器件参数!K140="output",器件参数!L140-C140,"")),"")</f>
        <v/>
      </c>
      <c r="M140" s="5">
        <f>IFERROR(IF(NOT(ISNUMBER(M139)),"",IF(OR(NOT(器件参数!B140),器件参数!J140="ideal"),M139,IF(AND(ISNUMBER(L140),ISNUMBER(F140)),M139+F140/10^(L140/10),""))),"数值域错误")</f>
        <v>0.2</v>
      </c>
      <c r="N140" s="5">
        <f t="shared" si="43"/>
        <v>6.98970004336019</v>
      </c>
      <c r="O140" s="5">
        <f t="shared" si="44"/>
        <v>26.9897000433602</v>
      </c>
      <c r="P140" s="5" t="str">
        <f>IF(AND(器件参数!M140="finite",ISNUMBER(器件参数!O140),ISNUMBER(C140)),IF(器件参数!N140="input",器件参数!O140,IF(器件参数!N140="actual_output",器件参数!O140-C140+1,IF(器件参数!N140="linear_output",器件参数!O140-C140,""))),"")</f>
        <v/>
      </c>
      <c r="Q140" s="5">
        <f>IF(器件参数!P140="",IF(AND(ISNUMBER(DefaultP),DefaultP&gt;=1,DefaultP&lt;=10),DefaultP,""),IF(AND(ISNUMBER(器件参数!P140),器件参数!P140&gt;=1,器件参数!P140&lt;=10),器件参数!P140,""))</f>
        <v>2</v>
      </c>
      <c r="R140" s="5">
        <f t="shared" si="45"/>
        <v>-10.0000139708288</v>
      </c>
      <c r="S140" s="5" t="str">
        <f t="shared" si="46"/>
        <v/>
      </c>
      <c r="T140" s="5">
        <f t="shared" si="47"/>
        <v>0</v>
      </c>
      <c r="U140" s="5">
        <f t="shared" si="48"/>
        <v>-10.0000139708288</v>
      </c>
      <c r="V140" s="5">
        <f>IF(AND(ISNUMBER(Pin_dBm),ISNUMBER(E140),ISNUMBER(U140)),Pin_dBm+E140-U140,"")</f>
        <v>1.39708287854035e-5</v>
      </c>
      <c r="W140" s="5" t="str">
        <f>IF(AND(器件参数!B140,X140=1,ISNUMBER(D140)),P140-D140,"")</f>
        <v/>
      </c>
      <c r="X140" s="5">
        <f>IF(NOT(ISNUMBER(C140)),-1,IF(OR(NOT(器件参数!B140),器件参数!M140="ideal"),0,IF(AND(ISNUMBER(P140),ISNUMBER(Q140)),1,-1)))</f>
        <v>0</v>
      </c>
      <c r="Y140" s="5" t="str">
        <f t="shared" si="49"/>
        <v>有效</v>
      </c>
      <c r="Z140" s="5" t="str">
        <f t="shared" si="50"/>
        <v>有效</v>
      </c>
      <c r="AA140" s="5" t="str">
        <f t="shared" si="51"/>
        <v>模型估算</v>
      </c>
      <c r="AB140" s="5">
        <f t="shared" si="52"/>
        <v>100000000</v>
      </c>
      <c r="AC140" s="5">
        <f>IF(NOT(ISNUMBER(AB140)),"",IF(OR(NOT(器件参数!B140),器件参数!E140&lt;&gt;"mixer"),AB140,IF(AND(ISNUMBER(器件参数!T140),器件参数!T140&gt;0),IF(器件参数!U140="sum",AB140+器件参数!T140,IF(器件参数!U140="difference",ABS(AB140-器件参数!T140),"")),"")))</f>
        <v>100000000</v>
      </c>
      <c r="AD140" s="5">
        <f t="shared" si="53"/>
        <v>0</v>
      </c>
      <c r="AE140" s="5">
        <f>IF(AND(ISNUMBER(G140),ISNUMBER(F140)),Tref_K*(G140-1)/F140,"")</f>
        <v>0</v>
      </c>
      <c r="AF140" s="5">
        <f>IF(AND(ISNUMBER(H140),ISNUMBER(E140),NoiseConfigOK),10*LOG10(Boltzmann*Bnoise_Hz*(Tsource_K+Tref_K*(H140-1)))+30+E140,"")</f>
        <v>-90.3704468972711</v>
      </c>
      <c r="AG140" s="5">
        <f t="shared" si="54"/>
        <v>80.3704468972711</v>
      </c>
      <c r="AH140" s="5">
        <f>IF(AND(ToneEnabled,ISNUMBER(E140),ISNUMBER(TonePin)),TonePin+E140,"")</f>
        <v>-10</v>
      </c>
      <c r="AI140" s="5">
        <f>IF(AND(ToneEnabled,ISNUMBER(E140),ISNUMBER(N140),ISNUMBER(TonePin)),3*TonePin+E140-2*N140,"")</f>
        <v>-83.9794000867204</v>
      </c>
      <c r="AJ140" s="5" t="str">
        <f t="shared" si="55"/>
        <v/>
      </c>
      <c r="AK140" s="5" t="str">
        <f>IF(NOT(器件参数!B140),"旁路",IF(NOT(ISNUMBER(AC140)),"频率未知",IF(AC140&lt;=SignalBW/2,"跨零频",IF(AND(ISNUMBER(器件参数!R140),ISNUMBER(器件参数!S140)),IF(AND(AB140-SignalBW/2&gt;=器件参数!R140,AB140+SignalBW/2&lt;=器件参数!S140),"有效","超声明通带"),"未声明通带"))))</f>
        <v>旁路</v>
      </c>
      <c r="AL140" s="5">
        <f t="shared" si="56"/>
        <v>0</v>
      </c>
      <c r="AM140" s="5" t="str">
        <f>IF(AND(器件参数!B140,ISNUMBER(器件参数!X140),OR(AND(ISNUMBER(J140),J140&gt;器件参数!X140),IF(AND(ToneEnabled,ISNUMBER(TonePin),ISNUMBER(D140)),TonePin+10*LOG10(2)+D140&gt;器件参数!X140,FALSE))),"超过绝对最大输入额定值","")</f>
        <v/>
      </c>
      <c r="AN140" s="5">
        <f>IF(NOT(ISNUMBER(AN139)),"",IF(OR(NOT(器件参数!B140),器件参数!E140&lt;&gt;"mixer"),AN139,IF(AND(ISNUMBER(器件参数!T140),器件参数!T140&gt;0),IF(器件参数!U140="sum",AN139+器件参数!T140,ABS(AN139-器件参数!T140)),"")))</f>
        <v>99950000</v>
      </c>
      <c r="AO140" s="5">
        <f>IF(NOT(ISNUMBER(AO139)),"",IF(OR(NOT(器件参数!B140),器件参数!E140&lt;&gt;"mixer"),AO139,IF(AND(ISNUMBER(器件参数!T140),器件参数!T140&gt;0),IF(器件参数!U140="sum",AO139+器件参数!T140,ABS(AO139-器件参数!T140)),"")))</f>
        <v>100050000</v>
      </c>
      <c r="AP140" s="5">
        <f>IF(NOT(ISNUMBER(AP139)),"",IF(OR(NOT(器件参数!B140),器件参数!E140&lt;&gt;"mixer"),AP139,IF(AND(ISNUMBER(器件参数!T140),器件参数!T140&gt;0),IF(器件参数!U140="sum",AP139+器件参数!T140,ABS(AP139-器件参数!T140)),"")))</f>
        <v>99850000</v>
      </c>
      <c r="AQ140" s="5">
        <f>IF(NOT(ISNUMBER(AQ139)),"",IF(OR(NOT(器件参数!B140),器件参数!E140&lt;&gt;"mixer"),AQ139,IF(AND(ISNUMBER(器件参数!T140),器件参数!T140&gt;0),IF(器件参数!U140="sum",AQ139+器件参数!T140,ABS(AQ139-器件参数!T140)),"")))</f>
        <v>100150000</v>
      </c>
      <c r="AR140" s="5" t="b">
        <f>IF(NOT(AR139),FALSE,IF(NOT(器件参数!B140),TRUE,AND(COUNT(AN140:AQ140)=4,MIN(AN140:AQ140)&gt;0,IF(AND(ISNUMBER(器件参数!R140),ISNUMBER(器件参数!S140)),AND(MIN(AN139:AQ139)&gt;=器件参数!R140,MAX(AN139:AQ139)&lt;=器件参数!S140),TRUE),IF(AND(器件参数!E140="mixer",器件参数!U140="difference"),OR(器件参数!T140&lt;MIN(AN139:AQ139),器件参数!T140&gt;MAX(AN139:AQ139)),TRUE))))</f>
        <v>1</v>
      </c>
    </row>
    <row r="141" hidden="1" spans="1:44">
      <c r="A141" s="5">
        <f>器件参数!A141</f>
        <v>138</v>
      </c>
      <c r="B141" s="5" t="str">
        <f>器件参数!D141</f>
        <v/>
      </c>
      <c r="C141" s="5">
        <f>IF(NOT(器件参数!B141),0,IF(AND(ISNUMBER(器件参数!F141),ABS(器件参数!F141)&lt;=300),器件参数!F141,""))</f>
        <v>0</v>
      </c>
      <c r="D141" s="5">
        <f t="shared" si="38"/>
        <v>20</v>
      </c>
      <c r="E141" s="5">
        <f t="shared" si="39"/>
        <v>20</v>
      </c>
      <c r="F141" s="5">
        <f t="shared" si="40"/>
        <v>100</v>
      </c>
      <c r="G141" s="5">
        <f>IFERROR(IF(NOT(器件参数!B141),1,IF(NOT(OR(器件参数!E141&lt;&gt;"mixer",AND(OR(器件参数!V141="SSB",器件参数!V141="DSB"),器件参数!W141=TRUE))),"",IF(器件参数!G141="ideal",1,IF(AND(器件参数!G141="manual",ISNUMBER(器件参数!H141),器件参数!H141&gt;=0),10^(器件参数!H141/10),IF(AND(器件参数!G141="passive_thermal",OR(器件参数!E141="filter_bpf",器件参数!E141="filter_lpf",器件参数!E141="filter_hpf",器件参数!E141="filter_bsf",器件参数!E141="attenuator",器件参数!E141="cable",器件参数!E141="connector",器件参数!E141="switch",器件参数!E141="isolator",器件参数!E141="coupler",器件参数!E141="splitter"),AND(ISNUMBER(器件参数!F141),ABS(器件参数!F141)&lt;=300),器件参数!F141&lt;=0,ISNUMBER(器件参数!I141),器件参数!I141&gt;0),1+(10^(-器件参数!F141/10)-1)*器件参数!I141/Tref_K,""))))),"数值域错误")</f>
        <v>1</v>
      </c>
      <c r="H141" s="5">
        <f t="shared" si="41"/>
        <v>2.29336948552238</v>
      </c>
      <c r="I141" s="5">
        <f t="shared" si="42"/>
        <v>3.604740296957</v>
      </c>
      <c r="J141" s="5">
        <f>IF(AND(ISNUMBER(Pin_dBm),ISNUMBER(D141)),Pin_dBm+D141,"")</f>
        <v>-10</v>
      </c>
      <c r="K141" s="5">
        <f>IF(AND(ISNUMBER(Pin_dBm),ISNUMBER(E141)),Pin_dBm+E141,"")</f>
        <v>-10</v>
      </c>
      <c r="L141" s="5" t="str">
        <f>IF(AND(器件参数!J141="finite",ISNUMBER(器件参数!L141),ISNUMBER(C141)),IF(器件参数!K141="input",器件参数!L141,IF(器件参数!K141="output",器件参数!L141-C141,"")),"")</f>
        <v/>
      </c>
      <c r="M141" s="5">
        <f>IFERROR(IF(NOT(ISNUMBER(M140)),"",IF(OR(NOT(器件参数!B141),器件参数!J141="ideal"),M140,IF(AND(ISNUMBER(L141),ISNUMBER(F141)),M140+F141/10^(L141/10),""))),"数值域错误")</f>
        <v>0.2</v>
      </c>
      <c r="N141" s="5">
        <f t="shared" si="43"/>
        <v>6.98970004336019</v>
      </c>
      <c r="O141" s="5">
        <f t="shared" si="44"/>
        <v>26.9897000433602</v>
      </c>
      <c r="P141" s="5" t="str">
        <f>IF(AND(器件参数!M141="finite",ISNUMBER(器件参数!O141),ISNUMBER(C141)),IF(器件参数!N141="input",器件参数!O141,IF(器件参数!N141="actual_output",器件参数!O141-C141+1,IF(器件参数!N141="linear_output",器件参数!O141-C141,""))),"")</f>
        <v/>
      </c>
      <c r="Q141" s="5">
        <f>IF(器件参数!P141="",IF(AND(ISNUMBER(DefaultP),DefaultP&gt;=1,DefaultP&lt;=10),DefaultP,""),IF(AND(ISNUMBER(器件参数!P141),器件参数!P141&gt;=1,器件参数!P141&lt;=10),器件参数!P141,""))</f>
        <v>2</v>
      </c>
      <c r="R141" s="5">
        <f t="shared" si="45"/>
        <v>-10.0000139708288</v>
      </c>
      <c r="S141" s="5" t="str">
        <f t="shared" si="46"/>
        <v/>
      </c>
      <c r="T141" s="5">
        <f t="shared" si="47"/>
        <v>0</v>
      </c>
      <c r="U141" s="5">
        <f t="shared" si="48"/>
        <v>-10.0000139708288</v>
      </c>
      <c r="V141" s="5">
        <f>IF(AND(ISNUMBER(Pin_dBm),ISNUMBER(E141),ISNUMBER(U141)),Pin_dBm+E141-U141,"")</f>
        <v>1.39708287854035e-5</v>
      </c>
      <c r="W141" s="5" t="str">
        <f>IF(AND(器件参数!B141,X141=1,ISNUMBER(D141)),P141-D141,"")</f>
        <v/>
      </c>
      <c r="X141" s="5">
        <f>IF(NOT(ISNUMBER(C141)),-1,IF(OR(NOT(器件参数!B141),器件参数!M141="ideal"),0,IF(AND(ISNUMBER(P141),ISNUMBER(Q141)),1,-1)))</f>
        <v>0</v>
      </c>
      <c r="Y141" s="5" t="str">
        <f t="shared" si="49"/>
        <v>有效</v>
      </c>
      <c r="Z141" s="5" t="str">
        <f t="shared" si="50"/>
        <v>有效</v>
      </c>
      <c r="AA141" s="5" t="str">
        <f t="shared" si="51"/>
        <v>模型估算</v>
      </c>
      <c r="AB141" s="5">
        <f t="shared" si="52"/>
        <v>100000000</v>
      </c>
      <c r="AC141" s="5">
        <f>IF(NOT(ISNUMBER(AB141)),"",IF(OR(NOT(器件参数!B141),器件参数!E141&lt;&gt;"mixer"),AB141,IF(AND(ISNUMBER(器件参数!T141),器件参数!T141&gt;0),IF(器件参数!U141="sum",AB141+器件参数!T141,IF(器件参数!U141="difference",ABS(AB141-器件参数!T141),"")),"")))</f>
        <v>100000000</v>
      </c>
      <c r="AD141" s="5">
        <f t="shared" si="53"/>
        <v>0</v>
      </c>
      <c r="AE141" s="5">
        <f>IF(AND(ISNUMBER(G141),ISNUMBER(F141)),Tref_K*(G141-1)/F141,"")</f>
        <v>0</v>
      </c>
      <c r="AF141" s="5">
        <f>IF(AND(ISNUMBER(H141),ISNUMBER(E141),NoiseConfigOK),10*LOG10(Boltzmann*Bnoise_Hz*(Tsource_K+Tref_K*(H141-1)))+30+E141,"")</f>
        <v>-90.3704468972711</v>
      </c>
      <c r="AG141" s="5">
        <f t="shared" si="54"/>
        <v>80.3704468972711</v>
      </c>
      <c r="AH141" s="5">
        <f>IF(AND(ToneEnabled,ISNUMBER(E141),ISNUMBER(TonePin)),TonePin+E141,"")</f>
        <v>-10</v>
      </c>
      <c r="AI141" s="5">
        <f>IF(AND(ToneEnabled,ISNUMBER(E141),ISNUMBER(N141),ISNUMBER(TonePin)),3*TonePin+E141-2*N141,"")</f>
        <v>-83.9794000867204</v>
      </c>
      <c r="AJ141" s="5" t="str">
        <f t="shared" si="55"/>
        <v/>
      </c>
      <c r="AK141" s="5" t="str">
        <f>IF(NOT(器件参数!B141),"旁路",IF(NOT(ISNUMBER(AC141)),"频率未知",IF(AC141&lt;=SignalBW/2,"跨零频",IF(AND(ISNUMBER(器件参数!R141),ISNUMBER(器件参数!S141)),IF(AND(AB141-SignalBW/2&gt;=器件参数!R141,AB141+SignalBW/2&lt;=器件参数!S141),"有效","超声明通带"),"未声明通带"))))</f>
        <v>旁路</v>
      </c>
      <c r="AL141" s="5">
        <f t="shared" si="56"/>
        <v>0</v>
      </c>
      <c r="AM141" s="5" t="str">
        <f>IF(AND(器件参数!B141,ISNUMBER(器件参数!X141),OR(AND(ISNUMBER(J141),J141&gt;器件参数!X141),IF(AND(ToneEnabled,ISNUMBER(TonePin),ISNUMBER(D141)),TonePin+10*LOG10(2)+D141&gt;器件参数!X141,FALSE))),"超过绝对最大输入额定值","")</f>
        <v/>
      </c>
      <c r="AN141" s="5">
        <f>IF(NOT(ISNUMBER(AN140)),"",IF(OR(NOT(器件参数!B141),器件参数!E141&lt;&gt;"mixer"),AN140,IF(AND(ISNUMBER(器件参数!T141),器件参数!T141&gt;0),IF(器件参数!U141="sum",AN140+器件参数!T141,ABS(AN140-器件参数!T141)),"")))</f>
        <v>99950000</v>
      </c>
      <c r="AO141" s="5">
        <f>IF(NOT(ISNUMBER(AO140)),"",IF(OR(NOT(器件参数!B141),器件参数!E141&lt;&gt;"mixer"),AO140,IF(AND(ISNUMBER(器件参数!T141),器件参数!T141&gt;0),IF(器件参数!U141="sum",AO140+器件参数!T141,ABS(AO140-器件参数!T141)),"")))</f>
        <v>100050000</v>
      </c>
      <c r="AP141" s="5">
        <f>IF(NOT(ISNUMBER(AP140)),"",IF(OR(NOT(器件参数!B141),器件参数!E141&lt;&gt;"mixer"),AP140,IF(AND(ISNUMBER(器件参数!T141),器件参数!T141&gt;0),IF(器件参数!U141="sum",AP140+器件参数!T141,ABS(AP140-器件参数!T141)),"")))</f>
        <v>99850000</v>
      </c>
      <c r="AQ141" s="5">
        <f>IF(NOT(ISNUMBER(AQ140)),"",IF(OR(NOT(器件参数!B141),器件参数!E141&lt;&gt;"mixer"),AQ140,IF(AND(ISNUMBER(器件参数!T141),器件参数!T141&gt;0),IF(器件参数!U141="sum",AQ140+器件参数!T141,ABS(AQ140-器件参数!T141)),"")))</f>
        <v>100150000</v>
      </c>
      <c r="AR141" s="5" t="b">
        <f>IF(NOT(AR140),FALSE,IF(NOT(器件参数!B141),TRUE,AND(COUNT(AN141:AQ141)=4,MIN(AN141:AQ141)&gt;0,IF(AND(ISNUMBER(器件参数!R141),ISNUMBER(器件参数!S141)),AND(MIN(AN140:AQ140)&gt;=器件参数!R141,MAX(AN140:AQ140)&lt;=器件参数!S141),TRUE),IF(AND(器件参数!E141="mixer",器件参数!U141="difference"),OR(器件参数!T141&lt;MIN(AN140:AQ140),器件参数!T141&gt;MAX(AN140:AQ140)),TRUE))))</f>
        <v>1</v>
      </c>
    </row>
    <row r="142" hidden="1" spans="1:44">
      <c r="A142" s="5">
        <f>器件参数!A142</f>
        <v>139</v>
      </c>
      <c r="B142" s="5" t="str">
        <f>器件参数!D142</f>
        <v/>
      </c>
      <c r="C142" s="5">
        <f>IF(NOT(器件参数!B142),0,IF(AND(ISNUMBER(器件参数!F142),ABS(器件参数!F142)&lt;=300),器件参数!F142,""))</f>
        <v>0</v>
      </c>
      <c r="D142" s="5">
        <f t="shared" si="38"/>
        <v>20</v>
      </c>
      <c r="E142" s="5">
        <f t="shared" si="39"/>
        <v>20</v>
      </c>
      <c r="F142" s="5">
        <f t="shared" si="40"/>
        <v>100</v>
      </c>
      <c r="G142" s="5">
        <f>IFERROR(IF(NOT(器件参数!B142),1,IF(NOT(OR(器件参数!E142&lt;&gt;"mixer",AND(OR(器件参数!V142="SSB",器件参数!V142="DSB"),器件参数!W142=TRUE))),"",IF(器件参数!G142="ideal",1,IF(AND(器件参数!G142="manual",ISNUMBER(器件参数!H142),器件参数!H142&gt;=0),10^(器件参数!H142/10),IF(AND(器件参数!G142="passive_thermal",OR(器件参数!E142="filter_bpf",器件参数!E142="filter_lpf",器件参数!E142="filter_hpf",器件参数!E142="filter_bsf",器件参数!E142="attenuator",器件参数!E142="cable",器件参数!E142="connector",器件参数!E142="switch",器件参数!E142="isolator",器件参数!E142="coupler",器件参数!E142="splitter"),AND(ISNUMBER(器件参数!F142),ABS(器件参数!F142)&lt;=300),器件参数!F142&lt;=0,ISNUMBER(器件参数!I142),器件参数!I142&gt;0),1+(10^(-器件参数!F142/10)-1)*器件参数!I142/Tref_K,""))))),"数值域错误")</f>
        <v>1</v>
      </c>
      <c r="H142" s="5">
        <f t="shared" si="41"/>
        <v>2.29336948552238</v>
      </c>
      <c r="I142" s="5">
        <f t="shared" si="42"/>
        <v>3.604740296957</v>
      </c>
      <c r="J142" s="5">
        <f>IF(AND(ISNUMBER(Pin_dBm),ISNUMBER(D142)),Pin_dBm+D142,"")</f>
        <v>-10</v>
      </c>
      <c r="K142" s="5">
        <f>IF(AND(ISNUMBER(Pin_dBm),ISNUMBER(E142)),Pin_dBm+E142,"")</f>
        <v>-10</v>
      </c>
      <c r="L142" s="5" t="str">
        <f>IF(AND(器件参数!J142="finite",ISNUMBER(器件参数!L142),ISNUMBER(C142)),IF(器件参数!K142="input",器件参数!L142,IF(器件参数!K142="output",器件参数!L142-C142,"")),"")</f>
        <v/>
      </c>
      <c r="M142" s="5">
        <f>IFERROR(IF(NOT(ISNUMBER(M141)),"",IF(OR(NOT(器件参数!B142),器件参数!J142="ideal"),M141,IF(AND(ISNUMBER(L142),ISNUMBER(F142)),M141+F142/10^(L142/10),""))),"数值域错误")</f>
        <v>0.2</v>
      </c>
      <c r="N142" s="5">
        <f t="shared" si="43"/>
        <v>6.98970004336019</v>
      </c>
      <c r="O142" s="5">
        <f t="shared" si="44"/>
        <v>26.9897000433602</v>
      </c>
      <c r="P142" s="5" t="str">
        <f>IF(AND(器件参数!M142="finite",ISNUMBER(器件参数!O142),ISNUMBER(C142)),IF(器件参数!N142="input",器件参数!O142,IF(器件参数!N142="actual_output",器件参数!O142-C142+1,IF(器件参数!N142="linear_output",器件参数!O142-C142,""))),"")</f>
        <v/>
      </c>
      <c r="Q142" s="5">
        <f>IF(器件参数!P142="",IF(AND(ISNUMBER(DefaultP),DefaultP&gt;=1,DefaultP&lt;=10),DefaultP,""),IF(AND(ISNUMBER(器件参数!P142),器件参数!P142&gt;=1,器件参数!P142&lt;=10),器件参数!P142,""))</f>
        <v>2</v>
      </c>
      <c r="R142" s="5">
        <f t="shared" si="45"/>
        <v>-10.0000139708288</v>
      </c>
      <c r="S142" s="5" t="str">
        <f t="shared" si="46"/>
        <v/>
      </c>
      <c r="T142" s="5">
        <f t="shared" si="47"/>
        <v>0</v>
      </c>
      <c r="U142" s="5">
        <f t="shared" si="48"/>
        <v>-10.0000139708288</v>
      </c>
      <c r="V142" s="5">
        <f>IF(AND(ISNUMBER(Pin_dBm),ISNUMBER(E142),ISNUMBER(U142)),Pin_dBm+E142-U142,"")</f>
        <v>1.39708287854035e-5</v>
      </c>
      <c r="W142" s="5" t="str">
        <f>IF(AND(器件参数!B142,X142=1,ISNUMBER(D142)),P142-D142,"")</f>
        <v/>
      </c>
      <c r="X142" s="5">
        <f>IF(NOT(ISNUMBER(C142)),-1,IF(OR(NOT(器件参数!B142),器件参数!M142="ideal"),0,IF(AND(ISNUMBER(P142),ISNUMBER(Q142)),1,-1)))</f>
        <v>0</v>
      </c>
      <c r="Y142" s="5" t="str">
        <f t="shared" si="49"/>
        <v>有效</v>
      </c>
      <c r="Z142" s="5" t="str">
        <f t="shared" si="50"/>
        <v>有效</v>
      </c>
      <c r="AA142" s="5" t="str">
        <f t="shared" si="51"/>
        <v>模型估算</v>
      </c>
      <c r="AB142" s="5">
        <f t="shared" si="52"/>
        <v>100000000</v>
      </c>
      <c r="AC142" s="5">
        <f>IF(NOT(ISNUMBER(AB142)),"",IF(OR(NOT(器件参数!B142),器件参数!E142&lt;&gt;"mixer"),AB142,IF(AND(ISNUMBER(器件参数!T142),器件参数!T142&gt;0),IF(器件参数!U142="sum",AB142+器件参数!T142,IF(器件参数!U142="difference",ABS(AB142-器件参数!T142),"")),"")))</f>
        <v>100000000</v>
      </c>
      <c r="AD142" s="5">
        <f t="shared" si="53"/>
        <v>0</v>
      </c>
      <c r="AE142" s="5">
        <f>IF(AND(ISNUMBER(G142),ISNUMBER(F142)),Tref_K*(G142-1)/F142,"")</f>
        <v>0</v>
      </c>
      <c r="AF142" s="5">
        <f>IF(AND(ISNUMBER(H142),ISNUMBER(E142),NoiseConfigOK),10*LOG10(Boltzmann*Bnoise_Hz*(Tsource_K+Tref_K*(H142-1)))+30+E142,"")</f>
        <v>-90.3704468972711</v>
      </c>
      <c r="AG142" s="5">
        <f t="shared" si="54"/>
        <v>80.3704468972711</v>
      </c>
      <c r="AH142" s="5">
        <f>IF(AND(ToneEnabled,ISNUMBER(E142),ISNUMBER(TonePin)),TonePin+E142,"")</f>
        <v>-10</v>
      </c>
      <c r="AI142" s="5">
        <f>IF(AND(ToneEnabled,ISNUMBER(E142),ISNUMBER(N142),ISNUMBER(TonePin)),3*TonePin+E142-2*N142,"")</f>
        <v>-83.9794000867204</v>
      </c>
      <c r="AJ142" s="5" t="str">
        <f t="shared" si="55"/>
        <v/>
      </c>
      <c r="AK142" s="5" t="str">
        <f>IF(NOT(器件参数!B142),"旁路",IF(NOT(ISNUMBER(AC142)),"频率未知",IF(AC142&lt;=SignalBW/2,"跨零频",IF(AND(ISNUMBER(器件参数!R142),ISNUMBER(器件参数!S142)),IF(AND(AB142-SignalBW/2&gt;=器件参数!R142,AB142+SignalBW/2&lt;=器件参数!S142),"有效","超声明通带"),"未声明通带"))))</f>
        <v>旁路</v>
      </c>
      <c r="AL142" s="5">
        <f t="shared" si="56"/>
        <v>0</v>
      </c>
      <c r="AM142" s="5" t="str">
        <f>IF(AND(器件参数!B142,ISNUMBER(器件参数!X142),OR(AND(ISNUMBER(J142),J142&gt;器件参数!X142),IF(AND(ToneEnabled,ISNUMBER(TonePin),ISNUMBER(D142)),TonePin+10*LOG10(2)+D142&gt;器件参数!X142,FALSE))),"超过绝对最大输入额定值","")</f>
        <v/>
      </c>
      <c r="AN142" s="5">
        <f>IF(NOT(ISNUMBER(AN141)),"",IF(OR(NOT(器件参数!B142),器件参数!E142&lt;&gt;"mixer"),AN141,IF(AND(ISNUMBER(器件参数!T142),器件参数!T142&gt;0),IF(器件参数!U142="sum",AN141+器件参数!T142,ABS(AN141-器件参数!T142)),"")))</f>
        <v>99950000</v>
      </c>
      <c r="AO142" s="5">
        <f>IF(NOT(ISNUMBER(AO141)),"",IF(OR(NOT(器件参数!B142),器件参数!E142&lt;&gt;"mixer"),AO141,IF(AND(ISNUMBER(器件参数!T142),器件参数!T142&gt;0),IF(器件参数!U142="sum",AO141+器件参数!T142,ABS(AO141-器件参数!T142)),"")))</f>
        <v>100050000</v>
      </c>
      <c r="AP142" s="5">
        <f>IF(NOT(ISNUMBER(AP141)),"",IF(OR(NOT(器件参数!B142),器件参数!E142&lt;&gt;"mixer"),AP141,IF(AND(ISNUMBER(器件参数!T142),器件参数!T142&gt;0),IF(器件参数!U142="sum",AP141+器件参数!T142,ABS(AP141-器件参数!T142)),"")))</f>
        <v>99850000</v>
      </c>
      <c r="AQ142" s="5">
        <f>IF(NOT(ISNUMBER(AQ141)),"",IF(OR(NOT(器件参数!B142),器件参数!E142&lt;&gt;"mixer"),AQ141,IF(AND(ISNUMBER(器件参数!T142),器件参数!T142&gt;0),IF(器件参数!U142="sum",AQ141+器件参数!T142,ABS(AQ141-器件参数!T142)),"")))</f>
        <v>100150000</v>
      </c>
      <c r="AR142" s="5" t="b">
        <f>IF(NOT(AR141),FALSE,IF(NOT(器件参数!B142),TRUE,AND(COUNT(AN142:AQ142)=4,MIN(AN142:AQ142)&gt;0,IF(AND(ISNUMBER(器件参数!R142),ISNUMBER(器件参数!S142)),AND(MIN(AN141:AQ141)&gt;=器件参数!R142,MAX(AN141:AQ141)&lt;=器件参数!S142),TRUE),IF(AND(器件参数!E142="mixer",器件参数!U142="difference"),OR(器件参数!T142&lt;MIN(AN141:AQ141),器件参数!T142&gt;MAX(AN141:AQ141)),TRUE))))</f>
        <v>1</v>
      </c>
    </row>
    <row r="143" hidden="1" spans="1:44">
      <c r="A143" s="5">
        <f>器件参数!A143</f>
        <v>140</v>
      </c>
      <c r="B143" s="5" t="str">
        <f>器件参数!D143</f>
        <v/>
      </c>
      <c r="C143" s="5">
        <f>IF(NOT(器件参数!B143),0,IF(AND(ISNUMBER(器件参数!F143),ABS(器件参数!F143)&lt;=300),器件参数!F143,""))</f>
        <v>0</v>
      </c>
      <c r="D143" s="5">
        <f t="shared" si="38"/>
        <v>20</v>
      </c>
      <c r="E143" s="5">
        <f t="shared" si="39"/>
        <v>20</v>
      </c>
      <c r="F143" s="5">
        <f t="shared" si="40"/>
        <v>100</v>
      </c>
      <c r="G143" s="5">
        <f>IFERROR(IF(NOT(器件参数!B143),1,IF(NOT(OR(器件参数!E143&lt;&gt;"mixer",AND(OR(器件参数!V143="SSB",器件参数!V143="DSB"),器件参数!W143=TRUE))),"",IF(器件参数!G143="ideal",1,IF(AND(器件参数!G143="manual",ISNUMBER(器件参数!H143),器件参数!H143&gt;=0),10^(器件参数!H143/10),IF(AND(器件参数!G143="passive_thermal",OR(器件参数!E143="filter_bpf",器件参数!E143="filter_lpf",器件参数!E143="filter_hpf",器件参数!E143="filter_bsf",器件参数!E143="attenuator",器件参数!E143="cable",器件参数!E143="connector",器件参数!E143="switch",器件参数!E143="isolator",器件参数!E143="coupler",器件参数!E143="splitter"),AND(ISNUMBER(器件参数!F143),ABS(器件参数!F143)&lt;=300),器件参数!F143&lt;=0,ISNUMBER(器件参数!I143),器件参数!I143&gt;0),1+(10^(-器件参数!F143/10)-1)*器件参数!I143/Tref_K,""))))),"数值域错误")</f>
        <v>1</v>
      </c>
      <c r="H143" s="5">
        <f t="shared" si="41"/>
        <v>2.29336948552238</v>
      </c>
      <c r="I143" s="5">
        <f t="shared" si="42"/>
        <v>3.604740296957</v>
      </c>
      <c r="J143" s="5">
        <f>IF(AND(ISNUMBER(Pin_dBm),ISNUMBER(D143)),Pin_dBm+D143,"")</f>
        <v>-10</v>
      </c>
      <c r="K143" s="5">
        <f>IF(AND(ISNUMBER(Pin_dBm),ISNUMBER(E143)),Pin_dBm+E143,"")</f>
        <v>-10</v>
      </c>
      <c r="L143" s="5" t="str">
        <f>IF(AND(器件参数!J143="finite",ISNUMBER(器件参数!L143),ISNUMBER(C143)),IF(器件参数!K143="input",器件参数!L143,IF(器件参数!K143="output",器件参数!L143-C143,"")),"")</f>
        <v/>
      </c>
      <c r="M143" s="5">
        <f>IFERROR(IF(NOT(ISNUMBER(M142)),"",IF(OR(NOT(器件参数!B143),器件参数!J143="ideal"),M142,IF(AND(ISNUMBER(L143),ISNUMBER(F143)),M142+F143/10^(L143/10),""))),"数值域错误")</f>
        <v>0.2</v>
      </c>
      <c r="N143" s="5">
        <f t="shared" si="43"/>
        <v>6.98970004336019</v>
      </c>
      <c r="O143" s="5">
        <f t="shared" si="44"/>
        <v>26.9897000433602</v>
      </c>
      <c r="P143" s="5" t="str">
        <f>IF(AND(器件参数!M143="finite",ISNUMBER(器件参数!O143),ISNUMBER(C143)),IF(器件参数!N143="input",器件参数!O143,IF(器件参数!N143="actual_output",器件参数!O143-C143+1,IF(器件参数!N143="linear_output",器件参数!O143-C143,""))),"")</f>
        <v/>
      </c>
      <c r="Q143" s="5">
        <f>IF(器件参数!P143="",IF(AND(ISNUMBER(DefaultP),DefaultP&gt;=1,DefaultP&lt;=10),DefaultP,""),IF(AND(ISNUMBER(器件参数!P143),器件参数!P143&gt;=1,器件参数!P143&lt;=10),器件参数!P143,""))</f>
        <v>2</v>
      </c>
      <c r="R143" s="5">
        <f t="shared" si="45"/>
        <v>-10.0000139708288</v>
      </c>
      <c r="S143" s="5" t="str">
        <f t="shared" si="46"/>
        <v/>
      </c>
      <c r="T143" s="5">
        <f t="shared" si="47"/>
        <v>0</v>
      </c>
      <c r="U143" s="5">
        <f t="shared" si="48"/>
        <v>-10.0000139708288</v>
      </c>
      <c r="V143" s="5">
        <f>IF(AND(ISNUMBER(Pin_dBm),ISNUMBER(E143),ISNUMBER(U143)),Pin_dBm+E143-U143,"")</f>
        <v>1.39708287854035e-5</v>
      </c>
      <c r="W143" s="5" t="str">
        <f>IF(AND(器件参数!B143,X143=1,ISNUMBER(D143)),P143-D143,"")</f>
        <v/>
      </c>
      <c r="X143" s="5">
        <f>IF(NOT(ISNUMBER(C143)),-1,IF(OR(NOT(器件参数!B143),器件参数!M143="ideal"),0,IF(AND(ISNUMBER(P143),ISNUMBER(Q143)),1,-1)))</f>
        <v>0</v>
      </c>
      <c r="Y143" s="5" t="str">
        <f t="shared" si="49"/>
        <v>有效</v>
      </c>
      <c r="Z143" s="5" t="str">
        <f t="shared" si="50"/>
        <v>有效</v>
      </c>
      <c r="AA143" s="5" t="str">
        <f t="shared" si="51"/>
        <v>模型估算</v>
      </c>
      <c r="AB143" s="5">
        <f t="shared" si="52"/>
        <v>100000000</v>
      </c>
      <c r="AC143" s="5">
        <f>IF(NOT(ISNUMBER(AB143)),"",IF(OR(NOT(器件参数!B143),器件参数!E143&lt;&gt;"mixer"),AB143,IF(AND(ISNUMBER(器件参数!T143),器件参数!T143&gt;0),IF(器件参数!U143="sum",AB143+器件参数!T143,IF(器件参数!U143="difference",ABS(AB143-器件参数!T143),"")),"")))</f>
        <v>100000000</v>
      </c>
      <c r="AD143" s="5">
        <f t="shared" si="53"/>
        <v>0</v>
      </c>
      <c r="AE143" s="5">
        <f>IF(AND(ISNUMBER(G143),ISNUMBER(F143)),Tref_K*(G143-1)/F143,"")</f>
        <v>0</v>
      </c>
      <c r="AF143" s="5">
        <f>IF(AND(ISNUMBER(H143),ISNUMBER(E143),NoiseConfigOK),10*LOG10(Boltzmann*Bnoise_Hz*(Tsource_K+Tref_K*(H143-1)))+30+E143,"")</f>
        <v>-90.3704468972711</v>
      </c>
      <c r="AG143" s="5">
        <f t="shared" si="54"/>
        <v>80.3704468972711</v>
      </c>
      <c r="AH143" s="5">
        <f>IF(AND(ToneEnabled,ISNUMBER(E143),ISNUMBER(TonePin)),TonePin+E143,"")</f>
        <v>-10</v>
      </c>
      <c r="AI143" s="5">
        <f>IF(AND(ToneEnabled,ISNUMBER(E143),ISNUMBER(N143),ISNUMBER(TonePin)),3*TonePin+E143-2*N143,"")</f>
        <v>-83.9794000867204</v>
      </c>
      <c r="AJ143" s="5" t="str">
        <f t="shared" si="55"/>
        <v/>
      </c>
      <c r="AK143" s="5" t="str">
        <f>IF(NOT(器件参数!B143),"旁路",IF(NOT(ISNUMBER(AC143)),"频率未知",IF(AC143&lt;=SignalBW/2,"跨零频",IF(AND(ISNUMBER(器件参数!R143),ISNUMBER(器件参数!S143)),IF(AND(AB143-SignalBW/2&gt;=器件参数!R143,AB143+SignalBW/2&lt;=器件参数!S143),"有效","超声明通带"),"未声明通带"))))</f>
        <v>旁路</v>
      </c>
      <c r="AL143" s="5">
        <f t="shared" si="56"/>
        <v>0</v>
      </c>
      <c r="AM143" s="5" t="str">
        <f>IF(AND(器件参数!B143,ISNUMBER(器件参数!X143),OR(AND(ISNUMBER(J143),J143&gt;器件参数!X143),IF(AND(ToneEnabled,ISNUMBER(TonePin),ISNUMBER(D143)),TonePin+10*LOG10(2)+D143&gt;器件参数!X143,FALSE))),"超过绝对最大输入额定值","")</f>
        <v/>
      </c>
      <c r="AN143" s="5">
        <f>IF(NOT(ISNUMBER(AN142)),"",IF(OR(NOT(器件参数!B143),器件参数!E143&lt;&gt;"mixer"),AN142,IF(AND(ISNUMBER(器件参数!T143),器件参数!T143&gt;0),IF(器件参数!U143="sum",AN142+器件参数!T143,ABS(AN142-器件参数!T143)),"")))</f>
        <v>99950000</v>
      </c>
      <c r="AO143" s="5">
        <f>IF(NOT(ISNUMBER(AO142)),"",IF(OR(NOT(器件参数!B143),器件参数!E143&lt;&gt;"mixer"),AO142,IF(AND(ISNUMBER(器件参数!T143),器件参数!T143&gt;0),IF(器件参数!U143="sum",AO142+器件参数!T143,ABS(AO142-器件参数!T143)),"")))</f>
        <v>100050000</v>
      </c>
      <c r="AP143" s="5">
        <f>IF(NOT(ISNUMBER(AP142)),"",IF(OR(NOT(器件参数!B143),器件参数!E143&lt;&gt;"mixer"),AP142,IF(AND(ISNUMBER(器件参数!T143),器件参数!T143&gt;0),IF(器件参数!U143="sum",AP142+器件参数!T143,ABS(AP142-器件参数!T143)),"")))</f>
        <v>99850000</v>
      </c>
      <c r="AQ143" s="5">
        <f>IF(NOT(ISNUMBER(AQ142)),"",IF(OR(NOT(器件参数!B143),器件参数!E143&lt;&gt;"mixer"),AQ142,IF(AND(ISNUMBER(器件参数!T143),器件参数!T143&gt;0),IF(器件参数!U143="sum",AQ142+器件参数!T143,ABS(AQ142-器件参数!T143)),"")))</f>
        <v>100150000</v>
      </c>
      <c r="AR143" s="5" t="b">
        <f>IF(NOT(AR142),FALSE,IF(NOT(器件参数!B143),TRUE,AND(COUNT(AN143:AQ143)=4,MIN(AN143:AQ143)&gt;0,IF(AND(ISNUMBER(器件参数!R143),ISNUMBER(器件参数!S143)),AND(MIN(AN142:AQ142)&gt;=器件参数!R143,MAX(AN142:AQ142)&lt;=器件参数!S143),TRUE),IF(AND(器件参数!E143="mixer",器件参数!U143="difference"),OR(器件参数!T143&lt;MIN(AN142:AQ142),器件参数!T143&gt;MAX(AN142:AQ142)),TRUE))))</f>
        <v>1</v>
      </c>
    </row>
    <row r="144" hidden="1" spans="1:44">
      <c r="A144" s="5">
        <f>器件参数!A144</f>
        <v>141</v>
      </c>
      <c r="B144" s="5" t="str">
        <f>器件参数!D144</f>
        <v/>
      </c>
      <c r="C144" s="5">
        <f>IF(NOT(器件参数!B144),0,IF(AND(ISNUMBER(器件参数!F144),ABS(器件参数!F144)&lt;=300),器件参数!F144,""))</f>
        <v>0</v>
      </c>
      <c r="D144" s="5">
        <f t="shared" si="38"/>
        <v>20</v>
      </c>
      <c r="E144" s="5">
        <f t="shared" si="39"/>
        <v>20</v>
      </c>
      <c r="F144" s="5">
        <f t="shared" si="40"/>
        <v>100</v>
      </c>
      <c r="G144" s="5">
        <f>IFERROR(IF(NOT(器件参数!B144),1,IF(NOT(OR(器件参数!E144&lt;&gt;"mixer",AND(OR(器件参数!V144="SSB",器件参数!V144="DSB"),器件参数!W144=TRUE))),"",IF(器件参数!G144="ideal",1,IF(AND(器件参数!G144="manual",ISNUMBER(器件参数!H144),器件参数!H144&gt;=0),10^(器件参数!H144/10),IF(AND(器件参数!G144="passive_thermal",OR(器件参数!E144="filter_bpf",器件参数!E144="filter_lpf",器件参数!E144="filter_hpf",器件参数!E144="filter_bsf",器件参数!E144="attenuator",器件参数!E144="cable",器件参数!E144="connector",器件参数!E144="switch",器件参数!E144="isolator",器件参数!E144="coupler",器件参数!E144="splitter"),AND(ISNUMBER(器件参数!F144),ABS(器件参数!F144)&lt;=300),器件参数!F144&lt;=0,ISNUMBER(器件参数!I144),器件参数!I144&gt;0),1+(10^(-器件参数!F144/10)-1)*器件参数!I144/Tref_K,""))))),"数值域错误")</f>
        <v>1</v>
      </c>
      <c r="H144" s="5">
        <f t="shared" si="41"/>
        <v>2.29336948552238</v>
      </c>
      <c r="I144" s="5">
        <f t="shared" si="42"/>
        <v>3.604740296957</v>
      </c>
      <c r="J144" s="5">
        <f>IF(AND(ISNUMBER(Pin_dBm),ISNUMBER(D144)),Pin_dBm+D144,"")</f>
        <v>-10</v>
      </c>
      <c r="K144" s="5">
        <f>IF(AND(ISNUMBER(Pin_dBm),ISNUMBER(E144)),Pin_dBm+E144,"")</f>
        <v>-10</v>
      </c>
      <c r="L144" s="5" t="str">
        <f>IF(AND(器件参数!J144="finite",ISNUMBER(器件参数!L144),ISNUMBER(C144)),IF(器件参数!K144="input",器件参数!L144,IF(器件参数!K144="output",器件参数!L144-C144,"")),"")</f>
        <v/>
      </c>
      <c r="M144" s="5">
        <f>IFERROR(IF(NOT(ISNUMBER(M143)),"",IF(OR(NOT(器件参数!B144),器件参数!J144="ideal"),M143,IF(AND(ISNUMBER(L144),ISNUMBER(F144)),M143+F144/10^(L144/10),""))),"数值域错误")</f>
        <v>0.2</v>
      </c>
      <c r="N144" s="5">
        <f t="shared" si="43"/>
        <v>6.98970004336019</v>
      </c>
      <c r="O144" s="5">
        <f t="shared" si="44"/>
        <v>26.9897000433602</v>
      </c>
      <c r="P144" s="5" t="str">
        <f>IF(AND(器件参数!M144="finite",ISNUMBER(器件参数!O144),ISNUMBER(C144)),IF(器件参数!N144="input",器件参数!O144,IF(器件参数!N144="actual_output",器件参数!O144-C144+1,IF(器件参数!N144="linear_output",器件参数!O144-C144,""))),"")</f>
        <v/>
      </c>
      <c r="Q144" s="5">
        <f>IF(器件参数!P144="",IF(AND(ISNUMBER(DefaultP),DefaultP&gt;=1,DefaultP&lt;=10),DefaultP,""),IF(AND(ISNUMBER(器件参数!P144),器件参数!P144&gt;=1,器件参数!P144&lt;=10),器件参数!P144,""))</f>
        <v>2</v>
      </c>
      <c r="R144" s="5">
        <f t="shared" si="45"/>
        <v>-10.0000139708288</v>
      </c>
      <c r="S144" s="5" t="str">
        <f t="shared" si="46"/>
        <v/>
      </c>
      <c r="T144" s="5">
        <f t="shared" si="47"/>
        <v>0</v>
      </c>
      <c r="U144" s="5">
        <f t="shared" si="48"/>
        <v>-10.0000139708288</v>
      </c>
      <c r="V144" s="5">
        <f>IF(AND(ISNUMBER(Pin_dBm),ISNUMBER(E144),ISNUMBER(U144)),Pin_dBm+E144-U144,"")</f>
        <v>1.39708287854035e-5</v>
      </c>
      <c r="W144" s="5" t="str">
        <f>IF(AND(器件参数!B144,X144=1,ISNUMBER(D144)),P144-D144,"")</f>
        <v/>
      </c>
      <c r="X144" s="5">
        <f>IF(NOT(ISNUMBER(C144)),-1,IF(OR(NOT(器件参数!B144),器件参数!M144="ideal"),0,IF(AND(ISNUMBER(P144),ISNUMBER(Q144)),1,-1)))</f>
        <v>0</v>
      </c>
      <c r="Y144" s="5" t="str">
        <f t="shared" si="49"/>
        <v>有效</v>
      </c>
      <c r="Z144" s="5" t="str">
        <f t="shared" si="50"/>
        <v>有效</v>
      </c>
      <c r="AA144" s="5" t="str">
        <f t="shared" si="51"/>
        <v>模型估算</v>
      </c>
      <c r="AB144" s="5">
        <f t="shared" si="52"/>
        <v>100000000</v>
      </c>
      <c r="AC144" s="5">
        <f>IF(NOT(ISNUMBER(AB144)),"",IF(OR(NOT(器件参数!B144),器件参数!E144&lt;&gt;"mixer"),AB144,IF(AND(ISNUMBER(器件参数!T144),器件参数!T144&gt;0),IF(器件参数!U144="sum",AB144+器件参数!T144,IF(器件参数!U144="difference",ABS(AB144-器件参数!T144),"")),"")))</f>
        <v>100000000</v>
      </c>
      <c r="AD144" s="5">
        <f t="shared" si="53"/>
        <v>0</v>
      </c>
      <c r="AE144" s="5">
        <f>IF(AND(ISNUMBER(G144),ISNUMBER(F144)),Tref_K*(G144-1)/F144,"")</f>
        <v>0</v>
      </c>
      <c r="AF144" s="5">
        <f>IF(AND(ISNUMBER(H144),ISNUMBER(E144),NoiseConfigOK),10*LOG10(Boltzmann*Bnoise_Hz*(Tsource_K+Tref_K*(H144-1)))+30+E144,"")</f>
        <v>-90.3704468972711</v>
      </c>
      <c r="AG144" s="5">
        <f t="shared" si="54"/>
        <v>80.3704468972711</v>
      </c>
      <c r="AH144" s="5">
        <f>IF(AND(ToneEnabled,ISNUMBER(E144),ISNUMBER(TonePin)),TonePin+E144,"")</f>
        <v>-10</v>
      </c>
      <c r="AI144" s="5">
        <f>IF(AND(ToneEnabled,ISNUMBER(E144),ISNUMBER(N144),ISNUMBER(TonePin)),3*TonePin+E144-2*N144,"")</f>
        <v>-83.9794000867204</v>
      </c>
      <c r="AJ144" s="5" t="str">
        <f t="shared" si="55"/>
        <v/>
      </c>
      <c r="AK144" s="5" t="str">
        <f>IF(NOT(器件参数!B144),"旁路",IF(NOT(ISNUMBER(AC144)),"频率未知",IF(AC144&lt;=SignalBW/2,"跨零频",IF(AND(ISNUMBER(器件参数!R144),ISNUMBER(器件参数!S144)),IF(AND(AB144-SignalBW/2&gt;=器件参数!R144,AB144+SignalBW/2&lt;=器件参数!S144),"有效","超声明通带"),"未声明通带"))))</f>
        <v>旁路</v>
      </c>
      <c r="AL144" s="5">
        <f t="shared" si="56"/>
        <v>0</v>
      </c>
      <c r="AM144" s="5" t="str">
        <f>IF(AND(器件参数!B144,ISNUMBER(器件参数!X144),OR(AND(ISNUMBER(J144),J144&gt;器件参数!X144),IF(AND(ToneEnabled,ISNUMBER(TonePin),ISNUMBER(D144)),TonePin+10*LOG10(2)+D144&gt;器件参数!X144,FALSE))),"超过绝对最大输入额定值","")</f>
        <v/>
      </c>
      <c r="AN144" s="5">
        <f>IF(NOT(ISNUMBER(AN143)),"",IF(OR(NOT(器件参数!B144),器件参数!E144&lt;&gt;"mixer"),AN143,IF(AND(ISNUMBER(器件参数!T144),器件参数!T144&gt;0),IF(器件参数!U144="sum",AN143+器件参数!T144,ABS(AN143-器件参数!T144)),"")))</f>
        <v>99950000</v>
      </c>
      <c r="AO144" s="5">
        <f>IF(NOT(ISNUMBER(AO143)),"",IF(OR(NOT(器件参数!B144),器件参数!E144&lt;&gt;"mixer"),AO143,IF(AND(ISNUMBER(器件参数!T144),器件参数!T144&gt;0),IF(器件参数!U144="sum",AO143+器件参数!T144,ABS(AO143-器件参数!T144)),"")))</f>
        <v>100050000</v>
      </c>
      <c r="AP144" s="5">
        <f>IF(NOT(ISNUMBER(AP143)),"",IF(OR(NOT(器件参数!B144),器件参数!E144&lt;&gt;"mixer"),AP143,IF(AND(ISNUMBER(器件参数!T144),器件参数!T144&gt;0),IF(器件参数!U144="sum",AP143+器件参数!T144,ABS(AP143-器件参数!T144)),"")))</f>
        <v>99850000</v>
      </c>
      <c r="AQ144" s="5">
        <f>IF(NOT(ISNUMBER(AQ143)),"",IF(OR(NOT(器件参数!B144),器件参数!E144&lt;&gt;"mixer"),AQ143,IF(AND(ISNUMBER(器件参数!T144),器件参数!T144&gt;0),IF(器件参数!U144="sum",AQ143+器件参数!T144,ABS(AQ143-器件参数!T144)),"")))</f>
        <v>100150000</v>
      </c>
      <c r="AR144" s="5" t="b">
        <f>IF(NOT(AR143),FALSE,IF(NOT(器件参数!B144),TRUE,AND(COUNT(AN144:AQ144)=4,MIN(AN144:AQ144)&gt;0,IF(AND(ISNUMBER(器件参数!R144),ISNUMBER(器件参数!S144)),AND(MIN(AN143:AQ143)&gt;=器件参数!R144,MAX(AN143:AQ143)&lt;=器件参数!S144),TRUE),IF(AND(器件参数!E144="mixer",器件参数!U144="difference"),OR(器件参数!T144&lt;MIN(AN143:AQ143),器件参数!T144&gt;MAX(AN143:AQ143)),TRUE))))</f>
        <v>1</v>
      </c>
    </row>
    <row r="145" hidden="1" spans="1:44">
      <c r="A145" s="5">
        <f>器件参数!A145</f>
        <v>142</v>
      </c>
      <c r="B145" s="5" t="str">
        <f>器件参数!D145</f>
        <v/>
      </c>
      <c r="C145" s="5">
        <f>IF(NOT(器件参数!B145),0,IF(AND(ISNUMBER(器件参数!F145),ABS(器件参数!F145)&lt;=300),器件参数!F145,""))</f>
        <v>0</v>
      </c>
      <c r="D145" s="5">
        <f t="shared" si="38"/>
        <v>20</v>
      </c>
      <c r="E145" s="5">
        <f t="shared" si="39"/>
        <v>20</v>
      </c>
      <c r="F145" s="5">
        <f t="shared" si="40"/>
        <v>100</v>
      </c>
      <c r="G145" s="5">
        <f>IFERROR(IF(NOT(器件参数!B145),1,IF(NOT(OR(器件参数!E145&lt;&gt;"mixer",AND(OR(器件参数!V145="SSB",器件参数!V145="DSB"),器件参数!W145=TRUE))),"",IF(器件参数!G145="ideal",1,IF(AND(器件参数!G145="manual",ISNUMBER(器件参数!H145),器件参数!H145&gt;=0),10^(器件参数!H145/10),IF(AND(器件参数!G145="passive_thermal",OR(器件参数!E145="filter_bpf",器件参数!E145="filter_lpf",器件参数!E145="filter_hpf",器件参数!E145="filter_bsf",器件参数!E145="attenuator",器件参数!E145="cable",器件参数!E145="connector",器件参数!E145="switch",器件参数!E145="isolator",器件参数!E145="coupler",器件参数!E145="splitter"),AND(ISNUMBER(器件参数!F145),ABS(器件参数!F145)&lt;=300),器件参数!F145&lt;=0,ISNUMBER(器件参数!I145),器件参数!I145&gt;0),1+(10^(-器件参数!F145/10)-1)*器件参数!I145/Tref_K,""))))),"数值域错误")</f>
        <v>1</v>
      </c>
      <c r="H145" s="5">
        <f t="shared" si="41"/>
        <v>2.29336948552238</v>
      </c>
      <c r="I145" s="5">
        <f t="shared" si="42"/>
        <v>3.604740296957</v>
      </c>
      <c r="J145" s="5">
        <f>IF(AND(ISNUMBER(Pin_dBm),ISNUMBER(D145)),Pin_dBm+D145,"")</f>
        <v>-10</v>
      </c>
      <c r="K145" s="5">
        <f>IF(AND(ISNUMBER(Pin_dBm),ISNUMBER(E145)),Pin_dBm+E145,"")</f>
        <v>-10</v>
      </c>
      <c r="L145" s="5" t="str">
        <f>IF(AND(器件参数!J145="finite",ISNUMBER(器件参数!L145),ISNUMBER(C145)),IF(器件参数!K145="input",器件参数!L145,IF(器件参数!K145="output",器件参数!L145-C145,"")),"")</f>
        <v/>
      </c>
      <c r="M145" s="5">
        <f>IFERROR(IF(NOT(ISNUMBER(M144)),"",IF(OR(NOT(器件参数!B145),器件参数!J145="ideal"),M144,IF(AND(ISNUMBER(L145),ISNUMBER(F145)),M144+F145/10^(L145/10),""))),"数值域错误")</f>
        <v>0.2</v>
      </c>
      <c r="N145" s="5">
        <f t="shared" si="43"/>
        <v>6.98970004336019</v>
      </c>
      <c r="O145" s="5">
        <f t="shared" si="44"/>
        <v>26.9897000433602</v>
      </c>
      <c r="P145" s="5" t="str">
        <f>IF(AND(器件参数!M145="finite",ISNUMBER(器件参数!O145),ISNUMBER(C145)),IF(器件参数!N145="input",器件参数!O145,IF(器件参数!N145="actual_output",器件参数!O145-C145+1,IF(器件参数!N145="linear_output",器件参数!O145-C145,""))),"")</f>
        <v/>
      </c>
      <c r="Q145" s="5">
        <f>IF(器件参数!P145="",IF(AND(ISNUMBER(DefaultP),DefaultP&gt;=1,DefaultP&lt;=10),DefaultP,""),IF(AND(ISNUMBER(器件参数!P145),器件参数!P145&gt;=1,器件参数!P145&lt;=10),器件参数!P145,""))</f>
        <v>2</v>
      </c>
      <c r="R145" s="5">
        <f t="shared" si="45"/>
        <v>-10.0000139708288</v>
      </c>
      <c r="S145" s="5" t="str">
        <f t="shared" si="46"/>
        <v/>
      </c>
      <c r="T145" s="5">
        <f t="shared" si="47"/>
        <v>0</v>
      </c>
      <c r="U145" s="5">
        <f t="shared" si="48"/>
        <v>-10.0000139708288</v>
      </c>
      <c r="V145" s="5">
        <f>IF(AND(ISNUMBER(Pin_dBm),ISNUMBER(E145),ISNUMBER(U145)),Pin_dBm+E145-U145,"")</f>
        <v>1.39708287854035e-5</v>
      </c>
      <c r="W145" s="5" t="str">
        <f>IF(AND(器件参数!B145,X145=1,ISNUMBER(D145)),P145-D145,"")</f>
        <v/>
      </c>
      <c r="X145" s="5">
        <f>IF(NOT(ISNUMBER(C145)),-1,IF(OR(NOT(器件参数!B145),器件参数!M145="ideal"),0,IF(AND(ISNUMBER(P145),ISNUMBER(Q145)),1,-1)))</f>
        <v>0</v>
      </c>
      <c r="Y145" s="5" t="str">
        <f t="shared" si="49"/>
        <v>有效</v>
      </c>
      <c r="Z145" s="5" t="str">
        <f t="shared" si="50"/>
        <v>有效</v>
      </c>
      <c r="AA145" s="5" t="str">
        <f t="shared" si="51"/>
        <v>模型估算</v>
      </c>
      <c r="AB145" s="5">
        <f t="shared" si="52"/>
        <v>100000000</v>
      </c>
      <c r="AC145" s="5">
        <f>IF(NOT(ISNUMBER(AB145)),"",IF(OR(NOT(器件参数!B145),器件参数!E145&lt;&gt;"mixer"),AB145,IF(AND(ISNUMBER(器件参数!T145),器件参数!T145&gt;0),IF(器件参数!U145="sum",AB145+器件参数!T145,IF(器件参数!U145="difference",ABS(AB145-器件参数!T145),"")),"")))</f>
        <v>100000000</v>
      </c>
      <c r="AD145" s="5">
        <f t="shared" si="53"/>
        <v>0</v>
      </c>
      <c r="AE145" s="5">
        <f>IF(AND(ISNUMBER(G145),ISNUMBER(F145)),Tref_K*(G145-1)/F145,"")</f>
        <v>0</v>
      </c>
      <c r="AF145" s="5">
        <f>IF(AND(ISNUMBER(H145),ISNUMBER(E145),NoiseConfigOK),10*LOG10(Boltzmann*Bnoise_Hz*(Tsource_K+Tref_K*(H145-1)))+30+E145,"")</f>
        <v>-90.3704468972711</v>
      </c>
      <c r="AG145" s="5">
        <f t="shared" si="54"/>
        <v>80.3704468972711</v>
      </c>
      <c r="AH145" s="5">
        <f>IF(AND(ToneEnabled,ISNUMBER(E145),ISNUMBER(TonePin)),TonePin+E145,"")</f>
        <v>-10</v>
      </c>
      <c r="AI145" s="5">
        <f>IF(AND(ToneEnabled,ISNUMBER(E145),ISNUMBER(N145),ISNUMBER(TonePin)),3*TonePin+E145-2*N145,"")</f>
        <v>-83.9794000867204</v>
      </c>
      <c r="AJ145" s="5" t="str">
        <f t="shared" si="55"/>
        <v/>
      </c>
      <c r="AK145" s="5" t="str">
        <f>IF(NOT(器件参数!B145),"旁路",IF(NOT(ISNUMBER(AC145)),"频率未知",IF(AC145&lt;=SignalBW/2,"跨零频",IF(AND(ISNUMBER(器件参数!R145),ISNUMBER(器件参数!S145)),IF(AND(AB145-SignalBW/2&gt;=器件参数!R145,AB145+SignalBW/2&lt;=器件参数!S145),"有效","超声明通带"),"未声明通带"))))</f>
        <v>旁路</v>
      </c>
      <c r="AL145" s="5">
        <f t="shared" si="56"/>
        <v>0</v>
      </c>
      <c r="AM145" s="5" t="str">
        <f>IF(AND(器件参数!B145,ISNUMBER(器件参数!X145),OR(AND(ISNUMBER(J145),J145&gt;器件参数!X145),IF(AND(ToneEnabled,ISNUMBER(TonePin),ISNUMBER(D145)),TonePin+10*LOG10(2)+D145&gt;器件参数!X145,FALSE))),"超过绝对最大输入额定值","")</f>
        <v/>
      </c>
      <c r="AN145" s="5">
        <f>IF(NOT(ISNUMBER(AN144)),"",IF(OR(NOT(器件参数!B145),器件参数!E145&lt;&gt;"mixer"),AN144,IF(AND(ISNUMBER(器件参数!T145),器件参数!T145&gt;0),IF(器件参数!U145="sum",AN144+器件参数!T145,ABS(AN144-器件参数!T145)),"")))</f>
        <v>99950000</v>
      </c>
      <c r="AO145" s="5">
        <f>IF(NOT(ISNUMBER(AO144)),"",IF(OR(NOT(器件参数!B145),器件参数!E145&lt;&gt;"mixer"),AO144,IF(AND(ISNUMBER(器件参数!T145),器件参数!T145&gt;0),IF(器件参数!U145="sum",AO144+器件参数!T145,ABS(AO144-器件参数!T145)),"")))</f>
        <v>100050000</v>
      </c>
      <c r="AP145" s="5">
        <f>IF(NOT(ISNUMBER(AP144)),"",IF(OR(NOT(器件参数!B145),器件参数!E145&lt;&gt;"mixer"),AP144,IF(AND(ISNUMBER(器件参数!T145),器件参数!T145&gt;0),IF(器件参数!U145="sum",AP144+器件参数!T145,ABS(AP144-器件参数!T145)),"")))</f>
        <v>99850000</v>
      </c>
      <c r="AQ145" s="5">
        <f>IF(NOT(ISNUMBER(AQ144)),"",IF(OR(NOT(器件参数!B145),器件参数!E145&lt;&gt;"mixer"),AQ144,IF(AND(ISNUMBER(器件参数!T145),器件参数!T145&gt;0),IF(器件参数!U145="sum",AQ144+器件参数!T145,ABS(AQ144-器件参数!T145)),"")))</f>
        <v>100150000</v>
      </c>
      <c r="AR145" s="5" t="b">
        <f>IF(NOT(AR144),FALSE,IF(NOT(器件参数!B145),TRUE,AND(COUNT(AN145:AQ145)=4,MIN(AN145:AQ145)&gt;0,IF(AND(ISNUMBER(器件参数!R145),ISNUMBER(器件参数!S145)),AND(MIN(AN144:AQ144)&gt;=器件参数!R145,MAX(AN144:AQ144)&lt;=器件参数!S145),TRUE),IF(AND(器件参数!E145="mixer",器件参数!U145="difference"),OR(器件参数!T145&lt;MIN(AN144:AQ144),器件参数!T145&gt;MAX(AN144:AQ144)),TRUE))))</f>
        <v>1</v>
      </c>
    </row>
    <row r="146" hidden="1" spans="1:44">
      <c r="A146" s="5">
        <f>器件参数!A146</f>
        <v>143</v>
      </c>
      <c r="B146" s="5" t="str">
        <f>器件参数!D146</f>
        <v/>
      </c>
      <c r="C146" s="5">
        <f>IF(NOT(器件参数!B146),0,IF(AND(ISNUMBER(器件参数!F146),ABS(器件参数!F146)&lt;=300),器件参数!F146,""))</f>
        <v>0</v>
      </c>
      <c r="D146" s="5">
        <f t="shared" si="38"/>
        <v>20</v>
      </c>
      <c r="E146" s="5">
        <f t="shared" si="39"/>
        <v>20</v>
      </c>
      <c r="F146" s="5">
        <f t="shared" si="40"/>
        <v>100</v>
      </c>
      <c r="G146" s="5">
        <f>IFERROR(IF(NOT(器件参数!B146),1,IF(NOT(OR(器件参数!E146&lt;&gt;"mixer",AND(OR(器件参数!V146="SSB",器件参数!V146="DSB"),器件参数!W146=TRUE))),"",IF(器件参数!G146="ideal",1,IF(AND(器件参数!G146="manual",ISNUMBER(器件参数!H146),器件参数!H146&gt;=0),10^(器件参数!H146/10),IF(AND(器件参数!G146="passive_thermal",OR(器件参数!E146="filter_bpf",器件参数!E146="filter_lpf",器件参数!E146="filter_hpf",器件参数!E146="filter_bsf",器件参数!E146="attenuator",器件参数!E146="cable",器件参数!E146="connector",器件参数!E146="switch",器件参数!E146="isolator",器件参数!E146="coupler",器件参数!E146="splitter"),AND(ISNUMBER(器件参数!F146),ABS(器件参数!F146)&lt;=300),器件参数!F146&lt;=0,ISNUMBER(器件参数!I146),器件参数!I146&gt;0),1+(10^(-器件参数!F146/10)-1)*器件参数!I146/Tref_K,""))))),"数值域错误")</f>
        <v>1</v>
      </c>
      <c r="H146" s="5">
        <f t="shared" si="41"/>
        <v>2.29336948552238</v>
      </c>
      <c r="I146" s="5">
        <f t="shared" si="42"/>
        <v>3.604740296957</v>
      </c>
      <c r="J146" s="5">
        <f>IF(AND(ISNUMBER(Pin_dBm),ISNUMBER(D146)),Pin_dBm+D146,"")</f>
        <v>-10</v>
      </c>
      <c r="K146" s="5">
        <f>IF(AND(ISNUMBER(Pin_dBm),ISNUMBER(E146)),Pin_dBm+E146,"")</f>
        <v>-10</v>
      </c>
      <c r="L146" s="5" t="str">
        <f>IF(AND(器件参数!J146="finite",ISNUMBER(器件参数!L146),ISNUMBER(C146)),IF(器件参数!K146="input",器件参数!L146,IF(器件参数!K146="output",器件参数!L146-C146,"")),"")</f>
        <v/>
      </c>
      <c r="M146" s="5">
        <f>IFERROR(IF(NOT(ISNUMBER(M145)),"",IF(OR(NOT(器件参数!B146),器件参数!J146="ideal"),M145,IF(AND(ISNUMBER(L146),ISNUMBER(F146)),M145+F146/10^(L146/10),""))),"数值域错误")</f>
        <v>0.2</v>
      </c>
      <c r="N146" s="5">
        <f t="shared" si="43"/>
        <v>6.98970004336019</v>
      </c>
      <c r="O146" s="5">
        <f t="shared" si="44"/>
        <v>26.9897000433602</v>
      </c>
      <c r="P146" s="5" t="str">
        <f>IF(AND(器件参数!M146="finite",ISNUMBER(器件参数!O146),ISNUMBER(C146)),IF(器件参数!N146="input",器件参数!O146,IF(器件参数!N146="actual_output",器件参数!O146-C146+1,IF(器件参数!N146="linear_output",器件参数!O146-C146,""))),"")</f>
        <v/>
      </c>
      <c r="Q146" s="5">
        <f>IF(器件参数!P146="",IF(AND(ISNUMBER(DefaultP),DefaultP&gt;=1,DefaultP&lt;=10),DefaultP,""),IF(AND(ISNUMBER(器件参数!P146),器件参数!P146&gt;=1,器件参数!P146&lt;=10),器件参数!P146,""))</f>
        <v>2</v>
      </c>
      <c r="R146" s="5">
        <f t="shared" si="45"/>
        <v>-10.0000139708288</v>
      </c>
      <c r="S146" s="5" t="str">
        <f t="shared" si="46"/>
        <v/>
      </c>
      <c r="T146" s="5">
        <f t="shared" si="47"/>
        <v>0</v>
      </c>
      <c r="U146" s="5">
        <f t="shared" si="48"/>
        <v>-10.0000139708288</v>
      </c>
      <c r="V146" s="5">
        <f>IF(AND(ISNUMBER(Pin_dBm),ISNUMBER(E146),ISNUMBER(U146)),Pin_dBm+E146-U146,"")</f>
        <v>1.39708287854035e-5</v>
      </c>
      <c r="W146" s="5" t="str">
        <f>IF(AND(器件参数!B146,X146=1,ISNUMBER(D146)),P146-D146,"")</f>
        <v/>
      </c>
      <c r="X146" s="5">
        <f>IF(NOT(ISNUMBER(C146)),-1,IF(OR(NOT(器件参数!B146),器件参数!M146="ideal"),0,IF(AND(ISNUMBER(P146),ISNUMBER(Q146)),1,-1)))</f>
        <v>0</v>
      </c>
      <c r="Y146" s="5" t="str">
        <f t="shared" si="49"/>
        <v>有效</v>
      </c>
      <c r="Z146" s="5" t="str">
        <f t="shared" si="50"/>
        <v>有效</v>
      </c>
      <c r="AA146" s="5" t="str">
        <f t="shared" si="51"/>
        <v>模型估算</v>
      </c>
      <c r="AB146" s="5">
        <f t="shared" si="52"/>
        <v>100000000</v>
      </c>
      <c r="AC146" s="5">
        <f>IF(NOT(ISNUMBER(AB146)),"",IF(OR(NOT(器件参数!B146),器件参数!E146&lt;&gt;"mixer"),AB146,IF(AND(ISNUMBER(器件参数!T146),器件参数!T146&gt;0),IF(器件参数!U146="sum",AB146+器件参数!T146,IF(器件参数!U146="difference",ABS(AB146-器件参数!T146),"")),"")))</f>
        <v>100000000</v>
      </c>
      <c r="AD146" s="5">
        <f t="shared" si="53"/>
        <v>0</v>
      </c>
      <c r="AE146" s="5">
        <f>IF(AND(ISNUMBER(G146),ISNUMBER(F146)),Tref_K*(G146-1)/F146,"")</f>
        <v>0</v>
      </c>
      <c r="AF146" s="5">
        <f>IF(AND(ISNUMBER(H146),ISNUMBER(E146),NoiseConfigOK),10*LOG10(Boltzmann*Bnoise_Hz*(Tsource_K+Tref_K*(H146-1)))+30+E146,"")</f>
        <v>-90.3704468972711</v>
      </c>
      <c r="AG146" s="5">
        <f t="shared" si="54"/>
        <v>80.3704468972711</v>
      </c>
      <c r="AH146" s="5">
        <f>IF(AND(ToneEnabled,ISNUMBER(E146),ISNUMBER(TonePin)),TonePin+E146,"")</f>
        <v>-10</v>
      </c>
      <c r="AI146" s="5">
        <f>IF(AND(ToneEnabled,ISNUMBER(E146),ISNUMBER(N146),ISNUMBER(TonePin)),3*TonePin+E146-2*N146,"")</f>
        <v>-83.9794000867204</v>
      </c>
      <c r="AJ146" s="5" t="str">
        <f t="shared" si="55"/>
        <v/>
      </c>
      <c r="AK146" s="5" t="str">
        <f>IF(NOT(器件参数!B146),"旁路",IF(NOT(ISNUMBER(AC146)),"频率未知",IF(AC146&lt;=SignalBW/2,"跨零频",IF(AND(ISNUMBER(器件参数!R146),ISNUMBER(器件参数!S146)),IF(AND(AB146-SignalBW/2&gt;=器件参数!R146,AB146+SignalBW/2&lt;=器件参数!S146),"有效","超声明通带"),"未声明通带"))))</f>
        <v>旁路</v>
      </c>
      <c r="AL146" s="5">
        <f t="shared" si="56"/>
        <v>0</v>
      </c>
      <c r="AM146" s="5" t="str">
        <f>IF(AND(器件参数!B146,ISNUMBER(器件参数!X146),OR(AND(ISNUMBER(J146),J146&gt;器件参数!X146),IF(AND(ToneEnabled,ISNUMBER(TonePin),ISNUMBER(D146)),TonePin+10*LOG10(2)+D146&gt;器件参数!X146,FALSE))),"超过绝对最大输入额定值","")</f>
        <v/>
      </c>
      <c r="AN146" s="5">
        <f>IF(NOT(ISNUMBER(AN145)),"",IF(OR(NOT(器件参数!B146),器件参数!E146&lt;&gt;"mixer"),AN145,IF(AND(ISNUMBER(器件参数!T146),器件参数!T146&gt;0),IF(器件参数!U146="sum",AN145+器件参数!T146,ABS(AN145-器件参数!T146)),"")))</f>
        <v>99950000</v>
      </c>
      <c r="AO146" s="5">
        <f>IF(NOT(ISNUMBER(AO145)),"",IF(OR(NOT(器件参数!B146),器件参数!E146&lt;&gt;"mixer"),AO145,IF(AND(ISNUMBER(器件参数!T146),器件参数!T146&gt;0),IF(器件参数!U146="sum",AO145+器件参数!T146,ABS(AO145-器件参数!T146)),"")))</f>
        <v>100050000</v>
      </c>
      <c r="AP146" s="5">
        <f>IF(NOT(ISNUMBER(AP145)),"",IF(OR(NOT(器件参数!B146),器件参数!E146&lt;&gt;"mixer"),AP145,IF(AND(ISNUMBER(器件参数!T146),器件参数!T146&gt;0),IF(器件参数!U146="sum",AP145+器件参数!T146,ABS(AP145-器件参数!T146)),"")))</f>
        <v>99850000</v>
      </c>
      <c r="AQ146" s="5">
        <f>IF(NOT(ISNUMBER(AQ145)),"",IF(OR(NOT(器件参数!B146),器件参数!E146&lt;&gt;"mixer"),AQ145,IF(AND(ISNUMBER(器件参数!T146),器件参数!T146&gt;0),IF(器件参数!U146="sum",AQ145+器件参数!T146,ABS(AQ145-器件参数!T146)),"")))</f>
        <v>100150000</v>
      </c>
      <c r="AR146" s="5" t="b">
        <f>IF(NOT(AR145),FALSE,IF(NOT(器件参数!B146),TRUE,AND(COUNT(AN146:AQ146)=4,MIN(AN146:AQ146)&gt;0,IF(AND(ISNUMBER(器件参数!R146),ISNUMBER(器件参数!S146)),AND(MIN(AN145:AQ145)&gt;=器件参数!R146,MAX(AN145:AQ145)&lt;=器件参数!S146),TRUE),IF(AND(器件参数!E146="mixer",器件参数!U146="difference"),OR(器件参数!T146&lt;MIN(AN145:AQ145),器件参数!T146&gt;MAX(AN145:AQ145)),TRUE))))</f>
        <v>1</v>
      </c>
    </row>
    <row r="147" hidden="1" spans="1:44">
      <c r="A147" s="5">
        <f>器件参数!A147</f>
        <v>144</v>
      </c>
      <c r="B147" s="5" t="str">
        <f>器件参数!D147</f>
        <v/>
      </c>
      <c r="C147" s="5">
        <f>IF(NOT(器件参数!B147),0,IF(AND(ISNUMBER(器件参数!F147),ABS(器件参数!F147)&lt;=300),器件参数!F147,""))</f>
        <v>0</v>
      </c>
      <c r="D147" s="5">
        <f t="shared" si="38"/>
        <v>20</v>
      </c>
      <c r="E147" s="5">
        <f t="shared" si="39"/>
        <v>20</v>
      </c>
      <c r="F147" s="5">
        <f t="shared" si="40"/>
        <v>100</v>
      </c>
      <c r="G147" s="5">
        <f>IFERROR(IF(NOT(器件参数!B147),1,IF(NOT(OR(器件参数!E147&lt;&gt;"mixer",AND(OR(器件参数!V147="SSB",器件参数!V147="DSB"),器件参数!W147=TRUE))),"",IF(器件参数!G147="ideal",1,IF(AND(器件参数!G147="manual",ISNUMBER(器件参数!H147),器件参数!H147&gt;=0),10^(器件参数!H147/10),IF(AND(器件参数!G147="passive_thermal",OR(器件参数!E147="filter_bpf",器件参数!E147="filter_lpf",器件参数!E147="filter_hpf",器件参数!E147="filter_bsf",器件参数!E147="attenuator",器件参数!E147="cable",器件参数!E147="connector",器件参数!E147="switch",器件参数!E147="isolator",器件参数!E147="coupler",器件参数!E147="splitter"),AND(ISNUMBER(器件参数!F147),ABS(器件参数!F147)&lt;=300),器件参数!F147&lt;=0,ISNUMBER(器件参数!I147),器件参数!I147&gt;0),1+(10^(-器件参数!F147/10)-1)*器件参数!I147/Tref_K,""))))),"数值域错误")</f>
        <v>1</v>
      </c>
      <c r="H147" s="5">
        <f t="shared" si="41"/>
        <v>2.29336948552238</v>
      </c>
      <c r="I147" s="5">
        <f t="shared" si="42"/>
        <v>3.604740296957</v>
      </c>
      <c r="J147" s="5">
        <f>IF(AND(ISNUMBER(Pin_dBm),ISNUMBER(D147)),Pin_dBm+D147,"")</f>
        <v>-10</v>
      </c>
      <c r="K147" s="5">
        <f>IF(AND(ISNUMBER(Pin_dBm),ISNUMBER(E147)),Pin_dBm+E147,"")</f>
        <v>-10</v>
      </c>
      <c r="L147" s="5" t="str">
        <f>IF(AND(器件参数!J147="finite",ISNUMBER(器件参数!L147),ISNUMBER(C147)),IF(器件参数!K147="input",器件参数!L147,IF(器件参数!K147="output",器件参数!L147-C147,"")),"")</f>
        <v/>
      </c>
      <c r="M147" s="5">
        <f>IFERROR(IF(NOT(ISNUMBER(M146)),"",IF(OR(NOT(器件参数!B147),器件参数!J147="ideal"),M146,IF(AND(ISNUMBER(L147),ISNUMBER(F147)),M146+F147/10^(L147/10),""))),"数值域错误")</f>
        <v>0.2</v>
      </c>
      <c r="N147" s="5">
        <f t="shared" si="43"/>
        <v>6.98970004336019</v>
      </c>
      <c r="O147" s="5">
        <f t="shared" si="44"/>
        <v>26.9897000433602</v>
      </c>
      <c r="P147" s="5" t="str">
        <f>IF(AND(器件参数!M147="finite",ISNUMBER(器件参数!O147),ISNUMBER(C147)),IF(器件参数!N147="input",器件参数!O147,IF(器件参数!N147="actual_output",器件参数!O147-C147+1,IF(器件参数!N147="linear_output",器件参数!O147-C147,""))),"")</f>
        <v/>
      </c>
      <c r="Q147" s="5">
        <f>IF(器件参数!P147="",IF(AND(ISNUMBER(DefaultP),DefaultP&gt;=1,DefaultP&lt;=10),DefaultP,""),IF(AND(ISNUMBER(器件参数!P147),器件参数!P147&gt;=1,器件参数!P147&lt;=10),器件参数!P147,""))</f>
        <v>2</v>
      </c>
      <c r="R147" s="5">
        <f t="shared" si="45"/>
        <v>-10.0000139708288</v>
      </c>
      <c r="S147" s="5" t="str">
        <f t="shared" si="46"/>
        <v/>
      </c>
      <c r="T147" s="5">
        <f t="shared" si="47"/>
        <v>0</v>
      </c>
      <c r="U147" s="5">
        <f t="shared" si="48"/>
        <v>-10.0000139708288</v>
      </c>
      <c r="V147" s="5">
        <f>IF(AND(ISNUMBER(Pin_dBm),ISNUMBER(E147),ISNUMBER(U147)),Pin_dBm+E147-U147,"")</f>
        <v>1.39708287854035e-5</v>
      </c>
      <c r="W147" s="5" t="str">
        <f>IF(AND(器件参数!B147,X147=1,ISNUMBER(D147)),P147-D147,"")</f>
        <v/>
      </c>
      <c r="X147" s="5">
        <f>IF(NOT(ISNUMBER(C147)),-1,IF(OR(NOT(器件参数!B147),器件参数!M147="ideal"),0,IF(AND(ISNUMBER(P147),ISNUMBER(Q147)),1,-1)))</f>
        <v>0</v>
      </c>
      <c r="Y147" s="5" t="str">
        <f t="shared" si="49"/>
        <v>有效</v>
      </c>
      <c r="Z147" s="5" t="str">
        <f t="shared" si="50"/>
        <v>有效</v>
      </c>
      <c r="AA147" s="5" t="str">
        <f t="shared" si="51"/>
        <v>模型估算</v>
      </c>
      <c r="AB147" s="5">
        <f t="shared" si="52"/>
        <v>100000000</v>
      </c>
      <c r="AC147" s="5">
        <f>IF(NOT(ISNUMBER(AB147)),"",IF(OR(NOT(器件参数!B147),器件参数!E147&lt;&gt;"mixer"),AB147,IF(AND(ISNUMBER(器件参数!T147),器件参数!T147&gt;0),IF(器件参数!U147="sum",AB147+器件参数!T147,IF(器件参数!U147="difference",ABS(AB147-器件参数!T147),"")),"")))</f>
        <v>100000000</v>
      </c>
      <c r="AD147" s="5">
        <f t="shared" si="53"/>
        <v>0</v>
      </c>
      <c r="AE147" s="5">
        <f>IF(AND(ISNUMBER(G147),ISNUMBER(F147)),Tref_K*(G147-1)/F147,"")</f>
        <v>0</v>
      </c>
      <c r="AF147" s="5">
        <f>IF(AND(ISNUMBER(H147),ISNUMBER(E147),NoiseConfigOK),10*LOG10(Boltzmann*Bnoise_Hz*(Tsource_K+Tref_K*(H147-1)))+30+E147,"")</f>
        <v>-90.3704468972711</v>
      </c>
      <c r="AG147" s="5">
        <f t="shared" si="54"/>
        <v>80.3704468972711</v>
      </c>
      <c r="AH147" s="5">
        <f>IF(AND(ToneEnabled,ISNUMBER(E147),ISNUMBER(TonePin)),TonePin+E147,"")</f>
        <v>-10</v>
      </c>
      <c r="AI147" s="5">
        <f>IF(AND(ToneEnabled,ISNUMBER(E147),ISNUMBER(N147),ISNUMBER(TonePin)),3*TonePin+E147-2*N147,"")</f>
        <v>-83.9794000867204</v>
      </c>
      <c r="AJ147" s="5" t="str">
        <f t="shared" si="55"/>
        <v/>
      </c>
      <c r="AK147" s="5" t="str">
        <f>IF(NOT(器件参数!B147),"旁路",IF(NOT(ISNUMBER(AC147)),"频率未知",IF(AC147&lt;=SignalBW/2,"跨零频",IF(AND(ISNUMBER(器件参数!R147),ISNUMBER(器件参数!S147)),IF(AND(AB147-SignalBW/2&gt;=器件参数!R147,AB147+SignalBW/2&lt;=器件参数!S147),"有效","超声明通带"),"未声明通带"))))</f>
        <v>旁路</v>
      </c>
      <c r="AL147" s="5">
        <f t="shared" si="56"/>
        <v>0</v>
      </c>
      <c r="AM147" s="5" t="str">
        <f>IF(AND(器件参数!B147,ISNUMBER(器件参数!X147),OR(AND(ISNUMBER(J147),J147&gt;器件参数!X147),IF(AND(ToneEnabled,ISNUMBER(TonePin),ISNUMBER(D147)),TonePin+10*LOG10(2)+D147&gt;器件参数!X147,FALSE))),"超过绝对最大输入额定值","")</f>
        <v/>
      </c>
      <c r="AN147" s="5">
        <f>IF(NOT(ISNUMBER(AN146)),"",IF(OR(NOT(器件参数!B147),器件参数!E147&lt;&gt;"mixer"),AN146,IF(AND(ISNUMBER(器件参数!T147),器件参数!T147&gt;0),IF(器件参数!U147="sum",AN146+器件参数!T147,ABS(AN146-器件参数!T147)),"")))</f>
        <v>99950000</v>
      </c>
      <c r="AO147" s="5">
        <f>IF(NOT(ISNUMBER(AO146)),"",IF(OR(NOT(器件参数!B147),器件参数!E147&lt;&gt;"mixer"),AO146,IF(AND(ISNUMBER(器件参数!T147),器件参数!T147&gt;0),IF(器件参数!U147="sum",AO146+器件参数!T147,ABS(AO146-器件参数!T147)),"")))</f>
        <v>100050000</v>
      </c>
      <c r="AP147" s="5">
        <f>IF(NOT(ISNUMBER(AP146)),"",IF(OR(NOT(器件参数!B147),器件参数!E147&lt;&gt;"mixer"),AP146,IF(AND(ISNUMBER(器件参数!T147),器件参数!T147&gt;0),IF(器件参数!U147="sum",AP146+器件参数!T147,ABS(AP146-器件参数!T147)),"")))</f>
        <v>99850000</v>
      </c>
      <c r="AQ147" s="5">
        <f>IF(NOT(ISNUMBER(AQ146)),"",IF(OR(NOT(器件参数!B147),器件参数!E147&lt;&gt;"mixer"),AQ146,IF(AND(ISNUMBER(器件参数!T147),器件参数!T147&gt;0),IF(器件参数!U147="sum",AQ146+器件参数!T147,ABS(AQ146-器件参数!T147)),"")))</f>
        <v>100150000</v>
      </c>
      <c r="AR147" s="5" t="b">
        <f>IF(NOT(AR146),FALSE,IF(NOT(器件参数!B147),TRUE,AND(COUNT(AN147:AQ147)=4,MIN(AN147:AQ147)&gt;0,IF(AND(ISNUMBER(器件参数!R147),ISNUMBER(器件参数!S147)),AND(MIN(AN146:AQ146)&gt;=器件参数!R147,MAX(AN146:AQ146)&lt;=器件参数!S147),TRUE),IF(AND(器件参数!E147="mixer",器件参数!U147="difference"),OR(器件参数!T147&lt;MIN(AN146:AQ146),器件参数!T147&gt;MAX(AN146:AQ146)),TRUE))))</f>
        <v>1</v>
      </c>
    </row>
    <row r="148" hidden="1" spans="1:44">
      <c r="A148" s="5">
        <f>器件参数!A148</f>
        <v>145</v>
      </c>
      <c r="B148" s="5" t="str">
        <f>器件参数!D148</f>
        <v/>
      </c>
      <c r="C148" s="5">
        <f>IF(NOT(器件参数!B148),0,IF(AND(ISNUMBER(器件参数!F148),ABS(器件参数!F148)&lt;=300),器件参数!F148,""))</f>
        <v>0</v>
      </c>
      <c r="D148" s="5">
        <f t="shared" si="38"/>
        <v>20</v>
      </c>
      <c r="E148" s="5">
        <f t="shared" si="39"/>
        <v>20</v>
      </c>
      <c r="F148" s="5">
        <f t="shared" si="40"/>
        <v>100</v>
      </c>
      <c r="G148" s="5">
        <f>IFERROR(IF(NOT(器件参数!B148),1,IF(NOT(OR(器件参数!E148&lt;&gt;"mixer",AND(OR(器件参数!V148="SSB",器件参数!V148="DSB"),器件参数!W148=TRUE))),"",IF(器件参数!G148="ideal",1,IF(AND(器件参数!G148="manual",ISNUMBER(器件参数!H148),器件参数!H148&gt;=0),10^(器件参数!H148/10),IF(AND(器件参数!G148="passive_thermal",OR(器件参数!E148="filter_bpf",器件参数!E148="filter_lpf",器件参数!E148="filter_hpf",器件参数!E148="filter_bsf",器件参数!E148="attenuator",器件参数!E148="cable",器件参数!E148="connector",器件参数!E148="switch",器件参数!E148="isolator",器件参数!E148="coupler",器件参数!E148="splitter"),AND(ISNUMBER(器件参数!F148),ABS(器件参数!F148)&lt;=300),器件参数!F148&lt;=0,ISNUMBER(器件参数!I148),器件参数!I148&gt;0),1+(10^(-器件参数!F148/10)-1)*器件参数!I148/Tref_K,""))))),"数值域错误")</f>
        <v>1</v>
      </c>
      <c r="H148" s="5">
        <f t="shared" si="41"/>
        <v>2.29336948552238</v>
      </c>
      <c r="I148" s="5">
        <f t="shared" si="42"/>
        <v>3.604740296957</v>
      </c>
      <c r="J148" s="5">
        <f>IF(AND(ISNUMBER(Pin_dBm),ISNUMBER(D148)),Pin_dBm+D148,"")</f>
        <v>-10</v>
      </c>
      <c r="K148" s="5">
        <f>IF(AND(ISNUMBER(Pin_dBm),ISNUMBER(E148)),Pin_dBm+E148,"")</f>
        <v>-10</v>
      </c>
      <c r="L148" s="5" t="str">
        <f>IF(AND(器件参数!J148="finite",ISNUMBER(器件参数!L148),ISNUMBER(C148)),IF(器件参数!K148="input",器件参数!L148,IF(器件参数!K148="output",器件参数!L148-C148,"")),"")</f>
        <v/>
      </c>
      <c r="M148" s="5">
        <f>IFERROR(IF(NOT(ISNUMBER(M147)),"",IF(OR(NOT(器件参数!B148),器件参数!J148="ideal"),M147,IF(AND(ISNUMBER(L148),ISNUMBER(F148)),M147+F148/10^(L148/10),""))),"数值域错误")</f>
        <v>0.2</v>
      </c>
      <c r="N148" s="5">
        <f t="shared" si="43"/>
        <v>6.98970004336019</v>
      </c>
      <c r="O148" s="5">
        <f t="shared" si="44"/>
        <v>26.9897000433602</v>
      </c>
      <c r="P148" s="5" t="str">
        <f>IF(AND(器件参数!M148="finite",ISNUMBER(器件参数!O148),ISNUMBER(C148)),IF(器件参数!N148="input",器件参数!O148,IF(器件参数!N148="actual_output",器件参数!O148-C148+1,IF(器件参数!N148="linear_output",器件参数!O148-C148,""))),"")</f>
        <v/>
      </c>
      <c r="Q148" s="5">
        <f>IF(器件参数!P148="",IF(AND(ISNUMBER(DefaultP),DefaultP&gt;=1,DefaultP&lt;=10),DefaultP,""),IF(AND(ISNUMBER(器件参数!P148),器件参数!P148&gt;=1,器件参数!P148&lt;=10),器件参数!P148,""))</f>
        <v>2</v>
      </c>
      <c r="R148" s="5">
        <f t="shared" si="45"/>
        <v>-10.0000139708288</v>
      </c>
      <c r="S148" s="5" t="str">
        <f t="shared" si="46"/>
        <v/>
      </c>
      <c r="T148" s="5">
        <f t="shared" si="47"/>
        <v>0</v>
      </c>
      <c r="U148" s="5">
        <f t="shared" si="48"/>
        <v>-10.0000139708288</v>
      </c>
      <c r="V148" s="5">
        <f>IF(AND(ISNUMBER(Pin_dBm),ISNUMBER(E148),ISNUMBER(U148)),Pin_dBm+E148-U148,"")</f>
        <v>1.39708287854035e-5</v>
      </c>
      <c r="W148" s="5" t="str">
        <f>IF(AND(器件参数!B148,X148=1,ISNUMBER(D148)),P148-D148,"")</f>
        <v/>
      </c>
      <c r="X148" s="5">
        <f>IF(NOT(ISNUMBER(C148)),-1,IF(OR(NOT(器件参数!B148),器件参数!M148="ideal"),0,IF(AND(ISNUMBER(P148),ISNUMBER(Q148)),1,-1)))</f>
        <v>0</v>
      </c>
      <c r="Y148" s="5" t="str">
        <f t="shared" si="49"/>
        <v>有效</v>
      </c>
      <c r="Z148" s="5" t="str">
        <f t="shared" si="50"/>
        <v>有效</v>
      </c>
      <c r="AA148" s="5" t="str">
        <f t="shared" si="51"/>
        <v>模型估算</v>
      </c>
      <c r="AB148" s="5">
        <f t="shared" si="52"/>
        <v>100000000</v>
      </c>
      <c r="AC148" s="5">
        <f>IF(NOT(ISNUMBER(AB148)),"",IF(OR(NOT(器件参数!B148),器件参数!E148&lt;&gt;"mixer"),AB148,IF(AND(ISNUMBER(器件参数!T148),器件参数!T148&gt;0),IF(器件参数!U148="sum",AB148+器件参数!T148,IF(器件参数!U148="difference",ABS(AB148-器件参数!T148),"")),"")))</f>
        <v>100000000</v>
      </c>
      <c r="AD148" s="5">
        <f t="shared" si="53"/>
        <v>0</v>
      </c>
      <c r="AE148" s="5">
        <f>IF(AND(ISNUMBER(G148),ISNUMBER(F148)),Tref_K*(G148-1)/F148,"")</f>
        <v>0</v>
      </c>
      <c r="AF148" s="5">
        <f>IF(AND(ISNUMBER(H148),ISNUMBER(E148),NoiseConfigOK),10*LOG10(Boltzmann*Bnoise_Hz*(Tsource_K+Tref_K*(H148-1)))+30+E148,"")</f>
        <v>-90.3704468972711</v>
      </c>
      <c r="AG148" s="5">
        <f t="shared" si="54"/>
        <v>80.3704468972711</v>
      </c>
      <c r="AH148" s="5">
        <f>IF(AND(ToneEnabled,ISNUMBER(E148),ISNUMBER(TonePin)),TonePin+E148,"")</f>
        <v>-10</v>
      </c>
      <c r="AI148" s="5">
        <f>IF(AND(ToneEnabled,ISNUMBER(E148),ISNUMBER(N148),ISNUMBER(TonePin)),3*TonePin+E148-2*N148,"")</f>
        <v>-83.9794000867204</v>
      </c>
      <c r="AJ148" s="5" t="str">
        <f t="shared" si="55"/>
        <v/>
      </c>
      <c r="AK148" s="5" t="str">
        <f>IF(NOT(器件参数!B148),"旁路",IF(NOT(ISNUMBER(AC148)),"频率未知",IF(AC148&lt;=SignalBW/2,"跨零频",IF(AND(ISNUMBER(器件参数!R148),ISNUMBER(器件参数!S148)),IF(AND(AB148-SignalBW/2&gt;=器件参数!R148,AB148+SignalBW/2&lt;=器件参数!S148),"有效","超声明通带"),"未声明通带"))))</f>
        <v>旁路</v>
      </c>
      <c r="AL148" s="5">
        <f t="shared" si="56"/>
        <v>0</v>
      </c>
      <c r="AM148" s="5" t="str">
        <f>IF(AND(器件参数!B148,ISNUMBER(器件参数!X148),OR(AND(ISNUMBER(J148),J148&gt;器件参数!X148),IF(AND(ToneEnabled,ISNUMBER(TonePin),ISNUMBER(D148)),TonePin+10*LOG10(2)+D148&gt;器件参数!X148,FALSE))),"超过绝对最大输入额定值","")</f>
        <v/>
      </c>
      <c r="AN148" s="5">
        <f>IF(NOT(ISNUMBER(AN147)),"",IF(OR(NOT(器件参数!B148),器件参数!E148&lt;&gt;"mixer"),AN147,IF(AND(ISNUMBER(器件参数!T148),器件参数!T148&gt;0),IF(器件参数!U148="sum",AN147+器件参数!T148,ABS(AN147-器件参数!T148)),"")))</f>
        <v>99950000</v>
      </c>
      <c r="AO148" s="5">
        <f>IF(NOT(ISNUMBER(AO147)),"",IF(OR(NOT(器件参数!B148),器件参数!E148&lt;&gt;"mixer"),AO147,IF(AND(ISNUMBER(器件参数!T148),器件参数!T148&gt;0),IF(器件参数!U148="sum",AO147+器件参数!T148,ABS(AO147-器件参数!T148)),"")))</f>
        <v>100050000</v>
      </c>
      <c r="AP148" s="5">
        <f>IF(NOT(ISNUMBER(AP147)),"",IF(OR(NOT(器件参数!B148),器件参数!E148&lt;&gt;"mixer"),AP147,IF(AND(ISNUMBER(器件参数!T148),器件参数!T148&gt;0),IF(器件参数!U148="sum",AP147+器件参数!T148,ABS(AP147-器件参数!T148)),"")))</f>
        <v>99850000</v>
      </c>
      <c r="AQ148" s="5">
        <f>IF(NOT(ISNUMBER(AQ147)),"",IF(OR(NOT(器件参数!B148),器件参数!E148&lt;&gt;"mixer"),AQ147,IF(AND(ISNUMBER(器件参数!T148),器件参数!T148&gt;0),IF(器件参数!U148="sum",AQ147+器件参数!T148,ABS(AQ147-器件参数!T148)),"")))</f>
        <v>100150000</v>
      </c>
      <c r="AR148" s="5" t="b">
        <f>IF(NOT(AR147),FALSE,IF(NOT(器件参数!B148),TRUE,AND(COUNT(AN148:AQ148)=4,MIN(AN148:AQ148)&gt;0,IF(AND(ISNUMBER(器件参数!R148),ISNUMBER(器件参数!S148)),AND(MIN(AN147:AQ147)&gt;=器件参数!R148,MAX(AN147:AQ147)&lt;=器件参数!S148),TRUE),IF(AND(器件参数!E148="mixer",器件参数!U148="difference"),OR(器件参数!T148&lt;MIN(AN147:AQ147),器件参数!T148&gt;MAX(AN147:AQ147)),TRUE))))</f>
        <v>1</v>
      </c>
    </row>
    <row r="149" hidden="1" spans="1:44">
      <c r="A149" s="5">
        <f>器件参数!A149</f>
        <v>146</v>
      </c>
      <c r="B149" s="5" t="str">
        <f>器件参数!D149</f>
        <v/>
      </c>
      <c r="C149" s="5">
        <f>IF(NOT(器件参数!B149),0,IF(AND(ISNUMBER(器件参数!F149),ABS(器件参数!F149)&lt;=300),器件参数!F149,""))</f>
        <v>0</v>
      </c>
      <c r="D149" s="5">
        <f t="shared" si="38"/>
        <v>20</v>
      </c>
      <c r="E149" s="5">
        <f t="shared" si="39"/>
        <v>20</v>
      </c>
      <c r="F149" s="5">
        <f t="shared" si="40"/>
        <v>100</v>
      </c>
      <c r="G149" s="5">
        <f>IFERROR(IF(NOT(器件参数!B149),1,IF(NOT(OR(器件参数!E149&lt;&gt;"mixer",AND(OR(器件参数!V149="SSB",器件参数!V149="DSB"),器件参数!W149=TRUE))),"",IF(器件参数!G149="ideal",1,IF(AND(器件参数!G149="manual",ISNUMBER(器件参数!H149),器件参数!H149&gt;=0),10^(器件参数!H149/10),IF(AND(器件参数!G149="passive_thermal",OR(器件参数!E149="filter_bpf",器件参数!E149="filter_lpf",器件参数!E149="filter_hpf",器件参数!E149="filter_bsf",器件参数!E149="attenuator",器件参数!E149="cable",器件参数!E149="connector",器件参数!E149="switch",器件参数!E149="isolator",器件参数!E149="coupler",器件参数!E149="splitter"),AND(ISNUMBER(器件参数!F149),ABS(器件参数!F149)&lt;=300),器件参数!F149&lt;=0,ISNUMBER(器件参数!I149),器件参数!I149&gt;0),1+(10^(-器件参数!F149/10)-1)*器件参数!I149/Tref_K,""))))),"数值域错误")</f>
        <v>1</v>
      </c>
      <c r="H149" s="5">
        <f t="shared" si="41"/>
        <v>2.29336948552238</v>
      </c>
      <c r="I149" s="5">
        <f t="shared" si="42"/>
        <v>3.604740296957</v>
      </c>
      <c r="J149" s="5">
        <f>IF(AND(ISNUMBER(Pin_dBm),ISNUMBER(D149)),Pin_dBm+D149,"")</f>
        <v>-10</v>
      </c>
      <c r="K149" s="5">
        <f>IF(AND(ISNUMBER(Pin_dBm),ISNUMBER(E149)),Pin_dBm+E149,"")</f>
        <v>-10</v>
      </c>
      <c r="L149" s="5" t="str">
        <f>IF(AND(器件参数!J149="finite",ISNUMBER(器件参数!L149),ISNUMBER(C149)),IF(器件参数!K149="input",器件参数!L149,IF(器件参数!K149="output",器件参数!L149-C149,"")),"")</f>
        <v/>
      </c>
      <c r="M149" s="5">
        <f>IFERROR(IF(NOT(ISNUMBER(M148)),"",IF(OR(NOT(器件参数!B149),器件参数!J149="ideal"),M148,IF(AND(ISNUMBER(L149),ISNUMBER(F149)),M148+F149/10^(L149/10),""))),"数值域错误")</f>
        <v>0.2</v>
      </c>
      <c r="N149" s="5">
        <f t="shared" si="43"/>
        <v>6.98970004336019</v>
      </c>
      <c r="O149" s="5">
        <f t="shared" si="44"/>
        <v>26.9897000433602</v>
      </c>
      <c r="P149" s="5" t="str">
        <f>IF(AND(器件参数!M149="finite",ISNUMBER(器件参数!O149),ISNUMBER(C149)),IF(器件参数!N149="input",器件参数!O149,IF(器件参数!N149="actual_output",器件参数!O149-C149+1,IF(器件参数!N149="linear_output",器件参数!O149-C149,""))),"")</f>
        <v/>
      </c>
      <c r="Q149" s="5">
        <f>IF(器件参数!P149="",IF(AND(ISNUMBER(DefaultP),DefaultP&gt;=1,DefaultP&lt;=10),DefaultP,""),IF(AND(ISNUMBER(器件参数!P149),器件参数!P149&gt;=1,器件参数!P149&lt;=10),器件参数!P149,""))</f>
        <v>2</v>
      </c>
      <c r="R149" s="5">
        <f t="shared" si="45"/>
        <v>-10.0000139708288</v>
      </c>
      <c r="S149" s="5" t="str">
        <f t="shared" si="46"/>
        <v/>
      </c>
      <c r="T149" s="5">
        <f t="shared" si="47"/>
        <v>0</v>
      </c>
      <c r="U149" s="5">
        <f t="shared" si="48"/>
        <v>-10.0000139708288</v>
      </c>
      <c r="V149" s="5">
        <f>IF(AND(ISNUMBER(Pin_dBm),ISNUMBER(E149),ISNUMBER(U149)),Pin_dBm+E149-U149,"")</f>
        <v>1.39708287854035e-5</v>
      </c>
      <c r="W149" s="5" t="str">
        <f>IF(AND(器件参数!B149,X149=1,ISNUMBER(D149)),P149-D149,"")</f>
        <v/>
      </c>
      <c r="X149" s="5">
        <f>IF(NOT(ISNUMBER(C149)),-1,IF(OR(NOT(器件参数!B149),器件参数!M149="ideal"),0,IF(AND(ISNUMBER(P149),ISNUMBER(Q149)),1,-1)))</f>
        <v>0</v>
      </c>
      <c r="Y149" s="5" t="str">
        <f t="shared" si="49"/>
        <v>有效</v>
      </c>
      <c r="Z149" s="5" t="str">
        <f t="shared" si="50"/>
        <v>有效</v>
      </c>
      <c r="AA149" s="5" t="str">
        <f t="shared" si="51"/>
        <v>模型估算</v>
      </c>
      <c r="AB149" s="5">
        <f t="shared" si="52"/>
        <v>100000000</v>
      </c>
      <c r="AC149" s="5">
        <f>IF(NOT(ISNUMBER(AB149)),"",IF(OR(NOT(器件参数!B149),器件参数!E149&lt;&gt;"mixer"),AB149,IF(AND(ISNUMBER(器件参数!T149),器件参数!T149&gt;0),IF(器件参数!U149="sum",AB149+器件参数!T149,IF(器件参数!U149="difference",ABS(AB149-器件参数!T149),"")),"")))</f>
        <v>100000000</v>
      </c>
      <c r="AD149" s="5">
        <f t="shared" si="53"/>
        <v>0</v>
      </c>
      <c r="AE149" s="5">
        <f>IF(AND(ISNUMBER(G149),ISNUMBER(F149)),Tref_K*(G149-1)/F149,"")</f>
        <v>0</v>
      </c>
      <c r="AF149" s="5">
        <f>IF(AND(ISNUMBER(H149),ISNUMBER(E149),NoiseConfigOK),10*LOG10(Boltzmann*Bnoise_Hz*(Tsource_K+Tref_K*(H149-1)))+30+E149,"")</f>
        <v>-90.3704468972711</v>
      </c>
      <c r="AG149" s="5">
        <f t="shared" si="54"/>
        <v>80.3704468972711</v>
      </c>
      <c r="AH149" s="5">
        <f>IF(AND(ToneEnabled,ISNUMBER(E149),ISNUMBER(TonePin)),TonePin+E149,"")</f>
        <v>-10</v>
      </c>
      <c r="AI149" s="5">
        <f>IF(AND(ToneEnabled,ISNUMBER(E149),ISNUMBER(N149),ISNUMBER(TonePin)),3*TonePin+E149-2*N149,"")</f>
        <v>-83.9794000867204</v>
      </c>
      <c r="AJ149" s="5" t="str">
        <f t="shared" si="55"/>
        <v/>
      </c>
      <c r="AK149" s="5" t="str">
        <f>IF(NOT(器件参数!B149),"旁路",IF(NOT(ISNUMBER(AC149)),"频率未知",IF(AC149&lt;=SignalBW/2,"跨零频",IF(AND(ISNUMBER(器件参数!R149),ISNUMBER(器件参数!S149)),IF(AND(AB149-SignalBW/2&gt;=器件参数!R149,AB149+SignalBW/2&lt;=器件参数!S149),"有效","超声明通带"),"未声明通带"))))</f>
        <v>旁路</v>
      </c>
      <c r="AL149" s="5">
        <f t="shared" si="56"/>
        <v>0</v>
      </c>
      <c r="AM149" s="5" t="str">
        <f>IF(AND(器件参数!B149,ISNUMBER(器件参数!X149),OR(AND(ISNUMBER(J149),J149&gt;器件参数!X149),IF(AND(ToneEnabled,ISNUMBER(TonePin),ISNUMBER(D149)),TonePin+10*LOG10(2)+D149&gt;器件参数!X149,FALSE))),"超过绝对最大输入额定值","")</f>
        <v/>
      </c>
      <c r="AN149" s="5">
        <f>IF(NOT(ISNUMBER(AN148)),"",IF(OR(NOT(器件参数!B149),器件参数!E149&lt;&gt;"mixer"),AN148,IF(AND(ISNUMBER(器件参数!T149),器件参数!T149&gt;0),IF(器件参数!U149="sum",AN148+器件参数!T149,ABS(AN148-器件参数!T149)),"")))</f>
        <v>99950000</v>
      </c>
      <c r="AO149" s="5">
        <f>IF(NOT(ISNUMBER(AO148)),"",IF(OR(NOT(器件参数!B149),器件参数!E149&lt;&gt;"mixer"),AO148,IF(AND(ISNUMBER(器件参数!T149),器件参数!T149&gt;0),IF(器件参数!U149="sum",AO148+器件参数!T149,ABS(AO148-器件参数!T149)),"")))</f>
        <v>100050000</v>
      </c>
      <c r="AP149" s="5">
        <f>IF(NOT(ISNUMBER(AP148)),"",IF(OR(NOT(器件参数!B149),器件参数!E149&lt;&gt;"mixer"),AP148,IF(AND(ISNUMBER(器件参数!T149),器件参数!T149&gt;0),IF(器件参数!U149="sum",AP148+器件参数!T149,ABS(AP148-器件参数!T149)),"")))</f>
        <v>99850000</v>
      </c>
      <c r="AQ149" s="5">
        <f>IF(NOT(ISNUMBER(AQ148)),"",IF(OR(NOT(器件参数!B149),器件参数!E149&lt;&gt;"mixer"),AQ148,IF(AND(ISNUMBER(器件参数!T149),器件参数!T149&gt;0),IF(器件参数!U149="sum",AQ148+器件参数!T149,ABS(AQ148-器件参数!T149)),"")))</f>
        <v>100150000</v>
      </c>
      <c r="AR149" s="5" t="b">
        <f>IF(NOT(AR148),FALSE,IF(NOT(器件参数!B149),TRUE,AND(COUNT(AN149:AQ149)=4,MIN(AN149:AQ149)&gt;0,IF(AND(ISNUMBER(器件参数!R149),ISNUMBER(器件参数!S149)),AND(MIN(AN148:AQ148)&gt;=器件参数!R149,MAX(AN148:AQ148)&lt;=器件参数!S149),TRUE),IF(AND(器件参数!E149="mixer",器件参数!U149="difference"),OR(器件参数!T149&lt;MIN(AN148:AQ148),器件参数!T149&gt;MAX(AN148:AQ148)),TRUE))))</f>
        <v>1</v>
      </c>
    </row>
    <row r="150" hidden="1" spans="1:44">
      <c r="A150" s="5">
        <f>器件参数!A150</f>
        <v>147</v>
      </c>
      <c r="B150" s="5" t="str">
        <f>器件参数!D150</f>
        <v/>
      </c>
      <c r="C150" s="5">
        <f>IF(NOT(器件参数!B150),0,IF(AND(ISNUMBER(器件参数!F150),ABS(器件参数!F150)&lt;=300),器件参数!F150,""))</f>
        <v>0</v>
      </c>
      <c r="D150" s="5">
        <f t="shared" si="38"/>
        <v>20</v>
      </c>
      <c r="E150" s="5">
        <f t="shared" si="39"/>
        <v>20</v>
      </c>
      <c r="F150" s="5">
        <f t="shared" si="40"/>
        <v>100</v>
      </c>
      <c r="G150" s="5">
        <f>IFERROR(IF(NOT(器件参数!B150),1,IF(NOT(OR(器件参数!E150&lt;&gt;"mixer",AND(OR(器件参数!V150="SSB",器件参数!V150="DSB"),器件参数!W150=TRUE))),"",IF(器件参数!G150="ideal",1,IF(AND(器件参数!G150="manual",ISNUMBER(器件参数!H150),器件参数!H150&gt;=0),10^(器件参数!H150/10),IF(AND(器件参数!G150="passive_thermal",OR(器件参数!E150="filter_bpf",器件参数!E150="filter_lpf",器件参数!E150="filter_hpf",器件参数!E150="filter_bsf",器件参数!E150="attenuator",器件参数!E150="cable",器件参数!E150="connector",器件参数!E150="switch",器件参数!E150="isolator",器件参数!E150="coupler",器件参数!E150="splitter"),AND(ISNUMBER(器件参数!F150),ABS(器件参数!F150)&lt;=300),器件参数!F150&lt;=0,ISNUMBER(器件参数!I150),器件参数!I150&gt;0),1+(10^(-器件参数!F150/10)-1)*器件参数!I150/Tref_K,""))))),"数值域错误")</f>
        <v>1</v>
      </c>
      <c r="H150" s="5">
        <f t="shared" si="41"/>
        <v>2.29336948552238</v>
      </c>
      <c r="I150" s="5">
        <f t="shared" si="42"/>
        <v>3.604740296957</v>
      </c>
      <c r="J150" s="5">
        <f>IF(AND(ISNUMBER(Pin_dBm),ISNUMBER(D150)),Pin_dBm+D150,"")</f>
        <v>-10</v>
      </c>
      <c r="K150" s="5">
        <f>IF(AND(ISNUMBER(Pin_dBm),ISNUMBER(E150)),Pin_dBm+E150,"")</f>
        <v>-10</v>
      </c>
      <c r="L150" s="5" t="str">
        <f>IF(AND(器件参数!J150="finite",ISNUMBER(器件参数!L150),ISNUMBER(C150)),IF(器件参数!K150="input",器件参数!L150,IF(器件参数!K150="output",器件参数!L150-C150,"")),"")</f>
        <v/>
      </c>
      <c r="M150" s="5">
        <f>IFERROR(IF(NOT(ISNUMBER(M149)),"",IF(OR(NOT(器件参数!B150),器件参数!J150="ideal"),M149,IF(AND(ISNUMBER(L150),ISNUMBER(F150)),M149+F150/10^(L150/10),""))),"数值域错误")</f>
        <v>0.2</v>
      </c>
      <c r="N150" s="5">
        <f t="shared" si="43"/>
        <v>6.98970004336019</v>
      </c>
      <c r="O150" s="5">
        <f t="shared" si="44"/>
        <v>26.9897000433602</v>
      </c>
      <c r="P150" s="5" t="str">
        <f>IF(AND(器件参数!M150="finite",ISNUMBER(器件参数!O150),ISNUMBER(C150)),IF(器件参数!N150="input",器件参数!O150,IF(器件参数!N150="actual_output",器件参数!O150-C150+1,IF(器件参数!N150="linear_output",器件参数!O150-C150,""))),"")</f>
        <v/>
      </c>
      <c r="Q150" s="5">
        <f>IF(器件参数!P150="",IF(AND(ISNUMBER(DefaultP),DefaultP&gt;=1,DefaultP&lt;=10),DefaultP,""),IF(AND(ISNUMBER(器件参数!P150),器件参数!P150&gt;=1,器件参数!P150&lt;=10),器件参数!P150,""))</f>
        <v>2</v>
      </c>
      <c r="R150" s="5">
        <f t="shared" si="45"/>
        <v>-10.0000139708288</v>
      </c>
      <c r="S150" s="5" t="str">
        <f t="shared" si="46"/>
        <v/>
      </c>
      <c r="T150" s="5">
        <f t="shared" si="47"/>
        <v>0</v>
      </c>
      <c r="U150" s="5">
        <f t="shared" si="48"/>
        <v>-10.0000139708288</v>
      </c>
      <c r="V150" s="5">
        <f>IF(AND(ISNUMBER(Pin_dBm),ISNUMBER(E150),ISNUMBER(U150)),Pin_dBm+E150-U150,"")</f>
        <v>1.39708287854035e-5</v>
      </c>
      <c r="W150" s="5" t="str">
        <f>IF(AND(器件参数!B150,X150=1,ISNUMBER(D150)),P150-D150,"")</f>
        <v/>
      </c>
      <c r="X150" s="5">
        <f>IF(NOT(ISNUMBER(C150)),-1,IF(OR(NOT(器件参数!B150),器件参数!M150="ideal"),0,IF(AND(ISNUMBER(P150),ISNUMBER(Q150)),1,-1)))</f>
        <v>0</v>
      </c>
      <c r="Y150" s="5" t="str">
        <f t="shared" si="49"/>
        <v>有效</v>
      </c>
      <c r="Z150" s="5" t="str">
        <f t="shared" si="50"/>
        <v>有效</v>
      </c>
      <c r="AA150" s="5" t="str">
        <f t="shared" si="51"/>
        <v>模型估算</v>
      </c>
      <c r="AB150" s="5">
        <f t="shared" si="52"/>
        <v>100000000</v>
      </c>
      <c r="AC150" s="5">
        <f>IF(NOT(ISNUMBER(AB150)),"",IF(OR(NOT(器件参数!B150),器件参数!E150&lt;&gt;"mixer"),AB150,IF(AND(ISNUMBER(器件参数!T150),器件参数!T150&gt;0),IF(器件参数!U150="sum",AB150+器件参数!T150,IF(器件参数!U150="difference",ABS(AB150-器件参数!T150),"")),"")))</f>
        <v>100000000</v>
      </c>
      <c r="AD150" s="5">
        <f t="shared" si="53"/>
        <v>0</v>
      </c>
      <c r="AE150" s="5">
        <f>IF(AND(ISNUMBER(G150),ISNUMBER(F150)),Tref_K*(G150-1)/F150,"")</f>
        <v>0</v>
      </c>
      <c r="AF150" s="5">
        <f>IF(AND(ISNUMBER(H150),ISNUMBER(E150),NoiseConfigOK),10*LOG10(Boltzmann*Bnoise_Hz*(Tsource_K+Tref_K*(H150-1)))+30+E150,"")</f>
        <v>-90.3704468972711</v>
      </c>
      <c r="AG150" s="5">
        <f t="shared" si="54"/>
        <v>80.3704468972711</v>
      </c>
      <c r="AH150" s="5">
        <f>IF(AND(ToneEnabled,ISNUMBER(E150),ISNUMBER(TonePin)),TonePin+E150,"")</f>
        <v>-10</v>
      </c>
      <c r="AI150" s="5">
        <f>IF(AND(ToneEnabled,ISNUMBER(E150),ISNUMBER(N150),ISNUMBER(TonePin)),3*TonePin+E150-2*N150,"")</f>
        <v>-83.9794000867204</v>
      </c>
      <c r="AJ150" s="5" t="str">
        <f t="shared" si="55"/>
        <v/>
      </c>
      <c r="AK150" s="5" t="str">
        <f>IF(NOT(器件参数!B150),"旁路",IF(NOT(ISNUMBER(AC150)),"频率未知",IF(AC150&lt;=SignalBW/2,"跨零频",IF(AND(ISNUMBER(器件参数!R150),ISNUMBER(器件参数!S150)),IF(AND(AB150-SignalBW/2&gt;=器件参数!R150,AB150+SignalBW/2&lt;=器件参数!S150),"有效","超声明通带"),"未声明通带"))))</f>
        <v>旁路</v>
      </c>
      <c r="AL150" s="5">
        <f t="shared" si="56"/>
        <v>0</v>
      </c>
      <c r="AM150" s="5" t="str">
        <f>IF(AND(器件参数!B150,ISNUMBER(器件参数!X150),OR(AND(ISNUMBER(J150),J150&gt;器件参数!X150),IF(AND(ToneEnabled,ISNUMBER(TonePin),ISNUMBER(D150)),TonePin+10*LOG10(2)+D150&gt;器件参数!X150,FALSE))),"超过绝对最大输入额定值","")</f>
        <v/>
      </c>
      <c r="AN150" s="5">
        <f>IF(NOT(ISNUMBER(AN149)),"",IF(OR(NOT(器件参数!B150),器件参数!E150&lt;&gt;"mixer"),AN149,IF(AND(ISNUMBER(器件参数!T150),器件参数!T150&gt;0),IF(器件参数!U150="sum",AN149+器件参数!T150,ABS(AN149-器件参数!T150)),"")))</f>
        <v>99950000</v>
      </c>
      <c r="AO150" s="5">
        <f>IF(NOT(ISNUMBER(AO149)),"",IF(OR(NOT(器件参数!B150),器件参数!E150&lt;&gt;"mixer"),AO149,IF(AND(ISNUMBER(器件参数!T150),器件参数!T150&gt;0),IF(器件参数!U150="sum",AO149+器件参数!T150,ABS(AO149-器件参数!T150)),"")))</f>
        <v>100050000</v>
      </c>
      <c r="AP150" s="5">
        <f>IF(NOT(ISNUMBER(AP149)),"",IF(OR(NOT(器件参数!B150),器件参数!E150&lt;&gt;"mixer"),AP149,IF(AND(ISNUMBER(器件参数!T150),器件参数!T150&gt;0),IF(器件参数!U150="sum",AP149+器件参数!T150,ABS(AP149-器件参数!T150)),"")))</f>
        <v>99850000</v>
      </c>
      <c r="AQ150" s="5">
        <f>IF(NOT(ISNUMBER(AQ149)),"",IF(OR(NOT(器件参数!B150),器件参数!E150&lt;&gt;"mixer"),AQ149,IF(AND(ISNUMBER(器件参数!T150),器件参数!T150&gt;0),IF(器件参数!U150="sum",AQ149+器件参数!T150,ABS(AQ149-器件参数!T150)),"")))</f>
        <v>100150000</v>
      </c>
      <c r="AR150" s="5" t="b">
        <f>IF(NOT(AR149),FALSE,IF(NOT(器件参数!B150),TRUE,AND(COUNT(AN150:AQ150)=4,MIN(AN150:AQ150)&gt;0,IF(AND(ISNUMBER(器件参数!R150),ISNUMBER(器件参数!S150)),AND(MIN(AN149:AQ149)&gt;=器件参数!R150,MAX(AN149:AQ149)&lt;=器件参数!S150),TRUE),IF(AND(器件参数!E150="mixer",器件参数!U150="difference"),OR(器件参数!T150&lt;MIN(AN149:AQ149),器件参数!T150&gt;MAX(AN149:AQ149)),TRUE))))</f>
        <v>1</v>
      </c>
    </row>
    <row r="151" hidden="1" spans="1:44">
      <c r="A151" s="5">
        <f>器件参数!A151</f>
        <v>148</v>
      </c>
      <c r="B151" s="5" t="str">
        <f>器件参数!D151</f>
        <v/>
      </c>
      <c r="C151" s="5">
        <f>IF(NOT(器件参数!B151),0,IF(AND(ISNUMBER(器件参数!F151),ABS(器件参数!F151)&lt;=300),器件参数!F151,""))</f>
        <v>0</v>
      </c>
      <c r="D151" s="5">
        <f t="shared" si="38"/>
        <v>20</v>
      </c>
      <c r="E151" s="5">
        <f t="shared" si="39"/>
        <v>20</v>
      </c>
      <c r="F151" s="5">
        <f t="shared" si="40"/>
        <v>100</v>
      </c>
      <c r="G151" s="5">
        <f>IFERROR(IF(NOT(器件参数!B151),1,IF(NOT(OR(器件参数!E151&lt;&gt;"mixer",AND(OR(器件参数!V151="SSB",器件参数!V151="DSB"),器件参数!W151=TRUE))),"",IF(器件参数!G151="ideal",1,IF(AND(器件参数!G151="manual",ISNUMBER(器件参数!H151),器件参数!H151&gt;=0),10^(器件参数!H151/10),IF(AND(器件参数!G151="passive_thermal",OR(器件参数!E151="filter_bpf",器件参数!E151="filter_lpf",器件参数!E151="filter_hpf",器件参数!E151="filter_bsf",器件参数!E151="attenuator",器件参数!E151="cable",器件参数!E151="connector",器件参数!E151="switch",器件参数!E151="isolator",器件参数!E151="coupler",器件参数!E151="splitter"),AND(ISNUMBER(器件参数!F151),ABS(器件参数!F151)&lt;=300),器件参数!F151&lt;=0,ISNUMBER(器件参数!I151),器件参数!I151&gt;0),1+(10^(-器件参数!F151/10)-1)*器件参数!I151/Tref_K,""))))),"数值域错误")</f>
        <v>1</v>
      </c>
      <c r="H151" s="5">
        <f t="shared" si="41"/>
        <v>2.29336948552238</v>
      </c>
      <c r="I151" s="5">
        <f t="shared" si="42"/>
        <v>3.604740296957</v>
      </c>
      <c r="J151" s="5">
        <f>IF(AND(ISNUMBER(Pin_dBm),ISNUMBER(D151)),Pin_dBm+D151,"")</f>
        <v>-10</v>
      </c>
      <c r="K151" s="5">
        <f>IF(AND(ISNUMBER(Pin_dBm),ISNUMBER(E151)),Pin_dBm+E151,"")</f>
        <v>-10</v>
      </c>
      <c r="L151" s="5" t="str">
        <f>IF(AND(器件参数!J151="finite",ISNUMBER(器件参数!L151),ISNUMBER(C151)),IF(器件参数!K151="input",器件参数!L151,IF(器件参数!K151="output",器件参数!L151-C151,"")),"")</f>
        <v/>
      </c>
      <c r="M151" s="5">
        <f>IFERROR(IF(NOT(ISNUMBER(M150)),"",IF(OR(NOT(器件参数!B151),器件参数!J151="ideal"),M150,IF(AND(ISNUMBER(L151),ISNUMBER(F151)),M150+F151/10^(L151/10),""))),"数值域错误")</f>
        <v>0.2</v>
      </c>
      <c r="N151" s="5">
        <f t="shared" si="43"/>
        <v>6.98970004336019</v>
      </c>
      <c r="O151" s="5">
        <f t="shared" si="44"/>
        <v>26.9897000433602</v>
      </c>
      <c r="P151" s="5" t="str">
        <f>IF(AND(器件参数!M151="finite",ISNUMBER(器件参数!O151),ISNUMBER(C151)),IF(器件参数!N151="input",器件参数!O151,IF(器件参数!N151="actual_output",器件参数!O151-C151+1,IF(器件参数!N151="linear_output",器件参数!O151-C151,""))),"")</f>
        <v/>
      </c>
      <c r="Q151" s="5">
        <f>IF(器件参数!P151="",IF(AND(ISNUMBER(DefaultP),DefaultP&gt;=1,DefaultP&lt;=10),DefaultP,""),IF(AND(ISNUMBER(器件参数!P151),器件参数!P151&gt;=1,器件参数!P151&lt;=10),器件参数!P151,""))</f>
        <v>2</v>
      </c>
      <c r="R151" s="5">
        <f t="shared" si="45"/>
        <v>-10.0000139708288</v>
      </c>
      <c r="S151" s="5" t="str">
        <f t="shared" si="46"/>
        <v/>
      </c>
      <c r="T151" s="5">
        <f t="shared" si="47"/>
        <v>0</v>
      </c>
      <c r="U151" s="5">
        <f t="shared" si="48"/>
        <v>-10.0000139708288</v>
      </c>
      <c r="V151" s="5">
        <f>IF(AND(ISNUMBER(Pin_dBm),ISNUMBER(E151),ISNUMBER(U151)),Pin_dBm+E151-U151,"")</f>
        <v>1.39708287854035e-5</v>
      </c>
      <c r="W151" s="5" t="str">
        <f>IF(AND(器件参数!B151,X151=1,ISNUMBER(D151)),P151-D151,"")</f>
        <v/>
      </c>
      <c r="X151" s="5">
        <f>IF(NOT(ISNUMBER(C151)),-1,IF(OR(NOT(器件参数!B151),器件参数!M151="ideal"),0,IF(AND(ISNUMBER(P151),ISNUMBER(Q151)),1,-1)))</f>
        <v>0</v>
      </c>
      <c r="Y151" s="5" t="str">
        <f t="shared" si="49"/>
        <v>有效</v>
      </c>
      <c r="Z151" s="5" t="str">
        <f t="shared" si="50"/>
        <v>有效</v>
      </c>
      <c r="AA151" s="5" t="str">
        <f t="shared" si="51"/>
        <v>模型估算</v>
      </c>
      <c r="AB151" s="5">
        <f t="shared" si="52"/>
        <v>100000000</v>
      </c>
      <c r="AC151" s="5">
        <f>IF(NOT(ISNUMBER(AB151)),"",IF(OR(NOT(器件参数!B151),器件参数!E151&lt;&gt;"mixer"),AB151,IF(AND(ISNUMBER(器件参数!T151),器件参数!T151&gt;0),IF(器件参数!U151="sum",AB151+器件参数!T151,IF(器件参数!U151="difference",ABS(AB151-器件参数!T151),"")),"")))</f>
        <v>100000000</v>
      </c>
      <c r="AD151" s="5">
        <f t="shared" si="53"/>
        <v>0</v>
      </c>
      <c r="AE151" s="5">
        <f>IF(AND(ISNUMBER(G151),ISNUMBER(F151)),Tref_K*(G151-1)/F151,"")</f>
        <v>0</v>
      </c>
      <c r="AF151" s="5">
        <f>IF(AND(ISNUMBER(H151),ISNUMBER(E151),NoiseConfigOK),10*LOG10(Boltzmann*Bnoise_Hz*(Tsource_K+Tref_K*(H151-1)))+30+E151,"")</f>
        <v>-90.3704468972711</v>
      </c>
      <c r="AG151" s="5">
        <f t="shared" si="54"/>
        <v>80.3704468972711</v>
      </c>
      <c r="AH151" s="5">
        <f>IF(AND(ToneEnabled,ISNUMBER(E151),ISNUMBER(TonePin)),TonePin+E151,"")</f>
        <v>-10</v>
      </c>
      <c r="AI151" s="5">
        <f>IF(AND(ToneEnabled,ISNUMBER(E151),ISNUMBER(N151),ISNUMBER(TonePin)),3*TonePin+E151-2*N151,"")</f>
        <v>-83.9794000867204</v>
      </c>
      <c r="AJ151" s="5" t="str">
        <f t="shared" si="55"/>
        <v/>
      </c>
      <c r="AK151" s="5" t="str">
        <f>IF(NOT(器件参数!B151),"旁路",IF(NOT(ISNUMBER(AC151)),"频率未知",IF(AC151&lt;=SignalBW/2,"跨零频",IF(AND(ISNUMBER(器件参数!R151),ISNUMBER(器件参数!S151)),IF(AND(AB151-SignalBW/2&gt;=器件参数!R151,AB151+SignalBW/2&lt;=器件参数!S151),"有效","超声明通带"),"未声明通带"))))</f>
        <v>旁路</v>
      </c>
      <c r="AL151" s="5">
        <f t="shared" si="56"/>
        <v>0</v>
      </c>
      <c r="AM151" s="5" t="str">
        <f>IF(AND(器件参数!B151,ISNUMBER(器件参数!X151),OR(AND(ISNUMBER(J151),J151&gt;器件参数!X151),IF(AND(ToneEnabled,ISNUMBER(TonePin),ISNUMBER(D151)),TonePin+10*LOG10(2)+D151&gt;器件参数!X151,FALSE))),"超过绝对最大输入额定值","")</f>
        <v/>
      </c>
      <c r="AN151" s="5">
        <f>IF(NOT(ISNUMBER(AN150)),"",IF(OR(NOT(器件参数!B151),器件参数!E151&lt;&gt;"mixer"),AN150,IF(AND(ISNUMBER(器件参数!T151),器件参数!T151&gt;0),IF(器件参数!U151="sum",AN150+器件参数!T151,ABS(AN150-器件参数!T151)),"")))</f>
        <v>99950000</v>
      </c>
      <c r="AO151" s="5">
        <f>IF(NOT(ISNUMBER(AO150)),"",IF(OR(NOT(器件参数!B151),器件参数!E151&lt;&gt;"mixer"),AO150,IF(AND(ISNUMBER(器件参数!T151),器件参数!T151&gt;0),IF(器件参数!U151="sum",AO150+器件参数!T151,ABS(AO150-器件参数!T151)),"")))</f>
        <v>100050000</v>
      </c>
      <c r="AP151" s="5">
        <f>IF(NOT(ISNUMBER(AP150)),"",IF(OR(NOT(器件参数!B151),器件参数!E151&lt;&gt;"mixer"),AP150,IF(AND(ISNUMBER(器件参数!T151),器件参数!T151&gt;0),IF(器件参数!U151="sum",AP150+器件参数!T151,ABS(AP150-器件参数!T151)),"")))</f>
        <v>99850000</v>
      </c>
      <c r="AQ151" s="5">
        <f>IF(NOT(ISNUMBER(AQ150)),"",IF(OR(NOT(器件参数!B151),器件参数!E151&lt;&gt;"mixer"),AQ150,IF(AND(ISNUMBER(器件参数!T151),器件参数!T151&gt;0),IF(器件参数!U151="sum",AQ150+器件参数!T151,ABS(AQ150-器件参数!T151)),"")))</f>
        <v>100150000</v>
      </c>
      <c r="AR151" s="5" t="b">
        <f>IF(NOT(AR150),FALSE,IF(NOT(器件参数!B151),TRUE,AND(COUNT(AN151:AQ151)=4,MIN(AN151:AQ151)&gt;0,IF(AND(ISNUMBER(器件参数!R151),ISNUMBER(器件参数!S151)),AND(MIN(AN150:AQ150)&gt;=器件参数!R151,MAX(AN150:AQ150)&lt;=器件参数!S151),TRUE),IF(AND(器件参数!E151="mixer",器件参数!U151="difference"),OR(器件参数!T151&lt;MIN(AN150:AQ150),器件参数!T151&gt;MAX(AN150:AQ150)),TRUE))))</f>
        <v>1</v>
      </c>
    </row>
    <row r="152" hidden="1" spans="1:44">
      <c r="A152" s="5">
        <f>器件参数!A152</f>
        <v>149</v>
      </c>
      <c r="B152" s="5" t="str">
        <f>器件参数!D152</f>
        <v/>
      </c>
      <c r="C152" s="5">
        <f>IF(NOT(器件参数!B152),0,IF(AND(ISNUMBER(器件参数!F152),ABS(器件参数!F152)&lt;=300),器件参数!F152,""))</f>
        <v>0</v>
      </c>
      <c r="D152" s="5">
        <f t="shared" si="38"/>
        <v>20</v>
      </c>
      <c r="E152" s="5">
        <f t="shared" si="39"/>
        <v>20</v>
      </c>
      <c r="F152" s="5">
        <f t="shared" si="40"/>
        <v>100</v>
      </c>
      <c r="G152" s="5">
        <f>IFERROR(IF(NOT(器件参数!B152),1,IF(NOT(OR(器件参数!E152&lt;&gt;"mixer",AND(OR(器件参数!V152="SSB",器件参数!V152="DSB"),器件参数!W152=TRUE))),"",IF(器件参数!G152="ideal",1,IF(AND(器件参数!G152="manual",ISNUMBER(器件参数!H152),器件参数!H152&gt;=0),10^(器件参数!H152/10),IF(AND(器件参数!G152="passive_thermal",OR(器件参数!E152="filter_bpf",器件参数!E152="filter_lpf",器件参数!E152="filter_hpf",器件参数!E152="filter_bsf",器件参数!E152="attenuator",器件参数!E152="cable",器件参数!E152="connector",器件参数!E152="switch",器件参数!E152="isolator",器件参数!E152="coupler",器件参数!E152="splitter"),AND(ISNUMBER(器件参数!F152),ABS(器件参数!F152)&lt;=300),器件参数!F152&lt;=0,ISNUMBER(器件参数!I152),器件参数!I152&gt;0),1+(10^(-器件参数!F152/10)-1)*器件参数!I152/Tref_K,""))))),"数值域错误")</f>
        <v>1</v>
      </c>
      <c r="H152" s="5">
        <f t="shared" si="41"/>
        <v>2.29336948552238</v>
      </c>
      <c r="I152" s="5">
        <f t="shared" si="42"/>
        <v>3.604740296957</v>
      </c>
      <c r="J152" s="5">
        <f>IF(AND(ISNUMBER(Pin_dBm),ISNUMBER(D152)),Pin_dBm+D152,"")</f>
        <v>-10</v>
      </c>
      <c r="K152" s="5">
        <f>IF(AND(ISNUMBER(Pin_dBm),ISNUMBER(E152)),Pin_dBm+E152,"")</f>
        <v>-10</v>
      </c>
      <c r="L152" s="5" t="str">
        <f>IF(AND(器件参数!J152="finite",ISNUMBER(器件参数!L152),ISNUMBER(C152)),IF(器件参数!K152="input",器件参数!L152,IF(器件参数!K152="output",器件参数!L152-C152,"")),"")</f>
        <v/>
      </c>
      <c r="M152" s="5">
        <f>IFERROR(IF(NOT(ISNUMBER(M151)),"",IF(OR(NOT(器件参数!B152),器件参数!J152="ideal"),M151,IF(AND(ISNUMBER(L152),ISNUMBER(F152)),M151+F152/10^(L152/10),""))),"数值域错误")</f>
        <v>0.2</v>
      </c>
      <c r="N152" s="5">
        <f t="shared" si="43"/>
        <v>6.98970004336019</v>
      </c>
      <c r="O152" s="5">
        <f t="shared" si="44"/>
        <v>26.9897000433602</v>
      </c>
      <c r="P152" s="5" t="str">
        <f>IF(AND(器件参数!M152="finite",ISNUMBER(器件参数!O152),ISNUMBER(C152)),IF(器件参数!N152="input",器件参数!O152,IF(器件参数!N152="actual_output",器件参数!O152-C152+1,IF(器件参数!N152="linear_output",器件参数!O152-C152,""))),"")</f>
        <v/>
      </c>
      <c r="Q152" s="5">
        <f>IF(器件参数!P152="",IF(AND(ISNUMBER(DefaultP),DefaultP&gt;=1,DefaultP&lt;=10),DefaultP,""),IF(AND(ISNUMBER(器件参数!P152),器件参数!P152&gt;=1,器件参数!P152&lt;=10),器件参数!P152,""))</f>
        <v>2</v>
      </c>
      <c r="R152" s="5">
        <f t="shared" si="45"/>
        <v>-10.0000139708288</v>
      </c>
      <c r="S152" s="5" t="str">
        <f t="shared" si="46"/>
        <v/>
      </c>
      <c r="T152" s="5">
        <f t="shared" si="47"/>
        <v>0</v>
      </c>
      <c r="U152" s="5">
        <f t="shared" si="48"/>
        <v>-10.0000139708288</v>
      </c>
      <c r="V152" s="5">
        <f>IF(AND(ISNUMBER(Pin_dBm),ISNUMBER(E152),ISNUMBER(U152)),Pin_dBm+E152-U152,"")</f>
        <v>1.39708287854035e-5</v>
      </c>
      <c r="W152" s="5" t="str">
        <f>IF(AND(器件参数!B152,X152=1,ISNUMBER(D152)),P152-D152,"")</f>
        <v/>
      </c>
      <c r="X152" s="5">
        <f>IF(NOT(ISNUMBER(C152)),-1,IF(OR(NOT(器件参数!B152),器件参数!M152="ideal"),0,IF(AND(ISNUMBER(P152),ISNUMBER(Q152)),1,-1)))</f>
        <v>0</v>
      </c>
      <c r="Y152" s="5" t="str">
        <f t="shared" si="49"/>
        <v>有效</v>
      </c>
      <c r="Z152" s="5" t="str">
        <f t="shared" si="50"/>
        <v>有效</v>
      </c>
      <c r="AA152" s="5" t="str">
        <f t="shared" si="51"/>
        <v>模型估算</v>
      </c>
      <c r="AB152" s="5">
        <f t="shared" si="52"/>
        <v>100000000</v>
      </c>
      <c r="AC152" s="5">
        <f>IF(NOT(ISNUMBER(AB152)),"",IF(OR(NOT(器件参数!B152),器件参数!E152&lt;&gt;"mixer"),AB152,IF(AND(ISNUMBER(器件参数!T152),器件参数!T152&gt;0),IF(器件参数!U152="sum",AB152+器件参数!T152,IF(器件参数!U152="difference",ABS(AB152-器件参数!T152),"")),"")))</f>
        <v>100000000</v>
      </c>
      <c r="AD152" s="5">
        <f t="shared" si="53"/>
        <v>0</v>
      </c>
      <c r="AE152" s="5">
        <f>IF(AND(ISNUMBER(G152),ISNUMBER(F152)),Tref_K*(G152-1)/F152,"")</f>
        <v>0</v>
      </c>
      <c r="AF152" s="5">
        <f>IF(AND(ISNUMBER(H152),ISNUMBER(E152),NoiseConfigOK),10*LOG10(Boltzmann*Bnoise_Hz*(Tsource_K+Tref_K*(H152-1)))+30+E152,"")</f>
        <v>-90.3704468972711</v>
      </c>
      <c r="AG152" s="5">
        <f t="shared" si="54"/>
        <v>80.3704468972711</v>
      </c>
      <c r="AH152" s="5">
        <f>IF(AND(ToneEnabled,ISNUMBER(E152),ISNUMBER(TonePin)),TonePin+E152,"")</f>
        <v>-10</v>
      </c>
      <c r="AI152" s="5">
        <f>IF(AND(ToneEnabled,ISNUMBER(E152),ISNUMBER(N152),ISNUMBER(TonePin)),3*TonePin+E152-2*N152,"")</f>
        <v>-83.9794000867204</v>
      </c>
      <c r="AJ152" s="5" t="str">
        <f t="shared" si="55"/>
        <v/>
      </c>
      <c r="AK152" s="5" t="str">
        <f>IF(NOT(器件参数!B152),"旁路",IF(NOT(ISNUMBER(AC152)),"频率未知",IF(AC152&lt;=SignalBW/2,"跨零频",IF(AND(ISNUMBER(器件参数!R152),ISNUMBER(器件参数!S152)),IF(AND(AB152-SignalBW/2&gt;=器件参数!R152,AB152+SignalBW/2&lt;=器件参数!S152),"有效","超声明通带"),"未声明通带"))))</f>
        <v>旁路</v>
      </c>
      <c r="AL152" s="5">
        <f t="shared" si="56"/>
        <v>0</v>
      </c>
      <c r="AM152" s="5" t="str">
        <f>IF(AND(器件参数!B152,ISNUMBER(器件参数!X152),OR(AND(ISNUMBER(J152),J152&gt;器件参数!X152),IF(AND(ToneEnabled,ISNUMBER(TonePin),ISNUMBER(D152)),TonePin+10*LOG10(2)+D152&gt;器件参数!X152,FALSE))),"超过绝对最大输入额定值","")</f>
        <v/>
      </c>
      <c r="AN152" s="5">
        <f>IF(NOT(ISNUMBER(AN151)),"",IF(OR(NOT(器件参数!B152),器件参数!E152&lt;&gt;"mixer"),AN151,IF(AND(ISNUMBER(器件参数!T152),器件参数!T152&gt;0),IF(器件参数!U152="sum",AN151+器件参数!T152,ABS(AN151-器件参数!T152)),"")))</f>
        <v>99950000</v>
      </c>
      <c r="AO152" s="5">
        <f>IF(NOT(ISNUMBER(AO151)),"",IF(OR(NOT(器件参数!B152),器件参数!E152&lt;&gt;"mixer"),AO151,IF(AND(ISNUMBER(器件参数!T152),器件参数!T152&gt;0),IF(器件参数!U152="sum",AO151+器件参数!T152,ABS(AO151-器件参数!T152)),"")))</f>
        <v>100050000</v>
      </c>
      <c r="AP152" s="5">
        <f>IF(NOT(ISNUMBER(AP151)),"",IF(OR(NOT(器件参数!B152),器件参数!E152&lt;&gt;"mixer"),AP151,IF(AND(ISNUMBER(器件参数!T152),器件参数!T152&gt;0),IF(器件参数!U152="sum",AP151+器件参数!T152,ABS(AP151-器件参数!T152)),"")))</f>
        <v>99850000</v>
      </c>
      <c r="AQ152" s="5">
        <f>IF(NOT(ISNUMBER(AQ151)),"",IF(OR(NOT(器件参数!B152),器件参数!E152&lt;&gt;"mixer"),AQ151,IF(AND(ISNUMBER(器件参数!T152),器件参数!T152&gt;0),IF(器件参数!U152="sum",AQ151+器件参数!T152,ABS(AQ151-器件参数!T152)),"")))</f>
        <v>100150000</v>
      </c>
      <c r="AR152" s="5" t="b">
        <f>IF(NOT(AR151),FALSE,IF(NOT(器件参数!B152),TRUE,AND(COUNT(AN152:AQ152)=4,MIN(AN152:AQ152)&gt;0,IF(AND(ISNUMBER(器件参数!R152),ISNUMBER(器件参数!S152)),AND(MIN(AN151:AQ151)&gt;=器件参数!R152,MAX(AN151:AQ151)&lt;=器件参数!S152),TRUE),IF(AND(器件参数!E152="mixer",器件参数!U152="difference"),OR(器件参数!T152&lt;MIN(AN151:AQ151),器件参数!T152&gt;MAX(AN151:AQ151)),TRUE))))</f>
        <v>1</v>
      </c>
    </row>
    <row r="153" hidden="1" spans="1:44">
      <c r="A153" s="5">
        <f>器件参数!A153</f>
        <v>150</v>
      </c>
      <c r="B153" s="5" t="str">
        <f>器件参数!D153</f>
        <v/>
      </c>
      <c r="C153" s="5">
        <f>IF(NOT(器件参数!B153),0,IF(AND(ISNUMBER(器件参数!F153),ABS(器件参数!F153)&lt;=300),器件参数!F153,""))</f>
        <v>0</v>
      </c>
      <c r="D153" s="5">
        <f t="shared" si="38"/>
        <v>20</v>
      </c>
      <c r="E153" s="5">
        <f t="shared" si="39"/>
        <v>20</v>
      </c>
      <c r="F153" s="5">
        <f t="shared" si="40"/>
        <v>100</v>
      </c>
      <c r="G153" s="5">
        <f>IFERROR(IF(NOT(器件参数!B153),1,IF(NOT(OR(器件参数!E153&lt;&gt;"mixer",AND(OR(器件参数!V153="SSB",器件参数!V153="DSB"),器件参数!W153=TRUE))),"",IF(器件参数!G153="ideal",1,IF(AND(器件参数!G153="manual",ISNUMBER(器件参数!H153),器件参数!H153&gt;=0),10^(器件参数!H153/10),IF(AND(器件参数!G153="passive_thermal",OR(器件参数!E153="filter_bpf",器件参数!E153="filter_lpf",器件参数!E153="filter_hpf",器件参数!E153="filter_bsf",器件参数!E153="attenuator",器件参数!E153="cable",器件参数!E153="connector",器件参数!E153="switch",器件参数!E153="isolator",器件参数!E153="coupler",器件参数!E153="splitter"),AND(ISNUMBER(器件参数!F153),ABS(器件参数!F153)&lt;=300),器件参数!F153&lt;=0,ISNUMBER(器件参数!I153),器件参数!I153&gt;0),1+(10^(-器件参数!F153/10)-1)*器件参数!I153/Tref_K,""))))),"数值域错误")</f>
        <v>1</v>
      </c>
      <c r="H153" s="5">
        <f t="shared" si="41"/>
        <v>2.29336948552238</v>
      </c>
      <c r="I153" s="5">
        <f t="shared" si="42"/>
        <v>3.604740296957</v>
      </c>
      <c r="J153" s="5">
        <f>IF(AND(ISNUMBER(Pin_dBm),ISNUMBER(D153)),Pin_dBm+D153,"")</f>
        <v>-10</v>
      </c>
      <c r="K153" s="5">
        <f>IF(AND(ISNUMBER(Pin_dBm),ISNUMBER(E153)),Pin_dBm+E153,"")</f>
        <v>-10</v>
      </c>
      <c r="L153" s="5" t="str">
        <f>IF(AND(器件参数!J153="finite",ISNUMBER(器件参数!L153),ISNUMBER(C153)),IF(器件参数!K153="input",器件参数!L153,IF(器件参数!K153="output",器件参数!L153-C153,"")),"")</f>
        <v/>
      </c>
      <c r="M153" s="5">
        <f>IFERROR(IF(NOT(ISNUMBER(M152)),"",IF(OR(NOT(器件参数!B153),器件参数!J153="ideal"),M152,IF(AND(ISNUMBER(L153),ISNUMBER(F153)),M152+F153/10^(L153/10),""))),"数值域错误")</f>
        <v>0.2</v>
      </c>
      <c r="N153" s="5">
        <f t="shared" si="43"/>
        <v>6.98970004336019</v>
      </c>
      <c r="O153" s="5">
        <f t="shared" si="44"/>
        <v>26.9897000433602</v>
      </c>
      <c r="P153" s="5" t="str">
        <f>IF(AND(器件参数!M153="finite",ISNUMBER(器件参数!O153),ISNUMBER(C153)),IF(器件参数!N153="input",器件参数!O153,IF(器件参数!N153="actual_output",器件参数!O153-C153+1,IF(器件参数!N153="linear_output",器件参数!O153-C153,""))),"")</f>
        <v/>
      </c>
      <c r="Q153" s="5">
        <f>IF(器件参数!P153="",IF(AND(ISNUMBER(DefaultP),DefaultP&gt;=1,DefaultP&lt;=10),DefaultP,""),IF(AND(ISNUMBER(器件参数!P153),器件参数!P153&gt;=1,器件参数!P153&lt;=10),器件参数!P153,""))</f>
        <v>2</v>
      </c>
      <c r="R153" s="5">
        <f t="shared" si="45"/>
        <v>-10.0000139708288</v>
      </c>
      <c r="S153" s="5" t="str">
        <f t="shared" si="46"/>
        <v/>
      </c>
      <c r="T153" s="5">
        <f t="shared" si="47"/>
        <v>0</v>
      </c>
      <c r="U153" s="5">
        <f t="shared" si="48"/>
        <v>-10.0000139708288</v>
      </c>
      <c r="V153" s="5">
        <f>IF(AND(ISNUMBER(Pin_dBm),ISNUMBER(E153),ISNUMBER(U153)),Pin_dBm+E153-U153,"")</f>
        <v>1.39708287854035e-5</v>
      </c>
      <c r="W153" s="5" t="str">
        <f>IF(AND(器件参数!B153,X153=1,ISNUMBER(D153)),P153-D153,"")</f>
        <v/>
      </c>
      <c r="X153" s="5">
        <f>IF(NOT(ISNUMBER(C153)),-1,IF(OR(NOT(器件参数!B153),器件参数!M153="ideal"),0,IF(AND(ISNUMBER(P153),ISNUMBER(Q153)),1,-1)))</f>
        <v>0</v>
      </c>
      <c r="Y153" s="5" t="str">
        <f t="shared" si="49"/>
        <v>有效</v>
      </c>
      <c r="Z153" s="5" t="str">
        <f t="shared" si="50"/>
        <v>有效</v>
      </c>
      <c r="AA153" s="5" t="str">
        <f t="shared" si="51"/>
        <v>模型估算</v>
      </c>
      <c r="AB153" s="5">
        <f t="shared" si="52"/>
        <v>100000000</v>
      </c>
      <c r="AC153" s="5">
        <f>IF(NOT(ISNUMBER(AB153)),"",IF(OR(NOT(器件参数!B153),器件参数!E153&lt;&gt;"mixer"),AB153,IF(AND(ISNUMBER(器件参数!T153),器件参数!T153&gt;0),IF(器件参数!U153="sum",AB153+器件参数!T153,IF(器件参数!U153="difference",ABS(AB153-器件参数!T153),"")),"")))</f>
        <v>100000000</v>
      </c>
      <c r="AD153" s="5">
        <f t="shared" si="53"/>
        <v>0</v>
      </c>
      <c r="AE153" s="5">
        <f>IF(AND(ISNUMBER(G153),ISNUMBER(F153)),Tref_K*(G153-1)/F153,"")</f>
        <v>0</v>
      </c>
      <c r="AF153" s="5">
        <f>IF(AND(ISNUMBER(H153),ISNUMBER(E153),NoiseConfigOK),10*LOG10(Boltzmann*Bnoise_Hz*(Tsource_K+Tref_K*(H153-1)))+30+E153,"")</f>
        <v>-90.3704468972711</v>
      </c>
      <c r="AG153" s="5">
        <f t="shared" si="54"/>
        <v>80.3704468972711</v>
      </c>
      <c r="AH153" s="5">
        <f>IF(AND(ToneEnabled,ISNUMBER(E153),ISNUMBER(TonePin)),TonePin+E153,"")</f>
        <v>-10</v>
      </c>
      <c r="AI153" s="5">
        <f>IF(AND(ToneEnabled,ISNUMBER(E153),ISNUMBER(N153),ISNUMBER(TonePin)),3*TonePin+E153-2*N153,"")</f>
        <v>-83.9794000867204</v>
      </c>
      <c r="AJ153" s="5" t="str">
        <f t="shared" si="55"/>
        <v/>
      </c>
      <c r="AK153" s="5" t="str">
        <f>IF(NOT(器件参数!B153),"旁路",IF(NOT(ISNUMBER(AC153)),"频率未知",IF(AC153&lt;=SignalBW/2,"跨零频",IF(AND(ISNUMBER(器件参数!R153),ISNUMBER(器件参数!S153)),IF(AND(AB153-SignalBW/2&gt;=器件参数!R153,AB153+SignalBW/2&lt;=器件参数!S153),"有效","超声明通带"),"未声明通带"))))</f>
        <v>旁路</v>
      </c>
      <c r="AL153" s="5">
        <f t="shared" si="56"/>
        <v>0</v>
      </c>
      <c r="AM153" s="5" t="str">
        <f>IF(AND(器件参数!B153,ISNUMBER(器件参数!X153),OR(AND(ISNUMBER(J153),J153&gt;器件参数!X153),IF(AND(ToneEnabled,ISNUMBER(TonePin),ISNUMBER(D153)),TonePin+10*LOG10(2)+D153&gt;器件参数!X153,FALSE))),"超过绝对最大输入额定值","")</f>
        <v/>
      </c>
      <c r="AN153" s="5">
        <f>IF(NOT(ISNUMBER(AN152)),"",IF(OR(NOT(器件参数!B153),器件参数!E153&lt;&gt;"mixer"),AN152,IF(AND(ISNUMBER(器件参数!T153),器件参数!T153&gt;0),IF(器件参数!U153="sum",AN152+器件参数!T153,ABS(AN152-器件参数!T153)),"")))</f>
        <v>99950000</v>
      </c>
      <c r="AO153" s="5">
        <f>IF(NOT(ISNUMBER(AO152)),"",IF(OR(NOT(器件参数!B153),器件参数!E153&lt;&gt;"mixer"),AO152,IF(AND(ISNUMBER(器件参数!T153),器件参数!T153&gt;0),IF(器件参数!U153="sum",AO152+器件参数!T153,ABS(AO152-器件参数!T153)),"")))</f>
        <v>100050000</v>
      </c>
      <c r="AP153" s="5">
        <f>IF(NOT(ISNUMBER(AP152)),"",IF(OR(NOT(器件参数!B153),器件参数!E153&lt;&gt;"mixer"),AP152,IF(AND(ISNUMBER(器件参数!T153),器件参数!T153&gt;0),IF(器件参数!U153="sum",AP152+器件参数!T153,ABS(AP152-器件参数!T153)),"")))</f>
        <v>99850000</v>
      </c>
      <c r="AQ153" s="5">
        <f>IF(NOT(ISNUMBER(AQ152)),"",IF(OR(NOT(器件参数!B153),器件参数!E153&lt;&gt;"mixer"),AQ152,IF(AND(ISNUMBER(器件参数!T153),器件参数!T153&gt;0),IF(器件参数!U153="sum",AQ152+器件参数!T153,ABS(AQ152-器件参数!T153)),"")))</f>
        <v>100150000</v>
      </c>
      <c r="AR153" s="5" t="b">
        <f>IF(NOT(AR152),FALSE,IF(NOT(器件参数!B153),TRUE,AND(COUNT(AN153:AQ153)=4,MIN(AN153:AQ153)&gt;0,IF(AND(ISNUMBER(器件参数!R153),ISNUMBER(器件参数!S153)),AND(MIN(AN152:AQ152)&gt;=器件参数!R153,MAX(AN152:AQ152)&lt;=器件参数!S153),TRUE),IF(AND(器件参数!E153="mixer",器件参数!U153="difference"),OR(器件参数!T153&lt;MIN(AN152:AQ152),器件参数!T153&gt;MAX(AN152:AQ152)),TRUE))))</f>
        <v>1</v>
      </c>
    </row>
    <row r="154" hidden="1" spans="1:44">
      <c r="A154" s="5">
        <f>器件参数!A154</f>
        <v>151</v>
      </c>
      <c r="B154" s="5" t="str">
        <f>器件参数!D154</f>
        <v/>
      </c>
      <c r="C154" s="5">
        <f>IF(NOT(器件参数!B154),0,IF(AND(ISNUMBER(器件参数!F154),ABS(器件参数!F154)&lt;=300),器件参数!F154,""))</f>
        <v>0</v>
      </c>
      <c r="D154" s="5">
        <f t="shared" si="38"/>
        <v>20</v>
      </c>
      <c r="E154" s="5">
        <f t="shared" si="39"/>
        <v>20</v>
      </c>
      <c r="F154" s="5">
        <f t="shared" si="40"/>
        <v>100</v>
      </c>
      <c r="G154" s="5">
        <f>IFERROR(IF(NOT(器件参数!B154),1,IF(NOT(OR(器件参数!E154&lt;&gt;"mixer",AND(OR(器件参数!V154="SSB",器件参数!V154="DSB"),器件参数!W154=TRUE))),"",IF(器件参数!G154="ideal",1,IF(AND(器件参数!G154="manual",ISNUMBER(器件参数!H154),器件参数!H154&gt;=0),10^(器件参数!H154/10),IF(AND(器件参数!G154="passive_thermal",OR(器件参数!E154="filter_bpf",器件参数!E154="filter_lpf",器件参数!E154="filter_hpf",器件参数!E154="filter_bsf",器件参数!E154="attenuator",器件参数!E154="cable",器件参数!E154="connector",器件参数!E154="switch",器件参数!E154="isolator",器件参数!E154="coupler",器件参数!E154="splitter"),AND(ISNUMBER(器件参数!F154),ABS(器件参数!F154)&lt;=300),器件参数!F154&lt;=0,ISNUMBER(器件参数!I154),器件参数!I154&gt;0),1+(10^(-器件参数!F154/10)-1)*器件参数!I154/Tref_K,""))))),"数值域错误")</f>
        <v>1</v>
      </c>
      <c r="H154" s="5">
        <f t="shared" si="41"/>
        <v>2.29336948552238</v>
      </c>
      <c r="I154" s="5">
        <f t="shared" si="42"/>
        <v>3.604740296957</v>
      </c>
      <c r="J154" s="5">
        <f>IF(AND(ISNUMBER(Pin_dBm),ISNUMBER(D154)),Pin_dBm+D154,"")</f>
        <v>-10</v>
      </c>
      <c r="K154" s="5">
        <f>IF(AND(ISNUMBER(Pin_dBm),ISNUMBER(E154)),Pin_dBm+E154,"")</f>
        <v>-10</v>
      </c>
      <c r="L154" s="5" t="str">
        <f>IF(AND(器件参数!J154="finite",ISNUMBER(器件参数!L154),ISNUMBER(C154)),IF(器件参数!K154="input",器件参数!L154,IF(器件参数!K154="output",器件参数!L154-C154,"")),"")</f>
        <v/>
      </c>
      <c r="M154" s="5">
        <f>IFERROR(IF(NOT(ISNUMBER(M153)),"",IF(OR(NOT(器件参数!B154),器件参数!J154="ideal"),M153,IF(AND(ISNUMBER(L154),ISNUMBER(F154)),M153+F154/10^(L154/10),""))),"数值域错误")</f>
        <v>0.2</v>
      </c>
      <c r="N154" s="5">
        <f t="shared" si="43"/>
        <v>6.98970004336019</v>
      </c>
      <c r="O154" s="5">
        <f t="shared" si="44"/>
        <v>26.9897000433602</v>
      </c>
      <c r="P154" s="5" t="str">
        <f>IF(AND(器件参数!M154="finite",ISNUMBER(器件参数!O154),ISNUMBER(C154)),IF(器件参数!N154="input",器件参数!O154,IF(器件参数!N154="actual_output",器件参数!O154-C154+1,IF(器件参数!N154="linear_output",器件参数!O154-C154,""))),"")</f>
        <v/>
      </c>
      <c r="Q154" s="5">
        <f>IF(器件参数!P154="",IF(AND(ISNUMBER(DefaultP),DefaultP&gt;=1,DefaultP&lt;=10),DefaultP,""),IF(AND(ISNUMBER(器件参数!P154),器件参数!P154&gt;=1,器件参数!P154&lt;=10),器件参数!P154,""))</f>
        <v>2</v>
      </c>
      <c r="R154" s="5">
        <f t="shared" si="45"/>
        <v>-10.0000139708288</v>
      </c>
      <c r="S154" s="5" t="str">
        <f t="shared" si="46"/>
        <v/>
      </c>
      <c r="T154" s="5">
        <f t="shared" si="47"/>
        <v>0</v>
      </c>
      <c r="U154" s="5">
        <f t="shared" si="48"/>
        <v>-10.0000139708288</v>
      </c>
      <c r="V154" s="5">
        <f>IF(AND(ISNUMBER(Pin_dBm),ISNUMBER(E154),ISNUMBER(U154)),Pin_dBm+E154-U154,"")</f>
        <v>1.39708287854035e-5</v>
      </c>
      <c r="W154" s="5" t="str">
        <f>IF(AND(器件参数!B154,X154=1,ISNUMBER(D154)),P154-D154,"")</f>
        <v/>
      </c>
      <c r="X154" s="5">
        <f>IF(NOT(ISNUMBER(C154)),-1,IF(OR(NOT(器件参数!B154),器件参数!M154="ideal"),0,IF(AND(ISNUMBER(P154),ISNUMBER(Q154)),1,-1)))</f>
        <v>0</v>
      </c>
      <c r="Y154" s="5" t="str">
        <f t="shared" si="49"/>
        <v>有效</v>
      </c>
      <c r="Z154" s="5" t="str">
        <f t="shared" si="50"/>
        <v>有效</v>
      </c>
      <c r="AA154" s="5" t="str">
        <f t="shared" si="51"/>
        <v>模型估算</v>
      </c>
      <c r="AB154" s="5">
        <f t="shared" si="52"/>
        <v>100000000</v>
      </c>
      <c r="AC154" s="5">
        <f>IF(NOT(ISNUMBER(AB154)),"",IF(OR(NOT(器件参数!B154),器件参数!E154&lt;&gt;"mixer"),AB154,IF(AND(ISNUMBER(器件参数!T154),器件参数!T154&gt;0),IF(器件参数!U154="sum",AB154+器件参数!T154,IF(器件参数!U154="difference",ABS(AB154-器件参数!T154),"")),"")))</f>
        <v>100000000</v>
      </c>
      <c r="AD154" s="5">
        <f t="shared" si="53"/>
        <v>0</v>
      </c>
      <c r="AE154" s="5">
        <f>IF(AND(ISNUMBER(G154),ISNUMBER(F154)),Tref_K*(G154-1)/F154,"")</f>
        <v>0</v>
      </c>
      <c r="AF154" s="5">
        <f>IF(AND(ISNUMBER(H154),ISNUMBER(E154),NoiseConfigOK),10*LOG10(Boltzmann*Bnoise_Hz*(Tsource_K+Tref_K*(H154-1)))+30+E154,"")</f>
        <v>-90.3704468972711</v>
      </c>
      <c r="AG154" s="5">
        <f t="shared" si="54"/>
        <v>80.3704468972711</v>
      </c>
      <c r="AH154" s="5">
        <f>IF(AND(ToneEnabled,ISNUMBER(E154),ISNUMBER(TonePin)),TonePin+E154,"")</f>
        <v>-10</v>
      </c>
      <c r="AI154" s="5">
        <f>IF(AND(ToneEnabled,ISNUMBER(E154),ISNUMBER(N154),ISNUMBER(TonePin)),3*TonePin+E154-2*N154,"")</f>
        <v>-83.9794000867204</v>
      </c>
      <c r="AJ154" s="5" t="str">
        <f t="shared" si="55"/>
        <v/>
      </c>
      <c r="AK154" s="5" t="str">
        <f>IF(NOT(器件参数!B154),"旁路",IF(NOT(ISNUMBER(AC154)),"频率未知",IF(AC154&lt;=SignalBW/2,"跨零频",IF(AND(ISNUMBER(器件参数!R154),ISNUMBER(器件参数!S154)),IF(AND(AB154-SignalBW/2&gt;=器件参数!R154,AB154+SignalBW/2&lt;=器件参数!S154),"有效","超声明通带"),"未声明通带"))))</f>
        <v>旁路</v>
      </c>
      <c r="AL154" s="5">
        <f t="shared" si="56"/>
        <v>0</v>
      </c>
      <c r="AM154" s="5" t="str">
        <f>IF(AND(器件参数!B154,ISNUMBER(器件参数!X154),OR(AND(ISNUMBER(J154),J154&gt;器件参数!X154),IF(AND(ToneEnabled,ISNUMBER(TonePin),ISNUMBER(D154)),TonePin+10*LOG10(2)+D154&gt;器件参数!X154,FALSE))),"超过绝对最大输入额定值","")</f>
        <v/>
      </c>
      <c r="AN154" s="5">
        <f>IF(NOT(ISNUMBER(AN153)),"",IF(OR(NOT(器件参数!B154),器件参数!E154&lt;&gt;"mixer"),AN153,IF(AND(ISNUMBER(器件参数!T154),器件参数!T154&gt;0),IF(器件参数!U154="sum",AN153+器件参数!T154,ABS(AN153-器件参数!T154)),"")))</f>
        <v>99950000</v>
      </c>
      <c r="AO154" s="5">
        <f>IF(NOT(ISNUMBER(AO153)),"",IF(OR(NOT(器件参数!B154),器件参数!E154&lt;&gt;"mixer"),AO153,IF(AND(ISNUMBER(器件参数!T154),器件参数!T154&gt;0),IF(器件参数!U154="sum",AO153+器件参数!T154,ABS(AO153-器件参数!T154)),"")))</f>
        <v>100050000</v>
      </c>
      <c r="AP154" s="5">
        <f>IF(NOT(ISNUMBER(AP153)),"",IF(OR(NOT(器件参数!B154),器件参数!E154&lt;&gt;"mixer"),AP153,IF(AND(ISNUMBER(器件参数!T154),器件参数!T154&gt;0),IF(器件参数!U154="sum",AP153+器件参数!T154,ABS(AP153-器件参数!T154)),"")))</f>
        <v>99850000</v>
      </c>
      <c r="AQ154" s="5">
        <f>IF(NOT(ISNUMBER(AQ153)),"",IF(OR(NOT(器件参数!B154),器件参数!E154&lt;&gt;"mixer"),AQ153,IF(AND(ISNUMBER(器件参数!T154),器件参数!T154&gt;0),IF(器件参数!U154="sum",AQ153+器件参数!T154,ABS(AQ153-器件参数!T154)),"")))</f>
        <v>100150000</v>
      </c>
      <c r="AR154" s="5" t="b">
        <f>IF(NOT(AR153),FALSE,IF(NOT(器件参数!B154),TRUE,AND(COUNT(AN154:AQ154)=4,MIN(AN154:AQ154)&gt;0,IF(AND(ISNUMBER(器件参数!R154),ISNUMBER(器件参数!S154)),AND(MIN(AN153:AQ153)&gt;=器件参数!R154,MAX(AN153:AQ153)&lt;=器件参数!S154),TRUE),IF(AND(器件参数!E154="mixer",器件参数!U154="difference"),OR(器件参数!T154&lt;MIN(AN153:AQ153),器件参数!T154&gt;MAX(AN153:AQ153)),TRUE))))</f>
        <v>1</v>
      </c>
    </row>
    <row r="155" hidden="1" spans="1:44">
      <c r="A155" s="5">
        <f>器件参数!A155</f>
        <v>152</v>
      </c>
      <c r="B155" s="5" t="str">
        <f>器件参数!D155</f>
        <v/>
      </c>
      <c r="C155" s="5">
        <f>IF(NOT(器件参数!B155),0,IF(AND(ISNUMBER(器件参数!F155),ABS(器件参数!F155)&lt;=300),器件参数!F155,""))</f>
        <v>0</v>
      </c>
      <c r="D155" s="5">
        <f t="shared" si="38"/>
        <v>20</v>
      </c>
      <c r="E155" s="5">
        <f t="shared" si="39"/>
        <v>20</v>
      </c>
      <c r="F155" s="5">
        <f t="shared" si="40"/>
        <v>100</v>
      </c>
      <c r="G155" s="5">
        <f>IFERROR(IF(NOT(器件参数!B155),1,IF(NOT(OR(器件参数!E155&lt;&gt;"mixer",AND(OR(器件参数!V155="SSB",器件参数!V155="DSB"),器件参数!W155=TRUE))),"",IF(器件参数!G155="ideal",1,IF(AND(器件参数!G155="manual",ISNUMBER(器件参数!H155),器件参数!H155&gt;=0),10^(器件参数!H155/10),IF(AND(器件参数!G155="passive_thermal",OR(器件参数!E155="filter_bpf",器件参数!E155="filter_lpf",器件参数!E155="filter_hpf",器件参数!E155="filter_bsf",器件参数!E155="attenuator",器件参数!E155="cable",器件参数!E155="connector",器件参数!E155="switch",器件参数!E155="isolator",器件参数!E155="coupler",器件参数!E155="splitter"),AND(ISNUMBER(器件参数!F155),ABS(器件参数!F155)&lt;=300),器件参数!F155&lt;=0,ISNUMBER(器件参数!I155),器件参数!I155&gt;0),1+(10^(-器件参数!F155/10)-1)*器件参数!I155/Tref_K,""))))),"数值域错误")</f>
        <v>1</v>
      </c>
      <c r="H155" s="5">
        <f t="shared" si="41"/>
        <v>2.29336948552238</v>
      </c>
      <c r="I155" s="5">
        <f t="shared" si="42"/>
        <v>3.604740296957</v>
      </c>
      <c r="J155" s="5">
        <f>IF(AND(ISNUMBER(Pin_dBm),ISNUMBER(D155)),Pin_dBm+D155,"")</f>
        <v>-10</v>
      </c>
      <c r="K155" s="5">
        <f>IF(AND(ISNUMBER(Pin_dBm),ISNUMBER(E155)),Pin_dBm+E155,"")</f>
        <v>-10</v>
      </c>
      <c r="L155" s="5" t="str">
        <f>IF(AND(器件参数!J155="finite",ISNUMBER(器件参数!L155),ISNUMBER(C155)),IF(器件参数!K155="input",器件参数!L155,IF(器件参数!K155="output",器件参数!L155-C155,"")),"")</f>
        <v/>
      </c>
      <c r="M155" s="5">
        <f>IFERROR(IF(NOT(ISNUMBER(M154)),"",IF(OR(NOT(器件参数!B155),器件参数!J155="ideal"),M154,IF(AND(ISNUMBER(L155),ISNUMBER(F155)),M154+F155/10^(L155/10),""))),"数值域错误")</f>
        <v>0.2</v>
      </c>
      <c r="N155" s="5">
        <f t="shared" si="43"/>
        <v>6.98970004336019</v>
      </c>
      <c r="O155" s="5">
        <f t="shared" si="44"/>
        <v>26.9897000433602</v>
      </c>
      <c r="P155" s="5" t="str">
        <f>IF(AND(器件参数!M155="finite",ISNUMBER(器件参数!O155),ISNUMBER(C155)),IF(器件参数!N155="input",器件参数!O155,IF(器件参数!N155="actual_output",器件参数!O155-C155+1,IF(器件参数!N155="linear_output",器件参数!O155-C155,""))),"")</f>
        <v/>
      </c>
      <c r="Q155" s="5">
        <f>IF(器件参数!P155="",IF(AND(ISNUMBER(DefaultP),DefaultP&gt;=1,DefaultP&lt;=10),DefaultP,""),IF(AND(ISNUMBER(器件参数!P155),器件参数!P155&gt;=1,器件参数!P155&lt;=10),器件参数!P155,""))</f>
        <v>2</v>
      </c>
      <c r="R155" s="5">
        <f t="shared" si="45"/>
        <v>-10.0000139708288</v>
      </c>
      <c r="S155" s="5" t="str">
        <f t="shared" si="46"/>
        <v/>
      </c>
      <c r="T155" s="5">
        <f t="shared" si="47"/>
        <v>0</v>
      </c>
      <c r="U155" s="5">
        <f t="shared" si="48"/>
        <v>-10.0000139708288</v>
      </c>
      <c r="V155" s="5">
        <f>IF(AND(ISNUMBER(Pin_dBm),ISNUMBER(E155),ISNUMBER(U155)),Pin_dBm+E155-U155,"")</f>
        <v>1.39708287854035e-5</v>
      </c>
      <c r="W155" s="5" t="str">
        <f>IF(AND(器件参数!B155,X155=1,ISNUMBER(D155)),P155-D155,"")</f>
        <v/>
      </c>
      <c r="X155" s="5">
        <f>IF(NOT(ISNUMBER(C155)),-1,IF(OR(NOT(器件参数!B155),器件参数!M155="ideal"),0,IF(AND(ISNUMBER(P155),ISNUMBER(Q155)),1,-1)))</f>
        <v>0</v>
      </c>
      <c r="Y155" s="5" t="str">
        <f t="shared" si="49"/>
        <v>有效</v>
      </c>
      <c r="Z155" s="5" t="str">
        <f t="shared" si="50"/>
        <v>有效</v>
      </c>
      <c r="AA155" s="5" t="str">
        <f t="shared" si="51"/>
        <v>模型估算</v>
      </c>
      <c r="AB155" s="5">
        <f t="shared" si="52"/>
        <v>100000000</v>
      </c>
      <c r="AC155" s="5">
        <f>IF(NOT(ISNUMBER(AB155)),"",IF(OR(NOT(器件参数!B155),器件参数!E155&lt;&gt;"mixer"),AB155,IF(AND(ISNUMBER(器件参数!T155),器件参数!T155&gt;0),IF(器件参数!U155="sum",AB155+器件参数!T155,IF(器件参数!U155="difference",ABS(AB155-器件参数!T155),"")),"")))</f>
        <v>100000000</v>
      </c>
      <c r="AD155" s="5">
        <f t="shared" si="53"/>
        <v>0</v>
      </c>
      <c r="AE155" s="5">
        <f>IF(AND(ISNUMBER(G155),ISNUMBER(F155)),Tref_K*(G155-1)/F155,"")</f>
        <v>0</v>
      </c>
      <c r="AF155" s="5">
        <f>IF(AND(ISNUMBER(H155),ISNUMBER(E155),NoiseConfigOK),10*LOG10(Boltzmann*Bnoise_Hz*(Tsource_K+Tref_K*(H155-1)))+30+E155,"")</f>
        <v>-90.3704468972711</v>
      </c>
      <c r="AG155" s="5">
        <f t="shared" si="54"/>
        <v>80.3704468972711</v>
      </c>
      <c r="AH155" s="5">
        <f>IF(AND(ToneEnabled,ISNUMBER(E155),ISNUMBER(TonePin)),TonePin+E155,"")</f>
        <v>-10</v>
      </c>
      <c r="AI155" s="5">
        <f>IF(AND(ToneEnabled,ISNUMBER(E155),ISNUMBER(N155),ISNUMBER(TonePin)),3*TonePin+E155-2*N155,"")</f>
        <v>-83.9794000867204</v>
      </c>
      <c r="AJ155" s="5" t="str">
        <f t="shared" si="55"/>
        <v/>
      </c>
      <c r="AK155" s="5" t="str">
        <f>IF(NOT(器件参数!B155),"旁路",IF(NOT(ISNUMBER(AC155)),"频率未知",IF(AC155&lt;=SignalBW/2,"跨零频",IF(AND(ISNUMBER(器件参数!R155),ISNUMBER(器件参数!S155)),IF(AND(AB155-SignalBW/2&gt;=器件参数!R155,AB155+SignalBW/2&lt;=器件参数!S155),"有效","超声明通带"),"未声明通带"))))</f>
        <v>旁路</v>
      </c>
      <c r="AL155" s="5">
        <f t="shared" si="56"/>
        <v>0</v>
      </c>
      <c r="AM155" s="5" t="str">
        <f>IF(AND(器件参数!B155,ISNUMBER(器件参数!X155),OR(AND(ISNUMBER(J155),J155&gt;器件参数!X155),IF(AND(ToneEnabled,ISNUMBER(TonePin),ISNUMBER(D155)),TonePin+10*LOG10(2)+D155&gt;器件参数!X155,FALSE))),"超过绝对最大输入额定值","")</f>
        <v/>
      </c>
      <c r="AN155" s="5">
        <f>IF(NOT(ISNUMBER(AN154)),"",IF(OR(NOT(器件参数!B155),器件参数!E155&lt;&gt;"mixer"),AN154,IF(AND(ISNUMBER(器件参数!T155),器件参数!T155&gt;0),IF(器件参数!U155="sum",AN154+器件参数!T155,ABS(AN154-器件参数!T155)),"")))</f>
        <v>99950000</v>
      </c>
      <c r="AO155" s="5">
        <f>IF(NOT(ISNUMBER(AO154)),"",IF(OR(NOT(器件参数!B155),器件参数!E155&lt;&gt;"mixer"),AO154,IF(AND(ISNUMBER(器件参数!T155),器件参数!T155&gt;0),IF(器件参数!U155="sum",AO154+器件参数!T155,ABS(AO154-器件参数!T155)),"")))</f>
        <v>100050000</v>
      </c>
      <c r="AP155" s="5">
        <f>IF(NOT(ISNUMBER(AP154)),"",IF(OR(NOT(器件参数!B155),器件参数!E155&lt;&gt;"mixer"),AP154,IF(AND(ISNUMBER(器件参数!T155),器件参数!T155&gt;0),IF(器件参数!U155="sum",AP154+器件参数!T155,ABS(AP154-器件参数!T155)),"")))</f>
        <v>99850000</v>
      </c>
      <c r="AQ155" s="5">
        <f>IF(NOT(ISNUMBER(AQ154)),"",IF(OR(NOT(器件参数!B155),器件参数!E155&lt;&gt;"mixer"),AQ154,IF(AND(ISNUMBER(器件参数!T155),器件参数!T155&gt;0),IF(器件参数!U155="sum",AQ154+器件参数!T155,ABS(AQ154-器件参数!T155)),"")))</f>
        <v>100150000</v>
      </c>
      <c r="AR155" s="5" t="b">
        <f>IF(NOT(AR154),FALSE,IF(NOT(器件参数!B155),TRUE,AND(COUNT(AN155:AQ155)=4,MIN(AN155:AQ155)&gt;0,IF(AND(ISNUMBER(器件参数!R155),ISNUMBER(器件参数!S155)),AND(MIN(AN154:AQ154)&gt;=器件参数!R155,MAX(AN154:AQ154)&lt;=器件参数!S155),TRUE),IF(AND(器件参数!E155="mixer",器件参数!U155="difference"),OR(器件参数!T155&lt;MIN(AN154:AQ154),器件参数!T155&gt;MAX(AN154:AQ154)),TRUE))))</f>
        <v>1</v>
      </c>
    </row>
    <row r="156" hidden="1" spans="1:44">
      <c r="A156" s="5">
        <f>器件参数!A156</f>
        <v>153</v>
      </c>
      <c r="B156" s="5" t="str">
        <f>器件参数!D156</f>
        <v/>
      </c>
      <c r="C156" s="5">
        <f>IF(NOT(器件参数!B156),0,IF(AND(ISNUMBER(器件参数!F156),ABS(器件参数!F156)&lt;=300),器件参数!F156,""))</f>
        <v>0</v>
      </c>
      <c r="D156" s="5">
        <f t="shared" si="38"/>
        <v>20</v>
      </c>
      <c r="E156" s="5">
        <f t="shared" si="39"/>
        <v>20</v>
      </c>
      <c r="F156" s="5">
        <f t="shared" si="40"/>
        <v>100</v>
      </c>
      <c r="G156" s="5">
        <f>IFERROR(IF(NOT(器件参数!B156),1,IF(NOT(OR(器件参数!E156&lt;&gt;"mixer",AND(OR(器件参数!V156="SSB",器件参数!V156="DSB"),器件参数!W156=TRUE))),"",IF(器件参数!G156="ideal",1,IF(AND(器件参数!G156="manual",ISNUMBER(器件参数!H156),器件参数!H156&gt;=0),10^(器件参数!H156/10),IF(AND(器件参数!G156="passive_thermal",OR(器件参数!E156="filter_bpf",器件参数!E156="filter_lpf",器件参数!E156="filter_hpf",器件参数!E156="filter_bsf",器件参数!E156="attenuator",器件参数!E156="cable",器件参数!E156="connector",器件参数!E156="switch",器件参数!E156="isolator",器件参数!E156="coupler",器件参数!E156="splitter"),AND(ISNUMBER(器件参数!F156),ABS(器件参数!F156)&lt;=300),器件参数!F156&lt;=0,ISNUMBER(器件参数!I156),器件参数!I156&gt;0),1+(10^(-器件参数!F156/10)-1)*器件参数!I156/Tref_K,""))))),"数值域错误")</f>
        <v>1</v>
      </c>
      <c r="H156" s="5">
        <f t="shared" si="41"/>
        <v>2.29336948552238</v>
      </c>
      <c r="I156" s="5">
        <f t="shared" si="42"/>
        <v>3.604740296957</v>
      </c>
      <c r="J156" s="5">
        <f>IF(AND(ISNUMBER(Pin_dBm),ISNUMBER(D156)),Pin_dBm+D156,"")</f>
        <v>-10</v>
      </c>
      <c r="K156" s="5">
        <f>IF(AND(ISNUMBER(Pin_dBm),ISNUMBER(E156)),Pin_dBm+E156,"")</f>
        <v>-10</v>
      </c>
      <c r="L156" s="5" t="str">
        <f>IF(AND(器件参数!J156="finite",ISNUMBER(器件参数!L156),ISNUMBER(C156)),IF(器件参数!K156="input",器件参数!L156,IF(器件参数!K156="output",器件参数!L156-C156,"")),"")</f>
        <v/>
      </c>
      <c r="M156" s="5">
        <f>IFERROR(IF(NOT(ISNUMBER(M155)),"",IF(OR(NOT(器件参数!B156),器件参数!J156="ideal"),M155,IF(AND(ISNUMBER(L156),ISNUMBER(F156)),M155+F156/10^(L156/10),""))),"数值域错误")</f>
        <v>0.2</v>
      </c>
      <c r="N156" s="5">
        <f t="shared" si="43"/>
        <v>6.98970004336019</v>
      </c>
      <c r="O156" s="5">
        <f t="shared" si="44"/>
        <v>26.9897000433602</v>
      </c>
      <c r="P156" s="5" t="str">
        <f>IF(AND(器件参数!M156="finite",ISNUMBER(器件参数!O156),ISNUMBER(C156)),IF(器件参数!N156="input",器件参数!O156,IF(器件参数!N156="actual_output",器件参数!O156-C156+1,IF(器件参数!N156="linear_output",器件参数!O156-C156,""))),"")</f>
        <v/>
      </c>
      <c r="Q156" s="5">
        <f>IF(器件参数!P156="",IF(AND(ISNUMBER(DefaultP),DefaultP&gt;=1,DefaultP&lt;=10),DefaultP,""),IF(AND(ISNUMBER(器件参数!P156),器件参数!P156&gt;=1,器件参数!P156&lt;=10),器件参数!P156,""))</f>
        <v>2</v>
      </c>
      <c r="R156" s="5">
        <f t="shared" si="45"/>
        <v>-10.0000139708288</v>
      </c>
      <c r="S156" s="5" t="str">
        <f t="shared" si="46"/>
        <v/>
      </c>
      <c r="T156" s="5">
        <f t="shared" si="47"/>
        <v>0</v>
      </c>
      <c r="U156" s="5">
        <f t="shared" si="48"/>
        <v>-10.0000139708288</v>
      </c>
      <c r="V156" s="5">
        <f>IF(AND(ISNUMBER(Pin_dBm),ISNUMBER(E156),ISNUMBER(U156)),Pin_dBm+E156-U156,"")</f>
        <v>1.39708287854035e-5</v>
      </c>
      <c r="W156" s="5" t="str">
        <f>IF(AND(器件参数!B156,X156=1,ISNUMBER(D156)),P156-D156,"")</f>
        <v/>
      </c>
      <c r="X156" s="5">
        <f>IF(NOT(ISNUMBER(C156)),-1,IF(OR(NOT(器件参数!B156),器件参数!M156="ideal"),0,IF(AND(ISNUMBER(P156),ISNUMBER(Q156)),1,-1)))</f>
        <v>0</v>
      </c>
      <c r="Y156" s="5" t="str">
        <f t="shared" si="49"/>
        <v>有效</v>
      </c>
      <c r="Z156" s="5" t="str">
        <f t="shared" si="50"/>
        <v>有效</v>
      </c>
      <c r="AA156" s="5" t="str">
        <f t="shared" si="51"/>
        <v>模型估算</v>
      </c>
      <c r="AB156" s="5">
        <f t="shared" si="52"/>
        <v>100000000</v>
      </c>
      <c r="AC156" s="5">
        <f>IF(NOT(ISNUMBER(AB156)),"",IF(OR(NOT(器件参数!B156),器件参数!E156&lt;&gt;"mixer"),AB156,IF(AND(ISNUMBER(器件参数!T156),器件参数!T156&gt;0),IF(器件参数!U156="sum",AB156+器件参数!T156,IF(器件参数!U156="difference",ABS(AB156-器件参数!T156),"")),"")))</f>
        <v>100000000</v>
      </c>
      <c r="AD156" s="5">
        <f t="shared" si="53"/>
        <v>0</v>
      </c>
      <c r="AE156" s="5">
        <f>IF(AND(ISNUMBER(G156),ISNUMBER(F156)),Tref_K*(G156-1)/F156,"")</f>
        <v>0</v>
      </c>
      <c r="AF156" s="5">
        <f>IF(AND(ISNUMBER(H156),ISNUMBER(E156),NoiseConfigOK),10*LOG10(Boltzmann*Bnoise_Hz*(Tsource_K+Tref_K*(H156-1)))+30+E156,"")</f>
        <v>-90.3704468972711</v>
      </c>
      <c r="AG156" s="5">
        <f t="shared" si="54"/>
        <v>80.3704468972711</v>
      </c>
      <c r="AH156" s="5">
        <f>IF(AND(ToneEnabled,ISNUMBER(E156),ISNUMBER(TonePin)),TonePin+E156,"")</f>
        <v>-10</v>
      </c>
      <c r="AI156" s="5">
        <f>IF(AND(ToneEnabled,ISNUMBER(E156),ISNUMBER(N156),ISNUMBER(TonePin)),3*TonePin+E156-2*N156,"")</f>
        <v>-83.9794000867204</v>
      </c>
      <c r="AJ156" s="5" t="str">
        <f t="shared" si="55"/>
        <v/>
      </c>
      <c r="AK156" s="5" t="str">
        <f>IF(NOT(器件参数!B156),"旁路",IF(NOT(ISNUMBER(AC156)),"频率未知",IF(AC156&lt;=SignalBW/2,"跨零频",IF(AND(ISNUMBER(器件参数!R156),ISNUMBER(器件参数!S156)),IF(AND(AB156-SignalBW/2&gt;=器件参数!R156,AB156+SignalBW/2&lt;=器件参数!S156),"有效","超声明通带"),"未声明通带"))))</f>
        <v>旁路</v>
      </c>
      <c r="AL156" s="5">
        <f t="shared" si="56"/>
        <v>0</v>
      </c>
      <c r="AM156" s="5" t="str">
        <f>IF(AND(器件参数!B156,ISNUMBER(器件参数!X156),OR(AND(ISNUMBER(J156),J156&gt;器件参数!X156),IF(AND(ToneEnabled,ISNUMBER(TonePin),ISNUMBER(D156)),TonePin+10*LOG10(2)+D156&gt;器件参数!X156,FALSE))),"超过绝对最大输入额定值","")</f>
        <v/>
      </c>
      <c r="AN156" s="5">
        <f>IF(NOT(ISNUMBER(AN155)),"",IF(OR(NOT(器件参数!B156),器件参数!E156&lt;&gt;"mixer"),AN155,IF(AND(ISNUMBER(器件参数!T156),器件参数!T156&gt;0),IF(器件参数!U156="sum",AN155+器件参数!T156,ABS(AN155-器件参数!T156)),"")))</f>
        <v>99950000</v>
      </c>
      <c r="AO156" s="5">
        <f>IF(NOT(ISNUMBER(AO155)),"",IF(OR(NOT(器件参数!B156),器件参数!E156&lt;&gt;"mixer"),AO155,IF(AND(ISNUMBER(器件参数!T156),器件参数!T156&gt;0),IF(器件参数!U156="sum",AO155+器件参数!T156,ABS(AO155-器件参数!T156)),"")))</f>
        <v>100050000</v>
      </c>
      <c r="AP156" s="5">
        <f>IF(NOT(ISNUMBER(AP155)),"",IF(OR(NOT(器件参数!B156),器件参数!E156&lt;&gt;"mixer"),AP155,IF(AND(ISNUMBER(器件参数!T156),器件参数!T156&gt;0),IF(器件参数!U156="sum",AP155+器件参数!T156,ABS(AP155-器件参数!T156)),"")))</f>
        <v>99850000</v>
      </c>
      <c r="AQ156" s="5">
        <f>IF(NOT(ISNUMBER(AQ155)),"",IF(OR(NOT(器件参数!B156),器件参数!E156&lt;&gt;"mixer"),AQ155,IF(AND(ISNUMBER(器件参数!T156),器件参数!T156&gt;0),IF(器件参数!U156="sum",AQ155+器件参数!T156,ABS(AQ155-器件参数!T156)),"")))</f>
        <v>100150000</v>
      </c>
      <c r="AR156" s="5" t="b">
        <f>IF(NOT(AR155),FALSE,IF(NOT(器件参数!B156),TRUE,AND(COUNT(AN156:AQ156)=4,MIN(AN156:AQ156)&gt;0,IF(AND(ISNUMBER(器件参数!R156),ISNUMBER(器件参数!S156)),AND(MIN(AN155:AQ155)&gt;=器件参数!R156,MAX(AN155:AQ155)&lt;=器件参数!S156),TRUE),IF(AND(器件参数!E156="mixer",器件参数!U156="difference"),OR(器件参数!T156&lt;MIN(AN155:AQ155),器件参数!T156&gt;MAX(AN155:AQ155)),TRUE))))</f>
        <v>1</v>
      </c>
    </row>
    <row r="157" hidden="1" spans="1:44">
      <c r="A157" s="5">
        <f>器件参数!A157</f>
        <v>154</v>
      </c>
      <c r="B157" s="5" t="str">
        <f>器件参数!D157</f>
        <v/>
      </c>
      <c r="C157" s="5">
        <f>IF(NOT(器件参数!B157),0,IF(AND(ISNUMBER(器件参数!F157),ABS(器件参数!F157)&lt;=300),器件参数!F157,""))</f>
        <v>0</v>
      </c>
      <c r="D157" s="5">
        <f t="shared" si="38"/>
        <v>20</v>
      </c>
      <c r="E157" s="5">
        <f t="shared" si="39"/>
        <v>20</v>
      </c>
      <c r="F157" s="5">
        <f t="shared" si="40"/>
        <v>100</v>
      </c>
      <c r="G157" s="5">
        <f>IFERROR(IF(NOT(器件参数!B157),1,IF(NOT(OR(器件参数!E157&lt;&gt;"mixer",AND(OR(器件参数!V157="SSB",器件参数!V157="DSB"),器件参数!W157=TRUE))),"",IF(器件参数!G157="ideal",1,IF(AND(器件参数!G157="manual",ISNUMBER(器件参数!H157),器件参数!H157&gt;=0),10^(器件参数!H157/10),IF(AND(器件参数!G157="passive_thermal",OR(器件参数!E157="filter_bpf",器件参数!E157="filter_lpf",器件参数!E157="filter_hpf",器件参数!E157="filter_bsf",器件参数!E157="attenuator",器件参数!E157="cable",器件参数!E157="connector",器件参数!E157="switch",器件参数!E157="isolator",器件参数!E157="coupler",器件参数!E157="splitter"),AND(ISNUMBER(器件参数!F157),ABS(器件参数!F157)&lt;=300),器件参数!F157&lt;=0,ISNUMBER(器件参数!I157),器件参数!I157&gt;0),1+(10^(-器件参数!F157/10)-1)*器件参数!I157/Tref_K,""))))),"数值域错误")</f>
        <v>1</v>
      </c>
      <c r="H157" s="5">
        <f t="shared" si="41"/>
        <v>2.29336948552238</v>
      </c>
      <c r="I157" s="5">
        <f t="shared" si="42"/>
        <v>3.604740296957</v>
      </c>
      <c r="J157" s="5">
        <f>IF(AND(ISNUMBER(Pin_dBm),ISNUMBER(D157)),Pin_dBm+D157,"")</f>
        <v>-10</v>
      </c>
      <c r="K157" s="5">
        <f>IF(AND(ISNUMBER(Pin_dBm),ISNUMBER(E157)),Pin_dBm+E157,"")</f>
        <v>-10</v>
      </c>
      <c r="L157" s="5" t="str">
        <f>IF(AND(器件参数!J157="finite",ISNUMBER(器件参数!L157),ISNUMBER(C157)),IF(器件参数!K157="input",器件参数!L157,IF(器件参数!K157="output",器件参数!L157-C157,"")),"")</f>
        <v/>
      </c>
      <c r="M157" s="5">
        <f>IFERROR(IF(NOT(ISNUMBER(M156)),"",IF(OR(NOT(器件参数!B157),器件参数!J157="ideal"),M156,IF(AND(ISNUMBER(L157),ISNUMBER(F157)),M156+F157/10^(L157/10),""))),"数值域错误")</f>
        <v>0.2</v>
      </c>
      <c r="N157" s="5">
        <f t="shared" si="43"/>
        <v>6.98970004336019</v>
      </c>
      <c r="O157" s="5">
        <f t="shared" si="44"/>
        <v>26.9897000433602</v>
      </c>
      <c r="P157" s="5" t="str">
        <f>IF(AND(器件参数!M157="finite",ISNUMBER(器件参数!O157),ISNUMBER(C157)),IF(器件参数!N157="input",器件参数!O157,IF(器件参数!N157="actual_output",器件参数!O157-C157+1,IF(器件参数!N157="linear_output",器件参数!O157-C157,""))),"")</f>
        <v/>
      </c>
      <c r="Q157" s="5">
        <f>IF(器件参数!P157="",IF(AND(ISNUMBER(DefaultP),DefaultP&gt;=1,DefaultP&lt;=10),DefaultP,""),IF(AND(ISNUMBER(器件参数!P157),器件参数!P157&gt;=1,器件参数!P157&lt;=10),器件参数!P157,""))</f>
        <v>2</v>
      </c>
      <c r="R157" s="5">
        <f t="shared" si="45"/>
        <v>-10.0000139708288</v>
      </c>
      <c r="S157" s="5" t="str">
        <f t="shared" si="46"/>
        <v/>
      </c>
      <c r="T157" s="5">
        <f t="shared" si="47"/>
        <v>0</v>
      </c>
      <c r="U157" s="5">
        <f t="shared" si="48"/>
        <v>-10.0000139708288</v>
      </c>
      <c r="V157" s="5">
        <f>IF(AND(ISNUMBER(Pin_dBm),ISNUMBER(E157),ISNUMBER(U157)),Pin_dBm+E157-U157,"")</f>
        <v>1.39708287854035e-5</v>
      </c>
      <c r="W157" s="5" t="str">
        <f>IF(AND(器件参数!B157,X157=1,ISNUMBER(D157)),P157-D157,"")</f>
        <v/>
      </c>
      <c r="X157" s="5">
        <f>IF(NOT(ISNUMBER(C157)),-1,IF(OR(NOT(器件参数!B157),器件参数!M157="ideal"),0,IF(AND(ISNUMBER(P157),ISNUMBER(Q157)),1,-1)))</f>
        <v>0</v>
      </c>
      <c r="Y157" s="5" t="str">
        <f t="shared" si="49"/>
        <v>有效</v>
      </c>
      <c r="Z157" s="5" t="str">
        <f t="shared" si="50"/>
        <v>有效</v>
      </c>
      <c r="AA157" s="5" t="str">
        <f t="shared" si="51"/>
        <v>模型估算</v>
      </c>
      <c r="AB157" s="5">
        <f t="shared" si="52"/>
        <v>100000000</v>
      </c>
      <c r="AC157" s="5">
        <f>IF(NOT(ISNUMBER(AB157)),"",IF(OR(NOT(器件参数!B157),器件参数!E157&lt;&gt;"mixer"),AB157,IF(AND(ISNUMBER(器件参数!T157),器件参数!T157&gt;0),IF(器件参数!U157="sum",AB157+器件参数!T157,IF(器件参数!U157="difference",ABS(AB157-器件参数!T157),"")),"")))</f>
        <v>100000000</v>
      </c>
      <c r="AD157" s="5">
        <f t="shared" si="53"/>
        <v>0</v>
      </c>
      <c r="AE157" s="5">
        <f>IF(AND(ISNUMBER(G157),ISNUMBER(F157)),Tref_K*(G157-1)/F157,"")</f>
        <v>0</v>
      </c>
      <c r="AF157" s="5">
        <f>IF(AND(ISNUMBER(H157),ISNUMBER(E157),NoiseConfigOK),10*LOG10(Boltzmann*Bnoise_Hz*(Tsource_K+Tref_K*(H157-1)))+30+E157,"")</f>
        <v>-90.3704468972711</v>
      </c>
      <c r="AG157" s="5">
        <f t="shared" si="54"/>
        <v>80.3704468972711</v>
      </c>
      <c r="AH157" s="5">
        <f>IF(AND(ToneEnabled,ISNUMBER(E157),ISNUMBER(TonePin)),TonePin+E157,"")</f>
        <v>-10</v>
      </c>
      <c r="AI157" s="5">
        <f>IF(AND(ToneEnabled,ISNUMBER(E157),ISNUMBER(N157),ISNUMBER(TonePin)),3*TonePin+E157-2*N157,"")</f>
        <v>-83.9794000867204</v>
      </c>
      <c r="AJ157" s="5" t="str">
        <f t="shared" si="55"/>
        <v/>
      </c>
      <c r="AK157" s="5" t="str">
        <f>IF(NOT(器件参数!B157),"旁路",IF(NOT(ISNUMBER(AC157)),"频率未知",IF(AC157&lt;=SignalBW/2,"跨零频",IF(AND(ISNUMBER(器件参数!R157),ISNUMBER(器件参数!S157)),IF(AND(AB157-SignalBW/2&gt;=器件参数!R157,AB157+SignalBW/2&lt;=器件参数!S157),"有效","超声明通带"),"未声明通带"))))</f>
        <v>旁路</v>
      </c>
      <c r="AL157" s="5">
        <f t="shared" si="56"/>
        <v>0</v>
      </c>
      <c r="AM157" s="5" t="str">
        <f>IF(AND(器件参数!B157,ISNUMBER(器件参数!X157),OR(AND(ISNUMBER(J157),J157&gt;器件参数!X157),IF(AND(ToneEnabled,ISNUMBER(TonePin),ISNUMBER(D157)),TonePin+10*LOG10(2)+D157&gt;器件参数!X157,FALSE))),"超过绝对最大输入额定值","")</f>
        <v/>
      </c>
      <c r="AN157" s="5">
        <f>IF(NOT(ISNUMBER(AN156)),"",IF(OR(NOT(器件参数!B157),器件参数!E157&lt;&gt;"mixer"),AN156,IF(AND(ISNUMBER(器件参数!T157),器件参数!T157&gt;0),IF(器件参数!U157="sum",AN156+器件参数!T157,ABS(AN156-器件参数!T157)),"")))</f>
        <v>99950000</v>
      </c>
      <c r="AO157" s="5">
        <f>IF(NOT(ISNUMBER(AO156)),"",IF(OR(NOT(器件参数!B157),器件参数!E157&lt;&gt;"mixer"),AO156,IF(AND(ISNUMBER(器件参数!T157),器件参数!T157&gt;0),IF(器件参数!U157="sum",AO156+器件参数!T157,ABS(AO156-器件参数!T157)),"")))</f>
        <v>100050000</v>
      </c>
      <c r="AP157" s="5">
        <f>IF(NOT(ISNUMBER(AP156)),"",IF(OR(NOT(器件参数!B157),器件参数!E157&lt;&gt;"mixer"),AP156,IF(AND(ISNUMBER(器件参数!T157),器件参数!T157&gt;0),IF(器件参数!U157="sum",AP156+器件参数!T157,ABS(AP156-器件参数!T157)),"")))</f>
        <v>99850000</v>
      </c>
      <c r="AQ157" s="5">
        <f>IF(NOT(ISNUMBER(AQ156)),"",IF(OR(NOT(器件参数!B157),器件参数!E157&lt;&gt;"mixer"),AQ156,IF(AND(ISNUMBER(器件参数!T157),器件参数!T157&gt;0),IF(器件参数!U157="sum",AQ156+器件参数!T157,ABS(AQ156-器件参数!T157)),"")))</f>
        <v>100150000</v>
      </c>
      <c r="AR157" s="5" t="b">
        <f>IF(NOT(AR156),FALSE,IF(NOT(器件参数!B157),TRUE,AND(COUNT(AN157:AQ157)=4,MIN(AN157:AQ157)&gt;0,IF(AND(ISNUMBER(器件参数!R157),ISNUMBER(器件参数!S157)),AND(MIN(AN156:AQ156)&gt;=器件参数!R157,MAX(AN156:AQ156)&lt;=器件参数!S157),TRUE),IF(AND(器件参数!E157="mixer",器件参数!U157="difference"),OR(器件参数!T157&lt;MIN(AN156:AQ156),器件参数!T157&gt;MAX(AN156:AQ156)),TRUE))))</f>
        <v>1</v>
      </c>
    </row>
    <row r="158" hidden="1" spans="1:44">
      <c r="A158" s="5">
        <f>器件参数!A158</f>
        <v>155</v>
      </c>
      <c r="B158" s="5" t="str">
        <f>器件参数!D158</f>
        <v/>
      </c>
      <c r="C158" s="5">
        <f>IF(NOT(器件参数!B158),0,IF(AND(ISNUMBER(器件参数!F158),ABS(器件参数!F158)&lt;=300),器件参数!F158,""))</f>
        <v>0</v>
      </c>
      <c r="D158" s="5">
        <f t="shared" si="38"/>
        <v>20</v>
      </c>
      <c r="E158" s="5">
        <f t="shared" si="39"/>
        <v>20</v>
      </c>
      <c r="F158" s="5">
        <f t="shared" si="40"/>
        <v>100</v>
      </c>
      <c r="G158" s="5">
        <f>IFERROR(IF(NOT(器件参数!B158),1,IF(NOT(OR(器件参数!E158&lt;&gt;"mixer",AND(OR(器件参数!V158="SSB",器件参数!V158="DSB"),器件参数!W158=TRUE))),"",IF(器件参数!G158="ideal",1,IF(AND(器件参数!G158="manual",ISNUMBER(器件参数!H158),器件参数!H158&gt;=0),10^(器件参数!H158/10),IF(AND(器件参数!G158="passive_thermal",OR(器件参数!E158="filter_bpf",器件参数!E158="filter_lpf",器件参数!E158="filter_hpf",器件参数!E158="filter_bsf",器件参数!E158="attenuator",器件参数!E158="cable",器件参数!E158="connector",器件参数!E158="switch",器件参数!E158="isolator",器件参数!E158="coupler",器件参数!E158="splitter"),AND(ISNUMBER(器件参数!F158),ABS(器件参数!F158)&lt;=300),器件参数!F158&lt;=0,ISNUMBER(器件参数!I158),器件参数!I158&gt;0),1+(10^(-器件参数!F158/10)-1)*器件参数!I158/Tref_K,""))))),"数值域错误")</f>
        <v>1</v>
      </c>
      <c r="H158" s="5">
        <f t="shared" si="41"/>
        <v>2.29336948552238</v>
      </c>
      <c r="I158" s="5">
        <f t="shared" si="42"/>
        <v>3.604740296957</v>
      </c>
      <c r="J158" s="5">
        <f>IF(AND(ISNUMBER(Pin_dBm),ISNUMBER(D158)),Pin_dBm+D158,"")</f>
        <v>-10</v>
      </c>
      <c r="K158" s="5">
        <f>IF(AND(ISNUMBER(Pin_dBm),ISNUMBER(E158)),Pin_dBm+E158,"")</f>
        <v>-10</v>
      </c>
      <c r="L158" s="5" t="str">
        <f>IF(AND(器件参数!J158="finite",ISNUMBER(器件参数!L158),ISNUMBER(C158)),IF(器件参数!K158="input",器件参数!L158,IF(器件参数!K158="output",器件参数!L158-C158,"")),"")</f>
        <v/>
      </c>
      <c r="M158" s="5">
        <f>IFERROR(IF(NOT(ISNUMBER(M157)),"",IF(OR(NOT(器件参数!B158),器件参数!J158="ideal"),M157,IF(AND(ISNUMBER(L158),ISNUMBER(F158)),M157+F158/10^(L158/10),""))),"数值域错误")</f>
        <v>0.2</v>
      </c>
      <c r="N158" s="5">
        <f t="shared" si="43"/>
        <v>6.98970004336019</v>
      </c>
      <c r="O158" s="5">
        <f t="shared" si="44"/>
        <v>26.9897000433602</v>
      </c>
      <c r="P158" s="5" t="str">
        <f>IF(AND(器件参数!M158="finite",ISNUMBER(器件参数!O158),ISNUMBER(C158)),IF(器件参数!N158="input",器件参数!O158,IF(器件参数!N158="actual_output",器件参数!O158-C158+1,IF(器件参数!N158="linear_output",器件参数!O158-C158,""))),"")</f>
        <v/>
      </c>
      <c r="Q158" s="5">
        <f>IF(器件参数!P158="",IF(AND(ISNUMBER(DefaultP),DefaultP&gt;=1,DefaultP&lt;=10),DefaultP,""),IF(AND(ISNUMBER(器件参数!P158),器件参数!P158&gt;=1,器件参数!P158&lt;=10),器件参数!P158,""))</f>
        <v>2</v>
      </c>
      <c r="R158" s="5">
        <f t="shared" si="45"/>
        <v>-10.0000139708288</v>
      </c>
      <c r="S158" s="5" t="str">
        <f t="shared" si="46"/>
        <v/>
      </c>
      <c r="T158" s="5">
        <f t="shared" si="47"/>
        <v>0</v>
      </c>
      <c r="U158" s="5">
        <f t="shared" si="48"/>
        <v>-10.0000139708288</v>
      </c>
      <c r="V158" s="5">
        <f>IF(AND(ISNUMBER(Pin_dBm),ISNUMBER(E158),ISNUMBER(U158)),Pin_dBm+E158-U158,"")</f>
        <v>1.39708287854035e-5</v>
      </c>
      <c r="W158" s="5" t="str">
        <f>IF(AND(器件参数!B158,X158=1,ISNUMBER(D158)),P158-D158,"")</f>
        <v/>
      </c>
      <c r="X158" s="5">
        <f>IF(NOT(ISNUMBER(C158)),-1,IF(OR(NOT(器件参数!B158),器件参数!M158="ideal"),0,IF(AND(ISNUMBER(P158),ISNUMBER(Q158)),1,-1)))</f>
        <v>0</v>
      </c>
      <c r="Y158" s="5" t="str">
        <f t="shared" si="49"/>
        <v>有效</v>
      </c>
      <c r="Z158" s="5" t="str">
        <f t="shared" si="50"/>
        <v>有效</v>
      </c>
      <c r="AA158" s="5" t="str">
        <f t="shared" si="51"/>
        <v>模型估算</v>
      </c>
      <c r="AB158" s="5">
        <f t="shared" si="52"/>
        <v>100000000</v>
      </c>
      <c r="AC158" s="5">
        <f>IF(NOT(ISNUMBER(AB158)),"",IF(OR(NOT(器件参数!B158),器件参数!E158&lt;&gt;"mixer"),AB158,IF(AND(ISNUMBER(器件参数!T158),器件参数!T158&gt;0),IF(器件参数!U158="sum",AB158+器件参数!T158,IF(器件参数!U158="difference",ABS(AB158-器件参数!T158),"")),"")))</f>
        <v>100000000</v>
      </c>
      <c r="AD158" s="5">
        <f t="shared" si="53"/>
        <v>0</v>
      </c>
      <c r="AE158" s="5">
        <f>IF(AND(ISNUMBER(G158),ISNUMBER(F158)),Tref_K*(G158-1)/F158,"")</f>
        <v>0</v>
      </c>
      <c r="AF158" s="5">
        <f>IF(AND(ISNUMBER(H158),ISNUMBER(E158),NoiseConfigOK),10*LOG10(Boltzmann*Bnoise_Hz*(Tsource_K+Tref_K*(H158-1)))+30+E158,"")</f>
        <v>-90.3704468972711</v>
      </c>
      <c r="AG158" s="5">
        <f t="shared" si="54"/>
        <v>80.3704468972711</v>
      </c>
      <c r="AH158" s="5">
        <f>IF(AND(ToneEnabled,ISNUMBER(E158),ISNUMBER(TonePin)),TonePin+E158,"")</f>
        <v>-10</v>
      </c>
      <c r="AI158" s="5">
        <f>IF(AND(ToneEnabled,ISNUMBER(E158),ISNUMBER(N158),ISNUMBER(TonePin)),3*TonePin+E158-2*N158,"")</f>
        <v>-83.9794000867204</v>
      </c>
      <c r="AJ158" s="5" t="str">
        <f t="shared" si="55"/>
        <v/>
      </c>
      <c r="AK158" s="5" t="str">
        <f>IF(NOT(器件参数!B158),"旁路",IF(NOT(ISNUMBER(AC158)),"频率未知",IF(AC158&lt;=SignalBW/2,"跨零频",IF(AND(ISNUMBER(器件参数!R158),ISNUMBER(器件参数!S158)),IF(AND(AB158-SignalBW/2&gt;=器件参数!R158,AB158+SignalBW/2&lt;=器件参数!S158),"有效","超声明通带"),"未声明通带"))))</f>
        <v>旁路</v>
      </c>
      <c r="AL158" s="5">
        <f t="shared" si="56"/>
        <v>0</v>
      </c>
      <c r="AM158" s="5" t="str">
        <f>IF(AND(器件参数!B158,ISNUMBER(器件参数!X158),OR(AND(ISNUMBER(J158),J158&gt;器件参数!X158),IF(AND(ToneEnabled,ISNUMBER(TonePin),ISNUMBER(D158)),TonePin+10*LOG10(2)+D158&gt;器件参数!X158,FALSE))),"超过绝对最大输入额定值","")</f>
        <v/>
      </c>
      <c r="AN158" s="5">
        <f>IF(NOT(ISNUMBER(AN157)),"",IF(OR(NOT(器件参数!B158),器件参数!E158&lt;&gt;"mixer"),AN157,IF(AND(ISNUMBER(器件参数!T158),器件参数!T158&gt;0),IF(器件参数!U158="sum",AN157+器件参数!T158,ABS(AN157-器件参数!T158)),"")))</f>
        <v>99950000</v>
      </c>
      <c r="AO158" s="5">
        <f>IF(NOT(ISNUMBER(AO157)),"",IF(OR(NOT(器件参数!B158),器件参数!E158&lt;&gt;"mixer"),AO157,IF(AND(ISNUMBER(器件参数!T158),器件参数!T158&gt;0),IF(器件参数!U158="sum",AO157+器件参数!T158,ABS(AO157-器件参数!T158)),"")))</f>
        <v>100050000</v>
      </c>
      <c r="AP158" s="5">
        <f>IF(NOT(ISNUMBER(AP157)),"",IF(OR(NOT(器件参数!B158),器件参数!E158&lt;&gt;"mixer"),AP157,IF(AND(ISNUMBER(器件参数!T158),器件参数!T158&gt;0),IF(器件参数!U158="sum",AP157+器件参数!T158,ABS(AP157-器件参数!T158)),"")))</f>
        <v>99850000</v>
      </c>
      <c r="AQ158" s="5">
        <f>IF(NOT(ISNUMBER(AQ157)),"",IF(OR(NOT(器件参数!B158),器件参数!E158&lt;&gt;"mixer"),AQ157,IF(AND(ISNUMBER(器件参数!T158),器件参数!T158&gt;0),IF(器件参数!U158="sum",AQ157+器件参数!T158,ABS(AQ157-器件参数!T158)),"")))</f>
        <v>100150000</v>
      </c>
      <c r="AR158" s="5" t="b">
        <f>IF(NOT(AR157),FALSE,IF(NOT(器件参数!B158),TRUE,AND(COUNT(AN158:AQ158)=4,MIN(AN158:AQ158)&gt;0,IF(AND(ISNUMBER(器件参数!R158),ISNUMBER(器件参数!S158)),AND(MIN(AN157:AQ157)&gt;=器件参数!R158,MAX(AN157:AQ157)&lt;=器件参数!S158),TRUE),IF(AND(器件参数!E158="mixer",器件参数!U158="difference"),OR(器件参数!T158&lt;MIN(AN157:AQ157),器件参数!T158&gt;MAX(AN157:AQ157)),TRUE))))</f>
        <v>1</v>
      </c>
    </row>
    <row r="159" hidden="1" spans="1:44">
      <c r="A159" s="5">
        <f>器件参数!A159</f>
        <v>156</v>
      </c>
      <c r="B159" s="5" t="str">
        <f>器件参数!D159</f>
        <v/>
      </c>
      <c r="C159" s="5">
        <f>IF(NOT(器件参数!B159),0,IF(AND(ISNUMBER(器件参数!F159),ABS(器件参数!F159)&lt;=300),器件参数!F159,""))</f>
        <v>0</v>
      </c>
      <c r="D159" s="5">
        <f t="shared" si="38"/>
        <v>20</v>
      </c>
      <c r="E159" s="5">
        <f t="shared" si="39"/>
        <v>20</v>
      </c>
      <c r="F159" s="5">
        <f t="shared" si="40"/>
        <v>100</v>
      </c>
      <c r="G159" s="5">
        <f>IFERROR(IF(NOT(器件参数!B159),1,IF(NOT(OR(器件参数!E159&lt;&gt;"mixer",AND(OR(器件参数!V159="SSB",器件参数!V159="DSB"),器件参数!W159=TRUE))),"",IF(器件参数!G159="ideal",1,IF(AND(器件参数!G159="manual",ISNUMBER(器件参数!H159),器件参数!H159&gt;=0),10^(器件参数!H159/10),IF(AND(器件参数!G159="passive_thermal",OR(器件参数!E159="filter_bpf",器件参数!E159="filter_lpf",器件参数!E159="filter_hpf",器件参数!E159="filter_bsf",器件参数!E159="attenuator",器件参数!E159="cable",器件参数!E159="connector",器件参数!E159="switch",器件参数!E159="isolator",器件参数!E159="coupler",器件参数!E159="splitter"),AND(ISNUMBER(器件参数!F159),ABS(器件参数!F159)&lt;=300),器件参数!F159&lt;=0,ISNUMBER(器件参数!I159),器件参数!I159&gt;0),1+(10^(-器件参数!F159/10)-1)*器件参数!I159/Tref_K,""))))),"数值域错误")</f>
        <v>1</v>
      </c>
      <c r="H159" s="5">
        <f t="shared" si="41"/>
        <v>2.29336948552238</v>
      </c>
      <c r="I159" s="5">
        <f t="shared" si="42"/>
        <v>3.604740296957</v>
      </c>
      <c r="J159" s="5">
        <f>IF(AND(ISNUMBER(Pin_dBm),ISNUMBER(D159)),Pin_dBm+D159,"")</f>
        <v>-10</v>
      </c>
      <c r="K159" s="5">
        <f>IF(AND(ISNUMBER(Pin_dBm),ISNUMBER(E159)),Pin_dBm+E159,"")</f>
        <v>-10</v>
      </c>
      <c r="L159" s="5" t="str">
        <f>IF(AND(器件参数!J159="finite",ISNUMBER(器件参数!L159),ISNUMBER(C159)),IF(器件参数!K159="input",器件参数!L159,IF(器件参数!K159="output",器件参数!L159-C159,"")),"")</f>
        <v/>
      </c>
      <c r="M159" s="5">
        <f>IFERROR(IF(NOT(ISNUMBER(M158)),"",IF(OR(NOT(器件参数!B159),器件参数!J159="ideal"),M158,IF(AND(ISNUMBER(L159),ISNUMBER(F159)),M158+F159/10^(L159/10),""))),"数值域错误")</f>
        <v>0.2</v>
      </c>
      <c r="N159" s="5">
        <f t="shared" si="43"/>
        <v>6.98970004336019</v>
      </c>
      <c r="O159" s="5">
        <f t="shared" si="44"/>
        <v>26.9897000433602</v>
      </c>
      <c r="P159" s="5" t="str">
        <f>IF(AND(器件参数!M159="finite",ISNUMBER(器件参数!O159),ISNUMBER(C159)),IF(器件参数!N159="input",器件参数!O159,IF(器件参数!N159="actual_output",器件参数!O159-C159+1,IF(器件参数!N159="linear_output",器件参数!O159-C159,""))),"")</f>
        <v/>
      </c>
      <c r="Q159" s="5">
        <f>IF(器件参数!P159="",IF(AND(ISNUMBER(DefaultP),DefaultP&gt;=1,DefaultP&lt;=10),DefaultP,""),IF(AND(ISNUMBER(器件参数!P159),器件参数!P159&gt;=1,器件参数!P159&lt;=10),器件参数!P159,""))</f>
        <v>2</v>
      </c>
      <c r="R159" s="5">
        <f t="shared" si="45"/>
        <v>-10.0000139708288</v>
      </c>
      <c r="S159" s="5" t="str">
        <f t="shared" si="46"/>
        <v/>
      </c>
      <c r="T159" s="5">
        <f t="shared" si="47"/>
        <v>0</v>
      </c>
      <c r="U159" s="5">
        <f t="shared" si="48"/>
        <v>-10.0000139708288</v>
      </c>
      <c r="V159" s="5">
        <f>IF(AND(ISNUMBER(Pin_dBm),ISNUMBER(E159),ISNUMBER(U159)),Pin_dBm+E159-U159,"")</f>
        <v>1.39708287854035e-5</v>
      </c>
      <c r="W159" s="5" t="str">
        <f>IF(AND(器件参数!B159,X159=1,ISNUMBER(D159)),P159-D159,"")</f>
        <v/>
      </c>
      <c r="X159" s="5">
        <f>IF(NOT(ISNUMBER(C159)),-1,IF(OR(NOT(器件参数!B159),器件参数!M159="ideal"),0,IF(AND(ISNUMBER(P159),ISNUMBER(Q159)),1,-1)))</f>
        <v>0</v>
      </c>
      <c r="Y159" s="5" t="str">
        <f t="shared" si="49"/>
        <v>有效</v>
      </c>
      <c r="Z159" s="5" t="str">
        <f t="shared" si="50"/>
        <v>有效</v>
      </c>
      <c r="AA159" s="5" t="str">
        <f t="shared" si="51"/>
        <v>模型估算</v>
      </c>
      <c r="AB159" s="5">
        <f t="shared" si="52"/>
        <v>100000000</v>
      </c>
      <c r="AC159" s="5">
        <f>IF(NOT(ISNUMBER(AB159)),"",IF(OR(NOT(器件参数!B159),器件参数!E159&lt;&gt;"mixer"),AB159,IF(AND(ISNUMBER(器件参数!T159),器件参数!T159&gt;0),IF(器件参数!U159="sum",AB159+器件参数!T159,IF(器件参数!U159="difference",ABS(AB159-器件参数!T159),"")),"")))</f>
        <v>100000000</v>
      </c>
      <c r="AD159" s="5">
        <f t="shared" si="53"/>
        <v>0</v>
      </c>
      <c r="AE159" s="5">
        <f>IF(AND(ISNUMBER(G159),ISNUMBER(F159)),Tref_K*(G159-1)/F159,"")</f>
        <v>0</v>
      </c>
      <c r="AF159" s="5">
        <f>IF(AND(ISNUMBER(H159),ISNUMBER(E159),NoiseConfigOK),10*LOG10(Boltzmann*Bnoise_Hz*(Tsource_K+Tref_K*(H159-1)))+30+E159,"")</f>
        <v>-90.3704468972711</v>
      </c>
      <c r="AG159" s="5">
        <f t="shared" si="54"/>
        <v>80.3704468972711</v>
      </c>
      <c r="AH159" s="5">
        <f>IF(AND(ToneEnabled,ISNUMBER(E159),ISNUMBER(TonePin)),TonePin+E159,"")</f>
        <v>-10</v>
      </c>
      <c r="AI159" s="5">
        <f>IF(AND(ToneEnabled,ISNUMBER(E159),ISNUMBER(N159),ISNUMBER(TonePin)),3*TonePin+E159-2*N159,"")</f>
        <v>-83.9794000867204</v>
      </c>
      <c r="AJ159" s="5" t="str">
        <f t="shared" si="55"/>
        <v/>
      </c>
      <c r="AK159" s="5" t="str">
        <f>IF(NOT(器件参数!B159),"旁路",IF(NOT(ISNUMBER(AC159)),"频率未知",IF(AC159&lt;=SignalBW/2,"跨零频",IF(AND(ISNUMBER(器件参数!R159),ISNUMBER(器件参数!S159)),IF(AND(AB159-SignalBW/2&gt;=器件参数!R159,AB159+SignalBW/2&lt;=器件参数!S159),"有效","超声明通带"),"未声明通带"))))</f>
        <v>旁路</v>
      </c>
      <c r="AL159" s="5">
        <f t="shared" si="56"/>
        <v>0</v>
      </c>
      <c r="AM159" s="5" t="str">
        <f>IF(AND(器件参数!B159,ISNUMBER(器件参数!X159),OR(AND(ISNUMBER(J159),J159&gt;器件参数!X159),IF(AND(ToneEnabled,ISNUMBER(TonePin),ISNUMBER(D159)),TonePin+10*LOG10(2)+D159&gt;器件参数!X159,FALSE))),"超过绝对最大输入额定值","")</f>
        <v/>
      </c>
      <c r="AN159" s="5">
        <f>IF(NOT(ISNUMBER(AN158)),"",IF(OR(NOT(器件参数!B159),器件参数!E159&lt;&gt;"mixer"),AN158,IF(AND(ISNUMBER(器件参数!T159),器件参数!T159&gt;0),IF(器件参数!U159="sum",AN158+器件参数!T159,ABS(AN158-器件参数!T159)),"")))</f>
        <v>99950000</v>
      </c>
      <c r="AO159" s="5">
        <f>IF(NOT(ISNUMBER(AO158)),"",IF(OR(NOT(器件参数!B159),器件参数!E159&lt;&gt;"mixer"),AO158,IF(AND(ISNUMBER(器件参数!T159),器件参数!T159&gt;0),IF(器件参数!U159="sum",AO158+器件参数!T159,ABS(AO158-器件参数!T159)),"")))</f>
        <v>100050000</v>
      </c>
      <c r="AP159" s="5">
        <f>IF(NOT(ISNUMBER(AP158)),"",IF(OR(NOT(器件参数!B159),器件参数!E159&lt;&gt;"mixer"),AP158,IF(AND(ISNUMBER(器件参数!T159),器件参数!T159&gt;0),IF(器件参数!U159="sum",AP158+器件参数!T159,ABS(AP158-器件参数!T159)),"")))</f>
        <v>99850000</v>
      </c>
      <c r="AQ159" s="5">
        <f>IF(NOT(ISNUMBER(AQ158)),"",IF(OR(NOT(器件参数!B159),器件参数!E159&lt;&gt;"mixer"),AQ158,IF(AND(ISNUMBER(器件参数!T159),器件参数!T159&gt;0),IF(器件参数!U159="sum",AQ158+器件参数!T159,ABS(AQ158-器件参数!T159)),"")))</f>
        <v>100150000</v>
      </c>
      <c r="AR159" s="5" t="b">
        <f>IF(NOT(AR158),FALSE,IF(NOT(器件参数!B159),TRUE,AND(COUNT(AN159:AQ159)=4,MIN(AN159:AQ159)&gt;0,IF(AND(ISNUMBER(器件参数!R159),ISNUMBER(器件参数!S159)),AND(MIN(AN158:AQ158)&gt;=器件参数!R159,MAX(AN158:AQ158)&lt;=器件参数!S159),TRUE),IF(AND(器件参数!E159="mixer",器件参数!U159="difference"),OR(器件参数!T159&lt;MIN(AN158:AQ158),器件参数!T159&gt;MAX(AN158:AQ158)),TRUE))))</f>
        <v>1</v>
      </c>
    </row>
    <row r="160" hidden="1" spans="1:44">
      <c r="A160" s="5">
        <f>器件参数!A160</f>
        <v>157</v>
      </c>
      <c r="B160" s="5" t="str">
        <f>器件参数!D160</f>
        <v/>
      </c>
      <c r="C160" s="5">
        <f>IF(NOT(器件参数!B160),0,IF(AND(ISNUMBER(器件参数!F160),ABS(器件参数!F160)&lt;=300),器件参数!F160,""))</f>
        <v>0</v>
      </c>
      <c r="D160" s="5">
        <f t="shared" si="38"/>
        <v>20</v>
      </c>
      <c r="E160" s="5">
        <f t="shared" si="39"/>
        <v>20</v>
      </c>
      <c r="F160" s="5">
        <f t="shared" si="40"/>
        <v>100</v>
      </c>
      <c r="G160" s="5">
        <f>IFERROR(IF(NOT(器件参数!B160),1,IF(NOT(OR(器件参数!E160&lt;&gt;"mixer",AND(OR(器件参数!V160="SSB",器件参数!V160="DSB"),器件参数!W160=TRUE))),"",IF(器件参数!G160="ideal",1,IF(AND(器件参数!G160="manual",ISNUMBER(器件参数!H160),器件参数!H160&gt;=0),10^(器件参数!H160/10),IF(AND(器件参数!G160="passive_thermal",OR(器件参数!E160="filter_bpf",器件参数!E160="filter_lpf",器件参数!E160="filter_hpf",器件参数!E160="filter_bsf",器件参数!E160="attenuator",器件参数!E160="cable",器件参数!E160="connector",器件参数!E160="switch",器件参数!E160="isolator",器件参数!E160="coupler",器件参数!E160="splitter"),AND(ISNUMBER(器件参数!F160),ABS(器件参数!F160)&lt;=300),器件参数!F160&lt;=0,ISNUMBER(器件参数!I160),器件参数!I160&gt;0),1+(10^(-器件参数!F160/10)-1)*器件参数!I160/Tref_K,""))))),"数值域错误")</f>
        <v>1</v>
      </c>
      <c r="H160" s="5">
        <f t="shared" si="41"/>
        <v>2.29336948552238</v>
      </c>
      <c r="I160" s="5">
        <f t="shared" si="42"/>
        <v>3.604740296957</v>
      </c>
      <c r="J160" s="5">
        <f>IF(AND(ISNUMBER(Pin_dBm),ISNUMBER(D160)),Pin_dBm+D160,"")</f>
        <v>-10</v>
      </c>
      <c r="K160" s="5">
        <f>IF(AND(ISNUMBER(Pin_dBm),ISNUMBER(E160)),Pin_dBm+E160,"")</f>
        <v>-10</v>
      </c>
      <c r="L160" s="5" t="str">
        <f>IF(AND(器件参数!J160="finite",ISNUMBER(器件参数!L160),ISNUMBER(C160)),IF(器件参数!K160="input",器件参数!L160,IF(器件参数!K160="output",器件参数!L160-C160,"")),"")</f>
        <v/>
      </c>
      <c r="M160" s="5">
        <f>IFERROR(IF(NOT(ISNUMBER(M159)),"",IF(OR(NOT(器件参数!B160),器件参数!J160="ideal"),M159,IF(AND(ISNUMBER(L160),ISNUMBER(F160)),M159+F160/10^(L160/10),""))),"数值域错误")</f>
        <v>0.2</v>
      </c>
      <c r="N160" s="5">
        <f t="shared" si="43"/>
        <v>6.98970004336019</v>
      </c>
      <c r="O160" s="5">
        <f t="shared" si="44"/>
        <v>26.9897000433602</v>
      </c>
      <c r="P160" s="5" t="str">
        <f>IF(AND(器件参数!M160="finite",ISNUMBER(器件参数!O160),ISNUMBER(C160)),IF(器件参数!N160="input",器件参数!O160,IF(器件参数!N160="actual_output",器件参数!O160-C160+1,IF(器件参数!N160="linear_output",器件参数!O160-C160,""))),"")</f>
        <v/>
      </c>
      <c r="Q160" s="5">
        <f>IF(器件参数!P160="",IF(AND(ISNUMBER(DefaultP),DefaultP&gt;=1,DefaultP&lt;=10),DefaultP,""),IF(AND(ISNUMBER(器件参数!P160),器件参数!P160&gt;=1,器件参数!P160&lt;=10),器件参数!P160,""))</f>
        <v>2</v>
      </c>
      <c r="R160" s="5">
        <f t="shared" si="45"/>
        <v>-10.0000139708288</v>
      </c>
      <c r="S160" s="5" t="str">
        <f t="shared" si="46"/>
        <v/>
      </c>
      <c r="T160" s="5">
        <f t="shared" si="47"/>
        <v>0</v>
      </c>
      <c r="U160" s="5">
        <f t="shared" si="48"/>
        <v>-10.0000139708288</v>
      </c>
      <c r="V160" s="5">
        <f>IF(AND(ISNUMBER(Pin_dBm),ISNUMBER(E160),ISNUMBER(U160)),Pin_dBm+E160-U160,"")</f>
        <v>1.39708287854035e-5</v>
      </c>
      <c r="W160" s="5" t="str">
        <f>IF(AND(器件参数!B160,X160=1,ISNUMBER(D160)),P160-D160,"")</f>
        <v/>
      </c>
      <c r="X160" s="5">
        <f>IF(NOT(ISNUMBER(C160)),-1,IF(OR(NOT(器件参数!B160),器件参数!M160="ideal"),0,IF(AND(ISNUMBER(P160),ISNUMBER(Q160)),1,-1)))</f>
        <v>0</v>
      </c>
      <c r="Y160" s="5" t="str">
        <f t="shared" si="49"/>
        <v>有效</v>
      </c>
      <c r="Z160" s="5" t="str">
        <f t="shared" si="50"/>
        <v>有效</v>
      </c>
      <c r="AA160" s="5" t="str">
        <f t="shared" si="51"/>
        <v>模型估算</v>
      </c>
      <c r="AB160" s="5">
        <f t="shared" si="52"/>
        <v>100000000</v>
      </c>
      <c r="AC160" s="5">
        <f>IF(NOT(ISNUMBER(AB160)),"",IF(OR(NOT(器件参数!B160),器件参数!E160&lt;&gt;"mixer"),AB160,IF(AND(ISNUMBER(器件参数!T160),器件参数!T160&gt;0),IF(器件参数!U160="sum",AB160+器件参数!T160,IF(器件参数!U160="difference",ABS(AB160-器件参数!T160),"")),"")))</f>
        <v>100000000</v>
      </c>
      <c r="AD160" s="5">
        <f t="shared" si="53"/>
        <v>0</v>
      </c>
      <c r="AE160" s="5">
        <f>IF(AND(ISNUMBER(G160),ISNUMBER(F160)),Tref_K*(G160-1)/F160,"")</f>
        <v>0</v>
      </c>
      <c r="AF160" s="5">
        <f>IF(AND(ISNUMBER(H160),ISNUMBER(E160),NoiseConfigOK),10*LOG10(Boltzmann*Bnoise_Hz*(Tsource_K+Tref_K*(H160-1)))+30+E160,"")</f>
        <v>-90.3704468972711</v>
      </c>
      <c r="AG160" s="5">
        <f t="shared" si="54"/>
        <v>80.3704468972711</v>
      </c>
      <c r="AH160" s="5">
        <f>IF(AND(ToneEnabled,ISNUMBER(E160),ISNUMBER(TonePin)),TonePin+E160,"")</f>
        <v>-10</v>
      </c>
      <c r="AI160" s="5">
        <f>IF(AND(ToneEnabled,ISNUMBER(E160),ISNUMBER(N160),ISNUMBER(TonePin)),3*TonePin+E160-2*N160,"")</f>
        <v>-83.9794000867204</v>
      </c>
      <c r="AJ160" s="5" t="str">
        <f t="shared" si="55"/>
        <v/>
      </c>
      <c r="AK160" s="5" t="str">
        <f>IF(NOT(器件参数!B160),"旁路",IF(NOT(ISNUMBER(AC160)),"频率未知",IF(AC160&lt;=SignalBW/2,"跨零频",IF(AND(ISNUMBER(器件参数!R160),ISNUMBER(器件参数!S160)),IF(AND(AB160-SignalBW/2&gt;=器件参数!R160,AB160+SignalBW/2&lt;=器件参数!S160),"有效","超声明通带"),"未声明通带"))))</f>
        <v>旁路</v>
      </c>
      <c r="AL160" s="5">
        <f t="shared" si="56"/>
        <v>0</v>
      </c>
      <c r="AM160" s="5" t="str">
        <f>IF(AND(器件参数!B160,ISNUMBER(器件参数!X160),OR(AND(ISNUMBER(J160),J160&gt;器件参数!X160),IF(AND(ToneEnabled,ISNUMBER(TonePin),ISNUMBER(D160)),TonePin+10*LOG10(2)+D160&gt;器件参数!X160,FALSE))),"超过绝对最大输入额定值","")</f>
        <v/>
      </c>
      <c r="AN160" s="5">
        <f>IF(NOT(ISNUMBER(AN159)),"",IF(OR(NOT(器件参数!B160),器件参数!E160&lt;&gt;"mixer"),AN159,IF(AND(ISNUMBER(器件参数!T160),器件参数!T160&gt;0),IF(器件参数!U160="sum",AN159+器件参数!T160,ABS(AN159-器件参数!T160)),"")))</f>
        <v>99950000</v>
      </c>
      <c r="AO160" s="5">
        <f>IF(NOT(ISNUMBER(AO159)),"",IF(OR(NOT(器件参数!B160),器件参数!E160&lt;&gt;"mixer"),AO159,IF(AND(ISNUMBER(器件参数!T160),器件参数!T160&gt;0),IF(器件参数!U160="sum",AO159+器件参数!T160,ABS(AO159-器件参数!T160)),"")))</f>
        <v>100050000</v>
      </c>
      <c r="AP160" s="5">
        <f>IF(NOT(ISNUMBER(AP159)),"",IF(OR(NOT(器件参数!B160),器件参数!E160&lt;&gt;"mixer"),AP159,IF(AND(ISNUMBER(器件参数!T160),器件参数!T160&gt;0),IF(器件参数!U160="sum",AP159+器件参数!T160,ABS(AP159-器件参数!T160)),"")))</f>
        <v>99850000</v>
      </c>
      <c r="AQ160" s="5">
        <f>IF(NOT(ISNUMBER(AQ159)),"",IF(OR(NOT(器件参数!B160),器件参数!E160&lt;&gt;"mixer"),AQ159,IF(AND(ISNUMBER(器件参数!T160),器件参数!T160&gt;0),IF(器件参数!U160="sum",AQ159+器件参数!T160,ABS(AQ159-器件参数!T160)),"")))</f>
        <v>100150000</v>
      </c>
      <c r="AR160" s="5" t="b">
        <f>IF(NOT(AR159),FALSE,IF(NOT(器件参数!B160),TRUE,AND(COUNT(AN160:AQ160)=4,MIN(AN160:AQ160)&gt;0,IF(AND(ISNUMBER(器件参数!R160),ISNUMBER(器件参数!S160)),AND(MIN(AN159:AQ159)&gt;=器件参数!R160,MAX(AN159:AQ159)&lt;=器件参数!S160),TRUE),IF(AND(器件参数!E160="mixer",器件参数!U160="difference"),OR(器件参数!T160&lt;MIN(AN159:AQ159),器件参数!T160&gt;MAX(AN159:AQ159)),TRUE))))</f>
        <v>1</v>
      </c>
    </row>
    <row r="161" hidden="1" spans="1:44">
      <c r="A161" s="5">
        <f>器件参数!A161</f>
        <v>158</v>
      </c>
      <c r="B161" s="5" t="str">
        <f>器件参数!D161</f>
        <v/>
      </c>
      <c r="C161" s="5">
        <f>IF(NOT(器件参数!B161),0,IF(AND(ISNUMBER(器件参数!F161),ABS(器件参数!F161)&lt;=300),器件参数!F161,""))</f>
        <v>0</v>
      </c>
      <c r="D161" s="5">
        <f t="shared" si="38"/>
        <v>20</v>
      </c>
      <c r="E161" s="5">
        <f t="shared" si="39"/>
        <v>20</v>
      </c>
      <c r="F161" s="5">
        <f t="shared" si="40"/>
        <v>100</v>
      </c>
      <c r="G161" s="5">
        <f>IFERROR(IF(NOT(器件参数!B161),1,IF(NOT(OR(器件参数!E161&lt;&gt;"mixer",AND(OR(器件参数!V161="SSB",器件参数!V161="DSB"),器件参数!W161=TRUE))),"",IF(器件参数!G161="ideal",1,IF(AND(器件参数!G161="manual",ISNUMBER(器件参数!H161),器件参数!H161&gt;=0),10^(器件参数!H161/10),IF(AND(器件参数!G161="passive_thermal",OR(器件参数!E161="filter_bpf",器件参数!E161="filter_lpf",器件参数!E161="filter_hpf",器件参数!E161="filter_bsf",器件参数!E161="attenuator",器件参数!E161="cable",器件参数!E161="connector",器件参数!E161="switch",器件参数!E161="isolator",器件参数!E161="coupler",器件参数!E161="splitter"),AND(ISNUMBER(器件参数!F161),ABS(器件参数!F161)&lt;=300),器件参数!F161&lt;=0,ISNUMBER(器件参数!I161),器件参数!I161&gt;0),1+(10^(-器件参数!F161/10)-1)*器件参数!I161/Tref_K,""))))),"数值域错误")</f>
        <v>1</v>
      </c>
      <c r="H161" s="5">
        <f t="shared" si="41"/>
        <v>2.29336948552238</v>
      </c>
      <c r="I161" s="5">
        <f t="shared" si="42"/>
        <v>3.604740296957</v>
      </c>
      <c r="J161" s="5">
        <f>IF(AND(ISNUMBER(Pin_dBm),ISNUMBER(D161)),Pin_dBm+D161,"")</f>
        <v>-10</v>
      </c>
      <c r="K161" s="5">
        <f>IF(AND(ISNUMBER(Pin_dBm),ISNUMBER(E161)),Pin_dBm+E161,"")</f>
        <v>-10</v>
      </c>
      <c r="L161" s="5" t="str">
        <f>IF(AND(器件参数!J161="finite",ISNUMBER(器件参数!L161),ISNUMBER(C161)),IF(器件参数!K161="input",器件参数!L161,IF(器件参数!K161="output",器件参数!L161-C161,"")),"")</f>
        <v/>
      </c>
      <c r="M161" s="5">
        <f>IFERROR(IF(NOT(ISNUMBER(M160)),"",IF(OR(NOT(器件参数!B161),器件参数!J161="ideal"),M160,IF(AND(ISNUMBER(L161),ISNUMBER(F161)),M160+F161/10^(L161/10),""))),"数值域错误")</f>
        <v>0.2</v>
      </c>
      <c r="N161" s="5">
        <f t="shared" si="43"/>
        <v>6.98970004336019</v>
      </c>
      <c r="O161" s="5">
        <f t="shared" si="44"/>
        <v>26.9897000433602</v>
      </c>
      <c r="P161" s="5" t="str">
        <f>IF(AND(器件参数!M161="finite",ISNUMBER(器件参数!O161),ISNUMBER(C161)),IF(器件参数!N161="input",器件参数!O161,IF(器件参数!N161="actual_output",器件参数!O161-C161+1,IF(器件参数!N161="linear_output",器件参数!O161-C161,""))),"")</f>
        <v/>
      </c>
      <c r="Q161" s="5">
        <f>IF(器件参数!P161="",IF(AND(ISNUMBER(DefaultP),DefaultP&gt;=1,DefaultP&lt;=10),DefaultP,""),IF(AND(ISNUMBER(器件参数!P161),器件参数!P161&gt;=1,器件参数!P161&lt;=10),器件参数!P161,""))</f>
        <v>2</v>
      </c>
      <c r="R161" s="5">
        <f t="shared" si="45"/>
        <v>-10.0000139708288</v>
      </c>
      <c r="S161" s="5" t="str">
        <f t="shared" si="46"/>
        <v/>
      </c>
      <c r="T161" s="5">
        <f t="shared" si="47"/>
        <v>0</v>
      </c>
      <c r="U161" s="5">
        <f t="shared" si="48"/>
        <v>-10.0000139708288</v>
      </c>
      <c r="V161" s="5">
        <f>IF(AND(ISNUMBER(Pin_dBm),ISNUMBER(E161),ISNUMBER(U161)),Pin_dBm+E161-U161,"")</f>
        <v>1.39708287854035e-5</v>
      </c>
      <c r="W161" s="5" t="str">
        <f>IF(AND(器件参数!B161,X161=1,ISNUMBER(D161)),P161-D161,"")</f>
        <v/>
      </c>
      <c r="X161" s="5">
        <f>IF(NOT(ISNUMBER(C161)),-1,IF(OR(NOT(器件参数!B161),器件参数!M161="ideal"),0,IF(AND(ISNUMBER(P161),ISNUMBER(Q161)),1,-1)))</f>
        <v>0</v>
      </c>
      <c r="Y161" s="5" t="str">
        <f t="shared" si="49"/>
        <v>有效</v>
      </c>
      <c r="Z161" s="5" t="str">
        <f t="shared" si="50"/>
        <v>有效</v>
      </c>
      <c r="AA161" s="5" t="str">
        <f t="shared" si="51"/>
        <v>模型估算</v>
      </c>
      <c r="AB161" s="5">
        <f t="shared" si="52"/>
        <v>100000000</v>
      </c>
      <c r="AC161" s="5">
        <f>IF(NOT(ISNUMBER(AB161)),"",IF(OR(NOT(器件参数!B161),器件参数!E161&lt;&gt;"mixer"),AB161,IF(AND(ISNUMBER(器件参数!T161),器件参数!T161&gt;0),IF(器件参数!U161="sum",AB161+器件参数!T161,IF(器件参数!U161="difference",ABS(AB161-器件参数!T161),"")),"")))</f>
        <v>100000000</v>
      </c>
      <c r="AD161" s="5">
        <f t="shared" si="53"/>
        <v>0</v>
      </c>
      <c r="AE161" s="5">
        <f>IF(AND(ISNUMBER(G161),ISNUMBER(F161)),Tref_K*(G161-1)/F161,"")</f>
        <v>0</v>
      </c>
      <c r="AF161" s="5">
        <f>IF(AND(ISNUMBER(H161),ISNUMBER(E161),NoiseConfigOK),10*LOG10(Boltzmann*Bnoise_Hz*(Tsource_K+Tref_K*(H161-1)))+30+E161,"")</f>
        <v>-90.3704468972711</v>
      </c>
      <c r="AG161" s="5">
        <f t="shared" si="54"/>
        <v>80.3704468972711</v>
      </c>
      <c r="AH161" s="5">
        <f>IF(AND(ToneEnabled,ISNUMBER(E161),ISNUMBER(TonePin)),TonePin+E161,"")</f>
        <v>-10</v>
      </c>
      <c r="AI161" s="5">
        <f>IF(AND(ToneEnabled,ISNUMBER(E161),ISNUMBER(N161),ISNUMBER(TonePin)),3*TonePin+E161-2*N161,"")</f>
        <v>-83.9794000867204</v>
      </c>
      <c r="AJ161" s="5" t="str">
        <f t="shared" si="55"/>
        <v/>
      </c>
      <c r="AK161" s="5" t="str">
        <f>IF(NOT(器件参数!B161),"旁路",IF(NOT(ISNUMBER(AC161)),"频率未知",IF(AC161&lt;=SignalBW/2,"跨零频",IF(AND(ISNUMBER(器件参数!R161),ISNUMBER(器件参数!S161)),IF(AND(AB161-SignalBW/2&gt;=器件参数!R161,AB161+SignalBW/2&lt;=器件参数!S161),"有效","超声明通带"),"未声明通带"))))</f>
        <v>旁路</v>
      </c>
      <c r="AL161" s="5">
        <f t="shared" si="56"/>
        <v>0</v>
      </c>
      <c r="AM161" s="5" t="str">
        <f>IF(AND(器件参数!B161,ISNUMBER(器件参数!X161),OR(AND(ISNUMBER(J161),J161&gt;器件参数!X161),IF(AND(ToneEnabled,ISNUMBER(TonePin),ISNUMBER(D161)),TonePin+10*LOG10(2)+D161&gt;器件参数!X161,FALSE))),"超过绝对最大输入额定值","")</f>
        <v/>
      </c>
      <c r="AN161" s="5">
        <f>IF(NOT(ISNUMBER(AN160)),"",IF(OR(NOT(器件参数!B161),器件参数!E161&lt;&gt;"mixer"),AN160,IF(AND(ISNUMBER(器件参数!T161),器件参数!T161&gt;0),IF(器件参数!U161="sum",AN160+器件参数!T161,ABS(AN160-器件参数!T161)),"")))</f>
        <v>99950000</v>
      </c>
      <c r="AO161" s="5">
        <f>IF(NOT(ISNUMBER(AO160)),"",IF(OR(NOT(器件参数!B161),器件参数!E161&lt;&gt;"mixer"),AO160,IF(AND(ISNUMBER(器件参数!T161),器件参数!T161&gt;0),IF(器件参数!U161="sum",AO160+器件参数!T161,ABS(AO160-器件参数!T161)),"")))</f>
        <v>100050000</v>
      </c>
      <c r="AP161" s="5">
        <f>IF(NOT(ISNUMBER(AP160)),"",IF(OR(NOT(器件参数!B161),器件参数!E161&lt;&gt;"mixer"),AP160,IF(AND(ISNUMBER(器件参数!T161),器件参数!T161&gt;0),IF(器件参数!U161="sum",AP160+器件参数!T161,ABS(AP160-器件参数!T161)),"")))</f>
        <v>99850000</v>
      </c>
      <c r="AQ161" s="5">
        <f>IF(NOT(ISNUMBER(AQ160)),"",IF(OR(NOT(器件参数!B161),器件参数!E161&lt;&gt;"mixer"),AQ160,IF(AND(ISNUMBER(器件参数!T161),器件参数!T161&gt;0),IF(器件参数!U161="sum",AQ160+器件参数!T161,ABS(AQ160-器件参数!T161)),"")))</f>
        <v>100150000</v>
      </c>
      <c r="AR161" s="5" t="b">
        <f>IF(NOT(AR160),FALSE,IF(NOT(器件参数!B161),TRUE,AND(COUNT(AN161:AQ161)=4,MIN(AN161:AQ161)&gt;0,IF(AND(ISNUMBER(器件参数!R161),ISNUMBER(器件参数!S161)),AND(MIN(AN160:AQ160)&gt;=器件参数!R161,MAX(AN160:AQ160)&lt;=器件参数!S161),TRUE),IF(AND(器件参数!E161="mixer",器件参数!U161="difference"),OR(器件参数!T161&lt;MIN(AN160:AQ160),器件参数!T161&gt;MAX(AN160:AQ160)),TRUE))))</f>
        <v>1</v>
      </c>
    </row>
    <row r="162" hidden="1" spans="1:44">
      <c r="A162" s="5">
        <f>器件参数!A162</f>
        <v>159</v>
      </c>
      <c r="B162" s="5" t="str">
        <f>器件参数!D162</f>
        <v/>
      </c>
      <c r="C162" s="5">
        <f>IF(NOT(器件参数!B162),0,IF(AND(ISNUMBER(器件参数!F162),ABS(器件参数!F162)&lt;=300),器件参数!F162,""))</f>
        <v>0</v>
      </c>
      <c r="D162" s="5">
        <f t="shared" si="38"/>
        <v>20</v>
      </c>
      <c r="E162" s="5">
        <f t="shared" si="39"/>
        <v>20</v>
      </c>
      <c r="F162" s="5">
        <f t="shared" si="40"/>
        <v>100</v>
      </c>
      <c r="G162" s="5">
        <f>IFERROR(IF(NOT(器件参数!B162),1,IF(NOT(OR(器件参数!E162&lt;&gt;"mixer",AND(OR(器件参数!V162="SSB",器件参数!V162="DSB"),器件参数!W162=TRUE))),"",IF(器件参数!G162="ideal",1,IF(AND(器件参数!G162="manual",ISNUMBER(器件参数!H162),器件参数!H162&gt;=0),10^(器件参数!H162/10),IF(AND(器件参数!G162="passive_thermal",OR(器件参数!E162="filter_bpf",器件参数!E162="filter_lpf",器件参数!E162="filter_hpf",器件参数!E162="filter_bsf",器件参数!E162="attenuator",器件参数!E162="cable",器件参数!E162="connector",器件参数!E162="switch",器件参数!E162="isolator",器件参数!E162="coupler",器件参数!E162="splitter"),AND(ISNUMBER(器件参数!F162),ABS(器件参数!F162)&lt;=300),器件参数!F162&lt;=0,ISNUMBER(器件参数!I162),器件参数!I162&gt;0),1+(10^(-器件参数!F162/10)-1)*器件参数!I162/Tref_K,""))))),"数值域错误")</f>
        <v>1</v>
      </c>
      <c r="H162" s="5">
        <f t="shared" si="41"/>
        <v>2.29336948552238</v>
      </c>
      <c r="I162" s="5">
        <f t="shared" si="42"/>
        <v>3.604740296957</v>
      </c>
      <c r="J162" s="5">
        <f>IF(AND(ISNUMBER(Pin_dBm),ISNUMBER(D162)),Pin_dBm+D162,"")</f>
        <v>-10</v>
      </c>
      <c r="K162" s="5">
        <f>IF(AND(ISNUMBER(Pin_dBm),ISNUMBER(E162)),Pin_dBm+E162,"")</f>
        <v>-10</v>
      </c>
      <c r="L162" s="5" t="str">
        <f>IF(AND(器件参数!J162="finite",ISNUMBER(器件参数!L162),ISNUMBER(C162)),IF(器件参数!K162="input",器件参数!L162,IF(器件参数!K162="output",器件参数!L162-C162,"")),"")</f>
        <v/>
      </c>
      <c r="M162" s="5">
        <f>IFERROR(IF(NOT(ISNUMBER(M161)),"",IF(OR(NOT(器件参数!B162),器件参数!J162="ideal"),M161,IF(AND(ISNUMBER(L162),ISNUMBER(F162)),M161+F162/10^(L162/10),""))),"数值域错误")</f>
        <v>0.2</v>
      </c>
      <c r="N162" s="5">
        <f t="shared" si="43"/>
        <v>6.98970004336019</v>
      </c>
      <c r="O162" s="5">
        <f t="shared" si="44"/>
        <v>26.9897000433602</v>
      </c>
      <c r="P162" s="5" t="str">
        <f>IF(AND(器件参数!M162="finite",ISNUMBER(器件参数!O162),ISNUMBER(C162)),IF(器件参数!N162="input",器件参数!O162,IF(器件参数!N162="actual_output",器件参数!O162-C162+1,IF(器件参数!N162="linear_output",器件参数!O162-C162,""))),"")</f>
        <v/>
      </c>
      <c r="Q162" s="5">
        <f>IF(器件参数!P162="",IF(AND(ISNUMBER(DefaultP),DefaultP&gt;=1,DefaultP&lt;=10),DefaultP,""),IF(AND(ISNUMBER(器件参数!P162),器件参数!P162&gt;=1,器件参数!P162&lt;=10),器件参数!P162,""))</f>
        <v>2</v>
      </c>
      <c r="R162" s="5">
        <f t="shared" si="45"/>
        <v>-10.0000139708288</v>
      </c>
      <c r="S162" s="5" t="str">
        <f t="shared" si="46"/>
        <v/>
      </c>
      <c r="T162" s="5">
        <f t="shared" si="47"/>
        <v>0</v>
      </c>
      <c r="U162" s="5">
        <f t="shared" si="48"/>
        <v>-10.0000139708288</v>
      </c>
      <c r="V162" s="5">
        <f>IF(AND(ISNUMBER(Pin_dBm),ISNUMBER(E162),ISNUMBER(U162)),Pin_dBm+E162-U162,"")</f>
        <v>1.39708287854035e-5</v>
      </c>
      <c r="W162" s="5" t="str">
        <f>IF(AND(器件参数!B162,X162=1,ISNUMBER(D162)),P162-D162,"")</f>
        <v/>
      </c>
      <c r="X162" s="5">
        <f>IF(NOT(ISNUMBER(C162)),-1,IF(OR(NOT(器件参数!B162),器件参数!M162="ideal"),0,IF(AND(ISNUMBER(P162),ISNUMBER(Q162)),1,-1)))</f>
        <v>0</v>
      </c>
      <c r="Y162" s="5" t="str">
        <f t="shared" si="49"/>
        <v>有效</v>
      </c>
      <c r="Z162" s="5" t="str">
        <f t="shared" si="50"/>
        <v>有效</v>
      </c>
      <c r="AA162" s="5" t="str">
        <f t="shared" si="51"/>
        <v>模型估算</v>
      </c>
      <c r="AB162" s="5">
        <f t="shared" si="52"/>
        <v>100000000</v>
      </c>
      <c r="AC162" s="5">
        <f>IF(NOT(ISNUMBER(AB162)),"",IF(OR(NOT(器件参数!B162),器件参数!E162&lt;&gt;"mixer"),AB162,IF(AND(ISNUMBER(器件参数!T162),器件参数!T162&gt;0),IF(器件参数!U162="sum",AB162+器件参数!T162,IF(器件参数!U162="difference",ABS(AB162-器件参数!T162),"")),"")))</f>
        <v>100000000</v>
      </c>
      <c r="AD162" s="5">
        <f t="shared" si="53"/>
        <v>0</v>
      </c>
      <c r="AE162" s="5">
        <f>IF(AND(ISNUMBER(G162),ISNUMBER(F162)),Tref_K*(G162-1)/F162,"")</f>
        <v>0</v>
      </c>
      <c r="AF162" s="5">
        <f>IF(AND(ISNUMBER(H162),ISNUMBER(E162),NoiseConfigOK),10*LOG10(Boltzmann*Bnoise_Hz*(Tsource_K+Tref_K*(H162-1)))+30+E162,"")</f>
        <v>-90.3704468972711</v>
      </c>
      <c r="AG162" s="5">
        <f t="shared" si="54"/>
        <v>80.3704468972711</v>
      </c>
      <c r="AH162" s="5">
        <f>IF(AND(ToneEnabled,ISNUMBER(E162),ISNUMBER(TonePin)),TonePin+E162,"")</f>
        <v>-10</v>
      </c>
      <c r="AI162" s="5">
        <f>IF(AND(ToneEnabled,ISNUMBER(E162),ISNUMBER(N162),ISNUMBER(TonePin)),3*TonePin+E162-2*N162,"")</f>
        <v>-83.9794000867204</v>
      </c>
      <c r="AJ162" s="5" t="str">
        <f t="shared" si="55"/>
        <v/>
      </c>
      <c r="AK162" s="5" t="str">
        <f>IF(NOT(器件参数!B162),"旁路",IF(NOT(ISNUMBER(AC162)),"频率未知",IF(AC162&lt;=SignalBW/2,"跨零频",IF(AND(ISNUMBER(器件参数!R162),ISNUMBER(器件参数!S162)),IF(AND(AB162-SignalBW/2&gt;=器件参数!R162,AB162+SignalBW/2&lt;=器件参数!S162),"有效","超声明通带"),"未声明通带"))))</f>
        <v>旁路</v>
      </c>
      <c r="AL162" s="5">
        <f t="shared" si="56"/>
        <v>0</v>
      </c>
      <c r="AM162" s="5" t="str">
        <f>IF(AND(器件参数!B162,ISNUMBER(器件参数!X162),OR(AND(ISNUMBER(J162),J162&gt;器件参数!X162),IF(AND(ToneEnabled,ISNUMBER(TonePin),ISNUMBER(D162)),TonePin+10*LOG10(2)+D162&gt;器件参数!X162,FALSE))),"超过绝对最大输入额定值","")</f>
        <v/>
      </c>
      <c r="AN162" s="5">
        <f>IF(NOT(ISNUMBER(AN161)),"",IF(OR(NOT(器件参数!B162),器件参数!E162&lt;&gt;"mixer"),AN161,IF(AND(ISNUMBER(器件参数!T162),器件参数!T162&gt;0),IF(器件参数!U162="sum",AN161+器件参数!T162,ABS(AN161-器件参数!T162)),"")))</f>
        <v>99950000</v>
      </c>
      <c r="AO162" s="5">
        <f>IF(NOT(ISNUMBER(AO161)),"",IF(OR(NOT(器件参数!B162),器件参数!E162&lt;&gt;"mixer"),AO161,IF(AND(ISNUMBER(器件参数!T162),器件参数!T162&gt;0),IF(器件参数!U162="sum",AO161+器件参数!T162,ABS(AO161-器件参数!T162)),"")))</f>
        <v>100050000</v>
      </c>
      <c r="AP162" s="5">
        <f>IF(NOT(ISNUMBER(AP161)),"",IF(OR(NOT(器件参数!B162),器件参数!E162&lt;&gt;"mixer"),AP161,IF(AND(ISNUMBER(器件参数!T162),器件参数!T162&gt;0),IF(器件参数!U162="sum",AP161+器件参数!T162,ABS(AP161-器件参数!T162)),"")))</f>
        <v>99850000</v>
      </c>
      <c r="AQ162" s="5">
        <f>IF(NOT(ISNUMBER(AQ161)),"",IF(OR(NOT(器件参数!B162),器件参数!E162&lt;&gt;"mixer"),AQ161,IF(AND(ISNUMBER(器件参数!T162),器件参数!T162&gt;0),IF(器件参数!U162="sum",AQ161+器件参数!T162,ABS(AQ161-器件参数!T162)),"")))</f>
        <v>100150000</v>
      </c>
      <c r="AR162" s="5" t="b">
        <f>IF(NOT(AR161),FALSE,IF(NOT(器件参数!B162),TRUE,AND(COUNT(AN162:AQ162)=4,MIN(AN162:AQ162)&gt;0,IF(AND(ISNUMBER(器件参数!R162),ISNUMBER(器件参数!S162)),AND(MIN(AN161:AQ161)&gt;=器件参数!R162,MAX(AN161:AQ161)&lt;=器件参数!S162),TRUE),IF(AND(器件参数!E162="mixer",器件参数!U162="difference"),OR(器件参数!T162&lt;MIN(AN161:AQ161),器件参数!T162&gt;MAX(AN161:AQ161)),TRUE))))</f>
        <v>1</v>
      </c>
    </row>
    <row r="163" hidden="1" spans="1:44">
      <c r="A163" s="5">
        <f>器件参数!A163</f>
        <v>160</v>
      </c>
      <c r="B163" s="5" t="str">
        <f>器件参数!D163</f>
        <v/>
      </c>
      <c r="C163" s="5">
        <f>IF(NOT(器件参数!B163),0,IF(AND(ISNUMBER(器件参数!F163),ABS(器件参数!F163)&lt;=300),器件参数!F163,""))</f>
        <v>0</v>
      </c>
      <c r="D163" s="5">
        <f t="shared" si="38"/>
        <v>20</v>
      </c>
      <c r="E163" s="5">
        <f t="shared" si="39"/>
        <v>20</v>
      </c>
      <c r="F163" s="5">
        <f t="shared" si="40"/>
        <v>100</v>
      </c>
      <c r="G163" s="5">
        <f>IFERROR(IF(NOT(器件参数!B163),1,IF(NOT(OR(器件参数!E163&lt;&gt;"mixer",AND(OR(器件参数!V163="SSB",器件参数!V163="DSB"),器件参数!W163=TRUE))),"",IF(器件参数!G163="ideal",1,IF(AND(器件参数!G163="manual",ISNUMBER(器件参数!H163),器件参数!H163&gt;=0),10^(器件参数!H163/10),IF(AND(器件参数!G163="passive_thermal",OR(器件参数!E163="filter_bpf",器件参数!E163="filter_lpf",器件参数!E163="filter_hpf",器件参数!E163="filter_bsf",器件参数!E163="attenuator",器件参数!E163="cable",器件参数!E163="connector",器件参数!E163="switch",器件参数!E163="isolator",器件参数!E163="coupler",器件参数!E163="splitter"),AND(ISNUMBER(器件参数!F163),ABS(器件参数!F163)&lt;=300),器件参数!F163&lt;=0,ISNUMBER(器件参数!I163),器件参数!I163&gt;0),1+(10^(-器件参数!F163/10)-1)*器件参数!I163/Tref_K,""))))),"数值域错误")</f>
        <v>1</v>
      </c>
      <c r="H163" s="5">
        <f t="shared" si="41"/>
        <v>2.29336948552238</v>
      </c>
      <c r="I163" s="5">
        <f t="shared" si="42"/>
        <v>3.604740296957</v>
      </c>
      <c r="J163" s="5">
        <f>IF(AND(ISNUMBER(Pin_dBm),ISNUMBER(D163)),Pin_dBm+D163,"")</f>
        <v>-10</v>
      </c>
      <c r="K163" s="5">
        <f>IF(AND(ISNUMBER(Pin_dBm),ISNUMBER(E163)),Pin_dBm+E163,"")</f>
        <v>-10</v>
      </c>
      <c r="L163" s="5" t="str">
        <f>IF(AND(器件参数!J163="finite",ISNUMBER(器件参数!L163),ISNUMBER(C163)),IF(器件参数!K163="input",器件参数!L163,IF(器件参数!K163="output",器件参数!L163-C163,"")),"")</f>
        <v/>
      </c>
      <c r="M163" s="5">
        <f>IFERROR(IF(NOT(ISNUMBER(M162)),"",IF(OR(NOT(器件参数!B163),器件参数!J163="ideal"),M162,IF(AND(ISNUMBER(L163),ISNUMBER(F163)),M162+F163/10^(L163/10),""))),"数值域错误")</f>
        <v>0.2</v>
      </c>
      <c r="N163" s="5">
        <f t="shared" si="43"/>
        <v>6.98970004336019</v>
      </c>
      <c r="O163" s="5">
        <f t="shared" si="44"/>
        <v>26.9897000433602</v>
      </c>
      <c r="P163" s="5" t="str">
        <f>IF(AND(器件参数!M163="finite",ISNUMBER(器件参数!O163),ISNUMBER(C163)),IF(器件参数!N163="input",器件参数!O163,IF(器件参数!N163="actual_output",器件参数!O163-C163+1,IF(器件参数!N163="linear_output",器件参数!O163-C163,""))),"")</f>
        <v/>
      </c>
      <c r="Q163" s="5">
        <f>IF(器件参数!P163="",IF(AND(ISNUMBER(DefaultP),DefaultP&gt;=1,DefaultP&lt;=10),DefaultP,""),IF(AND(ISNUMBER(器件参数!P163),器件参数!P163&gt;=1,器件参数!P163&lt;=10),器件参数!P163,""))</f>
        <v>2</v>
      </c>
      <c r="R163" s="5">
        <f t="shared" si="45"/>
        <v>-10.0000139708288</v>
      </c>
      <c r="S163" s="5" t="str">
        <f t="shared" si="46"/>
        <v/>
      </c>
      <c r="T163" s="5">
        <f t="shared" si="47"/>
        <v>0</v>
      </c>
      <c r="U163" s="5">
        <f t="shared" si="48"/>
        <v>-10.0000139708288</v>
      </c>
      <c r="V163" s="5">
        <f>IF(AND(ISNUMBER(Pin_dBm),ISNUMBER(E163),ISNUMBER(U163)),Pin_dBm+E163-U163,"")</f>
        <v>1.39708287854035e-5</v>
      </c>
      <c r="W163" s="5" t="str">
        <f>IF(AND(器件参数!B163,X163=1,ISNUMBER(D163)),P163-D163,"")</f>
        <v/>
      </c>
      <c r="X163" s="5">
        <f>IF(NOT(ISNUMBER(C163)),-1,IF(OR(NOT(器件参数!B163),器件参数!M163="ideal"),0,IF(AND(ISNUMBER(P163),ISNUMBER(Q163)),1,-1)))</f>
        <v>0</v>
      </c>
      <c r="Y163" s="5" t="str">
        <f t="shared" si="49"/>
        <v>有效</v>
      </c>
      <c r="Z163" s="5" t="str">
        <f t="shared" si="50"/>
        <v>有效</v>
      </c>
      <c r="AA163" s="5" t="str">
        <f t="shared" si="51"/>
        <v>模型估算</v>
      </c>
      <c r="AB163" s="5">
        <f t="shared" si="52"/>
        <v>100000000</v>
      </c>
      <c r="AC163" s="5">
        <f>IF(NOT(ISNUMBER(AB163)),"",IF(OR(NOT(器件参数!B163),器件参数!E163&lt;&gt;"mixer"),AB163,IF(AND(ISNUMBER(器件参数!T163),器件参数!T163&gt;0),IF(器件参数!U163="sum",AB163+器件参数!T163,IF(器件参数!U163="difference",ABS(AB163-器件参数!T163),"")),"")))</f>
        <v>100000000</v>
      </c>
      <c r="AD163" s="5">
        <f t="shared" si="53"/>
        <v>0</v>
      </c>
      <c r="AE163" s="5">
        <f>IF(AND(ISNUMBER(G163),ISNUMBER(F163)),Tref_K*(G163-1)/F163,"")</f>
        <v>0</v>
      </c>
      <c r="AF163" s="5">
        <f>IF(AND(ISNUMBER(H163),ISNUMBER(E163),NoiseConfigOK),10*LOG10(Boltzmann*Bnoise_Hz*(Tsource_K+Tref_K*(H163-1)))+30+E163,"")</f>
        <v>-90.3704468972711</v>
      </c>
      <c r="AG163" s="5">
        <f t="shared" si="54"/>
        <v>80.3704468972711</v>
      </c>
      <c r="AH163" s="5">
        <f>IF(AND(ToneEnabled,ISNUMBER(E163),ISNUMBER(TonePin)),TonePin+E163,"")</f>
        <v>-10</v>
      </c>
      <c r="AI163" s="5">
        <f>IF(AND(ToneEnabled,ISNUMBER(E163),ISNUMBER(N163),ISNUMBER(TonePin)),3*TonePin+E163-2*N163,"")</f>
        <v>-83.9794000867204</v>
      </c>
      <c r="AJ163" s="5" t="str">
        <f t="shared" si="55"/>
        <v/>
      </c>
      <c r="AK163" s="5" t="str">
        <f>IF(NOT(器件参数!B163),"旁路",IF(NOT(ISNUMBER(AC163)),"频率未知",IF(AC163&lt;=SignalBW/2,"跨零频",IF(AND(ISNUMBER(器件参数!R163),ISNUMBER(器件参数!S163)),IF(AND(AB163-SignalBW/2&gt;=器件参数!R163,AB163+SignalBW/2&lt;=器件参数!S163),"有效","超声明通带"),"未声明通带"))))</f>
        <v>旁路</v>
      </c>
      <c r="AL163" s="5">
        <f t="shared" si="56"/>
        <v>0</v>
      </c>
      <c r="AM163" s="5" t="str">
        <f>IF(AND(器件参数!B163,ISNUMBER(器件参数!X163),OR(AND(ISNUMBER(J163),J163&gt;器件参数!X163),IF(AND(ToneEnabled,ISNUMBER(TonePin),ISNUMBER(D163)),TonePin+10*LOG10(2)+D163&gt;器件参数!X163,FALSE))),"超过绝对最大输入额定值","")</f>
        <v/>
      </c>
      <c r="AN163" s="5">
        <f>IF(NOT(ISNUMBER(AN162)),"",IF(OR(NOT(器件参数!B163),器件参数!E163&lt;&gt;"mixer"),AN162,IF(AND(ISNUMBER(器件参数!T163),器件参数!T163&gt;0),IF(器件参数!U163="sum",AN162+器件参数!T163,ABS(AN162-器件参数!T163)),"")))</f>
        <v>99950000</v>
      </c>
      <c r="AO163" s="5">
        <f>IF(NOT(ISNUMBER(AO162)),"",IF(OR(NOT(器件参数!B163),器件参数!E163&lt;&gt;"mixer"),AO162,IF(AND(ISNUMBER(器件参数!T163),器件参数!T163&gt;0),IF(器件参数!U163="sum",AO162+器件参数!T163,ABS(AO162-器件参数!T163)),"")))</f>
        <v>100050000</v>
      </c>
      <c r="AP163" s="5">
        <f>IF(NOT(ISNUMBER(AP162)),"",IF(OR(NOT(器件参数!B163),器件参数!E163&lt;&gt;"mixer"),AP162,IF(AND(ISNUMBER(器件参数!T163),器件参数!T163&gt;0),IF(器件参数!U163="sum",AP162+器件参数!T163,ABS(AP162-器件参数!T163)),"")))</f>
        <v>99850000</v>
      </c>
      <c r="AQ163" s="5">
        <f>IF(NOT(ISNUMBER(AQ162)),"",IF(OR(NOT(器件参数!B163),器件参数!E163&lt;&gt;"mixer"),AQ162,IF(AND(ISNUMBER(器件参数!T163),器件参数!T163&gt;0),IF(器件参数!U163="sum",AQ162+器件参数!T163,ABS(AQ162-器件参数!T163)),"")))</f>
        <v>100150000</v>
      </c>
      <c r="AR163" s="5" t="b">
        <f>IF(NOT(AR162),FALSE,IF(NOT(器件参数!B163),TRUE,AND(COUNT(AN163:AQ163)=4,MIN(AN163:AQ163)&gt;0,IF(AND(ISNUMBER(器件参数!R163),ISNUMBER(器件参数!S163)),AND(MIN(AN162:AQ162)&gt;=器件参数!R163,MAX(AN162:AQ162)&lt;=器件参数!S163),TRUE),IF(AND(器件参数!E163="mixer",器件参数!U163="difference"),OR(器件参数!T163&lt;MIN(AN162:AQ162),器件参数!T163&gt;MAX(AN162:AQ162)),TRUE))))</f>
        <v>1</v>
      </c>
    </row>
    <row r="164" hidden="1" spans="1:44">
      <c r="A164" s="5">
        <f>器件参数!A164</f>
        <v>161</v>
      </c>
      <c r="B164" s="5" t="str">
        <f>器件参数!D164</f>
        <v/>
      </c>
      <c r="C164" s="5">
        <f>IF(NOT(器件参数!B164),0,IF(AND(ISNUMBER(器件参数!F164),ABS(器件参数!F164)&lt;=300),器件参数!F164,""))</f>
        <v>0</v>
      </c>
      <c r="D164" s="5">
        <f t="shared" si="38"/>
        <v>20</v>
      </c>
      <c r="E164" s="5">
        <f t="shared" si="39"/>
        <v>20</v>
      </c>
      <c r="F164" s="5">
        <f t="shared" si="40"/>
        <v>100</v>
      </c>
      <c r="G164" s="5">
        <f>IFERROR(IF(NOT(器件参数!B164),1,IF(NOT(OR(器件参数!E164&lt;&gt;"mixer",AND(OR(器件参数!V164="SSB",器件参数!V164="DSB"),器件参数!W164=TRUE))),"",IF(器件参数!G164="ideal",1,IF(AND(器件参数!G164="manual",ISNUMBER(器件参数!H164),器件参数!H164&gt;=0),10^(器件参数!H164/10),IF(AND(器件参数!G164="passive_thermal",OR(器件参数!E164="filter_bpf",器件参数!E164="filter_lpf",器件参数!E164="filter_hpf",器件参数!E164="filter_bsf",器件参数!E164="attenuator",器件参数!E164="cable",器件参数!E164="connector",器件参数!E164="switch",器件参数!E164="isolator",器件参数!E164="coupler",器件参数!E164="splitter"),AND(ISNUMBER(器件参数!F164),ABS(器件参数!F164)&lt;=300),器件参数!F164&lt;=0,ISNUMBER(器件参数!I164),器件参数!I164&gt;0),1+(10^(-器件参数!F164/10)-1)*器件参数!I164/Tref_K,""))))),"数值域错误")</f>
        <v>1</v>
      </c>
      <c r="H164" s="5">
        <f t="shared" si="41"/>
        <v>2.29336948552238</v>
      </c>
      <c r="I164" s="5">
        <f t="shared" si="42"/>
        <v>3.604740296957</v>
      </c>
      <c r="J164" s="5">
        <f>IF(AND(ISNUMBER(Pin_dBm),ISNUMBER(D164)),Pin_dBm+D164,"")</f>
        <v>-10</v>
      </c>
      <c r="K164" s="5">
        <f>IF(AND(ISNUMBER(Pin_dBm),ISNUMBER(E164)),Pin_dBm+E164,"")</f>
        <v>-10</v>
      </c>
      <c r="L164" s="5" t="str">
        <f>IF(AND(器件参数!J164="finite",ISNUMBER(器件参数!L164),ISNUMBER(C164)),IF(器件参数!K164="input",器件参数!L164,IF(器件参数!K164="output",器件参数!L164-C164,"")),"")</f>
        <v/>
      </c>
      <c r="M164" s="5">
        <f>IFERROR(IF(NOT(ISNUMBER(M163)),"",IF(OR(NOT(器件参数!B164),器件参数!J164="ideal"),M163,IF(AND(ISNUMBER(L164),ISNUMBER(F164)),M163+F164/10^(L164/10),""))),"数值域错误")</f>
        <v>0.2</v>
      </c>
      <c r="N164" s="5">
        <f t="shared" si="43"/>
        <v>6.98970004336019</v>
      </c>
      <c r="O164" s="5">
        <f t="shared" si="44"/>
        <v>26.9897000433602</v>
      </c>
      <c r="P164" s="5" t="str">
        <f>IF(AND(器件参数!M164="finite",ISNUMBER(器件参数!O164),ISNUMBER(C164)),IF(器件参数!N164="input",器件参数!O164,IF(器件参数!N164="actual_output",器件参数!O164-C164+1,IF(器件参数!N164="linear_output",器件参数!O164-C164,""))),"")</f>
        <v/>
      </c>
      <c r="Q164" s="5">
        <f>IF(器件参数!P164="",IF(AND(ISNUMBER(DefaultP),DefaultP&gt;=1,DefaultP&lt;=10),DefaultP,""),IF(AND(ISNUMBER(器件参数!P164),器件参数!P164&gt;=1,器件参数!P164&lt;=10),器件参数!P164,""))</f>
        <v>2</v>
      </c>
      <c r="R164" s="5">
        <f t="shared" si="45"/>
        <v>-10.0000139708288</v>
      </c>
      <c r="S164" s="5" t="str">
        <f t="shared" si="46"/>
        <v/>
      </c>
      <c r="T164" s="5">
        <f t="shared" si="47"/>
        <v>0</v>
      </c>
      <c r="U164" s="5">
        <f t="shared" si="48"/>
        <v>-10.0000139708288</v>
      </c>
      <c r="V164" s="5">
        <f>IF(AND(ISNUMBER(Pin_dBm),ISNUMBER(E164),ISNUMBER(U164)),Pin_dBm+E164-U164,"")</f>
        <v>1.39708287854035e-5</v>
      </c>
      <c r="W164" s="5" t="str">
        <f>IF(AND(器件参数!B164,X164=1,ISNUMBER(D164)),P164-D164,"")</f>
        <v/>
      </c>
      <c r="X164" s="5">
        <f>IF(NOT(ISNUMBER(C164)),-1,IF(OR(NOT(器件参数!B164),器件参数!M164="ideal"),0,IF(AND(ISNUMBER(P164),ISNUMBER(Q164)),1,-1)))</f>
        <v>0</v>
      </c>
      <c r="Y164" s="5" t="str">
        <f t="shared" si="49"/>
        <v>有效</v>
      </c>
      <c r="Z164" s="5" t="str">
        <f t="shared" si="50"/>
        <v>有效</v>
      </c>
      <c r="AA164" s="5" t="str">
        <f t="shared" si="51"/>
        <v>模型估算</v>
      </c>
      <c r="AB164" s="5">
        <f t="shared" si="52"/>
        <v>100000000</v>
      </c>
      <c r="AC164" s="5">
        <f>IF(NOT(ISNUMBER(AB164)),"",IF(OR(NOT(器件参数!B164),器件参数!E164&lt;&gt;"mixer"),AB164,IF(AND(ISNUMBER(器件参数!T164),器件参数!T164&gt;0),IF(器件参数!U164="sum",AB164+器件参数!T164,IF(器件参数!U164="difference",ABS(AB164-器件参数!T164),"")),"")))</f>
        <v>100000000</v>
      </c>
      <c r="AD164" s="5">
        <f t="shared" si="53"/>
        <v>0</v>
      </c>
      <c r="AE164" s="5">
        <f>IF(AND(ISNUMBER(G164),ISNUMBER(F164)),Tref_K*(G164-1)/F164,"")</f>
        <v>0</v>
      </c>
      <c r="AF164" s="5">
        <f>IF(AND(ISNUMBER(H164),ISNUMBER(E164),NoiseConfigOK),10*LOG10(Boltzmann*Bnoise_Hz*(Tsource_K+Tref_K*(H164-1)))+30+E164,"")</f>
        <v>-90.3704468972711</v>
      </c>
      <c r="AG164" s="5">
        <f t="shared" si="54"/>
        <v>80.3704468972711</v>
      </c>
      <c r="AH164" s="5">
        <f>IF(AND(ToneEnabled,ISNUMBER(E164),ISNUMBER(TonePin)),TonePin+E164,"")</f>
        <v>-10</v>
      </c>
      <c r="AI164" s="5">
        <f>IF(AND(ToneEnabled,ISNUMBER(E164),ISNUMBER(N164),ISNUMBER(TonePin)),3*TonePin+E164-2*N164,"")</f>
        <v>-83.9794000867204</v>
      </c>
      <c r="AJ164" s="5" t="str">
        <f t="shared" si="55"/>
        <v/>
      </c>
      <c r="AK164" s="5" t="str">
        <f>IF(NOT(器件参数!B164),"旁路",IF(NOT(ISNUMBER(AC164)),"频率未知",IF(AC164&lt;=SignalBW/2,"跨零频",IF(AND(ISNUMBER(器件参数!R164),ISNUMBER(器件参数!S164)),IF(AND(AB164-SignalBW/2&gt;=器件参数!R164,AB164+SignalBW/2&lt;=器件参数!S164),"有效","超声明通带"),"未声明通带"))))</f>
        <v>旁路</v>
      </c>
      <c r="AL164" s="5">
        <f t="shared" si="56"/>
        <v>0</v>
      </c>
      <c r="AM164" s="5" t="str">
        <f>IF(AND(器件参数!B164,ISNUMBER(器件参数!X164),OR(AND(ISNUMBER(J164),J164&gt;器件参数!X164),IF(AND(ToneEnabled,ISNUMBER(TonePin),ISNUMBER(D164)),TonePin+10*LOG10(2)+D164&gt;器件参数!X164,FALSE))),"超过绝对最大输入额定值","")</f>
        <v/>
      </c>
      <c r="AN164" s="5">
        <f>IF(NOT(ISNUMBER(AN163)),"",IF(OR(NOT(器件参数!B164),器件参数!E164&lt;&gt;"mixer"),AN163,IF(AND(ISNUMBER(器件参数!T164),器件参数!T164&gt;0),IF(器件参数!U164="sum",AN163+器件参数!T164,ABS(AN163-器件参数!T164)),"")))</f>
        <v>99950000</v>
      </c>
      <c r="AO164" s="5">
        <f>IF(NOT(ISNUMBER(AO163)),"",IF(OR(NOT(器件参数!B164),器件参数!E164&lt;&gt;"mixer"),AO163,IF(AND(ISNUMBER(器件参数!T164),器件参数!T164&gt;0),IF(器件参数!U164="sum",AO163+器件参数!T164,ABS(AO163-器件参数!T164)),"")))</f>
        <v>100050000</v>
      </c>
      <c r="AP164" s="5">
        <f>IF(NOT(ISNUMBER(AP163)),"",IF(OR(NOT(器件参数!B164),器件参数!E164&lt;&gt;"mixer"),AP163,IF(AND(ISNUMBER(器件参数!T164),器件参数!T164&gt;0),IF(器件参数!U164="sum",AP163+器件参数!T164,ABS(AP163-器件参数!T164)),"")))</f>
        <v>99850000</v>
      </c>
      <c r="AQ164" s="5">
        <f>IF(NOT(ISNUMBER(AQ163)),"",IF(OR(NOT(器件参数!B164),器件参数!E164&lt;&gt;"mixer"),AQ163,IF(AND(ISNUMBER(器件参数!T164),器件参数!T164&gt;0),IF(器件参数!U164="sum",AQ163+器件参数!T164,ABS(AQ163-器件参数!T164)),"")))</f>
        <v>100150000</v>
      </c>
      <c r="AR164" s="5" t="b">
        <f>IF(NOT(AR163),FALSE,IF(NOT(器件参数!B164),TRUE,AND(COUNT(AN164:AQ164)=4,MIN(AN164:AQ164)&gt;0,IF(AND(ISNUMBER(器件参数!R164),ISNUMBER(器件参数!S164)),AND(MIN(AN163:AQ163)&gt;=器件参数!R164,MAX(AN163:AQ163)&lt;=器件参数!S164),TRUE),IF(AND(器件参数!E164="mixer",器件参数!U164="difference"),OR(器件参数!T164&lt;MIN(AN163:AQ163),器件参数!T164&gt;MAX(AN163:AQ163)),TRUE))))</f>
        <v>1</v>
      </c>
    </row>
    <row r="165" hidden="1" spans="1:44">
      <c r="A165" s="5">
        <f>器件参数!A165</f>
        <v>162</v>
      </c>
      <c r="B165" s="5" t="str">
        <f>器件参数!D165</f>
        <v/>
      </c>
      <c r="C165" s="5">
        <f>IF(NOT(器件参数!B165),0,IF(AND(ISNUMBER(器件参数!F165),ABS(器件参数!F165)&lt;=300),器件参数!F165,""))</f>
        <v>0</v>
      </c>
      <c r="D165" s="5">
        <f t="shared" si="38"/>
        <v>20</v>
      </c>
      <c r="E165" s="5">
        <f t="shared" si="39"/>
        <v>20</v>
      </c>
      <c r="F165" s="5">
        <f t="shared" si="40"/>
        <v>100</v>
      </c>
      <c r="G165" s="5">
        <f>IFERROR(IF(NOT(器件参数!B165),1,IF(NOT(OR(器件参数!E165&lt;&gt;"mixer",AND(OR(器件参数!V165="SSB",器件参数!V165="DSB"),器件参数!W165=TRUE))),"",IF(器件参数!G165="ideal",1,IF(AND(器件参数!G165="manual",ISNUMBER(器件参数!H165),器件参数!H165&gt;=0),10^(器件参数!H165/10),IF(AND(器件参数!G165="passive_thermal",OR(器件参数!E165="filter_bpf",器件参数!E165="filter_lpf",器件参数!E165="filter_hpf",器件参数!E165="filter_bsf",器件参数!E165="attenuator",器件参数!E165="cable",器件参数!E165="connector",器件参数!E165="switch",器件参数!E165="isolator",器件参数!E165="coupler",器件参数!E165="splitter"),AND(ISNUMBER(器件参数!F165),ABS(器件参数!F165)&lt;=300),器件参数!F165&lt;=0,ISNUMBER(器件参数!I165),器件参数!I165&gt;0),1+(10^(-器件参数!F165/10)-1)*器件参数!I165/Tref_K,""))))),"数值域错误")</f>
        <v>1</v>
      </c>
      <c r="H165" s="5">
        <f t="shared" si="41"/>
        <v>2.29336948552238</v>
      </c>
      <c r="I165" s="5">
        <f t="shared" si="42"/>
        <v>3.604740296957</v>
      </c>
      <c r="J165" s="5">
        <f>IF(AND(ISNUMBER(Pin_dBm),ISNUMBER(D165)),Pin_dBm+D165,"")</f>
        <v>-10</v>
      </c>
      <c r="K165" s="5">
        <f>IF(AND(ISNUMBER(Pin_dBm),ISNUMBER(E165)),Pin_dBm+E165,"")</f>
        <v>-10</v>
      </c>
      <c r="L165" s="5" t="str">
        <f>IF(AND(器件参数!J165="finite",ISNUMBER(器件参数!L165),ISNUMBER(C165)),IF(器件参数!K165="input",器件参数!L165,IF(器件参数!K165="output",器件参数!L165-C165,"")),"")</f>
        <v/>
      </c>
      <c r="M165" s="5">
        <f>IFERROR(IF(NOT(ISNUMBER(M164)),"",IF(OR(NOT(器件参数!B165),器件参数!J165="ideal"),M164,IF(AND(ISNUMBER(L165),ISNUMBER(F165)),M164+F165/10^(L165/10),""))),"数值域错误")</f>
        <v>0.2</v>
      </c>
      <c r="N165" s="5">
        <f t="shared" si="43"/>
        <v>6.98970004336019</v>
      </c>
      <c r="O165" s="5">
        <f t="shared" si="44"/>
        <v>26.9897000433602</v>
      </c>
      <c r="P165" s="5" t="str">
        <f>IF(AND(器件参数!M165="finite",ISNUMBER(器件参数!O165),ISNUMBER(C165)),IF(器件参数!N165="input",器件参数!O165,IF(器件参数!N165="actual_output",器件参数!O165-C165+1,IF(器件参数!N165="linear_output",器件参数!O165-C165,""))),"")</f>
        <v/>
      </c>
      <c r="Q165" s="5">
        <f>IF(器件参数!P165="",IF(AND(ISNUMBER(DefaultP),DefaultP&gt;=1,DefaultP&lt;=10),DefaultP,""),IF(AND(ISNUMBER(器件参数!P165),器件参数!P165&gt;=1,器件参数!P165&lt;=10),器件参数!P165,""))</f>
        <v>2</v>
      </c>
      <c r="R165" s="5">
        <f t="shared" si="45"/>
        <v>-10.0000139708288</v>
      </c>
      <c r="S165" s="5" t="str">
        <f t="shared" si="46"/>
        <v/>
      </c>
      <c r="T165" s="5">
        <f t="shared" si="47"/>
        <v>0</v>
      </c>
      <c r="U165" s="5">
        <f t="shared" si="48"/>
        <v>-10.0000139708288</v>
      </c>
      <c r="V165" s="5">
        <f>IF(AND(ISNUMBER(Pin_dBm),ISNUMBER(E165),ISNUMBER(U165)),Pin_dBm+E165-U165,"")</f>
        <v>1.39708287854035e-5</v>
      </c>
      <c r="W165" s="5" t="str">
        <f>IF(AND(器件参数!B165,X165=1,ISNUMBER(D165)),P165-D165,"")</f>
        <v/>
      </c>
      <c r="X165" s="5">
        <f>IF(NOT(ISNUMBER(C165)),-1,IF(OR(NOT(器件参数!B165),器件参数!M165="ideal"),0,IF(AND(ISNUMBER(P165),ISNUMBER(Q165)),1,-1)))</f>
        <v>0</v>
      </c>
      <c r="Y165" s="5" t="str">
        <f t="shared" si="49"/>
        <v>有效</v>
      </c>
      <c r="Z165" s="5" t="str">
        <f t="shared" si="50"/>
        <v>有效</v>
      </c>
      <c r="AA165" s="5" t="str">
        <f t="shared" si="51"/>
        <v>模型估算</v>
      </c>
      <c r="AB165" s="5">
        <f t="shared" si="52"/>
        <v>100000000</v>
      </c>
      <c r="AC165" s="5">
        <f>IF(NOT(ISNUMBER(AB165)),"",IF(OR(NOT(器件参数!B165),器件参数!E165&lt;&gt;"mixer"),AB165,IF(AND(ISNUMBER(器件参数!T165),器件参数!T165&gt;0),IF(器件参数!U165="sum",AB165+器件参数!T165,IF(器件参数!U165="difference",ABS(AB165-器件参数!T165),"")),"")))</f>
        <v>100000000</v>
      </c>
      <c r="AD165" s="5">
        <f t="shared" si="53"/>
        <v>0</v>
      </c>
      <c r="AE165" s="5">
        <f>IF(AND(ISNUMBER(G165),ISNUMBER(F165)),Tref_K*(G165-1)/F165,"")</f>
        <v>0</v>
      </c>
      <c r="AF165" s="5">
        <f>IF(AND(ISNUMBER(H165),ISNUMBER(E165),NoiseConfigOK),10*LOG10(Boltzmann*Bnoise_Hz*(Tsource_K+Tref_K*(H165-1)))+30+E165,"")</f>
        <v>-90.3704468972711</v>
      </c>
      <c r="AG165" s="5">
        <f t="shared" si="54"/>
        <v>80.3704468972711</v>
      </c>
      <c r="AH165" s="5">
        <f>IF(AND(ToneEnabled,ISNUMBER(E165),ISNUMBER(TonePin)),TonePin+E165,"")</f>
        <v>-10</v>
      </c>
      <c r="AI165" s="5">
        <f>IF(AND(ToneEnabled,ISNUMBER(E165),ISNUMBER(N165),ISNUMBER(TonePin)),3*TonePin+E165-2*N165,"")</f>
        <v>-83.9794000867204</v>
      </c>
      <c r="AJ165" s="5" t="str">
        <f t="shared" si="55"/>
        <v/>
      </c>
      <c r="AK165" s="5" t="str">
        <f>IF(NOT(器件参数!B165),"旁路",IF(NOT(ISNUMBER(AC165)),"频率未知",IF(AC165&lt;=SignalBW/2,"跨零频",IF(AND(ISNUMBER(器件参数!R165),ISNUMBER(器件参数!S165)),IF(AND(AB165-SignalBW/2&gt;=器件参数!R165,AB165+SignalBW/2&lt;=器件参数!S165),"有效","超声明通带"),"未声明通带"))))</f>
        <v>旁路</v>
      </c>
      <c r="AL165" s="5">
        <f t="shared" si="56"/>
        <v>0</v>
      </c>
      <c r="AM165" s="5" t="str">
        <f>IF(AND(器件参数!B165,ISNUMBER(器件参数!X165),OR(AND(ISNUMBER(J165),J165&gt;器件参数!X165),IF(AND(ToneEnabled,ISNUMBER(TonePin),ISNUMBER(D165)),TonePin+10*LOG10(2)+D165&gt;器件参数!X165,FALSE))),"超过绝对最大输入额定值","")</f>
        <v/>
      </c>
      <c r="AN165" s="5">
        <f>IF(NOT(ISNUMBER(AN164)),"",IF(OR(NOT(器件参数!B165),器件参数!E165&lt;&gt;"mixer"),AN164,IF(AND(ISNUMBER(器件参数!T165),器件参数!T165&gt;0),IF(器件参数!U165="sum",AN164+器件参数!T165,ABS(AN164-器件参数!T165)),"")))</f>
        <v>99950000</v>
      </c>
      <c r="AO165" s="5">
        <f>IF(NOT(ISNUMBER(AO164)),"",IF(OR(NOT(器件参数!B165),器件参数!E165&lt;&gt;"mixer"),AO164,IF(AND(ISNUMBER(器件参数!T165),器件参数!T165&gt;0),IF(器件参数!U165="sum",AO164+器件参数!T165,ABS(AO164-器件参数!T165)),"")))</f>
        <v>100050000</v>
      </c>
      <c r="AP165" s="5">
        <f>IF(NOT(ISNUMBER(AP164)),"",IF(OR(NOT(器件参数!B165),器件参数!E165&lt;&gt;"mixer"),AP164,IF(AND(ISNUMBER(器件参数!T165),器件参数!T165&gt;0),IF(器件参数!U165="sum",AP164+器件参数!T165,ABS(AP164-器件参数!T165)),"")))</f>
        <v>99850000</v>
      </c>
      <c r="AQ165" s="5">
        <f>IF(NOT(ISNUMBER(AQ164)),"",IF(OR(NOT(器件参数!B165),器件参数!E165&lt;&gt;"mixer"),AQ164,IF(AND(ISNUMBER(器件参数!T165),器件参数!T165&gt;0),IF(器件参数!U165="sum",AQ164+器件参数!T165,ABS(AQ164-器件参数!T165)),"")))</f>
        <v>100150000</v>
      </c>
      <c r="AR165" s="5" t="b">
        <f>IF(NOT(AR164),FALSE,IF(NOT(器件参数!B165),TRUE,AND(COUNT(AN165:AQ165)=4,MIN(AN165:AQ165)&gt;0,IF(AND(ISNUMBER(器件参数!R165),ISNUMBER(器件参数!S165)),AND(MIN(AN164:AQ164)&gt;=器件参数!R165,MAX(AN164:AQ164)&lt;=器件参数!S165),TRUE),IF(AND(器件参数!E165="mixer",器件参数!U165="difference"),OR(器件参数!T165&lt;MIN(AN164:AQ164),器件参数!T165&gt;MAX(AN164:AQ164)),TRUE))))</f>
        <v>1</v>
      </c>
    </row>
    <row r="166" hidden="1" spans="1:44">
      <c r="A166" s="5">
        <f>器件参数!A166</f>
        <v>163</v>
      </c>
      <c r="B166" s="5" t="str">
        <f>器件参数!D166</f>
        <v/>
      </c>
      <c r="C166" s="5">
        <f>IF(NOT(器件参数!B166),0,IF(AND(ISNUMBER(器件参数!F166),ABS(器件参数!F166)&lt;=300),器件参数!F166,""))</f>
        <v>0</v>
      </c>
      <c r="D166" s="5">
        <f t="shared" si="38"/>
        <v>20</v>
      </c>
      <c r="E166" s="5">
        <f t="shared" si="39"/>
        <v>20</v>
      </c>
      <c r="F166" s="5">
        <f t="shared" si="40"/>
        <v>100</v>
      </c>
      <c r="G166" s="5">
        <f>IFERROR(IF(NOT(器件参数!B166),1,IF(NOT(OR(器件参数!E166&lt;&gt;"mixer",AND(OR(器件参数!V166="SSB",器件参数!V166="DSB"),器件参数!W166=TRUE))),"",IF(器件参数!G166="ideal",1,IF(AND(器件参数!G166="manual",ISNUMBER(器件参数!H166),器件参数!H166&gt;=0),10^(器件参数!H166/10),IF(AND(器件参数!G166="passive_thermal",OR(器件参数!E166="filter_bpf",器件参数!E166="filter_lpf",器件参数!E166="filter_hpf",器件参数!E166="filter_bsf",器件参数!E166="attenuator",器件参数!E166="cable",器件参数!E166="connector",器件参数!E166="switch",器件参数!E166="isolator",器件参数!E166="coupler",器件参数!E166="splitter"),AND(ISNUMBER(器件参数!F166),ABS(器件参数!F166)&lt;=300),器件参数!F166&lt;=0,ISNUMBER(器件参数!I166),器件参数!I166&gt;0),1+(10^(-器件参数!F166/10)-1)*器件参数!I166/Tref_K,""))))),"数值域错误")</f>
        <v>1</v>
      </c>
      <c r="H166" s="5">
        <f t="shared" si="41"/>
        <v>2.29336948552238</v>
      </c>
      <c r="I166" s="5">
        <f t="shared" si="42"/>
        <v>3.604740296957</v>
      </c>
      <c r="J166" s="5">
        <f>IF(AND(ISNUMBER(Pin_dBm),ISNUMBER(D166)),Pin_dBm+D166,"")</f>
        <v>-10</v>
      </c>
      <c r="K166" s="5">
        <f>IF(AND(ISNUMBER(Pin_dBm),ISNUMBER(E166)),Pin_dBm+E166,"")</f>
        <v>-10</v>
      </c>
      <c r="L166" s="5" t="str">
        <f>IF(AND(器件参数!J166="finite",ISNUMBER(器件参数!L166),ISNUMBER(C166)),IF(器件参数!K166="input",器件参数!L166,IF(器件参数!K166="output",器件参数!L166-C166,"")),"")</f>
        <v/>
      </c>
      <c r="M166" s="5">
        <f>IFERROR(IF(NOT(ISNUMBER(M165)),"",IF(OR(NOT(器件参数!B166),器件参数!J166="ideal"),M165,IF(AND(ISNUMBER(L166),ISNUMBER(F166)),M165+F166/10^(L166/10),""))),"数值域错误")</f>
        <v>0.2</v>
      </c>
      <c r="N166" s="5">
        <f t="shared" si="43"/>
        <v>6.98970004336019</v>
      </c>
      <c r="O166" s="5">
        <f t="shared" si="44"/>
        <v>26.9897000433602</v>
      </c>
      <c r="P166" s="5" t="str">
        <f>IF(AND(器件参数!M166="finite",ISNUMBER(器件参数!O166),ISNUMBER(C166)),IF(器件参数!N166="input",器件参数!O166,IF(器件参数!N166="actual_output",器件参数!O166-C166+1,IF(器件参数!N166="linear_output",器件参数!O166-C166,""))),"")</f>
        <v/>
      </c>
      <c r="Q166" s="5">
        <f>IF(器件参数!P166="",IF(AND(ISNUMBER(DefaultP),DefaultP&gt;=1,DefaultP&lt;=10),DefaultP,""),IF(AND(ISNUMBER(器件参数!P166),器件参数!P166&gt;=1,器件参数!P166&lt;=10),器件参数!P166,""))</f>
        <v>2</v>
      </c>
      <c r="R166" s="5">
        <f t="shared" si="45"/>
        <v>-10.0000139708288</v>
      </c>
      <c r="S166" s="5" t="str">
        <f t="shared" si="46"/>
        <v/>
      </c>
      <c r="T166" s="5">
        <f t="shared" si="47"/>
        <v>0</v>
      </c>
      <c r="U166" s="5">
        <f t="shared" si="48"/>
        <v>-10.0000139708288</v>
      </c>
      <c r="V166" s="5">
        <f>IF(AND(ISNUMBER(Pin_dBm),ISNUMBER(E166),ISNUMBER(U166)),Pin_dBm+E166-U166,"")</f>
        <v>1.39708287854035e-5</v>
      </c>
      <c r="W166" s="5" t="str">
        <f>IF(AND(器件参数!B166,X166=1,ISNUMBER(D166)),P166-D166,"")</f>
        <v/>
      </c>
      <c r="X166" s="5">
        <f>IF(NOT(ISNUMBER(C166)),-1,IF(OR(NOT(器件参数!B166),器件参数!M166="ideal"),0,IF(AND(ISNUMBER(P166),ISNUMBER(Q166)),1,-1)))</f>
        <v>0</v>
      </c>
      <c r="Y166" s="5" t="str">
        <f t="shared" si="49"/>
        <v>有效</v>
      </c>
      <c r="Z166" s="5" t="str">
        <f t="shared" si="50"/>
        <v>有效</v>
      </c>
      <c r="AA166" s="5" t="str">
        <f t="shared" si="51"/>
        <v>模型估算</v>
      </c>
      <c r="AB166" s="5">
        <f t="shared" si="52"/>
        <v>100000000</v>
      </c>
      <c r="AC166" s="5">
        <f>IF(NOT(ISNUMBER(AB166)),"",IF(OR(NOT(器件参数!B166),器件参数!E166&lt;&gt;"mixer"),AB166,IF(AND(ISNUMBER(器件参数!T166),器件参数!T166&gt;0),IF(器件参数!U166="sum",AB166+器件参数!T166,IF(器件参数!U166="difference",ABS(AB166-器件参数!T166),"")),"")))</f>
        <v>100000000</v>
      </c>
      <c r="AD166" s="5">
        <f t="shared" si="53"/>
        <v>0</v>
      </c>
      <c r="AE166" s="5">
        <f>IF(AND(ISNUMBER(G166),ISNUMBER(F166)),Tref_K*(G166-1)/F166,"")</f>
        <v>0</v>
      </c>
      <c r="AF166" s="5">
        <f>IF(AND(ISNUMBER(H166),ISNUMBER(E166),NoiseConfigOK),10*LOG10(Boltzmann*Bnoise_Hz*(Tsource_K+Tref_K*(H166-1)))+30+E166,"")</f>
        <v>-90.3704468972711</v>
      </c>
      <c r="AG166" s="5">
        <f t="shared" si="54"/>
        <v>80.3704468972711</v>
      </c>
      <c r="AH166" s="5">
        <f>IF(AND(ToneEnabled,ISNUMBER(E166),ISNUMBER(TonePin)),TonePin+E166,"")</f>
        <v>-10</v>
      </c>
      <c r="AI166" s="5">
        <f>IF(AND(ToneEnabled,ISNUMBER(E166),ISNUMBER(N166),ISNUMBER(TonePin)),3*TonePin+E166-2*N166,"")</f>
        <v>-83.9794000867204</v>
      </c>
      <c r="AJ166" s="5" t="str">
        <f t="shared" si="55"/>
        <v/>
      </c>
      <c r="AK166" s="5" t="str">
        <f>IF(NOT(器件参数!B166),"旁路",IF(NOT(ISNUMBER(AC166)),"频率未知",IF(AC166&lt;=SignalBW/2,"跨零频",IF(AND(ISNUMBER(器件参数!R166),ISNUMBER(器件参数!S166)),IF(AND(AB166-SignalBW/2&gt;=器件参数!R166,AB166+SignalBW/2&lt;=器件参数!S166),"有效","超声明通带"),"未声明通带"))))</f>
        <v>旁路</v>
      </c>
      <c r="AL166" s="5">
        <f t="shared" si="56"/>
        <v>0</v>
      </c>
      <c r="AM166" s="5" t="str">
        <f>IF(AND(器件参数!B166,ISNUMBER(器件参数!X166),OR(AND(ISNUMBER(J166),J166&gt;器件参数!X166),IF(AND(ToneEnabled,ISNUMBER(TonePin),ISNUMBER(D166)),TonePin+10*LOG10(2)+D166&gt;器件参数!X166,FALSE))),"超过绝对最大输入额定值","")</f>
        <v/>
      </c>
      <c r="AN166" s="5">
        <f>IF(NOT(ISNUMBER(AN165)),"",IF(OR(NOT(器件参数!B166),器件参数!E166&lt;&gt;"mixer"),AN165,IF(AND(ISNUMBER(器件参数!T166),器件参数!T166&gt;0),IF(器件参数!U166="sum",AN165+器件参数!T166,ABS(AN165-器件参数!T166)),"")))</f>
        <v>99950000</v>
      </c>
      <c r="AO166" s="5">
        <f>IF(NOT(ISNUMBER(AO165)),"",IF(OR(NOT(器件参数!B166),器件参数!E166&lt;&gt;"mixer"),AO165,IF(AND(ISNUMBER(器件参数!T166),器件参数!T166&gt;0),IF(器件参数!U166="sum",AO165+器件参数!T166,ABS(AO165-器件参数!T166)),"")))</f>
        <v>100050000</v>
      </c>
      <c r="AP166" s="5">
        <f>IF(NOT(ISNUMBER(AP165)),"",IF(OR(NOT(器件参数!B166),器件参数!E166&lt;&gt;"mixer"),AP165,IF(AND(ISNUMBER(器件参数!T166),器件参数!T166&gt;0),IF(器件参数!U166="sum",AP165+器件参数!T166,ABS(AP165-器件参数!T166)),"")))</f>
        <v>99850000</v>
      </c>
      <c r="AQ166" s="5">
        <f>IF(NOT(ISNUMBER(AQ165)),"",IF(OR(NOT(器件参数!B166),器件参数!E166&lt;&gt;"mixer"),AQ165,IF(AND(ISNUMBER(器件参数!T166),器件参数!T166&gt;0),IF(器件参数!U166="sum",AQ165+器件参数!T166,ABS(AQ165-器件参数!T166)),"")))</f>
        <v>100150000</v>
      </c>
      <c r="AR166" s="5" t="b">
        <f>IF(NOT(AR165),FALSE,IF(NOT(器件参数!B166),TRUE,AND(COUNT(AN166:AQ166)=4,MIN(AN166:AQ166)&gt;0,IF(AND(ISNUMBER(器件参数!R166),ISNUMBER(器件参数!S166)),AND(MIN(AN165:AQ165)&gt;=器件参数!R166,MAX(AN165:AQ165)&lt;=器件参数!S166),TRUE),IF(AND(器件参数!E166="mixer",器件参数!U166="difference"),OR(器件参数!T166&lt;MIN(AN165:AQ165),器件参数!T166&gt;MAX(AN165:AQ165)),TRUE))))</f>
        <v>1</v>
      </c>
    </row>
    <row r="167" hidden="1" spans="1:44">
      <c r="A167" s="5">
        <f>器件参数!A167</f>
        <v>164</v>
      </c>
      <c r="B167" s="5" t="str">
        <f>器件参数!D167</f>
        <v/>
      </c>
      <c r="C167" s="5">
        <f>IF(NOT(器件参数!B167),0,IF(AND(ISNUMBER(器件参数!F167),ABS(器件参数!F167)&lt;=300),器件参数!F167,""))</f>
        <v>0</v>
      </c>
      <c r="D167" s="5">
        <f t="shared" si="38"/>
        <v>20</v>
      </c>
      <c r="E167" s="5">
        <f t="shared" si="39"/>
        <v>20</v>
      </c>
      <c r="F167" s="5">
        <f t="shared" si="40"/>
        <v>100</v>
      </c>
      <c r="G167" s="5">
        <f>IFERROR(IF(NOT(器件参数!B167),1,IF(NOT(OR(器件参数!E167&lt;&gt;"mixer",AND(OR(器件参数!V167="SSB",器件参数!V167="DSB"),器件参数!W167=TRUE))),"",IF(器件参数!G167="ideal",1,IF(AND(器件参数!G167="manual",ISNUMBER(器件参数!H167),器件参数!H167&gt;=0),10^(器件参数!H167/10),IF(AND(器件参数!G167="passive_thermal",OR(器件参数!E167="filter_bpf",器件参数!E167="filter_lpf",器件参数!E167="filter_hpf",器件参数!E167="filter_bsf",器件参数!E167="attenuator",器件参数!E167="cable",器件参数!E167="connector",器件参数!E167="switch",器件参数!E167="isolator",器件参数!E167="coupler",器件参数!E167="splitter"),AND(ISNUMBER(器件参数!F167),ABS(器件参数!F167)&lt;=300),器件参数!F167&lt;=0,ISNUMBER(器件参数!I167),器件参数!I167&gt;0),1+(10^(-器件参数!F167/10)-1)*器件参数!I167/Tref_K,""))))),"数值域错误")</f>
        <v>1</v>
      </c>
      <c r="H167" s="5">
        <f t="shared" si="41"/>
        <v>2.29336948552238</v>
      </c>
      <c r="I167" s="5">
        <f t="shared" si="42"/>
        <v>3.604740296957</v>
      </c>
      <c r="J167" s="5">
        <f>IF(AND(ISNUMBER(Pin_dBm),ISNUMBER(D167)),Pin_dBm+D167,"")</f>
        <v>-10</v>
      </c>
      <c r="K167" s="5">
        <f>IF(AND(ISNUMBER(Pin_dBm),ISNUMBER(E167)),Pin_dBm+E167,"")</f>
        <v>-10</v>
      </c>
      <c r="L167" s="5" t="str">
        <f>IF(AND(器件参数!J167="finite",ISNUMBER(器件参数!L167),ISNUMBER(C167)),IF(器件参数!K167="input",器件参数!L167,IF(器件参数!K167="output",器件参数!L167-C167,"")),"")</f>
        <v/>
      </c>
      <c r="M167" s="5">
        <f>IFERROR(IF(NOT(ISNUMBER(M166)),"",IF(OR(NOT(器件参数!B167),器件参数!J167="ideal"),M166,IF(AND(ISNUMBER(L167),ISNUMBER(F167)),M166+F167/10^(L167/10),""))),"数值域错误")</f>
        <v>0.2</v>
      </c>
      <c r="N167" s="5">
        <f t="shared" si="43"/>
        <v>6.98970004336019</v>
      </c>
      <c r="O167" s="5">
        <f t="shared" si="44"/>
        <v>26.9897000433602</v>
      </c>
      <c r="P167" s="5" t="str">
        <f>IF(AND(器件参数!M167="finite",ISNUMBER(器件参数!O167),ISNUMBER(C167)),IF(器件参数!N167="input",器件参数!O167,IF(器件参数!N167="actual_output",器件参数!O167-C167+1,IF(器件参数!N167="linear_output",器件参数!O167-C167,""))),"")</f>
        <v/>
      </c>
      <c r="Q167" s="5">
        <f>IF(器件参数!P167="",IF(AND(ISNUMBER(DefaultP),DefaultP&gt;=1,DefaultP&lt;=10),DefaultP,""),IF(AND(ISNUMBER(器件参数!P167),器件参数!P167&gt;=1,器件参数!P167&lt;=10),器件参数!P167,""))</f>
        <v>2</v>
      </c>
      <c r="R167" s="5">
        <f t="shared" si="45"/>
        <v>-10.0000139708288</v>
      </c>
      <c r="S167" s="5" t="str">
        <f t="shared" si="46"/>
        <v/>
      </c>
      <c r="T167" s="5">
        <f t="shared" si="47"/>
        <v>0</v>
      </c>
      <c r="U167" s="5">
        <f t="shared" si="48"/>
        <v>-10.0000139708288</v>
      </c>
      <c r="V167" s="5">
        <f>IF(AND(ISNUMBER(Pin_dBm),ISNUMBER(E167),ISNUMBER(U167)),Pin_dBm+E167-U167,"")</f>
        <v>1.39708287854035e-5</v>
      </c>
      <c r="W167" s="5" t="str">
        <f>IF(AND(器件参数!B167,X167=1,ISNUMBER(D167)),P167-D167,"")</f>
        <v/>
      </c>
      <c r="X167" s="5">
        <f>IF(NOT(ISNUMBER(C167)),-1,IF(OR(NOT(器件参数!B167),器件参数!M167="ideal"),0,IF(AND(ISNUMBER(P167),ISNUMBER(Q167)),1,-1)))</f>
        <v>0</v>
      </c>
      <c r="Y167" s="5" t="str">
        <f t="shared" si="49"/>
        <v>有效</v>
      </c>
      <c r="Z167" s="5" t="str">
        <f t="shared" si="50"/>
        <v>有效</v>
      </c>
      <c r="AA167" s="5" t="str">
        <f t="shared" si="51"/>
        <v>模型估算</v>
      </c>
      <c r="AB167" s="5">
        <f t="shared" si="52"/>
        <v>100000000</v>
      </c>
      <c r="AC167" s="5">
        <f>IF(NOT(ISNUMBER(AB167)),"",IF(OR(NOT(器件参数!B167),器件参数!E167&lt;&gt;"mixer"),AB167,IF(AND(ISNUMBER(器件参数!T167),器件参数!T167&gt;0),IF(器件参数!U167="sum",AB167+器件参数!T167,IF(器件参数!U167="difference",ABS(AB167-器件参数!T167),"")),"")))</f>
        <v>100000000</v>
      </c>
      <c r="AD167" s="5">
        <f t="shared" si="53"/>
        <v>0</v>
      </c>
      <c r="AE167" s="5">
        <f>IF(AND(ISNUMBER(G167),ISNUMBER(F167)),Tref_K*(G167-1)/F167,"")</f>
        <v>0</v>
      </c>
      <c r="AF167" s="5">
        <f>IF(AND(ISNUMBER(H167),ISNUMBER(E167),NoiseConfigOK),10*LOG10(Boltzmann*Bnoise_Hz*(Tsource_K+Tref_K*(H167-1)))+30+E167,"")</f>
        <v>-90.3704468972711</v>
      </c>
      <c r="AG167" s="5">
        <f t="shared" si="54"/>
        <v>80.3704468972711</v>
      </c>
      <c r="AH167" s="5">
        <f>IF(AND(ToneEnabled,ISNUMBER(E167),ISNUMBER(TonePin)),TonePin+E167,"")</f>
        <v>-10</v>
      </c>
      <c r="AI167" s="5">
        <f>IF(AND(ToneEnabled,ISNUMBER(E167),ISNUMBER(N167),ISNUMBER(TonePin)),3*TonePin+E167-2*N167,"")</f>
        <v>-83.9794000867204</v>
      </c>
      <c r="AJ167" s="5" t="str">
        <f t="shared" si="55"/>
        <v/>
      </c>
      <c r="AK167" s="5" t="str">
        <f>IF(NOT(器件参数!B167),"旁路",IF(NOT(ISNUMBER(AC167)),"频率未知",IF(AC167&lt;=SignalBW/2,"跨零频",IF(AND(ISNUMBER(器件参数!R167),ISNUMBER(器件参数!S167)),IF(AND(AB167-SignalBW/2&gt;=器件参数!R167,AB167+SignalBW/2&lt;=器件参数!S167),"有效","超声明通带"),"未声明通带"))))</f>
        <v>旁路</v>
      </c>
      <c r="AL167" s="5">
        <f t="shared" si="56"/>
        <v>0</v>
      </c>
      <c r="AM167" s="5" t="str">
        <f>IF(AND(器件参数!B167,ISNUMBER(器件参数!X167),OR(AND(ISNUMBER(J167),J167&gt;器件参数!X167),IF(AND(ToneEnabled,ISNUMBER(TonePin),ISNUMBER(D167)),TonePin+10*LOG10(2)+D167&gt;器件参数!X167,FALSE))),"超过绝对最大输入额定值","")</f>
        <v/>
      </c>
      <c r="AN167" s="5">
        <f>IF(NOT(ISNUMBER(AN166)),"",IF(OR(NOT(器件参数!B167),器件参数!E167&lt;&gt;"mixer"),AN166,IF(AND(ISNUMBER(器件参数!T167),器件参数!T167&gt;0),IF(器件参数!U167="sum",AN166+器件参数!T167,ABS(AN166-器件参数!T167)),"")))</f>
        <v>99950000</v>
      </c>
      <c r="AO167" s="5">
        <f>IF(NOT(ISNUMBER(AO166)),"",IF(OR(NOT(器件参数!B167),器件参数!E167&lt;&gt;"mixer"),AO166,IF(AND(ISNUMBER(器件参数!T167),器件参数!T167&gt;0),IF(器件参数!U167="sum",AO166+器件参数!T167,ABS(AO166-器件参数!T167)),"")))</f>
        <v>100050000</v>
      </c>
      <c r="AP167" s="5">
        <f>IF(NOT(ISNUMBER(AP166)),"",IF(OR(NOT(器件参数!B167),器件参数!E167&lt;&gt;"mixer"),AP166,IF(AND(ISNUMBER(器件参数!T167),器件参数!T167&gt;0),IF(器件参数!U167="sum",AP166+器件参数!T167,ABS(AP166-器件参数!T167)),"")))</f>
        <v>99850000</v>
      </c>
      <c r="AQ167" s="5">
        <f>IF(NOT(ISNUMBER(AQ166)),"",IF(OR(NOT(器件参数!B167),器件参数!E167&lt;&gt;"mixer"),AQ166,IF(AND(ISNUMBER(器件参数!T167),器件参数!T167&gt;0),IF(器件参数!U167="sum",AQ166+器件参数!T167,ABS(AQ166-器件参数!T167)),"")))</f>
        <v>100150000</v>
      </c>
      <c r="AR167" s="5" t="b">
        <f>IF(NOT(AR166),FALSE,IF(NOT(器件参数!B167),TRUE,AND(COUNT(AN167:AQ167)=4,MIN(AN167:AQ167)&gt;0,IF(AND(ISNUMBER(器件参数!R167),ISNUMBER(器件参数!S167)),AND(MIN(AN166:AQ166)&gt;=器件参数!R167,MAX(AN166:AQ166)&lt;=器件参数!S167),TRUE),IF(AND(器件参数!E167="mixer",器件参数!U167="difference"),OR(器件参数!T167&lt;MIN(AN166:AQ166),器件参数!T167&gt;MAX(AN166:AQ166)),TRUE))))</f>
        <v>1</v>
      </c>
    </row>
    <row r="168" hidden="1" spans="1:44">
      <c r="A168" s="5">
        <f>器件参数!A168</f>
        <v>165</v>
      </c>
      <c r="B168" s="5" t="str">
        <f>器件参数!D168</f>
        <v/>
      </c>
      <c r="C168" s="5">
        <f>IF(NOT(器件参数!B168),0,IF(AND(ISNUMBER(器件参数!F168),ABS(器件参数!F168)&lt;=300),器件参数!F168,""))</f>
        <v>0</v>
      </c>
      <c r="D168" s="5">
        <f t="shared" si="38"/>
        <v>20</v>
      </c>
      <c r="E168" s="5">
        <f t="shared" si="39"/>
        <v>20</v>
      </c>
      <c r="F168" s="5">
        <f t="shared" si="40"/>
        <v>100</v>
      </c>
      <c r="G168" s="5">
        <f>IFERROR(IF(NOT(器件参数!B168),1,IF(NOT(OR(器件参数!E168&lt;&gt;"mixer",AND(OR(器件参数!V168="SSB",器件参数!V168="DSB"),器件参数!W168=TRUE))),"",IF(器件参数!G168="ideal",1,IF(AND(器件参数!G168="manual",ISNUMBER(器件参数!H168),器件参数!H168&gt;=0),10^(器件参数!H168/10),IF(AND(器件参数!G168="passive_thermal",OR(器件参数!E168="filter_bpf",器件参数!E168="filter_lpf",器件参数!E168="filter_hpf",器件参数!E168="filter_bsf",器件参数!E168="attenuator",器件参数!E168="cable",器件参数!E168="connector",器件参数!E168="switch",器件参数!E168="isolator",器件参数!E168="coupler",器件参数!E168="splitter"),AND(ISNUMBER(器件参数!F168),ABS(器件参数!F168)&lt;=300),器件参数!F168&lt;=0,ISNUMBER(器件参数!I168),器件参数!I168&gt;0),1+(10^(-器件参数!F168/10)-1)*器件参数!I168/Tref_K,""))))),"数值域错误")</f>
        <v>1</v>
      </c>
      <c r="H168" s="5">
        <f t="shared" si="41"/>
        <v>2.29336948552238</v>
      </c>
      <c r="I168" s="5">
        <f t="shared" si="42"/>
        <v>3.604740296957</v>
      </c>
      <c r="J168" s="5">
        <f>IF(AND(ISNUMBER(Pin_dBm),ISNUMBER(D168)),Pin_dBm+D168,"")</f>
        <v>-10</v>
      </c>
      <c r="K168" s="5">
        <f>IF(AND(ISNUMBER(Pin_dBm),ISNUMBER(E168)),Pin_dBm+E168,"")</f>
        <v>-10</v>
      </c>
      <c r="L168" s="5" t="str">
        <f>IF(AND(器件参数!J168="finite",ISNUMBER(器件参数!L168),ISNUMBER(C168)),IF(器件参数!K168="input",器件参数!L168,IF(器件参数!K168="output",器件参数!L168-C168,"")),"")</f>
        <v/>
      </c>
      <c r="M168" s="5">
        <f>IFERROR(IF(NOT(ISNUMBER(M167)),"",IF(OR(NOT(器件参数!B168),器件参数!J168="ideal"),M167,IF(AND(ISNUMBER(L168),ISNUMBER(F168)),M167+F168/10^(L168/10),""))),"数值域错误")</f>
        <v>0.2</v>
      </c>
      <c r="N168" s="5">
        <f t="shared" si="43"/>
        <v>6.98970004336019</v>
      </c>
      <c r="O168" s="5">
        <f t="shared" si="44"/>
        <v>26.9897000433602</v>
      </c>
      <c r="P168" s="5" t="str">
        <f>IF(AND(器件参数!M168="finite",ISNUMBER(器件参数!O168),ISNUMBER(C168)),IF(器件参数!N168="input",器件参数!O168,IF(器件参数!N168="actual_output",器件参数!O168-C168+1,IF(器件参数!N168="linear_output",器件参数!O168-C168,""))),"")</f>
        <v/>
      </c>
      <c r="Q168" s="5">
        <f>IF(器件参数!P168="",IF(AND(ISNUMBER(DefaultP),DefaultP&gt;=1,DefaultP&lt;=10),DefaultP,""),IF(AND(ISNUMBER(器件参数!P168),器件参数!P168&gt;=1,器件参数!P168&lt;=10),器件参数!P168,""))</f>
        <v>2</v>
      </c>
      <c r="R168" s="5">
        <f t="shared" si="45"/>
        <v>-10.0000139708288</v>
      </c>
      <c r="S168" s="5" t="str">
        <f t="shared" si="46"/>
        <v/>
      </c>
      <c r="T168" s="5">
        <f t="shared" si="47"/>
        <v>0</v>
      </c>
      <c r="U168" s="5">
        <f t="shared" si="48"/>
        <v>-10.0000139708288</v>
      </c>
      <c r="V168" s="5">
        <f>IF(AND(ISNUMBER(Pin_dBm),ISNUMBER(E168),ISNUMBER(U168)),Pin_dBm+E168-U168,"")</f>
        <v>1.39708287854035e-5</v>
      </c>
      <c r="W168" s="5" t="str">
        <f>IF(AND(器件参数!B168,X168=1,ISNUMBER(D168)),P168-D168,"")</f>
        <v/>
      </c>
      <c r="X168" s="5">
        <f>IF(NOT(ISNUMBER(C168)),-1,IF(OR(NOT(器件参数!B168),器件参数!M168="ideal"),0,IF(AND(ISNUMBER(P168),ISNUMBER(Q168)),1,-1)))</f>
        <v>0</v>
      </c>
      <c r="Y168" s="5" t="str">
        <f t="shared" si="49"/>
        <v>有效</v>
      </c>
      <c r="Z168" s="5" t="str">
        <f t="shared" si="50"/>
        <v>有效</v>
      </c>
      <c r="AA168" s="5" t="str">
        <f t="shared" si="51"/>
        <v>模型估算</v>
      </c>
      <c r="AB168" s="5">
        <f t="shared" si="52"/>
        <v>100000000</v>
      </c>
      <c r="AC168" s="5">
        <f>IF(NOT(ISNUMBER(AB168)),"",IF(OR(NOT(器件参数!B168),器件参数!E168&lt;&gt;"mixer"),AB168,IF(AND(ISNUMBER(器件参数!T168),器件参数!T168&gt;0),IF(器件参数!U168="sum",AB168+器件参数!T168,IF(器件参数!U168="difference",ABS(AB168-器件参数!T168),"")),"")))</f>
        <v>100000000</v>
      </c>
      <c r="AD168" s="5">
        <f t="shared" si="53"/>
        <v>0</v>
      </c>
      <c r="AE168" s="5">
        <f>IF(AND(ISNUMBER(G168),ISNUMBER(F168)),Tref_K*(G168-1)/F168,"")</f>
        <v>0</v>
      </c>
      <c r="AF168" s="5">
        <f>IF(AND(ISNUMBER(H168),ISNUMBER(E168),NoiseConfigOK),10*LOG10(Boltzmann*Bnoise_Hz*(Tsource_K+Tref_K*(H168-1)))+30+E168,"")</f>
        <v>-90.3704468972711</v>
      </c>
      <c r="AG168" s="5">
        <f t="shared" si="54"/>
        <v>80.3704468972711</v>
      </c>
      <c r="AH168" s="5">
        <f>IF(AND(ToneEnabled,ISNUMBER(E168),ISNUMBER(TonePin)),TonePin+E168,"")</f>
        <v>-10</v>
      </c>
      <c r="AI168" s="5">
        <f>IF(AND(ToneEnabled,ISNUMBER(E168),ISNUMBER(N168),ISNUMBER(TonePin)),3*TonePin+E168-2*N168,"")</f>
        <v>-83.9794000867204</v>
      </c>
      <c r="AJ168" s="5" t="str">
        <f t="shared" si="55"/>
        <v/>
      </c>
      <c r="AK168" s="5" t="str">
        <f>IF(NOT(器件参数!B168),"旁路",IF(NOT(ISNUMBER(AC168)),"频率未知",IF(AC168&lt;=SignalBW/2,"跨零频",IF(AND(ISNUMBER(器件参数!R168),ISNUMBER(器件参数!S168)),IF(AND(AB168-SignalBW/2&gt;=器件参数!R168,AB168+SignalBW/2&lt;=器件参数!S168),"有效","超声明通带"),"未声明通带"))))</f>
        <v>旁路</v>
      </c>
      <c r="AL168" s="5">
        <f t="shared" si="56"/>
        <v>0</v>
      </c>
      <c r="AM168" s="5" t="str">
        <f>IF(AND(器件参数!B168,ISNUMBER(器件参数!X168),OR(AND(ISNUMBER(J168),J168&gt;器件参数!X168),IF(AND(ToneEnabled,ISNUMBER(TonePin),ISNUMBER(D168)),TonePin+10*LOG10(2)+D168&gt;器件参数!X168,FALSE))),"超过绝对最大输入额定值","")</f>
        <v/>
      </c>
      <c r="AN168" s="5">
        <f>IF(NOT(ISNUMBER(AN167)),"",IF(OR(NOT(器件参数!B168),器件参数!E168&lt;&gt;"mixer"),AN167,IF(AND(ISNUMBER(器件参数!T168),器件参数!T168&gt;0),IF(器件参数!U168="sum",AN167+器件参数!T168,ABS(AN167-器件参数!T168)),"")))</f>
        <v>99950000</v>
      </c>
      <c r="AO168" s="5">
        <f>IF(NOT(ISNUMBER(AO167)),"",IF(OR(NOT(器件参数!B168),器件参数!E168&lt;&gt;"mixer"),AO167,IF(AND(ISNUMBER(器件参数!T168),器件参数!T168&gt;0),IF(器件参数!U168="sum",AO167+器件参数!T168,ABS(AO167-器件参数!T168)),"")))</f>
        <v>100050000</v>
      </c>
      <c r="AP168" s="5">
        <f>IF(NOT(ISNUMBER(AP167)),"",IF(OR(NOT(器件参数!B168),器件参数!E168&lt;&gt;"mixer"),AP167,IF(AND(ISNUMBER(器件参数!T168),器件参数!T168&gt;0),IF(器件参数!U168="sum",AP167+器件参数!T168,ABS(AP167-器件参数!T168)),"")))</f>
        <v>99850000</v>
      </c>
      <c r="AQ168" s="5">
        <f>IF(NOT(ISNUMBER(AQ167)),"",IF(OR(NOT(器件参数!B168),器件参数!E168&lt;&gt;"mixer"),AQ167,IF(AND(ISNUMBER(器件参数!T168),器件参数!T168&gt;0),IF(器件参数!U168="sum",AQ167+器件参数!T168,ABS(AQ167-器件参数!T168)),"")))</f>
        <v>100150000</v>
      </c>
      <c r="AR168" s="5" t="b">
        <f>IF(NOT(AR167),FALSE,IF(NOT(器件参数!B168),TRUE,AND(COUNT(AN168:AQ168)=4,MIN(AN168:AQ168)&gt;0,IF(AND(ISNUMBER(器件参数!R168),ISNUMBER(器件参数!S168)),AND(MIN(AN167:AQ167)&gt;=器件参数!R168,MAX(AN167:AQ167)&lt;=器件参数!S168),TRUE),IF(AND(器件参数!E168="mixer",器件参数!U168="difference"),OR(器件参数!T168&lt;MIN(AN167:AQ167),器件参数!T168&gt;MAX(AN167:AQ167)),TRUE))))</f>
        <v>1</v>
      </c>
    </row>
    <row r="169" hidden="1" spans="1:44">
      <c r="A169" s="5">
        <f>器件参数!A169</f>
        <v>166</v>
      </c>
      <c r="B169" s="5" t="str">
        <f>器件参数!D169</f>
        <v/>
      </c>
      <c r="C169" s="5">
        <f>IF(NOT(器件参数!B169),0,IF(AND(ISNUMBER(器件参数!F169),ABS(器件参数!F169)&lt;=300),器件参数!F169,""))</f>
        <v>0</v>
      </c>
      <c r="D169" s="5">
        <f t="shared" si="38"/>
        <v>20</v>
      </c>
      <c r="E169" s="5">
        <f t="shared" si="39"/>
        <v>20</v>
      </c>
      <c r="F169" s="5">
        <f t="shared" si="40"/>
        <v>100</v>
      </c>
      <c r="G169" s="5">
        <f>IFERROR(IF(NOT(器件参数!B169),1,IF(NOT(OR(器件参数!E169&lt;&gt;"mixer",AND(OR(器件参数!V169="SSB",器件参数!V169="DSB"),器件参数!W169=TRUE))),"",IF(器件参数!G169="ideal",1,IF(AND(器件参数!G169="manual",ISNUMBER(器件参数!H169),器件参数!H169&gt;=0),10^(器件参数!H169/10),IF(AND(器件参数!G169="passive_thermal",OR(器件参数!E169="filter_bpf",器件参数!E169="filter_lpf",器件参数!E169="filter_hpf",器件参数!E169="filter_bsf",器件参数!E169="attenuator",器件参数!E169="cable",器件参数!E169="connector",器件参数!E169="switch",器件参数!E169="isolator",器件参数!E169="coupler",器件参数!E169="splitter"),AND(ISNUMBER(器件参数!F169),ABS(器件参数!F169)&lt;=300),器件参数!F169&lt;=0,ISNUMBER(器件参数!I169),器件参数!I169&gt;0),1+(10^(-器件参数!F169/10)-1)*器件参数!I169/Tref_K,""))))),"数值域错误")</f>
        <v>1</v>
      </c>
      <c r="H169" s="5">
        <f t="shared" si="41"/>
        <v>2.29336948552238</v>
      </c>
      <c r="I169" s="5">
        <f t="shared" si="42"/>
        <v>3.604740296957</v>
      </c>
      <c r="J169" s="5">
        <f>IF(AND(ISNUMBER(Pin_dBm),ISNUMBER(D169)),Pin_dBm+D169,"")</f>
        <v>-10</v>
      </c>
      <c r="K169" s="5">
        <f>IF(AND(ISNUMBER(Pin_dBm),ISNUMBER(E169)),Pin_dBm+E169,"")</f>
        <v>-10</v>
      </c>
      <c r="L169" s="5" t="str">
        <f>IF(AND(器件参数!J169="finite",ISNUMBER(器件参数!L169),ISNUMBER(C169)),IF(器件参数!K169="input",器件参数!L169,IF(器件参数!K169="output",器件参数!L169-C169,"")),"")</f>
        <v/>
      </c>
      <c r="M169" s="5">
        <f>IFERROR(IF(NOT(ISNUMBER(M168)),"",IF(OR(NOT(器件参数!B169),器件参数!J169="ideal"),M168,IF(AND(ISNUMBER(L169),ISNUMBER(F169)),M168+F169/10^(L169/10),""))),"数值域错误")</f>
        <v>0.2</v>
      </c>
      <c r="N169" s="5">
        <f t="shared" si="43"/>
        <v>6.98970004336019</v>
      </c>
      <c r="O169" s="5">
        <f t="shared" si="44"/>
        <v>26.9897000433602</v>
      </c>
      <c r="P169" s="5" t="str">
        <f>IF(AND(器件参数!M169="finite",ISNUMBER(器件参数!O169),ISNUMBER(C169)),IF(器件参数!N169="input",器件参数!O169,IF(器件参数!N169="actual_output",器件参数!O169-C169+1,IF(器件参数!N169="linear_output",器件参数!O169-C169,""))),"")</f>
        <v/>
      </c>
      <c r="Q169" s="5">
        <f>IF(器件参数!P169="",IF(AND(ISNUMBER(DefaultP),DefaultP&gt;=1,DefaultP&lt;=10),DefaultP,""),IF(AND(ISNUMBER(器件参数!P169),器件参数!P169&gt;=1,器件参数!P169&lt;=10),器件参数!P169,""))</f>
        <v>2</v>
      </c>
      <c r="R169" s="5">
        <f t="shared" si="45"/>
        <v>-10.0000139708288</v>
      </c>
      <c r="S169" s="5" t="str">
        <f t="shared" si="46"/>
        <v/>
      </c>
      <c r="T169" s="5">
        <f t="shared" si="47"/>
        <v>0</v>
      </c>
      <c r="U169" s="5">
        <f t="shared" si="48"/>
        <v>-10.0000139708288</v>
      </c>
      <c r="V169" s="5">
        <f>IF(AND(ISNUMBER(Pin_dBm),ISNUMBER(E169),ISNUMBER(U169)),Pin_dBm+E169-U169,"")</f>
        <v>1.39708287854035e-5</v>
      </c>
      <c r="W169" s="5" t="str">
        <f>IF(AND(器件参数!B169,X169=1,ISNUMBER(D169)),P169-D169,"")</f>
        <v/>
      </c>
      <c r="X169" s="5">
        <f>IF(NOT(ISNUMBER(C169)),-1,IF(OR(NOT(器件参数!B169),器件参数!M169="ideal"),0,IF(AND(ISNUMBER(P169),ISNUMBER(Q169)),1,-1)))</f>
        <v>0</v>
      </c>
      <c r="Y169" s="5" t="str">
        <f t="shared" si="49"/>
        <v>有效</v>
      </c>
      <c r="Z169" s="5" t="str">
        <f t="shared" si="50"/>
        <v>有效</v>
      </c>
      <c r="AA169" s="5" t="str">
        <f t="shared" si="51"/>
        <v>模型估算</v>
      </c>
      <c r="AB169" s="5">
        <f t="shared" si="52"/>
        <v>100000000</v>
      </c>
      <c r="AC169" s="5">
        <f>IF(NOT(ISNUMBER(AB169)),"",IF(OR(NOT(器件参数!B169),器件参数!E169&lt;&gt;"mixer"),AB169,IF(AND(ISNUMBER(器件参数!T169),器件参数!T169&gt;0),IF(器件参数!U169="sum",AB169+器件参数!T169,IF(器件参数!U169="difference",ABS(AB169-器件参数!T169),"")),"")))</f>
        <v>100000000</v>
      </c>
      <c r="AD169" s="5">
        <f t="shared" si="53"/>
        <v>0</v>
      </c>
      <c r="AE169" s="5">
        <f>IF(AND(ISNUMBER(G169),ISNUMBER(F169)),Tref_K*(G169-1)/F169,"")</f>
        <v>0</v>
      </c>
      <c r="AF169" s="5">
        <f>IF(AND(ISNUMBER(H169),ISNUMBER(E169),NoiseConfigOK),10*LOG10(Boltzmann*Bnoise_Hz*(Tsource_K+Tref_K*(H169-1)))+30+E169,"")</f>
        <v>-90.3704468972711</v>
      </c>
      <c r="AG169" s="5">
        <f t="shared" si="54"/>
        <v>80.3704468972711</v>
      </c>
      <c r="AH169" s="5">
        <f>IF(AND(ToneEnabled,ISNUMBER(E169),ISNUMBER(TonePin)),TonePin+E169,"")</f>
        <v>-10</v>
      </c>
      <c r="AI169" s="5">
        <f>IF(AND(ToneEnabled,ISNUMBER(E169),ISNUMBER(N169),ISNUMBER(TonePin)),3*TonePin+E169-2*N169,"")</f>
        <v>-83.9794000867204</v>
      </c>
      <c r="AJ169" s="5" t="str">
        <f t="shared" si="55"/>
        <v/>
      </c>
      <c r="AK169" s="5" t="str">
        <f>IF(NOT(器件参数!B169),"旁路",IF(NOT(ISNUMBER(AC169)),"频率未知",IF(AC169&lt;=SignalBW/2,"跨零频",IF(AND(ISNUMBER(器件参数!R169),ISNUMBER(器件参数!S169)),IF(AND(AB169-SignalBW/2&gt;=器件参数!R169,AB169+SignalBW/2&lt;=器件参数!S169),"有效","超声明通带"),"未声明通带"))))</f>
        <v>旁路</v>
      </c>
      <c r="AL169" s="5">
        <f t="shared" si="56"/>
        <v>0</v>
      </c>
      <c r="AM169" s="5" t="str">
        <f>IF(AND(器件参数!B169,ISNUMBER(器件参数!X169),OR(AND(ISNUMBER(J169),J169&gt;器件参数!X169),IF(AND(ToneEnabled,ISNUMBER(TonePin),ISNUMBER(D169)),TonePin+10*LOG10(2)+D169&gt;器件参数!X169,FALSE))),"超过绝对最大输入额定值","")</f>
        <v/>
      </c>
      <c r="AN169" s="5">
        <f>IF(NOT(ISNUMBER(AN168)),"",IF(OR(NOT(器件参数!B169),器件参数!E169&lt;&gt;"mixer"),AN168,IF(AND(ISNUMBER(器件参数!T169),器件参数!T169&gt;0),IF(器件参数!U169="sum",AN168+器件参数!T169,ABS(AN168-器件参数!T169)),"")))</f>
        <v>99950000</v>
      </c>
      <c r="AO169" s="5">
        <f>IF(NOT(ISNUMBER(AO168)),"",IF(OR(NOT(器件参数!B169),器件参数!E169&lt;&gt;"mixer"),AO168,IF(AND(ISNUMBER(器件参数!T169),器件参数!T169&gt;0),IF(器件参数!U169="sum",AO168+器件参数!T169,ABS(AO168-器件参数!T169)),"")))</f>
        <v>100050000</v>
      </c>
      <c r="AP169" s="5">
        <f>IF(NOT(ISNUMBER(AP168)),"",IF(OR(NOT(器件参数!B169),器件参数!E169&lt;&gt;"mixer"),AP168,IF(AND(ISNUMBER(器件参数!T169),器件参数!T169&gt;0),IF(器件参数!U169="sum",AP168+器件参数!T169,ABS(AP168-器件参数!T169)),"")))</f>
        <v>99850000</v>
      </c>
      <c r="AQ169" s="5">
        <f>IF(NOT(ISNUMBER(AQ168)),"",IF(OR(NOT(器件参数!B169),器件参数!E169&lt;&gt;"mixer"),AQ168,IF(AND(ISNUMBER(器件参数!T169),器件参数!T169&gt;0),IF(器件参数!U169="sum",AQ168+器件参数!T169,ABS(AQ168-器件参数!T169)),"")))</f>
        <v>100150000</v>
      </c>
      <c r="AR169" s="5" t="b">
        <f>IF(NOT(AR168),FALSE,IF(NOT(器件参数!B169),TRUE,AND(COUNT(AN169:AQ169)=4,MIN(AN169:AQ169)&gt;0,IF(AND(ISNUMBER(器件参数!R169),ISNUMBER(器件参数!S169)),AND(MIN(AN168:AQ168)&gt;=器件参数!R169,MAX(AN168:AQ168)&lt;=器件参数!S169),TRUE),IF(AND(器件参数!E169="mixer",器件参数!U169="difference"),OR(器件参数!T169&lt;MIN(AN168:AQ168),器件参数!T169&gt;MAX(AN168:AQ168)),TRUE))))</f>
        <v>1</v>
      </c>
    </row>
    <row r="170" hidden="1" spans="1:44">
      <c r="A170" s="5">
        <f>器件参数!A170</f>
        <v>167</v>
      </c>
      <c r="B170" s="5" t="str">
        <f>器件参数!D170</f>
        <v/>
      </c>
      <c r="C170" s="5">
        <f>IF(NOT(器件参数!B170),0,IF(AND(ISNUMBER(器件参数!F170),ABS(器件参数!F170)&lt;=300),器件参数!F170,""))</f>
        <v>0</v>
      </c>
      <c r="D170" s="5">
        <f t="shared" si="38"/>
        <v>20</v>
      </c>
      <c r="E170" s="5">
        <f t="shared" si="39"/>
        <v>20</v>
      </c>
      <c r="F170" s="5">
        <f t="shared" si="40"/>
        <v>100</v>
      </c>
      <c r="G170" s="5">
        <f>IFERROR(IF(NOT(器件参数!B170),1,IF(NOT(OR(器件参数!E170&lt;&gt;"mixer",AND(OR(器件参数!V170="SSB",器件参数!V170="DSB"),器件参数!W170=TRUE))),"",IF(器件参数!G170="ideal",1,IF(AND(器件参数!G170="manual",ISNUMBER(器件参数!H170),器件参数!H170&gt;=0),10^(器件参数!H170/10),IF(AND(器件参数!G170="passive_thermal",OR(器件参数!E170="filter_bpf",器件参数!E170="filter_lpf",器件参数!E170="filter_hpf",器件参数!E170="filter_bsf",器件参数!E170="attenuator",器件参数!E170="cable",器件参数!E170="connector",器件参数!E170="switch",器件参数!E170="isolator",器件参数!E170="coupler",器件参数!E170="splitter"),AND(ISNUMBER(器件参数!F170),ABS(器件参数!F170)&lt;=300),器件参数!F170&lt;=0,ISNUMBER(器件参数!I170),器件参数!I170&gt;0),1+(10^(-器件参数!F170/10)-1)*器件参数!I170/Tref_K,""))))),"数值域错误")</f>
        <v>1</v>
      </c>
      <c r="H170" s="5">
        <f t="shared" si="41"/>
        <v>2.29336948552238</v>
      </c>
      <c r="I170" s="5">
        <f t="shared" si="42"/>
        <v>3.604740296957</v>
      </c>
      <c r="J170" s="5">
        <f>IF(AND(ISNUMBER(Pin_dBm),ISNUMBER(D170)),Pin_dBm+D170,"")</f>
        <v>-10</v>
      </c>
      <c r="K170" s="5">
        <f>IF(AND(ISNUMBER(Pin_dBm),ISNUMBER(E170)),Pin_dBm+E170,"")</f>
        <v>-10</v>
      </c>
      <c r="L170" s="5" t="str">
        <f>IF(AND(器件参数!J170="finite",ISNUMBER(器件参数!L170),ISNUMBER(C170)),IF(器件参数!K170="input",器件参数!L170,IF(器件参数!K170="output",器件参数!L170-C170,"")),"")</f>
        <v/>
      </c>
      <c r="M170" s="5">
        <f>IFERROR(IF(NOT(ISNUMBER(M169)),"",IF(OR(NOT(器件参数!B170),器件参数!J170="ideal"),M169,IF(AND(ISNUMBER(L170),ISNUMBER(F170)),M169+F170/10^(L170/10),""))),"数值域错误")</f>
        <v>0.2</v>
      </c>
      <c r="N170" s="5">
        <f t="shared" si="43"/>
        <v>6.98970004336019</v>
      </c>
      <c r="O170" s="5">
        <f t="shared" si="44"/>
        <v>26.9897000433602</v>
      </c>
      <c r="P170" s="5" t="str">
        <f>IF(AND(器件参数!M170="finite",ISNUMBER(器件参数!O170),ISNUMBER(C170)),IF(器件参数!N170="input",器件参数!O170,IF(器件参数!N170="actual_output",器件参数!O170-C170+1,IF(器件参数!N170="linear_output",器件参数!O170-C170,""))),"")</f>
        <v/>
      </c>
      <c r="Q170" s="5">
        <f>IF(器件参数!P170="",IF(AND(ISNUMBER(DefaultP),DefaultP&gt;=1,DefaultP&lt;=10),DefaultP,""),IF(AND(ISNUMBER(器件参数!P170),器件参数!P170&gt;=1,器件参数!P170&lt;=10),器件参数!P170,""))</f>
        <v>2</v>
      </c>
      <c r="R170" s="5">
        <f t="shared" si="45"/>
        <v>-10.0000139708288</v>
      </c>
      <c r="S170" s="5" t="str">
        <f t="shared" si="46"/>
        <v/>
      </c>
      <c r="T170" s="5">
        <f t="shared" si="47"/>
        <v>0</v>
      </c>
      <c r="U170" s="5">
        <f t="shared" si="48"/>
        <v>-10.0000139708288</v>
      </c>
      <c r="V170" s="5">
        <f>IF(AND(ISNUMBER(Pin_dBm),ISNUMBER(E170),ISNUMBER(U170)),Pin_dBm+E170-U170,"")</f>
        <v>1.39708287854035e-5</v>
      </c>
      <c r="W170" s="5" t="str">
        <f>IF(AND(器件参数!B170,X170=1,ISNUMBER(D170)),P170-D170,"")</f>
        <v/>
      </c>
      <c r="X170" s="5">
        <f>IF(NOT(ISNUMBER(C170)),-1,IF(OR(NOT(器件参数!B170),器件参数!M170="ideal"),0,IF(AND(ISNUMBER(P170),ISNUMBER(Q170)),1,-1)))</f>
        <v>0</v>
      </c>
      <c r="Y170" s="5" t="str">
        <f t="shared" si="49"/>
        <v>有效</v>
      </c>
      <c r="Z170" s="5" t="str">
        <f t="shared" si="50"/>
        <v>有效</v>
      </c>
      <c r="AA170" s="5" t="str">
        <f t="shared" si="51"/>
        <v>模型估算</v>
      </c>
      <c r="AB170" s="5">
        <f t="shared" si="52"/>
        <v>100000000</v>
      </c>
      <c r="AC170" s="5">
        <f>IF(NOT(ISNUMBER(AB170)),"",IF(OR(NOT(器件参数!B170),器件参数!E170&lt;&gt;"mixer"),AB170,IF(AND(ISNUMBER(器件参数!T170),器件参数!T170&gt;0),IF(器件参数!U170="sum",AB170+器件参数!T170,IF(器件参数!U170="difference",ABS(AB170-器件参数!T170),"")),"")))</f>
        <v>100000000</v>
      </c>
      <c r="AD170" s="5">
        <f t="shared" si="53"/>
        <v>0</v>
      </c>
      <c r="AE170" s="5">
        <f>IF(AND(ISNUMBER(G170),ISNUMBER(F170)),Tref_K*(G170-1)/F170,"")</f>
        <v>0</v>
      </c>
      <c r="AF170" s="5">
        <f>IF(AND(ISNUMBER(H170),ISNUMBER(E170),NoiseConfigOK),10*LOG10(Boltzmann*Bnoise_Hz*(Tsource_K+Tref_K*(H170-1)))+30+E170,"")</f>
        <v>-90.3704468972711</v>
      </c>
      <c r="AG170" s="5">
        <f t="shared" si="54"/>
        <v>80.3704468972711</v>
      </c>
      <c r="AH170" s="5">
        <f>IF(AND(ToneEnabled,ISNUMBER(E170),ISNUMBER(TonePin)),TonePin+E170,"")</f>
        <v>-10</v>
      </c>
      <c r="AI170" s="5">
        <f>IF(AND(ToneEnabled,ISNUMBER(E170),ISNUMBER(N170),ISNUMBER(TonePin)),3*TonePin+E170-2*N170,"")</f>
        <v>-83.9794000867204</v>
      </c>
      <c r="AJ170" s="5" t="str">
        <f t="shared" si="55"/>
        <v/>
      </c>
      <c r="AK170" s="5" t="str">
        <f>IF(NOT(器件参数!B170),"旁路",IF(NOT(ISNUMBER(AC170)),"频率未知",IF(AC170&lt;=SignalBW/2,"跨零频",IF(AND(ISNUMBER(器件参数!R170),ISNUMBER(器件参数!S170)),IF(AND(AB170-SignalBW/2&gt;=器件参数!R170,AB170+SignalBW/2&lt;=器件参数!S170),"有效","超声明通带"),"未声明通带"))))</f>
        <v>旁路</v>
      </c>
      <c r="AL170" s="5">
        <f t="shared" si="56"/>
        <v>0</v>
      </c>
      <c r="AM170" s="5" t="str">
        <f>IF(AND(器件参数!B170,ISNUMBER(器件参数!X170),OR(AND(ISNUMBER(J170),J170&gt;器件参数!X170),IF(AND(ToneEnabled,ISNUMBER(TonePin),ISNUMBER(D170)),TonePin+10*LOG10(2)+D170&gt;器件参数!X170,FALSE))),"超过绝对最大输入额定值","")</f>
        <v/>
      </c>
      <c r="AN170" s="5">
        <f>IF(NOT(ISNUMBER(AN169)),"",IF(OR(NOT(器件参数!B170),器件参数!E170&lt;&gt;"mixer"),AN169,IF(AND(ISNUMBER(器件参数!T170),器件参数!T170&gt;0),IF(器件参数!U170="sum",AN169+器件参数!T170,ABS(AN169-器件参数!T170)),"")))</f>
        <v>99950000</v>
      </c>
      <c r="AO170" s="5">
        <f>IF(NOT(ISNUMBER(AO169)),"",IF(OR(NOT(器件参数!B170),器件参数!E170&lt;&gt;"mixer"),AO169,IF(AND(ISNUMBER(器件参数!T170),器件参数!T170&gt;0),IF(器件参数!U170="sum",AO169+器件参数!T170,ABS(AO169-器件参数!T170)),"")))</f>
        <v>100050000</v>
      </c>
      <c r="AP170" s="5">
        <f>IF(NOT(ISNUMBER(AP169)),"",IF(OR(NOT(器件参数!B170),器件参数!E170&lt;&gt;"mixer"),AP169,IF(AND(ISNUMBER(器件参数!T170),器件参数!T170&gt;0),IF(器件参数!U170="sum",AP169+器件参数!T170,ABS(AP169-器件参数!T170)),"")))</f>
        <v>99850000</v>
      </c>
      <c r="AQ170" s="5">
        <f>IF(NOT(ISNUMBER(AQ169)),"",IF(OR(NOT(器件参数!B170),器件参数!E170&lt;&gt;"mixer"),AQ169,IF(AND(ISNUMBER(器件参数!T170),器件参数!T170&gt;0),IF(器件参数!U170="sum",AQ169+器件参数!T170,ABS(AQ169-器件参数!T170)),"")))</f>
        <v>100150000</v>
      </c>
      <c r="AR170" s="5" t="b">
        <f>IF(NOT(AR169),FALSE,IF(NOT(器件参数!B170),TRUE,AND(COUNT(AN170:AQ170)=4,MIN(AN170:AQ170)&gt;0,IF(AND(ISNUMBER(器件参数!R170),ISNUMBER(器件参数!S170)),AND(MIN(AN169:AQ169)&gt;=器件参数!R170,MAX(AN169:AQ169)&lt;=器件参数!S170),TRUE),IF(AND(器件参数!E170="mixer",器件参数!U170="difference"),OR(器件参数!T170&lt;MIN(AN169:AQ169),器件参数!T170&gt;MAX(AN169:AQ169)),TRUE))))</f>
        <v>1</v>
      </c>
    </row>
    <row r="171" hidden="1" spans="1:44">
      <c r="A171" s="5">
        <f>器件参数!A171</f>
        <v>168</v>
      </c>
      <c r="B171" s="5" t="str">
        <f>器件参数!D171</f>
        <v/>
      </c>
      <c r="C171" s="5">
        <f>IF(NOT(器件参数!B171),0,IF(AND(ISNUMBER(器件参数!F171),ABS(器件参数!F171)&lt;=300),器件参数!F171,""))</f>
        <v>0</v>
      </c>
      <c r="D171" s="5">
        <f t="shared" si="38"/>
        <v>20</v>
      </c>
      <c r="E171" s="5">
        <f t="shared" si="39"/>
        <v>20</v>
      </c>
      <c r="F171" s="5">
        <f t="shared" si="40"/>
        <v>100</v>
      </c>
      <c r="G171" s="5">
        <f>IFERROR(IF(NOT(器件参数!B171),1,IF(NOT(OR(器件参数!E171&lt;&gt;"mixer",AND(OR(器件参数!V171="SSB",器件参数!V171="DSB"),器件参数!W171=TRUE))),"",IF(器件参数!G171="ideal",1,IF(AND(器件参数!G171="manual",ISNUMBER(器件参数!H171),器件参数!H171&gt;=0),10^(器件参数!H171/10),IF(AND(器件参数!G171="passive_thermal",OR(器件参数!E171="filter_bpf",器件参数!E171="filter_lpf",器件参数!E171="filter_hpf",器件参数!E171="filter_bsf",器件参数!E171="attenuator",器件参数!E171="cable",器件参数!E171="connector",器件参数!E171="switch",器件参数!E171="isolator",器件参数!E171="coupler",器件参数!E171="splitter"),AND(ISNUMBER(器件参数!F171),ABS(器件参数!F171)&lt;=300),器件参数!F171&lt;=0,ISNUMBER(器件参数!I171),器件参数!I171&gt;0),1+(10^(-器件参数!F171/10)-1)*器件参数!I171/Tref_K,""))))),"数值域错误")</f>
        <v>1</v>
      </c>
      <c r="H171" s="5">
        <f t="shared" si="41"/>
        <v>2.29336948552238</v>
      </c>
      <c r="I171" s="5">
        <f t="shared" si="42"/>
        <v>3.604740296957</v>
      </c>
      <c r="J171" s="5">
        <f>IF(AND(ISNUMBER(Pin_dBm),ISNUMBER(D171)),Pin_dBm+D171,"")</f>
        <v>-10</v>
      </c>
      <c r="K171" s="5">
        <f>IF(AND(ISNUMBER(Pin_dBm),ISNUMBER(E171)),Pin_dBm+E171,"")</f>
        <v>-10</v>
      </c>
      <c r="L171" s="5" t="str">
        <f>IF(AND(器件参数!J171="finite",ISNUMBER(器件参数!L171),ISNUMBER(C171)),IF(器件参数!K171="input",器件参数!L171,IF(器件参数!K171="output",器件参数!L171-C171,"")),"")</f>
        <v/>
      </c>
      <c r="M171" s="5">
        <f>IFERROR(IF(NOT(ISNUMBER(M170)),"",IF(OR(NOT(器件参数!B171),器件参数!J171="ideal"),M170,IF(AND(ISNUMBER(L171),ISNUMBER(F171)),M170+F171/10^(L171/10),""))),"数值域错误")</f>
        <v>0.2</v>
      </c>
      <c r="N171" s="5">
        <f t="shared" si="43"/>
        <v>6.98970004336019</v>
      </c>
      <c r="O171" s="5">
        <f t="shared" si="44"/>
        <v>26.9897000433602</v>
      </c>
      <c r="P171" s="5" t="str">
        <f>IF(AND(器件参数!M171="finite",ISNUMBER(器件参数!O171),ISNUMBER(C171)),IF(器件参数!N171="input",器件参数!O171,IF(器件参数!N171="actual_output",器件参数!O171-C171+1,IF(器件参数!N171="linear_output",器件参数!O171-C171,""))),"")</f>
        <v/>
      </c>
      <c r="Q171" s="5">
        <f>IF(器件参数!P171="",IF(AND(ISNUMBER(DefaultP),DefaultP&gt;=1,DefaultP&lt;=10),DefaultP,""),IF(AND(ISNUMBER(器件参数!P171),器件参数!P171&gt;=1,器件参数!P171&lt;=10),器件参数!P171,""))</f>
        <v>2</v>
      </c>
      <c r="R171" s="5">
        <f t="shared" si="45"/>
        <v>-10.0000139708288</v>
      </c>
      <c r="S171" s="5" t="str">
        <f t="shared" si="46"/>
        <v/>
      </c>
      <c r="T171" s="5">
        <f t="shared" si="47"/>
        <v>0</v>
      </c>
      <c r="U171" s="5">
        <f t="shared" si="48"/>
        <v>-10.0000139708288</v>
      </c>
      <c r="V171" s="5">
        <f>IF(AND(ISNUMBER(Pin_dBm),ISNUMBER(E171),ISNUMBER(U171)),Pin_dBm+E171-U171,"")</f>
        <v>1.39708287854035e-5</v>
      </c>
      <c r="W171" s="5" t="str">
        <f>IF(AND(器件参数!B171,X171=1,ISNUMBER(D171)),P171-D171,"")</f>
        <v/>
      </c>
      <c r="X171" s="5">
        <f>IF(NOT(ISNUMBER(C171)),-1,IF(OR(NOT(器件参数!B171),器件参数!M171="ideal"),0,IF(AND(ISNUMBER(P171),ISNUMBER(Q171)),1,-1)))</f>
        <v>0</v>
      </c>
      <c r="Y171" s="5" t="str">
        <f t="shared" si="49"/>
        <v>有效</v>
      </c>
      <c r="Z171" s="5" t="str">
        <f t="shared" si="50"/>
        <v>有效</v>
      </c>
      <c r="AA171" s="5" t="str">
        <f t="shared" si="51"/>
        <v>模型估算</v>
      </c>
      <c r="AB171" s="5">
        <f t="shared" si="52"/>
        <v>100000000</v>
      </c>
      <c r="AC171" s="5">
        <f>IF(NOT(ISNUMBER(AB171)),"",IF(OR(NOT(器件参数!B171),器件参数!E171&lt;&gt;"mixer"),AB171,IF(AND(ISNUMBER(器件参数!T171),器件参数!T171&gt;0),IF(器件参数!U171="sum",AB171+器件参数!T171,IF(器件参数!U171="difference",ABS(AB171-器件参数!T171),"")),"")))</f>
        <v>100000000</v>
      </c>
      <c r="AD171" s="5">
        <f t="shared" si="53"/>
        <v>0</v>
      </c>
      <c r="AE171" s="5">
        <f>IF(AND(ISNUMBER(G171),ISNUMBER(F171)),Tref_K*(G171-1)/F171,"")</f>
        <v>0</v>
      </c>
      <c r="AF171" s="5">
        <f>IF(AND(ISNUMBER(H171),ISNUMBER(E171),NoiseConfigOK),10*LOG10(Boltzmann*Bnoise_Hz*(Tsource_K+Tref_K*(H171-1)))+30+E171,"")</f>
        <v>-90.3704468972711</v>
      </c>
      <c r="AG171" s="5">
        <f t="shared" si="54"/>
        <v>80.3704468972711</v>
      </c>
      <c r="AH171" s="5">
        <f>IF(AND(ToneEnabled,ISNUMBER(E171),ISNUMBER(TonePin)),TonePin+E171,"")</f>
        <v>-10</v>
      </c>
      <c r="AI171" s="5">
        <f>IF(AND(ToneEnabled,ISNUMBER(E171),ISNUMBER(N171),ISNUMBER(TonePin)),3*TonePin+E171-2*N171,"")</f>
        <v>-83.9794000867204</v>
      </c>
      <c r="AJ171" s="5" t="str">
        <f t="shared" si="55"/>
        <v/>
      </c>
      <c r="AK171" s="5" t="str">
        <f>IF(NOT(器件参数!B171),"旁路",IF(NOT(ISNUMBER(AC171)),"频率未知",IF(AC171&lt;=SignalBW/2,"跨零频",IF(AND(ISNUMBER(器件参数!R171),ISNUMBER(器件参数!S171)),IF(AND(AB171-SignalBW/2&gt;=器件参数!R171,AB171+SignalBW/2&lt;=器件参数!S171),"有效","超声明通带"),"未声明通带"))))</f>
        <v>旁路</v>
      </c>
      <c r="AL171" s="5">
        <f t="shared" si="56"/>
        <v>0</v>
      </c>
      <c r="AM171" s="5" t="str">
        <f>IF(AND(器件参数!B171,ISNUMBER(器件参数!X171),OR(AND(ISNUMBER(J171),J171&gt;器件参数!X171),IF(AND(ToneEnabled,ISNUMBER(TonePin),ISNUMBER(D171)),TonePin+10*LOG10(2)+D171&gt;器件参数!X171,FALSE))),"超过绝对最大输入额定值","")</f>
        <v/>
      </c>
      <c r="AN171" s="5">
        <f>IF(NOT(ISNUMBER(AN170)),"",IF(OR(NOT(器件参数!B171),器件参数!E171&lt;&gt;"mixer"),AN170,IF(AND(ISNUMBER(器件参数!T171),器件参数!T171&gt;0),IF(器件参数!U171="sum",AN170+器件参数!T171,ABS(AN170-器件参数!T171)),"")))</f>
        <v>99950000</v>
      </c>
      <c r="AO171" s="5">
        <f>IF(NOT(ISNUMBER(AO170)),"",IF(OR(NOT(器件参数!B171),器件参数!E171&lt;&gt;"mixer"),AO170,IF(AND(ISNUMBER(器件参数!T171),器件参数!T171&gt;0),IF(器件参数!U171="sum",AO170+器件参数!T171,ABS(AO170-器件参数!T171)),"")))</f>
        <v>100050000</v>
      </c>
      <c r="AP171" s="5">
        <f>IF(NOT(ISNUMBER(AP170)),"",IF(OR(NOT(器件参数!B171),器件参数!E171&lt;&gt;"mixer"),AP170,IF(AND(ISNUMBER(器件参数!T171),器件参数!T171&gt;0),IF(器件参数!U171="sum",AP170+器件参数!T171,ABS(AP170-器件参数!T171)),"")))</f>
        <v>99850000</v>
      </c>
      <c r="AQ171" s="5">
        <f>IF(NOT(ISNUMBER(AQ170)),"",IF(OR(NOT(器件参数!B171),器件参数!E171&lt;&gt;"mixer"),AQ170,IF(AND(ISNUMBER(器件参数!T171),器件参数!T171&gt;0),IF(器件参数!U171="sum",AQ170+器件参数!T171,ABS(AQ170-器件参数!T171)),"")))</f>
        <v>100150000</v>
      </c>
      <c r="AR171" s="5" t="b">
        <f>IF(NOT(AR170),FALSE,IF(NOT(器件参数!B171),TRUE,AND(COUNT(AN171:AQ171)=4,MIN(AN171:AQ171)&gt;0,IF(AND(ISNUMBER(器件参数!R171),ISNUMBER(器件参数!S171)),AND(MIN(AN170:AQ170)&gt;=器件参数!R171,MAX(AN170:AQ170)&lt;=器件参数!S171),TRUE),IF(AND(器件参数!E171="mixer",器件参数!U171="difference"),OR(器件参数!T171&lt;MIN(AN170:AQ170),器件参数!T171&gt;MAX(AN170:AQ170)),TRUE))))</f>
        <v>1</v>
      </c>
    </row>
    <row r="172" hidden="1" spans="1:44">
      <c r="A172" s="5">
        <f>器件参数!A172</f>
        <v>169</v>
      </c>
      <c r="B172" s="5" t="str">
        <f>器件参数!D172</f>
        <v/>
      </c>
      <c r="C172" s="5">
        <f>IF(NOT(器件参数!B172),0,IF(AND(ISNUMBER(器件参数!F172),ABS(器件参数!F172)&lt;=300),器件参数!F172,""))</f>
        <v>0</v>
      </c>
      <c r="D172" s="5">
        <f t="shared" si="38"/>
        <v>20</v>
      </c>
      <c r="E172" s="5">
        <f t="shared" si="39"/>
        <v>20</v>
      </c>
      <c r="F172" s="5">
        <f t="shared" si="40"/>
        <v>100</v>
      </c>
      <c r="G172" s="5">
        <f>IFERROR(IF(NOT(器件参数!B172),1,IF(NOT(OR(器件参数!E172&lt;&gt;"mixer",AND(OR(器件参数!V172="SSB",器件参数!V172="DSB"),器件参数!W172=TRUE))),"",IF(器件参数!G172="ideal",1,IF(AND(器件参数!G172="manual",ISNUMBER(器件参数!H172),器件参数!H172&gt;=0),10^(器件参数!H172/10),IF(AND(器件参数!G172="passive_thermal",OR(器件参数!E172="filter_bpf",器件参数!E172="filter_lpf",器件参数!E172="filter_hpf",器件参数!E172="filter_bsf",器件参数!E172="attenuator",器件参数!E172="cable",器件参数!E172="connector",器件参数!E172="switch",器件参数!E172="isolator",器件参数!E172="coupler",器件参数!E172="splitter"),AND(ISNUMBER(器件参数!F172),ABS(器件参数!F172)&lt;=300),器件参数!F172&lt;=0,ISNUMBER(器件参数!I172),器件参数!I172&gt;0),1+(10^(-器件参数!F172/10)-1)*器件参数!I172/Tref_K,""))))),"数值域错误")</f>
        <v>1</v>
      </c>
      <c r="H172" s="5">
        <f t="shared" si="41"/>
        <v>2.29336948552238</v>
      </c>
      <c r="I172" s="5">
        <f t="shared" si="42"/>
        <v>3.604740296957</v>
      </c>
      <c r="J172" s="5">
        <f>IF(AND(ISNUMBER(Pin_dBm),ISNUMBER(D172)),Pin_dBm+D172,"")</f>
        <v>-10</v>
      </c>
      <c r="K172" s="5">
        <f>IF(AND(ISNUMBER(Pin_dBm),ISNUMBER(E172)),Pin_dBm+E172,"")</f>
        <v>-10</v>
      </c>
      <c r="L172" s="5" t="str">
        <f>IF(AND(器件参数!J172="finite",ISNUMBER(器件参数!L172),ISNUMBER(C172)),IF(器件参数!K172="input",器件参数!L172,IF(器件参数!K172="output",器件参数!L172-C172,"")),"")</f>
        <v/>
      </c>
      <c r="M172" s="5">
        <f>IFERROR(IF(NOT(ISNUMBER(M171)),"",IF(OR(NOT(器件参数!B172),器件参数!J172="ideal"),M171,IF(AND(ISNUMBER(L172),ISNUMBER(F172)),M171+F172/10^(L172/10),""))),"数值域错误")</f>
        <v>0.2</v>
      </c>
      <c r="N172" s="5">
        <f t="shared" si="43"/>
        <v>6.98970004336019</v>
      </c>
      <c r="O172" s="5">
        <f t="shared" si="44"/>
        <v>26.9897000433602</v>
      </c>
      <c r="P172" s="5" t="str">
        <f>IF(AND(器件参数!M172="finite",ISNUMBER(器件参数!O172),ISNUMBER(C172)),IF(器件参数!N172="input",器件参数!O172,IF(器件参数!N172="actual_output",器件参数!O172-C172+1,IF(器件参数!N172="linear_output",器件参数!O172-C172,""))),"")</f>
        <v/>
      </c>
      <c r="Q172" s="5">
        <f>IF(器件参数!P172="",IF(AND(ISNUMBER(DefaultP),DefaultP&gt;=1,DefaultP&lt;=10),DefaultP,""),IF(AND(ISNUMBER(器件参数!P172),器件参数!P172&gt;=1,器件参数!P172&lt;=10),器件参数!P172,""))</f>
        <v>2</v>
      </c>
      <c r="R172" s="5">
        <f t="shared" si="45"/>
        <v>-10.0000139708288</v>
      </c>
      <c r="S172" s="5" t="str">
        <f t="shared" si="46"/>
        <v/>
      </c>
      <c r="T172" s="5">
        <f t="shared" si="47"/>
        <v>0</v>
      </c>
      <c r="U172" s="5">
        <f t="shared" si="48"/>
        <v>-10.0000139708288</v>
      </c>
      <c r="V172" s="5">
        <f>IF(AND(ISNUMBER(Pin_dBm),ISNUMBER(E172),ISNUMBER(U172)),Pin_dBm+E172-U172,"")</f>
        <v>1.39708287854035e-5</v>
      </c>
      <c r="W172" s="5" t="str">
        <f>IF(AND(器件参数!B172,X172=1,ISNUMBER(D172)),P172-D172,"")</f>
        <v/>
      </c>
      <c r="X172" s="5">
        <f>IF(NOT(ISNUMBER(C172)),-1,IF(OR(NOT(器件参数!B172),器件参数!M172="ideal"),0,IF(AND(ISNUMBER(P172),ISNUMBER(Q172)),1,-1)))</f>
        <v>0</v>
      </c>
      <c r="Y172" s="5" t="str">
        <f t="shared" si="49"/>
        <v>有效</v>
      </c>
      <c r="Z172" s="5" t="str">
        <f t="shared" si="50"/>
        <v>有效</v>
      </c>
      <c r="AA172" s="5" t="str">
        <f t="shared" si="51"/>
        <v>模型估算</v>
      </c>
      <c r="AB172" s="5">
        <f t="shared" si="52"/>
        <v>100000000</v>
      </c>
      <c r="AC172" s="5">
        <f>IF(NOT(ISNUMBER(AB172)),"",IF(OR(NOT(器件参数!B172),器件参数!E172&lt;&gt;"mixer"),AB172,IF(AND(ISNUMBER(器件参数!T172),器件参数!T172&gt;0),IF(器件参数!U172="sum",AB172+器件参数!T172,IF(器件参数!U172="difference",ABS(AB172-器件参数!T172),"")),"")))</f>
        <v>100000000</v>
      </c>
      <c r="AD172" s="5">
        <f t="shared" si="53"/>
        <v>0</v>
      </c>
      <c r="AE172" s="5">
        <f>IF(AND(ISNUMBER(G172),ISNUMBER(F172)),Tref_K*(G172-1)/F172,"")</f>
        <v>0</v>
      </c>
      <c r="AF172" s="5">
        <f>IF(AND(ISNUMBER(H172),ISNUMBER(E172),NoiseConfigOK),10*LOG10(Boltzmann*Bnoise_Hz*(Tsource_K+Tref_K*(H172-1)))+30+E172,"")</f>
        <v>-90.3704468972711</v>
      </c>
      <c r="AG172" s="5">
        <f t="shared" si="54"/>
        <v>80.3704468972711</v>
      </c>
      <c r="AH172" s="5">
        <f>IF(AND(ToneEnabled,ISNUMBER(E172),ISNUMBER(TonePin)),TonePin+E172,"")</f>
        <v>-10</v>
      </c>
      <c r="AI172" s="5">
        <f>IF(AND(ToneEnabled,ISNUMBER(E172),ISNUMBER(N172),ISNUMBER(TonePin)),3*TonePin+E172-2*N172,"")</f>
        <v>-83.9794000867204</v>
      </c>
      <c r="AJ172" s="5" t="str">
        <f t="shared" si="55"/>
        <v/>
      </c>
      <c r="AK172" s="5" t="str">
        <f>IF(NOT(器件参数!B172),"旁路",IF(NOT(ISNUMBER(AC172)),"频率未知",IF(AC172&lt;=SignalBW/2,"跨零频",IF(AND(ISNUMBER(器件参数!R172),ISNUMBER(器件参数!S172)),IF(AND(AB172-SignalBW/2&gt;=器件参数!R172,AB172+SignalBW/2&lt;=器件参数!S172),"有效","超声明通带"),"未声明通带"))))</f>
        <v>旁路</v>
      </c>
      <c r="AL172" s="5">
        <f t="shared" si="56"/>
        <v>0</v>
      </c>
      <c r="AM172" s="5" t="str">
        <f>IF(AND(器件参数!B172,ISNUMBER(器件参数!X172),OR(AND(ISNUMBER(J172),J172&gt;器件参数!X172),IF(AND(ToneEnabled,ISNUMBER(TonePin),ISNUMBER(D172)),TonePin+10*LOG10(2)+D172&gt;器件参数!X172,FALSE))),"超过绝对最大输入额定值","")</f>
        <v/>
      </c>
      <c r="AN172" s="5">
        <f>IF(NOT(ISNUMBER(AN171)),"",IF(OR(NOT(器件参数!B172),器件参数!E172&lt;&gt;"mixer"),AN171,IF(AND(ISNUMBER(器件参数!T172),器件参数!T172&gt;0),IF(器件参数!U172="sum",AN171+器件参数!T172,ABS(AN171-器件参数!T172)),"")))</f>
        <v>99950000</v>
      </c>
      <c r="AO172" s="5">
        <f>IF(NOT(ISNUMBER(AO171)),"",IF(OR(NOT(器件参数!B172),器件参数!E172&lt;&gt;"mixer"),AO171,IF(AND(ISNUMBER(器件参数!T172),器件参数!T172&gt;0),IF(器件参数!U172="sum",AO171+器件参数!T172,ABS(AO171-器件参数!T172)),"")))</f>
        <v>100050000</v>
      </c>
      <c r="AP172" s="5">
        <f>IF(NOT(ISNUMBER(AP171)),"",IF(OR(NOT(器件参数!B172),器件参数!E172&lt;&gt;"mixer"),AP171,IF(AND(ISNUMBER(器件参数!T172),器件参数!T172&gt;0),IF(器件参数!U172="sum",AP171+器件参数!T172,ABS(AP171-器件参数!T172)),"")))</f>
        <v>99850000</v>
      </c>
      <c r="AQ172" s="5">
        <f>IF(NOT(ISNUMBER(AQ171)),"",IF(OR(NOT(器件参数!B172),器件参数!E172&lt;&gt;"mixer"),AQ171,IF(AND(ISNUMBER(器件参数!T172),器件参数!T172&gt;0),IF(器件参数!U172="sum",AQ171+器件参数!T172,ABS(AQ171-器件参数!T172)),"")))</f>
        <v>100150000</v>
      </c>
      <c r="AR172" s="5" t="b">
        <f>IF(NOT(AR171),FALSE,IF(NOT(器件参数!B172),TRUE,AND(COUNT(AN172:AQ172)=4,MIN(AN172:AQ172)&gt;0,IF(AND(ISNUMBER(器件参数!R172),ISNUMBER(器件参数!S172)),AND(MIN(AN171:AQ171)&gt;=器件参数!R172,MAX(AN171:AQ171)&lt;=器件参数!S172),TRUE),IF(AND(器件参数!E172="mixer",器件参数!U172="difference"),OR(器件参数!T172&lt;MIN(AN171:AQ171),器件参数!T172&gt;MAX(AN171:AQ171)),TRUE))))</f>
        <v>1</v>
      </c>
    </row>
    <row r="173" hidden="1" spans="1:44">
      <c r="A173" s="5">
        <f>器件参数!A173</f>
        <v>170</v>
      </c>
      <c r="B173" s="5" t="str">
        <f>器件参数!D173</f>
        <v/>
      </c>
      <c r="C173" s="5">
        <f>IF(NOT(器件参数!B173),0,IF(AND(ISNUMBER(器件参数!F173),ABS(器件参数!F173)&lt;=300),器件参数!F173,""))</f>
        <v>0</v>
      </c>
      <c r="D173" s="5">
        <f t="shared" si="38"/>
        <v>20</v>
      </c>
      <c r="E173" s="5">
        <f t="shared" si="39"/>
        <v>20</v>
      </c>
      <c r="F173" s="5">
        <f t="shared" si="40"/>
        <v>100</v>
      </c>
      <c r="G173" s="5">
        <f>IFERROR(IF(NOT(器件参数!B173),1,IF(NOT(OR(器件参数!E173&lt;&gt;"mixer",AND(OR(器件参数!V173="SSB",器件参数!V173="DSB"),器件参数!W173=TRUE))),"",IF(器件参数!G173="ideal",1,IF(AND(器件参数!G173="manual",ISNUMBER(器件参数!H173),器件参数!H173&gt;=0),10^(器件参数!H173/10),IF(AND(器件参数!G173="passive_thermal",OR(器件参数!E173="filter_bpf",器件参数!E173="filter_lpf",器件参数!E173="filter_hpf",器件参数!E173="filter_bsf",器件参数!E173="attenuator",器件参数!E173="cable",器件参数!E173="connector",器件参数!E173="switch",器件参数!E173="isolator",器件参数!E173="coupler",器件参数!E173="splitter"),AND(ISNUMBER(器件参数!F173),ABS(器件参数!F173)&lt;=300),器件参数!F173&lt;=0,ISNUMBER(器件参数!I173),器件参数!I173&gt;0),1+(10^(-器件参数!F173/10)-1)*器件参数!I173/Tref_K,""))))),"数值域错误")</f>
        <v>1</v>
      </c>
      <c r="H173" s="5">
        <f t="shared" si="41"/>
        <v>2.29336948552238</v>
      </c>
      <c r="I173" s="5">
        <f t="shared" si="42"/>
        <v>3.604740296957</v>
      </c>
      <c r="J173" s="5">
        <f>IF(AND(ISNUMBER(Pin_dBm),ISNUMBER(D173)),Pin_dBm+D173,"")</f>
        <v>-10</v>
      </c>
      <c r="K173" s="5">
        <f>IF(AND(ISNUMBER(Pin_dBm),ISNUMBER(E173)),Pin_dBm+E173,"")</f>
        <v>-10</v>
      </c>
      <c r="L173" s="5" t="str">
        <f>IF(AND(器件参数!J173="finite",ISNUMBER(器件参数!L173),ISNUMBER(C173)),IF(器件参数!K173="input",器件参数!L173,IF(器件参数!K173="output",器件参数!L173-C173,"")),"")</f>
        <v/>
      </c>
      <c r="M173" s="5">
        <f>IFERROR(IF(NOT(ISNUMBER(M172)),"",IF(OR(NOT(器件参数!B173),器件参数!J173="ideal"),M172,IF(AND(ISNUMBER(L173),ISNUMBER(F173)),M172+F173/10^(L173/10),""))),"数值域错误")</f>
        <v>0.2</v>
      </c>
      <c r="N173" s="5">
        <f t="shared" si="43"/>
        <v>6.98970004336019</v>
      </c>
      <c r="O173" s="5">
        <f t="shared" si="44"/>
        <v>26.9897000433602</v>
      </c>
      <c r="P173" s="5" t="str">
        <f>IF(AND(器件参数!M173="finite",ISNUMBER(器件参数!O173),ISNUMBER(C173)),IF(器件参数!N173="input",器件参数!O173,IF(器件参数!N173="actual_output",器件参数!O173-C173+1,IF(器件参数!N173="linear_output",器件参数!O173-C173,""))),"")</f>
        <v/>
      </c>
      <c r="Q173" s="5">
        <f>IF(器件参数!P173="",IF(AND(ISNUMBER(DefaultP),DefaultP&gt;=1,DefaultP&lt;=10),DefaultP,""),IF(AND(ISNUMBER(器件参数!P173),器件参数!P173&gt;=1,器件参数!P173&lt;=10),器件参数!P173,""))</f>
        <v>2</v>
      </c>
      <c r="R173" s="5">
        <f t="shared" si="45"/>
        <v>-10.0000139708288</v>
      </c>
      <c r="S173" s="5" t="str">
        <f t="shared" si="46"/>
        <v/>
      </c>
      <c r="T173" s="5">
        <f t="shared" si="47"/>
        <v>0</v>
      </c>
      <c r="U173" s="5">
        <f t="shared" si="48"/>
        <v>-10.0000139708288</v>
      </c>
      <c r="V173" s="5">
        <f>IF(AND(ISNUMBER(Pin_dBm),ISNUMBER(E173),ISNUMBER(U173)),Pin_dBm+E173-U173,"")</f>
        <v>1.39708287854035e-5</v>
      </c>
      <c r="W173" s="5" t="str">
        <f>IF(AND(器件参数!B173,X173=1,ISNUMBER(D173)),P173-D173,"")</f>
        <v/>
      </c>
      <c r="X173" s="5">
        <f>IF(NOT(ISNUMBER(C173)),-1,IF(OR(NOT(器件参数!B173),器件参数!M173="ideal"),0,IF(AND(ISNUMBER(P173),ISNUMBER(Q173)),1,-1)))</f>
        <v>0</v>
      </c>
      <c r="Y173" s="5" t="str">
        <f t="shared" si="49"/>
        <v>有效</v>
      </c>
      <c r="Z173" s="5" t="str">
        <f t="shared" si="50"/>
        <v>有效</v>
      </c>
      <c r="AA173" s="5" t="str">
        <f t="shared" si="51"/>
        <v>模型估算</v>
      </c>
      <c r="AB173" s="5">
        <f t="shared" si="52"/>
        <v>100000000</v>
      </c>
      <c r="AC173" s="5">
        <f>IF(NOT(ISNUMBER(AB173)),"",IF(OR(NOT(器件参数!B173),器件参数!E173&lt;&gt;"mixer"),AB173,IF(AND(ISNUMBER(器件参数!T173),器件参数!T173&gt;0),IF(器件参数!U173="sum",AB173+器件参数!T173,IF(器件参数!U173="difference",ABS(AB173-器件参数!T173),"")),"")))</f>
        <v>100000000</v>
      </c>
      <c r="AD173" s="5">
        <f t="shared" si="53"/>
        <v>0</v>
      </c>
      <c r="AE173" s="5">
        <f>IF(AND(ISNUMBER(G173),ISNUMBER(F173)),Tref_K*(G173-1)/F173,"")</f>
        <v>0</v>
      </c>
      <c r="AF173" s="5">
        <f>IF(AND(ISNUMBER(H173),ISNUMBER(E173),NoiseConfigOK),10*LOG10(Boltzmann*Bnoise_Hz*(Tsource_K+Tref_K*(H173-1)))+30+E173,"")</f>
        <v>-90.3704468972711</v>
      </c>
      <c r="AG173" s="5">
        <f t="shared" si="54"/>
        <v>80.3704468972711</v>
      </c>
      <c r="AH173" s="5">
        <f>IF(AND(ToneEnabled,ISNUMBER(E173),ISNUMBER(TonePin)),TonePin+E173,"")</f>
        <v>-10</v>
      </c>
      <c r="AI173" s="5">
        <f>IF(AND(ToneEnabled,ISNUMBER(E173),ISNUMBER(N173),ISNUMBER(TonePin)),3*TonePin+E173-2*N173,"")</f>
        <v>-83.9794000867204</v>
      </c>
      <c r="AJ173" s="5" t="str">
        <f t="shared" si="55"/>
        <v/>
      </c>
      <c r="AK173" s="5" t="str">
        <f>IF(NOT(器件参数!B173),"旁路",IF(NOT(ISNUMBER(AC173)),"频率未知",IF(AC173&lt;=SignalBW/2,"跨零频",IF(AND(ISNUMBER(器件参数!R173),ISNUMBER(器件参数!S173)),IF(AND(AB173-SignalBW/2&gt;=器件参数!R173,AB173+SignalBW/2&lt;=器件参数!S173),"有效","超声明通带"),"未声明通带"))))</f>
        <v>旁路</v>
      </c>
      <c r="AL173" s="5">
        <f t="shared" si="56"/>
        <v>0</v>
      </c>
      <c r="AM173" s="5" t="str">
        <f>IF(AND(器件参数!B173,ISNUMBER(器件参数!X173),OR(AND(ISNUMBER(J173),J173&gt;器件参数!X173),IF(AND(ToneEnabled,ISNUMBER(TonePin),ISNUMBER(D173)),TonePin+10*LOG10(2)+D173&gt;器件参数!X173,FALSE))),"超过绝对最大输入额定值","")</f>
        <v/>
      </c>
      <c r="AN173" s="5">
        <f>IF(NOT(ISNUMBER(AN172)),"",IF(OR(NOT(器件参数!B173),器件参数!E173&lt;&gt;"mixer"),AN172,IF(AND(ISNUMBER(器件参数!T173),器件参数!T173&gt;0),IF(器件参数!U173="sum",AN172+器件参数!T173,ABS(AN172-器件参数!T173)),"")))</f>
        <v>99950000</v>
      </c>
      <c r="AO173" s="5">
        <f>IF(NOT(ISNUMBER(AO172)),"",IF(OR(NOT(器件参数!B173),器件参数!E173&lt;&gt;"mixer"),AO172,IF(AND(ISNUMBER(器件参数!T173),器件参数!T173&gt;0),IF(器件参数!U173="sum",AO172+器件参数!T173,ABS(AO172-器件参数!T173)),"")))</f>
        <v>100050000</v>
      </c>
      <c r="AP173" s="5">
        <f>IF(NOT(ISNUMBER(AP172)),"",IF(OR(NOT(器件参数!B173),器件参数!E173&lt;&gt;"mixer"),AP172,IF(AND(ISNUMBER(器件参数!T173),器件参数!T173&gt;0),IF(器件参数!U173="sum",AP172+器件参数!T173,ABS(AP172-器件参数!T173)),"")))</f>
        <v>99850000</v>
      </c>
      <c r="AQ173" s="5">
        <f>IF(NOT(ISNUMBER(AQ172)),"",IF(OR(NOT(器件参数!B173),器件参数!E173&lt;&gt;"mixer"),AQ172,IF(AND(ISNUMBER(器件参数!T173),器件参数!T173&gt;0),IF(器件参数!U173="sum",AQ172+器件参数!T173,ABS(AQ172-器件参数!T173)),"")))</f>
        <v>100150000</v>
      </c>
      <c r="AR173" s="5" t="b">
        <f>IF(NOT(AR172),FALSE,IF(NOT(器件参数!B173),TRUE,AND(COUNT(AN173:AQ173)=4,MIN(AN173:AQ173)&gt;0,IF(AND(ISNUMBER(器件参数!R173),ISNUMBER(器件参数!S173)),AND(MIN(AN172:AQ172)&gt;=器件参数!R173,MAX(AN172:AQ172)&lt;=器件参数!S173),TRUE),IF(AND(器件参数!E173="mixer",器件参数!U173="difference"),OR(器件参数!T173&lt;MIN(AN172:AQ172),器件参数!T173&gt;MAX(AN172:AQ172)),TRUE))))</f>
        <v>1</v>
      </c>
    </row>
    <row r="174" hidden="1" spans="1:44">
      <c r="A174" s="5">
        <f>器件参数!A174</f>
        <v>171</v>
      </c>
      <c r="B174" s="5" t="str">
        <f>器件参数!D174</f>
        <v/>
      </c>
      <c r="C174" s="5">
        <f>IF(NOT(器件参数!B174),0,IF(AND(ISNUMBER(器件参数!F174),ABS(器件参数!F174)&lt;=300),器件参数!F174,""))</f>
        <v>0</v>
      </c>
      <c r="D174" s="5">
        <f t="shared" si="38"/>
        <v>20</v>
      </c>
      <c r="E174" s="5">
        <f t="shared" si="39"/>
        <v>20</v>
      </c>
      <c r="F174" s="5">
        <f t="shared" si="40"/>
        <v>100</v>
      </c>
      <c r="G174" s="5">
        <f>IFERROR(IF(NOT(器件参数!B174),1,IF(NOT(OR(器件参数!E174&lt;&gt;"mixer",AND(OR(器件参数!V174="SSB",器件参数!V174="DSB"),器件参数!W174=TRUE))),"",IF(器件参数!G174="ideal",1,IF(AND(器件参数!G174="manual",ISNUMBER(器件参数!H174),器件参数!H174&gt;=0),10^(器件参数!H174/10),IF(AND(器件参数!G174="passive_thermal",OR(器件参数!E174="filter_bpf",器件参数!E174="filter_lpf",器件参数!E174="filter_hpf",器件参数!E174="filter_bsf",器件参数!E174="attenuator",器件参数!E174="cable",器件参数!E174="connector",器件参数!E174="switch",器件参数!E174="isolator",器件参数!E174="coupler",器件参数!E174="splitter"),AND(ISNUMBER(器件参数!F174),ABS(器件参数!F174)&lt;=300),器件参数!F174&lt;=0,ISNUMBER(器件参数!I174),器件参数!I174&gt;0),1+(10^(-器件参数!F174/10)-1)*器件参数!I174/Tref_K,""))))),"数值域错误")</f>
        <v>1</v>
      </c>
      <c r="H174" s="5">
        <f t="shared" si="41"/>
        <v>2.29336948552238</v>
      </c>
      <c r="I174" s="5">
        <f t="shared" si="42"/>
        <v>3.604740296957</v>
      </c>
      <c r="J174" s="5">
        <f>IF(AND(ISNUMBER(Pin_dBm),ISNUMBER(D174)),Pin_dBm+D174,"")</f>
        <v>-10</v>
      </c>
      <c r="K174" s="5">
        <f>IF(AND(ISNUMBER(Pin_dBm),ISNUMBER(E174)),Pin_dBm+E174,"")</f>
        <v>-10</v>
      </c>
      <c r="L174" s="5" t="str">
        <f>IF(AND(器件参数!J174="finite",ISNUMBER(器件参数!L174),ISNUMBER(C174)),IF(器件参数!K174="input",器件参数!L174,IF(器件参数!K174="output",器件参数!L174-C174,"")),"")</f>
        <v/>
      </c>
      <c r="M174" s="5">
        <f>IFERROR(IF(NOT(ISNUMBER(M173)),"",IF(OR(NOT(器件参数!B174),器件参数!J174="ideal"),M173,IF(AND(ISNUMBER(L174),ISNUMBER(F174)),M173+F174/10^(L174/10),""))),"数值域错误")</f>
        <v>0.2</v>
      </c>
      <c r="N174" s="5">
        <f t="shared" si="43"/>
        <v>6.98970004336019</v>
      </c>
      <c r="O174" s="5">
        <f t="shared" si="44"/>
        <v>26.9897000433602</v>
      </c>
      <c r="P174" s="5" t="str">
        <f>IF(AND(器件参数!M174="finite",ISNUMBER(器件参数!O174),ISNUMBER(C174)),IF(器件参数!N174="input",器件参数!O174,IF(器件参数!N174="actual_output",器件参数!O174-C174+1,IF(器件参数!N174="linear_output",器件参数!O174-C174,""))),"")</f>
        <v/>
      </c>
      <c r="Q174" s="5">
        <f>IF(器件参数!P174="",IF(AND(ISNUMBER(DefaultP),DefaultP&gt;=1,DefaultP&lt;=10),DefaultP,""),IF(AND(ISNUMBER(器件参数!P174),器件参数!P174&gt;=1,器件参数!P174&lt;=10),器件参数!P174,""))</f>
        <v>2</v>
      </c>
      <c r="R174" s="5">
        <f t="shared" si="45"/>
        <v>-10.0000139708288</v>
      </c>
      <c r="S174" s="5" t="str">
        <f t="shared" si="46"/>
        <v/>
      </c>
      <c r="T174" s="5">
        <f t="shared" si="47"/>
        <v>0</v>
      </c>
      <c r="U174" s="5">
        <f t="shared" si="48"/>
        <v>-10.0000139708288</v>
      </c>
      <c r="V174" s="5">
        <f>IF(AND(ISNUMBER(Pin_dBm),ISNUMBER(E174),ISNUMBER(U174)),Pin_dBm+E174-U174,"")</f>
        <v>1.39708287854035e-5</v>
      </c>
      <c r="W174" s="5" t="str">
        <f>IF(AND(器件参数!B174,X174=1,ISNUMBER(D174)),P174-D174,"")</f>
        <v/>
      </c>
      <c r="X174" s="5">
        <f>IF(NOT(ISNUMBER(C174)),-1,IF(OR(NOT(器件参数!B174),器件参数!M174="ideal"),0,IF(AND(ISNUMBER(P174),ISNUMBER(Q174)),1,-1)))</f>
        <v>0</v>
      </c>
      <c r="Y174" s="5" t="str">
        <f t="shared" si="49"/>
        <v>有效</v>
      </c>
      <c r="Z174" s="5" t="str">
        <f t="shared" si="50"/>
        <v>有效</v>
      </c>
      <c r="AA174" s="5" t="str">
        <f t="shared" si="51"/>
        <v>模型估算</v>
      </c>
      <c r="AB174" s="5">
        <f t="shared" si="52"/>
        <v>100000000</v>
      </c>
      <c r="AC174" s="5">
        <f>IF(NOT(ISNUMBER(AB174)),"",IF(OR(NOT(器件参数!B174),器件参数!E174&lt;&gt;"mixer"),AB174,IF(AND(ISNUMBER(器件参数!T174),器件参数!T174&gt;0),IF(器件参数!U174="sum",AB174+器件参数!T174,IF(器件参数!U174="difference",ABS(AB174-器件参数!T174),"")),"")))</f>
        <v>100000000</v>
      </c>
      <c r="AD174" s="5">
        <f t="shared" si="53"/>
        <v>0</v>
      </c>
      <c r="AE174" s="5">
        <f>IF(AND(ISNUMBER(G174),ISNUMBER(F174)),Tref_K*(G174-1)/F174,"")</f>
        <v>0</v>
      </c>
      <c r="AF174" s="5">
        <f>IF(AND(ISNUMBER(H174),ISNUMBER(E174),NoiseConfigOK),10*LOG10(Boltzmann*Bnoise_Hz*(Tsource_K+Tref_K*(H174-1)))+30+E174,"")</f>
        <v>-90.3704468972711</v>
      </c>
      <c r="AG174" s="5">
        <f t="shared" si="54"/>
        <v>80.3704468972711</v>
      </c>
      <c r="AH174" s="5">
        <f>IF(AND(ToneEnabled,ISNUMBER(E174),ISNUMBER(TonePin)),TonePin+E174,"")</f>
        <v>-10</v>
      </c>
      <c r="AI174" s="5">
        <f>IF(AND(ToneEnabled,ISNUMBER(E174),ISNUMBER(N174),ISNUMBER(TonePin)),3*TonePin+E174-2*N174,"")</f>
        <v>-83.9794000867204</v>
      </c>
      <c r="AJ174" s="5" t="str">
        <f t="shared" si="55"/>
        <v/>
      </c>
      <c r="AK174" s="5" t="str">
        <f>IF(NOT(器件参数!B174),"旁路",IF(NOT(ISNUMBER(AC174)),"频率未知",IF(AC174&lt;=SignalBW/2,"跨零频",IF(AND(ISNUMBER(器件参数!R174),ISNUMBER(器件参数!S174)),IF(AND(AB174-SignalBW/2&gt;=器件参数!R174,AB174+SignalBW/2&lt;=器件参数!S174),"有效","超声明通带"),"未声明通带"))))</f>
        <v>旁路</v>
      </c>
      <c r="AL174" s="5">
        <f t="shared" si="56"/>
        <v>0</v>
      </c>
      <c r="AM174" s="5" t="str">
        <f>IF(AND(器件参数!B174,ISNUMBER(器件参数!X174),OR(AND(ISNUMBER(J174),J174&gt;器件参数!X174),IF(AND(ToneEnabled,ISNUMBER(TonePin),ISNUMBER(D174)),TonePin+10*LOG10(2)+D174&gt;器件参数!X174,FALSE))),"超过绝对最大输入额定值","")</f>
        <v/>
      </c>
      <c r="AN174" s="5">
        <f>IF(NOT(ISNUMBER(AN173)),"",IF(OR(NOT(器件参数!B174),器件参数!E174&lt;&gt;"mixer"),AN173,IF(AND(ISNUMBER(器件参数!T174),器件参数!T174&gt;0),IF(器件参数!U174="sum",AN173+器件参数!T174,ABS(AN173-器件参数!T174)),"")))</f>
        <v>99950000</v>
      </c>
      <c r="AO174" s="5">
        <f>IF(NOT(ISNUMBER(AO173)),"",IF(OR(NOT(器件参数!B174),器件参数!E174&lt;&gt;"mixer"),AO173,IF(AND(ISNUMBER(器件参数!T174),器件参数!T174&gt;0),IF(器件参数!U174="sum",AO173+器件参数!T174,ABS(AO173-器件参数!T174)),"")))</f>
        <v>100050000</v>
      </c>
      <c r="AP174" s="5">
        <f>IF(NOT(ISNUMBER(AP173)),"",IF(OR(NOT(器件参数!B174),器件参数!E174&lt;&gt;"mixer"),AP173,IF(AND(ISNUMBER(器件参数!T174),器件参数!T174&gt;0),IF(器件参数!U174="sum",AP173+器件参数!T174,ABS(AP173-器件参数!T174)),"")))</f>
        <v>99850000</v>
      </c>
      <c r="AQ174" s="5">
        <f>IF(NOT(ISNUMBER(AQ173)),"",IF(OR(NOT(器件参数!B174),器件参数!E174&lt;&gt;"mixer"),AQ173,IF(AND(ISNUMBER(器件参数!T174),器件参数!T174&gt;0),IF(器件参数!U174="sum",AQ173+器件参数!T174,ABS(AQ173-器件参数!T174)),"")))</f>
        <v>100150000</v>
      </c>
      <c r="AR174" s="5" t="b">
        <f>IF(NOT(AR173),FALSE,IF(NOT(器件参数!B174),TRUE,AND(COUNT(AN174:AQ174)=4,MIN(AN174:AQ174)&gt;0,IF(AND(ISNUMBER(器件参数!R174),ISNUMBER(器件参数!S174)),AND(MIN(AN173:AQ173)&gt;=器件参数!R174,MAX(AN173:AQ173)&lt;=器件参数!S174),TRUE),IF(AND(器件参数!E174="mixer",器件参数!U174="difference"),OR(器件参数!T174&lt;MIN(AN173:AQ173),器件参数!T174&gt;MAX(AN173:AQ173)),TRUE))))</f>
        <v>1</v>
      </c>
    </row>
    <row r="175" hidden="1" spans="1:44">
      <c r="A175" s="5">
        <f>器件参数!A175</f>
        <v>172</v>
      </c>
      <c r="B175" s="5" t="str">
        <f>器件参数!D175</f>
        <v/>
      </c>
      <c r="C175" s="5">
        <f>IF(NOT(器件参数!B175),0,IF(AND(ISNUMBER(器件参数!F175),ABS(器件参数!F175)&lt;=300),器件参数!F175,""))</f>
        <v>0</v>
      </c>
      <c r="D175" s="5">
        <f t="shared" si="38"/>
        <v>20</v>
      </c>
      <c r="E175" s="5">
        <f t="shared" si="39"/>
        <v>20</v>
      </c>
      <c r="F175" s="5">
        <f t="shared" si="40"/>
        <v>100</v>
      </c>
      <c r="G175" s="5">
        <f>IFERROR(IF(NOT(器件参数!B175),1,IF(NOT(OR(器件参数!E175&lt;&gt;"mixer",AND(OR(器件参数!V175="SSB",器件参数!V175="DSB"),器件参数!W175=TRUE))),"",IF(器件参数!G175="ideal",1,IF(AND(器件参数!G175="manual",ISNUMBER(器件参数!H175),器件参数!H175&gt;=0),10^(器件参数!H175/10),IF(AND(器件参数!G175="passive_thermal",OR(器件参数!E175="filter_bpf",器件参数!E175="filter_lpf",器件参数!E175="filter_hpf",器件参数!E175="filter_bsf",器件参数!E175="attenuator",器件参数!E175="cable",器件参数!E175="connector",器件参数!E175="switch",器件参数!E175="isolator",器件参数!E175="coupler",器件参数!E175="splitter"),AND(ISNUMBER(器件参数!F175),ABS(器件参数!F175)&lt;=300),器件参数!F175&lt;=0,ISNUMBER(器件参数!I175),器件参数!I175&gt;0),1+(10^(-器件参数!F175/10)-1)*器件参数!I175/Tref_K,""))))),"数值域错误")</f>
        <v>1</v>
      </c>
      <c r="H175" s="5">
        <f t="shared" si="41"/>
        <v>2.29336948552238</v>
      </c>
      <c r="I175" s="5">
        <f t="shared" si="42"/>
        <v>3.604740296957</v>
      </c>
      <c r="J175" s="5">
        <f>IF(AND(ISNUMBER(Pin_dBm),ISNUMBER(D175)),Pin_dBm+D175,"")</f>
        <v>-10</v>
      </c>
      <c r="K175" s="5">
        <f>IF(AND(ISNUMBER(Pin_dBm),ISNUMBER(E175)),Pin_dBm+E175,"")</f>
        <v>-10</v>
      </c>
      <c r="L175" s="5" t="str">
        <f>IF(AND(器件参数!J175="finite",ISNUMBER(器件参数!L175),ISNUMBER(C175)),IF(器件参数!K175="input",器件参数!L175,IF(器件参数!K175="output",器件参数!L175-C175,"")),"")</f>
        <v/>
      </c>
      <c r="M175" s="5">
        <f>IFERROR(IF(NOT(ISNUMBER(M174)),"",IF(OR(NOT(器件参数!B175),器件参数!J175="ideal"),M174,IF(AND(ISNUMBER(L175),ISNUMBER(F175)),M174+F175/10^(L175/10),""))),"数值域错误")</f>
        <v>0.2</v>
      </c>
      <c r="N175" s="5">
        <f t="shared" si="43"/>
        <v>6.98970004336019</v>
      </c>
      <c r="O175" s="5">
        <f t="shared" si="44"/>
        <v>26.9897000433602</v>
      </c>
      <c r="P175" s="5" t="str">
        <f>IF(AND(器件参数!M175="finite",ISNUMBER(器件参数!O175),ISNUMBER(C175)),IF(器件参数!N175="input",器件参数!O175,IF(器件参数!N175="actual_output",器件参数!O175-C175+1,IF(器件参数!N175="linear_output",器件参数!O175-C175,""))),"")</f>
        <v/>
      </c>
      <c r="Q175" s="5">
        <f>IF(器件参数!P175="",IF(AND(ISNUMBER(DefaultP),DefaultP&gt;=1,DefaultP&lt;=10),DefaultP,""),IF(AND(ISNUMBER(器件参数!P175),器件参数!P175&gt;=1,器件参数!P175&lt;=10),器件参数!P175,""))</f>
        <v>2</v>
      </c>
      <c r="R175" s="5">
        <f t="shared" si="45"/>
        <v>-10.0000139708288</v>
      </c>
      <c r="S175" s="5" t="str">
        <f t="shared" si="46"/>
        <v/>
      </c>
      <c r="T175" s="5">
        <f t="shared" si="47"/>
        <v>0</v>
      </c>
      <c r="U175" s="5">
        <f t="shared" si="48"/>
        <v>-10.0000139708288</v>
      </c>
      <c r="V175" s="5">
        <f>IF(AND(ISNUMBER(Pin_dBm),ISNUMBER(E175),ISNUMBER(U175)),Pin_dBm+E175-U175,"")</f>
        <v>1.39708287854035e-5</v>
      </c>
      <c r="W175" s="5" t="str">
        <f>IF(AND(器件参数!B175,X175=1,ISNUMBER(D175)),P175-D175,"")</f>
        <v/>
      </c>
      <c r="X175" s="5">
        <f>IF(NOT(ISNUMBER(C175)),-1,IF(OR(NOT(器件参数!B175),器件参数!M175="ideal"),0,IF(AND(ISNUMBER(P175),ISNUMBER(Q175)),1,-1)))</f>
        <v>0</v>
      </c>
      <c r="Y175" s="5" t="str">
        <f t="shared" si="49"/>
        <v>有效</v>
      </c>
      <c r="Z175" s="5" t="str">
        <f t="shared" si="50"/>
        <v>有效</v>
      </c>
      <c r="AA175" s="5" t="str">
        <f t="shared" si="51"/>
        <v>模型估算</v>
      </c>
      <c r="AB175" s="5">
        <f t="shared" si="52"/>
        <v>100000000</v>
      </c>
      <c r="AC175" s="5">
        <f>IF(NOT(ISNUMBER(AB175)),"",IF(OR(NOT(器件参数!B175),器件参数!E175&lt;&gt;"mixer"),AB175,IF(AND(ISNUMBER(器件参数!T175),器件参数!T175&gt;0),IF(器件参数!U175="sum",AB175+器件参数!T175,IF(器件参数!U175="difference",ABS(AB175-器件参数!T175),"")),"")))</f>
        <v>100000000</v>
      </c>
      <c r="AD175" s="5">
        <f t="shared" si="53"/>
        <v>0</v>
      </c>
      <c r="AE175" s="5">
        <f>IF(AND(ISNUMBER(G175),ISNUMBER(F175)),Tref_K*(G175-1)/F175,"")</f>
        <v>0</v>
      </c>
      <c r="AF175" s="5">
        <f>IF(AND(ISNUMBER(H175),ISNUMBER(E175),NoiseConfigOK),10*LOG10(Boltzmann*Bnoise_Hz*(Tsource_K+Tref_K*(H175-1)))+30+E175,"")</f>
        <v>-90.3704468972711</v>
      </c>
      <c r="AG175" s="5">
        <f t="shared" si="54"/>
        <v>80.3704468972711</v>
      </c>
      <c r="AH175" s="5">
        <f>IF(AND(ToneEnabled,ISNUMBER(E175),ISNUMBER(TonePin)),TonePin+E175,"")</f>
        <v>-10</v>
      </c>
      <c r="AI175" s="5">
        <f>IF(AND(ToneEnabled,ISNUMBER(E175),ISNUMBER(N175),ISNUMBER(TonePin)),3*TonePin+E175-2*N175,"")</f>
        <v>-83.9794000867204</v>
      </c>
      <c r="AJ175" s="5" t="str">
        <f t="shared" si="55"/>
        <v/>
      </c>
      <c r="AK175" s="5" t="str">
        <f>IF(NOT(器件参数!B175),"旁路",IF(NOT(ISNUMBER(AC175)),"频率未知",IF(AC175&lt;=SignalBW/2,"跨零频",IF(AND(ISNUMBER(器件参数!R175),ISNUMBER(器件参数!S175)),IF(AND(AB175-SignalBW/2&gt;=器件参数!R175,AB175+SignalBW/2&lt;=器件参数!S175),"有效","超声明通带"),"未声明通带"))))</f>
        <v>旁路</v>
      </c>
      <c r="AL175" s="5">
        <f t="shared" si="56"/>
        <v>0</v>
      </c>
      <c r="AM175" s="5" t="str">
        <f>IF(AND(器件参数!B175,ISNUMBER(器件参数!X175),OR(AND(ISNUMBER(J175),J175&gt;器件参数!X175),IF(AND(ToneEnabled,ISNUMBER(TonePin),ISNUMBER(D175)),TonePin+10*LOG10(2)+D175&gt;器件参数!X175,FALSE))),"超过绝对最大输入额定值","")</f>
        <v/>
      </c>
      <c r="AN175" s="5">
        <f>IF(NOT(ISNUMBER(AN174)),"",IF(OR(NOT(器件参数!B175),器件参数!E175&lt;&gt;"mixer"),AN174,IF(AND(ISNUMBER(器件参数!T175),器件参数!T175&gt;0),IF(器件参数!U175="sum",AN174+器件参数!T175,ABS(AN174-器件参数!T175)),"")))</f>
        <v>99950000</v>
      </c>
      <c r="AO175" s="5">
        <f>IF(NOT(ISNUMBER(AO174)),"",IF(OR(NOT(器件参数!B175),器件参数!E175&lt;&gt;"mixer"),AO174,IF(AND(ISNUMBER(器件参数!T175),器件参数!T175&gt;0),IF(器件参数!U175="sum",AO174+器件参数!T175,ABS(AO174-器件参数!T175)),"")))</f>
        <v>100050000</v>
      </c>
      <c r="AP175" s="5">
        <f>IF(NOT(ISNUMBER(AP174)),"",IF(OR(NOT(器件参数!B175),器件参数!E175&lt;&gt;"mixer"),AP174,IF(AND(ISNUMBER(器件参数!T175),器件参数!T175&gt;0),IF(器件参数!U175="sum",AP174+器件参数!T175,ABS(AP174-器件参数!T175)),"")))</f>
        <v>99850000</v>
      </c>
      <c r="AQ175" s="5">
        <f>IF(NOT(ISNUMBER(AQ174)),"",IF(OR(NOT(器件参数!B175),器件参数!E175&lt;&gt;"mixer"),AQ174,IF(AND(ISNUMBER(器件参数!T175),器件参数!T175&gt;0),IF(器件参数!U175="sum",AQ174+器件参数!T175,ABS(AQ174-器件参数!T175)),"")))</f>
        <v>100150000</v>
      </c>
      <c r="AR175" s="5" t="b">
        <f>IF(NOT(AR174),FALSE,IF(NOT(器件参数!B175),TRUE,AND(COUNT(AN175:AQ175)=4,MIN(AN175:AQ175)&gt;0,IF(AND(ISNUMBER(器件参数!R175),ISNUMBER(器件参数!S175)),AND(MIN(AN174:AQ174)&gt;=器件参数!R175,MAX(AN174:AQ174)&lt;=器件参数!S175),TRUE),IF(AND(器件参数!E175="mixer",器件参数!U175="difference"),OR(器件参数!T175&lt;MIN(AN174:AQ174),器件参数!T175&gt;MAX(AN174:AQ174)),TRUE))))</f>
        <v>1</v>
      </c>
    </row>
    <row r="176" hidden="1" spans="1:44">
      <c r="A176" s="5">
        <f>器件参数!A176</f>
        <v>173</v>
      </c>
      <c r="B176" s="5" t="str">
        <f>器件参数!D176</f>
        <v/>
      </c>
      <c r="C176" s="5">
        <f>IF(NOT(器件参数!B176),0,IF(AND(ISNUMBER(器件参数!F176),ABS(器件参数!F176)&lt;=300),器件参数!F176,""))</f>
        <v>0</v>
      </c>
      <c r="D176" s="5">
        <f t="shared" si="38"/>
        <v>20</v>
      </c>
      <c r="E176" s="5">
        <f t="shared" si="39"/>
        <v>20</v>
      </c>
      <c r="F176" s="5">
        <f t="shared" si="40"/>
        <v>100</v>
      </c>
      <c r="G176" s="5">
        <f>IFERROR(IF(NOT(器件参数!B176),1,IF(NOT(OR(器件参数!E176&lt;&gt;"mixer",AND(OR(器件参数!V176="SSB",器件参数!V176="DSB"),器件参数!W176=TRUE))),"",IF(器件参数!G176="ideal",1,IF(AND(器件参数!G176="manual",ISNUMBER(器件参数!H176),器件参数!H176&gt;=0),10^(器件参数!H176/10),IF(AND(器件参数!G176="passive_thermal",OR(器件参数!E176="filter_bpf",器件参数!E176="filter_lpf",器件参数!E176="filter_hpf",器件参数!E176="filter_bsf",器件参数!E176="attenuator",器件参数!E176="cable",器件参数!E176="connector",器件参数!E176="switch",器件参数!E176="isolator",器件参数!E176="coupler",器件参数!E176="splitter"),AND(ISNUMBER(器件参数!F176),ABS(器件参数!F176)&lt;=300),器件参数!F176&lt;=0,ISNUMBER(器件参数!I176),器件参数!I176&gt;0),1+(10^(-器件参数!F176/10)-1)*器件参数!I176/Tref_K,""))))),"数值域错误")</f>
        <v>1</v>
      </c>
      <c r="H176" s="5">
        <f t="shared" si="41"/>
        <v>2.29336948552238</v>
      </c>
      <c r="I176" s="5">
        <f t="shared" si="42"/>
        <v>3.604740296957</v>
      </c>
      <c r="J176" s="5">
        <f>IF(AND(ISNUMBER(Pin_dBm),ISNUMBER(D176)),Pin_dBm+D176,"")</f>
        <v>-10</v>
      </c>
      <c r="K176" s="5">
        <f>IF(AND(ISNUMBER(Pin_dBm),ISNUMBER(E176)),Pin_dBm+E176,"")</f>
        <v>-10</v>
      </c>
      <c r="L176" s="5" t="str">
        <f>IF(AND(器件参数!J176="finite",ISNUMBER(器件参数!L176),ISNUMBER(C176)),IF(器件参数!K176="input",器件参数!L176,IF(器件参数!K176="output",器件参数!L176-C176,"")),"")</f>
        <v/>
      </c>
      <c r="M176" s="5">
        <f>IFERROR(IF(NOT(ISNUMBER(M175)),"",IF(OR(NOT(器件参数!B176),器件参数!J176="ideal"),M175,IF(AND(ISNUMBER(L176),ISNUMBER(F176)),M175+F176/10^(L176/10),""))),"数值域错误")</f>
        <v>0.2</v>
      </c>
      <c r="N176" s="5">
        <f t="shared" si="43"/>
        <v>6.98970004336019</v>
      </c>
      <c r="O176" s="5">
        <f t="shared" si="44"/>
        <v>26.9897000433602</v>
      </c>
      <c r="P176" s="5" t="str">
        <f>IF(AND(器件参数!M176="finite",ISNUMBER(器件参数!O176),ISNUMBER(C176)),IF(器件参数!N176="input",器件参数!O176,IF(器件参数!N176="actual_output",器件参数!O176-C176+1,IF(器件参数!N176="linear_output",器件参数!O176-C176,""))),"")</f>
        <v/>
      </c>
      <c r="Q176" s="5">
        <f>IF(器件参数!P176="",IF(AND(ISNUMBER(DefaultP),DefaultP&gt;=1,DefaultP&lt;=10),DefaultP,""),IF(AND(ISNUMBER(器件参数!P176),器件参数!P176&gt;=1,器件参数!P176&lt;=10),器件参数!P176,""))</f>
        <v>2</v>
      </c>
      <c r="R176" s="5">
        <f t="shared" si="45"/>
        <v>-10.0000139708288</v>
      </c>
      <c r="S176" s="5" t="str">
        <f t="shared" si="46"/>
        <v/>
      </c>
      <c r="T176" s="5">
        <f t="shared" si="47"/>
        <v>0</v>
      </c>
      <c r="U176" s="5">
        <f t="shared" si="48"/>
        <v>-10.0000139708288</v>
      </c>
      <c r="V176" s="5">
        <f>IF(AND(ISNUMBER(Pin_dBm),ISNUMBER(E176),ISNUMBER(U176)),Pin_dBm+E176-U176,"")</f>
        <v>1.39708287854035e-5</v>
      </c>
      <c r="W176" s="5" t="str">
        <f>IF(AND(器件参数!B176,X176=1,ISNUMBER(D176)),P176-D176,"")</f>
        <v/>
      </c>
      <c r="X176" s="5">
        <f>IF(NOT(ISNUMBER(C176)),-1,IF(OR(NOT(器件参数!B176),器件参数!M176="ideal"),0,IF(AND(ISNUMBER(P176),ISNUMBER(Q176)),1,-1)))</f>
        <v>0</v>
      </c>
      <c r="Y176" s="5" t="str">
        <f t="shared" si="49"/>
        <v>有效</v>
      </c>
      <c r="Z176" s="5" t="str">
        <f t="shared" si="50"/>
        <v>有效</v>
      </c>
      <c r="AA176" s="5" t="str">
        <f t="shared" si="51"/>
        <v>模型估算</v>
      </c>
      <c r="AB176" s="5">
        <f t="shared" si="52"/>
        <v>100000000</v>
      </c>
      <c r="AC176" s="5">
        <f>IF(NOT(ISNUMBER(AB176)),"",IF(OR(NOT(器件参数!B176),器件参数!E176&lt;&gt;"mixer"),AB176,IF(AND(ISNUMBER(器件参数!T176),器件参数!T176&gt;0),IF(器件参数!U176="sum",AB176+器件参数!T176,IF(器件参数!U176="difference",ABS(AB176-器件参数!T176),"")),"")))</f>
        <v>100000000</v>
      </c>
      <c r="AD176" s="5">
        <f t="shared" si="53"/>
        <v>0</v>
      </c>
      <c r="AE176" s="5">
        <f>IF(AND(ISNUMBER(G176),ISNUMBER(F176)),Tref_K*(G176-1)/F176,"")</f>
        <v>0</v>
      </c>
      <c r="AF176" s="5">
        <f>IF(AND(ISNUMBER(H176),ISNUMBER(E176),NoiseConfigOK),10*LOG10(Boltzmann*Bnoise_Hz*(Tsource_K+Tref_K*(H176-1)))+30+E176,"")</f>
        <v>-90.3704468972711</v>
      </c>
      <c r="AG176" s="5">
        <f t="shared" si="54"/>
        <v>80.3704468972711</v>
      </c>
      <c r="AH176" s="5">
        <f>IF(AND(ToneEnabled,ISNUMBER(E176),ISNUMBER(TonePin)),TonePin+E176,"")</f>
        <v>-10</v>
      </c>
      <c r="AI176" s="5">
        <f>IF(AND(ToneEnabled,ISNUMBER(E176),ISNUMBER(N176),ISNUMBER(TonePin)),3*TonePin+E176-2*N176,"")</f>
        <v>-83.9794000867204</v>
      </c>
      <c r="AJ176" s="5" t="str">
        <f t="shared" si="55"/>
        <v/>
      </c>
      <c r="AK176" s="5" t="str">
        <f>IF(NOT(器件参数!B176),"旁路",IF(NOT(ISNUMBER(AC176)),"频率未知",IF(AC176&lt;=SignalBW/2,"跨零频",IF(AND(ISNUMBER(器件参数!R176),ISNUMBER(器件参数!S176)),IF(AND(AB176-SignalBW/2&gt;=器件参数!R176,AB176+SignalBW/2&lt;=器件参数!S176),"有效","超声明通带"),"未声明通带"))))</f>
        <v>旁路</v>
      </c>
      <c r="AL176" s="5">
        <f t="shared" si="56"/>
        <v>0</v>
      </c>
      <c r="AM176" s="5" t="str">
        <f>IF(AND(器件参数!B176,ISNUMBER(器件参数!X176),OR(AND(ISNUMBER(J176),J176&gt;器件参数!X176),IF(AND(ToneEnabled,ISNUMBER(TonePin),ISNUMBER(D176)),TonePin+10*LOG10(2)+D176&gt;器件参数!X176,FALSE))),"超过绝对最大输入额定值","")</f>
        <v/>
      </c>
      <c r="AN176" s="5">
        <f>IF(NOT(ISNUMBER(AN175)),"",IF(OR(NOT(器件参数!B176),器件参数!E176&lt;&gt;"mixer"),AN175,IF(AND(ISNUMBER(器件参数!T176),器件参数!T176&gt;0),IF(器件参数!U176="sum",AN175+器件参数!T176,ABS(AN175-器件参数!T176)),"")))</f>
        <v>99950000</v>
      </c>
      <c r="AO176" s="5">
        <f>IF(NOT(ISNUMBER(AO175)),"",IF(OR(NOT(器件参数!B176),器件参数!E176&lt;&gt;"mixer"),AO175,IF(AND(ISNUMBER(器件参数!T176),器件参数!T176&gt;0),IF(器件参数!U176="sum",AO175+器件参数!T176,ABS(AO175-器件参数!T176)),"")))</f>
        <v>100050000</v>
      </c>
      <c r="AP176" s="5">
        <f>IF(NOT(ISNUMBER(AP175)),"",IF(OR(NOT(器件参数!B176),器件参数!E176&lt;&gt;"mixer"),AP175,IF(AND(ISNUMBER(器件参数!T176),器件参数!T176&gt;0),IF(器件参数!U176="sum",AP175+器件参数!T176,ABS(AP175-器件参数!T176)),"")))</f>
        <v>99850000</v>
      </c>
      <c r="AQ176" s="5">
        <f>IF(NOT(ISNUMBER(AQ175)),"",IF(OR(NOT(器件参数!B176),器件参数!E176&lt;&gt;"mixer"),AQ175,IF(AND(ISNUMBER(器件参数!T176),器件参数!T176&gt;0),IF(器件参数!U176="sum",AQ175+器件参数!T176,ABS(AQ175-器件参数!T176)),"")))</f>
        <v>100150000</v>
      </c>
      <c r="AR176" s="5" t="b">
        <f>IF(NOT(AR175),FALSE,IF(NOT(器件参数!B176),TRUE,AND(COUNT(AN176:AQ176)=4,MIN(AN176:AQ176)&gt;0,IF(AND(ISNUMBER(器件参数!R176),ISNUMBER(器件参数!S176)),AND(MIN(AN175:AQ175)&gt;=器件参数!R176,MAX(AN175:AQ175)&lt;=器件参数!S176),TRUE),IF(AND(器件参数!E176="mixer",器件参数!U176="difference"),OR(器件参数!T176&lt;MIN(AN175:AQ175),器件参数!T176&gt;MAX(AN175:AQ175)),TRUE))))</f>
        <v>1</v>
      </c>
    </row>
    <row r="177" hidden="1" spans="1:44">
      <c r="A177" s="5">
        <f>器件参数!A177</f>
        <v>174</v>
      </c>
      <c r="B177" s="5" t="str">
        <f>器件参数!D177</f>
        <v/>
      </c>
      <c r="C177" s="5">
        <f>IF(NOT(器件参数!B177),0,IF(AND(ISNUMBER(器件参数!F177),ABS(器件参数!F177)&lt;=300),器件参数!F177,""))</f>
        <v>0</v>
      </c>
      <c r="D177" s="5">
        <f t="shared" si="38"/>
        <v>20</v>
      </c>
      <c r="E177" s="5">
        <f t="shared" si="39"/>
        <v>20</v>
      </c>
      <c r="F177" s="5">
        <f t="shared" si="40"/>
        <v>100</v>
      </c>
      <c r="G177" s="5">
        <f>IFERROR(IF(NOT(器件参数!B177),1,IF(NOT(OR(器件参数!E177&lt;&gt;"mixer",AND(OR(器件参数!V177="SSB",器件参数!V177="DSB"),器件参数!W177=TRUE))),"",IF(器件参数!G177="ideal",1,IF(AND(器件参数!G177="manual",ISNUMBER(器件参数!H177),器件参数!H177&gt;=0),10^(器件参数!H177/10),IF(AND(器件参数!G177="passive_thermal",OR(器件参数!E177="filter_bpf",器件参数!E177="filter_lpf",器件参数!E177="filter_hpf",器件参数!E177="filter_bsf",器件参数!E177="attenuator",器件参数!E177="cable",器件参数!E177="connector",器件参数!E177="switch",器件参数!E177="isolator",器件参数!E177="coupler",器件参数!E177="splitter"),AND(ISNUMBER(器件参数!F177),ABS(器件参数!F177)&lt;=300),器件参数!F177&lt;=0,ISNUMBER(器件参数!I177),器件参数!I177&gt;0),1+(10^(-器件参数!F177/10)-1)*器件参数!I177/Tref_K,""))))),"数值域错误")</f>
        <v>1</v>
      </c>
      <c r="H177" s="5">
        <f t="shared" si="41"/>
        <v>2.29336948552238</v>
      </c>
      <c r="I177" s="5">
        <f t="shared" si="42"/>
        <v>3.604740296957</v>
      </c>
      <c r="J177" s="5">
        <f>IF(AND(ISNUMBER(Pin_dBm),ISNUMBER(D177)),Pin_dBm+D177,"")</f>
        <v>-10</v>
      </c>
      <c r="K177" s="5">
        <f>IF(AND(ISNUMBER(Pin_dBm),ISNUMBER(E177)),Pin_dBm+E177,"")</f>
        <v>-10</v>
      </c>
      <c r="L177" s="5" t="str">
        <f>IF(AND(器件参数!J177="finite",ISNUMBER(器件参数!L177),ISNUMBER(C177)),IF(器件参数!K177="input",器件参数!L177,IF(器件参数!K177="output",器件参数!L177-C177,"")),"")</f>
        <v/>
      </c>
      <c r="M177" s="5">
        <f>IFERROR(IF(NOT(ISNUMBER(M176)),"",IF(OR(NOT(器件参数!B177),器件参数!J177="ideal"),M176,IF(AND(ISNUMBER(L177),ISNUMBER(F177)),M176+F177/10^(L177/10),""))),"数值域错误")</f>
        <v>0.2</v>
      </c>
      <c r="N177" s="5">
        <f t="shared" si="43"/>
        <v>6.98970004336019</v>
      </c>
      <c r="O177" s="5">
        <f t="shared" si="44"/>
        <v>26.9897000433602</v>
      </c>
      <c r="P177" s="5" t="str">
        <f>IF(AND(器件参数!M177="finite",ISNUMBER(器件参数!O177),ISNUMBER(C177)),IF(器件参数!N177="input",器件参数!O177,IF(器件参数!N177="actual_output",器件参数!O177-C177+1,IF(器件参数!N177="linear_output",器件参数!O177-C177,""))),"")</f>
        <v/>
      </c>
      <c r="Q177" s="5">
        <f>IF(器件参数!P177="",IF(AND(ISNUMBER(DefaultP),DefaultP&gt;=1,DefaultP&lt;=10),DefaultP,""),IF(AND(ISNUMBER(器件参数!P177),器件参数!P177&gt;=1,器件参数!P177&lt;=10),器件参数!P177,""))</f>
        <v>2</v>
      </c>
      <c r="R177" s="5">
        <f t="shared" si="45"/>
        <v>-10.0000139708288</v>
      </c>
      <c r="S177" s="5" t="str">
        <f t="shared" si="46"/>
        <v/>
      </c>
      <c r="T177" s="5">
        <f t="shared" si="47"/>
        <v>0</v>
      </c>
      <c r="U177" s="5">
        <f t="shared" si="48"/>
        <v>-10.0000139708288</v>
      </c>
      <c r="V177" s="5">
        <f>IF(AND(ISNUMBER(Pin_dBm),ISNUMBER(E177),ISNUMBER(U177)),Pin_dBm+E177-U177,"")</f>
        <v>1.39708287854035e-5</v>
      </c>
      <c r="W177" s="5" t="str">
        <f>IF(AND(器件参数!B177,X177=1,ISNUMBER(D177)),P177-D177,"")</f>
        <v/>
      </c>
      <c r="X177" s="5">
        <f>IF(NOT(ISNUMBER(C177)),-1,IF(OR(NOT(器件参数!B177),器件参数!M177="ideal"),0,IF(AND(ISNUMBER(P177),ISNUMBER(Q177)),1,-1)))</f>
        <v>0</v>
      </c>
      <c r="Y177" s="5" t="str">
        <f t="shared" si="49"/>
        <v>有效</v>
      </c>
      <c r="Z177" s="5" t="str">
        <f t="shared" si="50"/>
        <v>有效</v>
      </c>
      <c r="AA177" s="5" t="str">
        <f t="shared" si="51"/>
        <v>模型估算</v>
      </c>
      <c r="AB177" s="5">
        <f t="shared" si="52"/>
        <v>100000000</v>
      </c>
      <c r="AC177" s="5">
        <f>IF(NOT(ISNUMBER(AB177)),"",IF(OR(NOT(器件参数!B177),器件参数!E177&lt;&gt;"mixer"),AB177,IF(AND(ISNUMBER(器件参数!T177),器件参数!T177&gt;0),IF(器件参数!U177="sum",AB177+器件参数!T177,IF(器件参数!U177="difference",ABS(AB177-器件参数!T177),"")),"")))</f>
        <v>100000000</v>
      </c>
      <c r="AD177" s="5">
        <f t="shared" si="53"/>
        <v>0</v>
      </c>
      <c r="AE177" s="5">
        <f>IF(AND(ISNUMBER(G177),ISNUMBER(F177)),Tref_K*(G177-1)/F177,"")</f>
        <v>0</v>
      </c>
      <c r="AF177" s="5">
        <f>IF(AND(ISNUMBER(H177),ISNUMBER(E177),NoiseConfigOK),10*LOG10(Boltzmann*Bnoise_Hz*(Tsource_K+Tref_K*(H177-1)))+30+E177,"")</f>
        <v>-90.3704468972711</v>
      </c>
      <c r="AG177" s="5">
        <f t="shared" si="54"/>
        <v>80.3704468972711</v>
      </c>
      <c r="AH177" s="5">
        <f>IF(AND(ToneEnabled,ISNUMBER(E177),ISNUMBER(TonePin)),TonePin+E177,"")</f>
        <v>-10</v>
      </c>
      <c r="AI177" s="5">
        <f>IF(AND(ToneEnabled,ISNUMBER(E177),ISNUMBER(N177),ISNUMBER(TonePin)),3*TonePin+E177-2*N177,"")</f>
        <v>-83.9794000867204</v>
      </c>
      <c r="AJ177" s="5" t="str">
        <f t="shared" si="55"/>
        <v/>
      </c>
      <c r="AK177" s="5" t="str">
        <f>IF(NOT(器件参数!B177),"旁路",IF(NOT(ISNUMBER(AC177)),"频率未知",IF(AC177&lt;=SignalBW/2,"跨零频",IF(AND(ISNUMBER(器件参数!R177),ISNUMBER(器件参数!S177)),IF(AND(AB177-SignalBW/2&gt;=器件参数!R177,AB177+SignalBW/2&lt;=器件参数!S177),"有效","超声明通带"),"未声明通带"))))</f>
        <v>旁路</v>
      </c>
      <c r="AL177" s="5">
        <f t="shared" si="56"/>
        <v>0</v>
      </c>
      <c r="AM177" s="5" t="str">
        <f>IF(AND(器件参数!B177,ISNUMBER(器件参数!X177),OR(AND(ISNUMBER(J177),J177&gt;器件参数!X177),IF(AND(ToneEnabled,ISNUMBER(TonePin),ISNUMBER(D177)),TonePin+10*LOG10(2)+D177&gt;器件参数!X177,FALSE))),"超过绝对最大输入额定值","")</f>
        <v/>
      </c>
      <c r="AN177" s="5">
        <f>IF(NOT(ISNUMBER(AN176)),"",IF(OR(NOT(器件参数!B177),器件参数!E177&lt;&gt;"mixer"),AN176,IF(AND(ISNUMBER(器件参数!T177),器件参数!T177&gt;0),IF(器件参数!U177="sum",AN176+器件参数!T177,ABS(AN176-器件参数!T177)),"")))</f>
        <v>99950000</v>
      </c>
      <c r="AO177" s="5">
        <f>IF(NOT(ISNUMBER(AO176)),"",IF(OR(NOT(器件参数!B177),器件参数!E177&lt;&gt;"mixer"),AO176,IF(AND(ISNUMBER(器件参数!T177),器件参数!T177&gt;0),IF(器件参数!U177="sum",AO176+器件参数!T177,ABS(AO176-器件参数!T177)),"")))</f>
        <v>100050000</v>
      </c>
      <c r="AP177" s="5">
        <f>IF(NOT(ISNUMBER(AP176)),"",IF(OR(NOT(器件参数!B177),器件参数!E177&lt;&gt;"mixer"),AP176,IF(AND(ISNUMBER(器件参数!T177),器件参数!T177&gt;0),IF(器件参数!U177="sum",AP176+器件参数!T177,ABS(AP176-器件参数!T177)),"")))</f>
        <v>99850000</v>
      </c>
      <c r="AQ177" s="5">
        <f>IF(NOT(ISNUMBER(AQ176)),"",IF(OR(NOT(器件参数!B177),器件参数!E177&lt;&gt;"mixer"),AQ176,IF(AND(ISNUMBER(器件参数!T177),器件参数!T177&gt;0),IF(器件参数!U177="sum",AQ176+器件参数!T177,ABS(AQ176-器件参数!T177)),"")))</f>
        <v>100150000</v>
      </c>
      <c r="AR177" s="5" t="b">
        <f>IF(NOT(AR176),FALSE,IF(NOT(器件参数!B177),TRUE,AND(COUNT(AN177:AQ177)=4,MIN(AN177:AQ177)&gt;0,IF(AND(ISNUMBER(器件参数!R177),ISNUMBER(器件参数!S177)),AND(MIN(AN176:AQ176)&gt;=器件参数!R177,MAX(AN176:AQ176)&lt;=器件参数!S177),TRUE),IF(AND(器件参数!E177="mixer",器件参数!U177="difference"),OR(器件参数!T177&lt;MIN(AN176:AQ176),器件参数!T177&gt;MAX(AN176:AQ176)),TRUE))))</f>
        <v>1</v>
      </c>
    </row>
    <row r="178" hidden="1" spans="1:44">
      <c r="A178" s="5">
        <f>器件参数!A178</f>
        <v>175</v>
      </c>
      <c r="B178" s="5" t="str">
        <f>器件参数!D178</f>
        <v/>
      </c>
      <c r="C178" s="5">
        <f>IF(NOT(器件参数!B178),0,IF(AND(ISNUMBER(器件参数!F178),ABS(器件参数!F178)&lt;=300),器件参数!F178,""))</f>
        <v>0</v>
      </c>
      <c r="D178" s="5">
        <f t="shared" si="38"/>
        <v>20</v>
      </c>
      <c r="E178" s="5">
        <f t="shared" si="39"/>
        <v>20</v>
      </c>
      <c r="F178" s="5">
        <f t="shared" si="40"/>
        <v>100</v>
      </c>
      <c r="G178" s="5">
        <f>IFERROR(IF(NOT(器件参数!B178),1,IF(NOT(OR(器件参数!E178&lt;&gt;"mixer",AND(OR(器件参数!V178="SSB",器件参数!V178="DSB"),器件参数!W178=TRUE))),"",IF(器件参数!G178="ideal",1,IF(AND(器件参数!G178="manual",ISNUMBER(器件参数!H178),器件参数!H178&gt;=0),10^(器件参数!H178/10),IF(AND(器件参数!G178="passive_thermal",OR(器件参数!E178="filter_bpf",器件参数!E178="filter_lpf",器件参数!E178="filter_hpf",器件参数!E178="filter_bsf",器件参数!E178="attenuator",器件参数!E178="cable",器件参数!E178="connector",器件参数!E178="switch",器件参数!E178="isolator",器件参数!E178="coupler",器件参数!E178="splitter"),AND(ISNUMBER(器件参数!F178),ABS(器件参数!F178)&lt;=300),器件参数!F178&lt;=0,ISNUMBER(器件参数!I178),器件参数!I178&gt;0),1+(10^(-器件参数!F178/10)-1)*器件参数!I178/Tref_K,""))))),"数值域错误")</f>
        <v>1</v>
      </c>
      <c r="H178" s="5">
        <f t="shared" si="41"/>
        <v>2.29336948552238</v>
      </c>
      <c r="I178" s="5">
        <f t="shared" si="42"/>
        <v>3.604740296957</v>
      </c>
      <c r="J178" s="5">
        <f>IF(AND(ISNUMBER(Pin_dBm),ISNUMBER(D178)),Pin_dBm+D178,"")</f>
        <v>-10</v>
      </c>
      <c r="K178" s="5">
        <f>IF(AND(ISNUMBER(Pin_dBm),ISNUMBER(E178)),Pin_dBm+E178,"")</f>
        <v>-10</v>
      </c>
      <c r="L178" s="5" t="str">
        <f>IF(AND(器件参数!J178="finite",ISNUMBER(器件参数!L178),ISNUMBER(C178)),IF(器件参数!K178="input",器件参数!L178,IF(器件参数!K178="output",器件参数!L178-C178,"")),"")</f>
        <v/>
      </c>
      <c r="M178" s="5">
        <f>IFERROR(IF(NOT(ISNUMBER(M177)),"",IF(OR(NOT(器件参数!B178),器件参数!J178="ideal"),M177,IF(AND(ISNUMBER(L178),ISNUMBER(F178)),M177+F178/10^(L178/10),""))),"数值域错误")</f>
        <v>0.2</v>
      </c>
      <c r="N178" s="5">
        <f t="shared" si="43"/>
        <v>6.98970004336019</v>
      </c>
      <c r="O178" s="5">
        <f t="shared" si="44"/>
        <v>26.9897000433602</v>
      </c>
      <c r="P178" s="5" t="str">
        <f>IF(AND(器件参数!M178="finite",ISNUMBER(器件参数!O178),ISNUMBER(C178)),IF(器件参数!N178="input",器件参数!O178,IF(器件参数!N178="actual_output",器件参数!O178-C178+1,IF(器件参数!N178="linear_output",器件参数!O178-C178,""))),"")</f>
        <v/>
      </c>
      <c r="Q178" s="5">
        <f>IF(器件参数!P178="",IF(AND(ISNUMBER(DefaultP),DefaultP&gt;=1,DefaultP&lt;=10),DefaultP,""),IF(AND(ISNUMBER(器件参数!P178),器件参数!P178&gt;=1,器件参数!P178&lt;=10),器件参数!P178,""))</f>
        <v>2</v>
      </c>
      <c r="R178" s="5">
        <f t="shared" si="45"/>
        <v>-10.0000139708288</v>
      </c>
      <c r="S178" s="5" t="str">
        <f t="shared" si="46"/>
        <v/>
      </c>
      <c r="T178" s="5">
        <f t="shared" si="47"/>
        <v>0</v>
      </c>
      <c r="U178" s="5">
        <f t="shared" si="48"/>
        <v>-10.0000139708288</v>
      </c>
      <c r="V178" s="5">
        <f>IF(AND(ISNUMBER(Pin_dBm),ISNUMBER(E178),ISNUMBER(U178)),Pin_dBm+E178-U178,"")</f>
        <v>1.39708287854035e-5</v>
      </c>
      <c r="W178" s="5" t="str">
        <f>IF(AND(器件参数!B178,X178=1,ISNUMBER(D178)),P178-D178,"")</f>
        <v/>
      </c>
      <c r="X178" s="5">
        <f>IF(NOT(ISNUMBER(C178)),-1,IF(OR(NOT(器件参数!B178),器件参数!M178="ideal"),0,IF(AND(ISNUMBER(P178),ISNUMBER(Q178)),1,-1)))</f>
        <v>0</v>
      </c>
      <c r="Y178" s="5" t="str">
        <f t="shared" si="49"/>
        <v>有效</v>
      </c>
      <c r="Z178" s="5" t="str">
        <f t="shared" si="50"/>
        <v>有效</v>
      </c>
      <c r="AA178" s="5" t="str">
        <f t="shared" si="51"/>
        <v>模型估算</v>
      </c>
      <c r="AB178" s="5">
        <f t="shared" si="52"/>
        <v>100000000</v>
      </c>
      <c r="AC178" s="5">
        <f>IF(NOT(ISNUMBER(AB178)),"",IF(OR(NOT(器件参数!B178),器件参数!E178&lt;&gt;"mixer"),AB178,IF(AND(ISNUMBER(器件参数!T178),器件参数!T178&gt;0),IF(器件参数!U178="sum",AB178+器件参数!T178,IF(器件参数!U178="difference",ABS(AB178-器件参数!T178),"")),"")))</f>
        <v>100000000</v>
      </c>
      <c r="AD178" s="5">
        <f t="shared" si="53"/>
        <v>0</v>
      </c>
      <c r="AE178" s="5">
        <f>IF(AND(ISNUMBER(G178),ISNUMBER(F178)),Tref_K*(G178-1)/F178,"")</f>
        <v>0</v>
      </c>
      <c r="AF178" s="5">
        <f>IF(AND(ISNUMBER(H178),ISNUMBER(E178),NoiseConfigOK),10*LOG10(Boltzmann*Bnoise_Hz*(Tsource_K+Tref_K*(H178-1)))+30+E178,"")</f>
        <v>-90.3704468972711</v>
      </c>
      <c r="AG178" s="5">
        <f t="shared" si="54"/>
        <v>80.3704468972711</v>
      </c>
      <c r="AH178" s="5">
        <f>IF(AND(ToneEnabled,ISNUMBER(E178),ISNUMBER(TonePin)),TonePin+E178,"")</f>
        <v>-10</v>
      </c>
      <c r="AI178" s="5">
        <f>IF(AND(ToneEnabled,ISNUMBER(E178),ISNUMBER(N178),ISNUMBER(TonePin)),3*TonePin+E178-2*N178,"")</f>
        <v>-83.9794000867204</v>
      </c>
      <c r="AJ178" s="5" t="str">
        <f t="shared" si="55"/>
        <v/>
      </c>
      <c r="AK178" s="5" t="str">
        <f>IF(NOT(器件参数!B178),"旁路",IF(NOT(ISNUMBER(AC178)),"频率未知",IF(AC178&lt;=SignalBW/2,"跨零频",IF(AND(ISNUMBER(器件参数!R178),ISNUMBER(器件参数!S178)),IF(AND(AB178-SignalBW/2&gt;=器件参数!R178,AB178+SignalBW/2&lt;=器件参数!S178),"有效","超声明通带"),"未声明通带"))))</f>
        <v>旁路</v>
      </c>
      <c r="AL178" s="5">
        <f t="shared" si="56"/>
        <v>0</v>
      </c>
      <c r="AM178" s="5" t="str">
        <f>IF(AND(器件参数!B178,ISNUMBER(器件参数!X178),OR(AND(ISNUMBER(J178),J178&gt;器件参数!X178),IF(AND(ToneEnabled,ISNUMBER(TonePin),ISNUMBER(D178)),TonePin+10*LOG10(2)+D178&gt;器件参数!X178,FALSE))),"超过绝对最大输入额定值","")</f>
        <v/>
      </c>
      <c r="AN178" s="5">
        <f>IF(NOT(ISNUMBER(AN177)),"",IF(OR(NOT(器件参数!B178),器件参数!E178&lt;&gt;"mixer"),AN177,IF(AND(ISNUMBER(器件参数!T178),器件参数!T178&gt;0),IF(器件参数!U178="sum",AN177+器件参数!T178,ABS(AN177-器件参数!T178)),"")))</f>
        <v>99950000</v>
      </c>
      <c r="AO178" s="5">
        <f>IF(NOT(ISNUMBER(AO177)),"",IF(OR(NOT(器件参数!B178),器件参数!E178&lt;&gt;"mixer"),AO177,IF(AND(ISNUMBER(器件参数!T178),器件参数!T178&gt;0),IF(器件参数!U178="sum",AO177+器件参数!T178,ABS(AO177-器件参数!T178)),"")))</f>
        <v>100050000</v>
      </c>
      <c r="AP178" s="5">
        <f>IF(NOT(ISNUMBER(AP177)),"",IF(OR(NOT(器件参数!B178),器件参数!E178&lt;&gt;"mixer"),AP177,IF(AND(ISNUMBER(器件参数!T178),器件参数!T178&gt;0),IF(器件参数!U178="sum",AP177+器件参数!T178,ABS(AP177-器件参数!T178)),"")))</f>
        <v>99850000</v>
      </c>
      <c r="AQ178" s="5">
        <f>IF(NOT(ISNUMBER(AQ177)),"",IF(OR(NOT(器件参数!B178),器件参数!E178&lt;&gt;"mixer"),AQ177,IF(AND(ISNUMBER(器件参数!T178),器件参数!T178&gt;0),IF(器件参数!U178="sum",AQ177+器件参数!T178,ABS(AQ177-器件参数!T178)),"")))</f>
        <v>100150000</v>
      </c>
      <c r="AR178" s="5" t="b">
        <f>IF(NOT(AR177),FALSE,IF(NOT(器件参数!B178),TRUE,AND(COUNT(AN178:AQ178)=4,MIN(AN178:AQ178)&gt;0,IF(AND(ISNUMBER(器件参数!R178),ISNUMBER(器件参数!S178)),AND(MIN(AN177:AQ177)&gt;=器件参数!R178,MAX(AN177:AQ177)&lt;=器件参数!S178),TRUE),IF(AND(器件参数!E178="mixer",器件参数!U178="difference"),OR(器件参数!T178&lt;MIN(AN177:AQ177),器件参数!T178&gt;MAX(AN177:AQ177)),TRUE))))</f>
        <v>1</v>
      </c>
    </row>
    <row r="179" hidden="1" spans="1:44">
      <c r="A179" s="5">
        <f>器件参数!A179</f>
        <v>176</v>
      </c>
      <c r="B179" s="5" t="str">
        <f>器件参数!D179</f>
        <v/>
      </c>
      <c r="C179" s="5">
        <f>IF(NOT(器件参数!B179),0,IF(AND(ISNUMBER(器件参数!F179),ABS(器件参数!F179)&lt;=300),器件参数!F179,""))</f>
        <v>0</v>
      </c>
      <c r="D179" s="5">
        <f t="shared" si="38"/>
        <v>20</v>
      </c>
      <c r="E179" s="5">
        <f t="shared" si="39"/>
        <v>20</v>
      </c>
      <c r="F179" s="5">
        <f t="shared" si="40"/>
        <v>100</v>
      </c>
      <c r="G179" s="5">
        <f>IFERROR(IF(NOT(器件参数!B179),1,IF(NOT(OR(器件参数!E179&lt;&gt;"mixer",AND(OR(器件参数!V179="SSB",器件参数!V179="DSB"),器件参数!W179=TRUE))),"",IF(器件参数!G179="ideal",1,IF(AND(器件参数!G179="manual",ISNUMBER(器件参数!H179),器件参数!H179&gt;=0),10^(器件参数!H179/10),IF(AND(器件参数!G179="passive_thermal",OR(器件参数!E179="filter_bpf",器件参数!E179="filter_lpf",器件参数!E179="filter_hpf",器件参数!E179="filter_bsf",器件参数!E179="attenuator",器件参数!E179="cable",器件参数!E179="connector",器件参数!E179="switch",器件参数!E179="isolator",器件参数!E179="coupler",器件参数!E179="splitter"),AND(ISNUMBER(器件参数!F179),ABS(器件参数!F179)&lt;=300),器件参数!F179&lt;=0,ISNUMBER(器件参数!I179),器件参数!I179&gt;0),1+(10^(-器件参数!F179/10)-1)*器件参数!I179/Tref_K,""))))),"数值域错误")</f>
        <v>1</v>
      </c>
      <c r="H179" s="5">
        <f t="shared" si="41"/>
        <v>2.29336948552238</v>
      </c>
      <c r="I179" s="5">
        <f t="shared" si="42"/>
        <v>3.604740296957</v>
      </c>
      <c r="J179" s="5">
        <f>IF(AND(ISNUMBER(Pin_dBm),ISNUMBER(D179)),Pin_dBm+D179,"")</f>
        <v>-10</v>
      </c>
      <c r="K179" s="5">
        <f>IF(AND(ISNUMBER(Pin_dBm),ISNUMBER(E179)),Pin_dBm+E179,"")</f>
        <v>-10</v>
      </c>
      <c r="L179" s="5" t="str">
        <f>IF(AND(器件参数!J179="finite",ISNUMBER(器件参数!L179),ISNUMBER(C179)),IF(器件参数!K179="input",器件参数!L179,IF(器件参数!K179="output",器件参数!L179-C179,"")),"")</f>
        <v/>
      </c>
      <c r="M179" s="5">
        <f>IFERROR(IF(NOT(ISNUMBER(M178)),"",IF(OR(NOT(器件参数!B179),器件参数!J179="ideal"),M178,IF(AND(ISNUMBER(L179),ISNUMBER(F179)),M178+F179/10^(L179/10),""))),"数值域错误")</f>
        <v>0.2</v>
      </c>
      <c r="N179" s="5">
        <f t="shared" si="43"/>
        <v>6.98970004336019</v>
      </c>
      <c r="O179" s="5">
        <f t="shared" si="44"/>
        <v>26.9897000433602</v>
      </c>
      <c r="P179" s="5" t="str">
        <f>IF(AND(器件参数!M179="finite",ISNUMBER(器件参数!O179),ISNUMBER(C179)),IF(器件参数!N179="input",器件参数!O179,IF(器件参数!N179="actual_output",器件参数!O179-C179+1,IF(器件参数!N179="linear_output",器件参数!O179-C179,""))),"")</f>
        <v/>
      </c>
      <c r="Q179" s="5">
        <f>IF(器件参数!P179="",IF(AND(ISNUMBER(DefaultP),DefaultP&gt;=1,DefaultP&lt;=10),DefaultP,""),IF(AND(ISNUMBER(器件参数!P179),器件参数!P179&gt;=1,器件参数!P179&lt;=10),器件参数!P179,""))</f>
        <v>2</v>
      </c>
      <c r="R179" s="5">
        <f t="shared" si="45"/>
        <v>-10.0000139708288</v>
      </c>
      <c r="S179" s="5" t="str">
        <f t="shared" si="46"/>
        <v/>
      </c>
      <c r="T179" s="5">
        <f t="shared" si="47"/>
        <v>0</v>
      </c>
      <c r="U179" s="5">
        <f t="shared" si="48"/>
        <v>-10.0000139708288</v>
      </c>
      <c r="V179" s="5">
        <f>IF(AND(ISNUMBER(Pin_dBm),ISNUMBER(E179),ISNUMBER(U179)),Pin_dBm+E179-U179,"")</f>
        <v>1.39708287854035e-5</v>
      </c>
      <c r="W179" s="5" t="str">
        <f>IF(AND(器件参数!B179,X179=1,ISNUMBER(D179)),P179-D179,"")</f>
        <v/>
      </c>
      <c r="X179" s="5">
        <f>IF(NOT(ISNUMBER(C179)),-1,IF(OR(NOT(器件参数!B179),器件参数!M179="ideal"),0,IF(AND(ISNUMBER(P179),ISNUMBER(Q179)),1,-1)))</f>
        <v>0</v>
      </c>
      <c r="Y179" s="5" t="str">
        <f t="shared" si="49"/>
        <v>有效</v>
      </c>
      <c r="Z179" s="5" t="str">
        <f t="shared" si="50"/>
        <v>有效</v>
      </c>
      <c r="AA179" s="5" t="str">
        <f t="shared" si="51"/>
        <v>模型估算</v>
      </c>
      <c r="AB179" s="5">
        <f t="shared" si="52"/>
        <v>100000000</v>
      </c>
      <c r="AC179" s="5">
        <f>IF(NOT(ISNUMBER(AB179)),"",IF(OR(NOT(器件参数!B179),器件参数!E179&lt;&gt;"mixer"),AB179,IF(AND(ISNUMBER(器件参数!T179),器件参数!T179&gt;0),IF(器件参数!U179="sum",AB179+器件参数!T179,IF(器件参数!U179="difference",ABS(AB179-器件参数!T179),"")),"")))</f>
        <v>100000000</v>
      </c>
      <c r="AD179" s="5">
        <f t="shared" si="53"/>
        <v>0</v>
      </c>
      <c r="AE179" s="5">
        <f>IF(AND(ISNUMBER(G179),ISNUMBER(F179)),Tref_K*(G179-1)/F179,"")</f>
        <v>0</v>
      </c>
      <c r="AF179" s="5">
        <f>IF(AND(ISNUMBER(H179),ISNUMBER(E179),NoiseConfigOK),10*LOG10(Boltzmann*Bnoise_Hz*(Tsource_K+Tref_K*(H179-1)))+30+E179,"")</f>
        <v>-90.3704468972711</v>
      </c>
      <c r="AG179" s="5">
        <f t="shared" si="54"/>
        <v>80.3704468972711</v>
      </c>
      <c r="AH179" s="5">
        <f>IF(AND(ToneEnabled,ISNUMBER(E179),ISNUMBER(TonePin)),TonePin+E179,"")</f>
        <v>-10</v>
      </c>
      <c r="AI179" s="5">
        <f>IF(AND(ToneEnabled,ISNUMBER(E179),ISNUMBER(N179),ISNUMBER(TonePin)),3*TonePin+E179-2*N179,"")</f>
        <v>-83.9794000867204</v>
      </c>
      <c r="AJ179" s="5" t="str">
        <f t="shared" si="55"/>
        <v/>
      </c>
      <c r="AK179" s="5" t="str">
        <f>IF(NOT(器件参数!B179),"旁路",IF(NOT(ISNUMBER(AC179)),"频率未知",IF(AC179&lt;=SignalBW/2,"跨零频",IF(AND(ISNUMBER(器件参数!R179),ISNUMBER(器件参数!S179)),IF(AND(AB179-SignalBW/2&gt;=器件参数!R179,AB179+SignalBW/2&lt;=器件参数!S179),"有效","超声明通带"),"未声明通带"))))</f>
        <v>旁路</v>
      </c>
      <c r="AL179" s="5">
        <f t="shared" si="56"/>
        <v>0</v>
      </c>
      <c r="AM179" s="5" t="str">
        <f>IF(AND(器件参数!B179,ISNUMBER(器件参数!X179),OR(AND(ISNUMBER(J179),J179&gt;器件参数!X179),IF(AND(ToneEnabled,ISNUMBER(TonePin),ISNUMBER(D179)),TonePin+10*LOG10(2)+D179&gt;器件参数!X179,FALSE))),"超过绝对最大输入额定值","")</f>
        <v/>
      </c>
      <c r="AN179" s="5">
        <f>IF(NOT(ISNUMBER(AN178)),"",IF(OR(NOT(器件参数!B179),器件参数!E179&lt;&gt;"mixer"),AN178,IF(AND(ISNUMBER(器件参数!T179),器件参数!T179&gt;0),IF(器件参数!U179="sum",AN178+器件参数!T179,ABS(AN178-器件参数!T179)),"")))</f>
        <v>99950000</v>
      </c>
      <c r="AO179" s="5">
        <f>IF(NOT(ISNUMBER(AO178)),"",IF(OR(NOT(器件参数!B179),器件参数!E179&lt;&gt;"mixer"),AO178,IF(AND(ISNUMBER(器件参数!T179),器件参数!T179&gt;0),IF(器件参数!U179="sum",AO178+器件参数!T179,ABS(AO178-器件参数!T179)),"")))</f>
        <v>100050000</v>
      </c>
      <c r="AP179" s="5">
        <f>IF(NOT(ISNUMBER(AP178)),"",IF(OR(NOT(器件参数!B179),器件参数!E179&lt;&gt;"mixer"),AP178,IF(AND(ISNUMBER(器件参数!T179),器件参数!T179&gt;0),IF(器件参数!U179="sum",AP178+器件参数!T179,ABS(AP178-器件参数!T179)),"")))</f>
        <v>99850000</v>
      </c>
      <c r="AQ179" s="5">
        <f>IF(NOT(ISNUMBER(AQ178)),"",IF(OR(NOT(器件参数!B179),器件参数!E179&lt;&gt;"mixer"),AQ178,IF(AND(ISNUMBER(器件参数!T179),器件参数!T179&gt;0),IF(器件参数!U179="sum",AQ178+器件参数!T179,ABS(AQ178-器件参数!T179)),"")))</f>
        <v>100150000</v>
      </c>
      <c r="AR179" s="5" t="b">
        <f>IF(NOT(AR178),FALSE,IF(NOT(器件参数!B179),TRUE,AND(COUNT(AN179:AQ179)=4,MIN(AN179:AQ179)&gt;0,IF(AND(ISNUMBER(器件参数!R179),ISNUMBER(器件参数!S179)),AND(MIN(AN178:AQ178)&gt;=器件参数!R179,MAX(AN178:AQ178)&lt;=器件参数!S179),TRUE),IF(AND(器件参数!E179="mixer",器件参数!U179="difference"),OR(器件参数!T179&lt;MIN(AN178:AQ178),器件参数!T179&gt;MAX(AN178:AQ178)),TRUE))))</f>
        <v>1</v>
      </c>
    </row>
    <row r="180" hidden="1" spans="1:44">
      <c r="A180" s="5">
        <f>器件参数!A180</f>
        <v>177</v>
      </c>
      <c r="B180" s="5" t="str">
        <f>器件参数!D180</f>
        <v/>
      </c>
      <c r="C180" s="5">
        <f>IF(NOT(器件参数!B180),0,IF(AND(ISNUMBER(器件参数!F180),ABS(器件参数!F180)&lt;=300),器件参数!F180,""))</f>
        <v>0</v>
      </c>
      <c r="D180" s="5">
        <f t="shared" si="38"/>
        <v>20</v>
      </c>
      <c r="E180" s="5">
        <f t="shared" si="39"/>
        <v>20</v>
      </c>
      <c r="F180" s="5">
        <f t="shared" si="40"/>
        <v>100</v>
      </c>
      <c r="G180" s="5">
        <f>IFERROR(IF(NOT(器件参数!B180),1,IF(NOT(OR(器件参数!E180&lt;&gt;"mixer",AND(OR(器件参数!V180="SSB",器件参数!V180="DSB"),器件参数!W180=TRUE))),"",IF(器件参数!G180="ideal",1,IF(AND(器件参数!G180="manual",ISNUMBER(器件参数!H180),器件参数!H180&gt;=0),10^(器件参数!H180/10),IF(AND(器件参数!G180="passive_thermal",OR(器件参数!E180="filter_bpf",器件参数!E180="filter_lpf",器件参数!E180="filter_hpf",器件参数!E180="filter_bsf",器件参数!E180="attenuator",器件参数!E180="cable",器件参数!E180="connector",器件参数!E180="switch",器件参数!E180="isolator",器件参数!E180="coupler",器件参数!E180="splitter"),AND(ISNUMBER(器件参数!F180),ABS(器件参数!F180)&lt;=300),器件参数!F180&lt;=0,ISNUMBER(器件参数!I180),器件参数!I180&gt;0),1+(10^(-器件参数!F180/10)-1)*器件参数!I180/Tref_K,""))))),"数值域错误")</f>
        <v>1</v>
      </c>
      <c r="H180" s="5">
        <f t="shared" si="41"/>
        <v>2.29336948552238</v>
      </c>
      <c r="I180" s="5">
        <f t="shared" si="42"/>
        <v>3.604740296957</v>
      </c>
      <c r="J180" s="5">
        <f>IF(AND(ISNUMBER(Pin_dBm),ISNUMBER(D180)),Pin_dBm+D180,"")</f>
        <v>-10</v>
      </c>
      <c r="K180" s="5">
        <f>IF(AND(ISNUMBER(Pin_dBm),ISNUMBER(E180)),Pin_dBm+E180,"")</f>
        <v>-10</v>
      </c>
      <c r="L180" s="5" t="str">
        <f>IF(AND(器件参数!J180="finite",ISNUMBER(器件参数!L180),ISNUMBER(C180)),IF(器件参数!K180="input",器件参数!L180,IF(器件参数!K180="output",器件参数!L180-C180,"")),"")</f>
        <v/>
      </c>
      <c r="M180" s="5">
        <f>IFERROR(IF(NOT(ISNUMBER(M179)),"",IF(OR(NOT(器件参数!B180),器件参数!J180="ideal"),M179,IF(AND(ISNUMBER(L180),ISNUMBER(F180)),M179+F180/10^(L180/10),""))),"数值域错误")</f>
        <v>0.2</v>
      </c>
      <c r="N180" s="5">
        <f t="shared" si="43"/>
        <v>6.98970004336019</v>
      </c>
      <c r="O180" s="5">
        <f t="shared" si="44"/>
        <v>26.9897000433602</v>
      </c>
      <c r="P180" s="5" t="str">
        <f>IF(AND(器件参数!M180="finite",ISNUMBER(器件参数!O180),ISNUMBER(C180)),IF(器件参数!N180="input",器件参数!O180,IF(器件参数!N180="actual_output",器件参数!O180-C180+1,IF(器件参数!N180="linear_output",器件参数!O180-C180,""))),"")</f>
        <v/>
      </c>
      <c r="Q180" s="5">
        <f>IF(器件参数!P180="",IF(AND(ISNUMBER(DefaultP),DefaultP&gt;=1,DefaultP&lt;=10),DefaultP,""),IF(AND(ISNUMBER(器件参数!P180),器件参数!P180&gt;=1,器件参数!P180&lt;=10),器件参数!P180,""))</f>
        <v>2</v>
      </c>
      <c r="R180" s="5">
        <f t="shared" si="45"/>
        <v>-10.0000139708288</v>
      </c>
      <c r="S180" s="5" t="str">
        <f t="shared" si="46"/>
        <v/>
      </c>
      <c r="T180" s="5">
        <f t="shared" si="47"/>
        <v>0</v>
      </c>
      <c r="U180" s="5">
        <f t="shared" si="48"/>
        <v>-10.0000139708288</v>
      </c>
      <c r="V180" s="5">
        <f>IF(AND(ISNUMBER(Pin_dBm),ISNUMBER(E180),ISNUMBER(U180)),Pin_dBm+E180-U180,"")</f>
        <v>1.39708287854035e-5</v>
      </c>
      <c r="W180" s="5" t="str">
        <f>IF(AND(器件参数!B180,X180=1,ISNUMBER(D180)),P180-D180,"")</f>
        <v/>
      </c>
      <c r="X180" s="5">
        <f>IF(NOT(ISNUMBER(C180)),-1,IF(OR(NOT(器件参数!B180),器件参数!M180="ideal"),0,IF(AND(ISNUMBER(P180),ISNUMBER(Q180)),1,-1)))</f>
        <v>0</v>
      </c>
      <c r="Y180" s="5" t="str">
        <f t="shared" si="49"/>
        <v>有效</v>
      </c>
      <c r="Z180" s="5" t="str">
        <f t="shared" si="50"/>
        <v>有效</v>
      </c>
      <c r="AA180" s="5" t="str">
        <f t="shared" si="51"/>
        <v>模型估算</v>
      </c>
      <c r="AB180" s="5">
        <f t="shared" si="52"/>
        <v>100000000</v>
      </c>
      <c r="AC180" s="5">
        <f>IF(NOT(ISNUMBER(AB180)),"",IF(OR(NOT(器件参数!B180),器件参数!E180&lt;&gt;"mixer"),AB180,IF(AND(ISNUMBER(器件参数!T180),器件参数!T180&gt;0),IF(器件参数!U180="sum",AB180+器件参数!T180,IF(器件参数!U180="difference",ABS(AB180-器件参数!T180),"")),"")))</f>
        <v>100000000</v>
      </c>
      <c r="AD180" s="5">
        <f t="shared" si="53"/>
        <v>0</v>
      </c>
      <c r="AE180" s="5">
        <f>IF(AND(ISNUMBER(G180),ISNUMBER(F180)),Tref_K*(G180-1)/F180,"")</f>
        <v>0</v>
      </c>
      <c r="AF180" s="5">
        <f>IF(AND(ISNUMBER(H180),ISNUMBER(E180),NoiseConfigOK),10*LOG10(Boltzmann*Bnoise_Hz*(Tsource_K+Tref_K*(H180-1)))+30+E180,"")</f>
        <v>-90.3704468972711</v>
      </c>
      <c r="AG180" s="5">
        <f t="shared" si="54"/>
        <v>80.3704468972711</v>
      </c>
      <c r="AH180" s="5">
        <f>IF(AND(ToneEnabled,ISNUMBER(E180),ISNUMBER(TonePin)),TonePin+E180,"")</f>
        <v>-10</v>
      </c>
      <c r="AI180" s="5">
        <f>IF(AND(ToneEnabled,ISNUMBER(E180),ISNUMBER(N180),ISNUMBER(TonePin)),3*TonePin+E180-2*N180,"")</f>
        <v>-83.9794000867204</v>
      </c>
      <c r="AJ180" s="5" t="str">
        <f t="shared" si="55"/>
        <v/>
      </c>
      <c r="AK180" s="5" t="str">
        <f>IF(NOT(器件参数!B180),"旁路",IF(NOT(ISNUMBER(AC180)),"频率未知",IF(AC180&lt;=SignalBW/2,"跨零频",IF(AND(ISNUMBER(器件参数!R180),ISNUMBER(器件参数!S180)),IF(AND(AB180-SignalBW/2&gt;=器件参数!R180,AB180+SignalBW/2&lt;=器件参数!S180),"有效","超声明通带"),"未声明通带"))))</f>
        <v>旁路</v>
      </c>
      <c r="AL180" s="5">
        <f t="shared" si="56"/>
        <v>0</v>
      </c>
      <c r="AM180" s="5" t="str">
        <f>IF(AND(器件参数!B180,ISNUMBER(器件参数!X180),OR(AND(ISNUMBER(J180),J180&gt;器件参数!X180),IF(AND(ToneEnabled,ISNUMBER(TonePin),ISNUMBER(D180)),TonePin+10*LOG10(2)+D180&gt;器件参数!X180,FALSE))),"超过绝对最大输入额定值","")</f>
        <v/>
      </c>
      <c r="AN180" s="5">
        <f>IF(NOT(ISNUMBER(AN179)),"",IF(OR(NOT(器件参数!B180),器件参数!E180&lt;&gt;"mixer"),AN179,IF(AND(ISNUMBER(器件参数!T180),器件参数!T180&gt;0),IF(器件参数!U180="sum",AN179+器件参数!T180,ABS(AN179-器件参数!T180)),"")))</f>
        <v>99950000</v>
      </c>
      <c r="AO180" s="5">
        <f>IF(NOT(ISNUMBER(AO179)),"",IF(OR(NOT(器件参数!B180),器件参数!E180&lt;&gt;"mixer"),AO179,IF(AND(ISNUMBER(器件参数!T180),器件参数!T180&gt;0),IF(器件参数!U180="sum",AO179+器件参数!T180,ABS(AO179-器件参数!T180)),"")))</f>
        <v>100050000</v>
      </c>
      <c r="AP180" s="5">
        <f>IF(NOT(ISNUMBER(AP179)),"",IF(OR(NOT(器件参数!B180),器件参数!E180&lt;&gt;"mixer"),AP179,IF(AND(ISNUMBER(器件参数!T180),器件参数!T180&gt;0),IF(器件参数!U180="sum",AP179+器件参数!T180,ABS(AP179-器件参数!T180)),"")))</f>
        <v>99850000</v>
      </c>
      <c r="AQ180" s="5">
        <f>IF(NOT(ISNUMBER(AQ179)),"",IF(OR(NOT(器件参数!B180),器件参数!E180&lt;&gt;"mixer"),AQ179,IF(AND(ISNUMBER(器件参数!T180),器件参数!T180&gt;0),IF(器件参数!U180="sum",AQ179+器件参数!T180,ABS(AQ179-器件参数!T180)),"")))</f>
        <v>100150000</v>
      </c>
      <c r="AR180" s="5" t="b">
        <f>IF(NOT(AR179),FALSE,IF(NOT(器件参数!B180),TRUE,AND(COUNT(AN180:AQ180)=4,MIN(AN180:AQ180)&gt;0,IF(AND(ISNUMBER(器件参数!R180),ISNUMBER(器件参数!S180)),AND(MIN(AN179:AQ179)&gt;=器件参数!R180,MAX(AN179:AQ179)&lt;=器件参数!S180),TRUE),IF(AND(器件参数!E180="mixer",器件参数!U180="difference"),OR(器件参数!T180&lt;MIN(AN179:AQ179),器件参数!T180&gt;MAX(AN179:AQ179)),TRUE))))</f>
        <v>1</v>
      </c>
    </row>
    <row r="181" hidden="1" spans="1:44">
      <c r="A181" s="5">
        <f>器件参数!A181</f>
        <v>178</v>
      </c>
      <c r="B181" s="5" t="str">
        <f>器件参数!D181</f>
        <v/>
      </c>
      <c r="C181" s="5">
        <f>IF(NOT(器件参数!B181),0,IF(AND(ISNUMBER(器件参数!F181),ABS(器件参数!F181)&lt;=300),器件参数!F181,""))</f>
        <v>0</v>
      </c>
      <c r="D181" s="5">
        <f t="shared" si="38"/>
        <v>20</v>
      </c>
      <c r="E181" s="5">
        <f t="shared" si="39"/>
        <v>20</v>
      </c>
      <c r="F181" s="5">
        <f t="shared" si="40"/>
        <v>100</v>
      </c>
      <c r="G181" s="5">
        <f>IFERROR(IF(NOT(器件参数!B181),1,IF(NOT(OR(器件参数!E181&lt;&gt;"mixer",AND(OR(器件参数!V181="SSB",器件参数!V181="DSB"),器件参数!W181=TRUE))),"",IF(器件参数!G181="ideal",1,IF(AND(器件参数!G181="manual",ISNUMBER(器件参数!H181),器件参数!H181&gt;=0),10^(器件参数!H181/10),IF(AND(器件参数!G181="passive_thermal",OR(器件参数!E181="filter_bpf",器件参数!E181="filter_lpf",器件参数!E181="filter_hpf",器件参数!E181="filter_bsf",器件参数!E181="attenuator",器件参数!E181="cable",器件参数!E181="connector",器件参数!E181="switch",器件参数!E181="isolator",器件参数!E181="coupler",器件参数!E181="splitter"),AND(ISNUMBER(器件参数!F181),ABS(器件参数!F181)&lt;=300),器件参数!F181&lt;=0,ISNUMBER(器件参数!I181),器件参数!I181&gt;0),1+(10^(-器件参数!F181/10)-1)*器件参数!I181/Tref_K,""))))),"数值域错误")</f>
        <v>1</v>
      </c>
      <c r="H181" s="5">
        <f t="shared" si="41"/>
        <v>2.29336948552238</v>
      </c>
      <c r="I181" s="5">
        <f t="shared" si="42"/>
        <v>3.604740296957</v>
      </c>
      <c r="J181" s="5">
        <f>IF(AND(ISNUMBER(Pin_dBm),ISNUMBER(D181)),Pin_dBm+D181,"")</f>
        <v>-10</v>
      </c>
      <c r="K181" s="5">
        <f>IF(AND(ISNUMBER(Pin_dBm),ISNUMBER(E181)),Pin_dBm+E181,"")</f>
        <v>-10</v>
      </c>
      <c r="L181" s="5" t="str">
        <f>IF(AND(器件参数!J181="finite",ISNUMBER(器件参数!L181),ISNUMBER(C181)),IF(器件参数!K181="input",器件参数!L181,IF(器件参数!K181="output",器件参数!L181-C181,"")),"")</f>
        <v/>
      </c>
      <c r="M181" s="5">
        <f>IFERROR(IF(NOT(ISNUMBER(M180)),"",IF(OR(NOT(器件参数!B181),器件参数!J181="ideal"),M180,IF(AND(ISNUMBER(L181),ISNUMBER(F181)),M180+F181/10^(L181/10),""))),"数值域错误")</f>
        <v>0.2</v>
      </c>
      <c r="N181" s="5">
        <f t="shared" si="43"/>
        <v>6.98970004336019</v>
      </c>
      <c r="O181" s="5">
        <f t="shared" si="44"/>
        <v>26.9897000433602</v>
      </c>
      <c r="P181" s="5" t="str">
        <f>IF(AND(器件参数!M181="finite",ISNUMBER(器件参数!O181),ISNUMBER(C181)),IF(器件参数!N181="input",器件参数!O181,IF(器件参数!N181="actual_output",器件参数!O181-C181+1,IF(器件参数!N181="linear_output",器件参数!O181-C181,""))),"")</f>
        <v/>
      </c>
      <c r="Q181" s="5">
        <f>IF(器件参数!P181="",IF(AND(ISNUMBER(DefaultP),DefaultP&gt;=1,DefaultP&lt;=10),DefaultP,""),IF(AND(ISNUMBER(器件参数!P181),器件参数!P181&gt;=1,器件参数!P181&lt;=10),器件参数!P181,""))</f>
        <v>2</v>
      </c>
      <c r="R181" s="5">
        <f t="shared" si="45"/>
        <v>-10.0000139708288</v>
      </c>
      <c r="S181" s="5" t="str">
        <f t="shared" si="46"/>
        <v/>
      </c>
      <c r="T181" s="5">
        <f t="shared" si="47"/>
        <v>0</v>
      </c>
      <c r="U181" s="5">
        <f t="shared" si="48"/>
        <v>-10.0000139708288</v>
      </c>
      <c r="V181" s="5">
        <f>IF(AND(ISNUMBER(Pin_dBm),ISNUMBER(E181),ISNUMBER(U181)),Pin_dBm+E181-U181,"")</f>
        <v>1.39708287854035e-5</v>
      </c>
      <c r="W181" s="5" t="str">
        <f>IF(AND(器件参数!B181,X181=1,ISNUMBER(D181)),P181-D181,"")</f>
        <v/>
      </c>
      <c r="X181" s="5">
        <f>IF(NOT(ISNUMBER(C181)),-1,IF(OR(NOT(器件参数!B181),器件参数!M181="ideal"),0,IF(AND(ISNUMBER(P181),ISNUMBER(Q181)),1,-1)))</f>
        <v>0</v>
      </c>
      <c r="Y181" s="5" t="str">
        <f t="shared" si="49"/>
        <v>有效</v>
      </c>
      <c r="Z181" s="5" t="str">
        <f t="shared" si="50"/>
        <v>有效</v>
      </c>
      <c r="AA181" s="5" t="str">
        <f t="shared" si="51"/>
        <v>模型估算</v>
      </c>
      <c r="AB181" s="5">
        <f t="shared" si="52"/>
        <v>100000000</v>
      </c>
      <c r="AC181" s="5">
        <f>IF(NOT(ISNUMBER(AB181)),"",IF(OR(NOT(器件参数!B181),器件参数!E181&lt;&gt;"mixer"),AB181,IF(AND(ISNUMBER(器件参数!T181),器件参数!T181&gt;0),IF(器件参数!U181="sum",AB181+器件参数!T181,IF(器件参数!U181="difference",ABS(AB181-器件参数!T181),"")),"")))</f>
        <v>100000000</v>
      </c>
      <c r="AD181" s="5">
        <f t="shared" si="53"/>
        <v>0</v>
      </c>
      <c r="AE181" s="5">
        <f>IF(AND(ISNUMBER(G181),ISNUMBER(F181)),Tref_K*(G181-1)/F181,"")</f>
        <v>0</v>
      </c>
      <c r="AF181" s="5">
        <f>IF(AND(ISNUMBER(H181),ISNUMBER(E181),NoiseConfigOK),10*LOG10(Boltzmann*Bnoise_Hz*(Tsource_K+Tref_K*(H181-1)))+30+E181,"")</f>
        <v>-90.3704468972711</v>
      </c>
      <c r="AG181" s="5">
        <f t="shared" si="54"/>
        <v>80.3704468972711</v>
      </c>
      <c r="AH181" s="5">
        <f>IF(AND(ToneEnabled,ISNUMBER(E181),ISNUMBER(TonePin)),TonePin+E181,"")</f>
        <v>-10</v>
      </c>
      <c r="AI181" s="5">
        <f>IF(AND(ToneEnabled,ISNUMBER(E181),ISNUMBER(N181),ISNUMBER(TonePin)),3*TonePin+E181-2*N181,"")</f>
        <v>-83.9794000867204</v>
      </c>
      <c r="AJ181" s="5" t="str">
        <f t="shared" si="55"/>
        <v/>
      </c>
      <c r="AK181" s="5" t="str">
        <f>IF(NOT(器件参数!B181),"旁路",IF(NOT(ISNUMBER(AC181)),"频率未知",IF(AC181&lt;=SignalBW/2,"跨零频",IF(AND(ISNUMBER(器件参数!R181),ISNUMBER(器件参数!S181)),IF(AND(AB181-SignalBW/2&gt;=器件参数!R181,AB181+SignalBW/2&lt;=器件参数!S181),"有效","超声明通带"),"未声明通带"))))</f>
        <v>旁路</v>
      </c>
      <c r="AL181" s="5">
        <f t="shared" si="56"/>
        <v>0</v>
      </c>
      <c r="AM181" s="5" t="str">
        <f>IF(AND(器件参数!B181,ISNUMBER(器件参数!X181),OR(AND(ISNUMBER(J181),J181&gt;器件参数!X181),IF(AND(ToneEnabled,ISNUMBER(TonePin),ISNUMBER(D181)),TonePin+10*LOG10(2)+D181&gt;器件参数!X181,FALSE))),"超过绝对最大输入额定值","")</f>
        <v/>
      </c>
      <c r="AN181" s="5">
        <f>IF(NOT(ISNUMBER(AN180)),"",IF(OR(NOT(器件参数!B181),器件参数!E181&lt;&gt;"mixer"),AN180,IF(AND(ISNUMBER(器件参数!T181),器件参数!T181&gt;0),IF(器件参数!U181="sum",AN180+器件参数!T181,ABS(AN180-器件参数!T181)),"")))</f>
        <v>99950000</v>
      </c>
      <c r="AO181" s="5">
        <f>IF(NOT(ISNUMBER(AO180)),"",IF(OR(NOT(器件参数!B181),器件参数!E181&lt;&gt;"mixer"),AO180,IF(AND(ISNUMBER(器件参数!T181),器件参数!T181&gt;0),IF(器件参数!U181="sum",AO180+器件参数!T181,ABS(AO180-器件参数!T181)),"")))</f>
        <v>100050000</v>
      </c>
      <c r="AP181" s="5">
        <f>IF(NOT(ISNUMBER(AP180)),"",IF(OR(NOT(器件参数!B181),器件参数!E181&lt;&gt;"mixer"),AP180,IF(AND(ISNUMBER(器件参数!T181),器件参数!T181&gt;0),IF(器件参数!U181="sum",AP180+器件参数!T181,ABS(AP180-器件参数!T181)),"")))</f>
        <v>99850000</v>
      </c>
      <c r="AQ181" s="5">
        <f>IF(NOT(ISNUMBER(AQ180)),"",IF(OR(NOT(器件参数!B181),器件参数!E181&lt;&gt;"mixer"),AQ180,IF(AND(ISNUMBER(器件参数!T181),器件参数!T181&gt;0),IF(器件参数!U181="sum",AQ180+器件参数!T181,ABS(AQ180-器件参数!T181)),"")))</f>
        <v>100150000</v>
      </c>
      <c r="AR181" s="5" t="b">
        <f>IF(NOT(AR180),FALSE,IF(NOT(器件参数!B181),TRUE,AND(COUNT(AN181:AQ181)=4,MIN(AN181:AQ181)&gt;0,IF(AND(ISNUMBER(器件参数!R181),ISNUMBER(器件参数!S181)),AND(MIN(AN180:AQ180)&gt;=器件参数!R181,MAX(AN180:AQ180)&lt;=器件参数!S181),TRUE),IF(AND(器件参数!E181="mixer",器件参数!U181="difference"),OR(器件参数!T181&lt;MIN(AN180:AQ180),器件参数!T181&gt;MAX(AN180:AQ180)),TRUE))))</f>
        <v>1</v>
      </c>
    </row>
    <row r="182" hidden="1" spans="1:44">
      <c r="A182" s="5">
        <f>器件参数!A182</f>
        <v>179</v>
      </c>
      <c r="B182" s="5" t="str">
        <f>器件参数!D182</f>
        <v/>
      </c>
      <c r="C182" s="5">
        <f>IF(NOT(器件参数!B182),0,IF(AND(ISNUMBER(器件参数!F182),ABS(器件参数!F182)&lt;=300),器件参数!F182,""))</f>
        <v>0</v>
      </c>
      <c r="D182" s="5">
        <f t="shared" si="38"/>
        <v>20</v>
      </c>
      <c r="E182" s="5">
        <f t="shared" si="39"/>
        <v>20</v>
      </c>
      <c r="F182" s="5">
        <f t="shared" si="40"/>
        <v>100</v>
      </c>
      <c r="G182" s="5">
        <f>IFERROR(IF(NOT(器件参数!B182),1,IF(NOT(OR(器件参数!E182&lt;&gt;"mixer",AND(OR(器件参数!V182="SSB",器件参数!V182="DSB"),器件参数!W182=TRUE))),"",IF(器件参数!G182="ideal",1,IF(AND(器件参数!G182="manual",ISNUMBER(器件参数!H182),器件参数!H182&gt;=0),10^(器件参数!H182/10),IF(AND(器件参数!G182="passive_thermal",OR(器件参数!E182="filter_bpf",器件参数!E182="filter_lpf",器件参数!E182="filter_hpf",器件参数!E182="filter_bsf",器件参数!E182="attenuator",器件参数!E182="cable",器件参数!E182="connector",器件参数!E182="switch",器件参数!E182="isolator",器件参数!E182="coupler",器件参数!E182="splitter"),AND(ISNUMBER(器件参数!F182),ABS(器件参数!F182)&lt;=300),器件参数!F182&lt;=0,ISNUMBER(器件参数!I182),器件参数!I182&gt;0),1+(10^(-器件参数!F182/10)-1)*器件参数!I182/Tref_K,""))))),"数值域错误")</f>
        <v>1</v>
      </c>
      <c r="H182" s="5">
        <f t="shared" si="41"/>
        <v>2.29336948552238</v>
      </c>
      <c r="I182" s="5">
        <f t="shared" si="42"/>
        <v>3.604740296957</v>
      </c>
      <c r="J182" s="5">
        <f>IF(AND(ISNUMBER(Pin_dBm),ISNUMBER(D182)),Pin_dBm+D182,"")</f>
        <v>-10</v>
      </c>
      <c r="K182" s="5">
        <f>IF(AND(ISNUMBER(Pin_dBm),ISNUMBER(E182)),Pin_dBm+E182,"")</f>
        <v>-10</v>
      </c>
      <c r="L182" s="5" t="str">
        <f>IF(AND(器件参数!J182="finite",ISNUMBER(器件参数!L182),ISNUMBER(C182)),IF(器件参数!K182="input",器件参数!L182,IF(器件参数!K182="output",器件参数!L182-C182,"")),"")</f>
        <v/>
      </c>
      <c r="M182" s="5">
        <f>IFERROR(IF(NOT(ISNUMBER(M181)),"",IF(OR(NOT(器件参数!B182),器件参数!J182="ideal"),M181,IF(AND(ISNUMBER(L182),ISNUMBER(F182)),M181+F182/10^(L182/10),""))),"数值域错误")</f>
        <v>0.2</v>
      </c>
      <c r="N182" s="5">
        <f t="shared" si="43"/>
        <v>6.98970004336019</v>
      </c>
      <c r="O182" s="5">
        <f t="shared" si="44"/>
        <v>26.9897000433602</v>
      </c>
      <c r="P182" s="5" t="str">
        <f>IF(AND(器件参数!M182="finite",ISNUMBER(器件参数!O182),ISNUMBER(C182)),IF(器件参数!N182="input",器件参数!O182,IF(器件参数!N182="actual_output",器件参数!O182-C182+1,IF(器件参数!N182="linear_output",器件参数!O182-C182,""))),"")</f>
        <v/>
      </c>
      <c r="Q182" s="5">
        <f>IF(器件参数!P182="",IF(AND(ISNUMBER(DefaultP),DefaultP&gt;=1,DefaultP&lt;=10),DefaultP,""),IF(AND(ISNUMBER(器件参数!P182),器件参数!P182&gt;=1,器件参数!P182&lt;=10),器件参数!P182,""))</f>
        <v>2</v>
      </c>
      <c r="R182" s="5">
        <f t="shared" si="45"/>
        <v>-10.0000139708288</v>
      </c>
      <c r="S182" s="5" t="str">
        <f t="shared" si="46"/>
        <v/>
      </c>
      <c r="T182" s="5">
        <f t="shared" si="47"/>
        <v>0</v>
      </c>
      <c r="U182" s="5">
        <f t="shared" si="48"/>
        <v>-10.0000139708288</v>
      </c>
      <c r="V182" s="5">
        <f>IF(AND(ISNUMBER(Pin_dBm),ISNUMBER(E182),ISNUMBER(U182)),Pin_dBm+E182-U182,"")</f>
        <v>1.39708287854035e-5</v>
      </c>
      <c r="W182" s="5" t="str">
        <f>IF(AND(器件参数!B182,X182=1,ISNUMBER(D182)),P182-D182,"")</f>
        <v/>
      </c>
      <c r="X182" s="5">
        <f>IF(NOT(ISNUMBER(C182)),-1,IF(OR(NOT(器件参数!B182),器件参数!M182="ideal"),0,IF(AND(ISNUMBER(P182),ISNUMBER(Q182)),1,-1)))</f>
        <v>0</v>
      </c>
      <c r="Y182" s="5" t="str">
        <f t="shared" si="49"/>
        <v>有效</v>
      </c>
      <c r="Z182" s="5" t="str">
        <f t="shared" si="50"/>
        <v>有效</v>
      </c>
      <c r="AA182" s="5" t="str">
        <f t="shared" si="51"/>
        <v>模型估算</v>
      </c>
      <c r="AB182" s="5">
        <f t="shared" si="52"/>
        <v>100000000</v>
      </c>
      <c r="AC182" s="5">
        <f>IF(NOT(ISNUMBER(AB182)),"",IF(OR(NOT(器件参数!B182),器件参数!E182&lt;&gt;"mixer"),AB182,IF(AND(ISNUMBER(器件参数!T182),器件参数!T182&gt;0),IF(器件参数!U182="sum",AB182+器件参数!T182,IF(器件参数!U182="difference",ABS(AB182-器件参数!T182),"")),"")))</f>
        <v>100000000</v>
      </c>
      <c r="AD182" s="5">
        <f t="shared" si="53"/>
        <v>0</v>
      </c>
      <c r="AE182" s="5">
        <f>IF(AND(ISNUMBER(G182),ISNUMBER(F182)),Tref_K*(G182-1)/F182,"")</f>
        <v>0</v>
      </c>
      <c r="AF182" s="5">
        <f>IF(AND(ISNUMBER(H182),ISNUMBER(E182),NoiseConfigOK),10*LOG10(Boltzmann*Bnoise_Hz*(Tsource_K+Tref_K*(H182-1)))+30+E182,"")</f>
        <v>-90.3704468972711</v>
      </c>
      <c r="AG182" s="5">
        <f t="shared" si="54"/>
        <v>80.3704468972711</v>
      </c>
      <c r="AH182" s="5">
        <f>IF(AND(ToneEnabled,ISNUMBER(E182),ISNUMBER(TonePin)),TonePin+E182,"")</f>
        <v>-10</v>
      </c>
      <c r="AI182" s="5">
        <f>IF(AND(ToneEnabled,ISNUMBER(E182),ISNUMBER(N182),ISNUMBER(TonePin)),3*TonePin+E182-2*N182,"")</f>
        <v>-83.9794000867204</v>
      </c>
      <c r="AJ182" s="5" t="str">
        <f t="shared" si="55"/>
        <v/>
      </c>
      <c r="AK182" s="5" t="str">
        <f>IF(NOT(器件参数!B182),"旁路",IF(NOT(ISNUMBER(AC182)),"频率未知",IF(AC182&lt;=SignalBW/2,"跨零频",IF(AND(ISNUMBER(器件参数!R182),ISNUMBER(器件参数!S182)),IF(AND(AB182-SignalBW/2&gt;=器件参数!R182,AB182+SignalBW/2&lt;=器件参数!S182),"有效","超声明通带"),"未声明通带"))))</f>
        <v>旁路</v>
      </c>
      <c r="AL182" s="5">
        <f t="shared" si="56"/>
        <v>0</v>
      </c>
      <c r="AM182" s="5" t="str">
        <f>IF(AND(器件参数!B182,ISNUMBER(器件参数!X182),OR(AND(ISNUMBER(J182),J182&gt;器件参数!X182),IF(AND(ToneEnabled,ISNUMBER(TonePin),ISNUMBER(D182)),TonePin+10*LOG10(2)+D182&gt;器件参数!X182,FALSE))),"超过绝对最大输入额定值","")</f>
        <v/>
      </c>
      <c r="AN182" s="5">
        <f>IF(NOT(ISNUMBER(AN181)),"",IF(OR(NOT(器件参数!B182),器件参数!E182&lt;&gt;"mixer"),AN181,IF(AND(ISNUMBER(器件参数!T182),器件参数!T182&gt;0),IF(器件参数!U182="sum",AN181+器件参数!T182,ABS(AN181-器件参数!T182)),"")))</f>
        <v>99950000</v>
      </c>
      <c r="AO182" s="5">
        <f>IF(NOT(ISNUMBER(AO181)),"",IF(OR(NOT(器件参数!B182),器件参数!E182&lt;&gt;"mixer"),AO181,IF(AND(ISNUMBER(器件参数!T182),器件参数!T182&gt;0),IF(器件参数!U182="sum",AO181+器件参数!T182,ABS(AO181-器件参数!T182)),"")))</f>
        <v>100050000</v>
      </c>
      <c r="AP182" s="5">
        <f>IF(NOT(ISNUMBER(AP181)),"",IF(OR(NOT(器件参数!B182),器件参数!E182&lt;&gt;"mixer"),AP181,IF(AND(ISNUMBER(器件参数!T182),器件参数!T182&gt;0),IF(器件参数!U182="sum",AP181+器件参数!T182,ABS(AP181-器件参数!T182)),"")))</f>
        <v>99850000</v>
      </c>
      <c r="AQ182" s="5">
        <f>IF(NOT(ISNUMBER(AQ181)),"",IF(OR(NOT(器件参数!B182),器件参数!E182&lt;&gt;"mixer"),AQ181,IF(AND(ISNUMBER(器件参数!T182),器件参数!T182&gt;0),IF(器件参数!U182="sum",AQ181+器件参数!T182,ABS(AQ181-器件参数!T182)),"")))</f>
        <v>100150000</v>
      </c>
      <c r="AR182" s="5" t="b">
        <f>IF(NOT(AR181),FALSE,IF(NOT(器件参数!B182),TRUE,AND(COUNT(AN182:AQ182)=4,MIN(AN182:AQ182)&gt;0,IF(AND(ISNUMBER(器件参数!R182),ISNUMBER(器件参数!S182)),AND(MIN(AN181:AQ181)&gt;=器件参数!R182,MAX(AN181:AQ181)&lt;=器件参数!S182),TRUE),IF(AND(器件参数!E182="mixer",器件参数!U182="difference"),OR(器件参数!T182&lt;MIN(AN181:AQ181),器件参数!T182&gt;MAX(AN181:AQ181)),TRUE))))</f>
        <v>1</v>
      </c>
    </row>
    <row r="183" hidden="1" spans="1:44">
      <c r="A183" s="5">
        <f>器件参数!A183</f>
        <v>180</v>
      </c>
      <c r="B183" s="5" t="str">
        <f>器件参数!D183</f>
        <v/>
      </c>
      <c r="C183" s="5">
        <f>IF(NOT(器件参数!B183),0,IF(AND(ISNUMBER(器件参数!F183),ABS(器件参数!F183)&lt;=300),器件参数!F183,""))</f>
        <v>0</v>
      </c>
      <c r="D183" s="5">
        <f t="shared" si="38"/>
        <v>20</v>
      </c>
      <c r="E183" s="5">
        <f t="shared" si="39"/>
        <v>20</v>
      </c>
      <c r="F183" s="5">
        <f t="shared" si="40"/>
        <v>100</v>
      </c>
      <c r="G183" s="5">
        <f>IFERROR(IF(NOT(器件参数!B183),1,IF(NOT(OR(器件参数!E183&lt;&gt;"mixer",AND(OR(器件参数!V183="SSB",器件参数!V183="DSB"),器件参数!W183=TRUE))),"",IF(器件参数!G183="ideal",1,IF(AND(器件参数!G183="manual",ISNUMBER(器件参数!H183),器件参数!H183&gt;=0),10^(器件参数!H183/10),IF(AND(器件参数!G183="passive_thermal",OR(器件参数!E183="filter_bpf",器件参数!E183="filter_lpf",器件参数!E183="filter_hpf",器件参数!E183="filter_bsf",器件参数!E183="attenuator",器件参数!E183="cable",器件参数!E183="connector",器件参数!E183="switch",器件参数!E183="isolator",器件参数!E183="coupler",器件参数!E183="splitter"),AND(ISNUMBER(器件参数!F183),ABS(器件参数!F183)&lt;=300),器件参数!F183&lt;=0,ISNUMBER(器件参数!I183),器件参数!I183&gt;0),1+(10^(-器件参数!F183/10)-1)*器件参数!I183/Tref_K,""))))),"数值域错误")</f>
        <v>1</v>
      </c>
      <c r="H183" s="5">
        <f t="shared" si="41"/>
        <v>2.29336948552238</v>
      </c>
      <c r="I183" s="5">
        <f t="shared" si="42"/>
        <v>3.604740296957</v>
      </c>
      <c r="J183" s="5">
        <f>IF(AND(ISNUMBER(Pin_dBm),ISNUMBER(D183)),Pin_dBm+D183,"")</f>
        <v>-10</v>
      </c>
      <c r="K183" s="5">
        <f>IF(AND(ISNUMBER(Pin_dBm),ISNUMBER(E183)),Pin_dBm+E183,"")</f>
        <v>-10</v>
      </c>
      <c r="L183" s="5" t="str">
        <f>IF(AND(器件参数!J183="finite",ISNUMBER(器件参数!L183),ISNUMBER(C183)),IF(器件参数!K183="input",器件参数!L183,IF(器件参数!K183="output",器件参数!L183-C183,"")),"")</f>
        <v/>
      </c>
      <c r="M183" s="5">
        <f>IFERROR(IF(NOT(ISNUMBER(M182)),"",IF(OR(NOT(器件参数!B183),器件参数!J183="ideal"),M182,IF(AND(ISNUMBER(L183),ISNUMBER(F183)),M182+F183/10^(L183/10),""))),"数值域错误")</f>
        <v>0.2</v>
      </c>
      <c r="N183" s="5">
        <f t="shared" si="43"/>
        <v>6.98970004336019</v>
      </c>
      <c r="O183" s="5">
        <f t="shared" si="44"/>
        <v>26.9897000433602</v>
      </c>
      <c r="P183" s="5" t="str">
        <f>IF(AND(器件参数!M183="finite",ISNUMBER(器件参数!O183),ISNUMBER(C183)),IF(器件参数!N183="input",器件参数!O183,IF(器件参数!N183="actual_output",器件参数!O183-C183+1,IF(器件参数!N183="linear_output",器件参数!O183-C183,""))),"")</f>
        <v/>
      </c>
      <c r="Q183" s="5">
        <f>IF(器件参数!P183="",IF(AND(ISNUMBER(DefaultP),DefaultP&gt;=1,DefaultP&lt;=10),DefaultP,""),IF(AND(ISNUMBER(器件参数!P183),器件参数!P183&gt;=1,器件参数!P183&lt;=10),器件参数!P183,""))</f>
        <v>2</v>
      </c>
      <c r="R183" s="5">
        <f t="shared" si="45"/>
        <v>-10.0000139708288</v>
      </c>
      <c r="S183" s="5" t="str">
        <f t="shared" si="46"/>
        <v/>
      </c>
      <c r="T183" s="5">
        <f t="shared" si="47"/>
        <v>0</v>
      </c>
      <c r="U183" s="5">
        <f t="shared" si="48"/>
        <v>-10.0000139708288</v>
      </c>
      <c r="V183" s="5">
        <f>IF(AND(ISNUMBER(Pin_dBm),ISNUMBER(E183),ISNUMBER(U183)),Pin_dBm+E183-U183,"")</f>
        <v>1.39708287854035e-5</v>
      </c>
      <c r="W183" s="5" t="str">
        <f>IF(AND(器件参数!B183,X183=1,ISNUMBER(D183)),P183-D183,"")</f>
        <v/>
      </c>
      <c r="X183" s="5">
        <f>IF(NOT(ISNUMBER(C183)),-1,IF(OR(NOT(器件参数!B183),器件参数!M183="ideal"),0,IF(AND(ISNUMBER(P183),ISNUMBER(Q183)),1,-1)))</f>
        <v>0</v>
      </c>
      <c r="Y183" s="5" t="str">
        <f t="shared" si="49"/>
        <v>有效</v>
      </c>
      <c r="Z183" s="5" t="str">
        <f t="shared" si="50"/>
        <v>有效</v>
      </c>
      <c r="AA183" s="5" t="str">
        <f t="shared" si="51"/>
        <v>模型估算</v>
      </c>
      <c r="AB183" s="5">
        <f t="shared" si="52"/>
        <v>100000000</v>
      </c>
      <c r="AC183" s="5">
        <f>IF(NOT(ISNUMBER(AB183)),"",IF(OR(NOT(器件参数!B183),器件参数!E183&lt;&gt;"mixer"),AB183,IF(AND(ISNUMBER(器件参数!T183),器件参数!T183&gt;0),IF(器件参数!U183="sum",AB183+器件参数!T183,IF(器件参数!U183="difference",ABS(AB183-器件参数!T183),"")),"")))</f>
        <v>100000000</v>
      </c>
      <c r="AD183" s="5">
        <f t="shared" si="53"/>
        <v>0</v>
      </c>
      <c r="AE183" s="5">
        <f>IF(AND(ISNUMBER(G183),ISNUMBER(F183)),Tref_K*(G183-1)/F183,"")</f>
        <v>0</v>
      </c>
      <c r="AF183" s="5">
        <f>IF(AND(ISNUMBER(H183),ISNUMBER(E183),NoiseConfigOK),10*LOG10(Boltzmann*Bnoise_Hz*(Tsource_K+Tref_K*(H183-1)))+30+E183,"")</f>
        <v>-90.3704468972711</v>
      </c>
      <c r="AG183" s="5">
        <f t="shared" si="54"/>
        <v>80.3704468972711</v>
      </c>
      <c r="AH183" s="5">
        <f>IF(AND(ToneEnabled,ISNUMBER(E183),ISNUMBER(TonePin)),TonePin+E183,"")</f>
        <v>-10</v>
      </c>
      <c r="AI183" s="5">
        <f>IF(AND(ToneEnabled,ISNUMBER(E183),ISNUMBER(N183),ISNUMBER(TonePin)),3*TonePin+E183-2*N183,"")</f>
        <v>-83.9794000867204</v>
      </c>
      <c r="AJ183" s="5" t="str">
        <f t="shared" si="55"/>
        <v/>
      </c>
      <c r="AK183" s="5" t="str">
        <f>IF(NOT(器件参数!B183),"旁路",IF(NOT(ISNUMBER(AC183)),"频率未知",IF(AC183&lt;=SignalBW/2,"跨零频",IF(AND(ISNUMBER(器件参数!R183),ISNUMBER(器件参数!S183)),IF(AND(AB183-SignalBW/2&gt;=器件参数!R183,AB183+SignalBW/2&lt;=器件参数!S183),"有效","超声明通带"),"未声明通带"))))</f>
        <v>旁路</v>
      </c>
      <c r="AL183" s="5">
        <f t="shared" si="56"/>
        <v>0</v>
      </c>
      <c r="AM183" s="5" t="str">
        <f>IF(AND(器件参数!B183,ISNUMBER(器件参数!X183),OR(AND(ISNUMBER(J183),J183&gt;器件参数!X183),IF(AND(ToneEnabled,ISNUMBER(TonePin),ISNUMBER(D183)),TonePin+10*LOG10(2)+D183&gt;器件参数!X183,FALSE))),"超过绝对最大输入额定值","")</f>
        <v/>
      </c>
      <c r="AN183" s="5">
        <f>IF(NOT(ISNUMBER(AN182)),"",IF(OR(NOT(器件参数!B183),器件参数!E183&lt;&gt;"mixer"),AN182,IF(AND(ISNUMBER(器件参数!T183),器件参数!T183&gt;0),IF(器件参数!U183="sum",AN182+器件参数!T183,ABS(AN182-器件参数!T183)),"")))</f>
        <v>99950000</v>
      </c>
      <c r="AO183" s="5">
        <f>IF(NOT(ISNUMBER(AO182)),"",IF(OR(NOT(器件参数!B183),器件参数!E183&lt;&gt;"mixer"),AO182,IF(AND(ISNUMBER(器件参数!T183),器件参数!T183&gt;0),IF(器件参数!U183="sum",AO182+器件参数!T183,ABS(AO182-器件参数!T183)),"")))</f>
        <v>100050000</v>
      </c>
      <c r="AP183" s="5">
        <f>IF(NOT(ISNUMBER(AP182)),"",IF(OR(NOT(器件参数!B183),器件参数!E183&lt;&gt;"mixer"),AP182,IF(AND(ISNUMBER(器件参数!T183),器件参数!T183&gt;0),IF(器件参数!U183="sum",AP182+器件参数!T183,ABS(AP182-器件参数!T183)),"")))</f>
        <v>99850000</v>
      </c>
      <c r="AQ183" s="5">
        <f>IF(NOT(ISNUMBER(AQ182)),"",IF(OR(NOT(器件参数!B183),器件参数!E183&lt;&gt;"mixer"),AQ182,IF(AND(ISNUMBER(器件参数!T183),器件参数!T183&gt;0),IF(器件参数!U183="sum",AQ182+器件参数!T183,ABS(AQ182-器件参数!T183)),"")))</f>
        <v>100150000</v>
      </c>
      <c r="AR183" s="5" t="b">
        <f>IF(NOT(AR182),FALSE,IF(NOT(器件参数!B183),TRUE,AND(COUNT(AN183:AQ183)=4,MIN(AN183:AQ183)&gt;0,IF(AND(ISNUMBER(器件参数!R183),ISNUMBER(器件参数!S183)),AND(MIN(AN182:AQ182)&gt;=器件参数!R183,MAX(AN182:AQ182)&lt;=器件参数!S183),TRUE),IF(AND(器件参数!E183="mixer",器件参数!U183="difference"),OR(器件参数!T183&lt;MIN(AN182:AQ182),器件参数!T183&gt;MAX(AN182:AQ182)),TRUE))))</f>
        <v>1</v>
      </c>
    </row>
    <row r="184" hidden="1" spans="1:44">
      <c r="A184" s="5">
        <f>器件参数!A184</f>
        <v>181</v>
      </c>
      <c r="B184" s="5" t="str">
        <f>器件参数!D184</f>
        <v/>
      </c>
      <c r="C184" s="5">
        <f>IF(NOT(器件参数!B184),0,IF(AND(ISNUMBER(器件参数!F184),ABS(器件参数!F184)&lt;=300),器件参数!F184,""))</f>
        <v>0</v>
      </c>
      <c r="D184" s="5">
        <f t="shared" si="38"/>
        <v>20</v>
      </c>
      <c r="E184" s="5">
        <f t="shared" si="39"/>
        <v>20</v>
      </c>
      <c r="F184" s="5">
        <f t="shared" si="40"/>
        <v>100</v>
      </c>
      <c r="G184" s="5">
        <f>IFERROR(IF(NOT(器件参数!B184),1,IF(NOT(OR(器件参数!E184&lt;&gt;"mixer",AND(OR(器件参数!V184="SSB",器件参数!V184="DSB"),器件参数!W184=TRUE))),"",IF(器件参数!G184="ideal",1,IF(AND(器件参数!G184="manual",ISNUMBER(器件参数!H184),器件参数!H184&gt;=0),10^(器件参数!H184/10),IF(AND(器件参数!G184="passive_thermal",OR(器件参数!E184="filter_bpf",器件参数!E184="filter_lpf",器件参数!E184="filter_hpf",器件参数!E184="filter_bsf",器件参数!E184="attenuator",器件参数!E184="cable",器件参数!E184="connector",器件参数!E184="switch",器件参数!E184="isolator",器件参数!E184="coupler",器件参数!E184="splitter"),AND(ISNUMBER(器件参数!F184),ABS(器件参数!F184)&lt;=300),器件参数!F184&lt;=0,ISNUMBER(器件参数!I184),器件参数!I184&gt;0),1+(10^(-器件参数!F184/10)-1)*器件参数!I184/Tref_K,""))))),"数值域错误")</f>
        <v>1</v>
      </c>
      <c r="H184" s="5">
        <f t="shared" si="41"/>
        <v>2.29336948552238</v>
      </c>
      <c r="I184" s="5">
        <f t="shared" si="42"/>
        <v>3.604740296957</v>
      </c>
      <c r="J184" s="5">
        <f>IF(AND(ISNUMBER(Pin_dBm),ISNUMBER(D184)),Pin_dBm+D184,"")</f>
        <v>-10</v>
      </c>
      <c r="K184" s="5">
        <f>IF(AND(ISNUMBER(Pin_dBm),ISNUMBER(E184)),Pin_dBm+E184,"")</f>
        <v>-10</v>
      </c>
      <c r="L184" s="5" t="str">
        <f>IF(AND(器件参数!J184="finite",ISNUMBER(器件参数!L184),ISNUMBER(C184)),IF(器件参数!K184="input",器件参数!L184,IF(器件参数!K184="output",器件参数!L184-C184,"")),"")</f>
        <v/>
      </c>
      <c r="M184" s="5">
        <f>IFERROR(IF(NOT(ISNUMBER(M183)),"",IF(OR(NOT(器件参数!B184),器件参数!J184="ideal"),M183,IF(AND(ISNUMBER(L184),ISNUMBER(F184)),M183+F184/10^(L184/10),""))),"数值域错误")</f>
        <v>0.2</v>
      </c>
      <c r="N184" s="5">
        <f t="shared" si="43"/>
        <v>6.98970004336019</v>
      </c>
      <c r="O184" s="5">
        <f t="shared" si="44"/>
        <v>26.9897000433602</v>
      </c>
      <c r="P184" s="5" t="str">
        <f>IF(AND(器件参数!M184="finite",ISNUMBER(器件参数!O184),ISNUMBER(C184)),IF(器件参数!N184="input",器件参数!O184,IF(器件参数!N184="actual_output",器件参数!O184-C184+1,IF(器件参数!N184="linear_output",器件参数!O184-C184,""))),"")</f>
        <v/>
      </c>
      <c r="Q184" s="5">
        <f>IF(器件参数!P184="",IF(AND(ISNUMBER(DefaultP),DefaultP&gt;=1,DefaultP&lt;=10),DefaultP,""),IF(AND(ISNUMBER(器件参数!P184),器件参数!P184&gt;=1,器件参数!P184&lt;=10),器件参数!P184,""))</f>
        <v>2</v>
      </c>
      <c r="R184" s="5">
        <f t="shared" si="45"/>
        <v>-10.0000139708288</v>
      </c>
      <c r="S184" s="5" t="str">
        <f t="shared" si="46"/>
        <v/>
      </c>
      <c r="T184" s="5">
        <f t="shared" si="47"/>
        <v>0</v>
      </c>
      <c r="U184" s="5">
        <f t="shared" si="48"/>
        <v>-10.0000139708288</v>
      </c>
      <c r="V184" s="5">
        <f>IF(AND(ISNUMBER(Pin_dBm),ISNUMBER(E184),ISNUMBER(U184)),Pin_dBm+E184-U184,"")</f>
        <v>1.39708287854035e-5</v>
      </c>
      <c r="W184" s="5" t="str">
        <f>IF(AND(器件参数!B184,X184=1,ISNUMBER(D184)),P184-D184,"")</f>
        <v/>
      </c>
      <c r="X184" s="5">
        <f>IF(NOT(ISNUMBER(C184)),-1,IF(OR(NOT(器件参数!B184),器件参数!M184="ideal"),0,IF(AND(ISNUMBER(P184),ISNUMBER(Q184)),1,-1)))</f>
        <v>0</v>
      </c>
      <c r="Y184" s="5" t="str">
        <f t="shared" si="49"/>
        <v>有效</v>
      </c>
      <c r="Z184" s="5" t="str">
        <f t="shared" si="50"/>
        <v>有效</v>
      </c>
      <c r="AA184" s="5" t="str">
        <f t="shared" si="51"/>
        <v>模型估算</v>
      </c>
      <c r="AB184" s="5">
        <f t="shared" si="52"/>
        <v>100000000</v>
      </c>
      <c r="AC184" s="5">
        <f>IF(NOT(ISNUMBER(AB184)),"",IF(OR(NOT(器件参数!B184),器件参数!E184&lt;&gt;"mixer"),AB184,IF(AND(ISNUMBER(器件参数!T184),器件参数!T184&gt;0),IF(器件参数!U184="sum",AB184+器件参数!T184,IF(器件参数!U184="difference",ABS(AB184-器件参数!T184),"")),"")))</f>
        <v>100000000</v>
      </c>
      <c r="AD184" s="5">
        <f t="shared" si="53"/>
        <v>0</v>
      </c>
      <c r="AE184" s="5">
        <f>IF(AND(ISNUMBER(G184),ISNUMBER(F184)),Tref_K*(G184-1)/F184,"")</f>
        <v>0</v>
      </c>
      <c r="AF184" s="5">
        <f>IF(AND(ISNUMBER(H184),ISNUMBER(E184),NoiseConfigOK),10*LOG10(Boltzmann*Bnoise_Hz*(Tsource_K+Tref_K*(H184-1)))+30+E184,"")</f>
        <v>-90.3704468972711</v>
      </c>
      <c r="AG184" s="5">
        <f t="shared" si="54"/>
        <v>80.3704468972711</v>
      </c>
      <c r="AH184" s="5">
        <f>IF(AND(ToneEnabled,ISNUMBER(E184),ISNUMBER(TonePin)),TonePin+E184,"")</f>
        <v>-10</v>
      </c>
      <c r="AI184" s="5">
        <f>IF(AND(ToneEnabled,ISNUMBER(E184),ISNUMBER(N184),ISNUMBER(TonePin)),3*TonePin+E184-2*N184,"")</f>
        <v>-83.9794000867204</v>
      </c>
      <c r="AJ184" s="5" t="str">
        <f t="shared" si="55"/>
        <v/>
      </c>
      <c r="AK184" s="5" t="str">
        <f>IF(NOT(器件参数!B184),"旁路",IF(NOT(ISNUMBER(AC184)),"频率未知",IF(AC184&lt;=SignalBW/2,"跨零频",IF(AND(ISNUMBER(器件参数!R184),ISNUMBER(器件参数!S184)),IF(AND(AB184-SignalBW/2&gt;=器件参数!R184,AB184+SignalBW/2&lt;=器件参数!S184),"有效","超声明通带"),"未声明通带"))))</f>
        <v>旁路</v>
      </c>
      <c r="AL184" s="5">
        <f t="shared" si="56"/>
        <v>0</v>
      </c>
      <c r="AM184" s="5" t="str">
        <f>IF(AND(器件参数!B184,ISNUMBER(器件参数!X184),OR(AND(ISNUMBER(J184),J184&gt;器件参数!X184),IF(AND(ToneEnabled,ISNUMBER(TonePin),ISNUMBER(D184)),TonePin+10*LOG10(2)+D184&gt;器件参数!X184,FALSE))),"超过绝对最大输入额定值","")</f>
        <v/>
      </c>
      <c r="AN184" s="5">
        <f>IF(NOT(ISNUMBER(AN183)),"",IF(OR(NOT(器件参数!B184),器件参数!E184&lt;&gt;"mixer"),AN183,IF(AND(ISNUMBER(器件参数!T184),器件参数!T184&gt;0),IF(器件参数!U184="sum",AN183+器件参数!T184,ABS(AN183-器件参数!T184)),"")))</f>
        <v>99950000</v>
      </c>
      <c r="AO184" s="5">
        <f>IF(NOT(ISNUMBER(AO183)),"",IF(OR(NOT(器件参数!B184),器件参数!E184&lt;&gt;"mixer"),AO183,IF(AND(ISNUMBER(器件参数!T184),器件参数!T184&gt;0),IF(器件参数!U184="sum",AO183+器件参数!T184,ABS(AO183-器件参数!T184)),"")))</f>
        <v>100050000</v>
      </c>
      <c r="AP184" s="5">
        <f>IF(NOT(ISNUMBER(AP183)),"",IF(OR(NOT(器件参数!B184),器件参数!E184&lt;&gt;"mixer"),AP183,IF(AND(ISNUMBER(器件参数!T184),器件参数!T184&gt;0),IF(器件参数!U184="sum",AP183+器件参数!T184,ABS(AP183-器件参数!T184)),"")))</f>
        <v>99850000</v>
      </c>
      <c r="AQ184" s="5">
        <f>IF(NOT(ISNUMBER(AQ183)),"",IF(OR(NOT(器件参数!B184),器件参数!E184&lt;&gt;"mixer"),AQ183,IF(AND(ISNUMBER(器件参数!T184),器件参数!T184&gt;0),IF(器件参数!U184="sum",AQ183+器件参数!T184,ABS(AQ183-器件参数!T184)),"")))</f>
        <v>100150000</v>
      </c>
      <c r="AR184" s="5" t="b">
        <f>IF(NOT(AR183),FALSE,IF(NOT(器件参数!B184),TRUE,AND(COUNT(AN184:AQ184)=4,MIN(AN184:AQ184)&gt;0,IF(AND(ISNUMBER(器件参数!R184),ISNUMBER(器件参数!S184)),AND(MIN(AN183:AQ183)&gt;=器件参数!R184,MAX(AN183:AQ183)&lt;=器件参数!S184),TRUE),IF(AND(器件参数!E184="mixer",器件参数!U184="difference"),OR(器件参数!T184&lt;MIN(AN183:AQ183),器件参数!T184&gt;MAX(AN183:AQ183)),TRUE))))</f>
        <v>1</v>
      </c>
    </row>
    <row r="185" hidden="1" spans="1:44">
      <c r="A185" s="5">
        <f>器件参数!A185</f>
        <v>182</v>
      </c>
      <c r="B185" s="5" t="str">
        <f>器件参数!D185</f>
        <v/>
      </c>
      <c r="C185" s="5">
        <f>IF(NOT(器件参数!B185),0,IF(AND(ISNUMBER(器件参数!F185),ABS(器件参数!F185)&lt;=300),器件参数!F185,""))</f>
        <v>0</v>
      </c>
      <c r="D185" s="5">
        <f t="shared" si="38"/>
        <v>20</v>
      </c>
      <c r="E185" s="5">
        <f t="shared" si="39"/>
        <v>20</v>
      </c>
      <c r="F185" s="5">
        <f t="shared" si="40"/>
        <v>100</v>
      </c>
      <c r="G185" s="5">
        <f>IFERROR(IF(NOT(器件参数!B185),1,IF(NOT(OR(器件参数!E185&lt;&gt;"mixer",AND(OR(器件参数!V185="SSB",器件参数!V185="DSB"),器件参数!W185=TRUE))),"",IF(器件参数!G185="ideal",1,IF(AND(器件参数!G185="manual",ISNUMBER(器件参数!H185),器件参数!H185&gt;=0),10^(器件参数!H185/10),IF(AND(器件参数!G185="passive_thermal",OR(器件参数!E185="filter_bpf",器件参数!E185="filter_lpf",器件参数!E185="filter_hpf",器件参数!E185="filter_bsf",器件参数!E185="attenuator",器件参数!E185="cable",器件参数!E185="connector",器件参数!E185="switch",器件参数!E185="isolator",器件参数!E185="coupler",器件参数!E185="splitter"),AND(ISNUMBER(器件参数!F185),ABS(器件参数!F185)&lt;=300),器件参数!F185&lt;=0,ISNUMBER(器件参数!I185),器件参数!I185&gt;0),1+(10^(-器件参数!F185/10)-1)*器件参数!I185/Tref_K,""))))),"数值域错误")</f>
        <v>1</v>
      </c>
      <c r="H185" s="5">
        <f t="shared" si="41"/>
        <v>2.29336948552238</v>
      </c>
      <c r="I185" s="5">
        <f t="shared" si="42"/>
        <v>3.604740296957</v>
      </c>
      <c r="J185" s="5">
        <f>IF(AND(ISNUMBER(Pin_dBm),ISNUMBER(D185)),Pin_dBm+D185,"")</f>
        <v>-10</v>
      </c>
      <c r="K185" s="5">
        <f>IF(AND(ISNUMBER(Pin_dBm),ISNUMBER(E185)),Pin_dBm+E185,"")</f>
        <v>-10</v>
      </c>
      <c r="L185" s="5" t="str">
        <f>IF(AND(器件参数!J185="finite",ISNUMBER(器件参数!L185),ISNUMBER(C185)),IF(器件参数!K185="input",器件参数!L185,IF(器件参数!K185="output",器件参数!L185-C185,"")),"")</f>
        <v/>
      </c>
      <c r="M185" s="5">
        <f>IFERROR(IF(NOT(ISNUMBER(M184)),"",IF(OR(NOT(器件参数!B185),器件参数!J185="ideal"),M184,IF(AND(ISNUMBER(L185),ISNUMBER(F185)),M184+F185/10^(L185/10),""))),"数值域错误")</f>
        <v>0.2</v>
      </c>
      <c r="N185" s="5">
        <f t="shared" si="43"/>
        <v>6.98970004336019</v>
      </c>
      <c r="O185" s="5">
        <f t="shared" si="44"/>
        <v>26.9897000433602</v>
      </c>
      <c r="P185" s="5" t="str">
        <f>IF(AND(器件参数!M185="finite",ISNUMBER(器件参数!O185),ISNUMBER(C185)),IF(器件参数!N185="input",器件参数!O185,IF(器件参数!N185="actual_output",器件参数!O185-C185+1,IF(器件参数!N185="linear_output",器件参数!O185-C185,""))),"")</f>
        <v/>
      </c>
      <c r="Q185" s="5">
        <f>IF(器件参数!P185="",IF(AND(ISNUMBER(DefaultP),DefaultP&gt;=1,DefaultP&lt;=10),DefaultP,""),IF(AND(ISNUMBER(器件参数!P185),器件参数!P185&gt;=1,器件参数!P185&lt;=10),器件参数!P185,""))</f>
        <v>2</v>
      </c>
      <c r="R185" s="5">
        <f t="shared" si="45"/>
        <v>-10.0000139708288</v>
      </c>
      <c r="S185" s="5" t="str">
        <f t="shared" si="46"/>
        <v/>
      </c>
      <c r="T185" s="5">
        <f t="shared" si="47"/>
        <v>0</v>
      </c>
      <c r="U185" s="5">
        <f t="shared" si="48"/>
        <v>-10.0000139708288</v>
      </c>
      <c r="V185" s="5">
        <f>IF(AND(ISNUMBER(Pin_dBm),ISNUMBER(E185),ISNUMBER(U185)),Pin_dBm+E185-U185,"")</f>
        <v>1.39708287854035e-5</v>
      </c>
      <c r="W185" s="5" t="str">
        <f>IF(AND(器件参数!B185,X185=1,ISNUMBER(D185)),P185-D185,"")</f>
        <v/>
      </c>
      <c r="X185" s="5">
        <f>IF(NOT(ISNUMBER(C185)),-1,IF(OR(NOT(器件参数!B185),器件参数!M185="ideal"),0,IF(AND(ISNUMBER(P185),ISNUMBER(Q185)),1,-1)))</f>
        <v>0</v>
      </c>
      <c r="Y185" s="5" t="str">
        <f t="shared" si="49"/>
        <v>有效</v>
      </c>
      <c r="Z185" s="5" t="str">
        <f t="shared" si="50"/>
        <v>有效</v>
      </c>
      <c r="AA185" s="5" t="str">
        <f t="shared" si="51"/>
        <v>模型估算</v>
      </c>
      <c r="AB185" s="5">
        <f t="shared" si="52"/>
        <v>100000000</v>
      </c>
      <c r="AC185" s="5">
        <f>IF(NOT(ISNUMBER(AB185)),"",IF(OR(NOT(器件参数!B185),器件参数!E185&lt;&gt;"mixer"),AB185,IF(AND(ISNUMBER(器件参数!T185),器件参数!T185&gt;0),IF(器件参数!U185="sum",AB185+器件参数!T185,IF(器件参数!U185="difference",ABS(AB185-器件参数!T185),"")),"")))</f>
        <v>100000000</v>
      </c>
      <c r="AD185" s="5">
        <f t="shared" si="53"/>
        <v>0</v>
      </c>
      <c r="AE185" s="5">
        <f>IF(AND(ISNUMBER(G185),ISNUMBER(F185)),Tref_K*(G185-1)/F185,"")</f>
        <v>0</v>
      </c>
      <c r="AF185" s="5">
        <f>IF(AND(ISNUMBER(H185),ISNUMBER(E185),NoiseConfigOK),10*LOG10(Boltzmann*Bnoise_Hz*(Tsource_K+Tref_K*(H185-1)))+30+E185,"")</f>
        <v>-90.3704468972711</v>
      </c>
      <c r="AG185" s="5">
        <f t="shared" si="54"/>
        <v>80.3704468972711</v>
      </c>
      <c r="AH185" s="5">
        <f>IF(AND(ToneEnabled,ISNUMBER(E185),ISNUMBER(TonePin)),TonePin+E185,"")</f>
        <v>-10</v>
      </c>
      <c r="AI185" s="5">
        <f>IF(AND(ToneEnabled,ISNUMBER(E185),ISNUMBER(N185),ISNUMBER(TonePin)),3*TonePin+E185-2*N185,"")</f>
        <v>-83.9794000867204</v>
      </c>
      <c r="AJ185" s="5" t="str">
        <f t="shared" si="55"/>
        <v/>
      </c>
      <c r="AK185" s="5" t="str">
        <f>IF(NOT(器件参数!B185),"旁路",IF(NOT(ISNUMBER(AC185)),"频率未知",IF(AC185&lt;=SignalBW/2,"跨零频",IF(AND(ISNUMBER(器件参数!R185),ISNUMBER(器件参数!S185)),IF(AND(AB185-SignalBW/2&gt;=器件参数!R185,AB185+SignalBW/2&lt;=器件参数!S185),"有效","超声明通带"),"未声明通带"))))</f>
        <v>旁路</v>
      </c>
      <c r="AL185" s="5">
        <f t="shared" si="56"/>
        <v>0</v>
      </c>
      <c r="AM185" s="5" t="str">
        <f>IF(AND(器件参数!B185,ISNUMBER(器件参数!X185),OR(AND(ISNUMBER(J185),J185&gt;器件参数!X185),IF(AND(ToneEnabled,ISNUMBER(TonePin),ISNUMBER(D185)),TonePin+10*LOG10(2)+D185&gt;器件参数!X185,FALSE))),"超过绝对最大输入额定值","")</f>
        <v/>
      </c>
      <c r="AN185" s="5">
        <f>IF(NOT(ISNUMBER(AN184)),"",IF(OR(NOT(器件参数!B185),器件参数!E185&lt;&gt;"mixer"),AN184,IF(AND(ISNUMBER(器件参数!T185),器件参数!T185&gt;0),IF(器件参数!U185="sum",AN184+器件参数!T185,ABS(AN184-器件参数!T185)),"")))</f>
        <v>99950000</v>
      </c>
      <c r="AO185" s="5">
        <f>IF(NOT(ISNUMBER(AO184)),"",IF(OR(NOT(器件参数!B185),器件参数!E185&lt;&gt;"mixer"),AO184,IF(AND(ISNUMBER(器件参数!T185),器件参数!T185&gt;0),IF(器件参数!U185="sum",AO184+器件参数!T185,ABS(AO184-器件参数!T185)),"")))</f>
        <v>100050000</v>
      </c>
      <c r="AP185" s="5">
        <f>IF(NOT(ISNUMBER(AP184)),"",IF(OR(NOT(器件参数!B185),器件参数!E185&lt;&gt;"mixer"),AP184,IF(AND(ISNUMBER(器件参数!T185),器件参数!T185&gt;0),IF(器件参数!U185="sum",AP184+器件参数!T185,ABS(AP184-器件参数!T185)),"")))</f>
        <v>99850000</v>
      </c>
      <c r="AQ185" s="5">
        <f>IF(NOT(ISNUMBER(AQ184)),"",IF(OR(NOT(器件参数!B185),器件参数!E185&lt;&gt;"mixer"),AQ184,IF(AND(ISNUMBER(器件参数!T185),器件参数!T185&gt;0),IF(器件参数!U185="sum",AQ184+器件参数!T185,ABS(AQ184-器件参数!T185)),"")))</f>
        <v>100150000</v>
      </c>
      <c r="AR185" s="5" t="b">
        <f>IF(NOT(AR184),FALSE,IF(NOT(器件参数!B185),TRUE,AND(COUNT(AN185:AQ185)=4,MIN(AN185:AQ185)&gt;0,IF(AND(ISNUMBER(器件参数!R185),ISNUMBER(器件参数!S185)),AND(MIN(AN184:AQ184)&gt;=器件参数!R185,MAX(AN184:AQ184)&lt;=器件参数!S185),TRUE),IF(AND(器件参数!E185="mixer",器件参数!U185="difference"),OR(器件参数!T185&lt;MIN(AN184:AQ184),器件参数!T185&gt;MAX(AN184:AQ184)),TRUE))))</f>
        <v>1</v>
      </c>
    </row>
    <row r="186" hidden="1" spans="1:44">
      <c r="A186" s="5">
        <f>器件参数!A186</f>
        <v>183</v>
      </c>
      <c r="B186" s="5" t="str">
        <f>器件参数!D186</f>
        <v/>
      </c>
      <c r="C186" s="5">
        <f>IF(NOT(器件参数!B186),0,IF(AND(ISNUMBER(器件参数!F186),ABS(器件参数!F186)&lt;=300),器件参数!F186,""))</f>
        <v>0</v>
      </c>
      <c r="D186" s="5">
        <f t="shared" si="38"/>
        <v>20</v>
      </c>
      <c r="E186" s="5">
        <f t="shared" si="39"/>
        <v>20</v>
      </c>
      <c r="F186" s="5">
        <f t="shared" si="40"/>
        <v>100</v>
      </c>
      <c r="G186" s="5">
        <f>IFERROR(IF(NOT(器件参数!B186),1,IF(NOT(OR(器件参数!E186&lt;&gt;"mixer",AND(OR(器件参数!V186="SSB",器件参数!V186="DSB"),器件参数!W186=TRUE))),"",IF(器件参数!G186="ideal",1,IF(AND(器件参数!G186="manual",ISNUMBER(器件参数!H186),器件参数!H186&gt;=0),10^(器件参数!H186/10),IF(AND(器件参数!G186="passive_thermal",OR(器件参数!E186="filter_bpf",器件参数!E186="filter_lpf",器件参数!E186="filter_hpf",器件参数!E186="filter_bsf",器件参数!E186="attenuator",器件参数!E186="cable",器件参数!E186="connector",器件参数!E186="switch",器件参数!E186="isolator",器件参数!E186="coupler",器件参数!E186="splitter"),AND(ISNUMBER(器件参数!F186),ABS(器件参数!F186)&lt;=300),器件参数!F186&lt;=0,ISNUMBER(器件参数!I186),器件参数!I186&gt;0),1+(10^(-器件参数!F186/10)-1)*器件参数!I186/Tref_K,""))))),"数值域错误")</f>
        <v>1</v>
      </c>
      <c r="H186" s="5">
        <f t="shared" si="41"/>
        <v>2.29336948552238</v>
      </c>
      <c r="I186" s="5">
        <f t="shared" si="42"/>
        <v>3.604740296957</v>
      </c>
      <c r="J186" s="5">
        <f>IF(AND(ISNUMBER(Pin_dBm),ISNUMBER(D186)),Pin_dBm+D186,"")</f>
        <v>-10</v>
      </c>
      <c r="K186" s="5">
        <f>IF(AND(ISNUMBER(Pin_dBm),ISNUMBER(E186)),Pin_dBm+E186,"")</f>
        <v>-10</v>
      </c>
      <c r="L186" s="5" t="str">
        <f>IF(AND(器件参数!J186="finite",ISNUMBER(器件参数!L186),ISNUMBER(C186)),IF(器件参数!K186="input",器件参数!L186,IF(器件参数!K186="output",器件参数!L186-C186,"")),"")</f>
        <v/>
      </c>
      <c r="M186" s="5">
        <f>IFERROR(IF(NOT(ISNUMBER(M185)),"",IF(OR(NOT(器件参数!B186),器件参数!J186="ideal"),M185,IF(AND(ISNUMBER(L186),ISNUMBER(F186)),M185+F186/10^(L186/10),""))),"数值域错误")</f>
        <v>0.2</v>
      </c>
      <c r="N186" s="5">
        <f t="shared" si="43"/>
        <v>6.98970004336019</v>
      </c>
      <c r="O186" s="5">
        <f t="shared" si="44"/>
        <v>26.9897000433602</v>
      </c>
      <c r="P186" s="5" t="str">
        <f>IF(AND(器件参数!M186="finite",ISNUMBER(器件参数!O186),ISNUMBER(C186)),IF(器件参数!N186="input",器件参数!O186,IF(器件参数!N186="actual_output",器件参数!O186-C186+1,IF(器件参数!N186="linear_output",器件参数!O186-C186,""))),"")</f>
        <v/>
      </c>
      <c r="Q186" s="5">
        <f>IF(器件参数!P186="",IF(AND(ISNUMBER(DefaultP),DefaultP&gt;=1,DefaultP&lt;=10),DefaultP,""),IF(AND(ISNUMBER(器件参数!P186),器件参数!P186&gt;=1,器件参数!P186&lt;=10),器件参数!P186,""))</f>
        <v>2</v>
      </c>
      <c r="R186" s="5">
        <f t="shared" si="45"/>
        <v>-10.0000139708288</v>
      </c>
      <c r="S186" s="5" t="str">
        <f t="shared" si="46"/>
        <v/>
      </c>
      <c r="T186" s="5">
        <f t="shared" si="47"/>
        <v>0</v>
      </c>
      <c r="U186" s="5">
        <f t="shared" si="48"/>
        <v>-10.0000139708288</v>
      </c>
      <c r="V186" s="5">
        <f>IF(AND(ISNUMBER(Pin_dBm),ISNUMBER(E186),ISNUMBER(U186)),Pin_dBm+E186-U186,"")</f>
        <v>1.39708287854035e-5</v>
      </c>
      <c r="W186" s="5" t="str">
        <f>IF(AND(器件参数!B186,X186=1,ISNUMBER(D186)),P186-D186,"")</f>
        <v/>
      </c>
      <c r="X186" s="5">
        <f>IF(NOT(ISNUMBER(C186)),-1,IF(OR(NOT(器件参数!B186),器件参数!M186="ideal"),0,IF(AND(ISNUMBER(P186),ISNUMBER(Q186)),1,-1)))</f>
        <v>0</v>
      </c>
      <c r="Y186" s="5" t="str">
        <f t="shared" si="49"/>
        <v>有效</v>
      </c>
      <c r="Z186" s="5" t="str">
        <f t="shared" si="50"/>
        <v>有效</v>
      </c>
      <c r="AA186" s="5" t="str">
        <f t="shared" si="51"/>
        <v>模型估算</v>
      </c>
      <c r="AB186" s="5">
        <f t="shared" si="52"/>
        <v>100000000</v>
      </c>
      <c r="AC186" s="5">
        <f>IF(NOT(ISNUMBER(AB186)),"",IF(OR(NOT(器件参数!B186),器件参数!E186&lt;&gt;"mixer"),AB186,IF(AND(ISNUMBER(器件参数!T186),器件参数!T186&gt;0),IF(器件参数!U186="sum",AB186+器件参数!T186,IF(器件参数!U186="difference",ABS(AB186-器件参数!T186),"")),"")))</f>
        <v>100000000</v>
      </c>
      <c r="AD186" s="5">
        <f t="shared" si="53"/>
        <v>0</v>
      </c>
      <c r="AE186" s="5">
        <f>IF(AND(ISNUMBER(G186),ISNUMBER(F186)),Tref_K*(G186-1)/F186,"")</f>
        <v>0</v>
      </c>
      <c r="AF186" s="5">
        <f>IF(AND(ISNUMBER(H186),ISNUMBER(E186),NoiseConfigOK),10*LOG10(Boltzmann*Bnoise_Hz*(Tsource_K+Tref_K*(H186-1)))+30+E186,"")</f>
        <v>-90.3704468972711</v>
      </c>
      <c r="AG186" s="5">
        <f t="shared" si="54"/>
        <v>80.3704468972711</v>
      </c>
      <c r="AH186" s="5">
        <f>IF(AND(ToneEnabled,ISNUMBER(E186),ISNUMBER(TonePin)),TonePin+E186,"")</f>
        <v>-10</v>
      </c>
      <c r="AI186" s="5">
        <f>IF(AND(ToneEnabled,ISNUMBER(E186),ISNUMBER(N186),ISNUMBER(TonePin)),3*TonePin+E186-2*N186,"")</f>
        <v>-83.9794000867204</v>
      </c>
      <c r="AJ186" s="5" t="str">
        <f t="shared" si="55"/>
        <v/>
      </c>
      <c r="AK186" s="5" t="str">
        <f>IF(NOT(器件参数!B186),"旁路",IF(NOT(ISNUMBER(AC186)),"频率未知",IF(AC186&lt;=SignalBW/2,"跨零频",IF(AND(ISNUMBER(器件参数!R186),ISNUMBER(器件参数!S186)),IF(AND(AB186-SignalBW/2&gt;=器件参数!R186,AB186+SignalBW/2&lt;=器件参数!S186),"有效","超声明通带"),"未声明通带"))))</f>
        <v>旁路</v>
      </c>
      <c r="AL186" s="5">
        <f t="shared" si="56"/>
        <v>0</v>
      </c>
      <c r="AM186" s="5" t="str">
        <f>IF(AND(器件参数!B186,ISNUMBER(器件参数!X186),OR(AND(ISNUMBER(J186),J186&gt;器件参数!X186),IF(AND(ToneEnabled,ISNUMBER(TonePin),ISNUMBER(D186)),TonePin+10*LOG10(2)+D186&gt;器件参数!X186,FALSE))),"超过绝对最大输入额定值","")</f>
        <v/>
      </c>
      <c r="AN186" s="5">
        <f>IF(NOT(ISNUMBER(AN185)),"",IF(OR(NOT(器件参数!B186),器件参数!E186&lt;&gt;"mixer"),AN185,IF(AND(ISNUMBER(器件参数!T186),器件参数!T186&gt;0),IF(器件参数!U186="sum",AN185+器件参数!T186,ABS(AN185-器件参数!T186)),"")))</f>
        <v>99950000</v>
      </c>
      <c r="AO186" s="5">
        <f>IF(NOT(ISNUMBER(AO185)),"",IF(OR(NOT(器件参数!B186),器件参数!E186&lt;&gt;"mixer"),AO185,IF(AND(ISNUMBER(器件参数!T186),器件参数!T186&gt;0),IF(器件参数!U186="sum",AO185+器件参数!T186,ABS(AO185-器件参数!T186)),"")))</f>
        <v>100050000</v>
      </c>
      <c r="AP186" s="5">
        <f>IF(NOT(ISNUMBER(AP185)),"",IF(OR(NOT(器件参数!B186),器件参数!E186&lt;&gt;"mixer"),AP185,IF(AND(ISNUMBER(器件参数!T186),器件参数!T186&gt;0),IF(器件参数!U186="sum",AP185+器件参数!T186,ABS(AP185-器件参数!T186)),"")))</f>
        <v>99850000</v>
      </c>
      <c r="AQ186" s="5">
        <f>IF(NOT(ISNUMBER(AQ185)),"",IF(OR(NOT(器件参数!B186),器件参数!E186&lt;&gt;"mixer"),AQ185,IF(AND(ISNUMBER(器件参数!T186),器件参数!T186&gt;0),IF(器件参数!U186="sum",AQ185+器件参数!T186,ABS(AQ185-器件参数!T186)),"")))</f>
        <v>100150000</v>
      </c>
      <c r="AR186" s="5" t="b">
        <f>IF(NOT(AR185),FALSE,IF(NOT(器件参数!B186),TRUE,AND(COUNT(AN186:AQ186)=4,MIN(AN186:AQ186)&gt;0,IF(AND(ISNUMBER(器件参数!R186),ISNUMBER(器件参数!S186)),AND(MIN(AN185:AQ185)&gt;=器件参数!R186,MAX(AN185:AQ185)&lt;=器件参数!S186),TRUE),IF(AND(器件参数!E186="mixer",器件参数!U186="difference"),OR(器件参数!T186&lt;MIN(AN185:AQ185),器件参数!T186&gt;MAX(AN185:AQ185)),TRUE))))</f>
        <v>1</v>
      </c>
    </row>
    <row r="187" hidden="1" spans="1:44">
      <c r="A187" s="5">
        <f>器件参数!A187</f>
        <v>184</v>
      </c>
      <c r="B187" s="5" t="str">
        <f>器件参数!D187</f>
        <v/>
      </c>
      <c r="C187" s="5">
        <f>IF(NOT(器件参数!B187),0,IF(AND(ISNUMBER(器件参数!F187),ABS(器件参数!F187)&lt;=300),器件参数!F187,""))</f>
        <v>0</v>
      </c>
      <c r="D187" s="5">
        <f t="shared" si="38"/>
        <v>20</v>
      </c>
      <c r="E187" s="5">
        <f t="shared" si="39"/>
        <v>20</v>
      </c>
      <c r="F187" s="5">
        <f t="shared" si="40"/>
        <v>100</v>
      </c>
      <c r="G187" s="5">
        <f>IFERROR(IF(NOT(器件参数!B187),1,IF(NOT(OR(器件参数!E187&lt;&gt;"mixer",AND(OR(器件参数!V187="SSB",器件参数!V187="DSB"),器件参数!W187=TRUE))),"",IF(器件参数!G187="ideal",1,IF(AND(器件参数!G187="manual",ISNUMBER(器件参数!H187),器件参数!H187&gt;=0),10^(器件参数!H187/10),IF(AND(器件参数!G187="passive_thermal",OR(器件参数!E187="filter_bpf",器件参数!E187="filter_lpf",器件参数!E187="filter_hpf",器件参数!E187="filter_bsf",器件参数!E187="attenuator",器件参数!E187="cable",器件参数!E187="connector",器件参数!E187="switch",器件参数!E187="isolator",器件参数!E187="coupler",器件参数!E187="splitter"),AND(ISNUMBER(器件参数!F187),ABS(器件参数!F187)&lt;=300),器件参数!F187&lt;=0,ISNUMBER(器件参数!I187),器件参数!I187&gt;0),1+(10^(-器件参数!F187/10)-1)*器件参数!I187/Tref_K,""))))),"数值域错误")</f>
        <v>1</v>
      </c>
      <c r="H187" s="5">
        <f t="shared" si="41"/>
        <v>2.29336948552238</v>
      </c>
      <c r="I187" s="5">
        <f t="shared" si="42"/>
        <v>3.604740296957</v>
      </c>
      <c r="J187" s="5">
        <f>IF(AND(ISNUMBER(Pin_dBm),ISNUMBER(D187)),Pin_dBm+D187,"")</f>
        <v>-10</v>
      </c>
      <c r="K187" s="5">
        <f>IF(AND(ISNUMBER(Pin_dBm),ISNUMBER(E187)),Pin_dBm+E187,"")</f>
        <v>-10</v>
      </c>
      <c r="L187" s="5" t="str">
        <f>IF(AND(器件参数!J187="finite",ISNUMBER(器件参数!L187),ISNUMBER(C187)),IF(器件参数!K187="input",器件参数!L187,IF(器件参数!K187="output",器件参数!L187-C187,"")),"")</f>
        <v/>
      </c>
      <c r="M187" s="5">
        <f>IFERROR(IF(NOT(ISNUMBER(M186)),"",IF(OR(NOT(器件参数!B187),器件参数!J187="ideal"),M186,IF(AND(ISNUMBER(L187),ISNUMBER(F187)),M186+F187/10^(L187/10),""))),"数值域错误")</f>
        <v>0.2</v>
      </c>
      <c r="N187" s="5">
        <f t="shared" si="43"/>
        <v>6.98970004336019</v>
      </c>
      <c r="O187" s="5">
        <f t="shared" si="44"/>
        <v>26.9897000433602</v>
      </c>
      <c r="P187" s="5" t="str">
        <f>IF(AND(器件参数!M187="finite",ISNUMBER(器件参数!O187),ISNUMBER(C187)),IF(器件参数!N187="input",器件参数!O187,IF(器件参数!N187="actual_output",器件参数!O187-C187+1,IF(器件参数!N187="linear_output",器件参数!O187-C187,""))),"")</f>
        <v/>
      </c>
      <c r="Q187" s="5">
        <f>IF(器件参数!P187="",IF(AND(ISNUMBER(DefaultP),DefaultP&gt;=1,DefaultP&lt;=10),DefaultP,""),IF(AND(ISNUMBER(器件参数!P187),器件参数!P187&gt;=1,器件参数!P187&lt;=10),器件参数!P187,""))</f>
        <v>2</v>
      </c>
      <c r="R187" s="5">
        <f t="shared" si="45"/>
        <v>-10.0000139708288</v>
      </c>
      <c r="S187" s="5" t="str">
        <f t="shared" si="46"/>
        <v/>
      </c>
      <c r="T187" s="5">
        <f t="shared" si="47"/>
        <v>0</v>
      </c>
      <c r="U187" s="5">
        <f t="shared" si="48"/>
        <v>-10.0000139708288</v>
      </c>
      <c r="V187" s="5">
        <f>IF(AND(ISNUMBER(Pin_dBm),ISNUMBER(E187),ISNUMBER(U187)),Pin_dBm+E187-U187,"")</f>
        <v>1.39708287854035e-5</v>
      </c>
      <c r="W187" s="5" t="str">
        <f>IF(AND(器件参数!B187,X187=1,ISNUMBER(D187)),P187-D187,"")</f>
        <v/>
      </c>
      <c r="X187" s="5">
        <f>IF(NOT(ISNUMBER(C187)),-1,IF(OR(NOT(器件参数!B187),器件参数!M187="ideal"),0,IF(AND(ISNUMBER(P187),ISNUMBER(Q187)),1,-1)))</f>
        <v>0</v>
      </c>
      <c r="Y187" s="5" t="str">
        <f t="shared" si="49"/>
        <v>有效</v>
      </c>
      <c r="Z187" s="5" t="str">
        <f t="shared" si="50"/>
        <v>有效</v>
      </c>
      <c r="AA187" s="5" t="str">
        <f t="shared" si="51"/>
        <v>模型估算</v>
      </c>
      <c r="AB187" s="5">
        <f t="shared" si="52"/>
        <v>100000000</v>
      </c>
      <c r="AC187" s="5">
        <f>IF(NOT(ISNUMBER(AB187)),"",IF(OR(NOT(器件参数!B187),器件参数!E187&lt;&gt;"mixer"),AB187,IF(AND(ISNUMBER(器件参数!T187),器件参数!T187&gt;0),IF(器件参数!U187="sum",AB187+器件参数!T187,IF(器件参数!U187="difference",ABS(AB187-器件参数!T187),"")),"")))</f>
        <v>100000000</v>
      </c>
      <c r="AD187" s="5">
        <f t="shared" si="53"/>
        <v>0</v>
      </c>
      <c r="AE187" s="5">
        <f>IF(AND(ISNUMBER(G187),ISNUMBER(F187)),Tref_K*(G187-1)/F187,"")</f>
        <v>0</v>
      </c>
      <c r="AF187" s="5">
        <f>IF(AND(ISNUMBER(H187),ISNUMBER(E187),NoiseConfigOK),10*LOG10(Boltzmann*Bnoise_Hz*(Tsource_K+Tref_K*(H187-1)))+30+E187,"")</f>
        <v>-90.3704468972711</v>
      </c>
      <c r="AG187" s="5">
        <f t="shared" si="54"/>
        <v>80.3704468972711</v>
      </c>
      <c r="AH187" s="5">
        <f>IF(AND(ToneEnabled,ISNUMBER(E187),ISNUMBER(TonePin)),TonePin+E187,"")</f>
        <v>-10</v>
      </c>
      <c r="AI187" s="5">
        <f>IF(AND(ToneEnabled,ISNUMBER(E187),ISNUMBER(N187),ISNUMBER(TonePin)),3*TonePin+E187-2*N187,"")</f>
        <v>-83.9794000867204</v>
      </c>
      <c r="AJ187" s="5" t="str">
        <f t="shared" si="55"/>
        <v/>
      </c>
      <c r="AK187" s="5" t="str">
        <f>IF(NOT(器件参数!B187),"旁路",IF(NOT(ISNUMBER(AC187)),"频率未知",IF(AC187&lt;=SignalBW/2,"跨零频",IF(AND(ISNUMBER(器件参数!R187),ISNUMBER(器件参数!S187)),IF(AND(AB187-SignalBW/2&gt;=器件参数!R187,AB187+SignalBW/2&lt;=器件参数!S187),"有效","超声明通带"),"未声明通带"))))</f>
        <v>旁路</v>
      </c>
      <c r="AL187" s="5">
        <f t="shared" si="56"/>
        <v>0</v>
      </c>
      <c r="AM187" s="5" t="str">
        <f>IF(AND(器件参数!B187,ISNUMBER(器件参数!X187),OR(AND(ISNUMBER(J187),J187&gt;器件参数!X187),IF(AND(ToneEnabled,ISNUMBER(TonePin),ISNUMBER(D187)),TonePin+10*LOG10(2)+D187&gt;器件参数!X187,FALSE))),"超过绝对最大输入额定值","")</f>
        <v/>
      </c>
      <c r="AN187" s="5">
        <f>IF(NOT(ISNUMBER(AN186)),"",IF(OR(NOT(器件参数!B187),器件参数!E187&lt;&gt;"mixer"),AN186,IF(AND(ISNUMBER(器件参数!T187),器件参数!T187&gt;0),IF(器件参数!U187="sum",AN186+器件参数!T187,ABS(AN186-器件参数!T187)),"")))</f>
        <v>99950000</v>
      </c>
      <c r="AO187" s="5">
        <f>IF(NOT(ISNUMBER(AO186)),"",IF(OR(NOT(器件参数!B187),器件参数!E187&lt;&gt;"mixer"),AO186,IF(AND(ISNUMBER(器件参数!T187),器件参数!T187&gt;0),IF(器件参数!U187="sum",AO186+器件参数!T187,ABS(AO186-器件参数!T187)),"")))</f>
        <v>100050000</v>
      </c>
      <c r="AP187" s="5">
        <f>IF(NOT(ISNUMBER(AP186)),"",IF(OR(NOT(器件参数!B187),器件参数!E187&lt;&gt;"mixer"),AP186,IF(AND(ISNUMBER(器件参数!T187),器件参数!T187&gt;0),IF(器件参数!U187="sum",AP186+器件参数!T187,ABS(AP186-器件参数!T187)),"")))</f>
        <v>99850000</v>
      </c>
      <c r="AQ187" s="5">
        <f>IF(NOT(ISNUMBER(AQ186)),"",IF(OR(NOT(器件参数!B187),器件参数!E187&lt;&gt;"mixer"),AQ186,IF(AND(ISNUMBER(器件参数!T187),器件参数!T187&gt;0),IF(器件参数!U187="sum",AQ186+器件参数!T187,ABS(AQ186-器件参数!T187)),"")))</f>
        <v>100150000</v>
      </c>
      <c r="AR187" s="5" t="b">
        <f>IF(NOT(AR186),FALSE,IF(NOT(器件参数!B187),TRUE,AND(COUNT(AN187:AQ187)=4,MIN(AN187:AQ187)&gt;0,IF(AND(ISNUMBER(器件参数!R187),ISNUMBER(器件参数!S187)),AND(MIN(AN186:AQ186)&gt;=器件参数!R187,MAX(AN186:AQ186)&lt;=器件参数!S187),TRUE),IF(AND(器件参数!E187="mixer",器件参数!U187="difference"),OR(器件参数!T187&lt;MIN(AN186:AQ186),器件参数!T187&gt;MAX(AN186:AQ186)),TRUE))))</f>
        <v>1</v>
      </c>
    </row>
    <row r="188" hidden="1" spans="1:44">
      <c r="A188" s="5">
        <f>器件参数!A188</f>
        <v>185</v>
      </c>
      <c r="B188" s="5" t="str">
        <f>器件参数!D188</f>
        <v/>
      </c>
      <c r="C188" s="5">
        <f>IF(NOT(器件参数!B188),0,IF(AND(ISNUMBER(器件参数!F188),ABS(器件参数!F188)&lt;=300),器件参数!F188,""))</f>
        <v>0</v>
      </c>
      <c r="D188" s="5">
        <f t="shared" si="38"/>
        <v>20</v>
      </c>
      <c r="E188" s="5">
        <f t="shared" si="39"/>
        <v>20</v>
      </c>
      <c r="F188" s="5">
        <f t="shared" si="40"/>
        <v>100</v>
      </c>
      <c r="G188" s="5">
        <f>IFERROR(IF(NOT(器件参数!B188),1,IF(NOT(OR(器件参数!E188&lt;&gt;"mixer",AND(OR(器件参数!V188="SSB",器件参数!V188="DSB"),器件参数!W188=TRUE))),"",IF(器件参数!G188="ideal",1,IF(AND(器件参数!G188="manual",ISNUMBER(器件参数!H188),器件参数!H188&gt;=0),10^(器件参数!H188/10),IF(AND(器件参数!G188="passive_thermal",OR(器件参数!E188="filter_bpf",器件参数!E188="filter_lpf",器件参数!E188="filter_hpf",器件参数!E188="filter_bsf",器件参数!E188="attenuator",器件参数!E188="cable",器件参数!E188="connector",器件参数!E188="switch",器件参数!E188="isolator",器件参数!E188="coupler",器件参数!E188="splitter"),AND(ISNUMBER(器件参数!F188),ABS(器件参数!F188)&lt;=300),器件参数!F188&lt;=0,ISNUMBER(器件参数!I188),器件参数!I188&gt;0),1+(10^(-器件参数!F188/10)-1)*器件参数!I188/Tref_K,""))))),"数值域错误")</f>
        <v>1</v>
      </c>
      <c r="H188" s="5">
        <f t="shared" si="41"/>
        <v>2.29336948552238</v>
      </c>
      <c r="I188" s="5">
        <f t="shared" si="42"/>
        <v>3.604740296957</v>
      </c>
      <c r="J188" s="5">
        <f>IF(AND(ISNUMBER(Pin_dBm),ISNUMBER(D188)),Pin_dBm+D188,"")</f>
        <v>-10</v>
      </c>
      <c r="K188" s="5">
        <f>IF(AND(ISNUMBER(Pin_dBm),ISNUMBER(E188)),Pin_dBm+E188,"")</f>
        <v>-10</v>
      </c>
      <c r="L188" s="5" t="str">
        <f>IF(AND(器件参数!J188="finite",ISNUMBER(器件参数!L188),ISNUMBER(C188)),IF(器件参数!K188="input",器件参数!L188,IF(器件参数!K188="output",器件参数!L188-C188,"")),"")</f>
        <v/>
      </c>
      <c r="M188" s="5">
        <f>IFERROR(IF(NOT(ISNUMBER(M187)),"",IF(OR(NOT(器件参数!B188),器件参数!J188="ideal"),M187,IF(AND(ISNUMBER(L188),ISNUMBER(F188)),M187+F188/10^(L188/10),""))),"数值域错误")</f>
        <v>0.2</v>
      </c>
      <c r="N188" s="5">
        <f t="shared" si="43"/>
        <v>6.98970004336019</v>
      </c>
      <c r="O188" s="5">
        <f t="shared" si="44"/>
        <v>26.9897000433602</v>
      </c>
      <c r="P188" s="5" t="str">
        <f>IF(AND(器件参数!M188="finite",ISNUMBER(器件参数!O188),ISNUMBER(C188)),IF(器件参数!N188="input",器件参数!O188,IF(器件参数!N188="actual_output",器件参数!O188-C188+1,IF(器件参数!N188="linear_output",器件参数!O188-C188,""))),"")</f>
        <v/>
      </c>
      <c r="Q188" s="5">
        <f>IF(器件参数!P188="",IF(AND(ISNUMBER(DefaultP),DefaultP&gt;=1,DefaultP&lt;=10),DefaultP,""),IF(AND(ISNUMBER(器件参数!P188),器件参数!P188&gt;=1,器件参数!P188&lt;=10),器件参数!P188,""))</f>
        <v>2</v>
      </c>
      <c r="R188" s="5">
        <f t="shared" si="45"/>
        <v>-10.0000139708288</v>
      </c>
      <c r="S188" s="5" t="str">
        <f t="shared" si="46"/>
        <v/>
      </c>
      <c r="T188" s="5">
        <f t="shared" si="47"/>
        <v>0</v>
      </c>
      <c r="U188" s="5">
        <f t="shared" si="48"/>
        <v>-10.0000139708288</v>
      </c>
      <c r="V188" s="5">
        <f>IF(AND(ISNUMBER(Pin_dBm),ISNUMBER(E188),ISNUMBER(U188)),Pin_dBm+E188-U188,"")</f>
        <v>1.39708287854035e-5</v>
      </c>
      <c r="W188" s="5" t="str">
        <f>IF(AND(器件参数!B188,X188=1,ISNUMBER(D188)),P188-D188,"")</f>
        <v/>
      </c>
      <c r="X188" s="5">
        <f>IF(NOT(ISNUMBER(C188)),-1,IF(OR(NOT(器件参数!B188),器件参数!M188="ideal"),0,IF(AND(ISNUMBER(P188),ISNUMBER(Q188)),1,-1)))</f>
        <v>0</v>
      </c>
      <c r="Y188" s="5" t="str">
        <f t="shared" si="49"/>
        <v>有效</v>
      </c>
      <c r="Z188" s="5" t="str">
        <f t="shared" si="50"/>
        <v>有效</v>
      </c>
      <c r="AA188" s="5" t="str">
        <f t="shared" si="51"/>
        <v>模型估算</v>
      </c>
      <c r="AB188" s="5">
        <f t="shared" si="52"/>
        <v>100000000</v>
      </c>
      <c r="AC188" s="5">
        <f>IF(NOT(ISNUMBER(AB188)),"",IF(OR(NOT(器件参数!B188),器件参数!E188&lt;&gt;"mixer"),AB188,IF(AND(ISNUMBER(器件参数!T188),器件参数!T188&gt;0),IF(器件参数!U188="sum",AB188+器件参数!T188,IF(器件参数!U188="difference",ABS(AB188-器件参数!T188),"")),"")))</f>
        <v>100000000</v>
      </c>
      <c r="AD188" s="5">
        <f t="shared" si="53"/>
        <v>0</v>
      </c>
      <c r="AE188" s="5">
        <f>IF(AND(ISNUMBER(G188),ISNUMBER(F188)),Tref_K*(G188-1)/F188,"")</f>
        <v>0</v>
      </c>
      <c r="AF188" s="5">
        <f>IF(AND(ISNUMBER(H188),ISNUMBER(E188),NoiseConfigOK),10*LOG10(Boltzmann*Bnoise_Hz*(Tsource_K+Tref_K*(H188-1)))+30+E188,"")</f>
        <v>-90.3704468972711</v>
      </c>
      <c r="AG188" s="5">
        <f t="shared" si="54"/>
        <v>80.3704468972711</v>
      </c>
      <c r="AH188" s="5">
        <f>IF(AND(ToneEnabled,ISNUMBER(E188),ISNUMBER(TonePin)),TonePin+E188,"")</f>
        <v>-10</v>
      </c>
      <c r="AI188" s="5">
        <f>IF(AND(ToneEnabled,ISNUMBER(E188),ISNUMBER(N188),ISNUMBER(TonePin)),3*TonePin+E188-2*N188,"")</f>
        <v>-83.9794000867204</v>
      </c>
      <c r="AJ188" s="5" t="str">
        <f t="shared" si="55"/>
        <v/>
      </c>
      <c r="AK188" s="5" t="str">
        <f>IF(NOT(器件参数!B188),"旁路",IF(NOT(ISNUMBER(AC188)),"频率未知",IF(AC188&lt;=SignalBW/2,"跨零频",IF(AND(ISNUMBER(器件参数!R188),ISNUMBER(器件参数!S188)),IF(AND(AB188-SignalBW/2&gt;=器件参数!R188,AB188+SignalBW/2&lt;=器件参数!S188),"有效","超声明通带"),"未声明通带"))))</f>
        <v>旁路</v>
      </c>
      <c r="AL188" s="5">
        <f t="shared" si="56"/>
        <v>0</v>
      </c>
      <c r="AM188" s="5" t="str">
        <f>IF(AND(器件参数!B188,ISNUMBER(器件参数!X188),OR(AND(ISNUMBER(J188),J188&gt;器件参数!X188),IF(AND(ToneEnabled,ISNUMBER(TonePin),ISNUMBER(D188)),TonePin+10*LOG10(2)+D188&gt;器件参数!X188,FALSE))),"超过绝对最大输入额定值","")</f>
        <v/>
      </c>
      <c r="AN188" s="5">
        <f>IF(NOT(ISNUMBER(AN187)),"",IF(OR(NOT(器件参数!B188),器件参数!E188&lt;&gt;"mixer"),AN187,IF(AND(ISNUMBER(器件参数!T188),器件参数!T188&gt;0),IF(器件参数!U188="sum",AN187+器件参数!T188,ABS(AN187-器件参数!T188)),"")))</f>
        <v>99950000</v>
      </c>
      <c r="AO188" s="5">
        <f>IF(NOT(ISNUMBER(AO187)),"",IF(OR(NOT(器件参数!B188),器件参数!E188&lt;&gt;"mixer"),AO187,IF(AND(ISNUMBER(器件参数!T188),器件参数!T188&gt;0),IF(器件参数!U188="sum",AO187+器件参数!T188,ABS(AO187-器件参数!T188)),"")))</f>
        <v>100050000</v>
      </c>
      <c r="AP188" s="5">
        <f>IF(NOT(ISNUMBER(AP187)),"",IF(OR(NOT(器件参数!B188),器件参数!E188&lt;&gt;"mixer"),AP187,IF(AND(ISNUMBER(器件参数!T188),器件参数!T188&gt;0),IF(器件参数!U188="sum",AP187+器件参数!T188,ABS(AP187-器件参数!T188)),"")))</f>
        <v>99850000</v>
      </c>
      <c r="AQ188" s="5">
        <f>IF(NOT(ISNUMBER(AQ187)),"",IF(OR(NOT(器件参数!B188),器件参数!E188&lt;&gt;"mixer"),AQ187,IF(AND(ISNUMBER(器件参数!T188),器件参数!T188&gt;0),IF(器件参数!U188="sum",AQ187+器件参数!T188,ABS(AQ187-器件参数!T188)),"")))</f>
        <v>100150000</v>
      </c>
      <c r="AR188" s="5" t="b">
        <f>IF(NOT(AR187),FALSE,IF(NOT(器件参数!B188),TRUE,AND(COUNT(AN188:AQ188)=4,MIN(AN188:AQ188)&gt;0,IF(AND(ISNUMBER(器件参数!R188),ISNUMBER(器件参数!S188)),AND(MIN(AN187:AQ187)&gt;=器件参数!R188,MAX(AN187:AQ187)&lt;=器件参数!S188),TRUE),IF(AND(器件参数!E188="mixer",器件参数!U188="difference"),OR(器件参数!T188&lt;MIN(AN187:AQ187),器件参数!T188&gt;MAX(AN187:AQ187)),TRUE))))</f>
        <v>1</v>
      </c>
    </row>
    <row r="189" hidden="1" spans="1:44">
      <c r="A189" s="5">
        <f>器件参数!A189</f>
        <v>186</v>
      </c>
      <c r="B189" s="5" t="str">
        <f>器件参数!D189</f>
        <v/>
      </c>
      <c r="C189" s="5">
        <f>IF(NOT(器件参数!B189),0,IF(AND(ISNUMBER(器件参数!F189),ABS(器件参数!F189)&lt;=300),器件参数!F189,""))</f>
        <v>0</v>
      </c>
      <c r="D189" s="5">
        <f t="shared" si="38"/>
        <v>20</v>
      </c>
      <c r="E189" s="5">
        <f t="shared" si="39"/>
        <v>20</v>
      </c>
      <c r="F189" s="5">
        <f t="shared" si="40"/>
        <v>100</v>
      </c>
      <c r="G189" s="5">
        <f>IFERROR(IF(NOT(器件参数!B189),1,IF(NOT(OR(器件参数!E189&lt;&gt;"mixer",AND(OR(器件参数!V189="SSB",器件参数!V189="DSB"),器件参数!W189=TRUE))),"",IF(器件参数!G189="ideal",1,IF(AND(器件参数!G189="manual",ISNUMBER(器件参数!H189),器件参数!H189&gt;=0),10^(器件参数!H189/10),IF(AND(器件参数!G189="passive_thermal",OR(器件参数!E189="filter_bpf",器件参数!E189="filter_lpf",器件参数!E189="filter_hpf",器件参数!E189="filter_bsf",器件参数!E189="attenuator",器件参数!E189="cable",器件参数!E189="connector",器件参数!E189="switch",器件参数!E189="isolator",器件参数!E189="coupler",器件参数!E189="splitter"),AND(ISNUMBER(器件参数!F189),ABS(器件参数!F189)&lt;=300),器件参数!F189&lt;=0,ISNUMBER(器件参数!I189),器件参数!I189&gt;0),1+(10^(-器件参数!F189/10)-1)*器件参数!I189/Tref_K,""))))),"数值域错误")</f>
        <v>1</v>
      </c>
      <c r="H189" s="5">
        <f t="shared" si="41"/>
        <v>2.29336948552238</v>
      </c>
      <c r="I189" s="5">
        <f t="shared" si="42"/>
        <v>3.604740296957</v>
      </c>
      <c r="J189" s="5">
        <f>IF(AND(ISNUMBER(Pin_dBm),ISNUMBER(D189)),Pin_dBm+D189,"")</f>
        <v>-10</v>
      </c>
      <c r="K189" s="5">
        <f>IF(AND(ISNUMBER(Pin_dBm),ISNUMBER(E189)),Pin_dBm+E189,"")</f>
        <v>-10</v>
      </c>
      <c r="L189" s="5" t="str">
        <f>IF(AND(器件参数!J189="finite",ISNUMBER(器件参数!L189),ISNUMBER(C189)),IF(器件参数!K189="input",器件参数!L189,IF(器件参数!K189="output",器件参数!L189-C189,"")),"")</f>
        <v/>
      </c>
      <c r="M189" s="5">
        <f>IFERROR(IF(NOT(ISNUMBER(M188)),"",IF(OR(NOT(器件参数!B189),器件参数!J189="ideal"),M188,IF(AND(ISNUMBER(L189),ISNUMBER(F189)),M188+F189/10^(L189/10),""))),"数值域错误")</f>
        <v>0.2</v>
      </c>
      <c r="N189" s="5">
        <f t="shared" si="43"/>
        <v>6.98970004336019</v>
      </c>
      <c r="O189" s="5">
        <f t="shared" si="44"/>
        <v>26.9897000433602</v>
      </c>
      <c r="P189" s="5" t="str">
        <f>IF(AND(器件参数!M189="finite",ISNUMBER(器件参数!O189),ISNUMBER(C189)),IF(器件参数!N189="input",器件参数!O189,IF(器件参数!N189="actual_output",器件参数!O189-C189+1,IF(器件参数!N189="linear_output",器件参数!O189-C189,""))),"")</f>
        <v/>
      </c>
      <c r="Q189" s="5">
        <f>IF(器件参数!P189="",IF(AND(ISNUMBER(DefaultP),DefaultP&gt;=1,DefaultP&lt;=10),DefaultP,""),IF(AND(ISNUMBER(器件参数!P189),器件参数!P189&gt;=1,器件参数!P189&lt;=10),器件参数!P189,""))</f>
        <v>2</v>
      </c>
      <c r="R189" s="5">
        <f t="shared" si="45"/>
        <v>-10.0000139708288</v>
      </c>
      <c r="S189" s="5" t="str">
        <f t="shared" si="46"/>
        <v/>
      </c>
      <c r="T189" s="5">
        <f t="shared" si="47"/>
        <v>0</v>
      </c>
      <c r="U189" s="5">
        <f t="shared" si="48"/>
        <v>-10.0000139708288</v>
      </c>
      <c r="V189" s="5">
        <f>IF(AND(ISNUMBER(Pin_dBm),ISNUMBER(E189),ISNUMBER(U189)),Pin_dBm+E189-U189,"")</f>
        <v>1.39708287854035e-5</v>
      </c>
      <c r="W189" s="5" t="str">
        <f>IF(AND(器件参数!B189,X189=1,ISNUMBER(D189)),P189-D189,"")</f>
        <v/>
      </c>
      <c r="X189" s="5">
        <f>IF(NOT(ISNUMBER(C189)),-1,IF(OR(NOT(器件参数!B189),器件参数!M189="ideal"),0,IF(AND(ISNUMBER(P189),ISNUMBER(Q189)),1,-1)))</f>
        <v>0</v>
      </c>
      <c r="Y189" s="5" t="str">
        <f t="shared" si="49"/>
        <v>有效</v>
      </c>
      <c r="Z189" s="5" t="str">
        <f t="shared" si="50"/>
        <v>有效</v>
      </c>
      <c r="AA189" s="5" t="str">
        <f t="shared" si="51"/>
        <v>模型估算</v>
      </c>
      <c r="AB189" s="5">
        <f t="shared" si="52"/>
        <v>100000000</v>
      </c>
      <c r="AC189" s="5">
        <f>IF(NOT(ISNUMBER(AB189)),"",IF(OR(NOT(器件参数!B189),器件参数!E189&lt;&gt;"mixer"),AB189,IF(AND(ISNUMBER(器件参数!T189),器件参数!T189&gt;0),IF(器件参数!U189="sum",AB189+器件参数!T189,IF(器件参数!U189="difference",ABS(AB189-器件参数!T189),"")),"")))</f>
        <v>100000000</v>
      </c>
      <c r="AD189" s="5">
        <f t="shared" si="53"/>
        <v>0</v>
      </c>
      <c r="AE189" s="5">
        <f>IF(AND(ISNUMBER(G189),ISNUMBER(F189)),Tref_K*(G189-1)/F189,"")</f>
        <v>0</v>
      </c>
      <c r="AF189" s="5">
        <f>IF(AND(ISNUMBER(H189),ISNUMBER(E189),NoiseConfigOK),10*LOG10(Boltzmann*Bnoise_Hz*(Tsource_K+Tref_K*(H189-1)))+30+E189,"")</f>
        <v>-90.3704468972711</v>
      </c>
      <c r="AG189" s="5">
        <f t="shared" si="54"/>
        <v>80.3704468972711</v>
      </c>
      <c r="AH189" s="5">
        <f>IF(AND(ToneEnabled,ISNUMBER(E189),ISNUMBER(TonePin)),TonePin+E189,"")</f>
        <v>-10</v>
      </c>
      <c r="AI189" s="5">
        <f>IF(AND(ToneEnabled,ISNUMBER(E189),ISNUMBER(N189),ISNUMBER(TonePin)),3*TonePin+E189-2*N189,"")</f>
        <v>-83.9794000867204</v>
      </c>
      <c r="AJ189" s="5" t="str">
        <f t="shared" si="55"/>
        <v/>
      </c>
      <c r="AK189" s="5" t="str">
        <f>IF(NOT(器件参数!B189),"旁路",IF(NOT(ISNUMBER(AC189)),"频率未知",IF(AC189&lt;=SignalBW/2,"跨零频",IF(AND(ISNUMBER(器件参数!R189),ISNUMBER(器件参数!S189)),IF(AND(AB189-SignalBW/2&gt;=器件参数!R189,AB189+SignalBW/2&lt;=器件参数!S189),"有效","超声明通带"),"未声明通带"))))</f>
        <v>旁路</v>
      </c>
      <c r="AL189" s="5">
        <f t="shared" si="56"/>
        <v>0</v>
      </c>
      <c r="AM189" s="5" t="str">
        <f>IF(AND(器件参数!B189,ISNUMBER(器件参数!X189),OR(AND(ISNUMBER(J189),J189&gt;器件参数!X189),IF(AND(ToneEnabled,ISNUMBER(TonePin),ISNUMBER(D189)),TonePin+10*LOG10(2)+D189&gt;器件参数!X189,FALSE))),"超过绝对最大输入额定值","")</f>
        <v/>
      </c>
      <c r="AN189" s="5">
        <f>IF(NOT(ISNUMBER(AN188)),"",IF(OR(NOT(器件参数!B189),器件参数!E189&lt;&gt;"mixer"),AN188,IF(AND(ISNUMBER(器件参数!T189),器件参数!T189&gt;0),IF(器件参数!U189="sum",AN188+器件参数!T189,ABS(AN188-器件参数!T189)),"")))</f>
        <v>99950000</v>
      </c>
      <c r="AO189" s="5">
        <f>IF(NOT(ISNUMBER(AO188)),"",IF(OR(NOT(器件参数!B189),器件参数!E189&lt;&gt;"mixer"),AO188,IF(AND(ISNUMBER(器件参数!T189),器件参数!T189&gt;0),IF(器件参数!U189="sum",AO188+器件参数!T189,ABS(AO188-器件参数!T189)),"")))</f>
        <v>100050000</v>
      </c>
      <c r="AP189" s="5">
        <f>IF(NOT(ISNUMBER(AP188)),"",IF(OR(NOT(器件参数!B189),器件参数!E189&lt;&gt;"mixer"),AP188,IF(AND(ISNUMBER(器件参数!T189),器件参数!T189&gt;0),IF(器件参数!U189="sum",AP188+器件参数!T189,ABS(AP188-器件参数!T189)),"")))</f>
        <v>99850000</v>
      </c>
      <c r="AQ189" s="5">
        <f>IF(NOT(ISNUMBER(AQ188)),"",IF(OR(NOT(器件参数!B189),器件参数!E189&lt;&gt;"mixer"),AQ188,IF(AND(ISNUMBER(器件参数!T189),器件参数!T189&gt;0),IF(器件参数!U189="sum",AQ188+器件参数!T189,ABS(AQ188-器件参数!T189)),"")))</f>
        <v>100150000</v>
      </c>
      <c r="AR189" s="5" t="b">
        <f>IF(NOT(AR188),FALSE,IF(NOT(器件参数!B189),TRUE,AND(COUNT(AN189:AQ189)=4,MIN(AN189:AQ189)&gt;0,IF(AND(ISNUMBER(器件参数!R189),ISNUMBER(器件参数!S189)),AND(MIN(AN188:AQ188)&gt;=器件参数!R189,MAX(AN188:AQ188)&lt;=器件参数!S189),TRUE),IF(AND(器件参数!E189="mixer",器件参数!U189="difference"),OR(器件参数!T189&lt;MIN(AN188:AQ188),器件参数!T189&gt;MAX(AN188:AQ188)),TRUE))))</f>
        <v>1</v>
      </c>
    </row>
    <row r="190" hidden="1" spans="1:44">
      <c r="A190" s="5">
        <f>器件参数!A190</f>
        <v>187</v>
      </c>
      <c r="B190" s="5" t="str">
        <f>器件参数!D190</f>
        <v/>
      </c>
      <c r="C190" s="5">
        <f>IF(NOT(器件参数!B190),0,IF(AND(ISNUMBER(器件参数!F190),ABS(器件参数!F190)&lt;=300),器件参数!F190,""))</f>
        <v>0</v>
      </c>
      <c r="D190" s="5">
        <f t="shared" si="38"/>
        <v>20</v>
      </c>
      <c r="E190" s="5">
        <f t="shared" si="39"/>
        <v>20</v>
      </c>
      <c r="F190" s="5">
        <f t="shared" si="40"/>
        <v>100</v>
      </c>
      <c r="G190" s="5">
        <f>IFERROR(IF(NOT(器件参数!B190),1,IF(NOT(OR(器件参数!E190&lt;&gt;"mixer",AND(OR(器件参数!V190="SSB",器件参数!V190="DSB"),器件参数!W190=TRUE))),"",IF(器件参数!G190="ideal",1,IF(AND(器件参数!G190="manual",ISNUMBER(器件参数!H190),器件参数!H190&gt;=0),10^(器件参数!H190/10),IF(AND(器件参数!G190="passive_thermal",OR(器件参数!E190="filter_bpf",器件参数!E190="filter_lpf",器件参数!E190="filter_hpf",器件参数!E190="filter_bsf",器件参数!E190="attenuator",器件参数!E190="cable",器件参数!E190="connector",器件参数!E190="switch",器件参数!E190="isolator",器件参数!E190="coupler",器件参数!E190="splitter"),AND(ISNUMBER(器件参数!F190),ABS(器件参数!F190)&lt;=300),器件参数!F190&lt;=0,ISNUMBER(器件参数!I190),器件参数!I190&gt;0),1+(10^(-器件参数!F190/10)-1)*器件参数!I190/Tref_K,""))))),"数值域错误")</f>
        <v>1</v>
      </c>
      <c r="H190" s="5">
        <f t="shared" si="41"/>
        <v>2.29336948552238</v>
      </c>
      <c r="I190" s="5">
        <f t="shared" si="42"/>
        <v>3.604740296957</v>
      </c>
      <c r="J190" s="5">
        <f>IF(AND(ISNUMBER(Pin_dBm),ISNUMBER(D190)),Pin_dBm+D190,"")</f>
        <v>-10</v>
      </c>
      <c r="K190" s="5">
        <f>IF(AND(ISNUMBER(Pin_dBm),ISNUMBER(E190)),Pin_dBm+E190,"")</f>
        <v>-10</v>
      </c>
      <c r="L190" s="5" t="str">
        <f>IF(AND(器件参数!J190="finite",ISNUMBER(器件参数!L190),ISNUMBER(C190)),IF(器件参数!K190="input",器件参数!L190,IF(器件参数!K190="output",器件参数!L190-C190,"")),"")</f>
        <v/>
      </c>
      <c r="M190" s="5">
        <f>IFERROR(IF(NOT(ISNUMBER(M189)),"",IF(OR(NOT(器件参数!B190),器件参数!J190="ideal"),M189,IF(AND(ISNUMBER(L190),ISNUMBER(F190)),M189+F190/10^(L190/10),""))),"数值域错误")</f>
        <v>0.2</v>
      </c>
      <c r="N190" s="5">
        <f t="shared" si="43"/>
        <v>6.98970004336019</v>
      </c>
      <c r="O190" s="5">
        <f t="shared" si="44"/>
        <v>26.9897000433602</v>
      </c>
      <c r="P190" s="5" t="str">
        <f>IF(AND(器件参数!M190="finite",ISNUMBER(器件参数!O190),ISNUMBER(C190)),IF(器件参数!N190="input",器件参数!O190,IF(器件参数!N190="actual_output",器件参数!O190-C190+1,IF(器件参数!N190="linear_output",器件参数!O190-C190,""))),"")</f>
        <v/>
      </c>
      <c r="Q190" s="5">
        <f>IF(器件参数!P190="",IF(AND(ISNUMBER(DefaultP),DefaultP&gt;=1,DefaultP&lt;=10),DefaultP,""),IF(AND(ISNUMBER(器件参数!P190),器件参数!P190&gt;=1,器件参数!P190&lt;=10),器件参数!P190,""))</f>
        <v>2</v>
      </c>
      <c r="R190" s="5">
        <f t="shared" si="45"/>
        <v>-10.0000139708288</v>
      </c>
      <c r="S190" s="5" t="str">
        <f t="shared" si="46"/>
        <v/>
      </c>
      <c r="T190" s="5">
        <f t="shared" si="47"/>
        <v>0</v>
      </c>
      <c r="U190" s="5">
        <f t="shared" si="48"/>
        <v>-10.0000139708288</v>
      </c>
      <c r="V190" s="5">
        <f>IF(AND(ISNUMBER(Pin_dBm),ISNUMBER(E190),ISNUMBER(U190)),Pin_dBm+E190-U190,"")</f>
        <v>1.39708287854035e-5</v>
      </c>
      <c r="W190" s="5" t="str">
        <f>IF(AND(器件参数!B190,X190=1,ISNUMBER(D190)),P190-D190,"")</f>
        <v/>
      </c>
      <c r="X190" s="5">
        <f>IF(NOT(ISNUMBER(C190)),-1,IF(OR(NOT(器件参数!B190),器件参数!M190="ideal"),0,IF(AND(ISNUMBER(P190),ISNUMBER(Q190)),1,-1)))</f>
        <v>0</v>
      </c>
      <c r="Y190" s="5" t="str">
        <f t="shared" si="49"/>
        <v>有效</v>
      </c>
      <c r="Z190" s="5" t="str">
        <f t="shared" si="50"/>
        <v>有效</v>
      </c>
      <c r="AA190" s="5" t="str">
        <f t="shared" si="51"/>
        <v>模型估算</v>
      </c>
      <c r="AB190" s="5">
        <f t="shared" si="52"/>
        <v>100000000</v>
      </c>
      <c r="AC190" s="5">
        <f>IF(NOT(ISNUMBER(AB190)),"",IF(OR(NOT(器件参数!B190),器件参数!E190&lt;&gt;"mixer"),AB190,IF(AND(ISNUMBER(器件参数!T190),器件参数!T190&gt;0),IF(器件参数!U190="sum",AB190+器件参数!T190,IF(器件参数!U190="difference",ABS(AB190-器件参数!T190),"")),"")))</f>
        <v>100000000</v>
      </c>
      <c r="AD190" s="5">
        <f t="shared" si="53"/>
        <v>0</v>
      </c>
      <c r="AE190" s="5">
        <f>IF(AND(ISNUMBER(G190),ISNUMBER(F190)),Tref_K*(G190-1)/F190,"")</f>
        <v>0</v>
      </c>
      <c r="AF190" s="5">
        <f>IF(AND(ISNUMBER(H190),ISNUMBER(E190),NoiseConfigOK),10*LOG10(Boltzmann*Bnoise_Hz*(Tsource_K+Tref_K*(H190-1)))+30+E190,"")</f>
        <v>-90.3704468972711</v>
      </c>
      <c r="AG190" s="5">
        <f t="shared" si="54"/>
        <v>80.3704468972711</v>
      </c>
      <c r="AH190" s="5">
        <f>IF(AND(ToneEnabled,ISNUMBER(E190),ISNUMBER(TonePin)),TonePin+E190,"")</f>
        <v>-10</v>
      </c>
      <c r="AI190" s="5">
        <f>IF(AND(ToneEnabled,ISNUMBER(E190),ISNUMBER(N190),ISNUMBER(TonePin)),3*TonePin+E190-2*N190,"")</f>
        <v>-83.9794000867204</v>
      </c>
      <c r="AJ190" s="5" t="str">
        <f t="shared" si="55"/>
        <v/>
      </c>
      <c r="AK190" s="5" t="str">
        <f>IF(NOT(器件参数!B190),"旁路",IF(NOT(ISNUMBER(AC190)),"频率未知",IF(AC190&lt;=SignalBW/2,"跨零频",IF(AND(ISNUMBER(器件参数!R190),ISNUMBER(器件参数!S190)),IF(AND(AB190-SignalBW/2&gt;=器件参数!R190,AB190+SignalBW/2&lt;=器件参数!S190),"有效","超声明通带"),"未声明通带"))))</f>
        <v>旁路</v>
      </c>
      <c r="AL190" s="5">
        <f t="shared" si="56"/>
        <v>0</v>
      </c>
      <c r="AM190" s="5" t="str">
        <f>IF(AND(器件参数!B190,ISNUMBER(器件参数!X190),OR(AND(ISNUMBER(J190),J190&gt;器件参数!X190),IF(AND(ToneEnabled,ISNUMBER(TonePin),ISNUMBER(D190)),TonePin+10*LOG10(2)+D190&gt;器件参数!X190,FALSE))),"超过绝对最大输入额定值","")</f>
        <v/>
      </c>
      <c r="AN190" s="5">
        <f>IF(NOT(ISNUMBER(AN189)),"",IF(OR(NOT(器件参数!B190),器件参数!E190&lt;&gt;"mixer"),AN189,IF(AND(ISNUMBER(器件参数!T190),器件参数!T190&gt;0),IF(器件参数!U190="sum",AN189+器件参数!T190,ABS(AN189-器件参数!T190)),"")))</f>
        <v>99950000</v>
      </c>
      <c r="AO190" s="5">
        <f>IF(NOT(ISNUMBER(AO189)),"",IF(OR(NOT(器件参数!B190),器件参数!E190&lt;&gt;"mixer"),AO189,IF(AND(ISNUMBER(器件参数!T190),器件参数!T190&gt;0),IF(器件参数!U190="sum",AO189+器件参数!T190,ABS(AO189-器件参数!T190)),"")))</f>
        <v>100050000</v>
      </c>
      <c r="AP190" s="5">
        <f>IF(NOT(ISNUMBER(AP189)),"",IF(OR(NOT(器件参数!B190),器件参数!E190&lt;&gt;"mixer"),AP189,IF(AND(ISNUMBER(器件参数!T190),器件参数!T190&gt;0),IF(器件参数!U190="sum",AP189+器件参数!T190,ABS(AP189-器件参数!T190)),"")))</f>
        <v>99850000</v>
      </c>
      <c r="AQ190" s="5">
        <f>IF(NOT(ISNUMBER(AQ189)),"",IF(OR(NOT(器件参数!B190),器件参数!E190&lt;&gt;"mixer"),AQ189,IF(AND(ISNUMBER(器件参数!T190),器件参数!T190&gt;0),IF(器件参数!U190="sum",AQ189+器件参数!T190,ABS(AQ189-器件参数!T190)),"")))</f>
        <v>100150000</v>
      </c>
      <c r="AR190" s="5" t="b">
        <f>IF(NOT(AR189),FALSE,IF(NOT(器件参数!B190),TRUE,AND(COUNT(AN190:AQ190)=4,MIN(AN190:AQ190)&gt;0,IF(AND(ISNUMBER(器件参数!R190),ISNUMBER(器件参数!S190)),AND(MIN(AN189:AQ189)&gt;=器件参数!R190,MAX(AN189:AQ189)&lt;=器件参数!S190),TRUE),IF(AND(器件参数!E190="mixer",器件参数!U190="difference"),OR(器件参数!T190&lt;MIN(AN189:AQ189),器件参数!T190&gt;MAX(AN189:AQ189)),TRUE))))</f>
        <v>1</v>
      </c>
    </row>
    <row r="191" hidden="1" spans="1:44">
      <c r="A191" s="5">
        <f>器件参数!A191</f>
        <v>188</v>
      </c>
      <c r="B191" s="5" t="str">
        <f>器件参数!D191</f>
        <v/>
      </c>
      <c r="C191" s="5">
        <f>IF(NOT(器件参数!B191),0,IF(AND(ISNUMBER(器件参数!F191),ABS(器件参数!F191)&lt;=300),器件参数!F191,""))</f>
        <v>0</v>
      </c>
      <c r="D191" s="5">
        <f t="shared" si="38"/>
        <v>20</v>
      </c>
      <c r="E191" s="5">
        <f t="shared" si="39"/>
        <v>20</v>
      </c>
      <c r="F191" s="5">
        <f t="shared" si="40"/>
        <v>100</v>
      </c>
      <c r="G191" s="5">
        <f>IFERROR(IF(NOT(器件参数!B191),1,IF(NOT(OR(器件参数!E191&lt;&gt;"mixer",AND(OR(器件参数!V191="SSB",器件参数!V191="DSB"),器件参数!W191=TRUE))),"",IF(器件参数!G191="ideal",1,IF(AND(器件参数!G191="manual",ISNUMBER(器件参数!H191),器件参数!H191&gt;=0),10^(器件参数!H191/10),IF(AND(器件参数!G191="passive_thermal",OR(器件参数!E191="filter_bpf",器件参数!E191="filter_lpf",器件参数!E191="filter_hpf",器件参数!E191="filter_bsf",器件参数!E191="attenuator",器件参数!E191="cable",器件参数!E191="connector",器件参数!E191="switch",器件参数!E191="isolator",器件参数!E191="coupler",器件参数!E191="splitter"),AND(ISNUMBER(器件参数!F191),ABS(器件参数!F191)&lt;=300),器件参数!F191&lt;=0,ISNUMBER(器件参数!I191),器件参数!I191&gt;0),1+(10^(-器件参数!F191/10)-1)*器件参数!I191/Tref_K,""))))),"数值域错误")</f>
        <v>1</v>
      </c>
      <c r="H191" s="5">
        <f t="shared" si="41"/>
        <v>2.29336948552238</v>
      </c>
      <c r="I191" s="5">
        <f t="shared" si="42"/>
        <v>3.604740296957</v>
      </c>
      <c r="J191" s="5">
        <f>IF(AND(ISNUMBER(Pin_dBm),ISNUMBER(D191)),Pin_dBm+D191,"")</f>
        <v>-10</v>
      </c>
      <c r="K191" s="5">
        <f>IF(AND(ISNUMBER(Pin_dBm),ISNUMBER(E191)),Pin_dBm+E191,"")</f>
        <v>-10</v>
      </c>
      <c r="L191" s="5" t="str">
        <f>IF(AND(器件参数!J191="finite",ISNUMBER(器件参数!L191),ISNUMBER(C191)),IF(器件参数!K191="input",器件参数!L191,IF(器件参数!K191="output",器件参数!L191-C191,"")),"")</f>
        <v/>
      </c>
      <c r="M191" s="5">
        <f>IFERROR(IF(NOT(ISNUMBER(M190)),"",IF(OR(NOT(器件参数!B191),器件参数!J191="ideal"),M190,IF(AND(ISNUMBER(L191),ISNUMBER(F191)),M190+F191/10^(L191/10),""))),"数值域错误")</f>
        <v>0.2</v>
      </c>
      <c r="N191" s="5">
        <f t="shared" si="43"/>
        <v>6.98970004336019</v>
      </c>
      <c r="O191" s="5">
        <f t="shared" si="44"/>
        <v>26.9897000433602</v>
      </c>
      <c r="P191" s="5" t="str">
        <f>IF(AND(器件参数!M191="finite",ISNUMBER(器件参数!O191),ISNUMBER(C191)),IF(器件参数!N191="input",器件参数!O191,IF(器件参数!N191="actual_output",器件参数!O191-C191+1,IF(器件参数!N191="linear_output",器件参数!O191-C191,""))),"")</f>
        <v/>
      </c>
      <c r="Q191" s="5">
        <f>IF(器件参数!P191="",IF(AND(ISNUMBER(DefaultP),DefaultP&gt;=1,DefaultP&lt;=10),DefaultP,""),IF(AND(ISNUMBER(器件参数!P191),器件参数!P191&gt;=1,器件参数!P191&lt;=10),器件参数!P191,""))</f>
        <v>2</v>
      </c>
      <c r="R191" s="5">
        <f t="shared" si="45"/>
        <v>-10.0000139708288</v>
      </c>
      <c r="S191" s="5" t="str">
        <f t="shared" si="46"/>
        <v/>
      </c>
      <c r="T191" s="5">
        <f t="shared" si="47"/>
        <v>0</v>
      </c>
      <c r="U191" s="5">
        <f t="shared" si="48"/>
        <v>-10.0000139708288</v>
      </c>
      <c r="V191" s="5">
        <f>IF(AND(ISNUMBER(Pin_dBm),ISNUMBER(E191),ISNUMBER(U191)),Pin_dBm+E191-U191,"")</f>
        <v>1.39708287854035e-5</v>
      </c>
      <c r="W191" s="5" t="str">
        <f>IF(AND(器件参数!B191,X191=1,ISNUMBER(D191)),P191-D191,"")</f>
        <v/>
      </c>
      <c r="X191" s="5">
        <f>IF(NOT(ISNUMBER(C191)),-1,IF(OR(NOT(器件参数!B191),器件参数!M191="ideal"),0,IF(AND(ISNUMBER(P191),ISNUMBER(Q191)),1,-1)))</f>
        <v>0</v>
      </c>
      <c r="Y191" s="5" t="str">
        <f t="shared" si="49"/>
        <v>有效</v>
      </c>
      <c r="Z191" s="5" t="str">
        <f t="shared" si="50"/>
        <v>有效</v>
      </c>
      <c r="AA191" s="5" t="str">
        <f t="shared" si="51"/>
        <v>模型估算</v>
      </c>
      <c r="AB191" s="5">
        <f t="shared" si="52"/>
        <v>100000000</v>
      </c>
      <c r="AC191" s="5">
        <f>IF(NOT(ISNUMBER(AB191)),"",IF(OR(NOT(器件参数!B191),器件参数!E191&lt;&gt;"mixer"),AB191,IF(AND(ISNUMBER(器件参数!T191),器件参数!T191&gt;0),IF(器件参数!U191="sum",AB191+器件参数!T191,IF(器件参数!U191="difference",ABS(AB191-器件参数!T191),"")),"")))</f>
        <v>100000000</v>
      </c>
      <c r="AD191" s="5">
        <f t="shared" si="53"/>
        <v>0</v>
      </c>
      <c r="AE191" s="5">
        <f>IF(AND(ISNUMBER(G191),ISNUMBER(F191)),Tref_K*(G191-1)/F191,"")</f>
        <v>0</v>
      </c>
      <c r="AF191" s="5">
        <f>IF(AND(ISNUMBER(H191),ISNUMBER(E191),NoiseConfigOK),10*LOG10(Boltzmann*Bnoise_Hz*(Tsource_K+Tref_K*(H191-1)))+30+E191,"")</f>
        <v>-90.3704468972711</v>
      </c>
      <c r="AG191" s="5">
        <f t="shared" si="54"/>
        <v>80.3704468972711</v>
      </c>
      <c r="AH191" s="5">
        <f>IF(AND(ToneEnabled,ISNUMBER(E191),ISNUMBER(TonePin)),TonePin+E191,"")</f>
        <v>-10</v>
      </c>
      <c r="AI191" s="5">
        <f>IF(AND(ToneEnabled,ISNUMBER(E191),ISNUMBER(N191),ISNUMBER(TonePin)),3*TonePin+E191-2*N191,"")</f>
        <v>-83.9794000867204</v>
      </c>
      <c r="AJ191" s="5" t="str">
        <f t="shared" si="55"/>
        <v/>
      </c>
      <c r="AK191" s="5" t="str">
        <f>IF(NOT(器件参数!B191),"旁路",IF(NOT(ISNUMBER(AC191)),"频率未知",IF(AC191&lt;=SignalBW/2,"跨零频",IF(AND(ISNUMBER(器件参数!R191),ISNUMBER(器件参数!S191)),IF(AND(AB191-SignalBW/2&gt;=器件参数!R191,AB191+SignalBW/2&lt;=器件参数!S191),"有效","超声明通带"),"未声明通带"))))</f>
        <v>旁路</v>
      </c>
      <c r="AL191" s="5">
        <f t="shared" si="56"/>
        <v>0</v>
      </c>
      <c r="AM191" s="5" t="str">
        <f>IF(AND(器件参数!B191,ISNUMBER(器件参数!X191),OR(AND(ISNUMBER(J191),J191&gt;器件参数!X191),IF(AND(ToneEnabled,ISNUMBER(TonePin),ISNUMBER(D191)),TonePin+10*LOG10(2)+D191&gt;器件参数!X191,FALSE))),"超过绝对最大输入额定值","")</f>
        <v/>
      </c>
      <c r="AN191" s="5">
        <f>IF(NOT(ISNUMBER(AN190)),"",IF(OR(NOT(器件参数!B191),器件参数!E191&lt;&gt;"mixer"),AN190,IF(AND(ISNUMBER(器件参数!T191),器件参数!T191&gt;0),IF(器件参数!U191="sum",AN190+器件参数!T191,ABS(AN190-器件参数!T191)),"")))</f>
        <v>99950000</v>
      </c>
      <c r="AO191" s="5">
        <f>IF(NOT(ISNUMBER(AO190)),"",IF(OR(NOT(器件参数!B191),器件参数!E191&lt;&gt;"mixer"),AO190,IF(AND(ISNUMBER(器件参数!T191),器件参数!T191&gt;0),IF(器件参数!U191="sum",AO190+器件参数!T191,ABS(AO190-器件参数!T191)),"")))</f>
        <v>100050000</v>
      </c>
      <c r="AP191" s="5">
        <f>IF(NOT(ISNUMBER(AP190)),"",IF(OR(NOT(器件参数!B191),器件参数!E191&lt;&gt;"mixer"),AP190,IF(AND(ISNUMBER(器件参数!T191),器件参数!T191&gt;0),IF(器件参数!U191="sum",AP190+器件参数!T191,ABS(AP190-器件参数!T191)),"")))</f>
        <v>99850000</v>
      </c>
      <c r="AQ191" s="5">
        <f>IF(NOT(ISNUMBER(AQ190)),"",IF(OR(NOT(器件参数!B191),器件参数!E191&lt;&gt;"mixer"),AQ190,IF(AND(ISNUMBER(器件参数!T191),器件参数!T191&gt;0),IF(器件参数!U191="sum",AQ190+器件参数!T191,ABS(AQ190-器件参数!T191)),"")))</f>
        <v>100150000</v>
      </c>
      <c r="AR191" s="5" t="b">
        <f>IF(NOT(AR190),FALSE,IF(NOT(器件参数!B191),TRUE,AND(COUNT(AN191:AQ191)=4,MIN(AN191:AQ191)&gt;0,IF(AND(ISNUMBER(器件参数!R191),ISNUMBER(器件参数!S191)),AND(MIN(AN190:AQ190)&gt;=器件参数!R191,MAX(AN190:AQ190)&lt;=器件参数!S191),TRUE),IF(AND(器件参数!E191="mixer",器件参数!U191="difference"),OR(器件参数!T191&lt;MIN(AN190:AQ190),器件参数!T191&gt;MAX(AN190:AQ190)),TRUE))))</f>
        <v>1</v>
      </c>
    </row>
    <row r="192" hidden="1" spans="1:44">
      <c r="A192" s="5">
        <f>器件参数!A192</f>
        <v>189</v>
      </c>
      <c r="B192" s="5" t="str">
        <f>器件参数!D192</f>
        <v/>
      </c>
      <c r="C192" s="5">
        <f>IF(NOT(器件参数!B192),0,IF(AND(ISNUMBER(器件参数!F192),ABS(器件参数!F192)&lt;=300),器件参数!F192,""))</f>
        <v>0</v>
      </c>
      <c r="D192" s="5">
        <f t="shared" si="38"/>
        <v>20</v>
      </c>
      <c r="E192" s="5">
        <f t="shared" si="39"/>
        <v>20</v>
      </c>
      <c r="F192" s="5">
        <f t="shared" si="40"/>
        <v>100</v>
      </c>
      <c r="G192" s="5">
        <f>IFERROR(IF(NOT(器件参数!B192),1,IF(NOT(OR(器件参数!E192&lt;&gt;"mixer",AND(OR(器件参数!V192="SSB",器件参数!V192="DSB"),器件参数!W192=TRUE))),"",IF(器件参数!G192="ideal",1,IF(AND(器件参数!G192="manual",ISNUMBER(器件参数!H192),器件参数!H192&gt;=0),10^(器件参数!H192/10),IF(AND(器件参数!G192="passive_thermal",OR(器件参数!E192="filter_bpf",器件参数!E192="filter_lpf",器件参数!E192="filter_hpf",器件参数!E192="filter_bsf",器件参数!E192="attenuator",器件参数!E192="cable",器件参数!E192="connector",器件参数!E192="switch",器件参数!E192="isolator",器件参数!E192="coupler",器件参数!E192="splitter"),AND(ISNUMBER(器件参数!F192),ABS(器件参数!F192)&lt;=300),器件参数!F192&lt;=0,ISNUMBER(器件参数!I192),器件参数!I192&gt;0),1+(10^(-器件参数!F192/10)-1)*器件参数!I192/Tref_K,""))))),"数值域错误")</f>
        <v>1</v>
      </c>
      <c r="H192" s="5">
        <f t="shared" si="41"/>
        <v>2.29336948552238</v>
      </c>
      <c r="I192" s="5">
        <f t="shared" si="42"/>
        <v>3.604740296957</v>
      </c>
      <c r="J192" s="5">
        <f>IF(AND(ISNUMBER(Pin_dBm),ISNUMBER(D192)),Pin_dBm+D192,"")</f>
        <v>-10</v>
      </c>
      <c r="K192" s="5">
        <f>IF(AND(ISNUMBER(Pin_dBm),ISNUMBER(E192)),Pin_dBm+E192,"")</f>
        <v>-10</v>
      </c>
      <c r="L192" s="5" t="str">
        <f>IF(AND(器件参数!J192="finite",ISNUMBER(器件参数!L192),ISNUMBER(C192)),IF(器件参数!K192="input",器件参数!L192,IF(器件参数!K192="output",器件参数!L192-C192,"")),"")</f>
        <v/>
      </c>
      <c r="M192" s="5">
        <f>IFERROR(IF(NOT(ISNUMBER(M191)),"",IF(OR(NOT(器件参数!B192),器件参数!J192="ideal"),M191,IF(AND(ISNUMBER(L192),ISNUMBER(F192)),M191+F192/10^(L192/10),""))),"数值域错误")</f>
        <v>0.2</v>
      </c>
      <c r="N192" s="5">
        <f t="shared" si="43"/>
        <v>6.98970004336019</v>
      </c>
      <c r="O192" s="5">
        <f t="shared" si="44"/>
        <v>26.9897000433602</v>
      </c>
      <c r="P192" s="5" t="str">
        <f>IF(AND(器件参数!M192="finite",ISNUMBER(器件参数!O192),ISNUMBER(C192)),IF(器件参数!N192="input",器件参数!O192,IF(器件参数!N192="actual_output",器件参数!O192-C192+1,IF(器件参数!N192="linear_output",器件参数!O192-C192,""))),"")</f>
        <v/>
      </c>
      <c r="Q192" s="5">
        <f>IF(器件参数!P192="",IF(AND(ISNUMBER(DefaultP),DefaultP&gt;=1,DefaultP&lt;=10),DefaultP,""),IF(AND(ISNUMBER(器件参数!P192),器件参数!P192&gt;=1,器件参数!P192&lt;=10),器件参数!P192,""))</f>
        <v>2</v>
      </c>
      <c r="R192" s="5">
        <f t="shared" si="45"/>
        <v>-10.0000139708288</v>
      </c>
      <c r="S192" s="5" t="str">
        <f t="shared" si="46"/>
        <v/>
      </c>
      <c r="T192" s="5">
        <f t="shared" si="47"/>
        <v>0</v>
      </c>
      <c r="U192" s="5">
        <f t="shared" si="48"/>
        <v>-10.0000139708288</v>
      </c>
      <c r="V192" s="5">
        <f>IF(AND(ISNUMBER(Pin_dBm),ISNUMBER(E192),ISNUMBER(U192)),Pin_dBm+E192-U192,"")</f>
        <v>1.39708287854035e-5</v>
      </c>
      <c r="W192" s="5" t="str">
        <f>IF(AND(器件参数!B192,X192=1,ISNUMBER(D192)),P192-D192,"")</f>
        <v/>
      </c>
      <c r="X192" s="5">
        <f>IF(NOT(ISNUMBER(C192)),-1,IF(OR(NOT(器件参数!B192),器件参数!M192="ideal"),0,IF(AND(ISNUMBER(P192),ISNUMBER(Q192)),1,-1)))</f>
        <v>0</v>
      </c>
      <c r="Y192" s="5" t="str">
        <f t="shared" si="49"/>
        <v>有效</v>
      </c>
      <c r="Z192" s="5" t="str">
        <f t="shared" si="50"/>
        <v>有效</v>
      </c>
      <c r="AA192" s="5" t="str">
        <f t="shared" si="51"/>
        <v>模型估算</v>
      </c>
      <c r="AB192" s="5">
        <f t="shared" si="52"/>
        <v>100000000</v>
      </c>
      <c r="AC192" s="5">
        <f>IF(NOT(ISNUMBER(AB192)),"",IF(OR(NOT(器件参数!B192),器件参数!E192&lt;&gt;"mixer"),AB192,IF(AND(ISNUMBER(器件参数!T192),器件参数!T192&gt;0),IF(器件参数!U192="sum",AB192+器件参数!T192,IF(器件参数!U192="difference",ABS(AB192-器件参数!T192),"")),"")))</f>
        <v>100000000</v>
      </c>
      <c r="AD192" s="5">
        <f t="shared" si="53"/>
        <v>0</v>
      </c>
      <c r="AE192" s="5">
        <f>IF(AND(ISNUMBER(G192),ISNUMBER(F192)),Tref_K*(G192-1)/F192,"")</f>
        <v>0</v>
      </c>
      <c r="AF192" s="5">
        <f>IF(AND(ISNUMBER(H192),ISNUMBER(E192),NoiseConfigOK),10*LOG10(Boltzmann*Bnoise_Hz*(Tsource_K+Tref_K*(H192-1)))+30+E192,"")</f>
        <v>-90.3704468972711</v>
      </c>
      <c r="AG192" s="5">
        <f t="shared" si="54"/>
        <v>80.3704468972711</v>
      </c>
      <c r="AH192" s="5">
        <f>IF(AND(ToneEnabled,ISNUMBER(E192),ISNUMBER(TonePin)),TonePin+E192,"")</f>
        <v>-10</v>
      </c>
      <c r="AI192" s="5">
        <f>IF(AND(ToneEnabled,ISNUMBER(E192),ISNUMBER(N192),ISNUMBER(TonePin)),3*TonePin+E192-2*N192,"")</f>
        <v>-83.9794000867204</v>
      </c>
      <c r="AJ192" s="5" t="str">
        <f t="shared" si="55"/>
        <v/>
      </c>
      <c r="AK192" s="5" t="str">
        <f>IF(NOT(器件参数!B192),"旁路",IF(NOT(ISNUMBER(AC192)),"频率未知",IF(AC192&lt;=SignalBW/2,"跨零频",IF(AND(ISNUMBER(器件参数!R192),ISNUMBER(器件参数!S192)),IF(AND(AB192-SignalBW/2&gt;=器件参数!R192,AB192+SignalBW/2&lt;=器件参数!S192),"有效","超声明通带"),"未声明通带"))))</f>
        <v>旁路</v>
      </c>
      <c r="AL192" s="5">
        <f t="shared" si="56"/>
        <v>0</v>
      </c>
      <c r="AM192" s="5" t="str">
        <f>IF(AND(器件参数!B192,ISNUMBER(器件参数!X192),OR(AND(ISNUMBER(J192),J192&gt;器件参数!X192),IF(AND(ToneEnabled,ISNUMBER(TonePin),ISNUMBER(D192)),TonePin+10*LOG10(2)+D192&gt;器件参数!X192,FALSE))),"超过绝对最大输入额定值","")</f>
        <v/>
      </c>
      <c r="AN192" s="5">
        <f>IF(NOT(ISNUMBER(AN191)),"",IF(OR(NOT(器件参数!B192),器件参数!E192&lt;&gt;"mixer"),AN191,IF(AND(ISNUMBER(器件参数!T192),器件参数!T192&gt;0),IF(器件参数!U192="sum",AN191+器件参数!T192,ABS(AN191-器件参数!T192)),"")))</f>
        <v>99950000</v>
      </c>
      <c r="AO192" s="5">
        <f>IF(NOT(ISNUMBER(AO191)),"",IF(OR(NOT(器件参数!B192),器件参数!E192&lt;&gt;"mixer"),AO191,IF(AND(ISNUMBER(器件参数!T192),器件参数!T192&gt;0),IF(器件参数!U192="sum",AO191+器件参数!T192,ABS(AO191-器件参数!T192)),"")))</f>
        <v>100050000</v>
      </c>
      <c r="AP192" s="5">
        <f>IF(NOT(ISNUMBER(AP191)),"",IF(OR(NOT(器件参数!B192),器件参数!E192&lt;&gt;"mixer"),AP191,IF(AND(ISNUMBER(器件参数!T192),器件参数!T192&gt;0),IF(器件参数!U192="sum",AP191+器件参数!T192,ABS(AP191-器件参数!T192)),"")))</f>
        <v>99850000</v>
      </c>
      <c r="AQ192" s="5">
        <f>IF(NOT(ISNUMBER(AQ191)),"",IF(OR(NOT(器件参数!B192),器件参数!E192&lt;&gt;"mixer"),AQ191,IF(AND(ISNUMBER(器件参数!T192),器件参数!T192&gt;0),IF(器件参数!U192="sum",AQ191+器件参数!T192,ABS(AQ191-器件参数!T192)),"")))</f>
        <v>100150000</v>
      </c>
      <c r="AR192" s="5" t="b">
        <f>IF(NOT(AR191),FALSE,IF(NOT(器件参数!B192),TRUE,AND(COUNT(AN192:AQ192)=4,MIN(AN192:AQ192)&gt;0,IF(AND(ISNUMBER(器件参数!R192),ISNUMBER(器件参数!S192)),AND(MIN(AN191:AQ191)&gt;=器件参数!R192,MAX(AN191:AQ191)&lt;=器件参数!S192),TRUE),IF(AND(器件参数!E192="mixer",器件参数!U192="difference"),OR(器件参数!T192&lt;MIN(AN191:AQ191),器件参数!T192&gt;MAX(AN191:AQ191)),TRUE))))</f>
        <v>1</v>
      </c>
    </row>
    <row r="193" hidden="1" spans="1:44">
      <c r="A193" s="5">
        <f>器件参数!A193</f>
        <v>190</v>
      </c>
      <c r="B193" s="5" t="str">
        <f>器件参数!D193</f>
        <v/>
      </c>
      <c r="C193" s="5">
        <f>IF(NOT(器件参数!B193),0,IF(AND(ISNUMBER(器件参数!F193),ABS(器件参数!F193)&lt;=300),器件参数!F193,""))</f>
        <v>0</v>
      </c>
      <c r="D193" s="5">
        <f t="shared" si="38"/>
        <v>20</v>
      </c>
      <c r="E193" s="5">
        <f t="shared" si="39"/>
        <v>20</v>
      </c>
      <c r="F193" s="5">
        <f t="shared" si="40"/>
        <v>100</v>
      </c>
      <c r="G193" s="5">
        <f>IFERROR(IF(NOT(器件参数!B193),1,IF(NOT(OR(器件参数!E193&lt;&gt;"mixer",AND(OR(器件参数!V193="SSB",器件参数!V193="DSB"),器件参数!W193=TRUE))),"",IF(器件参数!G193="ideal",1,IF(AND(器件参数!G193="manual",ISNUMBER(器件参数!H193),器件参数!H193&gt;=0),10^(器件参数!H193/10),IF(AND(器件参数!G193="passive_thermal",OR(器件参数!E193="filter_bpf",器件参数!E193="filter_lpf",器件参数!E193="filter_hpf",器件参数!E193="filter_bsf",器件参数!E193="attenuator",器件参数!E193="cable",器件参数!E193="connector",器件参数!E193="switch",器件参数!E193="isolator",器件参数!E193="coupler",器件参数!E193="splitter"),AND(ISNUMBER(器件参数!F193),ABS(器件参数!F193)&lt;=300),器件参数!F193&lt;=0,ISNUMBER(器件参数!I193),器件参数!I193&gt;0),1+(10^(-器件参数!F193/10)-1)*器件参数!I193/Tref_K,""))))),"数值域错误")</f>
        <v>1</v>
      </c>
      <c r="H193" s="5">
        <f t="shared" si="41"/>
        <v>2.29336948552238</v>
      </c>
      <c r="I193" s="5">
        <f t="shared" si="42"/>
        <v>3.604740296957</v>
      </c>
      <c r="J193" s="5">
        <f>IF(AND(ISNUMBER(Pin_dBm),ISNUMBER(D193)),Pin_dBm+D193,"")</f>
        <v>-10</v>
      </c>
      <c r="K193" s="5">
        <f>IF(AND(ISNUMBER(Pin_dBm),ISNUMBER(E193)),Pin_dBm+E193,"")</f>
        <v>-10</v>
      </c>
      <c r="L193" s="5" t="str">
        <f>IF(AND(器件参数!J193="finite",ISNUMBER(器件参数!L193),ISNUMBER(C193)),IF(器件参数!K193="input",器件参数!L193,IF(器件参数!K193="output",器件参数!L193-C193,"")),"")</f>
        <v/>
      </c>
      <c r="M193" s="5">
        <f>IFERROR(IF(NOT(ISNUMBER(M192)),"",IF(OR(NOT(器件参数!B193),器件参数!J193="ideal"),M192,IF(AND(ISNUMBER(L193),ISNUMBER(F193)),M192+F193/10^(L193/10),""))),"数值域错误")</f>
        <v>0.2</v>
      </c>
      <c r="N193" s="5">
        <f t="shared" si="43"/>
        <v>6.98970004336019</v>
      </c>
      <c r="O193" s="5">
        <f t="shared" si="44"/>
        <v>26.9897000433602</v>
      </c>
      <c r="P193" s="5" t="str">
        <f>IF(AND(器件参数!M193="finite",ISNUMBER(器件参数!O193),ISNUMBER(C193)),IF(器件参数!N193="input",器件参数!O193,IF(器件参数!N193="actual_output",器件参数!O193-C193+1,IF(器件参数!N193="linear_output",器件参数!O193-C193,""))),"")</f>
        <v/>
      </c>
      <c r="Q193" s="5">
        <f>IF(器件参数!P193="",IF(AND(ISNUMBER(DefaultP),DefaultP&gt;=1,DefaultP&lt;=10),DefaultP,""),IF(AND(ISNUMBER(器件参数!P193),器件参数!P193&gt;=1,器件参数!P193&lt;=10),器件参数!P193,""))</f>
        <v>2</v>
      </c>
      <c r="R193" s="5">
        <f t="shared" si="45"/>
        <v>-10.0000139708288</v>
      </c>
      <c r="S193" s="5" t="str">
        <f t="shared" si="46"/>
        <v/>
      </c>
      <c r="T193" s="5">
        <f t="shared" si="47"/>
        <v>0</v>
      </c>
      <c r="U193" s="5">
        <f t="shared" si="48"/>
        <v>-10.0000139708288</v>
      </c>
      <c r="V193" s="5">
        <f>IF(AND(ISNUMBER(Pin_dBm),ISNUMBER(E193),ISNUMBER(U193)),Pin_dBm+E193-U193,"")</f>
        <v>1.39708287854035e-5</v>
      </c>
      <c r="W193" s="5" t="str">
        <f>IF(AND(器件参数!B193,X193=1,ISNUMBER(D193)),P193-D193,"")</f>
        <v/>
      </c>
      <c r="X193" s="5">
        <f>IF(NOT(ISNUMBER(C193)),-1,IF(OR(NOT(器件参数!B193),器件参数!M193="ideal"),0,IF(AND(ISNUMBER(P193),ISNUMBER(Q193)),1,-1)))</f>
        <v>0</v>
      </c>
      <c r="Y193" s="5" t="str">
        <f t="shared" si="49"/>
        <v>有效</v>
      </c>
      <c r="Z193" s="5" t="str">
        <f t="shared" si="50"/>
        <v>有效</v>
      </c>
      <c r="AA193" s="5" t="str">
        <f t="shared" si="51"/>
        <v>模型估算</v>
      </c>
      <c r="AB193" s="5">
        <f t="shared" si="52"/>
        <v>100000000</v>
      </c>
      <c r="AC193" s="5">
        <f>IF(NOT(ISNUMBER(AB193)),"",IF(OR(NOT(器件参数!B193),器件参数!E193&lt;&gt;"mixer"),AB193,IF(AND(ISNUMBER(器件参数!T193),器件参数!T193&gt;0),IF(器件参数!U193="sum",AB193+器件参数!T193,IF(器件参数!U193="difference",ABS(AB193-器件参数!T193),"")),"")))</f>
        <v>100000000</v>
      </c>
      <c r="AD193" s="5">
        <f t="shared" si="53"/>
        <v>0</v>
      </c>
      <c r="AE193" s="5">
        <f>IF(AND(ISNUMBER(G193),ISNUMBER(F193)),Tref_K*(G193-1)/F193,"")</f>
        <v>0</v>
      </c>
      <c r="AF193" s="5">
        <f>IF(AND(ISNUMBER(H193),ISNUMBER(E193),NoiseConfigOK),10*LOG10(Boltzmann*Bnoise_Hz*(Tsource_K+Tref_K*(H193-1)))+30+E193,"")</f>
        <v>-90.3704468972711</v>
      </c>
      <c r="AG193" s="5">
        <f t="shared" si="54"/>
        <v>80.3704468972711</v>
      </c>
      <c r="AH193" s="5">
        <f>IF(AND(ToneEnabled,ISNUMBER(E193),ISNUMBER(TonePin)),TonePin+E193,"")</f>
        <v>-10</v>
      </c>
      <c r="AI193" s="5">
        <f>IF(AND(ToneEnabled,ISNUMBER(E193),ISNUMBER(N193),ISNUMBER(TonePin)),3*TonePin+E193-2*N193,"")</f>
        <v>-83.9794000867204</v>
      </c>
      <c r="AJ193" s="5" t="str">
        <f t="shared" si="55"/>
        <v/>
      </c>
      <c r="AK193" s="5" t="str">
        <f>IF(NOT(器件参数!B193),"旁路",IF(NOT(ISNUMBER(AC193)),"频率未知",IF(AC193&lt;=SignalBW/2,"跨零频",IF(AND(ISNUMBER(器件参数!R193),ISNUMBER(器件参数!S193)),IF(AND(AB193-SignalBW/2&gt;=器件参数!R193,AB193+SignalBW/2&lt;=器件参数!S193),"有效","超声明通带"),"未声明通带"))))</f>
        <v>旁路</v>
      </c>
      <c r="AL193" s="5">
        <f t="shared" si="56"/>
        <v>0</v>
      </c>
      <c r="AM193" s="5" t="str">
        <f>IF(AND(器件参数!B193,ISNUMBER(器件参数!X193),OR(AND(ISNUMBER(J193),J193&gt;器件参数!X193),IF(AND(ToneEnabled,ISNUMBER(TonePin),ISNUMBER(D193)),TonePin+10*LOG10(2)+D193&gt;器件参数!X193,FALSE))),"超过绝对最大输入额定值","")</f>
        <v/>
      </c>
      <c r="AN193" s="5">
        <f>IF(NOT(ISNUMBER(AN192)),"",IF(OR(NOT(器件参数!B193),器件参数!E193&lt;&gt;"mixer"),AN192,IF(AND(ISNUMBER(器件参数!T193),器件参数!T193&gt;0),IF(器件参数!U193="sum",AN192+器件参数!T193,ABS(AN192-器件参数!T193)),"")))</f>
        <v>99950000</v>
      </c>
      <c r="AO193" s="5">
        <f>IF(NOT(ISNUMBER(AO192)),"",IF(OR(NOT(器件参数!B193),器件参数!E193&lt;&gt;"mixer"),AO192,IF(AND(ISNUMBER(器件参数!T193),器件参数!T193&gt;0),IF(器件参数!U193="sum",AO192+器件参数!T193,ABS(AO192-器件参数!T193)),"")))</f>
        <v>100050000</v>
      </c>
      <c r="AP193" s="5">
        <f>IF(NOT(ISNUMBER(AP192)),"",IF(OR(NOT(器件参数!B193),器件参数!E193&lt;&gt;"mixer"),AP192,IF(AND(ISNUMBER(器件参数!T193),器件参数!T193&gt;0),IF(器件参数!U193="sum",AP192+器件参数!T193,ABS(AP192-器件参数!T193)),"")))</f>
        <v>99850000</v>
      </c>
      <c r="AQ193" s="5">
        <f>IF(NOT(ISNUMBER(AQ192)),"",IF(OR(NOT(器件参数!B193),器件参数!E193&lt;&gt;"mixer"),AQ192,IF(AND(ISNUMBER(器件参数!T193),器件参数!T193&gt;0),IF(器件参数!U193="sum",AQ192+器件参数!T193,ABS(AQ192-器件参数!T193)),"")))</f>
        <v>100150000</v>
      </c>
      <c r="AR193" s="5" t="b">
        <f>IF(NOT(AR192),FALSE,IF(NOT(器件参数!B193),TRUE,AND(COUNT(AN193:AQ193)=4,MIN(AN193:AQ193)&gt;0,IF(AND(ISNUMBER(器件参数!R193),ISNUMBER(器件参数!S193)),AND(MIN(AN192:AQ192)&gt;=器件参数!R193,MAX(AN192:AQ192)&lt;=器件参数!S193),TRUE),IF(AND(器件参数!E193="mixer",器件参数!U193="difference"),OR(器件参数!T193&lt;MIN(AN192:AQ192),器件参数!T193&gt;MAX(AN192:AQ192)),TRUE))))</f>
        <v>1</v>
      </c>
    </row>
    <row r="194" hidden="1" spans="1:44">
      <c r="A194" s="5">
        <f>器件参数!A194</f>
        <v>191</v>
      </c>
      <c r="B194" s="5" t="str">
        <f>器件参数!D194</f>
        <v/>
      </c>
      <c r="C194" s="5">
        <f>IF(NOT(器件参数!B194),0,IF(AND(ISNUMBER(器件参数!F194),ABS(器件参数!F194)&lt;=300),器件参数!F194,""))</f>
        <v>0</v>
      </c>
      <c r="D194" s="5">
        <f t="shared" si="38"/>
        <v>20</v>
      </c>
      <c r="E194" s="5">
        <f t="shared" si="39"/>
        <v>20</v>
      </c>
      <c r="F194" s="5">
        <f t="shared" si="40"/>
        <v>100</v>
      </c>
      <c r="G194" s="5">
        <f>IFERROR(IF(NOT(器件参数!B194),1,IF(NOT(OR(器件参数!E194&lt;&gt;"mixer",AND(OR(器件参数!V194="SSB",器件参数!V194="DSB"),器件参数!W194=TRUE))),"",IF(器件参数!G194="ideal",1,IF(AND(器件参数!G194="manual",ISNUMBER(器件参数!H194),器件参数!H194&gt;=0),10^(器件参数!H194/10),IF(AND(器件参数!G194="passive_thermal",OR(器件参数!E194="filter_bpf",器件参数!E194="filter_lpf",器件参数!E194="filter_hpf",器件参数!E194="filter_bsf",器件参数!E194="attenuator",器件参数!E194="cable",器件参数!E194="connector",器件参数!E194="switch",器件参数!E194="isolator",器件参数!E194="coupler",器件参数!E194="splitter"),AND(ISNUMBER(器件参数!F194),ABS(器件参数!F194)&lt;=300),器件参数!F194&lt;=0,ISNUMBER(器件参数!I194),器件参数!I194&gt;0),1+(10^(-器件参数!F194/10)-1)*器件参数!I194/Tref_K,""))))),"数值域错误")</f>
        <v>1</v>
      </c>
      <c r="H194" s="5">
        <f t="shared" si="41"/>
        <v>2.29336948552238</v>
      </c>
      <c r="I194" s="5">
        <f t="shared" si="42"/>
        <v>3.604740296957</v>
      </c>
      <c r="J194" s="5">
        <f>IF(AND(ISNUMBER(Pin_dBm),ISNUMBER(D194)),Pin_dBm+D194,"")</f>
        <v>-10</v>
      </c>
      <c r="K194" s="5">
        <f>IF(AND(ISNUMBER(Pin_dBm),ISNUMBER(E194)),Pin_dBm+E194,"")</f>
        <v>-10</v>
      </c>
      <c r="L194" s="5" t="str">
        <f>IF(AND(器件参数!J194="finite",ISNUMBER(器件参数!L194),ISNUMBER(C194)),IF(器件参数!K194="input",器件参数!L194,IF(器件参数!K194="output",器件参数!L194-C194,"")),"")</f>
        <v/>
      </c>
      <c r="M194" s="5">
        <f>IFERROR(IF(NOT(ISNUMBER(M193)),"",IF(OR(NOT(器件参数!B194),器件参数!J194="ideal"),M193,IF(AND(ISNUMBER(L194),ISNUMBER(F194)),M193+F194/10^(L194/10),""))),"数值域错误")</f>
        <v>0.2</v>
      </c>
      <c r="N194" s="5">
        <f t="shared" si="43"/>
        <v>6.98970004336019</v>
      </c>
      <c r="O194" s="5">
        <f t="shared" si="44"/>
        <v>26.9897000433602</v>
      </c>
      <c r="P194" s="5" t="str">
        <f>IF(AND(器件参数!M194="finite",ISNUMBER(器件参数!O194),ISNUMBER(C194)),IF(器件参数!N194="input",器件参数!O194,IF(器件参数!N194="actual_output",器件参数!O194-C194+1,IF(器件参数!N194="linear_output",器件参数!O194-C194,""))),"")</f>
        <v/>
      </c>
      <c r="Q194" s="5">
        <f>IF(器件参数!P194="",IF(AND(ISNUMBER(DefaultP),DefaultP&gt;=1,DefaultP&lt;=10),DefaultP,""),IF(AND(ISNUMBER(器件参数!P194),器件参数!P194&gt;=1,器件参数!P194&lt;=10),器件参数!P194,""))</f>
        <v>2</v>
      </c>
      <c r="R194" s="5">
        <f t="shared" si="45"/>
        <v>-10.0000139708288</v>
      </c>
      <c r="S194" s="5" t="str">
        <f t="shared" si="46"/>
        <v/>
      </c>
      <c r="T194" s="5">
        <f t="shared" si="47"/>
        <v>0</v>
      </c>
      <c r="U194" s="5">
        <f t="shared" si="48"/>
        <v>-10.0000139708288</v>
      </c>
      <c r="V194" s="5">
        <f>IF(AND(ISNUMBER(Pin_dBm),ISNUMBER(E194),ISNUMBER(U194)),Pin_dBm+E194-U194,"")</f>
        <v>1.39708287854035e-5</v>
      </c>
      <c r="W194" s="5" t="str">
        <f>IF(AND(器件参数!B194,X194=1,ISNUMBER(D194)),P194-D194,"")</f>
        <v/>
      </c>
      <c r="X194" s="5">
        <f>IF(NOT(ISNUMBER(C194)),-1,IF(OR(NOT(器件参数!B194),器件参数!M194="ideal"),0,IF(AND(ISNUMBER(P194),ISNUMBER(Q194)),1,-1)))</f>
        <v>0</v>
      </c>
      <c r="Y194" s="5" t="str">
        <f t="shared" si="49"/>
        <v>有效</v>
      </c>
      <c r="Z194" s="5" t="str">
        <f t="shared" si="50"/>
        <v>有效</v>
      </c>
      <c r="AA194" s="5" t="str">
        <f t="shared" si="51"/>
        <v>模型估算</v>
      </c>
      <c r="AB194" s="5">
        <f t="shared" si="52"/>
        <v>100000000</v>
      </c>
      <c r="AC194" s="5">
        <f>IF(NOT(ISNUMBER(AB194)),"",IF(OR(NOT(器件参数!B194),器件参数!E194&lt;&gt;"mixer"),AB194,IF(AND(ISNUMBER(器件参数!T194),器件参数!T194&gt;0),IF(器件参数!U194="sum",AB194+器件参数!T194,IF(器件参数!U194="difference",ABS(AB194-器件参数!T194),"")),"")))</f>
        <v>100000000</v>
      </c>
      <c r="AD194" s="5">
        <f t="shared" si="53"/>
        <v>0</v>
      </c>
      <c r="AE194" s="5">
        <f>IF(AND(ISNUMBER(G194),ISNUMBER(F194)),Tref_K*(G194-1)/F194,"")</f>
        <v>0</v>
      </c>
      <c r="AF194" s="5">
        <f>IF(AND(ISNUMBER(H194),ISNUMBER(E194),NoiseConfigOK),10*LOG10(Boltzmann*Bnoise_Hz*(Tsource_K+Tref_K*(H194-1)))+30+E194,"")</f>
        <v>-90.3704468972711</v>
      </c>
      <c r="AG194" s="5">
        <f t="shared" si="54"/>
        <v>80.3704468972711</v>
      </c>
      <c r="AH194" s="5">
        <f>IF(AND(ToneEnabled,ISNUMBER(E194),ISNUMBER(TonePin)),TonePin+E194,"")</f>
        <v>-10</v>
      </c>
      <c r="AI194" s="5">
        <f>IF(AND(ToneEnabled,ISNUMBER(E194),ISNUMBER(N194),ISNUMBER(TonePin)),3*TonePin+E194-2*N194,"")</f>
        <v>-83.9794000867204</v>
      </c>
      <c r="AJ194" s="5" t="str">
        <f t="shared" si="55"/>
        <v/>
      </c>
      <c r="AK194" s="5" t="str">
        <f>IF(NOT(器件参数!B194),"旁路",IF(NOT(ISNUMBER(AC194)),"频率未知",IF(AC194&lt;=SignalBW/2,"跨零频",IF(AND(ISNUMBER(器件参数!R194),ISNUMBER(器件参数!S194)),IF(AND(AB194-SignalBW/2&gt;=器件参数!R194,AB194+SignalBW/2&lt;=器件参数!S194),"有效","超声明通带"),"未声明通带"))))</f>
        <v>旁路</v>
      </c>
      <c r="AL194" s="5">
        <f t="shared" si="56"/>
        <v>0</v>
      </c>
      <c r="AM194" s="5" t="str">
        <f>IF(AND(器件参数!B194,ISNUMBER(器件参数!X194),OR(AND(ISNUMBER(J194),J194&gt;器件参数!X194),IF(AND(ToneEnabled,ISNUMBER(TonePin),ISNUMBER(D194)),TonePin+10*LOG10(2)+D194&gt;器件参数!X194,FALSE))),"超过绝对最大输入额定值","")</f>
        <v/>
      </c>
      <c r="AN194" s="5">
        <f>IF(NOT(ISNUMBER(AN193)),"",IF(OR(NOT(器件参数!B194),器件参数!E194&lt;&gt;"mixer"),AN193,IF(AND(ISNUMBER(器件参数!T194),器件参数!T194&gt;0),IF(器件参数!U194="sum",AN193+器件参数!T194,ABS(AN193-器件参数!T194)),"")))</f>
        <v>99950000</v>
      </c>
      <c r="AO194" s="5">
        <f>IF(NOT(ISNUMBER(AO193)),"",IF(OR(NOT(器件参数!B194),器件参数!E194&lt;&gt;"mixer"),AO193,IF(AND(ISNUMBER(器件参数!T194),器件参数!T194&gt;0),IF(器件参数!U194="sum",AO193+器件参数!T194,ABS(AO193-器件参数!T194)),"")))</f>
        <v>100050000</v>
      </c>
      <c r="AP194" s="5">
        <f>IF(NOT(ISNUMBER(AP193)),"",IF(OR(NOT(器件参数!B194),器件参数!E194&lt;&gt;"mixer"),AP193,IF(AND(ISNUMBER(器件参数!T194),器件参数!T194&gt;0),IF(器件参数!U194="sum",AP193+器件参数!T194,ABS(AP193-器件参数!T194)),"")))</f>
        <v>99850000</v>
      </c>
      <c r="AQ194" s="5">
        <f>IF(NOT(ISNUMBER(AQ193)),"",IF(OR(NOT(器件参数!B194),器件参数!E194&lt;&gt;"mixer"),AQ193,IF(AND(ISNUMBER(器件参数!T194),器件参数!T194&gt;0),IF(器件参数!U194="sum",AQ193+器件参数!T194,ABS(AQ193-器件参数!T194)),"")))</f>
        <v>100150000</v>
      </c>
      <c r="AR194" s="5" t="b">
        <f>IF(NOT(AR193),FALSE,IF(NOT(器件参数!B194),TRUE,AND(COUNT(AN194:AQ194)=4,MIN(AN194:AQ194)&gt;0,IF(AND(ISNUMBER(器件参数!R194),ISNUMBER(器件参数!S194)),AND(MIN(AN193:AQ193)&gt;=器件参数!R194,MAX(AN193:AQ193)&lt;=器件参数!S194),TRUE),IF(AND(器件参数!E194="mixer",器件参数!U194="difference"),OR(器件参数!T194&lt;MIN(AN193:AQ193),器件参数!T194&gt;MAX(AN193:AQ193)),TRUE))))</f>
        <v>1</v>
      </c>
    </row>
    <row r="195" hidden="1" spans="1:44">
      <c r="A195" s="5">
        <f>器件参数!A195</f>
        <v>192</v>
      </c>
      <c r="B195" s="5" t="str">
        <f>器件参数!D195</f>
        <v/>
      </c>
      <c r="C195" s="5">
        <f>IF(NOT(器件参数!B195),0,IF(AND(ISNUMBER(器件参数!F195),ABS(器件参数!F195)&lt;=300),器件参数!F195,""))</f>
        <v>0</v>
      </c>
      <c r="D195" s="5">
        <f t="shared" si="38"/>
        <v>20</v>
      </c>
      <c r="E195" s="5">
        <f t="shared" si="39"/>
        <v>20</v>
      </c>
      <c r="F195" s="5">
        <f t="shared" si="40"/>
        <v>100</v>
      </c>
      <c r="G195" s="5">
        <f>IFERROR(IF(NOT(器件参数!B195),1,IF(NOT(OR(器件参数!E195&lt;&gt;"mixer",AND(OR(器件参数!V195="SSB",器件参数!V195="DSB"),器件参数!W195=TRUE))),"",IF(器件参数!G195="ideal",1,IF(AND(器件参数!G195="manual",ISNUMBER(器件参数!H195),器件参数!H195&gt;=0),10^(器件参数!H195/10),IF(AND(器件参数!G195="passive_thermal",OR(器件参数!E195="filter_bpf",器件参数!E195="filter_lpf",器件参数!E195="filter_hpf",器件参数!E195="filter_bsf",器件参数!E195="attenuator",器件参数!E195="cable",器件参数!E195="connector",器件参数!E195="switch",器件参数!E195="isolator",器件参数!E195="coupler",器件参数!E195="splitter"),AND(ISNUMBER(器件参数!F195),ABS(器件参数!F195)&lt;=300),器件参数!F195&lt;=0,ISNUMBER(器件参数!I195),器件参数!I195&gt;0),1+(10^(-器件参数!F195/10)-1)*器件参数!I195/Tref_K,""))))),"数值域错误")</f>
        <v>1</v>
      </c>
      <c r="H195" s="5">
        <f t="shared" si="41"/>
        <v>2.29336948552238</v>
      </c>
      <c r="I195" s="5">
        <f t="shared" si="42"/>
        <v>3.604740296957</v>
      </c>
      <c r="J195" s="5">
        <f>IF(AND(ISNUMBER(Pin_dBm),ISNUMBER(D195)),Pin_dBm+D195,"")</f>
        <v>-10</v>
      </c>
      <c r="K195" s="5">
        <f>IF(AND(ISNUMBER(Pin_dBm),ISNUMBER(E195)),Pin_dBm+E195,"")</f>
        <v>-10</v>
      </c>
      <c r="L195" s="5" t="str">
        <f>IF(AND(器件参数!J195="finite",ISNUMBER(器件参数!L195),ISNUMBER(C195)),IF(器件参数!K195="input",器件参数!L195,IF(器件参数!K195="output",器件参数!L195-C195,"")),"")</f>
        <v/>
      </c>
      <c r="M195" s="5">
        <f>IFERROR(IF(NOT(ISNUMBER(M194)),"",IF(OR(NOT(器件参数!B195),器件参数!J195="ideal"),M194,IF(AND(ISNUMBER(L195),ISNUMBER(F195)),M194+F195/10^(L195/10),""))),"数值域错误")</f>
        <v>0.2</v>
      </c>
      <c r="N195" s="5">
        <f t="shared" si="43"/>
        <v>6.98970004336019</v>
      </c>
      <c r="O195" s="5">
        <f t="shared" si="44"/>
        <v>26.9897000433602</v>
      </c>
      <c r="P195" s="5" t="str">
        <f>IF(AND(器件参数!M195="finite",ISNUMBER(器件参数!O195),ISNUMBER(C195)),IF(器件参数!N195="input",器件参数!O195,IF(器件参数!N195="actual_output",器件参数!O195-C195+1,IF(器件参数!N195="linear_output",器件参数!O195-C195,""))),"")</f>
        <v/>
      </c>
      <c r="Q195" s="5">
        <f>IF(器件参数!P195="",IF(AND(ISNUMBER(DefaultP),DefaultP&gt;=1,DefaultP&lt;=10),DefaultP,""),IF(AND(ISNUMBER(器件参数!P195),器件参数!P195&gt;=1,器件参数!P195&lt;=10),器件参数!P195,""))</f>
        <v>2</v>
      </c>
      <c r="R195" s="5">
        <f t="shared" si="45"/>
        <v>-10.0000139708288</v>
      </c>
      <c r="S195" s="5" t="str">
        <f t="shared" si="46"/>
        <v/>
      </c>
      <c r="T195" s="5">
        <f t="shared" si="47"/>
        <v>0</v>
      </c>
      <c r="U195" s="5">
        <f t="shared" si="48"/>
        <v>-10.0000139708288</v>
      </c>
      <c r="V195" s="5">
        <f>IF(AND(ISNUMBER(Pin_dBm),ISNUMBER(E195),ISNUMBER(U195)),Pin_dBm+E195-U195,"")</f>
        <v>1.39708287854035e-5</v>
      </c>
      <c r="W195" s="5" t="str">
        <f>IF(AND(器件参数!B195,X195=1,ISNUMBER(D195)),P195-D195,"")</f>
        <v/>
      </c>
      <c r="X195" s="5">
        <f>IF(NOT(ISNUMBER(C195)),-1,IF(OR(NOT(器件参数!B195),器件参数!M195="ideal"),0,IF(AND(ISNUMBER(P195),ISNUMBER(Q195)),1,-1)))</f>
        <v>0</v>
      </c>
      <c r="Y195" s="5" t="str">
        <f t="shared" si="49"/>
        <v>有效</v>
      </c>
      <c r="Z195" s="5" t="str">
        <f t="shared" si="50"/>
        <v>有效</v>
      </c>
      <c r="AA195" s="5" t="str">
        <f t="shared" si="51"/>
        <v>模型估算</v>
      </c>
      <c r="AB195" s="5">
        <f t="shared" si="52"/>
        <v>100000000</v>
      </c>
      <c r="AC195" s="5">
        <f>IF(NOT(ISNUMBER(AB195)),"",IF(OR(NOT(器件参数!B195),器件参数!E195&lt;&gt;"mixer"),AB195,IF(AND(ISNUMBER(器件参数!T195),器件参数!T195&gt;0),IF(器件参数!U195="sum",AB195+器件参数!T195,IF(器件参数!U195="difference",ABS(AB195-器件参数!T195),"")),"")))</f>
        <v>100000000</v>
      </c>
      <c r="AD195" s="5">
        <f t="shared" si="53"/>
        <v>0</v>
      </c>
      <c r="AE195" s="5">
        <f>IF(AND(ISNUMBER(G195),ISNUMBER(F195)),Tref_K*(G195-1)/F195,"")</f>
        <v>0</v>
      </c>
      <c r="AF195" s="5">
        <f>IF(AND(ISNUMBER(H195),ISNUMBER(E195),NoiseConfigOK),10*LOG10(Boltzmann*Bnoise_Hz*(Tsource_K+Tref_K*(H195-1)))+30+E195,"")</f>
        <v>-90.3704468972711</v>
      </c>
      <c r="AG195" s="5">
        <f t="shared" si="54"/>
        <v>80.3704468972711</v>
      </c>
      <c r="AH195" s="5">
        <f>IF(AND(ToneEnabled,ISNUMBER(E195),ISNUMBER(TonePin)),TonePin+E195,"")</f>
        <v>-10</v>
      </c>
      <c r="AI195" s="5">
        <f>IF(AND(ToneEnabled,ISNUMBER(E195),ISNUMBER(N195),ISNUMBER(TonePin)),3*TonePin+E195-2*N195,"")</f>
        <v>-83.9794000867204</v>
      </c>
      <c r="AJ195" s="5" t="str">
        <f t="shared" si="55"/>
        <v/>
      </c>
      <c r="AK195" s="5" t="str">
        <f>IF(NOT(器件参数!B195),"旁路",IF(NOT(ISNUMBER(AC195)),"频率未知",IF(AC195&lt;=SignalBW/2,"跨零频",IF(AND(ISNUMBER(器件参数!R195),ISNUMBER(器件参数!S195)),IF(AND(AB195-SignalBW/2&gt;=器件参数!R195,AB195+SignalBW/2&lt;=器件参数!S195),"有效","超声明通带"),"未声明通带"))))</f>
        <v>旁路</v>
      </c>
      <c r="AL195" s="5">
        <f t="shared" si="56"/>
        <v>0</v>
      </c>
      <c r="AM195" s="5" t="str">
        <f>IF(AND(器件参数!B195,ISNUMBER(器件参数!X195),OR(AND(ISNUMBER(J195),J195&gt;器件参数!X195),IF(AND(ToneEnabled,ISNUMBER(TonePin),ISNUMBER(D195)),TonePin+10*LOG10(2)+D195&gt;器件参数!X195,FALSE))),"超过绝对最大输入额定值","")</f>
        <v/>
      </c>
      <c r="AN195" s="5">
        <f>IF(NOT(ISNUMBER(AN194)),"",IF(OR(NOT(器件参数!B195),器件参数!E195&lt;&gt;"mixer"),AN194,IF(AND(ISNUMBER(器件参数!T195),器件参数!T195&gt;0),IF(器件参数!U195="sum",AN194+器件参数!T195,ABS(AN194-器件参数!T195)),"")))</f>
        <v>99950000</v>
      </c>
      <c r="AO195" s="5">
        <f>IF(NOT(ISNUMBER(AO194)),"",IF(OR(NOT(器件参数!B195),器件参数!E195&lt;&gt;"mixer"),AO194,IF(AND(ISNUMBER(器件参数!T195),器件参数!T195&gt;0),IF(器件参数!U195="sum",AO194+器件参数!T195,ABS(AO194-器件参数!T195)),"")))</f>
        <v>100050000</v>
      </c>
      <c r="AP195" s="5">
        <f>IF(NOT(ISNUMBER(AP194)),"",IF(OR(NOT(器件参数!B195),器件参数!E195&lt;&gt;"mixer"),AP194,IF(AND(ISNUMBER(器件参数!T195),器件参数!T195&gt;0),IF(器件参数!U195="sum",AP194+器件参数!T195,ABS(AP194-器件参数!T195)),"")))</f>
        <v>99850000</v>
      </c>
      <c r="AQ195" s="5">
        <f>IF(NOT(ISNUMBER(AQ194)),"",IF(OR(NOT(器件参数!B195),器件参数!E195&lt;&gt;"mixer"),AQ194,IF(AND(ISNUMBER(器件参数!T195),器件参数!T195&gt;0),IF(器件参数!U195="sum",AQ194+器件参数!T195,ABS(AQ194-器件参数!T195)),"")))</f>
        <v>100150000</v>
      </c>
      <c r="AR195" s="5" t="b">
        <f>IF(NOT(AR194),FALSE,IF(NOT(器件参数!B195),TRUE,AND(COUNT(AN195:AQ195)=4,MIN(AN195:AQ195)&gt;0,IF(AND(ISNUMBER(器件参数!R195),ISNUMBER(器件参数!S195)),AND(MIN(AN194:AQ194)&gt;=器件参数!R195,MAX(AN194:AQ194)&lt;=器件参数!S195),TRUE),IF(AND(器件参数!E195="mixer",器件参数!U195="difference"),OR(器件参数!T195&lt;MIN(AN194:AQ194),器件参数!T195&gt;MAX(AN194:AQ194)),TRUE))))</f>
        <v>1</v>
      </c>
    </row>
    <row r="196" hidden="1" spans="1:44">
      <c r="A196" s="5">
        <f>器件参数!A196</f>
        <v>193</v>
      </c>
      <c r="B196" s="5" t="str">
        <f>器件参数!D196</f>
        <v/>
      </c>
      <c r="C196" s="5">
        <f>IF(NOT(器件参数!B196),0,IF(AND(ISNUMBER(器件参数!F196),ABS(器件参数!F196)&lt;=300),器件参数!F196,""))</f>
        <v>0</v>
      </c>
      <c r="D196" s="5">
        <f t="shared" ref="D196:D203" si="57">IF(ISNUMBER(E195),E195,"")</f>
        <v>20</v>
      </c>
      <c r="E196" s="5">
        <f t="shared" ref="E196:E203" si="58">IF(AND(ISNUMBER(C196),ISNUMBER(D196)),C196+D196,"")</f>
        <v>20</v>
      </c>
      <c r="F196" s="5">
        <f t="shared" ref="F196:F203" si="59">IFERROR(IF(AND(ISNUMBER(D196)),10^(D196/10),""),"数值域错误")</f>
        <v>100</v>
      </c>
      <c r="G196" s="5">
        <f>IFERROR(IF(NOT(器件参数!B196),1,IF(NOT(OR(器件参数!E196&lt;&gt;"mixer",AND(OR(器件参数!V196="SSB",器件参数!V196="DSB"),器件参数!W196=TRUE))),"",IF(器件参数!G196="ideal",1,IF(AND(器件参数!G196="manual",ISNUMBER(器件参数!H196),器件参数!H196&gt;=0),10^(器件参数!H196/10),IF(AND(器件参数!G196="passive_thermal",OR(器件参数!E196="filter_bpf",器件参数!E196="filter_lpf",器件参数!E196="filter_hpf",器件参数!E196="filter_bsf",器件参数!E196="attenuator",器件参数!E196="cable",器件参数!E196="connector",器件参数!E196="switch",器件参数!E196="isolator",器件参数!E196="coupler",器件参数!E196="splitter"),AND(ISNUMBER(器件参数!F196),ABS(器件参数!F196)&lt;=300),器件参数!F196&lt;=0,ISNUMBER(器件参数!I196),器件参数!I196&gt;0),1+(10^(-器件参数!F196/10)-1)*器件参数!I196/Tref_K,""))))),"数值域错误")</f>
        <v>1</v>
      </c>
      <c r="H196" s="5">
        <f t="shared" ref="H196:H203" si="60">IFERROR(IF(AND(ISNUMBER(H195),ISNUMBER(G196),ISNUMBER(F196)),H195+(G196-1)/F196,""),"数值域错误")</f>
        <v>2.29336948552238</v>
      </c>
      <c r="I196" s="5">
        <f t="shared" ref="I196:I203" si="61">IF(AND(ISNUMBER(H196)),10*LOG10(H196),"")</f>
        <v>3.604740296957</v>
      </c>
      <c r="J196" s="5">
        <f>IF(AND(ISNUMBER(Pin_dBm),ISNUMBER(D196)),Pin_dBm+D196,"")</f>
        <v>-10</v>
      </c>
      <c r="K196" s="5">
        <f>IF(AND(ISNUMBER(Pin_dBm),ISNUMBER(E196)),Pin_dBm+E196,"")</f>
        <v>-10</v>
      </c>
      <c r="L196" s="5" t="str">
        <f>IF(AND(器件参数!J196="finite",ISNUMBER(器件参数!L196),ISNUMBER(C196)),IF(器件参数!K196="input",器件参数!L196,IF(器件参数!K196="output",器件参数!L196-C196,"")),"")</f>
        <v/>
      </c>
      <c r="M196" s="5">
        <f>IFERROR(IF(NOT(ISNUMBER(M195)),"",IF(OR(NOT(器件参数!B196),器件参数!J196="ideal"),M195,IF(AND(ISNUMBER(L196),ISNUMBER(F196)),M195+F196/10^(L196/10),""))),"数值域错误")</f>
        <v>0.2</v>
      </c>
      <c r="N196" s="5">
        <f t="shared" ref="N196:N203" si="62">IF(AND(ISNUMBER(M196),M196&gt;0),-10*LOG10(M196),"")</f>
        <v>6.98970004336019</v>
      </c>
      <c r="O196" s="5">
        <f t="shared" ref="O196:O203" si="63">IF(AND(ISNUMBER(N196),ISNUMBER(E196)),N196+E196,"")</f>
        <v>26.9897000433602</v>
      </c>
      <c r="P196" s="5" t="str">
        <f>IF(AND(器件参数!M196="finite",ISNUMBER(器件参数!O196),ISNUMBER(C196)),IF(器件参数!N196="input",器件参数!O196,IF(器件参数!N196="actual_output",器件参数!O196-C196+1,IF(器件参数!N196="linear_output",器件参数!O196-C196,""))),"")</f>
        <v/>
      </c>
      <c r="Q196" s="5">
        <f>IF(器件参数!P196="",IF(AND(ISNUMBER(DefaultP),DefaultP&gt;=1,DefaultP&lt;=10),DefaultP,""),IF(AND(ISNUMBER(器件参数!P196),器件参数!P196&gt;=1,器件参数!P196&lt;=10),器件参数!P196,""))</f>
        <v>2</v>
      </c>
      <c r="R196" s="5">
        <f t="shared" ref="R196:R203" si="64">IF(ISNUMBER(U195),U195,"")</f>
        <v>-10.0000139708288</v>
      </c>
      <c r="S196" s="5" t="str">
        <f t="shared" ref="S196:S203" si="65">IF(AND(ISNUMBER(Q196),ISNUMBER(R196),ISNUMBER(P196)),LN(10^(Q196/10)-1)+Q196*(R196-P196)*LN(10)/10,"")</f>
        <v/>
      </c>
      <c r="T196" s="5">
        <f t="shared" ref="T196:T203" si="66">IF(X196=0,0,IF(AND(X196=1,ISNUMBER(S196)),10/(Q196*LN(10))*(MAX(S196,0)+LN(1+EXP(-ABS(S196)))),""))</f>
        <v>0</v>
      </c>
      <c r="U196" s="5">
        <f t="shared" ref="U196:U203" si="67">IF(AND(ISNUMBER(R196),ISNUMBER(C196),ISNUMBER(T196)),R196+C196-T196,"")</f>
        <v>-10.0000139708288</v>
      </c>
      <c r="V196" s="5">
        <f>IF(AND(ISNUMBER(Pin_dBm),ISNUMBER(E196),ISNUMBER(U196)),Pin_dBm+E196-U196,"")</f>
        <v>1.39708287854035e-5</v>
      </c>
      <c r="W196" s="5" t="str">
        <f>IF(AND(器件参数!B196,X196=1,ISNUMBER(D196)),P196-D196,"")</f>
        <v/>
      </c>
      <c r="X196" s="5">
        <f>IF(NOT(ISNUMBER(C196)),-1,IF(OR(NOT(器件参数!B196),器件参数!M196="ideal"),0,IF(AND(ISNUMBER(P196),ISNUMBER(Q196)),1,-1)))</f>
        <v>0</v>
      </c>
      <c r="Y196" s="5" t="str">
        <f t="shared" ref="Y196:Y203" si="68">IF(ISNUMBER(H196),"有效","未知／噪声参数或口径不完整")</f>
        <v>有效</v>
      </c>
      <c r="Z196" s="5" t="str">
        <f t="shared" ref="Z196:Z203" si="69">IF(NOT(ISNUMBER(M196)),"未知／IP3参数不完整",IF(M196=0,"理想／无有限值","有效"))</f>
        <v>有效</v>
      </c>
      <c r="AA196" s="5" t="str">
        <f t="shared" ref="AA196:AA203" si="70">IF(ISNUMBER(U196),"模型估算","未知／增益或压缩参数不完整")</f>
        <v>模型估算</v>
      </c>
      <c r="AB196" s="5">
        <f t="shared" ref="AB196:AB203" si="71">IF(ISNUMBER(AC195),AC195,"")</f>
        <v>100000000</v>
      </c>
      <c r="AC196" s="5">
        <f>IF(NOT(ISNUMBER(AB196)),"",IF(OR(NOT(器件参数!B196),器件参数!E196&lt;&gt;"mixer"),AB196,IF(AND(ISNUMBER(器件参数!T196),器件参数!T196&gt;0),IF(器件参数!U196="sum",AB196+器件参数!T196,IF(器件参数!U196="difference",ABS(AB196-器件参数!T196),"")),"")))</f>
        <v>100000000</v>
      </c>
      <c r="AD196" s="5">
        <f t="shared" ref="AD196:AD203" si="72">IF(AND(ISNUMBER(G196)),10*LOG10(G196),"")</f>
        <v>0</v>
      </c>
      <c r="AE196" s="5">
        <f>IF(AND(ISNUMBER(G196),ISNUMBER(F196)),Tref_K*(G196-1)/F196,"")</f>
        <v>0</v>
      </c>
      <c r="AF196" s="5">
        <f>IF(AND(ISNUMBER(H196),ISNUMBER(E196),NoiseConfigOK),10*LOG10(Boltzmann*Bnoise_Hz*(Tsource_K+Tref_K*(H196-1)))+30+E196,"")</f>
        <v>-90.3704468972711</v>
      </c>
      <c r="AG196" s="5">
        <f t="shared" ref="AG196:AG203" si="73">IF(AND(ISNUMBER(K196),ISNUMBER(AF196)),K196-AF196,"")</f>
        <v>80.3704468972711</v>
      </c>
      <c r="AH196" s="5">
        <f>IF(AND(ToneEnabled,ISNUMBER(E196),ISNUMBER(TonePin)),TonePin+E196,"")</f>
        <v>-10</v>
      </c>
      <c r="AI196" s="5">
        <f>IF(AND(ToneEnabled,ISNUMBER(E196),ISNUMBER(N196),ISNUMBER(TonePin)),3*TonePin+E196-2*N196,"")</f>
        <v>-83.9794000867204</v>
      </c>
      <c r="AJ196" s="5" t="str">
        <f t="shared" ref="AJ196:AJ203" si="74">IF(X196=1,Q196,"")</f>
        <v/>
      </c>
      <c r="AK196" s="5" t="str">
        <f>IF(NOT(器件参数!B196),"旁路",IF(NOT(ISNUMBER(AC196)),"频率未知",IF(AC196&lt;=SignalBW/2,"跨零频",IF(AND(ISNUMBER(器件参数!R196),ISNUMBER(器件参数!S196)),IF(AND(AB196-SignalBW/2&gt;=器件参数!R196,AB196+SignalBW/2&lt;=器件参数!S196),"有效","超声明通带"),"未声明通带"))))</f>
        <v>旁路</v>
      </c>
      <c r="AL196" s="5">
        <f t="shared" ref="AL196:AL203" si="75">IFERROR(IF(AND(X196=1,ISNUMBER(D196)),10^(Q196*(D196-P196)/10),0),"数值域错误")</f>
        <v>0</v>
      </c>
      <c r="AM196" s="5" t="str">
        <f>IF(AND(器件参数!B196,ISNUMBER(器件参数!X196),OR(AND(ISNUMBER(J196),J196&gt;器件参数!X196),IF(AND(ToneEnabled,ISNUMBER(TonePin),ISNUMBER(D196)),TonePin+10*LOG10(2)+D196&gt;器件参数!X196,FALSE))),"超过绝对最大输入额定值","")</f>
        <v/>
      </c>
      <c r="AN196" s="5">
        <f>IF(NOT(ISNUMBER(AN195)),"",IF(OR(NOT(器件参数!B196),器件参数!E196&lt;&gt;"mixer"),AN195,IF(AND(ISNUMBER(器件参数!T196),器件参数!T196&gt;0),IF(器件参数!U196="sum",AN195+器件参数!T196,ABS(AN195-器件参数!T196)),"")))</f>
        <v>99950000</v>
      </c>
      <c r="AO196" s="5">
        <f>IF(NOT(ISNUMBER(AO195)),"",IF(OR(NOT(器件参数!B196),器件参数!E196&lt;&gt;"mixer"),AO195,IF(AND(ISNUMBER(器件参数!T196),器件参数!T196&gt;0),IF(器件参数!U196="sum",AO195+器件参数!T196,ABS(AO195-器件参数!T196)),"")))</f>
        <v>100050000</v>
      </c>
      <c r="AP196" s="5">
        <f>IF(NOT(ISNUMBER(AP195)),"",IF(OR(NOT(器件参数!B196),器件参数!E196&lt;&gt;"mixer"),AP195,IF(AND(ISNUMBER(器件参数!T196),器件参数!T196&gt;0),IF(器件参数!U196="sum",AP195+器件参数!T196,ABS(AP195-器件参数!T196)),"")))</f>
        <v>99850000</v>
      </c>
      <c r="AQ196" s="5">
        <f>IF(NOT(ISNUMBER(AQ195)),"",IF(OR(NOT(器件参数!B196),器件参数!E196&lt;&gt;"mixer"),AQ195,IF(AND(ISNUMBER(器件参数!T196),器件参数!T196&gt;0),IF(器件参数!U196="sum",AQ195+器件参数!T196,ABS(AQ195-器件参数!T196)),"")))</f>
        <v>100150000</v>
      </c>
      <c r="AR196" s="5" t="b">
        <f>IF(NOT(AR195),FALSE,IF(NOT(器件参数!B196),TRUE,AND(COUNT(AN196:AQ196)=4,MIN(AN196:AQ196)&gt;0,IF(AND(ISNUMBER(器件参数!R196),ISNUMBER(器件参数!S196)),AND(MIN(AN195:AQ195)&gt;=器件参数!R196,MAX(AN195:AQ195)&lt;=器件参数!S196),TRUE),IF(AND(器件参数!E196="mixer",器件参数!U196="difference"),OR(器件参数!T196&lt;MIN(AN195:AQ195),器件参数!T196&gt;MAX(AN195:AQ195)),TRUE))))</f>
        <v>1</v>
      </c>
    </row>
    <row r="197" hidden="1" spans="1:44">
      <c r="A197" s="5">
        <f>器件参数!A197</f>
        <v>194</v>
      </c>
      <c r="B197" s="5" t="str">
        <f>器件参数!D197</f>
        <v/>
      </c>
      <c r="C197" s="5">
        <f>IF(NOT(器件参数!B197),0,IF(AND(ISNUMBER(器件参数!F197),ABS(器件参数!F197)&lt;=300),器件参数!F197,""))</f>
        <v>0</v>
      </c>
      <c r="D197" s="5">
        <f t="shared" si="57"/>
        <v>20</v>
      </c>
      <c r="E197" s="5">
        <f t="shared" si="58"/>
        <v>20</v>
      </c>
      <c r="F197" s="5">
        <f t="shared" si="59"/>
        <v>100</v>
      </c>
      <c r="G197" s="5">
        <f>IFERROR(IF(NOT(器件参数!B197),1,IF(NOT(OR(器件参数!E197&lt;&gt;"mixer",AND(OR(器件参数!V197="SSB",器件参数!V197="DSB"),器件参数!W197=TRUE))),"",IF(器件参数!G197="ideal",1,IF(AND(器件参数!G197="manual",ISNUMBER(器件参数!H197),器件参数!H197&gt;=0),10^(器件参数!H197/10),IF(AND(器件参数!G197="passive_thermal",OR(器件参数!E197="filter_bpf",器件参数!E197="filter_lpf",器件参数!E197="filter_hpf",器件参数!E197="filter_bsf",器件参数!E197="attenuator",器件参数!E197="cable",器件参数!E197="connector",器件参数!E197="switch",器件参数!E197="isolator",器件参数!E197="coupler",器件参数!E197="splitter"),AND(ISNUMBER(器件参数!F197),ABS(器件参数!F197)&lt;=300),器件参数!F197&lt;=0,ISNUMBER(器件参数!I197),器件参数!I197&gt;0),1+(10^(-器件参数!F197/10)-1)*器件参数!I197/Tref_K,""))))),"数值域错误")</f>
        <v>1</v>
      </c>
      <c r="H197" s="5">
        <f t="shared" si="60"/>
        <v>2.29336948552238</v>
      </c>
      <c r="I197" s="5">
        <f t="shared" si="61"/>
        <v>3.604740296957</v>
      </c>
      <c r="J197" s="5">
        <f>IF(AND(ISNUMBER(Pin_dBm),ISNUMBER(D197)),Pin_dBm+D197,"")</f>
        <v>-10</v>
      </c>
      <c r="K197" s="5">
        <f>IF(AND(ISNUMBER(Pin_dBm),ISNUMBER(E197)),Pin_dBm+E197,"")</f>
        <v>-10</v>
      </c>
      <c r="L197" s="5" t="str">
        <f>IF(AND(器件参数!J197="finite",ISNUMBER(器件参数!L197),ISNUMBER(C197)),IF(器件参数!K197="input",器件参数!L197,IF(器件参数!K197="output",器件参数!L197-C197,"")),"")</f>
        <v/>
      </c>
      <c r="M197" s="5">
        <f>IFERROR(IF(NOT(ISNUMBER(M196)),"",IF(OR(NOT(器件参数!B197),器件参数!J197="ideal"),M196,IF(AND(ISNUMBER(L197),ISNUMBER(F197)),M196+F197/10^(L197/10),""))),"数值域错误")</f>
        <v>0.2</v>
      </c>
      <c r="N197" s="5">
        <f t="shared" si="62"/>
        <v>6.98970004336019</v>
      </c>
      <c r="O197" s="5">
        <f t="shared" si="63"/>
        <v>26.9897000433602</v>
      </c>
      <c r="P197" s="5" t="str">
        <f>IF(AND(器件参数!M197="finite",ISNUMBER(器件参数!O197),ISNUMBER(C197)),IF(器件参数!N197="input",器件参数!O197,IF(器件参数!N197="actual_output",器件参数!O197-C197+1,IF(器件参数!N197="linear_output",器件参数!O197-C197,""))),"")</f>
        <v/>
      </c>
      <c r="Q197" s="5">
        <f>IF(器件参数!P197="",IF(AND(ISNUMBER(DefaultP),DefaultP&gt;=1,DefaultP&lt;=10),DefaultP,""),IF(AND(ISNUMBER(器件参数!P197),器件参数!P197&gt;=1,器件参数!P197&lt;=10),器件参数!P197,""))</f>
        <v>2</v>
      </c>
      <c r="R197" s="5">
        <f t="shared" si="64"/>
        <v>-10.0000139708288</v>
      </c>
      <c r="S197" s="5" t="str">
        <f t="shared" si="65"/>
        <v/>
      </c>
      <c r="T197" s="5">
        <f t="shared" si="66"/>
        <v>0</v>
      </c>
      <c r="U197" s="5">
        <f t="shared" si="67"/>
        <v>-10.0000139708288</v>
      </c>
      <c r="V197" s="5">
        <f>IF(AND(ISNUMBER(Pin_dBm),ISNUMBER(E197),ISNUMBER(U197)),Pin_dBm+E197-U197,"")</f>
        <v>1.39708287854035e-5</v>
      </c>
      <c r="W197" s="5" t="str">
        <f>IF(AND(器件参数!B197,X197=1,ISNUMBER(D197)),P197-D197,"")</f>
        <v/>
      </c>
      <c r="X197" s="5">
        <f>IF(NOT(ISNUMBER(C197)),-1,IF(OR(NOT(器件参数!B197),器件参数!M197="ideal"),0,IF(AND(ISNUMBER(P197),ISNUMBER(Q197)),1,-1)))</f>
        <v>0</v>
      </c>
      <c r="Y197" s="5" t="str">
        <f t="shared" si="68"/>
        <v>有效</v>
      </c>
      <c r="Z197" s="5" t="str">
        <f t="shared" si="69"/>
        <v>有效</v>
      </c>
      <c r="AA197" s="5" t="str">
        <f t="shared" si="70"/>
        <v>模型估算</v>
      </c>
      <c r="AB197" s="5">
        <f t="shared" si="71"/>
        <v>100000000</v>
      </c>
      <c r="AC197" s="5">
        <f>IF(NOT(ISNUMBER(AB197)),"",IF(OR(NOT(器件参数!B197),器件参数!E197&lt;&gt;"mixer"),AB197,IF(AND(ISNUMBER(器件参数!T197),器件参数!T197&gt;0),IF(器件参数!U197="sum",AB197+器件参数!T197,IF(器件参数!U197="difference",ABS(AB197-器件参数!T197),"")),"")))</f>
        <v>100000000</v>
      </c>
      <c r="AD197" s="5">
        <f t="shared" si="72"/>
        <v>0</v>
      </c>
      <c r="AE197" s="5">
        <f>IF(AND(ISNUMBER(G197),ISNUMBER(F197)),Tref_K*(G197-1)/F197,"")</f>
        <v>0</v>
      </c>
      <c r="AF197" s="5">
        <f>IF(AND(ISNUMBER(H197),ISNUMBER(E197),NoiseConfigOK),10*LOG10(Boltzmann*Bnoise_Hz*(Tsource_K+Tref_K*(H197-1)))+30+E197,"")</f>
        <v>-90.3704468972711</v>
      </c>
      <c r="AG197" s="5">
        <f t="shared" si="73"/>
        <v>80.3704468972711</v>
      </c>
      <c r="AH197" s="5">
        <f>IF(AND(ToneEnabled,ISNUMBER(E197),ISNUMBER(TonePin)),TonePin+E197,"")</f>
        <v>-10</v>
      </c>
      <c r="AI197" s="5">
        <f>IF(AND(ToneEnabled,ISNUMBER(E197),ISNUMBER(N197),ISNUMBER(TonePin)),3*TonePin+E197-2*N197,"")</f>
        <v>-83.9794000867204</v>
      </c>
      <c r="AJ197" s="5" t="str">
        <f t="shared" si="74"/>
        <v/>
      </c>
      <c r="AK197" s="5" t="str">
        <f>IF(NOT(器件参数!B197),"旁路",IF(NOT(ISNUMBER(AC197)),"频率未知",IF(AC197&lt;=SignalBW/2,"跨零频",IF(AND(ISNUMBER(器件参数!R197),ISNUMBER(器件参数!S197)),IF(AND(AB197-SignalBW/2&gt;=器件参数!R197,AB197+SignalBW/2&lt;=器件参数!S197),"有效","超声明通带"),"未声明通带"))))</f>
        <v>旁路</v>
      </c>
      <c r="AL197" s="5">
        <f t="shared" si="75"/>
        <v>0</v>
      </c>
      <c r="AM197" s="5" t="str">
        <f>IF(AND(器件参数!B197,ISNUMBER(器件参数!X197),OR(AND(ISNUMBER(J197),J197&gt;器件参数!X197),IF(AND(ToneEnabled,ISNUMBER(TonePin),ISNUMBER(D197)),TonePin+10*LOG10(2)+D197&gt;器件参数!X197,FALSE))),"超过绝对最大输入额定值","")</f>
        <v/>
      </c>
      <c r="AN197" s="5">
        <f>IF(NOT(ISNUMBER(AN196)),"",IF(OR(NOT(器件参数!B197),器件参数!E197&lt;&gt;"mixer"),AN196,IF(AND(ISNUMBER(器件参数!T197),器件参数!T197&gt;0),IF(器件参数!U197="sum",AN196+器件参数!T197,ABS(AN196-器件参数!T197)),"")))</f>
        <v>99950000</v>
      </c>
      <c r="AO197" s="5">
        <f>IF(NOT(ISNUMBER(AO196)),"",IF(OR(NOT(器件参数!B197),器件参数!E197&lt;&gt;"mixer"),AO196,IF(AND(ISNUMBER(器件参数!T197),器件参数!T197&gt;0),IF(器件参数!U197="sum",AO196+器件参数!T197,ABS(AO196-器件参数!T197)),"")))</f>
        <v>100050000</v>
      </c>
      <c r="AP197" s="5">
        <f>IF(NOT(ISNUMBER(AP196)),"",IF(OR(NOT(器件参数!B197),器件参数!E197&lt;&gt;"mixer"),AP196,IF(AND(ISNUMBER(器件参数!T197),器件参数!T197&gt;0),IF(器件参数!U197="sum",AP196+器件参数!T197,ABS(AP196-器件参数!T197)),"")))</f>
        <v>99850000</v>
      </c>
      <c r="AQ197" s="5">
        <f>IF(NOT(ISNUMBER(AQ196)),"",IF(OR(NOT(器件参数!B197),器件参数!E197&lt;&gt;"mixer"),AQ196,IF(AND(ISNUMBER(器件参数!T197),器件参数!T197&gt;0),IF(器件参数!U197="sum",AQ196+器件参数!T197,ABS(AQ196-器件参数!T197)),"")))</f>
        <v>100150000</v>
      </c>
      <c r="AR197" s="5" t="b">
        <f>IF(NOT(AR196),FALSE,IF(NOT(器件参数!B197),TRUE,AND(COUNT(AN197:AQ197)=4,MIN(AN197:AQ197)&gt;0,IF(AND(ISNUMBER(器件参数!R197),ISNUMBER(器件参数!S197)),AND(MIN(AN196:AQ196)&gt;=器件参数!R197,MAX(AN196:AQ196)&lt;=器件参数!S197),TRUE),IF(AND(器件参数!E197="mixer",器件参数!U197="difference"),OR(器件参数!T197&lt;MIN(AN196:AQ196),器件参数!T197&gt;MAX(AN196:AQ196)),TRUE))))</f>
        <v>1</v>
      </c>
    </row>
    <row r="198" hidden="1" spans="1:44">
      <c r="A198" s="5">
        <f>器件参数!A198</f>
        <v>195</v>
      </c>
      <c r="B198" s="5" t="str">
        <f>器件参数!D198</f>
        <v/>
      </c>
      <c r="C198" s="5">
        <f>IF(NOT(器件参数!B198),0,IF(AND(ISNUMBER(器件参数!F198),ABS(器件参数!F198)&lt;=300),器件参数!F198,""))</f>
        <v>0</v>
      </c>
      <c r="D198" s="5">
        <f t="shared" si="57"/>
        <v>20</v>
      </c>
      <c r="E198" s="5">
        <f t="shared" si="58"/>
        <v>20</v>
      </c>
      <c r="F198" s="5">
        <f t="shared" si="59"/>
        <v>100</v>
      </c>
      <c r="G198" s="5">
        <f>IFERROR(IF(NOT(器件参数!B198),1,IF(NOT(OR(器件参数!E198&lt;&gt;"mixer",AND(OR(器件参数!V198="SSB",器件参数!V198="DSB"),器件参数!W198=TRUE))),"",IF(器件参数!G198="ideal",1,IF(AND(器件参数!G198="manual",ISNUMBER(器件参数!H198),器件参数!H198&gt;=0),10^(器件参数!H198/10),IF(AND(器件参数!G198="passive_thermal",OR(器件参数!E198="filter_bpf",器件参数!E198="filter_lpf",器件参数!E198="filter_hpf",器件参数!E198="filter_bsf",器件参数!E198="attenuator",器件参数!E198="cable",器件参数!E198="connector",器件参数!E198="switch",器件参数!E198="isolator",器件参数!E198="coupler",器件参数!E198="splitter"),AND(ISNUMBER(器件参数!F198),ABS(器件参数!F198)&lt;=300),器件参数!F198&lt;=0,ISNUMBER(器件参数!I198),器件参数!I198&gt;0),1+(10^(-器件参数!F198/10)-1)*器件参数!I198/Tref_K,""))))),"数值域错误")</f>
        <v>1</v>
      </c>
      <c r="H198" s="5">
        <f t="shared" si="60"/>
        <v>2.29336948552238</v>
      </c>
      <c r="I198" s="5">
        <f t="shared" si="61"/>
        <v>3.604740296957</v>
      </c>
      <c r="J198" s="5">
        <f>IF(AND(ISNUMBER(Pin_dBm),ISNUMBER(D198)),Pin_dBm+D198,"")</f>
        <v>-10</v>
      </c>
      <c r="K198" s="5">
        <f>IF(AND(ISNUMBER(Pin_dBm),ISNUMBER(E198)),Pin_dBm+E198,"")</f>
        <v>-10</v>
      </c>
      <c r="L198" s="5" t="str">
        <f>IF(AND(器件参数!J198="finite",ISNUMBER(器件参数!L198),ISNUMBER(C198)),IF(器件参数!K198="input",器件参数!L198,IF(器件参数!K198="output",器件参数!L198-C198,"")),"")</f>
        <v/>
      </c>
      <c r="M198" s="5">
        <f>IFERROR(IF(NOT(ISNUMBER(M197)),"",IF(OR(NOT(器件参数!B198),器件参数!J198="ideal"),M197,IF(AND(ISNUMBER(L198),ISNUMBER(F198)),M197+F198/10^(L198/10),""))),"数值域错误")</f>
        <v>0.2</v>
      </c>
      <c r="N198" s="5">
        <f t="shared" si="62"/>
        <v>6.98970004336019</v>
      </c>
      <c r="O198" s="5">
        <f t="shared" si="63"/>
        <v>26.9897000433602</v>
      </c>
      <c r="P198" s="5" t="str">
        <f>IF(AND(器件参数!M198="finite",ISNUMBER(器件参数!O198),ISNUMBER(C198)),IF(器件参数!N198="input",器件参数!O198,IF(器件参数!N198="actual_output",器件参数!O198-C198+1,IF(器件参数!N198="linear_output",器件参数!O198-C198,""))),"")</f>
        <v/>
      </c>
      <c r="Q198" s="5">
        <f>IF(器件参数!P198="",IF(AND(ISNUMBER(DefaultP),DefaultP&gt;=1,DefaultP&lt;=10),DefaultP,""),IF(AND(ISNUMBER(器件参数!P198),器件参数!P198&gt;=1,器件参数!P198&lt;=10),器件参数!P198,""))</f>
        <v>2</v>
      </c>
      <c r="R198" s="5">
        <f t="shared" si="64"/>
        <v>-10.0000139708288</v>
      </c>
      <c r="S198" s="5" t="str">
        <f t="shared" si="65"/>
        <v/>
      </c>
      <c r="T198" s="5">
        <f t="shared" si="66"/>
        <v>0</v>
      </c>
      <c r="U198" s="5">
        <f t="shared" si="67"/>
        <v>-10.0000139708288</v>
      </c>
      <c r="V198" s="5">
        <f>IF(AND(ISNUMBER(Pin_dBm),ISNUMBER(E198),ISNUMBER(U198)),Pin_dBm+E198-U198,"")</f>
        <v>1.39708287854035e-5</v>
      </c>
      <c r="W198" s="5" t="str">
        <f>IF(AND(器件参数!B198,X198=1,ISNUMBER(D198)),P198-D198,"")</f>
        <v/>
      </c>
      <c r="X198" s="5">
        <f>IF(NOT(ISNUMBER(C198)),-1,IF(OR(NOT(器件参数!B198),器件参数!M198="ideal"),0,IF(AND(ISNUMBER(P198),ISNUMBER(Q198)),1,-1)))</f>
        <v>0</v>
      </c>
      <c r="Y198" s="5" t="str">
        <f t="shared" si="68"/>
        <v>有效</v>
      </c>
      <c r="Z198" s="5" t="str">
        <f t="shared" si="69"/>
        <v>有效</v>
      </c>
      <c r="AA198" s="5" t="str">
        <f t="shared" si="70"/>
        <v>模型估算</v>
      </c>
      <c r="AB198" s="5">
        <f t="shared" si="71"/>
        <v>100000000</v>
      </c>
      <c r="AC198" s="5">
        <f>IF(NOT(ISNUMBER(AB198)),"",IF(OR(NOT(器件参数!B198),器件参数!E198&lt;&gt;"mixer"),AB198,IF(AND(ISNUMBER(器件参数!T198),器件参数!T198&gt;0),IF(器件参数!U198="sum",AB198+器件参数!T198,IF(器件参数!U198="difference",ABS(AB198-器件参数!T198),"")),"")))</f>
        <v>100000000</v>
      </c>
      <c r="AD198" s="5">
        <f t="shared" si="72"/>
        <v>0</v>
      </c>
      <c r="AE198" s="5">
        <f>IF(AND(ISNUMBER(G198),ISNUMBER(F198)),Tref_K*(G198-1)/F198,"")</f>
        <v>0</v>
      </c>
      <c r="AF198" s="5">
        <f>IF(AND(ISNUMBER(H198),ISNUMBER(E198),NoiseConfigOK),10*LOG10(Boltzmann*Bnoise_Hz*(Tsource_K+Tref_K*(H198-1)))+30+E198,"")</f>
        <v>-90.3704468972711</v>
      </c>
      <c r="AG198" s="5">
        <f t="shared" si="73"/>
        <v>80.3704468972711</v>
      </c>
      <c r="AH198" s="5">
        <f>IF(AND(ToneEnabled,ISNUMBER(E198),ISNUMBER(TonePin)),TonePin+E198,"")</f>
        <v>-10</v>
      </c>
      <c r="AI198" s="5">
        <f>IF(AND(ToneEnabled,ISNUMBER(E198),ISNUMBER(N198),ISNUMBER(TonePin)),3*TonePin+E198-2*N198,"")</f>
        <v>-83.9794000867204</v>
      </c>
      <c r="AJ198" s="5" t="str">
        <f t="shared" si="74"/>
        <v/>
      </c>
      <c r="AK198" s="5" t="str">
        <f>IF(NOT(器件参数!B198),"旁路",IF(NOT(ISNUMBER(AC198)),"频率未知",IF(AC198&lt;=SignalBW/2,"跨零频",IF(AND(ISNUMBER(器件参数!R198),ISNUMBER(器件参数!S198)),IF(AND(AB198-SignalBW/2&gt;=器件参数!R198,AB198+SignalBW/2&lt;=器件参数!S198),"有效","超声明通带"),"未声明通带"))))</f>
        <v>旁路</v>
      </c>
      <c r="AL198" s="5">
        <f t="shared" si="75"/>
        <v>0</v>
      </c>
      <c r="AM198" s="5" t="str">
        <f>IF(AND(器件参数!B198,ISNUMBER(器件参数!X198),OR(AND(ISNUMBER(J198),J198&gt;器件参数!X198),IF(AND(ToneEnabled,ISNUMBER(TonePin),ISNUMBER(D198)),TonePin+10*LOG10(2)+D198&gt;器件参数!X198,FALSE))),"超过绝对最大输入额定值","")</f>
        <v/>
      </c>
      <c r="AN198" s="5">
        <f>IF(NOT(ISNUMBER(AN197)),"",IF(OR(NOT(器件参数!B198),器件参数!E198&lt;&gt;"mixer"),AN197,IF(AND(ISNUMBER(器件参数!T198),器件参数!T198&gt;0),IF(器件参数!U198="sum",AN197+器件参数!T198,ABS(AN197-器件参数!T198)),"")))</f>
        <v>99950000</v>
      </c>
      <c r="AO198" s="5">
        <f>IF(NOT(ISNUMBER(AO197)),"",IF(OR(NOT(器件参数!B198),器件参数!E198&lt;&gt;"mixer"),AO197,IF(AND(ISNUMBER(器件参数!T198),器件参数!T198&gt;0),IF(器件参数!U198="sum",AO197+器件参数!T198,ABS(AO197-器件参数!T198)),"")))</f>
        <v>100050000</v>
      </c>
      <c r="AP198" s="5">
        <f>IF(NOT(ISNUMBER(AP197)),"",IF(OR(NOT(器件参数!B198),器件参数!E198&lt;&gt;"mixer"),AP197,IF(AND(ISNUMBER(器件参数!T198),器件参数!T198&gt;0),IF(器件参数!U198="sum",AP197+器件参数!T198,ABS(AP197-器件参数!T198)),"")))</f>
        <v>99850000</v>
      </c>
      <c r="AQ198" s="5">
        <f>IF(NOT(ISNUMBER(AQ197)),"",IF(OR(NOT(器件参数!B198),器件参数!E198&lt;&gt;"mixer"),AQ197,IF(AND(ISNUMBER(器件参数!T198),器件参数!T198&gt;0),IF(器件参数!U198="sum",AQ197+器件参数!T198,ABS(AQ197-器件参数!T198)),"")))</f>
        <v>100150000</v>
      </c>
      <c r="AR198" s="5" t="b">
        <f>IF(NOT(AR197),FALSE,IF(NOT(器件参数!B198),TRUE,AND(COUNT(AN198:AQ198)=4,MIN(AN198:AQ198)&gt;0,IF(AND(ISNUMBER(器件参数!R198),ISNUMBER(器件参数!S198)),AND(MIN(AN197:AQ197)&gt;=器件参数!R198,MAX(AN197:AQ197)&lt;=器件参数!S198),TRUE),IF(AND(器件参数!E198="mixer",器件参数!U198="difference"),OR(器件参数!T198&lt;MIN(AN197:AQ197),器件参数!T198&gt;MAX(AN197:AQ197)),TRUE))))</f>
        <v>1</v>
      </c>
    </row>
    <row r="199" hidden="1" spans="1:44">
      <c r="A199" s="5">
        <f>器件参数!A199</f>
        <v>196</v>
      </c>
      <c r="B199" s="5" t="str">
        <f>器件参数!D199</f>
        <v/>
      </c>
      <c r="C199" s="5">
        <f>IF(NOT(器件参数!B199),0,IF(AND(ISNUMBER(器件参数!F199),ABS(器件参数!F199)&lt;=300),器件参数!F199,""))</f>
        <v>0</v>
      </c>
      <c r="D199" s="5">
        <f t="shared" si="57"/>
        <v>20</v>
      </c>
      <c r="E199" s="5">
        <f t="shared" si="58"/>
        <v>20</v>
      </c>
      <c r="F199" s="5">
        <f t="shared" si="59"/>
        <v>100</v>
      </c>
      <c r="G199" s="5">
        <f>IFERROR(IF(NOT(器件参数!B199),1,IF(NOT(OR(器件参数!E199&lt;&gt;"mixer",AND(OR(器件参数!V199="SSB",器件参数!V199="DSB"),器件参数!W199=TRUE))),"",IF(器件参数!G199="ideal",1,IF(AND(器件参数!G199="manual",ISNUMBER(器件参数!H199),器件参数!H199&gt;=0),10^(器件参数!H199/10),IF(AND(器件参数!G199="passive_thermal",OR(器件参数!E199="filter_bpf",器件参数!E199="filter_lpf",器件参数!E199="filter_hpf",器件参数!E199="filter_bsf",器件参数!E199="attenuator",器件参数!E199="cable",器件参数!E199="connector",器件参数!E199="switch",器件参数!E199="isolator",器件参数!E199="coupler",器件参数!E199="splitter"),AND(ISNUMBER(器件参数!F199),ABS(器件参数!F199)&lt;=300),器件参数!F199&lt;=0,ISNUMBER(器件参数!I199),器件参数!I199&gt;0),1+(10^(-器件参数!F199/10)-1)*器件参数!I199/Tref_K,""))))),"数值域错误")</f>
        <v>1</v>
      </c>
      <c r="H199" s="5">
        <f t="shared" si="60"/>
        <v>2.29336948552238</v>
      </c>
      <c r="I199" s="5">
        <f t="shared" si="61"/>
        <v>3.604740296957</v>
      </c>
      <c r="J199" s="5">
        <f>IF(AND(ISNUMBER(Pin_dBm),ISNUMBER(D199)),Pin_dBm+D199,"")</f>
        <v>-10</v>
      </c>
      <c r="K199" s="5">
        <f>IF(AND(ISNUMBER(Pin_dBm),ISNUMBER(E199)),Pin_dBm+E199,"")</f>
        <v>-10</v>
      </c>
      <c r="L199" s="5" t="str">
        <f>IF(AND(器件参数!J199="finite",ISNUMBER(器件参数!L199),ISNUMBER(C199)),IF(器件参数!K199="input",器件参数!L199,IF(器件参数!K199="output",器件参数!L199-C199,"")),"")</f>
        <v/>
      </c>
      <c r="M199" s="5">
        <f>IFERROR(IF(NOT(ISNUMBER(M198)),"",IF(OR(NOT(器件参数!B199),器件参数!J199="ideal"),M198,IF(AND(ISNUMBER(L199),ISNUMBER(F199)),M198+F199/10^(L199/10),""))),"数值域错误")</f>
        <v>0.2</v>
      </c>
      <c r="N199" s="5">
        <f t="shared" si="62"/>
        <v>6.98970004336019</v>
      </c>
      <c r="O199" s="5">
        <f t="shared" si="63"/>
        <v>26.9897000433602</v>
      </c>
      <c r="P199" s="5" t="str">
        <f>IF(AND(器件参数!M199="finite",ISNUMBER(器件参数!O199),ISNUMBER(C199)),IF(器件参数!N199="input",器件参数!O199,IF(器件参数!N199="actual_output",器件参数!O199-C199+1,IF(器件参数!N199="linear_output",器件参数!O199-C199,""))),"")</f>
        <v/>
      </c>
      <c r="Q199" s="5">
        <f>IF(器件参数!P199="",IF(AND(ISNUMBER(DefaultP),DefaultP&gt;=1,DefaultP&lt;=10),DefaultP,""),IF(AND(ISNUMBER(器件参数!P199),器件参数!P199&gt;=1,器件参数!P199&lt;=10),器件参数!P199,""))</f>
        <v>2</v>
      </c>
      <c r="R199" s="5">
        <f t="shared" si="64"/>
        <v>-10.0000139708288</v>
      </c>
      <c r="S199" s="5" t="str">
        <f t="shared" si="65"/>
        <v/>
      </c>
      <c r="T199" s="5">
        <f t="shared" si="66"/>
        <v>0</v>
      </c>
      <c r="U199" s="5">
        <f t="shared" si="67"/>
        <v>-10.0000139708288</v>
      </c>
      <c r="V199" s="5">
        <f>IF(AND(ISNUMBER(Pin_dBm),ISNUMBER(E199),ISNUMBER(U199)),Pin_dBm+E199-U199,"")</f>
        <v>1.39708287854035e-5</v>
      </c>
      <c r="W199" s="5" t="str">
        <f>IF(AND(器件参数!B199,X199=1,ISNUMBER(D199)),P199-D199,"")</f>
        <v/>
      </c>
      <c r="X199" s="5">
        <f>IF(NOT(ISNUMBER(C199)),-1,IF(OR(NOT(器件参数!B199),器件参数!M199="ideal"),0,IF(AND(ISNUMBER(P199),ISNUMBER(Q199)),1,-1)))</f>
        <v>0</v>
      </c>
      <c r="Y199" s="5" t="str">
        <f t="shared" si="68"/>
        <v>有效</v>
      </c>
      <c r="Z199" s="5" t="str">
        <f t="shared" si="69"/>
        <v>有效</v>
      </c>
      <c r="AA199" s="5" t="str">
        <f t="shared" si="70"/>
        <v>模型估算</v>
      </c>
      <c r="AB199" s="5">
        <f t="shared" si="71"/>
        <v>100000000</v>
      </c>
      <c r="AC199" s="5">
        <f>IF(NOT(ISNUMBER(AB199)),"",IF(OR(NOT(器件参数!B199),器件参数!E199&lt;&gt;"mixer"),AB199,IF(AND(ISNUMBER(器件参数!T199),器件参数!T199&gt;0),IF(器件参数!U199="sum",AB199+器件参数!T199,IF(器件参数!U199="difference",ABS(AB199-器件参数!T199),"")),"")))</f>
        <v>100000000</v>
      </c>
      <c r="AD199" s="5">
        <f t="shared" si="72"/>
        <v>0</v>
      </c>
      <c r="AE199" s="5">
        <f>IF(AND(ISNUMBER(G199),ISNUMBER(F199)),Tref_K*(G199-1)/F199,"")</f>
        <v>0</v>
      </c>
      <c r="AF199" s="5">
        <f>IF(AND(ISNUMBER(H199),ISNUMBER(E199),NoiseConfigOK),10*LOG10(Boltzmann*Bnoise_Hz*(Tsource_K+Tref_K*(H199-1)))+30+E199,"")</f>
        <v>-90.3704468972711</v>
      </c>
      <c r="AG199" s="5">
        <f t="shared" si="73"/>
        <v>80.3704468972711</v>
      </c>
      <c r="AH199" s="5">
        <f>IF(AND(ToneEnabled,ISNUMBER(E199),ISNUMBER(TonePin)),TonePin+E199,"")</f>
        <v>-10</v>
      </c>
      <c r="AI199" s="5">
        <f>IF(AND(ToneEnabled,ISNUMBER(E199),ISNUMBER(N199),ISNUMBER(TonePin)),3*TonePin+E199-2*N199,"")</f>
        <v>-83.9794000867204</v>
      </c>
      <c r="AJ199" s="5" t="str">
        <f t="shared" si="74"/>
        <v/>
      </c>
      <c r="AK199" s="5" t="str">
        <f>IF(NOT(器件参数!B199),"旁路",IF(NOT(ISNUMBER(AC199)),"频率未知",IF(AC199&lt;=SignalBW/2,"跨零频",IF(AND(ISNUMBER(器件参数!R199),ISNUMBER(器件参数!S199)),IF(AND(AB199-SignalBW/2&gt;=器件参数!R199,AB199+SignalBW/2&lt;=器件参数!S199),"有效","超声明通带"),"未声明通带"))))</f>
        <v>旁路</v>
      </c>
      <c r="AL199" s="5">
        <f t="shared" si="75"/>
        <v>0</v>
      </c>
      <c r="AM199" s="5" t="str">
        <f>IF(AND(器件参数!B199,ISNUMBER(器件参数!X199),OR(AND(ISNUMBER(J199),J199&gt;器件参数!X199),IF(AND(ToneEnabled,ISNUMBER(TonePin),ISNUMBER(D199)),TonePin+10*LOG10(2)+D199&gt;器件参数!X199,FALSE))),"超过绝对最大输入额定值","")</f>
        <v/>
      </c>
      <c r="AN199" s="5">
        <f>IF(NOT(ISNUMBER(AN198)),"",IF(OR(NOT(器件参数!B199),器件参数!E199&lt;&gt;"mixer"),AN198,IF(AND(ISNUMBER(器件参数!T199),器件参数!T199&gt;0),IF(器件参数!U199="sum",AN198+器件参数!T199,ABS(AN198-器件参数!T199)),"")))</f>
        <v>99950000</v>
      </c>
      <c r="AO199" s="5">
        <f>IF(NOT(ISNUMBER(AO198)),"",IF(OR(NOT(器件参数!B199),器件参数!E199&lt;&gt;"mixer"),AO198,IF(AND(ISNUMBER(器件参数!T199),器件参数!T199&gt;0),IF(器件参数!U199="sum",AO198+器件参数!T199,ABS(AO198-器件参数!T199)),"")))</f>
        <v>100050000</v>
      </c>
      <c r="AP199" s="5">
        <f>IF(NOT(ISNUMBER(AP198)),"",IF(OR(NOT(器件参数!B199),器件参数!E199&lt;&gt;"mixer"),AP198,IF(AND(ISNUMBER(器件参数!T199),器件参数!T199&gt;0),IF(器件参数!U199="sum",AP198+器件参数!T199,ABS(AP198-器件参数!T199)),"")))</f>
        <v>99850000</v>
      </c>
      <c r="AQ199" s="5">
        <f>IF(NOT(ISNUMBER(AQ198)),"",IF(OR(NOT(器件参数!B199),器件参数!E199&lt;&gt;"mixer"),AQ198,IF(AND(ISNUMBER(器件参数!T199),器件参数!T199&gt;0),IF(器件参数!U199="sum",AQ198+器件参数!T199,ABS(AQ198-器件参数!T199)),"")))</f>
        <v>100150000</v>
      </c>
      <c r="AR199" s="5" t="b">
        <f>IF(NOT(AR198),FALSE,IF(NOT(器件参数!B199),TRUE,AND(COUNT(AN199:AQ199)=4,MIN(AN199:AQ199)&gt;0,IF(AND(ISNUMBER(器件参数!R199),ISNUMBER(器件参数!S199)),AND(MIN(AN198:AQ198)&gt;=器件参数!R199,MAX(AN198:AQ198)&lt;=器件参数!S199),TRUE),IF(AND(器件参数!E199="mixer",器件参数!U199="difference"),OR(器件参数!T199&lt;MIN(AN198:AQ198),器件参数!T199&gt;MAX(AN198:AQ198)),TRUE))))</f>
        <v>1</v>
      </c>
    </row>
    <row r="200" hidden="1" spans="1:44">
      <c r="A200" s="5">
        <f>器件参数!A200</f>
        <v>197</v>
      </c>
      <c r="B200" s="5" t="str">
        <f>器件参数!D200</f>
        <v/>
      </c>
      <c r="C200" s="5">
        <f>IF(NOT(器件参数!B200),0,IF(AND(ISNUMBER(器件参数!F200),ABS(器件参数!F200)&lt;=300),器件参数!F200,""))</f>
        <v>0</v>
      </c>
      <c r="D200" s="5">
        <f t="shared" si="57"/>
        <v>20</v>
      </c>
      <c r="E200" s="5">
        <f t="shared" si="58"/>
        <v>20</v>
      </c>
      <c r="F200" s="5">
        <f t="shared" si="59"/>
        <v>100</v>
      </c>
      <c r="G200" s="5">
        <f>IFERROR(IF(NOT(器件参数!B200),1,IF(NOT(OR(器件参数!E200&lt;&gt;"mixer",AND(OR(器件参数!V200="SSB",器件参数!V200="DSB"),器件参数!W200=TRUE))),"",IF(器件参数!G200="ideal",1,IF(AND(器件参数!G200="manual",ISNUMBER(器件参数!H200),器件参数!H200&gt;=0),10^(器件参数!H200/10),IF(AND(器件参数!G200="passive_thermal",OR(器件参数!E200="filter_bpf",器件参数!E200="filter_lpf",器件参数!E200="filter_hpf",器件参数!E200="filter_bsf",器件参数!E200="attenuator",器件参数!E200="cable",器件参数!E200="connector",器件参数!E200="switch",器件参数!E200="isolator",器件参数!E200="coupler",器件参数!E200="splitter"),AND(ISNUMBER(器件参数!F200),ABS(器件参数!F200)&lt;=300),器件参数!F200&lt;=0,ISNUMBER(器件参数!I200),器件参数!I200&gt;0),1+(10^(-器件参数!F200/10)-1)*器件参数!I200/Tref_K,""))))),"数值域错误")</f>
        <v>1</v>
      </c>
      <c r="H200" s="5">
        <f t="shared" si="60"/>
        <v>2.29336948552238</v>
      </c>
      <c r="I200" s="5">
        <f t="shared" si="61"/>
        <v>3.604740296957</v>
      </c>
      <c r="J200" s="5">
        <f>IF(AND(ISNUMBER(Pin_dBm),ISNUMBER(D200)),Pin_dBm+D200,"")</f>
        <v>-10</v>
      </c>
      <c r="K200" s="5">
        <f>IF(AND(ISNUMBER(Pin_dBm),ISNUMBER(E200)),Pin_dBm+E200,"")</f>
        <v>-10</v>
      </c>
      <c r="L200" s="5" t="str">
        <f>IF(AND(器件参数!J200="finite",ISNUMBER(器件参数!L200),ISNUMBER(C200)),IF(器件参数!K200="input",器件参数!L200,IF(器件参数!K200="output",器件参数!L200-C200,"")),"")</f>
        <v/>
      </c>
      <c r="M200" s="5">
        <f>IFERROR(IF(NOT(ISNUMBER(M199)),"",IF(OR(NOT(器件参数!B200),器件参数!J200="ideal"),M199,IF(AND(ISNUMBER(L200),ISNUMBER(F200)),M199+F200/10^(L200/10),""))),"数值域错误")</f>
        <v>0.2</v>
      </c>
      <c r="N200" s="5">
        <f t="shared" si="62"/>
        <v>6.98970004336019</v>
      </c>
      <c r="O200" s="5">
        <f t="shared" si="63"/>
        <v>26.9897000433602</v>
      </c>
      <c r="P200" s="5" t="str">
        <f>IF(AND(器件参数!M200="finite",ISNUMBER(器件参数!O200),ISNUMBER(C200)),IF(器件参数!N200="input",器件参数!O200,IF(器件参数!N200="actual_output",器件参数!O200-C200+1,IF(器件参数!N200="linear_output",器件参数!O200-C200,""))),"")</f>
        <v/>
      </c>
      <c r="Q200" s="5">
        <f>IF(器件参数!P200="",IF(AND(ISNUMBER(DefaultP),DefaultP&gt;=1,DefaultP&lt;=10),DefaultP,""),IF(AND(ISNUMBER(器件参数!P200),器件参数!P200&gt;=1,器件参数!P200&lt;=10),器件参数!P200,""))</f>
        <v>2</v>
      </c>
      <c r="R200" s="5">
        <f t="shared" si="64"/>
        <v>-10.0000139708288</v>
      </c>
      <c r="S200" s="5" t="str">
        <f t="shared" si="65"/>
        <v/>
      </c>
      <c r="T200" s="5">
        <f t="shared" si="66"/>
        <v>0</v>
      </c>
      <c r="U200" s="5">
        <f t="shared" si="67"/>
        <v>-10.0000139708288</v>
      </c>
      <c r="V200" s="5">
        <f>IF(AND(ISNUMBER(Pin_dBm),ISNUMBER(E200),ISNUMBER(U200)),Pin_dBm+E200-U200,"")</f>
        <v>1.39708287854035e-5</v>
      </c>
      <c r="W200" s="5" t="str">
        <f>IF(AND(器件参数!B200,X200=1,ISNUMBER(D200)),P200-D200,"")</f>
        <v/>
      </c>
      <c r="X200" s="5">
        <f>IF(NOT(ISNUMBER(C200)),-1,IF(OR(NOT(器件参数!B200),器件参数!M200="ideal"),0,IF(AND(ISNUMBER(P200),ISNUMBER(Q200)),1,-1)))</f>
        <v>0</v>
      </c>
      <c r="Y200" s="5" t="str">
        <f t="shared" si="68"/>
        <v>有效</v>
      </c>
      <c r="Z200" s="5" t="str">
        <f t="shared" si="69"/>
        <v>有效</v>
      </c>
      <c r="AA200" s="5" t="str">
        <f t="shared" si="70"/>
        <v>模型估算</v>
      </c>
      <c r="AB200" s="5">
        <f t="shared" si="71"/>
        <v>100000000</v>
      </c>
      <c r="AC200" s="5">
        <f>IF(NOT(ISNUMBER(AB200)),"",IF(OR(NOT(器件参数!B200),器件参数!E200&lt;&gt;"mixer"),AB200,IF(AND(ISNUMBER(器件参数!T200),器件参数!T200&gt;0),IF(器件参数!U200="sum",AB200+器件参数!T200,IF(器件参数!U200="difference",ABS(AB200-器件参数!T200),"")),"")))</f>
        <v>100000000</v>
      </c>
      <c r="AD200" s="5">
        <f t="shared" si="72"/>
        <v>0</v>
      </c>
      <c r="AE200" s="5">
        <f>IF(AND(ISNUMBER(G200),ISNUMBER(F200)),Tref_K*(G200-1)/F200,"")</f>
        <v>0</v>
      </c>
      <c r="AF200" s="5">
        <f>IF(AND(ISNUMBER(H200),ISNUMBER(E200),NoiseConfigOK),10*LOG10(Boltzmann*Bnoise_Hz*(Tsource_K+Tref_K*(H200-1)))+30+E200,"")</f>
        <v>-90.3704468972711</v>
      </c>
      <c r="AG200" s="5">
        <f t="shared" si="73"/>
        <v>80.3704468972711</v>
      </c>
      <c r="AH200" s="5">
        <f>IF(AND(ToneEnabled,ISNUMBER(E200),ISNUMBER(TonePin)),TonePin+E200,"")</f>
        <v>-10</v>
      </c>
      <c r="AI200" s="5">
        <f>IF(AND(ToneEnabled,ISNUMBER(E200),ISNUMBER(N200),ISNUMBER(TonePin)),3*TonePin+E200-2*N200,"")</f>
        <v>-83.9794000867204</v>
      </c>
      <c r="AJ200" s="5" t="str">
        <f t="shared" si="74"/>
        <v/>
      </c>
      <c r="AK200" s="5" t="str">
        <f>IF(NOT(器件参数!B200),"旁路",IF(NOT(ISNUMBER(AC200)),"频率未知",IF(AC200&lt;=SignalBW/2,"跨零频",IF(AND(ISNUMBER(器件参数!R200),ISNUMBER(器件参数!S200)),IF(AND(AB200-SignalBW/2&gt;=器件参数!R200,AB200+SignalBW/2&lt;=器件参数!S200),"有效","超声明通带"),"未声明通带"))))</f>
        <v>旁路</v>
      </c>
      <c r="AL200" s="5">
        <f t="shared" si="75"/>
        <v>0</v>
      </c>
      <c r="AM200" s="5" t="str">
        <f>IF(AND(器件参数!B200,ISNUMBER(器件参数!X200),OR(AND(ISNUMBER(J200),J200&gt;器件参数!X200),IF(AND(ToneEnabled,ISNUMBER(TonePin),ISNUMBER(D200)),TonePin+10*LOG10(2)+D200&gt;器件参数!X200,FALSE))),"超过绝对最大输入额定值","")</f>
        <v/>
      </c>
      <c r="AN200" s="5">
        <f>IF(NOT(ISNUMBER(AN199)),"",IF(OR(NOT(器件参数!B200),器件参数!E200&lt;&gt;"mixer"),AN199,IF(AND(ISNUMBER(器件参数!T200),器件参数!T200&gt;0),IF(器件参数!U200="sum",AN199+器件参数!T200,ABS(AN199-器件参数!T200)),"")))</f>
        <v>99950000</v>
      </c>
      <c r="AO200" s="5">
        <f>IF(NOT(ISNUMBER(AO199)),"",IF(OR(NOT(器件参数!B200),器件参数!E200&lt;&gt;"mixer"),AO199,IF(AND(ISNUMBER(器件参数!T200),器件参数!T200&gt;0),IF(器件参数!U200="sum",AO199+器件参数!T200,ABS(AO199-器件参数!T200)),"")))</f>
        <v>100050000</v>
      </c>
      <c r="AP200" s="5">
        <f>IF(NOT(ISNUMBER(AP199)),"",IF(OR(NOT(器件参数!B200),器件参数!E200&lt;&gt;"mixer"),AP199,IF(AND(ISNUMBER(器件参数!T200),器件参数!T200&gt;0),IF(器件参数!U200="sum",AP199+器件参数!T200,ABS(AP199-器件参数!T200)),"")))</f>
        <v>99850000</v>
      </c>
      <c r="AQ200" s="5">
        <f>IF(NOT(ISNUMBER(AQ199)),"",IF(OR(NOT(器件参数!B200),器件参数!E200&lt;&gt;"mixer"),AQ199,IF(AND(ISNUMBER(器件参数!T200),器件参数!T200&gt;0),IF(器件参数!U200="sum",AQ199+器件参数!T200,ABS(AQ199-器件参数!T200)),"")))</f>
        <v>100150000</v>
      </c>
      <c r="AR200" s="5" t="b">
        <f>IF(NOT(AR199),FALSE,IF(NOT(器件参数!B200),TRUE,AND(COUNT(AN200:AQ200)=4,MIN(AN200:AQ200)&gt;0,IF(AND(ISNUMBER(器件参数!R200),ISNUMBER(器件参数!S200)),AND(MIN(AN199:AQ199)&gt;=器件参数!R200,MAX(AN199:AQ199)&lt;=器件参数!S200),TRUE),IF(AND(器件参数!E200="mixer",器件参数!U200="difference"),OR(器件参数!T200&lt;MIN(AN199:AQ199),器件参数!T200&gt;MAX(AN199:AQ199)),TRUE))))</f>
        <v>1</v>
      </c>
    </row>
    <row r="201" hidden="1" spans="1:44">
      <c r="A201" s="5">
        <f>器件参数!A201</f>
        <v>198</v>
      </c>
      <c r="B201" s="5" t="str">
        <f>器件参数!D201</f>
        <v/>
      </c>
      <c r="C201" s="5">
        <f>IF(NOT(器件参数!B201),0,IF(AND(ISNUMBER(器件参数!F201),ABS(器件参数!F201)&lt;=300),器件参数!F201,""))</f>
        <v>0</v>
      </c>
      <c r="D201" s="5">
        <f t="shared" si="57"/>
        <v>20</v>
      </c>
      <c r="E201" s="5">
        <f t="shared" si="58"/>
        <v>20</v>
      </c>
      <c r="F201" s="5">
        <f t="shared" si="59"/>
        <v>100</v>
      </c>
      <c r="G201" s="5">
        <f>IFERROR(IF(NOT(器件参数!B201),1,IF(NOT(OR(器件参数!E201&lt;&gt;"mixer",AND(OR(器件参数!V201="SSB",器件参数!V201="DSB"),器件参数!W201=TRUE))),"",IF(器件参数!G201="ideal",1,IF(AND(器件参数!G201="manual",ISNUMBER(器件参数!H201),器件参数!H201&gt;=0),10^(器件参数!H201/10),IF(AND(器件参数!G201="passive_thermal",OR(器件参数!E201="filter_bpf",器件参数!E201="filter_lpf",器件参数!E201="filter_hpf",器件参数!E201="filter_bsf",器件参数!E201="attenuator",器件参数!E201="cable",器件参数!E201="connector",器件参数!E201="switch",器件参数!E201="isolator",器件参数!E201="coupler",器件参数!E201="splitter"),AND(ISNUMBER(器件参数!F201),ABS(器件参数!F201)&lt;=300),器件参数!F201&lt;=0,ISNUMBER(器件参数!I201),器件参数!I201&gt;0),1+(10^(-器件参数!F201/10)-1)*器件参数!I201/Tref_K,""))))),"数值域错误")</f>
        <v>1</v>
      </c>
      <c r="H201" s="5">
        <f t="shared" si="60"/>
        <v>2.29336948552238</v>
      </c>
      <c r="I201" s="5">
        <f t="shared" si="61"/>
        <v>3.604740296957</v>
      </c>
      <c r="J201" s="5">
        <f>IF(AND(ISNUMBER(Pin_dBm),ISNUMBER(D201)),Pin_dBm+D201,"")</f>
        <v>-10</v>
      </c>
      <c r="K201" s="5">
        <f>IF(AND(ISNUMBER(Pin_dBm),ISNUMBER(E201)),Pin_dBm+E201,"")</f>
        <v>-10</v>
      </c>
      <c r="L201" s="5" t="str">
        <f>IF(AND(器件参数!J201="finite",ISNUMBER(器件参数!L201),ISNUMBER(C201)),IF(器件参数!K201="input",器件参数!L201,IF(器件参数!K201="output",器件参数!L201-C201,"")),"")</f>
        <v/>
      </c>
      <c r="M201" s="5">
        <f>IFERROR(IF(NOT(ISNUMBER(M200)),"",IF(OR(NOT(器件参数!B201),器件参数!J201="ideal"),M200,IF(AND(ISNUMBER(L201),ISNUMBER(F201)),M200+F201/10^(L201/10),""))),"数值域错误")</f>
        <v>0.2</v>
      </c>
      <c r="N201" s="5">
        <f t="shared" si="62"/>
        <v>6.98970004336019</v>
      </c>
      <c r="O201" s="5">
        <f t="shared" si="63"/>
        <v>26.9897000433602</v>
      </c>
      <c r="P201" s="5" t="str">
        <f>IF(AND(器件参数!M201="finite",ISNUMBER(器件参数!O201),ISNUMBER(C201)),IF(器件参数!N201="input",器件参数!O201,IF(器件参数!N201="actual_output",器件参数!O201-C201+1,IF(器件参数!N201="linear_output",器件参数!O201-C201,""))),"")</f>
        <v/>
      </c>
      <c r="Q201" s="5">
        <f>IF(器件参数!P201="",IF(AND(ISNUMBER(DefaultP),DefaultP&gt;=1,DefaultP&lt;=10),DefaultP,""),IF(AND(ISNUMBER(器件参数!P201),器件参数!P201&gt;=1,器件参数!P201&lt;=10),器件参数!P201,""))</f>
        <v>2</v>
      </c>
      <c r="R201" s="5">
        <f t="shared" si="64"/>
        <v>-10.0000139708288</v>
      </c>
      <c r="S201" s="5" t="str">
        <f t="shared" si="65"/>
        <v/>
      </c>
      <c r="T201" s="5">
        <f t="shared" si="66"/>
        <v>0</v>
      </c>
      <c r="U201" s="5">
        <f t="shared" si="67"/>
        <v>-10.0000139708288</v>
      </c>
      <c r="V201" s="5">
        <f>IF(AND(ISNUMBER(Pin_dBm),ISNUMBER(E201),ISNUMBER(U201)),Pin_dBm+E201-U201,"")</f>
        <v>1.39708287854035e-5</v>
      </c>
      <c r="W201" s="5" t="str">
        <f>IF(AND(器件参数!B201,X201=1,ISNUMBER(D201)),P201-D201,"")</f>
        <v/>
      </c>
      <c r="X201" s="5">
        <f>IF(NOT(ISNUMBER(C201)),-1,IF(OR(NOT(器件参数!B201),器件参数!M201="ideal"),0,IF(AND(ISNUMBER(P201),ISNUMBER(Q201)),1,-1)))</f>
        <v>0</v>
      </c>
      <c r="Y201" s="5" t="str">
        <f t="shared" si="68"/>
        <v>有效</v>
      </c>
      <c r="Z201" s="5" t="str">
        <f t="shared" si="69"/>
        <v>有效</v>
      </c>
      <c r="AA201" s="5" t="str">
        <f t="shared" si="70"/>
        <v>模型估算</v>
      </c>
      <c r="AB201" s="5">
        <f t="shared" si="71"/>
        <v>100000000</v>
      </c>
      <c r="AC201" s="5">
        <f>IF(NOT(ISNUMBER(AB201)),"",IF(OR(NOT(器件参数!B201),器件参数!E201&lt;&gt;"mixer"),AB201,IF(AND(ISNUMBER(器件参数!T201),器件参数!T201&gt;0),IF(器件参数!U201="sum",AB201+器件参数!T201,IF(器件参数!U201="difference",ABS(AB201-器件参数!T201),"")),"")))</f>
        <v>100000000</v>
      </c>
      <c r="AD201" s="5">
        <f t="shared" si="72"/>
        <v>0</v>
      </c>
      <c r="AE201" s="5">
        <f>IF(AND(ISNUMBER(G201),ISNUMBER(F201)),Tref_K*(G201-1)/F201,"")</f>
        <v>0</v>
      </c>
      <c r="AF201" s="5">
        <f>IF(AND(ISNUMBER(H201),ISNUMBER(E201),NoiseConfigOK),10*LOG10(Boltzmann*Bnoise_Hz*(Tsource_K+Tref_K*(H201-1)))+30+E201,"")</f>
        <v>-90.3704468972711</v>
      </c>
      <c r="AG201" s="5">
        <f t="shared" si="73"/>
        <v>80.3704468972711</v>
      </c>
      <c r="AH201" s="5">
        <f>IF(AND(ToneEnabled,ISNUMBER(E201),ISNUMBER(TonePin)),TonePin+E201,"")</f>
        <v>-10</v>
      </c>
      <c r="AI201" s="5">
        <f>IF(AND(ToneEnabled,ISNUMBER(E201),ISNUMBER(N201),ISNUMBER(TonePin)),3*TonePin+E201-2*N201,"")</f>
        <v>-83.9794000867204</v>
      </c>
      <c r="AJ201" s="5" t="str">
        <f t="shared" si="74"/>
        <v/>
      </c>
      <c r="AK201" s="5" t="str">
        <f>IF(NOT(器件参数!B201),"旁路",IF(NOT(ISNUMBER(AC201)),"频率未知",IF(AC201&lt;=SignalBW/2,"跨零频",IF(AND(ISNUMBER(器件参数!R201),ISNUMBER(器件参数!S201)),IF(AND(AB201-SignalBW/2&gt;=器件参数!R201,AB201+SignalBW/2&lt;=器件参数!S201),"有效","超声明通带"),"未声明通带"))))</f>
        <v>旁路</v>
      </c>
      <c r="AL201" s="5">
        <f t="shared" si="75"/>
        <v>0</v>
      </c>
      <c r="AM201" s="5" t="str">
        <f>IF(AND(器件参数!B201,ISNUMBER(器件参数!X201),OR(AND(ISNUMBER(J201),J201&gt;器件参数!X201),IF(AND(ToneEnabled,ISNUMBER(TonePin),ISNUMBER(D201)),TonePin+10*LOG10(2)+D201&gt;器件参数!X201,FALSE))),"超过绝对最大输入额定值","")</f>
        <v/>
      </c>
      <c r="AN201" s="5">
        <f>IF(NOT(ISNUMBER(AN200)),"",IF(OR(NOT(器件参数!B201),器件参数!E201&lt;&gt;"mixer"),AN200,IF(AND(ISNUMBER(器件参数!T201),器件参数!T201&gt;0),IF(器件参数!U201="sum",AN200+器件参数!T201,ABS(AN200-器件参数!T201)),"")))</f>
        <v>99950000</v>
      </c>
      <c r="AO201" s="5">
        <f>IF(NOT(ISNUMBER(AO200)),"",IF(OR(NOT(器件参数!B201),器件参数!E201&lt;&gt;"mixer"),AO200,IF(AND(ISNUMBER(器件参数!T201),器件参数!T201&gt;0),IF(器件参数!U201="sum",AO200+器件参数!T201,ABS(AO200-器件参数!T201)),"")))</f>
        <v>100050000</v>
      </c>
      <c r="AP201" s="5">
        <f>IF(NOT(ISNUMBER(AP200)),"",IF(OR(NOT(器件参数!B201),器件参数!E201&lt;&gt;"mixer"),AP200,IF(AND(ISNUMBER(器件参数!T201),器件参数!T201&gt;0),IF(器件参数!U201="sum",AP200+器件参数!T201,ABS(AP200-器件参数!T201)),"")))</f>
        <v>99850000</v>
      </c>
      <c r="AQ201" s="5">
        <f>IF(NOT(ISNUMBER(AQ200)),"",IF(OR(NOT(器件参数!B201),器件参数!E201&lt;&gt;"mixer"),AQ200,IF(AND(ISNUMBER(器件参数!T201),器件参数!T201&gt;0),IF(器件参数!U201="sum",AQ200+器件参数!T201,ABS(AQ200-器件参数!T201)),"")))</f>
        <v>100150000</v>
      </c>
      <c r="AR201" s="5" t="b">
        <f>IF(NOT(AR200),FALSE,IF(NOT(器件参数!B201),TRUE,AND(COUNT(AN201:AQ201)=4,MIN(AN201:AQ201)&gt;0,IF(AND(ISNUMBER(器件参数!R201),ISNUMBER(器件参数!S201)),AND(MIN(AN200:AQ200)&gt;=器件参数!R201,MAX(AN200:AQ200)&lt;=器件参数!S201),TRUE),IF(AND(器件参数!E201="mixer",器件参数!U201="difference"),OR(器件参数!T201&lt;MIN(AN200:AQ200),器件参数!T201&gt;MAX(AN200:AQ200)),TRUE))))</f>
        <v>1</v>
      </c>
    </row>
    <row r="202" hidden="1" spans="1:44">
      <c r="A202" s="5">
        <f>器件参数!A202</f>
        <v>199</v>
      </c>
      <c r="B202" s="5" t="str">
        <f>器件参数!D202</f>
        <v/>
      </c>
      <c r="C202" s="5">
        <f>IF(NOT(器件参数!B202),0,IF(AND(ISNUMBER(器件参数!F202),ABS(器件参数!F202)&lt;=300),器件参数!F202,""))</f>
        <v>0</v>
      </c>
      <c r="D202" s="5">
        <f t="shared" si="57"/>
        <v>20</v>
      </c>
      <c r="E202" s="5">
        <f t="shared" si="58"/>
        <v>20</v>
      </c>
      <c r="F202" s="5">
        <f t="shared" si="59"/>
        <v>100</v>
      </c>
      <c r="G202" s="5">
        <f>IFERROR(IF(NOT(器件参数!B202),1,IF(NOT(OR(器件参数!E202&lt;&gt;"mixer",AND(OR(器件参数!V202="SSB",器件参数!V202="DSB"),器件参数!W202=TRUE))),"",IF(器件参数!G202="ideal",1,IF(AND(器件参数!G202="manual",ISNUMBER(器件参数!H202),器件参数!H202&gt;=0),10^(器件参数!H202/10),IF(AND(器件参数!G202="passive_thermal",OR(器件参数!E202="filter_bpf",器件参数!E202="filter_lpf",器件参数!E202="filter_hpf",器件参数!E202="filter_bsf",器件参数!E202="attenuator",器件参数!E202="cable",器件参数!E202="connector",器件参数!E202="switch",器件参数!E202="isolator",器件参数!E202="coupler",器件参数!E202="splitter"),AND(ISNUMBER(器件参数!F202),ABS(器件参数!F202)&lt;=300),器件参数!F202&lt;=0,ISNUMBER(器件参数!I202),器件参数!I202&gt;0),1+(10^(-器件参数!F202/10)-1)*器件参数!I202/Tref_K,""))))),"数值域错误")</f>
        <v>1</v>
      </c>
      <c r="H202" s="5">
        <f t="shared" si="60"/>
        <v>2.29336948552238</v>
      </c>
      <c r="I202" s="5">
        <f t="shared" si="61"/>
        <v>3.604740296957</v>
      </c>
      <c r="J202" s="5">
        <f>IF(AND(ISNUMBER(Pin_dBm),ISNUMBER(D202)),Pin_dBm+D202,"")</f>
        <v>-10</v>
      </c>
      <c r="K202" s="5">
        <f>IF(AND(ISNUMBER(Pin_dBm),ISNUMBER(E202)),Pin_dBm+E202,"")</f>
        <v>-10</v>
      </c>
      <c r="L202" s="5" t="str">
        <f>IF(AND(器件参数!J202="finite",ISNUMBER(器件参数!L202),ISNUMBER(C202)),IF(器件参数!K202="input",器件参数!L202,IF(器件参数!K202="output",器件参数!L202-C202,"")),"")</f>
        <v/>
      </c>
      <c r="M202" s="5">
        <f>IFERROR(IF(NOT(ISNUMBER(M201)),"",IF(OR(NOT(器件参数!B202),器件参数!J202="ideal"),M201,IF(AND(ISNUMBER(L202),ISNUMBER(F202)),M201+F202/10^(L202/10),""))),"数值域错误")</f>
        <v>0.2</v>
      </c>
      <c r="N202" s="5">
        <f t="shared" si="62"/>
        <v>6.98970004336019</v>
      </c>
      <c r="O202" s="5">
        <f t="shared" si="63"/>
        <v>26.9897000433602</v>
      </c>
      <c r="P202" s="5" t="str">
        <f>IF(AND(器件参数!M202="finite",ISNUMBER(器件参数!O202),ISNUMBER(C202)),IF(器件参数!N202="input",器件参数!O202,IF(器件参数!N202="actual_output",器件参数!O202-C202+1,IF(器件参数!N202="linear_output",器件参数!O202-C202,""))),"")</f>
        <v/>
      </c>
      <c r="Q202" s="5">
        <f>IF(器件参数!P202="",IF(AND(ISNUMBER(DefaultP),DefaultP&gt;=1,DefaultP&lt;=10),DefaultP,""),IF(AND(ISNUMBER(器件参数!P202),器件参数!P202&gt;=1,器件参数!P202&lt;=10),器件参数!P202,""))</f>
        <v>2</v>
      </c>
      <c r="R202" s="5">
        <f t="shared" si="64"/>
        <v>-10.0000139708288</v>
      </c>
      <c r="S202" s="5" t="str">
        <f t="shared" si="65"/>
        <v/>
      </c>
      <c r="T202" s="5">
        <f t="shared" si="66"/>
        <v>0</v>
      </c>
      <c r="U202" s="5">
        <f t="shared" si="67"/>
        <v>-10.0000139708288</v>
      </c>
      <c r="V202" s="5">
        <f>IF(AND(ISNUMBER(Pin_dBm),ISNUMBER(E202),ISNUMBER(U202)),Pin_dBm+E202-U202,"")</f>
        <v>1.39708287854035e-5</v>
      </c>
      <c r="W202" s="5" t="str">
        <f>IF(AND(器件参数!B202,X202=1,ISNUMBER(D202)),P202-D202,"")</f>
        <v/>
      </c>
      <c r="X202" s="5">
        <f>IF(NOT(ISNUMBER(C202)),-1,IF(OR(NOT(器件参数!B202),器件参数!M202="ideal"),0,IF(AND(ISNUMBER(P202),ISNUMBER(Q202)),1,-1)))</f>
        <v>0</v>
      </c>
      <c r="Y202" s="5" t="str">
        <f t="shared" si="68"/>
        <v>有效</v>
      </c>
      <c r="Z202" s="5" t="str">
        <f t="shared" si="69"/>
        <v>有效</v>
      </c>
      <c r="AA202" s="5" t="str">
        <f t="shared" si="70"/>
        <v>模型估算</v>
      </c>
      <c r="AB202" s="5">
        <f t="shared" si="71"/>
        <v>100000000</v>
      </c>
      <c r="AC202" s="5">
        <f>IF(NOT(ISNUMBER(AB202)),"",IF(OR(NOT(器件参数!B202),器件参数!E202&lt;&gt;"mixer"),AB202,IF(AND(ISNUMBER(器件参数!T202),器件参数!T202&gt;0),IF(器件参数!U202="sum",AB202+器件参数!T202,IF(器件参数!U202="difference",ABS(AB202-器件参数!T202),"")),"")))</f>
        <v>100000000</v>
      </c>
      <c r="AD202" s="5">
        <f t="shared" si="72"/>
        <v>0</v>
      </c>
      <c r="AE202" s="5">
        <f>IF(AND(ISNUMBER(G202),ISNUMBER(F202)),Tref_K*(G202-1)/F202,"")</f>
        <v>0</v>
      </c>
      <c r="AF202" s="5">
        <f>IF(AND(ISNUMBER(H202),ISNUMBER(E202),NoiseConfigOK),10*LOG10(Boltzmann*Bnoise_Hz*(Tsource_K+Tref_K*(H202-1)))+30+E202,"")</f>
        <v>-90.3704468972711</v>
      </c>
      <c r="AG202" s="5">
        <f t="shared" si="73"/>
        <v>80.3704468972711</v>
      </c>
      <c r="AH202" s="5">
        <f>IF(AND(ToneEnabled,ISNUMBER(E202),ISNUMBER(TonePin)),TonePin+E202,"")</f>
        <v>-10</v>
      </c>
      <c r="AI202" s="5">
        <f>IF(AND(ToneEnabled,ISNUMBER(E202),ISNUMBER(N202),ISNUMBER(TonePin)),3*TonePin+E202-2*N202,"")</f>
        <v>-83.9794000867204</v>
      </c>
      <c r="AJ202" s="5" t="str">
        <f t="shared" si="74"/>
        <v/>
      </c>
      <c r="AK202" s="5" t="str">
        <f>IF(NOT(器件参数!B202),"旁路",IF(NOT(ISNUMBER(AC202)),"频率未知",IF(AC202&lt;=SignalBW/2,"跨零频",IF(AND(ISNUMBER(器件参数!R202),ISNUMBER(器件参数!S202)),IF(AND(AB202-SignalBW/2&gt;=器件参数!R202,AB202+SignalBW/2&lt;=器件参数!S202),"有效","超声明通带"),"未声明通带"))))</f>
        <v>旁路</v>
      </c>
      <c r="AL202" s="5">
        <f t="shared" si="75"/>
        <v>0</v>
      </c>
      <c r="AM202" s="5" t="str">
        <f>IF(AND(器件参数!B202,ISNUMBER(器件参数!X202),OR(AND(ISNUMBER(J202),J202&gt;器件参数!X202),IF(AND(ToneEnabled,ISNUMBER(TonePin),ISNUMBER(D202)),TonePin+10*LOG10(2)+D202&gt;器件参数!X202,FALSE))),"超过绝对最大输入额定值","")</f>
        <v/>
      </c>
      <c r="AN202" s="5">
        <f>IF(NOT(ISNUMBER(AN201)),"",IF(OR(NOT(器件参数!B202),器件参数!E202&lt;&gt;"mixer"),AN201,IF(AND(ISNUMBER(器件参数!T202),器件参数!T202&gt;0),IF(器件参数!U202="sum",AN201+器件参数!T202,ABS(AN201-器件参数!T202)),"")))</f>
        <v>99950000</v>
      </c>
      <c r="AO202" s="5">
        <f>IF(NOT(ISNUMBER(AO201)),"",IF(OR(NOT(器件参数!B202),器件参数!E202&lt;&gt;"mixer"),AO201,IF(AND(ISNUMBER(器件参数!T202),器件参数!T202&gt;0),IF(器件参数!U202="sum",AO201+器件参数!T202,ABS(AO201-器件参数!T202)),"")))</f>
        <v>100050000</v>
      </c>
      <c r="AP202" s="5">
        <f>IF(NOT(ISNUMBER(AP201)),"",IF(OR(NOT(器件参数!B202),器件参数!E202&lt;&gt;"mixer"),AP201,IF(AND(ISNUMBER(器件参数!T202),器件参数!T202&gt;0),IF(器件参数!U202="sum",AP201+器件参数!T202,ABS(AP201-器件参数!T202)),"")))</f>
        <v>99850000</v>
      </c>
      <c r="AQ202" s="5">
        <f>IF(NOT(ISNUMBER(AQ201)),"",IF(OR(NOT(器件参数!B202),器件参数!E202&lt;&gt;"mixer"),AQ201,IF(AND(ISNUMBER(器件参数!T202),器件参数!T202&gt;0),IF(器件参数!U202="sum",AQ201+器件参数!T202,ABS(AQ201-器件参数!T202)),"")))</f>
        <v>100150000</v>
      </c>
      <c r="AR202" s="5" t="b">
        <f>IF(NOT(AR201),FALSE,IF(NOT(器件参数!B202),TRUE,AND(COUNT(AN202:AQ202)=4,MIN(AN202:AQ202)&gt;0,IF(AND(ISNUMBER(器件参数!R202),ISNUMBER(器件参数!S202)),AND(MIN(AN201:AQ201)&gt;=器件参数!R202,MAX(AN201:AQ201)&lt;=器件参数!S202),TRUE),IF(AND(器件参数!E202="mixer",器件参数!U202="difference"),OR(器件参数!T202&lt;MIN(AN201:AQ201),器件参数!T202&gt;MAX(AN201:AQ201)),TRUE))))</f>
        <v>1</v>
      </c>
    </row>
    <row r="203" hidden="1" spans="1:44">
      <c r="A203" s="5">
        <f>器件参数!A203</f>
        <v>200</v>
      </c>
      <c r="B203" s="5" t="str">
        <f>器件参数!D203</f>
        <v/>
      </c>
      <c r="C203" s="5">
        <f>IF(NOT(器件参数!B203),0,IF(AND(ISNUMBER(器件参数!F203),ABS(器件参数!F203)&lt;=300),器件参数!F203,""))</f>
        <v>0</v>
      </c>
      <c r="D203" s="5">
        <f t="shared" si="57"/>
        <v>20</v>
      </c>
      <c r="E203" s="5">
        <f t="shared" si="58"/>
        <v>20</v>
      </c>
      <c r="F203" s="5">
        <f t="shared" si="59"/>
        <v>100</v>
      </c>
      <c r="G203" s="5">
        <f>IFERROR(IF(NOT(器件参数!B203),1,IF(NOT(OR(器件参数!E203&lt;&gt;"mixer",AND(OR(器件参数!V203="SSB",器件参数!V203="DSB"),器件参数!W203=TRUE))),"",IF(器件参数!G203="ideal",1,IF(AND(器件参数!G203="manual",ISNUMBER(器件参数!H203),器件参数!H203&gt;=0),10^(器件参数!H203/10),IF(AND(器件参数!G203="passive_thermal",OR(器件参数!E203="filter_bpf",器件参数!E203="filter_lpf",器件参数!E203="filter_hpf",器件参数!E203="filter_bsf",器件参数!E203="attenuator",器件参数!E203="cable",器件参数!E203="connector",器件参数!E203="switch",器件参数!E203="isolator",器件参数!E203="coupler",器件参数!E203="splitter"),AND(ISNUMBER(器件参数!F203),ABS(器件参数!F203)&lt;=300),器件参数!F203&lt;=0,ISNUMBER(器件参数!I203),器件参数!I203&gt;0),1+(10^(-器件参数!F203/10)-1)*器件参数!I203/Tref_K,""))))),"数值域错误")</f>
        <v>1</v>
      </c>
      <c r="H203" s="5">
        <f t="shared" si="60"/>
        <v>2.29336948552238</v>
      </c>
      <c r="I203" s="5">
        <f t="shared" si="61"/>
        <v>3.604740296957</v>
      </c>
      <c r="J203" s="5">
        <f>IF(AND(ISNUMBER(Pin_dBm),ISNUMBER(D203)),Pin_dBm+D203,"")</f>
        <v>-10</v>
      </c>
      <c r="K203" s="5">
        <f>IF(AND(ISNUMBER(Pin_dBm),ISNUMBER(E203)),Pin_dBm+E203,"")</f>
        <v>-10</v>
      </c>
      <c r="L203" s="5" t="str">
        <f>IF(AND(器件参数!J203="finite",ISNUMBER(器件参数!L203),ISNUMBER(C203)),IF(器件参数!K203="input",器件参数!L203,IF(器件参数!K203="output",器件参数!L203-C203,"")),"")</f>
        <v/>
      </c>
      <c r="M203" s="5">
        <f>IFERROR(IF(NOT(ISNUMBER(M202)),"",IF(OR(NOT(器件参数!B203),器件参数!J203="ideal"),M202,IF(AND(ISNUMBER(L203),ISNUMBER(F203)),M202+F203/10^(L203/10),""))),"数值域错误")</f>
        <v>0.2</v>
      </c>
      <c r="N203" s="5">
        <f t="shared" si="62"/>
        <v>6.98970004336019</v>
      </c>
      <c r="O203" s="5">
        <f t="shared" si="63"/>
        <v>26.9897000433602</v>
      </c>
      <c r="P203" s="5" t="str">
        <f>IF(AND(器件参数!M203="finite",ISNUMBER(器件参数!O203),ISNUMBER(C203)),IF(器件参数!N203="input",器件参数!O203,IF(器件参数!N203="actual_output",器件参数!O203-C203+1,IF(器件参数!N203="linear_output",器件参数!O203-C203,""))),"")</f>
        <v/>
      </c>
      <c r="Q203" s="5">
        <f>IF(器件参数!P203="",IF(AND(ISNUMBER(DefaultP),DefaultP&gt;=1,DefaultP&lt;=10),DefaultP,""),IF(AND(ISNUMBER(器件参数!P203),器件参数!P203&gt;=1,器件参数!P203&lt;=10),器件参数!P203,""))</f>
        <v>2</v>
      </c>
      <c r="R203" s="5">
        <f t="shared" si="64"/>
        <v>-10.0000139708288</v>
      </c>
      <c r="S203" s="5" t="str">
        <f t="shared" si="65"/>
        <v/>
      </c>
      <c r="T203" s="5">
        <f t="shared" si="66"/>
        <v>0</v>
      </c>
      <c r="U203" s="5">
        <f t="shared" si="67"/>
        <v>-10.0000139708288</v>
      </c>
      <c r="V203" s="5">
        <f>IF(AND(ISNUMBER(Pin_dBm),ISNUMBER(E203),ISNUMBER(U203)),Pin_dBm+E203-U203,"")</f>
        <v>1.39708287854035e-5</v>
      </c>
      <c r="W203" s="5" t="str">
        <f>IF(AND(器件参数!B203,X203=1,ISNUMBER(D203)),P203-D203,"")</f>
        <v/>
      </c>
      <c r="X203" s="5">
        <f>IF(NOT(ISNUMBER(C203)),-1,IF(OR(NOT(器件参数!B203),器件参数!M203="ideal"),0,IF(AND(ISNUMBER(P203),ISNUMBER(Q203)),1,-1)))</f>
        <v>0</v>
      </c>
      <c r="Y203" s="5" t="str">
        <f t="shared" si="68"/>
        <v>有效</v>
      </c>
      <c r="Z203" s="5" t="str">
        <f t="shared" si="69"/>
        <v>有效</v>
      </c>
      <c r="AA203" s="5" t="str">
        <f t="shared" si="70"/>
        <v>模型估算</v>
      </c>
      <c r="AB203" s="5">
        <f t="shared" si="71"/>
        <v>100000000</v>
      </c>
      <c r="AC203" s="5">
        <f>IF(NOT(ISNUMBER(AB203)),"",IF(OR(NOT(器件参数!B203),器件参数!E203&lt;&gt;"mixer"),AB203,IF(AND(ISNUMBER(器件参数!T203),器件参数!T203&gt;0),IF(器件参数!U203="sum",AB203+器件参数!T203,IF(器件参数!U203="difference",ABS(AB203-器件参数!T203),"")),"")))</f>
        <v>100000000</v>
      </c>
      <c r="AD203" s="5">
        <f t="shared" si="72"/>
        <v>0</v>
      </c>
      <c r="AE203" s="5">
        <f>IF(AND(ISNUMBER(G203),ISNUMBER(F203)),Tref_K*(G203-1)/F203,"")</f>
        <v>0</v>
      </c>
      <c r="AF203" s="5">
        <f>IF(AND(ISNUMBER(H203),ISNUMBER(E203),NoiseConfigOK),10*LOG10(Boltzmann*Bnoise_Hz*(Tsource_K+Tref_K*(H203-1)))+30+E203,"")</f>
        <v>-90.3704468972711</v>
      </c>
      <c r="AG203" s="5">
        <f t="shared" si="73"/>
        <v>80.3704468972711</v>
      </c>
      <c r="AH203" s="5">
        <f>IF(AND(ToneEnabled,ISNUMBER(E203),ISNUMBER(TonePin)),TonePin+E203,"")</f>
        <v>-10</v>
      </c>
      <c r="AI203" s="5">
        <f>IF(AND(ToneEnabled,ISNUMBER(E203),ISNUMBER(N203),ISNUMBER(TonePin)),3*TonePin+E203-2*N203,"")</f>
        <v>-83.9794000867204</v>
      </c>
      <c r="AJ203" s="5" t="str">
        <f t="shared" si="74"/>
        <v/>
      </c>
      <c r="AK203" s="5" t="str">
        <f>IF(NOT(器件参数!B203),"旁路",IF(NOT(ISNUMBER(AC203)),"频率未知",IF(AC203&lt;=SignalBW/2,"跨零频",IF(AND(ISNUMBER(器件参数!R203),ISNUMBER(器件参数!S203)),IF(AND(AB203-SignalBW/2&gt;=器件参数!R203,AB203+SignalBW/2&lt;=器件参数!S203),"有效","超声明通带"),"未声明通带"))))</f>
        <v>旁路</v>
      </c>
      <c r="AL203" s="5">
        <f t="shared" si="75"/>
        <v>0</v>
      </c>
      <c r="AM203" s="5" t="str">
        <f>IF(AND(器件参数!B203,ISNUMBER(器件参数!X203),OR(AND(ISNUMBER(J203),J203&gt;器件参数!X203),IF(AND(ToneEnabled,ISNUMBER(TonePin),ISNUMBER(D203)),TonePin+10*LOG10(2)+D203&gt;器件参数!X203,FALSE))),"超过绝对最大输入额定值","")</f>
        <v/>
      </c>
      <c r="AN203" s="5">
        <f>IF(NOT(ISNUMBER(AN202)),"",IF(OR(NOT(器件参数!B203),器件参数!E203&lt;&gt;"mixer"),AN202,IF(AND(ISNUMBER(器件参数!T203),器件参数!T203&gt;0),IF(器件参数!U203="sum",AN202+器件参数!T203,ABS(AN202-器件参数!T203)),"")))</f>
        <v>99950000</v>
      </c>
      <c r="AO203" s="5">
        <f>IF(NOT(ISNUMBER(AO202)),"",IF(OR(NOT(器件参数!B203),器件参数!E203&lt;&gt;"mixer"),AO202,IF(AND(ISNUMBER(器件参数!T203),器件参数!T203&gt;0),IF(器件参数!U203="sum",AO202+器件参数!T203,ABS(AO202-器件参数!T203)),"")))</f>
        <v>100050000</v>
      </c>
      <c r="AP203" s="5">
        <f>IF(NOT(ISNUMBER(AP202)),"",IF(OR(NOT(器件参数!B203),器件参数!E203&lt;&gt;"mixer"),AP202,IF(AND(ISNUMBER(器件参数!T203),器件参数!T203&gt;0),IF(器件参数!U203="sum",AP202+器件参数!T203,ABS(AP202-器件参数!T203)),"")))</f>
        <v>99850000</v>
      </c>
      <c r="AQ203" s="5">
        <f>IF(NOT(ISNUMBER(AQ202)),"",IF(OR(NOT(器件参数!B203),器件参数!E203&lt;&gt;"mixer"),AQ202,IF(AND(ISNUMBER(器件参数!T203),器件参数!T203&gt;0),IF(器件参数!U203="sum",AQ202+器件参数!T203,ABS(AQ202-器件参数!T203)),"")))</f>
        <v>100150000</v>
      </c>
      <c r="AR203" s="5" t="b">
        <f>IF(NOT(AR202),FALSE,IF(NOT(器件参数!B203),TRUE,AND(COUNT(AN203:AQ203)=4,MIN(AN203:AQ203)&gt;0,IF(AND(ISNUMBER(器件参数!R203),ISNUMBER(器件参数!S203)),AND(MIN(AN202:AQ202)&gt;=器件参数!R203,MAX(AN202:AQ202)&lt;=器件参数!S203),TRUE),IF(AND(器件参数!E203="mixer",器件参数!U203="difference"),OR(器件参数!T203&lt;MIN(AN202:AQ202),器件参数!T203&gt;MAX(AN202:AQ202)),TRUE))))</f>
        <v>1</v>
      </c>
    </row>
  </sheetData>
  <pageMargins left="0.75" right="0.75" top="1" bottom="1" header="0.5" footer="0.5"/>
  <pageSetup paperSize="8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6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4"/>
  <cols>
    <col min="1" max="1" width="40" customWidth="1"/>
    <col min="2" max="2" width="35" customWidth="1"/>
    <col min="3" max="5" width="20" customWidth="1"/>
  </cols>
  <sheetData>
    <row r="1" ht="18" spans="1:5">
      <c r="A1" s="1" t="s">
        <v>337</v>
      </c>
      <c r="B1" s="1"/>
      <c r="C1" s="1"/>
      <c r="D1" s="1"/>
      <c r="E1" s="1"/>
    </row>
    <row r="2" spans="1:5">
      <c r="A2" s="2" t="s">
        <v>338</v>
      </c>
      <c r="B2" s="2" t="s">
        <v>339</v>
      </c>
      <c r="C2" s="2" t="s">
        <v>20</v>
      </c>
      <c r="D2" s="2" t="s">
        <v>340</v>
      </c>
      <c r="E2" s="2" t="s">
        <v>341</v>
      </c>
    </row>
    <row r="3" spans="1:5">
      <c r="A3" s="2"/>
      <c r="B3" s="2"/>
      <c r="C3" s="2"/>
      <c r="D3" s="2"/>
      <c r="E3" s="2"/>
    </row>
    <row r="4" spans="1:5">
      <c r="A4" s="2" t="s">
        <v>342</v>
      </c>
      <c r="B4" s="4">
        <f>IF(ISNUMBER(逐级计算!E203),逐级计算!E203,"")</f>
        <v>20</v>
      </c>
      <c r="C4" s="2" t="s">
        <v>38</v>
      </c>
      <c r="D4" s="5" t="str">
        <f t="shared" ref="D4:D10" si="0">IF(ISNUMBER(B4),"有效","未知／依赖不完整或数值域错误")</f>
        <v>有效</v>
      </c>
      <c r="E4" s="2" t="s">
        <v>343</v>
      </c>
    </row>
    <row r="5" spans="1:5">
      <c r="A5" s="2" t="s">
        <v>344</v>
      </c>
      <c r="B5" s="6">
        <f>IF(ISNUMBER(逐级计算!K203),逐级计算!K203,"")</f>
        <v>-10</v>
      </c>
      <c r="C5" s="2" t="s">
        <v>23</v>
      </c>
      <c r="D5" s="5" t="str">
        <f t="shared" si="0"/>
        <v>有效</v>
      </c>
      <c r="E5" s="2" t="s">
        <v>345</v>
      </c>
    </row>
    <row r="6" spans="1:5">
      <c r="A6" s="2" t="s">
        <v>346</v>
      </c>
      <c r="B6" s="4">
        <f>IF(ISNUMBER(逐级计算!I203),逐级计算!I203,"")</f>
        <v>3.604740296957</v>
      </c>
      <c r="C6" s="2" t="s">
        <v>38</v>
      </c>
      <c r="D6" s="5" t="str">
        <f t="shared" si="0"/>
        <v>有效</v>
      </c>
      <c r="E6" s="2" t="s">
        <v>347</v>
      </c>
    </row>
    <row r="7" spans="1:5">
      <c r="A7" s="2" t="s">
        <v>348</v>
      </c>
      <c r="B7" s="7">
        <f>IF(AND(ISNUMBER(逐级计算!H203)),Tref_K*(逐级计算!H203-1),"")</f>
        <v>375.077150801489</v>
      </c>
      <c r="C7" s="2" t="s">
        <v>33</v>
      </c>
      <c r="D7" s="5" t="str">
        <f t="shared" si="0"/>
        <v>有效</v>
      </c>
      <c r="E7" s="2" t="s">
        <v>349</v>
      </c>
    </row>
    <row r="8" spans="1:5">
      <c r="A8" s="2" t="s">
        <v>350</v>
      </c>
      <c r="B8" s="6">
        <f>IF(AND(ISNUMBER(B9),ISNUMBER(B4)),B9-B4,"")</f>
        <v>-110.370446897271</v>
      </c>
      <c r="C8" s="2" t="s">
        <v>23</v>
      </c>
      <c r="D8" s="5" t="str">
        <f t="shared" si="0"/>
        <v>有效</v>
      </c>
      <c r="E8" s="2" t="s">
        <v>351</v>
      </c>
    </row>
    <row r="9" spans="1:5">
      <c r="A9" s="2" t="s">
        <v>352</v>
      </c>
      <c r="B9" s="6">
        <f>IF(ISNUMBER(逐级计算!AF203),逐级计算!AF203,"")</f>
        <v>-90.3704468972711</v>
      </c>
      <c r="C9" s="2" t="s">
        <v>23</v>
      </c>
      <c r="D9" s="5" t="str">
        <f t="shared" si="0"/>
        <v>有效</v>
      </c>
      <c r="E9" s="2" t="s">
        <v>353</v>
      </c>
    </row>
    <row r="10" spans="1:5">
      <c r="A10" s="2" t="s">
        <v>354</v>
      </c>
      <c r="B10" s="4">
        <f>IF(ISNUMBER(逐级计算!AG203),逐级计算!AG203,"")</f>
        <v>80.3704468972711</v>
      </c>
      <c r="C10" s="2" t="s">
        <v>38</v>
      </c>
      <c r="D10" s="5" t="str">
        <f t="shared" si="0"/>
        <v>有效</v>
      </c>
      <c r="E10" s="2" t="s">
        <v>355</v>
      </c>
    </row>
    <row r="11" spans="1:5">
      <c r="A11" s="2" t="s">
        <v>356</v>
      </c>
      <c r="B11" s="6">
        <f>IF(ISNUMBER(逐级计算!N203),逐级计算!N203,"")</f>
        <v>6.98970004336019</v>
      </c>
      <c r="C11" s="2" t="s">
        <v>23</v>
      </c>
      <c r="D11" s="5" t="str">
        <f>逐级计算!Z203</f>
        <v>有效</v>
      </c>
      <c r="E11" s="2" t="s">
        <v>357</v>
      </c>
    </row>
    <row r="12" spans="1:5">
      <c r="A12" s="2" t="s">
        <v>358</v>
      </c>
      <c r="B12" s="6">
        <f>IF(ISNUMBER(逐级计算!O203),逐级计算!O203,"")</f>
        <v>26.9897000433602</v>
      </c>
      <c r="C12" s="2" t="s">
        <v>23</v>
      </c>
      <c r="D12" s="5" t="str">
        <f>逐级计算!Z203</f>
        <v>有效</v>
      </c>
      <c r="E12" s="2" t="s">
        <v>359</v>
      </c>
    </row>
    <row r="13" spans="1:5">
      <c r="A13" s="2" t="s">
        <v>360</v>
      </c>
      <c r="B13" s="6">
        <f>IF(压缩求解!B4="已夹根",压缩求解!C87,"")</f>
        <v>-5.20696342579112</v>
      </c>
      <c r="C13" s="2" t="s">
        <v>23</v>
      </c>
      <c r="D13" s="5" t="str">
        <f>IF(压缩求解!B4="已夹根","模型估算",压缩求解!B4)</f>
        <v>模型估算</v>
      </c>
      <c r="E13" s="2" t="s">
        <v>361</v>
      </c>
    </row>
    <row r="14" spans="1:5">
      <c r="A14" s="2" t="s">
        <v>362</v>
      </c>
      <c r="B14" s="6">
        <f>IF(AND(ISNUMBER(B13),ISNUMBER(B4)),B13+B4-1,"")</f>
        <v>13.7930365742089</v>
      </c>
      <c r="C14" s="2" t="s">
        <v>23</v>
      </c>
      <c r="D14" s="5" t="str">
        <f>IF(压缩求解!B4="已夹根","模型估算",压缩求解!B4)</f>
        <v>模型估算</v>
      </c>
      <c r="E14" s="2" t="s">
        <v>363</v>
      </c>
    </row>
    <row r="15" ht="28" spans="1:5">
      <c r="A15" s="2" t="s">
        <v>364</v>
      </c>
      <c r="B15" s="6">
        <f>IF(ISNUMBER(逐级计算!U203),逐级计算!U203,"")</f>
        <v>-10.0000139708288</v>
      </c>
      <c r="C15" s="2" t="s">
        <v>23</v>
      </c>
      <c r="D15" s="5" t="str">
        <f>IF(ISNUMBER(B15),"模型估算","未知／依赖不完整或数值域错误")</f>
        <v>模型估算</v>
      </c>
      <c r="E15" s="2" t="s">
        <v>365</v>
      </c>
    </row>
    <row r="16" spans="1:5">
      <c r="A16" s="2" t="s">
        <v>366</v>
      </c>
      <c r="B16" s="4">
        <f>IF(ISNUMBER(逐级计算!V203),逐级计算!V203,"")</f>
        <v>1.39708287854035e-5</v>
      </c>
      <c r="C16" s="2" t="s">
        <v>38</v>
      </c>
      <c r="D16" s="5" t="str">
        <f>IF(ISNUMBER(B16),"模型估算","未知／依赖不完整或数值域错误")</f>
        <v>模型估算</v>
      </c>
      <c r="E16" s="2" t="s">
        <v>367</v>
      </c>
    </row>
    <row r="17" spans="1:5">
      <c r="A17" s="2" t="s">
        <v>368</v>
      </c>
      <c r="B17" s="6">
        <f>IF(AND(ISNUMBER(B8),ISNUMBER(RequiredSNR_dB),ISNUMBER(ImplLoss_dB)),B8+RequiredSNR_dB+ImplLoss_dB,"")</f>
        <v>-100.370446897271</v>
      </c>
      <c r="C17" s="2" t="s">
        <v>23</v>
      </c>
      <c r="D17" s="5" t="str">
        <f>IF(ISNUMBER(B17),"有效","未知／依赖不完整或数值域错误")</f>
        <v>有效</v>
      </c>
      <c r="E17" s="2" t="s">
        <v>369</v>
      </c>
    </row>
    <row r="18" spans="1:5">
      <c r="A18" s="2" t="s">
        <v>370</v>
      </c>
      <c r="B18" s="4">
        <f>IF(AND(ISNUMBER(B13),ISNUMBER(Backoff_dB),ISNUMBER(B17)),B13-Backoff_dB-B17,"")</f>
        <v>92.16348347148</v>
      </c>
      <c r="C18" s="2" t="s">
        <v>38</v>
      </c>
      <c r="D18" s="5" t="str">
        <f>IF(ISNUMBER(B18),"模型估算","未知／依赖不完整或数值域错误")</f>
        <v>模型估算</v>
      </c>
      <c r="E18" s="2" t="s">
        <v>371</v>
      </c>
    </row>
    <row r="19" spans="1:5">
      <c r="A19" s="2" t="s">
        <v>372</v>
      </c>
      <c r="B19" s="4">
        <f>IF(AND(ISNUMBER(B11),ISNUMBER(B8)),2/3*(B11-B8),"")</f>
        <v>78.2400979604209</v>
      </c>
      <c r="C19" s="2" t="s">
        <v>38</v>
      </c>
      <c r="D19" s="5" t="str">
        <f t="shared" ref="D19:D25" si="1">IF(ISNUMBER(B19),"有效","未知／依赖不完整或数值域错误")</f>
        <v>有效</v>
      </c>
      <c r="E19" s="2" t="s">
        <v>373</v>
      </c>
    </row>
    <row r="20" spans="1:5">
      <c r="A20" s="2" t="s">
        <v>374</v>
      </c>
      <c r="B20" s="8">
        <f>IF(AND(ISNUMBER(B19)),B19+20/3*LOG10(Bnoise_Hz),"")</f>
        <v>118.240097960421</v>
      </c>
      <c r="C20" s="2" t="s">
        <v>375</v>
      </c>
      <c r="D20" s="5" t="str">
        <f t="shared" si="1"/>
        <v>有效</v>
      </c>
      <c r="E20" s="2" t="s">
        <v>376</v>
      </c>
    </row>
    <row r="21" spans="1:5">
      <c r="A21" s="2" t="s">
        <v>377</v>
      </c>
      <c r="B21" s="6">
        <f>IF(AND(ISNUMBER(B8),ISNUMBER(B11)),(B8+2*B11)/3,"")</f>
        <v>-32.1303489368502</v>
      </c>
      <c r="C21" s="2" t="s">
        <v>23</v>
      </c>
      <c r="D21" s="5" t="str">
        <f t="shared" si="1"/>
        <v>有效</v>
      </c>
      <c r="E21" s="2" t="s">
        <v>378</v>
      </c>
    </row>
    <row r="22" spans="1:5">
      <c r="A22" s="2" t="s">
        <v>379</v>
      </c>
      <c r="B22" s="4">
        <f>IF(AND(ISNUMBER(B21),ISNUMBER(B17)),B21-B17,"")</f>
        <v>68.2400979604209</v>
      </c>
      <c r="C22" s="2" t="s">
        <v>38</v>
      </c>
      <c r="D22" s="5" t="str">
        <f t="shared" si="1"/>
        <v>有效</v>
      </c>
      <c r="E22" s="2" t="s">
        <v>380</v>
      </c>
    </row>
    <row r="23" spans="1:5">
      <c r="A23" s="2" t="s">
        <v>381</v>
      </c>
      <c r="B23" s="6">
        <f>IF(AND(ToneEnabled,ISNUMBER(TonePin)),TonePin,"")</f>
        <v>-30</v>
      </c>
      <c r="C23" s="2" t="s">
        <v>23</v>
      </c>
      <c r="D23" s="5" t="str">
        <f t="shared" si="1"/>
        <v>有效</v>
      </c>
      <c r="E23" s="2" t="s">
        <v>382</v>
      </c>
    </row>
    <row r="24" spans="1:5">
      <c r="A24" s="2" t="s">
        <v>383</v>
      </c>
      <c r="B24" s="6">
        <f>IF(AND(ToneEnabled,ISNUMBER(TonePin)),TonePin+10*LOG10(2),"")</f>
        <v>-26.9897000433602</v>
      </c>
      <c r="C24" s="2" t="s">
        <v>23</v>
      </c>
      <c r="D24" s="5" t="str">
        <f t="shared" si="1"/>
        <v>有效</v>
      </c>
      <c r="E24" s="2" t="s">
        <v>384</v>
      </c>
    </row>
    <row r="25" spans="1:5">
      <c r="A25" s="2" t="s">
        <v>385</v>
      </c>
      <c r="B25" s="6">
        <f>IF(ISNUMBER(逐级计算!AH203),逐级计算!AH203,"")</f>
        <v>-10</v>
      </c>
      <c r="C25" s="2" t="s">
        <v>23</v>
      </c>
      <c r="D25" s="5" t="str">
        <f t="shared" si="1"/>
        <v>有效</v>
      </c>
      <c r="E25" s="2" t="s">
        <v>386</v>
      </c>
    </row>
    <row r="26" spans="1:5">
      <c r="A26" s="2" t="s">
        <v>387</v>
      </c>
      <c r="B26" s="6">
        <f>IF(AND(ToneEnabled,ISNUMBER(TonePin),逐级计算!AR203,ISNUMBER(B11),ISNUMBER(B4),IF(ISNUMBER(B13),IF(AND(ToneEnabled,ISNUMBER(TonePin)),TonePin+10*LOG10(2)&lt;B13-Backoff_dB,TRUE),TRUE)),3*TonePin+B4-2*B11,"")</f>
        <v>-83.9794000867204</v>
      </c>
      <c r="C26" s="2" t="s">
        <v>23</v>
      </c>
      <c r="D26" s="5" t="str">
        <f>IF(NOT(ToneEnabled),"未启用",IF(ISNUMBER(B26),IF(压缩求解!B2="未知","弱非线性外推；压缩有效区未核实","弱非线性外推"),"不适用／通带、压缩或IP3条件不满足"))</f>
        <v>弱非线性外推</v>
      </c>
      <c r="E26" s="2" t="s">
        <v>388</v>
      </c>
    </row>
    <row r="27" spans="1:5">
      <c r="A27" s="2" t="s">
        <v>389</v>
      </c>
      <c r="B27" s="9">
        <f>IF(AND(ToneEnabled,ISNUMBER(TonePin),逐级计算!AR203,ISNUMBER(B11),ISNUMBER(B4),IF(ISNUMBER(B13),IF(AND(ToneEnabled,ISNUMBER(TonePin)),TonePin+10*LOG10(2)&lt;B13-Backoff_dB,TRUE),TRUE)),-2*(B11-TonePin),"")</f>
        <v>-73.9794000867204</v>
      </c>
      <c r="C27" s="2" t="s">
        <v>390</v>
      </c>
      <c r="D27" s="5" t="str">
        <f>IF(NOT(ToneEnabled),"未启用",IF(ISNUMBER(B27),IF(压缩求解!B2="未知","弱非线性外推；压缩有效区未核实","弱非线性外推"),"不适用／通带、压缩或IP3条件不满足"))</f>
        <v>弱非线性外推</v>
      </c>
      <c r="E27" s="2" t="s">
        <v>391</v>
      </c>
    </row>
    <row r="28" spans="1:5">
      <c r="A28" s="2" t="s">
        <v>392</v>
      </c>
      <c r="B28" s="10">
        <f>IF(ISNUMBER(逐级计算!AC203),逐级计算!AC203,"")</f>
        <v>100000000</v>
      </c>
      <c r="C28" s="2" t="s">
        <v>26</v>
      </c>
      <c r="D28" s="5" t="str">
        <f>IF(ISNUMBER(B28),"有效","未知／依赖不完整或数值域错误")</f>
        <v>有效</v>
      </c>
      <c r="E28" s="2" t="s">
        <v>393</v>
      </c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 t="s">
        <v>394</v>
      </c>
      <c r="B36" s="5" t="str">
        <f>IF(OR(B18&lt;0,B19&lt;0,COUNTIF(逐级计算!AM4:AM203,"超过绝对最大输入额定值")&gt;0),"检查动态范围与额定值","")</f>
        <v/>
      </c>
      <c r="C36" s="2"/>
      <c r="D36" s="2"/>
      <c r="E36" s="2"/>
    </row>
  </sheetData>
  <pageMargins left="0.75" right="0.75" top="1" bottom="1" header="0.5" footer="0.5"/>
  <pageSetup paperSize="8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W90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40" customWidth="1"/>
    <col min="2" max="45" width="20" customWidth="1"/>
  </cols>
  <sheetData>
    <row r="1" ht="18" spans="1:205">
      <c r="A1" s="1" t="s">
        <v>395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</row>
    <row r="2" spans="1:205">
      <c r="A2" t="s">
        <v>396</v>
      </c>
      <c r="B2" t="str">
        <f>IF(COUNTIF(逐级计算!X4:X203,-1)&gt;0,"未知",IF(COUNTIF(逐级计算!X4:X203,1)=0,"理想","可求解"))</f>
        <v>可求解</v>
      </c>
    </row>
    <row r="3" spans="1:205">
      <c r="A3" t="s">
        <v>397</v>
      </c>
      <c r="B3">
        <f>IF(AND(B2="可求解",MIN(逐级计算!AJ4:AJ203)=MAX(逐级计算!AJ4:AJ203),SUM(逐级计算!AL4:AL203)&gt;0),-10/MIN(逐级计算!AJ4:AJ203)*LOG10(SUM(逐级计算!AL4:AL203)),"")</f>
        <v>-5.20696342579113</v>
      </c>
    </row>
    <row r="4" spans="1:205">
      <c r="A4" t="s">
        <v>398</v>
      </c>
      <c r="B4" t="str">
        <f>IF(B2&lt;&gt;"可求解",B2,IF(AND(ISNUMBER(D6),ISNUMBER(D7),D6&lt;1,D7&gt;1),"已夹根","未夹根／数值域错误"))</f>
        <v>已夹根</v>
      </c>
    </row>
    <row r="5" spans="1:205">
      <c r="A5" t="s">
        <v>399</v>
      </c>
      <c r="B5" t="s">
        <v>400</v>
      </c>
      <c r="C5" t="s">
        <v>401</v>
      </c>
      <c r="D5" t="s">
        <v>402</v>
      </c>
      <c r="E5" t="s">
        <v>403</v>
      </c>
      <c r="F5" t="s">
        <v>404</v>
      </c>
      <c r="G5" t="s">
        <v>405</v>
      </c>
      <c r="H5" t="s">
        <v>406</v>
      </c>
      <c r="I5" t="s">
        <v>407</v>
      </c>
      <c r="J5" t="s">
        <v>408</v>
      </c>
      <c r="K5" t="s">
        <v>409</v>
      </c>
      <c r="L5" t="s">
        <v>410</v>
      </c>
      <c r="M5" t="s">
        <v>411</v>
      </c>
      <c r="N5" t="s">
        <v>412</v>
      </c>
      <c r="O5" t="s">
        <v>413</v>
      </c>
      <c r="P5" t="s">
        <v>414</v>
      </c>
      <c r="Q5" t="s">
        <v>415</v>
      </c>
      <c r="R5" t="s">
        <v>416</v>
      </c>
      <c r="S5" t="s">
        <v>417</v>
      </c>
      <c r="T5" t="s">
        <v>418</v>
      </c>
      <c r="U5" t="s">
        <v>419</v>
      </c>
      <c r="V5" t="s">
        <v>420</v>
      </c>
      <c r="W5" t="s">
        <v>421</v>
      </c>
      <c r="X5" t="s">
        <v>422</v>
      </c>
      <c r="Y5" t="s">
        <v>423</v>
      </c>
      <c r="Z5" t="s">
        <v>424</v>
      </c>
      <c r="AA5" t="s">
        <v>425</v>
      </c>
      <c r="AB5" t="s">
        <v>426</v>
      </c>
      <c r="AC5" t="s">
        <v>427</v>
      </c>
      <c r="AD5" t="s">
        <v>428</v>
      </c>
      <c r="AE5" t="s">
        <v>429</v>
      </c>
      <c r="AF5" t="s">
        <v>430</v>
      </c>
      <c r="AG5" t="s">
        <v>431</v>
      </c>
      <c r="AH5" t="s">
        <v>432</v>
      </c>
      <c r="AI5" t="s">
        <v>433</v>
      </c>
      <c r="AJ5" t="s">
        <v>434</v>
      </c>
      <c r="AK5" t="s">
        <v>435</v>
      </c>
      <c r="AL5" t="s">
        <v>436</v>
      </c>
      <c r="AM5" t="s">
        <v>437</v>
      </c>
      <c r="AN5" t="s">
        <v>438</v>
      </c>
      <c r="AO5" t="s">
        <v>439</v>
      </c>
      <c r="AP5" t="s">
        <v>440</v>
      </c>
      <c r="AQ5" t="s">
        <v>441</v>
      </c>
      <c r="AR5" t="s">
        <v>442</v>
      </c>
      <c r="AS5" t="s">
        <v>443</v>
      </c>
      <c r="AT5" t="s">
        <v>444</v>
      </c>
      <c r="AU5" t="s">
        <v>445</v>
      </c>
      <c r="AV5" t="s">
        <v>446</v>
      </c>
      <c r="AW5" t="s">
        <v>447</v>
      </c>
      <c r="AX5" t="s">
        <v>448</v>
      </c>
      <c r="AY5" t="s">
        <v>449</v>
      </c>
      <c r="AZ5" t="s">
        <v>450</v>
      </c>
      <c r="BA5" t="s">
        <v>451</v>
      </c>
      <c r="BB5" t="s">
        <v>452</v>
      </c>
      <c r="BC5" t="s">
        <v>453</v>
      </c>
      <c r="BD5" t="s">
        <v>454</v>
      </c>
      <c r="BE5" t="s">
        <v>455</v>
      </c>
      <c r="BF5" t="s">
        <v>456</v>
      </c>
      <c r="BG5" t="s">
        <v>457</v>
      </c>
      <c r="BH5" t="s">
        <v>458</v>
      </c>
      <c r="BI5" t="s">
        <v>459</v>
      </c>
      <c r="BJ5" t="s">
        <v>460</v>
      </c>
      <c r="BK5" t="s">
        <v>461</v>
      </c>
      <c r="BL5" t="s">
        <v>462</v>
      </c>
      <c r="BM5" t="s">
        <v>463</v>
      </c>
      <c r="BN5" t="s">
        <v>464</v>
      </c>
      <c r="BO5" t="s">
        <v>465</v>
      </c>
      <c r="BP5" t="s">
        <v>466</v>
      </c>
      <c r="BQ5" t="s">
        <v>467</v>
      </c>
      <c r="BR5" t="s">
        <v>468</v>
      </c>
      <c r="BS5" t="s">
        <v>469</v>
      </c>
      <c r="BT5" t="s">
        <v>470</v>
      </c>
      <c r="BU5" t="s">
        <v>471</v>
      </c>
      <c r="BV5" t="s">
        <v>472</v>
      </c>
      <c r="BW5" t="s">
        <v>473</v>
      </c>
      <c r="BX5" t="s">
        <v>474</v>
      </c>
      <c r="BY5" t="s">
        <v>475</v>
      </c>
      <c r="BZ5" t="s">
        <v>476</v>
      </c>
      <c r="CA5" t="s">
        <v>477</v>
      </c>
      <c r="CB5" t="s">
        <v>478</v>
      </c>
      <c r="CC5" t="s">
        <v>479</v>
      </c>
      <c r="CD5" t="s">
        <v>480</v>
      </c>
      <c r="CE5" t="s">
        <v>481</v>
      </c>
      <c r="CF5" t="s">
        <v>482</v>
      </c>
      <c r="CG5" t="s">
        <v>483</v>
      </c>
      <c r="CH5" t="s">
        <v>484</v>
      </c>
      <c r="CI5" t="s">
        <v>485</v>
      </c>
      <c r="CJ5" t="s">
        <v>486</v>
      </c>
      <c r="CK5" t="s">
        <v>487</v>
      </c>
      <c r="CL5" t="s">
        <v>488</v>
      </c>
      <c r="CM5" t="s">
        <v>489</v>
      </c>
      <c r="CN5" t="s">
        <v>490</v>
      </c>
      <c r="CO5" t="s">
        <v>491</v>
      </c>
      <c r="CP5" t="s">
        <v>492</v>
      </c>
      <c r="CQ5" t="s">
        <v>493</v>
      </c>
      <c r="CR5" t="s">
        <v>494</v>
      </c>
      <c r="CS5" t="s">
        <v>495</v>
      </c>
      <c r="CT5" t="s">
        <v>496</v>
      </c>
      <c r="CU5" t="s">
        <v>497</v>
      </c>
      <c r="CV5" t="s">
        <v>498</v>
      </c>
      <c r="CW5" t="s">
        <v>499</v>
      </c>
      <c r="CX5" t="s">
        <v>500</v>
      </c>
      <c r="CY5" t="s">
        <v>501</v>
      </c>
      <c r="CZ5" t="s">
        <v>502</v>
      </c>
      <c r="DA5" t="s">
        <v>503</v>
      </c>
      <c r="DB5" t="s">
        <v>504</v>
      </c>
      <c r="DC5" t="s">
        <v>505</v>
      </c>
      <c r="DD5" t="s">
        <v>506</v>
      </c>
      <c r="DE5" t="s">
        <v>507</v>
      </c>
      <c r="DF5" t="s">
        <v>508</v>
      </c>
      <c r="DG5" t="s">
        <v>509</v>
      </c>
      <c r="DH5" t="s">
        <v>510</v>
      </c>
      <c r="DI5" t="s">
        <v>511</v>
      </c>
      <c r="DJ5" t="s">
        <v>512</v>
      </c>
      <c r="DK5" t="s">
        <v>513</v>
      </c>
      <c r="DL5" t="s">
        <v>514</v>
      </c>
      <c r="DM5" t="s">
        <v>515</v>
      </c>
      <c r="DN5" t="s">
        <v>516</v>
      </c>
      <c r="DO5" t="s">
        <v>517</v>
      </c>
      <c r="DP5" t="s">
        <v>518</v>
      </c>
      <c r="DQ5" t="s">
        <v>519</v>
      </c>
      <c r="DR5" t="s">
        <v>520</v>
      </c>
      <c r="DS5" t="s">
        <v>521</v>
      </c>
      <c r="DT5" t="s">
        <v>522</v>
      </c>
      <c r="DU5" t="s">
        <v>523</v>
      </c>
      <c r="DV5" t="s">
        <v>524</v>
      </c>
      <c r="DW5" t="s">
        <v>525</v>
      </c>
      <c r="DX5" t="s">
        <v>526</v>
      </c>
      <c r="DY5" t="s">
        <v>527</v>
      </c>
      <c r="DZ5" t="s">
        <v>528</v>
      </c>
      <c r="EA5" t="s">
        <v>529</v>
      </c>
      <c r="EB5" t="s">
        <v>530</v>
      </c>
      <c r="EC5" t="s">
        <v>531</v>
      </c>
      <c r="ED5" t="s">
        <v>532</v>
      </c>
      <c r="EE5" t="s">
        <v>533</v>
      </c>
      <c r="EF5" t="s">
        <v>534</v>
      </c>
      <c r="EG5" t="s">
        <v>535</v>
      </c>
      <c r="EH5" t="s">
        <v>536</v>
      </c>
      <c r="EI5" t="s">
        <v>537</v>
      </c>
      <c r="EJ5" t="s">
        <v>538</v>
      </c>
      <c r="EK5" t="s">
        <v>539</v>
      </c>
      <c r="EL5" t="s">
        <v>540</v>
      </c>
      <c r="EM5" t="s">
        <v>541</v>
      </c>
      <c r="EN5" t="s">
        <v>542</v>
      </c>
      <c r="EO5" t="s">
        <v>543</v>
      </c>
      <c r="EP5" t="s">
        <v>544</v>
      </c>
      <c r="EQ5" t="s">
        <v>545</v>
      </c>
      <c r="ER5" t="s">
        <v>546</v>
      </c>
      <c r="ES5" t="s">
        <v>547</v>
      </c>
      <c r="ET5" t="s">
        <v>548</v>
      </c>
      <c r="EU5" t="s">
        <v>549</v>
      </c>
      <c r="EV5" t="s">
        <v>550</v>
      </c>
      <c r="EW5" t="s">
        <v>551</v>
      </c>
      <c r="EX5" t="s">
        <v>552</v>
      </c>
      <c r="EY5" t="s">
        <v>553</v>
      </c>
      <c r="EZ5" t="s">
        <v>554</v>
      </c>
      <c r="FA5" t="s">
        <v>555</v>
      </c>
      <c r="FB5" t="s">
        <v>556</v>
      </c>
      <c r="FC5" t="s">
        <v>557</v>
      </c>
      <c r="FD5" t="s">
        <v>558</v>
      </c>
      <c r="FE5" t="s">
        <v>559</v>
      </c>
      <c r="FF5" t="s">
        <v>560</v>
      </c>
      <c r="FG5" t="s">
        <v>561</v>
      </c>
      <c r="FH5" t="s">
        <v>562</v>
      </c>
      <c r="FI5" t="s">
        <v>563</v>
      </c>
      <c r="FJ5" t="s">
        <v>564</v>
      </c>
      <c r="FK5" t="s">
        <v>565</v>
      </c>
      <c r="FL5" t="s">
        <v>566</v>
      </c>
      <c r="FM5" t="s">
        <v>567</v>
      </c>
      <c r="FN5" t="s">
        <v>568</v>
      </c>
      <c r="FO5" t="s">
        <v>569</v>
      </c>
      <c r="FP5" t="s">
        <v>570</v>
      </c>
      <c r="FQ5" t="s">
        <v>571</v>
      </c>
      <c r="FR5" t="s">
        <v>572</v>
      </c>
      <c r="FS5" t="s">
        <v>573</v>
      </c>
      <c r="FT5" t="s">
        <v>574</v>
      </c>
      <c r="FU5" t="s">
        <v>575</v>
      </c>
      <c r="FV5" t="s">
        <v>576</v>
      </c>
      <c r="FW5" t="s">
        <v>577</v>
      </c>
      <c r="FX5" t="s">
        <v>578</v>
      </c>
      <c r="FY5" t="s">
        <v>579</v>
      </c>
      <c r="FZ5" t="s">
        <v>580</v>
      </c>
      <c r="GA5" t="s">
        <v>581</v>
      </c>
      <c r="GB5" t="s">
        <v>582</v>
      </c>
      <c r="GC5" t="s">
        <v>583</v>
      </c>
      <c r="GD5" t="s">
        <v>584</v>
      </c>
      <c r="GE5" t="s">
        <v>585</v>
      </c>
      <c r="GF5" t="s">
        <v>586</v>
      </c>
      <c r="GG5" t="s">
        <v>587</v>
      </c>
      <c r="GH5" t="s">
        <v>588</v>
      </c>
      <c r="GI5" t="s">
        <v>589</v>
      </c>
      <c r="GJ5" t="s">
        <v>590</v>
      </c>
      <c r="GK5" t="s">
        <v>591</v>
      </c>
      <c r="GL5" t="s">
        <v>592</v>
      </c>
      <c r="GM5" t="s">
        <v>593</v>
      </c>
      <c r="GN5" t="s">
        <v>594</v>
      </c>
      <c r="GO5" t="s">
        <v>595</v>
      </c>
      <c r="GP5" t="s">
        <v>596</v>
      </c>
      <c r="GQ5" t="s">
        <v>597</v>
      </c>
      <c r="GR5" t="s">
        <v>598</v>
      </c>
      <c r="GS5" t="s">
        <v>599</v>
      </c>
      <c r="GT5" t="s">
        <v>600</v>
      </c>
      <c r="GU5" t="s">
        <v>601</v>
      </c>
      <c r="GV5" t="s">
        <v>602</v>
      </c>
      <c r="GW5" t="s">
        <v>603</v>
      </c>
    </row>
    <row r="6" spans="1:205">
      <c r="A6" t="s">
        <v>604</v>
      </c>
      <c r="B6">
        <f>IF($B$2="可求解",MIN(逐级计算!W4:W203)-80,"")</f>
        <v>-85</v>
      </c>
      <c r="C6">
        <f>IF(ISNUMBER(B6),B6,"")</f>
        <v>-85</v>
      </c>
      <c r="D6">
        <f>IF(AND(ISNUMBER(C6),ISNUMBER(逐级计算!$E$203),ISNUMBER(GV6)),C6+逐级计算!$E$203-GV6,"")</f>
        <v>0</v>
      </c>
      <c r="E6">
        <f>IF(AND(ISNUMBER(C6),逐级计算!$X$4&gt;-1),IF(逐级计算!$X$4=0,C6+逐级计算!$C$4,C6+逐级计算!$C$4-(10/(逐级计算!$Q$4*LN(10))*(MAX((LN(10^(逐级计算!$Q$4/10)-1)+逐级计算!$Q$4*(C6-逐级计算!$P$4)*LN(10)/10),0)+LN(1+EXP(-ABS((LN(10^(逐级计算!$Q$4/10)-1)+逐级计算!$Q$4*(C6-逐级计算!$P$4)*LN(10)/10))))))),"")</f>
        <v>-75</v>
      </c>
      <c r="F6">
        <f>IF(AND(ISNUMBER(E6),逐级计算!$X$5&gt;-1),IF(逐级计算!$X$5=0,E6+逐级计算!$C$5,E6+逐级计算!$C$5-(10/(逐级计算!$Q$5*LN(10))*(MAX((LN(10^(逐级计算!$Q$5/10)-1)+逐级计算!$Q$5*(E6-逐级计算!$P$5)*LN(10)/10),0)+LN(1+EXP(-ABS((LN(10^(逐级计算!$Q$5/10)-1)+逐级计算!$Q$5*(E6-逐级计算!$P$5)*LN(10)/10))))))),"")</f>
        <v>-65</v>
      </c>
      <c r="G6">
        <f>IF(AND(ISNUMBER(F6),逐级计算!$X$6&gt;-1),IF(逐级计算!$X$6=0,F6+逐级计算!$C$6,F6+逐级计算!$C$6-(10/(逐级计算!$Q$6*LN(10))*(MAX((LN(10^(逐级计算!$Q$6/10)-1)+逐级计算!$Q$6*(F6-逐级计算!$P$6)*LN(10)/10),0)+LN(1+EXP(-ABS((LN(10^(逐级计算!$Q$6/10)-1)+逐级计算!$Q$6*(F6-逐级计算!$P$6)*LN(10)/10))))))),"")</f>
        <v>-65</v>
      </c>
      <c r="H6">
        <f>IF(AND(ISNUMBER(G6),逐级计算!$X$7&gt;-1),IF(逐级计算!$X$7=0,G6+逐级计算!$C$7,G6+逐级计算!$C$7-(10/(逐级计算!$Q$7*LN(10))*(MAX((LN(10^(逐级计算!$Q$7/10)-1)+逐级计算!$Q$7*(G6-逐级计算!$P$7)*LN(10)/10),0)+LN(1+EXP(-ABS((LN(10^(逐级计算!$Q$7/10)-1)+逐级计算!$Q$7*(G6-逐级计算!$P$7)*LN(10)/10))))))),"")</f>
        <v>-65</v>
      </c>
      <c r="I6">
        <f>IF(AND(ISNUMBER(H6),逐级计算!$X$8&gt;-1),IF(逐级计算!$X$8=0,H6+逐级计算!$C$8,H6+逐级计算!$C$8-(10/(逐级计算!$Q$8*LN(10))*(MAX((LN(10^(逐级计算!$Q$8/10)-1)+逐级计算!$Q$8*(H6-逐级计算!$P$8)*LN(10)/10),0)+LN(1+EXP(-ABS((LN(10^(逐级计算!$Q$8/10)-1)+逐级计算!$Q$8*(H6-逐级计算!$P$8)*LN(10)/10))))))),"")</f>
        <v>-65</v>
      </c>
      <c r="J6">
        <f>IF(AND(ISNUMBER(I6),逐级计算!$X$9&gt;-1),IF(逐级计算!$X$9=0,I6+逐级计算!$C$9,I6+逐级计算!$C$9-(10/(逐级计算!$Q$9*LN(10))*(MAX((LN(10^(逐级计算!$Q$9/10)-1)+逐级计算!$Q$9*(I6-逐级计算!$P$9)*LN(10)/10),0)+LN(1+EXP(-ABS((LN(10^(逐级计算!$Q$9/10)-1)+逐级计算!$Q$9*(I6-逐级计算!$P$9)*LN(10)/10))))))),"")</f>
        <v>-65</v>
      </c>
      <c r="K6">
        <f>IF(AND(ISNUMBER(J6),逐级计算!$X$10&gt;-1),IF(逐级计算!$X$10=0,J6+逐级计算!$C$10,J6+逐级计算!$C$10-(10/(逐级计算!$Q$10*LN(10))*(MAX((LN(10^(逐级计算!$Q$10/10)-1)+逐级计算!$Q$10*(J6-逐级计算!$P$10)*LN(10)/10),0)+LN(1+EXP(-ABS((LN(10^(逐级计算!$Q$10/10)-1)+逐级计算!$Q$10*(J6-逐级计算!$P$10)*LN(10)/10))))))),"")</f>
        <v>-65</v>
      </c>
      <c r="L6">
        <f>IF(AND(ISNUMBER(K6),逐级计算!$X$11&gt;-1),IF(逐级计算!$X$11=0,K6+逐级计算!$C$11,K6+逐级计算!$C$11-(10/(逐级计算!$Q$11*LN(10))*(MAX((LN(10^(逐级计算!$Q$11/10)-1)+逐级计算!$Q$11*(K6-逐级计算!$P$11)*LN(10)/10),0)+LN(1+EXP(-ABS((LN(10^(逐级计算!$Q$11/10)-1)+逐级计算!$Q$11*(K6-逐级计算!$P$11)*LN(10)/10))))))),"")</f>
        <v>-65</v>
      </c>
      <c r="M6">
        <f>IF(AND(ISNUMBER(L6),逐级计算!$X$12&gt;-1),IF(逐级计算!$X$12=0,L6+逐级计算!$C$12,L6+逐级计算!$C$12-(10/(逐级计算!$Q$12*LN(10))*(MAX((LN(10^(逐级计算!$Q$12/10)-1)+逐级计算!$Q$12*(L6-逐级计算!$P$12)*LN(10)/10),0)+LN(1+EXP(-ABS((LN(10^(逐级计算!$Q$12/10)-1)+逐级计算!$Q$12*(L6-逐级计算!$P$12)*LN(10)/10))))))),"")</f>
        <v>-65</v>
      </c>
      <c r="N6">
        <f>IF(AND(ISNUMBER(M6),逐级计算!$X$13&gt;-1),IF(逐级计算!$X$13=0,M6+逐级计算!$C$13,M6+逐级计算!$C$13-(10/(逐级计算!$Q$13*LN(10))*(MAX((LN(10^(逐级计算!$Q$13/10)-1)+逐级计算!$Q$13*(M6-逐级计算!$P$13)*LN(10)/10),0)+LN(1+EXP(-ABS((LN(10^(逐级计算!$Q$13/10)-1)+逐级计算!$Q$13*(M6-逐级计算!$P$13)*LN(10)/10))))))),"")</f>
        <v>-65</v>
      </c>
      <c r="O6">
        <f>IF(AND(ISNUMBER(N6),逐级计算!$X$14&gt;-1),IF(逐级计算!$X$14=0,N6+逐级计算!$C$14,N6+逐级计算!$C$14-(10/(逐级计算!$Q$14*LN(10))*(MAX((LN(10^(逐级计算!$Q$14/10)-1)+逐级计算!$Q$14*(N6-逐级计算!$P$14)*LN(10)/10),0)+LN(1+EXP(-ABS((LN(10^(逐级计算!$Q$14/10)-1)+逐级计算!$Q$14*(N6-逐级计算!$P$14)*LN(10)/10))))))),"")</f>
        <v>-65</v>
      </c>
      <c r="P6">
        <f>IF(AND(ISNUMBER(O6),逐级计算!$X$15&gt;-1),IF(逐级计算!$X$15=0,O6+逐级计算!$C$15,O6+逐级计算!$C$15-(10/(逐级计算!$Q$15*LN(10))*(MAX((LN(10^(逐级计算!$Q$15/10)-1)+逐级计算!$Q$15*(O6-逐级计算!$P$15)*LN(10)/10),0)+LN(1+EXP(-ABS((LN(10^(逐级计算!$Q$15/10)-1)+逐级计算!$Q$15*(O6-逐级计算!$P$15)*LN(10)/10))))))),"")</f>
        <v>-65</v>
      </c>
      <c r="Q6">
        <f>IF(AND(ISNUMBER(P6),逐级计算!$X$16&gt;-1),IF(逐级计算!$X$16=0,P6+逐级计算!$C$16,P6+逐级计算!$C$16-(10/(逐级计算!$Q$16*LN(10))*(MAX((LN(10^(逐级计算!$Q$16/10)-1)+逐级计算!$Q$16*(P6-逐级计算!$P$16)*LN(10)/10),0)+LN(1+EXP(-ABS((LN(10^(逐级计算!$Q$16/10)-1)+逐级计算!$Q$16*(P6-逐级计算!$P$16)*LN(10)/10))))))),"")</f>
        <v>-65</v>
      </c>
      <c r="R6">
        <f>IF(AND(ISNUMBER(Q6),逐级计算!$X$17&gt;-1),IF(逐级计算!$X$17=0,Q6+逐级计算!$C$17,Q6+逐级计算!$C$17-(10/(逐级计算!$Q$17*LN(10))*(MAX((LN(10^(逐级计算!$Q$17/10)-1)+逐级计算!$Q$17*(Q6-逐级计算!$P$17)*LN(10)/10),0)+LN(1+EXP(-ABS((LN(10^(逐级计算!$Q$17/10)-1)+逐级计算!$Q$17*(Q6-逐级计算!$P$17)*LN(10)/10))))))),"")</f>
        <v>-65</v>
      </c>
      <c r="S6">
        <f>IF(AND(ISNUMBER(R6),逐级计算!$X$18&gt;-1),IF(逐级计算!$X$18=0,R6+逐级计算!$C$18,R6+逐级计算!$C$18-(10/(逐级计算!$Q$18*LN(10))*(MAX((LN(10^(逐级计算!$Q$18/10)-1)+逐级计算!$Q$18*(R6-逐级计算!$P$18)*LN(10)/10),0)+LN(1+EXP(-ABS((LN(10^(逐级计算!$Q$18/10)-1)+逐级计算!$Q$18*(R6-逐级计算!$P$18)*LN(10)/10))))))),"")</f>
        <v>-65</v>
      </c>
      <c r="T6">
        <f>IF(AND(ISNUMBER(S6),逐级计算!$X$19&gt;-1),IF(逐级计算!$X$19=0,S6+逐级计算!$C$19,S6+逐级计算!$C$19-(10/(逐级计算!$Q$19*LN(10))*(MAX((LN(10^(逐级计算!$Q$19/10)-1)+逐级计算!$Q$19*(S6-逐级计算!$P$19)*LN(10)/10),0)+LN(1+EXP(-ABS((LN(10^(逐级计算!$Q$19/10)-1)+逐级计算!$Q$19*(S6-逐级计算!$P$19)*LN(10)/10))))))),"")</f>
        <v>-65</v>
      </c>
      <c r="U6">
        <f>IF(AND(ISNUMBER(T6),逐级计算!$X$20&gt;-1),IF(逐级计算!$X$20=0,T6+逐级计算!$C$20,T6+逐级计算!$C$20-(10/(逐级计算!$Q$20*LN(10))*(MAX((LN(10^(逐级计算!$Q$20/10)-1)+逐级计算!$Q$20*(T6-逐级计算!$P$20)*LN(10)/10),0)+LN(1+EXP(-ABS((LN(10^(逐级计算!$Q$20/10)-1)+逐级计算!$Q$20*(T6-逐级计算!$P$20)*LN(10)/10))))))),"")</f>
        <v>-65</v>
      </c>
      <c r="V6">
        <f>IF(AND(ISNUMBER(U6),逐级计算!$X$21&gt;-1),IF(逐级计算!$X$21=0,U6+逐级计算!$C$21,U6+逐级计算!$C$21-(10/(逐级计算!$Q$21*LN(10))*(MAX((LN(10^(逐级计算!$Q$21/10)-1)+逐级计算!$Q$21*(U6-逐级计算!$P$21)*LN(10)/10),0)+LN(1+EXP(-ABS((LN(10^(逐级计算!$Q$21/10)-1)+逐级计算!$Q$21*(U6-逐级计算!$P$21)*LN(10)/10))))))),"")</f>
        <v>-65</v>
      </c>
      <c r="W6">
        <f>IF(AND(ISNUMBER(V6),逐级计算!$X$22&gt;-1),IF(逐级计算!$X$22=0,V6+逐级计算!$C$22,V6+逐级计算!$C$22-(10/(逐级计算!$Q$22*LN(10))*(MAX((LN(10^(逐级计算!$Q$22/10)-1)+逐级计算!$Q$22*(V6-逐级计算!$P$22)*LN(10)/10),0)+LN(1+EXP(-ABS((LN(10^(逐级计算!$Q$22/10)-1)+逐级计算!$Q$22*(V6-逐级计算!$P$22)*LN(10)/10))))))),"")</f>
        <v>-65</v>
      </c>
      <c r="X6">
        <f>IF(AND(ISNUMBER(W6),逐级计算!$X$23&gt;-1),IF(逐级计算!$X$23=0,W6+逐级计算!$C$23,W6+逐级计算!$C$23-(10/(逐级计算!$Q$23*LN(10))*(MAX((LN(10^(逐级计算!$Q$23/10)-1)+逐级计算!$Q$23*(W6-逐级计算!$P$23)*LN(10)/10),0)+LN(1+EXP(-ABS((LN(10^(逐级计算!$Q$23/10)-1)+逐级计算!$Q$23*(W6-逐级计算!$P$23)*LN(10)/10))))))),"")</f>
        <v>-65</v>
      </c>
      <c r="Y6">
        <f>IF(AND(ISNUMBER(X6),逐级计算!$X$24&gt;-1),IF(逐级计算!$X$24=0,X6+逐级计算!$C$24,X6+逐级计算!$C$24-(10/(逐级计算!$Q$24*LN(10))*(MAX((LN(10^(逐级计算!$Q$24/10)-1)+逐级计算!$Q$24*(X6-逐级计算!$P$24)*LN(10)/10),0)+LN(1+EXP(-ABS((LN(10^(逐级计算!$Q$24/10)-1)+逐级计算!$Q$24*(X6-逐级计算!$P$24)*LN(10)/10))))))),"")</f>
        <v>-65</v>
      </c>
      <c r="Z6">
        <f>IF(AND(ISNUMBER(Y6),逐级计算!$X$25&gt;-1),IF(逐级计算!$X$25=0,Y6+逐级计算!$C$25,Y6+逐级计算!$C$25-(10/(逐级计算!$Q$25*LN(10))*(MAX((LN(10^(逐级计算!$Q$25/10)-1)+逐级计算!$Q$25*(Y6-逐级计算!$P$25)*LN(10)/10),0)+LN(1+EXP(-ABS((LN(10^(逐级计算!$Q$25/10)-1)+逐级计算!$Q$25*(Y6-逐级计算!$P$25)*LN(10)/10))))))),"")</f>
        <v>-65</v>
      </c>
      <c r="AA6">
        <f>IF(AND(ISNUMBER(Z6),逐级计算!$X$26&gt;-1),IF(逐级计算!$X$26=0,Z6+逐级计算!$C$26,Z6+逐级计算!$C$26-(10/(逐级计算!$Q$26*LN(10))*(MAX((LN(10^(逐级计算!$Q$26/10)-1)+逐级计算!$Q$26*(Z6-逐级计算!$P$26)*LN(10)/10),0)+LN(1+EXP(-ABS((LN(10^(逐级计算!$Q$26/10)-1)+逐级计算!$Q$26*(Z6-逐级计算!$P$26)*LN(10)/10))))))),"")</f>
        <v>-65</v>
      </c>
      <c r="AB6">
        <f>IF(AND(ISNUMBER(AA6),逐级计算!$X$27&gt;-1),IF(逐级计算!$X$27=0,AA6+逐级计算!$C$27,AA6+逐级计算!$C$27-(10/(逐级计算!$Q$27*LN(10))*(MAX((LN(10^(逐级计算!$Q$27/10)-1)+逐级计算!$Q$27*(AA6-逐级计算!$P$27)*LN(10)/10),0)+LN(1+EXP(-ABS((LN(10^(逐级计算!$Q$27/10)-1)+逐级计算!$Q$27*(AA6-逐级计算!$P$27)*LN(10)/10))))))),"")</f>
        <v>-65</v>
      </c>
      <c r="AC6">
        <f>IF(AND(ISNUMBER(AB6),逐级计算!$X$28&gt;-1),IF(逐级计算!$X$28=0,AB6+逐级计算!$C$28,AB6+逐级计算!$C$28-(10/(逐级计算!$Q$28*LN(10))*(MAX((LN(10^(逐级计算!$Q$28/10)-1)+逐级计算!$Q$28*(AB6-逐级计算!$P$28)*LN(10)/10),0)+LN(1+EXP(-ABS((LN(10^(逐级计算!$Q$28/10)-1)+逐级计算!$Q$28*(AB6-逐级计算!$P$28)*LN(10)/10))))))),"")</f>
        <v>-65</v>
      </c>
      <c r="AD6">
        <f>IF(AND(ISNUMBER(AC6),逐级计算!$X$29&gt;-1),IF(逐级计算!$X$29=0,AC6+逐级计算!$C$29,AC6+逐级计算!$C$29-(10/(逐级计算!$Q$29*LN(10))*(MAX((LN(10^(逐级计算!$Q$29/10)-1)+逐级计算!$Q$29*(AC6-逐级计算!$P$29)*LN(10)/10),0)+LN(1+EXP(-ABS((LN(10^(逐级计算!$Q$29/10)-1)+逐级计算!$Q$29*(AC6-逐级计算!$P$29)*LN(10)/10))))))),"")</f>
        <v>-65</v>
      </c>
      <c r="AE6">
        <f>IF(AND(ISNUMBER(AD6),逐级计算!$X$30&gt;-1),IF(逐级计算!$X$30=0,AD6+逐级计算!$C$30,AD6+逐级计算!$C$30-(10/(逐级计算!$Q$30*LN(10))*(MAX((LN(10^(逐级计算!$Q$30/10)-1)+逐级计算!$Q$30*(AD6-逐级计算!$P$30)*LN(10)/10),0)+LN(1+EXP(-ABS((LN(10^(逐级计算!$Q$30/10)-1)+逐级计算!$Q$30*(AD6-逐级计算!$P$30)*LN(10)/10))))))),"")</f>
        <v>-65</v>
      </c>
      <c r="AF6">
        <f>IF(AND(ISNUMBER(AE6),逐级计算!$X$31&gt;-1),IF(逐级计算!$X$31=0,AE6+逐级计算!$C$31,AE6+逐级计算!$C$31-(10/(逐级计算!$Q$31*LN(10))*(MAX((LN(10^(逐级计算!$Q$31/10)-1)+逐级计算!$Q$31*(AE6-逐级计算!$P$31)*LN(10)/10),0)+LN(1+EXP(-ABS((LN(10^(逐级计算!$Q$31/10)-1)+逐级计算!$Q$31*(AE6-逐级计算!$P$31)*LN(10)/10))))))),"")</f>
        <v>-65</v>
      </c>
      <c r="AG6">
        <f>IF(AND(ISNUMBER(AF6),逐级计算!$X$32&gt;-1),IF(逐级计算!$X$32=0,AF6+逐级计算!$C$32,AF6+逐级计算!$C$32-(10/(逐级计算!$Q$32*LN(10))*(MAX((LN(10^(逐级计算!$Q$32/10)-1)+逐级计算!$Q$32*(AF6-逐级计算!$P$32)*LN(10)/10),0)+LN(1+EXP(-ABS((LN(10^(逐级计算!$Q$32/10)-1)+逐级计算!$Q$32*(AF6-逐级计算!$P$32)*LN(10)/10))))))),"")</f>
        <v>-65</v>
      </c>
      <c r="AH6">
        <f>IF(AND(ISNUMBER(AG6),逐级计算!$X$33&gt;-1),IF(逐级计算!$X$33=0,AG6+逐级计算!$C$33,AG6+逐级计算!$C$33-(10/(逐级计算!$Q$33*LN(10))*(MAX((LN(10^(逐级计算!$Q$33/10)-1)+逐级计算!$Q$33*(AG6-逐级计算!$P$33)*LN(10)/10),0)+LN(1+EXP(-ABS((LN(10^(逐级计算!$Q$33/10)-1)+逐级计算!$Q$33*(AG6-逐级计算!$P$33)*LN(10)/10))))))),"")</f>
        <v>-65</v>
      </c>
      <c r="AI6">
        <f>IF(AND(ISNUMBER(AH6),逐级计算!$X$34&gt;-1),IF(逐级计算!$X$34=0,AH6+逐级计算!$C$34,AH6+逐级计算!$C$34-(10/(逐级计算!$Q$34*LN(10))*(MAX((LN(10^(逐级计算!$Q$34/10)-1)+逐级计算!$Q$34*(AH6-逐级计算!$P$34)*LN(10)/10),0)+LN(1+EXP(-ABS((LN(10^(逐级计算!$Q$34/10)-1)+逐级计算!$Q$34*(AH6-逐级计算!$P$34)*LN(10)/10))))))),"")</f>
        <v>-65</v>
      </c>
      <c r="AJ6">
        <f>IF(AND(ISNUMBER(AI6),逐级计算!$X$35&gt;-1),IF(逐级计算!$X$35=0,AI6+逐级计算!$C$35,AI6+逐级计算!$C$35-(10/(逐级计算!$Q$35*LN(10))*(MAX((LN(10^(逐级计算!$Q$35/10)-1)+逐级计算!$Q$35*(AI6-逐级计算!$P$35)*LN(10)/10),0)+LN(1+EXP(-ABS((LN(10^(逐级计算!$Q$35/10)-1)+逐级计算!$Q$35*(AI6-逐级计算!$P$35)*LN(10)/10))))))),"")</f>
        <v>-65</v>
      </c>
      <c r="AK6">
        <f>IF(AND(ISNUMBER(AJ6),逐级计算!$X$36&gt;-1),IF(逐级计算!$X$36=0,AJ6+逐级计算!$C$36,AJ6+逐级计算!$C$36-(10/(逐级计算!$Q$36*LN(10))*(MAX((LN(10^(逐级计算!$Q$36/10)-1)+逐级计算!$Q$36*(AJ6-逐级计算!$P$36)*LN(10)/10),0)+LN(1+EXP(-ABS((LN(10^(逐级计算!$Q$36/10)-1)+逐级计算!$Q$36*(AJ6-逐级计算!$P$36)*LN(10)/10))))))),"")</f>
        <v>-65</v>
      </c>
      <c r="AL6">
        <f>IF(AND(ISNUMBER(AK6),逐级计算!$X$37&gt;-1),IF(逐级计算!$X$37=0,AK6+逐级计算!$C$37,AK6+逐级计算!$C$37-(10/(逐级计算!$Q$37*LN(10))*(MAX((LN(10^(逐级计算!$Q$37/10)-1)+逐级计算!$Q$37*(AK6-逐级计算!$P$37)*LN(10)/10),0)+LN(1+EXP(-ABS((LN(10^(逐级计算!$Q$37/10)-1)+逐级计算!$Q$37*(AK6-逐级计算!$P$37)*LN(10)/10))))))),"")</f>
        <v>-65</v>
      </c>
      <c r="AM6">
        <f>IF(AND(ISNUMBER(AL6),逐级计算!$X$38&gt;-1),IF(逐级计算!$X$38=0,AL6+逐级计算!$C$38,AL6+逐级计算!$C$38-(10/(逐级计算!$Q$38*LN(10))*(MAX((LN(10^(逐级计算!$Q$38/10)-1)+逐级计算!$Q$38*(AL6-逐级计算!$P$38)*LN(10)/10),0)+LN(1+EXP(-ABS((LN(10^(逐级计算!$Q$38/10)-1)+逐级计算!$Q$38*(AL6-逐级计算!$P$38)*LN(10)/10))))))),"")</f>
        <v>-65</v>
      </c>
      <c r="AN6">
        <f>IF(AND(ISNUMBER(AM6),逐级计算!$X$39&gt;-1),IF(逐级计算!$X$39=0,AM6+逐级计算!$C$39,AM6+逐级计算!$C$39-(10/(逐级计算!$Q$39*LN(10))*(MAX((LN(10^(逐级计算!$Q$39/10)-1)+逐级计算!$Q$39*(AM6-逐级计算!$P$39)*LN(10)/10),0)+LN(1+EXP(-ABS((LN(10^(逐级计算!$Q$39/10)-1)+逐级计算!$Q$39*(AM6-逐级计算!$P$39)*LN(10)/10))))))),"")</f>
        <v>-65</v>
      </c>
      <c r="AO6">
        <f>IF(AND(ISNUMBER(AN6),逐级计算!$X$40&gt;-1),IF(逐级计算!$X$40=0,AN6+逐级计算!$C$40,AN6+逐级计算!$C$40-(10/(逐级计算!$Q$40*LN(10))*(MAX((LN(10^(逐级计算!$Q$40/10)-1)+逐级计算!$Q$40*(AN6-逐级计算!$P$40)*LN(10)/10),0)+LN(1+EXP(-ABS((LN(10^(逐级计算!$Q$40/10)-1)+逐级计算!$Q$40*(AN6-逐级计算!$P$40)*LN(10)/10))))))),"")</f>
        <v>-65</v>
      </c>
      <c r="AP6">
        <f>IF(AND(ISNUMBER(AO6),逐级计算!$X$41&gt;-1),IF(逐级计算!$X$41=0,AO6+逐级计算!$C$41,AO6+逐级计算!$C$41-(10/(逐级计算!$Q$41*LN(10))*(MAX((LN(10^(逐级计算!$Q$41/10)-1)+逐级计算!$Q$41*(AO6-逐级计算!$P$41)*LN(10)/10),0)+LN(1+EXP(-ABS((LN(10^(逐级计算!$Q$41/10)-1)+逐级计算!$Q$41*(AO6-逐级计算!$P$41)*LN(10)/10))))))),"")</f>
        <v>-65</v>
      </c>
      <c r="AQ6">
        <f>IF(AND(ISNUMBER(AP6),逐级计算!$X$42&gt;-1),IF(逐级计算!$X$42=0,AP6+逐级计算!$C$42,AP6+逐级计算!$C$42-(10/(逐级计算!$Q$42*LN(10))*(MAX((LN(10^(逐级计算!$Q$42/10)-1)+逐级计算!$Q$42*(AP6-逐级计算!$P$42)*LN(10)/10),0)+LN(1+EXP(-ABS((LN(10^(逐级计算!$Q$42/10)-1)+逐级计算!$Q$42*(AP6-逐级计算!$P$42)*LN(10)/10))))))),"")</f>
        <v>-65</v>
      </c>
      <c r="AR6">
        <f>IF(AND(ISNUMBER(AQ6),逐级计算!$X$43&gt;-1),IF(逐级计算!$X$43=0,AQ6+逐级计算!$C$43,AQ6+逐级计算!$C$43-(10/(逐级计算!$Q$43*LN(10))*(MAX((LN(10^(逐级计算!$Q$43/10)-1)+逐级计算!$Q$43*(AQ6-逐级计算!$P$43)*LN(10)/10),0)+LN(1+EXP(-ABS((LN(10^(逐级计算!$Q$43/10)-1)+逐级计算!$Q$43*(AQ6-逐级计算!$P$43)*LN(10)/10))))))),"")</f>
        <v>-65</v>
      </c>
      <c r="AS6">
        <f>IF(AND(ISNUMBER(AR6),逐级计算!$X$44&gt;-1),IF(逐级计算!$X$44=0,AR6+逐级计算!$C$44,AR6+逐级计算!$C$44-(10/(逐级计算!$Q$44*LN(10))*(MAX((LN(10^(逐级计算!$Q$44/10)-1)+逐级计算!$Q$44*(AR6-逐级计算!$P$44)*LN(10)/10),0)+LN(1+EXP(-ABS((LN(10^(逐级计算!$Q$44/10)-1)+逐级计算!$Q$44*(AR6-逐级计算!$P$44)*LN(10)/10))))))),"")</f>
        <v>-65</v>
      </c>
      <c r="AT6">
        <f>IF(AND(ISNUMBER(AS6),逐级计算!$X$45&gt;-1),IF(逐级计算!$X$45=0,AS6+逐级计算!$C$45,AS6+逐级计算!$C$45-(10/(逐级计算!$Q$45*LN(10))*(MAX((LN(10^(逐级计算!$Q$45/10)-1)+逐级计算!$Q$45*(AS6-逐级计算!$P$45)*LN(10)/10),0)+LN(1+EXP(-ABS((LN(10^(逐级计算!$Q$45/10)-1)+逐级计算!$Q$45*(AS6-逐级计算!$P$45)*LN(10)/10))))))),"")</f>
        <v>-65</v>
      </c>
      <c r="AU6">
        <f>IF(AND(ISNUMBER(AT6),逐级计算!$X$46&gt;-1),IF(逐级计算!$X$46=0,AT6+逐级计算!$C$46,AT6+逐级计算!$C$46-(10/(逐级计算!$Q$46*LN(10))*(MAX((LN(10^(逐级计算!$Q$46/10)-1)+逐级计算!$Q$46*(AT6-逐级计算!$P$46)*LN(10)/10),0)+LN(1+EXP(-ABS((LN(10^(逐级计算!$Q$46/10)-1)+逐级计算!$Q$46*(AT6-逐级计算!$P$46)*LN(10)/10))))))),"")</f>
        <v>-65</v>
      </c>
      <c r="AV6">
        <f>IF(AND(ISNUMBER(AU6),逐级计算!$X$47&gt;-1),IF(逐级计算!$X$47=0,AU6+逐级计算!$C$47,AU6+逐级计算!$C$47-(10/(逐级计算!$Q$47*LN(10))*(MAX((LN(10^(逐级计算!$Q$47/10)-1)+逐级计算!$Q$47*(AU6-逐级计算!$P$47)*LN(10)/10),0)+LN(1+EXP(-ABS((LN(10^(逐级计算!$Q$47/10)-1)+逐级计算!$Q$47*(AU6-逐级计算!$P$47)*LN(10)/10))))))),"")</f>
        <v>-65</v>
      </c>
      <c r="AW6">
        <f>IF(AND(ISNUMBER(AV6),逐级计算!$X$48&gt;-1),IF(逐级计算!$X$48=0,AV6+逐级计算!$C$48,AV6+逐级计算!$C$48-(10/(逐级计算!$Q$48*LN(10))*(MAX((LN(10^(逐级计算!$Q$48/10)-1)+逐级计算!$Q$48*(AV6-逐级计算!$P$48)*LN(10)/10),0)+LN(1+EXP(-ABS((LN(10^(逐级计算!$Q$48/10)-1)+逐级计算!$Q$48*(AV6-逐级计算!$P$48)*LN(10)/10))))))),"")</f>
        <v>-65</v>
      </c>
      <c r="AX6">
        <f>IF(AND(ISNUMBER(AW6),逐级计算!$X$49&gt;-1),IF(逐级计算!$X$49=0,AW6+逐级计算!$C$49,AW6+逐级计算!$C$49-(10/(逐级计算!$Q$49*LN(10))*(MAX((LN(10^(逐级计算!$Q$49/10)-1)+逐级计算!$Q$49*(AW6-逐级计算!$P$49)*LN(10)/10),0)+LN(1+EXP(-ABS((LN(10^(逐级计算!$Q$49/10)-1)+逐级计算!$Q$49*(AW6-逐级计算!$P$49)*LN(10)/10))))))),"")</f>
        <v>-65</v>
      </c>
      <c r="AY6">
        <f>IF(AND(ISNUMBER(AX6),逐级计算!$X$50&gt;-1),IF(逐级计算!$X$50=0,AX6+逐级计算!$C$50,AX6+逐级计算!$C$50-(10/(逐级计算!$Q$50*LN(10))*(MAX((LN(10^(逐级计算!$Q$50/10)-1)+逐级计算!$Q$50*(AX6-逐级计算!$P$50)*LN(10)/10),0)+LN(1+EXP(-ABS((LN(10^(逐级计算!$Q$50/10)-1)+逐级计算!$Q$50*(AX6-逐级计算!$P$50)*LN(10)/10))))))),"")</f>
        <v>-65</v>
      </c>
      <c r="AZ6">
        <f>IF(AND(ISNUMBER(AY6),逐级计算!$X$51&gt;-1),IF(逐级计算!$X$51=0,AY6+逐级计算!$C$51,AY6+逐级计算!$C$51-(10/(逐级计算!$Q$51*LN(10))*(MAX((LN(10^(逐级计算!$Q$51/10)-1)+逐级计算!$Q$51*(AY6-逐级计算!$P$51)*LN(10)/10),0)+LN(1+EXP(-ABS((LN(10^(逐级计算!$Q$51/10)-1)+逐级计算!$Q$51*(AY6-逐级计算!$P$51)*LN(10)/10))))))),"")</f>
        <v>-65</v>
      </c>
      <c r="BA6">
        <f>IF(AND(ISNUMBER(AZ6),逐级计算!$X$52&gt;-1),IF(逐级计算!$X$52=0,AZ6+逐级计算!$C$52,AZ6+逐级计算!$C$52-(10/(逐级计算!$Q$52*LN(10))*(MAX((LN(10^(逐级计算!$Q$52/10)-1)+逐级计算!$Q$52*(AZ6-逐级计算!$P$52)*LN(10)/10),0)+LN(1+EXP(-ABS((LN(10^(逐级计算!$Q$52/10)-1)+逐级计算!$Q$52*(AZ6-逐级计算!$P$52)*LN(10)/10))))))),"")</f>
        <v>-65</v>
      </c>
      <c r="BB6">
        <f>IF(AND(ISNUMBER(BA6),逐级计算!$X$53&gt;-1),IF(逐级计算!$X$53=0,BA6+逐级计算!$C$53,BA6+逐级计算!$C$53-(10/(逐级计算!$Q$53*LN(10))*(MAX((LN(10^(逐级计算!$Q$53/10)-1)+逐级计算!$Q$53*(BA6-逐级计算!$P$53)*LN(10)/10),0)+LN(1+EXP(-ABS((LN(10^(逐级计算!$Q$53/10)-1)+逐级计算!$Q$53*(BA6-逐级计算!$P$53)*LN(10)/10))))))),"")</f>
        <v>-65</v>
      </c>
      <c r="BC6">
        <f>IF(AND(ISNUMBER(BB6),逐级计算!$X$54&gt;-1),IF(逐级计算!$X$54=0,BB6+逐级计算!$C$54,BB6+逐级计算!$C$54-(10/(逐级计算!$Q$54*LN(10))*(MAX((LN(10^(逐级计算!$Q$54/10)-1)+逐级计算!$Q$54*(BB6-逐级计算!$P$54)*LN(10)/10),0)+LN(1+EXP(-ABS((LN(10^(逐级计算!$Q$54/10)-1)+逐级计算!$Q$54*(BB6-逐级计算!$P$54)*LN(10)/10))))))),"")</f>
        <v>-65</v>
      </c>
      <c r="BD6">
        <f>IF(AND(ISNUMBER(BC6),逐级计算!$X$55&gt;-1),IF(逐级计算!$X$55=0,BC6+逐级计算!$C$55,BC6+逐级计算!$C$55-(10/(逐级计算!$Q$55*LN(10))*(MAX((LN(10^(逐级计算!$Q$55/10)-1)+逐级计算!$Q$55*(BC6-逐级计算!$P$55)*LN(10)/10),0)+LN(1+EXP(-ABS((LN(10^(逐级计算!$Q$55/10)-1)+逐级计算!$Q$55*(BC6-逐级计算!$P$55)*LN(10)/10))))))),"")</f>
        <v>-65</v>
      </c>
      <c r="BE6">
        <f>IF(AND(ISNUMBER(BD6),逐级计算!$X$56&gt;-1),IF(逐级计算!$X$56=0,BD6+逐级计算!$C$56,BD6+逐级计算!$C$56-(10/(逐级计算!$Q$56*LN(10))*(MAX((LN(10^(逐级计算!$Q$56/10)-1)+逐级计算!$Q$56*(BD6-逐级计算!$P$56)*LN(10)/10),0)+LN(1+EXP(-ABS((LN(10^(逐级计算!$Q$56/10)-1)+逐级计算!$Q$56*(BD6-逐级计算!$P$56)*LN(10)/10))))))),"")</f>
        <v>-65</v>
      </c>
      <c r="BF6">
        <f>IF(AND(ISNUMBER(BE6),逐级计算!$X$57&gt;-1),IF(逐级计算!$X$57=0,BE6+逐级计算!$C$57,BE6+逐级计算!$C$57-(10/(逐级计算!$Q$57*LN(10))*(MAX((LN(10^(逐级计算!$Q$57/10)-1)+逐级计算!$Q$57*(BE6-逐级计算!$P$57)*LN(10)/10),0)+LN(1+EXP(-ABS((LN(10^(逐级计算!$Q$57/10)-1)+逐级计算!$Q$57*(BE6-逐级计算!$P$57)*LN(10)/10))))))),"")</f>
        <v>-65</v>
      </c>
      <c r="BG6">
        <f>IF(AND(ISNUMBER(BF6),逐级计算!$X$58&gt;-1),IF(逐级计算!$X$58=0,BF6+逐级计算!$C$58,BF6+逐级计算!$C$58-(10/(逐级计算!$Q$58*LN(10))*(MAX((LN(10^(逐级计算!$Q$58/10)-1)+逐级计算!$Q$58*(BF6-逐级计算!$P$58)*LN(10)/10),0)+LN(1+EXP(-ABS((LN(10^(逐级计算!$Q$58/10)-1)+逐级计算!$Q$58*(BF6-逐级计算!$P$58)*LN(10)/10))))))),"")</f>
        <v>-65</v>
      </c>
      <c r="BH6">
        <f>IF(AND(ISNUMBER(BG6),逐级计算!$X$59&gt;-1),IF(逐级计算!$X$59=0,BG6+逐级计算!$C$59,BG6+逐级计算!$C$59-(10/(逐级计算!$Q$59*LN(10))*(MAX((LN(10^(逐级计算!$Q$59/10)-1)+逐级计算!$Q$59*(BG6-逐级计算!$P$59)*LN(10)/10),0)+LN(1+EXP(-ABS((LN(10^(逐级计算!$Q$59/10)-1)+逐级计算!$Q$59*(BG6-逐级计算!$P$59)*LN(10)/10))))))),"")</f>
        <v>-65</v>
      </c>
      <c r="BI6">
        <f>IF(AND(ISNUMBER(BH6),逐级计算!$X$60&gt;-1),IF(逐级计算!$X$60=0,BH6+逐级计算!$C$60,BH6+逐级计算!$C$60-(10/(逐级计算!$Q$60*LN(10))*(MAX((LN(10^(逐级计算!$Q$60/10)-1)+逐级计算!$Q$60*(BH6-逐级计算!$P$60)*LN(10)/10),0)+LN(1+EXP(-ABS((LN(10^(逐级计算!$Q$60/10)-1)+逐级计算!$Q$60*(BH6-逐级计算!$P$60)*LN(10)/10))))))),"")</f>
        <v>-65</v>
      </c>
      <c r="BJ6">
        <f>IF(AND(ISNUMBER(BI6),逐级计算!$X$61&gt;-1),IF(逐级计算!$X$61=0,BI6+逐级计算!$C$61,BI6+逐级计算!$C$61-(10/(逐级计算!$Q$61*LN(10))*(MAX((LN(10^(逐级计算!$Q$61/10)-1)+逐级计算!$Q$61*(BI6-逐级计算!$P$61)*LN(10)/10),0)+LN(1+EXP(-ABS((LN(10^(逐级计算!$Q$61/10)-1)+逐级计算!$Q$61*(BI6-逐级计算!$P$61)*LN(10)/10))))))),"")</f>
        <v>-65</v>
      </c>
      <c r="BK6">
        <f>IF(AND(ISNUMBER(BJ6),逐级计算!$X$62&gt;-1),IF(逐级计算!$X$62=0,BJ6+逐级计算!$C$62,BJ6+逐级计算!$C$62-(10/(逐级计算!$Q$62*LN(10))*(MAX((LN(10^(逐级计算!$Q$62/10)-1)+逐级计算!$Q$62*(BJ6-逐级计算!$P$62)*LN(10)/10),0)+LN(1+EXP(-ABS((LN(10^(逐级计算!$Q$62/10)-1)+逐级计算!$Q$62*(BJ6-逐级计算!$P$62)*LN(10)/10))))))),"")</f>
        <v>-65</v>
      </c>
      <c r="BL6">
        <f>IF(AND(ISNUMBER(BK6),逐级计算!$X$63&gt;-1),IF(逐级计算!$X$63=0,BK6+逐级计算!$C$63,BK6+逐级计算!$C$63-(10/(逐级计算!$Q$63*LN(10))*(MAX((LN(10^(逐级计算!$Q$63/10)-1)+逐级计算!$Q$63*(BK6-逐级计算!$P$63)*LN(10)/10),0)+LN(1+EXP(-ABS((LN(10^(逐级计算!$Q$63/10)-1)+逐级计算!$Q$63*(BK6-逐级计算!$P$63)*LN(10)/10))))))),"")</f>
        <v>-65</v>
      </c>
      <c r="BM6">
        <f>IF(AND(ISNUMBER(BL6),逐级计算!$X$64&gt;-1),IF(逐级计算!$X$64=0,BL6+逐级计算!$C$64,BL6+逐级计算!$C$64-(10/(逐级计算!$Q$64*LN(10))*(MAX((LN(10^(逐级计算!$Q$64/10)-1)+逐级计算!$Q$64*(BL6-逐级计算!$P$64)*LN(10)/10),0)+LN(1+EXP(-ABS((LN(10^(逐级计算!$Q$64/10)-1)+逐级计算!$Q$64*(BL6-逐级计算!$P$64)*LN(10)/10))))))),"")</f>
        <v>-65</v>
      </c>
      <c r="BN6">
        <f>IF(AND(ISNUMBER(BM6),逐级计算!$X$65&gt;-1),IF(逐级计算!$X$65=0,BM6+逐级计算!$C$65,BM6+逐级计算!$C$65-(10/(逐级计算!$Q$65*LN(10))*(MAX((LN(10^(逐级计算!$Q$65/10)-1)+逐级计算!$Q$65*(BM6-逐级计算!$P$65)*LN(10)/10),0)+LN(1+EXP(-ABS((LN(10^(逐级计算!$Q$65/10)-1)+逐级计算!$Q$65*(BM6-逐级计算!$P$65)*LN(10)/10))))))),"")</f>
        <v>-65</v>
      </c>
      <c r="BO6">
        <f>IF(AND(ISNUMBER(BN6),逐级计算!$X$66&gt;-1),IF(逐级计算!$X$66=0,BN6+逐级计算!$C$66,BN6+逐级计算!$C$66-(10/(逐级计算!$Q$66*LN(10))*(MAX((LN(10^(逐级计算!$Q$66/10)-1)+逐级计算!$Q$66*(BN6-逐级计算!$P$66)*LN(10)/10),0)+LN(1+EXP(-ABS((LN(10^(逐级计算!$Q$66/10)-1)+逐级计算!$Q$66*(BN6-逐级计算!$P$66)*LN(10)/10))))))),"")</f>
        <v>-65</v>
      </c>
      <c r="BP6">
        <f>IF(AND(ISNUMBER(BO6),逐级计算!$X$67&gt;-1),IF(逐级计算!$X$67=0,BO6+逐级计算!$C$67,BO6+逐级计算!$C$67-(10/(逐级计算!$Q$67*LN(10))*(MAX((LN(10^(逐级计算!$Q$67/10)-1)+逐级计算!$Q$67*(BO6-逐级计算!$P$67)*LN(10)/10),0)+LN(1+EXP(-ABS((LN(10^(逐级计算!$Q$67/10)-1)+逐级计算!$Q$67*(BO6-逐级计算!$P$67)*LN(10)/10))))))),"")</f>
        <v>-65</v>
      </c>
      <c r="BQ6">
        <f>IF(AND(ISNUMBER(BP6),逐级计算!$X$68&gt;-1),IF(逐级计算!$X$68=0,BP6+逐级计算!$C$68,BP6+逐级计算!$C$68-(10/(逐级计算!$Q$68*LN(10))*(MAX((LN(10^(逐级计算!$Q$68/10)-1)+逐级计算!$Q$68*(BP6-逐级计算!$P$68)*LN(10)/10),0)+LN(1+EXP(-ABS((LN(10^(逐级计算!$Q$68/10)-1)+逐级计算!$Q$68*(BP6-逐级计算!$P$68)*LN(10)/10))))))),"")</f>
        <v>-65</v>
      </c>
      <c r="BR6">
        <f>IF(AND(ISNUMBER(BQ6),逐级计算!$X$69&gt;-1),IF(逐级计算!$X$69=0,BQ6+逐级计算!$C$69,BQ6+逐级计算!$C$69-(10/(逐级计算!$Q$69*LN(10))*(MAX((LN(10^(逐级计算!$Q$69/10)-1)+逐级计算!$Q$69*(BQ6-逐级计算!$P$69)*LN(10)/10),0)+LN(1+EXP(-ABS((LN(10^(逐级计算!$Q$69/10)-1)+逐级计算!$Q$69*(BQ6-逐级计算!$P$69)*LN(10)/10))))))),"")</f>
        <v>-65</v>
      </c>
      <c r="BS6">
        <f>IF(AND(ISNUMBER(BR6),逐级计算!$X$70&gt;-1),IF(逐级计算!$X$70=0,BR6+逐级计算!$C$70,BR6+逐级计算!$C$70-(10/(逐级计算!$Q$70*LN(10))*(MAX((LN(10^(逐级计算!$Q$70/10)-1)+逐级计算!$Q$70*(BR6-逐级计算!$P$70)*LN(10)/10),0)+LN(1+EXP(-ABS((LN(10^(逐级计算!$Q$70/10)-1)+逐级计算!$Q$70*(BR6-逐级计算!$P$70)*LN(10)/10))))))),"")</f>
        <v>-65</v>
      </c>
      <c r="BT6">
        <f>IF(AND(ISNUMBER(BS6),逐级计算!$X$71&gt;-1),IF(逐级计算!$X$71=0,BS6+逐级计算!$C$71,BS6+逐级计算!$C$71-(10/(逐级计算!$Q$71*LN(10))*(MAX((LN(10^(逐级计算!$Q$71/10)-1)+逐级计算!$Q$71*(BS6-逐级计算!$P$71)*LN(10)/10),0)+LN(1+EXP(-ABS((LN(10^(逐级计算!$Q$71/10)-1)+逐级计算!$Q$71*(BS6-逐级计算!$P$71)*LN(10)/10))))))),"")</f>
        <v>-65</v>
      </c>
      <c r="BU6">
        <f>IF(AND(ISNUMBER(BT6),逐级计算!$X$72&gt;-1),IF(逐级计算!$X$72=0,BT6+逐级计算!$C$72,BT6+逐级计算!$C$72-(10/(逐级计算!$Q$72*LN(10))*(MAX((LN(10^(逐级计算!$Q$72/10)-1)+逐级计算!$Q$72*(BT6-逐级计算!$P$72)*LN(10)/10),0)+LN(1+EXP(-ABS((LN(10^(逐级计算!$Q$72/10)-1)+逐级计算!$Q$72*(BT6-逐级计算!$P$72)*LN(10)/10))))))),"")</f>
        <v>-65</v>
      </c>
      <c r="BV6">
        <f>IF(AND(ISNUMBER(BU6),逐级计算!$X$73&gt;-1),IF(逐级计算!$X$73=0,BU6+逐级计算!$C$73,BU6+逐级计算!$C$73-(10/(逐级计算!$Q$73*LN(10))*(MAX((LN(10^(逐级计算!$Q$73/10)-1)+逐级计算!$Q$73*(BU6-逐级计算!$P$73)*LN(10)/10),0)+LN(1+EXP(-ABS((LN(10^(逐级计算!$Q$73/10)-1)+逐级计算!$Q$73*(BU6-逐级计算!$P$73)*LN(10)/10))))))),"")</f>
        <v>-65</v>
      </c>
      <c r="BW6">
        <f>IF(AND(ISNUMBER(BV6),逐级计算!$X$74&gt;-1),IF(逐级计算!$X$74=0,BV6+逐级计算!$C$74,BV6+逐级计算!$C$74-(10/(逐级计算!$Q$74*LN(10))*(MAX((LN(10^(逐级计算!$Q$74/10)-1)+逐级计算!$Q$74*(BV6-逐级计算!$P$74)*LN(10)/10),0)+LN(1+EXP(-ABS((LN(10^(逐级计算!$Q$74/10)-1)+逐级计算!$Q$74*(BV6-逐级计算!$P$74)*LN(10)/10))))))),"")</f>
        <v>-65</v>
      </c>
      <c r="BX6">
        <f>IF(AND(ISNUMBER(BW6),逐级计算!$X$75&gt;-1),IF(逐级计算!$X$75=0,BW6+逐级计算!$C$75,BW6+逐级计算!$C$75-(10/(逐级计算!$Q$75*LN(10))*(MAX((LN(10^(逐级计算!$Q$75/10)-1)+逐级计算!$Q$75*(BW6-逐级计算!$P$75)*LN(10)/10),0)+LN(1+EXP(-ABS((LN(10^(逐级计算!$Q$75/10)-1)+逐级计算!$Q$75*(BW6-逐级计算!$P$75)*LN(10)/10))))))),"")</f>
        <v>-65</v>
      </c>
      <c r="BY6">
        <f>IF(AND(ISNUMBER(BX6),逐级计算!$X$76&gt;-1),IF(逐级计算!$X$76=0,BX6+逐级计算!$C$76,BX6+逐级计算!$C$76-(10/(逐级计算!$Q$76*LN(10))*(MAX((LN(10^(逐级计算!$Q$76/10)-1)+逐级计算!$Q$76*(BX6-逐级计算!$P$76)*LN(10)/10),0)+LN(1+EXP(-ABS((LN(10^(逐级计算!$Q$76/10)-1)+逐级计算!$Q$76*(BX6-逐级计算!$P$76)*LN(10)/10))))))),"")</f>
        <v>-65</v>
      </c>
      <c r="BZ6">
        <f>IF(AND(ISNUMBER(BY6),逐级计算!$X$77&gt;-1),IF(逐级计算!$X$77=0,BY6+逐级计算!$C$77,BY6+逐级计算!$C$77-(10/(逐级计算!$Q$77*LN(10))*(MAX((LN(10^(逐级计算!$Q$77/10)-1)+逐级计算!$Q$77*(BY6-逐级计算!$P$77)*LN(10)/10),0)+LN(1+EXP(-ABS((LN(10^(逐级计算!$Q$77/10)-1)+逐级计算!$Q$77*(BY6-逐级计算!$P$77)*LN(10)/10))))))),"")</f>
        <v>-65</v>
      </c>
      <c r="CA6">
        <f>IF(AND(ISNUMBER(BZ6),逐级计算!$X$78&gt;-1),IF(逐级计算!$X$78=0,BZ6+逐级计算!$C$78,BZ6+逐级计算!$C$78-(10/(逐级计算!$Q$78*LN(10))*(MAX((LN(10^(逐级计算!$Q$78/10)-1)+逐级计算!$Q$78*(BZ6-逐级计算!$P$78)*LN(10)/10),0)+LN(1+EXP(-ABS((LN(10^(逐级计算!$Q$78/10)-1)+逐级计算!$Q$78*(BZ6-逐级计算!$P$78)*LN(10)/10))))))),"")</f>
        <v>-65</v>
      </c>
      <c r="CB6">
        <f>IF(AND(ISNUMBER(CA6),逐级计算!$X$79&gt;-1),IF(逐级计算!$X$79=0,CA6+逐级计算!$C$79,CA6+逐级计算!$C$79-(10/(逐级计算!$Q$79*LN(10))*(MAX((LN(10^(逐级计算!$Q$79/10)-1)+逐级计算!$Q$79*(CA6-逐级计算!$P$79)*LN(10)/10),0)+LN(1+EXP(-ABS((LN(10^(逐级计算!$Q$79/10)-1)+逐级计算!$Q$79*(CA6-逐级计算!$P$79)*LN(10)/10))))))),"")</f>
        <v>-65</v>
      </c>
      <c r="CC6">
        <f>IF(AND(ISNUMBER(CB6),逐级计算!$X$80&gt;-1),IF(逐级计算!$X$80=0,CB6+逐级计算!$C$80,CB6+逐级计算!$C$80-(10/(逐级计算!$Q$80*LN(10))*(MAX((LN(10^(逐级计算!$Q$80/10)-1)+逐级计算!$Q$80*(CB6-逐级计算!$P$80)*LN(10)/10),0)+LN(1+EXP(-ABS((LN(10^(逐级计算!$Q$80/10)-1)+逐级计算!$Q$80*(CB6-逐级计算!$P$80)*LN(10)/10))))))),"")</f>
        <v>-65</v>
      </c>
      <c r="CD6">
        <f>IF(AND(ISNUMBER(CC6),逐级计算!$X$81&gt;-1),IF(逐级计算!$X$81=0,CC6+逐级计算!$C$81,CC6+逐级计算!$C$81-(10/(逐级计算!$Q$81*LN(10))*(MAX((LN(10^(逐级计算!$Q$81/10)-1)+逐级计算!$Q$81*(CC6-逐级计算!$P$81)*LN(10)/10),0)+LN(1+EXP(-ABS((LN(10^(逐级计算!$Q$81/10)-1)+逐级计算!$Q$81*(CC6-逐级计算!$P$81)*LN(10)/10))))))),"")</f>
        <v>-65</v>
      </c>
      <c r="CE6">
        <f>IF(AND(ISNUMBER(CD6),逐级计算!$X$82&gt;-1),IF(逐级计算!$X$82=0,CD6+逐级计算!$C$82,CD6+逐级计算!$C$82-(10/(逐级计算!$Q$82*LN(10))*(MAX((LN(10^(逐级计算!$Q$82/10)-1)+逐级计算!$Q$82*(CD6-逐级计算!$P$82)*LN(10)/10),0)+LN(1+EXP(-ABS((LN(10^(逐级计算!$Q$82/10)-1)+逐级计算!$Q$82*(CD6-逐级计算!$P$82)*LN(10)/10))))))),"")</f>
        <v>-65</v>
      </c>
      <c r="CF6">
        <f>IF(AND(ISNUMBER(CE6),逐级计算!$X$83&gt;-1),IF(逐级计算!$X$83=0,CE6+逐级计算!$C$83,CE6+逐级计算!$C$83-(10/(逐级计算!$Q$83*LN(10))*(MAX((LN(10^(逐级计算!$Q$83/10)-1)+逐级计算!$Q$83*(CE6-逐级计算!$P$83)*LN(10)/10),0)+LN(1+EXP(-ABS((LN(10^(逐级计算!$Q$83/10)-1)+逐级计算!$Q$83*(CE6-逐级计算!$P$83)*LN(10)/10))))))),"")</f>
        <v>-65</v>
      </c>
      <c r="CG6">
        <f>IF(AND(ISNUMBER(CF6),逐级计算!$X$84&gt;-1),IF(逐级计算!$X$84=0,CF6+逐级计算!$C$84,CF6+逐级计算!$C$84-(10/(逐级计算!$Q$84*LN(10))*(MAX((LN(10^(逐级计算!$Q$84/10)-1)+逐级计算!$Q$84*(CF6-逐级计算!$P$84)*LN(10)/10),0)+LN(1+EXP(-ABS((LN(10^(逐级计算!$Q$84/10)-1)+逐级计算!$Q$84*(CF6-逐级计算!$P$84)*LN(10)/10))))))),"")</f>
        <v>-65</v>
      </c>
      <c r="CH6">
        <f>IF(AND(ISNUMBER(CG6),逐级计算!$X$85&gt;-1),IF(逐级计算!$X$85=0,CG6+逐级计算!$C$85,CG6+逐级计算!$C$85-(10/(逐级计算!$Q$85*LN(10))*(MAX((LN(10^(逐级计算!$Q$85/10)-1)+逐级计算!$Q$85*(CG6-逐级计算!$P$85)*LN(10)/10),0)+LN(1+EXP(-ABS((LN(10^(逐级计算!$Q$85/10)-1)+逐级计算!$Q$85*(CG6-逐级计算!$P$85)*LN(10)/10))))))),"")</f>
        <v>-65</v>
      </c>
      <c r="CI6">
        <f>IF(AND(ISNUMBER(CH6),逐级计算!$X$86&gt;-1),IF(逐级计算!$X$86=0,CH6+逐级计算!$C$86,CH6+逐级计算!$C$86-(10/(逐级计算!$Q$86*LN(10))*(MAX((LN(10^(逐级计算!$Q$86/10)-1)+逐级计算!$Q$86*(CH6-逐级计算!$P$86)*LN(10)/10),0)+LN(1+EXP(-ABS((LN(10^(逐级计算!$Q$86/10)-1)+逐级计算!$Q$86*(CH6-逐级计算!$P$86)*LN(10)/10))))))),"")</f>
        <v>-65</v>
      </c>
      <c r="CJ6">
        <f>IF(AND(ISNUMBER(CI6),逐级计算!$X$87&gt;-1),IF(逐级计算!$X$87=0,CI6+逐级计算!$C$87,CI6+逐级计算!$C$87-(10/(逐级计算!$Q$87*LN(10))*(MAX((LN(10^(逐级计算!$Q$87/10)-1)+逐级计算!$Q$87*(CI6-逐级计算!$P$87)*LN(10)/10),0)+LN(1+EXP(-ABS((LN(10^(逐级计算!$Q$87/10)-1)+逐级计算!$Q$87*(CI6-逐级计算!$P$87)*LN(10)/10))))))),"")</f>
        <v>-65</v>
      </c>
      <c r="CK6">
        <f>IF(AND(ISNUMBER(CJ6),逐级计算!$X$88&gt;-1),IF(逐级计算!$X$88=0,CJ6+逐级计算!$C$88,CJ6+逐级计算!$C$88-(10/(逐级计算!$Q$88*LN(10))*(MAX((LN(10^(逐级计算!$Q$88/10)-1)+逐级计算!$Q$88*(CJ6-逐级计算!$P$88)*LN(10)/10),0)+LN(1+EXP(-ABS((LN(10^(逐级计算!$Q$88/10)-1)+逐级计算!$Q$88*(CJ6-逐级计算!$P$88)*LN(10)/10))))))),"")</f>
        <v>-65</v>
      </c>
      <c r="CL6">
        <f>IF(AND(ISNUMBER(CK6),逐级计算!$X$89&gt;-1),IF(逐级计算!$X$89=0,CK6+逐级计算!$C$89,CK6+逐级计算!$C$89-(10/(逐级计算!$Q$89*LN(10))*(MAX((LN(10^(逐级计算!$Q$89/10)-1)+逐级计算!$Q$89*(CK6-逐级计算!$P$89)*LN(10)/10),0)+LN(1+EXP(-ABS((LN(10^(逐级计算!$Q$89/10)-1)+逐级计算!$Q$89*(CK6-逐级计算!$P$89)*LN(10)/10))))))),"")</f>
        <v>-65</v>
      </c>
      <c r="CM6">
        <f>IF(AND(ISNUMBER(CL6),逐级计算!$X$90&gt;-1),IF(逐级计算!$X$90=0,CL6+逐级计算!$C$90,CL6+逐级计算!$C$90-(10/(逐级计算!$Q$90*LN(10))*(MAX((LN(10^(逐级计算!$Q$90/10)-1)+逐级计算!$Q$90*(CL6-逐级计算!$P$90)*LN(10)/10),0)+LN(1+EXP(-ABS((LN(10^(逐级计算!$Q$90/10)-1)+逐级计算!$Q$90*(CL6-逐级计算!$P$90)*LN(10)/10))))))),"")</f>
        <v>-65</v>
      </c>
      <c r="CN6">
        <f>IF(AND(ISNUMBER(CM6),逐级计算!$X$91&gt;-1),IF(逐级计算!$X$91=0,CM6+逐级计算!$C$91,CM6+逐级计算!$C$91-(10/(逐级计算!$Q$91*LN(10))*(MAX((LN(10^(逐级计算!$Q$91/10)-1)+逐级计算!$Q$91*(CM6-逐级计算!$P$91)*LN(10)/10),0)+LN(1+EXP(-ABS((LN(10^(逐级计算!$Q$91/10)-1)+逐级计算!$Q$91*(CM6-逐级计算!$P$91)*LN(10)/10))))))),"")</f>
        <v>-65</v>
      </c>
      <c r="CO6">
        <f>IF(AND(ISNUMBER(CN6),逐级计算!$X$92&gt;-1),IF(逐级计算!$X$92=0,CN6+逐级计算!$C$92,CN6+逐级计算!$C$92-(10/(逐级计算!$Q$92*LN(10))*(MAX((LN(10^(逐级计算!$Q$92/10)-1)+逐级计算!$Q$92*(CN6-逐级计算!$P$92)*LN(10)/10),0)+LN(1+EXP(-ABS((LN(10^(逐级计算!$Q$92/10)-1)+逐级计算!$Q$92*(CN6-逐级计算!$P$92)*LN(10)/10))))))),"")</f>
        <v>-65</v>
      </c>
      <c r="CP6">
        <f>IF(AND(ISNUMBER(CO6),逐级计算!$X$93&gt;-1),IF(逐级计算!$X$93=0,CO6+逐级计算!$C$93,CO6+逐级计算!$C$93-(10/(逐级计算!$Q$93*LN(10))*(MAX((LN(10^(逐级计算!$Q$93/10)-1)+逐级计算!$Q$93*(CO6-逐级计算!$P$93)*LN(10)/10),0)+LN(1+EXP(-ABS((LN(10^(逐级计算!$Q$93/10)-1)+逐级计算!$Q$93*(CO6-逐级计算!$P$93)*LN(10)/10))))))),"")</f>
        <v>-65</v>
      </c>
      <c r="CQ6">
        <f>IF(AND(ISNUMBER(CP6),逐级计算!$X$94&gt;-1),IF(逐级计算!$X$94=0,CP6+逐级计算!$C$94,CP6+逐级计算!$C$94-(10/(逐级计算!$Q$94*LN(10))*(MAX((LN(10^(逐级计算!$Q$94/10)-1)+逐级计算!$Q$94*(CP6-逐级计算!$P$94)*LN(10)/10),0)+LN(1+EXP(-ABS((LN(10^(逐级计算!$Q$94/10)-1)+逐级计算!$Q$94*(CP6-逐级计算!$P$94)*LN(10)/10))))))),"")</f>
        <v>-65</v>
      </c>
      <c r="CR6">
        <f>IF(AND(ISNUMBER(CQ6),逐级计算!$X$95&gt;-1),IF(逐级计算!$X$95=0,CQ6+逐级计算!$C$95,CQ6+逐级计算!$C$95-(10/(逐级计算!$Q$95*LN(10))*(MAX((LN(10^(逐级计算!$Q$95/10)-1)+逐级计算!$Q$95*(CQ6-逐级计算!$P$95)*LN(10)/10),0)+LN(1+EXP(-ABS((LN(10^(逐级计算!$Q$95/10)-1)+逐级计算!$Q$95*(CQ6-逐级计算!$P$95)*LN(10)/10))))))),"")</f>
        <v>-65</v>
      </c>
      <c r="CS6">
        <f>IF(AND(ISNUMBER(CR6),逐级计算!$X$96&gt;-1),IF(逐级计算!$X$96=0,CR6+逐级计算!$C$96,CR6+逐级计算!$C$96-(10/(逐级计算!$Q$96*LN(10))*(MAX((LN(10^(逐级计算!$Q$96/10)-1)+逐级计算!$Q$96*(CR6-逐级计算!$P$96)*LN(10)/10),0)+LN(1+EXP(-ABS((LN(10^(逐级计算!$Q$96/10)-1)+逐级计算!$Q$96*(CR6-逐级计算!$P$96)*LN(10)/10))))))),"")</f>
        <v>-65</v>
      </c>
      <c r="CT6">
        <f>IF(AND(ISNUMBER(CS6),逐级计算!$X$97&gt;-1),IF(逐级计算!$X$97=0,CS6+逐级计算!$C$97,CS6+逐级计算!$C$97-(10/(逐级计算!$Q$97*LN(10))*(MAX((LN(10^(逐级计算!$Q$97/10)-1)+逐级计算!$Q$97*(CS6-逐级计算!$P$97)*LN(10)/10),0)+LN(1+EXP(-ABS((LN(10^(逐级计算!$Q$97/10)-1)+逐级计算!$Q$97*(CS6-逐级计算!$P$97)*LN(10)/10))))))),"")</f>
        <v>-65</v>
      </c>
      <c r="CU6">
        <f>IF(AND(ISNUMBER(CT6),逐级计算!$X$98&gt;-1),IF(逐级计算!$X$98=0,CT6+逐级计算!$C$98,CT6+逐级计算!$C$98-(10/(逐级计算!$Q$98*LN(10))*(MAX((LN(10^(逐级计算!$Q$98/10)-1)+逐级计算!$Q$98*(CT6-逐级计算!$P$98)*LN(10)/10),0)+LN(1+EXP(-ABS((LN(10^(逐级计算!$Q$98/10)-1)+逐级计算!$Q$98*(CT6-逐级计算!$P$98)*LN(10)/10))))))),"")</f>
        <v>-65</v>
      </c>
      <c r="CV6">
        <f>IF(AND(ISNUMBER(CU6),逐级计算!$X$99&gt;-1),IF(逐级计算!$X$99=0,CU6+逐级计算!$C$99,CU6+逐级计算!$C$99-(10/(逐级计算!$Q$99*LN(10))*(MAX((LN(10^(逐级计算!$Q$99/10)-1)+逐级计算!$Q$99*(CU6-逐级计算!$P$99)*LN(10)/10),0)+LN(1+EXP(-ABS((LN(10^(逐级计算!$Q$99/10)-1)+逐级计算!$Q$99*(CU6-逐级计算!$P$99)*LN(10)/10))))))),"")</f>
        <v>-65</v>
      </c>
      <c r="CW6">
        <f>IF(AND(ISNUMBER(CV6),逐级计算!$X$100&gt;-1),IF(逐级计算!$X$100=0,CV6+逐级计算!$C$100,CV6+逐级计算!$C$100-(10/(逐级计算!$Q$100*LN(10))*(MAX((LN(10^(逐级计算!$Q$100/10)-1)+逐级计算!$Q$100*(CV6-逐级计算!$P$100)*LN(10)/10),0)+LN(1+EXP(-ABS((LN(10^(逐级计算!$Q$100/10)-1)+逐级计算!$Q$100*(CV6-逐级计算!$P$100)*LN(10)/10))))))),"")</f>
        <v>-65</v>
      </c>
      <c r="CX6">
        <f>IF(AND(ISNUMBER(CW6),逐级计算!$X$101&gt;-1),IF(逐级计算!$X$101=0,CW6+逐级计算!$C$101,CW6+逐级计算!$C$101-(10/(逐级计算!$Q$101*LN(10))*(MAX((LN(10^(逐级计算!$Q$101/10)-1)+逐级计算!$Q$101*(CW6-逐级计算!$P$101)*LN(10)/10),0)+LN(1+EXP(-ABS((LN(10^(逐级计算!$Q$101/10)-1)+逐级计算!$Q$101*(CW6-逐级计算!$P$101)*LN(10)/10))))))),"")</f>
        <v>-65</v>
      </c>
      <c r="CY6">
        <f>IF(AND(ISNUMBER(CX6),逐级计算!$X$102&gt;-1),IF(逐级计算!$X$102=0,CX6+逐级计算!$C$102,CX6+逐级计算!$C$102-(10/(逐级计算!$Q$102*LN(10))*(MAX((LN(10^(逐级计算!$Q$102/10)-1)+逐级计算!$Q$102*(CX6-逐级计算!$P$102)*LN(10)/10),0)+LN(1+EXP(-ABS((LN(10^(逐级计算!$Q$102/10)-1)+逐级计算!$Q$102*(CX6-逐级计算!$P$102)*LN(10)/10))))))),"")</f>
        <v>-65</v>
      </c>
      <c r="CZ6">
        <f>IF(AND(ISNUMBER(CY6),逐级计算!$X$103&gt;-1),IF(逐级计算!$X$103=0,CY6+逐级计算!$C$103,CY6+逐级计算!$C$103-(10/(逐级计算!$Q$103*LN(10))*(MAX((LN(10^(逐级计算!$Q$103/10)-1)+逐级计算!$Q$103*(CY6-逐级计算!$P$103)*LN(10)/10),0)+LN(1+EXP(-ABS((LN(10^(逐级计算!$Q$103/10)-1)+逐级计算!$Q$103*(CY6-逐级计算!$P$103)*LN(10)/10))))))),"")</f>
        <v>-65</v>
      </c>
      <c r="DA6">
        <f>IF(AND(ISNUMBER(CZ6),逐级计算!$X$104&gt;-1),IF(逐级计算!$X$104=0,CZ6+逐级计算!$C$104,CZ6+逐级计算!$C$104-(10/(逐级计算!$Q$104*LN(10))*(MAX((LN(10^(逐级计算!$Q$104/10)-1)+逐级计算!$Q$104*(CZ6-逐级计算!$P$104)*LN(10)/10),0)+LN(1+EXP(-ABS((LN(10^(逐级计算!$Q$104/10)-1)+逐级计算!$Q$104*(CZ6-逐级计算!$P$104)*LN(10)/10))))))),"")</f>
        <v>-65</v>
      </c>
      <c r="DB6">
        <f>IF(AND(ISNUMBER(DA6),逐级计算!$X$105&gt;-1),IF(逐级计算!$X$105=0,DA6+逐级计算!$C$105,DA6+逐级计算!$C$105-(10/(逐级计算!$Q$105*LN(10))*(MAX((LN(10^(逐级计算!$Q$105/10)-1)+逐级计算!$Q$105*(DA6-逐级计算!$P$105)*LN(10)/10),0)+LN(1+EXP(-ABS((LN(10^(逐级计算!$Q$105/10)-1)+逐级计算!$Q$105*(DA6-逐级计算!$P$105)*LN(10)/10))))))),"")</f>
        <v>-65</v>
      </c>
      <c r="DC6">
        <f>IF(AND(ISNUMBER(DB6),逐级计算!$X$106&gt;-1),IF(逐级计算!$X$106=0,DB6+逐级计算!$C$106,DB6+逐级计算!$C$106-(10/(逐级计算!$Q$106*LN(10))*(MAX((LN(10^(逐级计算!$Q$106/10)-1)+逐级计算!$Q$106*(DB6-逐级计算!$P$106)*LN(10)/10),0)+LN(1+EXP(-ABS((LN(10^(逐级计算!$Q$106/10)-1)+逐级计算!$Q$106*(DB6-逐级计算!$P$106)*LN(10)/10))))))),"")</f>
        <v>-65</v>
      </c>
      <c r="DD6">
        <f>IF(AND(ISNUMBER(DC6),逐级计算!$X$107&gt;-1),IF(逐级计算!$X$107=0,DC6+逐级计算!$C$107,DC6+逐级计算!$C$107-(10/(逐级计算!$Q$107*LN(10))*(MAX((LN(10^(逐级计算!$Q$107/10)-1)+逐级计算!$Q$107*(DC6-逐级计算!$P$107)*LN(10)/10),0)+LN(1+EXP(-ABS((LN(10^(逐级计算!$Q$107/10)-1)+逐级计算!$Q$107*(DC6-逐级计算!$P$107)*LN(10)/10))))))),"")</f>
        <v>-65</v>
      </c>
      <c r="DE6">
        <f>IF(AND(ISNUMBER(DD6),逐级计算!$X$108&gt;-1),IF(逐级计算!$X$108=0,DD6+逐级计算!$C$108,DD6+逐级计算!$C$108-(10/(逐级计算!$Q$108*LN(10))*(MAX((LN(10^(逐级计算!$Q$108/10)-1)+逐级计算!$Q$108*(DD6-逐级计算!$P$108)*LN(10)/10),0)+LN(1+EXP(-ABS((LN(10^(逐级计算!$Q$108/10)-1)+逐级计算!$Q$108*(DD6-逐级计算!$P$108)*LN(10)/10))))))),"")</f>
        <v>-65</v>
      </c>
      <c r="DF6">
        <f>IF(AND(ISNUMBER(DE6),逐级计算!$X$109&gt;-1),IF(逐级计算!$X$109=0,DE6+逐级计算!$C$109,DE6+逐级计算!$C$109-(10/(逐级计算!$Q$109*LN(10))*(MAX((LN(10^(逐级计算!$Q$109/10)-1)+逐级计算!$Q$109*(DE6-逐级计算!$P$109)*LN(10)/10),0)+LN(1+EXP(-ABS((LN(10^(逐级计算!$Q$109/10)-1)+逐级计算!$Q$109*(DE6-逐级计算!$P$109)*LN(10)/10))))))),"")</f>
        <v>-65</v>
      </c>
      <c r="DG6">
        <f>IF(AND(ISNUMBER(DF6),逐级计算!$X$110&gt;-1),IF(逐级计算!$X$110=0,DF6+逐级计算!$C$110,DF6+逐级计算!$C$110-(10/(逐级计算!$Q$110*LN(10))*(MAX((LN(10^(逐级计算!$Q$110/10)-1)+逐级计算!$Q$110*(DF6-逐级计算!$P$110)*LN(10)/10),0)+LN(1+EXP(-ABS((LN(10^(逐级计算!$Q$110/10)-1)+逐级计算!$Q$110*(DF6-逐级计算!$P$110)*LN(10)/10))))))),"")</f>
        <v>-65</v>
      </c>
      <c r="DH6">
        <f>IF(AND(ISNUMBER(DG6),逐级计算!$X$111&gt;-1),IF(逐级计算!$X$111=0,DG6+逐级计算!$C$111,DG6+逐级计算!$C$111-(10/(逐级计算!$Q$111*LN(10))*(MAX((LN(10^(逐级计算!$Q$111/10)-1)+逐级计算!$Q$111*(DG6-逐级计算!$P$111)*LN(10)/10),0)+LN(1+EXP(-ABS((LN(10^(逐级计算!$Q$111/10)-1)+逐级计算!$Q$111*(DG6-逐级计算!$P$111)*LN(10)/10))))))),"")</f>
        <v>-65</v>
      </c>
      <c r="DI6">
        <f>IF(AND(ISNUMBER(DH6),逐级计算!$X$112&gt;-1),IF(逐级计算!$X$112=0,DH6+逐级计算!$C$112,DH6+逐级计算!$C$112-(10/(逐级计算!$Q$112*LN(10))*(MAX((LN(10^(逐级计算!$Q$112/10)-1)+逐级计算!$Q$112*(DH6-逐级计算!$P$112)*LN(10)/10),0)+LN(1+EXP(-ABS((LN(10^(逐级计算!$Q$112/10)-1)+逐级计算!$Q$112*(DH6-逐级计算!$P$112)*LN(10)/10))))))),"")</f>
        <v>-65</v>
      </c>
      <c r="DJ6">
        <f>IF(AND(ISNUMBER(DI6),逐级计算!$X$113&gt;-1),IF(逐级计算!$X$113=0,DI6+逐级计算!$C$113,DI6+逐级计算!$C$113-(10/(逐级计算!$Q$113*LN(10))*(MAX((LN(10^(逐级计算!$Q$113/10)-1)+逐级计算!$Q$113*(DI6-逐级计算!$P$113)*LN(10)/10),0)+LN(1+EXP(-ABS((LN(10^(逐级计算!$Q$113/10)-1)+逐级计算!$Q$113*(DI6-逐级计算!$P$113)*LN(10)/10))))))),"")</f>
        <v>-65</v>
      </c>
      <c r="DK6">
        <f>IF(AND(ISNUMBER(DJ6),逐级计算!$X$114&gt;-1),IF(逐级计算!$X$114=0,DJ6+逐级计算!$C$114,DJ6+逐级计算!$C$114-(10/(逐级计算!$Q$114*LN(10))*(MAX((LN(10^(逐级计算!$Q$114/10)-1)+逐级计算!$Q$114*(DJ6-逐级计算!$P$114)*LN(10)/10),0)+LN(1+EXP(-ABS((LN(10^(逐级计算!$Q$114/10)-1)+逐级计算!$Q$114*(DJ6-逐级计算!$P$114)*LN(10)/10))))))),"")</f>
        <v>-65</v>
      </c>
      <c r="DL6">
        <f>IF(AND(ISNUMBER(DK6),逐级计算!$X$115&gt;-1),IF(逐级计算!$X$115=0,DK6+逐级计算!$C$115,DK6+逐级计算!$C$115-(10/(逐级计算!$Q$115*LN(10))*(MAX((LN(10^(逐级计算!$Q$115/10)-1)+逐级计算!$Q$115*(DK6-逐级计算!$P$115)*LN(10)/10),0)+LN(1+EXP(-ABS((LN(10^(逐级计算!$Q$115/10)-1)+逐级计算!$Q$115*(DK6-逐级计算!$P$115)*LN(10)/10))))))),"")</f>
        <v>-65</v>
      </c>
      <c r="DM6">
        <f>IF(AND(ISNUMBER(DL6),逐级计算!$X$116&gt;-1),IF(逐级计算!$X$116=0,DL6+逐级计算!$C$116,DL6+逐级计算!$C$116-(10/(逐级计算!$Q$116*LN(10))*(MAX((LN(10^(逐级计算!$Q$116/10)-1)+逐级计算!$Q$116*(DL6-逐级计算!$P$116)*LN(10)/10),0)+LN(1+EXP(-ABS((LN(10^(逐级计算!$Q$116/10)-1)+逐级计算!$Q$116*(DL6-逐级计算!$P$116)*LN(10)/10))))))),"")</f>
        <v>-65</v>
      </c>
      <c r="DN6">
        <f>IF(AND(ISNUMBER(DM6),逐级计算!$X$117&gt;-1),IF(逐级计算!$X$117=0,DM6+逐级计算!$C$117,DM6+逐级计算!$C$117-(10/(逐级计算!$Q$117*LN(10))*(MAX((LN(10^(逐级计算!$Q$117/10)-1)+逐级计算!$Q$117*(DM6-逐级计算!$P$117)*LN(10)/10),0)+LN(1+EXP(-ABS((LN(10^(逐级计算!$Q$117/10)-1)+逐级计算!$Q$117*(DM6-逐级计算!$P$117)*LN(10)/10))))))),"")</f>
        <v>-65</v>
      </c>
      <c r="DO6">
        <f>IF(AND(ISNUMBER(DN6),逐级计算!$X$118&gt;-1),IF(逐级计算!$X$118=0,DN6+逐级计算!$C$118,DN6+逐级计算!$C$118-(10/(逐级计算!$Q$118*LN(10))*(MAX((LN(10^(逐级计算!$Q$118/10)-1)+逐级计算!$Q$118*(DN6-逐级计算!$P$118)*LN(10)/10),0)+LN(1+EXP(-ABS((LN(10^(逐级计算!$Q$118/10)-1)+逐级计算!$Q$118*(DN6-逐级计算!$P$118)*LN(10)/10))))))),"")</f>
        <v>-65</v>
      </c>
      <c r="DP6">
        <f>IF(AND(ISNUMBER(DO6),逐级计算!$X$119&gt;-1),IF(逐级计算!$X$119=0,DO6+逐级计算!$C$119,DO6+逐级计算!$C$119-(10/(逐级计算!$Q$119*LN(10))*(MAX((LN(10^(逐级计算!$Q$119/10)-1)+逐级计算!$Q$119*(DO6-逐级计算!$P$119)*LN(10)/10),0)+LN(1+EXP(-ABS((LN(10^(逐级计算!$Q$119/10)-1)+逐级计算!$Q$119*(DO6-逐级计算!$P$119)*LN(10)/10))))))),"")</f>
        <v>-65</v>
      </c>
      <c r="DQ6">
        <f>IF(AND(ISNUMBER(DP6),逐级计算!$X$120&gt;-1),IF(逐级计算!$X$120=0,DP6+逐级计算!$C$120,DP6+逐级计算!$C$120-(10/(逐级计算!$Q$120*LN(10))*(MAX((LN(10^(逐级计算!$Q$120/10)-1)+逐级计算!$Q$120*(DP6-逐级计算!$P$120)*LN(10)/10),0)+LN(1+EXP(-ABS((LN(10^(逐级计算!$Q$120/10)-1)+逐级计算!$Q$120*(DP6-逐级计算!$P$120)*LN(10)/10))))))),"")</f>
        <v>-65</v>
      </c>
      <c r="DR6">
        <f>IF(AND(ISNUMBER(DQ6),逐级计算!$X$121&gt;-1),IF(逐级计算!$X$121=0,DQ6+逐级计算!$C$121,DQ6+逐级计算!$C$121-(10/(逐级计算!$Q$121*LN(10))*(MAX((LN(10^(逐级计算!$Q$121/10)-1)+逐级计算!$Q$121*(DQ6-逐级计算!$P$121)*LN(10)/10),0)+LN(1+EXP(-ABS((LN(10^(逐级计算!$Q$121/10)-1)+逐级计算!$Q$121*(DQ6-逐级计算!$P$121)*LN(10)/10))))))),"")</f>
        <v>-65</v>
      </c>
      <c r="DS6">
        <f>IF(AND(ISNUMBER(DR6),逐级计算!$X$122&gt;-1),IF(逐级计算!$X$122=0,DR6+逐级计算!$C$122,DR6+逐级计算!$C$122-(10/(逐级计算!$Q$122*LN(10))*(MAX((LN(10^(逐级计算!$Q$122/10)-1)+逐级计算!$Q$122*(DR6-逐级计算!$P$122)*LN(10)/10),0)+LN(1+EXP(-ABS((LN(10^(逐级计算!$Q$122/10)-1)+逐级计算!$Q$122*(DR6-逐级计算!$P$122)*LN(10)/10))))))),"")</f>
        <v>-65</v>
      </c>
      <c r="DT6">
        <f>IF(AND(ISNUMBER(DS6),逐级计算!$X$123&gt;-1),IF(逐级计算!$X$123=0,DS6+逐级计算!$C$123,DS6+逐级计算!$C$123-(10/(逐级计算!$Q$123*LN(10))*(MAX((LN(10^(逐级计算!$Q$123/10)-1)+逐级计算!$Q$123*(DS6-逐级计算!$P$123)*LN(10)/10),0)+LN(1+EXP(-ABS((LN(10^(逐级计算!$Q$123/10)-1)+逐级计算!$Q$123*(DS6-逐级计算!$P$123)*LN(10)/10))))))),"")</f>
        <v>-65</v>
      </c>
      <c r="DU6">
        <f>IF(AND(ISNUMBER(DT6),逐级计算!$X$124&gt;-1),IF(逐级计算!$X$124=0,DT6+逐级计算!$C$124,DT6+逐级计算!$C$124-(10/(逐级计算!$Q$124*LN(10))*(MAX((LN(10^(逐级计算!$Q$124/10)-1)+逐级计算!$Q$124*(DT6-逐级计算!$P$124)*LN(10)/10),0)+LN(1+EXP(-ABS((LN(10^(逐级计算!$Q$124/10)-1)+逐级计算!$Q$124*(DT6-逐级计算!$P$124)*LN(10)/10))))))),"")</f>
        <v>-65</v>
      </c>
      <c r="DV6">
        <f>IF(AND(ISNUMBER(DU6),逐级计算!$X$125&gt;-1),IF(逐级计算!$X$125=0,DU6+逐级计算!$C$125,DU6+逐级计算!$C$125-(10/(逐级计算!$Q$125*LN(10))*(MAX((LN(10^(逐级计算!$Q$125/10)-1)+逐级计算!$Q$125*(DU6-逐级计算!$P$125)*LN(10)/10),0)+LN(1+EXP(-ABS((LN(10^(逐级计算!$Q$125/10)-1)+逐级计算!$Q$125*(DU6-逐级计算!$P$125)*LN(10)/10))))))),"")</f>
        <v>-65</v>
      </c>
      <c r="DW6">
        <f>IF(AND(ISNUMBER(DV6),逐级计算!$X$126&gt;-1),IF(逐级计算!$X$126=0,DV6+逐级计算!$C$126,DV6+逐级计算!$C$126-(10/(逐级计算!$Q$126*LN(10))*(MAX((LN(10^(逐级计算!$Q$126/10)-1)+逐级计算!$Q$126*(DV6-逐级计算!$P$126)*LN(10)/10),0)+LN(1+EXP(-ABS((LN(10^(逐级计算!$Q$126/10)-1)+逐级计算!$Q$126*(DV6-逐级计算!$P$126)*LN(10)/10))))))),"")</f>
        <v>-65</v>
      </c>
      <c r="DX6">
        <f>IF(AND(ISNUMBER(DW6),逐级计算!$X$127&gt;-1),IF(逐级计算!$X$127=0,DW6+逐级计算!$C$127,DW6+逐级计算!$C$127-(10/(逐级计算!$Q$127*LN(10))*(MAX((LN(10^(逐级计算!$Q$127/10)-1)+逐级计算!$Q$127*(DW6-逐级计算!$P$127)*LN(10)/10),0)+LN(1+EXP(-ABS((LN(10^(逐级计算!$Q$127/10)-1)+逐级计算!$Q$127*(DW6-逐级计算!$P$127)*LN(10)/10))))))),"")</f>
        <v>-65</v>
      </c>
      <c r="DY6">
        <f>IF(AND(ISNUMBER(DX6),逐级计算!$X$128&gt;-1),IF(逐级计算!$X$128=0,DX6+逐级计算!$C$128,DX6+逐级计算!$C$128-(10/(逐级计算!$Q$128*LN(10))*(MAX((LN(10^(逐级计算!$Q$128/10)-1)+逐级计算!$Q$128*(DX6-逐级计算!$P$128)*LN(10)/10),0)+LN(1+EXP(-ABS((LN(10^(逐级计算!$Q$128/10)-1)+逐级计算!$Q$128*(DX6-逐级计算!$P$128)*LN(10)/10))))))),"")</f>
        <v>-65</v>
      </c>
      <c r="DZ6">
        <f>IF(AND(ISNUMBER(DY6),逐级计算!$X$129&gt;-1),IF(逐级计算!$X$129=0,DY6+逐级计算!$C$129,DY6+逐级计算!$C$129-(10/(逐级计算!$Q$129*LN(10))*(MAX((LN(10^(逐级计算!$Q$129/10)-1)+逐级计算!$Q$129*(DY6-逐级计算!$P$129)*LN(10)/10),0)+LN(1+EXP(-ABS((LN(10^(逐级计算!$Q$129/10)-1)+逐级计算!$Q$129*(DY6-逐级计算!$P$129)*LN(10)/10))))))),"")</f>
        <v>-65</v>
      </c>
      <c r="EA6">
        <f>IF(AND(ISNUMBER(DZ6),逐级计算!$X$130&gt;-1),IF(逐级计算!$X$130=0,DZ6+逐级计算!$C$130,DZ6+逐级计算!$C$130-(10/(逐级计算!$Q$130*LN(10))*(MAX((LN(10^(逐级计算!$Q$130/10)-1)+逐级计算!$Q$130*(DZ6-逐级计算!$P$130)*LN(10)/10),0)+LN(1+EXP(-ABS((LN(10^(逐级计算!$Q$130/10)-1)+逐级计算!$Q$130*(DZ6-逐级计算!$P$130)*LN(10)/10))))))),"")</f>
        <v>-65</v>
      </c>
      <c r="EB6">
        <f>IF(AND(ISNUMBER(EA6),逐级计算!$X$131&gt;-1),IF(逐级计算!$X$131=0,EA6+逐级计算!$C$131,EA6+逐级计算!$C$131-(10/(逐级计算!$Q$131*LN(10))*(MAX((LN(10^(逐级计算!$Q$131/10)-1)+逐级计算!$Q$131*(EA6-逐级计算!$P$131)*LN(10)/10),0)+LN(1+EXP(-ABS((LN(10^(逐级计算!$Q$131/10)-1)+逐级计算!$Q$131*(EA6-逐级计算!$P$131)*LN(10)/10))))))),"")</f>
        <v>-65</v>
      </c>
      <c r="EC6">
        <f>IF(AND(ISNUMBER(EB6),逐级计算!$X$132&gt;-1),IF(逐级计算!$X$132=0,EB6+逐级计算!$C$132,EB6+逐级计算!$C$132-(10/(逐级计算!$Q$132*LN(10))*(MAX((LN(10^(逐级计算!$Q$132/10)-1)+逐级计算!$Q$132*(EB6-逐级计算!$P$132)*LN(10)/10),0)+LN(1+EXP(-ABS((LN(10^(逐级计算!$Q$132/10)-1)+逐级计算!$Q$132*(EB6-逐级计算!$P$132)*LN(10)/10))))))),"")</f>
        <v>-65</v>
      </c>
      <c r="ED6">
        <f>IF(AND(ISNUMBER(EC6),逐级计算!$X$133&gt;-1),IF(逐级计算!$X$133=0,EC6+逐级计算!$C$133,EC6+逐级计算!$C$133-(10/(逐级计算!$Q$133*LN(10))*(MAX((LN(10^(逐级计算!$Q$133/10)-1)+逐级计算!$Q$133*(EC6-逐级计算!$P$133)*LN(10)/10),0)+LN(1+EXP(-ABS((LN(10^(逐级计算!$Q$133/10)-1)+逐级计算!$Q$133*(EC6-逐级计算!$P$133)*LN(10)/10))))))),"")</f>
        <v>-65</v>
      </c>
      <c r="EE6">
        <f>IF(AND(ISNUMBER(ED6),逐级计算!$X$134&gt;-1),IF(逐级计算!$X$134=0,ED6+逐级计算!$C$134,ED6+逐级计算!$C$134-(10/(逐级计算!$Q$134*LN(10))*(MAX((LN(10^(逐级计算!$Q$134/10)-1)+逐级计算!$Q$134*(ED6-逐级计算!$P$134)*LN(10)/10),0)+LN(1+EXP(-ABS((LN(10^(逐级计算!$Q$134/10)-1)+逐级计算!$Q$134*(ED6-逐级计算!$P$134)*LN(10)/10))))))),"")</f>
        <v>-65</v>
      </c>
      <c r="EF6">
        <f>IF(AND(ISNUMBER(EE6),逐级计算!$X$135&gt;-1),IF(逐级计算!$X$135=0,EE6+逐级计算!$C$135,EE6+逐级计算!$C$135-(10/(逐级计算!$Q$135*LN(10))*(MAX((LN(10^(逐级计算!$Q$135/10)-1)+逐级计算!$Q$135*(EE6-逐级计算!$P$135)*LN(10)/10),0)+LN(1+EXP(-ABS((LN(10^(逐级计算!$Q$135/10)-1)+逐级计算!$Q$135*(EE6-逐级计算!$P$135)*LN(10)/10))))))),"")</f>
        <v>-65</v>
      </c>
      <c r="EG6">
        <f>IF(AND(ISNUMBER(EF6),逐级计算!$X$136&gt;-1),IF(逐级计算!$X$136=0,EF6+逐级计算!$C$136,EF6+逐级计算!$C$136-(10/(逐级计算!$Q$136*LN(10))*(MAX((LN(10^(逐级计算!$Q$136/10)-1)+逐级计算!$Q$136*(EF6-逐级计算!$P$136)*LN(10)/10),0)+LN(1+EXP(-ABS((LN(10^(逐级计算!$Q$136/10)-1)+逐级计算!$Q$136*(EF6-逐级计算!$P$136)*LN(10)/10))))))),"")</f>
        <v>-65</v>
      </c>
      <c r="EH6">
        <f>IF(AND(ISNUMBER(EG6),逐级计算!$X$137&gt;-1),IF(逐级计算!$X$137=0,EG6+逐级计算!$C$137,EG6+逐级计算!$C$137-(10/(逐级计算!$Q$137*LN(10))*(MAX((LN(10^(逐级计算!$Q$137/10)-1)+逐级计算!$Q$137*(EG6-逐级计算!$P$137)*LN(10)/10),0)+LN(1+EXP(-ABS((LN(10^(逐级计算!$Q$137/10)-1)+逐级计算!$Q$137*(EG6-逐级计算!$P$137)*LN(10)/10))))))),"")</f>
        <v>-65</v>
      </c>
      <c r="EI6">
        <f>IF(AND(ISNUMBER(EH6),逐级计算!$X$138&gt;-1),IF(逐级计算!$X$138=0,EH6+逐级计算!$C$138,EH6+逐级计算!$C$138-(10/(逐级计算!$Q$138*LN(10))*(MAX((LN(10^(逐级计算!$Q$138/10)-1)+逐级计算!$Q$138*(EH6-逐级计算!$P$138)*LN(10)/10),0)+LN(1+EXP(-ABS((LN(10^(逐级计算!$Q$138/10)-1)+逐级计算!$Q$138*(EH6-逐级计算!$P$138)*LN(10)/10))))))),"")</f>
        <v>-65</v>
      </c>
      <c r="EJ6">
        <f>IF(AND(ISNUMBER(EI6),逐级计算!$X$139&gt;-1),IF(逐级计算!$X$139=0,EI6+逐级计算!$C$139,EI6+逐级计算!$C$139-(10/(逐级计算!$Q$139*LN(10))*(MAX((LN(10^(逐级计算!$Q$139/10)-1)+逐级计算!$Q$139*(EI6-逐级计算!$P$139)*LN(10)/10),0)+LN(1+EXP(-ABS((LN(10^(逐级计算!$Q$139/10)-1)+逐级计算!$Q$139*(EI6-逐级计算!$P$139)*LN(10)/10))))))),"")</f>
        <v>-65</v>
      </c>
      <c r="EK6">
        <f>IF(AND(ISNUMBER(EJ6),逐级计算!$X$140&gt;-1),IF(逐级计算!$X$140=0,EJ6+逐级计算!$C$140,EJ6+逐级计算!$C$140-(10/(逐级计算!$Q$140*LN(10))*(MAX((LN(10^(逐级计算!$Q$140/10)-1)+逐级计算!$Q$140*(EJ6-逐级计算!$P$140)*LN(10)/10),0)+LN(1+EXP(-ABS((LN(10^(逐级计算!$Q$140/10)-1)+逐级计算!$Q$140*(EJ6-逐级计算!$P$140)*LN(10)/10))))))),"")</f>
        <v>-65</v>
      </c>
      <c r="EL6">
        <f>IF(AND(ISNUMBER(EK6),逐级计算!$X$141&gt;-1),IF(逐级计算!$X$141=0,EK6+逐级计算!$C$141,EK6+逐级计算!$C$141-(10/(逐级计算!$Q$141*LN(10))*(MAX((LN(10^(逐级计算!$Q$141/10)-1)+逐级计算!$Q$141*(EK6-逐级计算!$P$141)*LN(10)/10),0)+LN(1+EXP(-ABS((LN(10^(逐级计算!$Q$141/10)-1)+逐级计算!$Q$141*(EK6-逐级计算!$P$141)*LN(10)/10))))))),"")</f>
        <v>-65</v>
      </c>
      <c r="EM6">
        <f>IF(AND(ISNUMBER(EL6),逐级计算!$X$142&gt;-1),IF(逐级计算!$X$142=0,EL6+逐级计算!$C$142,EL6+逐级计算!$C$142-(10/(逐级计算!$Q$142*LN(10))*(MAX((LN(10^(逐级计算!$Q$142/10)-1)+逐级计算!$Q$142*(EL6-逐级计算!$P$142)*LN(10)/10),0)+LN(1+EXP(-ABS((LN(10^(逐级计算!$Q$142/10)-1)+逐级计算!$Q$142*(EL6-逐级计算!$P$142)*LN(10)/10))))))),"")</f>
        <v>-65</v>
      </c>
      <c r="EN6">
        <f>IF(AND(ISNUMBER(EM6),逐级计算!$X$143&gt;-1),IF(逐级计算!$X$143=0,EM6+逐级计算!$C$143,EM6+逐级计算!$C$143-(10/(逐级计算!$Q$143*LN(10))*(MAX((LN(10^(逐级计算!$Q$143/10)-1)+逐级计算!$Q$143*(EM6-逐级计算!$P$143)*LN(10)/10),0)+LN(1+EXP(-ABS((LN(10^(逐级计算!$Q$143/10)-1)+逐级计算!$Q$143*(EM6-逐级计算!$P$143)*LN(10)/10))))))),"")</f>
        <v>-65</v>
      </c>
      <c r="EO6">
        <f>IF(AND(ISNUMBER(EN6),逐级计算!$X$144&gt;-1),IF(逐级计算!$X$144=0,EN6+逐级计算!$C$144,EN6+逐级计算!$C$144-(10/(逐级计算!$Q$144*LN(10))*(MAX((LN(10^(逐级计算!$Q$144/10)-1)+逐级计算!$Q$144*(EN6-逐级计算!$P$144)*LN(10)/10),0)+LN(1+EXP(-ABS((LN(10^(逐级计算!$Q$144/10)-1)+逐级计算!$Q$144*(EN6-逐级计算!$P$144)*LN(10)/10))))))),"")</f>
        <v>-65</v>
      </c>
      <c r="EP6">
        <f>IF(AND(ISNUMBER(EO6),逐级计算!$X$145&gt;-1),IF(逐级计算!$X$145=0,EO6+逐级计算!$C$145,EO6+逐级计算!$C$145-(10/(逐级计算!$Q$145*LN(10))*(MAX((LN(10^(逐级计算!$Q$145/10)-1)+逐级计算!$Q$145*(EO6-逐级计算!$P$145)*LN(10)/10),0)+LN(1+EXP(-ABS((LN(10^(逐级计算!$Q$145/10)-1)+逐级计算!$Q$145*(EO6-逐级计算!$P$145)*LN(10)/10))))))),"")</f>
        <v>-65</v>
      </c>
      <c r="EQ6">
        <f>IF(AND(ISNUMBER(EP6),逐级计算!$X$146&gt;-1),IF(逐级计算!$X$146=0,EP6+逐级计算!$C$146,EP6+逐级计算!$C$146-(10/(逐级计算!$Q$146*LN(10))*(MAX((LN(10^(逐级计算!$Q$146/10)-1)+逐级计算!$Q$146*(EP6-逐级计算!$P$146)*LN(10)/10),0)+LN(1+EXP(-ABS((LN(10^(逐级计算!$Q$146/10)-1)+逐级计算!$Q$146*(EP6-逐级计算!$P$146)*LN(10)/10))))))),"")</f>
        <v>-65</v>
      </c>
      <c r="ER6">
        <f>IF(AND(ISNUMBER(EQ6),逐级计算!$X$147&gt;-1),IF(逐级计算!$X$147=0,EQ6+逐级计算!$C$147,EQ6+逐级计算!$C$147-(10/(逐级计算!$Q$147*LN(10))*(MAX((LN(10^(逐级计算!$Q$147/10)-1)+逐级计算!$Q$147*(EQ6-逐级计算!$P$147)*LN(10)/10),0)+LN(1+EXP(-ABS((LN(10^(逐级计算!$Q$147/10)-1)+逐级计算!$Q$147*(EQ6-逐级计算!$P$147)*LN(10)/10))))))),"")</f>
        <v>-65</v>
      </c>
      <c r="ES6">
        <f>IF(AND(ISNUMBER(ER6),逐级计算!$X$148&gt;-1),IF(逐级计算!$X$148=0,ER6+逐级计算!$C$148,ER6+逐级计算!$C$148-(10/(逐级计算!$Q$148*LN(10))*(MAX((LN(10^(逐级计算!$Q$148/10)-1)+逐级计算!$Q$148*(ER6-逐级计算!$P$148)*LN(10)/10),0)+LN(1+EXP(-ABS((LN(10^(逐级计算!$Q$148/10)-1)+逐级计算!$Q$148*(ER6-逐级计算!$P$148)*LN(10)/10))))))),"")</f>
        <v>-65</v>
      </c>
      <c r="ET6">
        <f>IF(AND(ISNUMBER(ES6),逐级计算!$X$149&gt;-1),IF(逐级计算!$X$149=0,ES6+逐级计算!$C$149,ES6+逐级计算!$C$149-(10/(逐级计算!$Q$149*LN(10))*(MAX((LN(10^(逐级计算!$Q$149/10)-1)+逐级计算!$Q$149*(ES6-逐级计算!$P$149)*LN(10)/10),0)+LN(1+EXP(-ABS((LN(10^(逐级计算!$Q$149/10)-1)+逐级计算!$Q$149*(ES6-逐级计算!$P$149)*LN(10)/10))))))),"")</f>
        <v>-65</v>
      </c>
      <c r="EU6">
        <f>IF(AND(ISNUMBER(ET6),逐级计算!$X$150&gt;-1),IF(逐级计算!$X$150=0,ET6+逐级计算!$C$150,ET6+逐级计算!$C$150-(10/(逐级计算!$Q$150*LN(10))*(MAX((LN(10^(逐级计算!$Q$150/10)-1)+逐级计算!$Q$150*(ET6-逐级计算!$P$150)*LN(10)/10),0)+LN(1+EXP(-ABS((LN(10^(逐级计算!$Q$150/10)-1)+逐级计算!$Q$150*(ET6-逐级计算!$P$150)*LN(10)/10))))))),"")</f>
        <v>-65</v>
      </c>
      <c r="EV6">
        <f>IF(AND(ISNUMBER(EU6),逐级计算!$X$151&gt;-1),IF(逐级计算!$X$151=0,EU6+逐级计算!$C$151,EU6+逐级计算!$C$151-(10/(逐级计算!$Q$151*LN(10))*(MAX((LN(10^(逐级计算!$Q$151/10)-1)+逐级计算!$Q$151*(EU6-逐级计算!$P$151)*LN(10)/10),0)+LN(1+EXP(-ABS((LN(10^(逐级计算!$Q$151/10)-1)+逐级计算!$Q$151*(EU6-逐级计算!$P$151)*LN(10)/10))))))),"")</f>
        <v>-65</v>
      </c>
      <c r="EW6">
        <f>IF(AND(ISNUMBER(EV6),逐级计算!$X$152&gt;-1),IF(逐级计算!$X$152=0,EV6+逐级计算!$C$152,EV6+逐级计算!$C$152-(10/(逐级计算!$Q$152*LN(10))*(MAX((LN(10^(逐级计算!$Q$152/10)-1)+逐级计算!$Q$152*(EV6-逐级计算!$P$152)*LN(10)/10),0)+LN(1+EXP(-ABS((LN(10^(逐级计算!$Q$152/10)-1)+逐级计算!$Q$152*(EV6-逐级计算!$P$152)*LN(10)/10))))))),"")</f>
        <v>-65</v>
      </c>
      <c r="EX6">
        <f>IF(AND(ISNUMBER(EW6),逐级计算!$X$153&gt;-1),IF(逐级计算!$X$153=0,EW6+逐级计算!$C$153,EW6+逐级计算!$C$153-(10/(逐级计算!$Q$153*LN(10))*(MAX((LN(10^(逐级计算!$Q$153/10)-1)+逐级计算!$Q$153*(EW6-逐级计算!$P$153)*LN(10)/10),0)+LN(1+EXP(-ABS((LN(10^(逐级计算!$Q$153/10)-1)+逐级计算!$Q$153*(EW6-逐级计算!$P$153)*LN(10)/10))))))),"")</f>
        <v>-65</v>
      </c>
      <c r="EY6">
        <f>IF(AND(ISNUMBER(EX6),逐级计算!$X$154&gt;-1),IF(逐级计算!$X$154=0,EX6+逐级计算!$C$154,EX6+逐级计算!$C$154-(10/(逐级计算!$Q$154*LN(10))*(MAX((LN(10^(逐级计算!$Q$154/10)-1)+逐级计算!$Q$154*(EX6-逐级计算!$P$154)*LN(10)/10),0)+LN(1+EXP(-ABS((LN(10^(逐级计算!$Q$154/10)-1)+逐级计算!$Q$154*(EX6-逐级计算!$P$154)*LN(10)/10))))))),"")</f>
        <v>-65</v>
      </c>
      <c r="EZ6">
        <f>IF(AND(ISNUMBER(EY6),逐级计算!$X$155&gt;-1),IF(逐级计算!$X$155=0,EY6+逐级计算!$C$155,EY6+逐级计算!$C$155-(10/(逐级计算!$Q$155*LN(10))*(MAX((LN(10^(逐级计算!$Q$155/10)-1)+逐级计算!$Q$155*(EY6-逐级计算!$P$155)*LN(10)/10),0)+LN(1+EXP(-ABS((LN(10^(逐级计算!$Q$155/10)-1)+逐级计算!$Q$155*(EY6-逐级计算!$P$155)*LN(10)/10))))))),"")</f>
        <v>-65</v>
      </c>
      <c r="FA6">
        <f>IF(AND(ISNUMBER(EZ6),逐级计算!$X$156&gt;-1),IF(逐级计算!$X$156=0,EZ6+逐级计算!$C$156,EZ6+逐级计算!$C$156-(10/(逐级计算!$Q$156*LN(10))*(MAX((LN(10^(逐级计算!$Q$156/10)-1)+逐级计算!$Q$156*(EZ6-逐级计算!$P$156)*LN(10)/10),0)+LN(1+EXP(-ABS((LN(10^(逐级计算!$Q$156/10)-1)+逐级计算!$Q$156*(EZ6-逐级计算!$P$156)*LN(10)/10))))))),"")</f>
        <v>-65</v>
      </c>
      <c r="FB6">
        <f>IF(AND(ISNUMBER(FA6),逐级计算!$X$157&gt;-1),IF(逐级计算!$X$157=0,FA6+逐级计算!$C$157,FA6+逐级计算!$C$157-(10/(逐级计算!$Q$157*LN(10))*(MAX((LN(10^(逐级计算!$Q$157/10)-1)+逐级计算!$Q$157*(FA6-逐级计算!$P$157)*LN(10)/10),0)+LN(1+EXP(-ABS((LN(10^(逐级计算!$Q$157/10)-1)+逐级计算!$Q$157*(FA6-逐级计算!$P$157)*LN(10)/10))))))),"")</f>
        <v>-65</v>
      </c>
      <c r="FC6">
        <f>IF(AND(ISNUMBER(FB6),逐级计算!$X$158&gt;-1),IF(逐级计算!$X$158=0,FB6+逐级计算!$C$158,FB6+逐级计算!$C$158-(10/(逐级计算!$Q$158*LN(10))*(MAX((LN(10^(逐级计算!$Q$158/10)-1)+逐级计算!$Q$158*(FB6-逐级计算!$P$158)*LN(10)/10),0)+LN(1+EXP(-ABS((LN(10^(逐级计算!$Q$158/10)-1)+逐级计算!$Q$158*(FB6-逐级计算!$P$158)*LN(10)/10))))))),"")</f>
        <v>-65</v>
      </c>
      <c r="FD6">
        <f>IF(AND(ISNUMBER(FC6),逐级计算!$X$159&gt;-1),IF(逐级计算!$X$159=0,FC6+逐级计算!$C$159,FC6+逐级计算!$C$159-(10/(逐级计算!$Q$159*LN(10))*(MAX((LN(10^(逐级计算!$Q$159/10)-1)+逐级计算!$Q$159*(FC6-逐级计算!$P$159)*LN(10)/10),0)+LN(1+EXP(-ABS((LN(10^(逐级计算!$Q$159/10)-1)+逐级计算!$Q$159*(FC6-逐级计算!$P$159)*LN(10)/10))))))),"")</f>
        <v>-65</v>
      </c>
      <c r="FE6">
        <f>IF(AND(ISNUMBER(FD6),逐级计算!$X$160&gt;-1),IF(逐级计算!$X$160=0,FD6+逐级计算!$C$160,FD6+逐级计算!$C$160-(10/(逐级计算!$Q$160*LN(10))*(MAX((LN(10^(逐级计算!$Q$160/10)-1)+逐级计算!$Q$160*(FD6-逐级计算!$P$160)*LN(10)/10),0)+LN(1+EXP(-ABS((LN(10^(逐级计算!$Q$160/10)-1)+逐级计算!$Q$160*(FD6-逐级计算!$P$160)*LN(10)/10))))))),"")</f>
        <v>-65</v>
      </c>
      <c r="FF6">
        <f>IF(AND(ISNUMBER(FE6),逐级计算!$X$161&gt;-1),IF(逐级计算!$X$161=0,FE6+逐级计算!$C$161,FE6+逐级计算!$C$161-(10/(逐级计算!$Q$161*LN(10))*(MAX((LN(10^(逐级计算!$Q$161/10)-1)+逐级计算!$Q$161*(FE6-逐级计算!$P$161)*LN(10)/10),0)+LN(1+EXP(-ABS((LN(10^(逐级计算!$Q$161/10)-1)+逐级计算!$Q$161*(FE6-逐级计算!$P$161)*LN(10)/10))))))),"")</f>
        <v>-65</v>
      </c>
      <c r="FG6">
        <f>IF(AND(ISNUMBER(FF6),逐级计算!$X$162&gt;-1),IF(逐级计算!$X$162=0,FF6+逐级计算!$C$162,FF6+逐级计算!$C$162-(10/(逐级计算!$Q$162*LN(10))*(MAX((LN(10^(逐级计算!$Q$162/10)-1)+逐级计算!$Q$162*(FF6-逐级计算!$P$162)*LN(10)/10),0)+LN(1+EXP(-ABS((LN(10^(逐级计算!$Q$162/10)-1)+逐级计算!$Q$162*(FF6-逐级计算!$P$162)*LN(10)/10))))))),"")</f>
        <v>-65</v>
      </c>
      <c r="FH6">
        <f>IF(AND(ISNUMBER(FG6),逐级计算!$X$163&gt;-1),IF(逐级计算!$X$163=0,FG6+逐级计算!$C$163,FG6+逐级计算!$C$163-(10/(逐级计算!$Q$163*LN(10))*(MAX((LN(10^(逐级计算!$Q$163/10)-1)+逐级计算!$Q$163*(FG6-逐级计算!$P$163)*LN(10)/10),0)+LN(1+EXP(-ABS((LN(10^(逐级计算!$Q$163/10)-1)+逐级计算!$Q$163*(FG6-逐级计算!$P$163)*LN(10)/10))))))),"")</f>
        <v>-65</v>
      </c>
      <c r="FI6">
        <f>IF(AND(ISNUMBER(FH6),逐级计算!$X$164&gt;-1),IF(逐级计算!$X$164=0,FH6+逐级计算!$C$164,FH6+逐级计算!$C$164-(10/(逐级计算!$Q$164*LN(10))*(MAX((LN(10^(逐级计算!$Q$164/10)-1)+逐级计算!$Q$164*(FH6-逐级计算!$P$164)*LN(10)/10),0)+LN(1+EXP(-ABS((LN(10^(逐级计算!$Q$164/10)-1)+逐级计算!$Q$164*(FH6-逐级计算!$P$164)*LN(10)/10))))))),"")</f>
        <v>-65</v>
      </c>
      <c r="FJ6">
        <f>IF(AND(ISNUMBER(FI6),逐级计算!$X$165&gt;-1),IF(逐级计算!$X$165=0,FI6+逐级计算!$C$165,FI6+逐级计算!$C$165-(10/(逐级计算!$Q$165*LN(10))*(MAX((LN(10^(逐级计算!$Q$165/10)-1)+逐级计算!$Q$165*(FI6-逐级计算!$P$165)*LN(10)/10),0)+LN(1+EXP(-ABS((LN(10^(逐级计算!$Q$165/10)-1)+逐级计算!$Q$165*(FI6-逐级计算!$P$165)*LN(10)/10))))))),"")</f>
        <v>-65</v>
      </c>
      <c r="FK6">
        <f>IF(AND(ISNUMBER(FJ6),逐级计算!$X$166&gt;-1),IF(逐级计算!$X$166=0,FJ6+逐级计算!$C$166,FJ6+逐级计算!$C$166-(10/(逐级计算!$Q$166*LN(10))*(MAX((LN(10^(逐级计算!$Q$166/10)-1)+逐级计算!$Q$166*(FJ6-逐级计算!$P$166)*LN(10)/10),0)+LN(1+EXP(-ABS((LN(10^(逐级计算!$Q$166/10)-1)+逐级计算!$Q$166*(FJ6-逐级计算!$P$166)*LN(10)/10))))))),"")</f>
        <v>-65</v>
      </c>
      <c r="FL6">
        <f>IF(AND(ISNUMBER(FK6),逐级计算!$X$167&gt;-1),IF(逐级计算!$X$167=0,FK6+逐级计算!$C$167,FK6+逐级计算!$C$167-(10/(逐级计算!$Q$167*LN(10))*(MAX((LN(10^(逐级计算!$Q$167/10)-1)+逐级计算!$Q$167*(FK6-逐级计算!$P$167)*LN(10)/10),0)+LN(1+EXP(-ABS((LN(10^(逐级计算!$Q$167/10)-1)+逐级计算!$Q$167*(FK6-逐级计算!$P$167)*LN(10)/10))))))),"")</f>
        <v>-65</v>
      </c>
      <c r="FM6">
        <f>IF(AND(ISNUMBER(FL6),逐级计算!$X$168&gt;-1),IF(逐级计算!$X$168=0,FL6+逐级计算!$C$168,FL6+逐级计算!$C$168-(10/(逐级计算!$Q$168*LN(10))*(MAX((LN(10^(逐级计算!$Q$168/10)-1)+逐级计算!$Q$168*(FL6-逐级计算!$P$168)*LN(10)/10),0)+LN(1+EXP(-ABS((LN(10^(逐级计算!$Q$168/10)-1)+逐级计算!$Q$168*(FL6-逐级计算!$P$168)*LN(10)/10))))))),"")</f>
        <v>-65</v>
      </c>
      <c r="FN6">
        <f>IF(AND(ISNUMBER(FM6),逐级计算!$X$169&gt;-1),IF(逐级计算!$X$169=0,FM6+逐级计算!$C$169,FM6+逐级计算!$C$169-(10/(逐级计算!$Q$169*LN(10))*(MAX((LN(10^(逐级计算!$Q$169/10)-1)+逐级计算!$Q$169*(FM6-逐级计算!$P$169)*LN(10)/10),0)+LN(1+EXP(-ABS((LN(10^(逐级计算!$Q$169/10)-1)+逐级计算!$Q$169*(FM6-逐级计算!$P$169)*LN(10)/10))))))),"")</f>
        <v>-65</v>
      </c>
      <c r="FO6">
        <f>IF(AND(ISNUMBER(FN6),逐级计算!$X$170&gt;-1),IF(逐级计算!$X$170=0,FN6+逐级计算!$C$170,FN6+逐级计算!$C$170-(10/(逐级计算!$Q$170*LN(10))*(MAX((LN(10^(逐级计算!$Q$170/10)-1)+逐级计算!$Q$170*(FN6-逐级计算!$P$170)*LN(10)/10),0)+LN(1+EXP(-ABS((LN(10^(逐级计算!$Q$170/10)-1)+逐级计算!$Q$170*(FN6-逐级计算!$P$170)*LN(10)/10))))))),"")</f>
        <v>-65</v>
      </c>
      <c r="FP6">
        <f>IF(AND(ISNUMBER(FO6),逐级计算!$X$171&gt;-1),IF(逐级计算!$X$171=0,FO6+逐级计算!$C$171,FO6+逐级计算!$C$171-(10/(逐级计算!$Q$171*LN(10))*(MAX((LN(10^(逐级计算!$Q$171/10)-1)+逐级计算!$Q$171*(FO6-逐级计算!$P$171)*LN(10)/10),0)+LN(1+EXP(-ABS((LN(10^(逐级计算!$Q$171/10)-1)+逐级计算!$Q$171*(FO6-逐级计算!$P$171)*LN(10)/10))))))),"")</f>
        <v>-65</v>
      </c>
      <c r="FQ6">
        <f>IF(AND(ISNUMBER(FP6),逐级计算!$X$172&gt;-1),IF(逐级计算!$X$172=0,FP6+逐级计算!$C$172,FP6+逐级计算!$C$172-(10/(逐级计算!$Q$172*LN(10))*(MAX((LN(10^(逐级计算!$Q$172/10)-1)+逐级计算!$Q$172*(FP6-逐级计算!$P$172)*LN(10)/10),0)+LN(1+EXP(-ABS((LN(10^(逐级计算!$Q$172/10)-1)+逐级计算!$Q$172*(FP6-逐级计算!$P$172)*LN(10)/10))))))),"")</f>
        <v>-65</v>
      </c>
      <c r="FR6">
        <f>IF(AND(ISNUMBER(FQ6),逐级计算!$X$173&gt;-1),IF(逐级计算!$X$173=0,FQ6+逐级计算!$C$173,FQ6+逐级计算!$C$173-(10/(逐级计算!$Q$173*LN(10))*(MAX((LN(10^(逐级计算!$Q$173/10)-1)+逐级计算!$Q$173*(FQ6-逐级计算!$P$173)*LN(10)/10),0)+LN(1+EXP(-ABS((LN(10^(逐级计算!$Q$173/10)-1)+逐级计算!$Q$173*(FQ6-逐级计算!$P$173)*LN(10)/10))))))),"")</f>
        <v>-65</v>
      </c>
      <c r="FS6">
        <f>IF(AND(ISNUMBER(FR6),逐级计算!$X$174&gt;-1),IF(逐级计算!$X$174=0,FR6+逐级计算!$C$174,FR6+逐级计算!$C$174-(10/(逐级计算!$Q$174*LN(10))*(MAX((LN(10^(逐级计算!$Q$174/10)-1)+逐级计算!$Q$174*(FR6-逐级计算!$P$174)*LN(10)/10),0)+LN(1+EXP(-ABS((LN(10^(逐级计算!$Q$174/10)-1)+逐级计算!$Q$174*(FR6-逐级计算!$P$174)*LN(10)/10))))))),"")</f>
        <v>-65</v>
      </c>
      <c r="FT6">
        <f>IF(AND(ISNUMBER(FS6),逐级计算!$X$175&gt;-1),IF(逐级计算!$X$175=0,FS6+逐级计算!$C$175,FS6+逐级计算!$C$175-(10/(逐级计算!$Q$175*LN(10))*(MAX((LN(10^(逐级计算!$Q$175/10)-1)+逐级计算!$Q$175*(FS6-逐级计算!$P$175)*LN(10)/10),0)+LN(1+EXP(-ABS((LN(10^(逐级计算!$Q$175/10)-1)+逐级计算!$Q$175*(FS6-逐级计算!$P$175)*LN(10)/10))))))),"")</f>
        <v>-65</v>
      </c>
      <c r="FU6">
        <f>IF(AND(ISNUMBER(FT6),逐级计算!$X$176&gt;-1),IF(逐级计算!$X$176=0,FT6+逐级计算!$C$176,FT6+逐级计算!$C$176-(10/(逐级计算!$Q$176*LN(10))*(MAX((LN(10^(逐级计算!$Q$176/10)-1)+逐级计算!$Q$176*(FT6-逐级计算!$P$176)*LN(10)/10),0)+LN(1+EXP(-ABS((LN(10^(逐级计算!$Q$176/10)-1)+逐级计算!$Q$176*(FT6-逐级计算!$P$176)*LN(10)/10))))))),"")</f>
        <v>-65</v>
      </c>
      <c r="FV6">
        <f>IF(AND(ISNUMBER(FU6),逐级计算!$X$177&gt;-1),IF(逐级计算!$X$177=0,FU6+逐级计算!$C$177,FU6+逐级计算!$C$177-(10/(逐级计算!$Q$177*LN(10))*(MAX((LN(10^(逐级计算!$Q$177/10)-1)+逐级计算!$Q$177*(FU6-逐级计算!$P$177)*LN(10)/10),0)+LN(1+EXP(-ABS((LN(10^(逐级计算!$Q$177/10)-1)+逐级计算!$Q$177*(FU6-逐级计算!$P$177)*LN(10)/10))))))),"")</f>
        <v>-65</v>
      </c>
      <c r="FW6">
        <f>IF(AND(ISNUMBER(FV6),逐级计算!$X$178&gt;-1),IF(逐级计算!$X$178=0,FV6+逐级计算!$C$178,FV6+逐级计算!$C$178-(10/(逐级计算!$Q$178*LN(10))*(MAX((LN(10^(逐级计算!$Q$178/10)-1)+逐级计算!$Q$178*(FV6-逐级计算!$P$178)*LN(10)/10),0)+LN(1+EXP(-ABS((LN(10^(逐级计算!$Q$178/10)-1)+逐级计算!$Q$178*(FV6-逐级计算!$P$178)*LN(10)/10))))))),"")</f>
        <v>-65</v>
      </c>
      <c r="FX6">
        <f>IF(AND(ISNUMBER(FW6),逐级计算!$X$179&gt;-1),IF(逐级计算!$X$179=0,FW6+逐级计算!$C$179,FW6+逐级计算!$C$179-(10/(逐级计算!$Q$179*LN(10))*(MAX((LN(10^(逐级计算!$Q$179/10)-1)+逐级计算!$Q$179*(FW6-逐级计算!$P$179)*LN(10)/10),0)+LN(1+EXP(-ABS((LN(10^(逐级计算!$Q$179/10)-1)+逐级计算!$Q$179*(FW6-逐级计算!$P$179)*LN(10)/10))))))),"")</f>
        <v>-65</v>
      </c>
      <c r="FY6">
        <f>IF(AND(ISNUMBER(FX6),逐级计算!$X$180&gt;-1),IF(逐级计算!$X$180=0,FX6+逐级计算!$C$180,FX6+逐级计算!$C$180-(10/(逐级计算!$Q$180*LN(10))*(MAX((LN(10^(逐级计算!$Q$180/10)-1)+逐级计算!$Q$180*(FX6-逐级计算!$P$180)*LN(10)/10),0)+LN(1+EXP(-ABS((LN(10^(逐级计算!$Q$180/10)-1)+逐级计算!$Q$180*(FX6-逐级计算!$P$180)*LN(10)/10))))))),"")</f>
        <v>-65</v>
      </c>
      <c r="FZ6">
        <f>IF(AND(ISNUMBER(FY6),逐级计算!$X$181&gt;-1),IF(逐级计算!$X$181=0,FY6+逐级计算!$C$181,FY6+逐级计算!$C$181-(10/(逐级计算!$Q$181*LN(10))*(MAX((LN(10^(逐级计算!$Q$181/10)-1)+逐级计算!$Q$181*(FY6-逐级计算!$P$181)*LN(10)/10),0)+LN(1+EXP(-ABS((LN(10^(逐级计算!$Q$181/10)-1)+逐级计算!$Q$181*(FY6-逐级计算!$P$181)*LN(10)/10))))))),"")</f>
        <v>-65</v>
      </c>
      <c r="GA6">
        <f>IF(AND(ISNUMBER(FZ6),逐级计算!$X$182&gt;-1),IF(逐级计算!$X$182=0,FZ6+逐级计算!$C$182,FZ6+逐级计算!$C$182-(10/(逐级计算!$Q$182*LN(10))*(MAX((LN(10^(逐级计算!$Q$182/10)-1)+逐级计算!$Q$182*(FZ6-逐级计算!$P$182)*LN(10)/10),0)+LN(1+EXP(-ABS((LN(10^(逐级计算!$Q$182/10)-1)+逐级计算!$Q$182*(FZ6-逐级计算!$P$182)*LN(10)/10))))))),"")</f>
        <v>-65</v>
      </c>
      <c r="GB6">
        <f>IF(AND(ISNUMBER(GA6),逐级计算!$X$183&gt;-1),IF(逐级计算!$X$183=0,GA6+逐级计算!$C$183,GA6+逐级计算!$C$183-(10/(逐级计算!$Q$183*LN(10))*(MAX((LN(10^(逐级计算!$Q$183/10)-1)+逐级计算!$Q$183*(GA6-逐级计算!$P$183)*LN(10)/10),0)+LN(1+EXP(-ABS((LN(10^(逐级计算!$Q$183/10)-1)+逐级计算!$Q$183*(GA6-逐级计算!$P$183)*LN(10)/10))))))),"")</f>
        <v>-65</v>
      </c>
      <c r="GC6">
        <f>IF(AND(ISNUMBER(GB6),逐级计算!$X$184&gt;-1),IF(逐级计算!$X$184=0,GB6+逐级计算!$C$184,GB6+逐级计算!$C$184-(10/(逐级计算!$Q$184*LN(10))*(MAX((LN(10^(逐级计算!$Q$184/10)-1)+逐级计算!$Q$184*(GB6-逐级计算!$P$184)*LN(10)/10),0)+LN(1+EXP(-ABS((LN(10^(逐级计算!$Q$184/10)-1)+逐级计算!$Q$184*(GB6-逐级计算!$P$184)*LN(10)/10))))))),"")</f>
        <v>-65</v>
      </c>
      <c r="GD6">
        <f>IF(AND(ISNUMBER(GC6),逐级计算!$X$185&gt;-1),IF(逐级计算!$X$185=0,GC6+逐级计算!$C$185,GC6+逐级计算!$C$185-(10/(逐级计算!$Q$185*LN(10))*(MAX((LN(10^(逐级计算!$Q$185/10)-1)+逐级计算!$Q$185*(GC6-逐级计算!$P$185)*LN(10)/10),0)+LN(1+EXP(-ABS((LN(10^(逐级计算!$Q$185/10)-1)+逐级计算!$Q$185*(GC6-逐级计算!$P$185)*LN(10)/10))))))),"")</f>
        <v>-65</v>
      </c>
      <c r="GE6">
        <f>IF(AND(ISNUMBER(GD6),逐级计算!$X$186&gt;-1),IF(逐级计算!$X$186=0,GD6+逐级计算!$C$186,GD6+逐级计算!$C$186-(10/(逐级计算!$Q$186*LN(10))*(MAX((LN(10^(逐级计算!$Q$186/10)-1)+逐级计算!$Q$186*(GD6-逐级计算!$P$186)*LN(10)/10),0)+LN(1+EXP(-ABS((LN(10^(逐级计算!$Q$186/10)-1)+逐级计算!$Q$186*(GD6-逐级计算!$P$186)*LN(10)/10))))))),"")</f>
        <v>-65</v>
      </c>
      <c r="GF6">
        <f>IF(AND(ISNUMBER(GE6),逐级计算!$X$187&gt;-1),IF(逐级计算!$X$187=0,GE6+逐级计算!$C$187,GE6+逐级计算!$C$187-(10/(逐级计算!$Q$187*LN(10))*(MAX((LN(10^(逐级计算!$Q$187/10)-1)+逐级计算!$Q$187*(GE6-逐级计算!$P$187)*LN(10)/10),0)+LN(1+EXP(-ABS((LN(10^(逐级计算!$Q$187/10)-1)+逐级计算!$Q$187*(GE6-逐级计算!$P$187)*LN(10)/10))))))),"")</f>
        <v>-65</v>
      </c>
      <c r="GG6">
        <f>IF(AND(ISNUMBER(GF6),逐级计算!$X$188&gt;-1),IF(逐级计算!$X$188=0,GF6+逐级计算!$C$188,GF6+逐级计算!$C$188-(10/(逐级计算!$Q$188*LN(10))*(MAX((LN(10^(逐级计算!$Q$188/10)-1)+逐级计算!$Q$188*(GF6-逐级计算!$P$188)*LN(10)/10),0)+LN(1+EXP(-ABS((LN(10^(逐级计算!$Q$188/10)-1)+逐级计算!$Q$188*(GF6-逐级计算!$P$188)*LN(10)/10))))))),"")</f>
        <v>-65</v>
      </c>
      <c r="GH6">
        <f>IF(AND(ISNUMBER(GG6),逐级计算!$X$189&gt;-1),IF(逐级计算!$X$189=0,GG6+逐级计算!$C$189,GG6+逐级计算!$C$189-(10/(逐级计算!$Q$189*LN(10))*(MAX((LN(10^(逐级计算!$Q$189/10)-1)+逐级计算!$Q$189*(GG6-逐级计算!$P$189)*LN(10)/10),0)+LN(1+EXP(-ABS((LN(10^(逐级计算!$Q$189/10)-1)+逐级计算!$Q$189*(GG6-逐级计算!$P$189)*LN(10)/10))))))),"")</f>
        <v>-65</v>
      </c>
      <c r="GI6">
        <f>IF(AND(ISNUMBER(GH6),逐级计算!$X$190&gt;-1),IF(逐级计算!$X$190=0,GH6+逐级计算!$C$190,GH6+逐级计算!$C$190-(10/(逐级计算!$Q$190*LN(10))*(MAX((LN(10^(逐级计算!$Q$190/10)-1)+逐级计算!$Q$190*(GH6-逐级计算!$P$190)*LN(10)/10),0)+LN(1+EXP(-ABS((LN(10^(逐级计算!$Q$190/10)-1)+逐级计算!$Q$190*(GH6-逐级计算!$P$190)*LN(10)/10))))))),"")</f>
        <v>-65</v>
      </c>
      <c r="GJ6">
        <f>IF(AND(ISNUMBER(GI6),逐级计算!$X$191&gt;-1),IF(逐级计算!$X$191=0,GI6+逐级计算!$C$191,GI6+逐级计算!$C$191-(10/(逐级计算!$Q$191*LN(10))*(MAX((LN(10^(逐级计算!$Q$191/10)-1)+逐级计算!$Q$191*(GI6-逐级计算!$P$191)*LN(10)/10),0)+LN(1+EXP(-ABS((LN(10^(逐级计算!$Q$191/10)-1)+逐级计算!$Q$191*(GI6-逐级计算!$P$191)*LN(10)/10))))))),"")</f>
        <v>-65</v>
      </c>
      <c r="GK6">
        <f>IF(AND(ISNUMBER(GJ6),逐级计算!$X$192&gt;-1),IF(逐级计算!$X$192=0,GJ6+逐级计算!$C$192,GJ6+逐级计算!$C$192-(10/(逐级计算!$Q$192*LN(10))*(MAX((LN(10^(逐级计算!$Q$192/10)-1)+逐级计算!$Q$192*(GJ6-逐级计算!$P$192)*LN(10)/10),0)+LN(1+EXP(-ABS((LN(10^(逐级计算!$Q$192/10)-1)+逐级计算!$Q$192*(GJ6-逐级计算!$P$192)*LN(10)/10))))))),"")</f>
        <v>-65</v>
      </c>
      <c r="GL6">
        <f>IF(AND(ISNUMBER(GK6),逐级计算!$X$193&gt;-1),IF(逐级计算!$X$193=0,GK6+逐级计算!$C$193,GK6+逐级计算!$C$193-(10/(逐级计算!$Q$193*LN(10))*(MAX((LN(10^(逐级计算!$Q$193/10)-1)+逐级计算!$Q$193*(GK6-逐级计算!$P$193)*LN(10)/10),0)+LN(1+EXP(-ABS((LN(10^(逐级计算!$Q$193/10)-1)+逐级计算!$Q$193*(GK6-逐级计算!$P$193)*LN(10)/10))))))),"")</f>
        <v>-65</v>
      </c>
      <c r="GM6">
        <f>IF(AND(ISNUMBER(GL6),逐级计算!$X$194&gt;-1),IF(逐级计算!$X$194=0,GL6+逐级计算!$C$194,GL6+逐级计算!$C$194-(10/(逐级计算!$Q$194*LN(10))*(MAX((LN(10^(逐级计算!$Q$194/10)-1)+逐级计算!$Q$194*(GL6-逐级计算!$P$194)*LN(10)/10),0)+LN(1+EXP(-ABS((LN(10^(逐级计算!$Q$194/10)-1)+逐级计算!$Q$194*(GL6-逐级计算!$P$194)*LN(10)/10))))))),"")</f>
        <v>-65</v>
      </c>
      <c r="GN6">
        <f>IF(AND(ISNUMBER(GM6),逐级计算!$X$195&gt;-1),IF(逐级计算!$X$195=0,GM6+逐级计算!$C$195,GM6+逐级计算!$C$195-(10/(逐级计算!$Q$195*LN(10))*(MAX((LN(10^(逐级计算!$Q$195/10)-1)+逐级计算!$Q$195*(GM6-逐级计算!$P$195)*LN(10)/10),0)+LN(1+EXP(-ABS((LN(10^(逐级计算!$Q$195/10)-1)+逐级计算!$Q$195*(GM6-逐级计算!$P$195)*LN(10)/10))))))),"")</f>
        <v>-65</v>
      </c>
      <c r="GO6">
        <f>IF(AND(ISNUMBER(GN6),逐级计算!$X$196&gt;-1),IF(逐级计算!$X$196=0,GN6+逐级计算!$C$196,GN6+逐级计算!$C$196-(10/(逐级计算!$Q$196*LN(10))*(MAX((LN(10^(逐级计算!$Q$196/10)-1)+逐级计算!$Q$196*(GN6-逐级计算!$P$196)*LN(10)/10),0)+LN(1+EXP(-ABS((LN(10^(逐级计算!$Q$196/10)-1)+逐级计算!$Q$196*(GN6-逐级计算!$P$196)*LN(10)/10))))))),"")</f>
        <v>-65</v>
      </c>
      <c r="GP6">
        <f>IF(AND(ISNUMBER(GO6),逐级计算!$X$197&gt;-1),IF(逐级计算!$X$197=0,GO6+逐级计算!$C$197,GO6+逐级计算!$C$197-(10/(逐级计算!$Q$197*LN(10))*(MAX((LN(10^(逐级计算!$Q$197/10)-1)+逐级计算!$Q$197*(GO6-逐级计算!$P$197)*LN(10)/10),0)+LN(1+EXP(-ABS((LN(10^(逐级计算!$Q$197/10)-1)+逐级计算!$Q$197*(GO6-逐级计算!$P$197)*LN(10)/10))))))),"")</f>
        <v>-65</v>
      </c>
      <c r="GQ6">
        <f>IF(AND(ISNUMBER(GP6),逐级计算!$X$198&gt;-1),IF(逐级计算!$X$198=0,GP6+逐级计算!$C$198,GP6+逐级计算!$C$198-(10/(逐级计算!$Q$198*LN(10))*(MAX((LN(10^(逐级计算!$Q$198/10)-1)+逐级计算!$Q$198*(GP6-逐级计算!$P$198)*LN(10)/10),0)+LN(1+EXP(-ABS((LN(10^(逐级计算!$Q$198/10)-1)+逐级计算!$Q$198*(GP6-逐级计算!$P$198)*LN(10)/10))))))),"")</f>
        <v>-65</v>
      </c>
      <c r="GR6">
        <f>IF(AND(ISNUMBER(GQ6),逐级计算!$X$199&gt;-1),IF(逐级计算!$X$199=0,GQ6+逐级计算!$C$199,GQ6+逐级计算!$C$199-(10/(逐级计算!$Q$199*LN(10))*(MAX((LN(10^(逐级计算!$Q$199/10)-1)+逐级计算!$Q$199*(GQ6-逐级计算!$P$199)*LN(10)/10),0)+LN(1+EXP(-ABS((LN(10^(逐级计算!$Q$199/10)-1)+逐级计算!$Q$199*(GQ6-逐级计算!$P$199)*LN(10)/10))))))),"")</f>
        <v>-65</v>
      </c>
      <c r="GS6">
        <f>IF(AND(ISNUMBER(GR6),逐级计算!$X$200&gt;-1),IF(逐级计算!$X$200=0,GR6+逐级计算!$C$200,GR6+逐级计算!$C$200-(10/(逐级计算!$Q$200*LN(10))*(MAX((LN(10^(逐级计算!$Q$200/10)-1)+逐级计算!$Q$200*(GR6-逐级计算!$P$200)*LN(10)/10),0)+LN(1+EXP(-ABS((LN(10^(逐级计算!$Q$200/10)-1)+逐级计算!$Q$200*(GR6-逐级计算!$P$200)*LN(10)/10))))))),"")</f>
        <v>-65</v>
      </c>
      <c r="GT6">
        <f>IF(AND(ISNUMBER(GS6),逐级计算!$X$201&gt;-1),IF(逐级计算!$X$201=0,GS6+逐级计算!$C$201,GS6+逐级计算!$C$201-(10/(逐级计算!$Q$201*LN(10))*(MAX((LN(10^(逐级计算!$Q$201/10)-1)+逐级计算!$Q$201*(GS6-逐级计算!$P$201)*LN(10)/10),0)+LN(1+EXP(-ABS((LN(10^(逐级计算!$Q$201/10)-1)+逐级计算!$Q$201*(GS6-逐级计算!$P$201)*LN(10)/10))))))),"")</f>
        <v>-65</v>
      </c>
      <c r="GU6">
        <f>IF(AND(ISNUMBER(GT6),逐级计算!$X$202&gt;-1),IF(逐级计算!$X$202=0,GT6+逐级计算!$C$202,GT6+逐级计算!$C$202-(10/(逐级计算!$Q$202*LN(10))*(MAX((LN(10^(逐级计算!$Q$202/10)-1)+逐级计算!$Q$202*(GT6-逐级计算!$P$202)*LN(10)/10),0)+LN(1+EXP(-ABS((LN(10^(逐级计算!$Q$202/10)-1)+逐级计算!$Q$202*(GT6-逐级计算!$P$202)*LN(10)/10))))))),"")</f>
        <v>-65</v>
      </c>
      <c r="GV6">
        <f>IF(AND(ISNUMBER(GU6),逐级计算!$X$203&gt;-1),IF(逐级计算!$X$203=0,GU6+逐级计算!$C$203,GU6+逐级计算!$C$203-(10/(逐级计算!$Q$203*LN(10))*(MAX((LN(10^(逐级计算!$Q$203/10)-1)+逐级计算!$Q$203*(GU6-逐级计算!$P$203)*LN(10)/10),0)+LN(1+EXP(-ABS((LN(10^(逐级计算!$Q$203/10)-1)+逐级计算!$Q$203*(GU6-逐级计算!$P$203)*LN(10)/10))))))),"")</f>
        <v>-65</v>
      </c>
      <c r="GW6">
        <f>IF($B$2="可求解",MAX(逐级计算!W4:W203)+20,"")</f>
        <v>20</v>
      </c>
    </row>
    <row r="7" spans="1:205">
      <c r="A7" t="s">
        <v>605</v>
      </c>
      <c r="C7">
        <f>IF(ISNUMBER(GW6),GW6,"")</f>
        <v>20</v>
      </c>
      <c r="D7">
        <f>IF(AND(ISNUMBER(C7),ISNUMBER(逐级计算!$E$203),ISNUMBER(GV7)),C7+逐级计算!$E$203-GV7,"")</f>
        <v>24.0423800097247</v>
      </c>
      <c r="E7">
        <f>IF(AND(ISNUMBER(C7),逐级计算!$X$4&gt;-1),IF(逐级计算!$X$4=0,C7+逐级计算!$C$4,C7+逐级计算!$C$4-(10/(逐级计算!$Q$4*LN(10))*(MAX((LN(10^(逐级计算!$Q$4/10)-1)+逐级计算!$Q$4*(C7-逐级计算!$P$4)*LN(10)/10),0)+LN(1+EXP(-ABS((LN(10^(逐级计算!$Q$4/10)-1)+逐级计算!$Q$4*(C7-逐级计算!$P$4)*LN(10)/10))))))),"")</f>
        <v>11.1642459387667</v>
      </c>
      <c r="F7">
        <f>IF(AND(ISNUMBER(E7),逐级计算!$X$5&gt;-1),IF(逐级计算!$X$5=0,E7+逐级计算!$C$5,E7+逐级计算!$C$5-(10/(逐级计算!$Q$5*LN(10))*(MAX((LN(10^(逐级计算!$Q$5/10)-1)+逐级计算!$Q$5*(E7-逐级计算!$P$5)*LN(10)/10),0)+LN(1+EXP(-ABS((LN(10^(逐级计算!$Q$5/10)-1)+逐级计算!$Q$5*(E7-逐级计算!$P$5)*LN(10)/10))))))),"")</f>
        <v>15.9576199902753</v>
      </c>
      <c r="G7">
        <f>IF(AND(ISNUMBER(F7),逐级计算!$X$6&gt;-1),IF(逐级计算!$X$6=0,F7+逐级计算!$C$6,F7+逐级计算!$C$6-(10/(逐级计算!$Q$6*LN(10))*(MAX((LN(10^(逐级计算!$Q$6/10)-1)+逐级计算!$Q$6*(F7-逐级计算!$P$6)*LN(10)/10),0)+LN(1+EXP(-ABS((LN(10^(逐级计算!$Q$6/10)-1)+逐级计算!$Q$6*(F7-逐级计算!$P$6)*LN(10)/10))))))),"")</f>
        <v>15.9576199902753</v>
      </c>
      <c r="H7">
        <f>IF(AND(ISNUMBER(G7),逐级计算!$X$7&gt;-1),IF(逐级计算!$X$7=0,G7+逐级计算!$C$7,G7+逐级计算!$C$7-(10/(逐级计算!$Q$7*LN(10))*(MAX((LN(10^(逐级计算!$Q$7/10)-1)+逐级计算!$Q$7*(G7-逐级计算!$P$7)*LN(10)/10),0)+LN(1+EXP(-ABS((LN(10^(逐级计算!$Q$7/10)-1)+逐级计算!$Q$7*(G7-逐级计算!$P$7)*LN(10)/10))))))),"")</f>
        <v>15.9576199902753</v>
      </c>
      <c r="I7">
        <f>IF(AND(ISNUMBER(H7),逐级计算!$X$8&gt;-1),IF(逐级计算!$X$8=0,H7+逐级计算!$C$8,H7+逐级计算!$C$8-(10/(逐级计算!$Q$8*LN(10))*(MAX((LN(10^(逐级计算!$Q$8/10)-1)+逐级计算!$Q$8*(H7-逐级计算!$P$8)*LN(10)/10),0)+LN(1+EXP(-ABS((LN(10^(逐级计算!$Q$8/10)-1)+逐级计算!$Q$8*(H7-逐级计算!$P$8)*LN(10)/10))))))),"")</f>
        <v>15.9576199902753</v>
      </c>
      <c r="J7">
        <f>IF(AND(ISNUMBER(I7),逐级计算!$X$9&gt;-1),IF(逐级计算!$X$9=0,I7+逐级计算!$C$9,I7+逐级计算!$C$9-(10/(逐级计算!$Q$9*LN(10))*(MAX((LN(10^(逐级计算!$Q$9/10)-1)+逐级计算!$Q$9*(I7-逐级计算!$P$9)*LN(10)/10),0)+LN(1+EXP(-ABS((LN(10^(逐级计算!$Q$9/10)-1)+逐级计算!$Q$9*(I7-逐级计算!$P$9)*LN(10)/10))))))),"")</f>
        <v>15.9576199902753</v>
      </c>
      <c r="K7">
        <f>IF(AND(ISNUMBER(J7),逐级计算!$X$10&gt;-1),IF(逐级计算!$X$10=0,J7+逐级计算!$C$10,J7+逐级计算!$C$10-(10/(逐级计算!$Q$10*LN(10))*(MAX((LN(10^(逐级计算!$Q$10/10)-1)+逐级计算!$Q$10*(J7-逐级计算!$P$10)*LN(10)/10),0)+LN(1+EXP(-ABS((LN(10^(逐级计算!$Q$10/10)-1)+逐级计算!$Q$10*(J7-逐级计算!$P$10)*LN(10)/10))))))),"")</f>
        <v>15.9576199902753</v>
      </c>
      <c r="L7">
        <f>IF(AND(ISNUMBER(K7),逐级计算!$X$11&gt;-1),IF(逐级计算!$X$11=0,K7+逐级计算!$C$11,K7+逐级计算!$C$11-(10/(逐级计算!$Q$11*LN(10))*(MAX((LN(10^(逐级计算!$Q$11/10)-1)+逐级计算!$Q$11*(K7-逐级计算!$P$11)*LN(10)/10),0)+LN(1+EXP(-ABS((LN(10^(逐级计算!$Q$11/10)-1)+逐级计算!$Q$11*(K7-逐级计算!$P$11)*LN(10)/10))))))),"")</f>
        <v>15.9576199902753</v>
      </c>
      <c r="M7">
        <f>IF(AND(ISNUMBER(L7),逐级计算!$X$12&gt;-1),IF(逐级计算!$X$12=0,L7+逐级计算!$C$12,L7+逐级计算!$C$12-(10/(逐级计算!$Q$12*LN(10))*(MAX((LN(10^(逐级计算!$Q$12/10)-1)+逐级计算!$Q$12*(L7-逐级计算!$P$12)*LN(10)/10),0)+LN(1+EXP(-ABS((LN(10^(逐级计算!$Q$12/10)-1)+逐级计算!$Q$12*(L7-逐级计算!$P$12)*LN(10)/10))))))),"")</f>
        <v>15.9576199902753</v>
      </c>
      <c r="N7">
        <f>IF(AND(ISNUMBER(M7),逐级计算!$X$13&gt;-1),IF(逐级计算!$X$13=0,M7+逐级计算!$C$13,M7+逐级计算!$C$13-(10/(逐级计算!$Q$13*LN(10))*(MAX((LN(10^(逐级计算!$Q$13/10)-1)+逐级计算!$Q$13*(M7-逐级计算!$P$13)*LN(10)/10),0)+LN(1+EXP(-ABS((LN(10^(逐级计算!$Q$13/10)-1)+逐级计算!$Q$13*(M7-逐级计算!$P$13)*LN(10)/10))))))),"")</f>
        <v>15.9576199902753</v>
      </c>
      <c r="O7">
        <f>IF(AND(ISNUMBER(N7),逐级计算!$X$14&gt;-1),IF(逐级计算!$X$14=0,N7+逐级计算!$C$14,N7+逐级计算!$C$14-(10/(逐级计算!$Q$14*LN(10))*(MAX((LN(10^(逐级计算!$Q$14/10)-1)+逐级计算!$Q$14*(N7-逐级计算!$P$14)*LN(10)/10),0)+LN(1+EXP(-ABS((LN(10^(逐级计算!$Q$14/10)-1)+逐级计算!$Q$14*(N7-逐级计算!$P$14)*LN(10)/10))))))),"")</f>
        <v>15.9576199902753</v>
      </c>
      <c r="P7">
        <f>IF(AND(ISNUMBER(O7),逐级计算!$X$15&gt;-1),IF(逐级计算!$X$15=0,O7+逐级计算!$C$15,O7+逐级计算!$C$15-(10/(逐级计算!$Q$15*LN(10))*(MAX((LN(10^(逐级计算!$Q$15/10)-1)+逐级计算!$Q$15*(O7-逐级计算!$P$15)*LN(10)/10),0)+LN(1+EXP(-ABS((LN(10^(逐级计算!$Q$15/10)-1)+逐级计算!$Q$15*(O7-逐级计算!$P$15)*LN(10)/10))))))),"")</f>
        <v>15.9576199902753</v>
      </c>
      <c r="Q7">
        <f>IF(AND(ISNUMBER(P7),逐级计算!$X$16&gt;-1),IF(逐级计算!$X$16=0,P7+逐级计算!$C$16,P7+逐级计算!$C$16-(10/(逐级计算!$Q$16*LN(10))*(MAX((LN(10^(逐级计算!$Q$16/10)-1)+逐级计算!$Q$16*(P7-逐级计算!$P$16)*LN(10)/10),0)+LN(1+EXP(-ABS((LN(10^(逐级计算!$Q$16/10)-1)+逐级计算!$Q$16*(P7-逐级计算!$P$16)*LN(10)/10))))))),"")</f>
        <v>15.9576199902753</v>
      </c>
      <c r="R7">
        <f>IF(AND(ISNUMBER(Q7),逐级计算!$X$17&gt;-1),IF(逐级计算!$X$17=0,Q7+逐级计算!$C$17,Q7+逐级计算!$C$17-(10/(逐级计算!$Q$17*LN(10))*(MAX((LN(10^(逐级计算!$Q$17/10)-1)+逐级计算!$Q$17*(Q7-逐级计算!$P$17)*LN(10)/10),0)+LN(1+EXP(-ABS((LN(10^(逐级计算!$Q$17/10)-1)+逐级计算!$Q$17*(Q7-逐级计算!$P$17)*LN(10)/10))))))),"")</f>
        <v>15.9576199902753</v>
      </c>
      <c r="S7">
        <f>IF(AND(ISNUMBER(R7),逐级计算!$X$18&gt;-1),IF(逐级计算!$X$18=0,R7+逐级计算!$C$18,R7+逐级计算!$C$18-(10/(逐级计算!$Q$18*LN(10))*(MAX((LN(10^(逐级计算!$Q$18/10)-1)+逐级计算!$Q$18*(R7-逐级计算!$P$18)*LN(10)/10),0)+LN(1+EXP(-ABS((LN(10^(逐级计算!$Q$18/10)-1)+逐级计算!$Q$18*(R7-逐级计算!$P$18)*LN(10)/10))))))),"")</f>
        <v>15.9576199902753</v>
      </c>
      <c r="T7">
        <f>IF(AND(ISNUMBER(S7),逐级计算!$X$19&gt;-1),IF(逐级计算!$X$19=0,S7+逐级计算!$C$19,S7+逐级计算!$C$19-(10/(逐级计算!$Q$19*LN(10))*(MAX((LN(10^(逐级计算!$Q$19/10)-1)+逐级计算!$Q$19*(S7-逐级计算!$P$19)*LN(10)/10),0)+LN(1+EXP(-ABS((LN(10^(逐级计算!$Q$19/10)-1)+逐级计算!$Q$19*(S7-逐级计算!$P$19)*LN(10)/10))))))),"")</f>
        <v>15.9576199902753</v>
      </c>
      <c r="U7">
        <f>IF(AND(ISNUMBER(T7),逐级计算!$X$20&gt;-1),IF(逐级计算!$X$20=0,T7+逐级计算!$C$20,T7+逐级计算!$C$20-(10/(逐级计算!$Q$20*LN(10))*(MAX((LN(10^(逐级计算!$Q$20/10)-1)+逐级计算!$Q$20*(T7-逐级计算!$P$20)*LN(10)/10),0)+LN(1+EXP(-ABS((LN(10^(逐级计算!$Q$20/10)-1)+逐级计算!$Q$20*(T7-逐级计算!$P$20)*LN(10)/10))))))),"")</f>
        <v>15.9576199902753</v>
      </c>
      <c r="V7">
        <f>IF(AND(ISNUMBER(U7),逐级计算!$X$21&gt;-1),IF(逐级计算!$X$21=0,U7+逐级计算!$C$21,U7+逐级计算!$C$21-(10/(逐级计算!$Q$21*LN(10))*(MAX((LN(10^(逐级计算!$Q$21/10)-1)+逐级计算!$Q$21*(U7-逐级计算!$P$21)*LN(10)/10),0)+LN(1+EXP(-ABS((LN(10^(逐级计算!$Q$21/10)-1)+逐级计算!$Q$21*(U7-逐级计算!$P$21)*LN(10)/10))))))),"")</f>
        <v>15.9576199902753</v>
      </c>
      <c r="W7">
        <f>IF(AND(ISNUMBER(V7),逐级计算!$X$22&gt;-1),IF(逐级计算!$X$22=0,V7+逐级计算!$C$22,V7+逐级计算!$C$22-(10/(逐级计算!$Q$22*LN(10))*(MAX((LN(10^(逐级计算!$Q$22/10)-1)+逐级计算!$Q$22*(V7-逐级计算!$P$22)*LN(10)/10),0)+LN(1+EXP(-ABS((LN(10^(逐级计算!$Q$22/10)-1)+逐级计算!$Q$22*(V7-逐级计算!$P$22)*LN(10)/10))))))),"")</f>
        <v>15.9576199902753</v>
      </c>
      <c r="X7">
        <f>IF(AND(ISNUMBER(W7),逐级计算!$X$23&gt;-1),IF(逐级计算!$X$23=0,W7+逐级计算!$C$23,W7+逐级计算!$C$23-(10/(逐级计算!$Q$23*LN(10))*(MAX((LN(10^(逐级计算!$Q$23/10)-1)+逐级计算!$Q$23*(W7-逐级计算!$P$23)*LN(10)/10),0)+LN(1+EXP(-ABS((LN(10^(逐级计算!$Q$23/10)-1)+逐级计算!$Q$23*(W7-逐级计算!$P$23)*LN(10)/10))))))),"")</f>
        <v>15.9576199902753</v>
      </c>
      <c r="Y7">
        <f>IF(AND(ISNUMBER(X7),逐级计算!$X$24&gt;-1),IF(逐级计算!$X$24=0,X7+逐级计算!$C$24,X7+逐级计算!$C$24-(10/(逐级计算!$Q$24*LN(10))*(MAX((LN(10^(逐级计算!$Q$24/10)-1)+逐级计算!$Q$24*(X7-逐级计算!$P$24)*LN(10)/10),0)+LN(1+EXP(-ABS((LN(10^(逐级计算!$Q$24/10)-1)+逐级计算!$Q$24*(X7-逐级计算!$P$24)*LN(10)/10))))))),"")</f>
        <v>15.9576199902753</v>
      </c>
      <c r="Z7">
        <f>IF(AND(ISNUMBER(Y7),逐级计算!$X$25&gt;-1),IF(逐级计算!$X$25=0,Y7+逐级计算!$C$25,Y7+逐级计算!$C$25-(10/(逐级计算!$Q$25*LN(10))*(MAX((LN(10^(逐级计算!$Q$25/10)-1)+逐级计算!$Q$25*(Y7-逐级计算!$P$25)*LN(10)/10),0)+LN(1+EXP(-ABS((LN(10^(逐级计算!$Q$25/10)-1)+逐级计算!$Q$25*(Y7-逐级计算!$P$25)*LN(10)/10))))))),"")</f>
        <v>15.9576199902753</v>
      </c>
      <c r="AA7">
        <f>IF(AND(ISNUMBER(Z7),逐级计算!$X$26&gt;-1),IF(逐级计算!$X$26=0,Z7+逐级计算!$C$26,Z7+逐级计算!$C$26-(10/(逐级计算!$Q$26*LN(10))*(MAX((LN(10^(逐级计算!$Q$26/10)-1)+逐级计算!$Q$26*(Z7-逐级计算!$P$26)*LN(10)/10),0)+LN(1+EXP(-ABS((LN(10^(逐级计算!$Q$26/10)-1)+逐级计算!$Q$26*(Z7-逐级计算!$P$26)*LN(10)/10))))))),"")</f>
        <v>15.9576199902753</v>
      </c>
      <c r="AB7">
        <f>IF(AND(ISNUMBER(AA7),逐级计算!$X$27&gt;-1),IF(逐级计算!$X$27=0,AA7+逐级计算!$C$27,AA7+逐级计算!$C$27-(10/(逐级计算!$Q$27*LN(10))*(MAX((LN(10^(逐级计算!$Q$27/10)-1)+逐级计算!$Q$27*(AA7-逐级计算!$P$27)*LN(10)/10),0)+LN(1+EXP(-ABS((LN(10^(逐级计算!$Q$27/10)-1)+逐级计算!$Q$27*(AA7-逐级计算!$P$27)*LN(10)/10))))))),"")</f>
        <v>15.9576199902753</v>
      </c>
      <c r="AC7">
        <f>IF(AND(ISNUMBER(AB7),逐级计算!$X$28&gt;-1),IF(逐级计算!$X$28=0,AB7+逐级计算!$C$28,AB7+逐级计算!$C$28-(10/(逐级计算!$Q$28*LN(10))*(MAX((LN(10^(逐级计算!$Q$28/10)-1)+逐级计算!$Q$28*(AB7-逐级计算!$P$28)*LN(10)/10),0)+LN(1+EXP(-ABS((LN(10^(逐级计算!$Q$28/10)-1)+逐级计算!$Q$28*(AB7-逐级计算!$P$28)*LN(10)/10))))))),"")</f>
        <v>15.9576199902753</v>
      </c>
      <c r="AD7">
        <f>IF(AND(ISNUMBER(AC7),逐级计算!$X$29&gt;-1),IF(逐级计算!$X$29=0,AC7+逐级计算!$C$29,AC7+逐级计算!$C$29-(10/(逐级计算!$Q$29*LN(10))*(MAX((LN(10^(逐级计算!$Q$29/10)-1)+逐级计算!$Q$29*(AC7-逐级计算!$P$29)*LN(10)/10),0)+LN(1+EXP(-ABS((LN(10^(逐级计算!$Q$29/10)-1)+逐级计算!$Q$29*(AC7-逐级计算!$P$29)*LN(10)/10))))))),"")</f>
        <v>15.9576199902753</v>
      </c>
      <c r="AE7">
        <f>IF(AND(ISNUMBER(AD7),逐级计算!$X$30&gt;-1),IF(逐级计算!$X$30=0,AD7+逐级计算!$C$30,AD7+逐级计算!$C$30-(10/(逐级计算!$Q$30*LN(10))*(MAX((LN(10^(逐级计算!$Q$30/10)-1)+逐级计算!$Q$30*(AD7-逐级计算!$P$30)*LN(10)/10),0)+LN(1+EXP(-ABS((LN(10^(逐级计算!$Q$30/10)-1)+逐级计算!$Q$30*(AD7-逐级计算!$P$30)*LN(10)/10))))))),"")</f>
        <v>15.9576199902753</v>
      </c>
      <c r="AF7">
        <f>IF(AND(ISNUMBER(AE7),逐级计算!$X$31&gt;-1),IF(逐级计算!$X$31=0,AE7+逐级计算!$C$31,AE7+逐级计算!$C$31-(10/(逐级计算!$Q$31*LN(10))*(MAX((LN(10^(逐级计算!$Q$31/10)-1)+逐级计算!$Q$31*(AE7-逐级计算!$P$31)*LN(10)/10),0)+LN(1+EXP(-ABS((LN(10^(逐级计算!$Q$31/10)-1)+逐级计算!$Q$31*(AE7-逐级计算!$P$31)*LN(10)/10))))))),"")</f>
        <v>15.9576199902753</v>
      </c>
      <c r="AG7">
        <f>IF(AND(ISNUMBER(AF7),逐级计算!$X$32&gt;-1),IF(逐级计算!$X$32=0,AF7+逐级计算!$C$32,AF7+逐级计算!$C$32-(10/(逐级计算!$Q$32*LN(10))*(MAX((LN(10^(逐级计算!$Q$32/10)-1)+逐级计算!$Q$32*(AF7-逐级计算!$P$32)*LN(10)/10),0)+LN(1+EXP(-ABS((LN(10^(逐级计算!$Q$32/10)-1)+逐级计算!$Q$32*(AF7-逐级计算!$P$32)*LN(10)/10))))))),"")</f>
        <v>15.9576199902753</v>
      </c>
      <c r="AH7">
        <f>IF(AND(ISNUMBER(AG7),逐级计算!$X$33&gt;-1),IF(逐级计算!$X$33=0,AG7+逐级计算!$C$33,AG7+逐级计算!$C$33-(10/(逐级计算!$Q$33*LN(10))*(MAX((LN(10^(逐级计算!$Q$33/10)-1)+逐级计算!$Q$33*(AG7-逐级计算!$P$33)*LN(10)/10),0)+LN(1+EXP(-ABS((LN(10^(逐级计算!$Q$33/10)-1)+逐级计算!$Q$33*(AG7-逐级计算!$P$33)*LN(10)/10))))))),"")</f>
        <v>15.9576199902753</v>
      </c>
      <c r="AI7">
        <f>IF(AND(ISNUMBER(AH7),逐级计算!$X$34&gt;-1),IF(逐级计算!$X$34=0,AH7+逐级计算!$C$34,AH7+逐级计算!$C$34-(10/(逐级计算!$Q$34*LN(10))*(MAX((LN(10^(逐级计算!$Q$34/10)-1)+逐级计算!$Q$34*(AH7-逐级计算!$P$34)*LN(10)/10),0)+LN(1+EXP(-ABS((LN(10^(逐级计算!$Q$34/10)-1)+逐级计算!$Q$34*(AH7-逐级计算!$P$34)*LN(10)/10))))))),"")</f>
        <v>15.9576199902753</v>
      </c>
      <c r="AJ7">
        <f>IF(AND(ISNUMBER(AI7),逐级计算!$X$35&gt;-1),IF(逐级计算!$X$35=0,AI7+逐级计算!$C$35,AI7+逐级计算!$C$35-(10/(逐级计算!$Q$35*LN(10))*(MAX((LN(10^(逐级计算!$Q$35/10)-1)+逐级计算!$Q$35*(AI7-逐级计算!$P$35)*LN(10)/10),0)+LN(1+EXP(-ABS((LN(10^(逐级计算!$Q$35/10)-1)+逐级计算!$Q$35*(AI7-逐级计算!$P$35)*LN(10)/10))))))),"")</f>
        <v>15.9576199902753</v>
      </c>
      <c r="AK7">
        <f>IF(AND(ISNUMBER(AJ7),逐级计算!$X$36&gt;-1),IF(逐级计算!$X$36=0,AJ7+逐级计算!$C$36,AJ7+逐级计算!$C$36-(10/(逐级计算!$Q$36*LN(10))*(MAX((LN(10^(逐级计算!$Q$36/10)-1)+逐级计算!$Q$36*(AJ7-逐级计算!$P$36)*LN(10)/10),0)+LN(1+EXP(-ABS((LN(10^(逐级计算!$Q$36/10)-1)+逐级计算!$Q$36*(AJ7-逐级计算!$P$36)*LN(10)/10))))))),"")</f>
        <v>15.9576199902753</v>
      </c>
      <c r="AL7">
        <f>IF(AND(ISNUMBER(AK7),逐级计算!$X$37&gt;-1),IF(逐级计算!$X$37=0,AK7+逐级计算!$C$37,AK7+逐级计算!$C$37-(10/(逐级计算!$Q$37*LN(10))*(MAX((LN(10^(逐级计算!$Q$37/10)-1)+逐级计算!$Q$37*(AK7-逐级计算!$P$37)*LN(10)/10),0)+LN(1+EXP(-ABS((LN(10^(逐级计算!$Q$37/10)-1)+逐级计算!$Q$37*(AK7-逐级计算!$P$37)*LN(10)/10))))))),"")</f>
        <v>15.9576199902753</v>
      </c>
      <c r="AM7">
        <f>IF(AND(ISNUMBER(AL7),逐级计算!$X$38&gt;-1),IF(逐级计算!$X$38=0,AL7+逐级计算!$C$38,AL7+逐级计算!$C$38-(10/(逐级计算!$Q$38*LN(10))*(MAX((LN(10^(逐级计算!$Q$38/10)-1)+逐级计算!$Q$38*(AL7-逐级计算!$P$38)*LN(10)/10),0)+LN(1+EXP(-ABS((LN(10^(逐级计算!$Q$38/10)-1)+逐级计算!$Q$38*(AL7-逐级计算!$P$38)*LN(10)/10))))))),"")</f>
        <v>15.9576199902753</v>
      </c>
      <c r="AN7">
        <f>IF(AND(ISNUMBER(AM7),逐级计算!$X$39&gt;-1),IF(逐级计算!$X$39=0,AM7+逐级计算!$C$39,AM7+逐级计算!$C$39-(10/(逐级计算!$Q$39*LN(10))*(MAX((LN(10^(逐级计算!$Q$39/10)-1)+逐级计算!$Q$39*(AM7-逐级计算!$P$39)*LN(10)/10),0)+LN(1+EXP(-ABS((LN(10^(逐级计算!$Q$39/10)-1)+逐级计算!$Q$39*(AM7-逐级计算!$P$39)*LN(10)/10))))))),"")</f>
        <v>15.9576199902753</v>
      </c>
      <c r="AO7">
        <f>IF(AND(ISNUMBER(AN7),逐级计算!$X$40&gt;-1),IF(逐级计算!$X$40=0,AN7+逐级计算!$C$40,AN7+逐级计算!$C$40-(10/(逐级计算!$Q$40*LN(10))*(MAX((LN(10^(逐级计算!$Q$40/10)-1)+逐级计算!$Q$40*(AN7-逐级计算!$P$40)*LN(10)/10),0)+LN(1+EXP(-ABS((LN(10^(逐级计算!$Q$40/10)-1)+逐级计算!$Q$40*(AN7-逐级计算!$P$40)*LN(10)/10))))))),"")</f>
        <v>15.9576199902753</v>
      </c>
      <c r="AP7">
        <f>IF(AND(ISNUMBER(AO7),逐级计算!$X$41&gt;-1),IF(逐级计算!$X$41=0,AO7+逐级计算!$C$41,AO7+逐级计算!$C$41-(10/(逐级计算!$Q$41*LN(10))*(MAX((LN(10^(逐级计算!$Q$41/10)-1)+逐级计算!$Q$41*(AO7-逐级计算!$P$41)*LN(10)/10),0)+LN(1+EXP(-ABS((LN(10^(逐级计算!$Q$41/10)-1)+逐级计算!$Q$41*(AO7-逐级计算!$P$41)*LN(10)/10))))))),"")</f>
        <v>15.9576199902753</v>
      </c>
      <c r="AQ7">
        <f>IF(AND(ISNUMBER(AP7),逐级计算!$X$42&gt;-1),IF(逐级计算!$X$42=0,AP7+逐级计算!$C$42,AP7+逐级计算!$C$42-(10/(逐级计算!$Q$42*LN(10))*(MAX((LN(10^(逐级计算!$Q$42/10)-1)+逐级计算!$Q$42*(AP7-逐级计算!$P$42)*LN(10)/10),0)+LN(1+EXP(-ABS((LN(10^(逐级计算!$Q$42/10)-1)+逐级计算!$Q$42*(AP7-逐级计算!$P$42)*LN(10)/10))))))),"")</f>
        <v>15.9576199902753</v>
      </c>
      <c r="AR7">
        <f>IF(AND(ISNUMBER(AQ7),逐级计算!$X$43&gt;-1),IF(逐级计算!$X$43=0,AQ7+逐级计算!$C$43,AQ7+逐级计算!$C$43-(10/(逐级计算!$Q$43*LN(10))*(MAX((LN(10^(逐级计算!$Q$43/10)-1)+逐级计算!$Q$43*(AQ7-逐级计算!$P$43)*LN(10)/10),0)+LN(1+EXP(-ABS((LN(10^(逐级计算!$Q$43/10)-1)+逐级计算!$Q$43*(AQ7-逐级计算!$P$43)*LN(10)/10))))))),"")</f>
        <v>15.9576199902753</v>
      </c>
      <c r="AS7">
        <f>IF(AND(ISNUMBER(AR7),逐级计算!$X$44&gt;-1),IF(逐级计算!$X$44=0,AR7+逐级计算!$C$44,AR7+逐级计算!$C$44-(10/(逐级计算!$Q$44*LN(10))*(MAX((LN(10^(逐级计算!$Q$44/10)-1)+逐级计算!$Q$44*(AR7-逐级计算!$P$44)*LN(10)/10),0)+LN(1+EXP(-ABS((LN(10^(逐级计算!$Q$44/10)-1)+逐级计算!$Q$44*(AR7-逐级计算!$P$44)*LN(10)/10))))))),"")</f>
        <v>15.9576199902753</v>
      </c>
      <c r="AT7">
        <f>IF(AND(ISNUMBER(AS7),逐级计算!$X$45&gt;-1),IF(逐级计算!$X$45=0,AS7+逐级计算!$C$45,AS7+逐级计算!$C$45-(10/(逐级计算!$Q$45*LN(10))*(MAX((LN(10^(逐级计算!$Q$45/10)-1)+逐级计算!$Q$45*(AS7-逐级计算!$P$45)*LN(10)/10),0)+LN(1+EXP(-ABS((LN(10^(逐级计算!$Q$45/10)-1)+逐级计算!$Q$45*(AS7-逐级计算!$P$45)*LN(10)/10))))))),"")</f>
        <v>15.9576199902753</v>
      </c>
      <c r="AU7">
        <f>IF(AND(ISNUMBER(AT7),逐级计算!$X$46&gt;-1),IF(逐级计算!$X$46=0,AT7+逐级计算!$C$46,AT7+逐级计算!$C$46-(10/(逐级计算!$Q$46*LN(10))*(MAX((LN(10^(逐级计算!$Q$46/10)-1)+逐级计算!$Q$46*(AT7-逐级计算!$P$46)*LN(10)/10),0)+LN(1+EXP(-ABS((LN(10^(逐级计算!$Q$46/10)-1)+逐级计算!$Q$46*(AT7-逐级计算!$P$46)*LN(10)/10))))))),"")</f>
        <v>15.9576199902753</v>
      </c>
      <c r="AV7">
        <f>IF(AND(ISNUMBER(AU7),逐级计算!$X$47&gt;-1),IF(逐级计算!$X$47=0,AU7+逐级计算!$C$47,AU7+逐级计算!$C$47-(10/(逐级计算!$Q$47*LN(10))*(MAX((LN(10^(逐级计算!$Q$47/10)-1)+逐级计算!$Q$47*(AU7-逐级计算!$P$47)*LN(10)/10),0)+LN(1+EXP(-ABS((LN(10^(逐级计算!$Q$47/10)-1)+逐级计算!$Q$47*(AU7-逐级计算!$P$47)*LN(10)/10))))))),"")</f>
        <v>15.9576199902753</v>
      </c>
      <c r="AW7">
        <f>IF(AND(ISNUMBER(AV7),逐级计算!$X$48&gt;-1),IF(逐级计算!$X$48=0,AV7+逐级计算!$C$48,AV7+逐级计算!$C$48-(10/(逐级计算!$Q$48*LN(10))*(MAX((LN(10^(逐级计算!$Q$48/10)-1)+逐级计算!$Q$48*(AV7-逐级计算!$P$48)*LN(10)/10),0)+LN(1+EXP(-ABS((LN(10^(逐级计算!$Q$48/10)-1)+逐级计算!$Q$48*(AV7-逐级计算!$P$48)*LN(10)/10))))))),"")</f>
        <v>15.9576199902753</v>
      </c>
      <c r="AX7">
        <f>IF(AND(ISNUMBER(AW7),逐级计算!$X$49&gt;-1),IF(逐级计算!$X$49=0,AW7+逐级计算!$C$49,AW7+逐级计算!$C$49-(10/(逐级计算!$Q$49*LN(10))*(MAX((LN(10^(逐级计算!$Q$49/10)-1)+逐级计算!$Q$49*(AW7-逐级计算!$P$49)*LN(10)/10),0)+LN(1+EXP(-ABS((LN(10^(逐级计算!$Q$49/10)-1)+逐级计算!$Q$49*(AW7-逐级计算!$P$49)*LN(10)/10))))))),"")</f>
        <v>15.9576199902753</v>
      </c>
      <c r="AY7">
        <f>IF(AND(ISNUMBER(AX7),逐级计算!$X$50&gt;-1),IF(逐级计算!$X$50=0,AX7+逐级计算!$C$50,AX7+逐级计算!$C$50-(10/(逐级计算!$Q$50*LN(10))*(MAX((LN(10^(逐级计算!$Q$50/10)-1)+逐级计算!$Q$50*(AX7-逐级计算!$P$50)*LN(10)/10),0)+LN(1+EXP(-ABS((LN(10^(逐级计算!$Q$50/10)-1)+逐级计算!$Q$50*(AX7-逐级计算!$P$50)*LN(10)/10))))))),"")</f>
        <v>15.9576199902753</v>
      </c>
      <c r="AZ7">
        <f>IF(AND(ISNUMBER(AY7),逐级计算!$X$51&gt;-1),IF(逐级计算!$X$51=0,AY7+逐级计算!$C$51,AY7+逐级计算!$C$51-(10/(逐级计算!$Q$51*LN(10))*(MAX((LN(10^(逐级计算!$Q$51/10)-1)+逐级计算!$Q$51*(AY7-逐级计算!$P$51)*LN(10)/10),0)+LN(1+EXP(-ABS((LN(10^(逐级计算!$Q$51/10)-1)+逐级计算!$Q$51*(AY7-逐级计算!$P$51)*LN(10)/10))))))),"")</f>
        <v>15.9576199902753</v>
      </c>
      <c r="BA7">
        <f>IF(AND(ISNUMBER(AZ7),逐级计算!$X$52&gt;-1),IF(逐级计算!$X$52=0,AZ7+逐级计算!$C$52,AZ7+逐级计算!$C$52-(10/(逐级计算!$Q$52*LN(10))*(MAX((LN(10^(逐级计算!$Q$52/10)-1)+逐级计算!$Q$52*(AZ7-逐级计算!$P$52)*LN(10)/10),0)+LN(1+EXP(-ABS((LN(10^(逐级计算!$Q$52/10)-1)+逐级计算!$Q$52*(AZ7-逐级计算!$P$52)*LN(10)/10))))))),"")</f>
        <v>15.9576199902753</v>
      </c>
      <c r="BB7">
        <f>IF(AND(ISNUMBER(BA7),逐级计算!$X$53&gt;-1),IF(逐级计算!$X$53=0,BA7+逐级计算!$C$53,BA7+逐级计算!$C$53-(10/(逐级计算!$Q$53*LN(10))*(MAX((LN(10^(逐级计算!$Q$53/10)-1)+逐级计算!$Q$53*(BA7-逐级计算!$P$53)*LN(10)/10),0)+LN(1+EXP(-ABS((LN(10^(逐级计算!$Q$53/10)-1)+逐级计算!$Q$53*(BA7-逐级计算!$P$53)*LN(10)/10))))))),"")</f>
        <v>15.9576199902753</v>
      </c>
      <c r="BC7">
        <f>IF(AND(ISNUMBER(BB7),逐级计算!$X$54&gt;-1),IF(逐级计算!$X$54=0,BB7+逐级计算!$C$54,BB7+逐级计算!$C$54-(10/(逐级计算!$Q$54*LN(10))*(MAX((LN(10^(逐级计算!$Q$54/10)-1)+逐级计算!$Q$54*(BB7-逐级计算!$P$54)*LN(10)/10),0)+LN(1+EXP(-ABS((LN(10^(逐级计算!$Q$54/10)-1)+逐级计算!$Q$54*(BB7-逐级计算!$P$54)*LN(10)/10))))))),"")</f>
        <v>15.9576199902753</v>
      </c>
      <c r="BD7">
        <f>IF(AND(ISNUMBER(BC7),逐级计算!$X$55&gt;-1),IF(逐级计算!$X$55=0,BC7+逐级计算!$C$55,BC7+逐级计算!$C$55-(10/(逐级计算!$Q$55*LN(10))*(MAX((LN(10^(逐级计算!$Q$55/10)-1)+逐级计算!$Q$55*(BC7-逐级计算!$P$55)*LN(10)/10),0)+LN(1+EXP(-ABS((LN(10^(逐级计算!$Q$55/10)-1)+逐级计算!$Q$55*(BC7-逐级计算!$P$55)*LN(10)/10))))))),"")</f>
        <v>15.9576199902753</v>
      </c>
      <c r="BE7">
        <f>IF(AND(ISNUMBER(BD7),逐级计算!$X$56&gt;-1),IF(逐级计算!$X$56=0,BD7+逐级计算!$C$56,BD7+逐级计算!$C$56-(10/(逐级计算!$Q$56*LN(10))*(MAX((LN(10^(逐级计算!$Q$56/10)-1)+逐级计算!$Q$56*(BD7-逐级计算!$P$56)*LN(10)/10),0)+LN(1+EXP(-ABS((LN(10^(逐级计算!$Q$56/10)-1)+逐级计算!$Q$56*(BD7-逐级计算!$P$56)*LN(10)/10))))))),"")</f>
        <v>15.9576199902753</v>
      </c>
      <c r="BF7">
        <f>IF(AND(ISNUMBER(BE7),逐级计算!$X$57&gt;-1),IF(逐级计算!$X$57=0,BE7+逐级计算!$C$57,BE7+逐级计算!$C$57-(10/(逐级计算!$Q$57*LN(10))*(MAX((LN(10^(逐级计算!$Q$57/10)-1)+逐级计算!$Q$57*(BE7-逐级计算!$P$57)*LN(10)/10),0)+LN(1+EXP(-ABS((LN(10^(逐级计算!$Q$57/10)-1)+逐级计算!$Q$57*(BE7-逐级计算!$P$57)*LN(10)/10))))))),"")</f>
        <v>15.9576199902753</v>
      </c>
      <c r="BG7">
        <f>IF(AND(ISNUMBER(BF7),逐级计算!$X$58&gt;-1),IF(逐级计算!$X$58=0,BF7+逐级计算!$C$58,BF7+逐级计算!$C$58-(10/(逐级计算!$Q$58*LN(10))*(MAX((LN(10^(逐级计算!$Q$58/10)-1)+逐级计算!$Q$58*(BF7-逐级计算!$P$58)*LN(10)/10),0)+LN(1+EXP(-ABS((LN(10^(逐级计算!$Q$58/10)-1)+逐级计算!$Q$58*(BF7-逐级计算!$P$58)*LN(10)/10))))))),"")</f>
        <v>15.9576199902753</v>
      </c>
      <c r="BH7">
        <f>IF(AND(ISNUMBER(BG7),逐级计算!$X$59&gt;-1),IF(逐级计算!$X$59=0,BG7+逐级计算!$C$59,BG7+逐级计算!$C$59-(10/(逐级计算!$Q$59*LN(10))*(MAX((LN(10^(逐级计算!$Q$59/10)-1)+逐级计算!$Q$59*(BG7-逐级计算!$P$59)*LN(10)/10),0)+LN(1+EXP(-ABS((LN(10^(逐级计算!$Q$59/10)-1)+逐级计算!$Q$59*(BG7-逐级计算!$P$59)*LN(10)/10))))))),"")</f>
        <v>15.9576199902753</v>
      </c>
      <c r="BI7">
        <f>IF(AND(ISNUMBER(BH7),逐级计算!$X$60&gt;-1),IF(逐级计算!$X$60=0,BH7+逐级计算!$C$60,BH7+逐级计算!$C$60-(10/(逐级计算!$Q$60*LN(10))*(MAX((LN(10^(逐级计算!$Q$60/10)-1)+逐级计算!$Q$60*(BH7-逐级计算!$P$60)*LN(10)/10),0)+LN(1+EXP(-ABS((LN(10^(逐级计算!$Q$60/10)-1)+逐级计算!$Q$60*(BH7-逐级计算!$P$60)*LN(10)/10))))))),"")</f>
        <v>15.9576199902753</v>
      </c>
      <c r="BJ7">
        <f>IF(AND(ISNUMBER(BI7),逐级计算!$X$61&gt;-1),IF(逐级计算!$X$61=0,BI7+逐级计算!$C$61,BI7+逐级计算!$C$61-(10/(逐级计算!$Q$61*LN(10))*(MAX((LN(10^(逐级计算!$Q$61/10)-1)+逐级计算!$Q$61*(BI7-逐级计算!$P$61)*LN(10)/10),0)+LN(1+EXP(-ABS((LN(10^(逐级计算!$Q$61/10)-1)+逐级计算!$Q$61*(BI7-逐级计算!$P$61)*LN(10)/10))))))),"")</f>
        <v>15.9576199902753</v>
      </c>
      <c r="BK7">
        <f>IF(AND(ISNUMBER(BJ7),逐级计算!$X$62&gt;-1),IF(逐级计算!$X$62=0,BJ7+逐级计算!$C$62,BJ7+逐级计算!$C$62-(10/(逐级计算!$Q$62*LN(10))*(MAX((LN(10^(逐级计算!$Q$62/10)-1)+逐级计算!$Q$62*(BJ7-逐级计算!$P$62)*LN(10)/10),0)+LN(1+EXP(-ABS((LN(10^(逐级计算!$Q$62/10)-1)+逐级计算!$Q$62*(BJ7-逐级计算!$P$62)*LN(10)/10))))))),"")</f>
        <v>15.9576199902753</v>
      </c>
      <c r="BL7">
        <f>IF(AND(ISNUMBER(BK7),逐级计算!$X$63&gt;-1),IF(逐级计算!$X$63=0,BK7+逐级计算!$C$63,BK7+逐级计算!$C$63-(10/(逐级计算!$Q$63*LN(10))*(MAX((LN(10^(逐级计算!$Q$63/10)-1)+逐级计算!$Q$63*(BK7-逐级计算!$P$63)*LN(10)/10),0)+LN(1+EXP(-ABS((LN(10^(逐级计算!$Q$63/10)-1)+逐级计算!$Q$63*(BK7-逐级计算!$P$63)*LN(10)/10))))))),"")</f>
        <v>15.9576199902753</v>
      </c>
      <c r="BM7">
        <f>IF(AND(ISNUMBER(BL7),逐级计算!$X$64&gt;-1),IF(逐级计算!$X$64=0,BL7+逐级计算!$C$64,BL7+逐级计算!$C$64-(10/(逐级计算!$Q$64*LN(10))*(MAX((LN(10^(逐级计算!$Q$64/10)-1)+逐级计算!$Q$64*(BL7-逐级计算!$P$64)*LN(10)/10),0)+LN(1+EXP(-ABS((LN(10^(逐级计算!$Q$64/10)-1)+逐级计算!$Q$64*(BL7-逐级计算!$P$64)*LN(10)/10))))))),"")</f>
        <v>15.9576199902753</v>
      </c>
      <c r="BN7">
        <f>IF(AND(ISNUMBER(BM7),逐级计算!$X$65&gt;-1),IF(逐级计算!$X$65=0,BM7+逐级计算!$C$65,BM7+逐级计算!$C$65-(10/(逐级计算!$Q$65*LN(10))*(MAX((LN(10^(逐级计算!$Q$65/10)-1)+逐级计算!$Q$65*(BM7-逐级计算!$P$65)*LN(10)/10),0)+LN(1+EXP(-ABS((LN(10^(逐级计算!$Q$65/10)-1)+逐级计算!$Q$65*(BM7-逐级计算!$P$65)*LN(10)/10))))))),"")</f>
        <v>15.9576199902753</v>
      </c>
      <c r="BO7">
        <f>IF(AND(ISNUMBER(BN7),逐级计算!$X$66&gt;-1),IF(逐级计算!$X$66=0,BN7+逐级计算!$C$66,BN7+逐级计算!$C$66-(10/(逐级计算!$Q$66*LN(10))*(MAX((LN(10^(逐级计算!$Q$66/10)-1)+逐级计算!$Q$66*(BN7-逐级计算!$P$66)*LN(10)/10),0)+LN(1+EXP(-ABS((LN(10^(逐级计算!$Q$66/10)-1)+逐级计算!$Q$66*(BN7-逐级计算!$P$66)*LN(10)/10))))))),"")</f>
        <v>15.9576199902753</v>
      </c>
      <c r="BP7">
        <f>IF(AND(ISNUMBER(BO7),逐级计算!$X$67&gt;-1),IF(逐级计算!$X$67=0,BO7+逐级计算!$C$67,BO7+逐级计算!$C$67-(10/(逐级计算!$Q$67*LN(10))*(MAX((LN(10^(逐级计算!$Q$67/10)-1)+逐级计算!$Q$67*(BO7-逐级计算!$P$67)*LN(10)/10),0)+LN(1+EXP(-ABS((LN(10^(逐级计算!$Q$67/10)-1)+逐级计算!$Q$67*(BO7-逐级计算!$P$67)*LN(10)/10))))))),"")</f>
        <v>15.9576199902753</v>
      </c>
      <c r="BQ7">
        <f>IF(AND(ISNUMBER(BP7),逐级计算!$X$68&gt;-1),IF(逐级计算!$X$68=0,BP7+逐级计算!$C$68,BP7+逐级计算!$C$68-(10/(逐级计算!$Q$68*LN(10))*(MAX((LN(10^(逐级计算!$Q$68/10)-1)+逐级计算!$Q$68*(BP7-逐级计算!$P$68)*LN(10)/10),0)+LN(1+EXP(-ABS((LN(10^(逐级计算!$Q$68/10)-1)+逐级计算!$Q$68*(BP7-逐级计算!$P$68)*LN(10)/10))))))),"")</f>
        <v>15.9576199902753</v>
      </c>
      <c r="BR7">
        <f>IF(AND(ISNUMBER(BQ7),逐级计算!$X$69&gt;-1),IF(逐级计算!$X$69=0,BQ7+逐级计算!$C$69,BQ7+逐级计算!$C$69-(10/(逐级计算!$Q$69*LN(10))*(MAX((LN(10^(逐级计算!$Q$69/10)-1)+逐级计算!$Q$69*(BQ7-逐级计算!$P$69)*LN(10)/10),0)+LN(1+EXP(-ABS((LN(10^(逐级计算!$Q$69/10)-1)+逐级计算!$Q$69*(BQ7-逐级计算!$P$69)*LN(10)/10))))))),"")</f>
        <v>15.9576199902753</v>
      </c>
      <c r="BS7">
        <f>IF(AND(ISNUMBER(BR7),逐级计算!$X$70&gt;-1),IF(逐级计算!$X$70=0,BR7+逐级计算!$C$70,BR7+逐级计算!$C$70-(10/(逐级计算!$Q$70*LN(10))*(MAX((LN(10^(逐级计算!$Q$70/10)-1)+逐级计算!$Q$70*(BR7-逐级计算!$P$70)*LN(10)/10),0)+LN(1+EXP(-ABS((LN(10^(逐级计算!$Q$70/10)-1)+逐级计算!$Q$70*(BR7-逐级计算!$P$70)*LN(10)/10))))))),"")</f>
        <v>15.9576199902753</v>
      </c>
      <c r="BT7">
        <f>IF(AND(ISNUMBER(BS7),逐级计算!$X$71&gt;-1),IF(逐级计算!$X$71=0,BS7+逐级计算!$C$71,BS7+逐级计算!$C$71-(10/(逐级计算!$Q$71*LN(10))*(MAX((LN(10^(逐级计算!$Q$71/10)-1)+逐级计算!$Q$71*(BS7-逐级计算!$P$71)*LN(10)/10),0)+LN(1+EXP(-ABS((LN(10^(逐级计算!$Q$71/10)-1)+逐级计算!$Q$71*(BS7-逐级计算!$P$71)*LN(10)/10))))))),"")</f>
        <v>15.9576199902753</v>
      </c>
      <c r="BU7">
        <f>IF(AND(ISNUMBER(BT7),逐级计算!$X$72&gt;-1),IF(逐级计算!$X$72=0,BT7+逐级计算!$C$72,BT7+逐级计算!$C$72-(10/(逐级计算!$Q$72*LN(10))*(MAX((LN(10^(逐级计算!$Q$72/10)-1)+逐级计算!$Q$72*(BT7-逐级计算!$P$72)*LN(10)/10),0)+LN(1+EXP(-ABS((LN(10^(逐级计算!$Q$72/10)-1)+逐级计算!$Q$72*(BT7-逐级计算!$P$72)*LN(10)/10))))))),"")</f>
        <v>15.9576199902753</v>
      </c>
      <c r="BV7">
        <f>IF(AND(ISNUMBER(BU7),逐级计算!$X$73&gt;-1),IF(逐级计算!$X$73=0,BU7+逐级计算!$C$73,BU7+逐级计算!$C$73-(10/(逐级计算!$Q$73*LN(10))*(MAX((LN(10^(逐级计算!$Q$73/10)-1)+逐级计算!$Q$73*(BU7-逐级计算!$P$73)*LN(10)/10),0)+LN(1+EXP(-ABS((LN(10^(逐级计算!$Q$73/10)-1)+逐级计算!$Q$73*(BU7-逐级计算!$P$73)*LN(10)/10))))))),"")</f>
        <v>15.9576199902753</v>
      </c>
      <c r="BW7">
        <f>IF(AND(ISNUMBER(BV7),逐级计算!$X$74&gt;-1),IF(逐级计算!$X$74=0,BV7+逐级计算!$C$74,BV7+逐级计算!$C$74-(10/(逐级计算!$Q$74*LN(10))*(MAX((LN(10^(逐级计算!$Q$74/10)-1)+逐级计算!$Q$74*(BV7-逐级计算!$P$74)*LN(10)/10),0)+LN(1+EXP(-ABS((LN(10^(逐级计算!$Q$74/10)-1)+逐级计算!$Q$74*(BV7-逐级计算!$P$74)*LN(10)/10))))))),"")</f>
        <v>15.9576199902753</v>
      </c>
      <c r="BX7">
        <f>IF(AND(ISNUMBER(BW7),逐级计算!$X$75&gt;-1),IF(逐级计算!$X$75=0,BW7+逐级计算!$C$75,BW7+逐级计算!$C$75-(10/(逐级计算!$Q$75*LN(10))*(MAX((LN(10^(逐级计算!$Q$75/10)-1)+逐级计算!$Q$75*(BW7-逐级计算!$P$75)*LN(10)/10),0)+LN(1+EXP(-ABS((LN(10^(逐级计算!$Q$75/10)-1)+逐级计算!$Q$75*(BW7-逐级计算!$P$75)*LN(10)/10))))))),"")</f>
        <v>15.9576199902753</v>
      </c>
      <c r="BY7">
        <f>IF(AND(ISNUMBER(BX7),逐级计算!$X$76&gt;-1),IF(逐级计算!$X$76=0,BX7+逐级计算!$C$76,BX7+逐级计算!$C$76-(10/(逐级计算!$Q$76*LN(10))*(MAX((LN(10^(逐级计算!$Q$76/10)-1)+逐级计算!$Q$76*(BX7-逐级计算!$P$76)*LN(10)/10),0)+LN(1+EXP(-ABS((LN(10^(逐级计算!$Q$76/10)-1)+逐级计算!$Q$76*(BX7-逐级计算!$P$76)*LN(10)/10))))))),"")</f>
        <v>15.9576199902753</v>
      </c>
      <c r="BZ7">
        <f>IF(AND(ISNUMBER(BY7),逐级计算!$X$77&gt;-1),IF(逐级计算!$X$77=0,BY7+逐级计算!$C$77,BY7+逐级计算!$C$77-(10/(逐级计算!$Q$77*LN(10))*(MAX((LN(10^(逐级计算!$Q$77/10)-1)+逐级计算!$Q$77*(BY7-逐级计算!$P$77)*LN(10)/10),0)+LN(1+EXP(-ABS((LN(10^(逐级计算!$Q$77/10)-1)+逐级计算!$Q$77*(BY7-逐级计算!$P$77)*LN(10)/10))))))),"")</f>
        <v>15.9576199902753</v>
      </c>
      <c r="CA7">
        <f>IF(AND(ISNUMBER(BZ7),逐级计算!$X$78&gt;-1),IF(逐级计算!$X$78=0,BZ7+逐级计算!$C$78,BZ7+逐级计算!$C$78-(10/(逐级计算!$Q$78*LN(10))*(MAX((LN(10^(逐级计算!$Q$78/10)-1)+逐级计算!$Q$78*(BZ7-逐级计算!$P$78)*LN(10)/10),0)+LN(1+EXP(-ABS((LN(10^(逐级计算!$Q$78/10)-1)+逐级计算!$Q$78*(BZ7-逐级计算!$P$78)*LN(10)/10))))))),"")</f>
        <v>15.9576199902753</v>
      </c>
      <c r="CB7">
        <f>IF(AND(ISNUMBER(CA7),逐级计算!$X$79&gt;-1),IF(逐级计算!$X$79=0,CA7+逐级计算!$C$79,CA7+逐级计算!$C$79-(10/(逐级计算!$Q$79*LN(10))*(MAX((LN(10^(逐级计算!$Q$79/10)-1)+逐级计算!$Q$79*(CA7-逐级计算!$P$79)*LN(10)/10),0)+LN(1+EXP(-ABS((LN(10^(逐级计算!$Q$79/10)-1)+逐级计算!$Q$79*(CA7-逐级计算!$P$79)*LN(10)/10))))))),"")</f>
        <v>15.9576199902753</v>
      </c>
      <c r="CC7">
        <f>IF(AND(ISNUMBER(CB7),逐级计算!$X$80&gt;-1),IF(逐级计算!$X$80=0,CB7+逐级计算!$C$80,CB7+逐级计算!$C$80-(10/(逐级计算!$Q$80*LN(10))*(MAX((LN(10^(逐级计算!$Q$80/10)-1)+逐级计算!$Q$80*(CB7-逐级计算!$P$80)*LN(10)/10),0)+LN(1+EXP(-ABS((LN(10^(逐级计算!$Q$80/10)-1)+逐级计算!$Q$80*(CB7-逐级计算!$P$80)*LN(10)/10))))))),"")</f>
        <v>15.9576199902753</v>
      </c>
      <c r="CD7">
        <f>IF(AND(ISNUMBER(CC7),逐级计算!$X$81&gt;-1),IF(逐级计算!$X$81=0,CC7+逐级计算!$C$81,CC7+逐级计算!$C$81-(10/(逐级计算!$Q$81*LN(10))*(MAX((LN(10^(逐级计算!$Q$81/10)-1)+逐级计算!$Q$81*(CC7-逐级计算!$P$81)*LN(10)/10),0)+LN(1+EXP(-ABS((LN(10^(逐级计算!$Q$81/10)-1)+逐级计算!$Q$81*(CC7-逐级计算!$P$81)*LN(10)/10))))))),"")</f>
        <v>15.9576199902753</v>
      </c>
      <c r="CE7">
        <f>IF(AND(ISNUMBER(CD7),逐级计算!$X$82&gt;-1),IF(逐级计算!$X$82=0,CD7+逐级计算!$C$82,CD7+逐级计算!$C$82-(10/(逐级计算!$Q$82*LN(10))*(MAX((LN(10^(逐级计算!$Q$82/10)-1)+逐级计算!$Q$82*(CD7-逐级计算!$P$82)*LN(10)/10),0)+LN(1+EXP(-ABS((LN(10^(逐级计算!$Q$82/10)-1)+逐级计算!$Q$82*(CD7-逐级计算!$P$82)*LN(10)/10))))))),"")</f>
        <v>15.9576199902753</v>
      </c>
      <c r="CF7">
        <f>IF(AND(ISNUMBER(CE7),逐级计算!$X$83&gt;-1),IF(逐级计算!$X$83=0,CE7+逐级计算!$C$83,CE7+逐级计算!$C$83-(10/(逐级计算!$Q$83*LN(10))*(MAX((LN(10^(逐级计算!$Q$83/10)-1)+逐级计算!$Q$83*(CE7-逐级计算!$P$83)*LN(10)/10),0)+LN(1+EXP(-ABS((LN(10^(逐级计算!$Q$83/10)-1)+逐级计算!$Q$83*(CE7-逐级计算!$P$83)*LN(10)/10))))))),"")</f>
        <v>15.9576199902753</v>
      </c>
      <c r="CG7">
        <f>IF(AND(ISNUMBER(CF7),逐级计算!$X$84&gt;-1),IF(逐级计算!$X$84=0,CF7+逐级计算!$C$84,CF7+逐级计算!$C$84-(10/(逐级计算!$Q$84*LN(10))*(MAX((LN(10^(逐级计算!$Q$84/10)-1)+逐级计算!$Q$84*(CF7-逐级计算!$P$84)*LN(10)/10),0)+LN(1+EXP(-ABS((LN(10^(逐级计算!$Q$84/10)-1)+逐级计算!$Q$84*(CF7-逐级计算!$P$84)*LN(10)/10))))))),"")</f>
        <v>15.9576199902753</v>
      </c>
      <c r="CH7">
        <f>IF(AND(ISNUMBER(CG7),逐级计算!$X$85&gt;-1),IF(逐级计算!$X$85=0,CG7+逐级计算!$C$85,CG7+逐级计算!$C$85-(10/(逐级计算!$Q$85*LN(10))*(MAX((LN(10^(逐级计算!$Q$85/10)-1)+逐级计算!$Q$85*(CG7-逐级计算!$P$85)*LN(10)/10),0)+LN(1+EXP(-ABS((LN(10^(逐级计算!$Q$85/10)-1)+逐级计算!$Q$85*(CG7-逐级计算!$P$85)*LN(10)/10))))))),"")</f>
        <v>15.9576199902753</v>
      </c>
      <c r="CI7">
        <f>IF(AND(ISNUMBER(CH7),逐级计算!$X$86&gt;-1),IF(逐级计算!$X$86=0,CH7+逐级计算!$C$86,CH7+逐级计算!$C$86-(10/(逐级计算!$Q$86*LN(10))*(MAX((LN(10^(逐级计算!$Q$86/10)-1)+逐级计算!$Q$86*(CH7-逐级计算!$P$86)*LN(10)/10),0)+LN(1+EXP(-ABS((LN(10^(逐级计算!$Q$86/10)-1)+逐级计算!$Q$86*(CH7-逐级计算!$P$86)*LN(10)/10))))))),"")</f>
        <v>15.9576199902753</v>
      </c>
      <c r="CJ7">
        <f>IF(AND(ISNUMBER(CI7),逐级计算!$X$87&gt;-1),IF(逐级计算!$X$87=0,CI7+逐级计算!$C$87,CI7+逐级计算!$C$87-(10/(逐级计算!$Q$87*LN(10))*(MAX((LN(10^(逐级计算!$Q$87/10)-1)+逐级计算!$Q$87*(CI7-逐级计算!$P$87)*LN(10)/10),0)+LN(1+EXP(-ABS((LN(10^(逐级计算!$Q$87/10)-1)+逐级计算!$Q$87*(CI7-逐级计算!$P$87)*LN(10)/10))))))),"")</f>
        <v>15.9576199902753</v>
      </c>
      <c r="CK7">
        <f>IF(AND(ISNUMBER(CJ7),逐级计算!$X$88&gt;-1),IF(逐级计算!$X$88=0,CJ7+逐级计算!$C$88,CJ7+逐级计算!$C$88-(10/(逐级计算!$Q$88*LN(10))*(MAX((LN(10^(逐级计算!$Q$88/10)-1)+逐级计算!$Q$88*(CJ7-逐级计算!$P$88)*LN(10)/10),0)+LN(1+EXP(-ABS((LN(10^(逐级计算!$Q$88/10)-1)+逐级计算!$Q$88*(CJ7-逐级计算!$P$88)*LN(10)/10))))))),"")</f>
        <v>15.9576199902753</v>
      </c>
      <c r="CL7">
        <f>IF(AND(ISNUMBER(CK7),逐级计算!$X$89&gt;-1),IF(逐级计算!$X$89=0,CK7+逐级计算!$C$89,CK7+逐级计算!$C$89-(10/(逐级计算!$Q$89*LN(10))*(MAX((LN(10^(逐级计算!$Q$89/10)-1)+逐级计算!$Q$89*(CK7-逐级计算!$P$89)*LN(10)/10),0)+LN(1+EXP(-ABS((LN(10^(逐级计算!$Q$89/10)-1)+逐级计算!$Q$89*(CK7-逐级计算!$P$89)*LN(10)/10))))))),"")</f>
        <v>15.9576199902753</v>
      </c>
      <c r="CM7">
        <f>IF(AND(ISNUMBER(CL7),逐级计算!$X$90&gt;-1),IF(逐级计算!$X$90=0,CL7+逐级计算!$C$90,CL7+逐级计算!$C$90-(10/(逐级计算!$Q$90*LN(10))*(MAX((LN(10^(逐级计算!$Q$90/10)-1)+逐级计算!$Q$90*(CL7-逐级计算!$P$90)*LN(10)/10),0)+LN(1+EXP(-ABS((LN(10^(逐级计算!$Q$90/10)-1)+逐级计算!$Q$90*(CL7-逐级计算!$P$90)*LN(10)/10))))))),"")</f>
        <v>15.9576199902753</v>
      </c>
      <c r="CN7">
        <f>IF(AND(ISNUMBER(CM7),逐级计算!$X$91&gt;-1),IF(逐级计算!$X$91=0,CM7+逐级计算!$C$91,CM7+逐级计算!$C$91-(10/(逐级计算!$Q$91*LN(10))*(MAX((LN(10^(逐级计算!$Q$91/10)-1)+逐级计算!$Q$91*(CM7-逐级计算!$P$91)*LN(10)/10),0)+LN(1+EXP(-ABS((LN(10^(逐级计算!$Q$91/10)-1)+逐级计算!$Q$91*(CM7-逐级计算!$P$91)*LN(10)/10))))))),"")</f>
        <v>15.9576199902753</v>
      </c>
      <c r="CO7">
        <f>IF(AND(ISNUMBER(CN7),逐级计算!$X$92&gt;-1),IF(逐级计算!$X$92=0,CN7+逐级计算!$C$92,CN7+逐级计算!$C$92-(10/(逐级计算!$Q$92*LN(10))*(MAX((LN(10^(逐级计算!$Q$92/10)-1)+逐级计算!$Q$92*(CN7-逐级计算!$P$92)*LN(10)/10),0)+LN(1+EXP(-ABS((LN(10^(逐级计算!$Q$92/10)-1)+逐级计算!$Q$92*(CN7-逐级计算!$P$92)*LN(10)/10))))))),"")</f>
        <v>15.9576199902753</v>
      </c>
      <c r="CP7">
        <f>IF(AND(ISNUMBER(CO7),逐级计算!$X$93&gt;-1),IF(逐级计算!$X$93=0,CO7+逐级计算!$C$93,CO7+逐级计算!$C$93-(10/(逐级计算!$Q$93*LN(10))*(MAX((LN(10^(逐级计算!$Q$93/10)-1)+逐级计算!$Q$93*(CO7-逐级计算!$P$93)*LN(10)/10),0)+LN(1+EXP(-ABS((LN(10^(逐级计算!$Q$93/10)-1)+逐级计算!$Q$93*(CO7-逐级计算!$P$93)*LN(10)/10))))))),"")</f>
        <v>15.9576199902753</v>
      </c>
      <c r="CQ7">
        <f>IF(AND(ISNUMBER(CP7),逐级计算!$X$94&gt;-1),IF(逐级计算!$X$94=0,CP7+逐级计算!$C$94,CP7+逐级计算!$C$94-(10/(逐级计算!$Q$94*LN(10))*(MAX((LN(10^(逐级计算!$Q$94/10)-1)+逐级计算!$Q$94*(CP7-逐级计算!$P$94)*LN(10)/10),0)+LN(1+EXP(-ABS((LN(10^(逐级计算!$Q$94/10)-1)+逐级计算!$Q$94*(CP7-逐级计算!$P$94)*LN(10)/10))))))),"")</f>
        <v>15.9576199902753</v>
      </c>
      <c r="CR7">
        <f>IF(AND(ISNUMBER(CQ7),逐级计算!$X$95&gt;-1),IF(逐级计算!$X$95=0,CQ7+逐级计算!$C$95,CQ7+逐级计算!$C$95-(10/(逐级计算!$Q$95*LN(10))*(MAX((LN(10^(逐级计算!$Q$95/10)-1)+逐级计算!$Q$95*(CQ7-逐级计算!$P$95)*LN(10)/10),0)+LN(1+EXP(-ABS((LN(10^(逐级计算!$Q$95/10)-1)+逐级计算!$Q$95*(CQ7-逐级计算!$P$95)*LN(10)/10))))))),"")</f>
        <v>15.9576199902753</v>
      </c>
      <c r="CS7">
        <f>IF(AND(ISNUMBER(CR7),逐级计算!$X$96&gt;-1),IF(逐级计算!$X$96=0,CR7+逐级计算!$C$96,CR7+逐级计算!$C$96-(10/(逐级计算!$Q$96*LN(10))*(MAX((LN(10^(逐级计算!$Q$96/10)-1)+逐级计算!$Q$96*(CR7-逐级计算!$P$96)*LN(10)/10),0)+LN(1+EXP(-ABS((LN(10^(逐级计算!$Q$96/10)-1)+逐级计算!$Q$96*(CR7-逐级计算!$P$96)*LN(10)/10))))))),"")</f>
        <v>15.9576199902753</v>
      </c>
      <c r="CT7">
        <f>IF(AND(ISNUMBER(CS7),逐级计算!$X$97&gt;-1),IF(逐级计算!$X$97=0,CS7+逐级计算!$C$97,CS7+逐级计算!$C$97-(10/(逐级计算!$Q$97*LN(10))*(MAX((LN(10^(逐级计算!$Q$97/10)-1)+逐级计算!$Q$97*(CS7-逐级计算!$P$97)*LN(10)/10),0)+LN(1+EXP(-ABS((LN(10^(逐级计算!$Q$97/10)-1)+逐级计算!$Q$97*(CS7-逐级计算!$P$97)*LN(10)/10))))))),"")</f>
        <v>15.9576199902753</v>
      </c>
      <c r="CU7">
        <f>IF(AND(ISNUMBER(CT7),逐级计算!$X$98&gt;-1),IF(逐级计算!$X$98=0,CT7+逐级计算!$C$98,CT7+逐级计算!$C$98-(10/(逐级计算!$Q$98*LN(10))*(MAX((LN(10^(逐级计算!$Q$98/10)-1)+逐级计算!$Q$98*(CT7-逐级计算!$P$98)*LN(10)/10),0)+LN(1+EXP(-ABS((LN(10^(逐级计算!$Q$98/10)-1)+逐级计算!$Q$98*(CT7-逐级计算!$P$98)*LN(10)/10))))))),"")</f>
        <v>15.9576199902753</v>
      </c>
      <c r="CV7">
        <f>IF(AND(ISNUMBER(CU7),逐级计算!$X$99&gt;-1),IF(逐级计算!$X$99=0,CU7+逐级计算!$C$99,CU7+逐级计算!$C$99-(10/(逐级计算!$Q$99*LN(10))*(MAX((LN(10^(逐级计算!$Q$99/10)-1)+逐级计算!$Q$99*(CU7-逐级计算!$P$99)*LN(10)/10),0)+LN(1+EXP(-ABS((LN(10^(逐级计算!$Q$99/10)-1)+逐级计算!$Q$99*(CU7-逐级计算!$P$99)*LN(10)/10))))))),"")</f>
        <v>15.9576199902753</v>
      </c>
      <c r="CW7">
        <f>IF(AND(ISNUMBER(CV7),逐级计算!$X$100&gt;-1),IF(逐级计算!$X$100=0,CV7+逐级计算!$C$100,CV7+逐级计算!$C$100-(10/(逐级计算!$Q$100*LN(10))*(MAX((LN(10^(逐级计算!$Q$100/10)-1)+逐级计算!$Q$100*(CV7-逐级计算!$P$100)*LN(10)/10),0)+LN(1+EXP(-ABS((LN(10^(逐级计算!$Q$100/10)-1)+逐级计算!$Q$100*(CV7-逐级计算!$P$100)*LN(10)/10))))))),"")</f>
        <v>15.9576199902753</v>
      </c>
      <c r="CX7">
        <f>IF(AND(ISNUMBER(CW7),逐级计算!$X$101&gt;-1),IF(逐级计算!$X$101=0,CW7+逐级计算!$C$101,CW7+逐级计算!$C$101-(10/(逐级计算!$Q$101*LN(10))*(MAX((LN(10^(逐级计算!$Q$101/10)-1)+逐级计算!$Q$101*(CW7-逐级计算!$P$101)*LN(10)/10),0)+LN(1+EXP(-ABS((LN(10^(逐级计算!$Q$101/10)-1)+逐级计算!$Q$101*(CW7-逐级计算!$P$101)*LN(10)/10))))))),"")</f>
        <v>15.9576199902753</v>
      </c>
      <c r="CY7">
        <f>IF(AND(ISNUMBER(CX7),逐级计算!$X$102&gt;-1),IF(逐级计算!$X$102=0,CX7+逐级计算!$C$102,CX7+逐级计算!$C$102-(10/(逐级计算!$Q$102*LN(10))*(MAX((LN(10^(逐级计算!$Q$102/10)-1)+逐级计算!$Q$102*(CX7-逐级计算!$P$102)*LN(10)/10),0)+LN(1+EXP(-ABS((LN(10^(逐级计算!$Q$102/10)-1)+逐级计算!$Q$102*(CX7-逐级计算!$P$102)*LN(10)/10))))))),"")</f>
        <v>15.9576199902753</v>
      </c>
      <c r="CZ7">
        <f>IF(AND(ISNUMBER(CY7),逐级计算!$X$103&gt;-1),IF(逐级计算!$X$103=0,CY7+逐级计算!$C$103,CY7+逐级计算!$C$103-(10/(逐级计算!$Q$103*LN(10))*(MAX((LN(10^(逐级计算!$Q$103/10)-1)+逐级计算!$Q$103*(CY7-逐级计算!$P$103)*LN(10)/10),0)+LN(1+EXP(-ABS((LN(10^(逐级计算!$Q$103/10)-1)+逐级计算!$Q$103*(CY7-逐级计算!$P$103)*LN(10)/10))))))),"")</f>
        <v>15.9576199902753</v>
      </c>
      <c r="DA7">
        <f>IF(AND(ISNUMBER(CZ7),逐级计算!$X$104&gt;-1),IF(逐级计算!$X$104=0,CZ7+逐级计算!$C$104,CZ7+逐级计算!$C$104-(10/(逐级计算!$Q$104*LN(10))*(MAX((LN(10^(逐级计算!$Q$104/10)-1)+逐级计算!$Q$104*(CZ7-逐级计算!$P$104)*LN(10)/10),0)+LN(1+EXP(-ABS((LN(10^(逐级计算!$Q$104/10)-1)+逐级计算!$Q$104*(CZ7-逐级计算!$P$104)*LN(10)/10))))))),"")</f>
        <v>15.9576199902753</v>
      </c>
      <c r="DB7">
        <f>IF(AND(ISNUMBER(DA7),逐级计算!$X$105&gt;-1),IF(逐级计算!$X$105=0,DA7+逐级计算!$C$105,DA7+逐级计算!$C$105-(10/(逐级计算!$Q$105*LN(10))*(MAX((LN(10^(逐级计算!$Q$105/10)-1)+逐级计算!$Q$105*(DA7-逐级计算!$P$105)*LN(10)/10),0)+LN(1+EXP(-ABS((LN(10^(逐级计算!$Q$105/10)-1)+逐级计算!$Q$105*(DA7-逐级计算!$P$105)*LN(10)/10))))))),"")</f>
        <v>15.9576199902753</v>
      </c>
      <c r="DC7">
        <f>IF(AND(ISNUMBER(DB7),逐级计算!$X$106&gt;-1),IF(逐级计算!$X$106=0,DB7+逐级计算!$C$106,DB7+逐级计算!$C$106-(10/(逐级计算!$Q$106*LN(10))*(MAX((LN(10^(逐级计算!$Q$106/10)-1)+逐级计算!$Q$106*(DB7-逐级计算!$P$106)*LN(10)/10),0)+LN(1+EXP(-ABS((LN(10^(逐级计算!$Q$106/10)-1)+逐级计算!$Q$106*(DB7-逐级计算!$P$106)*LN(10)/10))))))),"")</f>
        <v>15.9576199902753</v>
      </c>
      <c r="DD7">
        <f>IF(AND(ISNUMBER(DC7),逐级计算!$X$107&gt;-1),IF(逐级计算!$X$107=0,DC7+逐级计算!$C$107,DC7+逐级计算!$C$107-(10/(逐级计算!$Q$107*LN(10))*(MAX((LN(10^(逐级计算!$Q$107/10)-1)+逐级计算!$Q$107*(DC7-逐级计算!$P$107)*LN(10)/10),0)+LN(1+EXP(-ABS((LN(10^(逐级计算!$Q$107/10)-1)+逐级计算!$Q$107*(DC7-逐级计算!$P$107)*LN(10)/10))))))),"")</f>
        <v>15.9576199902753</v>
      </c>
      <c r="DE7">
        <f>IF(AND(ISNUMBER(DD7),逐级计算!$X$108&gt;-1),IF(逐级计算!$X$108=0,DD7+逐级计算!$C$108,DD7+逐级计算!$C$108-(10/(逐级计算!$Q$108*LN(10))*(MAX((LN(10^(逐级计算!$Q$108/10)-1)+逐级计算!$Q$108*(DD7-逐级计算!$P$108)*LN(10)/10),0)+LN(1+EXP(-ABS((LN(10^(逐级计算!$Q$108/10)-1)+逐级计算!$Q$108*(DD7-逐级计算!$P$108)*LN(10)/10))))))),"")</f>
        <v>15.9576199902753</v>
      </c>
      <c r="DF7">
        <f>IF(AND(ISNUMBER(DE7),逐级计算!$X$109&gt;-1),IF(逐级计算!$X$109=0,DE7+逐级计算!$C$109,DE7+逐级计算!$C$109-(10/(逐级计算!$Q$109*LN(10))*(MAX((LN(10^(逐级计算!$Q$109/10)-1)+逐级计算!$Q$109*(DE7-逐级计算!$P$109)*LN(10)/10),0)+LN(1+EXP(-ABS((LN(10^(逐级计算!$Q$109/10)-1)+逐级计算!$Q$109*(DE7-逐级计算!$P$109)*LN(10)/10))))))),"")</f>
        <v>15.9576199902753</v>
      </c>
      <c r="DG7">
        <f>IF(AND(ISNUMBER(DF7),逐级计算!$X$110&gt;-1),IF(逐级计算!$X$110=0,DF7+逐级计算!$C$110,DF7+逐级计算!$C$110-(10/(逐级计算!$Q$110*LN(10))*(MAX((LN(10^(逐级计算!$Q$110/10)-1)+逐级计算!$Q$110*(DF7-逐级计算!$P$110)*LN(10)/10),0)+LN(1+EXP(-ABS((LN(10^(逐级计算!$Q$110/10)-1)+逐级计算!$Q$110*(DF7-逐级计算!$P$110)*LN(10)/10))))))),"")</f>
        <v>15.9576199902753</v>
      </c>
      <c r="DH7">
        <f>IF(AND(ISNUMBER(DG7),逐级计算!$X$111&gt;-1),IF(逐级计算!$X$111=0,DG7+逐级计算!$C$111,DG7+逐级计算!$C$111-(10/(逐级计算!$Q$111*LN(10))*(MAX((LN(10^(逐级计算!$Q$111/10)-1)+逐级计算!$Q$111*(DG7-逐级计算!$P$111)*LN(10)/10),0)+LN(1+EXP(-ABS((LN(10^(逐级计算!$Q$111/10)-1)+逐级计算!$Q$111*(DG7-逐级计算!$P$111)*LN(10)/10))))))),"")</f>
        <v>15.9576199902753</v>
      </c>
      <c r="DI7">
        <f>IF(AND(ISNUMBER(DH7),逐级计算!$X$112&gt;-1),IF(逐级计算!$X$112=0,DH7+逐级计算!$C$112,DH7+逐级计算!$C$112-(10/(逐级计算!$Q$112*LN(10))*(MAX((LN(10^(逐级计算!$Q$112/10)-1)+逐级计算!$Q$112*(DH7-逐级计算!$P$112)*LN(10)/10),0)+LN(1+EXP(-ABS((LN(10^(逐级计算!$Q$112/10)-1)+逐级计算!$Q$112*(DH7-逐级计算!$P$112)*LN(10)/10))))))),"")</f>
        <v>15.9576199902753</v>
      </c>
      <c r="DJ7">
        <f>IF(AND(ISNUMBER(DI7),逐级计算!$X$113&gt;-1),IF(逐级计算!$X$113=0,DI7+逐级计算!$C$113,DI7+逐级计算!$C$113-(10/(逐级计算!$Q$113*LN(10))*(MAX((LN(10^(逐级计算!$Q$113/10)-1)+逐级计算!$Q$113*(DI7-逐级计算!$P$113)*LN(10)/10),0)+LN(1+EXP(-ABS((LN(10^(逐级计算!$Q$113/10)-1)+逐级计算!$Q$113*(DI7-逐级计算!$P$113)*LN(10)/10))))))),"")</f>
        <v>15.9576199902753</v>
      </c>
      <c r="DK7">
        <f>IF(AND(ISNUMBER(DJ7),逐级计算!$X$114&gt;-1),IF(逐级计算!$X$114=0,DJ7+逐级计算!$C$114,DJ7+逐级计算!$C$114-(10/(逐级计算!$Q$114*LN(10))*(MAX((LN(10^(逐级计算!$Q$114/10)-1)+逐级计算!$Q$114*(DJ7-逐级计算!$P$114)*LN(10)/10),0)+LN(1+EXP(-ABS((LN(10^(逐级计算!$Q$114/10)-1)+逐级计算!$Q$114*(DJ7-逐级计算!$P$114)*LN(10)/10))))))),"")</f>
        <v>15.9576199902753</v>
      </c>
      <c r="DL7">
        <f>IF(AND(ISNUMBER(DK7),逐级计算!$X$115&gt;-1),IF(逐级计算!$X$115=0,DK7+逐级计算!$C$115,DK7+逐级计算!$C$115-(10/(逐级计算!$Q$115*LN(10))*(MAX((LN(10^(逐级计算!$Q$115/10)-1)+逐级计算!$Q$115*(DK7-逐级计算!$P$115)*LN(10)/10),0)+LN(1+EXP(-ABS((LN(10^(逐级计算!$Q$115/10)-1)+逐级计算!$Q$115*(DK7-逐级计算!$P$115)*LN(10)/10))))))),"")</f>
        <v>15.9576199902753</v>
      </c>
      <c r="DM7">
        <f>IF(AND(ISNUMBER(DL7),逐级计算!$X$116&gt;-1),IF(逐级计算!$X$116=0,DL7+逐级计算!$C$116,DL7+逐级计算!$C$116-(10/(逐级计算!$Q$116*LN(10))*(MAX((LN(10^(逐级计算!$Q$116/10)-1)+逐级计算!$Q$116*(DL7-逐级计算!$P$116)*LN(10)/10),0)+LN(1+EXP(-ABS((LN(10^(逐级计算!$Q$116/10)-1)+逐级计算!$Q$116*(DL7-逐级计算!$P$116)*LN(10)/10))))))),"")</f>
        <v>15.9576199902753</v>
      </c>
      <c r="DN7">
        <f>IF(AND(ISNUMBER(DM7),逐级计算!$X$117&gt;-1),IF(逐级计算!$X$117=0,DM7+逐级计算!$C$117,DM7+逐级计算!$C$117-(10/(逐级计算!$Q$117*LN(10))*(MAX((LN(10^(逐级计算!$Q$117/10)-1)+逐级计算!$Q$117*(DM7-逐级计算!$P$117)*LN(10)/10),0)+LN(1+EXP(-ABS((LN(10^(逐级计算!$Q$117/10)-1)+逐级计算!$Q$117*(DM7-逐级计算!$P$117)*LN(10)/10))))))),"")</f>
        <v>15.9576199902753</v>
      </c>
      <c r="DO7">
        <f>IF(AND(ISNUMBER(DN7),逐级计算!$X$118&gt;-1),IF(逐级计算!$X$118=0,DN7+逐级计算!$C$118,DN7+逐级计算!$C$118-(10/(逐级计算!$Q$118*LN(10))*(MAX((LN(10^(逐级计算!$Q$118/10)-1)+逐级计算!$Q$118*(DN7-逐级计算!$P$118)*LN(10)/10),0)+LN(1+EXP(-ABS((LN(10^(逐级计算!$Q$118/10)-1)+逐级计算!$Q$118*(DN7-逐级计算!$P$118)*LN(10)/10))))))),"")</f>
        <v>15.9576199902753</v>
      </c>
      <c r="DP7">
        <f>IF(AND(ISNUMBER(DO7),逐级计算!$X$119&gt;-1),IF(逐级计算!$X$119=0,DO7+逐级计算!$C$119,DO7+逐级计算!$C$119-(10/(逐级计算!$Q$119*LN(10))*(MAX((LN(10^(逐级计算!$Q$119/10)-1)+逐级计算!$Q$119*(DO7-逐级计算!$P$119)*LN(10)/10),0)+LN(1+EXP(-ABS((LN(10^(逐级计算!$Q$119/10)-1)+逐级计算!$Q$119*(DO7-逐级计算!$P$119)*LN(10)/10))))))),"")</f>
        <v>15.9576199902753</v>
      </c>
      <c r="DQ7">
        <f>IF(AND(ISNUMBER(DP7),逐级计算!$X$120&gt;-1),IF(逐级计算!$X$120=0,DP7+逐级计算!$C$120,DP7+逐级计算!$C$120-(10/(逐级计算!$Q$120*LN(10))*(MAX((LN(10^(逐级计算!$Q$120/10)-1)+逐级计算!$Q$120*(DP7-逐级计算!$P$120)*LN(10)/10),0)+LN(1+EXP(-ABS((LN(10^(逐级计算!$Q$120/10)-1)+逐级计算!$Q$120*(DP7-逐级计算!$P$120)*LN(10)/10))))))),"")</f>
        <v>15.9576199902753</v>
      </c>
      <c r="DR7">
        <f>IF(AND(ISNUMBER(DQ7),逐级计算!$X$121&gt;-1),IF(逐级计算!$X$121=0,DQ7+逐级计算!$C$121,DQ7+逐级计算!$C$121-(10/(逐级计算!$Q$121*LN(10))*(MAX((LN(10^(逐级计算!$Q$121/10)-1)+逐级计算!$Q$121*(DQ7-逐级计算!$P$121)*LN(10)/10),0)+LN(1+EXP(-ABS((LN(10^(逐级计算!$Q$121/10)-1)+逐级计算!$Q$121*(DQ7-逐级计算!$P$121)*LN(10)/10))))))),"")</f>
        <v>15.9576199902753</v>
      </c>
      <c r="DS7">
        <f>IF(AND(ISNUMBER(DR7),逐级计算!$X$122&gt;-1),IF(逐级计算!$X$122=0,DR7+逐级计算!$C$122,DR7+逐级计算!$C$122-(10/(逐级计算!$Q$122*LN(10))*(MAX((LN(10^(逐级计算!$Q$122/10)-1)+逐级计算!$Q$122*(DR7-逐级计算!$P$122)*LN(10)/10),0)+LN(1+EXP(-ABS((LN(10^(逐级计算!$Q$122/10)-1)+逐级计算!$Q$122*(DR7-逐级计算!$P$122)*LN(10)/10))))))),"")</f>
        <v>15.9576199902753</v>
      </c>
      <c r="DT7">
        <f>IF(AND(ISNUMBER(DS7),逐级计算!$X$123&gt;-1),IF(逐级计算!$X$123=0,DS7+逐级计算!$C$123,DS7+逐级计算!$C$123-(10/(逐级计算!$Q$123*LN(10))*(MAX((LN(10^(逐级计算!$Q$123/10)-1)+逐级计算!$Q$123*(DS7-逐级计算!$P$123)*LN(10)/10),0)+LN(1+EXP(-ABS((LN(10^(逐级计算!$Q$123/10)-1)+逐级计算!$Q$123*(DS7-逐级计算!$P$123)*LN(10)/10))))))),"")</f>
        <v>15.9576199902753</v>
      </c>
      <c r="DU7">
        <f>IF(AND(ISNUMBER(DT7),逐级计算!$X$124&gt;-1),IF(逐级计算!$X$124=0,DT7+逐级计算!$C$124,DT7+逐级计算!$C$124-(10/(逐级计算!$Q$124*LN(10))*(MAX((LN(10^(逐级计算!$Q$124/10)-1)+逐级计算!$Q$124*(DT7-逐级计算!$P$124)*LN(10)/10),0)+LN(1+EXP(-ABS((LN(10^(逐级计算!$Q$124/10)-1)+逐级计算!$Q$124*(DT7-逐级计算!$P$124)*LN(10)/10))))))),"")</f>
        <v>15.9576199902753</v>
      </c>
      <c r="DV7">
        <f>IF(AND(ISNUMBER(DU7),逐级计算!$X$125&gt;-1),IF(逐级计算!$X$125=0,DU7+逐级计算!$C$125,DU7+逐级计算!$C$125-(10/(逐级计算!$Q$125*LN(10))*(MAX((LN(10^(逐级计算!$Q$125/10)-1)+逐级计算!$Q$125*(DU7-逐级计算!$P$125)*LN(10)/10),0)+LN(1+EXP(-ABS((LN(10^(逐级计算!$Q$125/10)-1)+逐级计算!$Q$125*(DU7-逐级计算!$P$125)*LN(10)/10))))))),"")</f>
        <v>15.9576199902753</v>
      </c>
      <c r="DW7">
        <f>IF(AND(ISNUMBER(DV7),逐级计算!$X$126&gt;-1),IF(逐级计算!$X$126=0,DV7+逐级计算!$C$126,DV7+逐级计算!$C$126-(10/(逐级计算!$Q$126*LN(10))*(MAX((LN(10^(逐级计算!$Q$126/10)-1)+逐级计算!$Q$126*(DV7-逐级计算!$P$126)*LN(10)/10),0)+LN(1+EXP(-ABS((LN(10^(逐级计算!$Q$126/10)-1)+逐级计算!$Q$126*(DV7-逐级计算!$P$126)*LN(10)/10))))))),"")</f>
        <v>15.9576199902753</v>
      </c>
      <c r="DX7">
        <f>IF(AND(ISNUMBER(DW7),逐级计算!$X$127&gt;-1),IF(逐级计算!$X$127=0,DW7+逐级计算!$C$127,DW7+逐级计算!$C$127-(10/(逐级计算!$Q$127*LN(10))*(MAX((LN(10^(逐级计算!$Q$127/10)-1)+逐级计算!$Q$127*(DW7-逐级计算!$P$127)*LN(10)/10),0)+LN(1+EXP(-ABS((LN(10^(逐级计算!$Q$127/10)-1)+逐级计算!$Q$127*(DW7-逐级计算!$P$127)*LN(10)/10))))))),"")</f>
        <v>15.9576199902753</v>
      </c>
      <c r="DY7">
        <f>IF(AND(ISNUMBER(DX7),逐级计算!$X$128&gt;-1),IF(逐级计算!$X$128=0,DX7+逐级计算!$C$128,DX7+逐级计算!$C$128-(10/(逐级计算!$Q$128*LN(10))*(MAX((LN(10^(逐级计算!$Q$128/10)-1)+逐级计算!$Q$128*(DX7-逐级计算!$P$128)*LN(10)/10),0)+LN(1+EXP(-ABS((LN(10^(逐级计算!$Q$128/10)-1)+逐级计算!$Q$128*(DX7-逐级计算!$P$128)*LN(10)/10))))))),"")</f>
        <v>15.9576199902753</v>
      </c>
      <c r="DZ7">
        <f>IF(AND(ISNUMBER(DY7),逐级计算!$X$129&gt;-1),IF(逐级计算!$X$129=0,DY7+逐级计算!$C$129,DY7+逐级计算!$C$129-(10/(逐级计算!$Q$129*LN(10))*(MAX((LN(10^(逐级计算!$Q$129/10)-1)+逐级计算!$Q$129*(DY7-逐级计算!$P$129)*LN(10)/10),0)+LN(1+EXP(-ABS((LN(10^(逐级计算!$Q$129/10)-1)+逐级计算!$Q$129*(DY7-逐级计算!$P$129)*LN(10)/10))))))),"")</f>
        <v>15.9576199902753</v>
      </c>
      <c r="EA7">
        <f>IF(AND(ISNUMBER(DZ7),逐级计算!$X$130&gt;-1),IF(逐级计算!$X$130=0,DZ7+逐级计算!$C$130,DZ7+逐级计算!$C$130-(10/(逐级计算!$Q$130*LN(10))*(MAX((LN(10^(逐级计算!$Q$130/10)-1)+逐级计算!$Q$130*(DZ7-逐级计算!$P$130)*LN(10)/10),0)+LN(1+EXP(-ABS((LN(10^(逐级计算!$Q$130/10)-1)+逐级计算!$Q$130*(DZ7-逐级计算!$P$130)*LN(10)/10))))))),"")</f>
        <v>15.9576199902753</v>
      </c>
      <c r="EB7">
        <f>IF(AND(ISNUMBER(EA7),逐级计算!$X$131&gt;-1),IF(逐级计算!$X$131=0,EA7+逐级计算!$C$131,EA7+逐级计算!$C$131-(10/(逐级计算!$Q$131*LN(10))*(MAX((LN(10^(逐级计算!$Q$131/10)-1)+逐级计算!$Q$131*(EA7-逐级计算!$P$131)*LN(10)/10),0)+LN(1+EXP(-ABS((LN(10^(逐级计算!$Q$131/10)-1)+逐级计算!$Q$131*(EA7-逐级计算!$P$131)*LN(10)/10))))))),"")</f>
        <v>15.9576199902753</v>
      </c>
      <c r="EC7">
        <f>IF(AND(ISNUMBER(EB7),逐级计算!$X$132&gt;-1),IF(逐级计算!$X$132=0,EB7+逐级计算!$C$132,EB7+逐级计算!$C$132-(10/(逐级计算!$Q$132*LN(10))*(MAX((LN(10^(逐级计算!$Q$132/10)-1)+逐级计算!$Q$132*(EB7-逐级计算!$P$132)*LN(10)/10),0)+LN(1+EXP(-ABS((LN(10^(逐级计算!$Q$132/10)-1)+逐级计算!$Q$132*(EB7-逐级计算!$P$132)*LN(10)/10))))))),"")</f>
        <v>15.9576199902753</v>
      </c>
      <c r="ED7">
        <f>IF(AND(ISNUMBER(EC7),逐级计算!$X$133&gt;-1),IF(逐级计算!$X$133=0,EC7+逐级计算!$C$133,EC7+逐级计算!$C$133-(10/(逐级计算!$Q$133*LN(10))*(MAX((LN(10^(逐级计算!$Q$133/10)-1)+逐级计算!$Q$133*(EC7-逐级计算!$P$133)*LN(10)/10),0)+LN(1+EXP(-ABS((LN(10^(逐级计算!$Q$133/10)-1)+逐级计算!$Q$133*(EC7-逐级计算!$P$133)*LN(10)/10))))))),"")</f>
        <v>15.9576199902753</v>
      </c>
      <c r="EE7">
        <f>IF(AND(ISNUMBER(ED7),逐级计算!$X$134&gt;-1),IF(逐级计算!$X$134=0,ED7+逐级计算!$C$134,ED7+逐级计算!$C$134-(10/(逐级计算!$Q$134*LN(10))*(MAX((LN(10^(逐级计算!$Q$134/10)-1)+逐级计算!$Q$134*(ED7-逐级计算!$P$134)*LN(10)/10),0)+LN(1+EXP(-ABS((LN(10^(逐级计算!$Q$134/10)-1)+逐级计算!$Q$134*(ED7-逐级计算!$P$134)*LN(10)/10))))))),"")</f>
        <v>15.9576199902753</v>
      </c>
      <c r="EF7">
        <f>IF(AND(ISNUMBER(EE7),逐级计算!$X$135&gt;-1),IF(逐级计算!$X$135=0,EE7+逐级计算!$C$135,EE7+逐级计算!$C$135-(10/(逐级计算!$Q$135*LN(10))*(MAX((LN(10^(逐级计算!$Q$135/10)-1)+逐级计算!$Q$135*(EE7-逐级计算!$P$135)*LN(10)/10),0)+LN(1+EXP(-ABS((LN(10^(逐级计算!$Q$135/10)-1)+逐级计算!$Q$135*(EE7-逐级计算!$P$135)*LN(10)/10))))))),"")</f>
        <v>15.9576199902753</v>
      </c>
      <c r="EG7">
        <f>IF(AND(ISNUMBER(EF7),逐级计算!$X$136&gt;-1),IF(逐级计算!$X$136=0,EF7+逐级计算!$C$136,EF7+逐级计算!$C$136-(10/(逐级计算!$Q$136*LN(10))*(MAX((LN(10^(逐级计算!$Q$136/10)-1)+逐级计算!$Q$136*(EF7-逐级计算!$P$136)*LN(10)/10),0)+LN(1+EXP(-ABS((LN(10^(逐级计算!$Q$136/10)-1)+逐级计算!$Q$136*(EF7-逐级计算!$P$136)*LN(10)/10))))))),"")</f>
        <v>15.9576199902753</v>
      </c>
      <c r="EH7">
        <f>IF(AND(ISNUMBER(EG7),逐级计算!$X$137&gt;-1),IF(逐级计算!$X$137=0,EG7+逐级计算!$C$137,EG7+逐级计算!$C$137-(10/(逐级计算!$Q$137*LN(10))*(MAX((LN(10^(逐级计算!$Q$137/10)-1)+逐级计算!$Q$137*(EG7-逐级计算!$P$137)*LN(10)/10),0)+LN(1+EXP(-ABS((LN(10^(逐级计算!$Q$137/10)-1)+逐级计算!$Q$137*(EG7-逐级计算!$P$137)*LN(10)/10))))))),"")</f>
        <v>15.9576199902753</v>
      </c>
      <c r="EI7">
        <f>IF(AND(ISNUMBER(EH7),逐级计算!$X$138&gt;-1),IF(逐级计算!$X$138=0,EH7+逐级计算!$C$138,EH7+逐级计算!$C$138-(10/(逐级计算!$Q$138*LN(10))*(MAX((LN(10^(逐级计算!$Q$138/10)-1)+逐级计算!$Q$138*(EH7-逐级计算!$P$138)*LN(10)/10),0)+LN(1+EXP(-ABS((LN(10^(逐级计算!$Q$138/10)-1)+逐级计算!$Q$138*(EH7-逐级计算!$P$138)*LN(10)/10))))))),"")</f>
        <v>15.9576199902753</v>
      </c>
      <c r="EJ7">
        <f>IF(AND(ISNUMBER(EI7),逐级计算!$X$139&gt;-1),IF(逐级计算!$X$139=0,EI7+逐级计算!$C$139,EI7+逐级计算!$C$139-(10/(逐级计算!$Q$139*LN(10))*(MAX((LN(10^(逐级计算!$Q$139/10)-1)+逐级计算!$Q$139*(EI7-逐级计算!$P$139)*LN(10)/10),0)+LN(1+EXP(-ABS((LN(10^(逐级计算!$Q$139/10)-1)+逐级计算!$Q$139*(EI7-逐级计算!$P$139)*LN(10)/10))))))),"")</f>
        <v>15.9576199902753</v>
      </c>
      <c r="EK7">
        <f>IF(AND(ISNUMBER(EJ7),逐级计算!$X$140&gt;-1),IF(逐级计算!$X$140=0,EJ7+逐级计算!$C$140,EJ7+逐级计算!$C$140-(10/(逐级计算!$Q$140*LN(10))*(MAX((LN(10^(逐级计算!$Q$140/10)-1)+逐级计算!$Q$140*(EJ7-逐级计算!$P$140)*LN(10)/10),0)+LN(1+EXP(-ABS((LN(10^(逐级计算!$Q$140/10)-1)+逐级计算!$Q$140*(EJ7-逐级计算!$P$140)*LN(10)/10))))))),"")</f>
        <v>15.9576199902753</v>
      </c>
      <c r="EL7">
        <f>IF(AND(ISNUMBER(EK7),逐级计算!$X$141&gt;-1),IF(逐级计算!$X$141=0,EK7+逐级计算!$C$141,EK7+逐级计算!$C$141-(10/(逐级计算!$Q$141*LN(10))*(MAX((LN(10^(逐级计算!$Q$141/10)-1)+逐级计算!$Q$141*(EK7-逐级计算!$P$141)*LN(10)/10),0)+LN(1+EXP(-ABS((LN(10^(逐级计算!$Q$141/10)-1)+逐级计算!$Q$141*(EK7-逐级计算!$P$141)*LN(10)/10))))))),"")</f>
        <v>15.9576199902753</v>
      </c>
      <c r="EM7">
        <f>IF(AND(ISNUMBER(EL7),逐级计算!$X$142&gt;-1),IF(逐级计算!$X$142=0,EL7+逐级计算!$C$142,EL7+逐级计算!$C$142-(10/(逐级计算!$Q$142*LN(10))*(MAX((LN(10^(逐级计算!$Q$142/10)-1)+逐级计算!$Q$142*(EL7-逐级计算!$P$142)*LN(10)/10),0)+LN(1+EXP(-ABS((LN(10^(逐级计算!$Q$142/10)-1)+逐级计算!$Q$142*(EL7-逐级计算!$P$142)*LN(10)/10))))))),"")</f>
        <v>15.9576199902753</v>
      </c>
      <c r="EN7">
        <f>IF(AND(ISNUMBER(EM7),逐级计算!$X$143&gt;-1),IF(逐级计算!$X$143=0,EM7+逐级计算!$C$143,EM7+逐级计算!$C$143-(10/(逐级计算!$Q$143*LN(10))*(MAX((LN(10^(逐级计算!$Q$143/10)-1)+逐级计算!$Q$143*(EM7-逐级计算!$P$143)*LN(10)/10),0)+LN(1+EXP(-ABS((LN(10^(逐级计算!$Q$143/10)-1)+逐级计算!$Q$143*(EM7-逐级计算!$P$143)*LN(10)/10))))))),"")</f>
        <v>15.9576199902753</v>
      </c>
      <c r="EO7">
        <f>IF(AND(ISNUMBER(EN7),逐级计算!$X$144&gt;-1),IF(逐级计算!$X$144=0,EN7+逐级计算!$C$144,EN7+逐级计算!$C$144-(10/(逐级计算!$Q$144*LN(10))*(MAX((LN(10^(逐级计算!$Q$144/10)-1)+逐级计算!$Q$144*(EN7-逐级计算!$P$144)*LN(10)/10),0)+LN(1+EXP(-ABS((LN(10^(逐级计算!$Q$144/10)-1)+逐级计算!$Q$144*(EN7-逐级计算!$P$144)*LN(10)/10))))))),"")</f>
        <v>15.9576199902753</v>
      </c>
      <c r="EP7">
        <f>IF(AND(ISNUMBER(EO7),逐级计算!$X$145&gt;-1),IF(逐级计算!$X$145=0,EO7+逐级计算!$C$145,EO7+逐级计算!$C$145-(10/(逐级计算!$Q$145*LN(10))*(MAX((LN(10^(逐级计算!$Q$145/10)-1)+逐级计算!$Q$145*(EO7-逐级计算!$P$145)*LN(10)/10),0)+LN(1+EXP(-ABS((LN(10^(逐级计算!$Q$145/10)-1)+逐级计算!$Q$145*(EO7-逐级计算!$P$145)*LN(10)/10))))))),"")</f>
        <v>15.9576199902753</v>
      </c>
      <c r="EQ7">
        <f>IF(AND(ISNUMBER(EP7),逐级计算!$X$146&gt;-1),IF(逐级计算!$X$146=0,EP7+逐级计算!$C$146,EP7+逐级计算!$C$146-(10/(逐级计算!$Q$146*LN(10))*(MAX((LN(10^(逐级计算!$Q$146/10)-1)+逐级计算!$Q$146*(EP7-逐级计算!$P$146)*LN(10)/10),0)+LN(1+EXP(-ABS((LN(10^(逐级计算!$Q$146/10)-1)+逐级计算!$Q$146*(EP7-逐级计算!$P$146)*LN(10)/10))))))),"")</f>
        <v>15.9576199902753</v>
      </c>
      <c r="ER7">
        <f>IF(AND(ISNUMBER(EQ7),逐级计算!$X$147&gt;-1),IF(逐级计算!$X$147=0,EQ7+逐级计算!$C$147,EQ7+逐级计算!$C$147-(10/(逐级计算!$Q$147*LN(10))*(MAX((LN(10^(逐级计算!$Q$147/10)-1)+逐级计算!$Q$147*(EQ7-逐级计算!$P$147)*LN(10)/10),0)+LN(1+EXP(-ABS((LN(10^(逐级计算!$Q$147/10)-1)+逐级计算!$Q$147*(EQ7-逐级计算!$P$147)*LN(10)/10))))))),"")</f>
        <v>15.9576199902753</v>
      </c>
      <c r="ES7">
        <f>IF(AND(ISNUMBER(ER7),逐级计算!$X$148&gt;-1),IF(逐级计算!$X$148=0,ER7+逐级计算!$C$148,ER7+逐级计算!$C$148-(10/(逐级计算!$Q$148*LN(10))*(MAX((LN(10^(逐级计算!$Q$148/10)-1)+逐级计算!$Q$148*(ER7-逐级计算!$P$148)*LN(10)/10),0)+LN(1+EXP(-ABS((LN(10^(逐级计算!$Q$148/10)-1)+逐级计算!$Q$148*(ER7-逐级计算!$P$148)*LN(10)/10))))))),"")</f>
        <v>15.9576199902753</v>
      </c>
      <c r="ET7">
        <f>IF(AND(ISNUMBER(ES7),逐级计算!$X$149&gt;-1),IF(逐级计算!$X$149=0,ES7+逐级计算!$C$149,ES7+逐级计算!$C$149-(10/(逐级计算!$Q$149*LN(10))*(MAX((LN(10^(逐级计算!$Q$149/10)-1)+逐级计算!$Q$149*(ES7-逐级计算!$P$149)*LN(10)/10),0)+LN(1+EXP(-ABS((LN(10^(逐级计算!$Q$149/10)-1)+逐级计算!$Q$149*(ES7-逐级计算!$P$149)*LN(10)/10))))))),"")</f>
        <v>15.9576199902753</v>
      </c>
      <c r="EU7">
        <f>IF(AND(ISNUMBER(ET7),逐级计算!$X$150&gt;-1),IF(逐级计算!$X$150=0,ET7+逐级计算!$C$150,ET7+逐级计算!$C$150-(10/(逐级计算!$Q$150*LN(10))*(MAX((LN(10^(逐级计算!$Q$150/10)-1)+逐级计算!$Q$150*(ET7-逐级计算!$P$150)*LN(10)/10),0)+LN(1+EXP(-ABS((LN(10^(逐级计算!$Q$150/10)-1)+逐级计算!$Q$150*(ET7-逐级计算!$P$150)*LN(10)/10))))))),"")</f>
        <v>15.9576199902753</v>
      </c>
      <c r="EV7">
        <f>IF(AND(ISNUMBER(EU7),逐级计算!$X$151&gt;-1),IF(逐级计算!$X$151=0,EU7+逐级计算!$C$151,EU7+逐级计算!$C$151-(10/(逐级计算!$Q$151*LN(10))*(MAX((LN(10^(逐级计算!$Q$151/10)-1)+逐级计算!$Q$151*(EU7-逐级计算!$P$151)*LN(10)/10),0)+LN(1+EXP(-ABS((LN(10^(逐级计算!$Q$151/10)-1)+逐级计算!$Q$151*(EU7-逐级计算!$P$151)*LN(10)/10))))))),"")</f>
        <v>15.9576199902753</v>
      </c>
      <c r="EW7">
        <f>IF(AND(ISNUMBER(EV7),逐级计算!$X$152&gt;-1),IF(逐级计算!$X$152=0,EV7+逐级计算!$C$152,EV7+逐级计算!$C$152-(10/(逐级计算!$Q$152*LN(10))*(MAX((LN(10^(逐级计算!$Q$152/10)-1)+逐级计算!$Q$152*(EV7-逐级计算!$P$152)*LN(10)/10),0)+LN(1+EXP(-ABS((LN(10^(逐级计算!$Q$152/10)-1)+逐级计算!$Q$152*(EV7-逐级计算!$P$152)*LN(10)/10))))))),"")</f>
        <v>15.9576199902753</v>
      </c>
      <c r="EX7">
        <f>IF(AND(ISNUMBER(EW7),逐级计算!$X$153&gt;-1),IF(逐级计算!$X$153=0,EW7+逐级计算!$C$153,EW7+逐级计算!$C$153-(10/(逐级计算!$Q$153*LN(10))*(MAX((LN(10^(逐级计算!$Q$153/10)-1)+逐级计算!$Q$153*(EW7-逐级计算!$P$153)*LN(10)/10),0)+LN(1+EXP(-ABS((LN(10^(逐级计算!$Q$153/10)-1)+逐级计算!$Q$153*(EW7-逐级计算!$P$153)*LN(10)/10))))))),"")</f>
        <v>15.9576199902753</v>
      </c>
      <c r="EY7">
        <f>IF(AND(ISNUMBER(EX7),逐级计算!$X$154&gt;-1),IF(逐级计算!$X$154=0,EX7+逐级计算!$C$154,EX7+逐级计算!$C$154-(10/(逐级计算!$Q$154*LN(10))*(MAX((LN(10^(逐级计算!$Q$154/10)-1)+逐级计算!$Q$154*(EX7-逐级计算!$P$154)*LN(10)/10),0)+LN(1+EXP(-ABS((LN(10^(逐级计算!$Q$154/10)-1)+逐级计算!$Q$154*(EX7-逐级计算!$P$154)*LN(10)/10))))))),"")</f>
        <v>15.9576199902753</v>
      </c>
      <c r="EZ7">
        <f>IF(AND(ISNUMBER(EY7),逐级计算!$X$155&gt;-1),IF(逐级计算!$X$155=0,EY7+逐级计算!$C$155,EY7+逐级计算!$C$155-(10/(逐级计算!$Q$155*LN(10))*(MAX((LN(10^(逐级计算!$Q$155/10)-1)+逐级计算!$Q$155*(EY7-逐级计算!$P$155)*LN(10)/10),0)+LN(1+EXP(-ABS((LN(10^(逐级计算!$Q$155/10)-1)+逐级计算!$Q$155*(EY7-逐级计算!$P$155)*LN(10)/10))))))),"")</f>
        <v>15.9576199902753</v>
      </c>
      <c r="FA7">
        <f>IF(AND(ISNUMBER(EZ7),逐级计算!$X$156&gt;-1),IF(逐级计算!$X$156=0,EZ7+逐级计算!$C$156,EZ7+逐级计算!$C$156-(10/(逐级计算!$Q$156*LN(10))*(MAX((LN(10^(逐级计算!$Q$156/10)-1)+逐级计算!$Q$156*(EZ7-逐级计算!$P$156)*LN(10)/10),0)+LN(1+EXP(-ABS((LN(10^(逐级计算!$Q$156/10)-1)+逐级计算!$Q$156*(EZ7-逐级计算!$P$156)*LN(10)/10))))))),"")</f>
        <v>15.9576199902753</v>
      </c>
      <c r="FB7">
        <f>IF(AND(ISNUMBER(FA7),逐级计算!$X$157&gt;-1),IF(逐级计算!$X$157=0,FA7+逐级计算!$C$157,FA7+逐级计算!$C$157-(10/(逐级计算!$Q$157*LN(10))*(MAX((LN(10^(逐级计算!$Q$157/10)-1)+逐级计算!$Q$157*(FA7-逐级计算!$P$157)*LN(10)/10),0)+LN(1+EXP(-ABS((LN(10^(逐级计算!$Q$157/10)-1)+逐级计算!$Q$157*(FA7-逐级计算!$P$157)*LN(10)/10))))))),"")</f>
        <v>15.9576199902753</v>
      </c>
      <c r="FC7">
        <f>IF(AND(ISNUMBER(FB7),逐级计算!$X$158&gt;-1),IF(逐级计算!$X$158=0,FB7+逐级计算!$C$158,FB7+逐级计算!$C$158-(10/(逐级计算!$Q$158*LN(10))*(MAX((LN(10^(逐级计算!$Q$158/10)-1)+逐级计算!$Q$158*(FB7-逐级计算!$P$158)*LN(10)/10),0)+LN(1+EXP(-ABS((LN(10^(逐级计算!$Q$158/10)-1)+逐级计算!$Q$158*(FB7-逐级计算!$P$158)*LN(10)/10))))))),"")</f>
        <v>15.9576199902753</v>
      </c>
      <c r="FD7">
        <f>IF(AND(ISNUMBER(FC7),逐级计算!$X$159&gt;-1),IF(逐级计算!$X$159=0,FC7+逐级计算!$C$159,FC7+逐级计算!$C$159-(10/(逐级计算!$Q$159*LN(10))*(MAX((LN(10^(逐级计算!$Q$159/10)-1)+逐级计算!$Q$159*(FC7-逐级计算!$P$159)*LN(10)/10),0)+LN(1+EXP(-ABS((LN(10^(逐级计算!$Q$159/10)-1)+逐级计算!$Q$159*(FC7-逐级计算!$P$159)*LN(10)/10))))))),"")</f>
        <v>15.9576199902753</v>
      </c>
      <c r="FE7">
        <f>IF(AND(ISNUMBER(FD7),逐级计算!$X$160&gt;-1),IF(逐级计算!$X$160=0,FD7+逐级计算!$C$160,FD7+逐级计算!$C$160-(10/(逐级计算!$Q$160*LN(10))*(MAX((LN(10^(逐级计算!$Q$160/10)-1)+逐级计算!$Q$160*(FD7-逐级计算!$P$160)*LN(10)/10),0)+LN(1+EXP(-ABS((LN(10^(逐级计算!$Q$160/10)-1)+逐级计算!$Q$160*(FD7-逐级计算!$P$160)*LN(10)/10))))))),"")</f>
        <v>15.9576199902753</v>
      </c>
      <c r="FF7">
        <f>IF(AND(ISNUMBER(FE7),逐级计算!$X$161&gt;-1),IF(逐级计算!$X$161=0,FE7+逐级计算!$C$161,FE7+逐级计算!$C$161-(10/(逐级计算!$Q$161*LN(10))*(MAX((LN(10^(逐级计算!$Q$161/10)-1)+逐级计算!$Q$161*(FE7-逐级计算!$P$161)*LN(10)/10),0)+LN(1+EXP(-ABS((LN(10^(逐级计算!$Q$161/10)-1)+逐级计算!$Q$161*(FE7-逐级计算!$P$161)*LN(10)/10))))))),"")</f>
        <v>15.9576199902753</v>
      </c>
      <c r="FG7">
        <f>IF(AND(ISNUMBER(FF7),逐级计算!$X$162&gt;-1),IF(逐级计算!$X$162=0,FF7+逐级计算!$C$162,FF7+逐级计算!$C$162-(10/(逐级计算!$Q$162*LN(10))*(MAX((LN(10^(逐级计算!$Q$162/10)-1)+逐级计算!$Q$162*(FF7-逐级计算!$P$162)*LN(10)/10),0)+LN(1+EXP(-ABS((LN(10^(逐级计算!$Q$162/10)-1)+逐级计算!$Q$162*(FF7-逐级计算!$P$162)*LN(10)/10))))))),"")</f>
        <v>15.9576199902753</v>
      </c>
      <c r="FH7">
        <f>IF(AND(ISNUMBER(FG7),逐级计算!$X$163&gt;-1),IF(逐级计算!$X$163=0,FG7+逐级计算!$C$163,FG7+逐级计算!$C$163-(10/(逐级计算!$Q$163*LN(10))*(MAX((LN(10^(逐级计算!$Q$163/10)-1)+逐级计算!$Q$163*(FG7-逐级计算!$P$163)*LN(10)/10),0)+LN(1+EXP(-ABS((LN(10^(逐级计算!$Q$163/10)-1)+逐级计算!$Q$163*(FG7-逐级计算!$P$163)*LN(10)/10))))))),"")</f>
        <v>15.9576199902753</v>
      </c>
      <c r="FI7">
        <f>IF(AND(ISNUMBER(FH7),逐级计算!$X$164&gt;-1),IF(逐级计算!$X$164=0,FH7+逐级计算!$C$164,FH7+逐级计算!$C$164-(10/(逐级计算!$Q$164*LN(10))*(MAX((LN(10^(逐级计算!$Q$164/10)-1)+逐级计算!$Q$164*(FH7-逐级计算!$P$164)*LN(10)/10),0)+LN(1+EXP(-ABS((LN(10^(逐级计算!$Q$164/10)-1)+逐级计算!$Q$164*(FH7-逐级计算!$P$164)*LN(10)/10))))))),"")</f>
        <v>15.9576199902753</v>
      </c>
      <c r="FJ7">
        <f>IF(AND(ISNUMBER(FI7),逐级计算!$X$165&gt;-1),IF(逐级计算!$X$165=0,FI7+逐级计算!$C$165,FI7+逐级计算!$C$165-(10/(逐级计算!$Q$165*LN(10))*(MAX((LN(10^(逐级计算!$Q$165/10)-1)+逐级计算!$Q$165*(FI7-逐级计算!$P$165)*LN(10)/10),0)+LN(1+EXP(-ABS((LN(10^(逐级计算!$Q$165/10)-1)+逐级计算!$Q$165*(FI7-逐级计算!$P$165)*LN(10)/10))))))),"")</f>
        <v>15.9576199902753</v>
      </c>
      <c r="FK7">
        <f>IF(AND(ISNUMBER(FJ7),逐级计算!$X$166&gt;-1),IF(逐级计算!$X$166=0,FJ7+逐级计算!$C$166,FJ7+逐级计算!$C$166-(10/(逐级计算!$Q$166*LN(10))*(MAX((LN(10^(逐级计算!$Q$166/10)-1)+逐级计算!$Q$166*(FJ7-逐级计算!$P$166)*LN(10)/10),0)+LN(1+EXP(-ABS((LN(10^(逐级计算!$Q$166/10)-1)+逐级计算!$Q$166*(FJ7-逐级计算!$P$166)*LN(10)/10))))))),"")</f>
        <v>15.9576199902753</v>
      </c>
      <c r="FL7">
        <f>IF(AND(ISNUMBER(FK7),逐级计算!$X$167&gt;-1),IF(逐级计算!$X$167=0,FK7+逐级计算!$C$167,FK7+逐级计算!$C$167-(10/(逐级计算!$Q$167*LN(10))*(MAX((LN(10^(逐级计算!$Q$167/10)-1)+逐级计算!$Q$167*(FK7-逐级计算!$P$167)*LN(10)/10),0)+LN(1+EXP(-ABS((LN(10^(逐级计算!$Q$167/10)-1)+逐级计算!$Q$167*(FK7-逐级计算!$P$167)*LN(10)/10))))))),"")</f>
        <v>15.9576199902753</v>
      </c>
      <c r="FM7">
        <f>IF(AND(ISNUMBER(FL7),逐级计算!$X$168&gt;-1),IF(逐级计算!$X$168=0,FL7+逐级计算!$C$168,FL7+逐级计算!$C$168-(10/(逐级计算!$Q$168*LN(10))*(MAX((LN(10^(逐级计算!$Q$168/10)-1)+逐级计算!$Q$168*(FL7-逐级计算!$P$168)*LN(10)/10),0)+LN(1+EXP(-ABS((LN(10^(逐级计算!$Q$168/10)-1)+逐级计算!$Q$168*(FL7-逐级计算!$P$168)*LN(10)/10))))))),"")</f>
        <v>15.9576199902753</v>
      </c>
      <c r="FN7">
        <f>IF(AND(ISNUMBER(FM7),逐级计算!$X$169&gt;-1),IF(逐级计算!$X$169=0,FM7+逐级计算!$C$169,FM7+逐级计算!$C$169-(10/(逐级计算!$Q$169*LN(10))*(MAX((LN(10^(逐级计算!$Q$169/10)-1)+逐级计算!$Q$169*(FM7-逐级计算!$P$169)*LN(10)/10),0)+LN(1+EXP(-ABS((LN(10^(逐级计算!$Q$169/10)-1)+逐级计算!$Q$169*(FM7-逐级计算!$P$169)*LN(10)/10))))))),"")</f>
        <v>15.9576199902753</v>
      </c>
      <c r="FO7">
        <f>IF(AND(ISNUMBER(FN7),逐级计算!$X$170&gt;-1),IF(逐级计算!$X$170=0,FN7+逐级计算!$C$170,FN7+逐级计算!$C$170-(10/(逐级计算!$Q$170*LN(10))*(MAX((LN(10^(逐级计算!$Q$170/10)-1)+逐级计算!$Q$170*(FN7-逐级计算!$P$170)*LN(10)/10),0)+LN(1+EXP(-ABS((LN(10^(逐级计算!$Q$170/10)-1)+逐级计算!$Q$170*(FN7-逐级计算!$P$170)*LN(10)/10))))))),"")</f>
        <v>15.9576199902753</v>
      </c>
      <c r="FP7">
        <f>IF(AND(ISNUMBER(FO7),逐级计算!$X$171&gt;-1),IF(逐级计算!$X$171=0,FO7+逐级计算!$C$171,FO7+逐级计算!$C$171-(10/(逐级计算!$Q$171*LN(10))*(MAX((LN(10^(逐级计算!$Q$171/10)-1)+逐级计算!$Q$171*(FO7-逐级计算!$P$171)*LN(10)/10),0)+LN(1+EXP(-ABS((LN(10^(逐级计算!$Q$171/10)-1)+逐级计算!$Q$171*(FO7-逐级计算!$P$171)*LN(10)/10))))))),"")</f>
        <v>15.9576199902753</v>
      </c>
      <c r="FQ7">
        <f>IF(AND(ISNUMBER(FP7),逐级计算!$X$172&gt;-1),IF(逐级计算!$X$172=0,FP7+逐级计算!$C$172,FP7+逐级计算!$C$172-(10/(逐级计算!$Q$172*LN(10))*(MAX((LN(10^(逐级计算!$Q$172/10)-1)+逐级计算!$Q$172*(FP7-逐级计算!$P$172)*LN(10)/10),0)+LN(1+EXP(-ABS((LN(10^(逐级计算!$Q$172/10)-1)+逐级计算!$Q$172*(FP7-逐级计算!$P$172)*LN(10)/10))))))),"")</f>
        <v>15.9576199902753</v>
      </c>
      <c r="FR7">
        <f>IF(AND(ISNUMBER(FQ7),逐级计算!$X$173&gt;-1),IF(逐级计算!$X$173=0,FQ7+逐级计算!$C$173,FQ7+逐级计算!$C$173-(10/(逐级计算!$Q$173*LN(10))*(MAX((LN(10^(逐级计算!$Q$173/10)-1)+逐级计算!$Q$173*(FQ7-逐级计算!$P$173)*LN(10)/10),0)+LN(1+EXP(-ABS((LN(10^(逐级计算!$Q$173/10)-1)+逐级计算!$Q$173*(FQ7-逐级计算!$P$173)*LN(10)/10))))))),"")</f>
        <v>15.9576199902753</v>
      </c>
      <c r="FS7">
        <f>IF(AND(ISNUMBER(FR7),逐级计算!$X$174&gt;-1),IF(逐级计算!$X$174=0,FR7+逐级计算!$C$174,FR7+逐级计算!$C$174-(10/(逐级计算!$Q$174*LN(10))*(MAX((LN(10^(逐级计算!$Q$174/10)-1)+逐级计算!$Q$174*(FR7-逐级计算!$P$174)*LN(10)/10),0)+LN(1+EXP(-ABS((LN(10^(逐级计算!$Q$174/10)-1)+逐级计算!$Q$174*(FR7-逐级计算!$P$174)*LN(10)/10))))))),"")</f>
        <v>15.9576199902753</v>
      </c>
      <c r="FT7">
        <f>IF(AND(ISNUMBER(FS7),逐级计算!$X$175&gt;-1),IF(逐级计算!$X$175=0,FS7+逐级计算!$C$175,FS7+逐级计算!$C$175-(10/(逐级计算!$Q$175*LN(10))*(MAX((LN(10^(逐级计算!$Q$175/10)-1)+逐级计算!$Q$175*(FS7-逐级计算!$P$175)*LN(10)/10),0)+LN(1+EXP(-ABS((LN(10^(逐级计算!$Q$175/10)-1)+逐级计算!$Q$175*(FS7-逐级计算!$P$175)*LN(10)/10))))))),"")</f>
        <v>15.9576199902753</v>
      </c>
      <c r="FU7">
        <f>IF(AND(ISNUMBER(FT7),逐级计算!$X$176&gt;-1),IF(逐级计算!$X$176=0,FT7+逐级计算!$C$176,FT7+逐级计算!$C$176-(10/(逐级计算!$Q$176*LN(10))*(MAX((LN(10^(逐级计算!$Q$176/10)-1)+逐级计算!$Q$176*(FT7-逐级计算!$P$176)*LN(10)/10),0)+LN(1+EXP(-ABS((LN(10^(逐级计算!$Q$176/10)-1)+逐级计算!$Q$176*(FT7-逐级计算!$P$176)*LN(10)/10))))))),"")</f>
        <v>15.9576199902753</v>
      </c>
      <c r="FV7">
        <f>IF(AND(ISNUMBER(FU7),逐级计算!$X$177&gt;-1),IF(逐级计算!$X$177=0,FU7+逐级计算!$C$177,FU7+逐级计算!$C$177-(10/(逐级计算!$Q$177*LN(10))*(MAX((LN(10^(逐级计算!$Q$177/10)-1)+逐级计算!$Q$177*(FU7-逐级计算!$P$177)*LN(10)/10),0)+LN(1+EXP(-ABS((LN(10^(逐级计算!$Q$177/10)-1)+逐级计算!$Q$177*(FU7-逐级计算!$P$177)*LN(10)/10))))))),"")</f>
        <v>15.9576199902753</v>
      </c>
      <c r="FW7">
        <f>IF(AND(ISNUMBER(FV7),逐级计算!$X$178&gt;-1),IF(逐级计算!$X$178=0,FV7+逐级计算!$C$178,FV7+逐级计算!$C$178-(10/(逐级计算!$Q$178*LN(10))*(MAX((LN(10^(逐级计算!$Q$178/10)-1)+逐级计算!$Q$178*(FV7-逐级计算!$P$178)*LN(10)/10),0)+LN(1+EXP(-ABS((LN(10^(逐级计算!$Q$178/10)-1)+逐级计算!$Q$178*(FV7-逐级计算!$P$178)*LN(10)/10))))))),"")</f>
        <v>15.9576199902753</v>
      </c>
      <c r="FX7">
        <f>IF(AND(ISNUMBER(FW7),逐级计算!$X$179&gt;-1),IF(逐级计算!$X$179=0,FW7+逐级计算!$C$179,FW7+逐级计算!$C$179-(10/(逐级计算!$Q$179*LN(10))*(MAX((LN(10^(逐级计算!$Q$179/10)-1)+逐级计算!$Q$179*(FW7-逐级计算!$P$179)*LN(10)/10),0)+LN(1+EXP(-ABS((LN(10^(逐级计算!$Q$179/10)-1)+逐级计算!$Q$179*(FW7-逐级计算!$P$179)*LN(10)/10))))))),"")</f>
        <v>15.9576199902753</v>
      </c>
      <c r="FY7">
        <f>IF(AND(ISNUMBER(FX7),逐级计算!$X$180&gt;-1),IF(逐级计算!$X$180=0,FX7+逐级计算!$C$180,FX7+逐级计算!$C$180-(10/(逐级计算!$Q$180*LN(10))*(MAX((LN(10^(逐级计算!$Q$180/10)-1)+逐级计算!$Q$180*(FX7-逐级计算!$P$180)*LN(10)/10),0)+LN(1+EXP(-ABS((LN(10^(逐级计算!$Q$180/10)-1)+逐级计算!$Q$180*(FX7-逐级计算!$P$180)*LN(10)/10))))))),"")</f>
        <v>15.9576199902753</v>
      </c>
      <c r="FZ7">
        <f>IF(AND(ISNUMBER(FY7),逐级计算!$X$181&gt;-1),IF(逐级计算!$X$181=0,FY7+逐级计算!$C$181,FY7+逐级计算!$C$181-(10/(逐级计算!$Q$181*LN(10))*(MAX((LN(10^(逐级计算!$Q$181/10)-1)+逐级计算!$Q$181*(FY7-逐级计算!$P$181)*LN(10)/10),0)+LN(1+EXP(-ABS((LN(10^(逐级计算!$Q$181/10)-1)+逐级计算!$Q$181*(FY7-逐级计算!$P$181)*LN(10)/10))))))),"")</f>
        <v>15.9576199902753</v>
      </c>
      <c r="GA7">
        <f>IF(AND(ISNUMBER(FZ7),逐级计算!$X$182&gt;-1),IF(逐级计算!$X$182=0,FZ7+逐级计算!$C$182,FZ7+逐级计算!$C$182-(10/(逐级计算!$Q$182*LN(10))*(MAX((LN(10^(逐级计算!$Q$182/10)-1)+逐级计算!$Q$182*(FZ7-逐级计算!$P$182)*LN(10)/10),0)+LN(1+EXP(-ABS((LN(10^(逐级计算!$Q$182/10)-1)+逐级计算!$Q$182*(FZ7-逐级计算!$P$182)*LN(10)/10))))))),"")</f>
        <v>15.9576199902753</v>
      </c>
      <c r="GB7">
        <f>IF(AND(ISNUMBER(GA7),逐级计算!$X$183&gt;-1),IF(逐级计算!$X$183=0,GA7+逐级计算!$C$183,GA7+逐级计算!$C$183-(10/(逐级计算!$Q$183*LN(10))*(MAX((LN(10^(逐级计算!$Q$183/10)-1)+逐级计算!$Q$183*(GA7-逐级计算!$P$183)*LN(10)/10),0)+LN(1+EXP(-ABS((LN(10^(逐级计算!$Q$183/10)-1)+逐级计算!$Q$183*(GA7-逐级计算!$P$183)*LN(10)/10))))))),"")</f>
        <v>15.9576199902753</v>
      </c>
      <c r="GC7">
        <f>IF(AND(ISNUMBER(GB7),逐级计算!$X$184&gt;-1),IF(逐级计算!$X$184=0,GB7+逐级计算!$C$184,GB7+逐级计算!$C$184-(10/(逐级计算!$Q$184*LN(10))*(MAX((LN(10^(逐级计算!$Q$184/10)-1)+逐级计算!$Q$184*(GB7-逐级计算!$P$184)*LN(10)/10),0)+LN(1+EXP(-ABS((LN(10^(逐级计算!$Q$184/10)-1)+逐级计算!$Q$184*(GB7-逐级计算!$P$184)*LN(10)/10))))))),"")</f>
        <v>15.9576199902753</v>
      </c>
      <c r="GD7">
        <f>IF(AND(ISNUMBER(GC7),逐级计算!$X$185&gt;-1),IF(逐级计算!$X$185=0,GC7+逐级计算!$C$185,GC7+逐级计算!$C$185-(10/(逐级计算!$Q$185*LN(10))*(MAX((LN(10^(逐级计算!$Q$185/10)-1)+逐级计算!$Q$185*(GC7-逐级计算!$P$185)*LN(10)/10),0)+LN(1+EXP(-ABS((LN(10^(逐级计算!$Q$185/10)-1)+逐级计算!$Q$185*(GC7-逐级计算!$P$185)*LN(10)/10))))))),"")</f>
        <v>15.9576199902753</v>
      </c>
      <c r="GE7">
        <f>IF(AND(ISNUMBER(GD7),逐级计算!$X$186&gt;-1),IF(逐级计算!$X$186=0,GD7+逐级计算!$C$186,GD7+逐级计算!$C$186-(10/(逐级计算!$Q$186*LN(10))*(MAX((LN(10^(逐级计算!$Q$186/10)-1)+逐级计算!$Q$186*(GD7-逐级计算!$P$186)*LN(10)/10),0)+LN(1+EXP(-ABS((LN(10^(逐级计算!$Q$186/10)-1)+逐级计算!$Q$186*(GD7-逐级计算!$P$186)*LN(10)/10))))))),"")</f>
        <v>15.9576199902753</v>
      </c>
      <c r="GF7">
        <f>IF(AND(ISNUMBER(GE7),逐级计算!$X$187&gt;-1),IF(逐级计算!$X$187=0,GE7+逐级计算!$C$187,GE7+逐级计算!$C$187-(10/(逐级计算!$Q$187*LN(10))*(MAX((LN(10^(逐级计算!$Q$187/10)-1)+逐级计算!$Q$187*(GE7-逐级计算!$P$187)*LN(10)/10),0)+LN(1+EXP(-ABS((LN(10^(逐级计算!$Q$187/10)-1)+逐级计算!$Q$187*(GE7-逐级计算!$P$187)*LN(10)/10))))))),"")</f>
        <v>15.9576199902753</v>
      </c>
      <c r="GG7">
        <f>IF(AND(ISNUMBER(GF7),逐级计算!$X$188&gt;-1),IF(逐级计算!$X$188=0,GF7+逐级计算!$C$188,GF7+逐级计算!$C$188-(10/(逐级计算!$Q$188*LN(10))*(MAX((LN(10^(逐级计算!$Q$188/10)-1)+逐级计算!$Q$188*(GF7-逐级计算!$P$188)*LN(10)/10),0)+LN(1+EXP(-ABS((LN(10^(逐级计算!$Q$188/10)-1)+逐级计算!$Q$188*(GF7-逐级计算!$P$188)*LN(10)/10))))))),"")</f>
        <v>15.9576199902753</v>
      </c>
      <c r="GH7">
        <f>IF(AND(ISNUMBER(GG7),逐级计算!$X$189&gt;-1),IF(逐级计算!$X$189=0,GG7+逐级计算!$C$189,GG7+逐级计算!$C$189-(10/(逐级计算!$Q$189*LN(10))*(MAX((LN(10^(逐级计算!$Q$189/10)-1)+逐级计算!$Q$189*(GG7-逐级计算!$P$189)*LN(10)/10),0)+LN(1+EXP(-ABS((LN(10^(逐级计算!$Q$189/10)-1)+逐级计算!$Q$189*(GG7-逐级计算!$P$189)*LN(10)/10))))))),"")</f>
        <v>15.9576199902753</v>
      </c>
      <c r="GI7">
        <f>IF(AND(ISNUMBER(GH7),逐级计算!$X$190&gt;-1),IF(逐级计算!$X$190=0,GH7+逐级计算!$C$190,GH7+逐级计算!$C$190-(10/(逐级计算!$Q$190*LN(10))*(MAX((LN(10^(逐级计算!$Q$190/10)-1)+逐级计算!$Q$190*(GH7-逐级计算!$P$190)*LN(10)/10),0)+LN(1+EXP(-ABS((LN(10^(逐级计算!$Q$190/10)-1)+逐级计算!$Q$190*(GH7-逐级计算!$P$190)*LN(10)/10))))))),"")</f>
        <v>15.9576199902753</v>
      </c>
      <c r="GJ7">
        <f>IF(AND(ISNUMBER(GI7),逐级计算!$X$191&gt;-1),IF(逐级计算!$X$191=0,GI7+逐级计算!$C$191,GI7+逐级计算!$C$191-(10/(逐级计算!$Q$191*LN(10))*(MAX((LN(10^(逐级计算!$Q$191/10)-1)+逐级计算!$Q$191*(GI7-逐级计算!$P$191)*LN(10)/10),0)+LN(1+EXP(-ABS((LN(10^(逐级计算!$Q$191/10)-1)+逐级计算!$Q$191*(GI7-逐级计算!$P$191)*LN(10)/10))))))),"")</f>
        <v>15.9576199902753</v>
      </c>
      <c r="GK7">
        <f>IF(AND(ISNUMBER(GJ7),逐级计算!$X$192&gt;-1),IF(逐级计算!$X$192=0,GJ7+逐级计算!$C$192,GJ7+逐级计算!$C$192-(10/(逐级计算!$Q$192*LN(10))*(MAX((LN(10^(逐级计算!$Q$192/10)-1)+逐级计算!$Q$192*(GJ7-逐级计算!$P$192)*LN(10)/10),0)+LN(1+EXP(-ABS((LN(10^(逐级计算!$Q$192/10)-1)+逐级计算!$Q$192*(GJ7-逐级计算!$P$192)*LN(10)/10))))))),"")</f>
        <v>15.9576199902753</v>
      </c>
      <c r="GL7">
        <f>IF(AND(ISNUMBER(GK7),逐级计算!$X$193&gt;-1),IF(逐级计算!$X$193=0,GK7+逐级计算!$C$193,GK7+逐级计算!$C$193-(10/(逐级计算!$Q$193*LN(10))*(MAX((LN(10^(逐级计算!$Q$193/10)-1)+逐级计算!$Q$193*(GK7-逐级计算!$P$193)*LN(10)/10),0)+LN(1+EXP(-ABS((LN(10^(逐级计算!$Q$193/10)-1)+逐级计算!$Q$193*(GK7-逐级计算!$P$193)*LN(10)/10))))))),"")</f>
        <v>15.9576199902753</v>
      </c>
      <c r="GM7">
        <f>IF(AND(ISNUMBER(GL7),逐级计算!$X$194&gt;-1),IF(逐级计算!$X$194=0,GL7+逐级计算!$C$194,GL7+逐级计算!$C$194-(10/(逐级计算!$Q$194*LN(10))*(MAX((LN(10^(逐级计算!$Q$194/10)-1)+逐级计算!$Q$194*(GL7-逐级计算!$P$194)*LN(10)/10),0)+LN(1+EXP(-ABS((LN(10^(逐级计算!$Q$194/10)-1)+逐级计算!$Q$194*(GL7-逐级计算!$P$194)*LN(10)/10))))))),"")</f>
        <v>15.9576199902753</v>
      </c>
      <c r="GN7">
        <f>IF(AND(ISNUMBER(GM7),逐级计算!$X$195&gt;-1),IF(逐级计算!$X$195=0,GM7+逐级计算!$C$195,GM7+逐级计算!$C$195-(10/(逐级计算!$Q$195*LN(10))*(MAX((LN(10^(逐级计算!$Q$195/10)-1)+逐级计算!$Q$195*(GM7-逐级计算!$P$195)*LN(10)/10),0)+LN(1+EXP(-ABS((LN(10^(逐级计算!$Q$195/10)-1)+逐级计算!$Q$195*(GM7-逐级计算!$P$195)*LN(10)/10))))))),"")</f>
        <v>15.9576199902753</v>
      </c>
      <c r="GO7">
        <f>IF(AND(ISNUMBER(GN7),逐级计算!$X$196&gt;-1),IF(逐级计算!$X$196=0,GN7+逐级计算!$C$196,GN7+逐级计算!$C$196-(10/(逐级计算!$Q$196*LN(10))*(MAX((LN(10^(逐级计算!$Q$196/10)-1)+逐级计算!$Q$196*(GN7-逐级计算!$P$196)*LN(10)/10),0)+LN(1+EXP(-ABS((LN(10^(逐级计算!$Q$196/10)-1)+逐级计算!$Q$196*(GN7-逐级计算!$P$196)*LN(10)/10))))))),"")</f>
        <v>15.9576199902753</v>
      </c>
      <c r="GP7">
        <f>IF(AND(ISNUMBER(GO7),逐级计算!$X$197&gt;-1),IF(逐级计算!$X$197=0,GO7+逐级计算!$C$197,GO7+逐级计算!$C$197-(10/(逐级计算!$Q$197*LN(10))*(MAX((LN(10^(逐级计算!$Q$197/10)-1)+逐级计算!$Q$197*(GO7-逐级计算!$P$197)*LN(10)/10),0)+LN(1+EXP(-ABS((LN(10^(逐级计算!$Q$197/10)-1)+逐级计算!$Q$197*(GO7-逐级计算!$P$197)*LN(10)/10))))))),"")</f>
        <v>15.9576199902753</v>
      </c>
      <c r="GQ7">
        <f>IF(AND(ISNUMBER(GP7),逐级计算!$X$198&gt;-1),IF(逐级计算!$X$198=0,GP7+逐级计算!$C$198,GP7+逐级计算!$C$198-(10/(逐级计算!$Q$198*LN(10))*(MAX((LN(10^(逐级计算!$Q$198/10)-1)+逐级计算!$Q$198*(GP7-逐级计算!$P$198)*LN(10)/10),0)+LN(1+EXP(-ABS((LN(10^(逐级计算!$Q$198/10)-1)+逐级计算!$Q$198*(GP7-逐级计算!$P$198)*LN(10)/10))))))),"")</f>
        <v>15.9576199902753</v>
      </c>
      <c r="GR7">
        <f>IF(AND(ISNUMBER(GQ7),逐级计算!$X$199&gt;-1),IF(逐级计算!$X$199=0,GQ7+逐级计算!$C$199,GQ7+逐级计算!$C$199-(10/(逐级计算!$Q$199*LN(10))*(MAX((LN(10^(逐级计算!$Q$199/10)-1)+逐级计算!$Q$199*(GQ7-逐级计算!$P$199)*LN(10)/10),0)+LN(1+EXP(-ABS((LN(10^(逐级计算!$Q$199/10)-1)+逐级计算!$Q$199*(GQ7-逐级计算!$P$199)*LN(10)/10))))))),"")</f>
        <v>15.9576199902753</v>
      </c>
      <c r="GS7">
        <f>IF(AND(ISNUMBER(GR7),逐级计算!$X$200&gt;-1),IF(逐级计算!$X$200=0,GR7+逐级计算!$C$200,GR7+逐级计算!$C$200-(10/(逐级计算!$Q$200*LN(10))*(MAX((LN(10^(逐级计算!$Q$200/10)-1)+逐级计算!$Q$200*(GR7-逐级计算!$P$200)*LN(10)/10),0)+LN(1+EXP(-ABS((LN(10^(逐级计算!$Q$200/10)-1)+逐级计算!$Q$200*(GR7-逐级计算!$P$200)*LN(10)/10))))))),"")</f>
        <v>15.9576199902753</v>
      </c>
      <c r="GT7">
        <f>IF(AND(ISNUMBER(GS7),逐级计算!$X$201&gt;-1),IF(逐级计算!$X$201=0,GS7+逐级计算!$C$201,GS7+逐级计算!$C$201-(10/(逐级计算!$Q$201*LN(10))*(MAX((LN(10^(逐级计算!$Q$201/10)-1)+逐级计算!$Q$201*(GS7-逐级计算!$P$201)*LN(10)/10),0)+LN(1+EXP(-ABS((LN(10^(逐级计算!$Q$201/10)-1)+逐级计算!$Q$201*(GS7-逐级计算!$P$201)*LN(10)/10))))))),"")</f>
        <v>15.9576199902753</v>
      </c>
      <c r="GU7">
        <f>IF(AND(ISNUMBER(GT7),逐级计算!$X$202&gt;-1),IF(逐级计算!$X$202=0,GT7+逐级计算!$C$202,GT7+逐级计算!$C$202-(10/(逐级计算!$Q$202*LN(10))*(MAX((LN(10^(逐级计算!$Q$202/10)-1)+逐级计算!$Q$202*(GT7-逐级计算!$P$202)*LN(10)/10),0)+LN(1+EXP(-ABS((LN(10^(逐级计算!$Q$202/10)-1)+逐级计算!$Q$202*(GT7-逐级计算!$P$202)*LN(10)/10))))))),"")</f>
        <v>15.9576199902753</v>
      </c>
      <c r="GV7">
        <f>IF(AND(ISNUMBER(GU7),逐级计算!$X$203&gt;-1),IF(逐级计算!$X$203=0,GU7+逐级计算!$C$203,GU7+逐级计算!$C$203-(10/(逐级计算!$Q$203*LN(10))*(MAX((LN(10^(逐级计算!$Q$203/10)-1)+逐级计算!$Q$203*(GU7-逐级计算!$P$203)*LN(10)/10),0)+LN(1+EXP(-ABS((LN(10^(逐级计算!$Q$203/10)-1)+逐级计算!$Q$203*(GU7-逐级计算!$P$203)*LN(10)/10))))))),"")</f>
        <v>15.9576199902753</v>
      </c>
    </row>
    <row r="8" spans="1:205">
      <c r="A8">
        <v>1</v>
      </c>
      <c r="B8">
        <f>IF($B$4="已夹根",B6,"")</f>
        <v>-85</v>
      </c>
      <c r="C8">
        <f t="shared" ref="C8:C71" si="0">IF(AND(ISNUMBER(B8),ISNUMBER(GW8)),(B8+GW8)/2,"")</f>
        <v>-32.5</v>
      </c>
      <c r="D8">
        <f>IF(AND(ISNUMBER(C8),ISNUMBER(逐级计算!$E$203),ISNUMBER(GV8)),C8+逐级计算!$E$203-GV8,"")</f>
        <v>4.41797369177266e-6</v>
      </c>
      <c r="E8">
        <f>IF(AND(ISNUMBER(C8),逐级计算!$X$4&gt;-1),IF(逐级计算!$X$4=0,C8+逐级计算!$C$4,C8+逐级计算!$C$4-(10/(逐级计算!$Q$4*LN(10))*(MAX((LN(10^(逐级计算!$Q$4/10)-1)+逐级计算!$Q$4*(C8-逐级计算!$P$4)*LN(10)/10),0)+LN(1+EXP(-ABS((LN(10^(逐级计算!$Q$4/10)-1)+逐级计算!$Q$4*(C8-逐级计算!$P$4)*LN(10)/10))))))),"")</f>
        <v>-22.5000004016343</v>
      </c>
      <c r="F8">
        <f>IF(AND(ISNUMBER(E8),逐级计算!$X$5&gt;-1),IF(逐级计算!$X$5=0,E8+逐级计算!$C$5,E8+逐级计算!$C$5-(10/(逐级计算!$Q$5*LN(10))*(MAX((LN(10^(逐级计算!$Q$5/10)-1)+逐级计算!$Q$5*(E8-逐级计算!$P$5)*LN(10)/10),0)+LN(1+EXP(-ABS((LN(10^(逐级计算!$Q$5/10)-1)+逐级计算!$Q$5*(E8-逐级计算!$P$5)*LN(10)/10))))))),"")</f>
        <v>-12.5000044179737</v>
      </c>
      <c r="G8">
        <f>IF(AND(ISNUMBER(F8),逐级计算!$X$6&gt;-1),IF(逐级计算!$X$6=0,F8+逐级计算!$C$6,F8+逐级计算!$C$6-(10/(逐级计算!$Q$6*LN(10))*(MAX((LN(10^(逐级计算!$Q$6/10)-1)+逐级计算!$Q$6*(F8-逐级计算!$P$6)*LN(10)/10),0)+LN(1+EXP(-ABS((LN(10^(逐级计算!$Q$6/10)-1)+逐级计算!$Q$6*(F8-逐级计算!$P$6)*LN(10)/10))))))),"")</f>
        <v>-12.5000044179737</v>
      </c>
      <c r="H8">
        <f>IF(AND(ISNUMBER(G8),逐级计算!$X$7&gt;-1),IF(逐级计算!$X$7=0,G8+逐级计算!$C$7,G8+逐级计算!$C$7-(10/(逐级计算!$Q$7*LN(10))*(MAX((LN(10^(逐级计算!$Q$7/10)-1)+逐级计算!$Q$7*(G8-逐级计算!$P$7)*LN(10)/10),0)+LN(1+EXP(-ABS((LN(10^(逐级计算!$Q$7/10)-1)+逐级计算!$Q$7*(G8-逐级计算!$P$7)*LN(10)/10))))))),"")</f>
        <v>-12.5000044179737</v>
      </c>
      <c r="I8">
        <f>IF(AND(ISNUMBER(H8),逐级计算!$X$8&gt;-1),IF(逐级计算!$X$8=0,H8+逐级计算!$C$8,H8+逐级计算!$C$8-(10/(逐级计算!$Q$8*LN(10))*(MAX((LN(10^(逐级计算!$Q$8/10)-1)+逐级计算!$Q$8*(H8-逐级计算!$P$8)*LN(10)/10),0)+LN(1+EXP(-ABS((LN(10^(逐级计算!$Q$8/10)-1)+逐级计算!$Q$8*(H8-逐级计算!$P$8)*LN(10)/10))))))),"")</f>
        <v>-12.5000044179737</v>
      </c>
      <c r="J8">
        <f>IF(AND(ISNUMBER(I8),逐级计算!$X$9&gt;-1),IF(逐级计算!$X$9=0,I8+逐级计算!$C$9,I8+逐级计算!$C$9-(10/(逐级计算!$Q$9*LN(10))*(MAX((LN(10^(逐级计算!$Q$9/10)-1)+逐级计算!$Q$9*(I8-逐级计算!$P$9)*LN(10)/10),0)+LN(1+EXP(-ABS((LN(10^(逐级计算!$Q$9/10)-1)+逐级计算!$Q$9*(I8-逐级计算!$P$9)*LN(10)/10))))))),"")</f>
        <v>-12.5000044179737</v>
      </c>
      <c r="K8">
        <f>IF(AND(ISNUMBER(J8),逐级计算!$X$10&gt;-1),IF(逐级计算!$X$10=0,J8+逐级计算!$C$10,J8+逐级计算!$C$10-(10/(逐级计算!$Q$10*LN(10))*(MAX((LN(10^(逐级计算!$Q$10/10)-1)+逐级计算!$Q$10*(J8-逐级计算!$P$10)*LN(10)/10),0)+LN(1+EXP(-ABS((LN(10^(逐级计算!$Q$10/10)-1)+逐级计算!$Q$10*(J8-逐级计算!$P$10)*LN(10)/10))))))),"")</f>
        <v>-12.5000044179737</v>
      </c>
      <c r="L8">
        <f>IF(AND(ISNUMBER(K8),逐级计算!$X$11&gt;-1),IF(逐级计算!$X$11=0,K8+逐级计算!$C$11,K8+逐级计算!$C$11-(10/(逐级计算!$Q$11*LN(10))*(MAX((LN(10^(逐级计算!$Q$11/10)-1)+逐级计算!$Q$11*(K8-逐级计算!$P$11)*LN(10)/10),0)+LN(1+EXP(-ABS((LN(10^(逐级计算!$Q$11/10)-1)+逐级计算!$Q$11*(K8-逐级计算!$P$11)*LN(10)/10))))))),"")</f>
        <v>-12.5000044179737</v>
      </c>
      <c r="M8">
        <f>IF(AND(ISNUMBER(L8),逐级计算!$X$12&gt;-1),IF(逐级计算!$X$12=0,L8+逐级计算!$C$12,L8+逐级计算!$C$12-(10/(逐级计算!$Q$12*LN(10))*(MAX((LN(10^(逐级计算!$Q$12/10)-1)+逐级计算!$Q$12*(L8-逐级计算!$P$12)*LN(10)/10),0)+LN(1+EXP(-ABS((LN(10^(逐级计算!$Q$12/10)-1)+逐级计算!$Q$12*(L8-逐级计算!$P$12)*LN(10)/10))))))),"")</f>
        <v>-12.5000044179737</v>
      </c>
      <c r="N8">
        <f>IF(AND(ISNUMBER(M8),逐级计算!$X$13&gt;-1),IF(逐级计算!$X$13=0,M8+逐级计算!$C$13,M8+逐级计算!$C$13-(10/(逐级计算!$Q$13*LN(10))*(MAX((LN(10^(逐级计算!$Q$13/10)-1)+逐级计算!$Q$13*(M8-逐级计算!$P$13)*LN(10)/10),0)+LN(1+EXP(-ABS((LN(10^(逐级计算!$Q$13/10)-1)+逐级计算!$Q$13*(M8-逐级计算!$P$13)*LN(10)/10))))))),"")</f>
        <v>-12.5000044179737</v>
      </c>
      <c r="O8">
        <f>IF(AND(ISNUMBER(N8),逐级计算!$X$14&gt;-1),IF(逐级计算!$X$14=0,N8+逐级计算!$C$14,N8+逐级计算!$C$14-(10/(逐级计算!$Q$14*LN(10))*(MAX((LN(10^(逐级计算!$Q$14/10)-1)+逐级计算!$Q$14*(N8-逐级计算!$P$14)*LN(10)/10),0)+LN(1+EXP(-ABS((LN(10^(逐级计算!$Q$14/10)-1)+逐级计算!$Q$14*(N8-逐级计算!$P$14)*LN(10)/10))))))),"")</f>
        <v>-12.5000044179737</v>
      </c>
      <c r="P8">
        <f>IF(AND(ISNUMBER(O8),逐级计算!$X$15&gt;-1),IF(逐级计算!$X$15=0,O8+逐级计算!$C$15,O8+逐级计算!$C$15-(10/(逐级计算!$Q$15*LN(10))*(MAX((LN(10^(逐级计算!$Q$15/10)-1)+逐级计算!$Q$15*(O8-逐级计算!$P$15)*LN(10)/10),0)+LN(1+EXP(-ABS((LN(10^(逐级计算!$Q$15/10)-1)+逐级计算!$Q$15*(O8-逐级计算!$P$15)*LN(10)/10))))))),"")</f>
        <v>-12.5000044179737</v>
      </c>
      <c r="Q8">
        <f>IF(AND(ISNUMBER(P8),逐级计算!$X$16&gt;-1),IF(逐级计算!$X$16=0,P8+逐级计算!$C$16,P8+逐级计算!$C$16-(10/(逐级计算!$Q$16*LN(10))*(MAX((LN(10^(逐级计算!$Q$16/10)-1)+逐级计算!$Q$16*(P8-逐级计算!$P$16)*LN(10)/10),0)+LN(1+EXP(-ABS((LN(10^(逐级计算!$Q$16/10)-1)+逐级计算!$Q$16*(P8-逐级计算!$P$16)*LN(10)/10))))))),"")</f>
        <v>-12.5000044179737</v>
      </c>
      <c r="R8">
        <f>IF(AND(ISNUMBER(Q8),逐级计算!$X$17&gt;-1),IF(逐级计算!$X$17=0,Q8+逐级计算!$C$17,Q8+逐级计算!$C$17-(10/(逐级计算!$Q$17*LN(10))*(MAX((LN(10^(逐级计算!$Q$17/10)-1)+逐级计算!$Q$17*(Q8-逐级计算!$P$17)*LN(10)/10),0)+LN(1+EXP(-ABS((LN(10^(逐级计算!$Q$17/10)-1)+逐级计算!$Q$17*(Q8-逐级计算!$P$17)*LN(10)/10))))))),"")</f>
        <v>-12.5000044179737</v>
      </c>
      <c r="S8">
        <f>IF(AND(ISNUMBER(R8),逐级计算!$X$18&gt;-1),IF(逐级计算!$X$18=0,R8+逐级计算!$C$18,R8+逐级计算!$C$18-(10/(逐级计算!$Q$18*LN(10))*(MAX((LN(10^(逐级计算!$Q$18/10)-1)+逐级计算!$Q$18*(R8-逐级计算!$P$18)*LN(10)/10),0)+LN(1+EXP(-ABS((LN(10^(逐级计算!$Q$18/10)-1)+逐级计算!$Q$18*(R8-逐级计算!$P$18)*LN(10)/10))))))),"")</f>
        <v>-12.5000044179737</v>
      </c>
      <c r="T8">
        <f>IF(AND(ISNUMBER(S8),逐级计算!$X$19&gt;-1),IF(逐级计算!$X$19=0,S8+逐级计算!$C$19,S8+逐级计算!$C$19-(10/(逐级计算!$Q$19*LN(10))*(MAX((LN(10^(逐级计算!$Q$19/10)-1)+逐级计算!$Q$19*(S8-逐级计算!$P$19)*LN(10)/10),0)+LN(1+EXP(-ABS((LN(10^(逐级计算!$Q$19/10)-1)+逐级计算!$Q$19*(S8-逐级计算!$P$19)*LN(10)/10))))))),"")</f>
        <v>-12.5000044179737</v>
      </c>
      <c r="U8">
        <f>IF(AND(ISNUMBER(T8),逐级计算!$X$20&gt;-1),IF(逐级计算!$X$20=0,T8+逐级计算!$C$20,T8+逐级计算!$C$20-(10/(逐级计算!$Q$20*LN(10))*(MAX((LN(10^(逐级计算!$Q$20/10)-1)+逐级计算!$Q$20*(T8-逐级计算!$P$20)*LN(10)/10),0)+LN(1+EXP(-ABS((LN(10^(逐级计算!$Q$20/10)-1)+逐级计算!$Q$20*(T8-逐级计算!$P$20)*LN(10)/10))))))),"")</f>
        <v>-12.5000044179737</v>
      </c>
      <c r="V8">
        <f>IF(AND(ISNUMBER(U8),逐级计算!$X$21&gt;-1),IF(逐级计算!$X$21=0,U8+逐级计算!$C$21,U8+逐级计算!$C$21-(10/(逐级计算!$Q$21*LN(10))*(MAX((LN(10^(逐级计算!$Q$21/10)-1)+逐级计算!$Q$21*(U8-逐级计算!$P$21)*LN(10)/10),0)+LN(1+EXP(-ABS((LN(10^(逐级计算!$Q$21/10)-1)+逐级计算!$Q$21*(U8-逐级计算!$P$21)*LN(10)/10))))))),"")</f>
        <v>-12.5000044179737</v>
      </c>
      <c r="W8">
        <f>IF(AND(ISNUMBER(V8),逐级计算!$X$22&gt;-1),IF(逐级计算!$X$22=0,V8+逐级计算!$C$22,V8+逐级计算!$C$22-(10/(逐级计算!$Q$22*LN(10))*(MAX((LN(10^(逐级计算!$Q$22/10)-1)+逐级计算!$Q$22*(V8-逐级计算!$P$22)*LN(10)/10),0)+LN(1+EXP(-ABS((LN(10^(逐级计算!$Q$22/10)-1)+逐级计算!$Q$22*(V8-逐级计算!$P$22)*LN(10)/10))))))),"")</f>
        <v>-12.5000044179737</v>
      </c>
      <c r="X8">
        <f>IF(AND(ISNUMBER(W8),逐级计算!$X$23&gt;-1),IF(逐级计算!$X$23=0,W8+逐级计算!$C$23,W8+逐级计算!$C$23-(10/(逐级计算!$Q$23*LN(10))*(MAX((LN(10^(逐级计算!$Q$23/10)-1)+逐级计算!$Q$23*(W8-逐级计算!$P$23)*LN(10)/10),0)+LN(1+EXP(-ABS((LN(10^(逐级计算!$Q$23/10)-1)+逐级计算!$Q$23*(W8-逐级计算!$P$23)*LN(10)/10))))))),"")</f>
        <v>-12.5000044179737</v>
      </c>
      <c r="Y8">
        <f>IF(AND(ISNUMBER(X8),逐级计算!$X$24&gt;-1),IF(逐级计算!$X$24=0,X8+逐级计算!$C$24,X8+逐级计算!$C$24-(10/(逐级计算!$Q$24*LN(10))*(MAX((LN(10^(逐级计算!$Q$24/10)-1)+逐级计算!$Q$24*(X8-逐级计算!$P$24)*LN(10)/10),0)+LN(1+EXP(-ABS((LN(10^(逐级计算!$Q$24/10)-1)+逐级计算!$Q$24*(X8-逐级计算!$P$24)*LN(10)/10))))))),"")</f>
        <v>-12.5000044179737</v>
      </c>
      <c r="Z8">
        <f>IF(AND(ISNUMBER(Y8),逐级计算!$X$25&gt;-1),IF(逐级计算!$X$25=0,Y8+逐级计算!$C$25,Y8+逐级计算!$C$25-(10/(逐级计算!$Q$25*LN(10))*(MAX((LN(10^(逐级计算!$Q$25/10)-1)+逐级计算!$Q$25*(Y8-逐级计算!$P$25)*LN(10)/10),0)+LN(1+EXP(-ABS((LN(10^(逐级计算!$Q$25/10)-1)+逐级计算!$Q$25*(Y8-逐级计算!$P$25)*LN(10)/10))))))),"")</f>
        <v>-12.5000044179737</v>
      </c>
      <c r="AA8">
        <f>IF(AND(ISNUMBER(Z8),逐级计算!$X$26&gt;-1),IF(逐级计算!$X$26=0,Z8+逐级计算!$C$26,Z8+逐级计算!$C$26-(10/(逐级计算!$Q$26*LN(10))*(MAX((LN(10^(逐级计算!$Q$26/10)-1)+逐级计算!$Q$26*(Z8-逐级计算!$P$26)*LN(10)/10),0)+LN(1+EXP(-ABS((LN(10^(逐级计算!$Q$26/10)-1)+逐级计算!$Q$26*(Z8-逐级计算!$P$26)*LN(10)/10))))))),"")</f>
        <v>-12.5000044179737</v>
      </c>
      <c r="AB8">
        <f>IF(AND(ISNUMBER(AA8),逐级计算!$X$27&gt;-1),IF(逐级计算!$X$27=0,AA8+逐级计算!$C$27,AA8+逐级计算!$C$27-(10/(逐级计算!$Q$27*LN(10))*(MAX((LN(10^(逐级计算!$Q$27/10)-1)+逐级计算!$Q$27*(AA8-逐级计算!$P$27)*LN(10)/10),0)+LN(1+EXP(-ABS((LN(10^(逐级计算!$Q$27/10)-1)+逐级计算!$Q$27*(AA8-逐级计算!$P$27)*LN(10)/10))))))),"")</f>
        <v>-12.5000044179737</v>
      </c>
      <c r="AC8">
        <f>IF(AND(ISNUMBER(AB8),逐级计算!$X$28&gt;-1),IF(逐级计算!$X$28=0,AB8+逐级计算!$C$28,AB8+逐级计算!$C$28-(10/(逐级计算!$Q$28*LN(10))*(MAX((LN(10^(逐级计算!$Q$28/10)-1)+逐级计算!$Q$28*(AB8-逐级计算!$P$28)*LN(10)/10),0)+LN(1+EXP(-ABS((LN(10^(逐级计算!$Q$28/10)-1)+逐级计算!$Q$28*(AB8-逐级计算!$P$28)*LN(10)/10))))))),"")</f>
        <v>-12.5000044179737</v>
      </c>
      <c r="AD8">
        <f>IF(AND(ISNUMBER(AC8),逐级计算!$X$29&gt;-1),IF(逐级计算!$X$29=0,AC8+逐级计算!$C$29,AC8+逐级计算!$C$29-(10/(逐级计算!$Q$29*LN(10))*(MAX((LN(10^(逐级计算!$Q$29/10)-1)+逐级计算!$Q$29*(AC8-逐级计算!$P$29)*LN(10)/10),0)+LN(1+EXP(-ABS((LN(10^(逐级计算!$Q$29/10)-1)+逐级计算!$Q$29*(AC8-逐级计算!$P$29)*LN(10)/10))))))),"")</f>
        <v>-12.5000044179737</v>
      </c>
      <c r="AE8">
        <f>IF(AND(ISNUMBER(AD8),逐级计算!$X$30&gt;-1),IF(逐级计算!$X$30=0,AD8+逐级计算!$C$30,AD8+逐级计算!$C$30-(10/(逐级计算!$Q$30*LN(10))*(MAX((LN(10^(逐级计算!$Q$30/10)-1)+逐级计算!$Q$30*(AD8-逐级计算!$P$30)*LN(10)/10),0)+LN(1+EXP(-ABS((LN(10^(逐级计算!$Q$30/10)-1)+逐级计算!$Q$30*(AD8-逐级计算!$P$30)*LN(10)/10))))))),"")</f>
        <v>-12.5000044179737</v>
      </c>
      <c r="AF8">
        <f>IF(AND(ISNUMBER(AE8),逐级计算!$X$31&gt;-1),IF(逐级计算!$X$31=0,AE8+逐级计算!$C$31,AE8+逐级计算!$C$31-(10/(逐级计算!$Q$31*LN(10))*(MAX((LN(10^(逐级计算!$Q$31/10)-1)+逐级计算!$Q$31*(AE8-逐级计算!$P$31)*LN(10)/10),0)+LN(1+EXP(-ABS((LN(10^(逐级计算!$Q$31/10)-1)+逐级计算!$Q$31*(AE8-逐级计算!$P$31)*LN(10)/10))))))),"")</f>
        <v>-12.5000044179737</v>
      </c>
      <c r="AG8">
        <f>IF(AND(ISNUMBER(AF8),逐级计算!$X$32&gt;-1),IF(逐级计算!$X$32=0,AF8+逐级计算!$C$32,AF8+逐级计算!$C$32-(10/(逐级计算!$Q$32*LN(10))*(MAX((LN(10^(逐级计算!$Q$32/10)-1)+逐级计算!$Q$32*(AF8-逐级计算!$P$32)*LN(10)/10),0)+LN(1+EXP(-ABS((LN(10^(逐级计算!$Q$32/10)-1)+逐级计算!$Q$32*(AF8-逐级计算!$P$32)*LN(10)/10))))))),"")</f>
        <v>-12.5000044179737</v>
      </c>
      <c r="AH8">
        <f>IF(AND(ISNUMBER(AG8),逐级计算!$X$33&gt;-1),IF(逐级计算!$X$33=0,AG8+逐级计算!$C$33,AG8+逐级计算!$C$33-(10/(逐级计算!$Q$33*LN(10))*(MAX((LN(10^(逐级计算!$Q$33/10)-1)+逐级计算!$Q$33*(AG8-逐级计算!$P$33)*LN(10)/10),0)+LN(1+EXP(-ABS((LN(10^(逐级计算!$Q$33/10)-1)+逐级计算!$Q$33*(AG8-逐级计算!$P$33)*LN(10)/10))))))),"")</f>
        <v>-12.5000044179737</v>
      </c>
      <c r="AI8">
        <f>IF(AND(ISNUMBER(AH8),逐级计算!$X$34&gt;-1),IF(逐级计算!$X$34=0,AH8+逐级计算!$C$34,AH8+逐级计算!$C$34-(10/(逐级计算!$Q$34*LN(10))*(MAX((LN(10^(逐级计算!$Q$34/10)-1)+逐级计算!$Q$34*(AH8-逐级计算!$P$34)*LN(10)/10),0)+LN(1+EXP(-ABS((LN(10^(逐级计算!$Q$34/10)-1)+逐级计算!$Q$34*(AH8-逐级计算!$P$34)*LN(10)/10))))))),"")</f>
        <v>-12.5000044179737</v>
      </c>
      <c r="AJ8">
        <f>IF(AND(ISNUMBER(AI8),逐级计算!$X$35&gt;-1),IF(逐级计算!$X$35=0,AI8+逐级计算!$C$35,AI8+逐级计算!$C$35-(10/(逐级计算!$Q$35*LN(10))*(MAX((LN(10^(逐级计算!$Q$35/10)-1)+逐级计算!$Q$35*(AI8-逐级计算!$P$35)*LN(10)/10),0)+LN(1+EXP(-ABS((LN(10^(逐级计算!$Q$35/10)-1)+逐级计算!$Q$35*(AI8-逐级计算!$P$35)*LN(10)/10))))))),"")</f>
        <v>-12.5000044179737</v>
      </c>
      <c r="AK8">
        <f>IF(AND(ISNUMBER(AJ8),逐级计算!$X$36&gt;-1),IF(逐级计算!$X$36=0,AJ8+逐级计算!$C$36,AJ8+逐级计算!$C$36-(10/(逐级计算!$Q$36*LN(10))*(MAX((LN(10^(逐级计算!$Q$36/10)-1)+逐级计算!$Q$36*(AJ8-逐级计算!$P$36)*LN(10)/10),0)+LN(1+EXP(-ABS((LN(10^(逐级计算!$Q$36/10)-1)+逐级计算!$Q$36*(AJ8-逐级计算!$P$36)*LN(10)/10))))))),"")</f>
        <v>-12.5000044179737</v>
      </c>
      <c r="AL8">
        <f>IF(AND(ISNUMBER(AK8),逐级计算!$X$37&gt;-1),IF(逐级计算!$X$37=0,AK8+逐级计算!$C$37,AK8+逐级计算!$C$37-(10/(逐级计算!$Q$37*LN(10))*(MAX((LN(10^(逐级计算!$Q$37/10)-1)+逐级计算!$Q$37*(AK8-逐级计算!$P$37)*LN(10)/10),0)+LN(1+EXP(-ABS((LN(10^(逐级计算!$Q$37/10)-1)+逐级计算!$Q$37*(AK8-逐级计算!$P$37)*LN(10)/10))))))),"")</f>
        <v>-12.5000044179737</v>
      </c>
      <c r="AM8">
        <f>IF(AND(ISNUMBER(AL8),逐级计算!$X$38&gt;-1),IF(逐级计算!$X$38=0,AL8+逐级计算!$C$38,AL8+逐级计算!$C$38-(10/(逐级计算!$Q$38*LN(10))*(MAX((LN(10^(逐级计算!$Q$38/10)-1)+逐级计算!$Q$38*(AL8-逐级计算!$P$38)*LN(10)/10),0)+LN(1+EXP(-ABS((LN(10^(逐级计算!$Q$38/10)-1)+逐级计算!$Q$38*(AL8-逐级计算!$P$38)*LN(10)/10))))))),"")</f>
        <v>-12.5000044179737</v>
      </c>
      <c r="AN8">
        <f>IF(AND(ISNUMBER(AM8),逐级计算!$X$39&gt;-1),IF(逐级计算!$X$39=0,AM8+逐级计算!$C$39,AM8+逐级计算!$C$39-(10/(逐级计算!$Q$39*LN(10))*(MAX((LN(10^(逐级计算!$Q$39/10)-1)+逐级计算!$Q$39*(AM8-逐级计算!$P$39)*LN(10)/10),0)+LN(1+EXP(-ABS((LN(10^(逐级计算!$Q$39/10)-1)+逐级计算!$Q$39*(AM8-逐级计算!$P$39)*LN(10)/10))))))),"")</f>
        <v>-12.5000044179737</v>
      </c>
      <c r="AO8">
        <f>IF(AND(ISNUMBER(AN8),逐级计算!$X$40&gt;-1),IF(逐级计算!$X$40=0,AN8+逐级计算!$C$40,AN8+逐级计算!$C$40-(10/(逐级计算!$Q$40*LN(10))*(MAX((LN(10^(逐级计算!$Q$40/10)-1)+逐级计算!$Q$40*(AN8-逐级计算!$P$40)*LN(10)/10),0)+LN(1+EXP(-ABS((LN(10^(逐级计算!$Q$40/10)-1)+逐级计算!$Q$40*(AN8-逐级计算!$P$40)*LN(10)/10))))))),"")</f>
        <v>-12.5000044179737</v>
      </c>
      <c r="AP8">
        <f>IF(AND(ISNUMBER(AO8),逐级计算!$X$41&gt;-1),IF(逐级计算!$X$41=0,AO8+逐级计算!$C$41,AO8+逐级计算!$C$41-(10/(逐级计算!$Q$41*LN(10))*(MAX((LN(10^(逐级计算!$Q$41/10)-1)+逐级计算!$Q$41*(AO8-逐级计算!$P$41)*LN(10)/10),0)+LN(1+EXP(-ABS((LN(10^(逐级计算!$Q$41/10)-1)+逐级计算!$Q$41*(AO8-逐级计算!$P$41)*LN(10)/10))))))),"")</f>
        <v>-12.5000044179737</v>
      </c>
      <c r="AQ8">
        <f>IF(AND(ISNUMBER(AP8),逐级计算!$X$42&gt;-1),IF(逐级计算!$X$42=0,AP8+逐级计算!$C$42,AP8+逐级计算!$C$42-(10/(逐级计算!$Q$42*LN(10))*(MAX((LN(10^(逐级计算!$Q$42/10)-1)+逐级计算!$Q$42*(AP8-逐级计算!$P$42)*LN(10)/10),0)+LN(1+EXP(-ABS((LN(10^(逐级计算!$Q$42/10)-1)+逐级计算!$Q$42*(AP8-逐级计算!$P$42)*LN(10)/10))))))),"")</f>
        <v>-12.5000044179737</v>
      </c>
      <c r="AR8">
        <f>IF(AND(ISNUMBER(AQ8),逐级计算!$X$43&gt;-1),IF(逐级计算!$X$43=0,AQ8+逐级计算!$C$43,AQ8+逐级计算!$C$43-(10/(逐级计算!$Q$43*LN(10))*(MAX((LN(10^(逐级计算!$Q$43/10)-1)+逐级计算!$Q$43*(AQ8-逐级计算!$P$43)*LN(10)/10),0)+LN(1+EXP(-ABS((LN(10^(逐级计算!$Q$43/10)-1)+逐级计算!$Q$43*(AQ8-逐级计算!$P$43)*LN(10)/10))))))),"")</f>
        <v>-12.5000044179737</v>
      </c>
      <c r="AS8">
        <f>IF(AND(ISNUMBER(AR8),逐级计算!$X$44&gt;-1),IF(逐级计算!$X$44=0,AR8+逐级计算!$C$44,AR8+逐级计算!$C$44-(10/(逐级计算!$Q$44*LN(10))*(MAX((LN(10^(逐级计算!$Q$44/10)-1)+逐级计算!$Q$44*(AR8-逐级计算!$P$44)*LN(10)/10),0)+LN(1+EXP(-ABS((LN(10^(逐级计算!$Q$44/10)-1)+逐级计算!$Q$44*(AR8-逐级计算!$P$44)*LN(10)/10))))))),"")</f>
        <v>-12.5000044179737</v>
      </c>
      <c r="AT8">
        <f>IF(AND(ISNUMBER(AS8),逐级计算!$X$45&gt;-1),IF(逐级计算!$X$45=0,AS8+逐级计算!$C$45,AS8+逐级计算!$C$45-(10/(逐级计算!$Q$45*LN(10))*(MAX((LN(10^(逐级计算!$Q$45/10)-1)+逐级计算!$Q$45*(AS8-逐级计算!$P$45)*LN(10)/10),0)+LN(1+EXP(-ABS((LN(10^(逐级计算!$Q$45/10)-1)+逐级计算!$Q$45*(AS8-逐级计算!$P$45)*LN(10)/10))))))),"")</f>
        <v>-12.5000044179737</v>
      </c>
      <c r="AU8">
        <f>IF(AND(ISNUMBER(AT8),逐级计算!$X$46&gt;-1),IF(逐级计算!$X$46=0,AT8+逐级计算!$C$46,AT8+逐级计算!$C$46-(10/(逐级计算!$Q$46*LN(10))*(MAX((LN(10^(逐级计算!$Q$46/10)-1)+逐级计算!$Q$46*(AT8-逐级计算!$P$46)*LN(10)/10),0)+LN(1+EXP(-ABS((LN(10^(逐级计算!$Q$46/10)-1)+逐级计算!$Q$46*(AT8-逐级计算!$P$46)*LN(10)/10))))))),"")</f>
        <v>-12.5000044179737</v>
      </c>
      <c r="AV8">
        <f>IF(AND(ISNUMBER(AU8),逐级计算!$X$47&gt;-1),IF(逐级计算!$X$47=0,AU8+逐级计算!$C$47,AU8+逐级计算!$C$47-(10/(逐级计算!$Q$47*LN(10))*(MAX((LN(10^(逐级计算!$Q$47/10)-1)+逐级计算!$Q$47*(AU8-逐级计算!$P$47)*LN(10)/10),0)+LN(1+EXP(-ABS((LN(10^(逐级计算!$Q$47/10)-1)+逐级计算!$Q$47*(AU8-逐级计算!$P$47)*LN(10)/10))))))),"")</f>
        <v>-12.5000044179737</v>
      </c>
      <c r="AW8">
        <f>IF(AND(ISNUMBER(AV8),逐级计算!$X$48&gt;-1),IF(逐级计算!$X$48=0,AV8+逐级计算!$C$48,AV8+逐级计算!$C$48-(10/(逐级计算!$Q$48*LN(10))*(MAX((LN(10^(逐级计算!$Q$48/10)-1)+逐级计算!$Q$48*(AV8-逐级计算!$P$48)*LN(10)/10),0)+LN(1+EXP(-ABS((LN(10^(逐级计算!$Q$48/10)-1)+逐级计算!$Q$48*(AV8-逐级计算!$P$48)*LN(10)/10))))))),"")</f>
        <v>-12.5000044179737</v>
      </c>
      <c r="AX8">
        <f>IF(AND(ISNUMBER(AW8),逐级计算!$X$49&gt;-1),IF(逐级计算!$X$49=0,AW8+逐级计算!$C$49,AW8+逐级计算!$C$49-(10/(逐级计算!$Q$49*LN(10))*(MAX((LN(10^(逐级计算!$Q$49/10)-1)+逐级计算!$Q$49*(AW8-逐级计算!$P$49)*LN(10)/10),0)+LN(1+EXP(-ABS((LN(10^(逐级计算!$Q$49/10)-1)+逐级计算!$Q$49*(AW8-逐级计算!$P$49)*LN(10)/10))))))),"")</f>
        <v>-12.5000044179737</v>
      </c>
      <c r="AY8">
        <f>IF(AND(ISNUMBER(AX8),逐级计算!$X$50&gt;-1),IF(逐级计算!$X$50=0,AX8+逐级计算!$C$50,AX8+逐级计算!$C$50-(10/(逐级计算!$Q$50*LN(10))*(MAX((LN(10^(逐级计算!$Q$50/10)-1)+逐级计算!$Q$50*(AX8-逐级计算!$P$50)*LN(10)/10),0)+LN(1+EXP(-ABS((LN(10^(逐级计算!$Q$50/10)-1)+逐级计算!$Q$50*(AX8-逐级计算!$P$50)*LN(10)/10))))))),"")</f>
        <v>-12.5000044179737</v>
      </c>
      <c r="AZ8">
        <f>IF(AND(ISNUMBER(AY8),逐级计算!$X$51&gt;-1),IF(逐级计算!$X$51=0,AY8+逐级计算!$C$51,AY8+逐级计算!$C$51-(10/(逐级计算!$Q$51*LN(10))*(MAX((LN(10^(逐级计算!$Q$51/10)-1)+逐级计算!$Q$51*(AY8-逐级计算!$P$51)*LN(10)/10),0)+LN(1+EXP(-ABS((LN(10^(逐级计算!$Q$51/10)-1)+逐级计算!$Q$51*(AY8-逐级计算!$P$51)*LN(10)/10))))))),"")</f>
        <v>-12.5000044179737</v>
      </c>
      <c r="BA8">
        <f>IF(AND(ISNUMBER(AZ8),逐级计算!$X$52&gt;-1),IF(逐级计算!$X$52=0,AZ8+逐级计算!$C$52,AZ8+逐级计算!$C$52-(10/(逐级计算!$Q$52*LN(10))*(MAX((LN(10^(逐级计算!$Q$52/10)-1)+逐级计算!$Q$52*(AZ8-逐级计算!$P$52)*LN(10)/10),0)+LN(1+EXP(-ABS((LN(10^(逐级计算!$Q$52/10)-1)+逐级计算!$Q$52*(AZ8-逐级计算!$P$52)*LN(10)/10))))))),"")</f>
        <v>-12.5000044179737</v>
      </c>
      <c r="BB8">
        <f>IF(AND(ISNUMBER(BA8),逐级计算!$X$53&gt;-1),IF(逐级计算!$X$53=0,BA8+逐级计算!$C$53,BA8+逐级计算!$C$53-(10/(逐级计算!$Q$53*LN(10))*(MAX((LN(10^(逐级计算!$Q$53/10)-1)+逐级计算!$Q$53*(BA8-逐级计算!$P$53)*LN(10)/10),0)+LN(1+EXP(-ABS((LN(10^(逐级计算!$Q$53/10)-1)+逐级计算!$Q$53*(BA8-逐级计算!$P$53)*LN(10)/10))))))),"")</f>
        <v>-12.5000044179737</v>
      </c>
      <c r="BC8">
        <f>IF(AND(ISNUMBER(BB8),逐级计算!$X$54&gt;-1),IF(逐级计算!$X$54=0,BB8+逐级计算!$C$54,BB8+逐级计算!$C$54-(10/(逐级计算!$Q$54*LN(10))*(MAX((LN(10^(逐级计算!$Q$54/10)-1)+逐级计算!$Q$54*(BB8-逐级计算!$P$54)*LN(10)/10),0)+LN(1+EXP(-ABS((LN(10^(逐级计算!$Q$54/10)-1)+逐级计算!$Q$54*(BB8-逐级计算!$P$54)*LN(10)/10))))))),"")</f>
        <v>-12.5000044179737</v>
      </c>
      <c r="BD8">
        <f>IF(AND(ISNUMBER(BC8),逐级计算!$X$55&gt;-1),IF(逐级计算!$X$55=0,BC8+逐级计算!$C$55,BC8+逐级计算!$C$55-(10/(逐级计算!$Q$55*LN(10))*(MAX((LN(10^(逐级计算!$Q$55/10)-1)+逐级计算!$Q$55*(BC8-逐级计算!$P$55)*LN(10)/10),0)+LN(1+EXP(-ABS((LN(10^(逐级计算!$Q$55/10)-1)+逐级计算!$Q$55*(BC8-逐级计算!$P$55)*LN(10)/10))))))),"")</f>
        <v>-12.5000044179737</v>
      </c>
      <c r="BE8">
        <f>IF(AND(ISNUMBER(BD8),逐级计算!$X$56&gt;-1),IF(逐级计算!$X$56=0,BD8+逐级计算!$C$56,BD8+逐级计算!$C$56-(10/(逐级计算!$Q$56*LN(10))*(MAX((LN(10^(逐级计算!$Q$56/10)-1)+逐级计算!$Q$56*(BD8-逐级计算!$P$56)*LN(10)/10),0)+LN(1+EXP(-ABS((LN(10^(逐级计算!$Q$56/10)-1)+逐级计算!$Q$56*(BD8-逐级计算!$P$56)*LN(10)/10))))))),"")</f>
        <v>-12.5000044179737</v>
      </c>
      <c r="BF8">
        <f>IF(AND(ISNUMBER(BE8),逐级计算!$X$57&gt;-1),IF(逐级计算!$X$57=0,BE8+逐级计算!$C$57,BE8+逐级计算!$C$57-(10/(逐级计算!$Q$57*LN(10))*(MAX((LN(10^(逐级计算!$Q$57/10)-1)+逐级计算!$Q$57*(BE8-逐级计算!$P$57)*LN(10)/10),0)+LN(1+EXP(-ABS((LN(10^(逐级计算!$Q$57/10)-1)+逐级计算!$Q$57*(BE8-逐级计算!$P$57)*LN(10)/10))))))),"")</f>
        <v>-12.5000044179737</v>
      </c>
      <c r="BG8">
        <f>IF(AND(ISNUMBER(BF8),逐级计算!$X$58&gt;-1),IF(逐级计算!$X$58=0,BF8+逐级计算!$C$58,BF8+逐级计算!$C$58-(10/(逐级计算!$Q$58*LN(10))*(MAX((LN(10^(逐级计算!$Q$58/10)-1)+逐级计算!$Q$58*(BF8-逐级计算!$P$58)*LN(10)/10),0)+LN(1+EXP(-ABS((LN(10^(逐级计算!$Q$58/10)-1)+逐级计算!$Q$58*(BF8-逐级计算!$P$58)*LN(10)/10))))))),"")</f>
        <v>-12.5000044179737</v>
      </c>
      <c r="BH8">
        <f>IF(AND(ISNUMBER(BG8),逐级计算!$X$59&gt;-1),IF(逐级计算!$X$59=0,BG8+逐级计算!$C$59,BG8+逐级计算!$C$59-(10/(逐级计算!$Q$59*LN(10))*(MAX((LN(10^(逐级计算!$Q$59/10)-1)+逐级计算!$Q$59*(BG8-逐级计算!$P$59)*LN(10)/10),0)+LN(1+EXP(-ABS((LN(10^(逐级计算!$Q$59/10)-1)+逐级计算!$Q$59*(BG8-逐级计算!$P$59)*LN(10)/10))))))),"")</f>
        <v>-12.5000044179737</v>
      </c>
      <c r="BI8">
        <f>IF(AND(ISNUMBER(BH8),逐级计算!$X$60&gt;-1),IF(逐级计算!$X$60=0,BH8+逐级计算!$C$60,BH8+逐级计算!$C$60-(10/(逐级计算!$Q$60*LN(10))*(MAX((LN(10^(逐级计算!$Q$60/10)-1)+逐级计算!$Q$60*(BH8-逐级计算!$P$60)*LN(10)/10),0)+LN(1+EXP(-ABS((LN(10^(逐级计算!$Q$60/10)-1)+逐级计算!$Q$60*(BH8-逐级计算!$P$60)*LN(10)/10))))))),"")</f>
        <v>-12.5000044179737</v>
      </c>
      <c r="BJ8">
        <f>IF(AND(ISNUMBER(BI8),逐级计算!$X$61&gt;-1),IF(逐级计算!$X$61=0,BI8+逐级计算!$C$61,BI8+逐级计算!$C$61-(10/(逐级计算!$Q$61*LN(10))*(MAX((LN(10^(逐级计算!$Q$61/10)-1)+逐级计算!$Q$61*(BI8-逐级计算!$P$61)*LN(10)/10),0)+LN(1+EXP(-ABS((LN(10^(逐级计算!$Q$61/10)-1)+逐级计算!$Q$61*(BI8-逐级计算!$P$61)*LN(10)/10))))))),"")</f>
        <v>-12.5000044179737</v>
      </c>
      <c r="BK8">
        <f>IF(AND(ISNUMBER(BJ8),逐级计算!$X$62&gt;-1),IF(逐级计算!$X$62=0,BJ8+逐级计算!$C$62,BJ8+逐级计算!$C$62-(10/(逐级计算!$Q$62*LN(10))*(MAX((LN(10^(逐级计算!$Q$62/10)-1)+逐级计算!$Q$62*(BJ8-逐级计算!$P$62)*LN(10)/10),0)+LN(1+EXP(-ABS((LN(10^(逐级计算!$Q$62/10)-1)+逐级计算!$Q$62*(BJ8-逐级计算!$P$62)*LN(10)/10))))))),"")</f>
        <v>-12.5000044179737</v>
      </c>
      <c r="BL8">
        <f>IF(AND(ISNUMBER(BK8),逐级计算!$X$63&gt;-1),IF(逐级计算!$X$63=0,BK8+逐级计算!$C$63,BK8+逐级计算!$C$63-(10/(逐级计算!$Q$63*LN(10))*(MAX((LN(10^(逐级计算!$Q$63/10)-1)+逐级计算!$Q$63*(BK8-逐级计算!$P$63)*LN(10)/10),0)+LN(1+EXP(-ABS((LN(10^(逐级计算!$Q$63/10)-1)+逐级计算!$Q$63*(BK8-逐级计算!$P$63)*LN(10)/10))))))),"")</f>
        <v>-12.5000044179737</v>
      </c>
      <c r="BM8">
        <f>IF(AND(ISNUMBER(BL8),逐级计算!$X$64&gt;-1),IF(逐级计算!$X$64=0,BL8+逐级计算!$C$64,BL8+逐级计算!$C$64-(10/(逐级计算!$Q$64*LN(10))*(MAX((LN(10^(逐级计算!$Q$64/10)-1)+逐级计算!$Q$64*(BL8-逐级计算!$P$64)*LN(10)/10),0)+LN(1+EXP(-ABS((LN(10^(逐级计算!$Q$64/10)-1)+逐级计算!$Q$64*(BL8-逐级计算!$P$64)*LN(10)/10))))))),"")</f>
        <v>-12.5000044179737</v>
      </c>
      <c r="BN8">
        <f>IF(AND(ISNUMBER(BM8),逐级计算!$X$65&gt;-1),IF(逐级计算!$X$65=0,BM8+逐级计算!$C$65,BM8+逐级计算!$C$65-(10/(逐级计算!$Q$65*LN(10))*(MAX((LN(10^(逐级计算!$Q$65/10)-1)+逐级计算!$Q$65*(BM8-逐级计算!$P$65)*LN(10)/10),0)+LN(1+EXP(-ABS((LN(10^(逐级计算!$Q$65/10)-1)+逐级计算!$Q$65*(BM8-逐级计算!$P$65)*LN(10)/10))))))),"")</f>
        <v>-12.5000044179737</v>
      </c>
      <c r="BO8">
        <f>IF(AND(ISNUMBER(BN8),逐级计算!$X$66&gt;-1),IF(逐级计算!$X$66=0,BN8+逐级计算!$C$66,BN8+逐级计算!$C$66-(10/(逐级计算!$Q$66*LN(10))*(MAX((LN(10^(逐级计算!$Q$66/10)-1)+逐级计算!$Q$66*(BN8-逐级计算!$P$66)*LN(10)/10),0)+LN(1+EXP(-ABS((LN(10^(逐级计算!$Q$66/10)-1)+逐级计算!$Q$66*(BN8-逐级计算!$P$66)*LN(10)/10))))))),"")</f>
        <v>-12.5000044179737</v>
      </c>
      <c r="BP8">
        <f>IF(AND(ISNUMBER(BO8),逐级计算!$X$67&gt;-1),IF(逐级计算!$X$67=0,BO8+逐级计算!$C$67,BO8+逐级计算!$C$67-(10/(逐级计算!$Q$67*LN(10))*(MAX((LN(10^(逐级计算!$Q$67/10)-1)+逐级计算!$Q$67*(BO8-逐级计算!$P$67)*LN(10)/10),0)+LN(1+EXP(-ABS((LN(10^(逐级计算!$Q$67/10)-1)+逐级计算!$Q$67*(BO8-逐级计算!$P$67)*LN(10)/10))))))),"")</f>
        <v>-12.5000044179737</v>
      </c>
      <c r="BQ8">
        <f>IF(AND(ISNUMBER(BP8),逐级计算!$X$68&gt;-1),IF(逐级计算!$X$68=0,BP8+逐级计算!$C$68,BP8+逐级计算!$C$68-(10/(逐级计算!$Q$68*LN(10))*(MAX((LN(10^(逐级计算!$Q$68/10)-1)+逐级计算!$Q$68*(BP8-逐级计算!$P$68)*LN(10)/10),0)+LN(1+EXP(-ABS((LN(10^(逐级计算!$Q$68/10)-1)+逐级计算!$Q$68*(BP8-逐级计算!$P$68)*LN(10)/10))))))),"")</f>
        <v>-12.5000044179737</v>
      </c>
      <c r="BR8">
        <f>IF(AND(ISNUMBER(BQ8),逐级计算!$X$69&gt;-1),IF(逐级计算!$X$69=0,BQ8+逐级计算!$C$69,BQ8+逐级计算!$C$69-(10/(逐级计算!$Q$69*LN(10))*(MAX((LN(10^(逐级计算!$Q$69/10)-1)+逐级计算!$Q$69*(BQ8-逐级计算!$P$69)*LN(10)/10),0)+LN(1+EXP(-ABS((LN(10^(逐级计算!$Q$69/10)-1)+逐级计算!$Q$69*(BQ8-逐级计算!$P$69)*LN(10)/10))))))),"")</f>
        <v>-12.5000044179737</v>
      </c>
      <c r="BS8">
        <f>IF(AND(ISNUMBER(BR8),逐级计算!$X$70&gt;-1),IF(逐级计算!$X$70=0,BR8+逐级计算!$C$70,BR8+逐级计算!$C$70-(10/(逐级计算!$Q$70*LN(10))*(MAX((LN(10^(逐级计算!$Q$70/10)-1)+逐级计算!$Q$70*(BR8-逐级计算!$P$70)*LN(10)/10),0)+LN(1+EXP(-ABS((LN(10^(逐级计算!$Q$70/10)-1)+逐级计算!$Q$70*(BR8-逐级计算!$P$70)*LN(10)/10))))))),"")</f>
        <v>-12.5000044179737</v>
      </c>
      <c r="BT8">
        <f>IF(AND(ISNUMBER(BS8),逐级计算!$X$71&gt;-1),IF(逐级计算!$X$71=0,BS8+逐级计算!$C$71,BS8+逐级计算!$C$71-(10/(逐级计算!$Q$71*LN(10))*(MAX((LN(10^(逐级计算!$Q$71/10)-1)+逐级计算!$Q$71*(BS8-逐级计算!$P$71)*LN(10)/10),0)+LN(1+EXP(-ABS((LN(10^(逐级计算!$Q$71/10)-1)+逐级计算!$Q$71*(BS8-逐级计算!$P$71)*LN(10)/10))))))),"")</f>
        <v>-12.5000044179737</v>
      </c>
      <c r="BU8">
        <f>IF(AND(ISNUMBER(BT8),逐级计算!$X$72&gt;-1),IF(逐级计算!$X$72=0,BT8+逐级计算!$C$72,BT8+逐级计算!$C$72-(10/(逐级计算!$Q$72*LN(10))*(MAX((LN(10^(逐级计算!$Q$72/10)-1)+逐级计算!$Q$72*(BT8-逐级计算!$P$72)*LN(10)/10),0)+LN(1+EXP(-ABS((LN(10^(逐级计算!$Q$72/10)-1)+逐级计算!$Q$72*(BT8-逐级计算!$P$72)*LN(10)/10))))))),"")</f>
        <v>-12.5000044179737</v>
      </c>
      <c r="BV8">
        <f>IF(AND(ISNUMBER(BU8),逐级计算!$X$73&gt;-1),IF(逐级计算!$X$73=0,BU8+逐级计算!$C$73,BU8+逐级计算!$C$73-(10/(逐级计算!$Q$73*LN(10))*(MAX((LN(10^(逐级计算!$Q$73/10)-1)+逐级计算!$Q$73*(BU8-逐级计算!$P$73)*LN(10)/10),0)+LN(1+EXP(-ABS((LN(10^(逐级计算!$Q$73/10)-1)+逐级计算!$Q$73*(BU8-逐级计算!$P$73)*LN(10)/10))))))),"")</f>
        <v>-12.5000044179737</v>
      </c>
      <c r="BW8">
        <f>IF(AND(ISNUMBER(BV8),逐级计算!$X$74&gt;-1),IF(逐级计算!$X$74=0,BV8+逐级计算!$C$74,BV8+逐级计算!$C$74-(10/(逐级计算!$Q$74*LN(10))*(MAX((LN(10^(逐级计算!$Q$74/10)-1)+逐级计算!$Q$74*(BV8-逐级计算!$P$74)*LN(10)/10),0)+LN(1+EXP(-ABS((LN(10^(逐级计算!$Q$74/10)-1)+逐级计算!$Q$74*(BV8-逐级计算!$P$74)*LN(10)/10))))))),"")</f>
        <v>-12.5000044179737</v>
      </c>
      <c r="BX8">
        <f>IF(AND(ISNUMBER(BW8),逐级计算!$X$75&gt;-1),IF(逐级计算!$X$75=0,BW8+逐级计算!$C$75,BW8+逐级计算!$C$75-(10/(逐级计算!$Q$75*LN(10))*(MAX((LN(10^(逐级计算!$Q$75/10)-1)+逐级计算!$Q$75*(BW8-逐级计算!$P$75)*LN(10)/10),0)+LN(1+EXP(-ABS((LN(10^(逐级计算!$Q$75/10)-1)+逐级计算!$Q$75*(BW8-逐级计算!$P$75)*LN(10)/10))))))),"")</f>
        <v>-12.5000044179737</v>
      </c>
      <c r="BY8">
        <f>IF(AND(ISNUMBER(BX8),逐级计算!$X$76&gt;-1),IF(逐级计算!$X$76=0,BX8+逐级计算!$C$76,BX8+逐级计算!$C$76-(10/(逐级计算!$Q$76*LN(10))*(MAX((LN(10^(逐级计算!$Q$76/10)-1)+逐级计算!$Q$76*(BX8-逐级计算!$P$76)*LN(10)/10),0)+LN(1+EXP(-ABS((LN(10^(逐级计算!$Q$76/10)-1)+逐级计算!$Q$76*(BX8-逐级计算!$P$76)*LN(10)/10))))))),"")</f>
        <v>-12.5000044179737</v>
      </c>
      <c r="BZ8">
        <f>IF(AND(ISNUMBER(BY8),逐级计算!$X$77&gt;-1),IF(逐级计算!$X$77=0,BY8+逐级计算!$C$77,BY8+逐级计算!$C$77-(10/(逐级计算!$Q$77*LN(10))*(MAX((LN(10^(逐级计算!$Q$77/10)-1)+逐级计算!$Q$77*(BY8-逐级计算!$P$77)*LN(10)/10),0)+LN(1+EXP(-ABS((LN(10^(逐级计算!$Q$77/10)-1)+逐级计算!$Q$77*(BY8-逐级计算!$P$77)*LN(10)/10))))))),"")</f>
        <v>-12.5000044179737</v>
      </c>
      <c r="CA8">
        <f>IF(AND(ISNUMBER(BZ8),逐级计算!$X$78&gt;-1),IF(逐级计算!$X$78=0,BZ8+逐级计算!$C$78,BZ8+逐级计算!$C$78-(10/(逐级计算!$Q$78*LN(10))*(MAX((LN(10^(逐级计算!$Q$78/10)-1)+逐级计算!$Q$78*(BZ8-逐级计算!$P$78)*LN(10)/10),0)+LN(1+EXP(-ABS((LN(10^(逐级计算!$Q$78/10)-1)+逐级计算!$Q$78*(BZ8-逐级计算!$P$78)*LN(10)/10))))))),"")</f>
        <v>-12.5000044179737</v>
      </c>
      <c r="CB8">
        <f>IF(AND(ISNUMBER(CA8),逐级计算!$X$79&gt;-1),IF(逐级计算!$X$79=0,CA8+逐级计算!$C$79,CA8+逐级计算!$C$79-(10/(逐级计算!$Q$79*LN(10))*(MAX((LN(10^(逐级计算!$Q$79/10)-1)+逐级计算!$Q$79*(CA8-逐级计算!$P$79)*LN(10)/10),0)+LN(1+EXP(-ABS((LN(10^(逐级计算!$Q$79/10)-1)+逐级计算!$Q$79*(CA8-逐级计算!$P$79)*LN(10)/10))))))),"")</f>
        <v>-12.5000044179737</v>
      </c>
      <c r="CC8">
        <f>IF(AND(ISNUMBER(CB8),逐级计算!$X$80&gt;-1),IF(逐级计算!$X$80=0,CB8+逐级计算!$C$80,CB8+逐级计算!$C$80-(10/(逐级计算!$Q$80*LN(10))*(MAX((LN(10^(逐级计算!$Q$80/10)-1)+逐级计算!$Q$80*(CB8-逐级计算!$P$80)*LN(10)/10),0)+LN(1+EXP(-ABS((LN(10^(逐级计算!$Q$80/10)-1)+逐级计算!$Q$80*(CB8-逐级计算!$P$80)*LN(10)/10))))))),"")</f>
        <v>-12.5000044179737</v>
      </c>
      <c r="CD8">
        <f>IF(AND(ISNUMBER(CC8),逐级计算!$X$81&gt;-1),IF(逐级计算!$X$81=0,CC8+逐级计算!$C$81,CC8+逐级计算!$C$81-(10/(逐级计算!$Q$81*LN(10))*(MAX((LN(10^(逐级计算!$Q$81/10)-1)+逐级计算!$Q$81*(CC8-逐级计算!$P$81)*LN(10)/10),0)+LN(1+EXP(-ABS((LN(10^(逐级计算!$Q$81/10)-1)+逐级计算!$Q$81*(CC8-逐级计算!$P$81)*LN(10)/10))))))),"")</f>
        <v>-12.5000044179737</v>
      </c>
      <c r="CE8">
        <f>IF(AND(ISNUMBER(CD8),逐级计算!$X$82&gt;-1),IF(逐级计算!$X$82=0,CD8+逐级计算!$C$82,CD8+逐级计算!$C$82-(10/(逐级计算!$Q$82*LN(10))*(MAX((LN(10^(逐级计算!$Q$82/10)-1)+逐级计算!$Q$82*(CD8-逐级计算!$P$82)*LN(10)/10),0)+LN(1+EXP(-ABS((LN(10^(逐级计算!$Q$82/10)-1)+逐级计算!$Q$82*(CD8-逐级计算!$P$82)*LN(10)/10))))))),"")</f>
        <v>-12.5000044179737</v>
      </c>
      <c r="CF8">
        <f>IF(AND(ISNUMBER(CE8),逐级计算!$X$83&gt;-1),IF(逐级计算!$X$83=0,CE8+逐级计算!$C$83,CE8+逐级计算!$C$83-(10/(逐级计算!$Q$83*LN(10))*(MAX((LN(10^(逐级计算!$Q$83/10)-1)+逐级计算!$Q$83*(CE8-逐级计算!$P$83)*LN(10)/10),0)+LN(1+EXP(-ABS((LN(10^(逐级计算!$Q$83/10)-1)+逐级计算!$Q$83*(CE8-逐级计算!$P$83)*LN(10)/10))))))),"")</f>
        <v>-12.5000044179737</v>
      </c>
      <c r="CG8">
        <f>IF(AND(ISNUMBER(CF8),逐级计算!$X$84&gt;-1),IF(逐级计算!$X$84=0,CF8+逐级计算!$C$84,CF8+逐级计算!$C$84-(10/(逐级计算!$Q$84*LN(10))*(MAX((LN(10^(逐级计算!$Q$84/10)-1)+逐级计算!$Q$84*(CF8-逐级计算!$P$84)*LN(10)/10),0)+LN(1+EXP(-ABS((LN(10^(逐级计算!$Q$84/10)-1)+逐级计算!$Q$84*(CF8-逐级计算!$P$84)*LN(10)/10))))))),"")</f>
        <v>-12.5000044179737</v>
      </c>
      <c r="CH8">
        <f>IF(AND(ISNUMBER(CG8),逐级计算!$X$85&gt;-1),IF(逐级计算!$X$85=0,CG8+逐级计算!$C$85,CG8+逐级计算!$C$85-(10/(逐级计算!$Q$85*LN(10))*(MAX((LN(10^(逐级计算!$Q$85/10)-1)+逐级计算!$Q$85*(CG8-逐级计算!$P$85)*LN(10)/10),0)+LN(1+EXP(-ABS((LN(10^(逐级计算!$Q$85/10)-1)+逐级计算!$Q$85*(CG8-逐级计算!$P$85)*LN(10)/10))))))),"")</f>
        <v>-12.5000044179737</v>
      </c>
      <c r="CI8">
        <f>IF(AND(ISNUMBER(CH8),逐级计算!$X$86&gt;-1),IF(逐级计算!$X$86=0,CH8+逐级计算!$C$86,CH8+逐级计算!$C$86-(10/(逐级计算!$Q$86*LN(10))*(MAX((LN(10^(逐级计算!$Q$86/10)-1)+逐级计算!$Q$86*(CH8-逐级计算!$P$86)*LN(10)/10),0)+LN(1+EXP(-ABS((LN(10^(逐级计算!$Q$86/10)-1)+逐级计算!$Q$86*(CH8-逐级计算!$P$86)*LN(10)/10))))))),"")</f>
        <v>-12.5000044179737</v>
      </c>
      <c r="CJ8">
        <f>IF(AND(ISNUMBER(CI8),逐级计算!$X$87&gt;-1),IF(逐级计算!$X$87=0,CI8+逐级计算!$C$87,CI8+逐级计算!$C$87-(10/(逐级计算!$Q$87*LN(10))*(MAX((LN(10^(逐级计算!$Q$87/10)-1)+逐级计算!$Q$87*(CI8-逐级计算!$P$87)*LN(10)/10),0)+LN(1+EXP(-ABS((LN(10^(逐级计算!$Q$87/10)-1)+逐级计算!$Q$87*(CI8-逐级计算!$P$87)*LN(10)/10))))))),"")</f>
        <v>-12.5000044179737</v>
      </c>
      <c r="CK8">
        <f>IF(AND(ISNUMBER(CJ8),逐级计算!$X$88&gt;-1),IF(逐级计算!$X$88=0,CJ8+逐级计算!$C$88,CJ8+逐级计算!$C$88-(10/(逐级计算!$Q$88*LN(10))*(MAX((LN(10^(逐级计算!$Q$88/10)-1)+逐级计算!$Q$88*(CJ8-逐级计算!$P$88)*LN(10)/10),0)+LN(1+EXP(-ABS((LN(10^(逐级计算!$Q$88/10)-1)+逐级计算!$Q$88*(CJ8-逐级计算!$P$88)*LN(10)/10))))))),"")</f>
        <v>-12.5000044179737</v>
      </c>
      <c r="CL8">
        <f>IF(AND(ISNUMBER(CK8),逐级计算!$X$89&gt;-1),IF(逐级计算!$X$89=0,CK8+逐级计算!$C$89,CK8+逐级计算!$C$89-(10/(逐级计算!$Q$89*LN(10))*(MAX((LN(10^(逐级计算!$Q$89/10)-1)+逐级计算!$Q$89*(CK8-逐级计算!$P$89)*LN(10)/10),0)+LN(1+EXP(-ABS((LN(10^(逐级计算!$Q$89/10)-1)+逐级计算!$Q$89*(CK8-逐级计算!$P$89)*LN(10)/10))))))),"")</f>
        <v>-12.5000044179737</v>
      </c>
      <c r="CM8">
        <f>IF(AND(ISNUMBER(CL8),逐级计算!$X$90&gt;-1),IF(逐级计算!$X$90=0,CL8+逐级计算!$C$90,CL8+逐级计算!$C$90-(10/(逐级计算!$Q$90*LN(10))*(MAX((LN(10^(逐级计算!$Q$90/10)-1)+逐级计算!$Q$90*(CL8-逐级计算!$P$90)*LN(10)/10),0)+LN(1+EXP(-ABS((LN(10^(逐级计算!$Q$90/10)-1)+逐级计算!$Q$90*(CL8-逐级计算!$P$90)*LN(10)/10))))))),"")</f>
        <v>-12.5000044179737</v>
      </c>
      <c r="CN8">
        <f>IF(AND(ISNUMBER(CM8),逐级计算!$X$91&gt;-1),IF(逐级计算!$X$91=0,CM8+逐级计算!$C$91,CM8+逐级计算!$C$91-(10/(逐级计算!$Q$91*LN(10))*(MAX((LN(10^(逐级计算!$Q$91/10)-1)+逐级计算!$Q$91*(CM8-逐级计算!$P$91)*LN(10)/10),0)+LN(1+EXP(-ABS((LN(10^(逐级计算!$Q$91/10)-1)+逐级计算!$Q$91*(CM8-逐级计算!$P$91)*LN(10)/10))))))),"")</f>
        <v>-12.5000044179737</v>
      </c>
      <c r="CO8">
        <f>IF(AND(ISNUMBER(CN8),逐级计算!$X$92&gt;-1),IF(逐级计算!$X$92=0,CN8+逐级计算!$C$92,CN8+逐级计算!$C$92-(10/(逐级计算!$Q$92*LN(10))*(MAX((LN(10^(逐级计算!$Q$92/10)-1)+逐级计算!$Q$92*(CN8-逐级计算!$P$92)*LN(10)/10),0)+LN(1+EXP(-ABS((LN(10^(逐级计算!$Q$92/10)-1)+逐级计算!$Q$92*(CN8-逐级计算!$P$92)*LN(10)/10))))))),"")</f>
        <v>-12.5000044179737</v>
      </c>
      <c r="CP8">
        <f>IF(AND(ISNUMBER(CO8),逐级计算!$X$93&gt;-1),IF(逐级计算!$X$93=0,CO8+逐级计算!$C$93,CO8+逐级计算!$C$93-(10/(逐级计算!$Q$93*LN(10))*(MAX((LN(10^(逐级计算!$Q$93/10)-1)+逐级计算!$Q$93*(CO8-逐级计算!$P$93)*LN(10)/10),0)+LN(1+EXP(-ABS((LN(10^(逐级计算!$Q$93/10)-1)+逐级计算!$Q$93*(CO8-逐级计算!$P$93)*LN(10)/10))))))),"")</f>
        <v>-12.5000044179737</v>
      </c>
      <c r="CQ8">
        <f>IF(AND(ISNUMBER(CP8),逐级计算!$X$94&gt;-1),IF(逐级计算!$X$94=0,CP8+逐级计算!$C$94,CP8+逐级计算!$C$94-(10/(逐级计算!$Q$94*LN(10))*(MAX((LN(10^(逐级计算!$Q$94/10)-1)+逐级计算!$Q$94*(CP8-逐级计算!$P$94)*LN(10)/10),0)+LN(1+EXP(-ABS((LN(10^(逐级计算!$Q$94/10)-1)+逐级计算!$Q$94*(CP8-逐级计算!$P$94)*LN(10)/10))))))),"")</f>
        <v>-12.5000044179737</v>
      </c>
      <c r="CR8">
        <f>IF(AND(ISNUMBER(CQ8),逐级计算!$X$95&gt;-1),IF(逐级计算!$X$95=0,CQ8+逐级计算!$C$95,CQ8+逐级计算!$C$95-(10/(逐级计算!$Q$95*LN(10))*(MAX((LN(10^(逐级计算!$Q$95/10)-1)+逐级计算!$Q$95*(CQ8-逐级计算!$P$95)*LN(10)/10),0)+LN(1+EXP(-ABS((LN(10^(逐级计算!$Q$95/10)-1)+逐级计算!$Q$95*(CQ8-逐级计算!$P$95)*LN(10)/10))))))),"")</f>
        <v>-12.5000044179737</v>
      </c>
      <c r="CS8">
        <f>IF(AND(ISNUMBER(CR8),逐级计算!$X$96&gt;-1),IF(逐级计算!$X$96=0,CR8+逐级计算!$C$96,CR8+逐级计算!$C$96-(10/(逐级计算!$Q$96*LN(10))*(MAX((LN(10^(逐级计算!$Q$96/10)-1)+逐级计算!$Q$96*(CR8-逐级计算!$P$96)*LN(10)/10),0)+LN(1+EXP(-ABS((LN(10^(逐级计算!$Q$96/10)-1)+逐级计算!$Q$96*(CR8-逐级计算!$P$96)*LN(10)/10))))))),"")</f>
        <v>-12.5000044179737</v>
      </c>
      <c r="CT8">
        <f>IF(AND(ISNUMBER(CS8),逐级计算!$X$97&gt;-1),IF(逐级计算!$X$97=0,CS8+逐级计算!$C$97,CS8+逐级计算!$C$97-(10/(逐级计算!$Q$97*LN(10))*(MAX((LN(10^(逐级计算!$Q$97/10)-1)+逐级计算!$Q$97*(CS8-逐级计算!$P$97)*LN(10)/10),0)+LN(1+EXP(-ABS((LN(10^(逐级计算!$Q$97/10)-1)+逐级计算!$Q$97*(CS8-逐级计算!$P$97)*LN(10)/10))))))),"")</f>
        <v>-12.5000044179737</v>
      </c>
      <c r="CU8">
        <f>IF(AND(ISNUMBER(CT8),逐级计算!$X$98&gt;-1),IF(逐级计算!$X$98=0,CT8+逐级计算!$C$98,CT8+逐级计算!$C$98-(10/(逐级计算!$Q$98*LN(10))*(MAX((LN(10^(逐级计算!$Q$98/10)-1)+逐级计算!$Q$98*(CT8-逐级计算!$P$98)*LN(10)/10),0)+LN(1+EXP(-ABS((LN(10^(逐级计算!$Q$98/10)-1)+逐级计算!$Q$98*(CT8-逐级计算!$P$98)*LN(10)/10))))))),"")</f>
        <v>-12.5000044179737</v>
      </c>
      <c r="CV8">
        <f>IF(AND(ISNUMBER(CU8),逐级计算!$X$99&gt;-1),IF(逐级计算!$X$99=0,CU8+逐级计算!$C$99,CU8+逐级计算!$C$99-(10/(逐级计算!$Q$99*LN(10))*(MAX((LN(10^(逐级计算!$Q$99/10)-1)+逐级计算!$Q$99*(CU8-逐级计算!$P$99)*LN(10)/10),0)+LN(1+EXP(-ABS((LN(10^(逐级计算!$Q$99/10)-1)+逐级计算!$Q$99*(CU8-逐级计算!$P$99)*LN(10)/10))))))),"")</f>
        <v>-12.5000044179737</v>
      </c>
      <c r="CW8">
        <f>IF(AND(ISNUMBER(CV8),逐级计算!$X$100&gt;-1),IF(逐级计算!$X$100=0,CV8+逐级计算!$C$100,CV8+逐级计算!$C$100-(10/(逐级计算!$Q$100*LN(10))*(MAX((LN(10^(逐级计算!$Q$100/10)-1)+逐级计算!$Q$100*(CV8-逐级计算!$P$100)*LN(10)/10),0)+LN(1+EXP(-ABS((LN(10^(逐级计算!$Q$100/10)-1)+逐级计算!$Q$100*(CV8-逐级计算!$P$100)*LN(10)/10))))))),"")</f>
        <v>-12.5000044179737</v>
      </c>
      <c r="CX8">
        <f>IF(AND(ISNUMBER(CW8),逐级计算!$X$101&gt;-1),IF(逐级计算!$X$101=0,CW8+逐级计算!$C$101,CW8+逐级计算!$C$101-(10/(逐级计算!$Q$101*LN(10))*(MAX((LN(10^(逐级计算!$Q$101/10)-1)+逐级计算!$Q$101*(CW8-逐级计算!$P$101)*LN(10)/10),0)+LN(1+EXP(-ABS((LN(10^(逐级计算!$Q$101/10)-1)+逐级计算!$Q$101*(CW8-逐级计算!$P$101)*LN(10)/10))))))),"")</f>
        <v>-12.5000044179737</v>
      </c>
      <c r="CY8">
        <f>IF(AND(ISNUMBER(CX8),逐级计算!$X$102&gt;-1),IF(逐级计算!$X$102=0,CX8+逐级计算!$C$102,CX8+逐级计算!$C$102-(10/(逐级计算!$Q$102*LN(10))*(MAX((LN(10^(逐级计算!$Q$102/10)-1)+逐级计算!$Q$102*(CX8-逐级计算!$P$102)*LN(10)/10),0)+LN(1+EXP(-ABS((LN(10^(逐级计算!$Q$102/10)-1)+逐级计算!$Q$102*(CX8-逐级计算!$P$102)*LN(10)/10))))))),"")</f>
        <v>-12.5000044179737</v>
      </c>
      <c r="CZ8">
        <f>IF(AND(ISNUMBER(CY8),逐级计算!$X$103&gt;-1),IF(逐级计算!$X$103=0,CY8+逐级计算!$C$103,CY8+逐级计算!$C$103-(10/(逐级计算!$Q$103*LN(10))*(MAX((LN(10^(逐级计算!$Q$103/10)-1)+逐级计算!$Q$103*(CY8-逐级计算!$P$103)*LN(10)/10),0)+LN(1+EXP(-ABS((LN(10^(逐级计算!$Q$103/10)-1)+逐级计算!$Q$103*(CY8-逐级计算!$P$103)*LN(10)/10))))))),"")</f>
        <v>-12.5000044179737</v>
      </c>
      <c r="DA8">
        <f>IF(AND(ISNUMBER(CZ8),逐级计算!$X$104&gt;-1),IF(逐级计算!$X$104=0,CZ8+逐级计算!$C$104,CZ8+逐级计算!$C$104-(10/(逐级计算!$Q$104*LN(10))*(MAX((LN(10^(逐级计算!$Q$104/10)-1)+逐级计算!$Q$104*(CZ8-逐级计算!$P$104)*LN(10)/10),0)+LN(1+EXP(-ABS((LN(10^(逐级计算!$Q$104/10)-1)+逐级计算!$Q$104*(CZ8-逐级计算!$P$104)*LN(10)/10))))))),"")</f>
        <v>-12.5000044179737</v>
      </c>
      <c r="DB8">
        <f>IF(AND(ISNUMBER(DA8),逐级计算!$X$105&gt;-1),IF(逐级计算!$X$105=0,DA8+逐级计算!$C$105,DA8+逐级计算!$C$105-(10/(逐级计算!$Q$105*LN(10))*(MAX((LN(10^(逐级计算!$Q$105/10)-1)+逐级计算!$Q$105*(DA8-逐级计算!$P$105)*LN(10)/10),0)+LN(1+EXP(-ABS((LN(10^(逐级计算!$Q$105/10)-1)+逐级计算!$Q$105*(DA8-逐级计算!$P$105)*LN(10)/10))))))),"")</f>
        <v>-12.5000044179737</v>
      </c>
      <c r="DC8">
        <f>IF(AND(ISNUMBER(DB8),逐级计算!$X$106&gt;-1),IF(逐级计算!$X$106=0,DB8+逐级计算!$C$106,DB8+逐级计算!$C$106-(10/(逐级计算!$Q$106*LN(10))*(MAX((LN(10^(逐级计算!$Q$106/10)-1)+逐级计算!$Q$106*(DB8-逐级计算!$P$106)*LN(10)/10),0)+LN(1+EXP(-ABS((LN(10^(逐级计算!$Q$106/10)-1)+逐级计算!$Q$106*(DB8-逐级计算!$P$106)*LN(10)/10))))))),"")</f>
        <v>-12.5000044179737</v>
      </c>
      <c r="DD8">
        <f>IF(AND(ISNUMBER(DC8),逐级计算!$X$107&gt;-1),IF(逐级计算!$X$107=0,DC8+逐级计算!$C$107,DC8+逐级计算!$C$107-(10/(逐级计算!$Q$107*LN(10))*(MAX((LN(10^(逐级计算!$Q$107/10)-1)+逐级计算!$Q$107*(DC8-逐级计算!$P$107)*LN(10)/10),0)+LN(1+EXP(-ABS((LN(10^(逐级计算!$Q$107/10)-1)+逐级计算!$Q$107*(DC8-逐级计算!$P$107)*LN(10)/10))))))),"")</f>
        <v>-12.5000044179737</v>
      </c>
      <c r="DE8">
        <f>IF(AND(ISNUMBER(DD8),逐级计算!$X$108&gt;-1),IF(逐级计算!$X$108=0,DD8+逐级计算!$C$108,DD8+逐级计算!$C$108-(10/(逐级计算!$Q$108*LN(10))*(MAX((LN(10^(逐级计算!$Q$108/10)-1)+逐级计算!$Q$108*(DD8-逐级计算!$P$108)*LN(10)/10),0)+LN(1+EXP(-ABS((LN(10^(逐级计算!$Q$108/10)-1)+逐级计算!$Q$108*(DD8-逐级计算!$P$108)*LN(10)/10))))))),"")</f>
        <v>-12.5000044179737</v>
      </c>
      <c r="DF8">
        <f>IF(AND(ISNUMBER(DE8),逐级计算!$X$109&gt;-1),IF(逐级计算!$X$109=0,DE8+逐级计算!$C$109,DE8+逐级计算!$C$109-(10/(逐级计算!$Q$109*LN(10))*(MAX((LN(10^(逐级计算!$Q$109/10)-1)+逐级计算!$Q$109*(DE8-逐级计算!$P$109)*LN(10)/10),0)+LN(1+EXP(-ABS((LN(10^(逐级计算!$Q$109/10)-1)+逐级计算!$Q$109*(DE8-逐级计算!$P$109)*LN(10)/10))))))),"")</f>
        <v>-12.5000044179737</v>
      </c>
      <c r="DG8">
        <f>IF(AND(ISNUMBER(DF8),逐级计算!$X$110&gt;-1),IF(逐级计算!$X$110=0,DF8+逐级计算!$C$110,DF8+逐级计算!$C$110-(10/(逐级计算!$Q$110*LN(10))*(MAX((LN(10^(逐级计算!$Q$110/10)-1)+逐级计算!$Q$110*(DF8-逐级计算!$P$110)*LN(10)/10),0)+LN(1+EXP(-ABS((LN(10^(逐级计算!$Q$110/10)-1)+逐级计算!$Q$110*(DF8-逐级计算!$P$110)*LN(10)/10))))))),"")</f>
        <v>-12.5000044179737</v>
      </c>
      <c r="DH8">
        <f>IF(AND(ISNUMBER(DG8),逐级计算!$X$111&gt;-1),IF(逐级计算!$X$111=0,DG8+逐级计算!$C$111,DG8+逐级计算!$C$111-(10/(逐级计算!$Q$111*LN(10))*(MAX((LN(10^(逐级计算!$Q$111/10)-1)+逐级计算!$Q$111*(DG8-逐级计算!$P$111)*LN(10)/10),0)+LN(1+EXP(-ABS((LN(10^(逐级计算!$Q$111/10)-1)+逐级计算!$Q$111*(DG8-逐级计算!$P$111)*LN(10)/10))))))),"")</f>
        <v>-12.5000044179737</v>
      </c>
      <c r="DI8">
        <f>IF(AND(ISNUMBER(DH8),逐级计算!$X$112&gt;-1),IF(逐级计算!$X$112=0,DH8+逐级计算!$C$112,DH8+逐级计算!$C$112-(10/(逐级计算!$Q$112*LN(10))*(MAX((LN(10^(逐级计算!$Q$112/10)-1)+逐级计算!$Q$112*(DH8-逐级计算!$P$112)*LN(10)/10),0)+LN(1+EXP(-ABS((LN(10^(逐级计算!$Q$112/10)-1)+逐级计算!$Q$112*(DH8-逐级计算!$P$112)*LN(10)/10))))))),"")</f>
        <v>-12.5000044179737</v>
      </c>
      <c r="DJ8">
        <f>IF(AND(ISNUMBER(DI8),逐级计算!$X$113&gt;-1),IF(逐级计算!$X$113=0,DI8+逐级计算!$C$113,DI8+逐级计算!$C$113-(10/(逐级计算!$Q$113*LN(10))*(MAX((LN(10^(逐级计算!$Q$113/10)-1)+逐级计算!$Q$113*(DI8-逐级计算!$P$113)*LN(10)/10),0)+LN(1+EXP(-ABS((LN(10^(逐级计算!$Q$113/10)-1)+逐级计算!$Q$113*(DI8-逐级计算!$P$113)*LN(10)/10))))))),"")</f>
        <v>-12.5000044179737</v>
      </c>
      <c r="DK8">
        <f>IF(AND(ISNUMBER(DJ8),逐级计算!$X$114&gt;-1),IF(逐级计算!$X$114=0,DJ8+逐级计算!$C$114,DJ8+逐级计算!$C$114-(10/(逐级计算!$Q$114*LN(10))*(MAX((LN(10^(逐级计算!$Q$114/10)-1)+逐级计算!$Q$114*(DJ8-逐级计算!$P$114)*LN(10)/10),0)+LN(1+EXP(-ABS((LN(10^(逐级计算!$Q$114/10)-1)+逐级计算!$Q$114*(DJ8-逐级计算!$P$114)*LN(10)/10))))))),"")</f>
        <v>-12.5000044179737</v>
      </c>
      <c r="DL8">
        <f>IF(AND(ISNUMBER(DK8),逐级计算!$X$115&gt;-1),IF(逐级计算!$X$115=0,DK8+逐级计算!$C$115,DK8+逐级计算!$C$115-(10/(逐级计算!$Q$115*LN(10))*(MAX((LN(10^(逐级计算!$Q$115/10)-1)+逐级计算!$Q$115*(DK8-逐级计算!$P$115)*LN(10)/10),0)+LN(1+EXP(-ABS((LN(10^(逐级计算!$Q$115/10)-1)+逐级计算!$Q$115*(DK8-逐级计算!$P$115)*LN(10)/10))))))),"")</f>
        <v>-12.5000044179737</v>
      </c>
      <c r="DM8">
        <f>IF(AND(ISNUMBER(DL8),逐级计算!$X$116&gt;-1),IF(逐级计算!$X$116=0,DL8+逐级计算!$C$116,DL8+逐级计算!$C$116-(10/(逐级计算!$Q$116*LN(10))*(MAX((LN(10^(逐级计算!$Q$116/10)-1)+逐级计算!$Q$116*(DL8-逐级计算!$P$116)*LN(10)/10),0)+LN(1+EXP(-ABS((LN(10^(逐级计算!$Q$116/10)-1)+逐级计算!$Q$116*(DL8-逐级计算!$P$116)*LN(10)/10))))))),"")</f>
        <v>-12.5000044179737</v>
      </c>
      <c r="DN8">
        <f>IF(AND(ISNUMBER(DM8),逐级计算!$X$117&gt;-1),IF(逐级计算!$X$117=0,DM8+逐级计算!$C$117,DM8+逐级计算!$C$117-(10/(逐级计算!$Q$117*LN(10))*(MAX((LN(10^(逐级计算!$Q$117/10)-1)+逐级计算!$Q$117*(DM8-逐级计算!$P$117)*LN(10)/10),0)+LN(1+EXP(-ABS((LN(10^(逐级计算!$Q$117/10)-1)+逐级计算!$Q$117*(DM8-逐级计算!$P$117)*LN(10)/10))))))),"")</f>
        <v>-12.5000044179737</v>
      </c>
      <c r="DO8">
        <f>IF(AND(ISNUMBER(DN8),逐级计算!$X$118&gt;-1),IF(逐级计算!$X$118=0,DN8+逐级计算!$C$118,DN8+逐级计算!$C$118-(10/(逐级计算!$Q$118*LN(10))*(MAX((LN(10^(逐级计算!$Q$118/10)-1)+逐级计算!$Q$118*(DN8-逐级计算!$P$118)*LN(10)/10),0)+LN(1+EXP(-ABS((LN(10^(逐级计算!$Q$118/10)-1)+逐级计算!$Q$118*(DN8-逐级计算!$P$118)*LN(10)/10))))))),"")</f>
        <v>-12.5000044179737</v>
      </c>
      <c r="DP8">
        <f>IF(AND(ISNUMBER(DO8),逐级计算!$X$119&gt;-1),IF(逐级计算!$X$119=0,DO8+逐级计算!$C$119,DO8+逐级计算!$C$119-(10/(逐级计算!$Q$119*LN(10))*(MAX((LN(10^(逐级计算!$Q$119/10)-1)+逐级计算!$Q$119*(DO8-逐级计算!$P$119)*LN(10)/10),0)+LN(1+EXP(-ABS((LN(10^(逐级计算!$Q$119/10)-1)+逐级计算!$Q$119*(DO8-逐级计算!$P$119)*LN(10)/10))))))),"")</f>
        <v>-12.5000044179737</v>
      </c>
      <c r="DQ8">
        <f>IF(AND(ISNUMBER(DP8),逐级计算!$X$120&gt;-1),IF(逐级计算!$X$120=0,DP8+逐级计算!$C$120,DP8+逐级计算!$C$120-(10/(逐级计算!$Q$120*LN(10))*(MAX((LN(10^(逐级计算!$Q$120/10)-1)+逐级计算!$Q$120*(DP8-逐级计算!$P$120)*LN(10)/10),0)+LN(1+EXP(-ABS((LN(10^(逐级计算!$Q$120/10)-1)+逐级计算!$Q$120*(DP8-逐级计算!$P$120)*LN(10)/10))))))),"")</f>
        <v>-12.5000044179737</v>
      </c>
      <c r="DR8">
        <f>IF(AND(ISNUMBER(DQ8),逐级计算!$X$121&gt;-1),IF(逐级计算!$X$121=0,DQ8+逐级计算!$C$121,DQ8+逐级计算!$C$121-(10/(逐级计算!$Q$121*LN(10))*(MAX((LN(10^(逐级计算!$Q$121/10)-1)+逐级计算!$Q$121*(DQ8-逐级计算!$P$121)*LN(10)/10),0)+LN(1+EXP(-ABS((LN(10^(逐级计算!$Q$121/10)-1)+逐级计算!$Q$121*(DQ8-逐级计算!$P$121)*LN(10)/10))))))),"")</f>
        <v>-12.5000044179737</v>
      </c>
      <c r="DS8">
        <f>IF(AND(ISNUMBER(DR8),逐级计算!$X$122&gt;-1),IF(逐级计算!$X$122=0,DR8+逐级计算!$C$122,DR8+逐级计算!$C$122-(10/(逐级计算!$Q$122*LN(10))*(MAX((LN(10^(逐级计算!$Q$122/10)-1)+逐级计算!$Q$122*(DR8-逐级计算!$P$122)*LN(10)/10),0)+LN(1+EXP(-ABS((LN(10^(逐级计算!$Q$122/10)-1)+逐级计算!$Q$122*(DR8-逐级计算!$P$122)*LN(10)/10))))))),"")</f>
        <v>-12.5000044179737</v>
      </c>
      <c r="DT8">
        <f>IF(AND(ISNUMBER(DS8),逐级计算!$X$123&gt;-1),IF(逐级计算!$X$123=0,DS8+逐级计算!$C$123,DS8+逐级计算!$C$123-(10/(逐级计算!$Q$123*LN(10))*(MAX((LN(10^(逐级计算!$Q$123/10)-1)+逐级计算!$Q$123*(DS8-逐级计算!$P$123)*LN(10)/10),0)+LN(1+EXP(-ABS((LN(10^(逐级计算!$Q$123/10)-1)+逐级计算!$Q$123*(DS8-逐级计算!$P$123)*LN(10)/10))))))),"")</f>
        <v>-12.5000044179737</v>
      </c>
      <c r="DU8">
        <f>IF(AND(ISNUMBER(DT8),逐级计算!$X$124&gt;-1),IF(逐级计算!$X$124=0,DT8+逐级计算!$C$124,DT8+逐级计算!$C$124-(10/(逐级计算!$Q$124*LN(10))*(MAX((LN(10^(逐级计算!$Q$124/10)-1)+逐级计算!$Q$124*(DT8-逐级计算!$P$124)*LN(10)/10),0)+LN(1+EXP(-ABS((LN(10^(逐级计算!$Q$124/10)-1)+逐级计算!$Q$124*(DT8-逐级计算!$P$124)*LN(10)/10))))))),"")</f>
        <v>-12.5000044179737</v>
      </c>
      <c r="DV8">
        <f>IF(AND(ISNUMBER(DU8),逐级计算!$X$125&gt;-1),IF(逐级计算!$X$125=0,DU8+逐级计算!$C$125,DU8+逐级计算!$C$125-(10/(逐级计算!$Q$125*LN(10))*(MAX((LN(10^(逐级计算!$Q$125/10)-1)+逐级计算!$Q$125*(DU8-逐级计算!$P$125)*LN(10)/10),0)+LN(1+EXP(-ABS((LN(10^(逐级计算!$Q$125/10)-1)+逐级计算!$Q$125*(DU8-逐级计算!$P$125)*LN(10)/10))))))),"")</f>
        <v>-12.5000044179737</v>
      </c>
      <c r="DW8">
        <f>IF(AND(ISNUMBER(DV8),逐级计算!$X$126&gt;-1),IF(逐级计算!$X$126=0,DV8+逐级计算!$C$126,DV8+逐级计算!$C$126-(10/(逐级计算!$Q$126*LN(10))*(MAX((LN(10^(逐级计算!$Q$126/10)-1)+逐级计算!$Q$126*(DV8-逐级计算!$P$126)*LN(10)/10),0)+LN(1+EXP(-ABS((LN(10^(逐级计算!$Q$126/10)-1)+逐级计算!$Q$126*(DV8-逐级计算!$P$126)*LN(10)/10))))))),"")</f>
        <v>-12.5000044179737</v>
      </c>
      <c r="DX8">
        <f>IF(AND(ISNUMBER(DW8),逐级计算!$X$127&gt;-1),IF(逐级计算!$X$127=0,DW8+逐级计算!$C$127,DW8+逐级计算!$C$127-(10/(逐级计算!$Q$127*LN(10))*(MAX((LN(10^(逐级计算!$Q$127/10)-1)+逐级计算!$Q$127*(DW8-逐级计算!$P$127)*LN(10)/10),0)+LN(1+EXP(-ABS((LN(10^(逐级计算!$Q$127/10)-1)+逐级计算!$Q$127*(DW8-逐级计算!$P$127)*LN(10)/10))))))),"")</f>
        <v>-12.5000044179737</v>
      </c>
      <c r="DY8">
        <f>IF(AND(ISNUMBER(DX8),逐级计算!$X$128&gt;-1),IF(逐级计算!$X$128=0,DX8+逐级计算!$C$128,DX8+逐级计算!$C$128-(10/(逐级计算!$Q$128*LN(10))*(MAX((LN(10^(逐级计算!$Q$128/10)-1)+逐级计算!$Q$128*(DX8-逐级计算!$P$128)*LN(10)/10),0)+LN(1+EXP(-ABS((LN(10^(逐级计算!$Q$128/10)-1)+逐级计算!$Q$128*(DX8-逐级计算!$P$128)*LN(10)/10))))))),"")</f>
        <v>-12.5000044179737</v>
      </c>
      <c r="DZ8">
        <f>IF(AND(ISNUMBER(DY8),逐级计算!$X$129&gt;-1),IF(逐级计算!$X$129=0,DY8+逐级计算!$C$129,DY8+逐级计算!$C$129-(10/(逐级计算!$Q$129*LN(10))*(MAX((LN(10^(逐级计算!$Q$129/10)-1)+逐级计算!$Q$129*(DY8-逐级计算!$P$129)*LN(10)/10),0)+LN(1+EXP(-ABS((LN(10^(逐级计算!$Q$129/10)-1)+逐级计算!$Q$129*(DY8-逐级计算!$P$129)*LN(10)/10))))))),"")</f>
        <v>-12.5000044179737</v>
      </c>
      <c r="EA8">
        <f>IF(AND(ISNUMBER(DZ8),逐级计算!$X$130&gt;-1),IF(逐级计算!$X$130=0,DZ8+逐级计算!$C$130,DZ8+逐级计算!$C$130-(10/(逐级计算!$Q$130*LN(10))*(MAX((LN(10^(逐级计算!$Q$130/10)-1)+逐级计算!$Q$130*(DZ8-逐级计算!$P$130)*LN(10)/10),0)+LN(1+EXP(-ABS((LN(10^(逐级计算!$Q$130/10)-1)+逐级计算!$Q$130*(DZ8-逐级计算!$P$130)*LN(10)/10))))))),"")</f>
        <v>-12.5000044179737</v>
      </c>
      <c r="EB8">
        <f>IF(AND(ISNUMBER(EA8),逐级计算!$X$131&gt;-1),IF(逐级计算!$X$131=0,EA8+逐级计算!$C$131,EA8+逐级计算!$C$131-(10/(逐级计算!$Q$131*LN(10))*(MAX((LN(10^(逐级计算!$Q$131/10)-1)+逐级计算!$Q$131*(EA8-逐级计算!$P$131)*LN(10)/10),0)+LN(1+EXP(-ABS((LN(10^(逐级计算!$Q$131/10)-1)+逐级计算!$Q$131*(EA8-逐级计算!$P$131)*LN(10)/10))))))),"")</f>
        <v>-12.5000044179737</v>
      </c>
      <c r="EC8">
        <f>IF(AND(ISNUMBER(EB8),逐级计算!$X$132&gt;-1),IF(逐级计算!$X$132=0,EB8+逐级计算!$C$132,EB8+逐级计算!$C$132-(10/(逐级计算!$Q$132*LN(10))*(MAX((LN(10^(逐级计算!$Q$132/10)-1)+逐级计算!$Q$132*(EB8-逐级计算!$P$132)*LN(10)/10),0)+LN(1+EXP(-ABS((LN(10^(逐级计算!$Q$132/10)-1)+逐级计算!$Q$132*(EB8-逐级计算!$P$132)*LN(10)/10))))))),"")</f>
        <v>-12.5000044179737</v>
      </c>
      <c r="ED8">
        <f>IF(AND(ISNUMBER(EC8),逐级计算!$X$133&gt;-1),IF(逐级计算!$X$133=0,EC8+逐级计算!$C$133,EC8+逐级计算!$C$133-(10/(逐级计算!$Q$133*LN(10))*(MAX((LN(10^(逐级计算!$Q$133/10)-1)+逐级计算!$Q$133*(EC8-逐级计算!$P$133)*LN(10)/10),0)+LN(1+EXP(-ABS((LN(10^(逐级计算!$Q$133/10)-1)+逐级计算!$Q$133*(EC8-逐级计算!$P$133)*LN(10)/10))))))),"")</f>
        <v>-12.5000044179737</v>
      </c>
      <c r="EE8">
        <f>IF(AND(ISNUMBER(ED8),逐级计算!$X$134&gt;-1),IF(逐级计算!$X$134=0,ED8+逐级计算!$C$134,ED8+逐级计算!$C$134-(10/(逐级计算!$Q$134*LN(10))*(MAX((LN(10^(逐级计算!$Q$134/10)-1)+逐级计算!$Q$134*(ED8-逐级计算!$P$134)*LN(10)/10),0)+LN(1+EXP(-ABS((LN(10^(逐级计算!$Q$134/10)-1)+逐级计算!$Q$134*(ED8-逐级计算!$P$134)*LN(10)/10))))))),"")</f>
        <v>-12.5000044179737</v>
      </c>
      <c r="EF8">
        <f>IF(AND(ISNUMBER(EE8),逐级计算!$X$135&gt;-1),IF(逐级计算!$X$135=0,EE8+逐级计算!$C$135,EE8+逐级计算!$C$135-(10/(逐级计算!$Q$135*LN(10))*(MAX((LN(10^(逐级计算!$Q$135/10)-1)+逐级计算!$Q$135*(EE8-逐级计算!$P$135)*LN(10)/10),0)+LN(1+EXP(-ABS((LN(10^(逐级计算!$Q$135/10)-1)+逐级计算!$Q$135*(EE8-逐级计算!$P$135)*LN(10)/10))))))),"")</f>
        <v>-12.5000044179737</v>
      </c>
      <c r="EG8">
        <f>IF(AND(ISNUMBER(EF8),逐级计算!$X$136&gt;-1),IF(逐级计算!$X$136=0,EF8+逐级计算!$C$136,EF8+逐级计算!$C$136-(10/(逐级计算!$Q$136*LN(10))*(MAX((LN(10^(逐级计算!$Q$136/10)-1)+逐级计算!$Q$136*(EF8-逐级计算!$P$136)*LN(10)/10),0)+LN(1+EXP(-ABS((LN(10^(逐级计算!$Q$136/10)-1)+逐级计算!$Q$136*(EF8-逐级计算!$P$136)*LN(10)/10))))))),"")</f>
        <v>-12.5000044179737</v>
      </c>
      <c r="EH8">
        <f>IF(AND(ISNUMBER(EG8),逐级计算!$X$137&gt;-1),IF(逐级计算!$X$137=0,EG8+逐级计算!$C$137,EG8+逐级计算!$C$137-(10/(逐级计算!$Q$137*LN(10))*(MAX((LN(10^(逐级计算!$Q$137/10)-1)+逐级计算!$Q$137*(EG8-逐级计算!$P$137)*LN(10)/10),0)+LN(1+EXP(-ABS((LN(10^(逐级计算!$Q$137/10)-1)+逐级计算!$Q$137*(EG8-逐级计算!$P$137)*LN(10)/10))))))),"")</f>
        <v>-12.5000044179737</v>
      </c>
      <c r="EI8">
        <f>IF(AND(ISNUMBER(EH8),逐级计算!$X$138&gt;-1),IF(逐级计算!$X$138=0,EH8+逐级计算!$C$138,EH8+逐级计算!$C$138-(10/(逐级计算!$Q$138*LN(10))*(MAX((LN(10^(逐级计算!$Q$138/10)-1)+逐级计算!$Q$138*(EH8-逐级计算!$P$138)*LN(10)/10),0)+LN(1+EXP(-ABS((LN(10^(逐级计算!$Q$138/10)-1)+逐级计算!$Q$138*(EH8-逐级计算!$P$138)*LN(10)/10))))))),"")</f>
        <v>-12.5000044179737</v>
      </c>
      <c r="EJ8">
        <f>IF(AND(ISNUMBER(EI8),逐级计算!$X$139&gt;-1),IF(逐级计算!$X$139=0,EI8+逐级计算!$C$139,EI8+逐级计算!$C$139-(10/(逐级计算!$Q$139*LN(10))*(MAX((LN(10^(逐级计算!$Q$139/10)-1)+逐级计算!$Q$139*(EI8-逐级计算!$P$139)*LN(10)/10),0)+LN(1+EXP(-ABS((LN(10^(逐级计算!$Q$139/10)-1)+逐级计算!$Q$139*(EI8-逐级计算!$P$139)*LN(10)/10))))))),"")</f>
        <v>-12.5000044179737</v>
      </c>
      <c r="EK8">
        <f>IF(AND(ISNUMBER(EJ8),逐级计算!$X$140&gt;-1),IF(逐级计算!$X$140=0,EJ8+逐级计算!$C$140,EJ8+逐级计算!$C$140-(10/(逐级计算!$Q$140*LN(10))*(MAX((LN(10^(逐级计算!$Q$140/10)-1)+逐级计算!$Q$140*(EJ8-逐级计算!$P$140)*LN(10)/10),0)+LN(1+EXP(-ABS((LN(10^(逐级计算!$Q$140/10)-1)+逐级计算!$Q$140*(EJ8-逐级计算!$P$140)*LN(10)/10))))))),"")</f>
        <v>-12.5000044179737</v>
      </c>
      <c r="EL8">
        <f>IF(AND(ISNUMBER(EK8),逐级计算!$X$141&gt;-1),IF(逐级计算!$X$141=0,EK8+逐级计算!$C$141,EK8+逐级计算!$C$141-(10/(逐级计算!$Q$141*LN(10))*(MAX((LN(10^(逐级计算!$Q$141/10)-1)+逐级计算!$Q$141*(EK8-逐级计算!$P$141)*LN(10)/10),0)+LN(1+EXP(-ABS((LN(10^(逐级计算!$Q$141/10)-1)+逐级计算!$Q$141*(EK8-逐级计算!$P$141)*LN(10)/10))))))),"")</f>
        <v>-12.5000044179737</v>
      </c>
      <c r="EM8">
        <f>IF(AND(ISNUMBER(EL8),逐级计算!$X$142&gt;-1),IF(逐级计算!$X$142=0,EL8+逐级计算!$C$142,EL8+逐级计算!$C$142-(10/(逐级计算!$Q$142*LN(10))*(MAX((LN(10^(逐级计算!$Q$142/10)-1)+逐级计算!$Q$142*(EL8-逐级计算!$P$142)*LN(10)/10),0)+LN(1+EXP(-ABS((LN(10^(逐级计算!$Q$142/10)-1)+逐级计算!$Q$142*(EL8-逐级计算!$P$142)*LN(10)/10))))))),"")</f>
        <v>-12.5000044179737</v>
      </c>
      <c r="EN8">
        <f>IF(AND(ISNUMBER(EM8),逐级计算!$X$143&gt;-1),IF(逐级计算!$X$143=0,EM8+逐级计算!$C$143,EM8+逐级计算!$C$143-(10/(逐级计算!$Q$143*LN(10))*(MAX((LN(10^(逐级计算!$Q$143/10)-1)+逐级计算!$Q$143*(EM8-逐级计算!$P$143)*LN(10)/10),0)+LN(1+EXP(-ABS((LN(10^(逐级计算!$Q$143/10)-1)+逐级计算!$Q$143*(EM8-逐级计算!$P$143)*LN(10)/10))))))),"")</f>
        <v>-12.5000044179737</v>
      </c>
      <c r="EO8">
        <f>IF(AND(ISNUMBER(EN8),逐级计算!$X$144&gt;-1),IF(逐级计算!$X$144=0,EN8+逐级计算!$C$144,EN8+逐级计算!$C$144-(10/(逐级计算!$Q$144*LN(10))*(MAX((LN(10^(逐级计算!$Q$144/10)-1)+逐级计算!$Q$144*(EN8-逐级计算!$P$144)*LN(10)/10),0)+LN(1+EXP(-ABS((LN(10^(逐级计算!$Q$144/10)-1)+逐级计算!$Q$144*(EN8-逐级计算!$P$144)*LN(10)/10))))))),"")</f>
        <v>-12.5000044179737</v>
      </c>
      <c r="EP8">
        <f>IF(AND(ISNUMBER(EO8),逐级计算!$X$145&gt;-1),IF(逐级计算!$X$145=0,EO8+逐级计算!$C$145,EO8+逐级计算!$C$145-(10/(逐级计算!$Q$145*LN(10))*(MAX((LN(10^(逐级计算!$Q$145/10)-1)+逐级计算!$Q$145*(EO8-逐级计算!$P$145)*LN(10)/10),0)+LN(1+EXP(-ABS((LN(10^(逐级计算!$Q$145/10)-1)+逐级计算!$Q$145*(EO8-逐级计算!$P$145)*LN(10)/10))))))),"")</f>
        <v>-12.5000044179737</v>
      </c>
      <c r="EQ8">
        <f>IF(AND(ISNUMBER(EP8),逐级计算!$X$146&gt;-1),IF(逐级计算!$X$146=0,EP8+逐级计算!$C$146,EP8+逐级计算!$C$146-(10/(逐级计算!$Q$146*LN(10))*(MAX((LN(10^(逐级计算!$Q$146/10)-1)+逐级计算!$Q$146*(EP8-逐级计算!$P$146)*LN(10)/10),0)+LN(1+EXP(-ABS((LN(10^(逐级计算!$Q$146/10)-1)+逐级计算!$Q$146*(EP8-逐级计算!$P$146)*LN(10)/10))))))),"")</f>
        <v>-12.5000044179737</v>
      </c>
      <c r="ER8">
        <f>IF(AND(ISNUMBER(EQ8),逐级计算!$X$147&gt;-1),IF(逐级计算!$X$147=0,EQ8+逐级计算!$C$147,EQ8+逐级计算!$C$147-(10/(逐级计算!$Q$147*LN(10))*(MAX((LN(10^(逐级计算!$Q$147/10)-1)+逐级计算!$Q$147*(EQ8-逐级计算!$P$147)*LN(10)/10),0)+LN(1+EXP(-ABS((LN(10^(逐级计算!$Q$147/10)-1)+逐级计算!$Q$147*(EQ8-逐级计算!$P$147)*LN(10)/10))))))),"")</f>
        <v>-12.5000044179737</v>
      </c>
      <c r="ES8">
        <f>IF(AND(ISNUMBER(ER8),逐级计算!$X$148&gt;-1),IF(逐级计算!$X$148=0,ER8+逐级计算!$C$148,ER8+逐级计算!$C$148-(10/(逐级计算!$Q$148*LN(10))*(MAX((LN(10^(逐级计算!$Q$148/10)-1)+逐级计算!$Q$148*(ER8-逐级计算!$P$148)*LN(10)/10),0)+LN(1+EXP(-ABS((LN(10^(逐级计算!$Q$148/10)-1)+逐级计算!$Q$148*(ER8-逐级计算!$P$148)*LN(10)/10))))))),"")</f>
        <v>-12.5000044179737</v>
      </c>
      <c r="ET8">
        <f>IF(AND(ISNUMBER(ES8),逐级计算!$X$149&gt;-1),IF(逐级计算!$X$149=0,ES8+逐级计算!$C$149,ES8+逐级计算!$C$149-(10/(逐级计算!$Q$149*LN(10))*(MAX((LN(10^(逐级计算!$Q$149/10)-1)+逐级计算!$Q$149*(ES8-逐级计算!$P$149)*LN(10)/10),0)+LN(1+EXP(-ABS((LN(10^(逐级计算!$Q$149/10)-1)+逐级计算!$Q$149*(ES8-逐级计算!$P$149)*LN(10)/10))))))),"")</f>
        <v>-12.5000044179737</v>
      </c>
      <c r="EU8">
        <f>IF(AND(ISNUMBER(ET8),逐级计算!$X$150&gt;-1),IF(逐级计算!$X$150=0,ET8+逐级计算!$C$150,ET8+逐级计算!$C$150-(10/(逐级计算!$Q$150*LN(10))*(MAX((LN(10^(逐级计算!$Q$150/10)-1)+逐级计算!$Q$150*(ET8-逐级计算!$P$150)*LN(10)/10),0)+LN(1+EXP(-ABS((LN(10^(逐级计算!$Q$150/10)-1)+逐级计算!$Q$150*(ET8-逐级计算!$P$150)*LN(10)/10))))))),"")</f>
        <v>-12.5000044179737</v>
      </c>
      <c r="EV8">
        <f>IF(AND(ISNUMBER(EU8),逐级计算!$X$151&gt;-1),IF(逐级计算!$X$151=0,EU8+逐级计算!$C$151,EU8+逐级计算!$C$151-(10/(逐级计算!$Q$151*LN(10))*(MAX((LN(10^(逐级计算!$Q$151/10)-1)+逐级计算!$Q$151*(EU8-逐级计算!$P$151)*LN(10)/10),0)+LN(1+EXP(-ABS((LN(10^(逐级计算!$Q$151/10)-1)+逐级计算!$Q$151*(EU8-逐级计算!$P$151)*LN(10)/10))))))),"")</f>
        <v>-12.5000044179737</v>
      </c>
      <c r="EW8">
        <f>IF(AND(ISNUMBER(EV8),逐级计算!$X$152&gt;-1),IF(逐级计算!$X$152=0,EV8+逐级计算!$C$152,EV8+逐级计算!$C$152-(10/(逐级计算!$Q$152*LN(10))*(MAX((LN(10^(逐级计算!$Q$152/10)-1)+逐级计算!$Q$152*(EV8-逐级计算!$P$152)*LN(10)/10),0)+LN(1+EXP(-ABS((LN(10^(逐级计算!$Q$152/10)-1)+逐级计算!$Q$152*(EV8-逐级计算!$P$152)*LN(10)/10))))))),"")</f>
        <v>-12.5000044179737</v>
      </c>
      <c r="EX8">
        <f>IF(AND(ISNUMBER(EW8),逐级计算!$X$153&gt;-1),IF(逐级计算!$X$153=0,EW8+逐级计算!$C$153,EW8+逐级计算!$C$153-(10/(逐级计算!$Q$153*LN(10))*(MAX((LN(10^(逐级计算!$Q$153/10)-1)+逐级计算!$Q$153*(EW8-逐级计算!$P$153)*LN(10)/10),0)+LN(1+EXP(-ABS((LN(10^(逐级计算!$Q$153/10)-1)+逐级计算!$Q$153*(EW8-逐级计算!$P$153)*LN(10)/10))))))),"")</f>
        <v>-12.5000044179737</v>
      </c>
      <c r="EY8">
        <f>IF(AND(ISNUMBER(EX8),逐级计算!$X$154&gt;-1),IF(逐级计算!$X$154=0,EX8+逐级计算!$C$154,EX8+逐级计算!$C$154-(10/(逐级计算!$Q$154*LN(10))*(MAX((LN(10^(逐级计算!$Q$154/10)-1)+逐级计算!$Q$154*(EX8-逐级计算!$P$154)*LN(10)/10),0)+LN(1+EXP(-ABS((LN(10^(逐级计算!$Q$154/10)-1)+逐级计算!$Q$154*(EX8-逐级计算!$P$154)*LN(10)/10))))))),"")</f>
        <v>-12.5000044179737</v>
      </c>
      <c r="EZ8">
        <f>IF(AND(ISNUMBER(EY8),逐级计算!$X$155&gt;-1),IF(逐级计算!$X$155=0,EY8+逐级计算!$C$155,EY8+逐级计算!$C$155-(10/(逐级计算!$Q$155*LN(10))*(MAX((LN(10^(逐级计算!$Q$155/10)-1)+逐级计算!$Q$155*(EY8-逐级计算!$P$155)*LN(10)/10),0)+LN(1+EXP(-ABS((LN(10^(逐级计算!$Q$155/10)-1)+逐级计算!$Q$155*(EY8-逐级计算!$P$155)*LN(10)/10))))))),"")</f>
        <v>-12.5000044179737</v>
      </c>
      <c r="FA8">
        <f>IF(AND(ISNUMBER(EZ8),逐级计算!$X$156&gt;-1),IF(逐级计算!$X$156=0,EZ8+逐级计算!$C$156,EZ8+逐级计算!$C$156-(10/(逐级计算!$Q$156*LN(10))*(MAX((LN(10^(逐级计算!$Q$156/10)-1)+逐级计算!$Q$156*(EZ8-逐级计算!$P$156)*LN(10)/10),0)+LN(1+EXP(-ABS((LN(10^(逐级计算!$Q$156/10)-1)+逐级计算!$Q$156*(EZ8-逐级计算!$P$156)*LN(10)/10))))))),"")</f>
        <v>-12.5000044179737</v>
      </c>
      <c r="FB8">
        <f>IF(AND(ISNUMBER(FA8),逐级计算!$X$157&gt;-1),IF(逐级计算!$X$157=0,FA8+逐级计算!$C$157,FA8+逐级计算!$C$157-(10/(逐级计算!$Q$157*LN(10))*(MAX((LN(10^(逐级计算!$Q$157/10)-1)+逐级计算!$Q$157*(FA8-逐级计算!$P$157)*LN(10)/10),0)+LN(1+EXP(-ABS((LN(10^(逐级计算!$Q$157/10)-1)+逐级计算!$Q$157*(FA8-逐级计算!$P$157)*LN(10)/10))))))),"")</f>
        <v>-12.5000044179737</v>
      </c>
      <c r="FC8">
        <f>IF(AND(ISNUMBER(FB8),逐级计算!$X$158&gt;-1),IF(逐级计算!$X$158=0,FB8+逐级计算!$C$158,FB8+逐级计算!$C$158-(10/(逐级计算!$Q$158*LN(10))*(MAX((LN(10^(逐级计算!$Q$158/10)-1)+逐级计算!$Q$158*(FB8-逐级计算!$P$158)*LN(10)/10),0)+LN(1+EXP(-ABS((LN(10^(逐级计算!$Q$158/10)-1)+逐级计算!$Q$158*(FB8-逐级计算!$P$158)*LN(10)/10))))))),"")</f>
        <v>-12.5000044179737</v>
      </c>
      <c r="FD8">
        <f>IF(AND(ISNUMBER(FC8),逐级计算!$X$159&gt;-1),IF(逐级计算!$X$159=0,FC8+逐级计算!$C$159,FC8+逐级计算!$C$159-(10/(逐级计算!$Q$159*LN(10))*(MAX((LN(10^(逐级计算!$Q$159/10)-1)+逐级计算!$Q$159*(FC8-逐级计算!$P$159)*LN(10)/10),0)+LN(1+EXP(-ABS((LN(10^(逐级计算!$Q$159/10)-1)+逐级计算!$Q$159*(FC8-逐级计算!$P$159)*LN(10)/10))))))),"")</f>
        <v>-12.5000044179737</v>
      </c>
      <c r="FE8">
        <f>IF(AND(ISNUMBER(FD8),逐级计算!$X$160&gt;-1),IF(逐级计算!$X$160=0,FD8+逐级计算!$C$160,FD8+逐级计算!$C$160-(10/(逐级计算!$Q$160*LN(10))*(MAX((LN(10^(逐级计算!$Q$160/10)-1)+逐级计算!$Q$160*(FD8-逐级计算!$P$160)*LN(10)/10),0)+LN(1+EXP(-ABS((LN(10^(逐级计算!$Q$160/10)-1)+逐级计算!$Q$160*(FD8-逐级计算!$P$160)*LN(10)/10))))))),"")</f>
        <v>-12.5000044179737</v>
      </c>
      <c r="FF8">
        <f>IF(AND(ISNUMBER(FE8),逐级计算!$X$161&gt;-1),IF(逐级计算!$X$161=0,FE8+逐级计算!$C$161,FE8+逐级计算!$C$161-(10/(逐级计算!$Q$161*LN(10))*(MAX((LN(10^(逐级计算!$Q$161/10)-1)+逐级计算!$Q$161*(FE8-逐级计算!$P$161)*LN(10)/10),0)+LN(1+EXP(-ABS((LN(10^(逐级计算!$Q$161/10)-1)+逐级计算!$Q$161*(FE8-逐级计算!$P$161)*LN(10)/10))))))),"")</f>
        <v>-12.5000044179737</v>
      </c>
      <c r="FG8">
        <f>IF(AND(ISNUMBER(FF8),逐级计算!$X$162&gt;-1),IF(逐级计算!$X$162=0,FF8+逐级计算!$C$162,FF8+逐级计算!$C$162-(10/(逐级计算!$Q$162*LN(10))*(MAX((LN(10^(逐级计算!$Q$162/10)-1)+逐级计算!$Q$162*(FF8-逐级计算!$P$162)*LN(10)/10),0)+LN(1+EXP(-ABS((LN(10^(逐级计算!$Q$162/10)-1)+逐级计算!$Q$162*(FF8-逐级计算!$P$162)*LN(10)/10))))))),"")</f>
        <v>-12.5000044179737</v>
      </c>
      <c r="FH8">
        <f>IF(AND(ISNUMBER(FG8),逐级计算!$X$163&gt;-1),IF(逐级计算!$X$163=0,FG8+逐级计算!$C$163,FG8+逐级计算!$C$163-(10/(逐级计算!$Q$163*LN(10))*(MAX((LN(10^(逐级计算!$Q$163/10)-1)+逐级计算!$Q$163*(FG8-逐级计算!$P$163)*LN(10)/10),0)+LN(1+EXP(-ABS((LN(10^(逐级计算!$Q$163/10)-1)+逐级计算!$Q$163*(FG8-逐级计算!$P$163)*LN(10)/10))))))),"")</f>
        <v>-12.5000044179737</v>
      </c>
      <c r="FI8">
        <f>IF(AND(ISNUMBER(FH8),逐级计算!$X$164&gt;-1),IF(逐级计算!$X$164=0,FH8+逐级计算!$C$164,FH8+逐级计算!$C$164-(10/(逐级计算!$Q$164*LN(10))*(MAX((LN(10^(逐级计算!$Q$164/10)-1)+逐级计算!$Q$164*(FH8-逐级计算!$P$164)*LN(10)/10),0)+LN(1+EXP(-ABS((LN(10^(逐级计算!$Q$164/10)-1)+逐级计算!$Q$164*(FH8-逐级计算!$P$164)*LN(10)/10))))))),"")</f>
        <v>-12.5000044179737</v>
      </c>
      <c r="FJ8">
        <f>IF(AND(ISNUMBER(FI8),逐级计算!$X$165&gt;-1),IF(逐级计算!$X$165=0,FI8+逐级计算!$C$165,FI8+逐级计算!$C$165-(10/(逐级计算!$Q$165*LN(10))*(MAX((LN(10^(逐级计算!$Q$165/10)-1)+逐级计算!$Q$165*(FI8-逐级计算!$P$165)*LN(10)/10),0)+LN(1+EXP(-ABS((LN(10^(逐级计算!$Q$165/10)-1)+逐级计算!$Q$165*(FI8-逐级计算!$P$165)*LN(10)/10))))))),"")</f>
        <v>-12.5000044179737</v>
      </c>
      <c r="FK8">
        <f>IF(AND(ISNUMBER(FJ8),逐级计算!$X$166&gt;-1),IF(逐级计算!$X$166=0,FJ8+逐级计算!$C$166,FJ8+逐级计算!$C$166-(10/(逐级计算!$Q$166*LN(10))*(MAX((LN(10^(逐级计算!$Q$166/10)-1)+逐级计算!$Q$166*(FJ8-逐级计算!$P$166)*LN(10)/10),0)+LN(1+EXP(-ABS((LN(10^(逐级计算!$Q$166/10)-1)+逐级计算!$Q$166*(FJ8-逐级计算!$P$166)*LN(10)/10))))))),"")</f>
        <v>-12.5000044179737</v>
      </c>
      <c r="FL8">
        <f>IF(AND(ISNUMBER(FK8),逐级计算!$X$167&gt;-1),IF(逐级计算!$X$167=0,FK8+逐级计算!$C$167,FK8+逐级计算!$C$167-(10/(逐级计算!$Q$167*LN(10))*(MAX((LN(10^(逐级计算!$Q$167/10)-1)+逐级计算!$Q$167*(FK8-逐级计算!$P$167)*LN(10)/10),0)+LN(1+EXP(-ABS((LN(10^(逐级计算!$Q$167/10)-1)+逐级计算!$Q$167*(FK8-逐级计算!$P$167)*LN(10)/10))))))),"")</f>
        <v>-12.5000044179737</v>
      </c>
      <c r="FM8">
        <f>IF(AND(ISNUMBER(FL8),逐级计算!$X$168&gt;-1),IF(逐级计算!$X$168=0,FL8+逐级计算!$C$168,FL8+逐级计算!$C$168-(10/(逐级计算!$Q$168*LN(10))*(MAX((LN(10^(逐级计算!$Q$168/10)-1)+逐级计算!$Q$168*(FL8-逐级计算!$P$168)*LN(10)/10),0)+LN(1+EXP(-ABS((LN(10^(逐级计算!$Q$168/10)-1)+逐级计算!$Q$168*(FL8-逐级计算!$P$168)*LN(10)/10))))))),"")</f>
        <v>-12.5000044179737</v>
      </c>
      <c r="FN8">
        <f>IF(AND(ISNUMBER(FM8),逐级计算!$X$169&gt;-1),IF(逐级计算!$X$169=0,FM8+逐级计算!$C$169,FM8+逐级计算!$C$169-(10/(逐级计算!$Q$169*LN(10))*(MAX((LN(10^(逐级计算!$Q$169/10)-1)+逐级计算!$Q$169*(FM8-逐级计算!$P$169)*LN(10)/10),0)+LN(1+EXP(-ABS((LN(10^(逐级计算!$Q$169/10)-1)+逐级计算!$Q$169*(FM8-逐级计算!$P$169)*LN(10)/10))))))),"")</f>
        <v>-12.5000044179737</v>
      </c>
      <c r="FO8">
        <f>IF(AND(ISNUMBER(FN8),逐级计算!$X$170&gt;-1),IF(逐级计算!$X$170=0,FN8+逐级计算!$C$170,FN8+逐级计算!$C$170-(10/(逐级计算!$Q$170*LN(10))*(MAX((LN(10^(逐级计算!$Q$170/10)-1)+逐级计算!$Q$170*(FN8-逐级计算!$P$170)*LN(10)/10),0)+LN(1+EXP(-ABS((LN(10^(逐级计算!$Q$170/10)-1)+逐级计算!$Q$170*(FN8-逐级计算!$P$170)*LN(10)/10))))))),"")</f>
        <v>-12.5000044179737</v>
      </c>
      <c r="FP8">
        <f>IF(AND(ISNUMBER(FO8),逐级计算!$X$171&gt;-1),IF(逐级计算!$X$171=0,FO8+逐级计算!$C$171,FO8+逐级计算!$C$171-(10/(逐级计算!$Q$171*LN(10))*(MAX((LN(10^(逐级计算!$Q$171/10)-1)+逐级计算!$Q$171*(FO8-逐级计算!$P$171)*LN(10)/10),0)+LN(1+EXP(-ABS((LN(10^(逐级计算!$Q$171/10)-1)+逐级计算!$Q$171*(FO8-逐级计算!$P$171)*LN(10)/10))))))),"")</f>
        <v>-12.5000044179737</v>
      </c>
      <c r="FQ8">
        <f>IF(AND(ISNUMBER(FP8),逐级计算!$X$172&gt;-1),IF(逐级计算!$X$172=0,FP8+逐级计算!$C$172,FP8+逐级计算!$C$172-(10/(逐级计算!$Q$172*LN(10))*(MAX((LN(10^(逐级计算!$Q$172/10)-1)+逐级计算!$Q$172*(FP8-逐级计算!$P$172)*LN(10)/10),0)+LN(1+EXP(-ABS((LN(10^(逐级计算!$Q$172/10)-1)+逐级计算!$Q$172*(FP8-逐级计算!$P$172)*LN(10)/10))))))),"")</f>
        <v>-12.5000044179737</v>
      </c>
      <c r="FR8">
        <f>IF(AND(ISNUMBER(FQ8),逐级计算!$X$173&gt;-1),IF(逐级计算!$X$173=0,FQ8+逐级计算!$C$173,FQ8+逐级计算!$C$173-(10/(逐级计算!$Q$173*LN(10))*(MAX((LN(10^(逐级计算!$Q$173/10)-1)+逐级计算!$Q$173*(FQ8-逐级计算!$P$173)*LN(10)/10),0)+LN(1+EXP(-ABS((LN(10^(逐级计算!$Q$173/10)-1)+逐级计算!$Q$173*(FQ8-逐级计算!$P$173)*LN(10)/10))))))),"")</f>
        <v>-12.5000044179737</v>
      </c>
      <c r="FS8">
        <f>IF(AND(ISNUMBER(FR8),逐级计算!$X$174&gt;-1),IF(逐级计算!$X$174=0,FR8+逐级计算!$C$174,FR8+逐级计算!$C$174-(10/(逐级计算!$Q$174*LN(10))*(MAX((LN(10^(逐级计算!$Q$174/10)-1)+逐级计算!$Q$174*(FR8-逐级计算!$P$174)*LN(10)/10),0)+LN(1+EXP(-ABS((LN(10^(逐级计算!$Q$174/10)-1)+逐级计算!$Q$174*(FR8-逐级计算!$P$174)*LN(10)/10))))))),"")</f>
        <v>-12.5000044179737</v>
      </c>
      <c r="FT8">
        <f>IF(AND(ISNUMBER(FS8),逐级计算!$X$175&gt;-1),IF(逐级计算!$X$175=0,FS8+逐级计算!$C$175,FS8+逐级计算!$C$175-(10/(逐级计算!$Q$175*LN(10))*(MAX((LN(10^(逐级计算!$Q$175/10)-1)+逐级计算!$Q$175*(FS8-逐级计算!$P$175)*LN(10)/10),0)+LN(1+EXP(-ABS((LN(10^(逐级计算!$Q$175/10)-1)+逐级计算!$Q$175*(FS8-逐级计算!$P$175)*LN(10)/10))))))),"")</f>
        <v>-12.5000044179737</v>
      </c>
      <c r="FU8">
        <f>IF(AND(ISNUMBER(FT8),逐级计算!$X$176&gt;-1),IF(逐级计算!$X$176=0,FT8+逐级计算!$C$176,FT8+逐级计算!$C$176-(10/(逐级计算!$Q$176*LN(10))*(MAX((LN(10^(逐级计算!$Q$176/10)-1)+逐级计算!$Q$176*(FT8-逐级计算!$P$176)*LN(10)/10),0)+LN(1+EXP(-ABS((LN(10^(逐级计算!$Q$176/10)-1)+逐级计算!$Q$176*(FT8-逐级计算!$P$176)*LN(10)/10))))))),"")</f>
        <v>-12.5000044179737</v>
      </c>
      <c r="FV8">
        <f>IF(AND(ISNUMBER(FU8),逐级计算!$X$177&gt;-1),IF(逐级计算!$X$177=0,FU8+逐级计算!$C$177,FU8+逐级计算!$C$177-(10/(逐级计算!$Q$177*LN(10))*(MAX((LN(10^(逐级计算!$Q$177/10)-1)+逐级计算!$Q$177*(FU8-逐级计算!$P$177)*LN(10)/10),0)+LN(1+EXP(-ABS((LN(10^(逐级计算!$Q$177/10)-1)+逐级计算!$Q$177*(FU8-逐级计算!$P$177)*LN(10)/10))))))),"")</f>
        <v>-12.5000044179737</v>
      </c>
      <c r="FW8">
        <f>IF(AND(ISNUMBER(FV8),逐级计算!$X$178&gt;-1),IF(逐级计算!$X$178=0,FV8+逐级计算!$C$178,FV8+逐级计算!$C$178-(10/(逐级计算!$Q$178*LN(10))*(MAX((LN(10^(逐级计算!$Q$178/10)-1)+逐级计算!$Q$178*(FV8-逐级计算!$P$178)*LN(10)/10),0)+LN(1+EXP(-ABS((LN(10^(逐级计算!$Q$178/10)-1)+逐级计算!$Q$178*(FV8-逐级计算!$P$178)*LN(10)/10))))))),"")</f>
        <v>-12.5000044179737</v>
      </c>
      <c r="FX8">
        <f>IF(AND(ISNUMBER(FW8),逐级计算!$X$179&gt;-1),IF(逐级计算!$X$179=0,FW8+逐级计算!$C$179,FW8+逐级计算!$C$179-(10/(逐级计算!$Q$179*LN(10))*(MAX((LN(10^(逐级计算!$Q$179/10)-1)+逐级计算!$Q$179*(FW8-逐级计算!$P$179)*LN(10)/10),0)+LN(1+EXP(-ABS((LN(10^(逐级计算!$Q$179/10)-1)+逐级计算!$Q$179*(FW8-逐级计算!$P$179)*LN(10)/10))))))),"")</f>
        <v>-12.5000044179737</v>
      </c>
      <c r="FY8">
        <f>IF(AND(ISNUMBER(FX8),逐级计算!$X$180&gt;-1),IF(逐级计算!$X$180=0,FX8+逐级计算!$C$180,FX8+逐级计算!$C$180-(10/(逐级计算!$Q$180*LN(10))*(MAX((LN(10^(逐级计算!$Q$180/10)-1)+逐级计算!$Q$180*(FX8-逐级计算!$P$180)*LN(10)/10),0)+LN(1+EXP(-ABS((LN(10^(逐级计算!$Q$180/10)-1)+逐级计算!$Q$180*(FX8-逐级计算!$P$180)*LN(10)/10))))))),"")</f>
        <v>-12.5000044179737</v>
      </c>
      <c r="FZ8">
        <f>IF(AND(ISNUMBER(FY8),逐级计算!$X$181&gt;-1),IF(逐级计算!$X$181=0,FY8+逐级计算!$C$181,FY8+逐级计算!$C$181-(10/(逐级计算!$Q$181*LN(10))*(MAX((LN(10^(逐级计算!$Q$181/10)-1)+逐级计算!$Q$181*(FY8-逐级计算!$P$181)*LN(10)/10),0)+LN(1+EXP(-ABS((LN(10^(逐级计算!$Q$181/10)-1)+逐级计算!$Q$181*(FY8-逐级计算!$P$181)*LN(10)/10))))))),"")</f>
        <v>-12.5000044179737</v>
      </c>
      <c r="GA8">
        <f>IF(AND(ISNUMBER(FZ8),逐级计算!$X$182&gt;-1),IF(逐级计算!$X$182=0,FZ8+逐级计算!$C$182,FZ8+逐级计算!$C$182-(10/(逐级计算!$Q$182*LN(10))*(MAX((LN(10^(逐级计算!$Q$182/10)-1)+逐级计算!$Q$182*(FZ8-逐级计算!$P$182)*LN(10)/10),0)+LN(1+EXP(-ABS((LN(10^(逐级计算!$Q$182/10)-1)+逐级计算!$Q$182*(FZ8-逐级计算!$P$182)*LN(10)/10))))))),"")</f>
        <v>-12.5000044179737</v>
      </c>
      <c r="GB8">
        <f>IF(AND(ISNUMBER(GA8),逐级计算!$X$183&gt;-1),IF(逐级计算!$X$183=0,GA8+逐级计算!$C$183,GA8+逐级计算!$C$183-(10/(逐级计算!$Q$183*LN(10))*(MAX((LN(10^(逐级计算!$Q$183/10)-1)+逐级计算!$Q$183*(GA8-逐级计算!$P$183)*LN(10)/10),0)+LN(1+EXP(-ABS((LN(10^(逐级计算!$Q$183/10)-1)+逐级计算!$Q$183*(GA8-逐级计算!$P$183)*LN(10)/10))))))),"")</f>
        <v>-12.5000044179737</v>
      </c>
      <c r="GC8">
        <f>IF(AND(ISNUMBER(GB8),逐级计算!$X$184&gt;-1),IF(逐级计算!$X$184=0,GB8+逐级计算!$C$184,GB8+逐级计算!$C$184-(10/(逐级计算!$Q$184*LN(10))*(MAX((LN(10^(逐级计算!$Q$184/10)-1)+逐级计算!$Q$184*(GB8-逐级计算!$P$184)*LN(10)/10),0)+LN(1+EXP(-ABS((LN(10^(逐级计算!$Q$184/10)-1)+逐级计算!$Q$184*(GB8-逐级计算!$P$184)*LN(10)/10))))))),"")</f>
        <v>-12.5000044179737</v>
      </c>
      <c r="GD8">
        <f>IF(AND(ISNUMBER(GC8),逐级计算!$X$185&gt;-1),IF(逐级计算!$X$185=0,GC8+逐级计算!$C$185,GC8+逐级计算!$C$185-(10/(逐级计算!$Q$185*LN(10))*(MAX((LN(10^(逐级计算!$Q$185/10)-1)+逐级计算!$Q$185*(GC8-逐级计算!$P$185)*LN(10)/10),0)+LN(1+EXP(-ABS((LN(10^(逐级计算!$Q$185/10)-1)+逐级计算!$Q$185*(GC8-逐级计算!$P$185)*LN(10)/10))))))),"")</f>
        <v>-12.5000044179737</v>
      </c>
      <c r="GE8">
        <f>IF(AND(ISNUMBER(GD8),逐级计算!$X$186&gt;-1),IF(逐级计算!$X$186=0,GD8+逐级计算!$C$186,GD8+逐级计算!$C$186-(10/(逐级计算!$Q$186*LN(10))*(MAX((LN(10^(逐级计算!$Q$186/10)-1)+逐级计算!$Q$186*(GD8-逐级计算!$P$186)*LN(10)/10),0)+LN(1+EXP(-ABS((LN(10^(逐级计算!$Q$186/10)-1)+逐级计算!$Q$186*(GD8-逐级计算!$P$186)*LN(10)/10))))))),"")</f>
        <v>-12.5000044179737</v>
      </c>
      <c r="GF8">
        <f>IF(AND(ISNUMBER(GE8),逐级计算!$X$187&gt;-1),IF(逐级计算!$X$187=0,GE8+逐级计算!$C$187,GE8+逐级计算!$C$187-(10/(逐级计算!$Q$187*LN(10))*(MAX((LN(10^(逐级计算!$Q$187/10)-1)+逐级计算!$Q$187*(GE8-逐级计算!$P$187)*LN(10)/10),0)+LN(1+EXP(-ABS((LN(10^(逐级计算!$Q$187/10)-1)+逐级计算!$Q$187*(GE8-逐级计算!$P$187)*LN(10)/10))))))),"")</f>
        <v>-12.5000044179737</v>
      </c>
      <c r="GG8">
        <f>IF(AND(ISNUMBER(GF8),逐级计算!$X$188&gt;-1),IF(逐级计算!$X$188=0,GF8+逐级计算!$C$188,GF8+逐级计算!$C$188-(10/(逐级计算!$Q$188*LN(10))*(MAX((LN(10^(逐级计算!$Q$188/10)-1)+逐级计算!$Q$188*(GF8-逐级计算!$P$188)*LN(10)/10),0)+LN(1+EXP(-ABS((LN(10^(逐级计算!$Q$188/10)-1)+逐级计算!$Q$188*(GF8-逐级计算!$P$188)*LN(10)/10))))))),"")</f>
        <v>-12.5000044179737</v>
      </c>
      <c r="GH8">
        <f>IF(AND(ISNUMBER(GG8),逐级计算!$X$189&gt;-1),IF(逐级计算!$X$189=0,GG8+逐级计算!$C$189,GG8+逐级计算!$C$189-(10/(逐级计算!$Q$189*LN(10))*(MAX((LN(10^(逐级计算!$Q$189/10)-1)+逐级计算!$Q$189*(GG8-逐级计算!$P$189)*LN(10)/10),0)+LN(1+EXP(-ABS((LN(10^(逐级计算!$Q$189/10)-1)+逐级计算!$Q$189*(GG8-逐级计算!$P$189)*LN(10)/10))))))),"")</f>
        <v>-12.5000044179737</v>
      </c>
      <c r="GI8">
        <f>IF(AND(ISNUMBER(GH8),逐级计算!$X$190&gt;-1),IF(逐级计算!$X$190=0,GH8+逐级计算!$C$190,GH8+逐级计算!$C$190-(10/(逐级计算!$Q$190*LN(10))*(MAX((LN(10^(逐级计算!$Q$190/10)-1)+逐级计算!$Q$190*(GH8-逐级计算!$P$190)*LN(10)/10),0)+LN(1+EXP(-ABS((LN(10^(逐级计算!$Q$190/10)-1)+逐级计算!$Q$190*(GH8-逐级计算!$P$190)*LN(10)/10))))))),"")</f>
        <v>-12.5000044179737</v>
      </c>
      <c r="GJ8">
        <f>IF(AND(ISNUMBER(GI8),逐级计算!$X$191&gt;-1),IF(逐级计算!$X$191=0,GI8+逐级计算!$C$191,GI8+逐级计算!$C$191-(10/(逐级计算!$Q$191*LN(10))*(MAX((LN(10^(逐级计算!$Q$191/10)-1)+逐级计算!$Q$191*(GI8-逐级计算!$P$191)*LN(10)/10),0)+LN(1+EXP(-ABS((LN(10^(逐级计算!$Q$191/10)-1)+逐级计算!$Q$191*(GI8-逐级计算!$P$191)*LN(10)/10))))))),"")</f>
        <v>-12.5000044179737</v>
      </c>
      <c r="GK8">
        <f>IF(AND(ISNUMBER(GJ8),逐级计算!$X$192&gt;-1),IF(逐级计算!$X$192=0,GJ8+逐级计算!$C$192,GJ8+逐级计算!$C$192-(10/(逐级计算!$Q$192*LN(10))*(MAX((LN(10^(逐级计算!$Q$192/10)-1)+逐级计算!$Q$192*(GJ8-逐级计算!$P$192)*LN(10)/10),0)+LN(1+EXP(-ABS((LN(10^(逐级计算!$Q$192/10)-1)+逐级计算!$Q$192*(GJ8-逐级计算!$P$192)*LN(10)/10))))))),"")</f>
        <v>-12.5000044179737</v>
      </c>
      <c r="GL8">
        <f>IF(AND(ISNUMBER(GK8),逐级计算!$X$193&gt;-1),IF(逐级计算!$X$193=0,GK8+逐级计算!$C$193,GK8+逐级计算!$C$193-(10/(逐级计算!$Q$193*LN(10))*(MAX((LN(10^(逐级计算!$Q$193/10)-1)+逐级计算!$Q$193*(GK8-逐级计算!$P$193)*LN(10)/10),0)+LN(1+EXP(-ABS((LN(10^(逐级计算!$Q$193/10)-1)+逐级计算!$Q$193*(GK8-逐级计算!$P$193)*LN(10)/10))))))),"")</f>
        <v>-12.5000044179737</v>
      </c>
      <c r="GM8">
        <f>IF(AND(ISNUMBER(GL8),逐级计算!$X$194&gt;-1),IF(逐级计算!$X$194=0,GL8+逐级计算!$C$194,GL8+逐级计算!$C$194-(10/(逐级计算!$Q$194*LN(10))*(MAX((LN(10^(逐级计算!$Q$194/10)-1)+逐级计算!$Q$194*(GL8-逐级计算!$P$194)*LN(10)/10),0)+LN(1+EXP(-ABS((LN(10^(逐级计算!$Q$194/10)-1)+逐级计算!$Q$194*(GL8-逐级计算!$P$194)*LN(10)/10))))))),"")</f>
        <v>-12.5000044179737</v>
      </c>
      <c r="GN8">
        <f>IF(AND(ISNUMBER(GM8),逐级计算!$X$195&gt;-1),IF(逐级计算!$X$195=0,GM8+逐级计算!$C$195,GM8+逐级计算!$C$195-(10/(逐级计算!$Q$195*LN(10))*(MAX((LN(10^(逐级计算!$Q$195/10)-1)+逐级计算!$Q$195*(GM8-逐级计算!$P$195)*LN(10)/10),0)+LN(1+EXP(-ABS((LN(10^(逐级计算!$Q$195/10)-1)+逐级计算!$Q$195*(GM8-逐级计算!$P$195)*LN(10)/10))))))),"")</f>
        <v>-12.5000044179737</v>
      </c>
      <c r="GO8">
        <f>IF(AND(ISNUMBER(GN8),逐级计算!$X$196&gt;-1),IF(逐级计算!$X$196=0,GN8+逐级计算!$C$196,GN8+逐级计算!$C$196-(10/(逐级计算!$Q$196*LN(10))*(MAX((LN(10^(逐级计算!$Q$196/10)-1)+逐级计算!$Q$196*(GN8-逐级计算!$P$196)*LN(10)/10),0)+LN(1+EXP(-ABS((LN(10^(逐级计算!$Q$196/10)-1)+逐级计算!$Q$196*(GN8-逐级计算!$P$196)*LN(10)/10))))))),"")</f>
        <v>-12.5000044179737</v>
      </c>
      <c r="GP8">
        <f>IF(AND(ISNUMBER(GO8),逐级计算!$X$197&gt;-1),IF(逐级计算!$X$197=0,GO8+逐级计算!$C$197,GO8+逐级计算!$C$197-(10/(逐级计算!$Q$197*LN(10))*(MAX((LN(10^(逐级计算!$Q$197/10)-1)+逐级计算!$Q$197*(GO8-逐级计算!$P$197)*LN(10)/10),0)+LN(1+EXP(-ABS((LN(10^(逐级计算!$Q$197/10)-1)+逐级计算!$Q$197*(GO8-逐级计算!$P$197)*LN(10)/10))))))),"")</f>
        <v>-12.5000044179737</v>
      </c>
      <c r="GQ8">
        <f>IF(AND(ISNUMBER(GP8),逐级计算!$X$198&gt;-1),IF(逐级计算!$X$198=0,GP8+逐级计算!$C$198,GP8+逐级计算!$C$198-(10/(逐级计算!$Q$198*LN(10))*(MAX((LN(10^(逐级计算!$Q$198/10)-1)+逐级计算!$Q$198*(GP8-逐级计算!$P$198)*LN(10)/10),0)+LN(1+EXP(-ABS((LN(10^(逐级计算!$Q$198/10)-1)+逐级计算!$Q$198*(GP8-逐级计算!$P$198)*LN(10)/10))))))),"")</f>
        <v>-12.5000044179737</v>
      </c>
      <c r="GR8">
        <f>IF(AND(ISNUMBER(GQ8),逐级计算!$X$199&gt;-1),IF(逐级计算!$X$199=0,GQ8+逐级计算!$C$199,GQ8+逐级计算!$C$199-(10/(逐级计算!$Q$199*LN(10))*(MAX((LN(10^(逐级计算!$Q$199/10)-1)+逐级计算!$Q$199*(GQ8-逐级计算!$P$199)*LN(10)/10),0)+LN(1+EXP(-ABS((LN(10^(逐级计算!$Q$199/10)-1)+逐级计算!$Q$199*(GQ8-逐级计算!$P$199)*LN(10)/10))))))),"")</f>
        <v>-12.5000044179737</v>
      </c>
      <c r="GS8">
        <f>IF(AND(ISNUMBER(GR8),逐级计算!$X$200&gt;-1),IF(逐级计算!$X$200=0,GR8+逐级计算!$C$200,GR8+逐级计算!$C$200-(10/(逐级计算!$Q$200*LN(10))*(MAX((LN(10^(逐级计算!$Q$200/10)-1)+逐级计算!$Q$200*(GR8-逐级计算!$P$200)*LN(10)/10),0)+LN(1+EXP(-ABS((LN(10^(逐级计算!$Q$200/10)-1)+逐级计算!$Q$200*(GR8-逐级计算!$P$200)*LN(10)/10))))))),"")</f>
        <v>-12.5000044179737</v>
      </c>
      <c r="GT8">
        <f>IF(AND(ISNUMBER(GS8),逐级计算!$X$201&gt;-1),IF(逐级计算!$X$201=0,GS8+逐级计算!$C$201,GS8+逐级计算!$C$201-(10/(逐级计算!$Q$201*LN(10))*(MAX((LN(10^(逐级计算!$Q$201/10)-1)+逐级计算!$Q$201*(GS8-逐级计算!$P$201)*LN(10)/10),0)+LN(1+EXP(-ABS((LN(10^(逐级计算!$Q$201/10)-1)+逐级计算!$Q$201*(GS8-逐级计算!$P$201)*LN(10)/10))))))),"")</f>
        <v>-12.5000044179737</v>
      </c>
      <c r="GU8">
        <f>IF(AND(ISNUMBER(GT8),逐级计算!$X$202&gt;-1),IF(逐级计算!$X$202=0,GT8+逐级计算!$C$202,GT8+逐级计算!$C$202-(10/(逐级计算!$Q$202*LN(10))*(MAX((LN(10^(逐级计算!$Q$202/10)-1)+逐级计算!$Q$202*(GT8-逐级计算!$P$202)*LN(10)/10),0)+LN(1+EXP(-ABS((LN(10^(逐级计算!$Q$202/10)-1)+逐级计算!$Q$202*(GT8-逐级计算!$P$202)*LN(10)/10))))))),"")</f>
        <v>-12.5000044179737</v>
      </c>
      <c r="GV8">
        <f>IF(AND(ISNUMBER(GU8),逐级计算!$X$203&gt;-1),IF(逐级计算!$X$203=0,GU8+逐级计算!$C$203,GU8+逐级计算!$C$203-(10/(逐级计算!$Q$203*LN(10))*(MAX((LN(10^(逐级计算!$Q$203/10)-1)+逐级计算!$Q$203*(GU8-逐级计算!$P$203)*LN(10)/10),0)+LN(1+EXP(-ABS((LN(10^(逐级计算!$Q$203/10)-1)+逐级计算!$Q$203*(GU8-逐级计算!$P$203)*LN(10)/10))))))),"")</f>
        <v>-12.5000044179737</v>
      </c>
      <c r="GW8">
        <f>IF($B$4="已夹根",GW6,"")</f>
        <v>20</v>
      </c>
    </row>
    <row r="9" spans="1:205">
      <c r="A9">
        <v>2</v>
      </c>
      <c r="B9">
        <f t="shared" ref="B9:B72" si="1">IF(ISNUMBER(D8),IF(D8&gt;1,B8,C8),"")</f>
        <v>-32.5</v>
      </c>
      <c r="C9">
        <f t="shared" si="0"/>
        <v>-6.25</v>
      </c>
      <c r="D9">
        <f>IF(AND(ISNUMBER(C9),ISNUMBER(逐级计算!$E$203),ISNUMBER(GV9)),C9+逐级计算!$E$203-GV9,"")</f>
        <v>0.670567564868206</v>
      </c>
      <c r="E9">
        <f>IF(AND(ISNUMBER(C9),逐级计算!$X$4&gt;-1),IF(逐级计算!$X$4=0,C9+逐级计算!$C$4,C9+逐级计算!$C$4-(10/(逐级计算!$Q$4*LN(10))*(MAX((LN(10^(逐级计算!$Q$4/10)-1)+逐级计算!$Q$4*(C9-逐级计算!$P$4)*LN(10)/10),0)+LN(1+EXP(-ABS((LN(10^(逐级计算!$Q$4/10)-1)+逐级计算!$Q$4*(C9-逐级计算!$P$4)*LN(10)/10))))))),"")</f>
        <v>3.67972761509135</v>
      </c>
      <c r="F9">
        <f>IF(AND(ISNUMBER(E9),逐级计算!$X$5&gt;-1),IF(逐级计算!$X$5=0,E9+逐级计算!$C$5,E9+逐级计算!$C$5-(10/(逐级计算!$Q$5*LN(10))*(MAX((LN(10^(逐级计算!$Q$5/10)-1)+逐级计算!$Q$5*(E9-逐级计算!$P$5)*LN(10)/10),0)+LN(1+EXP(-ABS((LN(10^(逐级计算!$Q$5/10)-1)+逐级计算!$Q$5*(E9-逐级计算!$P$5)*LN(10)/10))))))),"")</f>
        <v>13.0794324351318</v>
      </c>
      <c r="G9">
        <f>IF(AND(ISNUMBER(F9),逐级计算!$X$6&gt;-1),IF(逐级计算!$X$6=0,F9+逐级计算!$C$6,F9+逐级计算!$C$6-(10/(逐级计算!$Q$6*LN(10))*(MAX((LN(10^(逐级计算!$Q$6/10)-1)+逐级计算!$Q$6*(F9-逐级计算!$P$6)*LN(10)/10),0)+LN(1+EXP(-ABS((LN(10^(逐级计算!$Q$6/10)-1)+逐级计算!$Q$6*(F9-逐级计算!$P$6)*LN(10)/10))))))),"")</f>
        <v>13.0794324351318</v>
      </c>
      <c r="H9">
        <f>IF(AND(ISNUMBER(G9),逐级计算!$X$7&gt;-1),IF(逐级计算!$X$7=0,G9+逐级计算!$C$7,G9+逐级计算!$C$7-(10/(逐级计算!$Q$7*LN(10))*(MAX((LN(10^(逐级计算!$Q$7/10)-1)+逐级计算!$Q$7*(G9-逐级计算!$P$7)*LN(10)/10),0)+LN(1+EXP(-ABS((LN(10^(逐级计算!$Q$7/10)-1)+逐级计算!$Q$7*(G9-逐级计算!$P$7)*LN(10)/10))))))),"")</f>
        <v>13.0794324351318</v>
      </c>
      <c r="I9">
        <f>IF(AND(ISNUMBER(H9),逐级计算!$X$8&gt;-1),IF(逐级计算!$X$8=0,H9+逐级计算!$C$8,H9+逐级计算!$C$8-(10/(逐级计算!$Q$8*LN(10))*(MAX((LN(10^(逐级计算!$Q$8/10)-1)+逐级计算!$Q$8*(H9-逐级计算!$P$8)*LN(10)/10),0)+LN(1+EXP(-ABS((LN(10^(逐级计算!$Q$8/10)-1)+逐级计算!$Q$8*(H9-逐级计算!$P$8)*LN(10)/10))))))),"")</f>
        <v>13.0794324351318</v>
      </c>
      <c r="J9">
        <f>IF(AND(ISNUMBER(I9),逐级计算!$X$9&gt;-1),IF(逐级计算!$X$9=0,I9+逐级计算!$C$9,I9+逐级计算!$C$9-(10/(逐级计算!$Q$9*LN(10))*(MAX((LN(10^(逐级计算!$Q$9/10)-1)+逐级计算!$Q$9*(I9-逐级计算!$P$9)*LN(10)/10),0)+LN(1+EXP(-ABS((LN(10^(逐级计算!$Q$9/10)-1)+逐级计算!$Q$9*(I9-逐级计算!$P$9)*LN(10)/10))))))),"")</f>
        <v>13.0794324351318</v>
      </c>
      <c r="K9">
        <f>IF(AND(ISNUMBER(J9),逐级计算!$X$10&gt;-1),IF(逐级计算!$X$10=0,J9+逐级计算!$C$10,J9+逐级计算!$C$10-(10/(逐级计算!$Q$10*LN(10))*(MAX((LN(10^(逐级计算!$Q$10/10)-1)+逐级计算!$Q$10*(J9-逐级计算!$P$10)*LN(10)/10),0)+LN(1+EXP(-ABS((LN(10^(逐级计算!$Q$10/10)-1)+逐级计算!$Q$10*(J9-逐级计算!$P$10)*LN(10)/10))))))),"")</f>
        <v>13.0794324351318</v>
      </c>
      <c r="L9">
        <f>IF(AND(ISNUMBER(K9),逐级计算!$X$11&gt;-1),IF(逐级计算!$X$11=0,K9+逐级计算!$C$11,K9+逐级计算!$C$11-(10/(逐级计算!$Q$11*LN(10))*(MAX((LN(10^(逐级计算!$Q$11/10)-1)+逐级计算!$Q$11*(K9-逐级计算!$P$11)*LN(10)/10),0)+LN(1+EXP(-ABS((LN(10^(逐级计算!$Q$11/10)-1)+逐级计算!$Q$11*(K9-逐级计算!$P$11)*LN(10)/10))))))),"")</f>
        <v>13.0794324351318</v>
      </c>
      <c r="M9">
        <f>IF(AND(ISNUMBER(L9),逐级计算!$X$12&gt;-1),IF(逐级计算!$X$12=0,L9+逐级计算!$C$12,L9+逐级计算!$C$12-(10/(逐级计算!$Q$12*LN(10))*(MAX((LN(10^(逐级计算!$Q$12/10)-1)+逐级计算!$Q$12*(L9-逐级计算!$P$12)*LN(10)/10),0)+LN(1+EXP(-ABS((LN(10^(逐级计算!$Q$12/10)-1)+逐级计算!$Q$12*(L9-逐级计算!$P$12)*LN(10)/10))))))),"")</f>
        <v>13.0794324351318</v>
      </c>
      <c r="N9">
        <f>IF(AND(ISNUMBER(M9),逐级计算!$X$13&gt;-1),IF(逐级计算!$X$13=0,M9+逐级计算!$C$13,M9+逐级计算!$C$13-(10/(逐级计算!$Q$13*LN(10))*(MAX((LN(10^(逐级计算!$Q$13/10)-1)+逐级计算!$Q$13*(M9-逐级计算!$P$13)*LN(10)/10),0)+LN(1+EXP(-ABS((LN(10^(逐级计算!$Q$13/10)-1)+逐级计算!$Q$13*(M9-逐级计算!$P$13)*LN(10)/10))))))),"")</f>
        <v>13.0794324351318</v>
      </c>
      <c r="O9">
        <f>IF(AND(ISNUMBER(N9),逐级计算!$X$14&gt;-1),IF(逐级计算!$X$14=0,N9+逐级计算!$C$14,N9+逐级计算!$C$14-(10/(逐级计算!$Q$14*LN(10))*(MAX((LN(10^(逐级计算!$Q$14/10)-1)+逐级计算!$Q$14*(N9-逐级计算!$P$14)*LN(10)/10),0)+LN(1+EXP(-ABS((LN(10^(逐级计算!$Q$14/10)-1)+逐级计算!$Q$14*(N9-逐级计算!$P$14)*LN(10)/10))))))),"")</f>
        <v>13.0794324351318</v>
      </c>
      <c r="P9">
        <f>IF(AND(ISNUMBER(O9),逐级计算!$X$15&gt;-1),IF(逐级计算!$X$15=0,O9+逐级计算!$C$15,O9+逐级计算!$C$15-(10/(逐级计算!$Q$15*LN(10))*(MAX((LN(10^(逐级计算!$Q$15/10)-1)+逐级计算!$Q$15*(O9-逐级计算!$P$15)*LN(10)/10),0)+LN(1+EXP(-ABS((LN(10^(逐级计算!$Q$15/10)-1)+逐级计算!$Q$15*(O9-逐级计算!$P$15)*LN(10)/10))))))),"")</f>
        <v>13.0794324351318</v>
      </c>
      <c r="Q9">
        <f>IF(AND(ISNUMBER(P9),逐级计算!$X$16&gt;-1),IF(逐级计算!$X$16=0,P9+逐级计算!$C$16,P9+逐级计算!$C$16-(10/(逐级计算!$Q$16*LN(10))*(MAX((LN(10^(逐级计算!$Q$16/10)-1)+逐级计算!$Q$16*(P9-逐级计算!$P$16)*LN(10)/10),0)+LN(1+EXP(-ABS((LN(10^(逐级计算!$Q$16/10)-1)+逐级计算!$Q$16*(P9-逐级计算!$P$16)*LN(10)/10))))))),"")</f>
        <v>13.0794324351318</v>
      </c>
      <c r="R9">
        <f>IF(AND(ISNUMBER(Q9),逐级计算!$X$17&gt;-1),IF(逐级计算!$X$17=0,Q9+逐级计算!$C$17,Q9+逐级计算!$C$17-(10/(逐级计算!$Q$17*LN(10))*(MAX((LN(10^(逐级计算!$Q$17/10)-1)+逐级计算!$Q$17*(Q9-逐级计算!$P$17)*LN(10)/10),0)+LN(1+EXP(-ABS((LN(10^(逐级计算!$Q$17/10)-1)+逐级计算!$Q$17*(Q9-逐级计算!$P$17)*LN(10)/10))))))),"")</f>
        <v>13.0794324351318</v>
      </c>
      <c r="S9">
        <f>IF(AND(ISNUMBER(R9),逐级计算!$X$18&gt;-1),IF(逐级计算!$X$18=0,R9+逐级计算!$C$18,R9+逐级计算!$C$18-(10/(逐级计算!$Q$18*LN(10))*(MAX((LN(10^(逐级计算!$Q$18/10)-1)+逐级计算!$Q$18*(R9-逐级计算!$P$18)*LN(10)/10),0)+LN(1+EXP(-ABS((LN(10^(逐级计算!$Q$18/10)-1)+逐级计算!$Q$18*(R9-逐级计算!$P$18)*LN(10)/10))))))),"")</f>
        <v>13.0794324351318</v>
      </c>
      <c r="T9">
        <f>IF(AND(ISNUMBER(S9),逐级计算!$X$19&gt;-1),IF(逐级计算!$X$19=0,S9+逐级计算!$C$19,S9+逐级计算!$C$19-(10/(逐级计算!$Q$19*LN(10))*(MAX((LN(10^(逐级计算!$Q$19/10)-1)+逐级计算!$Q$19*(S9-逐级计算!$P$19)*LN(10)/10),0)+LN(1+EXP(-ABS((LN(10^(逐级计算!$Q$19/10)-1)+逐级计算!$Q$19*(S9-逐级计算!$P$19)*LN(10)/10))))))),"")</f>
        <v>13.0794324351318</v>
      </c>
      <c r="U9">
        <f>IF(AND(ISNUMBER(T9),逐级计算!$X$20&gt;-1),IF(逐级计算!$X$20=0,T9+逐级计算!$C$20,T9+逐级计算!$C$20-(10/(逐级计算!$Q$20*LN(10))*(MAX((LN(10^(逐级计算!$Q$20/10)-1)+逐级计算!$Q$20*(T9-逐级计算!$P$20)*LN(10)/10),0)+LN(1+EXP(-ABS((LN(10^(逐级计算!$Q$20/10)-1)+逐级计算!$Q$20*(T9-逐级计算!$P$20)*LN(10)/10))))))),"")</f>
        <v>13.0794324351318</v>
      </c>
      <c r="V9">
        <f>IF(AND(ISNUMBER(U9),逐级计算!$X$21&gt;-1),IF(逐级计算!$X$21=0,U9+逐级计算!$C$21,U9+逐级计算!$C$21-(10/(逐级计算!$Q$21*LN(10))*(MAX((LN(10^(逐级计算!$Q$21/10)-1)+逐级计算!$Q$21*(U9-逐级计算!$P$21)*LN(10)/10),0)+LN(1+EXP(-ABS((LN(10^(逐级计算!$Q$21/10)-1)+逐级计算!$Q$21*(U9-逐级计算!$P$21)*LN(10)/10))))))),"")</f>
        <v>13.0794324351318</v>
      </c>
      <c r="W9">
        <f>IF(AND(ISNUMBER(V9),逐级计算!$X$22&gt;-1),IF(逐级计算!$X$22=0,V9+逐级计算!$C$22,V9+逐级计算!$C$22-(10/(逐级计算!$Q$22*LN(10))*(MAX((LN(10^(逐级计算!$Q$22/10)-1)+逐级计算!$Q$22*(V9-逐级计算!$P$22)*LN(10)/10),0)+LN(1+EXP(-ABS((LN(10^(逐级计算!$Q$22/10)-1)+逐级计算!$Q$22*(V9-逐级计算!$P$22)*LN(10)/10))))))),"")</f>
        <v>13.0794324351318</v>
      </c>
      <c r="X9">
        <f>IF(AND(ISNUMBER(W9),逐级计算!$X$23&gt;-1),IF(逐级计算!$X$23=0,W9+逐级计算!$C$23,W9+逐级计算!$C$23-(10/(逐级计算!$Q$23*LN(10))*(MAX((LN(10^(逐级计算!$Q$23/10)-1)+逐级计算!$Q$23*(W9-逐级计算!$P$23)*LN(10)/10),0)+LN(1+EXP(-ABS((LN(10^(逐级计算!$Q$23/10)-1)+逐级计算!$Q$23*(W9-逐级计算!$P$23)*LN(10)/10))))))),"")</f>
        <v>13.0794324351318</v>
      </c>
      <c r="Y9">
        <f>IF(AND(ISNUMBER(X9),逐级计算!$X$24&gt;-1),IF(逐级计算!$X$24=0,X9+逐级计算!$C$24,X9+逐级计算!$C$24-(10/(逐级计算!$Q$24*LN(10))*(MAX((LN(10^(逐级计算!$Q$24/10)-1)+逐级计算!$Q$24*(X9-逐级计算!$P$24)*LN(10)/10),0)+LN(1+EXP(-ABS((LN(10^(逐级计算!$Q$24/10)-1)+逐级计算!$Q$24*(X9-逐级计算!$P$24)*LN(10)/10))))))),"")</f>
        <v>13.0794324351318</v>
      </c>
      <c r="Z9">
        <f>IF(AND(ISNUMBER(Y9),逐级计算!$X$25&gt;-1),IF(逐级计算!$X$25=0,Y9+逐级计算!$C$25,Y9+逐级计算!$C$25-(10/(逐级计算!$Q$25*LN(10))*(MAX((LN(10^(逐级计算!$Q$25/10)-1)+逐级计算!$Q$25*(Y9-逐级计算!$P$25)*LN(10)/10),0)+LN(1+EXP(-ABS((LN(10^(逐级计算!$Q$25/10)-1)+逐级计算!$Q$25*(Y9-逐级计算!$P$25)*LN(10)/10))))))),"")</f>
        <v>13.0794324351318</v>
      </c>
      <c r="AA9">
        <f>IF(AND(ISNUMBER(Z9),逐级计算!$X$26&gt;-1),IF(逐级计算!$X$26=0,Z9+逐级计算!$C$26,Z9+逐级计算!$C$26-(10/(逐级计算!$Q$26*LN(10))*(MAX((LN(10^(逐级计算!$Q$26/10)-1)+逐级计算!$Q$26*(Z9-逐级计算!$P$26)*LN(10)/10),0)+LN(1+EXP(-ABS((LN(10^(逐级计算!$Q$26/10)-1)+逐级计算!$Q$26*(Z9-逐级计算!$P$26)*LN(10)/10))))))),"")</f>
        <v>13.0794324351318</v>
      </c>
      <c r="AB9">
        <f>IF(AND(ISNUMBER(AA9),逐级计算!$X$27&gt;-1),IF(逐级计算!$X$27=0,AA9+逐级计算!$C$27,AA9+逐级计算!$C$27-(10/(逐级计算!$Q$27*LN(10))*(MAX((LN(10^(逐级计算!$Q$27/10)-1)+逐级计算!$Q$27*(AA9-逐级计算!$P$27)*LN(10)/10),0)+LN(1+EXP(-ABS((LN(10^(逐级计算!$Q$27/10)-1)+逐级计算!$Q$27*(AA9-逐级计算!$P$27)*LN(10)/10))))))),"")</f>
        <v>13.0794324351318</v>
      </c>
      <c r="AC9">
        <f>IF(AND(ISNUMBER(AB9),逐级计算!$X$28&gt;-1),IF(逐级计算!$X$28=0,AB9+逐级计算!$C$28,AB9+逐级计算!$C$28-(10/(逐级计算!$Q$28*LN(10))*(MAX((LN(10^(逐级计算!$Q$28/10)-1)+逐级计算!$Q$28*(AB9-逐级计算!$P$28)*LN(10)/10),0)+LN(1+EXP(-ABS((LN(10^(逐级计算!$Q$28/10)-1)+逐级计算!$Q$28*(AB9-逐级计算!$P$28)*LN(10)/10))))))),"")</f>
        <v>13.0794324351318</v>
      </c>
      <c r="AD9">
        <f>IF(AND(ISNUMBER(AC9),逐级计算!$X$29&gt;-1),IF(逐级计算!$X$29=0,AC9+逐级计算!$C$29,AC9+逐级计算!$C$29-(10/(逐级计算!$Q$29*LN(10))*(MAX((LN(10^(逐级计算!$Q$29/10)-1)+逐级计算!$Q$29*(AC9-逐级计算!$P$29)*LN(10)/10),0)+LN(1+EXP(-ABS((LN(10^(逐级计算!$Q$29/10)-1)+逐级计算!$Q$29*(AC9-逐级计算!$P$29)*LN(10)/10))))))),"")</f>
        <v>13.0794324351318</v>
      </c>
      <c r="AE9">
        <f>IF(AND(ISNUMBER(AD9),逐级计算!$X$30&gt;-1),IF(逐级计算!$X$30=0,AD9+逐级计算!$C$30,AD9+逐级计算!$C$30-(10/(逐级计算!$Q$30*LN(10))*(MAX((LN(10^(逐级计算!$Q$30/10)-1)+逐级计算!$Q$30*(AD9-逐级计算!$P$30)*LN(10)/10),0)+LN(1+EXP(-ABS((LN(10^(逐级计算!$Q$30/10)-1)+逐级计算!$Q$30*(AD9-逐级计算!$P$30)*LN(10)/10))))))),"")</f>
        <v>13.0794324351318</v>
      </c>
      <c r="AF9">
        <f>IF(AND(ISNUMBER(AE9),逐级计算!$X$31&gt;-1),IF(逐级计算!$X$31=0,AE9+逐级计算!$C$31,AE9+逐级计算!$C$31-(10/(逐级计算!$Q$31*LN(10))*(MAX((LN(10^(逐级计算!$Q$31/10)-1)+逐级计算!$Q$31*(AE9-逐级计算!$P$31)*LN(10)/10),0)+LN(1+EXP(-ABS((LN(10^(逐级计算!$Q$31/10)-1)+逐级计算!$Q$31*(AE9-逐级计算!$P$31)*LN(10)/10))))))),"")</f>
        <v>13.0794324351318</v>
      </c>
      <c r="AG9">
        <f>IF(AND(ISNUMBER(AF9),逐级计算!$X$32&gt;-1),IF(逐级计算!$X$32=0,AF9+逐级计算!$C$32,AF9+逐级计算!$C$32-(10/(逐级计算!$Q$32*LN(10))*(MAX((LN(10^(逐级计算!$Q$32/10)-1)+逐级计算!$Q$32*(AF9-逐级计算!$P$32)*LN(10)/10),0)+LN(1+EXP(-ABS((LN(10^(逐级计算!$Q$32/10)-1)+逐级计算!$Q$32*(AF9-逐级计算!$P$32)*LN(10)/10))))))),"")</f>
        <v>13.0794324351318</v>
      </c>
      <c r="AH9">
        <f>IF(AND(ISNUMBER(AG9),逐级计算!$X$33&gt;-1),IF(逐级计算!$X$33=0,AG9+逐级计算!$C$33,AG9+逐级计算!$C$33-(10/(逐级计算!$Q$33*LN(10))*(MAX((LN(10^(逐级计算!$Q$33/10)-1)+逐级计算!$Q$33*(AG9-逐级计算!$P$33)*LN(10)/10),0)+LN(1+EXP(-ABS((LN(10^(逐级计算!$Q$33/10)-1)+逐级计算!$Q$33*(AG9-逐级计算!$P$33)*LN(10)/10))))))),"")</f>
        <v>13.0794324351318</v>
      </c>
      <c r="AI9">
        <f>IF(AND(ISNUMBER(AH9),逐级计算!$X$34&gt;-1),IF(逐级计算!$X$34=0,AH9+逐级计算!$C$34,AH9+逐级计算!$C$34-(10/(逐级计算!$Q$34*LN(10))*(MAX((LN(10^(逐级计算!$Q$34/10)-1)+逐级计算!$Q$34*(AH9-逐级计算!$P$34)*LN(10)/10),0)+LN(1+EXP(-ABS((LN(10^(逐级计算!$Q$34/10)-1)+逐级计算!$Q$34*(AH9-逐级计算!$P$34)*LN(10)/10))))))),"")</f>
        <v>13.0794324351318</v>
      </c>
      <c r="AJ9">
        <f>IF(AND(ISNUMBER(AI9),逐级计算!$X$35&gt;-1),IF(逐级计算!$X$35=0,AI9+逐级计算!$C$35,AI9+逐级计算!$C$35-(10/(逐级计算!$Q$35*LN(10))*(MAX((LN(10^(逐级计算!$Q$35/10)-1)+逐级计算!$Q$35*(AI9-逐级计算!$P$35)*LN(10)/10),0)+LN(1+EXP(-ABS((LN(10^(逐级计算!$Q$35/10)-1)+逐级计算!$Q$35*(AI9-逐级计算!$P$35)*LN(10)/10))))))),"")</f>
        <v>13.0794324351318</v>
      </c>
      <c r="AK9">
        <f>IF(AND(ISNUMBER(AJ9),逐级计算!$X$36&gt;-1),IF(逐级计算!$X$36=0,AJ9+逐级计算!$C$36,AJ9+逐级计算!$C$36-(10/(逐级计算!$Q$36*LN(10))*(MAX((LN(10^(逐级计算!$Q$36/10)-1)+逐级计算!$Q$36*(AJ9-逐级计算!$P$36)*LN(10)/10),0)+LN(1+EXP(-ABS((LN(10^(逐级计算!$Q$36/10)-1)+逐级计算!$Q$36*(AJ9-逐级计算!$P$36)*LN(10)/10))))))),"")</f>
        <v>13.0794324351318</v>
      </c>
      <c r="AL9">
        <f>IF(AND(ISNUMBER(AK9),逐级计算!$X$37&gt;-1),IF(逐级计算!$X$37=0,AK9+逐级计算!$C$37,AK9+逐级计算!$C$37-(10/(逐级计算!$Q$37*LN(10))*(MAX((LN(10^(逐级计算!$Q$37/10)-1)+逐级计算!$Q$37*(AK9-逐级计算!$P$37)*LN(10)/10),0)+LN(1+EXP(-ABS((LN(10^(逐级计算!$Q$37/10)-1)+逐级计算!$Q$37*(AK9-逐级计算!$P$37)*LN(10)/10))))))),"")</f>
        <v>13.0794324351318</v>
      </c>
      <c r="AM9">
        <f>IF(AND(ISNUMBER(AL9),逐级计算!$X$38&gt;-1),IF(逐级计算!$X$38=0,AL9+逐级计算!$C$38,AL9+逐级计算!$C$38-(10/(逐级计算!$Q$38*LN(10))*(MAX((LN(10^(逐级计算!$Q$38/10)-1)+逐级计算!$Q$38*(AL9-逐级计算!$P$38)*LN(10)/10),0)+LN(1+EXP(-ABS((LN(10^(逐级计算!$Q$38/10)-1)+逐级计算!$Q$38*(AL9-逐级计算!$P$38)*LN(10)/10))))))),"")</f>
        <v>13.0794324351318</v>
      </c>
      <c r="AN9">
        <f>IF(AND(ISNUMBER(AM9),逐级计算!$X$39&gt;-1),IF(逐级计算!$X$39=0,AM9+逐级计算!$C$39,AM9+逐级计算!$C$39-(10/(逐级计算!$Q$39*LN(10))*(MAX((LN(10^(逐级计算!$Q$39/10)-1)+逐级计算!$Q$39*(AM9-逐级计算!$P$39)*LN(10)/10),0)+LN(1+EXP(-ABS((LN(10^(逐级计算!$Q$39/10)-1)+逐级计算!$Q$39*(AM9-逐级计算!$P$39)*LN(10)/10))))))),"")</f>
        <v>13.0794324351318</v>
      </c>
      <c r="AO9">
        <f>IF(AND(ISNUMBER(AN9),逐级计算!$X$40&gt;-1),IF(逐级计算!$X$40=0,AN9+逐级计算!$C$40,AN9+逐级计算!$C$40-(10/(逐级计算!$Q$40*LN(10))*(MAX((LN(10^(逐级计算!$Q$40/10)-1)+逐级计算!$Q$40*(AN9-逐级计算!$P$40)*LN(10)/10),0)+LN(1+EXP(-ABS((LN(10^(逐级计算!$Q$40/10)-1)+逐级计算!$Q$40*(AN9-逐级计算!$P$40)*LN(10)/10))))))),"")</f>
        <v>13.0794324351318</v>
      </c>
      <c r="AP9">
        <f>IF(AND(ISNUMBER(AO9),逐级计算!$X$41&gt;-1),IF(逐级计算!$X$41=0,AO9+逐级计算!$C$41,AO9+逐级计算!$C$41-(10/(逐级计算!$Q$41*LN(10))*(MAX((LN(10^(逐级计算!$Q$41/10)-1)+逐级计算!$Q$41*(AO9-逐级计算!$P$41)*LN(10)/10),0)+LN(1+EXP(-ABS((LN(10^(逐级计算!$Q$41/10)-1)+逐级计算!$Q$41*(AO9-逐级计算!$P$41)*LN(10)/10))))))),"")</f>
        <v>13.0794324351318</v>
      </c>
      <c r="AQ9">
        <f>IF(AND(ISNUMBER(AP9),逐级计算!$X$42&gt;-1),IF(逐级计算!$X$42=0,AP9+逐级计算!$C$42,AP9+逐级计算!$C$42-(10/(逐级计算!$Q$42*LN(10))*(MAX((LN(10^(逐级计算!$Q$42/10)-1)+逐级计算!$Q$42*(AP9-逐级计算!$P$42)*LN(10)/10),0)+LN(1+EXP(-ABS((LN(10^(逐级计算!$Q$42/10)-1)+逐级计算!$Q$42*(AP9-逐级计算!$P$42)*LN(10)/10))))))),"")</f>
        <v>13.0794324351318</v>
      </c>
      <c r="AR9">
        <f>IF(AND(ISNUMBER(AQ9),逐级计算!$X$43&gt;-1),IF(逐级计算!$X$43=0,AQ9+逐级计算!$C$43,AQ9+逐级计算!$C$43-(10/(逐级计算!$Q$43*LN(10))*(MAX((LN(10^(逐级计算!$Q$43/10)-1)+逐级计算!$Q$43*(AQ9-逐级计算!$P$43)*LN(10)/10),0)+LN(1+EXP(-ABS((LN(10^(逐级计算!$Q$43/10)-1)+逐级计算!$Q$43*(AQ9-逐级计算!$P$43)*LN(10)/10))))))),"")</f>
        <v>13.0794324351318</v>
      </c>
      <c r="AS9">
        <f>IF(AND(ISNUMBER(AR9),逐级计算!$X$44&gt;-1),IF(逐级计算!$X$44=0,AR9+逐级计算!$C$44,AR9+逐级计算!$C$44-(10/(逐级计算!$Q$44*LN(10))*(MAX((LN(10^(逐级计算!$Q$44/10)-1)+逐级计算!$Q$44*(AR9-逐级计算!$P$44)*LN(10)/10),0)+LN(1+EXP(-ABS((LN(10^(逐级计算!$Q$44/10)-1)+逐级计算!$Q$44*(AR9-逐级计算!$P$44)*LN(10)/10))))))),"")</f>
        <v>13.0794324351318</v>
      </c>
      <c r="AT9">
        <f>IF(AND(ISNUMBER(AS9),逐级计算!$X$45&gt;-1),IF(逐级计算!$X$45=0,AS9+逐级计算!$C$45,AS9+逐级计算!$C$45-(10/(逐级计算!$Q$45*LN(10))*(MAX((LN(10^(逐级计算!$Q$45/10)-1)+逐级计算!$Q$45*(AS9-逐级计算!$P$45)*LN(10)/10),0)+LN(1+EXP(-ABS((LN(10^(逐级计算!$Q$45/10)-1)+逐级计算!$Q$45*(AS9-逐级计算!$P$45)*LN(10)/10))))))),"")</f>
        <v>13.0794324351318</v>
      </c>
      <c r="AU9">
        <f>IF(AND(ISNUMBER(AT9),逐级计算!$X$46&gt;-1),IF(逐级计算!$X$46=0,AT9+逐级计算!$C$46,AT9+逐级计算!$C$46-(10/(逐级计算!$Q$46*LN(10))*(MAX((LN(10^(逐级计算!$Q$46/10)-1)+逐级计算!$Q$46*(AT9-逐级计算!$P$46)*LN(10)/10),0)+LN(1+EXP(-ABS((LN(10^(逐级计算!$Q$46/10)-1)+逐级计算!$Q$46*(AT9-逐级计算!$P$46)*LN(10)/10))))))),"")</f>
        <v>13.0794324351318</v>
      </c>
      <c r="AV9">
        <f>IF(AND(ISNUMBER(AU9),逐级计算!$X$47&gt;-1),IF(逐级计算!$X$47=0,AU9+逐级计算!$C$47,AU9+逐级计算!$C$47-(10/(逐级计算!$Q$47*LN(10))*(MAX((LN(10^(逐级计算!$Q$47/10)-1)+逐级计算!$Q$47*(AU9-逐级计算!$P$47)*LN(10)/10),0)+LN(1+EXP(-ABS((LN(10^(逐级计算!$Q$47/10)-1)+逐级计算!$Q$47*(AU9-逐级计算!$P$47)*LN(10)/10))))))),"")</f>
        <v>13.0794324351318</v>
      </c>
      <c r="AW9">
        <f>IF(AND(ISNUMBER(AV9),逐级计算!$X$48&gt;-1),IF(逐级计算!$X$48=0,AV9+逐级计算!$C$48,AV9+逐级计算!$C$48-(10/(逐级计算!$Q$48*LN(10))*(MAX((LN(10^(逐级计算!$Q$48/10)-1)+逐级计算!$Q$48*(AV9-逐级计算!$P$48)*LN(10)/10),0)+LN(1+EXP(-ABS((LN(10^(逐级计算!$Q$48/10)-1)+逐级计算!$Q$48*(AV9-逐级计算!$P$48)*LN(10)/10))))))),"")</f>
        <v>13.0794324351318</v>
      </c>
      <c r="AX9">
        <f>IF(AND(ISNUMBER(AW9),逐级计算!$X$49&gt;-1),IF(逐级计算!$X$49=0,AW9+逐级计算!$C$49,AW9+逐级计算!$C$49-(10/(逐级计算!$Q$49*LN(10))*(MAX((LN(10^(逐级计算!$Q$49/10)-1)+逐级计算!$Q$49*(AW9-逐级计算!$P$49)*LN(10)/10),0)+LN(1+EXP(-ABS((LN(10^(逐级计算!$Q$49/10)-1)+逐级计算!$Q$49*(AW9-逐级计算!$P$49)*LN(10)/10))))))),"")</f>
        <v>13.0794324351318</v>
      </c>
      <c r="AY9">
        <f>IF(AND(ISNUMBER(AX9),逐级计算!$X$50&gt;-1),IF(逐级计算!$X$50=0,AX9+逐级计算!$C$50,AX9+逐级计算!$C$50-(10/(逐级计算!$Q$50*LN(10))*(MAX((LN(10^(逐级计算!$Q$50/10)-1)+逐级计算!$Q$50*(AX9-逐级计算!$P$50)*LN(10)/10),0)+LN(1+EXP(-ABS((LN(10^(逐级计算!$Q$50/10)-1)+逐级计算!$Q$50*(AX9-逐级计算!$P$50)*LN(10)/10))))))),"")</f>
        <v>13.0794324351318</v>
      </c>
      <c r="AZ9">
        <f>IF(AND(ISNUMBER(AY9),逐级计算!$X$51&gt;-1),IF(逐级计算!$X$51=0,AY9+逐级计算!$C$51,AY9+逐级计算!$C$51-(10/(逐级计算!$Q$51*LN(10))*(MAX((LN(10^(逐级计算!$Q$51/10)-1)+逐级计算!$Q$51*(AY9-逐级计算!$P$51)*LN(10)/10),0)+LN(1+EXP(-ABS((LN(10^(逐级计算!$Q$51/10)-1)+逐级计算!$Q$51*(AY9-逐级计算!$P$51)*LN(10)/10))))))),"")</f>
        <v>13.0794324351318</v>
      </c>
      <c r="BA9">
        <f>IF(AND(ISNUMBER(AZ9),逐级计算!$X$52&gt;-1),IF(逐级计算!$X$52=0,AZ9+逐级计算!$C$52,AZ9+逐级计算!$C$52-(10/(逐级计算!$Q$52*LN(10))*(MAX((LN(10^(逐级计算!$Q$52/10)-1)+逐级计算!$Q$52*(AZ9-逐级计算!$P$52)*LN(10)/10),0)+LN(1+EXP(-ABS((LN(10^(逐级计算!$Q$52/10)-1)+逐级计算!$Q$52*(AZ9-逐级计算!$P$52)*LN(10)/10))))))),"")</f>
        <v>13.0794324351318</v>
      </c>
      <c r="BB9">
        <f>IF(AND(ISNUMBER(BA9),逐级计算!$X$53&gt;-1),IF(逐级计算!$X$53=0,BA9+逐级计算!$C$53,BA9+逐级计算!$C$53-(10/(逐级计算!$Q$53*LN(10))*(MAX((LN(10^(逐级计算!$Q$53/10)-1)+逐级计算!$Q$53*(BA9-逐级计算!$P$53)*LN(10)/10),0)+LN(1+EXP(-ABS((LN(10^(逐级计算!$Q$53/10)-1)+逐级计算!$Q$53*(BA9-逐级计算!$P$53)*LN(10)/10))))))),"")</f>
        <v>13.0794324351318</v>
      </c>
      <c r="BC9">
        <f>IF(AND(ISNUMBER(BB9),逐级计算!$X$54&gt;-1),IF(逐级计算!$X$54=0,BB9+逐级计算!$C$54,BB9+逐级计算!$C$54-(10/(逐级计算!$Q$54*LN(10))*(MAX((LN(10^(逐级计算!$Q$54/10)-1)+逐级计算!$Q$54*(BB9-逐级计算!$P$54)*LN(10)/10),0)+LN(1+EXP(-ABS((LN(10^(逐级计算!$Q$54/10)-1)+逐级计算!$Q$54*(BB9-逐级计算!$P$54)*LN(10)/10))))))),"")</f>
        <v>13.0794324351318</v>
      </c>
      <c r="BD9">
        <f>IF(AND(ISNUMBER(BC9),逐级计算!$X$55&gt;-1),IF(逐级计算!$X$55=0,BC9+逐级计算!$C$55,BC9+逐级计算!$C$55-(10/(逐级计算!$Q$55*LN(10))*(MAX((LN(10^(逐级计算!$Q$55/10)-1)+逐级计算!$Q$55*(BC9-逐级计算!$P$55)*LN(10)/10),0)+LN(1+EXP(-ABS((LN(10^(逐级计算!$Q$55/10)-1)+逐级计算!$Q$55*(BC9-逐级计算!$P$55)*LN(10)/10))))))),"")</f>
        <v>13.0794324351318</v>
      </c>
      <c r="BE9">
        <f>IF(AND(ISNUMBER(BD9),逐级计算!$X$56&gt;-1),IF(逐级计算!$X$56=0,BD9+逐级计算!$C$56,BD9+逐级计算!$C$56-(10/(逐级计算!$Q$56*LN(10))*(MAX((LN(10^(逐级计算!$Q$56/10)-1)+逐级计算!$Q$56*(BD9-逐级计算!$P$56)*LN(10)/10),0)+LN(1+EXP(-ABS((LN(10^(逐级计算!$Q$56/10)-1)+逐级计算!$Q$56*(BD9-逐级计算!$P$56)*LN(10)/10))))))),"")</f>
        <v>13.0794324351318</v>
      </c>
      <c r="BF9">
        <f>IF(AND(ISNUMBER(BE9),逐级计算!$X$57&gt;-1),IF(逐级计算!$X$57=0,BE9+逐级计算!$C$57,BE9+逐级计算!$C$57-(10/(逐级计算!$Q$57*LN(10))*(MAX((LN(10^(逐级计算!$Q$57/10)-1)+逐级计算!$Q$57*(BE9-逐级计算!$P$57)*LN(10)/10),0)+LN(1+EXP(-ABS((LN(10^(逐级计算!$Q$57/10)-1)+逐级计算!$Q$57*(BE9-逐级计算!$P$57)*LN(10)/10))))))),"")</f>
        <v>13.0794324351318</v>
      </c>
      <c r="BG9">
        <f>IF(AND(ISNUMBER(BF9),逐级计算!$X$58&gt;-1),IF(逐级计算!$X$58=0,BF9+逐级计算!$C$58,BF9+逐级计算!$C$58-(10/(逐级计算!$Q$58*LN(10))*(MAX((LN(10^(逐级计算!$Q$58/10)-1)+逐级计算!$Q$58*(BF9-逐级计算!$P$58)*LN(10)/10),0)+LN(1+EXP(-ABS((LN(10^(逐级计算!$Q$58/10)-1)+逐级计算!$Q$58*(BF9-逐级计算!$P$58)*LN(10)/10))))))),"")</f>
        <v>13.0794324351318</v>
      </c>
      <c r="BH9">
        <f>IF(AND(ISNUMBER(BG9),逐级计算!$X$59&gt;-1),IF(逐级计算!$X$59=0,BG9+逐级计算!$C$59,BG9+逐级计算!$C$59-(10/(逐级计算!$Q$59*LN(10))*(MAX((LN(10^(逐级计算!$Q$59/10)-1)+逐级计算!$Q$59*(BG9-逐级计算!$P$59)*LN(10)/10),0)+LN(1+EXP(-ABS((LN(10^(逐级计算!$Q$59/10)-1)+逐级计算!$Q$59*(BG9-逐级计算!$P$59)*LN(10)/10))))))),"")</f>
        <v>13.0794324351318</v>
      </c>
      <c r="BI9">
        <f>IF(AND(ISNUMBER(BH9),逐级计算!$X$60&gt;-1),IF(逐级计算!$X$60=0,BH9+逐级计算!$C$60,BH9+逐级计算!$C$60-(10/(逐级计算!$Q$60*LN(10))*(MAX((LN(10^(逐级计算!$Q$60/10)-1)+逐级计算!$Q$60*(BH9-逐级计算!$P$60)*LN(10)/10),0)+LN(1+EXP(-ABS((LN(10^(逐级计算!$Q$60/10)-1)+逐级计算!$Q$60*(BH9-逐级计算!$P$60)*LN(10)/10))))))),"")</f>
        <v>13.0794324351318</v>
      </c>
      <c r="BJ9">
        <f>IF(AND(ISNUMBER(BI9),逐级计算!$X$61&gt;-1),IF(逐级计算!$X$61=0,BI9+逐级计算!$C$61,BI9+逐级计算!$C$61-(10/(逐级计算!$Q$61*LN(10))*(MAX((LN(10^(逐级计算!$Q$61/10)-1)+逐级计算!$Q$61*(BI9-逐级计算!$P$61)*LN(10)/10),0)+LN(1+EXP(-ABS((LN(10^(逐级计算!$Q$61/10)-1)+逐级计算!$Q$61*(BI9-逐级计算!$P$61)*LN(10)/10))))))),"")</f>
        <v>13.0794324351318</v>
      </c>
      <c r="BK9">
        <f>IF(AND(ISNUMBER(BJ9),逐级计算!$X$62&gt;-1),IF(逐级计算!$X$62=0,BJ9+逐级计算!$C$62,BJ9+逐级计算!$C$62-(10/(逐级计算!$Q$62*LN(10))*(MAX((LN(10^(逐级计算!$Q$62/10)-1)+逐级计算!$Q$62*(BJ9-逐级计算!$P$62)*LN(10)/10),0)+LN(1+EXP(-ABS((LN(10^(逐级计算!$Q$62/10)-1)+逐级计算!$Q$62*(BJ9-逐级计算!$P$62)*LN(10)/10))))))),"")</f>
        <v>13.0794324351318</v>
      </c>
      <c r="BL9">
        <f>IF(AND(ISNUMBER(BK9),逐级计算!$X$63&gt;-1),IF(逐级计算!$X$63=0,BK9+逐级计算!$C$63,BK9+逐级计算!$C$63-(10/(逐级计算!$Q$63*LN(10))*(MAX((LN(10^(逐级计算!$Q$63/10)-1)+逐级计算!$Q$63*(BK9-逐级计算!$P$63)*LN(10)/10),0)+LN(1+EXP(-ABS((LN(10^(逐级计算!$Q$63/10)-1)+逐级计算!$Q$63*(BK9-逐级计算!$P$63)*LN(10)/10))))))),"")</f>
        <v>13.0794324351318</v>
      </c>
      <c r="BM9">
        <f>IF(AND(ISNUMBER(BL9),逐级计算!$X$64&gt;-1),IF(逐级计算!$X$64=0,BL9+逐级计算!$C$64,BL9+逐级计算!$C$64-(10/(逐级计算!$Q$64*LN(10))*(MAX((LN(10^(逐级计算!$Q$64/10)-1)+逐级计算!$Q$64*(BL9-逐级计算!$P$64)*LN(10)/10),0)+LN(1+EXP(-ABS((LN(10^(逐级计算!$Q$64/10)-1)+逐级计算!$Q$64*(BL9-逐级计算!$P$64)*LN(10)/10))))))),"")</f>
        <v>13.0794324351318</v>
      </c>
      <c r="BN9">
        <f>IF(AND(ISNUMBER(BM9),逐级计算!$X$65&gt;-1),IF(逐级计算!$X$65=0,BM9+逐级计算!$C$65,BM9+逐级计算!$C$65-(10/(逐级计算!$Q$65*LN(10))*(MAX((LN(10^(逐级计算!$Q$65/10)-1)+逐级计算!$Q$65*(BM9-逐级计算!$P$65)*LN(10)/10),0)+LN(1+EXP(-ABS((LN(10^(逐级计算!$Q$65/10)-1)+逐级计算!$Q$65*(BM9-逐级计算!$P$65)*LN(10)/10))))))),"")</f>
        <v>13.0794324351318</v>
      </c>
      <c r="BO9">
        <f>IF(AND(ISNUMBER(BN9),逐级计算!$X$66&gt;-1),IF(逐级计算!$X$66=0,BN9+逐级计算!$C$66,BN9+逐级计算!$C$66-(10/(逐级计算!$Q$66*LN(10))*(MAX((LN(10^(逐级计算!$Q$66/10)-1)+逐级计算!$Q$66*(BN9-逐级计算!$P$66)*LN(10)/10),0)+LN(1+EXP(-ABS((LN(10^(逐级计算!$Q$66/10)-1)+逐级计算!$Q$66*(BN9-逐级计算!$P$66)*LN(10)/10))))))),"")</f>
        <v>13.0794324351318</v>
      </c>
      <c r="BP9">
        <f>IF(AND(ISNUMBER(BO9),逐级计算!$X$67&gt;-1),IF(逐级计算!$X$67=0,BO9+逐级计算!$C$67,BO9+逐级计算!$C$67-(10/(逐级计算!$Q$67*LN(10))*(MAX((LN(10^(逐级计算!$Q$67/10)-1)+逐级计算!$Q$67*(BO9-逐级计算!$P$67)*LN(10)/10),0)+LN(1+EXP(-ABS((LN(10^(逐级计算!$Q$67/10)-1)+逐级计算!$Q$67*(BO9-逐级计算!$P$67)*LN(10)/10))))))),"")</f>
        <v>13.0794324351318</v>
      </c>
      <c r="BQ9">
        <f>IF(AND(ISNUMBER(BP9),逐级计算!$X$68&gt;-1),IF(逐级计算!$X$68=0,BP9+逐级计算!$C$68,BP9+逐级计算!$C$68-(10/(逐级计算!$Q$68*LN(10))*(MAX((LN(10^(逐级计算!$Q$68/10)-1)+逐级计算!$Q$68*(BP9-逐级计算!$P$68)*LN(10)/10),0)+LN(1+EXP(-ABS((LN(10^(逐级计算!$Q$68/10)-1)+逐级计算!$Q$68*(BP9-逐级计算!$P$68)*LN(10)/10))))))),"")</f>
        <v>13.0794324351318</v>
      </c>
      <c r="BR9">
        <f>IF(AND(ISNUMBER(BQ9),逐级计算!$X$69&gt;-1),IF(逐级计算!$X$69=0,BQ9+逐级计算!$C$69,BQ9+逐级计算!$C$69-(10/(逐级计算!$Q$69*LN(10))*(MAX((LN(10^(逐级计算!$Q$69/10)-1)+逐级计算!$Q$69*(BQ9-逐级计算!$P$69)*LN(10)/10),0)+LN(1+EXP(-ABS((LN(10^(逐级计算!$Q$69/10)-1)+逐级计算!$Q$69*(BQ9-逐级计算!$P$69)*LN(10)/10))))))),"")</f>
        <v>13.0794324351318</v>
      </c>
      <c r="BS9">
        <f>IF(AND(ISNUMBER(BR9),逐级计算!$X$70&gt;-1),IF(逐级计算!$X$70=0,BR9+逐级计算!$C$70,BR9+逐级计算!$C$70-(10/(逐级计算!$Q$70*LN(10))*(MAX((LN(10^(逐级计算!$Q$70/10)-1)+逐级计算!$Q$70*(BR9-逐级计算!$P$70)*LN(10)/10),0)+LN(1+EXP(-ABS((LN(10^(逐级计算!$Q$70/10)-1)+逐级计算!$Q$70*(BR9-逐级计算!$P$70)*LN(10)/10))))))),"")</f>
        <v>13.0794324351318</v>
      </c>
      <c r="BT9">
        <f>IF(AND(ISNUMBER(BS9),逐级计算!$X$71&gt;-1),IF(逐级计算!$X$71=0,BS9+逐级计算!$C$71,BS9+逐级计算!$C$71-(10/(逐级计算!$Q$71*LN(10))*(MAX((LN(10^(逐级计算!$Q$71/10)-1)+逐级计算!$Q$71*(BS9-逐级计算!$P$71)*LN(10)/10),0)+LN(1+EXP(-ABS((LN(10^(逐级计算!$Q$71/10)-1)+逐级计算!$Q$71*(BS9-逐级计算!$P$71)*LN(10)/10))))))),"")</f>
        <v>13.0794324351318</v>
      </c>
      <c r="BU9">
        <f>IF(AND(ISNUMBER(BT9),逐级计算!$X$72&gt;-1),IF(逐级计算!$X$72=0,BT9+逐级计算!$C$72,BT9+逐级计算!$C$72-(10/(逐级计算!$Q$72*LN(10))*(MAX((LN(10^(逐级计算!$Q$72/10)-1)+逐级计算!$Q$72*(BT9-逐级计算!$P$72)*LN(10)/10),0)+LN(1+EXP(-ABS((LN(10^(逐级计算!$Q$72/10)-1)+逐级计算!$Q$72*(BT9-逐级计算!$P$72)*LN(10)/10))))))),"")</f>
        <v>13.0794324351318</v>
      </c>
      <c r="BV9">
        <f>IF(AND(ISNUMBER(BU9),逐级计算!$X$73&gt;-1),IF(逐级计算!$X$73=0,BU9+逐级计算!$C$73,BU9+逐级计算!$C$73-(10/(逐级计算!$Q$73*LN(10))*(MAX((LN(10^(逐级计算!$Q$73/10)-1)+逐级计算!$Q$73*(BU9-逐级计算!$P$73)*LN(10)/10),0)+LN(1+EXP(-ABS((LN(10^(逐级计算!$Q$73/10)-1)+逐级计算!$Q$73*(BU9-逐级计算!$P$73)*LN(10)/10))))))),"")</f>
        <v>13.0794324351318</v>
      </c>
      <c r="BW9">
        <f>IF(AND(ISNUMBER(BV9),逐级计算!$X$74&gt;-1),IF(逐级计算!$X$74=0,BV9+逐级计算!$C$74,BV9+逐级计算!$C$74-(10/(逐级计算!$Q$74*LN(10))*(MAX((LN(10^(逐级计算!$Q$74/10)-1)+逐级计算!$Q$74*(BV9-逐级计算!$P$74)*LN(10)/10),0)+LN(1+EXP(-ABS((LN(10^(逐级计算!$Q$74/10)-1)+逐级计算!$Q$74*(BV9-逐级计算!$P$74)*LN(10)/10))))))),"")</f>
        <v>13.0794324351318</v>
      </c>
      <c r="BX9">
        <f>IF(AND(ISNUMBER(BW9),逐级计算!$X$75&gt;-1),IF(逐级计算!$X$75=0,BW9+逐级计算!$C$75,BW9+逐级计算!$C$75-(10/(逐级计算!$Q$75*LN(10))*(MAX((LN(10^(逐级计算!$Q$75/10)-1)+逐级计算!$Q$75*(BW9-逐级计算!$P$75)*LN(10)/10),0)+LN(1+EXP(-ABS((LN(10^(逐级计算!$Q$75/10)-1)+逐级计算!$Q$75*(BW9-逐级计算!$P$75)*LN(10)/10))))))),"")</f>
        <v>13.0794324351318</v>
      </c>
      <c r="BY9">
        <f>IF(AND(ISNUMBER(BX9),逐级计算!$X$76&gt;-1),IF(逐级计算!$X$76=0,BX9+逐级计算!$C$76,BX9+逐级计算!$C$76-(10/(逐级计算!$Q$76*LN(10))*(MAX((LN(10^(逐级计算!$Q$76/10)-1)+逐级计算!$Q$76*(BX9-逐级计算!$P$76)*LN(10)/10),0)+LN(1+EXP(-ABS((LN(10^(逐级计算!$Q$76/10)-1)+逐级计算!$Q$76*(BX9-逐级计算!$P$76)*LN(10)/10))))))),"")</f>
        <v>13.0794324351318</v>
      </c>
      <c r="BZ9">
        <f>IF(AND(ISNUMBER(BY9),逐级计算!$X$77&gt;-1),IF(逐级计算!$X$77=0,BY9+逐级计算!$C$77,BY9+逐级计算!$C$77-(10/(逐级计算!$Q$77*LN(10))*(MAX((LN(10^(逐级计算!$Q$77/10)-1)+逐级计算!$Q$77*(BY9-逐级计算!$P$77)*LN(10)/10),0)+LN(1+EXP(-ABS((LN(10^(逐级计算!$Q$77/10)-1)+逐级计算!$Q$77*(BY9-逐级计算!$P$77)*LN(10)/10))))))),"")</f>
        <v>13.0794324351318</v>
      </c>
      <c r="CA9">
        <f>IF(AND(ISNUMBER(BZ9),逐级计算!$X$78&gt;-1),IF(逐级计算!$X$78=0,BZ9+逐级计算!$C$78,BZ9+逐级计算!$C$78-(10/(逐级计算!$Q$78*LN(10))*(MAX((LN(10^(逐级计算!$Q$78/10)-1)+逐级计算!$Q$78*(BZ9-逐级计算!$P$78)*LN(10)/10),0)+LN(1+EXP(-ABS((LN(10^(逐级计算!$Q$78/10)-1)+逐级计算!$Q$78*(BZ9-逐级计算!$P$78)*LN(10)/10))))))),"")</f>
        <v>13.0794324351318</v>
      </c>
      <c r="CB9">
        <f>IF(AND(ISNUMBER(CA9),逐级计算!$X$79&gt;-1),IF(逐级计算!$X$79=0,CA9+逐级计算!$C$79,CA9+逐级计算!$C$79-(10/(逐级计算!$Q$79*LN(10))*(MAX((LN(10^(逐级计算!$Q$79/10)-1)+逐级计算!$Q$79*(CA9-逐级计算!$P$79)*LN(10)/10),0)+LN(1+EXP(-ABS((LN(10^(逐级计算!$Q$79/10)-1)+逐级计算!$Q$79*(CA9-逐级计算!$P$79)*LN(10)/10))))))),"")</f>
        <v>13.0794324351318</v>
      </c>
      <c r="CC9">
        <f>IF(AND(ISNUMBER(CB9),逐级计算!$X$80&gt;-1),IF(逐级计算!$X$80=0,CB9+逐级计算!$C$80,CB9+逐级计算!$C$80-(10/(逐级计算!$Q$80*LN(10))*(MAX((LN(10^(逐级计算!$Q$80/10)-1)+逐级计算!$Q$80*(CB9-逐级计算!$P$80)*LN(10)/10),0)+LN(1+EXP(-ABS((LN(10^(逐级计算!$Q$80/10)-1)+逐级计算!$Q$80*(CB9-逐级计算!$P$80)*LN(10)/10))))))),"")</f>
        <v>13.0794324351318</v>
      </c>
      <c r="CD9">
        <f>IF(AND(ISNUMBER(CC9),逐级计算!$X$81&gt;-1),IF(逐级计算!$X$81=0,CC9+逐级计算!$C$81,CC9+逐级计算!$C$81-(10/(逐级计算!$Q$81*LN(10))*(MAX((LN(10^(逐级计算!$Q$81/10)-1)+逐级计算!$Q$81*(CC9-逐级计算!$P$81)*LN(10)/10),0)+LN(1+EXP(-ABS((LN(10^(逐级计算!$Q$81/10)-1)+逐级计算!$Q$81*(CC9-逐级计算!$P$81)*LN(10)/10))))))),"")</f>
        <v>13.0794324351318</v>
      </c>
      <c r="CE9">
        <f>IF(AND(ISNUMBER(CD9),逐级计算!$X$82&gt;-1),IF(逐级计算!$X$82=0,CD9+逐级计算!$C$82,CD9+逐级计算!$C$82-(10/(逐级计算!$Q$82*LN(10))*(MAX((LN(10^(逐级计算!$Q$82/10)-1)+逐级计算!$Q$82*(CD9-逐级计算!$P$82)*LN(10)/10),0)+LN(1+EXP(-ABS((LN(10^(逐级计算!$Q$82/10)-1)+逐级计算!$Q$82*(CD9-逐级计算!$P$82)*LN(10)/10))))))),"")</f>
        <v>13.0794324351318</v>
      </c>
      <c r="CF9">
        <f>IF(AND(ISNUMBER(CE9),逐级计算!$X$83&gt;-1),IF(逐级计算!$X$83=0,CE9+逐级计算!$C$83,CE9+逐级计算!$C$83-(10/(逐级计算!$Q$83*LN(10))*(MAX((LN(10^(逐级计算!$Q$83/10)-1)+逐级计算!$Q$83*(CE9-逐级计算!$P$83)*LN(10)/10),0)+LN(1+EXP(-ABS((LN(10^(逐级计算!$Q$83/10)-1)+逐级计算!$Q$83*(CE9-逐级计算!$P$83)*LN(10)/10))))))),"")</f>
        <v>13.0794324351318</v>
      </c>
      <c r="CG9">
        <f>IF(AND(ISNUMBER(CF9),逐级计算!$X$84&gt;-1),IF(逐级计算!$X$84=0,CF9+逐级计算!$C$84,CF9+逐级计算!$C$84-(10/(逐级计算!$Q$84*LN(10))*(MAX((LN(10^(逐级计算!$Q$84/10)-1)+逐级计算!$Q$84*(CF9-逐级计算!$P$84)*LN(10)/10),0)+LN(1+EXP(-ABS((LN(10^(逐级计算!$Q$84/10)-1)+逐级计算!$Q$84*(CF9-逐级计算!$P$84)*LN(10)/10))))))),"")</f>
        <v>13.0794324351318</v>
      </c>
      <c r="CH9">
        <f>IF(AND(ISNUMBER(CG9),逐级计算!$X$85&gt;-1),IF(逐级计算!$X$85=0,CG9+逐级计算!$C$85,CG9+逐级计算!$C$85-(10/(逐级计算!$Q$85*LN(10))*(MAX((LN(10^(逐级计算!$Q$85/10)-1)+逐级计算!$Q$85*(CG9-逐级计算!$P$85)*LN(10)/10),0)+LN(1+EXP(-ABS((LN(10^(逐级计算!$Q$85/10)-1)+逐级计算!$Q$85*(CG9-逐级计算!$P$85)*LN(10)/10))))))),"")</f>
        <v>13.0794324351318</v>
      </c>
      <c r="CI9">
        <f>IF(AND(ISNUMBER(CH9),逐级计算!$X$86&gt;-1),IF(逐级计算!$X$86=0,CH9+逐级计算!$C$86,CH9+逐级计算!$C$86-(10/(逐级计算!$Q$86*LN(10))*(MAX((LN(10^(逐级计算!$Q$86/10)-1)+逐级计算!$Q$86*(CH9-逐级计算!$P$86)*LN(10)/10),0)+LN(1+EXP(-ABS((LN(10^(逐级计算!$Q$86/10)-1)+逐级计算!$Q$86*(CH9-逐级计算!$P$86)*LN(10)/10))))))),"")</f>
        <v>13.0794324351318</v>
      </c>
      <c r="CJ9">
        <f>IF(AND(ISNUMBER(CI9),逐级计算!$X$87&gt;-1),IF(逐级计算!$X$87=0,CI9+逐级计算!$C$87,CI9+逐级计算!$C$87-(10/(逐级计算!$Q$87*LN(10))*(MAX((LN(10^(逐级计算!$Q$87/10)-1)+逐级计算!$Q$87*(CI9-逐级计算!$P$87)*LN(10)/10),0)+LN(1+EXP(-ABS((LN(10^(逐级计算!$Q$87/10)-1)+逐级计算!$Q$87*(CI9-逐级计算!$P$87)*LN(10)/10))))))),"")</f>
        <v>13.0794324351318</v>
      </c>
      <c r="CK9">
        <f>IF(AND(ISNUMBER(CJ9),逐级计算!$X$88&gt;-1),IF(逐级计算!$X$88=0,CJ9+逐级计算!$C$88,CJ9+逐级计算!$C$88-(10/(逐级计算!$Q$88*LN(10))*(MAX((LN(10^(逐级计算!$Q$88/10)-1)+逐级计算!$Q$88*(CJ9-逐级计算!$P$88)*LN(10)/10),0)+LN(1+EXP(-ABS((LN(10^(逐级计算!$Q$88/10)-1)+逐级计算!$Q$88*(CJ9-逐级计算!$P$88)*LN(10)/10))))))),"")</f>
        <v>13.0794324351318</v>
      </c>
      <c r="CL9">
        <f>IF(AND(ISNUMBER(CK9),逐级计算!$X$89&gt;-1),IF(逐级计算!$X$89=0,CK9+逐级计算!$C$89,CK9+逐级计算!$C$89-(10/(逐级计算!$Q$89*LN(10))*(MAX((LN(10^(逐级计算!$Q$89/10)-1)+逐级计算!$Q$89*(CK9-逐级计算!$P$89)*LN(10)/10),0)+LN(1+EXP(-ABS((LN(10^(逐级计算!$Q$89/10)-1)+逐级计算!$Q$89*(CK9-逐级计算!$P$89)*LN(10)/10))))))),"")</f>
        <v>13.0794324351318</v>
      </c>
      <c r="CM9">
        <f>IF(AND(ISNUMBER(CL9),逐级计算!$X$90&gt;-1),IF(逐级计算!$X$90=0,CL9+逐级计算!$C$90,CL9+逐级计算!$C$90-(10/(逐级计算!$Q$90*LN(10))*(MAX((LN(10^(逐级计算!$Q$90/10)-1)+逐级计算!$Q$90*(CL9-逐级计算!$P$90)*LN(10)/10),0)+LN(1+EXP(-ABS((LN(10^(逐级计算!$Q$90/10)-1)+逐级计算!$Q$90*(CL9-逐级计算!$P$90)*LN(10)/10))))))),"")</f>
        <v>13.0794324351318</v>
      </c>
      <c r="CN9">
        <f>IF(AND(ISNUMBER(CM9),逐级计算!$X$91&gt;-1),IF(逐级计算!$X$91=0,CM9+逐级计算!$C$91,CM9+逐级计算!$C$91-(10/(逐级计算!$Q$91*LN(10))*(MAX((LN(10^(逐级计算!$Q$91/10)-1)+逐级计算!$Q$91*(CM9-逐级计算!$P$91)*LN(10)/10),0)+LN(1+EXP(-ABS((LN(10^(逐级计算!$Q$91/10)-1)+逐级计算!$Q$91*(CM9-逐级计算!$P$91)*LN(10)/10))))))),"")</f>
        <v>13.0794324351318</v>
      </c>
      <c r="CO9">
        <f>IF(AND(ISNUMBER(CN9),逐级计算!$X$92&gt;-1),IF(逐级计算!$X$92=0,CN9+逐级计算!$C$92,CN9+逐级计算!$C$92-(10/(逐级计算!$Q$92*LN(10))*(MAX((LN(10^(逐级计算!$Q$92/10)-1)+逐级计算!$Q$92*(CN9-逐级计算!$P$92)*LN(10)/10),0)+LN(1+EXP(-ABS((LN(10^(逐级计算!$Q$92/10)-1)+逐级计算!$Q$92*(CN9-逐级计算!$P$92)*LN(10)/10))))))),"")</f>
        <v>13.0794324351318</v>
      </c>
      <c r="CP9">
        <f>IF(AND(ISNUMBER(CO9),逐级计算!$X$93&gt;-1),IF(逐级计算!$X$93=0,CO9+逐级计算!$C$93,CO9+逐级计算!$C$93-(10/(逐级计算!$Q$93*LN(10))*(MAX((LN(10^(逐级计算!$Q$93/10)-1)+逐级计算!$Q$93*(CO9-逐级计算!$P$93)*LN(10)/10),0)+LN(1+EXP(-ABS((LN(10^(逐级计算!$Q$93/10)-1)+逐级计算!$Q$93*(CO9-逐级计算!$P$93)*LN(10)/10))))))),"")</f>
        <v>13.0794324351318</v>
      </c>
      <c r="CQ9">
        <f>IF(AND(ISNUMBER(CP9),逐级计算!$X$94&gt;-1),IF(逐级计算!$X$94=0,CP9+逐级计算!$C$94,CP9+逐级计算!$C$94-(10/(逐级计算!$Q$94*LN(10))*(MAX((LN(10^(逐级计算!$Q$94/10)-1)+逐级计算!$Q$94*(CP9-逐级计算!$P$94)*LN(10)/10),0)+LN(1+EXP(-ABS((LN(10^(逐级计算!$Q$94/10)-1)+逐级计算!$Q$94*(CP9-逐级计算!$P$94)*LN(10)/10))))))),"")</f>
        <v>13.0794324351318</v>
      </c>
      <c r="CR9">
        <f>IF(AND(ISNUMBER(CQ9),逐级计算!$X$95&gt;-1),IF(逐级计算!$X$95=0,CQ9+逐级计算!$C$95,CQ9+逐级计算!$C$95-(10/(逐级计算!$Q$95*LN(10))*(MAX((LN(10^(逐级计算!$Q$95/10)-1)+逐级计算!$Q$95*(CQ9-逐级计算!$P$95)*LN(10)/10),0)+LN(1+EXP(-ABS((LN(10^(逐级计算!$Q$95/10)-1)+逐级计算!$Q$95*(CQ9-逐级计算!$P$95)*LN(10)/10))))))),"")</f>
        <v>13.0794324351318</v>
      </c>
      <c r="CS9">
        <f>IF(AND(ISNUMBER(CR9),逐级计算!$X$96&gt;-1),IF(逐级计算!$X$96=0,CR9+逐级计算!$C$96,CR9+逐级计算!$C$96-(10/(逐级计算!$Q$96*LN(10))*(MAX((LN(10^(逐级计算!$Q$96/10)-1)+逐级计算!$Q$96*(CR9-逐级计算!$P$96)*LN(10)/10),0)+LN(1+EXP(-ABS((LN(10^(逐级计算!$Q$96/10)-1)+逐级计算!$Q$96*(CR9-逐级计算!$P$96)*LN(10)/10))))))),"")</f>
        <v>13.0794324351318</v>
      </c>
      <c r="CT9">
        <f>IF(AND(ISNUMBER(CS9),逐级计算!$X$97&gt;-1),IF(逐级计算!$X$97=0,CS9+逐级计算!$C$97,CS9+逐级计算!$C$97-(10/(逐级计算!$Q$97*LN(10))*(MAX((LN(10^(逐级计算!$Q$97/10)-1)+逐级计算!$Q$97*(CS9-逐级计算!$P$97)*LN(10)/10),0)+LN(1+EXP(-ABS((LN(10^(逐级计算!$Q$97/10)-1)+逐级计算!$Q$97*(CS9-逐级计算!$P$97)*LN(10)/10))))))),"")</f>
        <v>13.0794324351318</v>
      </c>
      <c r="CU9">
        <f>IF(AND(ISNUMBER(CT9),逐级计算!$X$98&gt;-1),IF(逐级计算!$X$98=0,CT9+逐级计算!$C$98,CT9+逐级计算!$C$98-(10/(逐级计算!$Q$98*LN(10))*(MAX((LN(10^(逐级计算!$Q$98/10)-1)+逐级计算!$Q$98*(CT9-逐级计算!$P$98)*LN(10)/10),0)+LN(1+EXP(-ABS((LN(10^(逐级计算!$Q$98/10)-1)+逐级计算!$Q$98*(CT9-逐级计算!$P$98)*LN(10)/10))))))),"")</f>
        <v>13.0794324351318</v>
      </c>
      <c r="CV9">
        <f>IF(AND(ISNUMBER(CU9),逐级计算!$X$99&gt;-1),IF(逐级计算!$X$99=0,CU9+逐级计算!$C$99,CU9+逐级计算!$C$99-(10/(逐级计算!$Q$99*LN(10))*(MAX((LN(10^(逐级计算!$Q$99/10)-1)+逐级计算!$Q$99*(CU9-逐级计算!$P$99)*LN(10)/10),0)+LN(1+EXP(-ABS((LN(10^(逐级计算!$Q$99/10)-1)+逐级计算!$Q$99*(CU9-逐级计算!$P$99)*LN(10)/10))))))),"")</f>
        <v>13.0794324351318</v>
      </c>
      <c r="CW9">
        <f>IF(AND(ISNUMBER(CV9),逐级计算!$X$100&gt;-1),IF(逐级计算!$X$100=0,CV9+逐级计算!$C$100,CV9+逐级计算!$C$100-(10/(逐级计算!$Q$100*LN(10))*(MAX((LN(10^(逐级计算!$Q$100/10)-1)+逐级计算!$Q$100*(CV9-逐级计算!$P$100)*LN(10)/10),0)+LN(1+EXP(-ABS((LN(10^(逐级计算!$Q$100/10)-1)+逐级计算!$Q$100*(CV9-逐级计算!$P$100)*LN(10)/10))))))),"")</f>
        <v>13.0794324351318</v>
      </c>
      <c r="CX9">
        <f>IF(AND(ISNUMBER(CW9),逐级计算!$X$101&gt;-1),IF(逐级计算!$X$101=0,CW9+逐级计算!$C$101,CW9+逐级计算!$C$101-(10/(逐级计算!$Q$101*LN(10))*(MAX((LN(10^(逐级计算!$Q$101/10)-1)+逐级计算!$Q$101*(CW9-逐级计算!$P$101)*LN(10)/10),0)+LN(1+EXP(-ABS((LN(10^(逐级计算!$Q$101/10)-1)+逐级计算!$Q$101*(CW9-逐级计算!$P$101)*LN(10)/10))))))),"")</f>
        <v>13.0794324351318</v>
      </c>
      <c r="CY9">
        <f>IF(AND(ISNUMBER(CX9),逐级计算!$X$102&gt;-1),IF(逐级计算!$X$102=0,CX9+逐级计算!$C$102,CX9+逐级计算!$C$102-(10/(逐级计算!$Q$102*LN(10))*(MAX((LN(10^(逐级计算!$Q$102/10)-1)+逐级计算!$Q$102*(CX9-逐级计算!$P$102)*LN(10)/10),0)+LN(1+EXP(-ABS((LN(10^(逐级计算!$Q$102/10)-1)+逐级计算!$Q$102*(CX9-逐级计算!$P$102)*LN(10)/10))))))),"")</f>
        <v>13.0794324351318</v>
      </c>
      <c r="CZ9">
        <f>IF(AND(ISNUMBER(CY9),逐级计算!$X$103&gt;-1),IF(逐级计算!$X$103=0,CY9+逐级计算!$C$103,CY9+逐级计算!$C$103-(10/(逐级计算!$Q$103*LN(10))*(MAX((LN(10^(逐级计算!$Q$103/10)-1)+逐级计算!$Q$103*(CY9-逐级计算!$P$103)*LN(10)/10),0)+LN(1+EXP(-ABS((LN(10^(逐级计算!$Q$103/10)-1)+逐级计算!$Q$103*(CY9-逐级计算!$P$103)*LN(10)/10))))))),"")</f>
        <v>13.0794324351318</v>
      </c>
      <c r="DA9">
        <f>IF(AND(ISNUMBER(CZ9),逐级计算!$X$104&gt;-1),IF(逐级计算!$X$104=0,CZ9+逐级计算!$C$104,CZ9+逐级计算!$C$104-(10/(逐级计算!$Q$104*LN(10))*(MAX((LN(10^(逐级计算!$Q$104/10)-1)+逐级计算!$Q$104*(CZ9-逐级计算!$P$104)*LN(10)/10),0)+LN(1+EXP(-ABS((LN(10^(逐级计算!$Q$104/10)-1)+逐级计算!$Q$104*(CZ9-逐级计算!$P$104)*LN(10)/10))))))),"")</f>
        <v>13.0794324351318</v>
      </c>
      <c r="DB9">
        <f>IF(AND(ISNUMBER(DA9),逐级计算!$X$105&gt;-1),IF(逐级计算!$X$105=0,DA9+逐级计算!$C$105,DA9+逐级计算!$C$105-(10/(逐级计算!$Q$105*LN(10))*(MAX((LN(10^(逐级计算!$Q$105/10)-1)+逐级计算!$Q$105*(DA9-逐级计算!$P$105)*LN(10)/10),0)+LN(1+EXP(-ABS((LN(10^(逐级计算!$Q$105/10)-1)+逐级计算!$Q$105*(DA9-逐级计算!$P$105)*LN(10)/10))))))),"")</f>
        <v>13.0794324351318</v>
      </c>
      <c r="DC9">
        <f>IF(AND(ISNUMBER(DB9),逐级计算!$X$106&gt;-1),IF(逐级计算!$X$106=0,DB9+逐级计算!$C$106,DB9+逐级计算!$C$106-(10/(逐级计算!$Q$106*LN(10))*(MAX((LN(10^(逐级计算!$Q$106/10)-1)+逐级计算!$Q$106*(DB9-逐级计算!$P$106)*LN(10)/10),0)+LN(1+EXP(-ABS((LN(10^(逐级计算!$Q$106/10)-1)+逐级计算!$Q$106*(DB9-逐级计算!$P$106)*LN(10)/10))))))),"")</f>
        <v>13.0794324351318</v>
      </c>
      <c r="DD9">
        <f>IF(AND(ISNUMBER(DC9),逐级计算!$X$107&gt;-1),IF(逐级计算!$X$107=0,DC9+逐级计算!$C$107,DC9+逐级计算!$C$107-(10/(逐级计算!$Q$107*LN(10))*(MAX((LN(10^(逐级计算!$Q$107/10)-1)+逐级计算!$Q$107*(DC9-逐级计算!$P$107)*LN(10)/10),0)+LN(1+EXP(-ABS((LN(10^(逐级计算!$Q$107/10)-1)+逐级计算!$Q$107*(DC9-逐级计算!$P$107)*LN(10)/10))))))),"")</f>
        <v>13.0794324351318</v>
      </c>
      <c r="DE9">
        <f>IF(AND(ISNUMBER(DD9),逐级计算!$X$108&gt;-1),IF(逐级计算!$X$108=0,DD9+逐级计算!$C$108,DD9+逐级计算!$C$108-(10/(逐级计算!$Q$108*LN(10))*(MAX((LN(10^(逐级计算!$Q$108/10)-1)+逐级计算!$Q$108*(DD9-逐级计算!$P$108)*LN(10)/10),0)+LN(1+EXP(-ABS((LN(10^(逐级计算!$Q$108/10)-1)+逐级计算!$Q$108*(DD9-逐级计算!$P$108)*LN(10)/10))))))),"")</f>
        <v>13.0794324351318</v>
      </c>
      <c r="DF9">
        <f>IF(AND(ISNUMBER(DE9),逐级计算!$X$109&gt;-1),IF(逐级计算!$X$109=0,DE9+逐级计算!$C$109,DE9+逐级计算!$C$109-(10/(逐级计算!$Q$109*LN(10))*(MAX((LN(10^(逐级计算!$Q$109/10)-1)+逐级计算!$Q$109*(DE9-逐级计算!$P$109)*LN(10)/10),0)+LN(1+EXP(-ABS((LN(10^(逐级计算!$Q$109/10)-1)+逐级计算!$Q$109*(DE9-逐级计算!$P$109)*LN(10)/10))))))),"")</f>
        <v>13.0794324351318</v>
      </c>
      <c r="DG9">
        <f>IF(AND(ISNUMBER(DF9),逐级计算!$X$110&gt;-1),IF(逐级计算!$X$110=0,DF9+逐级计算!$C$110,DF9+逐级计算!$C$110-(10/(逐级计算!$Q$110*LN(10))*(MAX((LN(10^(逐级计算!$Q$110/10)-1)+逐级计算!$Q$110*(DF9-逐级计算!$P$110)*LN(10)/10),0)+LN(1+EXP(-ABS((LN(10^(逐级计算!$Q$110/10)-1)+逐级计算!$Q$110*(DF9-逐级计算!$P$110)*LN(10)/10))))))),"")</f>
        <v>13.0794324351318</v>
      </c>
      <c r="DH9">
        <f>IF(AND(ISNUMBER(DG9),逐级计算!$X$111&gt;-1),IF(逐级计算!$X$111=0,DG9+逐级计算!$C$111,DG9+逐级计算!$C$111-(10/(逐级计算!$Q$111*LN(10))*(MAX((LN(10^(逐级计算!$Q$111/10)-1)+逐级计算!$Q$111*(DG9-逐级计算!$P$111)*LN(10)/10),0)+LN(1+EXP(-ABS((LN(10^(逐级计算!$Q$111/10)-1)+逐级计算!$Q$111*(DG9-逐级计算!$P$111)*LN(10)/10))))))),"")</f>
        <v>13.0794324351318</v>
      </c>
      <c r="DI9">
        <f>IF(AND(ISNUMBER(DH9),逐级计算!$X$112&gt;-1),IF(逐级计算!$X$112=0,DH9+逐级计算!$C$112,DH9+逐级计算!$C$112-(10/(逐级计算!$Q$112*LN(10))*(MAX((LN(10^(逐级计算!$Q$112/10)-1)+逐级计算!$Q$112*(DH9-逐级计算!$P$112)*LN(10)/10),0)+LN(1+EXP(-ABS((LN(10^(逐级计算!$Q$112/10)-1)+逐级计算!$Q$112*(DH9-逐级计算!$P$112)*LN(10)/10))))))),"")</f>
        <v>13.0794324351318</v>
      </c>
      <c r="DJ9">
        <f>IF(AND(ISNUMBER(DI9),逐级计算!$X$113&gt;-1),IF(逐级计算!$X$113=0,DI9+逐级计算!$C$113,DI9+逐级计算!$C$113-(10/(逐级计算!$Q$113*LN(10))*(MAX((LN(10^(逐级计算!$Q$113/10)-1)+逐级计算!$Q$113*(DI9-逐级计算!$P$113)*LN(10)/10),0)+LN(1+EXP(-ABS((LN(10^(逐级计算!$Q$113/10)-1)+逐级计算!$Q$113*(DI9-逐级计算!$P$113)*LN(10)/10))))))),"")</f>
        <v>13.0794324351318</v>
      </c>
      <c r="DK9">
        <f>IF(AND(ISNUMBER(DJ9),逐级计算!$X$114&gt;-1),IF(逐级计算!$X$114=0,DJ9+逐级计算!$C$114,DJ9+逐级计算!$C$114-(10/(逐级计算!$Q$114*LN(10))*(MAX((LN(10^(逐级计算!$Q$114/10)-1)+逐级计算!$Q$114*(DJ9-逐级计算!$P$114)*LN(10)/10),0)+LN(1+EXP(-ABS((LN(10^(逐级计算!$Q$114/10)-1)+逐级计算!$Q$114*(DJ9-逐级计算!$P$114)*LN(10)/10))))))),"")</f>
        <v>13.0794324351318</v>
      </c>
      <c r="DL9">
        <f>IF(AND(ISNUMBER(DK9),逐级计算!$X$115&gt;-1),IF(逐级计算!$X$115=0,DK9+逐级计算!$C$115,DK9+逐级计算!$C$115-(10/(逐级计算!$Q$115*LN(10))*(MAX((LN(10^(逐级计算!$Q$115/10)-1)+逐级计算!$Q$115*(DK9-逐级计算!$P$115)*LN(10)/10),0)+LN(1+EXP(-ABS((LN(10^(逐级计算!$Q$115/10)-1)+逐级计算!$Q$115*(DK9-逐级计算!$P$115)*LN(10)/10))))))),"")</f>
        <v>13.0794324351318</v>
      </c>
      <c r="DM9">
        <f>IF(AND(ISNUMBER(DL9),逐级计算!$X$116&gt;-1),IF(逐级计算!$X$116=0,DL9+逐级计算!$C$116,DL9+逐级计算!$C$116-(10/(逐级计算!$Q$116*LN(10))*(MAX((LN(10^(逐级计算!$Q$116/10)-1)+逐级计算!$Q$116*(DL9-逐级计算!$P$116)*LN(10)/10),0)+LN(1+EXP(-ABS((LN(10^(逐级计算!$Q$116/10)-1)+逐级计算!$Q$116*(DL9-逐级计算!$P$116)*LN(10)/10))))))),"")</f>
        <v>13.0794324351318</v>
      </c>
      <c r="DN9">
        <f>IF(AND(ISNUMBER(DM9),逐级计算!$X$117&gt;-1),IF(逐级计算!$X$117=0,DM9+逐级计算!$C$117,DM9+逐级计算!$C$117-(10/(逐级计算!$Q$117*LN(10))*(MAX((LN(10^(逐级计算!$Q$117/10)-1)+逐级计算!$Q$117*(DM9-逐级计算!$P$117)*LN(10)/10),0)+LN(1+EXP(-ABS((LN(10^(逐级计算!$Q$117/10)-1)+逐级计算!$Q$117*(DM9-逐级计算!$P$117)*LN(10)/10))))))),"")</f>
        <v>13.0794324351318</v>
      </c>
      <c r="DO9">
        <f>IF(AND(ISNUMBER(DN9),逐级计算!$X$118&gt;-1),IF(逐级计算!$X$118=0,DN9+逐级计算!$C$118,DN9+逐级计算!$C$118-(10/(逐级计算!$Q$118*LN(10))*(MAX((LN(10^(逐级计算!$Q$118/10)-1)+逐级计算!$Q$118*(DN9-逐级计算!$P$118)*LN(10)/10),0)+LN(1+EXP(-ABS((LN(10^(逐级计算!$Q$118/10)-1)+逐级计算!$Q$118*(DN9-逐级计算!$P$118)*LN(10)/10))))))),"")</f>
        <v>13.0794324351318</v>
      </c>
      <c r="DP9">
        <f>IF(AND(ISNUMBER(DO9),逐级计算!$X$119&gt;-1),IF(逐级计算!$X$119=0,DO9+逐级计算!$C$119,DO9+逐级计算!$C$119-(10/(逐级计算!$Q$119*LN(10))*(MAX((LN(10^(逐级计算!$Q$119/10)-1)+逐级计算!$Q$119*(DO9-逐级计算!$P$119)*LN(10)/10),0)+LN(1+EXP(-ABS((LN(10^(逐级计算!$Q$119/10)-1)+逐级计算!$Q$119*(DO9-逐级计算!$P$119)*LN(10)/10))))))),"")</f>
        <v>13.0794324351318</v>
      </c>
      <c r="DQ9">
        <f>IF(AND(ISNUMBER(DP9),逐级计算!$X$120&gt;-1),IF(逐级计算!$X$120=0,DP9+逐级计算!$C$120,DP9+逐级计算!$C$120-(10/(逐级计算!$Q$120*LN(10))*(MAX((LN(10^(逐级计算!$Q$120/10)-1)+逐级计算!$Q$120*(DP9-逐级计算!$P$120)*LN(10)/10),0)+LN(1+EXP(-ABS((LN(10^(逐级计算!$Q$120/10)-1)+逐级计算!$Q$120*(DP9-逐级计算!$P$120)*LN(10)/10))))))),"")</f>
        <v>13.0794324351318</v>
      </c>
      <c r="DR9">
        <f>IF(AND(ISNUMBER(DQ9),逐级计算!$X$121&gt;-1),IF(逐级计算!$X$121=0,DQ9+逐级计算!$C$121,DQ9+逐级计算!$C$121-(10/(逐级计算!$Q$121*LN(10))*(MAX((LN(10^(逐级计算!$Q$121/10)-1)+逐级计算!$Q$121*(DQ9-逐级计算!$P$121)*LN(10)/10),0)+LN(1+EXP(-ABS((LN(10^(逐级计算!$Q$121/10)-1)+逐级计算!$Q$121*(DQ9-逐级计算!$P$121)*LN(10)/10))))))),"")</f>
        <v>13.0794324351318</v>
      </c>
      <c r="DS9">
        <f>IF(AND(ISNUMBER(DR9),逐级计算!$X$122&gt;-1),IF(逐级计算!$X$122=0,DR9+逐级计算!$C$122,DR9+逐级计算!$C$122-(10/(逐级计算!$Q$122*LN(10))*(MAX((LN(10^(逐级计算!$Q$122/10)-1)+逐级计算!$Q$122*(DR9-逐级计算!$P$122)*LN(10)/10),0)+LN(1+EXP(-ABS((LN(10^(逐级计算!$Q$122/10)-1)+逐级计算!$Q$122*(DR9-逐级计算!$P$122)*LN(10)/10))))))),"")</f>
        <v>13.0794324351318</v>
      </c>
      <c r="DT9">
        <f>IF(AND(ISNUMBER(DS9),逐级计算!$X$123&gt;-1),IF(逐级计算!$X$123=0,DS9+逐级计算!$C$123,DS9+逐级计算!$C$123-(10/(逐级计算!$Q$123*LN(10))*(MAX((LN(10^(逐级计算!$Q$123/10)-1)+逐级计算!$Q$123*(DS9-逐级计算!$P$123)*LN(10)/10),0)+LN(1+EXP(-ABS((LN(10^(逐级计算!$Q$123/10)-1)+逐级计算!$Q$123*(DS9-逐级计算!$P$123)*LN(10)/10))))))),"")</f>
        <v>13.0794324351318</v>
      </c>
      <c r="DU9">
        <f>IF(AND(ISNUMBER(DT9),逐级计算!$X$124&gt;-1),IF(逐级计算!$X$124=0,DT9+逐级计算!$C$124,DT9+逐级计算!$C$124-(10/(逐级计算!$Q$124*LN(10))*(MAX((LN(10^(逐级计算!$Q$124/10)-1)+逐级计算!$Q$124*(DT9-逐级计算!$P$124)*LN(10)/10),0)+LN(1+EXP(-ABS((LN(10^(逐级计算!$Q$124/10)-1)+逐级计算!$Q$124*(DT9-逐级计算!$P$124)*LN(10)/10))))))),"")</f>
        <v>13.0794324351318</v>
      </c>
      <c r="DV9">
        <f>IF(AND(ISNUMBER(DU9),逐级计算!$X$125&gt;-1),IF(逐级计算!$X$125=0,DU9+逐级计算!$C$125,DU9+逐级计算!$C$125-(10/(逐级计算!$Q$125*LN(10))*(MAX((LN(10^(逐级计算!$Q$125/10)-1)+逐级计算!$Q$125*(DU9-逐级计算!$P$125)*LN(10)/10),0)+LN(1+EXP(-ABS((LN(10^(逐级计算!$Q$125/10)-1)+逐级计算!$Q$125*(DU9-逐级计算!$P$125)*LN(10)/10))))))),"")</f>
        <v>13.0794324351318</v>
      </c>
      <c r="DW9">
        <f>IF(AND(ISNUMBER(DV9),逐级计算!$X$126&gt;-1),IF(逐级计算!$X$126=0,DV9+逐级计算!$C$126,DV9+逐级计算!$C$126-(10/(逐级计算!$Q$126*LN(10))*(MAX((LN(10^(逐级计算!$Q$126/10)-1)+逐级计算!$Q$126*(DV9-逐级计算!$P$126)*LN(10)/10),0)+LN(1+EXP(-ABS((LN(10^(逐级计算!$Q$126/10)-1)+逐级计算!$Q$126*(DV9-逐级计算!$P$126)*LN(10)/10))))))),"")</f>
        <v>13.0794324351318</v>
      </c>
      <c r="DX9">
        <f>IF(AND(ISNUMBER(DW9),逐级计算!$X$127&gt;-1),IF(逐级计算!$X$127=0,DW9+逐级计算!$C$127,DW9+逐级计算!$C$127-(10/(逐级计算!$Q$127*LN(10))*(MAX((LN(10^(逐级计算!$Q$127/10)-1)+逐级计算!$Q$127*(DW9-逐级计算!$P$127)*LN(10)/10),0)+LN(1+EXP(-ABS((LN(10^(逐级计算!$Q$127/10)-1)+逐级计算!$Q$127*(DW9-逐级计算!$P$127)*LN(10)/10))))))),"")</f>
        <v>13.0794324351318</v>
      </c>
      <c r="DY9">
        <f>IF(AND(ISNUMBER(DX9),逐级计算!$X$128&gt;-1),IF(逐级计算!$X$128=0,DX9+逐级计算!$C$128,DX9+逐级计算!$C$128-(10/(逐级计算!$Q$128*LN(10))*(MAX((LN(10^(逐级计算!$Q$128/10)-1)+逐级计算!$Q$128*(DX9-逐级计算!$P$128)*LN(10)/10),0)+LN(1+EXP(-ABS((LN(10^(逐级计算!$Q$128/10)-1)+逐级计算!$Q$128*(DX9-逐级计算!$P$128)*LN(10)/10))))))),"")</f>
        <v>13.0794324351318</v>
      </c>
      <c r="DZ9">
        <f>IF(AND(ISNUMBER(DY9),逐级计算!$X$129&gt;-1),IF(逐级计算!$X$129=0,DY9+逐级计算!$C$129,DY9+逐级计算!$C$129-(10/(逐级计算!$Q$129*LN(10))*(MAX((LN(10^(逐级计算!$Q$129/10)-1)+逐级计算!$Q$129*(DY9-逐级计算!$P$129)*LN(10)/10),0)+LN(1+EXP(-ABS((LN(10^(逐级计算!$Q$129/10)-1)+逐级计算!$Q$129*(DY9-逐级计算!$P$129)*LN(10)/10))))))),"")</f>
        <v>13.0794324351318</v>
      </c>
      <c r="EA9">
        <f>IF(AND(ISNUMBER(DZ9),逐级计算!$X$130&gt;-1),IF(逐级计算!$X$130=0,DZ9+逐级计算!$C$130,DZ9+逐级计算!$C$130-(10/(逐级计算!$Q$130*LN(10))*(MAX((LN(10^(逐级计算!$Q$130/10)-1)+逐级计算!$Q$130*(DZ9-逐级计算!$P$130)*LN(10)/10),0)+LN(1+EXP(-ABS((LN(10^(逐级计算!$Q$130/10)-1)+逐级计算!$Q$130*(DZ9-逐级计算!$P$130)*LN(10)/10))))))),"")</f>
        <v>13.0794324351318</v>
      </c>
      <c r="EB9">
        <f>IF(AND(ISNUMBER(EA9),逐级计算!$X$131&gt;-1),IF(逐级计算!$X$131=0,EA9+逐级计算!$C$131,EA9+逐级计算!$C$131-(10/(逐级计算!$Q$131*LN(10))*(MAX((LN(10^(逐级计算!$Q$131/10)-1)+逐级计算!$Q$131*(EA9-逐级计算!$P$131)*LN(10)/10),0)+LN(1+EXP(-ABS((LN(10^(逐级计算!$Q$131/10)-1)+逐级计算!$Q$131*(EA9-逐级计算!$P$131)*LN(10)/10))))))),"")</f>
        <v>13.0794324351318</v>
      </c>
      <c r="EC9">
        <f>IF(AND(ISNUMBER(EB9),逐级计算!$X$132&gt;-1),IF(逐级计算!$X$132=0,EB9+逐级计算!$C$132,EB9+逐级计算!$C$132-(10/(逐级计算!$Q$132*LN(10))*(MAX((LN(10^(逐级计算!$Q$132/10)-1)+逐级计算!$Q$132*(EB9-逐级计算!$P$132)*LN(10)/10),0)+LN(1+EXP(-ABS((LN(10^(逐级计算!$Q$132/10)-1)+逐级计算!$Q$132*(EB9-逐级计算!$P$132)*LN(10)/10))))))),"")</f>
        <v>13.0794324351318</v>
      </c>
      <c r="ED9">
        <f>IF(AND(ISNUMBER(EC9),逐级计算!$X$133&gt;-1),IF(逐级计算!$X$133=0,EC9+逐级计算!$C$133,EC9+逐级计算!$C$133-(10/(逐级计算!$Q$133*LN(10))*(MAX((LN(10^(逐级计算!$Q$133/10)-1)+逐级计算!$Q$133*(EC9-逐级计算!$P$133)*LN(10)/10),0)+LN(1+EXP(-ABS((LN(10^(逐级计算!$Q$133/10)-1)+逐级计算!$Q$133*(EC9-逐级计算!$P$133)*LN(10)/10))))))),"")</f>
        <v>13.0794324351318</v>
      </c>
      <c r="EE9">
        <f>IF(AND(ISNUMBER(ED9),逐级计算!$X$134&gt;-1),IF(逐级计算!$X$134=0,ED9+逐级计算!$C$134,ED9+逐级计算!$C$134-(10/(逐级计算!$Q$134*LN(10))*(MAX((LN(10^(逐级计算!$Q$134/10)-1)+逐级计算!$Q$134*(ED9-逐级计算!$P$134)*LN(10)/10),0)+LN(1+EXP(-ABS((LN(10^(逐级计算!$Q$134/10)-1)+逐级计算!$Q$134*(ED9-逐级计算!$P$134)*LN(10)/10))))))),"")</f>
        <v>13.0794324351318</v>
      </c>
      <c r="EF9">
        <f>IF(AND(ISNUMBER(EE9),逐级计算!$X$135&gt;-1),IF(逐级计算!$X$135=0,EE9+逐级计算!$C$135,EE9+逐级计算!$C$135-(10/(逐级计算!$Q$135*LN(10))*(MAX((LN(10^(逐级计算!$Q$135/10)-1)+逐级计算!$Q$135*(EE9-逐级计算!$P$135)*LN(10)/10),0)+LN(1+EXP(-ABS((LN(10^(逐级计算!$Q$135/10)-1)+逐级计算!$Q$135*(EE9-逐级计算!$P$135)*LN(10)/10))))))),"")</f>
        <v>13.0794324351318</v>
      </c>
      <c r="EG9">
        <f>IF(AND(ISNUMBER(EF9),逐级计算!$X$136&gt;-1),IF(逐级计算!$X$136=0,EF9+逐级计算!$C$136,EF9+逐级计算!$C$136-(10/(逐级计算!$Q$136*LN(10))*(MAX((LN(10^(逐级计算!$Q$136/10)-1)+逐级计算!$Q$136*(EF9-逐级计算!$P$136)*LN(10)/10),0)+LN(1+EXP(-ABS((LN(10^(逐级计算!$Q$136/10)-1)+逐级计算!$Q$136*(EF9-逐级计算!$P$136)*LN(10)/10))))))),"")</f>
        <v>13.0794324351318</v>
      </c>
      <c r="EH9">
        <f>IF(AND(ISNUMBER(EG9),逐级计算!$X$137&gt;-1),IF(逐级计算!$X$137=0,EG9+逐级计算!$C$137,EG9+逐级计算!$C$137-(10/(逐级计算!$Q$137*LN(10))*(MAX((LN(10^(逐级计算!$Q$137/10)-1)+逐级计算!$Q$137*(EG9-逐级计算!$P$137)*LN(10)/10),0)+LN(1+EXP(-ABS((LN(10^(逐级计算!$Q$137/10)-1)+逐级计算!$Q$137*(EG9-逐级计算!$P$137)*LN(10)/10))))))),"")</f>
        <v>13.0794324351318</v>
      </c>
      <c r="EI9">
        <f>IF(AND(ISNUMBER(EH9),逐级计算!$X$138&gt;-1),IF(逐级计算!$X$138=0,EH9+逐级计算!$C$138,EH9+逐级计算!$C$138-(10/(逐级计算!$Q$138*LN(10))*(MAX((LN(10^(逐级计算!$Q$138/10)-1)+逐级计算!$Q$138*(EH9-逐级计算!$P$138)*LN(10)/10),0)+LN(1+EXP(-ABS((LN(10^(逐级计算!$Q$138/10)-1)+逐级计算!$Q$138*(EH9-逐级计算!$P$138)*LN(10)/10))))))),"")</f>
        <v>13.0794324351318</v>
      </c>
      <c r="EJ9">
        <f>IF(AND(ISNUMBER(EI9),逐级计算!$X$139&gt;-1),IF(逐级计算!$X$139=0,EI9+逐级计算!$C$139,EI9+逐级计算!$C$139-(10/(逐级计算!$Q$139*LN(10))*(MAX((LN(10^(逐级计算!$Q$139/10)-1)+逐级计算!$Q$139*(EI9-逐级计算!$P$139)*LN(10)/10),0)+LN(1+EXP(-ABS((LN(10^(逐级计算!$Q$139/10)-1)+逐级计算!$Q$139*(EI9-逐级计算!$P$139)*LN(10)/10))))))),"")</f>
        <v>13.0794324351318</v>
      </c>
      <c r="EK9">
        <f>IF(AND(ISNUMBER(EJ9),逐级计算!$X$140&gt;-1),IF(逐级计算!$X$140=0,EJ9+逐级计算!$C$140,EJ9+逐级计算!$C$140-(10/(逐级计算!$Q$140*LN(10))*(MAX((LN(10^(逐级计算!$Q$140/10)-1)+逐级计算!$Q$140*(EJ9-逐级计算!$P$140)*LN(10)/10),0)+LN(1+EXP(-ABS((LN(10^(逐级计算!$Q$140/10)-1)+逐级计算!$Q$140*(EJ9-逐级计算!$P$140)*LN(10)/10))))))),"")</f>
        <v>13.0794324351318</v>
      </c>
      <c r="EL9">
        <f>IF(AND(ISNUMBER(EK9),逐级计算!$X$141&gt;-1),IF(逐级计算!$X$141=0,EK9+逐级计算!$C$141,EK9+逐级计算!$C$141-(10/(逐级计算!$Q$141*LN(10))*(MAX((LN(10^(逐级计算!$Q$141/10)-1)+逐级计算!$Q$141*(EK9-逐级计算!$P$141)*LN(10)/10),0)+LN(1+EXP(-ABS((LN(10^(逐级计算!$Q$141/10)-1)+逐级计算!$Q$141*(EK9-逐级计算!$P$141)*LN(10)/10))))))),"")</f>
        <v>13.0794324351318</v>
      </c>
      <c r="EM9">
        <f>IF(AND(ISNUMBER(EL9),逐级计算!$X$142&gt;-1),IF(逐级计算!$X$142=0,EL9+逐级计算!$C$142,EL9+逐级计算!$C$142-(10/(逐级计算!$Q$142*LN(10))*(MAX((LN(10^(逐级计算!$Q$142/10)-1)+逐级计算!$Q$142*(EL9-逐级计算!$P$142)*LN(10)/10),0)+LN(1+EXP(-ABS((LN(10^(逐级计算!$Q$142/10)-1)+逐级计算!$Q$142*(EL9-逐级计算!$P$142)*LN(10)/10))))))),"")</f>
        <v>13.0794324351318</v>
      </c>
      <c r="EN9">
        <f>IF(AND(ISNUMBER(EM9),逐级计算!$X$143&gt;-1),IF(逐级计算!$X$143=0,EM9+逐级计算!$C$143,EM9+逐级计算!$C$143-(10/(逐级计算!$Q$143*LN(10))*(MAX((LN(10^(逐级计算!$Q$143/10)-1)+逐级计算!$Q$143*(EM9-逐级计算!$P$143)*LN(10)/10),0)+LN(1+EXP(-ABS((LN(10^(逐级计算!$Q$143/10)-1)+逐级计算!$Q$143*(EM9-逐级计算!$P$143)*LN(10)/10))))))),"")</f>
        <v>13.0794324351318</v>
      </c>
      <c r="EO9">
        <f>IF(AND(ISNUMBER(EN9),逐级计算!$X$144&gt;-1),IF(逐级计算!$X$144=0,EN9+逐级计算!$C$144,EN9+逐级计算!$C$144-(10/(逐级计算!$Q$144*LN(10))*(MAX((LN(10^(逐级计算!$Q$144/10)-1)+逐级计算!$Q$144*(EN9-逐级计算!$P$144)*LN(10)/10),0)+LN(1+EXP(-ABS((LN(10^(逐级计算!$Q$144/10)-1)+逐级计算!$Q$144*(EN9-逐级计算!$P$144)*LN(10)/10))))))),"")</f>
        <v>13.0794324351318</v>
      </c>
      <c r="EP9">
        <f>IF(AND(ISNUMBER(EO9),逐级计算!$X$145&gt;-1),IF(逐级计算!$X$145=0,EO9+逐级计算!$C$145,EO9+逐级计算!$C$145-(10/(逐级计算!$Q$145*LN(10))*(MAX((LN(10^(逐级计算!$Q$145/10)-1)+逐级计算!$Q$145*(EO9-逐级计算!$P$145)*LN(10)/10),0)+LN(1+EXP(-ABS((LN(10^(逐级计算!$Q$145/10)-1)+逐级计算!$Q$145*(EO9-逐级计算!$P$145)*LN(10)/10))))))),"")</f>
        <v>13.0794324351318</v>
      </c>
      <c r="EQ9">
        <f>IF(AND(ISNUMBER(EP9),逐级计算!$X$146&gt;-1),IF(逐级计算!$X$146=0,EP9+逐级计算!$C$146,EP9+逐级计算!$C$146-(10/(逐级计算!$Q$146*LN(10))*(MAX((LN(10^(逐级计算!$Q$146/10)-1)+逐级计算!$Q$146*(EP9-逐级计算!$P$146)*LN(10)/10),0)+LN(1+EXP(-ABS((LN(10^(逐级计算!$Q$146/10)-1)+逐级计算!$Q$146*(EP9-逐级计算!$P$146)*LN(10)/10))))))),"")</f>
        <v>13.0794324351318</v>
      </c>
      <c r="ER9">
        <f>IF(AND(ISNUMBER(EQ9),逐级计算!$X$147&gt;-1),IF(逐级计算!$X$147=0,EQ9+逐级计算!$C$147,EQ9+逐级计算!$C$147-(10/(逐级计算!$Q$147*LN(10))*(MAX((LN(10^(逐级计算!$Q$147/10)-1)+逐级计算!$Q$147*(EQ9-逐级计算!$P$147)*LN(10)/10),0)+LN(1+EXP(-ABS((LN(10^(逐级计算!$Q$147/10)-1)+逐级计算!$Q$147*(EQ9-逐级计算!$P$147)*LN(10)/10))))))),"")</f>
        <v>13.0794324351318</v>
      </c>
      <c r="ES9">
        <f>IF(AND(ISNUMBER(ER9),逐级计算!$X$148&gt;-1),IF(逐级计算!$X$148=0,ER9+逐级计算!$C$148,ER9+逐级计算!$C$148-(10/(逐级计算!$Q$148*LN(10))*(MAX((LN(10^(逐级计算!$Q$148/10)-1)+逐级计算!$Q$148*(ER9-逐级计算!$P$148)*LN(10)/10),0)+LN(1+EXP(-ABS((LN(10^(逐级计算!$Q$148/10)-1)+逐级计算!$Q$148*(ER9-逐级计算!$P$148)*LN(10)/10))))))),"")</f>
        <v>13.0794324351318</v>
      </c>
      <c r="ET9">
        <f>IF(AND(ISNUMBER(ES9),逐级计算!$X$149&gt;-1),IF(逐级计算!$X$149=0,ES9+逐级计算!$C$149,ES9+逐级计算!$C$149-(10/(逐级计算!$Q$149*LN(10))*(MAX((LN(10^(逐级计算!$Q$149/10)-1)+逐级计算!$Q$149*(ES9-逐级计算!$P$149)*LN(10)/10),0)+LN(1+EXP(-ABS((LN(10^(逐级计算!$Q$149/10)-1)+逐级计算!$Q$149*(ES9-逐级计算!$P$149)*LN(10)/10))))))),"")</f>
        <v>13.0794324351318</v>
      </c>
      <c r="EU9">
        <f>IF(AND(ISNUMBER(ET9),逐级计算!$X$150&gt;-1),IF(逐级计算!$X$150=0,ET9+逐级计算!$C$150,ET9+逐级计算!$C$150-(10/(逐级计算!$Q$150*LN(10))*(MAX((LN(10^(逐级计算!$Q$150/10)-1)+逐级计算!$Q$150*(ET9-逐级计算!$P$150)*LN(10)/10),0)+LN(1+EXP(-ABS((LN(10^(逐级计算!$Q$150/10)-1)+逐级计算!$Q$150*(ET9-逐级计算!$P$150)*LN(10)/10))))))),"")</f>
        <v>13.0794324351318</v>
      </c>
      <c r="EV9">
        <f>IF(AND(ISNUMBER(EU9),逐级计算!$X$151&gt;-1),IF(逐级计算!$X$151=0,EU9+逐级计算!$C$151,EU9+逐级计算!$C$151-(10/(逐级计算!$Q$151*LN(10))*(MAX((LN(10^(逐级计算!$Q$151/10)-1)+逐级计算!$Q$151*(EU9-逐级计算!$P$151)*LN(10)/10),0)+LN(1+EXP(-ABS((LN(10^(逐级计算!$Q$151/10)-1)+逐级计算!$Q$151*(EU9-逐级计算!$P$151)*LN(10)/10))))))),"")</f>
        <v>13.0794324351318</v>
      </c>
      <c r="EW9">
        <f>IF(AND(ISNUMBER(EV9),逐级计算!$X$152&gt;-1),IF(逐级计算!$X$152=0,EV9+逐级计算!$C$152,EV9+逐级计算!$C$152-(10/(逐级计算!$Q$152*LN(10))*(MAX((LN(10^(逐级计算!$Q$152/10)-1)+逐级计算!$Q$152*(EV9-逐级计算!$P$152)*LN(10)/10),0)+LN(1+EXP(-ABS((LN(10^(逐级计算!$Q$152/10)-1)+逐级计算!$Q$152*(EV9-逐级计算!$P$152)*LN(10)/10))))))),"")</f>
        <v>13.0794324351318</v>
      </c>
      <c r="EX9">
        <f>IF(AND(ISNUMBER(EW9),逐级计算!$X$153&gt;-1),IF(逐级计算!$X$153=0,EW9+逐级计算!$C$153,EW9+逐级计算!$C$153-(10/(逐级计算!$Q$153*LN(10))*(MAX((LN(10^(逐级计算!$Q$153/10)-1)+逐级计算!$Q$153*(EW9-逐级计算!$P$153)*LN(10)/10),0)+LN(1+EXP(-ABS((LN(10^(逐级计算!$Q$153/10)-1)+逐级计算!$Q$153*(EW9-逐级计算!$P$153)*LN(10)/10))))))),"")</f>
        <v>13.0794324351318</v>
      </c>
      <c r="EY9">
        <f>IF(AND(ISNUMBER(EX9),逐级计算!$X$154&gt;-1),IF(逐级计算!$X$154=0,EX9+逐级计算!$C$154,EX9+逐级计算!$C$154-(10/(逐级计算!$Q$154*LN(10))*(MAX((LN(10^(逐级计算!$Q$154/10)-1)+逐级计算!$Q$154*(EX9-逐级计算!$P$154)*LN(10)/10),0)+LN(1+EXP(-ABS((LN(10^(逐级计算!$Q$154/10)-1)+逐级计算!$Q$154*(EX9-逐级计算!$P$154)*LN(10)/10))))))),"")</f>
        <v>13.0794324351318</v>
      </c>
      <c r="EZ9">
        <f>IF(AND(ISNUMBER(EY9),逐级计算!$X$155&gt;-1),IF(逐级计算!$X$155=0,EY9+逐级计算!$C$155,EY9+逐级计算!$C$155-(10/(逐级计算!$Q$155*LN(10))*(MAX((LN(10^(逐级计算!$Q$155/10)-1)+逐级计算!$Q$155*(EY9-逐级计算!$P$155)*LN(10)/10),0)+LN(1+EXP(-ABS((LN(10^(逐级计算!$Q$155/10)-1)+逐级计算!$Q$155*(EY9-逐级计算!$P$155)*LN(10)/10))))))),"")</f>
        <v>13.0794324351318</v>
      </c>
      <c r="FA9">
        <f>IF(AND(ISNUMBER(EZ9),逐级计算!$X$156&gt;-1),IF(逐级计算!$X$156=0,EZ9+逐级计算!$C$156,EZ9+逐级计算!$C$156-(10/(逐级计算!$Q$156*LN(10))*(MAX((LN(10^(逐级计算!$Q$156/10)-1)+逐级计算!$Q$156*(EZ9-逐级计算!$P$156)*LN(10)/10),0)+LN(1+EXP(-ABS((LN(10^(逐级计算!$Q$156/10)-1)+逐级计算!$Q$156*(EZ9-逐级计算!$P$156)*LN(10)/10))))))),"")</f>
        <v>13.0794324351318</v>
      </c>
      <c r="FB9">
        <f>IF(AND(ISNUMBER(FA9),逐级计算!$X$157&gt;-1),IF(逐级计算!$X$157=0,FA9+逐级计算!$C$157,FA9+逐级计算!$C$157-(10/(逐级计算!$Q$157*LN(10))*(MAX((LN(10^(逐级计算!$Q$157/10)-1)+逐级计算!$Q$157*(FA9-逐级计算!$P$157)*LN(10)/10),0)+LN(1+EXP(-ABS((LN(10^(逐级计算!$Q$157/10)-1)+逐级计算!$Q$157*(FA9-逐级计算!$P$157)*LN(10)/10))))))),"")</f>
        <v>13.0794324351318</v>
      </c>
      <c r="FC9">
        <f>IF(AND(ISNUMBER(FB9),逐级计算!$X$158&gt;-1),IF(逐级计算!$X$158=0,FB9+逐级计算!$C$158,FB9+逐级计算!$C$158-(10/(逐级计算!$Q$158*LN(10))*(MAX((LN(10^(逐级计算!$Q$158/10)-1)+逐级计算!$Q$158*(FB9-逐级计算!$P$158)*LN(10)/10),0)+LN(1+EXP(-ABS((LN(10^(逐级计算!$Q$158/10)-1)+逐级计算!$Q$158*(FB9-逐级计算!$P$158)*LN(10)/10))))))),"")</f>
        <v>13.0794324351318</v>
      </c>
      <c r="FD9">
        <f>IF(AND(ISNUMBER(FC9),逐级计算!$X$159&gt;-1),IF(逐级计算!$X$159=0,FC9+逐级计算!$C$159,FC9+逐级计算!$C$159-(10/(逐级计算!$Q$159*LN(10))*(MAX((LN(10^(逐级计算!$Q$159/10)-1)+逐级计算!$Q$159*(FC9-逐级计算!$P$159)*LN(10)/10),0)+LN(1+EXP(-ABS((LN(10^(逐级计算!$Q$159/10)-1)+逐级计算!$Q$159*(FC9-逐级计算!$P$159)*LN(10)/10))))))),"")</f>
        <v>13.0794324351318</v>
      </c>
      <c r="FE9">
        <f>IF(AND(ISNUMBER(FD9),逐级计算!$X$160&gt;-1),IF(逐级计算!$X$160=0,FD9+逐级计算!$C$160,FD9+逐级计算!$C$160-(10/(逐级计算!$Q$160*LN(10))*(MAX((LN(10^(逐级计算!$Q$160/10)-1)+逐级计算!$Q$160*(FD9-逐级计算!$P$160)*LN(10)/10),0)+LN(1+EXP(-ABS((LN(10^(逐级计算!$Q$160/10)-1)+逐级计算!$Q$160*(FD9-逐级计算!$P$160)*LN(10)/10))))))),"")</f>
        <v>13.0794324351318</v>
      </c>
      <c r="FF9">
        <f>IF(AND(ISNUMBER(FE9),逐级计算!$X$161&gt;-1),IF(逐级计算!$X$161=0,FE9+逐级计算!$C$161,FE9+逐级计算!$C$161-(10/(逐级计算!$Q$161*LN(10))*(MAX((LN(10^(逐级计算!$Q$161/10)-1)+逐级计算!$Q$161*(FE9-逐级计算!$P$161)*LN(10)/10),0)+LN(1+EXP(-ABS((LN(10^(逐级计算!$Q$161/10)-1)+逐级计算!$Q$161*(FE9-逐级计算!$P$161)*LN(10)/10))))))),"")</f>
        <v>13.0794324351318</v>
      </c>
      <c r="FG9">
        <f>IF(AND(ISNUMBER(FF9),逐级计算!$X$162&gt;-1),IF(逐级计算!$X$162=0,FF9+逐级计算!$C$162,FF9+逐级计算!$C$162-(10/(逐级计算!$Q$162*LN(10))*(MAX((LN(10^(逐级计算!$Q$162/10)-1)+逐级计算!$Q$162*(FF9-逐级计算!$P$162)*LN(10)/10),0)+LN(1+EXP(-ABS((LN(10^(逐级计算!$Q$162/10)-1)+逐级计算!$Q$162*(FF9-逐级计算!$P$162)*LN(10)/10))))))),"")</f>
        <v>13.0794324351318</v>
      </c>
      <c r="FH9">
        <f>IF(AND(ISNUMBER(FG9),逐级计算!$X$163&gt;-1),IF(逐级计算!$X$163=0,FG9+逐级计算!$C$163,FG9+逐级计算!$C$163-(10/(逐级计算!$Q$163*LN(10))*(MAX((LN(10^(逐级计算!$Q$163/10)-1)+逐级计算!$Q$163*(FG9-逐级计算!$P$163)*LN(10)/10),0)+LN(1+EXP(-ABS((LN(10^(逐级计算!$Q$163/10)-1)+逐级计算!$Q$163*(FG9-逐级计算!$P$163)*LN(10)/10))))))),"")</f>
        <v>13.0794324351318</v>
      </c>
      <c r="FI9">
        <f>IF(AND(ISNUMBER(FH9),逐级计算!$X$164&gt;-1),IF(逐级计算!$X$164=0,FH9+逐级计算!$C$164,FH9+逐级计算!$C$164-(10/(逐级计算!$Q$164*LN(10))*(MAX((LN(10^(逐级计算!$Q$164/10)-1)+逐级计算!$Q$164*(FH9-逐级计算!$P$164)*LN(10)/10),0)+LN(1+EXP(-ABS((LN(10^(逐级计算!$Q$164/10)-1)+逐级计算!$Q$164*(FH9-逐级计算!$P$164)*LN(10)/10))))))),"")</f>
        <v>13.0794324351318</v>
      </c>
      <c r="FJ9">
        <f>IF(AND(ISNUMBER(FI9),逐级计算!$X$165&gt;-1),IF(逐级计算!$X$165=0,FI9+逐级计算!$C$165,FI9+逐级计算!$C$165-(10/(逐级计算!$Q$165*LN(10))*(MAX((LN(10^(逐级计算!$Q$165/10)-1)+逐级计算!$Q$165*(FI9-逐级计算!$P$165)*LN(10)/10),0)+LN(1+EXP(-ABS((LN(10^(逐级计算!$Q$165/10)-1)+逐级计算!$Q$165*(FI9-逐级计算!$P$165)*LN(10)/10))))))),"")</f>
        <v>13.0794324351318</v>
      </c>
      <c r="FK9">
        <f>IF(AND(ISNUMBER(FJ9),逐级计算!$X$166&gt;-1),IF(逐级计算!$X$166=0,FJ9+逐级计算!$C$166,FJ9+逐级计算!$C$166-(10/(逐级计算!$Q$166*LN(10))*(MAX((LN(10^(逐级计算!$Q$166/10)-1)+逐级计算!$Q$166*(FJ9-逐级计算!$P$166)*LN(10)/10),0)+LN(1+EXP(-ABS((LN(10^(逐级计算!$Q$166/10)-1)+逐级计算!$Q$166*(FJ9-逐级计算!$P$166)*LN(10)/10))))))),"")</f>
        <v>13.0794324351318</v>
      </c>
      <c r="FL9">
        <f>IF(AND(ISNUMBER(FK9),逐级计算!$X$167&gt;-1),IF(逐级计算!$X$167=0,FK9+逐级计算!$C$167,FK9+逐级计算!$C$167-(10/(逐级计算!$Q$167*LN(10))*(MAX((LN(10^(逐级计算!$Q$167/10)-1)+逐级计算!$Q$167*(FK9-逐级计算!$P$167)*LN(10)/10),0)+LN(1+EXP(-ABS((LN(10^(逐级计算!$Q$167/10)-1)+逐级计算!$Q$167*(FK9-逐级计算!$P$167)*LN(10)/10))))))),"")</f>
        <v>13.0794324351318</v>
      </c>
      <c r="FM9">
        <f>IF(AND(ISNUMBER(FL9),逐级计算!$X$168&gt;-1),IF(逐级计算!$X$168=0,FL9+逐级计算!$C$168,FL9+逐级计算!$C$168-(10/(逐级计算!$Q$168*LN(10))*(MAX((LN(10^(逐级计算!$Q$168/10)-1)+逐级计算!$Q$168*(FL9-逐级计算!$P$168)*LN(10)/10),0)+LN(1+EXP(-ABS((LN(10^(逐级计算!$Q$168/10)-1)+逐级计算!$Q$168*(FL9-逐级计算!$P$168)*LN(10)/10))))))),"")</f>
        <v>13.0794324351318</v>
      </c>
      <c r="FN9">
        <f>IF(AND(ISNUMBER(FM9),逐级计算!$X$169&gt;-1),IF(逐级计算!$X$169=0,FM9+逐级计算!$C$169,FM9+逐级计算!$C$169-(10/(逐级计算!$Q$169*LN(10))*(MAX((LN(10^(逐级计算!$Q$169/10)-1)+逐级计算!$Q$169*(FM9-逐级计算!$P$169)*LN(10)/10),0)+LN(1+EXP(-ABS((LN(10^(逐级计算!$Q$169/10)-1)+逐级计算!$Q$169*(FM9-逐级计算!$P$169)*LN(10)/10))))))),"")</f>
        <v>13.0794324351318</v>
      </c>
      <c r="FO9">
        <f>IF(AND(ISNUMBER(FN9),逐级计算!$X$170&gt;-1),IF(逐级计算!$X$170=0,FN9+逐级计算!$C$170,FN9+逐级计算!$C$170-(10/(逐级计算!$Q$170*LN(10))*(MAX((LN(10^(逐级计算!$Q$170/10)-1)+逐级计算!$Q$170*(FN9-逐级计算!$P$170)*LN(10)/10),0)+LN(1+EXP(-ABS((LN(10^(逐级计算!$Q$170/10)-1)+逐级计算!$Q$170*(FN9-逐级计算!$P$170)*LN(10)/10))))))),"")</f>
        <v>13.0794324351318</v>
      </c>
      <c r="FP9">
        <f>IF(AND(ISNUMBER(FO9),逐级计算!$X$171&gt;-1),IF(逐级计算!$X$171=0,FO9+逐级计算!$C$171,FO9+逐级计算!$C$171-(10/(逐级计算!$Q$171*LN(10))*(MAX((LN(10^(逐级计算!$Q$171/10)-1)+逐级计算!$Q$171*(FO9-逐级计算!$P$171)*LN(10)/10),0)+LN(1+EXP(-ABS((LN(10^(逐级计算!$Q$171/10)-1)+逐级计算!$Q$171*(FO9-逐级计算!$P$171)*LN(10)/10))))))),"")</f>
        <v>13.0794324351318</v>
      </c>
      <c r="FQ9">
        <f>IF(AND(ISNUMBER(FP9),逐级计算!$X$172&gt;-1),IF(逐级计算!$X$172=0,FP9+逐级计算!$C$172,FP9+逐级计算!$C$172-(10/(逐级计算!$Q$172*LN(10))*(MAX((LN(10^(逐级计算!$Q$172/10)-1)+逐级计算!$Q$172*(FP9-逐级计算!$P$172)*LN(10)/10),0)+LN(1+EXP(-ABS((LN(10^(逐级计算!$Q$172/10)-1)+逐级计算!$Q$172*(FP9-逐级计算!$P$172)*LN(10)/10))))))),"")</f>
        <v>13.0794324351318</v>
      </c>
      <c r="FR9">
        <f>IF(AND(ISNUMBER(FQ9),逐级计算!$X$173&gt;-1),IF(逐级计算!$X$173=0,FQ9+逐级计算!$C$173,FQ9+逐级计算!$C$173-(10/(逐级计算!$Q$173*LN(10))*(MAX((LN(10^(逐级计算!$Q$173/10)-1)+逐级计算!$Q$173*(FQ9-逐级计算!$P$173)*LN(10)/10),0)+LN(1+EXP(-ABS((LN(10^(逐级计算!$Q$173/10)-1)+逐级计算!$Q$173*(FQ9-逐级计算!$P$173)*LN(10)/10))))))),"")</f>
        <v>13.0794324351318</v>
      </c>
      <c r="FS9">
        <f>IF(AND(ISNUMBER(FR9),逐级计算!$X$174&gt;-1),IF(逐级计算!$X$174=0,FR9+逐级计算!$C$174,FR9+逐级计算!$C$174-(10/(逐级计算!$Q$174*LN(10))*(MAX((LN(10^(逐级计算!$Q$174/10)-1)+逐级计算!$Q$174*(FR9-逐级计算!$P$174)*LN(10)/10),0)+LN(1+EXP(-ABS((LN(10^(逐级计算!$Q$174/10)-1)+逐级计算!$Q$174*(FR9-逐级计算!$P$174)*LN(10)/10))))))),"")</f>
        <v>13.0794324351318</v>
      </c>
      <c r="FT9">
        <f>IF(AND(ISNUMBER(FS9),逐级计算!$X$175&gt;-1),IF(逐级计算!$X$175=0,FS9+逐级计算!$C$175,FS9+逐级计算!$C$175-(10/(逐级计算!$Q$175*LN(10))*(MAX((LN(10^(逐级计算!$Q$175/10)-1)+逐级计算!$Q$175*(FS9-逐级计算!$P$175)*LN(10)/10),0)+LN(1+EXP(-ABS((LN(10^(逐级计算!$Q$175/10)-1)+逐级计算!$Q$175*(FS9-逐级计算!$P$175)*LN(10)/10))))))),"")</f>
        <v>13.0794324351318</v>
      </c>
      <c r="FU9">
        <f>IF(AND(ISNUMBER(FT9),逐级计算!$X$176&gt;-1),IF(逐级计算!$X$176=0,FT9+逐级计算!$C$176,FT9+逐级计算!$C$176-(10/(逐级计算!$Q$176*LN(10))*(MAX((LN(10^(逐级计算!$Q$176/10)-1)+逐级计算!$Q$176*(FT9-逐级计算!$P$176)*LN(10)/10),0)+LN(1+EXP(-ABS((LN(10^(逐级计算!$Q$176/10)-1)+逐级计算!$Q$176*(FT9-逐级计算!$P$176)*LN(10)/10))))))),"")</f>
        <v>13.0794324351318</v>
      </c>
      <c r="FV9">
        <f>IF(AND(ISNUMBER(FU9),逐级计算!$X$177&gt;-1),IF(逐级计算!$X$177=0,FU9+逐级计算!$C$177,FU9+逐级计算!$C$177-(10/(逐级计算!$Q$177*LN(10))*(MAX((LN(10^(逐级计算!$Q$177/10)-1)+逐级计算!$Q$177*(FU9-逐级计算!$P$177)*LN(10)/10),0)+LN(1+EXP(-ABS((LN(10^(逐级计算!$Q$177/10)-1)+逐级计算!$Q$177*(FU9-逐级计算!$P$177)*LN(10)/10))))))),"")</f>
        <v>13.0794324351318</v>
      </c>
      <c r="FW9">
        <f>IF(AND(ISNUMBER(FV9),逐级计算!$X$178&gt;-1),IF(逐级计算!$X$178=0,FV9+逐级计算!$C$178,FV9+逐级计算!$C$178-(10/(逐级计算!$Q$178*LN(10))*(MAX((LN(10^(逐级计算!$Q$178/10)-1)+逐级计算!$Q$178*(FV9-逐级计算!$P$178)*LN(10)/10),0)+LN(1+EXP(-ABS((LN(10^(逐级计算!$Q$178/10)-1)+逐级计算!$Q$178*(FV9-逐级计算!$P$178)*LN(10)/10))))))),"")</f>
        <v>13.0794324351318</v>
      </c>
      <c r="FX9">
        <f>IF(AND(ISNUMBER(FW9),逐级计算!$X$179&gt;-1),IF(逐级计算!$X$179=0,FW9+逐级计算!$C$179,FW9+逐级计算!$C$179-(10/(逐级计算!$Q$179*LN(10))*(MAX((LN(10^(逐级计算!$Q$179/10)-1)+逐级计算!$Q$179*(FW9-逐级计算!$P$179)*LN(10)/10),0)+LN(1+EXP(-ABS((LN(10^(逐级计算!$Q$179/10)-1)+逐级计算!$Q$179*(FW9-逐级计算!$P$179)*LN(10)/10))))))),"")</f>
        <v>13.0794324351318</v>
      </c>
      <c r="FY9">
        <f>IF(AND(ISNUMBER(FX9),逐级计算!$X$180&gt;-1),IF(逐级计算!$X$180=0,FX9+逐级计算!$C$180,FX9+逐级计算!$C$180-(10/(逐级计算!$Q$180*LN(10))*(MAX((LN(10^(逐级计算!$Q$180/10)-1)+逐级计算!$Q$180*(FX9-逐级计算!$P$180)*LN(10)/10),0)+LN(1+EXP(-ABS((LN(10^(逐级计算!$Q$180/10)-1)+逐级计算!$Q$180*(FX9-逐级计算!$P$180)*LN(10)/10))))))),"")</f>
        <v>13.0794324351318</v>
      </c>
      <c r="FZ9">
        <f>IF(AND(ISNUMBER(FY9),逐级计算!$X$181&gt;-1),IF(逐级计算!$X$181=0,FY9+逐级计算!$C$181,FY9+逐级计算!$C$181-(10/(逐级计算!$Q$181*LN(10))*(MAX((LN(10^(逐级计算!$Q$181/10)-1)+逐级计算!$Q$181*(FY9-逐级计算!$P$181)*LN(10)/10),0)+LN(1+EXP(-ABS((LN(10^(逐级计算!$Q$181/10)-1)+逐级计算!$Q$181*(FY9-逐级计算!$P$181)*LN(10)/10))))))),"")</f>
        <v>13.0794324351318</v>
      </c>
      <c r="GA9">
        <f>IF(AND(ISNUMBER(FZ9),逐级计算!$X$182&gt;-1),IF(逐级计算!$X$182=0,FZ9+逐级计算!$C$182,FZ9+逐级计算!$C$182-(10/(逐级计算!$Q$182*LN(10))*(MAX((LN(10^(逐级计算!$Q$182/10)-1)+逐级计算!$Q$182*(FZ9-逐级计算!$P$182)*LN(10)/10),0)+LN(1+EXP(-ABS((LN(10^(逐级计算!$Q$182/10)-1)+逐级计算!$Q$182*(FZ9-逐级计算!$P$182)*LN(10)/10))))))),"")</f>
        <v>13.0794324351318</v>
      </c>
      <c r="GB9">
        <f>IF(AND(ISNUMBER(GA9),逐级计算!$X$183&gt;-1),IF(逐级计算!$X$183=0,GA9+逐级计算!$C$183,GA9+逐级计算!$C$183-(10/(逐级计算!$Q$183*LN(10))*(MAX((LN(10^(逐级计算!$Q$183/10)-1)+逐级计算!$Q$183*(GA9-逐级计算!$P$183)*LN(10)/10),0)+LN(1+EXP(-ABS((LN(10^(逐级计算!$Q$183/10)-1)+逐级计算!$Q$183*(GA9-逐级计算!$P$183)*LN(10)/10))))))),"")</f>
        <v>13.0794324351318</v>
      </c>
      <c r="GC9">
        <f>IF(AND(ISNUMBER(GB9),逐级计算!$X$184&gt;-1),IF(逐级计算!$X$184=0,GB9+逐级计算!$C$184,GB9+逐级计算!$C$184-(10/(逐级计算!$Q$184*LN(10))*(MAX((LN(10^(逐级计算!$Q$184/10)-1)+逐级计算!$Q$184*(GB9-逐级计算!$P$184)*LN(10)/10),0)+LN(1+EXP(-ABS((LN(10^(逐级计算!$Q$184/10)-1)+逐级计算!$Q$184*(GB9-逐级计算!$P$184)*LN(10)/10))))))),"")</f>
        <v>13.0794324351318</v>
      </c>
      <c r="GD9">
        <f>IF(AND(ISNUMBER(GC9),逐级计算!$X$185&gt;-1),IF(逐级计算!$X$185=0,GC9+逐级计算!$C$185,GC9+逐级计算!$C$185-(10/(逐级计算!$Q$185*LN(10))*(MAX((LN(10^(逐级计算!$Q$185/10)-1)+逐级计算!$Q$185*(GC9-逐级计算!$P$185)*LN(10)/10),0)+LN(1+EXP(-ABS((LN(10^(逐级计算!$Q$185/10)-1)+逐级计算!$Q$185*(GC9-逐级计算!$P$185)*LN(10)/10))))))),"")</f>
        <v>13.0794324351318</v>
      </c>
      <c r="GE9">
        <f>IF(AND(ISNUMBER(GD9),逐级计算!$X$186&gt;-1),IF(逐级计算!$X$186=0,GD9+逐级计算!$C$186,GD9+逐级计算!$C$186-(10/(逐级计算!$Q$186*LN(10))*(MAX((LN(10^(逐级计算!$Q$186/10)-1)+逐级计算!$Q$186*(GD9-逐级计算!$P$186)*LN(10)/10),0)+LN(1+EXP(-ABS((LN(10^(逐级计算!$Q$186/10)-1)+逐级计算!$Q$186*(GD9-逐级计算!$P$186)*LN(10)/10))))))),"")</f>
        <v>13.0794324351318</v>
      </c>
      <c r="GF9">
        <f>IF(AND(ISNUMBER(GE9),逐级计算!$X$187&gt;-1),IF(逐级计算!$X$187=0,GE9+逐级计算!$C$187,GE9+逐级计算!$C$187-(10/(逐级计算!$Q$187*LN(10))*(MAX((LN(10^(逐级计算!$Q$187/10)-1)+逐级计算!$Q$187*(GE9-逐级计算!$P$187)*LN(10)/10),0)+LN(1+EXP(-ABS((LN(10^(逐级计算!$Q$187/10)-1)+逐级计算!$Q$187*(GE9-逐级计算!$P$187)*LN(10)/10))))))),"")</f>
        <v>13.0794324351318</v>
      </c>
      <c r="GG9">
        <f>IF(AND(ISNUMBER(GF9),逐级计算!$X$188&gt;-1),IF(逐级计算!$X$188=0,GF9+逐级计算!$C$188,GF9+逐级计算!$C$188-(10/(逐级计算!$Q$188*LN(10))*(MAX((LN(10^(逐级计算!$Q$188/10)-1)+逐级计算!$Q$188*(GF9-逐级计算!$P$188)*LN(10)/10),0)+LN(1+EXP(-ABS((LN(10^(逐级计算!$Q$188/10)-1)+逐级计算!$Q$188*(GF9-逐级计算!$P$188)*LN(10)/10))))))),"")</f>
        <v>13.0794324351318</v>
      </c>
      <c r="GH9">
        <f>IF(AND(ISNUMBER(GG9),逐级计算!$X$189&gt;-1),IF(逐级计算!$X$189=0,GG9+逐级计算!$C$189,GG9+逐级计算!$C$189-(10/(逐级计算!$Q$189*LN(10))*(MAX((LN(10^(逐级计算!$Q$189/10)-1)+逐级计算!$Q$189*(GG9-逐级计算!$P$189)*LN(10)/10),0)+LN(1+EXP(-ABS((LN(10^(逐级计算!$Q$189/10)-1)+逐级计算!$Q$189*(GG9-逐级计算!$P$189)*LN(10)/10))))))),"")</f>
        <v>13.0794324351318</v>
      </c>
      <c r="GI9">
        <f>IF(AND(ISNUMBER(GH9),逐级计算!$X$190&gt;-1),IF(逐级计算!$X$190=0,GH9+逐级计算!$C$190,GH9+逐级计算!$C$190-(10/(逐级计算!$Q$190*LN(10))*(MAX((LN(10^(逐级计算!$Q$190/10)-1)+逐级计算!$Q$190*(GH9-逐级计算!$P$190)*LN(10)/10),0)+LN(1+EXP(-ABS((LN(10^(逐级计算!$Q$190/10)-1)+逐级计算!$Q$190*(GH9-逐级计算!$P$190)*LN(10)/10))))))),"")</f>
        <v>13.0794324351318</v>
      </c>
      <c r="GJ9">
        <f>IF(AND(ISNUMBER(GI9),逐级计算!$X$191&gt;-1),IF(逐级计算!$X$191=0,GI9+逐级计算!$C$191,GI9+逐级计算!$C$191-(10/(逐级计算!$Q$191*LN(10))*(MAX((LN(10^(逐级计算!$Q$191/10)-1)+逐级计算!$Q$191*(GI9-逐级计算!$P$191)*LN(10)/10),0)+LN(1+EXP(-ABS((LN(10^(逐级计算!$Q$191/10)-1)+逐级计算!$Q$191*(GI9-逐级计算!$P$191)*LN(10)/10))))))),"")</f>
        <v>13.0794324351318</v>
      </c>
      <c r="GK9">
        <f>IF(AND(ISNUMBER(GJ9),逐级计算!$X$192&gt;-1),IF(逐级计算!$X$192=0,GJ9+逐级计算!$C$192,GJ9+逐级计算!$C$192-(10/(逐级计算!$Q$192*LN(10))*(MAX((LN(10^(逐级计算!$Q$192/10)-1)+逐级计算!$Q$192*(GJ9-逐级计算!$P$192)*LN(10)/10),0)+LN(1+EXP(-ABS((LN(10^(逐级计算!$Q$192/10)-1)+逐级计算!$Q$192*(GJ9-逐级计算!$P$192)*LN(10)/10))))))),"")</f>
        <v>13.0794324351318</v>
      </c>
      <c r="GL9">
        <f>IF(AND(ISNUMBER(GK9),逐级计算!$X$193&gt;-1),IF(逐级计算!$X$193=0,GK9+逐级计算!$C$193,GK9+逐级计算!$C$193-(10/(逐级计算!$Q$193*LN(10))*(MAX((LN(10^(逐级计算!$Q$193/10)-1)+逐级计算!$Q$193*(GK9-逐级计算!$P$193)*LN(10)/10),0)+LN(1+EXP(-ABS((LN(10^(逐级计算!$Q$193/10)-1)+逐级计算!$Q$193*(GK9-逐级计算!$P$193)*LN(10)/10))))))),"")</f>
        <v>13.0794324351318</v>
      </c>
      <c r="GM9">
        <f>IF(AND(ISNUMBER(GL9),逐级计算!$X$194&gt;-1),IF(逐级计算!$X$194=0,GL9+逐级计算!$C$194,GL9+逐级计算!$C$194-(10/(逐级计算!$Q$194*LN(10))*(MAX((LN(10^(逐级计算!$Q$194/10)-1)+逐级计算!$Q$194*(GL9-逐级计算!$P$194)*LN(10)/10),0)+LN(1+EXP(-ABS((LN(10^(逐级计算!$Q$194/10)-1)+逐级计算!$Q$194*(GL9-逐级计算!$P$194)*LN(10)/10))))))),"")</f>
        <v>13.0794324351318</v>
      </c>
      <c r="GN9">
        <f>IF(AND(ISNUMBER(GM9),逐级计算!$X$195&gt;-1),IF(逐级计算!$X$195=0,GM9+逐级计算!$C$195,GM9+逐级计算!$C$195-(10/(逐级计算!$Q$195*LN(10))*(MAX((LN(10^(逐级计算!$Q$195/10)-1)+逐级计算!$Q$195*(GM9-逐级计算!$P$195)*LN(10)/10),0)+LN(1+EXP(-ABS((LN(10^(逐级计算!$Q$195/10)-1)+逐级计算!$Q$195*(GM9-逐级计算!$P$195)*LN(10)/10))))))),"")</f>
        <v>13.0794324351318</v>
      </c>
      <c r="GO9">
        <f>IF(AND(ISNUMBER(GN9),逐级计算!$X$196&gt;-1),IF(逐级计算!$X$196=0,GN9+逐级计算!$C$196,GN9+逐级计算!$C$196-(10/(逐级计算!$Q$196*LN(10))*(MAX((LN(10^(逐级计算!$Q$196/10)-1)+逐级计算!$Q$196*(GN9-逐级计算!$P$196)*LN(10)/10),0)+LN(1+EXP(-ABS((LN(10^(逐级计算!$Q$196/10)-1)+逐级计算!$Q$196*(GN9-逐级计算!$P$196)*LN(10)/10))))))),"")</f>
        <v>13.0794324351318</v>
      </c>
      <c r="GP9">
        <f>IF(AND(ISNUMBER(GO9),逐级计算!$X$197&gt;-1),IF(逐级计算!$X$197=0,GO9+逐级计算!$C$197,GO9+逐级计算!$C$197-(10/(逐级计算!$Q$197*LN(10))*(MAX((LN(10^(逐级计算!$Q$197/10)-1)+逐级计算!$Q$197*(GO9-逐级计算!$P$197)*LN(10)/10),0)+LN(1+EXP(-ABS((LN(10^(逐级计算!$Q$197/10)-1)+逐级计算!$Q$197*(GO9-逐级计算!$P$197)*LN(10)/10))))))),"")</f>
        <v>13.0794324351318</v>
      </c>
      <c r="GQ9">
        <f>IF(AND(ISNUMBER(GP9),逐级计算!$X$198&gt;-1),IF(逐级计算!$X$198=0,GP9+逐级计算!$C$198,GP9+逐级计算!$C$198-(10/(逐级计算!$Q$198*LN(10))*(MAX((LN(10^(逐级计算!$Q$198/10)-1)+逐级计算!$Q$198*(GP9-逐级计算!$P$198)*LN(10)/10),0)+LN(1+EXP(-ABS((LN(10^(逐级计算!$Q$198/10)-1)+逐级计算!$Q$198*(GP9-逐级计算!$P$198)*LN(10)/10))))))),"")</f>
        <v>13.0794324351318</v>
      </c>
      <c r="GR9">
        <f>IF(AND(ISNUMBER(GQ9),逐级计算!$X$199&gt;-1),IF(逐级计算!$X$199=0,GQ9+逐级计算!$C$199,GQ9+逐级计算!$C$199-(10/(逐级计算!$Q$199*LN(10))*(MAX((LN(10^(逐级计算!$Q$199/10)-1)+逐级计算!$Q$199*(GQ9-逐级计算!$P$199)*LN(10)/10),0)+LN(1+EXP(-ABS((LN(10^(逐级计算!$Q$199/10)-1)+逐级计算!$Q$199*(GQ9-逐级计算!$P$199)*LN(10)/10))))))),"")</f>
        <v>13.0794324351318</v>
      </c>
      <c r="GS9">
        <f>IF(AND(ISNUMBER(GR9),逐级计算!$X$200&gt;-1),IF(逐级计算!$X$200=0,GR9+逐级计算!$C$200,GR9+逐级计算!$C$200-(10/(逐级计算!$Q$200*LN(10))*(MAX((LN(10^(逐级计算!$Q$200/10)-1)+逐级计算!$Q$200*(GR9-逐级计算!$P$200)*LN(10)/10),0)+LN(1+EXP(-ABS((LN(10^(逐级计算!$Q$200/10)-1)+逐级计算!$Q$200*(GR9-逐级计算!$P$200)*LN(10)/10))))))),"")</f>
        <v>13.0794324351318</v>
      </c>
      <c r="GT9">
        <f>IF(AND(ISNUMBER(GS9),逐级计算!$X$201&gt;-1),IF(逐级计算!$X$201=0,GS9+逐级计算!$C$201,GS9+逐级计算!$C$201-(10/(逐级计算!$Q$201*LN(10))*(MAX((LN(10^(逐级计算!$Q$201/10)-1)+逐级计算!$Q$201*(GS9-逐级计算!$P$201)*LN(10)/10),0)+LN(1+EXP(-ABS((LN(10^(逐级计算!$Q$201/10)-1)+逐级计算!$Q$201*(GS9-逐级计算!$P$201)*LN(10)/10))))))),"")</f>
        <v>13.0794324351318</v>
      </c>
      <c r="GU9">
        <f>IF(AND(ISNUMBER(GT9),逐级计算!$X$202&gt;-1),IF(逐级计算!$X$202=0,GT9+逐级计算!$C$202,GT9+逐级计算!$C$202-(10/(逐级计算!$Q$202*LN(10))*(MAX((LN(10^(逐级计算!$Q$202/10)-1)+逐级计算!$Q$202*(GT9-逐级计算!$P$202)*LN(10)/10),0)+LN(1+EXP(-ABS((LN(10^(逐级计算!$Q$202/10)-1)+逐级计算!$Q$202*(GT9-逐级计算!$P$202)*LN(10)/10))))))),"")</f>
        <v>13.0794324351318</v>
      </c>
      <c r="GV9">
        <f>IF(AND(ISNUMBER(GU9),逐级计算!$X$203&gt;-1),IF(逐级计算!$X$203=0,GU9+逐级计算!$C$203,GU9+逐级计算!$C$203-(10/(逐级计算!$Q$203*LN(10))*(MAX((LN(10^(逐级计算!$Q$203/10)-1)+逐级计算!$Q$203*(GU9-逐级计算!$P$203)*LN(10)/10),0)+LN(1+EXP(-ABS((LN(10^(逐级计算!$Q$203/10)-1)+逐级计算!$Q$203*(GU9-逐级计算!$P$203)*LN(10)/10))))))),"")</f>
        <v>13.0794324351318</v>
      </c>
      <c r="GW9">
        <f t="shared" ref="GW9:GW72" si="2">IF(ISNUMBER(D8),IF(D8&gt;1,C8,GW8),"")</f>
        <v>20</v>
      </c>
    </row>
    <row r="10" spans="1:205">
      <c r="A10">
        <v>3</v>
      </c>
      <c r="B10">
        <f t="shared" si="1"/>
        <v>-6.25</v>
      </c>
      <c r="C10">
        <f t="shared" si="0"/>
        <v>6.875</v>
      </c>
      <c r="D10">
        <f>IF(AND(ISNUMBER(C10),ISNUMBER(逐级计算!$E$203),ISNUMBER(GV10)),C10+逐级计算!$E$203-GV10,"")</f>
        <v>10.931532445864</v>
      </c>
      <c r="E10">
        <f>IF(AND(ISNUMBER(C10),逐级计算!$X$4&gt;-1),IF(逐级计算!$X$4=0,C10+逐级计算!$C$4,C10+逐级计算!$C$4-(10/(逐级计算!$Q$4*LN(10))*(MAX((LN(10^(逐级计算!$Q$4/10)-1)+逐级计算!$Q$4*(C10-逐级计算!$P$4)*LN(10)/10),0)+LN(1+EXP(-ABS((LN(10^(逐级计算!$Q$4/10)-1)+逐级计算!$Q$4*(C10-逐级计算!$P$4)*LN(10)/10))))))),"")</f>
        <v>11.0134446649424</v>
      </c>
      <c r="F10">
        <f>IF(AND(ISNUMBER(E10),逐级计算!$X$5&gt;-1),IF(逐级计算!$X$5=0,E10+逐级计算!$C$5,E10+逐级计算!$C$5-(10/(逐级计算!$Q$5*LN(10))*(MAX((LN(10^(逐级计算!$Q$5/10)-1)+逐级计算!$Q$5*(E10-逐级计算!$P$5)*LN(10)/10),0)+LN(1+EXP(-ABS((LN(10^(逐级计算!$Q$5/10)-1)+逐级计算!$Q$5*(E10-逐级计算!$P$5)*LN(10)/10))))))),"")</f>
        <v>15.943467554136</v>
      </c>
      <c r="G10">
        <f>IF(AND(ISNUMBER(F10),逐级计算!$X$6&gt;-1),IF(逐级计算!$X$6=0,F10+逐级计算!$C$6,F10+逐级计算!$C$6-(10/(逐级计算!$Q$6*LN(10))*(MAX((LN(10^(逐级计算!$Q$6/10)-1)+逐级计算!$Q$6*(F10-逐级计算!$P$6)*LN(10)/10),0)+LN(1+EXP(-ABS((LN(10^(逐级计算!$Q$6/10)-1)+逐级计算!$Q$6*(F10-逐级计算!$P$6)*LN(10)/10))))))),"")</f>
        <v>15.943467554136</v>
      </c>
      <c r="H10">
        <f>IF(AND(ISNUMBER(G10),逐级计算!$X$7&gt;-1),IF(逐级计算!$X$7=0,G10+逐级计算!$C$7,G10+逐级计算!$C$7-(10/(逐级计算!$Q$7*LN(10))*(MAX((LN(10^(逐级计算!$Q$7/10)-1)+逐级计算!$Q$7*(G10-逐级计算!$P$7)*LN(10)/10),0)+LN(1+EXP(-ABS((LN(10^(逐级计算!$Q$7/10)-1)+逐级计算!$Q$7*(G10-逐级计算!$P$7)*LN(10)/10))))))),"")</f>
        <v>15.943467554136</v>
      </c>
      <c r="I10">
        <f>IF(AND(ISNUMBER(H10),逐级计算!$X$8&gt;-1),IF(逐级计算!$X$8=0,H10+逐级计算!$C$8,H10+逐级计算!$C$8-(10/(逐级计算!$Q$8*LN(10))*(MAX((LN(10^(逐级计算!$Q$8/10)-1)+逐级计算!$Q$8*(H10-逐级计算!$P$8)*LN(10)/10),0)+LN(1+EXP(-ABS((LN(10^(逐级计算!$Q$8/10)-1)+逐级计算!$Q$8*(H10-逐级计算!$P$8)*LN(10)/10))))))),"")</f>
        <v>15.943467554136</v>
      </c>
      <c r="J10">
        <f>IF(AND(ISNUMBER(I10),逐级计算!$X$9&gt;-1),IF(逐级计算!$X$9=0,I10+逐级计算!$C$9,I10+逐级计算!$C$9-(10/(逐级计算!$Q$9*LN(10))*(MAX((LN(10^(逐级计算!$Q$9/10)-1)+逐级计算!$Q$9*(I10-逐级计算!$P$9)*LN(10)/10),0)+LN(1+EXP(-ABS((LN(10^(逐级计算!$Q$9/10)-1)+逐级计算!$Q$9*(I10-逐级计算!$P$9)*LN(10)/10))))))),"")</f>
        <v>15.943467554136</v>
      </c>
      <c r="K10">
        <f>IF(AND(ISNUMBER(J10),逐级计算!$X$10&gt;-1),IF(逐级计算!$X$10=0,J10+逐级计算!$C$10,J10+逐级计算!$C$10-(10/(逐级计算!$Q$10*LN(10))*(MAX((LN(10^(逐级计算!$Q$10/10)-1)+逐级计算!$Q$10*(J10-逐级计算!$P$10)*LN(10)/10),0)+LN(1+EXP(-ABS((LN(10^(逐级计算!$Q$10/10)-1)+逐级计算!$Q$10*(J10-逐级计算!$P$10)*LN(10)/10))))))),"")</f>
        <v>15.943467554136</v>
      </c>
      <c r="L10">
        <f>IF(AND(ISNUMBER(K10),逐级计算!$X$11&gt;-1),IF(逐级计算!$X$11=0,K10+逐级计算!$C$11,K10+逐级计算!$C$11-(10/(逐级计算!$Q$11*LN(10))*(MAX((LN(10^(逐级计算!$Q$11/10)-1)+逐级计算!$Q$11*(K10-逐级计算!$P$11)*LN(10)/10),0)+LN(1+EXP(-ABS((LN(10^(逐级计算!$Q$11/10)-1)+逐级计算!$Q$11*(K10-逐级计算!$P$11)*LN(10)/10))))))),"")</f>
        <v>15.943467554136</v>
      </c>
      <c r="M10">
        <f>IF(AND(ISNUMBER(L10),逐级计算!$X$12&gt;-1),IF(逐级计算!$X$12=0,L10+逐级计算!$C$12,L10+逐级计算!$C$12-(10/(逐级计算!$Q$12*LN(10))*(MAX((LN(10^(逐级计算!$Q$12/10)-1)+逐级计算!$Q$12*(L10-逐级计算!$P$12)*LN(10)/10),0)+LN(1+EXP(-ABS((LN(10^(逐级计算!$Q$12/10)-1)+逐级计算!$Q$12*(L10-逐级计算!$P$12)*LN(10)/10))))))),"")</f>
        <v>15.943467554136</v>
      </c>
      <c r="N10">
        <f>IF(AND(ISNUMBER(M10),逐级计算!$X$13&gt;-1),IF(逐级计算!$X$13=0,M10+逐级计算!$C$13,M10+逐级计算!$C$13-(10/(逐级计算!$Q$13*LN(10))*(MAX((LN(10^(逐级计算!$Q$13/10)-1)+逐级计算!$Q$13*(M10-逐级计算!$P$13)*LN(10)/10),0)+LN(1+EXP(-ABS((LN(10^(逐级计算!$Q$13/10)-1)+逐级计算!$Q$13*(M10-逐级计算!$P$13)*LN(10)/10))))))),"")</f>
        <v>15.943467554136</v>
      </c>
      <c r="O10">
        <f>IF(AND(ISNUMBER(N10),逐级计算!$X$14&gt;-1),IF(逐级计算!$X$14=0,N10+逐级计算!$C$14,N10+逐级计算!$C$14-(10/(逐级计算!$Q$14*LN(10))*(MAX((LN(10^(逐级计算!$Q$14/10)-1)+逐级计算!$Q$14*(N10-逐级计算!$P$14)*LN(10)/10),0)+LN(1+EXP(-ABS((LN(10^(逐级计算!$Q$14/10)-1)+逐级计算!$Q$14*(N10-逐级计算!$P$14)*LN(10)/10))))))),"")</f>
        <v>15.943467554136</v>
      </c>
      <c r="P10">
        <f>IF(AND(ISNUMBER(O10),逐级计算!$X$15&gt;-1),IF(逐级计算!$X$15=0,O10+逐级计算!$C$15,O10+逐级计算!$C$15-(10/(逐级计算!$Q$15*LN(10))*(MAX((LN(10^(逐级计算!$Q$15/10)-1)+逐级计算!$Q$15*(O10-逐级计算!$P$15)*LN(10)/10),0)+LN(1+EXP(-ABS((LN(10^(逐级计算!$Q$15/10)-1)+逐级计算!$Q$15*(O10-逐级计算!$P$15)*LN(10)/10))))))),"")</f>
        <v>15.943467554136</v>
      </c>
      <c r="Q10">
        <f>IF(AND(ISNUMBER(P10),逐级计算!$X$16&gt;-1),IF(逐级计算!$X$16=0,P10+逐级计算!$C$16,P10+逐级计算!$C$16-(10/(逐级计算!$Q$16*LN(10))*(MAX((LN(10^(逐级计算!$Q$16/10)-1)+逐级计算!$Q$16*(P10-逐级计算!$P$16)*LN(10)/10),0)+LN(1+EXP(-ABS((LN(10^(逐级计算!$Q$16/10)-1)+逐级计算!$Q$16*(P10-逐级计算!$P$16)*LN(10)/10))))))),"")</f>
        <v>15.943467554136</v>
      </c>
      <c r="R10">
        <f>IF(AND(ISNUMBER(Q10),逐级计算!$X$17&gt;-1),IF(逐级计算!$X$17=0,Q10+逐级计算!$C$17,Q10+逐级计算!$C$17-(10/(逐级计算!$Q$17*LN(10))*(MAX((LN(10^(逐级计算!$Q$17/10)-1)+逐级计算!$Q$17*(Q10-逐级计算!$P$17)*LN(10)/10),0)+LN(1+EXP(-ABS((LN(10^(逐级计算!$Q$17/10)-1)+逐级计算!$Q$17*(Q10-逐级计算!$P$17)*LN(10)/10))))))),"")</f>
        <v>15.943467554136</v>
      </c>
      <c r="S10">
        <f>IF(AND(ISNUMBER(R10),逐级计算!$X$18&gt;-1),IF(逐级计算!$X$18=0,R10+逐级计算!$C$18,R10+逐级计算!$C$18-(10/(逐级计算!$Q$18*LN(10))*(MAX((LN(10^(逐级计算!$Q$18/10)-1)+逐级计算!$Q$18*(R10-逐级计算!$P$18)*LN(10)/10),0)+LN(1+EXP(-ABS((LN(10^(逐级计算!$Q$18/10)-1)+逐级计算!$Q$18*(R10-逐级计算!$P$18)*LN(10)/10))))))),"")</f>
        <v>15.943467554136</v>
      </c>
      <c r="T10">
        <f>IF(AND(ISNUMBER(S10),逐级计算!$X$19&gt;-1),IF(逐级计算!$X$19=0,S10+逐级计算!$C$19,S10+逐级计算!$C$19-(10/(逐级计算!$Q$19*LN(10))*(MAX((LN(10^(逐级计算!$Q$19/10)-1)+逐级计算!$Q$19*(S10-逐级计算!$P$19)*LN(10)/10),0)+LN(1+EXP(-ABS((LN(10^(逐级计算!$Q$19/10)-1)+逐级计算!$Q$19*(S10-逐级计算!$P$19)*LN(10)/10))))))),"")</f>
        <v>15.943467554136</v>
      </c>
      <c r="U10">
        <f>IF(AND(ISNUMBER(T10),逐级计算!$X$20&gt;-1),IF(逐级计算!$X$20=0,T10+逐级计算!$C$20,T10+逐级计算!$C$20-(10/(逐级计算!$Q$20*LN(10))*(MAX((LN(10^(逐级计算!$Q$20/10)-1)+逐级计算!$Q$20*(T10-逐级计算!$P$20)*LN(10)/10),0)+LN(1+EXP(-ABS((LN(10^(逐级计算!$Q$20/10)-1)+逐级计算!$Q$20*(T10-逐级计算!$P$20)*LN(10)/10))))))),"")</f>
        <v>15.943467554136</v>
      </c>
      <c r="V10">
        <f>IF(AND(ISNUMBER(U10),逐级计算!$X$21&gt;-1),IF(逐级计算!$X$21=0,U10+逐级计算!$C$21,U10+逐级计算!$C$21-(10/(逐级计算!$Q$21*LN(10))*(MAX((LN(10^(逐级计算!$Q$21/10)-1)+逐级计算!$Q$21*(U10-逐级计算!$P$21)*LN(10)/10),0)+LN(1+EXP(-ABS((LN(10^(逐级计算!$Q$21/10)-1)+逐级计算!$Q$21*(U10-逐级计算!$P$21)*LN(10)/10))))))),"")</f>
        <v>15.943467554136</v>
      </c>
      <c r="W10">
        <f>IF(AND(ISNUMBER(V10),逐级计算!$X$22&gt;-1),IF(逐级计算!$X$22=0,V10+逐级计算!$C$22,V10+逐级计算!$C$22-(10/(逐级计算!$Q$22*LN(10))*(MAX((LN(10^(逐级计算!$Q$22/10)-1)+逐级计算!$Q$22*(V10-逐级计算!$P$22)*LN(10)/10),0)+LN(1+EXP(-ABS((LN(10^(逐级计算!$Q$22/10)-1)+逐级计算!$Q$22*(V10-逐级计算!$P$22)*LN(10)/10))))))),"")</f>
        <v>15.943467554136</v>
      </c>
      <c r="X10">
        <f>IF(AND(ISNUMBER(W10),逐级计算!$X$23&gt;-1),IF(逐级计算!$X$23=0,W10+逐级计算!$C$23,W10+逐级计算!$C$23-(10/(逐级计算!$Q$23*LN(10))*(MAX((LN(10^(逐级计算!$Q$23/10)-1)+逐级计算!$Q$23*(W10-逐级计算!$P$23)*LN(10)/10),0)+LN(1+EXP(-ABS((LN(10^(逐级计算!$Q$23/10)-1)+逐级计算!$Q$23*(W10-逐级计算!$P$23)*LN(10)/10))))))),"")</f>
        <v>15.943467554136</v>
      </c>
      <c r="Y10">
        <f>IF(AND(ISNUMBER(X10),逐级计算!$X$24&gt;-1),IF(逐级计算!$X$24=0,X10+逐级计算!$C$24,X10+逐级计算!$C$24-(10/(逐级计算!$Q$24*LN(10))*(MAX((LN(10^(逐级计算!$Q$24/10)-1)+逐级计算!$Q$24*(X10-逐级计算!$P$24)*LN(10)/10),0)+LN(1+EXP(-ABS((LN(10^(逐级计算!$Q$24/10)-1)+逐级计算!$Q$24*(X10-逐级计算!$P$24)*LN(10)/10))))))),"")</f>
        <v>15.943467554136</v>
      </c>
      <c r="Z10">
        <f>IF(AND(ISNUMBER(Y10),逐级计算!$X$25&gt;-1),IF(逐级计算!$X$25=0,Y10+逐级计算!$C$25,Y10+逐级计算!$C$25-(10/(逐级计算!$Q$25*LN(10))*(MAX((LN(10^(逐级计算!$Q$25/10)-1)+逐级计算!$Q$25*(Y10-逐级计算!$P$25)*LN(10)/10),0)+LN(1+EXP(-ABS((LN(10^(逐级计算!$Q$25/10)-1)+逐级计算!$Q$25*(Y10-逐级计算!$P$25)*LN(10)/10))))))),"")</f>
        <v>15.943467554136</v>
      </c>
      <c r="AA10">
        <f>IF(AND(ISNUMBER(Z10),逐级计算!$X$26&gt;-1),IF(逐级计算!$X$26=0,Z10+逐级计算!$C$26,Z10+逐级计算!$C$26-(10/(逐级计算!$Q$26*LN(10))*(MAX((LN(10^(逐级计算!$Q$26/10)-1)+逐级计算!$Q$26*(Z10-逐级计算!$P$26)*LN(10)/10),0)+LN(1+EXP(-ABS((LN(10^(逐级计算!$Q$26/10)-1)+逐级计算!$Q$26*(Z10-逐级计算!$P$26)*LN(10)/10))))))),"")</f>
        <v>15.943467554136</v>
      </c>
      <c r="AB10">
        <f>IF(AND(ISNUMBER(AA10),逐级计算!$X$27&gt;-1),IF(逐级计算!$X$27=0,AA10+逐级计算!$C$27,AA10+逐级计算!$C$27-(10/(逐级计算!$Q$27*LN(10))*(MAX((LN(10^(逐级计算!$Q$27/10)-1)+逐级计算!$Q$27*(AA10-逐级计算!$P$27)*LN(10)/10),0)+LN(1+EXP(-ABS((LN(10^(逐级计算!$Q$27/10)-1)+逐级计算!$Q$27*(AA10-逐级计算!$P$27)*LN(10)/10))))))),"")</f>
        <v>15.943467554136</v>
      </c>
      <c r="AC10">
        <f>IF(AND(ISNUMBER(AB10),逐级计算!$X$28&gt;-1),IF(逐级计算!$X$28=0,AB10+逐级计算!$C$28,AB10+逐级计算!$C$28-(10/(逐级计算!$Q$28*LN(10))*(MAX((LN(10^(逐级计算!$Q$28/10)-1)+逐级计算!$Q$28*(AB10-逐级计算!$P$28)*LN(10)/10),0)+LN(1+EXP(-ABS((LN(10^(逐级计算!$Q$28/10)-1)+逐级计算!$Q$28*(AB10-逐级计算!$P$28)*LN(10)/10))))))),"")</f>
        <v>15.943467554136</v>
      </c>
      <c r="AD10">
        <f>IF(AND(ISNUMBER(AC10),逐级计算!$X$29&gt;-1),IF(逐级计算!$X$29=0,AC10+逐级计算!$C$29,AC10+逐级计算!$C$29-(10/(逐级计算!$Q$29*LN(10))*(MAX((LN(10^(逐级计算!$Q$29/10)-1)+逐级计算!$Q$29*(AC10-逐级计算!$P$29)*LN(10)/10),0)+LN(1+EXP(-ABS((LN(10^(逐级计算!$Q$29/10)-1)+逐级计算!$Q$29*(AC10-逐级计算!$P$29)*LN(10)/10))))))),"")</f>
        <v>15.943467554136</v>
      </c>
      <c r="AE10">
        <f>IF(AND(ISNUMBER(AD10),逐级计算!$X$30&gt;-1),IF(逐级计算!$X$30=0,AD10+逐级计算!$C$30,AD10+逐级计算!$C$30-(10/(逐级计算!$Q$30*LN(10))*(MAX((LN(10^(逐级计算!$Q$30/10)-1)+逐级计算!$Q$30*(AD10-逐级计算!$P$30)*LN(10)/10),0)+LN(1+EXP(-ABS((LN(10^(逐级计算!$Q$30/10)-1)+逐级计算!$Q$30*(AD10-逐级计算!$P$30)*LN(10)/10))))))),"")</f>
        <v>15.943467554136</v>
      </c>
      <c r="AF10">
        <f>IF(AND(ISNUMBER(AE10),逐级计算!$X$31&gt;-1),IF(逐级计算!$X$31=0,AE10+逐级计算!$C$31,AE10+逐级计算!$C$31-(10/(逐级计算!$Q$31*LN(10))*(MAX((LN(10^(逐级计算!$Q$31/10)-1)+逐级计算!$Q$31*(AE10-逐级计算!$P$31)*LN(10)/10),0)+LN(1+EXP(-ABS((LN(10^(逐级计算!$Q$31/10)-1)+逐级计算!$Q$31*(AE10-逐级计算!$P$31)*LN(10)/10))))))),"")</f>
        <v>15.943467554136</v>
      </c>
      <c r="AG10">
        <f>IF(AND(ISNUMBER(AF10),逐级计算!$X$32&gt;-1),IF(逐级计算!$X$32=0,AF10+逐级计算!$C$32,AF10+逐级计算!$C$32-(10/(逐级计算!$Q$32*LN(10))*(MAX((LN(10^(逐级计算!$Q$32/10)-1)+逐级计算!$Q$32*(AF10-逐级计算!$P$32)*LN(10)/10),0)+LN(1+EXP(-ABS((LN(10^(逐级计算!$Q$32/10)-1)+逐级计算!$Q$32*(AF10-逐级计算!$P$32)*LN(10)/10))))))),"")</f>
        <v>15.943467554136</v>
      </c>
      <c r="AH10">
        <f>IF(AND(ISNUMBER(AG10),逐级计算!$X$33&gt;-1),IF(逐级计算!$X$33=0,AG10+逐级计算!$C$33,AG10+逐级计算!$C$33-(10/(逐级计算!$Q$33*LN(10))*(MAX((LN(10^(逐级计算!$Q$33/10)-1)+逐级计算!$Q$33*(AG10-逐级计算!$P$33)*LN(10)/10),0)+LN(1+EXP(-ABS((LN(10^(逐级计算!$Q$33/10)-1)+逐级计算!$Q$33*(AG10-逐级计算!$P$33)*LN(10)/10))))))),"")</f>
        <v>15.943467554136</v>
      </c>
      <c r="AI10">
        <f>IF(AND(ISNUMBER(AH10),逐级计算!$X$34&gt;-1),IF(逐级计算!$X$34=0,AH10+逐级计算!$C$34,AH10+逐级计算!$C$34-(10/(逐级计算!$Q$34*LN(10))*(MAX((LN(10^(逐级计算!$Q$34/10)-1)+逐级计算!$Q$34*(AH10-逐级计算!$P$34)*LN(10)/10),0)+LN(1+EXP(-ABS((LN(10^(逐级计算!$Q$34/10)-1)+逐级计算!$Q$34*(AH10-逐级计算!$P$34)*LN(10)/10))))))),"")</f>
        <v>15.943467554136</v>
      </c>
      <c r="AJ10">
        <f>IF(AND(ISNUMBER(AI10),逐级计算!$X$35&gt;-1),IF(逐级计算!$X$35=0,AI10+逐级计算!$C$35,AI10+逐级计算!$C$35-(10/(逐级计算!$Q$35*LN(10))*(MAX((LN(10^(逐级计算!$Q$35/10)-1)+逐级计算!$Q$35*(AI10-逐级计算!$P$35)*LN(10)/10),0)+LN(1+EXP(-ABS((LN(10^(逐级计算!$Q$35/10)-1)+逐级计算!$Q$35*(AI10-逐级计算!$P$35)*LN(10)/10))))))),"")</f>
        <v>15.943467554136</v>
      </c>
      <c r="AK10">
        <f>IF(AND(ISNUMBER(AJ10),逐级计算!$X$36&gt;-1),IF(逐级计算!$X$36=0,AJ10+逐级计算!$C$36,AJ10+逐级计算!$C$36-(10/(逐级计算!$Q$36*LN(10))*(MAX((LN(10^(逐级计算!$Q$36/10)-1)+逐级计算!$Q$36*(AJ10-逐级计算!$P$36)*LN(10)/10),0)+LN(1+EXP(-ABS((LN(10^(逐级计算!$Q$36/10)-1)+逐级计算!$Q$36*(AJ10-逐级计算!$P$36)*LN(10)/10))))))),"")</f>
        <v>15.943467554136</v>
      </c>
      <c r="AL10">
        <f>IF(AND(ISNUMBER(AK10),逐级计算!$X$37&gt;-1),IF(逐级计算!$X$37=0,AK10+逐级计算!$C$37,AK10+逐级计算!$C$37-(10/(逐级计算!$Q$37*LN(10))*(MAX((LN(10^(逐级计算!$Q$37/10)-1)+逐级计算!$Q$37*(AK10-逐级计算!$P$37)*LN(10)/10),0)+LN(1+EXP(-ABS((LN(10^(逐级计算!$Q$37/10)-1)+逐级计算!$Q$37*(AK10-逐级计算!$P$37)*LN(10)/10))))))),"")</f>
        <v>15.943467554136</v>
      </c>
      <c r="AM10">
        <f>IF(AND(ISNUMBER(AL10),逐级计算!$X$38&gt;-1),IF(逐级计算!$X$38=0,AL10+逐级计算!$C$38,AL10+逐级计算!$C$38-(10/(逐级计算!$Q$38*LN(10))*(MAX((LN(10^(逐级计算!$Q$38/10)-1)+逐级计算!$Q$38*(AL10-逐级计算!$P$38)*LN(10)/10),0)+LN(1+EXP(-ABS((LN(10^(逐级计算!$Q$38/10)-1)+逐级计算!$Q$38*(AL10-逐级计算!$P$38)*LN(10)/10))))))),"")</f>
        <v>15.943467554136</v>
      </c>
      <c r="AN10">
        <f>IF(AND(ISNUMBER(AM10),逐级计算!$X$39&gt;-1),IF(逐级计算!$X$39=0,AM10+逐级计算!$C$39,AM10+逐级计算!$C$39-(10/(逐级计算!$Q$39*LN(10))*(MAX((LN(10^(逐级计算!$Q$39/10)-1)+逐级计算!$Q$39*(AM10-逐级计算!$P$39)*LN(10)/10),0)+LN(1+EXP(-ABS((LN(10^(逐级计算!$Q$39/10)-1)+逐级计算!$Q$39*(AM10-逐级计算!$P$39)*LN(10)/10))))))),"")</f>
        <v>15.943467554136</v>
      </c>
      <c r="AO10">
        <f>IF(AND(ISNUMBER(AN10),逐级计算!$X$40&gt;-1),IF(逐级计算!$X$40=0,AN10+逐级计算!$C$40,AN10+逐级计算!$C$40-(10/(逐级计算!$Q$40*LN(10))*(MAX((LN(10^(逐级计算!$Q$40/10)-1)+逐级计算!$Q$40*(AN10-逐级计算!$P$40)*LN(10)/10),0)+LN(1+EXP(-ABS((LN(10^(逐级计算!$Q$40/10)-1)+逐级计算!$Q$40*(AN10-逐级计算!$P$40)*LN(10)/10))))))),"")</f>
        <v>15.943467554136</v>
      </c>
      <c r="AP10">
        <f>IF(AND(ISNUMBER(AO10),逐级计算!$X$41&gt;-1),IF(逐级计算!$X$41=0,AO10+逐级计算!$C$41,AO10+逐级计算!$C$41-(10/(逐级计算!$Q$41*LN(10))*(MAX((LN(10^(逐级计算!$Q$41/10)-1)+逐级计算!$Q$41*(AO10-逐级计算!$P$41)*LN(10)/10),0)+LN(1+EXP(-ABS((LN(10^(逐级计算!$Q$41/10)-1)+逐级计算!$Q$41*(AO10-逐级计算!$P$41)*LN(10)/10))))))),"")</f>
        <v>15.943467554136</v>
      </c>
      <c r="AQ10">
        <f>IF(AND(ISNUMBER(AP10),逐级计算!$X$42&gt;-1),IF(逐级计算!$X$42=0,AP10+逐级计算!$C$42,AP10+逐级计算!$C$42-(10/(逐级计算!$Q$42*LN(10))*(MAX((LN(10^(逐级计算!$Q$42/10)-1)+逐级计算!$Q$42*(AP10-逐级计算!$P$42)*LN(10)/10),0)+LN(1+EXP(-ABS((LN(10^(逐级计算!$Q$42/10)-1)+逐级计算!$Q$42*(AP10-逐级计算!$P$42)*LN(10)/10))))))),"")</f>
        <v>15.943467554136</v>
      </c>
      <c r="AR10">
        <f>IF(AND(ISNUMBER(AQ10),逐级计算!$X$43&gt;-1),IF(逐级计算!$X$43=0,AQ10+逐级计算!$C$43,AQ10+逐级计算!$C$43-(10/(逐级计算!$Q$43*LN(10))*(MAX((LN(10^(逐级计算!$Q$43/10)-1)+逐级计算!$Q$43*(AQ10-逐级计算!$P$43)*LN(10)/10),0)+LN(1+EXP(-ABS((LN(10^(逐级计算!$Q$43/10)-1)+逐级计算!$Q$43*(AQ10-逐级计算!$P$43)*LN(10)/10))))))),"")</f>
        <v>15.943467554136</v>
      </c>
      <c r="AS10">
        <f>IF(AND(ISNUMBER(AR10),逐级计算!$X$44&gt;-1),IF(逐级计算!$X$44=0,AR10+逐级计算!$C$44,AR10+逐级计算!$C$44-(10/(逐级计算!$Q$44*LN(10))*(MAX((LN(10^(逐级计算!$Q$44/10)-1)+逐级计算!$Q$44*(AR10-逐级计算!$P$44)*LN(10)/10),0)+LN(1+EXP(-ABS((LN(10^(逐级计算!$Q$44/10)-1)+逐级计算!$Q$44*(AR10-逐级计算!$P$44)*LN(10)/10))))))),"")</f>
        <v>15.943467554136</v>
      </c>
      <c r="AT10">
        <f>IF(AND(ISNUMBER(AS10),逐级计算!$X$45&gt;-1),IF(逐级计算!$X$45=0,AS10+逐级计算!$C$45,AS10+逐级计算!$C$45-(10/(逐级计算!$Q$45*LN(10))*(MAX((LN(10^(逐级计算!$Q$45/10)-1)+逐级计算!$Q$45*(AS10-逐级计算!$P$45)*LN(10)/10),0)+LN(1+EXP(-ABS((LN(10^(逐级计算!$Q$45/10)-1)+逐级计算!$Q$45*(AS10-逐级计算!$P$45)*LN(10)/10))))))),"")</f>
        <v>15.943467554136</v>
      </c>
      <c r="AU10">
        <f>IF(AND(ISNUMBER(AT10),逐级计算!$X$46&gt;-1),IF(逐级计算!$X$46=0,AT10+逐级计算!$C$46,AT10+逐级计算!$C$46-(10/(逐级计算!$Q$46*LN(10))*(MAX((LN(10^(逐级计算!$Q$46/10)-1)+逐级计算!$Q$46*(AT10-逐级计算!$P$46)*LN(10)/10),0)+LN(1+EXP(-ABS((LN(10^(逐级计算!$Q$46/10)-1)+逐级计算!$Q$46*(AT10-逐级计算!$P$46)*LN(10)/10))))))),"")</f>
        <v>15.943467554136</v>
      </c>
      <c r="AV10">
        <f>IF(AND(ISNUMBER(AU10),逐级计算!$X$47&gt;-1),IF(逐级计算!$X$47=0,AU10+逐级计算!$C$47,AU10+逐级计算!$C$47-(10/(逐级计算!$Q$47*LN(10))*(MAX((LN(10^(逐级计算!$Q$47/10)-1)+逐级计算!$Q$47*(AU10-逐级计算!$P$47)*LN(10)/10),0)+LN(1+EXP(-ABS((LN(10^(逐级计算!$Q$47/10)-1)+逐级计算!$Q$47*(AU10-逐级计算!$P$47)*LN(10)/10))))))),"")</f>
        <v>15.943467554136</v>
      </c>
      <c r="AW10">
        <f>IF(AND(ISNUMBER(AV10),逐级计算!$X$48&gt;-1),IF(逐级计算!$X$48=0,AV10+逐级计算!$C$48,AV10+逐级计算!$C$48-(10/(逐级计算!$Q$48*LN(10))*(MAX((LN(10^(逐级计算!$Q$48/10)-1)+逐级计算!$Q$48*(AV10-逐级计算!$P$48)*LN(10)/10),0)+LN(1+EXP(-ABS((LN(10^(逐级计算!$Q$48/10)-1)+逐级计算!$Q$48*(AV10-逐级计算!$P$48)*LN(10)/10))))))),"")</f>
        <v>15.943467554136</v>
      </c>
      <c r="AX10">
        <f>IF(AND(ISNUMBER(AW10),逐级计算!$X$49&gt;-1),IF(逐级计算!$X$49=0,AW10+逐级计算!$C$49,AW10+逐级计算!$C$49-(10/(逐级计算!$Q$49*LN(10))*(MAX((LN(10^(逐级计算!$Q$49/10)-1)+逐级计算!$Q$49*(AW10-逐级计算!$P$49)*LN(10)/10),0)+LN(1+EXP(-ABS((LN(10^(逐级计算!$Q$49/10)-1)+逐级计算!$Q$49*(AW10-逐级计算!$P$49)*LN(10)/10))))))),"")</f>
        <v>15.943467554136</v>
      </c>
      <c r="AY10">
        <f>IF(AND(ISNUMBER(AX10),逐级计算!$X$50&gt;-1),IF(逐级计算!$X$50=0,AX10+逐级计算!$C$50,AX10+逐级计算!$C$50-(10/(逐级计算!$Q$50*LN(10))*(MAX((LN(10^(逐级计算!$Q$50/10)-1)+逐级计算!$Q$50*(AX10-逐级计算!$P$50)*LN(10)/10),0)+LN(1+EXP(-ABS((LN(10^(逐级计算!$Q$50/10)-1)+逐级计算!$Q$50*(AX10-逐级计算!$P$50)*LN(10)/10))))))),"")</f>
        <v>15.943467554136</v>
      </c>
      <c r="AZ10">
        <f>IF(AND(ISNUMBER(AY10),逐级计算!$X$51&gt;-1),IF(逐级计算!$X$51=0,AY10+逐级计算!$C$51,AY10+逐级计算!$C$51-(10/(逐级计算!$Q$51*LN(10))*(MAX((LN(10^(逐级计算!$Q$51/10)-1)+逐级计算!$Q$51*(AY10-逐级计算!$P$51)*LN(10)/10),0)+LN(1+EXP(-ABS((LN(10^(逐级计算!$Q$51/10)-1)+逐级计算!$Q$51*(AY10-逐级计算!$P$51)*LN(10)/10))))))),"")</f>
        <v>15.943467554136</v>
      </c>
      <c r="BA10">
        <f>IF(AND(ISNUMBER(AZ10),逐级计算!$X$52&gt;-1),IF(逐级计算!$X$52=0,AZ10+逐级计算!$C$52,AZ10+逐级计算!$C$52-(10/(逐级计算!$Q$52*LN(10))*(MAX((LN(10^(逐级计算!$Q$52/10)-1)+逐级计算!$Q$52*(AZ10-逐级计算!$P$52)*LN(10)/10),0)+LN(1+EXP(-ABS((LN(10^(逐级计算!$Q$52/10)-1)+逐级计算!$Q$52*(AZ10-逐级计算!$P$52)*LN(10)/10))))))),"")</f>
        <v>15.943467554136</v>
      </c>
      <c r="BB10">
        <f>IF(AND(ISNUMBER(BA10),逐级计算!$X$53&gt;-1),IF(逐级计算!$X$53=0,BA10+逐级计算!$C$53,BA10+逐级计算!$C$53-(10/(逐级计算!$Q$53*LN(10))*(MAX((LN(10^(逐级计算!$Q$53/10)-1)+逐级计算!$Q$53*(BA10-逐级计算!$P$53)*LN(10)/10),0)+LN(1+EXP(-ABS((LN(10^(逐级计算!$Q$53/10)-1)+逐级计算!$Q$53*(BA10-逐级计算!$P$53)*LN(10)/10))))))),"")</f>
        <v>15.943467554136</v>
      </c>
      <c r="BC10">
        <f>IF(AND(ISNUMBER(BB10),逐级计算!$X$54&gt;-1),IF(逐级计算!$X$54=0,BB10+逐级计算!$C$54,BB10+逐级计算!$C$54-(10/(逐级计算!$Q$54*LN(10))*(MAX((LN(10^(逐级计算!$Q$54/10)-1)+逐级计算!$Q$54*(BB10-逐级计算!$P$54)*LN(10)/10),0)+LN(1+EXP(-ABS((LN(10^(逐级计算!$Q$54/10)-1)+逐级计算!$Q$54*(BB10-逐级计算!$P$54)*LN(10)/10))))))),"")</f>
        <v>15.943467554136</v>
      </c>
      <c r="BD10">
        <f>IF(AND(ISNUMBER(BC10),逐级计算!$X$55&gt;-1),IF(逐级计算!$X$55=0,BC10+逐级计算!$C$55,BC10+逐级计算!$C$55-(10/(逐级计算!$Q$55*LN(10))*(MAX((LN(10^(逐级计算!$Q$55/10)-1)+逐级计算!$Q$55*(BC10-逐级计算!$P$55)*LN(10)/10),0)+LN(1+EXP(-ABS((LN(10^(逐级计算!$Q$55/10)-1)+逐级计算!$Q$55*(BC10-逐级计算!$P$55)*LN(10)/10))))))),"")</f>
        <v>15.943467554136</v>
      </c>
      <c r="BE10">
        <f>IF(AND(ISNUMBER(BD10),逐级计算!$X$56&gt;-1),IF(逐级计算!$X$56=0,BD10+逐级计算!$C$56,BD10+逐级计算!$C$56-(10/(逐级计算!$Q$56*LN(10))*(MAX((LN(10^(逐级计算!$Q$56/10)-1)+逐级计算!$Q$56*(BD10-逐级计算!$P$56)*LN(10)/10),0)+LN(1+EXP(-ABS((LN(10^(逐级计算!$Q$56/10)-1)+逐级计算!$Q$56*(BD10-逐级计算!$P$56)*LN(10)/10))))))),"")</f>
        <v>15.943467554136</v>
      </c>
      <c r="BF10">
        <f>IF(AND(ISNUMBER(BE10),逐级计算!$X$57&gt;-1),IF(逐级计算!$X$57=0,BE10+逐级计算!$C$57,BE10+逐级计算!$C$57-(10/(逐级计算!$Q$57*LN(10))*(MAX((LN(10^(逐级计算!$Q$57/10)-1)+逐级计算!$Q$57*(BE10-逐级计算!$P$57)*LN(10)/10),0)+LN(1+EXP(-ABS((LN(10^(逐级计算!$Q$57/10)-1)+逐级计算!$Q$57*(BE10-逐级计算!$P$57)*LN(10)/10))))))),"")</f>
        <v>15.943467554136</v>
      </c>
      <c r="BG10">
        <f>IF(AND(ISNUMBER(BF10),逐级计算!$X$58&gt;-1),IF(逐级计算!$X$58=0,BF10+逐级计算!$C$58,BF10+逐级计算!$C$58-(10/(逐级计算!$Q$58*LN(10))*(MAX((LN(10^(逐级计算!$Q$58/10)-1)+逐级计算!$Q$58*(BF10-逐级计算!$P$58)*LN(10)/10),0)+LN(1+EXP(-ABS((LN(10^(逐级计算!$Q$58/10)-1)+逐级计算!$Q$58*(BF10-逐级计算!$P$58)*LN(10)/10))))))),"")</f>
        <v>15.943467554136</v>
      </c>
      <c r="BH10">
        <f>IF(AND(ISNUMBER(BG10),逐级计算!$X$59&gt;-1),IF(逐级计算!$X$59=0,BG10+逐级计算!$C$59,BG10+逐级计算!$C$59-(10/(逐级计算!$Q$59*LN(10))*(MAX((LN(10^(逐级计算!$Q$59/10)-1)+逐级计算!$Q$59*(BG10-逐级计算!$P$59)*LN(10)/10),0)+LN(1+EXP(-ABS((LN(10^(逐级计算!$Q$59/10)-1)+逐级计算!$Q$59*(BG10-逐级计算!$P$59)*LN(10)/10))))))),"")</f>
        <v>15.943467554136</v>
      </c>
      <c r="BI10">
        <f>IF(AND(ISNUMBER(BH10),逐级计算!$X$60&gt;-1),IF(逐级计算!$X$60=0,BH10+逐级计算!$C$60,BH10+逐级计算!$C$60-(10/(逐级计算!$Q$60*LN(10))*(MAX((LN(10^(逐级计算!$Q$60/10)-1)+逐级计算!$Q$60*(BH10-逐级计算!$P$60)*LN(10)/10),0)+LN(1+EXP(-ABS((LN(10^(逐级计算!$Q$60/10)-1)+逐级计算!$Q$60*(BH10-逐级计算!$P$60)*LN(10)/10))))))),"")</f>
        <v>15.943467554136</v>
      </c>
      <c r="BJ10">
        <f>IF(AND(ISNUMBER(BI10),逐级计算!$X$61&gt;-1),IF(逐级计算!$X$61=0,BI10+逐级计算!$C$61,BI10+逐级计算!$C$61-(10/(逐级计算!$Q$61*LN(10))*(MAX((LN(10^(逐级计算!$Q$61/10)-1)+逐级计算!$Q$61*(BI10-逐级计算!$P$61)*LN(10)/10),0)+LN(1+EXP(-ABS((LN(10^(逐级计算!$Q$61/10)-1)+逐级计算!$Q$61*(BI10-逐级计算!$P$61)*LN(10)/10))))))),"")</f>
        <v>15.943467554136</v>
      </c>
      <c r="BK10">
        <f>IF(AND(ISNUMBER(BJ10),逐级计算!$X$62&gt;-1),IF(逐级计算!$X$62=0,BJ10+逐级计算!$C$62,BJ10+逐级计算!$C$62-(10/(逐级计算!$Q$62*LN(10))*(MAX((LN(10^(逐级计算!$Q$62/10)-1)+逐级计算!$Q$62*(BJ10-逐级计算!$P$62)*LN(10)/10),0)+LN(1+EXP(-ABS((LN(10^(逐级计算!$Q$62/10)-1)+逐级计算!$Q$62*(BJ10-逐级计算!$P$62)*LN(10)/10))))))),"")</f>
        <v>15.943467554136</v>
      </c>
      <c r="BL10">
        <f>IF(AND(ISNUMBER(BK10),逐级计算!$X$63&gt;-1),IF(逐级计算!$X$63=0,BK10+逐级计算!$C$63,BK10+逐级计算!$C$63-(10/(逐级计算!$Q$63*LN(10))*(MAX((LN(10^(逐级计算!$Q$63/10)-1)+逐级计算!$Q$63*(BK10-逐级计算!$P$63)*LN(10)/10),0)+LN(1+EXP(-ABS((LN(10^(逐级计算!$Q$63/10)-1)+逐级计算!$Q$63*(BK10-逐级计算!$P$63)*LN(10)/10))))))),"")</f>
        <v>15.943467554136</v>
      </c>
      <c r="BM10">
        <f>IF(AND(ISNUMBER(BL10),逐级计算!$X$64&gt;-1),IF(逐级计算!$X$64=0,BL10+逐级计算!$C$64,BL10+逐级计算!$C$64-(10/(逐级计算!$Q$64*LN(10))*(MAX((LN(10^(逐级计算!$Q$64/10)-1)+逐级计算!$Q$64*(BL10-逐级计算!$P$64)*LN(10)/10),0)+LN(1+EXP(-ABS((LN(10^(逐级计算!$Q$64/10)-1)+逐级计算!$Q$64*(BL10-逐级计算!$P$64)*LN(10)/10))))))),"")</f>
        <v>15.943467554136</v>
      </c>
      <c r="BN10">
        <f>IF(AND(ISNUMBER(BM10),逐级计算!$X$65&gt;-1),IF(逐级计算!$X$65=0,BM10+逐级计算!$C$65,BM10+逐级计算!$C$65-(10/(逐级计算!$Q$65*LN(10))*(MAX((LN(10^(逐级计算!$Q$65/10)-1)+逐级计算!$Q$65*(BM10-逐级计算!$P$65)*LN(10)/10),0)+LN(1+EXP(-ABS((LN(10^(逐级计算!$Q$65/10)-1)+逐级计算!$Q$65*(BM10-逐级计算!$P$65)*LN(10)/10))))))),"")</f>
        <v>15.943467554136</v>
      </c>
      <c r="BO10">
        <f>IF(AND(ISNUMBER(BN10),逐级计算!$X$66&gt;-1),IF(逐级计算!$X$66=0,BN10+逐级计算!$C$66,BN10+逐级计算!$C$66-(10/(逐级计算!$Q$66*LN(10))*(MAX((LN(10^(逐级计算!$Q$66/10)-1)+逐级计算!$Q$66*(BN10-逐级计算!$P$66)*LN(10)/10),0)+LN(1+EXP(-ABS((LN(10^(逐级计算!$Q$66/10)-1)+逐级计算!$Q$66*(BN10-逐级计算!$P$66)*LN(10)/10))))))),"")</f>
        <v>15.943467554136</v>
      </c>
      <c r="BP10">
        <f>IF(AND(ISNUMBER(BO10),逐级计算!$X$67&gt;-1),IF(逐级计算!$X$67=0,BO10+逐级计算!$C$67,BO10+逐级计算!$C$67-(10/(逐级计算!$Q$67*LN(10))*(MAX((LN(10^(逐级计算!$Q$67/10)-1)+逐级计算!$Q$67*(BO10-逐级计算!$P$67)*LN(10)/10),0)+LN(1+EXP(-ABS((LN(10^(逐级计算!$Q$67/10)-1)+逐级计算!$Q$67*(BO10-逐级计算!$P$67)*LN(10)/10))))))),"")</f>
        <v>15.943467554136</v>
      </c>
      <c r="BQ10">
        <f>IF(AND(ISNUMBER(BP10),逐级计算!$X$68&gt;-1),IF(逐级计算!$X$68=0,BP10+逐级计算!$C$68,BP10+逐级计算!$C$68-(10/(逐级计算!$Q$68*LN(10))*(MAX((LN(10^(逐级计算!$Q$68/10)-1)+逐级计算!$Q$68*(BP10-逐级计算!$P$68)*LN(10)/10),0)+LN(1+EXP(-ABS((LN(10^(逐级计算!$Q$68/10)-1)+逐级计算!$Q$68*(BP10-逐级计算!$P$68)*LN(10)/10))))))),"")</f>
        <v>15.943467554136</v>
      </c>
      <c r="BR10">
        <f>IF(AND(ISNUMBER(BQ10),逐级计算!$X$69&gt;-1),IF(逐级计算!$X$69=0,BQ10+逐级计算!$C$69,BQ10+逐级计算!$C$69-(10/(逐级计算!$Q$69*LN(10))*(MAX((LN(10^(逐级计算!$Q$69/10)-1)+逐级计算!$Q$69*(BQ10-逐级计算!$P$69)*LN(10)/10),0)+LN(1+EXP(-ABS((LN(10^(逐级计算!$Q$69/10)-1)+逐级计算!$Q$69*(BQ10-逐级计算!$P$69)*LN(10)/10))))))),"")</f>
        <v>15.943467554136</v>
      </c>
      <c r="BS10">
        <f>IF(AND(ISNUMBER(BR10),逐级计算!$X$70&gt;-1),IF(逐级计算!$X$70=0,BR10+逐级计算!$C$70,BR10+逐级计算!$C$70-(10/(逐级计算!$Q$70*LN(10))*(MAX((LN(10^(逐级计算!$Q$70/10)-1)+逐级计算!$Q$70*(BR10-逐级计算!$P$70)*LN(10)/10),0)+LN(1+EXP(-ABS((LN(10^(逐级计算!$Q$70/10)-1)+逐级计算!$Q$70*(BR10-逐级计算!$P$70)*LN(10)/10))))))),"")</f>
        <v>15.943467554136</v>
      </c>
      <c r="BT10">
        <f>IF(AND(ISNUMBER(BS10),逐级计算!$X$71&gt;-1),IF(逐级计算!$X$71=0,BS10+逐级计算!$C$71,BS10+逐级计算!$C$71-(10/(逐级计算!$Q$71*LN(10))*(MAX((LN(10^(逐级计算!$Q$71/10)-1)+逐级计算!$Q$71*(BS10-逐级计算!$P$71)*LN(10)/10),0)+LN(1+EXP(-ABS((LN(10^(逐级计算!$Q$71/10)-1)+逐级计算!$Q$71*(BS10-逐级计算!$P$71)*LN(10)/10))))))),"")</f>
        <v>15.943467554136</v>
      </c>
      <c r="BU10">
        <f>IF(AND(ISNUMBER(BT10),逐级计算!$X$72&gt;-1),IF(逐级计算!$X$72=0,BT10+逐级计算!$C$72,BT10+逐级计算!$C$72-(10/(逐级计算!$Q$72*LN(10))*(MAX((LN(10^(逐级计算!$Q$72/10)-1)+逐级计算!$Q$72*(BT10-逐级计算!$P$72)*LN(10)/10),0)+LN(1+EXP(-ABS((LN(10^(逐级计算!$Q$72/10)-1)+逐级计算!$Q$72*(BT10-逐级计算!$P$72)*LN(10)/10))))))),"")</f>
        <v>15.943467554136</v>
      </c>
      <c r="BV10">
        <f>IF(AND(ISNUMBER(BU10),逐级计算!$X$73&gt;-1),IF(逐级计算!$X$73=0,BU10+逐级计算!$C$73,BU10+逐级计算!$C$73-(10/(逐级计算!$Q$73*LN(10))*(MAX((LN(10^(逐级计算!$Q$73/10)-1)+逐级计算!$Q$73*(BU10-逐级计算!$P$73)*LN(10)/10),0)+LN(1+EXP(-ABS((LN(10^(逐级计算!$Q$73/10)-1)+逐级计算!$Q$73*(BU10-逐级计算!$P$73)*LN(10)/10))))))),"")</f>
        <v>15.943467554136</v>
      </c>
      <c r="BW10">
        <f>IF(AND(ISNUMBER(BV10),逐级计算!$X$74&gt;-1),IF(逐级计算!$X$74=0,BV10+逐级计算!$C$74,BV10+逐级计算!$C$74-(10/(逐级计算!$Q$74*LN(10))*(MAX((LN(10^(逐级计算!$Q$74/10)-1)+逐级计算!$Q$74*(BV10-逐级计算!$P$74)*LN(10)/10),0)+LN(1+EXP(-ABS((LN(10^(逐级计算!$Q$74/10)-1)+逐级计算!$Q$74*(BV10-逐级计算!$P$74)*LN(10)/10))))))),"")</f>
        <v>15.943467554136</v>
      </c>
      <c r="BX10">
        <f>IF(AND(ISNUMBER(BW10),逐级计算!$X$75&gt;-1),IF(逐级计算!$X$75=0,BW10+逐级计算!$C$75,BW10+逐级计算!$C$75-(10/(逐级计算!$Q$75*LN(10))*(MAX((LN(10^(逐级计算!$Q$75/10)-1)+逐级计算!$Q$75*(BW10-逐级计算!$P$75)*LN(10)/10),0)+LN(1+EXP(-ABS((LN(10^(逐级计算!$Q$75/10)-1)+逐级计算!$Q$75*(BW10-逐级计算!$P$75)*LN(10)/10))))))),"")</f>
        <v>15.943467554136</v>
      </c>
      <c r="BY10">
        <f>IF(AND(ISNUMBER(BX10),逐级计算!$X$76&gt;-1),IF(逐级计算!$X$76=0,BX10+逐级计算!$C$76,BX10+逐级计算!$C$76-(10/(逐级计算!$Q$76*LN(10))*(MAX((LN(10^(逐级计算!$Q$76/10)-1)+逐级计算!$Q$76*(BX10-逐级计算!$P$76)*LN(10)/10),0)+LN(1+EXP(-ABS((LN(10^(逐级计算!$Q$76/10)-1)+逐级计算!$Q$76*(BX10-逐级计算!$P$76)*LN(10)/10))))))),"")</f>
        <v>15.943467554136</v>
      </c>
      <c r="BZ10">
        <f>IF(AND(ISNUMBER(BY10),逐级计算!$X$77&gt;-1),IF(逐级计算!$X$77=0,BY10+逐级计算!$C$77,BY10+逐级计算!$C$77-(10/(逐级计算!$Q$77*LN(10))*(MAX((LN(10^(逐级计算!$Q$77/10)-1)+逐级计算!$Q$77*(BY10-逐级计算!$P$77)*LN(10)/10),0)+LN(1+EXP(-ABS((LN(10^(逐级计算!$Q$77/10)-1)+逐级计算!$Q$77*(BY10-逐级计算!$P$77)*LN(10)/10))))))),"")</f>
        <v>15.943467554136</v>
      </c>
      <c r="CA10">
        <f>IF(AND(ISNUMBER(BZ10),逐级计算!$X$78&gt;-1),IF(逐级计算!$X$78=0,BZ10+逐级计算!$C$78,BZ10+逐级计算!$C$78-(10/(逐级计算!$Q$78*LN(10))*(MAX((LN(10^(逐级计算!$Q$78/10)-1)+逐级计算!$Q$78*(BZ10-逐级计算!$P$78)*LN(10)/10),0)+LN(1+EXP(-ABS((LN(10^(逐级计算!$Q$78/10)-1)+逐级计算!$Q$78*(BZ10-逐级计算!$P$78)*LN(10)/10))))))),"")</f>
        <v>15.943467554136</v>
      </c>
      <c r="CB10">
        <f>IF(AND(ISNUMBER(CA10),逐级计算!$X$79&gt;-1),IF(逐级计算!$X$79=0,CA10+逐级计算!$C$79,CA10+逐级计算!$C$79-(10/(逐级计算!$Q$79*LN(10))*(MAX((LN(10^(逐级计算!$Q$79/10)-1)+逐级计算!$Q$79*(CA10-逐级计算!$P$79)*LN(10)/10),0)+LN(1+EXP(-ABS((LN(10^(逐级计算!$Q$79/10)-1)+逐级计算!$Q$79*(CA10-逐级计算!$P$79)*LN(10)/10))))))),"")</f>
        <v>15.943467554136</v>
      </c>
      <c r="CC10">
        <f>IF(AND(ISNUMBER(CB10),逐级计算!$X$80&gt;-1),IF(逐级计算!$X$80=0,CB10+逐级计算!$C$80,CB10+逐级计算!$C$80-(10/(逐级计算!$Q$80*LN(10))*(MAX((LN(10^(逐级计算!$Q$80/10)-1)+逐级计算!$Q$80*(CB10-逐级计算!$P$80)*LN(10)/10),0)+LN(1+EXP(-ABS((LN(10^(逐级计算!$Q$80/10)-1)+逐级计算!$Q$80*(CB10-逐级计算!$P$80)*LN(10)/10))))))),"")</f>
        <v>15.943467554136</v>
      </c>
      <c r="CD10">
        <f>IF(AND(ISNUMBER(CC10),逐级计算!$X$81&gt;-1),IF(逐级计算!$X$81=0,CC10+逐级计算!$C$81,CC10+逐级计算!$C$81-(10/(逐级计算!$Q$81*LN(10))*(MAX((LN(10^(逐级计算!$Q$81/10)-1)+逐级计算!$Q$81*(CC10-逐级计算!$P$81)*LN(10)/10),0)+LN(1+EXP(-ABS((LN(10^(逐级计算!$Q$81/10)-1)+逐级计算!$Q$81*(CC10-逐级计算!$P$81)*LN(10)/10))))))),"")</f>
        <v>15.943467554136</v>
      </c>
      <c r="CE10">
        <f>IF(AND(ISNUMBER(CD10),逐级计算!$X$82&gt;-1),IF(逐级计算!$X$82=0,CD10+逐级计算!$C$82,CD10+逐级计算!$C$82-(10/(逐级计算!$Q$82*LN(10))*(MAX((LN(10^(逐级计算!$Q$82/10)-1)+逐级计算!$Q$82*(CD10-逐级计算!$P$82)*LN(10)/10),0)+LN(1+EXP(-ABS((LN(10^(逐级计算!$Q$82/10)-1)+逐级计算!$Q$82*(CD10-逐级计算!$P$82)*LN(10)/10))))))),"")</f>
        <v>15.943467554136</v>
      </c>
      <c r="CF10">
        <f>IF(AND(ISNUMBER(CE10),逐级计算!$X$83&gt;-1),IF(逐级计算!$X$83=0,CE10+逐级计算!$C$83,CE10+逐级计算!$C$83-(10/(逐级计算!$Q$83*LN(10))*(MAX((LN(10^(逐级计算!$Q$83/10)-1)+逐级计算!$Q$83*(CE10-逐级计算!$P$83)*LN(10)/10),0)+LN(1+EXP(-ABS((LN(10^(逐级计算!$Q$83/10)-1)+逐级计算!$Q$83*(CE10-逐级计算!$P$83)*LN(10)/10))))))),"")</f>
        <v>15.943467554136</v>
      </c>
      <c r="CG10">
        <f>IF(AND(ISNUMBER(CF10),逐级计算!$X$84&gt;-1),IF(逐级计算!$X$84=0,CF10+逐级计算!$C$84,CF10+逐级计算!$C$84-(10/(逐级计算!$Q$84*LN(10))*(MAX((LN(10^(逐级计算!$Q$84/10)-1)+逐级计算!$Q$84*(CF10-逐级计算!$P$84)*LN(10)/10),0)+LN(1+EXP(-ABS((LN(10^(逐级计算!$Q$84/10)-1)+逐级计算!$Q$84*(CF10-逐级计算!$P$84)*LN(10)/10))))))),"")</f>
        <v>15.943467554136</v>
      </c>
      <c r="CH10">
        <f>IF(AND(ISNUMBER(CG10),逐级计算!$X$85&gt;-1),IF(逐级计算!$X$85=0,CG10+逐级计算!$C$85,CG10+逐级计算!$C$85-(10/(逐级计算!$Q$85*LN(10))*(MAX((LN(10^(逐级计算!$Q$85/10)-1)+逐级计算!$Q$85*(CG10-逐级计算!$P$85)*LN(10)/10),0)+LN(1+EXP(-ABS((LN(10^(逐级计算!$Q$85/10)-1)+逐级计算!$Q$85*(CG10-逐级计算!$P$85)*LN(10)/10))))))),"")</f>
        <v>15.943467554136</v>
      </c>
      <c r="CI10">
        <f>IF(AND(ISNUMBER(CH10),逐级计算!$X$86&gt;-1),IF(逐级计算!$X$86=0,CH10+逐级计算!$C$86,CH10+逐级计算!$C$86-(10/(逐级计算!$Q$86*LN(10))*(MAX((LN(10^(逐级计算!$Q$86/10)-1)+逐级计算!$Q$86*(CH10-逐级计算!$P$86)*LN(10)/10),0)+LN(1+EXP(-ABS((LN(10^(逐级计算!$Q$86/10)-1)+逐级计算!$Q$86*(CH10-逐级计算!$P$86)*LN(10)/10))))))),"")</f>
        <v>15.943467554136</v>
      </c>
      <c r="CJ10">
        <f>IF(AND(ISNUMBER(CI10),逐级计算!$X$87&gt;-1),IF(逐级计算!$X$87=0,CI10+逐级计算!$C$87,CI10+逐级计算!$C$87-(10/(逐级计算!$Q$87*LN(10))*(MAX((LN(10^(逐级计算!$Q$87/10)-1)+逐级计算!$Q$87*(CI10-逐级计算!$P$87)*LN(10)/10),0)+LN(1+EXP(-ABS((LN(10^(逐级计算!$Q$87/10)-1)+逐级计算!$Q$87*(CI10-逐级计算!$P$87)*LN(10)/10))))))),"")</f>
        <v>15.943467554136</v>
      </c>
      <c r="CK10">
        <f>IF(AND(ISNUMBER(CJ10),逐级计算!$X$88&gt;-1),IF(逐级计算!$X$88=0,CJ10+逐级计算!$C$88,CJ10+逐级计算!$C$88-(10/(逐级计算!$Q$88*LN(10))*(MAX((LN(10^(逐级计算!$Q$88/10)-1)+逐级计算!$Q$88*(CJ10-逐级计算!$P$88)*LN(10)/10),0)+LN(1+EXP(-ABS((LN(10^(逐级计算!$Q$88/10)-1)+逐级计算!$Q$88*(CJ10-逐级计算!$P$88)*LN(10)/10))))))),"")</f>
        <v>15.943467554136</v>
      </c>
      <c r="CL10">
        <f>IF(AND(ISNUMBER(CK10),逐级计算!$X$89&gt;-1),IF(逐级计算!$X$89=0,CK10+逐级计算!$C$89,CK10+逐级计算!$C$89-(10/(逐级计算!$Q$89*LN(10))*(MAX((LN(10^(逐级计算!$Q$89/10)-1)+逐级计算!$Q$89*(CK10-逐级计算!$P$89)*LN(10)/10),0)+LN(1+EXP(-ABS((LN(10^(逐级计算!$Q$89/10)-1)+逐级计算!$Q$89*(CK10-逐级计算!$P$89)*LN(10)/10))))))),"")</f>
        <v>15.943467554136</v>
      </c>
      <c r="CM10">
        <f>IF(AND(ISNUMBER(CL10),逐级计算!$X$90&gt;-1),IF(逐级计算!$X$90=0,CL10+逐级计算!$C$90,CL10+逐级计算!$C$90-(10/(逐级计算!$Q$90*LN(10))*(MAX((LN(10^(逐级计算!$Q$90/10)-1)+逐级计算!$Q$90*(CL10-逐级计算!$P$90)*LN(10)/10),0)+LN(1+EXP(-ABS((LN(10^(逐级计算!$Q$90/10)-1)+逐级计算!$Q$90*(CL10-逐级计算!$P$90)*LN(10)/10))))))),"")</f>
        <v>15.943467554136</v>
      </c>
      <c r="CN10">
        <f>IF(AND(ISNUMBER(CM10),逐级计算!$X$91&gt;-1),IF(逐级计算!$X$91=0,CM10+逐级计算!$C$91,CM10+逐级计算!$C$91-(10/(逐级计算!$Q$91*LN(10))*(MAX((LN(10^(逐级计算!$Q$91/10)-1)+逐级计算!$Q$91*(CM10-逐级计算!$P$91)*LN(10)/10),0)+LN(1+EXP(-ABS((LN(10^(逐级计算!$Q$91/10)-1)+逐级计算!$Q$91*(CM10-逐级计算!$P$91)*LN(10)/10))))))),"")</f>
        <v>15.943467554136</v>
      </c>
      <c r="CO10">
        <f>IF(AND(ISNUMBER(CN10),逐级计算!$X$92&gt;-1),IF(逐级计算!$X$92=0,CN10+逐级计算!$C$92,CN10+逐级计算!$C$92-(10/(逐级计算!$Q$92*LN(10))*(MAX((LN(10^(逐级计算!$Q$92/10)-1)+逐级计算!$Q$92*(CN10-逐级计算!$P$92)*LN(10)/10),0)+LN(1+EXP(-ABS((LN(10^(逐级计算!$Q$92/10)-1)+逐级计算!$Q$92*(CN10-逐级计算!$P$92)*LN(10)/10))))))),"")</f>
        <v>15.943467554136</v>
      </c>
      <c r="CP10">
        <f>IF(AND(ISNUMBER(CO10),逐级计算!$X$93&gt;-1),IF(逐级计算!$X$93=0,CO10+逐级计算!$C$93,CO10+逐级计算!$C$93-(10/(逐级计算!$Q$93*LN(10))*(MAX((LN(10^(逐级计算!$Q$93/10)-1)+逐级计算!$Q$93*(CO10-逐级计算!$P$93)*LN(10)/10),0)+LN(1+EXP(-ABS((LN(10^(逐级计算!$Q$93/10)-1)+逐级计算!$Q$93*(CO10-逐级计算!$P$93)*LN(10)/10))))))),"")</f>
        <v>15.943467554136</v>
      </c>
      <c r="CQ10">
        <f>IF(AND(ISNUMBER(CP10),逐级计算!$X$94&gt;-1),IF(逐级计算!$X$94=0,CP10+逐级计算!$C$94,CP10+逐级计算!$C$94-(10/(逐级计算!$Q$94*LN(10))*(MAX((LN(10^(逐级计算!$Q$94/10)-1)+逐级计算!$Q$94*(CP10-逐级计算!$P$94)*LN(10)/10),0)+LN(1+EXP(-ABS((LN(10^(逐级计算!$Q$94/10)-1)+逐级计算!$Q$94*(CP10-逐级计算!$P$94)*LN(10)/10))))))),"")</f>
        <v>15.943467554136</v>
      </c>
      <c r="CR10">
        <f>IF(AND(ISNUMBER(CQ10),逐级计算!$X$95&gt;-1),IF(逐级计算!$X$95=0,CQ10+逐级计算!$C$95,CQ10+逐级计算!$C$95-(10/(逐级计算!$Q$95*LN(10))*(MAX((LN(10^(逐级计算!$Q$95/10)-1)+逐级计算!$Q$95*(CQ10-逐级计算!$P$95)*LN(10)/10),0)+LN(1+EXP(-ABS((LN(10^(逐级计算!$Q$95/10)-1)+逐级计算!$Q$95*(CQ10-逐级计算!$P$95)*LN(10)/10))))))),"")</f>
        <v>15.943467554136</v>
      </c>
      <c r="CS10">
        <f>IF(AND(ISNUMBER(CR10),逐级计算!$X$96&gt;-1),IF(逐级计算!$X$96=0,CR10+逐级计算!$C$96,CR10+逐级计算!$C$96-(10/(逐级计算!$Q$96*LN(10))*(MAX((LN(10^(逐级计算!$Q$96/10)-1)+逐级计算!$Q$96*(CR10-逐级计算!$P$96)*LN(10)/10),0)+LN(1+EXP(-ABS((LN(10^(逐级计算!$Q$96/10)-1)+逐级计算!$Q$96*(CR10-逐级计算!$P$96)*LN(10)/10))))))),"")</f>
        <v>15.943467554136</v>
      </c>
      <c r="CT10">
        <f>IF(AND(ISNUMBER(CS10),逐级计算!$X$97&gt;-1),IF(逐级计算!$X$97=0,CS10+逐级计算!$C$97,CS10+逐级计算!$C$97-(10/(逐级计算!$Q$97*LN(10))*(MAX((LN(10^(逐级计算!$Q$97/10)-1)+逐级计算!$Q$97*(CS10-逐级计算!$P$97)*LN(10)/10),0)+LN(1+EXP(-ABS((LN(10^(逐级计算!$Q$97/10)-1)+逐级计算!$Q$97*(CS10-逐级计算!$P$97)*LN(10)/10))))))),"")</f>
        <v>15.943467554136</v>
      </c>
      <c r="CU10">
        <f>IF(AND(ISNUMBER(CT10),逐级计算!$X$98&gt;-1),IF(逐级计算!$X$98=0,CT10+逐级计算!$C$98,CT10+逐级计算!$C$98-(10/(逐级计算!$Q$98*LN(10))*(MAX((LN(10^(逐级计算!$Q$98/10)-1)+逐级计算!$Q$98*(CT10-逐级计算!$P$98)*LN(10)/10),0)+LN(1+EXP(-ABS((LN(10^(逐级计算!$Q$98/10)-1)+逐级计算!$Q$98*(CT10-逐级计算!$P$98)*LN(10)/10))))))),"")</f>
        <v>15.943467554136</v>
      </c>
      <c r="CV10">
        <f>IF(AND(ISNUMBER(CU10),逐级计算!$X$99&gt;-1),IF(逐级计算!$X$99=0,CU10+逐级计算!$C$99,CU10+逐级计算!$C$99-(10/(逐级计算!$Q$99*LN(10))*(MAX((LN(10^(逐级计算!$Q$99/10)-1)+逐级计算!$Q$99*(CU10-逐级计算!$P$99)*LN(10)/10),0)+LN(1+EXP(-ABS((LN(10^(逐级计算!$Q$99/10)-1)+逐级计算!$Q$99*(CU10-逐级计算!$P$99)*LN(10)/10))))))),"")</f>
        <v>15.943467554136</v>
      </c>
      <c r="CW10">
        <f>IF(AND(ISNUMBER(CV10),逐级计算!$X$100&gt;-1),IF(逐级计算!$X$100=0,CV10+逐级计算!$C$100,CV10+逐级计算!$C$100-(10/(逐级计算!$Q$100*LN(10))*(MAX((LN(10^(逐级计算!$Q$100/10)-1)+逐级计算!$Q$100*(CV10-逐级计算!$P$100)*LN(10)/10),0)+LN(1+EXP(-ABS((LN(10^(逐级计算!$Q$100/10)-1)+逐级计算!$Q$100*(CV10-逐级计算!$P$100)*LN(10)/10))))))),"")</f>
        <v>15.943467554136</v>
      </c>
      <c r="CX10">
        <f>IF(AND(ISNUMBER(CW10),逐级计算!$X$101&gt;-1),IF(逐级计算!$X$101=0,CW10+逐级计算!$C$101,CW10+逐级计算!$C$101-(10/(逐级计算!$Q$101*LN(10))*(MAX((LN(10^(逐级计算!$Q$101/10)-1)+逐级计算!$Q$101*(CW10-逐级计算!$P$101)*LN(10)/10),0)+LN(1+EXP(-ABS((LN(10^(逐级计算!$Q$101/10)-1)+逐级计算!$Q$101*(CW10-逐级计算!$P$101)*LN(10)/10))))))),"")</f>
        <v>15.943467554136</v>
      </c>
      <c r="CY10">
        <f>IF(AND(ISNUMBER(CX10),逐级计算!$X$102&gt;-1),IF(逐级计算!$X$102=0,CX10+逐级计算!$C$102,CX10+逐级计算!$C$102-(10/(逐级计算!$Q$102*LN(10))*(MAX((LN(10^(逐级计算!$Q$102/10)-1)+逐级计算!$Q$102*(CX10-逐级计算!$P$102)*LN(10)/10),0)+LN(1+EXP(-ABS((LN(10^(逐级计算!$Q$102/10)-1)+逐级计算!$Q$102*(CX10-逐级计算!$P$102)*LN(10)/10))))))),"")</f>
        <v>15.943467554136</v>
      </c>
      <c r="CZ10">
        <f>IF(AND(ISNUMBER(CY10),逐级计算!$X$103&gt;-1),IF(逐级计算!$X$103=0,CY10+逐级计算!$C$103,CY10+逐级计算!$C$103-(10/(逐级计算!$Q$103*LN(10))*(MAX((LN(10^(逐级计算!$Q$103/10)-1)+逐级计算!$Q$103*(CY10-逐级计算!$P$103)*LN(10)/10),0)+LN(1+EXP(-ABS((LN(10^(逐级计算!$Q$103/10)-1)+逐级计算!$Q$103*(CY10-逐级计算!$P$103)*LN(10)/10))))))),"")</f>
        <v>15.943467554136</v>
      </c>
      <c r="DA10">
        <f>IF(AND(ISNUMBER(CZ10),逐级计算!$X$104&gt;-1),IF(逐级计算!$X$104=0,CZ10+逐级计算!$C$104,CZ10+逐级计算!$C$104-(10/(逐级计算!$Q$104*LN(10))*(MAX((LN(10^(逐级计算!$Q$104/10)-1)+逐级计算!$Q$104*(CZ10-逐级计算!$P$104)*LN(10)/10),0)+LN(1+EXP(-ABS((LN(10^(逐级计算!$Q$104/10)-1)+逐级计算!$Q$104*(CZ10-逐级计算!$P$104)*LN(10)/10))))))),"")</f>
        <v>15.943467554136</v>
      </c>
      <c r="DB10">
        <f>IF(AND(ISNUMBER(DA10),逐级计算!$X$105&gt;-1),IF(逐级计算!$X$105=0,DA10+逐级计算!$C$105,DA10+逐级计算!$C$105-(10/(逐级计算!$Q$105*LN(10))*(MAX((LN(10^(逐级计算!$Q$105/10)-1)+逐级计算!$Q$105*(DA10-逐级计算!$P$105)*LN(10)/10),0)+LN(1+EXP(-ABS((LN(10^(逐级计算!$Q$105/10)-1)+逐级计算!$Q$105*(DA10-逐级计算!$P$105)*LN(10)/10))))))),"")</f>
        <v>15.943467554136</v>
      </c>
      <c r="DC10">
        <f>IF(AND(ISNUMBER(DB10),逐级计算!$X$106&gt;-1),IF(逐级计算!$X$106=0,DB10+逐级计算!$C$106,DB10+逐级计算!$C$106-(10/(逐级计算!$Q$106*LN(10))*(MAX((LN(10^(逐级计算!$Q$106/10)-1)+逐级计算!$Q$106*(DB10-逐级计算!$P$106)*LN(10)/10),0)+LN(1+EXP(-ABS((LN(10^(逐级计算!$Q$106/10)-1)+逐级计算!$Q$106*(DB10-逐级计算!$P$106)*LN(10)/10))))))),"")</f>
        <v>15.943467554136</v>
      </c>
      <c r="DD10">
        <f>IF(AND(ISNUMBER(DC10),逐级计算!$X$107&gt;-1),IF(逐级计算!$X$107=0,DC10+逐级计算!$C$107,DC10+逐级计算!$C$107-(10/(逐级计算!$Q$107*LN(10))*(MAX((LN(10^(逐级计算!$Q$107/10)-1)+逐级计算!$Q$107*(DC10-逐级计算!$P$107)*LN(10)/10),0)+LN(1+EXP(-ABS((LN(10^(逐级计算!$Q$107/10)-1)+逐级计算!$Q$107*(DC10-逐级计算!$P$107)*LN(10)/10))))))),"")</f>
        <v>15.943467554136</v>
      </c>
      <c r="DE10">
        <f>IF(AND(ISNUMBER(DD10),逐级计算!$X$108&gt;-1),IF(逐级计算!$X$108=0,DD10+逐级计算!$C$108,DD10+逐级计算!$C$108-(10/(逐级计算!$Q$108*LN(10))*(MAX((LN(10^(逐级计算!$Q$108/10)-1)+逐级计算!$Q$108*(DD10-逐级计算!$P$108)*LN(10)/10),0)+LN(1+EXP(-ABS((LN(10^(逐级计算!$Q$108/10)-1)+逐级计算!$Q$108*(DD10-逐级计算!$P$108)*LN(10)/10))))))),"")</f>
        <v>15.943467554136</v>
      </c>
      <c r="DF10">
        <f>IF(AND(ISNUMBER(DE10),逐级计算!$X$109&gt;-1),IF(逐级计算!$X$109=0,DE10+逐级计算!$C$109,DE10+逐级计算!$C$109-(10/(逐级计算!$Q$109*LN(10))*(MAX((LN(10^(逐级计算!$Q$109/10)-1)+逐级计算!$Q$109*(DE10-逐级计算!$P$109)*LN(10)/10),0)+LN(1+EXP(-ABS((LN(10^(逐级计算!$Q$109/10)-1)+逐级计算!$Q$109*(DE10-逐级计算!$P$109)*LN(10)/10))))))),"")</f>
        <v>15.943467554136</v>
      </c>
      <c r="DG10">
        <f>IF(AND(ISNUMBER(DF10),逐级计算!$X$110&gt;-1),IF(逐级计算!$X$110=0,DF10+逐级计算!$C$110,DF10+逐级计算!$C$110-(10/(逐级计算!$Q$110*LN(10))*(MAX((LN(10^(逐级计算!$Q$110/10)-1)+逐级计算!$Q$110*(DF10-逐级计算!$P$110)*LN(10)/10),0)+LN(1+EXP(-ABS((LN(10^(逐级计算!$Q$110/10)-1)+逐级计算!$Q$110*(DF10-逐级计算!$P$110)*LN(10)/10))))))),"")</f>
        <v>15.943467554136</v>
      </c>
      <c r="DH10">
        <f>IF(AND(ISNUMBER(DG10),逐级计算!$X$111&gt;-1),IF(逐级计算!$X$111=0,DG10+逐级计算!$C$111,DG10+逐级计算!$C$111-(10/(逐级计算!$Q$111*LN(10))*(MAX((LN(10^(逐级计算!$Q$111/10)-1)+逐级计算!$Q$111*(DG10-逐级计算!$P$111)*LN(10)/10),0)+LN(1+EXP(-ABS((LN(10^(逐级计算!$Q$111/10)-1)+逐级计算!$Q$111*(DG10-逐级计算!$P$111)*LN(10)/10))))))),"")</f>
        <v>15.943467554136</v>
      </c>
      <c r="DI10">
        <f>IF(AND(ISNUMBER(DH10),逐级计算!$X$112&gt;-1),IF(逐级计算!$X$112=0,DH10+逐级计算!$C$112,DH10+逐级计算!$C$112-(10/(逐级计算!$Q$112*LN(10))*(MAX((LN(10^(逐级计算!$Q$112/10)-1)+逐级计算!$Q$112*(DH10-逐级计算!$P$112)*LN(10)/10),0)+LN(1+EXP(-ABS((LN(10^(逐级计算!$Q$112/10)-1)+逐级计算!$Q$112*(DH10-逐级计算!$P$112)*LN(10)/10))))))),"")</f>
        <v>15.943467554136</v>
      </c>
      <c r="DJ10">
        <f>IF(AND(ISNUMBER(DI10),逐级计算!$X$113&gt;-1),IF(逐级计算!$X$113=0,DI10+逐级计算!$C$113,DI10+逐级计算!$C$113-(10/(逐级计算!$Q$113*LN(10))*(MAX((LN(10^(逐级计算!$Q$113/10)-1)+逐级计算!$Q$113*(DI10-逐级计算!$P$113)*LN(10)/10),0)+LN(1+EXP(-ABS((LN(10^(逐级计算!$Q$113/10)-1)+逐级计算!$Q$113*(DI10-逐级计算!$P$113)*LN(10)/10))))))),"")</f>
        <v>15.943467554136</v>
      </c>
      <c r="DK10">
        <f>IF(AND(ISNUMBER(DJ10),逐级计算!$X$114&gt;-1),IF(逐级计算!$X$114=0,DJ10+逐级计算!$C$114,DJ10+逐级计算!$C$114-(10/(逐级计算!$Q$114*LN(10))*(MAX((LN(10^(逐级计算!$Q$114/10)-1)+逐级计算!$Q$114*(DJ10-逐级计算!$P$114)*LN(10)/10),0)+LN(1+EXP(-ABS((LN(10^(逐级计算!$Q$114/10)-1)+逐级计算!$Q$114*(DJ10-逐级计算!$P$114)*LN(10)/10))))))),"")</f>
        <v>15.943467554136</v>
      </c>
      <c r="DL10">
        <f>IF(AND(ISNUMBER(DK10),逐级计算!$X$115&gt;-1),IF(逐级计算!$X$115=0,DK10+逐级计算!$C$115,DK10+逐级计算!$C$115-(10/(逐级计算!$Q$115*LN(10))*(MAX((LN(10^(逐级计算!$Q$115/10)-1)+逐级计算!$Q$115*(DK10-逐级计算!$P$115)*LN(10)/10),0)+LN(1+EXP(-ABS((LN(10^(逐级计算!$Q$115/10)-1)+逐级计算!$Q$115*(DK10-逐级计算!$P$115)*LN(10)/10))))))),"")</f>
        <v>15.943467554136</v>
      </c>
      <c r="DM10">
        <f>IF(AND(ISNUMBER(DL10),逐级计算!$X$116&gt;-1),IF(逐级计算!$X$116=0,DL10+逐级计算!$C$116,DL10+逐级计算!$C$116-(10/(逐级计算!$Q$116*LN(10))*(MAX((LN(10^(逐级计算!$Q$116/10)-1)+逐级计算!$Q$116*(DL10-逐级计算!$P$116)*LN(10)/10),0)+LN(1+EXP(-ABS((LN(10^(逐级计算!$Q$116/10)-1)+逐级计算!$Q$116*(DL10-逐级计算!$P$116)*LN(10)/10))))))),"")</f>
        <v>15.943467554136</v>
      </c>
      <c r="DN10">
        <f>IF(AND(ISNUMBER(DM10),逐级计算!$X$117&gt;-1),IF(逐级计算!$X$117=0,DM10+逐级计算!$C$117,DM10+逐级计算!$C$117-(10/(逐级计算!$Q$117*LN(10))*(MAX((LN(10^(逐级计算!$Q$117/10)-1)+逐级计算!$Q$117*(DM10-逐级计算!$P$117)*LN(10)/10),0)+LN(1+EXP(-ABS((LN(10^(逐级计算!$Q$117/10)-1)+逐级计算!$Q$117*(DM10-逐级计算!$P$117)*LN(10)/10))))))),"")</f>
        <v>15.943467554136</v>
      </c>
      <c r="DO10">
        <f>IF(AND(ISNUMBER(DN10),逐级计算!$X$118&gt;-1),IF(逐级计算!$X$118=0,DN10+逐级计算!$C$118,DN10+逐级计算!$C$118-(10/(逐级计算!$Q$118*LN(10))*(MAX((LN(10^(逐级计算!$Q$118/10)-1)+逐级计算!$Q$118*(DN10-逐级计算!$P$118)*LN(10)/10),0)+LN(1+EXP(-ABS((LN(10^(逐级计算!$Q$118/10)-1)+逐级计算!$Q$118*(DN10-逐级计算!$P$118)*LN(10)/10))))))),"")</f>
        <v>15.943467554136</v>
      </c>
      <c r="DP10">
        <f>IF(AND(ISNUMBER(DO10),逐级计算!$X$119&gt;-1),IF(逐级计算!$X$119=0,DO10+逐级计算!$C$119,DO10+逐级计算!$C$119-(10/(逐级计算!$Q$119*LN(10))*(MAX((LN(10^(逐级计算!$Q$119/10)-1)+逐级计算!$Q$119*(DO10-逐级计算!$P$119)*LN(10)/10),0)+LN(1+EXP(-ABS((LN(10^(逐级计算!$Q$119/10)-1)+逐级计算!$Q$119*(DO10-逐级计算!$P$119)*LN(10)/10))))))),"")</f>
        <v>15.943467554136</v>
      </c>
      <c r="DQ10">
        <f>IF(AND(ISNUMBER(DP10),逐级计算!$X$120&gt;-1),IF(逐级计算!$X$120=0,DP10+逐级计算!$C$120,DP10+逐级计算!$C$120-(10/(逐级计算!$Q$120*LN(10))*(MAX((LN(10^(逐级计算!$Q$120/10)-1)+逐级计算!$Q$120*(DP10-逐级计算!$P$120)*LN(10)/10),0)+LN(1+EXP(-ABS((LN(10^(逐级计算!$Q$120/10)-1)+逐级计算!$Q$120*(DP10-逐级计算!$P$120)*LN(10)/10))))))),"")</f>
        <v>15.943467554136</v>
      </c>
      <c r="DR10">
        <f>IF(AND(ISNUMBER(DQ10),逐级计算!$X$121&gt;-1),IF(逐级计算!$X$121=0,DQ10+逐级计算!$C$121,DQ10+逐级计算!$C$121-(10/(逐级计算!$Q$121*LN(10))*(MAX((LN(10^(逐级计算!$Q$121/10)-1)+逐级计算!$Q$121*(DQ10-逐级计算!$P$121)*LN(10)/10),0)+LN(1+EXP(-ABS((LN(10^(逐级计算!$Q$121/10)-1)+逐级计算!$Q$121*(DQ10-逐级计算!$P$121)*LN(10)/10))))))),"")</f>
        <v>15.943467554136</v>
      </c>
      <c r="DS10">
        <f>IF(AND(ISNUMBER(DR10),逐级计算!$X$122&gt;-1),IF(逐级计算!$X$122=0,DR10+逐级计算!$C$122,DR10+逐级计算!$C$122-(10/(逐级计算!$Q$122*LN(10))*(MAX((LN(10^(逐级计算!$Q$122/10)-1)+逐级计算!$Q$122*(DR10-逐级计算!$P$122)*LN(10)/10),0)+LN(1+EXP(-ABS((LN(10^(逐级计算!$Q$122/10)-1)+逐级计算!$Q$122*(DR10-逐级计算!$P$122)*LN(10)/10))))))),"")</f>
        <v>15.943467554136</v>
      </c>
      <c r="DT10">
        <f>IF(AND(ISNUMBER(DS10),逐级计算!$X$123&gt;-1),IF(逐级计算!$X$123=0,DS10+逐级计算!$C$123,DS10+逐级计算!$C$123-(10/(逐级计算!$Q$123*LN(10))*(MAX((LN(10^(逐级计算!$Q$123/10)-1)+逐级计算!$Q$123*(DS10-逐级计算!$P$123)*LN(10)/10),0)+LN(1+EXP(-ABS((LN(10^(逐级计算!$Q$123/10)-1)+逐级计算!$Q$123*(DS10-逐级计算!$P$123)*LN(10)/10))))))),"")</f>
        <v>15.943467554136</v>
      </c>
      <c r="DU10">
        <f>IF(AND(ISNUMBER(DT10),逐级计算!$X$124&gt;-1),IF(逐级计算!$X$124=0,DT10+逐级计算!$C$124,DT10+逐级计算!$C$124-(10/(逐级计算!$Q$124*LN(10))*(MAX((LN(10^(逐级计算!$Q$124/10)-1)+逐级计算!$Q$124*(DT10-逐级计算!$P$124)*LN(10)/10),0)+LN(1+EXP(-ABS((LN(10^(逐级计算!$Q$124/10)-1)+逐级计算!$Q$124*(DT10-逐级计算!$P$124)*LN(10)/10))))))),"")</f>
        <v>15.943467554136</v>
      </c>
      <c r="DV10">
        <f>IF(AND(ISNUMBER(DU10),逐级计算!$X$125&gt;-1),IF(逐级计算!$X$125=0,DU10+逐级计算!$C$125,DU10+逐级计算!$C$125-(10/(逐级计算!$Q$125*LN(10))*(MAX((LN(10^(逐级计算!$Q$125/10)-1)+逐级计算!$Q$125*(DU10-逐级计算!$P$125)*LN(10)/10),0)+LN(1+EXP(-ABS((LN(10^(逐级计算!$Q$125/10)-1)+逐级计算!$Q$125*(DU10-逐级计算!$P$125)*LN(10)/10))))))),"")</f>
        <v>15.943467554136</v>
      </c>
      <c r="DW10">
        <f>IF(AND(ISNUMBER(DV10),逐级计算!$X$126&gt;-1),IF(逐级计算!$X$126=0,DV10+逐级计算!$C$126,DV10+逐级计算!$C$126-(10/(逐级计算!$Q$126*LN(10))*(MAX((LN(10^(逐级计算!$Q$126/10)-1)+逐级计算!$Q$126*(DV10-逐级计算!$P$126)*LN(10)/10),0)+LN(1+EXP(-ABS((LN(10^(逐级计算!$Q$126/10)-1)+逐级计算!$Q$126*(DV10-逐级计算!$P$126)*LN(10)/10))))))),"")</f>
        <v>15.943467554136</v>
      </c>
      <c r="DX10">
        <f>IF(AND(ISNUMBER(DW10),逐级计算!$X$127&gt;-1),IF(逐级计算!$X$127=0,DW10+逐级计算!$C$127,DW10+逐级计算!$C$127-(10/(逐级计算!$Q$127*LN(10))*(MAX((LN(10^(逐级计算!$Q$127/10)-1)+逐级计算!$Q$127*(DW10-逐级计算!$P$127)*LN(10)/10),0)+LN(1+EXP(-ABS((LN(10^(逐级计算!$Q$127/10)-1)+逐级计算!$Q$127*(DW10-逐级计算!$P$127)*LN(10)/10))))))),"")</f>
        <v>15.943467554136</v>
      </c>
      <c r="DY10">
        <f>IF(AND(ISNUMBER(DX10),逐级计算!$X$128&gt;-1),IF(逐级计算!$X$128=0,DX10+逐级计算!$C$128,DX10+逐级计算!$C$128-(10/(逐级计算!$Q$128*LN(10))*(MAX((LN(10^(逐级计算!$Q$128/10)-1)+逐级计算!$Q$128*(DX10-逐级计算!$P$128)*LN(10)/10),0)+LN(1+EXP(-ABS((LN(10^(逐级计算!$Q$128/10)-1)+逐级计算!$Q$128*(DX10-逐级计算!$P$128)*LN(10)/10))))))),"")</f>
        <v>15.943467554136</v>
      </c>
      <c r="DZ10">
        <f>IF(AND(ISNUMBER(DY10),逐级计算!$X$129&gt;-1),IF(逐级计算!$X$129=0,DY10+逐级计算!$C$129,DY10+逐级计算!$C$129-(10/(逐级计算!$Q$129*LN(10))*(MAX((LN(10^(逐级计算!$Q$129/10)-1)+逐级计算!$Q$129*(DY10-逐级计算!$P$129)*LN(10)/10),0)+LN(1+EXP(-ABS((LN(10^(逐级计算!$Q$129/10)-1)+逐级计算!$Q$129*(DY10-逐级计算!$P$129)*LN(10)/10))))))),"")</f>
        <v>15.943467554136</v>
      </c>
      <c r="EA10">
        <f>IF(AND(ISNUMBER(DZ10),逐级计算!$X$130&gt;-1),IF(逐级计算!$X$130=0,DZ10+逐级计算!$C$130,DZ10+逐级计算!$C$130-(10/(逐级计算!$Q$130*LN(10))*(MAX((LN(10^(逐级计算!$Q$130/10)-1)+逐级计算!$Q$130*(DZ10-逐级计算!$P$130)*LN(10)/10),0)+LN(1+EXP(-ABS((LN(10^(逐级计算!$Q$130/10)-1)+逐级计算!$Q$130*(DZ10-逐级计算!$P$130)*LN(10)/10))))))),"")</f>
        <v>15.943467554136</v>
      </c>
      <c r="EB10">
        <f>IF(AND(ISNUMBER(EA10),逐级计算!$X$131&gt;-1),IF(逐级计算!$X$131=0,EA10+逐级计算!$C$131,EA10+逐级计算!$C$131-(10/(逐级计算!$Q$131*LN(10))*(MAX((LN(10^(逐级计算!$Q$131/10)-1)+逐级计算!$Q$131*(EA10-逐级计算!$P$131)*LN(10)/10),0)+LN(1+EXP(-ABS((LN(10^(逐级计算!$Q$131/10)-1)+逐级计算!$Q$131*(EA10-逐级计算!$P$131)*LN(10)/10))))))),"")</f>
        <v>15.943467554136</v>
      </c>
      <c r="EC10">
        <f>IF(AND(ISNUMBER(EB10),逐级计算!$X$132&gt;-1),IF(逐级计算!$X$132=0,EB10+逐级计算!$C$132,EB10+逐级计算!$C$132-(10/(逐级计算!$Q$132*LN(10))*(MAX((LN(10^(逐级计算!$Q$132/10)-1)+逐级计算!$Q$132*(EB10-逐级计算!$P$132)*LN(10)/10),0)+LN(1+EXP(-ABS((LN(10^(逐级计算!$Q$132/10)-1)+逐级计算!$Q$132*(EB10-逐级计算!$P$132)*LN(10)/10))))))),"")</f>
        <v>15.943467554136</v>
      </c>
      <c r="ED10">
        <f>IF(AND(ISNUMBER(EC10),逐级计算!$X$133&gt;-1),IF(逐级计算!$X$133=0,EC10+逐级计算!$C$133,EC10+逐级计算!$C$133-(10/(逐级计算!$Q$133*LN(10))*(MAX((LN(10^(逐级计算!$Q$133/10)-1)+逐级计算!$Q$133*(EC10-逐级计算!$P$133)*LN(10)/10),0)+LN(1+EXP(-ABS((LN(10^(逐级计算!$Q$133/10)-1)+逐级计算!$Q$133*(EC10-逐级计算!$P$133)*LN(10)/10))))))),"")</f>
        <v>15.943467554136</v>
      </c>
      <c r="EE10">
        <f>IF(AND(ISNUMBER(ED10),逐级计算!$X$134&gt;-1),IF(逐级计算!$X$134=0,ED10+逐级计算!$C$134,ED10+逐级计算!$C$134-(10/(逐级计算!$Q$134*LN(10))*(MAX((LN(10^(逐级计算!$Q$134/10)-1)+逐级计算!$Q$134*(ED10-逐级计算!$P$134)*LN(10)/10),0)+LN(1+EXP(-ABS((LN(10^(逐级计算!$Q$134/10)-1)+逐级计算!$Q$134*(ED10-逐级计算!$P$134)*LN(10)/10))))))),"")</f>
        <v>15.943467554136</v>
      </c>
      <c r="EF10">
        <f>IF(AND(ISNUMBER(EE10),逐级计算!$X$135&gt;-1),IF(逐级计算!$X$135=0,EE10+逐级计算!$C$135,EE10+逐级计算!$C$135-(10/(逐级计算!$Q$135*LN(10))*(MAX((LN(10^(逐级计算!$Q$135/10)-1)+逐级计算!$Q$135*(EE10-逐级计算!$P$135)*LN(10)/10),0)+LN(1+EXP(-ABS((LN(10^(逐级计算!$Q$135/10)-1)+逐级计算!$Q$135*(EE10-逐级计算!$P$135)*LN(10)/10))))))),"")</f>
        <v>15.943467554136</v>
      </c>
      <c r="EG10">
        <f>IF(AND(ISNUMBER(EF10),逐级计算!$X$136&gt;-1),IF(逐级计算!$X$136=0,EF10+逐级计算!$C$136,EF10+逐级计算!$C$136-(10/(逐级计算!$Q$136*LN(10))*(MAX((LN(10^(逐级计算!$Q$136/10)-1)+逐级计算!$Q$136*(EF10-逐级计算!$P$136)*LN(10)/10),0)+LN(1+EXP(-ABS((LN(10^(逐级计算!$Q$136/10)-1)+逐级计算!$Q$136*(EF10-逐级计算!$P$136)*LN(10)/10))))))),"")</f>
        <v>15.943467554136</v>
      </c>
      <c r="EH10">
        <f>IF(AND(ISNUMBER(EG10),逐级计算!$X$137&gt;-1),IF(逐级计算!$X$137=0,EG10+逐级计算!$C$137,EG10+逐级计算!$C$137-(10/(逐级计算!$Q$137*LN(10))*(MAX((LN(10^(逐级计算!$Q$137/10)-1)+逐级计算!$Q$137*(EG10-逐级计算!$P$137)*LN(10)/10),0)+LN(1+EXP(-ABS((LN(10^(逐级计算!$Q$137/10)-1)+逐级计算!$Q$137*(EG10-逐级计算!$P$137)*LN(10)/10))))))),"")</f>
        <v>15.943467554136</v>
      </c>
      <c r="EI10">
        <f>IF(AND(ISNUMBER(EH10),逐级计算!$X$138&gt;-1),IF(逐级计算!$X$138=0,EH10+逐级计算!$C$138,EH10+逐级计算!$C$138-(10/(逐级计算!$Q$138*LN(10))*(MAX((LN(10^(逐级计算!$Q$138/10)-1)+逐级计算!$Q$138*(EH10-逐级计算!$P$138)*LN(10)/10),0)+LN(1+EXP(-ABS((LN(10^(逐级计算!$Q$138/10)-1)+逐级计算!$Q$138*(EH10-逐级计算!$P$138)*LN(10)/10))))))),"")</f>
        <v>15.943467554136</v>
      </c>
      <c r="EJ10">
        <f>IF(AND(ISNUMBER(EI10),逐级计算!$X$139&gt;-1),IF(逐级计算!$X$139=0,EI10+逐级计算!$C$139,EI10+逐级计算!$C$139-(10/(逐级计算!$Q$139*LN(10))*(MAX((LN(10^(逐级计算!$Q$139/10)-1)+逐级计算!$Q$139*(EI10-逐级计算!$P$139)*LN(10)/10),0)+LN(1+EXP(-ABS((LN(10^(逐级计算!$Q$139/10)-1)+逐级计算!$Q$139*(EI10-逐级计算!$P$139)*LN(10)/10))))))),"")</f>
        <v>15.943467554136</v>
      </c>
      <c r="EK10">
        <f>IF(AND(ISNUMBER(EJ10),逐级计算!$X$140&gt;-1),IF(逐级计算!$X$140=0,EJ10+逐级计算!$C$140,EJ10+逐级计算!$C$140-(10/(逐级计算!$Q$140*LN(10))*(MAX((LN(10^(逐级计算!$Q$140/10)-1)+逐级计算!$Q$140*(EJ10-逐级计算!$P$140)*LN(10)/10),0)+LN(1+EXP(-ABS((LN(10^(逐级计算!$Q$140/10)-1)+逐级计算!$Q$140*(EJ10-逐级计算!$P$140)*LN(10)/10))))))),"")</f>
        <v>15.943467554136</v>
      </c>
      <c r="EL10">
        <f>IF(AND(ISNUMBER(EK10),逐级计算!$X$141&gt;-1),IF(逐级计算!$X$141=0,EK10+逐级计算!$C$141,EK10+逐级计算!$C$141-(10/(逐级计算!$Q$141*LN(10))*(MAX((LN(10^(逐级计算!$Q$141/10)-1)+逐级计算!$Q$141*(EK10-逐级计算!$P$141)*LN(10)/10),0)+LN(1+EXP(-ABS((LN(10^(逐级计算!$Q$141/10)-1)+逐级计算!$Q$141*(EK10-逐级计算!$P$141)*LN(10)/10))))))),"")</f>
        <v>15.943467554136</v>
      </c>
      <c r="EM10">
        <f>IF(AND(ISNUMBER(EL10),逐级计算!$X$142&gt;-1),IF(逐级计算!$X$142=0,EL10+逐级计算!$C$142,EL10+逐级计算!$C$142-(10/(逐级计算!$Q$142*LN(10))*(MAX((LN(10^(逐级计算!$Q$142/10)-1)+逐级计算!$Q$142*(EL10-逐级计算!$P$142)*LN(10)/10),0)+LN(1+EXP(-ABS((LN(10^(逐级计算!$Q$142/10)-1)+逐级计算!$Q$142*(EL10-逐级计算!$P$142)*LN(10)/10))))))),"")</f>
        <v>15.943467554136</v>
      </c>
      <c r="EN10">
        <f>IF(AND(ISNUMBER(EM10),逐级计算!$X$143&gt;-1),IF(逐级计算!$X$143=0,EM10+逐级计算!$C$143,EM10+逐级计算!$C$143-(10/(逐级计算!$Q$143*LN(10))*(MAX((LN(10^(逐级计算!$Q$143/10)-1)+逐级计算!$Q$143*(EM10-逐级计算!$P$143)*LN(10)/10),0)+LN(1+EXP(-ABS((LN(10^(逐级计算!$Q$143/10)-1)+逐级计算!$Q$143*(EM10-逐级计算!$P$143)*LN(10)/10))))))),"")</f>
        <v>15.943467554136</v>
      </c>
      <c r="EO10">
        <f>IF(AND(ISNUMBER(EN10),逐级计算!$X$144&gt;-1),IF(逐级计算!$X$144=0,EN10+逐级计算!$C$144,EN10+逐级计算!$C$144-(10/(逐级计算!$Q$144*LN(10))*(MAX((LN(10^(逐级计算!$Q$144/10)-1)+逐级计算!$Q$144*(EN10-逐级计算!$P$144)*LN(10)/10),0)+LN(1+EXP(-ABS((LN(10^(逐级计算!$Q$144/10)-1)+逐级计算!$Q$144*(EN10-逐级计算!$P$144)*LN(10)/10))))))),"")</f>
        <v>15.943467554136</v>
      </c>
      <c r="EP10">
        <f>IF(AND(ISNUMBER(EO10),逐级计算!$X$145&gt;-1),IF(逐级计算!$X$145=0,EO10+逐级计算!$C$145,EO10+逐级计算!$C$145-(10/(逐级计算!$Q$145*LN(10))*(MAX((LN(10^(逐级计算!$Q$145/10)-1)+逐级计算!$Q$145*(EO10-逐级计算!$P$145)*LN(10)/10),0)+LN(1+EXP(-ABS((LN(10^(逐级计算!$Q$145/10)-1)+逐级计算!$Q$145*(EO10-逐级计算!$P$145)*LN(10)/10))))))),"")</f>
        <v>15.943467554136</v>
      </c>
      <c r="EQ10">
        <f>IF(AND(ISNUMBER(EP10),逐级计算!$X$146&gt;-1),IF(逐级计算!$X$146=0,EP10+逐级计算!$C$146,EP10+逐级计算!$C$146-(10/(逐级计算!$Q$146*LN(10))*(MAX((LN(10^(逐级计算!$Q$146/10)-1)+逐级计算!$Q$146*(EP10-逐级计算!$P$146)*LN(10)/10),0)+LN(1+EXP(-ABS((LN(10^(逐级计算!$Q$146/10)-1)+逐级计算!$Q$146*(EP10-逐级计算!$P$146)*LN(10)/10))))))),"")</f>
        <v>15.943467554136</v>
      </c>
      <c r="ER10">
        <f>IF(AND(ISNUMBER(EQ10),逐级计算!$X$147&gt;-1),IF(逐级计算!$X$147=0,EQ10+逐级计算!$C$147,EQ10+逐级计算!$C$147-(10/(逐级计算!$Q$147*LN(10))*(MAX((LN(10^(逐级计算!$Q$147/10)-1)+逐级计算!$Q$147*(EQ10-逐级计算!$P$147)*LN(10)/10),0)+LN(1+EXP(-ABS((LN(10^(逐级计算!$Q$147/10)-1)+逐级计算!$Q$147*(EQ10-逐级计算!$P$147)*LN(10)/10))))))),"")</f>
        <v>15.943467554136</v>
      </c>
      <c r="ES10">
        <f>IF(AND(ISNUMBER(ER10),逐级计算!$X$148&gt;-1),IF(逐级计算!$X$148=0,ER10+逐级计算!$C$148,ER10+逐级计算!$C$148-(10/(逐级计算!$Q$148*LN(10))*(MAX((LN(10^(逐级计算!$Q$148/10)-1)+逐级计算!$Q$148*(ER10-逐级计算!$P$148)*LN(10)/10),0)+LN(1+EXP(-ABS((LN(10^(逐级计算!$Q$148/10)-1)+逐级计算!$Q$148*(ER10-逐级计算!$P$148)*LN(10)/10))))))),"")</f>
        <v>15.943467554136</v>
      </c>
      <c r="ET10">
        <f>IF(AND(ISNUMBER(ES10),逐级计算!$X$149&gt;-1),IF(逐级计算!$X$149=0,ES10+逐级计算!$C$149,ES10+逐级计算!$C$149-(10/(逐级计算!$Q$149*LN(10))*(MAX((LN(10^(逐级计算!$Q$149/10)-1)+逐级计算!$Q$149*(ES10-逐级计算!$P$149)*LN(10)/10),0)+LN(1+EXP(-ABS((LN(10^(逐级计算!$Q$149/10)-1)+逐级计算!$Q$149*(ES10-逐级计算!$P$149)*LN(10)/10))))))),"")</f>
        <v>15.943467554136</v>
      </c>
      <c r="EU10">
        <f>IF(AND(ISNUMBER(ET10),逐级计算!$X$150&gt;-1),IF(逐级计算!$X$150=0,ET10+逐级计算!$C$150,ET10+逐级计算!$C$150-(10/(逐级计算!$Q$150*LN(10))*(MAX((LN(10^(逐级计算!$Q$150/10)-1)+逐级计算!$Q$150*(ET10-逐级计算!$P$150)*LN(10)/10),0)+LN(1+EXP(-ABS((LN(10^(逐级计算!$Q$150/10)-1)+逐级计算!$Q$150*(ET10-逐级计算!$P$150)*LN(10)/10))))))),"")</f>
        <v>15.943467554136</v>
      </c>
      <c r="EV10">
        <f>IF(AND(ISNUMBER(EU10),逐级计算!$X$151&gt;-1),IF(逐级计算!$X$151=0,EU10+逐级计算!$C$151,EU10+逐级计算!$C$151-(10/(逐级计算!$Q$151*LN(10))*(MAX((LN(10^(逐级计算!$Q$151/10)-1)+逐级计算!$Q$151*(EU10-逐级计算!$P$151)*LN(10)/10),0)+LN(1+EXP(-ABS((LN(10^(逐级计算!$Q$151/10)-1)+逐级计算!$Q$151*(EU10-逐级计算!$P$151)*LN(10)/10))))))),"")</f>
        <v>15.943467554136</v>
      </c>
      <c r="EW10">
        <f>IF(AND(ISNUMBER(EV10),逐级计算!$X$152&gt;-1),IF(逐级计算!$X$152=0,EV10+逐级计算!$C$152,EV10+逐级计算!$C$152-(10/(逐级计算!$Q$152*LN(10))*(MAX((LN(10^(逐级计算!$Q$152/10)-1)+逐级计算!$Q$152*(EV10-逐级计算!$P$152)*LN(10)/10),0)+LN(1+EXP(-ABS((LN(10^(逐级计算!$Q$152/10)-1)+逐级计算!$Q$152*(EV10-逐级计算!$P$152)*LN(10)/10))))))),"")</f>
        <v>15.943467554136</v>
      </c>
      <c r="EX10">
        <f>IF(AND(ISNUMBER(EW10),逐级计算!$X$153&gt;-1),IF(逐级计算!$X$153=0,EW10+逐级计算!$C$153,EW10+逐级计算!$C$153-(10/(逐级计算!$Q$153*LN(10))*(MAX((LN(10^(逐级计算!$Q$153/10)-1)+逐级计算!$Q$153*(EW10-逐级计算!$P$153)*LN(10)/10),0)+LN(1+EXP(-ABS((LN(10^(逐级计算!$Q$153/10)-1)+逐级计算!$Q$153*(EW10-逐级计算!$P$153)*LN(10)/10))))))),"")</f>
        <v>15.943467554136</v>
      </c>
      <c r="EY10">
        <f>IF(AND(ISNUMBER(EX10),逐级计算!$X$154&gt;-1),IF(逐级计算!$X$154=0,EX10+逐级计算!$C$154,EX10+逐级计算!$C$154-(10/(逐级计算!$Q$154*LN(10))*(MAX((LN(10^(逐级计算!$Q$154/10)-1)+逐级计算!$Q$154*(EX10-逐级计算!$P$154)*LN(10)/10),0)+LN(1+EXP(-ABS((LN(10^(逐级计算!$Q$154/10)-1)+逐级计算!$Q$154*(EX10-逐级计算!$P$154)*LN(10)/10))))))),"")</f>
        <v>15.943467554136</v>
      </c>
      <c r="EZ10">
        <f>IF(AND(ISNUMBER(EY10),逐级计算!$X$155&gt;-1),IF(逐级计算!$X$155=0,EY10+逐级计算!$C$155,EY10+逐级计算!$C$155-(10/(逐级计算!$Q$155*LN(10))*(MAX((LN(10^(逐级计算!$Q$155/10)-1)+逐级计算!$Q$155*(EY10-逐级计算!$P$155)*LN(10)/10),0)+LN(1+EXP(-ABS((LN(10^(逐级计算!$Q$155/10)-1)+逐级计算!$Q$155*(EY10-逐级计算!$P$155)*LN(10)/10))))))),"")</f>
        <v>15.943467554136</v>
      </c>
      <c r="FA10">
        <f>IF(AND(ISNUMBER(EZ10),逐级计算!$X$156&gt;-1),IF(逐级计算!$X$156=0,EZ10+逐级计算!$C$156,EZ10+逐级计算!$C$156-(10/(逐级计算!$Q$156*LN(10))*(MAX((LN(10^(逐级计算!$Q$156/10)-1)+逐级计算!$Q$156*(EZ10-逐级计算!$P$156)*LN(10)/10),0)+LN(1+EXP(-ABS((LN(10^(逐级计算!$Q$156/10)-1)+逐级计算!$Q$156*(EZ10-逐级计算!$P$156)*LN(10)/10))))))),"")</f>
        <v>15.943467554136</v>
      </c>
      <c r="FB10">
        <f>IF(AND(ISNUMBER(FA10),逐级计算!$X$157&gt;-1),IF(逐级计算!$X$157=0,FA10+逐级计算!$C$157,FA10+逐级计算!$C$157-(10/(逐级计算!$Q$157*LN(10))*(MAX((LN(10^(逐级计算!$Q$157/10)-1)+逐级计算!$Q$157*(FA10-逐级计算!$P$157)*LN(10)/10),0)+LN(1+EXP(-ABS((LN(10^(逐级计算!$Q$157/10)-1)+逐级计算!$Q$157*(FA10-逐级计算!$P$157)*LN(10)/10))))))),"")</f>
        <v>15.943467554136</v>
      </c>
      <c r="FC10">
        <f>IF(AND(ISNUMBER(FB10),逐级计算!$X$158&gt;-1),IF(逐级计算!$X$158=0,FB10+逐级计算!$C$158,FB10+逐级计算!$C$158-(10/(逐级计算!$Q$158*LN(10))*(MAX((LN(10^(逐级计算!$Q$158/10)-1)+逐级计算!$Q$158*(FB10-逐级计算!$P$158)*LN(10)/10),0)+LN(1+EXP(-ABS((LN(10^(逐级计算!$Q$158/10)-1)+逐级计算!$Q$158*(FB10-逐级计算!$P$158)*LN(10)/10))))))),"")</f>
        <v>15.943467554136</v>
      </c>
      <c r="FD10">
        <f>IF(AND(ISNUMBER(FC10),逐级计算!$X$159&gt;-1),IF(逐级计算!$X$159=0,FC10+逐级计算!$C$159,FC10+逐级计算!$C$159-(10/(逐级计算!$Q$159*LN(10))*(MAX((LN(10^(逐级计算!$Q$159/10)-1)+逐级计算!$Q$159*(FC10-逐级计算!$P$159)*LN(10)/10),0)+LN(1+EXP(-ABS((LN(10^(逐级计算!$Q$159/10)-1)+逐级计算!$Q$159*(FC10-逐级计算!$P$159)*LN(10)/10))))))),"")</f>
        <v>15.943467554136</v>
      </c>
      <c r="FE10">
        <f>IF(AND(ISNUMBER(FD10),逐级计算!$X$160&gt;-1),IF(逐级计算!$X$160=0,FD10+逐级计算!$C$160,FD10+逐级计算!$C$160-(10/(逐级计算!$Q$160*LN(10))*(MAX((LN(10^(逐级计算!$Q$160/10)-1)+逐级计算!$Q$160*(FD10-逐级计算!$P$160)*LN(10)/10),0)+LN(1+EXP(-ABS((LN(10^(逐级计算!$Q$160/10)-1)+逐级计算!$Q$160*(FD10-逐级计算!$P$160)*LN(10)/10))))))),"")</f>
        <v>15.943467554136</v>
      </c>
      <c r="FF10">
        <f>IF(AND(ISNUMBER(FE10),逐级计算!$X$161&gt;-1),IF(逐级计算!$X$161=0,FE10+逐级计算!$C$161,FE10+逐级计算!$C$161-(10/(逐级计算!$Q$161*LN(10))*(MAX((LN(10^(逐级计算!$Q$161/10)-1)+逐级计算!$Q$161*(FE10-逐级计算!$P$161)*LN(10)/10),0)+LN(1+EXP(-ABS((LN(10^(逐级计算!$Q$161/10)-1)+逐级计算!$Q$161*(FE10-逐级计算!$P$161)*LN(10)/10))))))),"")</f>
        <v>15.943467554136</v>
      </c>
      <c r="FG10">
        <f>IF(AND(ISNUMBER(FF10),逐级计算!$X$162&gt;-1),IF(逐级计算!$X$162=0,FF10+逐级计算!$C$162,FF10+逐级计算!$C$162-(10/(逐级计算!$Q$162*LN(10))*(MAX((LN(10^(逐级计算!$Q$162/10)-1)+逐级计算!$Q$162*(FF10-逐级计算!$P$162)*LN(10)/10),0)+LN(1+EXP(-ABS((LN(10^(逐级计算!$Q$162/10)-1)+逐级计算!$Q$162*(FF10-逐级计算!$P$162)*LN(10)/10))))))),"")</f>
        <v>15.943467554136</v>
      </c>
      <c r="FH10">
        <f>IF(AND(ISNUMBER(FG10),逐级计算!$X$163&gt;-1),IF(逐级计算!$X$163=0,FG10+逐级计算!$C$163,FG10+逐级计算!$C$163-(10/(逐级计算!$Q$163*LN(10))*(MAX((LN(10^(逐级计算!$Q$163/10)-1)+逐级计算!$Q$163*(FG10-逐级计算!$P$163)*LN(10)/10),0)+LN(1+EXP(-ABS((LN(10^(逐级计算!$Q$163/10)-1)+逐级计算!$Q$163*(FG10-逐级计算!$P$163)*LN(10)/10))))))),"")</f>
        <v>15.943467554136</v>
      </c>
      <c r="FI10">
        <f>IF(AND(ISNUMBER(FH10),逐级计算!$X$164&gt;-1),IF(逐级计算!$X$164=0,FH10+逐级计算!$C$164,FH10+逐级计算!$C$164-(10/(逐级计算!$Q$164*LN(10))*(MAX((LN(10^(逐级计算!$Q$164/10)-1)+逐级计算!$Q$164*(FH10-逐级计算!$P$164)*LN(10)/10),0)+LN(1+EXP(-ABS((LN(10^(逐级计算!$Q$164/10)-1)+逐级计算!$Q$164*(FH10-逐级计算!$P$164)*LN(10)/10))))))),"")</f>
        <v>15.943467554136</v>
      </c>
      <c r="FJ10">
        <f>IF(AND(ISNUMBER(FI10),逐级计算!$X$165&gt;-1),IF(逐级计算!$X$165=0,FI10+逐级计算!$C$165,FI10+逐级计算!$C$165-(10/(逐级计算!$Q$165*LN(10))*(MAX((LN(10^(逐级计算!$Q$165/10)-1)+逐级计算!$Q$165*(FI10-逐级计算!$P$165)*LN(10)/10),0)+LN(1+EXP(-ABS((LN(10^(逐级计算!$Q$165/10)-1)+逐级计算!$Q$165*(FI10-逐级计算!$P$165)*LN(10)/10))))))),"")</f>
        <v>15.943467554136</v>
      </c>
      <c r="FK10">
        <f>IF(AND(ISNUMBER(FJ10),逐级计算!$X$166&gt;-1),IF(逐级计算!$X$166=0,FJ10+逐级计算!$C$166,FJ10+逐级计算!$C$166-(10/(逐级计算!$Q$166*LN(10))*(MAX((LN(10^(逐级计算!$Q$166/10)-1)+逐级计算!$Q$166*(FJ10-逐级计算!$P$166)*LN(10)/10),0)+LN(1+EXP(-ABS((LN(10^(逐级计算!$Q$166/10)-1)+逐级计算!$Q$166*(FJ10-逐级计算!$P$166)*LN(10)/10))))))),"")</f>
        <v>15.943467554136</v>
      </c>
      <c r="FL10">
        <f>IF(AND(ISNUMBER(FK10),逐级计算!$X$167&gt;-1),IF(逐级计算!$X$167=0,FK10+逐级计算!$C$167,FK10+逐级计算!$C$167-(10/(逐级计算!$Q$167*LN(10))*(MAX((LN(10^(逐级计算!$Q$167/10)-1)+逐级计算!$Q$167*(FK10-逐级计算!$P$167)*LN(10)/10),0)+LN(1+EXP(-ABS((LN(10^(逐级计算!$Q$167/10)-1)+逐级计算!$Q$167*(FK10-逐级计算!$P$167)*LN(10)/10))))))),"")</f>
        <v>15.943467554136</v>
      </c>
      <c r="FM10">
        <f>IF(AND(ISNUMBER(FL10),逐级计算!$X$168&gt;-1),IF(逐级计算!$X$168=0,FL10+逐级计算!$C$168,FL10+逐级计算!$C$168-(10/(逐级计算!$Q$168*LN(10))*(MAX((LN(10^(逐级计算!$Q$168/10)-1)+逐级计算!$Q$168*(FL10-逐级计算!$P$168)*LN(10)/10),0)+LN(1+EXP(-ABS((LN(10^(逐级计算!$Q$168/10)-1)+逐级计算!$Q$168*(FL10-逐级计算!$P$168)*LN(10)/10))))))),"")</f>
        <v>15.943467554136</v>
      </c>
      <c r="FN10">
        <f>IF(AND(ISNUMBER(FM10),逐级计算!$X$169&gt;-1),IF(逐级计算!$X$169=0,FM10+逐级计算!$C$169,FM10+逐级计算!$C$169-(10/(逐级计算!$Q$169*LN(10))*(MAX((LN(10^(逐级计算!$Q$169/10)-1)+逐级计算!$Q$169*(FM10-逐级计算!$P$169)*LN(10)/10),0)+LN(1+EXP(-ABS((LN(10^(逐级计算!$Q$169/10)-1)+逐级计算!$Q$169*(FM10-逐级计算!$P$169)*LN(10)/10))))))),"")</f>
        <v>15.943467554136</v>
      </c>
      <c r="FO10">
        <f>IF(AND(ISNUMBER(FN10),逐级计算!$X$170&gt;-1),IF(逐级计算!$X$170=0,FN10+逐级计算!$C$170,FN10+逐级计算!$C$170-(10/(逐级计算!$Q$170*LN(10))*(MAX((LN(10^(逐级计算!$Q$170/10)-1)+逐级计算!$Q$170*(FN10-逐级计算!$P$170)*LN(10)/10),0)+LN(1+EXP(-ABS((LN(10^(逐级计算!$Q$170/10)-1)+逐级计算!$Q$170*(FN10-逐级计算!$P$170)*LN(10)/10))))))),"")</f>
        <v>15.943467554136</v>
      </c>
      <c r="FP10">
        <f>IF(AND(ISNUMBER(FO10),逐级计算!$X$171&gt;-1),IF(逐级计算!$X$171=0,FO10+逐级计算!$C$171,FO10+逐级计算!$C$171-(10/(逐级计算!$Q$171*LN(10))*(MAX((LN(10^(逐级计算!$Q$171/10)-1)+逐级计算!$Q$171*(FO10-逐级计算!$P$171)*LN(10)/10),0)+LN(1+EXP(-ABS((LN(10^(逐级计算!$Q$171/10)-1)+逐级计算!$Q$171*(FO10-逐级计算!$P$171)*LN(10)/10))))))),"")</f>
        <v>15.943467554136</v>
      </c>
      <c r="FQ10">
        <f>IF(AND(ISNUMBER(FP10),逐级计算!$X$172&gt;-1),IF(逐级计算!$X$172=0,FP10+逐级计算!$C$172,FP10+逐级计算!$C$172-(10/(逐级计算!$Q$172*LN(10))*(MAX((LN(10^(逐级计算!$Q$172/10)-1)+逐级计算!$Q$172*(FP10-逐级计算!$P$172)*LN(10)/10),0)+LN(1+EXP(-ABS((LN(10^(逐级计算!$Q$172/10)-1)+逐级计算!$Q$172*(FP10-逐级计算!$P$172)*LN(10)/10))))))),"")</f>
        <v>15.943467554136</v>
      </c>
      <c r="FR10">
        <f>IF(AND(ISNUMBER(FQ10),逐级计算!$X$173&gt;-1),IF(逐级计算!$X$173=0,FQ10+逐级计算!$C$173,FQ10+逐级计算!$C$173-(10/(逐级计算!$Q$173*LN(10))*(MAX((LN(10^(逐级计算!$Q$173/10)-1)+逐级计算!$Q$173*(FQ10-逐级计算!$P$173)*LN(10)/10),0)+LN(1+EXP(-ABS((LN(10^(逐级计算!$Q$173/10)-1)+逐级计算!$Q$173*(FQ10-逐级计算!$P$173)*LN(10)/10))))))),"")</f>
        <v>15.943467554136</v>
      </c>
      <c r="FS10">
        <f>IF(AND(ISNUMBER(FR10),逐级计算!$X$174&gt;-1),IF(逐级计算!$X$174=0,FR10+逐级计算!$C$174,FR10+逐级计算!$C$174-(10/(逐级计算!$Q$174*LN(10))*(MAX((LN(10^(逐级计算!$Q$174/10)-1)+逐级计算!$Q$174*(FR10-逐级计算!$P$174)*LN(10)/10),0)+LN(1+EXP(-ABS((LN(10^(逐级计算!$Q$174/10)-1)+逐级计算!$Q$174*(FR10-逐级计算!$P$174)*LN(10)/10))))))),"")</f>
        <v>15.943467554136</v>
      </c>
      <c r="FT10">
        <f>IF(AND(ISNUMBER(FS10),逐级计算!$X$175&gt;-1),IF(逐级计算!$X$175=0,FS10+逐级计算!$C$175,FS10+逐级计算!$C$175-(10/(逐级计算!$Q$175*LN(10))*(MAX((LN(10^(逐级计算!$Q$175/10)-1)+逐级计算!$Q$175*(FS10-逐级计算!$P$175)*LN(10)/10),0)+LN(1+EXP(-ABS((LN(10^(逐级计算!$Q$175/10)-1)+逐级计算!$Q$175*(FS10-逐级计算!$P$175)*LN(10)/10))))))),"")</f>
        <v>15.943467554136</v>
      </c>
      <c r="FU10">
        <f>IF(AND(ISNUMBER(FT10),逐级计算!$X$176&gt;-1),IF(逐级计算!$X$176=0,FT10+逐级计算!$C$176,FT10+逐级计算!$C$176-(10/(逐级计算!$Q$176*LN(10))*(MAX((LN(10^(逐级计算!$Q$176/10)-1)+逐级计算!$Q$176*(FT10-逐级计算!$P$176)*LN(10)/10),0)+LN(1+EXP(-ABS((LN(10^(逐级计算!$Q$176/10)-1)+逐级计算!$Q$176*(FT10-逐级计算!$P$176)*LN(10)/10))))))),"")</f>
        <v>15.943467554136</v>
      </c>
      <c r="FV10">
        <f>IF(AND(ISNUMBER(FU10),逐级计算!$X$177&gt;-1),IF(逐级计算!$X$177=0,FU10+逐级计算!$C$177,FU10+逐级计算!$C$177-(10/(逐级计算!$Q$177*LN(10))*(MAX((LN(10^(逐级计算!$Q$177/10)-1)+逐级计算!$Q$177*(FU10-逐级计算!$P$177)*LN(10)/10),0)+LN(1+EXP(-ABS((LN(10^(逐级计算!$Q$177/10)-1)+逐级计算!$Q$177*(FU10-逐级计算!$P$177)*LN(10)/10))))))),"")</f>
        <v>15.943467554136</v>
      </c>
      <c r="FW10">
        <f>IF(AND(ISNUMBER(FV10),逐级计算!$X$178&gt;-1),IF(逐级计算!$X$178=0,FV10+逐级计算!$C$178,FV10+逐级计算!$C$178-(10/(逐级计算!$Q$178*LN(10))*(MAX((LN(10^(逐级计算!$Q$178/10)-1)+逐级计算!$Q$178*(FV10-逐级计算!$P$178)*LN(10)/10),0)+LN(1+EXP(-ABS((LN(10^(逐级计算!$Q$178/10)-1)+逐级计算!$Q$178*(FV10-逐级计算!$P$178)*LN(10)/10))))))),"")</f>
        <v>15.943467554136</v>
      </c>
      <c r="FX10">
        <f>IF(AND(ISNUMBER(FW10),逐级计算!$X$179&gt;-1),IF(逐级计算!$X$179=0,FW10+逐级计算!$C$179,FW10+逐级计算!$C$179-(10/(逐级计算!$Q$179*LN(10))*(MAX((LN(10^(逐级计算!$Q$179/10)-1)+逐级计算!$Q$179*(FW10-逐级计算!$P$179)*LN(10)/10),0)+LN(1+EXP(-ABS((LN(10^(逐级计算!$Q$179/10)-1)+逐级计算!$Q$179*(FW10-逐级计算!$P$179)*LN(10)/10))))))),"")</f>
        <v>15.943467554136</v>
      </c>
      <c r="FY10">
        <f>IF(AND(ISNUMBER(FX10),逐级计算!$X$180&gt;-1),IF(逐级计算!$X$180=0,FX10+逐级计算!$C$180,FX10+逐级计算!$C$180-(10/(逐级计算!$Q$180*LN(10))*(MAX((LN(10^(逐级计算!$Q$180/10)-1)+逐级计算!$Q$180*(FX10-逐级计算!$P$180)*LN(10)/10),0)+LN(1+EXP(-ABS((LN(10^(逐级计算!$Q$180/10)-1)+逐级计算!$Q$180*(FX10-逐级计算!$P$180)*LN(10)/10))))))),"")</f>
        <v>15.943467554136</v>
      </c>
      <c r="FZ10">
        <f>IF(AND(ISNUMBER(FY10),逐级计算!$X$181&gt;-1),IF(逐级计算!$X$181=0,FY10+逐级计算!$C$181,FY10+逐级计算!$C$181-(10/(逐级计算!$Q$181*LN(10))*(MAX((LN(10^(逐级计算!$Q$181/10)-1)+逐级计算!$Q$181*(FY10-逐级计算!$P$181)*LN(10)/10),0)+LN(1+EXP(-ABS((LN(10^(逐级计算!$Q$181/10)-1)+逐级计算!$Q$181*(FY10-逐级计算!$P$181)*LN(10)/10))))))),"")</f>
        <v>15.943467554136</v>
      </c>
      <c r="GA10">
        <f>IF(AND(ISNUMBER(FZ10),逐级计算!$X$182&gt;-1),IF(逐级计算!$X$182=0,FZ10+逐级计算!$C$182,FZ10+逐级计算!$C$182-(10/(逐级计算!$Q$182*LN(10))*(MAX((LN(10^(逐级计算!$Q$182/10)-1)+逐级计算!$Q$182*(FZ10-逐级计算!$P$182)*LN(10)/10),0)+LN(1+EXP(-ABS((LN(10^(逐级计算!$Q$182/10)-1)+逐级计算!$Q$182*(FZ10-逐级计算!$P$182)*LN(10)/10))))))),"")</f>
        <v>15.943467554136</v>
      </c>
      <c r="GB10">
        <f>IF(AND(ISNUMBER(GA10),逐级计算!$X$183&gt;-1),IF(逐级计算!$X$183=0,GA10+逐级计算!$C$183,GA10+逐级计算!$C$183-(10/(逐级计算!$Q$183*LN(10))*(MAX((LN(10^(逐级计算!$Q$183/10)-1)+逐级计算!$Q$183*(GA10-逐级计算!$P$183)*LN(10)/10),0)+LN(1+EXP(-ABS((LN(10^(逐级计算!$Q$183/10)-1)+逐级计算!$Q$183*(GA10-逐级计算!$P$183)*LN(10)/10))))))),"")</f>
        <v>15.943467554136</v>
      </c>
      <c r="GC10">
        <f>IF(AND(ISNUMBER(GB10),逐级计算!$X$184&gt;-1),IF(逐级计算!$X$184=0,GB10+逐级计算!$C$184,GB10+逐级计算!$C$184-(10/(逐级计算!$Q$184*LN(10))*(MAX((LN(10^(逐级计算!$Q$184/10)-1)+逐级计算!$Q$184*(GB10-逐级计算!$P$184)*LN(10)/10),0)+LN(1+EXP(-ABS((LN(10^(逐级计算!$Q$184/10)-1)+逐级计算!$Q$184*(GB10-逐级计算!$P$184)*LN(10)/10))))))),"")</f>
        <v>15.943467554136</v>
      </c>
      <c r="GD10">
        <f>IF(AND(ISNUMBER(GC10),逐级计算!$X$185&gt;-1),IF(逐级计算!$X$185=0,GC10+逐级计算!$C$185,GC10+逐级计算!$C$185-(10/(逐级计算!$Q$185*LN(10))*(MAX((LN(10^(逐级计算!$Q$185/10)-1)+逐级计算!$Q$185*(GC10-逐级计算!$P$185)*LN(10)/10),0)+LN(1+EXP(-ABS((LN(10^(逐级计算!$Q$185/10)-1)+逐级计算!$Q$185*(GC10-逐级计算!$P$185)*LN(10)/10))))))),"")</f>
        <v>15.943467554136</v>
      </c>
      <c r="GE10">
        <f>IF(AND(ISNUMBER(GD10),逐级计算!$X$186&gt;-1),IF(逐级计算!$X$186=0,GD10+逐级计算!$C$186,GD10+逐级计算!$C$186-(10/(逐级计算!$Q$186*LN(10))*(MAX((LN(10^(逐级计算!$Q$186/10)-1)+逐级计算!$Q$186*(GD10-逐级计算!$P$186)*LN(10)/10),0)+LN(1+EXP(-ABS((LN(10^(逐级计算!$Q$186/10)-1)+逐级计算!$Q$186*(GD10-逐级计算!$P$186)*LN(10)/10))))))),"")</f>
        <v>15.943467554136</v>
      </c>
      <c r="GF10">
        <f>IF(AND(ISNUMBER(GE10),逐级计算!$X$187&gt;-1),IF(逐级计算!$X$187=0,GE10+逐级计算!$C$187,GE10+逐级计算!$C$187-(10/(逐级计算!$Q$187*LN(10))*(MAX((LN(10^(逐级计算!$Q$187/10)-1)+逐级计算!$Q$187*(GE10-逐级计算!$P$187)*LN(10)/10),0)+LN(1+EXP(-ABS((LN(10^(逐级计算!$Q$187/10)-1)+逐级计算!$Q$187*(GE10-逐级计算!$P$187)*LN(10)/10))))))),"")</f>
        <v>15.943467554136</v>
      </c>
      <c r="GG10">
        <f>IF(AND(ISNUMBER(GF10),逐级计算!$X$188&gt;-1),IF(逐级计算!$X$188=0,GF10+逐级计算!$C$188,GF10+逐级计算!$C$188-(10/(逐级计算!$Q$188*LN(10))*(MAX((LN(10^(逐级计算!$Q$188/10)-1)+逐级计算!$Q$188*(GF10-逐级计算!$P$188)*LN(10)/10),0)+LN(1+EXP(-ABS((LN(10^(逐级计算!$Q$188/10)-1)+逐级计算!$Q$188*(GF10-逐级计算!$P$188)*LN(10)/10))))))),"")</f>
        <v>15.943467554136</v>
      </c>
      <c r="GH10">
        <f>IF(AND(ISNUMBER(GG10),逐级计算!$X$189&gt;-1),IF(逐级计算!$X$189=0,GG10+逐级计算!$C$189,GG10+逐级计算!$C$189-(10/(逐级计算!$Q$189*LN(10))*(MAX((LN(10^(逐级计算!$Q$189/10)-1)+逐级计算!$Q$189*(GG10-逐级计算!$P$189)*LN(10)/10),0)+LN(1+EXP(-ABS((LN(10^(逐级计算!$Q$189/10)-1)+逐级计算!$Q$189*(GG10-逐级计算!$P$189)*LN(10)/10))))))),"")</f>
        <v>15.943467554136</v>
      </c>
      <c r="GI10">
        <f>IF(AND(ISNUMBER(GH10),逐级计算!$X$190&gt;-1),IF(逐级计算!$X$190=0,GH10+逐级计算!$C$190,GH10+逐级计算!$C$190-(10/(逐级计算!$Q$190*LN(10))*(MAX((LN(10^(逐级计算!$Q$190/10)-1)+逐级计算!$Q$190*(GH10-逐级计算!$P$190)*LN(10)/10),0)+LN(1+EXP(-ABS((LN(10^(逐级计算!$Q$190/10)-1)+逐级计算!$Q$190*(GH10-逐级计算!$P$190)*LN(10)/10))))))),"")</f>
        <v>15.943467554136</v>
      </c>
      <c r="GJ10">
        <f>IF(AND(ISNUMBER(GI10),逐级计算!$X$191&gt;-1),IF(逐级计算!$X$191=0,GI10+逐级计算!$C$191,GI10+逐级计算!$C$191-(10/(逐级计算!$Q$191*LN(10))*(MAX((LN(10^(逐级计算!$Q$191/10)-1)+逐级计算!$Q$191*(GI10-逐级计算!$P$191)*LN(10)/10),0)+LN(1+EXP(-ABS((LN(10^(逐级计算!$Q$191/10)-1)+逐级计算!$Q$191*(GI10-逐级计算!$P$191)*LN(10)/10))))))),"")</f>
        <v>15.943467554136</v>
      </c>
      <c r="GK10">
        <f>IF(AND(ISNUMBER(GJ10),逐级计算!$X$192&gt;-1),IF(逐级计算!$X$192=0,GJ10+逐级计算!$C$192,GJ10+逐级计算!$C$192-(10/(逐级计算!$Q$192*LN(10))*(MAX((LN(10^(逐级计算!$Q$192/10)-1)+逐级计算!$Q$192*(GJ10-逐级计算!$P$192)*LN(10)/10),0)+LN(1+EXP(-ABS((LN(10^(逐级计算!$Q$192/10)-1)+逐级计算!$Q$192*(GJ10-逐级计算!$P$192)*LN(10)/10))))))),"")</f>
        <v>15.943467554136</v>
      </c>
      <c r="GL10">
        <f>IF(AND(ISNUMBER(GK10),逐级计算!$X$193&gt;-1),IF(逐级计算!$X$193=0,GK10+逐级计算!$C$193,GK10+逐级计算!$C$193-(10/(逐级计算!$Q$193*LN(10))*(MAX((LN(10^(逐级计算!$Q$193/10)-1)+逐级计算!$Q$193*(GK10-逐级计算!$P$193)*LN(10)/10),0)+LN(1+EXP(-ABS((LN(10^(逐级计算!$Q$193/10)-1)+逐级计算!$Q$193*(GK10-逐级计算!$P$193)*LN(10)/10))))))),"")</f>
        <v>15.943467554136</v>
      </c>
      <c r="GM10">
        <f>IF(AND(ISNUMBER(GL10),逐级计算!$X$194&gt;-1),IF(逐级计算!$X$194=0,GL10+逐级计算!$C$194,GL10+逐级计算!$C$194-(10/(逐级计算!$Q$194*LN(10))*(MAX((LN(10^(逐级计算!$Q$194/10)-1)+逐级计算!$Q$194*(GL10-逐级计算!$P$194)*LN(10)/10),0)+LN(1+EXP(-ABS((LN(10^(逐级计算!$Q$194/10)-1)+逐级计算!$Q$194*(GL10-逐级计算!$P$194)*LN(10)/10))))))),"")</f>
        <v>15.943467554136</v>
      </c>
      <c r="GN10">
        <f>IF(AND(ISNUMBER(GM10),逐级计算!$X$195&gt;-1),IF(逐级计算!$X$195=0,GM10+逐级计算!$C$195,GM10+逐级计算!$C$195-(10/(逐级计算!$Q$195*LN(10))*(MAX((LN(10^(逐级计算!$Q$195/10)-1)+逐级计算!$Q$195*(GM10-逐级计算!$P$195)*LN(10)/10),0)+LN(1+EXP(-ABS((LN(10^(逐级计算!$Q$195/10)-1)+逐级计算!$Q$195*(GM10-逐级计算!$P$195)*LN(10)/10))))))),"")</f>
        <v>15.943467554136</v>
      </c>
      <c r="GO10">
        <f>IF(AND(ISNUMBER(GN10),逐级计算!$X$196&gt;-1),IF(逐级计算!$X$196=0,GN10+逐级计算!$C$196,GN10+逐级计算!$C$196-(10/(逐级计算!$Q$196*LN(10))*(MAX((LN(10^(逐级计算!$Q$196/10)-1)+逐级计算!$Q$196*(GN10-逐级计算!$P$196)*LN(10)/10),0)+LN(1+EXP(-ABS((LN(10^(逐级计算!$Q$196/10)-1)+逐级计算!$Q$196*(GN10-逐级计算!$P$196)*LN(10)/10))))))),"")</f>
        <v>15.943467554136</v>
      </c>
      <c r="GP10">
        <f>IF(AND(ISNUMBER(GO10),逐级计算!$X$197&gt;-1),IF(逐级计算!$X$197=0,GO10+逐级计算!$C$197,GO10+逐级计算!$C$197-(10/(逐级计算!$Q$197*LN(10))*(MAX((LN(10^(逐级计算!$Q$197/10)-1)+逐级计算!$Q$197*(GO10-逐级计算!$P$197)*LN(10)/10),0)+LN(1+EXP(-ABS((LN(10^(逐级计算!$Q$197/10)-1)+逐级计算!$Q$197*(GO10-逐级计算!$P$197)*LN(10)/10))))))),"")</f>
        <v>15.943467554136</v>
      </c>
      <c r="GQ10">
        <f>IF(AND(ISNUMBER(GP10),逐级计算!$X$198&gt;-1),IF(逐级计算!$X$198=0,GP10+逐级计算!$C$198,GP10+逐级计算!$C$198-(10/(逐级计算!$Q$198*LN(10))*(MAX((LN(10^(逐级计算!$Q$198/10)-1)+逐级计算!$Q$198*(GP10-逐级计算!$P$198)*LN(10)/10),0)+LN(1+EXP(-ABS((LN(10^(逐级计算!$Q$198/10)-1)+逐级计算!$Q$198*(GP10-逐级计算!$P$198)*LN(10)/10))))))),"")</f>
        <v>15.943467554136</v>
      </c>
      <c r="GR10">
        <f>IF(AND(ISNUMBER(GQ10),逐级计算!$X$199&gt;-1),IF(逐级计算!$X$199=0,GQ10+逐级计算!$C$199,GQ10+逐级计算!$C$199-(10/(逐级计算!$Q$199*LN(10))*(MAX((LN(10^(逐级计算!$Q$199/10)-1)+逐级计算!$Q$199*(GQ10-逐级计算!$P$199)*LN(10)/10),0)+LN(1+EXP(-ABS((LN(10^(逐级计算!$Q$199/10)-1)+逐级计算!$Q$199*(GQ10-逐级计算!$P$199)*LN(10)/10))))))),"")</f>
        <v>15.943467554136</v>
      </c>
      <c r="GS10">
        <f>IF(AND(ISNUMBER(GR10),逐级计算!$X$200&gt;-1),IF(逐级计算!$X$200=0,GR10+逐级计算!$C$200,GR10+逐级计算!$C$200-(10/(逐级计算!$Q$200*LN(10))*(MAX((LN(10^(逐级计算!$Q$200/10)-1)+逐级计算!$Q$200*(GR10-逐级计算!$P$200)*LN(10)/10),0)+LN(1+EXP(-ABS((LN(10^(逐级计算!$Q$200/10)-1)+逐级计算!$Q$200*(GR10-逐级计算!$P$200)*LN(10)/10))))))),"")</f>
        <v>15.943467554136</v>
      </c>
      <c r="GT10">
        <f>IF(AND(ISNUMBER(GS10),逐级计算!$X$201&gt;-1),IF(逐级计算!$X$201=0,GS10+逐级计算!$C$201,GS10+逐级计算!$C$201-(10/(逐级计算!$Q$201*LN(10))*(MAX((LN(10^(逐级计算!$Q$201/10)-1)+逐级计算!$Q$201*(GS10-逐级计算!$P$201)*LN(10)/10),0)+LN(1+EXP(-ABS((LN(10^(逐级计算!$Q$201/10)-1)+逐级计算!$Q$201*(GS10-逐级计算!$P$201)*LN(10)/10))))))),"")</f>
        <v>15.943467554136</v>
      </c>
      <c r="GU10">
        <f>IF(AND(ISNUMBER(GT10),逐级计算!$X$202&gt;-1),IF(逐级计算!$X$202=0,GT10+逐级计算!$C$202,GT10+逐级计算!$C$202-(10/(逐级计算!$Q$202*LN(10))*(MAX((LN(10^(逐级计算!$Q$202/10)-1)+逐级计算!$Q$202*(GT10-逐级计算!$P$202)*LN(10)/10),0)+LN(1+EXP(-ABS((LN(10^(逐级计算!$Q$202/10)-1)+逐级计算!$Q$202*(GT10-逐级计算!$P$202)*LN(10)/10))))))),"")</f>
        <v>15.943467554136</v>
      </c>
      <c r="GV10">
        <f>IF(AND(ISNUMBER(GU10),逐级计算!$X$203&gt;-1),IF(逐级计算!$X$203=0,GU10+逐级计算!$C$203,GU10+逐级计算!$C$203-(10/(逐级计算!$Q$203*LN(10))*(MAX((LN(10^(逐级计算!$Q$203/10)-1)+逐级计算!$Q$203*(GU10-逐级计算!$P$203)*LN(10)/10),0)+LN(1+EXP(-ABS((LN(10^(逐级计算!$Q$203/10)-1)+逐级计算!$Q$203*(GU10-逐级计算!$P$203)*LN(10)/10))))))),"")</f>
        <v>15.943467554136</v>
      </c>
      <c r="GW10">
        <f t="shared" si="2"/>
        <v>20</v>
      </c>
    </row>
    <row r="11" spans="1:205">
      <c r="A11">
        <v>4</v>
      </c>
      <c r="B11">
        <f t="shared" si="1"/>
        <v>-6.25</v>
      </c>
      <c r="C11">
        <f t="shared" si="0"/>
        <v>0.3125</v>
      </c>
      <c r="D11">
        <f>IF(AND(ISNUMBER(C11),ISNUMBER(逐级计算!$E$203),ISNUMBER(GV11)),C11+逐级计算!$E$203-GV11,"")</f>
        <v>4.62905166623434</v>
      </c>
      <c r="E11">
        <f>IF(AND(ISNUMBER(C11),逐级计算!$X$4&gt;-1),IF(逐级计算!$X$4=0,C11+逐级计算!$C$4,C11+逐级计算!$C$4-(10/(逐级计算!$Q$4*LN(10))*(MAX((LN(10^(逐级计算!$Q$4/10)-1)+逐级计算!$Q$4*(C11-逐级计算!$P$4)*LN(10)/10),0)+LN(1+EXP(-ABS((LN(10^(逐级计算!$Q$4/10)-1)+逐级计算!$Q$4*(C11-逐级计算!$P$4)*LN(10)/10))))))),"")</f>
        <v>9.19187618085421</v>
      </c>
      <c r="F11">
        <f>IF(AND(ISNUMBER(E11),逐级计算!$X$5&gt;-1),IF(逐级计算!$X$5=0,E11+逐级计算!$C$5,E11+逐级计算!$C$5-(10/(逐级计算!$Q$5*LN(10))*(MAX((LN(10^(逐级计算!$Q$5/10)-1)+逐级计算!$Q$5*(E11-逐级计算!$P$5)*LN(10)/10),0)+LN(1+EXP(-ABS((LN(10^(逐级计算!$Q$5/10)-1)+逐级计算!$Q$5*(E11-逐级计算!$P$5)*LN(10)/10))))))),"")</f>
        <v>15.6834483337657</v>
      </c>
      <c r="G11">
        <f>IF(AND(ISNUMBER(F11),逐级计算!$X$6&gt;-1),IF(逐级计算!$X$6=0,F11+逐级计算!$C$6,F11+逐级计算!$C$6-(10/(逐级计算!$Q$6*LN(10))*(MAX((LN(10^(逐级计算!$Q$6/10)-1)+逐级计算!$Q$6*(F11-逐级计算!$P$6)*LN(10)/10),0)+LN(1+EXP(-ABS((LN(10^(逐级计算!$Q$6/10)-1)+逐级计算!$Q$6*(F11-逐级计算!$P$6)*LN(10)/10))))))),"")</f>
        <v>15.6834483337657</v>
      </c>
      <c r="H11">
        <f>IF(AND(ISNUMBER(G11),逐级计算!$X$7&gt;-1),IF(逐级计算!$X$7=0,G11+逐级计算!$C$7,G11+逐级计算!$C$7-(10/(逐级计算!$Q$7*LN(10))*(MAX((LN(10^(逐级计算!$Q$7/10)-1)+逐级计算!$Q$7*(G11-逐级计算!$P$7)*LN(10)/10),0)+LN(1+EXP(-ABS((LN(10^(逐级计算!$Q$7/10)-1)+逐级计算!$Q$7*(G11-逐级计算!$P$7)*LN(10)/10))))))),"")</f>
        <v>15.6834483337657</v>
      </c>
      <c r="I11">
        <f>IF(AND(ISNUMBER(H11),逐级计算!$X$8&gt;-1),IF(逐级计算!$X$8=0,H11+逐级计算!$C$8,H11+逐级计算!$C$8-(10/(逐级计算!$Q$8*LN(10))*(MAX((LN(10^(逐级计算!$Q$8/10)-1)+逐级计算!$Q$8*(H11-逐级计算!$P$8)*LN(10)/10),0)+LN(1+EXP(-ABS((LN(10^(逐级计算!$Q$8/10)-1)+逐级计算!$Q$8*(H11-逐级计算!$P$8)*LN(10)/10))))))),"")</f>
        <v>15.6834483337657</v>
      </c>
      <c r="J11">
        <f>IF(AND(ISNUMBER(I11),逐级计算!$X$9&gt;-1),IF(逐级计算!$X$9=0,I11+逐级计算!$C$9,I11+逐级计算!$C$9-(10/(逐级计算!$Q$9*LN(10))*(MAX((LN(10^(逐级计算!$Q$9/10)-1)+逐级计算!$Q$9*(I11-逐级计算!$P$9)*LN(10)/10),0)+LN(1+EXP(-ABS((LN(10^(逐级计算!$Q$9/10)-1)+逐级计算!$Q$9*(I11-逐级计算!$P$9)*LN(10)/10))))))),"")</f>
        <v>15.6834483337657</v>
      </c>
      <c r="K11">
        <f>IF(AND(ISNUMBER(J11),逐级计算!$X$10&gt;-1),IF(逐级计算!$X$10=0,J11+逐级计算!$C$10,J11+逐级计算!$C$10-(10/(逐级计算!$Q$10*LN(10))*(MAX((LN(10^(逐级计算!$Q$10/10)-1)+逐级计算!$Q$10*(J11-逐级计算!$P$10)*LN(10)/10),0)+LN(1+EXP(-ABS((LN(10^(逐级计算!$Q$10/10)-1)+逐级计算!$Q$10*(J11-逐级计算!$P$10)*LN(10)/10))))))),"")</f>
        <v>15.6834483337657</v>
      </c>
      <c r="L11">
        <f>IF(AND(ISNUMBER(K11),逐级计算!$X$11&gt;-1),IF(逐级计算!$X$11=0,K11+逐级计算!$C$11,K11+逐级计算!$C$11-(10/(逐级计算!$Q$11*LN(10))*(MAX((LN(10^(逐级计算!$Q$11/10)-1)+逐级计算!$Q$11*(K11-逐级计算!$P$11)*LN(10)/10),0)+LN(1+EXP(-ABS((LN(10^(逐级计算!$Q$11/10)-1)+逐级计算!$Q$11*(K11-逐级计算!$P$11)*LN(10)/10))))))),"")</f>
        <v>15.6834483337657</v>
      </c>
      <c r="M11">
        <f>IF(AND(ISNUMBER(L11),逐级计算!$X$12&gt;-1),IF(逐级计算!$X$12=0,L11+逐级计算!$C$12,L11+逐级计算!$C$12-(10/(逐级计算!$Q$12*LN(10))*(MAX((LN(10^(逐级计算!$Q$12/10)-1)+逐级计算!$Q$12*(L11-逐级计算!$P$12)*LN(10)/10),0)+LN(1+EXP(-ABS((LN(10^(逐级计算!$Q$12/10)-1)+逐级计算!$Q$12*(L11-逐级计算!$P$12)*LN(10)/10))))))),"")</f>
        <v>15.6834483337657</v>
      </c>
      <c r="N11">
        <f>IF(AND(ISNUMBER(M11),逐级计算!$X$13&gt;-1),IF(逐级计算!$X$13=0,M11+逐级计算!$C$13,M11+逐级计算!$C$13-(10/(逐级计算!$Q$13*LN(10))*(MAX((LN(10^(逐级计算!$Q$13/10)-1)+逐级计算!$Q$13*(M11-逐级计算!$P$13)*LN(10)/10),0)+LN(1+EXP(-ABS((LN(10^(逐级计算!$Q$13/10)-1)+逐级计算!$Q$13*(M11-逐级计算!$P$13)*LN(10)/10))))))),"")</f>
        <v>15.6834483337657</v>
      </c>
      <c r="O11">
        <f>IF(AND(ISNUMBER(N11),逐级计算!$X$14&gt;-1),IF(逐级计算!$X$14=0,N11+逐级计算!$C$14,N11+逐级计算!$C$14-(10/(逐级计算!$Q$14*LN(10))*(MAX((LN(10^(逐级计算!$Q$14/10)-1)+逐级计算!$Q$14*(N11-逐级计算!$P$14)*LN(10)/10),0)+LN(1+EXP(-ABS((LN(10^(逐级计算!$Q$14/10)-1)+逐级计算!$Q$14*(N11-逐级计算!$P$14)*LN(10)/10))))))),"")</f>
        <v>15.6834483337657</v>
      </c>
      <c r="P11">
        <f>IF(AND(ISNUMBER(O11),逐级计算!$X$15&gt;-1),IF(逐级计算!$X$15=0,O11+逐级计算!$C$15,O11+逐级计算!$C$15-(10/(逐级计算!$Q$15*LN(10))*(MAX((LN(10^(逐级计算!$Q$15/10)-1)+逐级计算!$Q$15*(O11-逐级计算!$P$15)*LN(10)/10),0)+LN(1+EXP(-ABS((LN(10^(逐级计算!$Q$15/10)-1)+逐级计算!$Q$15*(O11-逐级计算!$P$15)*LN(10)/10))))))),"")</f>
        <v>15.6834483337657</v>
      </c>
      <c r="Q11">
        <f>IF(AND(ISNUMBER(P11),逐级计算!$X$16&gt;-1),IF(逐级计算!$X$16=0,P11+逐级计算!$C$16,P11+逐级计算!$C$16-(10/(逐级计算!$Q$16*LN(10))*(MAX((LN(10^(逐级计算!$Q$16/10)-1)+逐级计算!$Q$16*(P11-逐级计算!$P$16)*LN(10)/10),0)+LN(1+EXP(-ABS((LN(10^(逐级计算!$Q$16/10)-1)+逐级计算!$Q$16*(P11-逐级计算!$P$16)*LN(10)/10))))))),"")</f>
        <v>15.6834483337657</v>
      </c>
      <c r="R11">
        <f>IF(AND(ISNUMBER(Q11),逐级计算!$X$17&gt;-1),IF(逐级计算!$X$17=0,Q11+逐级计算!$C$17,Q11+逐级计算!$C$17-(10/(逐级计算!$Q$17*LN(10))*(MAX((LN(10^(逐级计算!$Q$17/10)-1)+逐级计算!$Q$17*(Q11-逐级计算!$P$17)*LN(10)/10),0)+LN(1+EXP(-ABS((LN(10^(逐级计算!$Q$17/10)-1)+逐级计算!$Q$17*(Q11-逐级计算!$P$17)*LN(10)/10))))))),"")</f>
        <v>15.6834483337657</v>
      </c>
      <c r="S11">
        <f>IF(AND(ISNUMBER(R11),逐级计算!$X$18&gt;-1),IF(逐级计算!$X$18=0,R11+逐级计算!$C$18,R11+逐级计算!$C$18-(10/(逐级计算!$Q$18*LN(10))*(MAX((LN(10^(逐级计算!$Q$18/10)-1)+逐级计算!$Q$18*(R11-逐级计算!$P$18)*LN(10)/10),0)+LN(1+EXP(-ABS((LN(10^(逐级计算!$Q$18/10)-1)+逐级计算!$Q$18*(R11-逐级计算!$P$18)*LN(10)/10))))))),"")</f>
        <v>15.6834483337657</v>
      </c>
      <c r="T11">
        <f>IF(AND(ISNUMBER(S11),逐级计算!$X$19&gt;-1),IF(逐级计算!$X$19=0,S11+逐级计算!$C$19,S11+逐级计算!$C$19-(10/(逐级计算!$Q$19*LN(10))*(MAX((LN(10^(逐级计算!$Q$19/10)-1)+逐级计算!$Q$19*(S11-逐级计算!$P$19)*LN(10)/10),0)+LN(1+EXP(-ABS((LN(10^(逐级计算!$Q$19/10)-1)+逐级计算!$Q$19*(S11-逐级计算!$P$19)*LN(10)/10))))))),"")</f>
        <v>15.6834483337657</v>
      </c>
      <c r="U11">
        <f>IF(AND(ISNUMBER(T11),逐级计算!$X$20&gt;-1),IF(逐级计算!$X$20=0,T11+逐级计算!$C$20,T11+逐级计算!$C$20-(10/(逐级计算!$Q$20*LN(10))*(MAX((LN(10^(逐级计算!$Q$20/10)-1)+逐级计算!$Q$20*(T11-逐级计算!$P$20)*LN(10)/10),0)+LN(1+EXP(-ABS((LN(10^(逐级计算!$Q$20/10)-1)+逐级计算!$Q$20*(T11-逐级计算!$P$20)*LN(10)/10))))))),"")</f>
        <v>15.6834483337657</v>
      </c>
      <c r="V11">
        <f>IF(AND(ISNUMBER(U11),逐级计算!$X$21&gt;-1),IF(逐级计算!$X$21=0,U11+逐级计算!$C$21,U11+逐级计算!$C$21-(10/(逐级计算!$Q$21*LN(10))*(MAX((LN(10^(逐级计算!$Q$21/10)-1)+逐级计算!$Q$21*(U11-逐级计算!$P$21)*LN(10)/10),0)+LN(1+EXP(-ABS((LN(10^(逐级计算!$Q$21/10)-1)+逐级计算!$Q$21*(U11-逐级计算!$P$21)*LN(10)/10))))))),"")</f>
        <v>15.6834483337657</v>
      </c>
      <c r="W11">
        <f>IF(AND(ISNUMBER(V11),逐级计算!$X$22&gt;-1),IF(逐级计算!$X$22=0,V11+逐级计算!$C$22,V11+逐级计算!$C$22-(10/(逐级计算!$Q$22*LN(10))*(MAX((LN(10^(逐级计算!$Q$22/10)-1)+逐级计算!$Q$22*(V11-逐级计算!$P$22)*LN(10)/10),0)+LN(1+EXP(-ABS((LN(10^(逐级计算!$Q$22/10)-1)+逐级计算!$Q$22*(V11-逐级计算!$P$22)*LN(10)/10))))))),"")</f>
        <v>15.6834483337657</v>
      </c>
      <c r="X11">
        <f>IF(AND(ISNUMBER(W11),逐级计算!$X$23&gt;-1),IF(逐级计算!$X$23=0,W11+逐级计算!$C$23,W11+逐级计算!$C$23-(10/(逐级计算!$Q$23*LN(10))*(MAX((LN(10^(逐级计算!$Q$23/10)-1)+逐级计算!$Q$23*(W11-逐级计算!$P$23)*LN(10)/10),0)+LN(1+EXP(-ABS((LN(10^(逐级计算!$Q$23/10)-1)+逐级计算!$Q$23*(W11-逐级计算!$P$23)*LN(10)/10))))))),"")</f>
        <v>15.6834483337657</v>
      </c>
      <c r="Y11">
        <f>IF(AND(ISNUMBER(X11),逐级计算!$X$24&gt;-1),IF(逐级计算!$X$24=0,X11+逐级计算!$C$24,X11+逐级计算!$C$24-(10/(逐级计算!$Q$24*LN(10))*(MAX((LN(10^(逐级计算!$Q$24/10)-1)+逐级计算!$Q$24*(X11-逐级计算!$P$24)*LN(10)/10),0)+LN(1+EXP(-ABS((LN(10^(逐级计算!$Q$24/10)-1)+逐级计算!$Q$24*(X11-逐级计算!$P$24)*LN(10)/10))))))),"")</f>
        <v>15.6834483337657</v>
      </c>
      <c r="Z11">
        <f>IF(AND(ISNUMBER(Y11),逐级计算!$X$25&gt;-1),IF(逐级计算!$X$25=0,Y11+逐级计算!$C$25,Y11+逐级计算!$C$25-(10/(逐级计算!$Q$25*LN(10))*(MAX((LN(10^(逐级计算!$Q$25/10)-1)+逐级计算!$Q$25*(Y11-逐级计算!$P$25)*LN(10)/10),0)+LN(1+EXP(-ABS((LN(10^(逐级计算!$Q$25/10)-1)+逐级计算!$Q$25*(Y11-逐级计算!$P$25)*LN(10)/10))))))),"")</f>
        <v>15.6834483337657</v>
      </c>
      <c r="AA11">
        <f>IF(AND(ISNUMBER(Z11),逐级计算!$X$26&gt;-1),IF(逐级计算!$X$26=0,Z11+逐级计算!$C$26,Z11+逐级计算!$C$26-(10/(逐级计算!$Q$26*LN(10))*(MAX((LN(10^(逐级计算!$Q$26/10)-1)+逐级计算!$Q$26*(Z11-逐级计算!$P$26)*LN(10)/10),0)+LN(1+EXP(-ABS((LN(10^(逐级计算!$Q$26/10)-1)+逐级计算!$Q$26*(Z11-逐级计算!$P$26)*LN(10)/10))))))),"")</f>
        <v>15.6834483337657</v>
      </c>
      <c r="AB11">
        <f>IF(AND(ISNUMBER(AA11),逐级计算!$X$27&gt;-1),IF(逐级计算!$X$27=0,AA11+逐级计算!$C$27,AA11+逐级计算!$C$27-(10/(逐级计算!$Q$27*LN(10))*(MAX((LN(10^(逐级计算!$Q$27/10)-1)+逐级计算!$Q$27*(AA11-逐级计算!$P$27)*LN(10)/10),0)+LN(1+EXP(-ABS((LN(10^(逐级计算!$Q$27/10)-1)+逐级计算!$Q$27*(AA11-逐级计算!$P$27)*LN(10)/10))))))),"")</f>
        <v>15.6834483337657</v>
      </c>
      <c r="AC11">
        <f>IF(AND(ISNUMBER(AB11),逐级计算!$X$28&gt;-1),IF(逐级计算!$X$28=0,AB11+逐级计算!$C$28,AB11+逐级计算!$C$28-(10/(逐级计算!$Q$28*LN(10))*(MAX((LN(10^(逐级计算!$Q$28/10)-1)+逐级计算!$Q$28*(AB11-逐级计算!$P$28)*LN(10)/10),0)+LN(1+EXP(-ABS((LN(10^(逐级计算!$Q$28/10)-1)+逐级计算!$Q$28*(AB11-逐级计算!$P$28)*LN(10)/10))))))),"")</f>
        <v>15.6834483337657</v>
      </c>
      <c r="AD11">
        <f>IF(AND(ISNUMBER(AC11),逐级计算!$X$29&gt;-1),IF(逐级计算!$X$29=0,AC11+逐级计算!$C$29,AC11+逐级计算!$C$29-(10/(逐级计算!$Q$29*LN(10))*(MAX((LN(10^(逐级计算!$Q$29/10)-1)+逐级计算!$Q$29*(AC11-逐级计算!$P$29)*LN(10)/10),0)+LN(1+EXP(-ABS((LN(10^(逐级计算!$Q$29/10)-1)+逐级计算!$Q$29*(AC11-逐级计算!$P$29)*LN(10)/10))))))),"")</f>
        <v>15.6834483337657</v>
      </c>
      <c r="AE11">
        <f>IF(AND(ISNUMBER(AD11),逐级计算!$X$30&gt;-1),IF(逐级计算!$X$30=0,AD11+逐级计算!$C$30,AD11+逐级计算!$C$30-(10/(逐级计算!$Q$30*LN(10))*(MAX((LN(10^(逐级计算!$Q$30/10)-1)+逐级计算!$Q$30*(AD11-逐级计算!$P$30)*LN(10)/10),0)+LN(1+EXP(-ABS((LN(10^(逐级计算!$Q$30/10)-1)+逐级计算!$Q$30*(AD11-逐级计算!$P$30)*LN(10)/10))))))),"")</f>
        <v>15.6834483337657</v>
      </c>
      <c r="AF11">
        <f>IF(AND(ISNUMBER(AE11),逐级计算!$X$31&gt;-1),IF(逐级计算!$X$31=0,AE11+逐级计算!$C$31,AE11+逐级计算!$C$31-(10/(逐级计算!$Q$31*LN(10))*(MAX((LN(10^(逐级计算!$Q$31/10)-1)+逐级计算!$Q$31*(AE11-逐级计算!$P$31)*LN(10)/10),0)+LN(1+EXP(-ABS((LN(10^(逐级计算!$Q$31/10)-1)+逐级计算!$Q$31*(AE11-逐级计算!$P$31)*LN(10)/10))))))),"")</f>
        <v>15.6834483337657</v>
      </c>
      <c r="AG11">
        <f>IF(AND(ISNUMBER(AF11),逐级计算!$X$32&gt;-1),IF(逐级计算!$X$32=0,AF11+逐级计算!$C$32,AF11+逐级计算!$C$32-(10/(逐级计算!$Q$32*LN(10))*(MAX((LN(10^(逐级计算!$Q$32/10)-1)+逐级计算!$Q$32*(AF11-逐级计算!$P$32)*LN(10)/10),0)+LN(1+EXP(-ABS((LN(10^(逐级计算!$Q$32/10)-1)+逐级计算!$Q$32*(AF11-逐级计算!$P$32)*LN(10)/10))))))),"")</f>
        <v>15.6834483337657</v>
      </c>
      <c r="AH11">
        <f>IF(AND(ISNUMBER(AG11),逐级计算!$X$33&gt;-1),IF(逐级计算!$X$33=0,AG11+逐级计算!$C$33,AG11+逐级计算!$C$33-(10/(逐级计算!$Q$33*LN(10))*(MAX((LN(10^(逐级计算!$Q$33/10)-1)+逐级计算!$Q$33*(AG11-逐级计算!$P$33)*LN(10)/10),0)+LN(1+EXP(-ABS((LN(10^(逐级计算!$Q$33/10)-1)+逐级计算!$Q$33*(AG11-逐级计算!$P$33)*LN(10)/10))))))),"")</f>
        <v>15.6834483337657</v>
      </c>
      <c r="AI11">
        <f>IF(AND(ISNUMBER(AH11),逐级计算!$X$34&gt;-1),IF(逐级计算!$X$34=0,AH11+逐级计算!$C$34,AH11+逐级计算!$C$34-(10/(逐级计算!$Q$34*LN(10))*(MAX((LN(10^(逐级计算!$Q$34/10)-1)+逐级计算!$Q$34*(AH11-逐级计算!$P$34)*LN(10)/10),0)+LN(1+EXP(-ABS((LN(10^(逐级计算!$Q$34/10)-1)+逐级计算!$Q$34*(AH11-逐级计算!$P$34)*LN(10)/10))))))),"")</f>
        <v>15.6834483337657</v>
      </c>
      <c r="AJ11">
        <f>IF(AND(ISNUMBER(AI11),逐级计算!$X$35&gt;-1),IF(逐级计算!$X$35=0,AI11+逐级计算!$C$35,AI11+逐级计算!$C$35-(10/(逐级计算!$Q$35*LN(10))*(MAX((LN(10^(逐级计算!$Q$35/10)-1)+逐级计算!$Q$35*(AI11-逐级计算!$P$35)*LN(10)/10),0)+LN(1+EXP(-ABS((LN(10^(逐级计算!$Q$35/10)-1)+逐级计算!$Q$35*(AI11-逐级计算!$P$35)*LN(10)/10))))))),"")</f>
        <v>15.6834483337657</v>
      </c>
      <c r="AK11">
        <f>IF(AND(ISNUMBER(AJ11),逐级计算!$X$36&gt;-1),IF(逐级计算!$X$36=0,AJ11+逐级计算!$C$36,AJ11+逐级计算!$C$36-(10/(逐级计算!$Q$36*LN(10))*(MAX((LN(10^(逐级计算!$Q$36/10)-1)+逐级计算!$Q$36*(AJ11-逐级计算!$P$36)*LN(10)/10),0)+LN(1+EXP(-ABS((LN(10^(逐级计算!$Q$36/10)-1)+逐级计算!$Q$36*(AJ11-逐级计算!$P$36)*LN(10)/10))))))),"")</f>
        <v>15.6834483337657</v>
      </c>
      <c r="AL11">
        <f>IF(AND(ISNUMBER(AK11),逐级计算!$X$37&gt;-1),IF(逐级计算!$X$37=0,AK11+逐级计算!$C$37,AK11+逐级计算!$C$37-(10/(逐级计算!$Q$37*LN(10))*(MAX((LN(10^(逐级计算!$Q$37/10)-1)+逐级计算!$Q$37*(AK11-逐级计算!$P$37)*LN(10)/10),0)+LN(1+EXP(-ABS((LN(10^(逐级计算!$Q$37/10)-1)+逐级计算!$Q$37*(AK11-逐级计算!$P$37)*LN(10)/10))))))),"")</f>
        <v>15.6834483337657</v>
      </c>
      <c r="AM11">
        <f>IF(AND(ISNUMBER(AL11),逐级计算!$X$38&gt;-1),IF(逐级计算!$X$38=0,AL11+逐级计算!$C$38,AL11+逐级计算!$C$38-(10/(逐级计算!$Q$38*LN(10))*(MAX((LN(10^(逐级计算!$Q$38/10)-1)+逐级计算!$Q$38*(AL11-逐级计算!$P$38)*LN(10)/10),0)+LN(1+EXP(-ABS((LN(10^(逐级计算!$Q$38/10)-1)+逐级计算!$Q$38*(AL11-逐级计算!$P$38)*LN(10)/10))))))),"")</f>
        <v>15.6834483337657</v>
      </c>
      <c r="AN11">
        <f>IF(AND(ISNUMBER(AM11),逐级计算!$X$39&gt;-1),IF(逐级计算!$X$39=0,AM11+逐级计算!$C$39,AM11+逐级计算!$C$39-(10/(逐级计算!$Q$39*LN(10))*(MAX((LN(10^(逐级计算!$Q$39/10)-1)+逐级计算!$Q$39*(AM11-逐级计算!$P$39)*LN(10)/10),0)+LN(1+EXP(-ABS((LN(10^(逐级计算!$Q$39/10)-1)+逐级计算!$Q$39*(AM11-逐级计算!$P$39)*LN(10)/10))))))),"")</f>
        <v>15.6834483337657</v>
      </c>
      <c r="AO11">
        <f>IF(AND(ISNUMBER(AN11),逐级计算!$X$40&gt;-1),IF(逐级计算!$X$40=0,AN11+逐级计算!$C$40,AN11+逐级计算!$C$40-(10/(逐级计算!$Q$40*LN(10))*(MAX((LN(10^(逐级计算!$Q$40/10)-1)+逐级计算!$Q$40*(AN11-逐级计算!$P$40)*LN(10)/10),0)+LN(1+EXP(-ABS((LN(10^(逐级计算!$Q$40/10)-1)+逐级计算!$Q$40*(AN11-逐级计算!$P$40)*LN(10)/10))))))),"")</f>
        <v>15.6834483337657</v>
      </c>
      <c r="AP11">
        <f>IF(AND(ISNUMBER(AO11),逐级计算!$X$41&gt;-1),IF(逐级计算!$X$41=0,AO11+逐级计算!$C$41,AO11+逐级计算!$C$41-(10/(逐级计算!$Q$41*LN(10))*(MAX((LN(10^(逐级计算!$Q$41/10)-1)+逐级计算!$Q$41*(AO11-逐级计算!$P$41)*LN(10)/10),0)+LN(1+EXP(-ABS((LN(10^(逐级计算!$Q$41/10)-1)+逐级计算!$Q$41*(AO11-逐级计算!$P$41)*LN(10)/10))))))),"")</f>
        <v>15.6834483337657</v>
      </c>
      <c r="AQ11">
        <f>IF(AND(ISNUMBER(AP11),逐级计算!$X$42&gt;-1),IF(逐级计算!$X$42=0,AP11+逐级计算!$C$42,AP11+逐级计算!$C$42-(10/(逐级计算!$Q$42*LN(10))*(MAX((LN(10^(逐级计算!$Q$42/10)-1)+逐级计算!$Q$42*(AP11-逐级计算!$P$42)*LN(10)/10),0)+LN(1+EXP(-ABS((LN(10^(逐级计算!$Q$42/10)-1)+逐级计算!$Q$42*(AP11-逐级计算!$P$42)*LN(10)/10))))))),"")</f>
        <v>15.6834483337657</v>
      </c>
      <c r="AR11">
        <f>IF(AND(ISNUMBER(AQ11),逐级计算!$X$43&gt;-1),IF(逐级计算!$X$43=0,AQ11+逐级计算!$C$43,AQ11+逐级计算!$C$43-(10/(逐级计算!$Q$43*LN(10))*(MAX((LN(10^(逐级计算!$Q$43/10)-1)+逐级计算!$Q$43*(AQ11-逐级计算!$P$43)*LN(10)/10),0)+LN(1+EXP(-ABS((LN(10^(逐级计算!$Q$43/10)-1)+逐级计算!$Q$43*(AQ11-逐级计算!$P$43)*LN(10)/10))))))),"")</f>
        <v>15.6834483337657</v>
      </c>
      <c r="AS11">
        <f>IF(AND(ISNUMBER(AR11),逐级计算!$X$44&gt;-1),IF(逐级计算!$X$44=0,AR11+逐级计算!$C$44,AR11+逐级计算!$C$44-(10/(逐级计算!$Q$44*LN(10))*(MAX((LN(10^(逐级计算!$Q$44/10)-1)+逐级计算!$Q$44*(AR11-逐级计算!$P$44)*LN(10)/10),0)+LN(1+EXP(-ABS((LN(10^(逐级计算!$Q$44/10)-1)+逐级计算!$Q$44*(AR11-逐级计算!$P$44)*LN(10)/10))))))),"")</f>
        <v>15.6834483337657</v>
      </c>
      <c r="AT11">
        <f>IF(AND(ISNUMBER(AS11),逐级计算!$X$45&gt;-1),IF(逐级计算!$X$45=0,AS11+逐级计算!$C$45,AS11+逐级计算!$C$45-(10/(逐级计算!$Q$45*LN(10))*(MAX((LN(10^(逐级计算!$Q$45/10)-1)+逐级计算!$Q$45*(AS11-逐级计算!$P$45)*LN(10)/10),0)+LN(1+EXP(-ABS((LN(10^(逐级计算!$Q$45/10)-1)+逐级计算!$Q$45*(AS11-逐级计算!$P$45)*LN(10)/10))))))),"")</f>
        <v>15.6834483337657</v>
      </c>
      <c r="AU11">
        <f>IF(AND(ISNUMBER(AT11),逐级计算!$X$46&gt;-1),IF(逐级计算!$X$46=0,AT11+逐级计算!$C$46,AT11+逐级计算!$C$46-(10/(逐级计算!$Q$46*LN(10))*(MAX((LN(10^(逐级计算!$Q$46/10)-1)+逐级计算!$Q$46*(AT11-逐级计算!$P$46)*LN(10)/10),0)+LN(1+EXP(-ABS((LN(10^(逐级计算!$Q$46/10)-1)+逐级计算!$Q$46*(AT11-逐级计算!$P$46)*LN(10)/10))))))),"")</f>
        <v>15.6834483337657</v>
      </c>
      <c r="AV11">
        <f>IF(AND(ISNUMBER(AU11),逐级计算!$X$47&gt;-1),IF(逐级计算!$X$47=0,AU11+逐级计算!$C$47,AU11+逐级计算!$C$47-(10/(逐级计算!$Q$47*LN(10))*(MAX((LN(10^(逐级计算!$Q$47/10)-1)+逐级计算!$Q$47*(AU11-逐级计算!$P$47)*LN(10)/10),0)+LN(1+EXP(-ABS((LN(10^(逐级计算!$Q$47/10)-1)+逐级计算!$Q$47*(AU11-逐级计算!$P$47)*LN(10)/10))))))),"")</f>
        <v>15.6834483337657</v>
      </c>
      <c r="AW11">
        <f>IF(AND(ISNUMBER(AV11),逐级计算!$X$48&gt;-1),IF(逐级计算!$X$48=0,AV11+逐级计算!$C$48,AV11+逐级计算!$C$48-(10/(逐级计算!$Q$48*LN(10))*(MAX((LN(10^(逐级计算!$Q$48/10)-1)+逐级计算!$Q$48*(AV11-逐级计算!$P$48)*LN(10)/10),0)+LN(1+EXP(-ABS((LN(10^(逐级计算!$Q$48/10)-1)+逐级计算!$Q$48*(AV11-逐级计算!$P$48)*LN(10)/10))))))),"")</f>
        <v>15.6834483337657</v>
      </c>
      <c r="AX11">
        <f>IF(AND(ISNUMBER(AW11),逐级计算!$X$49&gt;-1),IF(逐级计算!$X$49=0,AW11+逐级计算!$C$49,AW11+逐级计算!$C$49-(10/(逐级计算!$Q$49*LN(10))*(MAX((LN(10^(逐级计算!$Q$49/10)-1)+逐级计算!$Q$49*(AW11-逐级计算!$P$49)*LN(10)/10),0)+LN(1+EXP(-ABS((LN(10^(逐级计算!$Q$49/10)-1)+逐级计算!$Q$49*(AW11-逐级计算!$P$49)*LN(10)/10))))))),"")</f>
        <v>15.6834483337657</v>
      </c>
      <c r="AY11">
        <f>IF(AND(ISNUMBER(AX11),逐级计算!$X$50&gt;-1),IF(逐级计算!$X$50=0,AX11+逐级计算!$C$50,AX11+逐级计算!$C$50-(10/(逐级计算!$Q$50*LN(10))*(MAX((LN(10^(逐级计算!$Q$50/10)-1)+逐级计算!$Q$50*(AX11-逐级计算!$P$50)*LN(10)/10),0)+LN(1+EXP(-ABS((LN(10^(逐级计算!$Q$50/10)-1)+逐级计算!$Q$50*(AX11-逐级计算!$P$50)*LN(10)/10))))))),"")</f>
        <v>15.6834483337657</v>
      </c>
      <c r="AZ11">
        <f>IF(AND(ISNUMBER(AY11),逐级计算!$X$51&gt;-1),IF(逐级计算!$X$51=0,AY11+逐级计算!$C$51,AY11+逐级计算!$C$51-(10/(逐级计算!$Q$51*LN(10))*(MAX((LN(10^(逐级计算!$Q$51/10)-1)+逐级计算!$Q$51*(AY11-逐级计算!$P$51)*LN(10)/10),0)+LN(1+EXP(-ABS((LN(10^(逐级计算!$Q$51/10)-1)+逐级计算!$Q$51*(AY11-逐级计算!$P$51)*LN(10)/10))))))),"")</f>
        <v>15.6834483337657</v>
      </c>
      <c r="BA11">
        <f>IF(AND(ISNUMBER(AZ11),逐级计算!$X$52&gt;-1),IF(逐级计算!$X$52=0,AZ11+逐级计算!$C$52,AZ11+逐级计算!$C$52-(10/(逐级计算!$Q$52*LN(10))*(MAX((LN(10^(逐级计算!$Q$52/10)-1)+逐级计算!$Q$52*(AZ11-逐级计算!$P$52)*LN(10)/10),0)+LN(1+EXP(-ABS((LN(10^(逐级计算!$Q$52/10)-1)+逐级计算!$Q$52*(AZ11-逐级计算!$P$52)*LN(10)/10))))))),"")</f>
        <v>15.6834483337657</v>
      </c>
      <c r="BB11">
        <f>IF(AND(ISNUMBER(BA11),逐级计算!$X$53&gt;-1),IF(逐级计算!$X$53=0,BA11+逐级计算!$C$53,BA11+逐级计算!$C$53-(10/(逐级计算!$Q$53*LN(10))*(MAX((LN(10^(逐级计算!$Q$53/10)-1)+逐级计算!$Q$53*(BA11-逐级计算!$P$53)*LN(10)/10),0)+LN(1+EXP(-ABS((LN(10^(逐级计算!$Q$53/10)-1)+逐级计算!$Q$53*(BA11-逐级计算!$P$53)*LN(10)/10))))))),"")</f>
        <v>15.6834483337657</v>
      </c>
      <c r="BC11">
        <f>IF(AND(ISNUMBER(BB11),逐级计算!$X$54&gt;-1),IF(逐级计算!$X$54=0,BB11+逐级计算!$C$54,BB11+逐级计算!$C$54-(10/(逐级计算!$Q$54*LN(10))*(MAX((LN(10^(逐级计算!$Q$54/10)-1)+逐级计算!$Q$54*(BB11-逐级计算!$P$54)*LN(10)/10),0)+LN(1+EXP(-ABS((LN(10^(逐级计算!$Q$54/10)-1)+逐级计算!$Q$54*(BB11-逐级计算!$P$54)*LN(10)/10))))))),"")</f>
        <v>15.6834483337657</v>
      </c>
      <c r="BD11">
        <f>IF(AND(ISNUMBER(BC11),逐级计算!$X$55&gt;-1),IF(逐级计算!$X$55=0,BC11+逐级计算!$C$55,BC11+逐级计算!$C$55-(10/(逐级计算!$Q$55*LN(10))*(MAX((LN(10^(逐级计算!$Q$55/10)-1)+逐级计算!$Q$55*(BC11-逐级计算!$P$55)*LN(10)/10),0)+LN(1+EXP(-ABS((LN(10^(逐级计算!$Q$55/10)-1)+逐级计算!$Q$55*(BC11-逐级计算!$P$55)*LN(10)/10))))))),"")</f>
        <v>15.6834483337657</v>
      </c>
      <c r="BE11">
        <f>IF(AND(ISNUMBER(BD11),逐级计算!$X$56&gt;-1),IF(逐级计算!$X$56=0,BD11+逐级计算!$C$56,BD11+逐级计算!$C$56-(10/(逐级计算!$Q$56*LN(10))*(MAX((LN(10^(逐级计算!$Q$56/10)-1)+逐级计算!$Q$56*(BD11-逐级计算!$P$56)*LN(10)/10),0)+LN(1+EXP(-ABS((LN(10^(逐级计算!$Q$56/10)-1)+逐级计算!$Q$56*(BD11-逐级计算!$P$56)*LN(10)/10))))))),"")</f>
        <v>15.6834483337657</v>
      </c>
      <c r="BF11">
        <f>IF(AND(ISNUMBER(BE11),逐级计算!$X$57&gt;-1),IF(逐级计算!$X$57=0,BE11+逐级计算!$C$57,BE11+逐级计算!$C$57-(10/(逐级计算!$Q$57*LN(10))*(MAX((LN(10^(逐级计算!$Q$57/10)-1)+逐级计算!$Q$57*(BE11-逐级计算!$P$57)*LN(10)/10),0)+LN(1+EXP(-ABS((LN(10^(逐级计算!$Q$57/10)-1)+逐级计算!$Q$57*(BE11-逐级计算!$P$57)*LN(10)/10))))))),"")</f>
        <v>15.6834483337657</v>
      </c>
      <c r="BG11">
        <f>IF(AND(ISNUMBER(BF11),逐级计算!$X$58&gt;-1),IF(逐级计算!$X$58=0,BF11+逐级计算!$C$58,BF11+逐级计算!$C$58-(10/(逐级计算!$Q$58*LN(10))*(MAX((LN(10^(逐级计算!$Q$58/10)-1)+逐级计算!$Q$58*(BF11-逐级计算!$P$58)*LN(10)/10),0)+LN(1+EXP(-ABS((LN(10^(逐级计算!$Q$58/10)-1)+逐级计算!$Q$58*(BF11-逐级计算!$P$58)*LN(10)/10))))))),"")</f>
        <v>15.6834483337657</v>
      </c>
      <c r="BH11">
        <f>IF(AND(ISNUMBER(BG11),逐级计算!$X$59&gt;-1),IF(逐级计算!$X$59=0,BG11+逐级计算!$C$59,BG11+逐级计算!$C$59-(10/(逐级计算!$Q$59*LN(10))*(MAX((LN(10^(逐级计算!$Q$59/10)-1)+逐级计算!$Q$59*(BG11-逐级计算!$P$59)*LN(10)/10),0)+LN(1+EXP(-ABS((LN(10^(逐级计算!$Q$59/10)-1)+逐级计算!$Q$59*(BG11-逐级计算!$P$59)*LN(10)/10))))))),"")</f>
        <v>15.6834483337657</v>
      </c>
      <c r="BI11">
        <f>IF(AND(ISNUMBER(BH11),逐级计算!$X$60&gt;-1),IF(逐级计算!$X$60=0,BH11+逐级计算!$C$60,BH11+逐级计算!$C$60-(10/(逐级计算!$Q$60*LN(10))*(MAX((LN(10^(逐级计算!$Q$60/10)-1)+逐级计算!$Q$60*(BH11-逐级计算!$P$60)*LN(10)/10),0)+LN(1+EXP(-ABS((LN(10^(逐级计算!$Q$60/10)-1)+逐级计算!$Q$60*(BH11-逐级计算!$P$60)*LN(10)/10))))))),"")</f>
        <v>15.6834483337657</v>
      </c>
      <c r="BJ11">
        <f>IF(AND(ISNUMBER(BI11),逐级计算!$X$61&gt;-1),IF(逐级计算!$X$61=0,BI11+逐级计算!$C$61,BI11+逐级计算!$C$61-(10/(逐级计算!$Q$61*LN(10))*(MAX((LN(10^(逐级计算!$Q$61/10)-1)+逐级计算!$Q$61*(BI11-逐级计算!$P$61)*LN(10)/10),0)+LN(1+EXP(-ABS((LN(10^(逐级计算!$Q$61/10)-1)+逐级计算!$Q$61*(BI11-逐级计算!$P$61)*LN(10)/10))))))),"")</f>
        <v>15.6834483337657</v>
      </c>
      <c r="BK11">
        <f>IF(AND(ISNUMBER(BJ11),逐级计算!$X$62&gt;-1),IF(逐级计算!$X$62=0,BJ11+逐级计算!$C$62,BJ11+逐级计算!$C$62-(10/(逐级计算!$Q$62*LN(10))*(MAX((LN(10^(逐级计算!$Q$62/10)-1)+逐级计算!$Q$62*(BJ11-逐级计算!$P$62)*LN(10)/10),0)+LN(1+EXP(-ABS((LN(10^(逐级计算!$Q$62/10)-1)+逐级计算!$Q$62*(BJ11-逐级计算!$P$62)*LN(10)/10))))))),"")</f>
        <v>15.6834483337657</v>
      </c>
      <c r="BL11">
        <f>IF(AND(ISNUMBER(BK11),逐级计算!$X$63&gt;-1),IF(逐级计算!$X$63=0,BK11+逐级计算!$C$63,BK11+逐级计算!$C$63-(10/(逐级计算!$Q$63*LN(10))*(MAX((LN(10^(逐级计算!$Q$63/10)-1)+逐级计算!$Q$63*(BK11-逐级计算!$P$63)*LN(10)/10),0)+LN(1+EXP(-ABS((LN(10^(逐级计算!$Q$63/10)-1)+逐级计算!$Q$63*(BK11-逐级计算!$P$63)*LN(10)/10))))))),"")</f>
        <v>15.6834483337657</v>
      </c>
      <c r="BM11">
        <f>IF(AND(ISNUMBER(BL11),逐级计算!$X$64&gt;-1),IF(逐级计算!$X$64=0,BL11+逐级计算!$C$64,BL11+逐级计算!$C$64-(10/(逐级计算!$Q$64*LN(10))*(MAX((LN(10^(逐级计算!$Q$64/10)-1)+逐级计算!$Q$64*(BL11-逐级计算!$P$64)*LN(10)/10),0)+LN(1+EXP(-ABS((LN(10^(逐级计算!$Q$64/10)-1)+逐级计算!$Q$64*(BL11-逐级计算!$P$64)*LN(10)/10))))))),"")</f>
        <v>15.6834483337657</v>
      </c>
      <c r="BN11">
        <f>IF(AND(ISNUMBER(BM11),逐级计算!$X$65&gt;-1),IF(逐级计算!$X$65=0,BM11+逐级计算!$C$65,BM11+逐级计算!$C$65-(10/(逐级计算!$Q$65*LN(10))*(MAX((LN(10^(逐级计算!$Q$65/10)-1)+逐级计算!$Q$65*(BM11-逐级计算!$P$65)*LN(10)/10),0)+LN(1+EXP(-ABS((LN(10^(逐级计算!$Q$65/10)-1)+逐级计算!$Q$65*(BM11-逐级计算!$P$65)*LN(10)/10))))))),"")</f>
        <v>15.6834483337657</v>
      </c>
      <c r="BO11">
        <f>IF(AND(ISNUMBER(BN11),逐级计算!$X$66&gt;-1),IF(逐级计算!$X$66=0,BN11+逐级计算!$C$66,BN11+逐级计算!$C$66-(10/(逐级计算!$Q$66*LN(10))*(MAX((LN(10^(逐级计算!$Q$66/10)-1)+逐级计算!$Q$66*(BN11-逐级计算!$P$66)*LN(10)/10),0)+LN(1+EXP(-ABS((LN(10^(逐级计算!$Q$66/10)-1)+逐级计算!$Q$66*(BN11-逐级计算!$P$66)*LN(10)/10))))))),"")</f>
        <v>15.6834483337657</v>
      </c>
      <c r="BP11">
        <f>IF(AND(ISNUMBER(BO11),逐级计算!$X$67&gt;-1),IF(逐级计算!$X$67=0,BO11+逐级计算!$C$67,BO11+逐级计算!$C$67-(10/(逐级计算!$Q$67*LN(10))*(MAX((LN(10^(逐级计算!$Q$67/10)-1)+逐级计算!$Q$67*(BO11-逐级计算!$P$67)*LN(10)/10),0)+LN(1+EXP(-ABS((LN(10^(逐级计算!$Q$67/10)-1)+逐级计算!$Q$67*(BO11-逐级计算!$P$67)*LN(10)/10))))))),"")</f>
        <v>15.6834483337657</v>
      </c>
      <c r="BQ11">
        <f>IF(AND(ISNUMBER(BP11),逐级计算!$X$68&gt;-1),IF(逐级计算!$X$68=0,BP11+逐级计算!$C$68,BP11+逐级计算!$C$68-(10/(逐级计算!$Q$68*LN(10))*(MAX((LN(10^(逐级计算!$Q$68/10)-1)+逐级计算!$Q$68*(BP11-逐级计算!$P$68)*LN(10)/10),0)+LN(1+EXP(-ABS((LN(10^(逐级计算!$Q$68/10)-1)+逐级计算!$Q$68*(BP11-逐级计算!$P$68)*LN(10)/10))))))),"")</f>
        <v>15.6834483337657</v>
      </c>
      <c r="BR11">
        <f>IF(AND(ISNUMBER(BQ11),逐级计算!$X$69&gt;-1),IF(逐级计算!$X$69=0,BQ11+逐级计算!$C$69,BQ11+逐级计算!$C$69-(10/(逐级计算!$Q$69*LN(10))*(MAX((LN(10^(逐级计算!$Q$69/10)-1)+逐级计算!$Q$69*(BQ11-逐级计算!$P$69)*LN(10)/10),0)+LN(1+EXP(-ABS((LN(10^(逐级计算!$Q$69/10)-1)+逐级计算!$Q$69*(BQ11-逐级计算!$P$69)*LN(10)/10))))))),"")</f>
        <v>15.6834483337657</v>
      </c>
      <c r="BS11">
        <f>IF(AND(ISNUMBER(BR11),逐级计算!$X$70&gt;-1),IF(逐级计算!$X$70=0,BR11+逐级计算!$C$70,BR11+逐级计算!$C$70-(10/(逐级计算!$Q$70*LN(10))*(MAX((LN(10^(逐级计算!$Q$70/10)-1)+逐级计算!$Q$70*(BR11-逐级计算!$P$70)*LN(10)/10),0)+LN(1+EXP(-ABS((LN(10^(逐级计算!$Q$70/10)-1)+逐级计算!$Q$70*(BR11-逐级计算!$P$70)*LN(10)/10))))))),"")</f>
        <v>15.6834483337657</v>
      </c>
      <c r="BT11">
        <f>IF(AND(ISNUMBER(BS11),逐级计算!$X$71&gt;-1),IF(逐级计算!$X$71=0,BS11+逐级计算!$C$71,BS11+逐级计算!$C$71-(10/(逐级计算!$Q$71*LN(10))*(MAX((LN(10^(逐级计算!$Q$71/10)-1)+逐级计算!$Q$71*(BS11-逐级计算!$P$71)*LN(10)/10),0)+LN(1+EXP(-ABS((LN(10^(逐级计算!$Q$71/10)-1)+逐级计算!$Q$71*(BS11-逐级计算!$P$71)*LN(10)/10))))))),"")</f>
        <v>15.6834483337657</v>
      </c>
      <c r="BU11">
        <f>IF(AND(ISNUMBER(BT11),逐级计算!$X$72&gt;-1),IF(逐级计算!$X$72=0,BT11+逐级计算!$C$72,BT11+逐级计算!$C$72-(10/(逐级计算!$Q$72*LN(10))*(MAX((LN(10^(逐级计算!$Q$72/10)-1)+逐级计算!$Q$72*(BT11-逐级计算!$P$72)*LN(10)/10),0)+LN(1+EXP(-ABS((LN(10^(逐级计算!$Q$72/10)-1)+逐级计算!$Q$72*(BT11-逐级计算!$P$72)*LN(10)/10))))))),"")</f>
        <v>15.6834483337657</v>
      </c>
      <c r="BV11">
        <f>IF(AND(ISNUMBER(BU11),逐级计算!$X$73&gt;-1),IF(逐级计算!$X$73=0,BU11+逐级计算!$C$73,BU11+逐级计算!$C$73-(10/(逐级计算!$Q$73*LN(10))*(MAX((LN(10^(逐级计算!$Q$73/10)-1)+逐级计算!$Q$73*(BU11-逐级计算!$P$73)*LN(10)/10),0)+LN(1+EXP(-ABS((LN(10^(逐级计算!$Q$73/10)-1)+逐级计算!$Q$73*(BU11-逐级计算!$P$73)*LN(10)/10))))))),"")</f>
        <v>15.6834483337657</v>
      </c>
      <c r="BW11">
        <f>IF(AND(ISNUMBER(BV11),逐级计算!$X$74&gt;-1),IF(逐级计算!$X$74=0,BV11+逐级计算!$C$74,BV11+逐级计算!$C$74-(10/(逐级计算!$Q$74*LN(10))*(MAX((LN(10^(逐级计算!$Q$74/10)-1)+逐级计算!$Q$74*(BV11-逐级计算!$P$74)*LN(10)/10),0)+LN(1+EXP(-ABS((LN(10^(逐级计算!$Q$74/10)-1)+逐级计算!$Q$74*(BV11-逐级计算!$P$74)*LN(10)/10))))))),"")</f>
        <v>15.6834483337657</v>
      </c>
      <c r="BX11">
        <f>IF(AND(ISNUMBER(BW11),逐级计算!$X$75&gt;-1),IF(逐级计算!$X$75=0,BW11+逐级计算!$C$75,BW11+逐级计算!$C$75-(10/(逐级计算!$Q$75*LN(10))*(MAX((LN(10^(逐级计算!$Q$75/10)-1)+逐级计算!$Q$75*(BW11-逐级计算!$P$75)*LN(10)/10),0)+LN(1+EXP(-ABS((LN(10^(逐级计算!$Q$75/10)-1)+逐级计算!$Q$75*(BW11-逐级计算!$P$75)*LN(10)/10))))))),"")</f>
        <v>15.6834483337657</v>
      </c>
      <c r="BY11">
        <f>IF(AND(ISNUMBER(BX11),逐级计算!$X$76&gt;-1),IF(逐级计算!$X$76=0,BX11+逐级计算!$C$76,BX11+逐级计算!$C$76-(10/(逐级计算!$Q$76*LN(10))*(MAX((LN(10^(逐级计算!$Q$76/10)-1)+逐级计算!$Q$76*(BX11-逐级计算!$P$76)*LN(10)/10),0)+LN(1+EXP(-ABS((LN(10^(逐级计算!$Q$76/10)-1)+逐级计算!$Q$76*(BX11-逐级计算!$P$76)*LN(10)/10))))))),"")</f>
        <v>15.6834483337657</v>
      </c>
      <c r="BZ11">
        <f>IF(AND(ISNUMBER(BY11),逐级计算!$X$77&gt;-1),IF(逐级计算!$X$77=0,BY11+逐级计算!$C$77,BY11+逐级计算!$C$77-(10/(逐级计算!$Q$77*LN(10))*(MAX((LN(10^(逐级计算!$Q$77/10)-1)+逐级计算!$Q$77*(BY11-逐级计算!$P$77)*LN(10)/10),0)+LN(1+EXP(-ABS((LN(10^(逐级计算!$Q$77/10)-1)+逐级计算!$Q$77*(BY11-逐级计算!$P$77)*LN(10)/10))))))),"")</f>
        <v>15.6834483337657</v>
      </c>
      <c r="CA11">
        <f>IF(AND(ISNUMBER(BZ11),逐级计算!$X$78&gt;-1),IF(逐级计算!$X$78=0,BZ11+逐级计算!$C$78,BZ11+逐级计算!$C$78-(10/(逐级计算!$Q$78*LN(10))*(MAX((LN(10^(逐级计算!$Q$78/10)-1)+逐级计算!$Q$78*(BZ11-逐级计算!$P$78)*LN(10)/10),0)+LN(1+EXP(-ABS((LN(10^(逐级计算!$Q$78/10)-1)+逐级计算!$Q$78*(BZ11-逐级计算!$P$78)*LN(10)/10))))))),"")</f>
        <v>15.6834483337657</v>
      </c>
      <c r="CB11">
        <f>IF(AND(ISNUMBER(CA11),逐级计算!$X$79&gt;-1),IF(逐级计算!$X$79=0,CA11+逐级计算!$C$79,CA11+逐级计算!$C$79-(10/(逐级计算!$Q$79*LN(10))*(MAX((LN(10^(逐级计算!$Q$79/10)-1)+逐级计算!$Q$79*(CA11-逐级计算!$P$79)*LN(10)/10),0)+LN(1+EXP(-ABS((LN(10^(逐级计算!$Q$79/10)-1)+逐级计算!$Q$79*(CA11-逐级计算!$P$79)*LN(10)/10))))))),"")</f>
        <v>15.6834483337657</v>
      </c>
      <c r="CC11">
        <f>IF(AND(ISNUMBER(CB11),逐级计算!$X$80&gt;-1),IF(逐级计算!$X$80=0,CB11+逐级计算!$C$80,CB11+逐级计算!$C$80-(10/(逐级计算!$Q$80*LN(10))*(MAX((LN(10^(逐级计算!$Q$80/10)-1)+逐级计算!$Q$80*(CB11-逐级计算!$P$80)*LN(10)/10),0)+LN(1+EXP(-ABS((LN(10^(逐级计算!$Q$80/10)-1)+逐级计算!$Q$80*(CB11-逐级计算!$P$80)*LN(10)/10))))))),"")</f>
        <v>15.6834483337657</v>
      </c>
      <c r="CD11">
        <f>IF(AND(ISNUMBER(CC11),逐级计算!$X$81&gt;-1),IF(逐级计算!$X$81=0,CC11+逐级计算!$C$81,CC11+逐级计算!$C$81-(10/(逐级计算!$Q$81*LN(10))*(MAX((LN(10^(逐级计算!$Q$81/10)-1)+逐级计算!$Q$81*(CC11-逐级计算!$P$81)*LN(10)/10),0)+LN(1+EXP(-ABS((LN(10^(逐级计算!$Q$81/10)-1)+逐级计算!$Q$81*(CC11-逐级计算!$P$81)*LN(10)/10))))))),"")</f>
        <v>15.6834483337657</v>
      </c>
      <c r="CE11">
        <f>IF(AND(ISNUMBER(CD11),逐级计算!$X$82&gt;-1),IF(逐级计算!$X$82=0,CD11+逐级计算!$C$82,CD11+逐级计算!$C$82-(10/(逐级计算!$Q$82*LN(10))*(MAX((LN(10^(逐级计算!$Q$82/10)-1)+逐级计算!$Q$82*(CD11-逐级计算!$P$82)*LN(10)/10),0)+LN(1+EXP(-ABS((LN(10^(逐级计算!$Q$82/10)-1)+逐级计算!$Q$82*(CD11-逐级计算!$P$82)*LN(10)/10))))))),"")</f>
        <v>15.6834483337657</v>
      </c>
      <c r="CF11">
        <f>IF(AND(ISNUMBER(CE11),逐级计算!$X$83&gt;-1),IF(逐级计算!$X$83=0,CE11+逐级计算!$C$83,CE11+逐级计算!$C$83-(10/(逐级计算!$Q$83*LN(10))*(MAX((LN(10^(逐级计算!$Q$83/10)-1)+逐级计算!$Q$83*(CE11-逐级计算!$P$83)*LN(10)/10),0)+LN(1+EXP(-ABS((LN(10^(逐级计算!$Q$83/10)-1)+逐级计算!$Q$83*(CE11-逐级计算!$P$83)*LN(10)/10))))))),"")</f>
        <v>15.6834483337657</v>
      </c>
      <c r="CG11">
        <f>IF(AND(ISNUMBER(CF11),逐级计算!$X$84&gt;-1),IF(逐级计算!$X$84=0,CF11+逐级计算!$C$84,CF11+逐级计算!$C$84-(10/(逐级计算!$Q$84*LN(10))*(MAX((LN(10^(逐级计算!$Q$84/10)-1)+逐级计算!$Q$84*(CF11-逐级计算!$P$84)*LN(10)/10),0)+LN(1+EXP(-ABS((LN(10^(逐级计算!$Q$84/10)-1)+逐级计算!$Q$84*(CF11-逐级计算!$P$84)*LN(10)/10))))))),"")</f>
        <v>15.6834483337657</v>
      </c>
      <c r="CH11">
        <f>IF(AND(ISNUMBER(CG11),逐级计算!$X$85&gt;-1),IF(逐级计算!$X$85=0,CG11+逐级计算!$C$85,CG11+逐级计算!$C$85-(10/(逐级计算!$Q$85*LN(10))*(MAX((LN(10^(逐级计算!$Q$85/10)-1)+逐级计算!$Q$85*(CG11-逐级计算!$P$85)*LN(10)/10),0)+LN(1+EXP(-ABS((LN(10^(逐级计算!$Q$85/10)-1)+逐级计算!$Q$85*(CG11-逐级计算!$P$85)*LN(10)/10))))))),"")</f>
        <v>15.6834483337657</v>
      </c>
      <c r="CI11">
        <f>IF(AND(ISNUMBER(CH11),逐级计算!$X$86&gt;-1),IF(逐级计算!$X$86=0,CH11+逐级计算!$C$86,CH11+逐级计算!$C$86-(10/(逐级计算!$Q$86*LN(10))*(MAX((LN(10^(逐级计算!$Q$86/10)-1)+逐级计算!$Q$86*(CH11-逐级计算!$P$86)*LN(10)/10),0)+LN(1+EXP(-ABS((LN(10^(逐级计算!$Q$86/10)-1)+逐级计算!$Q$86*(CH11-逐级计算!$P$86)*LN(10)/10))))))),"")</f>
        <v>15.6834483337657</v>
      </c>
      <c r="CJ11">
        <f>IF(AND(ISNUMBER(CI11),逐级计算!$X$87&gt;-1),IF(逐级计算!$X$87=0,CI11+逐级计算!$C$87,CI11+逐级计算!$C$87-(10/(逐级计算!$Q$87*LN(10))*(MAX((LN(10^(逐级计算!$Q$87/10)-1)+逐级计算!$Q$87*(CI11-逐级计算!$P$87)*LN(10)/10),0)+LN(1+EXP(-ABS((LN(10^(逐级计算!$Q$87/10)-1)+逐级计算!$Q$87*(CI11-逐级计算!$P$87)*LN(10)/10))))))),"")</f>
        <v>15.6834483337657</v>
      </c>
      <c r="CK11">
        <f>IF(AND(ISNUMBER(CJ11),逐级计算!$X$88&gt;-1),IF(逐级计算!$X$88=0,CJ11+逐级计算!$C$88,CJ11+逐级计算!$C$88-(10/(逐级计算!$Q$88*LN(10))*(MAX((LN(10^(逐级计算!$Q$88/10)-1)+逐级计算!$Q$88*(CJ11-逐级计算!$P$88)*LN(10)/10),0)+LN(1+EXP(-ABS((LN(10^(逐级计算!$Q$88/10)-1)+逐级计算!$Q$88*(CJ11-逐级计算!$P$88)*LN(10)/10))))))),"")</f>
        <v>15.6834483337657</v>
      </c>
      <c r="CL11">
        <f>IF(AND(ISNUMBER(CK11),逐级计算!$X$89&gt;-1),IF(逐级计算!$X$89=0,CK11+逐级计算!$C$89,CK11+逐级计算!$C$89-(10/(逐级计算!$Q$89*LN(10))*(MAX((LN(10^(逐级计算!$Q$89/10)-1)+逐级计算!$Q$89*(CK11-逐级计算!$P$89)*LN(10)/10),0)+LN(1+EXP(-ABS((LN(10^(逐级计算!$Q$89/10)-1)+逐级计算!$Q$89*(CK11-逐级计算!$P$89)*LN(10)/10))))))),"")</f>
        <v>15.6834483337657</v>
      </c>
      <c r="CM11">
        <f>IF(AND(ISNUMBER(CL11),逐级计算!$X$90&gt;-1),IF(逐级计算!$X$90=0,CL11+逐级计算!$C$90,CL11+逐级计算!$C$90-(10/(逐级计算!$Q$90*LN(10))*(MAX((LN(10^(逐级计算!$Q$90/10)-1)+逐级计算!$Q$90*(CL11-逐级计算!$P$90)*LN(10)/10),0)+LN(1+EXP(-ABS((LN(10^(逐级计算!$Q$90/10)-1)+逐级计算!$Q$90*(CL11-逐级计算!$P$90)*LN(10)/10))))))),"")</f>
        <v>15.6834483337657</v>
      </c>
      <c r="CN11">
        <f>IF(AND(ISNUMBER(CM11),逐级计算!$X$91&gt;-1),IF(逐级计算!$X$91=0,CM11+逐级计算!$C$91,CM11+逐级计算!$C$91-(10/(逐级计算!$Q$91*LN(10))*(MAX((LN(10^(逐级计算!$Q$91/10)-1)+逐级计算!$Q$91*(CM11-逐级计算!$P$91)*LN(10)/10),0)+LN(1+EXP(-ABS((LN(10^(逐级计算!$Q$91/10)-1)+逐级计算!$Q$91*(CM11-逐级计算!$P$91)*LN(10)/10))))))),"")</f>
        <v>15.6834483337657</v>
      </c>
      <c r="CO11">
        <f>IF(AND(ISNUMBER(CN11),逐级计算!$X$92&gt;-1),IF(逐级计算!$X$92=0,CN11+逐级计算!$C$92,CN11+逐级计算!$C$92-(10/(逐级计算!$Q$92*LN(10))*(MAX((LN(10^(逐级计算!$Q$92/10)-1)+逐级计算!$Q$92*(CN11-逐级计算!$P$92)*LN(10)/10),0)+LN(1+EXP(-ABS((LN(10^(逐级计算!$Q$92/10)-1)+逐级计算!$Q$92*(CN11-逐级计算!$P$92)*LN(10)/10))))))),"")</f>
        <v>15.6834483337657</v>
      </c>
      <c r="CP11">
        <f>IF(AND(ISNUMBER(CO11),逐级计算!$X$93&gt;-1),IF(逐级计算!$X$93=0,CO11+逐级计算!$C$93,CO11+逐级计算!$C$93-(10/(逐级计算!$Q$93*LN(10))*(MAX((LN(10^(逐级计算!$Q$93/10)-1)+逐级计算!$Q$93*(CO11-逐级计算!$P$93)*LN(10)/10),0)+LN(1+EXP(-ABS((LN(10^(逐级计算!$Q$93/10)-1)+逐级计算!$Q$93*(CO11-逐级计算!$P$93)*LN(10)/10))))))),"")</f>
        <v>15.6834483337657</v>
      </c>
      <c r="CQ11">
        <f>IF(AND(ISNUMBER(CP11),逐级计算!$X$94&gt;-1),IF(逐级计算!$X$94=0,CP11+逐级计算!$C$94,CP11+逐级计算!$C$94-(10/(逐级计算!$Q$94*LN(10))*(MAX((LN(10^(逐级计算!$Q$94/10)-1)+逐级计算!$Q$94*(CP11-逐级计算!$P$94)*LN(10)/10),0)+LN(1+EXP(-ABS((LN(10^(逐级计算!$Q$94/10)-1)+逐级计算!$Q$94*(CP11-逐级计算!$P$94)*LN(10)/10))))))),"")</f>
        <v>15.6834483337657</v>
      </c>
      <c r="CR11">
        <f>IF(AND(ISNUMBER(CQ11),逐级计算!$X$95&gt;-1),IF(逐级计算!$X$95=0,CQ11+逐级计算!$C$95,CQ11+逐级计算!$C$95-(10/(逐级计算!$Q$95*LN(10))*(MAX((LN(10^(逐级计算!$Q$95/10)-1)+逐级计算!$Q$95*(CQ11-逐级计算!$P$95)*LN(10)/10),0)+LN(1+EXP(-ABS((LN(10^(逐级计算!$Q$95/10)-1)+逐级计算!$Q$95*(CQ11-逐级计算!$P$95)*LN(10)/10))))))),"")</f>
        <v>15.6834483337657</v>
      </c>
      <c r="CS11">
        <f>IF(AND(ISNUMBER(CR11),逐级计算!$X$96&gt;-1),IF(逐级计算!$X$96=0,CR11+逐级计算!$C$96,CR11+逐级计算!$C$96-(10/(逐级计算!$Q$96*LN(10))*(MAX((LN(10^(逐级计算!$Q$96/10)-1)+逐级计算!$Q$96*(CR11-逐级计算!$P$96)*LN(10)/10),0)+LN(1+EXP(-ABS((LN(10^(逐级计算!$Q$96/10)-1)+逐级计算!$Q$96*(CR11-逐级计算!$P$96)*LN(10)/10))))))),"")</f>
        <v>15.6834483337657</v>
      </c>
      <c r="CT11">
        <f>IF(AND(ISNUMBER(CS11),逐级计算!$X$97&gt;-1),IF(逐级计算!$X$97=0,CS11+逐级计算!$C$97,CS11+逐级计算!$C$97-(10/(逐级计算!$Q$97*LN(10))*(MAX((LN(10^(逐级计算!$Q$97/10)-1)+逐级计算!$Q$97*(CS11-逐级计算!$P$97)*LN(10)/10),0)+LN(1+EXP(-ABS((LN(10^(逐级计算!$Q$97/10)-1)+逐级计算!$Q$97*(CS11-逐级计算!$P$97)*LN(10)/10))))))),"")</f>
        <v>15.6834483337657</v>
      </c>
      <c r="CU11">
        <f>IF(AND(ISNUMBER(CT11),逐级计算!$X$98&gt;-1),IF(逐级计算!$X$98=0,CT11+逐级计算!$C$98,CT11+逐级计算!$C$98-(10/(逐级计算!$Q$98*LN(10))*(MAX((LN(10^(逐级计算!$Q$98/10)-1)+逐级计算!$Q$98*(CT11-逐级计算!$P$98)*LN(10)/10),0)+LN(1+EXP(-ABS((LN(10^(逐级计算!$Q$98/10)-1)+逐级计算!$Q$98*(CT11-逐级计算!$P$98)*LN(10)/10))))))),"")</f>
        <v>15.6834483337657</v>
      </c>
      <c r="CV11">
        <f>IF(AND(ISNUMBER(CU11),逐级计算!$X$99&gt;-1),IF(逐级计算!$X$99=0,CU11+逐级计算!$C$99,CU11+逐级计算!$C$99-(10/(逐级计算!$Q$99*LN(10))*(MAX((LN(10^(逐级计算!$Q$99/10)-1)+逐级计算!$Q$99*(CU11-逐级计算!$P$99)*LN(10)/10),0)+LN(1+EXP(-ABS((LN(10^(逐级计算!$Q$99/10)-1)+逐级计算!$Q$99*(CU11-逐级计算!$P$99)*LN(10)/10))))))),"")</f>
        <v>15.6834483337657</v>
      </c>
      <c r="CW11">
        <f>IF(AND(ISNUMBER(CV11),逐级计算!$X$100&gt;-1),IF(逐级计算!$X$100=0,CV11+逐级计算!$C$100,CV11+逐级计算!$C$100-(10/(逐级计算!$Q$100*LN(10))*(MAX((LN(10^(逐级计算!$Q$100/10)-1)+逐级计算!$Q$100*(CV11-逐级计算!$P$100)*LN(10)/10),0)+LN(1+EXP(-ABS((LN(10^(逐级计算!$Q$100/10)-1)+逐级计算!$Q$100*(CV11-逐级计算!$P$100)*LN(10)/10))))))),"")</f>
        <v>15.6834483337657</v>
      </c>
      <c r="CX11">
        <f>IF(AND(ISNUMBER(CW11),逐级计算!$X$101&gt;-1),IF(逐级计算!$X$101=0,CW11+逐级计算!$C$101,CW11+逐级计算!$C$101-(10/(逐级计算!$Q$101*LN(10))*(MAX((LN(10^(逐级计算!$Q$101/10)-1)+逐级计算!$Q$101*(CW11-逐级计算!$P$101)*LN(10)/10),0)+LN(1+EXP(-ABS((LN(10^(逐级计算!$Q$101/10)-1)+逐级计算!$Q$101*(CW11-逐级计算!$P$101)*LN(10)/10))))))),"")</f>
        <v>15.6834483337657</v>
      </c>
      <c r="CY11">
        <f>IF(AND(ISNUMBER(CX11),逐级计算!$X$102&gt;-1),IF(逐级计算!$X$102=0,CX11+逐级计算!$C$102,CX11+逐级计算!$C$102-(10/(逐级计算!$Q$102*LN(10))*(MAX((LN(10^(逐级计算!$Q$102/10)-1)+逐级计算!$Q$102*(CX11-逐级计算!$P$102)*LN(10)/10),0)+LN(1+EXP(-ABS((LN(10^(逐级计算!$Q$102/10)-1)+逐级计算!$Q$102*(CX11-逐级计算!$P$102)*LN(10)/10))))))),"")</f>
        <v>15.6834483337657</v>
      </c>
      <c r="CZ11">
        <f>IF(AND(ISNUMBER(CY11),逐级计算!$X$103&gt;-1),IF(逐级计算!$X$103=0,CY11+逐级计算!$C$103,CY11+逐级计算!$C$103-(10/(逐级计算!$Q$103*LN(10))*(MAX((LN(10^(逐级计算!$Q$103/10)-1)+逐级计算!$Q$103*(CY11-逐级计算!$P$103)*LN(10)/10),0)+LN(1+EXP(-ABS((LN(10^(逐级计算!$Q$103/10)-1)+逐级计算!$Q$103*(CY11-逐级计算!$P$103)*LN(10)/10))))))),"")</f>
        <v>15.6834483337657</v>
      </c>
      <c r="DA11">
        <f>IF(AND(ISNUMBER(CZ11),逐级计算!$X$104&gt;-1),IF(逐级计算!$X$104=0,CZ11+逐级计算!$C$104,CZ11+逐级计算!$C$104-(10/(逐级计算!$Q$104*LN(10))*(MAX((LN(10^(逐级计算!$Q$104/10)-1)+逐级计算!$Q$104*(CZ11-逐级计算!$P$104)*LN(10)/10),0)+LN(1+EXP(-ABS((LN(10^(逐级计算!$Q$104/10)-1)+逐级计算!$Q$104*(CZ11-逐级计算!$P$104)*LN(10)/10))))))),"")</f>
        <v>15.6834483337657</v>
      </c>
      <c r="DB11">
        <f>IF(AND(ISNUMBER(DA11),逐级计算!$X$105&gt;-1),IF(逐级计算!$X$105=0,DA11+逐级计算!$C$105,DA11+逐级计算!$C$105-(10/(逐级计算!$Q$105*LN(10))*(MAX((LN(10^(逐级计算!$Q$105/10)-1)+逐级计算!$Q$105*(DA11-逐级计算!$P$105)*LN(10)/10),0)+LN(1+EXP(-ABS((LN(10^(逐级计算!$Q$105/10)-1)+逐级计算!$Q$105*(DA11-逐级计算!$P$105)*LN(10)/10))))))),"")</f>
        <v>15.6834483337657</v>
      </c>
      <c r="DC11">
        <f>IF(AND(ISNUMBER(DB11),逐级计算!$X$106&gt;-1),IF(逐级计算!$X$106=0,DB11+逐级计算!$C$106,DB11+逐级计算!$C$106-(10/(逐级计算!$Q$106*LN(10))*(MAX((LN(10^(逐级计算!$Q$106/10)-1)+逐级计算!$Q$106*(DB11-逐级计算!$P$106)*LN(10)/10),0)+LN(1+EXP(-ABS((LN(10^(逐级计算!$Q$106/10)-1)+逐级计算!$Q$106*(DB11-逐级计算!$P$106)*LN(10)/10))))))),"")</f>
        <v>15.6834483337657</v>
      </c>
      <c r="DD11">
        <f>IF(AND(ISNUMBER(DC11),逐级计算!$X$107&gt;-1),IF(逐级计算!$X$107=0,DC11+逐级计算!$C$107,DC11+逐级计算!$C$107-(10/(逐级计算!$Q$107*LN(10))*(MAX((LN(10^(逐级计算!$Q$107/10)-1)+逐级计算!$Q$107*(DC11-逐级计算!$P$107)*LN(10)/10),0)+LN(1+EXP(-ABS((LN(10^(逐级计算!$Q$107/10)-1)+逐级计算!$Q$107*(DC11-逐级计算!$P$107)*LN(10)/10))))))),"")</f>
        <v>15.6834483337657</v>
      </c>
      <c r="DE11">
        <f>IF(AND(ISNUMBER(DD11),逐级计算!$X$108&gt;-1),IF(逐级计算!$X$108=0,DD11+逐级计算!$C$108,DD11+逐级计算!$C$108-(10/(逐级计算!$Q$108*LN(10))*(MAX((LN(10^(逐级计算!$Q$108/10)-1)+逐级计算!$Q$108*(DD11-逐级计算!$P$108)*LN(10)/10),0)+LN(1+EXP(-ABS((LN(10^(逐级计算!$Q$108/10)-1)+逐级计算!$Q$108*(DD11-逐级计算!$P$108)*LN(10)/10))))))),"")</f>
        <v>15.6834483337657</v>
      </c>
      <c r="DF11">
        <f>IF(AND(ISNUMBER(DE11),逐级计算!$X$109&gt;-1),IF(逐级计算!$X$109=0,DE11+逐级计算!$C$109,DE11+逐级计算!$C$109-(10/(逐级计算!$Q$109*LN(10))*(MAX((LN(10^(逐级计算!$Q$109/10)-1)+逐级计算!$Q$109*(DE11-逐级计算!$P$109)*LN(10)/10),0)+LN(1+EXP(-ABS((LN(10^(逐级计算!$Q$109/10)-1)+逐级计算!$Q$109*(DE11-逐级计算!$P$109)*LN(10)/10))))))),"")</f>
        <v>15.6834483337657</v>
      </c>
      <c r="DG11">
        <f>IF(AND(ISNUMBER(DF11),逐级计算!$X$110&gt;-1),IF(逐级计算!$X$110=0,DF11+逐级计算!$C$110,DF11+逐级计算!$C$110-(10/(逐级计算!$Q$110*LN(10))*(MAX((LN(10^(逐级计算!$Q$110/10)-1)+逐级计算!$Q$110*(DF11-逐级计算!$P$110)*LN(10)/10),0)+LN(1+EXP(-ABS((LN(10^(逐级计算!$Q$110/10)-1)+逐级计算!$Q$110*(DF11-逐级计算!$P$110)*LN(10)/10))))))),"")</f>
        <v>15.6834483337657</v>
      </c>
      <c r="DH11">
        <f>IF(AND(ISNUMBER(DG11),逐级计算!$X$111&gt;-1),IF(逐级计算!$X$111=0,DG11+逐级计算!$C$111,DG11+逐级计算!$C$111-(10/(逐级计算!$Q$111*LN(10))*(MAX((LN(10^(逐级计算!$Q$111/10)-1)+逐级计算!$Q$111*(DG11-逐级计算!$P$111)*LN(10)/10),0)+LN(1+EXP(-ABS((LN(10^(逐级计算!$Q$111/10)-1)+逐级计算!$Q$111*(DG11-逐级计算!$P$111)*LN(10)/10))))))),"")</f>
        <v>15.6834483337657</v>
      </c>
      <c r="DI11">
        <f>IF(AND(ISNUMBER(DH11),逐级计算!$X$112&gt;-1),IF(逐级计算!$X$112=0,DH11+逐级计算!$C$112,DH11+逐级计算!$C$112-(10/(逐级计算!$Q$112*LN(10))*(MAX((LN(10^(逐级计算!$Q$112/10)-1)+逐级计算!$Q$112*(DH11-逐级计算!$P$112)*LN(10)/10),0)+LN(1+EXP(-ABS((LN(10^(逐级计算!$Q$112/10)-1)+逐级计算!$Q$112*(DH11-逐级计算!$P$112)*LN(10)/10))))))),"")</f>
        <v>15.6834483337657</v>
      </c>
      <c r="DJ11">
        <f>IF(AND(ISNUMBER(DI11),逐级计算!$X$113&gt;-1),IF(逐级计算!$X$113=0,DI11+逐级计算!$C$113,DI11+逐级计算!$C$113-(10/(逐级计算!$Q$113*LN(10))*(MAX((LN(10^(逐级计算!$Q$113/10)-1)+逐级计算!$Q$113*(DI11-逐级计算!$P$113)*LN(10)/10),0)+LN(1+EXP(-ABS((LN(10^(逐级计算!$Q$113/10)-1)+逐级计算!$Q$113*(DI11-逐级计算!$P$113)*LN(10)/10))))))),"")</f>
        <v>15.6834483337657</v>
      </c>
      <c r="DK11">
        <f>IF(AND(ISNUMBER(DJ11),逐级计算!$X$114&gt;-1),IF(逐级计算!$X$114=0,DJ11+逐级计算!$C$114,DJ11+逐级计算!$C$114-(10/(逐级计算!$Q$114*LN(10))*(MAX((LN(10^(逐级计算!$Q$114/10)-1)+逐级计算!$Q$114*(DJ11-逐级计算!$P$114)*LN(10)/10),0)+LN(1+EXP(-ABS((LN(10^(逐级计算!$Q$114/10)-1)+逐级计算!$Q$114*(DJ11-逐级计算!$P$114)*LN(10)/10))))))),"")</f>
        <v>15.6834483337657</v>
      </c>
      <c r="DL11">
        <f>IF(AND(ISNUMBER(DK11),逐级计算!$X$115&gt;-1),IF(逐级计算!$X$115=0,DK11+逐级计算!$C$115,DK11+逐级计算!$C$115-(10/(逐级计算!$Q$115*LN(10))*(MAX((LN(10^(逐级计算!$Q$115/10)-1)+逐级计算!$Q$115*(DK11-逐级计算!$P$115)*LN(10)/10),0)+LN(1+EXP(-ABS((LN(10^(逐级计算!$Q$115/10)-1)+逐级计算!$Q$115*(DK11-逐级计算!$P$115)*LN(10)/10))))))),"")</f>
        <v>15.6834483337657</v>
      </c>
      <c r="DM11">
        <f>IF(AND(ISNUMBER(DL11),逐级计算!$X$116&gt;-1),IF(逐级计算!$X$116=0,DL11+逐级计算!$C$116,DL11+逐级计算!$C$116-(10/(逐级计算!$Q$116*LN(10))*(MAX((LN(10^(逐级计算!$Q$116/10)-1)+逐级计算!$Q$116*(DL11-逐级计算!$P$116)*LN(10)/10),0)+LN(1+EXP(-ABS((LN(10^(逐级计算!$Q$116/10)-1)+逐级计算!$Q$116*(DL11-逐级计算!$P$116)*LN(10)/10))))))),"")</f>
        <v>15.6834483337657</v>
      </c>
      <c r="DN11">
        <f>IF(AND(ISNUMBER(DM11),逐级计算!$X$117&gt;-1),IF(逐级计算!$X$117=0,DM11+逐级计算!$C$117,DM11+逐级计算!$C$117-(10/(逐级计算!$Q$117*LN(10))*(MAX((LN(10^(逐级计算!$Q$117/10)-1)+逐级计算!$Q$117*(DM11-逐级计算!$P$117)*LN(10)/10),0)+LN(1+EXP(-ABS((LN(10^(逐级计算!$Q$117/10)-1)+逐级计算!$Q$117*(DM11-逐级计算!$P$117)*LN(10)/10))))))),"")</f>
        <v>15.6834483337657</v>
      </c>
      <c r="DO11">
        <f>IF(AND(ISNUMBER(DN11),逐级计算!$X$118&gt;-1),IF(逐级计算!$X$118=0,DN11+逐级计算!$C$118,DN11+逐级计算!$C$118-(10/(逐级计算!$Q$118*LN(10))*(MAX((LN(10^(逐级计算!$Q$118/10)-1)+逐级计算!$Q$118*(DN11-逐级计算!$P$118)*LN(10)/10),0)+LN(1+EXP(-ABS((LN(10^(逐级计算!$Q$118/10)-1)+逐级计算!$Q$118*(DN11-逐级计算!$P$118)*LN(10)/10))))))),"")</f>
        <v>15.6834483337657</v>
      </c>
      <c r="DP11">
        <f>IF(AND(ISNUMBER(DO11),逐级计算!$X$119&gt;-1),IF(逐级计算!$X$119=0,DO11+逐级计算!$C$119,DO11+逐级计算!$C$119-(10/(逐级计算!$Q$119*LN(10))*(MAX((LN(10^(逐级计算!$Q$119/10)-1)+逐级计算!$Q$119*(DO11-逐级计算!$P$119)*LN(10)/10),0)+LN(1+EXP(-ABS((LN(10^(逐级计算!$Q$119/10)-1)+逐级计算!$Q$119*(DO11-逐级计算!$P$119)*LN(10)/10))))))),"")</f>
        <v>15.6834483337657</v>
      </c>
      <c r="DQ11">
        <f>IF(AND(ISNUMBER(DP11),逐级计算!$X$120&gt;-1),IF(逐级计算!$X$120=0,DP11+逐级计算!$C$120,DP11+逐级计算!$C$120-(10/(逐级计算!$Q$120*LN(10))*(MAX((LN(10^(逐级计算!$Q$120/10)-1)+逐级计算!$Q$120*(DP11-逐级计算!$P$120)*LN(10)/10),0)+LN(1+EXP(-ABS((LN(10^(逐级计算!$Q$120/10)-1)+逐级计算!$Q$120*(DP11-逐级计算!$P$120)*LN(10)/10))))))),"")</f>
        <v>15.6834483337657</v>
      </c>
      <c r="DR11">
        <f>IF(AND(ISNUMBER(DQ11),逐级计算!$X$121&gt;-1),IF(逐级计算!$X$121=0,DQ11+逐级计算!$C$121,DQ11+逐级计算!$C$121-(10/(逐级计算!$Q$121*LN(10))*(MAX((LN(10^(逐级计算!$Q$121/10)-1)+逐级计算!$Q$121*(DQ11-逐级计算!$P$121)*LN(10)/10),0)+LN(1+EXP(-ABS((LN(10^(逐级计算!$Q$121/10)-1)+逐级计算!$Q$121*(DQ11-逐级计算!$P$121)*LN(10)/10))))))),"")</f>
        <v>15.6834483337657</v>
      </c>
      <c r="DS11">
        <f>IF(AND(ISNUMBER(DR11),逐级计算!$X$122&gt;-1),IF(逐级计算!$X$122=0,DR11+逐级计算!$C$122,DR11+逐级计算!$C$122-(10/(逐级计算!$Q$122*LN(10))*(MAX((LN(10^(逐级计算!$Q$122/10)-1)+逐级计算!$Q$122*(DR11-逐级计算!$P$122)*LN(10)/10),0)+LN(1+EXP(-ABS((LN(10^(逐级计算!$Q$122/10)-1)+逐级计算!$Q$122*(DR11-逐级计算!$P$122)*LN(10)/10))))))),"")</f>
        <v>15.6834483337657</v>
      </c>
      <c r="DT11">
        <f>IF(AND(ISNUMBER(DS11),逐级计算!$X$123&gt;-1),IF(逐级计算!$X$123=0,DS11+逐级计算!$C$123,DS11+逐级计算!$C$123-(10/(逐级计算!$Q$123*LN(10))*(MAX((LN(10^(逐级计算!$Q$123/10)-1)+逐级计算!$Q$123*(DS11-逐级计算!$P$123)*LN(10)/10),0)+LN(1+EXP(-ABS((LN(10^(逐级计算!$Q$123/10)-1)+逐级计算!$Q$123*(DS11-逐级计算!$P$123)*LN(10)/10))))))),"")</f>
        <v>15.6834483337657</v>
      </c>
      <c r="DU11">
        <f>IF(AND(ISNUMBER(DT11),逐级计算!$X$124&gt;-1),IF(逐级计算!$X$124=0,DT11+逐级计算!$C$124,DT11+逐级计算!$C$124-(10/(逐级计算!$Q$124*LN(10))*(MAX((LN(10^(逐级计算!$Q$124/10)-1)+逐级计算!$Q$124*(DT11-逐级计算!$P$124)*LN(10)/10),0)+LN(1+EXP(-ABS((LN(10^(逐级计算!$Q$124/10)-1)+逐级计算!$Q$124*(DT11-逐级计算!$P$124)*LN(10)/10))))))),"")</f>
        <v>15.6834483337657</v>
      </c>
      <c r="DV11">
        <f>IF(AND(ISNUMBER(DU11),逐级计算!$X$125&gt;-1),IF(逐级计算!$X$125=0,DU11+逐级计算!$C$125,DU11+逐级计算!$C$125-(10/(逐级计算!$Q$125*LN(10))*(MAX((LN(10^(逐级计算!$Q$125/10)-1)+逐级计算!$Q$125*(DU11-逐级计算!$P$125)*LN(10)/10),0)+LN(1+EXP(-ABS((LN(10^(逐级计算!$Q$125/10)-1)+逐级计算!$Q$125*(DU11-逐级计算!$P$125)*LN(10)/10))))))),"")</f>
        <v>15.6834483337657</v>
      </c>
      <c r="DW11">
        <f>IF(AND(ISNUMBER(DV11),逐级计算!$X$126&gt;-1),IF(逐级计算!$X$126=0,DV11+逐级计算!$C$126,DV11+逐级计算!$C$126-(10/(逐级计算!$Q$126*LN(10))*(MAX((LN(10^(逐级计算!$Q$126/10)-1)+逐级计算!$Q$126*(DV11-逐级计算!$P$126)*LN(10)/10),0)+LN(1+EXP(-ABS((LN(10^(逐级计算!$Q$126/10)-1)+逐级计算!$Q$126*(DV11-逐级计算!$P$126)*LN(10)/10))))))),"")</f>
        <v>15.6834483337657</v>
      </c>
      <c r="DX11">
        <f>IF(AND(ISNUMBER(DW11),逐级计算!$X$127&gt;-1),IF(逐级计算!$X$127=0,DW11+逐级计算!$C$127,DW11+逐级计算!$C$127-(10/(逐级计算!$Q$127*LN(10))*(MAX((LN(10^(逐级计算!$Q$127/10)-1)+逐级计算!$Q$127*(DW11-逐级计算!$P$127)*LN(10)/10),0)+LN(1+EXP(-ABS((LN(10^(逐级计算!$Q$127/10)-1)+逐级计算!$Q$127*(DW11-逐级计算!$P$127)*LN(10)/10))))))),"")</f>
        <v>15.6834483337657</v>
      </c>
      <c r="DY11">
        <f>IF(AND(ISNUMBER(DX11),逐级计算!$X$128&gt;-1),IF(逐级计算!$X$128=0,DX11+逐级计算!$C$128,DX11+逐级计算!$C$128-(10/(逐级计算!$Q$128*LN(10))*(MAX((LN(10^(逐级计算!$Q$128/10)-1)+逐级计算!$Q$128*(DX11-逐级计算!$P$128)*LN(10)/10),0)+LN(1+EXP(-ABS((LN(10^(逐级计算!$Q$128/10)-1)+逐级计算!$Q$128*(DX11-逐级计算!$P$128)*LN(10)/10))))))),"")</f>
        <v>15.6834483337657</v>
      </c>
      <c r="DZ11">
        <f>IF(AND(ISNUMBER(DY11),逐级计算!$X$129&gt;-1),IF(逐级计算!$X$129=0,DY11+逐级计算!$C$129,DY11+逐级计算!$C$129-(10/(逐级计算!$Q$129*LN(10))*(MAX((LN(10^(逐级计算!$Q$129/10)-1)+逐级计算!$Q$129*(DY11-逐级计算!$P$129)*LN(10)/10),0)+LN(1+EXP(-ABS((LN(10^(逐级计算!$Q$129/10)-1)+逐级计算!$Q$129*(DY11-逐级计算!$P$129)*LN(10)/10))))))),"")</f>
        <v>15.6834483337657</v>
      </c>
      <c r="EA11">
        <f>IF(AND(ISNUMBER(DZ11),逐级计算!$X$130&gt;-1),IF(逐级计算!$X$130=0,DZ11+逐级计算!$C$130,DZ11+逐级计算!$C$130-(10/(逐级计算!$Q$130*LN(10))*(MAX((LN(10^(逐级计算!$Q$130/10)-1)+逐级计算!$Q$130*(DZ11-逐级计算!$P$130)*LN(10)/10),0)+LN(1+EXP(-ABS((LN(10^(逐级计算!$Q$130/10)-1)+逐级计算!$Q$130*(DZ11-逐级计算!$P$130)*LN(10)/10))))))),"")</f>
        <v>15.6834483337657</v>
      </c>
      <c r="EB11">
        <f>IF(AND(ISNUMBER(EA11),逐级计算!$X$131&gt;-1),IF(逐级计算!$X$131=0,EA11+逐级计算!$C$131,EA11+逐级计算!$C$131-(10/(逐级计算!$Q$131*LN(10))*(MAX((LN(10^(逐级计算!$Q$131/10)-1)+逐级计算!$Q$131*(EA11-逐级计算!$P$131)*LN(10)/10),0)+LN(1+EXP(-ABS((LN(10^(逐级计算!$Q$131/10)-1)+逐级计算!$Q$131*(EA11-逐级计算!$P$131)*LN(10)/10))))))),"")</f>
        <v>15.6834483337657</v>
      </c>
      <c r="EC11">
        <f>IF(AND(ISNUMBER(EB11),逐级计算!$X$132&gt;-1),IF(逐级计算!$X$132=0,EB11+逐级计算!$C$132,EB11+逐级计算!$C$132-(10/(逐级计算!$Q$132*LN(10))*(MAX((LN(10^(逐级计算!$Q$132/10)-1)+逐级计算!$Q$132*(EB11-逐级计算!$P$132)*LN(10)/10),0)+LN(1+EXP(-ABS((LN(10^(逐级计算!$Q$132/10)-1)+逐级计算!$Q$132*(EB11-逐级计算!$P$132)*LN(10)/10))))))),"")</f>
        <v>15.6834483337657</v>
      </c>
      <c r="ED11">
        <f>IF(AND(ISNUMBER(EC11),逐级计算!$X$133&gt;-1),IF(逐级计算!$X$133=0,EC11+逐级计算!$C$133,EC11+逐级计算!$C$133-(10/(逐级计算!$Q$133*LN(10))*(MAX((LN(10^(逐级计算!$Q$133/10)-1)+逐级计算!$Q$133*(EC11-逐级计算!$P$133)*LN(10)/10),0)+LN(1+EXP(-ABS((LN(10^(逐级计算!$Q$133/10)-1)+逐级计算!$Q$133*(EC11-逐级计算!$P$133)*LN(10)/10))))))),"")</f>
        <v>15.6834483337657</v>
      </c>
      <c r="EE11">
        <f>IF(AND(ISNUMBER(ED11),逐级计算!$X$134&gt;-1),IF(逐级计算!$X$134=0,ED11+逐级计算!$C$134,ED11+逐级计算!$C$134-(10/(逐级计算!$Q$134*LN(10))*(MAX((LN(10^(逐级计算!$Q$134/10)-1)+逐级计算!$Q$134*(ED11-逐级计算!$P$134)*LN(10)/10),0)+LN(1+EXP(-ABS((LN(10^(逐级计算!$Q$134/10)-1)+逐级计算!$Q$134*(ED11-逐级计算!$P$134)*LN(10)/10))))))),"")</f>
        <v>15.6834483337657</v>
      </c>
      <c r="EF11">
        <f>IF(AND(ISNUMBER(EE11),逐级计算!$X$135&gt;-1),IF(逐级计算!$X$135=0,EE11+逐级计算!$C$135,EE11+逐级计算!$C$135-(10/(逐级计算!$Q$135*LN(10))*(MAX((LN(10^(逐级计算!$Q$135/10)-1)+逐级计算!$Q$135*(EE11-逐级计算!$P$135)*LN(10)/10),0)+LN(1+EXP(-ABS((LN(10^(逐级计算!$Q$135/10)-1)+逐级计算!$Q$135*(EE11-逐级计算!$P$135)*LN(10)/10))))))),"")</f>
        <v>15.6834483337657</v>
      </c>
      <c r="EG11">
        <f>IF(AND(ISNUMBER(EF11),逐级计算!$X$136&gt;-1),IF(逐级计算!$X$136=0,EF11+逐级计算!$C$136,EF11+逐级计算!$C$136-(10/(逐级计算!$Q$136*LN(10))*(MAX((LN(10^(逐级计算!$Q$136/10)-1)+逐级计算!$Q$136*(EF11-逐级计算!$P$136)*LN(10)/10),0)+LN(1+EXP(-ABS((LN(10^(逐级计算!$Q$136/10)-1)+逐级计算!$Q$136*(EF11-逐级计算!$P$136)*LN(10)/10))))))),"")</f>
        <v>15.6834483337657</v>
      </c>
      <c r="EH11">
        <f>IF(AND(ISNUMBER(EG11),逐级计算!$X$137&gt;-1),IF(逐级计算!$X$137=0,EG11+逐级计算!$C$137,EG11+逐级计算!$C$137-(10/(逐级计算!$Q$137*LN(10))*(MAX((LN(10^(逐级计算!$Q$137/10)-1)+逐级计算!$Q$137*(EG11-逐级计算!$P$137)*LN(10)/10),0)+LN(1+EXP(-ABS((LN(10^(逐级计算!$Q$137/10)-1)+逐级计算!$Q$137*(EG11-逐级计算!$P$137)*LN(10)/10))))))),"")</f>
        <v>15.6834483337657</v>
      </c>
      <c r="EI11">
        <f>IF(AND(ISNUMBER(EH11),逐级计算!$X$138&gt;-1),IF(逐级计算!$X$138=0,EH11+逐级计算!$C$138,EH11+逐级计算!$C$138-(10/(逐级计算!$Q$138*LN(10))*(MAX((LN(10^(逐级计算!$Q$138/10)-1)+逐级计算!$Q$138*(EH11-逐级计算!$P$138)*LN(10)/10),0)+LN(1+EXP(-ABS((LN(10^(逐级计算!$Q$138/10)-1)+逐级计算!$Q$138*(EH11-逐级计算!$P$138)*LN(10)/10))))))),"")</f>
        <v>15.6834483337657</v>
      </c>
      <c r="EJ11">
        <f>IF(AND(ISNUMBER(EI11),逐级计算!$X$139&gt;-1),IF(逐级计算!$X$139=0,EI11+逐级计算!$C$139,EI11+逐级计算!$C$139-(10/(逐级计算!$Q$139*LN(10))*(MAX((LN(10^(逐级计算!$Q$139/10)-1)+逐级计算!$Q$139*(EI11-逐级计算!$P$139)*LN(10)/10),0)+LN(1+EXP(-ABS((LN(10^(逐级计算!$Q$139/10)-1)+逐级计算!$Q$139*(EI11-逐级计算!$P$139)*LN(10)/10))))))),"")</f>
        <v>15.6834483337657</v>
      </c>
      <c r="EK11">
        <f>IF(AND(ISNUMBER(EJ11),逐级计算!$X$140&gt;-1),IF(逐级计算!$X$140=0,EJ11+逐级计算!$C$140,EJ11+逐级计算!$C$140-(10/(逐级计算!$Q$140*LN(10))*(MAX((LN(10^(逐级计算!$Q$140/10)-1)+逐级计算!$Q$140*(EJ11-逐级计算!$P$140)*LN(10)/10),0)+LN(1+EXP(-ABS((LN(10^(逐级计算!$Q$140/10)-1)+逐级计算!$Q$140*(EJ11-逐级计算!$P$140)*LN(10)/10))))))),"")</f>
        <v>15.6834483337657</v>
      </c>
      <c r="EL11">
        <f>IF(AND(ISNUMBER(EK11),逐级计算!$X$141&gt;-1),IF(逐级计算!$X$141=0,EK11+逐级计算!$C$141,EK11+逐级计算!$C$141-(10/(逐级计算!$Q$141*LN(10))*(MAX((LN(10^(逐级计算!$Q$141/10)-1)+逐级计算!$Q$141*(EK11-逐级计算!$P$141)*LN(10)/10),0)+LN(1+EXP(-ABS((LN(10^(逐级计算!$Q$141/10)-1)+逐级计算!$Q$141*(EK11-逐级计算!$P$141)*LN(10)/10))))))),"")</f>
        <v>15.6834483337657</v>
      </c>
      <c r="EM11">
        <f>IF(AND(ISNUMBER(EL11),逐级计算!$X$142&gt;-1),IF(逐级计算!$X$142=0,EL11+逐级计算!$C$142,EL11+逐级计算!$C$142-(10/(逐级计算!$Q$142*LN(10))*(MAX((LN(10^(逐级计算!$Q$142/10)-1)+逐级计算!$Q$142*(EL11-逐级计算!$P$142)*LN(10)/10),0)+LN(1+EXP(-ABS((LN(10^(逐级计算!$Q$142/10)-1)+逐级计算!$Q$142*(EL11-逐级计算!$P$142)*LN(10)/10))))))),"")</f>
        <v>15.6834483337657</v>
      </c>
      <c r="EN11">
        <f>IF(AND(ISNUMBER(EM11),逐级计算!$X$143&gt;-1),IF(逐级计算!$X$143=0,EM11+逐级计算!$C$143,EM11+逐级计算!$C$143-(10/(逐级计算!$Q$143*LN(10))*(MAX((LN(10^(逐级计算!$Q$143/10)-1)+逐级计算!$Q$143*(EM11-逐级计算!$P$143)*LN(10)/10),0)+LN(1+EXP(-ABS((LN(10^(逐级计算!$Q$143/10)-1)+逐级计算!$Q$143*(EM11-逐级计算!$P$143)*LN(10)/10))))))),"")</f>
        <v>15.6834483337657</v>
      </c>
      <c r="EO11">
        <f>IF(AND(ISNUMBER(EN11),逐级计算!$X$144&gt;-1),IF(逐级计算!$X$144=0,EN11+逐级计算!$C$144,EN11+逐级计算!$C$144-(10/(逐级计算!$Q$144*LN(10))*(MAX((LN(10^(逐级计算!$Q$144/10)-1)+逐级计算!$Q$144*(EN11-逐级计算!$P$144)*LN(10)/10),0)+LN(1+EXP(-ABS((LN(10^(逐级计算!$Q$144/10)-1)+逐级计算!$Q$144*(EN11-逐级计算!$P$144)*LN(10)/10))))))),"")</f>
        <v>15.6834483337657</v>
      </c>
      <c r="EP11">
        <f>IF(AND(ISNUMBER(EO11),逐级计算!$X$145&gt;-1),IF(逐级计算!$X$145=0,EO11+逐级计算!$C$145,EO11+逐级计算!$C$145-(10/(逐级计算!$Q$145*LN(10))*(MAX((LN(10^(逐级计算!$Q$145/10)-1)+逐级计算!$Q$145*(EO11-逐级计算!$P$145)*LN(10)/10),0)+LN(1+EXP(-ABS((LN(10^(逐级计算!$Q$145/10)-1)+逐级计算!$Q$145*(EO11-逐级计算!$P$145)*LN(10)/10))))))),"")</f>
        <v>15.6834483337657</v>
      </c>
      <c r="EQ11">
        <f>IF(AND(ISNUMBER(EP11),逐级计算!$X$146&gt;-1),IF(逐级计算!$X$146=0,EP11+逐级计算!$C$146,EP11+逐级计算!$C$146-(10/(逐级计算!$Q$146*LN(10))*(MAX((LN(10^(逐级计算!$Q$146/10)-1)+逐级计算!$Q$146*(EP11-逐级计算!$P$146)*LN(10)/10),0)+LN(1+EXP(-ABS((LN(10^(逐级计算!$Q$146/10)-1)+逐级计算!$Q$146*(EP11-逐级计算!$P$146)*LN(10)/10))))))),"")</f>
        <v>15.6834483337657</v>
      </c>
      <c r="ER11">
        <f>IF(AND(ISNUMBER(EQ11),逐级计算!$X$147&gt;-1),IF(逐级计算!$X$147=0,EQ11+逐级计算!$C$147,EQ11+逐级计算!$C$147-(10/(逐级计算!$Q$147*LN(10))*(MAX((LN(10^(逐级计算!$Q$147/10)-1)+逐级计算!$Q$147*(EQ11-逐级计算!$P$147)*LN(10)/10),0)+LN(1+EXP(-ABS((LN(10^(逐级计算!$Q$147/10)-1)+逐级计算!$Q$147*(EQ11-逐级计算!$P$147)*LN(10)/10))))))),"")</f>
        <v>15.6834483337657</v>
      </c>
      <c r="ES11">
        <f>IF(AND(ISNUMBER(ER11),逐级计算!$X$148&gt;-1),IF(逐级计算!$X$148=0,ER11+逐级计算!$C$148,ER11+逐级计算!$C$148-(10/(逐级计算!$Q$148*LN(10))*(MAX((LN(10^(逐级计算!$Q$148/10)-1)+逐级计算!$Q$148*(ER11-逐级计算!$P$148)*LN(10)/10),0)+LN(1+EXP(-ABS((LN(10^(逐级计算!$Q$148/10)-1)+逐级计算!$Q$148*(ER11-逐级计算!$P$148)*LN(10)/10))))))),"")</f>
        <v>15.6834483337657</v>
      </c>
      <c r="ET11">
        <f>IF(AND(ISNUMBER(ES11),逐级计算!$X$149&gt;-1),IF(逐级计算!$X$149=0,ES11+逐级计算!$C$149,ES11+逐级计算!$C$149-(10/(逐级计算!$Q$149*LN(10))*(MAX((LN(10^(逐级计算!$Q$149/10)-1)+逐级计算!$Q$149*(ES11-逐级计算!$P$149)*LN(10)/10),0)+LN(1+EXP(-ABS((LN(10^(逐级计算!$Q$149/10)-1)+逐级计算!$Q$149*(ES11-逐级计算!$P$149)*LN(10)/10))))))),"")</f>
        <v>15.6834483337657</v>
      </c>
      <c r="EU11">
        <f>IF(AND(ISNUMBER(ET11),逐级计算!$X$150&gt;-1),IF(逐级计算!$X$150=0,ET11+逐级计算!$C$150,ET11+逐级计算!$C$150-(10/(逐级计算!$Q$150*LN(10))*(MAX((LN(10^(逐级计算!$Q$150/10)-1)+逐级计算!$Q$150*(ET11-逐级计算!$P$150)*LN(10)/10),0)+LN(1+EXP(-ABS((LN(10^(逐级计算!$Q$150/10)-1)+逐级计算!$Q$150*(ET11-逐级计算!$P$150)*LN(10)/10))))))),"")</f>
        <v>15.6834483337657</v>
      </c>
      <c r="EV11">
        <f>IF(AND(ISNUMBER(EU11),逐级计算!$X$151&gt;-1),IF(逐级计算!$X$151=0,EU11+逐级计算!$C$151,EU11+逐级计算!$C$151-(10/(逐级计算!$Q$151*LN(10))*(MAX((LN(10^(逐级计算!$Q$151/10)-1)+逐级计算!$Q$151*(EU11-逐级计算!$P$151)*LN(10)/10),0)+LN(1+EXP(-ABS((LN(10^(逐级计算!$Q$151/10)-1)+逐级计算!$Q$151*(EU11-逐级计算!$P$151)*LN(10)/10))))))),"")</f>
        <v>15.6834483337657</v>
      </c>
      <c r="EW11">
        <f>IF(AND(ISNUMBER(EV11),逐级计算!$X$152&gt;-1),IF(逐级计算!$X$152=0,EV11+逐级计算!$C$152,EV11+逐级计算!$C$152-(10/(逐级计算!$Q$152*LN(10))*(MAX((LN(10^(逐级计算!$Q$152/10)-1)+逐级计算!$Q$152*(EV11-逐级计算!$P$152)*LN(10)/10),0)+LN(1+EXP(-ABS((LN(10^(逐级计算!$Q$152/10)-1)+逐级计算!$Q$152*(EV11-逐级计算!$P$152)*LN(10)/10))))))),"")</f>
        <v>15.6834483337657</v>
      </c>
      <c r="EX11">
        <f>IF(AND(ISNUMBER(EW11),逐级计算!$X$153&gt;-1),IF(逐级计算!$X$153=0,EW11+逐级计算!$C$153,EW11+逐级计算!$C$153-(10/(逐级计算!$Q$153*LN(10))*(MAX((LN(10^(逐级计算!$Q$153/10)-1)+逐级计算!$Q$153*(EW11-逐级计算!$P$153)*LN(10)/10),0)+LN(1+EXP(-ABS((LN(10^(逐级计算!$Q$153/10)-1)+逐级计算!$Q$153*(EW11-逐级计算!$P$153)*LN(10)/10))))))),"")</f>
        <v>15.6834483337657</v>
      </c>
      <c r="EY11">
        <f>IF(AND(ISNUMBER(EX11),逐级计算!$X$154&gt;-1),IF(逐级计算!$X$154=0,EX11+逐级计算!$C$154,EX11+逐级计算!$C$154-(10/(逐级计算!$Q$154*LN(10))*(MAX((LN(10^(逐级计算!$Q$154/10)-1)+逐级计算!$Q$154*(EX11-逐级计算!$P$154)*LN(10)/10),0)+LN(1+EXP(-ABS((LN(10^(逐级计算!$Q$154/10)-1)+逐级计算!$Q$154*(EX11-逐级计算!$P$154)*LN(10)/10))))))),"")</f>
        <v>15.6834483337657</v>
      </c>
      <c r="EZ11">
        <f>IF(AND(ISNUMBER(EY11),逐级计算!$X$155&gt;-1),IF(逐级计算!$X$155=0,EY11+逐级计算!$C$155,EY11+逐级计算!$C$155-(10/(逐级计算!$Q$155*LN(10))*(MAX((LN(10^(逐级计算!$Q$155/10)-1)+逐级计算!$Q$155*(EY11-逐级计算!$P$155)*LN(10)/10),0)+LN(1+EXP(-ABS((LN(10^(逐级计算!$Q$155/10)-1)+逐级计算!$Q$155*(EY11-逐级计算!$P$155)*LN(10)/10))))))),"")</f>
        <v>15.6834483337657</v>
      </c>
      <c r="FA11">
        <f>IF(AND(ISNUMBER(EZ11),逐级计算!$X$156&gt;-1),IF(逐级计算!$X$156=0,EZ11+逐级计算!$C$156,EZ11+逐级计算!$C$156-(10/(逐级计算!$Q$156*LN(10))*(MAX((LN(10^(逐级计算!$Q$156/10)-1)+逐级计算!$Q$156*(EZ11-逐级计算!$P$156)*LN(10)/10),0)+LN(1+EXP(-ABS((LN(10^(逐级计算!$Q$156/10)-1)+逐级计算!$Q$156*(EZ11-逐级计算!$P$156)*LN(10)/10))))))),"")</f>
        <v>15.6834483337657</v>
      </c>
      <c r="FB11">
        <f>IF(AND(ISNUMBER(FA11),逐级计算!$X$157&gt;-1),IF(逐级计算!$X$157=0,FA11+逐级计算!$C$157,FA11+逐级计算!$C$157-(10/(逐级计算!$Q$157*LN(10))*(MAX((LN(10^(逐级计算!$Q$157/10)-1)+逐级计算!$Q$157*(FA11-逐级计算!$P$157)*LN(10)/10),0)+LN(1+EXP(-ABS((LN(10^(逐级计算!$Q$157/10)-1)+逐级计算!$Q$157*(FA11-逐级计算!$P$157)*LN(10)/10))))))),"")</f>
        <v>15.6834483337657</v>
      </c>
      <c r="FC11">
        <f>IF(AND(ISNUMBER(FB11),逐级计算!$X$158&gt;-1),IF(逐级计算!$X$158=0,FB11+逐级计算!$C$158,FB11+逐级计算!$C$158-(10/(逐级计算!$Q$158*LN(10))*(MAX((LN(10^(逐级计算!$Q$158/10)-1)+逐级计算!$Q$158*(FB11-逐级计算!$P$158)*LN(10)/10),0)+LN(1+EXP(-ABS((LN(10^(逐级计算!$Q$158/10)-1)+逐级计算!$Q$158*(FB11-逐级计算!$P$158)*LN(10)/10))))))),"")</f>
        <v>15.6834483337657</v>
      </c>
      <c r="FD11">
        <f>IF(AND(ISNUMBER(FC11),逐级计算!$X$159&gt;-1),IF(逐级计算!$X$159=0,FC11+逐级计算!$C$159,FC11+逐级计算!$C$159-(10/(逐级计算!$Q$159*LN(10))*(MAX((LN(10^(逐级计算!$Q$159/10)-1)+逐级计算!$Q$159*(FC11-逐级计算!$P$159)*LN(10)/10),0)+LN(1+EXP(-ABS((LN(10^(逐级计算!$Q$159/10)-1)+逐级计算!$Q$159*(FC11-逐级计算!$P$159)*LN(10)/10))))))),"")</f>
        <v>15.6834483337657</v>
      </c>
      <c r="FE11">
        <f>IF(AND(ISNUMBER(FD11),逐级计算!$X$160&gt;-1),IF(逐级计算!$X$160=0,FD11+逐级计算!$C$160,FD11+逐级计算!$C$160-(10/(逐级计算!$Q$160*LN(10))*(MAX((LN(10^(逐级计算!$Q$160/10)-1)+逐级计算!$Q$160*(FD11-逐级计算!$P$160)*LN(10)/10),0)+LN(1+EXP(-ABS((LN(10^(逐级计算!$Q$160/10)-1)+逐级计算!$Q$160*(FD11-逐级计算!$P$160)*LN(10)/10))))))),"")</f>
        <v>15.6834483337657</v>
      </c>
      <c r="FF11">
        <f>IF(AND(ISNUMBER(FE11),逐级计算!$X$161&gt;-1),IF(逐级计算!$X$161=0,FE11+逐级计算!$C$161,FE11+逐级计算!$C$161-(10/(逐级计算!$Q$161*LN(10))*(MAX((LN(10^(逐级计算!$Q$161/10)-1)+逐级计算!$Q$161*(FE11-逐级计算!$P$161)*LN(10)/10),0)+LN(1+EXP(-ABS((LN(10^(逐级计算!$Q$161/10)-1)+逐级计算!$Q$161*(FE11-逐级计算!$P$161)*LN(10)/10))))))),"")</f>
        <v>15.6834483337657</v>
      </c>
      <c r="FG11">
        <f>IF(AND(ISNUMBER(FF11),逐级计算!$X$162&gt;-1),IF(逐级计算!$X$162=0,FF11+逐级计算!$C$162,FF11+逐级计算!$C$162-(10/(逐级计算!$Q$162*LN(10))*(MAX((LN(10^(逐级计算!$Q$162/10)-1)+逐级计算!$Q$162*(FF11-逐级计算!$P$162)*LN(10)/10),0)+LN(1+EXP(-ABS((LN(10^(逐级计算!$Q$162/10)-1)+逐级计算!$Q$162*(FF11-逐级计算!$P$162)*LN(10)/10))))))),"")</f>
        <v>15.6834483337657</v>
      </c>
      <c r="FH11">
        <f>IF(AND(ISNUMBER(FG11),逐级计算!$X$163&gt;-1),IF(逐级计算!$X$163=0,FG11+逐级计算!$C$163,FG11+逐级计算!$C$163-(10/(逐级计算!$Q$163*LN(10))*(MAX((LN(10^(逐级计算!$Q$163/10)-1)+逐级计算!$Q$163*(FG11-逐级计算!$P$163)*LN(10)/10),0)+LN(1+EXP(-ABS((LN(10^(逐级计算!$Q$163/10)-1)+逐级计算!$Q$163*(FG11-逐级计算!$P$163)*LN(10)/10))))))),"")</f>
        <v>15.6834483337657</v>
      </c>
      <c r="FI11">
        <f>IF(AND(ISNUMBER(FH11),逐级计算!$X$164&gt;-1),IF(逐级计算!$X$164=0,FH11+逐级计算!$C$164,FH11+逐级计算!$C$164-(10/(逐级计算!$Q$164*LN(10))*(MAX((LN(10^(逐级计算!$Q$164/10)-1)+逐级计算!$Q$164*(FH11-逐级计算!$P$164)*LN(10)/10),0)+LN(1+EXP(-ABS((LN(10^(逐级计算!$Q$164/10)-1)+逐级计算!$Q$164*(FH11-逐级计算!$P$164)*LN(10)/10))))))),"")</f>
        <v>15.6834483337657</v>
      </c>
      <c r="FJ11">
        <f>IF(AND(ISNUMBER(FI11),逐级计算!$X$165&gt;-1),IF(逐级计算!$X$165=0,FI11+逐级计算!$C$165,FI11+逐级计算!$C$165-(10/(逐级计算!$Q$165*LN(10))*(MAX((LN(10^(逐级计算!$Q$165/10)-1)+逐级计算!$Q$165*(FI11-逐级计算!$P$165)*LN(10)/10),0)+LN(1+EXP(-ABS((LN(10^(逐级计算!$Q$165/10)-1)+逐级计算!$Q$165*(FI11-逐级计算!$P$165)*LN(10)/10))))))),"")</f>
        <v>15.6834483337657</v>
      </c>
      <c r="FK11">
        <f>IF(AND(ISNUMBER(FJ11),逐级计算!$X$166&gt;-1),IF(逐级计算!$X$166=0,FJ11+逐级计算!$C$166,FJ11+逐级计算!$C$166-(10/(逐级计算!$Q$166*LN(10))*(MAX((LN(10^(逐级计算!$Q$166/10)-1)+逐级计算!$Q$166*(FJ11-逐级计算!$P$166)*LN(10)/10),0)+LN(1+EXP(-ABS((LN(10^(逐级计算!$Q$166/10)-1)+逐级计算!$Q$166*(FJ11-逐级计算!$P$166)*LN(10)/10))))))),"")</f>
        <v>15.6834483337657</v>
      </c>
      <c r="FL11">
        <f>IF(AND(ISNUMBER(FK11),逐级计算!$X$167&gt;-1),IF(逐级计算!$X$167=0,FK11+逐级计算!$C$167,FK11+逐级计算!$C$167-(10/(逐级计算!$Q$167*LN(10))*(MAX((LN(10^(逐级计算!$Q$167/10)-1)+逐级计算!$Q$167*(FK11-逐级计算!$P$167)*LN(10)/10),0)+LN(1+EXP(-ABS((LN(10^(逐级计算!$Q$167/10)-1)+逐级计算!$Q$167*(FK11-逐级计算!$P$167)*LN(10)/10))))))),"")</f>
        <v>15.6834483337657</v>
      </c>
      <c r="FM11">
        <f>IF(AND(ISNUMBER(FL11),逐级计算!$X$168&gt;-1),IF(逐级计算!$X$168=0,FL11+逐级计算!$C$168,FL11+逐级计算!$C$168-(10/(逐级计算!$Q$168*LN(10))*(MAX((LN(10^(逐级计算!$Q$168/10)-1)+逐级计算!$Q$168*(FL11-逐级计算!$P$168)*LN(10)/10),0)+LN(1+EXP(-ABS((LN(10^(逐级计算!$Q$168/10)-1)+逐级计算!$Q$168*(FL11-逐级计算!$P$168)*LN(10)/10))))))),"")</f>
        <v>15.6834483337657</v>
      </c>
      <c r="FN11">
        <f>IF(AND(ISNUMBER(FM11),逐级计算!$X$169&gt;-1),IF(逐级计算!$X$169=0,FM11+逐级计算!$C$169,FM11+逐级计算!$C$169-(10/(逐级计算!$Q$169*LN(10))*(MAX((LN(10^(逐级计算!$Q$169/10)-1)+逐级计算!$Q$169*(FM11-逐级计算!$P$169)*LN(10)/10),0)+LN(1+EXP(-ABS((LN(10^(逐级计算!$Q$169/10)-1)+逐级计算!$Q$169*(FM11-逐级计算!$P$169)*LN(10)/10))))))),"")</f>
        <v>15.6834483337657</v>
      </c>
      <c r="FO11">
        <f>IF(AND(ISNUMBER(FN11),逐级计算!$X$170&gt;-1),IF(逐级计算!$X$170=0,FN11+逐级计算!$C$170,FN11+逐级计算!$C$170-(10/(逐级计算!$Q$170*LN(10))*(MAX((LN(10^(逐级计算!$Q$170/10)-1)+逐级计算!$Q$170*(FN11-逐级计算!$P$170)*LN(10)/10),0)+LN(1+EXP(-ABS((LN(10^(逐级计算!$Q$170/10)-1)+逐级计算!$Q$170*(FN11-逐级计算!$P$170)*LN(10)/10))))))),"")</f>
        <v>15.6834483337657</v>
      </c>
      <c r="FP11">
        <f>IF(AND(ISNUMBER(FO11),逐级计算!$X$171&gt;-1),IF(逐级计算!$X$171=0,FO11+逐级计算!$C$171,FO11+逐级计算!$C$171-(10/(逐级计算!$Q$171*LN(10))*(MAX((LN(10^(逐级计算!$Q$171/10)-1)+逐级计算!$Q$171*(FO11-逐级计算!$P$171)*LN(10)/10),0)+LN(1+EXP(-ABS((LN(10^(逐级计算!$Q$171/10)-1)+逐级计算!$Q$171*(FO11-逐级计算!$P$171)*LN(10)/10))))))),"")</f>
        <v>15.6834483337657</v>
      </c>
      <c r="FQ11">
        <f>IF(AND(ISNUMBER(FP11),逐级计算!$X$172&gt;-1),IF(逐级计算!$X$172=0,FP11+逐级计算!$C$172,FP11+逐级计算!$C$172-(10/(逐级计算!$Q$172*LN(10))*(MAX((LN(10^(逐级计算!$Q$172/10)-1)+逐级计算!$Q$172*(FP11-逐级计算!$P$172)*LN(10)/10),0)+LN(1+EXP(-ABS((LN(10^(逐级计算!$Q$172/10)-1)+逐级计算!$Q$172*(FP11-逐级计算!$P$172)*LN(10)/10))))))),"")</f>
        <v>15.6834483337657</v>
      </c>
      <c r="FR11">
        <f>IF(AND(ISNUMBER(FQ11),逐级计算!$X$173&gt;-1),IF(逐级计算!$X$173=0,FQ11+逐级计算!$C$173,FQ11+逐级计算!$C$173-(10/(逐级计算!$Q$173*LN(10))*(MAX((LN(10^(逐级计算!$Q$173/10)-1)+逐级计算!$Q$173*(FQ11-逐级计算!$P$173)*LN(10)/10),0)+LN(1+EXP(-ABS((LN(10^(逐级计算!$Q$173/10)-1)+逐级计算!$Q$173*(FQ11-逐级计算!$P$173)*LN(10)/10))))))),"")</f>
        <v>15.6834483337657</v>
      </c>
      <c r="FS11">
        <f>IF(AND(ISNUMBER(FR11),逐级计算!$X$174&gt;-1),IF(逐级计算!$X$174=0,FR11+逐级计算!$C$174,FR11+逐级计算!$C$174-(10/(逐级计算!$Q$174*LN(10))*(MAX((LN(10^(逐级计算!$Q$174/10)-1)+逐级计算!$Q$174*(FR11-逐级计算!$P$174)*LN(10)/10),0)+LN(1+EXP(-ABS((LN(10^(逐级计算!$Q$174/10)-1)+逐级计算!$Q$174*(FR11-逐级计算!$P$174)*LN(10)/10))))))),"")</f>
        <v>15.6834483337657</v>
      </c>
      <c r="FT11">
        <f>IF(AND(ISNUMBER(FS11),逐级计算!$X$175&gt;-1),IF(逐级计算!$X$175=0,FS11+逐级计算!$C$175,FS11+逐级计算!$C$175-(10/(逐级计算!$Q$175*LN(10))*(MAX((LN(10^(逐级计算!$Q$175/10)-1)+逐级计算!$Q$175*(FS11-逐级计算!$P$175)*LN(10)/10),0)+LN(1+EXP(-ABS((LN(10^(逐级计算!$Q$175/10)-1)+逐级计算!$Q$175*(FS11-逐级计算!$P$175)*LN(10)/10))))))),"")</f>
        <v>15.6834483337657</v>
      </c>
      <c r="FU11">
        <f>IF(AND(ISNUMBER(FT11),逐级计算!$X$176&gt;-1),IF(逐级计算!$X$176=0,FT11+逐级计算!$C$176,FT11+逐级计算!$C$176-(10/(逐级计算!$Q$176*LN(10))*(MAX((LN(10^(逐级计算!$Q$176/10)-1)+逐级计算!$Q$176*(FT11-逐级计算!$P$176)*LN(10)/10),0)+LN(1+EXP(-ABS((LN(10^(逐级计算!$Q$176/10)-1)+逐级计算!$Q$176*(FT11-逐级计算!$P$176)*LN(10)/10))))))),"")</f>
        <v>15.6834483337657</v>
      </c>
      <c r="FV11">
        <f>IF(AND(ISNUMBER(FU11),逐级计算!$X$177&gt;-1),IF(逐级计算!$X$177=0,FU11+逐级计算!$C$177,FU11+逐级计算!$C$177-(10/(逐级计算!$Q$177*LN(10))*(MAX((LN(10^(逐级计算!$Q$177/10)-1)+逐级计算!$Q$177*(FU11-逐级计算!$P$177)*LN(10)/10),0)+LN(1+EXP(-ABS((LN(10^(逐级计算!$Q$177/10)-1)+逐级计算!$Q$177*(FU11-逐级计算!$P$177)*LN(10)/10))))))),"")</f>
        <v>15.6834483337657</v>
      </c>
      <c r="FW11">
        <f>IF(AND(ISNUMBER(FV11),逐级计算!$X$178&gt;-1),IF(逐级计算!$X$178=0,FV11+逐级计算!$C$178,FV11+逐级计算!$C$178-(10/(逐级计算!$Q$178*LN(10))*(MAX((LN(10^(逐级计算!$Q$178/10)-1)+逐级计算!$Q$178*(FV11-逐级计算!$P$178)*LN(10)/10),0)+LN(1+EXP(-ABS((LN(10^(逐级计算!$Q$178/10)-1)+逐级计算!$Q$178*(FV11-逐级计算!$P$178)*LN(10)/10))))))),"")</f>
        <v>15.6834483337657</v>
      </c>
      <c r="FX11">
        <f>IF(AND(ISNUMBER(FW11),逐级计算!$X$179&gt;-1),IF(逐级计算!$X$179=0,FW11+逐级计算!$C$179,FW11+逐级计算!$C$179-(10/(逐级计算!$Q$179*LN(10))*(MAX((LN(10^(逐级计算!$Q$179/10)-1)+逐级计算!$Q$179*(FW11-逐级计算!$P$179)*LN(10)/10),0)+LN(1+EXP(-ABS((LN(10^(逐级计算!$Q$179/10)-1)+逐级计算!$Q$179*(FW11-逐级计算!$P$179)*LN(10)/10))))))),"")</f>
        <v>15.6834483337657</v>
      </c>
      <c r="FY11">
        <f>IF(AND(ISNUMBER(FX11),逐级计算!$X$180&gt;-1),IF(逐级计算!$X$180=0,FX11+逐级计算!$C$180,FX11+逐级计算!$C$180-(10/(逐级计算!$Q$180*LN(10))*(MAX((LN(10^(逐级计算!$Q$180/10)-1)+逐级计算!$Q$180*(FX11-逐级计算!$P$180)*LN(10)/10),0)+LN(1+EXP(-ABS((LN(10^(逐级计算!$Q$180/10)-1)+逐级计算!$Q$180*(FX11-逐级计算!$P$180)*LN(10)/10))))))),"")</f>
        <v>15.6834483337657</v>
      </c>
      <c r="FZ11">
        <f>IF(AND(ISNUMBER(FY11),逐级计算!$X$181&gt;-1),IF(逐级计算!$X$181=0,FY11+逐级计算!$C$181,FY11+逐级计算!$C$181-(10/(逐级计算!$Q$181*LN(10))*(MAX((LN(10^(逐级计算!$Q$181/10)-1)+逐级计算!$Q$181*(FY11-逐级计算!$P$181)*LN(10)/10),0)+LN(1+EXP(-ABS((LN(10^(逐级计算!$Q$181/10)-1)+逐级计算!$Q$181*(FY11-逐级计算!$P$181)*LN(10)/10))))))),"")</f>
        <v>15.6834483337657</v>
      </c>
      <c r="GA11">
        <f>IF(AND(ISNUMBER(FZ11),逐级计算!$X$182&gt;-1),IF(逐级计算!$X$182=0,FZ11+逐级计算!$C$182,FZ11+逐级计算!$C$182-(10/(逐级计算!$Q$182*LN(10))*(MAX((LN(10^(逐级计算!$Q$182/10)-1)+逐级计算!$Q$182*(FZ11-逐级计算!$P$182)*LN(10)/10),0)+LN(1+EXP(-ABS((LN(10^(逐级计算!$Q$182/10)-1)+逐级计算!$Q$182*(FZ11-逐级计算!$P$182)*LN(10)/10))))))),"")</f>
        <v>15.6834483337657</v>
      </c>
      <c r="GB11">
        <f>IF(AND(ISNUMBER(GA11),逐级计算!$X$183&gt;-1),IF(逐级计算!$X$183=0,GA11+逐级计算!$C$183,GA11+逐级计算!$C$183-(10/(逐级计算!$Q$183*LN(10))*(MAX((LN(10^(逐级计算!$Q$183/10)-1)+逐级计算!$Q$183*(GA11-逐级计算!$P$183)*LN(10)/10),0)+LN(1+EXP(-ABS((LN(10^(逐级计算!$Q$183/10)-1)+逐级计算!$Q$183*(GA11-逐级计算!$P$183)*LN(10)/10))))))),"")</f>
        <v>15.6834483337657</v>
      </c>
      <c r="GC11">
        <f>IF(AND(ISNUMBER(GB11),逐级计算!$X$184&gt;-1),IF(逐级计算!$X$184=0,GB11+逐级计算!$C$184,GB11+逐级计算!$C$184-(10/(逐级计算!$Q$184*LN(10))*(MAX((LN(10^(逐级计算!$Q$184/10)-1)+逐级计算!$Q$184*(GB11-逐级计算!$P$184)*LN(10)/10),0)+LN(1+EXP(-ABS((LN(10^(逐级计算!$Q$184/10)-1)+逐级计算!$Q$184*(GB11-逐级计算!$P$184)*LN(10)/10))))))),"")</f>
        <v>15.6834483337657</v>
      </c>
      <c r="GD11">
        <f>IF(AND(ISNUMBER(GC11),逐级计算!$X$185&gt;-1),IF(逐级计算!$X$185=0,GC11+逐级计算!$C$185,GC11+逐级计算!$C$185-(10/(逐级计算!$Q$185*LN(10))*(MAX((LN(10^(逐级计算!$Q$185/10)-1)+逐级计算!$Q$185*(GC11-逐级计算!$P$185)*LN(10)/10),0)+LN(1+EXP(-ABS((LN(10^(逐级计算!$Q$185/10)-1)+逐级计算!$Q$185*(GC11-逐级计算!$P$185)*LN(10)/10))))))),"")</f>
        <v>15.6834483337657</v>
      </c>
      <c r="GE11">
        <f>IF(AND(ISNUMBER(GD11),逐级计算!$X$186&gt;-1),IF(逐级计算!$X$186=0,GD11+逐级计算!$C$186,GD11+逐级计算!$C$186-(10/(逐级计算!$Q$186*LN(10))*(MAX((LN(10^(逐级计算!$Q$186/10)-1)+逐级计算!$Q$186*(GD11-逐级计算!$P$186)*LN(10)/10),0)+LN(1+EXP(-ABS((LN(10^(逐级计算!$Q$186/10)-1)+逐级计算!$Q$186*(GD11-逐级计算!$P$186)*LN(10)/10))))))),"")</f>
        <v>15.6834483337657</v>
      </c>
      <c r="GF11">
        <f>IF(AND(ISNUMBER(GE11),逐级计算!$X$187&gt;-1),IF(逐级计算!$X$187=0,GE11+逐级计算!$C$187,GE11+逐级计算!$C$187-(10/(逐级计算!$Q$187*LN(10))*(MAX((LN(10^(逐级计算!$Q$187/10)-1)+逐级计算!$Q$187*(GE11-逐级计算!$P$187)*LN(10)/10),0)+LN(1+EXP(-ABS((LN(10^(逐级计算!$Q$187/10)-1)+逐级计算!$Q$187*(GE11-逐级计算!$P$187)*LN(10)/10))))))),"")</f>
        <v>15.6834483337657</v>
      </c>
      <c r="GG11">
        <f>IF(AND(ISNUMBER(GF11),逐级计算!$X$188&gt;-1),IF(逐级计算!$X$188=0,GF11+逐级计算!$C$188,GF11+逐级计算!$C$188-(10/(逐级计算!$Q$188*LN(10))*(MAX((LN(10^(逐级计算!$Q$188/10)-1)+逐级计算!$Q$188*(GF11-逐级计算!$P$188)*LN(10)/10),0)+LN(1+EXP(-ABS((LN(10^(逐级计算!$Q$188/10)-1)+逐级计算!$Q$188*(GF11-逐级计算!$P$188)*LN(10)/10))))))),"")</f>
        <v>15.6834483337657</v>
      </c>
      <c r="GH11">
        <f>IF(AND(ISNUMBER(GG11),逐级计算!$X$189&gt;-1),IF(逐级计算!$X$189=0,GG11+逐级计算!$C$189,GG11+逐级计算!$C$189-(10/(逐级计算!$Q$189*LN(10))*(MAX((LN(10^(逐级计算!$Q$189/10)-1)+逐级计算!$Q$189*(GG11-逐级计算!$P$189)*LN(10)/10),0)+LN(1+EXP(-ABS((LN(10^(逐级计算!$Q$189/10)-1)+逐级计算!$Q$189*(GG11-逐级计算!$P$189)*LN(10)/10))))))),"")</f>
        <v>15.6834483337657</v>
      </c>
      <c r="GI11">
        <f>IF(AND(ISNUMBER(GH11),逐级计算!$X$190&gt;-1),IF(逐级计算!$X$190=0,GH11+逐级计算!$C$190,GH11+逐级计算!$C$190-(10/(逐级计算!$Q$190*LN(10))*(MAX((LN(10^(逐级计算!$Q$190/10)-1)+逐级计算!$Q$190*(GH11-逐级计算!$P$190)*LN(10)/10),0)+LN(1+EXP(-ABS((LN(10^(逐级计算!$Q$190/10)-1)+逐级计算!$Q$190*(GH11-逐级计算!$P$190)*LN(10)/10))))))),"")</f>
        <v>15.6834483337657</v>
      </c>
      <c r="GJ11">
        <f>IF(AND(ISNUMBER(GI11),逐级计算!$X$191&gt;-1),IF(逐级计算!$X$191=0,GI11+逐级计算!$C$191,GI11+逐级计算!$C$191-(10/(逐级计算!$Q$191*LN(10))*(MAX((LN(10^(逐级计算!$Q$191/10)-1)+逐级计算!$Q$191*(GI11-逐级计算!$P$191)*LN(10)/10),0)+LN(1+EXP(-ABS((LN(10^(逐级计算!$Q$191/10)-1)+逐级计算!$Q$191*(GI11-逐级计算!$P$191)*LN(10)/10))))))),"")</f>
        <v>15.6834483337657</v>
      </c>
      <c r="GK11">
        <f>IF(AND(ISNUMBER(GJ11),逐级计算!$X$192&gt;-1),IF(逐级计算!$X$192=0,GJ11+逐级计算!$C$192,GJ11+逐级计算!$C$192-(10/(逐级计算!$Q$192*LN(10))*(MAX((LN(10^(逐级计算!$Q$192/10)-1)+逐级计算!$Q$192*(GJ11-逐级计算!$P$192)*LN(10)/10),0)+LN(1+EXP(-ABS((LN(10^(逐级计算!$Q$192/10)-1)+逐级计算!$Q$192*(GJ11-逐级计算!$P$192)*LN(10)/10))))))),"")</f>
        <v>15.6834483337657</v>
      </c>
      <c r="GL11">
        <f>IF(AND(ISNUMBER(GK11),逐级计算!$X$193&gt;-1),IF(逐级计算!$X$193=0,GK11+逐级计算!$C$193,GK11+逐级计算!$C$193-(10/(逐级计算!$Q$193*LN(10))*(MAX((LN(10^(逐级计算!$Q$193/10)-1)+逐级计算!$Q$193*(GK11-逐级计算!$P$193)*LN(10)/10),0)+LN(1+EXP(-ABS((LN(10^(逐级计算!$Q$193/10)-1)+逐级计算!$Q$193*(GK11-逐级计算!$P$193)*LN(10)/10))))))),"")</f>
        <v>15.6834483337657</v>
      </c>
      <c r="GM11">
        <f>IF(AND(ISNUMBER(GL11),逐级计算!$X$194&gt;-1),IF(逐级计算!$X$194=0,GL11+逐级计算!$C$194,GL11+逐级计算!$C$194-(10/(逐级计算!$Q$194*LN(10))*(MAX((LN(10^(逐级计算!$Q$194/10)-1)+逐级计算!$Q$194*(GL11-逐级计算!$P$194)*LN(10)/10),0)+LN(1+EXP(-ABS((LN(10^(逐级计算!$Q$194/10)-1)+逐级计算!$Q$194*(GL11-逐级计算!$P$194)*LN(10)/10))))))),"")</f>
        <v>15.6834483337657</v>
      </c>
      <c r="GN11">
        <f>IF(AND(ISNUMBER(GM11),逐级计算!$X$195&gt;-1),IF(逐级计算!$X$195=0,GM11+逐级计算!$C$195,GM11+逐级计算!$C$195-(10/(逐级计算!$Q$195*LN(10))*(MAX((LN(10^(逐级计算!$Q$195/10)-1)+逐级计算!$Q$195*(GM11-逐级计算!$P$195)*LN(10)/10),0)+LN(1+EXP(-ABS((LN(10^(逐级计算!$Q$195/10)-1)+逐级计算!$Q$195*(GM11-逐级计算!$P$195)*LN(10)/10))))))),"")</f>
        <v>15.6834483337657</v>
      </c>
      <c r="GO11">
        <f>IF(AND(ISNUMBER(GN11),逐级计算!$X$196&gt;-1),IF(逐级计算!$X$196=0,GN11+逐级计算!$C$196,GN11+逐级计算!$C$196-(10/(逐级计算!$Q$196*LN(10))*(MAX((LN(10^(逐级计算!$Q$196/10)-1)+逐级计算!$Q$196*(GN11-逐级计算!$P$196)*LN(10)/10),0)+LN(1+EXP(-ABS((LN(10^(逐级计算!$Q$196/10)-1)+逐级计算!$Q$196*(GN11-逐级计算!$P$196)*LN(10)/10))))))),"")</f>
        <v>15.6834483337657</v>
      </c>
      <c r="GP11">
        <f>IF(AND(ISNUMBER(GO11),逐级计算!$X$197&gt;-1),IF(逐级计算!$X$197=0,GO11+逐级计算!$C$197,GO11+逐级计算!$C$197-(10/(逐级计算!$Q$197*LN(10))*(MAX((LN(10^(逐级计算!$Q$197/10)-1)+逐级计算!$Q$197*(GO11-逐级计算!$P$197)*LN(10)/10),0)+LN(1+EXP(-ABS((LN(10^(逐级计算!$Q$197/10)-1)+逐级计算!$Q$197*(GO11-逐级计算!$P$197)*LN(10)/10))))))),"")</f>
        <v>15.6834483337657</v>
      </c>
      <c r="GQ11">
        <f>IF(AND(ISNUMBER(GP11),逐级计算!$X$198&gt;-1),IF(逐级计算!$X$198=0,GP11+逐级计算!$C$198,GP11+逐级计算!$C$198-(10/(逐级计算!$Q$198*LN(10))*(MAX((LN(10^(逐级计算!$Q$198/10)-1)+逐级计算!$Q$198*(GP11-逐级计算!$P$198)*LN(10)/10),0)+LN(1+EXP(-ABS((LN(10^(逐级计算!$Q$198/10)-1)+逐级计算!$Q$198*(GP11-逐级计算!$P$198)*LN(10)/10))))))),"")</f>
        <v>15.6834483337657</v>
      </c>
      <c r="GR11">
        <f>IF(AND(ISNUMBER(GQ11),逐级计算!$X$199&gt;-1),IF(逐级计算!$X$199=0,GQ11+逐级计算!$C$199,GQ11+逐级计算!$C$199-(10/(逐级计算!$Q$199*LN(10))*(MAX((LN(10^(逐级计算!$Q$199/10)-1)+逐级计算!$Q$199*(GQ11-逐级计算!$P$199)*LN(10)/10),0)+LN(1+EXP(-ABS((LN(10^(逐级计算!$Q$199/10)-1)+逐级计算!$Q$199*(GQ11-逐级计算!$P$199)*LN(10)/10))))))),"")</f>
        <v>15.6834483337657</v>
      </c>
      <c r="GS11">
        <f>IF(AND(ISNUMBER(GR11),逐级计算!$X$200&gt;-1),IF(逐级计算!$X$200=0,GR11+逐级计算!$C$200,GR11+逐级计算!$C$200-(10/(逐级计算!$Q$200*LN(10))*(MAX((LN(10^(逐级计算!$Q$200/10)-1)+逐级计算!$Q$200*(GR11-逐级计算!$P$200)*LN(10)/10),0)+LN(1+EXP(-ABS((LN(10^(逐级计算!$Q$200/10)-1)+逐级计算!$Q$200*(GR11-逐级计算!$P$200)*LN(10)/10))))))),"")</f>
        <v>15.6834483337657</v>
      </c>
      <c r="GT11">
        <f>IF(AND(ISNUMBER(GS11),逐级计算!$X$201&gt;-1),IF(逐级计算!$X$201=0,GS11+逐级计算!$C$201,GS11+逐级计算!$C$201-(10/(逐级计算!$Q$201*LN(10))*(MAX((LN(10^(逐级计算!$Q$201/10)-1)+逐级计算!$Q$201*(GS11-逐级计算!$P$201)*LN(10)/10),0)+LN(1+EXP(-ABS((LN(10^(逐级计算!$Q$201/10)-1)+逐级计算!$Q$201*(GS11-逐级计算!$P$201)*LN(10)/10))))))),"")</f>
        <v>15.6834483337657</v>
      </c>
      <c r="GU11">
        <f>IF(AND(ISNUMBER(GT11),逐级计算!$X$202&gt;-1),IF(逐级计算!$X$202=0,GT11+逐级计算!$C$202,GT11+逐级计算!$C$202-(10/(逐级计算!$Q$202*LN(10))*(MAX((LN(10^(逐级计算!$Q$202/10)-1)+逐级计算!$Q$202*(GT11-逐级计算!$P$202)*LN(10)/10),0)+LN(1+EXP(-ABS((LN(10^(逐级计算!$Q$202/10)-1)+逐级计算!$Q$202*(GT11-逐级计算!$P$202)*LN(10)/10))))))),"")</f>
        <v>15.6834483337657</v>
      </c>
      <c r="GV11">
        <f>IF(AND(ISNUMBER(GU11),逐级计算!$X$203&gt;-1),IF(逐级计算!$X$203=0,GU11+逐级计算!$C$203,GU11+逐级计算!$C$203-(10/(逐级计算!$Q$203*LN(10))*(MAX((LN(10^(逐级计算!$Q$203/10)-1)+逐级计算!$Q$203*(GU11-逐级计算!$P$203)*LN(10)/10),0)+LN(1+EXP(-ABS((LN(10^(逐级计算!$Q$203/10)-1)+逐级计算!$Q$203*(GU11-逐级计算!$P$203)*LN(10)/10))))))),"")</f>
        <v>15.6834483337657</v>
      </c>
      <c r="GW11">
        <f t="shared" si="2"/>
        <v>6.875</v>
      </c>
    </row>
    <row r="12" spans="1:205">
      <c r="A12">
        <v>5</v>
      </c>
      <c r="B12">
        <f t="shared" si="1"/>
        <v>-6.25</v>
      </c>
      <c r="C12">
        <f t="shared" si="0"/>
        <v>-2.96875</v>
      </c>
      <c r="D12">
        <f>IF(AND(ISNUMBER(C12),ISNUMBER(逐级计算!$E$203),ISNUMBER(GV12)),C12+逐级计算!$E$203-GV12,"")</f>
        <v>2.10763265194944</v>
      </c>
      <c r="E12">
        <f>IF(AND(ISNUMBER(C12),逐级计算!$X$4&gt;-1),IF(逐级计算!$X$4=0,C12+逐级计算!$C$4,C12+逐级计算!$C$4-(10/(逐级计算!$Q$4*LN(10))*(MAX((LN(10^(逐级计算!$Q$4/10)-1)+逐级计算!$Q$4*(C12-逐级计算!$P$4)*LN(10)/10),0)+LN(1+EXP(-ABS((LN(10^(逐级计算!$Q$4/10)-1)+逐级计算!$Q$4*(C12-逐级计算!$P$4)*LN(10)/10))))))),"")</f>
        <v>6.7295588757996</v>
      </c>
      <c r="F12">
        <f>IF(AND(ISNUMBER(E12),逐级计算!$X$5&gt;-1),IF(逐级计算!$X$5=0,E12+逐级计算!$C$5,E12+逐级计算!$C$5-(10/(逐级计算!$Q$5*LN(10))*(MAX((LN(10^(逐级计算!$Q$5/10)-1)+逐级计算!$Q$5*(E12-逐级计算!$P$5)*LN(10)/10),0)+LN(1+EXP(-ABS((LN(10^(逐级计算!$Q$5/10)-1)+逐级计算!$Q$5*(E12-逐级计算!$P$5)*LN(10)/10))))))),"")</f>
        <v>14.9236173480506</v>
      </c>
      <c r="G12">
        <f>IF(AND(ISNUMBER(F12),逐级计算!$X$6&gt;-1),IF(逐级计算!$X$6=0,F12+逐级计算!$C$6,F12+逐级计算!$C$6-(10/(逐级计算!$Q$6*LN(10))*(MAX((LN(10^(逐级计算!$Q$6/10)-1)+逐级计算!$Q$6*(F12-逐级计算!$P$6)*LN(10)/10),0)+LN(1+EXP(-ABS((LN(10^(逐级计算!$Q$6/10)-1)+逐级计算!$Q$6*(F12-逐级计算!$P$6)*LN(10)/10))))))),"")</f>
        <v>14.9236173480506</v>
      </c>
      <c r="H12">
        <f>IF(AND(ISNUMBER(G12),逐级计算!$X$7&gt;-1),IF(逐级计算!$X$7=0,G12+逐级计算!$C$7,G12+逐级计算!$C$7-(10/(逐级计算!$Q$7*LN(10))*(MAX((LN(10^(逐级计算!$Q$7/10)-1)+逐级计算!$Q$7*(G12-逐级计算!$P$7)*LN(10)/10),0)+LN(1+EXP(-ABS((LN(10^(逐级计算!$Q$7/10)-1)+逐级计算!$Q$7*(G12-逐级计算!$P$7)*LN(10)/10))))))),"")</f>
        <v>14.9236173480506</v>
      </c>
      <c r="I12">
        <f>IF(AND(ISNUMBER(H12),逐级计算!$X$8&gt;-1),IF(逐级计算!$X$8=0,H12+逐级计算!$C$8,H12+逐级计算!$C$8-(10/(逐级计算!$Q$8*LN(10))*(MAX((LN(10^(逐级计算!$Q$8/10)-1)+逐级计算!$Q$8*(H12-逐级计算!$P$8)*LN(10)/10),0)+LN(1+EXP(-ABS((LN(10^(逐级计算!$Q$8/10)-1)+逐级计算!$Q$8*(H12-逐级计算!$P$8)*LN(10)/10))))))),"")</f>
        <v>14.9236173480506</v>
      </c>
      <c r="J12">
        <f>IF(AND(ISNUMBER(I12),逐级计算!$X$9&gt;-1),IF(逐级计算!$X$9=0,I12+逐级计算!$C$9,I12+逐级计算!$C$9-(10/(逐级计算!$Q$9*LN(10))*(MAX((LN(10^(逐级计算!$Q$9/10)-1)+逐级计算!$Q$9*(I12-逐级计算!$P$9)*LN(10)/10),0)+LN(1+EXP(-ABS((LN(10^(逐级计算!$Q$9/10)-1)+逐级计算!$Q$9*(I12-逐级计算!$P$9)*LN(10)/10))))))),"")</f>
        <v>14.9236173480506</v>
      </c>
      <c r="K12">
        <f>IF(AND(ISNUMBER(J12),逐级计算!$X$10&gt;-1),IF(逐级计算!$X$10=0,J12+逐级计算!$C$10,J12+逐级计算!$C$10-(10/(逐级计算!$Q$10*LN(10))*(MAX((LN(10^(逐级计算!$Q$10/10)-1)+逐级计算!$Q$10*(J12-逐级计算!$P$10)*LN(10)/10),0)+LN(1+EXP(-ABS((LN(10^(逐级计算!$Q$10/10)-1)+逐级计算!$Q$10*(J12-逐级计算!$P$10)*LN(10)/10))))))),"")</f>
        <v>14.9236173480506</v>
      </c>
      <c r="L12">
        <f>IF(AND(ISNUMBER(K12),逐级计算!$X$11&gt;-1),IF(逐级计算!$X$11=0,K12+逐级计算!$C$11,K12+逐级计算!$C$11-(10/(逐级计算!$Q$11*LN(10))*(MAX((LN(10^(逐级计算!$Q$11/10)-1)+逐级计算!$Q$11*(K12-逐级计算!$P$11)*LN(10)/10),0)+LN(1+EXP(-ABS((LN(10^(逐级计算!$Q$11/10)-1)+逐级计算!$Q$11*(K12-逐级计算!$P$11)*LN(10)/10))))))),"")</f>
        <v>14.9236173480506</v>
      </c>
      <c r="M12">
        <f>IF(AND(ISNUMBER(L12),逐级计算!$X$12&gt;-1),IF(逐级计算!$X$12=0,L12+逐级计算!$C$12,L12+逐级计算!$C$12-(10/(逐级计算!$Q$12*LN(10))*(MAX((LN(10^(逐级计算!$Q$12/10)-1)+逐级计算!$Q$12*(L12-逐级计算!$P$12)*LN(10)/10),0)+LN(1+EXP(-ABS((LN(10^(逐级计算!$Q$12/10)-1)+逐级计算!$Q$12*(L12-逐级计算!$P$12)*LN(10)/10))))))),"")</f>
        <v>14.9236173480506</v>
      </c>
      <c r="N12">
        <f>IF(AND(ISNUMBER(M12),逐级计算!$X$13&gt;-1),IF(逐级计算!$X$13=0,M12+逐级计算!$C$13,M12+逐级计算!$C$13-(10/(逐级计算!$Q$13*LN(10))*(MAX((LN(10^(逐级计算!$Q$13/10)-1)+逐级计算!$Q$13*(M12-逐级计算!$P$13)*LN(10)/10),0)+LN(1+EXP(-ABS((LN(10^(逐级计算!$Q$13/10)-1)+逐级计算!$Q$13*(M12-逐级计算!$P$13)*LN(10)/10))))))),"")</f>
        <v>14.9236173480506</v>
      </c>
      <c r="O12">
        <f>IF(AND(ISNUMBER(N12),逐级计算!$X$14&gt;-1),IF(逐级计算!$X$14=0,N12+逐级计算!$C$14,N12+逐级计算!$C$14-(10/(逐级计算!$Q$14*LN(10))*(MAX((LN(10^(逐级计算!$Q$14/10)-1)+逐级计算!$Q$14*(N12-逐级计算!$P$14)*LN(10)/10),0)+LN(1+EXP(-ABS((LN(10^(逐级计算!$Q$14/10)-1)+逐级计算!$Q$14*(N12-逐级计算!$P$14)*LN(10)/10))))))),"")</f>
        <v>14.9236173480506</v>
      </c>
      <c r="P12">
        <f>IF(AND(ISNUMBER(O12),逐级计算!$X$15&gt;-1),IF(逐级计算!$X$15=0,O12+逐级计算!$C$15,O12+逐级计算!$C$15-(10/(逐级计算!$Q$15*LN(10))*(MAX((LN(10^(逐级计算!$Q$15/10)-1)+逐级计算!$Q$15*(O12-逐级计算!$P$15)*LN(10)/10),0)+LN(1+EXP(-ABS((LN(10^(逐级计算!$Q$15/10)-1)+逐级计算!$Q$15*(O12-逐级计算!$P$15)*LN(10)/10))))))),"")</f>
        <v>14.9236173480506</v>
      </c>
      <c r="Q12">
        <f>IF(AND(ISNUMBER(P12),逐级计算!$X$16&gt;-1),IF(逐级计算!$X$16=0,P12+逐级计算!$C$16,P12+逐级计算!$C$16-(10/(逐级计算!$Q$16*LN(10))*(MAX((LN(10^(逐级计算!$Q$16/10)-1)+逐级计算!$Q$16*(P12-逐级计算!$P$16)*LN(10)/10),0)+LN(1+EXP(-ABS((LN(10^(逐级计算!$Q$16/10)-1)+逐级计算!$Q$16*(P12-逐级计算!$P$16)*LN(10)/10))))))),"")</f>
        <v>14.9236173480506</v>
      </c>
      <c r="R12">
        <f>IF(AND(ISNUMBER(Q12),逐级计算!$X$17&gt;-1),IF(逐级计算!$X$17=0,Q12+逐级计算!$C$17,Q12+逐级计算!$C$17-(10/(逐级计算!$Q$17*LN(10))*(MAX((LN(10^(逐级计算!$Q$17/10)-1)+逐级计算!$Q$17*(Q12-逐级计算!$P$17)*LN(10)/10),0)+LN(1+EXP(-ABS((LN(10^(逐级计算!$Q$17/10)-1)+逐级计算!$Q$17*(Q12-逐级计算!$P$17)*LN(10)/10))))))),"")</f>
        <v>14.9236173480506</v>
      </c>
      <c r="S12">
        <f>IF(AND(ISNUMBER(R12),逐级计算!$X$18&gt;-1),IF(逐级计算!$X$18=0,R12+逐级计算!$C$18,R12+逐级计算!$C$18-(10/(逐级计算!$Q$18*LN(10))*(MAX((LN(10^(逐级计算!$Q$18/10)-1)+逐级计算!$Q$18*(R12-逐级计算!$P$18)*LN(10)/10),0)+LN(1+EXP(-ABS((LN(10^(逐级计算!$Q$18/10)-1)+逐级计算!$Q$18*(R12-逐级计算!$P$18)*LN(10)/10))))))),"")</f>
        <v>14.9236173480506</v>
      </c>
      <c r="T12">
        <f>IF(AND(ISNUMBER(S12),逐级计算!$X$19&gt;-1),IF(逐级计算!$X$19=0,S12+逐级计算!$C$19,S12+逐级计算!$C$19-(10/(逐级计算!$Q$19*LN(10))*(MAX((LN(10^(逐级计算!$Q$19/10)-1)+逐级计算!$Q$19*(S12-逐级计算!$P$19)*LN(10)/10),0)+LN(1+EXP(-ABS((LN(10^(逐级计算!$Q$19/10)-1)+逐级计算!$Q$19*(S12-逐级计算!$P$19)*LN(10)/10))))))),"")</f>
        <v>14.9236173480506</v>
      </c>
      <c r="U12">
        <f>IF(AND(ISNUMBER(T12),逐级计算!$X$20&gt;-1),IF(逐级计算!$X$20=0,T12+逐级计算!$C$20,T12+逐级计算!$C$20-(10/(逐级计算!$Q$20*LN(10))*(MAX((LN(10^(逐级计算!$Q$20/10)-1)+逐级计算!$Q$20*(T12-逐级计算!$P$20)*LN(10)/10),0)+LN(1+EXP(-ABS((LN(10^(逐级计算!$Q$20/10)-1)+逐级计算!$Q$20*(T12-逐级计算!$P$20)*LN(10)/10))))))),"")</f>
        <v>14.9236173480506</v>
      </c>
      <c r="V12">
        <f>IF(AND(ISNUMBER(U12),逐级计算!$X$21&gt;-1),IF(逐级计算!$X$21=0,U12+逐级计算!$C$21,U12+逐级计算!$C$21-(10/(逐级计算!$Q$21*LN(10))*(MAX((LN(10^(逐级计算!$Q$21/10)-1)+逐级计算!$Q$21*(U12-逐级计算!$P$21)*LN(10)/10),0)+LN(1+EXP(-ABS((LN(10^(逐级计算!$Q$21/10)-1)+逐级计算!$Q$21*(U12-逐级计算!$P$21)*LN(10)/10))))))),"")</f>
        <v>14.9236173480506</v>
      </c>
      <c r="W12">
        <f>IF(AND(ISNUMBER(V12),逐级计算!$X$22&gt;-1),IF(逐级计算!$X$22=0,V12+逐级计算!$C$22,V12+逐级计算!$C$22-(10/(逐级计算!$Q$22*LN(10))*(MAX((LN(10^(逐级计算!$Q$22/10)-1)+逐级计算!$Q$22*(V12-逐级计算!$P$22)*LN(10)/10),0)+LN(1+EXP(-ABS((LN(10^(逐级计算!$Q$22/10)-1)+逐级计算!$Q$22*(V12-逐级计算!$P$22)*LN(10)/10))))))),"")</f>
        <v>14.9236173480506</v>
      </c>
      <c r="X12">
        <f>IF(AND(ISNUMBER(W12),逐级计算!$X$23&gt;-1),IF(逐级计算!$X$23=0,W12+逐级计算!$C$23,W12+逐级计算!$C$23-(10/(逐级计算!$Q$23*LN(10))*(MAX((LN(10^(逐级计算!$Q$23/10)-1)+逐级计算!$Q$23*(W12-逐级计算!$P$23)*LN(10)/10),0)+LN(1+EXP(-ABS((LN(10^(逐级计算!$Q$23/10)-1)+逐级计算!$Q$23*(W12-逐级计算!$P$23)*LN(10)/10))))))),"")</f>
        <v>14.9236173480506</v>
      </c>
      <c r="Y12">
        <f>IF(AND(ISNUMBER(X12),逐级计算!$X$24&gt;-1),IF(逐级计算!$X$24=0,X12+逐级计算!$C$24,X12+逐级计算!$C$24-(10/(逐级计算!$Q$24*LN(10))*(MAX((LN(10^(逐级计算!$Q$24/10)-1)+逐级计算!$Q$24*(X12-逐级计算!$P$24)*LN(10)/10),0)+LN(1+EXP(-ABS((LN(10^(逐级计算!$Q$24/10)-1)+逐级计算!$Q$24*(X12-逐级计算!$P$24)*LN(10)/10))))))),"")</f>
        <v>14.9236173480506</v>
      </c>
      <c r="Z12">
        <f>IF(AND(ISNUMBER(Y12),逐级计算!$X$25&gt;-1),IF(逐级计算!$X$25=0,Y12+逐级计算!$C$25,Y12+逐级计算!$C$25-(10/(逐级计算!$Q$25*LN(10))*(MAX((LN(10^(逐级计算!$Q$25/10)-1)+逐级计算!$Q$25*(Y12-逐级计算!$P$25)*LN(10)/10),0)+LN(1+EXP(-ABS((LN(10^(逐级计算!$Q$25/10)-1)+逐级计算!$Q$25*(Y12-逐级计算!$P$25)*LN(10)/10))))))),"")</f>
        <v>14.9236173480506</v>
      </c>
      <c r="AA12">
        <f>IF(AND(ISNUMBER(Z12),逐级计算!$X$26&gt;-1),IF(逐级计算!$X$26=0,Z12+逐级计算!$C$26,Z12+逐级计算!$C$26-(10/(逐级计算!$Q$26*LN(10))*(MAX((LN(10^(逐级计算!$Q$26/10)-1)+逐级计算!$Q$26*(Z12-逐级计算!$P$26)*LN(10)/10),0)+LN(1+EXP(-ABS((LN(10^(逐级计算!$Q$26/10)-1)+逐级计算!$Q$26*(Z12-逐级计算!$P$26)*LN(10)/10))))))),"")</f>
        <v>14.9236173480506</v>
      </c>
      <c r="AB12">
        <f>IF(AND(ISNUMBER(AA12),逐级计算!$X$27&gt;-1),IF(逐级计算!$X$27=0,AA12+逐级计算!$C$27,AA12+逐级计算!$C$27-(10/(逐级计算!$Q$27*LN(10))*(MAX((LN(10^(逐级计算!$Q$27/10)-1)+逐级计算!$Q$27*(AA12-逐级计算!$P$27)*LN(10)/10),0)+LN(1+EXP(-ABS((LN(10^(逐级计算!$Q$27/10)-1)+逐级计算!$Q$27*(AA12-逐级计算!$P$27)*LN(10)/10))))))),"")</f>
        <v>14.9236173480506</v>
      </c>
      <c r="AC12">
        <f>IF(AND(ISNUMBER(AB12),逐级计算!$X$28&gt;-1),IF(逐级计算!$X$28=0,AB12+逐级计算!$C$28,AB12+逐级计算!$C$28-(10/(逐级计算!$Q$28*LN(10))*(MAX((LN(10^(逐级计算!$Q$28/10)-1)+逐级计算!$Q$28*(AB12-逐级计算!$P$28)*LN(10)/10),0)+LN(1+EXP(-ABS((LN(10^(逐级计算!$Q$28/10)-1)+逐级计算!$Q$28*(AB12-逐级计算!$P$28)*LN(10)/10))))))),"")</f>
        <v>14.9236173480506</v>
      </c>
      <c r="AD12">
        <f>IF(AND(ISNUMBER(AC12),逐级计算!$X$29&gt;-1),IF(逐级计算!$X$29=0,AC12+逐级计算!$C$29,AC12+逐级计算!$C$29-(10/(逐级计算!$Q$29*LN(10))*(MAX((LN(10^(逐级计算!$Q$29/10)-1)+逐级计算!$Q$29*(AC12-逐级计算!$P$29)*LN(10)/10),0)+LN(1+EXP(-ABS((LN(10^(逐级计算!$Q$29/10)-1)+逐级计算!$Q$29*(AC12-逐级计算!$P$29)*LN(10)/10))))))),"")</f>
        <v>14.9236173480506</v>
      </c>
      <c r="AE12">
        <f>IF(AND(ISNUMBER(AD12),逐级计算!$X$30&gt;-1),IF(逐级计算!$X$30=0,AD12+逐级计算!$C$30,AD12+逐级计算!$C$30-(10/(逐级计算!$Q$30*LN(10))*(MAX((LN(10^(逐级计算!$Q$30/10)-1)+逐级计算!$Q$30*(AD12-逐级计算!$P$30)*LN(10)/10),0)+LN(1+EXP(-ABS((LN(10^(逐级计算!$Q$30/10)-1)+逐级计算!$Q$30*(AD12-逐级计算!$P$30)*LN(10)/10))))))),"")</f>
        <v>14.9236173480506</v>
      </c>
      <c r="AF12">
        <f>IF(AND(ISNUMBER(AE12),逐级计算!$X$31&gt;-1),IF(逐级计算!$X$31=0,AE12+逐级计算!$C$31,AE12+逐级计算!$C$31-(10/(逐级计算!$Q$31*LN(10))*(MAX((LN(10^(逐级计算!$Q$31/10)-1)+逐级计算!$Q$31*(AE12-逐级计算!$P$31)*LN(10)/10),0)+LN(1+EXP(-ABS((LN(10^(逐级计算!$Q$31/10)-1)+逐级计算!$Q$31*(AE12-逐级计算!$P$31)*LN(10)/10))))))),"")</f>
        <v>14.9236173480506</v>
      </c>
      <c r="AG12">
        <f>IF(AND(ISNUMBER(AF12),逐级计算!$X$32&gt;-1),IF(逐级计算!$X$32=0,AF12+逐级计算!$C$32,AF12+逐级计算!$C$32-(10/(逐级计算!$Q$32*LN(10))*(MAX((LN(10^(逐级计算!$Q$32/10)-1)+逐级计算!$Q$32*(AF12-逐级计算!$P$32)*LN(10)/10),0)+LN(1+EXP(-ABS((LN(10^(逐级计算!$Q$32/10)-1)+逐级计算!$Q$32*(AF12-逐级计算!$P$32)*LN(10)/10))))))),"")</f>
        <v>14.9236173480506</v>
      </c>
      <c r="AH12">
        <f>IF(AND(ISNUMBER(AG12),逐级计算!$X$33&gt;-1),IF(逐级计算!$X$33=0,AG12+逐级计算!$C$33,AG12+逐级计算!$C$33-(10/(逐级计算!$Q$33*LN(10))*(MAX((LN(10^(逐级计算!$Q$33/10)-1)+逐级计算!$Q$33*(AG12-逐级计算!$P$33)*LN(10)/10),0)+LN(1+EXP(-ABS((LN(10^(逐级计算!$Q$33/10)-1)+逐级计算!$Q$33*(AG12-逐级计算!$P$33)*LN(10)/10))))))),"")</f>
        <v>14.9236173480506</v>
      </c>
      <c r="AI12">
        <f>IF(AND(ISNUMBER(AH12),逐级计算!$X$34&gt;-1),IF(逐级计算!$X$34=0,AH12+逐级计算!$C$34,AH12+逐级计算!$C$34-(10/(逐级计算!$Q$34*LN(10))*(MAX((LN(10^(逐级计算!$Q$34/10)-1)+逐级计算!$Q$34*(AH12-逐级计算!$P$34)*LN(10)/10),0)+LN(1+EXP(-ABS((LN(10^(逐级计算!$Q$34/10)-1)+逐级计算!$Q$34*(AH12-逐级计算!$P$34)*LN(10)/10))))))),"")</f>
        <v>14.9236173480506</v>
      </c>
      <c r="AJ12">
        <f>IF(AND(ISNUMBER(AI12),逐级计算!$X$35&gt;-1),IF(逐级计算!$X$35=0,AI12+逐级计算!$C$35,AI12+逐级计算!$C$35-(10/(逐级计算!$Q$35*LN(10))*(MAX((LN(10^(逐级计算!$Q$35/10)-1)+逐级计算!$Q$35*(AI12-逐级计算!$P$35)*LN(10)/10),0)+LN(1+EXP(-ABS((LN(10^(逐级计算!$Q$35/10)-1)+逐级计算!$Q$35*(AI12-逐级计算!$P$35)*LN(10)/10))))))),"")</f>
        <v>14.9236173480506</v>
      </c>
      <c r="AK12">
        <f>IF(AND(ISNUMBER(AJ12),逐级计算!$X$36&gt;-1),IF(逐级计算!$X$36=0,AJ12+逐级计算!$C$36,AJ12+逐级计算!$C$36-(10/(逐级计算!$Q$36*LN(10))*(MAX((LN(10^(逐级计算!$Q$36/10)-1)+逐级计算!$Q$36*(AJ12-逐级计算!$P$36)*LN(10)/10),0)+LN(1+EXP(-ABS((LN(10^(逐级计算!$Q$36/10)-1)+逐级计算!$Q$36*(AJ12-逐级计算!$P$36)*LN(10)/10))))))),"")</f>
        <v>14.9236173480506</v>
      </c>
      <c r="AL12">
        <f>IF(AND(ISNUMBER(AK12),逐级计算!$X$37&gt;-1),IF(逐级计算!$X$37=0,AK12+逐级计算!$C$37,AK12+逐级计算!$C$37-(10/(逐级计算!$Q$37*LN(10))*(MAX((LN(10^(逐级计算!$Q$37/10)-1)+逐级计算!$Q$37*(AK12-逐级计算!$P$37)*LN(10)/10),0)+LN(1+EXP(-ABS((LN(10^(逐级计算!$Q$37/10)-1)+逐级计算!$Q$37*(AK12-逐级计算!$P$37)*LN(10)/10))))))),"")</f>
        <v>14.9236173480506</v>
      </c>
      <c r="AM12">
        <f>IF(AND(ISNUMBER(AL12),逐级计算!$X$38&gt;-1),IF(逐级计算!$X$38=0,AL12+逐级计算!$C$38,AL12+逐级计算!$C$38-(10/(逐级计算!$Q$38*LN(10))*(MAX((LN(10^(逐级计算!$Q$38/10)-1)+逐级计算!$Q$38*(AL12-逐级计算!$P$38)*LN(10)/10),0)+LN(1+EXP(-ABS((LN(10^(逐级计算!$Q$38/10)-1)+逐级计算!$Q$38*(AL12-逐级计算!$P$38)*LN(10)/10))))))),"")</f>
        <v>14.9236173480506</v>
      </c>
      <c r="AN12">
        <f>IF(AND(ISNUMBER(AM12),逐级计算!$X$39&gt;-1),IF(逐级计算!$X$39=0,AM12+逐级计算!$C$39,AM12+逐级计算!$C$39-(10/(逐级计算!$Q$39*LN(10))*(MAX((LN(10^(逐级计算!$Q$39/10)-1)+逐级计算!$Q$39*(AM12-逐级计算!$P$39)*LN(10)/10),0)+LN(1+EXP(-ABS((LN(10^(逐级计算!$Q$39/10)-1)+逐级计算!$Q$39*(AM12-逐级计算!$P$39)*LN(10)/10))))))),"")</f>
        <v>14.9236173480506</v>
      </c>
      <c r="AO12">
        <f>IF(AND(ISNUMBER(AN12),逐级计算!$X$40&gt;-1),IF(逐级计算!$X$40=0,AN12+逐级计算!$C$40,AN12+逐级计算!$C$40-(10/(逐级计算!$Q$40*LN(10))*(MAX((LN(10^(逐级计算!$Q$40/10)-1)+逐级计算!$Q$40*(AN12-逐级计算!$P$40)*LN(10)/10),0)+LN(1+EXP(-ABS((LN(10^(逐级计算!$Q$40/10)-1)+逐级计算!$Q$40*(AN12-逐级计算!$P$40)*LN(10)/10))))))),"")</f>
        <v>14.9236173480506</v>
      </c>
      <c r="AP12">
        <f>IF(AND(ISNUMBER(AO12),逐级计算!$X$41&gt;-1),IF(逐级计算!$X$41=0,AO12+逐级计算!$C$41,AO12+逐级计算!$C$41-(10/(逐级计算!$Q$41*LN(10))*(MAX((LN(10^(逐级计算!$Q$41/10)-1)+逐级计算!$Q$41*(AO12-逐级计算!$P$41)*LN(10)/10),0)+LN(1+EXP(-ABS((LN(10^(逐级计算!$Q$41/10)-1)+逐级计算!$Q$41*(AO12-逐级计算!$P$41)*LN(10)/10))))))),"")</f>
        <v>14.9236173480506</v>
      </c>
      <c r="AQ12">
        <f>IF(AND(ISNUMBER(AP12),逐级计算!$X$42&gt;-1),IF(逐级计算!$X$42=0,AP12+逐级计算!$C$42,AP12+逐级计算!$C$42-(10/(逐级计算!$Q$42*LN(10))*(MAX((LN(10^(逐级计算!$Q$42/10)-1)+逐级计算!$Q$42*(AP12-逐级计算!$P$42)*LN(10)/10),0)+LN(1+EXP(-ABS((LN(10^(逐级计算!$Q$42/10)-1)+逐级计算!$Q$42*(AP12-逐级计算!$P$42)*LN(10)/10))))))),"")</f>
        <v>14.9236173480506</v>
      </c>
      <c r="AR12">
        <f>IF(AND(ISNUMBER(AQ12),逐级计算!$X$43&gt;-1),IF(逐级计算!$X$43=0,AQ12+逐级计算!$C$43,AQ12+逐级计算!$C$43-(10/(逐级计算!$Q$43*LN(10))*(MAX((LN(10^(逐级计算!$Q$43/10)-1)+逐级计算!$Q$43*(AQ12-逐级计算!$P$43)*LN(10)/10),0)+LN(1+EXP(-ABS((LN(10^(逐级计算!$Q$43/10)-1)+逐级计算!$Q$43*(AQ12-逐级计算!$P$43)*LN(10)/10))))))),"")</f>
        <v>14.9236173480506</v>
      </c>
      <c r="AS12">
        <f>IF(AND(ISNUMBER(AR12),逐级计算!$X$44&gt;-1),IF(逐级计算!$X$44=0,AR12+逐级计算!$C$44,AR12+逐级计算!$C$44-(10/(逐级计算!$Q$44*LN(10))*(MAX((LN(10^(逐级计算!$Q$44/10)-1)+逐级计算!$Q$44*(AR12-逐级计算!$P$44)*LN(10)/10),0)+LN(1+EXP(-ABS((LN(10^(逐级计算!$Q$44/10)-1)+逐级计算!$Q$44*(AR12-逐级计算!$P$44)*LN(10)/10))))))),"")</f>
        <v>14.9236173480506</v>
      </c>
      <c r="AT12">
        <f>IF(AND(ISNUMBER(AS12),逐级计算!$X$45&gt;-1),IF(逐级计算!$X$45=0,AS12+逐级计算!$C$45,AS12+逐级计算!$C$45-(10/(逐级计算!$Q$45*LN(10))*(MAX((LN(10^(逐级计算!$Q$45/10)-1)+逐级计算!$Q$45*(AS12-逐级计算!$P$45)*LN(10)/10),0)+LN(1+EXP(-ABS((LN(10^(逐级计算!$Q$45/10)-1)+逐级计算!$Q$45*(AS12-逐级计算!$P$45)*LN(10)/10))))))),"")</f>
        <v>14.9236173480506</v>
      </c>
      <c r="AU12">
        <f>IF(AND(ISNUMBER(AT12),逐级计算!$X$46&gt;-1),IF(逐级计算!$X$46=0,AT12+逐级计算!$C$46,AT12+逐级计算!$C$46-(10/(逐级计算!$Q$46*LN(10))*(MAX((LN(10^(逐级计算!$Q$46/10)-1)+逐级计算!$Q$46*(AT12-逐级计算!$P$46)*LN(10)/10),0)+LN(1+EXP(-ABS((LN(10^(逐级计算!$Q$46/10)-1)+逐级计算!$Q$46*(AT12-逐级计算!$P$46)*LN(10)/10))))))),"")</f>
        <v>14.9236173480506</v>
      </c>
      <c r="AV12">
        <f>IF(AND(ISNUMBER(AU12),逐级计算!$X$47&gt;-1),IF(逐级计算!$X$47=0,AU12+逐级计算!$C$47,AU12+逐级计算!$C$47-(10/(逐级计算!$Q$47*LN(10))*(MAX((LN(10^(逐级计算!$Q$47/10)-1)+逐级计算!$Q$47*(AU12-逐级计算!$P$47)*LN(10)/10),0)+LN(1+EXP(-ABS((LN(10^(逐级计算!$Q$47/10)-1)+逐级计算!$Q$47*(AU12-逐级计算!$P$47)*LN(10)/10))))))),"")</f>
        <v>14.9236173480506</v>
      </c>
      <c r="AW12">
        <f>IF(AND(ISNUMBER(AV12),逐级计算!$X$48&gt;-1),IF(逐级计算!$X$48=0,AV12+逐级计算!$C$48,AV12+逐级计算!$C$48-(10/(逐级计算!$Q$48*LN(10))*(MAX((LN(10^(逐级计算!$Q$48/10)-1)+逐级计算!$Q$48*(AV12-逐级计算!$P$48)*LN(10)/10),0)+LN(1+EXP(-ABS((LN(10^(逐级计算!$Q$48/10)-1)+逐级计算!$Q$48*(AV12-逐级计算!$P$48)*LN(10)/10))))))),"")</f>
        <v>14.9236173480506</v>
      </c>
      <c r="AX12">
        <f>IF(AND(ISNUMBER(AW12),逐级计算!$X$49&gt;-1),IF(逐级计算!$X$49=0,AW12+逐级计算!$C$49,AW12+逐级计算!$C$49-(10/(逐级计算!$Q$49*LN(10))*(MAX((LN(10^(逐级计算!$Q$49/10)-1)+逐级计算!$Q$49*(AW12-逐级计算!$P$49)*LN(10)/10),0)+LN(1+EXP(-ABS((LN(10^(逐级计算!$Q$49/10)-1)+逐级计算!$Q$49*(AW12-逐级计算!$P$49)*LN(10)/10))))))),"")</f>
        <v>14.9236173480506</v>
      </c>
      <c r="AY12">
        <f>IF(AND(ISNUMBER(AX12),逐级计算!$X$50&gt;-1),IF(逐级计算!$X$50=0,AX12+逐级计算!$C$50,AX12+逐级计算!$C$50-(10/(逐级计算!$Q$50*LN(10))*(MAX((LN(10^(逐级计算!$Q$50/10)-1)+逐级计算!$Q$50*(AX12-逐级计算!$P$50)*LN(10)/10),0)+LN(1+EXP(-ABS((LN(10^(逐级计算!$Q$50/10)-1)+逐级计算!$Q$50*(AX12-逐级计算!$P$50)*LN(10)/10))))))),"")</f>
        <v>14.9236173480506</v>
      </c>
      <c r="AZ12">
        <f>IF(AND(ISNUMBER(AY12),逐级计算!$X$51&gt;-1),IF(逐级计算!$X$51=0,AY12+逐级计算!$C$51,AY12+逐级计算!$C$51-(10/(逐级计算!$Q$51*LN(10))*(MAX((LN(10^(逐级计算!$Q$51/10)-1)+逐级计算!$Q$51*(AY12-逐级计算!$P$51)*LN(10)/10),0)+LN(1+EXP(-ABS((LN(10^(逐级计算!$Q$51/10)-1)+逐级计算!$Q$51*(AY12-逐级计算!$P$51)*LN(10)/10))))))),"")</f>
        <v>14.9236173480506</v>
      </c>
      <c r="BA12">
        <f>IF(AND(ISNUMBER(AZ12),逐级计算!$X$52&gt;-1),IF(逐级计算!$X$52=0,AZ12+逐级计算!$C$52,AZ12+逐级计算!$C$52-(10/(逐级计算!$Q$52*LN(10))*(MAX((LN(10^(逐级计算!$Q$52/10)-1)+逐级计算!$Q$52*(AZ12-逐级计算!$P$52)*LN(10)/10),0)+LN(1+EXP(-ABS((LN(10^(逐级计算!$Q$52/10)-1)+逐级计算!$Q$52*(AZ12-逐级计算!$P$52)*LN(10)/10))))))),"")</f>
        <v>14.9236173480506</v>
      </c>
      <c r="BB12">
        <f>IF(AND(ISNUMBER(BA12),逐级计算!$X$53&gt;-1),IF(逐级计算!$X$53=0,BA12+逐级计算!$C$53,BA12+逐级计算!$C$53-(10/(逐级计算!$Q$53*LN(10))*(MAX((LN(10^(逐级计算!$Q$53/10)-1)+逐级计算!$Q$53*(BA12-逐级计算!$P$53)*LN(10)/10),0)+LN(1+EXP(-ABS((LN(10^(逐级计算!$Q$53/10)-1)+逐级计算!$Q$53*(BA12-逐级计算!$P$53)*LN(10)/10))))))),"")</f>
        <v>14.9236173480506</v>
      </c>
      <c r="BC12">
        <f>IF(AND(ISNUMBER(BB12),逐级计算!$X$54&gt;-1),IF(逐级计算!$X$54=0,BB12+逐级计算!$C$54,BB12+逐级计算!$C$54-(10/(逐级计算!$Q$54*LN(10))*(MAX((LN(10^(逐级计算!$Q$54/10)-1)+逐级计算!$Q$54*(BB12-逐级计算!$P$54)*LN(10)/10),0)+LN(1+EXP(-ABS((LN(10^(逐级计算!$Q$54/10)-1)+逐级计算!$Q$54*(BB12-逐级计算!$P$54)*LN(10)/10))))))),"")</f>
        <v>14.9236173480506</v>
      </c>
      <c r="BD12">
        <f>IF(AND(ISNUMBER(BC12),逐级计算!$X$55&gt;-1),IF(逐级计算!$X$55=0,BC12+逐级计算!$C$55,BC12+逐级计算!$C$55-(10/(逐级计算!$Q$55*LN(10))*(MAX((LN(10^(逐级计算!$Q$55/10)-1)+逐级计算!$Q$55*(BC12-逐级计算!$P$55)*LN(10)/10),0)+LN(1+EXP(-ABS((LN(10^(逐级计算!$Q$55/10)-1)+逐级计算!$Q$55*(BC12-逐级计算!$P$55)*LN(10)/10))))))),"")</f>
        <v>14.9236173480506</v>
      </c>
      <c r="BE12">
        <f>IF(AND(ISNUMBER(BD12),逐级计算!$X$56&gt;-1),IF(逐级计算!$X$56=0,BD12+逐级计算!$C$56,BD12+逐级计算!$C$56-(10/(逐级计算!$Q$56*LN(10))*(MAX((LN(10^(逐级计算!$Q$56/10)-1)+逐级计算!$Q$56*(BD12-逐级计算!$P$56)*LN(10)/10),0)+LN(1+EXP(-ABS((LN(10^(逐级计算!$Q$56/10)-1)+逐级计算!$Q$56*(BD12-逐级计算!$P$56)*LN(10)/10))))))),"")</f>
        <v>14.9236173480506</v>
      </c>
      <c r="BF12">
        <f>IF(AND(ISNUMBER(BE12),逐级计算!$X$57&gt;-1),IF(逐级计算!$X$57=0,BE12+逐级计算!$C$57,BE12+逐级计算!$C$57-(10/(逐级计算!$Q$57*LN(10))*(MAX((LN(10^(逐级计算!$Q$57/10)-1)+逐级计算!$Q$57*(BE12-逐级计算!$P$57)*LN(10)/10),0)+LN(1+EXP(-ABS((LN(10^(逐级计算!$Q$57/10)-1)+逐级计算!$Q$57*(BE12-逐级计算!$P$57)*LN(10)/10))))))),"")</f>
        <v>14.9236173480506</v>
      </c>
      <c r="BG12">
        <f>IF(AND(ISNUMBER(BF12),逐级计算!$X$58&gt;-1),IF(逐级计算!$X$58=0,BF12+逐级计算!$C$58,BF12+逐级计算!$C$58-(10/(逐级计算!$Q$58*LN(10))*(MAX((LN(10^(逐级计算!$Q$58/10)-1)+逐级计算!$Q$58*(BF12-逐级计算!$P$58)*LN(10)/10),0)+LN(1+EXP(-ABS((LN(10^(逐级计算!$Q$58/10)-1)+逐级计算!$Q$58*(BF12-逐级计算!$P$58)*LN(10)/10))))))),"")</f>
        <v>14.9236173480506</v>
      </c>
      <c r="BH12">
        <f>IF(AND(ISNUMBER(BG12),逐级计算!$X$59&gt;-1),IF(逐级计算!$X$59=0,BG12+逐级计算!$C$59,BG12+逐级计算!$C$59-(10/(逐级计算!$Q$59*LN(10))*(MAX((LN(10^(逐级计算!$Q$59/10)-1)+逐级计算!$Q$59*(BG12-逐级计算!$P$59)*LN(10)/10),0)+LN(1+EXP(-ABS((LN(10^(逐级计算!$Q$59/10)-1)+逐级计算!$Q$59*(BG12-逐级计算!$P$59)*LN(10)/10))))))),"")</f>
        <v>14.9236173480506</v>
      </c>
      <c r="BI12">
        <f>IF(AND(ISNUMBER(BH12),逐级计算!$X$60&gt;-1),IF(逐级计算!$X$60=0,BH12+逐级计算!$C$60,BH12+逐级计算!$C$60-(10/(逐级计算!$Q$60*LN(10))*(MAX((LN(10^(逐级计算!$Q$60/10)-1)+逐级计算!$Q$60*(BH12-逐级计算!$P$60)*LN(10)/10),0)+LN(1+EXP(-ABS((LN(10^(逐级计算!$Q$60/10)-1)+逐级计算!$Q$60*(BH12-逐级计算!$P$60)*LN(10)/10))))))),"")</f>
        <v>14.9236173480506</v>
      </c>
      <c r="BJ12">
        <f>IF(AND(ISNUMBER(BI12),逐级计算!$X$61&gt;-1),IF(逐级计算!$X$61=0,BI12+逐级计算!$C$61,BI12+逐级计算!$C$61-(10/(逐级计算!$Q$61*LN(10))*(MAX((LN(10^(逐级计算!$Q$61/10)-1)+逐级计算!$Q$61*(BI12-逐级计算!$P$61)*LN(10)/10),0)+LN(1+EXP(-ABS((LN(10^(逐级计算!$Q$61/10)-1)+逐级计算!$Q$61*(BI12-逐级计算!$P$61)*LN(10)/10))))))),"")</f>
        <v>14.9236173480506</v>
      </c>
      <c r="BK12">
        <f>IF(AND(ISNUMBER(BJ12),逐级计算!$X$62&gt;-1),IF(逐级计算!$X$62=0,BJ12+逐级计算!$C$62,BJ12+逐级计算!$C$62-(10/(逐级计算!$Q$62*LN(10))*(MAX((LN(10^(逐级计算!$Q$62/10)-1)+逐级计算!$Q$62*(BJ12-逐级计算!$P$62)*LN(10)/10),0)+LN(1+EXP(-ABS((LN(10^(逐级计算!$Q$62/10)-1)+逐级计算!$Q$62*(BJ12-逐级计算!$P$62)*LN(10)/10))))))),"")</f>
        <v>14.9236173480506</v>
      </c>
      <c r="BL12">
        <f>IF(AND(ISNUMBER(BK12),逐级计算!$X$63&gt;-1),IF(逐级计算!$X$63=0,BK12+逐级计算!$C$63,BK12+逐级计算!$C$63-(10/(逐级计算!$Q$63*LN(10))*(MAX((LN(10^(逐级计算!$Q$63/10)-1)+逐级计算!$Q$63*(BK12-逐级计算!$P$63)*LN(10)/10),0)+LN(1+EXP(-ABS((LN(10^(逐级计算!$Q$63/10)-1)+逐级计算!$Q$63*(BK12-逐级计算!$P$63)*LN(10)/10))))))),"")</f>
        <v>14.9236173480506</v>
      </c>
      <c r="BM12">
        <f>IF(AND(ISNUMBER(BL12),逐级计算!$X$64&gt;-1),IF(逐级计算!$X$64=0,BL12+逐级计算!$C$64,BL12+逐级计算!$C$64-(10/(逐级计算!$Q$64*LN(10))*(MAX((LN(10^(逐级计算!$Q$64/10)-1)+逐级计算!$Q$64*(BL12-逐级计算!$P$64)*LN(10)/10),0)+LN(1+EXP(-ABS((LN(10^(逐级计算!$Q$64/10)-1)+逐级计算!$Q$64*(BL12-逐级计算!$P$64)*LN(10)/10))))))),"")</f>
        <v>14.9236173480506</v>
      </c>
      <c r="BN12">
        <f>IF(AND(ISNUMBER(BM12),逐级计算!$X$65&gt;-1),IF(逐级计算!$X$65=0,BM12+逐级计算!$C$65,BM12+逐级计算!$C$65-(10/(逐级计算!$Q$65*LN(10))*(MAX((LN(10^(逐级计算!$Q$65/10)-1)+逐级计算!$Q$65*(BM12-逐级计算!$P$65)*LN(10)/10),0)+LN(1+EXP(-ABS((LN(10^(逐级计算!$Q$65/10)-1)+逐级计算!$Q$65*(BM12-逐级计算!$P$65)*LN(10)/10))))))),"")</f>
        <v>14.9236173480506</v>
      </c>
      <c r="BO12">
        <f>IF(AND(ISNUMBER(BN12),逐级计算!$X$66&gt;-1),IF(逐级计算!$X$66=0,BN12+逐级计算!$C$66,BN12+逐级计算!$C$66-(10/(逐级计算!$Q$66*LN(10))*(MAX((LN(10^(逐级计算!$Q$66/10)-1)+逐级计算!$Q$66*(BN12-逐级计算!$P$66)*LN(10)/10),0)+LN(1+EXP(-ABS((LN(10^(逐级计算!$Q$66/10)-1)+逐级计算!$Q$66*(BN12-逐级计算!$P$66)*LN(10)/10))))))),"")</f>
        <v>14.9236173480506</v>
      </c>
      <c r="BP12">
        <f>IF(AND(ISNUMBER(BO12),逐级计算!$X$67&gt;-1),IF(逐级计算!$X$67=0,BO12+逐级计算!$C$67,BO12+逐级计算!$C$67-(10/(逐级计算!$Q$67*LN(10))*(MAX((LN(10^(逐级计算!$Q$67/10)-1)+逐级计算!$Q$67*(BO12-逐级计算!$P$67)*LN(10)/10),0)+LN(1+EXP(-ABS((LN(10^(逐级计算!$Q$67/10)-1)+逐级计算!$Q$67*(BO12-逐级计算!$P$67)*LN(10)/10))))))),"")</f>
        <v>14.9236173480506</v>
      </c>
      <c r="BQ12">
        <f>IF(AND(ISNUMBER(BP12),逐级计算!$X$68&gt;-1),IF(逐级计算!$X$68=0,BP12+逐级计算!$C$68,BP12+逐级计算!$C$68-(10/(逐级计算!$Q$68*LN(10))*(MAX((LN(10^(逐级计算!$Q$68/10)-1)+逐级计算!$Q$68*(BP12-逐级计算!$P$68)*LN(10)/10),0)+LN(1+EXP(-ABS((LN(10^(逐级计算!$Q$68/10)-1)+逐级计算!$Q$68*(BP12-逐级计算!$P$68)*LN(10)/10))))))),"")</f>
        <v>14.9236173480506</v>
      </c>
      <c r="BR12">
        <f>IF(AND(ISNUMBER(BQ12),逐级计算!$X$69&gt;-1),IF(逐级计算!$X$69=0,BQ12+逐级计算!$C$69,BQ12+逐级计算!$C$69-(10/(逐级计算!$Q$69*LN(10))*(MAX((LN(10^(逐级计算!$Q$69/10)-1)+逐级计算!$Q$69*(BQ12-逐级计算!$P$69)*LN(10)/10),0)+LN(1+EXP(-ABS((LN(10^(逐级计算!$Q$69/10)-1)+逐级计算!$Q$69*(BQ12-逐级计算!$P$69)*LN(10)/10))))))),"")</f>
        <v>14.9236173480506</v>
      </c>
      <c r="BS12">
        <f>IF(AND(ISNUMBER(BR12),逐级计算!$X$70&gt;-1),IF(逐级计算!$X$70=0,BR12+逐级计算!$C$70,BR12+逐级计算!$C$70-(10/(逐级计算!$Q$70*LN(10))*(MAX((LN(10^(逐级计算!$Q$70/10)-1)+逐级计算!$Q$70*(BR12-逐级计算!$P$70)*LN(10)/10),0)+LN(1+EXP(-ABS((LN(10^(逐级计算!$Q$70/10)-1)+逐级计算!$Q$70*(BR12-逐级计算!$P$70)*LN(10)/10))))))),"")</f>
        <v>14.9236173480506</v>
      </c>
      <c r="BT12">
        <f>IF(AND(ISNUMBER(BS12),逐级计算!$X$71&gt;-1),IF(逐级计算!$X$71=0,BS12+逐级计算!$C$71,BS12+逐级计算!$C$71-(10/(逐级计算!$Q$71*LN(10))*(MAX((LN(10^(逐级计算!$Q$71/10)-1)+逐级计算!$Q$71*(BS12-逐级计算!$P$71)*LN(10)/10),0)+LN(1+EXP(-ABS((LN(10^(逐级计算!$Q$71/10)-1)+逐级计算!$Q$71*(BS12-逐级计算!$P$71)*LN(10)/10))))))),"")</f>
        <v>14.9236173480506</v>
      </c>
      <c r="BU12">
        <f>IF(AND(ISNUMBER(BT12),逐级计算!$X$72&gt;-1),IF(逐级计算!$X$72=0,BT12+逐级计算!$C$72,BT12+逐级计算!$C$72-(10/(逐级计算!$Q$72*LN(10))*(MAX((LN(10^(逐级计算!$Q$72/10)-1)+逐级计算!$Q$72*(BT12-逐级计算!$P$72)*LN(10)/10),0)+LN(1+EXP(-ABS((LN(10^(逐级计算!$Q$72/10)-1)+逐级计算!$Q$72*(BT12-逐级计算!$P$72)*LN(10)/10))))))),"")</f>
        <v>14.9236173480506</v>
      </c>
      <c r="BV12">
        <f>IF(AND(ISNUMBER(BU12),逐级计算!$X$73&gt;-1),IF(逐级计算!$X$73=0,BU12+逐级计算!$C$73,BU12+逐级计算!$C$73-(10/(逐级计算!$Q$73*LN(10))*(MAX((LN(10^(逐级计算!$Q$73/10)-1)+逐级计算!$Q$73*(BU12-逐级计算!$P$73)*LN(10)/10),0)+LN(1+EXP(-ABS((LN(10^(逐级计算!$Q$73/10)-1)+逐级计算!$Q$73*(BU12-逐级计算!$P$73)*LN(10)/10))))))),"")</f>
        <v>14.9236173480506</v>
      </c>
      <c r="BW12">
        <f>IF(AND(ISNUMBER(BV12),逐级计算!$X$74&gt;-1),IF(逐级计算!$X$74=0,BV12+逐级计算!$C$74,BV12+逐级计算!$C$74-(10/(逐级计算!$Q$74*LN(10))*(MAX((LN(10^(逐级计算!$Q$74/10)-1)+逐级计算!$Q$74*(BV12-逐级计算!$P$74)*LN(10)/10),0)+LN(1+EXP(-ABS((LN(10^(逐级计算!$Q$74/10)-1)+逐级计算!$Q$74*(BV12-逐级计算!$P$74)*LN(10)/10))))))),"")</f>
        <v>14.9236173480506</v>
      </c>
      <c r="BX12">
        <f>IF(AND(ISNUMBER(BW12),逐级计算!$X$75&gt;-1),IF(逐级计算!$X$75=0,BW12+逐级计算!$C$75,BW12+逐级计算!$C$75-(10/(逐级计算!$Q$75*LN(10))*(MAX((LN(10^(逐级计算!$Q$75/10)-1)+逐级计算!$Q$75*(BW12-逐级计算!$P$75)*LN(10)/10),0)+LN(1+EXP(-ABS((LN(10^(逐级计算!$Q$75/10)-1)+逐级计算!$Q$75*(BW12-逐级计算!$P$75)*LN(10)/10))))))),"")</f>
        <v>14.9236173480506</v>
      </c>
      <c r="BY12">
        <f>IF(AND(ISNUMBER(BX12),逐级计算!$X$76&gt;-1),IF(逐级计算!$X$76=0,BX12+逐级计算!$C$76,BX12+逐级计算!$C$76-(10/(逐级计算!$Q$76*LN(10))*(MAX((LN(10^(逐级计算!$Q$76/10)-1)+逐级计算!$Q$76*(BX12-逐级计算!$P$76)*LN(10)/10),0)+LN(1+EXP(-ABS((LN(10^(逐级计算!$Q$76/10)-1)+逐级计算!$Q$76*(BX12-逐级计算!$P$76)*LN(10)/10))))))),"")</f>
        <v>14.9236173480506</v>
      </c>
      <c r="BZ12">
        <f>IF(AND(ISNUMBER(BY12),逐级计算!$X$77&gt;-1),IF(逐级计算!$X$77=0,BY12+逐级计算!$C$77,BY12+逐级计算!$C$77-(10/(逐级计算!$Q$77*LN(10))*(MAX((LN(10^(逐级计算!$Q$77/10)-1)+逐级计算!$Q$77*(BY12-逐级计算!$P$77)*LN(10)/10),0)+LN(1+EXP(-ABS((LN(10^(逐级计算!$Q$77/10)-1)+逐级计算!$Q$77*(BY12-逐级计算!$P$77)*LN(10)/10))))))),"")</f>
        <v>14.9236173480506</v>
      </c>
      <c r="CA12">
        <f>IF(AND(ISNUMBER(BZ12),逐级计算!$X$78&gt;-1),IF(逐级计算!$X$78=0,BZ12+逐级计算!$C$78,BZ12+逐级计算!$C$78-(10/(逐级计算!$Q$78*LN(10))*(MAX((LN(10^(逐级计算!$Q$78/10)-1)+逐级计算!$Q$78*(BZ12-逐级计算!$P$78)*LN(10)/10),0)+LN(1+EXP(-ABS((LN(10^(逐级计算!$Q$78/10)-1)+逐级计算!$Q$78*(BZ12-逐级计算!$P$78)*LN(10)/10))))))),"")</f>
        <v>14.9236173480506</v>
      </c>
      <c r="CB12">
        <f>IF(AND(ISNUMBER(CA12),逐级计算!$X$79&gt;-1),IF(逐级计算!$X$79=0,CA12+逐级计算!$C$79,CA12+逐级计算!$C$79-(10/(逐级计算!$Q$79*LN(10))*(MAX((LN(10^(逐级计算!$Q$79/10)-1)+逐级计算!$Q$79*(CA12-逐级计算!$P$79)*LN(10)/10),0)+LN(1+EXP(-ABS((LN(10^(逐级计算!$Q$79/10)-1)+逐级计算!$Q$79*(CA12-逐级计算!$P$79)*LN(10)/10))))))),"")</f>
        <v>14.9236173480506</v>
      </c>
      <c r="CC12">
        <f>IF(AND(ISNUMBER(CB12),逐级计算!$X$80&gt;-1),IF(逐级计算!$X$80=0,CB12+逐级计算!$C$80,CB12+逐级计算!$C$80-(10/(逐级计算!$Q$80*LN(10))*(MAX((LN(10^(逐级计算!$Q$80/10)-1)+逐级计算!$Q$80*(CB12-逐级计算!$P$80)*LN(10)/10),0)+LN(1+EXP(-ABS((LN(10^(逐级计算!$Q$80/10)-1)+逐级计算!$Q$80*(CB12-逐级计算!$P$80)*LN(10)/10))))))),"")</f>
        <v>14.9236173480506</v>
      </c>
      <c r="CD12">
        <f>IF(AND(ISNUMBER(CC12),逐级计算!$X$81&gt;-1),IF(逐级计算!$X$81=0,CC12+逐级计算!$C$81,CC12+逐级计算!$C$81-(10/(逐级计算!$Q$81*LN(10))*(MAX((LN(10^(逐级计算!$Q$81/10)-1)+逐级计算!$Q$81*(CC12-逐级计算!$P$81)*LN(10)/10),0)+LN(1+EXP(-ABS((LN(10^(逐级计算!$Q$81/10)-1)+逐级计算!$Q$81*(CC12-逐级计算!$P$81)*LN(10)/10))))))),"")</f>
        <v>14.9236173480506</v>
      </c>
      <c r="CE12">
        <f>IF(AND(ISNUMBER(CD12),逐级计算!$X$82&gt;-1),IF(逐级计算!$X$82=0,CD12+逐级计算!$C$82,CD12+逐级计算!$C$82-(10/(逐级计算!$Q$82*LN(10))*(MAX((LN(10^(逐级计算!$Q$82/10)-1)+逐级计算!$Q$82*(CD12-逐级计算!$P$82)*LN(10)/10),0)+LN(1+EXP(-ABS((LN(10^(逐级计算!$Q$82/10)-1)+逐级计算!$Q$82*(CD12-逐级计算!$P$82)*LN(10)/10))))))),"")</f>
        <v>14.9236173480506</v>
      </c>
      <c r="CF12">
        <f>IF(AND(ISNUMBER(CE12),逐级计算!$X$83&gt;-1),IF(逐级计算!$X$83=0,CE12+逐级计算!$C$83,CE12+逐级计算!$C$83-(10/(逐级计算!$Q$83*LN(10))*(MAX((LN(10^(逐级计算!$Q$83/10)-1)+逐级计算!$Q$83*(CE12-逐级计算!$P$83)*LN(10)/10),0)+LN(1+EXP(-ABS((LN(10^(逐级计算!$Q$83/10)-1)+逐级计算!$Q$83*(CE12-逐级计算!$P$83)*LN(10)/10))))))),"")</f>
        <v>14.9236173480506</v>
      </c>
      <c r="CG12">
        <f>IF(AND(ISNUMBER(CF12),逐级计算!$X$84&gt;-1),IF(逐级计算!$X$84=0,CF12+逐级计算!$C$84,CF12+逐级计算!$C$84-(10/(逐级计算!$Q$84*LN(10))*(MAX((LN(10^(逐级计算!$Q$84/10)-1)+逐级计算!$Q$84*(CF12-逐级计算!$P$84)*LN(10)/10),0)+LN(1+EXP(-ABS((LN(10^(逐级计算!$Q$84/10)-1)+逐级计算!$Q$84*(CF12-逐级计算!$P$84)*LN(10)/10))))))),"")</f>
        <v>14.9236173480506</v>
      </c>
      <c r="CH12">
        <f>IF(AND(ISNUMBER(CG12),逐级计算!$X$85&gt;-1),IF(逐级计算!$X$85=0,CG12+逐级计算!$C$85,CG12+逐级计算!$C$85-(10/(逐级计算!$Q$85*LN(10))*(MAX((LN(10^(逐级计算!$Q$85/10)-1)+逐级计算!$Q$85*(CG12-逐级计算!$P$85)*LN(10)/10),0)+LN(1+EXP(-ABS((LN(10^(逐级计算!$Q$85/10)-1)+逐级计算!$Q$85*(CG12-逐级计算!$P$85)*LN(10)/10))))))),"")</f>
        <v>14.9236173480506</v>
      </c>
      <c r="CI12">
        <f>IF(AND(ISNUMBER(CH12),逐级计算!$X$86&gt;-1),IF(逐级计算!$X$86=0,CH12+逐级计算!$C$86,CH12+逐级计算!$C$86-(10/(逐级计算!$Q$86*LN(10))*(MAX((LN(10^(逐级计算!$Q$86/10)-1)+逐级计算!$Q$86*(CH12-逐级计算!$P$86)*LN(10)/10),0)+LN(1+EXP(-ABS((LN(10^(逐级计算!$Q$86/10)-1)+逐级计算!$Q$86*(CH12-逐级计算!$P$86)*LN(10)/10))))))),"")</f>
        <v>14.9236173480506</v>
      </c>
      <c r="CJ12">
        <f>IF(AND(ISNUMBER(CI12),逐级计算!$X$87&gt;-1),IF(逐级计算!$X$87=0,CI12+逐级计算!$C$87,CI12+逐级计算!$C$87-(10/(逐级计算!$Q$87*LN(10))*(MAX((LN(10^(逐级计算!$Q$87/10)-1)+逐级计算!$Q$87*(CI12-逐级计算!$P$87)*LN(10)/10),0)+LN(1+EXP(-ABS((LN(10^(逐级计算!$Q$87/10)-1)+逐级计算!$Q$87*(CI12-逐级计算!$P$87)*LN(10)/10))))))),"")</f>
        <v>14.9236173480506</v>
      </c>
      <c r="CK12">
        <f>IF(AND(ISNUMBER(CJ12),逐级计算!$X$88&gt;-1),IF(逐级计算!$X$88=0,CJ12+逐级计算!$C$88,CJ12+逐级计算!$C$88-(10/(逐级计算!$Q$88*LN(10))*(MAX((LN(10^(逐级计算!$Q$88/10)-1)+逐级计算!$Q$88*(CJ12-逐级计算!$P$88)*LN(10)/10),0)+LN(1+EXP(-ABS((LN(10^(逐级计算!$Q$88/10)-1)+逐级计算!$Q$88*(CJ12-逐级计算!$P$88)*LN(10)/10))))))),"")</f>
        <v>14.9236173480506</v>
      </c>
      <c r="CL12">
        <f>IF(AND(ISNUMBER(CK12),逐级计算!$X$89&gt;-1),IF(逐级计算!$X$89=0,CK12+逐级计算!$C$89,CK12+逐级计算!$C$89-(10/(逐级计算!$Q$89*LN(10))*(MAX((LN(10^(逐级计算!$Q$89/10)-1)+逐级计算!$Q$89*(CK12-逐级计算!$P$89)*LN(10)/10),0)+LN(1+EXP(-ABS((LN(10^(逐级计算!$Q$89/10)-1)+逐级计算!$Q$89*(CK12-逐级计算!$P$89)*LN(10)/10))))))),"")</f>
        <v>14.9236173480506</v>
      </c>
      <c r="CM12">
        <f>IF(AND(ISNUMBER(CL12),逐级计算!$X$90&gt;-1),IF(逐级计算!$X$90=0,CL12+逐级计算!$C$90,CL12+逐级计算!$C$90-(10/(逐级计算!$Q$90*LN(10))*(MAX((LN(10^(逐级计算!$Q$90/10)-1)+逐级计算!$Q$90*(CL12-逐级计算!$P$90)*LN(10)/10),0)+LN(1+EXP(-ABS((LN(10^(逐级计算!$Q$90/10)-1)+逐级计算!$Q$90*(CL12-逐级计算!$P$90)*LN(10)/10))))))),"")</f>
        <v>14.9236173480506</v>
      </c>
      <c r="CN12">
        <f>IF(AND(ISNUMBER(CM12),逐级计算!$X$91&gt;-1),IF(逐级计算!$X$91=0,CM12+逐级计算!$C$91,CM12+逐级计算!$C$91-(10/(逐级计算!$Q$91*LN(10))*(MAX((LN(10^(逐级计算!$Q$91/10)-1)+逐级计算!$Q$91*(CM12-逐级计算!$P$91)*LN(10)/10),0)+LN(1+EXP(-ABS((LN(10^(逐级计算!$Q$91/10)-1)+逐级计算!$Q$91*(CM12-逐级计算!$P$91)*LN(10)/10))))))),"")</f>
        <v>14.9236173480506</v>
      </c>
      <c r="CO12">
        <f>IF(AND(ISNUMBER(CN12),逐级计算!$X$92&gt;-1),IF(逐级计算!$X$92=0,CN12+逐级计算!$C$92,CN12+逐级计算!$C$92-(10/(逐级计算!$Q$92*LN(10))*(MAX((LN(10^(逐级计算!$Q$92/10)-1)+逐级计算!$Q$92*(CN12-逐级计算!$P$92)*LN(10)/10),0)+LN(1+EXP(-ABS((LN(10^(逐级计算!$Q$92/10)-1)+逐级计算!$Q$92*(CN12-逐级计算!$P$92)*LN(10)/10))))))),"")</f>
        <v>14.9236173480506</v>
      </c>
      <c r="CP12">
        <f>IF(AND(ISNUMBER(CO12),逐级计算!$X$93&gt;-1),IF(逐级计算!$X$93=0,CO12+逐级计算!$C$93,CO12+逐级计算!$C$93-(10/(逐级计算!$Q$93*LN(10))*(MAX((LN(10^(逐级计算!$Q$93/10)-1)+逐级计算!$Q$93*(CO12-逐级计算!$P$93)*LN(10)/10),0)+LN(1+EXP(-ABS((LN(10^(逐级计算!$Q$93/10)-1)+逐级计算!$Q$93*(CO12-逐级计算!$P$93)*LN(10)/10))))))),"")</f>
        <v>14.9236173480506</v>
      </c>
      <c r="CQ12">
        <f>IF(AND(ISNUMBER(CP12),逐级计算!$X$94&gt;-1),IF(逐级计算!$X$94=0,CP12+逐级计算!$C$94,CP12+逐级计算!$C$94-(10/(逐级计算!$Q$94*LN(10))*(MAX((LN(10^(逐级计算!$Q$94/10)-1)+逐级计算!$Q$94*(CP12-逐级计算!$P$94)*LN(10)/10),0)+LN(1+EXP(-ABS((LN(10^(逐级计算!$Q$94/10)-1)+逐级计算!$Q$94*(CP12-逐级计算!$P$94)*LN(10)/10))))))),"")</f>
        <v>14.9236173480506</v>
      </c>
      <c r="CR12">
        <f>IF(AND(ISNUMBER(CQ12),逐级计算!$X$95&gt;-1),IF(逐级计算!$X$95=0,CQ12+逐级计算!$C$95,CQ12+逐级计算!$C$95-(10/(逐级计算!$Q$95*LN(10))*(MAX((LN(10^(逐级计算!$Q$95/10)-1)+逐级计算!$Q$95*(CQ12-逐级计算!$P$95)*LN(10)/10),0)+LN(1+EXP(-ABS((LN(10^(逐级计算!$Q$95/10)-1)+逐级计算!$Q$95*(CQ12-逐级计算!$P$95)*LN(10)/10))))))),"")</f>
        <v>14.9236173480506</v>
      </c>
      <c r="CS12">
        <f>IF(AND(ISNUMBER(CR12),逐级计算!$X$96&gt;-1),IF(逐级计算!$X$96=0,CR12+逐级计算!$C$96,CR12+逐级计算!$C$96-(10/(逐级计算!$Q$96*LN(10))*(MAX((LN(10^(逐级计算!$Q$96/10)-1)+逐级计算!$Q$96*(CR12-逐级计算!$P$96)*LN(10)/10),0)+LN(1+EXP(-ABS((LN(10^(逐级计算!$Q$96/10)-1)+逐级计算!$Q$96*(CR12-逐级计算!$P$96)*LN(10)/10))))))),"")</f>
        <v>14.9236173480506</v>
      </c>
      <c r="CT12">
        <f>IF(AND(ISNUMBER(CS12),逐级计算!$X$97&gt;-1),IF(逐级计算!$X$97=0,CS12+逐级计算!$C$97,CS12+逐级计算!$C$97-(10/(逐级计算!$Q$97*LN(10))*(MAX((LN(10^(逐级计算!$Q$97/10)-1)+逐级计算!$Q$97*(CS12-逐级计算!$P$97)*LN(10)/10),0)+LN(1+EXP(-ABS((LN(10^(逐级计算!$Q$97/10)-1)+逐级计算!$Q$97*(CS12-逐级计算!$P$97)*LN(10)/10))))))),"")</f>
        <v>14.9236173480506</v>
      </c>
      <c r="CU12">
        <f>IF(AND(ISNUMBER(CT12),逐级计算!$X$98&gt;-1),IF(逐级计算!$X$98=0,CT12+逐级计算!$C$98,CT12+逐级计算!$C$98-(10/(逐级计算!$Q$98*LN(10))*(MAX((LN(10^(逐级计算!$Q$98/10)-1)+逐级计算!$Q$98*(CT12-逐级计算!$P$98)*LN(10)/10),0)+LN(1+EXP(-ABS((LN(10^(逐级计算!$Q$98/10)-1)+逐级计算!$Q$98*(CT12-逐级计算!$P$98)*LN(10)/10))))))),"")</f>
        <v>14.9236173480506</v>
      </c>
      <c r="CV12">
        <f>IF(AND(ISNUMBER(CU12),逐级计算!$X$99&gt;-1),IF(逐级计算!$X$99=0,CU12+逐级计算!$C$99,CU12+逐级计算!$C$99-(10/(逐级计算!$Q$99*LN(10))*(MAX((LN(10^(逐级计算!$Q$99/10)-1)+逐级计算!$Q$99*(CU12-逐级计算!$P$99)*LN(10)/10),0)+LN(1+EXP(-ABS((LN(10^(逐级计算!$Q$99/10)-1)+逐级计算!$Q$99*(CU12-逐级计算!$P$99)*LN(10)/10))))))),"")</f>
        <v>14.9236173480506</v>
      </c>
      <c r="CW12">
        <f>IF(AND(ISNUMBER(CV12),逐级计算!$X$100&gt;-1),IF(逐级计算!$X$100=0,CV12+逐级计算!$C$100,CV12+逐级计算!$C$100-(10/(逐级计算!$Q$100*LN(10))*(MAX((LN(10^(逐级计算!$Q$100/10)-1)+逐级计算!$Q$100*(CV12-逐级计算!$P$100)*LN(10)/10),0)+LN(1+EXP(-ABS((LN(10^(逐级计算!$Q$100/10)-1)+逐级计算!$Q$100*(CV12-逐级计算!$P$100)*LN(10)/10))))))),"")</f>
        <v>14.9236173480506</v>
      </c>
      <c r="CX12">
        <f>IF(AND(ISNUMBER(CW12),逐级计算!$X$101&gt;-1),IF(逐级计算!$X$101=0,CW12+逐级计算!$C$101,CW12+逐级计算!$C$101-(10/(逐级计算!$Q$101*LN(10))*(MAX((LN(10^(逐级计算!$Q$101/10)-1)+逐级计算!$Q$101*(CW12-逐级计算!$P$101)*LN(10)/10),0)+LN(1+EXP(-ABS((LN(10^(逐级计算!$Q$101/10)-1)+逐级计算!$Q$101*(CW12-逐级计算!$P$101)*LN(10)/10))))))),"")</f>
        <v>14.9236173480506</v>
      </c>
      <c r="CY12">
        <f>IF(AND(ISNUMBER(CX12),逐级计算!$X$102&gt;-1),IF(逐级计算!$X$102=0,CX12+逐级计算!$C$102,CX12+逐级计算!$C$102-(10/(逐级计算!$Q$102*LN(10))*(MAX((LN(10^(逐级计算!$Q$102/10)-1)+逐级计算!$Q$102*(CX12-逐级计算!$P$102)*LN(10)/10),0)+LN(1+EXP(-ABS((LN(10^(逐级计算!$Q$102/10)-1)+逐级计算!$Q$102*(CX12-逐级计算!$P$102)*LN(10)/10))))))),"")</f>
        <v>14.9236173480506</v>
      </c>
      <c r="CZ12">
        <f>IF(AND(ISNUMBER(CY12),逐级计算!$X$103&gt;-1),IF(逐级计算!$X$103=0,CY12+逐级计算!$C$103,CY12+逐级计算!$C$103-(10/(逐级计算!$Q$103*LN(10))*(MAX((LN(10^(逐级计算!$Q$103/10)-1)+逐级计算!$Q$103*(CY12-逐级计算!$P$103)*LN(10)/10),0)+LN(1+EXP(-ABS((LN(10^(逐级计算!$Q$103/10)-1)+逐级计算!$Q$103*(CY12-逐级计算!$P$103)*LN(10)/10))))))),"")</f>
        <v>14.9236173480506</v>
      </c>
      <c r="DA12">
        <f>IF(AND(ISNUMBER(CZ12),逐级计算!$X$104&gt;-1),IF(逐级计算!$X$104=0,CZ12+逐级计算!$C$104,CZ12+逐级计算!$C$104-(10/(逐级计算!$Q$104*LN(10))*(MAX((LN(10^(逐级计算!$Q$104/10)-1)+逐级计算!$Q$104*(CZ12-逐级计算!$P$104)*LN(10)/10),0)+LN(1+EXP(-ABS((LN(10^(逐级计算!$Q$104/10)-1)+逐级计算!$Q$104*(CZ12-逐级计算!$P$104)*LN(10)/10))))))),"")</f>
        <v>14.9236173480506</v>
      </c>
      <c r="DB12">
        <f>IF(AND(ISNUMBER(DA12),逐级计算!$X$105&gt;-1),IF(逐级计算!$X$105=0,DA12+逐级计算!$C$105,DA12+逐级计算!$C$105-(10/(逐级计算!$Q$105*LN(10))*(MAX((LN(10^(逐级计算!$Q$105/10)-1)+逐级计算!$Q$105*(DA12-逐级计算!$P$105)*LN(10)/10),0)+LN(1+EXP(-ABS((LN(10^(逐级计算!$Q$105/10)-1)+逐级计算!$Q$105*(DA12-逐级计算!$P$105)*LN(10)/10))))))),"")</f>
        <v>14.9236173480506</v>
      </c>
      <c r="DC12">
        <f>IF(AND(ISNUMBER(DB12),逐级计算!$X$106&gt;-1),IF(逐级计算!$X$106=0,DB12+逐级计算!$C$106,DB12+逐级计算!$C$106-(10/(逐级计算!$Q$106*LN(10))*(MAX((LN(10^(逐级计算!$Q$106/10)-1)+逐级计算!$Q$106*(DB12-逐级计算!$P$106)*LN(10)/10),0)+LN(1+EXP(-ABS((LN(10^(逐级计算!$Q$106/10)-1)+逐级计算!$Q$106*(DB12-逐级计算!$P$106)*LN(10)/10))))))),"")</f>
        <v>14.9236173480506</v>
      </c>
      <c r="DD12">
        <f>IF(AND(ISNUMBER(DC12),逐级计算!$X$107&gt;-1),IF(逐级计算!$X$107=0,DC12+逐级计算!$C$107,DC12+逐级计算!$C$107-(10/(逐级计算!$Q$107*LN(10))*(MAX((LN(10^(逐级计算!$Q$107/10)-1)+逐级计算!$Q$107*(DC12-逐级计算!$P$107)*LN(10)/10),0)+LN(1+EXP(-ABS((LN(10^(逐级计算!$Q$107/10)-1)+逐级计算!$Q$107*(DC12-逐级计算!$P$107)*LN(10)/10))))))),"")</f>
        <v>14.9236173480506</v>
      </c>
      <c r="DE12">
        <f>IF(AND(ISNUMBER(DD12),逐级计算!$X$108&gt;-1),IF(逐级计算!$X$108=0,DD12+逐级计算!$C$108,DD12+逐级计算!$C$108-(10/(逐级计算!$Q$108*LN(10))*(MAX((LN(10^(逐级计算!$Q$108/10)-1)+逐级计算!$Q$108*(DD12-逐级计算!$P$108)*LN(10)/10),0)+LN(1+EXP(-ABS((LN(10^(逐级计算!$Q$108/10)-1)+逐级计算!$Q$108*(DD12-逐级计算!$P$108)*LN(10)/10))))))),"")</f>
        <v>14.9236173480506</v>
      </c>
      <c r="DF12">
        <f>IF(AND(ISNUMBER(DE12),逐级计算!$X$109&gt;-1),IF(逐级计算!$X$109=0,DE12+逐级计算!$C$109,DE12+逐级计算!$C$109-(10/(逐级计算!$Q$109*LN(10))*(MAX((LN(10^(逐级计算!$Q$109/10)-1)+逐级计算!$Q$109*(DE12-逐级计算!$P$109)*LN(10)/10),0)+LN(1+EXP(-ABS((LN(10^(逐级计算!$Q$109/10)-1)+逐级计算!$Q$109*(DE12-逐级计算!$P$109)*LN(10)/10))))))),"")</f>
        <v>14.9236173480506</v>
      </c>
      <c r="DG12">
        <f>IF(AND(ISNUMBER(DF12),逐级计算!$X$110&gt;-1),IF(逐级计算!$X$110=0,DF12+逐级计算!$C$110,DF12+逐级计算!$C$110-(10/(逐级计算!$Q$110*LN(10))*(MAX((LN(10^(逐级计算!$Q$110/10)-1)+逐级计算!$Q$110*(DF12-逐级计算!$P$110)*LN(10)/10),0)+LN(1+EXP(-ABS((LN(10^(逐级计算!$Q$110/10)-1)+逐级计算!$Q$110*(DF12-逐级计算!$P$110)*LN(10)/10))))))),"")</f>
        <v>14.9236173480506</v>
      </c>
      <c r="DH12">
        <f>IF(AND(ISNUMBER(DG12),逐级计算!$X$111&gt;-1),IF(逐级计算!$X$111=0,DG12+逐级计算!$C$111,DG12+逐级计算!$C$111-(10/(逐级计算!$Q$111*LN(10))*(MAX((LN(10^(逐级计算!$Q$111/10)-1)+逐级计算!$Q$111*(DG12-逐级计算!$P$111)*LN(10)/10),0)+LN(1+EXP(-ABS((LN(10^(逐级计算!$Q$111/10)-1)+逐级计算!$Q$111*(DG12-逐级计算!$P$111)*LN(10)/10))))))),"")</f>
        <v>14.9236173480506</v>
      </c>
      <c r="DI12">
        <f>IF(AND(ISNUMBER(DH12),逐级计算!$X$112&gt;-1),IF(逐级计算!$X$112=0,DH12+逐级计算!$C$112,DH12+逐级计算!$C$112-(10/(逐级计算!$Q$112*LN(10))*(MAX((LN(10^(逐级计算!$Q$112/10)-1)+逐级计算!$Q$112*(DH12-逐级计算!$P$112)*LN(10)/10),0)+LN(1+EXP(-ABS((LN(10^(逐级计算!$Q$112/10)-1)+逐级计算!$Q$112*(DH12-逐级计算!$P$112)*LN(10)/10))))))),"")</f>
        <v>14.9236173480506</v>
      </c>
      <c r="DJ12">
        <f>IF(AND(ISNUMBER(DI12),逐级计算!$X$113&gt;-1),IF(逐级计算!$X$113=0,DI12+逐级计算!$C$113,DI12+逐级计算!$C$113-(10/(逐级计算!$Q$113*LN(10))*(MAX((LN(10^(逐级计算!$Q$113/10)-1)+逐级计算!$Q$113*(DI12-逐级计算!$P$113)*LN(10)/10),0)+LN(1+EXP(-ABS((LN(10^(逐级计算!$Q$113/10)-1)+逐级计算!$Q$113*(DI12-逐级计算!$P$113)*LN(10)/10))))))),"")</f>
        <v>14.9236173480506</v>
      </c>
      <c r="DK12">
        <f>IF(AND(ISNUMBER(DJ12),逐级计算!$X$114&gt;-1),IF(逐级计算!$X$114=0,DJ12+逐级计算!$C$114,DJ12+逐级计算!$C$114-(10/(逐级计算!$Q$114*LN(10))*(MAX((LN(10^(逐级计算!$Q$114/10)-1)+逐级计算!$Q$114*(DJ12-逐级计算!$P$114)*LN(10)/10),0)+LN(1+EXP(-ABS((LN(10^(逐级计算!$Q$114/10)-1)+逐级计算!$Q$114*(DJ12-逐级计算!$P$114)*LN(10)/10))))))),"")</f>
        <v>14.9236173480506</v>
      </c>
      <c r="DL12">
        <f>IF(AND(ISNUMBER(DK12),逐级计算!$X$115&gt;-1),IF(逐级计算!$X$115=0,DK12+逐级计算!$C$115,DK12+逐级计算!$C$115-(10/(逐级计算!$Q$115*LN(10))*(MAX((LN(10^(逐级计算!$Q$115/10)-1)+逐级计算!$Q$115*(DK12-逐级计算!$P$115)*LN(10)/10),0)+LN(1+EXP(-ABS((LN(10^(逐级计算!$Q$115/10)-1)+逐级计算!$Q$115*(DK12-逐级计算!$P$115)*LN(10)/10))))))),"")</f>
        <v>14.9236173480506</v>
      </c>
      <c r="DM12">
        <f>IF(AND(ISNUMBER(DL12),逐级计算!$X$116&gt;-1),IF(逐级计算!$X$116=0,DL12+逐级计算!$C$116,DL12+逐级计算!$C$116-(10/(逐级计算!$Q$116*LN(10))*(MAX((LN(10^(逐级计算!$Q$116/10)-1)+逐级计算!$Q$116*(DL12-逐级计算!$P$116)*LN(10)/10),0)+LN(1+EXP(-ABS((LN(10^(逐级计算!$Q$116/10)-1)+逐级计算!$Q$116*(DL12-逐级计算!$P$116)*LN(10)/10))))))),"")</f>
        <v>14.9236173480506</v>
      </c>
      <c r="DN12">
        <f>IF(AND(ISNUMBER(DM12),逐级计算!$X$117&gt;-1),IF(逐级计算!$X$117=0,DM12+逐级计算!$C$117,DM12+逐级计算!$C$117-(10/(逐级计算!$Q$117*LN(10))*(MAX((LN(10^(逐级计算!$Q$117/10)-1)+逐级计算!$Q$117*(DM12-逐级计算!$P$117)*LN(10)/10),0)+LN(1+EXP(-ABS((LN(10^(逐级计算!$Q$117/10)-1)+逐级计算!$Q$117*(DM12-逐级计算!$P$117)*LN(10)/10))))))),"")</f>
        <v>14.9236173480506</v>
      </c>
      <c r="DO12">
        <f>IF(AND(ISNUMBER(DN12),逐级计算!$X$118&gt;-1),IF(逐级计算!$X$118=0,DN12+逐级计算!$C$118,DN12+逐级计算!$C$118-(10/(逐级计算!$Q$118*LN(10))*(MAX((LN(10^(逐级计算!$Q$118/10)-1)+逐级计算!$Q$118*(DN12-逐级计算!$P$118)*LN(10)/10),0)+LN(1+EXP(-ABS((LN(10^(逐级计算!$Q$118/10)-1)+逐级计算!$Q$118*(DN12-逐级计算!$P$118)*LN(10)/10))))))),"")</f>
        <v>14.9236173480506</v>
      </c>
      <c r="DP12">
        <f>IF(AND(ISNUMBER(DO12),逐级计算!$X$119&gt;-1),IF(逐级计算!$X$119=0,DO12+逐级计算!$C$119,DO12+逐级计算!$C$119-(10/(逐级计算!$Q$119*LN(10))*(MAX((LN(10^(逐级计算!$Q$119/10)-1)+逐级计算!$Q$119*(DO12-逐级计算!$P$119)*LN(10)/10),0)+LN(1+EXP(-ABS((LN(10^(逐级计算!$Q$119/10)-1)+逐级计算!$Q$119*(DO12-逐级计算!$P$119)*LN(10)/10))))))),"")</f>
        <v>14.9236173480506</v>
      </c>
      <c r="DQ12">
        <f>IF(AND(ISNUMBER(DP12),逐级计算!$X$120&gt;-1),IF(逐级计算!$X$120=0,DP12+逐级计算!$C$120,DP12+逐级计算!$C$120-(10/(逐级计算!$Q$120*LN(10))*(MAX((LN(10^(逐级计算!$Q$120/10)-1)+逐级计算!$Q$120*(DP12-逐级计算!$P$120)*LN(10)/10),0)+LN(1+EXP(-ABS((LN(10^(逐级计算!$Q$120/10)-1)+逐级计算!$Q$120*(DP12-逐级计算!$P$120)*LN(10)/10))))))),"")</f>
        <v>14.9236173480506</v>
      </c>
      <c r="DR12">
        <f>IF(AND(ISNUMBER(DQ12),逐级计算!$X$121&gt;-1),IF(逐级计算!$X$121=0,DQ12+逐级计算!$C$121,DQ12+逐级计算!$C$121-(10/(逐级计算!$Q$121*LN(10))*(MAX((LN(10^(逐级计算!$Q$121/10)-1)+逐级计算!$Q$121*(DQ12-逐级计算!$P$121)*LN(10)/10),0)+LN(1+EXP(-ABS((LN(10^(逐级计算!$Q$121/10)-1)+逐级计算!$Q$121*(DQ12-逐级计算!$P$121)*LN(10)/10))))))),"")</f>
        <v>14.9236173480506</v>
      </c>
      <c r="DS12">
        <f>IF(AND(ISNUMBER(DR12),逐级计算!$X$122&gt;-1),IF(逐级计算!$X$122=0,DR12+逐级计算!$C$122,DR12+逐级计算!$C$122-(10/(逐级计算!$Q$122*LN(10))*(MAX((LN(10^(逐级计算!$Q$122/10)-1)+逐级计算!$Q$122*(DR12-逐级计算!$P$122)*LN(10)/10),0)+LN(1+EXP(-ABS((LN(10^(逐级计算!$Q$122/10)-1)+逐级计算!$Q$122*(DR12-逐级计算!$P$122)*LN(10)/10))))))),"")</f>
        <v>14.9236173480506</v>
      </c>
      <c r="DT12">
        <f>IF(AND(ISNUMBER(DS12),逐级计算!$X$123&gt;-1),IF(逐级计算!$X$123=0,DS12+逐级计算!$C$123,DS12+逐级计算!$C$123-(10/(逐级计算!$Q$123*LN(10))*(MAX((LN(10^(逐级计算!$Q$123/10)-1)+逐级计算!$Q$123*(DS12-逐级计算!$P$123)*LN(10)/10),0)+LN(1+EXP(-ABS((LN(10^(逐级计算!$Q$123/10)-1)+逐级计算!$Q$123*(DS12-逐级计算!$P$123)*LN(10)/10))))))),"")</f>
        <v>14.9236173480506</v>
      </c>
      <c r="DU12">
        <f>IF(AND(ISNUMBER(DT12),逐级计算!$X$124&gt;-1),IF(逐级计算!$X$124=0,DT12+逐级计算!$C$124,DT12+逐级计算!$C$124-(10/(逐级计算!$Q$124*LN(10))*(MAX((LN(10^(逐级计算!$Q$124/10)-1)+逐级计算!$Q$124*(DT12-逐级计算!$P$124)*LN(10)/10),0)+LN(1+EXP(-ABS((LN(10^(逐级计算!$Q$124/10)-1)+逐级计算!$Q$124*(DT12-逐级计算!$P$124)*LN(10)/10))))))),"")</f>
        <v>14.9236173480506</v>
      </c>
      <c r="DV12">
        <f>IF(AND(ISNUMBER(DU12),逐级计算!$X$125&gt;-1),IF(逐级计算!$X$125=0,DU12+逐级计算!$C$125,DU12+逐级计算!$C$125-(10/(逐级计算!$Q$125*LN(10))*(MAX((LN(10^(逐级计算!$Q$125/10)-1)+逐级计算!$Q$125*(DU12-逐级计算!$P$125)*LN(10)/10),0)+LN(1+EXP(-ABS((LN(10^(逐级计算!$Q$125/10)-1)+逐级计算!$Q$125*(DU12-逐级计算!$P$125)*LN(10)/10))))))),"")</f>
        <v>14.9236173480506</v>
      </c>
      <c r="DW12">
        <f>IF(AND(ISNUMBER(DV12),逐级计算!$X$126&gt;-1),IF(逐级计算!$X$126=0,DV12+逐级计算!$C$126,DV12+逐级计算!$C$126-(10/(逐级计算!$Q$126*LN(10))*(MAX((LN(10^(逐级计算!$Q$126/10)-1)+逐级计算!$Q$126*(DV12-逐级计算!$P$126)*LN(10)/10),0)+LN(1+EXP(-ABS((LN(10^(逐级计算!$Q$126/10)-1)+逐级计算!$Q$126*(DV12-逐级计算!$P$126)*LN(10)/10))))))),"")</f>
        <v>14.9236173480506</v>
      </c>
      <c r="DX12">
        <f>IF(AND(ISNUMBER(DW12),逐级计算!$X$127&gt;-1),IF(逐级计算!$X$127=0,DW12+逐级计算!$C$127,DW12+逐级计算!$C$127-(10/(逐级计算!$Q$127*LN(10))*(MAX((LN(10^(逐级计算!$Q$127/10)-1)+逐级计算!$Q$127*(DW12-逐级计算!$P$127)*LN(10)/10),0)+LN(1+EXP(-ABS((LN(10^(逐级计算!$Q$127/10)-1)+逐级计算!$Q$127*(DW12-逐级计算!$P$127)*LN(10)/10))))))),"")</f>
        <v>14.9236173480506</v>
      </c>
      <c r="DY12">
        <f>IF(AND(ISNUMBER(DX12),逐级计算!$X$128&gt;-1),IF(逐级计算!$X$128=0,DX12+逐级计算!$C$128,DX12+逐级计算!$C$128-(10/(逐级计算!$Q$128*LN(10))*(MAX((LN(10^(逐级计算!$Q$128/10)-1)+逐级计算!$Q$128*(DX12-逐级计算!$P$128)*LN(10)/10),0)+LN(1+EXP(-ABS((LN(10^(逐级计算!$Q$128/10)-1)+逐级计算!$Q$128*(DX12-逐级计算!$P$128)*LN(10)/10))))))),"")</f>
        <v>14.9236173480506</v>
      </c>
      <c r="DZ12">
        <f>IF(AND(ISNUMBER(DY12),逐级计算!$X$129&gt;-1),IF(逐级计算!$X$129=0,DY12+逐级计算!$C$129,DY12+逐级计算!$C$129-(10/(逐级计算!$Q$129*LN(10))*(MAX((LN(10^(逐级计算!$Q$129/10)-1)+逐级计算!$Q$129*(DY12-逐级计算!$P$129)*LN(10)/10),0)+LN(1+EXP(-ABS((LN(10^(逐级计算!$Q$129/10)-1)+逐级计算!$Q$129*(DY12-逐级计算!$P$129)*LN(10)/10))))))),"")</f>
        <v>14.9236173480506</v>
      </c>
      <c r="EA12">
        <f>IF(AND(ISNUMBER(DZ12),逐级计算!$X$130&gt;-1),IF(逐级计算!$X$130=0,DZ12+逐级计算!$C$130,DZ12+逐级计算!$C$130-(10/(逐级计算!$Q$130*LN(10))*(MAX((LN(10^(逐级计算!$Q$130/10)-1)+逐级计算!$Q$130*(DZ12-逐级计算!$P$130)*LN(10)/10),0)+LN(1+EXP(-ABS((LN(10^(逐级计算!$Q$130/10)-1)+逐级计算!$Q$130*(DZ12-逐级计算!$P$130)*LN(10)/10))))))),"")</f>
        <v>14.9236173480506</v>
      </c>
      <c r="EB12">
        <f>IF(AND(ISNUMBER(EA12),逐级计算!$X$131&gt;-1),IF(逐级计算!$X$131=0,EA12+逐级计算!$C$131,EA12+逐级计算!$C$131-(10/(逐级计算!$Q$131*LN(10))*(MAX((LN(10^(逐级计算!$Q$131/10)-1)+逐级计算!$Q$131*(EA12-逐级计算!$P$131)*LN(10)/10),0)+LN(1+EXP(-ABS((LN(10^(逐级计算!$Q$131/10)-1)+逐级计算!$Q$131*(EA12-逐级计算!$P$131)*LN(10)/10))))))),"")</f>
        <v>14.9236173480506</v>
      </c>
      <c r="EC12">
        <f>IF(AND(ISNUMBER(EB12),逐级计算!$X$132&gt;-1),IF(逐级计算!$X$132=0,EB12+逐级计算!$C$132,EB12+逐级计算!$C$132-(10/(逐级计算!$Q$132*LN(10))*(MAX((LN(10^(逐级计算!$Q$132/10)-1)+逐级计算!$Q$132*(EB12-逐级计算!$P$132)*LN(10)/10),0)+LN(1+EXP(-ABS((LN(10^(逐级计算!$Q$132/10)-1)+逐级计算!$Q$132*(EB12-逐级计算!$P$132)*LN(10)/10))))))),"")</f>
        <v>14.9236173480506</v>
      </c>
      <c r="ED12">
        <f>IF(AND(ISNUMBER(EC12),逐级计算!$X$133&gt;-1),IF(逐级计算!$X$133=0,EC12+逐级计算!$C$133,EC12+逐级计算!$C$133-(10/(逐级计算!$Q$133*LN(10))*(MAX((LN(10^(逐级计算!$Q$133/10)-1)+逐级计算!$Q$133*(EC12-逐级计算!$P$133)*LN(10)/10),0)+LN(1+EXP(-ABS((LN(10^(逐级计算!$Q$133/10)-1)+逐级计算!$Q$133*(EC12-逐级计算!$P$133)*LN(10)/10))))))),"")</f>
        <v>14.9236173480506</v>
      </c>
      <c r="EE12">
        <f>IF(AND(ISNUMBER(ED12),逐级计算!$X$134&gt;-1),IF(逐级计算!$X$134=0,ED12+逐级计算!$C$134,ED12+逐级计算!$C$134-(10/(逐级计算!$Q$134*LN(10))*(MAX((LN(10^(逐级计算!$Q$134/10)-1)+逐级计算!$Q$134*(ED12-逐级计算!$P$134)*LN(10)/10),0)+LN(1+EXP(-ABS((LN(10^(逐级计算!$Q$134/10)-1)+逐级计算!$Q$134*(ED12-逐级计算!$P$134)*LN(10)/10))))))),"")</f>
        <v>14.9236173480506</v>
      </c>
      <c r="EF12">
        <f>IF(AND(ISNUMBER(EE12),逐级计算!$X$135&gt;-1),IF(逐级计算!$X$135=0,EE12+逐级计算!$C$135,EE12+逐级计算!$C$135-(10/(逐级计算!$Q$135*LN(10))*(MAX((LN(10^(逐级计算!$Q$135/10)-1)+逐级计算!$Q$135*(EE12-逐级计算!$P$135)*LN(10)/10),0)+LN(1+EXP(-ABS((LN(10^(逐级计算!$Q$135/10)-1)+逐级计算!$Q$135*(EE12-逐级计算!$P$135)*LN(10)/10))))))),"")</f>
        <v>14.9236173480506</v>
      </c>
      <c r="EG12">
        <f>IF(AND(ISNUMBER(EF12),逐级计算!$X$136&gt;-1),IF(逐级计算!$X$136=0,EF12+逐级计算!$C$136,EF12+逐级计算!$C$136-(10/(逐级计算!$Q$136*LN(10))*(MAX((LN(10^(逐级计算!$Q$136/10)-1)+逐级计算!$Q$136*(EF12-逐级计算!$P$136)*LN(10)/10),0)+LN(1+EXP(-ABS((LN(10^(逐级计算!$Q$136/10)-1)+逐级计算!$Q$136*(EF12-逐级计算!$P$136)*LN(10)/10))))))),"")</f>
        <v>14.9236173480506</v>
      </c>
      <c r="EH12">
        <f>IF(AND(ISNUMBER(EG12),逐级计算!$X$137&gt;-1),IF(逐级计算!$X$137=0,EG12+逐级计算!$C$137,EG12+逐级计算!$C$137-(10/(逐级计算!$Q$137*LN(10))*(MAX((LN(10^(逐级计算!$Q$137/10)-1)+逐级计算!$Q$137*(EG12-逐级计算!$P$137)*LN(10)/10),0)+LN(1+EXP(-ABS((LN(10^(逐级计算!$Q$137/10)-1)+逐级计算!$Q$137*(EG12-逐级计算!$P$137)*LN(10)/10))))))),"")</f>
        <v>14.9236173480506</v>
      </c>
      <c r="EI12">
        <f>IF(AND(ISNUMBER(EH12),逐级计算!$X$138&gt;-1),IF(逐级计算!$X$138=0,EH12+逐级计算!$C$138,EH12+逐级计算!$C$138-(10/(逐级计算!$Q$138*LN(10))*(MAX((LN(10^(逐级计算!$Q$138/10)-1)+逐级计算!$Q$138*(EH12-逐级计算!$P$138)*LN(10)/10),0)+LN(1+EXP(-ABS((LN(10^(逐级计算!$Q$138/10)-1)+逐级计算!$Q$138*(EH12-逐级计算!$P$138)*LN(10)/10))))))),"")</f>
        <v>14.9236173480506</v>
      </c>
      <c r="EJ12">
        <f>IF(AND(ISNUMBER(EI12),逐级计算!$X$139&gt;-1),IF(逐级计算!$X$139=0,EI12+逐级计算!$C$139,EI12+逐级计算!$C$139-(10/(逐级计算!$Q$139*LN(10))*(MAX((LN(10^(逐级计算!$Q$139/10)-1)+逐级计算!$Q$139*(EI12-逐级计算!$P$139)*LN(10)/10),0)+LN(1+EXP(-ABS((LN(10^(逐级计算!$Q$139/10)-1)+逐级计算!$Q$139*(EI12-逐级计算!$P$139)*LN(10)/10))))))),"")</f>
        <v>14.9236173480506</v>
      </c>
      <c r="EK12">
        <f>IF(AND(ISNUMBER(EJ12),逐级计算!$X$140&gt;-1),IF(逐级计算!$X$140=0,EJ12+逐级计算!$C$140,EJ12+逐级计算!$C$140-(10/(逐级计算!$Q$140*LN(10))*(MAX((LN(10^(逐级计算!$Q$140/10)-1)+逐级计算!$Q$140*(EJ12-逐级计算!$P$140)*LN(10)/10),0)+LN(1+EXP(-ABS((LN(10^(逐级计算!$Q$140/10)-1)+逐级计算!$Q$140*(EJ12-逐级计算!$P$140)*LN(10)/10))))))),"")</f>
        <v>14.9236173480506</v>
      </c>
      <c r="EL12">
        <f>IF(AND(ISNUMBER(EK12),逐级计算!$X$141&gt;-1),IF(逐级计算!$X$141=0,EK12+逐级计算!$C$141,EK12+逐级计算!$C$141-(10/(逐级计算!$Q$141*LN(10))*(MAX((LN(10^(逐级计算!$Q$141/10)-1)+逐级计算!$Q$141*(EK12-逐级计算!$P$141)*LN(10)/10),0)+LN(1+EXP(-ABS((LN(10^(逐级计算!$Q$141/10)-1)+逐级计算!$Q$141*(EK12-逐级计算!$P$141)*LN(10)/10))))))),"")</f>
        <v>14.9236173480506</v>
      </c>
      <c r="EM12">
        <f>IF(AND(ISNUMBER(EL12),逐级计算!$X$142&gt;-1),IF(逐级计算!$X$142=0,EL12+逐级计算!$C$142,EL12+逐级计算!$C$142-(10/(逐级计算!$Q$142*LN(10))*(MAX((LN(10^(逐级计算!$Q$142/10)-1)+逐级计算!$Q$142*(EL12-逐级计算!$P$142)*LN(10)/10),0)+LN(1+EXP(-ABS((LN(10^(逐级计算!$Q$142/10)-1)+逐级计算!$Q$142*(EL12-逐级计算!$P$142)*LN(10)/10))))))),"")</f>
        <v>14.9236173480506</v>
      </c>
      <c r="EN12">
        <f>IF(AND(ISNUMBER(EM12),逐级计算!$X$143&gt;-1),IF(逐级计算!$X$143=0,EM12+逐级计算!$C$143,EM12+逐级计算!$C$143-(10/(逐级计算!$Q$143*LN(10))*(MAX((LN(10^(逐级计算!$Q$143/10)-1)+逐级计算!$Q$143*(EM12-逐级计算!$P$143)*LN(10)/10),0)+LN(1+EXP(-ABS((LN(10^(逐级计算!$Q$143/10)-1)+逐级计算!$Q$143*(EM12-逐级计算!$P$143)*LN(10)/10))))))),"")</f>
        <v>14.9236173480506</v>
      </c>
      <c r="EO12">
        <f>IF(AND(ISNUMBER(EN12),逐级计算!$X$144&gt;-1),IF(逐级计算!$X$144=0,EN12+逐级计算!$C$144,EN12+逐级计算!$C$144-(10/(逐级计算!$Q$144*LN(10))*(MAX((LN(10^(逐级计算!$Q$144/10)-1)+逐级计算!$Q$144*(EN12-逐级计算!$P$144)*LN(10)/10),0)+LN(1+EXP(-ABS((LN(10^(逐级计算!$Q$144/10)-1)+逐级计算!$Q$144*(EN12-逐级计算!$P$144)*LN(10)/10))))))),"")</f>
        <v>14.9236173480506</v>
      </c>
      <c r="EP12">
        <f>IF(AND(ISNUMBER(EO12),逐级计算!$X$145&gt;-1),IF(逐级计算!$X$145=0,EO12+逐级计算!$C$145,EO12+逐级计算!$C$145-(10/(逐级计算!$Q$145*LN(10))*(MAX((LN(10^(逐级计算!$Q$145/10)-1)+逐级计算!$Q$145*(EO12-逐级计算!$P$145)*LN(10)/10),0)+LN(1+EXP(-ABS((LN(10^(逐级计算!$Q$145/10)-1)+逐级计算!$Q$145*(EO12-逐级计算!$P$145)*LN(10)/10))))))),"")</f>
        <v>14.9236173480506</v>
      </c>
      <c r="EQ12">
        <f>IF(AND(ISNUMBER(EP12),逐级计算!$X$146&gt;-1),IF(逐级计算!$X$146=0,EP12+逐级计算!$C$146,EP12+逐级计算!$C$146-(10/(逐级计算!$Q$146*LN(10))*(MAX((LN(10^(逐级计算!$Q$146/10)-1)+逐级计算!$Q$146*(EP12-逐级计算!$P$146)*LN(10)/10),0)+LN(1+EXP(-ABS((LN(10^(逐级计算!$Q$146/10)-1)+逐级计算!$Q$146*(EP12-逐级计算!$P$146)*LN(10)/10))))))),"")</f>
        <v>14.9236173480506</v>
      </c>
      <c r="ER12">
        <f>IF(AND(ISNUMBER(EQ12),逐级计算!$X$147&gt;-1),IF(逐级计算!$X$147=0,EQ12+逐级计算!$C$147,EQ12+逐级计算!$C$147-(10/(逐级计算!$Q$147*LN(10))*(MAX((LN(10^(逐级计算!$Q$147/10)-1)+逐级计算!$Q$147*(EQ12-逐级计算!$P$147)*LN(10)/10),0)+LN(1+EXP(-ABS((LN(10^(逐级计算!$Q$147/10)-1)+逐级计算!$Q$147*(EQ12-逐级计算!$P$147)*LN(10)/10))))))),"")</f>
        <v>14.9236173480506</v>
      </c>
      <c r="ES12">
        <f>IF(AND(ISNUMBER(ER12),逐级计算!$X$148&gt;-1),IF(逐级计算!$X$148=0,ER12+逐级计算!$C$148,ER12+逐级计算!$C$148-(10/(逐级计算!$Q$148*LN(10))*(MAX((LN(10^(逐级计算!$Q$148/10)-1)+逐级计算!$Q$148*(ER12-逐级计算!$P$148)*LN(10)/10),0)+LN(1+EXP(-ABS((LN(10^(逐级计算!$Q$148/10)-1)+逐级计算!$Q$148*(ER12-逐级计算!$P$148)*LN(10)/10))))))),"")</f>
        <v>14.9236173480506</v>
      </c>
      <c r="ET12">
        <f>IF(AND(ISNUMBER(ES12),逐级计算!$X$149&gt;-1),IF(逐级计算!$X$149=0,ES12+逐级计算!$C$149,ES12+逐级计算!$C$149-(10/(逐级计算!$Q$149*LN(10))*(MAX((LN(10^(逐级计算!$Q$149/10)-1)+逐级计算!$Q$149*(ES12-逐级计算!$P$149)*LN(10)/10),0)+LN(1+EXP(-ABS((LN(10^(逐级计算!$Q$149/10)-1)+逐级计算!$Q$149*(ES12-逐级计算!$P$149)*LN(10)/10))))))),"")</f>
        <v>14.9236173480506</v>
      </c>
      <c r="EU12">
        <f>IF(AND(ISNUMBER(ET12),逐级计算!$X$150&gt;-1),IF(逐级计算!$X$150=0,ET12+逐级计算!$C$150,ET12+逐级计算!$C$150-(10/(逐级计算!$Q$150*LN(10))*(MAX((LN(10^(逐级计算!$Q$150/10)-1)+逐级计算!$Q$150*(ET12-逐级计算!$P$150)*LN(10)/10),0)+LN(1+EXP(-ABS((LN(10^(逐级计算!$Q$150/10)-1)+逐级计算!$Q$150*(ET12-逐级计算!$P$150)*LN(10)/10))))))),"")</f>
        <v>14.9236173480506</v>
      </c>
      <c r="EV12">
        <f>IF(AND(ISNUMBER(EU12),逐级计算!$X$151&gt;-1),IF(逐级计算!$X$151=0,EU12+逐级计算!$C$151,EU12+逐级计算!$C$151-(10/(逐级计算!$Q$151*LN(10))*(MAX((LN(10^(逐级计算!$Q$151/10)-1)+逐级计算!$Q$151*(EU12-逐级计算!$P$151)*LN(10)/10),0)+LN(1+EXP(-ABS((LN(10^(逐级计算!$Q$151/10)-1)+逐级计算!$Q$151*(EU12-逐级计算!$P$151)*LN(10)/10))))))),"")</f>
        <v>14.9236173480506</v>
      </c>
      <c r="EW12">
        <f>IF(AND(ISNUMBER(EV12),逐级计算!$X$152&gt;-1),IF(逐级计算!$X$152=0,EV12+逐级计算!$C$152,EV12+逐级计算!$C$152-(10/(逐级计算!$Q$152*LN(10))*(MAX((LN(10^(逐级计算!$Q$152/10)-1)+逐级计算!$Q$152*(EV12-逐级计算!$P$152)*LN(10)/10),0)+LN(1+EXP(-ABS((LN(10^(逐级计算!$Q$152/10)-1)+逐级计算!$Q$152*(EV12-逐级计算!$P$152)*LN(10)/10))))))),"")</f>
        <v>14.9236173480506</v>
      </c>
      <c r="EX12">
        <f>IF(AND(ISNUMBER(EW12),逐级计算!$X$153&gt;-1),IF(逐级计算!$X$153=0,EW12+逐级计算!$C$153,EW12+逐级计算!$C$153-(10/(逐级计算!$Q$153*LN(10))*(MAX((LN(10^(逐级计算!$Q$153/10)-1)+逐级计算!$Q$153*(EW12-逐级计算!$P$153)*LN(10)/10),0)+LN(1+EXP(-ABS((LN(10^(逐级计算!$Q$153/10)-1)+逐级计算!$Q$153*(EW12-逐级计算!$P$153)*LN(10)/10))))))),"")</f>
        <v>14.9236173480506</v>
      </c>
      <c r="EY12">
        <f>IF(AND(ISNUMBER(EX12),逐级计算!$X$154&gt;-1),IF(逐级计算!$X$154=0,EX12+逐级计算!$C$154,EX12+逐级计算!$C$154-(10/(逐级计算!$Q$154*LN(10))*(MAX((LN(10^(逐级计算!$Q$154/10)-1)+逐级计算!$Q$154*(EX12-逐级计算!$P$154)*LN(10)/10),0)+LN(1+EXP(-ABS((LN(10^(逐级计算!$Q$154/10)-1)+逐级计算!$Q$154*(EX12-逐级计算!$P$154)*LN(10)/10))))))),"")</f>
        <v>14.9236173480506</v>
      </c>
      <c r="EZ12">
        <f>IF(AND(ISNUMBER(EY12),逐级计算!$X$155&gt;-1),IF(逐级计算!$X$155=0,EY12+逐级计算!$C$155,EY12+逐级计算!$C$155-(10/(逐级计算!$Q$155*LN(10))*(MAX((LN(10^(逐级计算!$Q$155/10)-1)+逐级计算!$Q$155*(EY12-逐级计算!$P$155)*LN(10)/10),0)+LN(1+EXP(-ABS((LN(10^(逐级计算!$Q$155/10)-1)+逐级计算!$Q$155*(EY12-逐级计算!$P$155)*LN(10)/10))))))),"")</f>
        <v>14.9236173480506</v>
      </c>
      <c r="FA12">
        <f>IF(AND(ISNUMBER(EZ12),逐级计算!$X$156&gt;-1),IF(逐级计算!$X$156=0,EZ12+逐级计算!$C$156,EZ12+逐级计算!$C$156-(10/(逐级计算!$Q$156*LN(10))*(MAX((LN(10^(逐级计算!$Q$156/10)-1)+逐级计算!$Q$156*(EZ12-逐级计算!$P$156)*LN(10)/10),0)+LN(1+EXP(-ABS((LN(10^(逐级计算!$Q$156/10)-1)+逐级计算!$Q$156*(EZ12-逐级计算!$P$156)*LN(10)/10))))))),"")</f>
        <v>14.9236173480506</v>
      </c>
      <c r="FB12">
        <f>IF(AND(ISNUMBER(FA12),逐级计算!$X$157&gt;-1),IF(逐级计算!$X$157=0,FA12+逐级计算!$C$157,FA12+逐级计算!$C$157-(10/(逐级计算!$Q$157*LN(10))*(MAX((LN(10^(逐级计算!$Q$157/10)-1)+逐级计算!$Q$157*(FA12-逐级计算!$P$157)*LN(10)/10),0)+LN(1+EXP(-ABS((LN(10^(逐级计算!$Q$157/10)-1)+逐级计算!$Q$157*(FA12-逐级计算!$P$157)*LN(10)/10))))))),"")</f>
        <v>14.9236173480506</v>
      </c>
      <c r="FC12">
        <f>IF(AND(ISNUMBER(FB12),逐级计算!$X$158&gt;-1),IF(逐级计算!$X$158=0,FB12+逐级计算!$C$158,FB12+逐级计算!$C$158-(10/(逐级计算!$Q$158*LN(10))*(MAX((LN(10^(逐级计算!$Q$158/10)-1)+逐级计算!$Q$158*(FB12-逐级计算!$P$158)*LN(10)/10),0)+LN(1+EXP(-ABS((LN(10^(逐级计算!$Q$158/10)-1)+逐级计算!$Q$158*(FB12-逐级计算!$P$158)*LN(10)/10))))))),"")</f>
        <v>14.9236173480506</v>
      </c>
      <c r="FD12">
        <f>IF(AND(ISNUMBER(FC12),逐级计算!$X$159&gt;-1),IF(逐级计算!$X$159=0,FC12+逐级计算!$C$159,FC12+逐级计算!$C$159-(10/(逐级计算!$Q$159*LN(10))*(MAX((LN(10^(逐级计算!$Q$159/10)-1)+逐级计算!$Q$159*(FC12-逐级计算!$P$159)*LN(10)/10),0)+LN(1+EXP(-ABS((LN(10^(逐级计算!$Q$159/10)-1)+逐级计算!$Q$159*(FC12-逐级计算!$P$159)*LN(10)/10))))))),"")</f>
        <v>14.9236173480506</v>
      </c>
      <c r="FE12">
        <f>IF(AND(ISNUMBER(FD12),逐级计算!$X$160&gt;-1),IF(逐级计算!$X$160=0,FD12+逐级计算!$C$160,FD12+逐级计算!$C$160-(10/(逐级计算!$Q$160*LN(10))*(MAX((LN(10^(逐级计算!$Q$160/10)-1)+逐级计算!$Q$160*(FD12-逐级计算!$P$160)*LN(10)/10),0)+LN(1+EXP(-ABS((LN(10^(逐级计算!$Q$160/10)-1)+逐级计算!$Q$160*(FD12-逐级计算!$P$160)*LN(10)/10))))))),"")</f>
        <v>14.9236173480506</v>
      </c>
      <c r="FF12">
        <f>IF(AND(ISNUMBER(FE12),逐级计算!$X$161&gt;-1),IF(逐级计算!$X$161=0,FE12+逐级计算!$C$161,FE12+逐级计算!$C$161-(10/(逐级计算!$Q$161*LN(10))*(MAX((LN(10^(逐级计算!$Q$161/10)-1)+逐级计算!$Q$161*(FE12-逐级计算!$P$161)*LN(10)/10),0)+LN(1+EXP(-ABS((LN(10^(逐级计算!$Q$161/10)-1)+逐级计算!$Q$161*(FE12-逐级计算!$P$161)*LN(10)/10))))))),"")</f>
        <v>14.9236173480506</v>
      </c>
      <c r="FG12">
        <f>IF(AND(ISNUMBER(FF12),逐级计算!$X$162&gt;-1),IF(逐级计算!$X$162=0,FF12+逐级计算!$C$162,FF12+逐级计算!$C$162-(10/(逐级计算!$Q$162*LN(10))*(MAX((LN(10^(逐级计算!$Q$162/10)-1)+逐级计算!$Q$162*(FF12-逐级计算!$P$162)*LN(10)/10),0)+LN(1+EXP(-ABS((LN(10^(逐级计算!$Q$162/10)-1)+逐级计算!$Q$162*(FF12-逐级计算!$P$162)*LN(10)/10))))))),"")</f>
        <v>14.9236173480506</v>
      </c>
      <c r="FH12">
        <f>IF(AND(ISNUMBER(FG12),逐级计算!$X$163&gt;-1),IF(逐级计算!$X$163=0,FG12+逐级计算!$C$163,FG12+逐级计算!$C$163-(10/(逐级计算!$Q$163*LN(10))*(MAX((LN(10^(逐级计算!$Q$163/10)-1)+逐级计算!$Q$163*(FG12-逐级计算!$P$163)*LN(10)/10),0)+LN(1+EXP(-ABS((LN(10^(逐级计算!$Q$163/10)-1)+逐级计算!$Q$163*(FG12-逐级计算!$P$163)*LN(10)/10))))))),"")</f>
        <v>14.9236173480506</v>
      </c>
      <c r="FI12">
        <f>IF(AND(ISNUMBER(FH12),逐级计算!$X$164&gt;-1),IF(逐级计算!$X$164=0,FH12+逐级计算!$C$164,FH12+逐级计算!$C$164-(10/(逐级计算!$Q$164*LN(10))*(MAX((LN(10^(逐级计算!$Q$164/10)-1)+逐级计算!$Q$164*(FH12-逐级计算!$P$164)*LN(10)/10),0)+LN(1+EXP(-ABS((LN(10^(逐级计算!$Q$164/10)-1)+逐级计算!$Q$164*(FH12-逐级计算!$P$164)*LN(10)/10))))))),"")</f>
        <v>14.9236173480506</v>
      </c>
      <c r="FJ12">
        <f>IF(AND(ISNUMBER(FI12),逐级计算!$X$165&gt;-1),IF(逐级计算!$X$165=0,FI12+逐级计算!$C$165,FI12+逐级计算!$C$165-(10/(逐级计算!$Q$165*LN(10))*(MAX((LN(10^(逐级计算!$Q$165/10)-1)+逐级计算!$Q$165*(FI12-逐级计算!$P$165)*LN(10)/10),0)+LN(1+EXP(-ABS((LN(10^(逐级计算!$Q$165/10)-1)+逐级计算!$Q$165*(FI12-逐级计算!$P$165)*LN(10)/10))))))),"")</f>
        <v>14.9236173480506</v>
      </c>
      <c r="FK12">
        <f>IF(AND(ISNUMBER(FJ12),逐级计算!$X$166&gt;-1),IF(逐级计算!$X$166=0,FJ12+逐级计算!$C$166,FJ12+逐级计算!$C$166-(10/(逐级计算!$Q$166*LN(10))*(MAX((LN(10^(逐级计算!$Q$166/10)-1)+逐级计算!$Q$166*(FJ12-逐级计算!$P$166)*LN(10)/10),0)+LN(1+EXP(-ABS((LN(10^(逐级计算!$Q$166/10)-1)+逐级计算!$Q$166*(FJ12-逐级计算!$P$166)*LN(10)/10))))))),"")</f>
        <v>14.9236173480506</v>
      </c>
      <c r="FL12">
        <f>IF(AND(ISNUMBER(FK12),逐级计算!$X$167&gt;-1),IF(逐级计算!$X$167=0,FK12+逐级计算!$C$167,FK12+逐级计算!$C$167-(10/(逐级计算!$Q$167*LN(10))*(MAX((LN(10^(逐级计算!$Q$167/10)-1)+逐级计算!$Q$167*(FK12-逐级计算!$P$167)*LN(10)/10),0)+LN(1+EXP(-ABS((LN(10^(逐级计算!$Q$167/10)-1)+逐级计算!$Q$167*(FK12-逐级计算!$P$167)*LN(10)/10))))))),"")</f>
        <v>14.9236173480506</v>
      </c>
      <c r="FM12">
        <f>IF(AND(ISNUMBER(FL12),逐级计算!$X$168&gt;-1),IF(逐级计算!$X$168=0,FL12+逐级计算!$C$168,FL12+逐级计算!$C$168-(10/(逐级计算!$Q$168*LN(10))*(MAX((LN(10^(逐级计算!$Q$168/10)-1)+逐级计算!$Q$168*(FL12-逐级计算!$P$168)*LN(10)/10),0)+LN(1+EXP(-ABS((LN(10^(逐级计算!$Q$168/10)-1)+逐级计算!$Q$168*(FL12-逐级计算!$P$168)*LN(10)/10))))))),"")</f>
        <v>14.9236173480506</v>
      </c>
      <c r="FN12">
        <f>IF(AND(ISNUMBER(FM12),逐级计算!$X$169&gt;-1),IF(逐级计算!$X$169=0,FM12+逐级计算!$C$169,FM12+逐级计算!$C$169-(10/(逐级计算!$Q$169*LN(10))*(MAX((LN(10^(逐级计算!$Q$169/10)-1)+逐级计算!$Q$169*(FM12-逐级计算!$P$169)*LN(10)/10),0)+LN(1+EXP(-ABS((LN(10^(逐级计算!$Q$169/10)-1)+逐级计算!$Q$169*(FM12-逐级计算!$P$169)*LN(10)/10))))))),"")</f>
        <v>14.9236173480506</v>
      </c>
      <c r="FO12">
        <f>IF(AND(ISNUMBER(FN12),逐级计算!$X$170&gt;-1),IF(逐级计算!$X$170=0,FN12+逐级计算!$C$170,FN12+逐级计算!$C$170-(10/(逐级计算!$Q$170*LN(10))*(MAX((LN(10^(逐级计算!$Q$170/10)-1)+逐级计算!$Q$170*(FN12-逐级计算!$P$170)*LN(10)/10),0)+LN(1+EXP(-ABS((LN(10^(逐级计算!$Q$170/10)-1)+逐级计算!$Q$170*(FN12-逐级计算!$P$170)*LN(10)/10))))))),"")</f>
        <v>14.9236173480506</v>
      </c>
      <c r="FP12">
        <f>IF(AND(ISNUMBER(FO12),逐级计算!$X$171&gt;-1),IF(逐级计算!$X$171=0,FO12+逐级计算!$C$171,FO12+逐级计算!$C$171-(10/(逐级计算!$Q$171*LN(10))*(MAX((LN(10^(逐级计算!$Q$171/10)-1)+逐级计算!$Q$171*(FO12-逐级计算!$P$171)*LN(10)/10),0)+LN(1+EXP(-ABS((LN(10^(逐级计算!$Q$171/10)-1)+逐级计算!$Q$171*(FO12-逐级计算!$P$171)*LN(10)/10))))))),"")</f>
        <v>14.9236173480506</v>
      </c>
      <c r="FQ12">
        <f>IF(AND(ISNUMBER(FP12),逐级计算!$X$172&gt;-1),IF(逐级计算!$X$172=0,FP12+逐级计算!$C$172,FP12+逐级计算!$C$172-(10/(逐级计算!$Q$172*LN(10))*(MAX((LN(10^(逐级计算!$Q$172/10)-1)+逐级计算!$Q$172*(FP12-逐级计算!$P$172)*LN(10)/10),0)+LN(1+EXP(-ABS((LN(10^(逐级计算!$Q$172/10)-1)+逐级计算!$Q$172*(FP12-逐级计算!$P$172)*LN(10)/10))))))),"")</f>
        <v>14.9236173480506</v>
      </c>
      <c r="FR12">
        <f>IF(AND(ISNUMBER(FQ12),逐级计算!$X$173&gt;-1),IF(逐级计算!$X$173=0,FQ12+逐级计算!$C$173,FQ12+逐级计算!$C$173-(10/(逐级计算!$Q$173*LN(10))*(MAX((LN(10^(逐级计算!$Q$173/10)-1)+逐级计算!$Q$173*(FQ12-逐级计算!$P$173)*LN(10)/10),0)+LN(1+EXP(-ABS((LN(10^(逐级计算!$Q$173/10)-1)+逐级计算!$Q$173*(FQ12-逐级计算!$P$173)*LN(10)/10))))))),"")</f>
        <v>14.9236173480506</v>
      </c>
      <c r="FS12">
        <f>IF(AND(ISNUMBER(FR12),逐级计算!$X$174&gt;-1),IF(逐级计算!$X$174=0,FR12+逐级计算!$C$174,FR12+逐级计算!$C$174-(10/(逐级计算!$Q$174*LN(10))*(MAX((LN(10^(逐级计算!$Q$174/10)-1)+逐级计算!$Q$174*(FR12-逐级计算!$P$174)*LN(10)/10),0)+LN(1+EXP(-ABS((LN(10^(逐级计算!$Q$174/10)-1)+逐级计算!$Q$174*(FR12-逐级计算!$P$174)*LN(10)/10))))))),"")</f>
        <v>14.9236173480506</v>
      </c>
      <c r="FT12">
        <f>IF(AND(ISNUMBER(FS12),逐级计算!$X$175&gt;-1),IF(逐级计算!$X$175=0,FS12+逐级计算!$C$175,FS12+逐级计算!$C$175-(10/(逐级计算!$Q$175*LN(10))*(MAX((LN(10^(逐级计算!$Q$175/10)-1)+逐级计算!$Q$175*(FS12-逐级计算!$P$175)*LN(10)/10),0)+LN(1+EXP(-ABS((LN(10^(逐级计算!$Q$175/10)-1)+逐级计算!$Q$175*(FS12-逐级计算!$P$175)*LN(10)/10))))))),"")</f>
        <v>14.9236173480506</v>
      </c>
      <c r="FU12">
        <f>IF(AND(ISNUMBER(FT12),逐级计算!$X$176&gt;-1),IF(逐级计算!$X$176=0,FT12+逐级计算!$C$176,FT12+逐级计算!$C$176-(10/(逐级计算!$Q$176*LN(10))*(MAX((LN(10^(逐级计算!$Q$176/10)-1)+逐级计算!$Q$176*(FT12-逐级计算!$P$176)*LN(10)/10),0)+LN(1+EXP(-ABS((LN(10^(逐级计算!$Q$176/10)-1)+逐级计算!$Q$176*(FT12-逐级计算!$P$176)*LN(10)/10))))))),"")</f>
        <v>14.9236173480506</v>
      </c>
      <c r="FV12">
        <f>IF(AND(ISNUMBER(FU12),逐级计算!$X$177&gt;-1),IF(逐级计算!$X$177=0,FU12+逐级计算!$C$177,FU12+逐级计算!$C$177-(10/(逐级计算!$Q$177*LN(10))*(MAX((LN(10^(逐级计算!$Q$177/10)-1)+逐级计算!$Q$177*(FU12-逐级计算!$P$177)*LN(10)/10),0)+LN(1+EXP(-ABS((LN(10^(逐级计算!$Q$177/10)-1)+逐级计算!$Q$177*(FU12-逐级计算!$P$177)*LN(10)/10))))))),"")</f>
        <v>14.9236173480506</v>
      </c>
      <c r="FW12">
        <f>IF(AND(ISNUMBER(FV12),逐级计算!$X$178&gt;-1),IF(逐级计算!$X$178=0,FV12+逐级计算!$C$178,FV12+逐级计算!$C$178-(10/(逐级计算!$Q$178*LN(10))*(MAX((LN(10^(逐级计算!$Q$178/10)-1)+逐级计算!$Q$178*(FV12-逐级计算!$P$178)*LN(10)/10),0)+LN(1+EXP(-ABS((LN(10^(逐级计算!$Q$178/10)-1)+逐级计算!$Q$178*(FV12-逐级计算!$P$178)*LN(10)/10))))))),"")</f>
        <v>14.9236173480506</v>
      </c>
      <c r="FX12">
        <f>IF(AND(ISNUMBER(FW12),逐级计算!$X$179&gt;-1),IF(逐级计算!$X$179=0,FW12+逐级计算!$C$179,FW12+逐级计算!$C$179-(10/(逐级计算!$Q$179*LN(10))*(MAX((LN(10^(逐级计算!$Q$179/10)-1)+逐级计算!$Q$179*(FW12-逐级计算!$P$179)*LN(10)/10),0)+LN(1+EXP(-ABS((LN(10^(逐级计算!$Q$179/10)-1)+逐级计算!$Q$179*(FW12-逐级计算!$P$179)*LN(10)/10))))))),"")</f>
        <v>14.9236173480506</v>
      </c>
      <c r="FY12">
        <f>IF(AND(ISNUMBER(FX12),逐级计算!$X$180&gt;-1),IF(逐级计算!$X$180=0,FX12+逐级计算!$C$180,FX12+逐级计算!$C$180-(10/(逐级计算!$Q$180*LN(10))*(MAX((LN(10^(逐级计算!$Q$180/10)-1)+逐级计算!$Q$180*(FX12-逐级计算!$P$180)*LN(10)/10),0)+LN(1+EXP(-ABS((LN(10^(逐级计算!$Q$180/10)-1)+逐级计算!$Q$180*(FX12-逐级计算!$P$180)*LN(10)/10))))))),"")</f>
        <v>14.9236173480506</v>
      </c>
      <c r="FZ12">
        <f>IF(AND(ISNUMBER(FY12),逐级计算!$X$181&gt;-1),IF(逐级计算!$X$181=0,FY12+逐级计算!$C$181,FY12+逐级计算!$C$181-(10/(逐级计算!$Q$181*LN(10))*(MAX((LN(10^(逐级计算!$Q$181/10)-1)+逐级计算!$Q$181*(FY12-逐级计算!$P$181)*LN(10)/10),0)+LN(1+EXP(-ABS((LN(10^(逐级计算!$Q$181/10)-1)+逐级计算!$Q$181*(FY12-逐级计算!$P$181)*LN(10)/10))))))),"")</f>
        <v>14.9236173480506</v>
      </c>
      <c r="GA12">
        <f>IF(AND(ISNUMBER(FZ12),逐级计算!$X$182&gt;-1),IF(逐级计算!$X$182=0,FZ12+逐级计算!$C$182,FZ12+逐级计算!$C$182-(10/(逐级计算!$Q$182*LN(10))*(MAX((LN(10^(逐级计算!$Q$182/10)-1)+逐级计算!$Q$182*(FZ12-逐级计算!$P$182)*LN(10)/10),0)+LN(1+EXP(-ABS((LN(10^(逐级计算!$Q$182/10)-1)+逐级计算!$Q$182*(FZ12-逐级计算!$P$182)*LN(10)/10))))))),"")</f>
        <v>14.9236173480506</v>
      </c>
      <c r="GB12">
        <f>IF(AND(ISNUMBER(GA12),逐级计算!$X$183&gt;-1),IF(逐级计算!$X$183=0,GA12+逐级计算!$C$183,GA12+逐级计算!$C$183-(10/(逐级计算!$Q$183*LN(10))*(MAX((LN(10^(逐级计算!$Q$183/10)-1)+逐级计算!$Q$183*(GA12-逐级计算!$P$183)*LN(10)/10),0)+LN(1+EXP(-ABS((LN(10^(逐级计算!$Q$183/10)-1)+逐级计算!$Q$183*(GA12-逐级计算!$P$183)*LN(10)/10))))))),"")</f>
        <v>14.9236173480506</v>
      </c>
      <c r="GC12">
        <f>IF(AND(ISNUMBER(GB12),逐级计算!$X$184&gt;-1),IF(逐级计算!$X$184=0,GB12+逐级计算!$C$184,GB12+逐级计算!$C$184-(10/(逐级计算!$Q$184*LN(10))*(MAX((LN(10^(逐级计算!$Q$184/10)-1)+逐级计算!$Q$184*(GB12-逐级计算!$P$184)*LN(10)/10),0)+LN(1+EXP(-ABS((LN(10^(逐级计算!$Q$184/10)-1)+逐级计算!$Q$184*(GB12-逐级计算!$P$184)*LN(10)/10))))))),"")</f>
        <v>14.9236173480506</v>
      </c>
      <c r="GD12">
        <f>IF(AND(ISNUMBER(GC12),逐级计算!$X$185&gt;-1),IF(逐级计算!$X$185=0,GC12+逐级计算!$C$185,GC12+逐级计算!$C$185-(10/(逐级计算!$Q$185*LN(10))*(MAX((LN(10^(逐级计算!$Q$185/10)-1)+逐级计算!$Q$185*(GC12-逐级计算!$P$185)*LN(10)/10),0)+LN(1+EXP(-ABS((LN(10^(逐级计算!$Q$185/10)-1)+逐级计算!$Q$185*(GC12-逐级计算!$P$185)*LN(10)/10))))))),"")</f>
        <v>14.9236173480506</v>
      </c>
      <c r="GE12">
        <f>IF(AND(ISNUMBER(GD12),逐级计算!$X$186&gt;-1),IF(逐级计算!$X$186=0,GD12+逐级计算!$C$186,GD12+逐级计算!$C$186-(10/(逐级计算!$Q$186*LN(10))*(MAX((LN(10^(逐级计算!$Q$186/10)-1)+逐级计算!$Q$186*(GD12-逐级计算!$P$186)*LN(10)/10),0)+LN(1+EXP(-ABS((LN(10^(逐级计算!$Q$186/10)-1)+逐级计算!$Q$186*(GD12-逐级计算!$P$186)*LN(10)/10))))))),"")</f>
        <v>14.9236173480506</v>
      </c>
      <c r="GF12">
        <f>IF(AND(ISNUMBER(GE12),逐级计算!$X$187&gt;-1),IF(逐级计算!$X$187=0,GE12+逐级计算!$C$187,GE12+逐级计算!$C$187-(10/(逐级计算!$Q$187*LN(10))*(MAX((LN(10^(逐级计算!$Q$187/10)-1)+逐级计算!$Q$187*(GE12-逐级计算!$P$187)*LN(10)/10),0)+LN(1+EXP(-ABS((LN(10^(逐级计算!$Q$187/10)-1)+逐级计算!$Q$187*(GE12-逐级计算!$P$187)*LN(10)/10))))))),"")</f>
        <v>14.9236173480506</v>
      </c>
      <c r="GG12">
        <f>IF(AND(ISNUMBER(GF12),逐级计算!$X$188&gt;-1),IF(逐级计算!$X$188=0,GF12+逐级计算!$C$188,GF12+逐级计算!$C$188-(10/(逐级计算!$Q$188*LN(10))*(MAX((LN(10^(逐级计算!$Q$188/10)-1)+逐级计算!$Q$188*(GF12-逐级计算!$P$188)*LN(10)/10),0)+LN(1+EXP(-ABS((LN(10^(逐级计算!$Q$188/10)-1)+逐级计算!$Q$188*(GF12-逐级计算!$P$188)*LN(10)/10))))))),"")</f>
        <v>14.9236173480506</v>
      </c>
      <c r="GH12">
        <f>IF(AND(ISNUMBER(GG12),逐级计算!$X$189&gt;-1),IF(逐级计算!$X$189=0,GG12+逐级计算!$C$189,GG12+逐级计算!$C$189-(10/(逐级计算!$Q$189*LN(10))*(MAX((LN(10^(逐级计算!$Q$189/10)-1)+逐级计算!$Q$189*(GG12-逐级计算!$P$189)*LN(10)/10),0)+LN(1+EXP(-ABS((LN(10^(逐级计算!$Q$189/10)-1)+逐级计算!$Q$189*(GG12-逐级计算!$P$189)*LN(10)/10))))))),"")</f>
        <v>14.9236173480506</v>
      </c>
      <c r="GI12">
        <f>IF(AND(ISNUMBER(GH12),逐级计算!$X$190&gt;-1),IF(逐级计算!$X$190=0,GH12+逐级计算!$C$190,GH12+逐级计算!$C$190-(10/(逐级计算!$Q$190*LN(10))*(MAX((LN(10^(逐级计算!$Q$190/10)-1)+逐级计算!$Q$190*(GH12-逐级计算!$P$190)*LN(10)/10),0)+LN(1+EXP(-ABS((LN(10^(逐级计算!$Q$190/10)-1)+逐级计算!$Q$190*(GH12-逐级计算!$P$190)*LN(10)/10))))))),"")</f>
        <v>14.9236173480506</v>
      </c>
      <c r="GJ12">
        <f>IF(AND(ISNUMBER(GI12),逐级计算!$X$191&gt;-1),IF(逐级计算!$X$191=0,GI12+逐级计算!$C$191,GI12+逐级计算!$C$191-(10/(逐级计算!$Q$191*LN(10))*(MAX((LN(10^(逐级计算!$Q$191/10)-1)+逐级计算!$Q$191*(GI12-逐级计算!$P$191)*LN(10)/10),0)+LN(1+EXP(-ABS((LN(10^(逐级计算!$Q$191/10)-1)+逐级计算!$Q$191*(GI12-逐级计算!$P$191)*LN(10)/10))))))),"")</f>
        <v>14.9236173480506</v>
      </c>
      <c r="GK12">
        <f>IF(AND(ISNUMBER(GJ12),逐级计算!$X$192&gt;-1),IF(逐级计算!$X$192=0,GJ12+逐级计算!$C$192,GJ12+逐级计算!$C$192-(10/(逐级计算!$Q$192*LN(10))*(MAX((LN(10^(逐级计算!$Q$192/10)-1)+逐级计算!$Q$192*(GJ12-逐级计算!$P$192)*LN(10)/10),0)+LN(1+EXP(-ABS((LN(10^(逐级计算!$Q$192/10)-1)+逐级计算!$Q$192*(GJ12-逐级计算!$P$192)*LN(10)/10))))))),"")</f>
        <v>14.9236173480506</v>
      </c>
      <c r="GL12">
        <f>IF(AND(ISNUMBER(GK12),逐级计算!$X$193&gt;-1),IF(逐级计算!$X$193=0,GK12+逐级计算!$C$193,GK12+逐级计算!$C$193-(10/(逐级计算!$Q$193*LN(10))*(MAX((LN(10^(逐级计算!$Q$193/10)-1)+逐级计算!$Q$193*(GK12-逐级计算!$P$193)*LN(10)/10),0)+LN(1+EXP(-ABS((LN(10^(逐级计算!$Q$193/10)-1)+逐级计算!$Q$193*(GK12-逐级计算!$P$193)*LN(10)/10))))))),"")</f>
        <v>14.9236173480506</v>
      </c>
      <c r="GM12">
        <f>IF(AND(ISNUMBER(GL12),逐级计算!$X$194&gt;-1),IF(逐级计算!$X$194=0,GL12+逐级计算!$C$194,GL12+逐级计算!$C$194-(10/(逐级计算!$Q$194*LN(10))*(MAX((LN(10^(逐级计算!$Q$194/10)-1)+逐级计算!$Q$194*(GL12-逐级计算!$P$194)*LN(10)/10),0)+LN(1+EXP(-ABS((LN(10^(逐级计算!$Q$194/10)-1)+逐级计算!$Q$194*(GL12-逐级计算!$P$194)*LN(10)/10))))))),"")</f>
        <v>14.9236173480506</v>
      </c>
      <c r="GN12">
        <f>IF(AND(ISNUMBER(GM12),逐级计算!$X$195&gt;-1),IF(逐级计算!$X$195=0,GM12+逐级计算!$C$195,GM12+逐级计算!$C$195-(10/(逐级计算!$Q$195*LN(10))*(MAX((LN(10^(逐级计算!$Q$195/10)-1)+逐级计算!$Q$195*(GM12-逐级计算!$P$195)*LN(10)/10),0)+LN(1+EXP(-ABS((LN(10^(逐级计算!$Q$195/10)-1)+逐级计算!$Q$195*(GM12-逐级计算!$P$195)*LN(10)/10))))))),"")</f>
        <v>14.9236173480506</v>
      </c>
      <c r="GO12">
        <f>IF(AND(ISNUMBER(GN12),逐级计算!$X$196&gt;-1),IF(逐级计算!$X$196=0,GN12+逐级计算!$C$196,GN12+逐级计算!$C$196-(10/(逐级计算!$Q$196*LN(10))*(MAX((LN(10^(逐级计算!$Q$196/10)-1)+逐级计算!$Q$196*(GN12-逐级计算!$P$196)*LN(10)/10),0)+LN(1+EXP(-ABS((LN(10^(逐级计算!$Q$196/10)-1)+逐级计算!$Q$196*(GN12-逐级计算!$P$196)*LN(10)/10))))))),"")</f>
        <v>14.9236173480506</v>
      </c>
      <c r="GP12">
        <f>IF(AND(ISNUMBER(GO12),逐级计算!$X$197&gt;-1),IF(逐级计算!$X$197=0,GO12+逐级计算!$C$197,GO12+逐级计算!$C$197-(10/(逐级计算!$Q$197*LN(10))*(MAX((LN(10^(逐级计算!$Q$197/10)-1)+逐级计算!$Q$197*(GO12-逐级计算!$P$197)*LN(10)/10),0)+LN(1+EXP(-ABS((LN(10^(逐级计算!$Q$197/10)-1)+逐级计算!$Q$197*(GO12-逐级计算!$P$197)*LN(10)/10))))))),"")</f>
        <v>14.9236173480506</v>
      </c>
      <c r="GQ12">
        <f>IF(AND(ISNUMBER(GP12),逐级计算!$X$198&gt;-1),IF(逐级计算!$X$198=0,GP12+逐级计算!$C$198,GP12+逐级计算!$C$198-(10/(逐级计算!$Q$198*LN(10))*(MAX((LN(10^(逐级计算!$Q$198/10)-1)+逐级计算!$Q$198*(GP12-逐级计算!$P$198)*LN(10)/10),0)+LN(1+EXP(-ABS((LN(10^(逐级计算!$Q$198/10)-1)+逐级计算!$Q$198*(GP12-逐级计算!$P$198)*LN(10)/10))))))),"")</f>
        <v>14.9236173480506</v>
      </c>
      <c r="GR12">
        <f>IF(AND(ISNUMBER(GQ12),逐级计算!$X$199&gt;-1),IF(逐级计算!$X$199=0,GQ12+逐级计算!$C$199,GQ12+逐级计算!$C$199-(10/(逐级计算!$Q$199*LN(10))*(MAX((LN(10^(逐级计算!$Q$199/10)-1)+逐级计算!$Q$199*(GQ12-逐级计算!$P$199)*LN(10)/10),0)+LN(1+EXP(-ABS((LN(10^(逐级计算!$Q$199/10)-1)+逐级计算!$Q$199*(GQ12-逐级计算!$P$199)*LN(10)/10))))))),"")</f>
        <v>14.9236173480506</v>
      </c>
      <c r="GS12">
        <f>IF(AND(ISNUMBER(GR12),逐级计算!$X$200&gt;-1),IF(逐级计算!$X$200=0,GR12+逐级计算!$C$200,GR12+逐级计算!$C$200-(10/(逐级计算!$Q$200*LN(10))*(MAX((LN(10^(逐级计算!$Q$200/10)-1)+逐级计算!$Q$200*(GR12-逐级计算!$P$200)*LN(10)/10),0)+LN(1+EXP(-ABS((LN(10^(逐级计算!$Q$200/10)-1)+逐级计算!$Q$200*(GR12-逐级计算!$P$200)*LN(10)/10))))))),"")</f>
        <v>14.9236173480506</v>
      </c>
      <c r="GT12">
        <f>IF(AND(ISNUMBER(GS12),逐级计算!$X$201&gt;-1),IF(逐级计算!$X$201=0,GS12+逐级计算!$C$201,GS12+逐级计算!$C$201-(10/(逐级计算!$Q$201*LN(10))*(MAX((LN(10^(逐级计算!$Q$201/10)-1)+逐级计算!$Q$201*(GS12-逐级计算!$P$201)*LN(10)/10),0)+LN(1+EXP(-ABS((LN(10^(逐级计算!$Q$201/10)-1)+逐级计算!$Q$201*(GS12-逐级计算!$P$201)*LN(10)/10))))))),"")</f>
        <v>14.9236173480506</v>
      </c>
      <c r="GU12">
        <f>IF(AND(ISNUMBER(GT12),逐级计算!$X$202&gt;-1),IF(逐级计算!$X$202=0,GT12+逐级计算!$C$202,GT12+逐级计算!$C$202-(10/(逐级计算!$Q$202*LN(10))*(MAX((LN(10^(逐级计算!$Q$202/10)-1)+逐级计算!$Q$202*(GT12-逐级计算!$P$202)*LN(10)/10),0)+LN(1+EXP(-ABS((LN(10^(逐级计算!$Q$202/10)-1)+逐级计算!$Q$202*(GT12-逐级计算!$P$202)*LN(10)/10))))))),"")</f>
        <v>14.9236173480506</v>
      </c>
      <c r="GV12">
        <f>IF(AND(ISNUMBER(GU12),逐级计算!$X$203&gt;-1),IF(逐级计算!$X$203=0,GU12+逐级计算!$C$203,GU12+逐级计算!$C$203-(10/(逐级计算!$Q$203*LN(10))*(MAX((LN(10^(逐级计算!$Q$203/10)-1)+逐级计算!$Q$203*(GU12-逐级计算!$P$203)*LN(10)/10),0)+LN(1+EXP(-ABS((LN(10^(逐级计算!$Q$203/10)-1)+逐级计算!$Q$203*(GU12-逐级计算!$P$203)*LN(10)/10))))))),"")</f>
        <v>14.9236173480506</v>
      </c>
      <c r="GW12">
        <f t="shared" si="2"/>
        <v>0.3125</v>
      </c>
    </row>
    <row r="13" spans="1:205">
      <c r="A13">
        <v>6</v>
      </c>
      <c r="B13">
        <f t="shared" si="1"/>
        <v>-6.25</v>
      </c>
      <c r="C13">
        <f t="shared" si="0"/>
        <v>-4.609375</v>
      </c>
      <c r="D13">
        <f>IF(AND(ISNUMBER(C13),ISNUMBER(逐级计算!$E$203),ISNUMBER(GV13)),C13+逐级计算!$E$203-GV13,"")</f>
        <v>1.24009153205792</v>
      </c>
      <c r="E13">
        <f>IF(AND(ISNUMBER(C13),逐级计算!$X$4&gt;-1),IF(逐级计算!$X$4=0,C13+逐级计算!$C$4,C13+逐级计算!$C$4-(10/(逐级计算!$Q$4*LN(10))*(MAX((LN(10^(逐级计算!$Q$4/10)-1)+逐级计算!$Q$4*(C13-逐级计算!$P$4)*LN(10)/10),0)+LN(1+EXP(-ABS((LN(10^(逐级计算!$Q$4/10)-1)+逐级计算!$Q$4*(C13-逐级计算!$P$4)*LN(10)/10))))))),"")</f>
        <v>5.24367224394422</v>
      </c>
      <c r="F13">
        <f>IF(AND(ISNUMBER(E13),逐级计算!$X$5&gt;-1),IF(逐级计算!$X$5=0,E13+逐级计算!$C$5,E13+逐级计算!$C$5-(10/(逐级计算!$Q$5*LN(10))*(MAX((LN(10^(逐级计算!$Q$5/10)-1)+逐级计算!$Q$5*(E13-逐级计算!$P$5)*LN(10)/10),0)+LN(1+EXP(-ABS((LN(10^(逐级计算!$Q$5/10)-1)+逐级计算!$Q$5*(E13-逐级计算!$P$5)*LN(10)/10))))))),"")</f>
        <v>14.1505334679421</v>
      </c>
      <c r="G13">
        <f>IF(AND(ISNUMBER(F13),逐级计算!$X$6&gt;-1),IF(逐级计算!$X$6=0,F13+逐级计算!$C$6,F13+逐级计算!$C$6-(10/(逐级计算!$Q$6*LN(10))*(MAX((LN(10^(逐级计算!$Q$6/10)-1)+逐级计算!$Q$6*(F13-逐级计算!$P$6)*LN(10)/10),0)+LN(1+EXP(-ABS((LN(10^(逐级计算!$Q$6/10)-1)+逐级计算!$Q$6*(F13-逐级计算!$P$6)*LN(10)/10))))))),"")</f>
        <v>14.1505334679421</v>
      </c>
      <c r="H13">
        <f>IF(AND(ISNUMBER(G13),逐级计算!$X$7&gt;-1),IF(逐级计算!$X$7=0,G13+逐级计算!$C$7,G13+逐级计算!$C$7-(10/(逐级计算!$Q$7*LN(10))*(MAX((LN(10^(逐级计算!$Q$7/10)-1)+逐级计算!$Q$7*(G13-逐级计算!$P$7)*LN(10)/10),0)+LN(1+EXP(-ABS((LN(10^(逐级计算!$Q$7/10)-1)+逐级计算!$Q$7*(G13-逐级计算!$P$7)*LN(10)/10))))))),"")</f>
        <v>14.1505334679421</v>
      </c>
      <c r="I13">
        <f>IF(AND(ISNUMBER(H13),逐级计算!$X$8&gt;-1),IF(逐级计算!$X$8=0,H13+逐级计算!$C$8,H13+逐级计算!$C$8-(10/(逐级计算!$Q$8*LN(10))*(MAX((LN(10^(逐级计算!$Q$8/10)-1)+逐级计算!$Q$8*(H13-逐级计算!$P$8)*LN(10)/10),0)+LN(1+EXP(-ABS((LN(10^(逐级计算!$Q$8/10)-1)+逐级计算!$Q$8*(H13-逐级计算!$P$8)*LN(10)/10))))))),"")</f>
        <v>14.1505334679421</v>
      </c>
      <c r="J13">
        <f>IF(AND(ISNUMBER(I13),逐级计算!$X$9&gt;-1),IF(逐级计算!$X$9=0,I13+逐级计算!$C$9,I13+逐级计算!$C$9-(10/(逐级计算!$Q$9*LN(10))*(MAX((LN(10^(逐级计算!$Q$9/10)-1)+逐级计算!$Q$9*(I13-逐级计算!$P$9)*LN(10)/10),0)+LN(1+EXP(-ABS((LN(10^(逐级计算!$Q$9/10)-1)+逐级计算!$Q$9*(I13-逐级计算!$P$9)*LN(10)/10))))))),"")</f>
        <v>14.1505334679421</v>
      </c>
      <c r="K13">
        <f>IF(AND(ISNUMBER(J13),逐级计算!$X$10&gt;-1),IF(逐级计算!$X$10=0,J13+逐级计算!$C$10,J13+逐级计算!$C$10-(10/(逐级计算!$Q$10*LN(10))*(MAX((LN(10^(逐级计算!$Q$10/10)-1)+逐级计算!$Q$10*(J13-逐级计算!$P$10)*LN(10)/10),0)+LN(1+EXP(-ABS((LN(10^(逐级计算!$Q$10/10)-1)+逐级计算!$Q$10*(J13-逐级计算!$P$10)*LN(10)/10))))))),"")</f>
        <v>14.1505334679421</v>
      </c>
      <c r="L13">
        <f>IF(AND(ISNUMBER(K13),逐级计算!$X$11&gt;-1),IF(逐级计算!$X$11=0,K13+逐级计算!$C$11,K13+逐级计算!$C$11-(10/(逐级计算!$Q$11*LN(10))*(MAX((LN(10^(逐级计算!$Q$11/10)-1)+逐级计算!$Q$11*(K13-逐级计算!$P$11)*LN(10)/10),0)+LN(1+EXP(-ABS((LN(10^(逐级计算!$Q$11/10)-1)+逐级计算!$Q$11*(K13-逐级计算!$P$11)*LN(10)/10))))))),"")</f>
        <v>14.1505334679421</v>
      </c>
      <c r="M13">
        <f>IF(AND(ISNUMBER(L13),逐级计算!$X$12&gt;-1),IF(逐级计算!$X$12=0,L13+逐级计算!$C$12,L13+逐级计算!$C$12-(10/(逐级计算!$Q$12*LN(10))*(MAX((LN(10^(逐级计算!$Q$12/10)-1)+逐级计算!$Q$12*(L13-逐级计算!$P$12)*LN(10)/10),0)+LN(1+EXP(-ABS((LN(10^(逐级计算!$Q$12/10)-1)+逐级计算!$Q$12*(L13-逐级计算!$P$12)*LN(10)/10))))))),"")</f>
        <v>14.1505334679421</v>
      </c>
      <c r="N13">
        <f>IF(AND(ISNUMBER(M13),逐级计算!$X$13&gt;-1),IF(逐级计算!$X$13=0,M13+逐级计算!$C$13,M13+逐级计算!$C$13-(10/(逐级计算!$Q$13*LN(10))*(MAX((LN(10^(逐级计算!$Q$13/10)-1)+逐级计算!$Q$13*(M13-逐级计算!$P$13)*LN(10)/10),0)+LN(1+EXP(-ABS((LN(10^(逐级计算!$Q$13/10)-1)+逐级计算!$Q$13*(M13-逐级计算!$P$13)*LN(10)/10))))))),"")</f>
        <v>14.1505334679421</v>
      </c>
      <c r="O13">
        <f>IF(AND(ISNUMBER(N13),逐级计算!$X$14&gt;-1),IF(逐级计算!$X$14=0,N13+逐级计算!$C$14,N13+逐级计算!$C$14-(10/(逐级计算!$Q$14*LN(10))*(MAX((LN(10^(逐级计算!$Q$14/10)-1)+逐级计算!$Q$14*(N13-逐级计算!$P$14)*LN(10)/10),0)+LN(1+EXP(-ABS((LN(10^(逐级计算!$Q$14/10)-1)+逐级计算!$Q$14*(N13-逐级计算!$P$14)*LN(10)/10))))))),"")</f>
        <v>14.1505334679421</v>
      </c>
      <c r="P13">
        <f>IF(AND(ISNUMBER(O13),逐级计算!$X$15&gt;-1),IF(逐级计算!$X$15=0,O13+逐级计算!$C$15,O13+逐级计算!$C$15-(10/(逐级计算!$Q$15*LN(10))*(MAX((LN(10^(逐级计算!$Q$15/10)-1)+逐级计算!$Q$15*(O13-逐级计算!$P$15)*LN(10)/10),0)+LN(1+EXP(-ABS((LN(10^(逐级计算!$Q$15/10)-1)+逐级计算!$Q$15*(O13-逐级计算!$P$15)*LN(10)/10))))))),"")</f>
        <v>14.1505334679421</v>
      </c>
      <c r="Q13">
        <f>IF(AND(ISNUMBER(P13),逐级计算!$X$16&gt;-1),IF(逐级计算!$X$16=0,P13+逐级计算!$C$16,P13+逐级计算!$C$16-(10/(逐级计算!$Q$16*LN(10))*(MAX((LN(10^(逐级计算!$Q$16/10)-1)+逐级计算!$Q$16*(P13-逐级计算!$P$16)*LN(10)/10),0)+LN(1+EXP(-ABS((LN(10^(逐级计算!$Q$16/10)-1)+逐级计算!$Q$16*(P13-逐级计算!$P$16)*LN(10)/10))))))),"")</f>
        <v>14.1505334679421</v>
      </c>
      <c r="R13">
        <f>IF(AND(ISNUMBER(Q13),逐级计算!$X$17&gt;-1),IF(逐级计算!$X$17=0,Q13+逐级计算!$C$17,Q13+逐级计算!$C$17-(10/(逐级计算!$Q$17*LN(10))*(MAX((LN(10^(逐级计算!$Q$17/10)-1)+逐级计算!$Q$17*(Q13-逐级计算!$P$17)*LN(10)/10),0)+LN(1+EXP(-ABS((LN(10^(逐级计算!$Q$17/10)-1)+逐级计算!$Q$17*(Q13-逐级计算!$P$17)*LN(10)/10))))))),"")</f>
        <v>14.1505334679421</v>
      </c>
      <c r="S13">
        <f>IF(AND(ISNUMBER(R13),逐级计算!$X$18&gt;-1),IF(逐级计算!$X$18=0,R13+逐级计算!$C$18,R13+逐级计算!$C$18-(10/(逐级计算!$Q$18*LN(10))*(MAX((LN(10^(逐级计算!$Q$18/10)-1)+逐级计算!$Q$18*(R13-逐级计算!$P$18)*LN(10)/10),0)+LN(1+EXP(-ABS((LN(10^(逐级计算!$Q$18/10)-1)+逐级计算!$Q$18*(R13-逐级计算!$P$18)*LN(10)/10))))))),"")</f>
        <v>14.1505334679421</v>
      </c>
      <c r="T13">
        <f>IF(AND(ISNUMBER(S13),逐级计算!$X$19&gt;-1),IF(逐级计算!$X$19=0,S13+逐级计算!$C$19,S13+逐级计算!$C$19-(10/(逐级计算!$Q$19*LN(10))*(MAX((LN(10^(逐级计算!$Q$19/10)-1)+逐级计算!$Q$19*(S13-逐级计算!$P$19)*LN(10)/10),0)+LN(1+EXP(-ABS((LN(10^(逐级计算!$Q$19/10)-1)+逐级计算!$Q$19*(S13-逐级计算!$P$19)*LN(10)/10))))))),"")</f>
        <v>14.1505334679421</v>
      </c>
      <c r="U13">
        <f>IF(AND(ISNUMBER(T13),逐级计算!$X$20&gt;-1),IF(逐级计算!$X$20=0,T13+逐级计算!$C$20,T13+逐级计算!$C$20-(10/(逐级计算!$Q$20*LN(10))*(MAX((LN(10^(逐级计算!$Q$20/10)-1)+逐级计算!$Q$20*(T13-逐级计算!$P$20)*LN(10)/10),0)+LN(1+EXP(-ABS((LN(10^(逐级计算!$Q$20/10)-1)+逐级计算!$Q$20*(T13-逐级计算!$P$20)*LN(10)/10))))))),"")</f>
        <v>14.1505334679421</v>
      </c>
      <c r="V13">
        <f>IF(AND(ISNUMBER(U13),逐级计算!$X$21&gt;-1),IF(逐级计算!$X$21=0,U13+逐级计算!$C$21,U13+逐级计算!$C$21-(10/(逐级计算!$Q$21*LN(10))*(MAX((LN(10^(逐级计算!$Q$21/10)-1)+逐级计算!$Q$21*(U13-逐级计算!$P$21)*LN(10)/10),0)+LN(1+EXP(-ABS((LN(10^(逐级计算!$Q$21/10)-1)+逐级计算!$Q$21*(U13-逐级计算!$P$21)*LN(10)/10))))))),"")</f>
        <v>14.1505334679421</v>
      </c>
      <c r="W13">
        <f>IF(AND(ISNUMBER(V13),逐级计算!$X$22&gt;-1),IF(逐级计算!$X$22=0,V13+逐级计算!$C$22,V13+逐级计算!$C$22-(10/(逐级计算!$Q$22*LN(10))*(MAX((LN(10^(逐级计算!$Q$22/10)-1)+逐级计算!$Q$22*(V13-逐级计算!$P$22)*LN(10)/10),0)+LN(1+EXP(-ABS((LN(10^(逐级计算!$Q$22/10)-1)+逐级计算!$Q$22*(V13-逐级计算!$P$22)*LN(10)/10))))))),"")</f>
        <v>14.1505334679421</v>
      </c>
      <c r="X13">
        <f>IF(AND(ISNUMBER(W13),逐级计算!$X$23&gt;-1),IF(逐级计算!$X$23=0,W13+逐级计算!$C$23,W13+逐级计算!$C$23-(10/(逐级计算!$Q$23*LN(10))*(MAX((LN(10^(逐级计算!$Q$23/10)-1)+逐级计算!$Q$23*(W13-逐级计算!$P$23)*LN(10)/10),0)+LN(1+EXP(-ABS((LN(10^(逐级计算!$Q$23/10)-1)+逐级计算!$Q$23*(W13-逐级计算!$P$23)*LN(10)/10))))))),"")</f>
        <v>14.1505334679421</v>
      </c>
      <c r="Y13">
        <f>IF(AND(ISNUMBER(X13),逐级计算!$X$24&gt;-1),IF(逐级计算!$X$24=0,X13+逐级计算!$C$24,X13+逐级计算!$C$24-(10/(逐级计算!$Q$24*LN(10))*(MAX((LN(10^(逐级计算!$Q$24/10)-1)+逐级计算!$Q$24*(X13-逐级计算!$P$24)*LN(10)/10),0)+LN(1+EXP(-ABS((LN(10^(逐级计算!$Q$24/10)-1)+逐级计算!$Q$24*(X13-逐级计算!$P$24)*LN(10)/10))))))),"")</f>
        <v>14.1505334679421</v>
      </c>
      <c r="Z13">
        <f>IF(AND(ISNUMBER(Y13),逐级计算!$X$25&gt;-1),IF(逐级计算!$X$25=0,Y13+逐级计算!$C$25,Y13+逐级计算!$C$25-(10/(逐级计算!$Q$25*LN(10))*(MAX((LN(10^(逐级计算!$Q$25/10)-1)+逐级计算!$Q$25*(Y13-逐级计算!$P$25)*LN(10)/10),0)+LN(1+EXP(-ABS((LN(10^(逐级计算!$Q$25/10)-1)+逐级计算!$Q$25*(Y13-逐级计算!$P$25)*LN(10)/10))))))),"")</f>
        <v>14.1505334679421</v>
      </c>
      <c r="AA13">
        <f>IF(AND(ISNUMBER(Z13),逐级计算!$X$26&gt;-1),IF(逐级计算!$X$26=0,Z13+逐级计算!$C$26,Z13+逐级计算!$C$26-(10/(逐级计算!$Q$26*LN(10))*(MAX((LN(10^(逐级计算!$Q$26/10)-1)+逐级计算!$Q$26*(Z13-逐级计算!$P$26)*LN(10)/10),0)+LN(1+EXP(-ABS((LN(10^(逐级计算!$Q$26/10)-1)+逐级计算!$Q$26*(Z13-逐级计算!$P$26)*LN(10)/10))))))),"")</f>
        <v>14.1505334679421</v>
      </c>
      <c r="AB13">
        <f>IF(AND(ISNUMBER(AA13),逐级计算!$X$27&gt;-1),IF(逐级计算!$X$27=0,AA13+逐级计算!$C$27,AA13+逐级计算!$C$27-(10/(逐级计算!$Q$27*LN(10))*(MAX((LN(10^(逐级计算!$Q$27/10)-1)+逐级计算!$Q$27*(AA13-逐级计算!$P$27)*LN(10)/10),0)+LN(1+EXP(-ABS((LN(10^(逐级计算!$Q$27/10)-1)+逐级计算!$Q$27*(AA13-逐级计算!$P$27)*LN(10)/10))))))),"")</f>
        <v>14.1505334679421</v>
      </c>
      <c r="AC13">
        <f>IF(AND(ISNUMBER(AB13),逐级计算!$X$28&gt;-1),IF(逐级计算!$X$28=0,AB13+逐级计算!$C$28,AB13+逐级计算!$C$28-(10/(逐级计算!$Q$28*LN(10))*(MAX((LN(10^(逐级计算!$Q$28/10)-1)+逐级计算!$Q$28*(AB13-逐级计算!$P$28)*LN(10)/10),0)+LN(1+EXP(-ABS((LN(10^(逐级计算!$Q$28/10)-1)+逐级计算!$Q$28*(AB13-逐级计算!$P$28)*LN(10)/10))))))),"")</f>
        <v>14.1505334679421</v>
      </c>
      <c r="AD13">
        <f>IF(AND(ISNUMBER(AC13),逐级计算!$X$29&gt;-1),IF(逐级计算!$X$29=0,AC13+逐级计算!$C$29,AC13+逐级计算!$C$29-(10/(逐级计算!$Q$29*LN(10))*(MAX((LN(10^(逐级计算!$Q$29/10)-1)+逐级计算!$Q$29*(AC13-逐级计算!$P$29)*LN(10)/10),0)+LN(1+EXP(-ABS((LN(10^(逐级计算!$Q$29/10)-1)+逐级计算!$Q$29*(AC13-逐级计算!$P$29)*LN(10)/10))))))),"")</f>
        <v>14.1505334679421</v>
      </c>
      <c r="AE13">
        <f>IF(AND(ISNUMBER(AD13),逐级计算!$X$30&gt;-1),IF(逐级计算!$X$30=0,AD13+逐级计算!$C$30,AD13+逐级计算!$C$30-(10/(逐级计算!$Q$30*LN(10))*(MAX((LN(10^(逐级计算!$Q$30/10)-1)+逐级计算!$Q$30*(AD13-逐级计算!$P$30)*LN(10)/10),0)+LN(1+EXP(-ABS((LN(10^(逐级计算!$Q$30/10)-1)+逐级计算!$Q$30*(AD13-逐级计算!$P$30)*LN(10)/10))))))),"")</f>
        <v>14.1505334679421</v>
      </c>
      <c r="AF13">
        <f>IF(AND(ISNUMBER(AE13),逐级计算!$X$31&gt;-1),IF(逐级计算!$X$31=0,AE13+逐级计算!$C$31,AE13+逐级计算!$C$31-(10/(逐级计算!$Q$31*LN(10))*(MAX((LN(10^(逐级计算!$Q$31/10)-1)+逐级计算!$Q$31*(AE13-逐级计算!$P$31)*LN(10)/10),0)+LN(1+EXP(-ABS((LN(10^(逐级计算!$Q$31/10)-1)+逐级计算!$Q$31*(AE13-逐级计算!$P$31)*LN(10)/10))))))),"")</f>
        <v>14.1505334679421</v>
      </c>
      <c r="AG13">
        <f>IF(AND(ISNUMBER(AF13),逐级计算!$X$32&gt;-1),IF(逐级计算!$X$32=0,AF13+逐级计算!$C$32,AF13+逐级计算!$C$32-(10/(逐级计算!$Q$32*LN(10))*(MAX((LN(10^(逐级计算!$Q$32/10)-1)+逐级计算!$Q$32*(AF13-逐级计算!$P$32)*LN(10)/10),0)+LN(1+EXP(-ABS((LN(10^(逐级计算!$Q$32/10)-1)+逐级计算!$Q$32*(AF13-逐级计算!$P$32)*LN(10)/10))))))),"")</f>
        <v>14.1505334679421</v>
      </c>
      <c r="AH13">
        <f>IF(AND(ISNUMBER(AG13),逐级计算!$X$33&gt;-1),IF(逐级计算!$X$33=0,AG13+逐级计算!$C$33,AG13+逐级计算!$C$33-(10/(逐级计算!$Q$33*LN(10))*(MAX((LN(10^(逐级计算!$Q$33/10)-1)+逐级计算!$Q$33*(AG13-逐级计算!$P$33)*LN(10)/10),0)+LN(1+EXP(-ABS((LN(10^(逐级计算!$Q$33/10)-1)+逐级计算!$Q$33*(AG13-逐级计算!$P$33)*LN(10)/10))))))),"")</f>
        <v>14.1505334679421</v>
      </c>
      <c r="AI13">
        <f>IF(AND(ISNUMBER(AH13),逐级计算!$X$34&gt;-1),IF(逐级计算!$X$34=0,AH13+逐级计算!$C$34,AH13+逐级计算!$C$34-(10/(逐级计算!$Q$34*LN(10))*(MAX((LN(10^(逐级计算!$Q$34/10)-1)+逐级计算!$Q$34*(AH13-逐级计算!$P$34)*LN(10)/10),0)+LN(1+EXP(-ABS((LN(10^(逐级计算!$Q$34/10)-1)+逐级计算!$Q$34*(AH13-逐级计算!$P$34)*LN(10)/10))))))),"")</f>
        <v>14.1505334679421</v>
      </c>
      <c r="AJ13">
        <f>IF(AND(ISNUMBER(AI13),逐级计算!$X$35&gt;-1),IF(逐级计算!$X$35=0,AI13+逐级计算!$C$35,AI13+逐级计算!$C$35-(10/(逐级计算!$Q$35*LN(10))*(MAX((LN(10^(逐级计算!$Q$35/10)-1)+逐级计算!$Q$35*(AI13-逐级计算!$P$35)*LN(10)/10),0)+LN(1+EXP(-ABS((LN(10^(逐级计算!$Q$35/10)-1)+逐级计算!$Q$35*(AI13-逐级计算!$P$35)*LN(10)/10))))))),"")</f>
        <v>14.1505334679421</v>
      </c>
      <c r="AK13">
        <f>IF(AND(ISNUMBER(AJ13),逐级计算!$X$36&gt;-1),IF(逐级计算!$X$36=0,AJ13+逐级计算!$C$36,AJ13+逐级计算!$C$36-(10/(逐级计算!$Q$36*LN(10))*(MAX((LN(10^(逐级计算!$Q$36/10)-1)+逐级计算!$Q$36*(AJ13-逐级计算!$P$36)*LN(10)/10),0)+LN(1+EXP(-ABS((LN(10^(逐级计算!$Q$36/10)-1)+逐级计算!$Q$36*(AJ13-逐级计算!$P$36)*LN(10)/10))))))),"")</f>
        <v>14.1505334679421</v>
      </c>
      <c r="AL13">
        <f>IF(AND(ISNUMBER(AK13),逐级计算!$X$37&gt;-1),IF(逐级计算!$X$37=0,AK13+逐级计算!$C$37,AK13+逐级计算!$C$37-(10/(逐级计算!$Q$37*LN(10))*(MAX((LN(10^(逐级计算!$Q$37/10)-1)+逐级计算!$Q$37*(AK13-逐级计算!$P$37)*LN(10)/10),0)+LN(1+EXP(-ABS((LN(10^(逐级计算!$Q$37/10)-1)+逐级计算!$Q$37*(AK13-逐级计算!$P$37)*LN(10)/10))))))),"")</f>
        <v>14.1505334679421</v>
      </c>
      <c r="AM13">
        <f>IF(AND(ISNUMBER(AL13),逐级计算!$X$38&gt;-1),IF(逐级计算!$X$38=0,AL13+逐级计算!$C$38,AL13+逐级计算!$C$38-(10/(逐级计算!$Q$38*LN(10))*(MAX((LN(10^(逐级计算!$Q$38/10)-1)+逐级计算!$Q$38*(AL13-逐级计算!$P$38)*LN(10)/10),0)+LN(1+EXP(-ABS((LN(10^(逐级计算!$Q$38/10)-1)+逐级计算!$Q$38*(AL13-逐级计算!$P$38)*LN(10)/10))))))),"")</f>
        <v>14.1505334679421</v>
      </c>
      <c r="AN13">
        <f>IF(AND(ISNUMBER(AM13),逐级计算!$X$39&gt;-1),IF(逐级计算!$X$39=0,AM13+逐级计算!$C$39,AM13+逐级计算!$C$39-(10/(逐级计算!$Q$39*LN(10))*(MAX((LN(10^(逐级计算!$Q$39/10)-1)+逐级计算!$Q$39*(AM13-逐级计算!$P$39)*LN(10)/10),0)+LN(1+EXP(-ABS((LN(10^(逐级计算!$Q$39/10)-1)+逐级计算!$Q$39*(AM13-逐级计算!$P$39)*LN(10)/10))))))),"")</f>
        <v>14.1505334679421</v>
      </c>
      <c r="AO13">
        <f>IF(AND(ISNUMBER(AN13),逐级计算!$X$40&gt;-1),IF(逐级计算!$X$40=0,AN13+逐级计算!$C$40,AN13+逐级计算!$C$40-(10/(逐级计算!$Q$40*LN(10))*(MAX((LN(10^(逐级计算!$Q$40/10)-1)+逐级计算!$Q$40*(AN13-逐级计算!$P$40)*LN(10)/10),0)+LN(1+EXP(-ABS((LN(10^(逐级计算!$Q$40/10)-1)+逐级计算!$Q$40*(AN13-逐级计算!$P$40)*LN(10)/10))))))),"")</f>
        <v>14.1505334679421</v>
      </c>
      <c r="AP13">
        <f>IF(AND(ISNUMBER(AO13),逐级计算!$X$41&gt;-1),IF(逐级计算!$X$41=0,AO13+逐级计算!$C$41,AO13+逐级计算!$C$41-(10/(逐级计算!$Q$41*LN(10))*(MAX((LN(10^(逐级计算!$Q$41/10)-1)+逐级计算!$Q$41*(AO13-逐级计算!$P$41)*LN(10)/10),0)+LN(1+EXP(-ABS((LN(10^(逐级计算!$Q$41/10)-1)+逐级计算!$Q$41*(AO13-逐级计算!$P$41)*LN(10)/10))))))),"")</f>
        <v>14.1505334679421</v>
      </c>
      <c r="AQ13">
        <f>IF(AND(ISNUMBER(AP13),逐级计算!$X$42&gt;-1),IF(逐级计算!$X$42=0,AP13+逐级计算!$C$42,AP13+逐级计算!$C$42-(10/(逐级计算!$Q$42*LN(10))*(MAX((LN(10^(逐级计算!$Q$42/10)-1)+逐级计算!$Q$42*(AP13-逐级计算!$P$42)*LN(10)/10),0)+LN(1+EXP(-ABS((LN(10^(逐级计算!$Q$42/10)-1)+逐级计算!$Q$42*(AP13-逐级计算!$P$42)*LN(10)/10))))))),"")</f>
        <v>14.1505334679421</v>
      </c>
      <c r="AR13">
        <f>IF(AND(ISNUMBER(AQ13),逐级计算!$X$43&gt;-1),IF(逐级计算!$X$43=0,AQ13+逐级计算!$C$43,AQ13+逐级计算!$C$43-(10/(逐级计算!$Q$43*LN(10))*(MAX((LN(10^(逐级计算!$Q$43/10)-1)+逐级计算!$Q$43*(AQ13-逐级计算!$P$43)*LN(10)/10),0)+LN(1+EXP(-ABS((LN(10^(逐级计算!$Q$43/10)-1)+逐级计算!$Q$43*(AQ13-逐级计算!$P$43)*LN(10)/10))))))),"")</f>
        <v>14.1505334679421</v>
      </c>
      <c r="AS13">
        <f>IF(AND(ISNUMBER(AR13),逐级计算!$X$44&gt;-1),IF(逐级计算!$X$44=0,AR13+逐级计算!$C$44,AR13+逐级计算!$C$44-(10/(逐级计算!$Q$44*LN(10))*(MAX((LN(10^(逐级计算!$Q$44/10)-1)+逐级计算!$Q$44*(AR13-逐级计算!$P$44)*LN(10)/10),0)+LN(1+EXP(-ABS((LN(10^(逐级计算!$Q$44/10)-1)+逐级计算!$Q$44*(AR13-逐级计算!$P$44)*LN(10)/10))))))),"")</f>
        <v>14.1505334679421</v>
      </c>
      <c r="AT13">
        <f>IF(AND(ISNUMBER(AS13),逐级计算!$X$45&gt;-1),IF(逐级计算!$X$45=0,AS13+逐级计算!$C$45,AS13+逐级计算!$C$45-(10/(逐级计算!$Q$45*LN(10))*(MAX((LN(10^(逐级计算!$Q$45/10)-1)+逐级计算!$Q$45*(AS13-逐级计算!$P$45)*LN(10)/10),0)+LN(1+EXP(-ABS((LN(10^(逐级计算!$Q$45/10)-1)+逐级计算!$Q$45*(AS13-逐级计算!$P$45)*LN(10)/10))))))),"")</f>
        <v>14.1505334679421</v>
      </c>
      <c r="AU13">
        <f>IF(AND(ISNUMBER(AT13),逐级计算!$X$46&gt;-1),IF(逐级计算!$X$46=0,AT13+逐级计算!$C$46,AT13+逐级计算!$C$46-(10/(逐级计算!$Q$46*LN(10))*(MAX((LN(10^(逐级计算!$Q$46/10)-1)+逐级计算!$Q$46*(AT13-逐级计算!$P$46)*LN(10)/10),0)+LN(1+EXP(-ABS((LN(10^(逐级计算!$Q$46/10)-1)+逐级计算!$Q$46*(AT13-逐级计算!$P$46)*LN(10)/10))))))),"")</f>
        <v>14.1505334679421</v>
      </c>
      <c r="AV13">
        <f>IF(AND(ISNUMBER(AU13),逐级计算!$X$47&gt;-1),IF(逐级计算!$X$47=0,AU13+逐级计算!$C$47,AU13+逐级计算!$C$47-(10/(逐级计算!$Q$47*LN(10))*(MAX((LN(10^(逐级计算!$Q$47/10)-1)+逐级计算!$Q$47*(AU13-逐级计算!$P$47)*LN(10)/10),0)+LN(1+EXP(-ABS((LN(10^(逐级计算!$Q$47/10)-1)+逐级计算!$Q$47*(AU13-逐级计算!$P$47)*LN(10)/10))))))),"")</f>
        <v>14.1505334679421</v>
      </c>
      <c r="AW13">
        <f>IF(AND(ISNUMBER(AV13),逐级计算!$X$48&gt;-1),IF(逐级计算!$X$48=0,AV13+逐级计算!$C$48,AV13+逐级计算!$C$48-(10/(逐级计算!$Q$48*LN(10))*(MAX((LN(10^(逐级计算!$Q$48/10)-1)+逐级计算!$Q$48*(AV13-逐级计算!$P$48)*LN(10)/10),0)+LN(1+EXP(-ABS((LN(10^(逐级计算!$Q$48/10)-1)+逐级计算!$Q$48*(AV13-逐级计算!$P$48)*LN(10)/10))))))),"")</f>
        <v>14.1505334679421</v>
      </c>
      <c r="AX13">
        <f>IF(AND(ISNUMBER(AW13),逐级计算!$X$49&gt;-1),IF(逐级计算!$X$49=0,AW13+逐级计算!$C$49,AW13+逐级计算!$C$49-(10/(逐级计算!$Q$49*LN(10))*(MAX((LN(10^(逐级计算!$Q$49/10)-1)+逐级计算!$Q$49*(AW13-逐级计算!$P$49)*LN(10)/10),0)+LN(1+EXP(-ABS((LN(10^(逐级计算!$Q$49/10)-1)+逐级计算!$Q$49*(AW13-逐级计算!$P$49)*LN(10)/10))))))),"")</f>
        <v>14.1505334679421</v>
      </c>
      <c r="AY13">
        <f>IF(AND(ISNUMBER(AX13),逐级计算!$X$50&gt;-1),IF(逐级计算!$X$50=0,AX13+逐级计算!$C$50,AX13+逐级计算!$C$50-(10/(逐级计算!$Q$50*LN(10))*(MAX((LN(10^(逐级计算!$Q$50/10)-1)+逐级计算!$Q$50*(AX13-逐级计算!$P$50)*LN(10)/10),0)+LN(1+EXP(-ABS((LN(10^(逐级计算!$Q$50/10)-1)+逐级计算!$Q$50*(AX13-逐级计算!$P$50)*LN(10)/10))))))),"")</f>
        <v>14.1505334679421</v>
      </c>
      <c r="AZ13">
        <f>IF(AND(ISNUMBER(AY13),逐级计算!$X$51&gt;-1),IF(逐级计算!$X$51=0,AY13+逐级计算!$C$51,AY13+逐级计算!$C$51-(10/(逐级计算!$Q$51*LN(10))*(MAX((LN(10^(逐级计算!$Q$51/10)-1)+逐级计算!$Q$51*(AY13-逐级计算!$P$51)*LN(10)/10),0)+LN(1+EXP(-ABS((LN(10^(逐级计算!$Q$51/10)-1)+逐级计算!$Q$51*(AY13-逐级计算!$P$51)*LN(10)/10))))))),"")</f>
        <v>14.1505334679421</v>
      </c>
      <c r="BA13">
        <f>IF(AND(ISNUMBER(AZ13),逐级计算!$X$52&gt;-1),IF(逐级计算!$X$52=0,AZ13+逐级计算!$C$52,AZ13+逐级计算!$C$52-(10/(逐级计算!$Q$52*LN(10))*(MAX((LN(10^(逐级计算!$Q$52/10)-1)+逐级计算!$Q$52*(AZ13-逐级计算!$P$52)*LN(10)/10),0)+LN(1+EXP(-ABS((LN(10^(逐级计算!$Q$52/10)-1)+逐级计算!$Q$52*(AZ13-逐级计算!$P$52)*LN(10)/10))))))),"")</f>
        <v>14.1505334679421</v>
      </c>
      <c r="BB13">
        <f>IF(AND(ISNUMBER(BA13),逐级计算!$X$53&gt;-1),IF(逐级计算!$X$53=0,BA13+逐级计算!$C$53,BA13+逐级计算!$C$53-(10/(逐级计算!$Q$53*LN(10))*(MAX((LN(10^(逐级计算!$Q$53/10)-1)+逐级计算!$Q$53*(BA13-逐级计算!$P$53)*LN(10)/10),0)+LN(1+EXP(-ABS((LN(10^(逐级计算!$Q$53/10)-1)+逐级计算!$Q$53*(BA13-逐级计算!$P$53)*LN(10)/10))))))),"")</f>
        <v>14.1505334679421</v>
      </c>
      <c r="BC13">
        <f>IF(AND(ISNUMBER(BB13),逐级计算!$X$54&gt;-1),IF(逐级计算!$X$54=0,BB13+逐级计算!$C$54,BB13+逐级计算!$C$54-(10/(逐级计算!$Q$54*LN(10))*(MAX((LN(10^(逐级计算!$Q$54/10)-1)+逐级计算!$Q$54*(BB13-逐级计算!$P$54)*LN(10)/10),0)+LN(1+EXP(-ABS((LN(10^(逐级计算!$Q$54/10)-1)+逐级计算!$Q$54*(BB13-逐级计算!$P$54)*LN(10)/10))))))),"")</f>
        <v>14.1505334679421</v>
      </c>
      <c r="BD13">
        <f>IF(AND(ISNUMBER(BC13),逐级计算!$X$55&gt;-1),IF(逐级计算!$X$55=0,BC13+逐级计算!$C$55,BC13+逐级计算!$C$55-(10/(逐级计算!$Q$55*LN(10))*(MAX((LN(10^(逐级计算!$Q$55/10)-1)+逐级计算!$Q$55*(BC13-逐级计算!$P$55)*LN(10)/10),0)+LN(1+EXP(-ABS((LN(10^(逐级计算!$Q$55/10)-1)+逐级计算!$Q$55*(BC13-逐级计算!$P$55)*LN(10)/10))))))),"")</f>
        <v>14.1505334679421</v>
      </c>
      <c r="BE13">
        <f>IF(AND(ISNUMBER(BD13),逐级计算!$X$56&gt;-1),IF(逐级计算!$X$56=0,BD13+逐级计算!$C$56,BD13+逐级计算!$C$56-(10/(逐级计算!$Q$56*LN(10))*(MAX((LN(10^(逐级计算!$Q$56/10)-1)+逐级计算!$Q$56*(BD13-逐级计算!$P$56)*LN(10)/10),0)+LN(1+EXP(-ABS((LN(10^(逐级计算!$Q$56/10)-1)+逐级计算!$Q$56*(BD13-逐级计算!$P$56)*LN(10)/10))))))),"")</f>
        <v>14.1505334679421</v>
      </c>
      <c r="BF13">
        <f>IF(AND(ISNUMBER(BE13),逐级计算!$X$57&gt;-1),IF(逐级计算!$X$57=0,BE13+逐级计算!$C$57,BE13+逐级计算!$C$57-(10/(逐级计算!$Q$57*LN(10))*(MAX((LN(10^(逐级计算!$Q$57/10)-1)+逐级计算!$Q$57*(BE13-逐级计算!$P$57)*LN(10)/10),0)+LN(1+EXP(-ABS((LN(10^(逐级计算!$Q$57/10)-1)+逐级计算!$Q$57*(BE13-逐级计算!$P$57)*LN(10)/10))))))),"")</f>
        <v>14.1505334679421</v>
      </c>
      <c r="BG13">
        <f>IF(AND(ISNUMBER(BF13),逐级计算!$X$58&gt;-1),IF(逐级计算!$X$58=0,BF13+逐级计算!$C$58,BF13+逐级计算!$C$58-(10/(逐级计算!$Q$58*LN(10))*(MAX((LN(10^(逐级计算!$Q$58/10)-1)+逐级计算!$Q$58*(BF13-逐级计算!$P$58)*LN(10)/10),0)+LN(1+EXP(-ABS((LN(10^(逐级计算!$Q$58/10)-1)+逐级计算!$Q$58*(BF13-逐级计算!$P$58)*LN(10)/10))))))),"")</f>
        <v>14.1505334679421</v>
      </c>
      <c r="BH13">
        <f>IF(AND(ISNUMBER(BG13),逐级计算!$X$59&gt;-1),IF(逐级计算!$X$59=0,BG13+逐级计算!$C$59,BG13+逐级计算!$C$59-(10/(逐级计算!$Q$59*LN(10))*(MAX((LN(10^(逐级计算!$Q$59/10)-1)+逐级计算!$Q$59*(BG13-逐级计算!$P$59)*LN(10)/10),0)+LN(1+EXP(-ABS((LN(10^(逐级计算!$Q$59/10)-1)+逐级计算!$Q$59*(BG13-逐级计算!$P$59)*LN(10)/10))))))),"")</f>
        <v>14.1505334679421</v>
      </c>
      <c r="BI13">
        <f>IF(AND(ISNUMBER(BH13),逐级计算!$X$60&gt;-1),IF(逐级计算!$X$60=0,BH13+逐级计算!$C$60,BH13+逐级计算!$C$60-(10/(逐级计算!$Q$60*LN(10))*(MAX((LN(10^(逐级计算!$Q$60/10)-1)+逐级计算!$Q$60*(BH13-逐级计算!$P$60)*LN(10)/10),0)+LN(1+EXP(-ABS((LN(10^(逐级计算!$Q$60/10)-1)+逐级计算!$Q$60*(BH13-逐级计算!$P$60)*LN(10)/10))))))),"")</f>
        <v>14.1505334679421</v>
      </c>
      <c r="BJ13">
        <f>IF(AND(ISNUMBER(BI13),逐级计算!$X$61&gt;-1),IF(逐级计算!$X$61=0,BI13+逐级计算!$C$61,BI13+逐级计算!$C$61-(10/(逐级计算!$Q$61*LN(10))*(MAX((LN(10^(逐级计算!$Q$61/10)-1)+逐级计算!$Q$61*(BI13-逐级计算!$P$61)*LN(10)/10),0)+LN(1+EXP(-ABS((LN(10^(逐级计算!$Q$61/10)-1)+逐级计算!$Q$61*(BI13-逐级计算!$P$61)*LN(10)/10))))))),"")</f>
        <v>14.1505334679421</v>
      </c>
      <c r="BK13">
        <f>IF(AND(ISNUMBER(BJ13),逐级计算!$X$62&gt;-1),IF(逐级计算!$X$62=0,BJ13+逐级计算!$C$62,BJ13+逐级计算!$C$62-(10/(逐级计算!$Q$62*LN(10))*(MAX((LN(10^(逐级计算!$Q$62/10)-1)+逐级计算!$Q$62*(BJ13-逐级计算!$P$62)*LN(10)/10),0)+LN(1+EXP(-ABS((LN(10^(逐级计算!$Q$62/10)-1)+逐级计算!$Q$62*(BJ13-逐级计算!$P$62)*LN(10)/10))))))),"")</f>
        <v>14.1505334679421</v>
      </c>
      <c r="BL13">
        <f>IF(AND(ISNUMBER(BK13),逐级计算!$X$63&gt;-1),IF(逐级计算!$X$63=0,BK13+逐级计算!$C$63,BK13+逐级计算!$C$63-(10/(逐级计算!$Q$63*LN(10))*(MAX((LN(10^(逐级计算!$Q$63/10)-1)+逐级计算!$Q$63*(BK13-逐级计算!$P$63)*LN(10)/10),0)+LN(1+EXP(-ABS((LN(10^(逐级计算!$Q$63/10)-1)+逐级计算!$Q$63*(BK13-逐级计算!$P$63)*LN(10)/10))))))),"")</f>
        <v>14.1505334679421</v>
      </c>
      <c r="BM13">
        <f>IF(AND(ISNUMBER(BL13),逐级计算!$X$64&gt;-1),IF(逐级计算!$X$64=0,BL13+逐级计算!$C$64,BL13+逐级计算!$C$64-(10/(逐级计算!$Q$64*LN(10))*(MAX((LN(10^(逐级计算!$Q$64/10)-1)+逐级计算!$Q$64*(BL13-逐级计算!$P$64)*LN(10)/10),0)+LN(1+EXP(-ABS((LN(10^(逐级计算!$Q$64/10)-1)+逐级计算!$Q$64*(BL13-逐级计算!$P$64)*LN(10)/10))))))),"")</f>
        <v>14.1505334679421</v>
      </c>
      <c r="BN13">
        <f>IF(AND(ISNUMBER(BM13),逐级计算!$X$65&gt;-1),IF(逐级计算!$X$65=0,BM13+逐级计算!$C$65,BM13+逐级计算!$C$65-(10/(逐级计算!$Q$65*LN(10))*(MAX((LN(10^(逐级计算!$Q$65/10)-1)+逐级计算!$Q$65*(BM13-逐级计算!$P$65)*LN(10)/10),0)+LN(1+EXP(-ABS((LN(10^(逐级计算!$Q$65/10)-1)+逐级计算!$Q$65*(BM13-逐级计算!$P$65)*LN(10)/10))))))),"")</f>
        <v>14.1505334679421</v>
      </c>
      <c r="BO13">
        <f>IF(AND(ISNUMBER(BN13),逐级计算!$X$66&gt;-1),IF(逐级计算!$X$66=0,BN13+逐级计算!$C$66,BN13+逐级计算!$C$66-(10/(逐级计算!$Q$66*LN(10))*(MAX((LN(10^(逐级计算!$Q$66/10)-1)+逐级计算!$Q$66*(BN13-逐级计算!$P$66)*LN(10)/10),0)+LN(1+EXP(-ABS((LN(10^(逐级计算!$Q$66/10)-1)+逐级计算!$Q$66*(BN13-逐级计算!$P$66)*LN(10)/10))))))),"")</f>
        <v>14.1505334679421</v>
      </c>
      <c r="BP13">
        <f>IF(AND(ISNUMBER(BO13),逐级计算!$X$67&gt;-1),IF(逐级计算!$X$67=0,BO13+逐级计算!$C$67,BO13+逐级计算!$C$67-(10/(逐级计算!$Q$67*LN(10))*(MAX((LN(10^(逐级计算!$Q$67/10)-1)+逐级计算!$Q$67*(BO13-逐级计算!$P$67)*LN(10)/10),0)+LN(1+EXP(-ABS((LN(10^(逐级计算!$Q$67/10)-1)+逐级计算!$Q$67*(BO13-逐级计算!$P$67)*LN(10)/10))))))),"")</f>
        <v>14.1505334679421</v>
      </c>
      <c r="BQ13">
        <f>IF(AND(ISNUMBER(BP13),逐级计算!$X$68&gt;-1),IF(逐级计算!$X$68=0,BP13+逐级计算!$C$68,BP13+逐级计算!$C$68-(10/(逐级计算!$Q$68*LN(10))*(MAX((LN(10^(逐级计算!$Q$68/10)-1)+逐级计算!$Q$68*(BP13-逐级计算!$P$68)*LN(10)/10),0)+LN(1+EXP(-ABS((LN(10^(逐级计算!$Q$68/10)-1)+逐级计算!$Q$68*(BP13-逐级计算!$P$68)*LN(10)/10))))))),"")</f>
        <v>14.1505334679421</v>
      </c>
      <c r="BR13">
        <f>IF(AND(ISNUMBER(BQ13),逐级计算!$X$69&gt;-1),IF(逐级计算!$X$69=0,BQ13+逐级计算!$C$69,BQ13+逐级计算!$C$69-(10/(逐级计算!$Q$69*LN(10))*(MAX((LN(10^(逐级计算!$Q$69/10)-1)+逐级计算!$Q$69*(BQ13-逐级计算!$P$69)*LN(10)/10),0)+LN(1+EXP(-ABS((LN(10^(逐级计算!$Q$69/10)-1)+逐级计算!$Q$69*(BQ13-逐级计算!$P$69)*LN(10)/10))))))),"")</f>
        <v>14.1505334679421</v>
      </c>
      <c r="BS13">
        <f>IF(AND(ISNUMBER(BR13),逐级计算!$X$70&gt;-1),IF(逐级计算!$X$70=0,BR13+逐级计算!$C$70,BR13+逐级计算!$C$70-(10/(逐级计算!$Q$70*LN(10))*(MAX((LN(10^(逐级计算!$Q$70/10)-1)+逐级计算!$Q$70*(BR13-逐级计算!$P$70)*LN(10)/10),0)+LN(1+EXP(-ABS((LN(10^(逐级计算!$Q$70/10)-1)+逐级计算!$Q$70*(BR13-逐级计算!$P$70)*LN(10)/10))))))),"")</f>
        <v>14.1505334679421</v>
      </c>
      <c r="BT13">
        <f>IF(AND(ISNUMBER(BS13),逐级计算!$X$71&gt;-1),IF(逐级计算!$X$71=0,BS13+逐级计算!$C$71,BS13+逐级计算!$C$71-(10/(逐级计算!$Q$71*LN(10))*(MAX((LN(10^(逐级计算!$Q$71/10)-1)+逐级计算!$Q$71*(BS13-逐级计算!$P$71)*LN(10)/10),0)+LN(1+EXP(-ABS((LN(10^(逐级计算!$Q$71/10)-1)+逐级计算!$Q$71*(BS13-逐级计算!$P$71)*LN(10)/10))))))),"")</f>
        <v>14.1505334679421</v>
      </c>
      <c r="BU13">
        <f>IF(AND(ISNUMBER(BT13),逐级计算!$X$72&gt;-1),IF(逐级计算!$X$72=0,BT13+逐级计算!$C$72,BT13+逐级计算!$C$72-(10/(逐级计算!$Q$72*LN(10))*(MAX((LN(10^(逐级计算!$Q$72/10)-1)+逐级计算!$Q$72*(BT13-逐级计算!$P$72)*LN(10)/10),0)+LN(1+EXP(-ABS((LN(10^(逐级计算!$Q$72/10)-1)+逐级计算!$Q$72*(BT13-逐级计算!$P$72)*LN(10)/10))))))),"")</f>
        <v>14.1505334679421</v>
      </c>
      <c r="BV13">
        <f>IF(AND(ISNUMBER(BU13),逐级计算!$X$73&gt;-1),IF(逐级计算!$X$73=0,BU13+逐级计算!$C$73,BU13+逐级计算!$C$73-(10/(逐级计算!$Q$73*LN(10))*(MAX((LN(10^(逐级计算!$Q$73/10)-1)+逐级计算!$Q$73*(BU13-逐级计算!$P$73)*LN(10)/10),0)+LN(1+EXP(-ABS((LN(10^(逐级计算!$Q$73/10)-1)+逐级计算!$Q$73*(BU13-逐级计算!$P$73)*LN(10)/10))))))),"")</f>
        <v>14.1505334679421</v>
      </c>
      <c r="BW13">
        <f>IF(AND(ISNUMBER(BV13),逐级计算!$X$74&gt;-1),IF(逐级计算!$X$74=0,BV13+逐级计算!$C$74,BV13+逐级计算!$C$74-(10/(逐级计算!$Q$74*LN(10))*(MAX((LN(10^(逐级计算!$Q$74/10)-1)+逐级计算!$Q$74*(BV13-逐级计算!$P$74)*LN(10)/10),0)+LN(1+EXP(-ABS((LN(10^(逐级计算!$Q$74/10)-1)+逐级计算!$Q$74*(BV13-逐级计算!$P$74)*LN(10)/10))))))),"")</f>
        <v>14.1505334679421</v>
      </c>
      <c r="BX13">
        <f>IF(AND(ISNUMBER(BW13),逐级计算!$X$75&gt;-1),IF(逐级计算!$X$75=0,BW13+逐级计算!$C$75,BW13+逐级计算!$C$75-(10/(逐级计算!$Q$75*LN(10))*(MAX((LN(10^(逐级计算!$Q$75/10)-1)+逐级计算!$Q$75*(BW13-逐级计算!$P$75)*LN(10)/10),0)+LN(1+EXP(-ABS((LN(10^(逐级计算!$Q$75/10)-1)+逐级计算!$Q$75*(BW13-逐级计算!$P$75)*LN(10)/10))))))),"")</f>
        <v>14.1505334679421</v>
      </c>
      <c r="BY13">
        <f>IF(AND(ISNUMBER(BX13),逐级计算!$X$76&gt;-1),IF(逐级计算!$X$76=0,BX13+逐级计算!$C$76,BX13+逐级计算!$C$76-(10/(逐级计算!$Q$76*LN(10))*(MAX((LN(10^(逐级计算!$Q$76/10)-1)+逐级计算!$Q$76*(BX13-逐级计算!$P$76)*LN(10)/10),0)+LN(1+EXP(-ABS((LN(10^(逐级计算!$Q$76/10)-1)+逐级计算!$Q$76*(BX13-逐级计算!$P$76)*LN(10)/10))))))),"")</f>
        <v>14.1505334679421</v>
      </c>
      <c r="BZ13">
        <f>IF(AND(ISNUMBER(BY13),逐级计算!$X$77&gt;-1),IF(逐级计算!$X$77=0,BY13+逐级计算!$C$77,BY13+逐级计算!$C$77-(10/(逐级计算!$Q$77*LN(10))*(MAX((LN(10^(逐级计算!$Q$77/10)-1)+逐级计算!$Q$77*(BY13-逐级计算!$P$77)*LN(10)/10),0)+LN(1+EXP(-ABS((LN(10^(逐级计算!$Q$77/10)-1)+逐级计算!$Q$77*(BY13-逐级计算!$P$77)*LN(10)/10))))))),"")</f>
        <v>14.1505334679421</v>
      </c>
      <c r="CA13">
        <f>IF(AND(ISNUMBER(BZ13),逐级计算!$X$78&gt;-1),IF(逐级计算!$X$78=0,BZ13+逐级计算!$C$78,BZ13+逐级计算!$C$78-(10/(逐级计算!$Q$78*LN(10))*(MAX((LN(10^(逐级计算!$Q$78/10)-1)+逐级计算!$Q$78*(BZ13-逐级计算!$P$78)*LN(10)/10),0)+LN(1+EXP(-ABS((LN(10^(逐级计算!$Q$78/10)-1)+逐级计算!$Q$78*(BZ13-逐级计算!$P$78)*LN(10)/10))))))),"")</f>
        <v>14.1505334679421</v>
      </c>
      <c r="CB13">
        <f>IF(AND(ISNUMBER(CA13),逐级计算!$X$79&gt;-1),IF(逐级计算!$X$79=0,CA13+逐级计算!$C$79,CA13+逐级计算!$C$79-(10/(逐级计算!$Q$79*LN(10))*(MAX((LN(10^(逐级计算!$Q$79/10)-1)+逐级计算!$Q$79*(CA13-逐级计算!$P$79)*LN(10)/10),0)+LN(1+EXP(-ABS((LN(10^(逐级计算!$Q$79/10)-1)+逐级计算!$Q$79*(CA13-逐级计算!$P$79)*LN(10)/10))))))),"")</f>
        <v>14.1505334679421</v>
      </c>
      <c r="CC13">
        <f>IF(AND(ISNUMBER(CB13),逐级计算!$X$80&gt;-1),IF(逐级计算!$X$80=0,CB13+逐级计算!$C$80,CB13+逐级计算!$C$80-(10/(逐级计算!$Q$80*LN(10))*(MAX((LN(10^(逐级计算!$Q$80/10)-1)+逐级计算!$Q$80*(CB13-逐级计算!$P$80)*LN(10)/10),0)+LN(1+EXP(-ABS((LN(10^(逐级计算!$Q$80/10)-1)+逐级计算!$Q$80*(CB13-逐级计算!$P$80)*LN(10)/10))))))),"")</f>
        <v>14.1505334679421</v>
      </c>
      <c r="CD13">
        <f>IF(AND(ISNUMBER(CC13),逐级计算!$X$81&gt;-1),IF(逐级计算!$X$81=0,CC13+逐级计算!$C$81,CC13+逐级计算!$C$81-(10/(逐级计算!$Q$81*LN(10))*(MAX((LN(10^(逐级计算!$Q$81/10)-1)+逐级计算!$Q$81*(CC13-逐级计算!$P$81)*LN(10)/10),0)+LN(1+EXP(-ABS((LN(10^(逐级计算!$Q$81/10)-1)+逐级计算!$Q$81*(CC13-逐级计算!$P$81)*LN(10)/10))))))),"")</f>
        <v>14.1505334679421</v>
      </c>
      <c r="CE13">
        <f>IF(AND(ISNUMBER(CD13),逐级计算!$X$82&gt;-1),IF(逐级计算!$X$82=0,CD13+逐级计算!$C$82,CD13+逐级计算!$C$82-(10/(逐级计算!$Q$82*LN(10))*(MAX((LN(10^(逐级计算!$Q$82/10)-1)+逐级计算!$Q$82*(CD13-逐级计算!$P$82)*LN(10)/10),0)+LN(1+EXP(-ABS((LN(10^(逐级计算!$Q$82/10)-1)+逐级计算!$Q$82*(CD13-逐级计算!$P$82)*LN(10)/10))))))),"")</f>
        <v>14.1505334679421</v>
      </c>
      <c r="CF13">
        <f>IF(AND(ISNUMBER(CE13),逐级计算!$X$83&gt;-1),IF(逐级计算!$X$83=0,CE13+逐级计算!$C$83,CE13+逐级计算!$C$83-(10/(逐级计算!$Q$83*LN(10))*(MAX((LN(10^(逐级计算!$Q$83/10)-1)+逐级计算!$Q$83*(CE13-逐级计算!$P$83)*LN(10)/10),0)+LN(1+EXP(-ABS((LN(10^(逐级计算!$Q$83/10)-1)+逐级计算!$Q$83*(CE13-逐级计算!$P$83)*LN(10)/10))))))),"")</f>
        <v>14.1505334679421</v>
      </c>
      <c r="CG13">
        <f>IF(AND(ISNUMBER(CF13),逐级计算!$X$84&gt;-1),IF(逐级计算!$X$84=0,CF13+逐级计算!$C$84,CF13+逐级计算!$C$84-(10/(逐级计算!$Q$84*LN(10))*(MAX((LN(10^(逐级计算!$Q$84/10)-1)+逐级计算!$Q$84*(CF13-逐级计算!$P$84)*LN(10)/10),0)+LN(1+EXP(-ABS((LN(10^(逐级计算!$Q$84/10)-1)+逐级计算!$Q$84*(CF13-逐级计算!$P$84)*LN(10)/10))))))),"")</f>
        <v>14.1505334679421</v>
      </c>
      <c r="CH13">
        <f>IF(AND(ISNUMBER(CG13),逐级计算!$X$85&gt;-1),IF(逐级计算!$X$85=0,CG13+逐级计算!$C$85,CG13+逐级计算!$C$85-(10/(逐级计算!$Q$85*LN(10))*(MAX((LN(10^(逐级计算!$Q$85/10)-1)+逐级计算!$Q$85*(CG13-逐级计算!$P$85)*LN(10)/10),0)+LN(1+EXP(-ABS((LN(10^(逐级计算!$Q$85/10)-1)+逐级计算!$Q$85*(CG13-逐级计算!$P$85)*LN(10)/10))))))),"")</f>
        <v>14.1505334679421</v>
      </c>
      <c r="CI13">
        <f>IF(AND(ISNUMBER(CH13),逐级计算!$X$86&gt;-1),IF(逐级计算!$X$86=0,CH13+逐级计算!$C$86,CH13+逐级计算!$C$86-(10/(逐级计算!$Q$86*LN(10))*(MAX((LN(10^(逐级计算!$Q$86/10)-1)+逐级计算!$Q$86*(CH13-逐级计算!$P$86)*LN(10)/10),0)+LN(1+EXP(-ABS((LN(10^(逐级计算!$Q$86/10)-1)+逐级计算!$Q$86*(CH13-逐级计算!$P$86)*LN(10)/10))))))),"")</f>
        <v>14.1505334679421</v>
      </c>
      <c r="CJ13">
        <f>IF(AND(ISNUMBER(CI13),逐级计算!$X$87&gt;-1),IF(逐级计算!$X$87=0,CI13+逐级计算!$C$87,CI13+逐级计算!$C$87-(10/(逐级计算!$Q$87*LN(10))*(MAX((LN(10^(逐级计算!$Q$87/10)-1)+逐级计算!$Q$87*(CI13-逐级计算!$P$87)*LN(10)/10),0)+LN(1+EXP(-ABS((LN(10^(逐级计算!$Q$87/10)-1)+逐级计算!$Q$87*(CI13-逐级计算!$P$87)*LN(10)/10))))))),"")</f>
        <v>14.1505334679421</v>
      </c>
      <c r="CK13">
        <f>IF(AND(ISNUMBER(CJ13),逐级计算!$X$88&gt;-1),IF(逐级计算!$X$88=0,CJ13+逐级计算!$C$88,CJ13+逐级计算!$C$88-(10/(逐级计算!$Q$88*LN(10))*(MAX((LN(10^(逐级计算!$Q$88/10)-1)+逐级计算!$Q$88*(CJ13-逐级计算!$P$88)*LN(10)/10),0)+LN(1+EXP(-ABS((LN(10^(逐级计算!$Q$88/10)-1)+逐级计算!$Q$88*(CJ13-逐级计算!$P$88)*LN(10)/10))))))),"")</f>
        <v>14.1505334679421</v>
      </c>
      <c r="CL13">
        <f>IF(AND(ISNUMBER(CK13),逐级计算!$X$89&gt;-1),IF(逐级计算!$X$89=0,CK13+逐级计算!$C$89,CK13+逐级计算!$C$89-(10/(逐级计算!$Q$89*LN(10))*(MAX((LN(10^(逐级计算!$Q$89/10)-1)+逐级计算!$Q$89*(CK13-逐级计算!$P$89)*LN(10)/10),0)+LN(1+EXP(-ABS((LN(10^(逐级计算!$Q$89/10)-1)+逐级计算!$Q$89*(CK13-逐级计算!$P$89)*LN(10)/10))))))),"")</f>
        <v>14.1505334679421</v>
      </c>
      <c r="CM13">
        <f>IF(AND(ISNUMBER(CL13),逐级计算!$X$90&gt;-1),IF(逐级计算!$X$90=0,CL13+逐级计算!$C$90,CL13+逐级计算!$C$90-(10/(逐级计算!$Q$90*LN(10))*(MAX((LN(10^(逐级计算!$Q$90/10)-1)+逐级计算!$Q$90*(CL13-逐级计算!$P$90)*LN(10)/10),0)+LN(1+EXP(-ABS((LN(10^(逐级计算!$Q$90/10)-1)+逐级计算!$Q$90*(CL13-逐级计算!$P$90)*LN(10)/10))))))),"")</f>
        <v>14.1505334679421</v>
      </c>
      <c r="CN13">
        <f>IF(AND(ISNUMBER(CM13),逐级计算!$X$91&gt;-1),IF(逐级计算!$X$91=0,CM13+逐级计算!$C$91,CM13+逐级计算!$C$91-(10/(逐级计算!$Q$91*LN(10))*(MAX((LN(10^(逐级计算!$Q$91/10)-1)+逐级计算!$Q$91*(CM13-逐级计算!$P$91)*LN(10)/10),0)+LN(1+EXP(-ABS((LN(10^(逐级计算!$Q$91/10)-1)+逐级计算!$Q$91*(CM13-逐级计算!$P$91)*LN(10)/10))))))),"")</f>
        <v>14.1505334679421</v>
      </c>
      <c r="CO13">
        <f>IF(AND(ISNUMBER(CN13),逐级计算!$X$92&gt;-1),IF(逐级计算!$X$92=0,CN13+逐级计算!$C$92,CN13+逐级计算!$C$92-(10/(逐级计算!$Q$92*LN(10))*(MAX((LN(10^(逐级计算!$Q$92/10)-1)+逐级计算!$Q$92*(CN13-逐级计算!$P$92)*LN(10)/10),0)+LN(1+EXP(-ABS((LN(10^(逐级计算!$Q$92/10)-1)+逐级计算!$Q$92*(CN13-逐级计算!$P$92)*LN(10)/10))))))),"")</f>
        <v>14.1505334679421</v>
      </c>
      <c r="CP13">
        <f>IF(AND(ISNUMBER(CO13),逐级计算!$X$93&gt;-1),IF(逐级计算!$X$93=0,CO13+逐级计算!$C$93,CO13+逐级计算!$C$93-(10/(逐级计算!$Q$93*LN(10))*(MAX((LN(10^(逐级计算!$Q$93/10)-1)+逐级计算!$Q$93*(CO13-逐级计算!$P$93)*LN(10)/10),0)+LN(1+EXP(-ABS((LN(10^(逐级计算!$Q$93/10)-1)+逐级计算!$Q$93*(CO13-逐级计算!$P$93)*LN(10)/10))))))),"")</f>
        <v>14.1505334679421</v>
      </c>
      <c r="CQ13">
        <f>IF(AND(ISNUMBER(CP13),逐级计算!$X$94&gt;-1),IF(逐级计算!$X$94=0,CP13+逐级计算!$C$94,CP13+逐级计算!$C$94-(10/(逐级计算!$Q$94*LN(10))*(MAX((LN(10^(逐级计算!$Q$94/10)-1)+逐级计算!$Q$94*(CP13-逐级计算!$P$94)*LN(10)/10),0)+LN(1+EXP(-ABS((LN(10^(逐级计算!$Q$94/10)-1)+逐级计算!$Q$94*(CP13-逐级计算!$P$94)*LN(10)/10))))))),"")</f>
        <v>14.1505334679421</v>
      </c>
      <c r="CR13">
        <f>IF(AND(ISNUMBER(CQ13),逐级计算!$X$95&gt;-1),IF(逐级计算!$X$95=0,CQ13+逐级计算!$C$95,CQ13+逐级计算!$C$95-(10/(逐级计算!$Q$95*LN(10))*(MAX((LN(10^(逐级计算!$Q$95/10)-1)+逐级计算!$Q$95*(CQ13-逐级计算!$P$95)*LN(10)/10),0)+LN(1+EXP(-ABS((LN(10^(逐级计算!$Q$95/10)-1)+逐级计算!$Q$95*(CQ13-逐级计算!$P$95)*LN(10)/10))))))),"")</f>
        <v>14.1505334679421</v>
      </c>
      <c r="CS13">
        <f>IF(AND(ISNUMBER(CR13),逐级计算!$X$96&gt;-1),IF(逐级计算!$X$96=0,CR13+逐级计算!$C$96,CR13+逐级计算!$C$96-(10/(逐级计算!$Q$96*LN(10))*(MAX((LN(10^(逐级计算!$Q$96/10)-1)+逐级计算!$Q$96*(CR13-逐级计算!$P$96)*LN(10)/10),0)+LN(1+EXP(-ABS((LN(10^(逐级计算!$Q$96/10)-1)+逐级计算!$Q$96*(CR13-逐级计算!$P$96)*LN(10)/10))))))),"")</f>
        <v>14.1505334679421</v>
      </c>
      <c r="CT13">
        <f>IF(AND(ISNUMBER(CS13),逐级计算!$X$97&gt;-1),IF(逐级计算!$X$97=0,CS13+逐级计算!$C$97,CS13+逐级计算!$C$97-(10/(逐级计算!$Q$97*LN(10))*(MAX((LN(10^(逐级计算!$Q$97/10)-1)+逐级计算!$Q$97*(CS13-逐级计算!$P$97)*LN(10)/10),0)+LN(1+EXP(-ABS((LN(10^(逐级计算!$Q$97/10)-1)+逐级计算!$Q$97*(CS13-逐级计算!$P$97)*LN(10)/10))))))),"")</f>
        <v>14.1505334679421</v>
      </c>
      <c r="CU13">
        <f>IF(AND(ISNUMBER(CT13),逐级计算!$X$98&gt;-1),IF(逐级计算!$X$98=0,CT13+逐级计算!$C$98,CT13+逐级计算!$C$98-(10/(逐级计算!$Q$98*LN(10))*(MAX((LN(10^(逐级计算!$Q$98/10)-1)+逐级计算!$Q$98*(CT13-逐级计算!$P$98)*LN(10)/10),0)+LN(1+EXP(-ABS((LN(10^(逐级计算!$Q$98/10)-1)+逐级计算!$Q$98*(CT13-逐级计算!$P$98)*LN(10)/10))))))),"")</f>
        <v>14.1505334679421</v>
      </c>
      <c r="CV13">
        <f>IF(AND(ISNUMBER(CU13),逐级计算!$X$99&gt;-1),IF(逐级计算!$X$99=0,CU13+逐级计算!$C$99,CU13+逐级计算!$C$99-(10/(逐级计算!$Q$99*LN(10))*(MAX((LN(10^(逐级计算!$Q$99/10)-1)+逐级计算!$Q$99*(CU13-逐级计算!$P$99)*LN(10)/10),0)+LN(1+EXP(-ABS((LN(10^(逐级计算!$Q$99/10)-1)+逐级计算!$Q$99*(CU13-逐级计算!$P$99)*LN(10)/10))))))),"")</f>
        <v>14.1505334679421</v>
      </c>
      <c r="CW13">
        <f>IF(AND(ISNUMBER(CV13),逐级计算!$X$100&gt;-1),IF(逐级计算!$X$100=0,CV13+逐级计算!$C$100,CV13+逐级计算!$C$100-(10/(逐级计算!$Q$100*LN(10))*(MAX((LN(10^(逐级计算!$Q$100/10)-1)+逐级计算!$Q$100*(CV13-逐级计算!$P$100)*LN(10)/10),0)+LN(1+EXP(-ABS((LN(10^(逐级计算!$Q$100/10)-1)+逐级计算!$Q$100*(CV13-逐级计算!$P$100)*LN(10)/10))))))),"")</f>
        <v>14.1505334679421</v>
      </c>
      <c r="CX13">
        <f>IF(AND(ISNUMBER(CW13),逐级计算!$X$101&gt;-1),IF(逐级计算!$X$101=0,CW13+逐级计算!$C$101,CW13+逐级计算!$C$101-(10/(逐级计算!$Q$101*LN(10))*(MAX((LN(10^(逐级计算!$Q$101/10)-1)+逐级计算!$Q$101*(CW13-逐级计算!$P$101)*LN(10)/10),0)+LN(1+EXP(-ABS((LN(10^(逐级计算!$Q$101/10)-1)+逐级计算!$Q$101*(CW13-逐级计算!$P$101)*LN(10)/10))))))),"")</f>
        <v>14.1505334679421</v>
      </c>
      <c r="CY13">
        <f>IF(AND(ISNUMBER(CX13),逐级计算!$X$102&gt;-1),IF(逐级计算!$X$102=0,CX13+逐级计算!$C$102,CX13+逐级计算!$C$102-(10/(逐级计算!$Q$102*LN(10))*(MAX((LN(10^(逐级计算!$Q$102/10)-1)+逐级计算!$Q$102*(CX13-逐级计算!$P$102)*LN(10)/10),0)+LN(1+EXP(-ABS((LN(10^(逐级计算!$Q$102/10)-1)+逐级计算!$Q$102*(CX13-逐级计算!$P$102)*LN(10)/10))))))),"")</f>
        <v>14.1505334679421</v>
      </c>
      <c r="CZ13">
        <f>IF(AND(ISNUMBER(CY13),逐级计算!$X$103&gt;-1),IF(逐级计算!$X$103=0,CY13+逐级计算!$C$103,CY13+逐级计算!$C$103-(10/(逐级计算!$Q$103*LN(10))*(MAX((LN(10^(逐级计算!$Q$103/10)-1)+逐级计算!$Q$103*(CY13-逐级计算!$P$103)*LN(10)/10),0)+LN(1+EXP(-ABS((LN(10^(逐级计算!$Q$103/10)-1)+逐级计算!$Q$103*(CY13-逐级计算!$P$103)*LN(10)/10))))))),"")</f>
        <v>14.1505334679421</v>
      </c>
      <c r="DA13">
        <f>IF(AND(ISNUMBER(CZ13),逐级计算!$X$104&gt;-1),IF(逐级计算!$X$104=0,CZ13+逐级计算!$C$104,CZ13+逐级计算!$C$104-(10/(逐级计算!$Q$104*LN(10))*(MAX((LN(10^(逐级计算!$Q$104/10)-1)+逐级计算!$Q$104*(CZ13-逐级计算!$P$104)*LN(10)/10),0)+LN(1+EXP(-ABS((LN(10^(逐级计算!$Q$104/10)-1)+逐级计算!$Q$104*(CZ13-逐级计算!$P$104)*LN(10)/10))))))),"")</f>
        <v>14.1505334679421</v>
      </c>
      <c r="DB13">
        <f>IF(AND(ISNUMBER(DA13),逐级计算!$X$105&gt;-1),IF(逐级计算!$X$105=0,DA13+逐级计算!$C$105,DA13+逐级计算!$C$105-(10/(逐级计算!$Q$105*LN(10))*(MAX((LN(10^(逐级计算!$Q$105/10)-1)+逐级计算!$Q$105*(DA13-逐级计算!$P$105)*LN(10)/10),0)+LN(1+EXP(-ABS((LN(10^(逐级计算!$Q$105/10)-1)+逐级计算!$Q$105*(DA13-逐级计算!$P$105)*LN(10)/10))))))),"")</f>
        <v>14.1505334679421</v>
      </c>
      <c r="DC13">
        <f>IF(AND(ISNUMBER(DB13),逐级计算!$X$106&gt;-1),IF(逐级计算!$X$106=0,DB13+逐级计算!$C$106,DB13+逐级计算!$C$106-(10/(逐级计算!$Q$106*LN(10))*(MAX((LN(10^(逐级计算!$Q$106/10)-1)+逐级计算!$Q$106*(DB13-逐级计算!$P$106)*LN(10)/10),0)+LN(1+EXP(-ABS((LN(10^(逐级计算!$Q$106/10)-1)+逐级计算!$Q$106*(DB13-逐级计算!$P$106)*LN(10)/10))))))),"")</f>
        <v>14.1505334679421</v>
      </c>
      <c r="DD13">
        <f>IF(AND(ISNUMBER(DC13),逐级计算!$X$107&gt;-1),IF(逐级计算!$X$107=0,DC13+逐级计算!$C$107,DC13+逐级计算!$C$107-(10/(逐级计算!$Q$107*LN(10))*(MAX((LN(10^(逐级计算!$Q$107/10)-1)+逐级计算!$Q$107*(DC13-逐级计算!$P$107)*LN(10)/10),0)+LN(1+EXP(-ABS((LN(10^(逐级计算!$Q$107/10)-1)+逐级计算!$Q$107*(DC13-逐级计算!$P$107)*LN(10)/10))))))),"")</f>
        <v>14.1505334679421</v>
      </c>
      <c r="DE13">
        <f>IF(AND(ISNUMBER(DD13),逐级计算!$X$108&gt;-1),IF(逐级计算!$X$108=0,DD13+逐级计算!$C$108,DD13+逐级计算!$C$108-(10/(逐级计算!$Q$108*LN(10))*(MAX((LN(10^(逐级计算!$Q$108/10)-1)+逐级计算!$Q$108*(DD13-逐级计算!$P$108)*LN(10)/10),0)+LN(1+EXP(-ABS((LN(10^(逐级计算!$Q$108/10)-1)+逐级计算!$Q$108*(DD13-逐级计算!$P$108)*LN(10)/10))))))),"")</f>
        <v>14.1505334679421</v>
      </c>
      <c r="DF13">
        <f>IF(AND(ISNUMBER(DE13),逐级计算!$X$109&gt;-1),IF(逐级计算!$X$109=0,DE13+逐级计算!$C$109,DE13+逐级计算!$C$109-(10/(逐级计算!$Q$109*LN(10))*(MAX((LN(10^(逐级计算!$Q$109/10)-1)+逐级计算!$Q$109*(DE13-逐级计算!$P$109)*LN(10)/10),0)+LN(1+EXP(-ABS((LN(10^(逐级计算!$Q$109/10)-1)+逐级计算!$Q$109*(DE13-逐级计算!$P$109)*LN(10)/10))))))),"")</f>
        <v>14.1505334679421</v>
      </c>
      <c r="DG13">
        <f>IF(AND(ISNUMBER(DF13),逐级计算!$X$110&gt;-1),IF(逐级计算!$X$110=0,DF13+逐级计算!$C$110,DF13+逐级计算!$C$110-(10/(逐级计算!$Q$110*LN(10))*(MAX((LN(10^(逐级计算!$Q$110/10)-1)+逐级计算!$Q$110*(DF13-逐级计算!$P$110)*LN(10)/10),0)+LN(1+EXP(-ABS((LN(10^(逐级计算!$Q$110/10)-1)+逐级计算!$Q$110*(DF13-逐级计算!$P$110)*LN(10)/10))))))),"")</f>
        <v>14.1505334679421</v>
      </c>
      <c r="DH13">
        <f>IF(AND(ISNUMBER(DG13),逐级计算!$X$111&gt;-1),IF(逐级计算!$X$111=0,DG13+逐级计算!$C$111,DG13+逐级计算!$C$111-(10/(逐级计算!$Q$111*LN(10))*(MAX((LN(10^(逐级计算!$Q$111/10)-1)+逐级计算!$Q$111*(DG13-逐级计算!$P$111)*LN(10)/10),0)+LN(1+EXP(-ABS((LN(10^(逐级计算!$Q$111/10)-1)+逐级计算!$Q$111*(DG13-逐级计算!$P$111)*LN(10)/10))))))),"")</f>
        <v>14.1505334679421</v>
      </c>
      <c r="DI13">
        <f>IF(AND(ISNUMBER(DH13),逐级计算!$X$112&gt;-1),IF(逐级计算!$X$112=0,DH13+逐级计算!$C$112,DH13+逐级计算!$C$112-(10/(逐级计算!$Q$112*LN(10))*(MAX((LN(10^(逐级计算!$Q$112/10)-1)+逐级计算!$Q$112*(DH13-逐级计算!$P$112)*LN(10)/10),0)+LN(1+EXP(-ABS((LN(10^(逐级计算!$Q$112/10)-1)+逐级计算!$Q$112*(DH13-逐级计算!$P$112)*LN(10)/10))))))),"")</f>
        <v>14.1505334679421</v>
      </c>
      <c r="DJ13">
        <f>IF(AND(ISNUMBER(DI13),逐级计算!$X$113&gt;-1),IF(逐级计算!$X$113=0,DI13+逐级计算!$C$113,DI13+逐级计算!$C$113-(10/(逐级计算!$Q$113*LN(10))*(MAX((LN(10^(逐级计算!$Q$113/10)-1)+逐级计算!$Q$113*(DI13-逐级计算!$P$113)*LN(10)/10),0)+LN(1+EXP(-ABS((LN(10^(逐级计算!$Q$113/10)-1)+逐级计算!$Q$113*(DI13-逐级计算!$P$113)*LN(10)/10))))))),"")</f>
        <v>14.1505334679421</v>
      </c>
      <c r="DK13">
        <f>IF(AND(ISNUMBER(DJ13),逐级计算!$X$114&gt;-1),IF(逐级计算!$X$114=0,DJ13+逐级计算!$C$114,DJ13+逐级计算!$C$114-(10/(逐级计算!$Q$114*LN(10))*(MAX((LN(10^(逐级计算!$Q$114/10)-1)+逐级计算!$Q$114*(DJ13-逐级计算!$P$114)*LN(10)/10),0)+LN(1+EXP(-ABS((LN(10^(逐级计算!$Q$114/10)-1)+逐级计算!$Q$114*(DJ13-逐级计算!$P$114)*LN(10)/10))))))),"")</f>
        <v>14.1505334679421</v>
      </c>
      <c r="DL13">
        <f>IF(AND(ISNUMBER(DK13),逐级计算!$X$115&gt;-1),IF(逐级计算!$X$115=0,DK13+逐级计算!$C$115,DK13+逐级计算!$C$115-(10/(逐级计算!$Q$115*LN(10))*(MAX((LN(10^(逐级计算!$Q$115/10)-1)+逐级计算!$Q$115*(DK13-逐级计算!$P$115)*LN(10)/10),0)+LN(1+EXP(-ABS((LN(10^(逐级计算!$Q$115/10)-1)+逐级计算!$Q$115*(DK13-逐级计算!$P$115)*LN(10)/10))))))),"")</f>
        <v>14.1505334679421</v>
      </c>
      <c r="DM13">
        <f>IF(AND(ISNUMBER(DL13),逐级计算!$X$116&gt;-1),IF(逐级计算!$X$116=0,DL13+逐级计算!$C$116,DL13+逐级计算!$C$116-(10/(逐级计算!$Q$116*LN(10))*(MAX((LN(10^(逐级计算!$Q$116/10)-1)+逐级计算!$Q$116*(DL13-逐级计算!$P$116)*LN(10)/10),0)+LN(1+EXP(-ABS((LN(10^(逐级计算!$Q$116/10)-1)+逐级计算!$Q$116*(DL13-逐级计算!$P$116)*LN(10)/10))))))),"")</f>
        <v>14.1505334679421</v>
      </c>
      <c r="DN13">
        <f>IF(AND(ISNUMBER(DM13),逐级计算!$X$117&gt;-1),IF(逐级计算!$X$117=0,DM13+逐级计算!$C$117,DM13+逐级计算!$C$117-(10/(逐级计算!$Q$117*LN(10))*(MAX((LN(10^(逐级计算!$Q$117/10)-1)+逐级计算!$Q$117*(DM13-逐级计算!$P$117)*LN(10)/10),0)+LN(1+EXP(-ABS((LN(10^(逐级计算!$Q$117/10)-1)+逐级计算!$Q$117*(DM13-逐级计算!$P$117)*LN(10)/10))))))),"")</f>
        <v>14.1505334679421</v>
      </c>
      <c r="DO13">
        <f>IF(AND(ISNUMBER(DN13),逐级计算!$X$118&gt;-1),IF(逐级计算!$X$118=0,DN13+逐级计算!$C$118,DN13+逐级计算!$C$118-(10/(逐级计算!$Q$118*LN(10))*(MAX((LN(10^(逐级计算!$Q$118/10)-1)+逐级计算!$Q$118*(DN13-逐级计算!$P$118)*LN(10)/10),0)+LN(1+EXP(-ABS((LN(10^(逐级计算!$Q$118/10)-1)+逐级计算!$Q$118*(DN13-逐级计算!$P$118)*LN(10)/10))))))),"")</f>
        <v>14.1505334679421</v>
      </c>
      <c r="DP13">
        <f>IF(AND(ISNUMBER(DO13),逐级计算!$X$119&gt;-1),IF(逐级计算!$X$119=0,DO13+逐级计算!$C$119,DO13+逐级计算!$C$119-(10/(逐级计算!$Q$119*LN(10))*(MAX((LN(10^(逐级计算!$Q$119/10)-1)+逐级计算!$Q$119*(DO13-逐级计算!$P$119)*LN(10)/10),0)+LN(1+EXP(-ABS((LN(10^(逐级计算!$Q$119/10)-1)+逐级计算!$Q$119*(DO13-逐级计算!$P$119)*LN(10)/10))))))),"")</f>
        <v>14.1505334679421</v>
      </c>
      <c r="DQ13">
        <f>IF(AND(ISNUMBER(DP13),逐级计算!$X$120&gt;-1),IF(逐级计算!$X$120=0,DP13+逐级计算!$C$120,DP13+逐级计算!$C$120-(10/(逐级计算!$Q$120*LN(10))*(MAX((LN(10^(逐级计算!$Q$120/10)-1)+逐级计算!$Q$120*(DP13-逐级计算!$P$120)*LN(10)/10),0)+LN(1+EXP(-ABS((LN(10^(逐级计算!$Q$120/10)-1)+逐级计算!$Q$120*(DP13-逐级计算!$P$120)*LN(10)/10))))))),"")</f>
        <v>14.1505334679421</v>
      </c>
      <c r="DR13">
        <f>IF(AND(ISNUMBER(DQ13),逐级计算!$X$121&gt;-1),IF(逐级计算!$X$121=0,DQ13+逐级计算!$C$121,DQ13+逐级计算!$C$121-(10/(逐级计算!$Q$121*LN(10))*(MAX((LN(10^(逐级计算!$Q$121/10)-1)+逐级计算!$Q$121*(DQ13-逐级计算!$P$121)*LN(10)/10),0)+LN(1+EXP(-ABS((LN(10^(逐级计算!$Q$121/10)-1)+逐级计算!$Q$121*(DQ13-逐级计算!$P$121)*LN(10)/10))))))),"")</f>
        <v>14.1505334679421</v>
      </c>
      <c r="DS13">
        <f>IF(AND(ISNUMBER(DR13),逐级计算!$X$122&gt;-1),IF(逐级计算!$X$122=0,DR13+逐级计算!$C$122,DR13+逐级计算!$C$122-(10/(逐级计算!$Q$122*LN(10))*(MAX((LN(10^(逐级计算!$Q$122/10)-1)+逐级计算!$Q$122*(DR13-逐级计算!$P$122)*LN(10)/10),0)+LN(1+EXP(-ABS((LN(10^(逐级计算!$Q$122/10)-1)+逐级计算!$Q$122*(DR13-逐级计算!$P$122)*LN(10)/10))))))),"")</f>
        <v>14.1505334679421</v>
      </c>
      <c r="DT13">
        <f>IF(AND(ISNUMBER(DS13),逐级计算!$X$123&gt;-1),IF(逐级计算!$X$123=0,DS13+逐级计算!$C$123,DS13+逐级计算!$C$123-(10/(逐级计算!$Q$123*LN(10))*(MAX((LN(10^(逐级计算!$Q$123/10)-1)+逐级计算!$Q$123*(DS13-逐级计算!$P$123)*LN(10)/10),0)+LN(1+EXP(-ABS((LN(10^(逐级计算!$Q$123/10)-1)+逐级计算!$Q$123*(DS13-逐级计算!$P$123)*LN(10)/10))))))),"")</f>
        <v>14.1505334679421</v>
      </c>
      <c r="DU13">
        <f>IF(AND(ISNUMBER(DT13),逐级计算!$X$124&gt;-1),IF(逐级计算!$X$124=0,DT13+逐级计算!$C$124,DT13+逐级计算!$C$124-(10/(逐级计算!$Q$124*LN(10))*(MAX((LN(10^(逐级计算!$Q$124/10)-1)+逐级计算!$Q$124*(DT13-逐级计算!$P$124)*LN(10)/10),0)+LN(1+EXP(-ABS((LN(10^(逐级计算!$Q$124/10)-1)+逐级计算!$Q$124*(DT13-逐级计算!$P$124)*LN(10)/10))))))),"")</f>
        <v>14.1505334679421</v>
      </c>
      <c r="DV13">
        <f>IF(AND(ISNUMBER(DU13),逐级计算!$X$125&gt;-1),IF(逐级计算!$X$125=0,DU13+逐级计算!$C$125,DU13+逐级计算!$C$125-(10/(逐级计算!$Q$125*LN(10))*(MAX((LN(10^(逐级计算!$Q$125/10)-1)+逐级计算!$Q$125*(DU13-逐级计算!$P$125)*LN(10)/10),0)+LN(1+EXP(-ABS((LN(10^(逐级计算!$Q$125/10)-1)+逐级计算!$Q$125*(DU13-逐级计算!$P$125)*LN(10)/10))))))),"")</f>
        <v>14.1505334679421</v>
      </c>
      <c r="DW13">
        <f>IF(AND(ISNUMBER(DV13),逐级计算!$X$126&gt;-1),IF(逐级计算!$X$126=0,DV13+逐级计算!$C$126,DV13+逐级计算!$C$126-(10/(逐级计算!$Q$126*LN(10))*(MAX((LN(10^(逐级计算!$Q$126/10)-1)+逐级计算!$Q$126*(DV13-逐级计算!$P$126)*LN(10)/10),0)+LN(1+EXP(-ABS((LN(10^(逐级计算!$Q$126/10)-1)+逐级计算!$Q$126*(DV13-逐级计算!$P$126)*LN(10)/10))))))),"")</f>
        <v>14.1505334679421</v>
      </c>
      <c r="DX13">
        <f>IF(AND(ISNUMBER(DW13),逐级计算!$X$127&gt;-1),IF(逐级计算!$X$127=0,DW13+逐级计算!$C$127,DW13+逐级计算!$C$127-(10/(逐级计算!$Q$127*LN(10))*(MAX((LN(10^(逐级计算!$Q$127/10)-1)+逐级计算!$Q$127*(DW13-逐级计算!$P$127)*LN(10)/10),0)+LN(1+EXP(-ABS((LN(10^(逐级计算!$Q$127/10)-1)+逐级计算!$Q$127*(DW13-逐级计算!$P$127)*LN(10)/10))))))),"")</f>
        <v>14.1505334679421</v>
      </c>
      <c r="DY13">
        <f>IF(AND(ISNUMBER(DX13),逐级计算!$X$128&gt;-1),IF(逐级计算!$X$128=0,DX13+逐级计算!$C$128,DX13+逐级计算!$C$128-(10/(逐级计算!$Q$128*LN(10))*(MAX((LN(10^(逐级计算!$Q$128/10)-1)+逐级计算!$Q$128*(DX13-逐级计算!$P$128)*LN(10)/10),0)+LN(1+EXP(-ABS((LN(10^(逐级计算!$Q$128/10)-1)+逐级计算!$Q$128*(DX13-逐级计算!$P$128)*LN(10)/10))))))),"")</f>
        <v>14.1505334679421</v>
      </c>
      <c r="DZ13">
        <f>IF(AND(ISNUMBER(DY13),逐级计算!$X$129&gt;-1),IF(逐级计算!$X$129=0,DY13+逐级计算!$C$129,DY13+逐级计算!$C$129-(10/(逐级计算!$Q$129*LN(10))*(MAX((LN(10^(逐级计算!$Q$129/10)-1)+逐级计算!$Q$129*(DY13-逐级计算!$P$129)*LN(10)/10),0)+LN(1+EXP(-ABS((LN(10^(逐级计算!$Q$129/10)-1)+逐级计算!$Q$129*(DY13-逐级计算!$P$129)*LN(10)/10))))))),"")</f>
        <v>14.1505334679421</v>
      </c>
      <c r="EA13">
        <f>IF(AND(ISNUMBER(DZ13),逐级计算!$X$130&gt;-1),IF(逐级计算!$X$130=0,DZ13+逐级计算!$C$130,DZ13+逐级计算!$C$130-(10/(逐级计算!$Q$130*LN(10))*(MAX((LN(10^(逐级计算!$Q$130/10)-1)+逐级计算!$Q$130*(DZ13-逐级计算!$P$130)*LN(10)/10),0)+LN(1+EXP(-ABS((LN(10^(逐级计算!$Q$130/10)-1)+逐级计算!$Q$130*(DZ13-逐级计算!$P$130)*LN(10)/10))))))),"")</f>
        <v>14.1505334679421</v>
      </c>
      <c r="EB13">
        <f>IF(AND(ISNUMBER(EA13),逐级计算!$X$131&gt;-1),IF(逐级计算!$X$131=0,EA13+逐级计算!$C$131,EA13+逐级计算!$C$131-(10/(逐级计算!$Q$131*LN(10))*(MAX((LN(10^(逐级计算!$Q$131/10)-1)+逐级计算!$Q$131*(EA13-逐级计算!$P$131)*LN(10)/10),0)+LN(1+EXP(-ABS((LN(10^(逐级计算!$Q$131/10)-1)+逐级计算!$Q$131*(EA13-逐级计算!$P$131)*LN(10)/10))))))),"")</f>
        <v>14.1505334679421</v>
      </c>
      <c r="EC13">
        <f>IF(AND(ISNUMBER(EB13),逐级计算!$X$132&gt;-1),IF(逐级计算!$X$132=0,EB13+逐级计算!$C$132,EB13+逐级计算!$C$132-(10/(逐级计算!$Q$132*LN(10))*(MAX((LN(10^(逐级计算!$Q$132/10)-1)+逐级计算!$Q$132*(EB13-逐级计算!$P$132)*LN(10)/10),0)+LN(1+EXP(-ABS((LN(10^(逐级计算!$Q$132/10)-1)+逐级计算!$Q$132*(EB13-逐级计算!$P$132)*LN(10)/10))))))),"")</f>
        <v>14.1505334679421</v>
      </c>
      <c r="ED13">
        <f>IF(AND(ISNUMBER(EC13),逐级计算!$X$133&gt;-1),IF(逐级计算!$X$133=0,EC13+逐级计算!$C$133,EC13+逐级计算!$C$133-(10/(逐级计算!$Q$133*LN(10))*(MAX((LN(10^(逐级计算!$Q$133/10)-1)+逐级计算!$Q$133*(EC13-逐级计算!$P$133)*LN(10)/10),0)+LN(1+EXP(-ABS((LN(10^(逐级计算!$Q$133/10)-1)+逐级计算!$Q$133*(EC13-逐级计算!$P$133)*LN(10)/10))))))),"")</f>
        <v>14.1505334679421</v>
      </c>
      <c r="EE13">
        <f>IF(AND(ISNUMBER(ED13),逐级计算!$X$134&gt;-1),IF(逐级计算!$X$134=0,ED13+逐级计算!$C$134,ED13+逐级计算!$C$134-(10/(逐级计算!$Q$134*LN(10))*(MAX((LN(10^(逐级计算!$Q$134/10)-1)+逐级计算!$Q$134*(ED13-逐级计算!$P$134)*LN(10)/10),0)+LN(1+EXP(-ABS((LN(10^(逐级计算!$Q$134/10)-1)+逐级计算!$Q$134*(ED13-逐级计算!$P$134)*LN(10)/10))))))),"")</f>
        <v>14.1505334679421</v>
      </c>
      <c r="EF13">
        <f>IF(AND(ISNUMBER(EE13),逐级计算!$X$135&gt;-1),IF(逐级计算!$X$135=0,EE13+逐级计算!$C$135,EE13+逐级计算!$C$135-(10/(逐级计算!$Q$135*LN(10))*(MAX((LN(10^(逐级计算!$Q$135/10)-1)+逐级计算!$Q$135*(EE13-逐级计算!$P$135)*LN(10)/10),0)+LN(1+EXP(-ABS((LN(10^(逐级计算!$Q$135/10)-1)+逐级计算!$Q$135*(EE13-逐级计算!$P$135)*LN(10)/10))))))),"")</f>
        <v>14.1505334679421</v>
      </c>
      <c r="EG13">
        <f>IF(AND(ISNUMBER(EF13),逐级计算!$X$136&gt;-1),IF(逐级计算!$X$136=0,EF13+逐级计算!$C$136,EF13+逐级计算!$C$136-(10/(逐级计算!$Q$136*LN(10))*(MAX((LN(10^(逐级计算!$Q$136/10)-1)+逐级计算!$Q$136*(EF13-逐级计算!$P$136)*LN(10)/10),0)+LN(1+EXP(-ABS((LN(10^(逐级计算!$Q$136/10)-1)+逐级计算!$Q$136*(EF13-逐级计算!$P$136)*LN(10)/10))))))),"")</f>
        <v>14.1505334679421</v>
      </c>
      <c r="EH13">
        <f>IF(AND(ISNUMBER(EG13),逐级计算!$X$137&gt;-1),IF(逐级计算!$X$137=0,EG13+逐级计算!$C$137,EG13+逐级计算!$C$137-(10/(逐级计算!$Q$137*LN(10))*(MAX((LN(10^(逐级计算!$Q$137/10)-1)+逐级计算!$Q$137*(EG13-逐级计算!$P$137)*LN(10)/10),0)+LN(1+EXP(-ABS((LN(10^(逐级计算!$Q$137/10)-1)+逐级计算!$Q$137*(EG13-逐级计算!$P$137)*LN(10)/10))))))),"")</f>
        <v>14.1505334679421</v>
      </c>
      <c r="EI13">
        <f>IF(AND(ISNUMBER(EH13),逐级计算!$X$138&gt;-1),IF(逐级计算!$X$138=0,EH13+逐级计算!$C$138,EH13+逐级计算!$C$138-(10/(逐级计算!$Q$138*LN(10))*(MAX((LN(10^(逐级计算!$Q$138/10)-1)+逐级计算!$Q$138*(EH13-逐级计算!$P$138)*LN(10)/10),0)+LN(1+EXP(-ABS((LN(10^(逐级计算!$Q$138/10)-1)+逐级计算!$Q$138*(EH13-逐级计算!$P$138)*LN(10)/10))))))),"")</f>
        <v>14.1505334679421</v>
      </c>
      <c r="EJ13">
        <f>IF(AND(ISNUMBER(EI13),逐级计算!$X$139&gt;-1),IF(逐级计算!$X$139=0,EI13+逐级计算!$C$139,EI13+逐级计算!$C$139-(10/(逐级计算!$Q$139*LN(10))*(MAX((LN(10^(逐级计算!$Q$139/10)-1)+逐级计算!$Q$139*(EI13-逐级计算!$P$139)*LN(10)/10),0)+LN(1+EXP(-ABS((LN(10^(逐级计算!$Q$139/10)-1)+逐级计算!$Q$139*(EI13-逐级计算!$P$139)*LN(10)/10))))))),"")</f>
        <v>14.1505334679421</v>
      </c>
      <c r="EK13">
        <f>IF(AND(ISNUMBER(EJ13),逐级计算!$X$140&gt;-1),IF(逐级计算!$X$140=0,EJ13+逐级计算!$C$140,EJ13+逐级计算!$C$140-(10/(逐级计算!$Q$140*LN(10))*(MAX((LN(10^(逐级计算!$Q$140/10)-1)+逐级计算!$Q$140*(EJ13-逐级计算!$P$140)*LN(10)/10),0)+LN(1+EXP(-ABS((LN(10^(逐级计算!$Q$140/10)-1)+逐级计算!$Q$140*(EJ13-逐级计算!$P$140)*LN(10)/10))))))),"")</f>
        <v>14.1505334679421</v>
      </c>
      <c r="EL13">
        <f>IF(AND(ISNUMBER(EK13),逐级计算!$X$141&gt;-1),IF(逐级计算!$X$141=0,EK13+逐级计算!$C$141,EK13+逐级计算!$C$141-(10/(逐级计算!$Q$141*LN(10))*(MAX((LN(10^(逐级计算!$Q$141/10)-1)+逐级计算!$Q$141*(EK13-逐级计算!$P$141)*LN(10)/10),0)+LN(1+EXP(-ABS((LN(10^(逐级计算!$Q$141/10)-1)+逐级计算!$Q$141*(EK13-逐级计算!$P$141)*LN(10)/10))))))),"")</f>
        <v>14.1505334679421</v>
      </c>
      <c r="EM13">
        <f>IF(AND(ISNUMBER(EL13),逐级计算!$X$142&gt;-1),IF(逐级计算!$X$142=0,EL13+逐级计算!$C$142,EL13+逐级计算!$C$142-(10/(逐级计算!$Q$142*LN(10))*(MAX((LN(10^(逐级计算!$Q$142/10)-1)+逐级计算!$Q$142*(EL13-逐级计算!$P$142)*LN(10)/10),0)+LN(1+EXP(-ABS((LN(10^(逐级计算!$Q$142/10)-1)+逐级计算!$Q$142*(EL13-逐级计算!$P$142)*LN(10)/10))))))),"")</f>
        <v>14.1505334679421</v>
      </c>
      <c r="EN13">
        <f>IF(AND(ISNUMBER(EM13),逐级计算!$X$143&gt;-1),IF(逐级计算!$X$143=0,EM13+逐级计算!$C$143,EM13+逐级计算!$C$143-(10/(逐级计算!$Q$143*LN(10))*(MAX((LN(10^(逐级计算!$Q$143/10)-1)+逐级计算!$Q$143*(EM13-逐级计算!$P$143)*LN(10)/10),0)+LN(1+EXP(-ABS((LN(10^(逐级计算!$Q$143/10)-1)+逐级计算!$Q$143*(EM13-逐级计算!$P$143)*LN(10)/10))))))),"")</f>
        <v>14.1505334679421</v>
      </c>
      <c r="EO13">
        <f>IF(AND(ISNUMBER(EN13),逐级计算!$X$144&gt;-1),IF(逐级计算!$X$144=0,EN13+逐级计算!$C$144,EN13+逐级计算!$C$144-(10/(逐级计算!$Q$144*LN(10))*(MAX((LN(10^(逐级计算!$Q$144/10)-1)+逐级计算!$Q$144*(EN13-逐级计算!$P$144)*LN(10)/10),0)+LN(1+EXP(-ABS((LN(10^(逐级计算!$Q$144/10)-1)+逐级计算!$Q$144*(EN13-逐级计算!$P$144)*LN(10)/10))))))),"")</f>
        <v>14.1505334679421</v>
      </c>
      <c r="EP13">
        <f>IF(AND(ISNUMBER(EO13),逐级计算!$X$145&gt;-1),IF(逐级计算!$X$145=0,EO13+逐级计算!$C$145,EO13+逐级计算!$C$145-(10/(逐级计算!$Q$145*LN(10))*(MAX((LN(10^(逐级计算!$Q$145/10)-1)+逐级计算!$Q$145*(EO13-逐级计算!$P$145)*LN(10)/10),0)+LN(1+EXP(-ABS((LN(10^(逐级计算!$Q$145/10)-1)+逐级计算!$Q$145*(EO13-逐级计算!$P$145)*LN(10)/10))))))),"")</f>
        <v>14.1505334679421</v>
      </c>
      <c r="EQ13">
        <f>IF(AND(ISNUMBER(EP13),逐级计算!$X$146&gt;-1),IF(逐级计算!$X$146=0,EP13+逐级计算!$C$146,EP13+逐级计算!$C$146-(10/(逐级计算!$Q$146*LN(10))*(MAX((LN(10^(逐级计算!$Q$146/10)-1)+逐级计算!$Q$146*(EP13-逐级计算!$P$146)*LN(10)/10),0)+LN(1+EXP(-ABS((LN(10^(逐级计算!$Q$146/10)-1)+逐级计算!$Q$146*(EP13-逐级计算!$P$146)*LN(10)/10))))))),"")</f>
        <v>14.1505334679421</v>
      </c>
      <c r="ER13">
        <f>IF(AND(ISNUMBER(EQ13),逐级计算!$X$147&gt;-1),IF(逐级计算!$X$147=0,EQ13+逐级计算!$C$147,EQ13+逐级计算!$C$147-(10/(逐级计算!$Q$147*LN(10))*(MAX((LN(10^(逐级计算!$Q$147/10)-1)+逐级计算!$Q$147*(EQ13-逐级计算!$P$147)*LN(10)/10),0)+LN(1+EXP(-ABS((LN(10^(逐级计算!$Q$147/10)-1)+逐级计算!$Q$147*(EQ13-逐级计算!$P$147)*LN(10)/10))))))),"")</f>
        <v>14.1505334679421</v>
      </c>
      <c r="ES13">
        <f>IF(AND(ISNUMBER(ER13),逐级计算!$X$148&gt;-1),IF(逐级计算!$X$148=0,ER13+逐级计算!$C$148,ER13+逐级计算!$C$148-(10/(逐级计算!$Q$148*LN(10))*(MAX((LN(10^(逐级计算!$Q$148/10)-1)+逐级计算!$Q$148*(ER13-逐级计算!$P$148)*LN(10)/10),0)+LN(1+EXP(-ABS((LN(10^(逐级计算!$Q$148/10)-1)+逐级计算!$Q$148*(ER13-逐级计算!$P$148)*LN(10)/10))))))),"")</f>
        <v>14.1505334679421</v>
      </c>
      <c r="ET13">
        <f>IF(AND(ISNUMBER(ES13),逐级计算!$X$149&gt;-1),IF(逐级计算!$X$149=0,ES13+逐级计算!$C$149,ES13+逐级计算!$C$149-(10/(逐级计算!$Q$149*LN(10))*(MAX((LN(10^(逐级计算!$Q$149/10)-1)+逐级计算!$Q$149*(ES13-逐级计算!$P$149)*LN(10)/10),0)+LN(1+EXP(-ABS((LN(10^(逐级计算!$Q$149/10)-1)+逐级计算!$Q$149*(ES13-逐级计算!$P$149)*LN(10)/10))))))),"")</f>
        <v>14.1505334679421</v>
      </c>
      <c r="EU13">
        <f>IF(AND(ISNUMBER(ET13),逐级计算!$X$150&gt;-1),IF(逐级计算!$X$150=0,ET13+逐级计算!$C$150,ET13+逐级计算!$C$150-(10/(逐级计算!$Q$150*LN(10))*(MAX((LN(10^(逐级计算!$Q$150/10)-1)+逐级计算!$Q$150*(ET13-逐级计算!$P$150)*LN(10)/10),0)+LN(1+EXP(-ABS((LN(10^(逐级计算!$Q$150/10)-1)+逐级计算!$Q$150*(ET13-逐级计算!$P$150)*LN(10)/10))))))),"")</f>
        <v>14.1505334679421</v>
      </c>
      <c r="EV13">
        <f>IF(AND(ISNUMBER(EU13),逐级计算!$X$151&gt;-1),IF(逐级计算!$X$151=0,EU13+逐级计算!$C$151,EU13+逐级计算!$C$151-(10/(逐级计算!$Q$151*LN(10))*(MAX((LN(10^(逐级计算!$Q$151/10)-1)+逐级计算!$Q$151*(EU13-逐级计算!$P$151)*LN(10)/10),0)+LN(1+EXP(-ABS((LN(10^(逐级计算!$Q$151/10)-1)+逐级计算!$Q$151*(EU13-逐级计算!$P$151)*LN(10)/10))))))),"")</f>
        <v>14.1505334679421</v>
      </c>
      <c r="EW13">
        <f>IF(AND(ISNUMBER(EV13),逐级计算!$X$152&gt;-1),IF(逐级计算!$X$152=0,EV13+逐级计算!$C$152,EV13+逐级计算!$C$152-(10/(逐级计算!$Q$152*LN(10))*(MAX((LN(10^(逐级计算!$Q$152/10)-1)+逐级计算!$Q$152*(EV13-逐级计算!$P$152)*LN(10)/10),0)+LN(1+EXP(-ABS((LN(10^(逐级计算!$Q$152/10)-1)+逐级计算!$Q$152*(EV13-逐级计算!$P$152)*LN(10)/10))))))),"")</f>
        <v>14.1505334679421</v>
      </c>
      <c r="EX13">
        <f>IF(AND(ISNUMBER(EW13),逐级计算!$X$153&gt;-1),IF(逐级计算!$X$153=0,EW13+逐级计算!$C$153,EW13+逐级计算!$C$153-(10/(逐级计算!$Q$153*LN(10))*(MAX((LN(10^(逐级计算!$Q$153/10)-1)+逐级计算!$Q$153*(EW13-逐级计算!$P$153)*LN(10)/10),0)+LN(1+EXP(-ABS((LN(10^(逐级计算!$Q$153/10)-1)+逐级计算!$Q$153*(EW13-逐级计算!$P$153)*LN(10)/10))))))),"")</f>
        <v>14.1505334679421</v>
      </c>
      <c r="EY13">
        <f>IF(AND(ISNUMBER(EX13),逐级计算!$X$154&gt;-1),IF(逐级计算!$X$154=0,EX13+逐级计算!$C$154,EX13+逐级计算!$C$154-(10/(逐级计算!$Q$154*LN(10))*(MAX((LN(10^(逐级计算!$Q$154/10)-1)+逐级计算!$Q$154*(EX13-逐级计算!$P$154)*LN(10)/10),0)+LN(1+EXP(-ABS((LN(10^(逐级计算!$Q$154/10)-1)+逐级计算!$Q$154*(EX13-逐级计算!$P$154)*LN(10)/10))))))),"")</f>
        <v>14.1505334679421</v>
      </c>
      <c r="EZ13">
        <f>IF(AND(ISNUMBER(EY13),逐级计算!$X$155&gt;-1),IF(逐级计算!$X$155=0,EY13+逐级计算!$C$155,EY13+逐级计算!$C$155-(10/(逐级计算!$Q$155*LN(10))*(MAX((LN(10^(逐级计算!$Q$155/10)-1)+逐级计算!$Q$155*(EY13-逐级计算!$P$155)*LN(10)/10),0)+LN(1+EXP(-ABS((LN(10^(逐级计算!$Q$155/10)-1)+逐级计算!$Q$155*(EY13-逐级计算!$P$155)*LN(10)/10))))))),"")</f>
        <v>14.1505334679421</v>
      </c>
      <c r="FA13">
        <f>IF(AND(ISNUMBER(EZ13),逐级计算!$X$156&gt;-1),IF(逐级计算!$X$156=0,EZ13+逐级计算!$C$156,EZ13+逐级计算!$C$156-(10/(逐级计算!$Q$156*LN(10))*(MAX((LN(10^(逐级计算!$Q$156/10)-1)+逐级计算!$Q$156*(EZ13-逐级计算!$P$156)*LN(10)/10),0)+LN(1+EXP(-ABS((LN(10^(逐级计算!$Q$156/10)-1)+逐级计算!$Q$156*(EZ13-逐级计算!$P$156)*LN(10)/10))))))),"")</f>
        <v>14.1505334679421</v>
      </c>
      <c r="FB13">
        <f>IF(AND(ISNUMBER(FA13),逐级计算!$X$157&gt;-1),IF(逐级计算!$X$157=0,FA13+逐级计算!$C$157,FA13+逐级计算!$C$157-(10/(逐级计算!$Q$157*LN(10))*(MAX((LN(10^(逐级计算!$Q$157/10)-1)+逐级计算!$Q$157*(FA13-逐级计算!$P$157)*LN(10)/10),0)+LN(1+EXP(-ABS((LN(10^(逐级计算!$Q$157/10)-1)+逐级计算!$Q$157*(FA13-逐级计算!$P$157)*LN(10)/10))))))),"")</f>
        <v>14.1505334679421</v>
      </c>
      <c r="FC13">
        <f>IF(AND(ISNUMBER(FB13),逐级计算!$X$158&gt;-1),IF(逐级计算!$X$158=0,FB13+逐级计算!$C$158,FB13+逐级计算!$C$158-(10/(逐级计算!$Q$158*LN(10))*(MAX((LN(10^(逐级计算!$Q$158/10)-1)+逐级计算!$Q$158*(FB13-逐级计算!$P$158)*LN(10)/10),0)+LN(1+EXP(-ABS((LN(10^(逐级计算!$Q$158/10)-1)+逐级计算!$Q$158*(FB13-逐级计算!$P$158)*LN(10)/10))))))),"")</f>
        <v>14.1505334679421</v>
      </c>
      <c r="FD13">
        <f>IF(AND(ISNUMBER(FC13),逐级计算!$X$159&gt;-1),IF(逐级计算!$X$159=0,FC13+逐级计算!$C$159,FC13+逐级计算!$C$159-(10/(逐级计算!$Q$159*LN(10))*(MAX((LN(10^(逐级计算!$Q$159/10)-1)+逐级计算!$Q$159*(FC13-逐级计算!$P$159)*LN(10)/10),0)+LN(1+EXP(-ABS((LN(10^(逐级计算!$Q$159/10)-1)+逐级计算!$Q$159*(FC13-逐级计算!$P$159)*LN(10)/10))))))),"")</f>
        <v>14.1505334679421</v>
      </c>
      <c r="FE13">
        <f>IF(AND(ISNUMBER(FD13),逐级计算!$X$160&gt;-1),IF(逐级计算!$X$160=0,FD13+逐级计算!$C$160,FD13+逐级计算!$C$160-(10/(逐级计算!$Q$160*LN(10))*(MAX((LN(10^(逐级计算!$Q$160/10)-1)+逐级计算!$Q$160*(FD13-逐级计算!$P$160)*LN(10)/10),0)+LN(1+EXP(-ABS((LN(10^(逐级计算!$Q$160/10)-1)+逐级计算!$Q$160*(FD13-逐级计算!$P$160)*LN(10)/10))))))),"")</f>
        <v>14.1505334679421</v>
      </c>
      <c r="FF13">
        <f>IF(AND(ISNUMBER(FE13),逐级计算!$X$161&gt;-1),IF(逐级计算!$X$161=0,FE13+逐级计算!$C$161,FE13+逐级计算!$C$161-(10/(逐级计算!$Q$161*LN(10))*(MAX((LN(10^(逐级计算!$Q$161/10)-1)+逐级计算!$Q$161*(FE13-逐级计算!$P$161)*LN(10)/10),0)+LN(1+EXP(-ABS((LN(10^(逐级计算!$Q$161/10)-1)+逐级计算!$Q$161*(FE13-逐级计算!$P$161)*LN(10)/10))))))),"")</f>
        <v>14.1505334679421</v>
      </c>
      <c r="FG13">
        <f>IF(AND(ISNUMBER(FF13),逐级计算!$X$162&gt;-1),IF(逐级计算!$X$162=0,FF13+逐级计算!$C$162,FF13+逐级计算!$C$162-(10/(逐级计算!$Q$162*LN(10))*(MAX((LN(10^(逐级计算!$Q$162/10)-1)+逐级计算!$Q$162*(FF13-逐级计算!$P$162)*LN(10)/10),0)+LN(1+EXP(-ABS((LN(10^(逐级计算!$Q$162/10)-1)+逐级计算!$Q$162*(FF13-逐级计算!$P$162)*LN(10)/10))))))),"")</f>
        <v>14.1505334679421</v>
      </c>
      <c r="FH13">
        <f>IF(AND(ISNUMBER(FG13),逐级计算!$X$163&gt;-1),IF(逐级计算!$X$163=0,FG13+逐级计算!$C$163,FG13+逐级计算!$C$163-(10/(逐级计算!$Q$163*LN(10))*(MAX((LN(10^(逐级计算!$Q$163/10)-1)+逐级计算!$Q$163*(FG13-逐级计算!$P$163)*LN(10)/10),0)+LN(1+EXP(-ABS((LN(10^(逐级计算!$Q$163/10)-1)+逐级计算!$Q$163*(FG13-逐级计算!$P$163)*LN(10)/10))))))),"")</f>
        <v>14.1505334679421</v>
      </c>
      <c r="FI13">
        <f>IF(AND(ISNUMBER(FH13),逐级计算!$X$164&gt;-1),IF(逐级计算!$X$164=0,FH13+逐级计算!$C$164,FH13+逐级计算!$C$164-(10/(逐级计算!$Q$164*LN(10))*(MAX((LN(10^(逐级计算!$Q$164/10)-1)+逐级计算!$Q$164*(FH13-逐级计算!$P$164)*LN(10)/10),0)+LN(1+EXP(-ABS((LN(10^(逐级计算!$Q$164/10)-1)+逐级计算!$Q$164*(FH13-逐级计算!$P$164)*LN(10)/10))))))),"")</f>
        <v>14.1505334679421</v>
      </c>
      <c r="FJ13">
        <f>IF(AND(ISNUMBER(FI13),逐级计算!$X$165&gt;-1),IF(逐级计算!$X$165=0,FI13+逐级计算!$C$165,FI13+逐级计算!$C$165-(10/(逐级计算!$Q$165*LN(10))*(MAX((LN(10^(逐级计算!$Q$165/10)-1)+逐级计算!$Q$165*(FI13-逐级计算!$P$165)*LN(10)/10),0)+LN(1+EXP(-ABS((LN(10^(逐级计算!$Q$165/10)-1)+逐级计算!$Q$165*(FI13-逐级计算!$P$165)*LN(10)/10))))))),"")</f>
        <v>14.1505334679421</v>
      </c>
      <c r="FK13">
        <f>IF(AND(ISNUMBER(FJ13),逐级计算!$X$166&gt;-1),IF(逐级计算!$X$166=0,FJ13+逐级计算!$C$166,FJ13+逐级计算!$C$166-(10/(逐级计算!$Q$166*LN(10))*(MAX((LN(10^(逐级计算!$Q$166/10)-1)+逐级计算!$Q$166*(FJ13-逐级计算!$P$166)*LN(10)/10),0)+LN(1+EXP(-ABS((LN(10^(逐级计算!$Q$166/10)-1)+逐级计算!$Q$166*(FJ13-逐级计算!$P$166)*LN(10)/10))))))),"")</f>
        <v>14.1505334679421</v>
      </c>
      <c r="FL13">
        <f>IF(AND(ISNUMBER(FK13),逐级计算!$X$167&gt;-1),IF(逐级计算!$X$167=0,FK13+逐级计算!$C$167,FK13+逐级计算!$C$167-(10/(逐级计算!$Q$167*LN(10))*(MAX((LN(10^(逐级计算!$Q$167/10)-1)+逐级计算!$Q$167*(FK13-逐级计算!$P$167)*LN(10)/10),0)+LN(1+EXP(-ABS((LN(10^(逐级计算!$Q$167/10)-1)+逐级计算!$Q$167*(FK13-逐级计算!$P$167)*LN(10)/10))))))),"")</f>
        <v>14.1505334679421</v>
      </c>
      <c r="FM13">
        <f>IF(AND(ISNUMBER(FL13),逐级计算!$X$168&gt;-1),IF(逐级计算!$X$168=0,FL13+逐级计算!$C$168,FL13+逐级计算!$C$168-(10/(逐级计算!$Q$168*LN(10))*(MAX((LN(10^(逐级计算!$Q$168/10)-1)+逐级计算!$Q$168*(FL13-逐级计算!$P$168)*LN(10)/10),0)+LN(1+EXP(-ABS((LN(10^(逐级计算!$Q$168/10)-1)+逐级计算!$Q$168*(FL13-逐级计算!$P$168)*LN(10)/10))))))),"")</f>
        <v>14.1505334679421</v>
      </c>
      <c r="FN13">
        <f>IF(AND(ISNUMBER(FM13),逐级计算!$X$169&gt;-1),IF(逐级计算!$X$169=0,FM13+逐级计算!$C$169,FM13+逐级计算!$C$169-(10/(逐级计算!$Q$169*LN(10))*(MAX((LN(10^(逐级计算!$Q$169/10)-1)+逐级计算!$Q$169*(FM13-逐级计算!$P$169)*LN(10)/10),0)+LN(1+EXP(-ABS((LN(10^(逐级计算!$Q$169/10)-1)+逐级计算!$Q$169*(FM13-逐级计算!$P$169)*LN(10)/10))))))),"")</f>
        <v>14.1505334679421</v>
      </c>
      <c r="FO13">
        <f>IF(AND(ISNUMBER(FN13),逐级计算!$X$170&gt;-1),IF(逐级计算!$X$170=0,FN13+逐级计算!$C$170,FN13+逐级计算!$C$170-(10/(逐级计算!$Q$170*LN(10))*(MAX((LN(10^(逐级计算!$Q$170/10)-1)+逐级计算!$Q$170*(FN13-逐级计算!$P$170)*LN(10)/10),0)+LN(1+EXP(-ABS((LN(10^(逐级计算!$Q$170/10)-1)+逐级计算!$Q$170*(FN13-逐级计算!$P$170)*LN(10)/10))))))),"")</f>
        <v>14.1505334679421</v>
      </c>
      <c r="FP13">
        <f>IF(AND(ISNUMBER(FO13),逐级计算!$X$171&gt;-1),IF(逐级计算!$X$171=0,FO13+逐级计算!$C$171,FO13+逐级计算!$C$171-(10/(逐级计算!$Q$171*LN(10))*(MAX((LN(10^(逐级计算!$Q$171/10)-1)+逐级计算!$Q$171*(FO13-逐级计算!$P$171)*LN(10)/10),0)+LN(1+EXP(-ABS((LN(10^(逐级计算!$Q$171/10)-1)+逐级计算!$Q$171*(FO13-逐级计算!$P$171)*LN(10)/10))))))),"")</f>
        <v>14.1505334679421</v>
      </c>
      <c r="FQ13">
        <f>IF(AND(ISNUMBER(FP13),逐级计算!$X$172&gt;-1),IF(逐级计算!$X$172=0,FP13+逐级计算!$C$172,FP13+逐级计算!$C$172-(10/(逐级计算!$Q$172*LN(10))*(MAX((LN(10^(逐级计算!$Q$172/10)-1)+逐级计算!$Q$172*(FP13-逐级计算!$P$172)*LN(10)/10),0)+LN(1+EXP(-ABS((LN(10^(逐级计算!$Q$172/10)-1)+逐级计算!$Q$172*(FP13-逐级计算!$P$172)*LN(10)/10))))))),"")</f>
        <v>14.1505334679421</v>
      </c>
      <c r="FR13">
        <f>IF(AND(ISNUMBER(FQ13),逐级计算!$X$173&gt;-1),IF(逐级计算!$X$173=0,FQ13+逐级计算!$C$173,FQ13+逐级计算!$C$173-(10/(逐级计算!$Q$173*LN(10))*(MAX((LN(10^(逐级计算!$Q$173/10)-1)+逐级计算!$Q$173*(FQ13-逐级计算!$P$173)*LN(10)/10),0)+LN(1+EXP(-ABS((LN(10^(逐级计算!$Q$173/10)-1)+逐级计算!$Q$173*(FQ13-逐级计算!$P$173)*LN(10)/10))))))),"")</f>
        <v>14.1505334679421</v>
      </c>
      <c r="FS13">
        <f>IF(AND(ISNUMBER(FR13),逐级计算!$X$174&gt;-1),IF(逐级计算!$X$174=0,FR13+逐级计算!$C$174,FR13+逐级计算!$C$174-(10/(逐级计算!$Q$174*LN(10))*(MAX((LN(10^(逐级计算!$Q$174/10)-1)+逐级计算!$Q$174*(FR13-逐级计算!$P$174)*LN(10)/10),0)+LN(1+EXP(-ABS((LN(10^(逐级计算!$Q$174/10)-1)+逐级计算!$Q$174*(FR13-逐级计算!$P$174)*LN(10)/10))))))),"")</f>
        <v>14.1505334679421</v>
      </c>
      <c r="FT13">
        <f>IF(AND(ISNUMBER(FS13),逐级计算!$X$175&gt;-1),IF(逐级计算!$X$175=0,FS13+逐级计算!$C$175,FS13+逐级计算!$C$175-(10/(逐级计算!$Q$175*LN(10))*(MAX((LN(10^(逐级计算!$Q$175/10)-1)+逐级计算!$Q$175*(FS13-逐级计算!$P$175)*LN(10)/10),0)+LN(1+EXP(-ABS((LN(10^(逐级计算!$Q$175/10)-1)+逐级计算!$Q$175*(FS13-逐级计算!$P$175)*LN(10)/10))))))),"")</f>
        <v>14.1505334679421</v>
      </c>
      <c r="FU13">
        <f>IF(AND(ISNUMBER(FT13),逐级计算!$X$176&gt;-1),IF(逐级计算!$X$176=0,FT13+逐级计算!$C$176,FT13+逐级计算!$C$176-(10/(逐级计算!$Q$176*LN(10))*(MAX((LN(10^(逐级计算!$Q$176/10)-1)+逐级计算!$Q$176*(FT13-逐级计算!$P$176)*LN(10)/10),0)+LN(1+EXP(-ABS((LN(10^(逐级计算!$Q$176/10)-1)+逐级计算!$Q$176*(FT13-逐级计算!$P$176)*LN(10)/10))))))),"")</f>
        <v>14.1505334679421</v>
      </c>
      <c r="FV13">
        <f>IF(AND(ISNUMBER(FU13),逐级计算!$X$177&gt;-1),IF(逐级计算!$X$177=0,FU13+逐级计算!$C$177,FU13+逐级计算!$C$177-(10/(逐级计算!$Q$177*LN(10))*(MAX((LN(10^(逐级计算!$Q$177/10)-1)+逐级计算!$Q$177*(FU13-逐级计算!$P$177)*LN(10)/10),0)+LN(1+EXP(-ABS((LN(10^(逐级计算!$Q$177/10)-1)+逐级计算!$Q$177*(FU13-逐级计算!$P$177)*LN(10)/10))))))),"")</f>
        <v>14.1505334679421</v>
      </c>
      <c r="FW13">
        <f>IF(AND(ISNUMBER(FV13),逐级计算!$X$178&gt;-1),IF(逐级计算!$X$178=0,FV13+逐级计算!$C$178,FV13+逐级计算!$C$178-(10/(逐级计算!$Q$178*LN(10))*(MAX((LN(10^(逐级计算!$Q$178/10)-1)+逐级计算!$Q$178*(FV13-逐级计算!$P$178)*LN(10)/10),0)+LN(1+EXP(-ABS((LN(10^(逐级计算!$Q$178/10)-1)+逐级计算!$Q$178*(FV13-逐级计算!$P$178)*LN(10)/10))))))),"")</f>
        <v>14.1505334679421</v>
      </c>
      <c r="FX13">
        <f>IF(AND(ISNUMBER(FW13),逐级计算!$X$179&gt;-1),IF(逐级计算!$X$179=0,FW13+逐级计算!$C$179,FW13+逐级计算!$C$179-(10/(逐级计算!$Q$179*LN(10))*(MAX((LN(10^(逐级计算!$Q$179/10)-1)+逐级计算!$Q$179*(FW13-逐级计算!$P$179)*LN(10)/10),0)+LN(1+EXP(-ABS((LN(10^(逐级计算!$Q$179/10)-1)+逐级计算!$Q$179*(FW13-逐级计算!$P$179)*LN(10)/10))))))),"")</f>
        <v>14.1505334679421</v>
      </c>
      <c r="FY13">
        <f>IF(AND(ISNUMBER(FX13),逐级计算!$X$180&gt;-1),IF(逐级计算!$X$180=0,FX13+逐级计算!$C$180,FX13+逐级计算!$C$180-(10/(逐级计算!$Q$180*LN(10))*(MAX((LN(10^(逐级计算!$Q$180/10)-1)+逐级计算!$Q$180*(FX13-逐级计算!$P$180)*LN(10)/10),0)+LN(1+EXP(-ABS((LN(10^(逐级计算!$Q$180/10)-1)+逐级计算!$Q$180*(FX13-逐级计算!$P$180)*LN(10)/10))))))),"")</f>
        <v>14.1505334679421</v>
      </c>
      <c r="FZ13">
        <f>IF(AND(ISNUMBER(FY13),逐级计算!$X$181&gt;-1),IF(逐级计算!$X$181=0,FY13+逐级计算!$C$181,FY13+逐级计算!$C$181-(10/(逐级计算!$Q$181*LN(10))*(MAX((LN(10^(逐级计算!$Q$181/10)-1)+逐级计算!$Q$181*(FY13-逐级计算!$P$181)*LN(10)/10),0)+LN(1+EXP(-ABS((LN(10^(逐级计算!$Q$181/10)-1)+逐级计算!$Q$181*(FY13-逐级计算!$P$181)*LN(10)/10))))))),"")</f>
        <v>14.1505334679421</v>
      </c>
      <c r="GA13">
        <f>IF(AND(ISNUMBER(FZ13),逐级计算!$X$182&gt;-1),IF(逐级计算!$X$182=0,FZ13+逐级计算!$C$182,FZ13+逐级计算!$C$182-(10/(逐级计算!$Q$182*LN(10))*(MAX((LN(10^(逐级计算!$Q$182/10)-1)+逐级计算!$Q$182*(FZ13-逐级计算!$P$182)*LN(10)/10),0)+LN(1+EXP(-ABS((LN(10^(逐级计算!$Q$182/10)-1)+逐级计算!$Q$182*(FZ13-逐级计算!$P$182)*LN(10)/10))))))),"")</f>
        <v>14.1505334679421</v>
      </c>
      <c r="GB13">
        <f>IF(AND(ISNUMBER(GA13),逐级计算!$X$183&gt;-1),IF(逐级计算!$X$183=0,GA13+逐级计算!$C$183,GA13+逐级计算!$C$183-(10/(逐级计算!$Q$183*LN(10))*(MAX((LN(10^(逐级计算!$Q$183/10)-1)+逐级计算!$Q$183*(GA13-逐级计算!$P$183)*LN(10)/10),0)+LN(1+EXP(-ABS((LN(10^(逐级计算!$Q$183/10)-1)+逐级计算!$Q$183*(GA13-逐级计算!$P$183)*LN(10)/10))))))),"")</f>
        <v>14.1505334679421</v>
      </c>
      <c r="GC13">
        <f>IF(AND(ISNUMBER(GB13),逐级计算!$X$184&gt;-1),IF(逐级计算!$X$184=0,GB13+逐级计算!$C$184,GB13+逐级计算!$C$184-(10/(逐级计算!$Q$184*LN(10))*(MAX((LN(10^(逐级计算!$Q$184/10)-1)+逐级计算!$Q$184*(GB13-逐级计算!$P$184)*LN(10)/10),0)+LN(1+EXP(-ABS((LN(10^(逐级计算!$Q$184/10)-1)+逐级计算!$Q$184*(GB13-逐级计算!$P$184)*LN(10)/10))))))),"")</f>
        <v>14.1505334679421</v>
      </c>
      <c r="GD13">
        <f>IF(AND(ISNUMBER(GC13),逐级计算!$X$185&gt;-1),IF(逐级计算!$X$185=0,GC13+逐级计算!$C$185,GC13+逐级计算!$C$185-(10/(逐级计算!$Q$185*LN(10))*(MAX((LN(10^(逐级计算!$Q$185/10)-1)+逐级计算!$Q$185*(GC13-逐级计算!$P$185)*LN(10)/10),0)+LN(1+EXP(-ABS((LN(10^(逐级计算!$Q$185/10)-1)+逐级计算!$Q$185*(GC13-逐级计算!$P$185)*LN(10)/10))))))),"")</f>
        <v>14.1505334679421</v>
      </c>
      <c r="GE13">
        <f>IF(AND(ISNUMBER(GD13),逐级计算!$X$186&gt;-1),IF(逐级计算!$X$186=0,GD13+逐级计算!$C$186,GD13+逐级计算!$C$186-(10/(逐级计算!$Q$186*LN(10))*(MAX((LN(10^(逐级计算!$Q$186/10)-1)+逐级计算!$Q$186*(GD13-逐级计算!$P$186)*LN(10)/10),0)+LN(1+EXP(-ABS((LN(10^(逐级计算!$Q$186/10)-1)+逐级计算!$Q$186*(GD13-逐级计算!$P$186)*LN(10)/10))))))),"")</f>
        <v>14.1505334679421</v>
      </c>
      <c r="GF13">
        <f>IF(AND(ISNUMBER(GE13),逐级计算!$X$187&gt;-1),IF(逐级计算!$X$187=0,GE13+逐级计算!$C$187,GE13+逐级计算!$C$187-(10/(逐级计算!$Q$187*LN(10))*(MAX((LN(10^(逐级计算!$Q$187/10)-1)+逐级计算!$Q$187*(GE13-逐级计算!$P$187)*LN(10)/10),0)+LN(1+EXP(-ABS((LN(10^(逐级计算!$Q$187/10)-1)+逐级计算!$Q$187*(GE13-逐级计算!$P$187)*LN(10)/10))))))),"")</f>
        <v>14.1505334679421</v>
      </c>
      <c r="GG13">
        <f>IF(AND(ISNUMBER(GF13),逐级计算!$X$188&gt;-1),IF(逐级计算!$X$188=0,GF13+逐级计算!$C$188,GF13+逐级计算!$C$188-(10/(逐级计算!$Q$188*LN(10))*(MAX((LN(10^(逐级计算!$Q$188/10)-1)+逐级计算!$Q$188*(GF13-逐级计算!$P$188)*LN(10)/10),0)+LN(1+EXP(-ABS((LN(10^(逐级计算!$Q$188/10)-1)+逐级计算!$Q$188*(GF13-逐级计算!$P$188)*LN(10)/10))))))),"")</f>
        <v>14.1505334679421</v>
      </c>
      <c r="GH13">
        <f>IF(AND(ISNUMBER(GG13),逐级计算!$X$189&gt;-1),IF(逐级计算!$X$189=0,GG13+逐级计算!$C$189,GG13+逐级计算!$C$189-(10/(逐级计算!$Q$189*LN(10))*(MAX((LN(10^(逐级计算!$Q$189/10)-1)+逐级计算!$Q$189*(GG13-逐级计算!$P$189)*LN(10)/10),0)+LN(1+EXP(-ABS((LN(10^(逐级计算!$Q$189/10)-1)+逐级计算!$Q$189*(GG13-逐级计算!$P$189)*LN(10)/10))))))),"")</f>
        <v>14.1505334679421</v>
      </c>
      <c r="GI13">
        <f>IF(AND(ISNUMBER(GH13),逐级计算!$X$190&gt;-1),IF(逐级计算!$X$190=0,GH13+逐级计算!$C$190,GH13+逐级计算!$C$190-(10/(逐级计算!$Q$190*LN(10))*(MAX((LN(10^(逐级计算!$Q$190/10)-1)+逐级计算!$Q$190*(GH13-逐级计算!$P$190)*LN(10)/10),0)+LN(1+EXP(-ABS((LN(10^(逐级计算!$Q$190/10)-1)+逐级计算!$Q$190*(GH13-逐级计算!$P$190)*LN(10)/10))))))),"")</f>
        <v>14.1505334679421</v>
      </c>
      <c r="GJ13">
        <f>IF(AND(ISNUMBER(GI13),逐级计算!$X$191&gt;-1),IF(逐级计算!$X$191=0,GI13+逐级计算!$C$191,GI13+逐级计算!$C$191-(10/(逐级计算!$Q$191*LN(10))*(MAX((LN(10^(逐级计算!$Q$191/10)-1)+逐级计算!$Q$191*(GI13-逐级计算!$P$191)*LN(10)/10),0)+LN(1+EXP(-ABS((LN(10^(逐级计算!$Q$191/10)-1)+逐级计算!$Q$191*(GI13-逐级计算!$P$191)*LN(10)/10))))))),"")</f>
        <v>14.1505334679421</v>
      </c>
      <c r="GK13">
        <f>IF(AND(ISNUMBER(GJ13),逐级计算!$X$192&gt;-1),IF(逐级计算!$X$192=0,GJ13+逐级计算!$C$192,GJ13+逐级计算!$C$192-(10/(逐级计算!$Q$192*LN(10))*(MAX((LN(10^(逐级计算!$Q$192/10)-1)+逐级计算!$Q$192*(GJ13-逐级计算!$P$192)*LN(10)/10),0)+LN(1+EXP(-ABS((LN(10^(逐级计算!$Q$192/10)-1)+逐级计算!$Q$192*(GJ13-逐级计算!$P$192)*LN(10)/10))))))),"")</f>
        <v>14.1505334679421</v>
      </c>
      <c r="GL13">
        <f>IF(AND(ISNUMBER(GK13),逐级计算!$X$193&gt;-1),IF(逐级计算!$X$193=0,GK13+逐级计算!$C$193,GK13+逐级计算!$C$193-(10/(逐级计算!$Q$193*LN(10))*(MAX((LN(10^(逐级计算!$Q$193/10)-1)+逐级计算!$Q$193*(GK13-逐级计算!$P$193)*LN(10)/10),0)+LN(1+EXP(-ABS((LN(10^(逐级计算!$Q$193/10)-1)+逐级计算!$Q$193*(GK13-逐级计算!$P$193)*LN(10)/10))))))),"")</f>
        <v>14.1505334679421</v>
      </c>
      <c r="GM13">
        <f>IF(AND(ISNUMBER(GL13),逐级计算!$X$194&gt;-1),IF(逐级计算!$X$194=0,GL13+逐级计算!$C$194,GL13+逐级计算!$C$194-(10/(逐级计算!$Q$194*LN(10))*(MAX((LN(10^(逐级计算!$Q$194/10)-1)+逐级计算!$Q$194*(GL13-逐级计算!$P$194)*LN(10)/10),0)+LN(1+EXP(-ABS((LN(10^(逐级计算!$Q$194/10)-1)+逐级计算!$Q$194*(GL13-逐级计算!$P$194)*LN(10)/10))))))),"")</f>
        <v>14.1505334679421</v>
      </c>
      <c r="GN13">
        <f>IF(AND(ISNUMBER(GM13),逐级计算!$X$195&gt;-1),IF(逐级计算!$X$195=0,GM13+逐级计算!$C$195,GM13+逐级计算!$C$195-(10/(逐级计算!$Q$195*LN(10))*(MAX((LN(10^(逐级计算!$Q$195/10)-1)+逐级计算!$Q$195*(GM13-逐级计算!$P$195)*LN(10)/10),0)+LN(1+EXP(-ABS((LN(10^(逐级计算!$Q$195/10)-1)+逐级计算!$Q$195*(GM13-逐级计算!$P$195)*LN(10)/10))))))),"")</f>
        <v>14.1505334679421</v>
      </c>
      <c r="GO13">
        <f>IF(AND(ISNUMBER(GN13),逐级计算!$X$196&gt;-1),IF(逐级计算!$X$196=0,GN13+逐级计算!$C$196,GN13+逐级计算!$C$196-(10/(逐级计算!$Q$196*LN(10))*(MAX((LN(10^(逐级计算!$Q$196/10)-1)+逐级计算!$Q$196*(GN13-逐级计算!$P$196)*LN(10)/10),0)+LN(1+EXP(-ABS((LN(10^(逐级计算!$Q$196/10)-1)+逐级计算!$Q$196*(GN13-逐级计算!$P$196)*LN(10)/10))))))),"")</f>
        <v>14.1505334679421</v>
      </c>
      <c r="GP13">
        <f>IF(AND(ISNUMBER(GO13),逐级计算!$X$197&gt;-1),IF(逐级计算!$X$197=0,GO13+逐级计算!$C$197,GO13+逐级计算!$C$197-(10/(逐级计算!$Q$197*LN(10))*(MAX((LN(10^(逐级计算!$Q$197/10)-1)+逐级计算!$Q$197*(GO13-逐级计算!$P$197)*LN(10)/10),0)+LN(1+EXP(-ABS((LN(10^(逐级计算!$Q$197/10)-1)+逐级计算!$Q$197*(GO13-逐级计算!$P$197)*LN(10)/10))))))),"")</f>
        <v>14.1505334679421</v>
      </c>
      <c r="GQ13">
        <f>IF(AND(ISNUMBER(GP13),逐级计算!$X$198&gt;-1),IF(逐级计算!$X$198=0,GP13+逐级计算!$C$198,GP13+逐级计算!$C$198-(10/(逐级计算!$Q$198*LN(10))*(MAX((LN(10^(逐级计算!$Q$198/10)-1)+逐级计算!$Q$198*(GP13-逐级计算!$P$198)*LN(10)/10),0)+LN(1+EXP(-ABS((LN(10^(逐级计算!$Q$198/10)-1)+逐级计算!$Q$198*(GP13-逐级计算!$P$198)*LN(10)/10))))))),"")</f>
        <v>14.1505334679421</v>
      </c>
      <c r="GR13">
        <f>IF(AND(ISNUMBER(GQ13),逐级计算!$X$199&gt;-1),IF(逐级计算!$X$199=0,GQ13+逐级计算!$C$199,GQ13+逐级计算!$C$199-(10/(逐级计算!$Q$199*LN(10))*(MAX((LN(10^(逐级计算!$Q$199/10)-1)+逐级计算!$Q$199*(GQ13-逐级计算!$P$199)*LN(10)/10),0)+LN(1+EXP(-ABS((LN(10^(逐级计算!$Q$199/10)-1)+逐级计算!$Q$199*(GQ13-逐级计算!$P$199)*LN(10)/10))))))),"")</f>
        <v>14.1505334679421</v>
      </c>
      <c r="GS13">
        <f>IF(AND(ISNUMBER(GR13),逐级计算!$X$200&gt;-1),IF(逐级计算!$X$200=0,GR13+逐级计算!$C$200,GR13+逐级计算!$C$200-(10/(逐级计算!$Q$200*LN(10))*(MAX((LN(10^(逐级计算!$Q$200/10)-1)+逐级计算!$Q$200*(GR13-逐级计算!$P$200)*LN(10)/10),0)+LN(1+EXP(-ABS((LN(10^(逐级计算!$Q$200/10)-1)+逐级计算!$Q$200*(GR13-逐级计算!$P$200)*LN(10)/10))))))),"")</f>
        <v>14.1505334679421</v>
      </c>
      <c r="GT13">
        <f>IF(AND(ISNUMBER(GS13),逐级计算!$X$201&gt;-1),IF(逐级计算!$X$201=0,GS13+逐级计算!$C$201,GS13+逐级计算!$C$201-(10/(逐级计算!$Q$201*LN(10))*(MAX((LN(10^(逐级计算!$Q$201/10)-1)+逐级计算!$Q$201*(GS13-逐级计算!$P$201)*LN(10)/10),0)+LN(1+EXP(-ABS((LN(10^(逐级计算!$Q$201/10)-1)+逐级计算!$Q$201*(GS13-逐级计算!$P$201)*LN(10)/10))))))),"")</f>
        <v>14.1505334679421</v>
      </c>
      <c r="GU13">
        <f>IF(AND(ISNUMBER(GT13),逐级计算!$X$202&gt;-1),IF(逐级计算!$X$202=0,GT13+逐级计算!$C$202,GT13+逐级计算!$C$202-(10/(逐级计算!$Q$202*LN(10))*(MAX((LN(10^(逐级计算!$Q$202/10)-1)+逐级计算!$Q$202*(GT13-逐级计算!$P$202)*LN(10)/10),0)+LN(1+EXP(-ABS((LN(10^(逐级计算!$Q$202/10)-1)+逐级计算!$Q$202*(GT13-逐级计算!$P$202)*LN(10)/10))))))),"")</f>
        <v>14.1505334679421</v>
      </c>
      <c r="GV13">
        <f>IF(AND(ISNUMBER(GU13),逐级计算!$X$203&gt;-1),IF(逐级计算!$X$203=0,GU13+逐级计算!$C$203,GU13+逐级计算!$C$203-(10/(逐级计算!$Q$203*LN(10))*(MAX((LN(10^(逐级计算!$Q$203/10)-1)+逐级计算!$Q$203*(GU13-逐级计算!$P$203)*LN(10)/10),0)+LN(1+EXP(-ABS((LN(10^(逐级计算!$Q$203/10)-1)+逐级计算!$Q$203*(GU13-逐级计算!$P$203)*LN(10)/10))))))),"")</f>
        <v>14.1505334679421</v>
      </c>
      <c r="GW13">
        <f t="shared" si="2"/>
        <v>-2.96875</v>
      </c>
    </row>
    <row r="14" spans="1:205">
      <c r="A14">
        <v>7</v>
      </c>
      <c r="B14">
        <f t="shared" si="1"/>
        <v>-6.25</v>
      </c>
      <c r="C14">
        <f t="shared" si="0"/>
        <v>-5.4296875</v>
      </c>
      <c r="D14">
        <f>IF(AND(ISNUMBER(C14),ISNUMBER(逐级计算!$E$203),ISNUMBER(GV14)),C14+逐级计算!$E$203-GV14,"")</f>
        <v>0.920440259473642</v>
      </c>
      <c r="E14">
        <f>IF(AND(ISNUMBER(C14),逐级计算!$X$4&gt;-1),IF(逐级计算!$X$4=0,C14+逐级计算!$C$4,C14+逐级计算!$C$4-(10/(逐级计算!$Q$4*LN(10))*(MAX((LN(10^(逐级计算!$Q$4/10)-1)+逐级计算!$Q$4*(C14-逐级计算!$P$4)*LN(10)/10),0)+LN(1+EXP(-ABS((LN(10^(逐级计算!$Q$4/10)-1)+逐级计算!$Q$4*(C14-逐级计算!$P$4)*LN(10)/10))))))),"")</f>
        <v>4.46852948200839</v>
      </c>
      <c r="F14">
        <f>IF(AND(ISNUMBER(E14),逐级计算!$X$5&gt;-1),IF(逐级计算!$X$5=0,E14+逐级计算!$C$5,E14+逐级计算!$C$5-(10/(逐级计算!$Q$5*LN(10))*(MAX((LN(10^(逐级计算!$Q$5/10)-1)+逐级计算!$Q$5*(E14-逐级计算!$P$5)*LN(10)/10),0)+LN(1+EXP(-ABS((LN(10^(逐级计算!$Q$5/10)-1)+逐级计算!$Q$5*(E14-逐级计算!$P$5)*LN(10)/10))))))),"")</f>
        <v>13.6498722405264</v>
      </c>
      <c r="G14">
        <f>IF(AND(ISNUMBER(F14),逐级计算!$X$6&gt;-1),IF(逐级计算!$X$6=0,F14+逐级计算!$C$6,F14+逐级计算!$C$6-(10/(逐级计算!$Q$6*LN(10))*(MAX((LN(10^(逐级计算!$Q$6/10)-1)+逐级计算!$Q$6*(F14-逐级计算!$P$6)*LN(10)/10),0)+LN(1+EXP(-ABS((LN(10^(逐级计算!$Q$6/10)-1)+逐级计算!$Q$6*(F14-逐级计算!$P$6)*LN(10)/10))))))),"")</f>
        <v>13.6498722405264</v>
      </c>
      <c r="H14">
        <f>IF(AND(ISNUMBER(G14),逐级计算!$X$7&gt;-1),IF(逐级计算!$X$7=0,G14+逐级计算!$C$7,G14+逐级计算!$C$7-(10/(逐级计算!$Q$7*LN(10))*(MAX((LN(10^(逐级计算!$Q$7/10)-1)+逐级计算!$Q$7*(G14-逐级计算!$P$7)*LN(10)/10),0)+LN(1+EXP(-ABS((LN(10^(逐级计算!$Q$7/10)-1)+逐级计算!$Q$7*(G14-逐级计算!$P$7)*LN(10)/10))))))),"")</f>
        <v>13.6498722405264</v>
      </c>
      <c r="I14">
        <f>IF(AND(ISNUMBER(H14),逐级计算!$X$8&gt;-1),IF(逐级计算!$X$8=0,H14+逐级计算!$C$8,H14+逐级计算!$C$8-(10/(逐级计算!$Q$8*LN(10))*(MAX((LN(10^(逐级计算!$Q$8/10)-1)+逐级计算!$Q$8*(H14-逐级计算!$P$8)*LN(10)/10),0)+LN(1+EXP(-ABS((LN(10^(逐级计算!$Q$8/10)-1)+逐级计算!$Q$8*(H14-逐级计算!$P$8)*LN(10)/10))))))),"")</f>
        <v>13.6498722405264</v>
      </c>
      <c r="J14">
        <f>IF(AND(ISNUMBER(I14),逐级计算!$X$9&gt;-1),IF(逐级计算!$X$9=0,I14+逐级计算!$C$9,I14+逐级计算!$C$9-(10/(逐级计算!$Q$9*LN(10))*(MAX((LN(10^(逐级计算!$Q$9/10)-1)+逐级计算!$Q$9*(I14-逐级计算!$P$9)*LN(10)/10),0)+LN(1+EXP(-ABS((LN(10^(逐级计算!$Q$9/10)-1)+逐级计算!$Q$9*(I14-逐级计算!$P$9)*LN(10)/10))))))),"")</f>
        <v>13.6498722405264</v>
      </c>
      <c r="K14">
        <f>IF(AND(ISNUMBER(J14),逐级计算!$X$10&gt;-1),IF(逐级计算!$X$10=0,J14+逐级计算!$C$10,J14+逐级计算!$C$10-(10/(逐级计算!$Q$10*LN(10))*(MAX((LN(10^(逐级计算!$Q$10/10)-1)+逐级计算!$Q$10*(J14-逐级计算!$P$10)*LN(10)/10),0)+LN(1+EXP(-ABS((LN(10^(逐级计算!$Q$10/10)-1)+逐级计算!$Q$10*(J14-逐级计算!$P$10)*LN(10)/10))))))),"")</f>
        <v>13.6498722405264</v>
      </c>
      <c r="L14">
        <f>IF(AND(ISNUMBER(K14),逐级计算!$X$11&gt;-1),IF(逐级计算!$X$11=0,K14+逐级计算!$C$11,K14+逐级计算!$C$11-(10/(逐级计算!$Q$11*LN(10))*(MAX((LN(10^(逐级计算!$Q$11/10)-1)+逐级计算!$Q$11*(K14-逐级计算!$P$11)*LN(10)/10),0)+LN(1+EXP(-ABS((LN(10^(逐级计算!$Q$11/10)-1)+逐级计算!$Q$11*(K14-逐级计算!$P$11)*LN(10)/10))))))),"")</f>
        <v>13.6498722405264</v>
      </c>
      <c r="M14">
        <f>IF(AND(ISNUMBER(L14),逐级计算!$X$12&gt;-1),IF(逐级计算!$X$12=0,L14+逐级计算!$C$12,L14+逐级计算!$C$12-(10/(逐级计算!$Q$12*LN(10))*(MAX((LN(10^(逐级计算!$Q$12/10)-1)+逐级计算!$Q$12*(L14-逐级计算!$P$12)*LN(10)/10),0)+LN(1+EXP(-ABS((LN(10^(逐级计算!$Q$12/10)-1)+逐级计算!$Q$12*(L14-逐级计算!$P$12)*LN(10)/10))))))),"")</f>
        <v>13.6498722405264</v>
      </c>
      <c r="N14">
        <f>IF(AND(ISNUMBER(M14),逐级计算!$X$13&gt;-1),IF(逐级计算!$X$13=0,M14+逐级计算!$C$13,M14+逐级计算!$C$13-(10/(逐级计算!$Q$13*LN(10))*(MAX((LN(10^(逐级计算!$Q$13/10)-1)+逐级计算!$Q$13*(M14-逐级计算!$P$13)*LN(10)/10),0)+LN(1+EXP(-ABS((LN(10^(逐级计算!$Q$13/10)-1)+逐级计算!$Q$13*(M14-逐级计算!$P$13)*LN(10)/10))))))),"")</f>
        <v>13.6498722405264</v>
      </c>
      <c r="O14">
        <f>IF(AND(ISNUMBER(N14),逐级计算!$X$14&gt;-1),IF(逐级计算!$X$14=0,N14+逐级计算!$C$14,N14+逐级计算!$C$14-(10/(逐级计算!$Q$14*LN(10))*(MAX((LN(10^(逐级计算!$Q$14/10)-1)+逐级计算!$Q$14*(N14-逐级计算!$P$14)*LN(10)/10),0)+LN(1+EXP(-ABS((LN(10^(逐级计算!$Q$14/10)-1)+逐级计算!$Q$14*(N14-逐级计算!$P$14)*LN(10)/10))))))),"")</f>
        <v>13.6498722405264</v>
      </c>
      <c r="P14">
        <f>IF(AND(ISNUMBER(O14),逐级计算!$X$15&gt;-1),IF(逐级计算!$X$15=0,O14+逐级计算!$C$15,O14+逐级计算!$C$15-(10/(逐级计算!$Q$15*LN(10))*(MAX((LN(10^(逐级计算!$Q$15/10)-1)+逐级计算!$Q$15*(O14-逐级计算!$P$15)*LN(10)/10),0)+LN(1+EXP(-ABS((LN(10^(逐级计算!$Q$15/10)-1)+逐级计算!$Q$15*(O14-逐级计算!$P$15)*LN(10)/10))))))),"")</f>
        <v>13.6498722405264</v>
      </c>
      <c r="Q14">
        <f>IF(AND(ISNUMBER(P14),逐级计算!$X$16&gt;-1),IF(逐级计算!$X$16=0,P14+逐级计算!$C$16,P14+逐级计算!$C$16-(10/(逐级计算!$Q$16*LN(10))*(MAX((LN(10^(逐级计算!$Q$16/10)-1)+逐级计算!$Q$16*(P14-逐级计算!$P$16)*LN(10)/10),0)+LN(1+EXP(-ABS((LN(10^(逐级计算!$Q$16/10)-1)+逐级计算!$Q$16*(P14-逐级计算!$P$16)*LN(10)/10))))))),"")</f>
        <v>13.6498722405264</v>
      </c>
      <c r="R14">
        <f>IF(AND(ISNUMBER(Q14),逐级计算!$X$17&gt;-1),IF(逐级计算!$X$17=0,Q14+逐级计算!$C$17,Q14+逐级计算!$C$17-(10/(逐级计算!$Q$17*LN(10))*(MAX((LN(10^(逐级计算!$Q$17/10)-1)+逐级计算!$Q$17*(Q14-逐级计算!$P$17)*LN(10)/10),0)+LN(1+EXP(-ABS((LN(10^(逐级计算!$Q$17/10)-1)+逐级计算!$Q$17*(Q14-逐级计算!$P$17)*LN(10)/10))))))),"")</f>
        <v>13.6498722405264</v>
      </c>
      <c r="S14">
        <f>IF(AND(ISNUMBER(R14),逐级计算!$X$18&gt;-1),IF(逐级计算!$X$18=0,R14+逐级计算!$C$18,R14+逐级计算!$C$18-(10/(逐级计算!$Q$18*LN(10))*(MAX((LN(10^(逐级计算!$Q$18/10)-1)+逐级计算!$Q$18*(R14-逐级计算!$P$18)*LN(10)/10),0)+LN(1+EXP(-ABS((LN(10^(逐级计算!$Q$18/10)-1)+逐级计算!$Q$18*(R14-逐级计算!$P$18)*LN(10)/10))))))),"")</f>
        <v>13.6498722405264</v>
      </c>
      <c r="T14">
        <f>IF(AND(ISNUMBER(S14),逐级计算!$X$19&gt;-1),IF(逐级计算!$X$19=0,S14+逐级计算!$C$19,S14+逐级计算!$C$19-(10/(逐级计算!$Q$19*LN(10))*(MAX((LN(10^(逐级计算!$Q$19/10)-1)+逐级计算!$Q$19*(S14-逐级计算!$P$19)*LN(10)/10),0)+LN(1+EXP(-ABS((LN(10^(逐级计算!$Q$19/10)-1)+逐级计算!$Q$19*(S14-逐级计算!$P$19)*LN(10)/10))))))),"")</f>
        <v>13.6498722405264</v>
      </c>
      <c r="U14">
        <f>IF(AND(ISNUMBER(T14),逐级计算!$X$20&gt;-1),IF(逐级计算!$X$20=0,T14+逐级计算!$C$20,T14+逐级计算!$C$20-(10/(逐级计算!$Q$20*LN(10))*(MAX((LN(10^(逐级计算!$Q$20/10)-1)+逐级计算!$Q$20*(T14-逐级计算!$P$20)*LN(10)/10),0)+LN(1+EXP(-ABS((LN(10^(逐级计算!$Q$20/10)-1)+逐级计算!$Q$20*(T14-逐级计算!$P$20)*LN(10)/10))))))),"")</f>
        <v>13.6498722405264</v>
      </c>
      <c r="V14">
        <f>IF(AND(ISNUMBER(U14),逐级计算!$X$21&gt;-1),IF(逐级计算!$X$21=0,U14+逐级计算!$C$21,U14+逐级计算!$C$21-(10/(逐级计算!$Q$21*LN(10))*(MAX((LN(10^(逐级计算!$Q$21/10)-1)+逐级计算!$Q$21*(U14-逐级计算!$P$21)*LN(10)/10),0)+LN(1+EXP(-ABS((LN(10^(逐级计算!$Q$21/10)-1)+逐级计算!$Q$21*(U14-逐级计算!$P$21)*LN(10)/10))))))),"")</f>
        <v>13.6498722405264</v>
      </c>
      <c r="W14">
        <f>IF(AND(ISNUMBER(V14),逐级计算!$X$22&gt;-1),IF(逐级计算!$X$22=0,V14+逐级计算!$C$22,V14+逐级计算!$C$22-(10/(逐级计算!$Q$22*LN(10))*(MAX((LN(10^(逐级计算!$Q$22/10)-1)+逐级计算!$Q$22*(V14-逐级计算!$P$22)*LN(10)/10),0)+LN(1+EXP(-ABS((LN(10^(逐级计算!$Q$22/10)-1)+逐级计算!$Q$22*(V14-逐级计算!$P$22)*LN(10)/10))))))),"")</f>
        <v>13.6498722405264</v>
      </c>
      <c r="X14">
        <f>IF(AND(ISNUMBER(W14),逐级计算!$X$23&gt;-1),IF(逐级计算!$X$23=0,W14+逐级计算!$C$23,W14+逐级计算!$C$23-(10/(逐级计算!$Q$23*LN(10))*(MAX((LN(10^(逐级计算!$Q$23/10)-1)+逐级计算!$Q$23*(W14-逐级计算!$P$23)*LN(10)/10),0)+LN(1+EXP(-ABS((LN(10^(逐级计算!$Q$23/10)-1)+逐级计算!$Q$23*(W14-逐级计算!$P$23)*LN(10)/10))))))),"")</f>
        <v>13.6498722405264</v>
      </c>
      <c r="Y14">
        <f>IF(AND(ISNUMBER(X14),逐级计算!$X$24&gt;-1),IF(逐级计算!$X$24=0,X14+逐级计算!$C$24,X14+逐级计算!$C$24-(10/(逐级计算!$Q$24*LN(10))*(MAX((LN(10^(逐级计算!$Q$24/10)-1)+逐级计算!$Q$24*(X14-逐级计算!$P$24)*LN(10)/10),0)+LN(1+EXP(-ABS((LN(10^(逐级计算!$Q$24/10)-1)+逐级计算!$Q$24*(X14-逐级计算!$P$24)*LN(10)/10))))))),"")</f>
        <v>13.6498722405264</v>
      </c>
      <c r="Z14">
        <f>IF(AND(ISNUMBER(Y14),逐级计算!$X$25&gt;-1),IF(逐级计算!$X$25=0,Y14+逐级计算!$C$25,Y14+逐级计算!$C$25-(10/(逐级计算!$Q$25*LN(10))*(MAX((LN(10^(逐级计算!$Q$25/10)-1)+逐级计算!$Q$25*(Y14-逐级计算!$P$25)*LN(10)/10),0)+LN(1+EXP(-ABS((LN(10^(逐级计算!$Q$25/10)-1)+逐级计算!$Q$25*(Y14-逐级计算!$P$25)*LN(10)/10))))))),"")</f>
        <v>13.6498722405264</v>
      </c>
      <c r="AA14">
        <f>IF(AND(ISNUMBER(Z14),逐级计算!$X$26&gt;-1),IF(逐级计算!$X$26=0,Z14+逐级计算!$C$26,Z14+逐级计算!$C$26-(10/(逐级计算!$Q$26*LN(10))*(MAX((LN(10^(逐级计算!$Q$26/10)-1)+逐级计算!$Q$26*(Z14-逐级计算!$P$26)*LN(10)/10),0)+LN(1+EXP(-ABS((LN(10^(逐级计算!$Q$26/10)-1)+逐级计算!$Q$26*(Z14-逐级计算!$P$26)*LN(10)/10))))))),"")</f>
        <v>13.6498722405264</v>
      </c>
      <c r="AB14">
        <f>IF(AND(ISNUMBER(AA14),逐级计算!$X$27&gt;-1),IF(逐级计算!$X$27=0,AA14+逐级计算!$C$27,AA14+逐级计算!$C$27-(10/(逐级计算!$Q$27*LN(10))*(MAX((LN(10^(逐级计算!$Q$27/10)-1)+逐级计算!$Q$27*(AA14-逐级计算!$P$27)*LN(10)/10),0)+LN(1+EXP(-ABS((LN(10^(逐级计算!$Q$27/10)-1)+逐级计算!$Q$27*(AA14-逐级计算!$P$27)*LN(10)/10))))))),"")</f>
        <v>13.6498722405264</v>
      </c>
      <c r="AC14">
        <f>IF(AND(ISNUMBER(AB14),逐级计算!$X$28&gt;-1),IF(逐级计算!$X$28=0,AB14+逐级计算!$C$28,AB14+逐级计算!$C$28-(10/(逐级计算!$Q$28*LN(10))*(MAX((LN(10^(逐级计算!$Q$28/10)-1)+逐级计算!$Q$28*(AB14-逐级计算!$P$28)*LN(10)/10),0)+LN(1+EXP(-ABS((LN(10^(逐级计算!$Q$28/10)-1)+逐级计算!$Q$28*(AB14-逐级计算!$P$28)*LN(10)/10))))))),"")</f>
        <v>13.6498722405264</v>
      </c>
      <c r="AD14">
        <f>IF(AND(ISNUMBER(AC14),逐级计算!$X$29&gt;-1),IF(逐级计算!$X$29=0,AC14+逐级计算!$C$29,AC14+逐级计算!$C$29-(10/(逐级计算!$Q$29*LN(10))*(MAX((LN(10^(逐级计算!$Q$29/10)-1)+逐级计算!$Q$29*(AC14-逐级计算!$P$29)*LN(10)/10),0)+LN(1+EXP(-ABS((LN(10^(逐级计算!$Q$29/10)-1)+逐级计算!$Q$29*(AC14-逐级计算!$P$29)*LN(10)/10))))))),"")</f>
        <v>13.6498722405264</v>
      </c>
      <c r="AE14">
        <f>IF(AND(ISNUMBER(AD14),逐级计算!$X$30&gt;-1),IF(逐级计算!$X$30=0,AD14+逐级计算!$C$30,AD14+逐级计算!$C$30-(10/(逐级计算!$Q$30*LN(10))*(MAX((LN(10^(逐级计算!$Q$30/10)-1)+逐级计算!$Q$30*(AD14-逐级计算!$P$30)*LN(10)/10),0)+LN(1+EXP(-ABS((LN(10^(逐级计算!$Q$30/10)-1)+逐级计算!$Q$30*(AD14-逐级计算!$P$30)*LN(10)/10))))))),"")</f>
        <v>13.6498722405264</v>
      </c>
      <c r="AF14">
        <f>IF(AND(ISNUMBER(AE14),逐级计算!$X$31&gt;-1),IF(逐级计算!$X$31=0,AE14+逐级计算!$C$31,AE14+逐级计算!$C$31-(10/(逐级计算!$Q$31*LN(10))*(MAX((LN(10^(逐级计算!$Q$31/10)-1)+逐级计算!$Q$31*(AE14-逐级计算!$P$31)*LN(10)/10),0)+LN(1+EXP(-ABS((LN(10^(逐级计算!$Q$31/10)-1)+逐级计算!$Q$31*(AE14-逐级计算!$P$31)*LN(10)/10))))))),"")</f>
        <v>13.6498722405264</v>
      </c>
      <c r="AG14">
        <f>IF(AND(ISNUMBER(AF14),逐级计算!$X$32&gt;-1),IF(逐级计算!$X$32=0,AF14+逐级计算!$C$32,AF14+逐级计算!$C$32-(10/(逐级计算!$Q$32*LN(10))*(MAX((LN(10^(逐级计算!$Q$32/10)-1)+逐级计算!$Q$32*(AF14-逐级计算!$P$32)*LN(10)/10),0)+LN(1+EXP(-ABS((LN(10^(逐级计算!$Q$32/10)-1)+逐级计算!$Q$32*(AF14-逐级计算!$P$32)*LN(10)/10))))))),"")</f>
        <v>13.6498722405264</v>
      </c>
      <c r="AH14">
        <f>IF(AND(ISNUMBER(AG14),逐级计算!$X$33&gt;-1),IF(逐级计算!$X$33=0,AG14+逐级计算!$C$33,AG14+逐级计算!$C$33-(10/(逐级计算!$Q$33*LN(10))*(MAX((LN(10^(逐级计算!$Q$33/10)-1)+逐级计算!$Q$33*(AG14-逐级计算!$P$33)*LN(10)/10),0)+LN(1+EXP(-ABS((LN(10^(逐级计算!$Q$33/10)-1)+逐级计算!$Q$33*(AG14-逐级计算!$P$33)*LN(10)/10))))))),"")</f>
        <v>13.6498722405264</v>
      </c>
      <c r="AI14">
        <f>IF(AND(ISNUMBER(AH14),逐级计算!$X$34&gt;-1),IF(逐级计算!$X$34=0,AH14+逐级计算!$C$34,AH14+逐级计算!$C$34-(10/(逐级计算!$Q$34*LN(10))*(MAX((LN(10^(逐级计算!$Q$34/10)-1)+逐级计算!$Q$34*(AH14-逐级计算!$P$34)*LN(10)/10),0)+LN(1+EXP(-ABS((LN(10^(逐级计算!$Q$34/10)-1)+逐级计算!$Q$34*(AH14-逐级计算!$P$34)*LN(10)/10))))))),"")</f>
        <v>13.6498722405264</v>
      </c>
      <c r="AJ14">
        <f>IF(AND(ISNUMBER(AI14),逐级计算!$X$35&gt;-1),IF(逐级计算!$X$35=0,AI14+逐级计算!$C$35,AI14+逐级计算!$C$35-(10/(逐级计算!$Q$35*LN(10))*(MAX((LN(10^(逐级计算!$Q$35/10)-1)+逐级计算!$Q$35*(AI14-逐级计算!$P$35)*LN(10)/10),0)+LN(1+EXP(-ABS((LN(10^(逐级计算!$Q$35/10)-1)+逐级计算!$Q$35*(AI14-逐级计算!$P$35)*LN(10)/10))))))),"")</f>
        <v>13.6498722405264</v>
      </c>
      <c r="AK14">
        <f>IF(AND(ISNUMBER(AJ14),逐级计算!$X$36&gt;-1),IF(逐级计算!$X$36=0,AJ14+逐级计算!$C$36,AJ14+逐级计算!$C$36-(10/(逐级计算!$Q$36*LN(10))*(MAX((LN(10^(逐级计算!$Q$36/10)-1)+逐级计算!$Q$36*(AJ14-逐级计算!$P$36)*LN(10)/10),0)+LN(1+EXP(-ABS((LN(10^(逐级计算!$Q$36/10)-1)+逐级计算!$Q$36*(AJ14-逐级计算!$P$36)*LN(10)/10))))))),"")</f>
        <v>13.6498722405264</v>
      </c>
      <c r="AL14">
        <f>IF(AND(ISNUMBER(AK14),逐级计算!$X$37&gt;-1),IF(逐级计算!$X$37=0,AK14+逐级计算!$C$37,AK14+逐级计算!$C$37-(10/(逐级计算!$Q$37*LN(10))*(MAX((LN(10^(逐级计算!$Q$37/10)-1)+逐级计算!$Q$37*(AK14-逐级计算!$P$37)*LN(10)/10),0)+LN(1+EXP(-ABS((LN(10^(逐级计算!$Q$37/10)-1)+逐级计算!$Q$37*(AK14-逐级计算!$P$37)*LN(10)/10))))))),"")</f>
        <v>13.6498722405264</v>
      </c>
      <c r="AM14">
        <f>IF(AND(ISNUMBER(AL14),逐级计算!$X$38&gt;-1),IF(逐级计算!$X$38=0,AL14+逐级计算!$C$38,AL14+逐级计算!$C$38-(10/(逐级计算!$Q$38*LN(10))*(MAX((LN(10^(逐级计算!$Q$38/10)-1)+逐级计算!$Q$38*(AL14-逐级计算!$P$38)*LN(10)/10),0)+LN(1+EXP(-ABS((LN(10^(逐级计算!$Q$38/10)-1)+逐级计算!$Q$38*(AL14-逐级计算!$P$38)*LN(10)/10))))))),"")</f>
        <v>13.6498722405264</v>
      </c>
      <c r="AN14">
        <f>IF(AND(ISNUMBER(AM14),逐级计算!$X$39&gt;-1),IF(逐级计算!$X$39=0,AM14+逐级计算!$C$39,AM14+逐级计算!$C$39-(10/(逐级计算!$Q$39*LN(10))*(MAX((LN(10^(逐级计算!$Q$39/10)-1)+逐级计算!$Q$39*(AM14-逐级计算!$P$39)*LN(10)/10),0)+LN(1+EXP(-ABS((LN(10^(逐级计算!$Q$39/10)-1)+逐级计算!$Q$39*(AM14-逐级计算!$P$39)*LN(10)/10))))))),"")</f>
        <v>13.6498722405264</v>
      </c>
      <c r="AO14">
        <f>IF(AND(ISNUMBER(AN14),逐级计算!$X$40&gt;-1),IF(逐级计算!$X$40=0,AN14+逐级计算!$C$40,AN14+逐级计算!$C$40-(10/(逐级计算!$Q$40*LN(10))*(MAX((LN(10^(逐级计算!$Q$40/10)-1)+逐级计算!$Q$40*(AN14-逐级计算!$P$40)*LN(10)/10),0)+LN(1+EXP(-ABS((LN(10^(逐级计算!$Q$40/10)-1)+逐级计算!$Q$40*(AN14-逐级计算!$P$40)*LN(10)/10))))))),"")</f>
        <v>13.6498722405264</v>
      </c>
      <c r="AP14">
        <f>IF(AND(ISNUMBER(AO14),逐级计算!$X$41&gt;-1),IF(逐级计算!$X$41=0,AO14+逐级计算!$C$41,AO14+逐级计算!$C$41-(10/(逐级计算!$Q$41*LN(10))*(MAX((LN(10^(逐级计算!$Q$41/10)-1)+逐级计算!$Q$41*(AO14-逐级计算!$P$41)*LN(10)/10),0)+LN(1+EXP(-ABS((LN(10^(逐级计算!$Q$41/10)-1)+逐级计算!$Q$41*(AO14-逐级计算!$P$41)*LN(10)/10))))))),"")</f>
        <v>13.6498722405264</v>
      </c>
      <c r="AQ14">
        <f>IF(AND(ISNUMBER(AP14),逐级计算!$X$42&gt;-1),IF(逐级计算!$X$42=0,AP14+逐级计算!$C$42,AP14+逐级计算!$C$42-(10/(逐级计算!$Q$42*LN(10))*(MAX((LN(10^(逐级计算!$Q$42/10)-1)+逐级计算!$Q$42*(AP14-逐级计算!$P$42)*LN(10)/10),0)+LN(1+EXP(-ABS((LN(10^(逐级计算!$Q$42/10)-1)+逐级计算!$Q$42*(AP14-逐级计算!$P$42)*LN(10)/10))))))),"")</f>
        <v>13.6498722405264</v>
      </c>
      <c r="AR14">
        <f>IF(AND(ISNUMBER(AQ14),逐级计算!$X$43&gt;-1),IF(逐级计算!$X$43=0,AQ14+逐级计算!$C$43,AQ14+逐级计算!$C$43-(10/(逐级计算!$Q$43*LN(10))*(MAX((LN(10^(逐级计算!$Q$43/10)-1)+逐级计算!$Q$43*(AQ14-逐级计算!$P$43)*LN(10)/10),0)+LN(1+EXP(-ABS((LN(10^(逐级计算!$Q$43/10)-1)+逐级计算!$Q$43*(AQ14-逐级计算!$P$43)*LN(10)/10))))))),"")</f>
        <v>13.6498722405264</v>
      </c>
      <c r="AS14">
        <f>IF(AND(ISNUMBER(AR14),逐级计算!$X$44&gt;-1),IF(逐级计算!$X$44=0,AR14+逐级计算!$C$44,AR14+逐级计算!$C$44-(10/(逐级计算!$Q$44*LN(10))*(MAX((LN(10^(逐级计算!$Q$44/10)-1)+逐级计算!$Q$44*(AR14-逐级计算!$P$44)*LN(10)/10),0)+LN(1+EXP(-ABS((LN(10^(逐级计算!$Q$44/10)-1)+逐级计算!$Q$44*(AR14-逐级计算!$P$44)*LN(10)/10))))))),"")</f>
        <v>13.6498722405264</v>
      </c>
      <c r="AT14">
        <f>IF(AND(ISNUMBER(AS14),逐级计算!$X$45&gt;-1),IF(逐级计算!$X$45=0,AS14+逐级计算!$C$45,AS14+逐级计算!$C$45-(10/(逐级计算!$Q$45*LN(10))*(MAX((LN(10^(逐级计算!$Q$45/10)-1)+逐级计算!$Q$45*(AS14-逐级计算!$P$45)*LN(10)/10),0)+LN(1+EXP(-ABS((LN(10^(逐级计算!$Q$45/10)-1)+逐级计算!$Q$45*(AS14-逐级计算!$P$45)*LN(10)/10))))))),"")</f>
        <v>13.6498722405264</v>
      </c>
      <c r="AU14">
        <f>IF(AND(ISNUMBER(AT14),逐级计算!$X$46&gt;-1),IF(逐级计算!$X$46=0,AT14+逐级计算!$C$46,AT14+逐级计算!$C$46-(10/(逐级计算!$Q$46*LN(10))*(MAX((LN(10^(逐级计算!$Q$46/10)-1)+逐级计算!$Q$46*(AT14-逐级计算!$P$46)*LN(10)/10),0)+LN(1+EXP(-ABS((LN(10^(逐级计算!$Q$46/10)-1)+逐级计算!$Q$46*(AT14-逐级计算!$P$46)*LN(10)/10))))))),"")</f>
        <v>13.6498722405264</v>
      </c>
      <c r="AV14">
        <f>IF(AND(ISNUMBER(AU14),逐级计算!$X$47&gt;-1),IF(逐级计算!$X$47=0,AU14+逐级计算!$C$47,AU14+逐级计算!$C$47-(10/(逐级计算!$Q$47*LN(10))*(MAX((LN(10^(逐级计算!$Q$47/10)-1)+逐级计算!$Q$47*(AU14-逐级计算!$P$47)*LN(10)/10),0)+LN(1+EXP(-ABS((LN(10^(逐级计算!$Q$47/10)-1)+逐级计算!$Q$47*(AU14-逐级计算!$P$47)*LN(10)/10))))))),"")</f>
        <v>13.6498722405264</v>
      </c>
      <c r="AW14">
        <f>IF(AND(ISNUMBER(AV14),逐级计算!$X$48&gt;-1),IF(逐级计算!$X$48=0,AV14+逐级计算!$C$48,AV14+逐级计算!$C$48-(10/(逐级计算!$Q$48*LN(10))*(MAX((LN(10^(逐级计算!$Q$48/10)-1)+逐级计算!$Q$48*(AV14-逐级计算!$P$48)*LN(10)/10),0)+LN(1+EXP(-ABS((LN(10^(逐级计算!$Q$48/10)-1)+逐级计算!$Q$48*(AV14-逐级计算!$P$48)*LN(10)/10))))))),"")</f>
        <v>13.6498722405264</v>
      </c>
      <c r="AX14">
        <f>IF(AND(ISNUMBER(AW14),逐级计算!$X$49&gt;-1),IF(逐级计算!$X$49=0,AW14+逐级计算!$C$49,AW14+逐级计算!$C$49-(10/(逐级计算!$Q$49*LN(10))*(MAX((LN(10^(逐级计算!$Q$49/10)-1)+逐级计算!$Q$49*(AW14-逐级计算!$P$49)*LN(10)/10),0)+LN(1+EXP(-ABS((LN(10^(逐级计算!$Q$49/10)-1)+逐级计算!$Q$49*(AW14-逐级计算!$P$49)*LN(10)/10))))))),"")</f>
        <v>13.6498722405264</v>
      </c>
      <c r="AY14">
        <f>IF(AND(ISNUMBER(AX14),逐级计算!$X$50&gt;-1),IF(逐级计算!$X$50=0,AX14+逐级计算!$C$50,AX14+逐级计算!$C$50-(10/(逐级计算!$Q$50*LN(10))*(MAX((LN(10^(逐级计算!$Q$50/10)-1)+逐级计算!$Q$50*(AX14-逐级计算!$P$50)*LN(10)/10),0)+LN(1+EXP(-ABS((LN(10^(逐级计算!$Q$50/10)-1)+逐级计算!$Q$50*(AX14-逐级计算!$P$50)*LN(10)/10))))))),"")</f>
        <v>13.6498722405264</v>
      </c>
      <c r="AZ14">
        <f>IF(AND(ISNUMBER(AY14),逐级计算!$X$51&gt;-1),IF(逐级计算!$X$51=0,AY14+逐级计算!$C$51,AY14+逐级计算!$C$51-(10/(逐级计算!$Q$51*LN(10))*(MAX((LN(10^(逐级计算!$Q$51/10)-1)+逐级计算!$Q$51*(AY14-逐级计算!$P$51)*LN(10)/10),0)+LN(1+EXP(-ABS((LN(10^(逐级计算!$Q$51/10)-1)+逐级计算!$Q$51*(AY14-逐级计算!$P$51)*LN(10)/10))))))),"")</f>
        <v>13.6498722405264</v>
      </c>
      <c r="BA14">
        <f>IF(AND(ISNUMBER(AZ14),逐级计算!$X$52&gt;-1),IF(逐级计算!$X$52=0,AZ14+逐级计算!$C$52,AZ14+逐级计算!$C$52-(10/(逐级计算!$Q$52*LN(10))*(MAX((LN(10^(逐级计算!$Q$52/10)-1)+逐级计算!$Q$52*(AZ14-逐级计算!$P$52)*LN(10)/10),0)+LN(1+EXP(-ABS((LN(10^(逐级计算!$Q$52/10)-1)+逐级计算!$Q$52*(AZ14-逐级计算!$P$52)*LN(10)/10))))))),"")</f>
        <v>13.6498722405264</v>
      </c>
      <c r="BB14">
        <f>IF(AND(ISNUMBER(BA14),逐级计算!$X$53&gt;-1),IF(逐级计算!$X$53=0,BA14+逐级计算!$C$53,BA14+逐级计算!$C$53-(10/(逐级计算!$Q$53*LN(10))*(MAX((LN(10^(逐级计算!$Q$53/10)-1)+逐级计算!$Q$53*(BA14-逐级计算!$P$53)*LN(10)/10),0)+LN(1+EXP(-ABS((LN(10^(逐级计算!$Q$53/10)-1)+逐级计算!$Q$53*(BA14-逐级计算!$P$53)*LN(10)/10))))))),"")</f>
        <v>13.6498722405264</v>
      </c>
      <c r="BC14">
        <f>IF(AND(ISNUMBER(BB14),逐级计算!$X$54&gt;-1),IF(逐级计算!$X$54=0,BB14+逐级计算!$C$54,BB14+逐级计算!$C$54-(10/(逐级计算!$Q$54*LN(10))*(MAX((LN(10^(逐级计算!$Q$54/10)-1)+逐级计算!$Q$54*(BB14-逐级计算!$P$54)*LN(10)/10),0)+LN(1+EXP(-ABS((LN(10^(逐级计算!$Q$54/10)-1)+逐级计算!$Q$54*(BB14-逐级计算!$P$54)*LN(10)/10))))))),"")</f>
        <v>13.6498722405264</v>
      </c>
      <c r="BD14">
        <f>IF(AND(ISNUMBER(BC14),逐级计算!$X$55&gt;-1),IF(逐级计算!$X$55=0,BC14+逐级计算!$C$55,BC14+逐级计算!$C$55-(10/(逐级计算!$Q$55*LN(10))*(MAX((LN(10^(逐级计算!$Q$55/10)-1)+逐级计算!$Q$55*(BC14-逐级计算!$P$55)*LN(10)/10),0)+LN(1+EXP(-ABS((LN(10^(逐级计算!$Q$55/10)-1)+逐级计算!$Q$55*(BC14-逐级计算!$P$55)*LN(10)/10))))))),"")</f>
        <v>13.6498722405264</v>
      </c>
      <c r="BE14">
        <f>IF(AND(ISNUMBER(BD14),逐级计算!$X$56&gt;-1),IF(逐级计算!$X$56=0,BD14+逐级计算!$C$56,BD14+逐级计算!$C$56-(10/(逐级计算!$Q$56*LN(10))*(MAX((LN(10^(逐级计算!$Q$56/10)-1)+逐级计算!$Q$56*(BD14-逐级计算!$P$56)*LN(10)/10),0)+LN(1+EXP(-ABS((LN(10^(逐级计算!$Q$56/10)-1)+逐级计算!$Q$56*(BD14-逐级计算!$P$56)*LN(10)/10))))))),"")</f>
        <v>13.6498722405264</v>
      </c>
      <c r="BF14">
        <f>IF(AND(ISNUMBER(BE14),逐级计算!$X$57&gt;-1),IF(逐级计算!$X$57=0,BE14+逐级计算!$C$57,BE14+逐级计算!$C$57-(10/(逐级计算!$Q$57*LN(10))*(MAX((LN(10^(逐级计算!$Q$57/10)-1)+逐级计算!$Q$57*(BE14-逐级计算!$P$57)*LN(10)/10),0)+LN(1+EXP(-ABS((LN(10^(逐级计算!$Q$57/10)-1)+逐级计算!$Q$57*(BE14-逐级计算!$P$57)*LN(10)/10))))))),"")</f>
        <v>13.6498722405264</v>
      </c>
      <c r="BG14">
        <f>IF(AND(ISNUMBER(BF14),逐级计算!$X$58&gt;-1),IF(逐级计算!$X$58=0,BF14+逐级计算!$C$58,BF14+逐级计算!$C$58-(10/(逐级计算!$Q$58*LN(10))*(MAX((LN(10^(逐级计算!$Q$58/10)-1)+逐级计算!$Q$58*(BF14-逐级计算!$P$58)*LN(10)/10),0)+LN(1+EXP(-ABS((LN(10^(逐级计算!$Q$58/10)-1)+逐级计算!$Q$58*(BF14-逐级计算!$P$58)*LN(10)/10))))))),"")</f>
        <v>13.6498722405264</v>
      </c>
      <c r="BH14">
        <f>IF(AND(ISNUMBER(BG14),逐级计算!$X$59&gt;-1),IF(逐级计算!$X$59=0,BG14+逐级计算!$C$59,BG14+逐级计算!$C$59-(10/(逐级计算!$Q$59*LN(10))*(MAX((LN(10^(逐级计算!$Q$59/10)-1)+逐级计算!$Q$59*(BG14-逐级计算!$P$59)*LN(10)/10),0)+LN(1+EXP(-ABS((LN(10^(逐级计算!$Q$59/10)-1)+逐级计算!$Q$59*(BG14-逐级计算!$P$59)*LN(10)/10))))))),"")</f>
        <v>13.6498722405264</v>
      </c>
      <c r="BI14">
        <f>IF(AND(ISNUMBER(BH14),逐级计算!$X$60&gt;-1),IF(逐级计算!$X$60=0,BH14+逐级计算!$C$60,BH14+逐级计算!$C$60-(10/(逐级计算!$Q$60*LN(10))*(MAX((LN(10^(逐级计算!$Q$60/10)-1)+逐级计算!$Q$60*(BH14-逐级计算!$P$60)*LN(10)/10),0)+LN(1+EXP(-ABS((LN(10^(逐级计算!$Q$60/10)-1)+逐级计算!$Q$60*(BH14-逐级计算!$P$60)*LN(10)/10))))))),"")</f>
        <v>13.6498722405264</v>
      </c>
      <c r="BJ14">
        <f>IF(AND(ISNUMBER(BI14),逐级计算!$X$61&gt;-1),IF(逐级计算!$X$61=0,BI14+逐级计算!$C$61,BI14+逐级计算!$C$61-(10/(逐级计算!$Q$61*LN(10))*(MAX((LN(10^(逐级计算!$Q$61/10)-1)+逐级计算!$Q$61*(BI14-逐级计算!$P$61)*LN(10)/10),0)+LN(1+EXP(-ABS((LN(10^(逐级计算!$Q$61/10)-1)+逐级计算!$Q$61*(BI14-逐级计算!$P$61)*LN(10)/10))))))),"")</f>
        <v>13.6498722405264</v>
      </c>
      <c r="BK14">
        <f>IF(AND(ISNUMBER(BJ14),逐级计算!$X$62&gt;-1),IF(逐级计算!$X$62=0,BJ14+逐级计算!$C$62,BJ14+逐级计算!$C$62-(10/(逐级计算!$Q$62*LN(10))*(MAX((LN(10^(逐级计算!$Q$62/10)-1)+逐级计算!$Q$62*(BJ14-逐级计算!$P$62)*LN(10)/10),0)+LN(1+EXP(-ABS((LN(10^(逐级计算!$Q$62/10)-1)+逐级计算!$Q$62*(BJ14-逐级计算!$P$62)*LN(10)/10))))))),"")</f>
        <v>13.6498722405264</v>
      </c>
      <c r="BL14">
        <f>IF(AND(ISNUMBER(BK14),逐级计算!$X$63&gt;-1),IF(逐级计算!$X$63=0,BK14+逐级计算!$C$63,BK14+逐级计算!$C$63-(10/(逐级计算!$Q$63*LN(10))*(MAX((LN(10^(逐级计算!$Q$63/10)-1)+逐级计算!$Q$63*(BK14-逐级计算!$P$63)*LN(10)/10),0)+LN(1+EXP(-ABS((LN(10^(逐级计算!$Q$63/10)-1)+逐级计算!$Q$63*(BK14-逐级计算!$P$63)*LN(10)/10))))))),"")</f>
        <v>13.6498722405264</v>
      </c>
      <c r="BM14">
        <f>IF(AND(ISNUMBER(BL14),逐级计算!$X$64&gt;-1),IF(逐级计算!$X$64=0,BL14+逐级计算!$C$64,BL14+逐级计算!$C$64-(10/(逐级计算!$Q$64*LN(10))*(MAX((LN(10^(逐级计算!$Q$64/10)-1)+逐级计算!$Q$64*(BL14-逐级计算!$P$64)*LN(10)/10),0)+LN(1+EXP(-ABS((LN(10^(逐级计算!$Q$64/10)-1)+逐级计算!$Q$64*(BL14-逐级计算!$P$64)*LN(10)/10))))))),"")</f>
        <v>13.6498722405264</v>
      </c>
      <c r="BN14">
        <f>IF(AND(ISNUMBER(BM14),逐级计算!$X$65&gt;-1),IF(逐级计算!$X$65=0,BM14+逐级计算!$C$65,BM14+逐级计算!$C$65-(10/(逐级计算!$Q$65*LN(10))*(MAX((LN(10^(逐级计算!$Q$65/10)-1)+逐级计算!$Q$65*(BM14-逐级计算!$P$65)*LN(10)/10),0)+LN(1+EXP(-ABS((LN(10^(逐级计算!$Q$65/10)-1)+逐级计算!$Q$65*(BM14-逐级计算!$P$65)*LN(10)/10))))))),"")</f>
        <v>13.6498722405264</v>
      </c>
      <c r="BO14">
        <f>IF(AND(ISNUMBER(BN14),逐级计算!$X$66&gt;-1),IF(逐级计算!$X$66=0,BN14+逐级计算!$C$66,BN14+逐级计算!$C$66-(10/(逐级计算!$Q$66*LN(10))*(MAX((LN(10^(逐级计算!$Q$66/10)-1)+逐级计算!$Q$66*(BN14-逐级计算!$P$66)*LN(10)/10),0)+LN(1+EXP(-ABS((LN(10^(逐级计算!$Q$66/10)-1)+逐级计算!$Q$66*(BN14-逐级计算!$P$66)*LN(10)/10))))))),"")</f>
        <v>13.6498722405264</v>
      </c>
      <c r="BP14">
        <f>IF(AND(ISNUMBER(BO14),逐级计算!$X$67&gt;-1),IF(逐级计算!$X$67=0,BO14+逐级计算!$C$67,BO14+逐级计算!$C$67-(10/(逐级计算!$Q$67*LN(10))*(MAX((LN(10^(逐级计算!$Q$67/10)-1)+逐级计算!$Q$67*(BO14-逐级计算!$P$67)*LN(10)/10),0)+LN(1+EXP(-ABS((LN(10^(逐级计算!$Q$67/10)-1)+逐级计算!$Q$67*(BO14-逐级计算!$P$67)*LN(10)/10))))))),"")</f>
        <v>13.6498722405264</v>
      </c>
      <c r="BQ14">
        <f>IF(AND(ISNUMBER(BP14),逐级计算!$X$68&gt;-1),IF(逐级计算!$X$68=0,BP14+逐级计算!$C$68,BP14+逐级计算!$C$68-(10/(逐级计算!$Q$68*LN(10))*(MAX((LN(10^(逐级计算!$Q$68/10)-1)+逐级计算!$Q$68*(BP14-逐级计算!$P$68)*LN(10)/10),0)+LN(1+EXP(-ABS((LN(10^(逐级计算!$Q$68/10)-1)+逐级计算!$Q$68*(BP14-逐级计算!$P$68)*LN(10)/10))))))),"")</f>
        <v>13.6498722405264</v>
      </c>
      <c r="BR14">
        <f>IF(AND(ISNUMBER(BQ14),逐级计算!$X$69&gt;-1),IF(逐级计算!$X$69=0,BQ14+逐级计算!$C$69,BQ14+逐级计算!$C$69-(10/(逐级计算!$Q$69*LN(10))*(MAX((LN(10^(逐级计算!$Q$69/10)-1)+逐级计算!$Q$69*(BQ14-逐级计算!$P$69)*LN(10)/10),0)+LN(1+EXP(-ABS((LN(10^(逐级计算!$Q$69/10)-1)+逐级计算!$Q$69*(BQ14-逐级计算!$P$69)*LN(10)/10))))))),"")</f>
        <v>13.6498722405264</v>
      </c>
      <c r="BS14">
        <f>IF(AND(ISNUMBER(BR14),逐级计算!$X$70&gt;-1),IF(逐级计算!$X$70=0,BR14+逐级计算!$C$70,BR14+逐级计算!$C$70-(10/(逐级计算!$Q$70*LN(10))*(MAX((LN(10^(逐级计算!$Q$70/10)-1)+逐级计算!$Q$70*(BR14-逐级计算!$P$70)*LN(10)/10),0)+LN(1+EXP(-ABS((LN(10^(逐级计算!$Q$70/10)-1)+逐级计算!$Q$70*(BR14-逐级计算!$P$70)*LN(10)/10))))))),"")</f>
        <v>13.6498722405264</v>
      </c>
      <c r="BT14">
        <f>IF(AND(ISNUMBER(BS14),逐级计算!$X$71&gt;-1),IF(逐级计算!$X$71=0,BS14+逐级计算!$C$71,BS14+逐级计算!$C$71-(10/(逐级计算!$Q$71*LN(10))*(MAX((LN(10^(逐级计算!$Q$71/10)-1)+逐级计算!$Q$71*(BS14-逐级计算!$P$71)*LN(10)/10),0)+LN(1+EXP(-ABS((LN(10^(逐级计算!$Q$71/10)-1)+逐级计算!$Q$71*(BS14-逐级计算!$P$71)*LN(10)/10))))))),"")</f>
        <v>13.6498722405264</v>
      </c>
      <c r="BU14">
        <f>IF(AND(ISNUMBER(BT14),逐级计算!$X$72&gt;-1),IF(逐级计算!$X$72=0,BT14+逐级计算!$C$72,BT14+逐级计算!$C$72-(10/(逐级计算!$Q$72*LN(10))*(MAX((LN(10^(逐级计算!$Q$72/10)-1)+逐级计算!$Q$72*(BT14-逐级计算!$P$72)*LN(10)/10),0)+LN(1+EXP(-ABS((LN(10^(逐级计算!$Q$72/10)-1)+逐级计算!$Q$72*(BT14-逐级计算!$P$72)*LN(10)/10))))))),"")</f>
        <v>13.6498722405264</v>
      </c>
      <c r="BV14">
        <f>IF(AND(ISNUMBER(BU14),逐级计算!$X$73&gt;-1),IF(逐级计算!$X$73=0,BU14+逐级计算!$C$73,BU14+逐级计算!$C$73-(10/(逐级计算!$Q$73*LN(10))*(MAX((LN(10^(逐级计算!$Q$73/10)-1)+逐级计算!$Q$73*(BU14-逐级计算!$P$73)*LN(10)/10),0)+LN(1+EXP(-ABS((LN(10^(逐级计算!$Q$73/10)-1)+逐级计算!$Q$73*(BU14-逐级计算!$P$73)*LN(10)/10))))))),"")</f>
        <v>13.6498722405264</v>
      </c>
      <c r="BW14">
        <f>IF(AND(ISNUMBER(BV14),逐级计算!$X$74&gt;-1),IF(逐级计算!$X$74=0,BV14+逐级计算!$C$74,BV14+逐级计算!$C$74-(10/(逐级计算!$Q$74*LN(10))*(MAX((LN(10^(逐级计算!$Q$74/10)-1)+逐级计算!$Q$74*(BV14-逐级计算!$P$74)*LN(10)/10),0)+LN(1+EXP(-ABS((LN(10^(逐级计算!$Q$74/10)-1)+逐级计算!$Q$74*(BV14-逐级计算!$P$74)*LN(10)/10))))))),"")</f>
        <v>13.6498722405264</v>
      </c>
      <c r="BX14">
        <f>IF(AND(ISNUMBER(BW14),逐级计算!$X$75&gt;-1),IF(逐级计算!$X$75=0,BW14+逐级计算!$C$75,BW14+逐级计算!$C$75-(10/(逐级计算!$Q$75*LN(10))*(MAX((LN(10^(逐级计算!$Q$75/10)-1)+逐级计算!$Q$75*(BW14-逐级计算!$P$75)*LN(10)/10),0)+LN(1+EXP(-ABS((LN(10^(逐级计算!$Q$75/10)-1)+逐级计算!$Q$75*(BW14-逐级计算!$P$75)*LN(10)/10))))))),"")</f>
        <v>13.6498722405264</v>
      </c>
      <c r="BY14">
        <f>IF(AND(ISNUMBER(BX14),逐级计算!$X$76&gt;-1),IF(逐级计算!$X$76=0,BX14+逐级计算!$C$76,BX14+逐级计算!$C$76-(10/(逐级计算!$Q$76*LN(10))*(MAX((LN(10^(逐级计算!$Q$76/10)-1)+逐级计算!$Q$76*(BX14-逐级计算!$P$76)*LN(10)/10),0)+LN(1+EXP(-ABS((LN(10^(逐级计算!$Q$76/10)-1)+逐级计算!$Q$76*(BX14-逐级计算!$P$76)*LN(10)/10))))))),"")</f>
        <v>13.6498722405264</v>
      </c>
      <c r="BZ14">
        <f>IF(AND(ISNUMBER(BY14),逐级计算!$X$77&gt;-1),IF(逐级计算!$X$77=0,BY14+逐级计算!$C$77,BY14+逐级计算!$C$77-(10/(逐级计算!$Q$77*LN(10))*(MAX((LN(10^(逐级计算!$Q$77/10)-1)+逐级计算!$Q$77*(BY14-逐级计算!$P$77)*LN(10)/10),0)+LN(1+EXP(-ABS((LN(10^(逐级计算!$Q$77/10)-1)+逐级计算!$Q$77*(BY14-逐级计算!$P$77)*LN(10)/10))))))),"")</f>
        <v>13.6498722405264</v>
      </c>
      <c r="CA14">
        <f>IF(AND(ISNUMBER(BZ14),逐级计算!$X$78&gt;-1),IF(逐级计算!$X$78=0,BZ14+逐级计算!$C$78,BZ14+逐级计算!$C$78-(10/(逐级计算!$Q$78*LN(10))*(MAX((LN(10^(逐级计算!$Q$78/10)-1)+逐级计算!$Q$78*(BZ14-逐级计算!$P$78)*LN(10)/10),0)+LN(1+EXP(-ABS((LN(10^(逐级计算!$Q$78/10)-1)+逐级计算!$Q$78*(BZ14-逐级计算!$P$78)*LN(10)/10))))))),"")</f>
        <v>13.6498722405264</v>
      </c>
      <c r="CB14">
        <f>IF(AND(ISNUMBER(CA14),逐级计算!$X$79&gt;-1),IF(逐级计算!$X$79=0,CA14+逐级计算!$C$79,CA14+逐级计算!$C$79-(10/(逐级计算!$Q$79*LN(10))*(MAX((LN(10^(逐级计算!$Q$79/10)-1)+逐级计算!$Q$79*(CA14-逐级计算!$P$79)*LN(10)/10),0)+LN(1+EXP(-ABS((LN(10^(逐级计算!$Q$79/10)-1)+逐级计算!$Q$79*(CA14-逐级计算!$P$79)*LN(10)/10))))))),"")</f>
        <v>13.6498722405264</v>
      </c>
      <c r="CC14">
        <f>IF(AND(ISNUMBER(CB14),逐级计算!$X$80&gt;-1),IF(逐级计算!$X$80=0,CB14+逐级计算!$C$80,CB14+逐级计算!$C$80-(10/(逐级计算!$Q$80*LN(10))*(MAX((LN(10^(逐级计算!$Q$80/10)-1)+逐级计算!$Q$80*(CB14-逐级计算!$P$80)*LN(10)/10),0)+LN(1+EXP(-ABS((LN(10^(逐级计算!$Q$80/10)-1)+逐级计算!$Q$80*(CB14-逐级计算!$P$80)*LN(10)/10))))))),"")</f>
        <v>13.6498722405264</v>
      </c>
      <c r="CD14">
        <f>IF(AND(ISNUMBER(CC14),逐级计算!$X$81&gt;-1),IF(逐级计算!$X$81=0,CC14+逐级计算!$C$81,CC14+逐级计算!$C$81-(10/(逐级计算!$Q$81*LN(10))*(MAX((LN(10^(逐级计算!$Q$81/10)-1)+逐级计算!$Q$81*(CC14-逐级计算!$P$81)*LN(10)/10),0)+LN(1+EXP(-ABS((LN(10^(逐级计算!$Q$81/10)-1)+逐级计算!$Q$81*(CC14-逐级计算!$P$81)*LN(10)/10))))))),"")</f>
        <v>13.6498722405264</v>
      </c>
      <c r="CE14">
        <f>IF(AND(ISNUMBER(CD14),逐级计算!$X$82&gt;-1),IF(逐级计算!$X$82=0,CD14+逐级计算!$C$82,CD14+逐级计算!$C$82-(10/(逐级计算!$Q$82*LN(10))*(MAX((LN(10^(逐级计算!$Q$82/10)-1)+逐级计算!$Q$82*(CD14-逐级计算!$P$82)*LN(10)/10),0)+LN(1+EXP(-ABS((LN(10^(逐级计算!$Q$82/10)-1)+逐级计算!$Q$82*(CD14-逐级计算!$P$82)*LN(10)/10))))))),"")</f>
        <v>13.6498722405264</v>
      </c>
      <c r="CF14">
        <f>IF(AND(ISNUMBER(CE14),逐级计算!$X$83&gt;-1),IF(逐级计算!$X$83=0,CE14+逐级计算!$C$83,CE14+逐级计算!$C$83-(10/(逐级计算!$Q$83*LN(10))*(MAX((LN(10^(逐级计算!$Q$83/10)-1)+逐级计算!$Q$83*(CE14-逐级计算!$P$83)*LN(10)/10),0)+LN(1+EXP(-ABS((LN(10^(逐级计算!$Q$83/10)-1)+逐级计算!$Q$83*(CE14-逐级计算!$P$83)*LN(10)/10))))))),"")</f>
        <v>13.6498722405264</v>
      </c>
      <c r="CG14">
        <f>IF(AND(ISNUMBER(CF14),逐级计算!$X$84&gt;-1),IF(逐级计算!$X$84=0,CF14+逐级计算!$C$84,CF14+逐级计算!$C$84-(10/(逐级计算!$Q$84*LN(10))*(MAX((LN(10^(逐级计算!$Q$84/10)-1)+逐级计算!$Q$84*(CF14-逐级计算!$P$84)*LN(10)/10),0)+LN(1+EXP(-ABS((LN(10^(逐级计算!$Q$84/10)-1)+逐级计算!$Q$84*(CF14-逐级计算!$P$84)*LN(10)/10))))))),"")</f>
        <v>13.6498722405264</v>
      </c>
      <c r="CH14">
        <f>IF(AND(ISNUMBER(CG14),逐级计算!$X$85&gt;-1),IF(逐级计算!$X$85=0,CG14+逐级计算!$C$85,CG14+逐级计算!$C$85-(10/(逐级计算!$Q$85*LN(10))*(MAX((LN(10^(逐级计算!$Q$85/10)-1)+逐级计算!$Q$85*(CG14-逐级计算!$P$85)*LN(10)/10),0)+LN(1+EXP(-ABS((LN(10^(逐级计算!$Q$85/10)-1)+逐级计算!$Q$85*(CG14-逐级计算!$P$85)*LN(10)/10))))))),"")</f>
        <v>13.6498722405264</v>
      </c>
      <c r="CI14">
        <f>IF(AND(ISNUMBER(CH14),逐级计算!$X$86&gt;-1),IF(逐级计算!$X$86=0,CH14+逐级计算!$C$86,CH14+逐级计算!$C$86-(10/(逐级计算!$Q$86*LN(10))*(MAX((LN(10^(逐级计算!$Q$86/10)-1)+逐级计算!$Q$86*(CH14-逐级计算!$P$86)*LN(10)/10),0)+LN(1+EXP(-ABS((LN(10^(逐级计算!$Q$86/10)-1)+逐级计算!$Q$86*(CH14-逐级计算!$P$86)*LN(10)/10))))))),"")</f>
        <v>13.6498722405264</v>
      </c>
      <c r="CJ14">
        <f>IF(AND(ISNUMBER(CI14),逐级计算!$X$87&gt;-1),IF(逐级计算!$X$87=0,CI14+逐级计算!$C$87,CI14+逐级计算!$C$87-(10/(逐级计算!$Q$87*LN(10))*(MAX((LN(10^(逐级计算!$Q$87/10)-1)+逐级计算!$Q$87*(CI14-逐级计算!$P$87)*LN(10)/10),0)+LN(1+EXP(-ABS((LN(10^(逐级计算!$Q$87/10)-1)+逐级计算!$Q$87*(CI14-逐级计算!$P$87)*LN(10)/10))))))),"")</f>
        <v>13.6498722405264</v>
      </c>
      <c r="CK14">
        <f>IF(AND(ISNUMBER(CJ14),逐级计算!$X$88&gt;-1),IF(逐级计算!$X$88=0,CJ14+逐级计算!$C$88,CJ14+逐级计算!$C$88-(10/(逐级计算!$Q$88*LN(10))*(MAX((LN(10^(逐级计算!$Q$88/10)-1)+逐级计算!$Q$88*(CJ14-逐级计算!$P$88)*LN(10)/10),0)+LN(1+EXP(-ABS((LN(10^(逐级计算!$Q$88/10)-1)+逐级计算!$Q$88*(CJ14-逐级计算!$P$88)*LN(10)/10))))))),"")</f>
        <v>13.6498722405264</v>
      </c>
      <c r="CL14">
        <f>IF(AND(ISNUMBER(CK14),逐级计算!$X$89&gt;-1),IF(逐级计算!$X$89=0,CK14+逐级计算!$C$89,CK14+逐级计算!$C$89-(10/(逐级计算!$Q$89*LN(10))*(MAX((LN(10^(逐级计算!$Q$89/10)-1)+逐级计算!$Q$89*(CK14-逐级计算!$P$89)*LN(10)/10),0)+LN(1+EXP(-ABS((LN(10^(逐级计算!$Q$89/10)-1)+逐级计算!$Q$89*(CK14-逐级计算!$P$89)*LN(10)/10))))))),"")</f>
        <v>13.6498722405264</v>
      </c>
      <c r="CM14">
        <f>IF(AND(ISNUMBER(CL14),逐级计算!$X$90&gt;-1),IF(逐级计算!$X$90=0,CL14+逐级计算!$C$90,CL14+逐级计算!$C$90-(10/(逐级计算!$Q$90*LN(10))*(MAX((LN(10^(逐级计算!$Q$90/10)-1)+逐级计算!$Q$90*(CL14-逐级计算!$P$90)*LN(10)/10),0)+LN(1+EXP(-ABS((LN(10^(逐级计算!$Q$90/10)-1)+逐级计算!$Q$90*(CL14-逐级计算!$P$90)*LN(10)/10))))))),"")</f>
        <v>13.6498722405264</v>
      </c>
      <c r="CN14">
        <f>IF(AND(ISNUMBER(CM14),逐级计算!$X$91&gt;-1),IF(逐级计算!$X$91=0,CM14+逐级计算!$C$91,CM14+逐级计算!$C$91-(10/(逐级计算!$Q$91*LN(10))*(MAX((LN(10^(逐级计算!$Q$91/10)-1)+逐级计算!$Q$91*(CM14-逐级计算!$P$91)*LN(10)/10),0)+LN(1+EXP(-ABS((LN(10^(逐级计算!$Q$91/10)-1)+逐级计算!$Q$91*(CM14-逐级计算!$P$91)*LN(10)/10))))))),"")</f>
        <v>13.6498722405264</v>
      </c>
      <c r="CO14">
        <f>IF(AND(ISNUMBER(CN14),逐级计算!$X$92&gt;-1),IF(逐级计算!$X$92=0,CN14+逐级计算!$C$92,CN14+逐级计算!$C$92-(10/(逐级计算!$Q$92*LN(10))*(MAX((LN(10^(逐级计算!$Q$92/10)-1)+逐级计算!$Q$92*(CN14-逐级计算!$P$92)*LN(10)/10),0)+LN(1+EXP(-ABS((LN(10^(逐级计算!$Q$92/10)-1)+逐级计算!$Q$92*(CN14-逐级计算!$P$92)*LN(10)/10))))))),"")</f>
        <v>13.6498722405264</v>
      </c>
      <c r="CP14">
        <f>IF(AND(ISNUMBER(CO14),逐级计算!$X$93&gt;-1),IF(逐级计算!$X$93=0,CO14+逐级计算!$C$93,CO14+逐级计算!$C$93-(10/(逐级计算!$Q$93*LN(10))*(MAX((LN(10^(逐级计算!$Q$93/10)-1)+逐级计算!$Q$93*(CO14-逐级计算!$P$93)*LN(10)/10),0)+LN(1+EXP(-ABS((LN(10^(逐级计算!$Q$93/10)-1)+逐级计算!$Q$93*(CO14-逐级计算!$P$93)*LN(10)/10))))))),"")</f>
        <v>13.6498722405264</v>
      </c>
      <c r="CQ14">
        <f>IF(AND(ISNUMBER(CP14),逐级计算!$X$94&gt;-1),IF(逐级计算!$X$94=0,CP14+逐级计算!$C$94,CP14+逐级计算!$C$94-(10/(逐级计算!$Q$94*LN(10))*(MAX((LN(10^(逐级计算!$Q$94/10)-1)+逐级计算!$Q$94*(CP14-逐级计算!$P$94)*LN(10)/10),0)+LN(1+EXP(-ABS((LN(10^(逐级计算!$Q$94/10)-1)+逐级计算!$Q$94*(CP14-逐级计算!$P$94)*LN(10)/10))))))),"")</f>
        <v>13.6498722405264</v>
      </c>
      <c r="CR14">
        <f>IF(AND(ISNUMBER(CQ14),逐级计算!$X$95&gt;-1),IF(逐级计算!$X$95=0,CQ14+逐级计算!$C$95,CQ14+逐级计算!$C$95-(10/(逐级计算!$Q$95*LN(10))*(MAX((LN(10^(逐级计算!$Q$95/10)-1)+逐级计算!$Q$95*(CQ14-逐级计算!$P$95)*LN(10)/10),0)+LN(1+EXP(-ABS((LN(10^(逐级计算!$Q$95/10)-1)+逐级计算!$Q$95*(CQ14-逐级计算!$P$95)*LN(10)/10))))))),"")</f>
        <v>13.6498722405264</v>
      </c>
      <c r="CS14">
        <f>IF(AND(ISNUMBER(CR14),逐级计算!$X$96&gt;-1),IF(逐级计算!$X$96=0,CR14+逐级计算!$C$96,CR14+逐级计算!$C$96-(10/(逐级计算!$Q$96*LN(10))*(MAX((LN(10^(逐级计算!$Q$96/10)-1)+逐级计算!$Q$96*(CR14-逐级计算!$P$96)*LN(10)/10),0)+LN(1+EXP(-ABS((LN(10^(逐级计算!$Q$96/10)-1)+逐级计算!$Q$96*(CR14-逐级计算!$P$96)*LN(10)/10))))))),"")</f>
        <v>13.6498722405264</v>
      </c>
      <c r="CT14">
        <f>IF(AND(ISNUMBER(CS14),逐级计算!$X$97&gt;-1),IF(逐级计算!$X$97=0,CS14+逐级计算!$C$97,CS14+逐级计算!$C$97-(10/(逐级计算!$Q$97*LN(10))*(MAX((LN(10^(逐级计算!$Q$97/10)-1)+逐级计算!$Q$97*(CS14-逐级计算!$P$97)*LN(10)/10),0)+LN(1+EXP(-ABS((LN(10^(逐级计算!$Q$97/10)-1)+逐级计算!$Q$97*(CS14-逐级计算!$P$97)*LN(10)/10))))))),"")</f>
        <v>13.6498722405264</v>
      </c>
      <c r="CU14">
        <f>IF(AND(ISNUMBER(CT14),逐级计算!$X$98&gt;-1),IF(逐级计算!$X$98=0,CT14+逐级计算!$C$98,CT14+逐级计算!$C$98-(10/(逐级计算!$Q$98*LN(10))*(MAX((LN(10^(逐级计算!$Q$98/10)-1)+逐级计算!$Q$98*(CT14-逐级计算!$P$98)*LN(10)/10),0)+LN(1+EXP(-ABS((LN(10^(逐级计算!$Q$98/10)-1)+逐级计算!$Q$98*(CT14-逐级计算!$P$98)*LN(10)/10))))))),"")</f>
        <v>13.6498722405264</v>
      </c>
      <c r="CV14">
        <f>IF(AND(ISNUMBER(CU14),逐级计算!$X$99&gt;-1),IF(逐级计算!$X$99=0,CU14+逐级计算!$C$99,CU14+逐级计算!$C$99-(10/(逐级计算!$Q$99*LN(10))*(MAX((LN(10^(逐级计算!$Q$99/10)-1)+逐级计算!$Q$99*(CU14-逐级计算!$P$99)*LN(10)/10),0)+LN(1+EXP(-ABS((LN(10^(逐级计算!$Q$99/10)-1)+逐级计算!$Q$99*(CU14-逐级计算!$P$99)*LN(10)/10))))))),"")</f>
        <v>13.6498722405264</v>
      </c>
      <c r="CW14">
        <f>IF(AND(ISNUMBER(CV14),逐级计算!$X$100&gt;-1),IF(逐级计算!$X$100=0,CV14+逐级计算!$C$100,CV14+逐级计算!$C$100-(10/(逐级计算!$Q$100*LN(10))*(MAX((LN(10^(逐级计算!$Q$100/10)-1)+逐级计算!$Q$100*(CV14-逐级计算!$P$100)*LN(10)/10),0)+LN(1+EXP(-ABS((LN(10^(逐级计算!$Q$100/10)-1)+逐级计算!$Q$100*(CV14-逐级计算!$P$100)*LN(10)/10))))))),"")</f>
        <v>13.6498722405264</v>
      </c>
      <c r="CX14">
        <f>IF(AND(ISNUMBER(CW14),逐级计算!$X$101&gt;-1),IF(逐级计算!$X$101=0,CW14+逐级计算!$C$101,CW14+逐级计算!$C$101-(10/(逐级计算!$Q$101*LN(10))*(MAX((LN(10^(逐级计算!$Q$101/10)-1)+逐级计算!$Q$101*(CW14-逐级计算!$P$101)*LN(10)/10),0)+LN(1+EXP(-ABS((LN(10^(逐级计算!$Q$101/10)-1)+逐级计算!$Q$101*(CW14-逐级计算!$P$101)*LN(10)/10))))))),"")</f>
        <v>13.6498722405264</v>
      </c>
      <c r="CY14">
        <f>IF(AND(ISNUMBER(CX14),逐级计算!$X$102&gt;-1),IF(逐级计算!$X$102=0,CX14+逐级计算!$C$102,CX14+逐级计算!$C$102-(10/(逐级计算!$Q$102*LN(10))*(MAX((LN(10^(逐级计算!$Q$102/10)-1)+逐级计算!$Q$102*(CX14-逐级计算!$P$102)*LN(10)/10),0)+LN(1+EXP(-ABS((LN(10^(逐级计算!$Q$102/10)-1)+逐级计算!$Q$102*(CX14-逐级计算!$P$102)*LN(10)/10))))))),"")</f>
        <v>13.6498722405264</v>
      </c>
      <c r="CZ14">
        <f>IF(AND(ISNUMBER(CY14),逐级计算!$X$103&gt;-1),IF(逐级计算!$X$103=0,CY14+逐级计算!$C$103,CY14+逐级计算!$C$103-(10/(逐级计算!$Q$103*LN(10))*(MAX((LN(10^(逐级计算!$Q$103/10)-1)+逐级计算!$Q$103*(CY14-逐级计算!$P$103)*LN(10)/10),0)+LN(1+EXP(-ABS((LN(10^(逐级计算!$Q$103/10)-1)+逐级计算!$Q$103*(CY14-逐级计算!$P$103)*LN(10)/10))))))),"")</f>
        <v>13.6498722405264</v>
      </c>
      <c r="DA14">
        <f>IF(AND(ISNUMBER(CZ14),逐级计算!$X$104&gt;-1),IF(逐级计算!$X$104=0,CZ14+逐级计算!$C$104,CZ14+逐级计算!$C$104-(10/(逐级计算!$Q$104*LN(10))*(MAX((LN(10^(逐级计算!$Q$104/10)-1)+逐级计算!$Q$104*(CZ14-逐级计算!$P$104)*LN(10)/10),0)+LN(1+EXP(-ABS((LN(10^(逐级计算!$Q$104/10)-1)+逐级计算!$Q$104*(CZ14-逐级计算!$P$104)*LN(10)/10))))))),"")</f>
        <v>13.6498722405264</v>
      </c>
      <c r="DB14">
        <f>IF(AND(ISNUMBER(DA14),逐级计算!$X$105&gt;-1),IF(逐级计算!$X$105=0,DA14+逐级计算!$C$105,DA14+逐级计算!$C$105-(10/(逐级计算!$Q$105*LN(10))*(MAX((LN(10^(逐级计算!$Q$105/10)-1)+逐级计算!$Q$105*(DA14-逐级计算!$P$105)*LN(10)/10),0)+LN(1+EXP(-ABS((LN(10^(逐级计算!$Q$105/10)-1)+逐级计算!$Q$105*(DA14-逐级计算!$P$105)*LN(10)/10))))))),"")</f>
        <v>13.6498722405264</v>
      </c>
      <c r="DC14">
        <f>IF(AND(ISNUMBER(DB14),逐级计算!$X$106&gt;-1),IF(逐级计算!$X$106=0,DB14+逐级计算!$C$106,DB14+逐级计算!$C$106-(10/(逐级计算!$Q$106*LN(10))*(MAX((LN(10^(逐级计算!$Q$106/10)-1)+逐级计算!$Q$106*(DB14-逐级计算!$P$106)*LN(10)/10),0)+LN(1+EXP(-ABS((LN(10^(逐级计算!$Q$106/10)-1)+逐级计算!$Q$106*(DB14-逐级计算!$P$106)*LN(10)/10))))))),"")</f>
        <v>13.6498722405264</v>
      </c>
      <c r="DD14">
        <f>IF(AND(ISNUMBER(DC14),逐级计算!$X$107&gt;-1),IF(逐级计算!$X$107=0,DC14+逐级计算!$C$107,DC14+逐级计算!$C$107-(10/(逐级计算!$Q$107*LN(10))*(MAX((LN(10^(逐级计算!$Q$107/10)-1)+逐级计算!$Q$107*(DC14-逐级计算!$P$107)*LN(10)/10),0)+LN(1+EXP(-ABS((LN(10^(逐级计算!$Q$107/10)-1)+逐级计算!$Q$107*(DC14-逐级计算!$P$107)*LN(10)/10))))))),"")</f>
        <v>13.6498722405264</v>
      </c>
      <c r="DE14">
        <f>IF(AND(ISNUMBER(DD14),逐级计算!$X$108&gt;-1),IF(逐级计算!$X$108=0,DD14+逐级计算!$C$108,DD14+逐级计算!$C$108-(10/(逐级计算!$Q$108*LN(10))*(MAX((LN(10^(逐级计算!$Q$108/10)-1)+逐级计算!$Q$108*(DD14-逐级计算!$P$108)*LN(10)/10),0)+LN(1+EXP(-ABS((LN(10^(逐级计算!$Q$108/10)-1)+逐级计算!$Q$108*(DD14-逐级计算!$P$108)*LN(10)/10))))))),"")</f>
        <v>13.6498722405264</v>
      </c>
      <c r="DF14">
        <f>IF(AND(ISNUMBER(DE14),逐级计算!$X$109&gt;-1),IF(逐级计算!$X$109=0,DE14+逐级计算!$C$109,DE14+逐级计算!$C$109-(10/(逐级计算!$Q$109*LN(10))*(MAX((LN(10^(逐级计算!$Q$109/10)-1)+逐级计算!$Q$109*(DE14-逐级计算!$P$109)*LN(10)/10),0)+LN(1+EXP(-ABS((LN(10^(逐级计算!$Q$109/10)-1)+逐级计算!$Q$109*(DE14-逐级计算!$P$109)*LN(10)/10))))))),"")</f>
        <v>13.6498722405264</v>
      </c>
      <c r="DG14">
        <f>IF(AND(ISNUMBER(DF14),逐级计算!$X$110&gt;-1),IF(逐级计算!$X$110=0,DF14+逐级计算!$C$110,DF14+逐级计算!$C$110-(10/(逐级计算!$Q$110*LN(10))*(MAX((LN(10^(逐级计算!$Q$110/10)-1)+逐级计算!$Q$110*(DF14-逐级计算!$P$110)*LN(10)/10),0)+LN(1+EXP(-ABS((LN(10^(逐级计算!$Q$110/10)-1)+逐级计算!$Q$110*(DF14-逐级计算!$P$110)*LN(10)/10))))))),"")</f>
        <v>13.6498722405264</v>
      </c>
      <c r="DH14">
        <f>IF(AND(ISNUMBER(DG14),逐级计算!$X$111&gt;-1),IF(逐级计算!$X$111=0,DG14+逐级计算!$C$111,DG14+逐级计算!$C$111-(10/(逐级计算!$Q$111*LN(10))*(MAX((LN(10^(逐级计算!$Q$111/10)-1)+逐级计算!$Q$111*(DG14-逐级计算!$P$111)*LN(10)/10),0)+LN(1+EXP(-ABS((LN(10^(逐级计算!$Q$111/10)-1)+逐级计算!$Q$111*(DG14-逐级计算!$P$111)*LN(10)/10))))))),"")</f>
        <v>13.6498722405264</v>
      </c>
      <c r="DI14">
        <f>IF(AND(ISNUMBER(DH14),逐级计算!$X$112&gt;-1),IF(逐级计算!$X$112=0,DH14+逐级计算!$C$112,DH14+逐级计算!$C$112-(10/(逐级计算!$Q$112*LN(10))*(MAX((LN(10^(逐级计算!$Q$112/10)-1)+逐级计算!$Q$112*(DH14-逐级计算!$P$112)*LN(10)/10),0)+LN(1+EXP(-ABS((LN(10^(逐级计算!$Q$112/10)-1)+逐级计算!$Q$112*(DH14-逐级计算!$P$112)*LN(10)/10))))))),"")</f>
        <v>13.6498722405264</v>
      </c>
      <c r="DJ14">
        <f>IF(AND(ISNUMBER(DI14),逐级计算!$X$113&gt;-1),IF(逐级计算!$X$113=0,DI14+逐级计算!$C$113,DI14+逐级计算!$C$113-(10/(逐级计算!$Q$113*LN(10))*(MAX((LN(10^(逐级计算!$Q$113/10)-1)+逐级计算!$Q$113*(DI14-逐级计算!$P$113)*LN(10)/10),0)+LN(1+EXP(-ABS((LN(10^(逐级计算!$Q$113/10)-1)+逐级计算!$Q$113*(DI14-逐级计算!$P$113)*LN(10)/10))))))),"")</f>
        <v>13.6498722405264</v>
      </c>
      <c r="DK14">
        <f>IF(AND(ISNUMBER(DJ14),逐级计算!$X$114&gt;-1),IF(逐级计算!$X$114=0,DJ14+逐级计算!$C$114,DJ14+逐级计算!$C$114-(10/(逐级计算!$Q$114*LN(10))*(MAX((LN(10^(逐级计算!$Q$114/10)-1)+逐级计算!$Q$114*(DJ14-逐级计算!$P$114)*LN(10)/10),0)+LN(1+EXP(-ABS((LN(10^(逐级计算!$Q$114/10)-1)+逐级计算!$Q$114*(DJ14-逐级计算!$P$114)*LN(10)/10))))))),"")</f>
        <v>13.6498722405264</v>
      </c>
      <c r="DL14">
        <f>IF(AND(ISNUMBER(DK14),逐级计算!$X$115&gt;-1),IF(逐级计算!$X$115=0,DK14+逐级计算!$C$115,DK14+逐级计算!$C$115-(10/(逐级计算!$Q$115*LN(10))*(MAX((LN(10^(逐级计算!$Q$115/10)-1)+逐级计算!$Q$115*(DK14-逐级计算!$P$115)*LN(10)/10),0)+LN(1+EXP(-ABS((LN(10^(逐级计算!$Q$115/10)-1)+逐级计算!$Q$115*(DK14-逐级计算!$P$115)*LN(10)/10))))))),"")</f>
        <v>13.6498722405264</v>
      </c>
      <c r="DM14">
        <f>IF(AND(ISNUMBER(DL14),逐级计算!$X$116&gt;-1),IF(逐级计算!$X$116=0,DL14+逐级计算!$C$116,DL14+逐级计算!$C$116-(10/(逐级计算!$Q$116*LN(10))*(MAX((LN(10^(逐级计算!$Q$116/10)-1)+逐级计算!$Q$116*(DL14-逐级计算!$P$116)*LN(10)/10),0)+LN(1+EXP(-ABS((LN(10^(逐级计算!$Q$116/10)-1)+逐级计算!$Q$116*(DL14-逐级计算!$P$116)*LN(10)/10))))))),"")</f>
        <v>13.6498722405264</v>
      </c>
      <c r="DN14">
        <f>IF(AND(ISNUMBER(DM14),逐级计算!$X$117&gt;-1),IF(逐级计算!$X$117=0,DM14+逐级计算!$C$117,DM14+逐级计算!$C$117-(10/(逐级计算!$Q$117*LN(10))*(MAX((LN(10^(逐级计算!$Q$117/10)-1)+逐级计算!$Q$117*(DM14-逐级计算!$P$117)*LN(10)/10),0)+LN(1+EXP(-ABS((LN(10^(逐级计算!$Q$117/10)-1)+逐级计算!$Q$117*(DM14-逐级计算!$P$117)*LN(10)/10))))))),"")</f>
        <v>13.6498722405264</v>
      </c>
      <c r="DO14">
        <f>IF(AND(ISNUMBER(DN14),逐级计算!$X$118&gt;-1),IF(逐级计算!$X$118=0,DN14+逐级计算!$C$118,DN14+逐级计算!$C$118-(10/(逐级计算!$Q$118*LN(10))*(MAX((LN(10^(逐级计算!$Q$118/10)-1)+逐级计算!$Q$118*(DN14-逐级计算!$P$118)*LN(10)/10),0)+LN(1+EXP(-ABS((LN(10^(逐级计算!$Q$118/10)-1)+逐级计算!$Q$118*(DN14-逐级计算!$P$118)*LN(10)/10))))))),"")</f>
        <v>13.6498722405264</v>
      </c>
      <c r="DP14">
        <f>IF(AND(ISNUMBER(DO14),逐级计算!$X$119&gt;-1),IF(逐级计算!$X$119=0,DO14+逐级计算!$C$119,DO14+逐级计算!$C$119-(10/(逐级计算!$Q$119*LN(10))*(MAX((LN(10^(逐级计算!$Q$119/10)-1)+逐级计算!$Q$119*(DO14-逐级计算!$P$119)*LN(10)/10),0)+LN(1+EXP(-ABS((LN(10^(逐级计算!$Q$119/10)-1)+逐级计算!$Q$119*(DO14-逐级计算!$P$119)*LN(10)/10))))))),"")</f>
        <v>13.6498722405264</v>
      </c>
      <c r="DQ14">
        <f>IF(AND(ISNUMBER(DP14),逐级计算!$X$120&gt;-1),IF(逐级计算!$X$120=0,DP14+逐级计算!$C$120,DP14+逐级计算!$C$120-(10/(逐级计算!$Q$120*LN(10))*(MAX((LN(10^(逐级计算!$Q$120/10)-1)+逐级计算!$Q$120*(DP14-逐级计算!$P$120)*LN(10)/10),0)+LN(1+EXP(-ABS((LN(10^(逐级计算!$Q$120/10)-1)+逐级计算!$Q$120*(DP14-逐级计算!$P$120)*LN(10)/10))))))),"")</f>
        <v>13.6498722405264</v>
      </c>
      <c r="DR14">
        <f>IF(AND(ISNUMBER(DQ14),逐级计算!$X$121&gt;-1),IF(逐级计算!$X$121=0,DQ14+逐级计算!$C$121,DQ14+逐级计算!$C$121-(10/(逐级计算!$Q$121*LN(10))*(MAX((LN(10^(逐级计算!$Q$121/10)-1)+逐级计算!$Q$121*(DQ14-逐级计算!$P$121)*LN(10)/10),0)+LN(1+EXP(-ABS((LN(10^(逐级计算!$Q$121/10)-1)+逐级计算!$Q$121*(DQ14-逐级计算!$P$121)*LN(10)/10))))))),"")</f>
        <v>13.6498722405264</v>
      </c>
      <c r="DS14">
        <f>IF(AND(ISNUMBER(DR14),逐级计算!$X$122&gt;-1),IF(逐级计算!$X$122=0,DR14+逐级计算!$C$122,DR14+逐级计算!$C$122-(10/(逐级计算!$Q$122*LN(10))*(MAX((LN(10^(逐级计算!$Q$122/10)-1)+逐级计算!$Q$122*(DR14-逐级计算!$P$122)*LN(10)/10),0)+LN(1+EXP(-ABS((LN(10^(逐级计算!$Q$122/10)-1)+逐级计算!$Q$122*(DR14-逐级计算!$P$122)*LN(10)/10))))))),"")</f>
        <v>13.6498722405264</v>
      </c>
      <c r="DT14">
        <f>IF(AND(ISNUMBER(DS14),逐级计算!$X$123&gt;-1),IF(逐级计算!$X$123=0,DS14+逐级计算!$C$123,DS14+逐级计算!$C$123-(10/(逐级计算!$Q$123*LN(10))*(MAX((LN(10^(逐级计算!$Q$123/10)-1)+逐级计算!$Q$123*(DS14-逐级计算!$P$123)*LN(10)/10),0)+LN(1+EXP(-ABS((LN(10^(逐级计算!$Q$123/10)-1)+逐级计算!$Q$123*(DS14-逐级计算!$P$123)*LN(10)/10))))))),"")</f>
        <v>13.6498722405264</v>
      </c>
      <c r="DU14">
        <f>IF(AND(ISNUMBER(DT14),逐级计算!$X$124&gt;-1),IF(逐级计算!$X$124=0,DT14+逐级计算!$C$124,DT14+逐级计算!$C$124-(10/(逐级计算!$Q$124*LN(10))*(MAX((LN(10^(逐级计算!$Q$124/10)-1)+逐级计算!$Q$124*(DT14-逐级计算!$P$124)*LN(10)/10),0)+LN(1+EXP(-ABS((LN(10^(逐级计算!$Q$124/10)-1)+逐级计算!$Q$124*(DT14-逐级计算!$P$124)*LN(10)/10))))))),"")</f>
        <v>13.6498722405264</v>
      </c>
      <c r="DV14">
        <f>IF(AND(ISNUMBER(DU14),逐级计算!$X$125&gt;-1),IF(逐级计算!$X$125=0,DU14+逐级计算!$C$125,DU14+逐级计算!$C$125-(10/(逐级计算!$Q$125*LN(10))*(MAX((LN(10^(逐级计算!$Q$125/10)-1)+逐级计算!$Q$125*(DU14-逐级计算!$P$125)*LN(10)/10),0)+LN(1+EXP(-ABS((LN(10^(逐级计算!$Q$125/10)-1)+逐级计算!$Q$125*(DU14-逐级计算!$P$125)*LN(10)/10))))))),"")</f>
        <v>13.6498722405264</v>
      </c>
      <c r="DW14">
        <f>IF(AND(ISNUMBER(DV14),逐级计算!$X$126&gt;-1),IF(逐级计算!$X$126=0,DV14+逐级计算!$C$126,DV14+逐级计算!$C$126-(10/(逐级计算!$Q$126*LN(10))*(MAX((LN(10^(逐级计算!$Q$126/10)-1)+逐级计算!$Q$126*(DV14-逐级计算!$P$126)*LN(10)/10),0)+LN(1+EXP(-ABS((LN(10^(逐级计算!$Q$126/10)-1)+逐级计算!$Q$126*(DV14-逐级计算!$P$126)*LN(10)/10))))))),"")</f>
        <v>13.6498722405264</v>
      </c>
      <c r="DX14">
        <f>IF(AND(ISNUMBER(DW14),逐级计算!$X$127&gt;-1),IF(逐级计算!$X$127=0,DW14+逐级计算!$C$127,DW14+逐级计算!$C$127-(10/(逐级计算!$Q$127*LN(10))*(MAX((LN(10^(逐级计算!$Q$127/10)-1)+逐级计算!$Q$127*(DW14-逐级计算!$P$127)*LN(10)/10),0)+LN(1+EXP(-ABS((LN(10^(逐级计算!$Q$127/10)-1)+逐级计算!$Q$127*(DW14-逐级计算!$P$127)*LN(10)/10))))))),"")</f>
        <v>13.6498722405264</v>
      </c>
      <c r="DY14">
        <f>IF(AND(ISNUMBER(DX14),逐级计算!$X$128&gt;-1),IF(逐级计算!$X$128=0,DX14+逐级计算!$C$128,DX14+逐级计算!$C$128-(10/(逐级计算!$Q$128*LN(10))*(MAX((LN(10^(逐级计算!$Q$128/10)-1)+逐级计算!$Q$128*(DX14-逐级计算!$P$128)*LN(10)/10),0)+LN(1+EXP(-ABS((LN(10^(逐级计算!$Q$128/10)-1)+逐级计算!$Q$128*(DX14-逐级计算!$P$128)*LN(10)/10))))))),"")</f>
        <v>13.6498722405264</v>
      </c>
      <c r="DZ14">
        <f>IF(AND(ISNUMBER(DY14),逐级计算!$X$129&gt;-1),IF(逐级计算!$X$129=0,DY14+逐级计算!$C$129,DY14+逐级计算!$C$129-(10/(逐级计算!$Q$129*LN(10))*(MAX((LN(10^(逐级计算!$Q$129/10)-1)+逐级计算!$Q$129*(DY14-逐级计算!$P$129)*LN(10)/10),0)+LN(1+EXP(-ABS((LN(10^(逐级计算!$Q$129/10)-1)+逐级计算!$Q$129*(DY14-逐级计算!$P$129)*LN(10)/10))))))),"")</f>
        <v>13.6498722405264</v>
      </c>
      <c r="EA14">
        <f>IF(AND(ISNUMBER(DZ14),逐级计算!$X$130&gt;-1),IF(逐级计算!$X$130=0,DZ14+逐级计算!$C$130,DZ14+逐级计算!$C$130-(10/(逐级计算!$Q$130*LN(10))*(MAX((LN(10^(逐级计算!$Q$130/10)-1)+逐级计算!$Q$130*(DZ14-逐级计算!$P$130)*LN(10)/10),0)+LN(1+EXP(-ABS((LN(10^(逐级计算!$Q$130/10)-1)+逐级计算!$Q$130*(DZ14-逐级计算!$P$130)*LN(10)/10))))))),"")</f>
        <v>13.6498722405264</v>
      </c>
      <c r="EB14">
        <f>IF(AND(ISNUMBER(EA14),逐级计算!$X$131&gt;-1),IF(逐级计算!$X$131=0,EA14+逐级计算!$C$131,EA14+逐级计算!$C$131-(10/(逐级计算!$Q$131*LN(10))*(MAX((LN(10^(逐级计算!$Q$131/10)-1)+逐级计算!$Q$131*(EA14-逐级计算!$P$131)*LN(10)/10),0)+LN(1+EXP(-ABS((LN(10^(逐级计算!$Q$131/10)-1)+逐级计算!$Q$131*(EA14-逐级计算!$P$131)*LN(10)/10))))))),"")</f>
        <v>13.6498722405264</v>
      </c>
      <c r="EC14">
        <f>IF(AND(ISNUMBER(EB14),逐级计算!$X$132&gt;-1),IF(逐级计算!$X$132=0,EB14+逐级计算!$C$132,EB14+逐级计算!$C$132-(10/(逐级计算!$Q$132*LN(10))*(MAX((LN(10^(逐级计算!$Q$132/10)-1)+逐级计算!$Q$132*(EB14-逐级计算!$P$132)*LN(10)/10),0)+LN(1+EXP(-ABS((LN(10^(逐级计算!$Q$132/10)-1)+逐级计算!$Q$132*(EB14-逐级计算!$P$132)*LN(10)/10))))))),"")</f>
        <v>13.6498722405264</v>
      </c>
      <c r="ED14">
        <f>IF(AND(ISNUMBER(EC14),逐级计算!$X$133&gt;-1),IF(逐级计算!$X$133=0,EC14+逐级计算!$C$133,EC14+逐级计算!$C$133-(10/(逐级计算!$Q$133*LN(10))*(MAX((LN(10^(逐级计算!$Q$133/10)-1)+逐级计算!$Q$133*(EC14-逐级计算!$P$133)*LN(10)/10),0)+LN(1+EXP(-ABS((LN(10^(逐级计算!$Q$133/10)-1)+逐级计算!$Q$133*(EC14-逐级计算!$P$133)*LN(10)/10))))))),"")</f>
        <v>13.6498722405264</v>
      </c>
      <c r="EE14">
        <f>IF(AND(ISNUMBER(ED14),逐级计算!$X$134&gt;-1),IF(逐级计算!$X$134=0,ED14+逐级计算!$C$134,ED14+逐级计算!$C$134-(10/(逐级计算!$Q$134*LN(10))*(MAX((LN(10^(逐级计算!$Q$134/10)-1)+逐级计算!$Q$134*(ED14-逐级计算!$P$134)*LN(10)/10),0)+LN(1+EXP(-ABS((LN(10^(逐级计算!$Q$134/10)-1)+逐级计算!$Q$134*(ED14-逐级计算!$P$134)*LN(10)/10))))))),"")</f>
        <v>13.6498722405264</v>
      </c>
      <c r="EF14">
        <f>IF(AND(ISNUMBER(EE14),逐级计算!$X$135&gt;-1),IF(逐级计算!$X$135=0,EE14+逐级计算!$C$135,EE14+逐级计算!$C$135-(10/(逐级计算!$Q$135*LN(10))*(MAX((LN(10^(逐级计算!$Q$135/10)-1)+逐级计算!$Q$135*(EE14-逐级计算!$P$135)*LN(10)/10),0)+LN(1+EXP(-ABS((LN(10^(逐级计算!$Q$135/10)-1)+逐级计算!$Q$135*(EE14-逐级计算!$P$135)*LN(10)/10))))))),"")</f>
        <v>13.6498722405264</v>
      </c>
      <c r="EG14">
        <f>IF(AND(ISNUMBER(EF14),逐级计算!$X$136&gt;-1),IF(逐级计算!$X$136=0,EF14+逐级计算!$C$136,EF14+逐级计算!$C$136-(10/(逐级计算!$Q$136*LN(10))*(MAX((LN(10^(逐级计算!$Q$136/10)-1)+逐级计算!$Q$136*(EF14-逐级计算!$P$136)*LN(10)/10),0)+LN(1+EXP(-ABS((LN(10^(逐级计算!$Q$136/10)-1)+逐级计算!$Q$136*(EF14-逐级计算!$P$136)*LN(10)/10))))))),"")</f>
        <v>13.6498722405264</v>
      </c>
      <c r="EH14">
        <f>IF(AND(ISNUMBER(EG14),逐级计算!$X$137&gt;-1),IF(逐级计算!$X$137=0,EG14+逐级计算!$C$137,EG14+逐级计算!$C$137-(10/(逐级计算!$Q$137*LN(10))*(MAX((LN(10^(逐级计算!$Q$137/10)-1)+逐级计算!$Q$137*(EG14-逐级计算!$P$137)*LN(10)/10),0)+LN(1+EXP(-ABS((LN(10^(逐级计算!$Q$137/10)-1)+逐级计算!$Q$137*(EG14-逐级计算!$P$137)*LN(10)/10))))))),"")</f>
        <v>13.6498722405264</v>
      </c>
      <c r="EI14">
        <f>IF(AND(ISNUMBER(EH14),逐级计算!$X$138&gt;-1),IF(逐级计算!$X$138=0,EH14+逐级计算!$C$138,EH14+逐级计算!$C$138-(10/(逐级计算!$Q$138*LN(10))*(MAX((LN(10^(逐级计算!$Q$138/10)-1)+逐级计算!$Q$138*(EH14-逐级计算!$P$138)*LN(10)/10),0)+LN(1+EXP(-ABS((LN(10^(逐级计算!$Q$138/10)-1)+逐级计算!$Q$138*(EH14-逐级计算!$P$138)*LN(10)/10))))))),"")</f>
        <v>13.6498722405264</v>
      </c>
      <c r="EJ14">
        <f>IF(AND(ISNUMBER(EI14),逐级计算!$X$139&gt;-1),IF(逐级计算!$X$139=0,EI14+逐级计算!$C$139,EI14+逐级计算!$C$139-(10/(逐级计算!$Q$139*LN(10))*(MAX((LN(10^(逐级计算!$Q$139/10)-1)+逐级计算!$Q$139*(EI14-逐级计算!$P$139)*LN(10)/10),0)+LN(1+EXP(-ABS((LN(10^(逐级计算!$Q$139/10)-1)+逐级计算!$Q$139*(EI14-逐级计算!$P$139)*LN(10)/10))))))),"")</f>
        <v>13.6498722405264</v>
      </c>
      <c r="EK14">
        <f>IF(AND(ISNUMBER(EJ14),逐级计算!$X$140&gt;-1),IF(逐级计算!$X$140=0,EJ14+逐级计算!$C$140,EJ14+逐级计算!$C$140-(10/(逐级计算!$Q$140*LN(10))*(MAX((LN(10^(逐级计算!$Q$140/10)-1)+逐级计算!$Q$140*(EJ14-逐级计算!$P$140)*LN(10)/10),0)+LN(1+EXP(-ABS((LN(10^(逐级计算!$Q$140/10)-1)+逐级计算!$Q$140*(EJ14-逐级计算!$P$140)*LN(10)/10))))))),"")</f>
        <v>13.6498722405264</v>
      </c>
      <c r="EL14">
        <f>IF(AND(ISNUMBER(EK14),逐级计算!$X$141&gt;-1),IF(逐级计算!$X$141=0,EK14+逐级计算!$C$141,EK14+逐级计算!$C$141-(10/(逐级计算!$Q$141*LN(10))*(MAX((LN(10^(逐级计算!$Q$141/10)-1)+逐级计算!$Q$141*(EK14-逐级计算!$P$141)*LN(10)/10),0)+LN(1+EXP(-ABS((LN(10^(逐级计算!$Q$141/10)-1)+逐级计算!$Q$141*(EK14-逐级计算!$P$141)*LN(10)/10))))))),"")</f>
        <v>13.6498722405264</v>
      </c>
      <c r="EM14">
        <f>IF(AND(ISNUMBER(EL14),逐级计算!$X$142&gt;-1),IF(逐级计算!$X$142=0,EL14+逐级计算!$C$142,EL14+逐级计算!$C$142-(10/(逐级计算!$Q$142*LN(10))*(MAX((LN(10^(逐级计算!$Q$142/10)-1)+逐级计算!$Q$142*(EL14-逐级计算!$P$142)*LN(10)/10),0)+LN(1+EXP(-ABS((LN(10^(逐级计算!$Q$142/10)-1)+逐级计算!$Q$142*(EL14-逐级计算!$P$142)*LN(10)/10))))))),"")</f>
        <v>13.6498722405264</v>
      </c>
      <c r="EN14">
        <f>IF(AND(ISNUMBER(EM14),逐级计算!$X$143&gt;-1),IF(逐级计算!$X$143=0,EM14+逐级计算!$C$143,EM14+逐级计算!$C$143-(10/(逐级计算!$Q$143*LN(10))*(MAX((LN(10^(逐级计算!$Q$143/10)-1)+逐级计算!$Q$143*(EM14-逐级计算!$P$143)*LN(10)/10),0)+LN(1+EXP(-ABS((LN(10^(逐级计算!$Q$143/10)-1)+逐级计算!$Q$143*(EM14-逐级计算!$P$143)*LN(10)/10))))))),"")</f>
        <v>13.6498722405264</v>
      </c>
      <c r="EO14">
        <f>IF(AND(ISNUMBER(EN14),逐级计算!$X$144&gt;-1),IF(逐级计算!$X$144=0,EN14+逐级计算!$C$144,EN14+逐级计算!$C$144-(10/(逐级计算!$Q$144*LN(10))*(MAX((LN(10^(逐级计算!$Q$144/10)-1)+逐级计算!$Q$144*(EN14-逐级计算!$P$144)*LN(10)/10),0)+LN(1+EXP(-ABS((LN(10^(逐级计算!$Q$144/10)-1)+逐级计算!$Q$144*(EN14-逐级计算!$P$144)*LN(10)/10))))))),"")</f>
        <v>13.6498722405264</v>
      </c>
      <c r="EP14">
        <f>IF(AND(ISNUMBER(EO14),逐级计算!$X$145&gt;-1),IF(逐级计算!$X$145=0,EO14+逐级计算!$C$145,EO14+逐级计算!$C$145-(10/(逐级计算!$Q$145*LN(10))*(MAX((LN(10^(逐级计算!$Q$145/10)-1)+逐级计算!$Q$145*(EO14-逐级计算!$P$145)*LN(10)/10),0)+LN(1+EXP(-ABS((LN(10^(逐级计算!$Q$145/10)-1)+逐级计算!$Q$145*(EO14-逐级计算!$P$145)*LN(10)/10))))))),"")</f>
        <v>13.6498722405264</v>
      </c>
      <c r="EQ14">
        <f>IF(AND(ISNUMBER(EP14),逐级计算!$X$146&gt;-1),IF(逐级计算!$X$146=0,EP14+逐级计算!$C$146,EP14+逐级计算!$C$146-(10/(逐级计算!$Q$146*LN(10))*(MAX((LN(10^(逐级计算!$Q$146/10)-1)+逐级计算!$Q$146*(EP14-逐级计算!$P$146)*LN(10)/10),0)+LN(1+EXP(-ABS((LN(10^(逐级计算!$Q$146/10)-1)+逐级计算!$Q$146*(EP14-逐级计算!$P$146)*LN(10)/10))))))),"")</f>
        <v>13.6498722405264</v>
      </c>
      <c r="ER14">
        <f>IF(AND(ISNUMBER(EQ14),逐级计算!$X$147&gt;-1),IF(逐级计算!$X$147=0,EQ14+逐级计算!$C$147,EQ14+逐级计算!$C$147-(10/(逐级计算!$Q$147*LN(10))*(MAX((LN(10^(逐级计算!$Q$147/10)-1)+逐级计算!$Q$147*(EQ14-逐级计算!$P$147)*LN(10)/10),0)+LN(1+EXP(-ABS((LN(10^(逐级计算!$Q$147/10)-1)+逐级计算!$Q$147*(EQ14-逐级计算!$P$147)*LN(10)/10))))))),"")</f>
        <v>13.6498722405264</v>
      </c>
      <c r="ES14">
        <f>IF(AND(ISNUMBER(ER14),逐级计算!$X$148&gt;-1),IF(逐级计算!$X$148=0,ER14+逐级计算!$C$148,ER14+逐级计算!$C$148-(10/(逐级计算!$Q$148*LN(10))*(MAX((LN(10^(逐级计算!$Q$148/10)-1)+逐级计算!$Q$148*(ER14-逐级计算!$P$148)*LN(10)/10),0)+LN(1+EXP(-ABS((LN(10^(逐级计算!$Q$148/10)-1)+逐级计算!$Q$148*(ER14-逐级计算!$P$148)*LN(10)/10))))))),"")</f>
        <v>13.6498722405264</v>
      </c>
      <c r="ET14">
        <f>IF(AND(ISNUMBER(ES14),逐级计算!$X$149&gt;-1),IF(逐级计算!$X$149=0,ES14+逐级计算!$C$149,ES14+逐级计算!$C$149-(10/(逐级计算!$Q$149*LN(10))*(MAX((LN(10^(逐级计算!$Q$149/10)-1)+逐级计算!$Q$149*(ES14-逐级计算!$P$149)*LN(10)/10),0)+LN(1+EXP(-ABS((LN(10^(逐级计算!$Q$149/10)-1)+逐级计算!$Q$149*(ES14-逐级计算!$P$149)*LN(10)/10))))))),"")</f>
        <v>13.6498722405264</v>
      </c>
      <c r="EU14">
        <f>IF(AND(ISNUMBER(ET14),逐级计算!$X$150&gt;-1),IF(逐级计算!$X$150=0,ET14+逐级计算!$C$150,ET14+逐级计算!$C$150-(10/(逐级计算!$Q$150*LN(10))*(MAX((LN(10^(逐级计算!$Q$150/10)-1)+逐级计算!$Q$150*(ET14-逐级计算!$P$150)*LN(10)/10),0)+LN(1+EXP(-ABS((LN(10^(逐级计算!$Q$150/10)-1)+逐级计算!$Q$150*(ET14-逐级计算!$P$150)*LN(10)/10))))))),"")</f>
        <v>13.6498722405264</v>
      </c>
      <c r="EV14">
        <f>IF(AND(ISNUMBER(EU14),逐级计算!$X$151&gt;-1),IF(逐级计算!$X$151=0,EU14+逐级计算!$C$151,EU14+逐级计算!$C$151-(10/(逐级计算!$Q$151*LN(10))*(MAX((LN(10^(逐级计算!$Q$151/10)-1)+逐级计算!$Q$151*(EU14-逐级计算!$P$151)*LN(10)/10),0)+LN(1+EXP(-ABS((LN(10^(逐级计算!$Q$151/10)-1)+逐级计算!$Q$151*(EU14-逐级计算!$P$151)*LN(10)/10))))))),"")</f>
        <v>13.6498722405264</v>
      </c>
      <c r="EW14">
        <f>IF(AND(ISNUMBER(EV14),逐级计算!$X$152&gt;-1),IF(逐级计算!$X$152=0,EV14+逐级计算!$C$152,EV14+逐级计算!$C$152-(10/(逐级计算!$Q$152*LN(10))*(MAX((LN(10^(逐级计算!$Q$152/10)-1)+逐级计算!$Q$152*(EV14-逐级计算!$P$152)*LN(10)/10),0)+LN(1+EXP(-ABS((LN(10^(逐级计算!$Q$152/10)-1)+逐级计算!$Q$152*(EV14-逐级计算!$P$152)*LN(10)/10))))))),"")</f>
        <v>13.6498722405264</v>
      </c>
      <c r="EX14">
        <f>IF(AND(ISNUMBER(EW14),逐级计算!$X$153&gt;-1),IF(逐级计算!$X$153=0,EW14+逐级计算!$C$153,EW14+逐级计算!$C$153-(10/(逐级计算!$Q$153*LN(10))*(MAX((LN(10^(逐级计算!$Q$153/10)-1)+逐级计算!$Q$153*(EW14-逐级计算!$P$153)*LN(10)/10),0)+LN(1+EXP(-ABS((LN(10^(逐级计算!$Q$153/10)-1)+逐级计算!$Q$153*(EW14-逐级计算!$P$153)*LN(10)/10))))))),"")</f>
        <v>13.6498722405264</v>
      </c>
      <c r="EY14">
        <f>IF(AND(ISNUMBER(EX14),逐级计算!$X$154&gt;-1),IF(逐级计算!$X$154=0,EX14+逐级计算!$C$154,EX14+逐级计算!$C$154-(10/(逐级计算!$Q$154*LN(10))*(MAX((LN(10^(逐级计算!$Q$154/10)-1)+逐级计算!$Q$154*(EX14-逐级计算!$P$154)*LN(10)/10),0)+LN(1+EXP(-ABS((LN(10^(逐级计算!$Q$154/10)-1)+逐级计算!$Q$154*(EX14-逐级计算!$P$154)*LN(10)/10))))))),"")</f>
        <v>13.6498722405264</v>
      </c>
      <c r="EZ14">
        <f>IF(AND(ISNUMBER(EY14),逐级计算!$X$155&gt;-1),IF(逐级计算!$X$155=0,EY14+逐级计算!$C$155,EY14+逐级计算!$C$155-(10/(逐级计算!$Q$155*LN(10))*(MAX((LN(10^(逐级计算!$Q$155/10)-1)+逐级计算!$Q$155*(EY14-逐级计算!$P$155)*LN(10)/10),0)+LN(1+EXP(-ABS((LN(10^(逐级计算!$Q$155/10)-1)+逐级计算!$Q$155*(EY14-逐级计算!$P$155)*LN(10)/10))))))),"")</f>
        <v>13.6498722405264</v>
      </c>
      <c r="FA14">
        <f>IF(AND(ISNUMBER(EZ14),逐级计算!$X$156&gt;-1),IF(逐级计算!$X$156=0,EZ14+逐级计算!$C$156,EZ14+逐级计算!$C$156-(10/(逐级计算!$Q$156*LN(10))*(MAX((LN(10^(逐级计算!$Q$156/10)-1)+逐级计算!$Q$156*(EZ14-逐级计算!$P$156)*LN(10)/10),0)+LN(1+EXP(-ABS((LN(10^(逐级计算!$Q$156/10)-1)+逐级计算!$Q$156*(EZ14-逐级计算!$P$156)*LN(10)/10))))))),"")</f>
        <v>13.6498722405264</v>
      </c>
      <c r="FB14">
        <f>IF(AND(ISNUMBER(FA14),逐级计算!$X$157&gt;-1),IF(逐级计算!$X$157=0,FA14+逐级计算!$C$157,FA14+逐级计算!$C$157-(10/(逐级计算!$Q$157*LN(10))*(MAX((LN(10^(逐级计算!$Q$157/10)-1)+逐级计算!$Q$157*(FA14-逐级计算!$P$157)*LN(10)/10),0)+LN(1+EXP(-ABS((LN(10^(逐级计算!$Q$157/10)-1)+逐级计算!$Q$157*(FA14-逐级计算!$P$157)*LN(10)/10))))))),"")</f>
        <v>13.6498722405264</v>
      </c>
      <c r="FC14">
        <f>IF(AND(ISNUMBER(FB14),逐级计算!$X$158&gt;-1),IF(逐级计算!$X$158=0,FB14+逐级计算!$C$158,FB14+逐级计算!$C$158-(10/(逐级计算!$Q$158*LN(10))*(MAX((LN(10^(逐级计算!$Q$158/10)-1)+逐级计算!$Q$158*(FB14-逐级计算!$P$158)*LN(10)/10),0)+LN(1+EXP(-ABS((LN(10^(逐级计算!$Q$158/10)-1)+逐级计算!$Q$158*(FB14-逐级计算!$P$158)*LN(10)/10))))))),"")</f>
        <v>13.6498722405264</v>
      </c>
      <c r="FD14">
        <f>IF(AND(ISNUMBER(FC14),逐级计算!$X$159&gt;-1),IF(逐级计算!$X$159=0,FC14+逐级计算!$C$159,FC14+逐级计算!$C$159-(10/(逐级计算!$Q$159*LN(10))*(MAX((LN(10^(逐级计算!$Q$159/10)-1)+逐级计算!$Q$159*(FC14-逐级计算!$P$159)*LN(10)/10),0)+LN(1+EXP(-ABS((LN(10^(逐级计算!$Q$159/10)-1)+逐级计算!$Q$159*(FC14-逐级计算!$P$159)*LN(10)/10))))))),"")</f>
        <v>13.6498722405264</v>
      </c>
      <c r="FE14">
        <f>IF(AND(ISNUMBER(FD14),逐级计算!$X$160&gt;-1),IF(逐级计算!$X$160=0,FD14+逐级计算!$C$160,FD14+逐级计算!$C$160-(10/(逐级计算!$Q$160*LN(10))*(MAX((LN(10^(逐级计算!$Q$160/10)-1)+逐级计算!$Q$160*(FD14-逐级计算!$P$160)*LN(10)/10),0)+LN(1+EXP(-ABS((LN(10^(逐级计算!$Q$160/10)-1)+逐级计算!$Q$160*(FD14-逐级计算!$P$160)*LN(10)/10))))))),"")</f>
        <v>13.6498722405264</v>
      </c>
      <c r="FF14">
        <f>IF(AND(ISNUMBER(FE14),逐级计算!$X$161&gt;-1),IF(逐级计算!$X$161=0,FE14+逐级计算!$C$161,FE14+逐级计算!$C$161-(10/(逐级计算!$Q$161*LN(10))*(MAX((LN(10^(逐级计算!$Q$161/10)-1)+逐级计算!$Q$161*(FE14-逐级计算!$P$161)*LN(10)/10),0)+LN(1+EXP(-ABS((LN(10^(逐级计算!$Q$161/10)-1)+逐级计算!$Q$161*(FE14-逐级计算!$P$161)*LN(10)/10))))))),"")</f>
        <v>13.6498722405264</v>
      </c>
      <c r="FG14">
        <f>IF(AND(ISNUMBER(FF14),逐级计算!$X$162&gt;-1),IF(逐级计算!$X$162=0,FF14+逐级计算!$C$162,FF14+逐级计算!$C$162-(10/(逐级计算!$Q$162*LN(10))*(MAX((LN(10^(逐级计算!$Q$162/10)-1)+逐级计算!$Q$162*(FF14-逐级计算!$P$162)*LN(10)/10),0)+LN(1+EXP(-ABS((LN(10^(逐级计算!$Q$162/10)-1)+逐级计算!$Q$162*(FF14-逐级计算!$P$162)*LN(10)/10))))))),"")</f>
        <v>13.6498722405264</v>
      </c>
      <c r="FH14">
        <f>IF(AND(ISNUMBER(FG14),逐级计算!$X$163&gt;-1),IF(逐级计算!$X$163=0,FG14+逐级计算!$C$163,FG14+逐级计算!$C$163-(10/(逐级计算!$Q$163*LN(10))*(MAX((LN(10^(逐级计算!$Q$163/10)-1)+逐级计算!$Q$163*(FG14-逐级计算!$P$163)*LN(10)/10),0)+LN(1+EXP(-ABS((LN(10^(逐级计算!$Q$163/10)-1)+逐级计算!$Q$163*(FG14-逐级计算!$P$163)*LN(10)/10))))))),"")</f>
        <v>13.6498722405264</v>
      </c>
      <c r="FI14">
        <f>IF(AND(ISNUMBER(FH14),逐级计算!$X$164&gt;-1),IF(逐级计算!$X$164=0,FH14+逐级计算!$C$164,FH14+逐级计算!$C$164-(10/(逐级计算!$Q$164*LN(10))*(MAX((LN(10^(逐级计算!$Q$164/10)-1)+逐级计算!$Q$164*(FH14-逐级计算!$P$164)*LN(10)/10),0)+LN(1+EXP(-ABS((LN(10^(逐级计算!$Q$164/10)-1)+逐级计算!$Q$164*(FH14-逐级计算!$P$164)*LN(10)/10))))))),"")</f>
        <v>13.6498722405264</v>
      </c>
      <c r="FJ14">
        <f>IF(AND(ISNUMBER(FI14),逐级计算!$X$165&gt;-1),IF(逐级计算!$X$165=0,FI14+逐级计算!$C$165,FI14+逐级计算!$C$165-(10/(逐级计算!$Q$165*LN(10))*(MAX((LN(10^(逐级计算!$Q$165/10)-1)+逐级计算!$Q$165*(FI14-逐级计算!$P$165)*LN(10)/10),0)+LN(1+EXP(-ABS((LN(10^(逐级计算!$Q$165/10)-1)+逐级计算!$Q$165*(FI14-逐级计算!$P$165)*LN(10)/10))))))),"")</f>
        <v>13.6498722405264</v>
      </c>
      <c r="FK14">
        <f>IF(AND(ISNUMBER(FJ14),逐级计算!$X$166&gt;-1),IF(逐级计算!$X$166=0,FJ14+逐级计算!$C$166,FJ14+逐级计算!$C$166-(10/(逐级计算!$Q$166*LN(10))*(MAX((LN(10^(逐级计算!$Q$166/10)-1)+逐级计算!$Q$166*(FJ14-逐级计算!$P$166)*LN(10)/10),0)+LN(1+EXP(-ABS((LN(10^(逐级计算!$Q$166/10)-1)+逐级计算!$Q$166*(FJ14-逐级计算!$P$166)*LN(10)/10))))))),"")</f>
        <v>13.6498722405264</v>
      </c>
      <c r="FL14">
        <f>IF(AND(ISNUMBER(FK14),逐级计算!$X$167&gt;-1),IF(逐级计算!$X$167=0,FK14+逐级计算!$C$167,FK14+逐级计算!$C$167-(10/(逐级计算!$Q$167*LN(10))*(MAX((LN(10^(逐级计算!$Q$167/10)-1)+逐级计算!$Q$167*(FK14-逐级计算!$P$167)*LN(10)/10),0)+LN(1+EXP(-ABS((LN(10^(逐级计算!$Q$167/10)-1)+逐级计算!$Q$167*(FK14-逐级计算!$P$167)*LN(10)/10))))))),"")</f>
        <v>13.6498722405264</v>
      </c>
      <c r="FM14">
        <f>IF(AND(ISNUMBER(FL14),逐级计算!$X$168&gt;-1),IF(逐级计算!$X$168=0,FL14+逐级计算!$C$168,FL14+逐级计算!$C$168-(10/(逐级计算!$Q$168*LN(10))*(MAX((LN(10^(逐级计算!$Q$168/10)-1)+逐级计算!$Q$168*(FL14-逐级计算!$P$168)*LN(10)/10),0)+LN(1+EXP(-ABS((LN(10^(逐级计算!$Q$168/10)-1)+逐级计算!$Q$168*(FL14-逐级计算!$P$168)*LN(10)/10))))))),"")</f>
        <v>13.6498722405264</v>
      </c>
      <c r="FN14">
        <f>IF(AND(ISNUMBER(FM14),逐级计算!$X$169&gt;-1),IF(逐级计算!$X$169=0,FM14+逐级计算!$C$169,FM14+逐级计算!$C$169-(10/(逐级计算!$Q$169*LN(10))*(MAX((LN(10^(逐级计算!$Q$169/10)-1)+逐级计算!$Q$169*(FM14-逐级计算!$P$169)*LN(10)/10),0)+LN(1+EXP(-ABS((LN(10^(逐级计算!$Q$169/10)-1)+逐级计算!$Q$169*(FM14-逐级计算!$P$169)*LN(10)/10))))))),"")</f>
        <v>13.6498722405264</v>
      </c>
      <c r="FO14">
        <f>IF(AND(ISNUMBER(FN14),逐级计算!$X$170&gt;-1),IF(逐级计算!$X$170=0,FN14+逐级计算!$C$170,FN14+逐级计算!$C$170-(10/(逐级计算!$Q$170*LN(10))*(MAX((LN(10^(逐级计算!$Q$170/10)-1)+逐级计算!$Q$170*(FN14-逐级计算!$P$170)*LN(10)/10),0)+LN(1+EXP(-ABS((LN(10^(逐级计算!$Q$170/10)-1)+逐级计算!$Q$170*(FN14-逐级计算!$P$170)*LN(10)/10))))))),"")</f>
        <v>13.6498722405264</v>
      </c>
      <c r="FP14">
        <f>IF(AND(ISNUMBER(FO14),逐级计算!$X$171&gt;-1),IF(逐级计算!$X$171=0,FO14+逐级计算!$C$171,FO14+逐级计算!$C$171-(10/(逐级计算!$Q$171*LN(10))*(MAX((LN(10^(逐级计算!$Q$171/10)-1)+逐级计算!$Q$171*(FO14-逐级计算!$P$171)*LN(10)/10),0)+LN(1+EXP(-ABS((LN(10^(逐级计算!$Q$171/10)-1)+逐级计算!$Q$171*(FO14-逐级计算!$P$171)*LN(10)/10))))))),"")</f>
        <v>13.6498722405264</v>
      </c>
      <c r="FQ14">
        <f>IF(AND(ISNUMBER(FP14),逐级计算!$X$172&gt;-1),IF(逐级计算!$X$172=0,FP14+逐级计算!$C$172,FP14+逐级计算!$C$172-(10/(逐级计算!$Q$172*LN(10))*(MAX((LN(10^(逐级计算!$Q$172/10)-1)+逐级计算!$Q$172*(FP14-逐级计算!$P$172)*LN(10)/10),0)+LN(1+EXP(-ABS((LN(10^(逐级计算!$Q$172/10)-1)+逐级计算!$Q$172*(FP14-逐级计算!$P$172)*LN(10)/10))))))),"")</f>
        <v>13.6498722405264</v>
      </c>
      <c r="FR14">
        <f>IF(AND(ISNUMBER(FQ14),逐级计算!$X$173&gt;-1),IF(逐级计算!$X$173=0,FQ14+逐级计算!$C$173,FQ14+逐级计算!$C$173-(10/(逐级计算!$Q$173*LN(10))*(MAX((LN(10^(逐级计算!$Q$173/10)-1)+逐级计算!$Q$173*(FQ14-逐级计算!$P$173)*LN(10)/10),0)+LN(1+EXP(-ABS((LN(10^(逐级计算!$Q$173/10)-1)+逐级计算!$Q$173*(FQ14-逐级计算!$P$173)*LN(10)/10))))))),"")</f>
        <v>13.6498722405264</v>
      </c>
      <c r="FS14">
        <f>IF(AND(ISNUMBER(FR14),逐级计算!$X$174&gt;-1),IF(逐级计算!$X$174=0,FR14+逐级计算!$C$174,FR14+逐级计算!$C$174-(10/(逐级计算!$Q$174*LN(10))*(MAX((LN(10^(逐级计算!$Q$174/10)-1)+逐级计算!$Q$174*(FR14-逐级计算!$P$174)*LN(10)/10),0)+LN(1+EXP(-ABS((LN(10^(逐级计算!$Q$174/10)-1)+逐级计算!$Q$174*(FR14-逐级计算!$P$174)*LN(10)/10))))))),"")</f>
        <v>13.6498722405264</v>
      </c>
      <c r="FT14">
        <f>IF(AND(ISNUMBER(FS14),逐级计算!$X$175&gt;-1),IF(逐级计算!$X$175=0,FS14+逐级计算!$C$175,FS14+逐级计算!$C$175-(10/(逐级计算!$Q$175*LN(10))*(MAX((LN(10^(逐级计算!$Q$175/10)-1)+逐级计算!$Q$175*(FS14-逐级计算!$P$175)*LN(10)/10),0)+LN(1+EXP(-ABS((LN(10^(逐级计算!$Q$175/10)-1)+逐级计算!$Q$175*(FS14-逐级计算!$P$175)*LN(10)/10))))))),"")</f>
        <v>13.6498722405264</v>
      </c>
      <c r="FU14">
        <f>IF(AND(ISNUMBER(FT14),逐级计算!$X$176&gt;-1),IF(逐级计算!$X$176=0,FT14+逐级计算!$C$176,FT14+逐级计算!$C$176-(10/(逐级计算!$Q$176*LN(10))*(MAX((LN(10^(逐级计算!$Q$176/10)-1)+逐级计算!$Q$176*(FT14-逐级计算!$P$176)*LN(10)/10),0)+LN(1+EXP(-ABS((LN(10^(逐级计算!$Q$176/10)-1)+逐级计算!$Q$176*(FT14-逐级计算!$P$176)*LN(10)/10))))))),"")</f>
        <v>13.6498722405264</v>
      </c>
      <c r="FV14">
        <f>IF(AND(ISNUMBER(FU14),逐级计算!$X$177&gt;-1),IF(逐级计算!$X$177=0,FU14+逐级计算!$C$177,FU14+逐级计算!$C$177-(10/(逐级计算!$Q$177*LN(10))*(MAX((LN(10^(逐级计算!$Q$177/10)-1)+逐级计算!$Q$177*(FU14-逐级计算!$P$177)*LN(10)/10),0)+LN(1+EXP(-ABS((LN(10^(逐级计算!$Q$177/10)-1)+逐级计算!$Q$177*(FU14-逐级计算!$P$177)*LN(10)/10))))))),"")</f>
        <v>13.6498722405264</v>
      </c>
      <c r="FW14">
        <f>IF(AND(ISNUMBER(FV14),逐级计算!$X$178&gt;-1),IF(逐级计算!$X$178=0,FV14+逐级计算!$C$178,FV14+逐级计算!$C$178-(10/(逐级计算!$Q$178*LN(10))*(MAX((LN(10^(逐级计算!$Q$178/10)-1)+逐级计算!$Q$178*(FV14-逐级计算!$P$178)*LN(10)/10),0)+LN(1+EXP(-ABS((LN(10^(逐级计算!$Q$178/10)-1)+逐级计算!$Q$178*(FV14-逐级计算!$P$178)*LN(10)/10))))))),"")</f>
        <v>13.6498722405264</v>
      </c>
      <c r="FX14">
        <f>IF(AND(ISNUMBER(FW14),逐级计算!$X$179&gt;-1),IF(逐级计算!$X$179=0,FW14+逐级计算!$C$179,FW14+逐级计算!$C$179-(10/(逐级计算!$Q$179*LN(10))*(MAX((LN(10^(逐级计算!$Q$179/10)-1)+逐级计算!$Q$179*(FW14-逐级计算!$P$179)*LN(10)/10),0)+LN(1+EXP(-ABS((LN(10^(逐级计算!$Q$179/10)-1)+逐级计算!$Q$179*(FW14-逐级计算!$P$179)*LN(10)/10))))))),"")</f>
        <v>13.6498722405264</v>
      </c>
      <c r="FY14">
        <f>IF(AND(ISNUMBER(FX14),逐级计算!$X$180&gt;-1),IF(逐级计算!$X$180=0,FX14+逐级计算!$C$180,FX14+逐级计算!$C$180-(10/(逐级计算!$Q$180*LN(10))*(MAX((LN(10^(逐级计算!$Q$180/10)-1)+逐级计算!$Q$180*(FX14-逐级计算!$P$180)*LN(10)/10),0)+LN(1+EXP(-ABS((LN(10^(逐级计算!$Q$180/10)-1)+逐级计算!$Q$180*(FX14-逐级计算!$P$180)*LN(10)/10))))))),"")</f>
        <v>13.6498722405264</v>
      </c>
      <c r="FZ14">
        <f>IF(AND(ISNUMBER(FY14),逐级计算!$X$181&gt;-1),IF(逐级计算!$X$181=0,FY14+逐级计算!$C$181,FY14+逐级计算!$C$181-(10/(逐级计算!$Q$181*LN(10))*(MAX((LN(10^(逐级计算!$Q$181/10)-1)+逐级计算!$Q$181*(FY14-逐级计算!$P$181)*LN(10)/10),0)+LN(1+EXP(-ABS((LN(10^(逐级计算!$Q$181/10)-1)+逐级计算!$Q$181*(FY14-逐级计算!$P$181)*LN(10)/10))))))),"")</f>
        <v>13.6498722405264</v>
      </c>
      <c r="GA14">
        <f>IF(AND(ISNUMBER(FZ14),逐级计算!$X$182&gt;-1),IF(逐级计算!$X$182=0,FZ14+逐级计算!$C$182,FZ14+逐级计算!$C$182-(10/(逐级计算!$Q$182*LN(10))*(MAX((LN(10^(逐级计算!$Q$182/10)-1)+逐级计算!$Q$182*(FZ14-逐级计算!$P$182)*LN(10)/10),0)+LN(1+EXP(-ABS((LN(10^(逐级计算!$Q$182/10)-1)+逐级计算!$Q$182*(FZ14-逐级计算!$P$182)*LN(10)/10))))))),"")</f>
        <v>13.6498722405264</v>
      </c>
      <c r="GB14">
        <f>IF(AND(ISNUMBER(GA14),逐级计算!$X$183&gt;-1),IF(逐级计算!$X$183=0,GA14+逐级计算!$C$183,GA14+逐级计算!$C$183-(10/(逐级计算!$Q$183*LN(10))*(MAX((LN(10^(逐级计算!$Q$183/10)-1)+逐级计算!$Q$183*(GA14-逐级计算!$P$183)*LN(10)/10),0)+LN(1+EXP(-ABS((LN(10^(逐级计算!$Q$183/10)-1)+逐级计算!$Q$183*(GA14-逐级计算!$P$183)*LN(10)/10))))))),"")</f>
        <v>13.6498722405264</v>
      </c>
      <c r="GC14">
        <f>IF(AND(ISNUMBER(GB14),逐级计算!$X$184&gt;-1),IF(逐级计算!$X$184=0,GB14+逐级计算!$C$184,GB14+逐级计算!$C$184-(10/(逐级计算!$Q$184*LN(10))*(MAX((LN(10^(逐级计算!$Q$184/10)-1)+逐级计算!$Q$184*(GB14-逐级计算!$P$184)*LN(10)/10),0)+LN(1+EXP(-ABS((LN(10^(逐级计算!$Q$184/10)-1)+逐级计算!$Q$184*(GB14-逐级计算!$P$184)*LN(10)/10))))))),"")</f>
        <v>13.6498722405264</v>
      </c>
      <c r="GD14">
        <f>IF(AND(ISNUMBER(GC14),逐级计算!$X$185&gt;-1),IF(逐级计算!$X$185=0,GC14+逐级计算!$C$185,GC14+逐级计算!$C$185-(10/(逐级计算!$Q$185*LN(10))*(MAX((LN(10^(逐级计算!$Q$185/10)-1)+逐级计算!$Q$185*(GC14-逐级计算!$P$185)*LN(10)/10),0)+LN(1+EXP(-ABS((LN(10^(逐级计算!$Q$185/10)-1)+逐级计算!$Q$185*(GC14-逐级计算!$P$185)*LN(10)/10))))))),"")</f>
        <v>13.6498722405264</v>
      </c>
      <c r="GE14">
        <f>IF(AND(ISNUMBER(GD14),逐级计算!$X$186&gt;-1),IF(逐级计算!$X$186=0,GD14+逐级计算!$C$186,GD14+逐级计算!$C$186-(10/(逐级计算!$Q$186*LN(10))*(MAX((LN(10^(逐级计算!$Q$186/10)-1)+逐级计算!$Q$186*(GD14-逐级计算!$P$186)*LN(10)/10),0)+LN(1+EXP(-ABS((LN(10^(逐级计算!$Q$186/10)-1)+逐级计算!$Q$186*(GD14-逐级计算!$P$186)*LN(10)/10))))))),"")</f>
        <v>13.6498722405264</v>
      </c>
      <c r="GF14">
        <f>IF(AND(ISNUMBER(GE14),逐级计算!$X$187&gt;-1),IF(逐级计算!$X$187=0,GE14+逐级计算!$C$187,GE14+逐级计算!$C$187-(10/(逐级计算!$Q$187*LN(10))*(MAX((LN(10^(逐级计算!$Q$187/10)-1)+逐级计算!$Q$187*(GE14-逐级计算!$P$187)*LN(10)/10),0)+LN(1+EXP(-ABS((LN(10^(逐级计算!$Q$187/10)-1)+逐级计算!$Q$187*(GE14-逐级计算!$P$187)*LN(10)/10))))))),"")</f>
        <v>13.6498722405264</v>
      </c>
      <c r="GG14">
        <f>IF(AND(ISNUMBER(GF14),逐级计算!$X$188&gt;-1),IF(逐级计算!$X$188=0,GF14+逐级计算!$C$188,GF14+逐级计算!$C$188-(10/(逐级计算!$Q$188*LN(10))*(MAX((LN(10^(逐级计算!$Q$188/10)-1)+逐级计算!$Q$188*(GF14-逐级计算!$P$188)*LN(10)/10),0)+LN(1+EXP(-ABS((LN(10^(逐级计算!$Q$188/10)-1)+逐级计算!$Q$188*(GF14-逐级计算!$P$188)*LN(10)/10))))))),"")</f>
        <v>13.6498722405264</v>
      </c>
      <c r="GH14">
        <f>IF(AND(ISNUMBER(GG14),逐级计算!$X$189&gt;-1),IF(逐级计算!$X$189=0,GG14+逐级计算!$C$189,GG14+逐级计算!$C$189-(10/(逐级计算!$Q$189*LN(10))*(MAX((LN(10^(逐级计算!$Q$189/10)-1)+逐级计算!$Q$189*(GG14-逐级计算!$P$189)*LN(10)/10),0)+LN(1+EXP(-ABS((LN(10^(逐级计算!$Q$189/10)-1)+逐级计算!$Q$189*(GG14-逐级计算!$P$189)*LN(10)/10))))))),"")</f>
        <v>13.6498722405264</v>
      </c>
      <c r="GI14">
        <f>IF(AND(ISNUMBER(GH14),逐级计算!$X$190&gt;-1),IF(逐级计算!$X$190=0,GH14+逐级计算!$C$190,GH14+逐级计算!$C$190-(10/(逐级计算!$Q$190*LN(10))*(MAX((LN(10^(逐级计算!$Q$190/10)-1)+逐级计算!$Q$190*(GH14-逐级计算!$P$190)*LN(10)/10),0)+LN(1+EXP(-ABS((LN(10^(逐级计算!$Q$190/10)-1)+逐级计算!$Q$190*(GH14-逐级计算!$P$190)*LN(10)/10))))))),"")</f>
        <v>13.6498722405264</v>
      </c>
      <c r="GJ14">
        <f>IF(AND(ISNUMBER(GI14),逐级计算!$X$191&gt;-1),IF(逐级计算!$X$191=0,GI14+逐级计算!$C$191,GI14+逐级计算!$C$191-(10/(逐级计算!$Q$191*LN(10))*(MAX((LN(10^(逐级计算!$Q$191/10)-1)+逐级计算!$Q$191*(GI14-逐级计算!$P$191)*LN(10)/10),0)+LN(1+EXP(-ABS((LN(10^(逐级计算!$Q$191/10)-1)+逐级计算!$Q$191*(GI14-逐级计算!$P$191)*LN(10)/10))))))),"")</f>
        <v>13.6498722405264</v>
      </c>
      <c r="GK14">
        <f>IF(AND(ISNUMBER(GJ14),逐级计算!$X$192&gt;-1),IF(逐级计算!$X$192=0,GJ14+逐级计算!$C$192,GJ14+逐级计算!$C$192-(10/(逐级计算!$Q$192*LN(10))*(MAX((LN(10^(逐级计算!$Q$192/10)-1)+逐级计算!$Q$192*(GJ14-逐级计算!$P$192)*LN(10)/10),0)+LN(1+EXP(-ABS((LN(10^(逐级计算!$Q$192/10)-1)+逐级计算!$Q$192*(GJ14-逐级计算!$P$192)*LN(10)/10))))))),"")</f>
        <v>13.6498722405264</v>
      </c>
      <c r="GL14">
        <f>IF(AND(ISNUMBER(GK14),逐级计算!$X$193&gt;-1),IF(逐级计算!$X$193=0,GK14+逐级计算!$C$193,GK14+逐级计算!$C$193-(10/(逐级计算!$Q$193*LN(10))*(MAX((LN(10^(逐级计算!$Q$193/10)-1)+逐级计算!$Q$193*(GK14-逐级计算!$P$193)*LN(10)/10),0)+LN(1+EXP(-ABS((LN(10^(逐级计算!$Q$193/10)-1)+逐级计算!$Q$193*(GK14-逐级计算!$P$193)*LN(10)/10))))))),"")</f>
        <v>13.6498722405264</v>
      </c>
      <c r="GM14">
        <f>IF(AND(ISNUMBER(GL14),逐级计算!$X$194&gt;-1),IF(逐级计算!$X$194=0,GL14+逐级计算!$C$194,GL14+逐级计算!$C$194-(10/(逐级计算!$Q$194*LN(10))*(MAX((LN(10^(逐级计算!$Q$194/10)-1)+逐级计算!$Q$194*(GL14-逐级计算!$P$194)*LN(10)/10),0)+LN(1+EXP(-ABS((LN(10^(逐级计算!$Q$194/10)-1)+逐级计算!$Q$194*(GL14-逐级计算!$P$194)*LN(10)/10))))))),"")</f>
        <v>13.6498722405264</v>
      </c>
      <c r="GN14">
        <f>IF(AND(ISNUMBER(GM14),逐级计算!$X$195&gt;-1),IF(逐级计算!$X$195=0,GM14+逐级计算!$C$195,GM14+逐级计算!$C$195-(10/(逐级计算!$Q$195*LN(10))*(MAX((LN(10^(逐级计算!$Q$195/10)-1)+逐级计算!$Q$195*(GM14-逐级计算!$P$195)*LN(10)/10),0)+LN(1+EXP(-ABS((LN(10^(逐级计算!$Q$195/10)-1)+逐级计算!$Q$195*(GM14-逐级计算!$P$195)*LN(10)/10))))))),"")</f>
        <v>13.6498722405264</v>
      </c>
      <c r="GO14">
        <f>IF(AND(ISNUMBER(GN14),逐级计算!$X$196&gt;-1),IF(逐级计算!$X$196=0,GN14+逐级计算!$C$196,GN14+逐级计算!$C$196-(10/(逐级计算!$Q$196*LN(10))*(MAX((LN(10^(逐级计算!$Q$196/10)-1)+逐级计算!$Q$196*(GN14-逐级计算!$P$196)*LN(10)/10),0)+LN(1+EXP(-ABS((LN(10^(逐级计算!$Q$196/10)-1)+逐级计算!$Q$196*(GN14-逐级计算!$P$196)*LN(10)/10))))))),"")</f>
        <v>13.6498722405264</v>
      </c>
      <c r="GP14">
        <f>IF(AND(ISNUMBER(GO14),逐级计算!$X$197&gt;-1),IF(逐级计算!$X$197=0,GO14+逐级计算!$C$197,GO14+逐级计算!$C$197-(10/(逐级计算!$Q$197*LN(10))*(MAX((LN(10^(逐级计算!$Q$197/10)-1)+逐级计算!$Q$197*(GO14-逐级计算!$P$197)*LN(10)/10),0)+LN(1+EXP(-ABS((LN(10^(逐级计算!$Q$197/10)-1)+逐级计算!$Q$197*(GO14-逐级计算!$P$197)*LN(10)/10))))))),"")</f>
        <v>13.6498722405264</v>
      </c>
      <c r="GQ14">
        <f>IF(AND(ISNUMBER(GP14),逐级计算!$X$198&gt;-1),IF(逐级计算!$X$198=0,GP14+逐级计算!$C$198,GP14+逐级计算!$C$198-(10/(逐级计算!$Q$198*LN(10))*(MAX((LN(10^(逐级计算!$Q$198/10)-1)+逐级计算!$Q$198*(GP14-逐级计算!$P$198)*LN(10)/10),0)+LN(1+EXP(-ABS((LN(10^(逐级计算!$Q$198/10)-1)+逐级计算!$Q$198*(GP14-逐级计算!$P$198)*LN(10)/10))))))),"")</f>
        <v>13.6498722405264</v>
      </c>
      <c r="GR14">
        <f>IF(AND(ISNUMBER(GQ14),逐级计算!$X$199&gt;-1),IF(逐级计算!$X$199=0,GQ14+逐级计算!$C$199,GQ14+逐级计算!$C$199-(10/(逐级计算!$Q$199*LN(10))*(MAX((LN(10^(逐级计算!$Q$199/10)-1)+逐级计算!$Q$199*(GQ14-逐级计算!$P$199)*LN(10)/10),0)+LN(1+EXP(-ABS((LN(10^(逐级计算!$Q$199/10)-1)+逐级计算!$Q$199*(GQ14-逐级计算!$P$199)*LN(10)/10))))))),"")</f>
        <v>13.6498722405264</v>
      </c>
      <c r="GS14">
        <f>IF(AND(ISNUMBER(GR14),逐级计算!$X$200&gt;-1),IF(逐级计算!$X$200=0,GR14+逐级计算!$C$200,GR14+逐级计算!$C$200-(10/(逐级计算!$Q$200*LN(10))*(MAX((LN(10^(逐级计算!$Q$200/10)-1)+逐级计算!$Q$200*(GR14-逐级计算!$P$200)*LN(10)/10),0)+LN(1+EXP(-ABS((LN(10^(逐级计算!$Q$200/10)-1)+逐级计算!$Q$200*(GR14-逐级计算!$P$200)*LN(10)/10))))))),"")</f>
        <v>13.6498722405264</v>
      </c>
      <c r="GT14">
        <f>IF(AND(ISNUMBER(GS14),逐级计算!$X$201&gt;-1),IF(逐级计算!$X$201=0,GS14+逐级计算!$C$201,GS14+逐级计算!$C$201-(10/(逐级计算!$Q$201*LN(10))*(MAX((LN(10^(逐级计算!$Q$201/10)-1)+逐级计算!$Q$201*(GS14-逐级计算!$P$201)*LN(10)/10),0)+LN(1+EXP(-ABS((LN(10^(逐级计算!$Q$201/10)-1)+逐级计算!$Q$201*(GS14-逐级计算!$P$201)*LN(10)/10))))))),"")</f>
        <v>13.6498722405264</v>
      </c>
      <c r="GU14">
        <f>IF(AND(ISNUMBER(GT14),逐级计算!$X$202&gt;-1),IF(逐级计算!$X$202=0,GT14+逐级计算!$C$202,GT14+逐级计算!$C$202-(10/(逐级计算!$Q$202*LN(10))*(MAX((LN(10^(逐级计算!$Q$202/10)-1)+逐级计算!$Q$202*(GT14-逐级计算!$P$202)*LN(10)/10),0)+LN(1+EXP(-ABS((LN(10^(逐级计算!$Q$202/10)-1)+逐级计算!$Q$202*(GT14-逐级计算!$P$202)*LN(10)/10))))))),"")</f>
        <v>13.6498722405264</v>
      </c>
      <c r="GV14">
        <f>IF(AND(ISNUMBER(GU14),逐级计算!$X$203&gt;-1),IF(逐级计算!$X$203=0,GU14+逐级计算!$C$203,GU14+逐级计算!$C$203-(10/(逐级计算!$Q$203*LN(10))*(MAX((LN(10^(逐级计算!$Q$203/10)-1)+逐级计算!$Q$203*(GU14-逐级计算!$P$203)*LN(10)/10),0)+LN(1+EXP(-ABS((LN(10^(逐级计算!$Q$203/10)-1)+逐级计算!$Q$203*(GU14-逐级计算!$P$203)*LN(10)/10))))))),"")</f>
        <v>13.6498722405264</v>
      </c>
      <c r="GW14">
        <f t="shared" si="2"/>
        <v>-4.609375</v>
      </c>
    </row>
    <row r="15" spans="1:205">
      <c r="A15">
        <v>8</v>
      </c>
      <c r="B15">
        <f t="shared" si="1"/>
        <v>-5.4296875</v>
      </c>
      <c r="C15">
        <f t="shared" si="0"/>
        <v>-5.01953125</v>
      </c>
      <c r="D15">
        <f>IF(AND(ISNUMBER(C15),ISNUMBER(逐级计算!$E$203),ISNUMBER(GV15)),C15+逐级计算!$E$203-GV15,"")</f>
        <v>1.07106775302996</v>
      </c>
      <c r="E15">
        <f>IF(AND(ISNUMBER(C15),逐级计算!$X$4&gt;-1),IF(逐级计算!$X$4=0,C15+逐级计算!$C$4,C15+逐级计算!$C$4-(10/(逐级计算!$Q$4*LN(10))*(MAX((LN(10^(逐级计算!$Q$4/10)-1)+逐级计算!$Q$4*(C15-逐级计算!$P$4)*LN(10)/10),0)+LN(1+EXP(-ABS((LN(10^(逐级计算!$Q$4/10)-1)+逐级计算!$Q$4*(C15-逐级计算!$P$4)*LN(10)/10))))))),"")</f>
        <v>4.85811102147706</v>
      </c>
      <c r="F15">
        <f>IF(AND(ISNUMBER(E15),逐级计算!$X$5&gt;-1),IF(逐级计算!$X$5=0,E15+逐级计算!$C$5,E15+逐级计算!$C$5-(10/(逐级计算!$Q$5*LN(10))*(MAX((LN(10^(逐级计算!$Q$5/10)-1)+逐级计算!$Q$5*(E15-逐级计算!$P$5)*LN(10)/10),0)+LN(1+EXP(-ABS((LN(10^(逐级计算!$Q$5/10)-1)+逐级计算!$Q$5*(E15-逐级计算!$P$5)*LN(10)/10))))))),"")</f>
        <v>13.90940099697</v>
      </c>
      <c r="G15">
        <f>IF(AND(ISNUMBER(F15),逐级计算!$X$6&gt;-1),IF(逐级计算!$X$6=0,F15+逐级计算!$C$6,F15+逐级计算!$C$6-(10/(逐级计算!$Q$6*LN(10))*(MAX((LN(10^(逐级计算!$Q$6/10)-1)+逐级计算!$Q$6*(F15-逐级计算!$P$6)*LN(10)/10),0)+LN(1+EXP(-ABS((LN(10^(逐级计算!$Q$6/10)-1)+逐级计算!$Q$6*(F15-逐级计算!$P$6)*LN(10)/10))))))),"")</f>
        <v>13.90940099697</v>
      </c>
      <c r="H15">
        <f>IF(AND(ISNUMBER(G15),逐级计算!$X$7&gt;-1),IF(逐级计算!$X$7=0,G15+逐级计算!$C$7,G15+逐级计算!$C$7-(10/(逐级计算!$Q$7*LN(10))*(MAX((LN(10^(逐级计算!$Q$7/10)-1)+逐级计算!$Q$7*(G15-逐级计算!$P$7)*LN(10)/10),0)+LN(1+EXP(-ABS((LN(10^(逐级计算!$Q$7/10)-1)+逐级计算!$Q$7*(G15-逐级计算!$P$7)*LN(10)/10))))))),"")</f>
        <v>13.90940099697</v>
      </c>
      <c r="I15">
        <f>IF(AND(ISNUMBER(H15),逐级计算!$X$8&gt;-1),IF(逐级计算!$X$8=0,H15+逐级计算!$C$8,H15+逐级计算!$C$8-(10/(逐级计算!$Q$8*LN(10))*(MAX((LN(10^(逐级计算!$Q$8/10)-1)+逐级计算!$Q$8*(H15-逐级计算!$P$8)*LN(10)/10),0)+LN(1+EXP(-ABS((LN(10^(逐级计算!$Q$8/10)-1)+逐级计算!$Q$8*(H15-逐级计算!$P$8)*LN(10)/10))))))),"")</f>
        <v>13.90940099697</v>
      </c>
      <c r="J15">
        <f>IF(AND(ISNUMBER(I15),逐级计算!$X$9&gt;-1),IF(逐级计算!$X$9=0,I15+逐级计算!$C$9,I15+逐级计算!$C$9-(10/(逐级计算!$Q$9*LN(10))*(MAX((LN(10^(逐级计算!$Q$9/10)-1)+逐级计算!$Q$9*(I15-逐级计算!$P$9)*LN(10)/10),0)+LN(1+EXP(-ABS((LN(10^(逐级计算!$Q$9/10)-1)+逐级计算!$Q$9*(I15-逐级计算!$P$9)*LN(10)/10))))))),"")</f>
        <v>13.90940099697</v>
      </c>
      <c r="K15">
        <f>IF(AND(ISNUMBER(J15),逐级计算!$X$10&gt;-1),IF(逐级计算!$X$10=0,J15+逐级计算!$C$10,J15+逐级计算!$C$10-(10/(逐级计算!$Q$10*LN(10))*(MAX((LN(10^(逐级计算!$Q$10/10)-1)+逐级计算!$Q$10*(J15-逐级计算!$P$10)*LN(10)/10),0)+LN(1+EXP(-ABS((LN(10^(逐级计算!$Q$10/10)-1)+逐级计算!$Q$10*(J15-逐级计算!$P$10)*LN(10)/10))))))),"")</f>
        <v>13.90940099697</v>
      </c>
      <c r="L15">
        <f>IF(AND(ISNUMBER(K15),逐级计算!$X$11&gt;-1),IF(逐级计算!$X$11=0,K15+逐级计算!$C$11,K15+逐级计算!$C$11-(10/(逐级计算!$Q$11*LN(10))*(MAX((LN(10^(逐级计算!$Q$11/10)-1)+逐级计算!$Q$11*(K15-逐级计算!$P$11)*LN(10)/10),0)+LN(1+EXP(-ABS((LN(10^(逐级计算!$Q$11/10)-1)+逐级计算!$Q$11*(K15-逐级计算!$P$11)*LN(10)/10))))))),"")</f>
        <v>13.90940099697</v>
      </c>
      <c r="M15">
        <f>IF(AND(ISNUMBER(L15),逐级计算!$X$12&gt;-1),IF(逐级计算!$X$12=0,L15+逐级计算!$C$12,L15+逐级计算!$C$12-(10/(逐级计算!$Q$12*LN(10))*(MAX((LN(10^(逐级计算!$Q$12/10)-1)+逐级计算!$Q$12*(L15-逐级计算!$P$12)*LN(10)/10),0)+LN(1+EXP(-ABS((LN(10^(逐级计算!$Q$12/10)-1)+逐级计算!$Q$12*(L15-逐级计算!$P$12)*LN(10)/10))))))),"")</f>
        <v>13.90940099697</v>
      </c>
      <c r="N15">
        <f>IF(AND(ISNUMBER(M15),逐级计算!$X$13&gt;-1),IF(逐级计算!$X$13=0,M15+逐级计算!$C$13,M15+逐级计算!$C$13-(10/(逐级计算!$Q$13*LN(10))*(MAX((LN(10^(逐级计算!$Q$13/10)-1)+逐级计算!$Q$13*(M15-逐级计算!$P$13)*LN(10)/10),0)+LN(1+EXP(-ABS((LN(10^(逐级计算!$Q$13/10)-1)+逐级计算!$Q$13*(M15-逐级计算!$P$13)*LN(10)/10))))))),"")</f>
        <v>13.90940099697</v>
      </c>
      <c r="O15">
        <f>IF(AND(ISNUMBER(N15),逐级计算!$X$14&gt;-1),IF(逐级计算!$X$14=0,N15+逐级计算!$C$14,N15+逐级计算!$C$14-(10/(逐级计算!$Q$14*LN(10))*(MAX((LN(10^(逐级计算!$Q$14/10)-1)+逐级计算!$Q$14*(N15-逐级计算!$P$14)*LN(10)/10),0)+LN(1+EXP(-ABS((LN(10^(逐级计算!$Q$14/10)-1)+逐级计算!$Q$14*(N15-逐级计算!$P$14)*LN(10)/10))))))),"")</f>
        <v>13.90940099697</v>
      </c>
      <c r="P15">
        <f>IF(AND(ISNUMBER(O15),逐级计算!$X$15&gt;-1),IF(逐级计算!$X$15=0,O15+逐级计算!$C$15,O15+逐级计算!$C$15-(10/(逐级计算!$Q$15*LN(10))*(MAX((LN(10^(逐级计算!$Q$15/10)-1)+逐级计算!$Q$15*(O15-逐级计算!$P$15)*LN(10)/10),0)+LN(1+EXP(-ABS((LN(10^(逐级计算!$Q$15/10)-1)+逐级计算!$Q$15*(O15-逐级计算!$P$15)*LN(10)/10))))))),"")</f>
        <v>13.90940099697</v>
      </c>
      <c r="Q15">
        <f>IF(AND(ISNUMBER(P15),逐级计算!$X$16&gt;-1),IF(逐级计算!$X$16=0,P15+逐级计算!$C$16,P15+逐级计算!$C$16-(10/(逐级计算!$Q$16*LN(10))*(MAX((LN(10^(逐级计算!$Q$16/10)-1)+逐级计算!$Q$16*(P15-逐级计算!$P$16)*LN(10)/10),0)+LN(1+EXP(-ABS((LN(10^(逐级计算!$Q$16/10)-1)+逐级计算!$Q$16*(P15-逐级计算!$P$16)*LN(10)/10))))))),"")</f>
        <v>13.90940099697</v>
      </c>
      <c r="R15">
        <f>IF(AND(ISNUMBER(Q15),逐级计算!$X$17&gt;-1),IF(逐级计算!$X$17=0,Q15+逐级计算!$C$17,Q15+逐级计算!$C$17-(10/(逐级计算!$Q$17*LN(10))*(MAX((LN(10^(逐级计算!$Q$17/10)-1)+逐级计算!$Q$17*(Q15-逐级计算!$P$17)*LN(10)/10),0)+LN(1+EXP(-ABS((LN(10^(逐级计算!$Q$17/10)-1)+逐级计算!$Q$17*(Q15-逐级计算!$P$17)*LN(10)/10))))))),"")</f>
        <v>13.90940099697</v>
      </c>
      <c r="S15">
        <f>IF(AND(ISNUMBER(R15),逐级计算!$X$18&gt;-1),IF(逐级计算!$X$18=0,R15+逐级计算!$C$18,R15+逐级计算!$C$18-(10/(逐级计算!$Q$18*LN(10))*(MAX((LN(10^(逐级计算!$Q$18/10)-1)+逐级计算!$Q$18*(R15-逐级计算!$P$18)*LN(10)/10),0)+LN(1+EXP(-ABS((LN(10^(逐级计算!$Q$18/10)-1)+逐级计算!$Q$18*(R15-逐级计算!$P$18)*LN(10)/10))))))),"")</f>
        <v>13.90940099697</v>
      </c>
      <c r="T15">
        <f>IF(AND(ISNUMBER(S15),逐级计算!$X$19&gt;-1),IF(逐级计算!$X$19=0,S15+逐级计算!$C$19,S15+逐级计算!$C$19-(10/(逐级计算!$Q$19*LN(10))*(MAX((LN(10^(逐级计算!$Q$19/10)-1)+逐级计算!$Q$19*(S15-逐级计算!$P$19)*LN(10)/10),0)+LN(1+EXP(-ABS((LN(10^(逐级计算!$Q$19/10)-1)+逐级计算!$Q$19*(S15-逐级计算!$P$19)*LN(10)/10))))))),"")</f>
        <v>13.90940099697</v>
      </c>
      <c r="U15">
        <f>IF(AND(ISNUMBER(T15),逐级计算!$X$20&gt;-1),IF(逐级计算!$X$20=0,T15+逐级计算!$C$20,T15+逐级计算!$C$20-(10/(逐级计算!$Q$20*LN(10))*(MAX((LN(10^(逐级计算!$Q$20/10)-1)+逐级计算!$Q$20*(T15-逐级计算!$P$20)*LN(10)/10),0)+LN(1+EXP(-ABS((LN(10^(逐级计算!$Q$20/10)-1)+逐级计算!$Q$20*(T15-逐级计算!$P$20)*LN(10)/10))))))),"")</f>
        <v>13.90940099697</v>
      </c>
      <c r="V15">
        <f>IF(AND(ISNUMBER(U15),逐级计算!$X$21&gt;-1),IF(逐级计算!$X$21=0,U15+逐级计算!$C$21,U15+逐级计算!$C$21-(10/(逐级计算!$Q$21*LN(10))*(MAX((LN(10^(逐级计算!$Q$21/10)-1)+逐级计算!$Q$21*(U15-逐级计算!$P$21)*LN(10)/10),0)+LN(1+EXP(-ABS((LN(10^(逐级计算!$Q$21/10)-1)+逐级计算!$Q$21*(U15-逐级计算!$P$21)*LN(10)/10))))))),"")</f>
        <v>13.90940099697</v>
      </c>
      <c r="W15">
        <f>IF(AND(ISNUMBER(V15),逐级计算!$X$22&gt;-1),IF(逐级计算!$X$22=0,V15+逐级计算!$C$22,V15+逐级计算!$C$22-(10/(逐级计算!$Q$22*LN(10))*(MAX((LN(10^(逐级计算!$Q$22/10)-1)+逐级计算!$Q$22*(V15-逐级计算!$P$22)*LN(10)/10),0)+LN(1+EXP(-ABS((LN(10^(逐级计算!$Q$22/10)-1)+逐级计算!$Q$22*(V15-逐级计算!$P$22)*LN(10)/10))))))),"")</f>
        <v>13.90940099697</v>
      </c>
      <c r="X15">
        <f>IF(AND(ISNUMBER(W15),逐级计算!$X$23&gt;-1),IF(逐级计算!$X$23=0,W15+逐级计算!$C$23,W15+逐级计算!$C$23-(10/(逐级计算!$Q$23*LN(10))*(MAX((LN(10^(逐级计算!$Q$23/10)-1)+逐级计算!$Q$23*(W15-逐级计算!$P$23)*LN(10)/10),0)+LN(1+EXP(-ABS((LN(10^(逐级计算!$Q$23/10)-1)+逐级计算!$Q$23*(W15-逐级计算!$P$23)*LN(10)/10))))))),"")</f>
        <v>13.90940099697</v>
      </c>
      <c r="Y15">
        <f>IF(AND(ISNUMBER(X15),逐级计算!$X$24&gt;-1),IF(逐级计算!$X$24=0,X15+逐级计算!$C$24,X15+逐级计算!$C$24-(10/(逐级计算!$Q$24*LN(10))*(MAX((LN(10^(逐级计算!$Q$24/10)-1)+逐级计算!$Q$24*(X15-逐级计算!$P$24)*LN(10)/10),0)+LN(1+EXP(-ABS((LN(10^(逐级计算!$Q$24/10)-1)+逐级计算!$Q$24*(X15-逐级计算!$P$24)*LN(10)/10))))))),"")</f>
        <v>13.90940099697</v>
      </c>
      <c r="Z15">
        <f>IF(AND(ISNUMBER(Y15),逐级计算!$X$25&gt;-1),IF(逐级计算!$X$25=0,Y15+逐级计算!$C$25,Y15+逐级计算!$C$25-(10/(逐级计算!$Q$25*LN(10))*(MAX((LN(10^(逐级计算!$Q$25/10)-1)+逐级计算!$Q$25*(Y15-逐级计算!$P$25)*LN(10)/10),0)+LN(1+EXP(-ABS((LN(10^(逐级计算!$Q$25/10)-1)+逐级计算!$Q$25*(Y15-逐级计算!$P$25)*LN(10)/10))))))),"")</f>
        <v>13.90940099697</v>
      </c>
      <c r="AA15">
        <f>IF(AND(ISNUMBER(Z15),逐级计算!$X$26&gt;-1),IF(逐级计算!$X$26=0,Z15+逐级计算!$C$26,Z15+逐级计算!$C$26-(10/(逐级计算!$Q$26*LN(10))*(MAX((LN(10^(逐级计算!$Q$26/10)-1)+逐级计算!$Q$26*(Z15-逐级计算!$P$26)*LN(10)/10),0)+LN(1+EXP(-ABS((LN(10^(逐级计算!$Q$26/10)-1)+逐级计算!$Q$26*(Z15-逐级计算!$P$26)*LN(10)/10))))))),"")</f>
        <v>13.90940099697</v>
      </c>
      <c r="AB15">
        <f>IF(AND(ISNUMBER(AA15),逐级计算!$X$27&gt;-1),IF(逐级计算!$X$27=0,AA15+逐级计算!$C$27,AA15+逐级计算!$C$27-(10/(逐级计算!$Q$27*LN(10))*(MAX((LN(10^(逐级计算!$Q$27/10)-1)+逐级计算!$Q$27*(AA15-逐级计算!$P$27)*LN(10)/10),0)+LN(1+EXP(-ABS((LN(10^(逐级计算!$Q$27/10)-1)+逐级计算!$Q$27*(AA15-逐级计算!$P$27)*LN(10)/10))))))),"")</f>
        <v>13.90940099697</v>
      </c>
      <c r="AC15">
        <f>IF(AND(ISNUMBER(AB15),逐级计算!$X$28&gt;-1),IF(逐级计算!$X$28=0,AB15+逐级计算!$C$28,AB15+逐级计算!$C$28-(10/(逐级计算!$Q$28*LN(10))*(MAX((LN(10^(逐级计算!$Q$28/10)-1)+逐级计算!$Q$28*(AB15-逐级计算!$P$28)*LN(10)/10),0)+LN(1+EXP(-ABS((LN(10^(逐级计算!$Q$28/10)-1)+逐级计算!$Q$28*(AB15-逐级计算!$P$28)*LN(10)/10))))))),"")</f>
        <v>13.90940099697</v>
      </c>
      <c r="AD15">
        <f>IF(AND(ISNUMBER(AC15),逐级计算!$X$29&gt;-1),IF(逐级计算!$X$29=0,AC15+逐级计算!$C$29,AC15+逐级计算!$C$29-(10/(逐级计算!$Q$29*LN(10))*(MAX((LN(10^(逐级计算!$Q$29/10)-1)+逐级计算!$Q$29*(AC15-逐级计算!$P$29)*LN(10)/10),0)+LN(1+EXP(-ABS((LN(10^(逐级计算!$Q$29/10)-1)+逐级计算!$Q$29*(AC15-逐级计算!$P$29)*LN(10)/10))))))),"")</f>
        <v>13.90940099697</v>
      </c>
      <c r="AE15">
        <f>IF(AND(ISNUMBER(AD15),逐级计算!$X$30&gt;-1),IF(逐级计算!$X$30=0,AD15+逐级计算!$C$30,AD15+逐级计算!$C$30-(10/(逐级计算!$Q$30*LN(10))*(MAX((LN(10^(逐级计算!$Q$30/10)-1)+逐级计算!$Q$30*(AD15-逐级计算!$P$30)*LN(10)/10),0)+LN(1+EXP(-ABS((LN(10^(逐级计算!$Q$30/10)-1)+逐级计算!$Q$30*(AD15-逐级计算!$P$30)*LN(10)/10))))))),"")</f>
        <v>13.90940099697</v>
      </c>
      <c r="AF15">
        <f>IF(AND(ISNUMBER(AE15),逐级计算!$X$31&gt;-1),IF(逐级计算!$X$31=0,AE15+逐级计算!$C$31,AE15+逐级计算!$C$31-(10/(逐级计算!$Q$31*LN(10))*(MAX((LN(10^(逐级计算!$Q$31/10)-1)+逐级计算!$Q$31*(AE15-逐级计算!$P$31)*LN(10)/10),0)+LN(1+EXP(-ABS((LN(10^(逐级计算!$Q$31/10)-1)+逐级计算!$Q$31*(AE15-逐级计算!$P$31)*LN(10)/10))))))),"")</f>
        <v>13.90940099697</v>
      </c>
      <c r="AG15">
        <f>IF(AND(ISNUMBER(AF15),逐级计算!$X$32&gt;-1),IF(逐级计算!$X$32=0,AF15+逐级计算!$C$32,AF15+逐级计算!$C$32-(10/(逐级计算!$Q$32*LN(10))*(MAX((LN(10^(逐级计算!$Q$32/10)-1)+逐级计算!$Q$32*(AF15-逐级计算!$P$32)*LN(10)/10),0)+LN(1+EXP(-ABS((LN(10^(逐级计算!$Q$32/10)-1)+逐级计算!$Q$32*(AF15-逐级计算!$P$32)*LN(10)/10))))))),"")</f>
        <v>13.90940099697</v>
      </c>
      <c r="AH15">
        <f>IF(AND(ISNUMBER(AG15),逐级计算!$X$33&gt;-1),IF(逐级计算!$X$33=0,AG15+逐级计算!$C$33,AG15+逐级计算!$C$33-(10/(逐级计算!$Q$33*LN(10))*(MAX((LN(10^(逐级计算!$Q$33/10)-1)+逐级计算!$Q$33*(AG15-逐级计算!$P$33)*LN(10)/10),0)+LN(1+EXP(-ABS((LN(10^(逐级计算!$Q$33/10)-1)+逐级计算!$Q$33*(AG15-逐级计算!$P$33)*LN(10)/10))))))),"")</f>
        <v>13.90940099697</v>
      </c>
      <c r="AI15">
        <f>IF(AND(ISNUMBER(AH15),逐级计算!$X$34&gt;-1),IF(逐级计算!$X$34=0,AH15+逐级计算!$C$34,AH15+逐级计算!$C$34-(10/(逐级计算!$Q$34*LN(10))*(MAX((LN(10^(逐级计算!$Q$34/10)-1)+逐级计算!$Q$34*(AH15-逐级计算!$P$34)*LN(10)/10),0)+LN(1+EXP(-ABS((LN(10^(逐级计算!$Q$34/10)-1)+逐级计算!$Q$34*(AH15-逐级计算!$P$34)*LN(10)/10))))))),"")</f>
        <v>13.90940099697</v>
      </c>
      <c r="AJ15">
        <f>IF(AND(ISNUMBER(AI15),逐级计算!$X$35&gt;-1),IF(逐级计算!$X$35=0,AI15+逐级计算!$C$35,AI15+逐级计算!$C$35-(10/(逐级计算!$Q$35*LN(10))*(MAX((LN(10^(逐级计算!$Q$35/10)-1)+逐级计算!$Q$35*(AI15-逐级计算!$P$35)*LN(10)/10),0)+LN(1+EXP(-ABS((LN(10^(逐级计算!$Q$35/10)-1)+逐级计算!$Q$35*(AI15-逐级计算!$P$35)*LN(10)/10))))))),"")</f>
        <v>13.90940099697</v>
      </c>
      <c r="AK15">
        <f>IF(AND(ISNUMBER(AJ15),逐级计算!$X$36&gt;-1),IF(逐级计算!$X$36=0,AJ15+逐级计算!$C$36,AJ15+逐级计算!$C$36-(10/(逐级计算!$Q$36*LN(10))*(MAX((LN(10^(逐级计算!$Q$36/10)-1)+逐级计算!$Q$36*(AJ15-逐级计算!$P$36)*LN(10)/10),0)+LN(1+EXP(-ABS((LN(10^(逐级计算!$Q$36/10)-1)+逐级计算!$Q$36*(AJ15-逐级计算!$P$36)*LN(10)/10))))))),"")</f>
        <v>13.90940099697</v>
      </c>
      <c r="AL15">
        <f>IF(AND(ISNUMBER(AK15),逐级计算!$X$37&gt;-1),IF(逐级计算!$X$37=0,AK15+逐级计算!$C$37,AK15+逐级计算!$C$37-(10/(逐级计算!$Q$37*LN(10))*(MAX((LN(10^(逐级计算!$Q$37/10)-1)+逐级计算!$Q$37*(AK15-逐级计算!$P$37)*LN(10)/10),0)+LN(1+EXP(-ABS((LN(10^(逐级计算!$Q$37/10)-1)+逐级计算!$Q$37*(AK15-逐级计算!$P$37)*LN(10)/10))))))),"")</f>
        <v>13.90940099697</v>
      </c>
      <c r="AM15">
        <f>IF(AND(ISNUMBER(AL15),逐级计算!$X$38&gt;-1),IF(逐级计算!$X$38=0,AL15+逐级计算!$C$38,AL15+逐级计算!$C$38-(10/(逐级计算!$Q$38*LN(10))*(MAX((LN(10^(逐级计算!$Q$38/10)-1)+逐级计算!$Q$38*(AL15-逐级计算!$P$38)*LN(10)/10),0)+LN(1+EXP(-ABS((LN(10^(逐级计算!$Q$38/10)-1)+逐级计算!$Q$38*(AL15-逐级计算!$P$38)*LN(10)/10))))))),"")</f>
        <v>13.90940099697</v>
      </c>
      <c r="AN15">
        <f>IF(AND(ISNUMBER(AM15),逐级计算!$X$39&gt;-1),IF(逐级计算!$X$39=0,AM15+逐级计算!$C$39,AM15+逐级计算!$C$39-(10/(逐级计算!$Q$39*LN(10))*(MAX((LN(10^(逐级计算!$Q$39/10)-1)+逐级计算!$Q$39*(AM15-逐级计算!$P$39)*LN(10)/10),0)+LN(1+EXP(-ABS((LN(10^(逐级计算!$Q$39/10)-1)+逐级计算!$Q$39*(AM15-逐级计算!$P$39)*LN(10)/10))))))),"")</f>
        <v>13.90940099697</v>
      </c>
      <c r="AO15">
        <f>IF(AND(ISNUMBER(AN15),逐级计算!$X$40&gt;-1),IF(逐级计算!$X$40=0,AN15+逐级计算!$C$40,AN15+逐级计算!$C$40-(10/(逐级计算!$Q$40*LN(10))*(MAX((LN(10^(逐级计算!$Q$40/10)-1)+逐级计算!$Q$40*(AN15-逐级计算!$P$40)*LN(10)/10),0)+LN(1+EXP(-ABS((LN(10^(逐级计算!$Q$40/10)-1)+逐级计算!$Q$40*(AN15-逐级计算!$P$40)*LN(10)/10))))))),"")</f>
        <v>13.90940099697</v>
      </c>
      <c r="AP15">
        <f>IF(AND(ISNUMBER(AO15),逐级计算!$X$41&gt;-1),IF(逐级计算!$X$41=0,AO15+逐级计算!$C$41,AO15+逐级计算!$C$41-(10/(逐级计算!$Q$41*LN(10))*(MAX((LN(10^(逐级计算!$Q$41/10)-1)+逐级计算!$Q$41*(AO15-逐级计算!$P$41)*LN(10)/10),0)+LN(1+EXP(-ABS((LN(10^(逐级计算!$Q$41/10)-1)+逐级计算!$Q$41*(AO15-逐级计算!$P$41)*LN(10)/10))))))),"")</f>
        <v>13.90940099697</v>
      </c>
      <c r="AQ15">
        <f>IF(AND(ISNUMBER(AP15),逐级计算!$X$42&gt;-1),IF(逐级计算!$X$42=0,AP15+逐级计算!$C$42,AP15+逐级计算!$C$42-(10/(逐级计算!$Q$42*LN(10))*(MAX((LN(10^(逐级计算!$Q$42/10)-1)+逐级计算!$Q$42*(AP15-逐级计算!$P$42)*LN(10)/10),0)+LN(1+EXP(-ABS((LN(10^(逐级计算!$Q$42/10)-1)+逐级计算!$Q$42*(AP15-逐级计算!$P$42)*LN(10)/10))))))),"")</f>
        <v>13.90940099697</v>
      </c>
      <c r="AR15">
        <f>IF(AND(ISNUMBER(AQ15),逐级计算!$X$43&gt;-1),IF(逐级计算!$X$43=0,AQ15+逐级计算!$C$43,AQ15+逐级计算!$C$43-(10/(逐级计算!$Q$43*LN(10))*(MAX((LN(10^(逐级计算!$Q$43/10)-1)+逐级计算!$Q$43*(AQ15-逐级计算!$P$43)*LN(10)/10),0)+LN(1+EXP(-ABS((LN(10^(逐级计算!$Q$43/10)-1)+逐级计算!$Q$43*(AQ15-逐级计算!$P$43)*LN(10)/10))))))),"")</f>
        <v>13.90940099697</v>
      </c>
      <c r="AS15">
        <f>IF(AND(ISNUMBER(AR15),逐级计算!$X$44&gt;-1),IF(逐级计算!$X$44=0,AR15+逐级计算!$C$44,AR15+逐级计算!$C$44-(10/(逐级计算!$Q$44*LN(10))*(MAX((LN(10^(逐级计算!$Q$44/10)-1)+逐级计算!$Q$44*(AR15-逐级计算!$P$44)*LN(10)/10),0)+LN(1+EXP(-ABS((LN(10^(逐级计算!$Q$44/10)-1)+逐级计算!$Q$44*(AR15-逐级计算!$P$44)*LN(10)/10))))))),"")</f>
        <v>13.90940099697</v>
      </c>
      <c r="AT15">
        <f>IF(AND(ISNUMBER(AS15),逐级计算!$X$45&gt;-1),IF(逐级计算!$X$45=0,AS15+逐级计算!$C$45,AS15+逐级计算!$C$45-(10/(逐级计算!$Q$45*LN(10))*(MAX((LN(10^(逐级计算!$Q$45/10)-1)+逐级计算!$Q$45*(AS15-逐级计算!$P$45)*LN(10)/10),0)+LN(1+EXP(-ABS((LN(10^(逐级计算!$Q$45/10)-1)+逐级计算!$Q$45*(AS15-逐级计算!$P$45)*LN(10)/10))))))),"")</f>
        <v>13.90940099697</v>
      </c>
      <c r="AU15">
        <f>IF(AND(ISNUMBER(AT15),逐级计算!$X$46&gt;-1),IF(逐级计算!$X$46=0,AT15+逐级计算!$C$46,AT15+逐级计算!$C$46-(10/(逐级计算!$Q$46*LN(10))*(MAX((LN(10^(逐级计算!$Q$46/10)-1)+逐级计算!$Q$46*(AT15-逐级计算!$P$46)*LN(10)/10),0)+LN(1+EXP(-ABS((LN(10^(逐级计算!$Q$46/10)-1)+逐级计算!$Q$46*(AT15-逐级计算!$P$46)*LN(10)/10))))))),"")</f>
        <v>13.90940099697</v>
      </c>
      <c r="AV15">
        <f>IF(AND(ISNUMBER(AU15),逐级计算!$X$47&gt;-1),IF(逐级计算!$X$47=0,AU15+逐级计算!$C$47,AU15+逐级计算!$C$47-(10/(逐级计算!$Q$47*LN(10))*(MAX((LN(10^(逐级计算!$Q$47/10)-1)+逐级计算!$Q$47*(AU15-逐级计算!$P$47)*LN(10)/10),0)+LN(1+EXP(-ABS((LN(10^(逐级计算!$Q$47/10)-1)+逐级计算!$Q$47*(AU15-逐级计算!$P$47)*LN(10)/10))))))),"")</f>
        <v>13.90940099697</v>
      </c>
      <c r="AW15">
        <f>IF(AND(ISNUMBER(AV15),逐级计算!$X$48&gt;-1),IF(逐级计算!$X$48=0,AV15+逐级计算!$C$48,AV15+逐级计算!$C$48-(10/(逐级计算!$Q$48*LN(10))*(MAX((LN(10^(逐级计算!$Q$48/10)-1)+逐级计算!$Q$48*(AV15-逐级计算!$P$48)*LN(10)/10),0)+LN(1+EXP(-ABS((LN(10^(逐级计算!$Q$48/10)-1)+逐级计算!$Q$48*(AV15-逐级计算!$P$48)*LN(10)/10))))))),"")</f>
        <v>13.90940099697</v>
      </c>
      <c r="AX15">
        <f>IF(AND(ISNUMBER(AW15),逐级计算!$X$49&gt;-1),IF(逐级计算!$X$49=0,AW15+逐级计算!$C$49,AW15+逐级计算!$C$49-(10/(逐级计算!$Q$49*LN(10))*(MAX((LN(10^(逐级计算!$Q$49/10)-1)+逐级计算!$Q$49*(AW15-逐级计算!$P$49)*LN(10)/10),0)+LN(1+EXP(-ABS((LN(10^(逐级计算!$Q$49/10)-1)+逐级计算!$Q$49*(AW15-逐级计算!$P$49)*LN(10)/10))))))),"")</f>
        <v>13.90940099697</v>
      </c>
      <c r="AY15">
        <f>IF(AND(ISNUMBER(AX15),逐级计算!$X$50&gt;-1),IF(逐级计算!$X$50=0,AX15+逐级计算!$C$50,AX15+逐级计算!$C$50-(10/(逐级计算!$Q$50*LN(10))*(MAX((LN(10^(逐级计算!$Q$50/10)-1)+逐级计算!$Q$50*(AX15-逐级计算!$P$50)*LN(10)/10),0)+LN(1+EXP(-ABS((LN(10^(逐级计算!$Q$50/10)-1)+逐级计算!$Q$50*(AX15-逐级计算!$P$50)*LN(10)/10))))))),"")</f>
        <v>13.90940099697</v>
      </c>
      <c r="AZ15">
        <f>IF(AND(ISNUMBER(AY15),逐级计算!$X$51&gt;-1),IF(逐级计算!$X$51=0,AY15+逐级计算!$C$51,AY15+逐级计算!$C$51-(10/(逐级计算!$Q$51*LN(10))*(MAX((LN(10^(逐级计算!$Q$51/10)-1)+逐级计算!$Q$51*(AY15-逐级计算!$P$51)*LN(10)/10),0)+LN(1+EXP(-ABS((LN(10^(逐级计算!$Q$51/10)-1)+逐级计算!$Q$51*(AY15-逐级计算!$P$51)*LN(10)/10))))))),"")</f>
        <v>13.90940099697</v>
      </c>
      <c r="BA15">
        <f>IF(AND(ISNUMBER(AZ15),逐级计算!$X$52&gt;-1),IF(逐级计算!$X$52=0,AZ15+逐级计算!$C$52,AZ15+逐级计算!$C$52-(10/(逐级计算!$Q$52*LN(10))*(MAX((LN(10^(逐级计算!$Q$52/10)-1)+逐级计算!$Q$52*(AZ15-逐级计算!$P$52)*LN(10)/10),0)+LN(1+EXP(-ABS((LN(10^(逐级计算!$Q$52/10)-1)+逐级计算!$Q$52*(AZ15-逐级计算!$P$52)*LN(10)/10))))))),"")</f>
        <v>13.90940099697</v>
      </c>
      <c r="BB15">
        <f>IF(AND(ISNUMBER(BA15),逐级计算!$X$53&gt;-1),IF(逐级计算!$X$53=0,BA15+逐级计算!$C$53,BA15+逐级计算!$C$53-(10/(逐级计算!$Q$53*LN(10))*(MAX((LN(10^(逐级计算!$Q$53/10)-1)+逐级计算!$Q$53*(BA15-逐级计算!$P$53)*LN(10)/10),0)+LN(1+EXP(-ABS((LN(10^(逐级计算!$Q$53/10)-1)+逐级计算!$Q$53*(BA15-逐级计算!$P$53)*LN(10)/10))))))),"")</f>
        <v>13.90940099697</v>
      </c>
      <c r="BC15">
        <f>IF(AND(ISNUMBER(BB15),逐级计算!$X$54&gt;-1),IF(逐级计算!$X$54=0,BB15+逐级计算!$C$54,BB15+逐级计算!$C$54-(10/(逐级计算!$Q$54*LN(10))*(MAX((LN(10^(逐级计算!$Q$54/10)-1)+逐级计算!$Q$54*(BB15-逐级计算!$P$54)*LN(10)/10),0)+LN(1+EXP(-ABS((LN(10^(逐级计算!$Q$54/10)-1)+逐级计算!$Q$54*(BB15-逐级计算!$P$54)*LN(10)/10))))))),"")</f>
        <v>13.90940099697</v>
      </c>
      <c r="BD15">
        <f>IF(AND(ISNUMBER(BC15),逐级计算!$X$55&gt;-1),IF(逐级计算!$X$55=0,BC15+逐级计算!$C$55,BC15+逐级计算!$C$55-(10/(逐级计算!$Q$55*LN(10))*(MAX((LN(10^(逐级计算!$Q$55/10)-1)+逐级计算!$Q$55*(BC15-逐级计算!$P$55)*LN(10)/10),0)+LN(1+EXP(-ABS((LN(10^(逐级计算!$Q$55/10)-1)+逐级计算!$Q$55*(BC15-逐级计算!$P$55)*LN(10)/10))))))),"")</f>
        <v>13.90940099697</v>
      </c>
      <c r="BE15">
        <f>IF(AND(ISNUMBER(BD15),逐级计算!$X$56&gt;-1),IF(逐级计算!$X$56=0,BD15+逐级计算!$C$56,BD15+逐级计算!$C$56-(10/(逐级计算!$Q$56*LN(10))*(MAX((LN(10^(逐级计算!$Q$56/10)-1)+逐级计算!$Q$56*(BD15-逐级计算!$P$56)*LN(10)/10),0)+LN(1+EXP(-ABS((LN(10^(逐级计算!$Q$56/10)-1)+逐级计算!$Q$56*(BD15-逐级计算!$P$56)*LN(10)/10))))))),"")</f>
        <v>13.90940099697</v>
      </c>
      <c r="BF15">
        <f>IF(AND(ISNUMBER(BE15),逐级计算!$X$57&gt;-1),IF(逐级计算!$X$57=0,BE15+逐级计算!$C$57,BE15+逐级计算!$C$57-(10/(逐级计算!$Q$57*LN(10))*(MAX((LN(10^(逐级计算!$Q$57/10)-1)+逐级计算!$Q$57*(BE15-逐级计算!$P$57)*LN(10)/10),0)+LN(1+EXP(-ABS((LN(10^(逐级计算!$Q$57/10)-1)+逐级计算!$Q$57*(BE15-逐级计算!$P$57)*LN(10)/10))))))),"")</f>
        <v>13.90940099697</v>
      </c>
      <c r="BG15">
        <f>IF(AND(ISNUMBER(BF15),逐级计算!$X$58&gt;-1),IF(逐级计算!$X$58=0,BF15+逐级计算!$C$58,BF15+逐级计算!$C$58-(10/(逐级计算!$Q$58*LN(10))*(MAX((LN(10^(逐级计算!$Q$58/10)-1)+逐级计算!$Q$58*(BF15-逐级计算!$P$58)*LN(10)/10),0)+LN(1+EXP(-ABS((LN(10^(逐级计算!$Q$58/10)-1)+逐级计算!$Q$58*(BF15-逐级计算!$P$58)*LN(10)/10))))))),"")</f>
        <v>13.90940099697</v>
      </c>
      <c r="BH15">
        <f>IF(AND(ISNUMBER(BG15),逐级计算!$X$59&gt;-1),IF(逐级计算!$X$59=0,BG15+逐级计算!$C$59,BG15+逐级计算!$C$59-(10/(逐级计算!$Q$59*LN(10))*(MAX((LN(10^(逐级计算!$Q$59/10)-1)+逐级计算!$Q$59*(BG15-逐级计算!$P$59)*LN(10)/10),0)+LN(1+EXP(-ABS((LN(10^(逐级计算!$Q$59/10)-1)+逐级计算!$Q$59*(BG15-逐级计算!$P$59)*LN(10)/10))))))),"")</f>
        <v>13.90940099697</v>
      </c>
      <c r="BI15">
        <f>IF(AND(ISNUMBER(BH15),逐级计算!$X$60&gt;-1),IF(逐级计算!$X$60=0,BH15+逐级计算!$C$60,BH15+逐级计算!$C$60-(10/(逐级计算!$Q$60*LN(10))*(MAX((LN(10^(逐级计算!$Q$60/10)-1)+逐级计算!$Q$60*(BH15-逐级计算!$P$60)*LN(10)/10),0)+LN(1+EXP(-ABS((LN(10^(逐级计算!$Q$60/10)-1)+逐级计算!$Q$60*(BH15-逐级计算!$P$60)*LN(10)/10))))))),"")</f>
        <v>13.90940099697</v>
      </c>
      <c r="BJ15">
        <f>IF(AND(ISNUMBER(BI15),逐级计算!$X$61&gt;-1),IF(逐级计算!$X$61=0,BI15+逐级计算!$C$61,BI15+逐级计算!$C$61-(10/(逐级计算!$Q$61*LN(10))*(MAX((LN(10^(逐级计算!$Q$61/10)-1)+逐级计算!$Q$61*(BI15-逐级计算!$P$61)*LN(10)/10),0)+LN(1+EXP(-ABS((LN(10^(逐级计算!$Q$61/10)-1)+逐级计算!$Q$61*(BI15-逐级计算!$P$61)*LN(10)/10))))))),"")</f>
        <v>13.90940099697</v>
      </c>
      <c r="BK15">
        <f>IF(AND(ISNUMBER(BJ15),逐级计算!$X$62&gt;-1),IF(逐级计算!$X$62=0,BJ15+逐级计算!$C$62,BJ15+逐级计算!$C$62-(10/(逐级计算!$Q$62*LN(10))*(MAX((LN(10^(逐级计算!$Q$62/10)-1)+逐级计算!$Q$62*(BJ15-逐级计算!$P$62)*LN(10)/10),0)+LN(1+EXP(-ABS((LN(10^(逐级计算!$Q$62/10)-1)+逐级计算!$Q$62*(BJ15-逐级计算!$P$62)*LN(10)/10))))))),"")</f>
        <v>13.90940099697</v>
      </c>
      <c r="BL15">
        <f>IF(AND(ISNUMBER(BK15),逐级计算!$X$63&gt;-1),IF(逐级计算!$X$63=0,BK15+逐级计算!$C$63,BK15+逐级计算!$C$63-(10/(逐级计算!$Q$63*LN(10))*(MAX((LN(10^(逐级计算!$Q$63/10)-1)+逐级计算!$Q$63*(BK15-逐级计算!$P$63)*LN(10)/10),0)+LN(1+EXP(-ABS((LN(10^(逐级计算!$Q$63/10)-1)+逐级计算!$Q$63*(BK15-逐级计算!$P$63)*LN(10)/10))))))),"")</f>
        <v>13.90940099697</v>
      </c>
      <c r="BM15">
        <f>IF(AND(ISNUMBER(BL15),逐级计算!$X$64&gt;-1),IF(逐级计算!$X$64=0,BL15+逐级计算!$C$64,BL15+逐级计算!$C$64-(10/(逐级计算!$Q$64*LN(10))*(MAX((LN(10^(逐级计算!$Q$64/10)-1)+逐级计算!$Q$64*(BL15-逐级计算!$P$64)*LN(10)/10),0)+LN(1+EXP(-ABS((LN(10^(逐级计算!$Q$64/10)-1)+逐级计算!$Q$64*(BL15-逐级计算!$P$64)*LN(10)/10))))))),"")</f>
        <v>13.90940099697</v>
      </c>
      <c r="BN15">
        <f>IF(AND(ISNUMBER(BM15),逐级计算!$X$65&gt;-1),IF(逐级计算!$X$65=0,BM15+逐级计算!$C$65,BM15+逐级计算!$C$65-(10/(逐级计算!$Q$65*LN(10))*(MAX((LN(10^(逐级计算!$Q$65/10)-1)+逐级计算!$Q$65*(BM15-逐级计算!$P$65)*LN(10)/10),0)+LN(1+EXP(-ABS((LN(10^(逐级计算!$Q$65/10)-1)+逐级计算!$Q$65*(BM15-逐级计算!$P$65)*LN(10)/10))))))),"")</f>
        <v>13.90940099697</v>
      </c>
      <c r="BO15">
        <f>IF(AND(ISNUMBER(BN15),逐级计算!$X$66&gt;-1),IF(逐级计算!$X$66=0,BN15+逐级计算!$C$66,BN15+逐级计算!$C$66-(10/(逐级计算!$Q$66*LN(10))*(MAX((LN(10^(逐级计算!$Q$66/10)-1)+逐级计算!$Q$66*(BN15-逐级计算!$P$66)*LN(10)/10),0)+LN(1+EXP(-ABS((LN(10^(逐级计算!$Q$66/10)-1)+逐级计算!$Q$66*(BN15-逐级计算!$P$66)*LN(10)/10))))))),"")</f>
        <v>13.90940099697</v>
      </c>
      <c r="BP15">
        <f>IF(AND(ISNUMBER(BO15),逐级计算!$X$67&gt;-1),IF(逐级计算!$X$67=0,BO15+逐级计算!$C$67,BO15+逐级计算!$C$67-(10/(逐级计算!$Q$67*LN(10))*(MAX((LN(10^(逐级计算!$Q$67/10)-1)+逐级计算!$Q$67*(BO15-逐级计算!$P$67)*LN(10)/10),0)+LN(1+EXP(-ABS((LN(10^(逐级计算!$Q$67/10)-1)+逐级计算!$Q$67*(BO15-逐级计算!$P$67)*LN(10)/10))))))),"")</f>
        <v>13.90940099697</v>
      </c>
      <c r="BQ15">
        <f>IF(AND(ISNUMBER(BP15),逐级计算!$X$68&gt;-1),IF(逐级计算!$X$68=0,BP15+逐级计算!$C$68,BP15+逐级计算!$C$68-(10/(逐级计算!$Q$68*LN(10))*(MAX((LN(10^(逐级计算!$Q$68/10)-1)+逐级计算!$Q$68*(BP15-逐级计算!$P$68)*LN(10)/10),0)+LN(1+EXP(-ABS((LN(10^(逐级计算!$Q$68/10)-1)+逐级计算!$Q$68*(BP15-逐级计算!$P$68)*LN(10)/10))))))),"")</f>
        <v>13.90940099697</v>
      </c>
      <c r="BR15">
        <f>IF(AND(ISNUMBER(BQ15),逐级计算!$X$69&gt;-1),IF(逐级计算!$X$69=0,BQ15+逐级计算!$C$69,BQ15+逐级计算!$C$69-(10/(逐级计算!$Q$69*LN(10))*(MAX((LN(10^(逐级计算!$Q$69/10)-1)+逐级计算!$Q$69*(BQ15-逐级计算!$P$69)*LN(10)/10),0)+LN(1+EXP(-ABS((LN(10^(逐级计算!$Q$69/10)-1)+逐级计算!$Q$69*(BQ15-逐级计算!$P$69)*LN(10)/10))))))),"")</f>
        <v>13.90940099697</v>
      </c>
      <c r="BS15">
        <f>IF(AND(ISNUMBER(BR15),逐级计算!$X$70&gt;-1),IF(逐级计算!$X$70=0,BR15+逐级计算!$C$70,BR15+逐级计算!$C$70-(10/(逐级计算!$Q$70*LN(10))*(MAX((LN(10^(逐级计算!$Q$70/10)-1)+逐级计算!$Q$70*(BR15-逐级计算!$P$70)*LN(10)/10),0)+LN(1+EXP(-ABS((LN(10^(逐级计算!$Q$70/10)-1)+逐级计算!$Q$70*(BR15-逐级计算!$P$70)*LN(10)/10))))))),"")</f>
        <v>13.90940099697</v>
      </c>
      <c r="BT15">
        <f>IF(AND(ISNUMBER(BS15),逐级计算!$X$71&gt;-1),IF(逐级计算!$X$71=0,BS15+逐级计算!$C$71,BS15+逐级计算!$C$71-(10/(逐级计算!$Q$71*LN(10))*(MAX((LN(10^(逐级计算!$Q$71/10)-1)+逐级计算!$Q$71*(BS15-逐级计算!$P$71)*LN(10)/10),0)+LN(1+EXP(-ABS((LN(10^(逐级计算!$Q$71/10)-1)+逐级计算!$Q$71*(BS15-逐级计算!$P$71)*LN(10)/10))))))),"")</f>
        <v>13.90940099697</v>
      </c>
      <c r="BU15">
        <f>IF(AND(ISNUMBER(BT15),逐级计算!$X$72&gt;-1),IF(逐级计算!$X$72=0,BT15+逐级计算!$C$72,BT15+逐级计算!$C$72-(10/(逐级计算!$Q$72*LN(10))*(MAX((LN(10^(逐级计算!$Q$72/10)-1)+逐级计算!$Q$72*(BT15-逐级计算!$P$72)*LN(10)/10),0)+LN(1+EXP(-ABS((LN(10^(逐级计算!$Q$72/10)-1)+逐级计算!$Q$72*(BT15-逐级计算!$P$72)*LN(10)/10))))))),"")</f>
        <v>13.90940099697</v>
      </c>
      <c r="BV15">
        <f>IF(AND(ISNUMBER(BU15),逐级计算!$X$73&gt;-1),IF(逐级计算!$X$73=0,BU15+逐级计算!$C$73,BU15+逐级计算!$C$73-(10/(逐级计算!$Q$73*LN(10))*(MAX((LN(10^(逐级计算!$Q$73/10)-1)+逐级计算!$Q$73*(BU15-逐级计算!$P$73)*LN(10)/10),0)+LN(1+EXP(-ABS((LN(10^(逐级计算!$Q$73/10)-1)+逐级计算!$Q$73*(BU15-逐级计算!$P$73)*LN(10)/10))))))),"")</f>
        <v>13.90940099697</v>
      </c>
      <c r="BW15">
        <f>IF(AND(ISNUMBER(BV15),逐级计算!$X$74&gt;-1),IF(逐级计算!$X$74=0,BV15+逐级计算!$C$74,BV15+逐级计算!$C$74-(10/(逐级计算!$Q$74*LN(10))*(MAX((LN(10^(逐级计算!$Q$74/10)-1)+逐级计算!$Q$74*(BV15-逐级计算!$P$74)*LN(10)/10),0)+LN(1+EXP(-ABS((LN(10^(逐级计算!$Q$74/10)-1)+逐级计算!$Q$74*(BV15-逐级计算!$P$74)*LN(10)/10))))))),"")</f>
        <v>13.90940099697</v>
      </c>
      <c r="BX15">
        <f>IF(AND(ISNUMBER(BW15),逐级计算!$X$75&gt;-1),IF(逐级计算!$X$75=0,BW15+逐级计算!$C$75,BW15+逐级计算!$C$75-(10/(逐级计算!$Q$75*LN(10))*(MAX((LN(10^(逐级计算!$Q$75/10)-1)+逐级计算!$Q$75*(BW15-逐级计算!$P$75)*LN(10)/10),0)+LN(1+EXP(-ABS((LN(10^(逐级计算!$Q$75/10)-1)+逐级计算!$Q$75*(BW15-逐级计算!$P$75)*LN(10)/10))))))),"")</f>
        <v>13.90940099697</v>
      </c>
      <c r="BY15">
        <f>IF(AND(ISNUMBER(BX15),逐级计算!$X$76&gt;-1),IF(逐级计算!$X$76=0,BX15+逐级计算!$C$76,BX15+逐级计算!$C$76-(10/(逐级计算!$Q$76*LN(10))*(MAX((LN(10^(逐级计算!$Q$76/10)-1)+逐级计算!$Q$76*(BX15-逐级计算!$P$76)*LN(10)/10),0)+LN(1+EXP(-ABS((LN(10^(逐级计算!$Q$76/10)-1)+逐级计算!$Q$76*(BX15-逐级计算!$P$76)*LN(10)/10))))))),"")</f>
        <v>13.90940099697</v>
      </c>
      <c r="BZ15">
        <f>IF(AND(ISNUMBER(BY15),逐级计算!$X$77&gt;-1),IF(逐级计算!$X$77=0,BY15+逐级计算!$C$77,BY15+逐级计算!$C$77-(10/(逐级计算!$Q$77*LN(10))*(MAX((LN(10^(逐级计算!$Q$77/10)-1)+逐级计算!$Q$77*(BY15-逐级计算!$P$77)*LN(10)/10),0)+LN(1+EXP(-ABS((LN(10^(逐级计算!$Q$77/10)-1)+逐级计算!$Q$77*(BY15-逐级计算!$P$77)*LN(10)/10))))))),"")</f>
        <v>13.90940099697</v>
      </c>
      <c r="CA15">
        <f>IF(AND(ISNUMBER(BZ15),逐级计算!$X$78&gt;-1),IF(逐级计算!$X$78=0,BZ15+逐级计算!$C$78,BZ15+逐级计算!$C$78-(10/(逐级计算!$Q$78*LN(10))*(MAX((LN(10^(逐级计算!$Q$78/10)-1)+逐级计算!$Q$78*(BZ15-逐级计算!$P$78)*LN(10)/10),0)+LN(1+EXP(-ABS((LN(10^(逐级计算!$Q$78/10)-1)+逐级计算!$Q$78*(BZ15-逐级计算!$P$78)*LN(10)/10))))))),"")</f>
        <v>13.90940099697</v>
      </c>
      <c r="CB15">
        <f>IF(AND(ISNUMBER(CA15),逐级计算!$X$79&gt;-1),IF(逐级计算!$X$79=0,CA15+逐级计算!$C$79,CA15+逐级计算!$C$79-(10/(逐级计算!$Q$79*LN(10))*(MAX((LN(10^(逐级计算!$Q$79/10)-1)+逐级计算!$Q$79*(CA15-逐级计算!$P$79)*LN(10)/10),0)+LN(1+EXP(-ABS((LN(10^(逐级计算!$Q$79/10)-1)+逐级计算!$Q$79*(CA15-逐级计算!$P$79)*LN(10)/10))))))),"")</f>
        <v>13.90940099697</v>
      </c>
      <c r="CC15">
        <f>IF(AND(ISNUMBER(CB15),逐级计算!$X$80&gt;-1),IF(逐级计算!$X$80=0,CB15+逐级计算!$C$80,CB15+逐级计算!$C$80-(10/(逐级计算!$Q$80*LN(10))*(MAX((LN(10^(逐级计算!$Q$80/10)-1)+逐级计算!$Q$80*(CB15-逐级计算!$P$80)*LN(10)/10),0)+LN(1+EXP(-ABS((LN(10^(逐级计算!$Q$80/10)-1)+逐级计算!$Q$80*(CB15-逐级计算!$P$80)*LN(10)/10))))))),"")</f>
        <v>13.90940099697</v>
      </c>
      <c r="CD15">
        <f>IF(AND(ISNUMBER(CC15),逐级计算!$X$81&gt;-1),IF(逐级计算!$X$81=0,CC15+逐级计算!$C$81,CC15+逐级计算!$C$81-(10/(逐级计算!$Q$81*LN(10))*(MAX((LN(10^(逐级计算!$Q$81/10)-1)+逐级计算!$Q$81*(CC15-逐级计算!$P$81)*LN(10)/10),0)+LN(1+EXP(-ABS((LN(10^(逐级计算!$Q$81/10)-1)+逐级计算!$Q$81*(CC15-逐级计算!$P$81)*LN(10)/10))))))),"")</f>
        <v>13.90940099697</v>
      </c>
      <c r="CE15">
        <f>IF(AND(ISNUMBER(CD15),逐级计算!$X$82&gt;-1),IF(逐级计算!$X$82=0,CD15+逐级计算!$C$82,CD15+逐级计算!$C$82-(10/(逐级计算!$Q$82*LN(10))*(MAX((LN(10^(逐级计算!$Q$82/10)-1)+逐级计算!$Q$82*(CD15-逐级计算!$P$82)*LN(10)/10),0)+LN(1+EXP(-ABS((LN(10^(逐级计算!$Q$82/10)-1)+逐级计算!$Q$82*(CD15-逐级计算!$P$82)*LN(10)/10))))))),"")</f>
        <v>13.90940099697</v>
      </c>
      <c r="CF15">
        <f>IF(AND(ISNUMBER(CE15),逐级计算!$X$83&gt;-1),IF(逐级计算!$X$83=0,CE15+逐级计算!$C$83,CE15+逐级计算!$C$83-(10/(逐级计算!$Q$83*LN(10))*(MAX((LN(10^(逐级计算!$Q$83/10)-1)+逐级计算!$Q$83*(CE15-逐级计算!$P$83)*LN(10)/10),0)+LN(1+EXP(-ABS((LN(10^(逐级计算!$Q$83/10)-1)+逐级计算!$Q$83*(CE15-逐级计算!$P$83)*LN(10)/10))))))),"")</f>
        <v>13.90940099697</v>
      </c>
      <c r="CG15">
        <f>IF(AND(ISNUMBER(CF15),逐级计算!$X$84&gt;-1),IF(逐级计算!$X$84=0,CF15+逐级计算!$C$84,CF15+逐级计算!$C$84-(10/(逐级计算!$Q$84*LN(10))*(MAX((LN(10^(逐级计算!$Q$84/10)-1)+逐级计算!$Q$84*(CF15-逐级计算!$P$84)*LN(10)/10),0)+LN(1+EXP(-ABS((LN(10^(逐级计算!$Q$84/10)-1)+逐级计算!$Q$84*(CF15-逐级计算!$P$84)*LN(10)/10))))))),"")</f>
        <v>13.90940099697</v>
      </c>
      <c r="CH15">
        <f>IF(AND(ISNUMBER(CG15),逐级计算!$X$85&gt;-1),IF(逐级计算!$X$85=0,CG15+逐级计算!$C$85,CG15+逐级计算!$C$85-(10/(逐级计算!$Q$85*LN(10))*(MAX((LN(10^(逐级计算!$Q$85/10)-1)+逐级计算!$Q$85*(CG15-逐级计算!$P$85)*LN(10)/10),0)+LN(1+EXP(-ABS((LN(10^(逐级计算!$Q$85/10)-1)+逐级计算!$Q$85*(CG15-逐级计算!$P$85)*LN(10)/10))))))),"")</f>
        <v>13.90940099697</v>
      </c>
      <c r="CI15">
        <f>IF(AND(ISNUMBER(CH15),逐级计算!$X$86&gt;-1),IF(逐级计算!$X$86=0,CH15+逐级计算!$C$86,CH15+逐级计算!$C$86-(10/(逐级计算!$Q$86*LN(10))*(MAX((LN(10^(逐级计算!$Q$86/10)-1)+逐级计算!$Q$86*(CH15-逐级计算!$P$86)*LN(10)/10),0)+LN(1+EXP(-ABS((LN(10^(逐级计算!$Q$86/10)-1)+逐级计算!$Q$86*(CH15-逐级计算!$P$86)*LN(10)/10))))))),"")</f>
        <v>13.90940099697</v>
      </c>
      <c r="CJ15">
        <f>IF(AND(ISNUMBER(CI15),逐级计算!$X$87&gt;-1),IF(逐级计算!$X$87=0,CI15+逐级计算!$C$87,CI15+逐级计算!$C$87-(10/(逐级计算!$Q$87*LN(10))*(MAX((LN(10^(逐级计算!$Q$87/10)-1)+逐级计算!$Q$87*(CI15-逐级计算!$P$87)*LN(10)/10),0)+LN(1+EXP(-ABS((LN(10^(逐级计算!$Q$87/10)-1)+逐级计算!$Q$87*(CI15-逐级计算!$P$87)*LN(10)/10))))))),"")</f>
        <v>13.90940099697</v>
      </c>
      <c r="CK15">
        <f>IF(AND(ISNUMBER(CJ15),逐级计算!$X$88&gt;-1),IF(逐级计算!$X$88=0,CJ15+逐级计算!$C$88,CJ15+逐级计算!$C$88-(10/(逐级计算!$Q$88*LN(10))*(MAX((LN(10^(逐级计算!$Q$88/10)-1)+逐级计算!$Q$88*(CJ15-逐级计算!$P$88)*LN(10)/10),0)+LN(1+EXP(-ABS((LN(10^(逐级计算!$Q$88/10)-1)+逐级计算!$Q$88*(CJ15-逐级计算!$P$88)*LN(10)/10))))))),"")</f>
        <v>13.90940099697</v>
      </c>
      <c r="CL15">
        <f>IF(AND(ISNUMBER(CK15),逐级计算!$X$89&gt;-1),IF(逐级计算!$X$89=0,CK15+逐级计算!$C$89,CK15+逐级计算!$C$89-(10/(逐级计算!$Q$89*LN(10))*(MAX((LN(10^(逐级计算!$Q$89/10)-1)+逐级计算!$Q$89*(CK15-逐级计算!$P$89)*LN(10)/10),0)+LN(1+EXP(-ABS((LN(10^(逐级计算!$Q$89/10)-1)+逐级计算!$Q$89*(CK15-逐级计算!$P$89)*LN(10)/10))))))),"")</f>
        <v>13.90940099697</v>
      </c>
      <c r="CM15">
        <f>IF(AND(ISNUMBER(CL15),逐级计算!$X$90&gt;-1),IF(逐级计算!$X$90=0,CL15+逐级计算!$C$90,CL15+逐级计算!$C$90-(10/(逐级计算!$Q$90*LN(10))*(MAX((LN(10^(逐级计算!$Q$90/10)-1)+逐级计算!$Q$90*(CL15-逐级计算!$P$90)*LN(10)/10),0)+LN(1+EXP(-ABS((LN(10^(逐级计算!$Q$90/10)-1)+逐级计算!$Q$90*(CL15-逐级计算!$P$90)*LN(10)/10))))))),"")</f>
        <v>13.90940099697</v>
      </c>
      <c r="CN15">
        <f>IF(AND(ISNUMBER(CM15),逐级计算!$X$91&gt;-1),IF(逐级计算!$X$91=0,CM15+逐级计算!$C$91,CM15+逐级计算!$C$91-(10/(逐级计算!$Q$91*LN(10))*(MAX((LN(10^(逐级计算!$Q$91/10)-1)+逐级计算!$Q$91*(CM15-逐级计算!$P$91)*LN(10)/10),0)+LN(1+EXP(-ABS((LN(10^(逐级计算!$Q$91/10)-1)+逐级计算!$Q$91*(CM15-逐级计算!$P$91)*LN(10)/10))))))),"")</f>
        <v>13.90940099697</v>
      </c>
      <c r="CO15">
        <f>IF(AND(ISNUMBER(CN15),逐级计算!$X$92&gt;-1),IF(逐级计算!$X$92=0,CN15+逐级计算!$C$92,CN15+逐级计算!$C$92-(10/(逐级计算!$Q$92*LN(10))*(MAX((LN(10^(逐级计算!$Q$92/10)-1)+逐级计算!$Q$92*(CN15-逐级计算!$P$92)*LN(10)/10),0)+LN(1+EXP(-ABS((LN(10^(逐级计算!$Q$92/10)-1)+逐级计算!$Q$92*(CN15-逐级计算!$P$92)*LN(10)/10))))))),"")</f>
        <v>13.90940099697</v>
      </c>
      <c r="CP15">
        <f>IF(AND(ISNUMBER(CO15),逐级计算!$X$93&gt;-1),IF(逐级计算!$X$93=0,CO15+逐级计算!$C$93,CO15+逐级计算!$C$93-(10/(逐级计算!$Q$93*LN(10))*(MAX((LN(10^(逐级计算!$Q$93/10)-1)+逐级计算!$Q$93*(CO15-逐级计算!$P$93)*LN(10)/10),0)+LN(1+EXP(-ABS((LN(10^(逐级计算!$Q$93/10)-1)+逐级计算!$Q$93*(CO15-逐级计算!$P$93)*LN(10)/10))))))),"")</f>
        <v>13.90940099697</v>
      </c>
      <c r="CQ15">
        <f>IF(AND(ISNUMBER(CP15),逐级计算!$X$94&gt;-1),IF(逐级计算!$X$94=0,CP15+逐级计算!$C$94,CP15+逐级计算!$C$94-(10/(逐级计算!$Q$94*LN(10))*(MAX((LN(10^(逐级计算!$Q$94/10)-1)+逐级计算!$Q$94*(CP15-逐级计算!$P$94)*LN(10)/10),0)+LN(1+EXP(-ABS((LN(10^(逐级计算!$Q$94/10)-1)+逐级计算!$Q$94*(CP15-逐级计算!$P$94)*LN(10)/10))))))),"")</f>
        <v>13.90940099697</v>
      </c>
      <c r="CR15">
        <f>IF(AND(ISNUMBER(CQ15),逐级计算!$X$95&gt;-1),IF(逐级计算!$X$95=0,CQ15+逐级计算!$C$95,CQ15+逐级计算!$C$95-(10/(逐级计算!$Q$95*LN(10))*(MAX((LN(10^(逐级计算!$Q$95/10)-1)+逐级计算!$Q$95*(CQ15-逐级计算!$P$95)*LN(10)/10),0)+LN(1+EXP(-ABS((LN(10^(逐级计算!$Q$95/10)-1)+逐级计算!$Q$95*(CQ15-逐级计算!$P$95)*LN(10)/10))))))),"")</f>
        <v>13.90940099697</v>
      </c>
      <c r="CS15">
        <f>IF(AND(ISNUMBER(CR15),逐级计算!$X$96&gt;-1),IF(逐级计算!$X$96=0,CR15+逐级计算!$C$96,CR15+逐级计算!$C$96-(10/(逐级计算!$Q$96*LN(10))*(MAX((LN(10^(逐级计算!$Q$96/10)-1)+逐级计算!$Q$96*(CR15-逐级计算!$P$96)*LN(10)/10),0)+LN(1+EXP(-ABS((LN(10^(逐级计算!$Q$96/10)-1)+逐级计算!$Q$96*(CR15-逐级计算!$P$96)*LN(10)/10))))))),"")</f>
        <v>13.90940099697</v>
      </c>
      <c r="CT15">
        <f>IF(AND(ISNUMBER(CS15),逐级计算!$X$97&gt;-1),IF(逐级计算!$X$97=0,CS15+逐级计算!$C$97,CS15+逐级计算!$C$97-(10/(逐级计算!$Q$97*LN(10))*(MAX((LN(10^(逐级计算!$Q$97/10)-1)+逐级计算!$Q$97*(CS15-逐级计算!$P$97)*LN(10)/10),0)+LN(1+EXP(-ABS((LN(10^(逐级计算!$Q$97/10)-1)+逐级计算!$Q$97*(CS15-逐级计算!$P$97)*LN(10)/10))))))),"")</f>
        <v>13.90940099697</v>
      </c>
      <c r="CU15">
        <f>IF(AND(ISNUMBER(CT15),逐级计算!$X$98&gt;-1),IF(逐级计算!$X$98=0,CT15+逐级计算!$C$98,CT15+逐级计算!$C$98-(10/(逐级计算!$Q$98*LN(10))*(MAX((LN(10^(逐级计算!$Q$98/10)-1)+逐级计算!$Q$98*(CT15-逐级计算!$P$98)*LN(10)/10),0)+LN(1+EXP(-ABS((LN(10^(逐级计算!$Q$98/10)-1)+逐级计算!$Q$98*(CT15-逐级计算!$P$98)*LN(10)/10))))))),"")</f>
        <v>13.90940099697</v>
      </c>
      <c r="CV15">
        <f>IF(AND(ISNUMBER(CU15),逐级计算!$X$99&gt;-1),IF(逐级计算!$X$99=0,CU15+逐级计算!$C$99,CU15+逐级计算!$C$99-(10/(逐级计算!$Q$99*LN(10))*(MAX((LN(10^(逐级计算!$Q$99/10)-1)+逐级计算!$Q$99*(CU15-逐级计算!$P$99)*LN(10)/10),0)+LN(1+EXP(-ABS((LN(10^(逐级计算!$Q$99/10)-1)+逐级计算!$Q$99*(CU15-逐级计算!$P$99)*LN(10)/10))))))),"")</f>
        <v>13.90940099697</v>
      </c>
      <c r="CW15">
        <f>IF(AND(ISNUMBER(CV15),逐级计算!$X$100&gt;-1),IF(逐级计算!$X$100=0,CV15+逐级计算!$C$100,CV15+逐级计算!$C$100-(10/(逐级计算!$Q$100*LN(10))*(MAX((LN(10^(逐级计算!$Q$100/10)-1)+逐级计算!$Q$100*(CV15-逐级计算!$P$100)*LN(10)/10),0)+LN(1+EXP(-ABS((LN(10^(逐级计算!$Q$100/10)-1)+逐级计算!$Q$100*(CV15-逐级计算!$P$100)*LN(10)/10))))))),"")</f>
        <v>13.90940099697</v>
      </c>
      <c r="CX15">
        <f>IF(AND(ISNUMBER(CW15),逐级计算!$X$101&gt;-1),IF(逐级计算!$X$101=0,CW15+逐级计算!$C$101,CW15+逐级计算!$C$101-(10/(逐级计算!$Q$101*LN(10))*(MAX((LN(10^(逐级计算!$Q$101/10)-1)+逐级计算!$Q$101*(CW15-逐级计算!$P$101)*LN(10)/10),0)+LN(1+EXP(-ABS((LN(10^(逐级计算!$Q$101/10)-1)+逐级计算!$Q$101*(CW15-逐级计算!$P$101)*LN(10)/10))))))),"")</f>
        <v>13.90940099697</v>
      </c>
      <c r="CY15">
        <f>IF(AND(ISNUMBER(CX15),逐级计算!$X$102&gt;-1),IF(逐级计算!$X$102=0,CX15+逐级计算!$C$102,CX15+逐级计算!$C$102-(10/(逐级计算!$Q$102*LN(10))*(MAX((LN(10^(逐级计算!$Q$102/10)-1)+逐级计算!$Q$102*(CX15-逐级计算!$P$102)*LN(10)/10),0)+LN(1+EXP(-ABS((LN(10^(逐级计算!$Q$102/10)-1)+逐级计算!$Q$102*(CX15-逐级计算!$P$102)*LN(10)/10))))))),"")</f>
        <v>13.90940099697</v>
      </c>
      <c r="CZ15">
        <f>IF(AND(ISNUMBER(CY15),逐级计算!$X$103&gt;-1),IF(逐级计算!$X$103=0,CY15+逐级计算!$C$103,CY15+逐级计算!$C$103-(10/(逐级计算!$Q$103*LN(10))*(MAX((LN(10^(逐级计算!$Q$103/10)-1)+逐级计算!$Q$103*(CY15-逐级计算!$P$103)*LN(10)/10),0)+LN(1+EXP(-ABS((LN(10^(逐级计算!$Q$103/10)-1)+逐级计算!$Q$103*(CY15-逐级计算!$P$103)*LN(10)/10))))))),"")</f>
        <v>13.90940099697</v>
      </c>
      <c r="DA15">
        <f>IF(AND(ISNUMBER(CZ15),逐级计算!$X$104&gt;-1),IF(逐级计算!$X$104=0,CZ15+逐级计算!$C$104,CZ15+逐级计算!$C$104-(10/(逐级计算!$Q$104*LN(10))*(MAX((LN(10^(逐级计算!$Q$104/10)-1)+逐级计算!$Q$104*(CZ15-逐级计算!$P$104)*LN(10)/10),0)+LN(1+EXP(-ABS((LN(10^(逐级计算!$Q$104/10)-1)+逐级计算!$Q$104*(CZ15-逐级计算!$P$104)*LN(10)/10))))))),"")</f>
        <v>13.90940099697</v>
      </c>
      <c r="DB15">
        <f>IF(AND(ISNUMBER(DA15),逐级计算!$X$105&gt;-1),IF(逐级计算!$X$105=0,DA15+逐级计算!$C$105,DA15+逐级计算!$C$105-(10/(逐级计算!$Q$105*LN(10))*(MAX((LN(10^(逐级计算!$Q$105/10)-1)+逐级计算!$Q$105*(DA15-逐级计算!$P$105)*LN(10)/10),0)+LN(1+EXP(-ABS((LN(10^(逐级计算!$Q$105/10)-1)+逐级计算!$Q$105*(DA15-逐级计算!$P$105)*LN(10)/10))))))),"")</f>
        <v>13.90940099697</v>
      </c>
      <c r="DC15">
        <f>IF(AND(ISNUMBER(DB15),逐级计算!$X$106&gt;-1),IF(逐级计算!$X$106=0,DB15+逐级计算!$C$106,DB15+逐级计算!$C$106-(10/(逐级计算!$Q$106*LN(10))*(MAX((LN(10^(逐级计算!$Q$106/10)-1)+逐级计算!$Q$106*(DB15-逐级计算!$P$106)*LN(10)/10),0)+LN(1+EXP(-ABS((LN(10^(逐级计算!$Q$106/10)-1)+逐级计算!$Q$106*(DB15-逐级计算!$P$106)*LN(10)/10))))))),"")</f>
        <v>13.90940099697</v>
      </c>
      <c r="DD15">
        <f>IF(AND(ISNUMBER(DC15),逐级计算!$X$107&gt;-1),IF(逐级计算!$X$107=0,DC15+逐级计算!$C$107,DC15+逐级计算!$C$107-(10/(逐级计算!$Q$107*LN(10))*(MAX((LN(10^(逐级计算!$Q$107/10)-1)+逐级计算!$Q$107*(DC15-逐级计算!$P$107)*LN(10)/10),0)+LN(1+EXP(-ABS((LN(10^(逐级计算!$Q$107/10)-1)+逐级计算!$Q$107*(DC15-逐级计算!$P$107)*LN(10)/10))))))),"")</f>
        <v>13.90940099697</v>
      </c>
      <c r="DE15">
        <f>IF(AND(ISNUMBER(DD15),逐级计算!$X$108&gt;-1),IF(逐级计算!$X$108=0,DD15+逐级计算!$C$108,DD15+逐级计算!$C$108-(10/(逐级计算!$Q$108*LN(10))*(MAX((LN(10^(逐级计算!$Q$108/10)-1)+逐级计算!$Q$108*(DD15-逐级计算!$P$108)*LN(10)/10),0)+LN(1+EXP(-ABS((LN(10^(逐级计算!$Q$108/10)-1)+逐级计算!$Q$108*(DD15-逐级计算!$P$108)*LN(10)/10))))))),"")</f>
        <v>13.90940099697</v>
      </c>
      <c r="DF15">
        <f>IF(AND(ISNUMBER(DE15),逐级计算!$X$109&gt;-1),IF(逐级计算!$X$109=0,DE15+逐级计算!$C$109,DE15+逐级计算!$C$109-(10/(逐级计算!$Q$109*LN(10))*(MAX((LN(10^(逐级计算!$Q$109/10)-1)+逐级计算!$Q$109*(DE15-逐级计算!$P$109)*LN(10)/10),0)+LN(1+EXP(-ABS((LN(10^(逐级计算!$Q$109/10)-1)+逐级计算!$Q$109*(DE15-逐级计算!$P$109)*LN(10)/10))))))),"")</f>
        <v>13.90940099697</v>
      </c>
      <c r="DG15">
        <f>IF(AND(ISNUMBER(DF15),逐级计算!$X$110&gt;-1),IF(逐级计算!$X$110=0,DF15+逐级计算!$C$110,DF15+逐级计算!$C$110-(10/(逐级计算!$Q$110*LN(10))*(MAX((LN(10^(逐级计算!$Q$110/10)-1)+逐级计算!$Q$110*(DF15-逐级计算!$P$110)*LN(10)/10),0)+LN(1+EXP(-ABS((LN(10^(逐级计算!$Q$110/10)-1)+逐级计算!$Q$110*(DF15-逐级计算!$P$110)*LN(10)/10))))))),"")</f>
        <v>13.90940099697</v>
      </c>
      <c r="DH15">
        <f>IF(AND(ISNUMBER(DG15),逐级计算!$X$111&gt;-1),IF(逐级计算!$X$111=0,DG15+逐级计算!$C$111,DG15+逐级计算!$C$111-(10/(逐级计算!$Q$111*LN(10))*(MAX((LN(10^(逐级计算!$Q$111/10)-1)+逐级计算!$Q$111*(DG15-逐级计算!$P$111)*LN(10)/10),0)+LN(1+EXP(-ABS((LN(10^(逐级计算!$Q$111/10)-1)+逐级计算!$Q$111*(DG15-逐级计算!$P$111)*LN(10)/10))))))),"")</f>
        <v>13.90940099697</v>
      </c>
      <c r="DI15">
        <f>IF(AND(ISNUMBER(DH15),逐级计算!$X$112&gt;-1),IF(逐级计算!$X$112=0,DH15+逐级计算!$C$112,DH15+逐级计算!$C$112-(10/(逐级计算!$Q$112*LN(10))*(MAX((LN(10^(逐级计算!$Q$112/10)-1)+逐级计算!$Q$112*(DH15-逐级计算!$P$112)*LN(10)/10),0)+LN(1+EXP(-ABS((LN(10^(逐级计算!$Q$112/10)-1)+逐级计算!$Q$112*(DH15-逐级计算!$P$112)*LN(10)/10))))))),"")</f>
        <v>13.90940099697</v>
      </c>
      <c r="DJ15">
        <f>IF(AND(ISNUMBER(DI15),逐级计算!$X$113&gt;-1),IF(逐级计算!$X$113=0,DI15+逐级计算!$C$113,DI15+逐级计算!$C$113-(10/(逐级计算!$Q$113*LN(10))*(MAX((LN(10^(逐级计算!$Q$113/10)-1)+逐级计算!$Q$113*(DI15-逐级计算!$P$113)*LN(10)/10),0)+LN(1+EXP(-ABS((LN(10^(逐级计算!$Q$113/10)-1)+逐级计算!$Q$113*(DI15-逐级计算!$P$113)*LN(10)/10))))))),"")</f>
        <v>13.90940099697</v>
      </c>
      <c r="DK15">
        <f>IF(AND(ISNUMBER(DJ15),逐级计算!$X$114&gt;-1),IF(逐级计算!$X$114=0,DJ15+逐级计算!$C$114,DJ15+逐级计算!$C$114-(10/(逐级计算!$Q$114*LN(10))*(MAX((LN(10^(逐级计算!$Q$114/10)-1)+逐级计算!$Q$114*(DJ15-逐级计算!$P$114)*LN(10)/10),0)+LN(1+EXP(-ABS((LN(10^(逐级计算!$Q$114/10)-1)+逐级计算!$Q$114*(DJ15-逐级计算!$P$114)*LN(10)/10))))))),"")</f>
        <v>13.90940099697</v>
      </c>
      <c r="DL15">
        <f>IF(AND(ISNUMBER(DK15),逐级计算!$X$115&gt;-1),IF(逐级计算!$X$115=0,DK15+逐级计算!$C$115,DK15+逐级计算!$C$115-(10/(逐级计算!$Q$115*LN(10))*(MAX((LN(10^(逐级计算!$Q$115/10)-1)+逐级计算!$Q$115*(DK15-逐级计算!$P$115)*LN(10)/10),0)+LN(1+EXP(-ABS((LN(10^(逐级计算!$Q$115/10)-1)+逐级计算!$Q$115*(DK15-逐级计算!$P$115)*LN(10)/10))))))),"")</f>
        <v>13.90940099697</v>
      </c>
      <c r="DM15">
        <f>IF(AND(ISNUMBER(DL15),逐级计算!$X$116&gt;-1),IF(逐级计算!$X$116=0,DL15+逐级计算!$C$116,DL15+逐级计算!$C$116-(10/(逐级计算!$Q$116*LN(10))*(MAX((LN(10^(逐级计算!$Q$116/10)-1)+逐级计算!$Q$116*(DL15-逐级计算!$P$116)*LN(10)/10),0)+LN(1+EXP(-ABS((LN(10^(逐级计算!$Q$116/10)-1)+逐级计算!$Q$116*(DL15-逐级计算!$P$116)*LN(10)/10))))))),"")</f>
        <v>13.90940099697</v>
      </c>
      <c r="DN15">
        <f>IF(AND(ISNUMBER(DM15),逐级计算!$X$117&gt;-1),IF(逐级计算!$X$117=0,DM15+逐级计算!$C$117,DM15+逐级计算!$C$117-(10/(逐级计算!$Q$117*LN(10))*(MAX((LN(10^(逐级计算!$Q$117/10)-1)+逐级计算!$Q$117*(DM15-逐级计算!$P$117)*LN(10)/10),0)+LN(1+EXP(-ABS((LN(10^(逐级计算!$Q$117/10)-1)+逐级计算!$Q$117*(DM15-逐级计算!$P$117)*LN(10)/10))))))),"")</f>
        <v>13.90940099697</v>
      </c>
      <c r="DO15">
        <f>IF(AND(ISNUMBER(DN15),逐级计算!$X$118&gt;-1),IF(逐级计算!$X$118=0,DN15+逐级计算!$C$118,DN15+逐级计算!$C$118-(10/(逐级计算!$Q$118*LN(10))*(MAX((LN(10^(逐级计算!$Q$118/10)-1)+逐级计算!$Q$118*(DN15-逐级计算!$P$118)*LN(10)/10),0)+LN(1+EXP(-ABS((LN(10^(逐级计算!$Q$118/10)-1)+逐级计算!$Q$118*(DN15-逐级计算!$P$118)*LN(10)/10))))))),"")</f>
        <v>13.90940099697</v>
      </c>
      <c r="DP15">
        <f>IF(AND(ISNUMBER(DO15),逐级计算!$X$119&gt;-1),IF(逐级计算!$X$119=0,DO15+逐级计算!$C$119,DO15+逐级计算!$C$119-(10/(逐级计算!$Q$119*LN(10))*(MAX((LN(10^(逐级计算!$Q$119/10)-1)+逐级计算!$Q$119*(DO15-逐级计算!$P$119)*LN(10)/10),0)+LN(1+EXP(-ABS((LN(10^(逐级计算!$Q$119/10)-1)+逐级计算!$Q$119*(DO15-逐级计算!$P$119)*LN(10)/10))))))),"")</f>
        <v>13.90940099697</v>
      </c>
      <c r="DQ15">
        <f>IF(AND(ISNUMBER(DP15),逐级计算!$X$120&gt;-1),IF(逐级计算!$X$120=0,DP15+逐级计算!$C$120,DP15+逐级计算!$C$120-(10/(逐级计算!$Q$120*LN(10))*(MAX((LN(10^(逐级计算!$Q$120/10)-1)+逐级计算!$Q$120*(DP15-逐级计算!$P$120)*LN(10)/10),0)+LN(1+EXP(-ABS((LN(10^(逐级计算!$Q$120/10)-1)+逐级计算!$Q$120*(DP15-逐级计算!$P$120)*LN(10)/10))))))),"")</f>
        <v>13.90940099697</v>
      </c>
      <c r="DR15">
        <f>IF(AND(ISNUMBER(DQ15),逐级计算!$X$121&gt;-1),IF(逐级计算!$X$121=0,DQ15+逐级计算!$C$121,DQ15+逐级计算!$C$121-(10/(逐级计算!$Q$121*LN(10))*(MAX((LN(10^(逐级计算!$Q$121/10)-1)+逐级计算!$Q$121*(DQ15-逐级计算!$P$121)*LN(10)/10),0)+LN(1+EXP(-ABS((LN(10^(逐级计算!$Q$121/10)-1)+逐级计算!$Q$121*(DQ15-逐级计算!$P$121)*LN(10)/10))))))),"")</f>
        <v>13.90940099697</v>
      </c>
      <c r="DS15">
        <f>IF(AND(ISNUMBER(DR15),逐级计算!$X$122&gt;-1),IF(逐级计算!$X$122=0,DR15+逐级计算!$C$122,DR15+逐级计算!$C$122-(10/(逐级计算!$Q$122*LN(10))*(MAX((LN(10^(逐级计算!$Q$122/10)-1)+逐级计算!$Q$122*(DR15-逐级计算!$P$122)*LN(10)/10),0)+LN(1+EXP(-ABS((LN(10^(逐级计算!$Q$122/10)-1)+逐级计算!$Q$122*(DR15-逐级计算!$P$122)*LN(10)/10))))))),"")</f>
        <v>13.90940099697</v>
      </c>
      <c r="DT15">
        <f>IF(AND(ISNUMBER(DS15),逐级计算!$X$123&gt;-1),IF(逐级计算!$X$123=0,DS15+逐级计算!$C$123,DS15+逐级计算!$C$123-(10/(逐级计算!$Q$123*LN(10))*(MAX((LN(10^(逐级计算!$Q$123/10)-1)+逐级计算!$Q$123*(DS15-逐级计算!$P$123)*LN(10)/10),0)+LN(1+EXP(-ABS((LN(10^(逐级计算!$Q$123/10)-1)+逐级计算!$Q$123*(DS15-逐级计算!$P$123)*LN(10)/10))))))),"")</f>
        <v>13.90940099697</v>
      </c>
      <c r="DU15">
        <f>IF(AND(ISNUMBER(DT15),逐级计算!$X$124&gt;-1),IF(逐级计算!$X$124=0,DT15+逐级计算!$C$124,DT15+逐级计算!$C$124-(10/(逐级计算!$Q$124*LN(10))*(MAX((LN(10^(逐级计算!$Q$124/10)-1)+逐级计算!$Q$124*(DT15-逐级计算!$P$124)*LN(10)/10),0)+LN(1+EXP(-ABS((LN(10^(逐级计算!$Q$124/10)-1)+逐级计算!$Q$124*(DT15-逐级计算!$P$124)*LN(10)/10))))))),"")</f>
        <v>13.90940099697</v>
      </c>
      <c r="DV15">
        <f>IF(AND(ISNUMBER(DU15),逐级计算!$X$125&gt;-1),IF(逐级计算!$X$125=0,DU15+逐级计算!$C$125,DU15+逐级计算!$C$125-(10/(逐级计算!$Q$125*LN(10))*(MAX((LN(10^(逐级计算!$Q$125/10)-1)+逐级计算!$Q$125*(DU15-逐级计算!$P$125)*LN(10)/10),0)+LN(1+EXP(-ABS((LN(10^(逐级计算!$Q$125/10)-1)+逐级计算!$Q$125*(DU15-逐级计算!$P$125)*LN(10)/10))))))),"")</f>
        <v>13.90940099697</v>
      </c>
      <c r="DW15">
        <f>IF(AND(ISNUMBER(DV15),逐级计算!$X$126&gt;-1),IF(逐级计算!$X$126=0,DV15+逐级计算!$C$126,DV15+逐级计算!$C$126-(10/(逐级计算!$Q$126*LN(10))*(MAX((LN(10^(逐级计算!$Q$126/10)-1)+逐级计算!$Q$126*(DV15-逐级计算!$P$126)*LN(10)/10),0)+LN(1+EXP(-ABS((LN(10^(逐级计算!$Q$126/10)-1)+逐级计算!$Q$126*(DV15-逐级计算!$P$126)*LN(10)/10))))))),"")</f>
        <v>13.90940099697</v>
      </c>
      <c r="DX15">
        <f>IF(AND(ISNUMBER(DW15),逐级计算!$X$127&gt;-1),IF(逐级计算!$X$127=0,DW15+逐级计算!$C$127,DW15+逐级计算!$C$127-(10/(逐级计算!$Q$127*LN(10))*(MAX((LN(10^(逐级计算!$Q$127/10)-1)+逐级计算!$Q$127*(DW15-逐级计算!$P$127)*LN(10)/10),0)+LN(1+EXP(-ABS((LN(10^(逐级计算!$Q$127/10)-1)+逐级计算!$Q$127*(DW15-逐级计算!$P$127)*LN(10)/10))))))),"")</f>
        <v>13.90940099697</v>
      </c>
      <c r="DY15">
        <f>IF(AND(ISNUMBER(DX15),逐级计算!$X$128&gt;-1),IF(逐级计算!$X$128=0,DX15+逐级计算!$C$128,DX15+逐级计算!$C$128-(10/(逐级计算!$Q$128*LN(10))*(MAX((LN(10^(逐级计算!$Q$128/10)-1)+逐级计算!$Q$128*(DX15-逐级计算!$P$128)*LN(10)/10),0)+LN(1+EXP(-ABS((LN(10^(逐级计算!$Q$128/10)-1)+逐级计算!$Q$128*(DX15-逐级计算!$P$128)*LN(10)/10))))))),"")</f>
        <v>13.90940099697</v>
      </c>
      <c r="DZ15">
        <f>IF(AND(ISNUMBER(DY15),逐级计算!$X$129&gt;-1),IF(逐级计算!$X$129=0,DY15+逐级计算!$C$129,DY15+逐级计算!$C$129-(10/(逐级计算!$Q$129*LN(10))*(MAX((LN(10^(逐级计算!$Q$129/10)-1)+逐级计算!$Q$129*(DY15-逐级计算!$P$129)*LN(10)/10),0)+LN(1+EXP(-ABS((LN(10^(逐级计算!$Q$129/10)-1)+逐级计算!$Q$129*(DY15-逐级计算!$P$129)*LN(10)/10))))))),"")</f>
        <v>13.90940099697</v>
      </c>
      <c r="EA15">
        <f>IF(AND(ISNUMBER(DZ15),逐级计算!$X$130&gt;-1),IF(逐级计算!$X$130=0,DZ15+逐级计算!$C$130,DZ15+逐级计算!$C$130-(10/(逐级计算!$Q$130*LN(10))*(MAX((LN(10^(逐级计算!$Q$130/10)-1)+逐级计算!$Q$130*(DZ15-逐级计算!$P$130)*LN(10)/10),0)+LN(1+EXP(-ABS((LN(10^(逐级计算!$Q$130/10)-1)+逐级计算!$Q$130*(DZ15-逐级计算!$P$130)*LN(10)/10))))))),"")</f>
        <v>13.90940099697</v>
      </c>
      <c r="EB15">
        <f>IF(AND(ISNUMBER(EA15),逐级计算!$X$131&gt;-1),IF(逐级计算!$X$131=0,EA15+逐级计算!$C$131,EA15+逐级计算!$C$131-(10/(逐级计算!$Q$131*LN(10))*(MAX((LN(10^(逐级计算!$Q$131/10)-1)+逐级计算!$Q$131*(EA15-逐级计算!$P$131)*LN(10)/10),0)+LN(1+EXP(-ABS((LN(10^(逐级计算!$Q$131/10)-1)+逐级计算!$Q$131*(EA15-逐级计算!$P$131)*LN(10)/10))))))),"")</f>
        <v>13.90940099697</v>
      </c>
      <c r="EC15">
        <f>IF(AND(ISNUMBER(EB15),逐级计算!$X$132&gt;-1),IF(逐级计算!$X$132=0,EB15+逐级计算!$C$132,EB15+逐级计算!$C$132-(10/(逐级计算!$Q$132*LN(10))*(MAX((LN(10^(逐级计算!$Q$132/10)-1)+逐级计算!$Q$132*(EB15-逐级计算!$P$132)*LN(10)/10),0)+LN(1+EXP(-ABS((LN(10^(逐级计算!$Q$132/10)-1)+逐级计算!$Q$132*(EB15-逐级计算!$P$132)*LN(10)/10))))))),"")</f>
        <v>13.90940099697</v>
      </c>
      <c r="ED15">
        <f>IF(AND(ISNUMBER(EC15),逐级计算!$X$133&gt;-1),IF(逐级计算!$X$133=0,EC15+逐级计算!$C$133,EC15+逐级计算!$C$133-(10/(逐级计算!$Q$133*LN(10))*(MAX((LN(10^(逐级计算!$Q$133/10)-1)+逐级计算!$Q$133*(EC15-逐级计算!$P$133)*LN(10)/10),0)+LN(1+EXP(-ABS((LN(10^(逐级计算!$Q$133/10)-1)+逐级计算!$Q$133*(EC15-逐级计算!$P$133)*LN(10)/10))))))),"")</f>
        <v>13.90940099697</v>
      </c>
      <c r="EE15">
        <f>IF(AND(ISNUMBER(ED15),逐级计算!$X$134&gt;-1),IF(逐级计算!$X$134=0,ED15+逐级计算!$C$134,ED15+逐级计算!$C$134-(10/(逐级计算!$Q$134*LN(10))*(MAX((LN(10^(逐级计算!$Q$134/10)-1)+逐级计算!$Q$134*(ED15-逐级计算!$P$134)*LN(10)/10),0)+LN(1+EXP(-ABS((LN(10^(逐级计算!$Q$134/10)-1)+逐级计算!$Q$134*(ED15-逐级计算!$P$134)*LN(10)/10))))))),"")</f>
        <v>13.90940099697</v>
      </c>
      <c r="EF15">
        <f>IF(AND(ISNUMBER(EE15),逐级计算!$X$135&gt;-1),IF(逐级计算!$X$135=0,EE15+逐级计算!$C$135,EE15+逐级计算!$C$135-(10/(逐级计算!$Q$135*LN(10))*(MAX((LN(10^(逐级计算!$Q$135/10)-1)+逐级计算!$Q$135*(EE15-逐级计算!$P$135)*LN(10)/10),0)+LN(1+EXP(-ABS((LN(10^(逐级计算!$Q$135/10)-1)+逐级计算!$Q$135*(EE15-逐级计算!$P$135)*LN(10)/10))))))),"")</f>
        <v>13.90940099697</v>
      </c>
      <c r="EG15">
        <f>IF(AND(ISNUMBER(EF15),逐级计算!$X$136&gt;-1),IF(逐级计算!$X$136=0,EF15+逐级计算!$C$136,EF15+逐级计算!$C$136-(10/(逐级计算!$Q$136*LN(10))*(MAX((LN(10^(逐级计算!$Q$136/10)-1)+逐级计算!$Q$136*(EF15-逐级计算!$P$136)*LN(10)/10),0)+LN(1+EXP(-ABS((LN(10^(逐级计算!$Q$136/10)-1)+逐级计算!$Q$136*(EF15-逐级计算!$P$136)*LN(10)/10))))))),"")</f>
        <v>13.90940099697</v>
      </c>
      <c r="EH15">
        <f>IF(AND(ISNUMBER(EG15),逐级计算!$X$137&gt;-1),IF(逐级计算!$X$137=0,EG15+逐级计算!$C$137,EG15+逐级计算!$C$137-(10/(逐级计算!$Q$137*LN(10))*(MAX((LN(10^(逐级计算!$Q$137/10)-1)+逐级计算!$Q$137*(EG15-逐级计算!$P$137)*LN(10)/10),0)+LN(1+EXP(-ABS((LN(10^(逐级计算!$Q$137/10)-1)+逐级计算!$Q$137*(EG15-逐级计算!$P$137)*LN(10)/10))))))),"")</f>
        <v>13.90940099697</v>
      </c>
      <c r="EI15">
        <f>IF(AND(ISNUMBER(EH15),逐级计算!$X$138&gt;-1),IF(逐级计算!$X$138=0,EH15+逐级计算!$C$138,EH15+逐级计算!$C$138-(10/(逐级计算!$Q$138*LN(10))*(MAX((LN(10^(逐级计算!$Q$138/10)-1)+逐级计算!$Q$138*(EH15-逐级计算!$P$138)*LN(10)/10),0)+LN(1+EXP(-ABS((LN(10^(逐级计算!$Q$138/10)-1)+逐级计算!$Q$138*(EH15-逐级计算!$P$138)*LN(10)/10))))))),"")</f>
        <v>13.90940099697</v>
      </c>
      <c r="EJ15">
        <f>IF(AND(ISNUMBER(EI15),逐级计算!$X$139&gt;-1),IF(逐级计算!$X$139=0,EI15+逐级计算!$C$139,EI15+逐级计算!$C$139-(10/(逐级计算!$Q$139*LN(10))*(MAX((LN(10^(逐级计算!$Q$139/10)-1)+逐级计算!$Q$139*(EI15-逐级计算!$P$139)*LN(10)/10),0)+LN(1+EXP(-ABS((LN(10^(逐级计算!$Q$139/10)-1)+逐级计算!$Q$139*(EI15-逐级计算!$P$139)*LN(10)/10))))))),"")</f>
        <v>13.90940099697</v>
      </c>
      <c r="EK15">
        <f>IF(AND(ISNUMBER(EJ15),逐级计算!$X$140&gt;-1),IF(逐级计算!$X$140=0,EJ15+逐级计算!$C$140,EJ15+逐级计算!$C$140-(10/(逐级计算!$Q$140*LN(10))*(MAX((LN(10^(逐级计算!$Q$140/10)-1)+逐级计算!$Q$140*(EJ15-逐级计算!$P$140)*LN(10)/10),0)+LN(1+EXP(-ABS((LN(10^(逐级计算!$Q$140/10)-1)+逐级计算!$Q$140*(EJ15-逐级计算!$P$140)*LN(10)/10))))))),"")</f>
        <v>13.90940099697</v>
      </c>
      <c r="EL15">
        <f>IF(AND(ISNUMBER(EK15),逐级计算!$X$141&gt;-1),IF(逐级计算!$X$141=0,EK15+逐级计算!$C$141,EK15+逐级计算!$C$141-(10/(逐级计算!$Q$141*LN(10))*(MAX((LN(10^(逐级计算!$Q$141/10)-1)+逐级计算!$Q$141*(EK15-逐级计算!$P$141)*LN(10)/10),0)+LN(1+EXP(-ABS((LN(10^(逐级计算!$Q$141/10)-1)+逐级计算!$Q$141*(EK15-逐级计算!$P$141)*LN(10)/10))))))),"")</f>
        <v>13.90940099697</v>
      </c>
      <c r="EM15">
        <f>IF(AND(ISNUMBER(EL15),逐级计算!$X$142&gt;-1),IF(逐级计算!$X$142=0,EL15+逐级计算!$C$142,EL15+逐级计算!$C$142-(10/(逐级计算!$Q$142*LN(10))*(MAX((LN(10^(逐级计算!$Q$142/10)-1)+逐级计算!$Q$142*(EL15-逐级计算!$P$142)*LN(10)/10),0)+LN(1+EXP(-ABS((LN(10^(逐级计算!$Q$142/10)-1)+逐级计算!$Q$142*(EL15-逐级计算!$P$142)*LN(10)/10))))))),"")</f>
        <v>13.90940099697</v>
      </c>
      <c r="EN15">
        <f>IF(AND(ISNUMBER(EM15),逐级计算!$X$143&gt;-1),IF(逐级计算!$X$143=0,EM15+逐级计算!$C$143,EM15+逐级计算!$C$143-(10/(逐级计算!$Q$143*LN(10))*(MAX((LN(10^(逐级计算!$Q$143/10)-1)+逐级计算!$Q$143*(EM15-逐级计算!$P$143)*LN(10)/10),0)+LN(1+EXP(-ABS((LN(10^(逐级计算!$Q$143/10)-1)+逐级计算!$Q$143*(EM15-逐级计算!$P$143)*LN(10)/10))))))),"")</f>
        <v>13.90940099697</v>
      </c>
      <c r="EO15">
        <f>IF(AND(ISNUMBER(EN15),逐级计算!$X$144&gt;-1),IF(逐级计算!$X$144=0,EN15+逐级计算!$C$144,EN15+逐级计算!$C$144-(10/(逐级计算!$Q$144*LN(10))*(MAX((LN(10^(逐级计算!$Q$144/10)-1)+逐级计算!$Q$144*(EN15-逐级计算!$P$144)*LN(10)/10),0)+LN(1+EXP(-ABS((LN(10^(逐级计算!$Q$144/10)-1)+逐级计算!$Q$144*(EN15-逐级计算!$P$144)*LN(10)/10))))))),"")</f>
        <v>13.90940099697</v>
      </c>
      <c r="EP15">
        <f>IF(AND(ISNUMBER(EO15),逐级计算!$X$145&gt;-1),IF(逐级计算!$X$145=0,EO15+逐级计算!$C$145,EO15+逐级计算!$C$145-(10/(逐级计算!$Q$145*LN(10))*(MAX((LN(10^(逐级计算!$Q$145/10)-1)+逐级计算!$Q$145*(EO15-逐级计算!$P$145)*LN(10)/10),0)+LN(1+EXP(-ABS((LN(10^(逐级计算!$Q$145/10)-1)+逐级计算!$Q$145*(EO15-逐级计算!$P$145)*LN(10)/10))))))),"")</f>
        <v>13.90940099697</v>
      </c>
      <c r="EQ15">
        <f>IF(AND(ISNUMBER(EP15),逐级计算!$X$146&gt;-1),IF(逐级计算!$X$146=0,EP15+逐级计算!$C$146,EP15+逐级计算!$C$146-(10/(逐级计算!$Q$146*LN(10))*(MAX((LN(10^(逐级计算!$Q$146/10)-1)+逐级计算!$Q$146*(EP15-逐级计算!$P$146)*LN(10)/10),0)+LN(1+EXP(-ABS((LN(10^(逐级计算!$Q$146/10)-1)+逐级计算!$Q$146*(EP15-逐级计算!$P$146)*LN(10)/10))))))),"")</f>
        <v>13.90940099697</v>
      </c>
      <c r="ER15">
        <f>IF(AND(ISNUMBER(EQ15),逐级计算!$X$147&gt;-1),IF(逐级计算!$X$147=0,EQ15+逐级计算!$C$147,EQ15+逐级计算!$C$147-(10/(逐级计算!$Q$147*LN(10))*(MAX((LN(10^(逐级计算!$Q$147/10)-1)+逐级计算!$Q$147*(EQ15-逐级计算!$P$147)*LN(10)/10),0)+LN(1+EXP(-ABS((LN(10^(逐级计算!$Q$147/10)-1)+逐级计算!$Q$147*(EQ15-逐级计算!$P$147)*LN(10)/10))))))),"")</f>
        <v>13.90940099697</v>
      </c>
      <c r="ES15">
        <f>IF(AND(ISNUMBER(ER15),逐级计算!$X$148&gt;-1),IF(逐级计算!$X$148=0,ER15+逐级计算!$C$148,ER15+逐级计算!$C$148-(10/(逐级计算!$Q$148*LN(10))*(MAX((LN(10^(逐级计算!$Q$148/10)-1)+逐级计算!$Q$148*(ER15-逐级计算!$P$148)*LN(10)/10),0)+LN(1+EXP(-ABS((LN(10^(逐级计算!$Q$148/10)-1)+逐级计算!$Q$148*(ER15-逐级计算!$P$148)*LN(10)/10))))))),"")</f>
        <v>13.90940099697</v>
      </c>
      <c r="ET15">
        <f>IF(AND(ISNUMBER(ES15),逐级计算!$X$149&gt;-1),IF(逐级计算!$X$149=0,ES15+逐级计算!$C$149,ES15+逐级计算!$C$149-(10/(逐级计算!$Q$149*LN(10))*(MAX((LN(10^(逐级计算!$Q$149/10)-1)+逐级计算!$Q$149*(ES15-逐级计算!$P$149)*LN(10)/10),0)+LN(1+EXP(-ABS((LN(10^(逐级计算!$Q$149/10)-1)+逐级计算!$Q$149*(ES15-逐级计算!$P$149)*LN(10)/10))))))),"")</f>
        <v>13.90940099697</v>
      </c>
      <c r="EU15">
        <f>IF(AND(ISNUMBER(ET15),逐级计算!$X$150&gt;-1),IF(逐级计算!$X$150=0,ET15+逐级计算!$C$150,ET15+逐级计算!$C$150-(10/(逐级计算!$Q$150*LN(10))*(MAX((LN(10^(逐级计算!$Q$150/10)-1)+逐级计算!$Q$150*(ET15-逐级计算!$P$150)*LN(10)/10),0)+LN(1+EXP(-ABS((LN(10^(逐级计算!$Q$150/10)-1)+逐级计算!$Q$150*(ET15-逐级计算!$P$150)*LN(10)/10))))))),"")</f>
        <v>13.90940099697</v>
      </c>
      <c r="EV15">
        <f>IF(AND(ISNUMBER(EU15),逐级计算!$X$151&gt;-1),IF(逐级计算!$X$151=0,EU15+逐级计算!$C$151,EU15+逐级计算!$C$151-(10/(逐级计算!$Q$151*LN(10))*(MAX((LN(10^(逐级计算!$Q$151/10)-1)+逐级计算!$Q$151*(EU15-逐级计算!$P$151)*LN(10)/10),0)+LN(1+EXP(-ABS((LN(10^(逐级计算!$Q$151/10)-1)+逐级计算!$Q$151*(EU15-逐级计算!$P$151)*LN(10)/10))))))),"")</f>
        <v>13.90940099697</v>
      </c>
      <c r="EW15">
        <f>IF(AND(ISNUMBER(EV15),逐级计算!$X$152&gt;-1),IF(逐级计算!$X$152=0,EV15+逐级计算!$C$152,EV15+逐级计算!$C$152-(10/(逐级计算!$Q$152*LN(10))*(MAX((LN(10^(逐级计算!$Q$152/10)-1)+逐级计算!$Q$152*(EV15-逐级计算!$P$152)*LN(10)/10),0)+LN(1+EXP(-ABS((LN(10^(逐级计算!$Q$152/10)-1)+逐级计算!$Q$152*(EV15-逐级计算!$P$152)*LN(10)/10))))))),"")</f>
        <v>13.90940099697</v>
      </c>
      <c r="EX15">
        <f>IF(AND(ISNUMBER(EW15),逐级计算!$X$153&gt;-1),IF(逐级计算!$X$153=0,EW15+逐级计算!$C$153,EW15+逐级计算!$C$153-(10/(逐级计算!$Q$153*LN(10))*(MAX((LN(10^(逐级计算!$Q$153/10)-1)+逐级计算!$Q$153*(EW15-逐级计算!$P$153)*LN(10)/10),0)+LN(1+EXP(-ABS((LN(10^(逐级计算!$Q$153/10)-1)+逐级计算!$Q$153*(EW15-逐级计算!$P$153)*LN(10)/10))))))),"")</f>
        <v>13.90940099697</v>
      </c>
      <c r="EY15">
        <f>IF(AND(ISNUMBER(EX15),逐级计算!$X$154&gt;-1),IF(逐级计算!$X$154=0,EX15+逐级计算!$C$154,EX15+逐级计算!$C$154-(10/(逐级计算!$Q$154*LN(10))*(MAX((LN(10^(逐级计算!$Q$154/10)-1)+逐级计算!$Q$154*(EX15-逐级计算!$P$154)*LN(10)/10),0)+LN(1+EXP(-ABS((LN(10^(逐级计算!$Q$154/10)-1)+逐级计算!$Q$154*(EX15-逐级计算!$P$154)*LN(10)/10))))))),"")</f>
        <v>13.90940099697</v>
      </c>
      <c r="EZ15">
        <f>IF(AND(ISNUMBER(EY15),逐级计算!$X$155&gt;-1),IF(逐级计算!$X$155=0,EY15+逐级计算!$C$155,EY15+逐级计算!$C$155-(10/(逐级计算!$Q$155*LN(10))*(MAX((LN(10^(逐级计算!$Q$155/10)-1)+逐级计算!$Q$155*(EY15-逐级计算!$P$155)*LN(10)/10),0)+LN(1+EXP(-ABS((LN(10^(逐级计算!$Q$155/10)-1)+逐级计算!$Q$155*(EY15-逐级计算!$P$155)*LN(10)/10))))))),"")</f>
        <v>13.90940099697</v>
      </c>
      <c r="FA15">
        <f>IF(AND(ISNUMBER(EZ15),逐级计算!$X$156&gt;-1),IF(逐级计算!$X$156=0,EZ15+逐级计算!$C$156,EZ15+逐级计算!$C$156-(10/(逐级计算!$Q$156*LN(10))*(MAX((LN(10^(逐级计算!$Q$156/10)-1)+逐级计算!$Q$156*(EZ15-逐级计算!$P$156)*LN(10)/10),0)+LN(1+EXP(-ABS((LN(10^(逐级计算!$Q$156/10)-1)+逐级计算!$Q$156*(EZ15-逐级计算!$P$156)*LN(10)/10))))))),"")</f>
        <v>13.90940099697</v>
      </c>
      <c r="FB15">
        <f>IF(AND(ISNUMBER(FA15),逐级计算!$X$157&gt;-1),IF(逐级计算!$X$157=0,FA15+逐级计算!$C$157,FA15+逐级计算!$C$157-(10/(逐级计算!$Q$157*LN(10))*(MAX((LN(10^(逐级计算!$Q$157/10)-1)+逐级计算!$Q$157*(FA15-逐级计算!$P$157)*LN(10)/10),0)+LN(1+EXP(-ABS((LN(10^(逐级计算!$Q$157/10)-1)+逐级计算!$Q$157*(FA15-逐级计算!$P$157)*LN(10)/10))))))),"")</f>
        <v>13.90940099697</v>
      </c>
      <c r="FC15">
        <f>IF(AND(ISNUMBER(FB15),逐级计算!$X$158&gt;-1),IF(逐级计算!$X$158=0,FB15+逐级计算!$C$158,FB15+逐级计算!$C$158-(10/(逐级计算!$Q$158*LN(10))*(MAX((LN(10^(逐级计算!$Q$158/10)-1)+逐级计算!$Q$158*(FB15-逐级计算!$P$158)*LN(10)/10),0)+LN(1+EXP(-ABS((LN(10^(逐级计算!$Q$158/10)-1)+逐级计算!$Q$158*(FB15-逐级计算!$P$158)*LN(10)/10))))))),"")</f>
        <v>13.90940099697</v>
      </c>
      <c r="FD15">
        <f>IF(AND(ISNUMBER(FC15),逐级计算!$X$159&gt;-1),IF(逐级计算!$X$159=0,FC15+逐级计算!$C$159,FC15+逐级计算!$C$159-(10/(逐级计算!$Q$159*LN(10))*(MAX((LN(10^(逐级计算!$Q$159/10)-1)+逐级计算!$Q$159*(FC15-逐级计算!$P$159)*LN(10)/10),0)+LN(1+EXP(-ABS((LN(10^(逐级计算!$Q$159/10)-1)+逐级计算!$Q$159*(FC15-逐级计算!$P$159)*LN(10)/10))))))),"")</f>
        <v>13.90940099697</v>
      </c>
      <c r="FE15">
        <f>IF(AND(ISNUMBER(FD15),逐级计算!$X$160&gt;-1),IF(逐级计算!$X$160=0,FD15+逐级计算!$C$160,FD15+逐级计算!$C$160-(10/(逐级计算!$Q$160*LN(10))*(MAX((LN(10^(逐级计算!$Q$160/10)-1)+逐级计算!$Q$160*(FD15-逐级计算!$P$160)*LN(10)/10),0)+LN(1+EXP(-ABS((LN(10^(逐级计算!$Q$160/10)-1)+逐级计算!$Q$160*(FD15-逐级计算!$P$160)*LN(10)/10))))))),"")</f>
        <v>13.90940099697</v>
      </c>
      <c r="FF15">
        <f>IF(AND(ISNUMBER(FE15),逐级计算!$X$161&gt;-1),IF(逐级计算!$X$161=0,FE15+逐级计算!$C$161,FE15+逐级计算!$C$161-(10/(逐级计算!$Q$161*LN(10))*(MAX((LN(10^(逐级计算!$Q$161/10)-1)+逐级计算!$Q$161*(FE15-逐级计算!$P$161)*LN(10)/10),0)+LN(1+EXP(-ABS((LN(10^(逐级计算!$Q$161/10)-1)+逐级计算!$Q$161*(FE15-逐级计算!$P$161)*LN(10)/10))))))),"")</f>
        <v>13.90940099697</v>
      </c>
      <c r="FG15">
        <f>IF(AND(ISNUMBER(FF15),逐级计算!$X$162&gt;-1),IF(逐级计算!$X$162=0,FF15+逐级计算!$C$162,FF15+逐级计算!$C$162-(10/(逐级计算!$Q$162*LN(10))*(MAX((LN(10^(逐级计算!$Q$162/10)-1)+逐级计算!$Q$162*(FF15-逐级计算!$P$162)*LN(10)/10),0)+LN(1+EXP(-ABS((LN(10^(逐级计算!$Q$162/10)-1)+逐级计算!$Q$162*(FF15-逐级计算!$P$162)*LN(10)/10))))))),"")</f>
        <v>13.90940099697</v>
      </c>
      <c r="FH15">
        <f>IF(AND(ISNUMBER(FG15),逐级计算!$X$163&gt;-1),IF(逐级计算!$X$163=0,FG15+逐级计算!$C$163,FG15+逐级计算!$C$163-(10/(逐级计算!$Q$163*LN(10))*(MAX((LN(10^(逐级计算!$Q$163/10)-1)+逐级计算!$Q$163*(FG15-逐级计算!$P$163)*LN(10)/10),0)+LN(1+EXP(-ABS((LN(10^(逐级计算!$Q$163/10)-1)+逐级计算!$Q$163*(FG15-逐级计算!$P$163)*LN(10)/10))))))),"")</f>
        <v>13.90940099697</v>
      </c>
      <c r="FI15">
        <f>IF(AND(ISNUMBER(FH15),逐级计算!$X$164&gt;-1),IF(逐级计算!$X$164=0,FH15+逐级计算!$C$164,FH15+逐级计算!$C$164-(10/(逐级计算!$Q$164*LN(10))*(MAX((LN(10^(逐级计算!$Q$164/10)-1)+逐级计算!$Q$164*(FH15-逐级计算!$P$164)*LN(10)/10),0)+LN(1+EXP(-ABS((LN(10^(逐级计算!$Q$164/10)-1)+逐级计算!$Q$164*(FH15-逐级计算!$P$164)*LN(10)/10))))))),"")</f>
        <v>13.90940099697</v>
      </c>
      <c r="FJ15">
        <f>IF(AND(ISNUMBER(FI15),逐级计算!$X$165&gt;-1),IF(逐级计算!$X$165=0,FI15+逐级计算!$C$165,FI15+逐级计算!$C$165-(10/(逐级计算!$Q$165*LN(10))*(MAX((LN(10^(逐级计算!$Q$165/10)-1)+逐级计算!$Q$165*(FI15-逐级计算!$P$165)*LN(10)/10),0)+LN(1+EXP(-ABS((LN(10^(逐级计算!$Q$165/10)-1)+逐级计算!$Q$165*(FI15-逐级计算!$P$165)*LN(10)/10))))))),"")</f>
        <v>13.90940099697</v>
      </c>
      <c r="FK15">
        <f>IF(AND(ISNUMBER(FJ15),逐级计算!$X$166&gt;-1),IF(逐级计算!$X$166=0,FJ15+逐级计算!$C$166,FJ15+逐级计算!$C$166-(10/(逐级计算!$Q$166*LN(10))*(MAX((LN(10^(逐级计算!$Q$166/10)-1)+逐级计算!$Q$166*(FJ15-逐级计算!$P$166)*LN(10)/10),0)+LN(1+EXP(-ABS((LN(10^(逐级计算!$Q$166/10)-1)+逐级计算!$Q$166*(FJ15-逐级计算!$P$166)*LN(10)/10))))))),"")</f>
        <v>13.90940099697</v>
      </c>
      <c r="FL15">
        <f>IF(AND(ISNUMBER(FK15),逐级计算!$X$167&gt;-1),IF(逐级计算!$X$167=0,FK15+逐级计算!$C$167,FK15+逐级计算!$C$167-(10/(逐级计算!$Q$167*LN(10))*(MAX((LN(10^(逐级计算!$Q$167/10)-1)+逐级计算!$Q$167*(FK15-逐级计算!$P$167)*LN(10)/10),0)+LN(1+EXP(-ABS((LN(10^(逐级计算!$Q$167/10)-1)+逐级计算!$Q$167*(FK15-逐级计算!$P$167)*LN(10)/10))))))),"")</f>
        <v>13.90940099697</v>
      </c>
      <c r="FM15">
        <f>IF(AND(ISNUMBER(FL15),逐级计算!$X$168&gt;-1),IF(逐级计算!$X$168=0,FL15+逐级计算!$C$168,FL15+逐级计算!$C$168-(10/(逐级计算!$Q$168*LN(10))*(MAX((LN(10^(逐级计算!$Q$168/10)-1)+逐级计算!$Q$168*(FL15-逐级计算!$P$168)*LN(10)/10),0)+LN(1+EXP(-ABS((LN(10^(逐级计算!$Q$168/10)-1)+逐级计算!$Q$168*(FL15-逐级计算!$P$168)*LN(10)/10))))))),"")</f>
        <v>13.90940099697</v>
      </c>
      <c r="FN15">
        <f>IF(AND(ISNUMBER(FM15),逐级计算!$X$169&gt;-1),IF(逐级计算!$X$169=0,FM15+逐级计算!$C$169,FM15+逐级计算!$C$169-(10/(逐级计算!$Q$169*LN(10))*(MAX((LN(10^(逐级计算!$Q$169/10)-1)+逐级计算!$Q$169*(FM15-逐级计算!$P$169)*LN(10)/10),0)+LN(1+EXP(-ABS((LN(10^(逐级计算!$Q$169/10)-1)+逐级计算!$Q$169*(FM15-逐级计算!$P$169)*LN(10)/10))))))),"")</f>
        <v>13.90940099697</v>
      </c>
      <c r="FO15">
        <f>IF(AND(ISNUMBER(FN15),逐级计算!$X$170&gt;-1),IF(逐级计算!$X$170=0,FN15+逐级计算!$C$170,FN15+逐级计算!$C$170-(10/(逐级计算!$Q$170*LN(10))*(MAX((LN(10^(逐级计算!$Q$170/10)-1)+逐级计算!$Q$170*(FN15-逐级计算!$P$170)*LN(10)/10),0)+LN(1+EXP(-ABS((LN(10^(逐级计算!$Q$170/10)-1)+逐级计算!$Q$170*(FN15-逐级计算!$P$170)*LN(10)/10))))))),"")</f>
        <v>13.90940099697</v>
      </c>
      <c r="FP15">
        <f>IF(AND(ISNUMBER(FO15),逐级计算!$X$171&gt;-1),IF(逐级计算!$X$171=0,FO15+逐级计算!$C$171,FO15+逐级计算!$C$171-(10/(逐级计算!$Q$171*LN(10))*(MAX((LN(10^(逐级计算!$Q$171/10)-1)+逐级计算!$Q$171*(FO15-逐级计算!$P$171)*LN(10)/10),0)+LN(1+EXP(-ABS((LN(10^(逐级计算!$Q$171/10)-1)+逐级计算!$Q$171*(FO15-逐级计算!$P$171)*LN(10)/10))))))),"")</f>
        <v>13.90940099697</v>
      </c>
      <c r="FQ15">
        <f>IF(AND(ISNUMBER(FP15),逐级计算!$X$172&gt;-1),IF(逐级计算!$X$172=0,FP15+逐级计算!$C$172,FP15+逐级计算!$C$172-(10/(逐级计算!$Q$172*LN(10))*(MAX((LN(10^(逐级计算!$Q$172/10)-1)+逐级计算!$Q$172*(FP15-逐级计算!$P$172)*LN(10)/10),0)+LN(1+EXP(-ABS((LN(10^(逐级计算!$Q$172/10)-1)+逐级计算!$Q$172*(FP15-逐级计算!$P$172)*LN(10)/10))))))),"")</f>
        <v>13.90940099697</v>
      </c>
      <c r="FR15">
        <f>IF(AND(ISNUMBER(FQ15),逐级计算!$X$173&gt;-1),IF(逐级计算!$X$173=0,FQ15+逐级计算!$C$173,FQ15+逐级计算!$C$173-(10/(逐级计算!$Q$173*LN(10))*(MAX((LN(10^(逐级计算!$Q$173/10)-1)+逐级计算!$Q$173*(FQ15-逐级计算!$P$173)*LN(10)/10),0)+LN(1+EXP(-ABS((LN(10^(逐级计算!$Q$173/10)-1)+逐级计算!$Q$173*(FQ15-逐级计算!$P$173)*LN(10)/10))))))),"")</f>
        <v>13.90940099697</v>
      </c>
      <c r="FS15">
        <f>IF(AND(ISNUMBER(FR15),逐级计算!$X$174&gt;-1),IF(逐级计算!$X$174=0,FR15+逐级计算!$C$174,FR15+逐级计算!$C$174-(10/(逐级计算!$Q$174*LN(10))*(MAX((LN(10^(逐级计算!$Q$174/10)-1)+逐级计算!$Q$174*(FR15-逐级计算!$P$174)*LN(10)/10),0)+LN(1+EXP(-ABS((LN(10^(逐级计算!$Q$174/10)-1)+逐级计算!$Q$174*(FR15-逐级计算!$P$174)*LN(10)/10))))))),"")</f>
        <v>13.90940099697</v>
      </c>
      <c r="FT15">
        <f>IF(AND(ISNUMBER(FS15),逐级计算!$X$175&gt;-1),IF(逐级计算!$X$175=0,FS15+逐级计算!$C$175,FS15+逐级计算!$C$175-(10/(逐级计算!$Q$175*LN(10))*(MAX((LN(10^(逐级计算!$Q$175/10)-1)+逐级计算!$Q$175*(FS15-逐级计算!$P$175)*LN(10)/10),0)+LN(1+EXP(-ABS((LN(10^(逐级计算!$Q$175/10)-1)+逐级计算!$Q$175*(FS15-逐级计算!$P$175)*LN(10)/10))))))),"")</f>
        <v>13.90940099697</v>
      </c>
      <c r="FU15">
        <f>IF(AND(ISNUMBER(FT15),逐级计算!$X$176&gt;-1),IF(逐级计算!$X$176=0,FT15+逐级计算!$C$176,FT15+逐级计算!$C$176-(10/(逐级计算!$Q$176*LN(10))*(MAX((LN(10^(逐级计算!$Q$176/10)-1)+逐级计算!$Q$176*(FT15-逐级计算!$P$176)*LN(10)/10),0)+LN(1+EXP(-ABS((LN(10^(逐级计算!$Q$176/10)-1)+逐级计算!$Q$176*(FT15-逐级计算!$P$176)*LN(10)/10))))))),"")</f>
        <v>13.90940099697</v>
      </c>
      <c r="FV15">
        <f>IF(AND(ISNUMBER(FU15),逐级计算!$X$177&gt;-1),IF(逐级计算!$X$177=0,FU15+逐级计算!$C$177,FU15+逐级计算!$C$177-(10/(逐级计算!$Q$177*LN(10))*(MAX((LN(10^(逐级计算!$Q$177/10)-1)+逐级计算!$Q$177*(FU15-逐级计算!$P$177)*LN(10)/10),0)+LN(1+EXP(-ABS((LN(10^(逐级计算!$Q$177/10)-1)+逐级计算!$Q$177*(FU15-逐级计算!$P$177)*LN(10)/10))))))),"")</f>
        <v>13.90940099697</v>
      </c>
      <c r="FW15">
        <f>IF(AND(ISNUMBER(FV15),逐级计算!$X$178&gt;-1),IF(逐级计算!$X$178=0,FV15+逐级计算!$C$178,FV15+逐级计算!$C$178-(10/(逐级计算!$Q$178*LN(10))*(MAX((LN(10^(逐级计算!$Q$178/10)-1)+逐级计算!$Q$178*(FV15-逐级计算!$P$178)*LN(10)/10),0)+LN(1+EXP(-ABS((LN(10^(逐级计算!$Q$178/10)-1)+逐级计算!$Q$178*(FV15-逐级计算!$P$178)*LN(10)/10))))))),"")</f>
        <v>13.90940099697</v>
      </c>
      <c r="FX15">
        <f>IF(AND(ISNUMBER(FW15),逐级计算!$X$179&gt;-1),IF(逐级计算!$X$179=0,FW15+逐级计算!$C$179,FW15+逐级计算!$C$179-(10/(逐级计算!$Q$179*LN(10))*(MAX((LN(10^(逐级计算!$Q$179/10)-1)+逐级计算!$Q$179*(FW15-逐级计算!$P$179)*LN(10)/10),0)+LN(1+EXP(-ABS((LN(10^(逐级计算!$Q$179/10)-1)+逐级计算!$Q$179*(FW15-逐级计算!$P$179)*LN(10)/10))))))),"")</f>
        <v>13.90940099697</v>
      </c>
      <c r="FY15">
        <f>IF(AND(ISNUMBER(FX15),逐级计算!$X$180&gt;-1),IF(逐级计算!$X$180=0,FX15+逐级计算!$C$180,FX15+逐级计算!$C$180-(10/(逐级计算!$Q$180*LN(10))*(MAX((LN(10^(逐级计算!$Q$180/10)-1)+逐级计算!$Q$180*(FX15-逐级计算!$P$180)*LN(10)/10),0)+LN(1+EXP(-ABS((LN(10^(逐级计算!$Q$180/10)-1)+逐级计算!$Q$180*(FX15-逐级计算!$P$180)*LN(10)/10))))))),"")</f>
        <v>13.90940099697</v>
      </c>
      <c r="FZ15">
        <f>IF(AND(ISNUMBER(FY15),逐级计算!$X$181&gt;-1),IF(逐级计算!$X$181=0,FY15+逐级计算!$C$181,FY15+逐级计算!$C$181-(10/(逐级计算!$Q$181*LN(10))*(MAX((LN(10^(逐级计算!$Q$181/10)-1)+逐级计算!$Q$181*(FY15-逐级计算!$P$181)*LN(10)/10),0)+LN(1+EXP(-ABS((LN(10^(逐级计算!$Q$181/10)-1)+逐级计算!$Q$181*(FY15-逐级计算!$P$181)*LN(10)/10))))))),"")</f>
        <v>13.90940099697</v>
      </c>
      <c r="GA15">
        <f>IF(AND(ISNUMBER(FZ15),逐级计算!$X$182&gt;-1),IF(逐级计算!$X$182=0,FZ15+逐级计算!$C$182,FZ15+逐级计算!$C$182-(10/(逐级计算!$Q$182*LN(10))*(MAX((LN(10^(逐级计算!$Q$182/10)-1)+逐级计算!$Q$182*(FZ15-逐级计算!$P$182)*LN(10)/10),0)+LN(1+EXP(-ABS((LN(10^(逐级计算!$Q$182/10)-1)+逐级计算!$Q$182*(FZ15-逐级计算!$P$182)*LN(10)/10))))))),"")</f>
        <v>13.90940099697</v>
      </c>
      <c r="GB15">
        <f>IF(AND(ISNUMBER(GA15),逐级计算!$X$183&gt;-1),IF(逐级计算!$X$183=0,GA15+逐级计算!$C$183,GA15+逐级计算!$C$183-(10/(逐级计算!$Q$183*LN(10))*(MAX((LN(10^(逐级计算!$Q$183/10)-1)+逐级计算!$Q$183*(GA15-逐级计算!$P$183)*LN(10)/10),0)+LN(1+EXP(-ABS((LN(10^(逐级计算!$Q$183/10)-1)+逐级计算!$Q$183*(GA15-逐级计算!$P$183)*LN(10)/10))))))),"")</f>
        <v>13.90940099697</v>
      </c>
      <c r="GC15">
        <f>IF(AND(ISNUMBER(GB15),逐级计算!$X$184&gt;-1),IF(逐级计算!$X$184=0,GB15+逐级计算!$C$184,GB15+逐级计算!$C$184-(10/(逐级计算!$Q$184*LN(10))*(MAX((LN(10^(逐级计算!$Q$184/10)-1)+逐级计算!$Q$184*(GB15-逐级计算!$P$184)*LN(10)/10),0)+LN(1+EXP(-ABS((LN(10^(逐级计算!$Q$184/10)-1)+逐级计算!$Q$184*(GB15-逐级计算!$P$184)*LN(10)/10))))))),"")</f>
        <v>13.90940099697</v>
      </c>
      <c r="GD15">
        <f>IF(AND(ISNUMBER(GC15),逐级计算!$X$185&gt;-1),IF(逐级计算!$X$185=0,GC15+逐级计算!$C$185,GC15+逐级计算!$C$185-(10/(逐级计算!$Q$185*LN(10))*(MAX((LN(10^(逐级计算!$Q$185/10)-1)+逐级计算!$Q$185*(GC15-逐级计算!$P$185)*LN(10)/10),0)+LN(1+EXP(-ABS((LN(10^(逐级计算!$Q$185/10)-1)+逐级计算!$Q$185*(GC15-逐级计算!$P$185)*LN(10)/10))))))),"")</f>
        <v>13.90940099697</v>
      </c>
      <c r="GE15">
        <f>IF(AND(ISNUMBER(GD15),逐级计算!$X$186&gt;-1),IF(逐级计算!$X$186=0,GD15+逐级计算!$C$186,GD15+逐级计算!$C$186-(10/(逐级计算!$Q$186*LN(10))*(MAX((LN(10^(逐级计算!$Q$186/10)-1)+逐级计算!$Q$186*(GD15-逐级计算!$P$186)*LN(10)/10),0)+LN(1+EXP(-ABS((LN(10^(逐级计算!$Q$186/10)-1)+逐级计算!$Q$186*(GD15-逐级计算!$P$186)*LN(10)/10))))))),"")</f>
        <v>13.90940099697</v>
      </c>
      <c r="GF15">
        <f>IF(AND(ISNUMBER(GE15),逐级计算!$X$187&gt;-1),IF(逐级计算!$X$187=0,GE15+逐级计算!$C$187,GE15+逐级计算!$C$187-(10/(逐级计算!$Q$187*LN(10))*(MAX((LN(10^(逐级计算!$Q$187/10)-1)+逐级计算!$Q$187*(GE15-逐级计算!$P$187)*LN(10)/10),0)+LN(1+EXP(-ABS((LN(10^(逐级计算!$Q$187/10)-1)+逐级计算!$Q$187*(GE15-逐级计算!$P$187)*LN(10)/10))))))),"")</f>
        <v>13.90940099697</v>
      </c>
      <c r="GG15">
        <f>IF(AND(ISNUMBER(GF15),逐级计算!$X$188&gt;-1),IF(逐级计算!$X$188=0,GF15+逐级计算!$C$188,GF15+逐级计算!$C$188-(10/(逐级计算!$Q$188*LN(10))*(MAX((LN(10^(逐级计算!$Q$188/10)-1)+逐级计算!$Q$188*(GF15-逐级计算!$P$188)*LN(10)/10),0)+LN(1+EXP(-ABS((LN(10^(逐级计算!$Q$188/10)-1)+逐级计算!$Q$188*(GF15-逐级计算!$P$188)*LN(10)/10))))))),"")</f>
        <v>13.90940099697</v>
      </c>
      <c r="GH15">
        <f>IF(AND(ISNUMBER(GG15),逐级计算!$X$189&gt;-1),IF(逐级计算!$X$189=0,GG15+逐级计算!$C$189,GG15+逐级计算!$C$189-(10/(逐级计算!$Q$189*LN(10))*(MAX((LN(10^(逐级计算!$Q$189/10)-1)+逐级计算!$Q$189*(GG15-逐级计算!$P$189)*LN(10)/10),0)+LN(1+EXP(-ABS((LN(10^(逐级计算!$Q$189/10)-1)+逐级计算!$Q$189*(GG15-逐级计算!$P$189)*LN(10)/10))))))),"")</f>
        <v>13.90940099697</v>
      </c>
      <c r="GI15">
        <f>IF(AND(ISNUMBER(GH15),逐级计算!$X$190&gt;-1),IF(逐级计算!$X$190=0,GH15+逐级计算!$C$190,GH15+逐级计算!$C$190-(10/(逐级计算!$Q$190*LN(10))*(MAX((LN(10^(逐级计算!$Q$190/10)-1)+逐级计算!$Q$190*(GH15-逐级计算!$P$190)*LN(10)/10),0)+LN(1+EXP(-ABS((LN(10^(逐级计算!$Q$190/10)-1)+逐级计算!$Q$190*(GH15-逐级计算!$P$190)*LN(10)/10))))))),"")</f>
        <v>13.90940099697</v>
      </c>
      <c r="GJ15">
        <f>IF(AND(ISNUMBER(GI15),逐级计算!$X$191&gt;-1),IF(逐级计算!$X$191=0,GI15+逐级计算!$C$191,GI15+逐级计算!$C$191-(10/(逐级计算!$Q$191*LN(10))*(MAX((LN(10^(逐级计算!$Q$191/10)-1)+逐级计算!$Q$191*(GI15-逐级计算!$P$191)*LN(10)/10),0)+LN(1+EXP(-ABS((LN(10^(逐级计算!$Q$191/10)-1)+逐级计算!$Q$191*(GI15-逐级计算!$P$191)*LN(10)/10))))))),"")</f>
        <v>13.90940099697</v>
      </c>
      <c r="GK15">
        <f>IF(AND(ISNUMBER(GJ15),逐级计算!$X$192&gt;-1),IF(逐级计算!$X$192=0,GJ15+逐级计算!$C$192,GJ15+逐级计算!$C$192-(10/(逐级计算!$Q$192*LN(10))*(MAX((LN(10^(逐级计算!$Q$192/10)-1)+逐级计算!$Q$192*(GJ15-逐级计算!$P$192)*LN(10)/10),0)+LN(1+EXP(-ABS((LN(10^(逐级计算!$Q$192/10)-1)+逐级计算!$Q$192*(GJ15-逐级计算!$P$192)*LN(10)/10))))))),"")</f>
        <v>13.90940099697</v>
      </c>
      <c r="GL15">
        <f>IF(AND(ISNUMBER(GK15),逐级计算!$X$193&gt;-1),IF(逐级计算!$X$193=0,GK15+逐级计算!$C$193,GK15+逐级计算!$C$193-(10/(逐级计算!$Q$193*LN(10))*(MAX((LN(10^(逐级计算!$Q$193/10)-1)+逐级计算!$Q$193*(GK15-逐级计算!$P$193)*LN(10)/10),0)+LN(1+EXP(-ABS((LN(10^(逐级计算!$Q$193/10)-1)+逐级计算!$Q$193*(GK15-逐级计算!$P$193)*LN(10)/10))))))),"")</f>
        <v>13.90940099697</v>
      </c>
      <c r="GM15">
        <f>IF(AND(ISNUMBER(GL15),逐级计算!$X$194&gt;-1),IF(逐级计算!$X$194=0,GL15+逐级计算!$C$194,GL15+逐级计算!$C$194-(10/(逐级计算!$Q$194*LN(10))*(MAX((LN(10^(逐级计算!$Q$194/10)-1)+逐级计算!$Q$194*(GL15-逐级计算!$P$194)*LN(10)/10),0)+LN(1+EXP(-ABS((LN(10^(逐级计算!$Q$194/10)-1)+逐级计算!$Q$194*(GL15-逐级计算!$P$194)*LN(10)/10))))))),"")</f>
        <v>13.90940099697</v>
      </c>
      <c r="GN15">
        <f>IF(AND(ISNUMBER(GM15),逐级计算!$X$195&gt;-1),IF(逐级计算!$X$195=0,GM15+逐级计算!$C$195,GM15+逐级计算!$C$195-(10/(逐级计算!$Q$195*LN(10))*(MAX((LN(10^(逐级计算!$Q$195/10)-1)+逐级计算!$Q$195*(GM15-逐级计算!$P$195)*LN(10)/10),0)+LN(1+EXP(-ABS((LN(10^(逐级计算!$Q$195/10)-1)+逐级计算!$Q$195*(GM15-逐级计算!$P$195)*LN(10)/10))))))),"")</f>
        <v>13.90940099697</v>
      </c>
      <c r="GO15">
        <f>IF(AND(ISNUMBER(GN15),逐级计算!$X$196&gt;-1),IF(逐级计算!$X$196=0,GN15+逐级计算!$C$196,GN15+逐级计算!$C$196-(10/(逐级计算!$Q$196*LN(10))*(MAX((LN(10^(逐级计算!$Q$196/10)-1)+逐级计算!$Q$196*(GN15-逐级计算!$P$196)*LN(10)/10),0)+LN(1+EXP(-ABS((LN(10^(逐级计算!$Q$196/10)-1)+逐级计算!$Q$196*(GN15-逐级计算!$P$196)*LN(10)/10))))))),"")</f>
        <v>13.90940099697</v>
      </c>
      <c r="GP15">
        <f>IF(AND(ISNUMBER(GO15),逐级计算!$X$197&gt;-1),IF(逐级计算!$X$197=0,GO15+逐级计算!$C$197,GO15+逐级计算!$C$197-(10/(逐级计算!$Q$197*LN(10))*(MAX((LN(10^(逐级计算!$Q$197/10)-1)+逐级计算!$Q$197*(GO15-逐级计算!$P$197)*LN(10)/10),0)+LN(1+EXP(-ABS((LN(10^(逐级计算!$Q$197/10)-1)+逐级计算!$Q$197*(GO15-逐级计算!$P$197)*LN(10)/10))))))),"")</f>
        <v>13.90940099697</v>
      </c>
      <c r="GQ15">
        <f>IF(AND(ISNUMBER(GP15),逐级计算!$X$198&gt;-1),IF(逐级计算!$X$198=0,GP15+逐级计算!$C$198,GP15+逐级计算!$C$198-(10/(逐级计算!$Q$198*LN(10))*(MAX((LN(10^(逐级计算!$Q$198/10)-1)+逐级计算!$Q$198*(GP15-逐级计算!$P$198)*LN(10)/10),0)+LN(1+EXP(-ABS((LN(10^(逐级计算!$Q$198/10)-1)+逐级计算!$Q$198*(GP15-逐级计算!$P$198)*LN(10)/10))))))),"")</f>
        <v>13.90940099697</v>
      </c>
      <c r="GR15">
        <f>IF(AND(ISNUMBER(GQ15),逐级计算!$X$199&gt;-1),IF(逐级计算!$X$199=0,GQ15+逐级计算!$C$199,GQ15+逐级计算!$C$199-(10/(逐级计算!$Q$199*LN(10))*(MAX((LN(10^(逐级计算!$Q$199/10)-1)+逐级计算!$Q$199*(GQ15-逐级计算!$P$199)*LN(10)/10),0)+LN(1+EXP(-ABS((LN(10^(逐级计算!$Q$199/10)-1)+逐级计算!$Q$199*(GQ15-逐级计算!$P$199)*LN(10)/10))))))),"")</f>
        <v>13.90940099697</v>
      </c>
      <c r="GS15">
        <f>IF(AND(ISNUMBER(GR15),逐级计算!$X$200&gt;-1),IF(逐级计算!$X$200=0,GR15+逐级计算!$C$200,GR15+逐级计算!$C$200-(10/(逐级计算!$Q$200*LN(10))*(MAX((LN(10^(逐级计算!$Q$200/10)-1)+逐级计算!$Q$200*(GR15-逐级计算!$P$200)*LN(10)/10),0)+LN(1+EXP(-ABS((LN(10^(逐级计算!$Q$200/10)-1)+逐级计算!$Q$200*(GR15-逐级计算!$P$200)*LN(10)/10))))))),"")</f>
        <v>13.90940099697</v>
      </c>
      <c r="GT15">
        <f>IF(AND(ISNUMBER(GS15),逐级计算!$X$201&gt;-1),IF(逐级计算!$X$201=0,GS15+逐级计算!$C$201,GS15+逐级计算!$C$201-(10/(逐级计算!$Q$201*LN(10))*(MAX((LN(10^(逐级计算!$Q$201/10)-1)+逐级计算!$Q$201*(GS15-逐级计算!$P$201)*LN(10)/10),0)+LN(1+EXP(-ABS((LN(10^(逐级计算!$Q$201/10)-1)+逐级计算!$Q$201*(GS15-逐级计算!$P$201)*LN(10)/10))))))),"")</f>
        <v>13.90940099697</v>
      </c>
      <c r="GU15">
        <f>IF(AND(ISNUMBER(GT15),逐级计算!$X$202&gt;-1),IF(逐级计算!$X$202=0,GT15+逐级计算!$C$202,GT15+逐级计算!$C$202-(10/(逐级计算!$Q$202*LN(10))*(MAX((LN(10^(逐级计算!$Q$202/10)-1)+逐级计算!$Q$202*(GT15-逐级计算!$P$202)*LN(10)/10),0)+LN(1+EXP(-ABS((LN(10^(逐级计算!$Q$202/10)-1)+逐级计算!$Q$202*(GT15-逐级计算!$P$202)*LN(10)/10))))))),"")</f>
        <v>13.90940099697</v>
      </c>
      <c r="GV15">
        <f>IF(AND(ISNUMBER(GU15),逐级计算!$X$203&gt;-1),IF(逐级计算!$X$203=0,GU15+逐级计算!$C$203,GU15+逐级计算!$C$203-(10/(逐级计算!$Q$203*LN(10))*(MAX((LN(10^(逐级计算!$Q$203/10)-1)+逐级计算!$Q$203*(GU15-逐级计算!$P$203)*LN(10)/10),0)+LN(1+EXP(-ABS((LN(10^(逐级计算!$Q$203/10)-1)+逐级计算!$Q$203*(GU15-逐级计算!$P$203)*LN(10)/10))))))),"")</f>
        <v>13.90940099697</v>
      </c>
      <c r="GW15">
        <f t="shared" si="2"/>
        <v>-4.609375</v>
      </c>
    </row>
    <row r="16" spans="1:205">
      <c r="A16">
        <v>9</v>
      </c>
      <c r="B16">
        <f t="shared" si="1"/>
        <v>-5.4296875</v>
      </c>
      <c r="C16">
        <f t="shared" si="0"/>
        <v>-5.224609375</v>
      </c>
      <c r="D16">
        <f>IF(AND(ISNUMBER(C16),ISNUMBER(逐级计算!$E$203),ISNUMBER(GV16)),C16+逐级计算!$E$203-GV16,"")</f>
        <v>0.993504575005701</v>
      </c>
      <c r="E16">
        <f>IF(AND(ISNUMBER(C16),逐级计算!$X$4&gt;-1),IF(逐级计算!$X$4=0,C16+逐级计算!$C$4,C16+逐级计算!$C$4-(10/(逐级计算!$Q$4*LN(10))*(MAX((LN(10^(逐级计算!$Q$4/10)-1)+逐级计算!$Q$4*(C16-逐级计算!$P$4)*LN(10)/10),0)+LN(1+EXP(-ABS((LN(10^(逐级计算!$Q$4/10)-1)+逐级计算!$Q$4*(C16-逐级计算!$P$4)*LN(10)/10))))))),"")</f>
        <v>4.66378135256835</v>
      </c>
      <c r="F16">
        <f>IF(AND(ISNUMBER(E16),逐级计算!$X$5&gt;-1),IF(逐级计算!$X$5=0,E16+逐级计算!$C$5,E16+逐级计算!$C$5-(10/(逐级计算!$Q$5*LN(10))*(MAX((LN(10^(逐级计算!$Q$5/10)-1)+逐级计算!$Q$5*(E16-逐级计算!$P$5)*LN(10)/10),0)+LN(1+EXP(-ABS((LN(10^(逐级计算!$Q$5/10)-1)+逐级计算!$Q$5*(E16-逐级计算!$P$5)*LN(10)/10))))))),"")</f>
        <v>13.7818860499943</v>
      </c>
      <c r="G16">
        <f>IF(AND(ISNUMBER(F16),逐级计算!$X$6&gt;-1),IF(逐级计算!$X$6=0,F16+逐级计算!$C$6,F16+逐级计算!$C$6-(10/(逐级计算!$Q$6*LN(10))*(MAX((LN(10^(逐级计算!$Q$6/10)-1)+逐级计算!$Q$6*(F16-逐级计算!$P$6)*LN(10)/10),0)+LN(1+EXP(-ABS((LN(10^(逐级计算!$Q$6/10)-1)+逐级计算!$Q$6*(F16-逐级计算!$P$6)*LN(10)/10))))))),"")</f>
        <v>13.7818860499943</v>
      </c>
      <c r="H16">
        <f>IF(AND(ISNUMBER(G16),逐级计算!$X$7&gt;-1),IF(逐级计算!$X$7=0,G16+逐级计算!$C$7,G16+逐级计算!$C$7-(10/(逐级计算!$Q$7*LN(10))*(MAX((LN(10^(逐级计算!$Q$7/10)-1)+逐级计算!$Q$7*(G16-逐级计算!$P$7)*LN(10)/10),0)+LN(1+EXP(-ABS((LN(10^(逐级计算!$Q$7/10)-1)+逐级计算!$Q$7*(G16-逐级计算!$P$7)*LN(10)/10))))))),"")</f>
        <v>13.7818860499943</v>
      </c>
      <c r="I16">
        <f>IF(AND(ISNUMBER(H16),逐级计算!$X$8&gt;-1),IF(逐级计算!$X$8=0,H16+逐级计算!$C$8,H16+逐级计算!$C$8-(10/(逐级计算!$Q$8*LN(10))*(MAX((LN(10^(逐级计算!$Q$8/10)-1)+逐级计算!$Q$8*(H16-逐级计算!$P$8)*LN(10)/10),0)+LN(1+EXP(-ABS((LN(10^(逐级计算!$Q$8/10)-1)+逐级计算!$Q$8*(H16-逐级计算!$P$8)*LN(10)/10))))))),"")</f>
        <v>13.7818860499943</v>
      </c>
      <c r="J16">
        <f>IF(AND(ISNUMBER(I16),逐级计算!$X$9&gt;-1),IF(逐级计算!$X$9=0,I16+逐级计算!$C$9,I16+逐级计算!$C$9-(10/(逐级计算!$Q$9*LN(10))*(MAX((LN(10^(逐级计算!$Q$9/10)-1)+逐级计算!$Q$9*(I16-逐级计算!$P$9)*LN(10)/10),0)+LN(1+EXP(-ABS((LN(10^(逐级计算!$Q$9/10)-1)+逐级计算!$Q$9*(I16-逐级计算!$P$9)*LN(10)/10))))))),"")</f>
        <v>13.7818860499943</v>
      </c>
      <c r="K16">
        <f>IF(AND(ISNUMBER(J16),逐级计算!$X$10&gt;-1),IF(逐级计算!$X$10=0,J16+逐级计算!$C$10,J16+逐级计算!$C$10-(10/(逐级计算!$Q$10*LN(10))*(MAX((LN(10^(逐级计算!$Q$10/10)-1)+逐级计算!$Q$10*(J16-逐级计算!$P$10)*LN(10)/10),0)+LN(1+EXP(-ABS((LN(10^(逐级计算!$Q$10/10)-1)+逐级计算!$Q$10*(J16-逐级计算!$P$10)*LN(10)/10))))))),"")</f>
        <v>13.7818860499943</v>
      </c>
      <c r="L16">
        <f>IF(AND(ISNUMBER(K16),逐级计算!$X$11&gt;-1),IF(逐级计算!$X$11=0,K16+逐级计算!$C$11,K16+逐级计算!$C$11-(10/(逐级计算!$Q$11*LN(10))*(MAX((LN(10^(逐级计算!$Q$11/10)-1)+逐级计算!$Q$11*(K16-逐级计算!$P$11)*LN(10)/10),0)+LN(1+EXP(-ABS((LN(10^(逐级计算!$Q$11/10)-1)+逐级计算!$Q$11*(K16-逐级计算!$P$11)*LN(10)/10))))))),"")</f>
        <v>13.7818860499943</v>
      </c>
      <c r="M16">
        <f>IF(AND(ISNUMBER(L16),逐级计算!$X$12&gt;-1),IF(逐级计算!$X$12=0,L16+逐级计算!$C$12,L16+逐级计算!$C$12-(10/(逐级计算!$Q$12*LN(10))*(MAX((LN(10^(逐级计算!$Q$12/10)-1)+逐级计算!$Q$12*(L16-逐级计算!$P$12)*LN(10)/10),0)+LN(1+EXP(-ABS((LN(10^(逐级计算!$Q$12/10)-1)+逐级计算!$Q$12*(L16-逐级计算!$P$12)*LN(10)/10))))))),"")</f>
        <v>13.7818860499943</v>
      </c>
      <c r="N16">
        <f>IF(AND(ISNUMBER(M16),逐级计算!$X$13&gt;-1),IF(逐级计算!$X$13=0,M16+逐级计算!$C$13,M16+逐级计算!$C$13-(10/(逐级计算!$Q$13*LN(10))*(MAX((LN(10^(逐级计算!$Q$13/10)-1)+逐级计算!$Q$13*(M16-逐级计算!$P$13)*LN(10)/10),0)+LN(1+EXP(-ABS((LN(10^(逐级计算!$Q$13/10)-1)+逐级计算!$Q$13*(M16-逐级计算!$P$13)*LN(10)/10))))))),"")</f>
        <v>13.7818860499943</v>
      </c>
      <c r="O16">
        <f>IF(AND(ISNUMBER(N16),逐级计算!$X$14&gt;-1),IF(逐级计算!$X$14=0,N16+逐级计算!$C$14,N16+逐级计算!$C$14-(10/(逐级计算!$Q$14*LN(10))*(MAX((LN(10^(逐级计算!$Q$14/10)-1)+逐级计算!$Q$14*(N16-逐级计算!$P$14)*LN(10)/10),0)+LN(1+EXP(-ABS((LN(10^(逐级计算!$Q$14/10)-1)+逐级计算!$Q$14*(N16-逐级计算!$P$14)*LN(10)/10))))))),"")</f>
        <v>13.7818860499943</v>
      </c>
      <c r="P16">
        <f>IF(AND(ISNUMBER(O16),逐级计算!$X$15&gt;-1),IF(逐级计算!$X$15=0,O16+逐级计算!$C$15,O16+逐级计算!$C$15-(10/(逐级计算!$Q$15*LN(10))*(MAX((LN(10^(逐级计算!$Q$15/10)-1)+逐级计算!$Q$15*(O16-逐级计算!$P$15)*LN(10)/10),0)+LN(1+EXP(-ABS((LN(10^(逐级计算!$Q$15/10)-1)+逐级计算!$Q$15*(O16-逐级计算!$P$15)*LN(10)/10))))))),"")</f>
        <v>13.7818860499943</v>
      </c>
      <c r="Q16">
        <f>IF(AND(ISNUMBER(P16),逐级计算!$X$16&gt;-1),IF(逐级计算!$X$16=0,P16+逐级计算!$C$16,P16+逐级计算!$C$16-(10/(逐级计算!$Q$16*LN(10))*(MAX((LN(10^(逐级计算!$Q$16/10)-1)+逐级计算!$Q$16*(P16-逐级计算!$P$16)*LN(10)/10),0)+LN(1+EXP(-ABS((LN(10^(逐级计算!$Q$16/10)-1)+逐级计算!$Q$16*(P16-逐级计算!$P$16)*LN(10)/10))))))),"")</f>
        <v>13.7818860499943</v>
      </c>
      <c r="R16">
        <f>IF(AND(ISNUMBER(Q16),逐级计算!$X$17&gt;-1),IF(逐级计算!$X$17=0,Q16+逐级计算!$C$17,Q16+逐级计算!$C$17-(10/(逐级计算!$Q$17*LN(10))*(MAX((LN(10^(逐级计算!$Q$17/10)-1)+逐级计算!$Q$17*(Q16-逐级计算!$P$17)*LN(10)/10),0)+LN(1+EXP(-ABS((LN(10^(逐级计算!$Q$17/10)-1)+逐级计算!$Q$17*(Q16-逐级计算!$P$17)*LN(10)/10))))))),"")</f>
        <v>13.7818860499943</v>
      </c>
      <c r="S16">
        <f>IF(AND(ISNUMBER(R16),逐级计算!$X$18&gt;-1),IF(逐级计算!$X$18=0,R16+逐级计算!$C$18,R16+逐级计算!$C$18-(10/(逐级计算!$Q$18*LN(10))*(MAX((LN(10^(逐级计算!$Q$18/10)-1)+逐级计算!$Q$18*(R16-逐级计算!$P$18)*LN(10)/10),0)+LN(1+EXP(-ABS((LN(10^(逐级计算!$Q$18/10)-1)+逐级计算!$Q$18*(R16-逐级计算!$P$18)*LN(10)/10))))))),"")</f>
        <v>13.7818860499943</v>
      </c>
      <c r="T16">
        <f>IF(AND(ISNUMBER(S16),逐级计算!$X$19&gt;-1),IF(逐级计算!$X$19=0,S16+逐级计算!$C$19,S16+逐级计算!$C$19-(10/(逐级计算!$Q$19*LN(10))*(MAX((LN(10^(逐级计算!$Q$19/10)-1)+逐级计算!$Q$19*(S16-逐级计算!$P$19)*LN(10)/10),0)+LN(1+EXP(-ABS((LN(10^(逐级计算!$Q$19/10)-1)+逐级计算!$Q$19*(S16-逐级计算!$P$19)*LN(10)/10))))))),"")</f>
        <v>13.7818860499943</v>
      </c>
      <c r="U16">
        <f>IF(AND(ISNUMBER(T16),逐级计算!$X$20&gt;-1),IF(逐级计算!$X$20=0,T16+逐级计算!$C$20,T16+逐级计算!$C$20-(10/(逐级计算!$Q$20*LN(10))*(MAX((LN(10^(逐级计算!$Q$20/10)-1)+逐级计算!$Q$20*(T16-逐级计算!$P$20)*LN(10)/10),0)+LN(1+EXP(-ABS((LN(10^(逐级计算!$Q$20/10)-1)+逐级计算!$Q$20*(T16-逐级计算!$P$20)*LN(10)/10))))))),"")</f>
        <v>13.7818860499943</v>
      </c>
      <c r="V16">
        <f>IF(AND(ISNUMBER(U16),逐级计算!$X$21&gt;-1),IF(逐级计算!$X$21=0,U16+逐级计算!$C$21,U16+逐级计算!$C$21-(10/(逐级计算!$Q$21*LN(10))*(MAX((LN(10^(逐级计算!$Q$21/10)-1)+逐级计算!$Q$21*(U16-逐级计算!$P$21)*LN(10)/10),0)+LN(1+EXP(-ABS((LN(10^(逐级计算!$Q$21/10)-1)+逐级计算!$Q$21*(U16-逐级计算!$P$21)*LN(10)/10))))))),"")</f>
        <v>13.7818860499943</v>
      </c>
      <c r="W16">
        <f>IF(AND(ISNUMBER(V16),逐级计算!$X$22&gt;-1),IF(逐级计算!$X$22=0,V16+逐级计算!$C$22,V16+逐级计算!$C$22-(10/(逐级计算!$Q$22*LN(10))*(MAX((LN(10^(逐级计算!$Q$22/10)-1)+逐级计算!$Q$22*(V16-逐级计算!$P$22)*LN(10)/10),0)+LN(1+EXP(-ABS((LN(10^(逐级计算!$Q$22/10)-1)+逐级计算!$Q$22*(V16-逐级计算!$P$22)*LN(10)/10))))))),"")</f>
        <v>13.7818860499943</v>
      </c>
      <c r="X16">
        <f>IF(AND(ISNUMBER(W16),逐级计算!$X$23&gt;-1),IF(逐级计算!$X$23=0,W16+逐级计算!$C$23,W16+逐级计算!$C$23-(10/(逐级计算!$Q$23*LN(10))*(MAX((LN(10^(逐级计算!$Q$23/10)-1)+逐级计算!$Q$23*(W16-逐级计算!$P$23)*LN(10)/10),0)+LN(1+EXP(-ABS((LN(10^(逐级计算!$Q$23/10)-1)+逐级计算!$Q$23*(W16-逐级计算!$P$23)*LN(10)/10))))))),"")</f>
        <v>13.7818860499943</v>
      </c>
      <c r="Y16">
        <f>IF(AND(ISNUMBER(X16),逐级计算!$X$24&gt;-1),IF(逐级计算!$X$24=0,X16+逐级计算!$C$24,X16+逐级计算!$C$24-(10/(逐级计算!$Q$24*LN(10))*(MAX((LN(10^(逐级计算!$Q$24/10)-1)+逐级计算!$Q$24*(X16-逐级计算!$P$24)*LN(10)/10),0)+LN(1+EXP(-ABS((LN(10^(逐级计算!$Q$24/10)-1)+逐级计算!$Q$24*(X16-逐级计算!$P$24)*LN(10)/10))))))),"")</f>
        <v>13.7818860499943</v>
      </c>
      <c r="Z16">
        <f>IF(AND(ISNUMBER(Y16),逐级计算!$X$25&gt;-1),IF(逐级计算!$X$25=0,Y16+逐级计算!$C$25,Y16+逐级计算!$C$25-(10/(逐级计算!$Q$25*LN(10))*(MAX((LN(10^(逐级计算!$Q$25/10)-1)+逐级计算!$Q$25*(Y16-逐级计算!$P$25)*LN(10)/10),0)+LN(1+EXP(-ABS((LN(10^(逐级计算!$Q$25/10)-1)+逐级计算!$Q$25*(Y16-逐级计算!$P$25)*LN(10)/10))))))),"")</f>
        <v>13.7818860499943</v>
      </c>
      <c r="AA16">
        <f>IF(AND(ISNUMBER(Z16),逐级计算!$X$26&gt;-1),IF(逐级计算!$X$26=0,Z16+逐级计算!$C$26,Z16+逐级计算!$C$26-(10/(逐级计算!$Q$26*LN(10))*(MAX((LN(10^(逐级计算!$Q$26/10)-1)+逐级计算!$Q$26*(Z16-逐级计算!$P$26)*LN(10)/10),0)+LN(1+EXP(-ABS((LN(10^(逐级计算!$Q$26/10)-1)+逐级计算!$Q$26*(Z16-逐级计算!$P$26)*LN(10)/10))))))),"")</f>
        <v>13.7818860499943</v>
      </c>
      <c r="AB16">
        <f>IF(AND(ISNUMBER(AA16),逐级计算!$X$27&gt;-1),IF(逐级计算!$X$27=0,AA16+逐级计算!$C$27,AA16+逐级计算!$C$27-(10/(逐级计算!$Q$27*LN(10))*(MAX((LN(10^(逐级计算!$Q$27/10)-1)+逐级计算!$Q$27*(AA16-逐级计算!$P$27)*LN(10)/10),0)+LN(1+EXP(-ABS((LN(10^(逐级计算!$Q$27/10)-1)+逐级计算!$Q$27*(AA16-逐级计算!$P$27)*LN(10)/10))))))),"")</f>
        <v>13.7818860499943</v>
      </c>
      <c r="AC16">
        <f>IF(AND(ISNUMBER(AB16),逐级计算!$X$28&gt;-1),IF(逐级计算!$X$28=0,AB16+逐级计算!$C$28,AB16+逐级计算!$C$28-(10/(逐级计算!$Q$28*LN(10))*(MAX((LN(10^(逐级计算!$Q$28/10)-1)+逐级计算!$Q$28*(AB16-逐级计算!$P$28)*LN(10)/10),0)+LN(1+EXP(-ABS((LN(10^(逐级计算!$Q$28/10)-1)+逐级计算!$Q$28*(AB16-逐级计算!$P$28)*LN(10)/10))))))),"")</f>
        <v>13.7818860499943</v>
      </c>
      <c r="AD16">
        <f>IF(AND(ISNUMBER(AC16),逐级计算!$X$29&gt;-1),IF(逐级计算!$X$29=0,AC16+逐级计算!$C$29,AC16+逐级计算!$C$29-(10/(逐级计算!$Q$29*LN(10))*(MAX((LN(10^(逐级计算!$Q$29/10)-1)+逐级计算!$Q$29*(AC16-逐级计算!$P$29)*LN(10)/10),0)+LN(1+EXP(-ABS((LN(10^(逐级计算!$Q$29/10)-1)+逐级计算!$Q$29*(AC16-逐级计算!$P$29)*LN(10)/10))))))),"")</f>
        <v>13.7818860499943</v>
      </c>
      <c r="AE16">
        <f>IF(AND(ISNUMBER(AD16),逐级计算!$X$30&gt;-1),IF(逐级计算!$X$30=0,AD16+逐级计算!$C$30,AD16+逐级计算!$C$30-(10/(逐级计算!$Q$30*LN(10))*(MAX((LN(10^(逐级计算!$Q$30/10)-1)+逐级计算!$Q$30*(AD16-逐级计算!$P$30)*LN(10)/10),0)+LN(1+EXP(-ABS((LN(10^(逐级计算!$Q$30/10)-1)+逐级计算!$Q$30*(AD16-逐级计算!$P$30)*LN(10)/10))))))),"")</f>
        <v>13.7818860499943</v>
      </c>
      <c r="AF16">
        <f>IF(AND(ISNUMBER(AE16),逐级计算!$X$31&gt;-1),IF(逐级计算!$X$31=0,AE16+逐级计算!$C$31,AE16+逐级计算!$C$31-(10/(逐级计算!$Q$31*LN(10))*(MAX((LN(10^(逐级计算!$Q$31/10)-1)+逐级计算!$Q$31*(AE16-逐级计算!$P$31)*LN(10)/10),0)+LN(1+EXP(-ABS((LN(10^(逐级计算!$Q$31/10)-1)+逐级计算!$Q$31*(AE16-逐级计算!$P$31)*LN(10)/10))))))),"")</f>
        <v>13.7818860499943</v>
      </c>
      <c r="AG16">
        <f>IF(AND(ISNUMBER(AF16),逐级计算!$X$32&gt;-1),IF(逐级计算!$X$32=0,AF16+逐级计算!$C$32,AF16+逐级计算!$C$32-(10/(逐级计算!$Q$32*LN(10))*(MAX((LN(10^(逐级计算!$Q$32/10)-1)+逐级计算!$Q$32*(AF16-逐级计算!$P$32)*LN(10)/10),0)+LN(1+EXP(-ABS((LN(10^(逐级计算!$Q$32/10)-1)+逐级计算!$Q$32*(AF16-逐级计算!$P$32)*LN(10)/10))))))),"")</f>
        <v>13.7818860499943</v>
      </c>
      <c r="AH16">
        <f>IF(AND(ISNUMBER(AG16),逐级计算!$X$33&gt;-1),IF(逐级计算!$X$33=0,AG16+逐级计算!$C$33,AG16+逐级计算!$C$33-(10/(逐级计算!$Q$33*LN(10))*(MAX((LN(10^(逐级计算!$Q$33/10)-1)+逐级计算!$Q$33*(AG16-逐级计算!$P$33)*LN(10)/10),0)+LN(1+EXP(-ABS((LN(10^(逐级计算!$Q$33/10)-1)+逐级计算!$Q$33*(AG16-逐级计算!$P$33)*LN(10)/10))))))),"")</f>
        <v>13.7818860499943</v>
      </c>
      <c r="AI16">
        <f>IF(AND(ISNUMBER(AH16),逐级计算!$X$34&gt;-1),IF(逐级计算!$X$34=0,AH16+逐级计算!$C$34,AH16+逐级计算!$C$34-(10/(逐级计算!$Q$34*LN(10))*(MAX((LN(10^(逐级计算!$Q$34/10)-1)+逐级计算!$Q$34*(AH16-逐级计算!$P$34)*LN(10)/10),0)+LN(1+EXP(-ABS((LN(10^(逐级计算!$Q$34/10)-1)+逐级计算!$Q$34*(AH16-逐级计算!$P$34)*LN(10)/10))))))),"")</f>
        <v>13.7818860499943</v>
      </c>
      <c r="AJ16">
        <f>IF(AND(ISNUMBER(AI16),逐级计算!$X$35&gt;-1),IF(逐级计算!$X$35=0,AI16+逐级计算!$C$35,AI16+逐级计算!$C$35-(10/(逐级计算!$Q$35*LN(10))*(MAX((LN(10^(逐级计算!$Q$35/10)-1)+逐级计算!$Q$35*(AI16-逐级计算!$P$35)*LN(10)/10),0)+LN(1+EXP(-ABS((LN(10^(逐级计算!$Q$35/10)-1)+逐级计算!$Q$35*(AI16-逐级计算!$P$35)*LN(10)/10))))))),"")</f>
        <v>13.7818860499943</v>
      </c>
      <c r="AK16">
        <f>IF(AND(ISNUMBER(AJ16),逐级计算!$X$36&gt;-1),IF(逐级计算!$X$36=0,AJ16+逐级计算!$C$36,AJ16+逐级计算!$C$36-(10/(逐级计算!$Q$36*LN(10))*(MAX((LN(10^(逐级计算!$Q$36/10)-1)+逐级计算!$Q$36*(AJ16-逐级计算!$P$36)*LN(10)/10),0)+LN(1+EXP(-ABS((LN(10^(逐级计算!$Q$36/10)-1)+逐级计算!$Q$36*(AJ16-逐级计算!$P$36)*LN(10)/10))))))),"")</f>
        <v>13.7818860499943</v>
      </c>
      <c r="AL16">
        <f>IF(AND(ISNUMBER(AK16),逐级计算!$X$37&gt;-1),IF(逐级计算!$X$37=0,AK16+逐级计算!$C$37,AK16+逐级计算!$C$37-(10/(逐级计算!$Q$37*LN(10))*(MAX((LN(10^(逐级计算!$Q$37/10)-1)+逐级计算!$Q$37*(AK16-逐级计算!$P$37)*LN(10)/10),0)+LN(1+EXP(-ABS((LN(10^(逐级计算!$Q$37/10)-1)+逐级计算!$Q$37*(AK16-逐级计算!$P$37)*LN(10)/10))))))),"")</f>
        <v>13.7818860499943</v>
      </c>
      <c r="AM16">
        <f>IF(AND(ISNUMBER(AL16),逐级计算!$X$38&gt;-1),IF(逐级计算!$X$38=0,AL16+逐级计算!$C$38,AL16+逐级计算!$C$38-(10/(逐级计算!$Q$38*LN(10))*(MAX((LN(10^(逐级计算!$Q$38/10)-1)+逐级计算!$Q$38*(AL16-逐级计算!$P$38)*LN(10)/10),0)+LN(1+EXP(-ABS((LN(10^(逐级计算!$Q$38/10)-1)+逐级计算!$Q$38*(AL16-逐级计算!$P$38)*LN(10)/10))))))),"")</f>
        <v>13.7818860499943</v>
      </c>
      <c r="AN16">
        <f>IF(AND(ISNUMBER(AM16),逐级计算!$X$39&gt;-1),IF(逐级计算!$X$39=0,AM16+逐级计算!$C$39,AM16+逐级计算!$C$39-(10/(逐级计算!$Q$39*LN(10))*(MAX((LN(10^(逐级计算!$Q$39/10)-1)+逐级计算!$Q$39*(AM16-逐级计算!$P$39)*LN(10)/10),0)+LN(1+EXP(-ABS((LN(10^(逐级计算!$Q$39/10)-1)+逐级计算!$Q$39*(AM16-逐级计算!$P$39)*LN(10)/10))))))),"")</f>
        <v>13.7818860499943</v>
      </c>
      <c r="AO16">
        <f>IF(AND(ISNUMBER(AN16),逐级计算!$X$40&gt;-1),IF(逐级计算!$X$40=0,AN16+逐级计算!$C$40,AN16+逐级计算!$C$40-(10/(逐级计算!$Q$40*LN(10))*(MAX((LN(10^(逐级计算!$Q$40/10)-1)+逐级计算!$Q$40*(AN16-逐级计算!$P$40)*LN(10)/10),0)+LN(1+EXP(-ABS((LN(10^(逐级计算!$Q$40/10)-1)+逐级计算!$Q$40*(AN16-逐级计算!$P$40)*LN(10)/10))))))),"")</f>
        <v>13.7818860499943</v>
      </c>
      <c r="AP16">
        <f>IF(AND(ISNUMBER(AO16),逐级计算!$X$41&gt;-1),IF(逐级计算!$X$41=0,AO16+逐级计算!$C$41,AO16+逐级计算!$C$41-(10/(逐级计算!$Q$41*LN(10))*(MAX((LN(10^(逐级计算!$Q$41/10)-1)+逐级计算!$Q$41*(AO16-逐级计算!$P$41)*LN(10)/10),0)+LN(1+EXP(-ABS((LN(10^(逐级计算!$Q$41/10)-1)+逐级计算!$Q$41*(AO16-逐级计算!$P$41)*LN(10)/10))))))),"")</f>
        <v>13.7818860499943</v>
      </c>
      <c r="AQ16">
        <f>IF(AND(ISNUMBER(AP16),逐级计算!$X$42&gt;-1),IF(逐级计算!$X$42=0,AP16+逐级计算!$C$42,AP16+逐级计算!$C$42-(10/(逐级计算!$Q$42*LN(10))*(MAX((LN(10^(逐级计算!$Q$42/10)-1)+逐级计算!$Q$42*(AP16-逐级计算!$P$42)*LN(10)/10),0)+LN(1+EXP(-ABS((LN(10^(逐级计算!$Q$42/10)-1)+逐级计算!$Q$42*(AP16-逐级计算!$P$42)*LN(10)/10))))))),"")</f>
        <v>13.7818860499943</v>
      </c>
      <c r="AR16">
        <f>IF(AND(ISNUMBER(AQ16),逐级计算!$X$43&gt;-1),IF(逐级计算!$X$43=0,AQ16+逐级计算!$C$43,AQ16+逐级计算!$C$43-(10/(逐级计算!$Q$43*LN(10))*(MAX((LN(10^(逐级计算!$Q$43/10)-1)+逐级计算!$Q$43*(AQ16-逐级计算!$P$43)*LN(10)/10),0)+LN(1+EXP(-ABS((LN(10^(逐级计算!$Q$43/10)-1)+逐级计算!$Q$43*(AQ16-逐级计算!$P$43)*LN(10)/10))))))),"")</f>
        <v>13.7818860499943</v>
      </c>
      <c r="AS16">
        <f>IF(AND(ISNUMBER(AR16),逐级计算!$X$44&gt;-1),IF(逐级计算!$X$44=0,AR16+逐级计算!$C$44,AR16+逐级计算!$C$44-(10/(逐级计算!$Q$44*LN(10))*(MAX((LN(10^(逐级计算!$Q$44/10)-1)+逐级计算!$Q$44*(AR16-逐级计算!$P$44)*LN(10)/10),0)+LN(1+EXP(-ABS((LN(10^(逐级计算!$Q$44/10)-1)+逐级计算!$Q$44*(AR16-逐级计算!$P$44)*LN(10)/10))))))),"")</f>
        <v>13.7818860499943</v>
      </c>
      <c r="AT16">
        <f>IF(AND(ISNUMBER(AS16),逐级计算!$X$45&gt;-1),IF(逐级计算!$X$45=0,AS16+逐级计算!$C$45,AS16+逐级计算!$C$45-(10/(逐级计算!$Q$45*LN(10))*(MAX((LN(10^(逐级计算!$Q$45/10)-1)+逐级计算!$Q$45*(AS16-逐级计算!$P$45)*LN(10)/10),0)+LN(1+EXP(-ABS((LN(10^(逐级计算!$Q$45/10)-1)+逐级计算!$Q$45*(AS16-逐级计算!$P$45)*LN(10)/10))))))),"")</f>
        <v>13.7818860499943</v>
      </c>
      <c r="AU16">
        <f>IF(AND(ISNUMBER(AT16),逐级计算!$X$46&gt;-1),IF(逐级计算!$X$46=0,AT16+逐级计算!$C$46,AT16+逐级计算!$C$46-(10/(逐级计算!$Q$46*LN(10))*(MAX((LN(10^(逐级计算!$Q$46/10)-1)+逐级计算!$Q$46*(AT16-逐级计算!$P$46)*LN(10)/10),0)+LN(1+EXP(-ABS((LN(10^(逐级计算!$Q$46/10)-1)+逐级计算!$Q$46*(AT16-逐级计算!$P$46)*LN(10)/10))))))),"")</f>
        <v>13.7818860499943</v>
      </c>
      <c r="AV16">
        <f>IF(AND(ISNUMBER(AU16),逐级计算!$X$47&gt;-1),IF(逐级计算!$X$47=0,AU16+逐级计算!$C$47,AU16+逐级计算!$C$47-(10/(逐级计算!$Q$47*LN(10))*(MAX((LN(10^(逐级计算!$Q$47/10)-1)+逐级计算!$Q$47*(AU16-逐级计算!$P$47)*LN(10)/10),0)+LN(1+EXP(-ABS((LN(10^(逐级计算!$Q$47/10)-1)+逐级计算!$Q$47*(AU16-逐级计算!$P$47)*LN(10)/10))))))),"")</f>
        <v>13.7818860499943</v>
      </c>
      <c r="AW16">
        <f>IF(AND(ISNUMBER(AV16),逐级计算!$X$48&gt;-1),IF(逐级计算!$X$48=0,AV16+逐级计算!$C$48,AV16+逐级计算!$C$48-(10/(逐级计算!$Q$48*LN(10))*(MAX((LN(10^(逐级计算!$Q$48/10)-1)+逐级计算!$Q$48*(AV16-逐级计算!$P$48)*LN(10)/10),0)+LN(1+EXP(-ABS((LN(10^(逐级计算!$Q$48/10)-1)+逐级计算!$Q$48*(AV16-逐级计算!$P$48)*LN(10)/10))))))),"")</f>
        <v>13.7818860499943</v>
      </c>
      <c r="AX16">
        <f>IF(AND(ISNUMBER(AW16),逐级计算!$X$49&gt;-1),IF(逐级计算!$X$49=0,AW16+逐级计算!$C$49,AW16+逐级计算!$C$49-(10/(逐级计算!$Q$49*LN(10))*(MAX((LN(10^(逐级计算!$Q$49/10)-1)+逐级计算!$Q$49*(AW16-逐级计算!$P$49)*LN(10)/10),0)+LN(1+EXP(-ABS((LN(10^(逐级计算!$Q$49/10)-1)+逐级计算!$Q$49*(AW16-逐级计算!$P$49)*LN(10)/10))))))),"")</f>
        <v>13.7818860499943</v>
      </c>
      <c r="AY16">
        <f>IF(AND(ISNUMBER(AX16),逐级计算!$X$50&gt;-1),IF(逐级计算!$X$50=0,AX16+逐级计算!$C$50,AX16+逐级计算!$C$50-(10/(逐级计算!$Q$50*LN(10))*(MAX((LN(10^(逐级计算!$Q$50/10)-1)+逐级计算!$Q$50*(AX16-逐级计算!$P$50)*LN(10)/10),0)+LN(1+EXP(-ABS((LN(10^(逐级计算!$Q$50/10)-1)+逐级计算!$Q$50*(AX16-逐级计算!$P$50)*LN(10)/10))))))),"")</f>
        <v>13.7818860499943</v>
      </c>
      <c r="AZ16">
        <f>IF(AND(ISNUMBER(AY16),逐级计算!$X$51&gt;-1),IF(逐级计算!$X$51=0,AY16+逐级计算!$C$51,AY16+逐级计算!$C$51-(10/(逐级计算!$Q$51*LN(10))*(MAX((LN(10^(逐级计算!$Q$51/10)-1)+逐级计算!$Q$51*(AY16-逐级计算!$P$51)*LN(10)/10),0)+LN(1+EXP(-ABS((LN(10^(逐级计算!$Q$51/10)-1)+逐级计算!$Q$51*(AY16-逐级计算!$P$51)*LN(10)/10))))))),"")</f>
        <v>13.7818860499943</v>
      </c>
      <c r="BA16">
        <f>IF(AND(ISNUMBER(AZ16),逐级计算!$X$52&gt;-1),IF(逐级计算!$X$52=0,AZ16+逐级计算!$C$52,AZ16+逐级计算!$C$52-(10/(逐级计算!$Q$52*LN(10))*(MAX((LN(10^(逐级计算!$Q$52/10)-1)+逐级计算!$Q$52*(AZ16-逐级计算!$P$52)*LN(10)/10),0)+LN(1+EXP(-ABS((LN(10^(逐级计算!$Q$52/10)-1)+逐级计算!$Q$52*(AZ16-逐级计算!$P$52)*LN(10)/10))))))),"")</f>
        <v>13.7818860499943</v>
      </c>
      <c r="BB16">
        <f>IF(AND(ISNUMBER(BA16),逐级计算!$X$53&gt;-1),IF(逐级计算!$X$53=0,BA16+逐级计算!$C$53,BA16+逐级计算!$C$53-(10/(逐级计算!$Q$53*LN(10))*(MAX((LN(10^(逐级计算!$Q$53/10)-1)+逐级计算!$Q$53*(BA16-逐级计算!$P$53)*LN(10)/10),0)+LN(1+EXP(-ABS((LN(10^(逐级计算!$Q$53/10)-1)+逐级计算!$Q$53*(BA16-逐级计算!$P$53)*LN(10)/10))))))),"")</f>
        <v>13.7818860499943</v>
      </c>
      <c r="BC16">
        <f>IF(AND(ISNUMBER(BB16),逐级计算!$X$54&gt;-1),IF(逐级计算!$X$54=0,BB16+逐级计算!$C$54,BB16+逐级计算!$C$54-(10/(逐级计算!$Q$54*LN(10))*(MAX((LN(10^(逐级计算!$Q$54/10)-1)+逐级计算!$Q$54*(BB16-逐级计算!$P$54)*LN(10)/10),0)+LN(1+EXP(-ABS((LN(10^(逐级计算!$Q$54/10)-1)+逐级计算!$Q$54*(BB16-逐级计算!$P$54)*LN(10)/10))))))),"")</f>
        <v>13.7818860499943</v>
      </c>
      <c r="BD16">
        <f>IF(AND(ISNUMBER(BC16),逐级计算!$X$55&gt;-1),IF(逐级计算!$X$55=0,BC16+逐级计算!$C$55,BC16+逐级计算!$C$55-(10/(逐级计算!$Q$55*LN(10))*(MAX((LN(10^(逐级计算!$Q$55/10)-1)+逐级计算!$Q$55*(BC16-逐级计算!$P$55)*LN(10)/10),0)+LN(1+EXP(-ABS((LN(10^(逐级计算!$Q$55/10)-1)+逐级计算!$Q$55*(BC16-逐级计算!$P$55)*LN(10)/10))))))),"")</f>
        <v>13.7818860499943</v>
      </c>
      <c r="BE16">
        <f>IF(AND(ISNUMBER(BD16),逐级计算!$X$56&gt;-1),IF(逐级计算!$X$56=0,BD16+逐级计算!$C$56,BD16+逐级计算!$C$56-(10/(逐级计算!$Q$56*LN(10))*(MAX((LN(10^(逐级计算!$Q$56/10)-1)+逐级计算!$Q$56*(BD16-逐级计算!$P$56)*LN(10)/10),0)+LN(1+EXP(-ABS((LN(10^(逐级计算!$Q$56/10)-1)+逐级计算!$Q$56*(BD16-逐级计算!$P$56)*LN(10)/10))))))),"")</f>
        <v>13.7818860499943</v>
      </c>
      <c r="BF16">
        <f>IF(AND(ISNUMBER(BE16),逐级计算!$X$57&gt;-1),IF(逐级计算!$X$57=0,BE16+逐级计算!$C$57,BE16+逐级计算!$C$57-(10/(逐级计算!$Q$57*LN(10))*(MAX((LN(10^(逐级计算!$Q$57/10)-1)+逐级计算!$Q$57*(BE16-逐级计算!$P$57)*LN(10)/10),0)+LN(1+EXP(-ABS((LN(10^(逐级计算!$Q$57/10)-1)+逐级计算!$Q$57*(BE16-逐级计算!$P$57)*LN(10)/10))))))),"")</f>
        <v>13.7818860499943</v>
      </c>
      <c r="BG16">
        <f>IF(AND(ISNUMBER(BF16),逐级计算!$X$58&gt;-1),IF(逐级计算!$X$58=0,BF16+逐级计算!$C$58,BF16+逐级计算!$C$58-(10/(逐级计算!$Q$58*LN(10))*(MAX((LN(10^(逐级计算!$Q$58/10)-1)+逐级计算!$Q$58*(BF16-逐级计算!$P$58)*LN(10)/10),0)+LN(1+EXP(-ABS((LN(10^(逐级计算!$Q$58/10)-1)+逐级计算!$Q$58*(BF16-逐级计算!$P$58)*LN(10)/10))))))),"")</f>
        <v>13.7818860499943</v>
      </c>
      <c r="BH16">
        <f>IF(AND(ISNUMBER(BG16),逐级计算!$X$59&gt;-1),IF(逐级计算!$X$59=0,BG16+逐级计算!$C$59,BG16+逐级计算!$C$59-(10/(逐级计算!$Q$59*LN(10))*(MAX((LN(10^(逐级计算!$Q$59/10)-1)+逐级计算!$Q$59*(BG16-逐级计算!$P$59)*LN(10)/10),0)+LN(1+EXP(-ABS((LN(10^(逐级计算!$Q$59/10)-1)+逐级计算!$Q$59*(BG16-逐级计算!$P$59)*LN(10)/10))))))),"")</f>
        <v>13.7818860499943</v>
      </c>
      <c r="BI16">
        <f>IF(AND(ISNUMBER(BH16),逐级计算!$X$60&gt;-1),IF(逐级计算!$X$60=0,BH16+逐级计算!$C$60,BH16+逐级计算!$C$60-(10/(逐级计算!$Q$60*LN(10))*(MAX((LN(10^(逐级计算!$Q$60/10)-1)+逐级计算!$Q$60*(BH16-逐级计算!$P$60)*LN(10)/10),0)+LN(1+EXP(-ABS((LN(10^(逐级计算!$Q$60/10)-1)+逐级计算!$Q$60*(BH16-逐级计算!$P$60)*LN(10)/10))))))),"")</f>
        <v>13.7818860499943</v>
      </c>
      <c r="BJ16">
        <f>IF(AND(ISNUMBER(BI16),逐级计算!$X$61&gt;-1),IF(逐级计算!$X$61=0,BI16+逐级计算!$C$61,BI16+逐级计算!$C$61-(10/(逐级计算!$Q$61*LN(10))*(MAX((LN(10^(逐级计算!$Q$61/10)-1)+逐级计算!$Q$61*(BI16-逐级计算!$P$61)*LN(10)/10),0)+LN(1+EXP(-ABS((LN(10^(逐级计算!$Q$61/10)-1)+逐级计算!$Q$61*(BI16-逐级计算!$P$61)*LN(10)/10))))))),"")</f>
        <v>13.7818860499943</v>
      </c>
      <c r="BK16">
        <f>IF(AND(ISNUMBER(BJ16),逐级计算!$X$62&gt;-1),IF(逐级计算!$X$62=0,BJ16+逐级计算!$C$62,BJ16+逐级计算!$C$62-(10/(逐级计算!$Q$62*LN(10))*(MAX((LN(10^(逐级计算!$Q$62/10)-1)+逐级计算!$Q$62*(BJ16-逐级计算!$P$62)*LN(10)/10),0)+LN(1+EXP(-ABS((LN(10^(逐级计算!$Q$62/10)-1)+逐级计算!$Q$62*(BJ16-逐级计算!$P$62)*LN(10)/10))))))),"")</f>
        <v>13.7818860499943</v>
      </c>
      <c r="BL16">
        <f>IF(AND(ISNUMBER(BK16),逐级计算!$X$63&gt;-1),IF(逐级计算!$X$63=0,BK16+逐级计算!$C$63,BK16+逐级计算!$C$63-(10/(逐级计算!$Q$63*LN(10))*(MAX((LN(10^(逐级计算!$Q$63/10)-1)+逐级计算!$Q$63*(BK16-逐级计算!$P$63)*LN(10)/10),0)+LN(1+EXP(-ABS((LN(10^(逐级计算!$Q$63/10)-1)+逐级计算!$Q$63*(BK16-逐级计算!$P$63)*LN(10)/10))))))),"")</f>
        <v>13.7818860499943</v>
      </c>
      <c r="BM16">
        <f>IF(AND(ISNUMBER(BL16),逐级计算!$X$64&gt;-1),IF(逐级计算!$X$64=0,BL16+逐级计算!$C$64,BL16+逐级计算!$C$64-(10/(逐级计算!$Q$64*LN(10))*(MAX((LN(10^(逐级计算!$Q$64/10)-1)+逐级计算!$Q$64*(BL16-逐级计算!$P$64)*LN(10)/10),0)+LN(1+EXP(-ABS((LN(10^(逐级计算!$Q$64/10)-1)+逐级计算!$Q$64*(BL16-逐级计算!$P$64)*LN(10)/10))))))),"")</f>
        <v>13.7818860499943</v>
      </c>
      <c r="BN16">
        <f>IF(AND(ISNUMBER(BM16),逐级计算!$X$65&gt;-1),IF(逐级计算!$X$65=0,BM16+逐级计算!$C$65,BM16+逐级计算!$C$65-(10/(逐级计算!$Q$65*LN(10))*(MAX((LN(10^(逐级计算!$Q$65/10)-1)+逐级计算!$Q$65*(BM16-逐级计算!$P$65)*LN(10)/10),0)+LN(1+EXP(-ABS((LN(10^(逐级计算!$Q$65/10)-1)+逐级计算!$Q$65*(BM16-逐级计算!$P$65)*LN(10)/10))))))),"")</f>
        <v>13.7818860499943</v>
      </c>
      <c r="BO16">
        <f>IF(AND(ISNUMBER(BN16),逐级计算!$X$66&gt;-1),IF(逐级计算!$X$66=0,BN16+逐级计算!$C$66,BN16+逐级计算!$C$66-(10/(逐级计算!$Q$66*LN(10))*(MAX((LN(10^(逐级计算!$Q$66/10)-1)+逐级计算!$Q$66*(BN16-逐级计算!$P$66)*LN(10)/10),0)+LN(1+EXP(-ABS((LN(10^(逐级计算!$Q$66/10)-1)+逐级计算!$Q$66*(BN16-逐级计算!$P$66)*LN(10)/10))))))),"")</f>
        <v>13.7818860499943</v>
      </c>
      <c r="BP16">
        <f>IF(AND(ISNUMBER(BO16),逐级计算!$X$67&gt;-1),IF(逐级计算!$X$67=0,BO16+逐级计算!$C$67,BO16+逐级计算!$C$67-(10/(逐级计算!$Q$67*LN(10))*(MAX((LN(10^(逐级计算!$Q$67/10)-1)+逐级计算!$Q$67*(BO16-逐级计算!$P$67)*LN(10)/10),0)+LN(1+EXP(-ABS((LN(10^(逐级计算!$Q$67/10)-1)+逐级计算!$Q$67*(BO16-逐级计算!$P$67)*LN(10)/10))))))),"")</f>
        <v>13.7818860499943</v>
      </c>
      <c r="BQ16">
        <f>IF(AND(ISNUMBER(BP16),逐级计算!$X$68&gt;-1),IF(逐级计算!$X$68=0,BP16+逐级计算!$C$68,BP16+逐级计算!$C$68-(10/(逐级计算!$Q$68*LN(10))*(MAX((LN(10^(逐级计算!$Q$68/10)-1)+逐级计算!$Q$68*(BP16-逐级计算!$P$68)*LN(10)/10),0)+LN(1+EXP(-ABS((LN(10^(逐级计算!$Q$68/10)-1)+逐级计算!$Q$68*(BP16-逐级计算!$P$68)*LN(10)/10))))))),"")</f>
        <v>13.7818860499943</v>
      </c>
      <c r="BR16">
        <f>IF(AND(ISNUMBER(BQ16),逐级计算!$X$69&gt;-1),IF(逐级计算!$X$69=0,BQ16+逐级计算!$C$69,BQ16+逐级计算!$C$69-(10/(逐级计算!$Q$69*LN(10))*(MAX((LN(10^(逐级计算!$Q$69/10)-1)+逐级计算!$Q$69*(BQ16-逐级计算!$P$69)*LN(10)/10),0)+LN(1+EXP(-ABS((LN(10^(逐级计算!$Q$69/10)-1)+逐级计算!$Q$69*(BQ16-逐级计算!$P$69)*LN(10)/10))))))),"")</f>
        <v>13.7818860499943</v>
      </c>
      <c r="BS16">
        <f>IF(AND(ISNUMBER(BR16),逐级计算!$X$70&gt;-1),IF(逐级计算!$X$70=0,BR16+逐级计算!$C$70,BR16+逐级计算!$C$70-(10/(逐级计算!$Q$70*LN(10))*(MAX((LN(10^(逐级计算!$Q$70/10)-1)+逐级计算!$Q$70*(BR16-逐级计算!$P$70)*LN(10)/10),0)+LN(1+EXP(-ABS((LN(10^(逐级计算!$Q$70/10)-1)+逐级计算!$Q$70*(BR16-逐级计算!$P$70)*LN(10)/10))))))),"")</f>
        <v>13.7818860499943</v>
      </c>
      <c r="BT16">
        <f>IF(AND(ISNUMBER(BS16),逐级计算!$X$71&gt;-1),IF(逐级计算!$X$71=0,BS16+逐级计算!$C$71,BS16+逐级计算!$C$71-(10/(逐级计算!$Q$71*LN(10))*(MAX((LN(10^(逐级计算!$Q$71/10)-1)+逐级计算!$Q$71*(BS16-逐级计算!$P$71)*LN(10)/10),0)+LN(1+EXP(-ABS((LN(10^(逐级计算!$Q$71/10)-1)+逐级计算!$Q$71*(BS16-逐级计算!$P$71)*LN(10)/10))))))),"")</f>
        <v>13.7818860499943</v>
      </c>
      <c r="BU16">
        <f>IF(AND(ISNUMBER(BT16),逐级计算!$X$72&gt;-1),IF(逐级计算!$X$72=0,BT16+逐级计算!$C$72,BT16+逐级计算!$C$72-(10/(逐级计算!$Q$72*LN(10))*(MAX((LN(10^(逐级计算!$Q$72/10)-1)+逐级计算!$Q$72*(BT16-逐级计算!$P$72)*LN(10)/10),0)+LN(1+EXP(-ABS((LN(10^(逐级计算!$Q$72/10)-1)+逐级计算!$Q$72*(BT16-逐级计算!$P$72)*LN(10)/10))))))),"")</f>
        <v>13.7818860499943</v>
      </c>
      <c r="BV16">
        <f>IF(AND(ISNUMBER(BU16),逐级计算!$X$73&gt;-1),IF(逐级计算!$X$73=0,BU16+逐级计算!$C$73,BU16+逐级计算!$C$73-(10/(逐级计算!$Q$73*LN(10))*(MAX((LN(10^(逐级计算!$Q$73/10)-1)+逐级计算!$Q$73*(BU16-逐级计算!$P$73)*LN(10)/10),0)+LN(1+EXP(-ABS((LN(10^(逐级计算!$Q$73/10)-1)+逐级计算!$Q$73*(BU16-逐级计算!$P$73)*LN(10)/10))))))),"")</f>
        <v>13.7818860499943</v>
      </c>
      <c r="BW16">
        <f>IF(AND(ISNUMBER(BV16),逐级计算!$X$74&gt;-1),IF(逐级计算!$X$74=0,BV16+逐级计算!$C$74,BV16+逐级计算!$C$74-(10/(逐级计算!$Q$74*LN(10))*(MAX((LN(10^(逐级计算!$Q$74/10)-1)+逐级计算!$Q$74*(BV16-逐级计算!$P$74)*LN(10)/10),0)+LN(1+EXP(-ABS((LN(10^(逐级计算!$Q$74/10)-1)+逐级计算!$Q$74*(BV16-逐级计算!$P$74)*LN(10)/10))))))),"")</f>
        <v>13.7818860499943</v>
      </c>
      <c r="BX16">
        <f>IF(AND(ISNUMBER(BW16),逐级计算!$X$75&gt;-1),IF(逐级计算!$X$75=0,BW16+逐级计算!$C$75,BW16+逐级计算!$C$75-(10/(逐级计算!$Q$75*LN(10))*(MAX((LN(10^(逐级计算!$Q$75/10)-1)+逐级计算!$Q$75*(BW16-逐级计算!$P$75)*LN(10)/10),0)+LN(1+EXP(-ABS((LN(10^(逐级计算!$Q$75/10)-1)+逐级计算!$Q$75*(BW16-逐级计算!$P$75)*LN(10)/10))))))),"")</f>
        <v>13.7818860499943</v>
      </c>
      <c r="BY16">
        <f>IF(AND(ISNUMBER(BX16),逐级计算!$X$76&gt;-1),IF(逐级计算!$X$76=0,BX16+逐级计算!$C$76,BX16+逐级计算!$C$76-(10/(逐级计算!$Q$76*LN(10))*(MAX((LN(10^(逐级计算!$Q$76/10)-1)+逐级计算!$Q$76*(BX16-逐级计算!$P$76)*LN(10)/10),0)+LN(1+EXP(-ABS((LN(10^(逐级计算!$Q$76/10)-1)+逐级计算!$Q$76*(BX16-逐级计算!$P$76)*LN(10)/10))))))),"")</f>
        <v>13.7818860499943</v>
      </c>
      <c r="BZ16">
        <f>IF(AND(ISNUMBER(BY16),逐级计算!$X$77&gt;-1),IF(逐级计算!$X$77=0,BY16+逐级计算!$C$77,BY16+逐级计算!$C$77-(10/(逐级计算!$Q$77*LN(10))*(MAX((LN(10^(逐级计算!$Q$77/10)-1)+逐级计算!$Q$77*(BY16-逐级计算!$P$77)*LN(10)/10),0)+LN(1+EXP(-ABS((LN(10^(逐级计算!$Q$77/10)-1)+逐级计算!$Q$77*(BY16-逐级计算!$P$77)*LN(10)/10))))))),"")</f>
        <v>13.7818860499943</v>
      </c>
      <c r="CA16">
        <f>IF(AND(ISNUMBER(BZ16),逐级计算!$X$78&gt;-1),IF(逐级计算!$X$78=0,BZ16+逐级计算!$C$78,BZ16+逐级计算!$C$78-(10/(逐级计算!$Q$78*LN(10))*(MAX((LN(10^(逐级计算!$Q$78/10)-1)+逐级计算!$Q$78*(BZ16-逐级计算!$P$78)*LN(10)/10),0)+LN(1+EXP(-ABS((LN(10^(逐级计算!$Q$78/10)-1)+逐级计算!$Q$78*(BZ16-逐级计算!$P$78)*LN(10)/10))))))),"")</f>
        <v>13.7818860499943</v>
      </c>
      <c r="CB16">
        <f>IF(AND(ISNUMBER(CA16),逐级计算!$X$79&gt;-1),IF(逐级计算!$X$79=0,CA16+逐级计算!$C$79,CA16+逐级计算!$C$79-(10/(逐级计算!$Q$79*LN(10))*(MAX((LN(10^(逐级计算!$Q$79/10)-1)+逐级计算!$Q$79*(CA16-逐级计算!$P$79)*LN(10)/10),0)+LN(1+EXP(-ABS((LN(10^(逐级计算!$Q$79/10)-1)+逐级计算!$Q$79*(CA16-逐级计算!$P$79)*LN(10)/10))))))),"")</f>
        <v>13.7818860499943</v>
      </c>
      <c r="CC16">
        <f>IF(AND(ISNUMBER(CB16),逐级计算!$X$80&gt;-1),IF(逐级计算!$X$80=0,CB16+逐级计算!$C$80,CB16+逐级计算!$C$80-(10/(逐级计算!$Q$80*LN(10))*(MAX((LN(10^(逐级计算!$Q$80/10)-1)+逐级计算!$Q$80*(CB16-逐级计算!$P$80)*LN(10)/10),0)+LN(1+EXP(-ABS((LN(10^(逐级计算!$Q$80/10)-1)+逐级计算!$Q$80*(CB16-逐级计算!$P$80)*LN(10)/10))))))),"")</f>
        <v>13.7818860499943</v>
      </c>
      <c r="CD16">
        <f>IF(AND(ISNUMBER(CC16),逐级计算!$X$81&gt;-1),IF(逐级计算!$X$81=0,CC16+逐级计算!$C$81,CC16+逐级计算!$C$81-(10/(逐级计算!$Q$81*LN(10))*(MAX((LN(10^(逐级计算!$Q$81/10)-1)+逐级计算!$Q$81*(CC16-逐级计算!$P$81)*LN(10)/10),0)+LN(1+EXP(-ABS((LN(10^(逐级计算!$Q$81/10)-1)+逐级计算!$Q$81*(CC16-逐级计算!$P$81)*LN(10)/10))))))),"")</f>
        <v>13.7818860499943</v>
      </c>
      <c r="CE16">
        <f>IF(AND(ISNUMBER(CD16),逐级计算!$X$82&gt;-1),IF(逐级计算!$X$82=0,CD16+逐级计算!$C$82,CD16+逐级计算!$C$82-(10/(逐级计算!$Q$82*LN(10))*(MAX((LN(10^(逐级计算!$Q$82/10)-1)+逐级计算!$Q$82*(CD16-逐级计算!$P$82)*LN(10)/10),0)+LN(1+EXP(-ABS((LN(10^(逐级计算!$Q$82/10)-1)+逐级计算!$Q$82*(CD16-逐级计算!$P$82)*LN(10)/10))))))),"")</f>
        <v>13.7818860499943</v>
      </c>
      <c r="CF16">
        <f>IF(AND(ISNUMBER(CE16),逐级计算!$X$83&gt;-1),IF(逐级计算!$X$83=0,CE16+逐级计算!$C$83,CE16+逐级计算!$C$83-(10/(逐级计算!$Q$83*LN(10))*(MAX((LN(10^(逐级计算!$Q$83/10)-1)+逐级计算!$Q$83*(CE16-逐级计算!$P$83)*LN(10)/10),0)+LN(1+EXP(-ABS((LN(10^(逐级计算!$Q$83/10)-1)+逐级计算!$Q$83*(CE16-逐级计算!$P$83)*LN(10)/10))))))),"")</f>
        <v>13.7818860499943</v>
      </c>
      <c r="CG16">
        <f>IF(AND(ISNUMBER(CF16),逐级计算!$X$84&gt;-1),IF(逐级计算!$X$84=0,CF16+逐级计算!$C$84,CF16+逐级计算!$C$84-(10/(逐级计算!$Q$84*LN(10))*(MAX((LN(10^(逐级计算!$Q$84/10)-1)+逐级计算!$Q$84*(CF16-逐级计算!$P$84)*LN(10)/10),0)+LN(1+EXP(-ABS((LN(10^(逐级计算!$Q$84/10)-1)+逐级计算!$Q$84*(CF16-逐级计算!$P$84)*LN(10)/10))))))),"")</f>
        <v>13.7818860499943</v>
      </c>
      <c r="CH16">
        <f>IF(AND(ISNUMBER(CG16),逐级计算!$X$85&gt;-1),IF(逐级计算!$X$85=0,CG16+逐级计算!$C$85,CG16+逐级计算!$C$85-(10/(逐级计算!$Q$85*LN(10))*(MAX((LN(10^(逐级计算!$Q$85/10)-1)+逐级计算!$Q$85*(CG16-逐级计算!$P$85)*LN(10)/10),0)+LN(1+EXP(-ABS((LN(10^(逐级计算!$Q$85/10)-1)+逐级计算!$Q$85*(CG16-逐级计算!$P$85)*LN(10)/10))))))),"")</f>
        <v>13.7818860499943</v>
      </c>
      <c r="CI16">
        <f>IF(AND(ISNUMBER(CH16),逐级计算!$X$86&gt;-1),IF(逐级计算!$X$86=0,CH16+逐级计算!$C$86,CH16+逐级计算!$C$86-(10/(逐级计算!$Q$86*LN(10))*(MAX((LN(10^(逐级计算!$Q$86/10)-1)+逐级计算!$Q$86*(CH16-逐级计算!$P$86)*LN(10)/10),0)+LN(1+EXP(-ABS((LN(10^(逐级计算!$Q$86/10)-1)+逐级计算!$Q$86*(CH16-逐级计算!$P$86)*LN(10)/10))))))),"")</f>
        <v>13.7818860499943</v>
      </c>
      <c r="CJ16">
        <f>IF(AND(ISNUMBER(CI16),逐级计算!$X$87&gt;-1),IF(逐级计算!$X$87=0,CI16+逐级计算!$C$87,CI16+逐级计算!$C$87-(10/(逐级计算!$Q$87*LN(10))*(MAX((LN(10^(逐级计算!$Q$87/10)-1)+逐级计算!$Q$87*(CI16-逐级计算!$P$87)*LN(10)/10),0)+LN(1+EXP(-ABS((LN(10^(逐级计算!$Q$87/10)-1)+逐级计算!$Q$87*(CI16-逐级计算!$P$87)*LN(10)/10))))))),"")</f>
        <v>13.7818860499943</v>
      </c>
      <c r="CK16">
        <f>IF(AND(ISNUMBER(CJ16),逐级计算!$X$88&gt;-1),IF(逐级计算!$X$88=0,CJ16+逐级计算!$C$88,CJ16+逐级计算!$C$88-(10/(逐级计算!$Q$88*LN(10))*(MAX((LN(10^(逐级计算!$Q$88/10)-1)+逐级计算!$Q$88*(CJ16-逐级计算!$P$88)*LN(10)/10),0)+LN(1+EXP(-ABS((LN(10^(逐级计算!$Q$88/10)-1)+逐级计算!$Q$88*(CJ16-逐级计算!$P$88)*LN(10)/10))))))),"")</f>
        <v>13.7818860499943</v>
      </c>
      <c r="CL16">
        <f>IF(AND(ISNUMBER(CK16),逐级计算!$X$89&gt;-1),IF(逐级计算!$X$89=0,CK16+逐级计算!$C$89,CK16+逐级计算!$C$89-(10/(逐级计算!$Q$89*LN(10))*(MAX((LN(10^(逐级计算!$Q$89/10)-1)+逐级计算!$Q$89*(CK16-逐级计算!$P$89)*LN(10)/10),0)+LN(1+EXP(-ABS((LN(10^(逐级计算!$Q$89/10)-1)+逐级计算!$Q$89*(CK16-逐级计算!$P$89)*LN(10)/10))))))),"")</f>
        <v>13.7818860499943</v>
      </c>
      <c r="CM16">
        <f>IF(AND(ISNUMBER(CL16),逐级计算!$X$90&gt;-1),IF(逐级计算!$X$90=0,CL16+逐级计算!$C$90,CL16+逐级计算!$C$90-(10/(逐级计算!$Q$90*LN(10))*(MAX((LN(10^(逐级计算!$Q$90/10)-1)+逐级计算!$Q$90*(CL16-逐级计算!$P$90)*LN(10)/10),0)+LN(1+EXP(-ABS((LN(10^(逐级计算!$Q$90/10)-1)+逐级计算!$Q$90*(CL16-逐级计算!$P$90)*LN(10)/10))))))),"")</f>
        <v>13.7818860499943</v>
      </c>
      <c r="CN16">
        <f>IF(AND(ISNUMBER(CM16),逐级计算!$X$91&gt;-1),IF(逐级计算!$X$91=0,CM16+逐级计算!$C$91,CM16+逐级计算!$C$91-(10/(逐级计算!$Q$91*LN(10))*(MAX((LN(10^(逐级计算!$Q$91/10)-1)+逐级计算!$Q$91*(CM16-逐级计算!$P$91)*LN(10)/10),0)+LN(1+EXP(-ABS((LN(10^(逐级计算!$Q$91/10)-1)+逐级计算!$Q$91*(CM16-逐级计算!$P$91)*LN(10)/10))))))),"")</f>
        <v>13.7818860499943</v>
      </c>
      <c r="CO16">
        <f>IF(AND(ISNUMBER(CN16),逐级计算!$X$92&gt;-1),IF(逐级计算!$X$92=0,CN16+逐级计算!$C$92,CN16+逐级计算!$C$92-(10/(逐级计算!$Q$92*LN(10))*(MAX((LN(10^(逐级计算!$Q$92/10)-1)+逐级计算!$Q$92*(CN16-逐级计算!$P$92)*LN(10)/10),0)+LN(1+EXP(-ABS((LN(10^(逐级计算!$Q$92/10)-1)+逐级计算!$Q$92*(CN16-逐级计算!$P$92)*LN(10)/10))))))),"")</f>
        <v>13.7818860499943</v>
      </c>
      <c r="CP16">
        <f>IF(AND(ISNUMBER(CO16),逐级计算!$X$93&gt;-1),IF(逐级计算!$X$93=0,CO16+逐级计算!$C$93,CO16+逐级计算!$C$93-(10/(逐级计算!$Q$93*LN(10))*(MAX((LN(10^(逐级计算!$Q$93/10)-1)+逐级计算!$Q$93*(CO16-逐级计算!$P$93)*LN(10)/10),0)+LN(1+EXP(-ABS((LN(10^(逐级计算!$Q$93/10)-1)+逐级计算!$Q$93*(CO16-逐级计算!$P$93)*LN(10)/10))))))),"")</f>
        <v>13.7818860499943</v>
      </c>
      <c r="CQ16">
        <f>IF(AND(ISNUMBER(CP16),逐级计算!$X$94&gt;-1),IF(逐级计算!$X$94=0,CP16+逐级计算!$C$94,CP16+逐级计算!$C$94-(10/(逐级计算!$Q$94*LN(10))*(MAX((LN(10^(逐级计算!$Q$94/10)-1)+逐级计算!$Q$94*(CP16-逐级计算!$P$94)*LN(10)/10),0)+LN(1+EXP(-ABS((LN(10^(逐级计算!$Q$94/10)-1)+逐级计算!$Q$94*(CP16-逐级计算!$P$94)*LN(10)/10))))))),"")</f>
        <v>13.7818860499943</v>
      </c>
      <c r="CR16">
        <f>IF(AND(ISNUMBER(CQ16),逐级计算!$X$95&gt;-1),IF(逐级计算!$X$95=0,CQ16+逐级计算!$C$95,CQ16+逐级计算!$C$95-(10/(逐级计算!$Q$95*LN(10))*(MAX((LN(10^(逐级计算!$Q$95/10)-1)+逐级计算!$Q$95*(CQ16-逐级计算!$P$95)*LN(10)/10),0)+LN(1+EXP(-ABS((LN(10^(逐级计算!$Q$95/10)-1)+逐级计算!$Q$95*(CQ16-逐级计算!$P$95)*LN(10)/10))))))),"")</f>
        <v>13.7818860499943</v>
      </c>
      <c r="CS16">
        <f>IF(AND(ISNUMBER(CR16),逐级计算!$X$96&gt;-1),IF(逐级计算!$X$96=0,CR16+逐级计算!$C$96,CR16+逐级计算!$C$96-(10/(逐级计算!$Q$96*LN(10))*(MAX((LN(10^(逐级计算!$Q$96/10)-1)+逐级计算!$Q$96*(CR16-逐级计算!$P$96)*LN(10)/10),0)+LN(1+EXP(-ABS((LN(10^(逐级计算!$Q$96/10)-1)+逐级计算!$Q$96*(CR16-逐级计算!$P$96)*LN(10)/10))))))),"")</f>
        <v>13.7818860499943</v>
      </c>
      <c r="CT16">
        <f>IF(AND(ISNUMBER(CS16),逐级计算!$X$97&gt;-1),IF(逐级计算!$X$97=0,CS16+逐级计算!$C$97,CS16+逐级计算!$C$97-(10/(逐级计算!$Q$97*LN(10))*(MAX((LN(10^(逐级计算!$Q$97/10)-1)+逐级计算!$Q$97*(CS16-逐级计算!$P$97)*LN(10)/10),0)+LN(1+EXP(-ABS((LN(10^(逐级计算!$Q$97/10)-1)+逐级计算!$Q$97*(CS16-逐级计算!$P$97)*LN(10)/10))))))),"")</f>
        <v>13.7818860499943</v>
      </c>
      <c r="CU16">
        <f>IF(AND(ISNUMBER(CT16),逐级计算!$X$98&gt;-1),IF(逐级计算!$X$98=0,CT16+逐级计算!$C$98,CT16+逐级计算!$C$98-(10/(逐级计算!$Q$98*LN(10))*(MAX((LN(10^(逐级计算!$Q$98/10)-1)+逐级计算!$Q$98*(CT16-逐级计算!$P$98)*LN(10)/10),0)+LN(1+EXP(-ABS((LN(10^(逐级计算!$Q$98/10)-1)+逐级计算!$Q$98*(CT16-逐级计算!$P$98)*LN(10)/10))))))),"")</f>
        <v>13.7818860499943</v>
      </c>
      <c r="CV16">
        <f>IF(AND(ISNUMBER(CU16),逐级计算!$X$99&gt;-1),IF(逐级计算!$X$99=0,CU16+逐级计算!$C$99,CU16+逐级计算!$C$99-(10/(逐级计算!$Q$99*LN(10))*(MAX((LN(10^(逐级计算!$Q$99/10)-1)+逐级计算!$Q$99*(CU16-逐级计算!$P$99)*LN(10)/10),0)+LN(1+EXP(-ABS((LN(10^(逐级计算!$Q$99/10)-1)+逐级计算!$Q$99*(CU16-逐级计算!$P$99)*LN(10)/10))))))),"")</f>
        <v>13.7818860499943</v>
      </c>
      <c r="CW16">
        <f>IF(AND(ISNUMBER(CV16),逐级计算!$X$100&gt;-1),IF(逐级计算!$X$100=0,CV16+逐级计算!$C$100,CV16+逐级计算!$C$100-(10/(逐级计算!$Q$100*LN(10))*(MAX((LN(10^(逐级计算!$Q$100/10)-1)+逐级计算!$Q$100*(CV16-逐级计算!$P$100)*LN(10)/10),0)+LN(1+EXP(-ABS((LN(10^(逐级计算!$Q$100/10)-1)+逐级计算!$Q$100*(CV16-逐级计算!$P$100)*LN(10)/10))))))),"")</f>
        <v>13.7818860499943</v>
      </c>
      <c r="CX16">
        <f>IF(AND(ISNUMBER(CW16),逐级计算!$X$101&gt;-1),IF(逐级计算!$X$101=0,CW16+逐级计算!$C$101,CW16+逐级计算!$C$101-(10/(逐级计算!$Q$101*LN(10))*(MAX((LN(10^(逐级计算!$Q$101/10)-1)+逐级计算!$Q$101*(CW16-逐级计算!$P$101)*LN(10)/10),0)+LN(1+EXP(-ABS((LN(10^(逐级计算!$Q$101/10)-1)+逐级计算!$Q$101*(CW16-逐级计算!$P$101)*LN(10)/10))))))),"")</f>
        <v>13.7818860499943</v>
      </c>
      <c r="CY16">
        <f>IF(AND(ISNUMBER(CX16),逐级计算!$X$102&gt;-1),IF(逐级计算!$X$102=0,CX16+逐级计算!$C$102,CX16+逐级计算!$C$102-(10/(逐级计算!$Q$102*LN(10))*(MAX((LN(10^(逐级计算!$Q$102/10)-1)+逐级计算!$Q$102*(CX16-逐级计算!$P$102)*LN(10)/10),0)+LN(1+EXP(-ABS((LN(10^(逐级计算!$Q$102/10)-1)+逐级计算!$Q$102*(CX16-逐级计算!$P$102)*LN(10)/10))))))),"")</f>
        <v>13.7818860499943</v>
      </c>
      <c r="CZ16">
        <f>IF(AND(ISNUMBER(CY16),逐级计算!$X$103&gt;-1),IF(逐级计算!$X$103=0,CY16+逐级计算!$C$103,CY16+逐级计算!$C$103-(10/(逐级计算!$Q$103*LN(10))*(MAX((LN(10^(逐级计算!$Q$103/10)-1)+逐级计算!$Q$103*(CY16-逐级计算!$P$103)*LN(10)/10),0)+LN(1+EXP(-ABS((LN(10^(逐级计算!$Q$103/10)-1)+逐级计算!$Q$103*(CY16-逐级计算!$P$103)*LN(10)/10))))))),"")</f>
        <v>13.7818860499943</v>
      </c>
      <c r="DA16">
        <f>IF(AND(ISNUMBER(CZ16),逐级计算!$X$104&gt;-1),IF(逐级计算!$X$104=0,CZ16+逐级计算!$C$104,CZ16+逐级计算!$C$104-(10/(逐级计算!$Q$104*LN(10))*(MAX((LN(10^(逐级计算!$Q$104/10)-1)+逐级计算!$Q$104*(CZ16-逐级计算!$P$104)*LN(10)/10),0)+LN(1+EXP(-ABS((LN(10^(逐级计算!$Q$104/10)-1)+逐级计算!$Q$104*(CZ16-逐级计算!$P$104)*LN(10)/10))))))),"")</f>
        <v>13.7818860499943</v>
      </c>
      <c r="DB16">
        <f>IF(AND(ISNUMBER(DA16),逐级计算!$X$105&gt;-1),IF(逐级计算!$X$105=0,DA16+逐级计算!$C$105,DA16+逐级计算!$C$105-(10/(逐级计算!$Q$105*LN(10))*(MAX((LN(10^(逐级计算!$Q$105/10)-1)+逐级计算!$Q$105*(DA16-逐级计算!$P$105)*LN(10)/10),0)+LN(1+EXP(-ABS((LN(10^(逐级计算!$Q$105/10)-1)+逐级计算!$Q$105*(DA16-逐级计算!$P$105)*LN(10)/10))))))),"")</f>
        <v>13.7818860499943</v>
      </c>
      <c r="DC16">
        <f>IF(AND(ISNUMBER(DB16),逐级计算!$X$106&gt;-1),IF(逐级计算!$X$106=0,DB16+逐级计算!$C$106,DB16+逐级计算!$C$106-(10/(逐级计算!$Q$106*LN(10))*(MAX((LN(10^(逐级计算!$Q$106/10)-1)+逐级计算!$Q$106*(DB16-逐级计算!$P$106)*LN(10)/10),0)+LN(1+EXP(-ABS((LN(10^(逐级计算!$Q$106/10)-1)+逐级计算!$Q$106*(DB16-逐级计算!$P$106)*LN(10)/10))))))),"")</f>
        <v>13.7818860499943</v>
      </c>
      <c r="DD16">
        <f>IF(AND(ISNUMBER(DC16),逐级计算!$X$107&gt;-1),IF(逐级计算!$X$107=0,DC16+逐级计算!$C$107,DC16+逐级计算!$C$107-(10/(逐级计算!$Q$107*LN(10))*(MAX((LN(10^(逐级计算!$Q$107/10)-1)+逐级计算!$Q$107*(DC16-逐级计算!$P$107)*LN(10)/10),0)+LN(1+EXP(-ABS((LN(10^(逐级计算!$Q$107/10)-1)+逐级计算!$Q$107*(DC16-逐级计算!$P$107)*LN(10)/10))))))),"")</f>
        <v>13.7818860499943</v>
      </c>
      <c r="DE16">
        <f>IF(AND(ISNUMBER(DD16),逐级计算!$X$108&gt;-1),IF(逐级计算!$X$108=0,DD16+逐级计算!$C$108,DD16+逐级计算!$C$108-(10/(逐级计算!$Q$108*LN(10))*(MAX((LN(10^(逐级计算!$Q$108/10)-1)+逐级计算!$Q$108*(DD16-逐级计算!$P$108)*LN(10)/10),0)+LN(1+EXP(-ABS((LN(10^(逐级计算!$Q$108/10)-1)+逐级计算!$Q$108*(DD16-逐级计算!$P$108)*LN(10)/10))))))),"")</f>
        <v>13.7818860499943</v>
      </c>
      <c r="DF16">
        <f>IF(AND(ISNUMBER(DE16),逐级计算!$X$109&gt;-1),IF(逐级计算!$X$109=0,DE16+逐级计算!$C$109,DE16+逐级计算!$C$109-(10/(逐级计算!$Q$109*LN(10))*(MAX((LN(10^(逐级计算!$Q$109/10)-1)+逐级计算!$Q$109*(DE16-逐级计算!$P$109)*LN(10)/10),0)+LN(1+EXP(-ABS((LN(10^(逐级计算!$Q$109/10)-1)+逐级计算!$Q$109*(DE16-逐级计算!$P$109)*LN(10)/10))))))),"")</f>
        <v>13.7818860499943</v>
      </c>
      <c r="DG16">
        <f>IF(AND(ISNUMBER(DF16),逐级计算!$X$110&gt;-1),IF(逐级计算!$X$110=0,DF16+逐级计算!$C$110,DF16+逐级计算!$C$110-(10/(逐级计算!$Q$110*LN(10))*(MAX((LN(10^(逐级计算!$Q$110/10)-1)+逐级计算!$Q$110*(DF16-逐级计算!$P$110)*LN(10)/10),0)+LN(1+EXP(-ABS((LN(10^(逐级计算!$Q$110/10)-1)+逐级计算!$Q$110*(DF16-逐级计算!$P$110)*LN(10)/10))))))),"")</f>
        <v>13.7818860499943</v>
      </c>
      <c r="DH16">
        <f>IF(AND(ISNUMBER(DG16),逐级计算!$X$111&gt;-1),IF(逐级计算!$X$111=0,DG16+逐级计算!$C$111,DG16+逐级计算!$C$111-(10/(逐级计算!$Q$111*LN(10))*(MAX((LN(10^(逐级计算!$Q$111/10)-1)+逐级计算!$Q$111*(DG16-逐级计算!$P$111)*LN(10)/10),0)+LN(1+EXP(-ABS((LN(10^(逐级计算!$Q$111/10)-1)+逐级计算!$Q$111*(DG16-逐级计算!$P$111)*LN(10)/10))))))),"")</f>
        <v>13.7818860499943</v>
      </c>
      <c r="DI16">
        <f>IF(AND(ISNUMBER(DH16),逐级计算!$X$112&gt;-1),IF(逐级计算!$X$112=0,DH16+逐级计算!$C$112,DH16+逐级计算!$C$112-(10/(逐级计算!$Q$112*LN(10))*(MAX((LN(10^(逐级计算!$Q$112/10)-1)+逐级计算!$Q$112*(DH16-逐级计算!$P$112)*LN(10)/10),0)+LN(1+EXP(-ABS((LN(10^(逐级计算!$Q$112/10)-1)+逐级计算!$Q$112*(DH16-逐级计算!$P$112)*LN(10)/10))))))),"")</f>
        <v>13.7818860499943</v>
      </c>
      <c r="DJ16">
        <f>IF(AND(ISNUMBER(DI16),逐级计算!$X$113&gt;-1),IF(逐级计算!$X$113=0,DI16+逐级计算!$C$113,DI16+逐级计算!$C$113-(10/(逐级计算!$Q$113*LN(10))*(MAX((LN(10^(逐级计算!$Q$113/10)-1)+逐级计算!$Q$113*(DI16-逐级计算!$P$113)*LN(10)/10),0)+LN(1+EXP(-ABS((LN(10^(逐级计算!$Q$113/10)-1)+逐级计算!$Q$113*(DI16-逐级计算!$P$113)*LN(10)/10))))))),"")</f>
        <v>13.7818860499943</v>
      </c>
      <c r="DK16">
        <f>IF(AND(ISNUMBER(DJ16),逐级计算!$X$114&gt;-1),IF(逐级计算!$X$114=0,DJ16+逐级计算!$C$114,DJ16+逐级计算!$C$114-(10/(逐级计算!$Q$114*LN(10))*(MAX((LN(10^(逐级计算!$Q$114/10)-1)+逐级计算!$Q$114*(DJ16-逐级计算!$P$114)*LN(10)/10),0)+LN(1+EXP(-ABS((LN(10^(逐级计算!$Q$114/10)-1)+逐级计算!$Q$114*(DJ16-逐级计算!$P$114)*LN(10)/10))))))),"")</f>
        <v>13.7818860499943</v>
      </c>
      <c r="DL16">
        <f>IF(AND(ISNUMBER(DK16),逐级计算!$X$115&gt;-1),IF(逐级计算!$X$115=0,DK16+逐级计算!$C$115,DK16+逐级计算!$C$115-(10/(逐级计算!$Q$115*LN(10))*(MAX((LN(10^(逐级计算!$Q$115/10)-1)+逐级计算!$Q$115*(DK16-逐级计算!$P$115)*LN(10)/10),0)+LN(1+EXP(-ABS((LN(10^(逐级计算!$Q$115/10)-1)+逐级计算!$Q$115*(DK16-逐级计算!$P$115)*LN(10)/10))))))),"")</f>
        <v>13.7818860499943</v>
      </c>
      <c r="DM16">
        <f>IF(AND(ISNUMBER(DL16),逐级计算!$X$116&gt;-1),IF(逐级计算!$X$116=0,DL16+逐级计算!$C$116,DL16+逐级计算!$C$116-(10/(逐级计算!$Q$116*LN(10))*(MAX((LN(10^(逐级计算!$Q$116/10)-1)+逐级计算!$Q$116*(DL16-逐级计算!$P$116)*LN(10)/10),0)+LN(1+EXP(-ABS((LN(10^(逐级计算!$Q$116/10)-1)+逐级计算!$Q$116*(DL16-逐级计算!$P$116)*LN(10)/10))))))),"")</f>
        <v>13.7818860499943</v>
      </c>
      <c r="DN16">
        <f>IF(AND(ISNUMBER(DM16),逐级计算!$X$117&gt;-1),IF(逐级计算!$X$117=0,DM16+逐级计算!$C$117,DM16+逐级计算!$C$117-(10/(逐级计算!$Q$117*LN(10))*(MAX((LN(10^(逐级计算!$Q$117/10)-1)+逐级计算!$Q$117*(DM16-逐级计算!$P$117)*LN(10)/10),0)+LN(1+EXP(-ABS((LN(10^(逐级计算!$Q$117/10)-1)+逐级计算!$Q$117*(DM16-逐级计算!$P$117)*LN(10)/10))))))),"")</f>
        <v>13.7818860499943</v>
      </c>
      <c r="DO16">
        <f>IF(AND(ISNUMBER(DN16),逐级计算!$X$118&gt;-1),IF(逐级计算!$X$118=0,DN16+逐级计算!$C$118,DN16+逐级计算!$C$118-(10/(逐级计算!$Q$118*LN(10))*(MAX((LN(10^(逐级计算!$Q$118/10)-1)+逐级计算!$Q$118*(DN16-逐级计算!$P$118)*LN(10)/10),0)+LN(1+EXP(-ABS((LN(10^(逐级计算!$Q$118/10)-1)+逐级计算!$Q$118*(DN16-逐级计算!$P$118)*LN(10)/10))))))),"")</f>
        <v>13.7818860499943</v>
      </c>
      <c r="DP16">
        <f>IF(AND(ISNUMBER(DO16),逐级计算!$X$119&gt;-1),IF(逐级计算!$X$119=0,DO16+逐级计算!$C$119,DO16+逐级计算!$C$119-(10/(逐级计算!$Q$119*LN(10))*(MAX((LN(10^(逐级计算!$Q$119/10)-1)+逐级计算!$Q$119*(DO16-逐级计算!$P$119)*LN(10)/10),0)+LN(1+EXP(-ABS((LN(10^(逐级计算!$Q$119/10)-1)+逐级计算!$Q$119*(DO16-逐级计算!$P$119)*LN(10)/10))))))),"")</f>
        <v>13.7818860499943</v>
      </c>
      <c r="DQ16">
        <f>IF(AND(ISNUMBER(DP16),逐级计算!$X$120&gt;-1),IF(逐级计算!$X$120=0,DP16+逐级计算!$C$120,DP16+逐级计算!$C$120-(10/(逐级计算!$Q$120*LN(10))*(MAX((LN(10^(逐级计算!$Q$120/10)-1)+逐级计算!$Q$120*(DP16-逐级计算!$P$120)*LN(10)/10),0)+LN(1+EXP(-ABS((LN(10^(逐级计算!$Q$120/10)-1)+逐级计算!$Q$120*(DP16-逐级计算!$P$120)*LN(10)/10))))))),"")</f>
        <v>13.7818860499943</v>
      </c>
      <c r="DR16">
        <f>IF(AND(ISNUMBER(DQ16),逐级计算!$X$121&gt;-1),IF(逐级计算!$X$121=0,DQ16+逐级计算!$C$121,DQ16+逐级计算!$C$121-(10/(逐级计算!$Q$121*LN(10))*(MAX((LN(10^(逐级计算!$Q$121/10)-1)+逐级计算!$Q$121*(DQ16-逐级计算!$P$121)*LN(10)/10),0)+LN(1+EXP(-ABS((LN(10^(逐级计算!$Q$121/10)-1)+逐级计算!$Q$121*(DQ16-逐级计算!$P$121)*LN(10)/10))))))),"")</f>
        <v>13.7818860499943</v>
      </c>
      <c r="DS16">
        <f>IF(AND(ISNUMBER(DR16),逐级计算!$X$122&gt;-1),IF(逐级计算!$X$122=0,DR16+逐级计算!$C$122,DR16+逐级计算!$C$122-(10/(逐级计算!$Q$122*LN(10))*(MAX((LN(10^(逐级计算!$Q$122/10)-1)+逐级计算!$Q$122*(DR16-逐级计算!$P$122)*LN(10)/10),0)+LN(1+EXP(-ABS((LN(10^(逐级计算!$Q$122/10)-1)+逐级计算!$Q$122*(DR16-逐级计算!$P$122)*LN(10)/10))))))),"")</f>
        <v>13.7818860499943</v>
      </c>
      <c r="DT16">
        <f>IF(AND(ISNUMBER(DS16),逐级计算!$X$123&gt;-1),IF(逐级计算!$X$123=0,DS16+逐级计算!$C$123,DS16+逐级计算!$C$123-(10/(逐级计算!$Q$123*LN(10))*(MAX((LN(10^(逐级计算!$Q$123/10)-1)+逐级计算!$Q$123*(DS16-逐级计算!$P$123)*LN(10)/10),0)+LN(1+EXP(-ABS((LN(10^(逐级计算!$Q$123/10)-1)+逐级计算!$Q$123*(DS16-逐级计算!$P$123)*LN(10)/10))))))),"")</f>
        <v>13.7818860499943</v>
      </c>
      <c r="DU16">
        <f>IF(AND(ISNUMBER(DT16),逐级计算!$X$124&gt;-1),IF(逐级计算!$X$124=0,DT16+逐级计算!$C$124,DT16+逐级计算!$C$124-(10/(逐级计算!$Q$124*LN(10))*(MAX((LN(10^(逐级计算!$Q$124/10)-1)+逐级计算!$Q$124*(DT16-逐级计算!$P$124)*LN(10)/10),0)+LN(1+EXP(-ABS((LN(10^(逐级计算!$Q$124/10)-1)+逐级计算!$Q$124*(DT16-逐级计算!$P$124)*LN(10)/10))))))),"")</f>
        <v>13.7818860499943</v>
      </c>
      <c r="DV16">
        <f>IF(AND(ISNUMBER(DU16),逐级计算!$X$125&gt;-1),IF(逐级计算!$X$125=0,DU16+逐级计算!$C$125,DU16+逐级计算!$C$125-(10/(逐级计算!$Q$125*LN(10))*(MAX((LN(10^(逐级计算!$Q$125/10)-1)+逐级计算!$Q$125*(DU16-逐级计算!$P$125)*LN(10)/10),0)+LN(1+EXP(-ABS((LN(10^(逐级计算!$Q$125/10)-1)+逐级计算!$Q$125*(DU16-逐级计算!$P$125)*LN(10)/10))))))),"")</f>
        <v>13.7818860499943</v>
      </c>
      <c r="DW16">
        <f>IF(AND(ISNUMBER(DV16),逐级计算!$X$126&gt;-1),IF(逐级计算!$X$126=0,DV16+逐级计算!$C$126,DV16+逐级计算!$C$126-(10/(逐级计算!$Q$126*LN(10))*(MAX((LN(10^(逐级计算!$Q$126/10)-1)+逐级计算!$Q$126*(DV16-逐级计算!$P$126)*LN(10)/10),0)+LN(1+EXP(-ABS((LN(10^(逐级计算!$Q$126/10)-1)+逐级计算!$Q$126*(DV16-逐级计算!$P$126)*LN(10)/10))))))),"")</f>
        <v>13.7818860499943</v>
      </c>
      <c r="DX16">
        <f>IF(AND(ISNUMBER(DW16),逐级计算!$X$127&gt;-1),IF(逐级计算!$X$127=0,DW16+逐级计算!$C$127,DW16+逐级计算!$C$127-(10/(逐级计算!$Q$127*LN(10))*(MAX((LN(10^(逐级计算!$Q$127/10)-1)+逐级计算!$Q$127*(DW16-逐级计算!$P$127)*LN(10)/10),0)+LN(1+EXP(-ABS((LN(10^(逐级计算!$Q$127/10)-1)+逐级计算!$Q$127*(DW16-逐级计算!$P$127)*LN(10)/10))))))),"")</f>
        <v>13.7818860499943</v>
      </c>
      <c r="DY16">
        <f>IF(AND(ISNUMBER(DX16),逐级计算!$X$128&gt;-1),IF(逐级计算!$X$128=0,DX16+逐级计算!$C$128,DX16+逐级计算!$C$128-(10/(逐级计算!$Q$128*LN(10))*(MAX((LN(10^(逐级计算!$Q$128/10)-1)+逐级计算!$Q$128*(DX16-逐级计算!$P$128)*LN(10)/10),0)+LN(1+EXP(-ABS((LN(10^(逐级计算!$Q$128/10)-1)+逐级计算!$Q$128*(DX16-逐级计算!$P$128)*LN(10)/10))))))),"")</f>
        <v>13.7818860499943</v>
      </c>
      <c r="DZ16">
        <f>IF(AND(ISNUMBER(DY16),逐级计算!$X$129&gt;-1),IF(逐级计算!$X$129=0,DY16+逐级计算!$C$129,DY16+逐级计算!$C$129-(10/(逐级计算!$Q$129*LN(10))*(MAX((LN(10^(逐级计算!$Q$129/10)-1)+逐级计算!$Q$129*(DY16-逐级计算!$P$129)*LN(10)/10),0)+LN(1+EXP(-ABS((LN(10^(逐级计算!$Q$129/10)-1)+逐级计算!$Q$129*(DY16-逐级计算!$P$129)*LN(10)/10))))))),"")</f>
        <v>13.7818860499943</v>
      </c>
      <c r="EA16">
        <f>IF(AND(ISNUMBER(DZ16),逐级计算!$X$130&gt;-1),IF(逐级计算!$X$130=0,DZ16+逐级计算!$C$130,DZ16+逐级计算!$C$130-(10/(逐级计算!$Q$130*LN(10))*(MAX((LN(10^(逐级计算!$Q$130/10)-1)+逐级计算!$Q$130*(DZ16-逐级计算!$P$130)*LN(10)/10),0)+LN(1+EXP(-ABS((LN(10^(逐级计算!$Q$130/10)-1)+逐级计算!$Q$130*(DZ16-逐级计算!$P$130)*LN(10)/10))))))),"")</f>
        <v>13.7818860499943</v>
      </c>
      <c r="EB16">
        <f>IF(AND(ISNUMBER(EA16),逐级计算!$X$131&gt;-1),IF(逐级计算!$X$131=0,EA16+逐级计算!$C$131,EA16+逐级计算!$C$131-(10/(逐级计算!$Q$131*LN(10))*(MAX((LN(10^(逐级计算!$Q$131/10)-1)+逐级计算!$Q$131*(EA16-逐级计算!$P$131)*LN(10)/10),0)+LN(1+EXP(-ABS((LN(10^(逐级计算!$Q$131/10)-1)+逐级计算!$Q$131*(EA16-逐级计算!$P$131)*LN(10)/10))))))),"")</f>
        <v>13.7818860499943</v>
      </c>
      <c r="EC16">
        <f>IF(AND(ISNUMBER(EB16),逐级计算!$X$132&gt;-1),IF(逐级计算!$X$132=0,EB16+逐级计算!$C$132,EB16+逐级计算!$C$132-(10/(逐级计算!$Q$132*LN(10))*(MAX((LN(10^(逐级计算!$Q$132/10)-1)+逐级计算!$Q$132*(EB16-逐级计算!$P$132)*LN(10)/10),0)+LN(1+EXP(-ABS((LN(10^(逐级计算!$Q$132/10)-1)+逐级计算!$Q$132*(EB16-逐级计算!$P$132)*LN(10)/10))))))),"")</f>
        <v>13.7818860499943</v>
      </c>
      <c r="ED16">
        <f>IF(AND(ISNUMBER(EC16),逐级计算!$X$133&gt;-1),IF(逐级计算!$X$133=0,EC16+逐级计算!$C$133,EC16+逐级计算!$C$133-(10/(逐级计算!$Q$133*LN(10))*(MAX((LN(10^(逐级计算!$Q$133/10)-1)+逐级计算!$Q$133*(EC16-逐级计算!$P$133)*LN(10)/10),0)+LN(1+EXP(-ABS((LN(10^(逐级计算!$Q$133/10)-1)+逐级计算!$Q$133*(EC16-逐级计算!$P$133)*LN(10)/10))))))),"")</f>
        <v>13.7818860499943</v>
      </c>
      <c r="EE16">
        <f>IF(AND(ISNUMBER(ED16),逐级计算!$X$134&gt;-1),IF(逐级计算!$X$134=0,ED16+逐级计算!$C$134,ED16+逐级计算!$C$134-(10/(逐级计算!$Q$134*LN(10))*(MAX((LN(10^(逐级计算!$Q$134/10)-1)+逐级计算!$Q$134*(ED16-逐级计算!$P$134)*LN(10)/10),0)+LN(1+EXP(-ABS((LN(10^(逐级计算!$Q$134/10)-1)+逐级计算!$Q$134*(ED16-逐级计算!$P$134)*LN(10)/10))))))),"")</f>
        <v>13.7818860499943</v>
      </c>
      <c r="EF16">
        <f>IF(AND(ISNUMBER(EE16),逐级计算!$X$135&gt;-1),IF(逐级计算!$X$135=0,EE16+逐级计算!$C$135,EE16+逐级计算!$C$135-(10/(逐级计算!$Q$135*LN(10))*(MAX((LN(10^(逐级计算!$Q$135/10)-1)+逐级计算!$Q$135*(EE16-逐级计算!$P$135)*LN(10)/10),0)+LN(1+EXP(-ABS((LN(10^(逐级计算!$Q$135/10)-1)+逐级计算!$Q$135*(EE16-逐级计算!$P$135)*LN(10)/10))))))),"")</f>
        <v>13.7818860499943</v>
      </c>
      <c r="EG16">
        <f>IF(AND(ISNUMBER(EF16),逐级计算!$X$136&gt;-1),IF(逐级计算!$X$136=0,EF16+逐级计算!$C$136,EF16+逐级计算!$C$136-(10/(逐级计算!$Q$136*LN(10))*(MAX((LN(10^(逐级计算!$Q$136/10)-1)+逐级计算!$Q$136*(EF16-逐级计算!$P$136)*LN(10)/10),0)+LN(1+EXP(-ABS((LN(10^(逐级计算!$Q$136/10)-1)+逐级计算!$Q$136*(EF16-逐级计算!$P$136)*LN(10)/10))))))),"")</f>
        <v>13.7818860499943</v>
      </c>
      <c r="EH16">
        <f>IF(AND(ISNUMBER(EG16),逐级计算!$X$137&gt;-1),IF(逐级计算!$X$137=0,EG16+逐级计算!$C$137,EG16+逐级计算!$C$137-(10/(逐级计算!$Q$137*LN(10))*(MAX((LN(10^(逐级计算!$Q$137/10)-1)+逐级计算!$Q$137*(EG16-逐级计算!$P$137)*LN(10)/10),0)+LN(1+EXP(-ABS((LN(10^(逐级计算!$Q$137/10)-1)+逐级计算!$Q$137*(EG16-逐级计算!$P$137)*LN(10)/10))))))),"")</f>
        <v>13.7818860499943</v>
      </c>
      <c r="EI16">
        <f>IF(AND(ISNUMBER(EH16),逐级计算!$X$138&gt;-1),IF(逐级计算!$X$138=0,EH16+逐级计算!$C$138,EH16+逐级计算!$C$138-(10/(逐级计算!$Q$138*LN(10))*(MAX((LN(10^(逐级计算!$Q$138/10)-1)+逐级计算!$Q$138*(EH16-逐级计算!$P$138)*LN(10)/10),0)+LN(1+EXP(-ABS((LN(10^(逐级计算!$Q$138/10)-1)+逐级计算!$Q$138*(EH16-逐级计算!$P$138)*LN(10)/10))))))),"")</f>
        <v>13.7818860499943</v>
      </c>
      <c r="EJ16">
        <f>IF(AND(ISNUMBER(EI16),逐级计算!$X$139&gt;-1),IF(逐级计算!$X$139=0,EI16+逐级计算!$C$139,EI16+逐级计算!$C$139-(10/(逐级计算!$Q$139*LN(10))*(MAX((LN(10^(逐级计算!$Q$139/10)-1)+逐级计算!$Q$139*(EI16-逐级计算!$P$139)*LN(10)/10),0)+LN(1+EXP(-ABS((LN(10^(逐级计算!$Q$139/10)-1)+逐级计算!$Q$139*(EI16-逐级计算!$P$139)*LN(10)/10))))))),"")</f>
        <v>13.7818860499943</v>
      </c>
      <c r="EK16">
        <f>IF(AND(ISNUMBER(EJ16),逐级计算!$X$140&gt;-1),IF(逐级计算!$X$140=0,EJ16+逐级计算!$C$140,EJ16+逐级计算!$C$140-(10/(逐级计算!$Q$140*LN(10))*(MAX((LN(10^(逐级计算!$Q$140/10)-1)+逐级计算!$Q$140*(EJ16-逐级计算!$P$140)*LN(10)/10),0)+LN(1+EXP(-ABS((LN(10^(逐级计算!$Q$140/10)-1)+逐级计算!$Q$140*(EJ16-逐级计算!$P$140)*LN(10)/10))))))),"")</f>
        <v>13.7818860499943</v>
      </c>
      <c r="EL16">
        <f>IF(AND(ISNUMBER(EK16),逐级计算!$X$141&gt;-1),IF(逐级计算!$X$141=0,EK16+逐级计算!$C$141,EK16+逐级计算!$C$141-(10/(逐级计算!$Q$141*LN(10))*(MAX((LN(10^(逐级计算!$Q$141/10)-1)+逐级计算!$Q$141*(EK16-逐级计算!$P$141)*LN(10)/10),0)+LN(1+EXP(-ABS((LN(10^(逐级计算!$Q$141/10)-1)+逐级计算!$Q$141*(EK16-逐级计算!$P$141)*LN(10)/10))))))),"")</f>
        <v>13.7818860499943</v>
      </c>
      <c r="EM16">
        <f>IF(AND(ISNUMBER(EL16),逐级计算!$X$142&gt;-1),IF(逐级计算!$X$142=0,EL16+逐级计算!$C$142,EL16+逐级计算!$C$142-(10/(逐级计算!$Q$142*LN(10))*(MAX((LN(10^(逐级计算!$Q$142/10)-1)+逐级计算!$Q$142*(EL16-逐级计算!$P$142)*LN(10)/10),0)+LN(1+EXP(-ABS((LN(10^(逐级计算!$Q$142/10)-1)+逐级计算!$Q$142*(EL16-逐级计算!$P$142)*LN(10)/10))))))),"")</f>
        <v>13.7818860499943</v>
      </c>
      <c r="EN16">
        <f>IF(AND(ISNUMBER(EM16),逐级计算!$X$143&gt;-1),IF(逐级计算!$X$143=0,EM16+逐级计算!$C$143,EM16+逐级计算!$C$143-(10/(逐级计算!$Q$143*LN(10))*(MAX((LN(10^(逐级计算!$Q$143/10)-1)+逐级计算!$Q$143*(EM16-逐级计算!$P$143)*LN(10)/10),0)+LN(1+EXP(-ABS((LN(10^(逐级计算!$Q$143/10)-1)+逐级计算!$Q$143*(EM16-逐级计算!$P$143)*LN(10)/10))))))),"")</f>
        <v>13.7818860499943</v>
      </c>
      <c r="EO16">
        <f>IF(AND(ISNUMBER(EN16),逐级计算!$X$144&gt;-1),IF(逐级计算!$X$144=0,EN16+逐级计算!$C$144,EN16+逐级计算!$C$144-(10/(逐级计算!$Q$144*LN(10))*(MAX((LN(10^(逐级计算!$Q$144/10)-1)+逐级计算!$Q$144*(EN16-逐级计算!$P$144)*LN(10)/10),0)+LN(1+EXP(-ABS((LN(10^(逐级计算!$Q$144/10)-1)+逐级计算!$Q$144*(EN16-逐级计算!$P$144)*LN(10)/10))))))),"")</f>
        <v>13.7818860499943</v>
      </c>
      <c r="EP16">
        <f>IF(AND(ISNUMBER(EO16),逐级计算!$X$145&gt;-1),IF(逐级计算!$X$145=0,EO16+逐级计算!$C$145,EO16+逐级计算!$C$145-(10/(逐级计算!$Q$145*LN(10))*(MAX((LN(10^(逐级计算!$Q$145/10)-1)+逐级计算!$Q$145*(EO16-逐级计算!$P$145)*LN(10)/10),0)+LN(1+EXP(-ABS((LN(10^(逐级计算!$Q$145/10)-1)+逐级计算!$Q$145*(EO16-逐级计算!$P$145)*LN(10)/10))))))),"")</f>
        <v>13.7818860499943</v>
      </c>
      <c r="EQ16">
        <f>IF(AND(ISNUMBER(EP16),逐级计算!$X$146&gt;-1),IF(逐级计算!$X$146=0,EP16+逐级计算!$C$146,EP16+逐级计算!$C$146-(10/(逐级计算!$Q$146*LN(10))*(MAX((LN(10^(逐级计算!$Q$146/10)-1)+逐级计算!$Q$146*(EP16-逐级计算!$P$146)*LN(10)/10),0)+LN(1+EXP(-ABS((LN(10^(逐级计算!$Q$146/10)-1)+逐级计算!$Q$146*(EP16-逐级计算!$P$146)*LN(10)/10))))))),"")</f>
        <v>13.7818860499943</v>
      </c>
      <c r="ER16">
        <f>IF(AND(ISNUMBER(EQ16),逐级计算!$X$147&gt;-1),IF(逐级计算!$X$147=0,EQ16+逐级计算!$C$147,EQ16+逐级计算!$C$147-(10/(逐级计算!$Q$147*LN(10))*(MAX((LN(10^(逐级计算!$Q$147/10)-1)+逐级计算!$Q$147*(EQ16-逐级计算!$P$147)*LN(10)/10),0)+LN(1+EXP(-ABS((LN(10^(逐级计算!$Q$147/10)-1)+逐级计算!$Q$147*(EQ16-逐级计算!$P$147)*LN(10)/10))))))),"")</f>
        <v>13.7818860499943</v>
      </c>
      <c r="ES16">
        <f>IF(AND(ISNUMBER(ER16),逐级计算!$X$148&gt;-1),IF(逐级计算!$X$148=0,ER16+逐级计算!$C$148,ER16+逐级计算!$C$148-(10/(逐级计算!$Q$148*LN(10))*(MAX((LN(10^(逐级计算!$Q$148/10)-1)+逐级计算!$Q$148*(ER16-逐级计算!$P$148)*LN(10)/10),0)+LN(1+EXP(-ABS((LN(10^(逐级计算!$Q$148/10)-1)+逐级计算!$Q$148*(ER16-逐级计算!$P$148)*LN(10)/10))))))),"")</f>
        <v>13.7818860499943</v>
      </c>
      <c r="ET16">
        <f>IF(AND(ISNUMBER(ES16),逐级计算!$X$149&gt;-1),IF(逐级计算!$X$149=0,ES16+逐级计算!$C$149,ES16+逐级计算!$C$149-(10/(逐级计算!$Q$149*LN(10))*(MAX((LN(10^(逐级计算!$Q$149/10)-1)+逐级计算!$Q$149*(ES16-逐级计算!$P$149)*LN(10)/10),0)+LN(1+EXP(-ABS((LN(10^(逐级计算!$Q$149/10)-1)+逐级计算!$Q$149*(ES16-逐级计算!$P$149)*LN(10)/10))))))),"")</f>
        <v>13.7818860499943</v>
      </c>
      <c r="EU16">
        <f>IF(AND(ISNUMBER(ET16),逐级计算!$X$150&gt;-1),IF(逐级计算!$X$150=0,ET16+逐级计算!$C$150,ET16+逐级计算!$C$150-(10/(逐级计算!$Q$150*LN(10))*(MAX((LN(10^(逐级计算!$Q$150/10)-1)+逐级计算!$Q$150*(ET16-逐级计算!$P$150)*LN(10)/10),0)+LN(1+EXP(-ABS((LN(10^(逐级计算!$Q$150/10)-1)+逐级计算!$Q$150*(ET16-逐级计算!$P$150)*LN(10)/10))))))),"")</f>
        <v>13.7818860499943</v>
      </c>
      <c r="EV16">
        <f>IF(AND(ISNUMBER(EU16),逐级计算!$X$151&gt;-1),IF(逐级计算!$X$151=0,EU16+逐级计算!$C$151,EU16+逐级计算!$C$151-(10/(逐级计算!$Q$151*LN(10))*(MAX((LN(10^(逐级计算!$Q$151/10)-1)+逐级计算!$Q$151*(EU16-逐级计算!$P$151)*LN(10)/10),0)+LN(1+EXP(-ABS((LN(10^(逐级计算!$Q$151/10)-1)+逐级计算!$Q$151*(EU16-逐级计算!$P$151)*LN(10)/10))))))),"")</f>
        <v>13.7818860499943</v>
      </c>
      <c r="EW16">
        <f>IF(AND(ISNUMBER(EV16),逐级计算!$X$152&gt;-1),IF(逐级计算!$X$152=0,EV16+逐级计算!$C$152,EV16+逐级计算!$C$152-(10/(逐级计算!$Q$152*LN(10))*(MAX((LN(10^(逐级计算!$Q$152/10)-1)+逐级计算!$Q$152*(EV16-逐级计算!$P$152)*LN(10)/10),0)+LN(1+EXP(-ABS((LN(10^(逐级计算!$Q$152/10)-1)+逐级计算!$Q$152*(EV16-逐级计算!$P$152)*LN(10)/10))))))),"")</f>
        <v>13.7818860499943</v>
      </c>
      <c r="EX16">
        <f>IF(AND(ISNUMBER(EW16),逐级计算!$X$153&gt;-1),IF(逐级计算!$X$153=0,EW16+逐级计算!$C$153,EW16+逐级计算!$C$153-(10/(逐级计算!$Q$153*LN(10))*(MAX((LN(10^(逐级计算!$Q$153/10)-1)+逐级计算!$Q$153*(EW16-逐级计算!$P$153)*LN(10)/10),0)+LN(1+EXP(-ABS((LN(10^(逐级计算!$Q$153/10)-1)+逐级计算!$Q$153*(EW16-逐级计算!$P$153)*LN(10)/10))))))),"")</f>
        <v>13.7818860499943</v>
      </c>
      <c r="EY16">
        <f>IF(AND(ISNUMBER(EX16),逐级计算!$X$154&gt;-1),IF(逐级计算!$X$154=0,EX16+逐级计算!$C$154,EX16+逐级计算!$C$154-(10/(逐级计算!$Q$154*LN(10))*(MAX((LN(10^(逐级计算!$Q$154/10)-1)+逐级计算!$Q$154*(EX16-逐级计算!$P$154)*LN(10)/10),0)+LN(1+EXP(-ABS((LN(10^(逐级计算!$Q$154/10)-1)+逐级计算!$Q$154*(EX16-逐级计算!$P$154)*LN(10)/10))))))),"")</f>
        <v>13.7818860499943</v>
      </c>
      <c r="EZ16">
        <f>IF(AND(ISNUMBER(EY16),逐级计算!$X$155&gt;-1),IF(逐级计算!$X$155=0,EY16+逐级计算!$C$155,EY16+逐级计算!$C$155-(10/(逐级计算!$Q$155*LN(10))*(MAX((LN(10^(逐级计算!$Q$155/10)-1)+逐级计算!$Q$155*(EY16-逐级计算!$P$155)*LN(10)/10),0)+LN(1+EXP(-ABS((LN(10^(逐级计算!$Q$155/10)-1)+逐级计算!$Q$155*(EY16-逐级计算!$P$155)*LN(10)/10))))))),"")</f>
        <v>13.7818860499943</v>
      </c>
      <c r="FA16">
        <f>IF(AND(ISNUMBER(EZ16),逐级计算!$X$156&gt;-1),IF(逐级计算!$X$156=0,EZ16+逐级计算!$C$156,EZ16+逐级计算!$C$156-(10/(逐级计算!$Q$156*LN(10))*(MAX((LN(10^(逐级计算!$Q$156/10)-1)+逐级计算!$Q$156*(EZ16-逐级计算!$P$156)*LN(10)/10),0)+LN(1+EXP(-ABS((LN(10^(逐级计算!$Q$156/10)-1)+逐级计算!$Q$156*(EZ16-逐级计算!$P$156)*LN(10)/10))))))),"")</f>
        <v>13.7818860499943</v>
      </c>
      <c r="FB16">
        <f>IF(AND(ISNUMBER(FA16),逐级计算!$X$157&gt;-1),IF(逐级计算!$X$157=0,FA16+逐级计算!$C$157,FA16+逐级计算!$C$157-(10/(逐级计算!$Q$157*LN(10))*(MAX((LN(10^(逐级计算!$Q$157/10)-1)+逐级计算!$Q$157*(FA16-逐级计算!$P$157)*LN(10)/10),0)+LN(1+EXP(-ABS((LN(10^(逐级计算!$Q$157/10)-1)+逐级计算!$Q$157*(FA16-逐级计算!$P$157)*LN(10)/10))))))),"")</f>
        <v>13.7818860499943</v>
      </c>
      <c r="FC16">
        <f>IF(AND(ISNUMBER(FB16),逐级计算!$X$158&gt;-1),IF(逐级计算!$X$158=0,FB16+逐级计算!$C$158,FB16+逐级计算!$C$158-(10/(逐级计算!$Q$158*LN(10))*(MAX((LN(10^(逐级计算!$Q$158/10)-1)+逐级计算!$Q$158*(FB16-逐级计算!$P$158)*LN(10)/10),0)+LN(1+EXP(-ABS((LN(10^(逐级计算!$Q$158/10)-1)+逐级计算!$Q$158*(FB16-逐级计算!$P$158)*LN(10)/10))))))),"")</f>
        <v>13.7818860499943</v>
      </c>
      <c r="FD16">
        <f>IF(AND(ISNUMBER(FC16),逐级计算!$X$159&gt;-1),IF(逐级计算!$X$159=0,FC16+逐级计算!$C$159,FC16+逐级计算!$C$159-(10/(逐级计算!$Q$159*LN(10))*(MAX((LN(10^(逐级计算!$Q$159/10)-1)+逐级计算!$Q$159*(FC16-逐级计算!$P$159)*LN(10)/10),0)+LN(1+EXP(-ABS((LN(10^(逐级计算!$Q$159/10)-1)+逐级计算!$Q$159*(FC16-逐级计算!$P$159)*LN(10)/10))))))),"")</f>
        <v>13.7818860499943</v>
      </c>
      <c r="FE16">
        <f>IF(AND(ISNUMBER(FD16),逐级计算!$X$160&gt;-1),IF(逐级计算!$X$160=0,FD16+逐级计算!$C$160,FD16+逐级计算!$C$160-(10/(逐级计算!$Q$160*LN(10))*(MAX((LN(10^(逐级计算!$Q$160/10)-1)+逐级计算!$Q$160*(FD16-逐级计算!$P$160)*LN(10)/10),0)+LN(1+EXP(-ABS((LN(10^(逐级计算!$Q$160/10)-1)+逐级计算!$Q$160*(FD16-逐级计算!$P$160)*LN(10)/10))))))),"")</f>
        <v>13.7818860499943</v>
      </c>
      <c r="FF16">
        <f>IF(AND(ISNUMBER(FE16),逐级计算!$X$161&gt;-1),IF(逐级计算!$X$161=0,FE16+逐级计算!$C$161,FE16+逐级计算!$C$161-(10/(逐级计算!$Q$161*LN(10))*(MAX((LN(10^(逐级计算!$Q$161/10)-1)+逐级计算!$Q$161*(FE16-逐级计算!$P$161)*LN(10)/10),0)+LN(1+EXP(-ABS((LN(10^(逐级计算!$Q$161/10)-1)+逐级计算!$Q$161*(FE16-逐级计算!$P$161)*LN(10)/10))))))),"")</f>
        <v>13.7818860499943</v>
      </c>
      <c r="FG16">
        <f>IF(AND(ISNUMBER(FF16),逐级计算!$X$162&gt;-1),IF(逐级计算!$X$162=0,FF16+逐级计算!$C$162,FF16+逐级计算!$C$162-(10/(逐级计算!$Q$162*LN(10))*(MAX((LN(10^(逐级计算!$Q$162/10)-1)+逐级计算!$Q$162*(FF16-逐级计算!$P$162)*LN(10)/10),0)+LN(1+EXP(-ABS((LN(10^(逐级计算!$Q$162/10)-1)+逐级计算!$Q$162*(FF16-逐级计算!$P$162)*LN(10)/10))))))),"")</f>
        <v>13.7818860499943</v>
      </c>
      <c r="FH16">
        <f>IF(AND(ISNUMBER(FG16),逐级计算!$X$163&gt;-1),IF(逐级计算!$X$163=0,FG16+逐级计算!$C$163,FG16+逐级计算!$C$163-(10/(逐级计算!$Q$163*LN(10))*(MAX((LN(10^(逐级计算!$Q$163/10)-1)+逐级计算!$Q$163*(FG16-逐级计算!$P$163)*LN(10)/10),0)+LN(1+EXP(-ABS((LN(10^(逐级计算!$Q$163/10)-1)+逐级计算!$Q$163*(FG16-逐级计算!$P$163)*LN(10)/10))))))),"")</f>
        <v>13.7818860499943</v>
      </c>
      <c r="FI16">
        <f>IF(AND(ISNUMBER(FH16),逐级计算!$X$164&gt;-1),IF(逐级计算!$X$164=0,FH16+逐级计算!$C$164,FH16+逐级计算!$C$164-(10/(逐级计算!$Q$164*LN(10))*(MAX((LN(10^(逐级计算!$Q$164/10)-1)+逐级计算!$Q$164*(FH16-逐级计算!$P$164)*LN(10)/10),0)+LN(1+EXP(-ABS((LN(10^(逐级计算!$Q$164/10)-1)+逐级计算!$Q$164*(FH16-逐级计算!$P$164)*LN(10)/10))))))),"")</f>
        <v>13.7818860499943</v>
      </c>
      <c r="FJ16">
        <f>IF(AND(ISNUMBER(FI16),逐级计算!$X$165&gt;-1),IF(逐级计算!$X$165=0,FI16+逐级计算!$C$165,FI16+逐级计算!$C$165-(10/(逐级计算!$Q$165*LN(10))*(MAX((LN(10^(逐级计算!$Q$165/10)-1)+逐级计算!$Q$165*(FI16-逐级计算!$P$165)*LN(10)/10),0)+LN(1+EXP(-ABS((LN(10^(逐级计算!$Q$165/10)-1)+逐级计算!$Q$165*(FI16-逐级计算!$P$165)*LN(10)/10))))))),"")</f>
        <v>13.7818860499943</v>
      </c>
      <c r="FK16">
        <f>IF(AND(ISNUMBER(FJ16),逐级计算!$X$166&gt;-1),IF(逐级计算!$X$166=0,FJ16+逐级计算!$C$166,FJ16+逐级计算!$C$166-(10/(逐级计算!$Q$166*LN(10))*(MAX((LN(10^(逐级计算!$Q$166/10)-1)+逐级计算!$Q$166*(FJ16-逐级计算!$P$166)*LN(10)/10),0)+LN(1+EXP(-ABS((LN(10^(逐级计算!$Q$166/10)-1)+逐级计算!$Q$166*(FJ16-逐级计算!$P$166)*LN(10)/10))))))),"")</f>
        <v>13.7818860499943</v>
      </c>
      <c r="FL16">
        <f>IF(AND(ISNUMBER(FK16),逐级计算!$X$167&gt;-1),IF(逐级计算!$X$167=0,FK16+逐级计算!$C$167,FK16+逐级计算!$C$167-(10/(逐级计算!$Q$167*LN(10))*(MAX((LN(10^(逐级计算!$Q$167/10)-1)+逐级计算!$Q$167*(FK16-逐级计算!$P$167)*LN(10)/10),0)+LN(1+EXP(-ABS((LN(10^(逐级计算!$Q$167/10)-1)+逐级计算!$Q$167*(FK16-逐级计算!$P$167)*LN(10)/10))))))),"")</f>
        <v>13.7818860499943</v>
      </c>
      <c r="FM16">
        <f>IF(AND(ISNUMBER(FL16),逐级计算!$X$168&gt;-1),IF(逐级计算!$X$168=0,FL16+逐级计算!$C$168,FL16+逐级计算!$C$168-(10/(逐级计算!$Q$168*LN(10))*(MAX((LN(10^(逐级计算!$Q$168/10)-1)+逐级计算!$Q$168*(FL16-逐级计算!$P$168)*LN(10)/10),0)+LN(1+EXP(-ABS((LN(10^(逐级计算!$Q$168/10)-1)+逐级计算!$Q$168*(FL16-逐级计算!$P$168)*LN(10)/10))))))),"")</f>
        <v>13.7818860499943</v>
      </c>
      <c r="FN16">
        <f>IF(AND(ISNUMBER(FM16),逐级计算!$X$169&gt;-1),IF(逐级计算!$X$169=0,FM16+逐级计算!$C$169,FM16+逐级计算!$C$169-(10/(逐级计算!$Q$169*LN(10))*(MAX((LN(10^(逐级计算!$Q$169/10)-1)+逐级计算!$Q$169*(FM16-逐级计算!$P$169)*LN(10)/10),0)+LN(1+EXP(-ABS((LN(10^(逐级计算!$Q$169/10)-1)+逐级计算!$Q$169*(FM16-逐级计算!$P$169)*LN(10)/10))))))),"")</f>
        <v>13.7818860499943</v>
      </c>
      <c r="FO16">
        <f>IF(AND(ISNUMBER(FN16),逐级计算!$X$170&gt;-1),IF(逐级计算!$X$170=0,FN16+逐级计算!$C$170,FN16+逐级计算!$C$170-(10/(逐级计算!$Q$170*LN(10))*(MAX((LN(10^(逐级计算!$Q$170/10)-1)+逐级计算!$Q$170*(FN16-逐级计算!$P$170)*LN(10)/10),0)+LN(1+EXP(-ABS((LN(10^(逐级计算!$Q$170/10)-1)+逐级计算!$Q$170*(FN16-逐级计算!$P$170)*LN(10)/10))))))),"")</f>
        <v>13.7818860499943</v>
      </c>
      <c r="FP16">
        <f>IF(AND(ISNUMBER(FO16),逐级计算!$X$171&gt;-1),IF(逐级计算!$X$171=0,FO16+逐级计算!$C$171,FO16+逐级计算!$C$171-(10/(逐级计算!$Q$171*LN(10))*(MAX((LN(10^(逐级计算!$Q$171/10)-1)+逐级计算!$Q$171*(FO16-逐级计算!$P$171)*LN(10)/10),0)+LN(1+EXP(-ABS((LN(10^(逐级计算!$Q$171/10)-1)+逐级计算!$Q$171*(FO16-逐级计算!$P$171)*LN(10)/10))))))),"")</f>
        <v>13.7818860499943</v>
      </c>
      <c r="FQ16">
        <f>IF(AND(ISNUMBER(FP16),逐级计算!$X$172&gt;-1),IF(逐级计算!$X$172=0,FP16+逐级计算!$C$172,FP16+逐级计算!$C$172-(10/(逐级计算!$Q$172*LN(10))*(MAX((LN(10^(逐级计算!$Q$172/10)-1)+逐级计算!$Q$172*(FP16-逐级计算!$P$172)*LN(10)/10),0)+LN(1+EXP(-ABS((LN(10^(逐级计算!$Q$172/10)-1)+逐级计算!$Q$172*(FP16-逐级计算!$P$172)*LN(10)/10))))))),"")</f>
        <v>13.7818860499943</v>
      </c>
      <c r="FR16">
        <f>IF(AND(ISNUMBER(FQ16),逐级计算!$X$173&gt;-1),IF(逐级计算!$X$173=0,FQ16+逐级计算!$C$173,FQ16+逐级计算!$C$173-(10/(逐级计算!$Q$173*LN(10))*(MAX((LN(10^(逐级计算!$Q$173/10)-1)+逐级计算!$Q$173*(FQ16-逐级计算!$P$173)*LN(10)/10),0)+LN(1+EXP(-ABS((LN(10^(逐级计算!$Q$173/10)-1)+逐级计算!$Q$173*(FQ16-逐级计算!$P$173)*LN(10)/10))))))),"")</f>
        <v>13.7818860499943</v>
      </c>
      <c r="FS16">
        <f>IF(AND(ISNUMBER(FR16),逐级计算!$X$174&gt;-1),IF(逐级计算!$X$174=0,FR16+逐级计算!$C$174,FR16+逐级计算!$C$174-(10/(逐级计算!$Q$174*LN(10))*(MAX((LN(10^(逐级计算!$Q$174/10)-1)+逐级计算!$Q$174*(FR16-逐级计算!$P$174)*LN(10)/10),0)+LN(1+EXP(-ABS((LN(10^(逐级计算!$Q$174/10)-1)+逐级计算!$Q$174*(FR16-逐级计算!$P$174)*LN(10)/10))))))),"")</f>
        <v>13.7818860499943</v>
      </c>
      <c r="FT16">
        <f>IF(AND(ISNUMBER(FS16),逐级计算!$X$175&gt;-1),IF(逐级计算!$X$175=0,FS16+逐级计算!$C$175,FS16+逐级计算!$C$175-(10/(逐级计算!$Q$175*LN(10))*(MAX((LN(10^(逐级计算!$Q$175/10)-1)+逐级计算!$Q$175*(FS16-逐级计算!$P$175)*LN(10)/10),0)+LN(1+EXP(-ABS((LN(10^(逐级计算!$Q$175/10)-1)+逐级计算!$Q$175*(FS16-逐级计算!$P$175)*LN(10)/10))))))),"")</f>
        <v>13.7818860499943</v>
      </c>
      <c r="FU16">
        <f>IF(AND(ISNUMBER(FT16),逐级计算!$X$176&gt;-1),IF(逐级计算!$X$176=0,FT16+逐级计算!$C$176,FT16+逐级计算!$C$176-(10/(逐级计算!$Q$176*LN(10))*(MAX((LN(10^(逐级计算!$Q$176/10)-1)+逐级计算!$Q$176*(FT16-逐级计算!$P$176)*LN(10)/10),0)+LN(1+EXP(-ABS((LN(10^(逐级计算!$Q$176/10)-1)+逐级计算!$Q$176*(FT16-逐级计算!$P$176)*LN(10)/10))))))),"")</f>
        <v>13.7818860499943</v>
      </c>
      <c r="FV16">
        <f>IF(AND(ISNUMBER(FU16),逐级计算!$X$177&gt;-1),IF(逐级计算!$X$177=0,FU16+逐级计算!$C$177,FU16+逐级计算!$C$177-(10/(逐级计算!$Q$177*LN(10))*(MAX((LN(10^(逐级计算!$Q$177/10)-1)+逐级计算!$Q$177*(FU16-逐级计算!$P$177)*LN(10)/10),0)+LN(1+EXP(-ABS((LN(10^(逐级计算!$Q$177/10)-1)+逐级计算!$Q$177*(FU16-逐级计算!$P$177)*LN(10)/10))))))),"")</f>
        <v>13.7818860499943</v>
      </c>
      <c r="FW16">
        <f>IF(AND(ISNUMBER(FV16),逐级计算!$X$178&gt;-1),IF(逐级计算!$X$178=0,FV16+逐级计算!$C$178,FV16+逐级计算!$C$178-(10/(逐级计算!$Q$178*LN(10))*(MAX((LN(10^(逐级计算!$Q$178/10)-1)+逐级计算!$Q$178*(FV16-逐级计算!$P$178)*LN(10)/10),0)+LN(1+EXP(-ABS((LN(10^(逐级计算!$Q$178/10)-1)+逐级计算!$Q$178*(FV16-逐级计算!$P$178)*LN(10)/10))))))),"")</f>
        <v>13.7818860499943</v>
      </c>
      <c r="FX16">
        <f>IF(AND(ISNUMBER(FW16),逐级计算!$X$179&gt;-1),IF(逐级计算!$X$179=0,FW16+逐级计算!$C$179,FW16+逐级计算!$C$179-(10/(逐级计算!$Q$179*LN(10))*(MAX((LN(10^(逐级计算!$Q$179/10)-1)+逐级计算!$Q$179*(FW16-逐级计算!$P$179)*LN(10)/10),0)+LN(1+EXP(-ABS((LN(10^(逐级计算!$Q$179/10)-1)+逐级计算!$Q$179*(FW16-逐级计算!$P$179)*LN(10)/10))))))),"")</f>
        <v>13.7818860499943</v>
      </c>
      <c r="FY16">
        <f>IF(AND(ISNUMBER(FX16),逐级计算!$X$180&gt;-1),IF(逐级计算!$X$180=0,FX16+逐级计算!$C$180,FX16+逐级计算!$C$180-(10/(逐级计算!$Q$180*LN(10))*(MAX((LN(10^(逐级计算!$Q$180/10)-1)+逐级计算!$Q$180*(FX16-逐级计算!$P$180)*LN(10)/10),0)+LN(1+EXP(-ABS((LN(10^(逐级计算!$Q$180/10)-1)+逐级计算!$Q$180*(FX16-逐级计算!$P$180)*LN(10)/10))))))),"")</f>
        <v>13.7818860499943</v>
      </c>
      <c r="FZ16">
        <f>IF(AND(ISNUMBER(FY16),逐级计算!$X$181&gt;-1),IF(逐级计算!$X$181=0,FY16+逐级计算!$C$181,FY16+逐级计算!$C$181-(10/(逐级计算!$Q$181*LN(10))*(MAX((LN(10^(逐级计算!$Q$181/10)-1)+逐级计算!$Q$181*(FY16-逐级计算!$P$181)*LN(10)/10),0)+LN(1+EXP(-ABS((LN(10^(逐级计算!$Q$181/10)-1)+逐级计算!$Q$181*(FY16-逐级计算!$P$181)*LN(10)/10))))))),"")</f>
        <v>13.7818860499943</v>
      </c>
      <c r="GA16">
        <f>IF(AND(ISNUMBER(FZ16),逐级计算!$X$182&gt;-1),IF(逐级计算!$X$182=0,FZ16+逐级计算!$C$182,FZ16+逐级计算!$C$182-(10/(逐级计算!$Q$182*LN(10))*(MAX((LN(10^(逐级计算!$Q$182/10)-1)+逐级计算!$Q$182*(FZ16-逐级计算!$P$182)*LN(10)/10),0)+LN(1+EXP(-ABS((LN(10^(逐级计算!$Q$182/10)-1)+逐级计算!$Q$182*(FZ16-逐级计算!$P$182)*LN(10)/10))))))),"")</f>
        <v>13.7818860499943</v>
      </c>
      <c r="GB16">
        <f>IF(AND(ISNUMBER(GA16),逐级计算!$X$183&gt;-1),IF(逐级计算!$X$183=0,GA16+逐级计算!$C$183,GA16+逐级计算!$C$183-(10/(逐级计算!$Q$183*LN(10))*(MAX((LN(10^(逐级计算!$Q$183/10)-1)+逐级计算!$Q$183*(GA16-逐级计算!$P$183)*LN(10)/10),0)+LN(1+EXP(-ABS((LN(10^(逐级计算!$Q$183/10)-1)+逐级计算!$Q$183*(GA16-逐级计算!$P$183)*LN(10)/10))))))),"")</f>
        <v>13.7818860499943</v>
      </c>
      <c r="GC16">
        <f>IF(AND(ISNUMBER(GB16),逐级计算!$X$184&gt;-1),IF(逐级计算!$X$184=0,GB16+逐级计算!$C$184,GB16+逐级计算!$C$184-(10/(逐级计算!$Q$184*LN(10))*(MAX((LN(10^(逐级计算!$Q$184/10)-1)+逐级计算!$Q$184*(GB16-逐级计算!$P$184)*LN(10)/10),0)+LN(1+EXP(-ABS((LN(10^(逐级计算!$Q$184/10)-1)+逐级计算!$Q$184*(GB16-逐级计算!$P$184)*LN(10)/10))))))),"")</f>
        <v>13.7818860499943</v>
      </c>
      <c r="GD16">
        <f>IF(AND(ISNUMBER(GC16),逐级计算!$X$185&gt;-1),IF(逐级计算!$X$185=0,GC16+逐级计算!$C$185,GC16+逐级计算!$C$185-(10/(逐级计算!$Q$185*LN(10))*(MAX((LN(10^(逐级计算!$Q$185/10)-1)+逐级计算!$Q$185*(GC16-逐级计算!$P$185)*LN(10)/10),0)+LN(1+EXP(-ABS((LN(10^(逐级计算!$Q$185/10)-1)+逐级计算!$Q$185*(GC16-逐级计算!$P$185)*LN(10)/10))))))),"")</f>
        <v>13.7818860499943</v>
      </c>
      <c r="GE16">
        <f>IF(AND(ISNUMBER(GD16),逐级计算!$X$186&gt;-1),IF(逐级计算!$X$186=0,GD16+逐级计算!$C$186,GD16+逐级计算!$C$186-(10/(逐级计算!$Q$186*LN(10))*(MAX((LN(10^(逐级计算!$Q$186/10)-1)+逐级计算!$Q$186*(GD16-逐级计算!$P$186)*LN(10)/10),0)+LN(1+EXP(-ABS((LN(10^(逐级计算!$Q$186/10)-1)+逐级计算!$Q$186*(GD16-逐级计算!$P$186)*LN(10)/10))))))),"")</f>
        <v>13.7818860499943</v>
      </c>
      <c r="GF16">
        <f>IF(AND(ISNUMBER(GE16),逐级计算!$X$187&gt;-1),IF(逐级计算!$X$187=0,GE16+逐级计算!$C$187,GE16+逐级计算!$C$187-(10/(逐级计算!$Q$187*LN(10))*(MAX((LN(10^(逐级计算!$Q$187/10)-1)+逐级计算!$Q$187*(GE16-逐级计算!$P$187)*LN(10)/10),0)+LN(1+EXP(-ABS((LN(10^(逐级计算!$Q$187/10)-1)+逐级计算!$Q$187*(GE16-逐级计算!$P$187)*LN(10)/10))))))),"")</f>
        <v>13.7818860499943</v>
      </c>
      <c r="GG16">
        <f>IF(AND(ISNUMBER(GF16),逐级计算!$X$188&gt;-1),IF(逐级计算!$X$188=0,GF16+逐级计算!$C$188,GF16+逐级计算!$C$188-(10/(逐级计算!$Q$188*LN(10))*(MAX((LN(10^(逐级计算!$Q$188/10)-1)+逐级计算!$Q$188*(GF16-逐级计算!$P$188)*LN(10)/10),0)+LN(1+EXP(-ABS((LN(10^(逐级计算!$Q$188/10)-1)+逐级计算!$Q$188*(GF16-逐级计算!$P$188)*LN(10)/10))))))),"")</f>
        <v>13.7818860499943</v>
      </c>
      <c r="GH16">
        <f>IF(AND(ISNUMBER(GG16),逐级计算!$X$189&gt;-1),IF(逐级计算!$X$189=0,GG16+逐级计算!$C$189,GG16+逐级计算!$C$189-(10/(逐级计算!$Q$189*LN(10))*(MAX((LN(10^(逐级计算!$Q$189/10)-1)+逐级计算!$Q$189*(GG16-逐级计算!$P$189)*LN(10)/10),0)+LN(1+EXP(-ABS((LN(10^(逐级计算!$Q$189/10)-1)+逐级计算!$Q$189*(GG16-逐级计算!$P$189)*LN(10)/10))))))),"")</f>
        <v>13.7818860499943</v>
      </c>
      <c r="GI16">
        <f>IF(AND(ISNUMBER(GH16),逐级计算!$X$190&gt;-1),IF(逐级计算!$X$190=0,GH16+逐级计算!$C$190,GH16+逐级计算!$C$190-(10/(逐级计算!$Q$190*LN(10))*(MAX((LN(10^(逐级计算!$Q$190/10)-1)+逐级计算!$Q$190*(GH16-逐级计算!$P$190)*LN(10)/10),0)+LN(1+EXP(-ABS((LN(10^(逐级计算!$Q$190/10)-1)+逐级计算!$Q$190*(GH16-逐级计算!$P$190)*LN(10)/10))))))),"")</f>
        <v>13.7818860499943</v>
      </c>
      <c r="GJ16">
        <f>IF(AND(ISNUMBER(GI16),逐级计算!$X$191&gt;-1),IF(逐级计算!$X$191=0,GI16+逐级计算!$C$191,GI16+逐级计算!$C$191-(10/(逐级计算!$Q$191*LN(10))*(MAX((LN(10^(逐级计算!$Q$191/10)-1)+逐级计算!$Q$191*(GI16-逐级计算!$P$191)*LN(10)/10),0)+LN(1+EXP(-ABS((LN(10^(逐级计算!$Q$191/10)-1)+逐级计算!$Q$191*(GI16-逐级计算!$P$191)*LN(10)/10))))))),"")</f>
        <v>13.7818860499943</v>
      </c>
      <c r="GK16">
        <f>IF(AND(ISNUMBER(GJ16),逐级计算!$X$192&gt;-1),IF(逐级计算!$X$192=0,GJ16+逐级计算!$C$192,GJ16+逐级计算!$C$192-(10/(逐级计算!$Q$192*LN(10))*(MAX((LN(10^(逐级计算!$Q$192/10)-1)+逐级计算!$Q$192*(GJ16-逐级计算!$P$192)*LN(10)/10),0)+LN(1+EXP(-ABS((LN(10^(逐级计算!$Q$192/10)-1)+逐级计算!$Q$192*(GJ16-逐级计算!$P$192)*LN(10)/10))))))),"")</f>
        <v>13.7818860499943</v>
      </c>
      <c r="GL16">
        <f>IF(AND(ISNUMBER(GK16),逐级计算!$X$193&gt;-1),IF(逐级计算!$X$193=0,GK16+逐级计算!$C$193,GK16+逐级计算!$C$193-(10/(逐级计算!$Q$193*LN(10))*(MAX((LN(10^(逐级计算!$Q$193/10)-1)+逐级计算!$Q$193*(GK16-逐级计算!$P$193)*LN(10)/10),0)+LN(1+EXP(-ABS((LN(10^(逐级计算!$Q$193/10)-1)+逐级计算!$Q$193*(GK16-逐级计算!$P$193)*LN(10)/10))))))),"")</f>
        <v>13.7818860499943</v>
      </c>
      <c r="GM16">
        <f>IF(AND(ISNUMBER(GL16),逐级计算!$X$194&gt;-1),IF(逐级计算!$X$194=0,GL16+逐级计算!$C$194,GL16+逐级计算!$C$194-(10/(逐级计算!$Q$194*LN(10))*(MAX((LN(10^(逐级计算!$Q$194/10)-1)+逐级计算!$Q$194*(GL16-逐级计算!$P$194)*LN(10)/10),0)+LN(1+EXP(-ABS((LN(10^(逐级计算!$Q$194/10)-1)+逐级计算!$Q$194*(GL16-逐级计算!$P$194)*LN(10)/10))))))),"")</f>
        <v>13.7818860499943</v>
      </c>
      <c r="GN16">
        <f>IF(AND(ISNUMBER(GM16),逐级计算!$X$195&gt;-1),IF(逐级计算!$X$195=0,GM16+逐级计算!$C$195,GM16+逐级计算!$C$195-(10/(逐级计算!$Q$195*LN(10))*(MAX((LN(10^(逐级计算!$Q$195/10)-1)+逐级计算!$Q$195*(GM16-逐级计算!$P$195)*LN(10)/10),0)+LN(1+EXP(-ABS((LN(10^(逐级计算!$Q$195/10)-1)+逐级计算!$Q$195*(GM16-逐级计算!$P$195)*LN(10)/10))))))),"")</f>
        <v>13.7818860499943</v>
      </c>
      <c r="GO16">
        <f>IF(AND(ISNUMBER(GN16),逐级计算!$X$196&gt;-1),IF(逐级计算!$X$196=0,GN16+逐级计算!$C$196,GN16+逐级计算!$C$196-(10/(逐级计算!$Q$196*LN(10))*(MAX((LN(10^(逐级计算!$Q$196/10)-1)+逐级计算!$Q$196*(GN16-逐级计算!$P$196)*LN(10)/10),0)+LN(1+EXP(-ABS((LN(10^(逐级计算!$Q$196/10)-1)+逐级计算!$Q$196*(GN16-逐级计算!$P$196)*LN(10)/10))))))),"")</f>
        <v>13.7818860499943</v>
      </c>
      <c r="GP16">
        <f>IF(AND(ISNUMBER(GO16),逐级计算!$X$197&gt;-1),IF(逐级计算!$X$197=0,GO16+逐级计算!$C$197,GO16+逐级计算!$C$197-(10/(逐级计算!$Q$197*LN(10))*(MAX((LN(10^(逐级计算!$Q$197/10)-1)+逐级计算!$Q$197*(GO16-逐级计算!$P$197)*LN(10)/10),0)+LN(1+EXP(-ABS((LN(10^(逐级计算!$Q$197/10)-1)+逐级计算!$Q$197*(GO16-逐级计算!$P$197)*LN(10)/10))))))),"")</f>
        <v>13.7818860499943</v>
      </c>
      <c r="GQ16">
        <f>IF(AND(ISNUMBER(GP16),逐级计算!$X$198&gt;-1),IF(逐级计算!$X$198=0,GP16+逐级计算!$C$198,GP16+逐级计算!$C$198-(10/(逐级计算!$Q$198*LN(10))*(MAX((LN(10^(逐级计算!$Q$198/10)-1)+逐级计算!$Q$198*(GP16-逐级计算!$P$198)*LN(10)/10),0)+LN(1+EXP(-ABS((LN(10^(逐级计算!$Q$198/10)-1)+逐级计算!$Q$198*(GP16-逐级计算!$P$198)*LN(10)/10))))))),"")</f>
        <v>13.7818860499943</v>
      </c>
      <c r="GR16">
        <f>IF(AND(ISNUMBER(GQ16),逐级计算!$X$199&gt;-1),IF(逐级计算!$X$199=0,GQ16+逐级计算!$C$199,GQ16+逐级计算!$C$199-(10/(逐级计算!$Q$199*LN(10))*(MAX((LN(10^(逐级计算!$Q$199/10)-1)+逐级计算!$Q$199*(GQ16-逐级计算!$P$199)*LN(10)/10),0)+LN(1+EXP(-ABS((LN(10^(逐级计算!$Q$199/10)-1)+逐级计算!$Q$199*(GQ16-逐级计算!$P$199)*LN(10)/10))))))),"")</f>
        <v>13.7818860499943</v>
      </c>
      <c r="GS16">
        <f>IF(AND(ISNUMBER(GR16),逐级计算!$X$200&gt;-1),IF(逐级计算!$X$200=0,GR16+逐级计算!$C$200,GR16+逐级计算!$C$200-(10/(逐级计算!$Q$200*LN(10))*(MAX((LN(10^(逐级计算!$Q$200/10)-1)+逐级计算!$Q$200*(GR16-逐级计算!$P$200)*LN(10)/10),0)+LN(1+EXP(-ABS((LN(10^(逐级计算!$Q$200/10)-1)+逐级计算!$Q$200*(GR16-逐级计算!$P$200)*LN(10)/10))))))),"")</f>
        <v>13.7818860499943</v>
      </c>
      <c r="GT16">
        <f>IF(AND(ISNUMBER(GS16),逐级计算!$X$201&gt;-1),IF(逐级计算!$X$201=0,GS16+逐级计算!$C$201,GS16+逐级计算!$C$201-(10/(逐级计算!$Q$201*LN(10))*(MAX((LN(10^(逐级计算!$Q$201/10)-1)+逐级计算!$Q$201*(GS16-逐级计算!$P$201)*LN(10)/10),0)+LN(1+EXP(-ABS((LN(10^(逐级计算!$Q$201/10)-1)+逐级计算!$Q$201*(GS16-逐级计算!$P$201)*LN(10)/10))))))),"")</f>
        <v>13.7818860499943</v>
      </c>
      <c r="GU16">
        <f>IF(AND(ISNUMBER(GT16),逐级计算!$X$202&gt;-1),IF(逐级计算!$X$202=0,GT16+逐级计算!$C$202,GT16+逐级计算!$C$202-(10/(逐级计算!$Q$202*LN(10))*(MAX((LN(10^(逐级计算!$Q$202/10)-1)+逐级计算!$Q$202*(GT16-逐级计算!$P$202)*LN(10)/10),0)+LN(1+EXP(-ABS((LN(10^(逐级计算!$Q$202/10)-1)+逐级计算!$Q$202*(GT16-逐级计算!$P$202)*LN(10)/10))))))),"")</f>
        <v>13.7818860499943</v>
      </c>
      <c r="GV16">
        <f>IF(AND(ISNUMBER(GU16),逐级计算!$X$203&gt;-1),IF(逐级计算!$X$203=0,GU16+逐级计算!$C$203,GU16+逐级计算!$C$203-(10/(逐级计算!$Q$203*LN(10))*(MAX((LN(10^(逐级计算!$Q$203/10)-1)+逐级计算!$Q$203*(GU16-逐级计算!$P$203)*LN(10)/10),0)+LN(1+EXP(-ABS((LN(10^(逐级计算!$Q$203/10)-1)+逐级计算!$Q$203*(GU16-逐级计算!$P$203)*LN(10)/10))))))),"")</f>
        <v>13.7818860499943</v>
      </c>
      <c r="GW16">
        <f t="shared" si="2"/>
        <v>-5.01953125</v>
      </c>
    </row>
    <row r="17" spans="1:205">
      <c r="A17">
        <v>10</v>
      </c>
      <c r="B17">
        <f t="shared" si="1"/>
        <v>-5.224609375</v>
      </c>
      <c r="C17">
        <f t="shared" si="0"/>
        <v>-5.1220703125</v>
      </c>
      <c r="D17">
        <f>IF(AND(ISNUMBER(C17),ISNUMBER(逐级计算!$E$203),ISNUMBER(GV17)),C17+逐级计算!$E$203-GV17,"")</f>
        <v>1.03171687913988</v>
      </c>
      <c r="E17">
        <f>IF(AND(ISNUMBER(C17),逐级计算!$X$4&gt;-1),IF(逐级计算!$X$4=0,C17+逐级计算!$C$4,C17+逐级计算!$C$4-(10/(逐级计算!$Q$4*LN(10))*(MAX((LN(10^(逐级计算!$Q$4/10)-1)+逐级计算!$Q$4*(C17-逐级计算!$P$4)*LN(10)/10),0)+LN(1+EXP(-ABS((LN(10^(逐级计算!$Q$4/10)-1)+逐级计算!$Q$4*(C17-逐级计算!$P$4)*LN(10)/10))))))),"")</f>
        <v>4.76106640466858</v>
      </c>
      <c r="F17">
        <f>IF(AND(ISNUMBER(E17),逐级计算!$X$5&gt;-1),IF(逐级计算!$X$5=0,E17+逐级计算!$C$5,E17+逐级计算!$C$5-(10/(逐级计算!$Q$5*LN(10))*(MAX((LN(10^(逐级计算!$Q$5/10)-1)+逐级计算!$Q$5*(E17-逐级计算!$P$5)*LN(10)/10),0)+LN(1+EXP(-ABS((LN(10^(逐级计算!$Q$5/10)-1)+逐级计算!$Q$5*(E17-逐级计算!$P$5)*LN(10)/10))))))),"")</f>
        <v>13.8462128083601</v>
      </c>
      <c r="G17">
        <f>IF(AND(ISNUMBER(F17),逐级计算!$X$6&gt;-1),IF(逐级计算!$X$6=0,F17+逐级计算!$C$6,F17+逐级计算!$C$6-(10/(逐级计算!$Q$6*LN(10))*(MAX((LN(10^(逐级计算!$Q$6/10)-1)+逐级计算!$Q$6*(F17-逐级计算!$P$6)*LN(10)/10),0)+LN(1+EXP(-ABS((LN(10^(逐级计算!$Q$6/10)-1)+逐级计算!$Q$6*(F17-逐级计算!$P$6)*LN(10)/10))))))),"")</f>
        <v>13.8462128083601</v>
      </c>
      <c r="H17">
        <f>IF(AND(ISNUMBER(G17),逐级计算!$X$7&gt;-1),IF(逐级计算!$X$7=0,G17+逐级计算!$C$7,G17+逐级计算!$C$7-(10/(逐级计算!$Q$7*LN(10))*(MAX((LN(10^(逐级计算!$Q$7/10)-1)+逐级计算!$Q$7*(G17-逐级计算!$P$7)*LN(10)/10),0)+LN(1+EXP(-ABS((LN(10^(逐级计算!$Q$7/10)-1)+逐级计算!$Q$7*(G17-逐级计算!$P$7)*LN(10)/10))))))),"")</f>
        <v>13.8462128083601</v>
      </c>
      <c r="I17">
        <f>IF(AND(ISNUMBER(H17),逐级计算!$X$8&gt;-1),IF(逐级计算!$X$8=0,H17+逐级计算!$C$8,H17+逐级计算!$C$8-(10/(逐级计算!$Q$8*LN(10))*(MAX((LN(10^(逐级计算!$Q$8/10)-1)+逐级计算!$Q$8*(H17-逐级计算!$P$8)*LN(10)/10),0)+LN(1+EXP(-ABS((LN(10^(逐级计算!$Q$8/10)-1)+逐级计算!$Q$8*(H17-逐级计算!$P$8)*LN(10)/10))))))),"")</f>
        <v>13.8462128083601</v>
      </c>
      <c r="J17">
        <f>IF(AND(ISNUMBER(I17),逐级计算!$X$9&gt;-1),IF(逐级计算!$X$9=0,I17+逐级计算!$C$9,I17+逐级计算!$C$9-(10/(逐级计算!$Q$9*LN(10))*(MAX((LN(10^(逐级计算!$Q$9/10)-1)+逐级计算!$Q$9*(I17-逐级计算!$P$9)*LN(10)/10),0)+LN(1+EXP(-ABS((LN(10^(逐级计算!$Q$9/10)-1)+逐级计算!$Q$9*(I17-逐级计算!$P$9)*LN(10)/10))))))),"")</f>
        <v>13.8462128083601</v>
      </c>
      <c r="K17">
        <f>IF(AND(ISNUMBER(J17),逐级计算!$X$10&gt;-1),IF(逐级计算!$X$10=0,J17+逐级计算!$C$10,J17+逐级计算!$C$10-(10/(逐级计算!$Q$10*LN(10))*(MAX((LN(10^(逐级计算!$Q$10/10)-1)+逐级计算!$Q$10*(J17-逐级计算!$P$10)*LN(10)/10),0)+LN(1+EXP(-ABS((LN(10^(逐级计算!$Q$10/10)-1)+逐级计算!$Q$10*(J17-逐级计算!$P$10)*LN(10)/10))))))),"")</f>
        <v>13.8462128083601</v>
      </c>
      <c r="L17">
        <f>IF(AND(ISNUMBER(K17),逐级计算!$X$11&gt;-1),IF(逐级计算!$X$11=0,K17+逐级计算!$C$11,K17+逐级计算!$C$11-(10/(逐级计算!$Q$11*LN(10))*(MAX((LN(10^(逐级计算!$Q$11/10)-1)+逐级计算!$Q$11*(K17-逐级计算!$P$11)*LN(10)/10),0)+LN(1+EXP(-ABS((LN(10^(逐级计算!$Q$11/10)-1)+逐级计算!$Q$11*(K17-逐级计算!$P$11)*LN(10)/10))))))),"")</f>
        <v>13.8462128083601</v>
      </c>
      <c r="M17">
        <f>IF(AND(ISNUMBER(L17),逐级计算!$X$12&gt;-1),IF(逐级计算!$X$12=0,L17+逐级计算!$C$12,L17+逐级计算!$C$12-(10/(逐级计算!$Q$12*LN(10))*(MAX((LN(10^(逐级计算!$Q$12/10)-1)+逐级计算!$Q$12*(L17-逐级计算!$P$12)*LN(10)/10),0)+LN(1+EXP(-ABS((LN(10^(逐级计算!$Q$12/10)-1)+逐级计算!$Q$12*(L17-逐级计算!$P$12)*LN(10)/10))))))),"")</f>
        <v>13.8462128083601</v>
      </c>
      <c r="N17">
        <f>IF(AND(ISNUMBER(M17),逐级计算!$X$13&gt;-1),IF(逐级计算!$X$13=0,M17+逐级计算!$C$13,M17+逐级计算!$C$13-(10/(逐级计算!$Q$13*LN(10))*(MAX((LN(10^(逐级计算!$Q$13/10)-1)+逐级计算!$Q$13*(M17-逐级计算!$P$13)*LN(10)/10),0)+LN(1+EXP(-ABS((LN(10^(逐级计算!$Q$13/10)-1)+逐级计算!$Q$13*(M17-逐级计算!$P$13)*LN(10)/10))))))),"")</f>
        <v>13.8462128083601</v>
      </c>
      <c r="O17">
        <f>IF(AND(ISNUMBER(N17),逐级计算!$X$14&gt;-1),IF(逐级计算!$X$14=0,N17+逐级计算!$C$14,N17+逐级计算!$C$14-(10/(逐级计算!$Q$14*LN(10))*(MAX((LN(10^(逐级计算!$Q$14/10)-1)+逐级计算!$Q$14*(N17-逐级计算!$P$14)*LN(10)/10),0)+LN(1+EXP(-ABS((LN(10^(逐级计算!$Q$14/10)-1)+逐级计算!$Q$14*(N17-逐级计算!$P$14)*LN(10)/10))))))),"")</f>
        <v>13.8462128083601</v>
      </c>
      <c r="P17">
        <f>IF(AND(ISNUMBER(O17),逐级计算!$X$15&gt;-1),IF(逐级计算!$X$15=0,O17+逐级计算!$C$15,O17+逐级计算!$C$15-(10/(逐级计算!$Q$15*LN(10))*(MAX((LN(10^(逐级计算!$Q$15/10)-1)+逐级计算!$Q$15*(O17-逐级计算!$P$15)*LN(10)/10),0)+LN(1+EXP(-ABS((LN(10^(逐级计算!$Q$15/10)-1)+逐级计算!$Q$15*(O17-逐级计算!$P$15)*LN(10)/10))))))),"")</f>
        <v>13.8462128083601</v>
      </c>
      <c r="Q17">
        <f>IF(AND(ISNUMBER(P17),逐级计算!$X$16&gt;-1),IF(逐级计算!$X$16=0,P17+逐级计算!$C$16,P17+逐级计算!$C$16-(10/(逐级计算!$Q$16*LN(10))*(MAX((LN(10^(逐级计算!$Q$16/10)-1)+逐级计算!$Q$16*(P17-逐级计算!$P$16)*LN(10)/10),0)+LN(1+EXP(-ABS((LN(10^(逐级计算!$Q$16/10)-1)+逐级计算!$Q$16*(P17-逐级计算!$P$16)*LN(10)/10))))))),"")</f>
        <v>13.8462128083601</v>
      </c>
      <c r="R17">
        <f>IF(AND(ISNUMBER(Q17),逐级计算!$X$17&gt;-1),IF(逐级计算!$X$17=0,Q17+逐级计算!$C$17,Q17+逐级计算!$C$17-(10/(逐级计算!$Q$17*LN(10))*(MAX((LN(10^(逐级计算!$Q$17/10)-1)+逐级计算!$Q$17*(Q17-逐级计算!$P$17)*LN(10)/10),0)+LN(1+EXP(-ABS((LN(10^(逐级计算!$Q$17/10)-1)+逐级计算!$Q$17*(Q17-逐级计算!$P$17)*LN(10)/10))))))),"")</f>
        <v>13.8462128083601</v>
      </c>
      <c r="S17">
        <f>IF(AND(ISNUMBER(R17),逐级计算!$X$18&gt;-1),IF(逐级计算!$X$18=0,R17+逐级计算!$C$18,R17+逐级计算!$C$18-(10/(逐级计算!$Q$18*LN(10))*(MAX((LN(10^(逐级计算!$Q$18/10)-1)+逐级计算!$Q$18*(R17-逐级计算!$P$18)*LN(10)/10),0)+LN(1+EXP(-ABS((LN(10^(逐级计算!$Q$18/10)-1)+逐级计算!$Q$18*(R17-逐级计算!$P$18)*LN(10)/10))))))),"")</f>
        <v>13.8462128083601</v>
      </c>
      <c r="T17">
        <f>IF(AND(ISNUMBER(S17),逐级计算!$X$19&gt;-1),IF(逐级计算!$X$19=0,S17+逐级计算!$C$19,S17+逐级计算!$C$19-(10/(逐级计算!$Q$19*LN(10))*(MAX((LN(10^(逐级计算!$Q$19/10)-1)+逐级计算!$Q$19*(S17-逐级计算!$P$19)*LN(10)/10),0)+LN(1+EXP(-ABS((LN(10^(逐级计算!$Q$19/10)-1)+逐级计算!$Q$19*(S17-逐级计算!$P$19)*LN(10)/10))))))),"")</f>
        <v>13.8462128083601</v>
      </c>
      <c r="U17">
        <f>IF(AND(ISNUMBER(T17),逐级计算!$X$20&gt;-1),IF(逐级计算!$X$20=0,T17+逐级计算!$C$20,T17+逐级计算!$C$20-(10/(逐级计算!$Q$20*LN(10))*(MAX((LN(10^(逐级计算!$Q$20/10)-1)+逐级计算!$Q$20*(T17-逐级计算!$P$20)*LN(10)/10),0)+LN(1+EXP(-ABS((LN(10^(逐级计算!$Q$20/10)-1)+逐级计算!$Q$20*(T17-逐级计算!$P$20)*LN(10)/10))))))),"")</f>
        <v>13.8462128083601</v>
      </c>
      <c r="V17">
        <f>IF(AND(ISNUMBER(U17),逐级计算!$X$21&gt;-1),IF(逐级计算!$X$21=0,U17+逐级计算!$C$21,U17+逐级计算!$C$21-(10/(逐级计算!$Q$21*LN(10))*(MAX((LN(10^(逐级计算!$Q$21/10)-1)+逐级计算!$Q$21*(U17-逐级计算!$P$21)*LN(10)/10),0)+LN(1+EXP(-ABS((LN(10^(逐级计算!$Q$21/10)-1)+逐级计算!$Q$21*(U17-逐级计算!$P$21)*LN(10)/10))))))),"")</f>
        <v>13.8462128083601</v>
      </c>
      <c r="W17">
        <f>IF(AND(ISNUMBER(V17),逐级计算!$X$22&gt;-1),IF(逐级计算!$X$22=0,V17+逐级计算!$C$22,V17+逐级计算!$C$22-(10/(逐级计算!$Q$22*LN(10))*(MAX((LN(10^(逐级计算!$Q$22/10)-1)+逐级计算!$Q$22*(V17-逐级计算!$P$22)*LN(10)/10),0)+LN(1+EXP(-ABS((LN(10^(逐级计算!$Q$22/10)-1)+逐级计算!$Q$22*(V17-逐级计算!$P$22)*LN(10)/10))))))),"")</f>
        <v>13.8462128083601</v>
      </c>
      <c r="X17">
        <f>IF(AND(ISNUMBER(W17),逐级计算!$X$23&gt;-1),IF(逐级计算!$X$23=0,W17+逐级计算!$C$23,W17+逐级计算!$C$23-(10/(逐级计算!$Q$23*LN(10))*(MAX((LN(10^(逐级计算!$Q$23/10)-1)+逐级计算!$Q$23*(W17-逐级计算!$P$23)*LN(10)/10),0)+LN(1+EXP(-ABS((LN(10^(逐级计算!$Q$23/10)-1)+逐级计算!$Q$23*(W17-逐级计算!$P$23)*LN(10)/10))))))),"")</f>
        <v>13.8462128083601</v>
      </c>
      <c r="Y17">
        <f>IF(AND(ISNUMBER(X17),逐级计算!$X$24&gt;-1),IF(逐级计算!$X$24=0,X17+逐级计算!$C$24,X17+逐级计算!$C$24-(10/(逐级计算!$Q$24*LN(10))*(MAX((LN(10^(逐级计算!$Q$24/10)-1)+逐级计算!$Q$24*(X17-逐级计算!$P$24)*LN(10)/10),0)+LN(1+EXP(-ABS((LN(10^(逐级计算!$Q$24/10)-1)+逐级计算!$Q$24*(X17-逐级计算!$P$24)*LN(10)/10))))))),"")</f>
        <v>13.8462128083601</v>
      </c>
      <c r="Z17">
        <f>IF(AND(ISNUMBER(Y17),逐级计算!$X$25&gt;-1),IF(逐级计算!$X$25=0,Y17+逐级计算!$C$25,Y17+逐级计算!$C$25-(10/(逐级计算!$Q$25*LN(10))*(MAX((LN(10^(逐级计算!$Q$25/10)-1)+逐级计算!$Q$25*(Y17-逐级计算!$P$25)*LN(10)/10),0)+LN(1+EXP(-ABS((LN(10^(逐级计算!$Q$25/10)-1)+逐级计算!$Q$25*(Y17-逐级计算!$P$25)*LN(10)/10))))))),"")</f>
        <v>13.8462128083601</v>
      </c>
      <c r="AA17">
        <f>IF(AND(ISNUMBER(Z17),逐级计算!$X$26&gt;-1),IF(逐级计算!$X$26=0,Z17+逐级计算!$C$26,Z17+逐级计算!$C$26-(10/(逐级计算!$Q$26*LN(10))*(MAX((LN(10^(逐级计算!$Q$26/10)-1)+逐级计算!$Q$26*(Z17-逐级计算!$P$26)*LN(10)/10),0)+LN(1+EXP(-ABS((LN(10^(逐级计算!$Q$26/10)-1)+逐级计算!$Q$26*(Z17-逐级计算!$P$26)*LN(10)/10))))))),"")</f>
        <v>13.8462128083601</v>
      </c>
      <c r="AB17">
        <f>IF(AND(ISNUMBER(AA17),逐级计算!$X$27&gt;-1),IF(逐级计算!$X$27=0,AA17+逐级计算!$C$27,AA17+逐级计算!$C$27-(10/(逐级计算!$Q$27*LN(10))*(MAX((LN(10^(逐级计算!$Q$27/10)-1)+逐级计算!$Q$27*(AA17-逐级计算!$P$27)*LN(10)/10),0)+LN(1+EXP(-ABS((LN(10^(逐级计算!$Q$27/10)-1)+逐级计算!$Q$27*(AA17-逐级计算!$P$27)*LN(10)/10))))))),"")</f>
        <v>13.8462128083601</v>
      </c>
      <c r="AC17">
        <f>IF(AND(ISNUMBER(AB17),逐级计算!$X$28&gt;-1),IF(逐级计算!$X$28=0,AB17+逐级计算!$C$28,AB17+逐级计算!$C$28-(10/(逐级计算!$Q$28*LN(10))*(MAX((LN(10^(逐级计算!$Q$28/10)-1)+逐级计算!$Q$28*(AB17-逐级计算!$P$28)*LN(10)/10),0)+LN(1+EXP(-ABS((LN(10^(逐级计算!$Q$28/10)-1)+逐级计算!$Q$28*(AB17-逐级计算!$P$28)*LN(10)/10))))))),"")</f>
        <v>13.8462128083601</v>
      </c>
      <c r="AD17">
        <f>IF(AND(ISNUMBER(AC17),逐级计算!$X$29&gt;-1),IF(逐级计算!$X$29=0,AC17+逐级计算!$C$29,AC17+逐级计算!$C$29-(10/(逐级计算!$Q$29*LN(10))*(MAX((LN(10^(逐级计算!$Q$29/10)-1)+逐级计算!$Q$29*(AC17-逐级计算!$P$29)*LN(10)/10),0)+LN(1+EXP(-ABS((LN(10^(逐级计算!$Q$29/10)-1)+逐级计算!$Q$29*(AC17-逐级计算!$P$29)*LN(10)/10))))))),"")</f>
        <v>13.8462128083601</v>
      </c>
      <c r="AE17">
        <f>IF(AND(ISNUMBER(AD17),逐级计算!$X$30&gt;-1),IF(逐级计算!$X$30=0,AD17+逐级计算!$C$30,AD17+逐级计算!$C$30-(10/(逐级计算!$Q$30*LN(10))*(MAX((LN(10^(逐级计算!$Q$30/10)-1)+逐级计算!$Q$30*(AD17-逐级计算!$P$30)*LN(10)/10),0)+LN(1+EXP(-ABS((LN(10^(逐级计算!$Q$30/10)-1)+逐级计算!$Q$30*(AD17-逐级计算!$P$30)*LN(10)/10))))))),"")</f>
        <v>13.8462128083601</v>
      </c>
      <c r="AF17">
        <f>IF(AND(ISNUMBER(AE17),逐级计算!$X$31&gt;-1),IF(逐级计算!$X$31=0,AE17+逐级计算!$C$31,AE17+逐级计算!$C$31-(10/(逐级计算!$Q$31*LN(10))*(MAX((LN(10^(逐级计算!$Q$31/10)-1)+逐级计算!$Q$31*(AE17-逐级计算!$P$31)*LN(10)/10),0)+LN(1+EXP(-ABS((LN(10^(逐级计算!$Q$31/10)-1)+逐级计算!$Q$31*(AE17-逐级计算!$P$31)*LN(10)/10))))))),"")</f>
        <v>13.8462128083601</v>
      </c>
      <c r="AG17">
        <f>IF(AND(ISNUMBER(AF17),逐级计算!$X$32&gt;-1),IF(逐级计算!$X$32=0,AF17+逐级计算!$C$32,AF17+逐级计算!$C$32-(10/(逐级计算!$Q$32*LN(10))*(MAX((LN(10^(逐级计算!$Q$32/10)-1)+逐级计算!$Q$32*(AF17-逐级计算!$P$32)*LN(10)/10),0)+LN(1+EXP(-ABS((LN(10^(逐级计算!$Q$32/10)-1)+逐级计算!$Q$32*(AF17-逐级计算!$P$32)*LN(10)/10))))))),"")</f>
        <v>13.8462128083601</v>
      </c>
      <c r="AH17">
        <f>IF(AND(ISNUMBER(AG17),逐级计算!$X$33&gt;-1),IF(逐级计算!$X$33=0,AG17+逐级计算!$C$33,AG17+逐级计算!$C$33-(10/(逐级计算!$Q$33*LN(10))*(MAX((LN(10^(逐级计算!$Q$33/10)-1)+逐级计算!$Q$33*(AG17-逐级计算!$P$33)*LN(10)/10),0)+LN(1+EXP(-ABS((LN(10^(逐级计算!$Q$33/10)-1)+逐级计算!$Q$33*(AG17-逐级计算!$P$33)*LN(10)/10))))))),"")</f>
        <v>13.8462128083601</v>
      </c>
      <c r="AI17">
        <f>IF(AND(ISNUMBER(AH17),逐级计算!$X$34&gt;-1),IF(逐级计算!$X$34=0,AH17+逐级计算!$C$34,AH17+逐级计算!$C$34-(10/(逐级计算!$Q$34*LN(10))*(MAX((LN(10^(逐级计算!$Q$34/10)-1)+逐级计算!$Q$34*(AH17-逐级计算!$P$34)*LN(10)/10),0)+LN(1+EXP(-ABS((LN(10^(逐级计算!$Q$34/10)-1)+逐级计算!$Q$34*(AH17-逐级计算!$P$34)*LN(10)/10))))))),"")</f>
        <v>13.8462128083601</v>
      </c>
      <c r="AJ17">
        <f>IF(AND(ISNUMBER(AI17),逐级计算!$X$35&gt;-1),IF(逐级计算!$X$35=0,AI17+逐级计算!$C$35,AI17+逐级计算!$C$35-(10/(逐级计算!$Q$35*LN(10))*(MAX((LN(10^(逐级计算!$Q$35/10)-1)+逐级计算!$Q$35*(AI17-逐级计算!$P$35)*LN(10)/10),0)+LN(1+EXP(-ABS((LN(10^(逐级计算!$Q$35/10)-1)+逐级计算!$Q$35*(AI17-逐级计算!$P$35)*LN(10)/10))))))),"")</f>
        <v>13.8462128083601</v>
      </c>
      <c r="AK17">
        <f>IF(AND(ISNUMBER(AJ17),逐级计算!$X$36&gt;-1),IF(逐级计算!$X$36=0,AJ17+逐级计算!$C$36,AJ17+逐级计算!$C$36-(10/(逐级计算!$Q$36*LN(10))*(MAX((LN(10^(逐级计算!$Q$36/10)-1)+逐级计算!$Q$36*(AJ17-逐级计算!$P$36)*LN(10)/10),0)+LN(1+EXP(-ABS((LN(10^(逐级计算!$Q$36/10)-1)+逐级计算!$Q$36*(AJ17-逐级计算!$P$36)*LN(10)/10))))))),"")</f>
        <v>13.8462128083601</v>
      </c>
      <c r="AL17">
        <f>IF(AND(ISNUMBER(AK17),逐级计算!$X$37&gt;-1),IF(逐级计算!$X$37=0,AK17+逐级计算!$C$37,AK17+逐级计算!$C$37-(10/(逐级计算!$Q$37*LN(10))*(MAX((LN(10^(逐级计算!$Q$37/10)-1)+逐级计算!$Q$37*(AK17-逐级计算!$P$37)*LN(10)/10),0)+LN(1+EXP(-ABS((LN(10^(逐级计算!$Q$37/10)-1)+逐级计算!$Q$37*(AK17-逐级计算!$P$37)*LN(10)/10))))))),"")</f>
        <v>13.8462128083601</v>
      </c>
      <c r="AM17">
        <f>IF(AND(ISNUMBER(AL17),逐级计算!$X$38&gt;-1),IF(逐级计算!$X$38=0,AL17+逐级计算!$C$38,AL17+逐级计算!$C$38-(10/(逐级计算!$Q$38*LN(10))*(MAX((LN(10^(逐级计算!$Q$38/10)-1)+逐级计算!$Q$38*(AL17-逐级计算!$P$38)*LN(10)/10),0)+LN(1+EXP(-ABS((LN(10^(逐级计算!$Q$38/10)-1)+逐级计算!$Q$38*(AL17-逐级计算!$P$38)*LN(10)/10))))))),"")</f>
        <v>13.8462128083601</v>
      </c>
      <c r="AN17">
        <f>IF(AND(ISNUMBER(AM17),逐级计算!$X$39&gt;-1),IF(逐级计算!$X$39=0,AM17+逐级计算!$C$39,AM17+逐级计算!$C$39-(10/(逐级计算!$Q$39*LN(10))*(MAX((LN(10^(逐级计算!$Q$39/10)-1)+逐级计算!$Q$39*(AM17-逐级计算!$P$39)*LN(10)/10),0)+LN(1+EXP(-ABS((LN(10^(逐级计算!$Q$39/10)-1)+逐级计算!$Q$39*(AM17-逐级计算!$P$39)*LN(10)/10))))))),"")</f>
        <v>13.8462128083601</v>
      </c>
      <c r="AO17">
        <f>IF(AND(ISNUMBER(AN17),逐级计算!$X$40&gt;-1),IF(逐级计算!$X$40=0,AN17+逐级计算!$C$40,AN17+逐级计算!$C$40-(10/(逐级计算!$Q$40*LN(10))*(MAX((LN(10^(逐级计算!$Q$40/10)-1)+逐级计算!$Q$40*(AN17-逐级计算!$P$40)*LN(10)/10),0)+LN(1+EXP(-ABS((LN(10^(逐级计算!$Q$40/10)-1)+逐级计算!$Q$40*(AN17-逐级计算!$P$40)*LN(10)/10))))))),"")</f>
        <v>13.8462128083601</v>
      </c>
      <c r="AP17">
        <f>IF(AND(ISNUMBER(AO17),逐级计算!$X$41&gt;-1),IF(逐级计算!$X$41=0,AO17+逐级计算!$C$41,AO17+逐级计算!$C$41-(10/(逐级计算!$Q$41*LN(10))*(MAX((LN(10^(逐级计算!$Q$41/10)-1)+逐级计算!$Q$41*(AO17-逐级计算!$P$41)*LN(10)/10),0)+LN(1+EXP(-ABS((LN(10^(逐级计算!$Q$41/10)-1)+逐级计算!$Q$41*(AO17-逐级计算!$P$41)*LN(10)/10))))))),"")</f>
        <v>13.8462128083601</v>
      </c>
      <c r="AQ17">
        <f>IF(AND(ISNUMBER(AP17),逐级计算!$X$42&gt;-1),IF(逐级计算!$X$42=0,AP17+逐级计算!$C$42,AP17+逐级计算!$C$42-(10/(逐级计算!$Q$42*LN(10))*(MAX((LN(10^(逐级计算!$Q$42/10)-1)+逐级计算!$Q$42*(AP17-逐级计算!$P$42)*LN(10)/10),0)+LN(1+EXP(-ABS((LN(10^(逐级计算!$Q$42/10)-1)+逐级计算!$Q$42*(AP17-逐级计算!$P$42)*LN(10)/10))))))),"")</f>
        <v>13.8462128083601</v>
      </c>
      <c r="AR17">
        <f>IF(AND(ISNUMBER(AQ17),逐级计算!$X$43&gt;-1),IF(逐级计算!$X$43=0,AQ17+逐级计算!$C$43,AQ17+逐级计算!$C$43-(10/(逐级计算!$Q$43*LN(10))*(MAX((LN(10^(逐级计算!$Q$43/10)-1)+逐级计算!$Q$43*(AQ17-逐级计算!$P$43)*LN(10)/10),0)+LN(1+EXP(-ABS((LN(10^(逐级计算!$Q$43/10)-1)+逐级计算!$Q$43*(AQ17-逐级计算!$P$43)*LN(10)/10))))))),"")</f>
        <v>13.8462128083601</v>
      </c>
      <c r="AS17">
        <f>IF(AND(ISNUMBER(AR17),逐级计算!$X$44&gt;-1),IF(逐级计算!$X$44=0,AR17+逐级计算!$C$44,AR17+逐级计算!$C$44-(10/(逐级计算!$Q$44*LN(10))*(MAX((LN(10^(逐级计算!$Q$44/10)-1)+逐级计算!$Q$44*(AR17-逐级计算!$P$44)*LN(10)/10),0)+LN(1+EXP(-ABS((LN(10^(逐级计算!$Q$44/10)-1)+逐级计算!$Q$44*(AR17-逐级计算!$P$44)*LN(10)/10))))))),"")</f>
        <v>13.8462128083601</v>
      </c>
      <c r="AT17">
        <f>IF(AND(ISNUMBER(AS17),逐级计算!$X$45&gt;-1),IF(逐级计算!$X$45=0,AS17+逐级计算!$C$45,AS17+逐级计算!$C$45-(10/(逐级计算!$Q$45*LN(10))*(MAX((LN(10^(逐级计算!$Q$45/10)-1)+逐级计算!$Q$45*(AS17-逐级计算!$P$45)*LN(10)/10),0)+LN(1+EXP(-ABS((LN(10^(逐级计算!$Q$45/10)-1)+逐级计算!$Q$45*(AS17-逐级计算!$P$45)*LN(10)/10))))))),"")</f>
        <v>13.8462128083601</v>
      </c>
      <c r="AU17">
        <f>IF(AND(ISNUMBER(AT17),逐级计算!$X$46&gt;-1),IF(逐级计算!$X$46=0,AT17+逐级计算!$C$46,AT17+逐级计算!$C$46-(10/(逐级计算!$Q$46*LN(10))*(MAX((LN(10^(逐级计算!$Q$46/10)-1)+逐级计算!$Q$46*(AT17-逐级计算!$P$46)*LN(10)/10),0)+LN(1+EXP(-ABS((LN(10^(逐级计算!$Q$46/10)-1)+逐级计算!$Q$46*(AT17-逐级计算!$P$46)*LN(10)/10))))))),"")</f>
        <v>13.8462128083601</v>
      </c>
      <c r="AV17">
        <f>IF(AND(ISNUMBER(AU17),逐级计算!$X$47&gt;-1),IF(逐级计算!$X$47=0,AU17+逐级计算!$C$47,AU17+逐级计算!$C$47-(10/(逐级计算!$Q$47*LN(10))*(MAX((LN(10^(逐级计算!$Q$47/10)-1)+逐级计算!$Q$47*(AU17-逐级计算!$P$47)*LN(10)/10),0)+LN(1+EXP(-ABS((LN(10^(逐级计算!$Q$47/10)-1)+逐级计算!$Q$47*(AU17-逐级计算!$P$47)*LN(10)/10))))))),"")</f>
        <v>13.8462128083601</v>
      </c>
      <c r="AW17">
        <f>IF(AND(ISNUMBER(AV17),逐级计算!$X$48&gt;-1),IF(逐级计算!$X$48=0,AV17+逐级计算!$C$48,AV17+逐级计算!$C$48-(10/(逐级计算!$Q$48*LN(10))*(MAX((LN(10^(逐级计算!$Q$48/10)-1)+逐级计算!$Q$48*(AV17-逐级计算!$P$48)*LN(10)/10),0)+LN(1+EXP(-ABS((LN(10^(逐级计算!$Q$48/10)-1)+逐级计算!$Q$48*(AV17-逐级计算!$P$48)*LN(10)/10))))))),"")</f>
        <v>13.8462128083601</v>
      </c>
      <c r="AX17">
        <f>IF(AND(ISNUMBER(AW17),逐级计算!$X$49&gt;-1),IF(逐级计算!$X$49=0,AW17+逐级计算!$C$49,AW17+逐级计算!$C$49-(10/(逐级计算!$Q$49*LN(10))*(MAX((LN(10^(逐级计算!$Q$49/10)-1)+逐级计算!$Q$49*(AW17-逐级计算!$P$49)*LN(10)/10),0)+LN(1+EXP(-ABS((LN(10^(逐级计算!$Q$49/10)-1)+逐级计算!$Q$49*(AW17-逐级计算!$P$49)*LN(10)/10))))))),"")</f>
        <v>13.8462128083601</v>
      </c>
      <c r="AY17">
        <f>IF(AND(ISNUMBER(AX17),逐级计算!$X$50&gt;-1),IF(逐级计算!$X$50=0,AX17+逐级计算!$C$50,AX17+逐级计算!$C$50-(10/(逐级计算!$Q$50*LN(10))*(MAX((LN(10^(逐级计算!$Q$50/10)-1)+逐级计算!$Q$50*(AX17-逐级计算!$P$50)*LN(10)/10),0)+LN(1+EXP(-ABS((LN(10^(逐级计算!$Q$50/10)-1)+逐级计算!$Q$50*(AX17-逐级计算!$P$50)*LN(10)/10))))))),"")</f>
        <v>13.8462128083601</v>
      </c>
      <c r="AZ17">
        <f>IF(AND(ISNUMBER(AY17),逐级计算!$X$51&gt;-1),IF(逐级计算!$X$51=0,AY17+逐级计算!$C$51,AY17+逐级计算!$C$51-(10/(逐级计算!$Q$51*LN(10))*(MAX((LN(10^(逐级计算!$Q$51/10)-1)+逐级计算!$Q$51*(AY17-逐级计算!$P$51)*LN(10)/10),0)+LN(1+EXP(-ABS((LN(10^(逐级计算!$Q$51/10)-1)+逐级计算!$Q$51*(AY17-逐级计算!$P$51)*LN(10)/10))))))),"")</f>
        <v>13.8462128083601</v>
      </c>
      <c r="BA17">
        <f>IF(AND(ISNUMBER(AZ17),逐级计算!$X$52&gt;-1),IF(逐级计算!$X$52=0,AZ17+逐级计算!$C$52,AZ17+逐级计算!$C$52-(10/(逐级计算!$Q$52*LN(10))*(MAX((LN(10^(逐级计算!$Q$52/10)-1)+逐级计算!$Q$52*(AZ17-逐级计算!$P$52)*LN(10)/10),0)+LN(1+EXP(-ABS((LN(10^(逐级计算!$Q$52/10)-1)+逐级计算!$Q$52*(AZ17-逐级计算!$P$52)*LN(10)/10))))))),"")</f>
        <v>13.8462128083601</v>
      </c>
      <c r="BB17">
        <f>IF(AND(ISNUMBER(BA17),逐级计算!$X$53&gt;-1),IF(逐级计算!$X$53=0,BA17+逐级计算!$C$53,BA17+逐级计算!$C$53-(10/(逐级计算!$Q$53*LN(10))*(MAX((LN(10^(逐级计算!$Q$53/10)-1)+逐级计算!$Q$53*(BA17-逐级计算!$P$53)*LN(10)/10),0)+LN(1+EXP(-ABS((LN(10^(逐级计算!$Q$53/10)-1)+逐级计算!$Q$53*(BA17-逐级计算!$P$53)*LN(10)/10))))))),"")</f>
        <v>13.8462128083601</v>
      </c>
      <c r="BC17">
        <f>IF(AND(ISNUMBER(BB17),逐级计算!$X$54&gt;-1),IF(逐级计算!$X$54=0,BB17+逐级计算!$C$54,BB17+逐级计算!$C$54-(10/(逐级计算!$Q$54*LN(10))*(MAX((LN(10^(逐级计算!$Q$54/10)-1)+逐级计算!$Q$54*(BB17-逐级计算!$P$54)*LN(10)/10),0)+LN(1+EXP(-ABS((LN(10^(逐级计算!$Q$54/10)-1)+逐级计算!$Q$54*(BB17-逐级计算!$P$54)*LN(10)/10))))))),"")</f>
        <v>13.8462128083601</v>
      </c>
      <c r="BD17">
        <f>IF(AND(ISNUMBER(BC17),逐级计算!$X$55&gt;-1),IF(逐级计算!$X$55=0,BC17+逐级计算!$C$55,BC17+逐级计算!$C$55-(10/(逐级计算!$Q$55*LN(10))*(MAX((LN(10^(逐级计算!$Q$55/10)-1)+逐级计算!$Q$55*(BC17-逐级计算!$P$55)*LN(10)/10),0)+LN(1+EXP(-ABS((LN(10^(逐级计算!$Q$55/10)-1)+逐级计算!$Q$55*(BC17-逐级计算!$P$55)*LN(10)/10))))))),"")</f>
        <v>13.8462128083601</v>
      </c>
      <c r="BE17">
        <f>IF(AND(ISNUMBER(BD17),逐级计算!$X$56&gt;-1),IF(逐级计算!$X$56=0,BD17+逐级计算!$C$56,BD17+逐级计算!$C$56-(10/(逐级计算!$Q$56*LN(10))*(MAX((LN(10^(逐级计算!$Q$56/10)-1)+逐级计算!$Q$56*(BD17-逐级计算!$P$56)*LN(10)/10),0)+LN(1+EXP(-ABS((LN(10^(逐级计算!$Q$56/10)-1)+逐级计算!$Q$56*(BD17-逐级计算!$P$56)*LN(10)/10))))))),"")</f>
        <v>13.8462128083601</v>
      </c>
      <c r="BF17">
        <f>IF(AND(ISNUMBER(BE17),逐级计算!$X$57&gt;-1),IF(逐级计算!$X$57=0,BE17+逐级计算!$C$57,BE17+逐级计算!$C$57-(10/(逐级计算!$Q$57*LN(10))*(MAX((LN(10^(逐级计算!$Q$57/10)-1)+逐级计算!$Q$57*(BE17-逐级计算!$P$57)*LN(10)/10),0)+LN(1+EXP(-ABS((LN(10^(逐级计算!$Q$57/10)-1)+逐级计算!$Q$57*(BE17-逐级计算!$P$57)*LN(10)/10))))))),"")</f>
        <v>13.8462128083601</v>
      </c>
      <c r="BG17">
        <f>IF(AND(ISNUMBER(BF17),逐级计算!$X$58&gt;-1),IF(逐级计算!$X$58=0,BF17+逐级计算!$C$58,BF17+逐级计算!$C$58-(10/(逐级计算!$Q$58*LN(10))*(MAX((LN(10^(逐级计算!$Q$58/10)-1)+逐级计算!$Q$58*(BF17-逐级计算!$P$58)*LN(10)/10),0)+LN(1+EXP(-ABS((LN(10^(逐级计算!$Q$58/10)-1)+逐级计算!$Q$58*(BF17-逐级计算!$P$58)*LN(10)/10))))))),"")</f>
        <v>13.8462128083601</v>
      </c>
      <c r="BH17">
        <f>IF(AND(ISNUMBER(BG17),逐级计算!$X$59&gt;-1),IF(逐级计算!$X$59=0,BG17+逐级计算!$C$59,BG17+逐级计算!$C$59-(10/(逐级计算!$Q$59*LN(10))*(MAX((LN(10^(逐级计算!$Q$59/10)-1)+逐级计算!$Q$59*(BG17-逐级计算!$P$59)*LN(10)/10),0)+LN(1+EXP(-ABS((LN(10^(逐级计算!$Q$59/10)-1)+逐级计算!$Q$59*(BG17-逐级计算!$P$59)*LN(10)/10))))))),"")</f>
        <v>13.8462128083601</v>
      </c>
      <c r="BI17">
        <f>IF(AND(ISNUMBER(BH17),逐级计算!$X$60&gt;-1),IF(逐级计算!$X$60=0,BH17+逐级计算!$C$60,BH17+逐级计算!$C$60-(10/(逐级计算!$Q$60*LN(10))*(MAX((LN(10^(逐级计算!$Q$60/10)-1)+逐级计算!$Q$60*(BH17-逐级计算!$P$60)*LN(10)/10),0)+LN(1+EXP(-ABS((LN(10^(逐级计算!$Q$60/10)-1)+逐级计算!$Q$60*(BH17-逐级计算!$P$60)*LN(10)/10))))))),"")</f>
        <v>13.8462128083601</v>
      </c>
      <c r="BJ17">
        <f>IF(AND(ISNUMBER(BI17),逐级计算!$X$61&gt;-1),IF(逐级计算!$X$61=0,BI17+逐级计算!$C$61,BI17+逐级计算!$C$61-(10/(逐级计算!$Q$61*LN(10))*(MAX((LN(10^(逐级计算!$Q$61/10)-1)+逐级计算!$Q$61*(BI17-逐级计算!$P$61)*LN(10)/10),0)+LN(1+EXP(-ABS((LN(10^(逐级计算!$Q$61/10)-1)+逐级计算!$Q$61*(BI17-逐级计算!$P$61)*LN(10)/10))))))),"")</f>
        <v>13.8462128083601</v>
      </c>
      <c r="BK17">
        <f>IF(AND(ISNUMBER(BJ17),逐级计算!$X$62&gt;-1),IF(逐级计算!$X$62=0,BJ17+逐级计算!$C$62,BJ17+逐级计算!$C$62-(10/(逐级计算!$Q$62*LN(10))*(MAX((LN(10^(逐级计算!$Q$62/10)-1)+逐级计算!$Q$62*(BJ17-逐级计算!$P$62)*LN(10)/10),0)+LN(1+EXP(-ABS((LN(10^(逐级计算!$Q$62/10)-1)+逐级计算!$Q$62*(BJ17-逐级计算!$P$62)*LN(10)/10))))))),"")</f>
        <v>13.8462128083601</v>
      </c>
      <c r="BL17">
        <f>IF(AND(ISNUMBER(BK17),逐级计算!$X$63&gt;-1),IF(逐级计算!$X$63=0,BK17+逐级计算!$C$63,BK17+逐级计算!$C$63-(10/(逐级计算!$Q$63*LN(10))*(MAX((LN(10^(逐级计算!$Q$63/10)-1)+逐级计算!$Q$63*(BK17-逐级计算!$P$63)*LN(10)/10),0)+LN(1+EXP(-ABS((LN(10^(逐级计算!$Q$63/10)-1)+逐级计算!$Q$63*(BK17-逐级计算!$P$63)*LN(10)/10))))))),"")</f>
        <v>13.8462128083601</v>
      </c>
      <c r="BM17">
        <f>IF(AND(ISNUMBER(BL17),逐级计算!$X$64&gt;-1),IF(逐级计算!$X$64=0,BL17+逐级计算!$C$64,BL17+逐级计算!$C$64-(10/(逐级计算!$Q$64*LN(10))*(MAX((LN(10^(逐级计算!$Q$64/10)-1)+逐级计算!$Q$64*(BL17-逐级计算!$P$64)*LN(10)/10),0)+LN(1+EXP(-ABS((LN(10^(逐级计算!$Q$64/10)-1)+逐级计算!$Q$64*(BL17-逐级计算!$P$64)*LN(10)/10))))))),"")</f>
        <v>13.8462128083601</v>
      </c>
      <c r="BN17">
        <f>IF(AND(ISNUMBER(BM17),逐级计算!$X$65&gt;-1),IF(逐级计算!$X$65=0,BM17+逐级计算!$C$65,BM17+逐级计算!$C$65-(10/(逐级计算!$Q$65*LN(10))*(MAX((LN(10^(逐级计算!$Q$65/10)-1)+逐级计算!$Q$65*(BM17-逐级计算!$P$65)*LN(10)/10),0)+LN(1+EXP(-ABS((LN(10^(逐级计算!$Q$65/10)-1)+逐级计算!$Q$65*(BM17-逐级计算!$P$65)*LN(10)/10))))))),"")</f>
        <v>13.8462128083601</v>
      </c>
      <c r="BO17">
        <f>IF(AND(ISNUMBER(BN17),逐级计算!$X$66&gt;-1),IF(逐级计算!$X$66=0,BN17+逐级计算!$C$66,BN17+逐级计算!$C$66-(10/(逐级计算!$Q$66*LN(10))*(MAX((LN(10^(逐级计算!$Q$66/10)-1)+逐级计算!$Q$66*(BN17-逐级计算!$P$66)*LN(10)/10),0)+LN(1+EXP(-ABS((LN(10^(逐级计算!$Q$66/10)-1)+逐级计算!$Q$66*(BN17-逐级计算!$P$66)*LN(10)/10))))))),"")</f>
        <v>13.8462128083601</v>
      </c>
      <c r="BP17">
        <f>IF(AND(ISNUMBER(BO17),逐级计算!$X$67&gt;-1),IF(逐级计算!$X$67=0,BO17+逐级计算!$C$67,BO17+逐级计算!$C$67-(10/(逐级计算!$Q$67*LN(10))*(MAX((LN(10^(逐级计算!$Q$67/10)-1)+逐级计算!$Q$67*(BO17-逐级计算!$P$67)*LN(10)/10),0)+LN(1+EXP(-ABS((LN(10^(逐级计算!$Q$67/10)-1)+逐级计算!$Q$67*(BO17-逐级计算!$P$67)*LN(10)/10))))))),"")</f>
        <v>13.8462128083601</v>
      </c>
      <c r="BQ17">
        <f>IF(AND(ISNUMBER(BP17),逐级计算!$X$68&gt;-1),IF(逐级计算!$X$68=0,BP17+逐级计算!$C$68,BP17+逐级计算!$C$68-(10/(逐级计算!$Q$68*LN(10))*(MAX((LN(10^(逐级计算!$Q$68/10)-1)+逐级计算!$Q$68*(BP17-逐级计算!$P$68)*LN(10)/10),0)+LN(1+EXP(-ABS((LN(10^(逐级计算!$Q$68/10)-1)+逐级计算!$Q$68*(BP17-逐级计算!$P$68)*LN(10)/10))))))),"")</f>
        <v>13.8462128083601</v>
      </c>
      <c r="BR17">
        <f>IF(AND(ISNUMBER(BQ17),逐级计算!$X$69&gt;-1),IF(逐级计算!$X$69=0,BQ17+逐级计算!$C$69,BQ17+逐级计算!$C$69-(10/(逐级计算!$Q$69*LN(10))*(MAX((LN(10^(逐级计算!$Q$69/10)-1)+逐级计算!$Q$69*(BQ17-逐级计算!$P$69)*LN(10)/10),0)+LN(1+EXP(-ABS((LN(10^(逐级计算!$Q$69/10)-1)+逐级计算!$Q$69*(BQ17-逐级计算!$P$69)*LN(10)/10))))))),"")</f>
        <v>13.8462128083601</v>
      </c>
      <c r="BS17">
        <f>IF(AND(ISNUMBER(BR17),逐级计算!$X$70&gt;-1),IF(逐级计算!$X$70=0,BR17+逐级计算!$C$70,BR17+逐级计算!$C$70-(10/(逐级计算!$Q$70*LN(10))*(MAX((LN(10^(逐级计算!$Q$70/10)-1)+逐级计算!$Q$70*(BR17-逐级计算!$P$70)*LN(10)/10),0)+LN(1+EXP(-ABS((LN(10^(逐级计算!$Q$70/10)-1)+逐级计算!$Q$70*(BR17-逐级计算!$P$70)*LN(10)/10))))))),"")</f>
        <v>13.8462128083601</v>
      </c>
      <c r="BT17">
        <f>IF(AND(ISNUMBER(BS17),逐级计算!$X$71&gt;-1),IF(逐级计算!$X$71=0,BS17+逐级计算!$C$71,BS17+逐级计算!$C$71-(10/(逐级计算!$Q$71*LN(10))*(MAX((LN(10^(逐级计算!$Q$71/10)-1)+逐级计算!$Q$71*(BS17-逐级计算!$P$71)*LN(10)/10),0)+LN(1+EXP(-ABS((LN(10^(逐级计算!$Q$71/10)-1)+逐级计算!$Q$71*(BS17-逐级计算!$P$71)*LN(10)/10))))))),"")</f>
        <v>13.8462128083601</v>
      </c>
      <c r="BU17">
        <f>IF(AND(ISNUMBER(BT17),逐级计算!$X$72&gt;-1),IF(逐级计算!$X$72=0,BT17+逐级计算!$C$72,BT17+逐级计算!$C$72-(10/(逐级计算!$Q$72*LN(10))*(MAX((LN(10^(逐级计算!$Q$72/10)-1)+逐级计算!$Q$72*(BT17-逐级计算!$P$72)*LN(10)/10),0)+LN(1+EXP(-ABS((LN(10^(逐级计算!$Q$72/10)-1)+逐级计算!$Q$72*(BT17-逐级计算!$P$72)*LN(10)/10))))))),"")</f>
        <v>13.8462128083601</v>
      </c>
      <c r="BV17">
        <f>IF(AND(ISNUMBER(BU17),逐级计算!$X$73&gt;-1),IF(逐级计算!$X$73=0,BU17+逐级计算!$C$73,BU17+逐级计算!$C$73-(10/(逐级计算!$Q$73*LN(10))*(MAX((LN(10^(逐级计算!$Q$73/10)-1)+逐级计算!$Q$73*(BU17-逐级计算!$P$73)*LN(10)/10),0)+LN(1+EXP(-ABS((LN(10^(逐级计算!$Q$73/10)-1)+逐级计算!$Q$73*(BU17-逐级计算!$P$73)*LN(10)/10))))))),"")</f>
        <v>13.8462128083601</v>
      </c>
      <c r="BW17">
        <f>IF(AND(ISNUMBER(BV17),逐级计算!$X$74&gt;-1),IF(逐级计算!$X$74=0,BV17+逐级计算!$C$74,BV17+逐级计算!$C$74-(10/(逐级计算!$Q$74*LN(10))*(MAX((LN(10^(逐级计算!$Q$74/10)-1)+逐级计算!$Q$74*(BV17-逐级计算!$P$74)*LN(10)/10),0)+LN(1+EXP(-ABS((LN(10^(逐级计算!$Q$74/10)-1)+逐级计算!$Q$74*(BV17-逐级计算!$P$74)*LN(10)/10))))))),"")</f>
        <v>13.8462128083601</v>
      </c>
      <c r="BX17">
        <f>IF(AND(ISNUMBER(BW17),逐级计算!$X$75&gt;-1),IF(逐级计算!$X$75=0,BW17+逐级计算!$C$75,BW17+逐级计算!$C$75-(10/(逐级计算!$Q$75*LN(10))*(MAX((LN(10^(逐级计算!$Q$75/10)-1)+逐级计算!$Q$75*(BW17-逐级计算!$P$75)*LN(10)/10),0)+LN(1+EXP(-ABS((LN(10^(逐级计算!$Q$75/10)-1)+逐级计算!$Q$75*(BW17-逐级计算!$P$75)*LN(10)/10))))))),"")</f>
        <v>13.8462128083601</v>
      </c>
      <c r="BY17">
        <f>IF(AND(ISNUMBER(BX17),逐级计算!$X$76&gt;-1),IF(逐级计算!$X$76=0,BX17+逐级计算!$C$76,BX17+逐级计算!$C$76-(10/(逐级计算!$Q$76*LN(10))*(MAX((LN(10^(逐级计算!$Q$76/10)-1)+逐级计算!$Q$76*(BX17-逐级计算!$P$76)*LN(10)/10),0)+LN(1+EXP(-ABS((LN(10^(逐级计算!$Q$76/10)-1)+逐级计算!$Q$76*(BX17-逐级计算!$P$76)*LN(10)/10))))))),"")</f>
        <v>13.8462128083601</v>
      </c>
      <c r="BZ17">
        <f>IF(AND(ISNUMBER(BY17),逐级计算!$X$77&gt;-1),IF(逐级计算!$X$77=0,BY17+逐级计算!$C$77,BY17+逐级计算!$C$77-(10/(逐级计算!$Q$77*LN(10))*(MAX((LN(10^(逐级计算!$Q$77/10)-1)+逐级计算!$Q$77*(BY17-逐级计算!$P$77)*LN(10)/10),0)+LN(1+EXP(-ABS((LN(10^(逐级计算!$Q$77/10)-1)+逐级计算!$Q$77*(BY17-逐级计算!$P$77)*LN(10)/10))))))),"")</f>
        <v>13.8462128083601</v>
      </c>
      <c r="CA17">
        <f>IF(AND(ISNUMBER(BZ17),逐级计算!$X$78&gt;-1),IF(逐级计算!$X$78=0,BZ17+逐级计算!$C$78,BZ17+逐级计算!$C$78-(10/(逐级计算!$Q$78*LN(10))*(MAX((LN(10^(逐级计算!$Q$78/10)-1)+逐级计算!$Q$78*(BZ17-逐级计算!$P$78)*LN(10)/10),0)+LN(1+EXP(-ABS((LN(10^(逐级计算!$Q$78/10)-1)+逐级计算!$Q$78*(BZ17-逐级计算!$P$78)*LN(10)/10))))))),"")</f>
        <v>13.8462128083601</v>
      </c>
      <c r="CB17">
        <f>IF(AND(ISNUMBER(CA17),逐级计算!$X$79&gt;-1),IF(逐级计算!$X$79=0,CA17+逐级计算!$C$79,CA17+逐级计算!$C$79-(10/(逐级计算!$Q$79*LN(10))*(MAX((LN(10^(逐级计算!$Q$79/10)-1)+逐级计算!$Q$79*(CA17-逐级计算!$P$79)*LN(10)/10),0)+LN(1+EXP(-ABS((LN(10^(逐级计算!$Q$79/10)-1)+逐级计算!$Q$79*(CA17-逐级计算!$P$79)*LN(10)/10))))))),"")</f>
        <v>13.8462128083601</v>
      </c>
      <c r="CC17">
        <f>IF(AND(ISNUMBER(CB17),逐级计算!$X$80&gt;-1),IF(逐级计算!$X$80=0,CB17+逐级计算!$C$80,CB17+逐级计算!$C$80-(10/(逐级计算!$Q$80*LN(10))*(MAX((LN(10^(逐级计算!$Q$80/10)-1)+逐级计算!$Q$80*(CB17-逐级计算!$P$80)*LN(10)/10),0)+LN(1+EXP(-ABS((LN(10^(逐级计算!$Q$80/10)-1)+逐级计算!$Q$80*(CB17-逐级计算!$P$80)*LN(10)/10))))))),"")</f>
        <v>13.8462128083601</v>
      </c>
      <c r="CD17">
        <f>IF(AND(ISNUMBER(CC17),逐级计算!$X$81&gt;-1),IF(逐级计算!$X$81=0,CC17+逐级计算!$C$81,CC17+逐级计算!$C$81-(10/(逐级计算!$Q$81*LN(10))*(MAX((LN(10^(逐级计算!$Q$81/10)-1)+逐级计算!$Q$81*(CC17-逐级计算!$P$81)*LN(10)/10),0)+LN(1+EXP(-ABS((LN(10^(逐级计算!$Q$81/10)-1)+逐级计算!$Q$81*(CC17-逐级计算!$P$81)*LN(10)/10))))))),"")</f>
        <v>13.8462128083601</v>
      </c>
      <c r="CE17">
        <f>IF(AND(ISNUMBER(CD17),逐级计算!$X$82&gt;-1),IF(逐级计算!$X$82=0,CD17+逐级计算!$C$82,CD17+逐级计算!$C$82-(10/(逐级计算!$Q$82*LN(10))*(MAX((LN(10^(逐级计算!$Q$82/10)-1)+逐级计算!$Q$82*(CD17-逐级计算!$P$82)*LN(10)/10),0)+LN(1+EXP(-ABS((LN(10^(逐级计算!$Q$82/10)-1)+逐级计算!$Q$82*(CD17-逐级计算!$P$82)*LN(10)/10))))))),"")</f>
        <v>13.8462128083601</v>
      </c>
      <c r="CF17">
        <f>IF(AND(ISNUMBER(CE17),逐级计算!$X$83&gt;-1),IF(逐级计算!$X$83=0,CE17+逐级计算!$C$83,CE17+逐级计算!$C$83-(10/(逐级计算!$Q$83*LN(10))*(MAX((LN(10^(逐级计算!$Q$83/10)-1)+逐级计算!$Q$83*(CE17-逐级计算!$P$83)*LN(10)/10),0)+LN(1+EXP(-ABS((LN(10^(逐级计算!$Q$83/10)-1)+逐级计算!$Q$83*(CE17-逐级计算!$P$83)*LN(10)/10))))))),"")</f>
        <v>13.8462128083601</v>
      </c>
      <c r="CG17">
        <f>IF(AND(ISNUMBER(CF17),逐级计算!$X$84&gt;-1),IF(逐级计算!$X$84=0,CF17+逐级计算!$C$84,CF17+逐级计算!$C$84-(10/(逐级计算!$Q$84*LN(10))*(MAX((LN(10^(逐级计算!$Q$84/10)-1)+逐级计算!$Q$84*(CF17-逐级计算!$P$84)*LN(10)/10),0)+LN(1+EXP(-ABS((LN(10^(逐级计算!$Q$84/10)-1)+逐级计算!$Q$84*(CF17-逐级计算!$P$84)*LN(10)/10))))))),"")</f>
        <v>13.8462128083601</v>
      </c>
      <c r="CH17">
        <f>IF(AND(ISNUMBER(CG17),逐级计算!$X$85&gt;-1),IF(逐级计算!$X$85=0,CG17+逐级计算!$C$85,CG17+逐级计算!$C$85-(10/(逐级计算!$Q$85*LN(10))*(MAX((LN(10^(逐级计算!$Q$85/10)-1)+逐级计算!$Q$85*(CG17-逐级计算!$P$85)*LN(10)/10),0)+LN(1+EXP(-ABS((LN(10^(逐级计算!$Q$85/10)-1)+逐级计算!$Q$85*(CG17-逐级计算!$P$85)*LN(10)/10))))))),"")</f>
        <v>13.8462128083601</v>
      </c>
      <c r="CI17">
        <f>IF(AND(ISNUMBER(CH17),逐级计算!$X$86&gt;-1),IF(逐级计算!$X$86=0,CH17+逐级计算!$C$86,CH17+逐级计算!$C$86-(10/(逐级计算!$Q$86*LN(10))*(MAX((LN(10^(逐级计算!$Q$86/10)-1)+逐级计算!$Q$86*(CH17-逐级计算!$P$86)*LN(10)/10),0)+LN(1+EXP(-ABS((LN(10^(逐级计算!$Q$86/10)-1)+逐级计算!$Q$86*(CH17-逐级计算!$P$86)*LN(10)/10))))))),"")</f>
        <v>13.8462128083601</v>
      </c>
      <c r="CJ17">
        <f>IF(AND(ISNUMBER(CI17),逐级计算!$X$87&gt;-1),IF(逐级计算!$X$87=0,CI17+逐级计算!$C$87,CI17+逐级计算!$C$87-(10/(逐级计算!$Q$87*LN(10))*(MAX((LN(10^(逐级计算!$Q$87/10)-1)+逐级计算!$Q$87*(CI17-逐级计算!$P$87)*LN(10)/10),0)+LN(1+EXP(-ABS((LN(10^(逐级计算!$Q$87/10)-1)+逐级计算!$Q$87*(CI17-逐级计算!$P$87)*LN(10)/10))))))),"")</f>
        <v>13.8462128083601</v>
      </c>
      <c r="CK17">
        <f>IF(AND(ISNUMBER(CJ17),逐级计算!$X$88&gt;-1),IF(逐级计算!$X$88=0,CJ17+逐级计算!$C$88,CJ17+逐级计算!$C$88-(10/(逐级计算!$Q$88*LN(10))*(MAX((LN(10^(逐级计算!$Q$88/10)-1)+逐级计算!$Q$88*(CJ17-逐级计算!$P$88)*LN(10)/10),0)+LN(1+EXP(-ABS((LN(10^(逐级计算!$Q$88/10)-1)+逐级计算!$Q$88*(CJ17-逐级计算!$P$88)*LN(10)/10))))))),"")</f>
        <v>13.8462128083601</v>
      </c>
      <c r="CL17">
        <f>IF(AND(ISNUMBER(CK17),逐级计算!$X$89&gt;-1),IF(逐级计算!$X$89=0,CK17+逐级计算!$C$89,CK17+逐级计算!$C$89-(10/(逐级计算!$Q$89*LN(10))*(MAX((LN(10^(逐级计算!$Q$89/10)-1)+逐级计算!$Q$89*(CK17-逐级计算!$P$89)*LN(10)/10),0)+LN(1+EXP(-ABS((LN(10^(逐级计算!$Q$89/10)-1)+逐级计算!$Q$89*(CK17-逐级计算!$P$89)*LN(10)/10))))))),"")</f>
        <v>13.8462128083601</v>
      </c>
      <c r="CM17">
        <f>IF(AND(ISNUMBER(CL17),逐级计算!$X$90&gt;-1),IF(逐级计算!$X$90=0,CL17+逐级计算!$C$90,CL17+逐级计算!$C$90-(10/(逐级计算!$Q$90*LN(10))*(MAX((LN(10^(逐级计算!$Q$90/10)-1)+逐级计算!$Q$90*(CL17-逐级计算!$P$90)*LN(10)/10),0)+LN(1+EXP(-ABS((LN(10^(逐级计算!$Q$90/10)-1)+逐级计算!$Q$90*(CL17-逐级计算!$P$90)*LN(10)/10))))))),"")</f>
        <v>13.8462128083601</v>
      </c>
      <c r="CN17">
        <f>IF(AND(ISNUMBER(CM17),逐级计算!$X$91&gt;-1),IF(逐级计算!$X$91=0,CM17+逐级计算!$C$91,CM17+逐级计算!$C$91-(10/(逐级计算!$Q$91*LN(10))*(MAX((LN(10^(逐级计算!$Q$91/10)-1)+逐级计算!$Q$91*(CM17-逐级计算!$P$91)*LN(10)/10),0)+LN(1+EXP(-ABS((LN(10^(逐级计算!$Q$91/10)-1)+逐级计算!$Q$91*(CM17-逐级计算!$P$91)*LN(10)/10))))))),"")</f>
        <v>13.8462128083601</v>
      </c>
      <c r="CO17">
        <f>IF(AND(ISNUMBER(CN17),逐级计算!$X$92&gt;-1),IF(逐级计算!$X$92=0,CN17+逐级计算!$C$92,CN17+逐级计算!$C$92-(10/(逐级计算!$Q$92*LN(10))*(MAX((LN(10^(逐级计算!$Q$92/10)-1)+逐级计算!$Q$92*(CN17-逐级计算!$P$92)*LN(10)/10),0)+LN(1+EXP(-ABS((LN(10^(逐级计算!$Q$92/10)-1)+逐级计算!$Q$92*(CN17-逐级计算!$P$92)*LN(10)/10))))))),"")</f>
        <v>13.8462128083601</v>
      </c>
      <c r="CP17">
        <f>IF(AND(ISNUMBER(CO17),逐级计算!$X$93&gt;-1),IF(逐级计算!$X$93=0,CO17+逐级计算!$C$93,CO17+逐级计算!$C$93-(10/(逐级计算!$Q$93*LN(10))*(MAX((LN(10^(逐级计算!$Q$93/10)-1)+逐级计算!$Q$93*(CO17-逐级计算!$P$93)*LN(10)/10),0)+LN(1+EXP(-ABS((LN(10^(逐级计算!$Q$93/10)-1)+逐级计算!$Q$93*(CO17-逐级计算!$P$93)*LN(10)/10))))))),"")</f>
        <v>13.8462128083601</v>
      </c>
      <c r="CQ17">
        <f>IF(AND(ISNUMBER(CP17),逐级计算!$X$94&gt;-1),IF(逐级计算!$X$94=0,CP17+逐级计算!$C$94,CP17+逐级计算!$C$94-(10/(逐级计算!$Q$94*LN(10))*(MAX((LN(10^(逐级计算!$Q$94/10)-1)+逐级计算!$Q$94*(CP17-逐级计算!$P$94)*LN(10)/10),0)+LN(1+EXP(-ABS((LN(10^(逐级计算!$Q$94/10)-1)+逐级计算!$Q$94*(CP17-逐级计算!$P$94)*LN(10)/10))))))),"")</f>
        <v>13.8462128083601</v>
      </c>
      <c r="CR17">
        <f>IF(AND(ISNUMBER(CQ17),逐级计算!$X$95&gt;-1),IF(逐级计算!$X$95=0,CQ17+逐级计算!$C$95,CQ17+逐级计算!$C$95-(10/(逐级计算!$Q$95*LN(10))*(MAX((LN(10^(逐级计算!$Q$95/10)-1)+逐级计算!$Q$95*(CQ17-逐级计算!$P$95)*LN(10)/10),0)+LN(1+EXP(-ABS((LN(10^(逐级计算!$Q$95/10)-1)+逐级计算!$Q$95*(CQ17-逐级计算!$P$95)*LN(10)/10))))))),"")</f>
        <v>13.8462128083601</v>
      </c>
      <c r="CS17">
        <f>IF(AND(ISNUMBER(CR17),逐级计算!$X$96&gt;-1),IF(逐级计算!$X$96=0,CR17+逐级计算!$C$96,CR17+逐级计算!$C$96-(10/(逐级计算!$Q$96*LN(10))*(MAX((LN(10^(逐级计算!$Q$96/10)-1)+逐级计算!$Q$96*(CR17-逐级计算!$P$96)*LN(10)/10),0)+LN(1+EXP(-ABS((LN(10^(逐级计算!$Q$96/10)-1)+逐级计算!$Q$96*(CR17-逐级计算!$P$96)*LN(10)/10))))))),"")</f>
        <v>13.8462128083601</v>
      </c>
      <c r="CT17">
        <f>IF(AND(ISNUMBER(CS17),逐级计算!$X$97&gt;-1),IF(逐级计算!$X$97=0,CS17+逐级计算!$C$97,CS17+逐级计算!$C$97-(10/(逐级计算!$Q$97*LN(10))*(MAX((LN(10^(逐级计算!$Q$97/10)-1)+逐级计算!$Q$97*(CS17-逐级计算!$P$97)*LN(10)/10),0)+LN(1+EXP(-ABS((LN(10^(逐级计算!$Q$97/10)-1)+逐级计算!$Q$97*(CS17-逐级计算!$P$97)*LN(10)/10))))))),"")</f>
        <v>13.8462128083601</v>
      </c>
      <c r="CU17">
        <f>IF(AND(ISNUMBER(CT17),逐级计算!$X$98&gt;-1),IF(逐级计算!$X$98=0,CT17+逐级计算!$C$98,CT17+逐级计算!$C$98-(10/(逐级计算!$Q$98*LN(10))*(MAX((LN(10^(逐级计算!$Q$98/10)-1)+逐级计算!$Q$98*(CT17-逐级计算!$P$98)*LN(10)/10),0)+LN(1+EXP(-ABS((LN(10^(逐级计算!$Q$98/10)-1)+逐级计算!$Q$98*(CT17-逐级计算!$P$98)*LN(10)/10))))))),"")</f>
        <v>13.8462128083601</v>
      </c>
      <c r="CV17">
        <f>IF(AND(ISNUMBER(CU17),逐级计算!$X$99&gt;-1),IF(逐级计算!$X$99=0,CU17+逐级计算!$C$99,CU17+逐级计算!$C$99-(10/(逐级计算!$Q$99*LN(10))*(MAX((LN(10^(逐级计算!$Q$99/10)-1)+逐级计算!$Q$99*(CU17-逐级计算!$P$99)*LN(10)/10),0)+LN(1+EXP(-ABS((LN(10^(逐级计算!$Q$99/10)-1)+逐级计算!$Q$99*(CU17-逐级计算!$P$99)*LN(10)/10))))))),"")</f>
        <v>13.8462128083601</v>
      </c>
      <c r="CW17">
        <f>IF(AND(ISNUMBER(CV17),逐级计算!$X$100&gt;-1),IF(逐级计算!$X$100=0,CV17+逐级计算!$C$100,CV17+逐级计算!$C$100-(10/(逐级计算!$Q$100*LN(10))*(MAX((LN(10^(逐级计算!$Q$100/10)-1)+逐级计算!$Q$100*(CV17-逐级计算!$P$100)*LN(10)/10),0)+LN(1+EXP(-ABS((LN(10^(逐级计算!$Q$100/10)-1)+逐级计算!$Q$100*(CV17-逐级计算!$P$100)*LN(10)/10))))))),"")</f>
        <v>13.8462128083601</v>
      </c>
      <c r="CX17">
        <f>IF(AND(ISNUMBER(CW17),逐级计算!$X$101&gt;-1),IF(逐级计算!$X$101=0,CW17+逐级计算!$C$101,CW17+逐级计算!$C$101-(10/(逐级计算!$Q$101*LN(10))*(MAX((LN(10^(逐级计算!$Q$101/10)-1)+逐级计算!$Q$101*(CW17-逐级计算!$P$101)*LN(10)/10),0)+LN(1+EXP(-ABS((LN(10^(逐级计算!$Q$101/10)-1)+逐级计算!$Q$101*(CW17-逐级计算!$P$101)*LN(10)/10))))))),"")</f>
        <v>13.8462128083601</v>
      </c>
      <c r="CY17">
        <f>IF(AND(ISNUMBER(CX17),逐级计算!$X$102&gt;-1),IF(逐级计算!$X$102=0,CX17+逐级计算!$C$102,CX17+逐级计算!$C$102-(10/(逐级计算!$Q$102*LN(10))*(MAX((LN(10^(逐级计算!$Q$102/10)-1)+逐级计算!$Q$102*(CX17-逐级计算!$P$102)*LN(10)/10),0)+LN(1+EXP(-ABS((LN(10^(逐级计算!$Q$102/10)-1)+逐级计算!$Q$102*(CX17-逐级计算!$P$102)*LN(10)/10))))))),"")</f>
        <v>13.8462128083601</v>
      </c>
      <c r="CZ17">
        <f>IF(AND(ISNUMBER(CY17),逐级计算!$X$103&gt;-1),IF(逐级计算!$X$103=0,CY17+逐级计算!$C$103,CY17+逐级计算!$C$103-(10/(逐级计算!$Q$103*LN(10))*(MAX((LN(10^(逐级计算!$Q$103/10)-1)+逐级计算!$Q$103*(CY17-逐级计算!$P$103)*LN(10)/10),0)+LN(1+EXP(-ABS((LN(10^(逐级计算!$Q$103/10)-1)+逐级计算!$Q$103*(CY17-逐级计算!$P$103)*LN(10)/10))))))),"")</f>
        <v>13.8462128083601</v>
      </c>
      <c r="DA17">
        <f>IF(AND(ISNUMBER(CZ17),逐级计算!$X$104&gt;-1),IF(逐级计算!$X$104=0,CZ17+逐级计算!$C$104,CZ17+逐级计算!$C$104-(10/(逐级计算!$Q$104*LN(10))*(MAX((LN(10^(逐级计算!$Q$104/10)-1)+逐级计算!$Q$104*(CZ17-逐级计算!$P$104)*LN(10)/10),0)+LN(1+EXP(-ABS((LN(10^(逐级计算!$Q$104/10)-1)+逐级计算!$Q$104*(CZ17-逐级计算!$P$104)*LN(10)/10))))))),"")</f>
        <v>13.8462128083601</v>
      </c>
      <c r="DB17">
        <f>IF(AND(ISNUMBER(DA17),逐级计算!$X$105&gt;-1),IF(逐级计算!$X$105=0,DA17+逐级计算!$C$105,DA17+逐级计算!$C$105-(10/(逐级计算!$Q$105*LN(10))*(MAX((LN(10^(逐级计算!$Q$105/10)-1)+逐级计算!$Q$105*(DA17-逐级计算!$P$105)*LN(10)/10),0)+LN(1+EXP(-ABS((LN(10^(逐级计算!$Q$105/10)-1)+逐级计算!$Q$105*(DA17-逐级计算!$P$105)*LN(10)/10))))))),"")</f>
        <v>13.8462128083601</v>
      </c>
      <c r="DC17">
        <f>IF(AND(ISNUMBER(DB17),逐级计算!$X$106&gt;-1),IF(逐级计算!$X$106=0,DB17+逐级计算!$C$106,DB17+逐级计算!$C$106-(10/(逐级计算!$Q$106*LN(10))*(MAX((LN(10^(逐级计算!$Q$106/10)-1)+逐级计算!$Q$106*(DB17-逐级计算!$P$106)*LN(10)/10),0)+LN(1+EXP(-ABS((LN(10^(逐级计算!$Q$106/10)-1)+逐级计算!$Q$106*(DB17-逐级计算!$P$106)*LN(10)/10))))))),"")</f>
        <v>13.8462128083601</v>
      </c>
      <c r="DD17">
        <f>IF(AND(ISNUMBER(DC17),逐级计算!$X$107&gt;-1),IF(逐级计算!$X$107=0,DC17+逐级计算!$C$107,DC17+逐级计算!$C$107-(10/(逐级计算!$Q$107*LN(10))*(MAX((LN(10^(逐级计算!$Q$107/10)-1)+逐级计算!$Q$107*(DC17-逐级计算!$P$107)*LN(10)/10),0)+LN(1+EXP(-ABS((LN(10^(逐级计算!$Q$107/10)-1)+逐级计算!$Q$107*(DC17-逐级计算!$P$107)*LN(10)/10))))))),"")</f>
        <v>13.8462128083601</v>
      </c>
      <c r="DE17">
        <f>IF(AND(ISNUMBER(DD17),逐级计算!$X$108&gt;-1),IF(逐级计算!$X$108=0,DD17+逐级计算!$C$108,DD17+逐级计算!$C$108-(10/(逐级计算!$Q$108*LN(10))*(MAX((LN(10^(逐级计算!$Q$108/10)-1)+逐级计算!$Q$108*(DD17-逐级计算!$P$108)*LN(10)/10),0)+LN(1+EXP(-ABS((LN(10^(逐级计算!$Q$108/10)-1)+逐级计算!$Q$108*(DD17-逐级计算!$P$108)*LN(10)/10))))))),"")</f>
        <v>13.8462128083601</v>
      </c>
      <c r="DF17">
        <f>IF(AND(ISNUMBER(DE17),逐级计算!$X$109&gt;-1),IF(逐级计算!$X$109=0,DE17+逐级计算!$C$109,DE17+逐级计算!$C$109-(10/(逐级计算!$Q$109*LN(10))*(MAX((LN(10^(逐级计算!$Q$109/10)-1)+逐级计算!$Q$109*(DE17-逐级计算!$P$109)*LN(10)/10),0)+LN(1+EXP(-ABS((LN(10^(逐级计算!$Q$109/10)-1)+逐级计算!$Q$109*(DE17-逐级计算!$P$109)*LN(10)/10))))))),"")</f>
        <v>13.8462128083601</v>
      </c>
      <c r="DG17">
        <f>IF(AND(ISNUMBER(DF17),逐级计算!$X$110&gt;-1),IF(逐级计算!$X$110=0,DF17+逐级计算!$C$110,DF17+逐级计算!$C$110-(10/(逐级计算!$Q$110*LN(10))*(MAX((LN(10^(逐级计算!$Q$110/10)-1)+逐级计算!$Q$110*(DF17-逐级计算!$P$110)*LN(10)/10),0)+LN(1+EXP(-ABS((LN(10^(逐级计算!$Q$110/10)-1)+逐级计算!$Q$110*(DF17-逐级计算!$P$110)*LN(10)/10))))))),"")</f>
        <v>13.8462128083601</v>
      </c>
      <c r="DH17">
        <f>IF(AND(ISNUMBER(DG17),逐级计算!$X$111&gt;-1),IF(逐级计算!$X$111=0,DG17+逐级计算!$C$111,DG17+逐级计算!$C$111-(10/(逐级计算!$Q$111*LN(10))*(MAX((LN(10^(逐级计算!$Q$111/10)-1)+逐级计算!$Q$111*(DG17-逐级计算!$P$111)*LN(10)/10),0)+LN(1+EXP(-ABS((LN(10^(逐级计算!$Q$111/10)-1)+逐级计算!$Q$111*(DG17-逐级计算!$P$111)*LN(10)/10))))))),"")</f>
        <v>13.8462128083601</v>
      </c>
      <c r="DI17">
        <f>IF(AND(ISNUMBER(DH17),逐级计算!$X$112&gt;-1),IF(逐级计算!$X$112=0,DH17+逐级计算!$C$112,DH17+逐级计算!$C$112-(10/(逐级计算!$Q$112*LN(10))*(MAX((LN(10^(逐级计算!$Q$112/10)-1)+逐级计算!$Q$112*(DH17-逐级计算!$P$112)*LN(10)/10),0)+LN(1+EXP(-ABS((LN(10^(逐级计算!$Q$112/10)-1)+逐级计算!$Q$112*(DH17-逐级计算!$P$112)*LN(10)/10))))))),"")</f>
        <v>13.8462128083601</v>
      </c>
      <c r="DJ17">
        <f>IF(AND(ISNUMBER(DI17),逐级计算!$X$113&gt;-1),IF(逐级计算!$X$113=0,DI17+逐级计算!$C$113,DI17+逐级计算!$C$113-(10/(逐级计算!$Q$113*LN(10))*(MAX((LN(10^(逐级计算!$Q$113/10)-1)+逐级计算!$Q$113*(DI17-逐级计算!$P$113)*LN(10)/10),0)+LN(1+EXP(-ABS((LN(10^(逐级计算!$Q$113/10)-1)+逐级计算!$Q$113*(DI17-逐级计算!$P$113)*LN(10)/10))))))),"")</f>
        <v>13.8462128083601</v>
      </c>
      <c r="DK17">
        <f>IF(AND(ISNUMBER(DJ17),逐级计算!$X$114&gt;-1),IF(逐级计算!$X$114=0,DJ17+逐级计算!$C$114,DJ17+逐级计算!$C$114-(10/(逐级计算!$Q$114*LN(10))*(MAX((LN(10^(逐级计算!$Q$114/10)-1)+逐级计算!$Q$114*(DJ17-逐级计算!$P$114)*LN(10)/10),0)+LN(1+EXP(-ABS((LN(10^(逐级计算!$Q$114/10)-1)+逐级计算!$Q$114*(DJ17-逐级计算!$P$114)*LN(10)/10))))))),"")</f>
        <v>13.8462128083601</v>
      </c>
      <c r="DL17">
        <f>IF(AND(ISNUMBER(DK17),逐级计算!$X$115&gt;-1),IF(逐级计算!$X$115=0,DK17+逐级计算!$C$115,DK17+逐级计算!$C$115-(10/(逐级计算!$Q$115*LN(10))*(MAX((LN(10^(逐级计算!$Q$115/10)-1)+逐级计算!$Q$115*(DK17-逐级计算!$P$115)*LN(10)/10),0)+LN(1+EXP(-ABS((LN(10^(逐级计算!$Q$115/10)-1)+逐级计算!$Q$115*(DK17-逐级计算!$P$115)*LN(10)/10))))))),"")</f>
        <v>13.8462128083601</v>
      </c>
      <c r="DM17">
        <f>IF(AND(ISNUMBER(DL17),逐级计算!$X$116&gt;-1),IF(逐级计算!$X$116=0,DL17+逐级计算!$C$116,DL17+逐级计算!$C$116-(10/(逐级计算!$Q$116*LN(10))*(MAX((LN(10^(逐级计算!$Q$116/10)-1)+逐级计算!$Q$116*(DL17-逐级计算!$P$116)*LN(10)/10),0)+LN(1+EXP(-ABS((LN(10^(逐级计算!$Q$116/10)-1)+逐级计算!$Q$116*(DL17-逐级计算!$P$116)*LN(10)/10))))))),"")</f>
        <v>13.8462128083601</v>
      </c>
      <c r="DN17">
        <f>IF(AND(ISNUMBER(DM17),逐级计算!$X$117&gt;-1),IF(逐级计算!$X$117=0,DM17+逐级计算!$C$117,DM17+逐级计算!$C$117-(10/(逐级计算!$Q$117*LN(10))*(MAX((LN(10^(逐级计算!$Q$117/10)-1)+逐级计算!$Q$117*(DM17-逐级计算!$P$117)*LN(10)/10),0)+LN(1+EXP(-ABS((LN(10^(逐级计算!$Q$117/10)-1)+逐级计算!$Q$117*(DM17-逐级计算!$P$117)*LN(10)/10))))))),"")</f>
        <v>13.8462128083601</v>
      </c>
      <c r="DO17">
        <f>IF(AND(ISNUMBER(DN17),逐级计算!$X$118&gt;-1),IF(逐级计算!$X$118=0,DN17+逐级计算!$C$118,DN17+逐级计算!$C$118-(10/(逐级计算!$Q$118*LN(10))*(MAX((LN(10^(逐级计算!$Q$118/10)-1)+逐级计算!$Q$118*(DN17-逐级计算!$P$118)*LN(10)/10),0)+LN(1+EXP(-ABS((LN(10^(逐级计算!$Q$118/10)-1)+逐级计算!$Q$118*(DN17-逐级计算!$P$118)*LN(10)/10))))))),"")</f>
        <v>13.8462128083601</v>
      </c>
      <c r="DP17">
        <f>IF(AND(ISNUMBER(DO17),逐级计算!$X$119&gt;-1),IF(逐级计算!$X$119=0,DO17+逐级计算!$C$119,DO17+逐级计算!$C$119-(10/(逐级计算!$Q$119*LN(10))*(MAX((LN(10^(逐级计算!$Q$119/10)-1)+逐级计算!$Q$119*(DO17-逐级计算!$P$119)*LN(10)/10),0)+LN(1+EXP(-ABS((LN(10^(逐级计算!$Q$119/10)-1)+逐级计算!$Q$119*(DO17-逐级计算!$P$119)*LN(10)/10))))))),"")</f>
        <v>13.8462128083601</v>
      </c>
      <c r="DQ17">
        <f>IF(AND(ISNUMBER(DP17),逐级计算!$X$120&gt;-1),IF(逐级计算!$X$120=0,DP17+逐级计算!$C$120,DP17+逐级计算!$C$120-(10/(逐级计算!$Q$120*LN(10))*(MAX((LN(10^(逐级计算!$Q$120/10)-1)+逐级计算!$Q$120*(DP17-逐级计算!$P$120)*LN(10)/10),0)+LN(1+EXP(-ABS((LN(10^(逐级计算!$Q$120/10)-1)+逐级计算!$Q$120*(DP17-逐级计算!$P$120)*LN(10)/10))))))),"")</f>
        <v>13.8462128083601</v>
      </c>
      <c r="DR17">
        <f>IF(AND(ISNUMBER(DQ17),逐级计算!$X$121&gt;-1),IF(逐级计算!$X$121=0,DQ17+逐级计算!$C$121,DQ17+逐级计算!$C$121-(10/(逐级计算!$Q$121*LN(10))*(MAX((LN(10^(逐级计算!$Q$121/10)-1)+逐级计算!$Q$121*(DQ17-逐级计算!$P$121)*LN(10)/10),0)+LN(1+EXP(-ABS((LN(10^(逐级计算!$Q$121/10)-1)+逐级计算!$Q$121*(DQ17-逐级计算!$P$121)*LN(10)/10))))))),"")</f>
        <v>13.8462128083601</v>
      </c>
      <c r="DS17">
        <f>IF(AND(ISNUMBER(DR17),逐级计算!$X$122&gt;-1),IF(逐级计算!$X$122=0,DR17+逐级计算!$C$122,DR17+逐级计算!$C$122-(10/(逐级计算!$Q$122*LN(10))*(MAX((LN(10^(逐级计算!$Q$122/10)-1)+逐级计算!$Q$122*(DR17-逐级计算!$P$122)*LN(10)/10),0)+LN(1+EXP(-ABS((LN(10^(逐级计算!$Q$122/10)-1)+逐级计算!$Q$122*(DR17-逐级计算!$P$122)*LN(10)/10))))))),"")</f>
        <v>13.8462128083601</v>
      </c>
      <c r="DT17">
        <f>IF(AND(ISNUMBER(DS17),逐级计算!$X$123&gt;-1),IF(逐级计算!$X$123=0,DS17+逐级计算!$C$123,DS17+逐级计算!$C$123-(10/(逐级计算!$Q$123*LN(10))*(MAX((LN(10^(逐级计算!$Q$123/10)-1)+逐级计算!$Q$123*(DS17-逐级计算!$P$123)*LN(10)/10),0)+LN(1+EXP(-ABS((LN(10^(逐级计算!$Q$123/10)-1)+逐级计算!$Q$123*(DS17-逐级计算!$P$123)*LN(10)/10))))))),"")</f>
        <v>13.8462128083601</v>
      </c>
      <c r="DU17">
        <f>IF(AND(ISNUMBER(DT17),逐级计算!$X$124&gt;-1),IF(逐级计算!$X$124=0,DT17+逐级计算!$C$124,DT17+逐级计算!$C$124-(10/(逐级计算!$Q$124*LN(10))*(MAX((LN(10^(逐级计算!$Q$124/10)-1)+逐级计算!$Q$124*(DT17-逐级计算!$P$124)*LN(10)/10),0)+LN(1+EXP(-ABS((LN(10^(逐级计算!$Q$124/10)-1)+逐级计算!$Q$124*(DT17-逐级计算!$P$124)*LN(10)/10))))))),"")</f>
        <v>13.8462128083601</v>
      </c>
      <c r="DV17">
        <f>IF(AND(ISNUMBER(DU17),逐级计算!$X$125&gt;-1),IF(逐级计算!$X$125=0,DU17+逐级计算!$C$125,DU17+逐级计算!$C$125-(10/(逐级计算!$Q$125*LN(10))*(MAX((LN(10^(逐级计算!$Q$125/10)-1)+逐级计算!$Q$125*(DU17-逐级计算!$P$125)*LN(10)/10),0)+LN(1+EXP(-ABS((LN(10^(逐级计算!$Q$125/10)-1)+逐级计算!$Q$125*(DU17-逐级计算!$P$125)*LN(10)/10))))))),"")</f>
        <v>13.8462128083601</v>
      </c>
      <c r="DW17">
        <f>IF(AND(ISNUMBER(DV17),逐级计算!$X$126&gt;-1),IF(逐级计算!$X$126=0,DV17+逐级计算!$C$126,DV17+逐级计算!$C$126-(10/(逐级计算!$Q$126*LN(10))*(MAX((LN(10^(逐级计算!$Q$126/10)-1)+逐级计算!$Q$126*(DV17-逐级计算!$P$126)*LN(10)/10),0)+LN(1+EXP(-ABS((LN(10^(逐级计算!$Q$126/10)-1)+逐级计算!$Q$126*(DV17-逐级计算!$P$126)*LN(10)/10))))))),"")</f>
        <v>13.8462128083601</v>
      </c>
      <c r="DX17">
        <f>IF(AND(ISNUMBER(DW17),逐级计算!$X$127&gt;-1),IF(逐级计算!$X$127=0,DW17+逐级计算!$C$127,DW17+逐级计算!$C$127-(10/(逐级计算!$Q$127*LN(10))*(MAX((LN(10^(逐级计算!$Q$127/10)-1)+逐级计算!$Q$127*(DW17-逐级计算!$P$127)*LN(10)/10),0)+LN(1+EXP(-ABS((LN(10^(逐级计算!$Q$127/10)-1)+逐级计算!$Q$127*(DW17-逐级计算!$P$127)*LN(10)/10))))))),"")</f>
        <v>13.8462128083601</v>
      </c>
      <c r="DY17">
        <f>IF(AND(ISNUMBER(DX17),逐级计算!$X$128&gt;-1),IF(逐级计算!$X$128=0,DX17+逐级计算!$C$128,DX17+逐级计算!$C$128-(10/(逐级计算!$Q$128*LN(10))*(MAX((LN(10^(逐级计算!$Q$128/10)-1)+逐级计算!$Q$128*(DX17-逐级计算!$P$128)*LN(10)/10),0)+LN(1+EXP(-ABS((LN(10^(逐级计算!$Q$128/10)-1)+逐级计算!$Q$128*(DX17-逐级计算!$P$128)*LN(10)/10))))))),"")</f>
        <v>13.8462128083601</v>
      </c>
      <c r="DZ17">
        <f>IF(AND(ISNUMBER(DY17),逐级计算!$X$129&gt;-1),IF(逐级计算!$X$129=0,DY17+逐级计算!$C$129,DY17+逐级计算!$C$129-(10/(逐级计算!$Q$129*LN(10))*(MAX((LN(10^(逐级计算!$Q$129/10)-1)+逐级计算!$Q$129*(DY17-逐级计算!$P$129)*LN(10)/10),0)+LN(1+EXP(-ABS((LN(10^(逐级计算!$Q$129/10)-1)+逐级计算!$Q$129*(DY17-逐级计算!$P$129)*LN(10)/10))))))),"")</f>
        <v>13.8462128083601</v>
      </c>
      <c r="EA17">
        <f>IF(AND(ISNUMBER(DZ17),逐级计算!$X$130&gt;-1),IF(逐级计算!$X$130=0,DZ17+逐级计算!$C$130,DZ17+逐级计算!$C$130-(10/(逐级计算!$Q$130*LN(10))*(MAX((LN(10^(逐级计算!$Q$130/10)-1)+逐级计算!$Q$130*(DZ17-逐级计算!$P$130)*LN(10)/10),0)+LN(1+EXP(-ABS((LN(10^(逐级计算!$Q$130/10)-1)+逐级计算!$Q$130*(DZ17-逐级计算!$P$130)*LN(10)/10))))))),"")</f>
        <v>13.8462128083601</v>
      </c>
      <c r="EB17">
        <f>IF(AND(ISNUMBER(EA17),逐级计算!$X$131&gt;-1),IF(逐级计算!$X$131=0,EA17+逐级计算!$C$131,EA17+逐级计算!$C$131-(10/(逐级计算!$Q$131*LN(10))*(MAX((LN(10^(逐级计算!$Q$131/10)-1)+逐级计算!$Q$131*(EA17-逐级计算!$P$131)*LN(10)/10),0)+LN(1+EXP(-ABS((LN(10^(逐级计算!$Q$131/10)-1)+逐级计算!$Q$131*(EA17-逐级计算!$P$131)*LN(10)/10))))))),"")</f>
        <v>13.8462128083601</v>
      </c>
      <c r="EC17">
        <f>IF(AND(ISNUMBER(EB17),逐级计算!$X$132&gt;-1),IF(逐级计算!$X$132=0,EB17+逐级计算!$C$132,EB17+逐级计算!$C$132-(10/(逐级计算!$Q$132*LN(10))*(MAX((LN(10^(逐级计算!$Q$132/10)-1)+逐级计算!$Q$132*(EB17-逐级计算!$P$132)*LN(10)/10),0)+LN(1+EXP(-ABS((LN(10^(逐级计算!$Q$132/10)-1)+逐级计算!$Q$132*(EB17-逐级计算!$P$132)*LN(10)/10))))))),"")</f>
        <v>13.8462128083601</v>
      </c>
      <c r="ED17">
        <f>IF(AND(ISNUMBER(EC17),逐级计算!$X$133&gt;-1),IF(逐级计算!$X$133=0,EC17+逐级计算!$C$133,EC17+逐级计算!$C$133-(10/(逐级计算!$Q$133*LN(10))*(MAX((LN(10^(逐级计算!$Q$133/10)-1)+逐级计算!$Q$133*(EC17-逐级计算!$P$133)*LN(10)/10),0)+LN(1+EXP(-ABS((LN(10^(逐级计算!$Q$133/10)-1)+逐级计算!$Q$133*(EC17-逐级计算!$P$133)*LN(10)/10))))))),"")</f>
        <v>13.8462128083601</v>
      </c>
      <c r="EE17">
        <f>IF(AND(ISNUMBER(ED17),逐级计算!$X$134&gt;-1),IF(逐级计算!$X$134=0,ED17+逐级计算!$C$134,ED17+逐级计算!$C$134-(10/(逐级计算!$Q$134*LN(10))*(MAX((LN(10^(逐级计算!$Q$134/10)-1)+逐级计算!$Q$134*(ED17-逐级计算!$P$134)*LN(10)/10),0)+LN(1+EXP(-ABS((LN(10^(逐级计算!$Q$134/10)-1)+逐级计算!$Q$134*(ED17-逐级计算!$P$134)*LN(10)/10))))))),"")</f>
        <v>13.8462128083601</v>
      </c>
      <c r="EF17">
        <f>IF(AND(ISNUMBER(EE17),逐级计算!$X$135&gt;-1),IF(逐级计算!$X$135=0,EE17+逐级计算!$C$135,EE17+逐级计算!$C$135-(10/(逐级计算!$Q$135*LN(10))*(MAX((LN(10^(逐级计算!$Q$135/10)-1)+逐级计算!$Q$135*(EE17-逐级计算!$P$135)*LN(10)/10),0)+LN(1+EXP(-ABS((LN(10^(逐级计算!$Q$135/10)-1)+逐级计算!$Q$135*(EE17-逐级计算!$P$135)*LN(10)/10))))))),"")</f>
        <v>13.8462128083601</v>
      </c>
      <c r="EG17">
        <f>IF(AND(ISNUMBER(EF17),逐级计算!$X$136&gt;-1),IF(逐级计算!$X$136=0,EF17+逐级计算!$C$136,EF17+逐级计算!$C$136-(10/(逐级计算!$Q$136*LN(10))*(MAX((LN(10^(逐级计算!$Q$136/10)-1)+逐级计算!$Q$136*(EF17-逐级计算!$P$136)*LN(10)/10),0)+LN(1+EXP(-ABS((LN(10^(逐级计算!$Q$136/10)-1)+逐级计算!$Q$136*(EF17-逐级计算!$P$136)*LN(10)/10))))))),"")</f>
        <v>13.8462128083601</v>
      </c>
      <c r="EH17">
        <f>IF(AND(ISNUMBER(EG17),逐级计算!$X$137&gt;-1),IF(逐级计算!$X$137=0,EG17+逐级计算!$C$137,EG17+逐级计算!$C$137-(10/(逐级计算!$Q$137*LN(10))*(MAX((LN(10^(逐级计算!$Q$137/10)-1)+逐级计算!$Q$137*(EG17-逐级计算!$P$137)*LN(10)/10),0)+LN(1+EXP(-ABS((LN(10^(逐级计算!$Q$137/10)-1)+逐级计算!$Q$137*(EG17-逐级计算!$P$137)*LN(10)/10))))))),"")</f>
        <v>13.8462128083601</v>
      </c>
      <c r="EI17">
        <f>IF(AND(ISNUMBER(EH17),逐级计算!$X$138&gt;-1),IF(逐级计算!$X$138=0,EH17+逐级计算!$C$138,EH17+逐级计算!$C$138-(10/(逐级计算!$Q$138*LN(10))*(MAX((LN(10^(逐级计算!$Q$138/10)-1)+逐级计算!$Q$138*(EH17-逐级计算!$P$138)*LN(10)/10),0)+LN(1+EXP(-ABS((LN(10^(逐级计算!$Q$138/10)-1)+逐级计算!$Q$138*(EH17-逐级计算!$P$138)*LN(10)/10))))))),"")</f>
        <v>13.8462128083601</v>
      </c>
      <c r="EJ17">
        <f>IF(AND(ISNUMBER(EI17),逐级计算!$X$139&gt;-1),IF(逐级计算!$X$139=0,EI17+逐级计算!$C$139,EI17+逐级计算!$C$139-(10/(逐级计算!$Q$139*LN(10))*(MAX((LN(10^(逐级计算!$Q$139/10)-1)+逐级计算!$Q$139*(EI17-逐级计算!$P$139)*LN(10)/10),0)+LN(1+EXP(-ABS((LN(10^(逐级计算!$Q$139/10)-1)+逐级计算!$Q$139*(EI17-逐级计算!$P$139)*LN(10)/10))))))),"")</f>
        <v>13.8462128083601</v>
      </c>
      <c r="EK17">
        <f>IF(AND(ISNUMBER(EJ17),逐级计算!$X$140&gt;-1),IF(逐级计算!$X$140=0,EJ17+逐级计算!$C$140,EJ17+逐级计算!$C$140-(10/(逐级计算!$Q$140*LN(10))*(MAX((LN(10^(逐级计算!$Q$140/10)-1)+逐级计算!$Q$140*(EJ17-逐级计算!$P$140)*LN(10)/10),0)+LN(1+EXP(-ABS((LN(10^(逐级计算!$Q$140/10)-1)+逐级计算!$Q$140*(EJ17-逐级计算!$P$140)*LN(10)/10))))))),"")</f>
        <v>13.8462128083601</v>
      </c>
      <c r="EL17">
        <f>IF(AND(ISNUMBER(EK17),逐级计算!$X$141&gt;-1),IF(逐级计算!$X$141=0,EK17+逐级计算!$C$141,EK17+逐级计算!$C$141-(10/(逐级计算!$Q$141*LN(10))*(MAX((LN(10^(逐级计算!$Q$141/10)-1)+逐级计算!$Q$141*(EK17-逐级计算!$P$141)*LN(10)/10),0)+LN(1+EXP(-ABS((LN(10^(逐级计算!$Q$141/10)-1)+逐级计算!$Q$141*(EK17-逐级计算!$P$141)*LN(10)/10))))))),"")</f>
        <v>13.8462128083601</v>
      </c>
      <c r="EM17">
        <f>IF(AND(ISNUMBER(EL17),逐级计算!$X$142&gt;-1),IF(逐级计算!$X$142=0,EL17+逐级计算!$C$142,EL17+逐级计算!$C$142-(10/(逐级计算!$Q$142*LN(10))*(MAX((LN(10^(逐级计算!$Q$142/10)-1)+逐级计算!$Q$142*(EL17-逐级计算!$P$142)*LN(10)/10),0)+LN(1+EXP(-ABS((LN(10^(逐级计算!$Q$142/10)-1)+逐级计算!$Q$142*(EL17-逐级计算!$P$142)*LN(10)/10))))))),"")</f>
        <v>13.8462128083601</v>
      </c>
      <c r="EN17">
        <f>IF(AND(ISNUMBER(EM17),逐级计算!$X$143&gt;-1),IF(逐级计算!$X$143=0,EM17+逐级计算!$C$143,EM17+逐级计算!$C$143-(10/(逐级计算!$Q$143*LN(10))*(MAX((LN(10^(逐级计算!$Q$143/10)-1)+逐级计算!$Q$143*(EM17-逐级计算!$P$143)*LN(10)/10),0)+LN(1+EXP(-ABS((LN(10^(逐级计算!$Q$143/10)-1)+逐级计算!$Q$143*(EM17-逐级计算!$P$143)*LN(10)/10))))))),"")</f>
        <v>13.8462128083601</v>
      </c>
      <c r="EO17">
        <f>IF(AND(ISNUMBER(EN17),逐级计算!$X$144&gt;-1),IF(逐级计算!$X$144=0,EN17+逐级计算!$C$144,EN17+逐级计算!$C$144-(10/(逐级计算!$Q$144*LN(10))*(MAX((LN(10^(逐级计算!$Q$144/10)-1)+逐级计算!$Q$144*(EN17-逐级计算!$P$144)*LN(10)/10),0)+LN(1+EXP(-ABS((LN(10^(逐级计算!$Q$144/10)-1)+逐级计算!$Q$144*(EN17-逐级计算!$P$144)*LN(10)/10))))))),"")</f>
        <v>13.8462128083601</v>
      </c>
      <c r="EP17">
        <f>IF(AND(ISNUMBER(EO17),逐级计算!$X$145&gt;-1),IF(逐级计算!$X$145=0,EO17+逐级计算!$C$145,EO17+逐级计算!$C$145-(10/(逐级计算!$Q$145*LN(10))*(MAX((LN(10^(逐级计算!$Q$145/10)-1)+逐级计算!$Q$145*(EO17-逐级计算!$P$145)*LN(10)/10),0)+LN(1+EXP(-ABS((LN(10^(逐级计算!$Q$145/10)-1)+逐级计算!$Q$145*(EO17-逐级计算!$P$145)*LN(10)/10))))))),"")</f>
        <v>13.8462128083601</v>
      </c>
      <c r="EQ17">
        <f>IF(AND(ISNUMBER(EP17),逐级计算!$X$146&gt;-1),IF(逐级计算!$X$146=0,EP17+逐级计算!$C$146,EP17+逐级计算!$C$146-(10/(逐级计算!$Q$146*LN(10))*(MAX((LN(10^(逐级计算!$Q$146/10)-1)+逐级计算!$Q$146*(EP17-逐级计算!$P$146)*LN(10)/10),0)+LN(1+EXP(-ABS((LN(10^(逐级计算!$Q$146/10)-1)+逐级计算!$Q$146*(EP17-逐级计算!$P$146)*LN(10)/10))))))),"")</f>
        <v>13.8462128083601</v>
      </c>
      <c r="ER17">
        <f>IF(AND(ISNUMBER(EQ17),逐级计算!$X$147&gt;-1),IF(逐级计算!$X$147=0,EQ17+逐级计算!$C$147,EQ17+逐级计算!$C$147-(10/(逐级计算!$Q$147*LN(10))*(MAX((LN(10^(逐级计算!$Q$147/10)-1)+逐级计算!$Q$147*(EQ17-逐级计算!$P$147)*LN(10)/10),0)+LN(1+EXP(-ABS((LN(10^(逐级计算!$Q$147/10)-1)+逐级计算!$Q$147*(EQ17-逐级计算!$P$147)*LN(10)/10))))))),"")</f>
        <v>13.8462128083601</v>
      </c>
      <c r="ES17">
        <f>IF(AND(ISNUMBER(ER17),逐级计算!$X$148&gt;-1),IF(逐级计算!$X$148=0,ER17+逐级计算!$C$148,ER17+逐级计算!$C$148-(10/(逐级计算!$Q$148*LN(10))*(MAX((LN(10^(逐级计算!$Q$148/10)-1)+逐级计算!$Q$148*(ER17-逐级计算!$P$148)*LN(10)/10),0)+LN(1+EXP(-ABS((LN(10^(逐级计算!$Q$148/10)-1)+逐级计算!$Q$148*(ER17-逐级计算!$P$148)*LN(10)/10))))))),"")</f>
        <v>13.8462128083601</v>
      </c>
      <c r="ET17">
        <f>IF(AND(ISNUMBER(ES17),逐级计算!$X$149&gt;-1),IF(逐级计算!$X$149=0,ES17+逐级计算!$C$149,ES17+逐级计算!$C$149-(10/(逐级计算!$Q$149*LN(10))*(MAX((LN(10^(逐级计算!$Q$149/10)-1)+逐级计算!$Q$149*(ES17-逐级计算!$P$149)*LN(10)/10),0)+LN(1+EXP(-ABS((LN(10^(逐级计算!$Q$149/10)-1)+逐级计算!$Q$149*(ES17-逐级计算!$P$149)*LN(10)/10))))))),"")</f>
        <v>13.8462128083601</v>
      </c>
      <c r="EU17">
        <f>IF(AND(ISNUMBER(ET17),逐级计算!$X$150&gt;-1),IF(逐级计算!$X$150=0,ET17+逐级计算!$C$150,ET17+逐级计算!$C$150-(10/(逐级计算!$Q$150*LN(10))*(MAX((LN(10^(逐级计算!$Q$150/10)-1)+逐级计算!$Q$150*(ET17-逐级计算!$P$150)*LN(10)/10),0)+LN(1+EXP(-ABS((LN(10^(逐级计算!$Q$150/10)-1)+逐级计算!$Q$150*(ET17-逐级计算!$P$150)*LN(10)/10))))))),"")</f>
        <v>13.8462128083601</v>
      </c>
      <c r="EV17">
        <f>IF(AND(ISNUMBER(EU17),逐级计算!$X$151&gt;-1),IF(逐级计算!$X$151=0,EU17+逐级计算!$C$151,EU17+逐级计算!$C$151-(10/(逐级计算!$Q$151*LN(10))*(MAX((LN(10^(逐级计算!$Q$151/10)-1)+逐级计算!$Q$151*(EU17-逐级计算!$P$151)*LN(10)/10),0)+LN(1+EXP(-ABS((LN(10^(逐级计算!$Q$151/10)-1)+逐级计算!$Q$151*(EU17-逐级计算!$P$151)*LN(10)/10))))))),"")</f>
        <v>13.8462128083601</v>
      </c>
      <c r="EW17">
        <f>IF(AND(ISNUMBER(EV17),逐级计算!$X$152&gt;-1),IF(逐级计算!$X$152=0,EV17+逐级计算!$C$152,EV17+逐级计算!$C$152-(10/(逐级计算!$Q$152*LN(10))*(MAX((LN(10^(逐级计算!$Q$152/10)-1)+逐级计算!$Q$152*(EV17-逐级计算!$P$152)*LN(10)/10),0)+LN(1+EXP(-ABS((LN(10^(逐级计算!$Q$152/10)-1)+逐级计算!$Q$152*(EV17-逐级计算!$P$152)*LN(10)/10))))))),"")</f>
        <v>13.8462128083601</v>
      </c>
      <c r="EX17">
        <f>IF(AND(ISNUMBER(EW17),逐级计算!$X$153&gt;-1),IF(逐级计算!$X$153=0,EW17+逐级计算!$C$153,EW17+逐级计算!$C$153-(10/(逐级计算!$Q$153*LN(10))*(MAX((LN(10^(逐级计算!$Q$153/10)-1)+逐级计算!$Q$153*(EW17-逐级计算!$P$153)*LN(10)/10),0)+LN(1+EXP(-ABS((LN(10^(逐级计算!$Q$153/10)-1)+逐级计算!$Q$153*(EW17-逐级计算!$P$153)*LN(10)/10))))))),"")</f>
        <v>13.8462128083601</v>
      </c>
      <c r="EY17">
        <f>IF(AND(ISNUMBER(EX17),逐级计算!$X$154&gt;-1),IF(逐级计算!$X$154=0,EX17+逐级计算!$C$154,EX17+逐级计算!$C$154-(10/(逐级计算!$Q$154*LN(10))*(MAX((LN(10^(逐级计算!$Q$154/10)-1)+逐级计算!$Q$154*(EX17-逐级计算!$P$154)*LN(10)/10),0)+LN(1+EXP(-ABS((LN(10^(逐级计算!$Q$154/10)-1)+逐级计算!$Q$154*(EX17-逐级计算!$P$154)*LN(10)/10))))))),"")</f>
        <v>13.8462128083601</v>
      </c>
      <c r="EZ17">
        <f>IF(AND(ISNUMBER(EY17),逐级计算!$X$155&gt;-1),IF(逐级计算!$X$155=0,EY17+逐级计算!$C$155,EY17+逐级计算!$C$155-(10/(逐级计算!$Q$155*LN(10))*(MAX((LN(10^(逐级计算!$Q$155/10)-1)+逐级计算!$Q$155*(EY17-逐级计算!$P$155)*LN(10)/10),0)+LN(1+EXP(-ABS((LN(10^(逐级计算!$Q$155/10)-1)+逐级计算!$Q$155*(EY17-逐级计算!$P$155)*LN(10)/10))))))),"")</f>
        <v>13.8462128083601</v>
      </c>
      <c r="FA17">
        <f>IF(AND(ISNUMBER(EZ17),逐级计算!$X$156&gt;-1),IF(逐级计算!$X$156=0,EZ17+逐级计算!$C$156,EZ17+逐级计算!$C$156-(10/(逐级计算!$Q$156*LN(10))*(MAX((LN(10^(逐级计算!$Q$156/10)-1)+逐级计算!$Q$156*(EZ17-逐级计算!$P$156)*LN(10)/10),0)+LN(1+EXP(-ABS((LN(10^(逐级计算!$Q$156/10)-1)+逐级计算!$Q$156*(EZ17-逐级计算!$P$156)*LN(10)/10))))))),"")</f>
        <v>13.8462128083601</v>
      </c>
      <c r="FB17">
        <f>IF(AND(ISNUMBER(FA17),逐级计算!$X$157&gt;-1),IF(逐级计算!$X$157=0,FA17+逐级计算!$C$157,FA17+逐级计算!$C$157-(10/(逐级计算!$Q$157*LN(10))*(MAX((LN(10^(逐级计算!$Q$157/10)-1)+逐级计算!$Q$157*(FA17-逐级计算!$P$157)*LN(10)/10),0)+LN(1+EXP(-ABS((LN(10^(逐级计算!$Q$157/10)-1)+逐级计算!$Q$157*(FA17-逐级计算!$P$157)*LN(10)/10))))))),"")</f>
        <v>13.8462128083601</v>
      </c>
      <c r="FC17">
        <f>IF(AND(ISNUMBER(FB17),逐级计算!$X$158&gt;-1),IF(逐级计算!$X$158=0,FB17+逐级计算!$C$158,FB17+逐级计算!$C$158-(10/(逐级计算!$Q$158*LN(10))*(MAX((LN(10^(逐级计算!$Q$158/10)-1)+逐级计算!$Q$158*(FB17-逐级计算!$P$158)*LN(10)/10),0)+LN(1+EXP(-ABS((LN(10^(逐级计算!$Q$158/10)-1)+逐级计算!$Q$158*(FB17-逐级计算!$P$158)*LN(10)/10))))))),"")</f>
        <v>13.8462128083601</v>
      </c>
      <c r="FD17">
        <f>IF(AND(ISNUMBER(FC17),逐级计算!$X$159&gt;-1),IF(逐级计算!$X$159=0,FC17+逐级计算!$C$159,FC17+逐级计算!$C$159-(10/(逐级计算!$Q$159*LN(10))*(MAX((LN(10^(逐级计算!$Q$159/10)-1)+逐级计算!$Q$159*(FC17-逐级计算!$P$159)*LN(10)/10),0)+LN(1+EXP(-ABS((LN(10^(逐级计算!$Q$159/10)-1)+逐级计算!$Q$159*(FC17-逐级计算!$P$159)*LN(10)/10))))))),"")</f>
        <v>13.8462128083601</v>
      </c>
      <c r="FE17">
        <f>IF(AND(ISNUMBER(FD17),逐级计算!$X$160&gt;-1),IF(逐级计算!$X$160=0,FD17+逐级计算!$C$160,FD17+逐级计算!$C$160-(10/(逐级计算!$Q$160*LN(10))*(MAX((LN(10^(逐级计算!$Q$160/10)-1)+逐级计算!$Q$160*(FD17-逐级计算!$P$160)*LN(10)/10),0)+LN(1+EXP(-ABS((LN(10^(逐级计算!$Q$160/10)-1)+逐级计算!$Q$160*(FD17-逐级计算!$P$160)*LN(10)/10))))))),"")</f>
        <v>13.8462128083601</v>
      </c>
      <c r="FF17">
        <f>IF(AND(ISNUMBER(FE17),逐级计算!$X$161&gt;-1),IF(逐级计算!$X$161=0,FE17+逐级计算!$C$161,FE17+逐级计算!$C$161-(10/(逐级计算!$Q$161*LN(10))*(MAX((LN(10^(逐级计算!$Q$161/10)-1)+逐级计算!$Q$161*(FE17-逐级计算!$P$161)*LN(10)/10),0)+LN(1+EXP(-ABS((LN(10^(逐级计算!$Q$161/10)-1)+逐级计算!$Q$161*(FE17-逐级计算!$P$161)*LN(10)/10))))))),"")</f>
        <v>13.8462128083601</v>
      </c>
      <c r="FG17">
        <f>IF(AND(ISNUMBER(FF17),逐级计算!$X$162&gt;-1),IF(逐级计算!$X$162=0,FF17+逐级计算!$C$162,FF17+逐级计算!$C$162-(10/(逐级计算!$Q$162*LN(10))*(MAX((LN(10^(逐级计算!$Q$162/10)-1)+逐级计算!$Q$162*(FF17-逐级计算!$P$162)*LN(10)/10),0)+LN(1+EXP(-ABS((LN(10^(逐级计算!$Q$162/10)-1)+逐级计算!$Q$162*(FF17-逐级计算!$P$162)*LN(10)/10))))))),"")</f>
        <v>13.8462128083601</v>
      </c>
      <c r="FH17">
        <f>IF(AND(ISNUMBER(FG17),逐级计算!$X$163&gt;-1),IF(逐级计算!$X$163=0,FG17+逐级计算!$C$163,FG17+逐级计算!$C$163-(10/(逐级计算!$Q$163*LN(10))*(MAX((LN(10^(逐级计算!$Q$163/10)-1)+逐级计算!$Q$163*(FG17-逐级计算!$P$163)*LN(10)/10),0)+LN(1+EXP(-ABS((LN(10^(逐级计算!$Q$163/10)-1)+逐级计算!$Q$163*(FG17-逐级计算!$P$163)*LN(10)/10))))))),"")</f>
        <v>13.8462128083601</v>
      </c>
      <c r="FI17">
        <f>IF(AND(ISNUMBER(FH17),逐级计算!$X$164&gt;-1),IF(逐级计算!$X$164=0,FH17+逐级计算!$C$164,FH17+逐级计算!$C$164-(10/(逐级计算!$Q$164*LN(10))*(MAX((LN(10^(逐级计算!$Q$164/10)-1)+逐级计算!$Q$164*(FH17-逐级计算!$P$164)*LN(10)/10),0)+LN(1+EXP(-ABS((LN(10^(逐级计算!$Q$164/10)-1)+逐级计算!$Q$164*(FH17-逐级计算!$P$164)*LN(10)/10))))))),"")</f>
        <v>13.8462128083601</v>
      </c>
      <c r="FJ17">
        <f>IF(AND(ISNUMBER(FI17),逐级计算!$X$165&gt;-1),IF(逐级计算!$X$165=0,FI17+逐级计算!$C$165,FI17+逐级计算!$C$165-(10/(逐级计算!$Q$165*LN(10))*(MAX((LN(10^(逐级计算!$Q$165/10)-1)+逐级计算!$Q$165*(FI17-逐级计算!$P$165)*LN(10)/10),0)+LN(1+EXP(-ABS((LN(10^(逐级计算!$Q$165/10)-1)+逐级计算!$Q$165*(FI17-逐级计算!$P$165)*LN(10)/10))))))),"")</f>
        <v>13.8462128083601</v>
      </c>
      <c r="FK17">
        <f>IF(AND(ISNUMBER(FJ17),逐级计算!$X$166&gt;-1),IF(逐级计算!$X$166=0,FJ17+逐级计算!$C$166,FJ17+逐级计算!$C$166-(10/(逐级计算!$Q$166*LN(10))*(MAX((LN(10^(逐级计算!$Q$166/10)-1)+逐级计算!$Q$166*(FJ17-逐级计算!$P$166)*LN(10)/10),0)+LN(1+EXP(-ABS((LN(10^(逐级计算!$Q$166/10)-1)+逐级计算!$Q$166*(FJ17-逐级计算!$P$166)*LN(10)/10))))))),"")</f>
        <v>13.8462128083601</v>
      </c>
      <c r="FL17">
        <f>IF(AND(ISNUMBER(FK17),逐级计算!$X$167&gt;-1),IF(逐级计算!$X$167=0,FK17+逐级计算!$C$167,FK17+逐级计算!$C$167-(10/(逐级计算!$Q$167*LN(10))*(MAX((LN(10^(逐级计算!$Q$167/10)-1)+逐级计算!$Q$167*(FK17-逐级计算!$P$167)*LN(10)/10),0)+LN(1+EXP(-ABS((LN(10^(逐级计算!$Q$167/10)-1)+逐级计算!$Q$167*(FK17-逐级计算!$P$167)*LN(10)/10))))))),"")</f>
        <v>13.8462128083601</v>
      </c>
      <c r="FM17">
        <f>IF(AND(ISNUMBER(FL17),逐级计算!$X$168&gt;-1),IF(逐级计算!$X$168=0,FL17+逐级计算!$C$168,FL17+逐级计算!$C$168-(10/(逐级计算!$Q$168*LN(10))*(MAX((LN(10^(逐级计算!$Q$168/10)-1)+逐级计算!$Q$168*(FL17-逐级计算!$P$168)*LN(10)/10),0)+LN(1+EXP(-ABS((LN(10^(逐级计算!$Q$168/10)-1)+逐级计算!$Q$168*(FL17-逐级计算!$P$168)*LN(10)/10))))))),"")</f>
        <v>13.8462128083601</v>
      </c>
      <c r="FN17">
        <f>IF(AND(ISNUMBER(FM17),逐级计算!$X$169&gt;-1),IF(逐级计算!$X$169=0,FM17+逐级计算!$C$169,FM17+逐级计算!$C$169-(10/(逐级计算!$Q$169*LN(10))*(MAX((LN(10^(逐级计算!$Q$169/10)-1)+逐级计算!$Q$169*(FM17-逐级计算!$P$169)*LN(10)/10),0)+LN(1+EXP(-ABS((LN(10^(逐级计算!$Q$169/10)-1)+逐级计算!$Q$169*(FM17-逐级计算!$P$169)*LN(10)/10))))))),"")</f>
        <v>13.8462128083601</v>
      </c>
      <c r="FO17">
        <f>IF(AND(ISNUMBER(FN17),逐级计算!$X$170&gt;-1),IF(逐级计算!$X$170=0,FN17+逐级计算!$C$170,FN17+逐级计算!$C$170-(10/(逐级计算!$Q$170*LN(10))*(MAX((LN(10^(逐级计算!$Q$170/10)-1)+逐级计算!$Q$170*(FN17-逐级计算!$P$170)*LN(10)/10),0)+LN(1+EXP(-ABS((LN(10^(逐级计算!$Q$170/10)-1)+逐级计算!$Q$170*(FN17-逐级计算!$P$170)*LN(10)/10))))))),"")</f>
        <v>13.8462128083601</v>
      </c>
      <c r="FP17">
        <f>IF(AND(ISNUMBER(FO17),逐级计算!$X$171&gt;-1),IF(逐级计算!$X$171=0,FO17+逐级计算!$C$171,FO17+逐级计算!$C$171-(10/(逐级计算!$Q$171*LN(10))*(MAX((LN(10^(逐级计算!$Q$171/10)-1)+逐级计算!$Q$171*(FO17-逐级计算!$P$171)*LN(10)/10),0)+LN(1+EXP(-ABS((LN(10^(逐级计算!$Q$171/10)-1)+逐级计算!$Q$171*(FO17-逐级计算!$P$171)*LN(10)/10))))))),"")</f>
        <v>13.8462128083601</v>
      </c>
      <c r="FQ17">
        <f>IF(AND(ISNUMBER(FP17),逐级计算!$X$172&gt;-1),IF(逐级计算!$X$172=0,FP17+逐级计算!$C$172,FP17+逐级计算!$C$172-(10/(逐级计算!$Q$172*LN(10))*(MAX((LN(10^(逐级计算!$Q$172/10)-1)+逐级计算!$Q$172*(FP17-逐级计算!$P$172)*LN(10)/10),0)+LN(1+EXP(-ABS((LN(10^(逐级计算!$Q$172/10)-1)+逐级计算!$Q$172*(FP17-逐级计算!$P$172)*LN(10)/10))))))),"")</f>
        <v>13.8462128083601</v>
      </c>
      <c r="FR17">
        <f>IF(AND(ISNUMBER(FQ17),逐级计算!$X$173&gt;-1),IF(逐级计算!$X$173=0,FQ17+逐级计算!$C$173,FQ17+逐级计算!$C$173-(10/(逐级计算!$Q$173*LN(10))*(MAX((LN(10^(逐级计算!$Q$173/10)-1)+逐级计算!$Q$173*(FQ17-逐级计算!$P$173)*LN(10)/10),0)+LN(1+EXP(-ABS((LN(10^(逐级计算!$Q$173/10)-1)+逐级计算!$Q$173*(FQ17-逐级计算!$P$173)*LN(10)/10))))))),"")</f>
        <v>13.8462128083601</v>
      </c>
      <c r="FS17">
        <f>IF(AND(ISNUMBER(FR17),逐级计算!$X$174&gt;-1),IF(逐级计算!$X$174=0,FR17+逐级计算!$C$174,FR17+逐级计算!$C$174-(10/(逐级计算!$Q$174*LN(10))*(MAX((LN(10^(逐级计算!$Q$174/10)-1)+逐级计算!$Q$174*(FR17-逐级计算!$P$174)*LN(10)/10),0)+LN(1+EXP(-ABS((LN(10^(逐级计算!$Q$174/10)-1)+逐级计算!$Q$174*(FR17-逐级计算!$P$174)*LN(10)/10))))))),"")</f>
        <v>13.8462128083601</v>
      </c>
      <c r="FT17">
        <f>IF(AND(ISNUMBER(FS17),逐级计算!$X$175&gt;-1),IF(逐级计算!$X$175=0,FS17+逐级计算!$C$175,FS17+逐级计算!$C$175-(10/(逐级计算!$Q$175*LN(10))*(MAX((LN(10^(逐级计算!$Q$175/10)-1)+逐级计算!$Q$175*(FS17-逐级计算!$P$175)*LN(10)/10),0)+LN(1+EXP(-ABS((LN(10^(逐级计算!$Q$175/10)-1)+逐级计算!$Q$175*(FS17-逐级计算!$P$175)*LN(10)/10))))))),"")</f>
        <v>13.8462128083601</v>
      </c>
      <c r="FU17">
        <f>IF(AND(ISNUMBER(FT17),逐级计算!$X$176&gt;-1),IF(逐级计算!$X$176=0,FT17+逐级计算!$C$176,FT17+逐级计算!$C$176-(10/(逐级计算!$Q$176*LN(10))*(MAX((LN(10^(逐级计算!$Q$176/10)-1)+逐级计算!$Q$176*(FT17-逐级计算!$P$176)*LN(10)/10),0)+LN(1+EXP(-ABS((LN(10^(逐级计算!$Q$176/10)-1)+逐级计算!$Q$176*(FT17-逐级计算!$P$176)*LN(10)/10))))))),"")</f>
        <v>13.8462128083601</v>
      </c>
      <c r="FV17">
        <f>IF(AND(ISNUMBER(FU17),逐级计算!$X$177&gt;-1),IF(逐级计算!$X$177=0,FU17+逐级计算!$C$177,FU17+逐级计算!$C$177-(10/(逐级计算!$Q$177*LN(10))*(MAX((LN(10^(逐级计算!$Q$177/10)-1)+逐级计算!$Q$177*(FU17-逐级计算!$P$177)*LN(10)/10),0)+LN(1+EXP(-ABS((LN(10^(逐级计算!$Q$177/10)-1)+逐级计算!$Q$177*(FU17-逐级计算!$P$177)*LN(10)/10))))))),"")</f>
        <v>13.8462128083601</v>
      </c>
      <c r="FW17">
        <f>IF(AND(ISNUMBER(FV17),逐级计算!$X$178&gt;-1),IF(逐级计算!$X$178=0,FV17+逐级计算!$C$178,FV17+逐级计算!$C$178-(10/(逐级计算!$Q$178*LN(10))*(MAX((LN(10^(逐级计算!$Q$178/10)-1)+逐级计算!$Q$178*(FV17-逐级计算!$P$178)*LN(10)/10),0)+LN(1+EXP(-ABS((LN(10^(逐级计算!$Q$178/10)-1)+逐级计算!$Q$178*(FV17-逐级计算!$P$178)*LN(10)/10))))))),"")</f>
        <v>13.8462128083601</v>
      </c>
      <c r="FX17">
        <f>IF(AND(ISNUMBER(FW17),逐级计算!$X$179&gt;-1),IF(逐级计算!$X$179=0,FW17+逐级计算!$C$179,FW17+逐级计算!$C$179-(10/(逐级计算!$Q$179*LN(10))*(MAX((LN(10^(逐级计算!$Q$179/10)-1)+逐级计算!$Q$179*(FW17-逐级计算!$P$179)*LN(10)/10),0)+LN(1+EXP(-ABS((LN(10^(逐级计算!$Q$179/10)-1)+逐级计算!$Q$179*(FW17-逐级计算!$P$179)*LN(10)/10))))))),"")</f>
        <v>13.8462128083601</v>
      </c>
      <c r="FY17">
        <f>IF(AND(ISNUMBER(FX17),逐级计算!$X$180&gt;-1),IF(逐级计算!$X$180=0,FX17+逐级计算!$C$180,FX17+逐级计算!$C$180-(10/(逐级计算!$Q$180*LN(10))*(MAX((LN(10^(逐级计算!$Q$180/10)-1)+逐级计算!$Q$180*(FX17-逐级计算!$P$180)*LN(10)/10),0)+LN(1+EXP(-ABS((LN(10^(逐级计算!$Q$180/10)-1)+逐级计算!$Q$180*(FX17-逐级计算!$P$180)*LN(10)/10))))))),"")</f>
        <v>13.8462128083601</v>
      </c>
      <c r="FZ17">
        <f>IF(AND(ISNUMBER(FY17),逐级计算!$X$181&gt;-1),IF(逐级计算!$X$181=0,FY17+逐级计算!$C$181,FY17+逐级计算!$C$181-(10/(逐级计算!$Q$181*LN(10))*(MAX((LN(10^(逐级计算!$Q$181/10)-1)+逐级计算!$Q$181*(FY17-逐级计算!$P$181)*LN(10)/10),0)+LN(1+EXP(-ABS((LN(10^(逐级计算!$Q$181/10)-1)+逐级计算!$Q$181*(FY17-逐级计算!$P$181)*LN(10)/10))))))),"")</f>
        <v>13.8462128083601</v>
      </c>
      <c r="GA17">
        <f>IF(AND(ISNUMBER(FZ17),逐级计算!$X$182&gt;-1),IF(逐级计算!$X$182=0,FZ17+逐级计算!$C$182,FZ17+逐级计算!$C$182-(10/(逐级计算!$Q$182*LN(10))*(MAX((LN(10^(逐级计算!$Q$182/10)-1)+逐级计算!$Q$182*(FZ17-逐级计算!$P$182)*LN(10)/10),0)+LN(1+EXP(-ABS((LN(10^(逐级计算!$Q$182/10)-1)+逐级计算!$Q$182*(FZ17-逐级计算!$P$182)*LN(10)/10))))))),"")</f>
        <v>13.8462128083601</v>
      </c>
      <c r="GB17">
        <f>IF(AND(ISNUMBER(GA17),逐级计算!$X$183&gt;-1),IF(逐级计算!$X$183=0,GA17+逐级计算!$C$183,GA17+逐级计算!$C$183-(10/(逐级计算!$Q$183*LN(10))*(MAX((LN(10^(逐级计算!$Q$183/10)-1)+逐级计算!$Q$183*(GA17-逐级计算!$P$183)*LN(10)/10),0)+LN(1+EXP(-ABS((LN(10^(逐级计算!$Q$183/10)-1)+逐级计算!$Q$183*(GA17-逐级计算!$P$183)*LN(10)/10))))))),"")</f>
        <v>13.8462128083601</v>
      </c>
      <c r="GC17">
        <f>IF(AND(ISNUMBER(GB17),逐级计算!$X$184&gt;-1),IF(逐级计算!$X$184=0,GB17+逐级计算!$C$184,GB17+逐级计算!$C$184-(10/(逐级计算!$Q$184*LN(10))*(MAX((LN(10^(逐级计算!$Q$184/10)-1)+逐级计算!$Q$184*(GB17-逐级计算!$P$184)*LN(10)/10),0)+LN(1+EXP(-ABS((LN(10^(逐级计算!$Q$184/10)-1)+逐级计算!$Q$184*(GB17-逐级计算!$P$184)*LN(10)/10))))))),"")</f>
        <v>13.8462128083601</v>
      </c>
      <c r="GD17">
        <f>IF(AND(ISNUMBER(GC17),逐级计算!$X$185&gt;-1),IF(逐级计算!$X$185=0,GC17+逐级计算!$C$185,GC17+逐级计算!$C$185-(10/(逐级计算!$Q$185*LN(10))*(MAX((LN(10^(逐级计算!$Q$185/10)-1)+逐级计算!$Q$185*(GC17-逐级计算!$P$185)*LN(10)/10),0)+LN(1+EXP(-ABS((LN(10^(逐级计算!$Q$185/10)-1)+逐级计算!$Q$185*(GC17-逐级计算!$P$185)*LN(10)/10))))))),"")</f>
        <v>13.8462128083601</v>
      </c>
      <c r="GE17">
        <f>IF(AND(ISNUMBER(GD17),逐级计算!$X$186&gt;-1),IF(逐级计算!$X$186=0,GD17+逐级计算!$C$186,GD17+逐级计算!$C$186-(10/(逐级计算!$Q$186*LN(10))*(MAX((LN(10^(逐级计算!$Q$186/10)-1)+逐级计算!$Q$186*(GD17-逐级计算!$P$186)*LN(10)/10),0)+LN(1+EXP(-ABS((LN(10^(逐级计算!$Q$186/10)-1)+逐级计算!$Q$186*(GD17-逐级计算!$P$186)*LN(10)/10))))))),"")</f>
        <v>13.8462128083601</v>
      </c>
      <c r="GF17">
        <f>IF(AND(ISNUMBER(GE17),逐级计算!$X$187&gt;-1),IF(逐级计算!$X$187=0,GE17+逐级计算!$C$187,GE17+逐级计算!$C$187-(10/(逐级计算!$Q$187*LN(10))*(MAX((LN(10^(逐级计算!$Q$187/10)-1)+逐级计算!$Q$187*(GE17-逐级计算!$P$187)*LN(10)/10),0)+LN(1+EXP(-ABS((LN(10^(逐级计算!$Q$187/10)-1)+逐级计算!$Q$187*(GE17-逐级计算!$P$187)*LN(10)/10))))))),"")</f>
        <v>13.8462128083601</v>
      </c>
      <c r="GG17">
        <f>IF(AND(ISNUMBER(GF17),逐级计算!$X$188&gt;-1),IF(逐级计算!$X$188=0,GF17+逐级计算!$C$188,GF17+逐级计算!$C$188-(10/(逐级计算!$Q$188*LN(10))*(MAX((LN(10^(逐级计算!$Q$188/10)-1)+逐级计算!$Q$188*(GF17-逐级计算!$P$188)*LN(10)/10),0)+LN(1+EXP(-ABS((LN(10^(逐级计算!$Q$188/10)-1)+逐级计算!$Q$188*(GF17-逐级计算!$P$188)*LN(10)/10))))))),"")</f>
        <v>13.8462128083601</v>
      </c>
      <c r="GH17">
        <f>IF(AND(ISNUMBER(GG17),逐级计算!$X$189&gt;-1),IF(逐级计算!$X$189=0,GG17+逐级计算!$C$189,GG17+逐级计算!$C$189-(10/(逐级计算!$Q$189*LN(10))*(MAX((LN(10^(逐级计算!$Q$189/10)-1)+逐级计算!$Q$189*(GG17-逐级计算!$P$189)*LN(10)/10),0)+LN(1+EXP(-ABS((LN(10^(逐级计算!$Q$189/10)-1)+逐级计算!$Q$189*(GG17-逐级计算!$P$189)*LN(10)/10))))))),"")</f>
        <v>13.8462128083601</v>
      </c>
      <c r="GI17">
        <f>IF(AND(ISNUMBER(GH17),逐级计算!$X$190&gt;-1),IF(逐级计算!$X$190=0,GH17+逐级计算!$C$190,GH17+逐级计算!$C$190-(10/(逐级计算!$Q$190*LN(10))*(MAX((LN(10^(逐级计算!$Q$190/10)-1)+逐级计算!$Q$190*(GH17-逐级计算!$P$190)*LN(10)/10),0)+LN(1+EXP(-ABS((LN(10^(逐级计算!$Q$190/10)-1)+逐级计算!$Q$190*(GH17-逐级计算!$P$190)*LN(10)/10))))))),"")</f>
        <v>13.8462128083601</v>
      </c>
      <c r="GJ17">
        <f>IF(AND(ISNUMBER(GI17),逐级计算!$X$191&gt;-1),IF(逐级计算!$X$191=0,GI17+逐级计算!$C$191,GI17+逐级计算!$C$191-(10/(逐级计算!$Q$191*LN(10))*(MAX((LN(10^(逐级计算!$Q$191/10)-1)+逐级计算!$Q$191*(GI17-逐级计算!$P$191)*LN(10)/10),0)+LN(1+EXP(-ABS((LN(10^(逐级计算!$Q$191/10)-1)+逐级计算!$Q$191*(GI17-逐级计算!$P$191)*LN(10)/10))))))),"")</f>
        <v>13.8462128083601</v>
      </c>
      <c r="GK17">
        <f>IF(AND(ISNUMBER(GJ17),逐级计算!$X$192&gt;-1),IF(逐级计算!$X$192=0,GJ17+逐级计算!$C$192,GJ17+逐级计算!$C$192-(10/(逐级计算!$Q$192*LN(10))*(MAX((LN(10^(逐级计算!$Q$192/10)-1)+逐级计算!$Q$192*(GJ17-逐级计算!$P$192)*LN(10)/10),0)+LN(1+EXP(-ABS((LN(10^(逐级计算!$Q$192/10)-1)+逐级计算!$Q$192*(GJ17-逐级计算!$P$192)*LN(10)/10))))))),"")</f>
        <v>13.8462128083601</v>
      </c>
      <c r="GL17">
        <f>IF(AND(ISNUMBER(GK17),逐级计算!$X$193&gt;-1),IF(逐级计算!$X$193=0,GK17+逐级计算!$C$193,GK17+逐级计算!$C$193-(10/(逐级计算!$Q$193*LN(10))*(MAX((LN(10^(逐级计算!$Q$193/10)-1)+逐级计算!$Q$193*(GK17-逐级计算!$P$193)*LN(10)/10),0)+LN(1+EXP(-ABS((LN(10^(逐级计算!$Q$193/10)-1)+逐级计算!$Q$193*(GK17-逐级计算!$P$193)*LN(10)/10))))))),"")</f>
        <v>13.8462128083601</v>
      </c>
      <c r="GM17">
        <f>IF(AND(ISNUMBER(GL17),逐级计算!$X$194&gt;-1),IF(逐级计算!$X$194=0,GL17+逐级计算!$C$194,GL17+逐级计算!$C$194-(10/(逐级计算!$Q$194*LN(10))*(MAX((LN(10^(逐级计算!$Q$194/10)-1)+逐级计算!$Q$194*(GL17-逐级计算!$P$194)*LN(10)/10),0)+LN(1+EXP(-ABS((LN(10^(逐级计算!$Q$194/10)-1)+逐级计算!$Q$194*(GL17-逐级计算!$P$194)*LN(10)/10))))))),"")</f>
        <v>13.8462128083601</v>
      </c>
      <c r="GN17">
        <f>IF(AND(ISNUMBER(GM17),逐级计算!$X$195&gt;-1),IF(逐级计算!$X$195=0,GM17+逐级计算!$C$195,GM17+逐级计算!$C$195-(10/(逐级计算!$Q$195*LN(10))*(MAX((LN(10^(逐级计算!$Q$195/10)-1)+逐级计算!$Q$195*(GM17-逐级计算!$P$195)*LN(10)/10),0)+LN(1+EXP(-ABS((LN(10^(逐级计算!$Q$195/10)-1)+逐级计算!$Q$195*(GM17-逐级计算!$P$195)*LN(10)/10))))))),"")</f>
        <v>13.8462128083601</v>
      </c>
      <c r="GO17">
        <f>IF(AND(ISNUMBER(GN17),逐级计算!$X$196&gt;-1),IF(逐级计算!$X$196=0,GN17+逐级计算!$C$196,GN17+逐级计算!$C$196-(10/(逐级计算!$Q$196*LN(10))*(MAX((LN(10^(逐级计算!$Q$196/10)-1)+逐级计算!$Q$196*(GN17-逐级计算!$P$196)*LN(10)/10),0)+LN(1+EXP(-ABS((LN(10^(逐级计算!$Q$196/10)-1)+逐级计算!$Q$196*(GN17-逐级计算!$P$196)*LN(10)/10))))))),"")</f>
        <v>13.8462128083601</v>
      </c>
      <c r="GP17">
        <f>IF(AND(ISNUMBER(GO17),逐级计算!$X$197&gt;-1),IF(逐级计算!$X$197=0,GO17+逐级计算!$C$197,GO17+逐级计算!$C$197-(10/(逐级计算!$Q$197*LN(10))*(MAX((LN(10^(逐级计算!$Q$197/10)-1)+逐级计算!$Q$197*(GO17-逐级计算!$P$197)*LN(10)/10),0)+LN(1+EXP(-ABS((LN(10^(逐级计算!$Q$197/10)-1)+逐级计算!$Q$197*(GO17-逐级计算!$P$197)*LN(10)/10))))))),"")</f>
        <v>13.8462128083601</v>
      </c>
      <c r="GQ17">
        <f>IF(AND(ISNUMBER(GP17),逐级计算!$X$198&gt;-1),IF(逐级计算!$X$198=0,GP17+逐级计算!$C$198,GP17+逐级计算!$C$198-(10/(逐级计算!$Q$198*LN(10))*(MAX((LN(10^(逐级计算!$Q$198/10)-1)+逐级计算!$Q$198*(GP17-逐级计算!$P$198)*LN(10)/10),0)+LN(1+EXP(-ABS((LN(10^(逐级计算!$Q$198/10)-1)+逐级计算!$Q$198*(GP17-逐级计算!$P$198)*LN(10)/10))))))),"")</f>
        <v>13.8462128083601</v>
      </c>
      <c r="GR17">
        <f>IF(AND(ISNUMBER(GQ17),逐级计算!$X$199&gt;-1),IF(逐级计算!$X$199=0,GQ17+逐级计算!$C$199,GQ17+逐级计算!$C$199-(10/(逐级计算!$Q$199*LN(10))*(MAX((LN(10^(逐级计算!$Q$199/10)-1)+逐级计算!$Q$199*(GQ17-逐级计算!$P$199)*LN(10)/10),0)+LN(1+EXP(-ABS((LN(10^(逐级计算!$Q$199/10)-1)+逐级计算!$Q$199*(GQ17-逐级计算!$P$199)*LN(10)/10))))))),"")</f>
        <v>13.8462128083601</v>
      </c>
      <c r="GS17">
        <f>IF(AND(ISNUMBER(GR17),逐级计算!$X$200&gt;-1),IF(逐级计算!$X$200=0,GR17+逐级计算!$C$200,GR17+逐级计算!$C$200-(10/(逐级计算!$Q$200*LN(10))*(MAX((LN(10^(逐级计算!$Q$200/10)-1)+逐级计算!$Q$200*(GR17-逐级计算!$P$200)*LN(10)/10),0)+LN(1+EXP(-ABS((LN(10^(逐级计算!$Q$200/10)-1)+逐级计算!$Q$200*(GR17-逐级计算!$P$200)*LN(10)/10))))))),"")</f>
        <v>13.8462128083601</v>
      </c>
      <c r="GT17">
        <f>IF(AND(ISNUMBER(GS17),逐级计算!$X$201&gt;-1),IF(逐级计算!$X$201=0,GS17+逐级计算!$C$201,GS17+逐级计算!$C$201-(10/(逐级计算!$Q$201*LN(10))*(MAX((LN(10^(逐级计算!$Q$201/10)-1)+逐级计算!$Q$201*(GS17-逐级计算!$P$201)*LN(10)/10),0)+LN(1+EXP(-ABS((LN(10^(逐级计算!$Q$201/10)-1)+逐级计算!$Q$201*(GS17-逐级计算!$P$201)*LN(10)/10))))))),"")</f>
        <v>13.8462128083601</v>
      </c>
      <c r="GU17">
        <f>IF(AND(ISNUMBER(GT17),逐级计算!$X$202&gt;-1),IF(逐级计算!$X$202=0,GT17+逐级计算!$C$202,GT17+逐级计算!$C$202-(10/(逐级计算!$Q$202*LN(10))*(MAX((LN(10^(逐级计算!$Q$202/10)-1)+逐级计算!$Q$202*(GT17-逐级计算!$P$202)*LN(10)/10),0)+LN(1+EXP(-ABS((LN(10^(逐级计算!$Q$202/10)-1)+逐级计算!$Q$202*(GT17-逐级计算!$P$202)*LN(10)/10))))))),"")</f>
        <v>13.8462128083601</v>
      </c>
      <c r="GV17">
        <f>IF(AND(ISNUMBER(GU17),逐级计算!$X$203&gt;-1),IF(逐级计算!$X$203=0,GU17+逐级计算!$C$203,GU17+逐级计算!$C$203-(10/(逐级计算!$Q$203*LN(10))*(MAX((LN(10^(逐级计算!$Q$203/10)-1)+逐级计算!$Q$203*(GU17-逐级计算!$P$203)*LN(10)/10),0)+LN(1+EXP(-ABS((LN(10^(逐级计算!$Q$203/10)-1)+逐级计算!$Q$203*(GU17-逐级计算!$P$203)*LN(10)/10))))))),"")</f>
        <v>13.8462128083601</v>
      </c>
      <c r="GW17">
        <f t="shared" si="2"/>
        <v>-5.01953125</v>
      </c>
    </row>
    <row r="18" spans="1:205">
      <c r="A18">
        <v>11</v>
      </c>
      <c r="B18">
        <f t="shared" si="1"/>
        <v>-5.224609375</v>
      </c>
      <c r="C18">
        <f t="shared" si="0"/>
        <v>-5.17333984375</v>
      </c>
      <c r="D18">
        <f>IF(AND(ISNUMBER(C18),ISNUMBER(逐级计算!$E$203),ISNUMBER(GV18)),C18+逐级计算!$E$203-GV18,"")</f>
        <v>1.01246923247859</v>
      </c>
      <c r="E18">
        <f>IF(AND(ISNUMBER(C18),逐级计算!$X$4&gt;-1),IF(逐级计算!$X$4=0,C18+逐级计算!$C$4,C18+逐级计算!$C$4-(10/(逐级计算!$Q$4*LN(10))*(MAX((LN(10^(逐级计算!$Q$4/10)-1)+逐级计算!$Q$4*(C18-逐级计算!$P$4)*LN(10)/10),0)+LN(1+EXP(-ABS((LN(10^(逐级计算!$Q$4/10)-1)+逐级计算!$Q$4*(C18-逐级计算!$P$4)*LN(10)/10))))))),"")</f>
        <v>4.71245330077681</v>
      </c>
      <c r="F18">
        <f>IF(AND(ISNUMBER(E18),逐级计算!$X$5&gt;-1),IF(逐级计算!$X$5=0,E18+逐级计算!$C$5,E18+逐级计算!$C$5-(10/(逐级计算!$Q$5*LN(10))*(MAX((LN(10^(逐级计算!$Q$5/10)-1)+逐级计算!$Q$5*(E18-逐级计算!$P$5)*LN(10)/10),0)+LN(1+EXP(-ABS((LN(10^(逐级计算!$Q$5/10)-1)+逐级计算!$Q$5*(E18-逐级计算!$P$5)*LN(10)/10))))))),"")</f>
        <v>13.8141909237714</v>
      </c>
      <c r="G18">
        <f>IF(AND(ISNUMBER(F18),逐级计算!$X$6&gt;-1),IF(逐级计算!$X$6=0,F18+逐级计算!$C$6,F18+逐级计算!$C$6-(10/(逐级计算!$Q$6*LN(10))*(MAX((LN(10^(逐级计算!$Q$6/10)-1)+逐级计算!$Q$6*(F18-逐级计算!$P$6)*LN(10)/10),0)+LN(1+EXP(-ABS((LN(10^(逐级计算!$Q$6/10)-1)+逐级计算!$Q$6*(F18-逐级计算!$P$6)*LN(10)/10))))))),"")</f>
        <v>13.8141909237714</v>
      </c>
      <c r="H18">
        <f>IF(AND(ISNUMBER(G18),逐级计算!$X$7&gt;-1),IF(逐级计算!$X$7=0,G18+逐级计算!$C$7,G18+逐级计算!$C$7-(10/(逐级计算!$Q$7*LN(10))*(MAX((LN(10^(逐级计算!$Q$7/10)-1)+逐级计算!$Q$7*(G18-逐级计算!$P$7)*LN(10)/10),0)+LN(1+EXP(-ABS((LN(10^(逐级计算!$Q$7/10)-1)+逐级计算!$Q$7*(G18-逐级计算!$P$7)*LN(10)/10))))))),"")</f>
        <v>13.8141909237714</v>
      </c>
      <c r="I18">
        <f>IF(AND(ISNUMBER(H18),逐级计算!$X$8&gt;-1),IF(逐级计算!$X$8=0,H18+逐级计算!$C$8,H18+逐级计算!$C$8-(10/(逐级计算!$Q$8*LN(10))*(MAX((LN(10^(逐级计算!$Q$8/10)-1)+逐级计算!$Q$8*(H18-逐级计算!$P$8)*LN(10)/10),0)+LN(1+EXP(-ABS((LN(10^(逐级计算!$Q$8/10)-1)+逐级计算!$Q$8*(H18-逐级计算!$P$8)*LN(10)/10))))))),"")</f>
        <v>13.8141909237714</v>
      </c>
      <c r="J18">
        <f>IF(AND(ISNUMBER(I18),逐级计算!$X$9&gt;-1),IF(逐级计算!$X$9=0,I18+逐级计算!$C$9,I18+逐级计算!$C$9-(10/(逐级计算!$Q$9*LN(10))*(MAX((LN(10^(逐级计算!$Q$9/10)-1)+逐级计算!$Q$9*(I18-逐级计算!$P$9)*LN(10)/10),0)+LN(1+EXP(-ABS((LN(10^(逐级计算!$Q$9/10)-1)+逐级计算!$Q$9*(I18-逐级计算!$P$9)*LN(10)/10))))))),"")</f>
        <v>13.8141909237714</v>
      </c>
      <c r="K18">
        <f>IF(AND(ISNUMBER(J18),逐级计算!$X$10&gt;-1),IF(逐级计算!$X$10=0,J18+逐级计算!$C$10,J18+逐级计算!$C$10-(10/(逐级计算!$Q$10*LN(10))*(MAX((LN(10^(逐级计算!$Q$10/10)-1)+逐级计算!$Q$10*(J18-逐级计算!$P$10)*LN(10)/10),0)+LN(1+EXP(-ABS((LN(10^(逐级计算!$Q$10/10)-1)+逐级计算!$Q$10*(J18-逐级计算!$P$10)*LN(10)/10))))))),"")</f>
        <v>13.8141909237714</v>
      </c>
      <c r="L18">
        <f>IF(AND(ISNUMBER(K18),逐级计算!$X$11&gt;-1),IF(逐级计算!$X$11=0,K18+逐级计算!$C$11,K18+逐级计算!$C$11-(10/(逐级计算!$Q$11*LN(10))*(MAX((LN(10^(逐级计算!$Q$11/10)-1)+逐级计算!$Q$11*(K18-逐级计算!$P$11)*LN(10)/10),0)+LN(1+EXP(-ABS((LN(10^(逐级计算!$Q$11/10)-1)+逐级计算!$Q$11*(K18-逐级计算!$P$11)*LN(10)/10))))))),"")</f>
        <v>13.8141909237714</v>
      </c>
      <c r="M18">
        <f>IF(AND(ISNUMBER(L18),逐级计算!$X$12&gt;-1),IF(逐级计算!$X$12=0,L18+逐级计算!$C$12,L18+逐级计算!$C$12-(10/(逐级计算!$Q$12*LN(10))*(MAX((LN(10^(逐级计算!$Q$12/10)-1)+逐级计算!$Q$12*(L18-逐级计算!$P$12)*LN(10)/10),0)+LN(1+EXP(-ABS((LN(10^(逐级计算!$Q$12/10)-1)+逐级计算!$Q$12*(L18-逐级计算!$P$12)*LN(10)/10))))))),"")</f>
        <v>13.8141909237714</v>
      </c>
      <c r="N18">
        <f>IF(AND(ISNUMBER(M18),逐级计算!$X$13&gt;-1),IF(逐级计算!$X$13=0,M18+逐级计算!$C$13,M18+逐级计算!$C$13-(10/(逐级计算!$Q$13*LN(10))*(MAX((LN(10^(逐级计算!$Q$13/10)-1)+逐级计算!$Q$13*(M18-逐级计算!$P$13)*LN(10)/10),0)+LN(1+EXP(-ABS((LN(10^(逐级计算!$Q$13/10)-1)+逐级计算!$Q$13*(M18-逐级计算!$P$13)*LN(10)/10))))))),"")</f>
        <v>13.8141909237714</v>
      </c>
      <c r="O18">
        <f>IF(AND(ISNUMBER(N18),逐级计算!$X$14&gt;-1),IF(逐级计算!$X$14=0,N18+逐级计算!$C$14,N18+逐级计算!$C$14-(10/(逐级计算!$Q$14*LN(10))*(MAX((LN(10^(逐级计算!$Q$14/10)-1)+逐级计算!$Q$14*(N18-逐级计算!$P$14)*LN(10)/10),0)+LN(1+EXP(-ABS((LN(10^(逐级计算!$Q$14/10)-1)+逐级计算!$Q$14*(N18-逐级计算!$P$14)*LN(10)/10))))))),"")</f>
        <v>13.8141909237714</v>
      </c>
      <c r="P18">
        <f>IF(AND(ISNUMBER(O18),逐级计算!$X$15&gt;-1),IF(逐级计算!$X$15=0,O18+逐级计算!$C$15,O18+逐级计算!$C$15-(10/(逐级计算!$Q$15*LN(10))*(MAX((LN(10^(逐级计算!$Q$15/10)-1)+逐级计算!$Q$15*(O18-逐级计算!$P$15)*LN(10)/10),0)+LN(1+EXP(-ABS((LN(10^(逐级计算!$Q$15/10)-1)+逐级计算!$Q$15*(O18-逐级计算!$P$15)*LN(10)/10))))))),"")</f>
        <v>13.8141909237714</v>
      </c>
      <c r="Q18">
        <f>IF(AND(ISNUMBER(P18),逐级计算!$X$16&gt;-1),IF(逐级计算!$X$16=0,P18+逐级计算!$C$16,P18+逐级计算!$C$16-(10/(逐级计算!$Q$16*LN(10))*(MAX((LN(10^(逐级计算!$Q$16/10)-1)+逐级计算!$Q$16*(P18-逐级计算!$P$16)*LN(10)/10),0)+LN(1+EXP(-ABS((LN(10^(逐级计算!$Q$16/10)-1)+逐级计算!$Q$16*(P18-逐级计算!$P$16)*LN(10)/10))))))),"")</f>
        <v>13.8141909237714</v>
      </c>
      <c r="R18">
        <f>IF(AND(ISNUMBER(Q18),逐级计算!$X$17&gt;-1),IF(逐级计算!$X$17=0,Q18+逐级计算!$C$17,Q18+逐级计算!$C$17-(10/(逐级计算!$Q$17*LN(10))*(MAX((LN(10^(逐级计算!$Q$17/10)-1)+逐级计算!$Q$17*(Q18-逐级计算!$P$17)*LN(10)/10),0)+LN(1+EXP(-ABS((LN(10^(逐级计算!$Q$17/10)-1)+逐级计算!$Q$17*(Q18-逐级计算!$P$17)*LN(10)/10))))))),"")</f>
        <v>13.8141909237714</v>
      </c>
      <c r="S18">
        <f>IF(AND(ISNUMBER(R18),逐级计算!$X$18&gt;-1),IF(逐级计算!$X$18=0,R18+逐级计算!$C$18,R18+逐级计算!$C$18-(10/(逐级计算!$Q$18*LN(10))*(MAX((LN(10^(逐级计算!$Q$18/10)-1)+逐级计算!$Q$18*(R18-逐级计算!$P$18)*LN(10)/10),0)+LN(1+EXP(-ABS((LN(10^(逐级计算!$Q$18/10)-1)+逐级计算!$Q$18*(R18-逐级计算!$P$18)*LN(10)/10))))))),"")</f>
        <v>13.8141909237714</v>
      </c>
      <c r="T18">
        <f>IF(AND(ISNUMBER(S18),逐级计算!$X$19&gt;-1),IF(逐级计算!$X$19=0,S18+逐级计算!$C$19,S18+逐级计算!$C$19-(10/(逐级计算!$Q$19*LN(10))*(MAX((LN(10^(逐级计算!$Q$19/10)-1)+逐级计算!$Q$19*(S18-逐级计算!$P$19)*LN(10)/10),0)+LN(1+EXP(-ABS((LN(10^(逐级计算!$Q$19/10)-1)+逐级计算!$Q$19*(S18-逐级计算!$P$19)*LN(10)/10))))))),"")</f>
        <v>13.8141909237714</v>
      </c>
      <c r="U18">
        <f>IF(AND(ISNUMBER(T18),逐级计算!$X$20&gt;-1),IF(逐级计算!$X$20=0,T18+逐级计算!$C$20,T18+逐级计算!$C$20-(10/(逐级计算!$Q$20*LN(10))*(MAX((LN(10^(逐级计算!$Q$20/10)-1)+逐级计算!$Q$20*(T18-逐级计算!$P$20)*LN(10)/10),0)+LN(1+EXP(-ABS((LN(10^(逐级计算!$Q$20/10)-1)+逐级计算!$Q$20*(T18-逐级计算!$P$20)*LN(10)/10))))))),"")</f>
        <v>13.8141909237714</v>
      </c>
      <c r="V18">
        <f>IF(AND(ISNUMBER(U18),逐级计算!$X$21&gt;-1),IF(逐级计算!$X$21=0,U18+逐级计算!$C$21,U18+逐级计算!$C$21-(10/(逐级计算!$Q$21*LN(10))*(MAX((LN(10^(逐级计算!$Q$21/10)-1)+逐级计算!$Q$21*(U18-逐级计算!$P$21)*LN(10)/10),0)+LN(1+EXP(-ABS((LN(10^(逐级计算!$Q$21/10)-1)+逐级计算!$Q$21*(U18-逐级计算!$P$21)*LN(10)/10))))))),"")</f>
        <v>13.8141909237714</v>
      </c>
      <c r="W18">
        <f>IF(AND(ISNUMBER(V18),逐级计算!$X$22&gt;-1),IF(逐级计算!$X$22=0,V18+逐级计算!$C$22,V18+逐级计算!$C$22-(10/(逐级计算!$Q$22*LN(10))*(MAX((LN(10^(逐级计算!$Q$22/10)-1)+逐级计算!$Q$22*(V18-逐级计算!$P$22)*LN(10)/10),0)+LN(1+EXP(-ABS((LN(10^(逐级计算!$Q$22/10)-1)+逐级计算!$Q$22*(V18-逐级计算!$P$22)*LN(10)/10))))))),"")</f>
        <v>13.8141909237714</v>
      </c>
      <c r="X18">
        <f>IF(AND(ISNUMBER(W18),逐级计算!$X$23&gt;-1),IF(逐级计算!$X$23=0,W18+逐级计算!$C$23,W18+逐级计算!$C$23-(10/(逐级计算!$Q$23*LN(10))*(MAX((LN(10^(逐级计算!$Q$23/10)-1)+逐级计算!$Q$23*(W18-逐级计算!$P$23)*LN(10)/10),0)+LN(1+EXP(-ABS((LN(10^(逐级计算!$Q$23/10)-1)+逐级计算!$Q$23*(W18-逐级计算!$P$23)*LN(10)/10))))))),"")</f>
        <v>13.8141909237714</v>
      </c>
      <c r="Y18">
        <f>IF(AND(ISNUMBER(X18),逐级计算!$X$24&gt;-1),IF(逐级计算!$X$24=0,X18+逐级计算!$C$24,X18+逐级计算!$C$24-(10/(逐级计算!$Q$24*LN(10))*(MAX((LN(10^(逐级计算!$Q$24/10)-1)+逐级计算!$Q$24*(X18-逐级计算!$P$24)*LN(10)/10),0)+LN(1+EXP(-ABS((LN(10^(逐级计算!$Q$24/10)-1)+逐级计算!$Q$24*(X18-逐级计算!$P$24)*LN(10)/10))))))),"")</f>
        <v>13.8141909237714</v>
      </c>
      <c r="Z18">
        <f>IF(AND(ISNUMBER(Y18),逐级计算!$X$25&gt;-1),IF(逐级计算!$X$25=0,Y18+逐级计算!$C$25,Y18+逐级计算!$C$25-(10/(逐级计算!$Q$25*LN(10))*(MAX((LN(10^(逐级计算!$Q$25/10)-1)+逐级计算!$Q$25*(Y18-逐级计算!$P$25)*LN(10)/10),0)+LN(1+EXP(-ABS((LN(10^(逐级计算!$Q$25/10)-1)+逐级计算!$Q$25*(Y18-逐级计算!$P$25)*LN(10)/10))))))),"")</f>
        <v>13.8141909237714</v>
      </c>
      <c r="AA18">
        <f>IF(AND(ISNUMBER(Z18),逐级计算!$X$26&gt;-1),IF(逐级计算!$X$26=0,Z18+逐级计算!$C$26,Z18+逐级计算!$C$26-(10/(逐级计算!$Q$26*LN(10))*(MAX((LN(10^(逐级计算!$Q$26/10)-1)+逐级计算!$Q$26*(Z18-逐级计算!$P$26)*LN(10)/10),0)+LN(1+EXP(-ABS((LN(10^(逐级计算!$Q$26/10)-1)+逐级计算!$Q$26*(Z18-逐级计算!$P$26)*LN(10)/10))))))),"")</f>
        <v>13.8141909237714</v>
      </c>
      <c r="AB18">
        <f>IF(AND(ISNUMBER(AA18),逐级计算!$X$27&gt;-1),IF(逐级计算!$X$27=0,AA18+逐级计算!$C$27,AA18+逐级计算!$C$27-(10/(逐级计算!$Q$27*LN(10))*(MAX((LN(10^(逐级计算!$Q$27/10)-1)+逐级计算!$Q$27*(AA18-逐级计算!$P$27)*LN(10)/10),0)+LN(1+EXP(-ABS((LN(10^(逐级计算!$Q$27/10)-1)+逐级计算!$Q$27*(AA18-逐级计算!$P$27)*LN(10)/10))))))),"")</f>
        <v>13.8141909237714</v>
      </c>
      <c r="AC18">
        <f>IF(AND(ISNUMBER(AB18),逐级计算!$X$28&gt;-1),IF(逐级计算!$X$28=0,AB18+逐级计算!$C$28,AB18+逐级计算!$C$28-(10/(逐级计算!$Q$28*LN(10))*(MAX((LN(10^(逐级计算!$Q$28/10)-1)+逐级计算!$Q$28*(AB18-逐级计算!$P$28)*LN(10)/10),0)+LN(1+EXP(-ABS((LN(10^(逐级计算!$Q$28/10)-1)+逐级计算!$Q$28*(AB18-逐级计算!$P$28)*LN(10)/10))))))),"")</f>
        <v>13.8141909237714</v>
      </c>
      <c r="AD18">
        <f>IF(AND(ISNUMBER(AC18),逐级计算!$X$29&gt;-1),IF(逐级计算!$X$29=0,AC18+逐级计算!$C$29,AC18+逐级计算!$C$29-(10/(逐级计算!$Q$29*LN(10))*(MAX((LN(10^(逐级计算!$Q$29/10)-1)+逐级计算!$Q$29*(AC18-逐级计算!$P$29)*LN(10)/10),0)+LN(1+EXP(-ABS((LN(10^(逐级计算!$Q$29/10)-1)+逐级计算!$Q$29*(AC18-逐级计算!$P$29)*LN(10)/10))))))),"")</f>
        <v>13.8141909237714</v>
      </c>
      <c r="AE18">
        <f>IF(AND(ISNUMBER(AD18),逐级计算!$X$30&gt;-1),IF(逐级计算!$X$30=0,AD18+逐级计算!$C$30,AD18+逐级计算!$C$30-(10/(逐级计算!$Q$30*LN(10))*(MAX((LN(10^(逐级计算!$Q$30/10)-1)+逐级计算!$Q$30*(AD18-逐级计算!$P$30)*LN(10)/10),0)+LN(1+EXP(-ABS((LN(10^(逐级计算!$Q$30/10)-1)+逐级计算!$Q$30*(AD18-逐级计算!$P$30)*LN(10)/10))))))),"")</f>
        <v>13.8141909237714</v>
      </c>
      <c r="AF18">
        <f>IF(AND(ISNUMBER(AE18),逐级计算!$X$31&gt;-1),IF(逐级计算!$X$31=0,AE18+逐级计算!$C$31,AE18+逐级计算!$C$31-(10/(逐级计算!$Q$31*LN(10))*(MAX((LN(10^(逐级计算!$Q$31/10)-1)+逐级计算!$Q$31*(AE18-逐级计算!$P$31)*LN(10)/10),0)+LN(1+EXP(-ABS((LN(10^(逐级计算!$Q$31/10)-1)+逐级计算!$Q$31*(AE18-逐级计算!$P$31)*LN(10)/10))))))),"")</f>
        <v>13.8141909237714</v>
      </c>
      <c r="AG18">
        <f>IF(AND(ISNUMBER(AF18),逐级计算!$X$32&gt;-1),IF(逐级计算!$X$32=0,AF18+逐级计算!$C$32,AF18+逐级计算!$C$32-(10/(逐级计算!$Q$32*LN(10))*(MAX((LN(10^(逐级计算!$Q$32/10)-1)+逐级计算!$Q$32*(AF18-逐级计算!$P$32)*LN(10)/10),0)+LN(1+EXP(-ABS((LN(10^(逐级计算!$Q$32/10)-1)+逐级计算!$Q$32*(AF18-逐级计算!$P$32)*LN(10)/10))))))),"")</f>
        <v>13.8141909237714</v>
      </c>
      <c r="AH18">
        <f>IF(AND(ISNUMBER(AG18),逐级计算!$X$33&gt;-1),IF(逐级计算!$X$33=0,AG18+逐级计算!$C$33,AG18+逐级计算!$C$33-(10/(逐级计算!$Q$33*LN(10))*(MAX((LN(10^(逐级计算!$Q$33/10)-1)+逐级计算!$Q$33*(AG18-逐级计算!$P$33)*LN(10)/10),0)+LN(1+EXP(-ABS((LN(10^(逐级计算!$Q$33/10)-1)+逐级计算!$Q$33*(AG18-逐级计算!$P$33)*LN(10)/10))))))),"")</f>
        <v>13.8141909237714</v>
      </c>
      <c r="AI18">
        <f>IF(AND(ISNUMBER(AH18),逐级计算!$X$34&gt;-1),IF(逐级计算!$X$34=0,AH18+逐级计算!$C$34,AH18+逐级计算!$C$34-(10/(逐级计算!$Q$34*LN(10))*(MAX((LN(10^(逐级计算!$Q$34/10)-1)+逐级计算!$Q$34*(AH18-逐级计算!$P$34)*LN(10)/10),0)+LN(1+EXP(-ABS((LN(10^(逐级计算!$Q$34/10)-1)+逐级计算!$Q$34*(AH18-逐级计算!$P$34)*LN(10)/10))))))),"")</f>
        <v>13.8141909237714</v>
      </c>
      <c r="AJ18">
        <f>IF(AND(ISNUMBER(AI18),逐级计算!$X$35&gt;-1),IF(逐级计算!$X$35=0,AI18+逐级计算!$C$35,AI18+逐级计算!$C$35-(10/(逐级计算!$Q$35*LN(10))*(MAX((LN(10^(逐级计算!$Q$35/10)-1)+逐级计算!$Q$35*(AI18-逐级计算!$P$35)*LN(10)/10),0)+LN(1+EXP(-ABS((LN(10^(逐级计算!$Q$35/10)-1)+逐级计算!$Q$35*(AI18-逐级计算!$P$35)*LN(10)/10))))))),"")</f>
        <v>13.8141909237714</v>
      </c>
      <c r="AK18">
        <f>IF(AND(ISNUMBER(AJ18),逐级计算!$X$36&gt;-1),IF(逐级计算!$X$36=0,AJ18+逐级计算!$C$36,AJ18+逐级计算!$C$36-(10/(逐级计算!$Q$36*LN(10))*(MAX((LN(10^(逐级计算!$Q$36/10)-1)+逐级计算!$Q$36*(AJ18-逐级计算!$P$36)*LN(10)/10),0)+LN(1+EXP(-ABS((LN(10^(逐级计算!$Q$36/10)-1)+逐级计算!$Q$36*(AJ18-逐级计算!$P$36)*LN(10)/10))))))),"")</f>
        <v>13.8141909237714</v>
      </c>
      <c r="AL18">
        <f>IF(AND(ISNUMBER(AK18),逐级计算!$X$37&gt;-1),IF(逐级计算!$X$37=0,AK18+逐级计算!$C$37,AK18+逐级计算!$C$37-(10/(逐级计算!$Q$37*LN(10))*(MAX((LN(10^(逐级计算!$Q$37/10)-1)+逐级计算!$Q$37*(AK18-逐级计算!$P$37)*LN(10)/10),0)+LN(1+EXP(-ABS((LN(10^(逐级计算!$Q$37/10)-1)+逐级计算!$Q$37*(AK18-逐级计算!$P$37)*LN(10)/10))))))),"")</f>
        <v>13.8141909237714</v>
      </c>
      <c r="AM18">
        <f>IF(AND(ISNUMBER(AL18),逐级计算!$X$38&gt;-1),IF(逐级计算!$X$38=0,AL18+逐级计算!$C$38,AL18+逐级计算!$C$38-(10/(逐级计算!$Q$38*LN(10))*(MAX((LN(10^(逐级计算!$Q$38/10)-1)+逐级计算!$Q$38*(AL18-逐级计算!$P$38)*LN(10)/10),0)+LN(1+EXP(-ABS((LN(10^(逐级计算!$Q$38/10)-1)+逐级计算!$Q$38*(AL18-逐级计算!$P$38)*LN(10)/10))))))),"")</f>
        <v>13.8141909237714</v>
      </c>
      <c r="AN18">
        <f>IF(AND(ISNUMBER(AM18),逐级计算!$X$39&gt;-1),IF(逐级计算!$X$39=0,AM18+逐级计算!$C$39,AM18+逐级计算!$C$39-(10/(逐级计算!$Q$39*LN(10))*(MAX((LN(10^(逐级计算!$Q$39/10)-1)+逐级计算!$Q$39*(AM18-逐级计算!$P$39)*LN(10)/10),0)+LN(1+EXP(-ABS((LN(10^(逐级计算!$Q$39/10)-1)+逐级计算!$Q$39*(AM18-逐级计算!$P$39)*LN(10)/10))))))),"")</f>
        <v>13.8141909237714</v>
      </c>
      <c r="AO18">
        <f>IF(AND(ISNUMBER(AN18),逐级计算!$X$40&gt;-1),IF(逐级计算!$X$40=0,AN18+逐级计算!$C$40,AN18+逐级计算!$C$40-(10/(逐级计算!$Q$40*LN(10))*(MAX((LN(10^(逐级计算!$Q$40/10)-1)+逐级计算!$Q$40*(AN18-逐级计算!$P$40)*LN(10)/10),0)+LN(1+EXP(-ABS((LN(10^(逐级计算!$Q$40/10)-1)+逐级计算!$Q$40*(AN18-逐级计算!$P$40)*LN(10)/10))))))),"")</f>
        <v>13.8141909237714</v>
      </c>
      <c r="AP18">
        <f>IF(AND(ISNUMBER(AO18),逐级计算!$X$41&gt;-1),IF(逐级计算!$X$41=0,AO18+逐级计算!$C$41,AO18+逐级计算!$C$41-(10/(逐级计算!$Q$41*LN(10))*(MAX((LN(10^(逐级计算!$Q$41/10)-1)+逐级计算!$Q$41*(AO18-逐级计算!$P$41)*LN(10)/10),0)+LN(1+EXP(-ABS((LN(10^(逐级计算!$Q$41/10)-1)+逐级计算!$Q$41*(AO18-逐级计算!$P$41)*LN(10)/10))))))),"")</f>
        <v>13.8141909237714</v>
      </c>
      <c r="AQ18">
        <f>IF(AND(ISNUMBER(AP18),逐级计算!$X$42&gt;-1),IF(逐级计算!$X$42=0,AP18+逐级计算!$C$42,AP18+逐级计算!$C$42-(10/(逐级计算!$Q$42*LN(10))*(MAX((LN(10^(逐级计算!$Q$42/10)-1)+逐级计算!$Q$42*(AP18-逐级计算!$P$42)*LN(10)/10),0)+LN(1+EXP(-ABS((LN(10^(逐级计算!$Q$42/10)-1)+逐级计算!$Q$42*(AP18-逐级计算!$P$42)*LN(10)/10))))))),"")</f>
        <v>13.8141909237714</v>
      </c>
      <c r="AR18">
        <f>IF(AND(ISNUMBER(AQ18),逐级计算!$X$43&gt;-1),IF(逐级计算!$X$43=0,AQ18+逐级计算!$C$43,AQ18+逐级计算!$C$43-(10/(逐级计算!$Q$43*LN(10))*(MAX((LN(10^(逐级计算!$Q$43/10)-1)+逐级计算!$Q$43*(AQ18-逐级计算!$P$43)*LN(10)/10),0)+LN(1+EXP(-ABS((LN(10^(逐级计算!$Q$43/10)-1)+逐级计算!$Q$43*(AQ18-逐级计算!$P$43)*LN(10)/10))))))),"")</f>
        <v>13.8141909237714</v>
      </c>
      <c r="AS18">
        <f>IF(AND(ISNUMBER(AR18),逐级计算!$X$44&gt;-1),IF(逐级计算!$X$44=0,AR18+逐级计算!$C$44,AR18+逐级计算!$C$44-(10/(逐级计算!$Q$44*LN(10))*(MAX((LN(10^(逐级计算!$Q$44/10)-1)+逐级计算!$Q$44*(AR18-逐级计算!$P$44)*LN(10)/10),0)+LN(1+EXP(-ABS((LN(10^(逐级计算!$Q$44/10)-1)+逐级计算!$Q$44*(AR18-逐级计算!$P$44)*LN(10)/10))))))),"")</f>
        <v>13.8141909237714</v>
      </c>
      <c r="AT18">
        <f>IF(AND(ISNUMBER(AS18),逐级计算!$X$45&gt;-1),IF(逐级计算!$X$45=0,AS18+逐级计算!$C$45,AS18+逐级计算!$C$45-(10/(逐级计算!$Q$45*LN(10))*(MAX((LN(10^(逐级计算!$Q$45/10)-1)+逐级计算!$Q$45*(AS18-逐级计算!$P$45)*LN(10)/10),0)+LN(1+EXP(-ABS((LN(10^(逐级计算!$Q$45/10)-1)+逐级计算!$Q$45*(AS18-逐级计算!$P$45)*LN(10)/10))))))),"")</f>
        <v>13.8141909237714</v>
      </c>
      <c r="AU18">
        <f>IF(AND(ISNUMBER(AT18),逐级计算!$X$46&gt;-1),IF(逐级计算!$X$46=0,AT18+逐级计算!$C$46,AT18+逐级计算!$C$46-(10/(逐级计算!$Q$46*LN(10))*(MAX((LN(10^(逐级计算!$Q$46/10)-1)+逐级计算!$Q$46*(AT18-逐级计算!$P$46)*LN(10)/10),0)+LN(1+EXP(-ABS((LN(10^(逐级计算!$Q$46/10)-1)+逐级计算!$Q$46*(AT18-逐级计算!$P$46)*LN(10)/10))))))),"")</f>
        <v>13.8141909237714</v>
      </c>
      <c r="AV18">
        <f>IF(AND(ISNUMBER(AU18),逐级计算!$X$47&gt;-1),IF(逐级计算!$X$47=0,AU18+逐级计算!$C$47,AU18+逐级计算!$C$47-(10/(逐级计算!$Q$47*LN(10))*(MAX((LN(10^(逐级计算!$Q$47/10)-1)+逐级计算!$Q$47*(AU18-逐级计算!$P$47)*LN(10)/10),0)+LN(1+EXP(-ABS((LN(10^(逐级计算!$Q$47/10)-1)+逐级计算!$Q$47*(AU18-逐级计算!$P$47)*LN(10)/10))))))),"")</f>
        <v>13.8141909237714</v>
      </c>
      <c r="AW18">
        <f>IF(AND(ISNUMBER(AV18),逐级计算!$X$48&gt;-1),IF(逐级计算!$X$48=0,AV18+逐级计算!$C$48,AV18+逐级计算!$C$48-(10/(逐级计算!$Q$48*LN(10))*(MAX((LN(10^(逐级计算!$Q$48/10)-1)+逐级计算!$Q$48*(AV18-逐级计算!$P$48)*LN(10)/10),0)+LN(1+EXP(-ABS((LN(10^(逐级计算!$Q$48/10)-1)+逐级计算!$Q$48*(AV18-逐级计算!$P$48)*LN(10)/10))))))),"")</f>
        <v>13.8141909237714</v>
      </c>
      <c r="AX18">
        <f>IF(AND(ISNUMBER(AW18),逐级计算!$X$49&gt;-1),IF(逐级计算!$X$49=0,AW18+逐级计算!$C$49,AW18+逐级计算!$C$49-(10/(逐级计算!$Q$49*LN(10))*(MAX((LN(10^(逐级计算!$Q$49/10)-1)+逐级计算!$Q$49*(AW18-逐级计算!$P$49)*LN(10)/10),0)+LN(1+EXP(-ABS((LN(10^(逐级计算!$Q$49/10)-1)+逐级计算!$Q$49*(AW18-逐级计算!$P$49)*LN(10)/10))))))),"")</f>
        <v>13.8141909237714</v>
      </c>
      <c r="AY18">
        <f>IF(AND(ISNUMBER(AX18),逐级计算!$X$50&gt;-1),IF(逐级计算!$X$50=0,AX18+逐级计算!$C$50,AX18+逐级计算!$C$50-(10/(逐级计算!$Q$50*LN(10))*(MAX((LN(10^(逐级计算!$Q$50/10)-1)+逐级计算!$Q$50*(AX18-逐级计算!$P$50)*LN(10)/10),0)+LN(1+EXP(-ABS((LN(10^(逐级计算!$Q$50/10)-1)+逐级计算!$Q$50*(AX18-逐级计算!$P$50)*LN(10)/10))))))),"")</f>
        <v>13.8141909237714</v>
      </c>
      <c r="AZ18">
        <f>IF(AND(ISNUMBER(AY18),逐级计算!$X$51&gt;-1),IF(逐级计算!$X$51=0,AY18+逐级计算!$C$51,AY18+逐级计算!$C$51-(10/(逐级计算!$Q$51*LN(10))*(MAX((LN(10^(逐级计算!$Q$51/10)-1)+逐级计算!$Q$51*(AY18-逐级计算!$P$51)*LN(10)/10),0)+LN(1+EXP(-ABS((LN(10^(逐级计算!$Q$51/10)-1)+逐级计算!$Q$51*(AY18-逐级计算!$P$51)*LN(10)/10))))))),"")</f>
        <v>13.8141909237714</v>
      </c>
      <c r="BA18">
        <f>IF(AND(ISNUMBER(AZ18),逐级计算!$X$52&gt;-1),IF(逐级计算!$X$52=0,AZ18+逐级计算!$C$52,AZ18+逐级计算!$C$52-(10/(逐级计算!$Q$52*LN(10))*(MAX((LN(10^(逐级计算!$Q$52/10)-1)+逐级计算!$Q$52*(AZ18-逐级计算!$P$52)*LN(10)/10),0)+LN(1+EXP(-ABS((LN(10^(逐级计算!$Q$52/10)-1)+逐级计算!$Q$52*(AZ18-逐级计算!$P$52)*LN(10)/10))))))),"")</f>
        <v>13.8141909237714</v>
      </c>
      <c r="BB18">
        <f>IF(AND(ISNUMBER(BA18),逐级计算!$X$53&gt;-1),IF(逐级计算!$X$53=0,BA18+逐级计算!$C$53,BA18+逐级计算!$C$53-(10/(逐级计算!$Q$53*LN(10))*(MAX((LN(10^(逐级计算!$Q$53/10)-1)+逐级计算!$Q$53*(BA18-逐级计算!$P$53)*LN(10)/10),0)+LN(1+EXP(-ABS((LN(10^(逐级计算!$Q$53/10)-1)+逐级计算!$Q$53*(BA18-逐级计算!$P$53)*LN(10)/10))))))),"")</f>
        <v>13.8141909237714</v>
      </c>
      <c r="BC18">
        <f>IF(AND(ISNUMBER(BB18),逐级计算!$X$54&gt;-1),IF(逐级计算!$X$54=0,BB18+逐级计算!$C$54,BB18+逐级计算!$C$54-(10/(逐级计算!$Q$54*LN(10))*(MAX((LN(10^(逐级计算!$Q$54/10)-1)+逐级计算!$Q$54*(BB18-逐级计算!$P$54)*LN(10)/10),0)+LN(1+EXP(-ABS((LN(10^(逐级计算!$Q$54/10)-1)+逐级计算!$Q$54*(BB18-逐级计算!$P$54)*LN(10)/10))))))),"")</f>
        <v>13.8141909237714</v>
      </c>
      <c r="BD18">
        <f>IF(AND(ISNUMBER(BC18),逐级计算!$X$55&gt;-1),IF(逐级计算!$X$55=0,BC18+逐级计算!$C$55,BC18+逐级计算!$C$55-(10/(逐级计算!$Q$55*LN(10))*(MAX((LN(10^(逐级计算!$Q$55/10)-1)+逐级计算!$Q$55*(BC18-逐级计算!$P$55)*LN(10)/10),0)+LN(1+EXP(-ABS((LN(10^(逐级计算!$Q$55/10)-1)+逐级计算!$Q$55*(BC18-逐级计算!$P$55)*LN(10)/10))))))),"")</f>
        <v>13.8141909237714</v>
      </c>
      <c r="BE18">
        <f>IF(AND(ISNUMBER(BD18),逐级计算!$X$56&gt;-1),IF(逐级计算!$X$56=0,BD18+逐级计算!$C$56,BD18+逐级计算!$C$56-(10/(逐级计算!$Q$56*LN(10))*(MAX((LN(10^(逐级计算!$Q$56/10)-1)+逐级计算!$Q$56*(BD18-逐级计算!$P$56)*LN(10)/10),0)+LN(1+EXP(-ABS((LN(10^(逐级计算!$Q$56/10)-1)+逐级计算!$Q$56*(BD18-逐级计算!$P$56)*LN(10)/10))))))),"")</f>
        <v>13.8141909237714</v>
      </c>
      <c r="BF18">
        <f>IF(AND(ISNUMBER(BE18),逐级计算!$X$57&gt;-1),IF(逐级计算!$X$57=0,BE18+逐级计算!$C$57,BE18+逐级计算!$C$57-(10/(逐级计算!$Q$57*LN(10))*(MAX((LN(10^(逐级计算!$Q$57/10)-1)+逐级计算!$Q$57*(BE18-逐级计算!$P$57)*LN(10)/10),0)+LN(1+EXP(-ABS((LN(10^(逐级计算!$Q$57/10)-1)+逐级计算!$Q$57*(BE18-逐级计算!$P$57)*LN(10)/10))))))),"")</f>
        <v>13.8141909237714</v>
      </c>
      <c r="BG18">
        <f>IF(AND(ISNUMBER(BF18),逐级计算!$X$58&gt;-1),IF(逐级计算!$X$58=0,BF18+逐级计算!$C$58,BF18+逐级计算!$C$58-(10/(逐级计算!$Q$58*LN(10))*(MAX((LN(10^(逐级计算!$Q$58/10)-1)+逐级计算!$Q$58*(BF18-逐级计算!$P$58)*LN(10)/10),0)+LN(1+EXP(-ABS((LN(10^(逐级计算!$Q$58/10)-1)+逐级计算!$Q$58*(BF18-逐级计算!$P$58)*LN(10)/10))))))),"")</f>
        <v>13.8141909237714</v>
      </c>
      <c r="BH18">
        <f>IF(AND(ISNUMBER(BG18),逐级计算!$X$59&gt;-1),IF(逐级计算!$X$59=0,BG18+逐级计算!$C$59,BG18+逐级计算!$C$59-(10/(逐级计算!$Q$59*LN(10))*(MAX((LN(10^(逐级计算!$Q$59/10)-1)+逐级计算!$Q$59*(BG18-逐级计算!$P$59)*LN(10)/10),0)+LN(1+EXP(-ABS((LN(10^(逐级计算!$Q$59/10)-1)+逐级计算!$Q$59*(BG18-逐级计算!$P$59)*LN(10)/10))))))),"")</f>
        <v>13.8141909237714</v>
      </c>
      <c r="BI18">
        <f>IF(AND(ISNUMBER(BH18),逐级计算!$X$60&gt;-1),IF(逐级计算!$X$60=0,BH18+逐级计算!$C$60,BH18+逐级计算!$C$60-(10/(逐级计算!$Q$60*LN(10))*(MAX((LN(10^(逐级计算!$Q$60/10)-1)+逐级计算!$Q$60*(BH18-逐级计算!$P$60)*LN(10)/10),0)+LN(1+EXP(-ABS((LN(10^(逐级计算!$Q$60/10)-1)+逐级计算!$Q$60*(BH18-逐级计算!$P$60)*LN(10)/10))))))),"")</f>
        <v>13.8141909237714</v>
      </c>
      <c r="BJ18">
        <f>IF(AND(ISNUMBER(BI18),逐级计算!$X$61&gt;-1),IF(逐级计算!$X$61=0,BI18+逐级计算!$C$61,BI18+逐级计算!$C$61-(10/(逐级计算!$Q$61*LN(10))*(MAX((LN(10^(逐级计算!$Q$61/10)-1)+逐级计算!$Q$61*(BI18-逐级计算!$P$61)*LN(10)/10),0)+LN(1+EXP(-ABS((LN(10^(逐级计算!$Q$61/10)-1)+逐级计算!$Q$61*(BI18-逐级计算!$P$61)*LN(10)/10))))))),"")</f>
        <v>13.8141909237714</v>
      </c>
      <c r="BK18">
        <f>IF(AND(ISNUMBER(BJ18),逐级计算!$X$62&gt;-1),IF(逐级计算!$X$62=0,BJ18+逐级计算!$C$62,BJ18+逐级计算!$C$62-(10/(逐级计算!$Q$62*LN(10))*(MAX((LN(10^(逐级计算!$Q$62/10)-1)+逐级计算!$Q$62*(BJ18-逐级计算!$P$62)*LN(10)/10),0)+LN(1+EXP(-ABS((LN(10^(逐级计算!$Q$62/10)-1)+逐级计算!$Q$62*(BJ18-逐级计算!$P$62)*LN(10)/10))))))),"")</f>
        <v>13.8141909237714</v>
      </c>
      <c r="BL18">
        <f>IF(AND(ISNUMBER(BK18),逐级计算!$X$63&gt;-1),IF(逐级计算!$X$63=0,BK18+逐级计算!$C$63,BK18+逐级计算!$C$63-(10/(逐级计算!$Q$63*LN(10))*(MAX((LN(10^(逐级计算!$Q$63/10)-1)+逐级计算!$Q$63*(BK18-逐级计算!$P$63)*LN(10)/10),0)+LN(1+EXP(-ABS((LN(10^(逐级计算!$Q$63/10)-1)+逐级计算!$Q$63*(BK18-逐级计算!$P$63)*LN(10)/10))))))),"")</f>
        <v>13.8141909237714</v>
      </c>
      <c r="BM18">
        <f>IF(AND(ISNUMBER(BL18),逐级计算!$X$64&gt;-1),IF(逐级计算!$X$64=0,BL18+逐级计算!$C$64,BL18+逐级计算!$C$64-(10/(逐级计算!$Q$64*LN(10))*(MAX((LN(10^(逐级计算!$Q$64/10)-1)+逐级计算!$Q$64*(BL18-逐级计算!$P$64)*LN(10)/10),0)+LN(1+EXP(-ABS((LN(10^(逐级计算!$Q$64/10)-1)+逐级计算!$Q$64*(BL18-逐级计算!$P$64)*LN(10)/10))))))),"")</f>
        <v>13.8141909237714</v>
      </c>
      <c r="BN18">
        <f>IF(AND(ISNUMBER(BM18),逐级计算!$X$65&gt;-1),IF(逐级计算!$X$65=0,BM18+逐级计算!$C$65,BM18+逐级计算!$C$65-(10/(逐级计算!$Q$65*LN(10))*(MAX((LN(10^(逐级计算!$Q$65/10)-1)+逐级计算!$Q$65*(BM18-逐级计算!$P$65)*LN(10)/10),0)+LN(1+EXP(-ABS((LN(10^(逐级计算!$Q$65/10)-1)+逐级计算!$Q$65*(BM18-逐级计算!$P$65)*LN(10)/10))))))),"")</f>
        <v>13.8141909237714</v>
      </c>
      <c r="BO18">
        <f>IF(AND(ISNUMBER(BN18),逐级计算!$X$66&gt;-1),IF(逐级计算!$X$66=0,BN18+逐级计算!$C$66,BN18+逐级计算!$C$66-(10/(逐级计算!$Q$66*LN(10))*(MAX((LN(10^(逐级计算!$Q$66/10)-1)+逐级计算!$Q$66*(BN18-逐级计算!$P$66)*LN(10)/10),0)+LN(1+EXP(-ABS((LN(10^(逐级计算!$Q$66/10)-1)+逐级计算!$Q$66*(BN18-逐级计算!$P$66)*LN(10)/10))))))),"")</f>
        <v>13.8141909237714</v>
      </c>
      <c r="BP18">
        <f>IF(AND(ISNUMBER(BO18),逐级计算!$X$67&gt;-1),IF(逐级计算!$X$67=0,BO18+逐级计算!$C$67,BO18+逐级计算!$C$67-(10/(逐级计算!$Q$67*LN(10))*(MAX((LN(10^(逐级计算!$Q$67/10)-1)+逐级计算!$Q$67*(BO18-逐级计算!$P$67)*LN(10)/10),0)+LN(1+EXP(-ABS((LN(10^(逐级计算!$Q$67/10)-1)+逐级计算!$Q$67*(BO18-逐级计算!$P$67)*LN(10)/10))))))),"")</f>
        <v>13.8141909237714</v>
      </c>
      <c r="BQ18">
        <f>IF(AND(ISNUMBER(BP18),逐级计算!$X$68&gt;-1),IF(逐级计算!$X$68=0,BP18+逐级计算!$C$68,BP18+逐级计算!$C$68-(10/(逐级计算!$Q$68*LN(10))*(MAX((LN(10^(逐级计算!$Q$68/10)-1)+逐级计算!$Q$68*(BP18-逐级计算!$P$68)*LN(10)/10),0)+LN(1+EXP(-ABS((LN(10^(逐级计算!$Q$68/10)-1)+逐级计算!$Q$68*(BP18-逐级计算!$P$68)*LN(10)/10))))))),"")</f>
        <v>13.8141909237714</v>
      </c>
      <c r="BR18">
        <f>IF(AND(ISNUMBER(BQ18),逐级计算!$X$69&gt;-1),IF(逐级计算!$X$69=0,BQ18+逐级计算!$C$69,BQ18+逐级计算!$C$69-(10/(逐级计算!$Q$69*LN(10))*(MAX((LN(10^(逐级计算!$Q$69/10)-1)+逐级计算!$Q$69*(BQ18-逐级计算!$P$69)*LN(10)/10),0)+LN(1+EXP(-ABS((LN(10^(逐级计算!$Q$69/10)-1)+逐级计算!$Q$69*(BQ18-逐级计算!$P$69)*LN(10)/10))))))),"")</f>
        <v>13.8141909237714</v>
      </c>
      <c r="BS18">
        <f>IF(AND(ISNUMBER(BR18),逐级计算!$X$70&gt;-1),IF(逐级计算!$X$70=0,BR18+逐级计算!$C$70,BR18+逐级计算!$C$70-(10/(逐级计算!$Q$70*LN(10))*(MAX((LN(10^(逐级计算!$Q$70/10)-1)+逐级计算!$Q$70*(BR18-逐级计算!$P$70)*LN(10)/10),0)+LN(1+EXP(-ABS((LN(10^(逐级计算!$Q$70/10)-1)+逐级计算!$Q$70*(BR18-逐级计算!$P$70)*LN(10)/10))))))),"")</f>
        <v>13.8141909237714</v>
      </c>
      <c r="BT18">
        <f>IF(AND(ISNUMBER(BS18),逐级计算!$X$71&gt;-1),IF(逐级计算!$X$71=0,BS18+逐级计算!$C$71,BS18+逐级计算!$C$71-(10/(逐级计算!$Q$71*LN(10))*(MAX((LN(10^(逐级计算!$Q$71/10)-1)+逐级计算!$Q$71*(BS18-逐级计算!$P$71)*LN(10)/10),0)+LN(1+EXP(-ABS((LN(10^(逐级计算!$Q$71/10)-1)+逐级计算!$Q$71*(BS18-逐级计算!$P$71)*LN(10)/10))))))),"")</f>
        <v>13.8141909237714</v>
      </c>
      <c r="BU18">
        <f>IF(AND(ISNUMBER(BT18),逐级计算!$X$72&gt;-1),IF(逐级计算!$X$72=0,BT18+逐级计算!$C$72,BT18+逐级计算!$C$72-(10/(逐级计算!$Q$72*LN(10))*(MAX((LN(10^(逐级计算!$Q$72/10)-1)+逐级计算!$Q$72*(BT18-逐级计算!$P$72)*LN(10)/10),0)+LN(1+EXP(-ABS((LN(10^(逐级计算!$Q$72/10)-1)+逐级计算!$Q$72*(BT18-逐级计算!$P$72)*LN(10)/10))))))),"")</f>
        <v>13.8141909237714</v>
      </c>
      <c r="BV18">
        <f>IF(AND(ISNUMBER(BU18),逐级计算!$X$73&gt;-1),IF(逐级计算!$X$73=0,BU18+逐级计算!$C$73,BU18+逐级计算!$C$73-(10/(逐级计算!$Q$73*LN(10))*(MAX((LN(10^(逐级计算!$Q$73/10)-1)+逐级计算!$Q$73*(BU18-逐级计算!$P$73)*LN(10)/10),0)+LN(1+EXP(-ABS((LN(10^(逐级计算!$Q$73/10)-1)+逐级计算!$Q$73*(BU18-逐级计算!$P$73)*LN(10)/10))))))),"")</f>
        <v>13.8141909237714</v>
      </c>
      <c r="BW18">
        <f>IF(AND(ISNUMBER(BV18),逐级计算!$X$74&gt;-1),IF(逐级计算!$X$74=0,BV18+逐级计算!$C$74,BV18+逐级计算!$C$74-(10/(逐级计算!$Q$74*LN(10))*(MAX((LN(10^(逐级计算!$Q$74/10)-1)+逐级计算!$Q$74*(BV18-逐级计算!$P$74)*LN(10)/10),0)+LN(1+EXP(-ABS((LN(10^(逐级计算!$Q$74/10)-1)+逐级计算!$Q$74*(BV18-逐级计算!$P$74)*LN(10)/10))))))),"")</f>
        <v>13.8141909237714</v>
      </c>
      <c r="BX18">
        <f>IF(AND(ISNUMBER(BW18),逐级计算!$X$75&gt;-1),IF(逐级计算!$X$75=0,BW18+逐级计算!$C$75,BW18+逐级计算!$C$75-(10/(逐级计算!$Q$75*LN(10))*(MAX((LN(10^(逐级计算!$Q$75/10)-1)+逐级计算!$Q$75*(BW18-逐级计算!$P$75)*LN(10)/10),0)+LN(1+EXP(-ABS((LN(10^(逐级计算!$Q$75/10)-1)+逐级计算!$Q$75*(BW18-逐级计算!$P$75)*LN(10)/10))))))),"")</f>
        <v>13.8141909237714</v>
      </c>
      <c r="BY18">
        <f>IF(AND(ISNUMBER(BX18),逐级计算!$X$76&gt;-1),IF(逐级计算!$X$76=0,BX18+逐级计算!$C$76,BX18+逐级计算!$C$76-(10/(逐级计算!$Q$76*LN(10))*(MAX((LN(10^(逐级计算!$Q$76/10)-1)+逐级计算!$Q$76*(BX18-逐级计算!$P$76)*LN(10)/10),0)+LN(1+EXP(-ABS((LN(10^(逐级计算!$Q$76/10)-1)+逐级计算!$Q$76*(BX18-逐级计算!$P$76)*LN(10)/10))))))),"")</f>
        <v>13.8141909237714</v>
      </c>
      <c r="BZ18">
        <f>IF(AND(ISNUMBER(BY18),逐级计算!$X$77&gt;-1),IF(逐级计算!$X$77=0,BY18+逐级计算!$C$77,BY18+逐级计算!$C$77-(10/(逐级计算!$Q$77*LN(10))*(MAX((LN(10^(逐级计算!$Q$77/10)-1)+逐级计算!$Q$77*(BY18-逐级计算!$P$77)*LN(10)/10),0)+LN(1+EXP(-ABS((LN(10^(逐级计算!$Q$77/10)-1)+逐级计算!$Q$77*(BY18-逐级计算!$P$77)*LN(10)/10))))))),"")</f>
        <v>13.8141909237714</v>
      </c>
      <c r="CA18">
        <f>IF(AND(ISNUMBER(BZ18),逐级计算!$X$78&gt;-1),IF(逐级计算!$X$78=0,BZ18+逐级计算!$C$78,BZ18+逐级计算!$C$78-(10/(逐级计算!$Q$78*LN(10))*(MAX((LN(10^(逐级计算!$Q$78/10)-1)+逐级计算!$Q$78*(BZ18-逐级计算!$P$78)*LN(10)/10),0)+LN(1+EXP(-ABS((LN(10^(逐级计算!$Q$78/10)-1)+逐级计算!$Q$78*(BZ18-逐级计算!$P$78)*LN(10)/10))))))),"")</f>
        <v>13.8141909237714</v>
      </c>
      <c r="CB18">
        <f>IF(AND(ISNUMBER(CA18),逐级计算!$X$79&gt;-1),IF(逐级计算!$X$79=0,CA18+逐级计算!$C$79,CA18+逐级计算!$C$79-(10/(逐级计算!$Q$79*LN(10))*(MAX((LN(10^(逐级计算!$Q$79/10)-1)+逐级计算!$Q$79*(CA18-逐级计算!$P$79)*LN(10)/10),0)+LN(1+EXP(-ABS((LN(10^(逐级计算!$Q$79/10)-1)+逐级计算!$Q$79*(CA18-逐级计算!$P$79)*LN(10)/10))))))),"")</f>
        <v>13.8141909237714</v>
      </c>
      <c r="CC18">
        <f>IF(AND(ISNUMBER(CB18),逐级计算!$X$80&gt;-1),IF(逐级计算!$X$80=0,CB18+逐级计算!$C$80,CB18+逐级计算!$C$80-(10/(逐级计算!$Q$80*LN(10))*(MAX((LN(10^(逐级计算!$Q$80/10)-1)+逐级计算!$Q$80*(CB18-逐级计算!$P$80)*LN(10)/10),0)+LN(1+EXP(-ABS((LN(10^(逐级计算!$Q$80/10)-1)+逐级计算!$Q$80*(CB18-逐级计算!$P$80)*LN(10)/10))))))),"")</f>
        <v>13.8141909237714</v>
      </c>
      <c r="CD18">
        <f>IF(AND(ISNUMBER(CC18),逐级计算!$X$81&gt;-1),IF(逐级计算!$X$81=0,CC18+逐级计算!$C$81,CC18+逐级计算!$C$81-(10/(逐级计算!$Q$81*LN(10))*(MAX((LN(10^(逐级计算!$Q$81/10)-1)+逐级计算!$Q$81*(CC18-逐级计算!$P$81)*LN(10)/10),0)+LN(1+EXP(-ABS((LN(10^(逐级计算!$Q$81/10)-1)+逐级计算!$Q$81*(CC18-逐级计算!$P$81)*LN(10)/10))))))),"")</f>
        <v>13.8141909237714</v>
      </c>
      <c r="CE18">
        <f>IF(AND(ISNUMBER(CD18),逐级计算!$X$82&gt;-1),IF(逐级计算!$X$82=0,CD18+逐级计算!$C$82,CD18+逐级计算!$C$82-(10/(逐级计算!$Q$82*LN(10))*(MAX((LN(10^(逐级计算!$Q$82/10)-1)+逐级计算!$Q$82*(CD18-逐级计算!$P$82)*LN(10)/10),0)+LN(1+EXP(-ABS((LN(10^(逐级计算!$Q$82/10)-1)+逐级计算!$Q$82*(CD18-逐级计算!$P$82)*LN(10)/10))))))),"")</f>
        <v>13.8141909237714</v>
      </c>
      <c r="CF18">
        <f>IF(AND(ISNUMBER(CE18),逐级计算!$X$83&gt;-1),IF(逐级计算!$X$83=0,CE18+逐级计算!$C$83,CE18+逐级计算!$C$83-(10/(逐级计算!$Q$83*LN(10))*(MAX((LN(10^(逐级计算!$Q$83/10)-1)+逐级计算!$Q$83*(CE18-逐级计算!$P$83)*LN(10)/10),0)+LN(1+EXP(-ABS((LN(10^(逐级计算!$Q$83/10)-1)+逐级计算!$Q$83*(CE18-逐级计算!$P$83)*LN(10)/10))))))),"")</f>
        <v>13.8141909237714</v>
      </c>
      <c r="CG18">
        <f>IF(AND(ISNUMBER(CF18),逐级计算!$X$84&gt;-1),IF(逐级计算!$X$84=0,CF18+逐级计算!$C$84,CF18+逐级计算!$C$84-(10/(逐级计算!$Q$84*LN(10))*(MAX((LN(10^(逐级计算!$Q$84/10)-1)+逐级计算!$Q$84*(CF18-逐级计算!$P$84)*LN(10)/10),0)+LN(1+EXP(-ABS((LN(10^(逐级计算!$Q$84/10)-1)+逐级计算!$Q$84*(CF18-逐级计算!$P$84)*LN(10)/10))))))),"")</f>
        <v>13.8141909237714</v>
      </c>
      <c r="CH18">
        <f>IF(AND(ISNUMBER(CG18),逐级计算!$X$85&gt;-1),IF(逐级计算!$X$85=0,CG18+逐级计算!$C$85,CG18+逐级计算!$C$85-(10/(逐级计算!$Q$85*LN(10))*(MAX((LN(10^(逐级计算!$Q$85/10)-1)+逐级计算!$Q$85*(CG18-逐级计算!$P$85)*LN(10)/10),0)+LN(1+EXP(-ABS((LN(10^(逐级计算!$Q$85/10)-1)+逐级计算!$Q$85*(CG18-逐级计算!$P$85)*LN(10)/10))))))),"")</f>
        <v>13.8141909237714</v>
      </c>
      <c r="CI18">
        <f>IF(AND(ISNUMBER(CH18),逐级计算!$X$86&gt;-1),IF(逐级计算!$X$86=0,CH18+逐级计算!$C$86,CH18+逐级计算!$C$86-(10/(逐级计算!$Q$86*LN(10))*(MAX((LN(10^(逐级计算!$Q$86/10)-1)+逐级计算!$Q$86*(CH18-逐级计算!$P$86)*LN(10)/10),0)+LN(1+EXP(-ABS((LN(10^(逐级计算!$Q$86/10)-1)+逐级计算!$Q$86*(CH18-逐级计算!$P$86)*LN(10)/10))))))),"")</f>
        <v>13.8141909237714</v>
      </c>
      <c r="CJ18">
        <f>IF(AND(ISNUMBER(CI18),逐级计算!$X$87&gt;-1),IF(逐级计算!$X$87=0,CI18+逐级计算!$C$87,CI18+逐级计算!$C$87-(10/(逐级计算!$Q$87*LN(10))*(MAX((LN(10^(逐级计算!$Q$87/10)-1)+逐级计算!$Q$87*(CI18-逐级计算!$P$87)*LN(10)/10),0)+LN(1+EXP(-ABS((LN(10^(逐级计算!$Q$87/10)-1)+逐级计算!$Q$87*(CI18-逐级计算!$P$87)*LN(10)/10))))))),"")</f>
        <v>13.8141909237714</v>
      </c>
      <c r="CK18">
        <f>IF(AND(ISNUMBER(CJ18),逐级计算!$X$88&gt;-1),IF(逐级计算!$X$88=0,CJ18+逐级计算!$C$88,CJ18+逐级计算!$C$88-(10/(逐级计算!$Q$88*LN(10))*(MAX((LN(10^(逐级计算!$Q$88/10)-1)+逐级计算!$Q$88*(CJ18-逐级计算!$P$88)*LN(10)/10),0)+LN(1+EXP(-ABS((LN(10^(逐级计算!$Q$88/10)-1)+逐级计算!$Q$88*(CJ18-逐级计算!$P$88)*LN(10)/10))))))),"")</f>
        <v>13.8141909237714</v>
      </c>
      <c r="CL18">
        <f>IF(AND(ISNUMBER(CK18),逐级计算!$X$89&gt;-1),IF(逐级计算!$X$89=0,CK18+逐级计算!$C$89,CK18+逐级计算!$C$89-(10/(逐级计算!$Q$89*LN(10))*(MAX((LN(10^(逐级计算!$Q$89/10)-1)+逐级计算!$Q$89*(CK18-逐级计算!$P$89)*LN(10)/10),0)+LN(1+EXP(-ABS((LN(10^(逐级计算!$Q$89/10)-1)+逐级计算!$Q$89*(CK18-逐级计算!$P$89)*LN(10)/10))))))),"")</f>
        <v>13.8141909237714</v>
      </c>
      <c r="CM18">
        <f>IF(AND(ISNUMBER(CL18),逐级计算!$X$90&gt;-1),IF(逐级计算!$X$90=0,CL18+逐级计算!$C$90,CL18+逐级计算!$C$90-(10/(逐级计算!$Q$90*LN(10))*(MAX((LN(10^(逐级计算!$Q$90/10)-1)+逐级计算!$Q$90*(CL18-逐级计算!$P$90)*LN(10)/10),0)+LN(1+EXP(-ABS((LN(10^(逐级计算!$Q$90/10)-1)+逐级计算!$Q$90*(CL18-逐级计算!$P$90)*LN(10)/10))))))),"")</f>
        <v>13.8141909237714</v>
      </c>
      <c r="CN18">
        <f>IF(AND(ISNUMBER(CM18),逐级计算!$X$91&gt;-1),IF(逐级计算!$X$91=0,CM18+逐级计算!$C$91,CM18+逐级计算!$C$91-(10/(逐级计算!$Q$91*LN(10))*(MAX((LN(10^(逐级计算!$Q$91/10)-1)+逐级计算!$Q$91*(CM18-逐级计算!$P$91)*LN(10)/10),0)+LN(1+EXP(-ABS((LN(10^(逐级计算!$Q$91/10)-1)+逐级计算!$Q$91*(CM18-逐级计算!$P$91)*LN(10)/10))))))),"")</f>
        <v>13.8141909237714</v>
      </c>
      <c r="CO18">
        <f>IF(AND(ISNUMBER(CN18),逐级计算!$X$92&gt;-1),IF(逐级计算!$X$92=0,CN18+逐级计算!$C$92,CN18+逐级计算!$C$92-(10/(逐级计算!$Q$92*LN(10))*(MAX((LN(10^(逐级计算!$Q$92/10)-1)+逐级计算!$Q$92*(CN18-逐级计算!$P$92)*LN(10)/10),0)+LN(1+EXP(-ABS((LN(10^(逐级计算!$Q$92/10)-1)+逐级计算!$Q$92*(CN18-逐级计算!$P$92)*LN(10)/10))))))),"")</f>
        <v>13.8141909237714</v>
      </c>
      <c r="CP18">
        <f>IF(AND(ISNUMBER(CO18),逐级计算!$X$93&gt;-1),IF(逐级计算!$X$93=0,CO18+逐级计算!$C$93,CO18+逐级计算!$C$93-(10/(逐级计算!$Q$93*LN(10))*(MAX((LN(10^(逐级计算!$Q$93/10)-1)+逐级计算!$Q$93*(CO18-逐级计算!$P$93)*LN(10)/10),0)+LN(1+EXP(-ABS((LN(10^(逐级计算!$Q$93/10)-1)+逐级计算!$Q$93*(CO18-逐级计算!$P$93)*LN(10)/10))))))),"")</f>
        <v>13.8141909237714</v>
      </c>
      <c r="CQ18">
        <f>IF(AND(ISNUMBER(CP18),逐级计算!$X$94&gt;-1),IF(逐级计算!$X$94=0,CP18+逐级计算!$C$94,CP18+逐级计算!$C$94-(10/(逐级计算!$Q$94*LN(10))*(MAX((LN(10^(逐级计算!$Q$94/10)-1)+逐级计算!$Q$94*(CP18-逐级计算!$P$94)*LN(10)/10),0)+LN(1+EXP(-ABS((LN(10^(逐级计算!$Q$94/10)-1)+逐级计算!$Q$94*(CP18-逐级计算!$P$94)*LN(10)/10))))))),"")</f>
        <v>13.8141909237714</v>
      </c>
      <c r="CR18">
        <f>IF(AND(ISNUMBER(CQ18),逐级计算!$X$95&gt;-1),IF(逐级计算!$X$95=0,CQ18+逐级计算!$C$95,CQ18+逐级计算!$C$95-(10/(逐级计算!$Q$95*LN(10))*(MAX((LN(10^(逐级计算!$Q$95/10)-1)+逐级计算!$Q$95*(CQ18-逐级计算!$P$95)*LN(10)/10),0)+LN(1+EXP(-ABS((LN(10^(逐级计算!$Q$95/10)-1)+逐级计算!$Q$95*(CQ18-逐级计算!$P$95)*LN(10)/10))))))),"")</f>
        <v>13.8141909237714</v>
      </c>
      <c r="CS18">
        <f>IF(AND(ISNUMBER(CR18),逐级计算!$X$96&gt;-1),IF(逐级计算!$X$96=0,CR18+逐级计算!$C$96,CR18+逐级计算!$C$96-(10/(逐级计算!$Q$96*LN(10))*(MAX((LN(10^(逐级计算!$Q$96/10)-1)+逐级计算!$Q$96*(CR18-逐级计算!$P$96)*LN(10)/10),0)+LN(1+EXP(-ABS((LN(10^(逐级计算!$Q$96/10)-1)+逐级计算!$Q$96*(CR18-逐级计算!$P$96)*LN(10)/10))))))),"")</f>
        <v>13.8141909237714</v>
      </c>
      <c r="CT18">
        <f>IF(AND(ISNUMBER(CS18),逐级计算!$X$97&gt;-1),IF(逐级计算!$X$97=0,CS18+逐级计算!$C$97,CS18+逐级计算!$C$97-(10/(逐级计算!$Q$97*LN(10))*(MAX((LN(10^(逐级计算!$Q$97/10)-1)+逐级计算!$Q$97*(CS18-逐级计算!$P$97)*LN(10)/10),0)+LN(1+EXP(-ABS((LN(10^(逐级计算!$Q$97/10)-1)+逐级计算!$Q$97*(CS18-逐级计算!$P$97)*LN(10)/10))))))),"")</f>
        <v>13.8141909237714</v>
      </c>
      <c r="CU18">
        <f>IF(AND(ISNUMBER(CT18),逐级计算!$X$98&gt;-1),IF(逐级计算!$X$98=0,CT18+逐级计算!$C$98,CT18+逐级计算!$C$98-(10/(逐级计算!$Q$98*LN(10))*(MAX((LN(10^(逐级计算!$Q$98/10)-1)+逐级计算!$Q$98*(CT18-逐级计算!$P$98)*LN(10)/10),0)+LN(1+EXP(-ABS((LN(10^(逐级计算!$Q$98/10)-1)+逐级计算!$Q$98*(CT18-逐级计算!$P$98)*LN(10)/10))))))),"")</f>
        <v>13.8141909237714</v>
      </c>
      <c r="CV18">
        <f>IF(AND(ISNUMBER(CU18),逐级计算!$X$99&gt;-1),IF(逐级计算!$X$99=0,CU18+逐级计算!$C$99,CU18+逐级计算!$C$99-(10/(逐级计算!$Q$99*LN(10))*(MAX((LN(10^(逐级计算!$Q$99/10)-1)+逐级计算!$Q$99*(CU18-逐级计算!$P$99)*LN(10)/10),0)+LN(1+EXP(-ABS((LN(10^(逐级计算!$Q$99/10)-1)+逐级计算!$Q$99*(CU18-逐级计算!$P$99)*LN(10)/10))))))),"")</f>
        <v>13.8141909237714</v>
      </c>
      <c r="CW18">
        <f>IF(AND(ISNUMBER(CV18),逐级计算!$X$100&gt;-1),IF(逐级计算!$X$100=0,CV18+逐级计算!$C$100,CV18+逐级计算!$C$100-(10/(逐级计算!$Q$100*LN(10))*(MAX((LN(10^(逐级计算!$Q$100/10)-1)+逐级计算!$Q$100*(CV18-逐级计算!$P$100)*LN(10)/10),0)+LN(1+EXP(-ABS((LN(10^(逐级计算!$Q$100/10)-1)+逐级计算!$Q$100*(CV18-逐级计算!$P$100)*LN(10)/10))))))),"")</f>
        <v>13.8141909237714</v>
      </c>
      <c r="CX18">
        <f>IF(AND(ISNUMBER(CW18),逐级计算!$X$101&gt;-1),IF(逐级计算!$X$101=0,CW18+逐级计算!$C$101,CW18+逐级计算!$C$101-(10/(逐级计算!$Q$101*LN(10))*(MAX((LN(10^(逐级计算!$Q$101/10)-1)+逐级计算!$Q$101*(CW18-逐级计算!$P$101)*LN(10)/10),0)+LN(1+EXP(-ABS((LN(10^(逐级计算!$Q$101/10)-1)+逐级计算!$Q$101*(CW18-逐级计算!$P$101)*LN(10)/10))))))),"")</f>
        <v>13.8141909237714</v>
      </c>
      <c r="CY18">
        <f>IF(AND(ISNUMBER(CX18),逐级计算!$X$102&gt;-1),IF(逐级计算!$X$102=0,CX18+逐级计算!$C$102,CX18+逐级计算!$C$102-(10/(逐级计算!$Q$102*LN(10))*(MAX((LN(10^(逐级计算!$Q$102/10)-1)+逐级计算!$Q$102*(CX18-逐级计算!$P$102)*LN(10)/10),0)+LN(1+EXP(-ABS((LN(10^(逐级计算!$Q$102/10)-1)+逐级计算!$Q$102*(CX18-逐级计算!$P$102)*LN(10)/10))))))),"")</f>
        <v>13.8141909237714</v>
      </c>
      <c r="CZ18">
        <f>IF(AND(ISNUMBER(CY18),逐级计算!$X$103&gt;-1),IF(逐级计算!$X$103=0,CY18+逐级计算!$C$103,CY18+逐级计算!$C$103-(10/(逐级计算!$Q$103*LN(10))*(MAX((LN(10^(逐级计算!$Q$103/10)-1)+逐级计算!$Q$103*(CY18-逐级计算!$P$103)*LN(10)/10),0)+LN(1+EXP(-ABS((LN(10^(逐级计算!$Q$103/10)-1)+逐级计算!$Q$103*(CY18-逐级计算!$P$103)*LN(10)/10))))))),"")</f>
        <v>13.8141909237714</v>
      </c>
      <c r="DA18">
        <f>IF(AND(ISNUMBER(CZ18),逐级计算!$X$104&gt;-1),IF(逐级计算!$X$104=0,CZ18+逐级计算!$C$104,CZ18+逐级计算!$C$104-(10/(逐级计算!$Q$104*LN(10))*(MAX((LN(10^(逐级计算!$Q$104/10)-1)+逐级计算!$Q$104*(CZ18-逐级计算!$P$104)*LN(10)/10),0)+LN(1+EXP(-ABS((LN(10^(逐级计算!$Q$104/10)-1)+逐级计算!$Q$104*(CZ18-逐级计算!$P$104)*LN(10)/10))))))),"")</f>
        <v>13.8141909237714</v>
      </c>
      <c r="DB18">
        <f>IF(AND(ISNUMBER(DA18),逐级计算!$X$105&gt;-1),IF(逐级计算!$X$105=0,DA18+逐级计算!$C$105,DA18+逐级计算!$C$105-(10/(逐级计算!$Q$105*LN(10))*(MAX((LN(10^(逐级计算!$Q$105/10)-1)+逐级计算!$Q$105*(DA18-逐级计算!$P$105)*LN(10)/10),0)+LN(1+EXP(-ABS((LN(10^(逐级计算!$Q$105/10)-1)+逐级计算!$Q$105*(DA18-逐级计算!$P$105)*LN(10)/10))))))),"")</f>
        <v>13.8141909237714</v>
      </c>
      <c r="DC18">
        <f>IF(AND(ISNUMBER(DB18),逐级计算!$X$106&gt;-1),IF(逐级计算!$X$106=0,DB18+逐级计算!$C$106,DB18+逐级计算!$C$106-(10/(逐级计算!$Q$106*LN(10))*(MAX((LN(10^(逐级计算!$Q$106/10)-1)+逐级计算!$Q$106*(DB18-逐级计算!$P$106)*LN(10)/10),0)+LN(1+EXP(-ABS((LN(10^(逐级计算!$Q$106/10)-1)+逐级计算!$Q$106*(DB18-逐级计算!$P$106)*LN(10)/10))))))),"")</f>
        <v>13.8141909237714</v>
      </c>
      <c r="DD18">
        <f>IF(AND(ISNUMBER(DC18),逐级计算!$X$107&gt;-1),IF(逐级计算!$X$107=0,DC18+逐级计算!$C$107,DC18+逐级计算!$C$107-(10/(逐级计算!$Q$107*LN(10))*(MAX((LN(10^(逐级计算!$Q$107/10)-1)+逐级计算!$Q$107*(DC18-逐级计算!$P$107)*LN(10)/10),0)+LN(1+EXP(-ABS((LN(10^(逐级计算!$Q$107/10)-1)+逐级计算!$Q$107*(DC18-逐级计算!$P$107)*LN(10)/10))))))),"")</f>
        <v>13.8141909237714</v>
      </c>
      <c r="DE18">
        <f>IF(AND(ISNUMBER(DD18),逐级计算!$X$108&gt;-1),IF(逐级计算!$X$108=0,DD18+逐级计算!$C$108,DD18+逐级计算!$C$108-(10/(逐级计算!$Q$108*LN(10))*(MAX((LN(10^(逐级计算!$Q$108/10)-1)+逐级计算!$Q$108*(DD18-逐级计算!$P$108)*LN(10)/10),0)+LN(1+EXP(-ABS((LN(10^(逐级计算!$Q$108/10)-1)+逐级计算!$Q$108*(DD18-逐级计算!$P$108)*LN(10)/10))))))),"")</f>
        <v>13.8141909237714</v>
      </c>
      <c r="DF18">
        <f>IF(AND(ISNUMBER(DE18),逐级计算!$X$109&gt;-1),IF(逐级计算!$X$109=0,DE18+逐级计算!$C$109,DE18+逐级计算!$C$109-(10/(逐级计算!$Q$109*LN(10))*(MAX((LN(10^(逐级计算!$Q$109/10)-1)+逐级计算!$Q$109*(DE18-逐级计算!$P$109)*LN(10)/10),0)+LN(1+EXP(-ABS((LN(10^(逐级计算!$Q$109/10)-1)+逐级计算!$Q$109*(DE18-逐级计算!$P$109)*LN(10)/10))))))),"")</f>
        <v>13.8141909237714</v>
      </c>
      <c r="DG18">
        <f>IF(AND(ISNUMBER(DF18),逐级计算!$X$110&gt;-1),IF(逐级计算!$X$110=0,DF18+逐级计算!$C$110,DF18+逐级计算!$C$110-(10/(逐级计算!$Q$110*LN(10))*(MAX((LN(10^(逐级计算!$Q$110/10)-1)+逐级计算!$Q$110*(DF18-逐级计算!$P$110)*LN(10)/10),0)+LN(1+EXP(-ABS((LN(10^(逐级计算!$Q$110/10)-1)+逐级计算!$Q$110*(DF18-逐级计算!$P$110)*LN(10)/10))))))),"")</f>
        <v>13.8141909237714</v>
      </c>
      <c r="DH18">
        <f>IF(AND(ISNUMBER(DG18),逐级计算!$X$111&gt;-1),IF(逐级计算!$X$111=0,DG18+逐级计算!$C$111,DG18+逐级计算!$C$111-(10/(逐级计算!$Q$111*LN(10))*(MAX((LN(10^(逐级计算!$Q$111/10)-1)+逐级计算!$Q$111*(DG18-逐级计算!$P$111)*LN(10)/10),0)+LN(1+EXP(-ABS((LN(10^(逐级计算!$Q$111/10)-1)+逐级计算!$Q$111*(DG18-逐级计算!$P$111)*LN(10)/10))))))),"")</f>
        <v>13.8141909237714</v>
      </c>
      <c r="DI18">
        <f>IF(AND(ISNUMBER(DH18),逐级计算!$X$112&gt;-1),IF(逐级计算!$X$112=0,DH18+逐级计算!$C$112,DH18+逐级计算!$C$112-(10/(逐级计算!$Q$112*LN(10))*(MAX((LN(10^(逐级计算!$Q$112/10)-1)+逐级计算!$Q$112*(DH18-逐级计算!$P$112)*LN(10)/10),0)+LN(1+EXP(-ABS((LN(10^(逐级计算!$Q$112/10)-1)+逐级计算!$Q$112*(DH18-逐级计算!$P$112)*LN(10)/10))))))),"")</f>
        <v>13.8141909237714</v>
      </c>
      <c r="DJ18">
        <f>IF(AND(ISNUMBER(DI18),逐级计算!$X$113&gt;-1),IF(逐级计算!$X$113=0,DI18+逐级计算!$C$113,DI18+逐级计算!$C$113-(10/(逐级计算!$Q$113*LN(10))*(MAX((LN(10^(逐级计算!$Q$113/10)-1)+逐级计算!$Q$113*(DI18-逐级计算!$P$113)*LN(10)/10),0)+LN(1+EXP(-ABS((LN(10^(逐级计算!$Q$113/10)-1)+逐级计算!$Q$113*(DI18-逐级计算!$P$113)*LN(10)/10))))))),"")</f>
        <v>13.8141909237714</v>
      </c>
      <c r="DK18">
        <f>IF(AND(ISNUMBER(DJ18),逐级计算!$X$114&gt;-1),IF(逐级计算!$X$114=0,DJ18+逐级计算!$C$114,DJ18+逐级计算!$C$114-(10/(逐级计算!$Q$114*LN(10))*(MAX((LN(10^(逐级计算!$Q$114/10)-1)+逐级计算!$Q$114*(DJ18-逐级计算!$P$114)*LN(10)/10),0)+LN(1+EXP(-ABS((LN(10^(逐级计算!$Q$114/10)-1)+逐级计算!$Q$114*(DJ18-逐级计算!$P$114)*LN(10)/10))))))),"")</f>
        <v>13.8141909237714</v>
      </c>
      <c r="DL18">
        <f>IF(AND(ISNUMBER(DK18),逐级计算!$X$115&gt;-1),IF(逐级计算!$X$115=0,DK18+逐级计算!$C$115,DK18+逐级计算!$C$115-(10/(逐级计算!$Q$115*LN(10))*(MAX((LN(10^(逐级计算!$Q$115/10)-1)+逐级计算!$Q$115*(DK18-逐级计算!$P$115)*LN(10)/10),0)+LN(1+EXP(-ABS((LN(10^(逐级计算!$Q$115/10)-1)+逐级计算!$Q$115*(DK18-逐级计算!$P$115)*LN(10)/10))))))),"")</f>
        <v>13.8141909237714</v>
      </c>
      <c r="DM18">
        <f>IF(AND(ISNUMBER(DL18),逐级计算!$X$116&gt;-1),IF(逐级计算!$X$116=0,DL18+逐级计算!$C$116,DL18+逐级计算!$C$116-(10/(逐级计算!$Q$116*LN(10))*(MAX((LN(10^(逐级计算!$Q$116/10)-1)+逐级计算!$Q$116*(DL18-逐级计算!$P$116)*LN(10)/10),0)+LN(1+EXP(-ABS((LN(10^(逐级计算!$Q$116/10)-1)+逐级计算!$Q$116*(DL18-逐级计算!$P$116)*LN(10)/10))))))),"")</f>
        <v>13.8141909237714</v>
      </c>
      <c r="DN18">
        <f>IF(AND(ISNUMBER(DM18),逐级计算!$X$117&gt;-1),IF(逐级计算!$X$117=0,DM18+逐级计算!$C$117,DM18+逐级计算!$C$117-(10/(逐级计算!$Q$117*LN(10))*(MAX((LN(10^(逐级计算!$Q$117/10)-1)+逐级计算!$Q$117*(DM18-逐级计算!$P$117)*LN(10)/10),0)+LN(1+EXP(-ABS((LN(10^(逐级计算!$Q$117/10)-1)+逐级计算!$Q$117*(DM18-逐级计算!$P$117)*LN(10)/10))))))),"")</f>
        <v>13.8141909237714</v>
      </c>
      <c r="DO18">
        <f>IF(AND(ISNUMBER(DN18),逐级计算!$X$118&gt;-1),IF(逐级计算!$X$118=0,DN18+逐级计算!$C$118,DN18+逐级计算!$C$118-(10/(逐级计算!$Q$118*LN(10))*(MAX((LN(10^(逐级计算!$Q$118/10)-1)+逐级计算!$Q$118*(DN18-逐级计算!$P$118)*LN(10)/10),0)+LN(1+EXP(-ABS((LN(10^(逐级计算!$Q$118/10)-1)+逐级计算!$Q$118*(DN18-逐级计算!$P$118)*LN(10)/10))))))),"")</f>
        <v>13.8141909237714</v>
      </c>
      <c r="DP18">
        <f>IF(AND(ISNUMBER(DO18),逐级计算!$X$119&gt;-1),IF(逐级计算!$X$119=0,DO18+逐级计算!$C$119,DO18+逐级计算!$C$119-(10/(逐级计算!$Q$119*LN(10))*(MAX((LN(10^(逐级计算!$Q$119/10)-1)+逐级计算!$Q$119*(DO18-逐级计算!$P$119)*LN(10)/10),0)+LN(1+EXP(-ABS((LN(10^(逐级计算!$Q$119/10)-1)+逐级计算!$Q$119*(DO18-逐级计算!$P$119)*LN(10)/10))))))),"")</f>
        <v>13.8141909237714</v>
      </c>
      <c r="DQ18">
        <f>IF(AND(ISNUMBER(DP18),逐级计算!$X$120&gt;-1),IF(逐级计算!$X$120=0,DP18+逐级计算!$C$120,DP18+逐级计算!$C$120-(10/(逐级计算!$Q$120*LN(10))*(MAX((LN(10^(逐级计算!$Q$120/10)-1)+逐级计算!$Q$120*(DP18-逐级计算!$P$120)*LN(10)/10),0)+LN(1+EXP(-ABS((LN(10^(逐级计算!$Q$120/10)-1)+逐级计算!$Q$120*(DP18-逐级计算!$P$120)*LN(10)/10))))))),"")</f>
        <v>13.8141909237714</v>
      </c>
      <c r="DR18">
        <f>IF(AND(ISNUMBER(DQ18),逐级计算!$X$121&gt;-1),IF(逐级计算!$X$121=0,DQ18+逐级计算!$C$121,DQ18+逐级计算!$C$121-(10/(逐级计算!$Q$121*LN(10))*(MAX((LN(10^(逐级计算!$Q$121/10)-1)+逐级计算!$Q$121*(DQ18-逐级计算!$P$121)*LN(10)/10),0)+LN(1+EXP(-ABS((LN(10^(逐级计算!$Q$121/10)-1)+逐级计算!$Q$121*(DQ18-逐级计算!$P$121)*LN(10)/10))))))),"")</f>
        <v>13.8141909237714</v>
      </c>
      <c r="DS18">
        <f>IF(AND(ISNUMBER(DR18),逐级计算!$X$122&gt;-1),IF(逐级计算!$X$122=0,DR18+逐级计算!$C$122,DR18+逐级计算!$C$122-(10/(逐级计算!$Q$122*LN(10))*(MAX((LN(10^(逐级计算!$Q$122/10)-1)+逐级计算!$Q$122*(DR18-逐级计算!$P$122)*LN(10)/10),0)+LN(1+EXP(-ABS((LN(10^(逐级计算!$Q$122/10)-1)+逐级计算!$Q$122*(DR18-逐级计算!$P$122)*LN(10)/10))))))),"")</f>
        <v>13.8141909237714</v>
      </c>
      <c r="DT18">
        <f>IF(AND(ISNUMBER(DS18),逐级计算!$X$123&gt;-1),IF(逐级计算!$X$123=0,DS18+逐级计算!$C$123,DS18+逐级计算!$C$123-(10/(逐级计算!$Q$123*LN(10))*(MAX((LN(10^(逐级计算!$Q$123/10)-1)+逐级计算!$Q$123*(DS18-逐级计算!$P$123)*LN(10)/10),0)+LN(1+EXP(-ABS((LN(10^(逐级计算!$Q$123/10)-1)+逐级计算!$Q$123*(DS18-逐级计算!$P$123)*LN(10)/10))))))),"")</f>
        <v>13.8141909237714</v>
      </c>
      <c r="DU18">
        <f>IF(AND(ISNUMBER(DT18),逐级计算!$X$124&gt;-1),IF(逐级计算!$X$124=0,DT18+逐级计算!$C$124,DT18+逐级计算!$C$124-(10/(逐级计算!$Q$124*LN(10))*(MAX((LN(10^(逐级计算!$Q$124/10)-1)+逐级计算!$Q$124*(DT18-逐级计算!$P$124)*LN(10)/10),0)+LN(1+EXP(-ABS((LN(10^(逐级计算!$Q$124/10)-1)+逐级计算!$Q$124*(DT18-逐级计算!$P$124)*LN(10)/10))))))),"")</f>
        <v>13.8141909237714</v>
      </c>
      <c r="DV18">
        <f>IF(AND(ISNUMBER(DU18),逐级计算!$X$125&gt;-1),IF(逐级计算!$X$125=0,DU18+逐级计算!$C$125,DU18+逐级计算!$C$125-(10/(逐级计算!$Q$125*LN(10))*(MAX((LN(10^(逐级计算!$Q$125/10)-1)+逐级计算!$Q$125*(DU18-逐级计算!$P$125)*LN(10)/10),0)+LN(1+EXP(-ABS((LN(10^(逐级计算!$Q$125/10)-1)+逐级计算!$Q$125*(DU18-逐级计算!$P$125)*LN(10)/10))))))),"")</f>
        <v>13.8141909237714</v>
      </c>
      <c r="DW18">
        <f>IF(AND(ISNUMBER(DV18),逐级计算!$X$126&gt;-1),IF(逐级计算!$X$126=0,DV18+逐级计算!$C$126,DV18+逐级计算!$C$126-(10/(逐级计算!$Q$126*LN(10))*(MAX((LN(10^(逐级计算!$Q$126/10)-1)+逐级计算!$Q$126*(DV18-逐级计算!$P$126)*LN(10)/10),0)+LN(1+EXP(-ABS((LN(10^(逐级计算!$Q$126/10)-1)+逐级计算!$Q$126*(DV18-逐级计算!$P$126)*LN(10)/10))))))),"")</f>
        <v>13.8141909237714</v>
      </c>
      <c r="DX18">
        <f>IF(AND(ISNUMBER(DW18),逐级计算!$X$127&gt;-1),IF(逐级计算!$X$127=0,DW18+逐级计算!$C$127,DW18+逐级计算!$C$127-(10/(逐级计算!$Q$127*LN(10))*(MAX((LN(10^(逐级计算!$Q$127/10)-1)+逐级计算!$Q$127*(DW18-逐级计算!$P$127)*LN(10)/10),0)+LN(1+EXP(-ABS((LN(10^(逐级计算!$Q$127/10)-1)+逐级计算!$Q$127*(DW18-逐级计算!$P$127)*LN(10)/10))))))),"")</f>
        <v>13.8141909237714</v>
      </c>
      <c r="DY18">
        <f>IF(AND(ISNUMBER(DX18),逐级计算!$X$128&gt;-1),IF(逐级计算!$X$128=0,DX18+逐级计算!$C$128,DX18+逐级计算!$C$128-(10/(逐级计算!$Q$128*LN(10))*(MAX((LN(10^(逐级计算!$Q$128/10)-1)+逐级计算!$Q$128*(DX18-逐级计算!$P$128)*LN(10)/10),0)+LN(1+EXP(-ABS((LN(10^(逐级计算!$Q$128/10)-1)+逐级计算!$Q$128*(DX18-逐级计算!$P$128)*LN(10)/10))))))),"")</f>
        <v>13.8141909237714</v>
      </c>
      <c r="DZ18">
        <f>IF(AND(ISNUMBER(DY18),逐级计算!$X$129&gt;-1),IF(逐级计算!$X$129=0,DY18+逐级计算!$C$129,DY18+逐级计算!$C$129-(10/(逐级计算!$Q$129*LN(10))*(MAX((LN(10^(逐级计算!$Q$129/10)-1)+逐级计算!$Q$129*(DY18-逐级计算!$P$129)*LN(10)/10),0)+LN(1+EXP(-ABS((LN(10^(逐级计算!$Q$129/10)-1)+逐级计算!$Q$129*(DY18-逐级计算!$P$129)*LN(10)/10))))))),"")</f>
        <v>13.8141909237714</v>
      </c>
      <c r="EA18">
        <f>IF(AND(ISNUMBER(DZ18),逐级计算!$X$130&gt;-1),IF(逐级计算!$X$130=0,DZ18+逐级计算!$C$130,DZ18+逐级计算!$C$130-(10/(逐级计算!$Q$130*LN(10))*(MAX((LN(10^(逐级计算!$Q$130/10)-1)+逐级计算!$Q$130*(DZ18-逐级计算!$P$130)*LN(10)/10),0)+LN(1+EXP(-ABS((LN(10^(逐级计算!$Q$130/10)-1)+逐级计算!$Q$130*(DZ18-逐级计算!$P$130)*LN(10)/10))))))),"")</f>
        <v>13.8141909237714</v>
      </c>
      <c r="EB18">
        <f>IF(AND(ISNUMBER(EA18),逐级计算!$X$131&gt;-1),IF(逐级计算!$X$131=0,EA18+逐级计算!$C$131,EA18+逐级计算!$C$131-(10/(逐级计算!$Q$131*LN(10))*(MAX((LN(10^(逐级计算!$Q$131/10)-1)+逐级计算!$Q$131*(EA18-逐级计算!$P$131)*LN(10)/10),0)+LN(1+EXP(-ABS((LN(10^(逐级计算!$Q$131/10)-1)+逐级计算!$Q$131*(EA18-逐级计算!$P$131)*LN(10)/10))))))),"")</f>
        <v>13.8141909237714</v>
      </c>
      <c r="EC18">
        <f>IF(AND(ISNUMBER(EB18),逐级计算!$X$132&gt;-1),IF(逐级计算!$X$132=0,EB18+逐级计算!$C$132,EB18+逐级计算!$C$132-(10/(逐级计算!$Q$132*LN(10))*(MAX((LN(10^(逐级计算!$Q$132/10)-1)+逐级计算!$Q$132*(EB18-逐级计算!$P$132)*LN(10)/10),0)+LN(1+EXP(-ABS((LN(10^(逐级计算!$Q$132/10)-1)+逐级计算!$Q$132*(EB18-逐级计算!$P$132)*LN(10)/10))))))),"")</f>
        <v>13.8141909237714</v>
      </c>
      <c r="ED18">
        <f>IF(AND(ISNUMBER(EC18),逐级计算!$X$133&gt;-1),IF(逐级计算!$X$133=0,EC18+逐级计算!$C$133,EC18+逐级计算!$C$133-(10/(逐级计算!$Q$133*LN(10))*(MAX((LN(10^(逐级计算!$Q$133/10)-1)+逐级计算!$Q$133*(EC18-逐级计算!$P$133)*LN(10)/10),0)+LN(1+EXP(-ABS((LN(10^(逐级计算!$Q$133/10)-1)+逐级计算!$Q$133*(EC18-逐级计算!$P$133)*LN(10)/10))))))),"")</f>
        <v>13.8141909237714</v>
      </c>
      <c r="EE18">
        <f>IF(AND(ISNUMBER(ED18),逐级计算!$X$134&gt;-1),IF(逐级计算!$X$134=0,ED18+逐级计算!$C$134,ED18+逐级计算!$C$134-(10/(逐级计算!$Q$134*LN(10))*(MAX((LN(10^(逐级计算!$Q$134/10)-1)+逐级计算!$Q$134*(ED18-逐级计算!$P$134)*LN(10)/10),0)+LN(1+EXP(-ABS((LN(10^(逐级计算!$Q$134/10)-1)+逐级计算!$Q$134*(ED18-逐级计算!$P$134)*LN(10)/10))))))),"")</f>
        <v>13.8141909237714</v>
      </c>
      <c r="EF18">
        <f>IF(AND(ISNUMBER(EE18),逐级计算!$X$135&gt;-1),IF(逐级计算!$X$135=0,EE18+逐级计算!$C$135,EE18+逐级计算!$C$135-(10/(逐级计算!$Q$135*LN(10))*(MAX((LN(10^(逐级计算!$Q$135/10)-1)+逐级计算!$Q$135*(EE18-逐级计算!$P$135)*LN(10)/10),0)+LN(1+EXP(-ABS((LN(10^(逐级计算!$Q$135/10)-1)+逐级计算!$Q$135*(EE18-逐级计算!$P$135)*LN(10)/10))))))),"")</f>
        <v>13.8141909237714</v>
      </c>
      <c r="EG18">
        <f>IF(AND(ISNUMBER(EF18),逐级计算!$X$136&gt;-1),IF(逐级计算!$X$136=0,EF18+逐级计算!$C$136,EF18+逐级计算!$C$136-(10/(逐级计算!$Q$136*LN(10))*(MAX((LN(10^(逐级计算!$Q$136/10)-1)+逐级计算!$Q$136*(EF18-逐级计算!$P$136)*LN(10)/10),0)+LN(1+EXP(-ABS((LN(10^(逐级计算!$Q$136/10)-1)+逐级计算!$Q$136*(EF18-逐级计算!$P$136)*LN(10)/10))))))),"")</f>
        <v>13.8141909237714</v>
      </c>
      <c r="EH18">
        <f>IF(AND(ISNUMBER(EG18),逐级计算!$X$137&gt;-1),IF(逐级计算!$X$137=0,EG18+逐级计算!$C$137,EG18+逐级计算!$C$137-(10/(逐级计算!$Q$137*LN(10))*(MAX((LN(10^(逐级计算!$Q$137/10)-1)+逐级计算!$Q$137*(EG18-逐级计算!$P$137)*LN(10)/10),0)+LN(1+EXP(-ABS((LN(10^(逐级计算!$Q$137/10)-1)+逐级计算!$Q$137*(EG18-逐级计算!$P$137)*LN(10)/10))))))),"")</f>
        <v>13.8141909237714</v>
      </c>
      <c r="EI18">
        <f>IF(AND(ISNUMBER(EH18),逐级计算!$X$138&gt;-1),IF(逐级计算!$X$138=0,EH18+逐级计算!$C$138,EH18+逐级计算!$C$138-(10/(逐级计算!$Q$138*LN(10))*(MAX((LN(10^(逐级计算!$Q$138/10)-1)+逐级计算!$Q$138*(EH18-逐级计算!$P$138)*LN(10)/10),0)+LN(1+EXP(-ABS((LN(10^(逐级计算!$Q$138/10)-1)+逐级计算!$Q$138*(EH18-逐级计算!$P$138)*LN(10)/10))))))),"")</f>
        <v>13.8141909237714</v>
      </c>
      <c r="EJ18">
        <f>IF(AND(ISNUMBER(EI18),逐级计算!$X$139&gt;-1),IF(逐级计算!$X$139=0,EI18+逐级计算!$C$139,EI18+逐级计算!$C$139-(10/(逐级计算!$Q$139*LN(10))*(MAX((LN(10^(逐级计算!$Q$139/10)-1)+逐级计算!$Q$139*(EI18-逐级计算!$P$139)*LN(10)/10),0)+LN(1+EXP(-ABS((LN(10^(逐级计算!$Q$139/10)-1)+逐级计算!$Q$139*(EI18-逐级计算!$P$139)*LN(10)/10))))))),"")</f>
        <v>13.8141909237714</v>
      </c>
      <c r="EK18">
        <f>IF(AND(ISNUMBER(EJ18),逐级计算!$X$140&gt;-1),IF(逐级计算!$X$140=0,EJ18+逐级计算!$C$140,EJ18+逐级计算!$C$140-(10/(逐级计算!$Q$140*LN(10))*(MAX((LN(10^(逐级计算!$Q$140/10)-1)+逐级计算!$Q$140*(EJ18-逐级计算!$P$140)*LN(10)/10),0)+LN(1+EXP(-ABS((LN(10^(逐级计算!$Q$140/10)-1)+逐级计算!$Q$140*(EJ18-逐级计算!$P$140)*LN(10)/10))))))),"")</f>
        <v>13.8141909237714</v>
      </c>
      <c r="EL18">
        <f>IF(AND(ISNUMBER(EK18),逐级计算!$X$141&gt;-1),IF(逐级计算!$X$141=0,EK18+逐级计算!$C$141,EK18+逐级计算!$C$141-(10/(逐级计算!$Q$141*LN(10))*(MAX((LN(10^(逐级计算!$Q$141/10)-1)+逐级计算!$Q$141*(EK18-逐级计算!$P$141)*LN(10)/10),0)+LN(1+EXP(-ABS((LN(10^(逐级计算!$Q$141/10)-1)+逐级计算!$Q$141*(EK18-逐级计算!$P$141)*LN(10)/10))))))),"")</f>
        <v>13.8141909237714</v>
      </c>
      <c r="EM18">
        <f>IF(AND(ISNUMBER(EL18),逐级计算!$X$142&gt;-1),IF(逐级计算!$X$142=0,EL18+逐级计算!$C$142,EL18+逐级计算!$C$142-(10/(逐级计算!$Q$142*LN(10))*(MAX((LN(10^(逐级计算!$Q$142/10)-1)+逐级计算!$Q$142*(EL18-逐级计算!$P$142)*LN(10)/10),0)+LN(1+EXP(-ABS((LN(10^(逐级计算!$Q$142/10)-1)+逐级计算!$Q$142*(EL18-逐级计算!$P$142)*LN(10)/10))))))),"")</f>
        <v>13.8141909237714</v>
      </c>
      <c r="EN18">
        <f>IF(AND(ISNUMBER(EM18),逐级计算!$X$143&gt;-1),IF(逐级计算!$X$143=0,EM18+逐级计算!$C$143,EM18+逐级计算!$C$143-(10/(逐级计算!$Q$143*LN(10))*(MAX((LN(10^(逐级计算!$Q$143/10)-1)+逐级计算!$Q$143*(EM18-逐级计算!$P$143)*LN(10)/10),0)+LN(1+EXP(-ABS((LN(10^(逐级计算!$Q$143/10)-1)+逐级计算!$Q$143*(EM18-逐级计算!$P$143)*LN(10)/10))))))),"")</f>
        <v>13.8141909237714</v>
      </c>
      <c r="EO18">
        <f>IF(AND(ISNUMBER(EN18),逐级计算!$X$144&gt;-1),IF(逐级计算!$X$144=0,EN18+逐级计算!$C$144,EN18+逐级计算!$C$144-(10/(逐级计算!$Q$144*LN(10))*(MAX((LN(10^(逐级计算!$Q$144/10)-1)+逐级计算!$Q$144*(EN18-逐级计算!$P$144)*LN(10)/10),0)+LN(1+EXP(-ABS((LN(10^(逐级计算!$Q$144/10)-1)+逐级计算!$Q$144*(EN18-逐级计算!$P$144)*LN(10)/10))))))),"")</f>
        <v>13.8141909237714</v>
      </c>
      <c r="EP18">
        <f>IF(AND(ISNUMBER(EO18),逐级计算!$X$145&gt;-1),IF(逐级计算!$X$145=0,EO18+逐级计算!$C$145,EO18+逐级计算!$C$145-(10/(逐级计算!$Q$145*LN(10))*(MAX((LN(10^(逐级计算!$Q$145/10)-1)+逐级计算!$Q$145*(EO18-逐级计算!$P$145)*LN(10)/10),0)+LN(1+EXP(-ABS((LN(10^(逐级计算!$Q$145/10)-1)+逐级计算!$Q$145*(EO18-逐级计算!$P$145)*LN(10)/10))))))),"")</f>
        <v>13.8141909237714</v>
      </c>
      <c r="EQ18">
        <f>IF(AND(ISNUMBER(EP18),逐级计算!$X$146&gt;-1),IF(逐级计算!$X$146=0,EP18+逐级计算!$C$146,EP18+逐级计算!$C$146-(10/(逐级计算!$Q$146*LN(10))*(MAX((LN(10^(逐级计算!$Q$146/10)-1)+逐级计算!$Q$146*(EP18-逐级计算!$P$146)*LN(10)/10),0)+LN(1+EXP(-ABS((LN(10^(逐级计算!$Q$146/10)-1)+逐级计算!$Q$146*(EP18-逐级计算!$P$146)*LN(10)/10))))))),"")</f>
        <v>13.8141909237714</v>
      </c>
      <c r="ER18">
        <f>IF(AND(ISNUMBER(EQ18),逐级计算!$X$147&gt;-1),IF(逐级计算!$X$147=0,EQ18+逐级计算!$C$147,EQ18+逐级计算!$C$147-(10/(逐级计算!$Q$147*LN(10))*(MAX((LN(10^(逐级计算!$Q$147/10)-1)+逐级计算!$Q$147*(EQ18-逐级计算!$P$147)*LN(10)/10),0)+LN(1+EXP(-ABS((LN(10^(逐级计算!$Q$147/10)-1)+逐级计算!$Q$147*(EQ18-逐级计算!$P$147)*LN(10)/10))))))),"")</f>
        <v>13.8141909237714</v>
      </c>
      <c r="ES18">
        <f>IF(AND(ISNUMBER(ER18),逐级计算!$X$148&gt;-1),IF(逐级计算!$X$148=0,ER18+逐级计算!$C$148,ER18+逐级计算!$C$148-(10/(逐级计算!$Q$148*LN(10))*(MAX((LN(10^(逐级计算!$Q$148/10)-1)+逐级计算!$Q$148*(ER18-逐级计算!$P$148)*LN(10)/10),0)+LN(1+EXP(-ABS((LN(10^(逐级计算!$Q$148/10)-1)+逐级计算!$Q$148*(ER18-逐级计算!$P$148)*LN(10)/10))))))),"")</f>
        <v>13.8141909237714</v>
      </c>
      <c r="ET18">
        <f>IF(AND(ISNUMBER(ES18),逐级计算!$X$149&gt;-1),IF(逐级计算!$X$149=0,ES18+逐级计算!$C$149,ES18+逐级计算!$C$149-(10/(逐级计算!$Q$149*LN(10))*(MAX((LN(10^(逐级计算!$Q$149/10)-1)+逐级计算!$Q$149*(ES18-逐级计算!$P$149)*LN(10)/10),0)+LN(1+EXP(-ABS((LN(10^(逐级计算!$Q$149/10)-1)+逐级计算!$Q$149*(ES18-逐级计算!$P$149)*LN(10)/10))))))),"")</f>
        <v>13.8141909237714</v>
      </c>
      <c r="EU18">
        <f>IF(AND(ISNUMBER(ET18),逐级计算!$X$150&gt;-1),IF(逐级计算!$X$150=0,ET18+逐级计算!$C$150,ET18+逐级计算!$C$150-(10/(逐级计算!$Q$150*LN(10))*(MAX((LN(10^(逐级计算!$Q$150/10)-1)+逐级计算!$Q$150*(ET18-逐级计算!$P$150)*LN(10)/10),0)+LN(1+EXP(-ABS((LN(10^(逐级计算!$Q$150/10)-1)+逐级计算!$Q$150*(ET18-逐级计算!$P$150)*LN(10)/10))))))),"")</f>
        <v>13.8141909237714</v>
      </c>
      <c r="EV18">
        <f>IF(AND(ISNUMBER(EU18),逐级计算!$X$151&gt;-1),IF(逐级计算!$X$151=0,EU18+逐级计算!$C$151,EU18+逐级计算!$C$151-(10/(逐级计算!$Q$151*LN(10))*(MAX((LN(10^(逐级计算!$Q$151/10)-1)+逐级计算!$Q$151*(EU18-逐级计算!$P$151)*LN(10)/10),0)+LN(1+EXP(-ABS((LN(10^(逐级计算!$Q$151/10)-1)+逐级计算!$Q$151*(EU18-逐级计算!$P$151)*LN(10)/10))))))),"")</f>
        <v>13.8141909237714</v>
      </c>
      <c r="EW18">
        <f>IF(AND(ISNUMBER(EV18),逐级计算!$X$152&gt;-1),IF(逐级计算!$X$152=0,EV18+逐级计算!$C$152,EV18+逐级计算!$C$152-(10/(逐级计算!$Q$152*LN(10))*(MAX((LN(10^(逐级计算!$Q$152/10)-1)+逐级计算!$Q$152*(EV18-逐级计算!$P$152)*LN(10)/10),0)+LN(1+EXP(-ABS((LN(10^(逐级计算!$Q$152/10)-1)+逐级计算!$Q$152*(EV18-逐级计算!$P$152)*LN(10)/10))))))),"")</f>
        <v>13.8141909237714</v>
      </c>
      <c r="EX18">
        <f>IF(AND(ISNUMBER(EW18),逐级计算!$X$153&gt;-1),IF(逐级计算!$X$153=0,EW18+逐级计算!$C$153,EW18+逐级计算!$C$153-(10/(逐级计算!$Q$153*LN(10))*(MAX((LN(10^(逐级计算!$Q$153/10)-1)+逐级计算!$Q$153*(EW18-逐级计算!$P$153)*LN(10)/10),0)+LN(1+EXP(-ABS((LN(10^(逐级计算!$Q$153/10)-1)+逐级计算!$Q$153*(EW18-逐级计算!$P$153)*LN(10)/10))))))),"")</f>
        <v>13.8141909237714</v>
      </c>
      <c r="EY18">
        <f>IF(AND(ISNUMBER(EX18),逐级计算!$X$154&gt;-1),IF(逐级计算!$X$154=0,EX18+逐级计算!$C$154,EX18+逐级计算!$C$154-(10/(逐级计算!$Q$154*LN(10))*(MAX((LN(10^(逐级计算!$Q$154/10)-1)+逐级计算!$Q$154*(EX18-逐级计算!$P$154)*LN(10)/10),0)+LN(1+EXP(-ABS((LN(10^(逐级计算!$Q$154/10)-1)+逐级计算!$Q$154*(EX18-逐级计算!$P$154)*LN(10)/10))))))),"")</f>
        <v>13.8141909237714</v>
      </c>
      <c r="EZ18">
        <f>IF(AND(ISNUMBER(EY18),逐级计算!$X$155&gt;-1),IF(逐级计算!$X$155=0,EY18+逐级计算!$C$155,EY18+逐级计算!$C$155-(10/(逐级计算!$Q$155*LN(10))*(MAX((LN(10^(逐级计算!$Q$155/10)-1)+逐级计算!$Q$155*(EY18-逐级计算!$P$155)*LN(10)/10),0)+LN(1+EXP(-ABS((LN(10^(逐级计算!$Q$155/10)-1)+逐级计算!$Q$155*(EY18-逐级计算!$P$155)*LN(10)/10))))))),"")</f>
        <v>13.8141909237714</v>
      </c>
      <c r="FA18">
        <f>IF(AND(ISNUMBER(EZ18),逐级计算!$X$156&gt;-1),IF(逐级计算!$X$156=0,EZ18+逐级计算!$C$156,EZ18+逐级计算!$C$156-(10/(逐级计算!$Q$156*LN(10))*(MAX((LN(10^(逐级计算!$Q$156/10)-1)+逐级计算!$Q$156*(EZ18-逐级计算!$P$156)*LN(10)/10),0)+LN(1+EXP(-ABS((LN(10^(逐级计算!$Q$156/10)-1)+逐级计算!$Q$156*(EZ18-逐级计算!$P$156)*LN(10)/10))))))),"")</f>
        <v>13.8141909237714</v>
      </c>
      <c r="FB18">
        <f>IF(AND(ISNUMBER(FA18),逐级计算!$X$157&gt;-1),IF(逐级计算!$X$157=0,FA18+逐级计算!$C$157,FA18+逐级计算!$C$157-(10/(逐级计算!$Q$157*LN(10))*(MAX((LN(10^(逐级计算!$Q$157/10)-1)+逐级计算!$Q$157*(FA18-逐级计算!$P$157)*LN(10)/10),0)+LN(1+EXP(-ABS((LN(10^(逐级计算!$Q$157/10)-1)+逐级计算!$Q$157*(FA18-逐级计算!$P$157)*LN(10)/10))))))),"")</f>
        <v>13.8141909237714</v>
      </c>
      <c r="FC18">
        <f>IF(AND(ISNUMBER(FB18),逐级计算!$X$158&gt;-1),IF(逐级计算!$X$158=0,FB18+逐级计算!$C$158,FB18+逐级计算!$C$158-(10/(逐级计算!$Q$158*LN(10))*(MAX((LN(10^(逐级计算!$Q$158/10)-1)+逐级计算!$Q$158*(FB18-逐级计算!$P$158)*LN(10)/10),0)+LN(1+EXP(-ABS((LN(10^(逐级计算!$Q$158/10)-1)+逐级计算!$Q$158*(FB18-逐级计算!$P$158)*LN(10)/10))))))),"")</f>
        <v>13.8141909237714</v>
      </c>
      <c r="FD18">
        <f>IF(AND(ISNUMBER(FC18),逐级计算!$X$159&gt;-1),IF(逐级计算!$X$159=0,FC18+逐级计算!$C$159,FC18+逐级计算!$C$159-(10/(逐级计算!$Q$159*LN(10))*(MAX((LN(10^(逐级计算!$Q$159/10)-1)+逐级计算!$Q$159*(FC18-逐级计算!$P$159)*LN(10)/10),0)+LN(1+EXP(-ABS((LN(10^(逐级计算!$Q$159/10)-1)+逐级计算!$Q$159*(FC18-逐级计算!$P$159)*LN(10)/10))))))),"")</f>
        <v>13.8141909237714</v>
      </c>
      <c r="FE18">
        <f>IF(AND(ISNUMBER(FD18),逐级计算!$X$160&gt;-1),IF(逐级计算!$X$160=0,FD18+逐级计算!$C$160,FD18+逐级计算!$C$160-(10/(逐级计算!$Q$160*LN(10))*(MAX((LN(10^(逐级计算!$Q$160/10)-1)+逐级计算!$Q$160*(FD18-逐级计算!$P$160)*LN(10)/10),0)+LN(1+EXP(-ABS((LN(10^(逐级计算!$Q$160/10)-1)+逐级计算!$Q$160*(FD18-逐级计算!$P$160)*LN(10)/10))))))),"")</f>
        <v>13.8141909237714</v>
      </c>
      <c r="FF18">
        <f>IF(AND(ISNUMBER(FE18),逐级计算!$X$161&gt;-1),IF(逐级计算!$X$161=0,FE18+逐级计算!$C$161,FE18+逐级计算!$C$161-(10/(逐级计算!$Q$161*LN(10))*(MAX((LN(10^(逐级计算!$Q$161/10)-1)+逐级计算!$Q$161*(FE18-逐级计算!$P$161)*LN(10)/10),0)+LN(1+EXP(-ABS((LN(10^(逐级计算!$Q$161/10)-1)+逐级计算!$Q$161*(FE18-逐级计算!$P$161)*LN(10)/10))))))),"")</f>
        <v>13.8141909237714</v>
      </c>
      <c r="FG18">
        <f>IF(AND(ISNUMBER(FF18),逐级计算!$X$162&gt;-1),IF(逐级计算!$X$162=0,FF18+逐级计算!$C$162,FF18+逐级计算!$C$162-(10/(逐级计算!$Q$162*LN(10))*(MAX((LN(10^(逐级计算!$Q$162/10)-1)+逐级计算!$Q$162*(FF18-逐级计算!$P$162)*LN(10)/10),0)+LN(1+EXP(-ABS((LN(10^(逐级计算!$Q$162/10)-1)+逐级计算!$Q$162*(FF18-逐级计算!$P$162)*LN(10)/10))))))),"")</f>
        <v>13.8141909237714</v>
      </c>
      <c r="FH18">
        <f>IF(AND(ISNUMBER(FG18),逐级计算!$X$163&gt;-1),IF(逐级计算!$X$163=0,FG18+逐级计算!$C$163,FG18+逐级计算!$C$163-(10/(逐级计算!$Q$163*LN(10))*(MAX((LN(10^(逐级计算!$Q$163/10)-1)+逐级计算!$Q$163*(FG18-逐级计算!$P$163)*LN(10)/10),0)+LN(1+EXP(-ABS((LN(10^(逐级计算!$Q$163/10)-1)+逐级计算!$Q$163*(FG18-逐级计算!$P$163)*LN(10)/10))))))),"")</f>
        <v>13.8141909237714</v>
      </c>
      <c r="FI18">
        <f>IF(AND(ISNUMBER(FH18),逐级计算!$X$164&gt;-1),IF(逐级计算!$X$164=0,FH18+逐级计算!$C$164,FH18+逐级计算!$C$164-(10/(逐级计算!$Q$164*LN(10))*(MAX((LN(10^(逐级计算!$Q$164/10)-1)+逐级计算!$Q$164*(FH18-逐级计算!$P$164)*LN(10)/10),0)+LN(1+EXP(-ABS((LN(10^(逐级计算!$Q$164/10)-1)+逐级计算!$Q$164*(FH18-逐级计算!$P$164)*LN(10)/10))))))),"")</f>
        <v>13.8141909237714</v>
      </c>
      <c r="FJ18">
        <f>IF(AND(ISNUMBER(FI18),逐级计算!$X$165&gt;-1),IF(逐级计算!$X$165=0,FI18+逐级计算!$C$165,FI18+逐级计算!$C$165-(10/(逐级计算!$Q$165*LN(10))*(MAX((LN(10^(逐级计算!$Q$165/10)-1)+逐级计算!$Q$165*(FI18-逐级计算!$P$165)*LN(10)/10),0)+LN(1+EXP(-ABS((LN(10^(逐级计算!$Q$165/10)-1)+逐级计算!$Q$165*(FI18-逐级计算!$P$165)*LN(10)/10))))))),"")</f>
        <v>13.8141909237714</v>
      </c>
      <c r="FK18">
        <f>IF(AND(ISNUMBER(FJ18),逐级计算!$X$166&gt;-1),IF(逐级计算!$X$166=0,FJ18+逐级计算!$C$166,FJ18+逐级计算!$C$166-(10/(逐级计算!$Q$166*LN(10))*(MAX((LN(10^(逐级计算!$Q$166/10)-1)+逐级计算!$Q$166*(FJ18-逐级计算!$P$166)*LN(10)/10),0)+LN(1+EXP(-ABS((LN(10^(逐级计算!$Q$166/10)-1)+逐级计算!$Q$166*(FJ18-逐级计算!$P$166)*LN(10)/10))))))),"")</f>
        <v>13.8141909237714</v>
      </c>
      <c r="FL18">
        <f>IF(AND(ISNUMBER(FK18),逐级计算!$X$167&gt;-1),IF(逐级计算!$X$167=0,FK18+逐级计算!$C$167,FK18+逐级计算!$C$167-(10/(逐级计算!$Q$167*LN(10))*(MAX((LN(10^(逐级计算!$Q$167/10)-1)+逐级计算!$Q$167*(FK18-逐级计算!$P$167)*LN(10)/10),0)+LN(1+EXP(-ABS((LN(10^(逐级计算!$Q$167/10)-1)+逐级计算!$Q$167*(FK18-逐级计算!$P$167)*LN(10)/10))))))),"")</f>
        <v>13.8141909237714</v>
      </c>
      <c r="FM18">
        <f>IF(AND(ISNUMBER(FL18),逐级计算!$X$168&gt;-1),IF(逐级计算!$X$168=0,FL18+逐级计算!$C$168,FL18+逐级计算!$C$168-(10/(逐级计算!$Q$168*LN(10))*(MAX((LN(10^(逐级计算!$Q$168/10)-1)+逐级计算!$Q$168*(FL18-逐级计算!$P$168)*LN(10)/10),0)+LN(1+EXP(-ABS((LN(10^(逐级计算!$Q$168/10)-1)+逐级计算!$Q$168*(FL18-逐级计算!$P$168)*LN(10)/10))))))),"")</f>
        <v>13.8141909237714</v>
      </c>
      <c r="FN18">
        <f>IF(AND(ISNUMBER(FM18),逐级计算!$X$169&gt;-1),IF(逐级计算!$X$169=0,FM18+逐级计算!$C$169,FM18+逐级计算!$C$169-(10/(逐级计算!$Q$169*LN(10))*(MAX((LN(10^(逐级计算!$Q$169/10)-1)+逐级计算!$Q$169*(FM18-逐级计算!$P$169)*LN(10)/10),0)+LN(1+EXP(-ABS((LN(10^(逐级计算!$Q$169/10)-1)+逐级计算!$Q$169*(FM18-逐级计算!$P$169)*LN(10)/10))))))),"")</f>
        <v>13.8141909237714</v>
      </c>
      <c r="FO18">
        <f>IF(AND(ISNUMBER(FN18),逐级计算!$X$170&gt;-1),IF(逐级计算!$X$170=0,FN18+逐级计算!$C$170,FN18+逐级计算!$C$170-(10/(逐级计算!$Q$170*LN(10))*(MAX((LN(10^(逐级计算!$Q$170/10)-1)+逐级计算!$Q$170*(FN18-逐级计算!$P$170)*LN(10)/10),0)+LN(1+EXP(-ABS((LN(10^(逐级计算!$Q$170/10)-1)+逐级计算!$Q$170*(FN18-逐级计算!$P$170)*LN(10)/10))))))),"")</f>
        <v>13.8141909237714</v>
      </c>
      <c r="FP18">
        <f>IF(AND(ISNUMBER(FO18),逐级计算!$X$171&gt;-1),IF(逐级计算!$X$171=0,FO18+逐级计算!$C$171,FO18+逐级计算!$C$171-(10/(逐级计算!$Q$171*LN(10))*(MAX((LN(10^(逐级计算!$Q$171/10)-1)+逐级计算!$Q$171*(FO18-逐级计算!$P$171)*LN(10)/10),0)+LN(1+EXP(-ABS((LN(10^(逐级计算!$Q$171/10)-1)+逐级计算!$Q$171*(FO18-逐级计算!$P$171)*LN(10)/10))))))),"")</f>
        <v>13.8141909237714</v>
      </c>
      <c r="FQ18">
        <f>IF(AND(ISNUMBER(FP18),逐级计算!$X$172&gt;-1),IF(逐级计算!$X$172=0,FP18+逐级计算!$C$172,FP18+逐级计算!$C$172-(10/(逐级计算!$Q$172*LN(10))*(MAX((LN(10^(逐级计算!$Q$172/10)-1)+逐级计算!$Q$172*(FP18-逐级计算!$P$172)*LN(10)/10),0)+LN(1+EXP(-ABS((LN(10^(逐级计算!$Q$172/10)-1)+逐级计算!$Q$172*(FP18-逐级计算!$P$172)*LN(10)/10))))))),"")</f>
        <v>13.8141909237714</v>
      </c>
      <c r="FR18">
        <f>IF(AND(ISNUMBER(FQ18),逐级计算!$X$173&gt;-1),IF(逐级计算!$X$173=0,FQ18+逐级计算!$C$173,FQ18+逐级计算!$C$173-(10/(逐级计算!$Q$173*LN(10))*(MAX((LN(10^(逐级计算!$Q$173/10)-1)+逐级计算!$Q$173*(FQ18-逐级计算!$P$173)*LN(10)/10),0)+LN(1+EXP(-ABS((LN(10^(逐级计算!$Q$173/10)-1)+逐级计算!$Q$173*(FQ18-逐级计算!$P$173)*LN(10)/10))))))),"")</f>
        <v>13.8141909237714</v>
      </c>
      <c r="FS18">
        <f>IF(AND(ISNUMBER(FR18),逐级计算!$X$174&gt;-1),IF(逐级计算!$X$174=0,FR18+逐级计算!$C$174,FR18+逐级计算!$C$174-(10/(逐级计算!$Q$174*LN(10))*(MAX((LN(10^(逐级计算!$Q$174/10)-1)+逐级计算!$Q$174*(FR18-逐级计算!$P$174)*LN(10)/10),0)+LN(1+EXP(-ABS((LN(10^(逐级计算!$Q$174/10)-1)+逐级计算!$Q$174*(FR18-逐级计算!$P$174)*LN(10)/10))))))),"")</f>
        <v>13.8141909237714</v>
      </c>
      <c r="FT18">
        <f>IF(AND(ISNUMBER(FS18),逐级计算!$X$175&gt;-1),IF(逐级计算!$X$175=0,FS18+逐级计算!$C$175,FS18+逐级计算!$C$175-(10/(逐级计算!$Q$175*LN(10))*(MAX((LN(10^(逐级计算!$Q$175/10)-1)+逐级计算!$Q$175*(FS18-逐级计算!$P$175)*LN(10)/10),0)+LN(1+EXP(-ABS((LN(10^(逐级计算!$Q$175/10)-1)+逐级计算!$Q$175*(FS18-逐级计算!$P$175)*LN(10)/10))))))),"")</f>
        <v>13.8141909237714</v>
      </c>
      <c r="FU18">
        <f>IF(AND(ISNUMBER(FT18),逐级计算!$X$176&gt;-1),IF(逐级计算!$X$176=0,FT18+逐级计算!$C$176,FT18+逐级计算!$C$176-(10/(逐级计算!$Q$176*LN(10))*(MAX((LN(10^(逐级计算!$Q$176/10)-1)+逐级计算!$Q$176*(FT18-逐级计算!$P$176)*LN(10)/10),0)+LN(1+EXP(-ABS((LN(10^(逐级计算!$Q$176/10)-1)+逐级计算!$Q$176*(FT18-逐级计算!$P$176)*LN(10)/10))))))),"")</f>
        <v>13.8141909237714</v>
      </c>
      <c r="FV18">
        <f>IF(AND(ISNUMBER(FU18),逐级计算!$X$177&gt;-1),IF(逐级计算!$X$177=0,FU18+逐级计算!$C$177,FU18+逐级计算!$C$177-(10/(逐级计算!$Q$177*LN(10))*(MAX((LN(10^(逐级计算!$Q$177/10)-1)+逐级计算!$Q$177*(FU18-逐级计算!$P$177)*LN(10)/10),0)+LN(1+EXP(-ABS((LN(10^(逐级计算!$Q$177/10)-1)+逐级计算!$Q$177*(FU18-逐级计算!$P$177)*LN(10)/10))))))),"")</f>
        <v>13.8141909237714</v>
      </c>
      <c r="FW18">
        <f>IF(AND(ISNUMBER(FV18),逐级计算!$X$178&gt;-1),IF(逐级计算!$X$178=0,FV18+逐级计算!$C$178,FV18+逐级计算!$C$178-(10/(逐级计算!$Q$178*LN(10))*(MAX((LN(10^(逐级计算!$Q$178/10)-1)+逐级计算!$Q$178*(FV18-逐级计算!$P$178)*LN(10)/10),0)+LN(1+EXP(-ABS((LN(10^(逐级计算!$Q$178/10)-1)+逐级计算!$Q$178*(FV18-逐级计算!$P$178)*LN(10)/10))))))),"")</f>
        <v>13.8141909237714</v>
      </c>
      <c r="FX18">
        <f>IF(AND(ISNUMBER(FW18),逐级计算!$X$179&gt;-1),IF(逐级计算!$X$179=0,FW18+逐级计算!$C$179,FW18+逐级计算!$C$179-(10/(逐级计算!$Q$179*LN(10))*(MAX((LN(10^(逐级计算!$Q$179/10)-1)+逐级计算!$Q$179*(FW18-逐级计算!$P$179)*LN(10)/10),0)+LN(1+EXP(-ABS((LN(10^(逐级计算!$Q$179/10)-1)+逐级计算!$Q$179*(FW18-逐级计算!$P$179)*LN(10)/10))))))),"")</f>
        <v>13.8141909237714</v>
      </c>
      <c r="FY18">
        <f>IF(AND(ISNUMBER(FX18),逐级计算!$X$180&gt;-1),IF(逐级计算!$X$180=0,FX18+逐级计算!$C$180,FX18+逐级计算!$C$180-(10/(逐级计算!$Q$180*LN(10))*(MAX((LN(10^(逐级计算!$Q$180/10)-1)+逐级计算!$Q$180*(FX18-逐级计算!$P$180)*LN(10)/10),0)+LN(1+EXP(-ABS((LN(10^(逐级计算!$Q$180/10)-1)+逐级计算!$Q$180*(FX18-逐级计算!$P$180)*LN(10)/10))))))),"")</f>
        <v>13.8141909237714</v>
      </c>
      <c r="FZ18">
        <f>IF(AND(ISNUMBER(FY18),逐级计算!$X$181&gt;-1),IF(逐级计算!$X$181=0,FY18+逐级计算!$C$181,FY18+逐级计算!$C$181-(10/(逐级计算!$Q$181*LN(10))*(MAX((LN(10^(逐级计算!$Q$181/10)-1)+逐级计算!$Q$181*(FY18-逐级计算!$P$181)*LN(10)/10),0)+LN(1+EXP(-ABS((LN(10^(逐级计算!$Q$181/10)-1)+逐级计算!$Q$181*(FY18-逐级计算!$P$181)*LN(10)/10))))))),"")</f>
        <v>13.8141909237714</v>
      </c>
      <c r="GA18">
        <f>IF(AND(ISNUMBER(FZ18),逐级计算!$X$182&gt;-1),IF(逐级计算!$X$182=0,FZ18+逐级计算!$C$182,FZ18+逐级计算!$C$182-(10/(逐级计算!$Q$182*LN(10))*(MAX((LN(10^(逐级计算!$Q$182/10)-1)+逐级计算!$Q$182*(FZ18-逐级计算!$P$182)*LN(10)/10),0)+LN(1+EXP(-ABS((LN(10^(逐级计算!$Q$182/10)-1)+逐级计算!$Q$182*(FZ18-逐级计算!$P$182)*LN(10)/10))))))),"")</f>
        <v>13.8141909237714</v>
      </c>
      <c r="GB18">
        <f>IF(AND(ISNUMBER(GA18),逐级计算!$X$183&gt;-1),IF(逐级计算!$X$183=0,GA18+逐级计算!$C$183,GA18+逐级计算!$C$183-(10/(逐级计算!$Q$183*LN(10))*(MAX((LN(10^(逐级计算!$Q$183/10)-1)+逐级计算!$Q$183*(GA18-逐级计算!$P$183)*LN(10)/10),0)+LN(1+EXP(-ABS((LN(10^(逐级计算!$Q$183/10)-1)+逐级计算!$Q$183*(GA18-逐级计算!$P$183)*LN(10)/10))))))),"")</f>
        <v>13.8141909237714</v>
      </c>
      <c r="GC18">
        <f>IF(AND(ISNUMBER(GB18),逐级计算!$X$184&gt;-1),IF(逐级计算!$X$184=0,GB18+逐级计算!$C$184,GB18+逐级计算!$C$184-(10/(逐级计算!$Q$184*LN(10))*(MAX((LN(10^(逐级计算!$Q$184/10)-1)+逐级计算!$Q$184*(GB18-逐级计算!$P$184)*LN(10)/10),0)+LN(1+EXP(-ABS((LN(10^(逐级计算!$Q$184/10)-1)+逐级计算!$Q$184*(GB18-逐级计算!$P$184)*LN(10)/10))))))),"")</f>
        <v>13.8141909237714</v>
      </c>
      <c r="GD18">
        <f>IF(AND(ISNUMBER(GC18),逐级计算!$X$185&gt;-1),IF(逐级计算!$X$185=0,GC18+逐级计算!$C$185,GC18+逐级计算!$C$185-(10/(逐级计算!$Q$185*LN(10))*(MAX((LN(10^(逐级计算!$Q$185/10)-1)+逐级计算!$Q$185*(GC18-逐级计算!$P$185)*LN(10)/10),0)+LN(1+EXP(-ABS((LN(10^(逐级计算!$Q$185/10)-1)+逐级计算!$Q$185*(GC18-逐级计算!$P$185)*LN(10)/10))))))),"")</f>
        <v>13.8141909237714</v>
      </c>
      <c r="GE18">
        <f>IF(AND(ISNUMBER(GD18),逐级计算!$X$186&gt;-1),IF(逐级计算!$X$186=0,GD18+逐级计算!$C$186,GD18+逐级计算!$C$186-(10/(逐级计算!$Q$186*LN(10))*(MAX((LN(10^(逐级计算!$Q$186/10)-1)+逐级计算!$Q$186*(GD18-逐级计算!$P$186)*LN(10)/10),0)+LN(1+EXP(-ABS((LN(10^(逐级计算!$Q$186/10)-1)+逐级计算!$Q$186*(GD18-逐级计算!$P$186)*LN(10)/10))))))),"")</f>
        <v>13.8141909237714</v>
      </c>
      <c r="GF18">
        <f>IF(AND(ISNUMBER(GE18),逐级计算!$X$187&gt;-1),IF(逐级计算!$X$187=0,GE18+逐级计算!$C$187,GE18+逐级计算!$C$187-(10/(逐级计算!$Q$187*LN(10))*(MAX((LN(10^(逐级计算!$Q$187/10)-1)+逐级计算!$Q$187*(GE18-逐级计算!$P$187)*LN(10)/10),0)+LN(1+EXP(-ABS((LN(10^(逐级计算!$Q$187/10)-1)+逐级计算!$Q$187*(GE18-逐级计算!$P$187)*LN(10)/10))))))),"")</f>
        <v>13.8141909237714</v>
      </c>
      <c r="GG18">
        <f>IF(AND(ISNUMBER(GF18),逐级计算!$X$188&gt;-1),IF(逐级计算!$X$188=0,GF18+逐级计算!$C$188,GF18+逐级计算!$C$188-(10/(逐级计算!$Q$188*LN(10))*(MAX((LN(10^(逐级计算!$Q$188/10)-1)+逐级计算!$Q$188*(GF18-逐级计算!$P$188)*LN(10)/10),0)+LN(1+EXP(-ABS((LN(10^(逐级计算!$Q$188/10)-1)+逐级计算!$Q$188*(GF18-逐级计算!$P$188)*LN(10)/10))))))),"")</f>
        <v>13.8141909237714</v>
      </c>
      <c r="GH18">
        <f>IF(AND(ISNUMBER(GG18),逐级计算!$X$189&gt;-1),IF(逐级计算!$X$189=0,GG18+逐级计算!$C$189,GG18+逐级计算!$C$189-(10/(逐级计算!$Q$189*LN(10))*(MAX((LN(10^(逐级计算!$Q$189/10)-1)+逐级计算!$Q$189*(GG18-逐级计算!$P$189)*LN(10)/10),0)+LN(1+EXP(-ABS((LN(10^(逐级计算!$Q$189/10)-1)+逐级计算!$Q$189*(GG18-逐级计算!$P$189)*LN(10)/10))))))),"")</f>
        <v>13.8141909237714</v>
      </c>
      <c r="GI18">
        <f>IF(AND(ISNUMBER(GH18),逐级计算!$X$190&gt;-1),IF(逐级计算!$X$190=0,GH18+逐级计算!$C$190,GH18+逐级计算!$C$190-(10/(逐级计算!$Q$190*LN(10))*(MAX((LN(10^(逐级计算!$Q$190/10)-1)+逐级计算!$Q$190*(GH18-逐级计算!$P$190)*LN(10)/10),0)+LN(1+EXP(-ABS((LN(10^(逐级计算!$Q$190/10)-1)+逐级计算!$Q$190*(GH18-逐级计算!$P$190)*LN(10)/10))))))),"")</f>
        <v>13.8141909237714</v>
      </c>
      <c r="GJ18">
        <f>IF(AND(ISNUMBER(GI18),逐级计算!$X$191&gt;-1),IF(逐级计算!$X$191=0,GI18+逐级计算!$C$191,GI18+逐级计算!$C$191-(10/(逐级计算!$Q$191*LN(10))*(MAX((LN(10^(逐级计算!$Q$191/10)-1)+逐级计算!$Q$191*(GI18-逐级计算!$P$191)*LN(10)/10),0)+LN(1+EXP(-ABS((LN(10^(逐级计算!$Q$191/10)-1)+逐级计算!$Q$191*(GI18-逐级计算!$P$191)*LN(10)/10))))))),"")</f>
        <v>13.8141909237714</v>
      </c>
      <c r="GK18">
        <f>IF(AND(ISNUMBER(GJ18),逐级计算!$X$192&gt;-1),IF(逐级计算!$X$192=0,GJ18+逐级计算!$C$192,GJ18+逐级计算!$C$192-(10/(逐级计算!$Q$192*LN(10))*(MAX((LN(10^(逐级计算!$Q$192/10)-1)+逐级计算!$Q$192*(GJ18-逐级计算!$P$192)*LN(10)/10),0)+LN(1+EXP(-ABS((LN(10^(逐级计算!$Q$192/10)-1)+逐级计算!$Q$192*(GJ18-逐级计算!$P$192)*LN(10)/10))))))),"")</f>
        <v>13.8141909237714</v>
      </c>
      <c r="GL18">
        <f>IF(AND(ISNUMBER(GK18),逐级计算!$X$193&gt;-1),IF(逐级计算!$X$193=0,GK18+逐级计算!$C$193,GK18+逐级计算!$C$193-(10/(逐级计算!$Q$193*LN(10))*(MAX((LN(10^(逐级计算!$Q$193/10)-1)+逐级计算!$Q$193*(GK18-逐级计算!$P$193)*LN(10)/10),0)+LN(1+EXP(-ABS((LN(10^(逐级计算!$Q$193/10)-1)+逐级计算!$Q$193*(GK18-逐级计算!$P$193)*LN(10)/10))))))),"")</f>
        <v>13.8141909237714</v>
      </c>
      <c r="GM18">
        <f>IF(AND(ISNUMBER(GL18),逐级计算!$X$194&gt;-1),IF(逐级计算!$X$194=0,GL18+逐级计算!$C$194,GL18+逐级计算!$C$194-(10/(逐级计算!$Q$194*LN(10))*(MAX((LN(10^(逐级计算!$Q$194/10)-1)+逐级计算!$Q$194*(GL18-逐级计算!$P$194)*LN(10)/10),0)+LN(1+EXP(-ABS((LN(10^(逐级计算!$Q$194/10)-1)+逐级计算!$Q$194*(GL18-逐级计算!$P$194)*LN(10)/10))))))),"")</f>
        <v>13.8141909237714</v>
      </c>
      <c r="GN18">
        <f>IF(AND(ISNUMBER(GM18),逐级计算!$X$195&gt;-1),IF(逐级计算!$X$195=0,GM18+逐级计算!$C$195,GM18+逐级计算!$C$195-(10/(逐级计算!$Q$195*LN(10))*(MAX((LN(10^(逐级计算!$Q$195/10)-1)+逐级计算!$Q$195*(GM18-逐级计算!$P$195)*LN(10)/10),0)+LN(1+EXP(-ABS((LN(10^(逐级计算!$Q$195/10)-1)+逐级计算!$Q$195*(GM18-逐级计算!$P$195)*LN(10)/10))))))),"")</f>
        <v>13.8141909237714</v>
      </c>
      <c r="GO18">
        <f>IF(AND(ISNUMBER(GN18),逐级计算!$X$196&gt;-1),IF(逐级计算!$X$196=0,GN18+逐级计算!$C$196,GN18+逐级计算!$C$196-(10/(逐级计算!$Q$196*LN(10))*(MAX((LN(10^(逐级计算!$Q$196/10)-1)+逐级计算!$Q$196*(GN18-逐级计算!$P$196)*LN(10)/10),0)+LN(1+EXP(-ABS((LN(10^(逐级计算!$Q$196/10)-1)+逐级计算!$Q$196*(GN18-逐级计算!$P$196)*LN(10)/10))))))),"")</f>
        <v>13.8141909237714</v>
      </c>
      <c r="GP18">
        <f>IF(AND(ISNUMBER(GO18),逐级计算!$X$197&gt;-1),IF(逐级计算!$X$197=0,GO18+逐级计算!$C$197,GO18+逐级计算!$C$197-(10/(逐级计算!$Q$197*LN(10))*(MAX((LN(10^(逐级计算!$Q$197/10)-1)+逐级计算!$Q$197*(GO18-逐级计算!$P$197)*LN(10)/10),0)+LN(1+EXP(-ABS((LN(10^(逐级计算!$Q$197/10)-1)+逐级计算!$Q$197*(GO18-逐级计算!$P$197)*LN(10)/10))))))),"")</f>
        <v>13.8141909237714</v>
      </c>
      <c r="GQ18">
        <f>IF(AND(ISNUMBER(GP18),逐级计算!$X$198&gt;-1),IF(逐级计算!$X$198=0,GP18+逐级计算!$C$198,GP18+逐级计算!$C$198-(10/(逐级计算!$Q$198*LN(10))*(MAX((LN(10^(逐级计算!$Q$198/10)-1)+逐级计算!$Q$198*(GP18-逐级计算!$P$198)*LN(10)/10),0)+LN(1+EXP(-ABS((LN(10^(逐级计算!$Q$198/10)-1)+逐级计算!$Q$198*(GP18-逐级计算!$P$198)*LN(10)/10))))))),"")</f>
        <v>13.8141909237714</v>
      </c>
      <c r="GR18">
        <f>IF(AND(ISNUMBER(GQ18),逐级计算!$X$199&gt;-1),IF(逐级计算!$X$199=0,GQ18+逐级计算!$C$199,GQ18+逐级计算!$C$199-(10/(逐级计算!$Q$199*LN(10))*(MAX((LN(10^(逐级计算!$Q$199/10)-1)+逐级计算!$Q$199*(GQ18-逐级计算!$P$199)*LN(10)/10),0)+LN(1+EXP(-ABS((LN(10^(逐级计算!$Q$199/10)-1)+逐级计算!$Q$199*(GQ18-逐级计算!$P$199)*LN(10)/10))))))),"")</f>
        <v>13.8141909237714</v>
      </c>
      <c r="GS18">
        <f>IF(AND(ISNUMBER(GR18),逐级计算!$X$200&gt;-1),IF(逐级计算!$X$200=0,GR18+逐级计算!$C$200,GR18+逐级计算!$C$200-(10/(逐级计算!$Q$200*LN(10))*(MAX((LN(10^(逐级计算!$Q$200/10)-1)+逐级计算!$Q$200*(GR18-逐级计算!$P$200)*LN(10)/10),0)+LN(1+EXP(-ABS((LN(10^(逐级计算!$Q$200/10)-1)+逐级计算!$Q$200*(GR18-逐级计算!$P$200)*LN(10)/10))))))),"")</f>
        <v>13.8141909237714</v>
      </c>
      <c r="GT18">
        <f>IF(AND(ISNUMBER(GS18),逐级计算!$X$201&gt;-1),IF(逐级计算!$X$201=0,GS18+逐级计算!$C$201,GS18+逐级计算!$C$201-(10/(逐级计算!$Q$201*LN(10))*(MAX((LN(10^(逐级计算!$Q$201/10)-1)+逐级计算!$Q$201*(GS18-逐级计算!$P$201)*LN(10)/10),0)+LN(1+EXP(-ABS((LN(10^(逐级计算!$Q$201/10)-1)+逐级计算!$Q$201*(GS18-逐级计算!$P$201)*LN(10)/10))))))),"")</f>
        <v>13.8141909237714</v>
      </c>
      <c r="GU18">
        <f>IF(AND(ISNUMBER(GT18),逐级计算!$X$202&gt;-1),IF(逐级计算!$X$202=0,GT18+逐级计算!$C$202,GT18+逐级计算!$C$202-(10/(逐级计算!$Q$202*LN(10))*(MAX((LN(10^(逐级计算!$Q$202/10)-1)+逐级计算!$Q$202*(GT18-逐级计算!$P$202)*LN(10)/10),0)+LN(1+EXP(-ABS((LN(10^(逐级计算!$Q$202/10)-1)+逐级计算!$Q$202*(GT18-逐级计算!$P$202)*LN(10)/10))))))),"")</f>
        <v>13.8141909237714</v>
      </c>
      <c r="GV18">
        <f>IF(AND(ISNUMBER(GU18),逐级计算!$X$203&gt;-1),IF(逐级计算!$X$203=0,GU18+逐级计算!$C$203,GU18+逐级计算!$C$203-(10/(逐级计算!$Q$203*LN(10))*(MAX((LN(10^(逐级计算!$Q$203/10)-1)+逐级计算!$Q$203*(GU18-逐级计算!$P$203)*LN(10)/10),0)+LN(1+EXP(-ABS((LN(10^(逐级计算!$Q$203/10)-1)+逐级计算!$Q$203*(GU18-逐级计算!$P$203)*LN(10)/10))))))),"")</f>
        <v>13.8141909237714</v>
      </c>
      <c r="GW18">
        <f t="shared" si="2"/>
        <v>-5.1220703125</v>
      </c>
    </row>
    <row r="19" spans="1:205">
      <c r="A19">
        <v>12</v>
      </c>
      <c r="B19">
        <f t="shared" si="1"/>
        <v>-5.224609375</v>
      </c>
      <c r="C19">
        <f t="shared" si="0"/>
        <v>-5.198974609375</v>
      </c>
      <c r="D19">
        <f>IF(AND(ISNUMBER(C19),ISNUMBER(逐级计算!$E$203),ISNUMBER(GV19)),C19+逐级计算!$E$203-GV19,"")</f>
        <v>1.00295163694202</v>
      </c>
      <c r="E19">
        <f>IF(AND(ISNUMBER(C19),逐级计算!$X$4&gt;-1),IF(逐级计算!$X$4=0,C19+逐级计算!$C$4,C19+逐级计算!$C$4-(10/(逐级计算!$Q$4*LN(10))*(MAX((LN(10^(逐级计算!$Q$4/10)-1)+逐级计算!$Q$4*(C19-逐级计算!$P$4)*LN(10)/10),0)+LN(1+EXP(-ABS((LN(10^(逐级计算!$Q$4/10)-1)+逐级计算!$Q$4*(C19-逐级计算!$P$4)*LN(10)/10))))))),"")</f>
        <v>4.68812460445905</v>
      </c>
      <c r="F19">
        <f>IF(AND(ISNUMBER(E19),逐级计算!$X$5&gt;-1),IF(逐级计算!$X$5=0,E19+逐级计算!$C$5,E19+逐级计算!$C$5-(10/(逐级计算!$Q$5*LN(10))*(MAX((LN(10^(逐级计算!$Q$5/10)-1)+逐级计算!$Q$5*(E19-逐级计算!$P$5)*LN(10)/10),0)+LN(1+EXP(-ABS((LN(10^(逐级计算!$Q$5/10)-1)+逐级计算!$Q$5*(E19-逐级计算!$P$5)*LN(10)/10))))))),"")</f>
        <v>13.798073753683</v>
      </c>
      <c r="G19">
        <f>IF(AND(ISNUMBER(F19),逐级计算!$X$6&gt;-1),IF(逐级计算!$X$6=0,F19+逐级计算!$C$6,F19+逐级计算!$C$6-(10/(逐级计算!$Q$6*LN(10))*(MAX((LN(10^(逐级计算!$Q$6/10)-1)+逐级计算!$Q$6*(F19-逐级计算!$P$6)*LN(10)/10),0)+LN(1+EXP(-ABS((LN(10^(逐级计算!$Q$6/10)-1)+逐级计算!$Q$6*(F19-逐级计算!$P$6)*LN(10)/10))))))),"")</f>
        <v>13.798073753683</v>
      </c>
      <c r="H19">
        <f>IF(AND(ISNUMBER(G19),逐级计算!$X$7&gt;-1),IF(逐级计算!$X$7=0,G19+逐级计算!$C$7,G19+逐级计算!$C$7-(10/(逐级计算!$Q$7*LN(10))*(MAX((LN(10^(逐级计算!$Q$7/10)-1)+逐级计算!$Q$7*(G19-逐级计算!$P$7)*LN(10)/10),0)+LN(1+EXP(-ABS((LN(10^(逐级计算!$Q$7/10)-1)+逐级计算!$Q$7*(G19-逐级计算!$P$7)*LN(10)/10))))))),"")</f>
        <v>13.798073753683</v>
      </c>
      <c r="I19">
        <f>IF(AND(ISNUMBER(H19),逐级计算!$X$8&gt;-1),IF(逐级计算!$X$8=0,H19+逐级计算!$C$8,H19+逐级计算!$C$8-(10/(逐级计算!$Q$8*LN(10))*(MAX((LN(10^(逐级计算!$Q$8/10)-1)+逐级计算!$Q$8*(H19-逐级计算!$P$8)*LN(10)/10),0)+LN(1+EXP(-ABS((LN(10^(逐级计算!$Q$8/10)-1)+逐级计算!$Q$8*(H19-逐级计算!$P$8)*LN(10)/10))))))),"")</f>
        <v>13.798073753683</v>
      </c>
      <c r="J19">
        <f>IF(AND(ISNUMBER(I19),逐级计算!$X$9&gt;-1),IF(逐级计算!$X$9=0,I19+逐级计算!$C$9,I19+逐级计算!$C$9-(10/(逐级计算!$Q$9*LN(10))*(MAX((LN(10^(逐级计算!$Q$9/10)-1)+逐级计算!$Q$9*(I19-逐级计算!$P$9)*LN(10)/10),0)+LN(1+EXP(-ABS((LN(10^(逐级计算!$Q$9/10)-1)+逐级计算!$Q$9*(I19-逐级计算!$P$9)*LN(10)/10))))))),"")</f>
        <v>13.798073753683</v>
      </c>
      <c r="K19">
        <f>IF(AND(ISNUMBER(J19),逐级计算!$X$10&gt;-1),IF(逐级计算!$X$10=0,J19+逐级计算!$C$10,J19+逐级计算!$C$10-(10/(逐级计算!$Q$10*LN(10))*(MAX((LN(10^(逐级计算!$Q$10/10)-1)+逐级计算!$Q$10*(J19-逐级计算!$P$10)*LN(10)/10),0)+LN(1+EXP(-ABS((LN(10^(逐级计算!$Q$10/10)-1)+逐级计算!$Q$10*(J19-逐级计算!$P$10)*LN(10)/10))))))),"")</f>
        <v>13.798073753683</v>
      </c>
      <c r="L19">
        <f>IF(AND(ISNUMBER(K19),逐级计算!$X$11&gt;-1),IF(逐级计算!$X$11=0,K19+逐级计算!$C$11,K19+逐级计算!$C$11-(10/(逐级计算!$Q$11*LN(10))*(MAX((LN(10^(逐级计算!$Q$11/10)-1)+逐级计算!$Q$11*(K19-逐级计算!$P$11)*LN(10)/10),0)+LN(1+EXP(-ABS((LN(10^(逐级计算!$Q$11/10)-1)+逐级计算!$Q$11*(K19-逐级计算!$P$11)*LN(10)/10))))))),"")</f>
        <v>13.798073753683</v>
      </c>
      <c r="M19">
        <f>IF(AND(ISNUMBER(L19),逐级计算!$X$12&gt;-1),IF(逐级计算!$X$12=0,L19+逐级计算!$C$12,L19+逐级计算!$C$12-(10/(逐级计算!$Q$12*LN(10))*(MAX((LN(10^(逐级计算!$Q$12/10)-1)+逐级计算!$Q$12*(L19-逐级计算!$P$12)*LN(10)/10),0)+LN(1+EXP(-ABS((LN(10^(逐级计算!$Q$12/10)-1)+逐级计算!$Q$12*(L19-逐级计算!$P$12)*LN(10)/10))))))),"")</f>
        <v>13.798073753683</v>
      </c>
      <c r="N19">
        <f>IF(AND(ISNUMBER(M19),逐级计算!$X$13&gt;-1),IF(逐级计算!$X$13=0,M19+逐级计算!$C$13,M19+逐级计算!$C$13-(10/(逐级计算!$Q$13*LN(10))*(MAX((LN(10^(逐级计算!$Q$13/10)-1)+逐级计算!$Q$13*(M19-逐级计算!$P$13)*LN(10)/10),0)+LN(1+EXP(-ABS((LN(10^(逐级计算!$Q$13/10)-1)+逐级计算!$Q$13*(M19-逐级计算!$P$13)*LN(10)/10))))))),"")</f>
        <v>13.798073753683</v>
      </c>
      <c r="O19">
        <f>IF(AND(ISNUMBER(N19),逐级计算!$X$14&gt;-1),IF(逐级计算!$X$14=0,N19+逐级计算!$C$14,N19+逐级计算!$C$14-(10/(逐级计算!$Q$14*LN(10))*(MAX((LN(10^(逐级计算!$Q$14/10)-1)+逐级计算!$Q$14*(N19-逐级计算!$P$14)*LN(10)/10),0)+LN(1+EXP(-ABS((LN(10^(逐级计算!$Q$14/10)-1)+逐级计算!$Q$14*(N19-逐级计算!$P$14)*LN(10)/10))))))),"")</f>
        <v>13.798073753683</v>
      </c>
      <c r="P19">
        <f>IF(AND(ISNUMBER(O19),逐级计算!$X$15&gt;-1),IF(逐级计算!$X$15=0,O19+逐级计算!$C$15,O19+逐级计算!$C$15-(10/(逐级计算!$Q$15*LN(10))*(MAX((LN(10^(逐级计算!$Q$15/10)-1)+逐级计算!$Q$15*(O19-逐级计算!$P$15)*LN(10)/10),0)+LN(1+EXP(-ABS((LN(10^(逐级计算!$Q$15/10)-1)+逐级计算!$Q$15*(O19-逐级计算!$P$15)*LN(10)/10))))))),"")</f>
        <v>13.798073753683</v>
      </c>
      <c r="Q19">
        <f>IF(AND(ISNUMBER(P19),逐级计算!$X$16&gt;-1),IF(逐级计算!$X$16=0,P19+逐级计算!$C$16,P19+逐级计算!$C$16-(10/(逐级计算!$Q$16*LN(10))*(MAX((LN(10^(逐级计算!$Q$16/10)-1)+逐级计算!$Q$16*(P19-逐级计算!$P$16)*LN(10)/10),0)+LN(1+EXP(-ABS((LN(10^(逐级计算!$Q$16/10)-1)+逐级计算!$Q$16*(P19-逐级计算!$P$16)*LN(10)/10))))))),"")</f>
        <v>13.798073753683</v>
      </c>
      <c r="R19">
        <f>IF(AND(ISNUMBER(Q19),逐级计算!$X$17&gt;-1),IF(逐级计算!$X$17=0,Q19+逐级计算!$C$17,Q19+逐级计算!$C$17-(10/(逐级计算!$Q$17*LN(10))*(MAX((LN(10^(逐级计算!$Q$17/10)-1)+逐级计算!$Q$17*(Q19-逐级计算!$P$17)*LN(10)/10),0)+LN(1+EXP(-ABS((LN(10^(逐级计算!$Q$17/10)-1)+逐级计算!$Q$17*(Q19-逐级计算!$P$17)*LN(10)/10))))))),"")</f>
        <v>13.798073753683</v>
      </c>
      <c r="S19">
        <f>IF(AND(ISNUMBER(R19),逐级计算!$X$18&gt;-1),IF(逐级计算!$X$18=0,R19+逐级计算!$C$18,R19+逐级计算!$C$18-(10/(逐级计算!$Q$18*LN(10))*(MAX((LN(10^(逐级计算!$Q$18/10)-1)+逐级计算!$Q$18*(R19-逐级计算!$P$18)*LN(10)/10),0)+LN(1+EXP(-ABS((LN(10^(逐级计算!$Q$18/10)-1)+逐级计算!$Q$18*(R19-逐级计算!$P$18)*LN(10)/10))))))),"")</f>
        <v>13.798073753683</v>
      </c>
      <c r="T19">
        <f>IF(AND(ISNUMBER(S19),逐级计算!$X$19&gt;-1),IF(逐级计算!$X$19=0,S19+逐级计算!$C$19,S19+逐级计算!$C$19-(10/(逐级计算!$Q$19*LN(10))*(MAX((LN(10^(逐级计算!$Q$19/10)-1)+逐级计算!$Q$19*(S19-逐级计算!$P$19)*LN(10)/10),0)+LN(1+EXP(-ABS((LN(10^(逐级计算!$Q$19/10)-1)+逐级计算!$Q$19*(S19-逐级计算!$P$19)*LN(10)/10))))))),"")</f>
        <v>13.798073753683</v>
      </c>
      <c r="U19">
        <f>IF(AND(ISNUMBER(T19),逐级计算!$X$20&gt;-1),IF(逐级计算!$X$20=0,T19+逐级计算!$C$20,T19+逐级计算!$C$20-(10/(逐级计算!$Q$20*LN(10))*(MAX((LN(10^(逐级计算!$Q$20/10)-1)+逐级计算!$Q$20*(T19-逐级计算!$P$20)*LN(10)/10),0)+LN(1+EXP(-ABS((LN(10^(逐级计算!$Q$20/10)-1)+逐级计算!$Q$20*(T19-逐级计算!$P$20)*LN(10)/10))))))),"")</f>
        <v>13.798073753683</v>
      </c>
      <c r="V19">
        <f>IF(AND(ISNUMBER(U19),逐级计算!$X$21&gt;-1),IF(逐级计算!$X$21=0,U19+逐级计算!$C$21,U19+逐级计算!$C$21-(10/(逐级计算!$Q$21*LN(10))*(MAX((LN(10^(逐级计算!$Q$21/10)-1)+逐级计算!$Q$21*(U19-逐级计算!$P$21)*LN(10)/10),0)+LN(1+EXP(-ABS((LN(10^(逐级计算!$Q$21/10)-1)+逐级计算!$Q$21*(U19-逐级计算!$P$21)*LN(10)/10))))))),"")</f>
        <v>13.798073753683</v>
      </c>
      <c r="W19">
        <f>IF(AND(ISNUMBER(V19),逐级计算!$X$22&gt;-1),IF(逐级计算!$X$22=0,V19+逐级计算!$C$22,V19+逐级计算!$C$22-(10/(逐级计算!$Q$22*LN(10))*(MAX((LN(10^(逐级计算!$Q$22/10)-1)+逐级计算!$Q$22*(V19-逐级计算!$P$22)*LN(10)/10),0)+LN(1+EXP(-ABS((LN(10^(逐级计算!$Q$22/10)-1)+逐级计算!$Q$22*(V19-逐级计算!$P$22)*LN(10)/10))))))),"")</f>
        <v>13.798073753683</v>
      </c>
      <c r="X19">
        <f>IF(AND(ISNUMBER(W19),逐级计算!$X$23&gt;-1),IF(逐级计算!$X$23=0,W19+逐级计算!$C$23,W19+逐级计算!$C$23-(10/(逐级计算!$Q$23*LN(10))*(MAX((LN(10^(逐级计算!$Q$23/10)-1)+逐级计算!$Q$23*(W19-逐级计算!$P$23)*LN(10)/10),0)+LN(1+EXP(-ABS((LN(10^(逐级计算!$Q$23/10)-1)+逐级计算!$Q$23*(W19-逐级计算!$P$23)*LN(10)/10))))))),"")</f>
        <v>13.798073753683</v>
      </c>
      <c r="Y19">
        <f>IF(AND(ISNUMBER(X19),逐级计算!$X$24&gt;-1),IF(逐级计算!$X$24=0,X19+逐级计算!$C$24,X19+逐级计算!$C$24-(10/(逐级计算!$Q$24*LN(10))*(MAX((LN(10^(逐级计算!$Q$24/10)-1)+逐级计算!$Q$24*(X19-逐级计算!$P$24)*LN(10)/10),0)+LN(1+EXP(-ABS((LN(10^(逐级计算!$Q$24/10)-1)+逐级计算!$Q$24*(X19-逐级计算!$P$24)*LN(10)/10))))))),"")</f>
        <v>13.798073753683</v>
      </c>
      <c r="Z19">
        <f>IF(AND(ISNUMBER(Y19),逐级计算!$X$25&gt;-1),IF(逐级计算!$X$25=0,Y19+逐级计算!$C$25,Y19+逐级计算!$C$25-(10/(逐级计算!$Q$25*LN(10))*(MAX((LN(10^(逐级计算!$Q$25/10)-1)+逐级计算!$Q$25*(Y19-逐级计算!$P$25)*LN(10)/10),0)+LN(1+EXP(-ABS((LN(10^(逐级计算!$Q$25/10)-1)+逐级计算!$Q$25*(Y19-逐级计算!$P$25)*LN(10)/10))))))),"")</f>
        <v>13.798073753683</v>
      </c>
      <c r="AA19">
        <f>IF(AND(ISNUMBER(Z19),逐级计算!$X$26&gt;-1),IF(逐级计算!$X$26=0,Z19+逐级计算!$C$26,Z19+逐级计算!$C$26-(10/(逐级计算!$Q$26*LN(10))*(MAX((LN(10^(逐级计算!$Q$26/10)-1)+逐级计算!$Q$26*(Z19-逐级计算!$P$26)*LN(10)/10),0)+LN(1+EXP(-ABS((LN(10^(逐级计算!$Q$26/10)-1)+逐级计算!$Q$26*(Z19-逐级计算!$P$26)*LN(10)/10))))))),"")</f>
        <v>13.798073753683</v>
      </c>
      <c r="AB19">
        <f>IF(AND(ISNUMBER(AA19),逐级计算!$X$27&gt;-1),IF(逐级计算!$X$27=0,AA19+逐级计算!$C$27,AA19+逐级计算!$C$27-(10/(逐级计算!$Q$27*LN(10))*(MAX((LN(10^(逐级计算!$Q$27/10)-1)+逐级计算!$Q$27*(AA19-逐级计算!$P$27)*LN(10)/10),0)+LN(1+EXP(-ABS((LN(10^(逐级计算!$Q$27/10)-1)+逐级计算!$Q$27*(AA19-逐级计算!$P$27)*LN(10)/10))))))),"")</f>
        <v>13.798073753683</v>
      </c>
      <c r="AC19">
        <f>IF(AND(ISNUMBER(AB19),逐级计算!$X$28&gt;-1),IF(逐级计算!$X$28=0,AB19+逐级计算!$C$28,AB19+逐级计算!$C$28-(10/(逐级计算!$Q$28*LN(10))*(MAX((LN(10^(逐级计算!$Q$28/10)-1)+逐级计算!$Q$28*(AB19-逐级计算!$P$28)*LN(10)/10),0)+LN(1+EXP(-ABS((LN(10^(逐级计算!$Q$28/10)-1)+逐级计算!$Q$28*(AB19-逐级计算!$P$28)*LN(10)/10))))))),"")</f>
        <v>13.798073753683</v>
      </c>
      <c r="AD19">
        <f>IF(AND(ISNUMBER(AC19),逐级计算!$X$29&gt;-1),IF(逐级计算!$X$29=0,AC19+逐级计算!$C$29,AC19+逐级计算!$C$29-(10/(逐级计算!$Q$29*LN(10))*(MAX((LN(10^(逐级计算!$Q$29/10)-1)+逐级计算!$Q$29*(AC19-逐级计算!$P$29)*LN(10)/10),0)+LN(1+EXP(-ABS((LN(10^(逐级计算!$Q$29/10)-1)+逐级计算!$Q$29*(AC19-逐级计算!$P$29)*LN(10)/10))))))),"")</f>
        <v>13.798073753683</v>
      </c>
      <c r="AE19">
        <f>IF(AND(ISNUMBER(AD19),逐级计算!$X$30&gt;-1),IF(逐级计算!$X$30=0,AD19+逐级计算!$C$30,AD19+逐级计算!$C$30-(10/(逐级计算!$Q$30*LN(10))*(MAX((LN(10^(逐级计算!$Q$30/10)-1)+逐级计算!$Q$30*(AD19-逐级计算!$P$30)*LN(10)/10),0)+LN(1+EXP(-ABS((LN(10^(逐级计算!$Q$30/10)-1)+逐级计算!$Q$30*(AD19-逐级计算!$P$30)*LN(10)/10))))))),"")</f>
        <v>13.798073753683</v>
      </c>
      <c r="AF19">
        <f>IF(AND(ISNUMBER(AE19),逐级计算!$X$31&gt;-1),IF(逐级计算!$X$31=0,AE19+逐级计算!$C$31,AE19+逐级计算!$C$31-(10/(逐级计算!$Q$31*LN(10))*(MAX((LN(10^(逐级计算!$Q$31/10)-1)+逐级计算!$Q$31*(AE19-逐级计算!$P$31)*LN(10)/10),0)+LN(1+EXP(-ABS((LN(10^(逐级计算!$Q$31/10)-1)+逐级计算!$Q$31*(AE19-逐级计算!$P$31)*LN(10)/10))))))),"")</f>
        <v>13.798073753683</v>
      </c>
      <c r="AG19">
        <f>IF(AND(ISNUMBER(AF19),逐级计算!$X$32&gt;-1),IF(逐级计算!$X$32=0,AF19+逐级计算!$C$32,AF19+逐级计算!$C$32-(10/(逐级计算!$Q$32*LN(10))*(MAX((LN(10^(逐级计算!$Q$32/10)-1)+逐级计算!$Q$32*(AF19-逐级计算!$P$32)*LN(10)/10),0)+LN(1+EXP(-ABS((LN(10^(逐级计算!$Q$32/10)-1)+逐级计算!$Q$32*(AF19-逐级计算!$P$32)*LN(10)/10))))))),"")</f>
        <v>13.798073753683</v>
      </c>
      <c r="AH19">
        <f>IF(AND(ISNUMBER(AG19),逐级计算!$X$33&gt;-1),IF(逐级计算!$X$33=0,AG19+逐级计算!$C$33,AG19+逐级计算!$C$33-(10/(逐级计算!$Q$33*LN(10))*(MAX((LN(10^(逐级计算!$Q$33/10)-1)+逐级计算!$Q$33*(AG19-逐级计算!$P$33)*LN(10)/10),0)+LN(1+EXP(-ABS((LN(10^(逐级计算!$Q$33/10)-1)+逐级计算!$Q$33*(AG19-逐级计算!$P$33)*LN(10)/10))))))),"")</f>
        <v>13.798073753683</v>
      </c>
      <c r="AI19">
        <f>IF(AND(ISNUMBER(AH19),逐级计算!$X$34&gt;-1),IF(逐级计算!$X$34=0,AH19+逐级计算!$C$34,AH19+逐级计算!$C$34-(10/(逐级计算!$Q$34*LN(10))*(MAX((LN(10^(逐级计算!$Q$34/10)-1)+逐级计算!$Q$34*(AH19-逐级计算!$P$34)*LN(10)/10),0)+LN(1+EXP(-ABS((LN(10^(逐级计算!$Q$34/10)-1)+逐级计算!$Q$34*(AH19-逐级计算!$P$34)*LN(10)/10))))))),"")</f>
        <v>13.798073753683</v>
      </c>
      <c r="AJ19">
        <f>IF(AND(ISNUMBER(AI19),逐级计算!$X$35&gt;-1),IF(逐级计算!$X$35=0,AI19+逐级计算!$C$35,AI19+逐级计算!$C$35-(10/(逐级计算!$Q$35*LN(10))*(MAX((LN(10^(逐级计算!$Q$35/10)-1)+逐级计算!$Q$35*(AI19-逐级计算!$P$35)*LN(10)/10),0)+LN(1+EXP(-ABS((LN(10^(逐级计算!$Q$35/10)-1)+逐级计算!$Q$35*(AI19-逐级计算!$P$35)*LN(10)/10))))))),"")</f>
        <v>13.798073753683</v>
      </c>
      <c r="AK19">
        <f>IF(AND(ISNUMBER(AJ19),逐级计算!$X$36&gt;-1),IF(逐级计算!$X$36=0,AJ19+逐级计算!$C$36,AJ19+逐级计算!$C$36-(10/(逐级计算!$Q$36*LN(10))*(MAX((LN(10^(逐级计算!$Q$36/10)-1)+逐级计算!$Q$36*(AJ19-逐级计算!$P$36)*LN(10)/10),0)+LN(1+EXP(-ABS((LN(10^(逐级计算!$Q$36/10)-1)+逐级计算!$Q$36*(AJ19-逐级计算!$P$36)*LN(10)/10))))))),"")</f>
        <v>13.798073753683</v>
      </c>
      <c r="AL19">
        <f>IF(AND(ISNUMBER(AK19),逐级计算!$X$37&gt;-1),IF(逐级计算!$X$37=0,AK19+逐级计算!$C$37,AK19+逐级计算!$C$37-(10/(逐级计算!$Q$37*LN(10))*(MAX((LN(10^(逐级计算!$Q$37/10)-1)+逐级计算!$Q$37*(AK19-逐级计算!$P$37)*LN(10)/10),0)+LN(1+EXP(-ABS((LN(10^(逐级计算!$Q$37/10)-1)+逐级计算!$Q$37*(AK19-逐级计算!$P$37)*LN(10)/10))))))),"")</f>
        <v>13.798073753683</v>
      </c>
      <c r="AM19">
        <f>IF(AND(ISNUMBER(AL19),逐级计算!$X$38&gt;-1),IF(逐级计算!$X$38=0,AL19+逐级计算!$C$38,AL19+逐级计算!$C$38-(10/(逐级计算!$Q$38*LN(10))*(MAX((LN(10^(逐级计算!$Q$38/10)-1)+逐级计算!$Q$38*(AL19-逐级计算!$P$38)*LN(10)/10),0)+LN(1+EXP(-ABS((LN(10^(逐级计算!$Q$38/10)-1)+逐级计算!$Q$38*(AL19-逐级计算!$P$38)*LN(10)/10))))))),"")</f>
        <v>13.798073753683</v>
      </c>
      <c r="AN19">
        <f>IF(AND(ISNUMBER(AM19),逐级计算!$X$39&gt;-1),IF(逐级计算!$X$39=0,AM19+逐级计算!$C$39,AM19+逐级计算!$C$39-(10/(逐级计算!$Q$39*LN(10))*(MAX((LN(10^(逐级计算!$Q$39/10)-1)+逐级计算!$Q$39*(AM19-逐级计算!$P$39)*LN(10)/10),0)+LN(1+EXP(-ABS((LN(10^(逐级计算!$Q$39/10)-1)+逐级计算!$Q$39*(AM19-逐级计算!$P$39)*LN(10)/10))))))),"")</f>
        <v>13.798073753683</v>
      </c>
      <c r="AO19">
        <f>IF(AND(ISNUMBER(AN19),逐级计算!$X$40&gt;-1),IF(逐级计算!$X$40=0,AN19+逐级计算!$C$40,AN19+逐级计算!$C$40-(10/(逐级计算!$Q$40*LN(10))*(MAX((LN(10^(逐级计算!$Q$40/10)-1)+逐级计算!$Q$40*(AN19-逐级计算!$P$40)*LN(10)/10),0)+LN(1+EXP(-ABS((LN(10^(逐级计算!$Q$40/10)-1)+逐级计算!$Q$40*(AN19-逐级计算!$P$40)*LN(10)/10))))))),"")</f>
        <v>13.798073753683</v>
      </c>
      <c r="AP19">
        <f>IF(AND(ISNUMBER(AO19),逐级计算!$X$41&gt;-1),IF(逐级计算!$X$41=0,AO19+逐级计算!$C$41,AO19+逐级计算!$C$41-(10/(逐级计算!$Q$41*LN(10))*(MAX((LN(10^(逐级计算!$Q$41/10)-1)+逐级计算!$Q$41*(AO19-逐级计算!$P$41)*LN(10)/10),0)+LN(1+EXP(-ABS((LN(10^(逐级计算!$Q$41/10)-1)+逐级计算!$Q$41*(AO19-逐级计算!$P$41)*LN(10)/10))))))),"")</f>
        <v>13.798073753683</v>
      </c>
      <c r="AQ19">
        <f>IF(AND(ISNUMBER(AP19),逐级计算!$X$42&gt;-1),IF(逐级计算!$X$42=0,AP19+逐级计算!$C$42,AP19+逐级计算!$C$42-(10/(逐级计算!$Q$42*LN(10))*(MAX((LN(10^(逐级计算!$Q$42/10)-1)+逐级计算!$Q$42*(AP19-逐级计算!$P$42)*LN(10)/10),0)+LN(1+EXP(-ABS((LN(10^(逐级计算!$Q$42/10)-1)+逐级计算!$Q$42*(AP19-逐级计算!$P$42)*LN(10)/10))))))),"")</f>
        <v>13.798073753683</v>
      </c>
      <c r="AR19">
        <f>IF(AND(ISNUMBER(AQ19),逐级计算!$X$43&gt;-1),IF(逐级计算!$X$43=0,AQ19+逐级计算!$C$43,AQ19+逐级计算!$C$43-(10/(逐级计算!$Q$43*LN(10))*(MAX((LN(10^(逐级计算!$Q$43/10)-1)+逐级计算!$Q$43*(AQ19-逐级计算!$P$43)*LN(10)/10),0)+LN(1+EXP(-ABS((LN(10^(逐级计算!$Q$43/10)-1)+逐级计算!$Q$43*(AQ19-逐级计算!$P$43)*LN(10)/10))))))),"")</f>
        <v>13.798073753683</v>
      </c>
      <c r="AS19">
        <f>IF(AND(ISNUMBER(AR19),逐级计算!$X$44&gt;-1),IF(逐级计算!$X$44=0,AR19+逐级计算!$C$44,AR19+逐级计算!$C$44-(10/(逐级计算!$Q$44*LN(10))*(MAX((LN(10^(逐级计算!$Q$44/10)-1)+逐级计算!$Q$44*(AR19-逐级计算!$P$44)*LN(10)/10),0)+LN(1+EXP(-ABS((LN(10^(逐级计算!$Q$44/10)-1)+逐级计算!$Q$44*(AR19-逐级计算!$P$44)*LN(10)/10))))))),"")</f>
        <v>13.798073753683</v>
      </c>
      <c r="AT19">
        <f>IF(AND(ISNUMBER(AS19),逐级计算!$X$45&gt;-1),IF(逐级计算!$X$45=0,AS19+逐级计算!$C$45,AS19+逐级计算!$C$45-(10/(逐级计算!$Q$45*LN(10))*(MAX((LN(10^(逐级计算!$Q$45/10)-1)+逐级计算!$Q$45*(AS19-逐级计算!$P$45)*LN(10)/10),0)+LN(1+EXP(-ABS((LN(10^(逐级计算!$Q$45/10)-1)+逐级计算!$Q$45*(AS19-逐级计算!$P$45)*LN(10)/10))))))),"")</f>
        <v>13.798073753683</v>
      </c>
      <c r="AU19">
        <f>IF(AND(ISNUMBER(AT19),逐级计算!$X$46&gt;-1),IF(逐级计算!$X$46=0,AT19+逐级计算!$C$46,AT19+逐级计算!$C$46-(10/(逐级计算!$Q$46*LN(10))*(MAX((LN(10^(逐级计算!$Q$46/10)-1)+逐级计算!$Q$46*(AT19-逐级计算!$P$46)*LN(10)/10),0)+LN(1+EXP(-ABS((LN(10^(逐级计算!$Q$46/10)-1)+逐级计算!$Q$46*(AT19-逐级计算!$P$46)*LN(10)/10))))))),"")</f>
        <v>13.798073753683</v>
      </c>
      <c r="AV19">
        <f>IF(AND(ISNUMBER(AU19),逐级计算!$X$47&gt;-1),IF(逐级计算!$X$47=0,AU19+逐级计算!$C$47,AU19+逐级计算!$C$47-(10/(逐级计算!$Q$47*LN(10))*(MAX((LN(10^(逐级计算!$Q$47/10)-1)+逐级计算!$Q$47*(AU19-逐级计算!$P$47)*LN(10)/10),0)+LN(1+EXP(-ABS((LN(10^(逐级计算!$Q$47/10)-1)+逐级计算!$Q$47*(AU19-逐级计算!$P$47)*LN(10)/10))))))),"")</f>
        <v>13.798073753683</v>
      </c>
      <c r="AW19">
        <f>IF(AND(ISNUMBER(AV19),逐级计算!$X$48&gt;-1),IF(逐级计算!$X$48=0,AV19+逐级计算!$C$48,AV19+逐级计算!$C$48-(10/(逐级计算!$Q$48*LN(10))*(MAX((LN(10^(逐级计算!$Q$48/10)-1)+逐级计算!$Q$48*(AV19-逐级计算!$P$48)*LN(10)/10),0)+LN(1+EXP(-ABS((LN(10^(逐级计算!$Q$48/10)-1)+逐级计算!$Q$48*(AV19-逐级计算!$P$48)*LN(10)/10))))))),"")</f>
        <v>13.798073753683</v>
      </c>
      <c r="AX19">
        <f>IF(AND(ISNUMBER(AW19),逐级计算!$X$49&gt;-1),IF(逐级计算!$X$49=0,AW19+逐级计算!$C$49,AW19+逐级计算!$C$49-(10/(逐级计算!$Q$49*LN(10))*(MAX((LN(10^(逐级计算!$Q$49/10)-1)+逐级计算!$Q$49*(AW19-逐级计算!$P$49)*LN(10)/10),0)+LN(1+EXP(-ABS((LN(10^(逐级计算!$Q$49/10)-1)+逐级计算!$Q$49*(AW19-逐级计算!$P$49)*LN(10)/10))))))),"")</f>
        <v>13.798073753683</v>
      </c>
      <c r="AY19">
        <f>IF(AND(ISNUMBER(AX19),逐级计算!$X$50&gt;-1),IF(逐级计算!$X$50=0,AX19+逐级计算!$C$50,AX19+逐级计算!$C$50-(10/(逐级计算!$Q$50*LN(10))*(MAX((LN(10^(逐级计算!$Q$50/10)-1)+逐级计算!$Q$50*(AX19-逐级计算!$P$50)*LN(10)/10),0)+LN(1+EXP(-ABS((LN(10^(逐级计算!$Q$50/10)-1)+逐级计算!$Q$50*(AX19-逐级计算!$P$50)*LN(10)/10))))))),"")</f>
        <v>13.798073753683</v>
      </c>
      <c r="AZ19">
        <f>IF(AND(ISNUMBER(AY19),逐级计算!$X$51&gt;-1),IF(逐级计算!$X$51=0,AY19+逐级计算!$C$51,AY19+逐级计算!$C$51-(10/(逐级计算!$Q$51*LN(10))*(MAX((LN(10^(逐级计算!$Q$51/10)-1)+逐级计算!$Q$51*(AY19-逐级计算!$P$51)*LN(10)/10),0)+LN(1+EXP(-ABS((LN(10^(逐级计算!$Q$51/10)-1)+逐级计算!$Q$51*(AY19-逐级计算!$P$51)*LN(10)/10))))))),"")</f>
        <v>13.798073753683</v>
      </c>
      <c r="BA19">
        <f>IF(AND(ISNUMBER(AZ19),逐级计算!$X$52&gt;-1),IF(逐级计算!$X$52=0,AZ19+逐级计算!$C$52,AZ19+逐级计算!$C$52-(10/(逐级计算!$Q$52*LN(10))*(MAX((LN(10^(逐级计算!$Q$52/10)-1)+逐级计算!$Q$52*(AZ19-逐级计算!$P$52)*LN(10)/10),0)+LN(1+EXP(-ABS((LN(10^(逐级计算!$Q$52/10)-1)+逐级计算!$Q$52*(AZ19-逐级计算!$P$52)*LN(10)/10))))))),"")</f>
        <v>13.798073753683</v>
      </c>
      <c r="BB19">
        <f>IF(AND(ISNUMBER(BA19),逐级计算!$X$53&gt;-1),IF(逐级计算!$X$53=0,BA19+逐级计算!$C$53,BA19+逐级计算!$C$53-(10/(逐级计算!$Q$53*LN(10))*(MAX((LN(10^(逐级计算!$Q$53/10)-1)+逐级计算!$Q$53*(BA19-逐级计算!$P$53)*LN(10)/10),0)+LN(1+EXP(-ABS((LN(10^(逐级计算!$Q$53/10)-1)+逐级计算!$Q$53*(BA19-逐级计算!$P$53)*LN(10)/10))))))),"")</f>
        <v>13.798073753683</v>
      </c>
      <c r="BC19">
        <f>IF(AND(ISNUMBER(BB19),逐级计算!$X$54&gt;-1),IF(逐级计算!$X$54=0,BB19+逐级计算!$C$54,BB19+逐级计算!$C$54-(10/(逐级计算!$Q$54*LN(10))*(MAX((LN(10^(逐级计算!$Q$54/10)-1)+逐级计算!$Q$54*(BB19-逐级计算!$P$54)*LN(10)/10),0)+LN(1+EXP(-ABS((LN(10^(逐级计算!$Q$54/10)-1)+逐级计算!$Q$54*(BB19-逐级计算!$P$54)*LN(10)/10))))))),"")</f>
        <v>13.798073753683</v>
      </c>
      <c r="BD19">
        <f>IF(AND(ISNUMBER(BC19),逐级计算!$X$55&gt;-1),IF(逐级计算!$X$55=0,BC19+逐级计算!$C$55,BC19+逐级计算!$C$55-(10/(逐级计算!$Q$55*LN(10))*(MAX((LN(10^(逐级计算!$Q$55/10)-1)+逐级计算!$Q$55*(BC19-逐级计算!$P$55)*LN(10)/10),0)+LN(1+EXP(-ABS((LN(10^(逐级计算!$Q$55/10)-1)+逐级计算!$Q$55*(BC19-逐级计算!$P$55)*LN(10)/10))))))),"")</f>
        <v>13.798073753683</v>
      </c>
      <c r="BE19">
        <f>IF(AND(ISNUMBER(BD19),逐级计算!$X$56&gt;-1),IF(逐级计算!$X$56=0,BD19+逐级计算!$C$56,BD19+逐级计算!$C$56-(10/(逐级计算!$Q$56*LN(10))*(MAX((LN(10^(逐级计算!$Q$56/10)-1)+逐级计算!$Q$56*(BD19-逐级计算!$P$56)*LN(10)/10),0)+LN(1+EXP(-ABS((LN(10^(逐级计算!$Q$56/10)-1)+逐级计算!$Q$56*(BD19-逐级计算!$P$56)*LN(10)/10))))))),"")</f>
        <v>13.798073753683</v>
      </c>
      <c r="BF19">
        <f>IF(AND(ISNUMBER(BE19),逐级计算!$X$57&gt;-1),IF(逐级计算!$X$57=0,BE19+逐级计算!$C$57,BE19+逐级计算!$C$57-(10/(逐级计算!$Q$57*LN(10))*(MAX((LN(10^(逐级计算!$Q$57/10)-1)+逐级计算!$Q$57*(BE19-逐级计算!$P$57)*LN(10)/10),0)+LN(1+EXP(-ABS((LN(10^(逐级计算!$Q$57/10)-1)+逐级计算!$Q$57*(BE19-逐级计算!$P$57)*LN(10)/10))))))),"")</f>
        <v>13.798073753683</v>
      </c>
      <c r="BG19">
        <f>IF(AND(ISNUMBER(BF19),逐级计算!$X$58&gt;-1),IF(逐级计算!$X$58=0,BF19+逐级计算!$C$58,BF19+逐级计算!$C$58-(10/(逐级计算!$Q$58*LN(10))*(MAX((LN(10^(逐级计算!$Q$58/10)-1)+逐级计算!$Q$58*(BF19-逐级计算!$P$58)*LN(10)/10),0)+LN(1+EXP(-ABS((LN(10^(逐级计算!$Q$58/10)-1)+逐级计算!$Q$58*(BF19-逐级计算!$P$58)*LN(10)/10))))))),"")</f>
        <v>13.798073753683</v>
      </c>
      <c r="BH19">
        <f>IF(AND(ISNUMBER(BG19),逐级计算!$X$59&gt;-1),IF(逐级计算!$X$59=0,BG19+逐级计算!$C$59,BG19+逐级计算!$C$59-(10/(逐级计算!$Q$59*LN(10))*(MAX((LN(10^(逐级计算!$Q$59/10)-1)+逐级计算!$Q$59*(BG19-逐级计算!$P$59)*LN(10)/10),0)+LN(1+EXP(-ABS((LN(10^(逐级计算!$Q$59/10)-1)+逐级计算!$Q$59*(BG19-逐级计算!$P$59)*LN(10)/10))))))),"")</f>
        <v>13.798073753683</v>
      </c>
      <c r="BI19">
        <f>IF(AND(ISNUMBER(BH19),逐级计算!$X$60&gt;-1),IF(逐级计算!$X$60=0,BH19+逐级计算!$C$60,BH19+逐级计算!$C$60-(10/(逐级计算!$Q$60*LN(10))*(MAX((LN(10^(逐级计算!$Q$60/10)-1)+逐级计算!$Q$60*(BH19-逐级计算!$P$60)*LN(10)/10),0)+LN(1+EXP(-ABS((LN(10^(逐级计算!$Q$60/10)-1)+逐级计算!$Q$60*(BH19-逐级计算!$P$60)*LN(10)/10))))))),"")</f>
        <v>13.798073753683</v>
      </c>
      <c r="BJ19">
        <f>IF(AND(ISNUMBER(BI19),逐级计算!$X$61&gt;-1),IF(逐级计算!$X$61=0,BI19+逐级计算!$C$61,BI19+逐级计算!$C$61-(10/(逐级计算!$Q$61*LN(10))*(MAX((LN(10^(逐级计算!$Q$61/10)-1)+逐级计算!$Q$61*(BI19-逐级计算!$P$61)*LN(10)/10),0)+LN(1+EXP(-ABS((LN(10^(逐级计算!$Q$61/10)-1)+逐级计算!$Q$61*(BI19-逐级计算!$P$61)*LN(10)/10))))))),"")</f>
        <v>13.798073753683</v>
      </c>
      <c r="BK19">
        <f>IF(AND(ISNUMBER(BJ19),逐级计算!$X$62&gt;-1),IF(逐级计算!$X$62=0,BJ19+逐级计算!$C$62,BJ19+逐级计算!$C$62-(10/(逐级计算!$Q$62*LN(10))*(MAX((LN(10^(逐级计算!$Q$62/10)-1)+逐级计算!$Q$62*(BJ19-逐级计算!$P$62)*LN(10)/10),0)+LN(1+EXP(-ABS((LN(10^(逐级计算!$Q$62/10)-1)+逐级计算!$Q$62*(BJ19-逐级计算!$P$62)*LN(10)/10))))))),"")</f>
        <v>13.798073753683</v>
      </c>
      <c r="BL19">
        <f>IF(AND(ISNUMBER(BK19),逐级计算!$X$63&gt;-1),IF(逐级计算!$X$63=0,BK19+逐级计算!$C$63,BK19+逐级计算!$C$63-(10/(逐级计算!$Q$63*LN(10))*(MAX((LN(10^(逐级计算!$Q$63/10)-1)+逐级计算!$Q$63*(BK19-逐级计算!$P$63)*LN(10)/10),0)+LN(1+EXP(-ABS((LN(10^(逐级计算!$Q$63/10)-1)+逐级计算!$Q$63*(BK19-逐级计算!$P$63)*LN(10)/10))))))),"")</f>
        <v>13.798073753683</v>
      </c>
      <c r="BM19">
        <f>IF(AND(ISNUMBER(BL19),逐级计算!$X$64&gt;-1),IF(逐级计算!$X$64=0,BL19+逐级计算!$C$64,BL19+逐级计算!$C$64-(10/(逐级计算!$Q$64*LN(10))*(MAX((LN(10^(逐级计算!$Q$64/10)-1)+逐级计算!$Q$64*(BL19-逐级计算!$P$64)*LN(10)/10),0)+LN(1+EXP(-ABS((LN(10^(逐级计算!$Q$64/10)-1)+逐级计算!$Q$64*(BL19-逐级计算!$P$64)*LN(10)/10))))))),"")</f>
        <v>13.798073753683</v>
      </c>
      <c r="BN19">
        <f>IF(AND(ISNUMBER(BM19),逐级计算!$X$65&gt;-1),IF(逐级计算!$X$65=0,BM19+逐级计算!$C$65,BM19+逐级计算!$C$65-(10/(逐级计算!$Q$65*LN(10))*(MAX((LN(10^(逐级计算!$Q$65/10)-1)+逐级计算!$Q$65*(BM19-逐级计算!$P$65)*LN(10)/10),0)+LN(1+EXP(-ABS((LN(10^(逐级计算!$Q$65/10)-1)+逐级计算!$Q$65*(BM19-逐级计算!$P$65)*LN(10)/10))))))),"")</f>
        <v>13.798073753683</v>
      </c>
      <c r="BO19">
        <f>IF(AND(ISNUMBER(BN19),逐级计算!$X$66&gt;-1),IF(逐级计算!$X$66=0,BN19+逐级计算!$C$66,BN19+逐级计算!$C$66-(10/(逐级计算!$Q$66*LN(10))*(MAX((LN(10^(逐级计算!$Q$66/10)-1)+逐级计算!$Q$66*(BN19-逐级计算!$P$66)*LN(10)/10),0)+LN(1+EXP(-ABS((LN(10^(逐级计算!$Q$66/10)-1)+逐级计算!$Q$66*(BN19-逐级计算!$P$66)*LN(10)/10))))))),"")</f>
        <v>13.798073753683</v>
      </c>
      <c r="BP19">
        <f>IF(AND(ISNUMBER(BO19),逐级计算!$X$67&gt;-1),IF(逐级计算!$X$67=0,BO19+逐级计算!$C$67,BO19+逐级计算!$C$67-(10/(逐级计算!$Q$67*LN(10))*(MAX((LN(10^(逐级计算!$Q$67/10)-1)+逐级计算!$Q$67*(BO19-逐级计算!$P$67)*LN(10)/10),0)+LN(1+EXP(-ABS((LN(10^(逐级计算!$Q$67/10)-1)+逐级计算!$Q$67*(BO19-逐级计算!$P$67)*LN(10)/10))))))),"")</f>
        <v>13.798073753683</v>
      </c>
      <c r="BQ19">
        <f>IF(AND(ISNUMBER(BP19),逐级计算!$X$68&gt;-1),IF(逐级计算!$X$68=0,BP19+逐级计算!$C$68,BP19+逐级计算!$C$68-(10/(逐级计算!$Q$68*LN(10))*(MAX((LN(10^(逐级计算!$Q$68/10)-1)+逐级计算!$Q$68*(BP19-逐级计算!$P$68)*LN(10)/10),0)+LN(1+EXP(-ABS((LN(10^(逐级计算!$Q$68/10)-1)+逐级计算!$Q$68*(BP19-逐级计算!$P$68)*LN(10)/10))))))),"")</f>
        <v>13.798073753683</v>
      </c>
      <c r="BR19">
        <f>IF(AND(ISNUMBER(BQ19),逐级计算!$X$69&gt;-1),IF(逐级计算!$X$69=0,BQ19+逐级计算!$C$69,BQ19+逐级计算!$C$69-(10/(逐级计算!$Q$69*LN(10))*(MAX((LN(10^(逐级计算!$Q$69/10)-1)+逐级计算!$Q$69*(BQ19-逐级计算!$P$69)*LN(10)/10),0)+LN(1+EXP(-ABS((LN(10^(逐级计算!$Q$69/10)-1)+逐级计算!$Q$69*(BQ19-逐级计算!$P$69)*LN(10)/10))))))),"")</f>
        <v>13.798073753683</v>
      </c>
      <c r="BS19">
        <f>IF(AND(ISNUMBER(BR19),逐级计算!$X$70&gt;-1),IF(逐级计算!$X$70=0,BR19+逐级计算!$C$70,BR19+逐级计算!$C$70-(10/(逐级计算!$Q$70*LN(10))*(MAX((LN(10^(逐级计算!$Q$70/10)-1)+逐级计算!$Q$70*(BR19-逐级计算!$P$70)*LN(10)/10),0)+LN(1+EXP(-ABS((LN(10^(逐级计算!$Q$70/10)-1)+逐级计算!$Q$70*(BR19-逐级计算!$P$70)*LN(10)/10))))))),"")</f>
        <v>13.798073753683</v>
      </c>
      <c r="BT19">
        <f>IF(AND(ISNUMBER(BS19),逐级计算!$X$71&gt;-1),IF(逐级计算!$X$71=0,BS19+逐级计算!$C$71,BS19+逐级计算!$C$71-(10/(逐级计算!$Q$71*LN(10))*(MAX((LN(10^(逐级计算!$Q$71/10)-1)+逐级计算!$Q$71*(BS19-逐级计算!$P$71)*LN(10)/10),0)+LN(1+EXP(-ABS((LN(10^(逐级计算!$Q$71/10)-1)+逐级计算!$Q$71*(BS19-逐级计算!$P$71)*LN(10)/10))))))),"")</f>
        <v>13.798073753683</v>
      </c>
      <c r="BU19">
        <f>IF(AND(ISNUMBER(BT19),逐级计算!$X$72&gt;-1),IF(逐级计算!$X$72=0,BT19+逐级计算!$C$72,BT19+逐级计算!$C$72-(10/(逐级计算!$Q$72*LN(10))*(MAX((LN(10^(逐级计算!$Q$72/10)-1)+逐级计算!$Q$72*(BT19-逐级计算!$P$72)*LN(10)/10),0)+LN(1+EXP(-ABS((LN(10^(逐级计算!$Q$72/10)-1)+逐级计算!$Q$72*(BT19-逐级计算!$P$72)*LN(10)/10))))))),"")</f>
        <v>13.798073753683</v>
      </c>
      <c r="BV19">
        <f>IF(AND(ISNUMBER(BU19),逐级计算!$X$73&gt;-1),IF(逐级计算!$X$73=0,BU19+逐级计算!$C$73,BU19+逐级计算!$C$73-(10/(逐级计算!$Q$73*LN(10))*(MAX((LN(10^(逐级计算!$Q$73/10)-1)+逐级计算!$Q$73*(BU19-逐级计算!$P$73)*LN(10)/10),0)+LN(1+EXP(-ABS((LN(10^(逐级计算!$Q$73/10)-1)+逐级计算!$Q$73*(BU19-逐级计算!$P$73)*LN(10)/10))))))),"")</f>
        <v>13.798073753683</v>
      </c>
      <c r="BW19">
        <f>IF(AND(ISNUMBER(BV19),逐级计算!$X$74&gt;-1),IF(逐级计算!$X$74=0,BV19+逐级计算!$C$74,BV19+逐级计算!$C$74-(10/(逐级计算!$Q$74*LN(10))*(MAX((LN(10^(逐级计算!$Q$74/10)-1)+逐级计算!$Q$74*(BV19-逐级计算!$P$74)*LN(10)/10),0)+LN(1+EXP(-ABS((LN(10^(逐级计算!$Q$74/10)-1)+逐级计算!$Q$74*(BV19-逐级计算!$P$74)*LN(10)/10))))))),"")</f>
        <v>13.798073753683</v>
      </c>
      <c r="BX19">
        <f>IF(AND(ISNUMBER(BW19),逐级计算!$X$75&gt;-1),IF(逐级计算!$X$75=0,BW19+逐级计算!$C$75,BW19+逐级计算!$C$75-(10/(逐级计算!$Q$75*LN(10))*(MAX((LN(10^(逐级计算!$Q$75/10)-1)+逐级计算!$Q$75*(BW19-逐级计算!$P$75)*LN(10)/10),0)+LN(1+EXP(-ABS((LN(10^(逐级计算!$Q$75/10)-1)+逐级计算!$Q$75*(BW19-逐级计算!$P$75)*LN(10)/10))))))),"")</f>
        <v>13.798073753683</v>
      </c>
      <c r="BY19">
        <f>IF(AND(ISNUMBER(BX19),逐级计算!$X$76&gt;-1),IF(逐级计算!$X$76=0,BX19+逐级计算!$C$76,BX19+逐级计算!$C$76-(10/(逐级计算!$Q$76*LN(10))*(MAX((LN(10^(逐级计算!$Q$76/10)-1)+逐级计算!$Q$76*(BX19-逐级计算!$P$76)*LN(10)/10),0)+LN(1+EXP(-ABS((LN(10^(逐级计算!$Q$76/10)-1)+逐级计算!$Q$76*(BX19-逐级计算!$P$76)*LN(10)/10))))))),"")</f>
        <v>13.798073753683</v>
      </c>
      <c r="BZ19">
        <f>IF(AND(ISNUMBER(BY19),逐级计算!$X$77&gt;-1),IF(逐级计算!$X$77=0,BY19+逐级计算!$C$77,BY19+逐级计算!$C$77-(10/(逐级计算!$Q$77*LN(10))*(MAX((LN(10^(逐级计算!$Q$77/10)-1)+逐级计算!$Q$77*(BY19-逐级计算!$P$77)*LN(10)/10),0)+LN(1+EXP(-ABS((LN(10^(逐级计算!$Q$77/10)-1)+逐级计算!$Q$77*(BY19-逐级计算!$P$77)*LN(10)/10))))))),"")</f>
        <v>13.798073753683</v>
      </c>
      <c r="CA19">
        <f>IF(AND(ISNUMBER(BZ19),逐级计算!$X$78&gt;-1),IF(逐级计算!$X$78=0,BZ19+逐级计算!$C$78,BZ19+逐级计算!$C$78-(10/(逐级计算!$Q$78*LN(10))*(MAX((LN(10^(逐级计算!$Q$78/10)-1)+逐级计算!$Q$78*(BZ19-逐级计算!$P$78)*LN(10)/10),0)+LN(1+EXP(-ABS((LN(10^(逐级计算!$Q$78/10)-1)+逐级计算!$Q$78*(BZ19-逐级计算!$P$78)*LN(10)/10))))))),"")</f>
        <v>13.798073753683</v>
      </c>
      <c r="CB19">
        <f>IF(AND(ISNUMBER(CA19),逐级计算!$X$79&gt;-1),IF(逐级计算!$X$79=0,CA19+逐级计算!$C$79,CA19+逐级计算!$C$79-(10/(逐级计算!$Q$79*LN(10))*(MAX((LN(10^(逐级计算!$Q$79/10)-1)+逐级计算!$Q$79*(CA19-逐级计算!$P$79)*LN(10)/10),0)+LN(1+EXP(-ABS((LN(10^(逐级计算!$Q$79/10)-1)+逐级计算!$Q$79*(CA19-逐级计算!$P$79)*LN(10)/10))))))),"")</f>
        <v>13.798073753683</v>
      </c>
      <c r="CC19">
        <f>IF(AND(ISNUMBER(CB19),逐级计算!$X$80&gt;-1),IF(逐级计算!$X$80=0,CB19+逐级计算!$C$80,CB19+逐级计算!$C$80-(10/(逐级计算!$Q$80*LN(10))*(MAX((LN(10^(逐级计算!$Q$80/10)-1)+逐级计算!$Q$80*(CB19-逐级计算!$P$80)*LN(10)/10),0)+LN(1+EXP(-ABS((LN(10^(逐级计算!$Q$80/10)-1)+逐级计算!$Q$80*(CB19-逐级计算!$P$80)*LN(10)/10))))))),"")</f>
        <v>13.798073753683</v>
      </c>
      <c r="CD19">
        <f>IF(AND(ISNUMBER(CC19),逐级计算!$X$81&gt;-1),IF(逐级计算!$X$81=0,CC19+逐级计算!$C$81,CC19+逐级计算!$C$81-(10/(逐级计算!$Q$81*LN(10))*(MAX((LN(10^(逐级计算!$Q$81/10)-1)+逐级计算!$Q$81*(CC19-逐级计算!$P$81)*LN(10)/10),0)+LN(1+EXP(-ABS((LN(10^(逐级计算!$Q$81/10)-1)+逐级计算!$Q$81*(CC19-逐级计算!$P$81)*LN(10)/10))))))),"")</f>
        <v>13.798073753683</v>
      </c>
      <c r="CE19">
        <f>IF(AND(ISNUMBER(CD19),逐级计算!$X$82&gt;-1),IF(逐级计算!$X$82=0,CD19+逐级计算!$C$82,CD19+逐级计算!$C$82-(10/(逐级计算!$Q$82*LN(10))*(MAX((LN(10^(逐级计算!$Q$82/10)-1)+逐级计算!$Q$82*(CD19-逐级计算!$P$82)*LN(10)/10),0)+LN(1+EXP(-ABS((LN(10^(逐级计算!$Q$82/10)-1)+逐级计算!$Q$82*(CD19-逐级计算!$P$82)*LN(10)/10))))))),"")</f>
        <v>13.798073753683</v>
      </c>
      <c r="CF19">
        <f>IF(AND(ISNUMBER(CE19),逐级计算!$X$83&gt;-1),IF(逐级计算!$X$83=0,CE19+逐级计算!$C$83,CE19+逐级计算!$C$83-(10/(逐级计算!$Q$83*LN(10))*(MAX((LN(10^(逐级计算!$Q$83/10)-1)+逐级计算!$Q$83*(CE19-逐级计算!$P$83)*LN(10)/10),0)+LN(1+EXP(-ABS((LN(10^(逐级计算!$Q$83/10)-1)+逐级计算!$Q$83*(CE19-逐级计算!$P$83)*LN(10)/10))))))),"")</f>
        <v>13.798073753683</v>
      </c>
      <c r="CG19">
        <f>IF(AND(ISNUMBER(CF19),逐级计算!$X$84&gt;-1),IF(逐级计算!$X$84=0,CF19+逐级计算!$C$84,CF19+逐级计算!$C$84-(10/(逐级计算!$Q$84*LN(10))*(MAX((LN(10^(逐级计算!$Q$84/10)-1)+逐级计算!$Q$84*(CF19-逐级计算!$P$84)*LN(10)/10),0)+LN(1+EXP(-ABS((LN(10^(逐级计算!$Q$84/10)-1)+逐级计算!$Q$84*(CF19-逐级计算!$P$84)*LN(10)/10))))))),"")</f>
        <v>13.798073753683</v>
      </c>
      <c r="CH19">
        <f>IF(AND(ISNUMBER(CG19),逐级计算!$X$85&gt;-1),IF(逐级计算!$X$85=0,CG19+逐级计算!$C$85,CG19+逐级计算!$C$85-(10/(逐级计算!$Q$85*LN(10))*(MAX((LN(10^(逐级计算!$Q$85/10)-1)+逐级计算!$Q$85*(CG19-逐级计算!$P$85)*LN(10)/10),0)+LN(1+EXP(-ABS((LN(10^(逐级计算!$Q$85/10)-1)+逐级计算!$Q$85*(CG19-逐级计算!$P$85)*LN(10)/10))))))),"")</f>
        <v>13.798073753683</v>
      </c>
      <c r="CI19">
        <f>IF(AND(ISNUMBER(CH19),逐级计算!$X$86&gt;-1),IF(逐级计算!$X$86=0,CH19+逐级计算!$C$86,CH19+逐级计算!$C$86-(10/(逐级计算!$Q$86*LN(10))*(MAX((LN(10^(逐级计算!$Q$86/10)-1)+逐级计算!$Q$86*(CH19-逐级计算!$P$86)*LN(10)/10),0)+LN(1+EXP(-ABS((LN(10^(逐级计算!$Q$86/10)-1)+逐级计算!$Q$86*(CH19-逐级计算!$P$86)*LN(10)/10))))))),"")</f>
        <v>13.798073753683</v>
      </c>
      <c r="CJ19">
        <f>IF(AND(ISNUMBER(CI19),逐级计算!$X$87&gt;-1),IF(逐级计算!$X$87=0,CI19+逐级计算!$C$87,CI19+逐级计算!$C$87-(10/(逐级计算!$Q$87*LN(10))*(MAX((LN(10^(逐级计算!$Q$87/10)-1)+逐级计算!$Q$87*(CI19-逐级计算!$P$87)*LN(10)/10),0)+LN(1+EXP(-ABS((LN(10^(逐级计算!$Q$87/10)-1)+逐级计算!$Q$87*(CI19-逐级计算!$P$87)*LN(10)/10))))))),"")</f>
        <v>13.798073753683</v>
      </c>
      <c r="CK19">
        <f>IF(AND(ISNUMBER(CJ19),逐级计算!$X$88&gt;-1),IF(逐级计算!$X$88=0,CJ19+逐级计算!$C$88,CJ19+逐级计算!$C$88-(10/(逐级计算!$Q$88*LN(10))*(MAX((LN(10^(逐级计算!$Q$88/10)-1)+逐级计算!$Q$88*(CJ19-逐级计算!$P$88)*LN(10)/10),0)+LN(1+EXP(-ABS((LN(10^(逐级计算!$Q$88/10)-1)+逐级计算!$Q$88*(CJ19-逐级计算!$P$88)*LN(10)/10))))))),"")</f>
        <v>13.798073753683</v>
      </c>
      <c r="CL19">
        <f>IF(AND(ISNUMBER(CK19),逐级计算!$X$89&gt;-1),IF(逐级计算!$X$89=0,CK19+逐级计算!$C$89,CK19+逐级计算!$C$89-(10/(逐级计算!$Q$89*LN(10))*(MAX((LN(10^(逐级计算!$Q$89/10)-1)+逐级计算!$Q$89*(CK19-逐级计算!$P$89)*LN(10)/10),0)+LN(1+EXP(-ABS((LN(10^(逐级计算!$Q$89/10)-1)+逐级计算!$Q$89*(CK19-逐级计算!$P$89)*LN(10)/10))))))),"")</f>
        <v>13.798073753683</v>
      </c>
      <c r="CM19">
        <f>IF(AND(ISNUMBER(CL19),逐级计算!$X$90&gt;-1),IF(逐级计算!$X$90=0,CL19+逐级计算!$C$90,CL19+逐级计算!$C$90-(10/(逐级计算!$Q$90*LN(10))*(MAX((LN(10^(逐级计算!$Q$90/10)-1)+逐级计算!$Q$90*(CL19-逐级计算!$P$90)*LN(10)/10),0)+LN(1+EXP(-ABS((LN(10^(逐级计算!$Q$90/10)-1)+逐级计算!$Q$90*(CL19-逐级计算!$P$90)*LN(10)/10))))))),"")</f>
        <v>13.798073753683</v>
      </c>
      <c r="CN19">
        <f>IF(AND(ISNUMBER(CM19),逐级计算!$X$91&gt;-1),IF(逐级计算!$X$91=0,CM19+逐级计算!$C$91,CM19+逐级计算!$C$91-(10/(逐级计算!$Q$91*LN(10))*(MAX((LN(10^(逐级计算!$Q$91/10)-1)+逐级计算!$Q$91*(CM19-逐级计算!$P$91)*LN(10)/10),0)+LN(1+EXP(-ABS((LN(10^(逐级计算!$Q$91/10)-1)+逐级计算!$Q$91*(CM19-逐级计算!$P$91)*LN(10)/10))))))),"")</f>
        <v>13.798073753683</v>
      </c>
      <c r="CO19">
        <f>IF(AND(ISNUMBER(CN19),逐级计算!$X$92&gt;-1),IF(逐级计算!$X$92=0,CN19+逐级计算!$C$92,CN19+逐级计算!$C$92-(10/(逐级计算!$Q$92*LN(10))*(MAX((LN(10^(逐级计算!$Q$92/10)-1)+逐级计算!$Q$92*(CN19-逐级计算!$P$92)*LN(10)/10),0)+LN(1+EXP(-ABS((LN(10^(逐级计算!$Q$92/10)-1)+逐级计算!$Q$92*(CN19-逐级计算!$P$92)*LN(10)/10))))))),"")</f>
        <v>13.798073753683</v>
      </c>
      <c r="CP19">
        <f>IF(AND(ISNUMBER(CO19),逐级计算!$X$93&gt;-1),IF(逐级计算!$X$93=0,CO19+逐级计算!$C$93,CO19+逐级计算!$C$93-(10/(逐级计算!$Q$93*LN(10))*(MAX((LN(10^(逐级计算!$Q$93/10)-1)+逐级计算!$Q$93*(CO19-逐级计算!$P$93)*LN(10)/10),0)+LN(1+EXP(-ABS((LN(10^(逐级计算!$Q$93/10)-1)+逐级计算!$Q$93*(CO19-逐级计算!$P$93)*LN(10)/10))))))),"")</f>
        <v>13.798073753683</v>
      </c>
      <c r="CQ19">
        <f>IF(AND(ISNUMBER(CP19),逐级计算!$X$94&gt;-1),IF(逐级计算!$X$94=0,CP19+逐级计算!$C$94,CP19+逐级计算!$C$94-(10/(逐级计算!$Q$94*LN(10))*(MAX((LN(10^(逐级计算!$Q$94/10)-1)+逐级计算!$Q$94*(CP19-逐级计算!$P$94)*LN(10)/10),0)+LN(1+EXP(-ABS((LN(10^(逐级计算!$Q$94/10)-1)+逐级计算!$Q$94*(CP19-逐级计算!$P$94)*LN(10)/10))))))),"")</f>
        <v>13.798073753683</v>
      </c>
      <c r="CR19">
        <f>IF(AND(ISNUMBER(CQ19),逐级计算!$X$95&gt;-1),IF(逐级计算!$X$95=0,CQ19+逐级计算!$C$95,CQ19+逐级计算!$C$95-(10/(逐级计算!$Q$95*LN(10))*(MAX((LN(10^(逐级计算!$Q$95/10)-1)+逐级计算!$Q$95*(CQ19-逐级计算!$P$95)*LN(10)/10),0)+LN(1+EXP(-ABS((LN(10^(逐级计算!$Q$95/10)-1)+逐级计算!$Q$95*(CQ19-逐级计算!$P$95)*LN(10)/10))))))),"")</f>
        <v>13.798073753683</v>
      </c>
      <c r="CS19">
        <f>IF(AND(ISNUMBER(CR19),逐级计算!$X$96&gt;-1),IF(逐级计算!$X$96=0,CR19+逐级计算!$C$96,CR19+逐级计算!$C$96-(10/(逐级计算!$Q$96*LN(10))*(MAX((LN(10^(逐级计算!$Q$96/10)-1)+逐级计算!$Q$96*(CR19-逐级计算!$P$96)*LN(10)/10),0)+LN(1+EXP(-ABS((LN(10^(逐级计算!$Q$96/10)-1)+逐级计算!$Q$96*(CR19-逐级计算!$P$96)*LN(10)/10))))))),"")</f>
        <v>13.798073753683</v>
      </c>
      <c r="CT19">
        <f>IF(AND(ISNUMBER(CS19),逐级计算!$X$97&gt;-1),IF(逐级计算!$X$97=0,CS19+逐级计算!$C$97,CS19+逐级计算!$C$97-(10/(逐级计算!$Q$97*LN(10))*(MAX((LN(10^(逐级计算!$Q$97/10)-1)+逐级计算!$Q$97*(CS19-逐级计算!$P$97)*LN(10)/10),0)+LN(1+EXP(-ABS((LN(10^(逐级计算!$Q$97/10)-1)+逐级计算!$Q$97*(CS19-逐级计算!$P$97)*LN(10)/10))))))),"")</f>
        <v>13.798073753683</v>
      </c>
      <c r="CU19">
        <f>IF(AND(ISNUMBER(CT19),逐级计算!$X$98&gt;-1),IF(逐级计算!$X$98=0,CT19+逐级计算!$C$98,CT19+逐级计算!$C$98-(10/(逐级计算!$Q$98*LN(10))*(MAX((LN(10^(逐级计算!$Q$98/10)-1)+逐级计算!$Q$98*(CT19-逐级计算!$P$98)*LN(10)/10),0)+LN(1+EXP(-ABS((LN(10^(逐级计算!$Q$98/10)-1)+逐级计算!$Q$98*(CT19-逐级计算!$P$98)*LN(10)/10))))))),"")</f>
        <v>13.798073753683</v>
      </c>
      <c r="CV19">
        <f>IF(AND(ISNUMBER(CU19),逐级计算!$X$99&gt;-1),IF(逐级计算!$X$99=0,CU19+逐级计算!$C$99,CU19+逐级计算!$C$99-(10/(逐级计算!$Q$99*LN(10))*(MAX((LN(10^(逐级计算!$Q$99/10)-1)+逐级计算!$Q$99*(CU19-逐级计算!$P$99)*LN(10)/10),0)+LN(1+EXP(-ABS((LN(10^(逐级计算!$Q$99/10)-1)+逐级计算!$Q$99*(CU19-逐级计算!$P$99)*LN(10)/10))))))),"")</f>
        <v>13.798073753683</v>
      </c>
      <c r="CW19">
        <f>IF(AND(ISNUMBER(CV19),逐级计算!$X$100&gt;-1),IF(逐级计算!$X$100=0,CV19+逐级计算!$C$100,CV19+逐级计算!$C$100-(10/(逐级计算!$Q$100*LN(10))*(MAX((LN(10^(逐级计算!$Q$100/10)-1)+逐级计算!$Q$100*(CV19-逐级计算!$P$100)*LN(10)/10),0)+LN(1+EXP(-ABS((LN(10^(逐级计算!$Q$100/10)-1)+逐级计算!$Q$100*(CV19-逐级计算!$P$100)*LN(10)/10))))))),"")</f>
        <v>13.798073753683</v>
      </c>
      <c r="CX19">
        <f>IF(AND(ISNUMBER(CW19),逐级计算!$X$101&gt;-1),IF(逐级计算!$X$101=0,CW19+逐级计算!$C$101,CW19+逐级计算!$C$101-(10/(逐级计算!$Q$101*LN(10))*(MAX((LN(10^(逐级计算!$Q$101/10)-1)+逐级计算!$Q$101*(CW19-逐级计算!$P$101)*LN(10)/10),0)+LN(1+EXP(-ABS((LN(10^(逐级计算!$Q$101/10)-1)+逐级计算!$Q$101*(CW19-逐级计算!$P$101)*LN(10)/10))))))),"")</f>
        <v>13.798073753683</v>
      </c>
      <c r="CY19">
        <f>IF(AND(ISNUMBER(CX19),逐级计算!$X$102&gt;-1),IF(逐级计算!$X$102=0,CX19+逐级计算!$C$102,CX19+逐级计算!$C$102-(10/(逐级计算!$Q$102*LN(10))*(MAX((LN(10^(逐级计算!$Q$102/10)-1)+逐级计算!$Q$102*(CX19-逐级计算!$P$102)*LN(10)/10),0)+LN(1+EXP(-ABS((LN(10^(逐级计算!$Q$102/10)-1)+逐级计算!$Q$102*(CX19-逐级计算!$P$102)*LN(10)/10))))))),"")</f>
        <v>13.798073753683</v>
      </c>
      <c r="CZ19">
        <f>IF(AND(ISNUMBER(CY19),逐级计算!$X$103&gt;-1),IF(逐级计算!$X$103=0,CY19+逐级计算!$C$103,CY19+逐级计算!$C$103-(10/(逐级计算!$Q$103*LN(10))*(MAX((LN(10^(逐级计算!$Q$103/10)-1)+逐级计算!$Q$103*(CY19-逐级计算!$P$103)*LN(10)/10),0)+LN(1+EXP(-ABS((LN(10^(逐级计算!$Q$103/10)-1)+逐级计算!$Q$103*(CY19-逐级计算!$P$103)*LN(10)/10))))))),"")</f>
        <v>13.798073753683</v>
      </c>
      <c r="DA19">
        <f>IF(AND(ISNUMBER(CZ19),逐级计算!$X$104&gt;-1),IF(逐级计算!$X$104=0,CZ19+逐级计算!$C$104,CZ19+逐级计算!$C$104-(10/(逐级计算!$Q$104*LN(10))*(MAX((LN(10^(逐级计算!$Q$104/10)-1)+逐级计算!$Q$104*(CZ19-逐级计算!$P$104)*LN(10)/10),0)+LN(1+EXP(-ABS((LN(10^(逐级计算!$Q$104/10)-1)+逐级计算!$Q$104*(CZ19-逐级计算!$P$104)*LN(10)/10))))))),"")</f>
        <v>13.798073753683</v>
      </c>
      <c r="DB19">
        <f>IF(AND(ISNUMBER(DA19),逐级计算!$X$105&gt;-1),IF(逐级计算!$X$105=0,DA19+逐级计算!$C$105,DA19+逐级计算!$C$105-(10/(逐级计算!$Q$105*LN(10))*(MAX((LN(10^(逐级计算!$Q$105/10)-1)+逐级计算!$Q$105*(DA19-逐级计算!$P$105)*LN(10)/10),0)+LN(1+EXP(-ABS((LN(10^(逐级计算!$Q$105/10)-1)+逐级计算!$Q$105*(DA19-逐级计算!$P$105)*LN(10)/10))))))),"")</f>
        <v>13.798073753683</v>
      </c>
      <c r="DC19">
        <f>IF(AND(ISNUMBER(DB19),逐级计算!$X$106&gt;-1),IF(逐级计算!$X$106=0,DB19+逐级计算!$C$106,DB19+逐级计算!$C$106-(10/(逐级计算!$Q$106*LN(10))*(MAX((LN(10^(逐级计算!$Q$106/10)-1)+逐级计算!$Q$106*(DB19-逐级计算!$P$106)*LN(10)/10),0)+LN(1+EXP(-ABS((LN(10^(逐级计算!$Q$106/10)-1)+逐级计算!$Q$106*(DB19-逐级计算!$P$106)*LN(10)/10))))))),"")</f>
        <v>13.798073753683</v>
      </c>
      <c r="DD19">
        <f>IF(AND(ISNUMBER(DC19),逐级计算!$X$107&gt;-1),IF(逐级计算!$X$107=0,DC19+逐级计算!$C$107,DC19+逐级计算!$C$107-(10/(逐级计算!$Q$107*LN(10))*(MAX((LN(10^(逐级计算!$Q$107/10)-1)+逐级计算!$Q$107*(DC19-逐级计算!$P$107)*LN(10)/10),0)+LN(1+EXP(-ABS((LN(10^(逐级计算!$Q$107/10)-1)+逐级计算!$Q$107*(DC19-逐级计算!$P$107)*LN(10)/10))))))),"")</f>
        <v>13.798073753683</v>
      </c>
      <c r="DE19">
        <f>IF(AND(ISNUMBER(DD19),逐级计算!$X$108&gt;-1),IF(逐级计算!$X$108=0,DD19+逐级计算!$C$108,DD19+逐级计算!$C$108-(10/(逐级计算!$Q$108*LN(10))*(MAX((LN(10^(逐级计算!$Q$108/10)-1)+逐级计算!$Q$108*(DD19-逐级计算!$P$108)*LN(10)/10),0)+LN(1+EXP(-ABS((LN(10^(逐级计算!$Q$108/10)-1)+逐级计算!$Q$108*(DD19-逐级计算!$P$108)*LN(10)/10))))))),"")</f>
        <v>13.798073753683</v>
      </c>
      <c r="DF19">
        <f>IF(AND(ISNUMBER(DE19),逐级计算!$X$109&gt;-1),IF(逐级计算!$X$109=0,DE19+逐级计算!$C$109,DE19+逐级计算!$C$109-(10/(逐级计算!$Q$109*LN(10))*(MAX((LN(10^(逐级计算!$Q$109/10)-1)+逐级计算!$Q$109*(DE19-逐级计算!$P$109)*LN(10)/10),0)+LN(1+EXP(-ABS((LN(10^(逐级计算!$Q$109/10)-1)+逐级计算!$Q$109*(DE19-逐级计算!$P$109)*LN(10)/10))))))),"")</f>
        <v>13.798073753683</v>
      </c>
      <c r="DG19">
        <f>IF(AND(ISNUMBER(DF19),逐级计算!$X$110&gt;-1),IF(逐级计算!$X$110=0,DF19+逐级计算!$C$110,DF19+逐级计算!$C$110-(10/(逐级计算!$Q$110*LN(10))*(MAX((LN(10^(逐级计算!$Q$110/10)-1)+逐级计算!$Q$110*(DF19-逐级计算!$P$110)*LN(10)/10),0)+LN(1+EXP(-ABS((LN(10^(逐级计算!$Q$110/10)-1)+逐级计算!$Q$110*(DF19-逐级计算!$P$110)*LN(10)/10))))))),"")</f>
        <v>13.798073753683</v>
      </c>
      <c r="DH19">
        <f>IF(AND(ISNUMBER(DG19),逐级计算!$X$111&gt;-1),IF(逐级计算!$X$111=0,DG19+逐级计算!$C$111,DG19+逐级计算!$C$111-(10/(逐级计算!$Q$111*LN(10))*(MAX((LN(10^(逐级计算!$Q$111/10)-1)+逐级计算!$Q$111*(DG19-逐级计算!$P$111)*LN(10)/10),0)+LN(1+EXP(-ABS((LN(10^(逐级计算!$Q$111/10)-1)+逐级计算!$Q$111*(DG19-逐级计算!$P$111)*LN(10)/10))))))),"")</f>
        <v>13.798073753683</v>
      </c>
      <c r="DI19">
        <f>IF(AND(ISNUMBER(DH19),逐级计算!$X$112&gt;-1),IF(逐级计算!$X$112=0,DH19+逐级计算!$C$112,DH19+逐级计算!$C$112-(10/(逐级计算!$Q$112*LN(10))*(MAX((LN(10^(逐级计算!$Q$112/10)-1)+逐级计算!$Q$112*(DH19-逐级计算!$P$112)*LN(10)/10),0)+LN(1+EXP(-ABS((LN(10^(逐级计算!$Q$112/10)-1)+逐级计算!$Q$112*(DH19-逐级计算!$P$112)*LN(10)/10))))))),"")</f>
        <v>13.798073753683</v>
      </c>
      <c r="DJ19">
        <f>IF(AND(ISNUMBER(DI19),逐级计算!$X$113&gt;-1),IF(逐级计算!$X$113=0,DI19+逐级计算!$C$113,DI19+逐级计算!$C$113-(10/(逐级计算!$Q$113*LN(10))*(MAX((LN(10^(逐级计算!$Q$113/10)-1)+逐级计算!$Q$113*(DI19-逐级计算!$P$113)*LN(10)/10),0)+LN(1+EXP(-ABS((LN(10^(逐级计算!$Q$113/10)-1)+逐级计算!$Q$113*(DI19-逐级计算!$P$113)*LN(10)/10))))))),"")</f>
        <v>13.798073753683</v>
      </c>
      <c r="DK19">
        <f>IF(AND(ISNUMBER(DJ19),逐级计算!$X$114&gt;-1),IF(逐级计算!$X$114=0,DJ19+逐级计算!$C$114,DJ19+逐级计算!$C$114-(10/(逐级计算!$Q$114*LN(10))*(MAX((LN(10^(逐级计算!$Q$114/10)-1)+逐级计算!$Q$114*(DJ19-逐级计算!$P$114)*LN(10)/10),0)+LN(1+EXP(-ABS((LN(10^(逐级计算!$Q$114/10)-1)+逐级计算!$Q$114*(DJ19-逐级计算!$P$114)*LN(10)/10))))))),"")</f>
        <v>13.798073753683</v>
      </c>
      <c r="DL19">
        <f>IF(AND(ISNUMBER(DK19),逐级计算!$X$115&gt;-1),IF(逐级计算!$X$115=0,DK19+逐级计算!$C$115,DK19+逐级计算!$C$115-(10/(逐级计算!$Q$115*LN(10))*(MAX((LN(10^(逐级计算!$Q$115/10)-1)+逐级计算!$Q$115*(DK19-逐级计算!$P$115)*LN(10)/10),0)+LN(1+EXP(-ABS((LN(10^(逐级计算!$Q$115/10)-1)+逐级计算!$Q$115*(DK19-逐级计算!$P$115)*LN(10)/10))))))),"")</f>
        <v>13.798073753683</v>
      </c>
      <c r="DM19">
        <f>IF(AND(ISNUMBER(DL19),逐级计算!$X$116&gt;-1),IF(逐级计算!$X$116=0,DL19+逐级计算!$C$116,DL19+逐级计算!$C$116-(10/(逐级计算!$Q$116*LN(10))*(MAX((LN(10^(逐级计算!$Q$116/10)-1)+逐级计算!$Q$116*(DL19-逐级计算!$P$116)*LN(10)/10),0)+LN(1+EXP(-ABS((LN(10^(逐级计算!$Q$116/10)-1)+逐级计算!$Q$116*(DL19-逐级计算!$P$116)*LN(10)/10))))))),"")</f>
        <v>13.798073753683</v>
      </c>
      <c r="DN19">
        <f>IF(AND(ISNUMBER(DM19),逐级计算!$X$117&gt;-1),IF(逐级计算!$X$117=0,DM19+逐级计算!$C$117,DM19+逐级计算!$C$117-(10/(逐级计算!$Q$117*LN(10))*(MAX((LN(10^(逐级计算!$Q$117/10)-1)+逐级计算!$Q$117*(DM19-逐级计算!$P$117)*LN(10)/10),0)+LN(1+EXP(-ABS((LN(10^(逐级计算!$Q$117/10)-1)+逐级计算!$Q$117*(DM19-逐级计算!$P$117)*LN(10)/10))))))),"")</f>
        <v>13.798073753683</v>
      </c>
      <c r="DO19">
        <f>IF(AND(ISNUMBER(DN19),逐级计算!$X$118&gt;-1),IF(逐级计算!$X$118=0,DN19+逐级计算!$C$118,DN19+逐级计算!$C$118-(10/(逐级计算!$Q$118*LN(10))*(MAX((LN(10^(逐级计算!$Q$118/10)-1)+逐级计算!$Q$118*(DN19-逐级计算!$P$118)*LN(10)/10),0)+LN(1+EXP(-ABS((LN(10^(逐级计算!$Q$118/10)-1)+逐级计算!$Q$118*(DN19-逐级计算!$P$118)*LN(10)/10))))))),"")</f>
        <v>13.798073753683</v>
      </c>
      <c r="DP19">
        <f>IF(AND(ISNUMBER(DO19),逐级计算!$X$119&gt;-1),IF(逐级计算!$X$119=0,DO19+逐级计算!$C$119,DO19+逐级计算!$C$119-(10/(逐级计算!$Q$119*LN(10))*(MAX((LN(10^(逐级计算!$Q$119/10)-1)+逐级计算!$Q$119*(DO19-逐级计算!$P$119)*LN(10)/10),0)+LN(1+EXP(-ABS((LN(10^(逐级计算!$Q$119/10)-1)+逐级计算!$Q$119*(DO19-逐级计算!$P$119)*LN(10)/10))))))),"")</f>
        <v>13.798073753683</v>
      </c>
      <c r="DQ19">
        <f>IF(AND(ISNUMBER(DP19),逐级计算!$X$120&gt;-1),IF(逐级计算!$X$120=0,DP19+逐级计算!$C$120,DP19+逐级计算!$C$120-(10/(逐级计算!$Q$120*LN(10))*(MAX((LN(10^(逐级计算!$Q$120/10)-1)+逐级计算!$Q$120*(DP19-逐级计算!$P$120)*LN(10)/10),0)+LN(1+EXP(-ABS((LN(10^(逐级计算!$Q$120/10)-1)+逐级计算!$Q$120*(DP19-逐级计算!$P$120)*LN(10)/10))))))),"")</f>
        <v>13.798073753683</v>
      </c>
      <c r="DR19">
        <f>IF(AND(ISNUMBER(DQ19),逐级计算!$X$121&gt;-1),IF(逐级计算!$X$121=0,DQ19+逐级计算!$C$121,DQ19+逐级计算!$C$121-(10/(逐级计算!$Q$121*LN(10))*(MAX((LN(10^(逐级计算!$Q$121/10)-1)+逐级计算!$Q$121*(DQ19-逐级计算!$P$121)*LN(10)/10),0)+LN(1+EXP(-ABS((LN(10^(逐级计算!$Q$121/10)-1)+逐级计算!$Q$121*(DQ19-逐级计算!$P$121)*LN(10)/10))))))),"")</f>
        <v>13.798073753683</v>
      </c>
      <c r="DS19">
        <f>IF(AND(ISNUMBER(DR19),逐级计算!$X$122&gt;-1),IF(逐级计算!$X$122=0,DR19+逐级计算!$C$122,DR19+逐级计算!$C$122-(10/(逐级计算!$Q$122*LN(10))*(MAX((LN(10^(逐级计算!$Q$122/10)-1)+逐级计算!$Q$122*(DR19-逐级计算!$P$122)*LN(10)/10),0)+LN(1+EXP(-ABS((LN(10^(逐级计算!$Q$122/10)-1)+逐级计算!$Q$122*(DR19-逐级计算!$P$122)*LN(10)/10))))))),"")</f>
        <v>13.798073753683</v>
      </c>
      <c r="DT19">
        <f>IF(AND(ISNUMBER(DS19),逐级计算!$X$123&gt;-1),IF(逐级计算!$X$123=0,DS19+逐级计算!$C$123,DS19+逐级计算!$C$123-(10/(逐级计算!$Q$123*LN(10))*(MAX((LN(10^(逐级计算!$Q$123/10)-1)+逐级计算!$Q$123*(DS19-逐级计算!$P$123)*LN(10)/10),0)+LN(1+EXP(-ABS((LN(10^(逐级计算!$Q$123/10)-1)+逐级计算!$Q$123*(DS19-逐级计算!$P$123)*LN(10)/10))))))),"")</f>
        <v>13.798073753683</v>
      </c>
      <c r="DU19">
        <f>IF(AND(ISNUMBER(DT19),逐级计算!$X$124&gt;-1),IF(逐级计算!$X$124=0,DT19+逐级计算!$C$124,DT19+逐级计算!$C$124-(10/(逐级计算!$Q$124*LN(10))*(MAX((LN(10^(逐级计算!$Q$124/10)-1)+逐级计算!$Q$124*(DT19-逐级计算!$P$124)*LN(10)/10),0)+LN(1+EXP(-ABS((LN(10^(逐级计算!$Q$124/10)-1)+逐级计算!$Q$124*(DT19-逐级计算!$P$124)*LN(10)/10))))))),"")</f>
        <v>13.798073753683</v>
      </c>
      <c r="DV19">
        <f>IF(AND(ISNUMBER(DU19),逐级计算!$X$125&gt;-1),IF(逐级计算!$X$125=0,DU19+逐级计算!$C$125,DU19+逐级计算!$C$125-(10/(逐级计算!$Q$125*LN(10))*(MAX((LN(10^(逐级计算!$Q$125/10)-1)+逐级计算!$Q$125*(DU19-逐级计算!$P$125)*LN(10)/10),0)+LN(1+EXP(-ABS((LN(10^(逐级计算!$Q$125/10)-1)+逐级计算!$Q$125*(DU19-逐级计算!$P$125)*LN(10)/10))))))),"")</f>
        <v>13.798073753683</v>
      </c>
      <c r="DW19">
        <f>IF(AND(ISNUMBER(DV19),逐级计算!$X$126&gt;-1),IF(逐级计算!$X$126=0,DV19+逐级计算!$C$126,DV19+逐级计算!$C$126-(10/(逐级计算!$Q$126*LN(10))*(MAX((LN(10^(逐级计算!$Q$126/10)-1)+逐级计算!$Q$126*(DV19-逐级计算!$P$126)*LN(10)/10),0)+LN(1+EXP(-ABS((LN(10^(逐级计算!$Q$126/10)-1)+逐级计算!$Q$126*(DV19-逐级计算!$P$126)*LN(10)/10))))))),"")</f>
        <v>13.798073753683</v>
      </c>
      <c r="DX19">
        <f>IF(AND(ISNUMBER(DW19),逐级计算!$X$127&gt;-1),IF(逐级计算!$X$127=0,DW19+逐级计算!$C$127,DW19+逐级计算!$C$127-(10/(逐级计算!$Q$127*LN(10))*(MAX((LN(10^(逐级计算!$Q$127/10)-1)+逐级计算!$Q$127*(DW19-逐级计算!$P$127)*LN(10)/10),0)+LN(1+EXP(-ABS((LN(10^(逐级计算!$Q$127/10)-1)+逐级计算!$Q$127*(DW19-逐级计算!$P$127)*LN(10)/10))))))),"")</f>
        <v>13.798073753683</v>
      </c>
      <c r="DY19">
        <f>IF(AND(ISNUMBER(DX19),逐级计算!$X$128&gt;-1),IF(逐级计算!$X$128=0,DX19+逐级计算!$C$128,DX19+逐级计算!$C$128-(10/(逐级计算!$Q$128*LN(10))*(MAX((LN(10^(逐级计算!$Q$128/10)-1)+逐级计算!$Q$128*(DX19-逐级计算!$P$128)*LN(10)/10),0)+LN(1+EXP(-ABS((LN(10^(逐级计算!$Q$128/10)-1)+逐级计算!$Q$128*(DX19-逐级计算!$P$128)*LN(10)/10))))))),"")</f>
        <v>13.798073753683</v>
      </c>
      <c r="DZ19">
        <f>IF(AND(ISNUMBER(DY19),逐级计算!$X$129&gt;-1),IF(逐级计算!$X$129=0,DY19+逐级计算!$C$129,DY19+逐级计算!$C$129-(10/(逐级计算!$Q$129*LN(10))*(MAX((LN(10^(逐级计算!$Q$129/10)-1)+逐级计算!$Q$129*(DY19-逐级计算!$P$129)*LN(10)/10),0)+LN(1+EXP(-ABS((LN(10^(逐级计算!$Q$129/10)-1)+逐级计算!$Q$129*(DY19-逐级计算!$P$129)*LN(10)/10))))))),"")</f>
        <v>13.798073753683</v>
      </c>
      <c r="EA19">
        <f>IF(AND(ISNUMBER(DZ19),逐级计算!$X$130&gt;-1),IF(逐级计算!$X$130=0,DZ19+逐级计算!$C$130,DZ19+逐级计算!$C$130-(10/(逐级计算!$Q$130*LN(10))*(MAX((LN(10^(逐级计算!$Q$130/10)-1)+逐级计算!$Q$130*(DZ19-逐级计算!$P$130)*LN(10)/10),0)+LN(1+EXP(-ABS((LN(10^(逐级计算!$Q$130/10)-1)+逐级计算!$Q$130*(DZ19-逐级计算!$P$130)*LN(10)/10))))))),"")</f>
        <v>13.798073753683</v>
      </c>
      <c r="EB19">
        <f>IF(AND(ISNUMBER(EA19),逐级计算!$X$131&gt;-1),IF(逐级计算!$X$131=0,EA19+逐级计算!$C$131,EA19+逐级计算!$C$131-(10/(逐级计算!$Q$131*LN(10))*(MAX((LN(10^(逐级计算!$Q$131/10)-1)+逐级计算!$Q$131*(EA19-逐级计算!$P$131)*LN(10)/10),0)+LN(1+EXP(-ABS((LN(10^(逐级计算!$Q$131/10)-1)+逐级计算!$Q$131*(EA19-逐级计算!$P$131)*LN(10)/10))))))),"")</f>
        <v>13.798073753683</v>
      </c>
      <c r="EC19">
        <f>IF(AND(ISNUMBER(EB19),逐级计算!$X$132&gt;-1),IF(逐级计算!$X$132=0,EB19+逐级计算!$C$132,EB19+逐级计算!$C$132-(10/(逐级计算!$Q$132*LN(10))*(MAX((LN(10^(逐级计算!$Q$132/10)-1)+逐级计算!$Q$132*(EB19-逐级计算!$P$132)*LN(10)/10),0)+LN(1+EXP(-ABS((LN(10^(逐级计算!$Q$132/10)-1)+逐级计算!$Q$132*(EB19-逐级计算!$P$132)*LN(10)/10))))))),"")</f>
        <v>13.798073753683</v>
      </c>
      <c r="ED19">
        <f>IF(AND(ISNUMBER(EC19),逐级计算!$X$133&gt;-1),IF(逐级计算!$X$133=0,EC19+逐级计算!$C$133,EC19+逐级计算!$C$133-(10/(逐级计算!$Q$133*LN(10))*(MAX((LN(10^(逐级计算!$Q$133/10)-1)+逐级计算!$Q$133*(EC19-逐级计算!$P$133)*LN(10)/10),0)+LN(1+EXP(-ABS((LN(10^(逐级计算!$Q$133/10)-1)+逐级计算!$Q$133*(EC19-逐级计算!$P$133)*LN(10)/10))))))),"")</f>
        <v>13.798073753683</v>
      </c>
      <c r="EE19">
        <f>IF(AND(ISNUMBER(ED19),逐级计算!$X$134&gt;-1),IF(逐级计算!$X$134=0,ED19+逐级计算!$C$134,ED19+逐级计算!$C$134-(10/(逐级计算!$Q$134*LN(10))*(MAX((LN(10^(逐级计算!$Q$134/10)-1)+逐级计算!$Q$134*(ED19-逐级计算!$P$134)*LN(10)/10),0)+LN(1+EXP(-ABS((LN(10^(逐级计算!$Q$134/10)-1)+逐级计算!$Q$134*(ED19-逐级计算!$P$134)*LN(10)/10))))))),"")</f>
        <v>13.798073753683</v>
      </c>
      <c r="EF19">
        <f>IF(AND(ISNUMBER(EE19),逐级计算!$X$135&gt;-1),IF(逐级计算!$X$135=0,EE19+逐级计算!$C$135,EE19+逐级计算!$C$135-(10/(逐级计算!$Q$135*LN(10))*(MAX((LN(10^(逐级计算!$Q$135/10)-1)+逐级计算!$Q$135*(EE19-逐级计算!$P$135)*LN(10)/10),0)+LN(1+EXP(-ABS((LN(10^(逐级计算!$Q$135/10)-1)+逐级计算!$Q$135*(EE19-逐级计算!$P$135)*LN(10)/10))))))),"")</f>
        <v>13.798073753683</v>
      </c>
      <c r="EG19">
        <f>IF(AND(ISNUMBER(EF19),逐级计算!$X$136&gt;-1),IF(逐级计算!$X$136=0,EF19+逐级计算!$C$136,EF19+逐级计算!$C$136-(10/(逐级计算!$Q$136*LN(10))*(MAX((LN(10^(逐级计算!$Q$136/10)-1)+逐级计算!$Q$136*(EF19-逐级计算!$P$136)*LN(10)/10),0)+LN(1+EXP(-ABS((LN(10^(逐级计算!$Q$136/10)-1)+逐级计算!$Q$136*(EF19-逐级计算!$P$136)*LN(10)/10))))))),"")</f>
        <v>13.798073753683</v>
      </c>
      <c r="EH19">
        <f>IF(AND(ISNUMBER(EG19),逐级计算!$X$137&gt;-1),IF(逐级计算!$X$137=0,EG19+逐级计算!$C$137,EG19+逐级计算!$C$137-(10/(逐级计算!$Q$137*LN(10))*(MAX((LN(10^(逐级计算!$Q$137/10)-1)+逐级计算!$Q$137*(EG19-逐级计算!$P$137)*LN(10)/10),0)+LN(1+EXP(-ABS((LN(10^(逐级计算!$Q$137/10)-1)+逐级计算!$Q$137*(EG19-逐级计算!$P$137)*LN(10)/10))))))),"")</f>
        <v>13.798073753683</v>
      </c>
      <c r="EI19">
        <f>IF(AND(ISNUMBER(EH19),逐级计算!$X$138&gt;-1),IF(逐级计算!$X$138=0,EH19+逐级计算!$C$138,EH19+逐级计算!$C$138-(10/(逐级计算!$Q$138*LN(10))*(MAX((LN(10^(逐级计算!$Q$138/10)-1)+逐级计算!$Q$138*(EH19-逐级计算!$P$138)*LN(10)/10),0)+LN(1+EXP(-ABS((LN(10^(逐级计算!$Q$138/10)-1)+逐级计算!$Q$138*(EH19-逐级计算!$P$138)*LN(10)/10))))))),"")</f>
        <v>13.798073753683</v>
      </c>
      <c r="EJ19">
        <f>IF(AND(ISNUMBER(EI19),逐级计算!$X$139&gt;-1),IF(逐级计算!$X$139=0,EI19+逐级计算!$C$139,EI19+逐级计算!$C$139-(10/(逐级计算!$Q$139*LN(10))*(MAX((LN(10^(逐级计算!$Q$139/10)-1)+逐级计算!$Q$139*(EI19-逐级计算!$P$139)*LN(10)/10),0)+LN(1+EXP(-ABS((LN(10^(逐级计算!$Q$139/10)-1)+逐级计算!$Q$139*(EI19-逐级计算!$P$139)*LN(10)/10))))))),"")</f>
        <v>13.798073753683</v>
      </c>
      <c r="EK19">
        <f>IF(AND(ISNUMBER(EJ19),逐级计算!$X$140&gt;-1),IF(逐级计算!$X$140=0,EJ19+逐级计算!$C$140,EJ19+逐级计算!$C$140-(10/(逐级计算!$Q$140*LN(10))*(MAX((LN(10^(逐级计算!$Q$140/10)-1)+逐级计算!$Q$140*(EJ19-逐级计算!$P$140)*LN(10)/10),0)+LN(1+EXP(-ABS((LN(10^(逐级计算!$Q$140/10)-1)+逐级计算!$Q$140*(EJ19-逐级计算!$P$140)*LN(10)/10))))))),"")</f>
        <v>13.798073753683</v>
      </c>
      <c r="EL19">
        <f>IF(AND(ISNUMBER(EK19),逐级计算!$X$141&gt;-1),IF(逐级计算!$X$141=0,EK19+逐级计算!$C$141,EK19+逐级计算!$C$141-(10/(逐级计算!$Q$141*LN(10))*(MAX((LN(10^(逐级计算!$Q$141/10)-1)+逐级计算!$Q$141*(EK19-逐级计算!$P$141)*LN(10)/10),0)+LN(1+EXP(-ABS((LN(10^(逐级计算!$Q$141/10)-1)+逐级计算!$Q$141*(EK19-逐级计算!$P$141)*LN(10)/10))))))),"")</f>
        <v>13.798073753683</v>
      </c>
      <c r="EM19">
        <f>IF(AND(ISNUMBER(EL19),逐级计算!$X$142&gt;-1),IF(逐级计算!$X$142=0,EL19+逐级计算!$C$142,EL19+逐级计算!$C$142-(10/(逐级计算!$Q$142*LN(10))*(MAX((LN(10^(逐级计算!$Q$142/10)-1)+逐级计算!$Q$142*(EL19-逐级计算!$P$142)*LN(10)/10),0)+LN(1+EXP(-ABS((LN(10^(逐级计算!$Q$142/10)-1)+逐级计算!$Q$142*(EL19-逐级计算!$P$142)*LN(10)/10))))))),"")</f>
        <v>13.798073753683</v>
      </c>
      <c r="EN19">
        <f>IF(AND(ISNUMBER(EM19),逐级计算!$X$143&gt;-1),IF(逐级计算!$X$143=0,EM19+逐级计算!$C$143,EM19+逐级计算!$C$143-(10/(逐级计算!$Q$143*LN(10))*(MAX((LN(10^(逐级计算!$Q$143/10)-1)+逐级计算!$Q$143*(EM19-逐级计算!$P$143)*LN(10)/10),0)+LN(1+EXP(-ABS((LN(10^(逐级计算!$Q$143/10)-1)+逐级计算!$Q$143*(EM19-逐级计算!$P$143)*LN(10)/10))))))),"")</f>
        <v>13.798073753683</v>
      </c>
      <c r="EO19">
        <f>IF(AND(ISNUMBER(EN19),逐级计算!$X$144&gt;-1),IF(逐级计算!$X$144=0,EN19+逐级计算!$C$144,EN19+逐级计算!$C$144-(10/(逐级计算!$Q$144*LN(10))*(MAX((LN(10^(逐级计算!$Q$144/10)-1)+逐级计算!$Q$144*(EN19-逐级计算!$P$144)*LN(10)/10),0)+LN(1+EXP(-ABS((LN(10^(逐级计算!$Q$144/10)-1)+逐级计算!$Q$144*(EN19-逐级计算!$P$144)*LN(10)/10))))))),"")</f>
        <v>13.798073753683</v>
      </c>
      <c r="EP19">
        <f>IF(AND(ISNUMBER(EO19),逐级计算!$X$145&gt;-1),IF(逐级计算!$X$145=0,EO19+逐级计算!$C$145,EO19+逐级计算!$C$145-(10/(逐级计算!$Q$145*LN(10))*(MAX((LN(10^(逐级计算!$Q$145/10)-1)+逐级计算!$Q$145*(EO19-逐级计算!$P$145)*LN(10)/10),0)+LN(1+EXP(-ABS((LN(10^(逐级计算!$Q$145/10)-1)+逐级计算!$Q$145*(EO19-逐级计算!$P$145)*LN(10)/10))))))),"")</f>
        <v>13.798073753683</v>
      </c>
      <c r="EQ19">
        <f>IF(AND(ISNUMBER(EP19),逐级计算!$X$146&gt;-1),IF(逐级计算!$X$146=0,EP19+逐级计算!$C$146,EP19+逐级计算!$C$146-(10/(逐级计算!$Q$146*LN(10))*(MAX((LN(10^(逐级计算!$Q$146/10)-1)+逐级计算!$Q$146*(EP19-逐级计算!$P$146)*LN(10)/10),0)+LN(1+EXP(-ABS((LN(10^(逐级计算!$Q$146/10)-1)+逐级计算!$Q$146*(EP19-逐级计算!$P$146)*LN(10)/10))))))),"")</f>
        <v>13.798073753683</v>
      </c>
      <c r="ER19">
        <f>IF(AND(ISNUMBER(EQ19),逐级计算!$X$147&gt;-1),IF(逐级计算!$X$147=0,EQ19+逐级计算!$C$147,EQ19+逐级计算!$C$147-(10/(逐级计算!$Q$147*LN(10))*(MAX((LN(10^(逐级计算!$Q$147/10)-1)+逐级计算!$Q$147*(EQ19-逐级计算!$P$147)*LN(10)/10),0)+LN(1+EXP(-ABS((LN(10^(逐级计算!$Q$147/10)-1)+逐级计算!$Q$147*(EQ19-逐级计算!$P$147)*LN(10)/10))))))),"")</f>
        <v>13.798073753683</v>
      </c>
      <c r="ES19">
        <f>IF(AND(ISNUMBER(ER19),逐级计算!$X$148&gt;-1),IF(逐级计算!$X$148=0,ER19+逐级计算!$C$148,ER19+逐级计算!$C$148-(10/(逐级计算!$Q$148*LN(10))*(MAX((LN(10^(逐级计算!$Q$148/10)-1)+逐级计算!$Q$148*(ER19-逐级计算!$P$148)*LN(10)/10),0)+LN(1+EXP(-ABS((LN(10^(逐级计算!$Q$148/10)-1)+逐级计算!$Q$148*(ER19-逐级计算!$P$148)*LN(10)/10))))))),"")</f>
        <v>13.798073753683</v>
      </c>
      <c r="ET19">
        <f>IF(AND(ISNUMBER(ES19),逐级计算!$X$149&gt;-1),IF(逐级计算!$X$149=0,ES19+逐级计算!$C$149,ES19+逐级计算!$C$149-(10/(逐级计算!$Q$149*LN(10))*(MAX((LN(10^(逐级计算!$Q$149/10)-1)+逐级计算!$Q$149*(ES19-逐级计算!$P$149)*LN(10)/10),0)+LN(1+EXP(-ABS((LN(10^(逐级计算!$Q$149/10)-1)+逐级计算!$Q$149*(ES19-逐级计算!$P$149)*LN(10)/10))))))),"")</f>
        <v>13.798073753683</v>
      </c>
      <c r="EU19">
        <f>IF(AND(ISNUMBER(ET19),逐级计算!$X$150&gt;-1),IF(逐级计算!$X$150=0,ET19+逐级计算!$C$150,ET19+逐级计算!$C$150-(10/(逐级计算!$Q$150*LN(10))*(MAX((LN(10^(逐级计算!$Q$150/10)-1)+逐级计算!$Q$150*(ET19-逐级计算!$P$150)*LN(10)/10),0)+LN(1+EXP(-ABS((LN(10^(逐级计算!$Q$150/10)-1)+逐级计算!$Q$150*(ET19-逐级计算!$P$150)*LN(10)/10))))))),"")</f>
        <v>13.798073753683</v>
      </c>
      <c r="EV19">
        <f>IF(AND(ISNUMBER(EU19),逐级计算!$X$151&gt;-1),IF(逐级计算!$X$151=0,EU19+逐级计算!$C$151,EU19+逐级计算!$C$151-(10/(逐级计算!$Q$151*LN(10))*(MAX((LN(10^(逐级计算!$Q$151/10)-1)+逐级计算!$Q$151*(EU19-逐级计算!$P$151)*LN(10)/10),0)+LN(1+EXP(-ABS((LN(10^(逐级计算!$Q$151/10)-1)+逐级计算!$Q$151*(EU19-逐级计算!$P$151)*LN(10)/10))))))),"")</f>
        <v>13.798073753683</v>
      </c>
      <c r="EW19">
        <f>IF(AND(ISNUMBER(EV19),逐级计算!$X$152&gt;-1),IF(逐级计算!$X$152=0,EV19+逐级计算!$C$152,EV19+逐级计算!$C$152-(10/(逐级计算!$Q$152*LN(10))*(MAX((LN(10^(逐级计算!$Q$152/10)-1)+逐级计算!$Q$152*(EV19-逐级计算!$P$152)*LN(10)/10),0)+LN(1+EXP(-ABS((LN(10^(逐级计算!$Q$152/10)-1)+逐级计算!$Q$152*(EV19-逐级计算!$P$152)*LN(10)/10))))))),"")</f>
        <v>13.798073753683</v>
      </c>
      <c r="EX19">
        <f>IF(AND(ISNUMBER(EW19),逐级计算!$X$153&gt;-1),IF(逐级计算!$X$153=0,EW19+逐级计算!$C$153,EW19+逐级计算!$C$153-(10/(逐级计算!$Q$153*LN(10))*(MAX((LN(10^(逐级计算!$Q$153/10)-1)+逐级计算!$Q$153*(EW19-逐级计算!$P$153)*LN(10)/10),0)+LN(1+EXP(-ABS((LN(10^(逐级计算!$Q$153/10)-1)+逐级计算!$Q$153*(EW19-逐级计算!$P$153)*LN(10)/10))))))),"")</f>
        <v>13.798073753683</v>
      </c>
      <c r="EY19">
        <f>IF(AND(ISNUMBER(EX19),逐级计算!$X$154&gt;-1),IF(逐级计算!$X$154=0,EX19+逐级计算!$C$154,EX19+逐级计算!$C$154-(10/(逐级计算!$Q$154*LN(10))*(MAX((LN(10^(逐级计算!$Q$154/10)-1)+逐级计算!$Q$154*(EX19-逐级计算!$P$154)*LN(10)/10),0)+LN(1+EXP(-ABS((LN(10^(逐级计算!$Q$154/10)-1)+逐级计算!$Q$154*(EX19-逐级计算!$P$154)*LN(10)/10))))))),"")</f>
        <v>13.798073753683</v>
      </c>
      <c r="EZ19">
        <f>IF(AND(ISNUMBER(EY19),逐级计算!$X$155&gt;-1),IF(逐级计算!$X$155=0,EY19+逐级计算!$C$155,EY19+逐级计算!$C$155-(10/(逐级计算!$Q$155*LN(10))*(MAX((LN(10^(逐级计算!$Q$155/10)-1)+逐级计算!$Q$155*(EY19-逐级计算!$P$155)*LN(10)/10),0)+LN(1+EXP(-ABS((LN(10^(逐级计算!$Q$155/10)-1)+逐级计算!$Q$155*(EY19-逐级计算!$P$155)*LN(10)/10))))))),"")</f>
        <v>13.798073753683</v>
      </c>
      <c r="FA19">
        <f>IF(AND(ISNUMBER(EZ19),逐级计算!$X$156&gt;-1),IF(逐级计算!$X$156=0,EZ19+逐级计算!$C$156,EZ19+逐级计算!$C$156-(10/(逐级计算!$Q$156*LN(10))*(MAX((LN(10^(逐级计算!$Q$156/10)-1)+逐级计算!$Q$156*(EZ19-逐级计算!$P$156)*LN(10)/10),0)+LN(1+EXP(-ABS((LN(10^(逐级计算!$Q$156/10)-1)+逐级计算!$Q$156*(EZ19-逐级计算!$P$156)*LN(10)/10))))))),"")</f>
        <v>13.798073753683</v>
      </c>
      <c r="FB19">
        <f>IF(AND(ISNUMBER(FA19),逐级计算!$X$157&gt;-1),IF(逐级计算!$X$157=0,FA19+逐级计算!$C$157,FA19+逐级计算!$C$157-(10/(逐级计算!$Q$157*LN(10))*(MAX((LN(10^(逐级计算!$Q$157/10)-1)+逐级计算!$Q$157*(FA19-逐级计算!$P$157)*LN(10)/10),0)+LN(1+EXP(-ABS((LN(10^(逐级计算!$Q$157/10)-1)+逐级计算!$Q$157*(FA19-逐级计算!$P$157)*LN(10)/10))))))),"")</f>
        <v>13.798073753683</v>
      </c>
      <c r="FC19">
        <f>IF(AND(ISNUMBER(FB19),逐级计算!$X$158&gt;-1),IF(逐级计算!$X$158=0,FB19+逐级计算!$C$158,FB19+逐级计算!$C$158-(10/(逐级计算!$Q$158*LN(10))*(MAX((LN(10^(逐级计算!$Q$158/10)-1)+逐级计算!$Q$158*(FB19-逐级计算!$P$158)*LN(10)/10),0)+LN(1+EXP(-ABS((LN(10^(逐级计算!$Q$158/10)-1)+逐级计算!$Q$158*(FB19-逐级计算!$P$158)*LN(10)/10))))))),"")</f>
        <v>13.798073753683</v>
      </c>
      <c r="FD19">
        <f>IF(AND(ISNUMBER(FC19),逐级计算!$X$159&gt;-1),IF(逐级计算!$X$159=0,FC19+逐级计算!$C$159,FC19+逐级计算!$C$159-(10/(逐级计算!$Q$159*LN(10))*(MAX((LN(10^(逐级计算!$Q$159/10)-1)+逐级计算!$Q$159*(FC19-逐级计算!$P$159)*LN(10)/10),0)+LN(1+EXP(-ABS((LN(10^(逐级计算!$Q$159/10)-1)+逐级计算!$Q$159*(FC19-逐级计算!$P$159)*LN(10)/10))))))),"")</f>
        <v>13.798073753683</v>
      </c>
      <c r="FE19">
        <f>IF(AND(ISNUMBER(FD19),逐级计算!$X$160&gt;-1),IF(逐级计算!$X$160=0,FD19+逐级计算!$C$160,FD19+逐级计算!$C$160-(10/(逐级计算!$Q$160*LN(10))*(MAX((LN(10^(逐级计算!$Q$160/10)-1)+逐级计算!$Q$160*(FD19-逐级计算!$P$160)*LN(10)/10),0)+LN(1+EXP(-ABS((LN(10^(逐级计算!$Q$160/10)-1)+逐级计算!$Q$160*(FD19-逐级计算!$P$160)*LN(10)/10))))))),"")</f>
        <v>13.798073753683</v>
      </c>
      <c r="FF19">
        <f>IF(AND(ISNUMBER(FE19),逐级计算!$X$161&gt;-1),IF(逐级计算!$X$161=0,FE19+逐级计算!$C$161,FE19+逐级计算!$C$161-(10/(逐级计算!$Q$161*LN(10))*(MAX((LN(10^(逐级计算!$Q$161/10)-1)+逐级计算!$Q$161*(FE19-逐级计算!$P$161)*LN(10)/10),0)+LN(1+EXP(-ABS((LN(10^(逐级计算!$Q$161/10)-1)+逐级计算!$Q$161*(FE19-逐级计算!$P$161)*LN(10)/10))))))),"")</f>
        <v>13.798073753683</v>
      </c>
      <c r="FG19">
        <f>IF(AND(ISNUMBER(FF19),逐级计算!$X$162&gt;-1),IF(逐级计算!$X$162=0,FF19+逐级计算!$C$162,FF19+逐级计算!$C$162-(10/(逐级计算!$Q$162*LN(10))*(MAX((LN(10^(逐级计算!$Q$162/10)-1)+逐级计算!$Q$162*(FF19-逐级计算!$P$162)*LN(10)/10),0)+LN(1+EXP(-ABS((LN(10^(逐级计算!$Q$162/10)-1)+逐级计算!$Q$162*(FF19-逐级计算!$P$162)*LN(10)/10))))))),"")</f>
        <v>13.798073753683</v>
      </c>
      <c r="FH19">
        <f>IF(AND(ISNUMBER(FG19),逐级计算!$X$163&gt;-1),IF(逐级计算!$X$163=0,FG19+逐级计算!$C$163,FG19+逐级计算!$C$163-(10/(逐级计算!$Q$163*LN(10))*(MAX((LN(10^(逐级计算!$Q$163/10)-1)+逐级计算!$Q$163*(FG19-逐级计算!$P$163)*LN(10)/10),0)+LN(1+EXP(-ABS((LN(10^(逐级计算!$Q$163/10)-1)+逐级计算!$Q$163*(FG19-逐级计算!$P$163)*LN(10)/10))))))),"")</f>
        <v>13.798073753683</v>
      </c>
      <c r="FI19">
        <f>IF(AND(ISNUMBER(FH19),逐级计算!$X$164&gt;-1),IF(逐级计算!$X$164=0,FH19+逐级计算!$C$164,FH19+逐级计算!$C$164-(10/(逐级计算!$Q$164*LN(10))*(MAX((LN(10^(逐级计算!$Q$164/10)-1)+逐级计算!$Q$164*(FH19-逐级计算!$P$164)*LN(10)/10),0)+LN(1+EXP(-ABS((LN(10^(逐级计算!$Q$164/10)-1)+逐级计算!$Q$164*(FH19-逐级计算!$P$164)*LN(10)/10))))))),"")</f>
        <v>13.798073753683</v>
      </c>
      <c r="FJ19">
        <f>IF(AND(ISNUMBER(FI19),逐级计算!$X$165&gt;-1),IF(逐级计算!$X$165=0,FI19+逐级计算!$C$165,FI19+逐级计算!$C$165-(10/(逐级计算!$Q$165*LN(10))*(MAX((LN(10^(逐级计算!$Q$165/10)-1)+逐级计算!$Q$165*(FI19-逐级计算!$P$165)*LN(10)/10),0)+LN(1+EXP(-ABS((LN(10^(逐级计算!$Q$165/10)-1)+逐级计算!$Q$165*(FI19-逐级计算!$P$165)*LN(10)/10))))))),"")</f>
        <v>13.798073753683</v>
      </c>
      <c r="FK19">
        <f>IF(AND(ISNUMBER(FJ19),逐级计算!$X$166&gt;-1),IF(逐级计算!$X$166=0,FJ19+逐级计算!$C$166,FJ19+逐级计算!$C$166-(10/(逐级计算!$Q$166*LN(10))*(MAX((LN(10^(逐级计算!$Q$166/10)-1)+逐级计算!$Q$166*(FJ19-逐级计算!$P$166)*LN(10)/10),0)+LN(1+EXP(-ABS((LN(10^(逐级计算!$Q$166/10)-1)+逐级计算!$Q$166*(FJ19-逐级计算!$P$166)*LN(10)/10))))))),"")</f>
        <v>13.798073753683</v>
      </c>
      <c r="FL19">
        <f>IF(AND(ISNUMBER(FK19),逐级计算!$X$167&gt;-1),IF(逐级计算!$X$167=0,FK19+逐级计算!$C$167,FK19+逐级计算!$C$167-(10/(逐级计算!$Q$167*LN(10))*(MAX((LN(10^(逐级计算!$Q$167/10)-1)+逐级计算!$Q$167*(FK19-逐级计算!$P$167)*LN(10)/10),0)+LN(1+EXP(-ABS((LN(10^(逐级计算!$Q$167/10)-1)+逐级计算!$Q$167*(FK19-逐级计算!$P$167)*LN(10)/10))))))),"")</f>
        <v>13.798073753683</v>
      </c>
      <c r="FM19">
        <f>IF(AND(ISNUMBER(FL19),逐级计算!$X$168&gt;-1),IF(逐级计算!$X$168=0,FL19+逐级计算!$C$168,FL19+逐级计算!$C$168-(10/(逐级计算!$Q$168*LN(10))*(MAX((LN(10^(逐级计算!$Q$168/10)-1)+逐级计算!$Q$168*(FL19-逐级计算!$P$168)*LN(10)/10),0)+LN(1+EXP(-ABS((LN(10^(逐级计算!$Q$168/10)-1)+逐级计算!$Q$168*(FL19-逐级计算!$P$168)*LN(10)/10))))))),"")</f>
        <v>13.798073753683</v>
      </c>
      <c r="FN19">
        <f>IF(AND(ISNUMBER(FM19),逐级计算!$X$169&gt;-1),IF(逐级计算!$X$169=0,FM19+逐级计算!$C$169,FM19+逐级计算!$C$169-(10/(逐级计算!$Q$169*LN(10))*(MAX((LN(10^(逐级计算!$Q$169/10)-1)+逐级计算!$Q$169*(FM19-逐级计算!$P$169)*LN(10)/10),0)+LN(1+EXP(-ABS((LN(10^(逐级计算!$Q$169/10)-1)+逐级计算!$Q$169*(FM19-逐级计算!$P$169)*LN(10)/10))))))),"")</f>
        <v>13.798073753683</v>
      </c>
      <c r="FO19">
        <f>IF(AND(ISNUMBER(FN19),逐级计算!$X$170&gt;-1),IF(逐级计算!$X$170=0,FN19+逐级计算!$C$170,FN19+逐级计算!$C$170-(10/(逐级计算!$Q$170*LN(10))*(MAX((LN(10^(逐级计算!$Q$170/10)-1)+逐级计算!$Q$170*(FN19-逐级计算!$P$170)*LN(10)/10),0)+LN(1+EXP(-ABS((LN(10^(逐级计算!$Q$170/10)-1)+逐级计算!$Q$170*(FN19-逐级计算!$P$170)*LN(10)/10))))))),"")</f>
        <v>13.798073753683</v>
      </c>
      <c r="FP19">
        <f>IF(AND(ISNUMBER(FO19),逐级计算!$X$171&gt;-1),IF(逐级计算!$X$171=0,FO19+逐级计算!$C$171,FO19+逐级计算!$C$171-(10/(逐级计算!$Q$171*LN(10))*(MAX((LN(10^(逐级计算!$Q$171/10)-1)+逐级计算!$Q$171*(FO19-逐级计算!$P$171)*LN(10)/10),0)+LN(1+EXP(-ABS((LN(10^(逐级计算!$Q$171/10)-1)+逐级计算!$Q$171*(FO19-逐级计算!$P$171)*LN(10)/10))))))),"")</f>
        <v>13.798073753683</v>
      </c>
      <c r="FQ19">
        <f>IF(AND(ISNUMBER(FP19),逐级计算!$X$172&gt;-1),IF(逐级计算!$X$172=0,FP19+逐级计算!$C$172,FP19+逐级计算!$C$172-(10/(逐级计算!$Q$172*LN(10))*(MAX((LN(10^(逐级计算!$Q$172/10)-1)+逐级计算!$Q$172*(FP19-逐级计算!$P$172)*LN(10)/10),0)+LN(1+EXP(-ABS((LN(10^(逐级计算!$Q$172/10)-1)+逐级计算!$Q$172*(FP19-逐级计算!$P$172)*LN(10)/10))))))),"")</f>
        <v>13.798073753683</v>
      </c>
      <c r="FR19">
        <f>IF(AND(ISNUMBER(FQ19),逐级计算!$X$173&gt;-1),IF(逐级计算!$X$173=0,FQ19+逐级计算!$C$173,FQ19+逐级计算!$C$173-(10/(逐级计算!$Q$173*LN(10))*(MAX((LN(10^(逐级计算!$Q$173/10)-1)+逐级计算!$Q$173*(FQ19-逐级计算!$P$173)*LN(10)/10),0)+LN(1+EXP(-ABS((LN(10^(逐级计算!$Q$173/10)-1)+逐级计算!$Q$173*(FQ19-逐级计算!$P$173)*LN(10)/10))))))),"")</f>
        <v>13.798073753683</v>
      </c>
      <c r="FS19">
        <f>IF(AND(ISNUMBER(FR19),逐级计算!$X$174&gt;-1),IF(逐级计算!$X$174=0,FR19+逐级计算!$C$174,FR19+逐级计算!$C$174-(10/(逐级计算!$Q$174*LN(10))*(MAX((LN(10^(逐级计算!$Q$174/10)-1)+逐级计算!$Q$174*(FR19-逐级计算!$P$174)*LN(10)/10),0)+LN(1+EXP(-ABS((LN(10^(逐级计算!$Q$174/10)-1)+逐级计算!$Q$174*(FR19-逐级计算!$P$174)*LN(10)/10))))))),"")</f>
        <v>13.798073753683</v>
      </c>
      <c r="FT19">
        <f>IF(AND(ISNUMBER(FS19),逐级计算!$X$175&gt;-1),IF(逐级计算!$X$175=0,FS19+逐级计算!$C$175,FS19+逐级计算!$C$175-(10/(逐级计算!$Q$175*LN(10))*(MAX((LN(10^(逐级计算!$Q$175/10)-1)+逐级计算!$Q$175*(FS19-逐级计算!$P$175)*LN(10)/10),0)+LN(1+EXP(-ABS((LN(10^(逐级计算!$Q$175/10)-1)+逐级计算!$Q$175*(FS19-逐级计算!$P$175)*LN(10)/10))))))),"")</f>
        <v>13.798073753683</v>
      </c>
      <c r="FU19">
        <f>IF(AND(ISNUMBER(FT19),逐级计算!$X$176&gt;-1),IF(逐级计算!$X$176=0,FT19+逐级计算!$C$176,FT19+逐级计算!$C$176-(10/(逐级计算!$Q$176*LN(10))*(MAX((LN(10^(逐级计算!$Q$176/10)-1)+逐级计算!$Q$176*(FT19-逐级计算!$P$176)*LN(10)/10),0)+LN(1+EXP(-ABS((LN(10^(逐级计算!$Q$176/10)-1)+逐级计算!$Q$176*(FT19-逐级计算!$P$176)*LN(10)/10))))))),"")</f>
        <v>13.798073753683</v>
      </c>
      <c r="FV19">
        <f>IF(AND(ISNUMBER(FU19),逐级计算!$X$177&gt;-1),IF(逐级计算!$X$177=0,FU19+逐级计算!$C$177,FU19+逐级计算!$C$177-(10/(逐级计算!$Q$177*LN(10))*(MAX((LN(10^(逐级计算!$Q$177/10)-1)+逐级计算!$Q$177*(FU19-逐级计算!$P$177)*LN(10)/10),0)+LN(1+EXP(-ABS((LN(10^(逐级计算!$Q$177/10)-1)+逐级计算!$Q$177*(FU19-逐级计算!$P$177)*LN(10)/10))))))),"")</f>
        <v>13.798073753683</v>
      </c>
      <c r="FW19">
        <f>IF(AND(ISNUMBER(FV19),逐级计算!$X$178&gt;-1),IF(逐级计算!$X$178=0,FV19+逐级计算!$C$178,FV19+逐级计算!$C$178-(10/(逐级计算!$Q$178*LN(10))*(MAX((LN(10^(逐级计算!$Q$178/10)-1)+逐级计算!$Q$178*(FV19-逐级计算!$P$178)*LN(10)/10),0)+LN(1+EXP(-ABS((LN(10^(逐级计算!$Q$178/10)-1)+逐级计算!$Q$178*(FV19-逐级计算!$P$178)*LN(10)/10))))))),"")</f>
        <v>13.798073753683</v>
      </c>
      <c r="FX19">
        <f>IF(AND(ISNUMBER(FW19),逐级计算!$X$179&gt;-1),IF(逐级计算!$X$179=0,FW19+逐级计算!$C$179,FW19+逐级计算!$C$179-(10/(逐级计算!$Q$179*LN(10))*(MAX((LN(10^(逐级计算!$Q$179/10)-1)+逐级计算!$Q$179*(FW19-逐级计算!$P$179)*LN(10)/10),0)+LN(1+EXP(-ABS((LN(10^(逐级计算!$Q$179/10)-1)+逐级计算!$Q$179*(FW19-逐级计算!$P$179)*LN(10)/10))))))),"")</f>
        <v>13.798073753683</v>
      </c>
      <c r="FY19">
        <f>IF(AND(ISNUMBER(FX19),逐级计算!$X$180&gt;-1),IF(逐级计算!$X$180=0,FX19+逐级计算!$C$180,FX19+逐级计算!$C$180-(10/(逐级计算!$Q$180*LN(10))*(MAX((LN(10^(逐级计算!$Q$180/10)-1)+逐级计算!$Q$180*(FX19-逐级计算!$P$180)*LN(10)/10),0)+LN(1+EXP(-ABS((LN(10^(逐级计算!$Q$180/10)-1)+逐级计算!$Q$180*(FX19-逐级计算!$P$180)*LN(10)/10))))))),"")</f>
        <v>13.798073753683</v>
      </c>
      <c r="FZ19">
        <f>IF(AND(ISNUMBER(FY19),逐级计算!$X$181&gt;-1),IF(逐级计算!$X$181=0,FY19+逐级计算!$C$181,FY19+逐级计算!$C$181-(10/(逐级计算!$Q$181*LN(10))*(MAX((LN(10^(逐级计算!$Q$181/10)-1)+逐级计算!$Q$181*(FY19-逐级计算!$P$181)*LN(10)/10),0)+LN(1+EXP(-ABS((LN(10^(逐级计算!$Q$181/10)-1)+逐级计算!$Q$181*(FY19-逐级计算!$P$181)*LN(10)/10))))))),"")</f>
        <v>13.798073753683</v>
      </c>
      <c r="GA19">
        <f>IF(AND(ISNUMBER(FZ19),逐级计算!$X$182&gt;-1),IF(逐级计算!$X$182=0,FZ19+逐级计算!$C$182,FZ19+逐级计算!$C$182-(10/(逐级计算!$Q$182*LN(10))*(MAX((LN(10^(逐级计算!$Q$182/10)-1)+逐级计算!$Q$182*(FZ19-逐级计算!$P$182)*LN(10)/10),0)+LN(1+EXP(-ABS((LN(10^(逐级计算!$Q$182/10)-1)+逐级计算!$Q$182*(FZ19-逐级计算!$P$182)*LN(10)/10))))))),"")</f>
        <v>13.798073753683</v>
      </c>
      <c r="GB19">
        <f>IF(AND(ISNUMBER(GA19),逐级计算!$X$183&gt;-1),IF(逐级计算!$X$183=0,GA19+逐级计算!$C$183,GA19+逐级计算!$C$183-(10/(逐级计算!$Q$183*LN(10))*(MAX((LN(10^(逐级计算!$Q$183/10)-1)+逐级计算!$Q$183*(GA19-逐级计算!$P$183)*LN(10)/10),0)+LN(1+EXP(-ABS((LN(10^(逐级计算!$Q$183/10)-1)+逐级计算!$Q$183*(GA19-逐级计算!$P$183)*LN(10)/10))))))),"")</f>
        <v>13.798073753683</v>
      </c>
      <c r="GC19">
        <f>IF(AND(ISNUMBER(GB19),逐级计算!$X$184&gt;-1),IF(逐级计算!$X$184=0,GB19+逐级计算!$C$184,GB19+逐级计算!$C$184-(10/(逐级计算!$Q$184*LN(10))*(MAX((LN(10^(逐级计算!$Q$184/10)-1)+逐级计算!$Q$184*(GB19-逐级计算!$P$184)*LN(10)/10),0)+LN(1+EXP(-ABS((LN(10^(逐级计算!$Q$184/10)-1)+逐级计算!$Q$184*(GB19-逐级计算!$P$184)*LN(10)/10))))))),"")</f>
        <v>13.798073753683</v>
      </c>
      <c r="GD19">
        <f>IF(AND(ISNUMBER(GC19),逐级计算!$X$185&gt;-1),IF(逐级计算!$X$185=0,GC19+逐级计算!$C$185,GC19+逐级计算!$C$185-(10/(逐级计算!$Q$185*LN(10))*(MAX((LN(10^(逐级计算!$Q$185/10)-1)+逐级计算!$Q$185*(GC19-逐级计算!$P$185)*LN(10)/10),0)+LN(1+EXP(-ABS((LN(10^(逐级计算!$Q$185/10)-1)+逐级计算!$Q$185*(GC19-逐级计算!$P$185)*LN(10)/10))))))),"")</f>
        <v>13.798073753683</v>
      </c>
      <c r="GE19">
        <f>IF(AND(ISNUMBER(GD19),逐级计算!$X$186&gt;-1),IF(逐级计算!$X$186=0,GD19+逐级计算!$C$186,GD19+逐级计算!$C$186-(10/(逐级计算!$Q$186*LN(10))*(MAX((LN(10^(逐级计算!$Q$186/10)-1)+逐级计算!$Q$186*(GD19-逐级计算!$P$186)*LN(10)/10),0)+LN(1+EXP(-ABS((LN(10^(逐级计算!$Q$186/10)-1)+逐级计算!$Q$186*(GD19-逐级计算!$P$186)*LN(10)/10))))))),"")</f>
        <v>13.798073753683</v>
      </c>
      <c r="GF19">
        <f>IF(AND(ISNUMBER(GE19),逐级计算!$X$187&gt;-1),IF(逐级计算!$X$187=0,GE19+逐级计算!$C$187,GE19+逐级计算!$C$187-(10/(逐级计算!$Q$187*LN(10))*(MAX((LN(10^(逐级计算!$Q$187/10)-1)+逐级计算!$Q$187*(GE19-逐级计算!$P$187)*LN(10)/10),0)+LN(1+EXP(-ABS((LN(10^(逐级计算!$Q$187/10)-1)+逐级计算!$Q$187*(GE19-逐级计算!$P$187)*LN(10)/10))))))),"")</f>
        <v>13.798073753683</v>
      </c>
      <c r="GG19">
        <f>IF(AND(ISNUMBER(GF19),逐级计算!$X$188&gt;-1),IF(逐级计算!$X$188=0,GF19+逐级计算!$C$188,GF19+逐级计算!$C$188-(10/(逐级计算!$Q$188*LN(10))*(MAX((LN(10^(逐级计算!$Q$188/10)-1)+逐级计算!$Q$188*(GF19-逐级计算!$P$188)*LN(10)/10),0)+LN(1+EXP(-ABS((LN(10^(逐级计算!$Q$188/10)-1)+逐级计算!$Q$188*(GF19-逐级计算!$P$188)*LN(10)/10))))))),"")</f>
        <v>13.798073753683</v>
      </c>
      <c r="GH19">
        <f>IF(AND(ISNUMBER(GG19),逐级计算!$X$189&gt;-1),IF(逐级计算!$X$189=0,GG19+逐级计算!$C$189,GG19+逐级计算!$C$189-(10/(逐级计算!$Q$189*LN(10))*(MAX((LN(10^(逐级计算!$Q$189/10)-1)+逐级计算!$Q$189*(GG19-逐级计算!$P$189)*LN(10)/10),0)+LN(1+EXP(-ABS((LN(10^(逐级计算!$Q$189/10)-1)+逐级计算!$Q$189*(GG19-逐级计算!$P$189)*LN(10)/10))))))),"")</f>
        <v>13.798073753683</v>
      </c>
      <c r="GI19">
        <f>IF(AND(ISNUMBER(GH19),逐级计算!$X$190&gt;-1),IF(逐级计算!$X$190=0,GH19+逐级计算!$C$190,GH19+逐级计算!$C$190-(10/(逐级计算!$Q$190*LN(10))*(MAX((LN(10^(逐级计算!$Q$190/10)-1)+逐级计算!$Q$190*(GH19-逐级计算!$P$190)*LN(10)/10),0)+LN(1+EXP(-ABS((LN(10^(逐级计算!$Q$190/10)-1)+逐级计算!$Q$190*(GH19-逐级计算!$P$190)*LN(10)/10))))))),"")</f>
        <v>13.798073753683</v>
      </c>
      <c r="GJ19">
        <f>IF(AND(ISNUMBER(GI19),逐级计算!$X$191&gt;-1),IF(逐级计算!$X$191=0,GI19+逐级计算!$C$191,GI19+逐级计算!$C$191-(10/(逐级计算!$Q$191*LN(10))*(MAX((LN(10^(逐级计算!$Q$191/10)-1)+逐级计算!$Q$191*(GI19-逐级计算!$P$191)*LN(10)/10),0)+LN(1+EXP(-ABS((LN(10^(逐级计算!$Q$191/10)-1)+逐级计算!$Q$191*(GI19-逐级计算!$P$191)*LN(10)/10))))))),"")</f>
        <v>13.798073753683</v>
      </c>
      <c r="GK19">
        <f>IF(AND(ISNUMBER(GJ19),逐级计算!$X$192&gt;-1),IF(逐级计算!$X$192=0,GJ19+逐级计算!$C$192,GJ19+逐级计算!$C$192-(10/(逐级计算!$Q$192*LN(10))*(MAX((LN(10^(逐级计算!$Q$192/10)-1)+逐级计算!$Q$192*(GJ19-逐级计算!$P$192)*LN(10)/10),0)+LN(1+EXP(-ABS((LN(10^(逐级计算!$Q$192/10)-1)+逐级计算!$Q$192*(GJ19-逐级计算!$P$192)*LN(10)/10))))))),"")</f>
        <v>13.798073753683</v>
      </c>
      <c r="GL19">
        <f>IF(AND(ISNUMBER(GK19),逐级计算!$X$193&gt;-1),IF(逐级计算!$X$193=0,GK19+逐级计算!$C$193,GK19+逐级计算!$C$193-(10/(逐级计算!$Q$193*LN(10))*(MAX((LN(10^(逐级计算!$Q$193/10)-1)+逐级计算!$Q$193*(GK19-逐级计算!$P$193)*LN(10)/10),0)+LN(1+EXP(-ABS((LN(10^(逐级计算!$Q$193/10)-1)+逐级计算!$Q$193*(GK19-逐级计算!$P$193)*LN(10)/10))))))),"")</f>
        <v>13.798073753683</v>
      </c>
      <c r="GM19">
        <f>IF(AND(ISNUMBER(GL19),逐级计算!$X$194&gt;-1),IF(逐级计算!$X$194=0,GL19+逐级计算!$C$194,GL19+逐级计算!$C$194-(10/(逐级计算!$Q$194*LN(10))*(MAX((LN(10^(逐级计算!$Q$194/10)-1)+逐级计算!$Q$194*(GL19-逐级计算!$P$194)*LN(10)/10),0)+LN(1+EXP(-ABS((LN(10^(逐级计算!$Q$194/10)-1)+逐级计算!$Q$194*(GL19-逐级计算!$P$194)*LN(10)/10))))))),"")</f>
        <v>13.798073753683</v>
      </c>
      <c r="GN19">
        <f>IF(AND(ISNUMBER(GM19),逐级计算!$X$195&gt;-1),IF(逐级计算!$X$195=0,GM19+逐级计算!$C$195,GM19+逐级计算!$C$195-(10/(逐级计算!$Q$195*LN(10))*(MAX((LN(10^(逐级计算!$Q$195/10)-1)+逐级计算!$Q$195*(GM19-逐级计算!$P$195)*LN(10)/10),0)+LN(1+EXP(-ABS((LN(10^(逐级计算!$Q$195/10)-1)+逐级计算!$Q$195*(GM19-逐级计算!$P$195)*LN(10)/10))))))),"")</f>
        <v>13.798073753683</v>
      </c>
      <c r="GO19">
        <f>IF(AND(ISNUMBER(GN19),逐级计算!$X$196&gt;-1),IF(逐级计算!$X$196=0,GN19+逐级计算!$C$196,GN19+逐级计算!$C$196-(10/(逐级计算!$Q$196*LN(10))*(MAX((LN(10^(逐级计算!$Q$196/10)-1)+逐级计算!$Q$196*(GN19-逐级计算!$P$196)*LN(10)/10),0)+LN(1+EXP(-ABS((LN(10^(逐级计算!$Q$196/10)-1)+逐级计算!$Q$196*(GN19-逐级计算!$P$196)*LN(10)/10))))))),"")</f>
        <v>13.798073753683</v>
      </c>
      <c r="GP19">
        <f>IF(AND(ISNUMBER(GO19),逐级计算!$X$197&gt;-1),IF(逐级计算!$X$197=0,GO19+逐级计算!$C$197,GO19+逐级计算!$C$197-(10/(逐级计算!$Q$197*LN(10))*(MAX((LN(10^(逐级计算!$Q$197/10)-1)+逐级计算!$Q$197*(GO19-逐级计算!$P$197)*LN(10)/10),0)+LN(1+EXP(-ABS((LN(10^(逐级计算!$Q$197/10)-1)+逐级计算!$Q$197*(GO19-逐级计算!$P$197)*LN(10)/10))))))),"")</f>
        <v>13.798073753683</v>
      </c>
      <c r="GQ19">
        <f>IF(AND(ISNUMBER(GP19),逐级计算!$X$198&gt;-1),IF(逐级计算!$X$198=0,GP19+逐级计算!$C$198,GP19+逐级计算!$C$198-(10/(逐级计算!$Q$198*LN(10))*(MAX((LN(10^(逐级计算!$Q$198/10)-1)+逐级计算!$Q$198*(GP19-逐级计算!$P$198)*LN(10)/10),0)+LN(1+EXP(-ABS((LN(10^(逐级计算!$Q$198/10)-1)+逐级计算!$Q$198*(GP19-逐级计算!$P$198)*LN(10)/10))))))),"")</f>
        <v>13.798073753683</v>
      </c>
      <c r="GR19">
        <f>IF(AND(ISNUMBER(GQ19),逐级计算!$X$199&gt;-1),IF(逐级计算!$X$199=0,GQ19+逐级计算!$C$199,GQ19+逐级计算!$C$199-(10/(逐级计算!$Q$199*LN(10))*(MAX((LN(10^(逐级计算!$Q$199/10)-1)+逐级计算!$Q$199*(GQ19-逐级计算!$P$199)*LN(10)/10),0)+LN(1+EXP(-ABS((LN(10^(逐级计算!$Q$199/10)-1)+逐级计算!$Q$199*(GQ19-逐级计算!$P$199)*LN(10)/10))))))),"")</f>
        <v>13.798073753683</v>
      </c>
      <c r="GS19">
        <f>IF(AND(ISNUMBER(GR19),逐级计算!$X$200&gt;-1),IF(逐级计算!$X$200=0,GR19+逐级计算!$C$200,GR19+逐级计算!$C$200-(10/(逐级计算!$Q$200*LN(10))*(MAX((LN(10^(逐级计算!$Q$200/10)-1)+逐级计算!$Q$200*(GR19-逐级计算!$P$200)*LN(10)/10),0)+LN(1+EXP(-ABS((LN(10^(逐级计算!$Q$200/10)-1)+逐级计算!$Q$200*(GR19-逐级计算!$P$200)*LN(10)/10))))))),"")</f>
        <v>13.798073753683</v>
      </c>
      <c r="GT19">
        <f>IF(AND(ISNUMBER(GS19),逐级计算!$X$201&gt;-1),IF(逐级计算!$X$201=0,GS19+逐级计算!$C$201,GS19+逐级计算!$C$201-(10/(逐级计算!$Q$201*LN(10))*(MAX((LN(10^(逐级计算!$Q$201/10)-1)+逐级计算!$Q$201*(GS19-逐级计算!$P$201)*LN(10)/10),0)+LN(1+EXP(-ABS((LN(10^(逐级计算!$Q$201/10)-1)+逐级计算!$Q$201*(GS19-逐级计算!$P$201)*LN(10)/10))))))),"")</f>
        <v>13.798073753683</v>
      </c>
      <c r="GU19">
        <f>IF(AND(ISNUMBER(GT19),逐级计算!$X$202&gt;-1),IF(逐级计算!$X$202=0,GT19+逐级计算!$C$202,GT19+逐级计算!$C$202-(10/(逐级计算!$Q$202*LN(10))*(MAX((LN(10^(逐级计算!$Q$202/10)-1)+逐级计算!$Q$202*(GT19-逐级计算!$P$202)*LN(10)/10),0)+LN(1+EXP(-ABS((LN(10^(逐级计算!$Q$202/10)-1)+逐级计算!$Q$202*(GT19-逐级计算!$P$202)*LN(10)/10))))))),"")</f>
        <v>13.798073753683</v>
      </c>
      <c r="GV19">
        <f>IF(AND(ISNUMBER(GU19),逐级计算!$X$203&gt;-1),IF(逐级计算!$X$203=0,GU19+逐级计算!$C$203,GU19+逐级计算!$C$203-(10/(逐级计算!$Q$203*LN(10))*(MAX((LN(10^(逐级计算!$Q$203/10)-1)+逐级计算!$Q$203*(GU19-逐级计算!$P$203)*LN(10)/10),0)+LN(1+EXP(-ABS((LN(10^(逐级计算!$Q$203/10)-1)+逐级计算!$Q$203*(GU19-逐级计算!$P$203)*LN(10)/10))))))),"")</f>
        <v>13.798073753683</v>
      </c>
      <c r="GW19">
        <f t="shared" si="2"/>
        <v>-5.17333984375</v>
      </c>
    </row>
    <row r="20" spans="1:205">
      <c r="A20">
        <v>13</v>
      </c>
      <c r="B20">
        <f t="shared" si="1"/>
        <v>-5.224609375</v>
      </c>
      <c r="C20">
        <f t="shared" si="0"/>
        <v>-5.2117919921875</v>
      </c>
      <c r="D20">
        <f>IF(AND(ISNUMBER(C20),ISNUMBER(逐级计算!$E$203),ISNUMBER(GV20)),C20+逐级计算!$E$203-GV20,"")</f>
        <v>0.998219302845547</v>
      </c>
      <c r="E20">
        <f>IF(AND(ISNUMBER(C20),逐级计算!$X$4&gt;-1),IF(逐级计算!$X$4=0,C20+逐级计算!$C$4,C20+逐级计算!$C$4-(10/(逐级计算!$Q$4*LN(10))*(MAX((LN(10^(逐级计算!$Q$4/10)-1)+逐级计算!$Q$4*(C20-逐级计算!$P$4)*LN(10)/10),0)+LN(1+EXP(-ABS((LN(10^(逐级计算!$Q$4/10)-1)+逐级计算!$Q$4*(C20-逐级计算!$P$4)*LN(10)/10))))))),"")</f>
        <v>4.67595478832035</v>
      </c>
      <c r="F20">
        <f>IF(AND(ISNUMBER(E20),逐级计算!$X$5&gt;-1),IF(逐级计算!$X$5=0,E20+逐级计算!$C$5,E20+逐级计算!$C$5-(10/(逐级计算!$Q$5*LN(10))*(MAX((LN(10^(逐级计算!$Q$5/10)-1)+逐级计算!$Q$5*(E20-逐级计算!$P$5)*LN(10)/10),0)+LN(1+EXP(-ABS((LN(10^(逐级计算!$Q$5/10)-1)+逐级计算!$Q$5*(E20-逐级计算!$P$5)*LN(10)/10))))))),"")</f>
        <v>13.789988704967</v>
      </c>
      <c r="G20">
        <f>IF(AND(ISNUMBER(F20),逐级计算!$X$6&gt;-1),IF(逐级计算!$X$6=0,F20+逐级计算!$C$6,F20+逐级计算!$C$6-(10/(逐级计算!$Q$6*LN(10))*(MAX((LN(10^(逐级计算!$Q$6/10)-1)+逐级计算!$Q$6*(F20-逐级计算!$P$6)*LN(10)/10),0)+LN(1+EXP(-ABS((LN(10^(逐级计算!$Q$6/10)-1)+逐级计算!$Q$6*(F20-逐级计算!$P$6)*LN(10)/10))))))),"")</f>
        <v>13.789988704967</v>
      </c>
      <c r="H20">
        <f>IF(AND(ISNUMBER(G20),逐级计算!$X$7&gt;-1),IF(逐级计算!$X$7=0,G20+逐级计算!$C$7,G20+逐级计算!$C$7-(10/(逐级计算!$Q$7*LN(10))*(MAX((LN(10^(逐级计算!$Q$7/10)-1)+逐级计算!$Q$7*(G20-逐级计算!$P$7)*LN(10)/10),0)+LN(1+EXP(-ABS((LN(10^(逐级计算!$Q$7/10)-1)+逐级计算!$Q$7*(G20-逐级计算!$P$7)*LN(10)/10))))))),"")</f>
        <v>13.789988704967</v>
      </c>
      <c r="I20">
        <f>IF(AND(ISNUMBER(H20),逐级计算!$X$8&gt;-1),IF(逐级计算!$X$8=0,H20+逐级计算!$C$8,H20+逐级计算!$C$8-(10/(逐级计算!$Q$8*LN(10))*(MAX((LN(10^(逐级计算!$Q$8/10)-1)+逐级计算!$Q$8*(H20-逐级计算!$P$8)*LN(10)/10),0)+LN(1+EXP(-ABS((LN(10^(逐级计算!$Q$8/10)-1)+逐级计算!$Q$8*(H20-逐级计算!$P$8)*LN(10)/10))))))),"")</f>
        <v>13.789988704967</v>
      </c>
      <c r="J20">
        <f>IF(AND(ISNUMBER(I20),逐级计算!$X$9&gt;-1),IF(逐级计算!$X$9=0,I20+逐级计算!$C$9,I20+逐级计算!$C$9-(10/(逐级计算!$Q$9*LN(10))*(MAX((LN(10^(逐级计算!$Q$9/10)-1)+逐级计算!$Q$9*(I20-逐级计算!$P$9)*LN(10)/10),0)+LN(1+EXP(-ABS((LN(10^(逐级计算!$Q$9/10)-1)+逐级计算!$Q$9*(I20-逐级计算!$P$9)*LN(10)/10))))))),"")</f>
        <v>13.789988704967</v>
      </c>
      <c r="K20">
        <f>IF(AND(ISNUMBER(J20),逐级计算!$X$10&gt;-1),IF(逐级计算!$X$10=0,J20+逐级计算!$C$10,J20+逐级计算!$C$10-(10/(逐级计算!$Q$10*LN(10))*(MAX((LN(10^(逐级计算!$Q$10/10)-1)+逐级计算!$Q$10*(J20-逐级计算!$P$10)*LN(10)/10),0)+LN(1+EXP(-ABS((LN(10^(逐级计算!$Q$10/10)-1)+逐级计算!$Q$10*(J20-逐级计算!$P$10)*LN(10)/10))))))),"")</f>
        <v>13.789988704967</v>
      </c>
      <c r="L20">
        <f>IF(AND(ISNUMBER(K20),逐级计算!$X$11&gt;-1),IF(逐级计算!$X$11=0,K20+逐级计算!$C$11,K20+逐级计算!$C$11-(10/(逐级计算!$Q$11*LN(10))*(MAX((LN(10^(逐级计算!$Q$11/10)-1)+逐级计算!$Q$11*(K20-逐级计算!$P$11)*LN(10)/10),0)+LN(1+EXP(-ABS((LN(10^(逐级计算!$Q$11/10)-1)+逐级计算!$Q$11*(K20-逐级计算!$P$11)*LN(10)/10))))))),"")</f>
        <v>13.789988704967</v>
      </c>
      <c r="M20">
        <f>IF(AND(ISNUMBER(L20),逐级计算!$X$12&gt;-1),IF(逐级计算!$X$12=0,L20+逐级计算!$C$12,L20+逐级计算!$C$12-(10/(逐级计算!$Q$12*LN(10))*(MAX((LN(10^(逐级计算!$Q$12/10)-1)+逐级计算!$Q$12*(L20-逐级计算!$P$12)*LN(10)/10),0)+LN(1+EXP(-ABS((LN(10^(逐级计算!$Q$12/10)-1)+逐级计算!$Q$12*(L20-逐级计算!$P$12)*LN(10)/10))))))),"")</f>
        <v>13.789988704967</v>
      </c>
      <c r="N20">
        <f>IF(AND(ISNUMBER(M20),逐级计算!$X$13&gt;-1),IF(逐级计算!$X$13=0,M20+逐级计算!$C$13,M20+逐级计算!$C$13-(10/(逐级计算!$Q$13*LN(10))*(MAX((LN(10^(逐级计算!$Q$13/10)-1)+逐级计算!$Q$13*(M20-逐级计算!$P$13)*LN(10)/10),0)+LN(1+EXP(-ABS((LN(10^(逐级计算!$Q$13/10)-1)+逐级计算!$Q$13*(M20-逐级计算!$P$13)*LN(10)/10))))))),"")</f>
        <v>13.789988704967</v>
      </c>
      <c r="O20">
        <f>IF(AND(ISNUMBER(N20),逐级计算!$X$14&gt;-1),IF(逐级计算!$X$14=0,N20+逐级计算!$C$14,N20+逐级计算!$C$14-(10/(逐级计算!$Q$14*LN(10))*(MAX((LN(10^(逐级计算!$Q$14/10)-1)+逐级计算!$Q$14*(N20-逐级计算!$P$14)*LN(10)/10),0)+LN(1+EXP(-ABS((LN(10^(逐级计算!$Q$14/10)-1)+逐级计算!$Q$14*(N20-逐级计算!$P$14)*LN(10)/10))))))),"")</f>
        <v>13.789988704967</v>
      </c>
      <c r="P20">
        <f>IF(AND(ISNUMBER(O20),逐级计算!$X$15&gt;-1),IF(逐级计算!$X$15=0,O20+逐级计算!$C$15,O20+逐级计算!$C$15-(10/(逐级计算!$Q$15*LN(10))*(MAX((LN(10^(逐级计算!$Q$15/10)-1)+逐级计算!$Q$15*(O20-逐级计算!$P$15)*LN(10)/10),0)+LN(1+EXP(-ABS((LN(10^(逐级计算!$Q$15/10)-1)+逐级计算!$Q$15*(O20-逐级计算!$P$15)*LN(10)/10))))))),"")</f>
        <v>13.789988704967</v>
      </c>
      <c r="Q20">
        <f>IF(AND(ISNUMBER(P20),逐级计算!$X$16&gt;-1),IF(逐级计算!$X$16=0,P20+逐级计算!$C$16,P20+逐级计算!$C$16-(10/(逐级计算!$Q$16*LN(10))*(MAX((LN(10^(逐级计算!$Q$16/10)-1)+逐级计算!$Q$16*(P20-逐级计算!$P$16)*LN(10)/10),0)+LN(1+EXP(-ABS((LN(10^(逐级计算!$Q$16/10)-1)+逐级计算!$Q$16*(P20-逐级计算!$P$16)*LN(10)/10))))))),"")</f>
        <v>13.789988704967</v>
      </c>
      <c r="R20">
        <f>IF(AND(ISNUMBER(Q20),逐级计算!$X$17&gt;-1),IF(逐级计算!$X$17=0,Q20+逐级计算!$C$17,Q20+逐级计算!$C$17-(10/(逐级计算!$Q$17*LN(10))*(MAX((LN(10^(逐级计算!$Q$17/10)-1)+逐级计算!$Q$17*(Q20-逐级计算!$P$17)*LN(10)/10),0)+LN(1+EXP(-ABS((LN(10^(逐级计算!$Q$17/10)-1)+逐级计算!$Q$17*(Q20-逐级计算!$P$17)*LN(10)/10))))))),"")</f>
        <v>13.789988704967</v>
      </c>
      <c r="S20">
        <f>IF(AND(ISNUMBER(R20),逐级计算!$X$18&gt;-1),IF(逐级计算!$X$18=0,R20+逐级计算!$C$18,R20+逐级计算!$C$18-(10/(逐级计算!$Q$18*LN(10))*(MAX((LN(10^(逐级计算!$Q$18/10)-1)+逐级计算!$Q$18*(R20-逐级计算!$P$18)*LN(10)/10),0)+LN(1+EXP(-ABS((LN(10^(逐级计算!$Q$18/10)-1)+逐级计算!$Q$18*(R20-逐级计算!$P$18)*LN(10)/10))))))),"")</f>
        <v>13.789988704967</v>
      </c>
      <c r="T20">
        <f>IF(AND(ISNUMBER(S20),逐级计算!$X$19&gt;-1),IF(逐级计算!$X$19=0,S20+逐级计算!$C$19,S20+逐级计算!$C$19-(10/(逐级计算!$Q$19*LN(10))*(MAX((LN(10^(逐级计算!$Q$19/10)-1)+逐级计算!$Q$19*(S20-逐级计算!$P$19)*LN(10)/10),0)+LN(1+EXP(-ABS((LN(10^(逐级计算!$Q$19/10)-1)+逐级计算!$Q$19*(S20-逐级计算!$P$19)*LN(10)/10))))))),"")</f>
        <v>13.789988704967</v>
      </c>
      <c r="U20">
        <f>IF(AND(ISNUMBER(T20),逐级计算!$X$20&gt;-1),IF(逐级计算!$X$20=0,T20+逐级计算!$C$20,T20+逐级计算!$C$20-(10/(逐级计算!$Q$20*LN(10))*(MAX((LN(10^(逐级计算!$Q$20/10)-1)+逐级计算!$Q$20*(T20-逐级计算!$P$20)*LN(10)/10),0)+LN(1+EXP(-ABS((LN(10^(逐级计算!$Q$20/10)-1)+逐级计算!$Q$20*(T20-逐级计算!$P$20)*LN(10)/10))))))),"")</f>
        <v>13.789988704967</v>
      </c>
      <c r="V20">
        <f>IF(AND(ISNUMBER(U20),逐级计算!$X$21&gt;-1),IF(逐级计算!$X$21=0,U20+逐级计算!$C$21,U20+逐级计算!$C$21-(10/(逐级计算!$Q$21*LN(10))*(MAX((LN(10^(逐级计算!$Q$21/10)-1)+逐级计算!$Q$21*(U20-逐级计算!$P$21)*LN(10)/10),0)+LN(1+EXP(-ABS((LN(10^(逐级计算!$Q$21/10)-1)+逐级计算!$Q$21*(U20-逐级计算!$P$21)*LN(10)/10))))))),"")</f>
        <v>13.789988704967</v>
      </c>
      <c r="W20">
        <f>IF(AND(ISNUMBER(V20),逐级计算!$X$22&gt;-1),IF(逐级计算!$X$22=0,V20+逐级计算!$C$22,V20+逐级计算!$C$22-(10/(逐级计算!$Q$22*LN(10))*(MAX((LN(10^(逐级计算!$Q$22/10)-1)+逐级计算!$Q$22*(V20-逐级计算!$P$22)*LN(10)/10),0)+LN(1+EXP(-ABS((LN(10^(逐级计算!$Q$22/10)-1)+逐级计算!$Q$22*(V20-逐级计算!$P$22)*LN(10)/10))))))),"")</f>
        <v>13.789988704967</v>
      </c>
      <c r="X20">
        <f>IF(AND(ISNUMBER(W20),逐级计算!$X$23&gt;-1),IF(逐级计算!$X$23=0,W20+逐级计算!$C$23,W20+逐级计算!$C$23-(10/(逐级计算!$Q$23*LN(10))*(MAX((LN(10^(逐级计算!$Q$23/10)-1)+逐级计算!$Q$23*(W20-逐级计算!$P$23)*LN(10)/10),0)+LN(1+EXP(-ABS((LN(10^(逐级计算!$Q$23/10)-1)+逐级计算!$Q$23*(W20-逐级计算!$P$23)*LN(10)/10))))))),"")</f>
        <v>13.789988704967</v>
      </c>
      <c r="Y20">
        <f>IF(AND(ISNUMBER(X20),逐级计算!$X$24&gt;-1),IF(逐级计算!$X$24=0,X20+逐级计算!$C$24,X20+逐级计算!$C$24-(10/(逐级计算!$Q$24*LN(10))*(MAX((LN(10^(逐级计算!$Q$24/10)-1)+逐级计算!$Q$24*(X20-逐级计算!$P$24)*LN(10)/10),0)+LN(1+EXP(-ABS((LN(10^(逐级计算!$Q$24/10)-1)+逐级计算!$Q$24*(X20-逐级计算!$P$24)*LN(10)/10))))))),"")</f>
        <v>13.789988704967</v>
      </c>
      <c r="Z20">
        <f>IF(AND(ISNUMBER(Y20),逐级计算!$X$25&gt;-1),IF(逐级计算!$X$25=0,Y20+逐级计算!$C$25,Y20+逐级计算!$C$25-(10/(逐级计算!$Q$25*LN(10))*(MAX((LN(10^(逐级计算!$Q$25/10)-1)+逐级计算!$Q$25*(Y20-逐级计算!$P$25)*LN(10)/10),0)+LN(1+EXP(-ABS((LN(10^(逐级计算!$Q$25/10)-1)+逐级计算!$Q$25*(Y20-逐级计算!$P$25)*LN(10)/10))))))),"")</f>
        <v>13.789988704967</v>
      </c>
      <c r="AA20">
        <f>IF(AND(ISNUMBER(Z20),逐级计算!$X$26&gt;-1),IF(逐级计算!$X$26=0,Z20+逐级计算!$C$26,Z20+逐级计算!$C$26-(10/(逐级计算!$Q$26*LN(10))*(MAX((LN(10^(逐级计算!$Q$26/10)-1)+逐级计算!$Q$26*(Z20-逐级计算!$P$26)*LN(10)/10),0)+LN(1+EXP(-ABS((LN(10^(逐级计算!$Q$26/10)-1)+逐级计算!$Q$26*(Z20-逐级计算!$P$26)*LN(10)/10))))))),"")</f>
        <v>13.789988704967</v>
      </c>
      <c r="AB20">
        <f>IF(AND(ISNUMBER(AA20),逐级计算!$X$27&gt;-1),IF(逐级计算!$X$27=0,AA20+逐级计算!$C$27,AA20+逐级计算!$C$27-(10/(逐级计算!$Q$27*LN(10))*(MAX((LN(10^(逐级计算!$Q$27/10)-1)+逐级计算!$Q$27*(AA20-逐级计算!$P$27)*LN(10)/10),0)+LN(1+EXP(-ABS((LN(10^(逐级计算!$Q$27/10)-1)+逐级计算!$Q$27*(AA20-逐级计算!$P$27)*LN(10)/10))))))),"")</f>
        <v>13.789988704967</v>
      </c>
      <c r="AC20">
        <f>IF(AND(ISNUMBER(AB20),逐级计算!$X$28&gt;-1),IF(逐级计算!$X$28=0,AB20+逐级计算!$C$28,AB20+逐级计算!$C$28-(10/(逐级计算!$Q$28*LN(10))*(MAX((LN(10^(逐级计算!$Q$28/10)-1)+逐级计算!$Q$28*(AB20-逐级计算!$P$28)*LN(10)/10),0)+LN(1+EXP(-ABS((LN(10^(逐级计算!$Q$28/10)-1)+逐级计算!$Q$28*(AB20-逐级计算!$P$28)*LN(10)/10))))))),"")</f>
        <v>13.789988704967</v>
      </c>
      <c r="AD20">
        <f>IF(AND(ISNUMBER(AC20),逐级计算!$X$29&gt;-1),IF(逐级计算!$X$29=0,AC20+逐级计算!$C$29,AC20+逐级计算!$C$29-(10/(逐级计算!$Q$29*LN(10))*(MAX((LN(10^(逐级计算!$Q$29/10)-1)+逐级计算!$Q$29*(AC20-逐级计算!$P$29)*LN(10)/10),0)+LN(1+EXP(-ABS((LN(10^(逐级计算!$Q$29/10)-1)+逐级计算!$Q$29*(AC20-逐级计算!$P$29)*LN(10)/10))))))),"")</f>
        <v>13.789988704967</v>
      </c>
      <c r="AE20">
        <f>IF(AND(ISNUMBER(AD20),逐级计算!$X$30&gt;-1),IF(逐级计算!$X$30=0,AD20+逐级计算!$C$30,AD20+逐级计算!$C$30-(10/(逐级计算!$Q$30*LN(10))*(MAX((LN(10^(逐级计算!$Q$30/10)-1)+逐级计算!$Q$30*(AD20-逐级计算!$P$30)*LN(10)/10),0)+LN(1+EXP(-ABS((LN(10^(逐级计算!$Q$30/10)-1)+逐级计算!$Q$30*(AD20-逐级计算!$P$30)*LN(10)/10))))))),"")</f>
        <v>13.789988704967</v>
      </c>
      <c r="AF20">
        <f>IF(AND(ISNUMBER(AE20),逐级计算!$X$31&gt;-1),IF(逐级计算!$X$31=0,AE20+逐级计算!$C$31,AE20+逐级计算!$C$31-(10/(逐级计算!$Q$31*LN(10))*(MAX((LN(10^(逐级计算!$Q$31/10)-1)+逐级计算!$Q$31*(AE20-逐级计算!$P$31)*LN(10)/10),0)+LN(1+EXP(-ABS((LN(10^(逐级计算!$Q$31/10)-1)+逐级计算!$Q$31*(AE20-逐级计算!$P$31)*LN(10)/10))))))),"")</f>
        <v>13.789988704967</v>
      </c>
      <c r="AG20">
        <f>IF(AND(ISNUMBER(AF20),逐级计算!$X$32&gt;-1),IF(逐级计算!$X$32=0,AF20+逐级计算!$C$32,AF20+逐级计算!$C$32-(10/(逐级计算!$Q$32*LN(10))*(MAX((LN(10^(逐级计算!$Q$32/10)-1)+逐级计算!$Q$32*(AF20-逐级计算!$P$32)*LN(10)/10),0)+LN(1+EXP(-ABS((LN(10^(逐级计算!$Q$32/10)-1)+逐级计算!$Q$32*(AF20-逐级计算!$P$32)*LN(10)/10))))))),"")</f>
        <v>13.789988704967</v>
      </c>
      <c r="AH20">
        <f>IF(AND(ISNUMBER(AG20),逐级计算!$X$33&gt;-1),IF(逐级计算!$X$33=0,AG20+逐级计算!$C$33,AG20+逐级计算!$C$33-(10/(逐级计算!$Q$33*LN(10))*(MAX((LN(10^(逐级计算!$Q$33/10)-1)+逐级计算!$Q$33*(AG20-逐级计算!$P$33)*LN(10)/10),0)+LN(1+EXP(-ABS((LN(10^(逐级计算!$Q$33/10)-1)+逐级计算!$Q$33*(AG20-逐级计算!$P$33)*LN(10)/10))))))),"")</f>
        <v>13.789988704967</v>
      </c>
      <c r="AI20">
        <f>IF(AND(ISNUMBER(AH20),逐级计算!$X$34&gt;-1),IF(逐级计算!$X$34=0,AH20+逐级计算!$C$34,AH20+逐级计算!$C$34-(10/(逐级计算!$Q$34*LN(10))*(MAX((LN(10^(逐级计算!$Q$34/10)-1)+逐级计算!$Q$34*(AH20-逐级计算!$P$34)*LN(10)/10),0)+LN(1+EXP(-ABS((LN(10^(逐级计算!$Q$34/10)-1)+逐级计算!$Q$34*(AH20-逐级计算!$P$34)*LN(10)/10))))))),"")</f>
        <v>13.789988704967</v>
      </c>
      <c r="AJ20">
        <f>IF(AND(ISNUMBER(AI20),逐级计算!$X$35&gt;-1),IF(逐级计算!$X$35=0,AI20+逐级计算!$C$35,AI20+逐级计算!$C$35-(10/(逐级计算!$Q$35*LN(10))*(MAX((LN(10^(逐级计算!$Q$35/10)-1)+逐级计算!$Q$35*(AI20-逐级计算!$P$35)*LN(10)/10),0)+LN(1+EXP(-ABS((LN(10^(逐级计算!$Q$35/10)-1)+逐级计算!$Q$35*(AI20-逐级计算!$P$35)*LN(10)/10))))))),"")</f>
        <v>13.789988704967</v>
      </c>
      <c r="AK20">
        <f>IF(AND(ISNUMBER(AJ20),逐级计算!$X$36&gt;-1),IF(逐级计算!$X$36=0,AJ20+逐级计算!$C$36,AJ20+逐级计算!$C$36-(10/(逐级计算!$Q$36*LN(10))*(MAX((LN(10^(逐级计算!$Q$36/10)-1)+逐级计算!$Q$36*(AJ20-逐级计算!$P$36)*LN(10)/10),0)+LN(1+EXP(-ABS((LN(10^(逐级计算!$Q$36/10)-1)+逐级计算!$Q$36*(AJ20-逐级计算!$P$36)*LN(10)/10))))))),"")</f>
        <v>13.789988704967</v>
      </c>
      <c r="AL20">
        <f>IF(AND(ISNUMBER(AK20),逐级计算!$X$37&gt;-1),IF(逐级计算!$X$37=0,AK20+逐级计算!$C$37,AK20+逐级计算!$C$37-(10/(逐级计算!$Q$37*LN(10))*(MAX((LN(10^(逐级计算!$Q$37/10)-1)+逐级计算!$Q$37*(AK20-逐级计算!$P$37)*LN(10)/10),0)+LN(1+EXP(-ABS((LN(10^(逐级计算!$Q$37/10)-1)+逐级计算!$Q$37*(AK20-逐级计算!$P$37)*LN(10)/10))))))),"")</f>
        <v>13.789988704967</v>
      </c>
      <c r="AM20">
        <f>IF(AND(ISNUMBER(AL20),逐级计算!$X$38&gt;-1),IF(逐级计算!$X$38=0,AL20+逐级计算!$C$38,AL20+逐级计算!$C$38-(10/(逐级计算!$Q$38*LN(10))*(MAX((LN(10^(逐级计算!$Q$38/10)-1)+逐级计算!$Q$38*(AL20-逐级计算!$P$38)*LN(10)/10),0)+LN(1+EXP(-ABS((LN(10^(逐级计算!$Q$38/10)-1)+逐级计算!$Q$38*(AL20-逐级计算!$P$38)*LN(10)/10))))))),"")</f>
        <v>13.789988704967</v>
      </c>
      <c r="AN20">
        <f>IF(AND(ISNUMBER(AM20),逐级计算!$X$39&gt;-1),IF(逐级计算!$X$39=0,AM20+逐级计算!$C$39,AM20+逐级计算!$C$39-(10/(逐级计算!$Q$39*LN(10))*(MAX((LN(10^(逐级计算!$Q$39/10)-1)+逐级计算!$Q$39*(AM20-逐级计算!$P$39)*LN(10)/10),0)+LN(1+EXP(-ABS((LN(10^(逐级计算!$Q$39/10)-1)+逐级计算!$Q$39*(AM20-逐级计算!$P$39)*LN(10)/10))))))),"")</f>
        <v>13.789988704967</v>
      </c>
      <c r="AO20">
        <f>IF(AND(ISNUMBER(AN20),逐级计算!$X$40&gt;-1),IF(逐级计算!$X$40=0,AN20+逐级计算!$C$40,AN20+逐级计算!$C$40-(10/(逐级计算!$Q$40*LN(10))*(MAX((LN(10^(逐级计算!$Q$40/10)-1)+逐级计算!$Q$40*(AN20-逐级计算!$P$40)*LN(10)/10),0)+LN(1+EXP(-ABS((LN(10^(逐级计算!$Q$40/10)-1)+逐级计算!$Q$40*(AN20-逐级计算!$P$40)*LN(10)/10))))))),"")</f>
        <v>13.789988704967</v>
      </c>
      <c r="AP20">
        <f>IF(AND(ISNUMBER(AO20),逐级计算!$X$41&gt;-1),IF(逐级计算!$X$41=0,AO20+逐级计算!$C$41,AO20+逐级计算!$C$41-(10/(逐级计算!$Q$41*LN(10))*(MAX((LN(10^(逐级计算!$Q$41/10)-1)+逐级计算!$Q$41*(AO20-逐级计算!$P$41)*LN(10)/10),0)+LN(1+EXP(-ABS((LN(10^(逐级计算!$Q$41/10)-1)+逐级计算!$Q$41*(AO20-逐级计算!$P$41)*LN(10)/10))))))),"")</f>
        <v>13.789988704967</v>
      </c>
      <c r="AQ20">
        <f>IF(AND(ISNUMBER(AP20),逐级计算!$X$42&gt;-1),IF(逐级计算!$X$42=0,AP20+逐级计算!$C$42,AP20+逐级计算!$C$42-(10/(逐级计算!$Q$42*LN(10))*(MAX((LN(10^(逐级计算!$Q$42/10)-1)+逐级计算!$Q$42*(AP20-逐级计算!$P$42)*LN(10)/10),0)+LN(1+EXP(-ABS((LN(10^(逐级计算!$Q$42/10)-1)+逐级计算!$Q$42*(AP20-逐级计算!$P$42)*LN(10)/10))))))),"")</f>
        <v>13.789988704967</v>
      </c>
      <c r="AR20">
        <f>IF(AND(ISNUMBER(AQ20),逐级计算!$X$43&gt;-1),IF(逐级计算!$X$43=0,AQ20+逐级计算!$C$43,AQ20+逐级计算!$C$43-(10/(逐级计算!$Q$43*LN(10))*(MAX((LN(10^(逐级计算!$Q$43/10)-1)+逐级计算!$Q$43*(AQ20-逐级计算!$P$43)*LN(10)/10),0)+LN(1+EXP(-ABS((LN(10^(逐级计算!$Q$43/10)-1)+逐级计算!$Q$43*(AQ20-逐级计算!$P$43)*LN(10)/10))))))),"")</f>
        <v>13.789988704967</v>
      </c>
      <c r="AS20">
        <f>IF(AND(ISNUMBER(AR20),逐级计算!$X$44&gt;-1),IF(逐级计算!$X$44=0,AR20+逐级计算!$C$44,AR20+逐级计算!$C$44-(10/(逐级计算!$Q$44*LN(10))*(MAX((LN(10^(逐级计算!$Q$44/10)-1)+逐级计算!$Q$44*(AR20-逐级计算!$P$44)*LN(10)/10),0)+LN(1+EXP(-ABS((LN(10^(逐级计算!$Q$44/10)-1)+逐级计算!$Q$44*(AR20-逐级计算!$P$44)*LN(10)/10))))))),"")</f>
        <v>13.789988704967</v>
      </c>
      <c r="AT20">
        <f>IF(AND(ISNUMBER(AS20),逐级计算!$X$45&gt;-1),IF(逐级计算!$X$45=0,AS20+逐级计算!$C$45,AS20+逐级计算!$C$45-(10/(逐级计算!$Q$45*LN(10))*(MAX((LN(10^(逐级计算!$Q$45/10)-1)+逐级计算!$Q$45*(AS20-逐级计算!$P$45)*LN(10)/10),0)+LN(1+EXP(-ABS((LN(10^(逐级计算!$Q$45/10)-1)+逐级计算!$Q$45*(AS20-逐级计算!$P$45)*LN(10)/10))))))),"")</f>
        <v>13.789988704967</v>
      </c>
      <c r="AU20">
        <f>IF(AND(ISNUMBER(AT20),逐级计算!$X$46&gt;-1),IF(逐级计算!$X$46=0,AT20+逐级计算!$C$46,AT20+逐级计算!$C$46-(10/(逐级计算!$Q$46*LN(10))*(MAX((LN(10^(逐级计算!$Q$46/10)-1)+逐级计算!$Q$46*(AT20-逐级计算!$P$46)*LN(10)/10),0)+LN(1+EXP(-ABS((LN(10^(逐级计算!$Q$46/10)-1)+逐级计算!$Q$46*(AT20-逐级计算!$P$46)*LN(10)/10))))))),"")</f>
        <v>13.789988704967</v>
      </c>
      <c r="AV20">
        <f>IF(AND(ISNUMBER(AU20),逐级计算!$X$47&gt;-1),IF(逐级计算!$X$47=0,AU20+逐级计算!$C$47,AU20+逐级计算!$C$47-(10/(逐级计算!$Q$47*LN(10))*(MAX((LN(10^(逐级计算!$Q$47/10)-1)+逐级计算!$Q$47*(AU20-逐级计算!$P$47)*LN(10)/10),0)+LN(1+EXP(-ABS((LN(10^(逐级计算!$Q$47/10)-1)+逐级计算!$Q$47*(AU20-逐级计算!$P$47)*LN(10)/10))))))),"")</f>
        <v>13.789988704967</v>
      </c>
      <c r="AW20">
        <f>IF(AND(ISNUMBER(AV20),逐级计算!$X$48&gt;-1),IF(逐级计算!$X$48=0,AV20+逐级计算!$C$48,AV20+逐级计算!$C$48-(10/(逐级计算!$Q$48*LN(10))*(MAX((LN(10^(逐级计算!$Q$48/10)-1)+逐级计算!$Q$48*(AV20-逐级计算!$P$48)*LN(10)/10),0)+LN(1+EXP(-ABS((LN(10^(逐级计算!$Q$48/10)-1)+逐级计算!$Q$48*(AV20-逐级计算!$P$48)*LN(10)/10))))))),"")</f>
        <v>13.789988704967</v>
      </c>
      <c r="AX20">
        <f>IF(AND(ISNUMBER(AW20),逐级计算!$X$49&gt;-1),IF(逐级计算!$X$49=0,AW20+逐级计算!$C$49,AW20+逐级计算!$C$49-(10/(逐级计算!$Q$49*LN(10))*(MAX((LN(10^(逐级计算!$Q$49/10)-1)+逐级计算!$Q$49*(AW20-逐级计算!$P$49)*LN(10)/10),0)+LN(1+EXP(-ABS((LN(10^(逐级计算!$Q$49/10)-1)+逐级计算!$Q$49*(AW20-逐级计算!$P$49)*LN(10)/10))))))),"")</f>
        <v>13.789988704967</v>
      </c>
      <c r="AY20">
        <f>IF(AND(ISNUMBER(AX20),逐级计算!$X$50&gt;-1),IF(逐级计算!$X$50=0,AX20+逐级计算!$C$50,AX20+逐级计算!$C$50-(10/(逐级计算!$Q$50*LN(10))*(MAX((LN(10^(逐级计算!$Q$50/10)-1)+逐级计算!$Q$50*(AX20-逐级计算!$P$50)*LN(10)/10),0)+LN(1+EXP(-ABS((LN(10^(逐级计算!$Q$50/10)-1)+逐级计算!$Q$50*(AX20-逐级计算!$P$50)*LN(10)/10))))))),"")</f>
        <v>13.789988704967</v>
      </c>
      <c r="AZ20">
        <f>IF(AND(ISNUMBER(AY20),逐级计算!$X$51&gt;-1),IF(逐级计算!$X$51=0,AY20+逐级计算!$C$51,AY20+逐级计算!$C$51-(10/(逐级计算!$Q$51*LN(10))*(MAX((LN(10^(逐级计算!$Q$51/10)-1)+逐级计算!$Q$51*(AY20-逐级计算!$P$51)*LN(10)/10),0)+LN(1+EXP(-ABS((LN(10^(逐级计算!$Q$51/10)-1)+逐级计算!$Q$51*(AY20-逐级计算!$P$51)*LN(10)/10))))))),"")</f>
        <v>13.789988704967</v>
      </c>
      <c r="BA20">
        <f>IF(AND(ISNUMBER(AZ20),逐级计算!$X$52&gt;-1),IF(逐级计算!$X$52=0,AZ20+逐级计算!$C$52,AZ20+逐级计算!$C$52-(10/(逐级计算!$Q$52*LN(10))*(MAX((LN(10^(逐级计算!$Q$52/10)-1)+逐级计算!$Q$52*(AZ20-逐级计算!$P$52)*LN(10)/10),0)+LN(1+EXP(-ABS((LN(10^(逐级计算!$Q$52/10)-1)+逐级计算!$Q$52*(AZ20-逐级计算!$P$52)*LN(10)/10))))))),"")</f>
        <v>13.789988704967</v>
      </c>
      <c r="BB20">
        <f>IF(AND(ISNUMBER(BA20),逐级计算!$X$53&gt;-1),IF(逐级计算!$X$53=0,BA20+逐级计算!$C$53,BA20+逐级计算!$C$53-(10/(逐级计算!$Q$53*LN(10))*(MAX((LN(10^(逐级计算!$Q$53/10)-1)+逐级计算!$Q$53*(BA20-逐级计算!$P$53)*LN(10)/10),0)+LN(1+EXP(-ABS((LN(10^(逐级计算!$Q$53/10)-1)+逐级计算!$Q$53*(BA20-逐级计算!$P$53)*LN(10)/10))))))),"")</f>
        <v>13.789988704967</v>
      </c>
      <c r="BC20">
        <f>IF(AND(ISNUMBER(BB20),逐级计算!$X$54&gt;-1),IF(逐级计算!$X$54=0,BB20+逐级计算!$C$54,BB20+逐级计算!$C$54-(10/(逐级计算!$Q$54*LN(10))*(MAX((LN(10^(逐级计算!$Q$54/10)-1)+逐级计算!$Q$54*(BB20-逐级计算!$P$54)*LN(10)/10),0)+LN(1+EXP(-ABS((LN(10^(逐级计算!$Q$54/10)-1)+逐级计算!$Q$54*(BB20-逐级计算!$P$54)*LN(10)/10))))))),"")</f>
        <v>13.789988704967</v>
      </c>
      <c r="BD20">
        <f>IF(AND(ISNUMBER(BC20),逐级计算!$X$55&gt;-1),IF(逐级计算!$X$55=0,BC20+逐级计算!$C$55,BC20+逐级计算!$C$55-(10/(逐级计算!$Q$55*LN(10))*(MAX((LN(10^(逐级计算!$Q$55/10)-1)+逐级计算!$Q$55*(BC20-逐级计算!$P$55)*LN(10)/10),0)+LN(1+EXP(-ABS((LN(10^(逐级计算!$Q$55/10)-1)+逐级计算!$Q$55*(BC20-逐级计算!$P$55)*LN(10)/10))))))),"")</f>
        <v>13.789988704967</v>
      </c>
      <c r="BE20">
        <f>IF(AND(ISNUMBER(BD20),逐级计算!$X$56&gt;-1),IF(逐级计算!$X$56=0,BD20+逐级计算!$C$56,BD20+逐级计算!$C$56-(10/(逐级计算!$Q$56*LN(10))*(MAX((LN(10^(逐级计算!$Q$56/10)-1)+逐级计算!$Q$56*(BD20-逐级计算!$P$56)*LN(10)/10),0)+LN(1+EXP(-ABS((LN(10^(逐级计算!$Q$56/10)-1)+逐级计算!$Q$56*(BD20-逐级计算!$P$56)*LN(10)/10))))))),"")</f>
        <v>13.789988704967</v>
      </c>
      <c r="BF20">
        <f>IF(AND(ISNUMBER(BE20),逐级计算!$X$57&gt;-1),IF(逐级计算!$X$57=0,BE20+逐级计算!$C$57,BE20+逐级计算!$C$57-(10/(逐级计算!$Q$57*LN(10))*(MAX((LN(10^(逐级计算!$Q$57/10)-1)+逐级计算!$Q$57*(BE20-逐级计算!$P$57)*LN(10)/10),0)+LN(1+EXP(-ABS((LN(10^(逐级计算!$Q$57/10)-1)+逐级计算!$Q$57*(BE20-逐级计算!$P$57)*LN(10)/10))))))),"")</f>
        <v>13.789988704967</v>
      </c>
      <c r="BG20">
        <f>IF(AND(ISNUMBER(BF20),逐级计算!$X$58&gt;-1),IF(逐级计算!$X$58=0,BF20+逐级计算!$C$58,BF20+逐级计算!$C$58-(10/(逐级计算!$Q$58*LN(10))*(MAX((LN(10^(逐级计算!$Q$58/10)-1)+逐级计算!$Q$58*(BF20-逐级计算!$P$58)*LN(10)/10),0)+LN(1+EXP(-ABS((LN(10^(逐级计算!$Q$58/10)-1)+逐级计算!$Q$58*(BF20-逐级计算!$P$58)*LN(10)/10))))))),"")</f>
        <v>13.789988704967</v>
      </c>
      <c r="BH20">
        <f>IF(AND(ISNUMBER(BG20),逐级计算!$X$59&gt;-1),IF(逐级计算!$X$59=0,BG20+逐级计算!$C$59,BG20+逐级计算!$C$59-(10/(逐级计算!$Q$59*LN(10))*(MAX((LN(10^(逐级计算!$Q$59/10)-1)+逐级计算!$Q$59*(BG20-逐级计算!$P$59)*LN(10)/10),0)+LN(1+EXP(-ABS((LN(10^(逐级计算!$Q$59/10)-1)+逐级计算!$Q$59*(BG20-逐级计算!$P$59)*LN(10)/10))))))),"")</f>
        <v>13.789988704967</v>
      </c>
      <c r="BI20">
        <f>IF(AND(ISNUMBER(BH20),逐级计算!$X$60&gt;-1),IF(逐级计算!$X$60=0,BH20+逐级计算!$C$60,BH20+逐级计算!$C$60-(10/(逐级计算!$Q$60*LN(10))*(MAX((LN(10^(逐级计算!$Q$60/10)-1)+逐级计算!$Q$60*(BH20-逐级计算!$P$60)*LN(10)/10),0)+LN(1+EXP(-ABS((LN(10^(逐级计算!$Q$60/10)-1)+逐级计算!$Q$60*(BH20-逐级计算!$P$60)*LN(10)/10))))))),"")</f>
        <v>13.789988704967</v>
      </c>
      <c r="BJ20">
        <f>IF(AND(ISNUMBER(BI20),逐级计算!$X$61&gt;-1),IF(逐级计算!$X$61=0,BI20+逐级计算!$C$61,BI20+逐级计算!$C$61-(10/(逐级计算!$Q$61*LN(10))*(MAX((LN(10^(逐级计算!$Q$61/10)-1)+逐级计算!$Q$61*(BI20-逐级计算!$P$61)*LN(10)/10),0)+LN(1+EXP(-ABS((LN(10^(逐级计算!$Q$61/10)-1)+逐级计算!$Q$61*(BI20-逐级计算!$P$61)*LN(10)/10))))))),"")</f>
        <v>13.789988704967</v>
      </c>
      <c r="BK20">
        <f>IF(AND(ISNUMBER(BJ20),逐级计算!$X$62&gt;-1),IF(逐级计算!$X$62=0,BJ20+逐级计算!$C$62,BJ20+逐级计算!$C$62-(10/(逐级计算!$Q$62*LN(10))*(MAX((LN(10^(逐级计算!$Q$62/10)-1)+逐级计算!$Q$62*(BJ20-逐级计算!$P$62)*LN(10)/10),0)+LN(1+EXP(-ABS((LN(10^(逐级计算!$Q$62/10)-1)+逐级计算!$Q$62*(BJ20-逐级计算!$P$62)*LN(10)/10))))))),"")</f>
        <v>13.789988704967</v>
      </c>
      <c r="BL20">
        <f>IF(AND(ISNUMBER(BK20),逐级计算!$X$63&gt;-1),IF(逐级计算!$X$63=0,BK20+逐级计算!$C$63,BK20+逐级计算!$C$63-(10/(逐级计算!$Q$63*LN(10))*(MAX((LN(10^(逐级计算!$Q$63/10)-1)+逐级计算!$Q$63*(BK20-逐级计算!$P$63)*LN(10)/10),0)+LN(1+EXP(-ABS((LN(10^(逐级计算!$Q$63/10)-1)+逐级计算!$Q$63*(BK20-逐级计算!$P$63)*LN(10)/10))))))),"")</f>
        <v>13.789988704967</v>
      </c>
      <c r="BM20">
        <f>IF(AND(ISNUMBER(BL20),逐级计算!$X$64&gt;-1),IF(逐级计算!$X$64=0,BL20+逐级计算!$C$64,BL20+逐级计算!$C$64-(10/(逐级计算!$Q$64*LN(10))*(MAX((LN(10^(逐级计算!$Q$64/10)-1)+逐级计算!$Q$64*(BL20-逐级计算!$P$64)*LN(10)/10),0)+LN(1+EXP(-ABS((LN(10^(逐级计算!$Q$64/10)-1)+逐级计算!$Q$64*(BL20-逐级计算!$P$64)*LN(10)/10))))))),"")</f>
        <v>13.789988704967</v>
      </c>
      <c r="BN20">
        <f>IF(AND(ISNUMBER(BM20),逐级计算!$X$65&gt;-1),IF(逐级计算!$X$65=0,BM20+逐级计算!$C$65,BM20+逐级计算!$C$65-(10/(逐级计算!$Q$65*LN(10))*(MAX((LN(10^(逐级计算!$Q$65/10)-1)+逐级计算!$Q$65*(BM20-逐级计算!$P$65)*LN(10)/10),0)+LN(1+EXP(-ABS((LN(10^(逐级计算!$Q$65/10)-1)+逐级计算!$Q$65*(BM20-逐级计算!$P$65)*LN(10)/10))))))),"")</f>
        <v>13.789988704967</v>
      </c>
      <c r="BO20">
        <f>IF(AND(ISNUMBER(BN20),逐级计算!$X$66&gt;-1),IF(逐级计算!$X$66=0,BN20+逐级计算!$C$66,BN20+逐级计算!$C$66-(10/(逐级计算!$Q$66*LN(10))*(MAX((LN(10^(逐级计算!$Q$66/10)-1)+逐级计算!$Q$66*(BN20-逐级计算!$P$66)*LN(10)/10),0)+LN(1+EXP(-ABS((LN(10^(逐级计算!$Q$66/10)-1)+逐级计算!$Q$66*(BN20-逐级计算!$P$66)*LN(10)/10))))))),"")</f>
        <v>13.789988704967</v>
      </c>
      <c r="BP20">
        <f>IF(AND(ISNUMBER(BO20),逐级计算!$X$67&gt;-1),IF(逐级计算!$X$67=0,BO20+逐级计算!$C$67,BO20+逐级计算!$C$67-(10/(逐级计算!$Q$67*LN(10))*(MAX((LN(10^(逐级计算!$Q$67/10)-1)+逐级计算!$Q$67*(BO20-逐级计算!$P$67)*LN(10)/10),0)+LN(1+EXP(-ABS((LN(10^(逐级计算!$Q$67/10)-1)+逐级计算!$Q$67*(BO20-逐级计算!$P$67)*LN(10)/10))))))),"")</f>
        <v>13.789988704967</v>
      </c>
      <c r="BQ20">
        <f>IF(AND(ISNUMBER(BP20),逐级计算!$X$68&gt;-1),IF(逐级计算!$X$68=0,BP20+逐级计算!$C$68,BP20+逐级计算!$C$68-(10/(逐级计算!$Q$68*LN(10))*(MAX((LN(10^(逐级计算!$Q$68/10)-1)+逐级计算!$Q$68*(BP20-逐级计算!$P$68)*LN(10)/10),0)+LN(1+EXP(-ABS((LN(10^(逐级计算!$Q$68/10)-1)+逐级计算!$Q$68*(BP20-逐级计算!$P$68)*LN(10)/10))))))),"")</f>
        <v>13.789988704967</v>
      </c>
      <c r="BR20">
        <f>IF(AND(ISNUMBER(BQ20),逐级计算!$X$69&gt;-1),IF(逐级计算!$X$69=0,BQ20+逐级计算!$C$69,BQ20+逐级计算!$C$69-(10/(逐级计算!$Q$69*LN(10))*(MAX((LN(10^(逐级计算!$Q$69/10)-1)+逐级计算!$Q$69*(BQ20-逐级计算!$P$69)*LN(10)/10),0)+LN(1+EXP(-ABS((LN(10^(逐级计算!$Q$69/10)-1)+逐级计算!$Q$69*(BQ20-逐级计算!$P$69)*LN(10)/10))))))),"")</f>
        <v>13.789988704967</v>
      </c>
      <c r="BS20">
        <f>IF(AND(ISNUMBER(BR20),逐级计算!$X$70&gt;-1),IF(逐级计算!$X$70=0,BR20+逐级计算!$C$70,BR20+逐级计算!$C$70-(10/(逐级计算!$Q$70*LN(10))*(MAX((LN(10^(逐级计算!$Q$70/10)-1)+逐级计算!$Q$70*(BR20-逐级计算!$P$70)*LN(10)/10),0)+LN(1+EXP(-ABS((LN(10^(逐级计算!$Q$70/10)-1)+逐级计算!$Q$70*(BR20-逐级计算!$P$70)*LN(10)/10))))))),"")</f>
        <v>13.789988704967</v>
      </c>
      <c r="BT20">
        <f>IF(AND(ISNUMBER(BS20),逐级计算!$X$71&gt;-1),IF(逐级计算!$X$71=0,BS20+逐级计算!$C$71,BS20+逐级计算!$C$71-(10/(逐级计算!$Q$71*LN(10))*(MAX((LN(10^(逐级计算!$Q$71/10)-1)+逐级计算!$Q$71*(BS20-逐级计算!$P$71)*LN(10)/10),0)+LN(1+EXP(-ABS((LN(10^(逐级计算!$Q$71/10)-1)+逐级计算!$Q$71*(BS20-逐级计算!$P$71)*LN(10)/10))))))),"")</f>
        <v>13.789988704967</v>
      </c>
      <c r="BU20">
        <f>IF(AND(ISNUMBER(BT20),逐级计算!$X$72&gt;-1),IF(逐级计算!$X$72=0,BT20+逐级计算!$C$72,BT20+逐级计算!$C$72-(10/(逐级计算!$Q$72*LN(10))*(MAX((LN(10^(逐级计算!$Q$72/10)-1)+逐级计算!$Q$72*(BT20-逐级计算!$P$72)*LN(10)/10),0)+LN(1+EXP(-ABS((LN(10^(逐级计算!$Q$72/10)-1)+逐级计算!$Q$72*(BT20-逐级计算!$P$72)*LN(10)/10))))))),"")</f>
        <v>13.789988704967</v>
      </c>
      <c r="BV20">
        <f>IF(AND(ISNUMBER(BU20),逐级计算!$X$73&gt;-1),IF(逐级计算!$X$73=0,BU20+逐级计算!$C$73,BU20+逐级计算!$C$73-(10/(逐级计算!$Q$73*LN(10))*(MAX((LN(10^(逐级计算!$Q$73/10)-1)+逐级计算!$Q$73*(BU20-逐级计算!$P$73)*LN(10)/10),0)+LN(1+EXP(-ABS((LN(10^(逐级计算!$Q$73/10)-1)+逐级计算!$Q$73*(BU20-逐级计算!$P$73)*LN(10)/10))))))),"")</f>
        <v>13.789988704967</v>
      </c>
      <c r="BW20">
        <f>IF(AND(ISNUMBER(BV20),逐级计算!$X$74&gt;-1),IF(逐级计算!$X$74=0,BV20+逐级计算!$C$74,BV20+逐级计算!$C$74-(10/(逐级计算!$Q$74*LN(10))*(MAX((LN(10^(逐级计算!$Q$74/10)-1)+逐级计算!$Q$74*(BV20-逐级计算!$P$74)*LN(10)/10),0)+LN(1+EXP(-ABS((LN(10^(逐级计算!$Q$74/10)-1)+逐级计算!$Q$74*(BV20-逐级计算!$P$74)*LN(10)/10))))))),"")</f>
        <v>13.789988704967</v>
      </c>
      <c r="BX20">
        <f>IF(AND(ISNUMBER(BW20),逐级计算!$X$75&gt;-1),IF(逐级计算!$X$75=0,BW20+逐级计算!$C$75,BW20+逐级计算!$C$75-(10/(逐级计算!$Q$75*LN(10))*(MAX((LN(10^(逐级计算!$Q$75/10)-1)+逐级计算!$Q$75*(BW20-逐级计算!$P$75)*LN(10)/10),0)+LN(1+EXP(-ABS((LN(10^(逐级计算!$Q$75/10)-1)+逐级计算!$Q$75*(BW20-逐级计算!$P$75)*LN(10)/10))))))),"")</f>
        <v>13.789988704967</v>
      </c>
      <c r="BY20">
        <f>IF(AND(ISNUMBER(BX20),逐级计算!$X$76&gt;-1),IF(逐级计算!$X$76=0,BX20+逐级计算!$C$76,BX20+逐级计算!$C$76-(10/(逐级计算!$Q$76*LN(10))*(MAX((LN(10^(逐级计算!$Q$76/10)-1)+逐级计算!$Q$76*(BX20-逐级计算!$P$76)*LN(10)/10),0)+LN(1+EXP(-ABS((LN(10^(逐级计算!$Q$76/10)-1)+逐级计算!$Q$76*(BX20-逐级计算!$P$76)*LN(10)/10))))))),"")</f>
        <v>13.789988704967</v>
      </c>
      <c r="BZ20">
        <f>IF(AND(ISNUMBER(BY20),逐级计算!$X$77&gt;-1),IF(逐级计算!$X$77=0,BY20+逐级计算!$C$77,BY20+逐级计算!$C$77-(10/(逐级计算!$Q$77*LN(10))*(MAX((LN(10^(逐级计算!$Q$77/10)-1)+逐级计算!$Q$77*(BY20-逐级计算!$P$77)*LN(10)/10),0)+LN(1+EXP(-ABS((LN(10^(逐级计算!$Q$77/10)-1)+逐级计算!$Q$77*(BY20-逐级计算!$P$77)*LN(10)/10))))))),"")</f>
        <v>13.789988704967</v>
      </c>
      <c r="CA20">
        <f>IF(AND(ISNUMBER(BZ20),逐级计算!$X$78&gt;-1),IF(逐级计算!$X$78=0,BZ20+逐级计算!$C$78,BZ20+逐级计算!$C$78-(10/(逐级计算!$Q$78*LN(10))*(MAX((LN(10^(逐级计算!$Q$78/10)-1)+逐级计算!$Q$78*(BZ20-逐级计算!$P$78)*LN(10)/10),0)+LN(1+EXP(-ABS((LN(10^(逐级计算!$Q$78/10)-1)+逐级计算!$Q$78*(BZ20-逐级计算!$P$78)*LN(10)/10))))))),"")</f>
        <v>13.789988704967</v>
      </c>
      <c r="CB20">
        <f>IF(AND(ISNUMBER(CA20),逐级计算!$X$79&gt;-1),IF(逐级计算!$X$79=0,CA20+逐级计算!$C$79,CA20+逐级计算!$C$79-(10/(逐级计算!$Q$79*LN(10))*(MAX((LN(10^(逐级计算!$Q$79/10)-1)+逐级计算!$Q$79*(CA20-逐级计算!$P$79)*LN(10)/10),0)+LN(1+EXP(-ABS((LN(10^(逐级计算!$Q$79/10)-1)+逐级计算!$Q$79*(CA20-逐级计算!$P$79)*LN(10)/10))))))),"")</f>
        <v>13.789988704967</v>
      </c>
      <c r="CC20">
        <f>IF(AND(ISNUMBER(CB20),逐级计算!$X$80&gt;-1),IF(逐级计算!$X$80=0,CB20+逐级计算!$C$80,CB20+逐级计算!$C$80-(10/(逐级计算!$Q$80*LN(10))*(MAX((LN(10^(逐级计算!$Q$80/10)-1)+逐级计算!$Q$80*(CB20-逐级计算!$P$80)*LN(10)/10),0)+LN(1+EXP(-ABS((LN(10^(逐级计算!$Q$80/10)-1)+逐级计算!$Q$80*(CB20-逐级计算!$P$80)*LN(10)/10))))))),"")</f>
        <v>13.789988704967</v>
      </c>
      <c r="CD20">
        <f>IF(AND(ISNUMBER(CC20),逐级计算!$X$81&gt;-1),IF(逐级计算!$X$81=0,CC20+逐级计算!$C$81,CC20+逐级计算!$C$81-(10/(逐级计算!$Q$81*LN(10))*(MAX((LN(10^(逐级计算!$Q$81/10)-1)+逐级计算!$Q$81*(CC20-逐级计算!$P$81)*LN(10)/10),0)+LN(1+EXP(-ABS((LN(10^(逐级计算!$Q$81/10)-1)+逐级计算!$Q$81*(CC20-逐级计算!$P$81)*LN(10)/10))))))),"")</f>
        <v>13.789988704967</v>
      </c>
      <c r="CE20">
        <f>IF(AND(ISNUMBER(CD20),逐级计算!$X$82&gt;-1),IF(逐级计算!$X$82=0,CD20+逐级计算!$C$82,CD20+逐级计算!$C$82-(10/(逐级计算!$Q$82*LN(10))*(MAX((LN(10^(逐级计算!$Q$82/10)-1)+逐级计算!$Q$82*(CD20-逐级计算!$P$82)*LN(10)/10),0)+LN(1+EXP(-ABS((LN(10^(逐级计算!$Q$82/10)-1)+逐级计算!$Q$82*(CD20-逐级计算!$P$82)*LN(10)/10))))))),"")</f>
        <v>13.789988704967</v>
      </c>
      <c r="CF20">
        <f>IF(AND(ISNUMBER(CE20),逐级计算!$X$83&gt;-1),IF(逐级计算!$X$83=0,CE20+逐级计算!$C$83,CE20+逐级计算!$C$83-(10/(逐级计算!$Q$83*LN(10))*(MAX((LN(10^(逐级计算!$Q$83/10)-1)+逐级计算!$Q$83*(CE20-逐级计算!$P$83)*LN(10)/10),0)+LN(1+EXP(-ABS((LN(10^(逐级计算!$Q$83/10)-1)+逐级计算!$Q$83*(CE20-逐级计算!$P$83)*LN(10)/10))))))),"")</f>
        <v>13.789988704967</v>
      </c>
      <c r="CG20">
        <f>IF(AND(ISNUMBER(CF20),逐级计算!$X$84&gt;-1),IF(逐级计算!$X$84=0,CF20+逐级计算!$C$84,CF20+逐级计算!$C$84-(10/(逐级计算!$Q$84*LN(10))*(MAX((LN(10^(逐级计算!$Q$84/10)-1)+逐级计算!$Q$84*(CF20-逐级计算!$P$84)*LN(10)/10),0)+LN(1+EXP(-ABS((LN(10^(逐级计算!$Q$84/10)-1)+逐级计算!$Q$84*(CF20-逐级计算!$P$84)*LN(10)/10))))))),"")</f>
        <v>13.789988704967</v>
      </c>
      <c r="CH20">
        <f>IF(AND(ISNUMBER(CG20),逐级计算!$X$85&gt;-1),IF(逐级计算!$X$85=0,CG20+逐级计算!$C$85,CG20+逐级计算!$C$85-(10/(逐级计算!$Q$85*LN(10))*(MAX((LN(10^(逐级计算!$Q$85/10)-1)+逐级计算!$Q$85*(CG20-逐级计算!$P$85)*LN(10)/10),0)+LN(1+EXP(-ABS((LN(10^(逐级计算!$Q$85/10)-1)+逐级计算!$Q$85*(CG20-逐级计算!$P$85)*LN(10)/10))))))),"")</f>
        <v>13.789988704967</v>
      </c>
      <c r="CI20">
        <f>IF(AND(ISNUMBER(CH20),逐级计算!$X$86&gt;-1),IF(逐级计算!$X$86=0,CH20+逐级计算!$C$86,CH20+逐级计算!$C$86-(10/(逐级计算!$Q$86*LN(10))*(MAX((LN(10^(逐级计算!$Q$86/10)-1)+逐级计算!$Q$86*(CH20-逐级计算!$P$86)*LN(10)/10),0)+LN(1+EXP(-ABS((LN(10^(逐级计算!$Q$86/10)-1)+逐级计算!$Q$86*(CH20-逐级计算!$P$86)*LN(10)/10))))))),"")</f>
        <v>13.789988704967</v>
      </c>
      <c r="CJ20">
        <f>IF(AND(ISNUMBER(CI20),逐级计算!$X$87&gt;-1),IF(逐级计算!$X$87=0,CI20+逐级计算!$C$87,CI20+逐级计算!$C$87-(10/(逐级计算!$Q$87*LN(10))*(MAX((LN(10^(逐级计算!$Q$87/10)-1)+逐级计算!$Q$87*(CI20-逐级计算!$P$87)*LN(10)/10),0)+LN(1+EXP(-ABS((LN(10^(逐级计算!$Q$87/10)-1)+逐级计算!$Q$87*(CI20-逐级计算!$P$87)*LN(10)/10))))))),"")</f>
        <v>13.789988704967</v>
      </c>
      <c r="CK20">
        <f>IF(AND(ISNUMBER(CJ20),逐级计算!$X$88&gt;-1),IF(逐级计算!$X$88=0,CJ20+逐级计算!$C$88,CJ20+逐级计算!$C$88-(10/(逐级计算!$Q$88*LN(10))*(MAX((LN(10^(逐级计算!$Q$88/10)-1)+逐级计算!$Q$88*(CJ20-逐级计算!$P$88)*LN(10)/10),0)+LN(1+EXP(-ABS((LN(10^(逐级计算!$Q$88/10)-1)+逐级计算!$Q$88*(CJ20-逐级计算!$P$88)*LN(10)/10))))))),"")</f>
        <v>13.789988704967</v>
      </c>
      <c r="CL20">
        <f>IF(AND(ISNUMBER(CK20),逐级计算!$X$89&gt;-1),IF(逐级计算!$X$89=0,CK20+逐级计算!$C$89,CK20+逐级计算!$C$89-(10/(逐级计算!$Q$89*LN(10))*(MAX((LN(10^(逐级计算!$Q$89/10)-1)+逐级计算!$Q$89*(CK20-逐级计算!$P$89)*LN(10)/10),0)+LN(1+EXP(-ABS((LN(10^(逐级计算!$Q$89/10)-1)+逐级计算!$Q$89*(CK20-逐级计算!$P$89)*LN(10)/10))))))),"")</f>
        <v>13.789988704967</v>
      </c>
      <c r="CM20">
        <f>IF(AND(ISNUMBER(CL20),逐级计算!$X$90&gt;-1),IF(逐级计算!$X$90=0,CL20+逐级计算!$C$90,CL20+逐级计算!$C$90-(10/(逐级计算!$Q$90*LN(10))*(MAX((LN(10^(逐级计算!$Q$90/10)-1)+逐级计算!$Q$90*(CL20-逐级计算!$P$90)*LN(10)/10),0)+LN(1+EXP(-ABS((LN(10^(逐级计算!$Q$90/10)-1)+逐级计算!$Q$90*(CL20-逐级计算!$P$90)*LN(10)/10))))))),"")</f>
        <v>13.789988704967</v>
      </c>
      <c r="CN20">
        <f>IF(AND(ISNUMBER(CM20),逐级计算!$X$91&gt;-1),IF(逐级计算!$X$91=0,CM20+逐级计算!$C$91,CM20+逐级计算!$C$91-(10/(逐级计算!$Q$91*LN(10))*(MAX((LN(10^(逐级计算!$Q$91/10)-1)+逐级计算!$Q$91*(CM20-逐级计算!$P$91)*LN(10)/10),0)+LN(1+EXP(-ABS((LN(10^(逐级计算!$Q$91/10)-1)+逐级计算!$Q$91*(CM20-逐级计算!$P$91)*LN(10)/10))))))),"")</f>
        <v>13.789988704967</v>
      </c>
      <c r="CO20">
        <f>IF(AND(ISNUMBER(CN20),逐级计算!$X$92&gt;-1),IF(逐级计算!$X$92=0,CN20+逐级计算!$C$92,CN20+逐级计算!$C$92-(10/(逐级计算!$Q$92*LN(10))*(MAX((LN(10^(逐级计算!$Q$92/10)-1)+逐级计算!$Q$92*(CN20-逐级计算!$P$92)*LN(10)/10),0)+LN(1+EXP(-ABS((LN(10^(逐级计算!$Q$92/10)-1)+逐级计算!$Q$92*(CN20-逐级计算!$P$92)*LN(10)/10))))))),"")</f>
        <v>13.789988704967</v>
      </c>
      <c r="CP20">
        <f>IF(AND(ISNUMBER(CO20),逐级计算!$X$93&gt;-1),IF(逐级计算!$X$93=0,CO20+逐级计算!$C$93,CO20+逐级计算!$C$93-(10/(逐级计算!$Q$93*LN(10))*(MAX((LN(10^(逐级计算!$Q$93/10)-1)+逐级计算!$Q$93*(CO20-逐级计算!$P$93)*LN(10)/10),0)+LN(1+EXP(-ABS((LN(10^(逐级计算!$Q$93/10)-1)+逐级计算!$Q$93*(CO20-逐级计算!$P$93)*LN(10)/10))))))),"")</f>
        <v>13.789988704967</v>
      </c>
      <c r="CQ20">
        <f>IF(AND(ISNUMBER(CP20),逐级计算!$X$94&gt;-1),IF(逐级计算!$X$94=0,CP20+逐级计算!$C$94,CP20+逐级计算!$C$94-(10/(逐级计算!$Q$94*LN(10))*(MAX((LN(10^(逐级计算!$Q$94/10)-1)+逐级计算!$Q$94*(CP20-逐级计算!$P$94)*LN(10)/10),0)+LN(1+EXP(-ABS((LN(10^(逐级计算!$Q$94/10)-1)+逐级计算!$Q$94*(CP20-逐级计算!$P$94)*LN(10)/10))))))),"")</f>
        <v>13.789988704967</v>
      </c>
      <c r="CR20">
        <f>IF(AND(ISNUMBER(CQ20),逐级计算!$X$95&gt;-1),IF(逐级计算!$X$95=0,CQ20+逐级计算!$C$95,CQ20+逐级计算!$C$95-(10/(逐级计算!$Q$95*LN(10))*(MAX((LN(10^(逐级计算!$Q$95/10)-1)+逐级计算!$Q$95*(CQ20-逐级计算!$P$95)*LN(10)/10),0)+LN(1+EXP(-ABS((LN(10^(逐级计算!$Q$95/10)-1)+逐级计算!$Q$95*(CQ20-逐级计算!$P$95)*LN(10)/10))))))),"")</f>
        <v>13.789988704967</v>
      </c>
      <c r="CS20">
        <f>IF(AND(ISNUMBER(CR20),逐级计算!$X$96&gt;-1),IF(逐级计算!$X$96=0,CR20+逐级计算!$C$96,CR20+逐级计算!$C$96-(10/(逐级计算!$Q$96*LN(10))*(MAX((LN(10^(逐级计算!$Q$96/10)-1)+逐级计算!$Q$96*(CR20-逐级计算!$P$96)*LN(10)/10),0)+LN(1+EXP(-ABS((LN(10^(逐级计算!$Q$96/10)-1)+逐级计算!$Q$96*(CR20-逐级计算!$P$96)*LN(10)/10))))))),"")</f>
        <v>13.789988704967</v>
      </c>
      <c r="CT20">
        <f>IF(AND(ISNUMBER(CS20),逐级计算!$X$97&gt;-1),IF(逐级计算!$X$97=0,CS20+逐级计算!$C$97,CS20+逐级计算!$C$97-(10/(逐级计算!$Q$97*LN(10))*(MAX((LN(10^(逐级计算!$Q$97/10)-1)+逐级计算!$Q$97*(CS20-逐级计算!$P$97)*LN(10)/10),0)+LN(1+EXP(-ABS((LN(10^(逐级计算!$Q$97/10)-1)+逐级计算!$Q$97*(CS20-逐级计算!$P$97)*LN(10)/10))))))),"")</f>
        <v>13.789988704967</v>
      </c>
      <c r="CU20">
        <f>IF(AND(ISNUMBER(CT20),逐级计算!$X$98&gt;-1),IF(逐级计算!$X$98=0,CT20+逐级计算!$C$98,CT20+逐级计算!$C$98-(10/(逐级计算!$Q$98*LN(10))*(MAX((LN(10^(逐级计算!$Q$98/10)-1)+逐级计算!$Q$98*(CT20-逐级计算!$P$98)*LN(10)/10),0)+LN(1+EXP(-ABS((LN(10^(逐级计算!$Q$98/10)-1)+逐级计算!$Q$98*(CT20-逐级计算!$P$98)*LN(10)/10))))))),"")</f>
        <v>13.789988704967</v>
      </c>
      <c r="CV20">
        <f>IF(AND(ISNUMBER(CU20),逐级计算!$X$99&gt;-1),IF(逐级计算!$X$99=0,CU20+逐级计算!$C$99,CU20+逐级计算!$C$99-(10/(逐级计算!$Q$99*LN(10))*(MAX((LN(10^(逐级计算!$Q$99/10)-1)+逐级计算!$Q$99*(CU20-逐级计算!$P$99)*LN(10)/10),0)+LN(1+EXP(-ABS((LN(10^(逐级计算!$Q$99/10)-1)+逐级计算!$Q$99*(CU20-逐级计算!$P$99)*LN(10)/10))))))),"")</f>
        <v>13.789988704967</v>
      </c>
      <c r="CW20">
        <f>IF(AND(ISNUMBER(CV20),逐级计算!$X$100&gt;-1),IF(逐级计算!$X$100=0,CV20+逐级计算!$C$100,CV20+逐级计算!$C$100-(10/(逐级计算!$Q$100*LN(10))*(MAX((LN(10^(逐级计算!$Q$100/10)-1)+逐级计算!$Q$100*(CV20-逐级计算!$P$100)*LN(10)/10),0)+LN(1+EXP(-ABS((LN(10^(逐级计算!$Q$100/10)-1)+逐级计算!$Q$100*(CV20-逐级计算!$P$100)*LN(10)/10))))))),"")</f>
        <v>13.789988704967</v>
      </c>
      <c r="CX20">
        <f>IF(AND(ISNUMBER(CW20),逐级计算!$X$101&gt;-1),IF(逐级计算!$X$101=0,CW20+逐级计算!$C$101,CW20+逐级计算!$C$101-(10/(逐级计算!$Q$101*LN(10))*(MAX((LN(10^(逐级计算!$Q$101/10)-1)+逐级计算!$Q$101*(CW20-逐级计算!$P$101)*LN(10)/10),0)+LN(1+EXP(-ABS((LN(10^(逐级计算!$Q$101/10)-1)+逐级计算!$Q$101*(CW20-逐级计算!$P$101)*LN(10)/10))))))),"")</f>
        <v>13.789988704967</v>
      </c>
      <c r="CY20">
        <f>IF(AND(ISNUMBER(CX20),逐级计算!$X$102&gt;-1),IF(逐级计算!$X$102=0,CX20+逐级计算!$C$102,CX20+逐级计算!$C$102-(10/(逐级计算!$Q$102*LN(10))*(MAX((LN(10^(逐级计算!$Q$102/10)-1)+逐级计算!$Q$102*(CX20-逐级计算!$P$102)*LN(10)/10),0)+LN(1+EXP(-ABS((LN(10^(逐级计算!$Q$102/10)-1)+逐级计算!$Q$102*(CX20-逐级计算!$P$102)*LN(10)/10))))))),"")</f>
        <v>13.789988704967</v>
      </c>
      <c r="CZ20">
        <f>IF(AND(ISNUMBER(CY20),逐级计算!$X$103&gt;-1),IF(逐级计算!$X$103=0,CY20+逐级计算!$C$103,CY20+逐级计算!$C$103-(10/(逐级计算!$Q$103*LN(10))*(MAX((LN(10^(逐级计算!$Q$103/10)-1)+逐级计算!$Q$103*(CY20-逐级计算!$P$103)*LN(10)/10),0)+LN(1+EXP(-ABS((LN(10^(逐级计算!$Q$103/10)-1)+逐级计算!$Q$103*(CY20-逐级计算!$P$103)*LN(10)/10))))))),"")</f>
        <v>13.789988704967</v>
      </c>
      <c r="DA20">
        <f>IF(AND(ISNUMBER(CZ20),逐级计算!$X$104&gt;-1),IF(逐级计算!$X$104=0,CZ20+逐级计算!$C$104,CZ20+逐级计算!$C$104-(10/(逐级计算!$Q$104*LN(10))*(MAX((LN(10^(逐级计算!$Q$104/10)-1)+逐级计算!$Q$104*(CZ20-逐级计算!$P$104)*LN(10)/10),0)+LN(1+EXP(-ABS((LN(10^(逐级计算!$Q$104/10)-1)+逐级计算!$Q$104*(CZ20-逐级计算!$P$104)*LN(10)/10))))))),"")</f>
        <v>13.789988704967</v>
      </c>
      <c r="DB20">
        <f>IF(AND(ISNUMBER(DA20),逐级计算!$X$105&gt;-1),IF(逐级计算!$X$105=0,DA20+逐级计算!$C$105,DA20+逐级计算!$C$105-(10/(逐级计算!$Q$105*LN(10))*(MAX((LN(10^(逐级计算!$Q$105/10)-1)+逐级计算!$Q$105*(DA20-逐级计算!$P$105)*LN(10)/10),0)+LN(1+EXP(-ABS((LN(10^(逐级计算!$Q$105/10)-1)+逐级计算!$Q$105*(DA20-逐级计算!$P$105)*LN(10)/10))))))),"")</f>
        <v>13.789988704967</v>
      </c>
      <c r="DC20">
        <f>IF(AND(ISNUMBER(DB20),逐级计算!$X$106&gt;-1),IF(逐级计算!$X$106=0,DB20+逐级计算!$C$106,DB20+逐级计算!$C$106-(10/(逐级计算!$Q$106*LN(10))*(MAX((LN(10^(逐级计算!$Q$106/10)-1)+逐级计算!$Q$106*(DB20-逐级计算!$P$106)*LN(10)/10),0)+LN(1+EXP(-ABS((LN(10^(逐级计算!$Q$106/10)-1)+逐级计算!$Q$106*(DB20-逐级计算!$P$106)*LN(10)/10))))))),"")</f>
        <v>13.789988704967</v>
      </c>
      <c r="DD20">
        <f>IF(AND(ISNUMBER(DC20),逐级计算!$X$107&gt;-1),IF(逐级计算!$X$107=0,DC20+逐级计算!$C$107,DC20+逐级计算!$C$107-(10/(逐级计算!$Q$107*LN(10))*(MAX((LN(10^(逐级计算!$Q$107/10)-1)+逐级计算!$Q$107*(DC20-逐级计算!$P$107)*LN(10)/10),0)+LN(1+EXP(-ABS((LN(10^(逐级计算!$Q$107/10)-1)+逐级计算!$Q$107*(DC20-逐级计算!$P$107)*LN(10)/10))))))),"")</f>
        <v>13.789988704967</v>
      </c>
      <c r="DE20">
        <f>IF(AND(ISNUMBER(DD20),逐级计算!$X$108&gt;-1),IF(逐级计算!$X$108=0,DD20+逐级计算!$C$108,DD20+逐级计算!$C$108-(10/(逐级计算!$Q$108*LN(10))*(MAX((LN(10^(逐级计算!$Q$108/10)-1)+逐级计算!$Q$108*(DD20-逐级计算!$P$108)*LN(10)/10),0)+LN(1+EXP(-ABS((LN(10^(逐级计算!$Q$108/10)-1)+逐级计算!$Q$108*(DD20-逐级计算!$P$108)*LN(10)/10))))))),"")</f>
        <v>13.789988704967</v>
      </c>
      <c r="DF20">
        <f>IF(AND(ISNUMBER(DE20),逐级计算!$X$109&gt;-1),IF(逐级计算!$X$109=0,DE20+逐级计算!$C$109,DE20+逐级计算!$C$109-(10/(逐级计算!$Q$109*LN(10))*(MAX((LN(10^(逐级计算!$Q$109/10)-1)+逐级计算!$Q$109*(DE20-逐级计算!$P$109)*LN(10)/10),0)+LN(1+EXP(-ABS((LN(10^(逐级计算!$Q$109/10)-1)+逐级计算!$Q$109*(DE20-逐级计算!$P$109)*LN(10)/10))))))),"")</f>
        <v>13.789988704967</v>
      </c>
      <c r="DG20">
        <f>IF(AND(ISNUMBER(DF20),逐级计算!$X$110&gt;-1),IF(逐级计算!$X$110=0,DF20+逐级计算!$C$110,DF20+逐级计算!$C$110-(10/(逐级计算!$Q$110*LN(10))*(MAX((LN(10^(逐级计算!$Q$110/10)-1)+逐级计算!$Q$110*(DF20-逐级计算!$P$110)*LN(10)/10),0)+LN(1+EXP(-ABS((LN(10^(逐级计算!$Q$110/10)-1)+逐级计算!$Q$110*(DF20-逐级计算!$P$110)*LN(10)/10))))))),"")</f>
        <v>13.789988704967</v>
      </c>
      <c r="DH20">
        <f>IF(AND(ISNUMBER(DG20),逐级计算!$X$111&gt;-1),IF(逐级计算!$X$111=0,DG20+逐级计算!$C$111,DG20+逐级计算!$C$111-(10/(逐级计算!$Q$111*LN(10))*(MAX((LN(10^(逐级计算!$Q$111/10)-1)+逐级计算!$Q$111*(DG20-逐级计算!$P$111)*LN(10)/10),0)+LN(1+EXP(-ABS((LN(10^(逐级计算!$Q$111/10)-1)+逐级计算!$Q$111*(DG20-逐级计算!$P$111)*LN(10)/10))))))),"")</f>
        <v>13.789988704967</v>
      </c>
      <c r="DI20">
        <f>IF(AND(ISNUMBER(DH20),逐级计算!$X$112&gt;-1),IF(逐级计算!$X$112=0,DH20+逐级计算!$C$112,DH20+逐级计算!$C$112-(10/(逐级计算!$Q$112*LN(10))*(MAX((LN(10^(逐级计算!$Q$112/10)-1)+逐级计算!$Q$112*(DH20-逐级计算!$P$112)*LN(10)/10),0)+LN(1+EXP(-ABS((LN(10^(逐级计算!$Q$112/10)-1)+逐级计算!$Q$112*(DH20-逐级计算!$P$112)*LN(10)/10))))))),"")</f>
        <v>13.789988704967</v>
      </c>
      <c r="DJ20">
        <f>IF(AND(ISNUMBER(DI20),逐级计算!$X$113&gt;-1),IF(逐级计算!$X$113=0,DI20+逐级计算!$C$113,DI20+逐级计算!$C$113-(10/(逐级计算!$Q$113*LN(10))*(MAX((LN(10^(逐级计算!$Q$113/10)-1)+逐级计算!$Q$113*(DI20-逐级计算!$P$113)*LN(10)/10),0)+LN(1+EXP(-ABS((LN(10^(逐级计算!$Q$113/10)-1)+逐级计算!$Q$113*(DI20-逐级计算!$P$113)*LN(10)/10))))))),"")</f>
        <v>13.789988704967</v>
      </c>
      <c r="DK20">
        <f>IF(AND(ISNUMBER(DJ20),逐级计算!$X$114&gt;-1),IF(逐级计算!$X$114=0,DJ20+逐级计算!$C$114,DJ20+逐级计算!$C$114-(10/(逐级计算!$Q$114*LN(10))*(MAX((LN(10^(逐级计算!$Q$114/10)-1)+逐级计算!$Q$114*(DJ20-逐级计算!$P$114)*LN(10)/10),0)+LN(1+EXP(-ABS((LN(10^(逐级计算!$Q$114/10)-1)+逐级计算!$Q$114*(DJ20-逐级计算!$P$114)*LN(10)/10))))))),"")</f>
        <v>13.789988704967</v>
      </c>
      <c r="DL20">
        <f>IF(AND(ISNUMBER(DK20),逐级计算!$X$115&gt;-1),IF(逐级计算!$X$115=0,DK20+逐级计算!$C$115,DK20+逐级计算!$C$115-(10/(逐级计算!$Q$115*LN(10))*(MAX((LN(10^(逐级计算!$Q$115/10)-1)+逐级计算!$Q$115*(DK20-逐级计算!$P$115)*LN(10)/10),0)+LN(1+EXP(-ABS((LN(10^(逐级计算!$Q$115/10)-1)+逐级计算!$Q$115*(DK20-逐级计算!$P$115)*LN(10)/10))))))),"")</f>
        <v>13.789988704967</v>
      </c>
      <c r="DM20">
        <f>IF(AND(ISNUMBER(DL20),逐级计算!$X$116&gt;-1),IF(逐级计算!$X$116=0,DL20+逐级计算!$C$116,DL20+逐级计算!$C$116-(10/(逐级计算!$Q$116*LN(10))*(MAX((LN(10^(逐级计算!$Q$116/10)-1)+逐级计算!$Q$116*(DL20-逐级计算!$P$116)*LN(10)/10),0)+LN(1+EXP(-ABS((LN(10^(逐级计算!$Q$116/10)-1)+逐级计算!$Q$116*(DL20-逐级计算!$P$116)*LN(10)/10))))))),"")</f>
        <v>13.789988704967</v>
      </c>
      <c r="DN20">
        <f>IF(AND(ISNUMBER(DM20),逐级计算!$X$117&gt;-1),IF(逐级计算!$X$117=0,DM20+逐级计算!$C$117,DM20+逐级计算!$C$117-(10/(逐级计算!$Q$117*LN(10))*(MAX((LN(10^(逐级计算!$Q$117/10)-1)+逐级计算!$Q$117*(DM20-逐级计算!$P$117)*LN(10)/10),0)+LN(1+EXP(-ABS((LN(10^(逐级计算!$Q$117/10)-1)+逐级计算!$Q$117*(DM20-逐级计算!$P$117)*LN(10)/10))))))),"")</f>
        <v>13.789988704967</v>
      </c>
      <c r="DO20">
        <f>IF(AND(ISNUMBER(DN20),逐级计算!$X$118&gt;-1),IF(逐级计算!$X$118=0,DN20+逐级计算!$C$118,DN20+逐级计算!$C$118-(10/(逐级计算!$Q$118*LN(10))*(MAX((LN(10^(逐级计算!$Q$118/10)-1)+逐级计算!$Q$118*(DN20-逐级计算!$P$118)*LN(10)/10),0)+LN(1+EXP(-ABS((LN(10^(逐级计算!$Q$118/10)-1)+逐级计算!$Q$118*(DN20-逐级计算!$P$118)*LN(10)/10))))))),"")</f>
        <v>13.789988704967</v>
      </c>
      <c r="DP20">
        <f>IF(AND(ISNUMBER(DO20),逐级计算!$X$119&gt;-1),IF(逐级计算!$X$119=0,DO20+逐级计算!$C$119,DO20+逐级计算!$C$119-(10/(逐级计算!$Q$119*LN(10))*(MAX((LN(10^(逐级计算!$Q$119/10)-1)+逐级计算!$Q$119*(DO20-逐级计算!$P$119)*LN(10)/10),0)+LN(1+EXP(-ABS((LN(10^(逐级计算!$Q$119/10)-1)+逐级计算!$Q$119*(DO20-逐级计算!$P$119)*LN(10)/10))))))),"")</f>
        <v>13.789988704967</v>
      </c>
      <c r="DQ20">
        <f>IF(AND(ISNUMBER(DP20),逐级计算!$X$120&gt;-1),IF(逐级计算!$X$120=0,DP20+逐级计算!$C$120,DP20+逐级计算!$C$120-(10/(逐级计算!$Q$120*LN(10))*(MAX((LN(10^(逐级计算!$Q$120/10)-1)+逐级计算!$Q$120*(DP20-逐级计算!$P$120)*LN(10)/10),0)+LN(1+EXP(-ABS((LN(10^(逐级计算!$Q$120/10)-1)+逐级计算!$Q$120*(DP20-逐级计算!$P$120)*LN(10)/10))))))),"")</f>
        <v>13.789988704967</v>
      </c>
      <c r="DR20">
        <f>IF(AND(ISNUMBER(DQ20),逐级计算!$X$121&gt;-1),IF(逐级计算!$X$121=0,DQ20+逐级计算!$C$121,DQ20+逐级计算!$C$121-(10/(逐级计算!$Q$121*LN(10))*(MAX((LN(10^(逐级计算!$Q$121/10)-1)+逐级计算!$Q$121*(DQ20-逐级计算!$P$121)*LN(10)/10),0)+LN(1+EXP(-ABS((LN(10^(逐级计算!$Q$121/10)-1)+逐级计算!$Q$121*(DQ20-逐级计算!$P$121)*LN(10)/10))))))),"")</f>
        <v>13.789988704967</v>
      </c>
      <c r="DS20">
        <f>IF(AND(ISNUMBER(DR20),逐级计算!$X$122&gt;-1),IF(逐级计算!$X$122=0,DR20+逐级计算!$C$122,DR20+逐级计算!$C$122-(10/(逐级计算!$Q$122*LN(10))*(MAX((LN(10^(逐级计算!$Q$122/10)-1)+逐级计算!$Q$122*(DR20-逐级计算!$P$122)*LN(10)/10),0)+LN(1+EXP(-ABS((LN(10^(逐级计算!$Q$122/10)-1)+逐级计算!$Q$122*(DR20-逐级计算!$P$122)*LN(10)/10))))))),"")</f>
        <v>13.789988704967</v>
      </c>
      <c r="DT20">
        <f>IF(AND(ISNUMBER(DS20),逐级计算!$X$123&gt;-1),IF(逐级计算!$X$123=0,DS20+逐级计算!$C$123,DS20+逐级计算!$C$123-(10/(逐级计算!$Q$123*LN(10))*(MAX((LN(10^(逐级计算!$Q$123/10)-1)+逐级计算!$Q$123*(DS20-逐级计算!$P$123)*LN(10)/10),0)+LN(1+EXP(-ABS((LN(10^(逐级计算!$Q$123/10)-1)+逐级计算!$Q$123*(DS20-逐级计算!$P$123)*LN(10)/10))))))),"")</f>
        <v>13.789988704967</v>
      </c>
      <c r="DU20">
        <f>IF(AND(ISNUMBER(DT20),逐级计算!$X$124&gt;-1),IF(逐级计算!$X$124=0,DT20+逐级计算!$C$124,DT20+逐级计算!$C$124-(10/(逐级计算!$Q$124*LN(10))*(MAX((LN(10^(逐级计算!$Q$124/10)-1)+逐级计算!$Q$124*(DT20-逐级计算!$P$124)*LN(10)/10),0)+LN(1+EXP(-ABS((LN(10^(逐级计算!$Q$124/10)-1)+逐级计算!$Q$124*(DT20-逐级计算!$P$124)*LN(10)/10))))))),"")</f>
        <v>13.789988704967</v>
      </c>
      <c r="DV20">
        <f>IF(AND(ISNUMBER(DU20),逐级计算!$X$125&gt;-1),IF(逐级计算!$X$125=0,DU20+逐级计算!$C$125,DU20+逐级计算!$C$125-(10/(逐级计算!$Q$125*LN(10))*(MAX((LN(10^(逐级计算!$Q$125/10)-1)+逐级计算!$Q$125*(DU20-逐级计算!$P$125)*LN(10)/10),0)+LN(1+EXP(-ABS((LN(10^(逐级计算!$Q$125/10)-1)+逐级计算!$Q$125*(DU20-逐级计算!$P$125)*LN(10)/10))))))),"")</f>
        <v>13.789988704967</v>
      </c>
      <c r="DW20">
        <f>IF(AND(ISNUMBER(DV20),逐级计算!$X$126&gt;-1),IF(逐级计算!$X$126=0,DV20+逐级计算!$C$126,DV20+逐级计算!$C$126-(10/(逐级计算!$Q$126*LN(10))*(MAX((LN(10^(逐级计算!$Q$126/10)-1)+逐级计算!$Q$126*(DV20-逐级计算!$P$126)*LN(10)/10),0)+LN(1+EXP(-ABS((LN(10^(逐级计算!$Q$126/10)-1)+逐级计算!$Q$126*(DV20-逐级计算!$P$126)*LN(10)/10))))))),"")</f>
        <v>13.789988704967</v>
      </c>
      <c r="DX20">
        <f>IF(AND(ISNUMBER(DW20),逐级计算!$X$127&gt;-1),IF(逐级计算!$X$127=0,DW20+逐级计算!$C$127,DW20+逐级计算!$C$127-(10/(逐级计算!$Q$127*LN(10))*(MAX((LN(10^(逐级计算!$Q$127/10)-1)+逐级计算!$Q$127*(DW20-逐级计算!$P$127)*LN(10)/10),0)+LN(1+EXP(-ABS((LN(10^(逐级计算!$Q$127/10)-1)+逐级计算!$Q$127*(DW20-逐级计算!$P$127)*LN(10)/10))))))),"")</f>
        <v>13.789988704967</v>
      </c>
      <c r="DY20">
        <f>IF(AND(ISNUMBER(DX20),逐级计算!$X$128&gt;-1),IF(逐级计算!$X$128=0,DX20+逐级计算!$C$128,DX20+逐级计算!$C$128-(10/(逐级计算!$Q$128*LN(10))*(MAX((LN(10^(逐级计算!$Q$128/10)-1)+逐级计算!$Q$128*(DX20-逐级计算!$P$128)*LN(10)/10),0)+LN(1+EXP(-ABS((LN(10^(逐级计算!$Q$128/10)-1)+逐级计算!$Q$128*(DX20-逐级计算!$P$128)*LN(10)/10))))))),"")</f>
        <v>13.789988704967</v>
      </c>
      <c r="DZ20">
        <f>IF(AND(ISNUMBER(DY20),逐级计算!$X$129&gt;-1),IF(逐级计算!$X$129=0,DY20+逐级计算!$C$129,DY20+逐级计算!$C$129-(10/(逐级计算!$Q$129*LN(10))*(MAX((LN(10^(逐级计算!$Q$129/10)-1)+逐级计算!$Q$129*(DY20-逐级计算!$P$129)*LN(10)/10),0)+LN(1+EXP(-ABS((LN(10^(逐级计算!$Q$129/10)-1)+逐级计算!$Q$129*(DY20-逐级计算!$P$129)*LN(10)/10))))))),"")</f>
        <v>13.789988704967</v>
      </c>
      <c r="EA20">
        <f>IF(AND(ISNUMBER(DZ20),逐级计算!$X$130&gt;-1),IF(逐级计算!$X$130=0,DZ20+逐级计算!$C$130,DZ20+逐级计算!$C$130-(10/(逐级计算!$Q$130*LN(10))*(MAX((LN(10^(逐级计算!$Q$130/10)-1)+逐级计算!$Q$130*(DZ20-逐级计算!$P$130)*LN(10)/10),0)+LN(1+EXP(-ABS((LN(10^(逐级计算!$Q$130/10)-1)+逐级计算!$Q$130*(DZ20-逐级计算!$P$130)*LN(10)/10))))))),"")</f>
        <v>13.789988704967</v>
      </c>
      <c r="EB20">
        <f>IF(AND(ISNUMBER(EA20),逐级计算!$X$131&gt;-1),IF(逐级计算!$X$131=0,EA20+逐级计算!$C$131,EA20+逐级计算!$C$131-(10/(逐级计算!$Q$131*LN(10))*(MAX((LN(10^(逐级计算!$Q$131/10)-1)+逐级计算!$Q$131*(EA20-逐级计算!$P$131)*LN(10)/10),0)+LN(1+EXP(-ABS((LN(10^(逐级计算!$Q$131/10)-1)+逐级计算!$Q$131*(EA20-逐级计算!$P$131)*LN(10)/10))))))),"")</f>
        <v>13.789988704967</v>
      </c>
      <c r="EC20">
        <f>IF(AND(ISNUMBER(EB20),逐级计算!$X$132&gt;-1),IF(逐级计算!$X$132=0,EB20+逐级计算!$C$132,EB20+逐级计算!$C$132-(10/(逐级计算!$Q$132*LN(10))*(MAX((LN(10^(逐级计算!$Q$132/10)-1)+逐级计算!$Q$132*(EB20-逐级计算!$P$132)*LN(10)/10),0)+LN(1+EXP(-ABS((LN(10^(逐级计算!$Q$132/10)-1)+逐级计算!$Q$132*(EB20-逐级计算!$P$132)*LN(10)/10))))))),"")</f>
        <v>13.789988704967</v>
      </c>
      <c r="ED20">
        <f>IF(AND(ISNUMBER(EC20),逐级计算!$X$133&gt;-1),IF(逐级计算!$X$133=0,EC20+逐级计算!$C$133,EC20+逐级计算!$C$133-(10/(逐级计算!$Q$133*LN(10))*(MAX((LN(10^(逐级计算!$Q$133/10)-1)+逐级计算!$Q$133*(EC20-逐级计算!$P$133)*LN(10)/10),0)+LN(1+EXP(-ABS((LN(10^(逐级计算!$Q$133/10)-1)+逐级计算!$Q$133*(EC20-逐级计算!$P$133)*LN(10)/10))))))),"")</f>
        <v>13.789988704967</v>
      </c>
      <c r="EE20">
        <f>IF(AND(ISNUMBER(ED20),逐级计算!$X$134&gt;-1),IF(逐级计算!$X$134=0,ED20+逐级计算!$C$134,ED20+逐级计算!$C$134-(10/(逐级计算!$Q$134*LN(10))*(MAX((LN(10^(逐级计算!$Q$134/10)-1)+逐级计算!$Q$134*(ED20-逐级计算!$P$134)*LN(10)/10),0)+LN(1+EXP(-ABS((LN(10^(逐级计算!$Q$134/10)-1)+逐级计算!$Q$134*(ED20-逐级计算!$P$134)*LN(10)/10))))))),"")</f>
        <v>13.789988704967</v>
      </c>
      <c r="EF20">
        <f>IF(AND(ISNUMBER(EE20),逐级计算!$X$135&gt;-1),IF(逐级计算!$X$135=0,EE20+逐级计算!$C$135,EE20+逐级计算!$C$135-(10/(逐级计算!$Q$135*LN(10))*(MAX((LN(10^(逐级计算!$Q$135/10)-1)+逐级计算!$Q$135*(EE20-逐级计算!$P$135)*LN(10)/10),0)+LN(1+EXP(-ABS((LN(10^(逐级计算!$Q$135/10)-1)+逐级计算!$Q$135*(EE20-逐级计算!$P$135)*LN(10)/10))))))),"")</f>
        <v>13.789988704967</v>
      </c>
      <c r="EG20">
        <f>IF(AND(ISNUMBER(EF20),逐级计算!$X$136&gt;-1),IF(逐级计算!$X$136=0,EF20+逐级计算!$C$136,EF20+逐级计算!$C$136-(10/(逐级计算!$Q$136*LN(10))*(MAX((LN(10^(逐级计算!$Q$136/10)-1)+逐级计算!$Q$136*(EF20-逐级计算!$P$136)*LN(10)/10),0)+LN(1+EXP(-ABS((LN(10^(逐级计算!$Q$136/10)-1)+逐级计算!$Q$136*(EF20-逐级计算!$P$136)*LN(10)/10))))))),"")</f>
        <v>13.789988704967</v>
      </c>
      <c r="EH20">
        <f>IF(AND(ISNUMBER(EG20),逐级计算!$X$137&gt;-1),IF(逐级计算!$X$137=0,EG20+逐级计算!$C$137,EG20+逐级计算!$C$137-(10/(逐级计算!$Q$137*LN(10))*(MAX((LN(10^(逐级计算!$Q$137/10)-1)+逐级计算!$Q$137*(EG20-逐级计算!$P$137)*LN(10)/10),0)+LN(1+EXP(-ABS((LN(10^(逐级计算!$Q$137/10)-1)+逐级计算!$Q$137*(EG20-逐级计算!$P$137)*LN(10)/10))))))),"")</f>
        <v>13.789988704967</v>
      </c>
      <c r="EI20">
        <f>IF(AND(ISNUMBER(EH20),逐级计算!$X$138&gt;-1),IF(逐级计算!$X$138=0,EH20+逐级计算!$C$138,EH20+逐级计算!$C$138-(10/(逐级计算!$Q$138*LN(10))*(MAX((LN(10^(逐级计算!$Q$138/10)-1)+逐级计算!$Q$138*(EH20-逐级计算!$P$138)*LN(10)/10),0)+LN(1+EXP(-ABS((LN(10^(逐级计算!$Q$138/10)-1)+逐级计算!$Q$138*(EH20-逐级计算!$P$138)*LN(10)/10))))))),"")</f>
        <v>13.789988704967</v>
      </c>
      <c r="EJ20">
        <f>IF(AND(ISNUMBER(EI20),逐级计算!$X$139&gt;-1),IF(逐级计算!$X$139=0,EI20+逐级计算!$C$139,EI20+逐级计算!$C$139-(10/(逐级计算!$Q$139*LN(10))*(MAX((LN(10^(逐级计算!$Q$139/10)-1)+逐级计算!$Q$139*(EI20-逐级计算!$P$139)*LN(10)/10),0)+LN(1+EXP(-ABS((LN(10^(逐级计算!$Q$139/10)-1)+逐级计算!$Q$139*(EI20-逐级计算!$P$139)*LN(10)/10))))))),"")</f>
        <v>13.789988704967</v>
      </c>
      <c r="EK20">
        <f>IF(AND(ISNUMBER(EJ20),逐级计算!$X$140&gt;-1),IF(逐级计算!$X$140=0,EJ20+逐级计算!$C$140,EJ20+逐级计算!$C$140-(10/(逐级计算!$Q$140*LN(10))*(MAX((LN(10^(逐级计算!$Q$140/10)-1)+逐级计算!$Q$140*(EJ20-逐级计算!$P$140)*LN(10)/10),0)+LN(1+EXP(-ABS((LN(10^(逐级计算!$Q$140/10)-1)+逐级计算!$Q$140*(EJ20-逐级计算!$P$140)*LN(10)/10))))))),"")</f>
        <v>13.789988704967</v>
      </c>
      <c r="EL20">
        <f>IF(AND(ISNUMBER(EK20),逐级计算!$X$141&gt;-1),IF(逐级计算!$X$141=0,EK20+逐级计算!$C$141,EK20+逐级计算!$C$141-(10/(逐级计算!$Q$141*LN(10))*(MAX((LN(10^(逐级计算!$Q$141/10)-1)+逐级计算!$Q$141*(EK20-逐级计算!$P$141)*LN(10)/10),0)+LN(1+EXP(-ABS((LN(10^(逐级计算!$Q$141/10)-1)+逐级计算!$Q$141*(EK20-逐级计算!$P$141)*LN(10)/10))))))),"")</f>
        <v>13.789988704967</v>
      </c>
      <c r="EM20">
        <f>IF(AND(ISNUMBER(EL20),逐级计算!$X$142&gt;-1),IF(逐级计算!$X$142=0,EL20+逐级计算!$C$142,EL20+逐级计算!$C$142-(10/(逐级计算!$Q$142*LN(10))*(MAX((LN(10^(逐级计算!$Q$142/10)-1)+逐级计算!$Q$142*(EL20-逐级计算!$P$142)*LN(10)/10),0)+LN(1+EXP(-ABS((LN(10^(逐级计算!$Q$142/10)-1)+逐级计算!$Q$142*(EL20-逐级计算!$P$142)*LN(10)/10))))))),"")</f>
        <v>13.789988704967</v>
      </c>
      <c r="EN20">
        <f>IF(AND(ISNUMBER(EM20),逐级计算!$X$143&gt;-1),IF(逐级计算!$X$143=0,EM20+逐级计算!$C$143,EM20+逐级计算!$C$143-(10/(逐级计算!$Q$143*LN(10))*(MAX((LN(10^(逐级计算!$Q$143/10)-1)+逐级计算!$Q$143*(EM20-逐级计算!$P$143)*LN(10)/10),0)+LN(1+EXP(-ABS((LN(10^(逐级计算!$Q$143/10)-1)+逐级计算!$Q$143*(EM20-逐级计算!$P$143)*LN(10)/10))))))),"")</f>
        <v>13.789988704967</v>
      </c>
      <c r="EO20">
        <f>IF(AND(ISNUMBER(EN20),逐级计算!$X$144&gt;-1),IF(逐级计算!$X$144=0,EN20+逐级计算!$C$144,EN20+逐级计算!$C$144-(10/(逐级计算!$Q$144*LN(10))*(MAX((LN(10^(逐级计算!$Q$144/10)-1)+逐级计算!$Q$144*(EN20-逐级计算!$P$144)*LN(10)/10),0)+LN(1+EXP(-ABS((LN(10^(逐级计算!$Q$144/10)-1)+逐级计算!$Q$144*(EN20-逐级计算!$P$144)*LN(10)/10))))))),"")</f>
        <v>13.789988704967</v>
      </c>
      <c r="EP20">
        <f>IF(AND(ISNUMBER(EO20),逐级计算!$X$145&gt;-1),IF(逐级计算!$X$145=0,EO20+逐级计算!$C$145,EO20+逐级计算!$C$145-(10/(逐级计算!$Q$145*LN(10))*(MAX((LN(10^(逐级计算!$Q$145/10)-1)+逐级计算!$Q$145*(EO20-逐级计算!$P$145)*LN(10)/10),0)+LN(1+EXP(-ABS((LN(10^(逐级计算!$Q$145/10)-1)+逐级计算!$Q$145*(EO20-逐级计算!$P$145)*LN(10)/10))))))),"")</f>
        <v>13.789988704967</v>
      </c>
      <c r="EQ20">
        <f>IF(AND(ISNUMBER(EP20),逐级计算!$X$146&gt;-1),IF(逐级计算!$X$146=0,EP20+逐级计算!$C$146,EP20+逐级计算!$C$146-(10/(逐级计算!$Q$146*LN(10))*(MAX((LN(10^(逐级计算!$Q$146/10)-1)+逐级计算!$Q$146*(EP20-逐级计算!$P$146)*LN(10)/10),0)+LN(1+EXP(-ABS((LN(10^(逐级计算!$Q$146/10)-1)+逐级计算!$Q$146*(EP20-逐级计算!$P$146)*LN(10)/10))))))),"")</f>
        <v>13.789988704967</v>
      </c>
      <c r="ER20">
        <f>IF(AND(ISNUMBER(EQ20),逐级计算!$X$147&gt;-1),IF(逐级计算!$X$147=0,EQ20+逐级计算!$C$147,EQ20+逐级计算!$C$147-(10/(逐级计算!$Q$147*LN(10))*(MAX((LN(10^(逐级计算!$Q$147/10)-1)+逐级计算!$Q$147*(EQ20-逐级计算!$P$147)*LN(10)/10),0)+LN(1+EXP(-ABS((LN(10^(逐级计算!$Q$147/10)-1)+逐级计算!$Q$147*(EQ20-逐级计算!$P$147)*LN(10)/10))))))),"")</f>
        <v>13.789988704967</v>
      </c>
      <c r="ES20">
        <f>IF(AND(ISNUMBER(ER20),逐级计算!$X$148&gt;-1),IF(逐级计算!$X$148=0,ER20+逐级计算!$C$148,ER20+逐级计算!$C$148-(10/(逐级计算!$Q$148*LN(10))*(MAX((LN(10^(逐级计算!$Q$148/10)-1)+逐级计算!$Q$148*(ER20-逐级计算!$P$148)*LN(10)/10),0)+LN(1+EXP(-ABS((LN(10^(逐级计算!$Q$148/10)-1)+逐级计算!$Q$148*(ER20-逐级计算!$P$148)*LN(10)/10))))))),"")</f>
        <v>13.789988704967</v>
      </c>
      <c r="ET20">
        <f>IF(AND(ISNUMBER(ES20),逐级计算!$X$149&gt;-1),IF(逐级计算!$X$149=0,ES20+逐级计算!$C$149,ES20+逐级计算!$C$149-(10/(逐级计算!$Q$149*LN(10))*(MAX((LN(10^(逐级计算!$Q$149/10)-1)+逐级计算!$Q$149*(ES20-逐级计算!$P$149)*LN(10)/10),0)+LN(1+EXP(-ABS((LN(10^(逐级计算!$Q$149/10)-1)+逐级计算!$Q$149*(ES20-逐级计算!$P$149)*LN(10)/10))))))),"")</f>
        <v>13.789988704967</v>
      </c>
      <c r="EU20">
        <f>IF(AND(ISNUMBER(ET20),逐级计算!$X$150&gt;-1),IF(逐级计算!$X$150=0,ET20+逐级计算!$C$150,ET20+逐级计算!$C$150-(10/(逐级计算!$Q$150*LN(10))*(MAX((LN(10^(逐级计算!$Q$150/10)-1)+逐级计算!$Q$150*(ET20-逐级计算!$P$150)*LN(10)/10),0)+LN(1+EXP(-ABS((LN(10^(逐级计算!$Q$150/10)-1)+逐级计算!$Q$150*(ET20-逐级计算!$P$150)*LN(10)/10))))))),"")</f>
        <v>13.789988704967</v>
      </c>
      <c r="EV20">
        <f>IF(AND(ISNUMBER(EU20),逐级计算!$X$151&gt;-1),IF(逐级计算!$X$151=0,EU20+逐级计算!$C$151,EU20+逐级计算!$C$151-(10/(逐级计算!$Q$151*LN(10))*(MAX((LN(10^(逐级计算!$Q$151/10)-1)+逐级计算!$Q$151*(EU20-逐级计算!$P$151)*LN(10)/10),0)+LN(1+EXP(-ABS((LN(10^(逐级计算!$Q$151/10)-1)+逐级计算!$Q$151*(EU20-逐级计算!$P$151)*LN(10)/10))))))),"")</f>
        <v>13.789988704967</v>
      </c>
      <c r="EW20">
        <f>IF(AND(ISNUMBER(EV20),逐级计算!$X$152&gt;-1),IF(逐级计算!$X$152=0,EV20+逐级计算!$C$152,EV20+逐级计算!$C$152-(10/(逐级计算!$Q$152*LN(10))*(MAX((LN(10^(逐级计算!$Q$152/10)-1)+逐级计算!$Q$152*(EV20-逐级计算!$P$152)*LN(10)/10),0)+LN(1+EXP(-ABS((LN(10^(逐级计算!$Q$152/10)-1)+逐级计算!$Q$152*(EV20-逐级计算!$P$152)*LN(10)/10))))))),"")</f>
        <v>13.789988704967</v>
      </c>
      <c r="EX20">
        <f>IF(AND(ISNUMBER(EW20),逐级计算!$X$153&gt;-1),IF(逐级计算!$X$153=0,EW20+逐级计算!$C$153,EW20+逐级计算!$C$153-(10/(逐级计算!$Q$153*LN(10))*(MAX((LN(10^(逐级计算!$Q$153/10)-1)+逐级计算!$Q$153*(EW20-逐级计算!$P$153)*LN(10)/10),0)+LN(1+EXP(-ABS((LN(10^(逐级计算!$Q$153/10)-1)+逐级计算!$Q$153*(EW20-逐级计算!$P$153)*LN(10)/10))))))),"")</f>
        <v>13.789988704967</v>
      </c>
      <c r="EY20">
        <f>IF(AND(ISNUMBER(EX20),逐级计算!$X$154&gt;-1),IF(逐级计算!$X$154=0,EX20+逐级计算!$C$154,EX20+逐级计算!$C$154-(10/(逐级计算!$Q$154*LN(10))*(MAX((LN(10^(逐级计算!$Q$154/10)-1)+逐级计算!$Q$154*(EX20-逐级计算!$P$154)*LN(10)/10),0)+LN(1+EXP(-ABS((LN(10^(逐级计算!$Q$154/10)-1)+逐级计算!$Q$154*(EX20-逐级计算!$P$154)*LN(10)/10))))))),"")</f>
        <v>13.789988704967</v>
      </c>
      <c r="EZ20">
        <f>IF(AND(ISNUMBER(EY20),逐级计算!$X$155&gt;-1),IF(逐级计算!$X$155=0,EY20+逐级计算!$C$155,EY20+逐级计算!$C$155-(10/(逐级计算!$Q$155*LN(10))*(MAX((LN(10^(逐级计算!$Q$155/10)-1)+逐级计算!$Q$155*(EY20-逐级计算!$P$155)*LN(10)/10),0)+LN(1+EXP(-ABS((LN(10^(逐级计算!$Q$155/10)-1)+逐级计算!$Q$155*(EY20-逐级计算!$P$155)*LN(10)/10))))))),"")</f>
        <v>13.789988704967</v>
      </c>
      <c r="FA20">
        <f>IF(AND(ISNUMBER(EZ20),逐级计算!$X$156&gt;-1),IF(逐级计算!$X$156=0,EZ20+逐级计算!$C$156,EZ20+逐级计算!$C$156-(10/(逐级计算!$Q$156*LN(10))*(MAX((LN(10^(逐级计算!$Q$156/10)-1)+逐级计算!$Q$156*(EZ20-逐级计算!$P$156)*LN(10)/10),0)+LN(1+EXP(-ABS((LN(10^(逐级计算!$Q$156/10)-1)+逐级计算!$Q$156*(EZ20-逐级计算!$P$156)*LN(10)/10))))))),"")</f>
        <v>13.789988704967</v>
      </c>
      <c r="FB20">
        <f>IF(AND(ISNUMBER(FA20),逐级计算!$X$157&gt;-1),IF(逐级计算!$X$157=0,FA20+逐级计算!$C$157,FA20+逐级计算!$C$157-(10/(逐级计算!$Q$157*LN(10))*(MAX((LN(10^(逐级计算!$Q$157/10)-1)+逐级计算!$Q$157*(FA20-逐级计算!$P$157)*LN(10)/10),0)+LN(1+EXP(-ABS((LN(10^(逐级计算!$Q$157/10)-1)+逐级计算!$Q$157*(FA20-逐级计算!$P$157)*LN(10)/10))))))),"")</f>
        <v>13.789988704967</v>
      </c>
      <c r="FC20">
        <f>IF(AND(ISNUMBER(FB20),逐级计算!$X$158&gt;-1),IF(逐级计算!$X$158=0,FB20+逐级计算!$C$158,FB20+逐级计算!$C$158-(10/(逐级计算!$Q$158*LN(10))*(MAX((LN(10^(逐级计算!$Q$158/10)-1)+逐级计算!$Q$158*(FB20-逐级计算!$P$158)*LN(10)/10),0)+LN(1+EXP(-ABS((LN(10^(逐级计算!$Q$158/10)-1)+逐级计算!$Q$158*(FB20-逐级计算!$P$158)*LN(10)/10))))))),"")</f>
        <v>13.789988704967</v>
      </c>
      <c r="FD20">
        <f>IF(AND(ISNUMBER(FC20),逐级计算!$X$159&gt;-1),IF(逐级计算!$X$159=0,FC20+逐级计算!$C$159,FC20+逐级计算!$C$159-(10/(逐级计算!$Q$159*LN(10))*(MAX((LN(10^(逐级计算!$Q$159/10)-1)+逐级计算!$Q$159*(FC20-逐级计算!$P$159)*LN(10)/10),0)+LN(1+EXP(-ABS((LN(10^(逐级计算!$Q$159/10)-1)+逐级计算!$Q$159*(FC20-逐级计算!$P$159)*LN(10)/10))))))),"")</f>
        <v>13.789988704967</v>
      </c>
      <c r="FE20">
        <f>IF(AND(ISNUMBER(FD20),逐级计算!$X$160&gt;-1),IF(逐级计算!$X$160=0,FD20+逐级计算!$C$160,FD20+逐级计算!$C$160-(10/(逐级计算!$Q$160*LN(10))*(MAX((LN(10^(逐级计算!$Q$160/10)-1)+逐级计算!$Q$160*(FD20-逐级计算!$P$160)*LN(10)/10),0)+LN(1+EXP(-ABS((LN(10^(逐级计算!$Q$160/10)-1)+逐级计算!$Q$160*(FD20-逐级计算!$P$160)*LN(10)/10))))))),"")</f>
        <v>13.789988704967</v>
      </c>
      <c r="FF20">
        <f>IF(AND(ISNUMBER(FE20),逐级计算!$X$161&gt;-1),IF(逐级计算!$X$161=0,FE20+逐级计算!$C$161,FE20+逐级计算!$C$161-(10/(逐级计算!$Q$161*LN(10))*(MAX((LN(10^(逐级计算!$Q$161/10)-1)+逐级计算!$Q$161*(FE20-逐级计算!$P$161)*LN(10)/10),0)+LN(1+EXP(-ABS((LN(10^(逐级计算!$Q$161/10)-1)+逐级计算!$Q$161*(FE20-逐级计算!$P$161)*LN(10)/10))))))),"")</f>
        <v>13.789988704967</v>
      </c>
      <c r="FG20">
        <f>IF(AND(ISNUMBER(FF20),逐级计算!$X$162&gt;-1),IF(逐级计算!$X$162=0,FF20+逐级计算!$C$162,FF20+逐级计算!$C$162-(10/(逐级计算!$Q$162*LN(10))*(MAX((LN(10^(逐级计算!$Q$162/10)-1)+逐级计算!$Q$162*(FF20-逐级计算!$P$162)*LN(10)/10),0)+LN(1+EXP(-ABS((LN(10^(逐级计算!$Q$162/10)-1)+逐级计算!$Q$162*(FF20-逐级计算!$P$162)*LN(10)/10))))))),"")</f>
        <v>13.789988704967</v>
      </c>
      <c r="FH20">
        <f>IF(AND(ISNUMBER(FG20),逐级计算!$X$163&gt;-1),IF(逐级计算!$X$163=0,FG20+逐级计算!$C$163,FG20+逐级计算!$C$163-(10/(逐级计算!$Q$163*LN(10))*(MAX((LN(10^(逐级计算!$Q$163/10)-1)+逐级计算!$Q$163*(FG20-逐级计算!$P$163)*LN(10)/10),0)+LN(1+EXP(-ABS((LN(10^(逐级计算!$Q$163/10)-1)+逐级计算!$Q$163*(FG20-逐级计算!$P$163)*LN(10)/10))))))),"")</f>
        <v>13.789988704967</v>
      </c>
      <c r="FI20">
        <f>IF(AND(ISNUMBER(FH20),逐级计算!$X$164&gt;-1),IF(逐级计算!$X$164=0,FH20+逐级计算!$C$164,FH20+逐级计算!$C$164-(10/(逐级计算!$Q$164*LN(10))*(MAX((LN(10^(逐级计算!$Q$164/10)-1)+逐级计算!$Q$164*(FH20-逐级计算!$P$164)*LN(10)/10),0)+LN(1+EXP(-ABS((LN(10^(逐级计算!$Q$164/10)-1)+逐级计算!$Q$164*(FH20-逐级计算!$P$164)*LN(10)/10))))))),"")</f>
        <v>13.789988704967</v>
      </c>
      <c r="FJ20">
        <f>IF(AND(ISNUMBER(FI20),逐级计算!$X$165&gt;-1),IF(逐级计算!$X$165=0,FI20+逐级计算!$C$165,FI20+逐级计算!$C$165-(10/(逐级计算!$Q$165*LN(10))*(MAX((LN(10^(逐级计算!$Q$165/10)-1)+逐级计算!$Q$165*(FI20-逐级计算!$P$165)*LN(10)/10),0)+LN(1+EXP(-ABS((LN(10^(逐级计算!$Q$165/10)-1)+逐级计算!$Q$165*(FI20-逐级计算!$P$165)*LN(10)/10))))))),"")</f>
        <v>13.789988704967</v>
      </c>
      <c r="FK20">
        <f>IF(AND(ISNUMBER(FJ20),逐级计算!$X$166&gt;-1),IF(逐级计算!$X$166=0,FJ20+逐级计算!$C$166,FJ20+逐级计算!$C$166-(10/(逐级计算!$Q$166*LN(10))*(MAX((LN(10^(逐级计算!$Q$166/10)-1)+逐级计算!$Q$166*(FJ20-逐级计算!$P$166)*LN(10)/10),0)+LN(1+EXP(-ABS((LN(10^(逐级计算!$Q$166/10)-1)+逐级计算!$Q$166*(FJ20-逐级计算!$P$166)*LN(10)/10))))))),"")</f>
        <v>13.789988704967</v>
      </c>
      <c r="FL20">
        <f>IF(AND(ISNUMBER(FK20),逐级计算!$X$167&gt;-1),IF(逐级计算!$X$167=0,FK20+逐级计算!$C$167,FK20+逐级计算!$C$167-(10/(逐级计算!$Q$167*LN(10))*(MAX((LN(10^(逐级计算!$Q$167/10)-1)+逐级计算!$Q$167*(FK20-逐级计算!$P$167)*LN(10)/10),0)+LN(1+EXP(-ABS((LN(10^(逐级计算!$Q$167/10)-1)+逐级计算!$Q$167*(FK20-逐级计算!$P$167)*LN(10)/10))))))),"")</f>
        <v>13.789988704967</v>
      </c>
      <c r="FM20">
        <f>IF(AND(ISNUMBER(FL20),逐级计算!$X$168&gt;-1),IF(逐级计算!$X$168=0,FL20+逐级计算!$C$168,FL20+逐级计算!$C$168-(10/(逐级计算!$Q$168*LN(10))*(MAX((LN(10^(逐级计算!$Q$168/10)-1)+逐级计算!$Q$168*(FL20-逐级计算!$P$168)*LN(10)/10),0)+LN(1+EXP(-ABS((LN(10^(逐级计算!$Q$168/10)-1)+逐级计算!$Q$168*(FL20-逐级计算!$P$168)*LN(10)/10))))))),"")</f>
        <v>13.789988704967</v>
      </c>
      <c r="FN20">
        <f>IF(AND(ISNUMBER(FM20),逐级计算!$X$169&gt;-1),IF(逐级计算!$X$169=0,FM20+逐级计算!$C$169,FM20+逐级计算!$C$169-(10/(逐级计算!$Q$169*LN(10))*(MAX((LN(10^(逐级计算!$Q$169/10)-1)+逐级计算!$Q$169*(FM20-逐级计算!$P$169)*LN(10)/10),0)+LN(1+EXP(-ABS((LN(10^(逐级计算!$Q$169/10)-1)+逐级计算!$Q$169*(FM20-逐级计算!$P$169)*LN(10)/10))))))),"")</f>
        <v>13.789988704967</v>
      </c>
      <c r="FO20">
        <f>IF(AND(ISNUMBER(FN20),逐级计算!$X$170&gt;-1),IF(逐级计算!$X$170=0,FN20+逐级计算!$C$170,FN20+逐级计算!$C$170-(10/(逐级计算!$Q$170*LN(10))*(MAX((LN(10^(逐级计算!$Q$170/10)-1)+逐级计算!$Q$170*(FN20-逐级计算!$P$170)*LN(10)/10),0)+LN(1+EXP(-ABS((LN(10^(逐级计算!$Q$170/10)-1)+逐级计算!$Q$170*(FN20-逐级计算!$P$170)*LN(10)/10))))))),"")</f>
        <v>13.789988704967</v>
      </c>
      <c r="FP20">
        <f>IF(AND(ISNUMBER(FO20),逐级计算!$X$171&gt;-1),IF(逐级计算!$X$171=0,FO20+逐级计算!$C$171,FO20+逐级计算!$C$171-(10/(逐级计算!$Q$171*LN(10))*(MAX((LN(10^(逐级计算!$Q$171/10)-1)+逐级计算!$Q$171*(FO20-逐级计算!$P$171)*LN(10)/10),0)+LN(1+EXP(-ABS((LN(10^(逐级计算!$Q$171/10)-1)+逐级计算!$Q$171*(FO20-逐级计算!$P$171)*LN(10)/10))))))),"")</f>
        <v>13.789988704967</v>
      </c>
      <c r="FQ20">
        <f>IF(AND(ISNUMBER(FP20),逐级计算!$X$172&gt;-1),IF(逐级计算!$X$172=0,FP20+逐级计算!$C$172,FP20+逐级计算!$C$172-(10/(逐级计算!$Q$172*LN(10))*(MAX((LN(10^(逐级计算!$Q$172/10)-1)+逐级计算!$Q$172*(FP20-逐级计算!$P$172)*LN(10)/10),0)+LN(1+EXP(-ABS((LN(10^(逐级计算!$Q$172/10)-1)+逐级计算!$Q$172*(FP20-逐级计算!$P$172)*LN(10)/10))))))),"")</f>
        <v>13.789988704967</v>
      </c>
      <c r="FR20">
        <f>IF(AND(ISNUMBER(FQ20),逐级计算!$X$173&gt;-1),IF(逐级计算!$X$173=0,FQ20+逐级计算!$C$173,FQ20+逐级计算!$C$173-(10/(逐级计算!$Q$173*LN(10))*(MAX((LN(10^(逐级计算!$Q$173/10)-1)+逐级计算!$Q$173*(FQ20-逐级计算!$P$173)*LN(10)/10),0)+LN(1+EXP(-ABS((LN(10^(逐级计算!$Q$173/10)-1)+逐级计算!$Q$173*(FQ20-逐级计算!$P$173)*LN(10)/10))))))),"")</f>
        <v>13.789988704967</v>
      </c>
      <c r="FS20">
        <f>IF(AND(ISNUMBER(FR20),逐级计算!$X$174&gt;-1),IF(逐级计算!$X$174=0,FR20+逐级计算!$C$174,FR20+逐级计算!$C$174-(10/(逐级计算!$Q$174*LN(10))*(MAX((LN(10^(逐级计算!$Q$174/10)-1)+逐级计算!$Q$174*(FR20-逐级计算!$P$174)*LN(10)/10),0)+LN(1+EXP(-ABS((LN(10^(逐级计算!$Q$174/10)-1)+逐级计算!$Q$174*(FR20-逐级计算!$P$174)*LN(10)/10))))))),"")</f>
        <v>13.789988704967</v>
      </c>
      <c r="FT20">
        <f>IF(AND(ISNUMBER(FS20),逐级计算!$X$175&gt;-1),IF(逐级计算!$X$175=0,FS20+逐级计算!$C$175,FS20+逐级计算!$C$175-(10/(逐级计算!$Q$175*LN(10))*(MAX((LN(10^(逐级计算!$Q$175/10)-1)+逐级计算!$Q$175*(FS20-逐级计算!$P$175)*LN(10)/10),0)+LN(1+EXP(-ABS((LN(10^(逐级计算!$Q$175/10)-1)+逐级计算!$Q$175*(FS20-逐级计算!$P$175)*LN(10)/10))))))),"")</f>
        <v>13.789988704967</v>
      </c>
      <c r="FU20">
        <f>IF(AND(ISNUMBER(FT20),逐级计算!$X$176&gt;-1),IF(逐级计算!$X$176=0,FT20+逐级计算!$C$176,FT20+逐级计算!$C$176-(10/(逐级计算!$Q$176*LN(10))*(MAX((LN(10^(逐级计算!$Q$176/10)-1)+逐级计算!$Q$176*(FT20-逐级计算!$P$176)*LN(10)/10),0)+LN(1+EXP(-ABS((LN(10^(逐级计算!$Q$176/10)-1)+逐级计算!$Q$176*(FT20-逐级计算!$P$176)*LN(10)/10))))))),"")</f>
        <v>13.789988704967</v>
      </c>
      <c r="FV20">
        <f>IF(AND(ISNUMBER(FU20),逐级计算!$X$177&gt;-1),IF(逐级计算!$X$177=0,FU20+逐级计算!$C$177,FU20+逐级计算!$C$177-(10/(逐级计算!$Q$177*LN(10))*(MAX((LN(10^(逐级计算!$Q$177/10)-1)+逐级计算!$Q$177*(FU20-逐级计算!$P$177)*LN(10)/10),0)+LN(1+EXP(-ABS((LN(10^(逐级计算!$Q$177/10)-1)+逐级计算!$Q$177*(FU20-逐级计算!$P$177)*LN(10)/10))))))),"")</f>
        <v>13.789988704967</v>
      </c>
      <c r="FW20">
        <f>IF(AND(ISNUMBER(FV20),逐级计算!$X$178&gt;-1),IF(逐级计算!$X$178=0,FV20+逐级计算!$C$178,FV20+逐级计算!$C$178-(10/(逐级计算!$Q$178*LN(10))*(MAX((LN(10^(逐级计算!$Q$178/10)-1)+逐级计算!$Q$178*(FV20-逐级计算!$P$178)*LN(10)/10),0)+LN(1+EXP(-ABS((LN(10^(逐级计算!$Q$178/10)-1)+逐级计算!$Q$178*(FV20-逐级计算!$P$178)*LN(10)/10))))))),"")</f>
        <v>13.789988704967</v>
      </c>
      <c r="FX20">
        <f>IF(AND(ISNUMBER(FW20),逐级计算!$X$179&gt;-1),IF(逐级计算!$X$179=0,FW20+逐级计算!$C$179,FW20+逐级计算!$C$179-(10/(逐级计算!$Q$179*LN(10))*(MAX((LN(10^(逐级计算!$Q$179/10)-1)+逐级计算!$Q$179*(FW20-逐级计算!$P$179)*LN(10)/10),0)+LN(1+EXP(-ABS((LN(10^(逐级计算!$Q$179/10)-1)+逐级计算!$Q$179*(FW20-逐级计算!$P$179)*LN(10)/10))))))),"")</f>
        <v>13.789988704967</v>
      </c>
      <c r="FY20">
        <f>IF(AND(ISNUMBER(FX20),逐级计算!$X$180&gt;-1),IF(逐级计算!$X$180=0,FX20+逐级计算!$C$180,FX20+逐级计算!$C$180-(10/(逐级计算!$Q$180*LN(10))*(MAX((LN(10^(逐级计算!$Q$180/10)-1)+逐级计算!$Q$180*(FX20-逐级计算!$P$180)*LN(10)/10),0)+LN(1+EXP(-ABS((LN(10^(逐级计算!$Q$180/10)-1)+逐级计算!$Q$180*(FX20-逐级计算!$P$180)*LN(10)/10))))))),"")</f>
        <v>13.789988704967</v>
      </c>
      <c r="FZ20">
        <f>IF(AND(ISNUMBER(FY20),逐级计算!$X$181&gt;-1),IF(逐级计算!$X$181=0,FY20+逐级计算!$C$181,FY20+逐级计算!$C$181-(10/(逐级计算!$Q$181*LN(10))*(MAX((LN(10^(逐级计算!$Q$181/10)-1)+逐级计算!$Q$181*(FY20-逐级计算!$P$181)*LN(10)/10),0)+LN(1+EXP(-ABS((LN(10^(逐级计算!$Q$181/10)-1)+逐级计算!$Q$181*(FY20-逐级计算!$P$181)*LN(10)/10))))))),"")</f>
        <v>13.789988704967</v>
      </c>
      <c r="GA20">
        <f>IF(AND(ISNUMBER(FZ20),逐级计算!$X$182&gt;-1),IF(逐级计算!$X$182=0,FZ20+逐级计算!$C$182,FZ20+逐级计算!$C$182-(10/(逐级计算!$Q$182*LN(10))*(MAX((LN(10^(逐级计算!$Q$182/10)-1)+逐级计算!$Q$182*(FZ20-逐级计算!$P$182)*LN(10)/10),0)+LN(1+EXP(-ABS((LN(10^(逐级计算!$Q$182/10)-1)+逐级计算!$Q$182*(FZ20-逐级计算!$P$182)*LN(10)/10))))))),"")</f>
        <v>13.789988704967</v>
      </c>
      <c r="GB20">
        <f>IF(AND(ISNUMBER(GA20),逐级计算!$X$183&gt;-1),IF(逐级计算!$X$183=0,GA20+逐级计算!$C$183,GA20+逐级计算!$C$183-(10/(逐级计算!$Q$183*LN(10))*(MAX((LN(10^(逐级计算!$Q$183/10)-1)+逐级计算!$Q$183*(GA20-逐级计算!$P$183)*LN(10)/10),0)+LN(1+EXP(-ABS((LN(10^(逐级计算!$Q$183/10)-1)+逐级计算!$Q$183*(GA20-逐级计算!$P$183)*LN(10)/10))))))),"")</f>
        <v>13.789988704967</v>
      </c>
      <c r="GC20">
        <f>IF(AND(ISNUMBER(GB20),逐级计算!$X$184&gt;-1),IF(逐级计算!$X$184=0,GB20+逐级计算!$C$184,GB20+逐级计算!$C$184-(10/(逐级计算!$Q$184*LN(10))*(MAX((LN(10^(逐级计算!$Q$184/10)-1)+逐级计算!$Q$184*(GB20-逐级计算!$P$184)*LN(10)/10),0)+LN(1+EXP(-ABS((LN(10^(逐级计算!$Q$184/10)-1)+逐级计算!$Q$184*(GB20-逐级计算!$P$184)*LN(10)/10))))))),"")</f>
        <v>13.789988704967</v>
      </c>
      <c r="GD20">
        <f>IF(AND(ISNUMBER(GC20),逐级计算!$X$185&gt;-1),IF(逐级计算!$X$185=0,GC20+逐级计算!$C$185,GC20+逐级计算!$C$185-(10/(逐级计算!$Q$185*LN(10))*(MAX((LN(10^(逐级计算!$Q$185/10)-1)+逐级计算!$Q$185*(GC20-逐级计算!$P$185)*LN(10)/10),0)+LN(1+EXP(-ABS((LN(10^(逐级计算!$Q$185/10)-1)+逐级计算!$Q$185*(GC20-逐级计算!$P$185)*LN(10)/10))))))),"")</f>
        <v>13.789988704967</v>
      </c>
      <c r="GE20">
        <f>IF(AND(ISNUMBER(GD20),逐级计算!$X$186&gt;-1),IF(逐级计算!$X$186=0,GD20+逐级计算!$C$186,GD20+逐级计算!$C$186-(10/(逐级计算!$Q$186*LN(10))*(MAX((LN(10^(逐级计算!$Q$186/10)-1)+逐级计算!$Q$186*(GD20-逐级计算!$P$186)*LN(10)/10),0)+LN(1+EXP(-ABS((LN(10^(逐级计算!$Q$186/10)-1)+逐级计算!$Q$186*(GD20-逐级计算!$P$186)*LN(10)/10))))))),"")</f>
        <v>13.789988704967</v>
      </c>
      <c r="GF20">
        <f>IF(AND(ISNUMBER(GE20),逐级计算!$X$187&gt;-1),IF(逐级计算!$X$187=0,GE20+逐级计算!$C$187,GE20+逐级计算!$C$187-(10/(逐级计算!$Q$187*LN(10))*(MAX((LN(10^(逐级计算!$Q$187/10)-1)+逐级计算!$Q$187*(GE20-逐级计算!$P$187)*LN(10)/10),0)+LN(1+EXP(-ABS((LN(10^(逐级计算!$Q$187/10)-1)+逐级计算!$Q$187*(GE20-逐级计算!$P$187)*LN(10)/10))))))),"")</f>
        <v>13.789988704967</v>
      </c>
      <c r="GG20">
        <f>IF(AND(ISNUMBER(GF20),逐级计算!$X$188&gt;-1),IF(逐级计算!$X$188=0,GF20+逐级计算!$C$188,GF20+逐级计算!$C$188-(10/(逐级计算!$Q$188*LN(10))*(MAX((LN(10^(逐级计算!$Q$188/10)-1)+逐级计算!$Q$188*(GF20-逐级计算!$P$188)*LN(10)/10),0)+LN(1+EXP(-ABS((LN(10^(逐级计算!$Q$188/10)-1)+逐级计算!$Q$188*(GF20-逐级计算!$P$188)*LN(10)/10))))))),"")</f>
        <v>13.789988704967</v>
      </c>
      <c r="GH20">
        <f>IF(AND(ISNUMBER(GG20),逐级计算!$X$189&gt;-1),IF(逐级计算!$X$189=0,GG20+逐级计算!$C$189,GG20+逐级计算!$C$189-(10/(逐级计算!$Q$189*LN(10))*(MAX((LN(10^(逐级计算!$Q$189/10)-1)+逐级计算!$Q$189*(GG20-逐级计算!$P$189)*LN(10)/10),0)+LN(1+EXP(-ABS((LN(10^(逐级计算!$Q$189/10)-1)+逐级计算!$Q$189*(GG20-逐级计算!$P$189)*LN(10)/10))))))),"")</f>
        <v>13.789988704967</v>
      </c>
      <c r="GI20">
        <f>IF(AND(ISNUMBER(GH20),逐级计算!$X$190&gt;-1),IF(逐级计算!$X$190=0,GH20+逐级计算!$C$190,GH20+逐级计算!$C$190-(10/(逐级计算!$Q$190*LN(10))*(MAX((LN(10^(逐级计算!$Q$190/10)-1)+逐级计算!$Q$190*(GH20-逐级计算!$P$190)*LN(10)/10),0)+LN(1+EXP(-ABS((LN(10^(逐级计算!$Q$190/10)-1)+逐级计算!$Q$190*(GH20-逐级计算!$P$190)*LN(10)/10))))))),"")</f>
        <v>13.789988704967</v>
      </c>
      <c r="GJ20">
        <f>IF(AND(ISNUMBER(GI20),逐级计算!$X$191&gt;-1),IF(逐级计算!$X$191=0,GI20+逐级计算!$C$191,GI20+逐级计算!$C$191-(10/(逐级计算!$Q$191*LN(10))*(MAX((LN(10^(逐级计算!$Q$191/10)-1)+逐级计算!$Q$191*(GI20-逐级计算!$P$191)*LN(10)/10),0)+LN(1+EXP(-ABS((LN(10^(逐级计算!$Q$191/10)-1)+逐级计算!$Q$191*(GI20-逐级计算!$P$191)*LN(10)/10))))))),"")</f>
        <v>13.789988704967</v>
      </c>
      <c r="GK20">
        <f>IF(AND(ISNUMBER(GJ20),逐级计算!$X$192&gt;-1),IF(逐级计算!$X$192=0,GJ20+逐级计算!$C$192,GJ20+逐级计算!$C$192-(10/(逐级计算!$Q$192*LN(10))*(MAX((LN(10^(逐级计算!$Q$192/10)-1)+逐级计算!$Q$192*(GJ20-逐级计算!$P$192)*LN(10)/10),0)+LN(1+EXP(-ABS((LN(10^(逐级计算!$Q$192/10)-1)+逐级计算!$Q$192*(GJ20-逐级计算!$P$192)*LN(10)/10))))))),"")</f>
        <v>13.789988704967</v>
      </c>
      <c r="GL20">
        <f>IF(AND(ISNUMBER(GK20),逐级计算!$X$193&gt;-1),IF(逐级计算!$X$193=0,GK20+逐级计算!$C$193,GK20+逐级计算!$C$193-(10/(逐级计算!$Q$193*LN(10))*(MAX((LN(10^(逐级计算!$Q$193/10)-1)+逐级计算!$Q$193*(GK20-逐级计算!$P$193)*LN(10)/10),0)+LN(1+EXP(-ABS((LN(10^(逐级计算!$Q$193/10)-1)+逐级计算!$Q$193*(GK20-逐级计算!$P$193)*LN(10)/10))))))),"")</f>
        <v>13.789988704967</v>
      </c>
      <c r="GM20">
        <f>IF(AND(ISNUMBER(GL20),逐级计算!$X$194&gt;-1),IF(逐级计算!$X$194=0,GL20+逐级计算!$C$194,GL20+逐级计算!$C$194-(10/(逐级计算!$Q$194*LN(10))*(MAX((LN(10^(逐级计算!$Q$194/10)-1)+逐级计算!$Q$194*(GL20-逐级计算!$P$194)*LN(10)/10),0)+LN(1+EXP(-ABS((LN(10^(逐级计算!$Q$194/10)-1)+逐级计算!$Q$194*(GL20-逐级计算!$P$194)*LN(10)/10))))))),"")</f>
        <v>13.789988704967</v>
      </c>
      <c r="GN20">
        <f>IF(AND(ISNUMBER(GM20),逐级计算!$X$195&gt;-1),IF(逐级计算!$X$195=0,GM20+逐级计算!$C$195,GM20+逐级计算!$C$195-(10/(逐级计算!$Q$195*LN(10))*(MAX((LN(10^(逐级计算!$Q$195/10)-1)+逐级计算!$Q$195*(GM20-逐级计算!$P$195)*LN(10)/10),0)+LN(1+EXP(-ABS((LN(10^(逐级计算!$Q$195/10)-1)+逐级计算!$Q$195*(GM20-逐级计算!$P$195)*LN(10)/10))))))),"")</f>
        <v>13.789988704967</v>
      </c>
      <c r="GO20">
        <f>IF(AND(ISNUMBER(GN20),逐级计算!$X$196&gt;-1),IF(逐级计算!$X$196=0,GN20+逐级计算!$C$196,GN20+逐级计算!$C$196-(10/(逐级计算!$Q$196*LN(10))*(MAX((LN(10^(逐级计算!$Q$196/10)-1)+逐级计算!$Q$196*(GN20-逐级计算!$P$196)*LN(10)/10),0)+LN(1+EXP(-ABS((LN(10^(逐级计算!$Q$196/10)-1)+逐级计算!$Q$196*(GN20-逐级计算!$P$196)*LN(10)/10))))))),"")</f>
        <v>13.789988704967</v>
      </c>
      <c r="GP20">
        <f>IF(AND(ISNUMBER(GO20),逐级计算!$X$197&gt;-1),IF(逐级计算!$X$197=0,GO20+逐级计算!$C$197,GO20+逐级计算!$C$197-(10/(逐级计算!$Q$197*LN(10))*(MAX((LN(10^(逐级计算!$Q$197/10)-1)+逐级计算!$Q$197*(GO20-逐级计算!$P$197)*LN(10)/10),0)+LN(1+EXP(-ABS((LN(10^(逐级计算!$Q$197/10)-1)+逐级计算!$Q$197*(GO20-逐级计算!$P$197)*LN(10)/10))))))),"")</f>
        <v>13.789988704967</v>
      </c>
      <c r="GQ20">
        <f>IF(AND(ISNUMBER(GP20),逐级计算!$X$198&gt;-1),IF(逐级计算!$X$198=0,GP20+逐级计算!$C$198,GP20+逐级计算!$C$198-(10/(逐级计算!$Q$198*LN(10))*(MAX((LN(10^(逐级计算!$Q$198/10)-1)+逐级计算!$Q$198*(GP20-逐级计算!$P$198)*LN(10)/10),0)+LN(1+EXP(-ABS((LN(10^(逐级计算!$Q$198/10)-1)+逐级计算!$Q$198*(GP20-逐级计算!$P$198)*LN(10)/10))))))),"")</f>
        <v>13.789988704967</v>
      </c>
      <c r="GR20">
        <f>IF(AND(ISNUMBER(GQ20),逐级计算!$X$199&gt;-1),IF(逐级计算!$X$199=0,GQ20+逐级计算!$C$199,GQ20+逐级计算!$C$199-(10/(逐级计算!$Q$199*LN(10))*(MAX((LN(10^(逐级计算!$Q$199/10)-1)+逐级计算!$Q$199*(GQ20-逐级计算!$P$199)*LN(10)/10),0)+LN(1+EXP(-ABS((LN(10^(逐级计算!$Q$199/10)-1)+逐级计算!$Q$199*(GQ20-逐级计算!$P$199)*LN(10)/10))))))),"")</f>
        <v>13.789988704967</v>
      </c>
      <c r="GS20">
        <f>IF(AND(ISNUMBER(GR20),逐级计算!$X$200&gt;-1),IF(逐级计算!$X$200=0,GR20+逐级计算!$C$200,GR20+逐级计算!$C$200-(10/(逐级计算!$Q$200*LN(10))*(MAX((LN(10^(逐级计算!$Q$200/10)-1)+逐级计算!$Q$200*(GR20-逐级计算!$P$200)*LN(10)/10),0)+LN(1+EXP(-ABS((LN(10^(逐级计算!$Q$200/10)-1)+逐级计算!$Q$200*(GR20-逐级计算!$P$200)*LN(10)/10))))))),"")</f>
        <v>13.789988704967</v>
      </c>
      <c r="GT20">
        <f>IF(AND(ISNUMBER(GS20),逐级计算!$X$201&gt;-1),IF(逐级计算!$X$201=0,GS20+逐级计算!$C$201,GS20+逐级计算!$C$201-(10/(逐级计算!$Q$201*LN(10))*(MAX((LN(10^(逐级计算!$Q$201/10)-1)+逐级计算!$Q$201*(GS20-逐级计算!$P$201)*LN(10)/10),0)+LN(1+EXP(-ABS((LN(10^(逐级计算!$Q$201/10)-1)+逐级计算!$Q$201*(GS20-逐级计算!$P$201)*LN(10)/10))))))),"")</f>
        <v>13.789988704967</v>
      </c>
      <c r="GU20">
        <f>IF(AND(ISNUMBER(GT20),逐级计算!$X$202&gt;-1),IF(逐级计算!$X$202=0,GT20+逐级计算!$C$202,GT20+逐级计算!$C$202-(10/(逐级计算!$Q$202*LN(10))*(MAX((LN(10^(逐级计算!$Q$202/10)-1)+逐级计算!$Q$202*(GT20-逐级计算!$P$202)*LN(10)/10),0)+LN(1+EXP(-ABS((LN(10^(逐级计算!$Q$202/10)-1)+逐级计算!$Q$202*(GT20-逐级计算!$P$202)*LN(10)/10))))))),"")</f>
        <v>13.789988704967</v>
      </c>
      <c r="GV20">
        <f>IF(AND(ISNUMBER(GU20),逐级计算!$X$203&gt;-1),IF(逐级计算!$X$203=0,GU20+逐级计算!$C$203,GU20+逐级计算!$C$203-(10/(逐级计算!$Q$203*LN(10))*(MAX((LN(10^(逐级计算!$Q$203/10)-1)+逐级计算!$Q$203*(GU20-逐级计算!$P$203)*LN(10)/10),0)+LN(1+EXP(-ABS((LN(10^(逐级计算!$Q$203/10)-1)+逐级计算!$Q$203*(GU20-逐级计算!$P$203)*LN(10)/10))))))),"")</f>
        <v>13.789988704967</v>
      </c>
      <c r="GW20">
        <f t="shared" si="2"/>
        <v>-5.198974609375</v>
      </c>
    </row>
    <row r="21" spans="1:205">
      <c r="A21">
        <v>14</v>
      </c>
      <c r="B21">
        <f t="shared" si="1"/>
        <v>-5.2117919921875</v>
      </c>
      <c r="C21">
        <f t="shared" si="0"/>
        <v>-5.20538330078125</v>
      </c>
      <c r="D21">
        <f>IF(AND(ISNUMBER(C21),ISNUMBER(逐级计算!$E$203),ISNUMBER(GV21)),C21+逐级计算!$E$203-GV21,"")</f>
        <v>1.0005832674057</v>
      </c>
      <c r="E21">
        <f>IF(AND(ISNUMBER(C21),逐级计算!$X$4&gt;-1),IF(逐级计算!$X$4=0,C21+逐级计算!$C$4,C21+逐级计算!$C$4-(10/(逐级计算!$Q$4*LN(10))*(MAX((LN(10^(逐级计算!$Q$4/10)-1)+逐级计算!$Q$4*(C21-逐级计算!$P$4)*LN(10)/10),0)+LN(1+EXP(-ABS((LN(10^(逐级计算!$Q$4/10)-1)+逐级计算!$Q$4*(C21-逐级计算!$P$4)*LN(10)/10))))))),"")</f>
        <v>4.68204015004284</v>
      </c>
      <c r="F21">
        <f>IF(AND(ISNUMBER(E21),逐级计算!$X$5&gt;-1),IF(逐级计算!$X$5=0,E21+逐级计算!$C$5,E21+逐级计算!$C$5-(10/(逐级计算!$Q$5*LN(10))*(MAX((LN(10^(逐级计算!$Q$5/10)-1)+逐级计算!$Q$5*(E21-逐级计算!$P$5)*LN(10)/10),0)+LN(1+EXP(-ABS((LN(10^(逐级计算!$Q$5/10)-1)+逐级计算!$Q$5*(E21-逐级计算!$P$5)*LN(10)/10))))))),"")</f>
        <v>13.7940334318131</v>
      </c>
      <c r="G21">
        <f>IF(AND(ISNUMBER(F21),逐级计算!$X$6&gt;-1),IF(逐级计算!$X$6=0,F21+逐级计算!$C$6,F21+逐级计算!$C$6-(10/(逐级计算!$Q$6*LN(10))*(MAX((LN(10^(逐级计算!$Q$6/10)-1)+逐级计算!$Q$6*(F21-逐级计算!$P$6)*LN(10)/10),0)+LN(1+EXP(-ABS((LN(10^(逐级计算!$Q$6/10)-1)+逐级计算!$Q$6*(F21-逐级计算!$P$6)*LN(10)/10))))))),"")</f>
        <v>13.7940334318131</v>
      </c>
      <c r="H21">
        <f>IF(AND(ISNUMBER(G21),逐级计算!$X$7&gt;-1),IF(逐级计算!$X$7=0,G21+逐级计算!$C$7,G21+逐级计算!$C$7-(10/(逐级计算!$Q$7*LN(10))*(MAX((LN(10^(逐级计算!$Q$7/10)-1)+逐级计算!$Q$7*(G21-逐级计算!$P$7)*LN(10)/10),0)+LN(1+EXP(-ABS((LN(10^(逐级计算!$Q$7/10)-1)+逐级计算!$Q$7*(G21-逐级计算!$P$7)*LN(10)/10))))))),"")</f>
        <v>13.7940334318131</v>
      </c>
      <c r="I21">
        <f>IF(AND(ISNUMBER(H21),逐级计算!$X$8&gt;-1),IF(逐级计算!$X$8=0,H21+逐级计算!$C$8,H21+逐级计算!$C$8-(10/(逐级计算!$Q$8*LN(10))*(MAX((LN(10^(逐级计算!$Q$8/10)-1)+逐级计算!$Q$8*(H21-逐级计算!$P$8)*LN(10)/10),0)+LN(1+EXP(-ABS((LN(10^(逐级计算!$Q$8/10)-1)+逐级计算!$Q$8*(H21-逐级计算!$P$8)*LN(10)/10))))))),"")</f>
        <v>13.7940334318131</v>
      </c>
      <c r="J21">
        <f>IF(AND(ISNUMBER(I21),逐级计算!$X$9&gt;-1),IF(逐级计算!$X$9=0,I21+逐级计算!$C$9,I21+逐级计算!$C$9-(10/(逐级计算!$Q$9*LN(10))*(MAX((LN(10^(逐级计算!$Q$9/10)-1)+逐级计算!$Q$9*(I21-逐级计算!$P$9)*LN(10)/10),0)+LN(1+EXP(-ABS((LN(10^(逐级计算!$Q$9/10)-1)+逐级计算!$Q$9*(I21-逐级计算!$P$9)*LN(10)/10))))))),"")</f>
        <v>13.7940334318131</v>
      </c>
      <c r="K21">
        <f>IF(AND(ISNUMBER(J21),逐级计算!$X$10&gt;-1),IF(逐级计算!$X$10=0,J21+逐级计算!$C$10,J21+逐级计算!$C$10-(10/(逐级计算!$Q$10*LN(10))*(MAX((LN(10^(逐级计算!$Q$10/10)-1)+逐级计算!$Q$10*(J21-逐级计算!$P$10)*LN(10)/10),0)+LN(1+EXP(-ABS((LN(10^(逐级计算!$Q$10/10)-1)+逐级计算!$Q$10*(J21-逐级计算!$P$10)*LN(10)/10))))))),"")</f>
        <v>13.7940334318131</v>
      </c>
      <c r="L21">
        <f>IF(AND(ISNUMBER(K21),逐级计算!$X$11&gt;-1),IF(逐级计算!$X$11=0,K21+逐级计算!$C$11,K21+逐级计算!$C$11-(10/(逐级计算!$Q$11*LN(10))*(MAX((LN(10^(逐级计算!$Q$11/10)-1)+逐级计算!$Q$11*(K21-逐级计算!$P$11)*LN(10)/10),0)+LN(1+EXP(-ABS((LN(10^(逐级计算!$Q$11/10)-1)+逐级计算!$Q$11*(K21-逐级计算!$P$11)*LN(10)/10))))))),"")</f>
        <v>13.7940334318131</v>
      </c>
      <c r="M21">
        <f>IF(AND(ISNUMBER(L21),逐级计算!$X$12&gt;-1),IF(逐级计算!$X$12=0,L21+逐级计算!$C$12,L21+逐级计算!$C$12-(10/(逐级计算!$Q$12*LN(10))*(MAX((LN(10^(逐级计算!$Q$12/10)-1)+逐级计算!$Q$12*(L21-逐级计算!$P$12)*LN(10)/10),0)+LN(1+EXP(-ABS((LN(10^(逐级计算!$Q$12/10)-1)+逐级计算!$Q$12*(L21-逐级计算!$P$12)*LN(10)/10))))))),"")</f>
        <v>13.7940334318131</v>
      </c>
      <c r="N21">
        <f>IF(AND(ISNUMBER(M21),逐级计算!$X$13&gt;-1),IF(逐级计算!$X$13=0,M21+逐级计算!$C$13,M21+逐级计算!$C$13-(10/(逐级计算!$Q$13*LN(10))*(MAX((LN(10^(逐级计算!$Q$13/10)-1)+逐级计算!$Q$13*(M21-逐级计算!$P$13)*LN(10)/10),0)+LN(1+EXP(-ABS((LN(10^(逐级计算!$Q$13/10)-1)+逐级计算!$Q$13*(M21-逐级计算!$P$13)*LN(10)/10))))))),"")</f>
        <v>13.7940334318131</v>
      </c>
      <c r="O21">
        <f>IF(AND(ISNUMBER(N21),逐级计算!$X$14&gt;-1),IF(逐级计算!$X$14=0,N21+逐级计算!$C$14,N21+逐级计算!$C$14-(10/(逐级计算!$Q$14*LN(10))*(MAX((LN(10^(逐级计算!$Q$14/10)-1)+逐级计算!$Q$14*(N21-逐级计算!$P$14)*LN(10)/10),0)+LN(1+EXP(-ABS((LN(10^(逐级计算!$Q$14/10)-1)+逐级计算!$Q$14*(N21-逐级计算!$P$14)*LN(10)/10))))))),"")</f>
        <v>13.7940334318131</v>
      </c>
      <c r="P21">
        <f>IF(AND(ISNUMBER(O21),逐级计算!$X$15&gt;-1),IF(逐级计算!$X$15=0,O21+逐级计算!$C$15,O21+逐级计算!$C$15-(10/(逐级计算!$Q$15*LN(10))*(MAX((LN(10^(逐级计算!$Q$15/10)-1)+逐级计算!$Q$15*(O21-逐级计算!$P$15)*LN(10)/10),0)+LN(1+EXP(-ABS((LN(10^(逐级计算!$Q$15/10)-1)+逐级计算!$Q$15*(O21-逐级计算!$P$15)*LN(10)/10))))))),"")</f>
        <v>13.7940334318131</v>
      </c>
      <c r="Q21">
        <f>IF(AND(ISNUMBER(P21),逐级计算!$X$16&gt;-1),IF(逐级计算!$X$16=0,P21+逐级计算!$C$16,P21+逐级计算!$C$16-(10/(逐级计算!$Q$16*LN(10))*(MAX((LN(10^(逐级计算!$Q$16/10)-1)+逐级计算!$Q$16*(P21-逐级计算!$P$16)*LN(10)/10),0)+LN(1+EXP(-ABS((LN(10^(逐级计算!$Q$16/10)-1)+逐级计算!$Q$16*(P21-逐级计算!$P$16)*LN(10)/10))))))),"")</f>
        <v>13.7940334318131</v>
      </c>
      <c r="R21">
        <f>IF(AND(ISNUMBER(Q21),逐级计算!$X$17&gt;-1),IF(逐级计算!$X$17=0,Q21+逐级计算!$C$17,Q21+逐级计算!$C$17-(10/(逐级计算!$Q$17*LN(10))*(MAX((LN(10^(逐级计算!$Q$17/10)-1)+逐级计算!$Q$17*(Q21-逐级计算!$P$17)*LN(10)/10),0)+LN(1+EXP(-ABS((LN(10^(逐级计算!$Q$17/10)-1)+逐级计算!$Q$17*(Q21-逐级计算!$P$17)*LN(10)/10))))))),"")</f>
        <v>13.7940334318131</v>
      </c>
      <c r="S21">
        <f>IF(AND(ISNUMBER(R21),逐级计算!$X$18&gt;-1),IF(逐级计算!$X$18=0,R21+逐级计算!$C$18,R21+逐级计算!$C$18-(10/(逐级计算!$Q$18*LN(10))*(MAX((LN(10^(逐级计算!$Q$18/10)-1)+逐级计算!$Q$18*(R21-逐级计算!$P$18)*LN(10)/10),0)+LN(1+EXP(-ABS((LN(10^(逐级计算!$Q$18/10)-1)+逐级计算!$Q$18*(R21-逐级计算!$P$18)*LN(10)/10))))))),"")</f>
        <v>13.7940334318131</v>
      </c>
      <c r="T21">
        <f>IF(AND(ISNUMBER(S21),逐级计算!$X$19&gt;-1),IF(逐级计算!$X$19=0,S21+逐级计算!$C$19,S21+逐级计算!$C$19-(10/(逐级计算!$Q$19*LN(10))*(MAX((LN(10^(逐级计算!$Q$19/10)-1)+逐级计算!$Q$19*(S21-逐级计算!$P$19)*LN(10)/10),0)+LN(1+EXP(-ABS((LN(10^(逐级计算!$Q$19/10)-1)+逐级计算!$Q$19*(S21-逐级计算!$P$19)*LN(10)/10))))))),"")</f>
        <v>13.7940334318131</v>
      </c>
      <c r="U21">
        <f>IF(AND(ISNUMBER(T21),逐级计算!$X$20&gt;-1),IF(逐级计算!$X$20=0,T21+逐级计算!$C$20,T21+逐级计算!$C$20-(10/(逐级计算!$Q$20*LN(10))*(MAX((LN(10^(逐级计算!$Q$20/10)-1)+逐级计算!$Q$20*(T21-逐级计算!$P$20)*LN(10)/10),0)+LN(1+EXP(-ABS((LN(10^(逐级计算!$Q$20/10)-1)+逐级计算!$Q$20*(T21-逐级计算!$P$20)*LN(10)/10))))))),"")</f>
        <v>13.7940334318131</v>
      </c>
      <c r="V21">
        <f>IF(AND(ISNUMBER(U21),逐级计算!$X$21&gt;-1),IF(逐级计算!$X$21=0,U21+逐级计算!$C$21,U21+逐级计算!$C$21-(10/(逐级计算!$Q$21*LN(10))*(MAX((LN(10^(逐级计算!$Q$21/10)-1)+逐级计算!$Q$21*(U21-逐级计算!$P$21)*LN(10)/10),0)+LN(1+EXP(-ABS((LN(10^(逐级计算!$Q$21/10)-1)+逐级计算!$Q$21*(U21-逐级计算!$P$21)*LN(10)/10))))))),"")</f>
        <v>13.7940334318131</v>
      </c>
      <c r="W21">
        <f>IF(AND(ISNUMBER(V21),逐级计算!$X$22&gt;-1),IF(逐级计算!$X$22=0,V21+逐级计算!$C$22,V21+逐级计算!$C$22-(10/(逐级计算!$Q$22*LN(10))*(MAX((LN(10^(逐级计算!$Q$22/10)-1)+逐级计算!$Q$22*(V21-逐级计算!$P$22)*LN(10)/10),0)+LN(1+EXP(-ABS((LN(10^(逐级计算!$Q$22/10)-1)+逐级计算!$Q$22*(V21-逐级计算!$P$22)*LN(10)/10))))))),"")</f>
        <v>13.7940334318131</v>
      </c>
      <c r="X21">
        <f>IF(AND(ISNUMBER(W21),逐级计算!$X$23&gt;-1),IF(逐级计算!$X$23=0,W21+逐级计算!$C$23,W21+逐级计算!$C$23-(10/(逐级计算!$Q$23*LN(10))*(MAX((LN(10^(逐级计算!$Q$23/10)-1)+逐级计算!$Q$23*(W21-逐级计算!$P$23)*LN(10)/10),0)+LN(1+EXP(-ABS((LN(10^(逐级计算!$Q$23/10)-1)+逐级计算!$Q$23*(W21-逐级计算!$P$23)*LN(10)/10))))))),"")</f>
        <v>13.7940334318131</v>
      </c>
      <c r="Y21">
        <f>IF(AND(ISNUMBER(X21),逐级计算!$X$24&gt;-1),IF(逐级计算!$X$24=0,X21+逐级计算!$C$24,X21+逐级计算!$C$24-(10/(逐级计算!$Q$24*LN(10))*(MAX((LN(10^(逐级计算!$Q$24/10)-1)+逐级计算!$Q$24*(X21-逐级计算!$P$24)*LN(10)/10),0)+LN(1+EXP(-ABS((LN(10^(逐级计算!$Q$24/10)-1)+逐级计算!$Q$24*(X21-逐级计算!$P$24)*LN(10)/10))))))),"")</f>
        <v>13.7940334318131</v>
      </c>
      <c r="Z21">
        <f>IF(AND(ISNUMBER(Y21),逐级计算!$X$25&gt;-1),IF(逐级计算!$X$25=0,Y21+逐级计算!$C$25,Y21+逐级计算!$C$25-(10/(逐级计算!$Q$25*LN(10))*(MAX((LN(10^(逐级计算!$Q$25/10)-1)+逐级计算!$Q$25*(Y21-逐级计算!$P$25)*LN(10)/10),0)+LN(1+EXP(-ABS((LN(10^(逐级计算!$Q$25/10)-1)+逐级计算!$Q$25*(Y21-逐级计算!$P$25)*LN(10)/10))))))),"")</f>
        <v>13.7940334318131</v>
      </c>
      <c r="AA21">
        <f>IF(AND(ISNUMBER(Z21),逐级计算!$X$26&gt;-1),IF(逐级计算!$X$26=0,Z21+逐级计算!$C$26,Z21+逐级计算!$C$26-(10/(逐级计算!$Q$26*LN(10))*(MAX((LN(10^(逐级计算!$Q$26/10)-1)+逐级计算!$Q$26*(Z21-逐级计算!$P$26)*LN(10)/10),0)+LN(1+EXP(-ABS((LN(10^(逐级计算!$Q$26/10)-1)+逐级计算!$Q$26*(Z21-逐级计算!$P$26)*LN(10)/10))))))),"")</f>
        <v>13.7940334318131</v>
      </c>
      <c r="AB21">
        <f>IF(AND(ISNUMBER(AA21),逐级计算!$X$27&gt;-1),IF(逐级计算!$X$27=0,AA21+逐级计算!$C$27,AA21+逐级计算!$C$27-(10/(逐级计算!$Q$27*LN(10))*(MAX((LN(10^(逐级计算!$Q$27/10)-1)+逐级计算!$Q$27*(AA21-逐级计算!$P$27)*LN(10)/10),0)+LN(1+EXP(-ABS((LN(10^(逐级计算!$Q$27/10)-1)+逐级计算!$Q$27*(AA21-逐级计算!$P$27)*LN(10)/10))))))),"")</f>
        <v>13.7940334318131</v>
      </c>
      <c r="AC21">
        <f>IF(AND(ISNUMBER(AB21),逐级计算!$X$28&gt;-1),IF(逐级计算!$X$28=0,AB21+逐级计算!$C$28,AB21+逐级计算!$C$28-(10/(逐级计算!$Q$28*LN(10))*(MAX((LN(10^(逐级计算!$Q$28/10)-1)+逐级计算!$Q$28*(AB21-逐级计算!$P$28)*LN(10)/10),0)+LN(1+EXP(-ABS((LN(10^(逐级计算!$Q$28/10)-1)+逐级计算!$Q$28*(AB21-逐级计算!$P$28)*LN(10)/10))))))),"")</f>
        <v>13.7940334318131</v>
      </c>
      <c r="AD21">
        <f>IF(AND(ISNUMBER(AC21),逐级计算!$X$29&gt;-1),IF(逐级计算!$X$29=0,AC21+逐级计算!$C$29,AC21+逐级计算!$C$29-(10/(逐级计算!$Q$29*LN(10))*(MAX((LN(10^(逐级计算!$Q$29/10)-1)+逐级计算!$Q$29*(AC21-逐级计算!$P$29)*LN(10)/10),0)+LN(1+EXP(-ABS((LN(10^(逐级计算!$Q$29/10)-1)+逐级计算!$Q$29*(AC21-逐级计算!$P$29)*LN(10)/10))))))),"")</f>
        <v>13.7940334318131</v>
      </c>
      <c r="AE21">
        <f>IF(AND(ISNUMBER(AD21),逐级计算!$X$30&gt;-1),IF(逐级计算!$X$30=0,AD21+逐级计算!$C$30,AD21+逐级计算!$C$30-(10/(逐级计算!$Q$30*LN(10))*(MAX((LN(10^(逐级计算!$Q$30/10)-1)+逐级计算!$Q$30*(AD21-逐级计算!$P$30)*LN(10)/10),0)+LN(1+EXP(-ABS((LN(10^(逐级计算!$Q$30/10)-1)+逐级计算!$Q$30*(AD21-逐级计算!$P$30)*LN(10)/10))))))),"")</f>
        <v>13.7940334318131</v>
      </c>
      <c r="AF21">
        <f>IF(AND(ISNUMBER(AE21),逐级计算!$X$31&gt;-1),IF(逐级计算!$X$31=0,AE21+逐级计算!$C$31,AE21+逐级计算!$C$31-(10/(逐级计算!$Q$31*LN(10))*(MAX((LN(10^(逐级计算!$Q$31/10)-1)+逐级计算!$Q$31*(AE21-逐级计算!$P$31)*LN(10)/10),0)+LN(1+EXP(-ABS((LN(10^(逐级计算!$Q$31/10)-1)+逐级计算!$Q$31*(AE21-逐级计算!$P$31)*LN(10)/10))))))),"")</f>
        <v>13.7940334318131</v>
      </c>
      <c r="AG21">
        <f>IF(AND(ISNUMBER(AF21),逐级计算!$X$32&gt;-1),IF(逐级计算!$X$32=0,AF21+逐级计算!$C$32,AF21+逐级计算!$C$32-(10/(逐级计算!$Q$32*LN(10))*(MAX((LN(10^(逐级计算!$Q$32/10)-1)+逐级计算!$Q$32*(AF21-逐级计算!$P$32)*LN(10)/10),0)+LN(1+EXP(-ABS((LN(10^(逐级计算!$Q$32/10)-1)+逐级计算!$Q$32*(AF21-逐级计算!$P$32)*LN(10)/10))))))),"")</f>
        <v>13.7940334318131</v>
      </c>
      <c r="AH21">
        <f>IF(AND(ISNUMBER(AG21),逐级计算!$X$33&gt;-1),IF(逐级计算!$X$33=0,AG21+逐级计算!$C$33,AG21+逐级计算!$C$33-(10/(逐级计算!$Q$33*LN(10))*(MAX((LN(10^(逐级计算!$Q$33/10)-1)+逐级计算!$Q$33*(AG21-逐级计算!$P$33)*LN(10)/10),0)+LN(1+EXP(-ABS((LN(10^(逐级计算!$Q$33/10)-1)+逐级计算!$Q$33*(AG21-逐级计算!$P$33)*LN(10)/10))))))),"")</f>
        <v>13.7940334318131</v>
      </c>
      <c r="AI21">
        <f>IF(AND(ISNUMBER(AH21),逐级计算!$X$34&gt;-1),IF(逐级计算!$X$34=0,AH21+逐级计算!$C$34,AH21+逐级计算!$C$34-(10/(逐级计算!$Q$34*LN(10))*(MAX((LN(10^(逐级计算!$Q$34/10)-1)+逐级计算!$Q$34*(AH21-逐级计算!$P$34)*LN(10)/10),0)+LN(1+EXP(-ABS((LN(10^(逐级计算!$Q$34/10)-1)+逐级计算!$Q$34*(AH21-逐级计算!$P$34)*LN(10)/10))))))),"")</f>
        <v>13.7940334318131</v>
      </c>
      <c r="AJ21">
        <f>IF(AND(ISNUMBER(AI21),逐级计算!$X$35&gt;-1),IF(逐级计算!$X$35=0,AI21+逐级计算!$C$35,AI21+逐级计算!$C$35-(10/(逐级计算!$Q$35*LN(10))*(MAX((LN(10^(逐级计算!$Q$35/10)-1)+逐级计算!$Q$35*(AI21-逐级计算!$P$35)*LN(10)/10),0)+LN(1+EXP(-ABS((LN(10^(逐级计算!$Q$35/10)-1)+逐级计算!$Q$35*(AI21-逐级计算!$P$35)*LN(10)/10))))))),"")</f>
        <v>13.7940334318131</v>
      </c>
      <c r="AK21">
        <f>IF(AND(ISNUMBER(AJ21),逐级计算!$X$36&gt;-1),IF(逐级计算!$X$36=0,AJ21+逐级计算!$C$36,AJ21+逐级计算!$C$36-(10/(逐级计算!$Q$36*LN(10))*(MAX((LN(10^(逐级计算!$Q$36/10)-1)+逐级计算!$Q$36*(AJ21-逐级计算!$P$36)*LN(10)/10),0)+LN(1+EXP(-ABS((LN(10^(逐级计算!$Q$36/10)-1)+逐级计算!$Q$36*(AJ21-逐级计算!$P$36)*LN(10)/10))))))),"")</f>
        <v>13.7940334318131</v>
      </c>
      <c r="AL21">
        <f>IF(AND(ISNUMBER(AK21),逐级计算!$X$37&gt;-1),IF(逐级计算!$X$37=0,AK21+逐级计算!$C$37,AK21+逐级计算!$C$37-(10/(逐级计算!$Q$37*LN(10))*(MAX((LN(10^(逐级计算!$Q$37/10)-1)+逐级计算!$Q$37*(AK21-逐级计算!$P$37)*LN(10)/10),0)+LN(1+EXP(-ABS((LN(10^(逐级计算!$Q$37/10)-1)+逐级计算!$Q$37*(AK21-逐级计算!$P$37)*LN(10)/10))))))),"")</f>
        <v>13.7940334318131</v>
      </c>
      <c r="AM21">
        <f>IF(AND(ISNUMBER(AL21),逐级计算!$X$38&gt;-1),IF(逐级计算!$X$38=0,AL21+逐级计算!$C$38,AL21+逐级计算!$C$38-(10/(逐级计算!$Q$38*LN(10))*(MAX((LN(10^(逐级计算!$Q$38/10)-1)+逐级计算!$Q$38*(AL21-逐级计算!$P$38)*LN(10)/10),0)+LN(1+EXP(-ABS((LN(10^(逐级计算!$Q$38/10)-1)+逐级计算!$Q$38*(AL21-逐级计算!$P$38)*LN(10)/10))))))),"")</f>
        <v>13.7940334318131</v>
      </c>
      <c r="AN21">
        <f>IF(AND(ISNUMBER(AM21),逐级计算!$X$39&gt;-1),IF(逐级计算!$X$39=0,AM21+逐级计算!$C$39,AM21+逐级计算!$C$39-(10/(逐级计算!$Q$39*LN(10))*(MAX((LN(10^(逐级计算!$Q$39/10)-1)+逐级计算!$Q$39*(AM21-逐级计算!$P$39)*LN(10)/10),0)+LN(1+EXP(-ABS((LN(10^(逐级计算!$Q$39/10)-1)+逐级计算!$Q$39*(AM21-逐级计算!$P$39)*LN(10)/10))))))),"")</f>
        <v>13.7940334318131</v>
      </c>
      <c r="AO21">
        <f>IF(AND(ISNUMBER(AN21),逐级计算!$X$40&gt;-1),IF(逐级计算!$X$40=0,AN21+逐级计算!$C$40,AN21+逐级计算!$C$40-(10/(逐级计算!$Q$40*LN(10))*(MAX((LN(10^(逐级计算!$Q$40/10)-1)+逐级计算!$Q$40*(AN21-逐级计算!$P$40)*LN(10)/10),0)+LN(1+EXP(-ABS((LN(10^(逐级计算!$Q$40/10)-1)+逐级计算!$Q$40*(AN21-逐级计算!$P$40)*LN(10)/10))))))),"")</f>
        <v>13.7940334318131</v>
      </c>
      <c r="AP21">
        <f>IF(AND(ISNUMBER(AO21),逐级计算!$X$41&gt;-1),IF(逐级计算!$X$41=0,AO21+逐级计算!$C$41,AO21+逐级计算!$C$41-(10/(逐级计算!$Q$41*LN(10))*(MAX((LN(10^(逐级计算!$Q$41/10)-1)+逐级计算!$Q$41*(AO21-逐级计算!$P$41)*LN(10)/10),0)+LN(1+EXP(-ABS((LN(10^(逐级计算!$Q$41/10)-1)+逐级计算!$Q$41*(AO21-逐级计算!$P$41)*LN(10)/10))))))),"")</f>
        <v>13.7940334318131</v>
      </c>
      <c r="AQ21">
        <f>IF(AND(ISNUMBER(AP21),逐级计算!$X$42&gt;-1),IF(逐级计算!$X$42=0,AP21+逐级计算!$C$42,AP21+逐级计算!$C$42-(10/(逐级计算!$Q$42*LN(10))*(MAX((LN(10^(逐级计算!$Q$42/10)-1)+逐级计算!$Q$42*(AP21-逐级计算!$P$42)*LN(10)/10),0)+LN(1+EXP(-ABS((LN(10^(逐级计算!$Q$42/10)-1)+逐级计算!$Q$42*(AP21-逐级计算!$P$42)*LN(10)/10))))))),"")</f>
        <v>13.7940334318131</v>
      </c>
      <c r="AR21">
        <f>IF(AND(ISNUMBER(AQ21),逐级计算!$X$43&gt;-1),IF(逐级计算!$X$43=0,AQ21+逐级计算!$C$43,AQ21+逐级计算!$C$43-(10/(逐级计算!$Q$43*LN(10))*(MAX((LN(10^(逐级计算!$Q$43/10)-1)+逐级计算!$Q$43*(AQ21-逐级计算!$P$43)*LN(10)/10),0)+LN(1+EXP(-ABS((LN(10^(逐级计算!$Q$43/10)-1)+逐级计算!$Q$43*(AQ21-逐级计算!$P$43)*LN(10)/10))))))),"")</f>
        <v>13.7940334318131</v>
      </c>
      <c r="AS21">
        <f>IF(AND(ISNUMBER(AR21),逐级计算!$X$44&gt;-1),IF(逐级计算!$X$44=0,AR21+逐级计算!$C$44,AR21+逐级计算!$C$44-(10/(逐级计算!$Q$44*LN(10))*(MAX((LN(10^(逐级计算!$Q$44/10)-1)+逐级计算!$Q$44*(AR21-逐级计算!$P$44)*LN(10)/10),0)+LN(1+EXP(-ABS((LN(10^(逐级计算!$Q$44/10)-1)+逐级计算!$Q$44*(AR21-逐级计算!$P$44)*LN(10)/10))))))),"")</f>
        <v>13.7940334318131</v>
      </c>
      <c r="AT21">
        <f>IF(AND(ISNUMBER(AS21),逐级计算!$X$45&gt;-1),IF(逐级计算!$X$45=0,AS21+逐级计算!$C$45,AS21+逐级计算!$C$45-(10/(逐级计算!$Q$45*LN(10))*(MAX((LN(10^(逐级计算!$Q$45/10)-1)+逐级计算!$Q$45*(AS21-逐级计算!$P$45)*LN(10)/10),0)+LN(1+EXP(-ABS((LN(10^(逐级计算!$Q$45/10)-1)+逐级计算!$Q$45*(AS21-逐级计算!$P$45)*LN(10)/10))))))),"")</f>
        <v>13.7940334318131</v>
      </c>
      <c r="AU21">
        <f>IF(AND(ISNUMBER(AT21),逐级计算!$X$46&gt;-1),IF(逐级计算!$X$46=0,AT21+逐级计算!$C$46,AT21+逐级计算!$C$46-(10/(逐级计算!$Q$46*LN(10))*(MAX((LN(10^(逐级计算!$Q$46/10)-1)+逐级计算!$Q$46*(AT21-逐级计算!$P$46)*LN(10)/10),0)+LN(1+EXP(-ABS((LN(10^(逐级计算!$Q$46/10)-1)+逐级计算!$Q$46*(AT21-逐级计算!$P$46)*LN(10)/10))))))),"")</f>
        <v>13.7940334318131</v>
      </c>
      <c r="AV21">
        <f>IF(AND(ISNUMBER(AU21),逐级计算!$X$47&gt;-1),IF(逐级计算!$X$47=0,AU21+逐级计算!$C$47,AU21+逐级计算!$C$47-(10/(逐级计算!$Q$47*LN(10))*(MAX((LN(10^(逐级计算!$Q$47/10)-1)+逐级计算!$Q$47*(AU21-逐级计算!$P$47)*LN(10)/10),0)+LN(1+EXP(-ABS((LN(10^(逐级计算!$Q$47/10)-1)+逐级计算!$Q$47*(AU21-逐级计算!$P$47)*LN(10)/10))))))),"")</f>
        <v>13.7940334318131</v>
      </c>
      <c r="AW21">
        <f>IF(AND(ISNUMBER(AV21),逐级计算!$X$48&gt;-1),IF(逐级计算!$X$48=0,AV21+逐级计算!$C$48,AV21+逐级计算!$C$48-(10/(逐级计算!$Q$48*LN(10))*(MAX((LN(10^(逐级计算!$Q$48/10)-1)+逐级计算!$Q$48*(AV21-逐级计算!$P$48)*LN(10)/10),0)+LN(1+EXP(-ABS((LN(10^(逐级计算!$Q$48/10)-1)+逐级计算!$Q$48*(AV21-逐级计算!$P$48)*LN(10)/10))))))),"")</f>
        <v>13.7940334318131</v>
      </c>
      <c r="AX21">
        <f>IF(AND(ISNUMBER(AW21),逐级计算!$X$49&gt;-1),IF(逐级计算!$X$49=0,AW21+逐级计算!$C$49,AW21+逐级计算!$C$49-(10/(逐级计算!$Q$49*LN(10))*(MAX((LN(10^(逐级计算!$Q$49/10)-1)+逐级计算!$Q$49*(AW21-逐级计算!$P$49)*LN(10)/10),0)+LN(1+EXP(-ABS((LN(10^(逐级计算!$Q$49/10)-1)+逐级计算!$Q$49*(AW21-逐级计算!$P$49)*LN(10)/10))))))),"")</f>
        <v>13.7940334318131</v>
      </c>
      <c r="AY21">
        <f>IF(AND(ISNUMBER(AX21),逐级计算!$X$50&gt;-1),IF(逐级计算!$X$50=0,AX21+逐级计算!$C$50,AX21+逐级计算!$C$50-(10/(逐级计算!$Q$50*LN(10))*(MAX((LN(10^(逐级计算!$Q$50/10)-1)+逐级计算!$Q$50*(AX21-逐级计算!$P$50)*LN(10)/10),0)+LN(1+EXP(-ABS((LN(10^(逐级计算!$Q$50/10)-1)+逐级计算!$Q$50*(AX21-逐级计算!$P$50)*LN(10)/10))))))),"")</f>
        <v>13.7940334318131</v>
      </c>
      <c r="AZ21">
        <f>IF(AND(ISNUMBER(AY21),逐级计算!$X$51&gt;-1),IF(逐级计算!$X$51=0,AY21+逐级计算!$C$51,AY21+逐级计算!$C$51-(10/(逐级计算!$Q$51*LN(10))*(MAX((LN(10^(逐级计算!$Q$51/10)-1)+逐级计算!$Q$51*(AY21-逐级计算!$P$51)*LN(10)/10),0)+LN(1+EXP(-ABS((LN(10^(逐级计算!$Q$51/10)-1)+逐级计算!$Q$51*(AY21-逐级计算!$P$51)*LN(10)/10))))))),"")</f>
        <v>13.7940334318131</v>
      </c>
      <c r="BA21">
        <f>IF(AND(ISNUMBER(AZ21),逐级计算!$X$52&gt;-1),IF(逐级计算!$X$52=0,AZ21+逐级计算!$C$52,AZ21+逐级计算!$C$52-(10/(逐级计算!$Q$52*LN(10))*(MAX((LN(10^(逐级计算!$Q$52/10)-1)+逐级计算!$Q$52*(AZ21-逐级计算!$P$52)*LN(10)/10),0)+LN(1+EXP(-ABS((LN(10^(逐级计算!$Q$52/10)-1)+逐级计算!$Q$52*(AZ21-逐级计算!$P$52)*LN(10)/10))))))),"")</f>
        <v>13.7940334318131</v>
      </c>
      <c r="BB21">
        <f>IF(AND(ISNUMBER(BA21),逐级计算!$X$53&gt;-1),IF(逐级计算!$X$53=0,BA21+逐级计算!$C$53,BA21+逐级计算!$C$53-(10/(逐级计算!$Q$53*LN(10))*(MAX((LN(10^(逐级计算!$Q$53/10)-1)+逐级计算!$Q$53*(BA21-逐级计算!$P$53)*LN(10)/10),0)+LN(1+EXP(-ABS((LN(10^(逐级计算!$Q$53/10)-1)+逐级计算!$Q$53*(BA21-逐级计算!$P$53)*LN(10)/10))))))),"")</f>
        <v>13.7940334318131</v>
      </c>
      <c r="BC21">
        <f>IF(AND(ISNUMBER(BB21),逐级计算!$X$54&gt;-1),IF(逐级计算!$X$54=0,BB21+逐级计算!$C$54,BB21+逐级计算!$C$54-(10/(逐级计算!$Q$54*LN(10))*(MAX((LN(10^(逐级计算!$Q$54/10)-1)+逐级计算!$Q$54*(BB21-逐级计算!$P$54)*LN(10)/10),0)+LN(1+EXP(-ABS((LN(10^(逐级计算!$Q$54/10)-1)+逐级计算!$Q$54*(BB21-逐级计算!$P$54)*LN(10)/10))))))),"")</f>
        <v>13.7940334318131</v>
      </c>
      <c r="BD21">
        <f>IF(AND(ISNUMBER(BC21),逐级计算!$X$55&gt;-1),IF(逐级计算!$X$55=0,BC21+逐级计算!$C$55,BC21+逐级计算!$C$55-(10/(逐级计算!$Q$55*LN(10))*(MAX((LN(10^(逐级计算!$Q$55/10)-1)+逐级计算!$Q$55*(BC21-逐级计算!$P$55)*LN(10)/10),0)+LN(1+EXP(-ABS((LN(10^(逐级计算!$Q$55/10)-1)+逐级计算!$Q$55*(BC21-逐级计算!$P$55)*LN(10)/10))))))),"")</f>
        <v>13.7940334318131</v>
      </c>
      <c r="BE21">
        <f>IF(AND(ISNUMBER(BD21),逐级计算!$X$56&gt;-1),IF(逐级计算!$X$56=0,BD21+逐级计算!$C$56,BD21+逐级计算!$C$56-(10/(逐级计算!$Q$56*LN(10))*(MAX((LN(10^(逐级计算!$Q$56/10)-1)+逐级计算!$Q$56*(BD21-逐级计算!$P$56)*LN(10)/10),0)+LN(1+EXP(-ABS((LN(10^(逐级计算!$Q$56/10)-1)+逐级计算!$Q$56*(BD21-逐级计算!$P$56)*LN(10)/10))))))),"")</f>
        <v>13.7940334318131</v>
      </c>
      <c r="BF21">
        <f>IF(AND(ISNUMBER(BE21),逐级计算!$X$57&gt;-1),IF(逐级计算!$X$57=0,BE21+逐级计算!$C$57,BE21+逐级计算!$C$57-(10/(逐级计算!$Q$57*LN(10))*(MAX((LN(10^(逐级计算!$Q$57/10)-1)+逐级计算!$Q$57*(BE21-逐级计算!$P$57)*LN(10)/10),0)+LN(1+EXP(-ABS((LN(10^(逐级计算!$Q$57/10)-1)+逐级计算!$Q$57*(BE21-逐级计算!$P$57)*LN(10)/10))))))),"")</f>
        <v>13.7940334318131</v>
      </c>
      <c r="BG21">
        <f>IF(AND(ISNUMBER(BF21),逐级计算!$X$58&gt;-1),IF(逐级计算!$X$58=0,BF21+逐级计算!$C$58,BF21+逐级计算!$C$58-(10/(逐级计算!$Q$58*LN(10))*(MAX((LN(10^(逐级计算!$Q$58/10)-1)+逐级计算!$Q$58*(BF21-逐级计算!$P$58)*LN(10)/10),0)+LN(1+EXP(-ABS((LN(10^(逐级计算!$Q$58/10)-1)+逐级计算!$Q$58*(BF21-逐级计算!$P$58)*LN(10)/10))))))),"")</f>
        <v>13.7940334318131</v>
      </c>
      <c r="BH21">
        <f>IF(AND(ISNUMBER(BG21),逐级计算!$X$59&gt;-1),IF(逐级计算!$X$59=0,BG21+逐级计算!$C$59,BG21+逐级计算!$C$59-(10/(逐级计算!$Q$59*LN(10))*(MAX((LN(10^(逐级计算!$Q$59/10)-1)+逐级计算!$Q$59*(BG21-逐级计算!$P$59)*LN(10)/10),0)+LN(1+EXP(-ABS((LN(10^(逐级计算!$Q$59/10)-1)+逐级计算!$Q$59*(BG21-逐级计算!$P$59)*LN(10)/10))))))),"")</f>
        <v>13.7940334318131</v>
      </c>
      <c r="BI21">
        <f>IF(AND(ISNUMBER(BH21),逐级计算!$X$60&gt;-1),IF(逐级计算!$X$60=0,BH21+逐级计算!$C$60,BH21+逐级计算!$C$60-(10/(逐级计算!$Q$60*LN(10))*(MAX((LN(10^(逐级计算!$Q$60/10)-1)+逐级计算!$Q$60*(BH21-逐级计算!$P$60)*LN(10)/10),0)+LN(1+EXP(-ABS((LN(10^(逐级计算!$Q$60/10)-1)+逐级计算!$Q$60*(BH21-逐级计算!$P$60)*LN(10)/10))))))),"")</f>
        <v>13.7940334318131</v>
      </c>
      <c r="BJ21">
        <f>IF(AND(ISNUMBER(BI21),逐级计算!$X$61&gt;-1),IF(逐级计算!$X$61=0,BI21+逐级计算!$C$61,BI21+逐级计算!$C$61-(10/(逐级计算!$Q$61*LN(10))*(MAX((LN(10^(逐级计算!$Q$61/10)-1)+逐级计算!$Q$61*(BI21-逐级计算!$P$61)*LN(10)/10),0)+LN(1+EXP(-ABS((LN(10^(逐级计算!$Q$61/10)-1)+逐级计算!$Q$61*(BI21-逐级计算!$P$61)*LN(10)/10))))))),"")</f>
        <v>13.7940334318131</v>
      </c>
      <c r="BK21">
        <f>IF(AND(ISNUMBER(BJ21),逐级计算!$X$62&gt;-1),IF(逐级计算!$X$62=0,BJ21+逐级计算!$C$62,BJ21+逐级计算!$C$62-(10/(逐级计算!$Q$62*LN(10))*(MAX((LN(10^(逐级计算!$Q$62/10)-1)+逐级计算!$Q$62*(BJ21-逐级计算!$P$62)*LN(10)/10),0)+LN(1+EXP(-ABS((LN(10^(逐级计算!$Q$62/10)-1)+逐级计算!$Q$62*(BJ21-逐级计算!$P$62)*LN(10)/10))))))),"")</f>
        <v>13.7940334318131</v>
      </c>
      <c r="BL21">
        <f>IF(AND(ISNUMBER(BK21),逐级计算!$X$63&gt;-1),IF(逐级计算!$X$63=0,BK21+逐级计算!$C$63,BK21+逐级计算!$C$63-(10/(逐级计算!$Q$63*LN(10))*(MAX((LN(10^(逐级计算!$Q$63/10)-1)+逐级计算!$Q$63*(BK21-逐级计算!$P$63)*LN(10)/10),0)+LN(1+EXP(-ABS((LN(10^(逐级计算!$Q$63/10)-1)+逐级计算!$Q$63*(BK21-逐级计算!$P$63)*LN(10)/10))))))),"")</f>
        <v>13.7940334318131</v>
      </c>
      <c r="BM21">
        <f>IF(AND(ISNUMBER(BL21),逐级计算!$X$64&gt;-1),IF(逐级计算!$X$64=0,BL21+逐级计算!$C$64,BL21+逐级计算!$C$64-(10/(逐级计算!$Q$64*LN(10))*(MAX((LN(10^(逐级计算!$Q$64/10)-1)+逐级计算!$Q$64*(BL21-逐级计算!$P$64)*LN(10)/10),0)+LN(1+EXP(-ABS((LN(10^(逐级计算!$Q$64/10)-1)+逐级计算!$Q$64*(BL21-逐级计算!$P$64)*LN(10)/10))))))),"")</f>
        <v>13.7940334318131</v>
      </c>
      <c r="BN21">
        <f>IF(AND(ISNUMBER(BM21),逐级计算!$X$65&gt;-1),IF(逐级计算!$X$65=0,BM21+逐级计算!$C$65,BM21+逐级计算!$C$65-(10/(逐级计算!$Q$65*LN(10))*(MAX((LN(10^(逐级计算!$Q$65/10)-1)+逐级计算!$Q$65*(BM21-逐级计算!$P$65)*LN(10)/10),0)+LN(1+EXP(-ABS((LN(10^(逐级计算!$Q$65/10)-1)+逐级计算!$Q$65*(BM21-逐级计算!$P$65)*LN(10)/10))))))),"")</f>
        <v>13.7940334318131</v>
      </c>
      <c r="BO21">
        <f>IF(AND(ISNUMBER(BN21),逐级计算!$X$66&gt;-1),IF(逐级计算!$X$66=0,BN21+逐级计算!$C$66,BN21+逐级计算!$C$66-(10/(逐级计算!$Q$66*LN(10))*(MAX((LN(10^(逐级计算!$Q$66/10)-1)+逐级计算!$Q$66*(BN21-逐级计算!$P$66)*LN(10)/10),0)+LN(1+EXP(-ABS((LN(10^(逐级计算!$Q$66/10)-1)+逐级计算!$Q$66*(BN21-逐级计算!$P$66)*LN(10)/10))))))),"")</f>
        <v>13.7940334318131</v>
      </c>
      <c r="BP21">
        <f>IF(AND(ISNUMBER(BO21),逐级计算!$X$67&gt;-1),IF(逐级计算!$X$67=0,BO21+逐级计算!$C$67,BO21+逐级计算!$C$67-(10/(逐级计算!$Q$67*LN(10))*(MAX((LN(10^(逐级计算!$Q$67/10)-1)+逐级计算!$Q$67*(BO21-逐级计算!$P$67)*LN(10)/10),0)+LN(1+EXP(-ABS((LN(10^(逐级计算!$Q$67/10)-1)+逐级计算!$Q$67*(BO21-逐级计算!$P$67)*LN(10)/10))))))),"")</f>
        <v>13.7940334318131</v>
      </c>
      <c r="BQ21">
        <f>IF(AND(ISNUMBER(BP21),逐级计算!$X$68&gt;-1),IF(逐级计算!$X$68=0,BP21+逐级计算!$C$68,BP21+逐级计算!$C$68-(10/(逐级计算!$Q$68*LN(10))*(MAX((LN(10^(逐级计算!$Q$68/10)-1)+逐级计算!$Q$68*(BP21-逐级计算!$P$68)*LN(10)/10),0)+LN(1+EXP(-ABS((LN(10^(逐级计算!$Q$68/10)-1)+逐级计算!$Q$68*(BP21-逐级计算!$P$68)*LN(10)/10))))))),"")</f>
        <v>13.7940334318131</v>
      </c>
      <c r="BR21">
        <f>IF(AND(ISNUMBER(BQ21),逐级计算!$X$69&gt;-1),IF(逐级计算!$X$69=0,BQ21+逐级计算!$C$69,BQ21+逐级计算!$C$69-(10/(逐级计算!$Q$69*LN(10))*(MAX((LN(10^(逐级计算!$Q$69/10)-1)+逐级计算!$Q$69*(BQ21-逐级计算!$P$69)*LN(10)/10),0)+LN(1+EXP(-ABS((LN(10^(逐级计算!$Q$69/10)-1)+逐级计算!$Q$69*(BQ21-逐级计算!$P$69)*LN(10)/10))))))),"")</f>
        <v>13.7940334318131</v>
      </c>
      <c r="BS21">
        <f>IF(AND(ISNUMBER(BR21),逐级计算!$X$70&gt;-1),IF(逐级计算!$X$70=0,BR21+逐级计算!$C$70,BR21+逐级计算!$C$70-(10/(逐级计算!$Q$70*LN(10))*(MAX((LN(10^(逐级计算!$Q$70/10)-1)+逐级计算!$Q$70*(BR21-逐级计算!$P$70)*LN(10)/10),0)+LN(1+EXP(-ABS((LN(10^(逐级计算!$Q$70/10)-1)+逐级计算!$Q$70*(BR21-逐级计算!$P$70)*LN(10)/10))))))),"")</f>
        <v>13.7940334318131</v>
      </c>
      <c r="BT21">
        <f>IF(AND(ISNUMBER(BS21),逐级计算!$X$71&gt;-1),IF(逐级计算!$X$71=0,BS21+逐级计算!$C$71,BS21+逐级计算!$C$71-(10/(逐级计算!$Q$71*LN(10))*(MAX((LN(10^(逐级计算!$Q$71/10)-1)+逐级计算!$Q$71*(BS21-逐级计算!$P$71)*LN(10)/10),0)+LN(1+EXP(-ABS((LN(10^(逐级计算!$Q$71/10)-1)+逐级计算!$Q$71*(BS21-逐级计算!$P$71)*LN(10)/10))))))),"")</f>
        <v>13.7940334318131</v>
      </c>
      <c r="BU21">
        <f>IF(AND(ISNUMBER(BT21),逐级计算!$X$72&gt;-1),IF(逐级计算!$X$72=0,BT21+逐级计算!$C$72,BT21+逐级计算!$C$72-(10/(逐级计算!$Q$72*LN(10))*(MAX((LN(10^(逐级计算!$Q$72/10)-1)+逐级计算!$Q$72*(BT21-逐级计算!$P$72)*LN(10)/10),0)+LN(1+EXP(-ABS((LN(10^(逐级计算!$Q$72/10)-1)+逐级计算!$Q$72*(BT21-逐级计算!$P$72)*LN(10)/10))))))),"")</f>
        <v>13.7940334318131</v>
      </c>
      <c r="BV21">
        <f>IF(AND(ISNUMBER(BU21),逐级计算!$X$73&gt;-1),IF(逐级计算!$X$73=0,BU21+逐级计算!$C$73,BU21+逐级计算!$C$73-(10/(逐级计算!$Q$73*LN(10))*(MAX((LN(10^(逐级计算!$Q$73/10)-1)+逐级计算!$Q$73*(BU21-逐级计算!$P$73)*LN(10)/10),0)+LN(1+EXP(-ABS((LN(10^(逐级计算!$Q$73/10)-1)+逐级计算!$Q$73*(BU21-逐级计算!$P$73)*LN(10)/10))))))),"")</f>
        <v>13.7940334318131</v>
      </c>
      <c r="BW21">
        <f>IF(AND(ISNUMBER(BV21),逐级计算!$X$74&gt;-1),IF(逐级计算!$X$74=0,BV21+逐级计算!$C$74,BV21+逐级计算!$C$74-(10/(逐级计算!$Q$74*LN(10))*(MAX((LN(10^(逐级计算!$Q$74/10)-1)+逐级计算!$Q$74*(BV21-逐级计算!$P$74)*LN(10)/10),0)+LN(1+EXP(-ABS((LN(10^(逐级计算!$Q$74/10)-1)+逐级计算!$Q$74*(BV21-逐级计算!$P$74)*LN(10)/10))))))),"")</f>
        <v>13.7940334318131</v>
      </c>
      <c r="BX21">
        <f>IF(AND(ISNUMBER(BW21),逐级计算!$X$75&gt;-1),IF(逐级计算!$X$75=0,BW21+逐级计算!$C$75,BW21+逐级计算!$C$75-(10/(逐级计算!$Q$75*LN(10))*(MAX((LN(10^(逐级计算!$Q$75/10)-1)+逐级计算!$Q$75*(BW21-逐级计算!$P$75)*LN(10)/10),0)+LN(1+EXP(-ABS((LN(10^(逐级计算!$Q$75/10)-1)+逐级计算!$Q$75*(BW21-逐级计算!$P$75)*LN(10)/10))))))),"")</f>
        <v>13.7940334318131</v>
      </c>
      <c r="BY21">
        <f>IF(AND(ISNUMBER(BX21),逐级计算!$X$76&gt;-1),IF(逐级计算!$X$76=0,BX21+逐级计算!$C$76,BX21+逐级计算!$C$76-(10/(逐级计算!$Q$76*LN(10))*(MAX((LN(10^(逐级计算!$Q$76/10)-1)+逐级计算!$Q$76*(BX21-逐级计算!$P$76)*LN(10)/10),0)+LN(1+EXP(-ABS((LN(10^(逐级计算!$Q$76/10)-1)+逐级计算!$Q$76*(BX21-逐级计算!$P$76)*LN(10)/10))))))),"")</f>
        <v>13.7940334318131</v>
      </c>
      <c r="BZ21">
        <f>IF(AND(ISNUMBER(BY21),逐级计算!$X$77&gt;-1),IF(逐级计算!$X$77=0,BY21+逐级计算!$C$77,BY21+逐级计算!$C$77-(10/(逐级计算!$Q$77*LN(10))*(MAX((LN(10^(逐级计算!$Q$77/10)-1)+逐级计算!$Q$77*(BY21-逐级计算!$P$77)*LN(10)/10),0)+LN(1+EXP(-ABS((LN(10^(逐级计算!$Q$77/10)-1)+逐级计算!$Q$77*(BY21-逐级计算!$P$77)*LN(10)/10))))))),"")</f>
        <v>13.7940334318131</v>
      </c>
      <c r="CA21">
        <f>IF(AND(ISNUMBER(BZ21),逐级计算!$X$78&gt;-1),IF(逐级计算!$X$78=0,BZ21+逐级计算!$C$78,BZ21+逐级计算!$C$78-(10/(逐级计算!$Q$78*LN(10))*(MAX((LN(10^(逐级计算!$Q$78/10)-1)+逐级计算!$Q$78*(BZ21-逐级计算!$P$78)*LN(10)/10),0)+LN(1+EXP(-ABS((LN(10^(逐级计算!$Q$78/10)-1)+逐级计算!$Q$78*(BZ21-逐级计算!$P$78)*LN(10)/10))))))),"")</f>
        <v>13.7940334318131</v>
      </c>
      <c r="CB21">
        <f>IF(AND(ISNUMBER(CA21),逐级计算!$X$79&gt;-1),IF(逐级计算!$X$79=0,CA21+逐级计算!$C$79,CA21+逐级计算!$C$79-(10/(逐级计算!$Q$79*LN(10))*(MAX((LN(10^(逐级计算!$Q$79/10)-1)+逐级计算!$Q$79*(CA21-逐级计算!$P$79)*LN(10)/10),0)+LN(1+EXP(-ABS((LN(10^(逐级计算!$Q$79/10)-1)+逐级计算!$Q$79*(CA21-逐级计算!$P$79)*LN(10)/10))))))),"")</f>
        <v>13.7940334318131</v>
      </c>
      <c r="CC21">
        <f>IF(AND(ISNUMBER(CB21),逐级计算!$X$80&gt;-1),IF(逐级计算!$X$80=0,CB21+逐级计算!$C$80,CB21+逐级计算!$C$80-(10/(逐级计算!$Q$80*LN(10))*(MAX((LN(10^(逐级计算!$Q$80/10)-1)+逐级计算!$Q$80*(CB21-逐级计算!$P$80)*LN(10)/10),0)+LN(1+EXP(-ABS((LN(10^(逐级计算!$Q$80/10)-1)+逐级计算!$Q$80*(CB21-逐级计算!$P$80)*LN(10)/10))))))),"")</f>
        <v>13.7940334318131</v>
      </c>
      <c r="CD21">
        <f>IF(AND(ISNUMBER(CC21),逐级计算!$X$81&gt;-1),IF(逐级计算!$X$81=0,CC21+逐级计算!$C$81,CC21+逐级计算!$C$81-(10/(逐级计算!$Q$81*LN(10))*(MAX((LN(10^(逐级计算!$Q$81/10)-1)+逐级计算!$Q$81*(CC21-逐级计算!$P$81)*LN(10)/10),0)+LN(1+EXP(-ABS((LN(10^(逐级计算!$Q$81/10)-1)+逐级计算!$Q$81*(CC21-逐级计算!$P$81)*LN(10)/10))))))),"")</f>
        <v>13.7940334318131</v>
      </c>
      <c r="CE21">
        <f>IF(AND(ISNUMBER(CD21),逐级计算!$X$82&gt;-1),IF(逐级计算!$X$82=0,CD21+逐级计算!$C$82,CD21+逐级计算!$C$82-(10/(逐级计算!$Q$82*LN(10))*(MAX((LN(10^(逐级计算!$Q$82/10)-1)+逐级计算!$Q$82*(CD21-逐级计算!$P$82)*LN(10)/10),0)+LN(1+EXP(-ABS((LN(10^(逐级计算!$Q$82/10)-1)+逐级计算!$Q$82*(CD21-逐级计算!$P$82)*LN(10)/10))))))),"")</f>
        <v>13.7940334318131</v>
      </c>
      <c r="CF21">
        <f>IF(AND(ISNUMBER(CE21),逐级计算!$X$83&gt;-1),IF(逐级计算!$X$83=0,CE21+逐级计算!$C$83,CE21+逐级计算!$C$83-(10/(逐级计算!$Q$83*LN(10))*(MAX((LN(10^(逐级计算!$Q$83/10)-1)+逐级计算!$Q$83*(CE21-逐级计算!$P$83)*LN(10)/10),0)+LN(1+EXP(-ABS((LN(10^(逐级计算!$Q$83/10)-1)+逐级计算!$Q$83*(CE21-逐级计算!$P$83)*LN(10)/10))))))),"")</f>
        <v>13.7940334318131</v>
      </c>
      <c r="CG21">
        <f>IF(AND(ISNUMBER(CF21),逐级计算!$X$84&gt;-1),IF(逐级计算!$X$84=0,CF21+逐级计算!$C$84,CF21+逐级计算!$C$84-(10/(逐级计算!$Q$84*LN(10))*(MAX((LN(10^(逐级计算!$Q$84/10)-1)+逐级计算!$Q$84*(CF21-逐级计算!$P$84)*LN(10)/10),0)+LN(1+EXP(-ABS((LN(10^(逐级计算!$Q$84/10)-1)+逐级计算!$Q$84*(CF21-逐级计算!$P$84)*LN(10)/10))))))),"")</f>
        <v>13.7940334318131</v>
      </c>
      <c r="CH21">
        <f>IF(AND(ISNUMBER(CG21),逐级计算!$X$85&gt;-1),IF(逐级计算!$X$85=0,CG21+逐级计算!$C$85,CG21+逐级计算!$C$85-(10/(逐级计算!$Q$85*LN(10))*(MAX((LN(10^(逐级计算!$Q$85/10)-1)+逐级计算!$Q$85*(CG21-逐级计算!$P$85)*LN(10)/10),0)+LN(1+EXP(-ABS((LN(10^(逐级计算!$Q$85/10)-1)+逐级计算!$Q$85*(CG21-逐级计算!$P$85)*LN(10)/10))))))),"")</f>
        <v>13.7940334318131</v>
      </c>
      <c r="CI21">
        <f>IF(AND(ISNUMBER(CH21),逐级计算!$X$86&gt;-1),IF(逐级计算!$X$86=0,CH21+逐级计算!$C$86,CH21+逐级计算!$C$86-(10/(逐级计算!$Q$86*LN(10))*(MAX((LN(10^(逐级计算!$Q$86/10)-1)+逐级计算!$Q$86*(CH21-逐级计算!$P$86)*LN(10)/10),0)+LN(1+EXP(-ABS((LN(10^(逐级计算!$Q$86/10)-1)+逐级计算!$Q$86*(CH21-逐级计算!$P$86)*LN(10)/10))))))),"")</f>
        <v>13.7940334318131</v>
      </c>
      <c r="CJ21">
        <f>IF(AND(ISNUMBER(CI21),逐级计算!$X$87&gt;-1),IF(逐级计算!$X$87=0,CI21+逐级计算!$C$87,CI21+逐级计算!$C$87-(10/(逐级计算!$Q$87*LN(10))*(MAX((LN(10^(逐级计算!$Q$87/10)-1)+逐级计算!$Q$87*(CI21-逐级计算!$P$87)*LN(10)/10),0)+LN(1+EXP(-ABS((LN(10^(逐级计算!$Q$87/10)-1)+逐级计算!$Q$87*(CI21-逐级计算!$P$87)*LN(10)/10))))))),"")</f>
        <v>13.7940334318131</v>
      </c>
      <c r="CK21">
        <f>IF(AND(ISNUMBER(CJ21),逐级计算!$X$88&gt;-1),IF(逐级计算!$X$88=0,CJ21+逐级计算!$C$88,CJ21+逐级计算!$C$88-(10/(逐级计算!$Q$88*LN(10))*(MAX((LN(10^(逐级计算!$Q$88/10)-1)+逐级计算!$Q$88*(CJ21-逐级计算!$P$88)*LN(10)/10),0)+LN(1+EXP(-ABS((LN(10^(逐级计算!$Q$88/10)-1)+逐级计算!$Q$88*(CJ21-逐级计算!$P$88)*LN(10)/10))))))),"")</f>
        <v>13.7940334318131</v>
      </c>
      <c r="CL21">
        <f>IF(AND(ISNUMBER(CK21),逐级计算!$X$89&gt;-1),IF(逐级计算!$X$89=0,CK21+逐级计算!$C$89,CK21+逐级计算!$C$89-(10/(逐级计算!$Q$89*LN(10))*(MAX((LN(10^(逐级计算!$Q$89/10)-1)+逐级计算!$Q$89*(CK21-逐级计算!$P$89)*LN(10)/10),0)+LN(1+EXP(-ABS((LN(10^(逐级计算!$Q$89/10)-1)+逐级计算!$Q$89*(CK21-逐级计算!$P$89)*LN(10)/10))))))),"")</f>
        <v>13.7940334318131</v>
      </c>
      <c r="CM21">
        <f>IF(AND(ISNUMBER(CL21),逐级计算!$X$90&gt;-1),IF(逐级计算!$X$90=0,CL21+逐级计算!$C$90,CL21+逐级计算!$C$90-(10/(逐级计算!$Q$90*LN(10))*(MAX((LN(10^(逐级计算!$Q$90/10)-1)+逐级计算!$Q$90*(CL21-逐级计算!$P$90)*LN(10)/10),0)+LN(1+EXP(-ABS((LN(10^(逐级计算!$Q$90/10)-1)+逐级计算!$Q$90*(CL21-逐级计算!$P$90)*LN(10)/10))))))),"")</f>
        <v>13.7940334318131</v>
      </c>
      <c r="CN21">
        <f>IF(AND(ISNUMBER(CM21),逐级计算!$X$91&gt;-1),IF(逐级计算!$X$91=0,CM21+逐级计算!$C$91,CM21+逐级计算!$C$91-(10/(逐级计算!$Q$91*LN(10))*(MAX((LN(10^(逐级计算!$Q$91/10)-1)+逐级计算!$Q$91*(CM21-逐级计算!$P$91)*LN(10)/10),0)+LN(1+EXP(-ABS((LN(10^(逐级计算!$Q$91/10)-1)+逐级计算!$Q$91*(CM21-逐级计算!$P$91)*LN(10)/10))))))),"")</f>
        <v>13.7940334318131</v>
      </c>
      <c r="CO21">
        <f>IF(AND(ISNUMBER(CN21),逐级计算!$X$92&gt;-1),IF(逐级计算!$X$92=0,CN21+逐级计算!$C$92,CN21+逐级计算!$C$92-(10/(逐级计算!$Q$92*LN(10))*(MAX((LN(10^(逐级计算!$Q$92/10)-1)+逐级计算!$Q$92*(CN21-逐级计算!$P$92)*LN(10)/10),0)+LN(1+EXP(-ABS((LN(10^(逐级计算!$Q$92/10)-1)+逐级计算!$Q$92*(CN21-逐级计算!$P$92)*LN(10)/10))))))),"")</f>
        <v>13.7940334318131</v>
      </c>
      <c r="CP21">
        <f>IF(AND(ISNUMBER(CO21),逐级计算!$X$93&gt;-1),IF(逐级计算!$X$93=0,CO21+逐级计算!$C$93,CO21+逐级计算!$C$93-(10/(逐级计算!$Q$93*LN(10))*(MAX((LN(10^(逐级计算!$Q$93/10)-1)+逐级计算!$Q$93*(CO21-逐级计算!$P$93)*LN(10)/10),0)+LN(1+EXP(-ABS((LN(10^(逐级计算!$Q$93/10)-1)+逐级计算!$Q$93*(CO21-逐级计算!$P$93)*LN(10)/10))))))),"")</f>
        <v>13.7940334318131</v>
      </c>
      <c r="CQ21">
        <f>IF(AND(ISNUMBER(CP21),逐级计算!$X$94&gt;-1),IF(逐级计算!$X$94=0,CP21+逐级计算!$C$94,CP21+逐级计算!$C$94-(10/(逐级计算!$Q$94*LN(10))*(MAX((LN(10^(逐级计算!$Q$94/10)-1)+逐级计算!$Q$94*(CP21-逐级计算!$P$94)*LN(10)/10),0)+LN(1+EXP(-ABS((LN(10^(逐级计算!$Q$94/10)-1)+逐级计算!$Q$94*(CP21-逐级计算!$P$94)*LN(10)/10))))))),"")</f>
        <v>13.7940334318131</v>
      </c>
      <c r="CR21">
        <f>IF(AND(ISNUMBER(CQ21),逐级计算!$X$95&gt;-1),IF(逐级计算!$X$95=0,CQ21+逐级计算!$C$95,CQ21+逐级计算!$C$95-(10/(逐级计算!$Q$95*LN(10))*(MAX((LN(10^(逐级计算!$Q$95/10)-1)+逐级计算!$Q$95*(CQ21-逐级计算!$P$95)*LN(10)/10),0)+LN(1+EXP(-ABS((LN(10^(逐级计算!$Q$95/10)-1)+逐级计算!$Q$95*(CQ21-逐级计算!$P$95)*LN(10)/10))))))),"")</f>
        <v>13.7940334318131</v>
      </c>
      <c r="CS21">
        <f>IF(AND(ISNUMBER(CR21),逐级计算!$X$96&gt;-1),IF(逐级计算!$X$96=0,CR21+逐级计算!$C$96,CR21+逐级计算!$C$96-(10/(逐级计算!$Q$96*LN(10))*(MAX((LN(10^(逐级计算!$Q$96/10)-1)+逐级计算!$Q$96*(CR21-逐级计算!$P$96)*LN(10)/10),0)+LN(1+EXP(-ABS((LN(10^(逐级计算!$Q$96/10)-1)+逐级计算!$Q$96*(CR21-逐级计算!$P$96)*LN(10)/10))))))),"")</f>
        <v>13.7940334318131</v>
      </c>
      <c r="CT21">
        <f>IF(AND(ISNUMBER(CS21),逐级计算!$X$97&gt;-1),IF(逐级计算!$X$97=0,CS21+逐级计算!$C$97,CS21+逐级计算!$C$97-(10/(逐级计算!$Q$97*LN(10))*(MAX((LN(10^(逐级计算!$Q$97/10)-1)+逐级计算!$Q$97*(CS21-逐级计算!$P$97)*LN(10)/10),0)+LN(1+EXP(-ABS((LN(10^(逐级计算!$Q$97/10)-1)+逐级计算!$Q$97*(CS21-逐级计算!$P$97)*LN(10)/10))))))),"")</f>
        <v>13.7940334318131</v>
      </c>
      <c r="CU21">
        <f>IF(AND(ISNUMBER(CT21),逐级计算!$X$98&gt;-1),IF(逐级计算!$X$98=0,CT21+逐级计算!$C$98,CT21+逐级计算!$C$98-(10/(逐级计算!$Q$98*LN(10))*(MAX((LN(10^(逐级计算!$Q$98/10)-1)+逐级计算!$Q$98*(CT21-逐级计算!$P$98)*LN(10)/10),0)+LN(1+EXP(-ABS((LN(10^(逐级计算!$Q$98/10)-1)+逐级计算!$Q$98*(CT21-逐级计算!$P$98)*LN(10)/10))))))),"")</f>
        <v>13.7940334318131</v>
      </c>
      <c r="CV21">
        <f>IF(AND(ISNUMBER(CU21),逐级计算!$X$99&gt;-1),IF(逐级计算!$X$99=0,CU21+逐级计算!$C$99,CU21+逐级计算!$C$99-(10/(逐级计算!$Q$99*LN(10))*(MAX((LN(10^(逐级计算!$Q$99/10)-1)+逐级计算!$Q$99*(CU21-逐级计算!$P$99)*LN(10)/10),0)+LN(1+EXP(-ABS((LN(10^(逐级计算!$Q$99/10)-1)+逐级计算!$Q$99*(CU21-逐级计算!$P$99)*LN(10)/10))))))),"")</f>
        <v>13.7940334318131</v>
      </c>
      <c r="CW21">
        <f>IF(AND(ISNUMBER(CV21),逐级计算!$X$100&gt;-1),IF(逐级计算!$X$100=0,CV21+逐级计算!$C$100,CV21+逐级计算!$C$100-(10/(逐级计算!$Q$100*LN(10))*(MAX((LN(10^(逐级计算!$Q$100/10)-1)+逐级计算!$Q$100*(CV21-逐级计算!$P$100)*LN(10)/10),0)+LN(1+EXP(-ABS((LN(10^(逐级计算!$Q$100/10)-1)+逐级计算!$Q$100*(CV21-逐级计算!$P$100)*LN(10)/10))))))),"")</f>
        <v>13.7940334318131</v>
      </c>
      <c r="CX21">
        <f>IF(AND(ISNUMBER(CW21),逐级计算!$X$101&gt;-1),IF(逐级计算!$X$101=0,CW21+逐级计算!$C$101,CW21+逐级计算!$C$101-(10/(逐级计算!$Q$101*LN(10))*(MAX((LN(10^(逐级计算!$Q$101/10)-1)+逐级计算!$Q$101*(CW21-逐级计算!$P$101)*LN(10)/10),0)+LN(1+EXP(-ABS((LN(10^(逐级计算!$Q$101/10)-1)+逐级计算!$Q$101*(CW21-逐级计算!$P$101)*LN(10)/10))))))),"")</f>
        <v>13.7940334318131</v>
      </c>
      <c r="CY21">
        <f>IF(AND(ISNUMBER(CX21),逐级计算!$X$102&gt;-1),IF(逐级计算!$X$102=0,CX21+逐级计算!$C$102,CX21+逐级计算!$C$102-(10/(逐级计算!$Q$102*LN(10))*(MAX((LN(10^(逐级计算!$Q$102/10)-1)+逐级计算!$Q$102*(CX21-逐级计算!$P$102)*LN(10)/10),0)+LN(1+EXP(-ABS((LN(10^(逐级计算!$Q$102/10)-1)+逐级计算!$Q$102*(CX21-逐级计算!$P$102)*LN(10)/10))))))),"")</f>
        <v>13.7940334318131</v>
      </c>
      <c r="CZ21">
        <f>IF(AND(ISNUMBER(CY21),逐级计算!$X$103&gt;-1),IF(逐级计算!$X$103=0,CY21+逐级计算!$C$103,CY21+逐级计算!$C$103-(10/(逐级计算!$Q$103*LN(10))*(MAX((LN(10^(逐级计算!$Q$103/10)-1)+逐级计算!$Q$103*(CY21-逐级计算!$P$103)*LN(10)/10),0)+LN(1+EXP(-ABS((LN(10^(逐级计算!$Q$103/10)-1)+逐级计算!$Q$103*(CY21-逐级计算!$P$103)*LN(10)/10))))))),"")</f>
        <v>13.7940334318131</v>
      </c>
      <c r="DA21">
        <f>IF(AND(ISNUMBER(CZ21),逐级计算!$X$104&gt;-1),IF(逐级计算!$X$104=0,CZ21+逐级计算!$C$104,CZ21+逐级计算!$C$104-(10/(逐级计算!$Q$104*LN(10))*(MAX((LN(10^(逐级计算!$Q$104/10)-1)+逐级计算!$Q$104*(CZ21-逐级计算!$P$104)*LN(10)/10),0)+LN(1+EXP(-ABS((LN(10^(逐级计算!$Q$104/10)-1)+逐级计算!$Q$104*(CZ21-逐级计算!$P$104)*LN(10)/10))))))),"")</f>
        <v>13.7940334318131</v>
      </c>
      <c r="DB21">
        <f>IF(AND(ISNUMBER(DA21),逐级计算!$X$105&gt;-1),IF(逐级计算!$X$105=0,DA21+逐级计算!$C$105,DA21+逐级计算!$C$105-(10/(逐级计算!$Q$105*LN(10))*(MAX((LN(10^(逐级计算!$Q$105/10)-1)+逐级计算!$Q$105*(DA21-逐级计算!$P$105)*LN(10)/10),0)+LN(1+EXP(-ABS((LN(10^(逐级计算!$Q$105/10)-1)+逐级计算!$Q$105*(DA21-逐级计算!$P$105)*LN(10)/10))))))),"")</f>
        <v>13.7940334318131</v>
      </c>
      <c r="DC21">
        <f>IF(AND(ISNUMBER(DB21),逐级计算!$X$106&gt;-1),IF(逐级计算!$X$106=0,DB21+逐级计算!$C$106,DB21+逐级计算!$C$106-(10/(逐级计算!$Q$106*LN(10))*(MAX((LN(10^(逐级计算!$Q$106/10)-1)+逐级计算!$Q$106*(DB21-逐级计算!$P$106)*LN(10)/10),0)+LN(1+EXP(-ABS((LN(10^(逐级计算!$Q$106/10)-1)+逐级计算!$Q$106*(DB21-逐级计算!$P$106)*LN(10)/10))))))),"")</f>
        <v>13.7940334318131</v>
      </c>
      <c r="DD21">
        <f>IF(AND(ISNUMBER(DC21),逐级计算!$X$107&gt;-1),IF(逐级计算!$X$107=0,DC21+逐级计算!$C$107,DC21+逐级计算!$C$107-(10/(逐级计算!$Q$107*LN(10))*(MAX((LN(10^(逐级计算!$Q$107/10)-1)+逐级计算!$Q$107*(DC21-逐级计算!$P$107)*LN(10)/10),0)+LN(1+EXP(-ABS((LN(10^(逐级计算!$Q$107/10)-1)+逐级计算!$Q$107*(DC21-逐级计算!$P$107)*LN(10)/10))))))),"")</f>
        <v>13.7940334318131</v>
      </c>
      <c r="DE21">
        <f>IF(AND(ISNUMBER(DD21),逐级计算!$X$108&gt;-1),IF(逐级计算!$X$108=0,DD21+逐级计算!$C$108,DD21+逐级计算!$C$108-(10/(逐级计算!$Q$108*LN(10))*(MAX((LN(10^(逐级计算!$Q$108/10)-1)+逐级计算!$Q$108*(DD21-逐级计算!$P$108)*LN(10)/10),0)+LN(1+EXP(-ABS((LN(10^(逐级计算!$Q$108/10)-1)+逐级计算!$Q$108*(DD21-逐级计算!$P$108)*LN(10)/10))))))),"")</f>
        <v>13.7940334318131</v>
      </c>
      <c r="DF21">
        <f>IF(AND(ISNUMBER(DE21),逐级计算!$X$109&gt;-1),IF(逐级计算!$X$109=0,DE21+逐级计算!$C$109,DE21+逐级计算!$C$109-(10/(逐级计算!$Q$109*LN(10))*(MAX((LN(10^(逐级计算!$Q$109/10)-1)+逐级计算!$Q$109*(DE21-逐级计算!$P$109)*LN(10)/10),0)+LN(1+EXP(-ABS((LN(10^(逐级计算!$Q$109/10)-1)+逐级计算!$Q$109*(DE21-逐级计算!$P$109)*LN(10)/10))))))),"")</f>
        <v>13.7940334318131</v>
      </c>
      <c r="DG21">
        <f>IF(AND(ISNUMBER(DF21),逐级计算!$X$110&gt;-1),IF(逐级计算!$X$110=0,DF21+逐级计算!$C$110,DF21+逐级计算!$C$110-(10/(逐级计算!$Q$110*LN(10))*(MAX((LN(10^(逐级计算!$Q$110/10)-1)+逐级计算!$Q$110*(DF21-逐级计算!$P$110)*LN(10)/10),0)+LN(1+EXP(-ABS((LN(10^(逐级计算!$Q$110/10)-1)+逐级计算!$Q$110*(DF21-逐级计算!$P$110)*LN(10)/10))))))),"")</f>
        <v>13.7940334318131</v>
      </c>
      <c r="DH21">
        <f>IF(AND(ISNUMBER(DG21),逐级计算!$X$111&gt;-1),IF(逐级计算!$X$111=0,DG21+逐级计算!$C$111,DG21+逐级计算!$C$111-(10/(逐级计算!$Q$111*LN(10))*(MAX((LN(10^(逐级计算!$Q$111/10)-1)+逐级计算!$Q$111*(DG21-逐级计算!$P$111)*LN(10)/10),0)+LN(1+EXP(-ABS((LN(10^(逐级计算!$Q$111/10)-1)+逐级计算!$Q$111*(DG21-逐级计算!$P$111)*LN(10)/10))))))),"")</f>
        <v>13.7940334318131</v>
      </c>
      <c r="DI21">
        <f>IF(AND(ISNUMBER(DH21),逐级计算!$X$112&gt;-1),IF(逐级计算!$X$112=0,DH21+逐级计算!$C$112,DH21+逐级计算!$C$112-(10/(逐级计算!$Q$112*LN(10))*(MAX((LN(10^(逐级计算!$Q$112/10)-1)+逐级计算!$Q$112*(DH21-逐级计算!$P$112)*LN(10)/10),0)+LN(1+EXP(-ABS((LN(10^(逐级计算!$Q$112/10)-1)+逐级计算!$Q$112*(DH21-逐级计算!$P$112)*LN(10)/10))))))),"")</f>
        <v>13.7940334318131</v>
      </c>
      <c r="DJ21">
        <f>IF(AND(ISNUMBER(DI21),逐级计算!$X$113&gt;-1),IF(逐级计算!$X$113=0,DI21+逐级计算!$C$113,DI21+逐级计算!$C$113-(10/(逐级计算!$Q$113*LN(10))*(MAX((LN(10^(逐级计算!$Q$113/10)-1)+逐级计算!$Q$113*(DI21-逐级计算!$P$113)*LN(10)/10),0)+LN(1+EXP(-ABS((LN(10^(逐级计算!$Q$113/10)-1)+逐级计算!$Q$113*(DI21-逐级计算!$P$113)*LN(10)/10))))))),"")</f>
        <v>13.7940334318131</v>
      </c>
      <c r="DK21">
        <f>IF(AND(ISNUMBER(DJ21),逐级计算!$X$114&gt;-1),IF(逐级计算!$X$114=0,DJ21+逐级计算!$C$114,DJ21+逐级计算!$C$114-(10/(逐级计算!$Q$114*LN(10))*(MAX((LN(10^(逐级计算!$Q$114/10)-1)+逐级计算!$Q$114*(DJ21-逐级计算!$P$114)*LN(10)/10),0)+LN(1+EXP(-ABS((LN(10^(逐级计算!$Q$114/10)-1)+逐级计算!$Q$114*(DJ21-逐级计算!$P$114)*LN(10)/10))))))),"")</f>
        <v>13.7940334318131</v>
      </c>
      <c r="DL21">
        <f>IF(AND(ISNUMBER(DK21),逐级计算!$X$115&gt;-1),IF(逐级计算!$X$115=0,DK21+逐级计算!$C$115,DK21+逐级计算!$C$115-(10/(逐级计算!$Q$115*LN(10))*(MAX((LN(10^(逐级计算!$Q$115/10)-1)+逐级计算!$Q$115*(DK21-逐级计算!$P$115)*LN(10)/10),0)+LN(1+EXP(-ABS((LN(10^(逐级计算!$Q$115/10)-1)+逐级计算!$Q$115*(DK21-逐级计算!$P$115)*LN(10)/10))))))),"")</f>
        <v>13.7940334318131</v>
      </c>
      <c r="DM21">
        <f>IF(AND(ISNUMBER(DL21),逐级计算!$X$116&gt;-1),IF(逐级计算!$X$116=0,DL21+逐级计算!$C$116,DL21+逐级计算!$C$116-(10/(逐级计算!$Q$116*LN(10))*(MAX((LN(10^(逐级计算!$Q$116/10)-1)+逐级计算!$Q$116*(DL21-逐级计算!$P$116)*LN(10)/10),0)+LN(1+EXP(-ABS((LN(10^(逐级计算!$Q$116/10)-1)+逐级计算!$Q$116*(DL21-逐级计算!$P$116)*LN(10)/10))))))),"")</f>
        <v>13.7940334318131</v>
      </c>
      <c r="DN21">
        <f>IF(AND(ISNUMBER(DM21),逐级计算!$X$117&gt;-1),IF(逐级计算!$X$117=0,DM21+逐级计算!$C$117,DM21+逐级计算!$C$117-(10/(逐级计算!$Q$117*LN(10))*(MAX((LN(10^(逐级计算!$Q$117/10)-1)+逐级计算!$Q$117*(DM21-逐级计算!$P$117)*LN(10)/10),0)+LN(1+EXP(-ABS((LN(10^(逐级计算!$Q$117/10)-1)+逐级计算!$Q$117*(DM21-逐级计算!$P$117)*LN(10)/10))))))),"")</f>
        <v>13.7940334318131</v>
      </c>
      <c r="DO21">
        <f>IF(AND(ISNUMBER(DN21),逐级计算!$X$118&gt;-1),IF(逐级计算!$X$118=0,DN21+逐级计算!$C$118,DN21+逐级计算!$C$118-(10/(逐级计算!$Q$118*LN(10))*(MAX((LN(10^(逐级计算!$Q$118/10)-1)+逐级计算!$Q$118*(DN21-逐级计算!$P$118)*LN(10)/10),0)+LN(1+EXP(-ABS((LN(10^(逐级计算!$Q$118/10)-1)+逐级计算!$Q$118*(DN21-逐级计算!$P$118)*LN(10)/10))))))),"")</f>
        <v>13.7940334318131</v>
      </c>
      <c r="DP21">
        <f>IF(AND(ISNUMBER(DO21),逐级计算!$X$119&gt;-1),IF(逐级计算!$X$119=0,DO21+逐级计算!$C$119,DO21+逐级计算!$C$119-(10/(逐级计算!$Q$119*LN(10))*(MAX((LN(10^(逐级计算!$Q$119/10)-1)+逐级计算!$Q$119*(DO21-逐级计算!$P$119)*LN(10)/10),0)+LN(1+EXP(-ABS((LN(10^(逐级计算!$Q$119/10)-1)+逐级计算!$Q$119*(DO21-逐级计算!$P$119)*LN(10)/10))))))),"")</f>
        <v>13.7940334318131</v>
      </c>
      <c r="DQ21">
        <f>IF(AND(ISNUMBER(DP21),逐级计算!$X$120&gt;-1),IF(逐级计算!$X$120=0,DP21+逐级计算!$C$120,DP21+逐级计算!$C$120-(10/(逐级计算!$Q$120*LN(10))*(MAX((LN(10^(逐级计算!$Q$120/10)-1)+逐级计算!$Q$120*(DP21-逐级计算!$P$120)*LN(10)/10),0)+LN(1+EXP(-ABS((LN(10^(逐级计算!$Q$120/10)-1)+逐级计算!$Q$120*(DP21-逐级计算!$P$120)*LN(10)/10))))))),"")</f>
        <v>13.7940334318131</v>
      </c>
      <c r="DR21">
        <f>IF(AND(ISNUMBER(DQ21),逐级计算!$X$121&gt;-1),IF(逐级计算!$X$121=0,DQ21+逐级计算!$C$121,DQ21+逐级计算!$C$121-(10/(逐级计算!$Q$121*LN(10))*(MAX((LN(10^(逐级计算!$Q$121/10)-1)+逐级计算!$Q$121*(DQ21-逐级计算!$P$121)*LN(10)/10),0)+LN(1+EXP(-ABS((LN(10^(逐级计算!$Q$121/10)-1)+逐级计算!$Q$121*(DQ21-逐级计算!$P$121)*LN(10)/10))))))),"")</f>
        <v>13.7940334318131</v>
      </c>
      <c r="DS21">
        <f>IF(AND(ISNUMBER(DR21),逐级计算!$X$122&gt;-1),IF(逐级计算!$X$122=0,DR21+逐级计算!$C$122,DR21+逐级计算!$C$122-(10/(逐级计算!$Q$122*LN(10))*(MAX((LN(10^(逐级计算!$Q$122/10)-1)+逐级计算!$Q$122*(DR21-逐级计算!$P$122)*LN(10)/10),0)+LN(1+EXP(-ABS((LN(10^(逐级计算!$Q$122/10)-1)+逐级计算!$Q$122*(DR21-逐级计算!$P$122)*LN(10)/10))))))),"")</f>
        <v>13.7940334318131</v>
      </c>
      <c r="DT21">
        <f>IF(AND(ISNUMBER(DS21),逐级计算!$X$123&gt;-1),IF(逐级计算!$X$123=0,DS21+逐级计算!$C$123,DS21+逐级计算!$C$123-(10/(逐级计算!$Q$123*LN(10))*(MAX((LN(10^(逐级计算!$Q$123/10)-1)+逐级计算!$Q$123*(DS21-逐级计算!$P$123)*LN(10)/10),0)+LN(1+EXP(-ABS((LN(10^(逐级计算!$Q$123/10)-1)+逐级计算!$Q$123*(DS21-逐级计算!$P$123)*LN(10)/10))))))),"")</f>
        <v>13.7940334318131</v>
      </c>
      <c r="DU21">
        <f>IF(AND(ISNUMBER(DT21),逐级计算!$X$124&gt;-1),IF(逐级计算!$X$124=0,DT21+逐级计算!$C$124,DT21+逐级计算!$C$124-(10/(逐级计算!$Q$124*LN(10))*(MAX((LN(10^(逐级计算!$Q$124/10)-1)+逐级计算!$Q$124*(DT21-逐级计算!$P$124)*LN(10)/10),0)+LN(1+EXP(-ABS((LN(10^(逐级计算!$Q$124/10)-1)+逐级计算!$Q$124*(DT21-逐级计算!$P$124)*LN(10)/10))))))),"")</f>
        <v>13.7940334318131</v>
      </c>
      <c r="DV21">
        <f>IF(AND(ISNUMBER(DU21),逐级计算!$X$125&gt;-1),IF(逐级计算!$X$125=0,DU21+逐级计算!$C$125,DU21+逐级计算!$C$125-(10/(逐级计算!$Q$125*LN(10))*(MAX((LN(10^(逐级计算!$Q$125/10)-1)+逐级计算!$Q$125*(DU21-逐级计算!$P$125)*LN(10)/10),0)+LN(1+EXP(-ABS((LN(10^(逐级计算!$Q$125/10)-1)+逐级计算!$Q$125*(DU21-逐级计算!$P$125)*LN(10)/10))))))),"")</f>
        <v>13.7940334318131</v>
      </c>
      <c r="DW21">
        <f>IF(AND(ISNUMBER(DV21),逐级计算!$X$126&gt;-1),IF(逐级计算!$X$126=0,DV21+逐级计算!$C$126,DV21+逐级计算!$C$126-(10/(逐级计算!$Q$126*LN(10))*(MAX((LN(10^(逐级计算!$Q$126/10)-1)+逐级计算!$Q$126*(DV21-逐级计算!$P$126)*LN(10)/10),0)+LN(1+EXP(-ABS((LN(10^(逐级计算!$Q$126/10)-1)+逐级计算!$Q$126*(DV21-逐级计算!$P$126)*LN(10)/10))))))),"")</f>
        <v>13.7940334318131</v>
      </c>
      <c r="DX21">
        <f>IF(AND(ISNUMBER(DW21),逐级计算!$X$127&gt;-1),IF(逐级计算!$X$127=0,DW21+逐级计算!$C$127,DW21+逐级计算!$C$127-(10/(逐级计算!$Q$127*LN(10))*(MAX((LN(10^(逐级计算!$Q$127/10)-1)+逐级计算!$Q$127*(DW21-逐级计算!$P$127)*LN(10)/10),0)+LN(1+EXP(-ABS((LN(10^(逐级计算!$Q$127/10)-1)+逐级计算!$Q$127*(DW21-逐级计算!$P$127)*LN(10)/10))))))),"")</f>
        <v>13.7940334318131</v>
      </c>
      <c r="DY21">
        <f>IF(AND(ISNUMBER(DX21),逐级计算!$X$128&gt;-1),IF(逐级计算!$X$128=0,DX21+逐级计算!$C$128,DX21+逐级计算!$C$128-(10/(逐级计算!$Q$128*LN(10))*(MAX((LN(10^(逐级计算!$Q$128/10)-1)+逐级计算!$Q$128*(DX21-逐级计算!$P$128)*LN(10)/10),0)+LN(1+EXP(-ABS((LN(10^(逐级计算!$Q$128/10)-1)+逐级计算!$Q$128*(DX21-逐级计算!$P$128)*LN(10)/10))))))),"")</f>
        <v>13.7940334318131</v>
      </c>
      <c r="DZ21">
        <f>IF(AND(ISNUMBER(DY21),逐级计算!$X$129&gt;-1),IF(逐级计算!$X$129=0,DY21+逐级计算!$C$129,DY21+逐级计算!$C$129-(10/(逐级计算!$Q$129*LN(10))*(MAX((LN(10^(逐级计算!$Q$129/10)-1)+逐级计算!$Q$129*(DY21-逐级计算!$P$129)*LN(10)/10),0)+LN(1+EXP(-ABS((LN(10^(逐级计算!$Q$129/10)-1)+逐级计算!$Q$129*(DY21-逐级计算!$P$129)*LN(10)/10))))))),"")</f>
        <v>13.7940334318131</v>
      </c>
      <c r="EA21">
        <f>IF(AND(ISNUMBER(DZ21),逐级计算!$X$130&gt;-1),IF(逐级计算!$X$130=0,DZ21+逐级计算!$C$130,DZ21+逐级计算!$C$130-(10/(逐级计算!$Q$130*LN(10))*(MAX((LN(10^(逐级计算!$Q$130/10)-1)+逐级计算!$Q$130*(DZ21-逐级计算!$P$130)*LN(10)/10),0)+LN(1+EXP(-ABS((LN(10^(逐级计算!$Q$130/10)-1)+逐级计算!$Q$130*(DZ21-逐级计算!$P$130)*LN(10)/10))))))),"")</f>
        <v>13.7940334318131</v>
      </c>
      <c r="EB21">
        <f>IF(AND(ISNUMBER(EA21),逐级计算!$X$131&gt;-1),IF(逐级计算!$X$131=0,EA21+逐级计算!$C$131,EA21+逐级计算!$C$131-(10/(逐级计算!$Q$131*LN(10))*(MAX((LN(10^(逐级计算!$Q$131/10)-1)+逐级计算!$Q$131*(EA21-逐级计算!$P$131)*LN(10)/10),0)+LN(1+EXP(-ABS((LN(10^(逐级计算!$Q$131/10)-1)+逐级计算!$Q$131*(EA21-逐级计算!$P$131)*LN(10)/10))))))),"")</f>
        <v>13.7940334318131</v>
      </c>
      <c r="EC21">
        <f>IF(AND(ISNUMBER(EB21),逐级计算!$X$132&gt;-1),IF(逐级计算!$X$132=0,EB21+逐级计算!$C$132,EB21+逐级计算!$C$132-(10/(逐级计算!$Q$132*LN(10))*(MAX((LN(10^(逐级计算!$Q$132/10)-1)+逐级计算!$Q$132*(EB21-逐级计算!$P$132)*LN(10)/10),0)+LN(1+EXP(-ABS((LN(10^(逐级计算!$Q$132/10)-1)+逐级计算!$Q$132*(EB21-逐级计算!$P$132)*LN(10)/10))))))),"")</f>
        <v>13.7940334318131</v>
      </c>
      <c r="ED21">
        <f>IF(AND(ISNUMBER(EC21),逐级计算!$X$133&gt;-1),IF(逐级计算!$X$133=0,EC21+逐级计算!$C$133,EC21+逐级计算!$C$133-(10/(逐级计算!$Q$133*LN(10))*(MAX((LN(10^(逐级计算!$Q$133/10)-1)+逐级计算!$Q$133*(EC21-逐级计算!$P$133)*LN(10)/10),0)+LN(1+EXP(-ABS((LN(10^(逐级计算!$Q$133/10)-1)+逐级计算!$Q$133*(EC21-逐级计算!$P$133)*LN(10)/10))))))),"")</f>
        <v>13.7940334318131</v>
      </c>
      <c r="EE21">
        <f>IF(AND(ISNUMBER(ED21),逐级计算!$X$134&gt;-1),IF(逐级计算!$X$134=0,ED21+逐级计算!$C$134,ED21+逐级计算!$C$134-(10/(逐级计算!$Q$134*LN(10))*(MAX((LN(10^(逐级计算!$Q$134/10)-1)+逐级计算!$Q$134*(ED21-逐级计算!$P$134)*LN(10)/10),0)+LN(1+EXP(-ABS((LN(10^(逐级计算!$Q$134/10)-1)+逐级计算!$Q$134*(ED21-逐级计算!$P$134)*LN(10)/10))))))),"")</f>
        <v>13.7940334318131</v>
      </c>
      <c r="EF21">
        <f>IF(AND(ISNUMBER(EE21),逐级计算!$X$135&gt;-1),IF(逐级计算!$X$135=0,EE21+逐级计算!$C$135,EE21+逐级计算!$C$135-(10/(逐级计算!$Q$135*LN(10))*(MAX((LN(10^(逐级计算!$Q$135/10)-1)+逐级计算!$Q$135*(EE21-逐级计算!$P$135)*LN(10)/10),0)+LN(1+EXP(-ABS((LN(10^(逐级计算!$Q$135/10)-1)+逐级计算!$Q$135*(EE21-逐级计算!$P$135)*LN(10)/10))))))),"")</f>
        <v>13.7940334318131</v>
      </c>
      <c r="EG21">
        <f>IF(AND(ISNUMBER(EF21),逐级计算!$X$136&gt;-1),IF(逐级计算!$X$136=0,EF21+逐级计算!$C$136,EF21+逐级计算!$C$136-(10/(逐级计算!$Q$136*LN(10))*(MAX((LN(10^(逐级计算!$Q$136/10)-1)+逐级计算!$Q$136*(EF21-逐级计算!$P$136)*LN(10)/10),0)+LN(1+EXP(-ABS((LN(10^(逐级计算!$Q$136/10)-1)+逐级计算!$Q$136*(EF21-逐级计算!$P$136)*LN(10)/10))))))),"")</f>
        <v>13.7940334318131</v>
      </c>
      <c r="EH21">
        <f>IF(AND(ISNUMBER(EG21),逐级计算!$X$137&gt;-1),IF(逐级计算!$X$137=0,EG21+逐级计算!$C$137,EG21+逐级计算!$C$137-(10/(逐级计算!$Q$137*LN(10))*(MAX((LN(10^(逐级计算!$Q$137/10)-1)+逐级计算!$Q$137*(EG21-逐级计算!$P$137)*LN(10)/10),0)+LN(1+EXP(-ABS((LN(10^(逐级计算!$Q$137/10)-1)+逐级计算!$Q$137*(EG21-逐级计算!$P$137)*LN(10)/10))))))),"")</f>
        <v>13.7940334318131</v>
      </c>
      <c r="EI21">
        <f>IF(AND(ISNUMBER(EH21),逐级计算!$X$138&gt;-1),IF(逐级计算!$X$138=0,EH21+逐级计算!$C$138,EH21+逐级计算!$C$138-(10/(逐级计算!$Q$138*LN(10))*(MAX((LN(10^(逐级计算!$Q$138/10)-1)+逐级计算!$Q$138*(EH21-逐级计算!$P$138)*LN(10)/10),0)+LN(1+EXP(-ABS((LN(10^(逐级计算!$Q$138/10)-1)+逐级计算!$Q$138*(EH21-逐级计算!$P$138)*LN(10)/10))))))),"")</f>
        <v>13.7940334318131</v>
      </c>
      <c r="EJ21">
        <f>IF(AND(ISNUMBER(EI21),逐级计算!$X$139&gt;-1),IF(逐级计算!$X$139=0,EI21+逐级计算!$C$139,EI21+逐级计算!$C$139-(10/(逐级计算!$Q$139*LN(10))*(MAX((LN(10^(逐级计算!$Q$139/10)-1)+逐级计算!$Q$139*(EI21-逐级计算!$P$139)*LN(10)/10),0)+LN(1+EXP(-ABS((LN(10^(逐级计算!$Q$139/10)-1)+逐级计算!$Q$139*(EI21-逐级计算!$P$139)*LN(10)/10))))))),"")</f>
        <v>13.7940334318131</v>
      </c>
      <c r="EK21">
        <f>IF(AND(ISNUMBER(EJ21),逐级计算!$X$140&gt;-1),IF(逐级计算!$X$140=0,EJ21+逐级计算!$C$140,EJ21+逐级计算!$C$140-(10/(逐级计算!$Q$140*LN(10))*(MAX((LN(10^(逐级计算!$Q$140/10)-1)+逐级计算!$Q$140*(EJ21-逐级计算!$P$140)*LN(10)/10),0)+LN(1+EXP(-ABS((LN(10^(逐级计算!$Q$140/10)-1)+逐级计算!$Q$140*(EJ21-逐级计算!$P$140)*LN(10)/10))))))),"")</f>
        <v>13.7940334318131</v>
      </c>
      <c r="EL21">
        <f>IF(AND(ISNUMBER(EK21),逐级计算!$X$141&gt;-1),IF(逐级计算!$X$141=0,EK21+逐级计算!$C$141,EK21+逐级计算!$C$141-(10/(逐级计算!$Q$141*LN(10))*(MAX((LN(10^(逐级计算!$Q$141/10)-1)+逐级计算!$Q$141*(EK21-逐级计算!$P$141)*LN(10)/10),0)+LN(1+EXP(-ABS((LN(10^(逐级计算!$Q$141/10)-1)+逐级计算!$Q$141*(EK21-逐级计算!$P$141)*LN(10)/10))))))),"")</f>
        <v>13.7940334318131</v>
      </c>
      <c r="EM21">
        <f>IF(AND(ISNUMBER(EL21),逐级计算!$X$142&gt;-1),IF(逐级计算!$X$142=0,EL21+逐级计算!$C$142,EL21+逐级计算!$C$142-(10/(逐级计算!$Q$142*LN(10))*(MAX((LN(10^(逐级计算!$Q$142/10)-1)+逐级计算!$Q$142*(EL21-逐级计算!$P$142)*LN(10)/10),0)+LN(1+EXP(-ABS((LN(10^(逐级计算!$Q$142/10)-1)+逐级计算!$Q$142*(EL21-逐级计算!$P$142)*LN(10)/10))))))),"")</f>
        <v>13.7940334318131</v>
      </c>
      <c r="EN21">
        <f>IF(AND(ISNUMBER(EM21),逐级计算!$X$143&gt;-1),IF(逐级计算!$X$143=0,EM21+逐级计算!$C$143,EM21+逐级计算!$C$143-(10/(逐级计算!$Q$143*LN(10))*(MAX((LN(10^(逐级计算!$Q$143/10)-1)+逐级计算!$Q$143*(EM21-逐级计算!$P$143)*LN(10)/10),0)+LN(1+EXP(-ABS((LN(10^(逐级计算!$Q$143/10)-1)+逐级计算!$Q$143*(EM21-逐级计算!$P$143)*LN(10)/10))))))),"")</f>
        <v>13.7940334318131</v>
      </c>
      <c r="EO21">
        <f>IF(AND(ISNUMBER(EN21),逐级计算!$X$144&gt;-1),IF(逐级计算!$X$144=0,EN21+逐级计算!$C$144,EN21+逐级计算!$C$144-(10/(逐级计算!$Q$144*LN(10))*(MAX((LN(10^(逐级计算!$Q$144/10)-1)+逐级计算!$Q$144*(EN21-逐级计算!$P$144)*LN(10)/10),0)+LN(1+EXP(-ABS((LN(10^(逐级计算!$Q$144/10)-1)+逐级计算!$Q$144*(EN21-逐级计算!$P$144)*LN(10)/10))))))),"")</f>
        <v>13.7940334318131</v>
      </c>
      <c r="EP21">
        <f>IF(AND(ISNUMBER(EO21),逐级计算!$X$145&gt;-1),IF(逐级计算!$X$145=0,EO21+逐级计算!$C$145,EO21+逐级计算!$C$145-(10/(逐级计算!$Q$145*LN(10))*(MAX((LN(10^(逐级计算!$Q$145/10)-1)+逐级计算!$Q$145*(EO21-逐级计算!$P$145)*LN(10)/10),0)+LN(1+EXP(-ABS((LN(10^(逐级计算!$Q$145/10)-1)+逐级计算!$Q$145*(EO21-逐级计算!$P$145)*LN(10)/10))))))),"")</f>
        <v>13.7940334318131</v>
      </c>
      <c r="EQ21">
        <f>IF(AND(ISNUMBER(EP21),逐级计算!$X$146&gt;-1),IF(逐级计算!$X$146=0,EP21+逐级计算!$C$146,EP21+逐级计算!$C$146-(10/(逐级计算!$Q$146*LN(10))*(MAX((LN(10^(逐级计算!$Q$146/10)-1)+逐级计算!$Q$146*(EP21-逐级计算!$P$146)*LN(10)/10),0)+LN(1+EXP(-ABS((LN(10^(逐级计算!$Q$146/10)-1)+逐级计算!$Q$146*(EP21-逐级计算!$P$146)*LN(10)/10))))))),"")</f>
        <v>13.7940334318131</v>
      </c>
      <c r="ER21">
        <f>IF(AND(ISNUMBER(EQ21),逐级计算!$X$147&gt;-1),IF(逐级计算!$X$147=0,EQ21+逐级计算!$C$147,EQ21+逐级计算!$C$147-(10/(逐级计算!$Q$147*LN(10))*(MAX((LN(10^(逐级计算!$Q$147/10)-1)+逐级计算!$Q$147*(EQ21-逐级计算!$P$147)*LN(10)/10),0)+LN(1+EXP(-ABS((LN(10^(逐级计算!$Q$147/10)-1)+逐级计算!$Q$147*(EQ21-逐级计算!$P$147)*LN(10)/10))))))),"")</f>
        <v>13.7940334318131</v>
      </c>
      <c r="ES21">
        <f>IF(AND(ISNUMBER(ER21),逐级计算!$X$148&gt;-1),IF(逐级计算!$X$148=0,ER21+逐级计算!$C$148,ER21+逐级计算!$C$148-(10/(逐级计算!$Q$148*LN(10))*(MAX((LN(10^(逐级计算!$Q$148/10)-1)+逐级计算!$Q$148*(ER21-逐级计算!$P$148)*LN(10)/10),0)+LN(1+EXP(-ABS((LN(10^(逐级计算!$Q$148/10)-1)+逐级计算!$Q$148*(ER21-逐级计算!$P$148)*LN(10)/10))))))),"")</f>
        <v>13.7940334318131</v>
      </c>
      <c r="ET21">
        <f>IF(AND(ISNUMBER(ES21),逐级计算!$X$149&gt;-1),IF(逐级计算!$X$149=0,ES21+逐级计算!$C$149,ES21+逐级计算!$C$149-(10/(逐级计算!$Q$149*LN(10))*(MAX((LN(10^(逐级计算!$Q$149/10)-1)+逐级计算!$Q$149*(ES21-逐级计算!$P$149)*LN(10)/10),0)+LN(1+EXP(-ABS((LN(10^(逐级计算!$Q$149/10)-1)+逐级计算!$Q$149*(ES21-逐级计算!$P$149)*LN(10)/10))))))),"")</f>
        <v>13.7940334318131</v>
      </c>
      <c r="EU21">
        <f>IF(AND(ISNUMBER(ET21),逐级计算!$X$150&gt;-1),IF(逐级计算!$X$150=0,ET21+逐级计算!$C$150,ET21+逐级计算!$C$150-(10/(逐级计算!$Q$150*LN(10))*(MAX((LN(10^(逐级计算!$Q$150/10)-1)+逐级计算!$Q$150*(ET21-逐级计算!$P$150)*LN(10)/10),0)+LN(1+EXP(-ABS((LN(10^(逐级计算!$Q$150/10)-1)+逐级计算!$Q$150*(ET21-逐级计算!$P$150)*LN(10)/10))))))),"")</f>
        <v>13.7940334318131</v>
      </c>
      <c r="EV21">
        <f>IF(AND(ISNUMBER(EU21),逐级计算!$X$151&gt;-1),IF(逐级计算!$X$151=0,EU21+逐级计算!$C$151,EU21+逐级计算!$C$151-(10/(逐级计算!$Q$151*LN(10))*(MAX((LN(10^(逐级计算!$Q$151/10)-1)+逐级计算!$Q$151*(EU21-逐级计算!$P$151)*LN(10)/10),0)+LN(1+EXP(-ABS((LN(10^(逐级计算!$Q$151/10)-1)+逐级计算!$Q$151*(EU21-逐级计算!$P$151)*LN(10)/10))))))),"")</f>
        <v>13.7940334318131</v>
      </c>
      <c r="EW21">
        <f>IF(AND(ISNUMBER(EV21),逐级计算!$X$152&gt;-1),IF(逐级计算!$X$152=0,EV21+逐级计算!$C$152,EV21+逐级计算!$C$152-(10/(逐级计算!$Q$152*LN(10))*(MAX((LN(10^(逐级计算!$Q$152/10)-1)+逐级计算!$Q$152*(EV21-逐级计算!$P$152)*LN(10)/10),0)+LN(1+EXP(-ABS((LN(10^(逐级计算!$Q$152/10)-1)+逐级计算!$Q$152*(EV21-逐级计算!$P$152)*LN(10)/10))))))),"")</f>
        <v>13.7940334318131</v>
      </c>
      <c r="EX21">
        <f>IF(AND(ISNUMBER(EW21),逐级计算!$X$153&gt;-1),IF(逐级计算!$X$153=0,EW21+逐级计算!$C$153,EW21+逐级计算!$C$153-(10/(逐级计算!$Q$153*LN(10))*(MAX((LN(10^(逐级计算!$Q$153/10)-1)+逐级计算!$Q$153*(EW21-逐级计算!$P$153)*LN(10)/10),0)+LN(1+EXP(-ABS((LN(10^(逐级计算!$Q$153/10)-1)+逐级计算!$Q$153*(EW21-逐级计算!$P$153)*LN(10)/10))))))),"")</f>
        <v>13.7940334318131</v>
      </c>
      <c r="EY21">
        <f>IF(AND(ISNUMBER(EX21),逐级计算!$X$154&gt;-1),IF(逐级计算!$X$154=0,EX21+逐级计算!$C$154,EX21+逐级计算!$C$154-(10/(逐级计算!$Q$154*LN(10))*(MAX((LN(10^(逐级计算!$Q$154/10)-1)+逐级计算!$Q$154*(EX21-逐级计算!$P$154)*LN(10)/10),0)+LN(1+EXP(-ABS((LN(10^(逐级计算!$Q$154/10)-1)+逐级计算!$Q$154*(EX21-逐级计算!$P$154)*LN(10)/10))))))),"")</f>
        <v>13.7940334318131</v>
      </c>
      <c r="EZ21">
        <f>IF(AND(ISNUMBER(EY21),逐级计算!$X$155&gt;-1),IF(逐级计算!$X$155=0,EY21+逐级计算!$C$155,EY21+逐级计算!$C$155-(10/(逐级计算!$Q$155*LN(10))*(MAX((LN(10^(逐级计算!$Q$155/10)-1)+逐级计算!$Q$155*(EY21-逐级计算!$P$155)*LN(10)/10),0)+LN(1+EXP(-ABS((LN(10^(逐级计算!$Q$155/10)-1)+逐级计算!$Q$155*(EY21-逐级计算!$P$155)*LN(10)/10))))))),"")</f>
        <v>13.7940334318131</v>
      </c>
      <c r="FA21">
        <f>IF(AND(ISNUMBER(EZ21),逐级计算!$X$156&gt;-1),IF(逐级计算!$X$156=0,EZ21+逐级计算!$C$156,EZ21+逐级计算!$C$156-(10/(逐级计算!$Q$156*LN(10))*(MAX((LN(10^(逐级计算!$Q$156/10)-1)+逐级计算!$Q$156*(EZ21-逐级计算!$P$156)*LN(10)/10),0)+LN(1+EXP(-ABS((LN(10^(逐级计算!$Q$156/10)-1)+逐级计算!$Q$156*(EZ21-逐级计算!$P$156)*LN(10)/10))))))),"")</f>
        <v>13.7940334318131</v>
      </c>
      <c r="FB21">
        <f>IF(AND(ISNUMBER(FA21),逐级计算!$X$157&gt;-1),IF(逐级计算!$X$157=0,FA21+逐级计算!$C$157,FA21+逐级计算!$C$157-(10/(逐级计算!$Q$157*LN(10))*(MAX((LN(10^(逐级计算!$Q$157/10)-1)+逐级计算!$Q$157*(FA21-逐级计算!$P$157)*LN(10)/10),0)+LN(1+EXP(-ABS((LN(10^(逐级计算!$Q$157/10)-1)+逐级计算!$Q$157*(FA21-逐级计算!$P$157)*LN(10)/10))))))),"")</f>
        <v>13.7940334318131</v>
      </c>
      <c r="FC21">
        <f>IF(AND(ISNUMBER(FB21),逐级计算!$X$158&gt;-1),IF(逐级计算!$X$158=0,FB21+逐级计算!$C$158,FB21+逐级计算!$C$158-(10/(逐级计算!$Q$158*LN(10))*(MAX((LN(10^(逐级计算!$Q$158/10)-1)+逐级计算!$Q$158*(FB21-逐级计算!$P$158)*LN(10)/10),0)+LN(1+EXP(-ABS((LN(10^(逐级计算!$Q$158/10)-1)+逐级计算!$Q$158*(FB21-逐级计算!$P$158)*LN(10)/10))))))),"")</f>
        <v>13.7940334318131</v>
      </c>
      <c r="FD21">
        <f>IF(AND(ISNUMBER(FC21),逐级计算!$X$159&gt;-1),IF(逐级计算!$X$159=0,FC21+逐级计算!$C$159,FC21+逐级计算!$C$159-(10/(逐级计算!$Q$159*LN(10))*(MAX((LN(10^(逐级计算!$Q$159/10)-1)+逐级计算!$Q$159*(FC21-逐级计算!$P$159)*LN(10)/10),0)+LN(1+EXP(-ABS((LN(10^(逐级计算!$Q$159/10)-1)+逐级计算!$Q$159*(FC21-逐级计算!$P$159)*LN(10)/10))))))),"")</f>
        <v>13.7940334318131</v>
      </c>
      <c r="FE21">
        <f>IF(AND(ISNUMBER(FD21),逐级计算!$X$160&gt;-1),IF(逐级计算!$X$160=0,FD21+逐级计算!$C$160,FD21+逐级计算!$C$160-(10/(逐级计算!$Q$160*LN(10))*(MAX((LN(10^(逐级计算!$Q$160/10)-1)+逐级计算!$Q$160*(FD21-逐级计算!$P$160)*LN(10)/10),0)+LN(1+EXP(-ABS((LN(10^(逐级计算!$Q$160/10)-1)+逐级计算!$Q$160*(FD21-逐级计算!$P$160)*LN(10)/10))))))),"")</f>
        <v>13.7940334318131</v>
      </c>
      <c r="FF21">
        <f>IF(AND(ISNUMBER(FE21),逐级计算!$X$161&gt;-1),IF(逐级计算!$X$161=0,FE21+逐级计算!$C$161,FE21+逐级计算!$C$161-(10/(逐级计算!$Q$161*LN(10))*(MAX((LN(10^(逐级计算!$Q$161/10)-1)+逐级计算!$Q$161*(FE21-逐级计算!$P$161)*LN(10)/10),0)+LN(1+EXP(-ABS((LN(10^(逐级计算!$Q$161/10)-1)+逐级计算!$Q$161*(FE21-逐级计算!$P$161)*LN(10)/10))))))),"")</f>
        <v>13.7940334318131</v>
      </c>
      <c r="FG21">
        <f>IF(AND(ISNUMBER(FF21),逐级计算!$X$162&gt;-1),IF(逐级计算!$X$162=0,FF21+逐级计算!$C$162,FF21+逐级计算!$C$162-(10/(逐级计算!$Q$162*LN(10))*(MAX((LN(10^(逐级计算!$Q$162/10)-1)+逐级计算!$Q$162*(FF21-逐级计算!$P$162)*LN(10)/10),0)+LN(1+EXP(-ABS((LN(10^(逐级计算!$Q$162/10)-1)+逐级计算!$Q$162*(FF21-逐级计算!$P$162)*LN(10)/10))))))),"")</f>
        <v>13.7940334318131</v>
      </c>
      <c r="FH21">
        <f>IF(AND(ISNUMBER(FG21),逐级计算!$X$163&gt;-1),IF(逐级计算!$X$163=0,FG21+逐级计算!$C$163,FG21+逐级计算!$C$163-(10/(逐级计算!$Q$163*LN(10))*(MAX((LN(10^(逐级计算!$Q$163/10)-1)+逐级计算!$Q$163*(FG21-逐级计算!$P$163)*LN(10)/10),0)+LN(1+EXP(-ABS((LN(10^(逐级计算!$Q$163/10)-1)+逐级计算!$Q$163*(FG21-逐级计算!$P$163)*LN(10)/10))))))),"")</f>
        <v>13.7940334318131</v>
      </c>
      <c r="FI21">
        <f>IF(AND(ISNUMBER(FH21),逐级计算!$X$164&gt;-1),IF(逐级计算!$X$164=0,FH21+逐级计算!$C$164,FH21+逐级计算!$C$164-(10/(逐级计算!$Q$164*LN(10))*(MAX((LN(10^(逐级计算!$Q$164/10)-1)+逐级计算!$Q$164*(FH21-逐级计算!$P$164)*LN(10)/10),0)+LN(1+EXP(-ABS((LN(10^(逐级计算!$Q$164/10)-1)+逐级计算!$Q$164*(FH21-逐级计算!$P$164)*LN(10)/10))))))),"")</f>
        <v>13.7940334318131</v>
      </c>
      <c r="FJ21">
        <f>IF(AND(ISNUMBER(FI21),逐级计算!$X$165&gt;-1),IF(逐级计算!$X$165=0,FI21+逐级计算!$C$165,FI21+逐级计算!$C$165-(10/(逐级计算!$Q$165*LN(10))*(MAX((LN(10^(逐级计算!$Q$165/10)-1)+逐级计算!$Q$165*(FI21-逐级计算!$P$165)*LN(10)/10),0)+LN(1+EXP(-ABS((LN(10^(逐级计算!$Q$165/10)-1)+逐级计算!$Q$165*(FI21-逐级计算!$P$165)*LN(10)/10))))))),"")</f>
        <v>13.7940334318131</v>
      </c>
      <c r="FK21">
        <f>IF(AND(ISNUMBER(FJ21),逐级计算!$X$166&gt;-1),IF(逐级计算!$X$166=0,FJ21+逐级计算!$C$166,FJ21+逐级计算!$C$166-(10/(逐级计算!$Q$166*LN(10))*(MAX((LN(10^(逐级计算!$Q$166/10)-1)+逐级计算!$Q$166*(FJ21-逐级计算!$P$166)*LN(10)/10),0)+LN(1+EXP(-ABS((LN(10^(逐级计算!$Q$166/10)-1)+逐级计算!$Q$166*(FJ21-逐级计算!$P$166)*LN(10)/10))))))),"")</f>
        <v>13.7940334318131</v>
      </c>
      <c r="FL21">
        <f>IF(AND(ISNUMBER(FK21),逐级计算!$X$167&gt;-1),IF(逐级计算!$X$167=0,FK21+逐级计算!$C$167,FK21+逐级计算!$C$167-(10/(逐级计算!$Q$167*LN(10))*(MAX((LN(10^(逐级计算!$Q$167/10)-1)+逐级计算!$Q$167*(FK21-逐级计算!$P$167)*LN(10)/10),0)+LN(1+EXP(-ABS((LN(10^(逐级计算!$Q$167/10)-1)+逐级计算!$Q$167*(FK21-逐级计算!$P$167)*LN(10)/10))))))),"")</f>
        <v>13.7940334318131</v>
      </c>
      <c r="FM21">
        <f>IF(AND(ISNUMBER(FL21),逐级计算!$X$168&gt;-1),IF(逐级计算!$X$168=0,FL21+逐级计算!$C$168,FL21+逐级计算!$C$168-(10/(逐级计算!$Q$168*LN(10))*(MAX((LN(10^(逐级计算!$Q$168/10)-1)+逐级计算!$Q$168*(FL21-逐级计算!$P$168)*LN(10)/10),0)+LN(1+EXP(-ABS((LN(10^(逐级计算!$Q$168/10)-1)+逐级计算!$Q$168*(FL21-逐级计算!$P$168)*LN(10)/10))))))),"")</f>
        <v>13.7940334318131</v>
      </c>
      <c r="FN21">
        <f>IF(AND(ISNUMBER(FM21),逐级计算!$X$169&gt;-1),IF(逐级计算!$X$169=0,FM21+逐级计算!$C$169,FM21+逐级计算!$C$169-(10/(逐级计算!$Q$169*LN(10))*(MAX((LN(10^(逐级计算!$Q$169/10)-1)+逐级计算!$Q$169*(FM21-逐级计算!$P$169)*LN(10)/10),0)+LN(1+EXP(-ABS((LN(10^(逐级计算!$Q$169/10)-1)+逐级计算!$Q$169*(FM21-逐级计算!$P$169)*LN(10)/10))))))),"")</f>
        <v>13.7940334318131</v>
      </c>
      <c r="FO21">
        <f>IF(AND(ISNUMBER(FN21),逐级计算!$X$170&gt;-1),IF(逐级计算!$X$170=0,FN21+逐级计算!$C$170,FN21+逐级计算!$C$170-(10/(逐级计算!$Q$170*LN(10))*(MAX((LN(10^(逐级计算!$Q$170/10)-1)+逐级计算!$Q$170*(FN21-逐级计算!$P$170)*LN(10)/10),0)+LN(1+EXP(-ABS((LN(10^(逐级计算!$Q$170/10)-1)+逐级计算!$Q$170*(FN21-逐级计算!$P$170)*LN(10)/10))))))),"")</f>
        <v>13.7940334318131</v>
      </c>
      <c r="FP21">
        <f>IF(AND(ISNUMBER(FO21),逐级计算!$X$171&gt;-1),IF(逐级计算!$X$171=0,FO21+逐级计算!$C$171,FO21+逐级计算!$C$171-(10/(逐级计算!$Q$171*LN(10))*(MAX((LN(10^(逐级计算!$Q$171/10)-1)+逐级计算!$Q$171*(FO21-逐级计算!$P$171)*LN(10)/10),0)+LN(1+EXP(-ABS((LN(10^(逐级计算!$Q$171/10)-1)+逐级计算!$Q$171*(FO21-逐级计算!$P$171)*LN(10)/10))))))),"")</f>
        <v>13.7940334318131</v>
      </c>
      <c r="FQ21">
        <f>IF(AND(ISNUMBER(FP21),逐级计算!$X$172&gt;-1),IF(逐级计算!$X$172=0,FP21+逐级计算!$C$172,FP21+逐级计算!$C$172-(10/(逐级计算!$Q$172*LN(10))*(MAX((LN(10^(逐级计算!$Q$172/10)-1)+逐级计算!$Q$172*(FP21-逐级计算!$P$172)*LN(10)/10),0)+LN(1+EXP(-ABS((LN(10^(逐级计算!$Q$172/10)-1)+逐级计算!$Q$172*(FP21-逐级计算!$P$172)*LN(10)/10))))))),"")</f>
        <v>13.7940334318131</v>
      </c>
      <c r="FR21">
        <f>IF(AND(ISNUMBER(FQ21),逐级计算!$X$173&gt;-1),IF(逐级计算!$X$173=0,FQ21+逐级计算!$C$173,FQ21+逐级计算!$C$173-(10/(逐级计算!$Q$173*LN(10))*(MAX((LN(10^(逐级计算!$Q$173/10)-1)+逐级计算!$Q$173*(FQ21-逐级计算!$P$173)*LN(10)/10),0)+LN(1+EXP(-ABS((LN(10^(逐级计算!$Q$173/10)-1)+逐级计算!$Q$173*(FQ21-逐级计算!$P$173)*LN(10)/10))))))),"")</f>
        <v>13.7940334318131</v>
      </c>
      <c r="FS21">
        <f>IF(AND(ISNUMBER(FR21),逐级计算!$X$174&gt;-1),IF(逐级计算!$X$174=0,FR21+逐级计算!$C$174,FR21+逐级计算!$C$174-(10/(逐级计算!$Q$174*LN(10))*(MAX((LN(10^(逐级计算!$Q$174/10)-1)+逐级计算!$Q$174*(FR21-逐级计算!$P$174)*LN(10)/10),0)+LN(1+EXP(-ABS((LN(10^(逐级计算!$Q$174/10)-1)+逐级计算!$Q$174*(FR21-逐级计算!$P$174)*LN(10)/10))))))),"")</f>
        <v>13.7940334318131</v>
      </c>
      <c r="FT21">
        <f>IF(AND(ISNUMBER(FS21),逐级计算!$X$175&gt;-1),IF(逐级计算!$X$175=0,FS21+逐级计算!$C$175,FS21+逐级计算!$C$175-(10/(逐级计算!$Q$175*LN(10))*(MAX((LN(10^(逐级计算!$Q$175/10)-1)+逐级计算!$Q$175*(FS21-逐级计算!$P$175)*LN(10)/10),0)+LN(1+EXP(-ABS((LN(10^(逐级计算!$Q$175/10)-1)+逐级计算!$Q$175*(FS21-逐级计算!$P$175)*LN(10)/10))))))),"")</f>
        <v>13.7940334318131</v>
      </c>
      <c r="FU21">
        <f>IF(AND(ISNUMBER(FT21),逐级计算!$X$176&gt;-1),IF(逐级计算!$X$176=0,FT21+逐级计算!$C$176,FT21+逐级计算!$C$176-(10/(逐级计算!$Q$176*LN(10))*(MAX((LN(10^(逐级计算!$Q$176/10)-1)+逐级计算!$Q$176*(FT21-逐级计算!$P$176)*LN(10)/10),0)+LN(1+EXP(-ABS((LN(10^(逐级计算!$Q$176/10)-1)+逐级计算!$Q$176*(FT21-逐级计算!$P$176)*LN(10)/10))))))),"")</f>
        <v>13.7940334318131</v>
      </c>
      <c r="FV21">
        <f>IF(AND(ISNUMBER(FU21),逐级计算!$X$177&gt;-1),IF(逐级计算!$X$177=0,FU21+逐级计算!$C$177,FU21+逐级计算!$C$177-(10/(逐级计算!$Q$177*LN(10))*(MAX((LN(10^(逐级计算!$Q$177/10)-1)+逐级计算!$Q$177*(FU21-逐级计算!$P$177)*LN(10)/10),0)+LN(1+EXP(-ABS((LN(10^(逐级计算!$Q$177/10)-1)+逐级计算!$Q$177*(FU21-逐级计算!$P$177)*LN(10)/10))))))),"")</f>
        <v>13.7940334318131</v>
      </c>
      <c r="FW21">
        <f>IF(AND(ISNUMBER(FV21),逐级计算!$X$178&gt;-1),IF(逐级计算!$X$178=0,FV21+逐级计算!$C$178,FV21+逐级计算!$C$178-(10/(逐级计算!$Q$178*LN(10))*(MAX((LN(10^(逐级计算!$Q$178/10)-1)+逐级计算!$Q$178*(FV21-逐级计算!$P$178)*LN(10)/10),0)+LN(1+EXP(-ABS((LN(10^(逐级计算!$Q$178/10)-1)+逐级计算!$Q$178*(FV21-逐级计算!$P$178)*LN(10)/10))))))),"")</f>
        <v>13.7940334318131</v>
      </c>
      <c r="FX21">
        <f>IF(AND(ISNUMBER(FW21),逐级计算!$X$179&gt;-1),IF(逐级计算!$X$179=0,FW21+逐级计算!$C$179,FW21+逐级计算!$C$179-(10/(逐级计算!$Q$179*LN(10))*(MAX((LN(10^(逐级计算!$Q$179/10)-1)+逐级计算!$Q$179*(FW21-逐级计算!$P$179)*LN(10)/10),0)+LN(1+EXP(-ABS((LN(10^(逐级计算!$Q$179/10)-1)+逐级计算!$Q$179*(FW21-逐级计算!$P$179)*LN(10)/10))))))),"")</f>
        <v>13.7940334318131</v>
      </c>
      <c r="FY21">
        <f>IF(AND(ISNUMBER(FX21),逐级计算!$X$180&gt;-1),IF(逐级计算!$X$180=0,FX21+逐级计算!$C$180,FX21+逐级计算!$C$180-(10/(逐级计算!$Q$180*LN(10))*(MAX((LN(10^(逐级计算!$Q$180/10)-1)+逐级计算!$Q$180*(FX21-逐级计算!$P$180)*LN(10)/10),0)+LN(1+EXP(-ABS((LN(10^(逐级计算!$Q$180/10)-1)+逐级计算!$Q$180*(FX21-逐级计算!$P$180)*LN(10)/10))))))),"")</f>
        <v>13.7940334318131</v>
      </c>
      <c r="FZ21">
        <f>IF(AND(ISNUMBER(FY21),逐级计算!$X$181&gt;-1),IF(逐级计算!$X$181=0,FY21+逐级计算!$C$181,FY21+逐级计算!$C$181-(10/(逐级计算!$Q$181*LN(10))*(MAX((LN(10^(逐级计算!$Q$181/10)-1)+逐级计算!$Q$181*(FY21-逐级计算!$P$181)*LN(10)/10),0)+LN(1+EXP(-ABS((LN(10^(逐级计算!$Q$181/10)-1)+逐级计算!$Q$181*(FY21-逐级计算!$P$181)*LN(10)/10))))))),"")</f>
        <v>13.7940334318131</v>
      </c>
      <c r="GA21">
        <f>IF(AND(ISNUMBER(FZ21),逐级计算!$X$182&gt;-1),IF(逐级计算!$X$182=0,FZ21+逐级计算!$C$182,FZ21+逐级计算!$C$182-(10/(逐级计算!$Q$182*LN(10))*(MAX((LN(10^(逐级计算!$Q$182/10)-1)+逐级计算!$Q$182*(FZ21-逐级计算!$P$182)*LN(10)/10),0)+LN(1+EXP(-ABS((LN(10^(逐级计算!$Q$182/10)-1)+逐级计算!$Q$182*(FZ21-逐级计算!$P$182)*LN(10)/10))))))),"")</f>
        <v>13.7940334318131</v>
      </c>
      <c r="GB21">
        <f>IF(AND(ISNUMBER(GA21),逐级计算!$X$183&gt;-1),IF(逐级计算!$X$183=0,GA21+逐级计算!$C$183,GA21+逐级计算!$C$183-(10/(逐级计算!$Q$183*LN(10))*(MAX((LN(10^(逐级计算!$Q$183/10)-1)+逐级计算!$Q$183*(GA21-逐级计算!$P$183)*LN(10)/10),0)+LN(1+EXP(-ABS((LN(10^(逐级计算!$Q$183/10)-1)+逐级计算!$Q$183*(GA21-逐级计算!$P$183)*LN(10)/10))))))),"")</f>
        <v>13.7940334318131</v>
      </c>
      <c r="GC21">
        <f>IF(AND(ISNUMBER(GB21),逐级计算!$X$184&gt;-1),IF(逐级计算!$X$184=0,GB21+逐级计算!$C$184,GB21+逐级计算!$C$184-(10/(逐级计算!$Q$184*LN(10))*(MAX((LN(10^(逐级计算!$Q$184/10)-1)+逐级计算!$Q$184*(GB21-逐级计算!$P$184)*LN(10)/10),0)+LN(1+EXP(-ABS((LN(10^(逐级计算!$Q$184/10)-1)+逐级计算!$Q$184*(GB21-逐级计算!$P$184)*LN(10)/10))))))),"")</f>
        <v>13.7940334318131</v>
      </c>
      <c r="GD21">
        <f>IF(AND(ISNUMBER(GC21),逐级计算!$X$185&gt;-1),IF(逐级计算!$X$185=0,GC21+逐级计算!$C$185,GC21+逐级计算!$C$185-(10/(逐级计算!$Q$185*LN(10))*(MAX((LN(10^(逐级计算!$Q$185/10)-1)+逐级计算!$Q$185*(GC21-逐级计算!$P$185)*LN(10)/10),0)+LN(1+EXP(-ABS((LN(10^(逐级计算!$Q$185/10)-1)+逐级计算!$Q$185*(GC21-逐级计算!$P$185)*LN(10)/10))))))),"")</f>
        <v>13.7940334318131</v>
      </c>
      <c r="GE21">
        <f>IF(AND(ISNUMBER(GD21),逐级计算!$X$186&gt;-1),IF(逐级计算!$X$186=0,GD21+逐级计算!$C$186,GD21+逐级计算!$C$186-(10/(逐级计算!$Q$186*LN(10))*(MAX((LN(10^(逐级计算!$Q$186/10)-1)+逐级计算!$Q$186*(GD21-逐级计算!$P$186)*LN(10)/10),0)+LN(1+EXP(-ABS((LN(10^(逐级计算!$Q$186/10)-1)+逐级计算!$Q$186*(GD21-逐级计算!$P$186)*LN(10)/10))))))),"")</f>
        <v>13.7940334318131</v>
      </c>
      <c r="GF21">
        <f>IF(AND(ISNUMBER(GE21),逐级计算!$X$187&gt;-1),IF(逐级计算!$X$187=0,GE21+逐级计算!$C$187,GE21+逐级计算!$C$187-(10/(逐级计算!$Q$187*LN(10))*(MAX((LN(10^(逐级计算!$Q$187/10)-1)+逐级计算!$Q$187*(GE21-逐级计算!$P$187)*LN(10)/10),0)+LN(1+EXP(-ABS((LN(10^(逐级计算!$Q$187/10)-1)+逐级计算!$Q$187*(GE21-逐级计算!$P$187)*LN(10)/10))))))),"")</f>
        <v>13.7940334318131</v>
      </c>
      <c r="GG21">
        <f>IF(AND(ISNUMBER(GF21),逐级计算!$X$188&gt;-1),IF(逐级计算!$X$188=0,GF21+逐级计算!$C$188,GF21+逐级计算!$C$188-(10/(逐级计算!$Q$188*LN(10))*(MAX((LN(10^(逐级计算!$Q$188/10)-1)+逐级计算!$Q$188*(GF21-逐级计算!$P$188)*LN(10)/10),0)+LN(1+EXP(-ABS((LN(10^(逐级计算!$Q$188/10)-1)+逐级计算!$Q$188*(GF21-逐级计算!$P$188)*LN(10)/10))))))),"")</f>
        <v>13.7940334318131</v>
      </c>
      <c r="GH21">
        <f>IF(AND(ISNUMBER(GG21),逐级计算!$X$189&gt;-1),IF(逐级计算!$X$189=0,GG21+逐级计算!$C$189,GG21+逐级计算!$C$189-(10/(逐级计算!$Q$189*LN(10))*(MAX((LN(10^(逐级计算!$Q$189/10)-1)+逐级计算!$Q$189*(GG21-逐级计算!$P$189)*LN(10)/10),0)+LN(1+EXP(-ABS((LN(10^(逐级计算!$Q$189/10)-1)+逐级计算!$Q$189*(GG21-逐级计算!$P$189)*LN(10)/10))))))),"")</f>
        <v>13.7940334318131</v>
      </c>
      <c r="GI21">
        <f>IF(AND(ISNUMBER(GH21),逐级计算!$X$190&gt;-1),IF(逐级计算!$X$190=0,GH21+逐级计算!$C$190,GH21+逐级计算!$C$190-(10/(逐级计算!$Q$190*LN(10))*(MAX((LN(10^(逐级计算!$Q$190/10)-1)+逐级计算!$Q$190*(GH21-逐级计算!$P$190)*LN(10)/10),0)+LN(1+EXP(-ABS((LN(10^(逐级计算!$Q$190/10)-1)+逐级计算!$Q$190*(GH21-逐级计算!$P$190)*LN(10)/10))))))),"")</f>
        <v>13.7940334318131</v>
      </c>
      <c r="GJ21">
        <f>IF(AND(ISNUMBER(GI21),逐级计算!$X$191&gt;-1),IF(逐级计算!$X$191=0,GI21+逐级计算!$C$191,GI21+逐级计算!$C$191-(10/(逐级计算!$Q$191*LN(10))*(MAX((LN(10^(逐级计算!$Q$191/10)-1)+逐级计算!$Q$191*(GI21-逐级计算!$P$191)*LN(10)/10),0)+LN(1+EXP(-ABS((LN(10^(逐级计算!$Q$191/10)-1)+逐级计算!$Q$191*(GI21-逐级计算!$P$191)*LN(10)/10))))))),"")</f>
        <v>13.7940334318131</v>
      </c>
      <c r="GK21">
        <f>IF(AND(ISNUMBER(GJ21),逐级计算!$X$192&gt;-1),IF(逐级计算!$X$192=0,GJ21+逐级计算!$C$192,GJ21+逐级计算!$C$192-(10/(逐级计算!$Q$192*LN(10))*(MAX((LN(10^(逐级计算!$Q$192/10)-1)+逐级计算!$Q$192*(GJ21-逐级计算!$P$192)*LN(10)/10),0)+LN(1+EXP(-ABS((LN(10^(逐级计算!$Q$192/10)-1)+逐级计算!$Q$192*(GJ21-逐级计算!$P$192)*LN(10)/10))))))),"")</f>
        <v>13.7940334318131</v>
      </c>
      <c r="GL21">
        <f>IF(AND(ISNUMBER(GK21),逐级计算!$X$193&gt;-1),IF(逐级计算!$X$193=0,GK21+逐级计算!$C$193,GK21+逐级计算!$C$193-(10/(逐级计算!$Q$193*LN(10))*(MAX((LN(10^(逐级计算!$Q$193/10)-1)+逐级计算!$Q$193*(GK21-逐级计算!$P$193)*LN(10)/10),0)+LN(1+EXP(-ABS((LN(10^(逐级计算!$Q$193/10)-1)+逐级计算!$Q$193*(GK21-逐级计算!$P$193)*LN(10)/10))))))),"")</f>
        <v>13.7940334318131</v>
      </c>
      <c r="GM21">
        <f>IF(AND(ISNUMBER(GL21),逐级计算!$X$194&gt;-1),IF(逐级计算!$X$194=0,GL21+逐级计算!$C$194,GL21+逐级计算!$C$194-(10/(逐级计算!$Q$194*LN(10))*(MAX((LN(10^(逐级计算!$Q$194/10)-1)+逐级计算!$Q$194*(GL21-逐级计算!$P$194)*LN(10)/10),0)+LN(1+EXP(-ABS((LN(10^(逐级计算!$Q$194/10)-1)+逐级计算!$Q$194*(GL21-逐级计算!$P$194)*LN(10)/10))))))),"")</f>
        <v>13.7940334318131</v>
      </c>
      <c r="GN21">
        <f>IF(AND(ISNUMBER(GM21),逐级计算!$X$195&gt;-1),IF(逐级计算!$X$195=0,GM21+逐级计算!$C$195,GM21+逐级计算!$C$195-(10/(逐级计算!$Q$195*LN(10))*(MAX((LN(10^(逐级计算!$Q$195/10)-1)+逐级计算!$Q$195*(GM21-逐级计算!$P$195)*LN(10)/10),0)+LN(1+EXP(-ABS((LN(10^(逐级计算!$Q$195/10)-1)+逐级计算!$Q$195*(GM21-逐级计算!$P$195)*LN(10)/10))))))),"")</f>
        <v>13.7940334318131</v>
      </c>
      <c r="GO21">
        <f>IF(AND(ISNUMBER(GN21),逐级计算!$X$196&gt;-1),IF(逐级计算!$X$196=0,GN21+逐级计算!$C$196,GN21+逐级计算!$C$196-(10/(逐级计算!$Q$196*LN(10))*(MAX((LN(10^(逐级计算!$Q$196/10)-1)+逐级计算!$Q$196*(GN21-逐级计算!$P$196)*LN(10)/10),0)+LN(1+EXP(-ABS((LN(10^(逐级计算!$Q$196/10)-1)+逐级计算!$Q$196*(GN21-逐级计算!$P$196)*LN(10)/10))))))),"")</f>
        <v>13.7940334318131</v>
      </c>
      <c r="GP21">
        <f>IF(AND(ISNUMBER(GO21),逐级计算!$X$197&gt;-1),IF(逐级计算!$X$197=0,GO21+逐级计算!$C$197,GO21+逐级计算!$C$197-(10/(逐级计算!$Q$197*LN(10))*(MAX((LN(10^(逐级计算!$Q$197/10)-1)+逐级计算!$Q$197*(GO21-逐级计算!$P$197)*LN(10)/10),0)+LN(1+EXP(-ABS((LN(10^(逐级计算!$Q$197/10)-1)+逐级计算!$Q$197*(GO21-逐级计算!$P$197)*LN(10)/10))))))),"")</f>
        <v>13.7940334318131</v>
      </c>
      <c r="GQ21">
        <f>IF(AND(ISNUMBER(GP21),逐级计算!$X$198&gt;-1),IF(逐级计算!$X$198=0,GP21+逐级计算!$C$198,GP21+逐级计算!$C$198-(10/(逐级计算!$Q$198*LN(10))*(MAX((LN(10^(逐级计算!$Q$198/10)-1)+逐级计算!$Q$198*(GP21-逐级计算!$P$198)*LN(10)/10),0)+LN(1+EXP(-ABS((LN(10^(逐级计算!$Q$198/10)-1)+逐级计算!$Q$198*(GP21-逐级计算!$P$198)*LN(10)/10))))))),"")</f>
        <v>13.7940334318131</v>
      </c>
      <c r="GR21">
        <f>IF(AND(ISNUMBER(GQ21),逐级计算!$X$199&gt;-1),IF(逐级计算!$X$199=0,GQ21+逐级计算!$C$199,GQ21+逐级计算!$C$199-(10/(逐级计算!$Q$199*LN(10))*(MAX((LN(10^(逐级计算!$Q$199/10)-1)+逐级计算!$Q$199*(GQ21-逐级计算!$P$199)*LN(10)/10),0)+LN(1+EXP(-ABS((LN(10^(逐级计算!$Q$199/10)-1)+逐级计算!$Q$199*(GQ21-逐级计算!$P$199)*LN(10)/10))))))),"")</f>
        <v>13.7940334318131</v>
      </c>
      <c r="GS21">
        <f>IF(AND(ISNUMBER(GR21),逐级计算!$X$200&gt;-1),IF(逐级计算!$X$200=0,GR21+逐级计算!$C$200,GR21+逐级计算!$C$200-(10/(逐级计算!$Q$200*LN(10))*(MAX((LN(10^(逐级计算!$Q$200/10)-1)+逐级计算!$Q$200*(GR21-逐级计算!$P$200)*LN(10)/10),0)+LN(1+EXP(-ABS((LN(10^(逐级计算!$Q$200/10)-1)+逐级计算!$Q$200*(GR21-逐级计算!$P$200)*LN(10)/10))))))),"")</f>
        <v>13.7940334318131</v>
      </c>
      <c r="GT21">
        <f>IF(AND(ISNUMBER(GS21),逐级计算!$X$201&gt;-1),IF(逐级计算!$X$201=0,GS21+逐级计算!$C$201,GS21+逐级计算!$C$201-(10/(逐级计算!$Q$201*LN(10))*(MAX((LN(10^(逐级计算!$Q$201/10)-1)+逐级计算!$Q$201*(GS21-逐级计算!$P$201)*LN(10)/10),0)+LN(1+EXP(-ABS((LN(10^(逐级计算!$Q$201/10)-1)+逐级计算!$Q$201*(GS21-逐级计算!$P$201)*LN(10)/10))))))),"")</f>
        <v>13.7940334318131</v>
      </c>
      <c r="GU21">
        <f>IF(AND(ISNUMBER(GT21),逐级计算!$X$202&gt;-1),IF(逐级计算!$X$202=0,GT21+逐级计算!$C$202,GT21+逐级计算!$C$202-(10/(逐级计算!$Q$202*LN(10))*(MAX((LN(10^(逐级计算!$Q$202/10)-1)+逐级计算!$Q$202*(GT21-逐级计算!$P$202)*LN(10)/10),0)+LN(1+EXP(-ABS((LN(10^(逐级计算!$Q$202/10)-1)+逐级计算!$Q$202*(GT21-逐级计算!$P$202)*LN(10)/10))))))),"")</f>
        <v>13.7940334318131</v>
      </c>
      <c r="GV21">
        <f>IF(AND(ISNUMBER(GU21),逐级计算!$X$203&gt;-1),IF(逐级计算!$X$203=0,GU21+逐级计算!$C$203,GU21+逐级计算!$C$203-(10/(逐级计算!$Q$203*LN(10))*(MAX((LN(10^(逐级计算!$Q$203/10)-1)+逐级计算!$Q$203*(GU21-逐级计算!$P$203)*LN(10)/10),0)+LN(1+EXP(-ABS((LN(10^(逐级计算!$Q$203/10)-1)+逐级计算!$Q$203*(GU21-逐级计算!$P$203)*LN(10)/10))))))),"")</f>
        <v>13.7940334318131</v>
      </c>
      <c r="GW21">
        <f t="shared" si="2"/>
        <v>-5.198974609375</v>
      </c>
    </row>
    <row r="22" spans="1:205">
      <c r="A22">
        <v>15</v>
      </c>
      <c r="B22">
        <f t="shared" si="1"/>
        <v>-5.2117919921875</v>
      </c>
      <c r="C22">
        <f t="shared" si="0"/>
        <v>-5.20858764648437</v>
      </c>
      <c r="D22">
        <f>IF(AND(ISNUMBER(C22),ISNUMBER(逐级计算!$E$203),ISNUMBER(GV22)),C22+逐级计算!$E$203-GV22,"")</f>
        <v>0.999400734716261</v>
      </c>
      <c r="E22">
        <f>IF(AND(ISNUMBER(C22),逐级计算!$X$4&gt;-1),IF(逐级计算!$X$4=0,C22+逐级计算!$C$4,C22+逐级计算!$C$4-(10/(逐级计算!$Q$4*LN(10))*(MAX((LN(10^(逐级计算!$Q$4/10)-1)+逐级计算!$Q$4*(C22-逐级计算!$P$4)*LN(10)/10),0)+LN(1+EXP(-ABS((LN(10^(逐级计算!$Q$4/10)-1)+逐级计算!$Q$4*(C22-逐级计算!$P$4)*LN(10)/10))))))),"")</f>
        <v>4.67899758244447</v>
      </c>
      <c r="F22">
        <f>IF(AND(ISNUMBER(E22),逐级计算!$X$5&gt;-1),IF(逐级计算!$X$5=0,E22+逐级计算!$C$5,E22+逐级计算!$C$5-(10/(逐级计算!$Q$5*LN(10))*(MAX((LN(10^(逐级计算!$Q$5/10)-1)+逐级计算!$Q$5*(E22-逐级计算!$P$5)*LN(10)/10),0)+LN(1+EXP(-ABS((LN(10^(逐级计算!$Q$5/10)-1)+逐级计算!$Q$5*(E22-逐级计算!$P$5)*LN(10)/10))))))),"")</f>
        <v>13.7920116187994</v>
      </c>
      <c r="G22">
        <f>IF(AND(ISNUMBER(F22),逐级计算!$X$6&gt;-1),IF(逐级计算!$X$6=0,F22+逐级计算!$C$6,F22+逐级计算!$C$6-(10/(逐级计算!$Q$6*LN(10))*(MAX((LN(10^(逐级计算!$Q$6/10)-1)+逐级计算!$Q$6*(F22-逐级计算!$P$6)*LN(10)/10),0)+LN(1+EXP(-ABS((LN(10^(逐级计算!$Q$6/10)-1)+逐级计算!$Q$6*(F22-逐级计算!$P$6)*LN(10)/10))))))),"")</f>
        <v>13.7920116187994</v>
      </c>
      <c r="H22">
        <f>IF(AND(ISNUMBER(G22),逐级计算!$X$7&gt;-1),IF(逐级计算!$X$7=0,G22+逐级计算!$C$7,G22+逐级计算!$C$7-(10/(逐级计算!$Q$7*LN(10))*(MAX((LN(10^(逐级计算!$Q$7/10)-1)+逐级计算!$Q$7*(G22-逐级计算!$P$7)*LN(10)/10),0)+LN(1+EXP(-ABS((LN(10^(逐级计算!$Q$7/10)-1)+逐级计算!$Q$7*(G22-逐级计算!$P$7)*LN(10)/10))))))),"")</f>
        <v>13.7920116187994</v>
      </c>
      <c r="I22">
        <f>IF(AND(ISNUMBER(H22),逐级计算!$X$8&gt;-1),IF(逐级计算!$X$8=0,H22+逐级计算!$C$8,H22+逐级计算!$C$8-(10/(逐级计算!$Q$8*LN(10))*(MAX((LN(10^(逐级计算!$Q$8/10)-1)+逐级计算!$Q$8*(H22-逐级计算!$P$8)*LN(10)/10),0)+LN(1+EXP(-ABS((LN(10^(逐级计算!$Q$8/10)-1)+逐级计算!$Q$8*(H22-逐级计算!$P$8)*LN(10)/10))))))),"")</f>
        <v>13.7920116187994</v>
      </c>
      <c r="J22">
        <f>IF(AND(ISNUMBER(I22),逐级计算!$X$9&gt;-1),IF(逐级计算!$X$9=0,I22+逐级计算!$C$9,I22+逐级计算!$C$9-(10/(逐级计算!$Q$9*LN(10))*(MAX((LN(10^(逐级计算!$Q$9/10)-1)+逐级计算!$Q$9*(I22-逐级计算!$P$9)*LN(10)/10),0)+LN(1+EXP(-ABS((LN(10^(逐级计算!$Q$9/10)-1)+逐级计算!$Q$9*(I22-逐级计算!$P$9)*LN(10)/10))))))),"")</f>
        <v>13.7920116187994</v>
      </c>
      <c r="K22">
        <f>IF(AND(ISNUMBER(J22),逐级计算!$X$10&gt;-1),IF(逐级计算!$X$10=0,J22+逐级计算!$C$10,J22+逐级计算!$C$10-(10/(逐级计算!$Q$10*LN(10))*(MAX((LN(10^(逐级计算!$Q$10/10)-1)+逐级计算!$Q$10*(J22-逐级计算!$P$10)*LN(10)/10),0)+LN(1+EXP(-ABS((LN(10^(逐级计算!$Q$10/10)-1)+逐级计算!$Q$10*(J22-逐级计算!$P$10)*LN(10)/10))))))),"")</f>
        <v>13.7920116187994</v>
      </c>
      <c r="L22">
        <f>IF(AND(ISNUMBER(K22),逐级计算!$X$11&gt;-1),IF(逐级计算!$X$11=0,K22+逐级计算!$C$11,K22+逐级计算!$C$11-(10/(逐级计算!$Q$11*LN(10))*(MAX((LN(10^(逐级计算!$Q$11/10)-1)+逐级计算!$Q$11*(K22-逐级计算!$P$11)*LN(10)/10),0)+LN(1+EXP(-ABS((LN(10^(逐级计算!$Q$11/10)-1)+逐级计算!$Q$11*(K22-逐级计算!$P$11)*LN(10)/10))))))),"")</f>
        <v>13.7920116187994</v>
      </c>
      <c r="M22">
        <f>IF(AND(ISNUMBER(L22),逐级计算!$X$12&gt;-1),IF(逐级计算!$X$12=0,L22+逐级计算!$C$12,L22+逐级计算!$C$12-(10/(逐级计算!$Q$12*LN(10))*(MAX((LN(10^(逐级计算!$Q$12/10)-1)+逐级计算!$Q$12*(L22-逐级计算!$P$12)*LN(10)/10),0)+LN(1+EXP(-ABS((LN(10^(逐级计算!$Q$12/10)-1)+逐级计算!$Q$12*(L22-逐级计算!$P$12)*LN(10)/10))))))),"")</f>
        <v>13.7920116187994</v>
      </c>
      <c r="N22">
        <f>IF(AND(ISNUMBER(M22),逐级计算!$X$13&gt;-1),IF(逐级计算!$X$13=0,M22+逐级计算!$C$13,M22+逐级计算!$C$13-(10/(逐级计算!$Q$13*LN(10))*(MAX((LN(10^(逐级计算!$Q$13/10)-1)+逐级计算!$Q$13*(M22-逐级计算!$P$13)*LN(10)/10),0)+LN(1+EXP(-ABS((LN(10^(逐级计算!$Q$13/10)-1)+逐级计算!$Q$13*(M22-逐级计算!$P$13)*LN(10)/10))))))),"")</f>
        <v>13.7920116187994</v>
      </c>
      <c r="O22">
        <f>IF(AND(ISNUMBER(N22),逐级计算!$X$14&gt;-1),IF(逐级计算!$X$14=0,N22+逐级计算!$C$14,N22+逐级计算!$C$14-(10/(逐级计算!$Q$14*LN(10))*(MAX((LN(10^(逐级计算!$Q$14/10)-1)+逐级计算!$Q$14*(N22-逐级计算!$P$14)*LN(10)/10),0)+LN(1+EXP(-ABS((LN(10^(逐级计算!$Q$14/10)-1)+逐级计算!$Q$14*(N22-逐级计算!$P$14)*LN(10)/10))))))),"")</f>
        <v>13.7920116187994</v>
      </c>
      <c r="P22">
        <f>IF(AND(ISNUMBER(O22),逐级计算!$X$15&gt;-1),IF(逐级计算!$X$15=0,O22+逐级计算!$C$15,O22+逐级计算!$C$15-(10/(逐级计算!$Q$15*LN(10))*(MAX((LN(10^(逐级计算!$Q$15/10)-1)+逐级计算!$Q$15*(O22-逐级计算!$P$15)*LN(10)/10),0)+LN(1+EXP(-ABS((LN(10^(逐级计算!$Q$15/10)-1)+逐级计算!$Q$15*(O22-逐级计算!$P$15)*LN(10)/10))))))),"")</f>
        <v>13.7920116187994</v>
      </c>
      <c r="Q22">
        <f>IF(AND(ISNUMBER(P22),逐级计算!$X$16&gt;-1),IF(逐级计算!$X$16=0,P22+逐级计算!$C$16,P22+逐级计算!$C$16-(10/(逐级计算!$Q$16*LN(10))*(MAX((LN(10^(逐级计算!$Q$16/10)-1)+逐级计算!$Q$16*(P22-逐级计算!$P$16)*LN(10)/10),0)+LN(1+EXP(-ABS((LN(10^(逐级计算!$Q$16/10)-1)+逐级计算!$Q$16*(P22-逐级计算!$P$16)*LN(10)/10))))))),"")</f>
        <v>13.7920116187994</v>
      </c>
      <c r="R22">
        <f>IF(AND(ISNUMBER(Q22),逐级计算!$X$17&gt;-1),IF(逐级计算!$X$17=0,Q22+逐级计算!$C$17,Q22+逐级计算!$C$17-(10/(逐级计算!$Q$17*LN(10))*(MAX((LN(10^(逐级计算!$Q$17/10)-1)+逐级计算!$Q$17*(Q22-逐级计算!$P$17)*LN(10)/10),0)+LN(1+EXP(-ABS((LN(10^(逐级计算!$Q$17/10)-1)+逐级计算!$Q$17*(Q22-逐级计算!$P$17)*LN(10)/10))))))),"")</f>
        <v>13.7920116187994</v>
      </c>
      <c r="S22">
        <f>IF(AND(ISNUMBER(R22),逐级计算!$X$18&gt;-1),IF(逐级计算!$X$18=0,R22+逐级计算!$C$18,R22+逐级计算!$C$18-(10/(逐级计算!$Q$18*LN(10))*(MAX((LN(10^(逐级计算!$Q$18/10)-1)+逐级计算!$Q$18*(R22-逐级计算!$P$18)*LN(10)/10),0)+LN(1+EXP(-ABS((LN(10^(逐级计算!$Q$18/10)-1)+逐级计算!$Q$18*(R22-逐级计算!$P$18)*LN(10)/10))))))),"")</f>
        <v>13.7920116187994</v>
      </c>
      <c r="T22">
        <f>IF(AND(ISNUMBER(S22),逐级计算!$X$19&gt;-1),IF(逐级计算!$X$19=0,S22+逐级计算!$C$19,S22+逐级计算!$C$19-(10/(逐级计算!$Q$19*LN(10))*(MAX((LN(10^(逐级计算!$Q$19/10)-1)+逐级计算!$Q$19*(S22-逐级计算!$P$19)*LN(10)/10),0)+LN(1+EXP(-ABS((LN(10^(逐级计算!$Q$19/10)-1)+逐级计算!$Q$19*(S22-逐级计算!$P$19)*LN(10)/10))))))),"")</f>
        <v>13.7920116187994</v>
      </c>
      <c r="U22">
        <f>IF(AND(ISNUMBER(T22),逐级计算!$X$20&gt;-1),IF(逐级计算!$X$20=0,T22+逐级计算!$C$20,T22+逐级计算!$C$20-(10/(逐级计算!$Q$20*LN(10))*(MAX((LN(10^(逐级计算!$Q$20/10)-1)+逐级计算!$Q$20*(T22-逐级计算!$P$20)*LN(10)/10),0)+LN(1+EXP(-ABS((LN(10^(逐级计算!$Q$20/10)-1)+逐级计算!$Q$20*(T22-逐级计算!$P$20)*LN(10)/10))))))),"")</f>
        <v>13.7920116187994</v>
      </c>
      <c r="V22">
        <f>IF(AND(ISNUMBER(U22),逐级计算!$X$21&gt;-1),IF(逐级计算!$X$21=0,U22+逐级计算!$C$21,U22+逐级计算!$C$21-(10/(逐级计算!$Q$21*LN(10))*(MAX((LN(10^(逐级计算!$Q$21/10)-1)+逐级计算!$Q$21*(U22-逐级计算!$P$21)*LN(10)/10),0)+LN(1+EXP(-ABS((LN(10^(逐级计算!$Q$21/10)-1)+逐级计算!$Q$21*(U22-逐级计算!$P$21)*LN(10)/10))))))),"")</f>
        <v>13.7920116187994</v>
      </c>
      <c r="W22">
        <f>IF(AND(ISNUMBER(V22),逐级计算!$X$22&gt;-1),IF(逐级计算!$X$22=0,V22+逐级计算!$C$22,V22+逐级计算!$C$22-(10/(逐级计算!$Q$22*LN(10))*(MAX((LN(10^(逐级计算!$Q$22/10)-1)+逐级计算!$Q$22*(V22-逐级计算!$P$22)*LN(10)/10),0)+LN(1+EXP(-ABS((LN(10^(逐级计算!$Q$22/10)-1)+逐级计算!$Q$22*(V22-逐级计算!$P$22)*LN(10)/10))))))),"")</f>
        <v>13.7920116187994</v>
      </c>
      <c r="X22">
        <f>IF(AND(ISNUMBER(W22),逐级计算!$X$23&gt;-1),IF(逐级计算!$X$23=0,W22+逐级计算!$C$23,W22+逐级计算!$C$23-(10/(逐级计算!$Q$23*LN(10))*(MAX((LN(10^(逐级计算!$Q$23/10)-1)+逐级计算!$Q$23*(W22-逐级计算!$P$23)*LN(10)/10),0)+LN(1+EXP(-ABS((LN(10^(逐级计算!$Q$23/10)-1)+逐级计算!$Q$23*(W22-逐级计算!$P$23)*LN(10)/10))))))),"")</f>
        <v>13.7920116187994</v>
      </c>
      <c r="Y22">
        <f>IF(AND(ISNUMBER(X22),逐级计算!$X$24&gt;-1),IF(逐级计算!$X$24=0,X22+逐级计算!$C$24,X22+逐级计算!$C$24-(10/(逐级计算!$Q$24*LN(10))*(MAX((LN(10^(逐级计算!$Q$24/10)-1)+逐级计算!$Q$24*(X22-逐级计算!$P$24)*LN(10)/10),0)+LN(1+EXP(-ABS((LN(10^(逐级计算!$Q$24/10)-1)+逐级计算!$Q$24*(X22-逐级计算!$P$24)*LN(10)/10))))))),"")</f>
        <v>13.7920116187994</v>
      </c>
      <c r="Z22">
        <f>IF(AND(ISNUMBER(Y22),逐级计算!$X$25&gt;-1),IF(逐级计算!$X$25=0,Y22+逐级计算!$C$25,Y22+逐级计算!$C$25-(10/(逐级计算!$Q$25*LN(10))*(MAX((LN(10^(逐级计算!$Q$25/10)-1)+逐级计算!$Q$25*(Y22-逐级计算!$P$25)*LN(10)/10),0)+LN(1+EXP(-ABS((LN(10^(逐级计算!$Q$25/10)-1)+逐级计算!$Q$25*(Y22-逐级计算!$P$25)*LN(10)/10))))))),"")</f>
        <v>13.7920116187994</v>
      </c>
      <c r="AA22">
        <f>IF(AND(ISNUMBER(Z22),逐级计算!$X$26&gt;-1),IF(逐级计算!$X$26=0,Z22+逐级计算!$C$26,Z22+逐级计算!$C$26-(10/(逐级计算!$Q$26*LN(10))*(MAX((LN(10^(逐级计算!$Q$26/10)-1)+逐级计算!$Q$26*(Z22-逐级计算!$P$26)*LN(10)/10),0)+LN(1+EXP(-ABS((LN(10^(逐级计算!$Q$26/10)-1)+逐级计算!$Q$26*(Z22-逐级计算!$P$26)*LN(10)/10))))))),"")</f>
        <v>13.7920116187994</v>
      </c>
      <c r="AB22">
        <f>IF(AND(ISNUMBER(AA22),逐级计算!$X$27&gt;-1),IF(逐级计算!$X$27=0,AA22+逐级计算!$C$27,AA22+逐级计算!$C$27-(10/(逐级计算!$Q$27*LN(10))*(MAX((LN(10^(逐级计算!$Q$27/10)-1)+逐级计算!$Q$27*(AA22-逐级计算!$P$27)*LN(10)/10),0)+LN(1+EXP(-ABS((LN(10^(逐级计算!$Q$27/10)-1)+逐级计算!$Q$27*(AA22-逐级计算!$P$27)*LN(10)/10))))))),"")</f>
        <v>13.7920116187994</v>
      </c>
      <c r="AC22">
        <f>IF(AND(ISNUMBER(AB22),逐级计算!$X$28&gt;-1),IF(逐级计算!$X$28=0,AB22+逐级计算!$C$28,AB22+逐级计算!$C$28-(10/(逐级计算!$Q$28*LN(10))*(MAX((LN(10^(逐级计算!$Q$28/10)-1)+逐级计算!$Q$28*(AB22-逐级计算!$P$28)*LN(10)/10),0)+LN(1+EXP(-ABS((LN(10^(逐级计算!$Q$28/10)-1)+逐级计算!$Q$28*(AB22-逐级计算!$P$28)*LN(10)/10))))))),"")</f>
        <v>13.7920116187994</v>
      </c>
      <c r="AD22">
        <f>IF(AND(ISNUMBER(AC22),逐级计算!$X$29&gt;-1),IF(逐级计算!$X$29=0,AC22+逐级计算!$C$29,AC22+逐级计算!$C$29-(10/(逐级计算!$Q$29*LN(10))*(MAX((LN(10^(逐级计算!$Q$29/10)-1)+逐级计算!$Q$29*(AC22-逐级计算!$P$29)*LN(10)/10),0)+LN(1+EXP(-ABS((LN(10^(逐级计算!$Q$29/10)-1)+逐级计算!$Q$29*(AC22-逐级计算!$P$29)*LN(10)/10))))))),"")</f>
        <v>13.7920116187994</v>
      </c>
      <c r="AE22">
        <f>IF(AND(ISNUMBER(AD22),逐级计算!$X$30&gt;-1),IF(逐级计算!$X$30=0,AD22+逐级计算!$C$30,AD22+逐级计算!$C$30-(10/(逐级计算!$Q$30*LN(10))*(MAX((LN(10^(逐级计算!$Q$30/10)-1)+逐级计算!$Q$30*(AD22-逐级计算!$P$30)*LN(10)/10),0)+LN(1+EXP(-ABS((LN(10^(逐级计算!$Q$30/10)-1)+逐级计算!$Q$30*(AD22-逐级计算!$P$30)*LN(10)/10))))))),"")</f>
        <v>13.7920116187994</v>
      </c>
      <c r="AF22">
        <f>IF(AND(ISNUMBER(AE22),逐级计算!$X$31&gt;-1),IF(逐级计算!$X$31=0,AE22+逐级计算!$C$31,AE22+逐级计算!$C$31-(10/(逐级计算!$Q$31*LN(10))*(MAX((LN(10^(逐级计算!$Q$31/10)-1)+逐级计算!$Q$31*(AE22-逐级计算!$P$31)*LN(10)/10),0)+LN(1+EXP(-ABS((LN(10^(逐级计算!$Q$31/10)-1)+逐级计算!$Q$31*(AE22-逐级计算!$P$31)*LN(10)/10))))))),"")</f>
        <v>13.7920116187994</v>
      </c>
      <c r="AG22">
        <f>IF(AND(ISNUMBER(AF22),逐级计算!$X$32&gt;-1),IF(逐级计算!$X$32=0,AF22+逐级计算!$C$32,AF22+逐级计算!$C$32-(10/(逐级计算!$Q$32*LN(10))*(MAX((LN(10^(逐级计算!$Q$32/10)-1)+逐级计算!$Q$32*(AF22-逐级计算!$P$32)*LN(10)/10),0)+LN(1+EXP(-ABS((LN(10^(逐级计算!$Q$32/10)-1)+逐级计算!$Q$32*(AF22-逐级计算!$P$32)*LN(10)/10))))))),"")</f>
        <v>13.7920116187994</v>
      </c>
      <c r="AH22">
        <f>IF(AND(ISNUMBER(AG22),逐级计算!$X$33&gt;-1),IF(逐级计算!$X$33=0,AG22+逐级计算!$C$33,AG22+逐级计算!$C$33-(10/(逐级计算!$Q$33*LN(10))*(MAX((LN(10^(逐级计算!$Q$33/10)-1)+逐级计算!$Q$33*(AG22-逐级计算!$P$33)*LN(10)/10),0)+LN(1+EXP(-ABS((LN(10^(逐级计算!$Q$33/10)-1)+逐级计算!$Q$33*(AG22-逐级计算!$P$33)*LN(10)/10))))))),"")</f>
        <v>13.7920116187994</v>
      </c>
      <c r="AI22">
        <f>IF(AND(ISNUMBER(AH22),逐级计算!$X$34&gt;-1),IF(逐级计算!$X$34=0,AH22+逐级计算!$C$34,AH22+逐级计算!$C$34-(10/(逐级计算!$Q$34*LN(10))*(MAX((LN(10^(逐级计算!$Q$34/10)-1)+逐级计算!$Q$34*(AH22-逐级计算!$P$34)*LN(10)/10),0)+LN(1+EXP(-ABS((LN(10^(逐级计算!$Q$34/10)-1)+逐级计算!$Q$34*(AH22-逐级计算!$P$34)*LN(10)/10))))))),"")</f>
        <v>13.7920116187994</v>
      </c>
      <c r="AJ22">
        <f>IF(AND(ISNUMBER(AI22),逐级计算!$X$35&gt;-1),IF(逐级计算!$X$35=0,AI22+逐级计算!$C$35,AI22+逐级计算!$C$35-(10/(逐级计算!$Q$35*LN(10))*(MAX((LN(10^(逐级计算!$Q$35/10)-1)+逐级计算!$Q$35*(AI22-逐级计算!$P$35)*LN(10)/10),0)+LN(1+EXP(-ABS((LN(10^(逐级计算!$Q$35/10)-1)+逐级计算!$Q$35*(AI22-逐级计算!$P$35)*LN(10)/10))))))),"")</f>
        <v>13.7920116187994</v>
      </c>
      <c r="AK22">
        <f>IF(AND(ISNUMBER(AJ22),逐级计算!$X$36&gt;-1),IF(逐级计算!$X$36=0,AJ22+逐级计算!$C$36,AJ22+逐级计算!$C$36-(10/(逐级计算!$Q$36*LN(10))*(MAX((LN(10^(逐级计算!$Q$36/10)-1)+逐级计算!$Q$36*(AJ22-逐级计算!$P$36)*LN(10)/10),0)+LN(1+EXP(-ABS((LN(10^(逐级计算!$Q$36/10)-1)+逐级计算!$Q$36*(AJ22-逐级计算!$P$36)*LN(10)/10))))))),"")</f>
        <v>13.7920116187994</v>
      </c>
      <c r="AL22">
        <f>IF(AND(ISNUMBER(AK22),逐级计算!$X$37&gt;-1),IF(逐级计算!$X$37=0,AK22+逐级计算!$C$37,AK22+逐级计算!$C$37-(10/(逐级计算!$Q$37*LN(10))*(MAX((LN(10^(逐级计算!$Q$37/10)-1)+逐级计算!$Q$37*(AK22-逐级计算!$P$37)*LN(10)/10),0)+LN(1+EXP(-ABS((LN(10^(逐级计算!$Q$37/10)-1)+逐级计算!$Q$37*(AK22-逐级计算!$P$37)*LN(10)/10))))))),"")</f>
        <v>13.7920116187994</v>
      </c>
      <c r="AM22">
        <f>IF(AND(ISNUMBER(AL22),逐级计算!$X$38&gt;-1),IF(逐级计算!$X$38=0,AL22+逐级计算!$C$38,AL22+逐级计算!$C$38-(10/(逐级计算!$Q$38*LN(10))*(MAX((LN(10^(逐级计算!$Q$38/10)-1)+逐级计算!$Q$38*(AL22-逐级计算!$P$38)*LN(10)/10),0)+LN(1+EXP(-ABS((LN(10^(逐级计算!$Q$38/10)-1)+逐级计算!$Q$38*(AL22-逐级计算!$P$38)*LN(10)/10))))))),"")</f>
        <v>13.7920116187994</v>
      </c>
      <c r="AN22">
        <f>IF(AND(ISNUMBER(AM22),逐级计算!$X$39&gt;-1),IF(逐级计算!$X$39=0,AM22+逐级计算!$C$39,AM22+逐级计算!$C$39-(10/(逐级计算!$Q$39*LN(10))*(MAX((LN(10^(逐级计算!$Q$39/10)-1)+逐级计算!$Q$39*(AM22-逐级计算!$P$39)*LN(10)/10),0)+LN(1+EXP(-ABS((LN(10^(逐级计算!$Q$39/10)-1)+逐级计算!$Q$39*(AM22-逐级计算!$P$39)*LN(10)/10))))))),"")</f>
        <v>13.7920116187994</v>
      </c>
      <c r="AO22">
        <f>IF(AND(ISNUMBER(AN22),逐级计算!$X$40&gt;-1),IF(逐级计算!$X$40=0,AN22+逐级计算!$C$40,AN22+逐级计算!$C$40-(10/(逐级计算!$Q$40*LN(10))*(MAX((LN(10^(逐级计算!$Q$40/10)-1)+逐级计算!$Q$40*(AN22-逐级计算!$P$40)*LN(10)/10),0)+LN(1+EXP(-ABS((LN(10^(逐级计算!$Q$40/10)-1)+逐级计算!$Q$40*(AN22-逐级计算!$P$40)*LN(10)/10))))))),"")</f>
        <v>13.7920116187994</v>
      </c>
      <c r="AP22">
        <f>IF(AND(ISNUMBER(AO22),逐级计算!$X$41&gt;-1),IF(逐级计算!$X$41=0,AO22+逐级计算!$C$41,AO22+逐级计算!$C$41-(10/(逐级计算!$Q$41*LN(10))*(MAX((LN(10^(逐级计算!$Q$41/10)-1)+逐级计算!$Q$41*(AO22-逐级计算!$P$41)*LN(10)/10),0)+LN(1+EXP(-ABS((LN(10^(逐级计算!$Q$41/10)-1)+逐级计算!$Q$41*(AO22-逐级计算!$P$41)*LN(10)/10))))))),"")</f>
        <v>13.7920116187994</v>
      </c>
      <c r="AQ22">
        <f>IF(AND(ISNUMBER(AP22),逐级计算!$X$42&gt;-1),IF(逐级计算!$X$42=0,AP22+逐级计算!$C$42,AP22+逐级计算!$C$42-(10/(逐级计算!$Q$42*LN(10))*(MAX((LN(10^(逐级计算!$Q$42/10)-1)+逐级计算!$Q$42*(AP22-逐级计算!$P$42)*LN(10)/10),0)+LN(1+EXP(-ABS((LN(10^(逐级计算!$Q$42/10)-1)+逐级计算!$Q$42*(AP22-逐级计算!$P$42)*LN(10)/10))))))),"")</f>
        <v>13.7920116187994</v>
      </c>
      <c r="AR22">
        <f>IF(AND(ISNUMBER(AQ22),逐级计算!$X$43&gt;-1),IF(逐级计算!$X$43=0,AQ22+逐级计算!$C$43,AQ22+逐级计算!$C$43-(10/(逐级计算!$Q$43*LN(10))*(MAX((LN(10^(逐级计算!$Q$43/10)-1)+逐级计算!$Q$43*(AQ22-逐级计算!$P$43)*LN(10)/10),0)+LN(1+EXP(-ABS((LN(10^(逐级计算!$Q$43/10)-1)+逐级计算!$Q$43*(AQ22-逐级计算!$P$43)*LN(10)/10))))))),"")</f>
        <v>13.7920116187994</v>
      </c>
      <c r="AS22">
        <f>IF(AND(ISNUMBER(AR22),逐级计算!$X$44&gt;-1),IF(逐级计算!$X$44=0,AR22+逐级计算!$C$44,AR22+逐级计算!$C$44-(10/(逐级计算!$Q$44*LN(10))*(MAX((LN(10^(逐级计算!$Q$44/10)-1)+逐级计算!$Q$44*(AR22-逐级计算!$P$44)*LN(10)/10),0)+LN(1+EXP(-ABS((LN(10^(逐级计算!$Q$44/10)-1)+逐级计算!$Q$44*(AR22-逐级计算!$P$44)*LN(10)/10))))))),"")</f>
        <v>13.7920116187994</v>
      </c>
      <c r="AT22">
        <f>IF(AND(ISNUMBER(AS22),逐级计算!$X$45&gt;-1),IF(逐级计算!$X$45=0,AS22+逐级计算!$C$45,AS22+逐级计算!$C$45-(10/(逐级计算!$Q$45*LN(10))*(MAX((LN(10^(逐级计算!$Q$45/10)-1)+逐级计算!$Q$45*(AS22-逐级计算!$P$45)*LN(10)/10),0)+LN(1+EXP(-ABS((LN(10^(逐级计算!$Q$45/10)-1)+逐级计算!$Q$45*(AS22-逐级计算!$P$45)*LN(10)/10))))))),"")</f>
        <v>13.7920116187994</v>
      </c>
      <c r="AU22">
        <f>IF(AND(ISNUMBER(AT22),逐级计算!$X$46&gt;-1),IF(逐级计算!$X$46=0,AT22+逐级计算!$C$46,AT22+逐级计算!$C$46-(10/(逐级计算!$Q$46*LN(10))*(MAX((LN(10^(逐级计算!$Q$46/10)-1)+逐级计算!$Q$46*(AT22-逐级计算!$P$46)*LN(10)/10),0)+LN(1+EXP(-ABS((LN(10^(逐级计算!$Q$46/10)-1)+逐级计算!$Q$46*(AT22-逐级计算!$P$46)*LN(10)/10))))))),"")</f>
        <v>13.7920116187994</v>
      </c>
      <c r="AV22">
        <f>IF(AND(ISNUMBER(AU22),逐级计算!$X$47&gt;-1),IF(逐级计算!$X$47=0,AU22+逐级计算!$C$47,AU22+逐级计算!$C$47-(10/(逐级计算!$Q$47*LN(10))*(MAX((LN(10^(逐级计算!$Q$47/10)-1)+逐级计算!$Q$47*(AU22-逐级计算!$P$47)*LN(10)/10),0)+LN(1+EXP(-ABS((LN(10^(逐级计算!$Q$47/10)-1)+逐级计算!$Q$47*(AU22-逐级计算!$P$47)*LN(10)/10))))))),"")</f>
        <v>13.7920116187994</v>
      </c>
      <c r="AW22">
        <f>IF(AND(ISNUMBER(AV22),逐级计算!$X$48&gt;-1),IF(逐级计算!$X$48=0,AV22+逐级计算!$C$48,AV22+逐级计算!$C$48-(10/(逐级计算!$Q$48*LN(10))*(MAX((LN(10^(逐级计算!$Q$48/10)-1)+逐级计算!$Q$48*(AV22-逐级计算!$P$48)*LN(10)/10),0)+LN(1+EXP(-ABS((LN(10^(逐级计算!$Q$48/10)-1)+逐级计算!$Q$48*(AV22-逐级计算!$P$48)*LN(10)/10))))))),"")</f>
        <v>13.7920116187994</v>
      </c>
      <c r="AX22">
        <f>IF(AND(ISNUMBER(AW22),逐级计算!$X$49&gt;-1),IF(逐级计算!$X$49=0,AW22+逐级计算!$C$49,AW22+逐级计算!$C$49-(10/(逐级计算!$Q$49*LN(10))*(MAX((LN(10^(逐级计算!$Q$49/10)-1)+逐级计算!$Q$49*(AW22-逐级计算!$P$49)*LN(10)/10),0)+LN(1+EXP(-ABS((LN(10^(逐级计算!$Q$49/10)-1)+逐级计算!$Q$49*(AW22-逐级计算!$P$49)*LN(10)/10))))))),"")</f>
        <v>13.7920116187994</v>
      </c>
      <c r="AY22">
        <f>IF(AND(ISNUMBER(AX22),逐级计算!$X$50&gt;-1),IF(逐级计算!$X$50=0,AX22+逐级计算!$C$50,AX22+逐级计算!$C$50-(10/(逐级计算!$Q$50*LN(10))*(MAX((LN(10^(逐级计算!$Q$50/10)-1)+逐级计算!$Q$50*(AX22-逐级计算!$P$50)*LN(10)/10),0)+LN(1+EXP(-ABS((LN(10^(逐级计算!$Q$50/10)-1)+逐级计算!$Q$50*(AX22-逐级计算!$P$50)*LN(10)/10))))))),"")</f>
        <v>13.7920116187994</v>
      </c>
      <c r="AZ22">
        <f>IF(AND(ISNUMBER(AY22),逐级计算!$X$51&gt;-1),IF(逐级计算!$X$51=0,AY22+逐级计算!$C$51,AY22+逐级计算!$C$51-(10/(逐级计算!$Q$51*LN(10))*(MAX((LN(10^(逐级计算!$Q$51/10)-1)+逐级计算!$Q$51*(AY22-逐级计算!$P$51)*LN(10)/10),0)+LN(1+EXP(-ABS((LN(10^(逐级计算!$Q$51/10)-1)+逐级计算!$Q$51*(AY22-逐级计算!$P$51)*LN(10)/10))))))),"")</f>
        <v>13.7920116187994</v>
      </c>
      <c r="BA22">
        <f>IF(AND(ISNUMBER(AZ22),逐级计算!$X$52&gt;-1),IF(逐级计算!$X$52=0,AZ22+逐级计算!$C$52,AZ22+逐级计算!$C$52-(10/(逐级计算!$Q$52*LN(10))*(MAX((LN(10^(逐级计算!$Q$52/10)-1)+逐级计算!$Q$52*(AZ22-逐级计算!$P$52)*LN(10)/10),0)+LN(1+EXP(-ABS((LN(10^(逐级计算!$Q$52/10)-1)+逐级计算!$Q$52*(AZ22-逐级计算!$P$52)*LN(10)/10))))))),"")</f>
        <v>13.7920116187994</v>
      </c>
      <c r="BB22">
        <f>IF(AND(ISNUMBER(BA22),逐级计算!$X$53&gt;-1),IF(逐级计算!$X$53=0,BA22+逐级计算!$C$53,BA22+逐级计算!$C$53-(10/(逐级计算!$Q$53*LN(10))*(MAX((LN(10^(逐级计算!$Q$53/10)-1)+逐级计算!$Q$53*(BA22-逐级计算!$P$53)*LN(10)/10),0)+LN(1+EXP(-ABS((LN(10^(逐级计算!$Q$53/10)-1)+逐级计算!$Q$53*(BA22-逐级计算!$P$53)*LN(10)/10))))))),"")</f>
        <v>13.7920116187994</v>
      </c>
      <c r="BC22">
        <f>IF(AND(ISNUMBER(BB22),逐级计算!$X$54&gt;-1),IF(逐级计算!$X$54=0,BB22+逐级计算!$C$54,BB22+逐级计算!$C$54-(10/(逐级计算!$Q$54*LN(10))*(MAX((LN(10^(逐级计算!$Q$54/10)-1)+逐级计算!$Q$54*(BB22-逐级计算!$P$54)*LN(10)/10),0)+LN(1+EXP(-ABS((LN(10^(逐级计算!$Q$54/10)-1)+逐级计算!$Q$54*(BB22-逐级计算!$P$54)*LN(10)/10))))))),"")</f>
        <v>13.7920116187994</v>
      </c>
      <c r="BD22">
        <f>IF(AND(ISNUMBER(BC22),逐级计算!$X$55&gt;-1),IF(逐级计算!$X$55=0,BC22+逐级计算!$C$55,BC22+逐级计算!$C$55-(10/(逐级计算!$Q$55*LN(10))*(MAX((LN(10^(逐级计算!$Q$55/10)-1)+逐级计算!$Q$55*(BC22-逐级计算!$P$55)*LN(10)/10),0)+LN(1+EXP(-ABS((LN(10^(逐级计算!$Q$55/10)-1)+逐级计算!$Q$55*(BC22-逐级计算!$P$55)*LN(10)/10))))))),"")</f>
        <v>13.7920116187994</v>
      </c>
      <c r="BE22">
        <f>IF(AND(ISNUMBER(BD22),逐级计算!$X$56&gt;-1),IF(逐级计算!$X$56=0,BD22+逐级计算!$C$56,BD22+逐级计算!$C$56-(10/(逐级计算!$Q$56*LN(10))*(MAX((LN(10^(逐级计算!$Q$56/10)-1)+逐级计算!$Q$56*(BD22-逐级计算!$P$56)*LN(10)/10),0)+LN(1+EXP(-ABS((LN(10^(逐级计算!$Q$56/10)-1)+逐级计算!$Q$56*(BD22-逐级计算!$P$56)*LN(10)/10))))))),"")</f>
        <v>13.7920116187994</v>
      </c>
      <c r="BF22">
        <f>IF(AND(ISNUMBER(BE22),逐级计算!$X$57&gt;-1),IF(逐级计算!$X$57=0,BE22+逐级计算!$C$57,BE22+逐级计算!$C$57-(10/(逐级计算!$Q$57*LN(10))*(MAX((LN(10^(逐级计算!$Q$57/10)-1)+逐级计算!$Q$57*(BE22-逐级计算!$P$57)*LN(10)/10),0)+LN(1+EXP(-ABS((LN(10^(逐级计算!$Q$57/10)-1)+逐级计算!$Q$57*(BE22-逐级计算!$P$57)*LN(10)/10))))))),"")</f>
        <v>13.7920116187994</v>
      </c>
      <c r="BG22">
        <f>IF(AND(ISNUMBER(BF22),逐级计算!$X$58&gt;-1),IF(逐级计算!$X$58=0,BF22+逐级计算!$C$58,BF22+逐级计算!$C$58-(10/(逐级计算!$Q$58*LN(10))*(MAX((LN(10^(逐级计算!$Q$58/10)-1)+逐级计算!$Q$58*(BF22-逐级计算!$P$58)*LN(10)/10),0)+LN(1+EXP(-ABS((LN(10^(逐级计算!$Q$58/10)-1)+逐级计算!$Q$58*(BF22-逐级计算!$P$58)*LN(10)/10))))))),"")</f>
        <v>13.7920116187994</v>
      </c>
      <c r="BH22">
        <f>IF(AND(ISNUMBER(BG22),逐级计算!$X$59&gt;-1),IF(逐级计算!$X$59=0,BG22+逐级计算!$C$59,BG22+逐级计算!$C$59-(10/(逐级计算!$Q$59*LN(10))*(MAX((LN(10^(逐级计算!$Q$59/10)-1)+逐级计算!$Q$59*(BG22-逐级计算!$P$59)*LN(10)/10),0)+LN(1+EXP(-ABS((LN(10^(逐级计算!$Q$59/10)-1)+逐级计算!$Q$59*(BG22-逐级计算!$P$59)*LN(10)/10))))))),"")</f>
        <v>13.7920116187994</v>
      </c>
      <c r="BI22">
        <f>IF(AND(ISNUMBER(BH22),逐级计算!$X$60&gt;-1),IF(逐级计算!$X$60=0,BH22+逐级计算!$C$60,BH22+逐级计算!$C$60-(10/(逐级计算!$Q$60*LN(10))*(MAX((LN(10^(逐级计算!$Q$60/10)-1)+逐级计算!$Q$60*(BH22-逐级计算!$P$60)*LN(10)/10),0)+LN(1+EXP(-ABS((LN(10^(逐级计算!$Q$60/10)-1)+逐级计算!$Q$60*(BH22-逐级计算!$P$60)*LN(10)/10))))))),"")</f>
        <v>13.7920116187994</v>
      </c>
      <c r="BJ22">
        <f>IF(AND(ISNUMBER(BI22),逐级计算!$X$61&gt;-1),IF(逐级计算!$X$61=0,BI22+逐级计算!$C$61,BI22+逐级计算!$C$61-(10/(逐级计算!$Q$61*LN(10))*(MAX((LN(10^(逐级计算!$Q$61/10)-1)+逐级计算!$Q$61*(BI22-逐级计算!$P$61)*LN(10)/10),0)+LN(1+EXP(-ABS((LN(10^(逐级计算!$Q$61/10)-1)+逐级计算!$Q$61*(BI22-逐级计算!$P$61)*LN(10)/10))))))),"")</f>
        <v>13.7920116187994</v>
      </c>
      <c r="BK22">
        <f>IF(AND(ISNUMBER(BJ22),逐级计算!$X$62&gt;-1),IF(逐级计算!$X$62=0,BJ22+逐级计算!$C$62,BJ22+逐级计算!$C$62-(10/(逐级计算!$Q$62*LN(10))*(MAX((LN(10^(逐级计算!$Q$62/10)-1)+逐级计算!$Q$62*(BJ22-逐级计算!$P$62)*LN(10)/10),0)+LN(1+EXP(-ABS((LN(10^(逐级计算!$Q$62/10)-1)+逐级计算!$Q$62*(BJ22-逐级计算!$P$62)*LN(10)/10))))))),"")</f>
        <v>13.7920116187994</v>
      </c>
      <c r="BL22">
        <f>IF(AND(ISNUMBER(BK22),逐级计算!$X$63&gt;-1),IF(逐级计算!$X$63=0,BK22+逐级计算!$C$63,BK22+逐级计算!$C$63-(10/(逐级计算!$Q$63*LN(10))*(MAX((LN(10^(逐级计算!$Q$63/10)-1)+逐级计算!$Q$63*(BK22-逐级计算!$P$63)*LN(10)/10),0)+LN(1+EXP(-ABS((LN(10^(逐级计算!$Q$63/10)-1)+逐级计算!$Q$63*(BK22-逐级计算!$P$63)*LN(10)/10))))))),"")</f>
        <v>13.7920116187994</v>
      </c>
      <c r="BM22">
        <f>IF(AND(ISNUMBER(BL22),逐级计算!$X$64&gt;-1),IF(逐级计算!$X$64=0,BL22+逐级计算!$C$64,BL22+逐级计算!$C$64-(10/(逐级计算!$Q$64*LN(10))*(MAX((LN(10^(逐级计算!$Q$64/10)-1)+逐级计算!$Q$64*(BL22-逐级计算!$P$64)*LN(10)/10),0)+LN(1+EXP(-ABS((LN(10^(逐级计算!$Q$64/10)-1)+逐级计算!$Q$64*(BL22-逐级计算!$P$64)*LN(10)/10))))))),"")</f>
        <v>13.7920116187994</v>
      </c>
      <c r="BN22">
        <f>IF(AND(ISNUMBER(BM22),逐级计算!$X$65&gt;-1),IF(逐级计算!$X$65=0,BM22+逐级计算!$C$65,BM22+逐级计算!$C$65-(10/(逐级计算!$Q$65*LN(10))*(MAX((LN(10^(逐级计算!$Q$65/10)-1)+逐级计算!$Q$65*(BM22-逐级计算!$P$65)*LN(10)/10),0)+LN(1+EXP(-ABS((LN(10^(逐级计算!$Q$65/10)-1)+逐级计算!$Q$65*(BM22-逐级计算!$P$65)*LN(10)/10))))))),"")</f>
        <v>13.7920116187994</v>
      </c>
      <c r="BO22">
        <f>IF(AND(ISNUMBER(BN22),逐级计算!$X$66&gt;-1),IF(逐级计算!$X$66=0,BN22+逐级计算!$C$66,BN22+逐级计算!$C$66-(10/(逐级计算!$Q$66*LN(10))*(MAX((LN(10^(逐级计算!$Q$66/10)-1)+逐级计算!$Q$66*(BN22-逐级计算!$P$66)*LN(10)/10),0)+LN(1+EXP(-ABS((LN(10^(逐级计算!$Q$66/10)-1)+逐级计算!$Q$66*(BN22-逐级计算!$P$66)*LN(10)/10))))))),"")</f>
        <v>13.7920116187994</v>
      </c>
      <c r="BP22">
        <f>IF(AND(ISNUMBER(BO22),逐级计算!$X$67&gt;-1),IF(逐级计算!$X$67=0,BO22+逐级计算!$C$67,BO22+逐级计算!$C$67-(10/(逐级计算!$Q$67*LN(10))*(MAX((LN(10^(逐级计算!$Q$67/10)-1)+逐级计算!$Q$67*(BO22-逐级计算!$P$67)*LN(10)/10),0)+LN(1+EXP(-ABS((LN(10^(逐级计算!$Q$67/10)-1)+逐级计算!$Q$67*(BO22-逐级计算!$P$67)*LN(10)/10))))))),"")</f>
        <v>13.7920116187994</v>
      </c>
      <c r="BQ22">
        <f>IF(AND(ISNUMBER(BP22),逐级计算!$X$68&gt;-1),IF(逐级计算!$X$68=0,BP22+逐级计算!$C$68,BP22+逐级计算!$C$68-(10/(逐级计算!$Q$68*LN(10))*(MAX((LN(10^(逐级计算!$Q$68/10)-1)+逐级计算!$Q$68*(BP22-逐级计算!$P$68)*LN(10)/10),0)+LN(1+EXP(-ABS((LN(10^(逐级计算!$Q$68/10)-1)+逐级计算!$Q$68*(BP22-逐级计算!$P$68)*LN(10)/10))))))),"")</f>
        <v>13.7920116187994</v>
      </c>
      <c r="BR22">
        <f>IF(AND(ISNUMBER(BQ22),逐级计算!$X$69&gt;-1),IF(逐级计算!$X$69=0,BQ22+逐级计算!$C$69,BQ22+逐级计算!$C$69-(10/(逐级计算!$Q$69*LN(10))*(MAX((LN(10^(逐级计算!$Q$69/10)-1)+逐级计算!$Q$69*(BQ22-逐级计算!$P$69)*LN(10)/10),0)+LN(1+EXP(-ABS((LN(10^(逐级计算!$Q$69/10)-1)+逐级计算!$Q$69*(BQ22-逐级计算!$P$69)*LN(10)/10))))))),"")</f>
        <v>13.7920116187994</v>
      </c>
      <c r="BS22">
        <f>IF(AND(ISNUMBER(BR22),逐级计算!$X$70&gt;-1),IF(逐级计算!$X$70=0,BR22+逐级计算!$C$70,BR22+逐级计算!$C$70-(10/(逐级计算!$Q$70*LN(10))*(MAX((LN(10^(逐级计算!$Q$70/10)-1)+逐级计算!$Q$70*(BR22-逐级计算!$P$70)*LN(10)/10),0)+LN(1+EXP(-ABS((LN(10^(逐级计算!$Q$70/10)-1)+逐级计算!$Q$70*(BR22-逐级计算!$P$70)*LN(10)/10))))))),"")</f>
        <v>13.7920116187994</v>
      </c>
      <c r="BT22">
        <f>IF(AND(ISNUMBER(BS22),逐级计算!$X$71&gt;-1),IF(逐级计算!$X$71=0,BS22+逐级计算!$C$71,BS22+逐级计算!$C$71-(10/(逐级计算!$Q$71*LN(10))*(MAX((LN(10^(逐级计算!$Q$71/10)-1)+逐级计算!$Q$71*(BS22-逐级计算!$P$71)*LN(10)/10),0)+LN(1+EXP(-ABS((LN(10^(逐级计算!$Q$71/10)-1)+逐级计算!$Q$71*(BS22-逐级计算!$P$71)*LN(10)/10))))))),"")</f>
        <v>13.7920116187994</v>
      </c>
      <c r="BU22">
        <f>IF(AND(ISNUMBER(BT22),逐级计算!$X$72&gt;-1),IF(逐级计算!$X$72=0,BT22+逐级计算!$C$72,BT22+逐级计算!$C$72-(10/(逐级计算!$Q$72*LN(10))*(MAX((LN(10^(逐级计算!$Q$72/10)-1)+逐级计算!$Q$72*(BT22-逐级计算!$P$72)*LN(10)/10),0)+LN(1+EXP(-ABS((LN(10^(逐级计算!$Q$72/10)-1)+逐级计算!$Q$72*(BT22-逐级计算!$P$72)*LN(10)/10))))))),"")</f>
        <v>13.7920116187994</v>
      </c>
      <c r="BV22">
        <f>IF(AND(ISNUMBER(BU22),逐级计算!$X$73&gt;-1),IF(逐级计算!$X$73=0,BU22+逐级计算!$C$73,BU22+逐级计算!$C$73-(10/(逐级计算!$Q$73*LN(10))*(MAX((LN(10^(逐级计算!$Q$73/10)-1)+逐级计算!$Q$73*(BU22-逐级计算!$P$73)*LN(10)/10),0)+LN(1+EXP(-ABS((LN(10^(逐级计算!$Q$73/10)-1)+逐级计算!$Q$73*(BU22-逐级计算!$P$73)*LN(10)/10))))))),"")</f>
        <v>13.7920116187994</v>
      </c>
      <c r="BW22">
        <f>IF(AND(ISNUMBER(BV22),逐级计算!$X$74&gt;-1),IF(逐级计算!$X$74=0,BV22+逐级计算!$C$74,BV22+逐级计算!$C$74-(10/(逐级计算!$Q$74*LN(10))*(MAX((LN(10^(逐级计算!$Q$74/10)-1)+逐级计算!$Q$74*(BV22-逐级计算!$P$74)*LN(10)/10),0)+LN(1+EXP(-ABS((LN(10^(逐级计算!$Q$74/10)-1)+逐级计算!$Q$74*(BV22-逐级计算!$P$74)*LN(10)/10))))))),"")</f>
        <v>13.7920116187994</v>
      </c>
      <c r="BX22">
        <f>IF(AND(ISNUMBER(BW22),逐级计算!$X$75&gt;-1),IF(逐级计算!$X$75=0,BW22+逐级计算!$C$75,BW22+逐级计算!$C$75-(10/(逐级计算!$Q$75*LN(10))*(MAX((LN(10^(逐级计算!$Q$75/10)-1)+逐级计算!$Q$75*(BW22-逐级计算!$P$75)*LN(10)/10),0)+LN(1+EXP(-ABS((LN(10^(逐级计算!$Q$75/10)-1)+逐级计算!$Q$75*(BW22-逐级计算!$P$75)*LN(10)/10))))))),"")</f>
        <v>13.7920116187994</v>
      </c>
      <c r="BY22">
        <f>IF(AND(ISNUMBER(BX22),逐级计算!$X$76&gt;-1),IF(逐级计算!$X$76=0,BX22+逐级计算!$C$76,BX22+逐级计算!$C$76-(10/(逐级计算!$Q$76*LN(10))*(MAX((LN(10^(逐级计算!$Q$76/10)-1)+逐级计算!$Q$76*(BX22-逐级计算!$P$76)*LN(10)/10),0)+LN(1+EXP(-ABS((LN(10^(逐级计算!$Q$76/10)-1)+逐级计算!$Q$76*(BX22-逐级计算!$P$76)*LN(10)/10))))))),"")</f>
        <v>13.7920116187994</v>
      </c>
      <c r="BZ22">
        <f>IF(AND(ISNUMBER(BY22),逐级计算!$X$77&gt;-1),IF(逐级计算!$X$77=0,BY22+逐级计算!$C$77,BY22+逐级计算!$C$77-(10/(逐级计算!$Q$77*LN(10))*(MAX((LN(10^(逐级计算!$Q$77/10)-1)+逐级计算!$Q$77*(BY22-逐级计算!$P$77)*LN(10)/10),0)+LN(1+EXP(-ABS((LN(10^(逐级计算!$Q$77/10)-1)+逐级计算!$Q$77*(BY22-逐级计算!$P$77)*LN(10)/10))))))),"")</f>
        <v>13.7920116187994</v>
      </c>
      <c r="CA22">
        <f>IF(AND(ISNUMBER(BZ22),逐级计算!$X$78&gt;-1),IF(逐级计算!$X$78=0,BZ22+逐级计算!$C$78,BZ22+逐级计算!$C$78-(10/(逐级计算!$Q$78*LN(10))*(MAX((LN(10^(逐级计算!$Q$78/10)-1)+逐级计算!$Q$78*(BZ22-逐级计算!$P$78)*LN(10)/10),0)+LN(1+EXP(-ABS((LN(10^(逐级计算!$Q$78/10)-1)+逐级计算!$Q$78*(BZ22-逐级计算!$P$78)*LN(10)/10))))))),"")</f>
        <v>13.7920116187994</v>
      </c>
      <c r="CB22">
        <f>IF(AND(ISNUMBER(CA22),逐级计算!$X$79&gt;-1),IF(逐级计算!$X$79=0,CA22+逐级计算!$C$79,CA22+逐级计算!$C$79-(10/(逐级计算!$Q$79*LN(10))*(MAX((LN(10^(逐级计算!$Q$79/10)-1)+逐级计算!$Q$79*(CA22-逐级计算!$P$79)*LN(10)/10),0)+LN(1+EXP(-ABS((LN(10^(逐级计算!$Q$79/10)-1)+逐级计算!$Q$79*(CA22-逐级计算!$P$79)*LN(10)/10))))))),"")</f>
        <v>13.7920116187994</v>
      </c>
      <c r="CC22">
        <f>IF(AND(ISNUMBER(CB22),逐级计算!$X$80&gt;-1),IF(逐级计算!$X$80=0,CB22+逐级计算!$C$80,CB22+逐级计算!$C$80-(10/(逐级计算!$Q$80*LN(10))*(MAX((LN(10^(逐级计算!$Q$80/10)-1)+逐级计算!$Q$80*(CB22-逐级计算!$P$80)*LN(10)/10),0)+LN(1+EXP(-ABS((LN(10^(逐级计算!$Q$80/10)-1)+逐级计算!$Q$80*(CB22-逐级计算!$P$80)*LN(10)/10))))))),"")</f>
        <v>13.7920116187994</v>
      </c>
      <c r="CD22">
        <f>IF(AND(ISNUMBER(CC22),逐级计算!$X$81&gt;-1),IF(逐级计算!$X$81=0,CC22+逐级计算!$C$81,CC22+逐级计算!$C$81-(10/(逐级计算!$Q$81*LN(10))*(MAX((LN(10^(逐级计算!$Q$81/10)-1)+逐级计算!$Q$81*(CC22-逐级计算!$P$81)*LN(10)/10),0)+LN(1+EXP(-ABS((LN(10^(逐级计算!$Q$81/10)-1)+逐级计算!$Q$81*(CC22-逐级计算!$P$81)*LN(10)/10))))))),"")</f>
        <v>13.7920116187994</v>
      </c>
      <c r="CE22">
        <f>IF(AND(ISNUMBER(CD22),逐级计算!$X$82&gt;-1),IF(逐级计算!$X$82=0,CD22+逐级计算!$C$82,CD22+逐级计算!$C$82-(10/(逐级计算!$Q$82*LN(10))*(MAX((LN(10^(逐级计算!$Q$82/10)-1)+逐级计算!$Q$82*(CD22-逐级计算!$P$82)*LN(10)/10),0)+LN(1+EXP(-ABS((LN(10^(逐级计算!$Q$82/10)-1)+逐级计算!$Q$82*(CD22-逐级计算!$P$82)*LN(10)/10))))))),"")</f>
        <v>13.7920116187994</v>
      </c>
      <c r="CF22">
        <f>IF(AND(ISNUMBER(CE22),逐级计算!$X$83&gt;-1),IF(逐级计算!$X$83=0,CE22+逐级计算!$C$83,CE22+逐级计算!$C$83-(10/(逐级计算!$Q$83*LN(10))*(MAX((LN(10^(逐级计算!$Q$83/10)-1)+逐级计算!$Q$83*(CE22-逐级计算!$P$83)*LN(10)/10),0)+LN(1+EXP(-ABS((LN(10^(逐级计算!$Q$83/10)-1)+逐级计算!$Q$83*(CE22-逐级计算!$P$83)*LN(10)/10))))))),"")</f>
        <v>13.7920116187994</v>
      </c>
      <c r="CG22">
        <f>IF(AND(ISNUMBER(CF22),逐级计算!$X$84&gt;-1),IF(逐级计算!$X$84=0,CF22+逐级计算!$C$84,CF22+逐级计算!$C$84-(10/(逐级计算!$Q$84*LN(10))*(MAX((LN(10^(逐级计算!$Q$84/10)-1)+逐级计算!$Q$84*(CF22-逐级计算!$P$84)*LN(10)/10),0)+LN(1+EXP(-ABS((LN(10^(逐级计算!$Q$84/10)-1)+逐级计算!$Q$84*(CF22-逐级计算!$P$84)*LN(10)/10))))))),"")</f>
        <v>13.7920116187994</v>
      </c>
      <c r="CH22">
        <f>IF(AND(ISNUMBER(CG22),逐级计算!$X$85&gt;-1),IF(逐级计算!$X$85=0,CG22+逐级计算!$C$85,CG22+逐级计算!$C$85-(10/(逐级计算!$Q$85*LN(10))*(MAX((LN(10^(逐级计算!$Q$85/10)-1)+逐级计算!$Q$85*(CG22-逐级计算!$P$85)*LN(10)/10),0)+LN(1+EXP(-ABS((LN(10^(逐级计算!$Q$85/10)-1)+逐级计算!$Q$85*(CG22-逐级计算!$P$85)*LN(10)/10))))))),"")</f>
        <v>13.7920116187994</v>
      </c>
      <c r="CI22">
        <f>IF(AND(ISNUMBER(CH22),逐级计算!$X$86&gt;-1),IF(逐级计算!$X$86=0,CH22+逐级计算!$C$86,CH22+逐级计算!$C$86-(10/(逐级计算!$Q$86*LN(10))*(MAX((LN(10^(逐级计算!$Q$86/10)-1)+逐级计算!$Q$86*(CH22-逐级计算!$P$86)*LN(10)/10),0)+LN(1+EXP(-ABS((LN(10^(逐级计算!$Q$86/10)-1)+逐级计算!$Q$86*(CH22-逐级计算!$P$86)*LN(10)/10))))))),"")</f>
        <v>13.7920116187994</v>
      </c>
      <c r="CJ22">
        <f>IF(AND(ISNUMBER(CI22),逐级计算!$X$87&gt;-1),IF(逐级计算!$X$87=0,CI22+逐级计算!$C$87,CI22+逐级计算!$C$87-(10/(逐级计算!$Q$87*LN(10))*(MAX((LN(10^(逐级计算!$Q$87/10)-1)+逐级计算!$Q$87*(CI22-逐级计算!$P$87)*LN(10)/10),0)+LN(1+EXP(-ABS((LN(10^(逐级计算!$Q$87/10)-1)+逐级计算!$Q$87*(CI22-逐级计算!$P$87)*LN(10)/10))))))),"")</f>
        <v>13.7920116187994</v>
      </c>
      <c r="CK22">
        <f>IF(AND(ISNUMBER(CJ22),逐级计算!$X$88&gt;-1),IF(逐级计算!$X$88=0,CJ22+逐级计算!$C$88,CJ22+逐级计算!$C$88-(10/(逐级计算!$Q$88*LN(10))*(MAX((LN(10^(逐级计算!$Q$88/10)-1)+逐级计算!$Q$88*(CJ22-逐级计算!$P$88)*LN(10)/10),0)+LN(1+EXP(-ABS((LN(10^(逐级计算!$Q$88/10)-1)+逐级计算!$Q$88*(CJ22-逐级计算!$P$88)*LN(10)/10))))))),"")</f>
        <v>13.7920116187994</v>
      </c>
      <c r="CL22">
        <f>IF(AND(ISNUMBER(CK22),逐级计算!$X$89&gt;-1),IF(逐级计算!$X$89=0,CK22+逐级计算!$C$89,CK22+逐级计算!$C$89-(10/(逐级计算!$Q$89*LN(10))*(MAX((LN(10^(逐级计算!$Q$89/10)-1)+逐级计算!$Q$89*(CK22-逐级计算!$P$89)*LN(10)/10),0)+LN(1+EXP(-ABS((LN(10^(逐级计算!$Q$89/10)-1)+逐级计算!$Q$89*(CK22-逐级计算!$P$89)*LN(10)/10))))))),"")</f>
        <v>13.7920116187994</v>
      </c>
      <c r="CM22">
        <f>IF(AND(ISNUMBER(CL22),逐级计算!$X$90&gt;-1),IF(逐级计算!$X$90=0,CL22+逐级计算!$C$90,CL22+逐级计算!$C$90-(10/(逐级计算!$Q$90*LN(10))*(MAX((LN(10^(逐级计算!$Q$90/10)-1)+逐级计算!$Q$90*(CL22-逐级计算!$P$90)*LN(10)/10),0)+LN(1+EXP(-ABS((LN(10^(逐级计算!$Q$90/10)-1)+逐级计算!$Q$90*(CL22-逐级计算!$P$90)*LN(10)/10))))))),"")</f>
        <v>13.7920116187994</v>
      </c>
      <c r="CN22">
        <f>IF(AND(ISNUMBER(CM22),逐级计算!$X$91&gt;-1),IF(逐级计算!$X$91=0,CM22+逐级计算!$C$91,CM22+逐级计算!$C$91-(10/(逐级计算!$Q$91*LN(10))*(MAX((LN(10^(逐级计算!$Q$91/10)-1)+逐级计算!$Q$91*(CM22-逐级计算!$P$91)*LN(10)/10),0)+LN(1+EXP(-ABS((LN(10^(逐级计算!$Q$91/10)-1)+逐级计算!$Q$91*(CM22-逐级计算!$P$91)*LN(10)/10))))))),"")</f>
        <v>13.7920116187994</v>
      </c>
      <c r="CO22">
        <f>IF(AND(ISNUMBER(CN22),逐级计算!$X$92&gt;-1),IF(逐级计算!$X$92=0,CN22+逐级计算!$C$92,CN22+逐级计算!$C$92-(10/(逐级计算!$Q$92*LN(10))*(MAX((LN(10^(逐级计算!$Q$92/10)-1)+逐级计算!$Q$92*(CN22-逐级计算!$P$92)*LN(10)/10),0)+LN(1+EXP(-ABS((LN(10^(逐级计算!$Q$92/10)-1)+逐级计算!$Q$92*(CN22-逐级计算!$P$92)*LN(10)/10))))))),"")</f>
        <v>13.7920116187994</v>
      </c>
      <c r="CP22">
        <f>IF(AND(ISNUMBER(CO22),逐级计算!$X$93&gt;-1),IF(逐级计算!$X$93=0,CO22+逐级计算!$C$93,CO22+逐级计算!$C$93-(10/(逐级计算!$Q$93*LN(10))*(MAX((LN(10^(逐级计算!$Q$93/10)-1)+逐级计算!$Q$93*(CO22-逐级计算!$P$93)*LN(10)/10),0)+LN(1+EXP(-ABS((LN(10^(逐级计算!$Q$93/10)-1)+逐级计算!$Q$93*(CO22-逐级计算!$P$93)*LN(10)/10))))))),"")</f>
        <v>13.7920116187994</v>
      </c>
      <c r="CQ22">
        <f>IF(AND(ISNUMBER(CP22),逐级计算!$X$94&gt;-1),IF(逐级计算!$X$94=0,CP22+逐级计算!$C$94,CP22+逐级计算!$C$94-(10/(逐级计算!$Q$94*LN(10))*(MAX((LN(10^(逐级计算!$Q$94/10)-1)+逐级计算!$Q$94*(CP22-逐级计算!$P$94)*LN(10)/10),0)+LN(1+EXP(-ABS((LN(10^(逐级计算!$Q$94/10)-1)+逐级计算!$Q$94*(CP22-逐级计算!$P$94)*LN(10)/10))))))),"")</f>
        <v>13.7920116187994</v>
      </c>
      <c r="CR22">
        <f>IF(AND(ISNUMBER(CQ22),逐级计算!$X$95&gt;-1),IF(逐级计算!$X$95=0,CQ22+逐级计算!$C$95,CQ22+逐级计算!$C$95-(10/(逐级计算!$Q$95*LN(10))*(MAX((LN(10^(逐级计算!$Q$95/10)-1)+逐级计算!$Q$95*(CQ22-逐级计算!$P$95)*LN(10)/10),0)+LN(1+EXP(-ABS((LN(10^(逐级计算!$Q$95/10)-1)+逐级计算!$Q$95*(CQ22-逐级计算!$P$95)*LN(10)/10))))))),"")</f>
        <v>13.7920116187994</v>
      </c>
      <c r="CS22">
        <f>IF(AND(ISNUMBER(CR22),逐级计算!$X$96&gt;-1),IF(逐级计算!$X$96=0,CR22+逐级计算!$C$96,CR22+逐级计算!$C$96-(10/(逐级计算!$Q$96*LN(10))*(MAX((LN(10^(逐级计算!$Q$96/10)-1)+逐级计算!$Q$96*(CR22-逐级计算!$P$96)*LN(10)/10),0)+LN(1+EXP(-ABS((LN(10^(逐级计算!$Q$96/10)-1)+逐级计算!$Q$96*(CR22-逐级计算!$P$96)*LN(10)/10))))))),"")</f>
        <v>13.7920116187994</v>
      </c>
      <c r="CT22">
        <f>IF(AND(ISNUMBER(CS22),逐级计算!$X$97&gt;-1),IF(逐级计算!$X$97=0,CS22+逐级计算!$C$97,CS22+逐级计算!$C$97-(10/(逐级计算!$Q$97*LN(10))*(MAX((LN(10^(逐级计算!$Q$97/10)-1)+逐级计算!$Q$97*(CS22-逐级计算!$P$97)*LN(10)/10),0)+LN(1+EXP(-ABS((LN(10^(逐级计算!$Q$97/10)-1)+逐级计算!$Q$97*(CS22-逐级计算!$P$97)*LN(10)/10))))))),"")</f>
        <v>13.7920116187994</v>
      </c>
      <c r="CU22">
        <f>IF(AND(ISNUMBER(CT22),逐级计算!$X$98&gt;-1),IF(逐级计算!$X$98=0,CT22+逐级计算!$C$98,CT22+逐级计算!$C$98-(10/(逐级计算!$Q$98*LN(10))*(MAX((LN(10^(逐级计算!$Q$98/10)-1)+逐级计算!$Q$98*(CT22-逐级计算!$P$98)*LN(10)/10),0)+LN(1+EXP(-ABS((LN(10^(逐级计算!$Q$98/10)-1)+逐级计算!$Q$98*(CT22-逐级计算!$P$98)*LN(10)/10))))))),"")</f>
        <v>13.7920116187994</v>
      </c>
      <c r="CV22">
        <f>IF(AND(ISNUMBER(CU22),逐级计算!$X$99&gt;-1),IF(逐级计算!$X$99=0,CU22+逐级计算!$C$99,CU22+逐级计算!$C$99-(10/(逐级计算!$Q$99*LN(10))*(MAX((LN(10^(逐级计算!$Q$99/10)-1)+逐级计算!$Q$99*(CU22-逐级计算!$P$99)*LN(10)/10),0)+LN(1+EXP(-ABS((LN(10^(逐级计算!$Q$99/10)-1)+逐级计算!$Q$99*(CU22-逐级计算!$P$99)*LN(10)/10))))))),"")</f>
        <v>13.7920116187994</v>
      </c>
      <c r="CW22">
        <f>IF(AND(ISNUMBER(CV22),逐级计算!$X$100&gt;-1),IF(逐级计算!$X$100=0,CV22+逐级计算!$C$100,CV22+逐级计算!$C$100-(10/(逐级计算!$Q$100*LN(10))*(MAX((LN(10^(逐级计算!$Q$100/10)-1)+逐级计算!$Q$100*(CV22-逐级计算!$P$100)*LN(10)/10),0)+LN(1+EXP(-ABS((LN(10^(逐级计算!$Q$100/10)-1)+逐级计算!$Q$100*(CV22-逐级计算!$P$100)*LN(10)/10))))))),"")</f>
        <v>13.7920116187994</v>
      </c>
      <c r="CX22">
        <f>IF(AND(ISNUMBER(CW22),逐级计算!$X$101&gt;-1),IF(逐级计算!$X$101=0,CW22+逐级计算!$C$101,CW22+逐级计算!$C$101-(10/(逐级计算!$Q$101*LN(10))*(MAX((LN(10^(逐级计算!$Q$101/10)-1)+逐级计算!$Q$101*(CW22-逐级计算!$P$101)*LN(10)/10),0)+LN(1+EXP(-ABS((LN(10^(逐级计算!$Q$101/10)-1)+逐级计算!$Q$101*(CW22-逐级计算!$P$101)*LN(10)/10))))))),"")</f>
        <v>13.7920116187994</v>
      </c>
      <c r="CY22">
        <f>IF(AND(ISNUMBER(CX22),逐级计算!$X$102&gt;-1),IF(逐级计算!$X$102=0,CX22+逐级计算!$C$102,CX22+逐级计算!$C$102-(10/(逐级计算!$Q$102*LN(10))*(MAX((LN(10^(逐级计算!$Q$102/10)-1)+逐级计算!$Q$102*(CX22-逐级计算!$P$102)*LN(10)/10),0)+LN(1+EXP(-ABS((LN(10^(逐级计算!$Q$102/10)-1)+逐级计算!$Q$102*(CX22-逐级计算!$P$102)*LN(10)/10))))))),"")</f>
        <v>13.7920116187994</v>
      </c>
      <c r="CZ22">
        <f>IF(AND(ISNUMBER(CY22),逐级计算!$X$103&gt;-1),IF(逐级计算!$X$103=0,CY22+逐级计算!$C$103,CY22+逐级计算!$C$103-(10/(逐级计算!$Q$103*LN(10))*(MAX((LN(10^(逐级计算!$Q$103/10)-1)+逐级计算!$Q$103*(CY22-逐级计算!$P$103)*LN(10)/10),0)+LN(1+EXP(-ABS((LN(10^(逐级计算!$Q$103/10)-1)+逐级计算!$Q$103*(CY22-逐级计算!$P$103)*LN(10)/10))))))),"")</f>
        <v>13.7920116187994</v>
      </c>
      <c r="DA22">
        <f>IF(AND(ISNUMBER(CZ22),逐级计算!$X$104&gt;-1),IF(逐级计算!$X$104=0,CZ22+逐级计算!$C$104,CZ22+逐级计算!$C$104-(10/(逐级计算!$Q$104*LN(10))*(MAX((LN(10^(逐级计算!$Q$104/10)-1)+逐级计算!$Q$104*(CZ22-逐级计算!$P$104)*LN(10)/10),0)+LN(1+EXP(-ABS((LN(10^(逐级计算!$Q$104/10)-1)+逐级计算!$Q$104*(CZ22-逐级计算!$P$104)*LN(10)/10))))))),"")</f>
        <v>13.7920116187994</v>
      </c>
      <c r="DB22">
        <f>IF(AND(ISNUMBER(DA22),逐级计算!$X$105&gt;-1),IF(逐级计算!$X$105=0,DA22+逐级计算!$C$105,DA22+逐级计算!$C$105-(10/(逐级计算!$Q$105*LN(10))*(MAX((LN(10^(逐级计算!$Q$105/10)-1)+逐级计算!$Q$105*(DA22-逐级计算!$P$105)*LN(10)/10),0)+LN(1+EXP(-ABS((LN(10^(逐级计算!$Q$105/10)-1)+逐级计算!$Q$105*(DA22-逐级计算!$P$105)*LN(10)/10))))))),"")</f>
        <v>13.7920116187994</v>
      </c>
      <c r="DC22">
        <f>IF(AND(ISNUMBER(DB22),逐级计算!$X$106&gt;-1),IF(逐级计算!$X$106=0,DB22+逐级计算!$C$106,DB22+逐级计算!$C$106-(10/(逐级计算!$Q$106*LN(10))*(MAX((LN(10^(逐级计算!$Q$106/10)-1)+逐级计算!$Q$106*(DB22-逐级计算!$P$106)*LN(10)/10),0)+LN(1+EXP(-ABS((LN(10^(逐级计算!$Q$106/10)-1)+逐级计算!$Q$106*(DB22-逐级计算!$P$106)*LN(10)/10))))))),"")</f>
        <v>13.7920116187994</v>
      </c>
      <c r="DD22">
        <f>IF(AND(ISNUMBER(DC22),逐级计算!$X$107&gt;-1),IF(逐级计算!$X$107=0,DC22+逐级计算!$C$107,DC22+逐级计算!$C$107-(10/(逐级计算!$Q$107*LN(10))*(MAX((LN(10^(逐级计算!$Q$107/10)-1)+逐级计算!$Q$107*(DC22-逐级计算!$P$107)*LN(10)/10),0)+LN(1+EXP(-ABS((LN(10^(逐级计算!$Q$107/10)-1)+逐级计算!$Q$107*(DC22-逐级计算!$P$107)*LN(10)/10))))))),"")</f>
        <v>13.7920116187994</v>
      </c>
      <c r="DE22">
        <f>IF(AND(ISNUMBER(DD22),逐级计算!$X$108&gt;-1),IF(逐级计算!$X$108=0,DD22+逐级计算!$C$108,DD22+逐级计算!$C$108-(10/(逐级计算!$Q$108*LN(10))*(MAX((LN(10^(逐级计算!$Q$108/10)-1)+逐级计算!$Q$108*(DD22-逐级计算!$P$108)*LN(10)/10),0)+LN(1+EXP(-ABS((LN(10^(逐级计算!$Q$108/10)-1)+逐级计算!$Q$108*(DD22-逐级计算!$P$108)*LN(10)/10))))))),"")</f>
        <v>13.7920116187994</v>
      </c>
      <c r="DF22">
        <f>IF(AND(ISNUMBER(DE22),逐级计算!$X$109&gt;-1),IF(逐级计算!$X$109=0,DE22+逐级计算!$C$109,DE22+逐级计算!$C$109-(10/(逐级计算!$Q$109*LN(10))*(MAX((LN(10^(逐级计算!$Q$109/10)-1)+逐级计算!$Q$109*(DE22-逐级计算!$P$109)*LN(10)/10),0)+LN(1+EXP(-ABS((LN(10^(逐级计算!$Q$109/10)-1)+逐级计算!$Q$109*(DE22-逐级计算!$P$109)*LN(10)/10))))))),"")</f>
        <v>13.7920116187994</v>
      </c>
      <c r="DG22">
        <f>IF(AND(ISNUMBER(DF22),逐级计算!$X$110&gt;-1),IF(逐级计算!$X$110=0,DF22+逐级计算!$C$110,DF22+逐级计算!$C$110-(10/(逐级计算!$Q$110*LN(10))*(MAX((LN(10^(逐级计算!$Q$110/10)-1)+逐级计算!$Q$110*(DF22-逐级计算!$P$110)*LN(10)/10),0)+LN(1+EXP(-ABS((LN(10^(逐级计算!$Q$110/10)-1)+逐级计算!$Q$110*(DF22-逐级计算!$P$110)*LN(10)/10))))))),"")</f>
        <v>13.7920116187994</v>
      </c>
      <c r="DH22">
        <f>IF(AND(ISNUMBER(DG22),逐级计算!$X$111&gt;-1),IF(逐级计算!$X$111=0,DG22+逐级计算!$C$111,DG22+逐级计算!$C$111-(10/(逐级计算!$Q$111*LN(10))*(MAX((LN(10^(逐级计算!$Q$111/10)-1)+逐级计算!$Q$111*(DG22-逐级计算!$P$111)*LN(10)/10),0)+LN(1+EXP(-ABS((LN(10^(逐级计算!$Q$111/10)-1)+逐级计算!$Q$111*(DG22-逐级计算!$P$111)*LN(10)/10))))))),"")</f>
        <v>13.7920116187994</v>
      </c>
      <c r="DI22">
        <f>IF(AND(ISNUMBER(DH22),逐级计算!$X$112&gt;-1),IF(逐级计算!$X$112=0,DH22+逐级计算!$C$112,DH22+逐级计算!$C$112-(10/(逐级计算!$Q$112*LN(10))*(MAX((LN(10^(逐级计算!$Q$112/10)-1)+逐级计算!$Q$112*(DH22-逐级计算!$P$112)*LN(10)/10),0)+LN(1+EXP(-ABS((LN(10^(逐级计算!$Q$112/10)-1)+逐级计算!$Q$112*(DH22-逐级计算!$P$112)*LN(10)/10))))))),"")</f>
        <v>13.7920116187994</v>
      </c>
      <c r="DJ22">
        <f>IF(AND(ISNUMBER(DI22),逐级计算!$X$113&gt;-1),IF(逐级计算!$X$113=0,DI22+逐级计算!$C$113,DI22+逐级计算!$C$113-(10/(逐级计算!$Q$113*LN(10))*(MAX((LN(10^(逐级计算!$Q$113/10)-1)+逐级计算!$Q$113*(DI22-逐级计算!$P$113)*LN(10)/10),0)+LN(1+EXP(-ABS((LN(10^(逐级计算!$Q$113/10)-1)+逐级计算!$Q$113*(DI22-逐级计算!$P$113)*LN(10)/10))))))),"")</f>
        <v>13.7920116187994</v>
      </c>
      <c r="DK22">
        <f>IF(AND(ISNUMBER(DJ22),逐级计算!$X$114&gt;-1),IF(逐级计算!$X$114=0,DJ22+逐级计算!$C$114,DJ22+逐级计算!$C$114-(10/(逐级计算!$Q$114*LN(10))*(MAX((LN(10^(逐级计算!$Q$114/10)-1)+逐级计算!$Q$114*(DJ22-逐级计算!$P$114)*LN(10)/10),0)+LN(1+EXP(-ABS((LN(10^(逐级计算!$Q$114/10)-1)+逐级计算!$Q$114*(DJ22-逐级计算!$P$114)*LN(10)/10))))))),"")</f>
        <v>13.7920116187994</v>
      </c>
      <c r="DL22">
        <f>IF(AND(ISNUMBER(DK22),逐级计算!$X$115&gt;-1),IF(逐级计算!$X$115=0,DK22+逐级计算!$C$115,DK22+逐级计算!$C$115-(10/(逐级计算!$Q$115*LN(10))*(MAX((LN(10^(逐级计算!$Q$115/10)-1)+逐级计算!$Q$115*(DK22-逐级计算!$P$115)*LN(10)/10),0)+LN(1+EXP(-ABS((LN(10^(逐级计算!$Q$115/10)-1)+逐级计算!$Q$115*(DK22-逐级计算!$P$115)*LN(10)/10))))))),"")</f>
        <v>13.7920116187994</v>
      </c>
      <c r="DM22">
        <f>IF(AND(ISNUMBER(DL22),逐级计算!$X$116&gt;-1),IF(逐级计算!$X$116=0,DL22+逐级计算!$C$116,DL22+逐级计算!$C$116-(10/(逐级计算!$Q$116*LN(10))*(MAX((LN(10^(逐级计算!$Q$116/10)-1)+逐级计算!$Q$116*(DL22-逐级计算!$P$116)*LN(10)/10),0)+LN(1+EXP(-ABS((LN(10^(逐级计算!$Q$116/10)-1)+逐级计算!$Q$116*(DL22-逐级计算!$P$116)*LN(10)/10))))))),"")</f>
        <v>13.7920116187994</v>
      </c>
      <c r="DN22">
        <f>IF(AND(ISNUMBER(DM22),逐级计算!$X$117&gt;-1),IF(逐级计算!$X$117=0,DM22+逐级计算!$C$117,DM22+逐级计算!$C$117-(10/(逐级计算!$Q$117*LN(10))*(MAX((LN(10^(逐级计算!$Q$117/10)-1)+逐级计算!$Q$117*(DM22-逐级计算!$P$117)*LN(10)/10),0)+LN(1+EXP(-ABS((LN(10^(逐级计算!$Q$117/10)-1)+逐级计算!$Q$117*(DM22-逐级计算!$P$117)*LN(10)/10))))))),"")</f>
        <v>13.7920116187994</v>
      </c>
      <c r="DO22">
        <f>IF(AND(ISNUMBER(DN22),逐级计算!$X$118&gt;-1),IF(逐级计算!$X$118=0,DN22+逐级计算!$C$118,DN22+逐级计算!$C$118-(10/(逐级计算!$Q$118*LN(10))*(MAX((LN(10^(逐级计算!$Q$118/10)-1)+逐级计算!$Q$118*(DN22-逐级计算!$P$118)*LN(10)/10),0)+LN(1+EXP(-ABS((LN(10^(逐级计算!$Q$118/10)-1)+逐级计算!$Q$118*(DN22-逐级计算!$P$118)*LN(10)/10))))))),"")</f>
        <v>13.7920116187994</v>
      </c>
      <c r="DP22">
        <f>IF(AND(ISNUMBER(DO22),逐级计算!$X$119&gt;-1),IF(逐级计算!$X$119=0,DO22+逐级计算!$C$119,DO22+逐级计算!$C$119-(10/(逐级计算!$Q$119*LN(10))*(MAX((LN(10^(逐级计算!$Q$119/10)-1)+逐级计算!$Q$119*(DO22-逐级计算!$P$119)*LN(10)/10),0)+LN(1+EXP(-ABS((LN(10^(逐级计算!$Q$119/10)-1)+逐级计算!$Q$119*(DO22-逐级计算!$P$119)*LN(10)/10))))))),"")</f>
        <v>13.7920116187994</v>
      </c>
      <c r="DQ22">
        <f>IF(AND(ISNUMBER(DP22),逐级计算!$X$120&gt;-1),IF(逐级计算!$X$120=0,DP22+逐级计算!$C$120,DP22+逐级计算!$C$120-(10/(逐级计算!$Q$120*LN(10))*(MAX((LN(10^(逐级计算!$Q$120/10)-1)+逐级计算!$Q$120*(DP22-逐级计算!$P$120)*LN(10)/10),0)+LN(1+EXP(-ABS((LN(10^(逐级计算!$Q$120/10)-1)+逐级计算!$Q$120*(DP22-逐级计算!$P$120)*LN(10)/10))))))),"")</f>
        <v>13.7920116187994</v>
      </c>
      <c r="DR22">
        <f>IF(AND(ISNUMBER(DQ22),逐级计算!$X$121&gt;-1),IF(逐级计算!$X$121=0,DQ22+逐级计算!$C$121,DQ22+逐级计算!$C$121-(10/(逐级计算!$Q$121*LN(10))*(MAX((LN(10^(逐级计算!$Q$121/10)-1)+逐级计算!$Q$121*(DQ22-逐级计算!$P$121)*LN(10)/10),0)+LN(1+EXP(-ABS((LN(10^(逐级计算!$Q$121/10)-1)+逐级计算!$Q$121*(DQ22-逐级计算!$P$121)*LN(10)/10))))))),"")</f>
        <v>13.7920116187994</v>
      </c>
      <c r="DS22">
        <f>IF(AND(ISNUMBER(DR22),逐级计算!$X$122&gt;-1),IF(逐级计算!$X$122=0,DR22+逐级计算!$C$122,DR22+逐级计算!$C$122-(10/(逐级计算!$Q$122*LN(10))*(MAX((LN(10^(逐级计算!$Q$122/10)-1)+逐级计算!$Q$122*(DR22-逐级计算!$P$122)*LN(10)/10),0)+LN(1+EXP(-ABS((LN(10^(逐级计算!$Q$122/10)-1)+逐级计算!$Q$122*(DR22-逐级计算!$P$122)*LN(10)/10))))))),"")</f>
        <v>13.7920116187994</v>
      </c>
      <c r="DT22">
        <f>IF(AND(ISNUMBER(DS22),逐级计算!$X$123&gt;-1),IF(逐级计算!$X$123=0,DS22+逐级计算!$C$123,DS22+逐级计算!$C$123-(10/(逐级计算!$Q$123*LN(10))*(MAX((LN(10^(逐级计算!$Q$123/10)-1)+逐级计算!$Q$123*(DS22-逐级计算!$P$123)*LN(10)/10),0)+LN(1+EXP(-ABS((LN(10^(逐级计算!$Q$123/10)-1)+逐级计算!$Q$123*(DS22-逐级计算!$P$123)*LN(10)/10))))))),"")</f>
        <v>13.7920116187994</v>
      </c>
      <c r="DU22">
        <f>IF(AND(ISNUMBER(DT22),逐级计算!$X$124&gt;-1),IF(逐级计算!$X$124=0,DT22+逐级计算!$C$124,DT22+逐级计算!$C$124-(10/(逐级计算!$Q$124*LN(10))*(MAX((LN(10^(逐级计算!$Q$124/10)-1)+逐级计算!$Q$124*(DT22-逐级计算!$P$124)*LN(10)/10),0)+LN(1+EXP(-ABS((LN(10^(逐级计算!$Q$124/10)-1)+逐级计算!$Q$124*(DT22-逐级计算!$P$124)*LN(10)/10))))))),"")</f>
        <v>13.7920116187994</v>
      </c>
      <c r="DV22">
        <f>IF(AND(ISNUMBER(DU22),逐级计算!$X$125&gt;-1),IF(逐级计算!$X$125=0,DU22+逐级计算!$C$125,DU22+逐级计算!$C$125-(10/(逐级计算!$Q$125*LN(10))*(MAX((LN(10^(逐级计算!$Q$125/10)-1)+逐级计算!$Q$125*(DU22-逐级计算!$P$125)*LN(10)/10),0)+LN(1+EXP(-ABS((LN(10^(逐级计算!$Q$125/10)-1)+逐级计算!$Q$125*(DU22-逐级计算!$P$125)*LN(10)/10))))))),"")</f>
        <v>13.7920116187994</v>
      </c>
      <c r="DW22">
        <f>IF(AND(ISNUMBER(DV22),逐级计算!$X$126&gt;-1),IF(逐级计算!$X$126=0,DV22+逐级计算!$C$126,DV22+逐级计算!$C$126-(10/(逐级计算!$Q$126*LN(10))*(MAX((LN(10^(逐级计算!$Q$126/10)-1)+逐级计算!$Q$126*(DV22-逐级计算!$P$126)*LN(10)/10),0)+LN(1+EXP(-ABS((LN(10^(逐级计算!$Q$126/10)-1)+逐级计算!$Q$126*(DV22-逐级计算!$P$126)*LN(10)/10))))))),"")</f>
        <v>13.7920116187994</v>
      </c>
      <c r="DX22">
        <f>IF(AND(ISNUMBER(DW22),逐级计算!$X$127&gt;-1),IF(逐级计算!$X$127=0,DW22+逐级计算!$C$127,DW22+逐级计算!$C$127-(10/(逐级计算!$Q$127*LN(10))*(MAX((LN(10^(逐级计算!$Q$127/10)-1)+逐级计算!$Q$127*(DW22-逐级计算!$P$127)*LN(10)/10),0)+LN(1+EXP(-ABS((LN(10^(逐级计算!$Q$127/10)-1)+逐级计算!$Q$127*(DW22-逐级计算!$P$127)*LN(10)/10))))))),"")</f>
        <v>13.7920116187994</v>
      </c>
      <c r="DY22">
        <f>IF(AND(ISNUMBER(DX22),逐级计算!$X$128&gt;-1),IF(逐级计算!$X$128=0,DX22+逐级计算!$C$128,DX22+逐级计算!$C$128-(10/(逐级计算!$Q$128*LN(10))*(MAX((LN(10^(逐级计算!$Q$128/10)-1)+逐级计算!$Q$128*(DX22-逐级计算!$P$128)*LN(10)/10),0)+LN(1+EXP(-ABS((LN(10^(逐级计算!$Q$128/10)-1)+逐级计算!$Q$128*(DX22-逐级计算!$P$128)*LN(10)/10))))))),"")</f>
        <v>13.7920116187994</v>
      </c>
      <c r="DZ22">
        <f>IF(AND(ISNUMBER(DY22),逐级计算!$X$129&gt;-1),IF(逐级计算!$X$129=0,DY22+逐级计算!$C$129,DY22+逐级计算!$C$129-(10/(逐级计算!$Q$129*LN(10))*(MAX((LN(10^(逐级计算!$Q$129/10)-1)+逐级计算!$Q$129*(DY22-逐级计算!$P$129)*LN(10)/10),0)+LN(1+EXP(-ABS((LN(10^(逐级计算!$Q$129/10)-1)+逐级计算!$Q$129*(DY22-逐级计算!$P$129)*LN(10)/10))))))),"")</f>
        <v>13.7920116187994</v>
      </c>
      <c r="EA22">
        <f>IF(AND(ISNUMBER(DZ22),逐级计算!$X$130&gt;-1),IF(逐级计算!$X$130=0,DZ22+逐级计算!$C$130,DZ22+逐级计算!$C$130-(10/(逐级计算!$Q$130*LN(10))*(MAX((LN(10^(逐级计算!$Q$130/10)-1)+逐级计算!$Q$130*(DZ22-逐级计算!$P$130)*LN(10)/10),0)+LN(1+EXP(-ABS((LN(10^(逐级计算!$Q$130/10)-1)+逐级计算!$Q$130*(DZ22-逐级计算!$P$130)*LN(10)/10))))))),"")</f>
        <v>13.7920116187994</v>
      </c>
      <c r="EB22">
        <f>IF(AND(ISNUMBER(EA22),逐级计算!$X$131&gt;-1),IF(逐级计算!$X$131=0,EA22+逐级计算!$C$131,EA22+逐级计算!$C$131-(10/(逐级计算!$Q$131*LN(10))*(MAX((LN(10^(逐级计算!$Q$131/10)-1)+逐级计算!$Q$131*(EA22-逐级计算!$P$131)*LN(10)/10),0)+LN(1+EXP(-ABS((LN(10^(逐级计算!$Q$131/10)-1)+逐级计算!$Q$131*(EA22-逐级计算!$P$131)*LN(10)/10))))))),"")</f>
        <v>13.7920116187994</v>
      </c>
      <c r="EC22">
        <f>IF(AND(ISNUMBER(EB22),逐级计算!$X$132&gt;-1),IF(逐级计算!$X$132=0,EB22+逐级计算!$C$132,EB22+逐级计算!$C$132-(10/(逐级计算!$Q$132*LN(10))*(MAX((LN(10^(逐级计算!$Q$132/10)-1)+逐级计算!$Q$132*(EB22-逐级计算!$P$132)*LN(10)/10),0)+LN(1+EXP(-ABS((LN(10^(逐级计算!$Q$132/10)-1)+逐级计算!$Q$132*(EB22-逐级计算!$P$132)*LN(10)/10))))))),"")</f>
        <v>13.7920116187994</v>
      </c>
      <c r="ED22">
        <f>IF(AND(ISNUMBER(EC22),逐级计算!$X$133&gt;-1),IF(逐级计算!$X$133=0,EC22+逐级计算!$C$133,EC22+逐级计算!$C$133-(10/(逐级计算!$Q$133*LN(10))*(MAX((LN(10^(逐级计算!$Q$133/10)-1)+逐级计算!$Q$133*(EC22-逐级计算!$P$133)*LN(10)/10),0)+LN(1+EXP(-ABS((LN(10^(逐级计算!$Q$133/10)-1)+逐级计算!$Q$133*(EC22-逐级计算!$P$133)*LN(10)/10))))))),"")</f>
        <v>13.7920116187994</v>
      </c>
      <c r="EE22">
        <f>IF(AND(ISNUMBER(ED22),逐级计算!$X$134&gt;-1),IF(逐级计算!$X$134=0,ED22+逐级计算!$C$134,ED22+逐级计算!$C$134-(10/(逐级计算!$Q$134*LN(10))*(MAX((LN(10^(逐级计算!$Q$134/10)-1)+逐级计算!$Q$134*(ED22-逐级计算!$P$134)*LN(10)/10),0)+LN(1+EXP(-ABS((LN(10^(逐级计算!$Q$134/10)-1)+逐级计算!$Q$134*(ED22-逐级计算!$P$134)*LN(10)/10))))))),"")</f>
        <v>13.7920116187994</v>
      </c>
      <c r="EF22">
        <f>IF(AND(ISNUMBER(EE22),逐级计算!$X$135&gt;-1),IF(逐级计算!$X$135=0,EE22+逐级计算!$C$135,EE22+逐级计算!$C$135-(10/(逐级计算!$Q$135*LN(10))*(MAX((LN(10^(逐级计算!$Q$135/10)-1)+逐级计算!$Q$135*(EE22-逐级计算!$P$135)*LN(10)/10),0)+LN(1+EXP(-ABS((LN(10^(逐级计算!$Q$135/10)-1)+逐级计算!$Q$135*(EE22-逐级计算!$P$135)*LN(10)/10))))))),"")</f>
        <v>13.7920116187994</v>
      </c>
      <c r="EG22">
        <f>IF(AND(ISNUMBER(EF22),逐级计算!$X$136&gt;-1),IF(逐级计算!$X$136=0,EF22+逐级计算!$C$136,EF22+逐级计算!$C$136-(10/(逐级计算!$Q$136*LN(10))*(MAX((LN(10^(逐级计算!$Q$136/10)-1)+逐级计算!$Q$136*(EF22-逐级计算!$P$136)*LN(10)/10),0)+LN(1+EXP(-ABS((LN(10^(逐级计算!$Q$136/10)-1)+逐级计算!$Q$136*(EF22-逐级计算!$P$136)*LN(10)/10))))))),"")</f>
        <v>13.7920116187994</v>
      </c>
      <c r="EH22">
        <f>IF(AND(ISNUMBER(EG22),逐级计算!$X$137&gt;-1),IF(逐级计算!$X$137=0,EG22+逐级计算!$C$137,EG22+逐级计算!$C$137-(10/(逐级计算!$Q$137*LN(10))*(MAX((LN(10^(逐级计算!$Q$137/10)-1)+逐级计算!$Q$137*(EG22-逐级计算!$P$137)*LN(10)/10),0)+LN(1+EXP(-ABS((LN(10^(逐级计算!$Q$137/10)-1)+逐级计算!$Q$137*(EG22-逐级计算!$P$137)*LN(10)/10))))))),"")</f>
        <v>13.7920116187994</v>
      </c>
      <c r="EI22">
        <f>IF(AND(ISNUMBER(EH22),逐级计算!$X$138&gt;-1),IF(逐级计算!$X$138=0,EH22+逐级计算!$C$138,EH22+逐级计算!$C$138-(10/(逐级计算!$Q$138*LN(10))*(MAX((LN(10^(逐级计算!$Q$138/10)-1)+逐级计算!$Q$138*(EH22-逐级计算!$P$138)*LN(10)/10),0)+LN(1+EXP(-ABS((LN(10^(逐级计算!$Q$138/10)-1)+逐级计算!$Q$138*(EH22-逐级计算!$P$138)*LN(10)/10))))))),"")</f>
        <v>13.7920116187994</v>
      </c>
      <c r="EJ22">
        <f>IF(AND(ISNUMBER(EI22),逐级计算!$X$139&gt;-1),IF(逐级计算!$X$139=0,EI22+逐级计算!$C$139,EI22+逐级计算!$C$139-(10/(逐级计算!$Q$139*LN(10))*(MAX((LN(10^(逐级计算!$Q$139/10)-1)+逐级计算!$Q$139*(EI22-逐级计算!$P$139)*LN(10)/10),0)+LN(1+EXP(-ABS((LN(10^(逐级计算!$Q$139/10)-1)+逐级计算!$Q$139*(EI22-逐级计算!$P$139)*LN(10)/10))))))),"")</f>
        <v>13.7920116187994</v>
      </c>
      <c r="EK22">
        <f>IF(AND(ISNUMBER(EJ22),逐级计算!$X$140&gt;-1),IF(逐级计算!$X$140=0,EJ22+逐级计算!$C$140,EJ22+逐级计算!$C$140-(10/(逐级计算!$Q$140*LN(10))*(MAX((LN(10^(逐级计算!$Q$140/10)-1)+逐级计算!$Q$140*(EJ22-逐级计算!$P$140)*LN(10)/10),0)+LN(1+EXP(-ABS((LN(10^(逐级计算!$Q$140/10)-1)+逐级计算!$Q$140*(EJ22-逐级计算!$P$140)*LN(10)/10))))))),"")</f>
        <v>13.7920116187994</v>
      </c>
      <c r="EL22">
        <f>IF(AND(ISNUMBER(EK22),逐级计算!$X$141&gt;-1),IF(逐级计算!$X$141=0,EK22+逐级计算!$C$141,EK22+逐级计算!$C$141-(10/(逐级计算!$Q$141*LN(10))*(MAX((LN(10^(逐级计算!$Q$141/10)-1)+逐级计算!$Q$141*(EK22-逐级计算!$P$141)*LN(10)/10),0)+LN(1+EXP(-ABS((LN(10^(逐级计算!$Q$141/10)-1)+逐级计算!$Q$141*(EK22-逐级计算!$P$141)*LN(10)/10))))))),"")</f>
        <v>13.7920116187994</v>
      </c>
      <c r="EM22">
        <f>IF(AND(ISNUMBER(EL22),逐级计算!$X$142&gt;-1),IF(逐级计算!$X$142=0,EL22+逐级计算!$C$142,EL22+逐级计算!$C$142-(10/(逐级计算!$Q$142*LN(10))*(MAX((LN(10^(逐级计算!$Q$142/10)-1)+逐级计算!$Q$142*(EL22-逐级计算!$P$142)*LN(10)/10),0)+LN(1+EXP(-ABS((LN(10^(逐级计算!$Q$142/10)-1)+逐级计算!$Q$142*(EL22-逐级计算!$P$142)*LN(10)/10))))))),"")</f>
        <v>13.7920116187994</v>
      </c>
      <c r="EN22">
        <f>IF(AND(ISNUMBER(EM22),逐级计算!$X$143&gt;-1),IF(逐级计算!$X$143=0,EM22+逐级计算!$C$143,EM22+逐级计算!$C$143-(10/(逐级计算!$Q$143*LN(10))*(MAX((LN(10^(逐级计算!$Q$143/10)-1)+逐级计算!$Q$143*(EM22-逐级计算!$P$143)*LN(10)/10),0)+LN(1+EXP(-ABS((LN(10^(逐级计算!$Q$143/10)-1)+逐级计算!$Q$143*(EM22-逐级计算!$P$143)*LN(10)/10))))))),"")</f>
        <v>13.7920116187994</v>
      </c>
      <c r="EO22">
        <f>IF(AND(ISNUMBER(EN22),逐级计算!$X$144&gt;-1),IF(逐级计算!$X$144=0,EN22+逐级计算!$C$144,EN22+逐级计算!$C$144-(10/(逐级计算!$Q$144*LN(10))*(MAX((LN(10^(逐级计算!$Q$144/10)-1)+逐级计算!$Q$144*(EN22-逐级计算!$P$144)*LN(10)/10),0)+LN(1+EXP(-ABS((LN(10^(逐级计算!$Q$144/10)-1)+逐级计算!$Q$144*(EN22-逐级计算!$P$144)*LN(10)/10))))))),"")</f>
        <v>13.7920116187994</v>
      </c>
      <c r="EP22">
        <f>IF(AND(ISNUMBER(EO22),逐级计算!$X$145&gt;-1),IF(逐级计算!$X$145=0,EO22+逐级计算!$C$145,EO22+逐级计算!$C$145-(10/(逐级计算!$Q$145*LN(10))*(MAX((LN(10^(逐级计算!$Q$145/10)-1)+逐级计算!$Q$145*(EO22-逐级计算!$P$145)*LN(10)/10),0)+LN(1+EXP(-ABS((LN(10^(逐级计算!$Q$145/10)-1)+逐级计算!$Q$145*(EO22-逐级计算!$P$145)*LN(10)/10))))))),"")</f>
        <v>13.7920116187994</v>
      </c>
      <c r="EQ22">
        <f>IF(AND(ISNUMBER(EP22),逐级计算!$X$146&gt;-1),IF(逐级计算!$X$146=0,EP22+逐级计算!$C$146,EP22+逐级计算!$C$146-(10/(逐级计算!$Q$146*LN(10))*(MAX((LN(10^(逐级计算!$Q$146/10)-1)+逐级计算!$Q$146*(EP22-逐级计算!$P$146)*LN(10)/10),0)+LN(1+EXP(-ABS((LN(10^(逐级计算!$Q$146/10)-1)+逐级计算!$Q$146*(EP22-逐级计算!$P$146)*LN(10)/10))))))),"")</f>
        <v>13.7920116187994</v>
      </c>
      <c r="ER22">
        <f>IF(AND(ISNUMBER(EQ22),逐级计算!$X$147&gt;-1),IF(逐级计算!$X$147=0,EQ22+逐级计算!$C$147,EQ22+逐级计算!$C$147-(10/(逐级计算!$Q$147*LN(10))*(MAX((LN(10^(逐级计算!$Q$147/10)-1)+逐级计算!$Q$147*(EQ22-逐级计算!$P$147)*LN(10)/10),0)+LN(1+EXP(-ABS((LN(10^(逐级计算!$Q$147/10)-1)+逐级计算!$Q$147*(EQ22-逐级计算!$P$147)*LN(10)/10))))))),"")</f>
        <v>13.7920116187994</v>
      </c>
      <c r="ES22">
        <f>IF(AND(ISNUMBER(ER22),逐级计算!$X$148&gt;-1),IF(逐级计算!$X$148=0,ER22+逐级计算!$C$148,ER22+逐级计算!$C$148-(10/(逐级计算!$Q$148*LN(10))*(MAX((LN(10^(逐级计算!$Q$148/10)-1)+逐级计算!$Q$148*(ER22-逐级计算!$P$148)*LN(10)/10),0)+LN(1+EXP(-ABS((LN(10^(逐级计算!$Q$148/10)-1)+逐级计算!$Q$148*(ER22-逐级计算!$P$148)*LN(10)/10))))))),"")</f>
        <v>13.7920116187994</v>
      </c>
      <c r="ET22">
        <f>IF(AND(ISNUMBER(ES22),逐级计算!$X$149&gt;-1),IF(逐级计算!$X$149=0,ES22+逐级计算!$C$149,ES22+逐级计算!$C$149-(10/(逐级计算!$Q$149*LN(10))*(MAX((LN(10^(逐级计算!$Q$149/10)-1)+逐级计算!$Q$149*(ES22-逐级计算!$P$149)*LN(10)/10),0)+LN(1+EXP(-ABS((LN(10^(逐级计算!$Q$149/10)-1)+逐级计算!$Q$149*(ES22-逐级计算!$P$149)*LN(10)/10))))))),"")</f>
        <v>13.7920116187994</v>
      </c>
      <c r="EU22">
        <f>IF(AND(ISNUMBER(ET22),逐级计算!$X$150&gt;-1),IF(逐级计算!$X$150=0,ET22+逐级计算!$C$150,ET22+逐级计算!$C$150-(10/(逐级计算!$Q$150*LN(10))*(MAX((LN(10^(逐级计算!$Q$150/10)-1)+逐级计算!$Q$150*(ET22-逐级计算!$P$150)*LN(10)/10),0)+LN(1+EXP(-ABS((LN(10^(逐级计算!$Q$150/10)-1)+逐级计算!$Q$150*(ET22-逐级计算!$P$150)*LN(10)/10))))))),"")</f>
        <v>13.7920116187994</v>
      </c>
      <c r="EV22">
        <f>IF(AND(ISNUMBER(EU22),逐级计算!$X$151&gt;-1),IF(逐级计算!$X$151=0,EU22+逐级计算!$C$151,EU22+逐级计算!$C$151-(10/(逐级计算!$Q$151*LN(10))*(MAX((LN(10^(逐级计算!$Q$151/10)-1)+逐级计算!$Q$151*(EU22-逐级计算!$P$151)*LN(10)/10),0)+LN(1+EXP(-ABS((LN(10^(逐级计算!$Q$151/10)-1)+逐级计算!$Q$151*(EU22-逐级计算!$P$151)*LN(10)/10))))))),"")</f>
        <v>13.7920116187994</v>
      </c>
      <c r="EW22">
        <f>IF(AND(ISNUMBER(EV22),逐级计算!$X$152&gt;-1),IF(逐级计算!$X$152=0,EV22+逐级计算!$C$152,EV22+逐级计算!$C$152-(10/(逐级计算!$Q$152*LN(10))*(MAX((LN(10^(逐级计算!$Q$152/10)-1)+逐级计算!$Q$152*(EV22-逐级计算!$P$152)*LN(10)/10),0)+LN(1+EXP(-ABS((LN(10^(逐级计算!$Q$152/10)-1)+逐级计算!$Q$152*(EV22-逐级计算!$P$152)*LN(10)/10))))))),"")</f>
        <v>13.7920116187994</v>
      </c>
      <c r="EX22">
        <f>IF(AND(ISNUMBER(EW22),逐级计算!$X$153&gt;-1),IF(逐级计算!$X$153=0,EW22+逐级计算!$C$153,EW22+逐级计算!$C$153-(10/(逐级计算!$Q$153*LN(10))*(MAX((LN(10^(逐级计算!$Q$153/10)-1)+逐级计算!$Q$153*(EW22-逐级计算!$P$153)*LN(10)/10),0)+LN(1+EXP(-ABS((LN(10^(逐级计算!$Q$153/10)-1)+逐级计算!$Q$153*(EW22-逐级计算!$P$153)*LN(10)/10))))))),"")</f>
        <v>13.7920116187994</v>
      </c>
      <c r="EY22">
        <f>IF(AND(ISNUMBER(EX22),逐级计算!$X$154&gt;-1),IF(逐级计算!$X$154=0,EX22+逐级计算!$C$154,EX22+逐级计算!$C$154-(10/(逐级计算!$Q$154*LN(10))*(MAX((LN(10^(逐级计算!$Q$154/10)-1)+逐级计算!$Q$154*(EX22-逐级计算!$P$154)*LN(10)/10),0)+LN(1+EXP(-ABS((LN(10^(逐级计算!$Q$154/10)-1)+逐级计算!$Q$154*(EX22-逐级计算!$P$154)*LN(10)/10))))))),"")</f>
        <v>13.7920116187994</v>
      </c>
      <c r="EZ22">
        <f>IF(AND(ISNUMBER(EY22),逐级计算!$X$155&gt;-1),IF(逐级计算!$X$155=0,EY22+逐级计算!$C$155,EY22+逐级计算!$C$155-(10/(逐级计算!$Q$155*LN(10))*(MAX((LN(10^(逐级计算!$Q$155/10)-1)+逐级计算!$Q$155*(EY22-逐级计算!$P$155)*LN(10)/10),0)+LN(1+EXP(-ABS((LN(10^(逐级计算!$Q$155/10)-1)+逐级计算!$Q$155*(EY22-逐级计算!$P$155)*LN(10)/10))))))),"")</f>
        <v>13.7920116187994</v>
      </c>
      <c r="FA22">
        <f>IF(AND(ISNUMBER(EZ22),逐级计算!$X$156&gt;-1),IF(逐级计算!$X$156=0,EZ22+逐级计算!$C$156,EZ22+逐级计算!$C$156-(10/(逐级计算!$Q$156*LN(10))*(MAX((LN(10^(逐级计算!$Q$156/10)-1)+逐级计算!$Q$156*(EZ22-逐级计算!$P$156)*LN(10)/10),0)+LN(1+EXP(-ABS((LN(10^(逐级计算!$Q$156/10)-1)+逐级计算!$Q$156*(EZ22-逐级计算!$P$156)*LN(10)/10))))))),"")</f>
        <v>13.7920116187994</v>
      </c>
      <c r="FB22">
        <f>IF(AND(ISNUMBER(FA22),逐级计算!$X$157&gt;-1),IF(逐级计算!$X$157=0,FA22+逐级计算!$C$157,FA22+逐级计算!$C$157-(10/(逐级计算!$Q$157*LN(10))*(MAX((LN(10^(逐级计算!$Q$157/10)-1)+逐级计算!$Q$157*(FA22-逐级计算!$P$157)*LN(10)/10),0)+LN(1+EXP(-ABS((LN(10^(逐级计算!$Q$157/10)-1)+逐级计算!$Q$157*(FA22-逐级计算!$P$157)*LN(10)/10))))))),"")</f>
        <v>13.7920116187994</v>
      </c>
      <c r="FC22">
        <f>IF(AND(ISNUMBER(FB22),逐级计算!$X$158&gt;-1),IF(逐级计算!$X$158=0,FB22+逐级计算!$C$158,FB22+逐级计算!$C$158-(10/(逐级计算!$Q$158*LN(10))*(MAX((LN(10^(逐级计算!$Q$158/10)-1)+逐级计算!$Q$158*(FB22-逐级计算!$P$158)*LN(10)/10),0)+LN(1+EXP(-ABS((LN(10^(逐级计算!$Q$158/10)-1)+逐级计算!$Q$158*(FB22-逐级计算!$P$158)*LN(10)/10))))))),"")</f>
        <v>13.7920116187994</v>
      </c>
      <c r="FD22">
        <f>IF(AND(ISNUMBER(FC22),逐级计算!$X$159&gt;-1),IF(逐级计算!$X$159=0,FC22+逐级计算!$C$159,FC22+逐级计算!$C$159-(10/(逐级计算!$Q$159*LN(10))*(MAX((LN(10^(逐级计算!$Q$159/10)-1)+逐级计算!$Q$159*(FC22-逐级计算!$P$159)*LN(10)/10),0)+LN(1+EXP(-ABS((LN(10^(逐级计算!$Q$159/10)-1)+逐级计算!$Q$159*(FC22-逐级计算!$P$159)*LN(10)/10))))))),"")</f>
        <v>13.7920116187994</v>
      </c>
      <c r="FE22">
        <f>IF(AND(ISNUMBER(FD22),逐级计算!$X$160&gt;-1),IF(逐级计算!$X$160=0,FD22+逐级计算!$C$160,FD22+逐级计算!$C$160-(10/(逐级计算!$Q$160*LN(10))*(MAX((LN(10^(逐级计算!$Q$160/10)-1)+逐级计算!$Q$160*(FD22-逐级计算!$P$160)*LN(10)/10),0)+LN(1+EXP(-ABS((LN(10^(逐级计算!$Q$160/10)-1)+逐级计算!$Q$160*(FD22-逐级计算!$P$160)*LN(10)/10))))))),"")</f>
        <v>13.7920116187994</v>
      </c>
      <c r="FF22">
        <f>IF(AND(ISNUMBER(FE22),逐级计算!$X$161&gt;-1),IF(逐级计算!$X$161=0,FE22+逐级计算!$C$161,FE22+逐级计算!$C$161-(10/(逐级计算!$Q$161*LN(10))*(MAX((LN(10^(逐级计算!$Q$161/10)-1)+逐级计算!$Q$161*(FE22-逐级计算!$P$161)*LN(10)/10),0)+LN(1+EXP(-ABS((LN(10^(逐级计算!$Q$161/10)-1)+逐级计算!$Q$161*(FE22-逐级计算!$P$161)*LN(10)/10))))))),"")</f>
        <v>13.7920116187994</v>
      </c>
      <c r="FG22">
        <f>IF(AND(ISNUMBER(FF22),逐级计算!$X$162&gt;-1),IF(逐级计算!$X$162=0,FF22+逐级计算!$C$162,FF22+逐级计算!$C$162-(10/(逐级计算!$Q$162*LN(10))*(MAX((LN(10^(逐级计算!$Q$162/10)-1)+逐级计算!$Q$162*(FF22-逐级计算!$P$162)*LN(10)/10),0)+LN(1+EXP(-ABS((LN(10^(逐级计算!$Q$162/10)-1)+逐级计算!$Q$162*(FF22-逐级计算!$P$162)*LN(10)/10))))))),"")</f>
        <v>13.7920116187994</v>
      </c>
      <c r="FH22">
        <f>IF(AND(ISNUMBER(FG22),逐级计算!$X$163&gt;-1),IF(逐级计算!$X$163=0,FG22+逐级计算!$C$163,FG22+逐级计算!$C$163-(10/(逐级计算!$Q$163*LN(10))*(MAX((LN(10^(逐级计算!$Q$163/10)-1)+逐级计算!$Q$163*(FG22-逐级计算!$P$163)*LN(10)/10),0)+LN(1+EXP(-ABS((LN(10^(逐级计算!$Q$163/10)-1)+逐级计算!$Q$163*(FG22-逐级计算!$P$163)*LN(10)/10))))))),"")</f>
        <v>13.7920116187994</v>
      </c>
      <c r="FI22">
        <f>IF(AND(ISNUMBER(FH22),逐级计算!$X$164&gt;-1),IF(逐级计算!$X$164=0,FH22+逐级计算!$C$164,FH22+逐级计算!$C$164-(10/(逐级计算!$Q$164*LN(10))*(MAX((LN(10^(逐级计算!$Q$164/10)-1)+逐级计算!$Q$164*(FH22-逐级计算!$P$164)*LN(10)/10),0)+LN(1+EXP(-ABS((LN(10^(逐级计算!$Q$164/10)-1)+逐级计算!$Q$164*(FH22-逐级计算!$P$164)*LN(10)/10))))))),"")</f>
        <v>13.7920116187994</v>
      </c>
      <c r="FJ22">
        <f>IF(AND(ISNUMBER(FI22),逐级计算!$X$165&gt;-1),IF(逐级计算!$X$165=0,FI22+逐级计算!$C$165,FI22+逐级计算!$C$165-(10/(逐级计算!$Q$165*LN(10))*(MAX((LN(10^(逐级计算!$Q$165/10)-1)+逐级计算!$Q$165*(FI22-逐级计算!$P$165)*LN(10)/10),0)+LN(1+EXP(-ABS((LN(10^(逐级计算!$Q$165/10)-1)+逐级计算!$Q$165*(FI22-逐级计算!$P$165)*LN(10)/10))))))),"")</f>
        <v>13.7920116187994</v>
      </c>
      <c r="FK22">
        <f>IF(AND(ISNUMBER(FJ22),逐级计算!$X$166&gt;-1),IF(逐级计算!$X$166=0,FJ22+逐级计算!$C$166,FJ22+逐级计算!$C$166-(10/(逐级计算!$Q$166*LN(10))*(MAX((LN(10^(逐级计算!$Q$166/10)-1)+逐级计算!$Q$166*(FJ22-逐级计算!$P$166)*LN(10)/10),0)+LN(1+EXP(-ABS((LN(10^(逐级计算!$Q$166/10)-1)+逐级计算!$Q$166*(FJ22-逐级计算!$P$166)*LN(10)/10))))))),"")</f>
        <v>13.7920116187994</v>
      </c>
      <c r="FL22">
        <f>IF(AND(ISNUMBER(FK22),逐级计算!$X$167&gt;-1),IF(逐级计算!$X$167=0,FK22+逐级计算!$C$167,FK22+逐级计算!$C$167-(10/(逐级计算!$Q$167*LN(10))*(MAX((LN(10^(逐级计算!$Q$167/10)-1)+逐级计算!$Q$167*(FK22-逐级计算!$P$167)*LN(10)/10),0)+LN(1+EXP(-ABS((LN(10^(逐级计算!$Q$167/10)-1)+逐级计算!$Q$167*(FK22-逐级计算!$P$167)*LN(10)/10))))))),"")</f>
        <v>13.7920116187994</v>
      </c>
      <c r="FM22">
        <f>IF(AND(ISNUMBER(FL22),逐级计算!$X$168&gt;-1),IF(逐级计算!$X$168=0,FL22+逐级计算!$C$168,FL22+逐级计算!$C$168-(10/(逐级计算!$Q$168*LN(10))*(MAX((LN(10^(逐级计算!$Q$168/10)-1)+逐级计算!$Q$168*(FL22-逐级计算!$P$168)*LN(10)/10),0)+LN(1+EXP(-ABS((LN(10^(逐级计算!$Q$168/10)-1)+逐级计算!$Q$168*(FL22-逐级计算!$P$168)*LN(10)/10))))))),"")</f>
        <v>13.7920116187994</v>
      </c>
      <c r="FN22">
        <f>IF(AND(ISNUMBER(FM22),逐级计算!$X$169&gt;-1),IF(逐级计算!$X$169=0,FM22+逐级计算!$C$169,FM22+逐级计算!$C$169-(10/(逐级计算!$Q$169*LN(10))*(MAX((LN(10^(逐级计算!$Q$169/10)-1)+逐级计算!$Q$169*(FM22-逐级计算!$P$169)*LN(10)/10),0)+LN(1+EXP(-ABS((LN(10^(逐级计算!$Q$169/10)-1)+逐级计算!$Q$169*(FM22-逐级计算!$P$169)*LN(10)/10))))))),"")</f>
        <v>13.7920116187994</v>
      </c>
      <c r="FO22">
        <f>IF(AND(ISNUMBER(FN22),逐级计算!$X$170&gt;-1),IF(逐级计算!$X$170=0,FN22+逐级计算!$C$170,FN22+逐级计算!$C$170-(10/(逐级计算!$Q$170*LN(10))*(MAX((LN(10^(逐级计算!$Q$170/10)-1)+逐级计算!$Q$170*(FN22-逐级计算!$P$170)*LN(10)/10),0)+LN(1+EXP(-ABS((LN(10^(逐级计算!$Q$170/10)-1)+逐级计算!$Q$170*(FN22-逐级计算!$P$170)*LN(10)/10))))))),"")</f>
        <v>13.7920116187994</v>
      </c>
      <c r="FP22">
        <f>IF(AND(ISNUMBER(FO22),逐级计算!$X$171&gt;-1),IF(逐级计算!$X$171=0,FO22+逐级计算!$C$171,FO22+逐级计算!$C$171-(10/(逐级计算!$Q$171*LN(10))*(MAX((LN(10^(逐级计算!$Q$171/10)-1)+逐级计算!$Q$171*(FO22-逐级计算!$P$171)*LN(10)/10),0)+LN(1+EXP(-ABS((LN(10^(逐级计算!$Q$171/10)-1)+逐级计算!$Q$171*(FO22-逐级计算!$P$171)*LN(10)/10))))))),"")</f>
        <v>13.7920116187994</v>
      </c>
      <c r="FQ22">
        <f>IF(AND(ISNUMBER(FP22),逐级计算!$X$172&gt;-1),IF(逐级计算!$X$172=0,FP22+逐级计算!$C$172,FP22+逐级计算!$C$172-(10/(逐级计算!$Q$172*LN(10))*(MAX((LN(10^(逐级计算!$Q$172/10)-1)+逐级计算!$Q$172*(FP22-逐级计算!$P$172)*LN(10)/10),0)+LN(1+EXP(-ABS((LN(10^(逐级计算!$Q$172/10)-1)+逐级计算!$Q$172*(FP22-逐级计算!$P$172)*LN(10)/10))))))),"")</f>
        <v>13.7920116187994</v>
      </c>
      <c r="FR22">
        <f>IF(AND(ISNUMBER(FQ22),逐级计算!$X$173&gt;-1),IF(逐级计算!$X$173=0,FQ22+逐级计算!$C$173,FQ22+逐级计算!$C$173-(10/(逐级计算!$Q$173*LN(10))*(MAX((LN(10^(逐级计算!$Q$173/10)-1)+逐级计算!$Q$173*(FQ22-逐级计算!$P$173)*LN(10)/10),0)+LN(1+EXP(-ABS((LN(10^(逐级计算!$Q$173/10)-1)+逐级计算!$Q$173*(FQ22-逐级计算!$P$173)*LN(10)/10))))))),"")</f>
        <v>13.7920116187994</v>
      </c>
      <c r="FS22">
        <f>IF(AND(ISNUMBER(FR22),逐级计算!$X$174&gt;-1),IF(逐级计算!$X$174=0,FR22+逐级计算!$C$174,FR22+逐级计算!$C$174-(10/(逐级计算!$Q$174*LN(10))*(MAX((LN(10^(逐级计算!$Q$174/10)-1)+逐级计算!$Q$174*(FR22-逐级计算!$P$174)*LN(10)/10),0)+LN(1+EXP(-ABS((LN(10^(逐级计算!$Q$174/10)-1)+逐级计算!$Q$174*(FR22-逐级计算!$P$174)*LN(10)/10))))))),"")</f>
        <v>13.7920116187994</v>
      </c>
      <c r="FT22">
        <f>IF(AND(ISNUMBER(FS22),逐级计算!$X$175&gt;-1),IF(逐级计算!$X$175=0,FS22+逐级计算!$C$175,FS22+逐级计算!$C$175-(10/(逐级计算!$Q$175*LN(10))*(MAX((LN(10^(逐级计算!$Q$175/10)-1)+逐级计算!$Q$175*(FS22-逐级计算!$P$175)*LN(10)/10),0)+LN(1+EXP(-ABS((LN(10^(逐级计算!$Q$175/10)-1)+逐级计算!$Q$175*(FS22-逐级计算!$P$175)*LN(10)/10))))))),"")</f>
        <v>13.7920116187994</v>
      </c>
      <c r="FU22">
        <f>IF(AND(ISNUMBER(FT22),逐级计算!$X$176&gt;-1),IF(逐级计算!$X$176=0,FT22+逐级计算!$C$176,FT22+逐级计算!$C$176-(10/(逐级计算!$Q$176*LN(10))*(MAX((LN(10^(逐级计算!$Q$176/10)-1)+逐级计算!$Q$176*(FT22-逐级计算!$P$176)*LN(10)/10),0)+LN(1+EXP(-ABS((LN(10^(逐级计算!$Q$176/10)-1)+逐级计算!$Q$176*(FT22-逐级计算!$P$176)*LN(10)/10))))))),"")</f>
        <v>13.7920116187994</v>
      </c>
      <c r="FV22">
        <f>IF(AND(ISNUMBER(FU22),逐级计算!$X$177&gt;-1),IF(逐级计算!$X$177=0,FU22+逐级计算!$C$177,FU22+逐级计算!$C$177-(10/(逐级计算!$Q$177*LN(10))*(MAX((LN(10^(逐级计算!$Q$177/10)-1)+逐级计算!$Q$177*(FU22-逐级计算!$P$177)*LN(10)/10),0)+LN(1+EXP(-ABS((LN(10^(逐级计算!$Q$177/10)-1)+逐级计算!$Q$177*(FU22-逐级计算!$P$177)*LN(10)/10))))))),"")</f>
        <v>13.7920116187994</v>
      </c>
      <c r="FW22">
        <f>IF(AND(ISNUMBER(FV22),逐级计算!$X$178&gt;-1),IF(逐级计算!$X$178=0,FV22+逐级计算!$C$178,FV22+逐级计算!$C$178-(10/(逐级计算!$Q$178*LN(10))*(MAX((LN(10^(逐级计算!$Q$178/10)-1)+逐级计算!$Q$178*(FV22-逐级计算!$P$178)*LN(10)/10),0)+LN(1+EXP(-ABS((LN(10^(逐级计算!$Q$178/10)-1)+逐级计算!$Q$178*(FV22-逐级计算!$P$178)*LN(10)/10))))))),"")</f>
        <v>13.7920116187994</v>
      </c>
      <c r="FX22">
        <f>IF(AND(ISNUMBER(FW22),逐级计算!$X$179&gt;-1),IF(逐级计算!$X$179=0,FW22+逐级计算!$C$179,FW22+逐级计算!$C$179-(10/(逐级计算!$Q$179*LN(10))*(MAX((LN(10^(逐级计算!$Q$179/10)-1)+逐级计算!$Q$179*(FW22-逐级计算!$P$179)*LN(10)/10),0)+LN(1+EXP(-ABS((LN(10^(逐级计算!$Q$179/10)-1)+逐级计算!$Q$179*(FW22-逐级计算!$P$179)*LN(10)/10))))))),"")</f>
        <v>13.7920116187994</v>
      </c>
      <c r="FY22">
        <f>IF(AND(ISNUMBER(FX22),逐级计算!$X$180&gt;-1),IF(逐级计算!$X$180=0,FX22+逐级计算!$C$180,FX22+逐级计算!$C$180-(10/(逐级计算!$Q$180*LN(10))*(MAX((LN(10^(逐级计算!$Q$180/10)-1)+逐级计算!$Q$180*(FX22-逐级计算!$P$180)*LN(10)/10),0)+LN(1+EXP(-ABS((LN(10^(逐级计算!$Q$180/10)-1)+逐级计算!$Q$180*(FX22-逐级计算!$P$180)*LN(10)/10))))))),"")</f>
        <v>13.7920116187994</v>
      </c>
      <c r="FZ22">
        <f>IF(AND(ISNUMBER(FY22),逐级计算!$X$181&gt;-1),IF(逐级计算!$X$181=0,FY22+逐级计算!$C$181,FY22+逐级计算!$C$181-(10/(逐级计算!$Q$181*LN(10))*(MAX((LN(10^(逐级计算!$Q$181/10)-1)+逐级计算!$Q$181*(FY22-逐级计算!$P$181)*LN(10)/10),0)+LN(1+EXP(-ABS((LN(10^(逐级计算!$Q$181/10)-1)+逐级计算!$Q$181*(FY22-逐级计算!$P$181)*LN(10)/10))))))),"")</f>
        <v>13.7920116187994</v>
      </c>
      <c r="GA22">
        <f>IF(AND(ISNUMBER(FZ22),逐级计算!$X$182&gt;-1),IF(逐级计算!$X$182=0,FZ22+逐级计算!$C$182,FZ22+逐级计算!$C$182-(10/(逐级计算!$Q$182*LN(10))*(MAX((LN(10^(逐级计算!$Q$182/10)-1)+逐级计算!$Q$182*(FZ22-逐级计算!$P$182)*LN(10)/10),0)+LN(1+EXP(-ABS((LN(10^(逐级计算!$Q$182/10)-1)+逐级计算!$Q$182*(FZ22-逐级计算!$P$182)*LN(10)/10))))))),"")</f>
        <v>13.7920116187994</v>
      </c>
      <c r="GB22">
        <f>IF(AND(ISNUMBER(GA22),逐级计算!$X$183&gt;-1),IF(逐级计算!$X$183=0,GA22+逐级计算!$C$183,GA22+逐级计算!$C$183-(10/(逐级计算!$Q$183*LN(10))*(MAX((LN(10^(逐级计算!$Q$183/10)-1)+逐级计算!$Q$183*(GA22-逐级计算!$P$183)*LN(10)/10),0)+LN(1+EXP(-ABS((LN(10^(逐级计算!$Q$183/10)-1)+逐级计算!$Q$183*(GA22-逐级计算!$P$183)*LN(10)/10))))))),"")</f>
        <v>13.7920116187994</v>
      </c>
      <c r="GC22">
        <f>IF(AND(ISNUMBER(GB22),逐级计算!$X$184&gt;-1),IF(逐级计算!$X$184=0,GB22+逐级计算!$C$184,GB22+逐级计算!$C$184-(10/(逐级计算!$Q$184*LN(10))*(MAX((LN(10^(逐级计算!$Q$184/10)-1)+逐级计算!$Q$184*(GB22-逐级计算!$P$184)*LN(10)/10),0)+LN(1+EXP(-ABS((LN(10^(逐级计算!$Q$184/10)-1)+逐级计算!$Q$184*(GB22-逐级计算!$P$184)*LN(10)/10))))))),"")</f>
        <v>13.7920116187994</v>
      </c>
      <c r="GD22">
        <f>IF(AND(ISNUMBER(GC22),逐级计算!$X$185&gt;-1),IF(逐级计算!$X$185=0,GC22+逐级计算!$C$185,GC22+逐级计算!$C$185-(10/(逐级计算!$Q$185*LN(10))*(MAX((LN(10^(逐级计算!$Q$185/10)-1)+逐级计算!$Q$185*(GC22-逐级计算!$P$185)*LN(10)/10),0)+LN(1+EXP(-ABS((LN(10^(逐级计算!$Q$185/10)-1)+逐级计算!$Q$185*(GC22-逐级计算!$P$185)*LN(10)/10))))))),"")</f>
        <v>13.7920116187994</v>
      </c>
      <c r="GE22">
        <f>IF(AND(ISNUMBER(GD22),逐级计算!$X$186&gt;-1),IF(逐级计算!$X$186=0,GD22+逐级计算!$C$186,GD22+逐级计算!$C$186-(10/(逐级计算!$Q$186*LN(10))*(MAX((LN(10^(逐级计算!$Q$186/10)-1)+逐级计算!$Q$186*(GD22-逐级计算!$P$186)*LN(10)/10),0)+LN(1+EXP(-ABS((LN(10^(逐级计算!$Q$186/10)-1)+逐级计算!$Q$186*(GD22-逐级计算!$P$186)*LN(10)/10))))))),"")</f>
        <v>13.7920116187994</v>
      </c>
      <c r="GF22">
        <f>IF(AND(ISNUMBER(GE22),逐级计算!$X$187&gt;-1),IF(逐级计算!$X$187=0,GE22+逐级计算!$C$187,GE22+逐级计算!$C$187-(10/(逐级计算!$Q$187*LN(10))*(MAX((LN(10^(逐级计算!$Q$187/10)-1)+逐级计算!$Q$187*(GE22-逐级计算!$P$187)*LN(10)/10),0)+LN(1+EXP(-ABS((LN(10^(逐级计算!$Q$187/10)-1)+逐级计算!$Q$187*(GE22-逐级计算!$P$187)*LN(10)/10))))))),"")</f>
        <v>13.7920116187994</v>
      </c>
      <c r="GG22">
        <f>IF(AND(ISNUMBER(GF22),逐级计算!$X$188&gt;-1),IF(逐级计算!$X$188=0,GF22+逐级计算!$C$188,GF22+逐级计算!$C$188-(10/(逐级计算!$Q$188*LN(10))*(MAX((LN(10^(逐级计算!$Q$188/10)-1)+逐级计算!$Q$188*(GF22-逐级计算!$P$188)*LN(10)/10),0)+LN(1+EXP(-ABS((LN(10^(逐级计算!$Q$188/10)-1)+逐级计算!$Q$188*(GF22-逐级计算!$P$188)*LN(10)/10))))))),"")</f>
        <v>13.7920116187994</v>
      </c>
      <c r="GH22">
        <f>IF(AND(ISNUMBER(GG22),逐级计算!$X$189&gt;-1),IF(逐级计算!$X$189=0,GG22+逐级计算!$C$189,GG22+逐级计算!$C$189-(10/(逐级计算!$Q$189*LN(10))*(MAX((LN(10^(逐级计算!$Q$189/10)-1)+逐级计算!$Q$189*(GG22-逐级计算!$P$189)*LN(10)/10),0)+LN(1+EXP(-ABS((LN(10^(逐级计算!$Q$189/10)-1)+逐级计算!$Q$189*(GG22-逐级计算!$P$189)*LN(10)/10))))))),"")</f>
        <v>13.7920116187994</v>
      </c>
      <c r="GI22">
        <f>IF(AND(ISNUMBER(GH22),逐级计算!$X$190&gt;-1),IF(逐级计算!$X$190=0,GH22+逐级计算!$C$190,GH22+逐级计算!$C$190-(10/(逐级计算!$Q$190*LN(10))*(MAX((LN(10^(逐级计算!$Q$190/10)-1)+逐级计算!$Q$190*(GH22-逐级计算!$P$190)*LN(10)/10),0)+LN(1+EXP(-ABS((LN(10^(逐级计算!$Q$190/10)-1)+逐级计算!$Q$190*(GH22-逐级计算!$P$190)*LN(10)/10))))))),"")</f>
        <v>13.7920116187994</v>
      </c>
      <c r="GJ22">
        <f>IF(AND(ISNUMBER(GI22),逐级计算!$X$191&gt;-1),IF(逐级计算!$X$191=0,GI22+逐级计算!$C$191,GI22+逐级计算!$C$191-(10/(逐级计算!$Q$191*LN(10))*(MAX((LN(10^(逐级计算!$Q$191/10)-1)+逐级计算!$Q$191*(GI22-逐级计算!$P$191)*LN(10)/10),0)+LN(1+EXP(-ABS((LN(10^(逐级计算!$Q$191/10)-1)+逐级计算!$Q$191*(GI22-逐级计算!$P$191)*LN(10)/10))))))),"")</f>
        <v>13.7920116187994</v>
      </c>
      <c r="GK22">
        <f>IF(AND(ISNUMBER(GJ22),逐级计算!$X$192&gt;-1),IF(逐级计算!$X$192=0,GJ22+逐级计算!$C$192,GJ22+逐级计算!$C$192-(10/(逐级计算!$Q$192*LN(10))*(MAX((LN(10^(逐级计算!$Q$192/10)-1)+逐级计算!$Q$192*(GJ22-逐级计算!$P$192)*LN(10)/10),0)+LN(1+EXP(-ABS((LN(10^(逐级计算!$Q$192/10)-1)+逐级计算!$Q$192*(GJ22-逐级计算!$P$192)*LN(10)/10))))))),"")</f>
        <v>13.7920116187994</v>
      </c>
      <c r="GL22">
        <f>IF(AND(ISNUMBER(GK22),逐级计算!$X$193&gt;-1),IF(逐级计算!$X$193=0,GK22+逐级计算!$C$193,GK22+逐级计算!$C$193-(10/(逐级计算!$Q$193*LN(10))*(MAX((LN(10^(逐级计算!$Q$193/10)-1)+逐级计算!$Q$193*(GK22-逐级计算!$P$193)*LN(10)/10),0)+LN(1+EXP(-ABS((LN(10^(逐级计算!$Q$193/10)-1)+逐级计算!$Q$193*(GK22-逐级计算!$P$193)*LN(10)/10))))))),"")</f>
        <v>13.7920116187994</v>
      </c>
      <c r="GM22">
        <f>IF(AND(ISNUMBER(GL22),逐级计算!$X$194&gt;-1),IF(逐级计算!$X$194=0,GL22+逐级计算!$C$194,GL22+逐级计算!$C$194-(10/(逐级计算!$Q$194*LN(10))*(MAX((LN(10^(逐级计算!$Q$194/10)-1)+逐级计算!$Q$194*(GL22-逐级计算!$P$194)*LN(10)/10),0)+LN(1+EXP(-ABS((LN(10^(逐级计算!$Q$194/10)-1)+逐级计算!$Q$194*(GL22-逐级计算!$P$194)*LN(10)/10))))))),"")</f>
        <v>13.7920116187994</v>
      </c>
      <c r="GN22">
        <f>IF(AND(ISNUMBER(GM22),逐级计算!$X$195&gt;-1),IF(逐级计算!$X$195=0,GM22+逐级计算!$C$195,GM22+逐级计算!$C$195-(10/(逐级计算!$Q$195*LN(10))*(MAX((LN(10^(逐级计算!$Q$195/10)-1)+逐级计算!$Q$195*(GM22-逐级计算!$P$195)*LN(10)/10),0)+LN(1+EXP(-ABS((LN(10^(逐级计算!$Q$195/10)-1)+逐级计算!$Q$195*(GM22-逐级计算!$P$195)*LN(10)/10))))))),"")</f>
        <v>13.7920116187994</v>
      </c>
      <c r="GO22">
        <f>IF(AND(ISNUMBER(GN22),逐级计算!$X$196&gt;-1),IF(逐级计算!$X$196=0,GN22+逐级计算!$C$196,GN22+逐级计算!$C$196-(10/(逐级计算!$Q$196*LN(10))*(MAX((LN(10^(逐级计算!$Q$196/10)-1)+逐级计算!$Q$196*(GN22-逐级计算!$P$196)*LN(10)/10),0)+LN(1+EXP(-ABS((LN(10^(逐级计算!$Q$196/10)-1)+逐级计算!$Q$196*(GN22-逐级计算!$P$196)*LN(10)/10))))))),"")</f>
        <v>13.7920116187994</v>
      </c>
      <c r="GP22">
        <f>IF(AND(ISNUMBER(GO22),逐级计算!$X$197&gt;-1),IF(逐级计算!$X$197=0,GO22+逐级计算!$C$197,GO22+逐级计算!$C$197-(10/(逐级计算!$Q$197*LN(10))*(MAX((LN(10^(逐级计算!$Q$197/10)-1)+逐级计算!$Q$197*(GO22-逐级计算!$P$197)*LN(10)/10),0)+LN(1+EXP(-ABS((LN(10^(逐级计算!$Q$197/10)-1)+逐级计算!$Q$197*(GO22-逐级计算!$P$197)*LN(10)/10))))))),"")</f>
        <v>13.7920116187994</v>
      </c>
      <c r="GQ22">
        <f>IF(AND(ISNUMBER(GP22),逐级计算!$X$198&gt;-1),IF(逐级计算!$X$198=0,GP22+逐级计算!$C$198,GP22+逐级计算!$C$198-(10/(逐级计算!$Q$198*LN(10))*(MAX((LN(10^(逐级计算!$Q$198/10)-1)+逐级计算!$Q$198*(GP22-逐级计算!$P$198)*LN(10)/10),0)+LN(1+EXP(-ABS((LN(10^(逐级计算!$Q$198/10)-1)+逐级计算!$Q$198*(GP22-逐级计算!$P$198)*LN(10)/10))))))),"")</f>
        <v>13.7920116187994</v>
      </c>
      <c r="GR22">
        <f>IF(AND(ISNUMBER(GQ22),逐级计算!$X$199&gt;-1),IF(逐级计算!$X$199=0,GQ22+逐级计算!$C$199,GQ22+逐级计算!$C$199-(10/(逐级计算!$Q$199*LN(10))*(MAX((LN(10^(逐级计算!$Q$199/10)-1)+逐级计算!$Q$199*(GQ22-逐级计算!$P$199)*LN(10)/10),0)+LN(1+EXP(-ABS((LN(10^(逐级计算!$Q$199/10)-1)+逐级计算!$Q$199*(GQ22-逐级计算!$P$199)*LN(10)/10))))))),"")</f>
        <v>13.7920116187994</v>
      </c>
      <c r="GS22">
        <f>IF(AND(ISNUMBER(GR22),逐级计算!$X$200&gt;-1),IF(逐级计算!$X$200=0,GR22+逐级计算!$C$200,GR22+逐级计算!$C$200-(10/(逐级计算!$Q$200*LN(10))*(MAX((LN(10^(逐级计算!$Q$200/10)-1)+逐级计算!$Q$200*(GR22-逐级计算!$P$200)*LN(10)/10),0)+LN(1+EXP(-ABS((LN(10^(逐级计算!$Q$200/10)-1)+逐级计算!$Q$200*(GR22-逐级计算!$P$200)*LN(10)/10))))))),"")</f>
        <v>13.7920116187994</v>
      </c>
      <c r="GT22">
        <f>IF(AND(ISNUMBER(GS22),逐级计算!$X$201&gt;-1),IF(逐级计算!$X$201=0,GS22+逐级计算!$C$201,GS22+逐级计算!$C$201-(10/(逐级计算!$Q$201*LN(10))*(MAX((LN(10^(逐级计算!$Q$201/10)-1)+逐级计算!$Q$201*(GS22-逐级计算!$P$201)*LN(10)/10),0)+LN(1+EXP(-ABS((LN(10^(逐级计算!$Q$201/10)-1)+逐级计算!$Q$201*(GS22-逐级计算!$P$201)*LN(10)/10))))))),"")</f>
        <v>13.7920116187994</v>
      </c>
      <c r="GU22">
        <f>IF(AND(ISNUMBER(GT22),逐级计算!$X$202&gt;-1),IF(逐级计算!$X$202=0,GT22+逐级计算!$C$202,GT22+逐级计算!$C$202-(10/(逐级计算!$Q$202*LN(10))*(MAX((LN(10^(逐级计算!$Q$202/10)-1)+逐级计算!$Q$202*(GT22-逐级计算!$P$202)*LN(10)/10),0)+LN(1+EXP(-ABS((LN(10^(逐级计算!$Q$202/10)-1)+逐级计算!$Q$202*(GT22-逐级计算!$P$202)*LN(10)/10))))))),"")</f>
        <v>13.7920116187994</v>
      </c>
      <c r="GV22">
        <f>IF(AND(ISNUMBER(GU22),逐级计算!$X$203&gt;-1),IF(逐级计算!$X$203=0,GU22+逐级计算!$C$203,GU22+逐级计算!$C$203-(10/(逐级计算!$Q$203*LN(10))*(MAX((LN(10^(逐级计算!$Q$203/10)-1)+逐级计算!$Q$203*(GU22-逐级计算!$P$203)*LN(10)/10),0)+LN(1+EXP(-ABS((LN(10^(逐级计算!$Q$203/10)-1)+逐级计算!$Q$203*(GU22-逐级计算!$P$203)*LN(10)/10))))))),"")</f>
        <v>13.7920116187994</v>
      </c>
      <c r="GW22">
        <f t="shared" si="2"/>
        <v>-5.20538330078125</v>
      </c>
    </row>
    <row r="23" spans="1:205">
      <c r="A23">
        <v>16</v>
      </c>
      <c r="B23">
        <f t="shared" si="1"/>
        <v>-5.20858764648437</v>
      </c>
      <c r="C23">
        <f t="shared" si="0"/>
        <v>-5.20698547363281</v>
      </c>
      <c r="D23">
        <f>IF(AND(ISNUMBER(C23),ISNUMBER(逐级计算!$E$203),ISNUMBER(GV23)),C23+逐级计算!$E$203-GV23,"")</f>
        <v>0.999991863432019</v>
      </c>
      <c r="E23">
        <f>IF(AND(ISNUMBER(C23),逐级计算!$X$4&gt;-1),IF(逐级计算!$X$4=0,C23+逐级计算!$C$4,C23+逐级计算!$C$4-(10/(逐级计算!$Q$4*LN(10))*(MAX((LN(10^(逐级计算!$Q$4/10)-1)+逐级计算!$Q$4*(C23-逐级计算!$P$4)*LN(10)/10),0)+LN(1+EXP(-ABS((LN(10^(逐级计算!$Q$4/10)-1)+逐级计算!$Q$4*(C23-逐级计算!$P$4)*LN(10)/10))))))),"")</f>
        <v>4.68051889457816</v>
      </c>
      <c r="F23">
        <f>IF(AND(ISNUMBER(E23),逐级计算!$X$5&gt;-1),IF(逐级计算!$X$5=0,E23+逐级计算!$C$5,E23+逐级计算!$C$5-(10/(逐级计算!$Q$5*LN(10))*(MAX((LN(10^(逐级计算!$Q$5/10)-1)+逐级计算!$Q$5*(E23-逐级计算!$P$5)*LN(10)/10),0)+LN(1+EXP(-ABS((LN(10^(逐级计算!$Q$5/10)-1)+逐级计算!$Q$5*(E23-逐级计算!$P$5)*LN(10)/10))))))),"")</f>
        <v>13.7930226629352</v>
      </c>
      <c r="G23">
        <f>IF(AND(ISNUMBER(F23),逐级计算!$X$6&gt;-1),IF(逐级计算!$X$6=0,F23+逐级计算!$C$6,F23+逐级计算!$C$6-(10/(逐级计算!$Q$6*LN(10))*(MAX((LN(10^(逐级计算!$Q$6/10)-1)+逐级计算!$Q$6*(F23-逐级计算!$P$6)*LN(10)/10),0)+LN(1+EXP(-ABS((LN(10^(逐级计算!$Q$6/10)-1)+逐级计算!$Q$6*(F23-逐级计算!$P$6)*LN(10)/10))))))),"")</f>
        <v>13.7930226629352</v>
      </c>
      <c r="H23">
        <f>IF(AND(ISNUMBER(G23),逐级计算!$X$7&gt;-1),IF(逐级计算!$X$7=0,G23+逐级计算!$C$7,G23+逐级计算!$C$7-(10/(逐级计算!$Q$7*LN(10))*(MAX((LN(10^(逐级计算!$Q$7/10)-1)+逐级计算!$Q$7*(G23-逐级计算!$P$7)*LN(10)/10),0)+LN(1+EXP(-ABS((LN(10^(逐级计算!$Q$7/10)-1)+逐级计算!$Q$7*(G23-逐级计算!$P$7)*LN(10)/10))))))),"")</f>
        <v>13.7930226629352</v>
      </c>
      <c r="I23">
        <f>IF(AND(ISNUMBER(H23),逐级计算!$X$8&gt;-1),IF(逐级计算!$X$8=0,H23+逐级计算!$C$8,H23+逐级计算!$C$8-(10/(逐级计算!$Q$8*LN(10))*(MAX((LN(10^(逐级计算!$Q$8/10)-1)+逐级计算!$Q$8*(H23-逐级计算!$P$8)*LN(10)/10),0)+LN(1+EXP(-ABS((LN(10^(逐级计算!$Q$8/10)-1)+逐级计算!$Q$8*(H23-逐级计算!$P$8)*LN(10)/10))))))),"")</f>
        <v>13.7930226629352</v>
      </c>
      <c r="J23">
        <f>IF(AND(ISNUMBER(I23),逐级计算!$X$9&gt;-1),IF(逐级计算!$X$9=0,I23+逐级计算!$C$9,I23+逐级计算!$C$9-(10/(逐级计算!$Q$9*LN(10))*(MAX((LN(10^(逐级计算!$Q$9/10)-1)+逐级计算!$Q$9*(I23-逐级计算!$P$9)*LN(10)/10),0)+LN(1+EXP(-ABS((LN(10^(逐级计算!$Q$9/10)-1)+逐级计算!$Q$9*(I23-逐级计算!$P$9)*LN(10)/10))))))),"")</f>
        <v>13.7930226629352</v>
      </c>
      <c r="K23">
        <f>IF(AND(ISNUMBER(J23),逐级计算!$X$10&gt;-1),IF(逐级计算!$X$10=0,J23+逐级计算!$C$10,J23+逐级计算!$C$10-(10/(逐级计算!$Q$10*LN(10))*(MAX((LN(10^(逐级计算!$Q$10/10)-1)+逐级计算!$Q$10*(J23-逐级计算!$P$10)*LN(10)/10),0)+LN(1+EXP(-ABS((LN(10^(逐级计算!$Q$10/10)-1)+逐级计算!$Q$10*(J23-逐级计算!$P$10)*LN(10)/10))))))),"")</f>
        <v>13.7930226629352</v>
      </c>
      <c r="L23">
        <f>IF(AND(ISNUMBER(K23),逐级计算!$X$11&gt;-1),IF(逐级计算!$X$11=0,K23+逐级计算!$C$11,K23+逐级计算!$C$11-(10/(逐级计算!$Q$11*LN(10))*(MAX((LN(10^(逐级计算!$Q$11/10)-1)+逐级计算!$Q$11*(K23-逐级计算!$P$11)*LN(10)/10),0)+LN(1+EXP(-ABS((LN(10^(逐级计算!$Q$11/10)-1)+逐级计算!$Q$11*(K23-逐级计算!$P$11)*LN(10)/10))))))),"")</f>
        <v>13.7930226629352</v>
      </c>
      <c r="M23">
        <f>IF(AND(ISNUMBER(L23),逐级计算!$X$12&gt;-1),IF(逐级计算!$X$12=0,L23+逐级计算!$C$12,L23+逐级计算!$C$12-(10/(逐级计算!$Q$12*LN(10))*(MAX((LN(10^(逐级计算!$Q$12/10)-1)+逐级计算!$Q$12*(L23-逐级计算!$P$12)*LN(10)/10),0)+LN(1+EXP(-ABS((LN(10^(逐级计算!$Q$12/10)-1)+逐级计算!$Q$12*(L23-逐级计算!$P$12)*LN(10)/10))))))),"")</f>
        <v>13.7930226629352</v>
      </c>
      <c r="N23">
        <f>IF(AND(ISNUMBER(M23),逐级计算!$X$13&gt;-1),IF(逐级计算!$X$13=0,M23+逐级计算!$C$13,M23+逐级计算!$C$13-(10/(逐级计算!$Q$13*LN(10))*(MAX((LN(10^(逐级计算!$Q$13/10)-1)+逐级计算!$Q$13*(M23-逐级计算!$P$13)*LN(10)/10),0)+LN(1+EXP(-ABS((LN(10^(逐级计算!$Q$13/10)-1)+逐级计算!$Q$13*(M23-逐级计算!$P$13)*LN(10)/10))))))),"")</f>
        <v>13.7930226629352</v>
      </c>
      <c r="O23">
        <f>IF(AND(ISNUMBER(N23),逐级计算!$X$14&gt;-1),IF(逐级计算!$X$14=0,N23+逐级计算!$C$14,N23+逐级计算!$C$14-(10/(逐级计算!$Q$14*LN(10))*(MAX((LN(10^(逐级计算!$Q$14/10)-1)+逐级计算!$Q$14*(N23-逐级计算!$P$14)*LN(10)/10),0)+LN(1+EXP(-ABS((LN(10^(逐级计算!$Q$14/10)-1)+逐级计算!$Q$14*(N23-逐级计算!$P$14)*LN(10)/10))))))),"")</f>
        <v>13.7930226629352</v>
      </c>
      <c r="P23">
        <f>IF(AND(ISNUMBER(O23),逐级计算!$X$15&gt;-1),IF(逐级计算!$X$15=0,O23+逐级计算!$C$15,O23+逐级计算!$C$15-(10/(逐级计算!$Q$15*LN(10))*(MAX((LN(10^(逐级计算!$Q$15/10)-1)+逐级计算!$Q$15*(O23-逐级计算!$P$15)*LN(10)/10),0)+LN(1+EXP(-ABS((LN(10^(逐级计算!$Q$15/10)-1)+逐级计算!$Q$15*(O23-逐级计算!$P$15)*LN(10)/10))))))),"")</f>
        <v>13.7930226629352</v>
      </c>
      <c r="Q23">
        <f>IF(AND(ISNUMBER(P23),逐级计算!$X$16&gt;-1),IF(逐级计算!$X$16=0,P23+逐级计算!$C$16,P23+逐级计算!$C$16-(10/(逐级计算!$Q$16*LN(10))*(MAX((LN(10^(逐级计算!$Q$16/10)-1)+逐级计算!$Q$16*(P23-逐级计算!$P$16)*LN(10)/10),0)+LN(1+EXP(-ABS((LN(10^(逐级计算!$Q$16/10)-1)+逐级计算!$Q$16*(P23-逐级计算!$P$16)*LN(10)/10))))))),"")</f>
        <v>13.7930226629352</v>
      </c>
      <c r="R23">
        <f>IF(AND(ISNUMBER(Q23),逐级计算!$X$17&gt;-1),IF(逐级计算!$X$17=0,Q23+逐级计算!$C$17,Q23+逐级计算!$C$17-(10/(逐级计算!$Q$17*LN(10))*(MAX((LN(10^(逐级计算!$Q$17/10)-1)+逐级计算!$Q$17*(Q23-逐级计算!$P$17)*LN(10)/10),0)+LN(1+EXP(-ABS((LN(10^(逐级计算!$Q$17/10)-1)+逐级计算!$Q$17*(Q23-逐级计算!$P$17)*LN(10)/10))))))),"")</f>
        <v>13.7930226629352</v>
      </c>
      <c r="S23">
        <f>IF(AND(ISNUMBER(R23),逐级计算!$X$18&gt;-1),IF(逐级计算!$X$18=0,R23+逐级计算!$C$18,R23+逐级计算!$C$18-(10/(逐级计算!$Q$18*LN(10))*(MAX((LN(10^(逐级计算!$Q$18/10)-1)+逐级计算!$Q$18*(R23-逐级计算!$P$18)*LN(10)/10),0)+LN(1+EXP(-ABS((LN(10^(逐级计算!$Q$18/10)-1)+逐级计算!$Q$18*(R23-逐级计算!$P$18)*LN(10)/10))))))),"")</f>
        <v>13.7930226629352</v>
      </c>
      <c r="T23">
        <f>IF(AND(ISNUMBER(S23),逐级计算!$X$19&gt;-1),IF(逐级计算!$X$19=0,S23+逐级计算!$C$19,S23+逐级计算!$C$19-(10/(逐级计算!$Q$19*LN(10))*(MAX((LN(10^(逐级计算!$Q$19/10)-1)+逐级计算!$Q$19*(S23-逐级计算!$P$19)*LN(10)/10),0)+LN(1+EXP(-ABS((LN(10^(逐级计算!$Q$19/10)-1)+逐级计算!$Q$19*(S23-逐级计算!$P$19)*LN(10)/10))))))),"")</f>
        <v>13.7930226629352</v>
      </c>
      <c r="U23">
        <f>IF(AND(ISNUMBER(T23),逐级计算!$X$20&gt;-1),IF(逐级计算!$X$20=0,T23+逐级计算!$C$20,T23+逐级计算!$C$20-(10/(逐级计算!$Q$20*LN(10))*(MAX((LN(10^(逐级计算!$Q$20/10)-1)+逐级计算!$Q$20*(T23-逐级计算!$P$20)*LN(10)/10),0)+LN(1+EXP(-ABS((LN(10^(逐级计算!$Q$20/10)-1)+逐级计算!$Q$20*(T23-逐级计算!$P$20)*LN(10)/10))))))),"")</f>
        <v>13.7930226629352</v>
      </c>
      <c r="V23">
        <f>IF(AND(ISNUMBER(U23),逐级计算!$X$21&gt;-1),IF(逐级计算!$X$21=0,U23+逐级计算!$C$21,U23+逐级计算!$C$21-(10/(逐级计算!$Q$21*LN(10))*(MAX((LN(10^(逐级计算!$Q$21/10)-1)+逐级计算!$Q$21*(U23-逐级计算!$P$21)*LN(10)/10),0)+LN(1+EXP(-ABS((LN(10^(逐级计算!$Q$21/10)-1)+逐级计算!$Q$21*(U23-逐级计算!$P$21)*LN(10)/10))))))),"")</f>
        <v>13.7930226629352</v>
      </c>
      <c r="W23">
        <f>IF(AND(ISNUMBER(V23),逐级计算!$X$22&gt;-1),IF(逐级计算!$X$22=0,V23+逐级计算!$C$22,V23+逐级计算!$C$22-(10/(逐级计算!$Q$22*LN(10))*(MAX((LN(10^(逐级计算!$Q$22/10)-1)+逐级计算!$Q$22*(V23-逐级计算!$P$22)*LN(10)/10),0)+LN(1+EXP(-ABS((LN(10^(逐级计算!$Q$22/10)-1)+逐级计算!$Q$22*(V23-逐级计算!$P$22)*LN(10)/10))))))),"")</f>
        <v>13.7930226629352</v>
      </c>
      <c r="X23">
        <f>IF(AND(ISNUMBER(W23),逐级计算!$X$23&gt;-1),IF(逐级计算!$X$23=0,W23+逐级计算!$C$23,W23+逐级计算!$C$23-(10/(逐级计算!$Q$23*LN(10))*(MAX((LN(10^(逐级计算!$Q$23/10)-1)+逐级计算!$Q$23*(W23-逐级计算!$P$23)*LN(10)/10),0)+LN(1+EXP(-ABS((LN(10^(逐级计算!$Q$23/10)-1)+逐级计算!$Q$23*(W23-逐级计算!$P$23)*LN(10)/10))))))),"")</f>
        <v>13.7930226629352</v>
      </c>
      <c r="Y23">
        <f>IF(AND(ISNUMBER(X23),逐级计算!$X$24&gt;-1),IF(逐级计算!$X$24=0,X23+逐级计算!$C$24,X23+逐级计算!$C$24-(10/(逐级计算!$Q$24*LN(10))*(MAX((LN(10^(逐级计算!$Q$24/10)-1)+逐级计算!$Q$24*(X23-逐级计算!$P$24)*LN(10)/10),0)+LN(1+EXP(-ABS((LN(10^(逐级计算!$Q$24/10)-1)+逐级计算!$Q$24*(X23-逐级计算!$P$24)*LN(10)/10))))))),"")</f>
        <v>13.7930226629352</v>
      </c>
      <c r="Z23">
        <f>IF(AND(ISNUMBER(Y23),逐级计算!$X$25&gt;-1),IF(逐级计算!$X$25=0,Y23+逐级计算!$C$25,Y23+逐级计算!$C$25-(10/(逐级计算!$Q$25*LN(10))*(MAX((LN(10^(逐级计算!$Q$25/10)-1)+逐级计算!$Q$25*(Y23-逐级计算!$P$25)*LN(10)/10),0)+LN(1+EXP(-ABS((LN(10^(逐级计算!$Q$25/10)-1)+逐级计算!$Q$25*(Y23-逐级计算!$P$25)*LN(10)/10))))))),"")</f>
        <v>13.7930226629352</v>
      </c>
      <c r="AA23">
        <f>IF(AND(ISNUMBER(Z23),逐级计算!$X$26&gt;-1),IF(逐级计算!$X$26=0,Z23+逐级计算!$C$26,Z23+逐级计算!$C$26-(10/(逐级计算!$Q$26*LN(10))*(MAX((LN(10^(逐级计算!$Q$26/10)-1)+逐级计算!$Q$26*(Z23-逐级计算!$P$26)*LN(10)/10),0)+LN(1+EXP(-ABS((LN(10^(逐级计算!$Q$26/10)-1)+逐级计算!$Q$26*(Z23-逐级计算!$P$26)*LN(10)/10))))))),"")</f>
        <v>13.7930226629352</v>
      </c>
      <c r="AB23">
        <f>IF(AND(ISNUMBER(AA23),逐级计算!$X$27&gt;-1),IF(逐级计算!$X$27=0,AA23+逐级计算!$C$27,AA23+逐级计算!$C$27-(10/(逐级计算!$Q$27*LN(10))*(MAX((LN(10^(逐级计算!$Q$27/10)-1)+逐级计算!$Q$27*(AA23-逐级计算!$P$27)*LN(10)/10),0)+LN(1+EXP(-ABS((LN(10^(逐级计算!$Q$27/10)-1)+逐级计算!$Q$27*(AA23-逐级计算!$P$27)*LN(10)/10))))))),"")</f>
        <v>13.7930226629352</v>
      </c>
      <c r="AC23">
        <f>IF(AND(ISNUMBER(AB23),逐级计算!$X$28&gt;-1),IF(逐级计算!$X$28=0,AB23+逐级计算!$C$28,AB23+逐级计算!$C$28-(10/(逐级计算!$Q$28*LN(10))*(MAX((LN(10^(逐级计算!$Q$28/10)-1)+逐级计算!$Q$28*(AB23-逐级计算!$P$28)*LN(10)/10),0)+LN(1+EXP(-ABS((LN(10^(逐级计算!$Q$28/10)-1)+逐级计算!$Q$28*(AB23-逐级计算!$P$28)*LN(10)/10))))))),"")</f>
        <v>13.7930226629352</v>
      </c>
      <c r="AD23">
        <f>IF(AND(ISNUMBER(AC23),逐级计算!$X$29&gt;-1),IF(逐级计算!$X$29=0,AC23+逐级计算!$C$29,AC23+逐级计算!$C$29-(10/(逐级计算!$Q$29*LN(10))*(MAX((LN(10^(逐级计算!$Q$29/10)-1)+逐级计算!$Q$29*(AC23-逐级计算!$P$29)*LN(10)/10),0)+LN(1+EXP(-ABS((LN(10^(逐级计算!$Q$29/10)-1)+逐级计算!$Q$29*(AC23-逐级计算!$P$29)*LN(10)/10))))))),"")</f>
        <v>13.7930226629352</v>
      </c>
      <c r="AE23">
        <f>IF(AND(ISNUMBER(AD23),逐级计算!$X$30&gt;-1),IF(逐级计算!$X$30=0,AD23+逐级计算!$C$30,AD23+逐级计算!$C$30-(10/(逐级计算!$Q$30*LN(10))*(MAX((LN(10^(逐级计算!$Q$30/10)-1)+逐级计算!$Q$30*(AD23-逐级计算!$P$30)*LN(10)/10),0)+LN(1+EXP(-ABS((LN(10^(逐级计算!$Q$30/10)-1)+逐级计算!$Q$30*(AD23-逐级计算!$P$30)*LN(10)/10))))))),"")</f>
        <v>13.7930226629352</v>
      </c>
      <c r="AF23">
        <f>IF(AND(ISNUMBER(AE23),逐级计算!$X$31&gt;-1),IF(逐级计算!$X$31=0,AE23+逐级计算!$C$31,AE23+逐级计算!$C$31-(10/(逐级计算!$Q$31*LN(10))*(MAX((LN(10^(逐级计算!$Q$31/10)-1)+逐级计算!$Q$31*(AE23-逐级计算!$P$31)*LN(10)/10),0)+LN(1+EXP(-ABS((LN(10^(逐级计算!$Q$31/10)-1)+逐级计算!$Q$31*(AE23-逐级计算!$P$31)*LN(10)/10))))))),"")</f>
        <v>13.7930226629352</v>
      </c>
      <c r="AG23">
        <f>IF(AND(ISNUMBER(AF23),逐级计算!$X$32&gt;-1),IF(逐级计算!$X$32=0,AF23+逐级计算!$C$32,AF23+逐级计算!$C$32-(10/(逐级计算!$Q$32*LN(10))*(MAX((LN(10^(逐级计算!$Q$32/10)-1)+逐级计算!$Q$32*(AF23-逐级计算!$P$32)*LN(10)/10),0)+LN(1+EXP(-ABS((LN(10^(逐级计算!$Q$32/10)-1)+逐级计算!$Q$32*(AF23-逐级计算!$P$32)*LN(10)/10))))))),"")</f>
        <v>13.7930226629352</v>
      </c>
      <c r="AH23">
        <f>IF(AND(ISNUMBER(AG23),逐级计算!$X$33&gt;-1),IF(逐级计算!$X$33=0,AG23+逐级计算!$C$33,AG23+逐级计算!$C$33-(10/(逐级计算!$Q$33*LN(10))*(MAX((LN(10^(逐级计算!$Q$33/10)-1)+逐级计算!$Q$33*(AG23-逐级计算!$P$33)*LN(10)/10),0)+LN(1+EXP(-ABS((LN(10^(逐级计算!$Q$33/10)-1)+逐级计算!$Q$33*(AG23-逐级计算!$P$33)*LN(10)/10))))))),"")</f>
        <v>13.7930226629352</v>
      </c>
      <c r="AI23">
        <f>IF(AND(ISNUMBER(AH23),逐级计算!$X$34&gt;-1),IF(逐级计算!$X$34=0,AH23+逐级计算!$C$34,AH23+逐级计算!$C$34-(10/(逐级计算!$Q$34*LN(10))*(MAX((LN(10^(逐级计算!$Q$34/10)-1)+逐级计算!$Q$34*(AH23-逐级计算!$P$34)*LN(10)/10),0)+LN(1+EXP(-ABS((LN(10^(逐级计算!$Q$34/10)-1)+逐级计算!$Q$34*(AH23-逐级计算!$P$34)*LN(10)/10))))))),"")</f>
        <v>13.7930226629352</v>
      </c>
      <c r="AJ23">
        <f>IF(AND(ISNUMBER(AI23),逐级计算!$X$35&gt;-1),IF(逐级计算!$X$35=0,AI23+逐级计算!$C$35,AI23+逐级计算!$C$35-(10/(逐级计算!$Q$35*LN(10))*(MAX((LN(10^(逐级计算!$Q$35/10)-1)+逐级计算!$Q$35*(AI23-逐级计算!$P$35)*LN(10)/10),0)+LN(1+EXP(-ABS((LN(10^(逐级计算!$Q$35/10)-1)+逐级计算!$Q$35*(AI23-逐级计算!$P$35)*LN(10)/10))))))),"")</f>
        <v>13.7930226629352</v>
      </c>
      <c r="AK23">
        <f>IF(AND(ISNUMBER(AJ23),逐级计算!$X$36&gt;-1),IF(逐级计算!$X$36=0,AJ23+逐级计算!$C$36,AJ23+逐级计算!$C$36-(10/(逐级计算!$Q$36*LN(10))*(MAX((LN(10^(逐级计算!$Q$36/10)-1)+逐级计算!$Q$36*(AJ23-逐级计算!$P$36)*LN(10)/10),0)+LN(1+EXP(-ABS((LN(10^(逐级计算!$Q$36/10)-1)+逐级计算!$Q$36*(AJ23-逐级计算!$P$36)*LN(10)/10))))))),"")</f>
        <v>13.7930226629352</v>
      </c>
      <c r="AL23">
        <f>IF(AND(ISNUMBER(AK23),逐级计算!$X$37&gt;-1),IF(逐级计算!$X$37=0,AK23+逐级计算!$C$37,AK23+逐级计算!$C$37-(10/(逐级计算!$Q$37*LN(10))*(MAX((LN(10^(逐级计算!$Q$37/10)-1)+逐级计算!$Q$37*(AK23-逐级计算!$P$37)*LN(10)/10),0)+LN(1+EXP(-ABS((LN(10^(逐级计算!$Q$37/10)-1)+逐级计算!$Q$37*(AK23-逐级计算!$P$37)*LN(10)/10))))))),"")</f>
        <v>13.7930226629352</v>
      </c>
      <c r="AM23">
        <f>IF(AND(ISNUMBER(AL23),逐级计算!$X$38&gt;-1),IF(逐级计算!$X$38=0,AL23+逐级计算!$C$38,AL23+逐级计算!$C$38-(10/(逐级计算!$Q$38*LN(10))*(MAX((LN(10^(逐级计算!$Q$38/10)-1)+逐级计算!$Q$38*(AL23-逐级计算!$P$38)*LN(10)/10),0)+LN(1+EXP(-ABS((LN(10^(逐级计算!$Q$38/10)-1)+逐级计算!$Q$38*(AL23-逐级计算!$P$38)*LN(10)/10))))))),"")</f>
        <v>13.7930226629352</v>
      </c>
      <c r="AN23">
        <f>IF(AND(ISNUMBER(AM23),逐级计算!$X$39&gt;-1),IF(逐级计算!$X$39=0,AM23+逐级计算!$C$39,AM23+逐级计算!$C$39-(10/(逐级计算!$Q$39*LN(10))*(MAX((LN(10^(逐级计算!$Q$39/10)-1)+逐级计算!$Q$39*(AM23-逐级计算!$P$39)*LN(10)/10),0)+LN(1+EXP(-ABS((LN(10^(逐级计算!$Q$39/10)-1)+逐级计算!$Q$39*(AM23-逐级计算!$P$39)*LN(10)/10))))))),"")</f>
        <v>13.7930226629352</v>
      </c>
      <c r="AO23">
        <f>IF(AND(ISNUMBER(AN23),逐级计算!$X$40&gt;-1),IF(逐级计算!$X$40=0,AN23+逐级计算!$C$40,AN23+逐级计算!$C$40-(10/(逐级计算!$Q$40*LN(10))*(MAX((LN(10^(逐级计算!$Q$40/10)-1)+逐级计算!$Q$40*(AN23-逐级计算!$P$40)*LN(10)/10),0)+LN(1+EXP(-ABS((LN(10^(逐级计算!$Q$40/10)-1)+逐级计算!$Q$40*(AN23-逐级计算!$P$40)*LN(10)/10))))))),"")</f>
        <v>13.7930226629352</v>
      </c>
      <c r="AP23">
        <f>IF(AND(ISNUMBER(AO23),逐级计算!$X$41&gt;-1),IF(逐级计算!$X$41=0,AO23+逐级计算!$C$41,AO23+逐级计算!$C$41-(10/(逐级计算!$Q$41*LN(10))*(MAX((LN(10^(逐级计算!$Q$41/10)-1)+逐级计算!$Q$41*(AO23-逐级计算!$P$41)*LN(10)/10),0)+LN(1+EXP(-ABS((LN(10^(逐级计算!$Q$41/10)-1)+逐级计算!$Q$41*(AO23-逐级计算!$P$41)*LN(10)/10))))))),"")</f>
        <v>13.7930226629352</v>
      </c>
      <c r="AQ23">
        <f>IF(AND(ISNUMBER(AP23),逐级计算!$X$42&gt;-1),IF(逐级计算!$X$42=0,AP23+逐级计算!$C$42,AP23+逐级计算!$C$42-(10/(逐级计算!$Q$42*LN(10))*(MAX((LN(10^(逐级计算!$Q$42/10)-1)+逐级计算!$Q$42*(AP23-逐级计算!$P$42)*LN(10)/10),0)+LN(1+EXP(-ABS((LN(10^(逐级计算!$Q$42/10)-1)+逐级计算!$Q$42*(AP23-逐级计算!$P$42)*LN(10)/10))))))),"")</f>
        <v>13.7930226629352</v>
      </c>
      <c r="AR23">
        <f>IF(AND(ISNUMBER(AQ23),逐级计算!$X$43&gt;-1),IF(逐级计算!$X$43=0,AQ23+逐级计算!$C$43,AQ23+逐级计算!$C$43-(10/(逐级计算!$Q$43*LN(10))*(MAX((LN(10^(逐级计算!$Q$43/10)-1)+逐级计算!$Q$43*(AQ23-逐级计算!$P$43)*LN(10)/10),0)+LN(1+EXP(-ABS((LN(10^(逐级计算!$Q$43/10)-1)+逐级计算!$Q$43*(AQ23-逐级计算!$P$43)*LN(10)/10))))))),"")</f>
        <v>13.7930226629352</v>
      </c>
      <c r="AS23">
        <f>IF(AND(ISNUMBER(AR23),逐级计算!$X$44&gt;-1),IF(逐级计算!$X$44=0,AR23+逐级计算!$C$44,AR23+逐级计算!$C$44-(10/(逐级计算!$Q$44*LN(10))*(MAX((LN(10^(逐级计算!$Q$44/10)-1)+逐级计算!$Q$44*(AR23-逐级计算!$P$44)*LN(10)/10),0)+LN(1+EXP(-ABS((LN(10^(逐级计算!$Q$44/10)-1)+逐级计算!$Q$44*(AR23-逐级计算!$P$44)*LN(10)/10))))))),"")</f>
        <v>13.7930226629352</v>
      </c>
      <c r="AT23">
        <f>IF(AND(ISNUMBER(AS23),逐级计算!$X$45&gt;-1),IF(逐级计算!$X$45=0,AS23+逐级计算!$C$45,AS23+逐级计算!$C$45-(10/(逐级计算!$Q$45*LN(10))*(MAX((LN(10^(逐级计算!$Q$45/10)-1)+逐级计算!$Q$45*(AS23-逐级计算!$P$45)*LN(10)/10),0)+LN(1+EXP(-ABS((LN(10^(逐级计算!$Q$45/10)-1)+逐级计算!$Q$45*(AS23-逐级计算!$P$45)*LN(10)/10))))))),"")</f>
        <v>13.7930226629352</v>
      </c>
      <c r="AU23">
        <f>IF(AND(ISNUMBER(AT23),逐级计算!$X$46&gt;-1),IF(逐级计算!$X$46=0,AT23+逐级计算!$C$46,AT23+逐级计算!$C$46-(10/(逐级计算!$Q$46*LN(10))*(MAX((LN(10^(逐级计算!$Q$46/10)-1)+逐级计算!$Q$46*(AT23-逐级计算!$P$46)*LN(10)/10),0)+LN(1+EXP(-ABS((LN(10^(逐级计算!$Q$46/10)-1)+逐级计算!$Q$46*(AT23-逐级计算!$P$46)*LN(10)/10))))))),"")</f>
        <v>13.7930226629352</v>
      </c>
      <c r="AV23">
        <f>IF(AND(ISNUMBER(AU23),逐级计算!$X$47&gt;-1),IF(逐级计算!$X$47=0,AU23+逐级计算!$C$47,AU23+逐级计算!$C$47-(10/(逐级计算!$Q$47*LN(10))*(MAX((LN(10^(逐级计算!$Q$47/10)-1)+逐级计算!$Q$47*(AU23-逐级计算!$P$47)*LN(10)/10),0)+LN(1+EXP(-ABS((LN(10^(逐级计算!$Q$47/10)-1)+逐级计算!$Q$47*(AU23-逐级计算!$P$47)*LN(10)/10))))))),"")</f>
        <v>13.7930226629352</v>
      </c>
      <c r="AW23">
        <f>IF(AND(ISNUMBER(AV23),逐级计算!$X$48&gt;-1),IF(逐级计算!$X$48=0,AV23+逐级计算!$C$48,AV23+逐级计算!$C$48-(10/(逐级计算!$Q$48*LN(10))*(MAX((LN(10^(逐级计算!$Q$48/10)-1)+逐级计算!$Q$48*(AV23-逐级计算!$P$48)*LN(10)/10),0)+LN(1+EXP(-ABS((LN(10^(逐级计算!$Q$48/10)-1)+逐级计算!$Q$48*(AV23-逐级计算!$P$48)*LN(10)/10))))))),"")</f>
        <v>13.7930226629352</v>
      </c>
      <c r="AX23">
        <f>IF(AND(ISNUMBER(AW23),逐级计算!$X$49&gt;-1),IF(逐级计算!$X$49=0,AW23+逐级计算!$C$49,AW23+逐级计算!$C$49-(10/(逐级计算!$Q$49*LN(10))*(MAX((LN(10^(逐级计算!$Q$49/10)-1)+逐级计算!$Q$49*(AW23-逐级计算!$P$49)*LN(10)/10),0)+LN(1+EXP(-ABS((LN(10^(逐级计算!$Q$49/10)-1)+逐级计算!$Q$49*(AW23-逐级计算!$P$49)*LN(10)/10))))))),"")</f>
        <v>13.7930226629352</v>
      </c>
      <c r="AY23">
        <f>IF(AND(ISNUMBER(AX23),逐级计算!$X$50&gt;-1),IF(逐级计算!$X$50=0,AX23+逐级计算!$C$50,AX23+逐级计算!$C$50-(10/(逐级计算!$Q$50*LN(10))*(MAX((LN(10^(逐级计算!$Q$50/10)-1)+逐级计算!$Q$50*(AX23-逐级计算!$P$50)*LN(10)/10),0)+LN(1+EXP(-ABS((LN(10^(逐级计算!$Q$50/10)-1)+逐级计算!$Q$50*(AX23-逐级计算!$P$50)*LN(10)/10))))))),"")</f>
        <v>13.7930226629352</v>
      </c>
      <c r="AZ23">
        <f>IF(AND(ISNUMBER(AY23),逐级计算!$X$51&gt;-1),IF(逐级计算!$X$51=0,AY23+逐级计算!$C$51,AY23+逐级计算!$C$51-(10/(逐级计算!$Q$51*LN(10))*(MAX((LN(10^(逐级计算!$Q$51/10)-1)+逐级计算!$Q$51*(AY23-逐级计算!$P$51)*LN(10)/10),0)+LN(1+EXP(-ABS((LN(10^(逐级计算!$Q$51/10)-1)+逐级计算!$Q$51*(AY23-逐级计算!$P$51)*LN(10)/10))))))),"")</f>
        <v>13.7930226629352</v>
      </c>
      <c r="BA23">
        <f>IF(AND(ISNUMBER(AZ23),逐级计算!$X$52&gt;-1),IF(逐级计算!$X$52=0,AZ23+逐级计算!$C$52,AZ23+逐级计算!$C$52-(10/(逐级计算!$Q$52*LN(10))*(MAX((LN(10^(逐级计算!$Q$52/10)-1)+逐级计算!$Q$52*(AZ23-逐级计算!$P$52)*LN(10)/10),0)+LN(1+EXP(-ABS((LN(10^(逐级计算!$Q$52/10)-1)+逐级计算!$Q$52*(AZ23-逐级计算!$P$52)*LN(10)/10))))))),"")</f>
        <v>13.7930226629352</v>
      </c>
      <c r="BB23">
        <f>IF(AND(ISNUMBER(BA23),逐级计算!$X$53&gt;-1),IF(逐级计算!$X$53=0,BA23+逐级计算!$C$53,BA23+逐级计算!$C$53-(10/(逐级计算!$Q$53*LN(10))*(MAX((LN(10^(逐级计算!$Q$53/10)-1)+逐级计算!$Q$53*(BA23-逐级计算!$P$53)*LN(10)/10),0)+LN(1+EXP(-ABS((LN(10^(逐级计算!$Q$53/10)-1)+逐级计算!$Q$53*(BA23-逐级计算!$P$53)*LN(10)/10))))))),"")</f>
        <v>13.7930226629352</v>
      </c>
      <c r="BC23">
        <f>IF(AND(ISNUMBER(BB23),逐级计算!$X$54&gt;-1),IF(逐级计算!$X$54=0,BB23+逐级计算!$C$54,BB23+逐级计算!$C$54-(10/(逐级计算!$Q$54*LN(10))*(MAX((LN(10^(逐级计算!$Q$54/10)-1)+逐级计算!$Q$54*(BB23-逐级计算!$P$54)*LN(10)/10),0)+LN(1+EXP(-ABS((LN(10^(逐级计算!$Q$54/10)-1)+逐级计算!$Q$54*(BB23-逐级计算!$P$54)*LN(10)/10))))))),"")</f>
        <v>13.7930226629352</v>
      </c>
      <c r="BD23">
        <f>IF(AND(ISNUMBER(BC23),逐级计算!$X$55&gt;-1),IF(逐级计算!$X$55=0,BC23+逐级计算!$C$55,BC23+逐级计算!$C$55-(10/(逐级计算!$Q$55*LN(10))*(MAX((LN(10^(逐级计算!$Q$55/10)-1)+逐级计算!$Q$55*(BC23-逐级计算!$P$55)*LN(10)/10),0)+LN(1+EXP(-ABS((LN(10^(逐级计算!$Q$55/10)-1)+逐级计算!$Q$55*(BC23-逐级计算!$P$55)*LN(10)/10))))))),"")</f>
        <v>13.7930226629352</v>
      </c>
      <c r="BE23">
        <f>IF(AND(ISNUMBER(BD23),逐级计算!$X$56&gt;-1),IF(逐级计算!$X$56=0,BD23+逐级计算!$C$56,BD23+逐级计算!$C$56-(10/(逐级计算!$Q$56*LN(10))*(MAX((LN(10^(逐级计算!$Q$56/10)-1)+逐级计算!$Q$56*(BD23-逐级计算!$P$56)*LN(10)/10),0)+LN(1+EXP(-ABS((LN(10^(逐级计算!$Q$56/10)-1)+逐级计算!$Q$56*(BD23-逐级计算!$P$56)*LN(10)/10))))))),"")</f>
        <v>13.7930226629352</v>
      </c>
      <c r="BF23">
        <f>IF(AND(ISNUMBER(BE23),逐级计算!$X$57&gt;-1),IF(逐级计算!$X$57=0,BE23+逐级计算!$C$57,BE23+逐级计算!$C$57-(10/(逐级计算!$Q$57*LN(10))*(MAX((LN(10^(逐级计算!$Q$57/10)-1)+逐级计算!$Q$57*(BE23-逐级计算!$P$57)*LN(10)/10),0)+LN(1+EXP(-ABS((LN(10^(逐级计算!$Q$57/10)-1)+逐级计算!$Q$57*(BE23-逐级计算!$P$57)*LN(10)/10))))))),"")</f>
        <v>13.7930226629352</v>
      </c>
      <c r="BG23">
        <f>IF(AND(ISNUMBER(BF23),逐级计算!$X$58&gt;-1),IF(逐级计算!$X$58=0,BF23+逐级计算!$C$58,BF23+逐级计算!$C$58-(10/(逐级计算!$Q$58*LN(10))*(MAX((LN(10^(逐级计算!$Q$58/10)-1)+逐级计算!$Q$58*(BF23-逐级计算!$P$58)*LN(10)/10),0)+LN(1+EXP(-ABS((LN(10^(逐级计算!$Q$58/10)-1)+逐级计算!$Q$58*(BF23-逐级计算!$P$58)*LN(10)/10))))))),"")</f>
        <v>13.7930226629352</v>
      </c>
      <c r="BH23">
        <f>IF(AND(ISNUMBER(BG23),逐级计算!$X$59&gt;-1),IF(逐级计算!$X$59=0,BG23+逐级计算!$C$59,BG23+逐级计算!$C$59-(10/(逐级计算!$Q$59*LN(10))*(MAX((LN(10^(逐级计算!$Q$59/10)-1)+逐级计算!$Q$59*(BG23-逐级计算!$P$59)*LN(10)/10),0)+LN(1+EXP(-ABS((LN(10^(逐级计算!$Q$59/10)-1)+逐级计算!$Q$59*(BG23-逐级计算!$P$59)*LN(10)/10))))))),"")</f>
        <v>13.7930226629352</v>
      </c>
      <c r="BI23">
        <f>IF(AND(ISNUMBER(BH23),逐级计算!$X$60&gt;-1),IF(逐级计算!$X$60=0,BH23+逐级计算!$C$60,BH23+逐级计算!$C$60-(10/(逐级计算!$Q$60*LN(10))*(MAX((LN(10^(逐级计算!$Q$60/10)-1)+逐级计算!$Q$60*(BH23-逐级计算!$P$60)*LN(10)/10),0)+LN(1+EXP(-ABS((LN(10^(逐级计算!$Q$60/10)-1)+逐级计算!$Q$60*(BH23-逐级计算!$P$60)*LN(10)/10))))))),"")</f>
        <v>13.7930226629352</v>
      </c>
      <c r="BJ23">
        <f>IF(AND(ISNUMBER(BI23),逐级计算!$X$61&gt;-1),IF(逐级计算!$X$61=0,BI23+逐级计算!$C$61,BI23+逐级计算!$C$61-(10/(逐级计算!$Q$61*LN(10))*(MAX((LN(10^(逐级计算!$Q$61/10)-1)+逐级计算!$Q$61*(BI23-逐级计算!$P$61)*LN(10)/10),0)+LN(1+EXP(-ABS((LN(10^(逐级计算!$Q$61/10)-1)+逐级计算!$Q$61*(BI23-逐级计算!$P$61)*LN(10)/10))))))),"")</f>
        <v>13.7930226629352</v>
      </c>
      <c r="BK23">
        <f>IF(AND(ISNUMBER(BJ23),逐级计算!$X$62&gt;-1),IF(逐级计算!$X$62=0,BJ23+逐级计算!$C$62,BJ23+逐级计算!$C$62-(10/(逐级计算!$Q$62*LN(10))*(MAX((LN(10^(逐级计算!$Q$62/10)-1)+逐级计算!$Q$62*(BJ23-逐级计算!$P$62)*LN(10)/10),0)+LN(1+EXP(-ABS((LN(10^(逐级计算!$Q$62/10)-1)+逐级计算!$Q$62*(BJ23-逐级计算!$P$62)*LN(10)/10))))))),"")</f>
        <v>13.7930226629352</v>
      </c>
      <c r="BL23">
        <f>IF(AND(ISNUMBER(BK23),逐级计算!$X$63&gt;-1),IF(逐级计算!$X$63=0,BK23+逐级计算!$C$63,BK23+逐级计算!$C$63-(10/(逐级计算!$Q$63*LN(10))*(MAX((LN(10^(逐级计算!$Q$63/10)-1)+逐级计算!$Q$63*(BK23-逐级计算!$P$63)*LN(10)/10),0)+LN(1+EXP(-ABS((LN(10^(逐级计算!$Q$63/10)-1)+逐级计算!$Q$63*(BK23-逐级计算!$P$63)*LN(10)/10))))))),"")</f>
        <v>13.7930226629352</v>
      </c>
      <c r="BM23">
        <f>IF(AND(ISNUMBER(BL23),逐级计算!$X$64&gt;-1),IF(逐级计算!$X$64=0,BL23+逐级计算!$C$64,BL23+逐级计算!$C$64-(10/(逐级计算!$Q$64*LN(10))*(MAX((LN(10^(逐级计算!$Q$64/10)-1)+逐级计算!$Q$64*(BL23-逐级计算!$P$64)*LN(10)/10),0)+LN(1+EXP(-ABS((LN(10^(逐级计算!$Q$64/10)-1)+逐级计算!$Q$64*(BL23-逐级计算!$P$64)*LN(10)/10))))))),"")</f>
        <v>13.7930226629352</v>
      </c>
      <c r="BN23">
        <f>IF(AND(ISNUMBER(BM23),逐级计算!$X$65&gt;-1),IF(逐级计算!$X$65=0,BM23+逐级计算!$C$65,BM23+逐级计算!$C$65-(10/(逐级计算!$Q$65*LN(10))*(MAX((LN(10^(逐级计算!$Q$65/10)-1)+逐级计算!$Q$65*(BM23-逐级计算!$P$65)*LN(10)/10),0)+LN(1+EXP(-ABS((LN(10^(逐级计算!$Q$65/10)-1)+逐级计算!$Q$65*(BM23-逐级计算!$P$65)*LN(10)/10))))))),"")</f>
        <v>13.7930226629352</v>
      </c>
      <c r="BO23">
        <f>IF(AND(ISNUMBER(BN23),逐级计算!$X$66&gt;-1),IF(逐级计算!$X$66=0,BN23+逐级计算!$C$66,BN23+逐级计算!$C$66-(10/(逐级计算!$Q$66*LN(10))*(MAX((LN(10^(逐级计算!$Q$66/10)-1)+逐级计算!$Q$66*(BN23-逐级计算!$P$66)*LN(10)/10),0)+LN(1+EXP(-ABS((LN(10^(逐级计算!$Q$66/10)-1)+逐级计算!$Q$66*(BN23-逐级计算!$P$66)*LN(10)/10))))))),"")</f>
        <v>13.7930226629352</v>
      </c>
      <c r="BP23">
        <f>IF(AND(ISNUMBER(BO23),逐级计算!$X$67&gt;-1),IF(逐级计算!$X$67=0,BO23+逐级计算!$C$67,BO23+逐级计算!$C$67-(10/(逐级计算!$Q$67*LN(10))*(MAX((LN(10^(逐级计算!$Q$67/10)-1)+逐级计算!$Q$67*(BO23-逐级计算!$P$67)*LN(10)/10),0)+LN(1+EXP(-ABS((LN(10^(逐级计算!$Q$67/10)-1)+逐级计算!$Q$67*(BO23-逐级计算!$P$67)*LN(10)/10))))))),"")</f>
        <v>13.7930226629352</v>
      </c>
      <c r="BQ23">
        <f>IF(AND(ISNUMBER(BP23),逐级计算!$X$68&gt;-1),IF(逐级计算!$X$68=0,BP23+逐级计算!$C$68,BP23+逐级计算!$C$68-(10/(逐级计算!$Q$68*LN(10))*(MAX((LN(10^(逐级计算!$Q$68/10)-1)+逐级计算!$Q$68*(BP23-逐级计算!$P$68)*LN(10)/10),0)+LN(1+EXP(-ABS((LN(10^(逐级计算!$Q$68/10)-1)+逐级计算!$Q$68*(BP23-逐级计算!$P$68)*LN(10)/10))))))),"")</f>
        <v>13.7930226629352</v>
      </c>
      <c r="BR23">
        <f>IF(AND(ISNUMBER(BQ23),逐级计算!$X$69&gt;-1),IF(逐级计算!$X$69=0,BQ23+逐级计算!$C$69,BQ23+逐级计算!$C$69-(10/(逐级计算!$Q$69*LN(10))*(MAX((LN(10^(逐级计算!$Q$69/10)-1)+逐级计算!$Q$69*(BQ23-逐级计算!$P$69)*LN(10)/10),0)+LN(1+EXP(-ABS((LN(10^(逐级计算!$Q$69/10)-1)+逐级计算!$Q$69*(BQ23-逐级计算!$P$69)*LN(10)/10))))))),"")</f>
        <v>13.7930226629352</v>
      </c>
      <c r="BS23">
        <f>IF(AND(ISNUMBER(BR23),逐级计算!$X$70&gt;-1),IF(逐级计算!$X$70=0,BR23+逐级计算!$C$70,BR23+逐级计算!$C$70-(10/(逐级计算!$Q$70*LN(10))*(MAX((LN(10^(逐级计算!$Q$70/10)-1)+逐级计算!$Q$70*(BR23-逐级计算!$P$70)*LN(10)/10),0)+LN(1+EXP(-ABS((LN(10^(逐级计算!$Q$70/10)-1)+逐级计算!$Q$70*(BR23-逐级计算!$P$70)*LN(10)/10))))))),"")</f>
        <v>13.7930226629352</v>
      </c>
      <c r="BT23">
        <f>IF(AND(ISNUMBER(BS23),逐级计算!$X$71&gt;-1),IF(逐级计算!$X$71=0,BS23+逐级计算!$C$71,BS23+逐级计算!$C$71-(10/(逐级计算!$Q$71*LN(10))*(MAX((LN(10^(逐级计算!$Q$71/10)-1)+逐级计算!$Q$71*(BS23-逐级计算!$P$71)*LN(10)/10),0)+LN(1+EXP(-ABS((LN(10^(逐级计算!$Q$71/10)-1)+逐级计算!$Q$71*(BS23-逐级计算!$P$71)*LN(10)/10))))))),"")</f>
        <v>13.7930226629352</v>
      </c>
      <c r="BU23">
        <f>IF(AND(ISNUMBER(BT23),逐级计算!$X$72&gt;-1),IF(逐级计算!$X$72=0,BT23+逐级计算!$C$72,BT23+逐级计算!$C$72-(10/(逐级计算!$Q$72*LN(10))*(MAX((LN(10^(逐级计算!$Q$72/10)-1)+逐级计算!$Q$72*(BT23-逐级计算!$P$72)*LN(10)/10),0)+LN(1+EXP(-ABS((LN(10^(逐级计算!$Q$72/10)-1)+逐级计算!$Q$72*(BT23-逐级计算!$P$72)*LN(10)/10))))))),"")</f>
        <v>13.7930226629352</v>
      </c>
      <c r="BV23">
        <f>IF(AND(ISNUMBER(BU23),逐级计算!$X$73&gt;-1),IF(逐级计算!$X$73=0,BU23+逐级计算!$C$73,BU23+逐级计算!$C$73-(10/(逐级计算!$Q$73*LN(10))*(MAX((LN(10^(逐级计算!$Q$73/10)-1)+逐级计算!$Q$73*(BU23-逐级计算!$P$73)*LN(10)/10),0)+LN(1+EXP(-ABS((LN(10^(逐级计算!$Q$73/10)-1)+逐级计算!$Q$73*(BU23-逐级计算!$P$73)*LN(10)/10))))))),"")</f>
        <v>13.7930226629352</v>
      </c>
      <c r="BW23">
        <f>IF(AND(ISNUMBER(BV23),逐级计算!$X$74&gt;-1),IF(逐级计算!$X$74=0,BV23+逐级计算!$C$74,BV23+逐级计算!$C$74-(10/(逐级计算!$Q$74*LN(10))*(MAX((LN(10^(逐级计算!$Q$74/10)-1)+逐级计算!$Q$74*(BV23-逐级计算!$P$74)*LN(10)/10),0)+LN(1+EXP(-ABS((LN(10^(逐级计算!$Q$74/10)-1)+逐级计算!$Q$74*(BV23-逐级计算!$P$74)*LN(10)/10))))))),"")</f>
        <v>13.7930226629352</v>
      </c>
      <c r="BX23">
        <f>IF(AND(ISNUMBER(BW23),逐级计算!$X$75&gt;-1),IF(逐级计算!$X$75=0,BW23+逐级计算!$C$75,BW23+逐级计算!$C$75-(10/(逐级计算!$Q$75*LN(10))*(MAX((LN(10^(逐级计算!$Q$75/10)-1)+逐级计算!$Q$75*(BW23-逐级计算!$P$75)*LN(10)/10),0)+LN(1+EXP(-ABS((LN(10^(逐级计算!$Q$75/10)-1)+逐级计算!$Q$75*(BW23-逐级计算!$P$75)*LN(10)/10))))))),"")</f>
        <v>13.7930226629352</v>
      </c>
      <c r="BY23">
        <f>IF(AND(ISNUMBER(BX23),逐级计算!$X$76&gt;-1),IF(逐级计算!$X$76=0,BX23+逐级计算!$C$76,BX23+逐级计算!$C$76-(10/(逐级计算!$Q$76*LN(10))*(MAX((LN(10^(逐级计算!$Q$76/10)-1)+逐级计算!$Q$76*(BX23-逐级计算!$P$76)*LN(10)/10),0)+LN(1+EXP(-ABS((LN(10^(逐级计算!$Q$76/10)-1)+逐级计算!$Q$76*(BX23-逐级计算!$P$76)*LN(10)/10))))))),"")</f>
        <v>13.7930226629352</v>
      </c>
      <c r="BZ23">
        <f>IF(AND(ISNUMBER(BY23),逐级计算!$X$77&gt;-1),IF(逐级计算!$X$77=0,BY23+逐级计算!$C$77,BY23+逐级计算!$C$77-(10/(逐级计算!$Q$77*LN(10))*(MAX((LN(10^(逐级计算!$Q$77/10)-1)+逐级计算!$Q$77*(BY23-逐级计算!$P$77)*LN(10)/10),0)+LN(1+EXP(-ABS((LN(10^(逐级计算!$Q$77/10)-1)+逐级计算!$Q$77*(BY23-逐级计算!$P$77)*LN(10)/10))))))),"")</f>
        <v>13.7930226629352</v>
      </c>
      <c r="CA23">
        <f>IF(AND(ISNUMBER(BZ23),逐级计算!$X$78&gt;-1),IF(逐级计算!$X$78=0,BZ23+逐级计算!$C$78,BZ23+逐级计算!$C$78-(10/(逐级计算!$Q$78*LN(10))*(MAX((LN(10^(逐级计算!$Q$78/10)-1)+逐级计算!$Q$78*(BZ23-逐级计算!$P$78)*LN(10)/10),0)+LN(1+EXP(-ABS((LN(10^(逐级计算!$Q$78/10)-1)+逐级计算!$Q$78*(BZ23-逐级计算!$P$78)*LN(10)/10))))))),"")</f>
        <v>13.7930226629352</v>
      </c>
      <c r="CB23">
        <f>IF(AND(ISNUMBER(CA23),逐级计算!$X$79&gt;-1),IF(逐级计算!$X$79=0,CA23+逐级计算!$C$79,CA23+逐级计算!$C$79-(10/(逐级计算!$Q$79*LN(10))*(MAX((LN(10^(逐级计算!$Q$79/10)-1)+逐级计算!$Q$79*(CA23-逐级计算!$P$79)*LN(10)/10),0)+LN(1+EXP(-ABS((LN(10^(逐级计算!$Q$79/10)-1)+逐级计算!$Q$79*(CA23-逐级计算!$P$79)*LN(10)/10))))))),"")</f>
        <v>13.7930226629352</v>
      </c>
      <c r="CC23">
        <f>IF(AND(ISNUMBER(CB23),逐级计算!$X$80&gt;-1),IF(逐级计算!$X$80=0,CB23+逐级计算!$C$80,CB23+逐级计算!$C$80-(10/(逐级计算!$Q$80*LN(10))*(MAX((LN(10^(逐级计算!$Q$80/10)-1)+逐级计算!$Q$80*(CB23-逐级计算!$P$80)*LN(10)/10),0)+LN(1+EXP(-ABS((LN(10^(逐级计算!$Q$80/10)-1)+逐级计算!$Q$80*(CB23-逐级计算!$P$80)*LN(10)/10))))))),"")</f>
        <v>13.7930226629352</v>
      </c>
      <c r="CD23">
        <f>IF(AND(ISNUMBER(CC23),逐级计算!$X$81&gt;-1),IF(逐级计算!$X$81=0,CC23+逐级计算!$C$81,CC23+逐级计算!$C$81-(10/(逐级计算!$Q$81*LN(10))*(MAX((LN(10^(逐级计算!$Q$81/10)-1)+逐级计算!$Q$81*(CC23-逐级计算!$P$81)*LN(10)/10),0)+LN(1+EXP(-ABS((LN(10^(逐级计算!$Q$81/10)-1)+逐级计算!$Q$81*(CC23-逐级计算!$P$81)*LN(10)/10))))))),"")</f>
        <v>13.7930226629352</v>
      </c>
      <c r="CE23">
        <f>IF(AND(ISNUMBER(CD23),逐级计算!$X$82&gt;-1),IF(逐级计算!$X$82=0,CD23+逐级计算!$C$82,CD23+逐级计算!$C$82-(10/(逐级计算!$Q$82*LN(10))*(MAX((LN(10^(逐级计算!$Q$82/10)-1)+逐级计算!$Q$82*(CD23-逐级计算!$P$82)*LN(10)/10),0)+LN(1+EXP(-ABS((LN(10^(逐级计算!$Q$82/10)-1)+逐级计算!$Q$82*(CD23-逐级计算!$P$82)*LN(10)/10))))))),"")</f>
        <v>13.7930226629352</v>
      </c>
      <c r="CF23">
        <f>IF(AND(ISNUMBER(CE23),逐级计算!$X$83&gt;-1),IF(逐级计算!$X$83=0,CE23+逐级计算!$C$83,CE23+逐级计算!$C$83-(10/(逐级计算!$Q$83*LN(10))*(MAX((LN(10^(逐级计算!$Q$83/10)-1)+逐级计算!$Q$83*(CE23-逐级计算!$P$83)*LN(10)/10),0)+LN(1+EXP(-ABS((LN(10^(逐级计算!$Q$83/10)-1)+逐级计算!$Q$83*(CE23-逐级计算!$P$83)*LN(10)/10))))))),"")</f>
        <v>13.7930226629352</v>
      </c>
      <c r="CG23">
        <f>IF(AND(ISNUMBER(CF23),逐级计算!$X$84&gt;-1),IF(逐级计算!$X$84=0,CF23+逐级计算!$C$84,CF23+逐级计算!$C$84-(10/(逐级计算!$Q$84*LN(10))*(MAX((LN(10^(逐级计算!$Q$84/10)-1)+逐级计算!$Q$84*(CF23-逐级计算!$P$84)*LN(10)/10),0)+LN(1+EXP(-ABS((LN(10^(逐级计算!$Q$84/10)-1)+逐级计算!$Q$84*(CF23-逐级计算!$P$84)*LN(10)/10))))))),"")</f>
        <v>13.7930226629352</v>
      </c>
      <c r="CH23">
        <f>IF(AND(ISNUMBER(CG23),逐级计算!$X$85&gt;-1),IF(逐级计算!$X$85=0,CG23+逐级计算!$C$85,CG23+逐级计算!$C$85-(10/(逐级计算!$Q$85*LN(10))*(MAX((LN(10^(逐级计算!$Q$85/10)-1)+逐级计算!$Q$85*(CG23-逐级计算!$P$85)*LN(10)/10),0)+LN(1+EXP(-ABS((LN(10^(逐级计算!$Q$85/10)-1)+逐级计算!$Q$85*(CG23-逐级计算!$P$85)*LN(10)/10))))))),"")</f>
        <v>13.7930226629352</v>
      </c>
      <c r="CI23">
        <f>IF(AND(ISNUMBER(CH23),逐级计算!$X$86&gt;-1),IF(逐级计算!$X$86=0,CH23+逐级计算!$C$86,CH23+逐级计算!$C$86-(10/(逐级计算!$Q$86*LN(10))*(MAX((LN(10^(逐级计算!$Q$86/10)-1)+逐级计算!$Q$86*(CH23-逐级计算!$P$86)*LN(10)/10),0)+LN(1+EXP(-ABS((LN(10^(逐级计算!$Q$86/10)-1)+逐级计算!$Q$86*(CH23-逐级计算!$P$86)*LN(10)/10))))))),"")</f>
        <v>13.7930226629352</v>
      </c>
      <c r="CJ23">
        <f>IF(AND(ISNUMBER(CI23),逐级计算!$X$87&gt;-1),IF(逐级计算!$X$87=0,CI23+逐级计算!$C$87,CI23+逐级计算!$C$87-(10/(逐级计算!$Q$87*LN(10))*(MAX((LN(10^(逐级计算!$Q$87/10)-1)+逐级计算!$Q$87*(CI23-逐级计算!$P$87)*LN(10)/10),0)+LN(1+EXP(-ABS((LN(10^(逐级计算!$Q$87/10)-1)+逐级计算!$Q$87*(CI23-逐级计算!$P$87)*LN(10)/10))))))),"")</f>
        <v>13.7930226629352</v>
      </c>
      <c r="CK23">
        <f>IF(AND(ISNUMBER(CJ23),逐级计算!$X$88&gt;-1),IF(逐级计算!$X$88=0,CJ23+逐级计算!$C$88,CJ23+逐级计算!$C$88-(10/(逐级计算!$Q$88*LN(10))*(MAX((LN(10^(逐级计算!$Q$88/10)-1)+逐级计算!$Q$88*(CJ23-逐级计算!$P$88)*LN(10)/10),0)+LN(1+EXP(-ABS((LN(10^(逐级计算!$Q$88/10)-1)+逐级计算!$Q$88*(CJ23-逐级计算!$P$88)*LN(10)/10))))))),"")</f>
        <v>13.7930226629352</v>
      </c>
      <c r="CL23">
        <f>IF(AND(ISNUMBER(CK23),逐级计算!$X$89&gt;-1),IF(逐级计算!$X$89=0,CK23+逐级计算!$C$89,CK23+逐级计算!$C$89-(10/(逐级计算!$Q$89*LN(10))*(MAX((LN(10^(逐级计算!$Q$89/10)-1)+逐级计算!$Q$89*(CK23-逐级计算!$P$89)*LN(10)/10),0)+LN(1+EXP(-ABS((LN(10^(逐级计算!$Q$89/10)-1)+逐级计算!$Q$89*(CK23-逐级计算!$P$89)*LN(10)/10))))))),"")</f>
        <v>13.7930226629352</v>
      </c>
      <c r="CM23">
        <f>IF(AND(ISNUMBER(CL23),逐级计算!$X$90&gt;-1),IF(逐级计算!$X$90=0,CL23+逐级计算!$C$90,CL23+逐级计算!$C$90-(10/(逐级计算!$Q$90*LN(10))*(MAX((LN(10^(逐级计算!$Q$90/10)-1)+逐级计算!$Q$90*(CL23-逐级计算!$P$90)*LN(10)/10),0)+LN(1+EXP(-ABS((LN(10^(逐级计算!$Q$90/10)-1)+逐级计算!$Q$90*(CL23-逐级计算!$P$90)*LN(10)/10))))))),"")</f>
        <v>13.7930226629352</v>
      </c>
      <c r="CN23">
        <f>IF(AND(ISNUMBER(CM23),逐级计算!$X$91&gt;-1),IF(逐级计算!$X$91=0,CM23+逐级计算!$C$91,CM23+逐级计算!$C$91-(10/(逐级计算!$Q$91*LN(10))*(MAX((LN(10^(逐级计算!$Q$91/10)-1)+逐级计算!$Q$91*(CM23-逐级计算!$P$91)*LN(10)/10),0)+LN(1+EXP(-ABS((LN(10^(逐级计算!$Q$91/10)-1)+逐级计算!$Q$91*(CM23-逐级计算!$P$91)*LN(10)/10))))))),"")</f>
        <v>13.7930226629352</v>
      </c>
      <c r="CO23">
        <f>IF(AND(ISNUMBER(CN23),逐级计算!$X$92&gt;-1),IF(逐级计算!$X$92=0,CN23+逐级计算!$C$92,CN23+逐级计算!$C$92-(10/(逐级计算!$Q$92*LN(10))*(MAX((LN(10^(逐级计算!$Q$92/10)-1)+逐级计算!$Q$92*(CN23-逐级计算!$P$92)*LN(10)/10),0)+LN(1+EXP(-ABS((LN(10^(逐级计算!$Q$92/10)-1)+逐级计算!$Q$92*(CN23-逐级计算!$P$92)*LN(10)/10))))))),"")</f>
        <v>13.7930226629352</v>
      </c>
      <c r="CP23">
        <f>IF(AND(ISNUMBER(CO23),逐级计算!$X$93&gt;-1),IF(逐级计算!$X$93=0,CO23+逐级计算!$C$93,CO23+逐级计算!$C$93-(10/(逐级计算!$Q$93*LN(10))*(MAX((LN(10^(逐级计算!$Q$93/10)-1)+逐级计算!$Q$93*(CO23-逐级计算!$P$93)*LN(10)/10),0)+LN(1+EXP(-ABS((LN(10^(逐级计算!$Q$93/10)-1)+逐级计算!$Q$93*(CO23-逐级计算!$P$93)*LN(10)/10))))))),"")</f>
        <v>13.7930226629352</v>
      </c>
      <c r="CQ23">
        <f>IF(AND(ISNUMBER(CP23),逐级计算!$X$94&gt;-1),IF(逐级计算!$X$94=0,CP23+逐级计算!$C$94,CP23+逐级计算!$C$94-(10/(逐级计算!$Q$94*LN(10))*(MAX((LN(10^(逐级计算!$Q$94/10)-1)+逐级计算!$Q$94*(CP23-逐级计算!$P$94)*LN(10)/10),0)+LN(1+EXP(-ABS((LN(10^(逐级计算!$Q$94/10)-1)+逐级计算!$Q$94*(CP23-逐级计算!$P$94)*LN(10)/10))))))),"")</f>
        <v>13.7930226629352</v>
      </c>
      <c r="CR23">
        <f>IF(AND(ISNUMBER(CQ23),逐级计算!$X$95&gt;-1),IF(逐级计算!$X$95=0,CQ23+逐级计算!$C$95,CQ23+逐级计算!$C$95-(10/(逐级计算!$Q$95*LN(10))*(MAX((LN(10^(逐级计算!$Q$95/10)-1)+逐级计算!$Q$95*(CQ23-逐级计算!$P$95)*LN(10)/10),0)+LN(1+EXP(-ABS((LN(10^(逐级计算!$Q$95/10)-1)+逐级计算!$Q$95*(CQ23-逐级计算!$P$95)*LN(10)/10))))))),"")</f>
        <v>13.7930226629352</v>
      </c>
      <c r="CS23">
        <f>IF(AND(ISNUMBER(CR23),逐级计算!$X$96&gt;-1),IF(逐级计算!$X$96=0,CR23+逐级计算!$C$96,CR23+逐级计算!$C$96-(10/(逐级计算!$Q$96*LN(10))*(MAX((LN(10^(逐级计算!$Q$96/10)-1)+逐级计算!$Q$96*(CR23-逐级计算!$P$96)*LN(10)/10),0)+LN(1+EXP(-ABS((LN(10^(逐级计算!$Q$96/10)-1)+逐级计算!$Q$96*(CR23-逐级计算!$P$96)*LN(10)/10))))))),"")</f>
        <v>13.7930226629352</v>
      </c>
      <c r="CT23">
        <f>IF(AND(ISNUMBER(CS23),逐级计算!$X$97&gt;-1),IF(逐级计算!$X$97=0,CS23+逐级计算!$C$97,CS23+逐级计算!$C$97-(10/(逐级计算!$Q$97*LN(10))*(MAX((LN(10^(逐级计算!$Q$97/10)-1)+逐级计算!$Q$97*(CS23-逐级计算!$P$97)*LN(10)/10),0)+LN(1+EXP(-ABS((LN(10^(逐级计算!$Q$97/10)-1)+逐级计算!$Q$97*(CS23-逐级计算!$P$97)*LN(10)/10))))))),"")</f>
        <v>13.7930226629352</v>
      </c>
      <c r="CU23">
        <f>IF(AND(ISNUMBER(CT23),逐级计算!$X$98&gt;-1),IF(逐级计算!$X$98=0,CT23+逐级计算!$C$98,CT23+逐级计算!$C$98-(10/(逐级计算!$Q$98*LN(10))*(MAX((LN(10^(逐级计算!$Q$98/10)-1)+逐级计算!$Q$98*(CT23-逐级计算!$P$98)*LN(10)/10),0)+LN(1+EXP(-ABS((LN(10^(逐级计算!$Q$98/10)-1)+逐级计算!$Q$98*(CT23-逐级计算!$P$98)*LN(10)/10))))))),"")</f>
        <v>13.7930226629352</v>
      </c>
      <c r="CV23">
        <f>IF(AND(ISNUMBER(CU23),逐级计算!$X$99&gt;-1),IF(逐级计算!$X$99=0,CU23+逐级计算!$C$99,CU23+逐级计算!$C$99-(10/(逐级计算!$Q$99*LN(10))*(MAX((LN(10^(逐级计算!$Q$99/10)-1)+逐级计算!$Q$99*(CU23-逐级计算!$P$99)*LN(10)/10),0)+LN(1+EXP(-ABS((LN(10^(逐级计算!$Q$99/10)-1)+逐级计算!$Q$99*(CU23-逐级计算!$P$99)*LN(10)/10))))))),"")</f>
        <v>13.7930226629352</v>
      </c>
      <c r="CW23">
        <f>IF(AND(ISNUMBER(CV23),逐级计算!$X$100&gt;-1),IF(逐级计算!$X$100=0,CV23+逐级计算!$C$100,CV23+逐级计算!$C$100-(10/(逐级计算!$Q$100*LN(10))*(MAX((LN(10^(逐级计算!$Q$100/10)-1)+逐级计算!$Q$100*(CV23-逐级计算!$P$100)*LN(10)/10),0)+LN(1+EXP(-ABS((LN(10^(逐级计算!$Q$100/10)-1)+逐级计算!$Q$100*(CV23-逐级计算!$P$100)*LN(10)/10))))))),"")</f>
        <v>13.7930226629352</v>
      </c>
      <c r="CX23">
        <f>IF(AND(ISNUMBER(CW23),逐级计算!$X$101&gt;-1),IF(逐级计算!$X$101=0,CW23+逐级计算!$C$101,CW23+逐级计算!$C$101-(10/(逐级计算!$Q$101*LN(10))*(MAX((LN(10^(逐级计算!$Q$101/10)-1)+逐级计算!$Q$101*(CW23-逐级计算!$P$101)*LN(10)/10),0)+LN(1+EXP(-ABS((LN(10^(逐级计算!$Q$101/10)-1)+逐级计算!$Q$101*(CW23-逐级计算!$P$101)*LN(10)/10))))))),"")</f>
        <v>13.7930226629352</v>
      </c>
      <c r="CY23">
        <f>IF(AND(ISNUMBER(CX23),逐级计算!$X$102&gt;-1),IF(逐级计算!$X$102=0,CX23+逐级计算!$C$102,CX23+逐级计算!$C$102-(10/(逐级计算!$Q$102*LN(10))*(MAX((LN(10^(逐级计算!$Q$102/10)-1)+逐级计算!$Q$102*(CX23-逐级计算!$P$102)*LN(10)/10),0)+LN(1+EXP(-ABS((LN(10^(逐级计算!$Q$102/10)-1)+逐级计算!$Q$102*(CX23-逐级计算!$P$102)*LN(10)/10))))))),"")</f>
        <v>13.7930226629352</v>
      </c>
      <c r="CZ23">
        <f>IF(AND(ISNUMBER(CY23),逐级计算!$X$103&gt;-1),IF(逐级计算!$X$103=0,CY23+逐级计算!$C$103,CY23+逐级计算!$C$103-(10/(逐级计算!$Q$103*LN(10))*(MAX((LN(10^(逐级计算!$Q$103/10)-1)+逐级计算!$Q$103*(CY23-逐级计算!$P$103)*LN(10)/10),0)+LN(1+EXP(-ABS((LN(10^(逐级计算!$Q$103/10)-1)+逐级计算!$Q$103*(CY23-逐级计算!$P$103)*LN(10)/10))))))),"")</f>
        <v>13.7930226629352</v>
      </c>
      <c r="DA23">
        <f>IF(AND(ISNUMBER(CZ23),逐级计算!$X$104&gt;-1),IF(逐级计算!$X$104=0,CZ23+逐级计算!$C$104,CZ23+逐级计算!$C$104-(10/(逐级计算!$Q$104*LN(10))*(MAX((LN(10^(逐级计算!$Q$104/10)-1)+逐级计算!$Q$104*(CZ23-逐级计算!$P$104)*LN(10)/10),0)+LN(1+EXP(-ABS((LN(10^(逐级计算!$Q$104/10)-1)+逐级计算!$Q$104*(CZ23-逐级计算!$P$104)*LN(10)/10))))))),"")</f>
        <v>13.7930226629352</v>
      </c>
      <c r="DB23">
        <f>IF(AND(ISNUMBER(DA23),逐级计算!$X$105&gt;-1),IF(逐级计算!$X$105=0,DA23+逐级计算!$C$105,DA23+逐级计算!$C$105-(10/(逐级计算!$Q$105*LN(10))*(MAX((LN(10^(逐级计算!$Q$105/10)-1)+逐级计算!$Q$105*(DA23-逐级计算!$P$105)*LN(10)/10),0)+LN(1+EXP(-ABS((LN(10^(逐级计算!$Q$105/10)-1)+逐级计算!$Q$105*(DA23-逐级计算!$P$105)*LN(10)/10))))))),"")</f>
        <v>13.7930226629352</v>
      </c>
      <c r="DC23">
        <f>IF(AND(ISNUMBER(DB23),逐级计算!$X$106&gt;-1),IF(逐级计算!$X$106=0,DB23+逐级计算!$C$106,DB23+逐级计算!$C$106-(10/(逐级计算!$Q$106*LN(10))*(MAX((LN(10^(逐级计算!$Q$106/10)-1)+逐级计算!$Q$106*(DB23-逐级计算!$P$106)*LN(10)/10),0)+LN(1+EXP(-ABS((LN(10^(逐级计算!$Q$106/10)-1)+逐级计算!$Q$106*(DB23-逐级计算!$P$106)*LN(10)/10))))))),"")</f>
        <v>13.7930226629352</v>
      </c>
      <c r="DD23">
        <f>IF(AND(ISNUMBER(DC23),逐级计算!$X$107&gt;-1),IF(逐级计算!$X$107=0,DC23+逐级计算!$C$107,DC23+逐级计算!$C$107-(10/(逐级计算!$Q$107*LN(10))*(MAX((LN(10^(逐级计算!$Q$107/10)-1)+逐级计算!$Q$107*(DC23-逐级计算!$P$107)*LN(10)/10),0)+LN(1+EXP(-ABS((LN(10^(逐级计算!$Q$107/10)-1)+逐级计算!$Q$107*(DC23-逐级计算!$P$107)*LN(10)/10))))))),"")</f>
        <v>13.7930226629352</v>
      </c>
      <c r="DE23">
        <f>IF(AND(ISNUMBER(DD23),逐级计算!$X$108&gt;-1),IF(逐级计算!$X$108=0,DD23+逐级计算!$C$108,DD23+逐级计算!$C$108-(10/(逐级计算!$Q$108*LN(10))*(MAX((LN(10^(逐级计算!$Q$108/10)-1)+逐级计算!$Q$108*(DD23-逐级计算!$P$108)*LN(10)/10),0)+LN(1+EXP(-ABS((LN(10^(逐级计算!$Q$108/10)-1)+逐级计算!$Q$108*(DD23-逐级计算!$P$108)*LN(10)/10))))))),"")</f>
        <v>13.7930226629352</v>
      </c>
      <c r="DF23">
        <f>IF(AND(ISNUMBER(DE23),逐级计算!$X$109&gt;-1),IF(逐级计算!$X$109=0,DE23+逐级计算!$C$109,DE23+逐级计算!$C$109-(10/(逐级计算!$Q$109*LN(10))*(MAX((LN(10^(逐级计算!$Q$109/10)-1)+逐级计算!$Q$109*(DE23-逐级计算!$P$109)*LN(10)/10),0)+LN(1+EXP(-ABS((LN(10^(逐级计算!$Q$109/10)-1)+逐级计算!$Q$109*(DE23-逐级计算!$P$109)*LN(10)/10))))))),"")</f>
        <v>13.7930226629352</v>
      </c>
      <c r="DG23">
        <f>IF(AND(ISNUMBER(DF23),逐级计算!$X$110&gt;-1),IF(逐级计算!$X$110=0,DF23+逐级计算!$C$110,DF23+逐级计算!$C$110-(10/(逐级计算!$Q$110*LN(10))*(MAX((LN(10^(逐级计算!$Q$110/10)-1)+逐级计算!$Q$110*(DF23-逐级计算!$P$110)*LN(10)/10),0)+LN(1+EXP(-ABS((LN(10^(逐级计算!$Q$110/10)-1)+逐级计算!$Q$110*(DF23-逐级计算!$P$110)*LN(10)/10))))))),"")</f>
        <v>13.7930226629352</v>
      </c>
      <c r="DH23">
        <f>IF(AND(ISNUMBER(DG23),逐级计算!$X$111&gt;-1),IF(逐级计算!$X$111=0,DG23+逐级计算!$C$111,DG23+逐级计算!$C$111-(10/(逐级计算!$Q$111*LN(10))*(MAX((LN(10^(逐级计算!$Q$111/10)-1)+逐级计算!$Q$111*(DG23-逐级计算!$P$111)*LN(10)/10),0)+LN(1+EXP(-ABS((LN(10^(逐级计算!$Q$111/10)-1)+逐级计算!$Q$111*(DG23-逐级计算!$P$111)*LN(10)/10))))))),"")</f>
        <v>13.7930226629352</v>
      </c>
      <c r="DI23">
        <f>IF(AND(ISNUMBER(DH23),逐级计算!$X$112&gt;-1),IF(逐级计算!$X$112=0,DH23+逐级计算!$C$112,DH23+逐级计算!$C$112-(10/(逐级计算!$Q$112*LN(10))*(MAX((LN(10^(逐级计算!$Q$112/10)-1)+逐级计算!$Q$112*(DH23-逐级计算!$P$112)*LN(10)/10),0)+LN(1+EXP(-ABS((LN(10^(逐级计算!$Q$112/10)-1)+逐级计算!$Q$112*(DH23-逐级计算!$P$112)*LN(10)/10))))))),"")</f>
        <v>13.7930226629352</v>
      </c>
      <c r="DJ23">
        <f>IF(AND(ISNUMBER(DI23),逐级计算!$X$113&gt;-1),IF(逐级计算!$X$113=0,DI23+逐级计算!$C$113,DI23+逐级计算!$C$113-(10/(逐级计算!$Q$113*LN(10))*(MAX((LN(10^(逐级计算!$Q$113/10)-1)+逐级计算!$Q$113*(DI23-逐级计算!$P$113)*LN(10)/10),0)+LN(1+EXP(-ABS((LN(10^(逐级计算!$Q$113/10)-1)+逐级计算!$Q$113*(DI23-逐级计算!$P$113)*LN(10)/10))))))),"")</f>
        <v>13.7930226629352</v>
      </c>
      <c r="DK23">
        <f>IF(AND(ISNUMBER(DJ23),逐级计算!$X$114&gt;-1),IF(逐级计算!$X$114=0,DJ23+逐级计算!$C$114,DJ23+逐级计算!$C$114-(10/(逐级计算!$Q$114*LN(10))*(MAX((LN(10^(逐级计算!$Q$114/10)-1)+逐级计算!$Q$114*(DJ23-逐级计算!$P$114)*LN(10)/10),0)+LN(1+EXP(-ABS((LN(10^(逐级计算!$Q$114/10)-1)+逐级计算!$Q$114*(DJ23-逐级计算!$P$114)*LN(10)/10))))))),"")</f>
        <v>13.7930226629352</v>
      </c>
      <c r="DL23">
        <f>IF(AND(ISNUMBER(DK23),逐级计算!$X$115&gt;-1),IF(逐级计算!$X$115=0,DK23+逐级计算!$C$115,DK23+逐级计算!$C$115-(10/(逐级计算!$Q$115*LN(10))*(MAX((LN(10^(逐级计算!$Q$115/10)-1)+逐级计算!$Q$115*(DK23-逐级计算!$P$115)*LN(10)/10),0)+LN(1+EXP(-ABS((LN(10^(逐级计算!$Q$115/10)-1)+逐级计算!$Q$115*(DK23-逐级计算!$P$115)*LN(10)/10))))))),"")</f>
        <v>13.7930226629352</v>
      </c>
      <c r="DM23">
        <f>IF(AND(ISNUMBER(DL23),逐级计算!$X$116&gt;-1),IF(逐级计算!$X$116=0,DL23+逐级计算!$C$116,DL23+逐级计算!$C$116-(10/(逐级计算!$Q$116*LN(10))*(MAX((LN(10^(逐级计算!$Q$116/10)-1)+逐级计算!$Q$116*(DL23-逐级计算!$P$116)*LN(10)/10),0)+LN(1+EXP(-ABS((LN(10^(逐级计算!$Q$116/10)-1)+逐级计算!$Q$116*(DL23-逐级计算!$P$116)*LN(10)/10))))))),"")</f>
        <v>13.7930226629352</v>
      </c>
      <c r="DN23">
        <f>IF(AND(ISNUMBER(DM23),逐级计算!$X$117&gt;-1),IF(逐级计算!$X$117=0,DM23+逐级计算!$C$117,DM23+逐级计算!$C$117-(10/(逐级计算!$Q$117*LN(10))*(MAX((LN(10^(逐级计算!$Q$117/10)-1)+逐级计算!$Q$117*(DM23-逐级计算!$P$117)*LN(10)/10),0)+LN(1+EXP(-ABS((LN(10^(逐级计算!$Q$117/10)-1)+逐级计算!$Q$117*(DM23-逐级计算!$P$117)*LN(10)/10))))))),"")</f>
        <v>13.7930226629352</v>
      </c>
      <c r="DO23">
        <f>IF(AND(ISNUMBER(DN23),逐级计算!$X$118&gt;-1),IF(逐级计算!$X$118=0,DN23+逐级计算!$C$118,DN23+逐级计算!$C$118-(10/(逐级计算!$Q$118*LN(10))*(MAX((LN(10^(逐级计算!$Q$118/10)-1)+逐级计算!$Q$118*(DN23-逐级计算!$P$118)*LN(10)/10),0)+LN(1+EXP(-ABS((LN(10^(逐级计算!$Q$118/10)-1)+逐级计算!$Q$118*(DN23-逐级计算!$P$118)*LN(10)/10))))))),"")</f>
        <v>13.7930226629352</v>
      </c>
      <c r="DP23">
        <f>IF(AND(ISNUMBER(DO23),逐级计算!$X$119&gt;-1),IF(逐级计算!$X$119=0,DO23+逐级计算!$C$119,DO23+逐级计算!$C$119-(10/(逐级计算!$Q$119*LN(10))*(MAX((LN(10^(逐级计算!$Q$119/10)-1)+逐级计算!$Q$119*(DO23-逐级计算!$P$119)*LN(10)/10),0)+LN(1+EXP(-ABS((LN(10^(逐级计算!$Q$119/10)-1)+逐级计算!$Q$119*(DO23-逐级计算!$P$119)*LN(10)/10))))))),"")</f>
        <v>13.7930226629352</v>
      </c>
      <c r="DQ23">
        <f>IF(AND(ISNUMBER(DP23),逐级计算!$X$120&gt;-1),IF(逐级计算!$X$120=0,DP23+逐级计算!$C$120,DP23+逐级计算!$C$120-(10/(逐级计算!$Q$120*LN(10))*(MAX((LN(10^(逐级计算!$Q$120/10)-1)+逐级计算!$Q$120*(DP23-逐级计算!$P$120)*LN(10)/10),0)+LN(1+EXP(-ABS((LN(10^(逐级计算!$Q$120/10)-1)+逐级计算!$Q$120*(DP23-逐级计算!$P$120)*LN(10)/10))))))),"")</f>
        <v>13.7930226629352</v>
      </c>
      <c r="DR23">
        <f>IF(AND(ISNUMBER(DQ23),逐级计算!$X$121&gt;-1),IF(逐级计算!$X$121=0,DQ23+逐级计算!$C$121,DQ23+逐级计算!$C$121-(10/(逐级计算!$Q$121*LN(10))*(MAX((LN(10^(逐级计算!$Q$121/10)-1)+逐级计算!$Q$121*(DQ23-逐级计算!$P$121)*LN(10)/10),0)+LN(1+EXP(-ABS((LN(10^(逐级计算!$Q$121/10)-1)+逐级计算!$Q$121*(DQ23-逐级计算!$P$121)*LN(10)/10))))))),"")</f>
        <v>13.7930226629352</v>
      </c>
      <c r="DS23">
        <f>IF(AND(ISNUMBER(DR23),逐级计算!$X$122&gt;-1),IF(逐级计算!$X$122=0,DR23+逐级计算!$C$122,DR23+逐级计算!$C$122-(10/(逐级计算!$Q$122*LN(10))*(MAX((LN(10^(逐级计算!$Q$122/10)-1)+逐级计算!$Q$122*(DR23-逐级计算!$P$122)*LN(10)/10),0)+LN(1+EXP(-ABS((LN(10^(逐级计算!$Q$122/10)-1)+逐级计算!$Q$122*(DR23-逐级计算!$P$122)*LN(10)/10))))))),"")</f>
        <v>13.7930226629352</v>
      </c>
      <c r="DT23">
        <f>IF(AND(ISNUMBER(DS23),逐级计算!$X$123&gt;-1),IF(逐级计算!$X$123=0,DS23+逐级计算!$C$123,DS23+逐级计算!$C$123-(10/(逐级计算!$Q$123*LN(10))*(MAX((LN(10^(逐级计算!$Q$123/10)-1)+逐级计算!$Q$123*(DS23-逐级计算!$P$123)*LN(10)/10),0)+LN(1+EXP(-ABS((LN(10^(逐级计算!$Q$123/10)-1)+逐级计算!$Q$123*(DS23-逐级计算!$P$123)*LN(10)/10))))))),"")</f>
        <v>13.7930226629352</v>
      </c>
      <c r="DU23">
        <f>IF(AND(ISNUMBER(DT23),逐级计算!$X$124&gt;-1),IF(逐级计算!$X$124=0,DT23+逐级计算!$C$124,DT23+逐级计算!$C$124-(10/(逐级计算!$Q$124*LN(10))*(MAX((LN(10^(逐级计算!$Q$124/10)-1)+逐级计算!$Q$124*(DT23-逐级计算!$P$124)*LN(10)/10),0)+LN(1+EXP(-ABS((LN(10^(逐级计算!$Q$124/10)-1)+逐级计算!$Q$124*(DT23-逐级计算!$P$124)*LN(10)/10))))))),"")</f>
        <v>13.7930226629352</v>
      </c>
      <c r="DV23">
        <f>IF(AND(ISNUMBER(DU23),逐级计算!$X$125&gt;-1),IF(逐级计算!$X$125=0,DU23+逐级计算!$C$125,DU23+逐级计算!$C$125-(10/(逐级计算!$Q$125*LN(10))*(MAX((LN(10^(逐级计算!$Q$125/10)-1)+逐级计算!$Q$125*(DU23-逐级计算!$P$125)*LN(10)/10),0)+LN(1+EXP(-ABS((LN(10^(逐级计算!$Q$125/10)-1)+逐级计算!$Q$125*(DU23-逐级计算!$P$125)*LN(10)/10))))))),"")</f>
        <v>13.7930226629352</v>
      </c>
      <c r="DW23">
        <f>IF(AND(ISNUMBER(DV23),逐级计算!$X$126&gt;-1),IF(逐级计算!$X$126=0,DV23+逐级计算!$C$126,DV23+逐级计算!$C$126-(10/(逐级计算!$Q$126*LN(10))*(MAX((LN(10^(逐级计算!$Q$126/10)-1)+逐级计算!$Q$126*(DV23-逐级计算!$P$126)*LN(10)/10),0)+LN(1+EXP(-ABS((LN(10^(逐级计算!$Q$126/10)-1)+逐级计算!$Q$126*(DV23-逐级计算!$P$126)*LN(10)/10))))))),"")</f>
        <v>13.7930226629352</v>
      </c>
      <c r="DX23">
        <f>IF(AND(ISNUMBER(DW23),逐级计算!$X$127&gt;-1),IF(逐级计算!$X$127=0,DW23+逐级计算!$C$127,DW23+逐级计算!$C$127-(10/(逐级计算!$Q$127*LN(10))*(MAX((LN(10^(逐级计算!$Q$127/10)-1)+逐级计算!$Q$127*(DW23-逐级计算!$P$127)*LN(10)/10),0)+LN(1+EXP(-ABS((LN(10^(逐级计算!$Q$127/10)-1)+逐级计算!$Q$127*(DW23-逐级计算!$P$127)*LN(10)/10))))))),"")</f>
        <v>13.7930226629352</v>
      </c>
      <c r="DY23">
        <f>IF(AND(ISNUMBER(DX23),逐级计算!$X$128&gt;-1),IF(逐级计算!$X$128=0,DX23+逐级计算!$C$128,DX23+逐级计算!$C$128-(10/(逐级计算!$Q$128*LN(10))*(MAX((LN(10^(逐级计算!$Q$128/10)-1)+逐级计算!$Q$128*(DX23-逐级计算!$P$128)*LN(10)/10),0)+LN(1+EXP(-ABS((LN(10^(逐级计算!$Q$128/10)-1)+逐级计算!$Q$128*(DX23-逐级计算!$P$128)*LN(10)/10))))))),"")</f>
        <v>13.7930226629352</v>
      </c>
      <c r="DZ23">
        <f>IF(AND(ISNUMBER(DY23),逐级计算!$X$129&gt;-1),IF(逐级计算!$X$129=0,DY23+逐级计算!$C$129,DY23+逐级计算!$C$129-(10/(逐级计算!$Q$129*LN(10))*(MAX((LN(10^(逐级计算!$Q$129/10)-1)+逐级计算!$Q$129*(DY23-逐级计算!$P$129)*LN(10)/10),0)+LN(1+EXP(-ABS((LN(10^(逐级计算!$Q$129/10)-1)+逐级计算!$Q$129*(DY23-逐级计算!$P$129)*LN(10)/10))))))),"")</f>
        <v>13.7930226629352</v>
      </c>
      <c r="EA23">
        <f>IF(AND(ISNUMBER(DZ23),逐级计算!$X$130&gt;-1),IF(逐级计算!$X$130=0,DZ23+逐级计算!$C$130,DZ23+逐级计算!$C$130-(10/(逐级计算!$Q$130*LN(10))*(MAX((LN(10^(逐级计算!$Q$130/10)-1)+逐级计算!$Q$130*(DZ23-逐级计算!$P$130)*LN(10)/10),0)+LN(1+EXP(-ABS((LN(10^(逐级计算!$Q$130/10)-1)+逐级计算!$Q$130*(DZ23-逐级计算!$P$130)*LN(10)/10))))))),"")</f>
        <v>13.7930226629352</v>
      </c>
      <c r="EB23">
        <f>IF(AND(ISNUMBER(EA23),逐级计算!$X$131&gt;-1),IF(逐级计算!$X$131=0,EA23+逐级计算!$C$131,EA23+逐级计算!$C$131-(10/(逐级计算!$Q$131*LN(10))*(MAX((LN(10^(逐级计算!$Q$131/10)-1)+逐级计算!$Q$131*(EA23-逐级计算!$P$131)*LN(10)/10),0)+LN(1+EXP(-ABS((LN(10^(逐级计算!$Q$131/10)-1)+逐级计算!$Q$131*(EA23-逐级计算!$P$131)*LN(10)/10))))))),"")</f>
        <v>13.7930226629352</v>
      </c>
      <c r="EC23">
        <f>IF(AND(ISNUMBER(EB23),逐级计算!$X$132&gt;-1),IF(逐级计算!$X$132=0,EB23+逐级计算!$C$132,EB23+逐级计算!$C$132-(10/(逐级计算!$Q$132*LN(10))*(MAX((LN(10^(逐级计算!$Q$132/10)-1)+逐级计算!$Q$132*(EB23-逐级计算!$P$132)*LN(10)/10),0)+LN(1+EXP(-ABS((LN(10^(逐级计算!$Q$132/10)-1)+逐级计算!$Q$132*(EB23-逐级计算!$P$132)*LN(10)/10))))))),"")</f>
        <v>13.7930226629352</v>
      </c>
      <c r="ED23">
        <f>IF(AND(ISNUMBER(EC23),逐级计算!$X$133&gt;-1),IF(逐级计算!$X$133=0,EC23+逐级计算!$C$133,EC23+逐级计算!$C$133-(10/(逐级计算!$Q$133*LN(10))*(MAX((LN(10^(逐级计算!$Q$133/10)-1)+逐级计算!$Q$133*(EC23-逐级计算!$P$133)*LN(10)/10),0)+LN(1+EXP(-ABS((LN(10^(逐级计算!$Q$133/10)-1)+逐级计算!$Q$133*(EC23-逐级计算!$P$133)*LN(10)/10))))))),"")</f>
        <v>13.7930226629352</v>
      </c>
      <c r="EE23">
        <f>IF(AND(ISNUMBER(ED23),逐级计算!$X$134&gt;-1),IF(逐级计算!$X$134=0,ED23+逐级计算!$C$134,ED23+逐级计算!$C$134-(10/(逐级计算!$Q$134*LN(10))*(MAX((LN(10^(逐级计算!$Q$134/10)-1)+逐级计算!$Q$134*(ED23-逐级计算!$P$134)*LN(10)/10),0)+LN(1+EXP(-ABS((LN(10^(逐级计算!$Q$134/10)-1)+逐级计算!$Q$134*(ED23-逐级计算!$P$134)*LN(10)/10))))))),"")</f>
        <v>13.7930226629352</v>
      </c>
      <c r="EF23">
        <f>IF(AND(ISNUMBER(EE23),逐级计算!$X$135&gt;-1),IF(逐级计算!$X$135=0,EE23+逐级计算!$C$135,EE23+逐级计算!$C$135-(10/(逐级计算!$Q$135*LN(10))*(MAX((LN(10^(逐级计算!$Q$135/10)-1)+逐级计算!$Q$135*(EE23-逐级计算!$P$135)*LN(10)/10),0)+LN(1+EXP(-ABS((LN(10^(逐级计算!$Q$135/10)-1)+逐级计算!$Q$135*(EE23-逐级计算!$P$135)*LN(10)/10))))))),"")</f>
        <v>13.7930226629352</v>
      </c>
      <c r="EG23">
        <f>IF(AND(ISNUMBER(EF23),逐级计算!$X$136&gt;-1),IF(逐级计算!$X$136=0,EF23+逐级计算!$C$136,EF23+逐级计算!$C$136-(10/(逐级计算!$Q$136*LN(10))*(MAX((LN(10^(逐级计算!$Q$136/10)-1)+逐级计算!$Q$136*(EF23-逐级计算!$P$136)*LN(10)/10),0)+LN(1+EXP(-ABS((LN(10^(逐级计算!$Q$136/10)-1)+逐级计算!$Q$136*(EF23-逐级计算!$P$136)*LN(10)/10))))))),"")</f>
        <v>13.7930226629352</v>
      </c>
      <c r="EH23">
        <f>IF(AND(ISNUMBER(EG23),逐级计算!$X$137&gt;-1),IF(逐级计算!$X$137=0,EG23+逐级计算!$C$137,EG23+逐级计算!$C$137-(10/(逐级计算!$Q$137*LN(10))*(MAX((LN(10^(逐级计算!$Q$137/10)-1)+逐级计算!$Q$137*(EG23-逐级计算!$P$137)*LN(10)/10),0)+LN(1+EXP(-ABS((LN(10^(逐级计算!$Q$137/10)-1)+逐级计算!$Q$137*(EG23-逐级计算!$P$137)*LN(10)/10))))))),"")</f>
        <v>13.7930226629352</v>
      </c>
      <c r="EI23">
        <f>IF(AND(ISNUMBER(EH23),逐级计算!$X$138&gt;-1),IF(逐级计算!$X$138=0,EH23+逐级计算!$C$138,EH23+逐级计算!$C$138-(10/(逐级计算!$Q$138*LN(10))*(MAX((LN(10^(逐级计算!$Q$138/10)-1)+逐级计算!$Q$138*(EH23-逐级计算!$P$138)*LN(10)/10),0)+LN(1+EXP(-ABS((LN(10^(逐级计算!$Q$138/10)-1)+逐级计算!$Q$138*(EH23-逐级计算!$P$138)*LN(10)/10))))))),"")</f>
        <v>13.7930226629352</v>
      </c>
      <c r="EJ23">
        <f>IF(AND(ISNUMBER(EI23),逐级计算!$X$139&gt;-1),IF(逐级计算!$X$139=0,EI23+逐级计算!$C$139,EI23+逐级计算!$C$139-(10/(逐级计算!$Q$139*LN(10))*(MAX((LN(10^(逐级计算!$Q$139/10)-1)+逐级计算!$Q$139*(EI23-逐级计算!$P$139)*LN(10)/10),0)+LN(1+EXP(-ABS((LN(10^(逐级计算!$Q$139/10)-1)+逐级计算!$Q$139*(EI23-逐级计算!$P$139)*LN(10)/10))))))),"")</f>
        <v>13.7930226629352</v>
      </c>
      <c r="EK23">
        <f>IF(AND(ISNUMBER(EJ23),逐级计算!$X$140&gt;-1),IF(逐级计算!$X$140=0,EJ23+逐级计算!$C$140,EJ23+逐级计算!$C$140-(10/(逐级计算!$Q$140*LN(10))*(MAX((LN(10^(逐级计算!$Q$140/10)-1)+逐级计算!$Q$140*(EJ23-逐级计算!$P$140)*LN(10)/10),0)+LN(1+EXP(-ABS((LN(10^(逐级计算!$Q$140/10)-1)+逐级计算!$Q$140*(EJ23-逐级计算!$P$140)*LN(10)/10))))))),"")</f>
        <v>13.7930226629352</v>
      </c>
      <c r="EL23">
        <f>IF(AND(ISNUMBER(EK23),逐级计算!$X$141&gt;-1),IF(逐级计算!$X$141=0,EK23+逐级计算!$C$141,EK23+逐级计算!$C$141-(10/(逐级计算!$Q$141*LN(10))*(MAX((LN(10^(逐级计算!$Q$141/10)-1)+逐级计算!$Q$141*(EK23-逐级计算!$P$141)*LN(10)/10),0)+LN(1+EXP(-ABS((LN(10^(逐级计算!$Q$141/10)-1)+逐级计算!$Q$141*(EK23-逐级计算!$P$141)*LN(10)/10))))))),"")</f>
        <v>13.7930226629352</v>
      </c>
      <c r="EM23">
        <f>IF(AND(ISNUMBER(EL23),逐级计算!$X$142&gt;-1),IF(逐级计算!$X$142=0,EL23+逐级计算!$C$142,EL23+逐级计算!$C$142-(10/(逐级计算!$Q$142*LN(10))*(MAX((LN(10^(逐级计算!$Q$142/10)-1)+逐级计算!$Q$142*(EL23-逐级计算!$P$142)*LN(10)/10),0)+LN(1+EXP(-ABS((LN(10^(逐级计算!$Q$142/10)-1)+逐级计算!$Q$142*(EL23-逐级计算!$P$142)*LN(10)/10))))))),"")</f>
        <v>13.7930226629352</v>
      </c>
      <c r="EN23">
        <f>IF(AND(ISNUMBER(EM23),逐级计算!$X$143&gt;-1),IF(逐级计算!$X$143=0,EM23+逐级计算!$C$143,EM23+逐级计算!$C$143-(10/(逐级计算!$Q$143*LN(10))*(MAX((LN(10^(逐级计算!$Q$143/10)-1)+逐级计算!$Q$143*(EM23-逐级计算!$P$143)*LN(10)/10),0)+LN(1+EXP(-ABS((LN(10^(逐级计算!$Q$143/10)-1)+逐级计算!$Q$143*(EM23-逐级计算!$P$143)*LN(10)/10))))))),"")</f>
        <v>13.7930226629352</v>
      </c>
      <c r="EO23">
        <f>IF(AND(ISNUMBER(EN23),逐级计算!$X$144&gt;-1),IF(逐级计算!$X$144=0,EN23+逐级计算!$C$144,EN23+逐级计算!$C$144-(10/(逐级计算!$Q$144*LN(10))*(MAX((LN(10^(逐级计算!$Q$144/10)-1)+逐级计算!$Q$144*(EN23-逐级计算!$P$144)*LN(10)/10),0)+LN(1+EXP(-ABS((LN(10^(逐级计算!$Q$144/10)-1)+逐级计算!$Q$144*(EN23-逐级计算!$P$144)*LN(10)/10))))))),"")</f>
        <v>13.7930226629352</v>
      </c>
      <c r="EP23">
        <f>IF(AND(ISNUMBER(EO23),逐级计算!$X$145&gt;-1),IF(逐级计算!$X$145=0,EO23+逐级计算!$C$145,EO23+逐级计算!$C$145-(10/(逐级计算!$Q$145*LN(10))*(MAX((LN(10^(逐级计算!$Q$145/10)-1)+逐级计算!$Q$145*(EO23-逐级计算!$P$145)*LN(10)/10),0)+LN(1+EXP(-ABS((LN(10^(逐级计算!$Q$145/10)-1)+逐级计算!$Q$145*(EO23-逐级计算!$P$145)*LN(10)/10))))))),"")</f>
        <v>13.7930226629352</v>
      </c>
      <c r="EQ23">
        <f>IF(AND(ISNUMBER(EP23),逐级计算!$X$146&gt;-1),IF(逐级计算!$X$146=0,EP23+逐级计算!$C$146,EP23+逐级计算!$C$146-(10/(逐级计算!$Q$146*LN(10))*(MAX((LN(10^(逐级计算!$Q$146/10)-1)+逐级计算!$Q$146*(EP23-逐级计算!$P$146)*LN(10)/10),0)+LN(1+EXP(-ABS((LN(10^(逐级计算!$Q$146/10)-1)+逐级计算!$Q$146*(EP23-逐级计算!$P$146)*LN(10)/10))))))),"")</f>
        <v>13.7930226629352</v>
      </c>
      <c r="ER23">
        <f>IF(AND(ISNUMBER(EQ23),逐级计算!$X$147&gt;-1),IF(逐级计算!$X$147=0,EQ23+逐级计算!$C$147,EQ23+逐级计算!$C$147-(10/(逐级计算!$Q$147*LN(10))*(MAX((LN(10^(逐级计算!$Q$147/10)-1)+逐级计算!$Q$147*(EQ23-逐级计算!$P$147)*LN(10)/10),0)+LN(1+EXP(-ABS((LN(10^(逐级计算!$Q$147/10)-1)+逐级计算!$Q$147*(EQ23-逐级计算!$P$147)*LN(10)/10))))))),"")</f>
        <v>13.7930226629352</v>
      </c>
      <c r="ES23">
        <f>IF(AND(ISNUMBER(ER23),逐级计算!$X$148&gt;-1),IF(逐级计算!$X$148=0,ER23+逐级计算!$C$148,ER23+逐级计算!$C$148-(10/(逐级计算!$Q$148*LN(10))*(MAX((LN(10^(逐级计算!$Q$148/10)-1)+逐级计算!$Q$148*(ER23-逐级计算!$P$148)*LN(10)/10),0)+LN(1+EXP(-ABS((LN(10^(逐级计算!$Q$148/10)-1)+逐级计算!$Q$148*(ER23-逐级计算!$P$148)*LN(10)/10))))))),"")</f>
        <v>13.7930226629352</v>
      </c>
      <c r="ET23">
        <f>IF(AND(ISNUMBER(ES23),逐级计算!$X$149&gt;-1),IF(逐级计算!$X$149=0,ES23+逐级计算!$C$149,ES23+逐级计算!$C$149-(10/(逐级计算!$Q$149*LN(10))*(MAX((LN(10^(逐级计算!$Q$149/10)-1)+逐级计算!$Q$149*(ES23-逐级计算!$P$149)*LN(10)/10),0)+LN(1+EXP(-ABS((LN(10^(逐级计算!$Q$149/10)-1)+逐级计算!$Q$149*(ES23-逐级计算!$P$149)*LN(10)/10))))))),"")</f>
        <v>13.7930226629352</v>
      </c>
      <c r="EU23">
        <f>IF(AND(ISNUMBER(ET23),逐级计算!$X$150&gt;-1),IF(逐级计算!$X$150=0,ET23+逐级计算!$C$150,ET23+逐级计算!$C$150-(10/(逐级计算!$Q$150*LN(10))*(MAX((LN(10^(逐级计算!$Q$150/10)-1)+逐级计算!$Q$150*(ET23-逐级计算!$P$150)*LN(10)/10),0)+LN(1+EXP(-ABS((LN(10^(逐级计算!$Q$150/10)-1)+逐级计算!$Q$150*(ET23-逐级计算!$P$150)*LN(10)/10))))))),"")</f>
        <v>13.7930226629352</v>
      </c>
      <c r="EV23">
        <f>IF(AND(ISNUMBER(EU23),逐级计算!$X$151&gt;-1),IF(逐级计算!$X$151=0,EU23+逐级计算!$C$151,EU23+逐级计算!$C$151-(10/(逐级计算!$Q$151*LN(10))*(MAX((LN(10^(逐级计算!$Q$151/10)-1)+逐级计算!$Q$151*(EU23-逐级计算!$P$151)*LN(10)/10),0)+LN(1+EXP(-ABS((LN(10^(逐级计算!$Q$151/10)-1)+逐级计算!$Q$151*(EU23-逐级计算!$P$151)*LN(10)/10))))))),"")</f>
        <v>13.7930226629352</v>
      </c>
      <c r="EW23">
        <f>IF(AND(ISNUMBER(EV23),逐级计算!$X$152&gt;-1),IF(逐级计算!$X$152=0,EV23+逐级计算!$C$152,EV23+逐级计算!$C$152-(10/(逐级计算!$Q$152*LN(10))*(MAX((LN(10^(逐级计算!$Q$152/10)-1)+逐级计算!$Q$152*(EV23-逐级计算!$P$152)*LN(10)/10),0)+LN(1+EXP(-ABS((LN(10^(逐级计算!$Q$152/10)-1)+逐级计算!$Q$152*(EV23-逐级计算!$P$152)*LN(10)/10))))))),"")</f>
        <v>13.7930226629352</v>
      </c>
      <c r="EX23">
        <f>IF(AND(ISNUMBER(EW23),逐级计算!$X$153&gt;-1),IF(逐级计算!$X$153=0,EW23+逐级计算!$C$153,EW23+逐级计算!$C$153-(10/(逐级计算!$Q$153*LN(10))*(MAX((LN(10^(逐级计算!$Q$153/10)-1)+逐级计算!$Q$153*(EW23-逐级计算!$P$153)*LN(10)/10),0)+LN(1+EXP(-ABS((LN(10^(逐级计算!$Q$153/10)-1)+逐级计算!$Q$153*(EW23-逐级计算!$P$153)*LN(10)/10))))))),"")</f>
        <v>13.7930226629352</v>
      </c>
      <c r="EY23">
        <f>IF(AND(ISNUMBER(EX23),逐级计算!$X$154&gt;-1),IF(逐级计算!$X$154=0,EX23+逐级计算!$C$154,EX23+逐级计算!$C$154-(10/(逐级计算!$Q$154*LN(10))*(MAX((LN(10^(逐级计算!$Q$154/10)-1)+逐级计算!$Q$154*(EX23-逐级计算!$P$154)*LN(10)/10),0)+LN(1+EXP(-ABS((LN(10^(逐级计算!$Q$154/10)-1)+逐级计算!$Q$154*(EX23-逐级计算!$P$154)*LN(10)/10))))))),"")</f>
        <v>13.7930226629352</v>
      </c>
      <c r="EZ23">
        <f>IF(AND(ISNUMBER(EY23),逐级计算!$X$155&gt;-1),IF(逐级计算!$X$155=0,EY23+逐级计算!$C$155,EY23+逐级计算!$C$155-(10/(逐级计算!$Q$155*LN(10))*(MAX((LN(10^(逐级计算!$Q$155/10)-1)+逐级计算!$Q$155*(EY23-逐级计算!$P$155)*LN(10)/10),0)+LN(1+EXP(-ABS((LN(10^(逐级计算!$Q$155/10)-1)+逐级计算!$Q$155*(EY23-逐级计算!$P$155)*LN(10)/10))))))),"")</f>
        <v>13.7930226629352</v>
      </c>
      <c r="FA23">
        <f>IF(AND(ISNUMBER(EZ23),逐级计算!$X$156&gt;-1),IF(逐级计算!$X$156=0,EZ23+逐级计算!$C$156,EZ23+逐级计算!$C$156-(10/(逐级计算!$Q$156*LN(10))*(MAX((LN(10^(逐级计算!$Q$156/10)-1)+逐级计算!$Q$156*(EZ23-逐级计算!$P$156)*LN(10)/10),0)+LN(1+EXP(-ABS((LN(10^(逐级计算!$Q$156/10)-1)+逐级计算!$Q$156*(EZ23-逐级计算!$P$156)*LN(10)/10))))))),"")</f>
        <v>13.7930226629352</v>
      </c>
      <c r="FB23">
        <f>IF(AND(ISNUMBER(FA23),逐级计算!$X$157&gt;-1),IF(逐级计算!$X$157=0,FA23+逐级计算!$C$157,FA23+逐级计算!$C$157-(10/(逐级计算!$Q$157*LN(10))*(MAX((LN(10^(逐级计算!$Q$157/10)-1)+逐级计算!$Q$157*(FA23-逐级计算!$P$157)*LN(10)/10),0)+LN(1+EXP(-ABS((LN(10^(逐级计算!$Q$157/10)-1)+逐级计算!$Q$157*(FA23-逐级计算!$P$157)*LN(10)/10))))))),"")</f>
        <v>13.7930226629352</v>
      </c>
      <c r="FC23">
        <f>IF(AND(ISNUMBER(FB23),逐级计算!$X$158&gt;-1),IF(逐级计算!$X$158=0,FB23+逐级计算!$C$158,FB23+逐级计算!$C$158-(10/(逐级计算!$Q$158*LN(10))*(MAX((LN(10^(逐级计算!$Q$158/10)-1)+逐级计算!$Q$158*(FB23-逐级计算!$P$158)*LN(10)/10),0)+LN(1+EXP(-ABS((LN(10^(逐级计算!$Q$158/10)-1)+逐级计算!$Q$158*(FB23-逐级计算!$P$158)*LN(10)/10))))))),"")</f>
        <v>13.7930226629352</v>
      </c>
      <c r="FD23">
        <f>IF(AND(ISNUMBER(FC23),逐级计算!$X$159&gt;-1),IF(逐级计算!$X$159=0,FC23+逐级计算!$C$159,FC23+逐级计算!$C$159-(10/(逐级计算!$Q$159*LN(10))*(MAX((LN(10^(逐级计算!$Q$159/10)-1)+逐级计算!$Q$159*(FC23-逐级计算!$P$159)*LN(10)/10),0)+LN(1+EXP(-ABS((LN(10^(逐级计算!$Q$159/10)-1)+逐级计算!$Q$159*(FC23-逐级计算!$P$159)*LN(10)/10))))))),"")</f>
        <v>13.7930226629352</v>
      </c>
      <c r="FE23">
        <f>IF(AND(ISNUMBER(FD23),逐级计算!$X$160&gt;-1),IF(逐级计算!$X$160=0,FD23+逐级计算!$C$160,FD23+逐级计算!$C$160-(10/(逐级计算!$Q$160*LN(10))*(MAX((LN(10^(逐级计算!$Q$160/10)-1)+逐级计算!$Q$160*(FD23-逐级计算!$P$160)*LN(10)/10),0)+LN(1+EXP(-ABS((LN(10^(逐级计算!$Q$160/10)-1)+逐级计算!$Q$160*(FD23-逐级计算!$P$160)*LN(10)/10))))))),"")</f>
        <v>13.7930226629352</v>
      </c>
      <c r="FF23">
        <f>IF(AND(ISNUMBER(FE23),逐级计算!$X$161&gt;-1),IF(逐级计算!$X$161=0,FE23+逐级计算!$C$161,FE23+逐级计算!$C$161-(10/(逐级计算!$Q$161*LN(10))*(MAX((LN(10^(逐级计算!$Q$161/10)-1)+逐级计算!$Q$161*(FE23-逐级计算!$P$161)*LN(10)/10),0)+LN(1+EXP(-ABS((LN(10^(逐级计算!$Q$161/10)-1)+逐级计算!$Q$161*(FE23-逐级计算!$P$161)*LN(10)/10))))))),"")</f>
        <v>13.7930226629352</v>
      </c>
      <c r="FG23">
        <f>IF(AND(ISNUMBER(FF23),逐级计算!$X$162&gt;-1),IF(逐级计算!$X$162=0,FF23+逐级计算!$C$162,FF23+逐级计算!$C$162-(10/(逐级计算!$Q$162*LN(10))*(MAX((LN(10^(逐级计算!$Q$162/10)-1)+逐级计算!$Q$162*(FF23-逐级计算!$P$162)*LN(10)/10),0)+LN(1+EXP(-ABS((LN(10^(逐级计算!$Q$162/10)-1)+逐级计算!$Q$162*(FF23-逐级计算!$P$162)*LN(10)/10))))))),"")</f>
        <v>13.7930226629352</v>
      </c>
      <c r="FH23">
        <f>IF(AND(ISNUMBER(FG23),逐级计算!$X$163&gt;-1),IF(逐级计算!$X$163=0,FG23+逐级计算!$C$163,FG23+逐级计算!$C$163-(10/(逐级计算!$Q$163*LN(10))*(MAX((LN(10^(逐级计算!$Q$163/10)-1)+逐级计算!$Q$163*(FG23-逐级计算!$P$163)*LN(10)/10),0)+LN(1+EXP(-ABS((LN(10^(逐级计算!$Q$163/10)-1)+逐级计算!$Q$163*(FG23-逐级计算!$P$163)*LN(10)/10))))))),"")</f>
        <v>13.7930226629352</v>
      </c>
      <c r="FI23">
        <f>IF(AND(ISNUMBER(FH23),逐级计算!$X$164&gt;-1),IF(逐级计算!$X$164=0,FH23+逐级计算!$C$164,FH23+逐级计算!$C$164-(10/(逐级计算!$Q$164*LN(10))*(MAX((LN(10^(逐级计算!$Q$164/10)-1)+逐级计算!$Q$164*(FH23-逐级计算!$P$164)*LN(10)/10),0)+LN(1+EXP(-ABS((LN(10^(逐级计算!$Q$164/10)-1)+逐级计算!$Q$164*(FH23-逐级计算!$P$164)*LN(10)/10))))))),"")</f>
        <v>13.7930226629352</v>
      </c>
      <c r="FJ23">
        <f>IF(AND(ISNUMBER(FI23),逐级计算!$X$165&gt;-1),IF(逐级计算!$X$165=0,FI23+逐级计算!$C$165,FI23+逐级计算!$C$165-(10/(逐级计算!$Q$165*LN(10))*(MAX((LN(10^(逐级计算!$Q$165/10)-1)+逐级计算!$Q$165*(FI23-逐级计算!$P$165)*LN(10)/10),0)+LN(1+EXP(-ABS((LN(10^(逐级计算!$Q$165/10)-1)+逐级计算!$Q$165*(FI23-逐级计算!$P$165)*LN(10)/10))))))),"")</f>
        <v>13.7930226629352</v>
      </c>
      <c r="FK23">
        <f>IF(AND(ISNUMBER(FJ23),逐级计算!$X$166&gt;-1),IF(逐级计算!$X$166=0,FJ23+逐级计算!$C$166,FJ23+逐级计算!$C$166-(10/(逐级计算!$Q$166*LN(10))*(MAX((LN(10^(逐级计算!$Q$166/10)-1)+逐级计算!$Q$166*(FJ23-逐级计算!$P$166)*LN(10)/10),0)+LN(1+EXP(-ABS((LN(10^(逐级计算!$Q$166/10)-1)+逐级计算!$Q$166*(FJ23-逐级计算!$P$166)*LN(10)/10))))))),"")</f>
        <v>13.7930226629352</v>
      </c>
      <c r="FL23">
        <f>IF(AND(ISNUMBER(FK23),逐级计算!$X$167&gt;-1),IF(逐级计算!$X$167=0,FK23+逐级计算!$C$167,FK23+逐级计算!$C$167-(10/(逐级计算!$Q$167*LN(10))*(MAX((LN(10^(逐级计算!$Q$167/10)-1)+逐级计算!$Q$167*(FK23-逐级计算!$P$167)*LN(10)/10),0)+LN(1+EXP(-ABS((LN(10^(逐级计算!$Q$167/10)-1)+逐级计算!$Q$167*(FK23-逐级计算!$P$167)*LN(10)/10))))))),"")</f>
        <v>13.7930226629352</v>
      </c>
      <c r="FM23">
        <f>IF(AND(ISNUMBER(FL23),逐级计算!$X$168&gt;-1),IF(逐级计算!$X$168=0,FL23+逐级计算!$C$168,FL23+逐级计算!$C$168-(10/(逐级计算!$Q$168*LN(10))*(MAX((LN(10^(逐级计算!$Q$168/10)-1)+逐级计算!$Q$168*(FL23-逐级计算!$P$168)*LN(10)/10),0)+LN(1+EXP(-ABS((LN(10^(逐级计算!$Q$168/10)-1)+逐级计算!$Q$168*(FL23-逐级计算!$P$168)*LN(10)/10))))))),"")</f>
        <v>13.7930226629352</v>
      </c>
      <c r="FN23">
        <f>IF(AND(ISNUMBER(FM23),逐级计算!$X$169&gt;-1),IF(逐级计算!$X$169=0,FM23+逐级计算!$C$169,FM23+逐级计算!$C$169-(10/(逐级计算!$Q$169*LN(10))*(MAX((LN(10^(逐级计算!$Q$169/10)-1)+逐级计算!$Q$169*(FM23-逐级计算!$P$169)*LN(10)/10),0)+LN(1+EXP(-ABS((LN(10^(逐级计算!$Q$169/10)-1)+逐级计算!$Q$169*(FM23-逐级计算!$P$169)*LN(10)/10))))))),"")</f>
        <v>13.7930226629352</v>
      </c>
      <c r="FO23">
        <f>IF(AND(ISNUMBER(FN23),逐级计算!$X$170&gt;-1),IF(逐级计算!$X$170=0,FN23+逐级计算!$C$170,FN23+逐级计算!$C$170-(10/(逐级计算!$Q$170*LN(10))*(MAX((LN(10^(逐级计算!$Q$170/10)-1)+逐级计算!$Q$170*(FN23-逐级计算!$P$170)*LN(10)/10),0)+LN(1+EXP(-ABS((LN(10^(逐级计算!$Q$170/10)-1)+逐级计算!$Q$170*(FN23-逐级计算!$P$170)*LN(10)/10))))))),"")</f>
        <v>13.7930226629352</v>
      </c>
      <c r="FP23">
        <f>IF(AND(ISNUMBER(FO23),逐级计算!$X$171&gt;-1),IF(逐级计算!$X$171=0,FO23+逐级计算!$C$171,FO23+逐级计算!$C$171-(10/(逐级计算!$Q$171*LN(10))*(MAX((LN(10^(逐级计算!$Q$171/10)-1)+逐级计算!$Q$171*(FO23-逐级计算!$P$171)*LN(10)/10),0)+LN(1+EXP(-ABS((LN(10^(逐级计算!$Q$171/10)-1)+逐级计算!$Q$171*(FO23-逐级计算!$P$171)*LN(10)/10))))))),"")</f>
        <v>13.7930226629352</v>
      </c>
      <c r="FQ23">
        <f>IF(AND(ISNUMBER(FP23),逐级计算!$X$172&gt;-1),IF(逐级计算!$X$172=0,FP23+逐级计算!$C$172,FP23+逐级计算!$C$172-(10/(逐级计算!$Q$172*LN(10))*(MAX((LN(10^(逐级计算!$Q$172/10)-1)+逐级计算!$Q$172*(FP23-逐级计算!$P$172)*LN(10)/10),0)+LN(1+EXP(-ABS((LN(10^(逐级计算!$Q$172/10)-1)+逐级计算!$Q$172*(FP23-逐级计算!$P$172)*LN(10)/10))))))),"")</f>
        <v>13.7930226629352</v>
      </c>
      <c r="FR23">
        <f>IF(AND(ISNUMBER(FQ23),逐级计算!$X$173&gt;-1),IF(逐级计算!$X$173=0,FQ23+逐级计算!$C$173,FQ23+逐级计算!$C$173-(10/(逐级计算!$Q$173*LN(10))*(MAX((LN(10^(逐级计算!$Q$173/10)-1)+逐级计算!$Q$173*(FQ23-逐级计算!$P$173)*LN(10)/10),0)+LN(1+EXP(-ABS((LN(10^(逐级计算!$Q$173/10)-1)+逐级计算!$Q$173*(FQ23-逐级计算!$P$173)*LN(10)/10))))))),"")</f>
        <v>13.7930226629352</v>
      </c>
      <c r="FS23">
        <f>IF(AND(ISNUMBER(FR23),逐级计算!$X$174&gt;-1),IF(逐级计算!$X$174=0,FR23+逐级计算!$C$174,FR23+逐级计算!$C$174-(10/(逐级计算!$Q$174*LN(10))*(MAX((LN(10^(逐级计算!$Q$174/10)-1)+逐级计算!$Q$174*(FR23-逐级计算!$P$174)*LN(10)/10),0)+LN(1+EXP(-ABS((LN(10^(逐级计算!$Q$174/10)-1)+逐级计算!$Q$174*(FR23-逐级计算!$P$174)*LN(10)/10))))))),"")</f>
        <v>13.7930226629352</v>
      </c>
      <c r="FT23">
        <f>IF(AND(ISNUMBER(FS23),逐级计算!$X$175&gt;-1),IF(逐级计算!$X$175=0,FS23+逐级计算!$C$175,FS23+逐级计算!$C$175-(10/(逐级计算!$Q$175*LN(10))*(MAX((LN(10^(逐级计算!$Q$175/10)-1)+逐级计算!$Q$175*(FS23-逐级计算!$P$175)*LN(10)/10),0)+LN(1+EXP(-ABS((LN(10^(逐级计算!$Q$175/10)-1)+逐级计算!$Q$175*(FS23-逐级计算!$P$175)*LN(10)/10))))))),"")</f>
        <v>13.7930226629352</v>
      </c>
      <c r="FU23">
        <f>IF(AND(ISNUMBER(FT23),逐级计算!$X$176&gt;-1),IF(逐级计算!$X$176=0,FT23+逐级计算!$C$176,FT23+逐级计算!$C$176-(10/(逐级计算!$Q$176*LN(10))*(MAX((LN(10^(逐级计算!$Q$176/10)-1)+逐级计算!$Q$176*(FT23-逐级计算!$P$176)*LN(10)/10),0)+LN(1+EXP(-ABS((LN(10^(逐级计算!$Q$176/10)-1)+逐级计算!$Q$176*(FT23-逐级计算!$P$176)*LN(10)/10))))))),"")</f>
        <v>13.7930226629352</v>
      </c>
      <c r="FV23">
        <f>IF(AND(ISNUMBER(FU23),逐级计算!$X$177&gt;-1),IF(逐级计算!$X$177=0,FU23+逐级计算!$C$177,FU23+逐级计算!$C$177-(10/(逐级计算!$Q$177*LN(10))*(MAX((LN(10^(逐级计算!$Q$177/10)-1)+逐级计算!$Q$177*(FU23-逐级计算!$P$177)*LN(10)/10),0)+LN(1+EXP(-ABS((LN(10^(逐级计算!$Q$177/10)-1)+逐级计算!$Q$177*(FU23-逐级计算!$P$177)*LN(10)/10))))))),"")</f>
        <v>13.7930226629352</v>
      </c>
      <c r="FW23">
        <f>IF(AND(ISNUMBER(FV23),逐级计算!$X$178&gt;-1),IF(逐级计算!$X$178=0,FV23+逐级计算!$C$178,FV23+逐级计算!$C$178-(10/(逐级计算!$Q$178*LN(10))*(MAX((LN(10^(逐级计算!$Q$178/10)-1)+逐级计算!$Q$178*(FV23-逐级计算!$P$178)*LN(10)/10),0)+LN(1+EXP(-ABS((LN(10^(逐级计算!$Q$178/10)-1)+逐级计算!$Q$178*(FV23-逐级计算!$P$178)*LN(10)/10))))))),"")</f>
        <v>13.7930226629352</v>
      </c>
      <c r="FX23">
        <f>IF(AND(ISNUMBER(FW23),逐级计算!$X$179&gt;-1),IF(逐级计算!$X$179=0,FW23+逐级计算!$C$179,FW23+逐级计算!$C$179-(10/(逐级计算!$Q$179*LN(10))*(MAX((LN(10^(逐级计算!$Q$179/10)-1)+逐级计算!$Q$179*(FW23-逐级计算!$P$179)*LN(10)/10),0)+LN(1+EXP(-ABS((LN(10^(逐级计算!$Q$179/10)-1)+逐级计算!$Q$179*(FW23-逐级计算!$P$179)*LN(10)/10))))))),"")</f>
        <v>13.7930226629352</v>
      </c>
      <c r="FY23">
        <f>IF(AND(ISNUMBER(FX23),逐级计算!$X$180&gt;-1),IF(逐级计算!$X$180=0,FX23+逐级计算!$C$180,FX23+逐级计算!$C$180-(10/(逐级计算!$Q$180*LN(10))*(MAX((LN(10^(逐级计算!$Q$180/10)-1)+逐级计算!$Q$180*(FX23-逐级计算!$P$180)*LN(10)/10),0)+LN(1+EXP(-ABS((LN(10^(逐级计算!$Q$180/10)-1)+逐级计算!$Q$180*(FX23-逐级计算!$P$180)*LN(10)/10))))))),"")</f>
        <v>13.7930226629352</v>
      </c>
      <c r="FZ23">
        <f>IF(AND(ISNUMBER(FY23),逐级计算!$X$181&gt;-1),IF(逐级计算!$X$181=0,FY23+逐级计算!$C$181,FY23+逐级计算!$C$181-(10/(逐级计算!$Q$181*LN(10))*(MAX((LN(10^(逐级计算!$Q$181/10)-1)+逐级计算!$Q$181*(FY23-逐级计算!$P$181)*LN(10)/10),0)+LN(1+EXP(-ABS((LN(10^(逐级计算!$Q$181/10)-1)+逐级计算!$Q$181*(FY23-逐级计算!$P$181)*LN(10)/10))))))),"")</f>
        <v>13.7930226629352</v>
      </c>
      <c r="GA23">
        <f>IF(AND(ISNUMBER(FZ23),逐级计算!$X$182&gt;-1),IF(逐级计算!$X$182=0,FZ23+逐级计算!$C$182,FZ23+逐级计算!$C$182-(10/(逐级计算!$Q$182*LN(10))*(MAX((LN(10^(逐级计算!$Q$182/10)-1)+逐级计算!$Q$182*(FZ23-逐级计算!$P$182)*LN(10)/10),0)+LN(1+EXP(-ABS((LN(10^(逐级计算!$Q$182/10)-1)+逐级计算!$Q$182*(FZ23-逐级计算!$P$182)*LN(10)/10))))))),"")</f>
        <v>13.7930226629352</v>
      </c>
      <c r="GB23">
        <f>IF(AND(ISNUMBER(GA23),逐级计算!$X$183&gt;-1),IF(逐级计算!$X$183=0,GA23+逐级计算!$C$183,GA23+逐级计算!$C$183-(10/(逐级计算!$Q$183*LN(10))*(MAX((LN(10^(逐级计算!$Q$183/10)-1)+逐级计算!$Q$183*(GA23-逐级计算!$P$183)*LN(10)/10),0)+LN(1+EXP(-ABS((LN(10^(逐级计算!$Q$183/10)-1)+逐级计算!$Q$183*(GA23-逐级计算!$P$183)*LN(10)/10))))))),"")</f>
        <v>13.7930226629352</v>
      </c>
      <c r="GC23">
        <f>IF(AND(ISNUMBER(GB23),逐级计算!$X$184&gt;-1),IF(逐级计算!$X$184=0,GB23+逐级计算!$C$184,GB23+逐级计算!$C$184-(10/(逐级计算!$Q$184*LN(10))*(MAX((LN(10^(逐级计算!$Q$184/10)-1)+逐级计算!$Q$184*(GB23-逐级计算!$P$184)*LN(10)/10),0)+LN(1+EXP(-ABS((LN(10^(逐级计算!$Q$184/10)-1)+逐级计算!$Q$184*(GB23-逐级计算!$P$184)*LN(10)/10))))))),"")</f>
        <v>13.7930226629352</v>
      </c>
      <c r="GD23">
        <f>IF(AND(ISNUMBER(GC23),逐级计算!$X$185&gt;-1),IF(逐级计算!$X$185=0,GC23+逐级计算!$C$185,GC23+逐级计算!$C$185-(10/(逐级计算!$Q$185*LN(10))*(MAX((LN(10^(逐级计算!$Q$185/10)-1)+逐级计算!$Q$185*(GC23-逐级计算!$P$185)*LN(10)/10),0)+LN(1+EXP(-ABS((LN(10^(逐级计算!$Q$185/10)-1)+逐级计算!$Q$185*(GC23-逐级计算!$P$185)*LN(10)/10))))))),"")</f>
        <v>13.7930226629352</v>
      </c>
      <c r="GE23">
        <f>IF(AND(ISNUMBER(GD23),逐级计算!$X$186&gt;-1),IF(逐级计算!$X$186=0,GD23+逐级计算!$C$186,GD23+逐级计算!$C$186-(10/(逐级计算!$Q$186*LN(10))*(MAX((LN(10^(逐级计算!$Q$186/10)-1)+逐级计算!$Q$186*(GD23-逐级计算!$P$186)*LN(10)/10),0)+LN(1+EXP(-ABS((LN(10^(逐级计算!$Q$186/10)-1)+逐级计算!$Q$186*(GD23-逐级计算!$P$186)*LN(10)/10))))))),"")</f>
        <v>13.7930226629352</v>
      </c>
      <c r="GF23">
        <f>IF(AND(ISNUMBER(GE23),逐级计算!$X$187&gt;-1),IF(逐级计算!$X$187=0,GE23+逐级计算!$C$187,GE23+逐级计算!$C$187-(10/(逐级计算!$Q$187*LN(10))*(MAX((LN(10^(逐级计算!$Q$187/10)-1)+逐级计算!$Q$187*(GE23-逐级计算!$P$187)*LN(10)/10),0)+LN(1+EXP(-ABS((LN(10^(逐级计算!$Q$187/10)-1)+逐级计算!$Q$187*(GE23-逐级计算!$P$187)*LN(10)/10))))))),"")</f>
        <v>13.7930226629352</v>
      </c>
      <c r="GG23">
        <f>IF(AND(ISNUMBER(GF23),逐级计算!$X$188&gt;-1),IF(逐级计算!$X$188=0,GF23+逐级计算!$C$188,GF23+逐级计算!$C$188-(10/(逐级计算!$Q$188*LN(10))*(MAX((LN(10^(逐级计算!$Q$188/10)-1)+逐级计算!$Q$188*(GF23-逐级计算!$P$188)*LN(10)/10),0)+LN(1+EXP(-ABS((LN(10^(逐级计算!$Q$188/10)-1)+逐级计算!$Q$188*(GF23-逐级计算!$P$188)*LN(10)/10))))))),"")</f>
        <v>13.7930226629352</v>
      </c>
      <c r="GH23">
        <f>IF(AND(ISNUMBER(GG23),逐级计算!$X$189&gt;-1),IF(逐级计算!$X$189=0,GG23+逐级计算!$C$189,GG23+逐级计算!$C$189-(10/(逐级计算!$Q$189*LN(10))*(MAX((LN(10^(逐级计算!$Q$189/10)-1)+逐级计算!$Q$189*(GG23-逐级计算!$P$189)*LN(10)/10),0)+LN(1+EXP(-ABS((LN(10^(逐级计算!$Q$189/10)-1)+逐级计算!$Q$189*(GG23-逐级计算!$P$189)*LN(10)/10))))))),"")</f>
        <v>13.7930226629352</v>
      </c>
      <c r="GI23">
        <f>IF(AND(ISNUMBER(GH23),逐级计算!$X$190&gt;-1),IF(逐级计算!$X$190=0,GH23+逐级计算!$C$190,GH23+逐级计算!$C$190-(10/(逐级计算!$Q$190*LN(10))*(MAX((LN(10^(逐级计算!$Q$190/10)-1)+逐级计算!$Q$190*(GH23-逐级计算!$P$190)*LN(10)/10),0)+LN(1+EXP(-ABS((LN(10^(逐级计算!$Q$190/10)-1)+逐级计算!$Q$190*(GH23-逐级计算!$P$190)*LN(10)/10))))))),"")</f>
        <v>13.7930226629352</v>
      </c>
      <c r="GJ23">
        <f>IF(AND(ISNUMBER(GI23),逐级计算!$X$191&gt;-1),IF(逐级计算!$X$191=0,GI23+逐级计算!$C$191,GI23+逐级计算!$C$191-(10/(逐级计算!$Q$191*LN(10))*(MAX((LN(10^(逐级计算!$Q$191/10)-1)+逐级计算!$Q$191*(GI23-逐级计算!$P$191)*LN(10)/10),0)+LN(1+EXP(-ABS((LN(10^(逐级计算!$Q$191/10)-1)+逐级计算!$Q$191*(GI23-逐级计算!$P$191)*LN(10)/10))))))),"")</f>
        <v>13.7930226629352</v>
      </c>
      <c r="GK23">
        <f>IF(AND(ISNUMBER(GJ23),逐级计算!$X$192&gt;-1),IF(逐级计算!$X$192=0,GJ23+逐级计算!$C$192,GJ23+逐级计算!$C$192-(10/(逐级计算!$Q$192*LN(10))*(MAX((LN(10^(逐级计算!$Q$192/10)-1)+逐级计算!$Q$192*(GJ23-逐级计算!$P$192)*LN(10)/10),0)+LN(1+EXP(-ABS((LN(10^(逐级计算!$Q$192/10)-1)+逐级计算!$Q$192*(GJ23-逐级计算!$P$192)*LN(10)/10))))))),"")</f>
        <v>13.7930226629352</v>
      </c>
      <c r="GL23">
        <f>IF(AND(ISNUMBER(GK23),逐级计算!$X$193&gt;-1),IF(逐级计算!$X$193=0,GK23+逐级计算!$C$193,GK23+逐级计算!$C$193-(10/(逐级计算!$Q$193*LN(10))*(MAX((LN(10^(逐级计算!$Q$193/10)-1)+逐级计算!$Q$193*(GK23-逐级计算!$P$193)*LN(10)/10),0)+LN(1+EXP(-ABS((LN(10^(逐级计算!$Q$193/10)-1)+逐级计算!$Q$193*(GK23-逐级计算!$P$193)*LN(10)/10))))))),"")</f>
        <v>13.7930226629352</v>
      </c>
      <c r="GM23">
        <f>IF(AND(ISNUMBER(GL23),逐级计算!$X$194&gt;-1),IF(逐级计算!$X$194=0,GL23+逐级计算!$C$194,GL23+逐级计算!$C$194-(10/(逐级计算!$Q$194*LN(10))*(MAX((LN(10^(逐级计算!$Q$194/10)-1)+逐级计算!$Q$194*(GL23-逐级计算!$P$194)*LN(10)/10),0)+LN(1+EXP(-ABS((LN(10^(逐级计算!$Q$194/10)-1)+逐级计算!$Q$194*(GL23-逐级计算!$P$194)*LN(10)/10))))))),"")</f>
        <v>13.7930226629352</v>
      </c>
      <c r="GN23">
        <f>IF(AND(ISNUMBER(GM23),逐级计算!$X$195&gt;-1),IF(逐级计算!$X$195=0,GM23+逐级计算!$C$195,GM23+逐级计算!$C$195-(10/(逐级计算!$Q$195*LN(10))*(MAX((LN(10^(逐级计算!$Q$195/10)-1)+逐级计算!$Q$195*(GM23-逐级计算!$P$195)*LN(10)/10),0)+LN(1+EXP(-ABS((LN(10^(逐级计算!$Q$195/10)-1)+逐级计算!$Q$195*(GM23-逐级计算!$P$195)*LN(10)/10))))))),"")</f>
        <v>13.7930226629352</v>
      </c>
      <c r="GO23">
        <f>IF(AND(ISNUMBER(GN23),逐级计算!$X$196&gt;-1),IF(逐级计算!$X$196=0,GN23+逐级计算!$C$196,GN23+逐级计算!$C$196-(10/(逐级计算!$Q$196*LN(10))*(MAX((LN(10^(逐级计算!$Q$196/10)-1)+逐级计算!$Q$196*(GN23-逐级计算!$P$196)*LN(10)/10),0)+LN(1+EXP(-ABS((LN(10^(逐级计算!$Q$196/10)-1)+逐级计算!$Q$196*(GN23-逐级计算!$P$196)*LN(10)/10))))))),"")</f>
        <v>13.7930226629352</v>
      </c>
      <c r="GP23">
        <f>IF(AND(ISNUMBER(GO23),逐级计算!$X$197&gt;-1),IF(逐级计算!$X$197=0,GO23+逐级计算!$C$197,GO23+逐级计算!$C$197-(10/(逐级计算!$Q$197*LN(10))*(MAX((LN(10^(逐级计算!$Q$197/10)-1)+逐级计算!$Q$197*(GO23-逐级计算!$P$197)*LN(10)/10),0)+LN(1+EXP(-ABS((LN(10^(逐级计算!$Q$197/10)-1)+逐级计算!$Q$197*(GO23-逐级计算!$P$197)*LN(10)/10))))))),"")</f>
        <v>13.7930226629352</v>
      </c>
      <c r="GQ23">
        <f>IF(AND(ISNUMBER(GP23),逐级计算!$X$198&gt;-1),IF(逐级计算!$X$198=0,GP23+逐级计算!$C$198,GP23+逐级计算!$C$198-(10/(逐级计算!$Q$198*LN(10))*(MAX((LN(10^(逐级计算!$Q$198/10)-1)+逐级计算!$Q$198*(GP23-逐级计算!$P$198)*LN(10)/10),0)+LN(1+EXP(-ABS((LN(10^(逐级计算!$Q$198/10)-1)+逐级计算!$Q$198*(GP23-逐级计算!$P$198)*LN(10)/10))))))),"")</f>
        <v>13.7930226629352</v>
      </c>
      <c r="GR23">
        <f>IF(AND(ISNUMBER(GQ23),逐级计算!$X$199&gt;-1),IF(逐级计算!$X$199=0,GQ23+逐级计算!$C$199,GQ23+逐级计算!$C$199-(10/(逐级计算!$Q$199*LN(10))*(MAX((LN(10^(逐级计算!$Q$199/10)-1)+逐级计算!$Q$199*(GQ23-逐级计算!$P$199)*LN(10)/10),0)+LN(1+EXP(-ABS((LN(10^(逐级计算!$Q$199/10)-1)+逐级计算!$Q$199*(GQ23-逐级计算!$P$199)*LN(10)/10))))))),"")</f>
        <v>13.7930226629352</v>
      </c>
      <c r="GS23">
        <f>IF(AND(ISNUMBER(GR23),逐级计算!$X$200&gt;-1),IF(逐级计算!$X$200=0,GR23+逐级计算!$C$200,GR23+逐级计算!$C$200-(10/(逐级计算!$Q$200*LN(10))*(MAX((LN(10^(逐级计算!$Q$200/10)-1)+逐级计算!$Q$200*(GR23-逐级计算!$P$200)*LN(10)/10),0)+LN(1+EXP(-ABS((LN(10^(逐级计算!$Q$200/10)-1)+逐级计算!$Q$200*(GR23-逐级计算!$P$200)*LN(10)/10))))))),"")</f>
        <v>13.7930226629352</v>
      </c>
      <c r="GT23">
        <f>IF(AND(ISNUMBER(GS23),逐级计算!$X$201&gt;-1),IF(逐级计算!$X$201=0,GS23+逐级计算!$C$201,GS23+逐级计算!$C$201-(10/(逐级计算!$Q$201*LN(10))*(MAX((LN(10^(逐级计算!$Q$201/10)-1)+逐级计算!$Q$201*(GS23-逐级计算!$P$201)*LN(10)/10),0)+LN(1+EXP(-ABS((LN(10^(逐级计算!$Q$201/10)-1)+逐级计算!$Q$201*(GS23-逐级计算!$P$201)*LN(10)/10))))))),"")</f>
        <v>13.7930226629352</v>
      </c>
      <c r="GU23">
        <f>IF(AND(ISNUMBER(GT23),逐级计算!$X$202&gt;-1),IF(逐级计算!$X$202=0,GT23+逐级计算!$C$202,GT23+逐级计算!$C$202-(10/(逐级计算!$Q$202*LN(10))*(MAX((LN(10^(逐级计算!$Q$202/10)-1)+逐级计算!$Q$202*(GT23-逐级计算!$P$202)*LN(10)/10),0)+LN(1+EXP(-ABS((LN(10^(逐级计算!$Q$202/10)-1)+逐级计算!$Q$202*(GT23-逐级计算!$P$202)*LN(10)/10))))))),"")</f>
        <v>13.7930226629352</v>
      </c>
      <c r="GV23">
        <f>IF(AND(ISNUMBER(GU23),逐级计算!$X$203&gt;-1),IF(逐级计算!$X$203=0,GU23+逐级计算!$C$203,GU23+逐级计算!$C$203-(10/(逐级计算!$Q$203*LN(10))*(MAX((LN(10^(逐级计算!$Q$203/10)-1)+逐级计算!$Q$203*(GU23-逐级计算!$P$203)*LN(10)/10),0)+LN(1+EXP(-ABS((LN(10^(逐级计算!$Q$203/10)-1)+逐级计算!$Q$203*(GU23-逐级计算!$P$203)*LN(10)/10))))))),"")</f>
        <v>13.7930226629352</v>
      </c>
      <c r="GW23">
        <f t="shared" si="2"/>
        <v>-5.20538330078125</v>
      </c>
    </row>
    <row r="24" spans="1:205">
      <c r="A24">
        <v>17</v>
      </c>
      <c r="B24">
        <f t="shared" si="1"/>
        <v>-5.20698547363281</v>
      </c>
      <c r="C24">
        <f t="shared" si="0"/>
        <v>-5.20618438720703</v>
      </c>
      <c r="D24">
        <f>IF(AND(ISNUMBER(C24),ISNUMBER(逐级计算!$E$203),ISNUMBER(GV24)),C24+逐级计算!$E$203-GV24,"")</f>
        <v>1.0002875310083</v>
      </c>
      <c r="E24">
        <f>IF(AND(ISNUMBER(C24),逐级计算!$X$4&gt;-1),IF(逐级计算!$X$4=0,C24+逐级计算!$C$4,C24+逐级计算!$C$4-(10/(逐级计算!$Q$4*LN(10))*(MAX((LN(10^(逐级计算!$Q$4/10)-1)+逐级计算!$Q$4*(C24-逐级计算!$P$4)*LN(10)/10),0)+LN(1+EXP(-ABS((LN(10^(逐级计算!$Q$4/10)-1)+逐级计算!$Q$4*(C24-逐级计算!$P$4)*LN(10)/10))))))),"")</f>
        <v>4.68127952939648</v>
      </c>
      <c r="F24">
        <f>IF(AND(ISNUMBER(E24),逐级计算!$X$5&gt;-1),IF(逐级计算!$X$5=0,E24+逐级计算!$C$5,E24+逐级计算!$C$5-(10/(逐级计算!$Q$5*LN(10))*(MAX((LN(10^(逐级计算!$Q$5/10)-1)+逐级计算!$Q$5*(E24-逐级计算!$P$5)*LN(10)/10),0)+LN(1+EXP(-ABS((LN(10^(逐级计算!$Q$5/10)-1)+逐级计算!$Q$5*(E24-逐级计算!$P$5)*LN(10)/10))))))),"")</f>
        <v>13.7935280817847</v>
      </c>
      <c r="G24">
        <f>IF(AND(ISNUMBER(F24),逐级计算!$X$6&gt;-1),IF(逐级计算!$X$6=0,F24+逐级计算!$C$6,F24+逐级计算!$C$6-(10/(逐级计算!$Q$6*LN(10))*(MAX((LN(10^(逐级计算!$Q$6/10)-1)+逐级计算!$Q$6*(F24-逐级计算!$P$6)*LN(10)/10),0)+LN(1+EXP(-ABS((LN(10^(逐级计算!$Q$6/10)-1)+逐级计算!$Q$6*(F24-逐级计算!$P$6)*LN(10)/10))))))),"")</f>
        <v>13.7935280817847</v>
      </c>
      <c r="H24">
        <f>IF(AND(ISNUMBER(G24),逐级计算!$X$7&gt;-1),IF(逐级计算!$X$7=0,G24+逐级计算!$C$7,G24+逐级计算!$C$7-(10/(逐级计算!$Q$7*LN(10))*(MAX((LN(10^(逐级计算!$Q$7/10)-1)+逐级计算!$Q$7*(G24-逐级计算!$P$7)*LN(10)/10),0)+LN(1+EXP(-ABS((LN(10^(逐级计算!$Q$7/10)-1)+逐级计算!$Q$7*(G24-逐级计算!$P$7)*LN(10)/10))))))),"")</f>
        <v>13.7935280817847</v>
      </c>
      <c r="I24">
        <f>IF(AND(ISNUMBER(H24),逐级计算!$X$8&gt;-1),IF(逐级计算!$X$8=0,H24+逐级计算!$C$8,H24+逐级计算!$C$8-(10/(逐级计算!$Q$8*LN(10))*(MAX((LN(10^(逐级计算!$Q$8/10)-1)+逐级计算!$Q$8*(H24-逐级计算!$P$8)*LN(10)/10),0)+LN(1+EXP(-ABS((LN(10^(逐级计算!$Q$8/10)-1)+逐级计算!$Q$8*(H24-逐级计算!$P$8)*LN(10)/10))))))),"")</f>
        <v>13.7935280817847</v>
      </c>
      <c r="J24">
        <f>IF(AND(ISNUMBER(I24),逐级计算!$X$9&gt;-1),IF(逐级计算!$X$9=0,I24+逐级计算!$C$9,I24+逐级计算!$C$9-(10/(逐级计算!$Q$9*LN(10))*(MAX((LN(10^(逐级计算!$Q$9/10)-1)+逐级计算!$Q$9*(I24-逐级计算!$P$9)*LN(10)/10),0)+LN(1+EXP(-ABS((LN(10^(逐级计算!$Q$9/10)-1)+逐级计算!$Q$9*(I24-逐级计算!$P$9)*LN(10)/10))))))),"")</f>
        <v>13.7935280817847</v>
      </c>
      <c r="K24">
        <f>IF(AND(ISNUMBER(J24),逐级计算!$X$10&gt;-1),IF(逐级计算!$X$10=0,J24+逐级计算!$C$10,J24+逐级计算!$C$10-(10/(逐级计算!$Q$10*LN(10))*(MAX((LN(10^(逐级计算!$Q$10/10)-1)+逐级计算!$Q$10*(J24-逐级计算!$P$10)*LN(10)/10),0)+LN(1+EXP(-ABS((LN(10^(逐级计算!$Q$10/10)-1)+逐级计算!$Q$10*(J24-逐级计算!$P$10)*LN(10)/10))))))),"")</f>
        <v>13.7935280817847</v>
      </c>
      <c r="L24">
        <f>IF(AND(ISNUMBER(K24),逐级计算!$X$11&gt;-1),IF(逐级计算!$X$11=0,K24+逐级计算!$C$11,K24+逐级计算!$C$11-(10/(逐级计算!$Q$11*LN(10))*(MAX((LN(10^(逐级计算!$Q$11/10)-1)+逐级计算!$Q$11*(K24-逐级计算!$P$11)*LN(10)/10),0)+LN(1+EXP(-ABS((LN(10^(逐级计算!$Q$11/10)-1)+逐级计算!$Q$11*(K24-逐级计算!$P$11)*LN(10)/10))))))),"")</f>
        <v>13.7935280817847</v>
      </c>
      <c r="M24">
        <f>IF(AND(ISNUMBER(L24),逐级计算!$X$12&gt;-1),IF(逐级计算!$X$12=0,L24+逐级计算!$C$12,L24+逐级计算!$C$12-(10/(逐级计算!$Q$12*LN(10))*(MAX((LN(10^(逐级计算!$Q$12/10)-1)+逐级计算!$Q$12*(L24-逐级计算!$P$12)*LN(10)/10),0)+LN(1+EXP(-ABS((LN(10^(逐级计算!$Q$12/10)-1)+逐级计算!$Q$12*(L24-逐级计算!$P$12)*LN(10)/10))))))),"")</f>
        <v>13.7935280817847</v>
      </c>
      <c r="N24">
        <f>IF(AND(ISNUMBER(M24),逐级计算!$X$13&gt;-1),IF(逐级计算!$X$13=0,M24+逐级计算!$C$13,M24+逐级计算!$C$13-(10/(逐级计算!$Q$13*LN(10))*(MAX((LN(10^(逐级计算!$Q$13/10)-1)+逐级计算!$Q$13*(M24-逐级计算!$P$13)*LN(10)/10),0)+LN(1+EXP(-ABS((LN(10^(逐级计算!$Q$13/10)-1)+逐级计算!$Q$13*(M24-逐级计算!$P$13)*LN(10)/10))))))),"")</f>
        <v>13.7935280817847</v>
      </c>
      <c r="O24">
        <f>IF(AND(ISNUMBER(N24),逐级计算!$X$14&gt;-1),IF(逐级计算!$X$14=0,N24+逐级计算!$C$14,N24+逐级计算!$C$14-(10/(逐级计算!$Q$14*LN(10))*(MAX((LN(10^(逐级计算!$Q$14/10)-1)+逐级计算!$Q$14*(N24-逐级计算!$P$14)*LN(10)/10),0)+LN(1+EXP(-ABS((LN(10^(逐级计算!$Q$14/10)-1)+逐级计算!$Q$14*(N24-逐级计算!$P$14)*LN(10)/10))))))),"")</f>
        <v>13.7935280817847</v>
      </c>
      <c r="P24">
        <f>IF(AND(ISNUMBER(O24),逐级计算!$X$15&gt;-1),IF(逐级计算!$X$15=0,O24+逐级计算!$C$15,O24+逐级计算!$C$15-(10/(逐级计算!$Q$15*LN(10))*(MAX((LN(10^(逐级计算!$Q$15/10)-1)+逐级计算!$Q$15*(O24-逐级计算!$P$15)*LN(10)/10),0)+LN(1+EXP(-ABS((LN(10^(逐级计算!$Q$15/10)-1)+逐级计算!$Q$15*(O24-逐级计算!$P$15)*LN(10)/10))))))),"")</f>
        <v>13.7935280817847</v>
      </c>
      <c r="Q24">
        <f>IF(AND(ISNUMBER(P24),逐级计算!$X$16&gt;-1),IF(逐级计算!$X$16=0,P24+逐级计算!$C$16,P24+逐级计算!$C$16-(10/(逐级计算!$Q$16*LN(10))*(MAX((LN(10^(逐级计算!$Q$16/10)-1)+逐级计算!$Q$16*(P24-逐级计算!$P$16)*LN(10)/10),0)+LN(1+EXP(-ABS((LN(10^(逐级计算!$Q$16/10)-1)+逐级计算!$Q$16*(P24-逐级计算!$P$16)*LN(10)/10))))))),"")</f>
        <v>13.7935280817847</v>
      </c>
      <c r="R24">
        <f>IF(AND(ISNUMBER(Q24),逐级计算!$X$17&gt;-1),IF(逐级计算!$X$17=0,Q24+逐级计算!$C$17,Q24+逐级计算!$C$17-(10/(逐级计算!$Q$17*LN(10))*(MAX((LN(10^(逐级计算!$Q$17/10)-1)+逐级计算!$Q$17*(Q24-逐级计算!$P$17)*LN(10)/10),0)+LN(1+EXP(-ABS((LN(10^(逐级计算!$Q$17/10)-1)+逐级计算!$Q$17*(Q24-逐级计算!$P$17)*LN(10)/10))))))),"")</f>
        <v>13.7935280817847</v>
      </c>
      <c r="S24">
        <f>IF(AND(ISNUMBER(R24),逐级计算!$X$18&gt;-1),IF(逐级计算!$X$18=0,R24+逐级计算!$C$18,R24+逐级计算!$C$18-(10/(逐级计算!$Q$18*LN(10))*(MAX((LN(10^(逐级计算!$Q$18/10)-1)+逐级计算!$Q$18*(R24-逐级计算!$P$18)*LN(10)/10),0)+LN(1+EXP(-ABS((LN(10^(逐级计算!$Q$18/10)-1)+逐级计算!$Q$18*(R24-逐级计算!$P$18)*LN(10)/10))))))),"")</f>
        <v>13.7935280817847</v>
      </c>
      <c r="T24">
        <f>IF(AND(ISNUMBER(S24),逐级计算!$X$19&gt;-1),IF(逐级计算!$X$19=0,S24+逐级计算!$C$19,S24+逐级计算!$C$19-(10/(逐级计算!$Q$19*LN(10))*(MAX((LN(10^(逐级计算!$Q$19/10)-1)+逐级计算!$Q$19*(S24-逐级计算!$P$19)*LN(10)/10),0)+LN(1+EXP(-ABS((LN(10^(逐级计算!$Q$19/10)-1)+逐级计算!$Q$19*(S24-逐级计算!$P$19)*LN(10)/10))))))),"")</f>
        <v>13.7935280817847</v>
      </c>
      <c r="U24">
        <f>IF(AND(ISNUMBER(T24),逐级计算!$X$20&gt;-1),IF(逐级计算!$X$20=0,T24+逐级计算!$C$20,T24+逐级计算!$C$20-(10/(逐级计算!$Q$20*LN(10))*(MAX((LN(10^(逐级计算!$Q$20/10)-1)+逐级计算!$Q$20*(T24-逐级计算!$P$20)*LN(10)/10),0)+LN(1+EXP(-ABS((LN(10^(逐级计算!$Q$20/10)-1)+逐级计算!$Q$20*(T24-逐级计算!$P$20)*LN(10)/10))))))),"")</f>
        <v>13.7935280817847</v>
      </c>
      <c r="V24">
        <f>IF(AND(ISNUMBER(U24),逐级计算!$X$21&gt;-1),IF(逐级计算!$X$21=0,U24+逐级计算!$C$21,U24+逐级计算!$C$21-(10/(逐级计算!$Q$21*LN(10))*(MAX((LN(10^(逐级计算!$Q$21/10)-1)+逐级计算!$Q$21*(U24-逐级计算!$P$21)*LN(10)/10),0)+LN(1+EXP(-ABS((LN(10^(逐级计算!$Q$21/10)-1)+逐级计算!$Q$21*(U24-逐级计算!$P$21)*LN(10)/10))))))),"")</f>
        <v>13.7935280817847</v>
      </c>
      <c r="W24">
        <f>IF(AND(ISNUMBER(V24),逐级计算!$X$22&gt;-1),IF(逐级计算!$X$22=0,V24+逐级计算!$C$22,V24+逐级计算!$C$22-(10/(逐级计算!$Q$22*LN(10))*(MAX((LN(10^(逐级计算!$Q$22/10)-1)+逐级计算!$Q$22*(V24-逐级计算!$P$22)*LN(10)/10),0)+LN(1+EXP(-ABS((LN(10^(逐级计算!$Q$22/10)-1)+逐级计算!$Q$22*(V24-逐级计算!$P$22)*LN(10)/10))))))),"")</f>
        <v>13.7935280817847</v>
      </c>
      <c r="X24">
        <f>IF(AND(ISNUMBER(W24),逐级计算!$X$23&gt;-1),IF(逐级计算!$X$23=0,W24+逐级计算!$C$23,W24+逐级计算!$C$23-(10/(逐级计算!$Q$23*LN(10))*(MAX((LN(10^(逐级计算!$Q$23/10)-1)+逐级计算!$Q$23*(W24-逐级计算!$P$23)*LN(10)/10),0)+LN(1+EXP(-ABS((LN(10^(逐级计算!$Q$23/10)-1)+逐级计算!$Q$23*(W24-逐级计算!$P$23)*LN(10)/10))))))),"")</f>
        <v>13.7935280817847</v>
      </c>
      <c r="Y24">
        <f>IF(AND(ISNUMBER(X24),逐级计算!$X$24&gt;-1),IF(逐级计算!$X$24=0,X24+逐级计算!$C$24,X24+逐级计算!$C$24-(10/(逐级计算!$Q$24*LN(10))*(MAX((LN(10^(逐级计算!$Q$24/10)-1)+逐级计算!$Q$24*(X24-逐级计算!$P$24)*LN(10)/10),0)+LN(1+EXP(-ABS((LN(10^(逐级计算!$Q$24/10)-1)+逐级计算!$Q$24*(X24-逐级计算!$P$24)*LN(10)/10))))))),"")</f>
        <v>13.7935280817847</v>
      </c>
      <c r="Z24">
        <f>IF(AND(ISNUMBER(Y24),逐级计算!$X$25&gt;-1),IF(逐级计算!$X$25=0,Y24+逐级计算!$C$25,Y24+逐级计算!$C$25-(10/(逐级计算!$Q$25*LN(10))*(MAX((LN(10^(逐级计算!$Q$25/10)-1)+逐级计算!$Q$25*(Y24-逐级计算!$P$25)*LN(10)/10),0)+LN(1+EXP(-ABS((LN(10^(逐级计算!$Q$25/10)-1)+逐级计算!$Q$25*(Y24-逐级计算!$P$25)*LN(10)/10))))))),"")</f>
        <v>13.7935280817847</v>
      </c>
      <c r="AA24">
        <f>IF(AND(ISNUMBER(Z24),逐级计算!$X$26&gt;-1),IF(逐级计算!$X$26=0,Z24+逐级计算!$C$26,Z24+逐级计算!$C$26-(10/(逐级计算!$Q$26*LN(10))*(MAX((LN(10^(逐级计算!$Q$26/10)-1)+逐级计算!$Q$26*(Z24-逐级计算!$P$26)*LN(10)/10),0)+LN(1+EXP(-ABS((LN(10^(逐级计算!$Q$26/10)-1)+逐级计算!$Q$26*(Z24-逐级计算!$P$26)*LN(10)/10))))))),"")</f>
        <v>13.7935280817847</v>
      </c>
      <c r="AB24">
        <f>IF(AND(ISNUMBER(AA24),逐级计算!$X$27&gt;-1),IF(逐级计算!$X$27=0,AA24+逐级计算!$C$27,AA24+逐级计算!$C$27-(10/(逐级计算!$Q$27*LN(10))*(MAX((LN(10^(逐级计算!$Q$27/10)-1)+逐级计算!$Q$27*(AA24-逐级计算!$P$27)*LN(10)/10),0)+LN(1+EXP(-ABS((LN(10^(逐级计算!$Q$27/10)-1)+逐级计算!$Q$27*(AA24-逐级计算!$P$27)*LN(10)/10))))))),"")</f>
        <v>13.7935280817847</v>
      </c>
      <c r="AC24">
        <f>IF(AND(ISNUMBER(AB24),逐级计算!$X$28&gt;-1),IF(逐级计算!$X$28=0,AB24+逐级计算!$C$28,AB24+逐级计算!$C$28-(10/(逐级计算!$Q$28*LN(10))*(MAX((LN(10^(逐级计算!$Q$28/10)-1)+逐级计算!$Q$28*(AB24-逐级计算!$P$28)*LN(10)/10),0)+LN(1+EXP(-ABS((LN(10^(逐级计算!$Q$28/10)-1)+逐级计算!$Q$28*(AB24-逐级计算!$P$28)*LN(10)/10))))))),"")</f>
        <v>13.7935280817847</v>
      </c>
      <c r="AD24">
        <f>IF(AND(ISNUMBER(AC24),逐级计算!$X$29&gt;-1),IF(逐级计算!$X$29=0,AC24+逐级计算!$C$29,AC24+逐级计算!$C$29-(10/(逐级计算!$Q$29*LN(10))*(MAX((LN(10^(逐级计算!$Q$29/10)-1)+逐级计算!$Q$29*(AC24-逐级计算!$P$29)*LN(10)/10),0)+LN(1+EXP(-ABS((LN(10^(逐级计算!$Q$29/10)-1)+逐级计算!$Q$29*(AC24-逐级计算!$P$29)*LN(10)/10))))))),"")</f>
        <v>13.7935280817847</v>
      </c>
      <c r="AE24">
        <f>IF(AND(ISNUMBER(AD24),逐级计算!$X$30&gt;-1),IF(逐级计算!$X$30=0,AD24+逐级计算!$C$30,AD24+逐级计算!$C$30-(10/(逐级计算!$Q$30*LN(10))*(MAX((LN(10^(逐级计算!$Q$30/10)-1)+逐级计算!$Q$30*(AD24-逐级计算!$P$30)*LN(10)/10),0)+LN(1+EXP(-ABS((LN(10^(逐级计算!$Q$30/10)-1)+逐级计算!$Q$30*(AD24-逐级计算!$P$30)*LN(10)/10))))))),"")</f>
        <v>13.7935280817847</v>
      </c>
      <c r="AF24">
        <f>IF(AND(ISNUMBER(AE24),逐级计算!$X$31&gt;-1),IF(逐级计算!$X$31=0,AE24+逐级计算!$C$31,AE24+逐级计算!$C$31-(10/(逐级计算!$Q$31*LN(10))*(MAX((LN(10^(逐级计算!$Q$31/10)-1)+逐级计算!$Q$31*(AE24-逐级计算!$P$31)*LN(10)/10),0)+LN(1+EXP(-ABS((LN(10^(逐级计算!$Q$31/10)-1)+逐级计算!$Q$31*(AE24-逐级计算!$P$31)*LN(10)/10))))))),"")</f>
        <v>13.7935280817847</v>
      </c>
      <c r="AG24">
        <f>IF(AND(ISNUMBER(AF24),逐级计算!$X$32&gt;-1),IF(逐级计算!$X$32=0,AF24+逐级计算!$C$32,AF24+逐级计算!$C$32-(10/(逐级计算!$Q$32*LN(10))*(MAX((LN(10^(逐级计算!$Q$32/10)-1)+逐级计算!$Q$32*(AF24-逐级计算!$P$32)*LN(10)/10),0)+LN(1+EXP(-ABS((LN(10^(逐级计算!$Q$32/10)-1)+逐级计算!$Q$32*(AF24-逐级计算!$P$32)*LN(10)/10))))))),"")</f>
        <v>13.7935280817847</v>
      </c>
      <c r="AH24">
        <f>IF(AND(ISNUMBER(AG24),逐级计算!$X$33&gt;-1),IF(逐级计算!$X$33=0,AG24+逐级计算!$C$33,AG24+逐级计算!$C$33-(10/(逐级计算!$Q$33*LN(10))*(MAX((LN(10^(逐级计算!$Q$33/10)-1)+逐级计算!$Q$33*(AG24-逐级计算!$P$33)*LN(10)/10),0)+LN(1+EXP(-ABS((LN(10^(逐级计算!$Q$33/10)-1)+逐级计算!$Q$33*(AG24-逐级计算!$P$33)*LN(10)/10))))))),"")</f>
        <v>13.7935280817847</v>
      </c>
      <c r="AI24">
        <f>IF(AND(ISNUMBER(AH24),逐级计算!$X$34&gt;-1),IF(逐级计算!$X$34=0,AH24+逐级计算!$C$34,AH24+逐级计算!$C$34-(10/(逐级计算!$Q$34*LN(10))*(MAX((LN(10^(逐级计算!$Q$34/10)-1)+逐级计算!$Q$34*(AH24-逐级计算!$P$34)*LN(10)/10),0)+LN(1+EXP(-ABS((LN(10^(逐级计算!$Q$34/10)-1)+逐级计算!$Q$34*(AH24-逐级计算!$P$34)*LN(10)/10))))))),"")</f>
        <v>13.7935280817847</v>
      </c>
      <c r="AJ24">
        <f>IF(AND(ISNUMBER(AI24),逐级计算!$X$35&gt;-1),IF(逐级计算!$X$35=0,AI24+逐级计算!$C$35,AI24+逐级计算!$C$35-(10/(逐级计算!$Q$35*LN(10))*(MAX((LN(10^(逐级计算!$Q$35/10)-1)+逐级计算!$Q$35*(AI24-逐级计算!$P$35)*LN(10)/10),0)+LN(1+EXP(-ABS((LN(10^(逐级计算!$Q$35/10)-1)+逐级计算!$Q$35*(AI24-逐级计算!$P$35)*LN(10)/10))))))),"")</f>
        <v>13.7935280817847</v>
      </c>
      <c r="AK24">
        <f>IF(AND(ISNUMBER(AJ24),逐级计算!$X$36&gt;-1),IF(逐级计算!$X$36=0,AJ24+逐级计算!$C$36,AJ24+逐级计算!$C$36-(10/(逐级计算!$Q$36*LN(10))*(MAX((LN(10^(逐级计算!$Q$36/10)-1)+逐级计算!$Q$36*(AJ24-逐级计算!$P$36)*LN(10)/10),0)+LN(1+EXP(-ABS((LN(10^(逐级计算!$Q$36/10)-1)+逐级计算!$Q$36*(AJ24-逐级计算!$P$36)*LN(10)/10))))))),"")</f>
        <v>13.7935280817847</v>
      </c>
      <c r="AL24">
        <f>IF(AND(ISNUMBER(AK24),逐级计算!$X$37&gt;-1),IF(逐级计算!$X$37=0,AK24+逐级计算!$C$37,AK24+逐级计算!$C$37-(10/(逐级计算!$Q$37*LN(10))*(MAX((LN(10^(逐级计算!$Q$37/10)-1)+逐级计算!$Q$37*(AK24-逐级计算!$P$37)*LN(10)/10),0)+LN(1+EXP(-ABS((LN(10^(逐级计算!$Q$37/10)-1)+逐级计算!$Q$37*(AK24-逐级计算!$P$37)*LN(10)/10))))))),"")</f>
        <v>13.7935280817847</v>
      </c>
      <c r="AM24">
        <f>IF(AND(ISNUMBER(AL24),逐级计算!$X$38&gt;-1),IF(逐级计算!$X$38=0,AL24+逐级计算!$C$38,AL24+逐级计算!$C$38-(10/(逐级计算!$Q$38*LN(10))*(MAX((LN(10^(逐级计算!$Q$38/10)-1)+逐级计算!$Q$38*(AL24-逐级计算!$P$38)*LN(10)/10),0)+LN(1+EXP(-ABS((LN(10^(逐级计算!$Q$38/10)-1)+逐级计算!$Q$38*(AL24-逐级计算!$P$38)*LN(10)/10))))))),"")</f>
        <v>13.7935280817847</v>
      </c>
      <c r="AN24">
        <f>IF(AND(ISNUMBER(AM24),逐级计算!$X$39&gt;-1),IF(逐级计算!$X$39=0,AM24+逐级计算!$C$39,AM24+逐级计算!$C$39-(10/(逐级计算!$Q$39*LN(10))*(MAX((LN(10^(逐级计算!$Q$39/10)-1)+逐级计算!$Q$39*(AM24-逐级计算!$P$39)*LN(10)/10),0)+LN(1+EXP(-ABS((LN(10^(逐级计算!$Q$39/10)-1)+逐级计算!$Q$39*(AM24-逐级计算!$P$39)*LN(10)/10))))))),"")</f>
        <v>13.7935280817847</v>
      </c>
      <c r="AO24">
        <f>IF(AND(ISNUMBER(AN24),逐级计算!$X$40&gt;-1),IF(逐级计算!$X$40=0,AN24+逐级计算!$C$40,AN24+逐级计算!$C$40-(10/(逐级计算!$Q$40*LN(10))*(MAX((LN(10^(逐级计算!$Q$40/10)-1)+逐级计算!$Q$40*(AN24-逐级计算!$P$40)*LN(10)/10),0)+LN(1+EXP(-ABS((LN(10^(逐级计算!$Q$40/10)-1)+逐级计算!$Q$40*(AN24-逐级计算!$P$40)*LN(10)/10))))))),"")</f>
        <v>13.7935280817847</v>
      </c>
      <c r="AP24">
        <f>IF(AND(ISNUMBER(AO24),逐级计算!$X$41&gt;-1),IF(逐级计算!$X$41=0,AO24+逐级计算!$C$41,AO24+逐级计算!$C$41-(10/(逐级计算!$Q$41*LN(10))*(MAX((LN(10^(逐级计算!$Q$41/10)-1)+逐级计算!$Q$41*(AO24-逐级计算!$P$41)*LN(10)/10),0)+LN(1+EXP(-ABS((LN(10^(逐级计算!$Q$41/10)-1)+逐级计算!$Q$41*(AO24-逐级计算!$P$41)*LN(10)/10))))))),"")</f>
        <v>13.7935280817847</v>
      </c>
      <c r="AQ24">
        <f>IF(AND(ISNUMBER(AP24),逐级计算!$X$42&gt;-1),IF(逐级计算!$X$42=0,AP24+逐级计算!$C$42,AP24+逐级计算!$C$42-(10/(逐级计算!$Q$42*LN(10))*(MAX((LN(10^(逐级计算!$Q$42/10)-1)+逐级计算!$Q$42*(AP24-逐级计算!$P$42)*LN(10)/10),0)+LN(1+EXP(-ABS((LN(10^(逐级计算!$Q$42/10)-1)+逐级计算!$Q$42*(AP24-逐级计算!$P$42)*LN(10)/10))))))),"")</f>
        <v>13.7935280817847</v>
      </c>
      <c r="AR24">
        <f>IF(AND(ISNUMBER(AQ24),逐级计算!$X$43&gt;-1),IF(逐级计算!$X$43=0,AQ24+逐级计算!$C$43,AQ24+逐级计算!$C$43-(10/(逐级计算!$Q$43*LN(10))*(MAX((LN(10^(逐级计算!$Q$43/10)-1)+逐级计算!$Q$43*(AQ24-逐级计算!$P$43)*LN(10)/10),0)+LN(1+EXP(-ABS((LN(10^(逐级计算!$Q$43/10)-1)+逐级计算!$Q$43*(AQ24-逐级计算!$P$43)*LN(10)/10))))))),"")</f>
        <v>13.7935280817847</v>
      </c>
      <c r="AS24">
        <f>IF(AND(ISNUMBER(AR24),逐级计算!$X$44&gt;-1),IF(逐级计算!$X$44=0,AR24+逐级计算!$C$44,AR24+逐级计算!$C$44-(10/(逐级计算!$Q$44*LN(10))*(MAX((LN(10^(逐级计算!$Q$44/10)-1)+逐级计算!$Q$44*(AR24-逐级计算!$P$44)*LN(10)/10),0)+LN(1+EXP(-ABS((LN(10^(逐级计算!$Q$44/10)-1)+逐级计算!$Q$44*(AR24-逐级计算!$P$44)*LN(10)/10))))))),"")</f>
        <v>13.7935280817847</v>
      </c>
      <c r="AT24">
        <f>IF(AND(ISNUMBER(AS24),逐级计算!$X$45&gt;-1),IF(逐级计算!$X$45=0,AS24+逐级计算!$C$45,AS24+逐级计算!$C$45-(10/(逐级计算!$Q$45*LN(10))*(MAX((LN(10^(逐级计算!$Q$45/10)-1)+逐级计算!$Q$45*(AS24-逐级计算!$P$45)*LN(10)/10),0)+LN(1+EXP(-ABS((LN(10^(逐级计算!$Q$45/10)-1)+逐级计算!$Q$45*(AS24-逐级计算!$P$45)*LN(10)/10))))))),"")</f>
        <v>13.7935280817847</v>
      </c>
      <c r="AU24">
        <f>IF(AND(ISNUMBER(AT24),逐级计算!$X$46&gt;-1),IF(逐级计算!$X$46=0,AT24+逐级计算!$C$46,AT24+逐级计算!$C$46-(10/(逐级计算!$Q$46*LN(10))*(MAX((LN(10^(逐级计算!$Q$46/10)-1)+逐级计算!$Q$46*(AT24-逐级计算!$P$46)*LN(10)/10),0)+LN(1+EXP(-ABS((LN(10^(逐级计算!$Q$46/10)-1)+逐级计算!$Q$46*(AT24-逐级计算!$P$46)*LN(10)/10))))))),"")</f>
        <v>13.7935280817847</v>
      </c>
      <c r="AV24">
        <f>IF(AND(ISNUMBER(AU24),逐级计算!$X$47&gt;-1),IF(逐级计算!$X$47=0,AU24+逐级计算!$C$47,AU24+逐级计算!$C$47-(10/(逐级计算!$Q$47*LN(10))*(MAX((LN(10^(逐级计算!$Q$47/10)-1)+逐级计算!$Q$47*(AU24-逐级计算!$P$47)*LN(10)/10),0)+LN(1+EXP(-ABS((LN(10^(逐级计算!$Q$47/10)-1)+逐级计算!$Q$47*(AU24-逐级计算!$P$47)*LN(10)/10))))))),"")</f>
        <v>13.7935280817847</v>
      </c>
      <c r="AW24">
        <f>IF(AND(ISNUMBER(AV24),逐级计算!$X$48&gt;-1),IF(逐级计算!$X$48=0,AV24+逐级计算!$C$48,AV24+逐级计算!$C$48-(10/(逐级计算!$Q$48*LN(10))*(MAX((LN(10^(逐级计算!$Q$48/10)-1)+逐级计算!$Q$48*(AV24-逐级计算!$P$48)*LN(10)/10),0)+LN(1+EXP(-ABS((LN(10^(逐级计算!$Q$48/10)-1)+逐级计算!$Q$48*(AV24-逐级计算!$P$48)*LN(10)/10))))))),"")</f>
        <v>13.7935280817847</v>
      </c>
      <c r="AX24">
        <f>IF(AND(ISNUMBER(AW24),逐级计算!$X$49&gt;-1),IF(逐级计算!$X$49=0,AW24+逐级计算!$C$49,AW24+逐级计算!$C$49-(10/(逐级计算!$Q$49*LN(10))*(MAX((LN(10^(逐级计算!$Q$49/10)-1)+逐级计算!$Q$49*(AW24-逐级计算!$P$49)*LN(10)/10),0)+LN(1+EXP(-ABS((LN(10^(逐级计算!$Q$49/10)-1)+逐级计算!$Q$49*(AW24-逐级计算!$P$49)*LN(10)/10))))))),"")</f>
        <v>13.7935280817847</v>
      </c>
      <c r="AY24">
        <f>IF(AND(ISNUMBER(AX24),逐级计算!$X$50&gt;-1),IF(逐级计算!$X$50=0,AX24+逐级计算!$C$50,AX24+逐级计算!$C$50-(10/(逐级计算!$Q$50*LN(10))*(MAX((LN(10^(逐级计算!$Q$50/10)-1)+逐级计算!$Q$50*(AX24-逐级计算!$P$50)*LN(10)/10),0)+LN(1+EXP(-ABS((LN(10^(逐级计算!$Q$50/10)-1)+逐级计算!$Q$50*(AX24-逐级计算!$P$50)*LN(10)/10))))))),"")</f>
        <v>13.7935280817847</v>
      </c>
      <c r="AZ24">
        <f>IF(AND(ISNUMBER(AY24),逐级计算!$X$51&gt;-1),IF(逐级计算!$X$51=0,AY24+逐级计算!$C$51,AY24+逐级计算!$C$51-(10/(逐级计算!$Q$51*LN(10))*(MAX((LN(10^(逐级计算!$Q$51/10)-1)+逐级计算!$Q$51*(AY24-逐级计算!$P$51)*LN(10)/10),0)+LN(1+EXP(-ABS((LN(10^(逐级计算!$Q$51/10)-1)+逐级计算!$Q$51*(AY24-逐级计算!$P$51)*LN(10)/10))))))),"")</f>
        <v>13.7935280817847</v>
      </c>
      <c r="BA24">
        <f>IF(AND(ISNUMBER(AZ24),逐级计算!$X$52&gt;-1),IF(逐级计算!$X$52=0,AZ24+逐级计算!$C$52,AZ24+逐级计算!$C$52-(10/(逐级计算!$Q$52*LN(10))*(MAX((LN(10^(逐级计算!$Q$52/10)-1)+逐级计算!$Q$52*(AZ24-逐级计算!$P$52)*LN(10)/10),0)+LN(1+EXP(-ABS((LN(10^(逐级计算!$Q$52/10)-1)+逐级计算!$Q$52*(AZ24-逐级计算!$P$52)*LN(10)/10))))))),"")</f>
        <v>13.7935280817847</v>
      </c>
      <c r="BB24">
        <f>IF(AND(ISNUMBER(BA24),逐级计算!$X$53&gt;-1),IF(逐级计算!$X$53=0,BA24+逐级计算!$C$53,BA24+逐级计算!$C$53-(10/(逐级计算!$Q$53*LN(10))*(MAX((LN(10^(逐级计算!$Q$53/10)-1)+逐级计算!$Q$53*(BA24-逐级计算!$P$53)*LN(10)/10),0)+LN(1+EXP(-ABS((LN(10^(逐级计算!$Q$53/10)-1)+逐级计算!$Q$53*(BA24-逐级计算!$P$53)*LN(10)/10))))))),"")</f>
        <v>13.7935280817847</v>
      </c>
      <c r="BC24">
        <f>IF(AND(ISNUMBER(BB24),逐级计算!$X$54&gt;-1),IF(逐级计算!$X$54=0,BB24+逐级计算!$C$54,BB24+逐级计算!$C$54-(10/(逐级计算!$Q$54*LN(10))*(MAX((LN(10^(逐级计算!$Q$54/10)-1)+逐级计算!$Q$54*(BB24-逐级计算!$P$54)*LN(10)/10),0)+LN(1+EXP(-ABS((LN(10^(逐级计算!$Q$54/10)-1)+逐级计算!$Q$54*(BB24-逐级计算!$P$54)*LN(10)/10))))))),"")</f>
        <v>13.7935280817847</v>
      </c>
      <c r="BD24">
        <f>IF(AND(ISNUMBER(BC24),逐级计算!$X$55&gt;-1),IF(逐级计算!$X$55=0,BC24+逐级计算!$C$55,BC24+逐级计算!$C$55-(10/(逐级计算!$Q$55*LN(10))*(MAX((LN(10^(逐级计算!$Q$55/10)-1)+逐级计算!$Q$55*(BC24-逐级计算!$P$55)*LN(10)/10),0)+LN(1+EXP(-ABS((LN(10^(逐级计算!$Q$55/10)-1)+逐级计算!$Q$55*(BC24-逐级计算!$P$55)*LN(10)/10))))))),"")</f>
        <v>13.7935280817847</v>
      </c>
      <c r="BE24">
        <f>IF(AND(ISNUMBER(BD24),逐级计算!$X$56&gt;-1),IF(逐级计算!$X$56=0,BD24+逐级计算!$C$56,BD24+逐级计算!$C$56-(10/(逐级计算!$Q$56*LN(10))*(MAX((LN(10^(逐级计算!$Q$56/10)-1)+逐级计算!$Q$56*(BD24-逐级计算!$P$56)*LN(10)/10),0)+LN(1+EXP(-ABS((LN(10^(逐级计算!$Q$56/10)-1)+逐级计算!$Q$56*(BD24-逐级计算!$P$56)*LN(10)/10))))))),"")</f>
        <v>13.7935280817847</v>
      </c>
      <c r="BF24">
        <f>IF(AND(ISNUMBER(BE24),逐级计算!$X$57&gt;-1),IF(逐级计算!$X$57=0,BE24+逐级计算!$C$57,BE24+逐级计算!$C$57-(10/(逐级计算!$Q$57*LN(10))*(MAX((LN(10^(逐级计算!$Q$57/10)-1)+逐级计算!$Q$57*(BE24-逐级计算!$P$57)*LN(10)/10),0)+LN(1+EXP(-ABS((LN(10^(逐级计算!$Q$57/10)-1)+逐级计算!$Q$57*(BE24-逐级计算!$P$57)*LN(10)/10))))))),"")</f>
        <v>13.7935280817847</v>
      </c>
      <c r="BG24">
        <f>IF(AND(ISNUMBER(BF24),逐级计算!$X$58&gt;-1),IF(逐级计算!$X$58=0,BF24+逐级计算!$C$58,BF24+逐级计算!$C$58-(10/(逐级计算!$Q$58*LN(10))*(MAX((LN(10^(逐级计算!$Q$58/10)-1)+逐级计算!$Q$58*(BF24-逐级计算!$P$58)*LN(10)/10),0)+LN(1+EXP(-ABS((LN(10^(逐级计算!$Q$58/10)-1)+逐级计算!$Q$58*(BF24-逐级计算!$P$58)*LN(10)/10))))))),"")</f>
        <v>13.7935280817847</v>
      </c>
      <c r="BH24">
        <f>IF(AND(ISNUMBER(BG24),逐级计算!$X$59&gt;-1),IF(逐级计算!$X$59=0,BG24+逐级计算!$C$59,BG24+逐级计算!$C$59-(10/(逐级计算!$Q$59*LN(10))*(MAX((LN(10^(逐级计算!$Q$59/10)-1)+逐级计算!$Q$59*(BG24-逐级计算!$P$59)*LN(10)/10),0)+LN(1+EXP(-ABS((LN(10^(逐级计算!$Q$59/10)-1)+逐级计算!$Q$59*(BG24-逐级计算!$P$59)*LN(10)/10))))))),"")</f>
        <v>13.7935280817847</v>
      </c>
      <c r="BI24">
        <f>IF(AND(ISNUMBER(BH24),逐级计算!$X$60&gt;-1),IF(逐级计算!$X$60=0,BH24+逐级计算!$C$60,BH24+逐级计算!$C$60-(10/(逐级计算!$Q$60*LN(10))*(MAX((LN(10^(逐级计算!$Q$60/10)-1)+逐级计算!$Q$60*(BH24-逐级计算!$P$60)*LN(10)/10),0)+LN(1+EXP(-ABS((LN(10^(逐级计算!$Q$60/10)-1)+逐级计算!$Q$60*(BH24-逐级计算!$P$60)*LN(10)/10))))))),"")</f>
        <v>13.7935280817847</v>
      </c>
      <c r="BJ24">
        <f>IF(AND(ISNUMBER(BI24),逐级计算!$X$61&gt;-1),IF(逐级计算!$X$61=0,BI24+逐级计算!$C$61,BI24+逐级计算!$C$61-(10/(逐级计算!$Q$61*LN(10))*(MAX((LN(10^(逐级计算!$Q$61/10)-1)+逐级计算!$Q$61*(BI24-逐级计算!$P$61)*LN(10)/10),0)+LN(1+EXP(-ABS((LN(10^(逐级计算!$Q$61/10)-1)+逐级计算!$Q$61*(BI24-逐级计算!$P$61)*LN(10)/10))))))),"")</f>
        <v>13.7935280817847</v>
      </c>
      <c r="BK24">
        <f>IF(AND(ISNUMBER(BJ24),逐级计算!$X$62&gt;-1),IF(逐级计算!$X$62=0,BJ24+逐级计算!$C$62,BJ24+逐级计算!$C$62-(10/(逐级计算!$Q$62*LN(10))*(MAX((LN(10^(逐级计算!$Q$62/10)-1)+逐级计算!$Q$62*(BJ24-逐级计算!$P$62)*LN(10)/10),0)+LN(1+EXP(-ABS((LN(10^(逐级计算!$Q$62/10)-1)+逐级计算!$Q$62*(BJ24-逐级计算!$P$62)*LN(10)/10))))))),"")</f>
        <v>13.7935280817847</v>
      </c>
      <c r="BL24">
        <f>IF(AND(ISNUMBER(BK24),逐级计算!$X$63&gt;-1),IF(逐级计算!$X$63=0,BK24+逐级计算!$C$63,BK24+逐级计算!$C$63-(10/(逐级计算!$Q$63*LN(10))*(MAX((LN(10^(逐级计算!$Q$63/10)-1)+逐级计算!$Q$63*(BK24-逐级计算!$P$63)*LN(10)/10),0)+LN(1+EXP(-ABS((LN(10^(逐级计算!$Q$63/10)-1)+逐级计算!$Q$63*(BK24-逐级计算!$P$63)*LN(10)/10))))))),"")</f>
        <v>13.7935280817847</v>
      </c>
      <c r="BM24">
        <f>IF(AND(ISNUMBER(BL24),逐级计算!$X$64&gt;-1),IF(逐级计算!$X$64=0,BL24+逐级计算!$C$64,BL24+逐级计算!$C$64-(10/(逐级计算!$Q$64*LN(10))*(MAX((LN(10^(逐级计算!$Q$64/10)-1)+逐级计算!$Q$64*(BL24-逐级计算!$P$64)*LN(10)/10),0)+LN(1+EXP(-ABS((LN(10^(逐级计算!$Q$64/10)-1)+逐级计算!$Q$64*(BL24-逐级计算!$P$64)*LN(10)/10))))))),"")</f>
        <v>13.7935280817847</v>
      </c>
      <c r="BN24">
        <f>IF(AND(ISNUMBER(BM24),逐级计算!$X$65&gt;-1),IF(逐级计算!$X$65=0,BM24+逐级计算!$C$65,BM24+逐级计算!$C$65-(10/(逐级计算!$Q$65*LN(10))*(MAX((LN(10^(逐级计算!$Q$65/10)-1)+逐级计算!$Q$65*(BM24-逐级计算!$P$65)*LN(10)/10),0)+LN(1+EXP(-ABS((LN(10^(逐级计算!$Q$65/10)-1)+逐级计算!$Q$65*(BM24-逐级计算!$P$65)*LN(10)/10))))))),"")</f>
        <v>13.7935280817847</v>
      </c>
      <c r="BO24">
        <f>IF(AND(ISNUMBER(BN24),逐级计算!$X$66&gt;-1),IF(逐级计算!$X$66=0,BN24+逐级计算!$C$66,BN24+逐级计算!$C$66-(10/(逐级计算!$Q$66*LN(10))*(MAX((LN(10^(逐级计算!$Q$66/10)-1)+逐级计算!$Q$66*(BN24-逐级计算!$P$66)*LN(10)/10),0)+LN(1+EXP(-ABS((LN(10^(逐级计算!$Q$66/10)-1)+逐级计算!$Q$66*(BN24-逐级计算!$P$66)*LN(10)/10))))))),"")</f>
        <v>13.7935280817847</v>
      </c>
      <c r="BP24">
        <f>IF(AND(ISNUMBER(BO24),逐级计算!$X$67&gt;-1),IF(逐级计算!$X$67=0,BO24+逐级计算!$C$67,BO24+逐级计算!$C$67-(10/(逐级计算!$Q$67*LN(10))*(MAX((LN(10^(逐级计算!$Q$67/10)-1)+逐级计算!$Q$67*(BO24-逐级计算!$P$67)*LN(10)/10),0)+LN(1+EXP(-ABS((LN(10^(逐级计算!$Q$67/10)-1)+逐级计算!$Q$67*(BO24-逐级计算!$P$67)*LN(10)/10))))))),"")</f>
        <v>13.7935280817847</v>
      </c>
      <c r="BQ24">
        <f>IF(AND(ISNUMBER(BP24),逐级计算!$X$68&gt;-1),IF(逐级计算!$X$68=0,BP24+逐级计算!$C$68,BP24+逐级计算!$C$68-(10/(逐级计算!$Q$68*LN(10))*(MAX((LN(10^(逐级计算!$Q$68/10)-1)+逐级计算!$Q$68*(BP24-逐级计算!$P$68)*LN(10)/10),0)+LN(1+EXP(-ABS((LN(10^(逐级计算!$Q$68/10)-1)+逐级计算!$Q$68*(BP24-逐级计算!$P$68)*LN(10)/10))))))),"")</f>
        <v>13.7935280817847</v>
      </c>
      <c r="BR24">
        <f>IF(AND(ISNUMBER(BQ24),逐级计算!$X$69&gt;-1),IF(逐级计算!$X$69=0,BQ24+逐级计算!$C$69,BQ24+逐级计算!$C$69-(10/(逐级计算!$Q$69*LN(10))*(MAX((LN(10^(逐级计算!$Q$69/10)-1)+逐级计算!$Q$69*(BQ24-逐级计算!$P$69)*LN(10)/10),0)+LN(1+EXP(-ABS((LN(10^(逐级计算!$Q$69/10)-1)+逐级计算!$Q$69*(BQ24-逐级计算!$P$69)*LN(10)/10))))))),"")</f>
        <v>13.7935280817847</v>
      </c>
      <c r="BS24">
        <f>IF(AND(ISNUMBER(BR24),逐级计算!$X$70&gt;-1),IF(逐级计算!$X$70=0,BR24+逐级计算!$C$70,BR24+逐级计算!$C$70-(10/(逐级计算!$Q$70*LN(10))*(MAX((LN(10^(逐级计算!$Q$70/10)-1)+逐级计算!$Q$70*(BR24-逐级计算!$P$70)*LN(10)/10),0)+LN(1+EXP(-ABS((LN(10^(逐级计算!$Q$70/10)-1)+逐级计算!$Q$70*(BR24-逐级计算!$P$70)*LN(10)/10))))))),"")</f>
        <v>13.7935280817847</v>
      </c>
      <c r="BT24">
        <f>IF(AND(ISNUMBER(BS24),逐级计算!$X$71&gt;-1),IF(逐级计算!$X$71=0,BS24+逐级计算!$C$71,BS24+逐级计算!$C$71-(10/(逐级计算!$Q$71*LN(10))*(MAX((LN(10^(逐级计算!$Q$71/10)-1)+逐级计算!$Q$71*(BS24-逐级计算!$P$71)*LN(10)/10),0)+LN(1+EXP(-ABS((LN(10^(逐级计算!$Q$71/10)-1)+逐级计算!$Q$71*(BS24-逐级计算!$P$71)*LN(10)/10))))))),"")</f>
        <v>13.7935280817847</v>
      </c>
      <c r="BU24">
        <f>IF(AND(ISNUMBER(BT24),逐级计算!$X$72&gt;-1),IF(逐级计算!$X$72=0,BT24+逐级计算!$C$72,BT24+逐级计算!$C$72-(10/(逐级计算!$Q$72*LN(10))*(MAX((LN(10^(逐级计算!$Q$72/10)-1)+逐级计算!$Q$72*(BT24-逐级计算!$P$72)*LN(10)/10),0)+LN(1+EXP(-ABS((LN(10^(逐级计算!$Q$72/10)-1)+逐级计算!$Q$72*(BT24-逐级计算!$P$72)*LN(10)/10))))))),"")</f>
        <v>13.7935280817847</v>
      </c>
      <c r="BV24">
        <f>IF(AND(ISNUMBER(BU24),逐级计算!$X$73&gt;-1),IF(逐级计算!$X$73=0,BU24+逐级计算!$C$73,BU24+逐级计算!$C$73-(10/(逐级计算!$Q$73*LN(10))*(MAX((LN(10^(逐级计算!$Q$73/10)-1)+逐级计算!$Q$73*(BU24-逐级计算!$P$73)*LN(10)/10),0)+LN(1+EXP(-ABS((LN(10^(逐级计算!$Q$73/10)-1)+逐级计算!$Q$73*(BU24-逐级计算!$P$73)*LN(10)/10))))))),"")</f>
        <v>13.7935280817847</v>
      </c>
      <c r="BW24">
        <f>IF(AND(ISNUMBER(BV24),逐级计算!$X$74&gt;-1),IF(逐级计算!$X$74=0,BV24+逐级计算!$C$74,BV24+逐级计算!$C$74-(10/(逐级计算!$Q$74*LN(10))*(MAX((LN(10^(逐级计算!$Q$74/10)-1)+逐级计算!$Q$74*(BV24-逐级计算!$P$74)*LN(10)/10),0)+LN(1+EXP(-ABS((LN(10^(逐级计算!$Q$74/10)-1)+逐级计算!$Q$74*(BV24-逐级计算!$P$74)*LN(10)/10))))))),"")</f>
        <v>13.7935280817847</v>
      </c>
      <c r="BX24">
        <f>IF(AND(ISNUMBER(BW24),逐级计算!$X$75&gt;-1),IF(逐级计算!$X$75=0,BW24+逐级计算!$C$75,BW24+逐级计算!$C$75-(10/(逐级计算!$Q$75*LN(10))*(MAX((LN(10^(逐级计算!$Q$75/10)-1)+逐级计算!$Q$75*(BW24-逐级计算!$P$75)*LN(10)/10),0)+LN(1+EXP(-ABS((LN(10^(逐级计算!$Q$75/10)-1)+逐级计算!$Q$75*(BW24-逐级计算!$P$75)*LN(10)/10))))))),"")</f>
        <v>13.7935280817847</v>
      </c>
      <c r="BY24">
        <f>IF(AND(ISNUMBER(BX24),逐级计算!$X$76&gt;-1),IF(逐级计算!$X$76=0,BX24+逐级计算!$C$76,BX24+逐级计算!$C$76-(10/(逐级计算!$Q$76*LN(10))*(MAX((LN(10^(逐级计算!$Q$76/10)-1)+逐级计算!$Q$76*(BX24-逐级计算!$P$76)*LN(10)/10),0)+LN(1+EXP(-ABS((LN(10^(逐级计算!$Q$76/10)-1)+逐级计算!$Q$76*(BX24-逐级计算!$P$76)*LN(10)/10))))))),"")</f>
        <v>13.7935280817847</v>
      </c>
      <c r="BZ24">
        <f>IF(AND(ISNUMBER(BY24),逐级计算!$X$77&gt;-1),IF(逐级计算!$X$77=0,BY24+逐级计算!$C$77,BY24+逐级计算!$C$77-(10/(逐级计算!$Q$77*LN(10))*(MAX((LN(10^(逐级计算!$Q$77/10)-1)+逐级计算!$Q$77*(BY24-逐级计算!$P$77)*LN(10)/10),0)+LN(1+EXP(-ABS((LN(10^(逐级计算!$Q$77/10)-1)+逐级计算!$Q$77*(BY24-逐级计算!$P$77)*LN(10)/10))))))),"")</f>
        <v>13.7935280817847</v>
      </c>
      <c r="CA24">
        <f>IF(AND(ISNUMBER(BZ24),逐级计算!$X$78&gt;-1),IF(逐级计算!$X$78=0,BZ24+逐级计算!$C$78,BZ24+逐级计算!$C$78-(10/(逐级计算!$Q$78*LN(10))*(MAX((LN(10^(逐级计算!$Q$78/10)-1)+逐级计算!$Q$78*(BZ24-逐级计算!$P$78)*LN(10)/10),0)+LN(1+EXP(-ABS((LN(10^(逐级计算!$Q$78/10)-1)+逐级计算!$Q$78*(BZ24-逐级计算!$P$78)*LN(10)/10))))))),"")</f>
        <v>13.7935280817847</v>
      </c>
      <c r="CB24">
        <f>IF(AND(ISNUMBER(CA24),逐级计算!$X$79&gt;-1),IF(逐级计算!$X$79=0,CA24+逐级计算!$C$79,CA24+逐级计算!$C$79-(10/(逐级计算!$Q$79*LN(10))*(MAX((LN(10^(逐级计算!$Q$79/10)-1)+逐级计算!$Q$79*(CA24-逐级计算!$P$79)*LN(10)/10),0)+LN(1+EXP(-ABS((LN(10^(逐级计算!$Q$79/10)-1)+逐级计算!$Q$79*(CA24-逐级计算!$P$79)*LN(10)/10))))))),"")</f>
        <v>13.7935280817847</v>
      </c>
      <c r="CC24">
        <f>IF(AND(ISNUMBER(CB24),逐级计算!$X$80&gt;-1),IF(逐级计算!$X$80=0,CB24+逐级计算!$C$80,CB24+逐级计算!$C$80-(10/(逐级计算!$Q$80*LN(10))*(MAX((LN(10^(逐级计算!$Q$80/10)-1)+逐级计算!$Q$80*(CB24-逐级计算!$P$80)*LN(10)/10),0)+LN(1+EXP(-ABS((LN(10^(逐级计算!$Q$80/10)-1)+逐级计算!$Q$80*(CB24-逐级计算!$P$80)*LN(10)/10))))))),"")</f>
        <v>13.7935280817847</v>
      </c>
      <c r="CD24">
        <f>IF(AND(ISNUMBER(CC24),逐级计算!$X$81&gt;-1),IF(逐级计算!$X$81=0,CC24+逐级计算!$C$81,CC24+逐级计算!$C$81-(10/(逐级计算!$Q$81*LN(10))*(MAX((LN(10^(逐级计算!$Q$81/10)-1)+逐级计算!$Q$81*(CC24-逐级计算!$P$81)*LN(10)/10),0)+LN(1+EXP(-ABS((LN(10^(逐级计算!$Q$81/10)-1)+逐级计算!$Q$81*(CC24-逐级计算!$P$81)*LN(10)/10))))))),"")</f>
        <v>13.7935280817847</v>
      </c>
      <c r="CE24">
        <f>IF(AND(ISNUMBER(CD24),逐级计算!$X$82&gt;-1),IF(逐级计算!$X$82=0,CD24+逐级计算!$C$82,CD24+逐级计算!$C$82-(10/(逐级计算!$Q$82*LN(10))*(MAX((LN(10^(逐级计算!$Q$82/10)-1)+逐级计算!$Q$82*(CD24-逐级计算!$P$82)*LN(10)/10),0)+LN(1+EXP(-ABS((LN(10^(逐级计算!$Q$82/10)-1)+逐级计算!$Q$82*(CD24-逐级计算!$P$82)*LN(10)/10))))))),"")</f>
        <v>13.7935280817847</v>
      </c>
      <c r="CF24">
        <f>IF(AND(ISNUMBER(CE24),逐级计算!$X$83&gt;-1),IF(逐级计算!$X$83=0,CE24+逐级计算!$C$83,CE24+逐级计算!$C$83-(10/(逐级计算!$Q$83*LN(10))*(MAX((LN(10^(逐级计算!$Q$83/10)-1)+逐级计算!$Q$83*(CE24-逐级计算!$P$83)*LN(10)/10),0)+LN(1+EXP(-ABS((LN(10^(逐级计算!$Q$83/10)-1)+逐级计算!$Q$83*(CE24-逐级计算!$P$83)*LN(10)/10))))))),"")</f>
        <v>13.7935280817847</v>
      </c>
      <c r="CG24">
        <f>IF(AND(ISNUMBER(CF24),逐级计算!$X$84&gt;-1),IF(逐级计算!$X$84=0,CF24+逐级计算!$C$84,CF24+逐级计算!$C$84-(10/(逐级计算!$Q$84*LN(10))*(MAX((LN(10^(逐级计算!$Q$84/10)-1)+逐级计算!$Q$84*(CF24-逐级计算!$P$84)*LN(10)/10),0)+LN(1+EXP(-ABS((LN(10^(逐级计算!$Q$84/10)-1)+逐级计算!$Q$84*(CF24-逐级计算!$P$84)*LN(10)/10))))))),"")</f>
        <v>13.7935280817847</v>
      </c>
      <c r="CH24">
        <f>IF(AND(ISNUMBER(CG24),逐级计算!$X$85&gt;-1),IF(逐级计算!$X$85=0,CG24+逐级计算!$C$85,CG24+逐级计算!$C$85-(10/(逐级计算!$Q$85*LN(10))*(MAX((LN(10^(逐级计算!$Q$85/10)-1)+逐级计算!$Q$85*(CG24-逐级计算!$P$85)*LN(10)/10),0)+LN(1+EXP(-ABS((LN(10^(逐级计算!$Q$85/10)-1)+逐级计算!$Q$85*(CG24-逐级计算!$P$85)*LN(10)/10))))))),"")</f>
        <v>13.7935280817847</v>
      </c>
      <c r="CI24">
        <f>IF(AND(ISNUMBER(CH24),逐级计算!$X$86&gt;-1),IF(逐级计算!$X$86=0,CH24+逐级计算!$C$86,CH24+逐级计算!$C$86-(10/(逐级计算!$Q$86*LN(10))*(MAX((LN(10^(逐级计算!$Q$86/10)-1)+逐级计算!$Q$86*(CH24-逐级计算!$P$86)*LN(10)/10),0)+LN(1+EXP(-ABS((LN(10^(逐级计算!$Q$86/10)-1)+逐级计算!$Q$86*(CH24-逐级计算!$P$86)*LN(10)/10))))))),"")</f>
        <v>13.7935280817847</v>
      </c>
      <c r="CJ24">
        <f>IF(AND(ISNUMBER(CI24),逐级计算!$X$87&gt;-1),IF(逐级计算!$X$87=0,CI24+逐级计算!$C$87,CI24+逐级计算!$C$87-(10/(逐级计算!$Q$87*LN(10))*(MAX((LN(10^(逐级计算!$Q$87/10)-1)+逐级计算!$Q$87*(CI24-逐级计算!$P$87)*LN(10)/10),0)+LN(1+EXP(-ABS((LN(10^(逐级计算!$Q$87/10)-1)+逐级计算!$Q$87*(CI24-逐级计算!$P$87)*LN(10)/10))))))),"")</f>
        <v>13.7935280817847</v>
      </c>
      <c r="CK24">
        <f>IF(AND(ISNUMBER(CJ24),逐级计算!$X$88&gt;-1),IF(逐级计算!$X$88=0,CJ24+逐级计算!$C$88,CJ24+逐级计算!$C$88-(10/(逐级计算!$Q$88*LN(10))*(MAX((LN(10^(逐级计算!$Q$88/10)-1)+逐级计算!$Q$88*(CJ24-逐级计算!$P$88)*LN(10)/10),0)+LN(1+EXP(-ABS((LN(10^(逐级计算!$Q$88/10)-1)+逐级计算!$Q$88*(CJ24-逐级计算!$P$88)*LN(10)/10))))))),"")</f>
        <v>13.7935280817847</v>
      </c>
      <c r="CL24">
        <f>IF(AND(ISNUMBER(CK24),逐级计算!$X$89&gt;-1),IF(逐级计算!$X$89=0,CK24+逐级计算!$C$89,CK24+逐级计算!$C$89-(10/(逐级计算!$Q$89*LN(10))*(MAX((LN(10^(逐级计算!$Q$89/10)-1)+逐级计算!$Q$89*(CK24-逐级计算!$P$89)*LN(10)/10),0)+LN(1+EXP(-ABS((LN(10^(逐级计算!$Q$89/10)-1)+逐级计算!$Q$89*(CK24-逐级计算!$P$89)*LN(10)/10))))))),"")</f>
        <v>13.7935280817847</v>
      </c>
      <c r="CM24">
        <f>IF(AND(ISNUMBER(CL24),逐级计算!$X$90&gt;-1),IF(逐级计算!$X$90=0,CL24+逐级计算!$C$90,CL24+逐级计算!$C$90-(10/(逐级计算!$Q$90*LN(10))*(MAX((LN(10^(逐级计算!$Q$90/10)-1)+逐级计算!$Q$90*(CL24-逐级计算!$P$90)*LN(10)/10),0)+LN(1+EXP(-ABS((LN(10^(逐级计算!$Q$90/10)-1)+逐级计算!$Q$90*(CL24-逐级计算!$P$90)*LN(10)/10))))))),"")</f>
        <v>13.7935280817847</v>
      </c>
      <c r="CN24">
        <f>IF(AND(ISNUMBER(CM24),逐级计算!$X$91&gt;-1),IF(逐级计算!$X$91=0,CM24+逐级计算!$C$91,CM24+逐级计算!$C$91-(10/(逐级计算!$Q$91*LN(10))*(MAX((LN(10^(逐级计算!$Q$91/10)-1)+逐级计算!$Q$91*(CM24-逐级计算!$P$91)*LN(10)/10),0)+LN(1+EXP(-ABS((LN(10^(逐级计算!$Q$91/10)-1)+逐级计算!$Q$91*(CM24-逐级计算!$P$91)*LN(10)/10))))))),"")</f>
        <v>13.7935280817847</v>
      </c>
      <c r="CO24">
        <f>IF(AND(ISNUMBER(CN24),逐级计算!$X$92&gt;-1),IF(逐级计算!$X$92=0,CN24+逐级计算!$C$92,CN24+逐级计算!$C$92-(10/(逐级计算!$Q$92*LN(10))*(MAX((LN(10^(逐级计算!$Q$92/10)-1)+逐级计算!$Q$92*(CN24-逐级计算!$P$92)*LN(10)/10),0)+LN(1+EXP(-ABS((LN(10^(逐级计算!$Q$92/10)-1)+逐级计算!$Q$92*(CN24-逐级计算!$P$92)*LN(10)/10))))))),"")</f>
        <v>13.7935280817847</v>
      </c>
      <c r="CP24">
        <f>IF(AND(ISNUMBER(CO24),逐级计算!$X$93&gt;-1),IF(逐级计算!$X$93=0,CO24+逐级计算!$C$93,CO24+逐级计算!$C$93-(10/(逐级计算!$Q$93*LN(10))*(MAX((LN(10^(逐级计算!$Q$93/10)-1)+逐级计算!$Q$93*(CO24-逐级计算!$P$93)*LN(10)/10),0)+LN(1+EXP(-ABS((LN(10^(逐级计算!$Q$93/10)-1)+逐级计算!$Q$93*(CO24-逐级计算!$P$93)*LN(10)/10))))))),"")</f>
        <v>13.7935280817847</v>
      </c>
      <c r="CQ24">
        <f>IF(AND(ISNUMBER(CP24),逐级计算!$X$94&gt;-1),IF(逐级计算!$X$94=0,CP24+逐级计算!$C$94,CP24+逐级计算!$C$94-(10/(逐级计算!$Q$94*LN(10))*(MAX((LN(10^(逐级计算!$Q$94/10)-1)+逐级计算!$Q$94*(CP24-逐级计算!$P$94)*LN(10)/10),0)+LN(1+EXP(-ABS((LN(10^(逐级计算!$Q$94/10)-1)+逐级计算!$Q$94*(CP24-逐级计算!$P$94)*LN(10)/10))))))),"")</f>
        <v>13.7935280817847</v>
      </c>
      <c r="CR24">
        <f>IF(AND(ISNUMBER(CQ24),逐级计算!$X$95&gt;-1),IF(逐级计算!$X$95=0,CQ24+逐级计算!$C$95,CQ24+逐级计算!$C$95-(10/(逐级计算!$Q$95*LN(10))*(MAX((LN(10^(逐级计算!$Q$95/10)-1)+逐级计算!$Q$95*(CQ24-逐级计算!$P$95)*LN(10)/10),0)+LN(1+EXP(-ABS((LN(10^(逐级计算!$Q$95/10)-1)+逐级计算!$Q$95*(CQ24-逐级计算!$P$95)*LN(10)/10))))))),"")</f>
        <v>13.7935280817847</v>
      </c>
      <c r="CS24">
        <f>IF(AND(ISNUMBER(CR24),逐级计算!$X$96&gt;-1),IF(逐级计算!$X$96=0,CR24+逐级计算!$C$96,CR24+逐级计算!$C$96-(10/(逐级计算!$Q$96*LN(10))*(MAX((LN(10^(逐级计算!$Q$96/10)-1)+逐级计算!$Q$96*(CR24-逐级计算!$P$96)*LN(10)/10),0)+LN(1+EXP(-ABS((LN(10^(逐级计算!$Q$96/10)-1)+逐级计算!$Q$96*(CR24-逐级计算!$P$96)*LN(10)/10))))))),"")</f>
        <v>13.7935280817847</v>
      </c>
      <c r="CT24">
        <f>IF(AND(ISNUMBER(CS24),逐级计算!$X$97&gt;-1),IF(逐级计算!$X$97=0,CS24+逐级计算!$C$97,CS24+逐级计算!$C$97-(10/(逐级计算!$Q$97*LN(10))*(MAX((LN(10^(逐级计算!$Q$97/10)-1)+逐级计算!$Q$97*(CS24-逐级计算!$P$97)*LN(10)/10),0)+LN(1+EXP(-ABS((LN(10^(逐级计算!$Q$97/10)-1)+逐级计算!$Q$97*(CS24-逐级计算!$P$97)*LN(10)/10))))))),"")</f>
        <v>13.7935280817847</v>
      </c>
      <c r="CU24">
        <f>IF(AND(ISNUMBER(CT24),逐级计算!$X$98&gt;-1),IF(逐级计算!$X$98=0,CT24+逐级计算!$C$98,CT24+逐级计算!$C$98-(10/(逐级计算!$Q$98*LN(10))*(MAX((LN(10^(逐级计算!$Q$98/10)-1)+逐级计算!$Q$98*(CT24-逐级计算!$P$98)*LN(10)/10),0)+LN(1+EXP(-ABS((LN(10^(逐级计算!$Q$98/10)-1)+逐级计算!$Q$98*(CT24-逐级计算!$P$98)*LN(10)/10))))))),"")</f>
        <v>13.7935280817847</v>
      </c>
      <c r="CV24">
        <f>IF(AND(ISNUMBER(CU24),逐级计算!$X$99&gt;-1),IF(逐级计算!$X$99=0,CU24+逐级计算!$C$99,CU24+逐级计算!$C$99-(10/(逐级计算!$Q$99*LN(10))*(MAX((LN(10^(逐级计算!$Q$99/10)-1)+逐级计算!$Q$99*(CU24-逐级计算!$P$99)*LN(10)/10),0)+LN(1+EXP(-ABS((LN(10^(逐级计算!$Q$99/10)-1)+逐级计算!$Q$99*(CU24-逐级计算!$P$99)*LN(10)/10))))))),"")</f>
        <v>13.7935280817847</v>
      </c>
      <c r="CW24">
        <f>IF(AND(ISNUMBER(CV24),逐级计算!$X$100&gt;-1),IF(逐级计算!$X$100=0,CV24+逐级计算!$C$100,CV24+逐级计算!$C$100-(10/(逐级计算!$Q$100*LN(10))*(MAX((LN(10^(逐级计算!$Q$100/10)-1)+逐级计算!$Q$100*(CV24-逐级计算!$P$100)*LN(10)/10),0)+LN(1+EXP(-ABS((LN(10^(逐级计算!$Q$100/10)-1)+逐级计算!$Q$100*(CV24-逐级计算!$P$100)*LN(10)/10))))))),"")</f>
        <v>13.7935280817847</v>
      </c>
      <c r="CX24">
        <f>IF(AND(ISNUMBER(CW24),逐级计算!$X$101&gt;-1),IF(逐级计算!$X$101=0,CW24+逐级计算!$C$101,CW24+逐级计算!$C$101-(10/(逐级计算!$Q$101*LN(10))*(MAX((LN(10^(逐级计算!$Q$101/10)-1)+逐级计算!$Q$101*(CW24-逐级计算!$P$101)*LN(10)/10),0)+LN(1+EXP(-ABS((LN(10^(逐级计算!$Q$101/10)-1)+逐级计算!$Q$101*(CW24-逐级计算!$P$101)*LN(10)/10))))))),"")</f>
        <v>13.7935280817847</v>
      </c>
      <c r="CY24">
        <f>IF(AND(ISNUMBER(CX24),逐级计算!$X$102&gt;-1),IF(逐级计算!$X$102=0,CX24+逐级计算!$C$102,CX24+逐级计算!$C$102-(10/(逐级计算!$Q$102*LN(10))*(MAX((LN(10^(逐级计算!$Q$102/10)-1)+逐级计算!$Q$102*(CX24-逐级计算!$P$102)*LN(10)/10),0)+LN(1+EXP(-ABS((LN(10^(逐级计算!$Q$102/10)-1)+逐级计算!$Q$102*(CX24-逐级计算!$P$102)*LN(10)/10))))))),"")</f>
        <v>13.7935280817847</v>
      </c>
      <c r="CZ24">
        <f>IF(AND(ISNUMBER(CY24),逐级计算!$X$103&gt;-1),IF(逐级计算!$X$103=0,CY24+逐级计算!$C$103,CY24+逐级计算!$C$103-(10/(逐级计算!$Q$103*LN(10))*(MAX((LN(10^(逐级计算!$Q$103/10)-1)+逐级计算!$Q$103*(CY24-逐级计算!$P$103)*LN(10)/10),0)+LN(1+EXP(-ABS((LN(10^(逐级计算!$Q$103/10)-1)+逐级计算!$Q$103*(CY24-逐级计算!$P$103)*LN(10)/10))))))),"")</f>
        <v>13.7935280817847</v>
      </c>
      <c r="DA24">
        <f>IF(AND(ISNUMBER(CZ24),逐级计算!$X$104&gt;-1),IF(逐级计算!$X$104=0,CZ24+逐级计算!$C$104,CZ24+逐级计算!$C$104-(10/(逐级计算!$Q$104*LN(10))*(MAX((LN(10^(逐级计算!$Q$104/10)-1)+逐级计算!$Q$104*(CZ24-逐级计算!$P$104)*LN(10)/10),0)+LN(1+EXP(-ABS((LN(10^(逐级计算!$Q$104/10)-1)+逐级计算!$Q$104*(CZ24-逐级计算!$P$104)*LN(10)/10))))))),"")</f>
        <v>13.7935280817847</v>
      </c>
      <c r="DB24">
        <f>IF(AND(ISNUMBER(DA24),逐级计算!$X$105&gt;-1),IF(逐级计算!$X$105=0,DA24+逐级计算!$C$105,DA24+逐级计算!$C$105-(10/(逐级计算!$Q$105*LN(10))*(MAX((LN(10^(逐级计算!$Q$105/10)-1)+逐级计算!$Q$105*(DA24-逐级计算!$P$105)*LN(10)/10),0)+LN(1+EXP(-ABS((LN(10^(逐级计算!$Q$105/10)-1)+逐级计算!$Q$105*(DA24-逐级计算!$P$105)*LN(10)/10))))))),"")</f>
        <v>13.7935280817847</v>
      </c>
      <c r="DC24">
        <f>IF(AND(ISNUMBER(DB24),逐级计算!$X$106&gt;-1),IF(逐级计算!$X$106=0,DB24+逐级计算!$C$106,DB24+逐级计算!$C$106-(10/(逐级计算!$Q$106*LN(10))*(MAX((LN(10^(逐级计算!$Q$106/10)-1)+逐级计算!$Q$106*(DB24-逐级计算!$P$106)*LN(10)/10),0)+LN(1+EXP(-ABS((LN(10^(逐级计算!$Q$106/10)-1)+逐级计算!$Q$106*(DB24-逐级计算!$P$106)*LN(10)/10))))))),"")</f>
        <v>13.7935280817847</v>
      </c>
      <c r="DD24">
        <f>IF(AND(ISNUMBER(DC24),逐级计算!$X$107&gt;-1),IF(逐级计算!$X$107=0,DC24+逐级计算!$C$107,DC24+逐级计算!$C$107-(10/(逐级计算!$Q$107*LN(10))*(MAX((LN(10^(逐级计算!$Q$107/10)-1)+逐级计算!$Q$107*(DC24-逐级计算!$P$107)*LN(10)/10),0)+LN(1+EXP(-ABS((LN(10^(逐级计算!$Q$107/10)-1)+逐级计算!$Q$107*(DC24-逐级计算!$P$107)*LN(10)/10))))))),"")</f>
        <v>13.7935280817847</v>
      </c>
      <c r="DE24">
        <f>IF(AND(ISNUMBER(DD24),逐级计算!$X$108&gt;-1),IF(逐级计算!$X$108=0,DD24+逐级计算!$C$108,DD24+逐级计算!$C$108-(10/(逐级计算!$Q$108*LN(10))*(MAX((LN(10^(逐级计算!$Q$108/10)-1)+逐级计算!$Q$108*(DD24-逐级计算!$P$108)*LN(10)/10),0)+LN(1+EXP(-ABS((LN(10^(逐级计算!$Q$108/10)-1)+逐级计算!$Q$108*(DD24-逐级计算!$P$108)*LN(10)/10))))))),"")</f>
        <v>13.7935280817847</v>
      </c>
      <c r="DF24">
        <f>IF(AND(ISNUMBER(DE24),逐级计算!$X$109&gt;-1),IF(逐级计算!$X$109=0,DE24+逐级计算!$C$109,DE24+逐级计算!$C$109-(10/(逐级计算!$Q$109*LN(10))*(MAX((LN(10^(逐级计算!$Q$109/10)-1)+逐级计算!$Q$109*(DE24-逐级计算!$P$109)*LN(10)/10),0)+LN(1+EXP(-ABS((LN(10^(逐级计算!$Q$109/10)-1)+逐级计算!$Q$109*(DE24-逐级计算!$P$109)*LN(10)/10))))))),"")</f>
        <v>13.7935280817847</v>
      </c>
      <c r="DG24">
        <f>IF(AND(ISNUMBER(DF24),逐级计算!$X$110&gt;-1),IF(逐级计算!$X$110=0,DF24+逐级计算!$C$110,DF24+逐级计算!$C$110-(10/(逐级计算!$Q$110*LN(10))*(MAX((LN(10^(逐级计算!$Q$110/10)-1)+逐级计算!$Q$110*(DF24-逐级计算!$P$110)*LN(10)/10),0)+LN(1+EXP(-ABS((LN(10^(逐级计算!$Q$110/10)-1)+逐级计算!$Q$110*(DF24-逐级计算!$P$110)*LN(10)/10))))))),"")</f>
        <v>13.7935280817847</v>
      </c>
      <c r="DH24">
        <f>IF(AND(ISNUMBER(DG24),逐级计算!$X$111&gt;-1),IF(逐级计算!$X$111=0,DG24+逐级计算!$C$111,DG24+逐级计算!$C$111-(10/(逐级计算!$Q$111*LN(10))*(MAX((LN(10^(逐级计算!$Q$111/10)-1)+逐级计算!$Q$111*(DG24-逐级计算!$P$111)*LN(10)/10),0)+LN(1+EXP(-ABS((LN(10^(逐级计算!$Q$111/10)-1)+逐级计算!$Q$111*(DG24-逐级计算!$P$111)*LN(10)/10))))))),"")</f>
        <v>13.7935280817847</v>
      </c>
      <c r="DI24">
        <f>IF(AND(ISNUMBER(DH24),逐级计算!$X$112&gt;-1),IF(逐级计算!$X$112=0,DH24+逐级计算!$C$112,DH24+逐级计算!$C$112-(10/(逐级计算!$Q$112*LN(10))*(MAX((LN(10^(逐级计算!$Q$112/10)-1)+逐级计算!$Q$112*(DH24-逐级计算!$P$112)*LN(10)/10),0)+LN(1+EXP(-ABS((LN(10^(逐级计算!$Q$112/10)-1)+逐级计算!$Q$112*(DH24-逐级计算!$P$112)*LN(10)/10))))))),"")</f>
        <v>13.7935280817847</v>
      </c>
      <c r="DJ24">
        <f>IF(AND(ISNUMBER(DI24),逐级计算!$X$113&gt;-1),IF(逐级计算!$X$113=0,DI24+逐级计算!$C$113,DI24+逐级计算!$C$113-(10/(逐级计算!$Q$113*LN(10))*(MAX((LN(10^(逐级计算!$Q$113/10)-1)+逐级计算!$Q$113*(DI24-逐级计算!$P$113)*LN(10)/10),0)+LN(1+EXP(-ABS((LN(10^(逐级计算!$Q$113/10)-1)+逐级计算!$Q$113*(DI24-逐级计算!$P$113)*LN(10)/10))))))),"")</f>
        <v>13.7935280817847</v>
      </c>
      <c r="DK24">
        <f>IF(AND(ISNUMBER(DJ24),逐级计算!$X$114&gt;-1),IF(逐级计算!$X$114=0,DJ24+逐级计算!$C$114,DJ24+逐级计算!$C$114-(10/(逐级计算!$Q$114*LN(10))*(MAX((LN(10^(逐级计算!$Q$114/10)-1)+逐级计算!$Q$114*(DJ24-逐级计算!$P$114)*LN(10)/10),0)+LN(1+EXP(-ABS((LN(10^(逐级计算!$Q$114/10)-1)+逐级计算!$Q$114*(DJ24-逐级计算!$P$114)*LN(10)/10))))))),"")</f>
        <v>13.7935280817847</v>
      </c>
      <c r="DL24">
        <f>IF(AND(ISNUMBER(DK24),逐级计算!$X$115&gt;-1),IF(逐级计算!$X$115=0,DK24+逐级计算!$C$115,DK24+逐级计算!$C$115-(10/(逐级计算!$Q$115*LN(10))*(MAX((LN(10^(逐级计算!$Q$115/10)-1)+逐级计算!$Q$115*(DK24-逐级计算!$P$115)*LN(10)/10),0)+LN(1+EXP(-ABS((LN(10^(逐级计算!$Q$115/10)-1)+逐级计算!$Q$115*(DK24-逐级计算!$P$115)*LN(10)/10))))))),"")</f>
        <v>13.7935280817847</v>
      </c>
      <c r="DM24">
        <f>IF(AND(ISNUMBER(DL24),逐级计算!$X$116&gt;-1),IF(逐级计算!$X$116=0,DL24+逐级计算!$C$116,DL24+逐级计算!$C$116-(10/(逐级计算!$Q$116*LN(10))*(MAX((LN(10^(逐级计算!$Q$116/10)-1)+逐级计算!$Q$116*(DL24-逐级计算!$P$116)*LN(10)/10),0)+LN(1+EXP(-ABS((LN(10^(逐级计算!$Q$116/10)-1)+逐级计算!$Q$116*(DL24-逐级计算!$P$116)*LN(10)/10))))))),"")</f>
        <v>13.7935280817847</v>
      </c>
      <c r="DN24">
        <f>IF(AND(ISNUMBER(DM24),逐级计算!$X$117&gt;-1),IF(逐级计算!$X$117=0,DM24+逐级计算!$C$117,DM24+逐级计算!$C$117-(10/(逐级计算!$Q$117*LN(10))*(MAX((LN(10^(逐级计算!$Q$117/10)-1)+逐级计算!$Q$117*(DM24-逐级计算!$P$117)*LN(10)/10),0)+LN(1+EXP(-ABS((LN(10^(逐级计算!$Q$117/10)-1)+逐级计算!$Q$117*(DM24-逐级计算!$P$117)*LN(10)/10))))))),"")</f>
        <v>13.7935280817847</v>
      </c>
      <c r="DO24">
        <f>IF(AND(ISNUMBER(DN24),逐级计算!$X$118&gt;-1),IF(逐级计算!$X$118=0,DN24+逐级计算!$C$118,DN24+逐级计算!$C$118-(10/(逐级计算!$Q$118*LN(10))*(MAX((LN(10^(逐级计算!$Q$118/10)-1)+逐级计算!$Q$118*(DN24-逐级计算!$P$118)*LN(10)/10),0)+LN(1+EXP(-ABS((LN(10^(逐级计算!$Q$118/10)-1)+逐级计算!$Q$118*(DN24-逐级计算!$P$118)*LN(10)/10))))))),"")</f>
        <v>13.7935280817847</v>
      </c>
      <c r="DP24">
        <f>IF(AND(ISNUMBER(DO24),逐级计算!$X$119&gt;-1),IF(逐级计算!$X$119=0,DO24+逐级计算!$C$119,DO24+逐级计算!$C$119-(10/(逐级计算!$Q$119*LN(10))*(MAX((LN(10^(逐级计算!$Q$119/10)-1)+逐级计算!$Q$119*(DO24-逐级计算!$P$119)*LN(10)/10),0)+LN(1+EXP(-ABS((LN(10^(逐级计算!$Q$119/10)-1)+逐级计算!$Q$119*(DO24-逐级计算!$P$119)*LN(10)/10))))))),"")</f>
        <v>13.7935280817847</v>
      </c>
      <c r="DQ24">
        <f>IF(AND(ISNUMBER(DP24),逐级计算!$X$120&gt;-1),IF(逐级计算!$X$120=0,DP24+逐级计算!$C$120,DP24+逐级计算!$C$120-(10/(逐级计算!$Q$120*LN(10))*(MAX((LN(10^(逐级计算!$Q$120/10)-1)+逐级计算!$Q$120*(DP24-逐级计算!$P$120)*LN(10)/10),0)+LN(1+EXP(-ABS((LN(10^(逐级计算!$Q$120/10)-1)+逐级计算!$Q$120*(DP24-逐级计算!$P$120)*LN(10)/10))))))),"")</f>
        <v>13.7935280817847</v>
      </c>
      <c r="DR24">
        <f>IF(AND(ISNUMBER(DQ24),逐级计算!$X$121&gt;-1),IF(逐级计算!$X$121=0,DQ24+逐级计算!$C$121,DQ24+逐级计算!$C$121-(10/(逐级计算!$Q$121*LN(10))*(MAX((LN(10^(逐级计算!$Q$121/10)-1)+逐级计算!$Q$121*(DQ24-逐级计算!$P$121)*LN(10)/10),0)+LN(1+EXP(-ABS((LN(10^(逐级计算!$Q$121/10)-1)+逐级计算!$Q$121*(DQ24-逐级计算!$P$121)*LN(10)/10))))))),"")</f>
        <v>13.7935280817847</v>
      </c>
      <c r="DS24">
        <f>IF(AND(ISNUMBER(DR24),逐级计算!$X$122&gt;-1),IF(逐级计算!$X$122=0,DR24+逐级计算!$C$122,DR24+逐级计算!$C$122-(10/(逐级计算!$Q$122*LN(10))*(MAX((LN(10^(逐级计算!$Q$122/10)-1)+逐级计算!$Q$122*(DR24-逐级计算!$P$122)*LN(10)/10),0)+LN(1+EXP(-ABS((LN(10^(逐级计算!$Q$122/10)-1)+逐级计算!$Q$122*(DR24-逐级计算!$P$122)*LN(10)/10))))))),"")</f>
        <v>13.7935280817847</v>
      </c>
      <c r="DT24">
        <f>IF(AND(ISNUMBER(DS24),逐级计算!$X$123&gt;-1),IF(逐级计算!$X$123=0,DS24+逐级计算!$C$123,DS24+逐级计算!$C$123-(10/(逐级计算!$Q$123*LN(10))*(MAX((LN(10^(逐级计算!$Q$123/10)-1)+逐级计算!$Q$123*(DS24-逐级计算!$P$123)*LN(10)/10),0)+LN(1+EXP(-ABS((LN(10^(逐级计算!$Q$123/10)-1)+逐级计算!$Q$123*(DS24-逐级计算!$P$123)*LN(10)/10))))))),"")</f>
        <v>13.7935280817847</v>
      </c>
      <c r="DU24">
        <f>IF(AND(ISNUMBER(DT24),逐级计算!$X$124&gt;-1),IF(逐级计算!$X$124=0,DT24+逐级计算!$C$124,DT24+逐级计算!$C$124-(10/(逐级计算!$Q$124*LN(10))*(MAX((LN(10^(逐级计算!$Q$124/10)-1)+逐级计算!$Q$124*(DT24-逐级计算!$P$124)*LN(10)/10),0)+LN(1+EXP(-ABS((LN(10^(逐级计算!$Q$124/10)-1)+逐级计算!$Q$124*(DT24-逐级计算!$P$124)*LN(10)/10))))))),"")</f>
        <v>13.7935280817847</v>
      </c>
      <c r="DV24">
        <f>IF(AND(ISNUMBER(DU24),逐级计算!$X$125&gt;-1),IF(逐级计算!$X$125=0,DU24+逐级计算!$C$125,DU24+逐级计算!$C$125-(10/(逐级计算!$Q$125*LN(10))*(MAX((LN(10^(逐级计算!$Q$125/10)-1)+逐级计算!$Q$125*(DU24-逐级计算!$P$125)*LN(10)/10),0)+LN(1+EXP(-ABS((LN(10^(逐级计算!$Q$125/10)-1)+逐级计算!$Q$125*(DU24-逐级计算!$P$125)*LN(10)/10))))))),"")</f>
        <v>13.7935280817847</v>
      </c>
      <c r="DW24">
        <f>IF(AND(ISNUMBER(DV24),逐级计算!$X$126&gt;-1),IF(逐级计算!$X$126=0,DV24+逐级计算!$C$126,DV24+逐级计算!$C$126-(10/(逐级计算!$Q$126*LN(10))*(MAX((LN(10^(逐级计算!$Q$126/10)-1)+逐级计算!$Q$126*(DV24-逐级计算!$P$126)*LN(10)/10),0)+LN(1+EXP(-ABS((LN(10^(逐级计算!$Q$126/10)-1)+逐级计算!$Q$126*(DV24-逐级计算!$P$126)*LN(10)/10))))))),"")</f>
        <v>13.7935280817847</v>
      </c>
      <c r="DX24">
        <f>IF(AND(ISNUMBER(DW24),逐级计算!$X$127&gt;-1),IF(逐级计算!$X$127=0,DW24+逐级计算!$C$127,DW24+逐级计算!$C$127-(10/(逐级计算!$Q$127*LN(10))*(MAX((LN(10^(逐级计算!$Q$127/10)-1)+逐级计算!$Q$127*(DW24-逐级计算!$P$127)*LN(10)/10),0)+LN(1+EXP(-ABS((LN(10^(逐级计算!$Q$127/10)-1)+逐级计算!$Q$127*(DW24-逐级计算!$P$127)*LN(10)/10))))))),"")</f>
        <v>13.7935280817847</v>
      </c>
      <c r="DY24">
        <f>IF(AND(ISNUMBER(DX24),逐级计算!$X$128&gt;-1),IF(逐级计算!$X$128=0,DX24+逐级计算!$C$128,DX24+逐级计算!$C$128-(10/(逐级计算!$Q$128*LN(10))*(MAX((LN(10^(逐级计算!$Q$128/10)-1)+逐级计算!$Q$128*(DX24-逐级计算!$P$128)*LN(10)/10),0)+LN(1+EXP(-ABS((LN(10^(逐级计算!$Q$128/10)-1)+逐级计算!$Q$128*(DX24-逐级计算!$P$128)*LN(10)/10))))))),"")</f>
        <v>13.7935280817847</v>
      </c>
      <c r="DZ24">
        <f>IF(AND(ISNUMBER(DY24),逐级计算!$X$129&gt;-1),IF(逐级计算!$X$129=0,DY24+逐级计算!$C$129,DY24+逐级计算!$C$129-(10/(逐级计算!$Q$129*LN(10))*(MAX((LN(10^(逐级计算!$Q$129/10)-1)+逐级计算!$Q$129*(DY24-逐级计算!$P$129)*LN(10)/10),0)+LN(1+EXP(-ABS((LN(10^(逐级计算!$Q$129/10)-1)+逐级计算!$Q$129*(DY24-逐级计算!$P$129)*LN(10)/10))))))),"")</f>
        <v>13.7935280817847</v>
      </c>
      <c r="EA24">
        <f>IF(AND(ISNUMBER(DZ24),逐级计算!$X$130&gt;-1),IF(逐级计算!$X$130=0,DZ24+逐级计算!$C$130,DZ24+逐级计算!$C$130-(10/(逐级计算!$Q$130*LN(10))*(MAX((LN(10^(逐级计算!$Q$130/10)-1)+逐级计算!$Q$130*(DZ24-逐级计算!$P$130)*LN(10)/10),0)+LN(1+EXP(-ABS((LN(10^(逐级计算!$Q$130/10)-1)+逐级计算!$Q$130*(DZ24-逐级计算!$P$130)*LN(10)/10))))))),"")</f>
        <v>13.7935280817847</v>
      </c>
      <c r="EB24">
        <f>IF(AND(ISNUMBER(EA24),逐级计算!$X$131&gt;-1),IF(逐级计算!$X$131=0,EA24+逐级计算!$C$131,EA24+逐级计算!$C$131-(10/(逐级计算!$Q$131*LN(10))*(MAX((LN(10^(逐级计算!$Q$131/10)-1)+逐级计算!$Q$131*(EA24-逐级计算!$P$131)*LN(10)/10),0)+LN(1+EXP(-ABS((LN(10^(逐级计算!$Q$131/10)-1)+逐级计算!$Q$131*(EA24-逐级计算!$P$131)*LN(10)/10))))))),"")</f>
        <v>13.7935280817847</v>
      </c>
      <c r="EC24">
        <f>IF(AND(ISNUMBER(EB24),逐级计算!$X$132&gt;-1),IF(逐级计算!$X$132=0,EB24+逐级计算!$C$132,EB24+逐级计算!$C$132-(10/(逐级计算!$Q$132*LN(10))*(MAX((LN(10^(逐级计算!$Q$132/10)-1)+逐级计算!$Q$132*(EB24-逐级计算!$P$132)*LN(10)/10),0)+LN(1+EXP(-ABS((LN(10^(逐级计算!$Q$132/10)-1)+逐级计算!$Q$132*(EB24-逐级计算!$P$132)*LN(10)/10))))))),"")</f>
        <v>13.7935280817847</v>
      </c>
      <c r="ED24">
        <f>IF(AND(ISNUMBER(EC24),逐级计算!$X$133&gt;-1),IF(逐级计算!$X$133=0,EC24+逐级计算!$C$133,EC24+逐级计算!$C$133-(10/(逐级计算!$Q$133*LN(10))*(MAX((LN(10^(逐级计算!$Q$133/10)-1)+逐级计算!$Q$133*(EC24-逐级计算!$P$133)*LN(10)/10),0)+LN(1+EXP(-ABS((LN(10^(逐级计算!$Q$133/10)-1)+逐级计算!$Q$133*(EC24-逐级计算!$P$133)*LN(10)/10))))))),"")</f>
        <v>13.7935280817847</v>
      </c>
      <c r="EE24">
        <f>IF(AND(ISNUMBER(ED24),逐级计算!$X$134&gt;-1),IF(逐级计算!$X$134=0,ED24+逐级计算!$C$134,ED24+逐级计算!$C$134-(10/(逐级计算!$Q$134*LN(10))*(MAX((LN(10^(逐级计算!$Q$134/10)-1)+逐级计算!$Q$134*(ED24-逐级计算!$P$134)*LN(10)/10),0)+LN(1+EXP(-ABS((LN(10^(逐级计算!$Q$134/10)-1)+逐级计算!$Q$134*(ED24-逐级计算!$P$134)*LN(10)/10))))))),"")</f>
        <v>13.7935280817847</v>
      </c>
      <c r="EF24">
        <f>IF(AND(ISNUMBER(EE24),逐级计算!$X$135&gt;-1),IF(逐级计算!$X$135=0,EE24+逐级计算!$C$135,EE24+逐级计算!$C$135-(10/(逐级计算!$Q$135*LN(10))*(MAX((LN(10^(逐级计算!$Q$135/10)-1)+逐级计算!$Q$135*(EE24-逐级计算!$P$135)*LN(10)/10),0)+LN(1+EXP(-ABS((LN(10^(逐级计算!$Q$135/10)-1)+逐级计算!$Q$135*(EE24-逐级计算!$P$135)*LN(10)/10))))))),"")</f>
        <v>13.7935280817847</v>
      </c>
      <c r="EG24">
        <f>IF(AND(ISNUMBER(EF24),逐级计算!$X$136&gt;-1),IF(逐级计算!$X$136=0,EF24+逐级计算!$C$136,EF24+逐级计算!$C$136-(10/(逐级计算!$Q$136*LN(10))*(MAX((LN(10^(逐级计算!$Q$136/10)-1)+逐级计算!$Q$136*(EF24-逐级计算!$P$136)*LN(10)/10),0)+LN(1+EXP(-ABS((LN(10^(逐级计算!$Q$136/10)-1)+逐级计算!$Q$136*(EF24-逐级计算!$P$136)*LN(10)/10))))))),"")</f>
        <v>13.7935280817847</v>
      </c>
      <c r="EH24">
        <f>IF(AND(ISNUMBER(EG24),逐级计算!$X$137&gt;-1),IF(逐级计算!$X$137=0,EG24+逐级计算!$C$137,EG24+逐级计算!$C$137-(10/(逐级计算!$Q$137*LN(10))*(MAX((LN(10^(逐级计算!$Q$137/10)-1)+逐级计算!$Q$137*(EG24-逐级计算!$P$137)*LN(10)/10),0)+LN(1+EXP(-ABS((LN(10^(逐级计算!$Q$137/10)-1)+逐级计算!$Q$137*(EG24-逐级计算!$P$137)*LN(10)/10))))))),"")</f>
        <v>13.7935280817847</v>
      </c>
      <c r="EI24">
        <f>IF(AND(ISNUMBER(EH24),逐级计算!$X$138&gt;-1),IF(逐级计算!$X$138=0,EH24+逐级计算!$C$138,EH24+逐级计算!$C$138-(10/(逐级计算!$Q$138*LN(10))*(MAX((LN(10^(逐级计算!$Q$138/10)-1)+逐级计算!$Q$138*(EH24-逐级计算!$P$138)*LN(10)/10),0)+LN(1+EXP(-ABS((LN(10^(逐级计算!$Q$138/10)-1)+逐级计算!$Q$138*(EH24-逐级计算!$P$138)*LN(10)/10))))))),"")</f>
        <v>13.7935280817847</v>
      </c>
      <c r="EJ24">
        <f>IF(AND(ISNUMBER(EI24),逐级计算!$X$139&gt;-1),IF(逐级计算!$X$139=0,EI24+逐级计算!$C$139,EI24+逐级计算!$C$139-(10/(逐级计算!$Q$139*LN(10))*(MAX((LN(10^(逐级计算!$Q$139/10)-1)+逐级计算!$Q$139*(EI24-逐级计算!$P$139)*LN(10)/10),0)+LN(1+EXP(-ABS((LN(10^(逐级计算!$Q$139/10)-1)+逐级计算!$Q$139*(EI24-逐级计算!$P$139)*LN(10)/10))))))),"")</f>
        <v>13.7935280817847</v>
      </c>
      <c r="EK24">
        <f>IF(AND(ISNUMBER(EJ24),逐级计算!$X$140&gt;-1),IF(逐级计算!$X$140=0,EJ24+逐级计算!$C$140,EJ24+逐级计算!$C$140-(10/(逐级计算!$Q$140*LN(10))*(MAX((LN(10^(逐级计算!$Q$140/10)-1)+逐级计算!$Q$140*(EJ24-逐级计算!$P$140)*LN(10)/10),0)+LN(1+EXP(-ABS((LN(10^(逐级计算!$Q$140/10)-1)+逐级计算!$Q$140*(EJ24-逐级计算!$P$140)*LN(10)/10))))))),"")</f>
        <v>13.7935280817847</v>
      </c>
      <c r="EL24">
        <f>IF(AND(ISNUMBER(EK24),逐级计算!$X$141&gt;-1),IF(逐级计算!$X$141=0,EK24+逐级计算!$C$141,EK24+逐级计算!$C$141-(10/(逐级计算!$Q$141*LN(10))*(MAX((LN(10^(逐级计算!$Q$141/10)-1)+逐级计算!$Q$141*(EK24-逐级计算!$P$141)*LN(10)/10),0)+LN(1+EXP(-ABS((LN(10^(逐级计算!$Q$141/10)-1)+逐级计算!$Q$141*(EK24-逐级计算!$P$141)*LN(10)/10))))))),"")</f>
        <v>13.7935280817847</v>
      </c>
      <c r="EM24">
        <f>IF(AND(ISNUMBER(EL24),逐级计算!$X$142&gt;-1),IF(逐级计算!$X$142=0,EL24+逐级计算!$C$142,EL24+逐级计算!$C$142-(10/(逐级计算!$Q$142*LN(10))*(MAX((LN(10^(逐级计算!$Q$142/10)-1)+逐级计算!$Q$142*(EL24-逐级计算!$P$142)*LN(10)/10),0)+LN(1+EXP(-ABS((LN(10^(逐级计算!$Q$142/10)-1)+逐级计算!$Q$142*(EL24-逐级计算!$P$142)*LN(10)/10))))))),"")</f>
        <v>13.7935280817847</v>
      </c>
      <c r="EN24">
        <f>IF(AND(ISNUMBER(EM24),逐级计算!$X$143&gt;-1),IF(逐级计算!$X$143=0,EM24+逐级计算!$C$143,EM24+逐级计算!$C$143-(10/(逐级计算!$Q$143*LN(10))*(MAX((LN(10^(逐级计算!$Q$143/10)-1)+逐级计算!$Q$143*(EM24-逐级计算!$P$143)*LN(10)/10),0)+LN(1+EXP(-ABS((LN(10^(逐级计算!$Q$143/10)-1)+逐级计算!$Q$143*(EM24-逐级计算!$P$143)*LN(10)/10))))))),"")</f>
        <v>13.7935280817847</v>
      </c>
      <c r="EO24">
        <f>IF(AND(ISNUMBER(EN24),逐级计算!$X$144&gt;-1),IF(逐级计算!$X$144=0,EN24+逐级计算!$C$144,EN24+逐级计算!$C$144-(10/(逐级计算!$Q$144*LN(10))*(MAX((LN(10^(逐级计算!$Q$144/10)-1)+逐级计算!$Q$144*(EN24-逐级计算!$P$144)*LN(10)/10),0)+LN(1+EXP(-ABS((LN(10^(逐级计算!$Q$144/10)-1)+逐级计算!$Q$144*(EN24-逐级计算!$P$144)*LN(10)/10))))))),"")</f>
        <v>13.7935280817847</v>
      </c>
      <c r="EP24">
        <f>IF(AND(ISNUMBER(EO24),逐级计算!$X$145&gt;-1),IF(逐级计算!$X$145=0,EO24+逐级计算!$C$145,EO24+逐级计算!$C$145-(10/(逐级计算!$Q$145*LN(10))*(MAX((LN(10^(逐级计算!$Q$145/10)-1)+逐级计算!$Q$145*(EO24-逐级计算!$P$145)*LN(10)/10),0)+LN(1+EXP(-ABS((LN(10^(逐级计算!$Q$145/10)-1)+逐级计算!$Q$145*(EO24-逐级计算!$P$145)*LN(10)/10))))))),"")</f>
        <v>13.7935280817847</v>
      </c>
      <c r="EQ24">
        <f>IF(AND(ISNUMBER(EP24),逐级计算!$X$146&gt;-1),IF(逐级计算!$X$146=0,EP24+逐级计算!$C$146,EP24+逐级计算!$C$146-(10/(逐级计算!$Q$146*LN(10))*(MAX((LN(10^(逐级计算!$Q$146/10)-1)+逐级计算!$Q$146*(EP24-逐级计算!$P$146)*LN(10)/10),0)+LN(1+EXP(-ABS((LN(10^(逐级计算!$Q$146/10)-1)+逐级计算!$Q$146*(EP24-逐级计算!$P$146)*LN(10)/10))))))),"")</f>
        <v>13.7935280817847</v>
      </c>
      <c r="ER24">
        <f>IF(AND(ISNUMBER(EQ24),逐级计算!$X$147&gt;-1),IF(逐级计算!$X$147=0,EQ24+逐级计算!$C$147,EQ24+逐级计算!$C$147-(10/(逐级计算!$Q$147*LN(10))*(MAX((LN(10^(逐级计算!$Q$147/10)-1)+逐级计算!$Q$147*(EQ24-逐级计算!$P$147)*LN(10)/10),0)+LN(1+EXP(-ABS((LN(10^(逐级计算!$Q$147/10)-1)+逐级计算!$Q$147*(EQ24-逐级计算!$P$147)*LN(10)/10))))))),"")</f>
        <v>13.7935280817847</v>
      </c>
      <c r="ES24">
        <f>IF(AND(ISNUMBER(ER24),逐级计算!$X$148&gt;-1),IF(逐级计算!$X$148=0,ER24+逐级计算!$C$148,ER24+逐级计算!$C$148-(10/(逐级计算!$Q$148*LN(10))*(MAX((LN(10^(逐级计算!$Q$148/10)-1)+逐级计算!$Q$148*(ER24-逐级计算!$P$148)*LN(10)/10),0)+LN(1+EXP(-ABS((LN(10^(逐级计算!$Q$148/10)-1)+逐级计算!$Q$148*(ER24-逐级计算!$P$148)*LN(10)/10))))))),"")</f>
        <v>13.7935280817847</v>
      </c>
      <c r="ET24">
        <f>IF(AND(ISNUMBER(ES24),逐级计算!$X$149&gt;-1),IF(逐级计算!$X$149=0,ES24+逐级计算!$C$149,ES24+逐级计算!$C$149-(10/(逐级计算!$Q$149*LN(10))*(MAX((LN(10^(逐级计算!$Q$149/10)-1)+逐级计算!$Q$149*(ES24-逐级计算!$P$149)*LN(10)/10),0)+LN(1+EXP(-ABS((LN(10^(逐级计算!$Q$149/10)-1)+逐级计算!$Q$149*(ES24-逐级计算!$P$149)*LN(10)/10))))))),"")</f>
        <v>13.7935280817847</v>
      </c>
      <c r="EU24">
        <f>IF(AND(ISNUMBER(ET24),逐级计算!$X$150&gt;-1),IF(逐级计算!$X$150=0,ET24+逐级计算!$C$150,ET24+逐级计算!$C$150-(10/(逐级计算!$Q$150*LN(10))*(MAX((LN(10^(逐级计算!$Q$150/10)-1)+逐级计算!$Q$150*(ET24-逐级计算!$P$150)*LN(10)/10),0)+LN(1+EXP(-ABS((LN(10^(逐级计算!$Q$150/10)-1)+逐级计算!$Q$150*(ET24-逐级计算!$P$150)*LN(10)/10))))))),"")</f>
        <v>13.7935280817847</v>
      </c>
      <c r="EV24">
        <f>IF(AND(ISNUMBER(EU24),逐级计算!$X$151&gt;-1),IF(逐级计算!$X$151=0,EU24+逐级计算!$C$151,EU24+逐级计算!$C$151-(10/(逐级计算!$Q$151*LN(10))*(MAX((LN(10^(逐级计算!$Q$151/10)-1)+逐级计算!$Q$151*(EU24-逐级计算!$P$151)*LN(10)/10),0)+LN(1+EXP(-ABS((LN(10^(逐级计算!$Q$151/10)-1)+逐级计算!$Q$151*(EU24-逐级计算!$P$151)*LN(10)/10))))))),"")</f>
        <v>13.7935280817847</v>
      </c>
      <c r="EW24">
        <f>IF(AND(ISNUMBER(EV24),逐级计算!$X$152&gt;-1),IF(逐级计算!$X$152=0,EV24+逐级计算!$C$152,EV24+逐级计算!$C$152-(10/(逐级计算!$Q$152*LN(10))*(MAX((LN(10^(逐级计算!$Q$152/10)-1)+逐级计算!$Q$152*(EV24-逐级计算!$P$152)*LN(10)/10),0)+LN(1+EXP(-ABS((LN(10^(逐级计算!$Q$152/10)-1)+逐级计算!$Q$152*(EV24-逐级计算!$P$152)*LN(10)/10))))))),"")</f>
        <v>13.7935280817847</v>
      </c>
      <c r="EX24">
        <f>IF(AND(ISNUMBER(EW24),逐级计算!$X$153&gt;-1),IF(逐级计算!$X$153=0,EW24+逐级计算!$C$153,EW24+逐级计算!$C$153-(10/(逐级计算!$Q$153*LN(10))*(MAX((LN(10^(逐级计算!$Q$153/10)-1)+逐级计算!$Q$153*(EW24-逐级计算!$P$153)*LN(10)/10),0)+LN(1+EXP(-ABS((LN(10^(逐级计算!$Q$153/10)-1)+逐级计算!$Q$153*(EW24-逐级计算!$P$153)*LN(10)/10))))))),"")</f>
        <v>13.7935280817847</v>
      </c>
      <c r="EY24">
        <f>IF(AND(ISNUMBER(EX24),逐级计算!$X$154&gt;-1),IF(逐级计算!$X$154=0,EX24+逐级计算!$C$154,EX24+逐级计算!$C$154-(10/(逐级计算!$Q$154*LN(10))*(MAX((LN(10^(逐级计算!$Q$154/10)-1)+逐级计算!$Q$154*(EX24-逐级计算!$P$154)*LN(10)/10),0)+LN(1+EXP(-ABS((LN(10^(逐级计算!$Q$154/10)-1)+逐级计算!$Q$154*(EX24-逐级计算!$P$154)*LN(10)/10))))))),"")</f>
        <v>13.7935280817847</v>
      </c>
      <c r="EZ24">
        <f>IF(AND(ISNUMBER(EY24),逐级计算!$X$155&gt;-1),IF(逐级计算!$X$155=0,EY24+逐级计算!$C$155,EY24+逐级计算!$C$155-(10/(逐级计算!$Q$155*LN(10))*(MAX((LN(10^(逐级计算!$Q$155/10)-1)+逐级计算!$Q$155*(EY24-逐级计算!$P$155)*LN(10)/10),0)+LN(1+EXP(-ABS((LN(10^(逐级计算!$Q$155/10)-1)+逐级计算!$Q$155*(EY24-逐级计算!$P$155)*LN(10)/10))))))),"")</f>
        <v>13.7935280817847</v>
      </c>
      <c r="FA24">
        <f>IF(AND(ISNUMBER(EZ24),逐级计算!$X$156&gt;-1),IF(逐级计算!$X$156=0,EZ24+逐级计算!$C$156,EZ24+逐级计算!$C$156-(10/(逐级计算!$Q$156*LN(10))*(MAX((LN(10^(逐级计算!$Q$156/10)-1)+逐级计算!$Q$156*(EZ24-逐级计算!$P$156)*LN(10)/10),0)+LN(1+EXP(-ABS((LN(10^(逐级计算!$Q$156/10)-1)+逐级计算!$Q$156*(EZ24-逐级计算!$P$156)*LN(10)/10))))))),"")</f>
        <v>13.7935280817847</v>
      </c>
      <c r="FB24">
        <f>IF(AND(ISNUMBER(FA24),逐级计算!$X$157&gt;-1),IF(逐级计算!$X$157=0,FA24+逐级计算!$C$157,FA24+逐级计算!$C$157-(10/(逐级计算!$Q$157*LN(10))*(MAX((LN(10^(逐级计算!$Q$157/10)-1)+逐级计算!$Q$157*(FA24-逐级计算!$P$157)*LN(10)/10),0)+LN(1+EXP(-ABS((LN(10^(逐级计算!$Q$157/10)-1)+逐级计算!$Q$157*(FA24-逐级计算!$P$157)*LN(10)/10))))))),"")</f>
        <v>13.7935280817847</v>
      </c>
      <c r="FC24">
        <f>IF(AND(ISNUMBER(FB24),逐级计算!$X$158&gt;-1),IF(逐级计算!$X$158=0,FB24+逐级计算!$C$158,FB24+逐级计算!$C$158-(10/(逐级计算!$Q$158*LN(10))*(MAX((LN(10^(逐级计算!$Q$158/10)-1)+逐级计算!$Q$158*(FB24-逐级计算!$P$158)*LN(10)/10),0)+LN(1+EXP(-ABS((LN(10^(逐级计算!$Q$158/10)-1)+逐级计算!$Q$158*(FB24-逐级计算!$P$158)*LN(10)/10))))))),"")</f>
        <v>13.7935280817847</v>
      </c>
      <c r="FD24">
        <f>IF(AND(ISNUMBER(FC24),逐级计算!$X$159&gt;-1),IF(逐级计算!$X$159=0,FC24+逐级计算!$C$159,FC24+逐级计算!$C$159-(10/(逐级计算!$Q$159*LN(10))*(MAX((LN(10^(逐级计算!$Q$159/10)-1)+逐级计算!$Q$159*(FC24-逐级计算!$P$159)*LN(10)/10),0)+LN(1+EXP(-ABS((LN(10^(逐级计算!$Q$159/10)-1)+逐级计算!$Q$159*(FC24-逐级计算!$P$159)*LN(10)/10))))))),"")</f>
        <v>13.7935280817847</v>
      </c>
      <c r="FE24">
        <f>IF(AND(ISNUMBER(FD24),逐级计算!$X$160&gt;-1),IF(逐级计算!$X$160=0,FD24+逐级计算!$C$160,FD24+逐级计算!$C$160-(10/(逐级计算!$Q$160*LN(10))*(MAX((LN(10^(逐级计算!$Q$160/10)-1)+逐级计算!$Q$160*(FD24-逐级计算!$P$160)*LN(10)/10),0)+LN(1+EXP(-ABS((LN(10^(逐级计算!$Q$160/10)-1)+逐级计算!$Q$160*(FD24-逐级计算!$P$160)*LN(10)/10))))))),"")</f>
        <v>13.7935280817847</v>
      </c>
      <c r="FF24">
        <f>IF(AND(ISNUMBER(FE24),逐级计算!$X$161&gt;-1),IF(逐级计算!$X$161=0,FE24+逐级计算!$C$161,FE24+逐级计算!$C$161-(10/(逐级计算!$Q$161*LN(10))*(MAX((LN(10^(逐级计算!$Q$161/10)-1)+逐级计算!$Q$161*(FE24-逐级计算!$P$161)*LN(10)/10),0)+LN(1+EXP(-ABS((LN(10^(逐级计算!$Q$161/10)-1)+逐级计算!$Q$161*(FE24-逐级计算!$P$161)*LN(10)/10))))))),"")</f>
        <v>13.7935280817847</v>
      </c>
      <c r="FG24">
        <f>IF(AND(ISNUMBER(FF24),逐级计算!$X$162&gt;-1),IF(逐级计算!$X$162=0,FF24+逐级计算!$C$162,FF24+逐级计算!$C$162-(10/(逐级计算!$Q$162*LN(10))*(MAX((LN(10^(逐级计算!$Q$162/10)-1)+逐级计算!$Q$162*(FF24-逐级计算!$P$162)*LN(10)/10),0)+LN(1+EXP(-ABS((LN(10^(逐级计算!$Q$162/10)-1)+逐级计算!$Q$162*(FF24-逐级计算!$P$162)*LN(10)/10))))))),"")</f>
        <v>13.7935280817847</v>
      </c>
      <c r="FH24">
        <f>IF(AND(ISNUMBER(FG24),逐级计算!$X$163&gt;-1),IF(逐级计算!$X$163=0,FG24+逐级计算!$C$163,FG24+逐级计算!$C$163-(10/(逐级计算!$Q$163*LN(10))*(MAX((LN(10^(逐级计算!$Q$163/10)-1)+逐级计算!$Q$163*(FG24-逐级计算!$P$163)*LN(10)/10),0)+LN(1+EXP(-ABS((LN(10^(逐级计算!$Q$163/10)-1)+逐级计算!$Q$163*(FG24-逐级计算!$P$163)*LN(10)/10))))))),"")</f>
        <v>13.7935280817847</v>
      </c>
      <c r="FI24">
        <f>IF(AND(ISNUMBER(FH24),逐级计算!$X$164&gt;-1),IF(逐级计算!$X$164=0,FH24+逐级计算!$C$164,FH24+逐级计算!$C$164-(10/(逐级计算!$Q$164*LN(10))*(MAX((LN(10^(逐级计算!$Q$164/10)-1)+逐级计算!$Q$164*(FH24-逐级计算!$P$164)*LN(10)/10),0)+LN(1+EXP(-ABS((LN(10^(逐级计算!$Q$164/10)-1)+逐级计算!$Q$164*(FH24-逐级计算!$P$164)*LN(10)/10))))))),"")</f>
        <v>13.7935280817847</v>
      </c>
      <c r="FJ24">
        <f>IF(AND(ISNUMBER(FI24),逐级计算!$X$165&gt;-1),IF(逐级计算!$X$165=0,FI24+逐级计算!$C$165,FI24+逐级计算!$C$165-(10/(逐级计算!$Q$165*LN(10))*(MAX((LN(10^(逐级计算!$Q$165/10)-1)+逐级计算!$Q$165*(FI24-逐级计算!$P$165)*LN(10)/10),0)+LN(1+EXP(-ABS((LN(10^(逐级计算!$Q$165/10)-1)+逐级计算!$Q$165*(FI24-逐级计算!$P$165)*LN(10)/10))))))),"")</f>
        <v>13.7935280817847</v>
      </c>
      <c r="FK24">
        <f>IF(AND(ISNUMBER(FJ24),逐级计算!$X$166&gt;-1),IF(逐级计算!$X$166=0,FJ24+逐级计算!$C$166,FJ24+逐级计算!$C$166-(10/(逐级计算!$Q$166*LN(10))*(MAX((LN(10^(逐级计算!$Q$166/10)-1)+逐级计算!$Q$166*(FJ24-逐级计算!$P$166)*LN(10)/10),0)+LN(1+EXP(-ABS((LN(10^(逐级计算!$Q$166/10)-1)+逐级计算!$Q$166*(FJ24-逐级计算!$P$166)*LN(10)/10))))))),"")</f>
        <v>13.7935280817847</v>
      </c>
      <c r="FL24">
        <f>IF(AND(ISNUMBER(FK24),逐级计算!$X$167&gt;-1),IF(逐级计算!$X$167=0,FK24+逐级计算!$C$167,FK24+逐级计算!$C$167-(10/(逐级计算!$Q$167*LN(10))*(MAX((LN(10^(逐级计算!$Q$167/10)-1)+逐级计算!$Q$167*(FK24-逐级计算!$P$167)*LN(10)/10),0)+LN(1+EXP(-ABS((LN(10^(逐级计算!$Q$167/10)-1)+逐级计算!$Q$167*(FK24-逐级计算!$P$167)*LN(10)/10))))))),"")</f>
        <v>13.7935280817847</v>
      </c>
      <c r="FM24">
        <f>IF(AND(ISNUMBER(FL24),逐级计算!$X$168&gt;-1),IF(逐级计算!$X$168=0,FL24+逐级计算!$C$168,FL24+逐级计算!$C$168-(10/(逐级计算!$Q$168*LN(10))*(MAX((LN(10^(逐级计算!$Q$168/10)-1)+逐级计算!$Q$168*(FL24-逐级计算!$P$168)*LN(10)/10),0)+LN(1+EXP(-ABS((LN(10^(逐级计算!$Q$168/10)-1)+逐级计算!$Q$168*(FL24-逐级计算!$P$168)*LN(10)/10))))))),"")</f>
        <v>13.7935280817847</v>
      </c>
      <c r="FN24">
        <f>IF(AND(ISNUMBER(FM24),逐级计算!$X$169&gt;-1),IF(逐级计算!$X$169=0,FM24+逐级计算!$C$169,FM24+逐级计算!$C$169-(10/(逐级计算!$Q$169*LN(10))*(MAX((LN(10^(逐级计算!$Q$169/10)-1)+逐级计算!$Q$169*(FM24-逐级计算!$P$169)*LN(10)/10),0)+LN(1+EXP(-ABS((LN(10^(逐级计算!$Q$169/10)-1)+逐级计算!$Q$169*(FM24-逐级计算!$P$169)*LN(10)/10))))))),"")</f>
        <v>13.7935280817847</v>
      </c>
      <c r="FO24">
        <f>IF(AND(ISNUMBER(FN24),逐级计算!$X$170&gt;-1),IF(逐级计算!$X$170=0,FN24+逐级计算!$C$170,FN24+逐级计算!$C$170-(10/(逐级计算!$Q$170*LN(10))*(MAX((LN(10^(逐级计算!$Q$170/10)-1)+逐级计算!$Q$170*(FN24-逐级计算!$P$170)*LN(10)/10),0)+LN(1+EXP(-ABS((LN(10^(逐级计算!$Q$170/10)-1)+逐级计算!$Q$170*(FN24-逐级计算!$P$170)*LN(10)/10))))))),"")</f>
        <v>13.7935280817847</v>
      </c>
      <c r="FP24">
        <f>IF(AND(ISNUMBER(FO24),逐级计算!$X$171&gt;-1),IF(逐级计算!$X$171=0,FO24+逐级计算!$C$171,FO24+逐级计算!$C$171-(10/(逐级计算!$Q$171*LN(10))*(MAX((LN(10^(逐级计算!$Q$171/10)-1)+逐级计算!$Q$171*(FO24-逐级计算!$P$171)*LN(10)/10),0)+LN(1+EXP(-ABS((LN(10^(逐级计算!$Q$171/10)-1)+逐级计算!$Q$171*(FO24-逐级计算!$P$171)*LN(10)/10))))))),"")</f>
        <v>13.7935280817847</v>
      </c>
      <c r="FQ24">
        <f>IF(AND(ISNUMBER(FP24),逐级计算!$X$172&gt;-1),IF(逐级计算!$X$172=0,FP24+逐级计算!$C$172,FP24+逐级计算!$C$172-(10/(逐级计算!$Q$172*LN(10))*(MAX((LN(10^(逐级计算!$Q$172/10)-1)+逐级计算!$Q$172*(FP24-逐级计算!$P$172)*LN(10)/10),0)+LN(1+EXP(-ABS((LN(10^(逐级计算!$Q$172/10)-1)+逐级计算!$Q$172*(FP24-逐级计算!$P$172)*LN(10)/10))))))),"")</f>
        <v>13.7935280817847</v>
      </c>
      <c r="FR24">
        <f>IF(AND(ISNUMBER(FQ24),逐级计算!$X$173&gt;-1),IF(逐级计算!$X$173=0,FQ24+逐级计算!$C$173,FQ24+逐级计算!$C$173-(10/(逐级计算!$Q$173*LN(10))*(MAX((LN(10^(逐级计算!$Q$173/10)-1)+逐级计算!$Q$173*(FQ24-逐级计算!$P$173)*LN(10)/10),0)+LN(1+EXP(-ABS((LN(10^(逐级计算!$Q$173/10)-1)+逐级计算!$Q$173*(FQ24-逐级计算!$P$173)*LN(10)/10))))))),"")</f>
        <v>13.7935280817847</v>
      </c>
      <c r="FS24">
        <f>IF(AND(ISNUMBER(FR24),逐级计算!$X$174&gt;-1),IF(逐级计算!$X$174=0,FR24+逐级计算!$C$174,FR24+逐级计算!$C$174-(10/(逐级计算!$Q$174*LN(10))*(MAX((LN(10^(逐级计算!$Q$174/10)-1)+逐级计算!$Q$174*(FR24-逐级计算!$P$174)*LN(10)/10),0)+LN(1+EXP(-ABS((LN(10^(逐级计算!$Q$174/10)-1)+逐级计算!$Q$174*(FR24-逐级计算!$P$174)*LN(10)/10))))))),"")</f>
        <v>13.7935280817847</v>
      </c>
      <c r="FT24">
        <f>IF(AND(ISNUMBER(FS24),逐级计算!$X$175&gt;-1),IF(逐级计算!$X$175=0,FS24+逐级计算!$C$175,FS24+逐级计算!$C$175-(10/(逐级计算!$Q$175*LN(10))*(MAX((LN(10^(逐级计算!$Q$175/10)-1)+逐级计算!$Q$175*(FS24-逐级计算!$P$175)*LN(10)/10),0)+LN(1+EXP(-ABS((LN(10^(逐级计算!$Q$175/10)-1)+逐级计算!$Q$175*(FS24-逐级计算!$P$175)*LN(10)/10))))))),"")</f>
        <v>13.7935280817847</v>
      </c>
      <c r="FU24">
        <f>IF(AND(ISNUMBER(FT24),逐级计算!$X$176&gt;-1),IF(逐级计算!$X$176=0,FT24+逐级计算!$C$176,FT24+逐级计算!$C$176-(10/(逐级计算!$Q$176*LN(10))*(MAX((LN(10^(逐级计算!$Q$176/10)-1)+逐级计算!$Q$176*(FT24-逐级计算!$P$176)*LN(10)/10),0)+LN(1+EXP(-ABS((LN(10^(逐级计算!$Q$176/10)-1)+逐级计算!$Q$176*(FT24-逐级计算!$P$176)*LN(10)/10))))))),"")</f>
        <v>13.7935280817847</v>
      </c>
      <c r="FV24">
        <f>IF(AND(ISNUMBER(FU24),逐级计算!$X$177&gt;-1),IF(逐级计算!$X$177=0,FU24+逐级计算!$C$177,FU24+逐级计算!$C$177-(10/(逐级计算!$Q$177*LN(10))*(MAX((LN(10^(逐级计算!$Q$177/10)-1)+逐级计算!$Q$177*(FU24-逐级计算!$P$177)*LN(10)/10),0)+LN(1+EXP(-ABS((LN(10^(逐级计算!$Q$177/10)-1)+逐级计算!$Q$177*(FU24-逐级计算!$P$177)*LN(10)/10))))))),"")</f>
        <v>13.7935280817847</v>
      </c>
      <c r="FW24">
        <f>IF(AND(ISNUMBER(FV24),逐级计算!$X$178&gt;-1),IF(逐级计算!$X$178=0,FV24+逐级计算!$C$178,FV24+逐级计算!$C$178-(10/(逐级计算!$Q$178*LN(10))*(MAX((LN(10^(逐级计算!$Q$178/10)-1)+逐级计算!$Q$178*(FV24-逐级计算!$P$178)*LN(10)/10),0)+LN(1+EXP(-ABS((LN(10^(逐级计算!$Q$178/10)-1)+逐级计算!$Q$178*(FV24-逐级计算!$P$178)*LN(10)/10))))))),"")</f>
        <v>13.7935280817847</v>
      </c>
      <c r="FX24">
        <f>IF(AND(ISNUMBER(FW24),逐级计算!$X$179&gt;-1),IF(逐级计算!$X$179=0,FW24+逐级计算!$C$179,FW24+逐级计算!$C$179-(10/(逐级计算!$Q$179*LN(10))*(MAX((LN(10^(逐级计算!$Q$179/10)-1)+逐级计算!$Q$179*(FW24-逐级计算!$P$179)*LN(10)/10),0)+LN(1+EXP(-ABS((LN(10^(逐级计算!$Q$179/10)-1)+逐级计算!$Q$179*(FW24-逐级计算!$P$179)*LN(10)/10))))))),"")</f>
        <v>13.7935280817847</v>
      </c>
      <c r="FY24">
        <f>IF(AND(ISNUMBER(FX24),逐级计算!$X$180&gt;-1),IF(逐级计算!$X$180=0,FX24+逐级计算!$C$180,FX24+逐级计算!$C$180-(10/(逐级计算!$Q$180*LN(10))*(MAX((LN(10^(逐级计算!$Q$180/10)-1)+逐级计算!$Q$180*(FX24-逐级计算!$P$180)*LN(10)/10),0)+LN(1+EXP(-ABS((LN(10^(逐级计算!$Q$180/10)-1)+逐级计算!$Q$180*(FX24-逐级计算!$P$180)*LN(10)/10))))))),"")</f>
        <v>13.7935280817847</v>
      </c>
      <c r="FZ24">
        <f>IF(AND(ISNUMBER(FY24),逐级计算!$X$181&gt;-1),IF(逐级计算!$X$181=0,FY24+逐级计算!$C$181,FY24+逐级计算!$C$181-(10/(逐级计算!$Q$181*LN(10))*(MAX((LN(10^(逐级计算!$Q$181/10)-1)+逐级计算!$Q$181*(FY24-逐级计算!$P$181)*LN(10)/10),0)+LN(1+EXP(-ABS((LN(10^(逐级计算!$Q$181/10)-1)+逐级计算!$Q$181*(FY24-逐级计算!$P$181)*LN(10)/10))))))),"")</f>
        <v>13.7935280817847</v>
      </c>
      <c r="GA24">
        <f>IF(AND(ISNUMBER(FZ24),逐级计算!$X$182&gt;-1),IF(逐级计算!$X$182=0,FZ24+逐级计算!$C$182,FZ24+逐级计算!$C$182-(10/(逐级计算!$Q$182*LN(10))*(MAX((LN(10^(逐级计算!$Q$182/10)-1)+逐级计算!$Q$182*(FZ24-逐级计算!$P$182)*LN(10)/10),0)+LN(1+EXP(-ABS((LN(10^(逐级计算!$Q$182/10)-1)+逐级计算!$Q$182*(FZ24-逐级计算!$P$182)*LN(10)/10))))))),"")</f>
        <v>13.7935280817847</v>
      </c>
      <c r="GB24">
        <f>IF(AND(ISNUMBER(GA24),逐级计算!$X$183&gt;-1),IF(逐级计算!$X$183=0,GA24+逐级计算!$C$183,GA24+逐级计算!$C$183-(10/(逐级计算!$Q$183*LN(10))*(MAX((LN(10^(逐级计算!$Q$183/10)-1)+逐级计算!$Q$183*(GA24-逐级计算!$P$183)*LN(10)/10),0)+LN(1+EXP(-ABS((LN(10^(逐级计算!$Q$183/10)-1)+逐级计算!$Q$183*(GA24-逐级计算!$P$183)*LN(10)/10))))))),"")</f>
        <v>13.7935280817847</v>
      </c>
      <c r="GC24">
        <f>IF(AND(ISNUMBER(GB24),逐级计算!$X$184&gt;-1),IF(逐级计算!$X$184=0,GB24+逐级计算!$C$184,GB24+逐级计算!$C$184-(10/(逐级计算!$Q$184*LN(10))*(MAX((LN(10^(逐级计算!$Q$184/10)-1)+逐级计算!$Q$184*(GB24-逐级计算!$P$184)*LN(10)/10),0)+LN(1+EXP(-ABS((LN(10^(逐级计算!$Q$184/10)-1)+逐级计算!$Q$184*(GB24-逐级计算!$P$184)*LN(10)/10))))))),"")</f>
        <v>13.7935280817847</v>
      </c>
      <c r="GD24">
        <f>IF(AND(ISNUMBER(GC24),逐级计算!$X$185&gt;-1),IF(逐级计算!$X$185=0,GC24+逐级计算!$C$185,GC24+逐级计算!$C$185-(10/(逐级计算!$Q$185*LN(10))*(MAX((LN(10^(逐级计算!$Q$185/10)-1)+逐级计算!$Q$185*(GC24-逐级计算!$P$185)*LN(10)/10),0)+LN(1+EXP(-ABS((LN(10^(逐级计算!$Q$185/10)-1)+逐级计算!$Q$185*(GC24-逐级计算!$P$185)*LN(10)/10))))))),"")</f>
        <v>13.7935280817847</v>
      </c>
      <c r="GE24">
        <f>IF(AND(ISNUMBER(GD24),逐级计算!$X$186&gt;-1),IF(逐级计算!$X$186=0,GD24+逐级计算!$C$186,GD24+逐级计算!$C$186-(10/(逐级计算!$Q$186*LN(10))*(MAX((LN(10^(逐级计算!$Q$186/10)-1)+逐级计算!$Q$186*(GD24-逐级计算!$P$186)*LN(10)/10),0)+LN(1+EXP(-ABS((LN(10^(逐级计算!$Q$186/10)-1)+逐级计算!$Q$186*(GD24-逐级计算!$P$186)*LN(10)/10))))))),"")</f>
        <v>13.7935280817847</v>
      </c>
      <c r="GF24">
        <f>IF(AND(ISNUMBER(GE24),逐级计算!$X$187&gt;-1),IF(逐级计算!$X$187=0,GE24+逐级计算!$C$187,GE24+逐级计算!$C$187-(10/(逐级计算!$Q$187*LN(10))*(MAX((LN(10^(逐级计算!$Q$187/10)-1)+逐级计算!$Q$187*(GE24-逐级计算!$P$187)*LN(10)/10),0)+LN(1+EXP(-ABS((LN(10^(逐级计算!$Q$187/10)-1)+逐级计算!$Q$187*(GE24-逐级计算!$P$187)*LN(10)/10))))))),"")</f>
        <v>13.7935280817847</v>
      </c>
      <c r="GG24">
        <f>IF(AND(ISNUMBER(GF24),逐级计算!$X$188&gt;-1),IF(逐级计算!$X$188=0,GF24+逐级计算!$C$188,GF24+逐级计算!$C$188-(10/(逐级计算!$Q$188*LN(10))*(MAX((LN(10^(逐级计算!$Q$188/10)-1)+逐级计算!$Q$188*(GF24-逐级计算!$P$188)*LN(10)/10),0)+LN(1+EXP(-ABS((LN(10^(逐级计算!$Q$188/10)-1)+逐级计算!$Q$188*(GF24-逐级计算!$P$188)*LN(10)/10))))))),"")</f>
        <v>13.7935280817847</v>
      </c>
      <c r="GH24">
        <f>IF(AND(ISNUMBER(GG24),逐级计算!$X$189&gt;-1),IF(逐级计算!$X$189=0,GG24+逐级计算!$C$189,GG24+逐级计算!$C$189-(10/(逐级计算!$Q$189*LN(10))*(MAX((LN(10^(逐级计算!$Q$189/10)-1)+逐级计算!$Q$189*(GG24-逐级计算!$P$189)*LN(10)/10),0)+LN(1+EXP(-ABS((LN(10^(逐级计算!$Q$189/10)-1)+逐级计算!$Q$189*(GG24-逐级计算!$P$189)*LN(10)/10))))))),"")</f>
        <v>13.7935280817847</v>
      </c>
      <c r="GI24">
        <f>IF(AND(ISNUMBER(GH24),逐级计算!$X$190&gt;-1),IF(逐级计算!$X$190=0,GH24+逐级计算!$C$190,GH24+逐级计算!$C$190-(10/(逐级计算!$Q$190*LN(10))*(MAX((LN(10^(逐级计算!$Q$190/10)-1)+逐级计算!$Q$190*(GH24-逐级计算!$P$190)*LN(10)/10),0)+LN(1+EXP(-ABS((LN(10^(逐级计算!$Q$190/10)-1)+逐级计算!$Q$190*(GH24-逐级计算!$P$190)*LN(10)/10))))))),"")</f>
        <v>13.7935280817847</v>
      </c>
      <c r="GJ24">
        <f>IF(AND(ISNUMBER(GI24),逐级计算!$X$191&gt;-1),IF(逐级计算!$X$191=0,GI24+逐级计算!$C$191,GI24+逐级计算!$C$191-(10/(逐级计算!$Q$191*LN(10))*(MAX((LN(10^(逐级计算!$Q$191/10)-1)+逐级计算!$Q$191*(GI24-逐级计算!$P$191)*LN(10)/10),0)+LN(1+EXP(-ABS((LN(10^(逐级计算!$Q$191/10)-1)+逐级计算!$Q$191*(GI24-逐级计算!$P$191)*LN(10)/10))))))),"")</f>
        <v>13.7935280817847</v>
      </c>
      <c r="GK24">
        <f>IF(AND(ISNUMBER(GJ24),逐级计算!$X$192&gt;-1),IF(逐级计算!$X$192=0,GJ24+逐级计算!$C$192,GJ24+逐级计算!$C$192-(10/(逐级计算!$Q$192*LN(10))*(MAX((LN(10^(逐级计算!$Q$192/10)-1)+逐级计算!$Q$192*(GJ24-逐级计算!$P$192)*LN(10)/10),0)+LN(1+EXP(-ABS((LN(10^(逐级计算!$Q$192/10)-1)+逐级计算!$Q$192*(GJ24-逐级计算!$P$192)*LN(10)/10))))))),"")</f>
        <v>13.7935280817847</v>
      </c>
      <c r="GL24">
        <f>IF(AND(ISNUMBER(GK24),逐级计算!$X$193&gt;-1),IF(逐级计算!$X$193=0,GK24+逐级计算!$C$193,GK24+逐级计算!$C$193-(10/(逐级计算!$Q$193*LN(10))*(MAX((LN(10^(逐级计算!$Q$193/10)-1)+逐级计算!$Q$193*(GK24-逐级计算!$P$193)*LN(10)/10),0)+LN(1+EXP(-ABS((LN(10^(逐级计算!$Q$193/10)-1)+逐级计算!$Q$193*(GK24-逐级计算!$P$193)*LN(10)/10))))))),"")</f>
        <v>13.7935280817847</v>
      </c>
      <c r="GM24">
        <f>IF(AND(ISNUMBER(GL24),逐级计算!$X$194&gt;-1),IF(逐级计算!$X$194=0,GL24+逐级计算!$C$194,GL24+逐级计算!$C$194-(10/(逐级计算!$Q$194*LN(10))*(MAX((LN(10^(逐级计算!$Q$194/10)-1)+逐级计算!$Q$194*(GL24-逐级计算!$P$194)*LN(10)/10),0)+LN(1+EXP(-ABS((LN(10^(逐级计算!$Q$194/10)-1)+逐级计算!$Q$194*(GL24-逐级计算!$P$194)*LN(10)/10))))))),"")</f>
        <v>13.7935280817847</v>
      </c>
      <c r="GN24">
        <f>IF(AND(ISNUMBER(GM24),逐级计算!$X$195&gt;-1),IF(逐级计算!$X$195=0,GM24+逐级计算!$C$195,GM24+逐级计算!$C$195-(10/(逐级计算!$Q$195*LN(10))*(MAX((LN(10^(逐级计算!$Q$195/10)-1)+逐级计算!$Q$195*(GM24-逐级计算!$P$195)*LN(10)/10),0)+LN(1+EXP(-ABS((LN(10^(逐级计算!$Q$195/10)-1)+逐级计算!$Q$195*(GM24-逐级计算!$P$195)*LN(10)/10))))))),"")</f>
        <v>13.7935280817847</v>
      </c>
      <c r="GO24">
        <f>IF(AND(ISNUMBER(GN24),逐级计算!$X$196&gt;-1),IF(逐级计算!$X$196=0,GN24+逐级计算!$C$196,GN24+逐级计算!$C$196-(10/(逐级计算!$Q$196*LN(10))*(MAX((LN(10^(逐级计算!$Q$196/10)-1)+逐级计算!$Q$196*(GN24-逐级计算!$P$196)*LN(10)/10),0)+LN(1+EXP(-ABS((LN(10^(逐级计算!$Q$196/10)-1)+逐级计算!$Q$196*(GN24-逐级计算!$P$196)*LN(10)/10))))))),"")</f>
        <v>13.7935280817847</v>
      </c>
      <c r="GP24">
        <f>IF(AND(ISNUMBER(GO24),逐级计算!$X$197&gt;-1),IF(逐级计算!$X$197=0,GO24+逐级计算!$C$197,GO24+逐级计算!$C$197-(10/(逐级计算!$Q$197*LN(10))*(MAX((LN(10^(逐级计算!$Q$197/10)-1)+逐级计算!$Q$197*(GO24-逐级计算!$P$197)*LN(10)/10),0)+LN(1+EXP(-ABS((LN(10^(逐级计算!$Q$197/10)-1)+逐级计算!$Q$197*(GO24-逐级计算!$P$197)*LN(10)/10))))))),"")</f>
        <v>13.7935280817847</v>
      </c>
      <c r="GQ24">
        <f>IF(AND(ISNUMBER(GP24),逐级计算!$X$198&gt;-1),IF(逐级计算!$X$198=0,GP24+逐级计算!$C$198,GP24+逐级计算!$C$198-(10/(逐级计算!$Q$198*LN(10))*(MAX((LN(10^(逐级计算!$Q$198/10)-1)+逐级计算!$Q$198*(GP24-逐级计算!$P$198)*LN(10)/10),0)+LN(1+EXP(-ABS((LN(10^(逐级计算!$Q$198/10)-1)+逐级计算!$Q$198*(GP24-逐级计算!$P$198)*LN(10)/10))))))),"")</f>
        <v>13.7935280817847</v>
      </c>
      <c r="GR24">
        <f>IF(AND(ISNUMBER(GQ24),逐级计算!$X$199&gt;-1),IF(逐级计算!$X$199=0,GQ24+逐级计算!$C$199,GQ24+逐级计算!$C$199-(10/(逐级计算!$Q$199*LN(10))*(MAX((LN(10^(逐级计算!$Q$199/10)-1)+逐级计算!$Q$199*(GQ24-逐级计算!$P$199)*LN(10)/10),0)+LN(1+EXP(-ABS((LN(10^(逐级计算!$Q$199/10)-1)+逐级计算!$Q$199*(GQ24-逐级计算!$P$199)*LN(10)/10))))))),"")</f>
        <v>13.7935280817847</v>
      </c>
      <c r="GS24">
        <f>IF(AND(ISNUMBER(GR24),逐级计算!$X$200&gt;-1),IF(逐级计算!$X$200=0,GR24+逐级计算!$C$200,GR24+逐级计算!$C$200-(10/(逐级计算!$Q$200*LN(10))*(MAX((LN(10^(逐级计算!$Q$200/10)-1)+逐级计算!$Q$200*(GR24-逐级计算!$P$200)*LN(10)/10),0)+LN(1+EXP(-ABS((LN(10^(逐级计算!$Q$200/10)-1)+逐级计算!$Q$200*(GR24-逐级计算!$P$200)*LN(10)/10))))))),"")</f>
        <v>13.7935280817847</v>
      </c>
      <c r="GT24">
        <f>IF(AND(ISNUMBER(GS24),逐级计算!$X$201&gt;-1),IF(逐级计算!$X$201=0,GS24+逐级计算!$C$201,GS24+逐级计算!$C$201-(10/(逐级计算!$Q$201*LN(10))*(MAX((LN(10^(逐级计算!$Q$201/10)-1)+逐级计算!$Q$201*(GS24-逐级计算!$P$201)*LN(10)/10),0)+LN(1+EXP(-ABS((LN(10^(逐级计算!$Q$201/10)-1)+逐级计算!$Q$201*(GS24-逐级计算!$P$201)*LN(10)/10))))))),"")</f>
        <v>13.7935280817847</v>
      </c>
      <c r="GU24">
        <f>IF(AND(ISNUMBER(GT24),逐级计算!$X$202&gt;-1),IF(逐级计算!$X$202=0,GT24+逐级计算!$C$202,GT24+逐级计算!$C$202-(10/(逐级计算!$Q$202*LN(10))*(MAX((LN(10^(逐级计算!$Q$202/10)-1)+逐级计算!$Q$202*(GT24-逐级计算!$P$202)*LN(10)/10),0)+LN(1+EXP(-ABS((LN(10^(逐级计算!$Q$202/10)-1)+逐级计算!$Q$202*(GT24-逐级计算!$P$202)*LN(10)/10))))))),"")</f>
        <v>13.7935280817847</v>
      </c>
      <c r="GV24">
        <f>IF(AND(ISNUMBER(GU24),逐级计算!$X$203&gt;-1),IF(逐级计算!$X$203=0,GU24+逐级计算!$C$203,GU24+逐级计算!$C$203-(10/(逐级计算!$Q$203*LN(10))*(MAX((LN(10^(逐级计算!$Q$203/10)-1)+逐级计算!$Q$203*(GU24-逐级计算!$P$203)*LN(10)/10),0)+LN(1+EXP(-ABS((LN(10^(逐级计算!$Q$203/10)-1)+逐级计算!$Q$203*(GU24-逐级计算!$P$203)*LN(10)/10))))))),"")</f>
        <v>13.7935280817847</v>
      </c>
      <c r="GW24">
        <f t="shared" si="2"/>
        <v>-5.20538330078125</v>
      </c>
    </row>
    <row r="25" spans="1:205">
      <c r="A25">
        <v>18</v>
      </c>
      <c r="B25">
        <f t="shared" si="1"/>
        <v>-5.20698547363281</v>
      </c>
      <c r="C25">
        <f t="shared" si="0"/>
        <v>-5.20658493041992</v>
      </c>
      <c r="D25">
        <f>IF(AND(ISNUMBER(C25),ISNUMBER(逐级计算!$E$203),ISNUMBER(GV25)),C25+逐级计算!$E$203-GV25,"")</f>
        <v>1.00013968861793</v>
      </c>
      <c r="E25">
        <f>IF(AND(ISNUMBER(C25),逐级计算!$X$4&gt;-1),IF(逐级计算!$X$4=0,C25+逐级计算!$C$4,C25+逐级计算!$C$4-(10/(逐级计算!$Q$4*LN(10))*(MAX((LN(10^(逐级计算!$Q$4/10)-1)+逐级计算!$Q$4*(C25-逐级计算!$P$4)*LN(10)/10),0)+LN(1+EXP(-ABS((LN(10^(逐级计算!$Q$4/10)-1)+逐级计算!$Q$4*(C25-逐级计算!$P$4)*LN(10)/10))))))),"")</f>
        <v>4.68089921375852</v>
      </c>
      <c r="F25">
        <f>IF(AND(ISNUMBER(E25),逐级计算!$X$5&gt;-1),IF(逐级计算!$X$5=0,E25+逐级计算!$C$5,E25+逐级计算!$C$5-(10/(逐级计算!$Q$5*LN(10))*(MAX((LN(10^(逐级计算!$Q$5/10)-1)+逐级计算!$Q$5*(E25-逐级计算!$P$5)*LN(10)/10),0)+LN(1+EXP(-ABS((LN(10^(逐级计算!$Q$5/10)-1)+逐级计算!$Q$5*(E25-逐级计算!$P$5)*LN(10)/10))))))),"")</f>
        <v>13.7932753809621</v>
      </c>
      <c r="G25">
        <f>IF(AND(ISNUMBER(F25),逐级计算!$X$6&gt;-1),IF(逐级计算!$X$6=0,F25+逐级计算!$C$6,F25+逐级计算!$C$6-(10/(逐级计算!$Q$6*LN(10))*(MAX((LN(10^(逐级计算!$Q$6/10)-1)+逐级计算!$Q$6*(F25-逐级计算!$P$6)*LN(10)/10),0)+LN(1+EXP(-ABS((LN(10^(逐级计算!$Q$6/10)-1)+逐级计算!$Q$6*(F25-逐级计算!$P$6)*LN(10)/10))))))),"")</f>
        <v>13.7932753809621</v>
      </c>
      <c r="H25">
        <f>IF(AND(ISNUMBER(G25),逐级计算!$X$7&gt;-1),IF(逐级计算!$X$7=0,G25+逐级计算!$C$7,G25+逐级计算!$C$7-(10/(逐级计算!$Q$7*LN(10))*(MAX((LN(10^(逐级计算!$Q$7/10)-1)+逐级计算!$Q$7*(G25-逐级计算!$P$7)*LN(10)/10),0)+LN(1+EXP(-ABS((LN(10^(逐级计算!$Q$7/10)-1)+逐级计算!$Q$7*(G25-逐级计算!$P$7)*LN(10)/10))))))),"")</f>
        <v>13.7932753809621</v>
      </c>
      <c r="I25">
        <f>IF(AND(ISNUMBER(H25),逐级计算!$X$8&gt;-1),IF(逐级计算!$X$8=0,H25+逐级计算!$C$8,H25+逐级计算!$C$8-(10/(逐级计算!$Q$8*LN(10))*(MAX((LN(10^(逐级计算!$Q$8/10)-1)+逐级计算!$Q$8*(H25-逐级计算!$P$8)*LN(10)/10),0)+LN(1+EXP(-ABS((LN(10^(逐级计算!$Q$8/10)-1)+逐级计算!$Q$8*(H25-逐级计算!$P$8)*LN(10)/10))))))),"")</f>
        <v>13.7932753809621</v>
      </c>
      <c r="J25">
        <f>IF(AND(ISNUMBER(I25),逐级计算!$X$9&gt;-1),IF(逐级计算!$X$9=0,I25+逐级计算!$C$9,I25+逐级计算!$C$9-(10/(逐级计算!$Q$9*LN(10))*(MAX((LN(10^(逐级计算!$Q$9/10)-1)+逐级计算!$Q$9*(I25-逐级计算!$P$9)*LN(10)/10),0)+LN(1+EXP(-ABS((LN(10^(逐级计算!$Q$9/10)-1)+逐级计算!$Q$9*(I25-逐级计算!$P$9)*LN(10)/10))))))),"")</f>
        <v>13.7932753809621</v>
      </c>
      <c r="K25">
        <f>IF(AND(ISNUMBER(J25),逐级计算!$X$10&gt;-1),IF(逐级计算!$X$10=0,J25+逐级计算!$C$10,J25+逐级计算!$C$10-(10/(逐级计算!$Q$10*LN(10))*(MAX((LN(10^(逐级计算!$Q$10/10)-1)+逐级计算!$Q$10*(J25-逐级计算!$P$10)*LN(10)/10),0)+LN(1+EXP(-ABS((LN(10^(逐级计算!$Q$10/10)-1)+逐级计算!$Q$10*(J25-逐级计算!$P$10)*LN(10)/10))))))),"")</f>
        <v>13.7932753809621</v>
      </c>
      <c r="L25">
        <f>IF(AND(ISNUMBER(K25),逐级计算!$X$11&gt;-1),IF(逐级计算!$X$11=0,K25+逐级计算!$C$11,K25+逐级计算!$C$11-(10/(逐级计算!$Q$11*LN(10))*(MAX((LN(10^(逐级计算!$Q$11/10)-1)+逐级计算!$Q$11*(K25-逐级计算!$P$11)*LN(10)/10),0)+LN(1+EXP(-ABS((LN(10^(逐级计算!$Q$11/10)-1)+逐级计算!$Q$11*(K25-逐级计算!$P$11)*LN(10)/10))))))),"")</f>
        <v>13.7932753809621</v>
      </c>
      <c r="M25">
        <f>IF(AND(ISNUMBER(L25),逐级计算!$X$12&gt;-1),IF(逐级计算!$X$12=0,L25+逐级计算!$C$12,L25+逐级计算!$C$12-(10/(逐级计算!$Q$12*LN(10))*(MAX((LN(10^(逐级计算!$Q$12/10)-1)+逐级计算!$Q$12*(L25-逐级计算!$P$12)*LN(10)/10),0)+LN(1+EXP(-ABS((LN(10^(逐级计算!$Q$12/10)-1)+逐级计算!$Q$12*(L25-逐级计算!$P$12)*LN(10)/10))))))),"")</f>
        <v>13.7932753809621</v>
      </c>
      <c r="N25">
        <f>IF(AND(ISNUMBER(M25),逐级计算!$X$13&gt;-1),IF(逐级计算!$X$13=0,M25+逐级计算!$C$13,M25+逐级计算!$C$13-(10/(逐级计算!$Q$13*LN(10))*(MAX((LN(10^(逐级计算!$Q$13/10)-1)+逐级计算!$Q$13*(M25-逐级计算!$P$13)*LN(10)/10),0)+LN(1+EXP(-ABS((LN(10^(逐级计算!$Q$13/10)-1)+逐级计算!$Q$13*(M25-逐级计算!$P$13)*LN(10)/10))))))),"")</f>
        <v>13.7932753809621</v>
      </c>
      <c r="O25">
        <f>IF(AND(ISNUMBER(N25),逐级计算!$X$14&gt;-1),IF(逐级计算!$X$14=0,N25+逐级计算!$C$14,N25+逐级计算!$C$14-(10/(逐级计算!$Q$14*LN(10))*(MAX((LN(10^(逐级计算!$Q$14/10)-1)+逐级计算!$Q$14*(N25-逐级计算!$P$14)*LN(10)/10),0)+LN(1+EXP(-ABS((LN(10^(逐级计算!$Q$14/10)-1)+逐级计算!$Q$14*(N25-逐级计算!$P$14)*LN(10)/10))))))),"")</f>
        <v>13.7932753809621</v>
      </c>
      <c r="P25">
        <f>IF(AND(ISNUMBER(O25),逐级计算!$X$15&gt;-1),IF(逐级计算!$X$15=0,O25+逐级计算!$C$15,O25+逐级计算!$C$15-(10/(逐级计算!$Q$15*LN(10))*(MAX((LN(10^(逐级计算!$Q$15/10)-1)+逐级计算!$Q$15*(O25-逐级计算!$P$15)*LN(10)/10),0)+LN(1+EXP(-ABS((LN(10^(逐级计算!$Q$15/10)-1)+逐级计算!$Q$15*(O25-逐级计算!$P$15)*LN(10)/10))))))),"")</f>
        <v>13.7932753809621</v>
      </c>
      <c r="Q25">
        <f>IF(AND(ISNUMBER(P25),逐级计算!$X$16&gt;-1),IF(逐级计算!$X$16=0,P25+逐级计算!$C$16,P25+逐级计算!$C$16-(10/(逐级计算!$Q$16*LN(10))*(MAX((LN(10^(逐级计算!$Q$16/10)-1)+逐级计算!$Q$16*(P25-逐级计算!$P$16)*LN(10)/10),0)+LN(1+EXP(-ABS((LN(10^(逐级计算!$Q$16/10)-1)+逐级计算!$Q$16*(P25-逐级计算!$P$16)*LN(10)/10))))))),"")</f>
        <v>13.7932753809621</v>
      </c>
      <c r="R25">
        <f>IF(AND(ISNUMBER(Q25),逐级计算!$X$17&gt;-1),IF(逐级计算!$X$17=0,Q25+逐级计算!$C$17,Q25+逐级计算!$C$17-(10/(逐级计算!$Q$17*LN(10))*(MAX((LN(10^(逐级计算!$Q$17/10)-1)+逐级计算!$Q$17*(Q25-逐级计算!$P$17)*LN(10)/10),0)+LN(1+EXP(-ABS((LN(10^(逐级计算!$Q$17/10)-1)+逐级计算!$Q$17*(Q25-逐级计算!$P$17)*LN(10)/10))))))),"")</f>
        <v>13.7932753809621</v>
      </c>
      <c r="S25">
        <f>IF(AND(ISNUMBER(R25),逐级计算!$X$18&gt;-1),IF(逐级计算!$X$18=0,R25+逐级计算!$C$18,R25+逐级计算!$C$18-(10/(逐级计算!$Q$18*LN(10))*(MAX((LN(10^(逐级计算!$Q$18/10)-1)+逐级计算!$Q$18*(R25-逐级计算!$P$18)*LN(10)/10),0)+LN(1+EXP(-ABS((LN(10^(逐级计算!$Q$18/10)-1)+逐级计算!$Q$18*(R25-逐级计算!$P$18)*LN(10)/10))))))),"")</f>
        <v>13.7932753809621</v>
      </c>
      <c r="T25">
        <f>IF(AND(ISNUMBER(S25),逐级计算!$X$19&gt;-1),IF(逐级计算!$X$19=0,S25+逐级计算!$C$19,S25+逐级计算!$C$19-(10/(逐级计算!$Q$19*LN(10))*(MAX((LN(10^(逐级计算!$Q$19/10)-1)+逐级计算!$Q$19*(S25-逐级计算!$P$19)*LN(10)/10),0)+LN(1+EXP(-ABS((LN(10^(逐级计算!$Q$19/10)-1)+逐级计算!$Q$19*(S25-逐级计算!$P$19)*LN(10)/10))))))),"")</f>
        <v>13.7932753809621</v>
      </c>
      <c r="U25">
        <f>IF(AND(ISNUMBER(T25),逐级计算!$X$20&gt;-1),IF(逐级计算!$X$20=0,T25+逐级计算!$C$20,T25+逐级计算!$C$20-(10/(逐级计算!$Q$20*LN(10))*(MAX((LN(10^(逐级计算!$Q$20/10)-1)+逐级计算!$Q$20*(T25-逐级计算!$P$20)*LN(10)/10),0)+LN(1+EXP(-ABS((LN(10^(逐级计算!$Q$20/10)-1)+逐级计算!$Q$20*(T25-逐级计算!$P$20)*LN(10)/10))))))),"")</f>
        <v>13.7932753809621</v>
      </c>
      <c r="V25">
        <f>IF(AND(ISNUMBER(U25),逐级计算!$X$21&gt;-1),IF(逐级计算!$X$21=0,U25+逐级计算!$C$21,U25+逐级计算!$C$21-(10/(逐级计算!$Q$21*LN(10))*(MAX((LN(10^(逐级计算!$Q$21/10)-1)+逐级计算!$Q$21*(U25-逐级计算!$P$21)*LN(10)/10),0)+LN(1+EXP(-ABS((LN(10^(逐级计算!$Q$21/10)-1)+逐级计算!$Q$21*(U25-逐级计算!$P$21)*LN(10)/10))))))),"")</f>
        <v>13.7932753809621</v>
      </c>
      <c r="W25">
        <f>IF(AND(ISNUMBER(V25),逐级计算!$X$22&gt;-1),IF(逐级计算!$X$22=0,V25+逐级计算!$C$22,V25+逐级计算!$C$22-(10/(逐级计算!$Q$22*LN(10))*(MAX((LN(10^(逐级计算!$Q$22/10)-1)+逐级计算!$Q$22*(V25-逐级计算!$P$22)*LN(10)/10),0)+LN(1+EXP(-ABS((LN(10^(逐级计算!$Q$22/10)-1)+逐级计算!$Q$22*(V25-逐级计算!$P$22)*LN(10)/10))))))),"")</f>
        <v>13.7932753809621</v>
      </c>
      <c r="X25">
        <f>IF(AND(ISNUMBER(W25),逐级计算!$X$23&gt;-1),IF(逐级计算!$X$23=0,W25+逐级计算!$C$23,W25+逐级计算!$C$23-(10/(逐级计算!$Q$23*LN(10))*(MAX((LN(10^(逐级计算!$Q$23/10)-1)+逐级计算!$Q$23*(W25-逐级计算!$P$23)*LN(10)/10),0)+LN(1+EXP(-ABS((LN(10^(逐级计算!$Q$23/10)-1)+逐级计算!$Q$23*(W25-逐级计算!$P$23)*LN(10)/10))))))),"")</f>
        <v>13.7932753809621</v>
      </c>
      <c r="Y25">
        <f>IF(AND(ISNUMBER(X25),逐级计算!$X$24&gt;-1),IF(逐级计算!$X$24=0,X25+逐级计算!$C$24,X25+逐级计算!$C$24-(10/(逐级计算!$Q$24*LN(10))*(MAX((LN(10^(逐级计算!$Q$24/10)-1)+逐级计算!$Q$24*(X25-逐级计算!$P$24)*LN(10)/10),0)+LN(1+EXP(-ABS((LN(10^(逐级计算!$Q$24/10)-1)+逐级计算!$Q$24*(X25-逐级计算!$P$24)*LN(10)/10))))))),"")</f>
        <v>13.7932753809621</v>
      </c>
      <c r="Z25">
        <f>IF(AND(ISNUMBER(Y25),逐级计算!$X$25&gt;-1),IF(逐级计算!$X$25=0,Y25+逐级计算!$C$25,Y25+逐级计算!$C$25-(10/(逐级计算!$Q$25*LN(10))*(MAX((LN(10^(逐级计算!$Q$25/10)-1)+逐级计算!$Q$25*(Y25-逐级计算!$P$25)*LN(10)/10),0)+LN(1+EXP(-ABS((LN(10^(逐级计算!$Q$25/10)-1)+逐级计算!$Q$25*(Y25-逐级计算!$P$25)*LN(10)/10))))))),"")</f>
        <v>13.7932753809621</v>
      </c>
      <c r="AA25">
        <f>IF(AND(ISNUMBER(Z25),逐级计算!$X$26&gt;-1),IF(逐级计算!$X$26=0,Z25+逐级计算!$C$26,Z25+逐级计算!$C$26-(10/(逐级计算!$Q$26*LN(10))*(MAX((LN(10^(逐级计算!$Q$26/10)-1)+逐级计算!$Q$26*(Z25-逐级计算!$P$26)*LN(10)/10),0)+LN(1+EXP(-ABS((LN(10^(逐级计算!$Q$26/10)-1)+逐级计算!$Q$26*(Z25-逐级计算!$P$26)*LN(10)/10))))))),"")</f>
        <v>13.7932753809621</v>
      </c>
      <c r="AB25">
        <f>IF(AND(ISNUMBER(AA25),逐级计算!$X$27&gt;-1),IF(逐级计算!$X$27=0,AA25+逐级计算!$C$27,AA25+逐级计算!$C$27-(10/(逐级计算!$Q$27*LN(10))*(MAX((LN(10^(逐级计算!$Q$27/10)-1)+逐级计算!$Q$27*(AA25-逐级计算!$P$27)*LN(10)/10),0)+LN(1+EXP(-ABS((LN(10^(逐级计算!$Q$27/10)-1)+逐级计算!$Q$27*(AA25-逐级计算!$P$27)*LN(10)/10))))))),"")</f>
        <v>13.7932753809621</v>
      </c>
      <c r="AC25">
        <f>IF(AND(ISNUMBER(AB25),逐级计算!$X$28&gt;-1),IF(逐级计算!$X$28=0,AB25+逐级计算!$C$28,AB25+逐级计算!$C$28-(10/(逐级计算!$Q$28*LN(10))*(MAX((LN(10^(逐级计算!$Q$28/10)-1)+逐级计算!$Q$28*(AB25-逐级计算!$P$28)*LN(10)/10),0)+LN(1+EXP(-ABS((LN(10^(逐级计算!$Q$28/10)-1)+逐级计算!$Q$28*(AB25-逐级计算!$P$28)*LN(10)/10))))))),"")</f>
        <v>13.7932753809621</v>
      </c>
      <c r="AD25">
        <f>IF(AND(ISNUMBER(AC25),逐级计算!$X$29&gt;-1),IF(逐级计算!$X$29=0,AC25+逐级计算!$C$29,AC25+逐级计算!$C$29-(10/(逐级计算!$Q$29*LN(10))*(MAX((LN(10^(逐级计算!$Q$29/10)-1)+逐级计算!$Q$29*(AC25-逐级计算!$P$29)*LN(10)/10),0)+LN(1+EXP(-ABS((LN(10^(逐级计算!$Q$29/10)-1)+逐级计算!$Q$29*(AC25-逐级计算!$P$29)*LN(10)/10))))))),"")</f>
        <v>13.7932753809621</v>
      </c>
      <c r="AE25">
        <f>IF(AND(ISNUMBER(AD25),逐级计算!$X$30&gt;-1),IF(逐级计算!$X$30=0,AD25+逐级计算!$C$30,AD25+逐级计算!$C$30-(10/(逐级计算!$Q$30*LN(10))*(MAX((LN(10^(逐级计算!$Q$30/10)-1)+逐级计算!$Q$30*(AD25-逐级计算!$P$30)*LN(10)/10),0)+LN(1+EXP(-ABS((LN(10^(逐级计算!$Q$30/10)-1)+逐级计算!$Q$30*(AD25-逐级计算!$P$30)*LN(10)/10))))))),"")</f>
        <v>13.7932753809621</v>
      </c>
      <c r="AF25">
        <f>IF(AND(ISNUMBER(AE25),逐级计算!$X$31&gt;-1),IF(逐级计算!$X$31=0,AE25+逐级计算!$C$31,AE25+逐级计算!$C$31-(10/(逐级计算!$Q$31*LN(10))*(MAX((LN(10^(逐级计算!$Q$31/10)-1)+逐级计算!$Q$31*(AE25-逐级计算!$P$31)*LN(10)/10),0)+LN(1+EXP(-ABS((LN(10^(逐级计算!$Q$31/10)-1)+逐级计算!$Q$31*(AE25-逐级计算!$P$31)*LN(10)/10))))))),"")</f>
        <v>13.7932753809621</v>
      </c>
      <c r="AG25">
        <f>IF(AND(ISNUMBER(AF25),逐级计算!$X$32&gt;-1),IF(逐级计算!$X$32=0,AF25+逐级计算!$C$32,AF25+逐级计算!$C$32-(10/(逐级计算!$Q$32*LN(10))*(MAX((LN(10^(逐级计算!$Q$32/10)-1)+逐级计算!$Q$32*(AF25-逐级计算!$P$32)*LN(10)/10),0)+LN(1+EXP(-ABS((LN(10^(逐级计算!$Q$32/10)-1)+逐级计算!$Q$32*(AF25-逐级计算!$P$32)*LN(10)/10))))))),"")</f>
        <v>13.7932753809621</v>
      </c>
      <c r="AH25">
        <f>IF(AND(ISNUMBER(AG25),逐级计算!$X$33&gt;-1),IF(逐级计算!$X$33=0,AG25+逐级计算!$C$33,AG25+逐级计算!$C$33-(10/(逐级计算!$Q$33*LN(10))*(MAX((LN(10^(逐级计算!$Q$33/10)-1)+逐级计算!$Q$33*(AG25-逐级计算!$P$33)*LN(10)/10),0)+LN(1+EXP(-ABS((LN(10^(逐级计算!$Q$33/10)-1)+逐级计算!$Q$33*(AG25-逐级计算!$P$33)*LN(10)/10))))))),"")</f>
        <v>13.7932753809621</v>
      </c>
      <c r="AI25">
        <f>IF(AND(ISNUMBER(AH25),逐级计算!$X$34&gt;-1),IF(逐级计算!$X$34=0,AH25+逐级计算!$C$34,AH25+逐级计算!$C$34-(10/(逐级计算!$Q$34*LN(10))*(MAX((LN(10^(逐级计算!$Q$34/10)-1)+逐级计算!$Q$34*(AH25-逐级计算!$P$34)*LN(10)/10),0)+LN(1+EXP(-ABS((LN(10^(逐级计算!$Q$34/10)-1)+逐级计算!$Q$34*(AH25-逐级计算!$P$34)*LN(10)/10))))))),"")</f>
        <v>13.7932753809621</v>
      </c>
      <c r="AJ25">
        <f>IF(AND(ISNUMBER(AI25),逐级计算!$X$35&gt;-1),IF(逐级计算!$X$35=0,AI25+逐级计算!$C$35,AI25+逐级计算!$C$35-(10/(逐级计算!$Q$35*LN(10))*(MAX((LN(10^(逐级计算!$Q$35/10)-1)+逐级计算!$Q$35*(AI25-逐级计算!$P$35)*LN(10)/10),0)+LN(1+EXP(-ABS((LN(10^(逐级计算!$Q$35/10)-1)+逐级计算!$Q$35*(AI25-逐级计算!$P$35)*LN(10)/10))))))),"")</f>
        <v>13.7932753809621</v>
      </c>
      <c r="AK25">
        <f>IF(AND(ISNUMBER(AJ25),逐级计算!$X$36&gt;-1),IF(逐级计算!$X$36=0,AJ25+逐级计算!$C$36,AJ25+逐级计算!$C$36-(10/(逐级计算!$Q$36*LN(10))*(MAX((LN(10^(逐级计算!$Q$36/10)-1)+逐级计算!$Q$36*(AJ25-逐级计算!$P$36)*LN(10)/10),0)+LN(1+EXP(-ABS((LN(10^(逐级计算!$Q$36/10)-1)+逐级计算!$Q$36*(AJ25-逐级计算!$P$36)*LN(10)/10))))))),"")</f>
        <v>13.7932753809621</v>
      </c>
      <c r="AL25">
        <f>IF(AND(ISNUMBER(AK25),逐级计算!$X$37&gt;-1),IF(逐级计算!$X$37=0,AK25+逐级计算!$C$37,AK25+逐级计算!$C$37-(10/(逐级计算!$Q$37*LN(10))*(MAX((LN(10^(逐级计算!$Q$37/10)-1)+逐级计算!$Q$37*(AK25-逐级计算!$P$37)*LN(10)/10),0)+LN(1+EXP(-ABS((LN(10^(逐级计算!$Q$37/10)-1)+逐级计算!$Q$37*(AK25-逐级计算!$P$37)*LN(10)/10))))))),"")</f>
        <v>13.7932753809621</v>
      </c>
      <c r="AM25">
        <f>IF(AND(ISNUMBER(AL25),逐级计算!$X$38&gt;-1),IF(逐级计算!$X$38=0,AL25+逐级计算!$C$38,AL25+逐级计算!$C$38-(10/(逐级计算!$Q$38*LN(10))*(MAX((LN(10^(逐级计算!$Q$38/10)-1)+逐级计算!$Q$38*(AL25-逐级计算!$P$38)*LN(10)/10),0)+LN(1+EXP(-ABS((LN(10^(逐级计算!$Q$38/10)-1)+逐级计算!$Q$38*(AL25-逐级计算!$P$38)*LN(10)/10))))))),"")</f>
        <v>13.7932753809621</v>
      </c>
      <c r="AN25">
        <f>IF(AND(ISNUMBER(AM25),逐级计算!$X$39&gt;-1),IF(逐级计算!$X$39=0,AM25+逐级计算!$C$39,AM25+逐级计算!$C$39-(10/(逐级计算!$Q$39*LN(10))*(MAX((LN(10^(逐级计算!$Q$39/10)-1)+逐级计算!$Q$39*(AM25-逐级计算!$P$39)*LN(10)/10),0)+LN(1+EXP(-ABS((LN(10^(逐级计算!$Q$39/10)-1)+逐级计算!$Q$39*(AM25-逐级计算!$P$39)*LN(10)/10))))))),"")</f>
        <v>13.7932753809621</v>
      </c>
      <c r="AO25">
        <f>IF(AND(ISNUMBER(AN25),逐级计算!$X$40&gt;-1),IF(逐级计算!$X$40=0,AN25+逐级计算!$C$40,AN25+逐级计算!$C$40-(10/(逐级计算!$Q$40*LN(10))*(MAX((LN(10^(逐级计算!$Q$40/10)-1)+逐级计算!$Q$40*(AN25-逐级计算!$P$40)*LN(10)/10),0)+LN(1+EXP(-ABS((LN(10^(逐级计算!$Q$40/10)-1)+逐级计算!$Q$40*(AN25-逐级计算!$P$40)*LN(10)/10))))))),"")</f>
        <v>13.7932753809621</v>
      </c>
      <c r="AP25">
        <f>IF(AND(ISNUMBER(AO25),逐级计算!$X$41&gt;-1),IF(逐级计算!$X$41=0,AO25+逐级计算!$C$41,AO25+逐级计算!$C$41-(10/(逐级计算!$Q$41*LN(10))*(MAX((LN(10^(逐级计算!$Q$41/10)-1)+逐级计算!$Q$41*(AO25-逐级计算!$P$41)*LN(10)/10),0)+LN(1+EXP(-ABS((LN(10^(逐级计算!$Q$41/10)-1)+逐级计算!$Q$41*(AO25-逐级计算!$P$41)*LN(10)/10))))))),"")</f>
        <v>13.7932753809621</v>
      </c>
      <c r="AQ25">
        <f>IF(AND(ISNUMBER(AP25),逐级计算!$X$42&gt;-1),IF(逐级计算!$X$42=0,AP25+逐级计算!$C$42,AP25+逐级计算!$C$42-(10/(逐级计算!$Q$42*LN(10))*(MAX((LN(10^(逐级计算!$Q$42/10)-1)+逐级计算!$Q$42*(AP25-逐级计算!$P$42)*LN(10)/10),0)+LN(1+EXP(-ABS((LN(10^(逐级计算!$Q$42/10)-1)+逐级计算!$Q$42*(AP25-逐级计算!$P$42)*LN(10)/10))))))),"")</f>
        <v>13.7932753809621</v>
      </c>
      <c r="AR25">
        <f>IF(AND(ISNUMBER(AQ25),逐级计算!$X$43&gt;-1),IF(逐级计算!$X$43=0,AQ25+逐级计算!$C$43,AQ25+逐级计算!$C$43-(10/(逐级计算!$Q$43*LN(10))*(MAX((LN(10^(逐级计算!$Q$43/10)-1)+逐级计算!$Q$43*(AQ25-逐级计算!$P$43)*LN(10)/10),0)+LN(1+EXP(-ABS((LN(10^(逐级计算!$Q$43/10)-1)+逐级计算!$Q$43*(AQ25-逐级计算!$P$43)*LN(10)/10))))))),"")</f>
        <v>13.7932753809621</v>
      </c>
      <c r="AS25">
        <f>IF(AND(ISNUMBER(AR25),逐级计算!$X$44&gt;-1),IF(逐级计算!$X$44=0,AR25+逐级计算!$C$44,AR25+逐级计算!$C$44-(10/(逐级计算!$Q$44*LN(10))*(MAX((LN(10^(逐级计算!$Q$44/10)-1)+逐级计算!$Q$44*(AR25-逐级计算!$P$44)*LN(10)/10),0)+LN(1+EXP(-ABS((LN(10^(逐级计算!$Q$44/10)-1)+逐级计算!$Q$44*(AR25-逐级计算!$P$44)*LN(10)/10))))))),"")</f>
        <v>13.7932753809621</v>
      </c>
      <c r="AT25">
        <f>IF(AND(ISNUMBER(AS25),逐级计算!$X$45&gt;-1),IF(逐级计算!$X$45=0,AS25+逐级计算!$C$45,AS25+逐级计算!$C$45-(10/(逐级计算!$Q$45*LN(10))*(MAX((LN(10^(逐级计算!$Q$45/10)-1)+逐级计算!$Q$45*(AS25-逐级计算!$P$45)*LN(10)/10),0)+LN(1+EXP(-ABS((LN(10^(逐级计算!$Q$45/10)-1)+逐级计算!$Q$45*(AS25-逐级计算!$P$45)*LN(10)/10))))))),"")</f>
        <v>13.7932753809621</v>
      </c>
      <c r="AU25">
        <f>IF(AND(ISNUMBER(AT25),逐级计算!$X$46&gt;-1),IF(逐级计算!$X$46=0,AT25+逐级计算!$C$46,AT25+逐级计算!$C$46-(10/(逐级计算!$Q$46*LN(10))*(MAX((LN(10^(逐级计算!$Q$46/10)-1)+逐级计算!$Q$46*(AT25-逐级计算!$P$46)*LN(10)/10),0)+LN(1+EXP(-ABS((LN(10^(逐级计算!$Q$46/10)-1)+逐级计算!$Q$46*(AT25-逐级计算!$P$46)*LN(10)/10))))))),"")</f>
        <v>13.7932753809621</v>
      </c>
      <c r="AV25">
        <f>IF(AND(ISNUMBER(AU25),逐级计算!$X$47&gt;-1),IF(逐级计算!$X$47=0,AU25+逐级计算!$C$47,AU25+逐级计算!$C$47-(10/(逐级计算!$Q$47*LN(10))*(MAX((LN(10^(逐级计算!$Q$47/10)-1)+逐级计算!$Q$47*(AU25-逐级计算!$P$47)*LN(10)/10),0)+LN(1+EXP(-ABS((LN(10^(逐级计算!$Q$47/10)-1)+逐级计算!$Q$47*(AU25-逐级计算!$P$47)*LN(10)/10))))))),"")</f>
        <v>13.7932753809621</v>
      </c>
      <c r="AW25">
        <f>IF(AND(ISNUMBER(AV25),逐级计算!$X$48&gt;-1),IF(逐级计算!$X$48=0,AV25+逐级计算!$C$48,AV25+逐级计算!$C$48-(10/(逐级计算!$Q$48*LN(10))*(MAX((LN(10^(逐级计算!$Q$48/10)-1)+逐级计算!$Q$48*(AV25-逐级计算!$P$48)*LN(10)/10),0)+LN(1+EXP(-ABS((LN(10^(逐级计算!$Q$48/10)-1)+逐级计算!$Q$48*(AV25-逐级计算!$P$48)*LN(10)/10))))))),"")</f>
        <v>13.7932753809621</v>
      </c>
      <c r="AX25">
        <f>IF(AND(ISNUMBER(AW25),逐级计算!$X$49&gt;-1),IF(逐级计算!$X$49=0,AW25+逐级计算!$C$49,AW25+逐级计算!$C$49-(10/(逐级计算!$Q$49*LN(10))*(MAX((LN(10^(逐级计算!$Q$49/10)-1)+逐级计算!$Q$49*(AW25-逐级计算!$P$49)*LN(10)/10),0)+LN(1+EXP(-ABS((LN(10^(逐级计算!$Q$49/10)-1)+逐级计算!$Q$49*(AW25-逐级计算!$P$49)*LN(10)/10))))))),"")</f>
        <v>13.7932753809621</v>
      </c>
      <c r="AY25">
        <f>IF(AND(ISNUMBER(AX25),逐级计算!$X$50&gt;-1),IF(逐级计算!$X$50=0,AX25+逐级计算!$C$50,AX25+逐级计算!$C$50-(10/(逐级计算!$Q$50*LN(10))*(MAX((LN(10^(逐级计算!$Q$50/10)-1)+逐级计算!$Q$50*(AX25-逐级计算!$P$50)*LN(10)/10),0)+LN(1+EXP(-ABS((LN(10^(逐级计算!$Q$50/10)-1)+逐级计算!$Q$50*(AX25-逐级计算!$P$50)*LN(10)/10))))))),"")</f>
        <v>13.7932753809621</v>
      </c>
      <c r="AZ25">
        <f>IF(AND(ISNUMBER(AY25),逐级计算!$X$51&gt;-1),IF(逐级计算!$X$51=0,AY25+逐级计算!$C$51,AY25+逐级计算!$C$51-(10/(逐级计算!$Q$51*LN(10))*(MAX((LN(10^(逐级计算!$Q$51/10)-1)+逐级计算!$Q$51*(AY25-逐级计算!$P$51)*LN(10)/10),0)+LN(1+EXP(-ABS((LN(10^(逐级计算!$Q$51/10)-1)+逐级计算!$Q$51*(AY25-逐级计算!$P$51)*LN(10)/10))))))),"")</f>
        <v>13.7932753809621</v>
      </c>
      <c r="BA25">
        <f>IF(AND(ISNUMBER(AZ25),逐级计算!$X$52&gt;-1),IF(逐级计算!$X$52=0,AZ25+逐级计算!$C$52,AZ25+逐级计算!$C$52-(10/(逐级计算!$Q$52*LN(10))*(MAX((LN(10^(逐级计算!$Q$52/10)-1)+逐级计算!$Q$52*(AZ25-逐级计算!$P$52)*LN(10)/10),0)+LN(1+EXP(-ABS((LN(10^(逐级计算!$Q$52/10)-1)+逐级计算!$Q$52*(AZ25-逐级计算!$P$52)*LN(10)/10))))))),"")</f>
        <v>13.7932753809621</v>
      </c>
      <c r="BB25">
        <f>IF(AND(ISNUMBER(BA25),逐级计算!$X$53&gt;-1),IF(逐级计算!$X$53=0,BA25+逐级计算!$C$53,BA25+逐级计算!$C$53-(10/(逐级计算!$Q$53*LN(10))*(MAX((LN(10^(逐级计算!$Q$53/10)-1)+逐级计算!$Q$53*(BA25-逐级计算!$P$53)*LN(10)/10),0)+LN(1+EXP(-ABS((LN(10^(逐级计算!$Q$53/10)-1)+逐级计算!$Q$53*(BA25-逐级计算!$P$53)*LN(10)/10))))))),"")</f>
        <v>13.7932753809621</v>
      </c>
      <c r="BC25">
        <f>IF(AND(ISNUMBER(BB25),逐级计算!$X$54&gt;-1),IF(逐级计算!$X$54=0,BB25+逐级计算!$C$54,BB25+逐级计算!$C$54-(10/(逐级计算!$Q$54*LN(10))*(MAX((LN(10^(逐级计算!$Q$54/10)-1)+逐级计算!$Q$54*(BB25-逐级计算!$P$54)*LN(10)/10),0)+LN(1+EXP(-ABS((LN(10^(逐级计算!$Q$54/10)-1)+逐级计算!$Q$54*(BB25-逐级计算!$P$54)*LN(10)/10))))))),"")</f>
        <v>13.7932753809621</v>
      </c>
      <c r="BD25">
        <f>IF(AND(ISNUMBER(BC25),逐级计算!$X$55&gt;-1),IF(逐级计算!$X$55=0,BC25+逐级计算!$C$55,BC25+逐级计算!$C$55-(10/(逐级计算!$Q$55*LN(10))*(MAX((LN(10^(逐级计算!$Q$55/10)-1)+逐级计算!$Q$55*(BC25-逐级计算!$P$55)*LN(10)/10),0)+LN(1+EXP(-ABS((LN(10^(逐级计算!$Q$55/10)-1)+逐级计算!$Q$55*(BC25-逐级计算!$P$55)*LN(10)/10))))))),"")</f>
        <v>13.7932753809621</v>
      </c>
      <c r="BE25">
        <f>IF(AND(ISNUMBER(BD25),逐级计算!$X$56&gt;-1),IF(逐级计算!$X$56=0,BD25+逐级计算!$C$56,BD25+逐级计算!$C$56-(10/(逐级计算!$Q$56*LN(10))*(MAX((LN(10^(逐级计算!$Q$56/10)-1)+逐级计算!$Q$56*(BD25-逐级计算!$P$56)*LN(10)/10),0)+LN(1+EXP(-ABS((LN(10^(逐级计算!$Q$56/10)-1)+逐级计算!$Q$56*(BD25-逐级计算!$P$56)*LN(10)/10))))))),"")</f>
        <v>13.7932753809621</v>
      </c>
      <c r="BF25">
        <f>IF(AND(ISNUMBER(BE25),逐级计算!$X$57&gt;-1),IF(逐级计算!$X$57=0,BE25+逐级计算!$C$57,BE25+逐级计算!$C$57-(10/(逐级计算!$Q$57*LN(10))*(MAX((LN(10^(逐级计算!$Q$57/10)-1)+逐级计算!$Q$57*(BE25-逐级计算!$P$57)*LN(10)/10),0)+LN(1+EXP(-ABS((LN(10^(逐级计算!$Q$57/10)-1)+逐级计算!$Q$57*(BE25-逐级计算!$P$57)*LN(10)/10))))))),"")</f>
        <v>13.7932753809621</v>
      </c>
      <c r="BG25">
        <f>IF(AND(ISNUMBER(BF25),逐级计算!$X$58&gt;-1),IF(逐级计算!$X$58=0,BF25+逐级计算!$C$58,BF25+逐级计算!$C$58-(10/(逐级计算!$Q$58*LN(10))*(MAX((LN(10^(逐级计算!$Q$58/10)-1)+逐级计算!$Q$58*(BF25-逐级计算!$P$58)*LN(10)/10),0)+LN(1+EXP(-ABS((LN(10^(逐级计算!$Q$58/10)-1)+逐级计算!$Q$58*(BF25-逐级计算!$P$58)*LN(10)/10))))))),"")</f>
        <v>13.7932753809621</v>
      </c>
      <c r="BH25">
        <f>IF(AND(ISNUMBER(BG25),逐级计算!$X$59&gt;-1),IF(逐级计算!$X$59=0,BG25+逐级计算!$C$59,BG25+逐级计算!$C$59-(10/(逐级计算!$Q$59*LN(10))*(MAX((LN(10^(逐级计算!$Q$59/10)-1)+逐级计算!$Q$59*(BG25-逐级计算!$P$59)*LN(10)/10),0)+LN(1+EXP(-ABS((LN(10^(逐级计算!$Q$59/10)-1)+逐级计算!$Q$59*(BG25-逐级计算!$P$59)*LN(10)/10))))))),"")</f>
        <v>13.7932753809621</v>
      </c>
      <c r="BI25">
        <f>IF(AND(ISNUMBER(BH25),逐级计算!$X$60&gt;-1),IF(逐级计算!$X$60=0,BH25+逐级计算!$C$60,BH25+逐级计算!$C$60-(10/(逐级计算!$Q$60*LN(10))*(MAX((LN(10^(逐级计算!$Q$60/10)-1)+逐级计算!$Q$60*(BH25-逐级计算!$P$60)*LN(10)/10),0)+LN(1+EXP(-ABS((LN(10^(逐级计算!$Q$60/10)-1)+逐级计算!$Q$60*(BH25-逐级计算!$P$60)*LN(10)/10))))))),"")</f>
        <v>13.7932753809621</v>
      </c>
      <c r="BJ25">
        <f>IF(AND(ISNUMBER(BI25),逐级计算!$X$61&gt;-1),IF(逐级计算!$X$61=0,BI25+逐级计算!$C$61,BI25+逐级计算!$C$61-(10/(逐级计算!$Q$61*LN(10))*(MAX((LN(10^(逐级计算!$Q$61/10)-1)+逐级计算!$Q$61*(BI25-逐级计算!$P$61)*LN(10)/10),0)+LN(1+EXP(-ABS((LN(10^(逐级计算!$Q$61/10)-1)+逐级计算!$Q$61*(BI25-逐级计算!$P$61)*LN(10)/10))))))),"")</f>
        <v>13.7932753809621</v>
      </c>
      <c r="BK25">
        <f>IF(AND(ISNUMBER(BJ25),逐级计算!$X$62&gt;-1),IF(逐级计算!$X$62=0,BJ25+逐级计算!$C$62,BJ25+逐级计算!$C$62-(10/(逐级计算!$Q$62*LN(10))*(MAX((LN(10^(逐级计算!$Q$62/10)-1)+逐级计算!$Q$62*(BJ25-逐级计算!$P$62)*LN(10)/10),0)+LN(1+EXP(-ABS((LN(10^(逐级计算!$Q$62/10)-1)+逐级计算!$Q$62*(BJ25-逐级计算!$P$62)*LN(10)/10))))))),"")</f>
        <v>13.7932753809621</v>
      </c>
      <c r="BL25">
        <f>IF(AND(ISNUMBER(BK25),逐级计算!$X$63&gt;-1),IF(逐级计算!$X$63=0,BK25+逐级计算!$C$63,BK25+逐级计算!$C$63-(10/(逐级计算!$Q$63*LN(10))*(MAX((LN(10^(逐级计算!$Q$63/10)-1)+逐级计算!$Q$63*(BK25-逐级计算!$P$63)*LN(10)/10),0)+LN(1+EXP(-ABS((LN(10^(逐级计算!$Q$63/10)-1)+逐级计算!$Q$63*(BK25-逐级计算!$P$63)*LN(10)/10))))))),"")</f>
        <v>13.7932753809621</v>
      </c>
      <c r="BM25">
        <f>IF(AND(ISNUMBER(BL25),逐级计算!$X$64&gt;-1),IF(逐级计算!$X$64=0,BL25+逐级计算!$C$64,BL25+逐级计算!$C$64-(10/(逐级计算!$Q$64*LN(10))*(MAX((LN(10^(逐级计算!$Q$64/10)-1)+逐级计算!$Q$64*(BL25-逐级计算!$P$64)*LN(10)/10),0)+LN(1+EXP(-ABS((LN(10^(逐级计算!$Q$64/10)-1)+逐级计算!$Q$64*(BL25-逐级计算!$P$64)*LN(10)/10))))))),"")</f>
        <v>13.7932753809621</v>
      </c>
      <c r="BN25">
        <f>IF(AND(ISNUMBER(BM25),逐级计算!$X$65&gt;-1),IF(逐级计算!$X$65=0,BM25+逐级计算!$C$65,BM25+逐级计算!$C$65-(10/(逐级计算!$Q$65*LN(10))*(MAX((LN(10^(逐级计算!$Q$65/10)-1)+逐级计算!$Q$65*(BM25-逐级计算!$P$65)*LN(10)/10),0)+LN(1+EXP(-ABS((LN(10^(逐级计算!$Q$65/10)-1)+逐级计算!$Q$65*(BM25-逐级计算!$P$65)*LN(10)/10))))))),"")</f>
        <v>13.7932753809621</v>
      </c>
      <c r="BO25">
        <f>IF(AND(ISNUMBER(BN25),逐级计算!$X$66&gt;-1),IF(逐级计算!$X$66=0,BN25+逐级计算!$C$66,BN25+逐级计算!$C$66-(10/(逐级计算!$Q$66*LN(10))*(MAX((LN(10^(逐级计算!$Q$66/10)-1)+逐级计算!$Q$66*(BN25-逐级计算!$P$66)*LN(10)/10),0)+LN(1+EXP(-ABS((LN(10^(逐级计算!$Q$66/10)-1)+逐级计算!$Q$66*(BN25-逐级计算!$P$66)*LN(10)/10))))))),"")</f>
        <v>13.7932753809621</v>
      </c>
      <c r="BP25">
        <f>IF(AND(ISNUMBER(BO25),逐级计算!$X$67&gt;-1),IF(逐级计算!$X$67=0,BO25+逐级计算!$C$67,BO25+逐级计算!$C$67-(10/(逐级计算!$Q$67*LN(10))*(MAX((LN(10^(逐级计算!$Q$67/10)-1)+逐级计算!$Q$67*(BO25-逐级计算!$P$67)*LN(10)/10),0)+LN(1+EXP(-ABS((LN(10^(逐级计算!$Q$67/10)-1)+逐级计算!$Q$67*(BO25-逐级计算!$P$67)*LN(10)/10))))))),"")</f>
        <v>13.7932753809621</v>
      </c>
      <c r="BQ25">
        <f>IF(AND(ISNUMBER(BP25),逐级计算!$X$68&gt;-1),IF(逐级计算!$X$68=0,BP25+逐级计算!$C$68,BP25+逐级计算!$C$68-(10/(逐级计算!$Q$68*LN(10))*(MAX((LN(10^(逐级计算!$Q$68/10)-1)+逐级计算!$Q$68*(BP25-逐级计算!$P$68)*LN(10)/10),0)+LN(1+EXP(-ABS((LN(10^(逐级计算!$Q$68/10)-1)+逐级计算!$Q$68*(BP25-逐级计算!$P$68)*LN(10)/10))))))),"")</f>
        <v>13.7932753809621</v>
      </c>
      <c r="BR25">
        <f>IF(AND(ISNUMBER(BQ25),逐级计算!$X$69&gt;-1),IF(逐级计算!$X$69=0,BQ25+逐级计算!$C$69,BQ25+逐级计算!$C$69-(10/(逐级计算!$Q$69*LN(10))*(MAX((LN(10^(逐级计算!$Q$69/10)-1)+逐级计算!$Q$69*(BQ25-逐级计算!$P$69)*LN(10)/10),0)+LN(1+EXP(-ABS((LN(10^(逐级计算!$Q$69/10)-1)+逐级计算!$Q$69*(BQ25-逐级计算!$P$69)*LN(10)/10))))))),"")</f>
        <v>13.7932753809621</v>
      </c>
      <c r="BS25">
        <f>IF(AND(ISNUMBER(BR25),逐级计算!$X$70&gt;-1),IF(逐级计算!$X$70=0,BR25+逐级计算!$C$70,BR25+逐级计算!$C$70-(10/(逐级计算!$Q$70*LN(10))*(MAX((LN(10^(逐级计算!$Q$70/10)-1)+逐级计算!$Q$70*(BR25-逐级计算!$P$70)*LN(10)/10),0)+LN(1+EXP(-ABS((LN(10^(逐级计算!$Q$70/10)-1)+逐级计算!$Q$70*(BR25-逐级计算!$P$70)*LN(10)/10))))))),"")</f>
        <v>13.7932753809621</v>
      </c>
      <c r="BT25">
        <f>IF(AND(ISNUMBER(BS25),逐级计算!$X$71&gt;-1),IF(逐级计算!$X$71=0,BS25+逐级计算!$C$71,BS25+逐级计算!$C$71-(10/(逐级计算!$Q$71*LN(10))*(MAX((LN(10^(逐级计算!$Q$71/10)-1)+逐级计算!$Q$71*(BS25-逐级计算!$P$71)*LN(10)/10),0)+LN(1+EXP(-ABS((LN(10^(逐级计算!$Q$71/10)-1)+逐级计算!$Q$71*(BS25-逐级计算!$P$71)*LN(10)/10))))))),"")</f>
        <v>13.7932753809621</v>
      </c>
      <c r="BU25">
        <f>IF(AND(ISNUMBER(BT25),逐级计算!$X$72&gt;-1),IF(逐级计算!$X$72=0,BT25+逐级计算!$C$72,BT25+逐级计算!$C$72-(10/(逐级计算!$Q$72*LN(10))*(MAX((LN(10^(逐级计算!$Q$72/10)-1)+逐级计算!$Q$72*(BT25-逐级计算!$P$72)*LN(10)/10),0)+LN(1+EXP(-ABS((LN(10^(逐级计算!$Q$72/10)-1)+逐级计算!$Q$72*(BT25-逐级计算!$P$72)*LN(10)/10))))))),"")</f>
        <v>13.7932753809621</v>
      </c>
      <c r="BV25">
        <f>IF(AND(ISNUMBER(BU25),逐级计算!$X$73&gt;-1),IF(逐级计算!$X$73=0,BU25+逐级计算!$C$73,BU25+逐级计算!$C$73-(10/(逐级计算!$Q$73*LN(10))*(MAX((LN(10^(逐级计算!$Q$73/10)-1)+逐级计算!$Q$73*(BU25-逐级计算!$P$73)*LN(10)/10),0)+LN(1+EXP(-ABS((LN(10^(逐级计算!$Q$73/10)-1)+逐级计算!$Q$73*(BU25-逐级计算!$P$73)*LN(10)/10))))))),"")</f>
        <v>13.7932753809621</v>
      </c>
      <c r="BW25">
        <f>IF(AND(ISNUMBER(BV25),逐级计算!$X$74&gt;-1),IF(逐级计算!$X$74=0,BV25+逐级计算!$C$74,BV25+逐级计算!$C$74-(10/(逐级计算!$Q$74*LN(10))*(MAX((LN(10^(逐级计算!$Q$74/10)-1)+逐级计算!$Q$74*(BV25-逐级计算!$P$74)*LN(10)/10),0)+LN(1+EXP(-ABS((LN(10^(逐级计算!$Q$74/10)-1)+逐级计算!$Q$74*(BV25-逐级计算!$P$74)*LN(10)/10))))))),"")</f>
        <v>13.7932753809621</v>
      </c>
      <c r="BX25">
        <f>IF(AND(ISNUMBER(BW25),逐级计算!$X$75&gt;-1),IF(逐级计算!$X$75=0,BW25+逐级计算!$C$75,BW25+逐级计算!$C$75-(10/(逐级计算!$Q$75*LN(10))*(MAX((LN(10^(逐级计算!$Q$75/10)-1)+逐级计算!$Q$75*(BW25-逐级计算!$P$75)*LN(10)/10),0)+LN(1+EXP(-ABS((LN(10^(逐级计算!$Q$75/10)-1)+逐级计算!$Q$75*(BW25-逐级计算!$P$75)*LN(10)/10))))))),"")</f>
        <v>13.7932753809621</v>
      </c>
      <c r="BY25">
        <f>IF(AND(ISNUMBER(BX25),逐级计算!$X$76&gt;-1),IF(逐级计算!$X$76=0,BX25+逐级计算!$C$76,BX25+逐级计算!$C$76-(10/(逐级计算!$Q$76*LN(10))*(MAX((LN(10^(逐级计算!$Q$76/10)-1)+逐级计算!$Q$76*(BX25-逐级计算!$P$76)*LN(10)/10),0)+LN(1+EXP(-ABS((LN(10^(逐级计算!$Q$76/10)-1)+逐级计算!$Q$76*(BX25-逐级计算!$P$76)*LN(10)/10))))))),"")</f>
        <v>13.7932753809621</v>
      </c>
      <c r="BZ25">
        <f>IF(AND(ISNUMBER(BY25),逐级计算!$X$77&gt;-1),IF(逐级计算!$X$77=0,BY25+逐级计算!$C$77,BY25+逐级计算!$C$77-(10/(逐级计算!$Q$77*LN(10))*(MAX((LN(10^(逐级计算!$Q$77/10)-1)+逐级计算!$Q$77*(BY25-逐级计算!$P$77)*LN(10)/10),0)+LN(1+EXP(-ABS((LN(10^(逐级计算!$Q$77/10)-1)+逐级计算!$Q$77*(BY25-逐级计算!$P$77)*LN(10)/10))))))),"")</f>
        <v>13.7932753809621</v>
      </c>
      <c r="CA25">
        <f>IF(AND(ISNUMBER(BZ25),逐级计算!$X$78&gt;-1),IF(逐级计算!$X$78=0,BZ25+逐级计算!$C$78,BZ25+逐级计算!$C$78-(10/(逐级计算!$Q$78*LN(10))*(MAX((LN(10^(逐级计算!$Q$78/10)-1)+逐级计算!$Q$78*(BZ25-逐级计算!$P$78)*LN(10)/10),0)+LN(1+EXP(-ABS((LN(10^(逐级计算!$Q$78/10)-1)+逐级计算!$Q$78*(BZ25-逐级计算!$P$78)*LN(10)/10))))))),"")</f>
        <v>13.7932753809621</v>
      </c>
      <c r="CB25">
        <f>IF(AND(ISNUMBER(CA25),逐级计算!$X$79&gt;-1),IF(逐级计算!$X$79=0,CA25+逐级计算!$C$79,CA25+逐级计算!$C$79-(10/(逐级计算!$Q$79*LN(10))*(MAX((LN(10^(逐级计算!$Q$79/10)-1)+逐级计算!$Q$79*(CA25-逐级计算!$P$79)*LN(10)/10),0)+LN(1+EXP(-ABS((LN(10^(逐级计算!$Q$79/10)-1)+逐级计算!$Q$79*(CA25-逐级计算!$P$79)*LN(10)/10))))))),"")</f>
        <v>13.7932753809621</v>
      </c>
      <c r="CC25">
        <f>IF(AND(ISNUMBER(CB25),逐级计算!$X$80&gt;-1),IF(逐级计算!$X$80=0,CB25+逐级计算!$C$80,CB25+逐级计算!$C$80-(10/(逐级计算!$Q$80*LN(10))*(MAX((LN(10^(逐级计算!$Q$80/10)-1)+逐级计算!$Q$80*(CB25-逐级计算!$P$80)*LN(10)/10),0)+LN(1+EXP(-ABS((LN(10^(逐级计算!$Q$80/10)-1)+逐级计算!$Q$80*(CB25-逐级计算!$P$80)*LN(10)/10))))))),"")</f>
        <v>13.7932753809621</v>
      </c>
      <c r="CD25">
        <f>IF(AND(ISNUMBER(CC25),逐级计算!$X$81&gt;-1),IF(逐级计算!$X$81=0,CC25+逐级计算!$C$81,CC25+逐级计算!$C$81-(10/(逐级计算!$Q$81*LN(10))*(MAX((LN(10^(逐级计算!$Q$81/10)-1)+逐级计算!$Q$81*(CC25-逐级计算!$P$81)*LN(10)/10),0)+LN(1+EXP(-ABS((LN(10^(逐级计算!$Q$81/10)-1)+逐级计算!$Q$81*(CC25-逐级计算!$P$81)*LN(10)/10))))))),"")</f>
        <v>13.7932753809621</v>
      </c>
      <c r="CE25">
        <f>IF(AND(ISNUMBER(CD25),逐级计算!$X$82&gt;-1),IF(逐级计算!$X$82=0,CD25+逐级计算!$C$82,CD25+逐级计算!$C$82-(10/(逐级计算!$Q$82*LN(10))*(MAX((LN(10^(逐级计算!$Q$82/10)-1)+逐级计算!$Q$82*(CD25-逐级计算!$P$82)*LN(10)/10),0)+LN(1+EXP(-ABS((LN(10^(逐级计算!$Q$82/10)-1)+逐级计算!$Q$82*(CD25-逐级计算!$P$82)*LN(10)/10))))))),"")</f>
        <v>13.7932753809621</v>
      </c>
      <c r="CF25">
        <f>IF(AND(ISNUMBER(CE25),逐级计算!$X$83&gt;-1),IF(逐级计算!$X$83=0,CE25+逐级计算!$C$83,CE25+逐级计算!$C$83-(10/(逐级计算!$Q$83*LN(10))*(MAX((LN(10^(逐级计算!$Q$83/10)-1)+逐级计算!$Q$83*(CE25-逐级计算!$P$83)*LN(10)/10),0)+LN(1+EXP(-ABS((LN(10^(逐级计算!$Q$83/10)-1)+逐级计算!$Q$83*(CE25-逐级计算!$P$83)*LN(10)/10))))))),"")</f>
        <v>13.7932753809621</v>
      </c>
      <c r="CG25">
        <f>IF(AND(ISNUMBER(CF25),逐级计算!$X$84&gt;-1),IF(逐级计算!$X$84=0,CF25+逐级计算!$C$84,CF25+逐级计算!$C$84-(10/(逐级计算!$Q$84*LN(10))*(MAX((LN(10^(逐级计算!$Q$84/10)-1)+逐级计算!$Q$84*(CF25-逐级计算!$P$84)*LN(10)/10),0)+LN(1+EXP(-ABS((LN(10^(逐级计算!$Q$84/10)-1)+逐级计算!$Q$84*(CF25-逐级计算!$P$84)*LN(10)/10))))))),"")</f>
        <v>13.7932753809621</v>
      </c>
      <c r="CH25">
        <f>IF(AND(ISNUMBER(CG25),逐级计算!$X$85&gt;-1),IF(逐级计算!$X$85=0,CG25+逐级计算!$C$85,CG25+逐级计算!$C$85-(10/(逐级计算!$Q$85*LN(10))*(MAX((LN(10^(逐级计算!$Q$85/10)-1)+逐级计算!$Q$85*(CG25-逐级计算!$P$85)*LN(10)/10),0)+LN(1+EXP(-ABS((LN(10^(逐级计算!$Q$85/10)-1)+逐级计算!$Q$85*(CG25-逐级计算!$P$85)*LN(10)/10))))))),"")</f>
        <v>13.7932753809621</v>
      </c>
      <c r="CI25">
        <f>IF(AND(ISNUMBER(CH25),逐级计算!$X$86&gt;-1),IF(逐级计算!$X$86=0,CH25+逐级计算!$C$86,CH25+逐级计算!$C$86-(10/(逐级计算!$Q$86*LN(10))*(MAX((LN(10^(逐级计算!$Q$86/10)-1)+逐级计算!$Q$86*(CH25-逐级计算!$P$86)*LN(10)/10),0)+LN(1+EXP(-ABS((LN(10^(逐级计算!$Q$86/10)-1)+逐级计算!$Q$86*(CH25-逐级计算!$P$86)*LN(10)/10))))))),"")</f>
        <v>13.7932753809621</v>
      </c>
      <c r="CJ25">
        <f>IF(AND(ISNUMBER(CI25),逐级计算!$X$87&gt;-1),IF(逐级计算!$X$87=0,CI25+逐级计算!$C$87,CI25+逐级计算!$C$87-(10/(逐级计算!$Q$87*LN(10))*(MAX((LN(10^(逐级计算!$Q$87/10)-1)+逐级计算!$Q$87*(CI25-逐级计算!$P$87)*LN(10)/10),0)+LN(1+EXP(-ABS((LN(10^(逐级计算!$Q$87/10)-1)+逐级计算!$Q$87*(CI25-逐级计算!$P$87)*LN(10)/10))))))),"")</f>
        <v>13.7932753809621</v>
      </c>
      <c r="CK25">
        <f>IF(AND(ISNUMBER(CJ25),逐级计算!$X$88&gt;-1),IF(逐级计算!$X$88=0,CJ25+逐级计算!$C$88,CJ25+逐级计算!$C$88-(10/(逐级计算!$Q$88*LN(10))*(MAX((LN(10^(逐级计算!$Q$88/10)-1)+逐级计算!$Q$88*(CJ25-逐级计算!$P$88)*LN(10)/10),0)+LN(1+EXP(-ABS((LN(10^(逐级计算!$Q$88/10)-1)+逐级计算!$Q$88*(CJ25-逐级计算!$P$88)*LN(10)/10))))))),"")</f>
        <v>13.7932753809621</v>
      </c>
      <c r="CL25">
        <f>IF(AND(ISNUMBER(CK25),逐级计算!$X$89&gt;-1),IF(逐级计算!$X$89=0,CK25+逐级计算!$C$89,CK25+逐级计算!$C$89-(10/(逐级计算!$Q$89*LN(10))*(MAX((LN(10^(逐级计算!$Q$89/10)-1)+逐级计算!$Q$89*(CK25-逐级计算!$P$89)*LN(10)/10),0)+LN(1+EXP(-ABS((LN(10^(逐级计算!$Q$89/10)-1)+逐级计算!$Q$89*(CK25-逐级计算!$P$89)*LN(10)/10))))))),"")</f>
        <v>13.7932753809621</v>
      </c>
      <c r="CM25">
        <f>IF(AND(ISNUMBER(CL25),逐级计算!$X$90&gt;-1),IF(逐级计算!$X$90=0,CL25+逐级计算!$C$90,CL25+逐级计算!$C$90-(10/(逐级计算!$Q$90*LN(10))*(MAX((LN(10^(逐级计算!$Q$90/10)-1)+逐级计算!$Q$90*(CL25-逐级计算!$P$90)*LN(10)/10),0)+LN(1+EXP(-ABS((LN(10^(逐级计算!$Q$90/10)-1)+逐级计算!$Q$90*(CL25-逐级计算!$P$90)*LN(10)/10))))))),"")</f>
        <v>13.7932753809621</v>
      </c>
      <c r="CN25">
        <f>IF(AND(ISNUMBER(CM25),逐级计算!$X$91&gt;-1),IF(逐级计算!$X$91=0,CM25+逐级计算!$C$91,CM25+逐级计算!$C$91-(10/(逐级计算!$Q$91*LN(10))*(MAX((LN(10^(逐级计算!$Q$91/10)-1)+逐级计算!$Q$91*(CM25-逐级计算!$P$91)*LN(10)/10),0)+LN(1+EXP(-ABS((LN(10^(逐级计算!$Q$91/10)-1)+逐级计算!$Q$91*(CM25-逐级计算!$P$91)*LN(10)/10))))))),"")</f>
        <v>13.7932753809621</v>
      </c>
      <c r="CO25">
        <f>IF(AND(ISNUMBER(CN25),逐级计算!$X$92&gt;-1),IF(逐级计算!$X$92=0,CN25+逐级计算!$C$92,CN25+逐级计算!$C$92-(10/(逐级计算!$Q$92*LN(10))*(MAX((LN(10^(逐级计算!$Q$92/10)-1)+逐级计算!$Q$92*(CN25-逐级计算!$P$92)*LN(10)/10),0)+LN(1+EXP(-ABS((LN(10^(逐级计算!$Q$92/10)-1)+逐级计算!$Q$92*(CN25-逐级计算!$P$92)*LN(10)/10))))))),"")</f>
        <v>13.7932753809621</v>
      </c>
      <c r="CP25">
        <f>IF(AND(ISNUMBER(CO25),逐级计算!$X$93&gt;-1),IF(逐级计算!$X$93=0,CO25+逐级计算!$C$93,CO25+逐级计算!$C$93-(10/(逐级计算!$Q$93*LN(10))*(MAX((LN(10^(逐级计算!$Q$93/10)-1)+逐级计算!$Q$93*(CO25-逐级计算!$P$93)*LN(10)/10),0)+LN(1+EXP(-ABS((LN(10^(逐级计算!$Q$93/10)-1)+逐级计算!$Q$93*(CO25-逐级计算!$P$93)*LN(10)/10))))))),"")</f>
        <v>13.7932753809621</v>
      </c>
      <c r="CQ25">
        <f>IF(AND(ISNUMBER(CP25),逐级计算!$X$94&gt;-1),IF(逐级计算!$X$94=0,CP25+逐级计算!$C$94,CP25+逐级计算!$C$94-(10/(逐级计算!$Q$94*LN(10))*(MAX((LN(10^(逐级计算!$Q$94/10)-1)+逐级计算!$Q$94*(CP25-逐级计算!$P$94)*LN(10)/10),0)+LN(1+EXP(-ABS((LN(10^(逐级计算!$Q$94/10)-1)+逐级计算!$Q$94*(CP25-逐级计算!$P$94)*LN(10)/10))))))),"")</f>
        <v>13.7932753809621</v>
      </c>
      <c r="CR25">
        <f>IF(AND(ISNUMBER(CQ25),逐级计算!$X$95&gt;-1),IF(逐级计算!$X$95=0,CQ25+逐级计算!$C$95,CQ25+逐级计算!$C$95-(10/(逐级计算!$Q$95*LN(10))*(MAX((LN(10^(逐级计算!$Q$95/10)-1)+逐级计算!$Q$95*(CQ25-逐级计算!$P$95)*LN(10)/10),0)+LN(1+EXP(-ABS((LN(10^(逐级计算!$Q$95/10)-1)+逐级计算!$Q$95*(CQ25-逐级计算!$P$95)*LN(10)/10))))))),"")</f>
        <v>13.7932753809621</v>
      </c>
      <c r="CS25">
        <f>IF(AND(ISNUMBER(CR25),逐级计算!$X$96&gt;-1),IF(逐级计算!$X$96=0,CR25+逐级计算!$C$96,CR25+逐级计算!$C$96-(10/(逐级计算!$Q$96*LN(10))*(MAX((LN(10^(逐级计算!$Q$96/10)-1)+逐级计算!$Q$96*(CR25-逐级计算!$P$96)*LN(10)/10),0)+LN(1+EXP(-ABS((LN(10^(逐级计算!$Q$96/10)-1)+逐级计算!$Q$96*(CR25-逐级计算!$P$96)*LN(10)/10))))))),"")</f>
        <v>13.7932753809621</v>
      </c>
      <c r="CT25">
        <f>IF(AND(ISNUMBER(CS25),逐级计算!$X$97&gt;-1),IF(逐级计算!$X$97=0,CS25+逐级计算!$C$97,CS25+逐级计算!$C$97-(10/(逐级计算!$Q$97*LN(10))*(MAX((LN(10^(逐级计算!$Q$97/10)-1)+逐级计算!$Q$97*(CS25-逐级计算!$P$97)*LN(10)/10),0)+LN(1+EXP(-ABS((LN(10^(逐级计算!$Q$97/10)-1)+逐级计算!$Q$97*(CS25-逐级计算!$P$97)*LN(10)/10))))))),"")</f>
        <v>13.7932753809621</v>
      </c>
      <c r="CU25">
        <f>IF(AND(ISNUMBER(CT25),逐级计算!$X$98&gt;-1),IF(逐级计算!$X$98=0,CT25+逐级计算!$C$98,CT25+逐级计算!$C$98-(10/(逐级计算!$Q$98*LN(10))*(MAX((LN(10^(逐级计算!$Q$98/10)-1)+逐级计算!$Q$98*(CT25-逐级计算!$P$98)*LN(10)/10),0)+LN(1+EXP(-ABS((LN(10^(逐级计算!$Q$98/10)-1)+逐级计算!$Q$98*(CT25-逐级计算!$P$98)*LN(10)/10))))))),"")</f>
        <v>13.7932753809621</v>
      </c>
      <c r="CV25">
        <f>IF(AND(ISNUMBER(CU25),逐级计算!$X$99&gt;-1),IF(逐级计算!$X$99=0,CU25+逐级计算!$C$99,CU25+逐级计算!$C$99-(10/(逐级计算!$Q$99*LN(10))*(MAX((LN(10^(逐级计算!$Q$99/10)-1)+逐级计算!$Q$99*(CU25-逐级计算!$P$99)*LN(10)/10),0)+LN(1+EXP(-ABS((LN(10^(逐级计算!$Q$99/10)-1)+逐级计算!$Q$99*(CU25-逐级计算!$P$99)*LN(10)/10))))))),"")</f>
        <v>13.7932753809621</v>
      </c>
      <c r="CW25">
        <f>IF(AND(ISNUMBER(CV25),逐级计算!$X$100&gt;-1),IF(逐级计算!$X$100=0,CV25+逐级计算!$C$100,CV25+逐级计算!$C$100-(10/(逐级计算!$Q$100*LN(10))*(MAX((LN(10^(逐级计算!$Q$100/10)-1)+逐级计算!$Q$100*(CV25-逐级计算!$P$100)*LN(10)/10),0)+LN(1+EXP(-ABS((LN(10^(逐级计算!$Q$100/10)-1)+逐级计算!$Q$100*(CV25-逐级计算!$P$100)*LN(10)/10))))))),"")</f>
        <v>13.7932753809621</v>
      </c>
      <c r="CX25">
        <f>IF(AND(ISNUMBER(CW25),逐级计算!$X$101&gt;-1),IF(逐级计算!$X$101=0,CW25+逐级计算!$C$101,CW25+逐级计算!$C$101-(10/(逐级计算!$Q$101*LN(10))*(MAX((LN(10^(逐级计算!$Q$101/10)-1)+逐级计算!$Q$101*(CW25-逐级计算!$P$101)*LN(10)/10),0)+LN(1+EXP(-ABS((LN(10^(逐级计算!$Q$101/10)-1)+逐级计算!$Q$101*(CW25-逐级计算!$P$101)*LN(10)/10))))))),"")</f>
        <v>13.7932753809621</v>
      </c>
      <c r="CY25">
        <f>IF(AND(ISNUMBER(CX25),逐级计算!$X$102&gt;-1),IF(逐级计算!$X$102=0,CX25+逐级计算!$C$102,CX25+逐级计算!$C$102-(10/(逐级计算!$Q$102*LN(10))*(MAX((LN(10^(逐级计算!$Q$102/10)-1)+逐级计算!$Q$102*(CX25-逐级计算!$P$102)*LN(10)/10),0)+LN(1+EXP(-ABS((LN(10^(逐级计算!$Q$102/10)-1)+逐级计算!$Q$102*(CX25-逐级计算!$P$102)*LN(10)/10))))))),"")</f>
        <v>13.7932753809621</v>
      </c>
      <c r="CZ25">
        <f>IF(AND(ISNUMBER(CY25),逐级计算!$X$103&gt;-1),IF(逐级计算!$X$103=0,CY25+逐级计算!$C$103,CY25+逐级计算!$C$103-(10/(逐级计算!$Q$103*LN(10))*(MAX((LN(10^(逐级计算!$Q$103/10)-1)+逐级计算!$Q$103*(CY25-逐级计算!$P$103)*LN(10)/10),0)+LN(1+EXP(-ABS((LN(10^(逐级计算!$Q$103/10)-1)+逐级计算!$Q$103*(CY25-逐级计算!$P$103)*LN(10)/10))))))),"")</f>
        <v>13.7932753809621</v>
      </c>
      <c r="DA25">
        <f>IF(AND(ISNUMBER(CZ25),逐级计算!$X$104&gt;-1),IF(逐级计算!$X$104=0,CZ25+逐级计算!$C$104,CZ25+逐级计算!$C$104-(10/(逐级计算!$Q$104*LN(10))*(MAX((LN(10^(逐级计算!$Q$104/10)-1)+逐级计算!$Q$104*(CZ25-逐级计算!$P$104)*LN(10)/10),0)+LN(1+EXP(-ABS((LN(10^(逐级计算!$Q$104/10)-1)+逐级计算!$Q$104*(CZ25-逐级计算!$P$104)*LN(10)/10))))))),"")</f>
        <v>13.7932753809621</v>
      </c>
      <c r="DB25">
        <f>IF(AND(ISNUMBER(DA25),逐级计算!$X$105&gt;-1),IF(逐级计算!$X$105=0,DA25+逐级计算!$C$105,DA25+逐级计算!$C$105-(10/(逐级计算!$Q$105*LN(10))*(MAX((LN(10^(逐级计算!$Q$105/10)-1)+逐级计算!$Q$105*(DA25-逐级计算!$P$105)*LN(10)/10),0)+LN(1+EXP(-ABS((LN(10^(逐级计算!$Q$105/10)-1)+逐级计算!$Q$105*(DA25-逐级计算!$P$105)*LN(10)/10))))))),"")</f>
        <v>13.7932753809621</v>
      </c>
      <c r="DC25">
        <f>IF(AND(ISNUMBER(DB25),逐级计算!$X$106&gt;-1),IF(逐级计算!$X$106=0,DB25+逐级计算!$C$106,DB25+逐级计算!$C$106-(10/(逐级计算!$Q$106*LN(10))*(MAX((LN(10^(逐级计算!$Q$106/10)-1)+逐级计算!$Q$106*(DB25-逐级计算!$P$106)*LN(10)/10),0)+LN(1+EXP(-ABS((LN(10^(逐级计算!$Q$106/10)-1)+逐级计算!$Q$106*(DB25-逐级计算!$P$106)*LN(10)/10))))))),"")</f>
        <v>13.7932753809621</v>
      </c>
      <c r="DD25">
        <f>IF(AND(ISNUMBER(DC25),逐级计算!$X$107&gt;-1),IF(逐级计算!$X$107=0,DC25+逐级计算!$C$107,DC25+逐级计算!$C$107-(10/(逐级计算!$Q$107*LN(10))*(MAX((LN(10^(逐级计算!$Q$107/10)-1)+逐级计算!$Q$107*(DC25-逐级计算!$P$107)*LN(10)/10),0)+LN(1+EXP(-ABS((LN(10^(逐级计算!$Q$107/10)-1)+逐级计算!$Q$107*(DC25-逐级计算!$P$107)*LN(10)/10))))))),"")</f>
        <v>13.7932753809621</v>
      </c>
      <c r="DE25">
        <f>IF(AND(ISNUMBER(DD25),逐级计算!$X$108&gt;-1),IF(逐级计算!$X$108=0,DD25+逐级计算!$C$108,DD25+逐级计算!$C$108-(10/(逐级计算!$Q$108*LN(10))*(MAX((LN(10^(逐级计算!$Q$108/10)-1)+逐级计算!$Q$108*(DD25-逐级计算!$P$108)*LN(10)/10),0)+LN(1+EXP(-ABS((LN(10^(逐级计算!$Q$108/10)-1)+逐级计算!$Q$108*(DD25-逐级计算!$P$108)*LN(10)/10))))))),"")</f>
        <v>13.7932753809621</v>
      </c>
      <c r="DF25">
        <f>IF(AND(ISNUMBER(DE25),逐级计算!$X$109&gt;-1),IF(逐级计算!$X$109=0,DE25+逐级计算!$C$109,DE25+逐级计算!$C$109-(10/(逐级计算!$Q$109*LN(10))*(MAX((LN(10^(逐级计算!$Q$109/10)-1)+逐级计算!$Q$109*(DE25-逐级计算!$P$109)*LN(10)/10),0)+LN(1+EXP(-ABS((LN(10^(逐级计算!$Q$109/10)-1)+逐级计算!$Q$109*(DE25-逐级计算!$P$109)*LN(10)/10))))))),"")</f>
        <v>13.7932753809621</v>
      </c>
      <c r="DG25">
        <f>IF(AND(ISNUMBER(DF25),逐级计算!$X$110&gt;-1),IF(逐级计算!$X$110=0,DF25+逐级计算!$C$110,DF25+逐级计算!$C$110-(10/(逐级计算!$Q$110*LN(10))*(MAX((LN(10^(逐级计算!$Q$110/10)-1)+逐级计算!$Q$110*(DF25-逐级计算!$P$110)*LN(10)/10),0)+LN(1+EXP(-ABS((LN(10^(逐级计算!$Q$110/10)-1)+逐级计算!$Q$110*(DF25-逐级计算!$P$110)*LN(10)/10))))))),"")</f>
        <v>13.7932753809621</v>
      </c>
      <c r="DH25">
        <f>IF(AND(ISNUMBER(DG25),逐级计算!$X$111&gt;-1),IF(逐级计算!$X$111=0,DG25+逐级计算!$C$111,DG25+逐级计算!$C$111-(10/(逐级计算!$Q$111*LN(10))*(MAX((LN(10^(逐级计算!$Q$111/10)-1)+逐级计算!$Q$111*(DG25-逐级计算!$P$111)*LN(10)/10),0)+LN(1+EXP(-ABS((LN(10^(逐级计算!$Q$111/10)-1)+逐级计算!$Q$111*(DG25-逐级计算!$P$111)*LN(10)/10))))))),"")</f>
        <v>13.7932753809621</v>
      </c>
      <c r="DI25">
        <f>IF(AND(ISNUMBER(DH25),逐级计算!$X$112&gt;-1),IF(逐级计算!$X$112=0,DH25+逐级计算!$C$112,DH25+逐级计算!$C$112-(10/(逐级计算!$Q$112*LN(10))*(MAX((LN(10^(逐级计算!$Q$112/10)-1)+逐级计算!$Q$112*(DH25-逐级计算!$P$112)*LN(10)/10),0)+LN(1+EXP(-ABS((LN(10^(逐级计算!$Q$112/10)-1)+逐级计算!$Q$112*(DH25-逐级计算!$P$112)*LN(10)/10))))))),"")</f>
        <v>13.7932753809621</v>
      </c>
      <c r="DJ25">
        <f>IF(AND(ISNUMBER(DI25),逐级计算!$X$113&gt;-1),IF(逐级计算!$X$113=0,DI25+逐级计算!$C$113,DI25+逐级计算!$C$113-(10/(逐级计算!$Q$113*LN(10))*(MAX((LN(10^(逐级计算!$Q$113/10)-1)+逐级计算!$Q$113*(DI25-逐级计算!$P$113)*LN(10)/10),0)+LN(1+EXP(-ABS((LN(10^(逐级计算!$Q$113/10)-1)+逐级计算!$Q$113*(DI25-逐级计算!$P$113)*LN(10)/10))))))),"")</f>
        <v>13.7932753809621</v>
      </c>
      <c r="DK25">
        <f>IF(AND(ISNUMBER(DJ25),逐级计算!$X$114&gt;-1),IF(逐级计算!$X$114=0,DJ25+逐级计算!$C$114,DJ25+逐级计算!$C$114-(10/(逐级计算!$Q$114*LN(10))*(MAX((LN(10^(逐级计算!$Q$114/10)-1)+逐级计算!$Q$114*(DJ25-逐级计算!$P$114)*LN(10)/10),0)+LN(1+EXP(-ABS((LN(10^(逐级计算!$Q$114/10)-1)+逐级计算!$Q$114*(DJ25-逐级计算!$P$114)*LN(10)/10))))))),"")</f>
        <v>13.7932753809621</v>
      </c>
      <c r="DL25">
        <f>IF(AND(ISNUMBER(DK25),逐级计算!$X$115&gt;-1),IF(逐级计算!$X$115=0,DK25+逐级计算!$C$115,DK25+逐级计算!$C$115-(10/(逐级计算!$Q$115*LN(10))*(MAX((LN(10^(逐级计算!$Q$115/10)-1)+逐级计算!$Q$115*(DK25-逐级计算!$P$115)*LN(10)/10),0)+LN(1+EXP(-ABS((LN(10^(逐级计算!$Q$115/10)-1)+逐级计算!$Q$115*(DK25-逐级计算!$P$115)*LN(10)/10))))))),"")</f>
        <v>13.7932753809621</v>
      </c>
      <c r="DM25">
        <f>IF(AND(ISNUMBER(DL25),逐级计算!$X$116&gt;-1),IF(逐级计算!$X$116=0,DL25+逐级计算!$C$116,DL25+逐级计算!$C$116-(10/(逐级计算!$Q$116*LN(10))*(MAX((LN(10^(逐级计算!$Q$116/10)-1)+逐级计算!$Q$116*(DL25-逐级计算!$P$116)*LN(10)/10),0)+LN(1+EXP(-ABS((LN(10^(逐级计算!$Q$116/10)-1)+逐级计算!$Q$116*(DL25-逐级计算!$P$116)*LN(10)/10))))))),"")</f>
        <v>13.7932753809621</v>
      </c>
      <c r="DN25">
        <f>IF(AND(ISNUMBER(DM25),逐级计算!$X$117&gt;-1),IF(逐级计算!$X$117=0,DM25+逐级计算!$C$117,DM25+逐级计算!$C$117-(10/(逐级计算!$Q$117*LN(10))*(MAX((LN(10^(逐级计算!$Q$117/10)-1)+逐级计算!$Q$117*(DM25-逐级计算!$P$117)*LN(10)/10),0)+LN(1+EXP(-ABS((LN(10^(逐级计算!$Q$117/10)-1)+逐级计算!$Q$117*(DM25-逐级计算!$P$117)*LN(10)/10))))))),"")</f>
        <v>13.7932753809621</v>
      </c>
      <c r="DO25">
        <f>IF(AND(ISNUMBER(DN25),逐级计算!$X$118&gt;-1),IF(逐级计算!$X$118=0,DN25+逐级计算!$C$118,DN25+逐级计算!$C$118-(10/(逐级计算!$Q$118*LN(10))*(MAX((LN(10^(逐级计算!$Q$118/10)-1)+逐级计算!$Q$118*(DN25-逐级计算!$P$118)*LN(10)/10),0)+LN(1+EXP(-ABS((LN(10^(逐级计算!$Q$118/10)-1)+逐级计算!$Q$118*(DN25-逐级计算!$P$118)*LN(10)/10))))))),"")</f>
        <v>13.7932753809621</v>
      </c>
      <c r="DP25">
        <f>IF(AND(ISNUMBER(DO25),逐级计算!$X$119&gt;-1),IF(逐级计算!$X$119=0,DO25+逐级计算!$C$119,DO25+逐级计算!$C$119-(10/(逐级计算!$Q$119*LN(10))*(MAX((LN(10^(逐级计算!$Q$119/10)-1)+逐级计算!$Q$119*(DO25-逐级计算!$P$119)*LN(10)/10),0)+LN(1+EXP(-ABS((LN(10^(逐级计算!$Q$119/10)-1)+逐级计算!$Q$119*(DO25-逐级计算!$P$119)*LN(10)/10))))))),"")</f>
        <v>13.7932753809621</v>
      </c>
      <c r="DQ25">
        <f>IF(AND(ISNUMBER(DP25),逐级计算!$X$120&gt;-1),IF(逐级计算!$X$120=0,DP25+逐级计算!$C$120,DP25+逐级计算!$C$120-(10/(逐级计算!$Q$120*LN(10))*(MAX((LN(10^(逐级计算!$Q$120/10)-1)+逐级计算!$Q$120*(DP25-逐级计算!$P$120)*LN(10)/10),0)+LN(1+EXP(-ABS((LN(10^(逐级计算!$Q$120/10)-1)+逐级计算!$Q$120*(DP25-逐级计算!$P$120)*LN(10)/10))))))),"")</f>
        <v>13.7932753809621</v>
      </c>
      <c r="DR25">
        <f>IF(AND(ISNUMBER(DQ25),逐级计算!$X$121&gt;-1),IF(逐级计算!$X$121=0,DQ25+逐级计算!$C$121,DQ25+逐级计算!$C$121-(10/(逐级计算!$Q$121*LN(10))*(MAX((LN(10^(逐级计算!$Q$121/10)-1)+逐级计算!$Q$121*(DQ25-逐级计算!$P$121)*LN(10)/10),0)+LN(1+EXP(-ABS((LN(10^(逐级计算!$Q$121/10)-1)+逐级计算!$Q$121*(DQ25-逐级计算!$P$121)*LN(10)/10))))))),"")</f>
        <v>13.7932753809621</v>
      </c>
      <c r="DS25">
        <f>IF(AND(ISNUMBER(DR25),逐级计算!$X$122&gt;-1),IF(逐级计算!$X$122=0,DR25+逐级计算!$C$122,DR25+逐级计算!$C$122-(10/(逐级计算!$Q$122*LN(10))*(MAX((LN(10^(逐级计算!$Q$122/10)-1)+逐级计算!$Q$122*(DR25-逐级计算!$P$122)*LN(10)/10),0)+LN(1+EXP(-ABS((LN(10^(逐级计算!$Q$122/10)-1)+逐级计算!$Q$122*(DR25-逐级计算!$P$122)*LN(10)/10))))))),"")</f>
        <v>13.7932753809621</v>
      </c>
      <c r="DT25">
        <f>IF(AND(ISNUMBER(DS25),逐级计算!$X$123&gt;-1),IF(逐级计算!$X$123=0,DS25+逐级计算!$C$123,DS25+逐级计算!$C$123-(10/(逐级计算!$Q$123*LN(10))*(MAX((LN(10^(逐级计算!$Q$123/10)-1)+逐级计算!$Q$123*(DS25-逐级计算!$P$123)*LN(10)/10),0)+LN(1+EXP(-ABS((LN(10^(逐级计算!$Q$123/10)-1)+逐级计算!$Q$123*(DS25-逐级计算!$P$123)*LN(10)/10))))))),"")</f>
        <v>13.7932753809621</v>
      </c>
      <c r="DU25">
        <f>IF(AND(ISNUMBER(DT25),逐级计算!$X$124&gt;-1),IF(逐级计算!$X$124=0,DT25+逐级计算!$C$124,DT25+逐级计算!$C$124-(10/(逐级计算!$Q$124*LN(10))*(MAX((LN(10^(逐级计算!$Q$124/10)-1)+逐级计算!$Q$124*(DT25-逐级计算!$P$124)*LN(10)/10),0)+LN(1+EXP(-ABS((LN(10^(逐级计算!$Q$124/10)-1)+逐级计算!$Q$124*(DT25-逐级计算!$P$124)*LN(10)/10))))))),"")</f>
        <v>13.7932753809621</v>
      </c>
      <c r="DV25">
        <f>IF(AND(ISNUMBER(DU25),逐级计算!$X$125&gt;-1),IF(逐级计算!$X$125=0,DU25+逐级计算!$C$125,DU25+逐级计算!$C$125-(10/(逐级计算!$Q$125*LN(10))*(MAX((LN(10^(逐级计算!$Q$125/10)-1)+逐级计算!$Q$125*(DU25-逐级计算!$P$125)*LN(10)/10),0)+LN(1+EXP(-ABS((LN(10^(逐级计算!$Q$125/10)-1)+逐级计算!$Q$125*(DU25-逐级计算!$P$125)*LN(10)/10))))))),"")</f>
        <v>13.7932753809621</v>
      </c>
      <c r="DW25">
        <f>IF(AND(ISNUMBER(DV25),逐级计算!$X$126&gt;-1),IF(逐级计算!$X$126=0,DV25+逐级计算!$C$126,DV25+逐级计算!$C$126-(10/(逐级计算!$Q$126*LN(10))*(MAX((LN(10^(逐级计算!$Q$126/10)-1)+逐级计算!$Q$126*(DV25-逐级计算!$P$126)*LN(10)/10),0)+LN(1+EXP(-ABS((LN(10^(逐级计算!$Q$126/10)-1)+逐级计算!$Q$126*(DV25-逐级计算!$P$126)*LN(10)/10))))))),"")</f>
        <v>13.7932753809621</v>
      </c>
      <c r="DX25">
        <f>IF(AND(ISNUMBER(DW25),逐级计算!$X$127&gt;-1),IF(逐级计算!$X$127=0,DW25+逐级计算!$C$127,DW25+逐级计算!$C$127-(10/(逐级计算!$Q$127*LN(10))*(MAX((LN(10^(逐级计算!$Q$127/10)-1)+逐级计算!$Q$127*(DW25-逐级计算!$P$127)*LN(10)/10),0)+LN(1+EXP(-ABS((LN(10^(逐级计算!$Q$127/10)-1)+逐级计算!$Q$127*(DW25-逐级计算!$P$127)*LN(10)/10))))))),"")</f>
        <v>13.7932753809621</v>
      </c>
      <c r="DY25">
        <f>IF(AND(ISNUMBER(DX25),逐级计算!$X$128&gt;-1),IF(逐级计算!$X$128=0,DX25+逐级计算!$C$128,DX25+逐级计算!$C$128-(10/(逐级计算!$Q$128*LN(10))*(MAX((LN(10^(逐级计算!$Q$128/10)-1)+逐级计算!$Q$128*(DX25-逐级计算!$P$128)*LN(10)/10),0)+LN(1+EXP(-ABS((LN(10^(逐级计算!$Q$128/10)-1)+逐级计算!$Q$128*(DX25-逐级计算!$P$128)*LN(10)/10))))))),"")</f>
        <v>13.7932753809621</v>
      </c>
      <c r="DZ25">
        <f>IF(AND(ISNUMBER(DY25),逐级计算!$X$129&gt;-1),IF(逐级计算!$X$129=0,DY25+逐级计算!$C$129,DY25+逐级计算!$C$129-(10/(逐级计算!$Q$129*LN(10))*(MAX((LN(10^(逐级计算!$Q$129/10)-1)+逐级计算!$Q$129*(DY25-逐级计算!$P$129)*LN(10)/10),0)+LN(1+EXP(-ABS((LN(10^(逐级计算!$Q$129/10)-1)+逐级计算!$Q$129*(DY25-逐级计算!$P$129)*LN(10)/10))))))),"")</f>
        <v>13.7932753809621</v>
      </c>
      <c r="EA25">
        <f>IF(AND(ISNUMBER(DZ25),逐级计算!$X$130&gt;-1),IF(逐级计算!$X$130=0,DZ25+逐级计算!$C$130,DZ25+逐级计算!$C$130-(10/(逐级计算!$Q$130*LN(10))*(MAX((LN(10^(逐级计算!$Q$130/10)-1)+逐级计算!$Q$130*(DZ25-逐级计算!$P$130)*LN(10)/10),0)+LN(1+EXP(-ABS((LN(10^(逐级计算!$Q$130/10)-1)+逐级计算!$Q$130*(DZ25-逐级计算!$P$130)*LN(10)/10))))))),"")</f>
        <v>13.7932753809621</v>
      </c>
      <c r="EB25">
        <f>IF(AND(ISNUMBER(EA25),逐级计算!$X$131&gt;-1),IF(逐级计算!$X$131=0,EA25+逐级计算!$C$131,EA25+逐级计算!$C$131-(10/(逐级计算!$Q$131*LN(10))*(MAX((LN(10^(逐级计算!$Q$131/10)-1)+逐级计算!$Q$131*(EA25-逐级计算!$P$131)*LN(10)/10),0)+LN(1+EXP(-ABS((LN(10^(逐级计算!$Q$131/10)-1)+逐级计算!$Q$131*(EA25-逐级计算!$P$131)*LN(10)/10))))))),"")</f>
        <v>13.7932753809621</v>
      </c>
      <c r="EC25">
        <f>IF(AND(ISNUMBER(EB25),逐级计算!$X$132&gt;-1),IF(逐级计算!$X$132=0,EB25+逐级计算!$C$132,EB25+逐级计算!$C$132-(10/(逐级计算!$Q$132*LN(10))*(MAX((LN(10^(逐级计算!$Q$132/10)-1)+逐级计算!$Q$132*(EB25-逐级计算!$P$132)*LN(10)/10),0)+LN(1+EXP(-ABS((LN(10^(逐级计算!$Q$132/10)-1)+逐级计算!$Q$132*(EB25-逐级计算!$P$132)*LN(10)/10))))))),"")</f>
        <v>13.7932753809621</v>
      </c>
      <c r="ED25">
        <f>IF(AND(ISNUMBER(EC25),逐级计算!$X$133&gt;-1),IF(逐级计算!$X$133=0,EC25+逐级计算!$C$133,EC25+逐级计算!$C$133-(10/(逐级计算!$Q$133*LN(10))*(MAX((LN(10^(逐级计算!$Q$133/10)-1)+逐级计算!$Q$133*(EC25-逐级计算!$P$133)*LN(10)/10),0)+LN(1+EXP(-ABS((LN(10^(逐级计算!$Q$133/10)-1)+逐级计算!$Q$133*(EC25-逐级计算!$P$133)*LN(10)/10))))))),"")</f>
        <v>13.7932753809621</v>
      </c>
      <c r="EE25">
        <f>IF(AND(ISNUMBER(ED25),逐级计算!$X$134&gt;-1),IF(逐级计算!$X$134=0,ED25+逐级计算!$C$134,ED25+逐级计算!$C$134-(10/(逐级计算!$Q$134*LN(10))*(MAX((LN(10^(逐级计算!$Q$134/10)-1)+逐级计算!$Q$134*(ED25-逐级计算!$P$134)*LN(10)/10),0)+LN(1+EXP(-ABS((LN(10^(逐级计算!$Q$134/10)-1)+逐级计算!$Q$134*(ED25-逐级计算!$P$134)*LN(10)/10))))))),"")</f>
        <v>13.7932753809621</v>
      </c>
      <c r="EF25">
        <f>IF(AND(ISNUMBER(EE25),逐级计算!$X$135&gt;-1),IF(逐级计算!$X$135=0,EE25+逐级计算!$C$135,EE25+逐级计算!$C$135-(10/(逐级计算!$Q$135*LN(10))*(MAX((LN(10^(逐级计算!$Q$135/10)-1)+逐级计算!$Q$135*(EE25-逐级计算!$P$135)*LN(10)/10),0)+LN(1+EXP(-ABS((LN(10^(逐级计算!$Q$135/10)-1)+逐级计算!$Q$135*(EE25-逐级计算!$P$135)*LN(10)/10))))))),"")</f>
        <v>13.7932753809621</v>
      </c>
      <c r="EG25">
        <f>IF(AND(ISNUMBER(EF25),逐级计算!$X$136&gt;-1),IF(逐级计算!$X$136=0,EF25+逐级计算!$C$136,EF25+逐级计算!$C$136-(10/(逐级计算!$Q$136*LN(10))*(MAX((LN(10^(逐级计算!$Q$136/10)-1)+逐级计算!$Q$136*(EF25-逐级计算!$P$136)*LN(10)/10),0)+LN(1+EXP(-ABS((LN(10^(逐级计算!$Q$136/10)-1)+逐级计算!$Q$136*(EF25-逐级计算!$P$136)*LN(10)/10))))))),"")</f>
        <v>13.7932753809621</v>
      </c>
      <c r="EH25">
        <f>IF(AND(ISNUMBER(EG25),逐级计算!$X$137&gt;-1),IF(逐级计算!$X$137=0,EG25+逐级计算!$C$137,EG25+逐级计算!$C$137-(10/(逐级计算!$Q$137*LN(10))*(MAX((LN(10^(逐级计算!$Q$137/10)-1)+逐级计算!$Q$137*(EG25-逐级计算!$P$137)*LN(10)/10),0)+LN(1+EXP(-ABS((LN(10^(逐级计算!$Q$137/10)-1)+逐级计算!$Q$137*(EG25-逐级计算!$P$137)*LN(10)/10))))))),"")</f>
        <v>13.7932753809621</v>
      </c>
      <c r="EI25">
        <f>IF(AND(ISNUMBER(EH25),逐级计算!$X$138&gt;-1),IF(逐级计算!$X$138=0,EH25+逐级计算!$C$138,EH25+逐级计算!$C$138-(10/(逐级计算!$Q$138*LN(10))*(MAX((LN(10^(逐级计算!$Q$138/10)-1)+逐级计算!$Q$138*(EH25-逐级计算!$P$138)*LN(10)/10),0)+LN(1+EXP(-ABS((LN(10^(逐级计算!$Q$138/10)-1)+逐级计算!$Q$138*(EH25-逐级计算!$P$138)*LN(10)/10))))))),"")</f>
        <v>13.7932753809621</v>
      </c>
      <c r="EJ25">
        <f>IF(AND(ISNUMBER(EI25),逐级计算!$X$139&gt;-1),IF(逐级计算!$X$139=0,EI25+逐级计算!$C$139,EI25+逐级计算!$C$139-(10/(逐级计算!$Q$139*LN(10))*(MAX((LN(10^(逐级计算!$Q$139/10)-1)+逐级计算!$Q$139*(EI25-逐级计算!$P$139)*LN(10)/10),0)+LN(1+EXP(-ABS((LN(10^(逐级计算!$Q$139/10)-1)+逐级计算!$Q$139*(EI25-逐级计算!$P$139)*LN(10)/10))))))),"")</f>
        <v>13.7932753809621</v>
      </c>
      <c r="EK25">
        <f>IF(AND(ISNUMBER(EJ25),逐级计算!$X$140&gt;-1),IF(逐级计算!$X$140=0,EJ25+逐级计算!$C$140,EJ25+逐级计算!$C$140-(10/(逐级计算!$Q$140*LN(10))*(MAX((LN(10^(逐级计算!$Q$140/10)-1)+逐级计算!$Q$140*(EJ25-逐级计算!$P$140)*LN(10)/10),0)+LN(1+EXP(-ABS((LN(10^(逐级计算!$Q$140/10)-1)+逐级计算!$Q$140*(EJ25-逐级计算!$P$140)*LN(10)/10))))))),"")</f>
        <v>13.7932753809621</v>
      </c>
      <c r="EL25">
        <f>IF(AND(ISNUMBER(EK25),逐级计算!$X$141&gt;-1),IF(逐级计算!$X$141=0,EK25+逐级计算!$C$141,EK25+逐级计算!$C$141-(10/(逐级计算!$Q$141*LN(10))*(MAX((LN(10^(逐级计算!$Q$141/10)-1)+逐级计算!$Q$141*(EK25-逐级计算!$P$141)*LN(10)/10),0)+LN(1+EXP(-ABS((LN(10^(逐级计算!$Q$141/10)-1)+逐级计算!$Q$141*(EK25-逐级计算!$P$141)*LN(10)/10))))))),"")</f>
        <v>13.7932753809621</v>
      </c>
      <c r="EM25">
        <f>IF(AND(ISNUMBER(EL25),逐级计算!$X$142&gt;-1),IF(逐级计算!$X$142=0,EL25+逐级计算!$C$142,EL25+逐级计算!$C$142-(10/(逐级计算!$Q$142*LN(10))*(MAX((LN(10^(逐级计算!$Q$142/10)-1)+逐级计算!$Q$142*(EL25-逐级计算!$P$142)*LN(10)/10),0)+LN(1+EXP(-ABS((LN(10^(逐级计算!$Q$142/10)-1)+逐级计算!$Q$142*(EL25-逐级计算!$P$142)*LN(10)/10))))))),"")</f>
        <v>13.7932753809621</v>
      </c>
      <c r="EN25">
        <f>IF(AND(ISNUMBER(EM25),逐级计算!$X$143&gt;-1),IF(逐级计算!$X$143=0,EM25+逐级计算!$C$143,EM25+逐级计算!$C$143-(10/(逐级计算!$Q$143*LN(10))*(MAX((LN(10^(逐级计算!$Q$143/10)-1)+逐级计算!$Q$143*(EM25-逐级计算!$P$143)*LN(10)/10),0)+LN(1+EXP(-ABS((LN(10^(逐级计算!$Q$143/10)-1)+逐级计算!$Q$143*(EM25-逐级计算!$P$143)*LN(10)/10))))))),"")</f>
        <v>13.7932753809621</v>
      </c>
      <c r="EO25">
        <f>IF(AND(ISNUMBER(EN25),逐级计算!$X$144&gt;-1),IF(逐级计算!$X$144=0,EN25+逐级计算!$C$144,EN25+逐级计算!$C$144-(10/(逐级计算!$Q$144*LN(10))*(MAX((LN(10^(逐级计算!$Q$144/10)-1)+逐级计算!$Q$144*(EN25-逐级计算!$P$144)*LN(10)/10),0)+LN(1+EXP(-ABS((LN(10^(逐级计算!$Q$144/10)-1)+逐级计算!$Q$144*(EN25-逐级计算!$P$144)*LN(10)/10))))))),"")</f>
        <v>13.7932753809621</v>
      </c>
      <c r="EP25">
        <f>IF(AND(ISNUMBER(EO25),逐级计算!$X$145&gt;-1),IF(逐级计算!$X$145=0,EO25+逐级计算!$C$145,EO25+逐级计算!$C$145-(10/(逐级计算!$Q$145*LN(10))*(MAX((LN(10^(逐级计算!$Q$145/10)-1)+逐级计算!$Q$145*(EO25-逐级计算!$P$145)*LN(10)/10),0)+LN(1+EXP(-ABS((LN(10^(逐级计算!$Q$145/10)-1)+逐级计算!$Q$145*(EO25-逐级计算!$P$145)*LN(10)/10))))))),"")</f>
        <v>13.7932753809621</v>
      </c>
      <c r="EQ25">
        <f>IF(AND(ISNUMBER(EP25),逐级计算!$X$146&gt;-1),IF(逐级计算!$X$146=0,EP25+逐级计算!$C$146,EP25+逐级计算!$C$146-(10/(逐级计算!$Q$146*LN(10))*(MAX((LN(10^(逐级计算!$Q$146/10)-1)+逐级计算!$Q$146*(EP25-逐级计算!$P$146)*LN(10)/10),0)+LN(1+EXP(-ABS((LN(10^(逐级计算!$Q$146/10)-1)+逐级计算!$Q$146*(EP25-逐级计算!$P$146)*LN(10)/10))))))),"")</f>
        <v>13.7932753809621</v>
      </c>
      <c r="ER25">
        <f>IF(AND(ISNUMBER(EQ25),逐级计算!$X$147&gt;-1),IF(逐级计算!$X$147=0,EQ25+逐级计算!$C$147,EQ25+逐级计算!$C$147-(10/(逐级计算!$Q$147*LN(10))*(MAX((LN(10^(逐级计算!$Q$147/10)-1)+逐级计算!$Q$147*(EQ25-逐级计算!$P$147)*LN(10)/10),0)+LN(1+EXP(-ABS((LN(10^(逐级计算!$Q$147/10)-1)+逐级计算!$Q$147*(EQ25-逐级计算!$P$147)*LN(10)/10))))))),"")</f>
        <v>13.7932753809621</v>
      </c>
      <c r="ES25">
        <f>IF(AND(ISNUMBER(ER25),逐级计算!$X$148&gt;-1),IF(逐级计算!$X$148=0,ER25+逐级计算!$C$148,ER25+逐级计算!$C$148-(10/(逐级计算!$Q$148*LN(10))*(MAX((LN(10^(逐级计算!$Q$148/10)-1)+逐级计算!$Q$148*(ER25-逐级计算!$P$148)*LN(10)/10),0)+LN(1+EXP(-ABS((LN(10^(逐级计算!$Q$148/10)-1)+逐级计算!$Q$148*(ER25-逐级计算!$P$148)*LN(10)/10))))))),"")</f>
        <v>13.7932753809621</v>
      </c>
      <c r="ET25">
        <f>IF(AND(ISNUMBER(ES25),逐级计算!$X$149&gt;-1),IF(逐级计算!$X$149=0,ES25+逐级计算!$C$149,ES25+逐级计算!$C$149-(10/(逐级计算!$Q$149*LN(10))*(MAX((LN(10^(逐级计算!$Q$149/10)-1)+逐级计算!$Q$149*(ES25-逐级计算!$P$149)*LN(10)/10),0)+LN(1+EXP(-ABS((LN(10^(逐级计算!$Q$149/10)-1)+逐级计算!$Q$149*(ES25-逐级计算!$P$149)*LN(10)/10))))))),"")</f>
        <v>13.7932753809621</v>
      </c>
      <c r="EU25">
        <f>IF(AND(ISNUMBER(ET25),逐级计算!$X$150&gt;-1),IF(逐级计算!$X$150=0,ET25+逐级计算!$C$150,ET25+逐级计算!$C$150-(10/(逐级计算!$Q$150*LN(10))*(MAX((LN(10^(逐级计算!$Q$150/10)-1)+逐级计算!$Q$150*(ET25-逐级计算!$P$150)*LN(10)/10),0)+LN(1+EXP(-ABS((LN(10^(逐级计算!$Q$150/10)-1)+逐级计算!$Q$150*(ET25-逐级计算!$P$150)*LN(10)/10))))))),"")</f>
        <v>13.7932753809621</v>
      </c>
      <c r="EV25">
        <f>IF(AND(ISNUMBER(EU25),逐级计算!$X$151&gt;-1),IF(逐级计算!$X$151=0,EU25+逐级计算!$C$151,EU25+逐级计算!$C$151-(10/(逐级计算!$Q$151*LN(10))*(MAX((LN(10^(逐级计算!$Q$151/10)-1)+逐级计算!$Q$151*(EU25-逐级计算!$P$151)*LN(10)/10),0)+LN(1+EXP(-ABS((LN(10^(逐级计算!$Q$151/10)-1)+逐级计算!$Q$151*(EU25-逐级计算!$P$151)*LN(10)/10))))))),"")</f>
        <v>13.7932753809621</v>
      </c>
      <c r="EW25">
        <f>IF(AND(ISNUMBER(EV25),逐级计算!$X$152&gt;-1),IF(逐级计算!$X$152=0,EV25+逐级计算!$C$152,EV25+逐级计算!$C$152-(10/(逐级计算!$Q$152*LN(10))*(MAX((LN(10^(逐级计算!$Q$152/10)-1)+逐级计算!$Q$152*(EV25-逐级计算!$P$152)*LN(10)/10),0)+LN(1+EXP(-ABS((LN(10^(逐级计算!$Q$152/10)-1)+逐级计算!$Q$152*(EV25-逐级计算!$P$152)*LN(10)/10))))))),"")</f>
        <v>13.7932753809621</v>
      </c>
      <c r="EX25">
        <f>IF(AND(ISNUMBER(EW25),逐级计算!$X$153&gt;-1),IF(逐级计算!$X$153=0,EW25+逐级计算!$C$153,EW25+逐级计算!$C$153-(10/(逐级计算!$Q$153*LN(10))*(MAX((LN(10^(逐级计算!$Q$153/10)-1)+逐级计算!$Q$153*(EW25-逐级计算!$P$153)*LN(10)/10),0)+LN(1+EXP(-ABS((LN(10^(逐级计算!$Q$153/10)-1)+逐级计算!$Q$153*(EW25-逐级计算!$P$153)*LN(10)/10))))))),"")</f>
        <v>13.7932753809621</v>
      </c>
      <c r="EY25">
        <f>IF(AND(ISNUMBER(EX25),逐级计算!$X$154&gt;-1),IF(逐级计算!$X$154=0,EX25+逐级计算!$C$154,EX25+逐级计算!$C$154-(10/(逐级计算!$Q$154*LN(10))*(MAX((LN(10^(逐级计算!$Q$154/10)-1)+逐级计算!$Q$154*(EX25-逐级计算!$P$154)*LN(10)/10),0)+LN(1+EXP(-ABS((LN(10^(逐级计算!$Q$154/10)-1)+逐级计算!$Q$154*(EX25-逐级计算!$P$154)*LN(10)/10))))))),"")</f>
        <v>13.7932753809621</v>
      </c>
      <c r="EZ25">
        <f>IF(AND(ISNUMBER(EY25),逐级计算!$X$155&gt;-1),IF(逐级计算!$X$155=0,EY25+逐级计算!$C$155,EY25+逐级计算!$C$155-(10/(逐级计算!$Q$155*LN(10))*(MAX((LN(10^(逐级计算!$Q$155/10)-1)+逐级计算!$Q$155*(EY25-逐级计算!$P$155)*LN(10)/10),0)+LN(1+EXP(-ABS((LN(10^(逐级计算!$Q$155/10)-1)+逐级计算!$Q$155*(EY25-逐级计算!$P$155)*LN(10)/10))))))),"")</f>
        <v>13.7932753809621</v>
      </c>
      <c r="FA25">
        <f>IF(AND(ISNUMBER(EZ25),逐级计算!$X$156&gt;-1),IF(逐级计算!$X$156=0,EZ25+逐级计算!$C$156,EZ25+逐级计算!$C$156-(10/(逐级计算!$Q$156*LN(10))*(MAX((LN(10^(逐级计算!$Q$156/10)-1)+逐级计算!$Q$156*(EZ25-逐级计算!$P$156)*LN(10)/10),0)+LN(1+EXP(-ABS((LN(10^(逐级计算!$Q$156/10)-1)+逐级计算!$Q$156*(EZ25-逐级计算!$P$156)*LN(10)/10))))))),"")</f>
        <v>13.7932753809621</v>
      </c>
      <c r="FB25">
        <f>IF(AND(ISNUMBER(FA25),逐级计算!$X$157&gt;-1),IF(逐级计算!$X$157=0,FA25+逐级计算!$C$157,FA25+逐级计算!$C$157-(10/(逐级计算!$Q$157*LN(10))*(MAX((LN(10^(逐级计算!$Q$157/10)-1)+逐级计算!$Q$157*(FA25-逐级计算!$P$157)*LN(10)/10),0)+LN(1+EXP(-ABS((LN(10^(逐级计算!$Q$157/10)-1)+逐级计算!$Q$157*(FA25-逐级计算!$P$157)*LN(10)/10))))))),"")</f>
        <v>13.7932753809621</v>
      </c>
      <c r="FC25">
        <f>IF(AND(ISNUMBER(FB25),逐级计算!$X$158&gt;-1),IF(逐级计算!$X$158=0,FB25+逐级计算!$C$158,FB25+逐级计算!$C$158-(10/(逐级计算!$Q$158*LN(10))*(MAX((LN(10^(逐级计算!$Q$158/10)-1)+逐级计算!$Q$158*(FB25-逐级计算!$P$158)*LN(10)/10),0)+LN(1+EXP(-ABS((LN(10^(逐级计算!$Q$158/10)-1)+逐级计算!$Q$158*(FB25-逐级计算!$P$158)*LN(10)/10))))))),"")</f>
        <v>13.7932753809621</v>
      </c>
      <c r="FD25">
        <f>IF(AND(ISNUMBER(FC25),逐级计算!$X$159&gt;-1),IF(逐级计算!$X$159=0,FC25+逐级计算!$C$159,FC25+逐级计算!$C$159-(10/(逐级计算!$Q$159*LN(10))*(MAX((LN(10^(逐级计算!$Q$159/10)-1)+逐级计算!$Q$159*(FC25-逐级计算!$P$159)*LN(10)/10),0)+LN(1+EXP(-ABS((LN(10^(逐级计算!$Q$159/10)-1)+逐级计算!$Q$159*(FC25-逐级计算!$P$159)*LN(10)/10))))))),"")</f>
        <v>13.7932753809621</v>
      </c>
      <c r="FE25">
        <f>IF(AND(ISNUMBER(FD25),逐级计算!$X$160&gt;-1),IF(逐级计算!$X$160=0,FD25+逐级计算!$C$160,FD25+逐级计算!$C$160-(10/(逐级计算!$Q$160*LN(10))*(MAX((LN(10^(逐级计算!$Q$160/10)-1)+逐级计算!$Q$160*(FD25-逐级计算!$P$160)*LN(10)/10),0)+LN(1+EXP(-ABS((LN(10^(逐级计算!$Q$160/10)-1)+逐级计算!$Q$160*(FD25-逐级计算!$P$160)*LN(10)/10))))))),"")</f>
        <v>13.7932753809621</v>
      </c>
      <c r="FF25">
        <f>IF(AND(ISNUMBER(FE25),逐级计算!$X$161&gt;-1),IF(逐级计算!$X$161=0,FE25+逐级计算!$C$161,FE25+逐级计算!$C$161-(10/(逐级计算!$Q$161*LN(10))*(MAX((LN(10^(逐级计算!$Q$161/10)-1)+逐级计算!$Q$161*(FE25-逐级计算!$P$161)*LN(10)/10),0)+LN(1+EXP(-ABS((LN(10^(逐级计算!$Q$161/10)-1)+逐级计算!$Q$161*(FE25-逐级计算!$P$161)*LN(10)/10))))))),"")</f>
        <v>13.7932753809621</v>
      </c>
      <c r="FG25">
        <f>IF(AND(ISNUMBER(FF25),逐级计算!$X$162&gt;-1),IF(逐级计算!$X$162=0,FF25+逐级计算!$C$162,FF25+逐级计算!$C$162-(10/(逐级计算!$Q$162*LN(10))*(MAX((LN(10^(逐级计算!$Q$162/10)-1)+逐级计算!$Q$162*(FF25-逐级计算!$P$162)*LN(10)/10),0)+LN(1+EXP(-ABS((LN(10^(逐级计算!$Q$162/10)-1)+逐级计算!$Q$162*(FF25-逐级计算!$P$162)*LN(10)/10))))))),"")</f>
        <v>13.7932753809621</v>
      </c>
      <c r="FH25">
        <f>IF(AND(ISNUMBER(FG25),逐级计算!$X$163&gt;-1),IF(逐级计算!$X$163=0,FG25+逐级计算!$C$163,FG25+逐级计算!$C$163-(10/(逐级计算!$Q$163*LN(10))*(MAX((LN(10^(逐级计算!$Q$163/10)-1)+逐级计算!$Q$163*(FG25-逐级计算!$P$163)*LN(10)/10),0)+LN(1+EXP(-ABS((LN(10^(逐级计算!$Q$163/10)-1)+逐级计算!$Q$163*(FG25-逐级计算!$P$163)*LN(10)/10))))))),"")</f>
        <v>13.7932753809621</v>
      </c>
      <c r="FI25">
        <f>IF(AND(ISNUMBER(FH25),逐级计算!$X$164&gt;-1),IF(逐级计算!$X$164=0,FH25+逐级计算!$C$164,FH25+逐级计算!$C$164-(10/(逐级计算!$Q$164*LN(10))*(MAX((LN(10^(逐级计算!$Q$164/10)-1)+逐级计算!$Q$164*(FH25-逐级计算!$P$164)*LN(10)/10),0)+LN(1+EXP(-ABS((LN(10^(逐级计算!$Q$164/10)-1)+逐级计算!$Q$164*(FH25-逐级计算!$P$164)*LN(10)/10))))))),"")</f>
        <v>13.7932753809621</v>
      </c>
      <c r="FJ25">
        <f>IF(AND(ISNUMBER(FI25),逐级计算!$X$165&gt;-1),IF(逐级计算!$X$165=0,FI25+逐级计算!$C$165,FI25+逐级计算!$C$165-(10/(逐级计算!$Q$165*LN(10))*(MAX((LN(10^(逐级计算!$Q$165/10)-1)+逐级计算!$Q$165*(FI25-逐级计算!$P$165)*LN(10)/10),0)+LN(1+EXP(-ABS((LN(10^(逐级计算!$Q$165/10)-1)+逐级计算!$Q$165*(FI25-逐级计算!$P$165)*LN(10)/10))))))),"")</f>
        <v>13.7932753809621</v>
      </c>
      <c r="FK25">
        <f>IF(AND(ISNUMBER(FJ25),逐级计算!$X$166&gt;-1),IF(逐级计算!$X$166=0,FJ25+逐级计算!$C$166,FJ25+逐级计算!$C$166-(10/(逐级计算!$Q$166*LN(10))*(MAX((LN(10^(逐级计算!$Q$166/10)-1)+逐级计算!$Q$166*(FJ25-逐级计算!$P$166)*LN(10)/10),0)+LN(1+EXP(-ABS((LN(10^(逐级计算!$Q$166/10)-1)+逐级计算!$Q$166*(FJ25-逐级计算!$P$166)*LN(10)/10))))))),"")</f>
        <v>13.7932753809621</v>
      </c>
      <c r="FL25">
        <f>IF(AND(ISNUMBER(FK25),逐级计算!$X$167&gt;-1),IF(逐级计算!$X$167=0,FK25+逐级计算!$C$167,FK25+逐级计算!$C$167-(10/(逐级计算!$Q$167*LN(10))*(MAX((LN(10^(逐级计算!$Q$167/10)-1)+逐级计算!$Q$167*(FK25-逐级计算!$P$167)*LN(10)/10),0)+LN(1+EXP(-ABS((LN(10^(逐级计算!$Q$167/10)-1)+逐级计算!$Q$167*(FK25-逐级计算!$P$167)*LN(10)/10))))))),"")</f>
        <v>13.7932753809621</v>
      </c>
      <c r="FM25">
        <f>IF(AND(ISNUMBER(FL25),逐级计算!$X$168&gt;-1),IF(逐级计算!$X$168=0,FL25+逐级计算!$C$168,FL25+逐级计算!$C$168-(10/(逐级计算!$Q$168*LN(10))*(MAX((LN(10^(逐级计算!$Q$168/10)-1)+逐级计算!$Q$168*(FL25-逐级计算!$P$168)*LN(10)/10),0)+LN(1+EXP(-ABS((LN(10^(逐级计算!$Q$168/10)-1)+逐级计算!$Q$168*(FL25-逐级计算!$P$168)*LN(10)/10))))))),"")</f>
        <v>13.7932753809621</v>
      </c>
      <c r="FN25">
        <f>IF(AND(ISNUMBER(FM25),逐级计算!$X$169&gt;-1),IF(逐级计算!$X$169=0,FM25+逐级计算!$C$169,FM25+逐级计算!$C$169-(10/(逐级计算!$Q$169*LN(10))*(MAX((LN(10^(逐级计算!$Q$169/10)-1)+逐级计算!$Q$169*(FM25-逐级计算!$P$169)*LN(10)/10),0)+LN(1+EXP(-ABS((LN(10^(逐级计算!$Q$169/10)-1)+逐级计算!$Q$169*(FM25-逐级计算!$P$169)*LN(10)/10))))))),"")</f>
        <v>13.7932753809621</v>
      </c>
      <c r="FO25">
        <f>IF(AND(ISNUMBER(FN25),逐级计算!$X$170&gt;-1),IF(逐级计算!$X$170=0,FN25+逐级计算!$C$170,FN25+逐级计算!$C$170-(10/(逐级计算!$Q$170*LN(10))*(MAX((LN(10^(逐级计算!$Q$170/10)-1)+逐级计算!$Q$170*(FN25-逐级计算!$P$170)*LN(10)/10),0)+LN(1+EXP(-ABS((LN(10^(逐级计算!$Q$170/10)-1)+逐级计算!$Q$170*(FN25-逐级计算!$P$170)*LN(10)/10))))))),"")</f>
        <v>13.7932753809621</v>
      </c>
      <c r="FP25">
        <f>IF(AND(ISNUMBER(FO25),逐级计算!$X$171&gt;-1),IF(逐级计算!$X$171=0,FO25+逐级计算!$C$171,FO25+逐级计算!$C$171-(10/(逐级计算!$Q$171*LN(10))*(MAX((LN(10^(逐级计算!$Q$171/10)-1)+逐级计算!$Q$171*(FO25-逐级计算!$P$171)*LN(10)/10),0)+LN(1+EXP(-ABS((LN(10^(逐级计算!$Q$171/10)-1)+逐级计算!$Q$171*(FO25-逐级计算!$P$171)*LN(10)/10))))))),"")</f>
        <v>13.7932753809621</v>
      </c>
      <c r="FQ25">
        <f>IF(AND(ISNUMBER(FP25),逐级计算!$X$172&gt;-1),IF(逐级计算!$X$172=0,FP25+逐级计算!$C$172,FP25+逐级计算!$C$172-(10/(逐级计算!$Q$172*LN(10))*(MAX((LN(10^(逐级计算!$Q$172/10)-1)+逐级计算!$Q$172*(FP25-逐级计算!$P$172)*LN(10)/10),0)+LN(1+EXP(-ABS((LN(10^(逐级计算!$Q$172/10)-1)+逐级计算!$Q$172*(FP25-逐级计算!$P$172)*LN(10)/10))))))),"")</f>
        <v>13.7932753809621</v>
      </c>
      <c r="FR25">
        <f>IF(AND(ISNUMBER(FQ25),逐级计算!$X$173&gt;-1),IF(逐级计算!$X$173=0,FQ25+逐级计算!$C$173,FQ25+逐级计算!$C$173-(10/(逐级计算!$Q$173*LN(10))*(MAX((LN(10^(逐级计算!$Q$173/10)-1)+逐级计算!$Q$173*(FQ25-逐级计算!$P$173)*LN(10)/10),0)+LN(1+EXP(-ABS((LN(10^(逐级计算!$Q$173/10)-1)+逐级计算!$Q$173*(FQ25-逐级计算!$P$173)*LN(10)/10))))))),"")</f>
        <v>13.7932753809621</v>
      </c>
      <c r="FS25">
        <f>IF(AND(ISNUMBER(FR25),逐级计算!$X$174&gt;-1),IF(逐级计算!$X$174=0,FR25+逐级计算!$C$174,FR25+逐级计算!$C$174-(10/(逐级计算!$Q$174*LN(10))*(MAX((LN(10^(逐级计算!$Q$174/10)-1)+逐级计算!$Q$174*(FR25-逐级计算!$P$174)*LN(10)/10),0)+LN(1+EXP(-ABS((LN(10^(逐级计算!$Q$174/10)-1)+逐级计算!$Q$174*(FR25-逐级计算!$P$174)*LN(10)/10))))))),"")</f>
        <v>13.7932753809621</v>
      </c>
      <c r="FT25">
        <f>IF(AND(ISNUMBER(FS25),逐级计算!$X$175&gt;-1),IF(逐级计算!$X$175=0,FS25+逐级计算!$C$175,FS25+逐级计算!$C$175-(10/(逐级计算!$Q$175*LN(10))*(MAX((LN(10^(逐级计算!$Q$175/10)-1)+逐级计算!$Q$175*(FS25-逐级计算!$P$175)*LN(10)/10),0)+LN(1+EXP(-ABS((LN(10^(逐级计算!$Q$175/10)-1)+逐级计算!$Q$175*(FS25-逐级计算!$P$175)*LN(10)/10))))))),"")</f>
        <v>13.7932753809621</v>
      </c>
      <c r="FU25">
        <f>IF(AND(ISNUMBER(FT25),逐级计算!$X$176&gt;-1),IF(逐级计算!$X$176=0,FT25+逐级计算!$C$176,FT25+逐级计算!$C$176-(10/(逐级计算!$Q$176*LN(10))*(MAX((LN(10^(逐级计算!$Q$176/10)-1)+逐级计算!$Q$176*(FT25-逐级计算!$P$176)*LN(10)/10),0)+LN(1+EXP(-ABS((LN(10^(逐级计算!$Q$176/10)-1)+逐级计算!$Q$176*(FT25-逐级计算!$P$176)*LN(10)/10))))))),"")</f>
        <v>13.7932753809621</v>
      </c>
      <c r="FV25">
        <f>IF(AND(ISNUMBER(FU25),逐级计算!$X$177&gt;-1),IF(逐级计算!$X$177=0,FU25+逐级计算!$C$177,FU25+逐级计算!$C$177-(10/(逐级计算!$Q$177*LN(10))*(MAX((LN(10^(逐级计算!$Q$177/10)-1)+逐级计算!$Q$177*(FU25-逐级计算!$P$177)*LN(10)/10),0)+LN(1+EXP(-ABS((LN(10^(逐级计算!$Q$177/10)-1)+逐级计算!$Q$177*(FU25-逐级计算!$P$177)*LN(10)/10))))))),"")</f>
        <v>13.7932753809621</v>
      </c>
      <c r="FW25">
        <f>IF(AND(ISNUMBER(FV25),逐级计算!$X$178&gt;-1),IF(逐级计算!$X$178=0,FV25+逐级计算!$C$178,FV25+逐级计算!$C$178-(10/(逐级计算!$Q$178*LN(10))*(MAX((LN(10^(逐级计算!$Q$178/10)-1)+逐级计算!$Q$178*(FV25-逐级计算!$P$178)*LN(10)/10),0)+LN(1+EXP(-ABS((LN(10^(逐级计算!$Q$178/10)-1)+逐级计算!$Q$178*(FV25-逐级计算!$P$178)*LN(10)/10))))))),"")</f>
        <v>13.7932753809621</v>
      </c>
      <c r="FX25">
        <f>IF(AND(ISNUMBER(FW25),逐级计算!$X$179&gt;-1),IF(逐级计算!$X$179=0,FW25+逐级计算!$C$179,FW25+逐级计算!$C$179-(10/(逐级计算!$Q$179*LN(10))*(MAX((LN(10^(逐级计算!$Q$179/10)-1)+逐级计算!$Q$179*(FW25-逐级计算!$P$179)*LN(10)/10),0)+LN(1+EXP(-ABS((LN(10^(逐级计算!$Q$179/10)-1)+逐级计算!$Q$179*(FW25-逐级计算!$P$179)*LN(10)/10))))))),"")</f>
        <v>13.7932753809621</v>
      </c>
      <c r="FY25">
        <f>IF(AND(ISNUMBER(FX25),逐级计算!$X$180&gt;-1),IF(逐级计算!$X$180=0,FX25+逐级计算!$C$180,FX25+逐级计算!$C$180-(10/(逐级计算!$Q$180*LN(10))*(MAX((LN(10^(逐级计算!$Q$180/10)-1)+逐级计算!$Q$180*(FX25-逐级计算!$P$180)*LN(10)/10),0)+LN(1+EXP(-ABS((LN(10^(逐级计算!$Q$180/10)-1)+逐级计算!$Q$180*(FX25-逐级计算!$P$180)*LN(10)/10))))))),"")</f>
        <v>13.7932753809621</v>
      </c>
      <c r="FZ25">
        <f>IF(AND(ISNUMBER(FY25),逐级计算!$X$181&gt;-1),IF(逐级计算!$X$181=0,FY25+逐级计算!$C$181,FY25+逐级计算!$C$181-(10/(逐级计算!$Q$181*LN(10))*(MAX((LN(10^(逐级计算!$Q$181/10)-1)+逐级计算!$Q$181*(FY25-逐级计算!$P$181)*LN(10)/10),0)+LN(1+EXP(-ABS((LN(10^(逐级计算!$Q$181/10)-1)+逐级计算!$Q$181*(FY25-逐级计算!$P$181)*LN(10)/10))))))),"")</f>
        <v>13.7932753809621</v>
      </c>
      <c r="GA25">
        <f>IF(AND(ISNUMBER(FZ25),逐级计算!$X$182&gt;-1),IF(逐级计算!$X$182=0,FZ25+逐级计算!$C$182,FZ25+逐级计算!$C$182-(10/(逐级计算!$Q$182*LN(10))*(MAX((LN(10^(逐级计算!$Q$182/10)-1)+逐级计算!$Q$182*(FZ25-逐级计算!$P$182)*LN(10)/10),0)+LN(1+EXP(-ABS((LN(10^(逐级计算!$Q$182/10)-1)+逐级计算!$Q$182*(FZ25-逐级计算!$P$182)*LN(10)/10))))))),"")</f>
        <v>13.7932753809621</v>
      </c>
      <c r="GB25">
        <f>IF(AND(ISNUMBER(GA25),逐级计算!$X$183&gt;-1),IF(逐级计算!$X$183=0,GA25+逐级计算!$C$183,GA25+逐级计算!$C$183-(10/(逐级计算!$Q$183*LN(10))*(MAX((LN(10^(逐级计算!$Q$183/10)-1)+逐级计算!$Q$183*(GA25-逐级计算!$P$183)*LN(10)/10),0)+LN(1+EXP(-ABS((LN(10^(逐级计算!$Q$183/10)-1)+逐级计算!$Q$183*(GA25-逐级计算!$P$183)*LN(10)/10))))))),"")</f>
        <v>13.7932753809621</v>
      </c>
      <c r="GC25">
        <f>IF(AND(ISNUMBER(GB25),逐级计算!$X$184&gt;-1),IF(逐级计算!$X$184=0,GB25+逐级计算!$C$184,GB25+逐级计算!$C$184-(10/(逐级计算!$Q$184*LN(10))*(MAX((LN(10^(逐级计算!$Q$184/10)-1)+逐级计算!$Q$184*(GB25-逐级计算!$P$184)*LN(10)/10),0)+LN(1+EXP(-ABS((LN(10^(逐级计算!$Q$184/10)-1)+逐级计算!$Q$184*(GB25-逐级计算!$P$184)*LN(10)/10))))))),"")</f>
        <v>13.7932753809621</v>
      </c>
      <c r="GD25">
        <f>IF(AND(ISNUMBER(GC25),逐级计算!$X$185&gt;-1),IF(逐级计算!$X$185=0,GC25+逐级计算!$C$185,GC25+逐级计算!$C$185-(10/(逐级计算!$Q$185*LN(10))*(MAX((LN(10^(逐级计算!$Q$185/10)-1)+逐级计算!$Q$185*(GC25-逐级计算!$P$185)*LN(10)/10),0)+LN(1+EXP(-ABS((LN(10^(逐级计算!$Q$185/10)-1)+逐级计算!$Q$185*(GC25-逐级计算!$P$185)*LN(10)/10))))))),"")</f>
        <v>13.7932753809621</v>
      </c>
      <c r="GE25">
        <f>IF(AND(ISNUMBER(GD25),逐级计算!$X$186&gt;-1),IF(逐级计算!$X$186=0,GD25+逐级计算!$C$186,GD25+逐级计算!$C$186-(10/(逐级计算!$Q$186*LN(10))*(MAX((LN(10^(逐级计算!$Q$186/10)-1)+逐级计算!$Q$186*(GD25-逐级计算!$P$186)*LN(10)/10),0)+LN(1+EXP(-ABS((LN(10^(逐级计算!$Q$186/10)-1)+逐级计算!$Q$186*(GD25-逐级计算!$P$186)*LN(10)/10))))))),"")</f>
        <v>13.7932753809621</v>
      </c>
      <c r="GF25">
        <f>IF(AND(ISNUMBER(GE25),逐级计算!$X$187&gt;-1),IF(逐级计算!$X$187=0,GE25+逐级计算!$C$187,GE25+逐级计算!$C$187-(10/(逐级计算!$Q$187*LN(10))*(MAX((LN(10^(逐级计算!$Q$187/10)-1)+逐级计算!$Q$187*(GE25-逐级计算!$P$187)*LN(10)/10),0)+LN(1+EXP(-ABS((LN(10^(逐级计算!$Q$187/10)-1)+逐级计算!$Q$187*(GE25-逐级计算!$P$187)*LN(10)/10))))))),"")</f>
        <v>13.7932753809621</v>
      </c>
      <c r="GG25">
        <f>IF(AND(ISNUMBER(GF25),逐级计算!$X$188&gt;-1),IF(逐级计算!$X$188=0,GF25+逐级计算!$C$188,GF25+逐级计算!$C$188-(10/(逐级计算!$Q$188*LN(10))*(MAX((LN(10^(逐级计算!$Q$188/10)-1)+逐级计算!$Q$188*(GF25-逐级计算!$P$188)*LN(10)/10),0)+LN(1+EXP(-ABS((LN(10^(逐级计算!$Q$188/10)-1)+逐级计算!$Q$188*(GF25-逐级计算!$P$188)*LN(10)/10))))))),"")</f>
        <v>13.7932753809621</v>
      </c>
      <c r="GH25">
        <f>IF(AND(ISNUMBER(GG25),逐级计算!$X$189&gt;-1),IF(逐级计算!$X$189=0,GG25+逐级计算!$C$189,GG25+逐级计算!$C$189-(10/(逐级计算!$Q$189*LN(10))*(MAX((LN(10^(逐级计算!$Q$189/10)-1)+逐级计算!$Q$189*(GG25-逐级计算!$P$189)*LN(10)/10),0)+LN(1+EXP(-ABS((LN(10^(逐级计算!$Q$189/10)-1)+逐级计算!$Q$189*(GG25-逐级计算!$P$189)*LN(10)/10))))))),"")</f>
        <v>13.7932753809621</v>
      </c>
      <c r="GI25">
        <f>IF(AND(ISNUMBER(GH25),逐级计算!$X$190&gt;-1),IF(逐级计算!$X$190=0,GH25+逐级计算!$C$190,GH25+逐级计算!$C$190-(10/(逐级计算!$Q$190*LN(10))*(MAX((LN(10^(逐级计算!$Q$190/10)-1)+逐级计算!$Q$190*(GH25-逐级计算!$P$190)*LN(10)/10),0)+LN(1+EXP(-ABS((LN(10^(逐级计算!$Q$190/10)-1)+逐级计算!$Q$190*(GH25-逐级计算!$P$190)*LN(10)/10))))))),"")</f>
        <v>13.7932753809621</v>
      </c>
      <c r="GJ25">
        <f>IF(AND(ISNUMBER(GI25),逐级计算!$X$191&gt;-1),IF(逐级计算!$X$191=0,GI25+逐级计算!$C$191,GI25+逐级计算!$C$191-(10/(逐级计算!$Q$191*LN(10))*(MAX((LN(10^(逐级计算!$Q$191/10)-1)+逐级计算!$Q$191*(GI25-逐级计算!$P$191)*LN(10)/10),0)+LN(1+EXP(-ABS((LN(10^(逐级计算!$Q$191/10)-1)+逐级计算!$Q$191*(GI25-逐级计算!$P$191)*LN(10)/10))))))),"")</f>
        <v>13.7932753809621</v>
      </c>
      <c r="GK25">
        <f>IF(AND(ISNUMBER(GJ25),逐级计算!$X$192&gt;-1),IF(逐级计算!$X$192=0,GJ25+逐级计算!$C$192,GJ25+逐级计算!$C$192-(10/(逐级计算!$Q$192*LN(10))*(MAX((LN(10^(逐级计算!$Q$192/10)-1)+逐级计算!$Q$192*(GJ25-逐级计算!$P$192)*LN(10)/10),0)+LN(1+EXP(-ABS((LN(10^(逐级计算!$Q$192/10)-1)+逐级计算!$Q$192*(GJ25-逐级计算!$P$192)*LN(10)/10))))))),"")</f>
        <v>13.7932753809621</v>
      </c>
      <c r="GL25">
        <f>IF(AND(ISNUMBER(GK25),逐级计算!$X$193&gt;-1),IF(逐级计算!$X$193=0,GK25+逐级计算!$C$193,GK25+逐级计算!$C$193-(10/(逐级计算!$Q$193*LN(10))*(MAX((LN(10^(逐级计算!$Q$193/10)-1)+逐级计算!$Q$193*(GK25-逐级计算!$P$193)*LN(10)/10),0)+LN(1+EXP(-ABS((LN(10^(逐级计算!$Q$193/10)-1)+逐级计算!$Q$193*(GK25-逐级计算!$P$193)*LN(10)/10))))))),"")</f>
        <v>13.7932753809621</v>
      </c>
      <c r="GM25">
        <f>IF(AND(ISNUMBER(GL25),逐级计算!$X$194&gt;-1),IF(逐级计算!$X$194=0,GL25+逐级计算!$C$194,GL25+逐级计算!$C$194-(10/(逐级计算!$Q$194*LN(10))*(MAX((LN(10^(逐级计算!$Q$194/10)-1)+逐级计算!$Q$194*(GL25-逐级计算!$P$194)*LN(10)/10),0)+LN(1+EXP(-ABS((LN(10^(逐级计算!$Q$194/10)-1)+逐级计算!$Q$194*(GL25-逐级计算!$P$194)*LN(10)/10))))))),"")</f>
        <v>13.7932753809621</v>
      </c>
      <c r="GN25">
        <f>IF(AND(ISNUMBER(GM25),逐级计算!$X$195&gt;-1),IF(逐级计算!$X$195=0,GM25+逐级计算!$C$195,GM25+逐级计算!$C$195-(10/(逐级计算!$Q$195*LN(10))*(MAX((LN(10^(逐级计算!$Q$195/10)-1)+逐级计算!$Q$195*(GM25-逐级计算!$P$195)*LN(10)/10),0)+LN(1+EXP(-ABS((LN(10^(逐级计算!$Q$195/10)-1)+逐级计算!$Q$195*(GM25-逐级计算!$P$195)*LN(10)/10))))))),"")</f>
        <v>13.7932753809621</v>
      </c>
      <c r="GO25">
        <f>IF(AND(ISNUMBER(GN25),逐级计算!$X$196&gt;-1),IF(逐级计算!$X$196=0,GN25+逐级计算!$C$196,GN25+逐级计算!$C$196-(10/(逐级计算!$Q$196*LN(10))*(MAX((LN(10^(逐级计算!$Q$196/10)-1)+逐级计算!$Q$196*(GN25-逐级计算!$P$196)*LN(10)/10),0)+LN(1+EXP(-ABS((LN(10^(逐级计算!$Q$196/10)-1)+逐级计算!$Q$196*(GN25-逐级计算!$P$196)*LN(10)/10))))))),"")</f>
        <v>13.7932753809621</v>
      </c>
      <c r="GP25">
        <f>IF(AND(ISNUMBER(GO25),逐级计算!$X$197&gt;-1),IF(逐级计算!$X$197=0,GO25+逐级计算!$C$197,GO25+逐级计算!$C$197-(10/(逐级计算!$Q$197*LN(10))*(MAX((LN(10^(逐级计算!$Q$197/10)-1)+逐级计算!$Q$197*(GO25-逐级计算!$P$197)*LN(10)/10),0)+LN(1+EXP(-ABS((LN(10^(逐级计算!$Q$197/10)-1)+逐级计算!$Q$197*(GO25-逐级计算!$P$197)*LN(10)/10))))))),"")</f>
        <v>13.7932753809621</v>
      </c>
      <c r="GQ25">
        <f>IF(AND(ISNUMBER(GP25),逐级计算!$X$198&gt;-1),IF(逐级计算!$X$198=0,GP25+逐级计算!$C$198,GP25+逐级计算!$C$198-(10/(逐级计算!$Q$198*LN(10))*(MAX((LN(10^(逐级计算!$Q$198/10)-1)+逐级计算!$Q$198*(GP25-逐级计算!$P$198)*LN(10)/10),0)+LN(1+EXP(-ABS((LN(10^(逐级计算!$Q$198/10)-1)+逐级计算!$Q$198*(GP25-逐级计算!$P$198)*LN(10)/10))))))),"")</f>
        <v>13.7932753809621</v>
      </c>
      <c r="GR25">
        <f>IF(AND(ISNUMBER(GQ25),逐级计算!$X$199&gt;-1),IF(逐级计算!$X$199=0,GQ25+逐级计算!$C$199,GQ25+逐级计算!$C$199-(10/(逐级计算!$Q$199*LN(10))*(MAX((LN(10^(逐级计算!$Q$199/10)-1)+逐级计算!$Q$199*(GQ25-逐级计算!$P$199)*LN(10)/10),0)+LN(1+EXP(-ABS((LN(10^(逐级计算!$Q$199/10)-1)+逐级计算!$Q$199*(GQ25-逐级计算!$P$199)*LN(10)/10))))))),"")</f>
        <v>13.7932753809621</v>
      </c>
      <c r="GS25">
        <f>IF(AND(ISNUMBER(GR25),逐级计算!$X$200&gt;-1),IF(逐级计算!$X$200=0,GR25+逐级计算!$C$200,GR25+逐级计算!$C$200-(10/(逐级计算!$Q$200*LN(10))*(MAX((LN(10^(逐级计算!$Q$200/10)-1)+逐级计算!$Q$200*(GR25-逐级计算!$P$200)*LN(10)/10),0)+LN(1+EXP(-ABS((LN(10^(逐级计算!$Q$200/10)-1)+逐级计算!$Q$200*(GR25-逐级计算!$P$200)*LN(10)/10))))))),"")</f>
        <v>13.7932753809621</v>
      </c>
      <c r="GT25">
        <f>IF(AND(ISNUMBER(GS25),逐级计算!$X$201&gt;-1),IF(逐级计算!$X$201=0,GS25+逐级计算!$C$201,GS25+逐级计算!$C$201-(10/(逐级计算!$Q$201*LN(10))*(MAX((LN(10^(逐级计算!$Q$201/10)-1)+逐级计算!$Q$201*(GS25-逐级计算!$P$201)*LN(10)/10),0)+LN(1+EXP(-ABS((LN(10^(逐级计算!$Q$201/10)-1)+逐级计算!$Q$201*(GS25-逐级计算!$P$201)*LN(10)/10))))))),"")</f>
        <v>13.7932753809621</v>
      </c>
      <c r="GU25">
        <f>IF(AND(ISNUMBER(GT25),逐级计算!$X$202&gt;-1),IF(逐级计算!$X$202=0,GT25+逐级计算!$C$202,GT25+逐级计算!$C$202-(10/(逐级计算!$Q$202*LN(10))*(MAX((LN(10^(逐级计算!$Q$202/10)-1)+逐级计算!$Q$202*(GT25-逐级计算!$P$202)*LN(10)/10),0)+LN(1+EXP(-ABS((LN(10^(逐级计算!$Q$202/10)-1)+逐级计算!$Q$202*(GT25-逐级计算!$P$202)*LN(10)/10))))))),"")</f>
        <v>13.7932753809621</v>
      </c>
      <c r="GV25">
        <f>IF(AND(ISNUMBER(GU25),逐级计算!$X$203&gt;-1),IF(逐级计算!$X$203=0,GU25+逐级计算!$C$203,GU25+逐级计算!$C$203-(10/(逐级计算!$Q$203*LN(10))*(MAX((LN(10^(逐级计算!$Q$203/10)-1)+逐级计算!$Q$203*(GU25-逐级计算!$P$203)*LN(10)/10),0)+LN(1+EXP(-ABS((LN(10^(逐级计算!$Q$203/10)-1)+逐级计算!$Q$203*(GU25-逐级计算!$P$203)*LN(10)/10))))))),"")</f>
        <v>13.7932753809621</v>
      </c>
      <c r="GW25">
        <f t="shared" si="2"/>
        <v>-5.20618438720703</v>
      </c>
    </row>
    <row r="26" spans="1:205">
      <c r="A26">
        <v>19</v>
      </c>
      <c r="B26">
        <f t="shared" si="1"/>
        <v>-5.20698547363281</v>
      </c>
      <c r="C26">
        <f t="shared" si="0"/>
        <v>-5.20678520202637</v>
      </c>
      <c r="D26">
        <f>IF(AND(ISNUMBER(C26),ISNUMBER(逐级计算!$E$203),ISNUMBER(GV26)),C26+逐级计算!$E$203-GV26,"")</f>
        <v>1.00006577387447</v>
      </c>
      <c r="E26">
        <f>IF(AND(ISNUMBER(C26),逐级计算!$X$4&gt;-1),IF(逐级计算!$X$4=0,C26+逐级计算!$C$4,C26+逐级计算!$C$4-(10/(逐级计算!$Q$4*LN(10))*(MAX((LN(10^(逐级计算!$Q$4/10)-1)+逐级计算!$Q$4*(C26-逐级计算!$P$4)*LN(10)/10),0)+LN(1+EXP(-ABS((LN(10^(逐级计算!$Q$4/10)-1)+逐级计算!$Q$4*(C26-逐级计算!$P$4)*LN(10)/10))))))),"")</f>
        <v>4.68070905461111</v>
      </c>
      <c r="F26">
        <f>IF(AND(ISNUMBER(E26),逐级计算!$X$5&gt;-1),IF(逐级计算!$X$5=0,E26+逐级计算!$C$5,E26+逐级计算!$C$5-(10/(逐级计算!$Q$5*LN(10))*(MAX((LN(10^(逐级计算!$Q$5/10)-1)+逐级计算!$Q$5*(E26-逐级计算!$P$5)*LN(10)/10),0)+LN(1+EXP(-ABS((LN(10^(逐级计算!$Q$5/10)-1)+逐级计算!$Q$5*(E26-逐级计算!$P$5)*LN(10)/10))))))),"")</f>
        <v>13.7931490240992</v>
      </c>
      <c r="G26">
        <f>IF(AND(ISNUMBER(F26),逐级计算!$X$6&gt;-1),IF(逐级计算!$X$6=0,F26+逐级计算!$C$6,F26+逐级计算!$C$6-(10/(逐级计算!$Q$6*LN(10))*(MAX((LN(10^(逐级计算!$Q$6/10)-1)+逐级计算!$Q$6*(F26-逐级计算!$P$6)*LN(10)/10),0)+LN(1+EXP(-ABS((LN(10^(逐级计算!$Q$6/10)-1)+逐级计算!$Q$6*(F26-逐级计算!$P$6)*LN(10)/10))))))),"")</f>
        <v>13.7931490240992</v>
      </c>
      <c r="H26">
        <f>IF(AND(ISNUMBER(G26),逐级计算!$X$7&gt;-1),IF(逐级计算!$X$7=0,G26+逐级计算!$C$7,G26+逐级计算!$C$7-(10/(逐级计算!$Q$7*LN(10))*(MAX((LN(10^(逐级计算!$Q$7/10)-1)+逐级计算!$Q$7*(G26-逐级计算!$P$7)*LN(10)/10),0)+LN(1+EXP(-ABS((LN(10^(逐级计算!$Q$7/10)-1)+逐级计算!$Q$7*(G26-逐级计算!$P$7)*LN(10)/10))))))),"")</f>
        <v>13.7931490240992</v>
      </c>
      <c r="I26">
        <f>IF(AND(ISNUMBER(H26),逐级计算!$X$8&gt;-1),IF(逐级计算!$X$8=0,H26+逐级计算!$C$8,H26+逐级计算!$C$8-(10/(逐级计算!$Q$8*LN(10))*(MAX((LN(10^(逐级计算!$Q$8/10)-1)+逐级计算!$Q$8*(H26-逐级计算!$P$8)*LN(10)/10),0)+LN(1+EXP(-ABS((LN(10^(逐级计算!$Q$8/10)-1)+逐级计算!$Q$8*(H26-逐级计算!$P$8)*LN(10)/10))))))),"")</f>
        <v>13.7931490240992</v>
      </c>
      <c r="J26">
        <f>IF(AND(ISNUMBER(I26),逐级计算!$X$9&gt;-1),IF(逐级计算!$X$9=0,I26+逐级计算!$C$9,I26+逐级计算!$C$9-(10/(逐级计算!$Q$9*LN(10))*(MAX((LN(10^(逐级计算!$Q$9/10)-1)+逐级计算!$Q$9*(I26-逐级计算!$P$9)*LN(10)/10),0)+LN(1+EXP(-ABS((LN(10^(逐级计算!$Q$9/10)-1)+逐级计算!$Q$9*(I26-逐级计算!$P$9)*LN(10)/10))))))),"")</f>
        <v>13.7931490240992</v>
      </c>
      <c r="K26">
        <f>IF(AND(ISNUMBER(J26),逐级计算!$X$10&gt;-1),IF(逐级计算!$X$10=0,J26+逐级计算!$C$10,J26+逐级计算!$C$10-(10/(逐级计算!$Q$10*LN(10))*(MAX((LN(10^(逐级计算!$Q$10/10)-1)+逐级计算!$Q$10*(J26-逐级计算!$P$10)*LN(10)/10),0)+LN(1+EXP(-ABS((LN(10^(逐级计算!$Q$10/10)-1)+逐级计算!$Q$10*(J26-逐级计算!$P$10)*LN(10)/10))))))),"")</f>
        <v>13.7931490240992</v>
      </c>
      <c r="L26">
        <f>IF(AND(ISNUMBER(K26),逐级计算!$X$11&gt;-1),IF(逐级计算!$X$11=0,K26+逐级计算!$C$11,K26+逐级计算!$C$11-(10/(逐级计算!$Q$11*LN(10))*(MAX((LN(10^(逐级计算!$Q$11/10)-1)+逐级计算!$Q$11*(K26-逐级计算!$P$11)*LN(10)/10),0)+LN(1+EXP(-ABS((LN(10^(逐级计算!$Q$11/10)-1)+逐级计算!$Q$11*(K26-逐级计算!$P$11)*LN(10)/10))))))),"")</f>
        <v>13.7931490240992</v>
      </c>
      <c r="M26">
        <f>IF(AND(ISNUMBER(L26),逐级计算!$X$12&gt;-1),IF(逐级计算!$X$12=0,L26+逐级计算!$C$12,L26+逐级计算!$C$12-(10/(逐级计算!$Q$12*LN(10))*(MAX((LN(10^(逐级计算!$Q$12/10)-1)+逐级计算!$Q$12*(L26-逐级计算!$P$12)*LN(10)/10),0)+LN(1+EXP(-ABS((LN(10^(逐级计算!$Q$12/10)-1)+逐级计算!$Q$12*(L26-逐级计算!$P$12)*LN(10)/10))))))),"")</f>
        <v>13.7931490240992</v>
      </c>
      <c r="N26">
        <f>IF(AND(ISNUMBER(M26),逐级计算!$X$13&gt;-1),IF(逐级计算!$X$13=0,M26+逐级计算!$C$13,M26+逐级计算!$C$13-(10/(逐级计算!$Q$13*LN(10))*(MAX((LN(10^(逐级计算!$Q$13/10)-1)+逐级计算!$Q$13*(M26-逐级计算!$P$13)*LN(10)/10),0)+LN(1+EXP(-ABS((LN(10^(逐级计算!$Q$13/10)-1)+逐级计算!$Q$13*(M26-逐级计算!$P$13)*LN(10)/10))))))),"")</f>
        <v>13.7931490240992</v>
      </c>
      <c r="O26">
        <f>IF(AND(ISNUMBER(N26),逐级计算!$X$14&gt;-1),IF(逐级计算!$X$14=0,N26+逐级计算!$C$14,N26+逐级计算!$C$14-(10/(逐级计算!$Q$14*LN(10))*(MAX((LN(10^(逐级计算!$Q$14/10)-1)+逐级计算!$Q$14*(N26-逐级计算!$P$14)*LN(10)/10),0)+LN(1+EXP(-ABS((LN(10^(逐级计算!$Q$14/10)-1)+逐级计算!$Q$14*(N26-逐级计算!$P$14)*LN(10)/10))))))),"")</f>
        <v>13.7931490240992</v>
      </c>
      <c r="P26">
        <f>IF(AND(ISNUMBER(O26),逐级计算!$X$15&gt;-1),IF(逐级计算!$X$15=0,O26+逐级计算!$C$15,O26+逐级计算!$C$15-(10/(逐级计算!$Q$15*LN(10))*(MAX((LN(10^(逐级计算!$Q$15/10)-1)+逐级计算!$Q$15*(O26-逐级计算!$P$15)*LN(10)/10),0)+LN(1+EXP(-ABS((LN(10^(逐级计算!$Q$15/10)-1)+逐级计算!$Q$15*(O26-逐级计算!$P$15)*LN(10)/10))))))),"")</f>
        <v>13.7931490240992</v>
      </c>
      <c r="Q26">
        <f>IF(AND(ISNUMBER(P26),逐级计算!$X$16&gt;-1),IF(逐级计算!$X$16=0,P26+逐级计算!$C$16,P26+逐级计算!$C$16-(10/(逐级计算!$Q$16*LN(10))*(MAX((LN(10^(逐级计算!$Q$16/10)-1)+逐级计算!$Q$16*(P26-逐级计算!$P$16)*LN(10)/10),0)+LN(1+EXP(-ABS((LN(10^(逐级计算!$Q$16/10)-1)+逐级计算!$Q$16*(P26-逐级计算!$P$16)*LN(10)/10))))))),"")</f>
        <v>13.7931490240992</v>
      </c>
      <c r="R26">
        <f>IF(AND(ISNUMBER(Q26),逐级计算!$X$17&gt;-1),IF(逐级计算!$X$17=0,Q26+逐级计算!$C$17,Q26+逐级计算!$C$17-(10/(逐级计算!$Q$17*LN(10))*(MAX((LN(10^(逐级计算!$Q$17/10)-1)+逐级计算!$Q$17*(Q26-逐级计算!$P$17)*LN(10)/10),0)+LN(1+EXP(-ABS((LN(10^(逐级计算!$Q$17/10)-1)+逐级计算!$Q$17*(Q26-逐级计算!$P$17)*LN(10)/10))))))),"")</f>
        <v>13.7931490240992</v>
      </c>
      <c r="S26">
        <f>IF(AND(ISNUMBER(R26),逐级计算!$X$18&gt;-1),IF(逐级计算!$X$18=0,R26+逐级计算!$C$18,R26+逐级计算!$C$18-(10/(逐级计算!$Q$18*LN(10))*(MAX((LN(10^(逐级计算!$Q$18/10)-1)+逐级计算!$Q$18*(R26-逐级计算!$P$18)*LN(10)/10),0)+LN(1+EXP(-ABS((LN(10^(逐级计算!$Q$18/10)-1)+逐级计算!$Q$18*(R26-逐级计算!$P$18)*LN(10)/10))))))),"")</f>
        <v>13.7931490240992</v>
      </c>
      <c r="T26">
        <f>IF(AND(ISNUMBER(S26),逐级计算!$X$19&gt;-1),IF(逐级计算!$X$19=0,S26+逐级计算!$C$19,S26+逐级计算!$C$19-(10/(逐级计算!$Q$19*LN(10))*(MAX((LN(10^(逐级计算!$Q$19/10)-1)+逐级计算!$Q$19*(S26-逐级计算!$P$19)*LN(10)/10),0)+LN(1+EXP(-ABS((LN(10^(逐级计算!$Q$19/10)-1)+逐级计算!$Q$19*(S26-逐级计算!$P$19)*LN(10)/10))))))),"")</f>
        <v>13.7931490240992</v>
      </c>
      <c r="U26">
        <f>IF(AND(ISNUMBER(T26),逐级计算!$X$20&gt;-1),IF(逐级计算!$X$20=0,T26+逐级计算!$C$20,T26+逐级计算!$C$20-(10/(逐级计算!$Q$20*LN(10))*(MAX((LN(10^(逐级计算!$Q$20/10)-1)+逐级计算!$Q$20*(T26-逐级计算!$P$20)*LN(10)/10),0)+LN(1+EXP(-ABS((LN(10^(逐级计算!$Q$20/10)-1)+逐级计算!$Q$20*(T26-逐级计算!$P$20)*LN(10)/10))))))),"")</f>
        <v>13.7931490240992</v>
      </c>
      <c r="V26">
        <f>IF(AND(ISNUMBER(U26),逐级计算!$X$21&gt;-1),IF(逐级计算!$X$21=0,U26+逐级计算!$C$21,U26+逐级计算!$C$21-(10/(逐级计算!$Q$21*LN(10))*(MAX((LN(10^(逐级计算!$Q$21/10)-1)+逐级计算!$Q$21*(U26-逐级计算!$P$21)*LN(10)/10),0)+LN(1+EXP(-ABS((LN(10^(逐级计算!$Q$21/10)-1)+逐级计算!$Q$21*(U26-逐级计算!$P$21)*LN(10)/10))))))),"")</f>
        <v>13.7931490240992</v>
      </c>
      <c r="W26">
        <f>IF(AND(ISNUMBER(V26),逐级计算!$X$22&gt;-1),IF(逐级计算!$X$22=0,V26+逐级计算!$C$22,V26+逐级计算!$C$22-(10/(逐级计算!$Q$22*LN(10))*(MAX((LN(10^(逐级计算!$Q$22/10)-1)+逐级计算!$Q$22*(V26-逐级计算!$P$22)*LN(10)/10),0)+LN(1+EXP(-ABS((LN(10^(逐级计算!$Q$22/10)-1)+逐级计算!$Q$22*(V26-逐级计算!$P$22)*LN(10)/10))))))),"")</f>
        <v>13.7931490240992</v>
      </c>
      <c r="X26">
        <f>IF(AND(ISNUMBER(W26),逐级计算!$X$23&gt;-1),IF(逐级计算!$X$23=0,W26+逐级计算!$C$23,W26+逐级计算!$C$23-(10/(逐级计算!$Q$23*LN(10))*(MAX((LN(10^(逐级计算!$Q$23/10)-1)+逐级计算!$Q$23*(W26-逐级计算!$P$23)*LN(10)/10),0)+LN(1+EXP(-ABS((LN(10^(逐级计算!$Q$23/10)-1)+逐级计算!$Q$23*(W26-逐级计算!$P$23)*LN(10)/10))))))),"")</f>
        <v>13.7931490240992</v>
      </c>
      <c r="Y26">
        <f>IF(AND(ISNUMBER(X26),逐级计算!$X$24&gt;-1),IF(逐级计算!$X$24=0,X26+逐级计算!$C$24,X26+逐级计算!$C$24-(10/(逐级计算!$Q$24*LN(10))*(MAX((LN(10^(逐级计算!$Q$24/10)-1)+逐级计算!$Q$24*(X26-逐级计算!$P$24)*LN(10)/10),0)+LN(1+EXP(-ABS((LN(10^(逐级计算!$Q$24/10)-1)+逐级计算!$Q$24*(X26-逐级计算!$P$24)*LN(10)/10))))))),"")</f>
        <v>13.7931490240992</v>
      </c>
      <c r="Z26">
        <f>IF(AND(ISNUMBER(Y26),逐级计算!$X$25&gt;-1),IF(逐级计算!$X$25=0,Y26+逐级计算!$C$25,Y26+逐级计算!$C$25-(10/(逐级计算!$Q$25*LN(10))*(MAX((LN(10^(逐级计算!$Q$25/10)-1)+逐级计算!$Q$25*(Y26-逐级计算!$P$25)*LN(10)/10),0)+LN(1+EXP(-ABS((LN(10^(逐级计算!$Q$25/10)-1)+逐级计算!$Q$25*(Y26-逐级计算!$P$25)*LN(10)/10))))))),"")</f>
        <v>13.7931490240992</v>
      </c>
      <c r="AA26">
        <f>IF(AND(ISNUMBER(Z26),逐级计算!$X$26&gt;-1),IF(逐级计算!$X$26=0,Z26+逐级计算!$C$26,Z26+逐级计算!$C$26-(10/(逐级计算!$Q$26*LN(10))*(MAX((LN(10^(逐级计算!$Q$26/10)-1)+逐级计算!$Q$26*(Z26-逐级计算!$P$26)*LN(10)/10),0)+LN(1+EXP(-ABS((LN(10^(逐级计算!$Q$26/10)-1)+逐级计算!$Q$26*(Z26-逐级计算!$P$26)*LN(10)/10))))))),"")</f>
        <v>13.7931490240992</v>
      </c>
      <c r="AB26">
        <f>IF(AND(ISNUMBER(AA26),逐级计算!$X$27&gt;-1),IF(逐级计算!$X$27=0,AA26+逐级计算!$C$27,AA26+逐级计算!$C$27-(10/(逐级计算!$Q$27*LN(10))*(MAX((LN(10^(逐级计算!$Q$27/10)-1)+逐级计算!$Q$27*(AA26-逐级计算!$P$27)*LN(10)/10),0)+LN(1+EXP(-ABS((LN(10^(逐级计算!$Q$27/10)-1)+逐级计算!$Q$27*(AA26-逐级计算!$P$27)*LN(10)/10))))))),"")</f>
        <v>13.7931490240992</v>
      </c>
      <c r="AC26">
        <f>IF(AND(ISNUMBER(AB26),逐级计算!$X$28&gt;-1),IF(逐级计算!$X$28=0,AB26+逐级计算!$C$28,AB26+逐级计算!$C$28-(10/(逐级计算!$Q$28*LN(10))*(MAX((LN(10^(逐级计算!$Q$28/10)-1)+逐级计算!$Q$28*(AB26-逐级计算!$P$28)*LN(10)/10),0)+LN(1+EXP(-ABS((LN(10^(逐级计算!$Q$28/10)-1)+逐级计算!$Q$28*(AB26-逐级计算!$P$28)*LN(10)/10))))))),"")</f>
        <v>13.7931490240992</v>
      </c>
      <c r="AD26">
        <f>IF(AND(ISNUMBER(AC26),逐级计算!$X$29&gt;-1),IF(逐级计算!$X$29=0,AC26+逐级计算!$C$29,AC26+逐级计算!$C$29-(10/(逐级计算!$Q$29*LN(10))*(MAX((LN(10^(逐级计算!$Q$29/10)-1)+逐级计算!$Q$29*(AC26-逐级计算!$P$29)*LN(10)/10),0)+LN(1+EXP(-ABS((LN(10^(逐级计算!$Q$29/10)-1)+逐级计算!$Q$29*(AC26-逐级计算!$P$29)*LN(10)/10))))))),"")</f>
        <v>13.7931490240992</v>
      </c>
      <c r="AE26">
        <f>IF(AND(ISNUMBER(AD26),逐级计算!$X$30&gt;-1),IF(逐级计算!$X$30=0,AD26+逐级计算!$C$30,AD26+逐级计算!$C$30-(10/(逐级计算!$Q$30*LN(10))*(MAX((LN(10^(逐级计算!$Q$30/10)-1)+逐级计算!$Q$30*(AD26-逐级计算!$P$30)*LN(10)/10),0)+LN(1+EXP(-ABS((LN(10^(逐级计算!$Q$30/10)-1)+逐级计算!$Q$30*(AD26-逐级计算!$P$30)*LN(10)/10))))))),"")</f>
        <v>13.7931490240992</v>
      </c>
      <c r="AF26">
        <f>IF(AND(ISNUMBER(AE26),逐级计算!$X$31&gt;-1),IF(逐级计算!$X$31=0,AE26+逐级计算!$C$31,AE26+逐级计算!$C$31-(10/(逐级计算!$Q$31*LN(10))*(MAX((LN(10^(逐级计算!$Q$31/10)-1)+逐级计算!$Q$31*(AE26-逐级计算!$P$31)*LN(10)/10),0)+LN(1+EXP(-ABS((LN(10^(逐级计算!$Q$31/10)-1)+逐级计算!$Q$31*(AE26-逐级计算!$P$31)*LN(10)/10))))))),"")</f>
        <v>13.7931490240992</v>
      </c>
      <c r="AG26">
        <f>IF(AND(ISNUMBER(AF26),逐级计算!$X$32&gt;-1),IF(逐级计算!$X$32=0,AF26+逐级计算!$C$32,AF26+逐级计算!$C$32-(10/(逐级计算!$Q$32*LN(10))*(MAX((LN(10^(逐级计算!$Q$32/10)-1)+逐级计算!$Q$32*(AF26-逐级计算!$P$32)*LN(10)/10),0)+LN(1+EXP(-ABS((LN(10^(逐级计算!$Q$32/10)-1)+逐级计算!$Q$32*(AF26-逐级计算!$P$32)*LN(10)/10))))))),"")</f>
        <v>13.7931490240992</v>
      </c>
      <c r="AH26">
        <f>IF(AND(ISNUMBER(AG26),逐级计算!$X$33&gt;-1),IF(逐级计算!$X$33=0,AG26+逐级计算!$C$33,AG26+逐级计算!$C$33-(10/(逐级计算!$Q$33*LN(10))*(MAX((LN(10^(逐级计算!$Q$33/10)-1)+逐级计算!$Q$33*(AG26-逐级计算!$P$33)*LN(10)/10),0)+LN(1+EXP(-ABS((LN(10^(逐级计算!$Q$33/10)-1)+逐级计算!$Q$33*(AG26-逐级计算!$P$33)*LN(10)/10))))))),"")</f>
        <v>13.7931490240992</v>
      </c>
      <c r="AI26">
        <f>IF(AND(ISNUMBER(AH26),逐级计算!$X$34&gt;-1),IF(逐级计算!$X$34=0,AH26+逐级计算!$C$34,AH26+逐级计算!$C$34-(10/(逐级计算!$Q$34*LN(10))*(MAX((LN(10^(逐级计算!$Q$34/10)-1)+逐级计算!$Q$34*(AH26-逐级计算!$P$34)*LN(10)/10),0)+LN(1+EXP(-ABS((LN(10^(逐级计算!$Q$34/10)-1)+逐级计算!$Q$34*(AH26-逐级计算!$P$34)*LN(10)/10))))))),"")</f>
        <v>13.7931490240992</v>
      </c>
      <c r="AJ26">
        <f>IF(AND(ISNUMBER(AI26),逐级计算!$X$35&gt;-1),IF(逐级计算!$X$35=0,AI26+逐级计算!$C$35,AI26+逐级计算!$C$35-(10/(逐级计算!$Q$35*LN(10))*(MAX((LN(10^(逐级计算!$Q$35/10)-1)+逐级计算!$Q$35*(AI26-逐级计算!$P$35)*LN(10)/10),0)+LN(1+EXP(-ABS((LN(10^(逐级计算!$Q$35/10)-1)+逐级计算!$Q$35*(AI26-逐级计算!$P$35)*LN(10)/10))))))),"")</f>
        <v>13.7931490240992</v>
      </c>
      <c r="AK26">
        <f>IF(AND(ISNUMBER(AJ26),逐级计算!$X$36&gt;-1),IF(逐级计算!$X$36=0,AJ26+逐级计算!$C$36,AJ26+逐级计算!$C$36-(10/(逐级计算!$Q$36*LN(10))*(MAX((LN(10^(逐级计算!$Q$36/10)-1)+逐级计算!$Q$36*(AJ26-逐级计算!$P$36)*LN(10)/10),0)+LN(1+EXP(-ABS((LN(10^(逐级计算!$Q$36/10)-1)+逐级计算!$Q$36*(AJ26-逐级计算!$P$36)*LN(10)/10))))))),"")</f>
        <v>13.7931490240992</v>
      </c>
      <c r="AL26">
        <f>IF(AND(ISNUMBER(AK26),逐级计算!$X$37&gt;-1),IF(逐级计算!$X$37=0,AK26+逐级计算!$C$37,AK26+逐级计算!$C$37-(10/(逐级计算!$Q$37*LN(10))*(MAX((LN(10^(逐级计算!$Q$37/10)-1)+逐级计算!$Q$37*(AK26-逐级计算!$P$37)*LN(10)/10),0)+LN(1+EXP(-ABS((LN(10^(逐级计算!$Q$37/10)-1)+逐级计算!$Q$37*(AK26-逐级计算!$P$37)*LN(10)/10))))))),"")</f>
        <v>13.7931490240992</v>
      </c>
      <c r="AM26">
        <f>IF(AND(ISNUMBER(AL26),逐级计算!$X$38&gt;-1),IF(逐级计算!$X$38=0,AL26+逐级计算!$C$38,AL26+逐级计算!$C$38-(10/(逐级计算!$Q$38*LN(10))*(MAX((LN(10^(逐级计算!$Q$38/10)-1)+逐级计算!$Q$38*(AL26-逐级计算!$P$38)*LN(10)/10),0)+LN(1+EXP(-ABS((LN(10^(逐级计算!$Q$38/10)-1)+逐级计算!$Q$38*(AL26-逐级计算!$P$38)*LN(10)/10))))))),"")</f>
        <v>13.7931490240992</v>
      </c>
      <c r="AN26">
        <f>IF(AND(ISNUMBER(AM26),逐级计算!$X$39&gt;-1),IF(逐级计算!$X$39=0,AM26+逐级计算!$C$39,AM26+逐级计算!$C$39-(10/(逐级计算!$Q$39*LN(10))*(MAX((LN(10^(逐级计算!$Q$39/10)-1)+逐级计算!$Q$39*(AM26-逐级计算!$P$39)*LN(10)/10),0)+LN(1+EXP(-ABS((LN(10^(逐级计算!$Q$39/10)-1)+逐级计算!$Q$39*(AM26-逐级计算!$P$39)*LN(10)/10))))))),"")</f>
        <v>13.7931490240992</v>
      </c>
      <c r="AO26">
        <f>IF(AND(ISNUMBER(AN26),逐级计算!$X$40&gt;-1),IF(逐级计算!$X$40=0,AN26+逐级计算!$C$40,AN26+逐级计算!$C$40-(10/(逐级计算!$Q$40*LN(10))*(MAX((LN(10^(逐级计算!$Q$40/10)-1)+逐级计算!$Q$40*(AN26-逐级计算!$P$40)*LN(10)/10),0)+LN(1+EXP(-ABS((LN(10^(逐级计算!$Q$40/10)-1)+逐级计算!$Q$40*(AN26-逐级计算!$P$40)*LN(10)/10))))))),"")</f>
        <v>13.7931490240992</v>
      </c>
      <c r="AP26">
        <f>IF(AND(ISNUMBER(AO26),逐级计算!$X$41&gt;-1),IF(逐级计算!$X$41=0,AO26+逐级计算!$C$41,AO26+逐级计算!$C$41-(10/(逐级计算!$Q$41*LN(10))*(MAX((LN(10^(逐级计算!$Q$41/10)-1)+逐级计算!$Q$41*(AO26-逐级计算!$P$41)*LN(10)/10),0)+LN(1+EXP(-ABS((LN(10^(逐级计算!$Q$41/10)-1)+逐级计算!$Q$41*(AO26-逐级计算!$P$41)*LN(10)/10))))))),"")</f>
        <v>13.7931490240992</v>
      </c>
      <c r="AQ26">
        <f>IF(AND(ISNUMBER(AP26),逐级计算!$X$42&gt;-1),IF(逐级计算!$X$42=0,AP26+逐级计算!$C$42,AP26+逐级计算!$C$42-(10/(逐级计算!$Q$42*LN(10))*(MAX((LN(10^(逐级计算!$Q$42/10)-1)+逐级计算!$Q$42*(AP26-逐级计算!$P$42)*LN(10)/10),0)+LN(1+EXP(-ABS((LN(10^(逐级计算!$Q$42/10)-1)+逐级计算!$Q$42*(AP26-逐级计算!$P$42)*LN(10)/10))))))),"")</f>
        <v>13.7931490240992</v>
      </c>
      <c r="AR26">
        <f>IF(AND(ISNUMBER(AQ26),逐级计算!$X$43&gt;-1),IF(逐级计算!$X$43=0,AQ26+逐级计算!$C$43,AQ26+逐级计算!$C$43-(10/(逐级计算!$Q$43*LN(10))*(MAX((LN(10^(逐级计算!$Q$43/10)-1)+逐级计算!$Q$43*(AQ26-逐级计算!$P$43)*LN(10)/10),0)+LN(1+EXP(-ABS((LN(10^(逐级计算!$Q$43/10)-1)+逐级计算!$Q$43*(AQ26-逐级计算!$P$43)*LN(10)/10))))))),"")</f>
        <v>13.7931490240992</v>
      </c>
      <c r="AS26">
        <f>IF(AND(ISNUMBER(AR26),逐级计算!$X$44&gt;-1),IF(逐级计算!$X$44=0,AR26+逐级计算!$C$44,AR26+逐级计算!$C$44-(10/(逐级计算!$Q$44*LN(10))*(MAX((LN(10^(逐级计算!$Q$44/10)-1)+逐级计算!$Q$44*(AR26-逐级计算!$P$44)*LN(10)/10),0)+LN(1+EXP(-ABS((LN(10^(逐级计算!$Q$44/10)-1)+逐级计算!$Q$44*(AR26-逐级计算!$P$44)*LN(10)/10))))))),"")</f>
        <v>13.7931490240992</v>
      </c>
      <c r="AT26">
        <f>IF(AND(ISNUMBER(AS26),逐级计算!$X$45&gt;-1),IF(逐级计算!$X$45=0,AS26+逐级计算!$C$45,AS26+逐级计算!$C$45-(10/(逐级计算!$Q$45*LN(10))*(MAX((LN(10^(逐级计算!$Q$45/10)-1)+逐级计算!$Q$45*(AS26-逐级计算!$P$45)*LN(10)/10),0)+LN(1+EXP(-ABS((LN(10^(逐级计算!$Q$45/10)-1)+逐级计算!$Q$45*(AS26-逐级计算!$P$45)*LN(10)/10))))))),"")</f>
        <v>13.7931490240992</v>
      </c>
      <c r="AU26">
        <f>IF(AND(ISNUMBER(AT26),逐级计算!$X$46&gt;-1),IF(逐级计算!$X$46=0,AT26+逐级计算!$C$46,AT26+逐级计算!$C$46-(10/(逐级计算!$Q$46*LN(10))*(MAX((LN(10^(逐级计算!$Q$46/10)-1)+逐级计算!$Q$46*(AT26-逐级计算!$P$46)*LN(10)/10),0)+LN(1+EXP(-ABS((LN(10^(逐级计算!$Q$46/10)-1)+逐级计算!$Q$46*(AT26-逐级计算!$P$46)*LN(10)/10))))))),"")</f>
        <v>13.7931490240992</v>
      </c>
      <c r="AV26">
        <f>IF(AND(ISNUMBER(AU26),逐级计算!$X$47&gt;-1),IF(逐级计算!$X$47=0,AU26+逐级计算!$C$47,AU26+逐级计算!$C$47-(10/(逐级计算!$Q$47*LN(10))*(MAX((LN(10^(逐级计算!$Q$47/10)-1)+逐级计算!$Q$47*(AU26-逐级计算!$P$47)*LN(10)/10),0)+LN(1+EXP(-ABS((LN(10^(逐级计算!$Q$47/10)-1)+逐级计算!$Q$47*(AU26-逐级计算!$P$47)*LN(10)/10))))))),"")</f>
        <v>13.7931490240992</v>
      </c>
      <c r="AW26">
        <f>IF(AND(ISNUMBER(AV26),逐级计算!$X$48&gt;-1),IF(逐级计算!$X$48=0,AV26+逐级计算!$C$48,AV26+逐级计算!$C$48-(10/(逐级计算!$Q$48*LN(10))*(MAX((LN(10^(逐级计算!$Q$48/10)-1)+逐级计算!$Q$48*(AV26-逐级计算!$P$48)*LN(10)/10),0)+LN(1+EXP(-ABS((LN(10^(逐级计算!$Q$48/10)-1)+逐级计算!$Q$48*(AV26-逐级计算!$P$48)*LN(10)/10))))))),"")</f>
        <v>13.7931490240992</v>
      </c>
      <c r="AX26">
        <f>IF(AND(ISNUMBER(AW26),逐级计算!$X$49&gt;-1),IF(逐级计算!$X$49=0,AW26+逐级计算!$C$49,AW26+逐级计算!$C$49-(10/(逐级计算!$Q$49*LN(10))*(MAX((LN(10^(逐级计算!$Q$49/10)-1)+逐级计算!$Q$49*(AW26-逐级计算!$P$49)*LN(10)/10),0)+LN(1+EXP(-ABS((LN(10^(逐级计算!$Q$49/10)-1)+逐级计算!$Q$49*(AW26-逐级计算!$P$49)*LN(10)/10))))))),"")</f>
        <v>13.7931490240992</v>
      </c>
      <c r="AY26">
        <f>IF(AND(ISNUMBER(AX26),逐级计算!$X$50&gt;-1),IF(逐级计算!$X$50=0,AX26+逐级计算!$C$50,AX26+逐级计算!$C$50-(10/(逐级计算!$Q$50*LN(10))*(MAX((LN(10^(逐级计算!$Q$50/10)-1)+逐级计算!$Q$50*(AX26-逐级计算!$P$50)*LN(10)/10),0)+LN(1+EXP(-ABS((LN(10^(逐级计算!$Q$50/10)-1)+逐级计算!$Q$50*(AX26-逐级计算!$P$50)*LN(10)/10))))))),"")</f>
        <v>13.7931490240992</v>
      </c>
      <c r="AZ26">
        <f>IF(AND(ISNUMBER(AY26),逐级计算!$X$51&gt;-1),IF(逐级计算!$X$51=0,AY26+逐级计算!$C$51,AY26+逐级计算!$C$51-(10/(逐级计算!$Q$51*LN(10))*(MAX((LN(10^(逐级计算!$Q$51/10)-1)+逐级计算!$Q$51*(AY26-逐级计算!$P$51)*LN(10)/10),0)+LN(1+EXP(-ABS((LN(10^(逐级计算!$Q$51/10)-1)+逐级计算!$Q$51*(AY26-逐级计算!$P$51)*LN(10)/10))))))),"")</f>
        <v>13.7931490240992</v>
      </c>
      <c r="BA26">
        <f>IF(AND(ISNUMBER(AZ26),逐级计算!$X$52&gt;-1),IF(逐级计算!$X$52=0,AZ26+逐级计算!$C$52,AZ26+逐级计算!$C$52-(10/(逐级计算!$Q$52*LN(10))*(MAX((LN(10^(逐级计算!$Q$52/10)-1)+逐级计算!$Q$52*(AZ26-逐级计算!$P$52)*LN(10)/10),0)+LN(1+EXP(-ABS((LN(10^(逐级计算!$Q$52/10)-1)+逐级计算!$Q$52*(AZ26-逐级计算!$P$52)*LN(10)/10))))))),"")</f>
        <v>13.7931490240992</v>
      </c>
      <c r="BB26">
        <f>IF(AND(ISNUMBER(BA26),逐级计算!$X$53&gt;-1),IF(逐级计算!$X$53=0,BA26+逐级计算!$C$53,BA26+逐级计算!$C$53-(10/(逐级计算!$Q$53*LN(10))*(MAX((LN(10^(逐级计算!$Q$53/10)-1)+逐级计算!$Q$53*(BA26-逐级计算!$P$53)*LN(10)/10),0)+LN(1+EXP(-ABS((LN(10^(逐级计算!$Q$53/10)-1)+逐级计算!$Q$53*(BA26-逐级计算!$P$53)*LN(10)/10))))))),"")</f>
        <v>13.7931490240992</v>
      </c>
      <c r="BC26">
        <f>IF(AND(ISNUMBER(BB26),逐级计算!$X$54&gt;-1),IF(逐级计算!$X$54=0,BB26+逐级计算!$C$54,BB26+逐级计算!$C$54-(10/(逐级计算!$Q$54*LN(10))*(MAX((LN(10^(逐级计算!$Q$54/10)-1)+逐级计算!$Q$54*(BB26-逐级计算!$P$54)*LN(10)/10),0)+LN(1+EXP(-ABS((LN(10^(逐级计算!$Q$54/10)-1)+逐级计算!$Q$54*(BB26-逐级计算!$P$54)*LN(10)/10))))))),"")</f>
        <v>13.7931490240992</v>
      </c>
      <c r="BD26">
        <f>IF(AND(ISNUMBER(BC26),逐级计算!$X$55&gt;-1),IF(逐级计算!$X$55=0,BC26+逐级计算!$C$55,BC26+逐级计算!$C$55-(10/(逐级计算!$Q$55*LN(10))*(MAX((LN(10^(逐级计算!$Q$55/10)-1)+逐级计算!$Q$55*(BC26-逐级计算!$P$55)*LN(10)/10),0)+LN(1+EXP(-ABS((LN(10^(逐级计算!$Q$55/10)-1)+逐级计算!$Q$55*(BC26-逐级计算!$P$55)*LN(10)/10))))))),"")</f>
        <v>13.7931490240992</v>
      </c>
      <c r="BE26">
        <f>IF(AND(ISNUMBER(BD26),逐级计算!$X$56&gt;-1),IF(逐级计算!$X$56=0,BD26+逐级计算!$C$56,BD26+逐级计算!$C$56-(10/(逐级计算!$Q$56*LN(10))*(MAX((LN(10^(逐级计算!$Q$56/10)-1)+逐级计算!$Q$56*(BD26-逐级计算!$P$56)*LN(10)/10),0)+LN(1+EXP(-ABS((LN(10^(逐级计算!$Q$56/10)-1)+逐级计算!$Q$56*(BD26-逐级计算!$P$56)*LN(10)/10))))))),"")</f>
        <v>13.7931490240992</v>
      </c>
      <c r="BF26">
        <f>IF(AND(ISNUMBER(BE26),逐级计算!$X$57&gt;-1),IF(逐级计算!$X$57=0,BE26+逐级计算!$C$57,BE26+逐级计算!$C$57-(10/(逐级计算!$Q$57*LN(10))*(MAX((LN(10^(逐级计算!$Q$57/10)-1)+逐级计算!$Q$57*(BE26-逐级计算!$P$57)*LN(10)/10),0)+LN(1+EXP(-ABS((LN(10^(逐级计算!$Q$57/10)-1)+逐级计算!$Q$57*(BE26-逐级计算!$P$57)*LN(10)/10))))))),"")</f>
        <v>13.7931490240992</v>
      </c>
      <c r="BG26">
        <f>IF(AND(ISNUMBER(BF26),逐级计算!$X$58&gt;-1),IF(逐级计算!$X$58=0,BF26+逐级计算!$C$58,BF26+逐级计算!$C$58-(10/(逐级计算!$Q$58*LN(10))*(MAX((LN(10^(逐级计算!$Q$58/10)-1)+逐级计算!$Q$58*(BF26-逐级计算!$P$58)*LN(10)/10),0)+LN(1+EXP(-ABS((LN(10^(逐级计算!$Q$58/10)-1)+逐级计算!$Q$58*(BF26-逐级计算!$P$58)*LN(10)/10))))))),"")</f>
        <v>13.7931490240992</v>
      </c>
      <c r="BH26">
        <f>IF(AND(ISNUMBER(BG26),逐级计算!$X$59&gt;-1),IF(逐级计算!$X$59=0,BG26+逐级计算!$C$59,BG26+逐级计算!$C$59-(10/(逐级计算!$Q$59*LN(10))*(MAX((LN(10^(逐级计算!$Q$59/10)-1)+逐级计算!$Q$59*(BG26-逐级计算!$P$59)*LN(10)/10),0)+LN(1+EXP(-ABS((LN(10^(逐级计算!$Q$59/10)-1)+逐级计算!$Q$59*(BG26-逐级计算!$P$59)*LN(10)/10))))))),"")</f>
        <v>13.7931490240992</v>
      </c>
      <c r="BI26">
        <f>IF(AND(ISNUMBER(BH26),逐级计算!$X$60&gt;-1),IF(逐级计算!$X$60=0,BH26+逐级计算!$C$60,BH26+逐级计算!$C$60-(10/(逐级计算!$Q$60*LN(10))*(MAX((LN(10^(逐级计算!$Q$60/10)-1)+逐级计算!$Q$60*(BH26-逐级计算!$P$60)*LN(10)/10),0)+LN(1+EXP(-ABS((LN(10^(逐级计算!$Q$60/10)-1)+逐级计算!$Q$60*(BH26-逐级计算!$P$60)*LN(10)/10))))))),"")</f>
        <v>13.7931490240992</v>
      </c>
      <c r="BJ26">
        <f>IF(AND(ISNUMBER(BI26),逐级计算!$X$61&gt;-1),IF(逐级计算!$X$61=0,BI26+逐级计算!$C$61,BI26+逐级计算!$C$61-(10/(逐级计算!$Q$61*LN(10))*(MAX((LN(10^(逐级计算!$Q$61/10)-1)+逐级计算!$Q$61*(BI26-逐级计算!$P$61)*LN(10)/10),0)+LN(1+EXP(-ABS((LN(10^(逐级计算!$Q$61/10)-1)+逐级计算!$Q$61*(BI26-逐级计算!$P$61)*LN(10)/10))))))),"")</f>
        <v>13.7931490240992</v>
      </c>
      <c r="BK26">
        <f>IF(AND(ISNUMBER(BJ26),逐级计算!$X$62&gt;-1),IF(逐级计算!$X$62=0,BJ26+逐级计算!$C$62,BJ26+逐级计算!$C$62-(10/(逐级计算!$Q$62*LN(10))*(MAX((LN(10^(逐级计算!$Q$62/10)-1)+逐级计算!$Q$62*(BJ26-逐级计算!$P$62)*LN(10)/10),0)+LN(1+EXP(-ABS((LN(10^(逐级计算!$Q$62/10)-1)+逐级计算!$Q$62*(BJ26-逐级计算!$P$62)*LN(10)/10))))))),"")</f>
        <v>13.7931490240992</v>
      </c>
      <c r="BL26">
        <f>IF(AND(ISNUMBER(BK26),逐级计算!$X$63&gt;-1),IF(逐级计算!$X$63=0,BK26+逐级计算!$C$63,BK26+逐级计算!$C$63-(10/(逐级计算!$Q$63*LN(10))*(MAX((LN(10^(逐级计算!$Q$63/10)-1)+逐级计算!$Q$63*(BK26-逐级计算!$P$63)*LN(10)/10),0)+LN(1+EXP(-ABS((LN(10^(逐级计算!$Q$63/10)-1)+逐级计算!$Q$63*(BK26-逐级计算!$P$63)*LN(10)/10))))))),"")</f>
        <v>13.7931490240992</v>
      </c>
      <c r="BM26">
        <f>IF(AND(ISNUMBER(BL26),逐级计算!$X$64&gt;-1),IF(逐级计算!$X$64=0,BL26+逐级计算!$C$64,BL26+逐级计算!$C$64-(10/(逐级计算!$Q$64*LN(10))*(MAX((LN(10^(逐级计算!$Q$64/10)-1)+逐级计算!$Q$64*(BL26-逐级计算!$P$64)*LN(10)/10),0)+LN(1+EXP(-ABS((LN(10^(逐级计算!$Q$64/10)-1)+逐级计算!$Q$64*(BL26-逐级计算!$P$64)*LN(10)/10))))))),"")</f>
        <v>13.7931490240992</v>
      </c>
      <c r="BN26">
        <f>IF(AND(ISNUMBER(BM26),逐级计算!$X$65&gt;-1),IF(逐级计算!$X$65=0,BM26+逐级计算!$C$65,BM26+逐级计算!$C$65-(10/(逐级计算!$Q$65*LN(10))*(MAX((LN(10^(逐级计算!$Q$65/10)-1)+逐级计算!$Q$65*(BM26-逐级计算!$P$65)*LN(10)/10),0)+LN(1+EXP(-ABS((LN(10^(逐级计算!$Q$65/10)-1)+逐级计算!$Q$65*(BM26-逐级计算!$P$65)*LN(10)/10))))))),"")</f>
        <v>13.7931490240992</v>
      </c>
      <c r="BO26">
        <f>IF(AND(ISNUMBER(BN26),逐级计算!$X$66&gt;-1),IF(逐级计算!$X$66=0,BN26+逐级计算!$C$66,BN26+逐级计算!$C$66-(10/(逐级计算!$Q$66*LN(10))*(MAX((LN(10^(逐级计算!$Q$66/10)-1)+逐级计算!$Q$66*(BN26-逐级计算!$P$66)*LN(10)/10),0)+LN(1+EXP(-ABS((LN(10^(逐级计算!$Q$66/10)-1)+逐级计算!$Q$66*(BN26-逐级计算!$P$66)*LN(10)/10))))))),"")</f>
        <v>13.7931490240992</v>
      </c>
      <c r="BP26">
        <f>IF(AND(ISNUMBER(BO26),逐级计算!$X$67&gt;-1),IF(逐级计算!$X$67=0,BO26+逐级计算!$C$67,BO26+逐级计算!$C$67-(10/(逐级计算!$Q$67*LN(10))*(MAX((LN(10^(逐级计算!$Q$67/10)-1)+逐级计算!$Q$67*(BO26-逐级计算!$P$67)*LN(10)/10),0)+LN(1+EXP(-ABS((LN(10^(逐级计算!$Q$67/10)-1)+逐级计算!$Q$67*(BO26-逐级计算!$P$67)*LN(10)/10))))))),"")</f>
        <v>13.7931490240992</v>
      </c>
      <c r="BQ26">
        <f>IF(AND(ISNUMBER(BP26),逐级计算!$X$68&gt;-1),IF(逐级计算!$X$68=0,BP26+逐级计算!$C$68,BP26+逐级计算!$C$68-(10/(逐级计算!$Q$68*LN(10))*(MAX((LN(10^(逐级计算!$Q$68/10)-1)+逐级计算!$Q$68*(BP26-逐级计算!$P$68)*LN(10)/10),0)+LN(1+EXP(-ABS((LN(10^(逐级计算!$Q$68/10)-1)+逐级计算!$Q$68*(BP26-逐级计算!$P$68)*LN(10)/10))))))),"")</f>
        <v>13.7931490240992</v>
      </c>
      <c r="BR26">
        <f>IF(AND(ISNUMBER(BQ26),逐级计算!$X$69&gt;-1),IF(逐级计算!$X$69=0,BQ26+逐级计算!$C$69,BQ26+逐级计算!$C$69-(10/(逐级计算!$Q$69*LN(10))*(MAX((LN(10^(逐级计算!$Q$69/10)-1)+逐级计算!$Q$69*(BQ26-逐级计算!$P$69)*LN(10)/10),0)+LN(1+EXP(-ABS((LN(10^(逐级计算!$Q$69/10)-1)+逐级计算!$Q$69*(BQ26-逐级计算!$P$69)*LN(10)/10))))))),"")</f>
        <v>13.7931490240992</v>
      </c>
      <c r="BS26">
        <f>IF(AND(ISNUMBER(BR26),逐级计算!$X$70&gt;-1),IF(逐级计算!$X$70=0,BR26+逐级计算!$C$70,BR26+逐级计算!$C$70-(10/(逐级计算!$Q$70*LN(10))*(MAX((LN(10^(逐级计算!$Q$70/10)-1)+逐级计算!$Q$70*(BR26-逐级计算!$P$70)*LN(10)/10),0)+LN(1+EXP(-ABS((LN(10^(逐级计算!$Q$70/10)-1)+逐级计算!$Q$70*(BR26-逐级计算!$P$70)*LN(10)/10))))))),"")</f>
        <v>13.7931490240992</v>
      </c>
      <c r="BT26">
        <f>IF(AND(ISNUMBER(BS26),逐级计算!$X$71&gt;-1),IF(逐级计算!$X$71=0,BS26+逐级计算!$C$71,BS26+逐级计算!$C$71-(10/(逐级计算!$Q$71*LN(10))*(MAX((LN(10^(逐级计算!$Q$71/10)-1)+逐级计算!$Q$71*(BS26-逐级计算!$P$71)*LN(10)/10),0)+LN(1+EXP(-ABS((LN(10^(逐级计算!$Q$71/10)-1)+逐级计算!$Q$71*(BS26-逐级计算!$P$71)*LN(10)/10))))))),"")</f>
        <v>13.7931490240992</v>
      </c>
      <c r="BU26">
        <f>IF(AND(ISNUMBER(BT26),逐级计算!$X$72&gt;-1),IF(逐级计算!$X$72=0,BT26+逐级计算!$C$72,BT26+逐级计算!$C$72-(10/(逐级计算!$Q$72*LN(10))*(MAX((LN(10^(逐级计算!$Q$72/10)-1)+逐级计算!$Q$72*(BT26-逐级计算!$P$72)*LN(10)/10),0)+LN(1+EXP(-ABS((LN(10^(逐级计算!$Q$72/10)-1)+逐级计算!$Q$72*(BT26-逐级计算!$P$72)*LN(10)/10))))))),"")</f>
        <v>13.7931490240992</v>
      </c>
      <c r="BV26">
        <f>IF(AND(ISNUMBER(BU26),逐级计算!$X$73&gt;-1),IF(逐级计算!$X$73=0,BU26+逐级计算!$C$73,BU26+逐级计算!$C$73-(10/(逐级计算!$Q$73*LN(10))*(MAX((LN(10^(逐级计算!$Q$73/10)-1)+逐级计算!$Q$73*(BU26-逐级计算!$P$73)*LN(10)/10),0)+LN(1+EXP(-ABS((LN(10^(逐级计算!$Q$73/10)-1)+逐级计算!$Q$73*(BU26-逐级计算!$P$73)*LN(10)/10))))))),"")</f>
        <v>13.7931490240992</v>
      </c>
      <c r="BW26">
        <f>IF(AND(ISNUMBER(BV26),逐级计算!$X$74&gt;-1),IF(逐级计算!$X$74=0,BV26+逐级计算!$C$74,BV26+逐级计算!$C$74-(10/(逐级计算!$Q$74*LN(10))*(MAX((LN(10^(逐级计算!$Q$74/10)-1)+逐级计算!$Q$74*(BV26-逐级计算!$P$74)*LN(10)/10),0)+LN(1+EXP(-ABS((LN(10^(逐级计算!$Q$74/10)-1)+逐级计算!$Q$74*(BV26-逐级计算!$P$74)*LN(10)/10))))))),"")</f>
        <v>13.7931490240992</v>
      </c>
      <c r="BX26">
        <f>IF(AND(ISNUMBER(BW26),逐级计算!$X$75&gt;-1),IF(逐级计算!$X$75=0,BW26+逐级计算!$C$75,BW26+逐级计算!$C$75-(10/(逐级计算!$Q$75*LN(10))*(MAX((LN(10^(逐级计算!$Q$75/10)-1)+逐级计算!$Q$75*(BW26-逐级计算!$P$75)*LN(10)/10),0)+LN(1+EXP(-ABS((LN(10^(逐级计算!$Q$75/10)-1)+逐级计算!$Q$75*(BW26-逐级计算!$P$75)*LN(10)/10))))))),"")</f>
        <v>13.7931490240992</v>
      </c>
      <c r="BY26">
        <f>IF(AND(ISNUMBER(BX26),逐级计算!$X$76&gt;-1),IF(逐级计算!$X$76=0,BX26+逐级计算!$C$76,BX26+逐级计算!$C$76-(10/(逐级计算!$Q$76*LN(10))*(MAX((LN(10^(逐级计算!$Q$76/10)-1)+逐级计算!$Q$76*(BX26-逐级计算!$P$76)*LN(10)/10),0)+LN(1+EXP(-ABS((LN(10^(逐级计算!$Q$76/10)-1)+逐级计算!$Q$76*(BX26-逐级计算!$P$76)*LN(10)/10))))))),"")</f>
        <v>13.7931490240992</v>
      </c>
      <c r="BZ26">
        <f>IF(AND(ISNUMBER(BY26),逐级计算!$X$77&gt;-1),IF(逐级计算!$X$77=0,BY26+逐级计算!$C$77,BY26+逐级计算!$C$77-(10/(逐级计算!$Q$77*LN(10))*(MAX((LN(10^(逐级计算!$Q$77/10)-1)+逐级计算!$Q$77*(BY26-逐级计算!$P$77)*LN(10)/10),0)+LN(1+EXP(-ABS((LN(10^(逐级计算!$Q$77/10)-1)+逐级计算!$Q$77*(BY26-逐级计算!$P$77)*LN(10)/10))))))),"")</f>
        <v>13.7931490240992</v>
      </c>
      <c r="CA26">
        <f>IF(AND(ISNUMBER(BZ26),逐级计算!$X$78&gt;-1),IF(逐级计算!$X$78=0,BZ26+逐级计算!$C$78,BZ26+逐级计算!$C$78-(10/(逐级计算!$Q$78*LN(10))*(MAX((LN(10^(逐级计算!$Q$78/10)-1)+逐级计算!$Q$78*(BZ26-逐级计算!$P$78)*LN(10)/10),0)+LN(1+EXP(-ABS((LN(10^(逐级计算!$Q$78/10)-1)+逐级计算!$Q$78*(BZ26-逐级计算!$P$78)*LN(10)/10))))))),"")</f>
        <v>13.7931490240992</v>
      </c>
      <c r="CB26">
        <f>IF(AND(ISNUMBER(CA26),逐级计算!$X$79&gt;-1),IF(逐级计算!$X$79=0,CA26+逐级计算!$C$79,CA26+逐级计算!$C$79-(10/(逐级计算!$Q$79*LN(10))*(MAX((LN(10^(逐级计算!$Q$79/10)-1)+逐级计算!$Q$79*(CA26-逐级计算!$P$79)*LN(10)/10),0)+LN(1+EXP(-ABS((LN(10^(逐级计算!$Q$79/10)-1)+逐级计算!$Q$79*(CA26-逐级计算!$P$79)*LN(10)/10))))))),"")</f>
        <v>13.7931490240992</v>
      </c>
      <c r="CC26">
        <f>IF(AND(ISNUMBER(CB26),逐级计算!$X$80&gt;-1),IF(逐级计算!$X$80=0,CB26+逐级计算!$C$80,CB26+逐级计算!$C$80-(10/(逐级计算!$Q$80*LN(10))*(MAX((LN(10^(逐级计算!$Q$80/10)-1)+逐级计算!$Q$80*(CB26-逐级计算!$P$80)*LN(10)/10),0)+LN(1+EXP(-ABS((LN(10^(逐级计算!$Q$80/10)-1)+逐级计算!$Q$80*(CB26-逐级计算!$P$80)*LN(10)/10))))))),"")</f>
        <v>13.7931490240992</v>
      </c>
      <c r="CD26">
        <f>IF(AND(ISNUMBER(CC26),逐级计算!$X$81&gt;-1),IF(逐级计算!$X$81=0,CC26+逐级计算!$C$81,CC26+逐级计算!$C$81-(10/(逐级计算!$Q$81*LN(10))*(MAX((LN(10^(逐级计算!$Q$81/10)-1)+逐级计算!$Q$81*(CC26-逐级计算!$P$81)*LN(10)/10),0)+LN(1+EXP(-ABS((LN(10^(逐级计算!$Q$81/10)-1)+逐级计算!$Q$81*(CC26-逐级计算!$P$81)*LN(10)/10))))))),"")</f>
        <v>13.7931490240992</v>
      </c>
      <c r="CE26">
        <f>IF(AND(ISNUMBER(CD26),逐级计算!$X$82&gt;-1),IF(逐级计算!$X$82=0,CD26+逐级计算!$C$82,CD26+逐级计算!$C$82-(10/(逐级计算!$Q$82*LN(10))*(MAX((LN(10^(逐级计算!$Q$82/10)-1)+逐级计算!$Q$82*(CD26-逐级计算!$P$82)*LN(10)/10),0)+LN(1+EXP(-ABS((LN(10^(逐级计算!$Q$82/10)-1)+逐级计算!$Q$82*(CD26-逐级计算!$P$82)*LN(10)/10))))))),"")</f>
        <v>13.7931490240992</v>
      </c>
      <c r="CF26">
        <f>IF(AND(ISNUMBER(CE26),逐级计算!$X$83&gt;-1),IF(逐级计算!$X$83=0,CE26+逐级计算!$C$83,CE26+逐级计算!$C$83-(10/(逐级计算!$Q$83*LN(10))*(MAX((LN(10^(逐级计算!$Q$83/10)-1)+逐级计算!$Q$83*(CE26-逐级计算!$P$83)*LN(10)/10),0)+LN(1+EXP(-ABS((LN(10^(逐级计算!$Q$83/10)-1)+逐级计算!$Q$83*(CE26-逐级计算!$P$83)*LN(10)/10))))))),"")</f>
        <v>13.7931490240992</v>
      </c>
      <c r="CG26">
        <f>IF(AND(ISNUMBER(CF26),逐级计算!$X$84&gt;-1),IF(逐级计算!$X$84=0,CF26+逐级计算!$C$84,CF26+逐级计算!$C$84-(10/(逐级计算!$Q$84*LN(10))*(MAX((LN(10^(逐级计算!$Q$84/10)-1)+逐级计算!$Q$84*(CF26-逐级计算!$P$84)*LN(10)/10),0)+LN(1+EXP(-ABS((LN(10^(逐级计算!$Q$84/10)-1)+逐级计算!$Q$84*(CF26-逐级计算!$P$84)*LN(10)/10))))))),"")</f>
        <v>13.7931490240992</v>
      </c>
      <c r="CH26">
        <f>IF(AND(ISNUMBER(CG26),逐级计算!$X$85&gt;-1),IF(逐级计算!$X$85=0,CG26+逐级计算!$C$85,CG26+逐级计算!$C$85-(10/(逐级计算!$Q$85*LN(10))*(MAX((LN(10^(逐级计算!$Q$85/10)-1)+逐级计算!$Q$85*(CG26-逐级计算!$P$85)*LN(10)/10),0)+LN(1+EXP(-ABS((LN(10^(逐级计算!$Q$85/10)-1)+逐级计算!$Q$85*(CG26-逐级计算!$P$85)*LN(10)/10))))))),"")</f>
        <v>13.7931490240992</v>
      </c>
      <c r="CI26">
        <f>IF(AND(ISNUMBER(CH26),逐级计算!$X$86&gt;-1),IF(逐级计算!$X$86=0,CH26+逐级计算!$C$86,CH26+逐级计算!$C$86-(10/(逐级计算!$Q$86*LN(10))*(MAX((LN(10^(逐级计算!$Q$86/10)-1)+逐级计算!$Q$86*(CH26-逐级计算!$P$86)*LN(10)/10),0)+LN(1+EXP(-ABS((LN(10^(逐级计算!$Q$86/10)-1)+逐级计算!$Q$86*(CH26-逐级计算!$P$86)*LN(10)/10))))))),"")</f>
        <v>13.7931490240992</v>
      </c>
      <c r="CJ26">
        <f>IF(AND(ISNUMBER(CI26),逐级计算!$X$87&gt;-1),IF(逐级计算!$X$87=0,CI26+逐级计算!$C$87,CI26+逐级计算!$C$87-(10/(逐级计算!$Q$87*LN(10))*(MAX((LN(10^(逐级计算!$Q$87/10)-1)+逐级计算!$Q$87*(CI26-逐级计算!$P$87)*LN(10)/10),0)+LN(1+EXP(-ABS((LN(10^(逐级计算!$Q$87/10)-1)+逐级计算!$Q$87*(CI26-逐级计算!$P$87)*LN(10)/10))))))),"")</f>
        <v>13.7931490240992</v>
      </c>
      <c r="CK26">
        <f>IF(AND(ISNUMBER(CJ26),逐级计算!$X$88&gt;-1),IF(逐级计算!$X$88=0,CJ26+逐级计算!$C$88,CJ26+逐级计算!$C$88-(10/(逐级计算!$Q$88*LN(10))*(MAX((LN(10^(逐级计算!$Q$88/10)-1)+逐级计算!$Q$88*(CJ26-逐级计算!$P$88)*LN(10)/10),0)+LN(1+EXP(-ABS((LN(10^(逐级计算!$Q$88/10)-1)+逐级计算!$Q$88*(CJ26-逐级计算!$P$88)*LN(10)/10))))))),"")</f>
        <v>13.7931490240992</v>
      </c>
      <c r="CL26">
        <f>IF(AND(ISNUMBER(CK26),逐级计算!$X$89&gt;-1),IF(逐级计算!$X$89=0,CK26+逐级计算!$C$89,CK26+逐级计算!$C$89-(10/(逐级计算!$Q$89*LN(10))*(MAX((LN(10^(逐级计算!$Q$89/10)-1)+逐级计算!$Q$89*(CK26-逐级计算!$P$89)*LN(10)/10),0)+LN(1+EXP(-ABS((LN(10^(逐级计算!$Q$89/10)-1)+逐级计算!$Q$89*(CK26-逐级计算!$P$89)*LN(10)/10))))))),"")</f>
        <v>13.7931490240992</v>
      </c>
      <c r="CM26">
        <f>IF(AND(ISNUMBER(CL26),逐级计算!$X$90&gt;-1),IF(逐级计算!$X$90=0,CL26+逐级计算!$C$90,CL26+逐级计算!$C$90-(10/(逐级计算!$Q$90*LN(10))*(MAX((LN(10^(逐级计算!$Q$90/10)-1)+逐级计算!$Q$90*(CL26-逐级计算!$P$90)*LN(10)/10),0)+LN(1+EXP(-ABS((LN(10^(逐级计算!$Q$90/10)-1)+逐级计算!$Q$90*(CL26-逐级计算!$P$90)*LN(10)/10))))))),"")</f>
        <v>13.7931490240992</v>
      </c>
      <c r="CN26">
        <f>IF(AND(ISNUMBER(CM26),逐级计算!$X$91&gt;-1),IF(逐级计算!$X$91=0,CM26+逐级计算!$C$91,CM26+逐级计算!$C$91-(10/(逐级计算!$Q$91*LN(10))*(MAX((LN(10^(逐级计算!$Q$91/10)-1)+逐级计算!$Q$91*(CM26-逐级计算!$P$91)*LN(10)/10),0)+LN(1+EXP(-ABS((LN(10^(逐级计算!$Q$91/10)-1)+逐级计算!$Q$91*(CM26-逐级计算!$P$91)*LN(10)/10))))))),"")</f>
        <v>13.7931490240992</v>
      </c>
      <c r="CO26">
        <f>IF(AND(ISNUMBER(CN26),逐级计算!$X$92&gt;-1),IF(逐级计算!$X$92=0,CN26+逐级计算!$C$92,CN26+逐级计算!$C$92-(10/(逐级计算!$Q$92*LN(10))*(MAX((LN(10^(逐级计算!$Q$92/10)-1)+逐级计算!$Q$92*(CN26-逐级计算!$P$92)*LN(10)/10),0)+LN(1+EXP(-ABS((LN(10^(逐级计算!$Q$92/10)-1)+逐级计算!$Q$92*(CN26-逐级计算!$P$92)*LN(10)/10))))))),"")</f>
        <v>13.7931490240992</v>
      </c>
      <c r="CP26">
        <f>IF(AND(ISNUMBER(CO26),逐级计算!$X$93&gt;-1),IF(逐级计算!$X$93=0,CO26+逐级计算!$C$93,CO26+逐级计算!$C$93-(10/(逐级计算!$Q$93*LN(10))*(MAX((LN(10^(逐级计算!$Q$93/10)-1)+逐级计算!$Q$93*(CO26-逐级计算!$P$93)*LN(10)/10),0)+LN(1+EXP(-ABS((LN(10^(逐级计算!$Q$93/10)-1)+逐级计算!$Q$93*(CO26-逐级计算!$P$93)*LN(10)/10))))))),"")</f>
        <v>13.7931490240992</v>
      </c>
      <c r="CQ26">
        <f>IF(AND(ISNUMBER(CP26),逐级计算!$X$94&gt;-1),IF(逐级计算!$X$94=0,CP26+逐级计算!$C$94,CP26+逐级计算!$C$94-(10/(逐级计算!$Q$94*LN(10))*(MAX((LN(10^(逐级计算!$Q$94/10)-1)+逐级计算!$Q$94*(CP26-逐级计算!$P$94)*LN(10)/10),0)+LN(1+EXP(-ABS((LN(10^(逐级计算!$Q$94/10)-1)+逐级计算!$Q$94*(CP26-逐级计算!$P$94)*LN(10)/10))))))),"")</f>
        <v>13.7931490240992</v>
      </c>
      <c r="CR26">
        <f>IF(AND(ISNUMBER(CQ26),逐级计算!$X$95&gt;-1),IF(逐级计算!$X$95=0,CQ26+逐级计算!$C$95,CQ26+逐级计算!$C$95-(10/(逐级计算!$Q$95*LN(10))*(MAX((LN(10^(逐级计算!$Q$95/10)-1)+逐级计算!$Q$95*(CQ26-逐级计算!$P$95)*LN(10)/10),0)+LN(1+EXP(-ABS((LN(10^(逐级计算!$Q$95/10)-1)+逐级计算!$Q$95*(CQ26-逐级计算!$P$95)*LN(10)/10))))))),"")</f>
        <v>13.7931490240992</v>
      </c>
      <c r="CS26">
        <f>IF(AND(ISNUMBER(CR26),逐级计算!$X$96&gt;-1),IF(逐级计算!$X$96=0,CR26+逐级计算!$C$96,CR26+逐级计算!$C$96-(10/(逐级计算!$Q$96*LN(10))*(MAX((LN(10^(逐级计算!$Q$96/10)-1)+逐级计算!$Q$96*(CR26-逐级计算!$P$96)*LN(10)/10),0)+LN(1+EXP(-ABS((LN(10^(逐级计算!$Q$96/10)-1)+逐级计算!$Q$96*(CR26-逐级计算!$P$96)*LN(10)/10))))))),"")</f>
        <v>13.7931490240992</v>
      </c>
      <c r="CT26">
        <f>IF(AND(ISNUMBER(CS26),逐级计算!$X$97&gt;-1),IF(逐级计算!$X$97=0,CS26+逐级计算!$C$97,CS26+逐级计算!$C$97-(10/(逐级计算!$Q$97*LN(10))*(MAX((LN(10^(逐级计算!$Q$97/10)-1)+逐级计算!$Q$97*(CS26-逐级计算!$P$97)*LN(10)/10),0)+LN(1+EXP(-ABS((LN(10^(逐级计算!$Q$97/10)-1)+逐级计算!$Q$97*(CS26-逐级计算!$P$97)*LN(10)/10))))))),"")</f>
        <v>13.7931490240992</v>
      </c>
      <c r="CU26">
        <f>IF(AND(ISNUMBER(CT26),逐级计算!$X$98&gt;-1),IF(逐级计算!$X$98=0,CT26+逐级计算!$C$98,CT26+逐级计算!$C$98-(10/(逐级计算!$Q$98*LN(10))*(MAX((LN(10^(逐级计算!$Q$98/10)-1)+逐级计算!$Q$98*(CT26-逐级计算!$P$98)*LN(10)/10),0)+LN(1+EXP(-ABS((LN(10^(逐级计算!$Q$98/10)-1)+逐级计算!$Q$98*(CT26-逐级计算!$P$98)*LN(10)/10))))))),"")</f>
        <v>13.7931490240992</v>
      </c>
      <c r="CV26">
        <f>IF(AND(ISNUMBER(CU26),逐级计算!$X$99&gt;-1),IF(逐级计算!$X$99=0,CU26+逐级计算!$C$99,CU26+逐级计算!$C$99-(10/(逐级计算!$Q$99*LN(10))*(MAX((LN(10^(逐级计算!$Q$99/10)-1)+逐级计算!$Q$99*(CU26-逐级计算!$P$99)*LN(10)/10),0)+LN(1+EXP(-ABS((LN(10^(逐级计算!$Q$99/10)-1)+逐级计算!$Q$99*(CU26-逐级计算!$P$99)*LN(10)/10))))))),"")</f>
        <v>13.7931490240992</v>
      </c>
      <c r="CW26">
        <f>IF(AND(ISNUMBER(CV26),逐级计算!$X$100&gt;-1),IF(逐级计算!$X$100=0,CV26+逐级计算!$C$100,CV26+逐级计算!$C$100-(10/(逐级计算!$Q$100*LN(10))*(MAX((LN(10^(逐级计算!$Q$100/10)-1)+逐级计算!$Q$100*(CV26-逐级计算!$P$100)*LN(10)/10),0)+LN(1+EXP(-ABS((LN(10^(逐级计算!$Q$100/10)-1)+逐级计算!$Q$100*(CV26-逐级计算!$P$100)*LN(10)/10))))))),"")</f>
        <v>13.7931490240992</v>
      </c>
      <c r="CX26">
        <f>IF(AND(ISNUMBER(CW26),逐级计算!$X$101&gt;-1),IF(逐级计算!$X$101=0,CW26+逐级计算!$C$101,CW26+逐级计算!$C$101-(10/(逐级计算!$Q$101*LN(10))*(MAX((LN(10^(逐级计算!$Q$101/10)-1)+逐级计算!$Q$101*(CW26-逐级计算!$P$101)*LN(10)/10),0)+LN(1+EXP(-ABS((LN(10^(逐级计算!$Q$101/10)-1)+逐级计算!$Q$101*(CW26-逐级计算!$P$101)*LN(10)/10))))))),"")</f>
        <v>13.7931490240992</v>
      </c>
      <c r="CY26">
        <f>IF(AND(ISNUMBER(CX26),逐级计算!$X$102&gt;-1),IF(逐级计算!$X$102=0,CX26+逐级计算!$C$102,CX26+逐级计算!$C$102-(10/(逐级计算!$Q$102*LN(10))*(MAX((LN(10^(逐级计算!$Q$102/10)-1)+逐级计算!$Q$102*(CX26-逐级计算!$P$102)*LN(10)/10),0)+LN(1+EXP(-ABS((LN(10^(逐级计算!$Q$102/10)-1)+逐级计算!$Q$102*(CX26-逐级计算!$P$102)*LN(10)/10))))))),"")</f>
        <v>13.7931490240992</v>
      </c>
      <c r="CZ26">
        <f>IF(AND(ISNUMBER(CY26),逐级计算!$X$103&gt;-1),IF(逐级计算!$X$103=0,CY26+逐级计算!$C$103,CY26+逐级计算!$C$103-(10/(逐级计算!$Q$103*LN(10))*(MAX((LN(10^(逐级计算!$Q$103/10)-1)+逐级计算!$Q$103*(CY26-逐级计算!$P$103)*LN(10)/10),0)+LN(1+EXP(-ABS((LN(10^(逐级计算!$Q$103/10)-1)+逐级计算!$Q$103*(CY26-逐级计算!$P$103)*LN(10)/10))))))),"")</f>
        <v>13.7931490240992</v>
      </c>
      <c r="DA26">
        <f>IF(AND(ISNUMBER(CZ26),逐级计算!$X$104&gt;-1),IF(逐级计算!$X$104=0,CZ26+逐级计算!$C$104,CZ26+逐级计算!$C$104-(10/(逐级计算!$Q$104*LN(10))*(MAX((LN(10^(逐级计算!$Q$104/10)-1)+逐级计算!$Q$104*(CZ26-逐级计算!$P$104)*LN(10)/10),0)+LN(1+EXP(-ABS((LN(10^(逐级计算!$Q$104/10)-1)+逐级计算!$Q$104*(CZ26-逐级计算!$P$104)*LN(10)/10))))))),"")</f>
        <v>13.7931490240992</v>
      </c>
      <c r="DB26">
        <f>IF(AND(ISNUMBER(DA26),逐级计算!$X$105&gt;-1),IF(逐级计算!$X$105=0,DA26+逐级计算!$C$105,DA26+逐级计算!$C$105-(10/(逐级计算!$Q$105*LN(10))*(MAX((LN(10^(逐级计算!$Q$105/10)-1)+逐级计算!$Q$105*(DA26-逐级计算!$P$105)*LN(10)/10),0)+LN(1+EXP(-ABS((LN(10^(逐级计算!$Q$105/10)-1)+逐级计算!$Q$105*(DA26-逐级计算!$P$105)*LN(10)/10))))))),"")</f>
        <v>13.7931490240992</v>
      </c>
      <c r="DC26">
        <f>IF(AND(ISNUMBER(DB26),逐级计算!$X$106&gt;-1),IF(逐级计算!$X$106=0,DB26+逐级计算!$C$106,DB26+逐级计算!$C$106-(10/(逐级计算!$Q$106*LN(10))*(MAX((LN(10^(逐级计算!$Q$106/10)-1)+逐级计算!$Q$106*(DB26-逐级计算!$P$106)*LN(10)/10),0)+LN(1+EXP(-ABS((LN(10^(逐级计算!$Q$106/10)-1)+逐级计算!$Q$106*(DB26-逐级计算!$P$106)*LN(10)/10))))))),"")</f>
        <v>13.7931490240992</v>
      </c>
      <c r="DD26">
        <f>IF(AND(ISNUMBER(DC26),逐级计算!$X$107&gt;-1),IF(逐级计算!$X$107=0,DC26+逐级计算!$C$107,DC26+逐级计算!$C$107-(10/(逐级计算!$Q$107*LN(10))*(MAX((LN(10^(逐级计算!$Q$107/10)-1)+逐级计算!$Q$107*(DC26-逐级计算!$P$107)*LN(10)/10),0)+LN(1+EXP(-ABS((LN(10^(逐级计算!$Q$107/10)-1)+逐级计算!$Q$107*(DC26-逐级计算!$P$107)*LN(10)/10))))))),"")</f>
        <v>13.7931490240992</v>
      </c>
      <c r="DE26">
        <f>IF(AND(ISNUMBER(DD26),逐级计算!$X$108&gt;-1),IF(逐级计算!$X$108=0,DD26+逐级计算!$C$108,DD26+逐级计算!$C$108-(10/(逐级计算!$Q$108*LN(10))*(MAX((LN(10^(逐级计算!$Q$108/10)-1)+逐级计算!$Q$108*(DD26-逐级计算!$P$108)*LN(10)/10),0)+LN(1+EXP(-ABS((LN(10^(逐级计算!$Q$108/10)-1)+逐级计算!$Q$108*(DD26-逐级计算!$P$108)*LN(10)/10))))))),"")</f>
        <v>13.7931490240992</v>
      </c>
      <c r="DF26">
        <f>IF(AND(ISNUMBER(DE26),逐级计算!$X$109&gt;-1),IF(逐级计算!$X$109=0,DE26+逐级计算!$C$109,DE26+逐级计算!$C$109-(10/(逐级计算!$Q$109*LN(10))*(MAX((LN(10^(逐级计算!$Q$109/10)-1)+逐级计算!$Q$109*(DE26-逐级计算!$P$109)*LN(10)/10),0)+LN(1+EXP(-ABS((LN(10^(逐级计算!$Q$109/10)-1)+逐级计算!$Q$109*(DE26-逐级计算!$P$109)*LN(10)/10))))))),"")</f>
        <v>13.7931490240992</v>
      </c>
      <c r="DG26">
        <f>IF(AND(ISNUMBER(DF26),逐级计算!$X$110&gt;-1),IF(逐级计算!$X$110=0,DF26+逐级计算!$C$110,DF26+逐级计算!$C$110-(10/(逐级计算!$Q$110*LN(10))*(MAX((LN(10^(逐级计算!$Q$110/10)-1)+逐级计算!$Q$110*(DF26-逐级计算!$P$110)*LN(10)/10),0)+LN(1+EXP(-ABS((LN(10^(逐级计算!$Q$110/10)-1)+逐级计算!$Q$110*(DF26-逐级计算!$P$110)*LN(10)/10))))))),"")</f>
        <v>13.7931490240992</v>
      </c>
      <c r="DH26">
        <f>IF(AND(ISNUMBER(DG26),逐级计算!$X$111&gt;-1),IF(逐级计算!$X$111=0,DG26+逐级计算!$C$111,DG26+逐级计算!$C$111-(10/(逐级计算!$Q$111*LN(10))*(MAX((LN(10^(逐级计算!$Q$111/10)-1)+逐级计算!$Q$111*(DG26-逐级计算!$P$111)*LN(10)/10),0)+LN(1+EXP(-ABS((LN(10^(逐级计算!$Q$111/10)-1)+逐级计算!$Q$111*(DG26-逐级计算!$P$111)*LN(10)/10))))))),"")</f>
        <v>13.7931490240992</v>
      </c>
      <c r="DI26">
        <f>IF(AND(ISNUMBER(DH26),逐级计算!$X$112&gt;-1),IF(逐级计算!$X$112=0,DH26+逐级计算!$C$112,DH26+逐级计算!$C$112-(10/(逐级计算!$Q$112*LN(10))*(MAX((LN(10^(逐级计算!$Q$112/10)-1)+逐级计算!$Q$112*(DH26-逐级计算!$P$112)*LN(10)/10),0)+LN(1+EXP(-ABS((LN(10^(逐级计算!$Q$112/10)-1)+逐级计算!$Q$112*(DH26-逐级计算!$P$112)*LN(10)/10))))))),"")</f>
        <v>13.7931490240992</v>
      </c>
      <c r="DJ26">
        <f>IF(AND(ISNUMBER(DI26),逐级计算!$X$113&gt;-1),IF(逐级计算!$X$113=0,DI26+逐级计算!$C$113,DI26+逐级计算!$C$113-(10/(逐级计算!$Q$113*LN(10))*(MAX((LN(10^(逐级计算!$Q$113/10)-1)+逐级计算!$Q$113*(DI26-逐级计算!$P$113)*LN(10)/10),0)+LN(1+EXP(-ABS((LN(10^(逐级计算!$Q$113/10)-1)+逐级计算!$Q$113*(DI26-逐级计算!$P$113)*LN(10)/10))))))),"")</f>
        <v>13.7931490240992</v>
      </c>
      <c r="DK26">
        <f>IF(AND(ISNUMBER(DJ26),逐级计算!$X$114&gt;-1),IF(逐级计算!$X$114=0,DJ26+逐级计算!$C$114,DJ26+逐级计算!$C$114-(10/(逐级计算!$Q$114*LN(10))*(MAX((LN(10^(逐级计算!$Q$114/10)-1)+逐级计算!$Q$114*(DJ26-逐级计算!$P$114)*LN(10)/10),0)+LN(1+EXP(-ABS((LN(10^(逐级计算!$Q$114/10)-1)+逐级计算!$Q$114*(DJ26-逐级计算!$P$114)*LN(10)/10))))))),"")</f>
        <v>13.7931490240992</v>
      </c>
      <c r="DL26">
        <f>IF(AND(ISNUMBER(DK26),逐级计算!$X$115&gt;-1),IF(逐级计算!$X$115=0,DK26+逐级计算!$C$115,DK26+逐级计算!$C$115-(10/(逐级计算!$Q$115*LN(10))*(MAX((LN(10^(逐级计算!$Q$115/10)-1)+逐级计算!$Q$115*(DK26-逐级计算!$P$115)*LN(10)/10),0)+LN(1+EXP(-ABS((LN(10^(逐级计算!$Q$115/10)-1)+逐级计算!$Q$115*(DK26-逐级计算!$P$115)*LN(10)/10))))))),"")</f>
        <v>13.7931490240992</v>
      </c>
      <c r="DM26">
        <f>IF(AND(ISNUMBER(DL26),逐级计算!$X$116&gt;-1),IF(逐级计算!$X$116=0,DL26+逐级计算!$C$116,DL26+逐级计算!$C$116-(10/(逐级计算!$Q$116*LN(10))*(MAX((LN(10^(逐级计算!$Q$116/10)-1)+逐级计算!$Q$116*(DL26-逐级计算!$P$116)*LN(10)/10),0)+LN(1+EXP(-ABS((LN(10^(逐级计算!$Q$116/10)-1)+逐级计算!$Q$116*(DL26-逐级计算!$P$116)*LN(10)/10))))))),"")</f>
        <v>13.7931490240992</v>
      </c>
      <c r="DN26">
        <f>IF(AND(ISNUMBER(DM26),逐级计算!$X$117&gt;-1),IF(逐级计算!$X$117=0,DM26+逐级计算!$C$117,DM26+逐级计算!$C$117-(10/(逐级计算!$Q$117*LN(10))*(MAX((LN(10^(逐级计算!$Q$117/10)-1)+逐级计算!$Q$117*(DM26-逐级计算!$P$117)*LN(10)/10),0)+LN(1+EXP(-ABS((LN(10^(逐级计算!$Q$117/10)-1)+逐级计算!$Q$117*(DM26-逐级计算!$P$117)*LN(10)/10))))))),"")</f>
        <v>13.7931490240992</v>
      </c>
      <c r="DO26">
        <f>IF(AND(ISNUMBER(DN26),逐级计算!$X$118&gt;-1),IF(逐级计算!$X$118=0,DN26+逐级计算!$C$118,DN26+逐级计算!$C$118-(10/(逐级计算!$Q$118*LN(10))*(MAX((LN(10^(逐级计算!$Q$118/10)-1)+逐级计算!$Q$118*(DN26-逐级计算!$P$118)*LN(10)/10),0)+LN(1+EXP(-ABS((LN(10^(逐级计算!$Q$118/10)-1)+逐级计算!$Q$118*(DN26-逐级计算!$P$118)*LN(10)/10))))))),"")</f>
        <v>13.7931490240992</v>
      </c>
      <c r="DP26">
        <f>IF(AND(ISNUMBER(DO26),逐级计算!$X$119&gt;-1),IF(逐级计算!$X$119=0,DO26+逐级计算!$C$119,DO26+逐级计算!$C$119-(10/(逐级计算!$Q$119*LN(10))*(MAX((LN(10^(逐级计算!$Q$119/10)-1)+逐级计算!$Q$119*(DO26-逐级计算!$P$119)*LN(10)/10),0)+LN(1+EXP(-ABS((LN(10^(逐级计算!$Q$119/10)-1)+逐级计算!$Q$119*(DO26-逐级计算!$P$119)*LN(10)/10))))))),"")</f>
        <v>13.7931490240992</v>
      </c>
      <c r="DQ26">
        <f>IF(AND(ISNUMBER(DP26),逐级计算!$X$120&gt;-1),IF(逐级计算!$X$120=0,DP26+逐级计算!$C$120,DP26+逐级计算!$C$120-(10/(逐级计算!$Q$120*LN(10))*(MAX((LN(10^(逐级计算!$Q$120/10)-1)+逐级计算!$Q$120*(DP26-逐级计算!$P$120)*LN(10)/10),0)+LN(1+EXP(-ABS((LN(10^(逐级计算!$Q$120/10)-1)+逐级计算!$Q$120*(DP26-逐级计算!$P$120)*LN(10)/10))))))),"")</f>
        <v>13.7931490240992</v>
      </c>
      <c r="DR26">
        <f>IF(AND(ISNUMBER(DQ26),逐级计算!$X$121&gt;-1),IF(逐级计算!$X$121=0,DQ26+逐级计算!$C$121,DQ26+逐级计算!$C$121-(10/(逐级计算!$Q$121*LN(10))*(MAX((LN(10^(逐级计算!$Q$121/10)-1)+逐级计算!$Q$121*(DQ26-逐级计算!$P$121)*LN(10)/10),0)+LN(1+EXP(-ABS((LN(10^(逐级计算!$Q$121/10)-1)+逐级计算!$Q$121*(DQ26-逐级计算!$P$121)*LN(10)/10))))))),"")</f>
        <v>13.7931490240992</v>
      </c>
      <c r="DS26">
        <f>IF(AND(ISNUMBER(DR26),逐级计算!$X$122&gt;-1),IF(逐级计算!$X$122=0,DR26+逐级计算!$C$122,DR26+逐级计算!$C$122-(10/(逐级计算!$Q$122*LN(10))*(MAX((LN(10^(逐级计算!$Q$122/10)-1)+逐级计算!$Q$122*(DR26-逐级计算!$P$122)*LN(10)/10),0)+LN(1+EXP(-ABS((LN(10^(逐级计算!$Q$122/10)-1)+逐级计算!$Q$122*(DR26-逐级计算!$P$122)*LN(10)/10))))))),"")</f>
        <v>13.7931490240992</v>
      </c>
      <c r="DT26">
        <f>IF(AND(ISNUMBER(DS26),逐级计算!$X$123&gt;-1),IF(逐级计算!$X$123=0,DS26+逐级计算!$C$123,DS26+逐级计算!$C$123-(10/(逐级计算!$Q$123*LN(10))*(MAX((LN(10^(逐级计算!$Q$123/10)-1)+逐级计算!$Q$123*(DS26-逐级计算!$P$123)*LN(10)/10),0)+LN(1+EXP(-ABS((LN(10^(逐级计算!$Q$123/10)-1)+逐级计算!$Q$123*(DS26-逐级计算!$P$123)*LN(10)/10))))))),"")</f>
        <v>13.7931490240992</v>
      </c>
      <c r="DU26">
        <f>IF(AND(ISNUMBER(DT26),逐级计算!$X$124&gt;-1),IF(逐级计算!$X$124=0,DT26+逐级计算!$C$124,DT26+逐级计算!$C$124-(10/(逐级计算!$Q$124*LN(10))*(MAX((LN(10^(逐级计算!$Q$124/10)-1)+逐级计算!$Q$124*(DT26-逐级计算!$P$124)*LN(10)/10),0)+LN(1+EXP(-ABS((LN(10^(逐级计算!$Q$124/10)-1)+逐级计算!$Q$124*(DT26-逐级计算!$P$124)*LN(10)/10))))))),"")</f>
        <v>13.7931490240992</v>
      </c>
      <c r="DV26">
        <f>IF(AND(ISNUMBER(DU26),逐级计算!$X$125&gt;-1),IF(逐级计算!$X$125=0,DU26+逐级计算!$C$125,DU26+逐级计算!$C$125-(10/(逐级计算!$Q$125*LN(10))*(MAX((LN(10^(逐级计算!$Q$125/10)-1)+逐级计算!$Q$125*(DU26-逐级计算!$P$125)*LN(10)/10),0)+LN(1+EXP(-ABS((LN(10^(逐级计算!$Q$125/10)-1)+逐级计算!$Q$125*(DU26-逐级计算!$P$125)*LN(10)/10))))))),"")</f>
        <v>13.7931490240992</v>
      </c>
      <c r="DW26">
        <f>IF(AND(ISNUMBER(DV26),逐级计算!$X$126&gt;-1),IF(逐级计算!$X$126=0,DV26+逐级计算!$C$126,DV26+逐级计算!$C$126-(10/(逐级计算!$Q$126*LN(10))*(MAX((LN(10^(逐级计算!$Q$126/10)-1)+逐级计算!$Q$126*(DV26-逐级计算!$P$126)*LN(10)/10),0)+LN(1+EXP(-ABS((LN(10^(逐级计算!$Q$126/10)-1)+逐级计算!$Q$126*(DV26-逐级计算!$P$126)*LN(10)/10))))))),"")</f>
        <v>13.7931490240992</v>
      </c>
      <c r="DX26">
        <f>IF(AND(ISNUMBER(DW26),逐级计算!$X$127&gt;-1),IF(逐级计算!$X$127=0,DW26+逐级计算!$C$127,DW26+逐级计算!$C$127-(10/(逐级计算!$Q$127*LN(10))*(MAX((LN(10^(逐级计算!$Q$127/10)-1)+逐级计算!$Q$127*(DW26-逐级计算!$P$127)*LN(10)/10),0)+LN(1+EXP(-ABS((LN(10^(逐级计算!$Q$127/10)-1)+逐级计算!$Q$127*(DW26-逐级计算!$P$127)*LN(10)/10))))))),"")</f>
        <v>13.7931490240992</v>
      </c>
      <c r="DY26">
        <f>IF(AND(ISNUMBER(DX26),逐级计算!$X$128&gt;-1),IF(逐级计算!$X$128=0,DX26+逐级计算!$C$128,DX26+逐级计算!$C$128-(10/(逐级计算!$Q$128*LN(10))*(MAX((LN(10^(逐级计算!$Q$128/10)-1)+逐级计算!$Q$128*(DX26-逐级计算!$P$128)*LN(10)/10),0)+LN(1+EXP(-ABS((LN(10^(逐级计算!$Q$128/10)-1)+逐级计算!$Q$128*(DX26-逐级计算!$P$128)*LN(10)/10))))))),"")</f>
        <v>13.7931490240992</v>
      </c>
      <c r="DZ26">
        <f>IF(AND(ISNUMBER(DY26),逐级计算!$X$129&gt;-1),IF(逐级计算!$X$129=0,DY26+逐级计算!$C$129,DY26+逐级计算!$C$129-(10/(逐级计算!$Q$129*LN(10))*(MAX((LN(10^(逐级计算!$Q$129/10)-1)+逐级计算!$Q$129*(DY26-逐级计算!$P$129)*LN(10)/10),0)+LN(1+EXP(-ABS((LN(10^(逐级计算!$Q$129/10)-1)+逐级计算!$Q$129*(DY26-逐级计算!$P$129)*LN(10)/10))))))),"")</f>
        <v>13.7931490240992</v>
      </c>
      <c r="EA26">
        <f>IF(AND(ISNUMBER(DZ26),逐级计算!$X$130&gt;-1),IF(逐级计算!$X$130=0,DZ26+逐级计算!$C$130,DZ26+逐级计算!$C$130-(10/(逐级计算!$Q$130*LN(10))*(MAX((LN(10^(逐级计算!$Q$130/10)-1)+逐级计算!$Q$130*(DZ26-逐级计算!$P$130)*LN(10)/10),0)+LN(1+EXP(-ABS((LN(10^(逐级计算!$Q$130/10)-1)+逐级计算!$Q$130*(DZ26-逐级计算!$P$130)*LN(10)/10))))))),"")</f>
        <v>13.7931490240992</v>
      </c>
      <c r="EB26">
        <f>IF(AND(ISNUMBER(EA26),逐级计算!$X$131&gt;-1),IF(逐级计算!$X$131=0,EA26+逐级计算!$C$131,EA26+逐级计算!$C$131-(10/(逐级计算!$Q$131*LN(10))*(MAX((LN(10^(逐级计算!$Q$131/10)-1)+逐级计算!$Q$131*(EA26-逐级计算!$P$131)*LN(10)/10),0)+LN(1+EXP(-ABS((LN(10^(逐级计算!$Q$131/10)-1)+逐级计算!$Q$131*(EA26-逐级计算!$P$131)*LN(10)/10))))))),"")</f>
        <v>13.7931490240992</v>
      </c>
      <c r="EC26">
        <f>IF(AND(ISNUMBER(EB26),逐级计算!$X$132&gt;-1),IF(逐级计算!$X$132=0,EB26+逐级计算!$C$132,EB26+逐级计算!$C$132-(10/(逐级计算!$Q$132*LN(10))*(MAX((LN(10^(逐级计算!$Q$132/10)-1)+逐级计算!$Q$132*(EB26-逐级计算!$P$132)*LN(10)/10),0)+LN(1+EXP(-ABS((LN(10^(逐级计算!$Q$132/10)-1)+逐级计算!$Q$132*(EB26-逐级计算!$P$132)*LN(10)/10))))))),"")</f>
        <v>13.7931490240992</v>
      </c>
      <c r="ED26">
        <f>IF(AND(ISNUMBER(EC26),逐级计算!$X$133&gt;-1),IF(逐级计算!$X$133=0,EC26+逐级计算!$C$133,EC26+逐级计算!$C$133-(10/(逐级计算!$Q$133*LN(10))*(MAX((LN(10^(逐级计算!$Q$133/10)-1)+逐级计算!$Q$133*(EC26-逐级计算!$P$133)*LN(10)/10),0)+LN(1+EXP(-ABS((LN(10^(逐级计算!$Q$133/10)-1)+逐级计算!$Q$133*(EC26-逐级计算!$P$133)*LN(10)/10))))))),"")</f>
        <v>13.7931490240992</v>
      </c>
      <c r="EE26">
        <f>IF(AND(ISNUMBER(ED26),逐级计算!$X$134&gt;-1),IF(逐级计算!$X$134=0,ED26+逐级计算!$C$134,ED26+逐级计算!$C$134-(10/(逐级计算!$Q$134*LN(10))*(MAX((LN(10^(逐级计算!$Q$134/10)-1)+逐级计算!$Q$134*(ED26-逐级计算!$P$134)*LN(10)/10),0)+LN(1+EXP(-ABS((LN(10^(逐级计算!$Q$134/10)-1)+逐级计算!$Q$134*(ED26-逐级计算!$P$134)*LN(10)/10))))))),"")</f>
        <v>13.7931490240992</v>
      </c>
      <c r="EF26">
        <f>IF(AND(ISNUMBER(EE26),逐级计算!$X$135&gt;-1),IF(逐级计算!$X$135=0,EE26+逐级计算!$C$135,EE26+逐级计算!$C$135-(10/(逐级计算!$Q$135*LN(10))*(MAX((LN(10^(逐级计算!$Q$135/10)-1)+逐级计算!$Q$135*(EE26-逐级计算!$P$135)*LN(10)/10),0)+LN(1+EXP(-ABS((LN(10^(逐级计算!$Q$135/10)-1)+逐级计算!$Q$135*(EE26-逐级计算!$P$135)*LN(10)/10))))))),"")</f>
        <v>13.7931490240992</v>
      </c>
      <c r="EG26">
        <f>IF(AND(ISNUMBER(EF26),逐级计算!$X$136&gt;-1),IF(逐级计算!$X$136=0,EF26+逐级计算!$C$136,EF26+逐级计算!$C$136-(10/(逐级计算!$Q$136*LN(10))*(MAX((LN(10^(逐级计算!$Q$136/10)-1)+逐级计算!$Q$136*(EF26-逐级计算!$P$136)*LN(10)/10),0)+LN(1+EXP(-ABS((LN(10^(逐级计算!$Q$136/10)-1)+逐级计算!$Q$136*(EF26-逐级计算!$P$136)*LN(10)/10))))))),"")</f>
        <v>13.7931490240992</v>
      </c>
      <c r="EH26">
        <f>IF(AND(ISNUMBER(EG26),逐级计算!$X$137&gt;-1),IF(逐级计算!$X$137=0,EG26+逐级计算!$C$137,EG26+逐级计算!$C$137-(10/(逐级计算!$Q$137*LN(10))*(MAX((LN(10^(逐级计算!$Q$137/10)-1)+逐级计算!$Q$137*(EG26-逐级计算!$P$137)*LN(10)/10),0)+LN(1+EXP(-ABS((LN(10^(逐级计算!$Q$137/10)-1)+逐级计算!$Q$137*(EG26-逐级计算!$P$137)*LN(10)/10))))))),"")</f>
        <v>13.7931490240992</v>
      </c>
      <c r="EI26">
        <f>IF(AND(ISNUMBER(EH26),逐级计算!$X$138&gt;-1),IF(逐级计算!$X$138=0,EH26+逐级计算!$C$138,EH26+逐级计算!$C$138-(10/(逐级计算!$Q$138*LN(10))*(MAX((LN(10^(逐级计算!$Q$138/10)-1)+逐级计算!$Q$138*(EH26-逐级计算!$P$138)*LN(10)/10),0)+LN(1+EXP(-ABS((LN(10^(逐级计算!$Q$138/10)-1)+逐级计算!$Q$138*(EH26-逐级计算!$P$138)*LN(10)/10))))))),"")</f>
        <v>13.7931490240992</v>
      </c>
      <c r="EJ26">
        <f>IF(AND(ISNUMBER(EI26),逐级计算!$X$139&gt;-1),IF(逐级计算!$X$139=0,EI26+逐级计算!$C$139,EI26+逐级计算!$C$139-(10/(逐级计算!$Q$139*LN(10))*(MAX((LN(10^(逐级计算!$Q$139/10)-1)+逐级计算!$Q$139*(EI26-逐级计算!$P$139)*LN(10)/10),0)+LN(1+EXP(-ABS((LN(10^(逐级计算!$Q$139/10)-1)+逐级计算!$Q$139*(EI26-逐级计算!$P$139)*LN(10)/10))))))),"")</f>
        <v>13.7931490240992</v>
      </c>
      <c r="EK26">
        <f>IF(AND(ISNUMBER(EJ26),逐级计算!$X$140&gt;-1),IF(逐级计算!$X$140=0,EJ26+逐级计算!$C$140,EJ26+逐级计算!$C$140-(10/(逐级计算!$Q$140*LN(10))*(MAX((LN(10^(逐级计算!$Q$140/10)-1)+逐级计算!$Q$140*(EJ26-逐级计算!$P$140)*LN(10)/10),0)+LN(1+EXP(-ABS((LN(10^(逐级计算!$Q$140/10)-1)+逐级计算!$Q$140*(EJ26-逐级计算!$P$140)*LN(10)/10))))))),"")</f>
        <v>13.7931490240992</v>
      </c>
      <c r="EL26">
        <f>IF(AND(ISNUMBER(EK26),逐级计算!$X$141&gt;-1),IF(逐级计算!$X$141=0,EK26+逐级计算!$C$141,EK26+逐级计算!$C$141-(10/(逐级计算!$Q$141*LN(10))*(MAX((LN(10^(逐级计算!$Q$141/10)-1)+逐级计算!$Q$141*(EK26-逐级计算!$P$141)*LN(10)/10),0)+LN(1+EXP(-ABS((LN(10^(逐级计算!$Q$141/10)-1)+逐级计算!$Q$141*(EK26-逐级计算!$P$141)*LN(10)/10))))))),"")</f>
        <v>13.7931490240992</v>
      </c>
      <c r="EM26">
        <f>IF(AND(ISNUMBER(EL26),逐级计算!$X$142&gt;-1),IF(逐级计算!$X$142=0,EL26+逐级计算!$C$142,EL26+逐级计算!$C$142-(10/(逐级计算!$Q$142*LN(10))*(MAX((LN(10^(逐级计算!$Q$142/10)-1)+逐级计算!$Q$142*(EL26-逐级计算!$P$142)*LN(10)/10),0)+LN(1+EXP(-ABS((LN(10^(逐级计算!$Q$142/10)-1)+逐级计算!$Q$142*(EL26-逐级计算!$P$142)*LN(10)/10))))))),"")</f>
        <v>13.7931490240992</v>
      </c>
      <c r="EN26">
        <f>IF(AND(ISNUMBER(EM26),逐级计算!$X$143&gt;-1),IF(逐级计算!$X$143=0,EM26+逐级计算!$C$143,EM26+逐级计算!$C$143-(10/(逐级计算!$Q$143*LN(10))*(MAX((LN(10^(逐级计算!$Q$143/10)-1)+逐级计算!$Q$143*(EM26-逐级计算!$P$143)*LN(10)/10),0)+LN(1+EXP(-ABS((LN(10^(逐级计算!$Q$143/10)-1)+逐级计算!$Q$143*(EM26-逐级计算!$P$143)*LN(10)/10))))))),"")</f>
        <v>13.7931490240992</v>
      </c>
      <c r="EO26">
        <f>IF(AND(ISNUMBER(EN26),逐级计算!$X$144&gt;-1),IF(逐级计算!$X$144=0,EN26+逐级计算!$C$144,EN26+逐级计算!$C$144-(10/(逐级计算!$Q$144*LN(10))*(MAX((LN(10^(逐级计算!$Q$144/10)-1)+逐级计算!$Q$144*(EN26-逐级计算!$P$144)*LN(10)/10),0)+LN(1+EXP(-ABS((LN(10^(逐级计算!$Q$144/10)-1)+逐级计算!$Q$144*(EN26-逐级计算!$P$144)*LN(10)/10))))))),"")</f>
        <v>13.7931490240992</v>
      </c>
      <c r="EP26">
        <f>IF(AND(ISNUMBER(EO26),逐级计算!$X$145&gt;-1),IF(逐级计算!$X$145=0,EO26+逐级计算!$C$145,EO26+逐级计算!$C$145-(10/(逐级计算!$Q$145*LN(10))*(MAX((LN(10^(逐级计算!$Q$145/10)-1)+逐级计算!$Q$145*(EO26-逐级计算!$P$145)*LN(10)/10),0)+LN(1+EXP(-ABS((LN(10^(逐级计算!$Q$145/10)-1)+逐级计算!$Q$145*(EO26-逐级计算!$P$145)*LN(10)/10))))))),"")</f>
        <v>13.7931490240992</v>
      </c>
      <c r="EQ26">
        <f>IF(AND(ISNUMBER(EP26),逐级计算!$X$146&gt;-1),IF(逐级计算!$X$146=0,EP26+逐级计算!$C$146,EP26+逐级计算!$C$146-(10/(逐级计算!$Q$146*LN(10))*(MAX((LN(10^(逐级计算!$Q$146/10)-1)+逐级计算!$Q$146*(EP26-逐级计算!$P$146)*LN(10)/10),0)+LN(1+EXP(-ABS((LN(10^(逐级计算!$Q$146/10)-1)+逐级计算!$Q$146*(EP26-逐级计算!$P$146)*LN(10)/10))))))),"")</f>
        <v>13.7931490240992</v>
      </c>
      <c r="ER26">
        <f>IF(AND(ISNUMBER(EQ26),逐级计算!$X$147&gt;-1),IF(逐级计算!$X$147=0,EQ26+逐级计算!$C$147,EQ26+逐级计算!$C$147-(10/(逐级计算!$Q$147*LN(10))*(MAX((LN(10^(逐级计算!$Q$147/10)-1)+逐级计算!$Q$147*(EQ26-逐级计算!$P$147)*LN(10)/10),0)+LN(1+EXP(-ABS((LN(10^(逐级计算!$Q$147/10)-1)+逐级计算!$Q$147*(EQ26-逐级计算!$P$147)*LN(10)/10))))))),"")</f>
        <v>13.7931490240992</v>
      </c>
      <c r="ES26">
        <f>IF(AND(ISNUMBER(ER26),逐级计算!$X$148&gt;-1),IF(逐级计算!$X$148=0,ER26+逐级计算!$C$148,ER26+逐级计算!$C$148-(10/(逐级计算!$Q$148*LN(10))*(MAX((LN(10^(逐级计算!$Q$148/10)-1)+逐级计算!$Q$148*(ER26-逐级计算!$P$148)*LN(10)/10),0)+LN(1+EXP(-ABS((LN(10^(逐级计算!$Q$148/10)-1)+逐级计算!$Q$148*(ER26-逐级计算!$P$148)*LN(10)/10))))))),"")</f>
        <v>13.7931490240992</v>
      </c>
      <c r="ET26">
        <f>IF(AND(ISNUMBER(ES26),逐级计算!$X$149&gt;-1),IF(逐级计算!$X$149=0,ES26+逐级计算!$C$149,ES26+逐级计算!$C$149-(10/(逐级计算!$Q$149*LN(10))*(MAX((LN(10^(逐级计算!$Q$149/10)-1)+逐级计算!$Q$149*(ES26-逐级计算!$P$149)*LN(10)/10),0)+LN(1+EXP(-ABS((LN(10^(逐级计算!$Q$149/10)-1)+逐级计算!$Q$149*(ES26-逐级计算!$P$149)*LN(10)/10))))))),"")</f>
        <v>13.7931490240992</v>
      </c>
      <c r="EU26">
        <f>IF(AND(ISNUMBER(ET26),逐级计算!$X$150&gt;-1),IF(逐级计算!$X$150=0,ET26+逐级计算!$C$150,ET26+逐级计算!$C$150-(10/(逐级计算!$Q$150*LN(10))*(MAX((LN(10^(逐级计算!$Q$150/10)-1)+逐级计算!$Q$150*(ET26-逐级计算!$P$150)*LN(10)/10),0)+LN(1+EXP(-ABS((LN(10^(逐级计算!$Q$150/10)-1)+逐级计算!$Q$150*(ET26-逐级计算!$P$150)*LN(10)/10))))))),"")</f>
        <v>13.7931490240992</v>
      </c>
      <c r="EV26">
        <f>IF(AND(ISNUMBER(EU26),逐级计算!$X$151&gt;-1),IF(逐级计算!$X$151=0,EU26+逐级计算!$C$151,EU26+逐级计算!$C$151-(10/(逐级计算!$Q$151*LN(10))*(MAX((LN(10^(逐级计算!$Q$151/10)-1)+逐级计算!$Q$151*(EU26-逐级计算!$P$151)*LN(10)/10),0)+LN(1+EXP(-ABS((LN(10^(逐级计算!$Q$151/10)-1)+逐级计算!$Q$151*(EU26-逐级计算!$P$151)*LN(10)/10))))))),"")</f>
        <v>13.7931490240992</v>
      </c>
      <c r="EW26">
        <f>IF(AND(ISNUMBER(EV26),逐级计算!$X$152&gt;-1),IF(逐级计算!$X$152=0,EV26+逐级计算!$C$152,EV26+逐级计算!$C$152-(10/(逐级计算!$Q$152*LN(10))*(MAX((LN(10^(逐级计算!$Q$152/10)-1)+逐级计算!$Q$152*(EV26-逐级计算!$P$152)*LN(10)/10),0)+LN(1+EXP(-ABS((LN(10^(逐级计算!$Q$152/10)-1)+逐级计算!$Q$152*(EV26-逐级计算!$P$152)*LN(10)/10))))))),"")</f>
        <v>13.7931490240992</v>
      </c>
      <c r="EX26">
        <f>IF(AND(ISNUMBER(EW26),逐级计算!$X$153&gt;-1),IF(逐级计算!$X$153=0,EW26+逐级计算!$C$153,EW26+逐级计算!$C$153-(10/(逐级计算!$Q$153*LN(10))*(MAX((LN(10^(逐级计算!$Q$153/10)-1)+逐级计算!$Q$153*(EW26-逐级计算!$P$153)*LN(10)/10),0)+LN(1+EXP(-ABS((LN(10^(逐级计算!$Q$153/10)-1)+逐级计算!$Q$153*(EW26-逐级计算!$P$153)*LN(10)/10))))))),"")</f>
        <v>13.7931490240992</v>
      </c>
      <c r="EY26">
        <f>IF(AND(ISNUMBER(EX26),逐级计算!$X$154&gt;-1),IF(逐级计算!$X$154=0,EX26+逐级计算!$C$154,EX26+逐级计算!$C$154-(10/(逐级计算!$Q$154*LN(10))*(MAX((LN(10^(逐级计算!$Q$154/10)-1)+逐级计算!$Q$154*(EX26-逐级计算!$P$154)*LN(10)/10),0)+LN(1+EXP(-ABS((LN(10^(逐级计算!$Q$154/10)-1)+逐级计算!$Q$154*(EX26-逐级计算!$P$154)*LN(10)/10))))))),"")</f>
        <v>13.7931490240992</v>
      </c>
      <c r="EZ26">
        <f>IF(AND(ISNUMBER(EY26),逐级计算!$X$155&gt;-1),IF(逐级计算!$X$155=0,EY26+逐级计算!$C$155,EY26+逐级计算!$C$155-(10/(逐级计算!$Q$155*LN(10))*(MAX((LN(10^(逐级计算!$Q$155/10)-1)+逐级计算!$Q$155*(EY26-逐级计算!$P$155)*LN(10)/10),0)+LN(1+EXP(-ABS((LN(10^(逐级计算!$Q$155/10)-1)+逐级计算!$Q$155*(EY26-逐级计算!$P$155)*LN(10)/10))))))),"")</f>
        <v>13.7931490240992</v>
      </c>
      <c r="FA26">
        <f>IF(AND(ISNUMBER(EZ26),逐级计算!$X$156&gt;-1),IF(逐级计算!$X$156=0,EZ26+逐级计算!$C$156,EZ26+逐级计算!$C$156-(10/(逐级计算!$Q$156*LN(10))*(MAX((LN(10^(逐级计算!$Q$156/10)-1)+逐级计算!$Q$156*(EZ26-逐级计算!$P$156)*LN(10)/10),0)+LN(1+EXP(-ABS((LN(10^(逐级计算!$Q$156/10)-1)+逐级计算!$Q$156*(EZ26-逐级计算!$P$156)*LN(10)/10))))))),"")</f>
        <v>13.7931490240992</v>
      </c>
      <c r="FB26">
        <f>IF(AND(ISNUMBER(FA26),逐级计算!$X$157&gt;-1),IF(逐级计算!$X$157=0,FA26+逐级计算!$C$157,FA26+逐级计算!$C$157-(10/(逐级计算!$Q$157*LN(10))*(MAX((LN(10^(逐级计算!$Q$157/10)-1)+逐级计算!$Q$157*(FA26-逐级计算!$P$157)*LN(10)/10),0)+LN(1+EXP(-ABS((LN(10^(逐级计算!$Q$157/10)-1)+逐级计算!$Q$157*(FA26-逐级计算!$P$157)*LN(10)/10))))))),"")</f>
        <v>13.7931490240992</v>
      </c>
      <c r="FC26">
        <f>IF(AND(ISNUMBER(FB26),逐级计算!$X$158&gt;-1),IF(逐级计算!$X$158=0,FB26+逐级计算!$C$158,FB26+逐级计算!$C$158-(10/(逐级计算!$Q$158*LN(10))*(MAX((LN(10^(逐级计算!$Q$158/10)-1)+逐级计算!$Q$158*(FB26-逐级计算!$P$158)*LN(10)/10),0)+LN(1+EXP(-ABS((LN(10^(逐级计算!$Q$158/10)-1)+逐级计算!$Q$158*(FB26-逐级计算!$P$158)*LN(10)/10))))))),"")</f>
        <v>13.7931490240992</v>
      </c>
      <c r="FD26">
        <f>IF(AND(ISNUMBER(FC26),逐级计算!$X$159&gt;-1),IF(逐级计算!$X$159=0,FC26+逐级计算!$C$159,FC26+逐级计算!$C$159-(10/(逐级计算!$Q$159*LN(10))*(MAX((LN(10^(逐级计算!$Q$159/10)-1)+逐级计算!$Q$159*(FC26-逐级计算!$P$159)*LN(10)/10),0)+LN(1+EXP(-ABS((LN(10^(逐级计算!$Q$159/10)-1)+逐级计算!$Q$159*(FC26-逐级计算!$P$159)*LN(10)/10))))))),"")</f>
        <v>13.7931490240992</v>
      </c>
      <c r="FE26">
        <f>IF(AND(ISNUMBER(FD26),逐级计算!$X$160&gt;-1),IF(逐级计算!$X$160=0,FD26+逐级计算!$C$160,FD26+逐级计算!$C$160-(10/(逐级计算!$Q$160*LN(10))*(MAX((LN(10^(逐级计算!$Q$160/10)-1)+逐级计算!$Q$160*(FD26-逐级计算!$P$160)*LN(10)/10),0)+LN(1+EXP(-ABS((LN(10^(逐级计算!$Q$160/10)-1)+逐级计算!$Q$160*(FD26-逐级计算!$P$160)*LN(10)/10))))))),"")</f>
        <v>13.7931490240992</v>
      </c>
      <c r="FF26">
        <f>IF(AND(ISNUMBER(FE26),逐级计算!$X$161&gt;-1),IF(逐级计算!$X$161=0,FE26+逐级计算!$C$161,FE26+逐级计算!$C$161-(10/(逐级计算!$Q$161*LN(10))*(MAX((LN(10^(逐级计算!$Q$161/10)-1)+逐级计算!$Q$161*(FE26-逐级计算!$P$161)*LN(10)/10),0)+LN(1+EXP(-ABS((LN(10^(逐级计算!$Q$161/10)-1)+逐级计算!$Q$161*(FE26-逐级计算!$P$161)*LN(10)/10))))))),"")</f>
        <v>13.7931490240992</v>
      </c>
      <c r="FG26">
        <f>IF(AND(ISNUMBER(FF26),逐级计算!$X$162&gt;-1),IF(逐级计算!$X$162=0,FF26+逐级计算!$C$162,FF26+逐级计算!$C$162-(10/(逐级计算!$Q$162*LN(10))*(MAX((LN(10^(逐级计算!$Q$162/10)-1)+逐级计算!$Q$162*(FF26-逐级计算!$P$162)*LN(10)/10),0)+LN(1+EXP(-ABS((LN(10^(逐级计算!$Q$162/10)-1)+逐级计算!$Q$162*(FF26-逐级计算!$P$162)*LN(10)/10))))))),"")</f>
        <v>13.7931490240992</v>
      </c>
      <c r="FH26">
        <f>IF(AND(ISNUMBER(FG26),逐级计算!$X$163&gt;-1),IF(逐级计算!$X$163=0,FG26+逐级计算!$C$163,FG26+逐级计算!$C$163-(10/(逐级计算!$Q$163*LN(10))*(MAX((LN(10^(逐级计算!$Q$163/10)-1)+逐级计算!$Q$163*(FG26-逐级计算!$P$163)*LN(10)/10),0)+LN(1+EXP(-ABS((LN(10^(逐级计算!$Q$163/10)-1)+逐级计算!$Q$163*(FG26-逐级计算!$P$163)*LN(10)/10))))))),"")</f>
        <v>13.7931490240992</v>
      </c>
      <c r="FI26">
        <f>IF(AND(ISNUMBER(FH26),逐级计算!$X$164&gt;-1),IF(逐级计算!$X$164=0,FH26+逐级计算!$C$164,FH26+逐级计算!$C$164-(10/(逐级计算!$Q$164*LN(10))*(MAX((LN(10^(逐级计算!$Q$164/10)-1)+逐级计算!$Q$164*(FH26-逐级计算!$P$164)*LN(10)/10),0)+LN(1+EXP(-ABS((LN(10^(逐级计算!$Q$164/10)-1)+逐级计算!$Q$164*(FH26-逐级计算!$P$164)*LN(10)/10))))))),"")</f>
        <v>13.7931490240992</v>
      </c>
      <c r="FJ26">
        <f>IF(AND(ISNUMBER(FI26),逐级计算!$X$165&gt;-1),IF(逐级计算!$X$165=0,FI26+逐级计算!$C$165,FI26+逐级计算!$C$165-(10/(逐级计算!$Q$165*LN(10))*(MAX((LN(10^(逐级计算!$Q$165/10)-1)+逐级计算!$Q$165*(FI26-逐级计算!$P$165)*LN(10)/10),0)+LN(1+EXP(-ABS((LN(10^(逐级计算!$Q$165/10)-1)+逐级计算!$Q$165*(FI26-逐级计算!$P$165)*LN(10)/10))))))),"")</f>
        <v>13.7931490240992</v>
      </c>
      <c r="FK26">
        <f>IF(AND(ISNUMBER(FJ26),逐级计算!$X$166&gt;-1),IF(逐级计算!$X$166=0,FJ26+逐级计算!$C$166,FJ26+逐级计算!$C$166-(10/(逐级计算!$Q$166*LN(10))*(MAX((LN(10^(逐级计算!$Q$166/10)-1)+逐级计算!$Q$166*(FJ26-逐级计算!$P$166)*LN(10)/10),0)+LN(1+EXP(-ABS((LN(10^(逐级计算!$Q$166/10)-1)+逐级计算!$Q$166*(FJ26-逐级计算!$P$166)*LN(10)/10))))))),"")</f>
        <v>13.7931490240992</v>
      </c>
      <c r="FL26">
        <f>IF(AND(ISNUMBER(FK26),逐级计算!$X$167&gt;-1),IF(逐级计算!$X$167=0,FK26+逐级计算!$C$167,FK26+逐级计算!$C$167-(10/(逐级计算!$Q$167*LN(10))*(MAX((LN(10^(逐级计算!$Q$167/10)-1)+逐级计算!$Q$167*(FK26-逐级计算!$P$167)*LN(10)/10),0)+LN(1+EXP(-ABS((LN(10^(逐级计算!$Q$167/10)-1)+逐级计算!$Q$167*(FK26-逐级计算!$P$167)*LN(10)/10))))))),"")</f>
        <v>13.7931490240992</v>
      </c>
      <c r="FM26">
        <f>IF(AND(ISNUMBER(FL26),逐级计算!$X$168&gt;-1),IF(逐级计算!$X$168=0,FL26+逐级计算!$C$168,FL26+逐级计算!$C$168-(10/(逐级计算!$Q$168*LN(10))*(MAX((LN(10^(逐级计算!$Q$168/10)-1)+逐级计算!$Q$168*(FL26-逐级计算!$P$168)*LN(10)/10),0)+LN(1+EXP(-ABS((LN(10^(逐级计算!$Q$168/10)-1)+逐级计算!$Q$168*(FL26-逐级计算!$P$168)*LN(10)/10))))))),"")</f>
        <v>13.7931490240992</v>
      </c>
      <c r="FN26">
        <f>IF(AND(ISNUMBER(FM26),逐级计算!$X$169&gt;-1),IF(逐级计算!$X$169=0,FM26+逐级计算!$C$169,FM26+逐级计算!$C$169-(10/(逐级计算!$Q$169*LN(10))*(MAX((LN(10^(逐级计算!$Q$169/10)-1)+逐级计算!$Q$169*(FM26-逐级计算!$P$169)*LN(10)/10),0)+LN(1+EXP(-ABS((LN(10^(逐级计算!$Q$169/10)-1)+逐级计算!$Q$169*(FM26-逐级计算!$P$169)*LN(10)/10))))))),"")</f>
        <v>13.7931490240992</v>
      </c>
      <c r="FO26">
        <f>IF(AND(ISNUMBER(FN26),逐级计算!$X$170&gt;-1),IF(逐级计算!$X$170=0,FN26+逐级计算!$C$170,FN26+逐级计算!$C$170-(10/(逐级计算!$Q$170*LN(10))*(MAX((LN(10^(逐级计算!$Q$170/10)-1)+逐级计算!$Q$170*(FN26-逐级计算!$P$170)*LN(10)/10),0)+LN(1+EXP(-ABS((LN(10^(逐级计算!$Q$170/10)-1)+逐级计算!$Q$170*(FN26-逐级计算!$P$170)*LN(10)/10))))))),"")</f>
        <v>13.7931490240992</v>
      </c>
      <c r="FP26">
        <f>IF(AND(ISNUMBER(FO26),逐级计算!$X$171&gt;-1),IF(逐级计算!$X$171=0,FO26+逐级计算!$C$171,FO26+逐级计算!$C$171-(10/(逐级计算!$Q$171*LN(10))*(MAX((LN(10^(逐级计算!$Q$171/10)-1)+逐级计算!$Q$171*(FO26-逐级计算!$P$171)*LN(10)/10),0)+LN(1+EXP(-ABS((LN(10^(逐级计算!$Q$171/10)-1)+逐级计算!$Q$171*(FO26-逐级计算!$P$171)*LN(10)/10))))))),"")</f>
        <v>13.7931490240992</v>
      </c>
      <c r="FQ26">
        <f>IF(AND(ISNUMBER(FP26),逐级计算!$X$172&gt;-1),IF(逐级计算!$X$172=0,FP26+逐级计算!$C$172,FP26+逐级计算!$C$172-(10/(逐级计算!$Q$172*LN(10))*(MAX((LN(10^(逐级计算!$Q$172/10)-1)+逐级计算!$Q$172*(FP26-逐级计算!$P$172)*LN(10)/10),0)+LN(1+EXP(-ABS((LN(10^(逐级计算!$Q$172/10)-1)+逐级计算!$Q$172*(FP26-逐级计算!$P$172)*LN(10)/10))))))),"")</f>
        <v>13.7931490240992</v>
      </c>
      <c r="FR26">
        <f>IF(AND(ISNUMBER(FQ26),逐级计算!$X$173&gt;-1),IF(逐级计算!$X$173=0,FQ26+逐级计算!$C$173,FQ26+逐级计算!$C$173-(10/(逐级计算!$Q$173*LN(10))*(MAX((LN(10^(逐级计算!$Q$173/10)-1)+逐级计算!$Q$173*(FQ26-逐级计算!$P$173)*LN(10)/10),0)+LN(1+EXP(-ABS((LN(10^(逐级计算!$Q$173/10)-1)+逐级计算!$Q$173*(FQ26-逐级计算!$P$173)*LN(10)/10))))))),"")</f>
        <v>13.7931490240992</v>
      </c>
      <c r="FS26">
        <f>IF(AND(ISNUMBER(FR26),逐级计算!$X$174&gt;-1),IF(逐级计算!$X$174=0,FR26+逐级计算!$C$174,FR26+逐级计算!$C$174-(10/(逐级计算!$Q$174*LN(10))*(MAX((LN(10^(逐级计算!$Q$174/10)-1)+逐级计算!$Q$174*(FR26-逐级计算!$P$174)*LN(10)/10),0)+LN(1+EXP(-ABS((LN(10^(逐级计算!$Q$174/10)-1)+逐级计算!$Q$174*(FR26-逐级计算!$P$174)*LN(10)/10))))))),"")</f>
        <v>13.7931490240992</v>
      </c>
      <c r="FT26">
        <f>IF(AND(ISNUMBER(FS26),逐级计算!$X$175&gt;-1),IF(逐级计算!$X$175=0,FS26+逐级计算!$C$175,FS26+逐级计算!$C$175-(10/(逐级计算!$Q$175*LN(10))*(MAX((LN(10^(逐级计算!$Q$175/10)-1)+逐级计算!$Q$175*(FS26-逐级计算!$P$175)*LN(10)/10),0)+LN(1+EXP(-ABS((LN(10^(逐级计算!$Q$175/10)-1)+逐级计算!$Q$175*(FS26-逐级计算!$P$175)*LN(10)/10))))))),"")</f>
        <v>13.7931490240992</v>
      </c>
      <c r="FU26">
        <f>IF(AND(ISNUMBER(FT26),逐级计算!$X$176&gt;-1),IF(逐级计算!$X$176=0,FT26+逐级计算!$C$176,FT26+逐级计算!$C$176-(10/(逐级计算!$Q$176*LN(10))*(MAX((LN(10^(逐级计算!$Q$176/10)-1)+逐级计算!$Q$176*(FT26-逐级计算!$P$176)*LN(10)/10),0)+LN(1+EXP(-ABS((LN(10^(逐级计算!$Q$176/10)-1)+逐级计算!$Q$176*(FT26-逐级计算!$P$176)*LN(10)/10))))))),"")</f>
        <v>13.7931490240992</v>
      </c>
      <c r="FV26">
        <f>IF(AND(ISNUMBER(FU26),逐级计算!$X$177&gt;-1),IF(逐级计算!$X$177=0,FU26+逐级计算!$C$177,FU26+逐级计算!$C$177-(10/(逐级计算!$Q$177*LN(10))*(MAX((LN(10^(逐级计算!$Q$177/10)-1)+逐级计算!$Q$177*(FU26-逐级计算!$P$177)*LN(10)/10),0)+LN(1+EXP(-ABS((LN(10^(逐级计算!$Q$177/10)-1)+逐级计算!$Q$177*(FU26-逐级计算!$P$177)*LN(10)/10))))))),"")</f>
        <v>13.7931490240992</v>
      </c>
      <c r="FW26">
        <f>IF(AND(ISNUMBER(FV26),逐级计算!$X$178&gt;-1),IF(逐级计算!$X$178=0,FV26+逐级计算!$C$178,FV26+逐级计算!$C$178-(10/(逐级计算!$Q$178*LN(10))*(MAX((LN(10^(逐级计算!$Q$178/10)-1)+逐级计算!$Q$178*(FV26-逐级计算!$P$178)*LN(10)/10),0)+LN(1+EXP(-ABS((LN(10^(逐级计算!$Q$178/10)-1)+逐级计算!$Q$178*(FV26-逐级计算!$P$178)*LN(10)/10))))))),"")</f>
        <v>13.7931490240992</v>
      </c>
      <c r="FX26">
        <f>IF(AND(ISNUMBER(FW26),逐级计算!$X$179&gt;-1),IF(逐级计算!$X$179=0,FW26+逐级计算!$C$179,FW26+逐级计算!$C$179-(10/(逐级计算!$Q$179*LN(10))*(MAX((LN(10^(逐级计算!$Q$179/10)-1)+逐级计算!$Q$179*(FW26-逐级计算!$P$179)*LN(10)/10),0)+LN(1+EXP(-ABS((LN(10^(逐级计算!$Q$179/10)-1)+逐级计算!$Q$179*(FW26-逐级计算!$P$179)*LN(10)/10))))))),"")</f>
        <v>13.7931490240992</v>
      </c>
      <c r="FY26">
        <f>IF(AND(ISNUMBER(FX26),逐级计算!$X$180&gt;-1),IF(逐级计算!$X$180=0,FX26+逐级计算!$C$180,FX26+逐级计算!$C$180-(10/(逐级计算!$Q$180*LN(10))*(MAX((LN(10^(逐级计算!$Q$180/10)-1)+逐级计算!$Q$180*(FX26-逐级计算!$P$180)*LN(10)/10),0)+LN(1+EXP(-ABS((LN(10^(逐级计算!$Q$180/10)-1)+逐级计算!$Q$180*(FX26-逐级计算!$P$180)*LN(10)/10))))))),"")</f>
        <v>13.7931490240992</v>
      </c>
      <c r="FZ26">
        <f>IF(AND(ISNUMBER(FY26),逐级计算!$X$181&gt;-1),IF(逐级计算!$X$181=0,FY26+逐级计算!$C$181,FY26+逐级计算!$C$181-(10/(逐级计算!$Q$181*LN(10))*(MAX((LN(10^(逐级计算!$Q$181/10)-1)+逐级计算!$Q$181*(FY26-逐级计算!$P$181)*LN(10)/10),0)+LN(1+EXP(-ABS((LN(10^(逐级计算!$Q$181/10)-1)+逐级计算!$Q$181*(FY26-逐级计算!$P$181)*LN(10)/10))))))),"")</f>
        <v>13.7931490240992</v>
      </c>
      <c r="GA26">
        <f>IF(AND(ISNUMBER(FZ26),逐级计算!$X$182&gt;-1),IF(逐级计算!$X$182=0,FZ26+逐级计算!$C$182,FZ26+逐级计算!$C$182-(10/(逐级计算!$Q$182*LN(10))*(MAX((LN(10^(逐级计算!$Q$182/10)-1)+逐级计算!$Q$182*(FZ26-逐级计算!$P$182)*LN(10)/10),0)+LN(1+EXP(-ABS((LN(10^(逐级计算!$Q$182/10)-1)+逐级计算!$Q$182*(FZ26-逐级计算!$P$182)*LN(10)/10))))))),"")</f>
        <v>13.7931490240992</v>
      </c>
      <c r="GB26">
        <f>IF(AND(ISNUMBER(GA26),逐级计算!$X$183&gt;-1),IF(逐级计算!$X$183=0,GA26+逐级计算!$C$183,GA26+逐级计算!$C$183-(10/(逐级计算!$Q$183*LN(10))*(MAX((LN(10^(逐级计算!$Q$183/10)-1)+逐级计算!$Q$183*(GA26-逐级计算!$P$183)*LN(10)/10),0)+LN(1+EXP(-ABS((LN(10^(逐级计算!$Q$183/10)-1)+逐级计算!$Q$183*(GA26-逐级计算!$P$183)*LN(10)/10))))))),"")</f>
        <v>13.7931490240992</v>
      </c>
      <c r="GC26">
        <f>IF(AND(ISNUMBER(GB26),逐级计算!$X$184&gt;-1),IF(逐级计算!$X$184=0,GB26+逐级计算!$C$184,GB26+逐级计算!$C$184-(10/(逐级计算!$Q$184*LN(10))*(MAX((LN(10^(逐级计算!$Q$184/10)-1)+逐级计算!$Q$184*(GB26-逐级计算!$P$184)*LN(10)/10),0)+LN(1+EXP(-ABS((LN(10^(逐级计算!$Q$184/10)-1)+逐级计算!$Q$184*(GB26-逐级计算!$P$184)*LN(10)/10))))))),"")</f>
        <v>13.7931490240992</v>
      </c>
      <c r="GD26">
        <f>IF(AND(ISNUMBER(GC26),逐级计算!$X$185&gt;-1),IF(逐级计算!$X$185=0,GC26+逐级计算!$C$185,GC26+逐级计算!$C$185-(10/(逐级计算!$Q$185*LN(10))*(MAX((LN(10^(逐级计算!$Q$185/10)-1)+逐级计算!$Q$185*(GC26-逐级计算!$P$185)*LN(10)/10),0)+LN(1+EXP(-ABS((LN(10^(逐级计算!$Q$185/10)-1)+逐级计算!$Q$185*(GC26-逐级计算!$P$185)*LN(10)/10))))))),"")</f>
        <v>13.7931490240992</v>
      </c>
      <c r="GE26">
        <f>IF(AND(ISNUMBER(GD26),逐级计算!$X$186&gt;-1),IF(逐级计算!$X$186=0,GD26+逐级计算!$C$186,GD26+逐级计算!$C$186-(10/(逐级计算!$Q$186*LN(10))*(MAX((LN(10^(逐级计算!$Q$186/10)-1)+逐级计算!$Q$186*(GD26-逐级计算!$P$186)*LN(10)/10),0)+LN(1+EXP(-ABS((LN(10^(逐级计算!$Q$186/10)-1)+逐级计算!$Q$186*(GD26-逐级计算!$P$186)*LN(10)/10))))))),"")</f>
        <v>13.7931490240992</v>
      </c>
      <c r="GF26">
        <f>IF(AND(ISNUMBER(GE26),逐级计算!$X$187&gt;-1),IF(逐级计算!$X$187=0,GE26+逐级计算!$C$187,GE26+逐级计算!$C$187-(10/(逐级计算!$Q$187*LN(10))*(MAX((LN(10^(逐级计算!$Q$187/10)-1)+逐级计算!$Q$187*(GE26-逐级计算!$P$187)*LN(10)/10),0)+LN(1+EXP(-ABS((LN(10^(逐级计算!$Q$187/10)-1)+逐级计算!$Q$187*(GE26-逐级计算!$P$187)*LN(10)/10))))))),"")</f>
        <v>13.7931490240992</v>
      </c>
      <c r="GG26">
        <f>IF(AND(ISNUMBER(GF26),逐级计算!$X$188&gt;-1),IF(逐级计算!$X$188=0,GF26+逐级计算!$C$188,GF26+逐级计算!$C$188-(10/(逐级计算!$Q$188*LN(10))*(MAX((LN(10^(逐级计算!$Q$188/10)-1)+逐级计算!$Q$188*(GF26-逐级计算!$P$188)*LN(10)/10),0)+LN(1+EXP(-ABS((LN(10^(逐级计算!$Q$188/10)-1)+逐级计算!$Q$188*(GF26-逐级计算!$P$188)*LN(10)/10))))))),"")</f>
        <v>13.7931490240992</v>
      </c>
      <c r="GH26">
        <f>IF(AND(ISNUMBER(GG26),逐级计算!$X$189&gt;-1),IF(逐级计算!$X$189=0,GG26+逐级计算!$C$189,GG26+逐级计算!$C$189-(10/(逐级计算!$Q$189*LN(10))*(MAX((LN(10^(逐级计算!$Q$189/10)-1)+逐级计算!$Q$189*(GG26-逐级计算!$P$189)*LN(10)/10),0)+LN(1+EXP(-ABS((LN(10^(逐级计算!$Q$189/10)-1)+逐级计算!$Q$189*(GG26-逐级计算!$P$189)*LN(10)/10))))))),"")</f>
        <v>13.7931490240992</v>
      </c>
      <c r="GI26">
        <f>IF(AND(ISNUMBER(GH26),逐级计算!$X$190&gt;-1),IF(逐级计算!$X$190=0,GH26+逐级计算!$C$190,GH26+逐级计算!$C$190-(10/(逐级计算!$Q$190*LN(10))*(MAX((LN(10^(逐级计算!$Q$190/10)-1)+逐级计算!$Q$190*(GH26-逐级计算!$P$190)*LN(10)/10),0)+LN(1+EXP(-ABS((LN(10^(逐级计算!$Q$190/10)-1)+逐级计算!$Q$190*(GH26-逐级计算!$P$190)*LN(10)/10))))))),"")</f>
        <v>13.7931490240992</v>
      </c>
      <c r="GJ26">
        <f>IF(AND(ISNUMBER(GI26),逐级计算!$X$191&gt;-1),IF(逐级计算!$X$191=0,GI26+逐级计算!$C$191,GI26+逐级计算!$C$191-(10/(逐级计算!$Q$191*LN(10))*(MAX((LN(10^(逐级计算!$Q$191/10)-1)+逐级计算!$Q$191*(GI26-逐级计算!$P$191)*LN(10)/10),0)+LN(1+EXP(-ABS((LN(10^(逐级计算!$Q$191/10)-1)+逐级计算!$Q$191*(GI26-逐级计算!$P$191)*LN(10)/10))))))),"")</f>
        <v>13.7931490240992</v>
      </c>
      <c r="GK26">
        <f>IF(AND(ISNUMBER(GJ26),逐级计算!$X$192&gt;-1),IF(逐级计算!$X$192=0,GJ26+逐级计算!$C$192,GJ26+逐级计算!$C$192-(10/(逐级计算!$Q$192*LN(10))*(MAX((LN(10^(逐级计算!$Q$192/10)-1)+逐级计算!$Q$192*(GJ26-逐级计算!$P$192)*LN(10)/10),0)+LN(1+EXP(-ABS((LN(10^(逐级计算!$Q$192/10)-1)+逐级计算!$Q$192*(GJ26-逐级计算!$P$192)*LN(10)/10))))))),"")</f>
        <v>13.7931490240992</v>
      </c>
      <c r="GL26">
        <f>IF(AND(ISNUMBER(GK26),逐级计算!$X$193&gt;-1),IF(逐级计算!$X$193=0,GK26+逐级计算!$C$193,GK26+逐级计算!$C$193-(10/(逐级计算!$Q$193*LN(10))*(MAX((LN(10^(逐级计算!$Q$193/10)-1)+逐级计算!$Q$193*(GK26-逐级计算!$P$193)*LN(10)/10),0)+LN(1+EXP(-ABS((LN(10^(逐级计算!$Q$193/10)-1)+逐级计算!$Q$193*(GK26-逐级计算!$P$193)*LN(10)/10))))))),"")</f>
        <v>13.7931490240992</v>
      </c>
      <c r="GM26">
        <f>IF(AND(ISNUMBER(GL26),逐级计算!$X$194&gt;-1),IF(逐级计算!$X$194=0,GL26+逐级计算!$C$194,GL26+逐级计算!$C$194-(10/(逐级计算!$Q$194*LN(10))*(MAX((LN(10^(逐级计算!$Q$194/10)-1)+逐级计算!$Q$194*(GL26-逐级计算!$P$194)*LN(10)/10),0)+LN(1+EXP(-ABS((LN(10^(逐级计算!$Q$194/10)-1)+逐级计算!$Q$194*(GL26-逐级计算!$P$194)*LN(10)/10))))))),"")</f>
        <v>13.7931490240992</v>
      </c>
      <c r="GN26">
        <f>IF(AND(ISNUMBER(GM26),逐级计算!$X$195&gt;-1),IF(逐级计算!$X$195=0,GM26+逐级计算!$C$195,GM26+逐级计算!$C$195-(10/(逐级计算!$Q$195*LN(10))*(MAX((LN(10^(逐级计算!$Q$195/10)-1)+逐级计算!$Q$195*(GM26-逐级计算!$P$195)*LN(10)/10),0)+LN(1+EXP(-ABS((LN(10^(逐级计算!$Q$195/10)-1)+逐级计算!$Q$195*(GM26-逐级计算!$P$195)*LN(10)/10))))))),"")</f>
        <v>13.7931490240992</v>
      </c>
      <c r="GO26">
        <f>IF(AND(ISNUMBER(GN26),逐级计算!$X$196&gt;-1),IF(逐级计算!$X$196=0,GN26+逐级计算!$C$196,GN26+逐级计算!$C$196-(10/(逐级计算!$Q$196*LN(10))*(MAX((LN(10^(逐级计算!$Q$196/10)-1)+逐级计算!$Q$196*(GN26-逐级计算!$P$196)*LN(10)/10),0)+LN(1+EXP(-ABS((LN(10^(逐级计算!$Q$196/10)-1)+逐级计算!$Q$196*(GN26-逐级计算!$P$196)*LN(10)/10))))))),"")</f>
        <v>13.7931490240992</v>
      </c>
      <c r="GP26">
        <f>IF(AND(ISNUMBER(GO26),逐级计算!$X$197&gt;-1),IF(逐级计算!$X$197=0,GO26+逐级计算!$C$197,GO26+逐级计算!$C$197-(10/(逐级计算!$Q$197*LN(10))*(MAX((LN(10^(逐级计算!$Q$197/10)-1)+逐级计算!$Q$197*(GO26-逐级计算!$P$197)*LN(10)/10),0)+LN(1+EXP(-ABS((LN(10^(逐级计算!$Q$197/10)-1)+逐级计算!$Q$197*(GO26-逐级计算!$P$197)*LN(10)/10))))))),"")</f>
        <v>13.7931490240992</v>
      </c>
      <c r="GQ26">
        <f>IF(AND(ISNUMBER(GP26),逐级计算!$X$198&gt;-1),IF(逐级计算!$X$198=0,GP26+逐级计算!$C$198,GP26+逐级计算!$C$198-(10/(逐级计算!$Q$198*LN(10))*(MAX((LN(10^(逐级计算!$Q$198/10)-1)+逐级计算!$Q$198*(GP26-逐级计算!$P$198)*LN(10)/10),0)+LN(1+EXP(-ABS((LN(10^(逐级计算!$Q$198/10)-1)+逐级计算!$Q$198*(GP26-逐级计算!$P$198)*LN(10)/10))))))),"")</f>
        <v>13.7931490240992</v>
      </c>
      <c r="GR26">
        <f>IF(AND(ISNUMBER(GQ26),逐级计算!$X$199&gt;-1),IF(逐级计算!$X$199=0,GQ26+逐级计算!$C$199,GQ26+逐级计算!$C$199-(10/(逐级计算!$Q$199*LN(10))*(MAX((LN(10^(逐级计算!$Q$199/10)-1)+逐级计算!$Q$199*(GQ26-逐级计算!$P$199)*LN(10)/10),0)+LN(1+EXP(-ABS((LN(10^(逐级计算!$Q$199/10)-1)+逐级计算!$Q$199*(GQ26-逐级计算!$P$199)*LN(10)/10))))))),"")</f>
        <v>13.7931490240992</v>
      </c>
      <c r="GS26">
        <f>IF(AND(ISNUMBER(GR26),逐级计算!$X$200&gt;-1),IF(逐级计算!$X$200=0,GR26+逐级计算!$C$200,GR26+逐级计算!$C$200-(10/(逐级计算!$Q$200*LN(10))*(MAX((LN(10^(逐级计算!$Q$200/10)-1)+逐级计算!$Q$200*(GR26-逐级计算!$P$200)*LN(10)/10),0)+LN(1+EXP(-ABS((LN(10^(逐级计算!$Q$200/10)-1)+逐级计算!$Q$200*(GR26-逐级计算!$P$200)*LN(10)/10))))))),"")</f>
        <v>13.7931490240992</v>
      </c>
      <c r="GT26">
        <f>IF(AND(ISNUMBER(GS26),逐级计算!$X$201&gt;-1),IF(逐级计算!$X$201=0,GS26+逐级计算!$C$201,GS26+逐级计算!$C$201-(10/(逐级计算!$Q$201*LN(10))*(MAX((LN(10^(逐级计算!$Q$201/10)-1)+逐级计算!$Q$201*(GS26-逐级计算!$P$201)*LN(10)/10),0)+LN(1+EXP(-ABS((LN(10^(逐级计算!$Q$201/10)-1)+逐级计算!$Q$201*(GS26-逐级计算!$P$201)*LN(10)/10))))))),"")</f>
        <v>13.7931490240992</v>
      </c>
      <c r="GU26">
        <f>IF(AND(ISNUMBER(GT26),逐级计算!$X$202&gt;-1),IF(逐级计算!$X$202=0,GT26+逐级计算!$C$202,GT26+逐级计算!$C$202-(10/(逐级计算!$Q$202*LN(10))*(MAX((LN(10^(逐级计算!$Q$202/10)-1)+逐级计算!$Q$202*(GT26-逐级计算!$P$202)*LN(10)/10),0)+LN(1+EXP(-ABS((LN(10^(逐级计算!$Q$202/10)-1)+逐级计算!$Q$202*(GT26-逐级计算!$P$202)*LN(10)/10))))))),"")</f>
        <v>13.7931490240992</v>
      </c>
      <c r="GV26">
        <f>IF(AND(ISNUMBER(GU26),逐级计算!$X$203&gt;-1),IF(逐级计算!$X$203=0,GU26+逐级计算!$C$203,GU26+逐级计算!$C$203-(10/(逐级计算!$Q$203*LN(10))*(MAX((LN(10^(逐级计算!$Q$203/10)-1)+逐级计算!$Q$203*(GU26-逐级计算!$P$203)*LN(10)/10),0)+LN(1+EXP(-ABS((LN(10^(逐级计算!$Q$203/10)-1)+逐级计算!$Q$203*(GU26-逐级计算!$P$203)*LN(10)/10))))))),"")</f>
        <v>13.7931490240992</v>
      </c>
      <c r="GW26">
        <f t="shared" si="2"/>
        <v>-5.20658493041992</v>
      </c>
    </row>
    <row r="27" spans="1:205">
      <c r="A27">
        <v>20</v>
      </c>
      <c r="B27">
        <f t="shared" si="1"/>
        <v>-5.20698547363281</v>
      </c>
      <c r="C27">
        <f t="shared" si="0"/>
        <v>-5.20688533782959</v>
      </c>
      <c r="D27">
        <f>IF(AND(ISNUMBER(C27),ISNUMBER(逐级计算!$E$203),ISNUMBER(GV27)),C27+逐级计算!$E$203-GV27,"")</f>
        <v>1.00002881811563</v>
      </c>
      <c r="E27">
        <f>IF(AND(ISNUMBER(C27),逐级计算!$X$4&gt;-1),IF(逐级计算!$X$4=0,C27+逐级计算!$C$4,C27+逐级计算!$C$4-(10/(逐级计算!$Q$4*LN(10))*(MAX((LN(10^(逐级计算!$Q$4/10)-1)+逐级计算!$Q$4*(C27-逐级计算!$P$4)*LN(10)/10),0)+LN(1+EXP(-ABS((LN(10^(逐级计算!$Q$4/10)-1)+逐级计算!$Q$4*(C27-逐级计算!$P$4)*LN(10)/10))))))),"")</f>
        <v>4.68061397470532</v>
      </c>
      <c r="F27">
        <f>IF(AND(ISNUMBER(E27),逐级计算!$X$5&gt;-1),IF(逐级计算!$X$5=0,E27+逐级计算!$C$5,E27+逐级计算!$C$5-(10/(逐级计算!$Q$5*LN(10))*(MAX((LN(10^(逐级计算!$Q$5/10)-1)+逐级计算!$Q$5*(E27-逐级计算!$P$5)*LN(10)/10),0)+LN(1+EXP(-ABS((LN(10^(逐级计算!$Q$5/10)-1)+逐级计算!$Q$5*(E27-逐级计算!$P$5)*LN(10)/10))))))),"")</f>
        <v>13.7930858440548</v>
      </c>
      <c r="G27">
        <f>IF(AND(ISNUMBER(F27),逐级计算!$X$6&gt;-1),IF(逐级计算!$X$6=0,F27+逐级计算!$C$6,F27+逐级计算!$C$6-(10/(逐级计算!$Q$6*LN(10))*(MAX((LN(10^(逐级计算!$Q$6/10)-1)+逐级计算!$Q$6*(F27-逐级计算!$P$6)*LN(10)/10),0)+LN(1+EXP(-ABS((LN(10^(逐级计算!$Q$6/10)-1)+逐级计算!$Q$6*(F27-逐级计算!$P$6)*LN(10)/10))))))),"")</f>
        <v>13.7930858440548</v>
      </c>
      <c r="H27">
        <f>IF(AND(ISNUMBER(G27),逐级计算!$X$7&gt;-1),IF(逐级计算!$X$7=0,G27+逐级计算!$C$7,G27+逐级计算!$C$7-(10/(逐级计算!$Q$7*LN(10))*(MAX((LN(10^(逐级计算!$Q$7/10)-1)+逐级计算!$Q$7*(G27-逐级计算!$P$7)*LN(10)/10),0)+LN(1+EXP(-ABS((LN(10^(逐级计算!$Q$7/10)-1)+逐级计算!$Q$7*(G27-逐级计算!$P$7)*LN(10)/10))))))),"")</f>
        <v>13.7930858440548</v>
      </c>
      <c r="I27">
        <f>IF(AND(ISNUMBER(H27),逐级计算!$X$8&gt;-1),IF(逐级计算!$X$8=0,H27+逐级计算!$C$8,H27+逐级计算!$C$8-(10/(逐级计算!$Q$8*LN(10))*(MAX((LN(10^(逐级计算!$Q$8/10)-1)+逐级计算!$Q$8*(H27-逐级计算!$P$8)*LN(10)/10),0)+LN(1+EXP(-ABS((LN(10^(逐级计算!$Q$8/10)-1)+逐级计算!$Q$8*(H27-逐级计算!$P$8)*LN(10)/10))))))),"")</f>
        <v>13.7930858440548</v>
      </c>
      <c r="J27">
        <f>IF(AND(ISNUMBER(I27),逐级计算!$X$9&gt;-1),IF(逐级计算!$X$9=0,I27+逐级计算!$C$9,I27+逐级计算!$C$9-(10/(逐级计算!$Q$9*LN(10))*(MAX((LN(10^(逐级计算!$Q$9/10)-1)+逐级计算!$Q$9*(I27-逐级计算!$P$9)*LN(10)/10),0)+LN(1+EXP(-ABS((LN(10^(逐级计算!$Q$9/10)-1)+逐级计算!$Q$9*(I27-逐级计算!$P$9)*LN(10)/10))))))),"")</f>
        <v>13.7930858440548</v>
      </c>
      <c r="K27">
        <f>IF(AND(ISNUMBER(J27),逐级计算!$X$10&gt;-1),IF(逐级计算!$X$10=0,J27+逐级计算!$C$10,J27+逐级计算!$C$10-(10/(逐级计算!$Q$10*LN(10))*(MAX((LN(10^(逐级计算!$Q$10/10)-1)+逐级计算!$Q$10*(J27-逐级计算!$P$10)*LN(10)/10),0)+LN(1+EXP(-ABS((LN(10^(逐级计算!$Q$10/10)-1)+逐级计算!$Q$10*(J27-逐级计算!$P$10)*LN(10)/10))))))),"")</f>
        <v>13.7930858440548</v>
      </c>
      <c r="L27">
        <f>IF(AND(ISNUMBER(K27),逐级计算!$X$11&gt;-1),IF(逐级计算!$X$11=0,K27+逐级计算!$C$11,K27+逐级计算!$C$11-(10/(逐级计算!$Q$11*LN(10))*(MAX((LN(10^(逐级计算!$Q$11/10)-1)+逐级计算!$Q$11*(K27-逐级计算!$P$11)*LN(10)/10),0)+LN(1+EXP(-ABS((LN(10^(逐级计算!$Q$11/10)-1)+逐级计算!$Q$11*(K27-逐级计算!$P$11)*LN(10)/10))))))),"")</f>
        <v>13.7930858440548</v>
      </c>
      <c r="M27">
        <f>IF(AND(ISNUMBER(L27),逐级计算!$X$12&gt;-1),IF(逐级计算!$X$12=0,L27+逐级计算!$C$12,L27+逐级计算!$C$12-(10/(逐级计算!$Q$12*LN(10))*(MAX((LN(10^(逐级计算!$Q$12/10)-1)+逐级计算!$Q$12*(L27-逐级计算!$P$12)*LN(10)/10),0)+LN(1+EXP(-ABS((LN(10^(逐级计算!$Q$12/10)-1)+逐级计算!$Q$12*(L27-逐级计算!$P$12)*LN(10)/10))))))),"")</f>
        <v>13.7930858440548</v>
      </c>
      <c r="N27">
        <f>IF(AND(ISNUMBER(M27),逐级计算!$X$13&gt;-1),IF(逐级计算!$X$13=0,M27+逐级计算!$C$13,M27+逐级计算!$C$13-(10/(逐级计算!$Q$13*LN(10))*(MAX((LN(10^(逐级计算!$Q$13/10)-1)+逐级计算!$Q$13*(M27-逐级计算!$P$13)*LN(10)/10),0)+LN(1+EXP(-ABS((LN(10^(逐级计算!$Q$13/10)-1)+逐级计算!$Q$13*(M27-逐级计算!$P$13)*LN(10)/10))))))),"")</f>
        <v>13.7930858440548</v>
      </c>
      <c r="O27">
        <f>IF(AND(ISNUMBER(N27),逐级计算!$X$14&gt;-1),IF(逐级计算!$X$14=0,N27+逐级计算!$C$14,N27+逐级计算!$C$14-(10/(逐级计算!$Q$14*LN(10))*(MAX((LN(10^(逐级计算!$Q$14/10)-1)+逐级计算!$Q$14*(N27-逐级计算!$P$14)*LN(10)/10),0)+LN(1+EXP(-ABS((LN(10^(逐级计算!$Q$14/10)-1)+逐级计算!$Q$14*(N27-逐级计算!$P$14)*LN(10)/10))))))),"")</f>
        <v>13.7930858440548</v>
      </c>
      <c r="P27">
        <f>IF(AND(ISNUMBER(O27),逐级计算!$X$15&gt;-1),IF(逐级计算!$X$15=0,O27+逐级计算!$C$15,O27+逐级计算!$C$15-(10/(逐级计算!$Q$15*LN(10))*(MAX((LN(10^(逐级计算!$Q$15/10)-1)+逐级计算!$Q$15*(O27-逐级计算!$P$15)*LN(10)/10),0)+LN(1+EXP(-ABS((LN(10^(逐级计算!$Q$15/10)-1)+逐级计算!$Q$15*(O27-逐级计算!$P$15)*LN(10)/10))))))),"")</f>
        <v>13.7930858440548</v>
      </c>
      <c r="Q27">
        <f>IF(AND(ISNUMBER(P27),逐级计算!$X$16&gt;-1),IF(逐级计算!$X$16=0,P27+逐级计算!$C$16,P27+逐级计算!$C$16-(10/(逐级计算!$Q$16*LN(10))*(MAX((LN(10^(逐级计算!$Q$16/10)-1)+逐级计算!$Q$16*(P27-逐级计算!$P$16)*LN(10)/10),0)+LN(1+EXP(-ABS((LN(10^(逐级计算!$Q$16/10)-1)+逐级计算!$Q$16*(P27-逐级计算!$P$16)*LN(10)/10))))))),"")</f>
        <v>13.7930858440548</v>
      </c>
      <c r="R27">
        <f>IF(AND(ISNUMBER(Q27),逐级计算!$X$17&gt;-1),IF(逐级计算!$X$17=0,Q27+逐级计算!$C$17,Q27+逐级计算!$C$17-(10/(逐级计算!$Q$17*LN(10))*(MAX((LN(10^(逐级计算!$Q$17/10)-1)+逐级计算!$Q$17*(Q27-逐级计算!$P$17)*LN(10)/10),0)+LN(1+EXP(-ABS((LN(10^(逐级计算!$Q$17/10)-1)+逐级计算!$Q$17*(Q27-逐级计算!$P$17)*LN(10)/10))))))),"")</f>
        <v>13.7930858440548</v>
      </c>
      <c r="S27">
        <f>IF(AND(ISNUMBER(R27),逐级计算!$X$18&gt;-1),IF(逐级计算!$X$18=0,R27+逐级计算!$C$18,R27+逐级计算!$C$18-(10/(逐级计算!$Q$18*LN(10))*(MAX((LN(10^(逐级计算!$Q$18/10)-1)+逐级计算!$Q$18*(R27-逐级计算!$P$18)*LN(10)/10),0)+LN(1+EXP(-ABS((LN(10^(逐级计算!$Q$18/10)-1)+逐级计算!$Q$18*(R27-逐级计算!$P$18)*LN(10)/10))))))),"")</f>
        <v>13.7930858440548</v>
      </c>
      <c r="T27">
        <f>IF(AND(ISNUMBER(S27),逐级计算!$X$19&gt;-1),IF(逐级计算!$X$19=0,S27+逐级计算!$C$19,S27+逐级计算!$C$19-(10/(逐级计算!$Q$19*LN(10))*(MAX((LN(10^(逐级计算!$Q$19/10)-1)+逐级计算!$Q$19*(S27-逐级计算!$P$19)*LN(10)/10),0)+LN(1+EXP(-ABS((LN(10^(逐级计算!$Q$19/10)-1)+逐级计算!$Q$19*(S27-逐级计算!$P$19)*LN(10)/10))))))),"")</f>
        <v>13.7930858440548</v>
      </c>
      <c r="U27">
        <f>IF(AND(ISNUMBER(T27),逐级计算!$X$20&gt;-1),IF(逐级计算!$X$20=0,T27+逐级计算!$C$20,T27+逐级计算!$C$20-(10/(逐级计算!$Q$20*LN(10))*(MAX((LN(10^(逐级计算!$Q$20/10)-1)+逐级计算!$Q$20*(T27-逐级计算!$P$20)*LN(10)/10),0)+LN(1+EXP(-ABS((LN(10^(逐级计算!$Q$20/10)-1)+逐级计算!$Q$20*(T27-逐级计算!$P$20)*LN(10)/10))))))),"")</f>
        <v>13.7930858440548</v>
      </c>
      <c r="V27">
        <f>IF(AND(ISNUMBER(U27),逐级计算!$X$21&gt;-1),IF(逐级计算!$X$21=0,U27+逐级计算!$C$21,U27+逐级计算!$C$21-(10/(逐级计算!$Q$21*LN(10))*(MAX((LN(10^(逐级计算!$Q$21/10)-1)+逐级计算!$Q$21*(U27-逐级计算!$P$21)*LN(10)/10),0)+LN(1+EXP(-ABS((LN(10^(逐级计算!$Q$21/10)-1)+逐级计算!$Q$21*(U27-逐级计算!$P$21)*LN(10)/10))))))),"")</f>
        <v>13.7930858440548</v>
      </c>
      <c r="W27">
        <f>IF(AND(ISNUMBER(V27),逐级计算!$X$22&gt;-1),IF(逐级计算!$X$22=0,V27+逐级计算!$C$22,V27+逐级计算!$C$22-(10/(逐级计算!$Q$22*LN(10))*(MAX((LN(10^(逐级计算!$Q$22/10)-1)+逐级计算!$Q$22*(V27-逐级计算!$P$22)*LN(10)/10),0)+LN(1+EXP(-ABS((LN(10^(逐级计算!$Q$22/10)-1)+逐级计算!$Q$22*(V27-逐级计算!$P$22)*LN(10)/10))))))),"")</f>
        <v>13.7930858440548</v>
      </c>
      <c r="X27">
        <f>IF(AND(ISNUMBER(W27),逐级计算!$X$23&gt;-1),IF(逐级计算!$X$23=0,W27+逐级计算!$C$23,W27+逐级计算!$C$23-(10/(逐级计算!$Q$23*LN(10))*(MAX((LN(10^(逐级计算!$Q$23/10)-1)+逐级计算!$Q$23*(W27-逐级计算!$P$23)*LN(10)/10),0)+LN(1+EXP(-ABS((LN(10^(逐级计算!$Q$23/10)-1)+逐级计算!$Q$23*(W27-逐级计算!$P$23)*LN(10)/10))))))),"")</f>
        <v>13.7930858440548</v>
      </c>
      <c r="Y27">
        <f>IF(AND(ISNUMBER(X27),逐级计算!$X$24&gt;-1),IF(逐级计算!$X$24=0,X27+逐级计算!$C$24,X27+逐级计算!$C$24-(10/(逐级计算!$Q$24*LN(10))*(MAX((LN(10^(逐级计算!$Q$24/10)-1)+逐级计算!$Q$24*(X27-逐级计算!$P$24)*LN(10)/10),0)+LN(1+EXP(-ABS((LN(10^(逐级计算!$Q$24/10)-1)+逐级计算!$Q$24*(X27-逐级计算!$P$24)*LN(10)/10))))))),"")</f>
        <v>13.7930858440548</v>
      </c>
      <c r="Z27">
        <f>IF(AND(ISNUMBER(Y27),逐级计算!$X$25&gt;-1),IF(逐级计算!$X$25=0,Y27+逐级计算!$C$25,Y27+逐级计算!$C$25-(10/(逐级计算!$Q$25*LN(10))*(MAX((LN(10^(逐级计算!$Q$25/10)-1)+逐级计算!$Q$25*(Y27-逐级计算!$P$25)*LN(10)/10),0)+LN(1+EXP(-ABS((LN(10^(逐级计算!$Q$25/10)-1)+逐级计算!$Q$25*(Y27-逐级计算!$P$25)*LN(10)/10))))))),"")</f>
        <v>13.7930858440548</v>
      </c>
      <c r="AA27">
        <f>IF(AND(ISNUMBER(Z27),逐级计算!$X$26&gt;-1),IF(逐级计算!$X$26=0,Z27+逐级计算!$C$26,Z27+逐级计算!$C$26-(10/(逐级计算!$Q$26*LN(10))*(MAX((LN(10^(逐级计算!$Q$26/10)-1)+逐级计算!$Q$26*(Z27-逐级计算!$P$26)*LN(10)/10),0)+LN(1+EXP(-ABS((LN(10^(逐级计算!$Q$26/10)-1)+逐级计算!$Q$26*(Z27-逐级计算!$P$26)*LN(10)/10))))))),"")</f>
        <v>13.7930858440548</v>
      </c>
      <c r="AB27">
        <f>IF(AND(ISNUMBER(AA27),逐级计算!$X$27&gt;-1),IF(逐级计算!$X$27=0,AA27+逐级计算!$C$27,AA27+逐级计算!$C$27-(10/(逐级计算!$Q$27*LN(10))*(MAX((LN(10^(逐级计算!$Q$27/10)-1)+逐级计算!$Q$27*(AA27-逐级计算!$P$27)*LN(10)/10),0)+LN(1+EXP(-ABS((LN(10^(逐级计算!$Q$27/10)-1)+逐级计算!$Q$27*(AA27-逐级计算!$P$27)*LN(10)/10))))))),"")</f>
        <v>13.7930858440548</v>
      </c>
      <c r="AC27">
        <f>IF(AND(ISNUMBER(AB27),逐级计算!$X$28&gt;-1),IF(逐级计算!$X$28=0,AB27+逐级计算!$C$28,AB27+逐级计算!$C$28-(10/(逐级计算!$Q$28*LN(10))*(MAX((LN(10^(逐级计算!$Q$28/10)-1)+逐级计算!$Q$28*(AB27-逐级计算!$P$28)*LN(10)/10),0)+LN(1+EXP(-ABS((LN(10^(逐级计算!$Q$28/10)-1)+逐级计算!$Q$28*(AB27-逐级计算!$P$28)*LN(10)/10))))))),"")</f>
        <v>13.7930858440548</v>
      </c>
      <c r="AD27">
        <f>IF(AND(ISNUMBER(AC27),逐级计算!$X$29&gt;-1),IF(逐级计算!$X$29=0,AC27+逐级计算!$C$29,AC27+逐级计算!$C$29-(10/(逐级计算!$Q$29*LN(10))*(MAX((LN(10^(逐级计算!$Q$29/10)-1)+逐级计算!$Q$29*(AC27-逐级计算!$P$29)*LN(10)/10),0)+LN(1+EXP(-ABS((LN(10^(逐级计算!$Q$29/10)-1)+逐级计算!$Q$29*(AC27-逐级计算!$P$29)*LN(10)/10))))))),"")</f>
        <v>13.7930858440548</v>
      </c>
      <c r="AE27">
        <f>IF(AND(ISNUMBER(AD27),逐级计算!$X$30&gt;-1),IF(逐级计算!$X$30=0,AD27+逐级计算!$C$30,AD27+逐级计算!$C$30-(10/(逐级计算!$Q$30*LN(10))*(MAX((LN(10^(逐级计算!$Q$30/10)-1)+逐级计算!$Q$30*(AD27-逐级计算!$P$30)*LN(10)/10),0)+LN(1+EXP(-ABS((LN(10^(逐级计算!$Q$30/10)-1)+逐级计算!$Q$30*(AD27-逐级计算!$P$30)*LN(10)/10))))))),"")</f>
        <v>13.7930858440548</v>
      </c>
      <c r="AF27">
        <f>IF(AND(ISNUMBER(AE27),逐级计算!$X$31&gt;-1),IF(逐级计算!$X$31=0,AE27+逐级计算!$C$31,AE27+逐级计算!$C$31-(10/(逐级计算!$Q$31*LN(10))*(MAX((LN(10^(逐级计算!$Q$31/10)-1)+逐级计算!$Q$31*(AE27-逐级计算!$P$31)*LN(10)/10),0)+LN(1+EXP(-ABS((LN(10^(逐级计算!$Q$31/10)-1)+逐级计算!$Q$31*(AE27-逐级计算!$P$31)*LN(10)/10))))))),"")</f>
        <v>13.7930858440548</v>
      </c>
      <c r="AG27">
        <f>IF(AND(ISNUMBER(AF27),逐级计算!$X$32&gt;-1),IF(逐级计算!$X$32=0,AF27+逐级计算!$C$32,AF27+逐级计算!$C$32-(10/(逐级计算!$Q$32*LN(10))*(MAX((LN(10^(逐级计算!$Q$32/10)-1)+逐级计算!$Q$32*(AF27-逐级计算!$P$32)*LN(10)/10),0)+LN(1+EXP(-ABS((LN(10^(逐级计算!$Q$32/10)-1)+逐级计算!$Q$32*(AF27-逐级计算!$P$32)*LN(10)/10))))))),"")</f>
        <v>13.7930858440548</v>
      </c>
      <c r="AH27">
        <f>IF(AND(ISNUMBER(AG27),逐级计算!$X$33&gt;-1),IF(逐级计算!$X$33=0,AG27+逐级计算!$C$33,AG27+逐级计算!$C$33-(10/(逐级计算!$Q$33*LN(10))*(MAX((LN(10^(逐级计算!$Q$33/10)-1)+逐级计算!$Q$33*(AG27-逐级计算!$P$33)*LN(10)/10),0)+LN(1+EXP(-ABS((LN(10^(逐级计算!$Q$33/10)-1)+逐级计算!$Q$33*(AG27-逐级计算!$P$33)*LN(10)/10))))))),"")</f>
        <v>13.7930858440548</v>
      </c>
      <c r="AI27">
        <f>IF(AND(ISNUMBER(AH27),逐级计算!$X$34&gt;-1),IF(逐级计算!$X$34=0,AH27+逐级计算!$C$34,AH27+逐级计算!$C$34-(10/(逐级计算!$Q$34*LN(10))*(MAX((LN(10^(逐级计算!$Q$34/10)-1)+逐级计算!$Q$34*(AH27-逐级计算!$P$34)*LN(10)/10),0)+LN(1+EXP(-ABS((LN(10^(逐级计算!$Q$34/10)-1)+逐级计算!$Q$34*(AH27-逐级计算!$P$34)*LN(10)/10))))))),"")</f>
        <v>13.7930858440548</v>
      </c>
      <c r="AJ27">
        <f>IF(AND(ISNUMBER(AI27),逐级计算!$X$35&gt;-1),IF(逐级计算!$X$35=0,AI27+逐级计算!$C$35,AI27+逐级计算!$C$35-(10/(逐级计算!$Q$35*LN(10))*(MAX((LN(10^(逐级计算!$Q$35/10)-1)+逐级计算!$Q$35*(AI27-逐级计算!$P$35)*LN(10)/10),0)+LN(1+EXP(-ABS((LN(10^(逐级计算!$Q$35/10)-1)+逐级计算!$Q$35*(AI27-逐级计算!$P$35)*LN(10)/10))))))),"")</f>
        <v>13.7930858440548</v>
      </c>
      <c r="AK27">
        <f>IF(AND(ISNUMBER(AJ27),逐级计算!$X$36&gt;-1),IF(逐级计算!$X$36=0,AJ27+逐级计算!$C$36,AJ27+逐级计算!$C$36-(10/(逐级计算!$Q$36*LN(10))*(MAX((LN(10^(逐级计算!$Q$36/10)-1)+逐级计算!$Q$36*(AJ27-逐级计算!$P$36)*LN(10)/10),0)+LN(1+EXP(-ABS((LN(10^(逐级计算!$Q$36/10)-1)+逐级计算!$Q$36*(AJ27-逐级计算!$P$36)*LN(10)/10))))))),"")</f>
        <v>13.7930858440548</v>
      </c>
      <c r="AL27">
        <f>IF(AND(ISNUMBER(AK27),逐级计算!$X$37&gt;-1),IF(逐级计算!$X$37=0,AK27+逐级计算!$C$37,AK27+逐级计算!$C$37-(10/(逐级计算!$Q$37*LN(10))*(MAX((LN(10^(逐级计算!$Q$37/10)-1)+逐级计算!$Q$37*(AK27-逐级计算!$P$37)*LN(10)/10),0)+LN(1+EXP(-ABS((LN(10^(逐级计算!$Q$37/10)-1)+逐级计算!$Q$37*(AK27-逐级计算!$P$37)*LN(10)/10))))))),"")</f>
        <v>13.7930858440548</v>
      </c>
      <c r="AM27">
        <f>IF(AND(ISNUMBER(AL27),逐级计算!$X$38&gt;-1),IF(逐级计算!$X$38=0,AL27+逐级计算!$C$38,AL27+逐级计算!$C$38-(10/(逐级计算!$Q$38*LN(10))*(MAX((LN(10^(逐级计算!$Q$38/10)-1)+逐级计算!$Q$38*(AL27-逐级计算!$P$38)*LN(10)/10),0)+LN(1+EXP(-ABS((LN(10^(逐级计算!$Q$38/10)-1)+逐级计算!$Q$38*(AL27-逐级计算!$P$38)*LN(10)/10))))))),"")</f>
        <v>13.7930858440548</v>
      </c>
      <c r="AN27">
        <f>IF(AND(ISNUMBER(AM27),逐级计算!$X$39&gt;-1),IF(逐级计算!$X$39=0,AM27+逐级计算!$C$39,AM27+逐级计算!$C$39-(10/(逐级计算!$Q$39*LN(10))*(MAX((LN(10^(逐级计算!$Q$39/10)-1)+逐级计算!$Q$39*(AM27-逐级计算!$P$39)*LN(10)/10),0)+LN(1+EXP(-ABS((LN(10^(逐级计算!$Q$39/10)-1)+逐级计算!$Q$39*(AM27-逐级计算!$P$39)*LN(10)/10))))))),"")</f>
        <v>13.7930858440548</v>
      </c>
      <c r="AO27">
        <f>IF(AND(ISNUMBER(AN27),逐级计算!$X$40&gt;-1),IF(逐级计算!$X$40=0,AN27+逐级计算!$C$40,AN27+逐级计算!$C$40-(10/(逐级计算!$Q$40*LN(10))*(MAX((LN(10^(逐级计算!$Q$40/10)-1)+逐级计算!$Q$40*(AN27-逐级计算!$P$40)*LN(10)/10),0)+LN(1+EXP(-ABS((LN(10^(逐级计算!$Q$40/10)-1)+逐级计算!$Q$40*(AN27-逐级计算!$P$40)*LN(10)/10))))))),"")</f>
        <v>13.7930858440548</v>
      </c>
      <c r="AP27">
        <f>IF(AND(ISNUMBER(AO27),逐级计算!$X$41&gt;-1),IF(逐级计算!$X$41=0,AO27+逐级计算!$C$41,AO27+逐级计算!$C$41-(10/(逐级计算!$Q$41*LN(10))*(MAX((LN(10^(逐级计算!$Q$41/10)-1)+逐级计算!$Q$41*(AO27-逐级计算!$P$41)*LN(10)/10),0)+LN(1+EXP(-ABS((LN(10^(逐级计算!$Q$41/10)-1)+逐级计算!$Q$41*(AO27-逐级计算!$P$41)*LN(10)/10))))))),"")</f>
        <v>13.7930858440548</v>
      </c>
      <c r="AQ27">
        <f>IF(AND(ISNUMBER(AP27),逐级计算!$X$42&gt;-1),IF(逐级计算!$X$42=0,AP27+逐级计算!$C$42,AP27+逐级计算!$C$42-(10/(逐级计算!$Q$42*LN(10))*(MAX((LN(10^(逐级计算!$Q$42/10)-1)+逐级计算!$Q$42*(AP27-逐级计算!$P$42)*LN(10)/10),0)+LN(1+EXP(-ABS((LN(10^(逐级计算!$Q$42/10)-1)+逐级计算!$Q$42*(AP27-逐级计算!$P$42)*LN(10)/10))))))),"")</f>
        <v>13.7930858440548</v>
      </c>
      <c r="AR27">
        <f>IF(AND(ISNUMBER(AQ27),逐级计算!$X$43&gt;-1),IF(逐级计算!$X$43=0,AQ27+逐级计算!$C$43,AQ27+逐级计算!$C$43-(10/(逐级计算!$Q$43*LN(10))*(MAX((LN(10^(逐级计算!$Q$43/10)-1)+逐级计算!$Q$43*(AQ27-逐级计算!$P$43)*LN(10)/10),0)+LN(1+EXP(-ABS((LN(10^(逐级计算!$Q$43/10)-1)+逐级计算!$Q$43*(AQ27-逐级计算!$P$43)*LN(10)/10))))))),"")</f>
        <v>13.7930858440548</v>
      </c>
      <c r="AS27">
        <f>IF(AND(ISNUMBER(AR27),逐级计算!$X$44&gt;-1),IF(逐级计算!$X$44=0,AR27+逐级计算!$C$44,AR27+逐级计算!$C$44-(10/(逐级计算!$Q$44*LN(10))*(MAX((LN(10^(逐级计算!$Q$44/10)-1)+逐级计算!$Q$44*(AR27-逐级计算!$P$44)*LN(10)/10),0)+LN(1+EXP(-ABS((LN(10^(逐级计算!$Q$44/10)-1)+逐级计算!$Q$44*(AR27-逐级计算!$P$44)*LN(10)/10))))))),"")</f>
        <v>13.7930858440548</v>
      </c>
      <c r="AT27">
        <f>IF(AND(ISNUMBER(AS27),逐级计算!$X$45&gt;-1),IF(逐级计算!$X$45=0,AS27+逐级计算!$C$45,AS27+逐级计算!$C$45-(10/(逐级计算!$Q$45*LN(10))*(MAX((LN(10^(逐级计算!$Q$45/10)-1)+逐级计算!$Q$45*(AS27-逐级计算!$P$45)*LN(10)/10),0)+LN(1+EXP(-ABS((LN(10^(逐级计算!$Q$45/10)-1)+逐级计算!$Q$45*(AS27-逐级计算!$P$45)*LN(10)/10))))))),"")</f>
        <v>13.7930858440548</v>
      </c>
      <c r="AU27">
        <f>IF(AND(ISNUMBER(AT27),逐级计算!$X$46&gt;-1),IF(逐级计算!$X$46=0,AT27+逐级计算!$C$46,AT27+逐级计算!$C$46-(10/(逐级计算!$Q$46*LN(10))*(MAX((LN(10^(逐级计算!$Q$46/10)-1)+逐级计算!$Q$46*(AT27-逐级计算!$P$46)*LN(10)/10),0)+LN(1+EXP(-ABS((LN(10^(逐级计算!$Q$46/10)-1)+逐级计算!$Q$46*(AT27-逐级计算!$P$46)*LN(10)/10))))))),"")</f>
        <v>13.7930858440548</v>
      </c>
      <c r="AV27">
        <f>IF(AND(ISNUMBER(AU27),逐级计算!$X$47&gt;-1),IF(逐级计算!$X$47=0,AU27+逐级计算!$C$47,AU27+逐级计算!$C$47-(10/(逐级计算!$Q$47*LN(10))*(MAX((LN(10^(逐级计算!$Q$47/10)-1)+逐级计算!$Q$47*(AU27-逐级计算!$P$47)*LN(10)/10),0)+LN(1+EXP(-ABS((LN(10^(逐级计算!$Q$47/10)-1)+逐级计算!$Q$47*(AU27-逐级计算!$P$47)*LN(10)/10))))))),"")</f>
        <v>13.7930858440548</v>
      </c>
      <c r="AW27">
        <f>IF(AND(ISNUMBER(AV27),逐级计算!$X$48&gt;-1),IF(逐级计算!$X$48=0,AV27+逐级计算!$C$48,AV27+逐级计算!$C$48-(10/(逐级计算!$Q$48*LN(10))*(MAX((LN(10^(逐级计算!$Q$48/10)-1)+逐级计算!$Q$48*(AV27-逐级计算!$P$48)*LN(10)/10),0)+LN(1+EXP(-ABS((LN(10^(逐级计算!$Q$48/10)-1)+逐级计算!$Q$48*(AV27-逐级计算!$P$48)*LN(10)/10))))))),"")</f>
        <v>13.7930858440548</v>
      </c>
      <c r="AX27">
        <f>IF(AND(ISNUMBER(AW27),逐级计算!$X$49&gt;-1),IF(逐级计算!$X$49=0,AW27+逐级计算!$C$49,AW27+逐级计算!$C$49-(10/(逐级计算!$Q$49*LN(10))*(MAX((LN(10^(逐级计算!$Q$49/10)-1)+逐级计算!$Q$49*(AW27-逐级计算!$P$49)*LN(10)/10),0)+LN(1+EXP(-ABS((LN(10^(逐级计算!$Q$49/10)-1)+逐级计算!$Q$49*(AW27-逐级计算!$P$49)*LN(10)/10))))))),"")</f>
        <v>13.7930858440548</v>
      </c>
      <c r="AY27">
        <f>IF(AND(ISNUMBER(AX27),逐级计算!$X$50&gt;-1),IF(逐级计算!$X$50=0,AX27+逐级计算!$C$50,AX27+逐级计算!$C$50-(10/(逐级计算!$Q$50*LN(10))*(MAX((LN(10^(逐级计算!$Q$50/10)-1)+逐级计算!$Q$50*(AX27-逐级计算!$P$50)*LN(10)/10),0)+LN(1+EXP(-ABS((LN(10^(逐级计算!$Q$50/10)-1)+逐级计算!$Q$50*(AX27-逐级计算!$P$50)*LN(10)/10))))))),"")</f>
        <v>13.7930858440548</v>
      </c>
      <c r="AZ27">
        <f>IF(AND(ISNUMBER(AY27),逐级计算!$X$51&gt;-1),IF(逐级计算!$X$51=0,AY27+逐级计算!$C$51,AY27+逐级计算!$C$51-(10/(逐级计算!$Q$51*LN(10))*(MAX((LN(10^(逐级计算!$Q$51/10)-1)+逐级计算!$Q$51*(AY27-逐级计算!$P$51)*LN(10)/10),0)+LN(1+EXP(-ABS((LN(10^(逐级计算!$Q$51/10)-1)+逐级计算!$Q$51*(AY27-逐级计算!$P$51)*LN(10)/10))))))),"")</f>
        <v>13.7930858440548</v>
      </c>
      <c r="BA27">
        <f>IF(AND(ISNUMBER(AZ27),逐级计算!$X$52&gt;-1),IF(逐级计算!$X$52=0,AZ27+逐级计算!$C$52,AZ27+逐级计算!$C$52-(10/(逐级计算!$Q$52*LN(10))*(MAX((LN(10^(逐级计算!$Q$52/10)-1)+逐级计算!$Q$52*(AZ27-逐级计算!$P$52)*LN(10)/10),0)+LN(1+EXP(-ABS((LN(10^(逐级计算!$Q$52/10)-1)+逐级计算!$Q$52*(AZ27-逐级计算!$P$52)*LN(10)/10))))))),"")</f>
        <v>13.7930858440548</v>
      </c>
      <c r="BB27">
        <f>IF(AND(ISNUMBER(BA27),逐级计算!$X$53&gt;-1),IF(逐级计算!$X$53=0,BA27+逐级计算!$C$53,BA27+逐级计算!$C$53-(10/(逐级计算!$Q$53*LN(10))*(MAX((LN(10^(逐级计算!$Q$53/10)-1)+逐级计算!$Q$53*(BA27-逐级计算!$P$53)*LN(10)/10),0)+LN(1+EXP(-ABS((LN(10^(逐级计算!$Q$53/10)-1)+逐级计算!$Q$53*(BA27-逐级计算!$P$53)*LN(10)/10))))))),"")</f>
        <v>13.7930858440548</v>
      </c>
      <c r="BC27">
        <f>IF(AND(ISNUMBER(BB27),逐级计算!$X$54&gt;-1),IF(逐级计算!$X$54=0,BB27+逐级计算!$C$54,BB27+逐级计算!$C$54-(10/(逐级计算!$Q$54*LN(10))*(MAX((LN(10^(逐级计算!$Q$54/10)-1)+逐级计算!$Q$54*(BB27-逐级计算!$P$54)*LN(10)/10),0)+LN(1+EXP(-ABS((LN(10^(逐级计算!$Q$54/10)-1)+逐级计算!$Q$54*(BB27-逐级计算!$P$54)*LN(10)/10))))))),"")</f>
        <v>13.7930858440548</v>
      </c>
      <c r="BD27">
        <f>IF(AND(ISNUMBER(BC27),逐级计算!$X$55&gt;-1),IF(逐级计算!$X$55=0,BC27+逐级计算!$C$55,BC27+逐级计算!$C$55-(10/(逐级计算!$Q$55*LN(10))*(MAX((LN(10^(逐级计算!$Q$55/10)-1)+逐级计算!$Q$55*(BC27-逐级计算!$P$55)*LN(10)/10),0)+LN(1+EXP(-ABS((LN(10^(逐级计算!$Q$55/10)-1)+逐级计算!$Q$55*(BC27-逐级计算!$P$55)*LN(10)/10))))))),"")</f>
        <v>13.7930858440548</v>
      </c>
      <c r="BE27">
        <f>IF(AND(ISNUMBER(BD27),逐级计算!$X$56&gt;-1),IF(逐级计算!$X$56=0,BD27+逐级计算!$C$56,BD27+逐级计算!$C$56-(10/(逐级计算!$Q$56*LN(10))*(MAX((LN(10^(逐级计算!$Q$56/10)-1)+逐级计算!$Q$56*(BD27-逐级计算!$P$56)*LN(10)/10),0)+LN(1+EXP(-ABS((LN(10^(逐级计算!$Q$56/10)-1)+逐级计算!$Q$56*(BD27-逐级计算!$P$56)*LN(10)/10))))))),"")</f>
        <v>13.7930858440548</v>
      </c>
      <c r="BF27">
        <f>IF(AND(ISNUMBER(BE27),逐级计算!$X$57&gt;-1),IF(逐级计算!$X$57=0,BE27+逐级计算!$C$57,BE27+逐级计算!$C$57-(10/(逐级计算!$Q$57*LN(10))*(MAX((LN(10^(逐级计算!$Q$57/10)-1)+逐级计算!$Q$57*(BE27-逐级计算!$P$57)*LN(10)/10),0)+LN(1+EXP(-ABS((LN(10^(逐级计算!$Q$57/10)-1)+逐级计算!$Q$57*(BE27-逐级计算!$P$57)*LN(10)/10))))))),"")</f>
        <v>13.7930858440548</v>
      </c>
      <c r="BG27">
        <f>IF(AND(ISNUMBER(BF27),逐级计算!$X$58&gt;-1),IF(逐级计算!$X$58=0,BF27+逐级计算!$C$58,BF27+逐级计算!$C$58-(10/(逐级计算!$Q$58*LN(10))*(MAX((LN(10^(逐级计算!$Q$58/10)-1)+逐级计算!$Q$58*(BF27-逐级计算!$P$58)*LN(10)/10),0)+LN(1+EXP(-ABS((LN(10^(逐级计算!$Q$58/10)-1)+逐级计算!$Q$58*(BF27-逐级计算!$P$58)*LN(10)/10))))))),"")</f>
        <v>13.7930858440548</v>
      </c>
      <c r="BH27">
        <f>IF(AND(ISNUMBER(BG27),逐级计算!$X$59&gt;-1),IF(逐级计算!$X$59=0,BG27+逐级计算!$C$59,BG27+逐级计算!$C$59-(10/(逐级计算!$Q$59*LN(10))*(MAX((LN(10^(逐级计算!$Q$59/10)-1)+逐级计算!$Q$59*(BG27-逐级计算!$P$59)*LN(10)/10),0)+LN(1+EXP(-ABS((LN(10^(逐级计算!$Q$59/10)-1)+逐级计算!$Q$59*(BG27-逐级计算!$P$59)*LN(10)/10))))))),"")</f>
        <v>13.7930858440548</v>
      </c>
      <c r="BI27">
        <f>IF(AND(ISNUMBER(BH27),逐级计算!$X$60&gt;-1),IF(逐级计算!$X$60=0,BH27+逐级计算!$C$60,BH27+逐级计算!$C$60-(10/(逐级计算!$Q$60*LN(10))*(MAX((LN(10^(逐级计算!$Q$60/10)-1)+逐级计算!$Q$60*(BH27-逐级计算!$P$60)*LN(10)/10),0)+LN(1+EXP(-ABS((LN(10^(逐级计算!$Q$60/10)-1)+逐级计算!$Q$60*(BH27-逐级计算!$P$60)*LN(10)/10))))))),"")</f>
        <v>13.7930858440548</v>
      </c>
      <c r="BJ27">
        <f>IF(AND(ISNUMBER(BI27),逐级计算!$X$61&gt;-1),IF(逐级计算!$X$61=0,BI27+逐级计算!$C$61,BI27+逐级计算!$C$61-(10/(逐级计算!$Q$61*LN(10))*(MAX((LN(10^(逐级计算!$Q$61/10)-1)+逐级计算!$Q$61*(BI27-逐级计算!$P$61)*LN(10)/10),0)+LN(1+EXP(-ABS((LN(10^(逐级计算!$Q$61/10)-1)+逐级计算!$Q$61*(BI27-逐级计算!$P$61)*LN(10)/10))))))),"")</f>
        <v>13.7930858440548</v>
      </c>
      <c r="BK27">
        <f>IF(AND(ISNUMBER(BJ27),逐级计算!$X$62&gt;-1),IF(逐级计算!$X$62=0,BJ27+逐级计算!$C$62,BJ27+逐级计算!$C$62-(10/(逐级计算!$Q$62*LN(10))*(MAX((LN(10^(逐级计算!$Q$62/10)-1)+逐级计算!$Q$62*(BJ27-逐级计算!$P$62)*LN(10)/10),0)+LN(1+EXP(-ABS((LN(10^(逐级计算!$Q$62/10)-1)+逐级计算!$Q$62*(BJ27-逐级计算!$P$62)*LN(10)/10))))))),"")</f>
        <v>13.7930858440548</v>
      </c>
      <c r="BL27">
        <f>IF(AND(ISNUMBER(BK27),逐级计算!$X$63&gt;-1),IF(逐级计算!$X$63=0,BK27+逐级计算!$C$63,BK27+逐级计算!$C$63-(10/(逐级计算!$Q$63*LN(10))*(MAX((LN(10^(逐级计算!$Q$63/10)-1)+逐级计算!$Q$63*(BK27-逐级计算!$P$63)*LN(10)/10),0)+LN(1+EXP(-ABS((LN(10^(逐级计算!$Q$63/10)-1)+逐级计算!$Q$63*(BK27-逐级计算!$P$63)*LN(10)/10))))))),"")</f>
        <v>13.7930858440548</v>
      </c>
      <c r="BM27">
        <f>IF(AND(ISNUMBER(BL27),逐级计算!$X$64&gt;-1),IF(逐级计算!$X$64=0,BL27+逐级计算!$C$64,BL27+逐级计算!$C$64-(10/(逐级计算!$Q$64*LN(10))*(MAX((LN(10^(逐级计算!$Q$64/10)-1)+逐级计算!$Q$64*(BL27-逐级计算!$P$64)*LN(10)/10),0)+LN(1+EXP(-ABS((LN(10^(逐级计算!$Q$64/10)-1)+逐级计算!$Q$64*(BL27-逐级计算!$P$64)*LN(10)/10))))))),"")</f>
        <v>13.7930858440548</v>
      </c>
      <c r="BN27">
        <f>IF(AND(ISNUMBER(BM27),逐级计算!$X$65&gt;-1),IF(逐级计算!$X$65=0,BM27+逐级计算!$C$65,BM27+逐级计算!$C$65-(10/(逐级计算!$Q$65*LN(10))*(MAX((LN(10^(逐级计算!$Q$65/10)-1)+逐级计算!$Q$65*(BM27-逐级计算!$P$65)*LN(10)/10),0)+LN(1+EXP(-ABS((LN(10^(逐级计算!$Q$65/10)-1)+逐级计算!$Q$65*(BM27-逐级计算!$P$65)*LN(10)/10))))))),"")</f>
        <v>13.7930858440548</v>
      </c>
      <c r="BO27">
        <f>IF(AND(ISNUMBER(BN27),逐级计算!$X$66&gt;-1),IF(逐级计算!$X$66=0,BN27+逐级计算!$C$66,BN27+逐级计算!$C$66-(10/(逐级计算!$Q$66*LN(10))*(MAX((LN(10^(逐级计算!$Q$66/10)-1)+逐级计算!$Q$66*(BN27-逐级计算!$P$66)*LN(10)/10),0)+LN(1+EXP(-ABS((LN(10^(逐级计算!$Q$66/10)-1)+逐级计算!$Q$66*(BN27-逐级计算!$P$66)*LN(10)/10))))))),"")</f>
        <v>13.7930858440548</v>
      </c>
      <c r="BP27">
        <f>IF(AND(ISNUMBER(BO27),逐级计算!$X$67&gt;-1),IF(逐级计算!$X$67=0,BO27+逐级计算!$C$67,BO27+逐级计算!$C$67-(10/(逐级计算!$Q$67*LN(10))*(MAX((LN(10^(逐级计算!$Q$67/10)-1)+逐级计算!$Q$67*(BO27-逐级计算!$P$67)*LN(10)/10),0)+LN(1+EXP(-ABS((LN(10^(逐级计算!$Q$67/10)-1)+逐级计算!$Q$67*(BO27-逐级计算!$P$67)*LN(10)/10))))))),"")</f>
        <v>13.7930858440548</v>
      </c>
      <c r="BQ27">
        <f>IF(AND(ISNUMBER(BP27),逐级计算!$X$68&gt;-1),IF(逐级计算!$X$68=0,BP27+逐级计算!$C$68,BP27+逐级计算!$C$68-(10/(逐级计算!$Q$68*LN(10))*(MAX((LN(10^(逐级计算!$Q$68/10)-1)+逐级计算!$Q$68*(BP27-逐级计算!$P$68)*LN(10)/10),0)+LN(1+EXP(-ABS((LN(10^(逐级计算!$Q$68/10)-1)+逐级计算!$Q$68*(BP27-逐级计算!$P$68)*LN(10)/10))))))),"")</f>
        <v>13.7930858440548</v>
      </c>
      <c r="BR27">
        <f>IF(AND(ISNUMBER(BQ27),逐级计算!$X$69&gt;-1),IF(逐级计算!$X$69=0,BQ27+逐级计算!$C$69,BQ27+逐级计算!$C$69-(10/(逐级计算!$Q$69*LN(10))*(MAX((LN(10^(逐级计算!$Q$69/10)-1)+逐级计算!$Q$69*(BQ27-逐级计算!$P$69)*LN(10)/10),0)+LN(1+EXP(-ABS((LN(10^(逐级计算!$Q$69/10)-1)+逐级计算!$Q$69*(BQ27-逐级计算!$P$69)*LN(10)/10))))))),"")</f>
        <v>13.7930858440548</v>
      </c>
      <c r="BS27">
        <f>IF(AND(ISNUMBER(BR27),逐级计算!$X$70&gt;-1),IF(逐级计算!$X$70=0,BR27+逐级计算!$C$70,BR27+逐级计算!$C$70-(10/(逐级计算!$Q$70*LN(10))*(MAX((LN(10^(逐级计算!$Q$70/10)-1)+逐级计算!$Q$70*(BR27-逐级计算!$P$70)*LN(10)/10),0)+LN(1+EXP(-ABS((LN(10^(逐级计算!$Q$70/10)-1)+逐级计算!$Q$70*(BR27-逐级计算!$P$70)*LN(10)/10))))))),"")</f>
        <v>13.7930858440548</v>
      </c>
      <c r="BT27">
        <f>IF(AND(ISNUMBER(BS27),逐级计算!$X$71&gt;-1),IF(逐级计算!$X$71=0,BS27+逐级计算!$C$71,BS27+逐级计算!$C$71-(10/(逐级计算!$Q$71*LN(10))*(MAX((LN(10^(逐级计算!$Q$71/10)-1)+逐级计算!$Q$71*(BS27-逐级计算!$P$71)*LN(10)/10),0)+LN(1+EXP(-ABS((LN(10^(逐级计算!$Q$71/10)-1)+逐级计算!$Q$71*(BS27-逐级计算!$P$71)*LN(10)/10))))))),"")</f>
        <v>13.7930858440548</v>
      </c>
      <c r="BU27">
        <f>IF(AND(ISNUMBER(BT27),逐级计算!$X$72&gt;-1),IF(逐级计算!$X$72=0,BT27+逐级计算!$C$72,BT27+逐级计算!$C$72-(10/(逐级计算!$Q$72*LN(10))*(MAX((LN(10^(逐级计算!$Q$72/10)-1)+逐级计算!$Q$72*(BT27-逐级计算!$P$72)*LN(10)/10),0)+LN(1+EXP(-ABS((LN(10^(逐级计算!$Q$72/10)-1)+逐级计算!$Q$72*(BT27-逐级计算!$P$72)*LN(10)/10))))))),"")</f>
        <v>13.7930858440548</v>
      </c>
      <c r="BV27">
        <f>IF(AND(ISNUMBER(BU27),逐级计算!$X$73&gt;-1),IF(逐级计算!$X$73=0,BU27+逐级计算!$C$73,BU27+逐级计算!$C$73-(10/(逐级计算!$Q$73*LN(10))*(MAX((LN(10^(逐级计算!$Q$73/10)-1)+逐级计算!$Q$73*(BU27-逐级计算!$P$73)*LN(10)/10),0)+LN(1+EXP(-ABS((LN(10^(逐级计算!$Q$73/10)-1)+逐级计算!$Q$73*(BU27-逐级计算!$P$73)*LN(10)/10))))))),"")</f>
        <v>13.7930858440548</v>
      </c>
      <c r="BW27">
        <f>IF(AND(ISNUMBER(BV27),逐级计算!$X$74&gt;-1),IF(逐级计算!$X$74=0,BV27+逐级计算!$C$74,BV27+逐级计算!$C$74-(10/(逐级计算!$Q$74*LN(10))*(MAX((LN(10^(逐级计算!$Q$74/10)-1)+逐级计算!$Q$74*(BV27-逐级计算!$P$74)*LN(10)/10),0)+LN(1+EXP(-ABS((LN(10^(逐级计算!$Q$74/10)-1)+逐级计算!$Q$74*(BV27-逐级计算!$P$74)*LN(10)/10))))))),"")</f>
        <v>13.7930858440548</v>
      </c>
      <c r="BX27">
        <f>IF(AND(ISNUMBER(BW27),逐级计算!$X$75&gt;-1),IF(逐级计算!$X$75=0,BW27+逐级计算!$C$75,BW27+逐级计算!$C$75-(10/(逐级计算!$Q$75*LN(10))*(MAX((LN(10^(逐级计算!$Q$75/10)-1)+逐级计算!$Q$75*(BW27-逐级计算!$P$75)*LN(10)/10),0)+LN(1+EXP(-ABS((LN(10^(逐级计算!$Q$75/10)-1)+逐级计算!$Q$75*(BW27-逐级计算!$P$75)*LN(10)/10))))))),"")</f>
        <v>13.7930858440548</v>
      </c>
      <c r="BY27">
        <f>IF(AND(ISNUMBER(BX27),逐级计算!$X$76&gt;-1),IF(逐级计算!$X$76=0,BX27+逐级计算!$C$76,BX27+逐级计算!$C$76-(10/(逐级计算!$Q$76*LN(10))*(MAX((LN(10^(逐级计算!$Q$76/10)-1)+逐级计算!$Q$76*(BX27-逐级计算!$P$76)*LN(10)/10),0)+LN(1+EXP(-ABS((LN(10^(逐级计算!$Q$76/10)-1)+逐级计算!$Q$76*(BX27-逐级计算!$P$76)*LN(10)/10))))))),"")</f>
        <v>13.7930858440548</v>
      </c>
      <c r="BZ27">
        <f>IF(AND(ISNUMBER(BY27),逐级计算!$X$77&gt;-1),IF(逐级计算!$X$77=0,BY27+逐级计算!$C$77,BY27+逐级计算!$C$77-(10/(逐级计算!$Q$77*LN(10))*(MAX((LN(10^(逐级计算!$Q$77/10)-1)+逐级计算!$Q$77*(BY27-逐级计算!$P$77)*LN(10)/10),0)+LN(1+EXP(-ABS((LN(10^(逐级计算!$Q$77/10)-1)+逐级计算!$Q$77*(BY27-逐级计算!$P$77)*LN(10)/10))))))),"")</f>
        <v>13.7930858440548</v>
      </c>
      <c r="CA27">
        <f>IF(AND(ISNUMBER(BZ27),逐级计算!$X$78&gt;-1),IF(逐级计算!$X$78=0,BZ27+逐级计算!$C$78,BZ27+逐级计算!$C$78-(10/(逐级计算!$Q$78*LN(10))*(MAX((LN(10^(逐级计算!$Q$78/10)-1)+逐级计算!$Q$78*(BZ27-逐级计算!$P$78)*LN(10)/10),0)+LN(1+EXP(-ABS((LN(10^(逐级计算!$Q$78/10)-1)+逐级计算!$Q$78*(BZ27-逐级计算!$P$78)*LN(10)/10))))))),"")</f>
        <v>13.7930858440548</v>
      </c>
      <c r="CB27">
        <f>IF(AND(ISNUMBER(CA27),逐级计算!$X$79&gt;-1),IF(逐级计算!$X$79=0,CA27+逐级计算!$C$79,CA27+逐级计算!$C$79-(10/(逐级计算!$Q$79*LN(10))*(MAX((LN(10^(逐级计算!$Q$79/10)-1)+逐级计算!$Q$79*(CA27-逐级计算!$P$79)*LN(10)/10),0)+LN(1+EXP(-ABS((LN(10^(逐级计算!$Q$79/10)-1)+逐级计算!$Q$79*(CA27-逐级计算!$P$79)*LN(10)/10))))))),"")</f>
        <v>13.7930858440548</v>
      </c>
      <c r="CC27">
        <f>IF(AND(ISNUMBER(CB27),逐级计算!$X$80&gt;-1),IF(逐级计算!$X$80=0,CB27+逐级计算!$C$80,CB27+逐级计算!$C$80-(10/(逐级计算!$Q$80*LN(10))*(MAX((LN(10^(逐级计算!$Q$80/10)-1)+逐级计算!$Q$80*(CB27-逐级计算!$P$80)*LN(10)/10),0)+LN(1+EXP(-ABS((LN(10^(逐级计算!$Q$80/10)-1)+逐级计算!$Q$80*(CB27-逐级计算!$P$80)*LN(10)/10))))))),"")</f>
        <v>13.7930858440548</v>
      </c>
      <c r="CD27">
        <f>IF(AND(ISNUMBER(CC27),逐级计算!$X$81&gt;-1),IF(逐级计算!$X$81=0,CC27+逐级计算!$C$81,CC27+逐级计算!$C$81-(10/(逐级计算!$Q$81*LN(10))*(MAX((LN(10^(逐级计算!$Q$81/10)-1)+逐级计算!$Q$81*(CC27-逐级计算!$P$81)*LN(10)/10),0)+LN(1+EXP(-ABS((LN(10^(逐级计算!$Q$81/10)-1)+逐级计算!$Q$81*(CC27-逐级计算!$P$81)*LN(10)/10))))))),"")</f>
        <v>13.7930858440548</v>
      </c>
      <c r="CE27">
        <f>IF(AND(ISNUMBER(CD27),逐级计算!$X$82&gt;-1),IF(逐级计算!$X$82=0,CD27+逐级计算!$C$82,CD27+逐级计算!$C$82-(10/(逐级计算!$Q$82*LN(10))*(MAX((LN(10^(逐级计算!$Q$82/10)-1)+逐级计算!$Q$82*(CD27-逐级计算!$P$82)*LN(10)/10),0)+LN(1+EXP(-ABS((LN(10^(逐级计算!$Q$82/10)-1)+逐级计算!$Q$82*(CD27-逐级计算!$P$82)*LN(10)/10))))))),"")</f>
        <v>13.7930858440548</v>
      </c>
      <c r="CF27">
        <f>IF(AND(ISNUMBER(CE27),逐级计算!$X$83&gt;-1),IF(逐级计算!$X$83=0,CE27+逐级计算!$C$83,CE27+逐级计算!$C$83-(10/(逐级计算!$Q$83*LN(10))*(MAX((LN(10^(逐级计算!$Q$83/10)-1)+逐级计算!$Q$83*(CE27-逐级计算!$P$83)*LN(10)/10),0)+LN(1+EXP(-ABS((LN(10^(逐级计算!$Q$83/10)-1)+逐级计算!$Q$83*(CE27-逐级计算!$P$83)*LN(10)/10))))))),"")</f>
        <v>13.7930858440548</v>
      </c>
      <c r="CG27">
        <f>IF(AND(ISNUMBER(CF27),逐级计算!$X$84&gt;-1),IF(逐级计算!$X$84=0,CF27+逐级计算!$C$84,CF27+逐级计算!$C$84-(10/(逐级计算!$Q$84*LN(10))*(MAX((LN(10^(逐级计算!$Q$84/10)-1)+逐级计算!$Q$84*(CF27-逐级计算!$P$84)*LN(10)/10),0)+LN(1+EXP(-ABS((LN(10^(逐级计算!$Q$84/10)-1)+逐级计算!$Q$84*(CF27-逐级计算!$P$84)*LN(10)/10))))))),"")</f>
        <v>13.7930858440548</v>
      </c>
      <c r="CH27">
        <f>IF(AND(ISNUMBER(CG27),逐级计算!$X$85&gt;-1),IF(逐级计算!$X$85=0,CG27+逐级计算!$C$85,CG27+逐级计算!$C$85-(10/(逐级计算!$Q$85*LN(10))*(MAX((LN(10^(逐级计算!$Q$85/10)-1)+逐级计算!$Q$85*(CG27-逐级计算!$P$85)*LN(10)/10),0)+LN(1+EXP(-ABS((LN(10^(逐级计算!$Q$85/10)-1)+逐级计算!$Q$85*(CG27-逐级计算!$P$85)*LN(10)/10))))))),"")</f>
        <v>13.7930858440548</v>
      </c>
      <c r="CI27">
        <f>IF(AND(ISNUMBER(CH27),逐级计算!$X$86&gt;-1),IF(逐级计算!$X$86=0,CH27+逐级计算!$C$86,CH27+逐级计算!$C$86-(10/(逐级计算!$Q$86*LN(10))*(MAX((LN(10^(逐级计算!$Q$86/10)-1)+逐级计算!$Q$86*(CH27-逐级计算!$P$86)*LN(10)/10),0)+LN(1+EXP(-ABS((LN(10^(逐级计算!$Q$86/10)-1)+逐级计算!$Q$86*(CH27-逐级计算!$P$86)*LN(10)/10))))))),"")</f>
        <v>13.7930858440548</v>
      </c>
      <c r="CJ27">
        <f>IF(AND(ISNUMBER(CI27),逐级计算!$X$87&gt;-1),IF(逐级计算!$X$87=0,CI27+逐级计算!$C$87,CI27+逐级计算!$C$87-(10/(逐级计算!$Q$87*LN(10))*(MAX((LN(10^(逐级计算!$Q$87/10)-1)+逐级计算!$Q$87*(CI27-逐级计算!$P$87)*LN(10)/10),0)+LN(1+EXP(-ABS((LN(10^(逐级计算!$Q$87/10)-1)+逐级计算!$Q$87*(CI27-逐级计算!$P$87)*LN(10)/10))))))),"")</f>
        <v>13.7930858440548</v>
      </c>
      <c r="CK27">
        <f>IF(AND(ISNUMBER(CJ27),逐级计算!$X$88&gt;-1),IF(逐级计算!$X$88=0,CJ27+逐级计算!$C$88,CJ27+逐级计算!$C$88-(10/(逐级计算!$Q$88*LN(10))*(MAX((LN(10^(逐级计算!$Q$88/10)-1)+逐级计算!$Q$88*(CJ27-逐级计算!$P$88)*LN(10)/10),0)+LN(1+EXP(-ABS((LN(10^(逐级计算!$Q$88/10)-1)+逐级计算!$Q$88*(CJ27-逐级计算!$P$88)*LN(10)/10))))))),"")</f>
        <v>13.7930858440548</v>
      </c>
      <c r="CL27">
        <f>IF(AND(ISNUMBER(CK27),逐级计算!$X$89&gt;-1),IF(逐级计算!$X$89=0,CK27+逐级计算!$C$89,CK27+逐级计算!$C$89-(10/(逐级计算!$Q$89*LN(10))*(MAX((LN(10^(逐级计算!$Q$89/10)-1)+逐级计算!$Q$89*(CK27-逐级计算!$P$89)*LN(10)/10),0)+LN(1+EXP(-ABS((LN(10^(逐级计算!$Q$89/10)-1)+逐级计算!$Q$89*(CK27-逐级计算!$P$89)*LN(10)/10))))))),"")</f>
        <v>13.7930858440548</v>
      </c>
      <c r="CM27">
        <f>IF(AND(ISNUMBER(CL27),逐级计算!$X$90&gt;-1),IF(逐级计算!$X$90=0,CL27+逐级计算!$C$90,CL27+逐级计算!$C$90-(10/(逐级计算!$Q$90*LN(10))*(MAX((LN(10^(逐级计算!$Q$90/10)-1)+逐级计算!$Q$90*(CL27-逐级计算!$P$90)*LN(10)/10),0)+LN(1+EXP(-ABS((LN(10^(逐级计算!$Q$90/10)-1)+逐级计算!$Q$90*(CL27-逐级计算!$P$90)*LN(10)/10))))))),"")</f>
        <v>13.7930858440548</v>
      </c>
      <c r="CN27">
        <f>IF(AND(ISNUMBER(CM27),逐级计算!$X$91&gt;-1),IF(逐级计算!$X$91=0,CM27+逐级计算!$C$91,CM27+逐级计算!$C$91-(10/(逐级计算!$Q$91*LN(10))*(MAX((LN(10^(逐级计算!$Q$91/10)-1)+逐级计算!$Q$91*(CM27-逐级计算!$P$91)*LN(10)/10),0)+LN(1+EXP(-ABS((LN(10^(逐级计算!$Q$91/10)-1)+逐级计算!$Q$91*(CM27-逐级计算!$P$91)*LN(10)/10))))))),"")</f>
        <v>13.7930858440548</v>
      </c>
      <c r="CO27">
        <f>IF(AND(ISNUMBER(CN27),逐级计算!$X$92&gt;-1),IF(逐级计算!$X$92=0,CN27+逐级计算!$C$92,CN27+逐级计算!$C$92-(10/(逐级计算!$Q$92*LN(10))*(MAX((LN(10^(逐级计算!$Q$92/10)-1)+逐级计算!$Q$92*(CN27-逐级计算!$P$92)*LN(10)/10),0)+LN(1+EXP(-ABS((LN(10^(逐级计算!$Q$92/10)-1)+逐级计算!$Q$92*(CN27-逐级计算!$P$92)*LN(10)/10))))))),"")</f>
        <v>13.7930858440548</v>
      </c>
      <c r="CP27">
        <f>IF(AND(ISNUMBER(CO27),逐级计算!$X$93&gt;-1),IF(逐级计算!$X$93=0,CO27+逐级计算!$C$93,CO27+逐级计算!$C$93-(10/(逐级计算!$Q$93*LN(10))*(MAX((LN(10^(逐级计算!$Q$93/10)-1)+逐级计算!$Q$93*(CO27-逐级计算!$P$93)*LN(10)/10),0)+LN(1+EXP(-ABS((LN(10^(逐级计算!$Q$93/10)-1)+逐级计算!$Q$93*(CO27-逐级计算!$P$93)*LN(10)/10))))))),"")</f>
        <v>13.7930858440548</v>
      </c>
      <c r="CQ27">
        <f>IF(AND(ISNUMBER(CP27),逐级计算!$X$94&gt;-1),IF(逐级计算!$X$94=0,CP27+逐级计算!$C$94,CP27+逐级计算!$C$94-(10/(逐级计算!$Q$94*LN(10))*(MAX((LN(10^(逐级计算!$Q$94/10)-1)+逐级计算!$Q$94*(CP27-逐级计算!$P$94)*LN(10)/10),0)+LN(1+EXP(-ABS((LN(10^(逐级计算!$Q$94/10)-1)+逐级计算!$Q$94*(CP27-逐级计算!$P$94)*LN(10)/10))))))),"")</f>
        <v>13.7930858440548</v>
      </c>
      <c r="CR27">
        <f>IF(AND(ISNUMBER(CQ27),逐级计算!$X$95&gt;-1),IF(逐级计算!$X$95=0,CQ27+逐级计算!$C$95,CQ27+逐级计算!$C$95-(10/(逐级计算!$Q$95*LN(10))*(MAX((LN(10^(逐级计算!$Q$95/10)-1)+逐级计算!$Q$95*(CQ27-逐级计算!$P$95)*LN(10)/10),0)+LN(1+EXP(-ABS((LN(10^(逐级计算!$Q$95/10)-1)+逐级计算!$Q$95*(CQ27-逐级计算!$P$95)*LN(10)/10))))))),"")</f>
        <v>13.7930858440548</v>
      </c>
      <c r="CS27">
        <f>IF(AND(ISNUMBER(CR27),逐级计算!$X$96&gt;-1),IF(逐级计算!$X$96=0,CR27+逐级计算!$C$96,CR27+逐级计算!$C$96-(10/(逐级计算!$Q$96*LN(10))*(MAX((LN(10^(逐级计算!$Q$96/10)-1)+逐级计算!$Q$96*(CR27-逐级计算!$P$96)*LN(10)/10),0)+LN(1+EXP(-ABS((LN(10^(逐级计算!$Q$96/10)-1)+逐级计算!$Q$96*(CR27-逐级计算!$P$96)*LN(10)/10))))))),"")</f>
        <v>13.7930858440548</v>
      </c>
      <c r="CT27">
        <f>IF(AND(ISNUMBER(CS27),逐级计算!$X$97&gt;-1),IF(逐级计算!$X$97=0,CS27+逐级计算!$C$97,CS27+逐级计算!$C$97-(10/(逐级计算!$Q$97*LN(10))*(MAX((LN(10^(逐级计算!$Q$97/10)-1)+逐级计算!$Q$97*(CS27-逐级计算!$P$97)*LN(10)/10),0)+LN(1+EXP(-ABS((LN(10^(逐级计算!$Q$97/10)-1)+逐级计算!$Q$97*(CS27-逐级计算!$P$97)*LN(10)/10))))))),"")</f>
        <v>13.7930858440548</v>
      </c>
      <c r="CU27">
        <f>IF(AND(ISNUMBER(CT27),逐级计算!$X$98&gt;-1),IF(逐级计算!$X$98=0,CT27+逐级计算!$C$98,CT27+逐级计算!$C$98-(10/(逐级计算!$Q$98*LN(10))*(MAX((LN(10^(逐级计算!$Q$98/10)-1)+逐级计算!$Q$98*(CT27-逐级计算!$P$98)*LN(10)/10),0)+LN(1+EXP(-ABS((LN(10^(逐级计算!$Q$98/10)-1)+逐级计算!$Q$98*(CT27-逐级计算!$P$98)*LN(10)/10))))))),"")</f>
        <v>13.7930858440548</v>
      </c>
      <c r="CV27">
        <f>IF(AND(ISNUMBER(CU27),逐级计算!$X$99&gt;-1),IF(逐级计算!$X$99=0,CU27+逐级计算!$C$99,CU27+逐级计算!$C$99-(10/(逐级计算!$Q$99*LN(10))*(MAX((LN(10^(逐级计算!$Q$99/10)-1)+逐级计算!$Q$99*(CU27-逐级计算!$P$99)*LN(10)/10),0)+LN(1+EXP(-ABS((LN(10^(逐级计算!$Q$99/10)-1)+逐级计算!$Q$99*(CU27-逐级计算!$P$99)*LN(10)/10))))))),"")</f>
        <v>13.7930858440548</v>
      </c>
      <c r="CW27">
        <f>IF(AND(ISNUMBER(CV27),逐级计算!$X$100&gt;-1),IF(逐级计算!$X$100=0,CV27+逐级计算!$C$100,CV27+逐级计算!$C$100-(10/(逐级计算!$Q$100*LN(10))*(MAX((LN(10^(逐级计算!$Q$100/10)-1)+逐级计算!$Q$100*(CV27-逐级计算!$P$100)*LN(10)/10),0)+LN(1+EXP(-ABS((LN(10^(逐级计算!$Q$100/10)-1)+逐级计算!$Q$100*(CV27-逐级计算!$P$100)*LN(10)/10))))))),"")</f>
        <v>13.7930858440548</v>
      </c>
      <c r="CX27">
        <f>IF(AND(ISNUMBER(CW27),逐级计算!$X$101&gt;-1),IF(逐级计算!$X$101=0,CW27+逐级计算!$C$101,CW27+逐级计算!$C$101-(10/(逐级计算!$Q$101*LN(10))*(MAX((LN(10^(逐级计算!$Q$101/10)-1)+逐级计算!$Q$101*(CW27-逐级计算!$P$101)*LN(10)/10),0)+LN(1+EXP(-ABS((LN(10^(逐级计算!$Q$101/10)-1)+逐级计算!$Q$101*(CW27-逐级计算!$P$101)*LN(10)/10))))))),"")</f>
        <v>13.7930858440548</v>
      </c>
      <c r="CY27">
        <f>IF(AND(ISNUMBER(CX27),逐级计算!$X$102&gt;-1),IF(逐级计算!$X$102=0,CX27+逐级计算!$C$102,CX27+逐级计算!$C$102-(10/(逐级计算!$Q$102*LN(10))*(MAX((LN(10^(逐级计算!$Q$102/10)-1)+逐级计算!$Q$102*(CX27-逐级计算!$P$102)*LN(10)/10),0)+LN(1+EXP(-ABS((LN(10^(逐级计算!$Q$102/10)-1)+逐级计算!$Q$102*(CX27-逐级计算!$P$102)*LN(10)/10))))))),"")</f>
        <v>13.7930858440548</v>
      </c>
      <c r="CZ27">
        <f>IF(AND(ISNUMBER(CY27),逐级计算!$X$103&gt;-1),IF(逐级计算!$X$103=0,CY27+逐级计算!$C$103,CY27+逐级计算!$C$103-(10/(逐级计算!$Q$103*LN(10))*(MAX((LN(10^(逐级计算!$Q$103/10)-1)+逐级计算!$Q$103*(CY27-逐级计算!$P$103)*LN(10)/10),0)+LN(1+EXP(-ABS((LN(10^(逐级计算!$Q$103/10)-1)+逐级计算!$Q$103*(CY27-逐级计算!$P$103)*LN(10)/10))))))),"")</f>
        <v>13.7930858440548</v>
      </c>
      <c r="DA27">
        <f>IF(AND(ISNUMBER(CZ27),逐级计算!$X$104&gt;-1),IF(逐级计算!$X$104=0,CZ27+逐级计算!$C$104,CZ27+逐级计算!$C$104-(10/(逐级计算!$Q$104*LN(10))*(MAX((LN(10^(逐级计算!$Q$104/10)-1)+逐级计算!$Q$104*(CZ27-逐级计算!$P$104)*LN(10)/10),0)+LN(1+EXP(-ABS((LN(10^(逐级计算!$Q$104/10)-1)+逐级计算!$Q$104*(CZ27-逐级计算!$P$104)*LN(10)/10))))))),"")</f>
        <v>13.7930858440548</v>
      </c>
      <c r="DB27">
        <f>IF(AND(ISNUMBER(DA27),逐级计算!$X$105&gt;-1),IF(逐级计算!$X$105=0,DA27+逐级计算!$C$105,DA27+逐级计算!$C$105-(10/(逐级计算!$Q$105*LN(10))*(MAX((LN(10^(逐级计算!$Q$105/10)-1)+逐级计算!$Q$105*(DA27-逐级计算!$P$105)*LN(10)/10),0)+LN(1+EXP(-ABS((LN(10^(逐级计算!$Q$105/10)-1)+逐级计算!$Q$105*(DA27-逐级计算!$P$105)*LN(10)/10))))))),"")</f>
        <v>13.7930858440548</v>
      </c>
      <c r="DC27">
        <f>IF(AND(ISNUMBER(DB27),逐级计算!$X$106&gt;-1),IF(逐级计算!$X$106=0,DB27+逐级计算!$C$106,DB27+逐级计算!$C$106-(10/(逐级计算!$Q$106*LN(10))*(MAX((LN(10^(逐级计算!$Q$106/10)-1)+逐级计算!$Q$106*(DB27-逐级计算!$P$106)*LN(10)/10),0)+LN(1+EXP(-ABS((LN(10^(逐级计算!$Q$106/10)-1)+逐级计算!$Q$106*(DB27-逐级计算!$P$106)*LN(10)/10))))))),"")</f>
        <v>13.7930858440548</v>
      </c>
      <c r="DD27">
        <f>IF(AND(ISNUMBER(DC27),逐级计算!$X$107&gt;-1),IF(逐级计算!$X$107=0,DC27+逐级计算!$C$107,DC27+逐级计算!$C$107-(10/(逐级计算!$Q$107*LN(10))*(MAX((LN(10^(逐级计算!$Q$107/10)-1)+逐级计算!$Q$107*(DC27-逐级计算!$P$107)*LN(10)/10),0)+LN(1+EXP(-ABS((LN(10^(逐级计算!$Q$107/10)-1)+逐级计算!$Q$107*(DC27-逐级计算!$P$107)*LN(10)/10))))))),"")</f>
        <v>13.7930858440548</v>
      </c>
      <c r="DE27">
        <f>IF(AND(ISNUMBER(DD27),逐级计算!$X$108&gt;-1),IF(逐级计算!$X$108=0,DD27+逐级计算!$C$108,DD27+逐级计算!$C$108-(10/(逐级计算!$Q$108*LN(10))*(MAX((LN(10^(逐级计算!$Q$108/10)-1)+逐级计算!$Q$108*(DD27-逐级计算!$P$108)*LN(10)/10),0)+LN(1+EXP(-ABS((LN(10^(逐级计算!$Q$108/10)-1)+逐级计算!$Q$108*(DD27-逐级计算!$P$108)*LN(10)/10))))))),"")</f>
        <v>13.7930858440548</v>
      </c>
      <c r="DF27">
        <f>IF(AND(ISNUMBER(DE27),逐级计算!$X$109&gt;-1),IF(逐级计算!$X$109=0,DE27+逐级计算!$C$109,DE27+逐级计算!$C$109-(10/(逐级计算!$Q$109*LN(10))*(MAX((LN(10^(逐级计算!$Q$109/10)-1)+逐级计算!$Q$109*(DE27-逐级计算!$P$109)*LN(10)/10),0)+LN(1+EXP(-ABS((LN(10^(逐级计算!$Q$109/10)-1)+逐级计算!$Q$109*(DE27-逐级计算!$P$109)*LN(10)/10))))))),"")</f>
        <v>13.7930858440548</v>
      </c>
      <c r="DG27">
        <f>IF(AND(ISNUMBER(DF27),逐级计算!$X$110&gt;-1),IF(逐级计算!$X$110=0,DF27+逐级计算!$C$110,DF27+逐级计算!$C$110-(10/(逐级计算!$Q$110*LN(10))*(MAX((LN(10^(逐级计算!$Q$110/10)-1)+逐级计算!$Q$110*(DF27-逐级计算!$P$110)*LN(10)/10),0)+LN(1+EXP(-ABS((LN(10^(逐级计算!$Q$110/10)-1)+逐级计算!$Q$110*(DF27-逐级计算!$P$110)*LN(10)/10))))))),"")</f>
        <v>13.7930858440548</v>
      </c>
      <c r="DH27">
        <f>IF(AND(ISNUMBER(DG27),逐级计算!$X$111&gt;-1),IF(逐级计算!$X$111=0,DG27+逐级计算!$C$111,DG27+逐级计算!$C$111-(10/(逐级计算!$Q$111*LN(10))*(MAX((LN(10^(逐级计算!$Q$111/10)-1)+逐级计算!$Q$111*(DG27-逐级计算!$P$111)*LN(10)/10),0)+LN(1+EXP(-ABS((LN(10^(逐级计算!$Q$111/10)-1)+逐级计算!$Q$111*(DG27-逐级计算!$P$111)*LN(10)/10))))))),"")</f>
        <v>13.7930858440548</v>
      </c>
      <c r="DI27">
        <f>IF(AND(ISNUMBER(DH27),逐级计算!$X$112&gt;-1),IF(逐级计算!$X$112=0,DH27+逐级计算!$C$112,DH27+逐级计算!$C$112-(10/(逐级计算!$Q$112*LN(10))*(MAX((LN(10^(逐级计算!$Q$112/10)-1)+逐级计算!$Q$112*(DH27-逐级计算!$P$112)*LN(10)/10),0)+LN(1+EXP(-ABS((LN(10^(逐级计算!$Q$112/10)-1)+逐级计算!$Q$112*(DH27-逐级计算!$P$112)*LN(10)/10))))))),"")</f>
        <v>13.7930858440548</v>
      </c>
      <c r="DJ27">
        <f>IF(AND(ISNUMBER(DI27),逐级计算!$X$113&gt;-1),IF(逐级计算!$X$113=0,DI27+逐级计算!$C$113,DI27+逐级计算!$C$113-(10/(逐级计算!$Q$113*LN(10))*(MAX((LN(10^(逐级计算!$Q$113/10)-1)+逐级计算!$Q$113*(DI27-逐级计算!$P$113)*LN(10)/10),0)+LN(1+EXP(-ABS((LN(10^(逐级计算!$Q$113/10)-1)+逐级计算!$Q$113*(DI27-逐级计算!$P$113)*LN(10)/10))))))),"")</f>
        <v>13.7930858440548</v>
      </c>
      <c r="DK27">
        <f>IF(AND(ISNUMBER(DJ27),逐级计算!$X$114&gt;-1),IF(逐级计算!$X$114=0,DJ27+逐级计算!$C$114,DJ27+逐级计算!$C$114-(10/(逐级计算!$Q$114*LN(10))*(MAX((LN(10^(逐级计算!$Q$114/10)-1)+逐级计算!$Q$114*(DJ27-逐级计算!$P$114)*LN(10)/10),0)+LN(1+EXP(-ABS((LN(10^(逐级计算!$Q$114/10)-1)+逐级计算!$Q$114*(DJ27-逐级计算!$P$114)*LN(10)/10))))))),"")</f>
        <v>13.7930858440548</v>
      </c>
      <c r="DL27">
        <f>IF(AND(ISNUMBER(DK27),逐级计算!$X$115&gt;-1),IF(逐级计算!$X$115=0,DK27+逐级计算!$C$115,DK27+逐级计算!$C$115-(10/(逐级计算!$Q$115*LN(10))*(MAX((LN(10^(逐级计算!$Q$115/10)-1)+逐级计算!$Q$115*(DK27-逐级计算!$P$115)*LN(10)/10),0)+LN(1+EXP(-ABS((LN(10^(逐级计算!$Q$115/10)-1)+逐级计算!$Q$115*(DK27-逐级计算!$P$115)*LN(10)/10))))))),"")</f>
        <v>13.7930858440548</v>
      </c>
      <c r="DM27">
        <f>IF(AND(ISNUMBER(DL27),逐级计算!$X$116&gt;-1),IF(逐级计算!$X$116=0,DL27+逐级计算!$C$116,DL27+逐级计算!$C$116-(10/(逐级计算!$Q$116*LN(10))*(MAX((LN(10^(逐级计算!$Q$116/10)-1)+逐级计算!$Q$116*(DL27-逐级计算!$P$116)*LN(10)/10),0)+LN(1+EXP(-ABS((LN(10^(逐级计算!$Q$116/10)-1)+逐级计算!$Q$116*(DL27-逐级计算!$P$116)*LN(10)/10))))))),"")</f>
        <v>13.7930858440548</v>
      </c>
      <c r="DN27">
        <f>IF(AND(ISNUMBER(DM27),逐级计算!$X$117&gt;-1),IF(逐级计算!$X$117=0,DM27+逐级计算!$C$117,DM27+逐级计算!$C$117-(10/(逐级计算!$Q$117*LN(10))*(MAX((LN(10^(逐级计算!$Q$117/10)-1)+逐级计算!$Q$117*(DM27-逐级计算!$P$117)*LN(10)/10),0)+LN(1+EXP(-ABS((LN(10^(逐级计算!$Q$117/10)-1)+逐级计算!$Q$117*(DM27-逐级计算!$P$117)*LN(10)/10))))))),"")</f>
        <v>13.7930858440548</v>
      </c>
      <c r="DO27">
        <f>IF(AND(ISNUMBER(DN27),逐级计算!$X$118&gt;-1),IF(逐级计算!$X$118=0,DN27+逐级计算!$C$118,DN27+逐级计算!$C$118-(10/(逐级计算!$Q$118*LN(10))*(MAX((LN(10^(逐级计算!$Q$118/10)-1)+逐级计算!$Q$118*(DN27-逐级计算!$P$118)*LN(10)/10),0)+LN(1+EXP(-ABS((LN(10^(逐级计算!$Q$118/10)-1)+逐级计算!$Q$118*(DN27-逐级计算!$P$118)*LN(10)/10))))))),"")</f>
        <v>13.7930858440548</v>
      </c>
      <c r="DP27">
        <f>IF(AND(ISNUMBER(DO27),逐级计算!$X$119&gt;-1),IF(逐级计算!$X$119=0,DO27+逐级计算!$C$119,DO27+逐级计算!$C$119-(10/(逐级计算!$Q$119*LN(10))*(MAX((LN(10^(逐级计算!$Q$119/10)-1)+逐级计算!$Q$119*(DO27-逐级计算!$P$119)*LN(10)/10),0)+LN(1+EXP(-ABS((LN(10^(逐级计算!$Q$119/10)-1)+逐级计算!$Q$119*(DO27-逐级计算!$P$119)*LN(10)/10))))))),"")</f>
        <v>13.7930858440548</v>
      </c>
      <c r="DQ27">
        <f>IF(AND(ISNUMBER(DP27),逐级计算!$X$120&gt;-1),IF(逐级计算!$X$120=0,DP27+逐级计算!$C$120,DP27+逐级计算!$C$120-(10/(逐级计算!$Q$120*LN(10))*(MAX((LN(10^(逐级计算!$Q$120/10)-1)+逐级计算!$Q$120*(DP27-逐级计算!$P$120)*LN(10)/10),0)+LN(1+EXP(-ABS((LN(10^(逐级计算!$Q$120/10)-1)+逐级计算!$Q$120*(DP27-逐级计算!$P$120)*LN(10)/10))))))),"")</f>
        <v>13.7930858440548</v>
      </c>
      <c r="DR27">
        <f>IF(AND(ISNUMBER(DQ27),逐级计算!$X$121&gt;-1),IF(逐级计算!$X$121=0,DQ27+逐级计算!$C$121,DQ27+逐级计算!$C$121-(10/(逐级计算!$Q$121*LN(10))*(MAX((LN(10^(逐级计算!$Q$121/10)-1)+逐级计算!$Q$121*(DQ27-逐级计算!$P$121)*LN(10)/10),0)+LN(1+EXP(-ABS((LN(10^(逐级计算!$Q$121/10)-1)+逐级计算!$Q$121*(DQ27-逐级计算!$P$121)*LN(10)/10))))))),"")</f>
        <v>13.7930858440548</v>
      </c>
      <c r="DS27">
        <f>IF(AND(ISNUMBER(DR27),逐级计算!$X$122&gt;-1),IF(逐级计算!$X$122=0,DR27+逐级计算!$C$122,DR27+逐级计算!$C$122-(10/(逐级计算!$Q$122*LN(10))*(MAX((LN(10^(逐级计算!$Q$122/10)-1)+逐级计算!$Q$122*(DR27-逐级计算!$P$122)*LN(10)/10),0)+LN(1+EXP(-ABS((LN(10^(逐级计算!$Q$122/10)-1)+逐级计算!$Q$122*(DR27-逐级计算!$P$122)*LN(10)/10))))))),"")</f>
        <v>13.7930858440548</v>
      </c>
      <c r="DT27">
        <f>IF(AND(ISNUMBER(DS27),逐级计算!$X$123&gt;-1),IF(逐级计算!$X$123=0,DS27+逐级计算!$C$123,DS27+逐级计算!$C$123-(10/(逐级计算!$Q$123*LN(10))*(MAX((LN(10^(逐级计算!$Q$123/10)-1)+逐级计算!$Q$123*(DS27-逐级计算!$P$123)*LN(10)/10),0)+LN(1+EXP(-ABS((LN(10^(逐级计算!$Q$123/10)-1)+逐级计算!$Q$123*(DS27-逐级计算!$P$123)*LN(10)/10))))))),"")</f>
        <v>13.7930858440548</v>
      </c>
      <c r="DU27">
        <f>IF(AND(ISNUMBER(DT27),逐级计算!$X$124&gt;-1),IF(逐级计算!$X$124=0,DT27+逐级计算!$C$124,DT27+逐级计算!$C$124-(10/(逐级计算!$Q$124*LN(10))*(MAX((LN(10^(逐级计算!$Q$124/10)-1)+逐级计算!$Q$124*(DT27-逐级计算!$P$124)*LN(10)/10),0)+LN(1+EXP(-ABS((LN(10^(逐级计算!$Q$124/10)-1)+逐级计算!$Q$124*(DT27-逐级计算!$P$124)*LN(10)/10))))))),"")</f>
        <v>13.7930858440548</v>
      </c>
      <c r="DV27">
        <f>IF(AND(ISNUMBER(DU27),逐级计算!$X$125&gt;-1),IF(逐级计算!$X$125=0,DU27+逐级计算!$C$125,DU27+逐级计算!$C$125-(10/(逐级计算!$Q$125*LN(10))*(MAX((LN(10^(逐级计算!$Q$125/10)-1)+逐级计算!$Q$125*(DU27-逐级计算!$P$125)*LN(10)/10),0)+LN(1+EXP(-ABS((LN(10^(逐级计算!$Q$125/10)-1)+逐级计算!$Q$125*(DU27-逐级计算!$P$125)*LN(10)/10))))))),"")</f>
        <v>13.7930858440548</v>
      </c>
      <c r="DW27">
        <f>IF(AND(ISNUMBER(DV27),逐级计算!$X$126&gt;-1),IF(逐级计算!$X$126=0,DV27+逐级计算!$C$126,DV27+逐级计算!$C$126-(10/(逐级计算!$Q$126*LN(10))*(MAX((LN(10^(逐级计算!$Q$126/10)-1)+逐级计算!$Q$126*(DV27-逐级计算!$P$126)*LN(10)/10),0)+LN(1+EXP(-ABS((LN(10^(逐级计算!$Q$126/10)-1)+逐级计算!$Q$126*(DV27-逐级计算!$P$126)*LN(10)/10))))))),"")</f>
        <v>13.7930858440548</v>
      </c>
      <c r="DX27">
        <f>IF(AND(ISNUMBER(DW27),逐级计算!$X$127&gt;-1),IF(逐级计算!$X$127=0,DW27+逐级计算!$C$127,DW27+逐级计算!$C$127-(10/(逐级计算!$Q$127*LN(10))*(MAX((LN(10^(逐级计算!$Q$127/10)-1)+逐级计算!$Q$127*(DW27-逐级计算!$P$127)*LN(10)/10),0)+LN(1+EXP(-ABS((LN(10^(逐级计算!$Q$127/10)-1)+逐级计算!$Q$127*(DW27-逐级计算!$P$127)*LN(10)/10))))))),"")</f>
        <v>13.7930858440548</v>
      </c>
      <c r="DY27">
        <f>IF(AND(ISNUMBER(DX27),逐级计算!$X$128&gt;-1),IF(逐级计算!$X$128=0,DX27+逐级计算!$C$128,DX27+逐级计算!$C$128-(10/(逐级计算!$Q$128*LN(10))*(MAX((LN(10^(逐级计算!$Q$128/10)-1)+逐级计算!$Q$128*(DX27-逐级计算!$P$128)*LN(10)/10),0)+LN(1+EXP(-ABS((LN(10^(逐级计算!$Q$128/10)-1)+逐级计算!$Q$128*(DX27-逐级计算!$P$128)*LN(10)/10))))))),"")</f>
        <v>13.7930858440548</v>
      </c>
      <c r="DZ27">
        <f>IF(AND(ISNUMBER(DY27),逐级计算!$X$129&gt;-1),IF(逐级计算!$X$129=0,DY27+逐级计算!$C$129,DY27+逐级计算!$C$129-(10/(逐级计算!$Q$129*LN(10))*(MAX((LN(10^(逐级计算!$Q$129/10)-1)+逐级计算!$Q$129*(DY27-逐级计算!$P$129)*LN(10)/10),0)+LN(1+EXP(-ABS((LN(10^(逐级计算!$Q$129/10)-1)+逐级计算!$Q$129*(DY27-逐级计算!$P$129)*LN(10)/10))))))),"")</f>
        <v>13.7930858440548</v>
      </c>
      <c r="EA27">
        <f>IF(AND(ISNUMBER(DZ27),逐级计算!$X$130&gt;-1),IF(逐级计算!$X$130=0,DZ27+逐级计算!$C$130,DZ27+逐级计算!$C$130-(10/(逐级计算!$Q$130*LN(10))*(MAX((LN(10^(逐级计算!$Q$130/10)-1)+逐级计算!$Q$130*(DZ27-逐级计算!$P$130)*LN(10)/10),0)+LN(1+EXP(-ABS((LN(10^(逐级计算!$Q$130/10)-1)+逐级计算!$Q$130*(DZ27-逐级计算!$P$130)*LN(10)/10))))))),"")</f>
        <v>13.7930858440548</v>
      </c>
      <c r="EB27">
        <f>IF(AND(ISNUMBER(EA27),逐级计算!$X$131&gt;-1),IF(逐级计算!$X$131=0,EA27+逐级计算!$C$131,EA27+逐级计算!$C$131-(10/(逐级计算!$Q$131*LN(10))*(MAX((LN(10^(逐级计算!$Q$131/10)-1)+逐级计算!$Q$131*(EA27-逐级计算!$P$131)*LN(10)/10),0)+LN(1+EXP(-ABS((LN(10^(逐级计算!$Q$131/10)-1)+逐级计算!$Q$131*(EA27-逐级计算!$P$131)*LN(10)/10))))))),"")</f>
        <v>13.7930858440548</v>
      </c>
      <c r="EC27">
        <f>IF(AND(ISNUMBER(EB27),逐级计算!$X$132&gt;-1),IF(逐级计算!$X$132=0,EB27+逐级计算!$C$132,EB27+逐级计算!$C$132-(10/(逐级计算!$Q$132*LN(10))*(MAX((LN(10^(逐级计算!$Q$132/10)-1)+逐级计算!$Q$132*(EB27-逐级计算!$P$132)*LN(10)/10),0)+LN(1+EXP(-ABS((LN(10^(逐级计算!$Q$132/10)-1)+逐级计算!$Q$132*(EB27-逐级计算!$P$132)*LN(10)/10))))))),"")</f>
        <v>13.7930858440548</v>
      </c>
      <c r="ED27">
        <f>IF(AND(ISNUMBER(EC27),逐级计算!$X$133&gt;-1),IF(逐级计算!$X$133=0,EC27+逐级计算!$C$133,EC27+逐级计算!$C$133-(10/(逐级计算!$Q$133*LN(10))*(MAX((LN(10^(逐级计算!$Q$133/10)-1)+逐级计算!$Q$133*(EC27-逐级计算!$P$133)*LN(10)/10),0)+LN(1+EXP(-ABS((LN(10^(逐级计算!$Q$133/10)-1)+逐级计算!$Q$133*(EC27-逐级计算!$P$133)*LN(10)/10))))))),"")</f>
        <v>13.7930858440548</v>
      </c>
      <c r="EE27">
        <f>IF(AND(ISNUMBER(ED27),逐级计算!$X$134&gt;-1),IF(逐级计算!$X$134=0,ED27+逐级计算!$C$134,ED27+逐级计算!$C$134-(10/(逐级计算!$Q$134*LN(10))*(MAX((LN(10^(逐级计算!$Q$134/10)-1)+逐级计算!$Q$134*(ED27-逐级计算!$P$134)*LN(10)/10),0)+LN(1+EXP(-ABS((LN(10^(逐级计算!$Q$134/10)-1)+逐级计算!$Q$134*(ED27-逐级计算!$P$134)*LN(10)/10))))))),"")</f>
        <v>13.7930858440548</v>
      </c>
      <c r="EF27">
        <f>IF(AND(ISNUMBER(EE27),逐级计算!$X$135&gt;-1),IF(逐级计算!$X$135=0,EE27+逐级计算!$C$135,EE27+逐级计算!$C$135-(10/(逐级计算!$Q$135*LN(10))*(MAX((LN(10^(逐级计算!$Q$135/10)-1)+逐级计算!$Q$135*(EE27-逐级计算!$P$135)*LN(10)/10),0)+LN(1+EXP(-ABS((LN(10^(逐级计算!$Q$135/10)-1)+逐级计算!$Q$135*(EE27-逐级计算!$P$135)*LN(10)/10))))))),"")</f>
        <v>13.7930858440548</v>
      </c>
      <c r="EG27">
        <f>IF(AND(ISNUMBER(EF27),逐级计算!$X$136&gt;-1),IF(逐级计算!$X$136=0,EF27+逐级计算!$C$136,EF27+逐级计算!$C$136-(10/(逐级计算!$Q$136*LN(10))*(MAX((LN(10^(逐级计算!$Q$136/10)-1)+逐级计算!$Q$136*(EF27-逐级计算!$P$136)*LN(10)/10),0)+LN(1+EXP(-ABS((LN(10^(逐级计算!$Q$136/10)-1)+逐级计算!$Q$136*(EF27-逐级计算!$P$136)*LN(10)/10))))))),"")</f>
        <v>13.7930858440548</v>
      </c>
      <c r="EH27">
        <f>IF(AND(ISNUMBER(EG27),逐级计算!$X$137&gt;-1),IF(逐级计算!$X$137=0,EG27+逐级计算!$C$137,EG27+逐级计算!$C$137-(10/(逐级计算!$Q$137*LN(10))*(MAX((LN(10^(逐级计算!$Q$137/10)-1)+逐级计算!$Q$137*(EG27-逐级计算!$P$137)*LN(10)/10),0)+LN(1+EXP(-ABS((LN(10^(逐级计算!$Q$137/10)-1)+逐级计算!$Q$137*(EG27-逐级计算!$P$137)*LN(10)/10))))))),"")</f>
        <v>13.7930858440548</v>
      </c>
      <c r="EI27">
        <f>IF(AND(ISNUMBER(EH27),逐级计算!$X$138&gt;-1),IF(逐级计算!$X$138=0,EH27+逐级计算!$C$138,EH27+逐级计算!$C$138-(10/(逐级计算!$Q$138*LN(10))*(MAX((LN(10^(逐级计算!$Q$138/10)-1)+逐级计算!$Q$138*(EH27-逐级计算!$P$138)*LN(10)/10),0)+LN(1+EXP(-ABS((LN(10^(逐级计算!$Q$138/10)-1)+逐级计算!$Q$138*(EH27-逐级计算!$P$138)*LN(10)/10))))))),"")</f>
        <v>13.7930858440548</v>
      </c>
      <c r="EJ27">
        <f>IF(AND(ISNUMBER(EI27),逐级计算!$X$139&gt;-1),IF(逐级计算!$X$139=0,EI27+逐级计算!$C$139,EI27+逐级计算!$C$139-(10/(逐级计算!$Q$139*LN(10))*(MAX((LN(10^(逐级计算!$Q$139/10)-1)+逐级计算!$Q$139*(EI27-逐级计算!$P$139)*LN(10)/10),0)+LN(1+EXP(-ABS((LN(10^(逐级计算!$Q$139/10)-1)+逐级计算!$Q$139*(EI27-逐级计算!$P$139)*LN(10)/10))))))),"")</f>
        <v>13.7930858440548</v>
      </c>
      <c r="EK27">
        <f>IF(AND(ISNUMBER(EJ27),逐级计算!$X$140&gt;-1),IF(逐级计算!$X$140=0,EJ27+逐级计算!$C$140,EJ27+逐级计算!$C$140-(10/(逐级计算!$Q$140*LN(10))*(MAX((LN(10^(逐级计算!$Q$140/10)-1)+逐级计算!$Q$140*(EJ27-逐级计算!$P$140)*LN(10)/10),0)+LN(1+EXP(-ABS((LN(10^(逐级计算!$Q$140/10)-1)+逐级计算!$Q$140*(EJ27-逐级计算!$P$140)*LN(10)/10))))))),"")</f>
        <v>13.7930858440548</v>
      </c>
      <c r="EL27">
        <f>IF(AND(ISNUMBER(EK27),逐级计算!$X$141&gt;-1),IF(逐级计算!$X$141=0,EK27+逐级计算!$C$141,EK27+逐级计算!$C$141-(10/(逐级计算!$Q$141*LN(10))*(MAX((LN(10^(逐级计算!$Q$141/10)-1)+逐级计算!$Q$141*(EK27-逐级计算!$P$141)*LN(10)/10),0)+LN(1+EXP(-ABS((LN(10^(逐级计算!$Q$141/10)-1)+逐级计算!$Q$141*(EK27-逐级计算!$P$141)*LN(10)/10))))))),"")</f>
        <v>13.7930858440548</v>
      </c>
      <c r="EM27">
        <f>IF(AND(ISNUMBER(EL27),逐级计算!$X$142&gt;-1),IF(逐级计算!$X$142=0,EL27+逐级计算!$C$142,EL27+逐级计算!$C$142-(10/(逐级计算!$Q$142*LN(10))*(MAX((LN(10^(逐级计算!$Q$142/10)-1)+逐级计算!$Q$142*(EL27-逐级计算!$P$142)*LN(10)/10),0)+LN(1+EXP(-ABS((LN(10^(逐级计算!$Q$142/10)-1)+逐级计算!$Q$142*(EL27-逐级计算!$P$142)*LN(10)/10))))))),"")</f>
        <v>13.7930858440548</v>
      </c>
      <c r="EN27">
        <f>IF(AND(ISNUMBER(EM27),逐级计算!$X$143&gt;-1),IF(逐级计算!$X$143=0,EM27+逐级计算!$C$143,EM27+逐级计算!$C$143-(10/(逐级计算!$Q$143*LN(10))*(MAX((LN(10^(逐级计算!$Q$143/10)-1)+逐级计算!$Q$143*(EM27-逐级计算!$P$143)*LN(10)/10),0)+LN(1+EXP(-ABS((LN(10^(逐级计算!$Q$143/10)-1)+逐级计算!$Q$143*(EM27-逐级计算!$P$143)*LN(10)/10))))))),"")</f>
        <v>13.7930858440548</v>
      </c>
      <c r="EO27">
        <f>IF(AND(ISNUMBER(EN27),逐级计算!$X$144&gt;-1),IF(逐级计算!$X$144=0,EN27+逐级计算!$C$144,EN27+逐级计算!$C$144-(10/(逐级计算!$Q$144*LN(10))*(MAX((LN(10^(逐级计算!$Q$144/10)-1)+逐级计算!$Q$144*(EN27-逐级计算!$P$144)*LN(10)/10),0)+LN(1+EXP(-ABS((LN(10^(逐级计算!$Q$144/10)-1)+逐级计算!$Q$144*(EN27-逐级计算!$P$144)*LN(10)/10))))))),"")</f>
        <v>13.7930858440548</v>
      </c>
      <c r="EP27">
        <f>IF(AND(ISNUMBER(EO27),逐级计算!$X$145&gt;-1),IF(逐级计算!$X$145=0,EO27+逐级计算!$C$145,EO27+逐级计算!$C$145-(10/(逐级计算!$Q$145*LN(10))*(MAX((LN(10^(逐级计算!$Q$145/10)-1)+逐级计算!$Q$145*(EO27-逐级计算!$P$145)*LN(10)/10),0)+LN(1+EXP(-ABS((LN(10^(逐级计算!$Q$145/10)-1)+逐级计算!$Q$145*(EO27-逐级计算!$P$145)*LN(10)/10))))))),"")</f>
        <v>13.7930858440548</v>
      </c>
      <c r="EQ27">
        <f>IF(AND(ISNUMBER(EP27),逐级计算!$X$146&gt;-1),IF(逐级计算!$X$146=0,EP27+逐级计算!$C$146,EP27+逐级计算!$C$146-(10/(逐级计算!$Q$146*LN(10))*(MAX((LN(10^(逐级计算!$Q$146/10)-1)+逐级计算!$Q$146*(EP27-逐级计算!$P$146)*LN(10)/10),0)+LN(1+EXP(-ABS((LN(10^(逐级计算!$Q$146/10)-1)+逐级计算!$Q$146*(EP27-逐级计算!$P$146)*LN(10)/10))))))),"")</f>
        <v>13.7930858440548</v>
      </c>
      <c r="ER27">
        <f>IF(AND(ISNUMBER(EQ27),逐级计算!$X$147&gt;-1),IF(逐级计算!$X$147=0,EQ27+逐级计算!$C$147,EQ27+逐级计算!$C$147-(10/(逐级计算!$Q$147*LN(10))*(MAX((LN(10^(逐级计算!$Q$147/10)-1)+逐级计算!$Q$147*(EQ27-逐级计算!$P$147)*LN(10)/10),0)+LN(1+EXP(-ABS((LN(10^(逐级计算!$Q$147/10)-1)+逐级计算!$Q$147*(EQ27-逐级计算!$P$147)*LN(10)/10))))))),"")</f>
        <v>13.7930858440548</v>
      </c>
      <c r="ES27">
        <f>IF(AND(ISNUMBER(ER27),逐级计算!$X$148&gt;-1),IF(逐级计算!$X$148=0,ER27+逐级计算!$C$148,ER27+逐级计算!$C$148-(10/(逐级计算!$Q$148*LN(10))*(MAX((LN(10^(逐级计算!$Q$148/10)-1)+逐级计算!$Q$148*(ER27-逐级计算!$P$148)*LN(10)/10),0)+LN(1+EXP(-ABS((LN(10^(逐级计算!$Q$148/10)-1)+逐级计算!$Q$148*(ER27-逐级计算!$P$148)*LN(10)/10))))))),"")</f>
        <v>13.7930858440548</v>
      </c>
      <c r="ET27">
        <f>IF(AND(ISNUMBER(ES27),逐级计算!$X$149&gt;-1),IF(逐级计算!$X$149=0,ES27+逐级计算!$C$149,ES27+逐级计算!$C$149-(10/(逐级计算!$Q$149*LN(10))*(MAX((LN(10^(逐级计算!$Q$149/10)-1)+逐级计算!$Q$149*(ES27-逐级计算!$P$149)*LN(10)/10),0)+LN(1+EXP(-ABS((LN(10^(逐级计算!$Q$149/10)-1)+逐级计算!$Q$149*(ES27-逐级计算!$P$149)*LN(10)/10))))))),"")</f>
        <v>13.7930858440548</v>
      </c>
      <c r="EU27">
        <f>IF(AND(ISNUMBER(ET27),逐级计算!$X$150&gt;-1),IF(逐级计算!$X$150=0,ET27+逐级计算!$C$150,ET27+逐级计算!$C$150-(10/(逐级计算!$Q$150*LN(10))*(MAX((LN(10^(逐级计算!$Q$150/10)-1)+逐级计算!$Q$150*(ET27-逐级计算!$P$150)*LN(10)/10),0)+LN(1+EXP(-ABS((LN(10^(逐级计算!$Q$150/10)-1)+逐级计算!$Q$150*(ET27-逐级计算!$P$150)*LN(10)/10))))))),"")</f>
        <v>13.7930858440548</v>
      </c>
      <c r="EV27">
        <f>IF(AND(ISNUMBER(EU27),逐级计算!$X$151&gt;-1),IF(逐级计算!$X$151=0,EU27+逐级计算!$C$151,EU27+逐级计算!$C$151-(10/(逐级计算!$Q$151*LN(10))*(MAX((LN(10^(逐级计算!$Q$151/10)-1)+逐级计算!$Q$151*(EU27-逐级计算!$P$151)*LN(10)/10),0)+LN(1+EXP(-ABS((LN(10^(逐级计算!$Q$151/10)-1)+逐级计算!$Q$151*(EU27-逐级计算!$P$151)*LN(10)/10))))))),"")</f>
        <v>13.7930858440548</v>
      </c>
      <c r="EW27">
        <f>IF(AND(ISNUMBER(EV27),逐级计算!$X$152&gt;-1),IF(逐级计算!$X$152=0,EV27+逐级计算!$C$152,EV27+逐级计算!$C$152-(10/(逐级计算!$Q$152*LN(10))*(MAX((LN(10^(逐级计算!$Q$152/10)-1)+逐级计算!$Q$152*(EV27-逐级计算!$P$152)*LN(10)/10),0)+LN(1+EXP(-ABS((LN(10^(逐级计算!$Q$152/10)-1)+逐级计算!$Q$152*(EV27-逐级计算!$P$152)*LN(10)/10))))))),"")</f>
        <v>13.7930858440548</v>
      </c>
      <c r="EX27">
        <f>IF(AND(ISNUMBER(EW27),逐级计算!$X$153&gt;-1),IF(逐级计算!$X$153=0,EW27+逐级计算!$C$153,EW27+逐级计算!$C$153-(10/(逐级计算!$Q$153*LN(10))*(MAX((LN(10^(逐级计算!$Q$153/10)-1)+逐级计算!$Q$153*(EW27-逐级计算!$P$153)*LN(10)/10),0)+LN(1+EXP(-ABS((LN(10^(逐级计算!$Q$153/10)-1)+逐级计算!$Q$153*(EW27-逐级计算!$P$153)*LN(10)/10))))))),"")</f>
        <v>13.7930858440548</v>
      </c>
      <c r="EY27">
        <f>IF(AND(ISNUMBER(EX27),逐级计算!$X$154&gt;-1),IF(逐级计算!$X$154=0,EX27+逐级计算!$C$154,EX27+逐级计算!$C$154-(10/(逐级计算!$Q$154*LN(10))*(MAX((LN(10^(逐级计算!$Q$154/10)-1)+逐级计算!$Q$154*(EX27-逐级计算!$P$154)*LN(10)/10),0)+LN(1+EXP(-ABS((LN(10^(逐级计算!$Q$154/10)-1)+逐级计算!$Q$154*(EX27-逐级计算!$P$154)*LN(10)/10))))))),"")</f>
        <v>13.7930858440548</v>
      </c>
      <c r="EZ27">
        <f>IF(AND(ISNUMBER(EY27),逐级计算!$X$155&gt;-1),IF(逐级计算!$X$155=0,EY27+逐级计算!$C$155,EY27+逐级计算!$C$155-(10/(逐级计算!$Q$155*LN(10))*(MAX((LN(10^(逐级计算!$Q$155/10)-1)+逐级计算!$Q$155*(EY27-逐级计算!$P$155)*LN(10)/10),0)+LN(1+EXP(-ABS((LN(10^(逐级计算!$Q$155/10)-1)+逐级计算!$Q$155*(EY27-逐级计算!$P$155)*LN(10)/10))))))),"")</f>
        <v>13.7930858440548</v>
      </c>
      <c r="FA27">
        <f>IF(AND(ISNUMBER(EZ27),逐级计算!$X$156&gt;-1),IF(逐级计算!$X$156=0,EZ27+逐级计算!$C$156,EZ27+逐级计算!$C$156-(10/(逐级计算!$Q$156*LN(10))*(MAX((LN(10^(逐级计算!$Q$156/10)-1)+逐级计算!$Q$156*(EZ27-逐级计算!$P$156)*LN(10)/10),0)+LN(1+EXP(-ABS((LN(10^(逐级计算!$Q$156/10)-1)+逐级计算!$Q$156*(EZ27-逐级计算!$P$156)*LN(10)/10))))))),"")</f>
        <v>13.7930858440548</v>
      </c>
      <c r="FB27">
        <f>IF(AND(ISNUMBER(FA27),逐级计算!$X$157&gt;-1),IF(逐级计算!$X$157=0,FA27+逐级计算!$C$157,FA27+逐级计算!$C$157-(10/(逐级计算!$Q$157*LN(10))*(MAX((LN(10^(逐级计算!$Q$157/10)-1)+逐级计算!$Q$157*(FA27-逐级计算!$P$157)*LN(10)/10),0)+LN(1+EXP(-ABS((LN(10^(逐级计算!$Q$157/10)-1)+逐级计算!$Q$157*(FA27-逐级计算!$P$157)*LN(10)/10))))))),"")</f>
        <v>13.7930858440548</v>
      </c>
      <c r="FC27">
        <f>IF(AND(ISNUMBER(FB27),逐级计算!$X$158&gt;-1),IF(逐级计算!$X$158=0,FB27+逐级计算!$C$158,FB27+逐级计算!$C$158-(10/(逐级计算!$Q$158*LN(10))*(MAX((LN(10^(逐级计算!$Q$158/10)-1)+逐级计算!$Q$158*(FB27-逐级计算!$P$158)*LN(10)/10),0)+LN(1+EXP(-ABS((LN(10^(逐级计算!$Q$158/10)-1)+逐级计算!$Q$158*(FB27-逐级计算!$P$158)*LN(10)/10))))))),"")</f>
        <v>13.7930858440548</v>
      </c>
      <c r="FD27">
        <f>IF(AND(ISNUMBER(FC27),逐级计算!$X$159&gt;-1),IF(逐级计算!$X$159=0,FC27+逐级计算!$C$159,FC27+逐级计算!$C$159-(10/(逐级计算!$Q$159*LN(10))*(MAX((LN(10^(逐级计算!$Q$159/10)-1)+逐级计算!$Q$159*(FC27-逐级计算!$P$159)*LN(10)/10),0)+LN(1+EXP(-ABS((LN(10^(逐级计算!$Q$159/10)-1)+逐级计算!$Q$159*(FC27-逐级计算!$P$159)*LN(10)/10))))))),"")</f>
        <v>13.7930858440548</v>
      </c>
      <c r="FE27">
        <f>IF(AND(ISNUMBER(FD27),逐级计算!$X$160&gt;-1),IF(逐级计算!$X$160=0,FD27+逐级计算!$C$160,FD27+逐级计算!$C$160-(10/(逐级计算!$Q$160*LN(10))*(MAX((LN(10^(逐级计算!$Q$160/10)-1)+逐级计算!$Q$160*(FD27-逐级计算!$P$160)*LN(10)/10),0)+LN(1+EXP(-ABS((LN(10^(逐级计算!$Q$160/10)-1)+逐级计算!$Q$160*(FD27-逐级计算!$P$160)*LN(10)/10))))))),"")</f>
        <v>13.7930858440548</v>
      </c>
      <c r="FF27">
        <f>IF(AND(ISNUMBER(FE27),逐级计算!$X$161&gt;-1),IF(逐级计算!$X$161=0,FE27+逐级计算!$C$161,FE27+逐级计算!$C$161-(10/(逐级计算!$Q$161*LN(10))*(MAX((LN(10^(逐级计算!$Q$161/10)-1)+逐级计算!$Q$161*(FE27-逐级计算!$P$161)*LN(10)/10),0)+LN(1+EXP(-ABS((LN(10^(逐级计算!$Q$161/10)-1)+逐级计算!$Q$161*(FE27-逐级计算!$P$161)*LN(10)/10))))))),"")</f>
        <v>13.7930858440548</v>
      </c>
      <c r="FG27">
        <f>IF(AND(ISNUMBER(FF27),逐级计算!$X$162&gt;-1),IF(逐级计算!$X$162=0,FF27+逐级计算!$C$162,FF27+逐级计算!$C$162-(10/(逐级计算!$Q$162*LN(10))*(MAX((LN(10^(逐级计算!$Q$162/10)-1)+逐级计算!$Q$162*(FF27-逐级计算!$P$162)*LN(10)/10),0)+LN(1+EXP(-ABS((LN(10^(逐级计算!$Q$162/10)-1)+逐级计算!$Q$162*(FF27-逐级计算!$P$162)*LN(10)/10))))))),"")</f>
        <v>13.7930858440548</v>
      </c>
      <c r="FH27">
        <f>IF(AND(ISNUMBER(FG27),逐级计算!$X$163&gt;-1),IF(逐级计算!$X$163=0,FG27+逐级计算!$C$163,FG27+逐级计算!$C$163-(10/(逐级计算!$Q$163*LN(10))*(MAX((LN(10^(逐级计算!$Q$163/10)-1)+逐级计算!$Q$163*(FG27-逐级计算!$P$163)*LN(10)/10),0)+LN(1+EXP(-ABS((LN(10^(逐级计算!$Q$163/10)-1)+逐级计算!$Q$163*(FG27-逐级计算!$P$163)*LN(10)/10))))))),"")</f>
        <v>13.7930858440548</v>
      </c>
      <c r="FI27">
        <f>IF(AND(ISNUMBER(FH27),逐级计算!$X$164&gt;-1),IF(逐级计算!$X$164=0,FH27+逐级计算!$C$164,FH27+逐级计算!$C$164-(10/(逐级计算!$Q$164*LN(10))*(MAX((LN(10^(逐级计算!$Q$164/10)-1)+逐级计算!$Q$164*(FH27-逐级计算!$P$164)*LN(10)/10),0)+LN(1+EXP(-ABS((LN(10^(逐级计算!$Q$164/10)-1)+逐级计算!$Q$164*(FH27-逐级计算!$P$164)*LN(10)/10))))))),"")</f>
        <v>13.7930858440548</v>
      </c>
      <c r="FJ27">
        <f>IF(AND(ISNUMBER(FI27),逐级计算!$X$165&gt;-1),IF(逐级计算!$X$165=0,FI27+逐级计算!$C$165,FI27+逐级计算!$C$165-(10/(逐级计算!$Q$165*LN(10))*(MAX((LN(10^(逐级计算!$Q$165/10)-1)+逐级计算!$Q$165*(FI27-逐级计算!$P$165)*LN(10)/10),0)+LN(1+EXP(-ABS((LN(10^(逐级计算!$Q$165/10)-1)+逐级计算!$Q$165*(FI27-逐级计算!$P$165)*LN(10)/10))))))),"")</f>
        <v>13.7930858440548</v>
      </c>
      <c r="FK27">
        <f>IF(AND(ISNUMBER(FJ27),逐级计算!$X$166&gt;-1),IF(逐级计算!$X$166=0,FJ27+逐级计算!$C$166,FJ27+逐级计算!$C$166-(10/(逐级计算!$Q$166*LN(10))*(MAX((LN(10^(逐级计算!$Q$166/10)-1)+逐级计算!$Q$166*(FJ27-逐级计算!$P$166)*LN(10)/10),0)+LN(1+EXP(-ABS((LN(10^(逐级计算!$Q$166/10)-1)+逐级计算!$Q$166*(FJ27-逐级计算!$P$166)*LN(10)/10))))))),"")</f>
        <v>13.7930858440548</v>
      </c>
      <c r="FL27">
        <f>IF(AND(ISNUMBER(FK27),逐级计算!$X$167&gt;-1),IF(逐级计算!$X$167=0,FK27+逐级计算!$C$167,FK27+逐级计算!$C$167-(10/(逐级计算!$Q$167*LN(10))*(MAX((LN(10^(逐级计算!$Q$167/10)-1)+逐级计算!$Q$167*(FK27-逐级计算!$P$167)*LN(10)/10),0)+LN(1+EXP(-ABS((LN(10^(逐级计算!$Q$167/10)-1)+逐级计算!$Q$167*(FK27-逐级计算!$P$167)*LN(10)/10))))))),"")</f>
        <v>13.7930858440548</v>
      </c>
      <c r="FM27">
        <f>IF(AND(ISNUMBER(FL27),逐级计算!$X$168&gt;-1),IF(逐级计算!$X$168=0,FL27+逐级计算!$C$168,FL27+逐级计算!$C$168-(10/(逐级计算!$Q$168*LN(10))*(MAX((LN(10^(逐级计算!$Q$168/10)-1)+逐级计算!$Q$168*(FL27-逐级计算!$P$168)*LN(10)/10),0)+LN(1+EXP(-ABS((LN(10^(逐级计算!$Q$168/10)-1)+逐级计算!$Q$168*(FL27-逐级计算!$P$168)*LN(10)/10))))))),"")</f>
        <v>13.7930858440548</v>
      </c>
      <c r="FN27">
        <f>IF(AND(ISNUMBER(FM27),逐级计算!$X$169&gt;-1),IF(逐级计算!$X$169=0,FM27+逐级计算!$C$169,FM27+逐级计算!$C$169-(10/(逐级计算!$Q$169*LN(10))*(MAX((LN(10^(逐级计算!$Q$169/10)-1)+逐级计算!$Q$169*(FM27-逐级计算!$P$169)*LN(10)/10),0)+LN(1+EXP(-ABS((LN(10^(逐级计算!$Q$169/10)-1)+逐级计算!$Q$169*(FM27-逐级计算!$P$169)*LN(10)/10))))))),"")</f>
        <v>13.7930858440548</v>
      </c>
      <c r="FO27">
        <f>IF(AND(ISNUMBER(FN27),逐级计算!$X$170&gt;-1),IF(逐级计算!$X$170=0,FN27+逐级计算!$C$170,FN27+逐级计算!$C$170-(10/(逐级计算!$Q$170*LN(10))*(MAX((LN(10^(逐级计算!$Q$170/10)-1)+逐级计算!$Q$170*(FN27-逐级计算!$P$170)*LN(10)/10),0)+LN(1+EXP(-ABS((LN(10^(逐级计算!$Q$170/10)-1)+逐级计算!$Q$170*(FN27-逐级计算!$P$170)*LN(10)/10))))))),"")</f>
        <v>13.7930858440548</v>
      </c>
      <c r="FP27">
        <f>IF(AND(ISNUMBER(FO27),逐级计算!$X$171&gt;-1),IF(逐级计算!$X$171=0,FO27+逐级计算!$C$171,FO27+逐级计算!$C$171-(10/(逐级计算!$Q$171*LN(10))*(MAX((LN(10^(逐级计算!$Q$171/10)-1)+逐级计算!$Q$171*(FO27-逐级计算!$P$171)*LN(10)/10),0)+LN(1+EXP(-ABS((LN(10^(逐级计算!$Q$171/10)-1)+逐级计算!$Q$171*(FO27-逐级计算!$P$171)*LN(10)/10))))))),"")</f>
        <v>13.7930858440548</v>
      </c>
      <c r="FQ27">
        <f>IF(AND(ISNUMBER(FP27),逐级计算!$X$172&gt;-1),IF(逐级计算!$X$172=0,FP27+逐级计算!$C$172,FP27+逐级计算!$C$172-(10/(逐级计算!$Q$172*LN(10))*(MAX((LN(10^(逐级计算!$Q$172/10)-1)+逐级计算!$Q$172*(FP27-逐级计算!$P$172)*LN(10)/10),0)+LN(1+EXP(-ABS((LN(10^(逐级计算!$Q$172/10)-1)+逐级计算!$Q$172*(FP27-逐级计算!$P$172)*LN(10)/10))))))),"")</f>
        <v>13.7930858440548</v>
      </c>
      <c r="FR27">
        <f>IF(AND(ISNUMBER(FQ27),逐级计算!$X$173&gt;-1),IF(逐级计算!$X$173=0,FQ27+逐级计算!$C$173,FQ27+逐级计算!$C$173-(10/(逐级计算!$Q$173*LN(10))*(MAX((LN(10^(逐级计算!$Q$173/10)-1)+逐级计算!$Q$173*(FQ27-逐级计算!$P$173)*LN(10)/10),0)+LN(1+EXP(-ABS((LN(10^(逐级计算!$Q$173/10)-1)+逐级计算!$Q$173*(FQ27-逐级计算!$P$173)*LN(10)/10))))))),"")</f>
        <v>13.7930858440548</v>
      </c>
      <c r="FS27">
        <f>IF(AND(ISNUMBER(FR27),逐级计算!$X$174&gt;-1),IF(逐级计算!$X$174=0,FR27+逐级计算!$C$174,FR27+逐级计算!$C$174-(10/(逐级计算!$Q$174*LN(10))*(MAX((LN(10^(逐级计算!$Q$174/10)-1)+逐级计算!$Q$174*(FR27-逐级计算!$P$174)*LN(10)/10),0)+LN(1+EXP(-ABS((LN(10^(逐级计算!$Q$174/10)-1)+逐级计算!$Q$174*(FR27-逐级计算!$P$174)*LN(10)/10))))))),"")</f>
        <v>13.7930858440548</v>
      </c>
      <c r="FT27">
        <f>IF(AND(ISNUMBER(FS27),逐级计算!$X$175&gt;-1),IF(逐级计算!$X$175=0,FS27+逐级计算!$C$175,FS27+逐级计算!$C$175-(10/(逐级计算!$Q$175*LN(10))*(MAX((LN(10^(逐级计算!$Q$175/10)-1)+逐级计算!$Q$175*(FS27-逐级计算!$P$175)*LN(10)/10),0)+LN(1+EXP(-ABS((LN(10^(逐级计算!$Q$175/10)-1)+逐级计算!$Q$175*(FS27-逐级计算!$P$175)*LN(10)/10))))))),"")</f>
        <v>13.7930858440548</v>
      </c>
      <c r="FU27">
        <f>IF(AND(ISNUMBER(FT27),逐级计算!$X$176&gt;-1),IF(逐级计算!$X$176=0,FT27+逐级计算!$C$176,FT27+逐级计算!$C$176-(10/(逐级计算!$Q$176*LN(10))*(MAX((LN(10^(逐级计算!$Q$176/10)-1)+逐级计算!$Q$176*(FT27-逐级计算!$P$176)*LN(10)/10),0)+LN(1+EXP(-ABS((LN(10^(逐级计算!$Q$176/10)-1)+逐级计算!$Q$176*(FT27-逐级计算!$P$176)*LN(10)/10))))))),"")</f>
        <v>13.7930858440548</v>
      </c>
      <c r="FV27">
        <f>IF(AND(ISNUMBER(FU27),逐级计算!$X$177&gt;-1),IF(逐级计算!$X$177=0,FU27+逐级计算!$C$177,FU27+逐级计算!$C$177-(10/(逐级计算!$Q$177*LN(10))*(MAX((LN(10^(逐级计算!$Q$177/10)-1)+逐级计算!$Q$177*(FU27-逐级计算!$P$177)*LN(10)/10),0)+LN(1+EXP(-ABS((LN(10^(逐级计算!$Q$177/10)-1)+逐级计算!$Q$177*(FU27-逐级计算!$P$177)*LN(10)/10))))))),"")</f>
        <v>13.7930858440548</v>
      </c>
      <c r="FW27">
        <f>IF(AND(ISNUMBER(FV27),逐级计算!$X$178&gt;-1),IF(逐级计算!$X$178=0,FV27+逐级计算!$C$178,FV27+逐级计算!$C$178-(10/(逐级计算!$Q$178*LN(10))*(MAX((LN(10^(逐级计算!$Q$178/10)-1)+逐级计算!$Q$178*(FV27-逐级计算!$P$178)*LN(10)/10),0)+LN(1+EXP(-ABS((LN(10^(逐级计算!$Q$178/10)-1)+逐级计算!$Q$178*(FV27-逐级计算!$P$178)*LN(10)/10))))))),"")</f>
        <v>13.7930858440548</v>
      </c>
      <c r="FX27">
        <f>IF(AND(ISNUMBER(FW27),逐级计算!$X$179&gt;-1),IF(逐级计算!$X$179=0,FW27+逐级计算!$C$179,FW27+逐级计算!$C$179-(10/(逐级计算!$Q$179*LN(10))*(MAX((LN(10^(逐级计算!$Q$179/10)-1)+逐级计算!$Q$179*(FW27-逐级计算!$P$179)*LN(10)/10),0)+LN(1+EXP(-ABS((LN(10^(逐级计算!$Q$179/10)-1)+逐级计算!$Q$179*(FW27-逐级计算!$P$179)*LN(10)/10))))))),"")</f>
        <v>13.7930858440548</v>
      </c>
      <c r="FY27">
        <f>IF(AND(ISNUMBER(FX27),逐级计算!$X$180&gt;-1),IF(逐级计算!$X$180=0,FX27+逐级计算!$C$180,FX27+逐级计算!$C$180-(10/(逐级计算!$Q$180*LN(10))*(MAX((LN(10^(逐级计算!$Q$180/10)-1)+逐级计算!$Q$180*(FX27-逐级计算!$P$180)*LN(10)/10),0)+LN(1+EXP(-ABS((LN(10^(逐级计算!$Q$180/10)-1)+逐级计算!$Q$180*(FX27-逐级计算!$P$180)*LN(10)/10))))))),"")</f>
        <v>13.7930858440548</v>
      </c>
      <c r="FZ27">
        <f>IF(AND(ISNUMBER(FY27),逐级计算!$X$181&gt;-1),IF(逐级计算!$X$181=0,FY27+逐级计算!$C$181,FY27+逐级计算!$C$181-(10/(逐级计算!$Q$181*LN(10))*(MAX((LN(10^(逐级计算!$Q$181/10)-1)+逐级计算!$Q$181*(FY27-逐级计算!$P$181)*LN(10)/10),0)+LN(1+EXP(-ABS((LN(10^(逐级计算!$Q$181/10)-1)+逐级计算!$Q$181*(FY27-逐级计算!$P$181)*LN(10)/10))))))),"")</f>
        <v>13.7930858440548</v>
      </c>
      <c r="GA27">
        <f>IF(AND(ISNUMBER(FZ27),逐级计算!$X$182&gt;-1),IF(逐级计算!$X$182=0,FZ27+逐级计算!$C$182,FZ27+逐级计算!$C$182-(10/(逐级计算!$Q$182*LN(10))*(MAX((LN(10^(逐级计算!$Q$182/10)-1)+逐级计算!$Q$182*(FZ27-逐级计算!$P$182)*LN(10)/10),0)+LN(1+EXP(-ABS((LN(10^(逐级计算!$Q$182/10)-1)+逐级计算!$Q$182*(FZ27-逐级计算!$P$182)*LN(10)/10))))))),"")</f>
        <v>13.7930858440548</v>
      </c>
      <c r="GB27">
        <f>IF(AND(ISNUMBER(GA27),逐级计算!$X$183&gt;-1),IF(逐级计算!$X$183=0,GA27+逐级计算!$C$183,GA27+逐级计算!$C$183-(10/(逐级计算!$Q$183*LN(10))*(MAX((LN(10^(逐级计算!$Q$183/10)-1)+逐级计算!$Q$183*(GA27-逐级计算!$P$183)*LN(10)/10),0)+LN(1+EXP(-ABS((LN(10^(逐级计算!$Q$183/10)-1)+逐级计算!$Q$183*(GA27-逐级计算!$P$183)*LN(10)/10))))))),"")</f>
        <v>13.7930858440548</v>
      </c>
      <c r="GC27">
        <f>IF(AND(ISNUMBER(GB27),逐级计算!$X$184&gt;-1),IF(逐级计算!$X$184=0,GB27+逐级计算!$C$184,GB27+逐级计算!$C$184-(10/(逐级计算!$Q$184*LN(10))*(MAX((LN(10^(逐级计算!$Q$184/10)-1)+逐级计算!$Q$184*(GB27-逐级计算!$P$184)*LN(10)/10),0)+LN(1+EXP(-ABS((LN(10^(逐级计算!$Q$184/10)-1)+逐级计算!$Q$184*(GB27-逐级计算!$P$184)*LN(10)/10))))))),"")</f>
        <v>13.7930858440548</v>
      </c>
      <c r="GD27">
        <f>IF(AND(ISNUMBER(GC27),逐级计算!$X$185&gt;-1),IF(逐级计算!$X$185=0,GC27+逐级计算!$C$185,GC27+逐级计算!$C$185-(10/(逐级计算!$Q$185*LN(10))*(MAX((LN(10^(逐级计算!$Q$185/10)-1)+逐级计算!$Q$185*(GC27-逐级计算!$P$185)*LN(10)/10),0)+LN(1+EXP(-ABS((LN(10^(逐级计算!$Q$185/10)-1)+逐级计算!$Q$185*(GC27-逐级计算!$P$185)*LN(10)/10))))))),"")</f>
        <v>13.7930858440548</v>
      </c>
      <c r="GE27">
        <f>IF(AND(ISNUMBER(GD27),逐级计算!$X$186&gt;-1),IF(逐级计算!$X$186=0,GD27+逐级计算!$C$186,GD27+逐级计算!$C$186-(10/(逐级计算!$Q$186*LN(10))*(MAX((LN(10^(逐级计算!$Q$186/10)-1)+逐级计算!$Q$186*(GD27-逐级计算!$P$186)*LN(10)/10),0)+LN(1+EXP(-ABS((LN(10^(逐级计算!$Q$186/10)-1)+逐级计算!$Q$186*(GD27-逐级计算!$P$186)*LN(10)/10))))))),"")</f>
        <v>13.7930858440548</v>
      </c>
      <c r="GF27">
        <f>IF(AND(ISNUMBER(GE27),逐级计算!$X$187&gt;-1),IF(逐级计算!$X$187=0,GE27+逐级计算!$C$187,GE27+逐级计算!$C$187-(10/(逐级计算!$Q$187*LN(10))*(MAX((LN(10^(逐级计算!$Q$187/10)-1)+逐级计算!$Q$187*(GE27-逐级计算!$P$187)*LN(10)/10),0)+LN(1+EXP(-ABS((LN(10^(逐级计算!$Q$187/10)-1)+逐级计算!$Q$187*(GE27-逐级计算!$P$187)*LN(10)/10))))))),"")</f>
        <v>13.7930858440548</v>
      </c>
      <c r="GG27">
        <f>IF(AND(ISNUMBER(GF27),逐级计算!$X$188&gt;-1),IF(逐级计算!$X$188=0,GF27+逐级计算!$C$188,GF27+逐级计算!$C$188-(10/(逐级计算!$Q$188*LN(10))*(MAX((LN(10^(逐级计算!$Q$188/10)-1)+逐级计算!$Q$188*(GF27-逐级计算!$P$188)*LN(10)/10),0)+LN(1+EXP(-ABS((LN(10^(逐级计算!$Q$188/10)-1)+逐级计算!$Q$188*(GF27-逐级计算!$P$188)*LN(10)/10))))))),"")</f>
        <v>13.7930858440548</v>
      </c>
      <c r="GH27">
        <f>IF(AND(ISNUMBER(GG27),逐级计算!$X$189&gt;-1),IF(逐级计算!$X$189=0,GG27+逐级计算!$C$189,GG27+逐级计算!$C$189-(10/(逐级计算!$Q$189*LN(10))*(MAX((LN(10^(逐级计算!$Q$189/10)-1)+逐级计算!$Q$189*(GG27-逐级计算!$P$189)*LN(10)/10),0)+LN(1+EXP(-ABS((LN(10^(逐级计算!$Q$189/10)-1)+逐级计算!$Q$189*(GG27-逐级计算!$P$189)*LN(10)/10))))))),"")</f>
        <v>13.7930858440548</v>
      </c>
      <c r="GI27">
        <f>IF(AND(ISNUMBER(GH27),逐级计算!$X$190&gt;-1),IF(逐级计算!$X$190=0,GH27+逐级计算!$C$190,GH27+逐级计算!$C$190-(10/(逐级计算!$Q$190*LN(10))*(MAX((LN(10^(逐级计算!$Q$190/10)-1)+逐级计算!$Q$190*(GH27-逐级计算!$P$190)*LN(10)/10),0)+LN(1+EXP(-ABS((LN(10^(逐级计算!$Q$190/10)-1)+逐级计算!$Q$190*(GH27-逐级计算!$P$190)*LN(10)/10))))))),"")</f>
        <v>13.7930858440548</v>
      </c>
      <c r="GJ27">
        <f>IF(AND(ISNUMBER(GI27),逐级计算!$X$191&gt;-1),IF(逐级计算!$X$191=0,GI27+逐级计算!$C$191,GI27+逐级计算!$C$191-(10/(逐级计算!$Q$191*LN(10))*(MAX((LN(10^(逐级计算!$Q$191/10)-1)+逐级计算!$Q$191*(GI27-逐级计算!$P$191)*LN(10)/10),0)+LN(1+EXP(-ABS((LN(10^(逐级计算!$Q$191/10)-1)+逐级计算!$Q$191*(GI27-逐级计算!$P$191)*LN(10)/10))))))),"")</f>
        <v>13.7930858440548</v>
      </c>
      <c r="GK27">
        <f>IF(AND(ISNUMBER(GJ27),逐级计算!$X$192&gt;-1),IF(逐级计算!$X$192=0,GJ27+逐级计算!$C$192,GJ27+逐级计算!$C$192-(10/(逐级计算!$Q$192*LN(10))*(MAX((LN(10^(逐级计算!$Q$192/10)-1)+逐级计算!$Q$192*(GJ27-逐级计算!$P$192)*LN(10)/10),0)+LN(1+EXP(-ABS((LN(10^(逐级计算!$Q$192/10)-1)+逐级计算!$Q$192*(GJ27-逐级计算!$P$192)*LN(10)/10))))))),"")</f>
        <v>13.7930858440548</v>
      </c>
      <c r="GL27">
        <f>IF(AND(ISNUMBER(GK27),逐级计算!$X$193&gt;-1),IF(逐级计算!$X$193=0,GK27+逐级计算!$C$193,GK27+逐级计算!$C$193-(10/(逐级计算!$Q$193*LN(10))*(MAX((LN(10^(逐级计算!$Q$193/10)-1)+逐级计算!$Q$193*(GK27-逐级计算!$P$193)*LN(10)/10),0)+LN(1+EXP(-ABS((LN(10^(逐级计算!$Q$193/10)-1)+逐级计算!$Q$193*(GK27-逐级计算!$P$193)*LN(10)/10))))))),"")</f>
        <v>13.7930858440548</v>
      </c>
      <c r="GM27">
        <f>IF(AND(ISNUMBER(GL27),逐级计算!$X$194&gt;-1),IF(逐级计算!$X$194=0,GL27+逐级计算!$C$194,GL27+逐级计算!$C$194-(10/(逐级计算!$Q$194*LN(10))*(MAX((LN(10^(逐级计算!$Q$194/10)-1)+逐级计算!$Q$194*(GL27-逐级计算!$P$194)*LN(10)/10),0)+LN(1+EXP(-ABS((LN(10^(逐级计算!$Q$194/10)-1)+逐级计算!$Q$194*(GL27-逐级计算!$P$194)*LN(10)/10))))))),"")</f>
        <v>13.7930858440548</v>
      </c>
      <c r="GN27">
        <f>IF(AND(ISNUMBER(GM27),逐级计算!$X$195&gt;-1),IF(逐级计算!$X$195=0,GM27+逐级计算!$C$195,GM27+逐级计算!$C$195-(10/(逐级计算!$Q$195*LN(10))*(MAX((LN(10^(逐级计算!$Q$195/10)-1)+逐级计算!$Q$195*(GM27-逐级计算!$P$195)*LN(10)/10),0)+LN(1+EXP(-ABS((LN(10^(逐级计算!$Q$195/10)-1)+逐级计算!$Q$195*(GM27-逐级计算!$P$195)*LN(10)/10))))))),"")</f>
        <v>13.7930858440548</v>
      </c>
      <c r="GO27">
        <f>IF(AND(ISNUMBER(GN27),逐级计算!$X$196&gt;-1),IF(逐级计算!$X$196=0,GN27+逐级计算!$C$196,GN27+逐级计算!$C$196-(10/(逐级计算!$Q$196*LN(10))*(MAX((LN(10^(逐级计算!$Q$196/10)-1)+逐级计算!$Q$196*(GN27-逐级计算!$P$196)*LN(10)/10),0)+LN(1+EXP(-ABS((LN(10^(逐级计算!$Q$196/10)-1)+逐级计算!$Q$196*(GN27-逐级计算!$P$196)*LN(10)/10))))))),"")</f>
        <v>13.7930858440548</v>
      </c>
      <c r="GP27">
        <f>IF(AND(ISNUMBER(GO27),逐级计算!$X$197&gt;-1),IF(逐级计算!$X$197=0,GO27+逐级计算!$C$197,GO27+逐级计算!$C$197-(10/(逐级计算!$Q$197*LN(10))*(MAX((LN(10^(逐级计算!$Q$197/10)-1)+逐级计算!$Q$197*(GO27-逐级计算!$P$197)*LN(10)/10),0)+LN(1+EXP(-ABS((LN(10^(逐级计算!$Q$197/10)-1)+逐级计算!$Q$197*(GO27-逐级计算!$P$197)*LN(10)/10))))))),"")</f>
        <v>13.7930858440548</v>
      </c>
      <c r="GQ27">
        <f>IF(AND(ISNUMBER(GP27),逐级计算!$X$198&gt;-1),IF(逐级计算!$X$198=0,GP27+逐级计算!$C$198,GP27+逐级计算!$C$198-(10/(逐级计算!$Q$198*LN(10))*(MAX((LN(10^(逐级计算!$Q$198/10)-1)+逐级计算!$Q$198*(GP27-逐级计算!$P$198)*LN(10)/10),0)+LN(1+EXP(-ABS((LN(10^(逐级计算!$Q$198/10)-1)+逐级计算!$Q$198*(GP27-逐级计算!$P$198)*LN(10)/10))))))),"")</f>
        <v>13.7930858440548</v>
      </c>
      <c r="GR27">
        <f>IF(AND(ISNUMBER(GQ27),逐级计算!$X$199&gt;-1),IF(逐级计算!$X$199=0,GQ27+逐级计算!$C$199,GQ27+逐级计算!$C$199-(10/(逐级计算!$Q$199*LN(10))*(MAX((LN(10^(逐级计算!$Q$199/10)-1)+逐级计算!$Q$199*(GQ27-逐级计算!$P$199)*LN(10)/10),0)+LN(1+EXP(-ABS((LN(10^(逐级计算!$Q$199/10)-1)+逐级计算!$Q$199*(GQ27-逐级计算!$P$199)*LN(10)/10))))))),"")</f>
        <v>13.7930858440548</v>
      </c>
      <c r="GS27">
        <f>IF(AND(ISNUMBER(GR27),逐级计算!$X$200&gt;-1),IF(逐级计算!$X$200=0,GR27+逐级计算!$C$200,GR27+逐级计算!$C$200-(10/(逐级计算!$Q$200*LN(10))*(MAX((LN(10^(逐级计算!$Q$200/10)-1)+逐级计算!$Q$200*(GR27-逐级计算!$P$200)*LN(10)/10),0)+LN(1+EXP(-ABS((LN(10^(逐级计算!$Q$200/10)-1)+逐级计算!$Q$200*(GR27-逐级计算!$P$200)*LN(10)/10))))))),"")</f>
        <v>13.7930858440548</v>
      </c>
      <c r="GT27">
        <f>IF(AND(ISNUMBER(GS27),逐级计算!$X$201&gt;-1),IF(逐级计算!$X$201=0,GS27+逐级计算!$C$201,GS27+逐级计算!$C$201-(10/(逐级计算!$Q$201*LN(10))*(MAX((LN(10^(逐级计算!$Q$201/10)-1)+逐级计算!$Q$201*(GS27-逐级计算!$P$201)*LN(10)/10),0)+LN(1+EXP(-ABS((LN(10^(逐级计算!$Q$201/10)-1)+逐级计算!$Q$201*(GS27-逐级计算!$P$201)*LN(10)/10))))))),"")</f>
        <v>13.7930858440548</v>
      </c>
      <c r="GU27">
        <f>IF(AND(ISNUMBER(GT27),逐级计算!$X$202&gt;-1),IF(逐级计算!$X$202=0,GT27+逐级计算!$C$202,GT27+逐级计算!$C$202-(10/(逐级计算!$Q$202*LN(10))*(MAX((LN(10^(逐级计算!$Q$202/10)-1)+逐级计算!$Q$202*(GT27-逐级计算!$P$202)*LN(10)/10),0)+LN(1+EXP(-ABS((LN(10^(逐级计算!$Q$202/10)-1)+逐级计算!$Q$202*(GT27-逐级计算!$P$202)*LN(10)/10))))))),"")</f>
        <v>13.7930858440548</v>
      </c>
      <c r="GV27">
        <f>IF(AND(ISNUMBER(GU27),逐级计算!$X$203&gt;-1),IF(逐级计算!$X$203=0,GU27+逐级计算!$C$203,GU27+逐级计算!$C$203-(10/(逐级计算!$Q$203*LN(10))*(MAX((LN(10^(逐级计算!$Q$203/10)-1)+逐级计算!$Q$203*(GU27-逐级计算!$P$203)*LN(10)/10),0)+LN(1+EXP(-ABS((LN(10^(逐级计算!$Q$203/10)-1)+逐级计算!$Q$203*(GU27-逐级计算!$P$203)*LN(10)/10))))))),"")</f>
        <v>13.7930858440548</v>
      </c>
      <c r="GW27">
        <f t="shared" si="2"/>
        <v>-5.20678520202637</v>
      </c>
    </row>
    <row r="28" spans="1:205">
      <c r="A28">
        <v>21</v>
      </c>
      <c r="B28">
        <f t="shared" si="1"/>
        <v>-5.20698547363281</v>
      </c>
      <c r="C28">
        <f t="shared" si="0"/>
        <v>-5.2069354057312</v>
      </c>
      <c r="D28">
        <f>IF(AND(ISNUMBER(C28),ISNUMBER(逐级计算!$E$203),ISNUMBER(GV28)),C28+逐级计算!$E$203-GV28,"")</f>
        <v>1.00001034063942</v>
      </c>
      <c r="E28">
        <f>IF(AND(ISNUMBER(C28),逐级计算!$X$4&gt;-1),IF(逐级计算!$X$4=0,C28+逐级计算!$C$4,C28+逐级计算!$C$4-(10/(逐级计算!$Q$4*LN(10))*(MAX((LN(10^(逐级计算!$Q$4/10)-1)+逐级计算!$Q$4*(C28-逐级计算!$P$4)*LN(10)/10),0)+LN(1+EXP(-ABS((LN(10^(逐级计算!$Q$4/10)-1)+逐级计算!$Q$4*(C28-逐级计算!$P$4)*LN(10)/10))))))),"")</f>
        <v>4.68056643466941</v>
      </c>
      <c r="F28">
        <f>IF(AND(ISNUMBER(E28),逐级计算!$X$5&gt;-1),IF(逐级计算!$X$5=0,E28+逐级计算!$C$5,E28+逐级计算!$C$5-(10/(逐级计算!$Q$5*LN(10))*(MAX((LN(10^(逐级计算!$Q$5/10)-1)+逐级计算!$Q$5*(E28-逐级计算!$P$5)*LN(10)/10),0)+LN(1+EXP(-ABS((LN(10^(逐级计算!$Q$5/10)-1)+逐级计算!$Q$5*(E28-逐级计算!$P$5)*LN(10)/10))))))),"")</f>
        <v>13.7930542536294</v>
      </c>
      <c r="G28">
        <f>IF(AND(ISNUMBER(F28),逐级计算!$X$6&gt;-1),IF(逐级计算!$X$6=0,F28+逐级计算!$C$6,F28+逐级计算!$C$6-(10/(逐级计算!$Q$6*LN(10))*(MAX((LN(10^(逐级计算!$Q$6/10)-1)+逐级计算!$Q$6*(F28-逐级计算!$P$6)*LN(10)/10),0)+LN(1+EXP(-ABS((LN(10^(逐级计算!$Q$6/10)-1)+逐级计算!$Q$6*(F28-逐级计算!$P$6)*LN(10)/10))))))),"")</f>
        <v>13.7930542536294</v>
      </c>
      <c r="H28">
        <f>IF(AND(ISNUMBER(G28),逐级计算!$X$7&gt;-1),IF(逐级计算!$X$7=0,G28+逐级计算!$C$7,G28+逐级计算!$C$7-(10/(逐级计算!$Q$7*LN(10))*(MAX((LN(10^(逐级计算!$Q$7/10)-1)+逐级计算!$Q$7*(G28-逐级计算!$P$7)*LN(10)/10),0)+LN(1+EXP(-ABS((LN(10^(逐级计算!$Q$7/10)-1)+逐级计算!$Q$7*(G28-逐级计算!$P$7)*LN(10)/10))))))),"")</f>
        <v>13.7930542536294</v>
      </c>
      <c r="I28">
        <f>IF(AND(ISNUMBER(H28),逐级计算!$X$8&gt;-1),IF(逐级计算!$X$8=0,H28+逐级计算!$C$8,H28+逐级计算!$C$8-(10/(逐级计算!$Q$8*LN(10))*(MAX((LN(10^(逐级计算!$Q$8/10)-1)+逐级计算!$Q$8*(H28-逐级计算!$P$8)*LN(10)/10),0)+LN(1+EXP(-ABS((LN(10^(逐级计算!$Q$8/10)-1)+逐级计算!$Q$8*(H28-逐级计算!$P$8)*LN(10)/10))))))),"")</f>
        <v>13.7930542536294</v>
      </c>
      <c r="J28">
        <f>IF(AND(ISNUMBER(I28),逐级计算!$X$9&gt;-1),IF(逐级计算!$X$9=0,I28+逐级计算!$C$9,I28+逐级计算!$C$9-(10/(逐级计算!$Q$9*LN(10))*(MAX((LN(10^(逐级计算!$Q$9/10)-1)+逐级计算!$Q$9*(I28-逐级计算!$P$9)*LN(10)/10),0)+LN(1+EXP(-ABS((LN(10^(逐级计算!$Q$9/10)-1)+逐级计算!$Q$9*(I28-逐级计算!$P$9)*LN(10)/10))))))),"")</f>
        <v>13.7930542536294</v>
      </c>
      <c r="K28">
        <f>IF(AND(ISNUMBER(J28),逐级计算!$X$10&gt;-1),IF(逐级计算!$X$10=0,J28+逐级计算!$C$10,J28+逐级计算!$C$10-(10/(逐级计算!$Q$10*LN(10))*(MAX((LN(10^(逐级计算!$Q$10/10)-1)+逐级计算!$Q$10*(J28-逐级计算!$P$10)*LN(10)/10),0)+LN(1+EXP(-ABS((LN(10^(逐级计算!$Q$10/10)-1)+逐级计算!$Q$10*(J28-逐级计算!$P$10)*LN(10)/10))))))),"")</f>
        <v>13.7930542536294</v>
      </c>
      <c r="L28">
        <f>IF(AND(ISNUMBER(K28),逐级计算!$X$11&gt;-1),IF(逐级计算!$X$11=0,K28+逐级计算!$C$11,K28+逐级计算!$C$11-(10/(逐级计算!$Q$11*LN(10))*(MAX((LN(10^(逐级计算!$Q$11/10)-1)+逐级计算!$Q$11*(K28-逐级计算!$P$11)*LN(10)/10),0)+LN(1+EXP(-ABS((LN(10^(逐级计算!$Q$11/10)-1)+逐级计算!$Q$11*(K28-逐级计算!$P$11)*LN(10)/10))))))),"")</f>
        <v>13.7930542536294</v>
      </c>
      <c r="M28">
        <f>IF(AND(ISNUMBER(L28),逐级计算!$X$12&gt;-1),IF(逐级计算!$X$12=0,L28+逐级计算!$C$12,L28+逐级计算!$C$12-(10/(逐级计算!$Q$12*LN(10))*(MAX((LN(10^(逐级计算!$Q$12/10)-1)+逐级计算!$Q$12*(L28-逐级计算!$P$12)*LN(10)/10),0)+LN(1+EXP(-ABS((LN(10^(逐级计算!$Q$12/10)-1)+逐级计算!$Q$12*(L28-逐级计算!$P$12)*LN(10)/10))))))),"")</f>
        <v>13.7930542536294</v>
      </c>
      <c r="N28">
        <f>IF(AND(ISNUMBER(M28),逐级计算!$X$13&gt;-1),IF(逐级计算!$X$13=0,M28+逐级计算!$C$13,M28+逐级计算!$C$13-(10/(逐级计算!$Q$13*LN(10))*(MAX((LN(10^(逐级计算!$Q$13/10)-1)+逐级计算!$Q$13*(M28-逐级计算!$P$13)*LN(10)/10),0)+LN(1+EXP(-ABS((LN(10^(逐级计算!$Q$13/10)-1)+逐级计算!$Q$13*(M28-逐级计算!$P$13)*LN(10)/10))))))),"")</f>
        <v>13.7930542536294</v>
      </c>
      <c r="O28">
        <f>IF(AND(ISNUMBER(N28),逐级计算!$X$14&gt;-1),IF(逐级计算!$X$14=0,N28+逐级计算!$C$14,N28+逐级计算!$C$14-(10/(逐级计算!$Q$14*LN(10))*(MAX((LN(10^(逐级计算!$Q$14/10)-1)+逐级计算!$Q$14*(N28-逐级计算!$P$14)*LN(10)/10),0)+LN(1+EXP(-ABS((LN(10^(逐级计算!$Q$14/10)-1)+逐级计算!$Q$14*(N28-逐级计算!$P$14)*LN(10)/10))))))),"")</f>
        <v>13.7930542536294</v>
      </c>
      <c r="P28">
        <f>IF(AND(ISNUMBER(O28),逐级计算!$X$15&gt;-1),IF(逐级计算!$X$15=0,O28+逐级计算!$C$15,O28+逐级计算!$C$15-(10/(逐级计算!$Q$15*LN(10))*(MAX((LN(10^(逐级计算!$Q$15/10)-1)+逐级计算!$Q$15*(O28-逐级计算!$P$15)*LN(10)/10),0)+LN(1+EXP(-ABS((LN(10^(逐级计算!$Q$15/10)-1)+逐级计算!$Q$15*(O28-逐级计算!$P$15)*LN(10)/10))))))),"")</f>
        <v>13.7930542536294</v>
      </c>
      <c r="Q28">
        <f>IF(AND(ISNUMBER(P28),逐级计算!$X$16&gt;-1),IF(逐级计算!$X$16=0,P28+逐级计算!$C$16,P28+逐级计算!$C$16-(10/(逐级计算!$Q$16*LN(10))*(MAX((LN(10^(逐级计算!$Q$16/10)-1)+逐级计算!$Q$16*(P28-逐级计算!$P$16)*LN(10)/10),0)+LN(1+EXP(-ABS((LN(10^(逐级计算!$Q$16/10)-1)+逐级计算!$Q$16*(P28-逐级计算!$P$16)*LN(10)/10))))))),"")</f>
        <v>13.7930542536294</v>
      </c>
      <c r="R28">
        <f>IF(AND(ISNUMBER(Q28),逐级计算!$X$17&gt;-1),IF(逐级计算!$X$17=0,Q28+逐级计算!$C$17,Q28+逐级计算!$C$17-(10/(逐级计算!$Q$17*LN(10))*(MAX((LN(10^(逐级计算!$Q$17/10)-1)+逐级计算!$Q$17*(Q28-逐级计算!$P$17)*LN(10)/10),0)+LN(1+EXP(-ABS((LN(10^(逐级计算!$Q$17/10)-1)+逐级计算!$Q$17*(Q28-逐级计算!$P$17)*LN(10)/10))))))),"")</f>
        <v>13.7930542536294</v>
      </c>
      <c r="S28">
        <f>IF(AND(ISNUMBER(R28),逐级计算!$X$18&gt;-1),IF(逐级计算!$X$18=0,R28+逐级计算!$C$18,R28+逐级计算!$C$18-(10/(逐级计算!$Q$18*LN(10))*(MAX((LN(10^(逐级计算!$Q$18/10)-1)+逐级计算!$Q$18*(R28-逐级计算!$P$18)*LN(10)/10),0)+LN(1+EXP(-ABS((LN(10^(逐级计算!$Q$18/10)-1)+逐级计算!$Q$18*(R28-逐级计算!$P$18)*LN(10)/10))))))),"")</f>
        <v>13.7930542536294</v>
      </c>
      <c r="T28">
        <f>IF(AND(ISNUMBER(S28),逐级计算!$X$19&gt;-1),IF(逐级计算!$X$19=0,S28+逐级计算!$C$19,S28+逐级计算!$C$19-(10/(逐级计算!$Q$19*LN(10))*(MAX((LN(10^(逐级计算!$Q$19/10)-1)+逐级计算!$Q$19*(S28-逐级计算!$P$19)*LN(10)/10),0)+LN(1+EXP(-ABS((LN(10^(逐级计算!$Q$19/10)-1)+逐级计算!$Q$19*(S28-逐级计算!$P$19)*LN(10)/10))))))),"")</f>
        <v>13.7930542536294</v>
      </c>
      <c r="U28">
        <f>IF(AND(ISNUMBER(T28),逐级计算!$X$20&gt;-1),IF(逐级计算!$X$20=0,T28+逐级计算!$C$20,T28+逐级计算!$C$20-(10/(逐级计算!$Q$20*LN(10))*(MAX((LN(10^(逐级计算!$Q$20/10)-1)+逐级计算!$Q$20*(T28-逐级计算!$P$20)*LN(10)/10),0)+LN(1+EXP(-ABS((LN(10^(逐级计算!$Q$20/10)-1)+逐级计算!$Q$20*(T28-逐级计算!$P$20)*LN(10)/10))))))),"")</f>
        <v>13.7930542536294</v>
      </c>
      <c r="V28">
        <f>IF(AND(ISNUMBER(U28),逐级计算!$X$21&gt;-1),IF(逐级计算!$X$21=0,U28+逐级计算!$C$21,U28+逐级计算!$C$21-(10/(逐级计算!$Q$21*LN(10))*(MAX((LN(10^(逐级计算!$Q$21/10)-1)+逐级计算!$Q$21*(U28-逐级计算!$P$21)*LN(10)/10),0)+LN(1+EXP(-ABS((LN(10^(逐级计算!$Q$21/10)-1)+逐级计算!$Q$21*(U28-逐级计算!$P$21)*LN(10)/10))))))),"")</f>
        <v>13.7930542536294</v>
      </c>
      <c r="W28">
        <f>IF(AND(ISNUMBER(V28),逐级计算!$X$22&gt;-1),IF(逐级计算!$X$22=0,V28+逐级计算!$C$22,V28+逐级计算!$C$22-(10/(逐级计算!$Q$22*LN(10))*(MAX((LN(10^(逐级计算!$Q$22/10)-1)+逐级计算!$Q$22*(V28-逐级计算!$P$22)*LN(10)/10),0)+LN(1+EXP(-ABS((LN(10^(逐级计算!$Q$22/10)-1)+逐级计算!$Q$22*(V28-逐级计算!$P$22)*LN(10)/10))))))),"")</f>
        <v>13.7930542536294</v>
      </c>
      <c r="X28">
        <f>IF(AND(ISNUMBER(W28),逐级计算!$X$23&gt;-1),IF(逐级计算!$X$23=0,W28+逐级计算!$C$23,W28+逐级计算!$C$23-(10/(逐级计算!$Q$23*LN(10))*(MAX((LN(10^(逐级计算!$Q$23/10)-1)+逐级计算!$Q$23*(W28-逐级计算!$P$23)*LN(10)/10),0)+LN(1+EXP(-ABS((LN(10^(逐级计算!$Q$23/10)-1)+逐级计算!$Q$23*(W28-逐级计算!$P$23)*LN(10)/10))))))),"")</f>
        <v>13.7930542536294</v>
      </c>
      <c r="Y28">
        <f>IF(AND(ISNUMBER(X28),逐级计算!$X$24&gt;-1),IF(逐级计算!$X$24=0,X28+逐级计算!$C$24,X28+逐级计算!$C$24-(10/(逐级计算!$Q$24*LN(10))*(MAX((LN(10^(逐级计算!$Q$24/10)-1)+逐级计算!$Q$24*(X28-逐级计算!$P$24)*LN(10)/10),0)+LN(1+EXP(-ABS((LN(10^(逐级计算!$Q$24/10)-1)+逐级计算!$Q$24*(X28-逐级计算!$P$24)*LN(10)/10))))))),"")</f>
        <v>13.7930542536294</v>
      </c>
      <c r="Z28">
        <f>IF(AND(ISNUMBER(Y28),逐级计算!$X$25&gt;-1),IF(逐级计算!$X$25=0,Y28+逐级计算!$C$25,Y28+逐级计算!$C$25-(10/(逐级计算!$Q$25*LN(10))*(MAX((LN(10^(逐级计算!$Q$25/10)-1)+逐级计算!$Q$25*(Y28-逐级计算!$P$25)*LN(10)/10),0)+LN(1+EXP(-ABS((LN(10^(逐级计算!$Q$25/10)-1)+逐级计算!$Q$25*(Y28-逐级计算!$P$25)*LN(10)/10))))))),"")</f>
        <v>13.7930542536294</v>
      </c>
      <c r="AA28">
        <f>IF(AND(ISNUMBER(Z28),逐级计算!$X$26&gt;-1),IF(逐级计算!$X$26=0,Z28+逐级计算!$C$26,Z28+逐级计算!$C$26-(10/(逐级计算!$Q$26*LN(10))*(MAX((LN(10^(逐级计算!$Q$26/10)-1)+逐级计算!$Q$26*(Z28-逐级计算!$P$26)*LN(10)/10),0)+LN(1+EXP(-ABS((LN(10^(逐级计算!$Q$26/10)-1)+逐级计算!$Q$26*(Z28-逐级计算!$P$26)*LN(10)/10))))))),"")</f>
        <v>13.7930542536294</v>
      </c>
      <c r="AB28">
        <f>IF(AND(ISNUMBER(AA28),逐级计算!$X$27&gt;-1),IF(逐级计算!$X$27=0,AA28+逐级计算!$C$27,AA28+逐级计算!$C$27-(10/(逐级计算!$Q$27*LN(10))*(MAX((LN(10^(逐级计算!$Q$27/10)-1)+逐级计算!$Q$27*(AA28-逐级计算!$P$27)*LN(10)/10),0)+LN(1+EXP(-ABS((LN(10^(逐级计算!$Q$27/10)-1)+逐级计算!$Q$27*(AA28-逐级计算!$P$27)*LN(10)/10))))))),"")</f>
        <v>13.7930542536294</v>
      </c>
      <c r="AC28">
        <f>IF(AND(ISNUMBER(AB28),逐级计算!$X$28&gt;-1),IF(逐级计算!$X$28=0,AB28+逐级计算!$C$28,AB28+逐级计算!$C$28-(10/(逐级计算!$Q$28*LN(10))*(MAX((LN(10^(逐级计算!$Q$28/10)-1)+逐级计算!$Q$28*(AB28-逐级计算!$P$28)*LN(10)/10),0)+LN(1+EXP(-ABS((LN(10^(逐级计算!$Q$28/10)-1)+逐级计算!$Q$28*(AB28-逐级计算!$P$28)*LN(10)/10))))))),"")</f>
        <v>13.7930542536294</v>
      </c>
      <c r="AD28">
        <f>IF(AND(ISNUMBER(AC28),逐级计算!$X$29&gt;-1),IF(逐级计算!$X$29=0,AC28+逐级计算!$C$29,AC28+逐级计算!$C$29-(10/(逐级计算!$Q$29*LN(10))*(MAX((LN(10^(逐级计算!$Q$29/10)-1)+逐级计算!$Q$29*(AC28-逐级计算!$P$29)*LN(10)/10),0)+LN(1+EXP(-ABS((LN(10^(逐级计算!$Q$29/10)-1)+逐级计算!$Q$29*(AC28-逐级计算!$P$29)*LN(10)/10))))))),"")</f>
        <v>13.7930542536294</v>
      </c>
      <c r="AE28">
        <f>IF(AND(ISNUMBER(AD28),逐级计算!$X$30&gt;-1),IF(逐级计算!$X$30=0,AD28+逐级计算!$C$30,AD28+逐级计算!$C$30-(10/(逐级计算!$Q$30*LN(10))*(MAX((LN(10^(逐级计算!$Q$30/10)-1)+逐级计算!$Q$30*(AD28-逐级计算!$P$30)*LN(10)/10),0)+LN(1+EXP(-ABS((LN(10^(逐级计算!$Q$30/10)-1)+逐级计算!$Q$30*(AD28-逐级计算!$P$30)*LN(10)/10))))))),"")</f>
        <v>13.7930542536294</v>
      </c>
      <c r="AF28">
        <f>IF(AND(ISNUMBER(AE28),逐级计算!$X$31&gt;-1),IF(逐级计算!$X$31=0,AE28+逐级计算!$C$31,AE28+逐级计算!$C$31-(10/(逐级计算!$Q$31*LN(10))*(MAX((LN(10^(逐级计算!$Q$31/10)-1)+逐级计算!$Q$31*(AE28-逐级计算!$P$31)*LN(10)/10),0)+LN(1+EXP(-ABS((LN(10^(逐级计算!$Q$31/10)-1)+逐级计算!$Q$31*(AE28-逐级计算!$P$31)*LN(10)/10))))))),"")</f>
        <v>13.7930542536294</v>
      </c>
      <c r="AG28">
        <f>IF(AND(ISNUMBER(AF28),逐级计算!$X$32&gt;-1),IF(逐级计算!$X$32=0,AF28+逐级计算!$C$32,AF28+逐级计算!$C$32-(10/(逐级计算!$Q$32*LN(10))*(MAX((LN(10^(逐级计算!$Q$32/10)-1)+逐级计算!$Q$32*(AF28-逐级计算!$P$32)*LN(10)/10),0)+LN(1+EXP(-ABS((LN(10^(逐级计算!$Q$32/10)-1)+逐级计算!$Q$32*(AF28-逐级计算!$P$32)*LN(10)/10))))))),"")</f>
        <v>13.7930542536294</v>
      </c>
      <c r="AH28">
        <f>IF(AND(ISNUMBER(AG28),逐级计算!$X$33&gt;-1),IF(逐级计算!$X$33=0,AG28+逐级计算!$C$33,AG28+逐级计算!$C$33-(10/(逐级计算!$Q$33*LN(10))*(MAX((LN(10^(逐级计算!$Q$33/10)-1)+逐级计算!$Q$33*(AG28-逐级计算!$P$33)*LN(10)/10),0)+LN(1+EXP(-ABS((LN(10^(逐级计算!$Q$33/10)-1)+逐级计算!$Q$33*(AG28-逐级计算!$P$33)*LN(10)/10))))))),"")</f>
        <v>13.7930542536294</v>
      </c>
      <c r="AI28">
        <f>IF(AND(ISNUMBER(AH28),逐级计算!$X$34&gt;-1),IF(逐级计算!$X$34=0,AH28+逐级计算!$C$34,AH28+逐级计算!$C$34-(10/(逐级计算!$Q$34*LN(10))*(MAX((LN(10^(逐级计算!$Q$34/10)-1)+逐级计算!$Q$34*(AH28-逐级计算!$P$34)*LN(10)/10),0)+LN(1+EXP(-ABS((LN(10^(逐级计算!$Q$34/10)-1)+逐级计算!$Q$34*(AH28-逐级计算!$P$34)*LN(10)/10))))))),"")</f>
        <v>13.7930542536294</v>
      </c>
      <c r="AJ28">
        <f>IF(AND(ISNUMBER(AI28),逐级计算!$X$35&gt;-1),IF(逐级计算!$X$35=0,AI28+逐级计算!$C$35,AI28+逐级计算!$C$35-(10/(逐级计算!$Q$35*LN(10))*(MAX((LN(10^(逐级计算!$Q$35/10)-1)+逐级计算!$Q$35*(AI28-逐级计算!$P$35)*LN(10)/10),0)+LN(1+EXP(-ABS((LN(10^(逐级计算!$Q$35/10)-1)+逐级计算!$Q$35*(AI28-逐级计算!$P$35)*LN(10)/10))))))),"")</f>
        <v>13.7930542536294</v>
      </c>
      <c r="AK28">
        <f>IF(AND(ISNUMBER(AJ28),逐级计算!$X$36&gt;-1),IF(逐级计算!$X$36=0,AJ28+逐级计算!$C$36,AJ28+逐级计算!$C$36-(10/(逐级计算!$Q$36*LN(10))*(MAX((LN(10^(逐级计算!$Q$36/10)-1)+逐级计算!$Q$36*(AJ28-逐级计算!$P$36)*LN(10)/10),0)+LN(1+EXP(-ABS((LN(10^(逐级计算!$Q$36/10)-1)+逐级计算!$Q$36*(AJ28-逐级计算!$P$36)*LN(10)/10))))))),"")</f>
        <v>13.7930542536294</v>
      </c>
      <c r="AL28">
        <f>IF(AND(ISNUMBER(AK28),逐级计算!$X$37&gt;-1),IF(逐级计算!$X$37=0,AK28+逐级计算!$C$37,AK28+逐级计算!$C$37-(10/(逐级计算!$Q$37*LN(10))*(MAX((LN(10^(逐级计算!$Q$37/10)-1)+逐级计算!$Q$37*(AK28-逐级计算!$P$37)*LN(10)/10),0)+LN(1+EXP(-ABS((LN(10^(逐级计算!$Q$37/10)-1)+逐级计算!$Q$37*(AK28-逐级计算!$P$37)*LN(10)/10))))))),"")</f>
        <v>13.7930542536294</v>
      </c>
      <c r="AM28">
        <f>IF(AND(ISNUMBER(AL28),逐级计算!$X$38&gt;-1),IF(逐级计算!$X$38=0,AL28+逐级计算!$C$38,AL28+逐级计算!$C$38-(10/(逐级计算!$Q$38*LN(10))*(MAX((LN(10^(逐级计算!$Q$38/10)-1)+逐级计算!$Q$38*(AL28-逐级计算!$P$38)*LN(10)/10),0)+LN(1+EXP(-ABS((LN(10^(逐级计算!$Q$38/10)-1)+逐级计算!$Q$38*(AL28-逐级计算!$P$38)*LN(10)/10))))))),"")</f>
        <v>13.7930542536294</v>
      </c>
      <c r="AN28">
        <f>IF(AND(ISNUMBER(AM28),逐级计算!$X$39&gt;-1),IF(逐级计算!$X$39=0,AM28+逐级计算!$C$39,AM28+逐级计算!$C$39-(10/(逐级计算!$Q$39*LN(10))*(MAX((LN(10^(逐级计算!$Q$39/10)-1)+逐级计算!$Q$39*(AM28-逐级计算!$P$39)*LN(10)/10),0)+LN(1+EXP(-ABS((LN(10^(逐级计算!$Q$39/10)-1)+逐级计算!$Q$39*(AM28-逐级计算!$P$39)*LN(10)/10))))))),"")</f>
        <v>13.7930542536294</v>
      </c>
      <c r="AO28">
        <f>IF(AND(ISNUMBER(AN28),逐级计算!$X$40&gt;-1),IF(逐级计算!$X$40=0,AN28+逐级计算!$C$40,AN28+逐级计算!$C$40-(10/(逐级计算!$Q$40*LN(10))*(MAX((LN(10^(逐级计算!$Q$40/10)-1)+逐级计算!$Q$40*(AN28-逐级计算!$P$40)*LN(10)/10),0)+LN(1+EXP(-ABS((LN(10^(逐级计算!$Q$40/10)-1)+逐级计算!$Q$40*(AN28-逐级计算!$P$40)*LN(10)/10))))))),"")</f>
        <v>13.7930542536294</v>
      </c>
      <c r="AP28">
        <f>IF(AND(ISNUMBER(AO28),逐级计算!$X$41&gt;-1),IF(逐级计算!$X$41=0,AO28+逐级计算!$C$41,AO28+逐级计算!$C$41-(10/(逐级计算!$Q$41*LN(10))*(MAX((LN(10^(逐级计算!$Q$41/10)-1)+逐级计算!$Q$41*(AO28-逐级计算!$P$41)*LN(10)/10),0)+LN(1+EXP(-ABS((LN(10^(逐级计算!$Q$41/10)-1)+逐级计算!$Q$41*(AO28-逐级计算!$P$41)*LN(10)/10))))))),"")</f>
        <v>13.7930542536294</v>
      </c>
      <c r="AQ28">
        <f>IF(AND(ISNUMBER(AP28),逐级计算!$X$42&gt;-1),IF(逐级计算!$X$42=0,AP28+逐级计算!$C$42,AP28+逐级计算!$C$42-(10/(逐级计算!$Q$42*LN(10))*(MAX((LN(10^(逐级计算!$Q$42/10)-1)+逐级计算!$Q$42*(AP28-逐级计算!$P$42)*LN(10)/10),0)+LN(1+EXP(-ABS((LN(10^(逐级计算!$Q$42/10)-1)+逐级计算!$Q$42*(AP28-逐级计算!$P$42)*LN(10)/10))))))),"")</f>
        <v>13.7930542536294</v>
      </c>
      <c r="AR28">
        <f>IF(AND(ISNUMBER(AQ28),逐级计算!$X$43&gt;-1),IF(逐级计算!$X$43=0,AQ28+逐级计算!$C$43,AQ28+逐级计算!$C$43-(10/(逐级计算!$Q$43*LN(10))*(MAX((LN(10^(逐级计算!$Q$43/10)-1)+逐级计算!$Q$43*(AQ28-逐级计算!$P$43)*LN(10)/10),0)+LN(1+EXP(-ABS((LN(10^(逐级计算!$Q$43/10)-1)+逐级计算!$Q$43*(AQ28-逐级计算!$P$43)*LN(10)/10))))))),"")</f>
        <v>13.7930542536294</v>
      </c>
      <c r="AS28">
        <f>IF(AND(ISNUMBER(AR28),逐级计算!$X$44&gt;-1),IF(逐级计算!$X$44=0,AR28+逐级计算!$C$44,AR28+逐级计算!$C$44-(10/(逐级计算!$Q$44*LN(10))*(MAX((LN(10^(逐级计算!$Q$44/10)-1)+逐级计算!$Q$44*(AR28-逐级计算!$P$44)*LN(10)/10),0)+LN(1+EXP(-ABS((LN(10^(逐级计算!$Q$44/10)-1)+逐级计算!$Q$44*(AR28-逐级计算!$P$44)*LN(10)/10))))))),"")</f>
        <v>13.7930542536294</v>
      </c>
      <c r="AT28">
        <f>IF(AND(ISNUMBER(AS28),逐级计算!$X$45&gt;-1),IF(逐级计算!$X$45=0,AS28+逐级计算!$C$45,AS28+逐级计算!$C$45-(10/(逐级计算!$Q$45*LN(10))*(MAX((LN(10^(逐级计算!$Q$45/10)-1)+逐级计算!$Q$45*(AS28-逐级计算!$P$45)*LN(10)/10),0)+LN(1+EXP(-ABS((LN(10^(逐级计算!$Q$45/10)-1)+逐级计算!$Q$45*(AS28-逐级计算!$P$45)*LN(10)/10))))))),"")</f>
        <v>13.7930542536294</v>
      </c>
      <c r="AU28">
        <f>IF(AND(ISNUMBER(AT28),逐级计算!$X$46&gt;-1),IF(逐级计算!$X$46=0,AT28+逐级计算!$C$46,AT28+逐级计算!$C$46-(10/(逐级计算!$Q$46*LN(10))*(MAX((LN(10^(逐级计算!$Q$46/10)-1)+逐级计算!$Q$46*(AT28-逐级计算!$P$46)*LN(10)/10),0)+LN(1+EXP(-ABS((LN(10^(逐级计算!$Q$46/10)-1)+逐级计算!$Q$46*(AT28-逐级计算!$P$46)*LN(10)/10))))))),"")</f>
        <v>13.7930542536294</v>
      </c>
      <c r="AV28">
        <f>IF(AND(ISNUMBER(AU28),逐级计算!$X$47&gt;-1),IF(逐级计算!$X$47=0,AU28+逐级计算!$C$47,AU28+逐级计算!$C$47-(10/(逐级计算!$Q$47*LN(10))*(MAX((LN(10^(逐级计算!$Q$47/10)-1)+逐级计算!$Q$47*(AU28-逐级计算!$P$47)*LN(10)/10),0)+LN(1+EXP(-ABS((LN(10^(逐级计算!$Q$47/10)-1)+逐级计算!$Q$47*(AU28-逐级计算!$P$47)*LN(10)/10))))))),"")</f>
        <v>13.7930542536294</v>
      </c>
      <c r="AW28">
        <f>IF(AND(ISNUMBER(AV28),逐级计算!$X$48&gt;-1),IF(逐级计算!$X$48=0,AV28+逐级计算!$C$48,AV28+逐级计算!$C$48-(10/(逐级计算!$Q$48*LN(10))*(MAX((LN(10^(逐级计算!$Q$48/10)-1)+逐级计算!$Q$48*(AV28-逐级计算!$P$48)*LN(10)/10),0)+LN(1+EXP(-ABS((LN(10^(逐级计算!$Q$48/10)-1)+逐级计算!$Q$48*(AV28-逐级计算!$P$48)*LN(10)/10))))))),"")</f>
        <v>13.7930542536294</v>
      </c>
      <c r="AX28">
        <f>IF(AND(ISNUMBER(AW28),逐级计算!$X$49&gt;-1),IF(逐级计算!$X$49=0,AW28+逐级计算!$C$49,AW28+逐级计算!$C$49-(10/(逐级计算!$Q$49*LN(10))*(MAX((LN(10^(逐级计算!$Q$49/10)-1)+逐级计算!$Q$49*(AW28-逐级计算!$P$49)*LN(10)/10),0)+LN(1+EXP(-ABS((LN(10^(逐级计算!$Q$49/10)-1)+逐级计算!$Q$49*(AW28-逐级计算!$P$49)*LN(10)/10))))))),"")</f>
        <v>13.7930542536294</v>
      </c>
      <c r="AY28">
        <f>IF(AND(ISNUMBER(AX28),逐级计算!$X$50&gt;-1),IF(逐级计算!$X$50=0,AX28+逐级计算!$C$50,AX28+逐级计算!$C$50-(10/(逐级计算!$Q$50*LN(10))*(MAX((LN(10^(逐级计算!$Q$50/10)-1)+逐级计算!$Q$50*(AX28-逐级计算!$P$50)*LN(10)/10),0)+LN(1+EXP(-ABS((LN(10^(逐级计算!$Q$50/10)-1)+逐级计算!$Q$50*(AX28-逐级计算!$P$50)*LN(10)/10))))))),"")</f>
        <v>13.7930542536294</v>
      </c>
      <c r="AZ28">
        <f>IF(AND(ISNUMBER(AY28),逐级计算!$X$51&gt;-1),IF(逐级计算!$X$51=0,AY28+逐级计算!$C$51,AY28+逐级计算!$C$51-(10/(逐级计算!$Q$51*LN(10))*(MAX((LN(10^(逐级计算!$Q$51/10)-1)+逐级计算!$Q$51*(AY28-逐级计算!$P$51)*LN(10)/10),0)+LN(1+EXP(-ABS((LN(10^(逐级计算!$Q$51/10)-1)+逐级计算!$Q$51*(AY28-逐级计算!$P$51)*LN(10)/10))))))),"")</f>
        <v>13.7930542536294</v>
      </c>
      <c r="BA28">
        <f>IF(AND(ISNUMBER(AZ28),逐级计算!$X$52&gt;-1),IF(逐级计算!$X$52=0,AZ28+逐级计算!$C$52,AZ28+逐级计算!$C$52-(10/(逐级计算!$Q$52*LN(10))*(MAX((LN(10^(逐级计算!$Q$52/10)-1)+逐级计算!$Q$52*(AZ28-逐级计算!$P$52)*LN(10)/10),0)+LN(1+EXP(-ABS((LN(10^(逐级计算!$Q$52/10)-1)+逐级计算!$Q$52*(AZ28-逐级计算!$P$52)*LN(10)/10))))))),"")</f>
        <v>13.7930542536294</v>
      </c>
      <c r="BB28">
        <f>IF(AND(ISNUMBER(BA28),逐级计算!$X$53&gt;-1),IF(逐级计算!$X$53=0,BA28+逐级计算!$C$53,BA28+逐级计算!$C$53-(10/(逐级计算!$Q$53*LN(10))*(MAX((LN(10^(逐级计算!$Q$53/10)-1)+逐级计算!$Q$53*(BA28-逐级计算!$P$53)*LN(10)/10),0)+LN(1+EXP(-ABS((LN(10^(逐级计算!$Q$53/10)-1)+逐级计算!$Q$53*(BA28-逐级计算!$P$53)*LN(10)/10))))))),"")</f>
        <v>13.7930542536294</v>
      </c>
      <c r="BC28">
        <f>IF(AND(ISNUMBER(BB28),逐级计算!$X$54&gt;-1),IF(逐级计算!$X$54=0,BB28+逐级计算!$C$54,BB28+逐级计算!$C$54-(10/(逐级计算!$Q$54*LN(10))*(MAX((LN(10^(逐级计算!$Q$54/10)-1)+逐级计算!$Q$54*(BB28-逐级计算!$P$54)*LN(10)/10),0)+LN(1+EXP(-ABS((LN(10^(逐级计算!$Q$54/10)-1)+逐级计算!$Q$54*(BB28-逐级计算!$P$54)*LN(10)/10))))))),"")</f>
        <v>13.7930542536294</v>
      </c>
      <c r="BD28">
        <f>IF(AND(ISNUMBER(BC28),逐级计算!$X$55&gt;-1),IF(逐级计算!$X$55=0,BC28+逐级计算!$C$55,BC28+逐级计算!$C$55-(10/(逐级计算!$Q$55*LN(10))*(MAX((LN(10^(逐级计算!$Q$55/10)-1)+逐级计算!$Q$55*(BC28-逐级计算!$P$55)*LN(10)/10),0)+LN(1+EXP(-ABS((LN(10^(逐级计算!$Q$55/10)-1)+逐级计算!$Q$55*(BC28-逐级计算!$P$55)*LN(10)/10))))))),"")</f>
        <v>13.7930542536294</v>
      </c>
      <c r="BE28">
        <f>IF(AND(ISNUMBER(BD28),逐级计算!$X$56&gt;-1),IF(逐级计算!$X$56=0,BD28+逐级计算!$C$56,BD28+逐级计算!$C$56-(10/(逐级计算!$Q$56*LN(10))*(MAX((LN(10^(逐级计算!$Q$56/10)-1)+逐级计算!$Q$56*(BD28-逐级计算!$P$56)*LN(10)/10),0)+LN(1+EXP(-ABS((LN(10^(逐级计算!$Q$56/10)-1)+逐级计算!$Q$56*(BD28-逐级计算!$P$56)*LN(10)/10))))))),"")</f>
        <v>13.7930542536294</v>
      </c>
      <c r="BF28">
        <f>IF(AND(ISNUMBER(BE28),逐级计算!$X$57&gt;-1),IF(逐级计算!$X$57=0,BE28+逐级计算!$C$57,BE28+逐级计算!$C$57-(10/(逐级计算!$Q$57*LN(10))*(MAX((LN(10^(逐级计算!$Q$57/10)-1)+逐级计算!$Q$57*(BE28-逐级计算!$P$57)*LN(10)/10),0)+LN(1+EXP(-ABS((LN(10^(逐级计算!$Q$57/10)-1)+逐级计算!$Q$57*(BE28-逐级计算!$P$57)*LN(10)/10))))))),"")</f>
        <v>13.7930542536294</v>
      </c>
      <c r="BG28">
        <f>IF(AND(ISNUMBER(BF28),逐级计算!$X$58&gt;-1),IF(逐级计算!$X$58=0,BF28+逐级计算!$C$58,BF28+逐级计算!$C$58-(10/(逐级计算!$Q$58*LN(10))*(MAX((LN(10^(逐级计算!$Q$58/10)-1)+逐级计算!$Q$58*(BF28-逐级计算!$P$58)*LN(10)/10),0)+LN(1+EXP(-ABS((LN(10^(逐级计算!$Q$58/10)-1)+逐级计算!$Q$58*(BF28-逐级计算!$P$58)*LN(10)/10))))))),"")</f>
        <v>13.7930542536294</v>
      </c>
      <c r="BH28">
        <f>IF(AND(ISNUMBER(BG28),逐级计算!$X$59&gt;-1),IF(逐级计算!$X$59=0,BG28+逐级计算!$C$59,BG28+逐级计算!$C$59-(10/(逐级计算!$Q$59*LN(10))*(MAX((LN(10^(逐级计算!$Q$59/10)-1)+逐级计算!$Q$59*(BG28-逐级计算!$P$59)*LN(10)/10),0)+LN(1+EXP(-ABS((LN(10^(逐级计算!$Q$59/10)-1)+逐级计算!$Q$59*(BG28-逐级计算!$P$59)*LN(10)/10))))))),"")</f>
        <v>13.7930542536294</v>
      </c>
      <c r="BI28">
        <f>IF(AND(ISNUMBER(BH28),逐级计算!$X$60&gt;-1),IF(逐级计算!$X$60=0,BH28+逐级计算!$C$60,BH28+逐级计算!$C$60-(10/(逐级计算!$Q$60*LN(10))*(MAX((LN(10^(逐级计算!$Q$60/10)-1)+逐级计算!$Q$60*(BH28-逐级计算!$P$60)*LN(10)/10),0)+LN(1+EXP(-ABS((LN(10^(逐级计算!$Q$60/10)-1)+逐级计算!$Q$60*(BH28-逐级计算!$P$60)*LN(10)/10))))))),"")</f>
        <v>13.7930542536294</v>
      </c>
      <c r="BJ28">
        <f>IF(AND(ISNUMBER(BI28),逐级计算!$X$61&gt;-1),IF(逐级计算!$X$61=0,BI28+逐级计算!$C$61,BI28+逐级计算!$C$61-(10/(逐级计算!$Q$61*LN(10))*(MAX((LN(10^(逐级计算!$Q$61/10)-1)+逐级计算!$Q$61*(BI28-逐级计算!$P$61)*LN(10)/10),0)+LN(1+EXP(-ABS((LN(10^(逐级计算!$Q$61/10)-1)+逐级计算!$Q$61*(BI28-逐级计算!$P$61)*LN(10)/10))))))),"")</f>
        <v>13.7930542536294</v>
      </c>
      <c r="BK28">
        <f>IF(AND(ISNUMBER(BJ28),逐级计算!$X$62&gt;-1),IF(逐级计算!$X$62=0,BJ28+逐级计算!$C$62,BJ28+逐级计算!$C$62-(10/(逐级计算!$Q$62*LN(10))*(MAX((LN(10^(逐级计算!$Q$62/10)-1)+逐级计算!$Q$62*(BJ28-逐级计算!$P$62)*LN(10)/10),0)+LN(1+EXP(-ABS((LN(10^(逐级计算!$Q$62/10)-1)+逐级计算!$Q$62*(BJ28-逐级计算!$P$62)*LN(10)/10))))))),"")</f>
        <v>13.7930542536294</v>
      </c>
      <c r="BL28">
        <f>IF(AND(ISNUMBER(BK28),逐级计算!$X$63&gt;-1),IF(逐级计算!$X$63=0,BK28+逐级计算!$C$63,BK28+逐级计算!$C$63-(10/(逐级计算!$Q$63*LN(10))*(MAX((LN(10^(逐级计算!$Q$63/10)-1)+逐级计算!$Q$63*(BK28-逐级计算!$P$63)*LN(10)/10),0)+LN(1+EXP(-ABS((LN(10^(逐级计算!$Q$63/10)-1)+逐级计算!$Q$63*(BK28-逐级计算!$P$63)*LN(10)/10))))))),"")</f>
        <v>13.7930542536294</v>
      </c>
      <c r="BM28">
        <f>IF(AND(ISNUMBER(BL28),逐级计算!$X$64&gt;-1),IF(逐级计算!$X$64=0,BL28+逐级计算!$C$64,BL28+逐级计算!$C$64-(10/(逐级计算!$Q$64*LN(10))*(MAX((LN(10^(逐级计算!$Q$64/10)-1)+逐级计算!$Q$64*(BL28-逐级计算!$P$64)*LN(10)/10),0)+LN(1+EXP(-ABS((LN(10^(逐级计算!$Q$64/10)-1)+逐级计算!$Q$64*(BL28-逐级计算!$P$64)*LN(10)/10))))))),"")</f>
        <v>13.7930542536294</v>
      </c>
      <c r="BN28">
        <f>IF(AND(ISNUMBER(BM28),逐级计算!$X$65&gt;-1),IF(逐级计算!$X$65=0,BM28+逐级计算!$C$65,BM28+逐级计算!$C$65-(10/(逐级计算!$Q$65*LN(10))*(MAX((LN(10^(逐级计算!$Q$65/10)-1)+逐级计算!$Q$65*(BM28-逐级计算!$P$65)*LN(10)/10),0)+LN(1+EXP(-ABS((LN(10^(逐级计算!$Q$65/10)-1)+逐级计算!$Q$65*(BM28-逐级计算!$P$65)*LN(10)/10))))))),"")</f>
        <v>13.7930542536294</v>
      </c>
      <c r="BO28">
        <f>IF(AND(ISNUMBER(BN28),逐级计算!$X$66&gt;-1),IF(逐级计算!$X$66=0,BN28+逐级计算!$C$66,BN28+逐级计算!$C$66-(10/(逐级计算!$Q$66*LN(10))*(MAX((LN(10^(逐级计算!$Q$66/10)-1)+逐级计算!$Q$66*(BN28-逐级计算!$P$66)*LN(10)/10),0)+LN(1+EXP(-ABS((LN(10^(逐级计算!$Q$66/10)-1)+逐级计算!$Q$66*(BN28-逐级计算!$P$66)*LN(10)/10))))))),"")</f>
        <v>13.7930542536294</v>
      </c>
      <c r="BP28">
        <f>IF(AND(ISNUMBER(BO28),逐级计算!$X$67&gt;-1),IF(逐级计算!$X$67=0,BO28+逐级计算!$C$67,BO28+逐级计算!$C$67-(10/(逐级计算!$Q$67*LN(10))*(MAX((LN(10^(逐级计算!$Q$67/10)-1)+逐级计算!$Q$67*(BO28-逐级计算!$P$67)*LN(10)/10),0)+LN(1+EXP(-ABS((LN(10^(逐级计算!$Q$67/10)-1)+逐级计算!$Q$67*(BO28-逐级计算!$P$67)*LN(10)/10))))))),"")</f>
        <v>13.7930542536294</v>
      </c>
      <c r="BQ28">
        <f>IF(AND(ISNUMBER(BP28),逐级计算!$X$68&gt;-1),IF(逐级计算!$X$68=0,BP28+逐级计算!$C$68,BP28+逐级计算!$C$68-(10/(逐级计算!$Q$68*LN(10))*(MAX((LN(10^(逐级计算!$Q$68/10)-1)+逐级计算!$Q$68*(BP28-逐级计算!$P$68)*LN(10)/10),0)+LN(1+EXP(-ABS((LN(10^(逐级计算!$Q$68/10)-1)+逐级计算!$Q$68*(BP28-逐级计算!$P$68)*LN(10)/10))))))),"")</f>
        <v>13.7930542536294</v>
      </c>
      <c r="BR28">
        <f>IF(AND(ISNUMBER(BQ28),逐级计算!$X$69&gt;-1),IF(逐级计算!$X$69=0,BQ28+逐级计算!$C$69,BQ28+逐级计算!$C$69-(10/(逐级计算!$Q$69*LN(10))*(MAX((LN(10^(逐级计算!$Q$69/10)-1)+逐级计算!$Q$69*(BQ28-逐级计算!$P$69)*LN(10)/10),0)+LN(1+EXP(-ABS((LN(10^(逐级计算!$Q$69/10)-1)+逐级计算!$Q$69*(BQ28-逐级计算!$P$69)*LN(10)/10))))))),"")</f>
        <v>13.7930542536294</v>
      </c>
      <c r="BS28">
        <f>IF(AND(ISNUMBER(BR28),逐级计算!$X$70&gt;-1),IF(逐级计算!$X$70=0,BR28+逐级计算!$C$70,BR28+逐级计算!$C$70-(10/(逐级计算!$Q$70*LN(10))*(MAX((LN(10^(逐级计算!$Q$70/10)-1)+逐级计算!$Q$70*(BR28-逐级计算!$P$70)*LN(10)/10),0)+LN(1+EXP(-ABS((LN(10^(逐级计算!$Q$70/10)-1)+逐级计算!$Q$70*(BR28-逐级计算!$P$70)*LN(10)/10))))))),"")</f>
        <v>13.7930542536294</v>
      </c>
      <c r="BT28">
        <f>IF(AND(ISNUMBER(BS28),逐级计算!$X$71&gt;-1),IF(逐级计算!$X$71=0,BS28+逐级计算!$C$71,BS28+逐级计算!$C$71-(10/(逐级计算!$Q$71*LN(10))*(MAX((LN(10^(逐级计算!$Q$71/10)-1)+逐级计算!$Q$71*(BS28-逐级计算!$P$71)*LN(10)/10),0)+LN(1+EXP(-ABS((LN(10^(逐级计算!$Q$71/10)-1)+逐级计算!$Q$71*(BS28-逐级计算!$P$71)*LN(10)/10))))))),"")</f>
        <v>13.7930542536294</v>
      </c>
      <c r="BU28">
        <f>IF(AND(ISNUMBER(BT28),逐级计算!$X$72&gt;-1),IF(逐级计算!$X$72=0,BT28+逐级计算!$C$72,BT28+逐级计算!$C$72-(10/(逐级计算!$Q$72*LN(10))*(MAX((LN(10^(逐级计算!$Q$72/10)-1)+逐级计算!$Q$72*(BT28-逐级计算!$P$72)*LN(10)/10),0)+LN(1+EXP(-ABS((LN(10^(逐级计算!$Q$72/10)-1)+逐级计算!$Q$72*(BT28-逐级计算!$P$72)*LN(10)/10))))))),"")</f>
        <v>13.7930542536294</v>
      </c>
      <c r="BV28">
        <f>IF(AND(ISNUMBER(BU28),逐级计算!$X$73&gt;-1),IF(逐级计算!$X$73=0,BU28+逐级计算!$C$73,BU28+逐级计算!$C$73-(10/(逐级计算!$Q$73*LN(10))*(MAX((LN(10^(逐级计算!$Q$73/10)-1)+逐级计算!$Q$73*(BU28-逐级计算!$P$73)*LN(10)/10),0)+LN(1+EXP(-ABS((LN(10^(逐级计算!$Q$73/10)-1)+逐级计算!$Q$73*(BU28-逐级计算!$P$73)*LN(10)/10))))))),"")</f>
        <v>13.7930542536294</v>
      </c>
      <c r="BW28">
        <f>IF(AND(ISNUMBER(BV28),逐级计算!$X$74&gt;-1),IF(逐级计算!$X$74=0,BV28+逐级计算!$C$74,BV28+逐级计算!$C$74-(10/(逐级计算!$Q$74*LN(10))*(MAX((LN(10^(逐级计算!$Q$74/10)-1)+逐级计算!$Q$74*(BV28-逐级计算!$P$74)*LN(10)/10),0)+LN(1+EXP(-ABS((LN(10^(逐级计算!$Q$74/10)-1)+逐级计算!$Q$74*(BV28-逐级计算!$P$74)*LN(10)/10))))))),"")</f>
        <v>13.7930542536294</v>
      </c>
      <c r="BX28">
        <f>IF(AND(ISNUMBER(BW28),逐级计算!$X$75&gt;-1),IF(逐级计算!$X$75=0,BW28+逐级计算!$C$75,BW28+逐级计算!$C$75-(10/(逐级计算!$Q$75*LN(10))*(MAX((LN(10^(逐级计算!$Q$75/10)-1)+逐级计算!$Q$75*(BW28-逐级计算!$P$75)*LN(10)/10),0)+LN(1+EXP(-ABS((LN(10^(逐级计算!$Q$75/10)-1)+逐级计算!$Q$75*(BW28-逐级计算!$P$75)*LN(10)/10))))))),"")</f>
        <v>13.7930542536294</v>
      </c>
      <c r="BY28">
        <f>IF(AND(ISNUMBER(BX28),逐级计算!$X$76&gt;-1),IF(逐级计算!$X$76=0,BX28+逐级计算!$C$76,BX28+逐级计算!$C$76-(10/(逐级计算!$Q$76*LN(10))*(MAX((LN(10^(逐级计算!$Q$76/10)-1)+逐级计算!$Q$76*(BX28-逐级计算!$P$76)*LN(10)/10),0)+LN(1+EXP(-ABS((LN(10^(逐级计算!$Q$76/10)-1)+逐级计算!$Q$76*(BX28-逐级计算!$P$76)*LN(10)/10))))))),"")</f>
        <v>13.7930542536294</v>
      </c>
      <c r="BZ28">
        <f>IF(AND(ISNUMBER(BY28),逐级计算!$X$77&gt;-1),IF(逐级计算!$X$77=0,BY28+逐级计算!$C$77,BY28+逐级计算!$C$77-(10/(逐级计算!$Q$77*LN(10))*(MAX((LN(10^(逐级计算!$Q$77/10)-1)+逐级计算!$Q$77*(BY28-逐级计算!$P$77)*LN(10)/10),0)+LN(1+EXP(-ABS((LN(10^(逐级计算!$Q$77/10)-1)+逐级计算!$Q$77*(BY28-逐级计算!$P$77)*LN(10)/10))))))),"")</f>
        <v>13.7930542536294</v>
      </c>
      <c r="CA28">
        <f>IF(AND(ISNUMBER(BZ28),逐级计算!$X$78&gt;-1),IF(逐级计算!$X$78=0,BZ28+逐级计算!$C$78,BZ28+逐级计算!$C$78-(10/(逐级计算!$Q$78*LN(10))*(MAX((LN(10^(逐级计算!$Q$78/10)-1)+逐级计算!$Q$78*(BZ28-逐级计算!$P$78)*LN(10)/10),0)+LN(1+EXP(-ABS((LN(10^(逐级计算!$Q$78/10)-1)+逐级计算!$Q$78*(BZ28-逐级计算!$P$78)*LN(10)/10))))))),"")</f>
        <v>13.7930542536294</v>
      </c>
      <c r="CB28">
        <f>IF(AND(ISNUMBER(CA28),逐级计算!$X$79&gt;-1),IF(逐级计算!$X$79=0,CA28+逐级计算!$C$79,CA28+逐级计算!$C$79-(10/(逐级计算!$Q$79*LN(10))*(MAX((LN(10^(逐级计算!$Q$79/10)-1)+逐级计算!$Q$79*(CA28-逐级计算!$P$79)*LN(10)/10),0)+LN(1+EXP(-ABS((LN(10^(逐级计算!$Q$79/10)-1)+逐级计算!$Q$79*(CA28-逐级计算!$P$79)*LN(10)/10))))))),"")</f>
        <v>13.7930542536294</v>
      </c>
      <c r="CC28">
        <f>IF(AND(ISNUMBER(CB28),逐级计算!$X$80&gt;-1),IF(逐级计算!$X$80=0,CB28+逐级计算!$C$80,CB28+逐级计算!$C$80-(10/(逐级计算!$Q$80*LN(10))*(MAX((LN(10^(逐级计算!$Q$80/10)-1)+逐级计算!$Q$80*(CB28-逐级计算!$P$80)*LN(10)/10),0)+LN(1+EXP(-ABS((LN(10^(逐级计算!$Q$80/10)-1)+逐级计算!$Q$80*(CB28-逐级计算!$P$80)*LN(10)/10))))))),"")</f>
        <v>13.7930542536294</v>
      </c>
      <c r="CD28">
        <f>IF(AND(ISNUMBER(CC28),逐级计算!$X$81&gt;-1),IF(逐级计算!$X$81=0,CC28+逐级计算!$C$81,CC28+逐级计算!$C$81-(10/(逐级计算!$Q$81*LN(10))*(MAX((LN(10^(逐级计算!$Q$81/10)-1)+逐级计算!$Q$81*(CC28-逐级计算!$P$81)*LN(10)/10),0)+LN(1+EXP(-ABS((LN(10^(逐级计算!$Q$81/10)-1)+逐级计算!$Q$81*(CC28-逐级计算!$P$81)*LN(10)/10))))))),"")</f>
        <v>13.7930542536294</v>
      </c>
      <c r="CE28">
        <f>IF(AND(ISNUMBER(CD28),逐级计算!$X$82&gt;-1),IF(逐级计算!$X$82=0,CD28+逐级计算!$C$82,CD28+逐级计算!$C$82-(10/(逐级计算!$Q$82*LN(10))*(MAX((LN(10^(逐级计算!$Q$82/10)-1)+逐级计算!$Q$82*(CD28-逐级计算!$P$82)*LN(10)/10),0)+LN(1+EXP(-ABS((LN(10^(逐级计算!$Q$82/10)-1)+逐级计算!$Q$82*(CD28-逐级计算!$P$82)*LN(10)/10))))))),"")</f>
        <v>13.7930542536294</v>
      </c>
      <c r="CF28">
        <f>IF(AND(ISNUMBER(CE28),逐级计算!$X$83&gt;-1),IF(逐级计算!$X$83=0,CE28+逐级计算!$C$83,CE28+逐级计算!$C$83-(10/(逐级计算!$Q$83*LN(10))*(MAX((LN(10^(逐级计算!$Q$83/10)-1)+逐级计算!$Q$83*(CE28-逐级计算!$P$83)*LN(10)/10),0)+LN(1+EXP(-ABS((LN(10^(逐级计算!$Q$83/10)-1)+逐级计算!$Q$83*(CE28-逐级计算!$P$83)*LN(10)/10))))))),"")</f>
        <v>13.7930542536294</v>
      </c>
      <c r="CG28">
        <f>IF(AND(ISNUMBER(CF28),逐级计算!$X$84&gt;-1),IF(逐级计算!$X$84=0,CF28+逐级计算!$C$84,CF28+逐级计算!$C$84-(10/(逐级计算!$Q$84*LN(10))*(MAX((LN(10^(逐级计算!$Q$84/10)-1)+逐级计算!$Q$84*(CF28-逐级计算!$P$84)*LN(10)/10),0)+LN(1+EXP(-ABS((LN(10^(逐级计算!$Q$84/10)-1)+逐级计算!$Q$84*(CF28-逐级计算!$P$84)*LN(10)/10))))))),"")</f>
        <v>13.7930542536294</v>
      </c>
      <c r="CH28">
        <f>IF(AND(ISNUMBER(CG28),逐级计算!$X$85&gt;-1),IF(逐级计算!$X$85=0,CG28+逐级计算!$C$85,CG28+逐级计算!$C$85-(10/(逐级计算!$Q$85*LN(10))*(MAX((LN(10^(逐级计算!$Q$85/10)-1)+逐级计算!$Q$85*(CG28-逐级计算!$P$85)*LN(10)/10),0)+LN(1+EXP(-ABS((LN(10^(逐级计算!$Q$85/10)-1)+逐级计算!$Q$85*(CG28-逐级计算!$P$85)*LN(10)/10))))))),"")</f>
        <v>13.7930542536294</v>
      </c>
      <c r="CI28">
        <f>IF(AND(ISNUMBER(CH28),逐级计算!$X$86&gt;-1),IF(逐级计算!$X$86=0,CH28+逐级计算!$C$86,CH28+逐级计算!$C$86-(10/(逐级计算!$Q$86*LN(10))*(MAX((LN(10^(逐级计算!$Q$86/10)-1)+逐级计算!$Q$86*(CH28-逐级计算!$P$86)*LN(10)/10),0)+LN(1+EXP(-ABS((LN(10^(逐级计算!$Q$86/10)-1)+逐级计算!$Q$86*(CH28-逐级计算!$P$86)*LN(10)/10))))))),"")</f>
        <v>13.7930542536294</v>
      </c>
      <c r="CJ28">
        <f>IF(AND(ISNUMBER(CI28),逐级计算!$X$87&gt;-1),IF(逐级计算!$X$87=0,CI28+逐级计算!$C$87,CI28+逐级计算!$C$87-(10/(逐级计算!$Q$87*LN(10))*(MAX((LN(10^(逐级计算!$Q$87/10)-1)+逐级计算!$Q$87*(CI28-逐级计算!$P$87)*LN(10)/10),0)+LN(1+EXP(-ABS((LN(10^(逐级计算!$Q$87/10)-1)+逐级计算!$Q$87*(CI28-逐级计算!$P$87)*LN(10)/10))))))),"")</f>
        <v>13.7930542536294</v>
      </c>
      <c r="CK28">
        <f>IF(AND(ISNUMBER(CJ28),逐级计算!$X$88&gt;-1),IF(逐级计算!$X$88=0,CJ28+逐级计算!$C$88,CJ28+逐级计算!$C$88-(10/(逐级计算!$Q$88*LN(10))*(MAX((LN(10^(逐级计算!$Q$88/10)-1)+逐级计算!$Q$88*(CJ28-逐级计算!$P$88)*LN(10)/10),0)+LN(1+EXP(-ABS((LN(10^(逐级计算!$Q$88/10)-1)+逐级计算!$Q$88*(CJ28-逐级计算!$P$88)*LN(10)/10))))))),"")</f>
        <v>13.7930542536294</v>
      </c>
      <c r="CL28">
        <f>IF(AND(ISNUMBER(CK28),逐级计算!$X$89&gt;-1),IF(逐级计算!$X$89=0,CK28+逐级计算!$C$89,CK28+逐级计算!$C$89-(10/(逐级计算!$Q$89*LN(10))*(MAX((LN(10^(逐级计算!$Q$89/10)-1)+逐级计算!$Q$89*(CK28-逐级计算!$P$89)*LN(10)/10),0)+LN(1+EXP(-ABS((LN(10^(逐级计算!$Q$89/10)-1)+逐级计算!$Q$89*(CK28-逐级计算!$P$89)*LN(10)/10))))))),"")</f>
        <v>13.7930542536294</v>
      </c>
      <c r="CM28">
        <f>IF(AND(ISNUMBER(CL28),逐级计算!$X$90&gt;-1),IF(逐级计算!$X$90=0,CL28+逐级计算!$C$90,CL28+逐级计算!$C$90-(10/(逐级计算!$Q$90*LN(10))*(MAX((LN(10^(逐级计算!$Q$90/10)-1)+逐级计算!$Q$90*(CL28-逐级计算!$P$90)*LN(10)/10),0)+LN(1+EXP(-ABS((LN(10^(逐级计算!$Q$90/10)-1)+逐级计算!$Q$90*(CL28-逐级计算!$P$90)*LN(10)/10))))))),"")</f>
        <v>13.7930542536294</v>
      </c>
      <c r="CN28">
        <f>IF(AND(ISNUMBER(CM28),逐级计算!$X$91&gt;-1),IF(逐级计算!$X$91=0,CM28+逐级计算!$C$91,CM28+逐级计算!$C$91-(10/(逐级计算!$Q$91*LN(10))*(MAX((LN(10^(逐级计算!$Q$91/10)-1)+逐级计算!$Q$91*(CM28-逐级计算!$P$91)*LN(10)/10),0)+LN(1+EXP(-ABS((LN(10^(逐级计算!$Q$91/10)-1)+逐级计算!$Q$91*(CM28-逐级计算!$P$91)*LN(10)/10))))))),"")</f>
        <v>13.7930542536294</v>
      </c>
      <c r="CO28">
        <f>IF(AND(ISNUMBER(CN28),逐级计算!$X$92&gt;-1),IF(逐级计算!$X$92=0,CN28+逐级计算!$C$92,CN28+逐级计算!$C$92-(10/(逐级计算!$Q$92*LN(10))*(MAX((LN(10^(逐级计算!$Q$92/10)-1)+逐级计算!$Q$92*(CN28-逐级计算!$P$92)*LN(10)/10),0)+LN(1+EXP(-ABS((LN(10^(逐级计算!$Q$92/10)-1)+逐级计算!$Q$92*(CN28-逐级计算!$P$92)*LN(10)/10))))))),"")</f>
        <v>13.7930542536294</v>
      </c>
      <c r="CP28">
        <f>IF(AND(ISNUMBER(CO28),逐级计算!$X$93&gt;-1),IF(逐级计算!$X$93=0,CO28+逐级计算!$C$93,CO28+逐级计算!$C$93-(10/(逐级计算!$Q$93*LN(10))*(MAX((LN(10^(逐级计算!$Q$93/10)-1)+逐级计算!$Q$93*(CO28-逐级计算!$P$93)*LN(10)/10),0)+LN(1+EXP(-ABS((LN(10^(逐级计算!$Q$93/10)-1)+逐级计算!$Q$93*(CO28-逐级计算!$P$93)*LN(10)/10))))))),"")</f>
        <v>13.7930542536294</v>
      </c>
      <c r="CQ28">
        <f>IF(AND(ISNUMBER(CP28),逐级计算!$X$94&gt;-1),IF(逐级计算!$X$94=0,CP28+逐级计算!$C$94,CP28+逐级计算!$C$94-(10/(逐级计算!$Q$94*LN(10))*(MAX((LN(10^(逐级计算!$Q$94/10)-1)+逐级计算!$Q$94*(CP28-逐级计算!$P$94)*LN(10)/10),0)+LN(1+EXP(-ABS((LN(10^(逐级计算!$Q$94/10)-1)+逐级计算!$Q$94*(CP28-逐级计算!$P$94)*LN(10)/10))))))),"")</f>
        <v>13.7930542536294</v>
      </c>
      <c r="CR28">
        <f>IF(AND(ISNUMBER(CQ28),逐级计算!$X$95&gt;-1),IF(逐级计算!$X$95=0,CQ28+逐级计算!$C$95,CQ28+逐级计算!$C$95-(10/(逐级计算!$Q$95*LN(10))*(MAX((LN(10^(逐级计算!$Q$95/10)-1)+逐级计算!$Q$95*(CQ28-逐级计算!$P$95)*LN(10)/10),0)+LN(1+EXP(-ABS((LN(10^(逐级计算!$Q$95/10)-1)+逐级计算!$Q$95*(CQ28-逐级计算!$P$95)*LN(10)/10))))))),"")</f>
        <v>13.7930542536294</v>
      </c>
      <c r="CS28">
        <f>IF(AND(ISNUMBER(CR28),逐级计算!$X$96&gt;-1),IF(逐级计算!$X$96=0,CR28+逐级计算!$C$96,CR28+逐级计算!$C$96-(10/(逐级计算!$Q$96*LN(10))*(MAX((LN(10^(逐级计算!$Q$96/10)-1)+逐级计算!$Q$96*(CR28-逐级计算!$P$96)*LN(10)/10),0)+LN(1+EXP(-ABS((LN(10^(逐级计算!$Q$96/10)-1)+逐级计算!$Q$96*(CR28-逐级计算!$P$96)*LN(10)/10))))))),"")</f>
        <v>13.7930542536294</v>
      </c>
      <c r="CT28">
        <f>IF(AND(ISNUMBER(CS28),逐级计算!$X$97&gt;-1),IF(逐级计算!$X$97=0,CS28+逐级计算!$C$97,CS28+逐级计算!$C$97-(10/(逐级计算!$Q$97*LN(10))*(MAX((LN(10^(逐级计算!$Q$97/10)-1)+逐级计算!$Q$97*(CS28-逐级计算!$P$97)*LN(10)/10),0)+LN(1+EXP(-ABS((LN(10^(逐级计算!$Q$97/10)-1)+逐级计算!$Q$97*(CS28-逐级计算!$P$97)*LN(10)/10))))))),"")</f>
        <v>13.7930542536294</v>
      </c>
      <c r="CU28">
        <f>IF(AND(ISNUMBER(CT28),逐级计算!$X$98&gt;-1),IF(逐级计算!$X$98=0,CT28+逐级计算!$C$98,CT28+逐级计算!$C$98-(10/(逐级计算!$Q$98*LN(10))*(MAX((LN(10^(逐级计算!$Q$98/10)-1)+逐级计算!$Q$98*(CT28-逐级计算!$P$98)*LN(10)/10),0)+LN(1+EXP(-ABS((LN(10^(逐级计算!$Q$98/10)-1)+逐级计算!$Q$98*(CT28-逐级计算!$P$98)*LN(10)/10))))))),"")</f>
        <v>13.7930542536294</v>
      </c>
      <c r="CV28">
        <f>IF(AND(ISNUMBER(CU28),逐级计算!$X$99&gt;-1),IF(逐级计算!$X$99=0,CU28+逐级计算!$C$99,CU28+逐级计算!$C$99-(10/(逐级计算!$Q$99*LN(10))*(MAX((LN(10^(逐级计算!$Q$99/10)-1)+逐级计算!$Q$99*(CU28-逐级计算!$P$99)*LN(10)/10),0)+LN(1+EXP(-ABS((LN(10^(逐级计算!$Q$99/10)-1)+逐级计算!$Q$99*(CU28-逐级计算!$P$99)*LN(10)/10))))))),"")</f>
        <v>13.7930542536294</v>
      </c>
      <c r="CW28">
        <f>IF(AND(ISNUMBER(CV28),逐级计算!$X$100&gt;-1),IF(逐级计算!$X$100=0,CV28+逐级计算!$C$100,CV28+逐级计算!$C$100-(10/(逐级计算!$Q$100*LN(10))*(MAX((LN(10^(逐级计算!$Q$100/10)-1)+逐级计算!$Q$100*(CV28-逐级计算!$P$100)*LN(10)/10),0)+LN(1+EXP(-ABS((LN(10^(逐级计算!$Q$100/10)-1)+逐级计算!$Q$100*(CV28-逐级计算!$P$100)*LN(10)/10))))))),"")</f>
        <v>13.7930542536294</v>
      </c>
      <c r="CX28">
        <f>IF(AND(ISNUMBER(CW28),逐级计算!$X$101&gt;-1),IF(逐级计算!$X$101=0,CW28+逐级计算!$C$101,CW28+逐级计算!$C$101-(10/(逐级计算!$Q$101*LN(10))*(MAX((LN(10^(逐级计算!$Q$101/10)-1)+逐级计算!$Q$101*(CW28-逐级计算!$P$101)*LN(10)/10),0)+LN(1+EXP(-ABS((LN(10^(逐级计算!$Q$101/10)-1)+逐级计算!$Q$101*(CW28-逐级计算!$P$101)*LN(10)/10))))))),"")</f>
        <v>13.7930542536294</v>
      </c>
      <c r="CY28">
        <f>IF(AND(ISNUMBER(CX28),逐级计算!$X$102&gt;-1),IF(逐级计算!$X$102=0,CX28+逐级计算!$C$102,CX28+逐级计算!$C$102-(10/(逐级计算!$Q$102*LN(10))*(MAX((LN(10^(逐级计算!$Q$102/10)-1)+逐级计算!$Q$102*(CX28-逐级计算!$P$102)*LN(10)/10),0)+LN(1+EXP(-ABS((LN(10^(逐级计算!$Q$102/10)-1)+逐级计算!$Q$102*(CX28-逐级计算!$P$102)*LN(10)/10))))))),"")</f>
        <v>13.7930542536294</v>
      </c>
      <c r="CZ28">
        <f>IF(AND(ISNUMBER(CY28),逐级计算!$X$103&gt;-1),IF(逐级计算!$X$103=0,CY28+逐级计算!$C$103,CY28+逐级计算!$C$103-(10/(逐级计算!$Q$103*LN(10))*(MAX((LN(10^(逐级计算!$Q$103/10)-1)+逐级计算!$Q$103*(CY28-逐级计算!$P$103)*LN(10)/10),0)+LN(1+EXP(-ABS((LN(10^(逐级计算!$Q$103/10)-1)+逐级计算!$Q$103*(CY28-逐级计算!$P$103)*LN(10)/10))))))),"")</f>
        <v>13.7930542536294</v>
      </c>
      <c r="DA28">
        <f>IF(AND(ISNUMBER(CZ28),逐级计算!$X$104&gt;-1),IF(逐级计算!$X$104=0,CZ28+逐级计算!$C$104,CZ28+逐级计算!$C$104-(10/(逐级计算!$Q$104*LN(10))*(MAX((LN(10^(逐级计算!$Q$104/10)-1)+逐级计算!$Q$104*(CZ28-逐级计算!$P$104)*LN(10)/10),0)+LN(1+EXP(-ABS((LN(10^(逐级计算!$Q$104/10)-1)+逐级计算!$Q$104*(CZ28-逐级计算!$P$104)*LN(10)/10))))))),"")</f>
        <v>13.7930542536294</v>
      </c>
      <c r="DB28">
        <f>IF(AND(ISNUMBER(DA28),逐级计算!$X$105&gt;-1),IF(逐级计算!$X$105=0,DA28+逐级计算!$C$105,DA28+逐级计算!$C$105-(10/(逐级计算!$Q$105*LN(10))*(MAX((LN(10^(逐级计算!$Q$105/10)-1)+逐级计算!$Q$105*(DA28-逐级计算!$P$105)*LN(10)/10),0)+LN(1+EXP(-ABS((LN(10^(逐级计算!$Q$105/10)-1)+逐级计算!$Q$105*(DA28-逐级计算!$P$105)*LN(10)/10))))))),"")</f>
        <v>13.7930542536294</v>
      </c>
      <c r="DC28">
        <f>IF(AND(ISNUMBER(DB28),逐级计算!$X$106&gt;-1),IF(逐级计算!$X$106=0,DB28+逐级计算!$C$106,DB28+逐级计算!$C$106-(10/(逐级计算!$Q$106*LN(10))*(MAX((LN(10^(逐级计算!$Q$106/10)-1)+逐级计算!$Q$106*(DB28-逐级计算!$P$106)*LN(10)/10),0)+LN(1+EXP(-ABS((LN(10^(逐级计算!$Q$106/10)-1)+逐级计算!$Q$106*(DB28-逐级计算!$P$106)*LN(10)/10))))))),"")</f>
        <v>13.7930542536294</v>
      </c>
      <c r="DD28">
        <f>IF(AND(ISNUMBER(DC28),逐级计算!$X$107&gt;-1),IF(逐级计算!$X$107=0,DC28+逐级计算!$C$107,DC28+逐级计算!$C$107-(10/(逐级计算!$Q$107*LN(10))*(MAX((LN(10^(逐级计算!$Q$107/10)-1)+逐级计算!$Q$107*(DC28-逐级计算!$P$107)*LN(10)/10),0)+LN(1+EXP(-ABS((LN(10^(逐级计算!$Q$107/10)-1)+逐级计算!$Q$107*(DC28-逐级计算!$P$107)*LN(10)/10))))))),"")</f>
        <v>13.7930542536294</v>
      </c>
      <c r="DE28">
        <f>IF(AND(ISNUMBER(DD28),逐级计算!$X$108&gt;-1),IF(逐级计算!$X$108=0,DD28+逐级计算!$C$108,DD28+逐级计算!$C$108-(10/(逐级计算!$Q$108*LN(10))*(MAX((LN(10^(逐级计算!$Q$108/10)-1)+逐级计算!$Q$108*(DD28-逐级计算!$P$108)*LN(10)/10),0)+LN(1+EXP(-ABS((LN(10^(逐级计算!$Q$108/10)-1)+逐级计算!$Q$108*(DD28-逐级计算!$P$108)*LN(10)/10))))))),"")</f>
        <v>13.7930542536294</v>
      </c>
      <c r="DF28">
        <f>IF(AND(ISNUMBER(DE28),逐级计算!$X$109&gt;-1),IF(逐级计算!$X$109=0,DE28+逐级计算!$C$109,DE28+逐级计算!$C$109-(10/(逐级计算!$Q$109*LN(10))*(MAX((LN(10^(逐级计算!$Q$109/10)-1)+逐级计算!$Q$109*(DE28-逐级计算!$P$109)*LN(10)/10),0)+LN(1+EXP(-ABS((LN(10^(逐级计算!$Q$109/10)-1)+逐级计算!$Q$109*(DE28-逐级计算!$P$109)*LN(10)/10))))))),"")</f>
        <v>13.7930542536294</v>
      </c>
      <c r="DG28">
        <f>IF(AND(ISNUMBER(DF28),逐级计算!$X$110&gt;-1),IF(逐级计算!$X$110=0,DF28+逐级计算!$C$110,DF28+逐级计算!$C$110-(10/(逐级计算!$Q$110*LN(10))*(MAX((LN(10^(逐级计算!$Q$110/10)-1)+逐级计算!$Q$110*(DF28-逐级计算!$P$110)*LN(10)/10),0)+LN(1+EXP(-ABS((LN(10^(逐级计算!$Q$110/10)-1)+逐级计算!$Q$110*(DF28-逐级计算!$P$110)*LN(10)/10))))))),"")</f>
        <v>13.7930542536294</v>
      </c>
      <c r="DH28">
        <f>IF(AND(ISNUMBER(DG28),逐级计算!$X$111&gt;-1),IF(逐级计算!$X$111=0,DG28+逐级计算!$C$111,DG28+逐级计算!$C$111-(10/(逐级计算!$Q$111*LN(10))*(MAX((LN(10^(逐级计算!$Q$111/10)-1)+逐级计算!$Q$111*(DG28-逐级计算!$P$111)*LN(10)/10),0)+LN(1+EXP(-ABS((LN(10^(逐级计算!$Q$111/10)-1)+逐级计算!$Q$111*(DG28-逐级计算!$P$111)*LN(10)/10))))))),"")</f>
        <v>13.7930542536294</v>
      </c>
      <c r="DI28">
        <f>IF(AND(ISNUMBER(DH28),逐级计算!$X$112&gt;-1),IF(逐级计算!$X$112=0,DH28+逐级计算!$C$112,DH28+逐级计算!$C$112-(10/(逐级计算!$Q$112*LN(10))*(MAX((LN(10^(逐级计算!$Q$112/10)-1)+逐级计算!$Q$112*(DH28-逐级计算!$P$112)*LN(10)/10),0)+LN(1+EXP(-ABS((LN(10^(逐级计算!$Q$112/10)-1)+逐级计算!$Q$112*(DH28-逐级计算!$P$112)*LN(10)/10))))))),"")</f>
        <v>13.7930542536294</v>
      </c>
      <c r="DJ28">
        <f>IF(AND(ISNUMBER(DI28),逐级计算!$X$113&gt;-1),IF(逐级计算!$X$113=0,DI28+逐级计算!$C$113,DI28+逐级计算!$C$113-(10/(逐级计算!$Q$113*LN(10))*(MAX((LN(10^(逐级计算!$Q$113/10)-1)+逐级计算!$Q$113*(DI28-逐级计算!$P$113)*LN(10)/10),0)+LN(1+EXP(-ABS((LN(10^(逐级计算!$Q$113/10)-1)+逐级计算!$Q$113*(DI28-逐级计算!$P$113)*LN(10)/10))))))),"")</f>
        <v>13.7930542536294</v>
      </c>
      <c r="DK28">
        <f>IF(AND(ISNUMBER(DJ28),逐级计算!$X$114&gt;-1),IF(逐级计算!$X$114=0,DJ28+逐级计算!$C$114,DJ28+逐级计算!$C$114-(10/(逐级计算!$Q$114*LN(10))*(MAX((LN(10^(逐级计算!$Q$114/10)-1)+逐级计算!$Q$114*(DJ28-逐级计算!$P$114)*LN(10)/10),0)+LN(1+EXP(-ABS((LN(10^(逐级计算!$Q$114/10)-1)+逐级计算!$Q$114*(DJ28-逐级计算!$P$114)*LN(10)/10))))))),"")</f>
        <v>13.7930542536294</v>
      </c>
      <c r="DL28">
        <f>IF(AND(ISNUMBER(DK28),逐级计算!$X$115&gt;-1),IF(逐级计算!$X$115=0,DK28+逐级计算!$C$115,DK28+逐级计算!$C$115-(10/(逐级计算!$Q$115*LN(10))*(MAX((LN(10^(逐级计算!$Q$115/10)-1)+逐级计算!$Q$115*(DK28-逐级计算!$P$115)*LN(10)/10),0)+LN(1+EXP(-ABS((LN(10^(逐级计算!$Q$115/10)-1)+逐级计算!$Q$115*(DK28-逐级计算!$P$115)*LN(10)/10))))))),"")</f>
        <v>13.7930542536294</v>
      </c>
      <c r="DM28">
        <f>IF(AND(ISNUMBER(DL28),逐级计算!$X$116&gt;-1),IF(逐级计算!$X$116=0,DL28+逐级计算!$C$116,DL28+逐级计算!$C$116-(10/(逐级计算!$Q$116*LN(10))*(MAX((LN(10^(逐级计算!$Q$116/10)-1)+逐级计算!$Q$116*(DL28-逐级计算!$P$116)*LN(10)/10),0)+LN(1+EXP(-ABS((LN(10^(逐级计算!$Q$116/10)-1)+逐级计算!$Q$116*(DL28-逐级计算!$P$116)*LN(10)/10))))))),"")</f>
        <v>13.7930542536294</v>
      </c>
      <c r="DN28">
        <f>IF(AND(ISNUMBER(DM28),逐级计算!$X$117&gt;-1),IF(逐级计算!$X$117=0,DM28+逐级计算!$C$117,DM28+逐级计算!$C$117-(10/(逐级计算!$Q$117*LN(10))*(MAX((LN(10^(逐级计算!$Q$117/10)-1)+逐级计算!$Q$117*(DM28-逐级计算!$P$117)*LN(10)/10),0)+LN(1+EXP(-ABS((LN(10^(逐级计算!$Q$117/10)-1)+逐级计算!$Q$117*(DM28-逐级计算!$P$117)*LN(10)/10))))))),"")</f>
        <v>13.7930542536294</v>
      </c>
      <c r="DO28">
        <f>IF(AND(ISNUMBER(DN28),逐级计算!$X$118&gt;-1),IF(逐级计算!$X$118=0,DN28+逐级计算!$C$118,DN28+逐级计算!$C$118-(10/(逐级计算!$Q$118*LN(10))*(MAX((LN(10^(逐级计算!$Q$118/10)-1)+逐级计算!$Q$118*(DN28-逐级计算!$P$118)*LN(10)/10),0)+LN(1+EXP(-ABS((LN(10^(逐级计算!$Q$118/10)-1)+逐级计算!$Q$118*(DN28-逐级计算!$P$118)*LN(10)/10))))))),"")</f>
        <v>13.7930542536294</v>
      </c>
      <c r="DP28">
        <f>IF(AND(ISNUMBER(DO28),逐级计算!$X$119&gt;-1),IF(逐级计算!$X$119=0,DO28+逐级计算!$C$119,DO28+逐级计算!$C$119-(10/(逐级计算!$Q$119*LN(10))*(MAX((LN(10^(逐级计算!$Q$119/10)-1)+逐级计算!$Q$119*(DO28-逐级计算!$P$119)*LN(10)/10),0)+LN(1+EXP(-ABS((LN(10^(逐级计算!$Q$119/10)-1)+逐级计算!$Q$119*(DO28-逐级计算!$P$119)*LN(10)/10))))))),"")</f>
        <v>13.7930542536294</v>
      </c>
      <c r="DQ28">
        <f>IF(AND(ISNUMBER(DP28),逐级计算!$X$120&gt;-1),IF(逐级计算!$X$120=0,DP28+逐级计算!$C$120,DP28+逐级计算!$C$120-(10/(逐级计算!$Q$120*LN(10))*(MAX((LN(10^(逐级计算!$Q$120/10)-1)+逐级计算!$Q$120*(DP28-逐级计算!$P$120)*LN(10)/10),0)+LN(1+EXP(-ABS((LN(10^(逐级计算!$Q$120/10)-1)+逐级计算!$Q$120*(DP28-逐级计算!$P$120)*LN(10)/10))))))),"")</f>
        <v>13.7930542536294</v>
      </c>
      <c r="DR28">
        <f>IF(AND(ISNUMBER(DQ28),逐级计算!$X$121&gt;-1),IF(逐级计算!$X$121=0,DQ28+逐级计算!$C$121,DQ28+逐级计算!$C$121-(10/(逐级计算!$Q$121*LN(10))*(MAX((LN(10^(逐级计算!$Q$121/10)-1)+逐级计算!$Q$121*(DQ28-逐级计算!$P$121)*LN(10)/10),0)+LN(1+EXP(-ABS((LN(10^(逐级计算!$Q$121/10)-1)+逐级计算!$Q$121*(DQ28-逐级计算!$P$121)*LN(10)/10))))))),"")</f>
        <v>13.7930542536294</v>
      </c>
      <c r="DS28">
        <f>IF(AND(ISNUMBER(DR28),逐级计算!$X$122&gt;-1),IF(逐级计算!$X$122=0,DR28+逐级计算!$C$122,DR28+逐级计算!$C$122-(10/(逐级计算!$Q$122*LN(10))*(MAX((LN(10^(逐级计算!$Q$122/10)-1)+逐级计算!$Q$122*(DR28-逐级计算!$P$122)*LN(10)/10),0)+LN(1+EXP(-ABS((LN(10^(逐级计算!$Q$122/10)-1)+逐级计算!$Q$122*(DR28-逐级计算!$P$122)*LN(10)/10))))))),"")</f>
        <v>13.7930542536294</v>
      </c>
      <c r="DT28">
        <f>IF(AND(ISNUMBER(DS28),逐级计算!$X$123&gt;-1),IF(逐级计算!$X$123=0,DS28+逐级计算!$C$123,DS28+逐级计算!$C$123-(10/(逐级计算!$Q$123*LN(10))*(MAX((LN(10^(逐级计算!$Q$123/10)-1)+逐级计算!$Q$123*(DS28-逐级计算!$P$123)*LN(10)/10),0)+LN(1+EXP(-ABS((LN(10^(逐级计算!$Q$123/10)-1)+逐级计算!$Q$123*(DS28-逐级计算!$P$123)*LN(10)/10))))))),"")</f>
        <v>13.7930542536294</v>
      </c>
      <c r="DU28">
        <f>IF(AND(ISNUMBER(DT28),逐级计算!$X$124&gt;-1),IF(逐级计算!$X$124=0,DT28+逐级计算!$C$124,DT28+逐级计算!$C$124-(10/(逐级计算!$Q$124*LN(10))*(MAX((LN(10^(逐级计算!$Q$124/10)-1)+逐级计算!$Q$124*(DT28-逐级计算!$P$124)*LN(10)/10),0)+LN(1+EXP(-ABS((LN(10^(逐级计算!$Q$124/10)-1)+逐级计算!$Q$124*(DT28-逐级计算!$P$124)*LN(10)/10))))))),"")</f>
        <v>13.7930542536294</v>
      </c>
      <c r="DV28">
        <f>IF(AND(ISNUMBER(DU28),逐级计算!$X$125&gt;-1),IF(逐级计算!$X$125=0,DU28+逐级计算!$C$125,DU28+逐级计算!$C$125-(10/(逐级计算!$Q$125*LN(10))*(MAX((LN(10^(逐级计算!$Q$125/10)-1)+逐级计算!$Q$125*(DU28-逐级计算!$P$125)*LN(10)/10),0)+LN(1+EXP(-ABS((LN(10^(逐级计算!$Q$125/10)-1)+逐级计算!$Q$125*(DU28-逐级计算!$P$125)*LN(10)/10))))))),"")</f>
        <v>13.7930542536294</v>
      </c>
      <c r="DW28">
        <f>IF(AND(ISNUMBER(DV28),逐级计算!$X$126&gt;-1),IF(逐级计算!$X$126=0,DV28+逐级计算!$C$126,DV28+逐级计算!$C$126-(10/(逐级计算!$Q$126*LN(10))*(MAX((LN(10^(逐级计算!$Q$126/10)-1)+逐级计算!$Q$126*(DV28-逐级计算!$P$126)*LN(10)/10),0)+LN(1+EXP(-ABS((LN(10^(逐级计算!$Q$126/10)-1)+逐级计算!$Q$126*(DV28-逐级计算!$P$126)*LN(10)/10))))))),"")</f>
        <v>13.7930542536294</v>
      </c>
      <c r="DX28">
        <f>IF(AND(ISNUMBER(DW28),逐级计算!$X$127&gt;-1),IF(逐级计算!$X$127=0,DW28+逐级计算!$C$127,DW28+逐级计算!$C$127-(10/(逐级计算!$Q$127*LN(10))*(MAX((LN(10^(逐级计算!$Q$127/10)-1)+逐级计算!$Q$127*(DW28-逐级计算!$P$127)*LN(10)/10),0)+LN(1+EXP(-ABS((LN(10^(逐级计算!$Q$127/10)-1)+逐级计算!$Q$127*(DW28-逐级计算!$P$127)*LN(10)/10))))))),"")</f>
        <v>13.7930542536294</v>
      </c>
      <c r="DY28">
        <f>IF(AND(ISNUMBER(DX28),逐级计算!$X$128&gt;-1),IF(逐级计算!$X$128=0,DX28+逐级计算!$C$128,DX28+逐级计算!$C$128-(10/(逐级计算!$Q$128*LN(10))*(MAX((LN(10^(逐级计算!$Q$128/10)-1)+逐级计算!$Q$128*(DX28-逐级计算!$P$128)*LN(10)/10),0)+LN(1+EXP(-ABS((LN(10^(逐级计算!$Q$128/10)-1)+逐级计算!$Q$128*(DX28-逐级计算!$P$128)*LN(10)/10))))))),"")</f>
        <v>13.7930542536294</v>
      </c>
      <c r="DZ28">
        <f>IF(AND(ISNUMBER(DY28),逐级计算!$X$129&gt;-1),IF(逐级计算!$X$129=0,DY28+逐级计算!$C$129,DY28+逐级计算!$C$129-(10/(逐级计算!$Q$129*LN(10))*(MAX((LN(10^(逐级计算!$Q$129/10)-1)+逐级计算!$Q$129*(DY28-逐级计算!$P$129)*LN(10)/10),0)+LN(1+EXP(-ABS((LN(10^(逐级计算!$Q$129/10)-1)+逐级计算!$Q$129*(DY28-逐级计算!$P$129)*LN(10)/10))))))),"")</f>
        <v>13.7930542536294</v>
      </c>
      <c r="EA28">
        <f>IF(AND(ISNUMBER(DZ28),逐级计算!$X$130&gt;-1),IF(逐级计算!$X$130=0,DZ28+逐级计算!$C$130,DZ28+逐级计算!$C$130-(10/(逐级计算!$Q$130*LN(10))*(MAX((LN(10^(逐级计算!$Q$130/10)-1)+逐级计算!$Q$130*(DZ28-逐级计算!$P$130)*LN(10)/10),0)+LN(1+EXP(-ABS((LN(10^(逐级计算!$Q$130/10)-1)+逐级计算!$Q$130*(DZ28-逐级计算!$P$130)*LN(10)/10))))))),"")</f>
        <v>13.7930542536294</v>
      </c>
      <c r="EB28">
        <f>IF(AND(ISNUMBER(EA28),逐级计算!$X$131&gt;-1),IF(逐级计算!$X$131=0,EA28+逐级计算!$C$131,EA28+逐级计算!$C$131-(10/(逐级计算!$Q$131*LN(10))*(MAX((LN(10^(逐级计算!$Q$131/10)-1)+逐级计算!$Q$131*(EA28-逐级计算!$P$131)*LN(10)/10),0)+LN(1+EXP(-ABS((LN(10^(逐级计算!$Q$131/10)-1)+逐级计算!$Q$131*(EA28-逐级计算!$P$131)*LN(10)/10))))))),"")</f>
        <v>13.7930542536294</v>
      </c>
      <c r="EC28">
        <f>IF(AND(ISNUMBER(EB28),逐级计算!$X$132&gt;-1),IF(逐级计算!$X$132=0,EB28+逐级计算!$C$132,EB28+逐级计算!$C$132-(10/(逐级计算!$Q$132*LN(10))*(MAX((LN(10^(逐级计算!$Q$132/10)-1)+逐级计算!$Q$132*(EB28-逐级计算!$P$132)*LN(10)/10),0)+LN(1+EXP(-ABS((LN(10^(逐级计算!$Q$132/10)-1)+逐级计算!$Q$132*(EB28-逐级计算!$P$132)*LN(10)/10))))))),"")</f>
        <v>13.7930542536294</v>
      </c>
      <c r="ED28">
        <f>IF(AND(ISNUMBER(EC28),逐级计算!$X$133&gt;-1),IF(逐级计算!$X$133=0,EC28+逐级计算!$C$133,EC28+逐级计算!$C$133-(10/(逐级计算!$Q$133*LN(10))*(MAX((LN(10^(逐级计算!$Q$133/10)-1)+逐级计算!$Q$133*(EC28-逐级计算!$P$133)*LN(10)/10),0)+LN(1+EXP(-ABS((LN(10^(逐级计算!$Q$133/10)-1)+逐级计算!$Q$133*(EC28-逐级计算!$P$133)*LN(10)/10))))))),"")</f>
        <v>13.7930542536294</v>
      </c>
      <c r="EE28">
        <f>IF(AND(ISNUMBER(ED28),逐级计算!$X$134&gt;-1),IF(逐级计算!$X$134=0,ED28+逐级计算!$C$134,ED28+逐级计算!$C$134-(10/(逐级计算!$Q$134*LN(10))*(MAX((LN(10^(逐级计算!$Q$134/10)-1)+逐级计算!$Q$134*(ED28-逐级计算!$P$134)*LN(10)/10),0)+LN(1+EXP(-ABS((LN(10^(逐级计算!$Q$134/10)-1)+逐级计算!$Q$134*(ED28-逐级计算!$P$134)*LN(10)/10))))))),"")</f>
        <v>13.7930542536294</v>
      </c>
      <c r="EF28">
        <f>IF(AND(ISNUMBER(EE28),逐级计算!$X$135&gt;-1),IF(逐级计算!$X$135=0,EE28+逐级计算!$C$135,EE28+逐级计算!$C$135-(10/(逐级计算!$Q$135*LN(10))*(MAX((LN(10^(逐级计算!$Q$135/10)-1)+逐级计算!$Q$135*(EE28-逐级计算!$P$135)*LN(10)/10),0)+LN(1+EXP(-ABS((LN(10^(逐级计算!$Q$135/10)-1)+逐级计算!$Q$135*(EE28-逐级计算!$P$135)*LN(10)/10))))))),"")</f>
        <v>13.7930542536294</v>
      </c>
      <c r="EG28">
        <f>IF(AND(ISNUMBER(EF28),逐级计算!$X$136&gt;-1),IF(逐级计算!$X$136=0,EF28+逐级计算!$C$136,EF28+逐级计算!$C$136-(10/(逐级计算!$Q$136*LN(10))*(MAX((LN(10^(逐级计算!$Q$136/10)-1)+逐级计算!$Q$136*(EF28-逐级计算!$P$136)*LN(10)/10),0)+LN(1+EXP(-ABS((LN(10^(逐级计算!$Q$136/10)-1)+逐级计算!$Q$136*(EF28-逐级计算!$P$136)*LN(10)/10))))))),"")</f>
        <v>13.7930542536294</v>
      </c>
      <c r="EH28">
        <f>IF(AND(ISNUMBER(EG28),逐级计算!$X$137&gt;-1),IF(逐级计算!$X$137=0,EG28+逐级计算!$C$137,EG28+逐级计算!$C$137-(10/(逐级计算!$Q$137*LN(10))*(MAX((LN(10^(逐级计算!$Q$137/10)-1)+逐级计算!$Q$137*(EG28-逐级计算!$P$137)*LN(10)/10),0)+LN(1+EXP(-ABS((LN(10^(逐级计算!$Q$137/10)-1)+逐级计算!$Q$137*(EG28-逐级计算!$P$137)*LN(10)/10))))))),"")</f>
        <v>13.7930542536294</v>
      </c>
      <c r="EI28">
        <f>IF(AND(ISNUMBER(EH28),逐级计算!$X$138&gt;-1),IF(逐级计算!$X$138=0,EH28+逐级计算!$C$138,EH28+逐级计算!$C$138-(10/(逐级计算!$Q$138*LN(10))*(MAX((LN(10^(逐级计算!$Q$138/10)-1)+逐级计算!$Q$138*(EH28-逐级计算!$P$138)*LN(10)/10),0)+LN(1+EXP(-ABS((LN(10^(逐级计算!$Q$138/10)-1)+逐级计算!$Q$138*(EH28-逐级计算!$P$138)*LN(10)/10))))))),"")</f>
        <v>13.7930542536294</v>
      </c>
      <c r="EJ28">
        <f>IF(AND(ISNUMBER(EI28),逐级计算!$X$139&gt;-1),IF(逐级计算!$X$139=0,EI28+逐级计算!$C$139,EI28+逐级计算!$C$139-(10/(逐级计算!$Q$139*LN(10))*(MAX((LN(10^(逐级计算!$Q$139/10)-1)+逐级计算!$Q$139*(EI28-逐级计算!$P$139)*LN(10)/10),0)+LN(1+EXP(-ABS((LN(10^(逐级计算!$Q$139/10)-1)+逐级计算!$Q$139*(EI28-逐级计算!$P$139)*LN(10)/10))))))),"")</f>
        <v>13.7930542536294</v>
      </c>
      <c r="EK28">
        <f>IF(AND(ISNUMBER(EJ28),逐级计算!$X$140&gt;-1),IF(逐级计算!$X$140=0,EJ28+逐级计算!$C$140,EJ28+逐级计算!$C$140-(10/(逐级计算!$Q$140*LN(10))*(MAX((LN(10^(逐级计算!$Q$140/10)-1)+逐级计算!$Q$140*(EJ28-逐级计算!$P$140)*LN(10)/10),0)+LN(1+EXP(-ABS((LN(10^(逐级计算!$Q$140/10)-1)+逐级计算!$Q$140*(EJ28-逐级计算!$P$140)*LN(10)/10))))))),"")</f>
        <v>13.7930542536294</v>
      </c>
      <c r="EL28">
        <f>IF(AND(ISNUMBER(EK28),逐级计算!$X$141&gt;-1),IF(逐级计算!$X$141=0,EK28+逐级计算!$C$141,EK28+逐级计算!$C$141-(10/(逐级计算!$Q$141*LN(10))*(MAX((LN(10^(逐级计算!$Q$141/10)-1)+逐级计算!$Q$141*(EK28-逐级计算!$P$141)*LN(10)/10),0)+LN(1+EXP(-ABS((LN(10^(逐级计算!$Q$141/10)-1)+逐级计算!$Q$141*(EK28-逐级计算!$P$141)*LN(10)/10))))))),"")</f>
        <v>13.7930542536294</v>
      </c>
      <c r="EM28">
        <f>IF(AND(ISNUMBER(EL28),逐级计算!$X$142&gt;-1),IF(逐级计算!$X$142=0,EL28+逐级计算!$C$142,EL28+逐级计算!$C$142-(10/(逐级计算!$Q$142*LN(10))*(MAX((LN(10^(逐级计算!$Q$142/10)-1)+逐级计算!$Q$142*(EL28-逐级计算!$P$142)*LN(10)/10),0)+LN(1+EXP(-ABS((LN(10^(逐级计算!$Q$142/10)-1)+逐级计算!$Q$142*(EL28-逐级计算!$P$142)*LN(10)/10))))))),"")</f>
        <v>13.7930542536294</v>
      </c>
      <c r="EN28">
        <f>IF(AND(ISNUMBER(EM28),逐级计算!$X$143&gt;-1),IF(逐级计算!$X$143=0,EM28+逐级计算!$C$143,EM28+逐级计算!$C$143-(10/(逐级计算!$Q$143*LN(10))*(MAX((LN(10^(逐级计算!$Q$143/10)-1)+逐级计算!$Q$143*(EM28-逐级计算!$P$143)*LN(10)/10),0)+LN(1+EXP(-ABS((LN(10^(逐级计算!$Q$143/10)-1)+逐级计算!$Q$143*(EM28-逐级计算!$P$143)*LN(10)/10))))))),"")</f>
        <v>13.7930542536294</v>
      </c>
      <c r="EO28">
        <f>IF(AND(ISNUMBER(EN28),逐级计算!$X$144&gt;-1),IF(逐级计算!$X$144=0,EN28+逐级计算!$C$144,EN28+逐级计算!$C$144-(10/(逐级计算!$Q$144*LN(10))*(MAX((LN(10^(逐级计算!$Q$144/10)-1)+逐级计算!$Q$144*(EN28-逐级计算!$P$144)*LN(10)/10),0)+LN(1+EXP(-ABS((LN(10^(逐级计算!$Q$144/10)-1)+逐级计算!$Q$144*(EN28-逐级计算!$P$144)*LN(10)/10))))))),"")</f>
        <v>13.7930542536294</v>
      </c>
      <c r="EP28">
        <f>IF(AND(ISNUMBER(EO28),逐级计算!$X$145&gt;-1),IF(逐级计算!$X$145=0,EO28+逐级计算!$C$145,EO28+逐级计算!$C$145-(10/(逐级计算!$Q$145*LN(10))*(MAX((LN(10^(逐级计算!$Q$145/10)-1)+逐级计算!$Q$145*(EO28-逐级计算!$P$145)*LN(10)/10),0)+LN(1+EXP(-ABS((LN(10^(逐级计算!$Q$145/10)-1)+逐级计算!$Q$145*(EO28-逐级计算!$P$145)*LN(10)/10))))))),"")</f>
        <v>13.7930542536294</v>
      </c>
      <c r="EQ28">
        <f>IF(AND(ISNUMBER(EP28),逐级计算!$X$146&gt;-1),IF(逐级计算!$X$146=0,EP28+逐级计算!$C$146,EP28+逐级计算!$C$146-(10/(逐级计算!$Q$146*LN(10))*(MAX((LN(10^(逐级计算!$Q$146/10)-1)+逐级计算!$Q$146*(EP28-逐级计算!$P$146)*LN(10)/10),0)+LN(1+EXP(-ABS((LN(10^(逐级计算!$Q$146/10)-1)+逐级计算!$Q$146*(EP28-逐级计算!$P$146)*LN(10)/10))))))),"")</f>
        <v>13.7930542536294</v>
      </c>
      <c r="ER28">
        <f>IF(AND(ISNUMBER(EQ28),逐级计算!$X$147&gt;-1),IF(逐级计算!$X$147=0,EQ28+逐级计算!$C$147,EQ28+逐级计算!$C$147-(10/(逐级计算!$Q$147*LN(10))*(MAX((LN(10^(逐级计算!$Q$147/10)-1)+逐级计算!$Q$147*(EQ28-逐级计算!$P$147)*LN(10)/10),0)+LN(1+EXP(-ABS((LN(10^(逐级计算!$Q$147/10)-1)+逐级计算!$Q$147*(EQ28-逐级计算!$P$147)*LN(10)/10))))))),"")</f>
        <v>13.7930542536294</v>
      </c>
      <c r="ES28">
        <f>IF(AND(ISNUMBER(ER28),逐级计算!$X$148&gt;-1),IF(逐级计算!$X$148=0,ER28+逐级计算!$C$148,ER28+逐级计算!$C$148-(10/(逐级计算!$Q$148*LN(10))*(MAX((LN(10^(逐级计算!$Q$148/10)-1)+逐级计算!$Q$148*(ER28-逐级计算!$P$148)*LN(10)/10),0)+LN(1+EXP(-ABS((LN(10^(逐级计算!$Q$148/10)-1)+逐级计算!$Q$148*(ER28-逐级计算!$P$148)*LN(10)/10))))))),"")</f>
        <v>13.7930542536294</v>
      </c>
      <c r="ET28">
        <f>IF(AND(ISNUMBER(ES28),逐级计算!$X$149&gt;-1),IF(逐级计算!$X$149=0,ES28+逐级计算!$C$149,ES28+逐级计算!$C$149-(10/(逐级计算!$Q$149*LN(10))*(MAX((LN(10^(逐级计算!$Q$149/10)-1)+逐级计算!$Q$149*(ES28-逐级计算!$P$149)*LN(10)/10),0)+LN(1+EXP(-ABS((LN(10^(逐级计算!$Q$149/10)-1)+逐级计算!$Q$149*(ES28-逐级计算!$P$149)*LN(10)/10))))))),"")</f>
        <v>13.7930542536294</v>
      </c>
      <c r="EU28">
        <f>IF(AND(ISNUMBER(ET28),逐级计算!$X$150&gt;-1),IF(逐级计算!$X$150=0,ET28+逐级计算!$C$150,ET28+逐级计算!$C$150-(10/(逐级计算!$Q$150*LN(10))*(MAX((LN(10^(逐级计算!$Q$150/10)-1)+逐级计算!$Q$150*(ET28-逐级计算!$P$150)*LN(10)/10),0)+LN(1+EXP(-ABS((LN(10^(逐级计算!$Q$150/10)-1)+逐级计算!$Q$150*(ET28-逐级计算!$P$150)*LN(10)/10))))))),"")</f>
        <v>13.7930542536294</v>
      </c>
      <c r="EV28">
        <f>IF(AND(ISNUMBER(EU28),逐级计算!$X$151&gt;-1),IF(逐级计算!$X$151=0,EU28+逐级计算!$C$151,EU28+逐级计算!$C$151-(10/(逐级计算!$Q$151*LN(10))*(MAX((LN(10^(逐级计算!$Q$151/10)-1)+逐级计算!$Q$151*(EU28-逐级计算!$P$151)*LN(10)/10),0)+LN(1+EXP(-ABS((LN(10^(逐级计算!$Q$151/10)-1)+逐级计算!$Q$151*(EU28-逐级计算!$P$151)*LN(10)/10))))))),"")</f>
        <v>13.7930542536294</v>
      </c>
      <c r="EW28">
        <f>IF(AND(ISNUMBER(EV28),逐级计算!$X$152&gt;-1),IF(逐级计算!$X$152=0,EV28+逐级计算!$C$152,EV28+逐级计算!$C$152-(10/(逐级计算!$Q$152*LN(10))*(MAX((LN(10^(逐级计算!$Q$152/10)-1)+逐级计算!$Q$152*(EV28-逐级计算!$P$152)*LN(10)/10),0)+LN(1+EXP(-ABS((LN(10^(逐级计算!$Q$152/10)-1)+逐级计算!$Q$152*(EV28-逐级计算!$P$152)*LN(10)/10))))))),"")</f>
        <v>13.7930542536294</v>
      </c>
      <c r="EX28">
        <f>IF(AND(ISNUMBER(EW28),逐级计算!$X$153&gt;-1),IF(逐级计算!$X$153=0,EW28+逐级计算!$C$153,EW28+逐级计算!$C$153-(10/(逐级计算!$Q$153*LN(10))*(MAX((LN(10^(逐级计算!$Q$153/10)-1)+逐级计算!$Q$153*(EW28-逐级计算!$P$153)*LN(10)/10),0)+LN(1+EXP(-ABS((LN(10^(逐级计算!$Q$153/10)-1)+逐级计算!$Q$153*(EW28-逐级计算!$P$153)*LN(10)/10))))))),"")</f>
        <v>13.7930542536294</v>
      </c>
      <c r="EY28">
        <f>IF(AND(ISNUMBER(EX28),逐级计算!$X$154&gt;-1),IF(逐级计算!$X$154=0,EX28+逐级计算!$C$154,EX28+逐级计算!$C$154-(10/(逐级计算!$Q$154*LN(10))*(MAX((LN(10^(逐级计算!$Q$154/10)-1)+逐级计算!$Q$154*(EX28-逐级计算!$P$154)*LN(10)/10),0)+LN(1+EXP(-ABS((LN(10^(逐级计算!$Q$154/10)-1)+逐级计算!$Q$154*(EX28-逐级计算!$P$154)*LN(10)/10))))))),"")</f>
        <v>13.7930542536294</v>
      </c>
      <c r="EZ28">
        <f>IF(AND(ISNUMBER(EY28),逐级计算!$X$155&gt;-1),IF(逐级计算!$X$155=0,EY28+逐级计算!$C$155,EY28+逐级计算!$C$155-(10/(逐级计算!$Q$155*LN(10))*(MAX((LN(10^(逐级计算!$Q$155/10)-1)+逐级计算!$Q$155*(EY28-逐级计算!$P$155)*LN(10)/10),0)+LN(1+EXP(-ABS((LN(10^(逐级计算!$Q$155/10)-1)+逐级计算!$Q$155*(EY28-逐级计算!$P$155)*LN(10)/10))))))),"")</f>
        <v>13.7930542536294</v>
      </c>
      <c r="FA28">
        <f>IF(AND(ISNUMBER(EZ28),逐级计算!$X$156&gt;-1),IF(逐级计算!$X$156=0,EZ28+逐级计算!$C$156,EZ28+逐级计算!$C$156-(10/(逐级计算!$Q$156*LN(10))*(MAX((LN(10^(逐级计算!$Q$156/10)-1)+逐级计算!$Q$156*(EZ28-逐级计算!$P$156)*LN(10)/10),0)+LN(1+EXP(-ABS((LN(10^(逐级计算!$Q$156/10)-1)+逐级计算!$Q$156*(EZ28-逐级计算!$P$156)*LN(10)/10))))))),"")</f>
        <v>13.7930542536294</v>
      </c>
      <c r="FB28">
        <f>IF(AND(ISNUMBER(FA28),逐级计算!$X$157&gt;-1),IF(逐级计算!$X$157=0,FA28+逐级计算!$C$157,FA28+逐级计算!$C$157-(10/(逐级计算!$Q$157*LN(10))*(MAX((LN(10^(逐级计算!$Q$157/10)-1)+逐级计算!$Q$157*(FA28-逐级计算!$P$157)*LN(10)/10),0)+LN(1+EXP(-ABS((LN(10^(逐级计算!$Q$157/10)-1)+逐级计算!$Q$157*(FA28-逐级计算!$P$157)*LN(10)/10))))))),"")</f>
        <v>13.7930542536294</v>
      </c>
      <c r="FC28">
        <f>IF(AND(ISNUMBER(FB28),逐级计算!$X$158&gt;-1),IF(逐级计算!$X$158=0,FB28+逐级计算!$C$158,FB28+逐级计算!$C$158-(10/(逐级计算!$Q$158*LN(10))*(MAX((LN(10^(逐级计算!$Q$158/10)-1)+逐级计算!$Q$158*(FB28-逐级计算!$P$158)*LN(10)/10),0)+LN(1+EXP(-ABS((LN(10^(逐级计算!$Q$158/10)-1)+逐级计算!$Q$158*(FB28-逐级计算!$P$158)*LN(10)/10))))))),"")</f>
        <v>13.7930542536294</v>
      </c>
      <c r="FD28">
        <f>IF(AND(ISNUMBER(FC28),逐级计算!$X$159&gt;-1),IF(逐级计算!$X$159=0,FC28+逐级计算!$C$159,FC28+逐级计算!$C$159-(10/(逐级计算!$Q$159*LN(10))*(MAX((LN(10^(逐级计算!$Q$159/10)-1)+逐级计算!$Q$159*(FC28-逐级计算!$P$159)*LN(10)/10),0)+LN(1+EXP(-ABS((LN(10^(逐级计算!$Q$159/10)-1)+逐级计算!$Q$159*(FC28-逐级计算!$P$159)*LN(10)/10))))))),"")</f>
        <v>13.7930542536294</v>
      </c>
      <c r="FE28">
        <f>IF(AND(ISNUMBER(FD28),逐级计算!$X$160&gt;-1),IF(逐级计算!$X$160=0,FD28+逐级计算!$C$160,FD28+逐级计算!$C$160-(10/(逐级计算!$Q$160*LN(10))*(MAX((LN(10^(逐级计算!$Q$160/10)-1)+逐级计算!$Q$160*(FD28-逐级计算!$P$160)*LN(10)/10),0)+LN(1+EXP(-ABS((LN(10^(逐级计算!$Q$160/10)-1)+逐级计算!$Q$160*(FD28-逐级计算!$P$160)*LN(10)/10))))))),"")</f>
        <v>13.7930542536294</v>
      </c>
      <c r="FF28">
        <f>IF(AND(ISNUMBER(FE28),逐级计算!$X$161&gt;-1),IF(逐级计算!$X$161=0,FE28+逐级计算!$C$161,FE28+逐级计算!$C$161-(10/(逐级计算!$Q$161*LN(10))*(MAX((LN(10^(逐级计算!$Q$161/10)-1)+逐级计算!$Q$161*(FE28-逐级计算!$P$161)*LN(10)/10),0)+LN(1+EXP(-ABS((LN(10^(逐级计算!$Q$161/10)-1)+逐级计算!$Q$161*(FE28-逐级计算!$P$161)*LN(10)/10))))))),"")</f>
        <v>13.7930542536294</v>
      </c>
      <c r="FG28">
        <f>IF(AND(ISNUMBER(FF28),逐级计算!$X$162&gt;-1),IF(逐级计算!$X$162=0,FF28+逐级计算!$C$162,FF28+逐级计算!$C$162-(10/(逐级计算!$Q$162*LN(10))*(MAX((LN(10^(逐级计算!$Q$162/10)-1)+逐级计算!$Q$162*(FF28-逐级计算!$P$162)*LN(10)/10),0)+LN(1+EXP(-ABS((LN(10^(逐级计算!$Q$162/10)-1)+逐级计算!$Q$162*(FF28-逐级计算!$P$162)*LN(10)/10))))))),"")</f>
        <v>13.7930542536294</v>
      </c>
      <c r="FH28">
        <f>IF(AND(ISNUMBER(FG28),逐级计算!$X$163&gt;-1),IF(逐级计算!$X$163=0,FG28+逐级计算!$C$163,FG28+逐级计算!$C$163-(10/(逐级计算!$Q$163*LN(10))*(MAX((LN(10^(逐级计算!$Q$163/10)-1)+逐级计算!$Q$163*(FG28-逐级计算!$P$163)*LN(10)/10),0)+LN(1+EXP(-ABS((LN(10^(逐级计算!$Q$163/10)-1)+逐级计算!$Q$163*(FG28-逐级计算!$P$163)*LN(10)/10))))))),"")</f>
        <v>13.7930542536294</v>
      </c>
      <c r="FI28">
        <f>IF(AND(ISNUMBER(FH28),逐级计算!$X$164&gt;-1),IF(逐级计算!$X$164=0,FH28+逐级计算!$C$164,FH28+逐级计算!$C$164-(10/(逐级计算!$Q$164*LN(10))*(MAX((LN(10^(逐级计算!$Q$164/10)-1)+逐级计算!$Q$164*(FH28-逐级计算!$P$164)*LN(10)/10),0)+LN(1+EXP(-ABS((LN(10^(逐级计算!$Q$164/10)-1)+逐级计算!$Q$164*(FH28-逐级计算!$P$164)*LN(10)/10))))))),"")</f>
        <v>13.7930542536294</v>
      </c>
      <c r="FJ28">
        <f>IF(AND(ISNUMBER(FI28),逐级计算!$X$165&gt;-1),IF(逐级计算!$X$165=0,FI28+逐级计算!$C$165,FI28+逐级计算!$C$165-(10/(逐级计算!$Q$165*LN(10))*(MAX((LN(10^(逐级计算!$Q$165/10)-1)+逐级计算!$Q$165*(FI28-逐级计算!$P$165)*LN(10)/10),0)+LN(1+EXP(-ABS((LN(10^(逐级计算!$Q$165/10)-1)+逐级计算!$Q$165*(FI28-逐级计算!$P$165)*LN(10)/10))))))),"")</f>
        <v>13.7930542536294</v>
      </c>
      <c r="FK28">
        <f>IF(AND(ISNUMBER(FJ28),逐级计算!$X$166&gt;-1),IF(逐级计算!$X$166=0,FJ28+逐级计算!$C$166,FJ28+逐级计算!$C$166-(10/(逐级计算!$Q$166*LN(10))*(MAX((LN(10^(逐级计算!$Q$166/10)-1)+逐级计算!$Q$166*(FJ28-逐级计算!$P$166)*LN(10)/10),0)+LN(1+EXP(-ABS((LN(10^(逐级计算!$Q$166/10)-1)+逐级计算!$Q$166*(FJ28-逐级计算!$P$166)*LN(10)/10))))))),"")</f>
        <v>13.7930542536294</v>
      </c>
      <c r="FL28">
        <f>IF(AND(ISNUMBER(FK28),逐级计算!$X$167&gt;-1),IF(逐级计算!$X$167=0,FK28+逐级计算!$C$167,FK28+逐级计算!$C$167-(10/(逐级计算!$Q$167*LN(10))*(MAX((LN(10^(逐级计算!$Q$167/10)-1)+逐级计算!$Q$167*(FK28-逐级计算!$P$167)*LN(10)/10),0)+LN(1+EXP(-ABS((LN(10^(逐级计算!$Q$167/10)-1)+逐级计算!$Q$167*(FK28-逐级计算!$P$167)*LN(10)/10))))))),"")</f>
        <v>13.7930542536294</v>
      </c>
      <c r="FM28">
        <f>IF(AND(ISNUMBER(FL28),逐级计算!$X$168&gt;-1),IF(逐级计算!$X$168=0,FL28+逐级计算!$C$168,FL28+逐级计算!$C$168-(10/(逐级计算!$Q$168*LN(10))*(MAX((LN(10^(逐级计算!$Q$168/10)-1)+逐级计算!$Q$168*(FL28-逐级计算!$P$168)*LN(10)/10),0)+LN(1+EXP(-ABS((LN(10^(逐级计算!$Q$168/10)-1)+逐级计算!$Q$168*(FL28-逐级计算!$P$168)*LN(10)/10))))))),"")</f>
        <v>13.7930542536294</v>
      </c>
      <c r="FN28">
        <f>IF(AND(ISNUMBER(FM28),逐级计算!$X$169&gt;-1),IF(逐级计算!$X$169=0,FM28+逐级计算!$C$169,FM28+逐级计算!$C$169-(10/(逐级计算!$Q$169*LN(10))*(MAX((LN(10^(逐级计算!$Q$169/10)-1)+逐级计算!$Q$169*(FM28-逐级计算!$P$169)*LN(10)/10),0)+LN(1+EXP(-ABS((LN(10^(逐级计算!$Q$169/10)-1)+逐级计算!$Q$169*(FM28-逐级计算!$P$169)*LN(10)/10))))))),"")</f>
        <v>13.7930542536294</v>
      </c>
      <c r="FO28">
        <f>IF(AND(ISNUMBER(FN28),逐级计算!$X$170&gt;-1),IF(逐级计算!$X$170=0,FN28+逐级计算!$C$170,FN28+逐级计算!$C$170-(10/(逐级计算!$Q$170*LN(10))*(MAX((LN(10^(逐级计算!$Q$170/10)-1)+逐级计算!$Q$170*(FN28-逐级计算!$P$170)*LN(10)/10),0)+LN(1+EXP(-ABS((LN(10^(逐级计算!$Q$170/10)-1)+逐级计算!$Q$170*(FN28-逐级计算!$P$170)*LN(10)/10))))))),"")</f>
        <v>13.7930542536294</v>
      </c>
      <c r="FP28">
        <f>IF(AND(ISNUMBER(FO28),逐级计算!$X$171&gt;-1),IF(逐级计算!$X$171=0,FO28+逐级计算!$C$171,FO28+逐级计算!$C$171-(10/(逐级计算!$Q$171*LN(10))*(MAX((LN(10^(逐级计算!$Q$171/10)-1)+逐级计算!$Q$171*(FO28-逐级计算!$P$171)*LN(10)/10),0)+LN(1+EXP(-ABS((LN(10^(逐级计算!$Q$171/10)-1)+逐级计算!$Q$171*(FO28-逐级计算!$P$171)*LN(10)/10))))))),"")</f>
        <v>13.7930542536294</v>
      </c>
      <c r="FQ28">
        <f>IF(AND(ISNUMBER(FP28),逐级计算!$X$172&gt;-1),IF(逐级计算!$X$172=0,FP28+逐级计算!$C$172,FP28+逐级计算!$C$172-(10/(逐级计算!$Q$172*LN(10))*(MAX((LN(10^(逐级计算!$Q$172/10)-1)+逐级计算!$Q$172*(FP28-逐级计算!$P$172)*LN(10)/10),0)+LN(1+EXP(-ABS((LN(10^(逐级计算!$Q$172/10)-1)+逐级计算!$Q$172*(FP28-逐级计算!$P$172)*LN(10)/10))))))),"")</f>
        <v>13.7930542536294</v>
      </c>
      <c r="FR28">
        <f>IF(AND(ISNUMBER(FQ28),逐级计算!$X$173&gt;-1),IF(逐级计算!$X$173=0,FQ28+逐级计算!$C$173,FQ28+逐级计算!$C$173-(10/(逐级计算!$Q$173*LN(10))*(MAX((LN(10^(逐级计算!$Q$173/10)-1)+逐级计算!$Q$173*(FQ28-逐级计算!$P$173)*LN(10)/10),0)+LN(1+EXP(-ABS((LN(10^(逐级计算!$Q$173/10)-1)+逐级计算!$Q$173*(FQ28-逐级计算!$P$173)*LN(10)/10))))))),"")</f>
        <v>13.7930542536294</v>
      </c>
      <c r="FS28">
        <f>IF(AND(ISNUMBER(FR28),逐级计算!$X$174&gt;-1),IF(逐级计算!$X$174=0,FR28+逐级计算!$C$174,FR28+逐级计算!$C$174-(10/(逐级计算!$Q$174*LN(10))*(MAX((LN(10^(逐级计算!$Q$174/10)-1)+逐级计算!$Q$174*(FR28-逐级计算!$P$174)*LN(10)/10),0)+LN(1+EXP(-ABS((LN(10^(逐级计算!$Q$174/10)-1)+逐级计算!$Q$174*(FR28-逐级计算!$P$174)*LN(10)/10))))))),"")</f>
        <v>13.7930542536294</v>
      </c>
      <c r="FT28">
        <f>IF(AND(ISNUMBER(FS28),逐级计算!$X$175&gt;-1),IF(逐级计算!$X$175=0,FS28+逐级计算!$C$175,FS28+逐级计算!$C$175-(10/(逐级计算!$Q$175*LN(10))*(MAX((LN(10^(逐级计算!$Q$175/10)-1)+逐级计算!$Q$175*(FS28-逐级计算!$P$175)*LN(10)/10),0)+LN(1+EXP(-ABS((LN(10^(逐级计算!$Q$175/10)-1)+逐级计算!$Q$175*(FS28-逐级计算!$P$175)*LN(10)/10))))))),"")</f>
        <v>13.7930542536294</v>
      </c>
      <c r="FU28">
        <f>IF(AND(ISNUMBER(FT28),逐级计算!$X$176&gt;-1),IF(逐级计算!$X$176=0,FT28+逐级计算!$C$176,FT28+逐级计算!$C$176-(10/(逐级计算!$Q$176*LN(10))*(MAX((LN(10^(逐级计算!$Q$176/10)-1)+逐级计算!$Q$176*(FT28-逐级计算!$P$176)*LN(10)/10),0)+LN(1+EXP(-ABS((LN(10^(逐级计算!$Q$176/10)-1)+逐级计算!$Q$176*(FT28-逐级计算!$P$176)*LN(10)/10))))))),"")</f>
        <v>13.7930542536294</v>
      </c>
      <c r="FV28">
        <f>IF(AND(ISNUMBER(FU28),逐级计算!$X$177&gt;-1),IF(逐级计算!$X$177=0,FU28+逐级计算!$C$177,FU28+逐级计算!$C$177-(10/(逐级计算!$Q$177*LN(10))*(MAX((LN(10^(逐级计算!$Q$177/10)-1)+逐级计算!$Q$177*(FU28-逐级计算!$P$177)*LN(10)/10),0)+LN(1+EXP(-ABS((LN(10^(逐级计算!$Q$177/10)-1)+逐级计算!$Q$177*(FU28-逐级计算!$P$177)*LN(10)/10))))))),"")</f>
        <v>13.7930542536294</v>
      </c>
      <c r="FW28">
        <f>IF(AND(ISNUMBER(FV28),逐级计算!$X$178&gt;-1),IF(逐级计算!$X$178=0,FV28+逐级计算!$C$178,FV28+逐级计算!$C$178-(10/(逐级计算!$Q$178*LN(10))*(MAX((LN(10^(逐级计算!$Q$178/10)-1)+逐级计算!$Q$178*(FV28-逐级计算!$P$178)*LN(10)/10),0)+LN(1+EXP(-ABS((LN(10^(逐级计算!$Q$178/10)-1)+逐级计算!$Q$178*(FV28-逐级计算!$P$178)*LN(10)/10))))))),"")</f>
        <v>13.7930542536294</v>
      </c>
      <c r="FX28">
        <f>IF(AND(ISNUMBER(FW28),逐级计算!$X$179&gt;-1),IF(逐级计算!$X$179=0,FW28+逐级计算!$C$179,FW28+逐级计算!$C$179-(10/(逐级计算!$Q$179*LN(10))*(MAX((LN(10^(逐级计算!$Q$179/10)-1)+逐级计算!$Q$179*(FW28-逐级计算!$P$179)*LN(10)/10),0)+LN(1+EXP(-ABS((LN(10^(逐级计算!$Q$179/10)-1)+逐级计算!$Q$179*(FW28-逐级计算!$P$179)*LN(10)/10))))))),"")</f>
        <v>13.7930542536294</v>
      </c>
      <c r="FY28">
        <f>IF(AND(ISNUMBER(FX28),逐级计算!$X$180&gt;-1),IF(逐级计算!$X$180=0,FX28+逐级计算!$C$180,FX28+逐级计算!$C$180-(10/(逐级计算!$Q$180*LN(10))*(MAX((LN(10^(逐级计算!$Q$180/10)-1)+逐级计算!$Q$180*(FX28-逐级计算!$P$180)*LN(10)/10),0)+LN(1+EXP(-ABS((LN(10^(逐级计算!$Q$180/10)-1)+逐级计算!$Q$180*(FX28-逐级计算!$P$180)*LN(10)/10))))))),"")</f>
        <v>13.7930542536294</v>
      </c>
      <c r="FZ28">
        <f>IF(AND(ISNUMBER(FY28),逐级计算!$X$181&gt;-1),IF(逐级计算!$X$181=0,FY28+逐级计算!$C$181,FY28+逐级计算!$C$181-(10/(逐级计算!$Q$181*LN(10))*(MAX((LN(10^(逐级计算!$Q$181/10)-1)+逐级计算!$Q$181*(FY28-逐级计算!$P$181)*LN(10)/10),0)+LN(1+EXP(-ABS((LN(10^(逐级计算!$Q$181/10)-1)+逐级计算!$Q$181*(FY28-逐级计算!$P$181)*LN(10)/10))))))),"")</f>
        <v>13.7930542536294</v>
      </c>
      <c r="GA28">
        <f>IF(AND(ISNUMBER(FZ28),逐级计算!$X$182&gt;-1),IF(逐级计算!$X$182=0,FZ28+逐级计算!$C$182,FZ28+逐级计算!$C$182-(10/(逐级计算!$Q$182*LN(10))*(MAX((LN(10^(逐级计算!$Q$182/10)-1)+逐级计算!$Q$182*(FZ28-逐级计算!$P$182)*LN(10)/10),0)+LN(1+EXP(-ABS((LN(10^(逐级计算!$Q$182/10)-1)+逐级计算!$Q$182*(FZ28-逐级计算!$P$182)*LN(10)/10))))))),"")</f>
        <v>13.7930542536294</v>
      </c>
      <c r="GB28">
        <f>IF(AND(ISNUMBER(GA28),逐级计算!$X$183&gt;-1),IF(逐级计算!$X$183=0,GA28+逐级计算!$C$183,GA28+逐级计算!$C$183-(10/(逐级计算!$Q$183*LN(10))*(MAX((LN(10^(逐级计算!$Q$183/10)-1)+逐级计算!$Q$183*(GA28-逐级计算!$P$183)*LN(10)/10),0)+LN(1+EXP(-ABS((LN(10^(逐级计算!$Q$183/10)-1)+逐级计算!$Q$183*(GA28-逐级计算!$P$183)*LN(10)/10))))))),"")</f>
        <v>13.7930542536294</v>
      </c>
      <c r="GC28">
        <f>IF(AND(ISNUMBER(GB28),逐级计算!$X$184&gt;-1),IF(逐级计算!$X$184=0,GB28+逐级计算!$C$184,GB28+逐级计算!$C$184-(10/(逐级计算!$Q$184*LN(10))*(MAX((LN(10^(逐级计算!$Q$184/10)-1)+逐级计算!$Q$184*(GB28-逐级计算!$P$184)*LN(10)/10),0)+LN(1+EXP(-ABS((LN(10^(逐级计算!$Q$184/10)-1)+逐级计算!$Q$184*(GB28-逐级计算!$P$184)*LN(10)/10))))))),"")</f>
        <v>13.7930542536294</v>
      </c>
      <c r="GD28">
        <f>IF(AND(ISNUMBER(GC28),逐级计算!$X$185&gt;-1),IF(逐级计算!$X$185=0,GC28+逐级计算!$C$185,GC28+逐级计算!$C$185-(10/(逐级计算!$Q$185*LN(10))*(MAX((LN(10^(逐级计算!$Q$185/10)-1)+逐级计算!$Q$185*(GC28-逐级计算!$P$185)*LN(10)/10),0)+LN(1+EXP(-ABS((LN(10^(逐级计算!$Q$185/10)-1)+逐级计算!$Q$185*(GC28-逐级计算!$P$185)*LN(10)/10))))))),"")</f>
        <v>13.7930542536294</v>
      </c>
      <c r="GE28">
        <f>IF(AND(ISNUMBER(GD28),逐级计算!$X$186&gt;-1),IF(逐级计算!$X$186=0,GD28+逐级计算!$C$186,GD28+逐级计算!$C$186-(10/(逐级计算!$Q$186*LN(10))*(MAX((LN(10^(逐级计算!$Q$186/10)-1)+逐级计算!$Q$186*(GD28-逐级计算!$P$186)*LN(10)/10),0)+LN(1+EXP(-ABS((LN(10^(逐级计算!$Q$186/10)-1)+逐级计算!$Q$186*(GD28-逐级计算!$P$186)*LN(10)/10))))))),"")</f>
        <v>13.7930542536294</v>
      </c>
      <c r="GF28">
        <f>IF(AND(ISNUMBER(GE28),逐级计算!$X$187&gt;-1),IF(逐级计算!$X$187=0,GE28+逐级计算!$C$187,GE28+逐级计算!$C$187-(10/(逐级计算!$Q$187*LN(10))*(MAX((LN(10^(逐级计算!$Q$187/10)-1)+逐级计算!$Q$187*(GE28-逐级计算!$P$187)*LN(10)/10),0)+LN(1+EXP(-ABS((LN(10^(逐级计算!$Q$187/10)-1)+逐级计算!$Q$187*(GE28-逐级计算!$P$187)*LN(10)/10))))))),"")</f>
        <v>13.7930542536294</v>
      </c>
      <c r="GG28">
        <f>IF(AND(ISNUMBER(GF28),逐级计算!$X$188&gt;-1),IF(逐级计算!$X$188=0,GF28+逐级计算!$C$188,GF28+逐级计算!$C$188-(10/(逐级计算!$Q$188*LN(10))*(MAX((LN(10^(逐级计算!$Q$188/10)-1)+逐级计算!$Q$188*(GF28-逐级计算!$P$188)*LN(10)/10),0)+LN(1+EXP(-ABS((LN(10^(逐级计算!$Q$188/10)-1)+逐级计算!$Q$188*(GF28-逐级计算!$P$188)*LN(10)/10))))))),"")</f>
        <v>13.7930542536294</v>
      </c>
      <c r="GH28">
        <f>IF(AND(ISNUMBER(GG28),逐级计算!$X$189&gt;-1),IF(逐级计算!$X$189=0,GG28+逐级计算!$C$189,GG28+逐级计算!$C$189-(10/(逐级计算!$Q$189*LN(10))*(MAX((LN(10^(逐级计算!$Q$189/10)-1)+逐级计算!$Q$189*(GG28-逐级计算!$P$189)*LN(10)/10),0)+LN(1+EXP(-ABS((LN(10^(逐级计算!$Q$189/10)-1)+逐级计算!$Q$189*(GG28-逐级计算!$P$189)*LN(10)/10))))))),"")</f>
        <v>13.7930542536294</v>
      </c>
      <c r="GI28">
        <f>IF(AND(ISNUMBER(GH28),逐级计算!$X$190&gt;-1),IF(逐级计算!$X$190=0,GH28+逐级计算!$C$190,GH28+逐级计算!$C$190-(10/(逐级计算!$Q$190*LN(10))*(MAX((LN(10^(逐级计算!$Q$190/10)-1)+逐级计算!$Q$190*(GH28-逐级计算!$P$190)*LN(10)/10),0)+LN(1+EXP(-ABS((LN(10^(逐级计算!$Q$190/10)-1)+逐级计算!$Q$190*(GH28-逐级计算!$P$190)*LN(10)/10))))))),"")</f>
        <v>13.7930542536294</v>
      </c>
      <c r="GJ28">
        <f>IF(AND(ISNUMBER(GI28),逐级计算!$X$191&gt;-1),IF(逐级计算!$X$191=0,GI28+逐级计算!$C$191,GI28+逐级计算!$C$191-(10/(逐级计算!$Q$191*LN(10))*(MAX((LN(10^(逐级计算!$Q$191/10)-1)+逐级计算!$Q$191*(GI28-逐级计算!$P$191)*LN(10)/10),0)+LN(1+EXP(-ABS((LN(10^(逐级计算!$Q$191/10)-1)+逐级计算!$Q$191*(GI28-逐级计算!$P$191)*LN(10)/10))))))),"")</f>
        <v>13.7930542536294</v>
      </c>
      <c r="GK28">
        <f>IF(AND(ISNUMBER(GJ28),逐级计算!$X$192&gt;-1),IF(逐级计算!$X$192=0,GJ28+逐级计算!$C$192,GJ28+逐级计算!$C$192-(10/(逐级计算!$Q$192*LN(10))*(MAX((LN(10^(逐级计算!$Q$192/10)-1)+逐级计算!$Q$192*(GJ28-逐级计算!$P$192)*LN(10)/10),0)+LN(1+EXP(-ABS((LN(10^(逐级计算!$Q$192/10)-1)+逐级计算!$Q$192*(GJ28-逐级计算!$P$192)*LN(10)/10))))))),"")</f>
        <v>13.7930542536294</v>
      </c>
      <c r="GL28">
        <f>IF(AND(ISNUMBER(GK28),逐级计算!$X$193&gt;-1),IF(逐级计算!$X$193=0,GK28+逐级计算!$C$193,GK28+逐级计算!$C$193-(10/(逐级计算!$Q$193*LN(10))*(MAX((LN(10^(逐级计算!$Q$193/10)-1)+逐级计算!$Q$193*(GK28-逐级计算!$P$193)*LN(10)/10),0)+LN(1+EXP(-ABS((LN(10^(逐级计算!$Q$193/10)-1)+逐级计算!$Q$193*(GK28-逐级计算!$P$193)*LN(10)/10))))))),"")</f>
        <v>13.7930542536294</v>
      </c>
      <c r="GM28">
        <f>IF(AND(ISNUMBER(GL28),逐级计算!$X$194&gt;-1),IF(逐级计算!$X$194=0,GL28+逐级计算!$C$194,GL28+逐级计算!$C$194-(10/(逐级计算!$Q$194*LN(10))*(MAX((LN(10^(逐级计算!$Q$194/10)-1)+逐级计算!$Q$194*(GL28-逐级计算!$P$194)*LN(10)/10),0)+LN(1+EXP(-ABS((LN(10^(逐级计算!$Q$194/10)-1)+逐级计算!$Q$194*(GL28-逐级计算!$P$194)*LN(10)/10))))))),"")</f>
        <v>13.7930542536294</v>
      </c>
      <c r="GN28">
        <f>IF(AND(ISNUMBER(GM28),逐级计算!$X$195&gt;-1),IF(逐级计算!$X$195=0,GM28+逐级计算!$C$195,GM28+逐级计算!$C$195-(10/(逐级计算!$Q$195*LN(10))*(MAX((LN(10^(逐级计算!$Q$195/10)-1)+逐级计算!$Q$195*(GM28-逐级计算!$P$195)*LN(10)/10),0)+LN(1+EXP(-ABS((LN(10^(逐级计算!$Q$195/10)-1)+逐级计算!$Q$195*(GM28-逐级计算!$P$195)*LN(10)/10))))))),"")</f>
        <v>13.7930542536294</v>
      </c>
      <c r="GO28">
        <f>IF(AND(ISNUMBER(GN28),逐级计算!$X$196&gt;-1),IF(逐级计算!$X$196=0,GN28+逐级计算!$C$196,GN28+逐级计算!$C$196-(10/(逐级计算!$Q$196*LN(10))*(MAX((LN(10^(逐级计算!$Q$196/10)-1)+逐级计算!$Q$196*(GN28-逐级计算!$P$196)*LN(10)/10),0)+LN(1+EXP(-ABS((LN(10^(逐级计算!$Q$196/10)-1)+逐级计算!$Q$196*(GN28-逐级计算!$P$196)*LN(10)/10))))))),"")</f>
        <v>13.7930542536294</v>
      </c>
      <c r="GP28">
        <f>IF(AND(ISNUMBER(GO28),逐级计算!$X$197&gt;-1),IF(逐级计算!$X$197=0,GO28+逐级计算!$C$197,GO28+逐级计算!$C$197-(10/(逐级计算!$Q$197*LN(10))*(MAX((LN(10^(逐级计算!$Q$197/10)-1)+逐级计算!$Q$197*(GO28-逐级计算!$P$197)*LN(10)/10),0)+LN(1+EXP(-ABS((LN(10^(逐级计算!$Q$197/10)-1)+逐级计算!$Q$197*(GO28-逐级计算!$P$197)*LN(10)/10))))))),"")</f>
        <v>13.7930542536294</v>
      </c>
      <c r="GQ28">
        <f>IF(AND(ISNUMBER(GP28),逐级计算!$X$198&gt;-1),IF(逐级计算!$X$198=0,GP28+逐级计算!$C$198,GP28+逐级计算!$C$198-(10/(逐级计算!$Q$198*LN(10))*(MAX((LN(10^(逐级计算!$Q$198/10)-1)+逐级计算!$Q$198*(GP28-逐级计算!$P$198)*LN(10)/10),0)+LN(1+EXP(-ABS((LN(10^(逐级计算!$Q$198/10)-1)+逐级计算!$Q$198*(GP28-逐级计算!$P$198)*LN(10)/10))))))),"")</f>
        <v>13.7930542536294</v>
      </c>
      <c r="GR28">
        <f>IF(AND(ISNUMBER(GQ28),逐级计算!$X$199&gt;-1),IF(逐级计算!$X$199=0,GQ28+逐级计算!$C$199,GQ28+逐级计算!$C$199-(10/(逐级计算!$Q$199*LN(10))*(MAX((LN(10^(逐级计算!$Q$199/10)-1)+逐级计算!$Q$199*(GQ28-逐级计算!$P$199)*LN(10)/10),0)+LN(1+EXP(-ABS((LN(10^(逐级计算!$Q$199/10)-1)+逐级计算!$Q$199*(GQ28-逐级计算!$P$199)*LN(10)/10))))))),"")</f>
        <v>13.7930542536294</v>
      </c>
      <c r="GS28">
        <f>IF(AND(ISNUMBER(GR28),逐级计算!$X$200&gt;-1),IF(逐级计算!$X$200=0,GR28+逐级计算!$C$200,GR28+逐级计算!$C$200-(10/(逐级计算!$Q$200*LN(10))*(MAX((LN(10^(逐级计算!$Q$200/10)-1)+逐级计算!$Q$200*(GR28-逐级计算!$P$200)*LN(10)/10),0)+LN(1+EXP(-ABS((LN(10^(逐级计算!$Q$200/10)-1)+逐级计算!$Q$200*(GR28-逐级计算!$P$200)*LN(10)/10))))))),"")</f>
        <v>13.7930542536294</v>
      </c>
      <c r="GT28">
        <f>IF(AND(ISNUMBER(GS28),逐级计算!$X$201&gt;-1),IF(逐级计算!$X$201=0,GS28+逐级计算!$C$201,GS28+逐级计算!$C$201-(10/(逐级计算!$Q$201*LN(10))*(MAX((LN(10^(逐级计算!$Q$201/10)-1)+逐级计算!$Q$201*(GS28-逐级计算!$P$201)*LN(10)/10),0)+LN(1+EXP(-ABS((LN(10^(逐级计算!$Q$201/10)-1)+逐级计算!$Q$201*(GS28-逐级计算!$P$201)*LN(10)/10))))))),"")</f>
        <v>13.7930542536294</v>
      </c>
      <c r="GU28">
        <f>IF(AND(ISNUMBER(GT28),逐级计算!$X$202&gt;-1),IF(逐级计算!$X$202=0,GT28+逐级计算!$C$202,GT28+逐级计算!$C$202-(10/(逐级计算!$Q$202*LN(10))*(MAX((LN(10^(逐级计算!$Q$202/10)-1)+逐级计算!$Q$202*(GT28-逐级计算!$P$202)*LN(10)/10),0)+LN(1+EXP(-ABS((LN(10^(逐级计算!$Q$202/10)-1)+逐级计算!$Q$202*(GT28-逐级计算!$P$202)*LN(10)/10))))))),"")</f>
        <v>13.7930542536294</v>
      </c>
      <c r="GV28">
        <f>IF(AND(ISNUMBER(GU28),逐级计算!$X$203&gt;-1),IF(逐级计算!$X$203=0,GU28+逐级计算!$C$203,GU28+逐级计算!$C$203-(10/(逐级计算!$Q$203*LN(10))*(MAX((LN(10^(逐级计算!$Q$203/10)-1)+逐级计算!$Q$203*(GU28-逐级计算!$P$203)*LN(10)/10),0)+LN(1+EXP(-ABS((LN(10^(逐级计算!$Q$203/10)-1)+逐级计算!$Q$203*(GU28-逐级计算!$P$203)*LN(10)/10))))))),"")</f>
        <v>13.7930542536294</v>
      </c>
      <c r="GW28">
        <f t="shared" si="2"/>
        <v>-5.20688533782959</v>
      </c>
    </row>
    <row r="29" spans="1:205">
      <c r="A29">
        <v>22</v>
      </c>
      <c r="B29">
        <f t="shared" si="1"/>
        <v>-5.20698547363281</v>
      </c>
      <c r="C29">
        <f t="shared" si="0"/>
        <v>-5.20696043968201</v>
      </c>
      <c r="D29">
        <f>IF(AND(ISNUMBER(C29),ISNUMBER(逐级计算!$E$203),ISNUMBER(GV29)),C29+逐级计算!$E$203-GV29,"")</f>
        <v>1.00000110200212</v>
      </c>
      <c r="E29">
        <f>IF(AND(ISNUMBER(C29),逐级计算!$X$4&gt;-1),IF(逐级计算!$X$4=0,C29+逐级计算!$C$4,C29+逐级计算!$C$4-(10/(逐级计算!$Q$4*LN(10))*(MAX((LN(10^(逐级计算!$Q$4/10)-1)+逐级计算!$Q$4*(C29-逐级计算!$P$4)*LN(10)/10),0)+LN(1+EXP(-ABS((LN(10^(逐级计算!$Q$4/10)-1)+逐级计算!$Q$4*(C29-逐级计算!$P$4)*LN(10)/10))))))),"")</f>
        <v>4.68054266463071</v>
      </c>
      <c r="F29">
        <f>IF(AND(ISNUMBER(E29),逐级计算!$X$5&gt;-1),IF(逐级计算!$X$5=0,E29+逐级计算!$C$5,E29+逐级计算!$C$5-(10/(逐级计算!$Q$5*LN(10))*(MAX((LN(10^(逐级计算!$Q$5/10)-1)+逐级计算!$Q$5*(E29-逐级计算!$P$5)*LN(10)/10),0)+LN(1+EXP(-ABS((LN(10^(逐级计算!$Q$5/10)-1)+逐级计算!$Q$5*(E29-逐级计算!$P$5)*LN(10)/10))))))),"")</f>
        <v>13.7930384583159</v>
      </c>
      <c r="G29">
        <f>IF(AND(ISNUMBER(F29),逐级计算!$X$6&gt;-1),IF(逐级计算!$X$6=0,F29+逐级计算!$C$6,F29+逐级计算!$C$6-(10/(逐级计算!$Q$6*LN(10))*(MAX((LN(10^(逐级计算!$Q$6/10)-1)+逐级计算!$Q$6*(F29-逐级计算!$P$6)*LN(10)/10),0)+LN(1+EXP(-ABS((LN(10^(逐级计算!$Q$6/10)-1)+逐级计算!$Q$6*(F29-逐级计算!$P$6)*LN(10)/10))))))),"")</f>
        <v>13.7930384583159</v>
      </c>
      <c r="H29">
        <f>IF(AND(ISNUMBER(G29),逐级计算!$X$7&gt;-1),IF(逐级计算!$X$7=0,G29+逐级计算!$C$7,G29+逐级计算!$C$7-(10/(逐级计算!$Q$7*LN(10))*(MAX((LN(10^(逐级计算!$Q$7/10)-1)+逐级计算!$Q$7*(G29-逐级计算!$P$7)*LN(10)/10),0)+LN(1+EXP(-ABS((LN(10^(逐级计算!$Q$7/10)-1)+逐级计算!$Q$7*(G29-逐级计算!$P$7)*LN(10)/10))))))),"")</f>
        <v>13.7930384583159</v>
      </c>
      <c r="I29">
        <f>IF(AND(ISNUMBER(H29),逐级计算!$X$8&gt;-1),IF(逐级计算!$X$8=0,H29+逐级计算!$C$8,H29+逐级计算!$C$8-(10/(逐级计算!$Q$8*LN(10))*(MAX((LN(10^(逐级计算!$Q$8/10)-1)+逐级计算!$Q$8*(H29-逐级计算!$P$8)*LN(10)/10),0)+LN(1+EXP(-ABS((LN(10^(逐级计算!$Q$8/10)-1)+逐级计算!$Q$8*(H29-逐级计算!$P$8)*LN(10)/10))))))),"")</f>
        <v>13.7930384583159</v>
      </c>
      <c r="J29">
        <f>IF(AND(ISNUMBER(I29),逐级计算!$X$9&gt;-1),IF(逐级计算!$X$9=0,I29+逐级计算!$C$9,I29+逐级计算!$C$9-(10/(逐级计算!$Q$9*LN(10))*(MAX((LN(10^(逐级计算!$Q$9/10)-1)+逐级计算!$Q$9*(I29-逐级计算!$P$9)*LN(10)/10),0)+LN(1+EXP(-ABS((LN(10^(逐级计算!$Q$9/10)-1)+逐级计算!$Q$9*(I29-逐级计算!$P$9)*LN(10)/10))))))),"")</f>
        <v>13.7930384583159</v>
      </c>
      <c r="K29">
        <f>IF(AND(ISNUMBER(J29),逐级计算!$X$10&gt;-1),IF(逐级计算!$X$10=0,J29+逐级计算!$C$10,J29+逐级计算!$C$10-(10/(逐级计算!$Q$10*LN(10))*(MAX((LN(10^(逐级计算!$Q$10/10)-1)+逐级计算!$Q$10*(J29-逐级计算!$P$10)*LN(10)/10),0)+LN(1+EXP(-ABS((LN(10^(逐级计算!$Q$10/10)-1)+逐级计算!$Q$10*(J29-逐级计算!$P$10)*LN(10)/10))))))),"")</f>
        <v>13.7930384583159</v>
      </c>
      <c r="L29">
        <f>IF(AND(ISNUMBER(K29),逐级计算!$X$11&gt;-1),IF(逐级计算!$X$11=0,K29+逐级计算!$C$11,K29+逐级计算!$C$11-(10/(逐级计算!$Q$11*LN(10))*(MAX((LN(10^(逐级计算!$Q$11/10)-1)+逐级计算!$Q$11*(K29-逐级计算!$P$11)*LN(10)/10),0)+LN(1+EXP(-ABS((LN(10^(逐级计算!$Q$11/10)-1)+逐级计算!$Q$11*(K29-逐级计算!$P$11)*LN(10)/10))))))),"")</f>
        <v>13.7930384583159</v>
      </c>
      <c r="M29">
        <f>IF(AND(ISNUMBER(L29),逐级计算!$X$12&gt;-1),IF(逐级计算!$X$12=0,L29+逐级计算!$C$12,L29+逐级计算!$C$12-(10/(逐级计算!$Q$12*LN(10))*(MAX((LN(10^(逐级计算!$Q$12/10)-1)+逐级计算!$Q$12*(L29-逐级计算!$P$12)*LN(10)/10),0)+LN(1+EXP(-ABS((LN(10^(逐级计算!$Q$12/10)-1)+逐级计算!$Q$12*(L29-逐级计算!$P$12)*LN(10)/10))))))),"")</f>
        <v>13.7930384583159</v>
      </c>
      <c r="N29">
        <f>IF(AND(ISNUMBER(M29),逐级计算!$X$13&gt;-1),IF(逐级计算!$X$13=0,M29+逐级计算!$C$13,M29+逐级计算!$C$13-(10/(逐级计算!$Q$13*LN(10))*(MAX((LN(10^(逐级计算!$Q$13/10)-1)+逐级计算!$Q$13*(M29-逐级计算!$P$13)*LN(10)/10),0)+LN(1+EXP(-ABS((LN(10^(逐级计算!$Q$13/10)-1)+逐级计算!$Q$13*(M29-逐级计算!$P$13)*LN(10)/10))))))),"")</f>
        <v>13.7930384583159</v>
      </c>
      <c r="O29">
        <f>IF(AND(ISNUMBER(N29),逐级计算!$X$14&gt;-1),IF(逐级计算!$X$14=0,N29+逐级计算!$C$14,N29+逐级计算!$C$14-(10/(逐级计算!$Q$14*LN(10))*(MAX((LN(10^(逐级计算!$Q$14/10)-1)+逐级计算!$Q$14*(N29-逐级计算!$P$14)*LN(10)/10),0)+LN(1+EXP(-ABS((LN(10^(逐级计算!$Q$14/10)-1)+逐级计算!$Q$14*(N29-逐级计算!$P$14)*LN(10)/10))))))),"")</f>
        <v>13.7930384583159</v>
      </c>
      <c r="P29">
        <f>IF(AND(ISNUMBER(O29),逐级计算!$X$15&gt;-1),IF(逐级计算!$X$15=0,O29+逐级计算!$C$15,O29+逐级计算!$C$15-(10/(逐级计算!$Q$15*LN(10))*(MAX((LN(10^(逐级计算!$Q$15/10)-1)+逐级计算!$Q$15*(O29-逐级计算!$P$15)*LN(10)/10),0)+LN(1+EXP(-ABS((LN(10^(逐级计算!$Q$15/10)-1)+逐级计算!$Q$15*(O29-逐级计算!$P$15)*LN(10)/10))))))),"")</f>
        <v>13.7930384583159</v>
      </c>
      <c r="Q29">
        <f>IF(AND(ISNUMBER(P29),逐级计算!$X$16&gt;-1),IF(逐级计算!$X$16=0,P29+逐级计算!$C$16,P29+逐级计算!$C$16-(10/(逐级计算!$Q$16*LN(10))*(MAX((LN(10^(逐级计算!$Q$16/10)-1)+逐级计算!$Q$16*(P29-逐级计算!$P$16)*LN(10)/10),0)+LN(1+EXP(-ABS((LN(10^(逐级计算!$Q$16/10)-1)+逐级计算!$Q$16*(P29-逐级计算!$P$16)*LN(10)/10))))))),"")</f>
        <v>13.7930384583159</v>
      </c>
      <c r="R29">
        <f>IF(AND(ISNUMBER(Q29),逐级计算!$X$17&gt;-1),IF(逐级计算!$X$17=0,Q29+逐级计算!$C$17,Q29+逐级计算!$C$17-(10/(逐级计算!$Q$17*LN(10))*(MAX((LN(10^(逐级计算!$Q$17/10)-1)+逐级计算!$Q$17*(Q29-逐级计算!$P$17)*LN(10)/10),0)+LN(1+EXP(-ABS((LN(10^(逐级计算!$Q$17/10)-1)+逐级计算!$Q$17*(Q29-逐级计算!$P$17)*LN(10)/10))))))),"")</f>
        <v>13.7930384583159</v>
      </c>
      <c r="S29">
        <f>IF(AND(ISNUMBER(R29),逐级计算!$X$18&gt;-1),IF(逐级计算!$X$18=0,R29+逐级计算!$C$18,R29+逐级计算!$C$18-(10/(逐级计算!$Q$18*LN(10))*(MAX((LN(10^(逐级计算!$Q$18/10)-1)+逐级计算!$Q$18*(R29-逐级计算!$P$18)*LN(10)/10),0)+LN(1+EXP(-ABS((LN(10^(逐级计算!$Q$18/10)-1)+逐级计算!$Q$18*(R29-逐级计算!$P$18)*LN(10)/10))))))),"")</f>
        <v>13.7930384583159</v>
      </c>
      <c r="T29">
        <f>IF(AND(ISNUMBER(S29),逐级计算!$X$19&gt;-1),IF(逐级计算!$X$19=0,S29+逐级计算!$C$19,S29+逐级计算!$C$19-(10/(逐级计算!$Q$19*LN(10))*(MAX((LN(10^(逐级计算!$Q$19/10)-1)+逐级计算!$Q$19*(S29-逐级计算!$P$19)*LN(10)/10),0)+LN(1+EXP(-ABS((LN(10^(逐级计算!$Q$19/10)-1)+逐级计算!$Q$19*(S29-逐级计算!$P$19)*LN(10)/10))))))),"")</f>
        <v>13.7930384583159</v>
      </c>
      <c r="U29">
        <f>IF(AND(ISNUMBER(T29),逐级计算!$X$20&gt;-1),IF(逐级计算!$X$20=0,T29+逐级计算!$C$20,T29+逐级计算!$C$20-(10/(逐级计算!$Q$20*LN(10))*(MAX((LN(10^(逐级计算!$Q$20/10)-1)+逐级计算!$Q$20*(T29-逐级计算!$P$20)*LN(10)/10),0)+LN(1+EXP(-ABS((LN(10^(逐级计算!$Q$20/10)-1)+逐级计算!$Q$20*(T29-逐级计算!$P$20)*LN(10)/10))))))),"")</f>
        <v>13.7930384583159</v>
      </c>
      <c r="V29">
        <f>IF(AND(ISNUMBER(U29),逐级计算!$X$21&gt;-1),IF(逐级计算!$X$21=0,U29+逐级计算!$C$21,U29+逐级计算!$C$21-(10/(逐级计算!$Q$21*LN(10))*(MAX((LN(10^(逐级计算!$Q$21/10)-1)+逐级计算!$Q$21*(U29-逐级计算!$P$21)*LN(10)/10),0)+LN(1+EXP(-ABS((LN(10^(逐级计算!$Q$21/10)-1)+逐级计算!$Q$21*(U29-逐级计算!$P$21)*LN(10)/10))))))),"")</f>
        <v>13.7930384583159</v>
      </c>
      <c r="W29">
        <f>IF(AND(ISNUMBER(V29),逐级计算!$X$22&gt;-1),IF(逐级计算!$X$22=0,V29+逐级计算!$C$22,V29+逐级计算!$C$22-(10/(逐级计算!$Q$22*LN(10))*(MAX((LN(10^(逐级计算!$Q$22/10)-1)+逐级计算!$Q$22*(V29-逐级计算!$P$22)*LN(10)/10),0)+LN(1+EXP(-ABS((LN(10^(逐级计算!$Q$22/10)-1)+逐级计算!$Q$22*(V29-逐级计算!$P$22)*LN(10)/10))))))),"")</f>
        <v>13.7930384583159</v>
      </c>
      <c r="X29">
        <f>IF(AND(ISNUMBER(W29),逐级计算!$X$23&gt;-1),IF(逐级计算!$X$23=0,W29+逐级计算!$C$23,W29+逐级计算!$C$23-(10/(逐级计算!$Q$23*LN(10))*(MAX((LN(10^(逐级计算!$Q$23/10)-1)+逐级计算!$Q$23*(W29-逐级计算!$P$23)*LN(10)/10),0)+LN(1+EXP(-ABS((LN(10^(逐级计算!$Q$23/10)-1)+逐级计算!$Q$23*(W29-逐级计算!$P$23)*LN(10)/10))))))),"")</f>
        <v>13.7930384583159</v>
      </c>
      <c r="Y29">
        <f>IF(AND(ISNUMBER(X29),逐级计算!$X$24&gt;-1),IF(逐级计算!$X$24=0,X29+逐级计算!$C$24,X29+逐级计算!$C$24-(10/(逐级计算!$Q$24*LN(10))*(MAX((LN(10^(逐级计算!$Q$24/10)-1)+逐级计算!$Q$24*(X29-逐级计算!$P$24)*LN(10)/10),0)+LN(1+EXP(-ABS((LN(10^(逐级计算!$Q$24/10)-1)+逐级计算!$Q$24*(X29-逐级计算!$P$24)*LN(10)/10))))))),"")</f>
        <v>13.7930384583159</v>
      </c>
      <c r="Z29">
        <f>IF(AND(ISNUMBER(Y29),逐级计算!$X$25&gt;-1),IF(逐级计算!$X$25=0,Y29+逐级计算!$C$25,Y29+逐级计算!$C$25-(10/(逐级计算!$Q$25*LN(10))*(MAX((LN(10^(逐级计算!$Q$25/10)-1)+逐级计算!$Q$25*(Y29-逐级计算!$P$25)*LN(10)/10),0)+LN(1+EXP(-ABS((LN(10^(逐级计算!$Q$25/10)-1)+逐级计算!$Q$25*(Y29-逐级计算!$P$25)*LN(10)/10))))))),"")</f>
        <v>13.7930384583159</v>
      </c>
      <c r="AA29">
        <f>IF(AND(ISNUMBER(Z29),逐级计算!$X$26&gt;-1),IF(逐级计算!$X$26=0,Z29+逐级计算!$C$26,Z29+逐级计算!$C$26-(10/(逐级计算!$Q$26*LN(10))*(MAX((LN(10^(逐级计算!$Q$26/10)-1)+逐级计算!$Q$26*(Z29-逐级计算!$P$26)*LN(10)/10),0)+LN(1+EXP(-ABS((LN(10^(逐级计算!$Q$26/10)-1)+逐级计算!$Q$26*(Z29-逐级计算!$P$26)*LN(10)/10))))))),"")</f>
        <v>13.7930384583159</v>
      </c>
      <c r="AB29">
        <f>IF(AND(ISNUMBER(AA29),逐级计算!$X$27&gt;-1),IF(逐级计算!$X$27=0,AA29+逐级计算!$C$27,AA29+逐级计算!$C$27-(10/(逐级计算!$Q$27*LN(10))*(MAX((LN(10^(逐级计算!$Q$27/10)-1)+逐级计算!$Q$27*(AA29-逐级计算!$P$27)*LN(10)/10),0)+LN(1+EXP(-ABS((LN(10^(逐级计算!$Q$27/10)-1)+逐级计算!$Q$27*(AA29-逐级计算!$P$27)*LN(10)/10))))))),"")</f>
        <v>13.7930384583159</v>
      </c>
      <c r="AC29">
        <f>IF(AND(ISNUMBER(AB29),逐级计算!$X$28&gt;-1),IF(逐级计算!$X$28=0,AB29+逐级计算!$C$28,AB29+逐级计算!$C$28-(10/(逐级计算!$Q$28*LN(10))*(MAX((LN(10^(逐级计算!$Q$28/10)-1)+逐级计算!$Q$28*(AB29-逐级计算!$P$28)*LN(10)/10),0)+LN(1+EXP(-ABS((LN(10^(逐级计算!$Q$28/10)-1)+逐级计算!$Q$28*(AB29-逐级计算!$P$28)*LN(10)/10))))))),"")</f>
        <v>13.7930384583159</v>
      </c>
      <c r="AD29">
        <f>IF(AND(ISNUMBER(AC29),逐级计算!$X$29&gt;-1),IF(逐级计算!$X$29=0,AC29+逐级计算!$C$29,AC29+逐级计算!$C$29-(10/(逐级计算!$Q$29*LN(10))*(MAX((LN(10^(逐级计算!$Q$29/10)-1)+逐级计算!$Q$29*(AC29-逐级计算!$P$29)*LN(10)/10),0)+LN(1+EXP(-ABS((LN(10^(逐级计算!$Q$29/10)-1)+逐级计算!$Q$29*(AC29-逐级计算!$P$29)*LN(10)/10))))))),"")</f>
        <v>13.7930384583159</v>
      </c>
      <c r="AE29">
        <f>IF(AND(ISNUMBER(AD29),逐级计算!$X$30&gt;-1),IF(逐级计算!$X$30=0,AD29+逐级计算!$C$30,AD29+逐级计算!$C$30-(10/(逐级计算!$Q$30*LN(10))*(MAX((LN(10^(逐级计算!$Q$30/10)-1)+逐级计算!$Q$30*(AD29-逐级计算!$P$30)*LN(10)/10),0)+LN(1+EXP(-ABS((LN(10^(逐级计算!$Q$30/10)-1)+逐级计算!$Q$30*(AD29-逐级计算!$P$30)*LN(10)/10))))))),"")</f>
        <v>13.7930384583159</v>
      </c>
      <c r="AF29">
        <f>IF(AND(ISNUMBER(AE29),逐级计算!$X$31&gt;-1),IF(逐级计算!$X$31=0,AE29+逐级计算!$C$31,AE29+逐级计算!$C$31-(10/(逐级计算!$Q$31*LN(10))*(MAX((LN(10^(逐级计算!$Q$31/10)-1)+逐级计算!$Q$31*(AE29-逐级计算!$P$31)*LN(10)/10),0)+LN(1+EXP(-ABS((LN(10^(逐级计算!$Q$31/10)-1)+逐级计算!$Q$31*(AE29-逐级计算!$P$31)*LN(10)/10))))))),"")</f>
        <v>13.7930384583159</v>
      </c>
      <c r="AG29">
        <f>IF(AND(ISNUMBER(AF29),逐级计算!$X$32&gt;-1),IF(逐级计算!$X$32=0,AF29+逐级计算!$C$32,AF29+逐级计算!$C$32-(10/(逐级计算!$Q$32*LN(10))*(MAX((LN(10^(逐级计算!$Q$32/10)-1)+逐级计算!$Q$32*(AF29-逐级计算!$P$32)*LN(10)/10),0)+LN(1+EXP(-ABS((LN(10^(逐级计算!$Q$32/10)-1)+逐级计算!$Q$32*(AF29-逐级计算!$P$32)*LN(10)/10))))))),"")</f>
        <v>13.7930384583159</v>
      </c>
      <c r="AH29">
        <f>IF(AND(ISNUMBER(AG29),逐级计算!$X$33&gt;-1),IF(逐级计算!$X$33=0,AG29+逐级计算!$C$33,AG29+逐级计算!$C$33-(10/(逐级计算!$Q$33*LN(10))*(MAX((LN(10^(逐级计算!$Q$33/10)-1)+逐级计算!$Q$33*(AG29-逐级计算!$P$33)*LN(10)/10),0)+LN(1+EXP(-ABS((LN(10^(逐级计算!$Q$33/10)-1)+逐级计算!$Q$33*(AG29-逐级计算!$P$33)*LN(10)/10))))))),"")</f>
        <v>13.7930384583159</v>
      </c>
      <c r="AI29">
        <f>IF(AND(ISNUMBER(AH29),逐级计算!$X$34&gt;-1),IF(逐级计算!$X$34=0,AH29+逐级计算!$C$34,AH29+逐级计算!$C$34-(10/(逐级计算!$Q$34*LN(10))*(MAX((LN(10^(逐级计算!$Q$34/10)-1)+逐级计算!$Q$34*(AH29-逐级计算!$P$34)*LN(10)/10),0)+LN(1+EXP(-ABS((LN(10^(逐级计算!$Q$34/10)-1)+逐级计算!$Q$34*(AH29-逐级计算!$P$34)*LN(10)/10))))))),"")</f>
        <v>13.7930384583159</v>
      </c>
      <c r="AJ29">
        <f>IF(AND(ISNUMBER(AI29),逐级计算!$X$35&gt;-1),IF(逐级计算!$X$35=0,AI29+逐级计算!$C$35,AI29+逐级计算!$C$35-(10/(逐级计算!$Q$35*LN(10))*(MAX((LN(10^(逐级计算!$Q$35/10)-1)+逐级计算!$Q$35*(AI29-逐级计算!$P$35)*LN(10)/10),0)+LN(1+EXP(-ABS((LN(10^(逐级计算!$Q$35/10)-1)+逐级计算!$Q$35*(AI29-逐级计算!$P$35)*LN(10)/10))))))),"")</f>
        <v>13.7930384583159</v>
      </c>
      <c r="AK29">
        <f>IF(AND(ISNUMBER(AJ29),逐级计算!$X$36&gt;-1),IF(逐级计算!$X$36=0,AJ29+逐级计算!$C$36,AJ29+逐级计算!$C$36-(10/(逐级计算!$Q$36*LN(10))*(MAX((LN(10^(逐级计算!$Q$36/10)-1)+逐级计算!$Q$36*(AJ29-逐级计算!$P$36)*LN(10)/10),0)+LN(1+EXP(-ABS((LN(10^(逐级计算!$Q$36/10)-1)+逐级计算!$Q$36*(AJ29-逐级计算!$P$36)*LN(10)/10))))))),"")</f>
        <v>13.7930384583159</v>
      </c>
      <c r="AL29">
        <f>IF(AND(ISNUMBER(AK29),逐级计算!$X$37&gt;-1),IF(逐级计算!$X$37=0,AK29+逐级计算!$C$37,AK29+逐级计算!$C$37-(10/(逐级计算!$Q$37*LN(10))*(MAX((LN(10^(逐级计算!$Q$37/10)-1)+逐级计算!$Q$37*(AK29-逐级计算!$P$37)*LN(10)/10),0)+LN(1+EXP(-ABS((LN(10^(逐级计算!$Q$37/10)-1)+逐级计算!$Q$37*(AK29-逐级计算!$P$37)*LN(10)/10))))))),"")</f>
        <v>13.7930384583159</v>
      </c>
      <c r="AM29">
        <f>IF(AND(ISNUMBER(AL29),逐级计算!$X$38&gt;-1),IF(逐级计算!$X$38=0,AL29+逐级计算!$C$38,AL29+逐级计算!$C$38-(10/(逐级计算!$Q$38*LN(10))*(MAX((LN(10^(逐级计算!$Q$38/10)-1)+逐级计算!$Q$38*(AL29-逐级计算!$P$38)*LN(10)/10),0)+LN(1+EXP(-ABS((LN(10^(逐级计算!$Q$38/10)-1)+逐级计算!$Q$38*(AL29-逐级计算!$P$38)*LN(10)/10))))))),"")</f>
        <v>13.7930384583159</v>
      </c>
      <c r="AN29">
        <f>IF(AND(ISNUMBER(AM29),逐级计算!$X$39&gt;-1),IF(逐级计算!$X$39=0,AM29+逐级计算!$C$39,AM29+逐级计算!$C$39-(10/(逐级计算!$Q$39*LN(10))*(MAX((LN(10^(逐级计算!$Q$39/10)-1)+逐级计算!$Q$39*(AM29-逐级计算!$P$39)*LN(10)/10),0)+LN(1+EXP(-ABS((LN(10^(逐级计算!$Q$39/10)-1)+逐级计算!$Q$39*(AM29-逐级计算!$P$39)*LN(10)/10))))))),"")</f>
        <v>13.7930384583159</v>
      </c>
      <c r="AO29">
        <f>IF(AND(ISNUMBER(AN29),逐级计算!$X$40&gt;-1),IF(逐级计算!$X$40=0,AN29+逐级计算!$C$40,AN29+逐级计算!$C$40-(10/(逐级计算!$Q$40*LN(10))*(MAX((LN(10^(逐级计算!$Q$40/10)-1)+逐级计算!$Q$40*(AN29-逐级计算!$P$40)*LN(10)/10),0)+LN(1+EXP(-ABS((LN(10^(逐级计算!$Q$40/10)-1)+逐级计算!$Q$40*(AN29-逐级计算!$P$40)*LN(10)/10))))))),"")</f>
        <v>13.7930384583159</v>
      </c>
      <c r="AP29">
        <f>IF(AND(ISNUMBER(AO29),逐级计算!$X$41&gt;-1),IF(逐级计算!$X$41=0,AO29+逐级计算!$C$41,AO29+逐级计算!$C$41-(10/(逐级计算!$Q$41*LN(10))*(MAX((LN(10^(逐级计算!$Q$41/10)-1)+逐级计算!$Q$41*(AO29-逐级计算!$P$41)*LN(10)/10),0)+LN(1+EXP(-ABS((LN(10^(逐级计算!$Q$41/10)-1)+逐级计算!$Q$41*(AO29-逐级计算!$P$41)*LN(10)/10))))))),"")</f>
        <v>13.7930384583159</v>
      </c>
      <c r="AQ29">
        <f>IF(AND(ISNUMBER(AP29),逐级计算!$X$42&gt;-1),IF(逐级计算!$X$42=0,AP29+逐级计算!$C$42,AP29+逐级计算!$C$42-(10/(逐级计算!$Q$42*LN(10))*(MAX((LN(10^(逐级计算!$Q$42/10)-1)+逐级计算!$Q$42*(AP29-逐级计算!$P$42)*LN(10)/10),0)+LN(1+EXP(-ABS((LN(10^(逐级计算!$Q$42/10)-1)+逐级计算!$Q$42*(AP29-逐级计算!$P$42)*LN(10)/10))))))),"")</f>
        <v>13.7930384583159</v>
      </c>
      <c r="AR29">
        <f>IF(AND(ISNUMBER(AQ29),逐级计算!$X$43&gt;-1),IF(逐级计算!$X$43=0,AQ29+逐级计算!$C$43,AQ29+逐级计算!$C$43-(10/(逐级计算!$Q$43*LN(10))*(MAX((LN(10^(逐级计算!$Q$43/10)-1)+逐级计算!$Q$43*(AQ29-逐级计算!$P$43)*LN(10)/10),0)+LN(1+EXP(-ABS((LN(10^(逐级计算!$Q$43/10)-1)+逐级计算!$Q$43*(AQ29-逐级计算!$P$43)*LN(10)/10))))))),"")</f>
        <v>13.7930384583159</v>
      </c>
      <c r="AS29">
        <f>IF(AND(ISNUMBER(AR29),逐级计算!$X$44&gt;-1),IF(逐级计算!$X$44=0,AR29+逐级计算!$C$44,AR29+逐级计算!$C$44-(10/(逐级计算!$Q$44*LN(10))*(MAX((LN(10^(逐级计算!$Q$44/10)-1)+逐级计算!$Q$44*(AR29-逐级计算!$P$44)*LN(10)/10),0)+LN(1+EXP(-ABS((LN(10^(逐级计算!$Q$44/10)-1)+逐级计算!$Q$44*(AR29-逐级计算!$P$44)*LN(10)/10))))))),"")</f>
        <v>13.7930384583159</v>
      </c>
      <c r="AT29">
        <f>IF(AND(ISNUMBER(AS29),逐级计算!$X$45&gt;-1),IF(逐级计算!$X$45=0,AS29+逐级计算!$C$45,AS29+逐级计算!$C$45-(10/(逐级计算!$Q$45*LN(10))*(MAX((LN(10^(逐级计算!$Q$45/10)-1)+逐级计算!$Q$45*(AS29-逐级计算!$P$45)*LN(10)/10),0)+LN(1+EXP(-ABS((LN(10^(逐级计算!$Q$45/10)-1)+逐级计算!$Q$45*(AS29-逐级计算!$P$45)*LN(10)/10))))))),"")</f>
        <v>13.7930384583159</v>
      </c>
      <c r="AU29">
        <f>IF(AND(ISNUMBER(AT29),逐级计算!$X$46&gt;-1),IF(逐级计算!$X$46=0,AT29+逐级计算!$C$46,AT29+逐级计算!$C$46-(10/(逐级计算!$Q$46*LN(10))*(MAX((LN(10^(逐级计算!$Q$46/10)-1)+逐级计算!$Q$46*(AT29-逐级计算!$P$46)*LN(10)/10),0)+LN(1+EXP(-ABS((LN(10^(逐级计算!$Q$46/10)-1)+逐级计算!$Q$46*(AT29-逐级计算!$P$46)*LN(10)/10))))))),"")</f>
        <v>13.7930384583159</v>
      </c>
      <c r="AV29">
        <f>IF(AND(ISNUMBER(AU29),逐级计算!$X$47&gt;-1),IF(逐级计算!$X$47=0,AU29+逐级计算!$C$47,AU29+逐级计算!$C$47-(10/(逐级计算!$Q$47*LN(10))*(MAX((LN(10^(逐级计算!$Q$47/10)-1)+逐级计算!$Q$47*(AU29-逐级计算!$P$47)*LN(10)/10),0)+LN(1+EXP(-ABS((LN(10^(逐级计算!$Q$47/10)-1)+逐级计算!$Q$47*(AU29-逐级计算!$P$47)*LN(10)/10))))))),"")</f>
        <v>13.7930384583159</v>
      </c>
      <c r="AW29">
        <f>IF(AND(ISNUMBER(AV29),逐级计算!$X$48&gt;-1),IF(逐级计算!$X$48=0,AV29+逐级计算!$C$48,AV29+逐级计算!$C$48-(10/(逐级计算!$Q$48*LN(10))*(MAX((LN(10^(逐级计算!$Q$48/10)-1)+逐级计算!$Q$48*(AV29-逐级计算!$P$48)*LN(10)/10),0)+LN(1+EXP(-ABS((LN(10^(逐级计算!$Q$48/10)-1)+逐级计算!$Q$48*(AV29-逐级计算!$P$48)*LN(10)/10))))))),"")</f>
        <v>13.7930384583159</v>
      </c>
      <c r="AX29">
        <f>IF(AND(ISNUMBER(AW29),逐级计算!$X$49&gt;-1),IF(逐级计算!$X$49=0,AW29+逐级计算!$C$49,AW29+逐级计算!$C$49-(10/(逐级计算!$Q$49*LN(10))*(MAX((LN(10^(逐级计算!$Q$49/10)-1)+逐级计算!$Q$49*(AW29-逐级计算!$P$49)*LN(10)/10),0)+LN(1+EXP(-ABS((LN(10^(逐级计算!$Q$49/10)-1)+逐级计算!$Q$49*(AW29-逐级计算!$P$49)*LN(10)/10))))))),"")</f>
        <v>13.7930384583159</v>
      </c>
      <c r="AY29">
        <f>IF(AND(ISNUMBER(AX29),逐级计算!$X$50&gt;-1),IF(逐级计算!$X$50=0,AX29+逐级计算!$C$50,AX29+逐级计算!$C$50-(10/(逐级计算!$Q$50*LN(10))*(MAX((LN(10^(逐级计算!$Q$50/10)-1)+逐级计算!$Q$50*(AX29-逐级计算!$P$50)*LN(10)/10),0)+LN(1+EXP(-ABS((LN(10^(逐级计算!$Q$50/10)-1)+逐级计算!$Q$50*(AX29-逐级计算!$P$50)*LN(10)/10))))))),"")</f>
        <v>13.7930384583159</v>
      </c>
      <c r="AZ29">
        <f>IF(AND(ISNUMBER(AY29),逐级计算!$X$51&gt;-1),IF(逐级计算!$X$51=0,AY29+逐级计算!$C$51,AY29+逐级计算!$C$51-(10/(逐级计算!$Q$51*LN(10))*(MAX((LN(10^(逐级计算!$Q$51/10)-1)+逐级计算!$Q$51*(AY29-逐级计算!$P$51)*LN(10)/10),0)+LN(1+EXP(-ABS((LN(10^(逐级计算!$Q$51/10)-1)+逐级计算!$Q$51*(AY29-逐级计算!$P$51)*LN(10)/10))))))),"")</f>
        <v>13.7930384583159</v>
      </c>
      <c r="BA29">
        <f>IF(AND(ISNUMBER(AZ29),逐级计算!$X$52&gt;-1),IF(逐级计算!$X$52=0,AZ29+逐级计算!$C$52,AZ29+逐级计算!$C$52-(10/(逐级计算!$Q$52*LN(10))*(MAX((LN(10^(逐级计算!$Q$52/10)-1)+逐级计算!$Q$52*(AZ29-逐级计算!$P$52)*LN(10)/10),0)+LN(1+EXP(-ABS((LN(10^(逐级计算!$Q$52/10)-1)+逐级计算!$Q$52*(AZ29-逐级计算!$P$52)*LN(10)/10))))))),"")</f>
        <v>13.7930384583159</v>
      </c>
      <c r="BB29">
        <f>IF(AND(ISNUMBER(BA29),逐级计算!$X$53&gt;-1),IF(逐级计算!$X$53=0,BA29+逐级计算!$C$53,BA29+逐级计算!$C$53-(10/(逐级计算!$Q$53*LN(10))*(MAX((LN(10^(逐级计算!$Q$53/10)-1)+逐级计算!$Q$53*(BA29-逐级计算!$P$53)*LN(10)/10),0)+LN(1+EXP(-ABS((LN(10^(逐级计算!$Q$53/10)-1)+逐级计算!$Q$53*(BA29-逐级计算!$P$53)*LN(10)/10))))))),"")</f>
        <v>13.7930384583159</v>
      </c>
      <c r="BC29">
        <f>IF(AND(ISNUMBER(BB29),逐级计算!$X$54&gt;-1),IF(逐级计算!$X$54=0,BB29+逐级计算!$C$54,BB29+逐级计算!$C$54-(10/(逐级计算!$Q$54*LN(10))*(MAX((LN(10^(逐级计算!$Q$54/10)-1)+逐级计算!$Q$54*(BB29-逐级计算!$P$54)*LN(10)/10),0)+LN(1+EXP(-ABS((LN(10^(逐级计算!$Q$54/10)-1)+逐级计算!$Q$54*(BB29-逐级计算!$P$54)*LN(10)/10))))))),"")</f>
        <v>13.7930384583159</v>
      </c>
      <c r="BD29">
        <f>IF(AND(ISNUMBER(BC29),逐级计算!$X$55&gt;-1),IF(逐级计算!$X$55=0,BC29+逐级计算!$C$55,BC29+逐级计算!$C$55-(10/(逐级计算!$Q$55*LN(10))*(MAX((LN(10^(逐级计算!$Q$55/10)-1)+逐级计算!$Q$55*(BC29-逐级计算!$P$55)*LN(10)/10),0)+LN(1+EXP(-ABS((LN(10^(逐级计算!$Q$55/10)-1)+逐级计算!$Q$55*(BC29-逐级计算!$P$55)*LN(10)/10))))))),"")</f>
        <v>13.7930384583159</v>
      </c>
      <c r="BE29">
        <f>IF(AND(ISNUMBER(BD29),逐级计算!$X$56&gt;-1),IF(逐级计算!$X$56=0,BD29+逐级计算!$C$56,BD29+逐级计算!$C$56-(10/(逐级计算!$Q$56*LN(10))*(MAX((LN(10^(逐级计算!$Q$56/10)-1)+逐级计算!$Q$56*(BD29-逐级计算!$P$56)*LN(10)/10),0)+LN(1+EXP(-ABS((LN(10^(逐级计算!$Q$56/10)-1)+逐级计算!$Q$56*(BD29-逐级计算!$P$56)*LN(10)/10))))))),"")</f>
        <v>13.7930384583159</v>
      </c>
      <c r="BF29">
        <f>IF(AND(ISNUMBER(BE29),逐级计算!$X$57&gt;-1),IF(逐级计算!$X$57=0,BE29+逐级计算!$C$57,BE29+逐级计算!$C$57-(10/(逐级计算!$Q$57*LN(10))*(MAX((LN(10^(逐级计算!$Q$57/10)-1)+逐级计算!$Q$57*(BE29-逐级计算!$P$57)*LN(10)/10),0)+LN(1+EXP(-ABS((LN(10^(逐级计算!$Q$57/10)-1)+逐级计算!$Q$57*(BE29-逐级计算!$P$57)*LN(10)/10))))))),"")</f>
        <v>13.7930384583159</v>
      </c>
      <c r="BG29">
        <f>IF(AND(ISNUMBER(BF29),逐级计算!$X$58&gt;-1),IF(逐级计算!$X$58=0,BF29+逐级计算!$C$58,BF29+逐级计算!$C$58-(10/(逐级计算!$Q$58*LN(10))*(MAX((LN(10^(逐级计算!$Q$58/10)-1)+逐级计算!$Q$58*(BF29-逐级计算!$P$58)*LN(10)/10),0)+LN(1+EXP(-ABS((LN(10^(逐级计算!$Q$58/10)-1)+逐级计算!$Q$58*(BF29-逐级计算!$P$58)*LN(10)/10))))))),"")</f>
        <v>13.7930384583159</v>
      </c>
      <c r="BH29">
        <f>IF(AND(ISNUMBER(BG29),逐级计算!$X$59&gt;-1),IF(逐级计算!$X$59=0,BG29+逐级计算!$C$59,BG29+逐级计算!$C$59-(10/(逐级计算!$Q$59*LN(10))*(MAX((LN(10^(逐级计算!$Q$59/10)-1)+逐级计算!$Q$59*(BG29-逐级计算!$P$59)*LN(10)/10),0)+LN(1+EXP(-ABS((LN(10^(逐级计算!$Q$59/10)-1)+逐级计算!$Q$59*(BG29-逐级计算!$P$59)*LN(10)/10))))))),"")</f>
        <v>13.7930384583159</v>
      </c>
      <c r="BI29">
        <f>IF(AND(ISNUMBER(BH29),逐级计算!$X$60&gt;-1),IF(逐级计算!$X$60=0,BH29+逐级计算!$C$60,BH29+逐级计算!$C$60-(10/(逐级计算!$Q$60*LN(10))*(MAX((LN(10^(逐级计算!$Q$60/10)-1)+逐级计算!$Q$60*(BH29-逐级计算!$P$60)*LN(10)/10),0)+LN(1+EXP(-ABS((LN(10^(逐级计算!$Q$60/10)-1)+逐级计算!$Q$60*(BH29-逐级计算!$P$60)*LN(10)/10))))))),"")</f>
        <v>13.7930384583159</v>
      </c>
      <c r="BJ29">
        <f>IF(AND(ISNUMBER(BI29),逐级计算!$X$61&gt;-1),IF(逐级计算!$X$61=0,BI29+逐级计算!$C$61,BI29+逐级计算!$C$61-(10/(逐级计算!$Q$61*LN(10))*(MAX((LN(10^(逐级计算!$Q$61/10)-1)+逐级计算!$Q$61*(BI29-逐级计算!$P$61)*LN(10)/10),0)+LN(1+EXP(-ABS((LN(10^(逐级计算!$Q$61/10)-1)+逐级计算!$Q$61*(BI29-逐级计算!$P$61)*LN(10)/10))))))),"")</f>
        <v>13.7930384583159</v>
      </c>
      <c r="BK29">
        <f>IF(AND(ISNUMBER(BJ29),逐级计算!$X$62&gt;-1),IF(逐级计算!$X$62=0,BJ29+逐级计算!$C$62,BJ29+逐级计算!$C$62-(10/(逐级计算!$Q$62*LN(10))*(MAX((LN(10^(逐级计算!$Q$62/10)-1)+逐级计算!$Q$62*(BJ29-逐级计算!$P$62)*LN(10)/10),0)+LN(1+EXP(-ABS((LN(10^(逐级计算!$Q$62/10)-1)+逐级计算!$Q$62*(BJ29-逐级计算!$P$62)*LN(10)/10))))))),"")</f>
        <v>13.7930384583159</v>
      </c>
      <c r="BL29">
        <f>IF(AND(ISNUMBER(BK29),逐级计算!$X$63&gt;-1),IF(逐级计算!$X$63=0,BK29+逐级计算!$C$63,BK29+逐级计算!$C$63-(10/(逐级计算!$Q$63*LN(10))*(MAX((LN(10^(逐级计算!$Q$63/10)-1)+逐级计算!$Q$63*(BK29-逐级计算!$P$63)*LN(10)/10),0)+LN(1+EXP(-ABS((LN(10^(逐级计算!$Q$63/10)-1)+逐级计算!$Q$63*(BK29-逐级计算!$P$63)*LN(10)/10))))))),"")</f>
        <v>13.7930384583159</v>
      </c>
      <c r="BM29">
        <f>IF(AND(ISNUMBER(BL29),逐级计算!$X$64&gt;-1),IF(逐级计算!$X$64=0,BL29+逐级计算!$C$64,BL29+逐级计算!$C$64-(10/(逐级计算!$Q$64*LN(10))*(MAX((LN(10^(逐级计算!$Q$64/10)-1)+逐级计算!$Q$64*(BL29-逐级计算!$P$64)*LN(10)/10),0)+LN(1+EXP(-ABS((LN(10^(逐级计算!$Q$64/10)-1)+逐级计算!$Q$64*(BL29-逐级计算!$P$64)*LN(10)/10))))))),"")</f>
        <v>13.7930384583159</v>
      </c>
      <c r="BN29">
        <f>IF(AND(ISNUMBER(BM29),逐级计算!$X$65&gt;-1),IF(逐级计算!$X$65=0,BM29+逐级计算!$C$65,BM29+逐级计算!$C$65-(10/(逐级计算!$Q$65*LN(10))*(MAX((LN(10^(逐级计算!$Q$65/10)-1)+逐级计算!$Q$65*(BM29-逐级计算!$P$65)*LN(10)/10),0)+LN(1+EXP(-ABS((LN(10^(逐级计算!$Q$65/10)-1)+逐级计算!$Q$65*(BM29-逐级计算!$P$65)*LN(10)/10))))))),"")</f>
        <v>13.7930384583159</v>
      </c>
      <c r="BO29">
        <f>IF(AND(ISNUMBER(BN29),逐级计算!$X$66&gt;-1),IF(逐级计算!$X$66=0,BN29+逐级计算!$C$66,BN29+逐级计算!$C$66-(10/(逐级计算!$Q$66*LN(10))*(MAX((LN(10^(逐级计算!$Q$66/10)-1)+逐级计算!$Q$66*(BN29-逐级计算!$P$66)*LN(10)/10),0)+LN(1+EXP(-ABS((LN(10^(逐级计算!$Q$66/10)-1)+逐级计算!$Q$66*(BN29-逐级计算!$P$66)*LN(10)/10))))))),"")</f>
        <v>13.7930384583159</v>
      </c>
      <c r="BP29">
        <f>IF(AND(ISNUMBER(BO29),逐级计算!$X$67&gt;-1),IF(逐级计算!$X$67=0,BO29+逐级计算!$C$67,BO29+逐级计算!$C$67-(10/(逐级计算!$Q$67*LN(10))*(MAX((LN(10^(逐级计算!$Q$67/10)-1)+逐级计算!$Q$67*(BO29-逐级计算!$P$67)*LN(10)/10),0)+LN(1+EXP(-ABS((LN(10^(逐级计算!$Q$67/10)-1)+逐级计算!$Q$67*(BO29-逐级计算!$P$67)*LN(10)/10))))))),"")</f>
        <v>13.7930384583159</v>
      </c>
      <c r="BQ29">
        <f>IF(AND(ISNUMBER(BP29),逐级计算!$X$68&gt;-1),IF(逐级计算!$X$68=0,BP29+逐级计算!$C$68,BP29+逐级计算!$C$68-(10/(逐级计算!$Q$68*LN(10))*(MAX((LN(10^(逐级计算!$Q$68/10)-1)+逐级计算!$Q$68*(BP29-逐级计算!$P$68)*LN(10)/10),0)+LN(1+EXP(-ABS((LN(10^(逐级计算!$Q$68/10)-1)+逐级计算!$Q$68*(BP29-逐级计算!$P$68)*LN(10)/10))))))),"")</f>
        <v>13.7930384583159</v>
      </c>
      <c r="BR29">
        <f>IF(AND(ISNUMBER(BQ29),逐级计算!$X$69&gt;-1),IF(逐级计算!$X$69=0,BQ29+逐级计算!$C$69,BQ29+逐级计算!$C$69-(10/(逐级计算!$Q$69*LN(10))*(MAX((LN(10^(逐级计算!$Q$69/10)-1)+逐级计算!$Q$69*(BQ29-逐级计算!$P$69)*LN(10)/10),0)+LN(1+EXP(-ABS((LN(10^(逐级计算!$Q$69/10)-1)+逐级计算!$Q$69*(BQ29-逐级计算!$P$69)*LN(10)/10))))))),"")</f>
        <v>13.7930384583159</v>
      </c>
      <c r="BS29">
        <f>IF(AND(ISNUMBER(BR29),逐级计算!$X$70&gt;-1),IF(逐级计算!$X$70=0,BR29+逐级计算!$C$70,BR29+逐级计算!$C$70-(10/(逐级计算!$Q$70*LN(10))*(MAX((LN(10^(逐级计算!$Q$70/10)-1)+逐级计算!$Q$70*(BR29-逐级计算!$P$70)*LN(10)/10),0)+LN(1+EXP(-ABS((LN(10^(逐级计算!$Q$70/10)-1)+逐级计算!$Q$70*(BR29-逐级计算!$P$70)*LN(10)/10))))))),"")</f>
        <v>13.7930384583159</v>
      </c>
      <c r="BT29">
        <f>IF(AND(ISNUMBER(BS29),逐级计算!$X$71&gt;-1),IF(逐级计算!$X$71=0,BS29+逐级计算!$C$71,BS29+逐级计算!$C$71-(10/(逐级计算!$Q$71*LN(10))*(MAX((LN(10^(逐级计算!$Q$71/10)-1)+逐级计算!$Q$71*(BS29-逐级计算!$P$71)*LN(10)/10),0)+LN(1+EXP(-ABS((LN(10^(逐级计算!$Q$71/10)-1)+逐级计算!$Q$71*(BS29-逐级计算!$P$71)*LN(10)/10))))))),"")</f>
        <v>13.7930384583159</v>
      </c>
      <c r="BU29">
        <f>IF(AND(ISNUMBER(BT29),逐级计算!$X$72&gt;-1),IF(逐级计算!$X$72=0,BT29+逐级计算!$C$72,BT29+逐级计算!$C$72-(10/(逐级计算!$Q$72*LN(10))*(MAX((LN(10^(逐级计算!$Q$72/10)-1)+逐级计算!$Q$72*(BT29-逐级计算!$P$72)*LN(10)/10),0)+LN(1+EXP(-ABS((LN(10^(逐级计算!$Q$72/10)-1)+逐级计算!$Q$72*(BT29-逐级计算!$P$72)*LN(10)/10))))))),"")</f>
        <v>13.7930384583159</v>
      </c>
      <c r="BV29">
        <f>IF(AND(ISNUMBER(BU29),逐级计算!$X$73&gt;-1),IF(逐级计算!$X$73=0,BU29+逐级计算!$C$73,BU29+逐级计算!$C$73-(10/(逐级计算!$Q$73*LN(10))*(MAX((LN(10^(逐级计算!$Q$73/10)-1)+逐级计算!$Q$73*(BU29-逐级计算!$P$73)*LN(10)/10),0)+LN(1+EXP(-ABS((LN(10^(逐级计算!$Q$73/10)-1)+逐级计算!$Q$73*(BU29-逐级计算!$P$73)*LN(10)/10))))))),"")</f>
        <v>13.7930384583159</v>
      </c>
      <c r="BW29">
        <f>IF(AND(ISNUMBER(BV29),逐级计算!$X$74&gt;-1),IF(逐级计算!$X$74=0,BV29+逐级计算!$C$74,BV29+逐级计算!$C$74-(10/(逐级计算!$Q$74*LN(10))*(MAX((LN(10^(逐级计算!$Q$74/10)-1)+逐级计算!$Q$74*(BV29-逐级计算!$P$74)*LN(10)/10),0)+LN(1+EXP(-ABS((LN(10^(逐级计算!$Q$74/10)-1)+逐级计算!$Q$74*(BV29-逐级计算!$P$74)*LN(10)/10))))))),"")</f>
        <v>13.7930384583159</v>
      </c>
      <c r="BX29">
        <f>IF(AND(ISNUMBER(BW29),逐级计算!$X$75&gt;-1),IF(逐级计算!$X$75=0,BW29+逐级计算!$C$75,BW29+逐级计算!$C$75-(10/(逐级计算!$Q$75*LN(10))*(MAX((LN(10^(逐级计算!$Q$75/10)-1)+逐级计算!$Q$75*(BW29-逐级计算!$P$75)*LN(10)/10),0)+LN(1+EXP(-ABS((LN(10^(逐级计算!$Q$75/10)-1)+逐级计算!$Q$75*(BW29-逐级计算!$P$75)*LN(10)/10))))))),"")</f>
        <v>13.7930384583159</v>
      </c>
      <c r="BY29">
        <f>IF(AND(ISNUMBER(BX29),逐级计算!$X$76&gt;-1),IF(逐级计算!$X$76=0,BX29+逐级计算!$C$76,BX29+逐级计算!$C$76-(10/(逐级计算!$Q$76*LN(10))*(MAX((LN(10^(逐级计算!$Q$76/10)-1)+逐级计算!$Q$76*(BX29-逐级计算!$P$76)*LN(10)/10),0)+LN(1+EXP(-ABS((LN(10^(逐级计算!$Q$76/10)-1)+逐级计算!$Q$76*(BX29-逐级计算!$P$76)*LN(10)/10))))))),"")</f>
        <v>13.7930384583159</v>
      </c>
      <c r="BZ29">
        <f>IF(AND(ISNUMBER(BY29),逐级计算!$X$77&gt;-1),IF(逐级计算!$X$77=0,BY29+逐级计算!$C$77,BY29+逐级计算!$C$77-(10/(逐级计算!$Q$77*LN(10))*(MAX((LN(10^(逐级计算!$Q$77/10)-1)+逐级计算!$Q$77*(BY29-逐级计算!$P$77)*LN(10)/10),0)+LN(1+EXP(-ABS((LN(10^(逐级计算!$Q$77/10)-1)+逐级计算!$Q$77*(BY29-逐级计算!$P$77)*LN(10)/10))))))),"")</f>
        <v>13.7930384583159</v>
      </c>
      <c r="CA29">
        <f>IF(AND(ISNUMBER(BZ29),逐级计算!$X$78&gt;-1),IF(逐级计算!$X$78=0,BZ29+逐级计算!$C$78,BZ29+逐级计算!$C$78-(10/(逐级计算!$Q$78*LN(10))*(MAX((LN(10^(逐级计算!$Q$78/10)-1)+逐级计算!$Q$78*(BZ29-逐级计算!$P$78)*LN(10)/10),0)+LN(1+EXP(-ABS((LN(10^(逐级计算!$Q$78/10)-1)+逐级计算!$Q$78*(BZ29-逐级计算!$P$78)*LN(10)/10))))))),"")</f>
        <v>13.7930384583159</v>
      </c>
      <c r="CB29">
        <f>IF(AND(ISNUMBER(CA29),逐级计算!$X$79&gt;-1),IF(逐级计算!$X$79=0,CA29+逐级计算!$C$79,CA29+逐级计算!$C$79-(10/(逐级计算!$Q$79*LN(10))*(MAX((LN(10^(逐级计算!$Q$79/10)-1)+逐级计算!$Q$79*(CA29-逐级计算!$P$79)*LN(10)/10),0)+LN(1+EXP(-ABS((LN(10^(逐级计算!$Q$79/10)-1)+逐级计算!$Q$79*(CA29-逐级计算!$P$79)*LN(10)/10))))))),"")</f>
        <v>13.7930384583159</v>
      </c>
      <c r="CC29">
        <f>IF(AND(ISNUMBER(CB29),逐级计算!$X$80&gt;-1),IF(逐级计算!$X$80=0,CB29+逐级计算!$C$80,CB29+逐级计算!$C$80-(10/(逐级计算!$Q$80*LN(10))*(MAX((LN(10^(逐级计算!$Q$80/10)-1)+逐级计算!$Q$80*(CB29-逐级计算!$P$80)*LN(10)/10),0)+LN(1+EXP(-ABS((LN(10^(逐级计算!$Q$80/10)-1)+逐级计算!$Q$80*(CB29-逐级计算!$P$80)*LN(10)/10))))))),"")</f>
        <v>13.7930384583159</v>
      </c>
      <c r="CD29">
        <f>IF(AND(ISNUMBER(CC29),逐级计算!$X$81&gt;-1),IF(逐级计算!$X$81=0,CC29+逐级计算!$C$81,CC29+逐级计算!$C$81-(10/(逐级计算!$Q$81*LN(10))*(MAX((LN(10^(逐级计算!$Q$81/10)-1)+逐级计算!$Q$81*(CC29-逐级计算!$P$81)*LN(10)/10),0)+LN(1+EXP(-ABS((LN(10^(逐级计算!$Q$81/10)-1)+逐级计算!$Q$81*(CC29-逐级计算!$P$81)*LN(10)/10))))))),"")</f>
        <v>13.7930384583159</v>
      </c>
      <c r="CE29">
        <f>IF(AND(ISNUMBER(CD29),逐级计算!$X$82&gt;-1),IF(逐级计算!$X$82=0,CD29+逐级计算!$C$82,CD29+逐级计算!$C$82-(10/(逐级计算!$Q$82*LN(10))*(MAX((LN(10^(逐级计算!$Q$82/10)-1)+逐级计算!$Q$82*(CD29-逐级计算!$P$82)*LN(10)/10),0)+LN(1+EXP(-ABS((LN(10^(逐级计算!$Q$82/10)-1)+逐级计算!$Q$82*(CD29-逐级计算!$P$82)*LN(10)/10))))))),"")</f>
        <v>13.7930384583159</v>
      </c>
      <c r="CF29">
        <f>IF(AND(ISNUMBER(CE29),逐级计算!$X$83&gt;-1),IF(逐级计算!$X$83=0,CE29+逐级计算!$C$83,CE29+逐级计算!$C$83-(10/(逐级计算!$Q$83*LN(10))*(MAX((LN(10^(逐级计算!$Q$83/10)-1)+逐级计算!$Q$83*(CE29-逐级计算!$P$83)*LN(10)/10),0)+LN(1+EXP(-ABS((LN(10^(逐级计算!$Q$83/10)-1)+逐级计算!$Q$83*(CE29-逐级计算!$P$83)*LN(10)/10))))))),"")</f>
        <v>13.7930384583159</v>
      </c>
      <c r="CG29">
        <f>IF(AND(ISNUMBER(CF29),逐级计算!$X$84&gt;-1),IF(逐级计算!$X$84=0,CF29+逐级计算!$C$84,CF29+逐级计算!$C$84-(10/(逐级计算!$Q$84*LN(10))*(MAX((LN(10^(逐级计算!$Q$84/10)-1)+逐级计算!$Q$84*(CF29-逐级计算!$P$84)*LN(10)/10),0)+LN(1+EXP(-ABS((LN(10^(逐级计算!$Q$84/10)-1)+逐级计算!$Q$84*(CF29-逐级计算!$P$84)*LN(10)/10))))))),"")</f>
        <v>13.7930384583159</v>
      </c>
      <c r="CH29">
        <f>IF(AND(ISNUMBER(CG29),逐级计算!$X$85&gt;-1),IF(逐级计算!$X$85=0,CG29+逐级计算!$C$85,CG29+逐级计算!$C$85-(10/(逐级计算!$Q$85*LN(10))*(MAX((LN(10^(逐级计算!$Q$85/10)-1)+逐级计算!$Q$85*(CG29-逐级计算!$P$85)*LN(10)/10),0)+LN(1+EXP(-ABS((LN(10^(逐级计算!$Q$85/10)-1)+逐级计算!$Q$85*(CG29-逐级计算!$P$85)*LN(10)/10))))))),"")</f>
        <v>13.7930384583159</v>
      </c>
      <c r="CI29">
        <f>IF(AND(ISNUMBER(CH29),逐级计算!$X$86&gt;-1),IF(逐级计算!$X$86=0,CH29+逐级计算!$C$86,CH29+逐级计算!$C$86-(10/(逐级计算!$Q$86*LN(10))*(MAX((LN(10^(逐级计算!$Q$86/10)-1)+逐级计算!$Q$86*(CH29-逐级计算!$P$86)*LN(10)/10),0)+LN(1+EXP(-ABS((LN(10^(逐级计算!$Q$86/10)-1)+逐级计算!$Q$86*(CH29-逐级计算!$P$86)*LN(10)/10))))))),"")</f>
        <v>13.7930384583159</v>
      </c>
      <c r="CJ29">
        <f>IF(AND(ISNUMBER(CI29),逐级计算!$X$87&gt;-1),IF(逐级计算!$X$87=0,CI29+逐级计算!$C$87,CI29+逐级计算!$C$87-(10/(逐级计算!$Q$87*LN(10))*(MAX((LN(10^(逐级计算!$Q$87/10)-1)+逐级计算!$Q$87*(CI29-逐级计算!$P$87)*LN(10)/10),0)+LN(1+EXP(-ABS((LN(10^(逐级计算!$Q$87/10)-1)+逐级计算!$Q$87*(CI29-逐级计算!$P$87)*LN(10)/10))))))),"")</f>
        <v>13.7930384583159</v>
      </c>
      <c r="CK29">
        <f>IF(AND(ISNUMBER(CJ29),逐级计算!$X$88&gt;-1),IF(逐级计算!$X$88=0,CJ29+逐级计算!$C$88,CJ29+逐级计算!$C$88-(10/(逐级计算!$Q$88*LN(10))*(MAX((LN(10^(逐级计算!$Q$88/10)-1)+逐级计算!$Q$88*(CJ29-逐级计算!$P$88)*LN(10)/10),0)+LN(1+EXP(-ABS((LN(10^(逐级计算!$Q$88/10)-1)+逐级计算!$Q$88*(CJ29-逐级计算!$P$88)*LN(10)/10))))))),"")</f>
        <v>13.7930384583159</v>
      </c>
      <c r="CL29">
        <f>IF(AND(ISNUMBER(CK29),逐级计算!$X$89&gt;-1),IF(逐级计算!$X$89=0,CK29+逐级计算!$C$89,CK29+逐级计算!$C$89-(10/(逐级计算!$Q$89*LN(10))*(MAX((LN(10^(逐级计算!$Q$89/10)-1)+逐级计算!$Q$89*(CK29-逐级计算!$P$89)*LN(10)/10),0)+LN(1+EXP(-ABS((LN(10^(逐级计算!$Q$89/10)-1)+逐级计算!$Q$89*(CK29-逐级计算!$P$89)*LN(10)/10))))))),"")</f>
        <v>13.7930384583159</v>
      </c>
      <c r="CM29">
        <f>IF(AND(ISNUMBER(CL29),逐级计算!$X$90&gt;-1),IF(逐级计算!$X$90=0,CL29+逐级计算!$C$90,CL29+逐级计算!$C$90-(10/(逐级计算!$Q$90*LN(10))*(MAX((LN(10^(逐级计算!$Q$90/10)-1)+逐级计算!$Q$90*(CL29-逐级计算!$P$90)*LN(10)/10),0)+LN(1+EXP(-ABS((LN(10^(逐级计算!$Q$90/10)-1)+逐级计算!$Q$90*(CL29-逐级计算!$P$90)*LN(10)/10))))))),"")</f>
        <v>13.7930384583159</v>
      </c>
      <c r="CN29">
        <f>IF(AND(ISNUMBER(CM29),逐级计算!$X$91&gt;-1),IF(逐级计算!$X$91=0,CM29+逐级计算!$C$91,CM29+逐级计算!$C$91-(10/(逐级计算!$Q$91*LN(10))*(MAX((LN(10^(逐级计算!$Q$91/10)-1)+逐级计算!$Q$91*(CM29-逐级计算!$P$91)*LN(10)/10),0)+LN(1+EXP(-ABS((LN(10^(逐级计算!$Q$91/10)-1)+逐级计算!$Q$91*(CM29-逐级计算!$P$91)*LN(10)/10))))))),"")</f>
        <v>13.7930384583159</v>
      </c>
      <c r="CO29">
        <f>IF(AND(ISNUMBER(CN29),逐级计算!$X$92&gt;-1),IF(逐级计算!$X$92=0,CN29+逐级计算!$C$92,CN29+逐级计算!$C$92-(10/(逐级计算!$Q$92*LN(10))*(MAX((LN(10^(逐级计算!$Q$92/10)-1)+逐级计算!$Q$92*(CN29-逐级计算!$P$92)*LN(10)/10),0)+LN(1+EXP(-ABS((LN(10^(逐级计算!$Q$92/10)-1)+逐级计算!$Q$92*(CN29-逐级计算!$P$92)*LN(10)/10))))))),"")</f>
        <v>13.7930384583159</v>
      </c>
      <c r="CP29">
        <f>IF(AND(ISNUMBER(CO29),逐级计算!$X$93&gt;-1),IF(逐级计算!$X$93=0,CO29+逐级计算!$C$93,CO29+逐级计算!$C$93-(10/(逐级计算!$Q$93*LN(10))*(MAX((LN(10^(逐级计算!$Q$93/10)-1)+逐级计算!$Q$93*(CO29-逐级计算!$P$93)*LN(10)/10),0)+LN(1+EXP(-ABS((LN(10^(逐级计算!$Q$93/10)-1)+逐级计算!$Q$93*(CO29-逐级计算!$P$93)*LN(10)/10))))))),"")</f>
        <v>13.7930384583159</v>
      </c>
      <c r="CQ29">
        <f>IF(AND(ISNUMBER(CP29),逐级计算!$X$94&gt;-1),IF(逐级计算!$X$94=0,CP29+逐级计算!$C$94,CP29+逐级计算!$C$94-(10/(逐级计算!$Q$94*LN(10))*(MAX((LN(10^(逐级计算!$Q$94/10)-1)+逐级计算!$Q$94*(CP29-逐级计算!$P$94)*LN(10)/10),0)+LN(1+EXP(-ABS((LN(10^(逐级计算!$Q$94/10)-1)+逐级计算!$Q$94*(CP29-逐级计算!$P$94)*LN(10)/10))))))),"")</f>
        <v>13.7930384583159</v>
      </c>
      <c r="CR29">
        <f>IF(AND(ISNUMBER(CQ29),逐级计算!$X$95&gt;-1),IF(逐级计算!$X$95=0,CQ29+逐级计算!$C$95,CQ29+逐级计算!$C$95-(10/(逐级计算!$Q$95*LN(10))*(MAX((LN(10^(逐级计算!$Q$95/10)-1)+逐级计算!$Q$95*(CQ29-逐级计算!$P$95)*LN(10)/10),0)+LN(1+EXP(-ABS((LN(10^(逐级计算!$Q$95/10)-1)+逐级计算!$Q$95*(CQ29-逐级计算!$P$95)*LN(10)/10))))))),"")</f>
        <v>13.7930384583159</v>
      </c>
      <c r="CS29">
        <f>IF(AND(ISNUMBER(CR29),逐级计算!$X$96&gt;-1),IF(逐级计算!$X$96=0,CR29+逐级计算!$C$96,CR29+逐级计算!$C$96-(10/(逐级计算!$Q$96*LN(10))*(MAX((LN(10^(逐级计算!$Q$96/10)-1)+逐级计算!$Q$96*(CR29-逐级计算!$P$96)*LN(10)/10),0)+LN(1+EXP(-ABS((LN(10^(逐级计算!$Q$96/10)-1)+逐级计算!$Q$96*(CR29-逐级计算!$P$96)*LN(10)/10))))))),"")</f>
        <v>13.7930384583159</v>
      </c>
      <c r="CT29">
        <f>IF(AND(ISNUMBER(CS29),逐级计算!$X$97&gt;-1),IF(逐级计算!$X$97=0,CS29+逐级计算!$C$97,CS29+逐级计算!$C$97-(10/(逐级计算!$Q$97*LN(10))*(MAX((LN(10^(逐级计算!$Q$97/10)-1)+逐级计算!$Q$97*(CS29-逐级计算!$P$97)*LN(10)/10),0)+LN(1+EXP(-ABS((LN(10^(逐级计算!$Q$97/10)-1)+逐级计算!$Q$97*(CS29-逐级计算!$P$97)*LN(10)/10))))))),"")</f>
        <v>13.7930384583159</v>
      </c>
      <c r="CU29">
        <f>IF(AND(ISNUMBER(CT29),逐级计算!$X$98&gt;-1),IF(逐级计算!$X$98=0,CT29+逐级计算!$C$98,CT29+逐级计算!$C$98-(10/(逐级计算!$Q$98*LN(10))*(MAX((LN(10^(逐级计算!$Q$98/10)-1)+逐级计算!$Q$98*(CT29-逐级计算!$P$98)*LN(10)/10),0)+LN(1+EXP(-ABS((LN(10^(逐级计算!$Q$98/10)-1)+逐级计算!$Q$98*(CT29-逐级计算!$P$98)*LN(10)/10))))))),"")</f>
        <v>13.7930384583159</v>
      </c>
      <c r="CV29">
        <f>IF(AND(ISNUMBER(CU29),逐级计算!$X$99&gt;-1),IF(逐级计算!$X$99=0,CU29+逐级计算!$C$99,CU29+逐级计算!$C$99-(10/(逐级计算!$Q$99*LN(10))*(MAX((LN(10^(逐级计算!$Q$99/10)-1)+逐级计算!$Q$99*(CU29-逐级计算!$P$99)*LN(10)/10),0)+LN(1+EXP(-ABS((LN(10^(逐级计算!$Q$99/10)-1)+逐级计算!$Q$99*(CU29-逐级计算!$P$99)*LN(10)/10))))))),"")</f>
        <v>13.7930384583159</v>
      </c>
      <c r="CW29">
        <f>IF(AND(ISNUMBER(CV29),逐级计算!$X$100&gt;-1),IF(逐级计算!$X$100=0,CV29+逐级计算!$C$100,CV29+逐级计算!$C$100-(10/(逐级计算!$Q$100*LN(10))*(MAX((LN(10^(逐级计算!$Q$100/10)-1)+逐级计算!$Q$100*(CV29-逐级计算!$P$100)*LN(10)/10),0)+LN(1+EXP(-ABS((LN(10^(逐级计算!$Q$100/10)-1)+逐级计算!$Q$100*(CV29-逐级计算!$P$100)*LN(10)/10))))))),"")</f>
        <v>13.7930384583159</v>
      </c>
      <c r="CX29">
        <f>IF(AND(ISNUMBER(CW29),逐级计算!$X$101&gt;-1),IF(逐级计算!$X$101=0,CW29+逐级计算!$C$101,CW29+逐级计算!$C$101-(10/(逐级计算!$Q$101*LN(10))*(MAX((LN(10^(逐级计算!$Q$101/10)-1)+逐级计算!$Q$101*(CW29-逐级计算!$P$101)*LN(10)/10),0)+LN(1+EXP(-ABS((LN(10^(逐级计算!$Q$101/10)-1)+逐级计算!$Q$101*(CW29-逐级计算!$P$101)*LN(10)/10))))))),"")</f>
        <v>13.7930384583159</v>
      </c>
      <c r="CY29">
        <f>IF(AND(ISNUMBER(CX29),逐级计算!$X$102&gt;-1),IF(逐级计算!$X$102=0,CX29+逐级计算!$C$102,CX29+逐级计算!$C$102-(10/(逐级计算!$Q$102*LN(10))*(MAX((LN(10^(逐级计算!$Q$102/10)-1)+逐级计算!$Q$102*(CX29-逐级计算!$P$102)*LN(10)/10),0)+LN(1+EXP(-ABS((LN(10^(逐级计算!$Q$102/10)-1)+逐级计算!$Q$102*(CX29-逐级计算!$P$102)*LN(10)/10))))))),"")</f>
        <v>13.7930384583159</v>
      </c>
      <c r="CZ29">
        <f>IF(AND(ISNUMBER(CY29),逐级计算!$X$103&gt;-1),IF(逐级计算!$X$103=0,CY29+逐级计算!$C$103,CY29+逐级计算!$C$103-(10/(逐级计算!$Q$103*LN(10))*(MAX((LN(10^(逐级计算!$Q$103/10)-1)+逐级计算!$Q$103*(CY29-逐级计算!$P$103)*LN(10)/10),0)+LN(1+EXP(-ABS((LN(10^(逐级计算!$Q$103/10)-1)+逐级计算!$Q$103*(CY29-逐级计算!$P$103)*LN(10)/10))))))),"")</f>
        <v>13.7930384583159</v>
      </c>
      <c r="DA29">
        <f>IF(AND(ISNUMBER(CZ29),逐级计算!$X$104&gt;-1),IF(逐级计算!$X$104=0,CZ29+逐级计算!$C$104,CZ29+逐级计算!$C$104-(10/(逐级计算!$Q$104*LN(10))*(MAX((LN(10^(逐级计算!$Q$104/10)-1)+逐级计算!$Q$104*(CZ29-逐级计算!$P$104)*LN(10)/10),0)+LN(1+EXP(-ABS((LN(10^(逐级计算!$Q$104/10)-1)+逐级计算!$Q$104*(CZ29-逐级计算!$P$104)*LN(10)/10))))))),"")</f>
        <v>13.7930384583159</v>
      </c>
      <c r="DB29">
        <f>IF(AND(ISNUMBER(DA29),逐级计算!$X$105&gt;-1),IF(逐级计算!$X$105=0,DA29+逐级计算!$C$105,DA29+逐级计算!$C$105-(10/(逐级计算!$Q$105*LN(10))*(MAX((LN(10^(逐级计算!$Q$105/10)-1)+逐级计算!$Q$105*(DA29-逐级计算!$P$105)*LN(10)/10),0)+LN(1+EXP(-ABS((LN(10^(逐级计算!$Q$105/10)-1)+逐级计算!$Q$105*(DA29-逐级计算!$P$105)*LN(10)/10))))))),"")</f>
        <v>13.7930384583159</v>
      </c>
      <c r="DC29">
        <f>IF(AND(ISNUMBER(DB29),逐级计算!$X$106&gt;-1),IF(逐级计算!$X$106=0,DB29+逐级计算!$C$106,DB29+逐级计算!$C$106-(10/(逐级计算!$Q$106*LN(10))*(MAX((LN(10^(逐级计算!$Q$106/10)-1)+逐级计算!$Q$106*(DB29-逐级计算!$P$106)*LN(10)/10),0)+LN(1+EXP(-ABS((LN(10^(逐级计算!$Q$106/10)-1)+逐级计算!$Q$106*(DB29-逐级计算!$P$106)*LN(10)/10))))))),"")</f>
        <v>13.7930384583159</v>
      </c>
      <c r="DD29">
        <f>IF(AND(ISNUMBER(DC29),逐级计算!$X$107&gt;-1),IF(逐级计算!$X$107=0,DC29+逐级计算!$C$107,DC29+逐级计算!$C$107-(10/(逐级计算!$Q$107*LN(10))*(MAX((LN(10^(逐级计算!$Q$107/10)-1)+逐级计算!$Q$107*(DC29-逐级计算!$P$107)*LN(10)/10),0)+LN(1+EXP(-ABS((LN(10^(逐级计算!$Q$107/10)-1)+逐级计算!$Q$107*(DC29-逐级计算!$P$107)*LN(10)/10))))))),"")</f>
        <v>13.7930384583159</v>
      </c>
      <c r="DE29">
        <f>IF(AND(ISNUMBER(DD29),逐级计算!$X$108&gt;-1),IF(逐级计算!$X$108=0,DD29+逐级计算!$C$108,DD29+逐级计算!$C$108-(10/(逐级计算!$Q$108*LN(10))*(MAX((LN(10^(逐级计算!$Q$108/10)-1)+逐级计算!$Q$108*(DD29-逐级计算!$P$108)*LN(10)/10),0)+LN(1+EXP(-ABS((LN(10^(逐级计算!$Q$108/10)-1)+逐级计算!$Q$108*(DD29-逐级计算!$P$108)*LN(10)/10))))))),"")</f>
        <v>13.7930384583159</v>
      </c>
      <c r="DF29">
        <f>IF(AND(ISNUMBER(DE29),逐级计算!$X$109&gt;-1),IF(逐级计算!$X$109=0,DE29+逐级计算!$C$109,DE29+逐级计算!$C$109-(10/(逐级计算!$Q$109*LN(10))*(MAX((LN(10^(逐级计算!$Q$109/10)-1)+逐级计算!$Q$109*(DE29-逐级计算!$P$109)*LN(10)/10),0)+LN(1+EXP(-ABS((LN(10^(逐级计算!$Q$109/10)-1)+逐级计算!$Q$109*(DE29-逐级计算!$P$109)*LN(10)/10))))))),"")</f>
        <v>13.7930384583159</v>
      </c>
      <c r="DG29">
        <f>IF(AND(ISNUMBER(DF29),逐级计算!$X$110&gt;-1),IF(逐级计算!$X$110=0,DF29+逐级计算!$C$110,DF29+逐级计算!$C$110-(10/(逐级计算!$Q$110*LN(10))*(MAX((LN(10^(逐级计算!$Q$110/10)-1)+逐级计算!$Q$110*(DF29-逐级计算!$P$110)*LN(10)/10),0)+LN(1+EXP(-ABS((LN(10^(逐级计算!$Q$110/10)-1)+逐级计算!$Q$110*(DF29-逐级计算!$P$110)*LN(10)/10))))))),"")</f>
        <v>13.7930384583159</v>
      </c>
      <c r="DH29">
        <f>IF(AND(ISNUMBER(DG29),逐级计算!$X$111&gt;-1),IF(逐级计算!$X$111=0,DG29+逐级计算!$C$111,DG29+逐级计算!$C$111-(10/(逐级计算!$Q$111*LN(10))*(MAX((LN(10^(逐级计算!$Q$111/10)-1)+逐级计算!$Q$111*(DG29-逐级计算!$P$111)*LN(10)/10),0)+LN(1+EXP(-ABS((LN(10^(逐级计算!$Q$111/10)-1)+逐级计算!$Q$111*(DG29-逐级计算!$P$111)*LN(10)/10))))))),"")</f>
        <v>13.7930384583159</v>
      </c>
      <c r="DI29">
        <f>IF(AND(ISNUMBER(DH29),逐级计算!$X$112&gt;-1),IF(逐级计算!$X$112=0,DH29+逐级计算!$C$112,DH29+逐级计算!$C$112-(10/(逐级计算!$Q$112*LN(10))*(MAX((LN(10^(逐级计算!$Q$112/10)-1)+逐级计算!$Q$112*(DH29-逐级计算!$P$112)*LN(10)/10),0)+LN(1+EXP(-ABS((LN(10^(逐级计算!$Q$112/10)-1)+逐级计算!$Q$112*(DH29-逐级计算!$P$112)*LN(10)/10))))))),"")</f>
        <v>13.7930384583159</v>
      </c>
      <c r="DJ29">
        <f>IF(AND(ISNUMBER(DI29),逐级计算!$X$113&gt;-1),IF(逐级计算!$X$113=0,DI29+逐级计算!$C$113,DI29+逐级计算!$C$113-(10/(逐级计算!$Q$113*LN(10))*(MAX((LN(10^(逐级计算!$Q$113/10)-1)+逐级计算!$Q$113*(DI29-逐级计算!$P$113)*LN(10)/10),0)+LN(1+EXP(-ABS((LN(10^(逐级计算!$Q$113/10)-1)+逐级计算!$Q$113*(DI29-逐级计算!$P$113)*LN(10)/10))))))),"")</f>
        <v>13.7930384583159</v>
      </c>
      <c r="DK29">
        <f>IF(AND(ISNUMBER(DJ29),逐级计算!$X$114&gt;-1),IF(逐级计算!$X$114=0,DJ29+逐级计算!$C$114,DJ29+逐级计算!$C$114-(10/(逐级计算!$Q$114*LN(10))*(MAX((LN(10^(逐级计算!$Q$114/10)-1)+逐级计算!$Q$114*(DJ29-逐级计算!$P$114)*LN(10)/10),0)+LN(1+EXP(-ABS((LN(10^(逐级计算!$Q$114/10)-1)+逐级计算!$Q$114*(DJ29-逐级计算!$P$114)*LN(10)/10))))))),"")</f>
        <v>13.7930384583159</v>
      </c>
      <c r="DL29">
        <f>IF(AND(ISNUMBER(DK29),逐级计算!$X$115&gt;-1),IF(逐级计算!$X$115=0,DK29+逐级计算!$C$115,DK29+逐级计算!$C$115-(10/(逐级计算!$Q$115*LN(10))*(MAX((LN(10^(逐级计算!$Q$115/10)-1)+逐级计算!$Q$115*(DK29-逐级计算!$P$115)*LN(10)/10),0)+LN(1+EXP(-ABS((LN(10^(逐级计算!$Q$115/10)-1)+逐级计算!$Q$115*(DK29-逐级计算!$P$115)*LN(10)/10))))))),"")</f>
        <v>13.7930384583159</v>
      </c>
      <c r="DM29">
        <f>IF(AND(ISNUMBER(DL29),逐级计算!$X$116&gt;-1),IF(逐级计算!$X$116=0,DL29+逐级计算!$C$116,DL29+逐级计算!$C$116-(10/(逐级计算!$Q$116*LN(10))*(MAX((LN(10^(逐级计算!$Q$116/10)-1)+逐级计算!$Q$116*(DL29-逐级计算!$P$116)*LN(10)/10),0)+LN(1+EXP(-ABS((LN(10^(逐级计算!$Q$116/10)-1)+逐级计算!$Q$116*(DL29-逐级计算!$P$116)*LN(10)/10))))))),"")</f>
        <v>13.7930384583159</v>
      </c>
      <c r="DN29">
        <f>IF(AND(ISNUMBER(DM29),逐级计算!$X$117&gt;-1),IF(逐级计算!$X$117=0,DM29+逐级计算!$C$117,DM29+逐级计算!$C$117-(10/(逐级计算!$Q$117*LN(10))*(MAX((LN(10^(逐级计算!$Q$117/10)-1)+逐级计算!$Q$117*(DM29-逐级计算!$P$117)*LN(10)/10),0)+LN(1+EXP(-ABS((LN(10^(逐级计算!$Q$117/10)-1)+逐级计算!$Q$117*(DM29-逐级计算!$P$117)*LN(10)/10))))))),"")</f>
        <v>13.7930384583159</v>
      </c>
      <c r="DO29">
        <f>IF(AND(ISNUMBER(DN29),逐级计算!$X$118&gt;-1),IF(逐级计算!$X$118=0,DN29+逐级计算!$C$118,DN29+逐级计算!$C$118-(10/(逐级计算!$Q$118*LN(10))*(MAX((LN(10^(逐级计算!$Q$118/10)-1)+逐级计算!$Q$118*(DN29-逐级计算!$P$118)*LN(10)/10),0)+LN(1+EXP(-ABS((LN(10^(逐级计算!$Q$118/10)-1)+逐级计算!$Q$118*(DN29-逐级计算!$P$118)*LN(10)/10))))))),"")</f>
        <v>13.7930384583159</v>
      </c>
      <c r="DP29">
        <f>IF(AND(ISNUMBER(DO29),逐级计算!$X$119&gt;-1),IF(逐级计算!$X$119=0,DO29+逐级计算!$C$119,DO29+逐级计算!$C$119-(10/(逐级计算!$Q$119*LN(10))*(MAX((LN(10^(逐级计算!$Q$119/10)-1)+逐级计算!$Q$119*(DO29-逐级计算!$P$119)*LN(10)/10),0)+LN(1+EXP(-ABS((LN(10^(逐级计算!$Q$119/10)-1)+逐级计算!$Q$119*(DO29-逐级计算!$P$119)*LN(10)/10))))))),"")</f>
        <v>13.7930384583159</v>
      </c>
      <c r="DQ29">
        <f>IF(AND(ISNUMBER(DP29),逐级计算!$X$120&gt;-1),IF(逐级计算!$X$120=0,DP29+逐级计算!$C$120,DP29+逐级计算!$C$120-(10/(逐级计算!$Q$120*LN(10))*(MAX((LN(10^(逐级计算!$Q$120/10)-1)+逐级计算!$Q$120*(DP29-逐级计算!$P$120)*LN(10)/10),0)+LN(1+EXP(-ABS((LN(10^(逐级计算!$Q$120/10)-1)+逐级计算!$Q$120*(DP29-逐级计算!$P$120)*LN(10)/10))))))),"")</f>
        <v>13.7930384583159</v>
      </c>
      <c r="DR29">
        <f>IF(AND(ISNUMBER(DQ29),逐级计算!$X$121&gt;-1),IF(逐级计算!$X$121=0,DQ29+逐级计算!$C$121,DQ29+逐级计算!$C$121-(10/(逐级计算!$Q$121*LN(10))*(MAX((LN(10^(逐级计算!$Q$121/10)-1)+逐级计算!$Q$121*(DQ29-逐级计算!$P$121)*LN(10)/10),0)+LN(1+EXP(-ABS((LN(10^(逐级计算!$Q$121/10)-1)+逐级计算!$Q$121*(DQ29-逐级计算!$P$121)*LN(10)/10))))))),"")</f>
        <v>13.7930384583159</v>
      </c>
      <c r="DS29">
        <f>IF(AND(ISNUMBER(DR29),逐级计算!$X$122&gt;-1),IF(逐级计算!$X$122=0,DR29+逐级计算!$C$122,DR29+逐级计算!$C$122-(10/(逐级计算!$Q$122*LN(10))*(MAX((LN(10^(逐级计算!$Q$122/10)-1)+逐级计算!$Q$122*(DR29-逐级计算!$P$122)*LN(10)/10),0)+LN(1+EXP(-ABS((LN(10^(逐级计算!$Q$122/10)-1)+逐级计算!$Q$122*(DR29-逐级计算!$P$122)*LN(10)/10))))))),"")</f>
        <v>13.7930384583159</v>
      </c>
      <c r="DT29">
        <f>IF(AND(ISNUMBER(DS29),逐级计算!$X$123&gt;-1),IF(逐级计算!$X$123=0,DS29+逐级计算!$C$123,DS29+逐级计算!$C$123-(10/(逐级计算!$Q$123*LN(10))*(MAX((LN(10^(逐级计算!$Q$123/10)-1)+逐级计算!$Q$123*(DS29-逐级计算!$P$123)*LN(10)/10),0)+LN(1+EXP(-ABS((LN(10^(逐级计算!$Q$123/10)-1)+逐级计算!$Q$123*(DS29-逐级计算!$P$123)*LN(10)/10))))))),"")</f>
        <v>13.7930384583159</v>
      </c>
      <c r="DU29">
        <f>IF(AND(ISNUMBER(DT29),逐级计算!$X$124&gt;-1),IF(逐级计算!$X$124=0,DT29+逐级计算!$C$124,DT29+逐级计算!$C$124-(10/(逐级计算!$Q$124*LN(10))*(MAX((LN(10^(逐级计算!$Q$124/10)-1)+逐级计算!$Q$124*(DT29-逐级计算!$P$124)*LN(10)/10),0)+LN(1+EXP(-ABS((LN(10^(逐级计算!$Q$124/10)-1)+逐级计算!$Q$124*(DT29-逐级计算!$P$124)*LN(10)/10))))))),"")</f>
        <v>13.7930384583159</v>
      </c>
      <c r="DV29">
        <f>IF(AND(ISNUMBER(DU29),逐级计算!$X$125&gt;-1),IF(逐级计算!$X$125=0,DU29+逐级计算!$C$125,DU29+逐级计算!$C$125-(10/(逐级计算!$Q$125*LN(10))*(MAX((LN(10^(逐级计算!$Q$125/10)-1)+逐级计算!$Q$125*(DU29-逐级计算!$P$125)*LN(10)/10),0)+LN(1+EXP(-ABS((LN(10^(逐级计算!$Q$125/10)-1)+逐级计算!$Q$125*(DU29-逐级计算!$P$125)*LN(10)/10))))))),"")</f>
        <v>13.7930384583159</v>
      </c>
      <c r="DW29">
        <f>IF(AND(ISNUMBER(DV29),逐级计算!$X$126&gt;-1),IF(逐级计算!$X$126=0,DV29+逐级计算!$C$126,DV29+逐级计算!$C$126-(10/(逐级计算!$Q$126*LN(10))*(MAX((LN(10^(逐级计算!$Q$126/10)-1)+逐级计算!$Q$126*(DV29-逐级计算!$P$126)*LN(10)/10),0)+LN(1+EXP(-ABS((LN(10^(逐级计算!$Q$126/10)-1)+逐级计算!$Q$126*(DV29-逐级计算!$P$126)*LN(10)/10))))))),"")</f>
        <v>13.7930384583159</v>
      </c>
      <c r="DX29">
        <f>IF(AND(ISNUMBER(DW29),逐级计算!$X$127&gt;-1),IF(逐级计算!$X$127=0,DW29+逐级计算!$C$127,DW29+逐级计算!$C$127-(10/(逐级计算!$Q$127*LN(10))*(MAX((LN(10^(逐级计算!$Q$127/10)-1)+逐级计算!$Q$127*(DW29-逐级计算!$P$127)*LN(10)/10),0)+LN(1+EXP(-ABS((LN(10^(逐级计算!$Q$127/10)-1)+逐级计算!$Q$127*(DW29-逐级计算!$P$127)*LN(10)/10))))))),"")</f>
        <v>13.7930384583159</v>
      </c>
      <c r="DY29">
        <f>IF(AND(ISNUMBER(DX29),逐级计算!$X$128&gt;-1),IF(逐级计算!$X$128=0,DX29+逐级计算!$C$128,DX29+逐级计算!$C$128-(10/(逐级计算!$Q$128*LN(10))*(MAX((LN(10^(逐级计算!$Q$128/10)-1)+逐级计算!$Q$128*(DX29-逐级计算!$P$128)*LN(10)/10),0)+LN(1+EXP(-ABS((LN(10^(逐级计算!$Q$128/10)-1)+逐级计算!$Q$128*(DX29-逐级计算!$P$128)*LN(10)/10))))))),"")</f>
        <v>13.7930384583159</v>
      </c>
      <c r="DZ29">
        <f>IF(AND(ISNUMBER(DY29),逐级计算!$X$129&gt;-1),IF(逐级计算!$X$129=0,DY29+逐级计算!$C$129,DY29+逐级计算!$C$129-(10/(逐级计算!$Q$129*LN(10))*(MAX((LN(10^(逐级计算!$Q$129/10)-1)+逐级计算!$Q$129*(DY29-逐级计算!$P$129)*LN(10)/10),0)+LN(1+EXP(-ABS((LN(10^(逐级计算!$Q$129/10)-1)+逐级计算!$Q$129*(DY29-逐级计算!$P$129)*LN(10)/10))))))),"")</f>
        <v>13.7930384583159</v>
      </c>
      <c r="EA29">
        <f>IF(AND(ISNUMBER(DZ29),逐级计算!$X$130&gt;-1),IF(逐级计算!$X$130=0,DZ29+逐级计算!$C$130,DZ29+逐级计算!$C$130-(10/(逐级计算!$Q$130*LN(10))*(MAX((LN(10^(逐级计算!$Q$130/10)-1)+逐级计算!$Q$130*(DZ29-逐级计算!$P$130)*LN(10)/10),0)+LN(1+EXP(-ABS((LN(10^(逐级计算!$Q$130/10)-1)+逐级计算!$Q$130*(DZ29-逐级计算!$P$130)*LN(10)/10))))))),"")</f>
        <v>13.7930384583159</v>
      </c>
      <c r="EB29">
        <f>IF(AND(ISNUMBER(EA29),逐级计算!$X$131&gt;-1),IF(逐级计算!$X$131=0,EA29+逐级计算!$C$131,EA29+逐级计算!$C$131-(10/(逐级计算!$Q$131*LN(10))*(MAX((LN(10^(逐级计算!$Q$131/10)-1)+逐级计算!$Q$131*(EA29-逐级计算!$P$131)*LN(10)/10),0)+LN(1+EXP(-ABS((LN(10^(逐级计算!$Q$131/10)-1)+逐级计算!$Q$131*(EA29-逐级计算!$P$131)*LN(10)/10))))))),"")</f>
        <v>13.7930384583159</v>
      </c>
      <c r="EC29">
        <f>IF(AND(ISNUMBER(EB29),逐级计算!$X$132&gt;-1),IF(逐级计算!$X$132=0,EB29+逐级计算!$C$132,EB29+逐级计算!$C$132-(10/(逐级计算!$Q$132*LN(10))*(MAX((LN(10^(逐级计算!$Q$132/10)-1)+逐级计算!$Q$132*(EB29-逐级计算!$P$132)*LN(10)/10),0)+LN(1+EXP(-ABS((LN(10^(逐级计算!$Q$132/10)-1)+逐级计算!$Q$132*(EB29-逐级计算!$P$132)*LN(10)/10))))))),"")</f>
        <v>13.7930384583159</v>
      </c>
      <c r="ED29">
        <f>IF(AND(ISNUMBER(EC29),逐级计算!$X$133&gt;-1),IF(逐级计算!$X$133=0,EC29+逐级计算!$C$133,EC29+逐级计算!$C$133-(10/(逐级计算!$Q$133*LN(10))*(MAX((LN(10^(逐级计算!$Q$133/10)-1)+逐级计算!$Q$133*(EC29-逐级计算!$P$133)*LN(10)/10),0)+LN(1+EXP(-ABS((LN(10^(逐级计算!$Q$133/10)-1)+逐级计算!$Q$133*(EC29-逐级计算!$P$133)*LN(10)/10))))))),"")</f>
        <v>13.7930384583159</v>
      </c>
      <c r="EE29">
        <f>IF(AND(ISNUMBER(ED29),逐级计算!$X$134&gt;-1),IF(逐级计算!$X$134=0,ED29+逐级计算!$C$134,ED29+逐级计算!$C$134-(10/(逐级计算!$Q$134*LN(10))*(MAX((LN(10^(逐级计算!$Q$134/10)-1)+逐级计算!$Q$134*(ED29-逐级计算!$P$134)*LN(10)/10),0)+LN(1+EXP(-ABS((LN(10^(逐级计算!$Q$134/10)-1)+逐级计算!$Q$134*(ED29-逐级计算!$P$134)*LN(10)/10))))))),"")</f>
        <v>13.7930384583159</v>
      </c>
      <c r="EF29">
        <f>IF(AND(ISNUMBER(EE29),逐级计算!$X$135&gt;-1),IF(逐级计算!$X$135=0,EE29+逐级计算!$C$135,EE29+逐级计算!$C$135-(10/(逐级计算!$Q$135*LN(10))*(MAX((LN(10^(逐级计算!$Q$135/10)-1)+逐级计算!$Q$135*(EE29-逐级计算!$P$135)*LN(10)/10),0)+LN(1+EXP(-ABS((LN(10^(逐级计算!$Q$135/10)-1)+逐级计算!$Q$135*(EE29-逐级计算!$P$135)*LN(10)/10))))))),"")</f>
        <v>13.7930384583159</v>
      </c>
      <c r="EG29">
        <f>IF(AND(ISNUMBER(EF29),逐级计算!$X$136&gt;-1),IF(逐级计算!$X$136=0,EF29+逐级计算!$C$136,EF29+逐级计算!$C$136-(10/(逐级计算!$Q$136*LN(10))*(MAX((LN(10^(逐级计算!$Q$136/10)-1)+逐级计算!$Q$136*(EF29-逐级计算!$P$136)*LN(10)/10),0)+LN(1+EXP(-ABS((LN(10^(逐级计算!$Q$136/10)-1)+逐级计算!$Q$136*(EF29-逐级计算!$P$136)*LN(10)/10))))))),"")</f>
        <v>13.7930384583159</v>
      </c>
      <c r="EH29">
        <f>IF(AND(ISNUMBER(EG29),逐级计算!$X$137&gt;-1),IF(逐级计算!$X$137=0,EG29+逐级计算!$C$137,EG29+逐级计算!$C$137-(10/(逐级计算!$Q$137*LN(10))*(MAX((LN(10^(逐级计算!$Q$137/10)-1)+逐级计算!$Q$137*(EG29-逐级计算!$P$137)*LN(10)/10),0)+LN(1+EXP(-ABS((LN(10^(逐级计算!$Q$137/10)-1)+逐级计算!$Q$137*(EG29-逐级计算!$P$137)*LN(10)/10))))))),"")</f>
        <v>13.7930384583159</v>
      </c>
      <c r="EI29">
        <f>IF(AND(ISNUMBER(EH29),逐级计算!$X$138&gt;-1),IF(逐级计算!$X$138=0,EH29+逐级计算!$C$138,EH29+逐级计算!$C$138-(10/(逐级计算!$Q$138*LN(10))*(MAX((LN(10^(逐级计算!$Q$138/10)-1)+逐级计算!$Q$138*(EH29-逐级计算!$P$138)*LN(10)/10),0)+LN(1+EXP(-ABS((LN(10^(逐级计算!$Q$138/10)-1)+逐级计算!$Q$138*(EH29-逐级计算!$P$138)*LN(10)/10))))))),"")</f>
        <v>13.7930384583159</v>
      </c>
      <c r="EJ29">
        <f>IF(AND(ISNUMBER(EI29),逐级计算!$X$139&gt;-1),IF(逐级计算!$X$139=0,EI29+逐级计算!$C$139,EI29+逐级计算!$C$139-(10/(逐级计算!$Q$139*LN(10))*(MAX((LN(10^(逐级计算!$Q$139/10)-1)+逐级计算!$Q$139*(EI29-逐级计算!$P$139)*LN(10)/10),0)+LN(1+EXP(-ABS((LN(10^(逐级计算!$Q$139/10)-1)+逐级计算!$Q$139*(EI29-逐级计算!$P$139)*LN(10)/10))))))),"")</f>
        <v>13.7930384583159</v>
      </c>
      <c r="EK29">
        <f>IF(AND(ISNUMBER(EJ29),逐级计算!$X$140&gt;-1),IF(逐级计算!$X$140=0,EJ29+逐级计算!$C$140,EJ29+逐级计算!$C$140-(10/(逐级计算!$Q$140*LN(10))*(MAX((LN(10^(逐级计算!$Q$140/10)-1)+逐级计算!$Q$140*(EJ29-逐级计算!$P$140)*LN(10)/10),0)+LN(1+EXP(-ABS((LN(10^(逐级计算!$Q$140/10)-1)+逐级计算!$Q$140*(EJ29-逐级计算!$P$140)*LN(10)/10))))))),"")</f>
        <v>13.7930384583159</v>
      </c>
      <c r="EL29">
        <f>IF(AND(ISNUMBER(EK29),逐级计算!$X$141&gt;-1),IF(逐级计算!$X$141=0,EK29+逐级计算!$C$141,EK29+逐级计算!$C$141-(10/(逐级计算!$Q$141*LN(10))*(MAX((LN(10^(逐级计算!$Q$141/10)-1)+逐级计算!$Q$141*(EK29-逐级计算!$P$141)*LN(10)/10),0)+LN(1+EXP(-ABS((LN(10^(逐级计算!$Q$141/10)-1)+逐级计算!$Q$141*(EK29-逐级计算!$P$141)*LN(10)/10))))))),"")</f>
        <v>13.7930384583159</v>
      </c>
      <c r="EM29">
        <f>IF(AND(ISNUMBER(EL29),逐级计算!$X$142&gt;-1),IF(逐级计算!$X$142=0,EL29+逐级计算!$C$142,EL29+逐级计算!$C$142-(10/(逐级计算!$Q$142*LN(10))*(MAX((LN(10^(逐级计算!$Q$142/10)-1)+逐级计算!$Q$142*(EL29-逐级计算!$P$142)*LN(10)/10),0)+LN(1+EXP(-ABS((LN(10^(逐级计算!$Q$142/10)-1)+逐级计算!$Q$142*(EL29-逐级计算!$P$142)*LN(10)/10))))))),"")</f>
        <v>13.7930384583159</v>
      </c>
      <c r="EN29">
        <f>IF(AND(ISNUMBER(EM29),逐级计算!$X$143&gt;-1),IF(逐级计算!$X$143=0,EM29+逐级计算!$C$143,EM29+逐级计算!$C$143-(10/(逐级计算!$Q$143*LN(10))*(MAX((LN(10^(逐级计算!$Q$143/10)-1)+逐级计算!$Q$143*(EM29-逐级计算!$P$143)*LN(10)/10),0)+LN(1+EXP(-ABS((LN(10^(逐级计算!$Q$143/10)-1)+逐级计算!$Q$143*(EM29-逐级计算!$P$143)*LN(10)/10))))))),"")</f>
        <v>13.7930384583159</v>
      </c>
      <c r="EO29">
        <f>IF(AND(ISNUMBER(EN29),逐级计算!$X$144&gt;-1),IF(逐级计算!$X$144=0,EN29+逐级计算!$C$144,EN29+逐级计算!$C$144-(10/(逐级计算!$Q$144*LN(10))*(MAX((LN(10^(逐级计算!$Q$144/10)-1)+逐级计算!$Q$144*(EN29-逐级计算!$P$144)*LN(10)/10),0)+LN(1+EXP(-ABS((LN(10^(逐级计算!$Q$144/10)-1)+逐级计算!$Q$144*(EN29-逐级计算!$P$144)*LN(10)/10))))))),"")</f>
        <v>13.7930384583159</v>
      </c>
      <c r="EP29">
        <f>IF(AND(ISNUMBER(EO29),逐级计算!$X$145&gt;-1),IF(逐级计算!$X$145=0,EO29+逐级计算!$C$145,EO29+逐级计算!$C$145-(10/(逐级计算!$Q$145*LN(10))*(MAX((LN(10^(逐级计算!$Q$145/10)-1)+逐级计算!$Q$145*(EO29-逐级计算!$P$145)*LN(10)/10),0)+LN(1+EXP(-ABS((LN(10^(逐级计算!$Q$145/10)-1)+逐级计算!$Q$145*(EO29-逐级计算!$P$145)*LN(10)/10))))))),"")</f>
        <v>13.7930384583159</v>
      </c>
      <c r="EQ29">
        <f>IF(AND(ISNUMBER(EP29),逐级计算!$X$146&gt;-1),IF(逐级计算!$X$146=0,EP29+逐级计算!$C$146,EP29+逐级计算!$C$146-(10/(逐级计算!$Q$146*LN(10))*(MAX((LN(10^(逐级计算!$Q$146/10)-1)+逐级计算!$Q$146*(EP29-逐级计算!$P$146)*LN(10)/10),0)+LN(1+EXP(-ABS((LN(10^(逐级计算!$Q$146/10)-1)+逐级计算!$Q$146*(EP29-逐级计算!$P$146)*LN(10)/10))))))),"")</f>
        <v>13.7930384583159</v>
      </c>
      <c r="ER29">
        <f>IF(AND(ISNUMBER(EQ29),逐级计算!$X$147&gt;-1),IF(逐级计算!$X$147=0,EQ29+逐级计算!$C$147,EQ29+逐级计算!$C$147-(10/(逐级计算!$Q$147*LN(10))*(MAX((LN(10^(逐级计算!$Q$147/10)-1)+逐级计算!$Q$147*(EQ29-逐级计算!$P$147)*LN(10)/10),0)+LN(1+EXP(-ABS((LN(10^(逐级计算!$Q$147/10)-1)+逐级计算!$Q$147*(EQ29-逐级计算!$P$147)*LN(10)/10))))))),"")</f>
        <v>13.7930384583159</v>
      </c>
      <c r="ES29">
        <f>IF(AND(ISNUMBER(ER29),逐级计算!$X$148&gt;-1),IF(逐级计算!$X$148=0,ER29+逐级计算!$C$148,ER29+逐级计算!$C$148-(10/(逐级计算!$Q$148*LN(10))*(MAX((LN(10^(逐级计算!$Q$148/10)-1)+逐级计算!$Q$148*(ER29-逐级计算!$P$148)*LN(10)/10),0)+LN(1+EXP(-ABS((LN(10^(逐级计算!$Q$148/10)-1)+逐级计算!$Q$148*(ER29-逐级计算!$P$148)*LN(10)/10))))))),"")</f>
        <v>13.7930384583159</v>
      </c>
      <c r="ET29">
        <f>IF(AND(ISNUMBER(ES29),逐级计算!$X$149&gt;-1),IF(逐级计算!$X$149=0,ES29+逐级计算!$C$149,ES29+逐级计算!$C$149-(10/(逐级计算!$Q$149*LN(10))*(MAX((LN(10^(逐级计算!$Q$149/10)-1)+逐级计算!$Q$149*(ES29-逐级计算!$P$149)*LN(10)/10),0)+LN(1+EXP(-ABS((LN(10^(逐级计算!$Q$149/10)-1)+逐级计算!$Q$149*(ES29-逐级计算!$P$149)*LN(10)/10))))))),"")</f>
        <v>13.7930384583159</v>
      </c>
      <c r="EU29">
        <f>IF(AND(ISNUMBER(ET29),逐级计算!$X$150&gt;-1),IF(逐级计算!$X$150=0,ET29+逐级计算!$C$150,ET29+逐级计算!$C$150-(10/(逐级计算!$Q$150*LN(10))*(MAX((LN(10^(逐级计算!$Q$150/10)-1)+逐级计算!$Q$150*(ET29-逐级计算!$P$150)*LN(10)/10),0)+LN(1+EXP(-ABS((LN(10^(逐级计算!$Q$150/10)-1)+逐级计算!$Q$150*(ET29-逐级计算!$P$150)*LN(10)/10))))))),"")</f>
        <v>13.7930384583159</v>
      </c>
      <c r="EV29">
        <f>IF(AND(ISNUMBER(EU29),逐级计算!$X$151&gt;-1),IF(逐级计算!$X$151=0,EU29+逐级计算!$C$151,EU29+逐级计算!$C$151-(10/(逐级计算!$Q$151*LN(10))*(MAX((LN(10^(逐级计算!$Q$151/10)-1)+逐级计算!$Q$151*(EU29-逐级计算!$P$151)*LN(10)/10),0)+LN(1+EXP(-ABS((LN(10^(逐级计算!$Q$151/10)-1)+逐级计算!$Q$151*(EU29-逐级计算!$P$151)*LN(10)/10))))))),"")</f>
        <v>13.7930384583159</v>
      </c>
      <c r="EW29">
        <f>IF(AND(ISNUMBER(EV29),逐级计算!$X$152&gt;-1),IF(逐级计算!$X$152=0,EV29+逐级计算!$C$152,EV29+逐级计算!$C$152-(10/(逐级计算!$Q$152*LN(10))*(MAX((LN(10^(逐级计算!$Q$152/10)-1)+逐级计算!$Q$152*(EV29-逐级计算!$P$152)*LN(10)/10),0)+LN(1+EXP(-ABS((LN(10^(逐级计算!$Q$152/10)-1)+逐级计算!$Q$152*(EV29-逐级计算!$P$152)*LN(10)/10))))))),"")</f>
        <v>13.7930384583159</v>
      </c>
      <c r="EX29">
        <f>IF(AND(ISNUMBER(EW29),逐级计算!$X$153&gt;-1),IF(逐级计算!$X$153=0,EW29+逐级计算!$C$153,EW29+逐级计算!$C$153-(10/(逐级计算!$Q$153*LN(10))*(MAX((LN(10^(逐级计算!$Q$153/10)-1)+逐级计算!$Q$153*(EW29-逐级计算!$P$153)*LN(10)/10),0)+LN(1+EXP(-ABS((LN(10^(逐级计算!$Q$153/10)-1)+逐级计算!$Q$153*(EW29-逐级计算!$P$153)*LN(10)/10))))))),"")</f>
        <v>13.7930384583159</v>
      </c>
      <c r="EY29">
        <f>IF(AND(ISNUMBER(EX29),逐级计算!$X$154&gt;-1),IF(逐级计算!$X$154=0,EX29+逐级计算!$C$154,EX29+逐级计算!$C$154-(10/(逐级计算!$Q$154*LN(10))*(MAX((LN(10^(逐级计算!$Q$154/10)-1)+逐级计算!$Q$154*(EX29-逐级计算!$P$154)*LN(10)/10),0)+LN(1+EXP(-ABS((LN(10^(逐级计算!$Q$154/10)-1)+逐级计算!$Q$154*(EX29-逐级计算!$P$154)*LN(10)/10))))))),"")</f>
        <v>13.7930384583159</v>
      </c>
      <c r="EZ29">
        <f>IF(AND(ISNUMBER(EY29),逐级计算!$X$155&gt;-1),IF(逐级计算!$X$155=0,EY29+逐级计算!$C$155,EY29+逐级计算!$C$155-(10/(逐级计算!$Q$155*LN(10))*(MAX((LN(10^(逐级计算!$Q$155/10)-1)+逐级计算!$Q$155*(EY29-逐级计算!$P$155)*LN(10)/10),0)+LN(1+EXP(-ABS((LN(10^(逐级计算!$Q$155/10)-1)+逐级计算!$Q$155*(EY29-逐级计算!$P$155)*LN(10)/10))))))),"")</f>
        <v>13.7930384583159</v>
      </c>
      <c r="FA29">
        <f>IF(AND(ISNUMBER(EZ29),逐级计算!$X$156&gt;-1),IF(逐级计算!$X$156=0,EZ29+逐级计算!$C$156,EZ29+逐级计算!$C$156-(10/(逐级计算!$Q$156*LN(10))*(MAX((LN(10^(逐级计算!$Q$156/10)-1)+逐级计算!$Q$156*(EZ29-逐级计算!$P$156)*LN(10)/10),0)+LN(1+EXP(-ABS((LN(10^(逐级计算!$Q$156/10)-1)+逐级计算!$Q$156*(EZ29-逐级计算!$P$156)*LN(10)/10))))))),"")</f>
        <v>13.7930384583159</v>
      </c>
      <c r="FB29">
        <f>IF(AND(ISNUMBER(FA29),逐级计算!$X$157&gt;-1),IF(逐级计算!$X$157=0,FA29+逐级计算!$C$157,FA29+逐级计算!$C$157-(10/(逐级计算!$Q$157*LN(10))*(MAX((LN(10^(逐级计算!$Q$157/10)-1)+逐级计算!$Q$157*(FA29-逐级计算!$P$157)*LN(10)/10),0)+LN(1+EXP(-ABS((LN(10^(逐级计算!$Q$157/10)-1)+逐级计算!$Q$157*(FA29-逐级计算!$P$157)*LN(10)/10))))))),"")</f>
        <v>13.7930384583159</v>
      </c>
      <c r="FC29">
        <f>IF(AND(ISNUMBER(FB29),逐级计算!$X$158&gt;-1),IF(逐级计算!$X$158=0,FB29+逐级计算!$C$158,FB29+逐级计算!$C$158-(10/(逐级计算!$Q$158*LN(10))*(MAX((LN(10^(逐级计算!$Q$158/10)-1)+逐级计算!$Q$158*(FB29-逐级计算!$P$158)*LN(10)/10),0)+LN(1+EXP(-ABS((LN(10^(逐级计算!$Q$158/10)-1)+逐级计算!$Q$158*(FB29-逐级计算!$P$158)*LN(10)/10))))))),"")</f>
        <v>13.7930384583159</v>
      </c>
      <c r="FD29">
        <f>IF(AND(ISNUMBER(FC29),逐级计算!$X$159&gt;-1),IF(逐级计算!$X$159=0,FC29+逐级计算!$C$159,FC29+逐级计算!$C$159-(10/(逐级计算!$Q$159*LN(10))*(MAX((LN(10^(逐级计算!$Q$159/10)-1)+逐级计算!$Q$159*(FC29-逐级计算!$P$159)*LN(10)/10),0)+LN(1+EXP(-ABS((LN(10^(逐级计算!$Q$159/10)-1)+逐级计算!$Q$159*(FC29-逐级计算!$P$159)*LN(10)/10))))))),"")</f>
        <v>13.7930384583159</v>
      </c>
      <c r="FE29">
        <f>IF(AND(ISNUMBER(FD29),逐级计算!$X$160&gt;-1),IF(逐级计算!$X$160=0,FD29+逐级计算!$C$160,FD29+逐级计算!$C$160-(10/(逐级计算!$Q$160*LN(10))*(MAX((LN(10^(逐级计算!$Q$160/10)-1)+逐级计算!$Q$160*(FD29-逐级计算!$P$160)*LN(10)/10),0)+LN(1+EXP(-ABS((LN(10^(逐级计算!$Q$160/10)-1)+逐级计算!$Q$160*(FD29-逐级计算!$P$160)*LN(10)/10))))))),"")</f>
        <v>13.7930384583159</v>
      </c>
      <c r="FF29">
        <f>IF(AND(ISNUMBER(FE29),逐级计算!$X$161&gt;-1),IF(逐级计算!$X$161=0,FE29+逐级计算!$C$161,FE29+逐级计算!$C$161-(10/(逐级计算!$Q$161*LN(10))*(MAX((LN(10^(逐级计算!$Q$161/10)-1)+逐级计算!$Q$161*(FE29-逐级计算!$P$161)*LN(10)/10),0)+LN(1+EXP(-ABS((LN(10^(逐级计算!$Q$161/10)-1)+逐级计算!$Q$161*(FE29-逐级计算!$P$161)*LN(10)/10))))))),"")</f>
        <v>13.7930384583159</v>
      </c>
      <c r="FG29">
        <f>IF(AND(ISNUMBER(FF29),逐级计算!$X$162&gt;-1),IF(逐级计算!$X$162=0,FF29+逐级计算!$C$162,FF29+逐级计算!$C$162-(10/(逐级计算!$Q$162*LN(10))*(MAX((LN(10^(逐级计算!$Q$162/10)-1)+逐级计算!$Q$162*(FF29-逐级计算!$P$162)*LN(10)/10),0)+LN(1+EXP(-ABS((LN(10^(逐级计算!$Q$162/10)-1)+逐级计算!$Q$162*(FF29-逐级计算!$P$162)*LN(10)/10))))))),"")</f>
        <v>13.7930384583159</v>
      </c>
      <c r="FH29">
        <f>IF(AND(ISNUMBER(FG29),逐级计算!$X$163&gt;-1),IF(逐级计算!$X$163=0,FG29+逐级计算!$C$163,FG29+逐级计算!$C$163-(10/(逐级计算!$Q$163*LN(10))*(MAX((LN(10^(逐级计算!$Q$163/10)-1)+逐级计算!$Q$163*(FG29-逐级计算!$P$163)*LN(10)/10),0)+LN(1+EXP(-ABS((LN(10^(逐级计算!$Q$163/10)-1)+逐级计算!$Q$163*(FG29-逐级计算!$P$163)*LN(10)/10))))))),"")</f>
        <v>13.7930384583159</v>
      </c>
      <c r="FI29">
        <f>IF(AND(ISNUMBER(FH29),逐级计算!$X$164&gt;-1),IF(逐级计算!$X$164=0,FH29+逐级计算!$C$164,FH29+逐级计算!$C$164-(10/(逐级计算!$Q$164*LN(10))*(MAX((LN(10^(逐级计算!$Q$164/10)-1)+逐级计算!$Q$164*(FH29-逐级计算!$P$164)*LN(10)/10),0)+LN(1+EXP(-ABS((LN(10^(逐级计算!$Q$164/10)-1)+逐级计算!$Q$164*(FH29-逐级计算!$P$164)*LN(10)/10))))))),"")</f>
        <v>13.7930384583159</v>
      </c>
      <c r="FJ29">
        <f>IF(AND(ISNUMBER(FI29),逐级计算!$X$165&gt;-1),IF(逐级计算!$X$165=0,FI29+逐级计算!$C$165,FI29+逐级计算!$C$165-(10/(逐级计算!$Q$165*LN(10))*(MAX((LN(10^(逐级计算!$Q$165/10)-1)+逐级计算!$Q$165*(FI29-逐级计算!$P$165)*LN(10)/10),0)+LN(1+EXP(-ABS((LN(10^(逐级计算!$Q$165/10)-1)+逐级计算!$Q$165*(FI29-逐级计算!$P$165)*LN(10)/10))))))),"")</f>
        <v>13.7930384583159</v>
      </c>
      <c r="FK29">
        <f>IF(AND(ISNUMBER(FJ29),逐级计算!$X$166&gt;-1),IF(逐级计算!$X$166=0,FJ29+逐级计算!$C$166,FJ29+逐级计算!$C$166-(10/(逐级计算!$Q$166*LN(10))*(MAX((LN(10^(逐级计算!$Q$166/10)-1)+逐级计算!$Q$166*(FJ29-逐级计算!$P$166)*LN(10)/10),0)+LN(1+EXP(-ABS((LN(10^(逐级计算!$Q$166/10)-1)+逐级计算!$Q$166*(FJ29-逐级计算!$P$166)*LN(10)/10))))))),"")</f>
        <v>13.7930384583159</v>
      </c>
      <c r="FL29">
        <f>IF(AND(ISNUMBER(FK29),逐级计算!$X$167&gt;-1),IF(逐级计算!$X$167=0,FK29+逐级计算!$C$167,FK29+逐级计算!$C$167-(10/(逐级计算!$Q$167*LN(10))*(MAX((LN(10^(逐级计算!$Q$167/10)-1)+逐级计算!$Q$167*(FK29-逐级计算!$P$167)*LN(10)/10),0)+LN(1+EXP(-ABS((LN(10^(逐级计算!$Q$167/10)-1)+逐级计算!$Q$167*(FK29-逐级计算!$P$167)*LN(10)/10))))))),"")</f>
        <v>13.7930384583159</v>
      </c>
      <c r="FM29">
        <f>IF(AND(ISNUMBER(FL29),逐级计算!$X$168&gt;-1),IF(逐级计算!$X$168=0,FL29+逐级计算!$C$168,FL29+逐级计算!$C$168-(10/(逐级计算!$Q$168*LN(10))*(MAX((LN(10^(逐级计算!$Q$168/10)-1)+逐级计算!$Q$168*(FL29-逐级计算!$P$168)*LN(10)/10),0)+LN(1+EXP(-ABS((LN(10^(逐级计算!$Q$168/10)-1)+逐级计算!$Q$168*(FL29-逐级计算!$P$168)*LN(10)/10))))))),"")</f>
        <v>13.7930384583159</v>
      </c>
      <c r="FN29">
        <f>IF(AND(ISNUMBER(FM29),逐级计算!$X$169&gt;-1),IF(逐级计算!$X$169=0,FM29+逐级计算!$C$169,FM29+逐级计算!$C$169-(10/(逐级计算!$Q$169*LN(10))*(MAX((LN(10^(逐级计算!$Q$169/10)-1)+逐级计算!$Q$169*(FM29-逐级计算!$P$169)*LN(10)/10),0)+LN(1+EXP(-ABS((LN(10^(逐级计算!$Q$169/10)-1)+逐级计算!$Q$169*(FM29-逐级计算!$P$169)*LN(10)/10))))))),"")</f>
        <v>13.7930384583159</v>
      </c>
      <c r="FO29">
        <f>IF(AND(ISNUMBER(FN29),逐级计算!$X$170&gt;-1),IF(逐级计算!$X$170=0,FN29+逐级计算!$C$170,FN29+逐级计算!$C$170-(10/(逐级计算!$Q$170*LN(10))*(MAX((LN(10^(逐级计算!$Q$170/10)-1)+逐级计算!$Q$170*(FN29-逐级计算!$P$170)*LN(10)/10),0)+LN(1+EXP(-ABS((LN(10^(逐级计算!$Q$170/10)-1)+逐级计算!$Q$170*(FN29-逐级计算!$P$170)*LN(10)/10))))))),"")</f>
        <v>13.7930384583159</v>
      </c>
      <c r="FP29">
        <f>IF(AND(ISNUMBER(FO29),逐级计算!$X$171&gt;-1),IF(逐级计算!$X$171=0,FO29+逐级计算!$C$171,FO29+逐级计算!$C$171-(10/(逐级计算!$Q$171*LN(10))*(MAX((LN(10^(逐级计算!$Q$171/10)-1)+逐级计算!$Q$171*(FO29-逐级计算!$P$171)*LN(10)/10),0)+LN(1+EXP(-ABS((LN(10^(逐级计算!$Q$171/10)-1)+逐级计算!$Q$171*(FO29-逐级计算!$P$171)*LN(10)/10))))))),"")</f>
        <v>13.7930384583159</v>
      </c>
      <c r="FQ29">
        <f>IF(AND(ISNUMBER(FP29),逐级计算!$X$172&gt;-1),IF(逐级计算!$X$172=0,FP29+逐级计算!$C$172,FP29+逐级计算!$C$172-(10/(逐级计算!$Q$172*LN(10))*(MAX((LN(10^(逐级计算!$Q$172/10)-1)+逐级计算!$Q$172*(FP29-逐级计算!$P$172)*LN(10)/10),0)+LN(1+EXP(-ABS((LN(10^(逐级计算!$Q$172/10)-1)+逐级计算!$Q$172*(FP29-逐级计算!$P$172)*LN(10)/10))))))),"")</f>
        <v>13.7930384583159</v>
      </c>
      <c r="FR29">
        <f>IF(AND(ISNUMBER(FQ29),逐级计算!$X$173&gt;-1),IF(逐级计算!$X$173=0,FQ29+逐级计算!$C$173,FQ29+逐级计算!$C$173-(10/(逐级计算!$Q$173*LN(10))*(MAX((LN(10^(逐级计算!$Q$173/10)-1)+逐级计算!$Q$173*(FQ29-逐级计算!$P$173)*LN(10)/10),0)+LN(1+EXP(-ABS((LN(10^(逐级计算!$Q$173/10)-1)+逐级计算!$Q$173*(FQ29-逐级计算!$P$173)*LN(10)/10))))))),"")</f>
        <v>13.7930384583159</v>
      </c>
      <c r="FS29">
        <f>IF(AND(ISNUMBER(FR29),逐级计算!$X$174&gt;-1),IF(逐级计算!$X$174=0,FR29+逐级计算!$C$174,FR29+逐级计算!$C$174-(10/(逐级计算!$Q$174*LN(10))*(MAX((LN(10^(逐级计算!$Q$174/10)-1)+逐级计算!$Q$174*(FR29-逐级计算!$P$174)*LN(10)/10),0)+LN(1+EXP(-ABS((LN(10^(逐级计算!$Q$174/10)-1)+逐级计算!$Q$174*(FR29-逐级计算!$P$174)*LN(10)/10))))))),"")</f>
        <v>13.7930384583159</v>
      </c>
      <c r="FT29">
        <f>IF(AND(ISNUMBER(FS29),逐级计算!$X$175&gt;-1),IF(逐级计算!$X$175=0,FS29+逐级计算!$C$175,FS29+逐级计算!$C$175-(10/(逐级计算!$Q$175*LN(10))*(MAX((LN(10^(逐级计算!$Q$175/10)-1)+逐级计算!$Q$175*(FS29-逐级计算!$P$175)*LN(10)/10),0)+LN(1+EXP(-ABS((LN(10^(逐级计算!$Q$175/10)-1)+逐级计算!$Q$175*(FS29-逐级计算!$P$175)*LN(10)/10))))))),"")</f>
        <v>13.7930384583159</v>
      </c>
      <c r="FU29">
        <f>IF(AND(ISNUMBER(FT29),逐级计算!$X$176&gt;-1),IF(逐级计算!$X$176=0,FT29+逐级计算!$C$176,FT29+逐级计算!$C$176-(10/(逐级计算!$Q$176*LN(10))*(MAX((LN(10^(逐级计算!$Q$176/10)-1)+逐级计算!$Q$176*(FT29-逐级计算!$P$176)*LN(10)/10),0)+LN(1+EXP(-ABS((LN(10^(逐级计算!$Q$176/10)-1)+逐级计算!$Q$176*(FT29-逐级计算!$P$176)*LN(10)/10))))))),"")</f>
        <v>13.7930384583159</v>
      </c>
      <c r="FV29">
        <f>IF(AND(ISNUMBER(FU29),逐级计算!$X$177&gt;-1),IF(逐级计算!$X$177=0,FU29+逐级计算!$C$177,FU29+逐级计算!$C$177-(10/(逐级计算!$Q$177*LN(10))*(MAX((LN(10^(逐级计算!$Q$177/10)-1)+逐级计算!$Q$177*(FU29-逐级计算!$P$177)*LN(10)/10),0)+LN(1+EXP(-ABS((LN(10^(逐级计算!$Q$177/10)-1)+逐级计算!$Q$177*(FU29-逐级计算!$P$177)*LN(10)/10))))))),"")</f>
        <v>13.7930384583159</v>
      </c>
      <c r="FW29">
        <f>IF(AND(ISNUMBER(FV29),逐级计算!$X$178&gt;-1),IF(逐级计算!$X$178=0,FV29+逐级计算!$C$178,FV29+逐级计算!$C$178-(10/(逐级计算!$Q$178*LN(10))*(MAX((LN(10^(逐级计算!$Q$178/10)-1)+逐级计算!$Q$178*(FV29-逐级计算!$P$178)*LN(10)/10),0)+LN(1+EXP(-ABS((LN(10^(逐级计算!$Q$178/10)-1)+逐级计算!$Q$178*(FV29-逐级计算!$P$178)*LN(10)/10))))))),"")</f>
        <v>13.7930384583159</v>
      </c>
      <c r="FX29">
        <f>IF(AND(ISNUMBER(FW29),逐级计算!$X$179&gt;-1),IF(逐级计算!$X$179=0,FW29+逐级计算!$C$179,FW29+逐级计算!$C$179-(10/(逐级计算!$Q$179*LN(10))*(MAX((LN(10^(逐级计算!$Q$179/10)-1)+逐级计算!$Q$179*(FW29-逐级计算!$P$179)*LN(10)/10),0)+LN(1+EXP(-ABS((LN(10^(逐级计算!$Q$179/10)-1)+逐级计算!$Q$179*(FW29-逐级计算!$P$179)*LN(10)/10))))))),"")</f>
        <v>13.7930384583159</v>
      </c>
      <c r="FY29">
        <f>IF(AND(ISNUMBER(FX29),逐级计算!$X$180&gt;-1),IF(逐级计算!$X$180=0,FX29+逐级计算!$C$180,FX29+逐级计算!$C$180-(10/(逐级计算!$Q$180*LN(10))*(MAX((LN(10^(逐级计算!$Q$180/10)-1)+逐级计算!$Q$180*(FX29-逐级计算!$P$180)*LN(10)/10),0)+LN(1+EXP(-ABS((LN(10^(逐级计算!$Q$180/10)-1)+逐级计算!$Q$180*(FX29-逐级计算!$P$180)*LN(10)/10))))))),"")</f>
        <v>13.7930384583159</v>
      </c>
      <c r="FZ29">
        <f>IF(AND(ISNUMBER(FY29),逐级计算!$X$181&gt;-1),IF(逐级计算!$X$181=0,FY29+逐级计算!$C$181,FY29+逐级计算!$C$181-(10/(逐级计算!$Q$181*LN(10))*(MAX((LN(10^(逐级计算!$Q$181/10)-1)+逐级计算!$Q$181*(FY29-逐级计算!$P$181)*LN(10)/10),0)+LN(1+EXP(-ABS((LN(10^(逐级计算!$Q$181/10)-1)+逐级计算!$Q$181*(FY29-逐级计算!$P$181)*LN(10)/10))))))),"")</f>
        <v>13.7930384583159</v>
      </c>
      <c r="GA29">
        <f>IF(AND(ISNUMBER(FZ29),逐级计算!$X$182&gt;-1),IF(逐级计算!$X$182=0,FZ29+逐级计算!$C$182,FZ29+逐级计算!$C$182-(10/(逐级计算!$Q$182*LN(10))*(MAX((LN(10^(逐级计算!$Q$182/10)-1)+逐级计算!$Q$182*(FZ29-逐级计算!$P$182)*LN(10)/10),0)+LN(1+EXP(-ABS((LN(10^(逐级计算!$Q$182/10)-1)+逐级计算!$Q$182*(FZ29-逐级计算!$P$182)*LN(10)/10))))))),"")</f>
        <v>13.7930384583159</v>
      </c>
      <c r="GB29">
        <f>IF(AND(ISNUMBER(GA29),逐级计算!$X$183&gt;-1),IF(逐级计算!$X$183=0,GA29+逐级计算!$C$183,GA29+逐级计算!$C$183-(10/(逐级计算!$Q$183*LN(10))*(MAX((LN(10^(逐级计算!$Q$183/10)-1)+逐级计算!$Q$183*(GA29-逐级计算!$P$183)*LN(10)/10),0)+LN(1+EXP(-ABS((LN(10^(逐级计算!$Q$183/10)-1)+逐级计算!$Q$183*(GA29-逐级计算!$P$183)*LN(10)/10))))))),"")</f>
        <v>13.7930384583159</v>
      </c>
      <c r="GC29">
        <f>IF(AND(ISNUMBER(GB29),逐级计算!$X$184&gt;-1),IF(逐级计算!$X$184=0,GB29+逐级计算!$C$184,GB29+逐级计算!$C$184-(10/(逐级计算!$Q$184*LN(10))*(MAX((LN(10^(逐级计算!$Q$184/10)-1)+逐级计算!$Q$184*(GB29-逐级计算!$P$184)*LN(10)/10),0)+LN(1+EXP(-ABS((LN(10^(逐级计算!$Q$184/10)-1)+逐级计算!$Q$184*(GB29-逐级计算!$P$184)*LN(10)/10))))))),"")</f>
        <v>13.7930384583159</v>
      </c>
      <c r="GD29">
        <f>IF(AND(ISNUMBER(GC29),逐级计算!$X$185&gt;-1),IF(逐级计算!$X$185=0,GC29+逐级计算!$C$185,GC29+逐级计算!$C$185-(10/(逐级计算!$Q$185*LN(10))*(MAX((LN(10^(逐级计算!$Q$185/10)-1)+逐级计算!$Q$185*(GC29-逐级计算!$P$185)*LN(10)/10),0)+LN(1+EXP(-ABS((LN(10^(逐级计算!$Q$185/10)-1)+逐级计算!$Q$185*(GC29-逐级计算!$P$185)*LN(10)/10))))))),"")</f>
        <v>13.7930384583159</v>
      </c>
      <c r="GE29">
        <f>IF(AND(ISNUMBER(GD29),逐级计算!$X$186&gt;-1),IF(逐级计算!$X$186=0,GD29+逐级计算!$C$186,GD29+逐级计算!$C$186-(10/(逐级计算!$Q$186*LN(10))*(MAX((LN(10^(逐级计算!$Q$186/10)-1)+逐级计算!$Q$186*(GD29-逐级计算!$P$186)*LN(10)/10),0)+LN(1+EXP(-ABS((LN(10^(逐级计算!$Q$186/10)-1)+逐级计算!$Q$186*(GD29-逐级计算!$P$186)*LN(10)/10))))))),"")</f>
        <v>13.7930384583159</v>
      </c>
      <c r="GF29">
        <f>IF(AND(ISNUMBER(GE29),逐级计算!$X$187&gt;-1),IF(逐级计算!$X$187=0,GE29+逐级计算!$C$187,GE29+逐级计算!$C$187-(10/(逐级计算!$Q$187*LN(10))*(MAX((LN(10^(逐级计算!$Q$187/10)-1)+逐级计算!$Q$187*(GE29-逐级计算!$P$187)*LN(10)/10),0)+LN(1+EXP(-ABS((LN(10^(逐级计算!$Q$187/10)-1)+逐级计算!$Q$187*(GE29-逐级计算!$P$187)*LN(10)/10))))))),"")</f>
        <v>13.7930384583159</v>
      </c>
      <c r="GG29">
        <f>IF(AND(ISNUMBER(GF29),逐级计算!$X$188&gt;-1),IF(逐级计算!$X$188=0,GF29+逐级计算!$C$188,GF29+逐级计算!$C$188-(10/(逐级计算!$Q$188*LN(10))*(MAX((LN(10^(逐级计算!$Q$188/10)-1)+逐级计算!$Q$188*(GF29-逐级计算!$P$188)*LN(10)/10),0)+LN(1+EXP(-ABS((LN(10^(逐级计算!$Q$188/10)-1)+逐级计算!$Q$188*(GF29-逐级计算!$P$188)*LN(10)/10))))))),"")</f>
        <v>13.7930384583159</v>
      </c>
      <c r="GH29">
        <f>IF(AND(ISNUMBER(GG29),逐级计算!$X$189&gt;-1),IF(逐级计算!$X$189=0,GG29+逐级计算!$C$189,GG29+逐级计算!$C$189-(10/(逐级计算!$Q$189*LN(10))*(MAX((LN(10^(逐级计算!$Q$189/10)-1)+逐级计算!$Q$189*(GG29-逐级计算!$P$189)*LN(10)/10),0)+LN(1+EXP(-ABS((LN(10^(逐级计算!$Q$189/10)-1)+逐级计算!$Q$189*(GG29-逐级计算!$P$189)*LN(10)/10))))))),"")</f>
        <v>13.7930384583159</v>
      </c>
      <c r="GI29">
        <f>IF(AND(ISNUMBER(GH29),逐级计算!$X$190&gt;-1),IF(逐级计算!$X$190=0,GH29+逐级计算!$C$190,GH29+逐级计算!$C$190-(10/(逐级计算!$Q$190*LN(10))*(MAX((LN(10^(逐级计算!$Q$190/10)-1)+逐级计算!$Q$190*(GH29-逐级计算!$P$190)*LN(10)/10),0)+LN(1+EXP(-ABS((LN(10^(逐级计算!$Q$190/10)-1)+逐级计算!$Q$190*(GH29-逐级计算!$P$190)*LN(10)/10))))))),"")</f>
        <v>13.7930384583159</v>
      </c>
      <c r="GJ29">
        <f>IF(AND(ISNUMBER(GI29),逐级计算!$X$191&gt;-1),IF(逐级计算!$X$191=0,GI29+逐级计算!$C$191,GI29+逐级计算!$C$191-(10/(逐级计算!$Q$191*LN(10))*(MAX((LN(10^(逐级计算!$Q$191/10)-1)+逐级计算!$Q$191*(GI29-逐级计算!$P$191)*LN(10)/10),0)+LN(1+EXP(-ABS((LN(10^(逐级计算!$Q$191/10)-1)+逐级计算!$Q$191*(GI29-逐级计算!$P$191)*LN(10)/10))))))),"")</f>
        <v>13.7930384583159</v>
      </c>
      <c r="GK29">
        <f>IF(AND(ISNUMBER(GJ29),逐级计算!$X$192&gt;-1),IF(逐级计算!$X$192=0,GJ29+逐级计算!$C$192,GJ29+逐级计算!$C$192-(10/(逐级计算!$Q$192*LN(10))*(MAX((LN(10^(逐级计算!$Q$192/10)-1)+逐级计算!$Q$192*(GJ29-逐级计算!$P$192)*LN(10)/10),0)+LN(1+EXP(-ABS((LN(10^(逐级计算!$Q$192/10)-1)+逐级计算!$Q$192*(GJ29-逐级计算!$P$192)*LN(10)/10))))))),"")</f>
        <v>13.7930384583159</v>
      </c>
      <c r="GL29">
        <f>IF(AND(ISNUMBER(GK29),逐级计算!$X$193&gt;-1),IF(逐级计算!$X$193=0,GK29+逐级计算!$C$193,GK29+逐级计算!$C$193-(10/(逐级计算!$Q$193*LN(10))*(MAX((LN(10^(逐级计算!$Q$193/10)-1)+逐级计算!$Q$193*(GK29-逐级计算!$P$193)*LN(10)/10),0)+LN(1+EXP(-ABS((LN(10^(逐级计算!$Q$193/10)-1)+逐级计算!$Q$193*(GK29-逐级计算!$P$193)*LN(10)/10))))))),"")</f>
        <v>13.7930384583159</v>
      </c>
      <c r="GM29">
        <f>IF(AND(ISNUMBER(GL29),逐级计算!$X$194&gt;-1),IF(逐级计算!$X$194=0,GL29+逐级计算!$C$194,GL29+逐级计算!$C$194-(10/(逐级计算!$Q$194*LN(10))*(MAX((LN(10^(逐级计算!$Q$194/10)-1)+逐级计算!$Q$194*(GL29-逐级计算!$P$194)*LN(10)/10),0)+LN(1+EXP(-ABS((LN(10^(逐级计算!$Q$194/10)-1)+逐级计算!$Q$194*(GL29-逐级计算!$P$194)*LN(10)/10))))))),"")</f>
        <v>13.7930384583159</v>
      </c>
      <c r="GN29">
        <f>IF(AND(ISNUMBER(GM29),逐级计算!$X$195&gt;-1),IF(逐级计算!$X$195=0,GM29+逐级计算!$C$195,GM29+逐级计算!$C$195-(10/(逐级计算!$Q$195*LN(10))*(MAX((LN(10^(逐级计算!$Q$195/10)-1)+逐级计算!$Q$195*(GM29-逐级计算!$P$195)*LN(10)/10),0)+LN(1+EXP(-ABS((LN(10^(逐级计算!$Q$195/10)-1)+逐级计算!$Q$195*(GM29-逐级计算!$P$195)*LN(10)/10))))))),"")</f>
        <v>13.7930384583159</v>
      </c>
      <c r="GO29">
        <f>IF(AND(ISNUMBER(GN29),逐级计算!$X$196&gt;-1),IF(逐级计算!$X$196=0,GN29+逐级计算!$C$196,GN29+逐级计算!$C$196-(10/(逐级计算!$Q$196*LN(10))*(MAX((LN(10^(逐级计算!$Q$196/10)-1)+逐级计算!$Q$196*(GN29-逐级计算!$P$196)*LN(10)/10),0)+LN(1+EXP(-ABS((LN(10^(逐级计算!$Q$196/10)-1)+逐级计算!$Q$196*(GN29-逐级计算!$P$196)*LN(10)/10))))))),"")</f>
        <v>13.7930384583159</v>
      </c>
      <c r="GP29">
        <f>IF(AND(ISNUMBER(GO29),逐级计算!$X$197&gt;-1),IF(逐级计算!$X$197=0,GO29+逐级计算!$C$197,GO29+逐级计算!$C$197-(10/(逐级计算!$Q$197*LN(10))*(MAX((LN(10^(逐级计算!$Q$197/10)-1)+逐级计算!$Q$197*(GO29-逐级计算!$P$197)*LN(10)/10),0)+LN(1+EXP(-ABS((LN(10^(逐级计算!$Q$197/10)-1)+逐级计算!$Q$197*(GO29-逐级计算!$P$197)*LN(10)/10))))))),"")</f>
        <v>13.7930384583159</v>
      </c>
      <c r="GQ29">
        <f>IF(AND(ISNUMBER(GP29),逐级计算!$X$198&gt;-1),IF(逐级计算!$X$198=0,GP29+逐级计算!$C$198,GP29+逐级计算!$C$198-(10/(逐级计算!$Q$198*LN(10))*(MAX((LN(10^(逐级计算!$Q$198/10)-1)+逐级计算!$Q$198*(GP29-逐级计算!$P$198)*LN(10)/10),0)+LN(1+EXP(-ABS((LN(10^(逐级计算!$Q$198/10)-1)+逐级计算!$Q$198*(GP29-逐级计算!$P$198)*LN(10)/10))))))),"")</f>
        <v>13.7930384583159</v>
      </c>
      <c r="GR29">
        <f>IF(AND(ISNUMBER(GQ29),逐级计算!$X$199&gt;-1),IF(逐级计算!$X$199=0,GQ29+逐级计算!$C$199,GQ29+逐级计算!$C$199-(10/(逐级计算!$Q$199*LN(10))*(MAX((LN(10^(逐级计算!$Q$199/10)-1)+逐级计算!$Q$199*(GQ29-逐级计算!$P$199)*LN(10)/10),0)+LN(1+EXP(-ABS((LN(10^(逐级计算!$Q$199/10)-1)+逐级计算!$Q$199*(GQ29-逐级计算!$P$199)*LN(10)/10))))))),"")</f>
        <v>13.7930384583159</v>
      </c>
      <c r="GS29">
        <f>IF(AND(ISNUMBER(GR29),逐级计算!$X$200&gt;-1),IF(逐级计算!$X$200=0,GR29+逐级计算!$C$200,GR29+逐级计算!$C$200-(10/(逐级计算!$Q$200*LN(10))*(MAX((LN(10^(逐级计算!$Q$200/10)-1)+逐级计算!$Q$200*(GR29-逐级计算!$P$200)*LN(10)/10),0)+LN(1+EXP(-ABS((LN(10^(逐级计算!$Q$200/10)-1)+逐级计算!$Q$200*(GR29-逐级计算!$P$200)*LN(10)/10))))))),"")</f>
        <v>13.7930384583159</v>
      </c>
      <c r="GT29">
        <f>IF(AND(ISNUMBER(GS29),逐级计算!$X$201&gt;-1),IF(逐级计算!$X$201=0,GS29+逐级计算!$C$201,GS29+逐级计算!$C$201-(10/(逐级计算!$Q$201*LN(10))*(MAX((LN(10^(逐级计算!$Q$201/10)-1)+逐级计算!$Q$201*(GS29-逐级计算!$P$201)*LN(10)/10),0)+LN(1+EXP(-ABS((LN(10^(逐级计算!$Q$201/10)-1)+逐级计算!$Q$201*(GS29-逐级计算!$P$201)*LN(10)/10))))))),"")</f>
        <v>13.7930384583159</v>
      </c>
      <c r="GU29">
        <f>IF(AND(ISNUMBER(GT29),逐级计算!$X$202&gt;-1),IF(逐级计算!$X$202=0,GT29+逐级计算!$C$202,GT29+逐级计算!$C$202-(10/(逐级计算!$Q$202*LN(10))*(MAX((LN(10^(逐级计算!$Q$202/10)-1)+逐级计算!$Q$202*(GT29-逐级计算!$P$202)*LN(10)/10),0)+LN(1+EXP(-ABS((LN(10^(逐级计算!$Q$202/10)-1)+逐级计算!$Q$202*(GT29-逐级计算!$P$202)*LN(10)/10))))))),"")</f>
        <v>13.7930384583159</v>
      </c>
      <c r="GV29">
        <f>IF(AND(ISNUMBER(GU29),逐级计算!$X$203&gt;-1),IF(逐级计算!$X$203=0,GU29+逐级计算!$C$203,GU29+逐级计算!$C$203-(10/(逐级计算!$Q$203*LN(10))*(MAX((LN(10^(逐级计算!$Q$203/10)-1)+逐级计算!$Q$203*(GU29-逐级计算!$P$203)*LN(10)/10),0)+LN(1+EXP(-ABS((LN(10^(逐级计算!$Q$203/10)-1)+逐级计算!$Q$203*(GU29-逐级计算!$P$203)*LN(10)/10))))))),"")</f>
        <v>13.7930384583159</v>
      </c>
      <c r="GW29">
        <f t="shared" si="2"/>
        <v>-5.2069354057312</v>
      </c>
    </row>
    <row r="30" spans="1:205">
      <c r="A30">
        <v>23</v>
      </c>
      <c r="B30">
        <f t="shared" si="1"/>
        <v>-5.20698547363281</v>
      </c>
      <c r="C30">
        <f t="shared" si="0"/>
        <v>-5.20697295665741</v>
      </c>
      <c r="D30">
        <f>IF(AND(ISNUMBER(C30),ISNUMBER(逐级计算!$E$203),ISNUMBER(GV30)),C30+逐级计算!$E$203-GV30,"")</f>
        <v>0.999996482708667</v>
      </c>
      <c r="E30">
        <f>IF(AND(ISNUMBER(C30),逐级计算!$X$4&gt;-1),IF(逐级计算!$X$4=0,C30+逐级计算!$C$4,C30+逐级计算!$C$4-(10/(逐级计算!$Q$4*LN(10))*(MAX((LN(10^(逐级计算!$Q$4/10)-1)+逐级计算!$Q$4*(C30-逐级计算!$P$4)*LN(10)/10),0)+LN(1+EXP(-ABS((LN(10^(逐级计算!$Q$4/10)-1)+逐级计算!$Q$4*(C30-逐级计算!$P$4)*LN(10)/10))))))),"")</f>
        <v>4.68053077960616</v>
      </c>
      <c r="F30">
        <f>IF(AND(ISNUMBER(E30),逐级计算!$X$5&gt;-1),IF(逐级计算!$X$5=0,E30+逐级计算!$C$5,E30+逐级计算!$C$5-(10/(逐级计算!$Q$5*LN(10))*(MAX((LN(10^(逐级计算!$Q$5/10)-1)+逐级计算!$Q$5*(E30-逐级计算!$P$5)*LN(10)/10),0)+LN(1+EXP(-ABS((LN(10^(逐级计算!$Q$5/10)-1)+逐级计算!$Q$5*(E30-逐级计算!$P$5)*LN(10)/10))))))),"")</f>
        <v>13.7930305606339</v>
      </c>
      <c r="G30">
        <f>IF(AND(ISNUMBER(F30),逐级计算!$X$6&gt;-1),IF(逐级计算!$X$6=0,F30+逐级计算!$C$6,F30+逐级计算!$C$6-(10/(逐级计算!$Q$6*LN(10))*(MAX((LN(10^(逐级计算!$Q$6/10)-1)+逐级计算!$Q$6*(F30-逐级计算!$P$6)*LN(10)/10),0)+LN(1+EXP(-ABS((LN(10^(逐级计算!$Q$6/10)-1)+逐级计算!$Q$6*(F30-逐级计算!$P$6)*LN(10)/10))))))),"")</f>
        <v>13.7930305606339</v>
      </c>
      <c r="H30">
        <f>IF(AND(ISNUMBER(G30),逐级计算!$X$7&gt;-1),IF(逐级计算!$X$7=0,G30+逐级计算!$C$7,G30+逐级计算!$C$7-(10/(逐级计算!$Q$7*LN(10))*(MAX((LN(10^(逐级计算!$Q$7/10)-1)+逐级计算!$Q$7*(G30-逐级计算!$P$7)*LN(10)/10),0)+LN(1+EXP(-ABS((LN(10^(逐级计算!$Q$7/10)-1)+逐级计算!$Q$7*(G30-逐级计算!$P$7)*LN(10)/10))))))),"")</f>
        <v>13.7930305606339</v>
      </c>
      <c r="I30">
        <f>IF(AND(ISNUMBER(H30),逐级计算!$X$8&gt;-1),IF(逐级计算!$X$8=0,H30+逐级计算!$C$8,H30+逐级计算!$C$8-(10/(逐级计算!$Q$8*LN(10))*(MAX((LN(10^(逐级计算!$Q$8/10)-1)+逐级计算!$Q$8*(H30-逐级计算!$P$8)*LN(10)/10),0)+LN(1+EXP(-ABS((LN(10^(逐级计算!$Q$8/10)-1)+逐级计算!$Q$8*(H30-逐级计算!$P$8)*LN(10)/10))))))),"")</f>
        <v>13.7930305606339</v>
      </c>
      <c r="J30">
        <f>IF(AND(ISNUMBER(I30),逐级计算!$X$9&gt;-1),IF(逐级计算!$X$9=0,I30+逐级计算!$C$9,I30+逐级计算!$C$9-(10/(逐级计算!$Q$9*LN(10))*(MAX((LN(10^(逐级计算!$Q$9/10)-1)+逐级计算!$Q$9*(I30-逐级计算!$P$9)*LN(10)/10),0)+LN(1+EXP(-ABS((LN(10^(逐级计算!$Q$9/10)-1)+逐级计算!$Q$9*(I30-逐级计算!$P$9)*LN(10)/10))))))),"")</f>
        <v>13.7930305606339</v>
      </c>
      <c r="K30">
        <f>IF(AND(ISNUMBER(J30),逐级计算!$X$10&gt;-1),IF(逐级计算!$X$10=0,J30+逐级计算!$C$10,J30+逐级计算!$C$10-(10/(逐级计算!$Q$10*LN(10))*(MAX((LN(10^(逐级计算!$Q$10/10)-1)+逐级计算!$Q$10*(J30-逐级计算!$P$10)*LN(10)/10),0)+LN(1+EXP(-ABS((LN(10^(逐级计算!$Q$10/10)-1)+逐级计算!$Q$10*(J30-逐级计算!$P$10)*LN(10)/10))))))),"")</f>
        <v>13.7930305606339</v>
      </c>
      <c r="L30">
        <f>IF(AND(ISNUMBER(K30),逐级计算!$X$11&gt;-1),IF(逐级计算!$X$11=0,K30+逐级计算!$C$11,K30+逐级计算!$C$11-(10/(逐级计算!$Q$11*LN(10))*(MAX((LN(10^(逐级计算!$Q$11/10)-1)+逐级计算!$Q$11*(K30-逐级计算!$P$11)*LN(10)/10),0)+LN(1+EXP(-ABS((LN(10^(逐级计算!$Q$11/10)-1)+逐级计算!$Q$11*(K30-逐级计算!$P$11)*LN(10)/10))))))),"")</f>
        <v>13.7930305606339</v>
      </c>
      <c r="M30">
        <f>IF(AND(ISNUMBER(L30),逐级计算!$X$12&gt;-1),IF(逐级计算!$X$12=0,L30+逐级计算!$C$12,L30+逐级计算!$C$12-(10/(逐级计算!$Q$12*LN(10))*(MAX((LN(10^(逐级计算!$Q$12/10)-1)+逐级计算!$Q$12*(L30-逐级计算!$P$12)*LN(10)/10),0)+LN(1+EXP(-ABS((LN(10^(逐级计算!$Q$12/10)-1)+逐级计算!$Q$12*(L30-逐级计算!$P$12)*LN(10)/10))))))),"")</f>
        <v>13.7930305606339</v>
      </c>
      <c r="N30">
        <f>IF(AND(ISNUMBER(M30),逐级计算!$X$13&gt;-1),IF(逐级计算!$X$13=0,M30+逐级计算!$C$13,M30+逐级计算!$C$13-(10/(逐级计算!$Q$13*LN(10))*(MAX((LN(10^(逐级计算!$Q$13/10)-1)+逐级计算!$Q$13*(M30-逐级计算!$P$13)*LN(10)/10),0)+LN(1+EXP(-ABS((LN(10^(逐级计算!$Q$13/10)-1)+逐级计算!$Q$13*(M30-逐级计算!$P$13)*LN(10)/10))))))),"")</f>
        <v>13.7930305606339</v>
      </c>
      <c r="O30">
        <f>IF(AND(ISNUMBER(N30),逐级计算!$X$14&gt;-1),IF(逐级计算!$X$14=0,N30+逐级计算!$C$14,N30+逐级计算!$C$14-(10/(逐级计算!$Q$14*LN(10))*(MAX((LN(10^(逐级计算!$Q$14/10)-1)+逐级计算!$Q$14*(N30-逐级计算!$P$14)*LN(10)/10),0)+LN(1+EXP(-ABS((LN(10^(逐级计算!$Q$14/10)-1)+逐级计算!$Q$14*(N30-逐级计算!$P$14)*LN(10)/10))))))),"")</f>
        <v>13.7930305606339</v>
      </c>
      <c r="P30">
        <f>IF(AND(ISNUMBER(O30),逐级计算!$X$15&gt;-1),IF(逐级计算!$X$15=0,O30+逐级计算!$C$15,O30+逐级计算!$C$15-(10/(逐级计算!$Q$15*LN(10))*(MAX((LN(10^(逐级计算!$Q$15/10)-1)+逐级计算!$Q$15*(O30-逐级计算!$P$15)*LN(10)/10),0)+LN(1+EXP(-ABS((LN(10^(逐级计算!$Q$15/10)-1)+逐级计算!$Q$15*(O30-逐级计算!$P$15)*LN(10)/10))))))),"")</f>
        <v>13.7930305606339</v>
      </c>
      <c r="Q30">
        <f>IF(AND(ISNUMBER(P30),逐级计算!$X$16&gt;-1),IF(逐级计算!$X$16=0,P30+逐级计算!$C$16,P30+逐级计算!$C$16-(10/(逐级计算!$Q$16*LN(10))*(MAX((LN(10^(逐级计算!$Q$16/10)-1)+逐级计算!$Q$16*(P30-逐级计算!$P$16)*LN(10)/10),0)+LN(1+EXP(-ABS((LN(10^(逐级计算!$Q$16/10)-1)+逐级计算!$Q$16*(P30-逐级计算!$P$16)*LN(10)/10))))))),"")</f>
        <v>13.7930305606339</v>
      </c>
      <c r="R30">
        <f>IF(AND(ISNUMBER(Q30),逐级计算!$X$17&gt;-1),IF(逐级计算!$X$17=0,Q30+逐级计算!$C$17,Q30+逐级计算!$C$17-(10/(逐级计算!$Q$17*LN(10))*(MAX((LN(10^(逐级计算!$Q$17/10)-1)+逐级计算!$Q$17*(Q30-逐级计算!$P$17)*LN(10)/10),0)+LN(1+EXP(-ABS((LN(10^(逐级计算!$Q$17/10)-1)+逐级计算!$Q$17*(Q30-逐级计算!$P$17)*LN(10)/10))))))),"")</f>
        <v>13.7930305606339</v>
      </c>
      <c r="S30">
        <f>IF(AND(ISNUMBER(R30),逐级计算!$X$18&gt;-1),IF(逐级计算!$X$18=0,R30+逐级计算!$C$18,R30+逐级计算!$C$18-(10/(逐级计算!$Q$18*LN(10))*(MAX((LN(10^(逐级计算!$Q$18/10)-1)+逐级计算!$Q$18*(R30-逐级计算!$P$18)*LN(10)/10),0)+LN(1+EXP(-ABS((LN(10^(逐级计算!$Q$18/10)-1)+逐级计算!$Q$18*(R30-逐级计算!$P$18)*LN(10)/10))))))),"")</f>
        <v>13.7930305606339</v>
      </c>
      <c r="T30">
        <f>IF(AND(ISNUMBER(S30),逐级计算!$X$19&gt;-1),IF(逐级计算!$X$19=0,S30+逐级计算!$C$19,S30+逐级计算!$C$19-(10/(逐级计算!$Q$19*LN(10))*(MAX((LN(10^(逐级计算!$Q$19/10)-1)+逐级计算!$Q$19*(S30-逐级计算!$P$19)*LN(10)/10),0)+LN(1+EXP(-ABS((LN(10^(逐级计算!$Q$19/10)-1)+逐级计算!$Q$19*(S30-逐级计算!$P$19)*LN(10)/10))))))),"")</f>
        <v>13.7930305606339</v>
      </c>
      <c r="U30">
        <f>IF(AND(ISNUMBER(T30),逐级计算!$X$20&gt;-1),IF(逐级计算!$X$20=0,T30+逐级计算!$C$20,T30+逐级计算!$C$20-(10/(逐级计算!$Q$20*LN(10))*(MAX((LN(10^(逐级计算!$Q$20/10)-1)+逐级计算!$Q$20*(T30-逐级计算!$P$20)*LN(10)/10),0)+LN(1+EXP(-ABS((LN(10^(逐级计算!$Q$20/10)-1)+逐级计算!$Q$20*(T30-逐级计算!$P$20)*LN(10)/10))))))),"")</f>
        <v>13.7930305606339</v>
      </c>
      <c r="V30">
        <f>IF(AND(ISNUMBER(U30),逐级计算!$X$21&gt;-1),IF(逐级计算!$X$21=0,U30+逐级计算!$C$21,U30+逐级计算!$C$21-(10/(逐级计算!$Q$21*LN(10))*(MAX((LN(10^(逐级计算!$Q$21/10)-1)+逐级计算!$Q$21*(U30-逐级计算!$P$21)*LN(10)/10),0)+LN(1+EXP(-ABS((LN(10^(逐级计算!$Q$21/10)-1)+逐级计算!$Q$21*(U30-逐级计算!$P$21)*LN(10)/10))))))),"")</f>
        <v>13.7930305606339</v>
      </c>
      <c r="W30">
        <f>IF(AND(ISNUMBER(V30),逐级计算!$X$22&gt;-1),IF(逐级计算!$X$22=0,V30+逐级计算!$C$22,V30+逐级计算!$C$22-(10/(逐级计算!$Q$22*LN(10))*(MAX((LN(10^(逐级计算!$Q$22/10)-1)+逐级计算!$Q$22*(V30-逐级计算!$P$22)*LN(10)/10),0)+LN(1+EXP(-ABS((LN(10^(逐级计算!$Q$22/10)-1)+逐级计算!$Q$22*(V30-逐级计算!$P$22)*LN(10)/10))))))),"")</f>
        <v>13.7930305606339</v>
      </c>
      <c r="X30">
        <f>IF(AND(ISNUMBER(W30),逐级计算!$X$23&gt;-1),IF(逐级计算!$X$23=0,W30+逐级计算!$C$23,W30+逐级计算!$C$23-(10/(逐级计算!$Q$23*LN(10))*(MAX((LN(10^(逐级计算!$Q$23/10)-1)+逐级计算!$Q$23*(W30-逐级计算!$P$23)*LN(10)/10),0)+LN(1+EXP(-ABS((LN(10^(逐级计算!$Q$23/10)-1)+逐级计算!$Q$23*(W30-逐级计算!$P$23)*LN(10)/10))))))),"")</f>
        <v>13.7930305606339</v>
      </c>
      <c r="Y30">
        <f>IF(AND(ISNUMBER(X30),逐级计算!$X$24&gt;-1),IF(逐级计算!$X$24=0,X30+逐级计算!$C$24,X30+逐级计算!$C$24-(10/(逐级计算!$Q$24*LN(10))*(MAX((LN(10^(逐级计算!$Q$24/10)-1)+逐级计算!$Q$24*(X30-逐级计算!$P$24)*LN(10)/10),0)+LN(1+EXP(-ABS((LN(10^(逐级计算!$Q$24/10)-1)+逐级计算!$Q$24*(X30-逐级计算!$P$24)*LN(10)/10))))))),"")</f>
        <v>13.7930305606339</v>
      </c>
      <c r="Z30">
        <f>IF(AND(ISNUMBER(Y30),逐级计算!$X$25&gt;-1),IF(逐级计算!$X$25=0,Y30+逐级计算!$C$25,Y30+逐级计算!$C$25-(10/(逐级计算!$Q$25*LN(10))*(MAX((LN(10^(逐级计算!$Q$25/10)-1)+逐级计算!$Q$25*(Y30-逐级计算!$P$25)*LN(10)/10),0)+LN(1+EXP(-ABS((LN(10^(逐级计算!$Q$25/10)-1)+逐级计算!$Q$25*(Y30-逐级计算!$P$25)*LN(10)/10))))))),"")</f>
        <v>13.7930305606339</v>
      </c>
      <c r="AA30">
        <f>IF(AND(ISNUMBER(Z30),逐级计算!$X$26&gt;-1),IF(逐级计算!$X$26=0,Z30+逐级计算!$C$26,Z30+逐级计算!$C$26-(10/(逐级计算!$Q$26*LN(10))*(MAX((LN(10^(逐级计算!$Q$26/10)-1)+逐级计算!$Q$26*(Z30-逐级计算!$P$26)*LN(10)/10),0)+LN(1+EXP(-ABS((LN(10^(逐级计算!$Q$26/10)-1)+逐级计算!$Q$26*(Z30-逐级计算!$P$26)*LN(10)/10))))))),"")</f>
        <v>13.7930305606339</v>
      </c>
      <c r="AB30">
        <f>IF(AND(ISNUMBER(AA30),逐级计算!$X$27&gt;-1),IF(逐级计算!$X$27=0,AA30+逐级计算!$C$27,AA30+逐级计算!$C$27-(10/(逐级计算!$Q$27*LN(10))*(MAX((LN(10^(逐级计算!$Q$27/10)-1)+逐级计算!$Q$27*(AA30-逐级计算!$P$27)*LN(10)/10),0)+LN(1+EXP(-ABS((LN(10^(逐级计算!$Q$27/10)-1)+逐级计算!$Q$27*(AA30-逐级计算!$P$27)*LN(10)/10))))))),"")</f>
        <v>13.7930305606339</v>
      </c>
      <c r="AC30">
        <f>IF(AND(ISNUMBER(AB30),逐级计算!$X$28&gt;-1),IF(逐级计算!$X$28=0,AB30+逐级计算!$C$28,AB30+逐级计算!$C$28-(10/(逐级计算!$Q$28*LN(10))*(MAX((LN(10^(逐级计算!$Q$28/10)-1)+逐级计算!$Q$28*(AB30-逐级计算!$P$28)*LN(10)/10),0)+LN(1+EXP(-ABS((LN(10^(逐级计算!$Q$28/10)-1)+逐级计算!$Q$28*(AB30-逐级计算!$P$28)*LN(10)/10))))))),"")</f>
        <v>13.7930305606339</v>
      </c>
      <c r="AD30">
        <f>IF(AND(ISNUMBER(AC30),逐级计算!$X$29&gt;-1),IF(逐级计算!$X$29=0,AC30+逐级计算!$C$29,AC30+逐级计算!$C$29-(10/(逐级计算!$Q$29*LN(10))*(MAX((LN(10^(逐级计算!$Q$29/10)-1)+逐级计算!$Q$29*(AC30-逐级计算!$P$29)*LN(10)/10),0)+LN(1+EXP(-ABS((LN(10^(逐级计算!$Q$29/10)-1)+逐级计算!$Q$29*(AC30-逐级计算!$P$29)*LN(10)/10))))))),"")</f>
        <v>13.7930305606339</v>
      </c>
      <c r="AE30">
        <f>IF(AND(ISNUMBER(AD30),逐级计算!$X$30&gt;-1),IF(逐级计算!$X$30=0,AD30+逐级计算!$C$30,AD30+逐级计算!$C$30-(10/(逐级计算!$Q$30*LN(10))*(MAX((LN(10^(逐级计算!$Q$30/10)-1)+逐级计算!$Q$30*(AD30-逐级计算!$P$30)*LN(10)/10),0)+LN(1+EXP(-ABS((LN(10^(逐级计算!$Q$30/10)-1)+逐级计算!$Q$30*(AD30-逐级计算!$P$30)*LN(10)/10))))))),"")</f>
        <v>13.7930305606339</v>
      </c>
      <c r="AF30">
        <f>IF(AND(ISNUMBER(AE30),逐级计算!$X$31&gt;-1),IF(逐级计算!$X$31=0,AE30+逐级计算!$C$31,AE30+逐级计算!$C$31-(10/(逐级计算!$Q$31*LN(10))*(MAX((LN(10^(逐级计算!$Q$31/10)-1)+逐级计算!$Q$31*(AE30-逐级计算!$P$31)*LN(10)/10),0)+LN(1+EXP(-ABS((LN(10^(逐级计算!$Q$31/10)-1)+逐级计算!$Q$31*(AE30-逐级计算!$P$31)*LN(10)/10))))))),"")</f>
        <v>13.7930305606339</v>
      </c>
      <c r="AG30">
        <f>IF(AND(ISNUMBER(AF30),逐级计算!$X$32&gt;-1),IF(逐级计算!$X$32=0,AF30+逐级计算!$C$32,AF30+逐级计算!$C$32-(10/(逐级计算!$Q$32*LN(10))*(MAX((LN(10^(逐级计算!$Q$32/10)-1)+逐级计算!$Q$32*(AF30-逐级计算!$P$32)*LN(10)/10),0)+LN(1+EXP(-ABS((LN(10^(逐级计算!$Q$32/10)-1)+逐级计算!$Q$32*(AF30-逐级计算!$P$32)*LN(10)/10))))))),"")</f>
        <v>13.7930305606339</v>
      </c>
      <c r="AH30">
        <f>IF(AND(ISNUMBER(AG30),逐级计算!$X$33&gt;-1),IF(逐级计算!$X$33=0,AG30+逐级计算!$C$33,AG30+逐级计算!$C$33-(10/(逐级计算!$Q$33*LN(10))*(MAX((LN(10^(逐级计算!$Q$33/10)-1)+逐级计算!$Q$33*(AG30-逐级计算!$P$33)*LN(10)/10),0)+LN(1+EXP(-ABS((LN(10^(逐级计算!$Q$33/10)-1)+逐级计算!$Q$33*(AG30-逐级计算!$P$33)*LN(10)/10))))))),"")</f>
        <v>13.7930305606339</v>
      </c>
      <c r="AI30">
        <f>IF(AND(ISNUMBER(AH30),逐级计算!$X$34&gt;-1),IF(逐级计算!$X$34=0,AH30+逐级计算!$C$34,AH30+逐级计算!$C$34-(10/(逐级计算!$Q$34*LN(10))*(MAX((LN(10^(逐级计算!$Q$34/10)-1)+逐级计算!$Q$34*(AH30-逐级计算!$P$34)*LN(10)/10),0)+LN(1+EXP(-ABS((LN(10^(逐级计算!$Q$34/10)-1)+逐级计算!$Q$34*(AH30-逐级计算!$P$34)*LN(10)/10))))))),"")</f>
        <v>13.7930305606339</v>
      </c>
      <c r="AJ30">
        <f>IF(AND(ISNUMBER(AI30),逐级计算!$X$35&gt;-1),IF(逐级计算!$X$35=0,AI30+逐级计算!$C$35,AI30+逐级计算!$C$35-(10/(逐级计算!$Q$35*LN(10))*(MAX((LN(10^(逐级计算!$Q$35/10)-1)+逐级计算!$Q$35*(AI30-逐级计算!$P$35)*LN(10)/10),0)+LN(1+EXP(-ABS((LN(10^(逐级计算!$Q$35/10)-1)+逐级计算!$Q$35*(AI30-逐级计算!$P$35)*LN(10)/10))))))),"")</f>
        <v>13.7930305606339</v>
      </c>
      <c r="AK30">
        <f>IF(AND(ISNUMBER(AJ30),逐级计算!$X$36&gt;-1),IF(逐级计算!$X$36=0,AJ30+逐级计算!$C$36,AJ30+逐级计算!$C$36-(10/(逐级计算!$Q$36*LN(10))*(MAX((LN(10^(逐级计算!$Q$36/10)-1)+逐级计算!$Q$36*(AJ30-逐级计算!$P$36)*LN(10)/10),0)+LN(1+EXP(-ABS((LN(10^(逐级计算!$Q$36/10)-1)+逐级计算!$Q$36*(AJ30-逐级计算!$P$36)*LN(10)/10))))))),"")</f>
        <v>13.7930305606339</v>
      </c>
      <c r="AL30">
        <f>IF(AND(ISNUMBER(AK30),逐级计算!$X$37&gt;-1),IF(逐级计算!$X$37=0,AK30+逐级计算!$C$37,AK30+逐级计算!$C$37-(10/(逐级计算!$Q$37*LN(10))*(MAX((LN(10^(逐级计算!$Q$37/10)-1)+逐级计算!$Q$37*(AK30-逐级计算!$P$37)*LN(10)/10),0)+LN(1+EXP(-ABS((LN(10^(逐级计算!$Q$37/10)-1)+逐级计算!$Q$37*(AK30-逐级计算!$P$37)*LN(10)/10))))))),"")</f>
        <v>13.7930305606339</v>
      </c>
      <c r="AM30">
        <f>IF(AND(ISNUMBER(AL30),逐级计算!$X$38&gt;-1),IF(逐级计算!$X$38=0,AL30+逐级计算!$C$38,AL30+逐级计算!$C$38-(10/(逐级计算!$Q$38*LN(10))*(MAX((LN(10^(逐级计算!$Q$38/10)-1)+逐级计算!$Q$38*(AL30-逐级计算!$P$38)*LN(10)/10),0)+LN(1+EXP(-ABS((LN(10^(逐级计算!$Q$38/10)-1)+逐级计算!$Q$38*(AL30-逐级计算!$P$38)*LN(10)/10))))))),"")</f>
        <v>13.7930305606339</v>
      </c>
      <c r="AN30">
        <f>IF(AND(ISNUMBER(AM30),逐级计算!$X$39&gt;-1),IF(逐级计算!$X$39=0,AM30+逐级计算!$C$39,AM30+逐级计算!$C$39-(10/(逐级计算!$Q$39*LN(10))*(MAX((LN(10^(逐级计算!$Q$39/10)-1)+逐级计算!$Q$39*(AM30-逐级计算!$P$39)*LN(10)/10),0)+LN(1+EXP(-ABS((LN(10^(逐级计算!$Q$39/10)-1)+逐级计算!$Q$39*(AM30-逐级计算!$P$39)*LN(10)/10))))))),"")</f>
        <v>13.7930305606339</v>
      </c>
      <c r="AO30">
        <f>IF(AND(ISNUMBER(AN30),逐级计算!$X$40&gt;-1),IF(逐级计算!$X$40=0,AN30+逐级计算!$C$40,AN30+逐级计算!$C$40-(10/(逐级计算!$Q$40*LN(10))*(MAX((LN(10^(逐级计算!$Q$40/10)-1)+逐级计算!$Q$40*(AN30-逐级计算!$P$40)*LN(10)/10),0)+LN(1+EXP(-ABS((LN(10^(逐级计算!$Q$40/10)-1)+逐级计算!$Q$40*(AN30-逐级计算!$P$40)*LN(10)/10))))))),"")</f>
        <v>13.7930305606339</v>
      </c>
      <c r="AP30">
        <f>IF(AND(ISNUMBER(AO30),逐级计算!$X$41&gt;-1),IF(逐级计算!$X$41=0,AO30+逐级计算!$C$41,AO30+逐级计算!$C$41-(10/(逐级计算!$Q$41*LN(10))*(MAX((LN(10^(逐级计算!$Q$41/10)-1)+逐级计算!$Q$41*(AO30-逐级计算!$P$41)*LN(10)/10),0)+LN(1+EXP(-ABS((LN(10^(逐级计算!$Q$41/10)-1)+逐级计算!$Q$41*(AO30-逐级计算!$P$41)*LN(10)/10))))))),"")</f>
        <v>13.7930305606339</v>
      </c>
      <c r="AQ30">
        <f>IF(AND(ISNUMBER(AP30),逐级计算!$X$42&gt;-1),IF(逐级计算!$X$42=0,AP30+逐级计算!$C$42,AP30+逐级计算!$C$42-(10/(逐级计算!$Q$42*LN(10))*(MAX((LN(10^(逐级计算!$Q$42/10)-1)+逐级计算!$Q$42*(AP30-逐级计算!$P$42)*LN(10)/10),0)+LN(1+EXP(-ABS((LN(10^(逐级计算!$Q$42/10)-1)+逐级计算!$Q$42*(AP30-逐级计算!$P$42)*LN(10)/10))))))),"")</f>
        <v>13.7930305606339</v>
      </c>
      <c r="AR30">
        <f>IF(AND(ISNUMBER(AQ30),逐级计算!$X$43&gt;-1),IF(逐级计算!$X$43=0,AQ30+逐级计算!$C$43,AQ30+逐级计算!$C$43-(10/(逐级计算!$Q$43*LN(10))*(MAX((LN(10^(逐级计算!$Q$43/10)-1)+逐级计算!$Q$43*(AQ30-逐级计算!$P$43)*LN(10)/10),0)+LN(1+EXP(-ABS((LN(10^(逐级计算!$Q$43/10)-1)+逐级计算!$Q$43*(AQ30-逐级计算!$P$43)*LN(10)/10))))))),"")</f>
        <v>13.7930305606339</v>
      </c>
      <c r="AS30">
        <f>IF(AND(ISNUMBER(AR30),逐级计算!$X$44&gt;-1),IF(逐级计算!$X$44=0,AR30+逐级计算!$C$44,AR30+逐级计算!$C$44-(10/(逐级计算!$Q$44*LN(10))*(MAX((LN(10^(逐级计算!$Q$44/10)-1)+逐级计算!$Q$44*(AR30-逐级计算!$P$44)*LN(10)/10),0)+LN(1+EXP(-ABS((LN(10^(逐级计算!$Q$44/10)-1)+逐级计算!$Q$44*(AR30-逐级计算!$P$44)*LN(10)/10))))))),"")</f>
        <v>13.7930305606339</v>
      </c>
      <c r="AT30">
        <f>IF(AND(ISNUMBER(AS30),逐级计算!$X$45&gt;-1),IF(逐级计算!$X$45=0,AS30+逐级计算!$C$45,AS30+逐级计算!$C$45-(10/(逐级计算!$Q$45*LN(10))*(MAX((LN(10^(逐级计算!$Q$45/10)-1)+逐级计算!$Q$45*(AS30-逐级计算!$P$45)*LN(10)/10),0)+LN(1+EXP(-ABS((LN(10^(逐级计算!$Q$45/10)-1)+逐级计算!$Q$45*(AS30-逐级计算!$P$45)*LN(10)/10))))))),"")</f>
        <v>13.7930305606339</v>
      </c>
      <c r="AU30">
        <f>IF(AND(ISNUMBER(AT30),逐级计算!$X$46&gt;-1),IF(逐级计算!$X$46=0,AT30+逐级计算!$C$46,AT30+逐级计算!$C$46-(10/(逐级计算!$Q$46*LN(10))*(MAX((LN(10^(逐级计算!$Q$46/10)-1)+逐级计算!$Q$46*(AT30-逐级计算!$P$46)*LN(10)/10),0)+LN(1+EXP(-ABS((LN(10^(逐级计算!$Q$46/10)-1)+逐级计算!$Q$46*(AT30-逐级计算!$P$46)*LN(10)/10))))))),"")</f>
        <v>13.7930305606339</v>
      </c>
      <c r="AV30">
        <f>IF(AND(ISNUMBER(AU30),逐级计算!$X$47&gt;-1),IF(逐级计算!$X$47=0,AU30+逐级计算!$C$47,AU30+逐级计算!$C$47-(10/(逐级计算!$Q$47*LN(10))*(MAX((LN(10^(逐级计算!$Q$47/10)-1)+逐级计算!$Q$47*(AU30-逐级计算!$P$47)*LN(10)/10),0)+LN(1+EXP(-ABS((LN(10^(逐级计算!$Q$47/10)-1)+逐级计算!$Q$47*(AU30-逐级计算!$P$47)*LN(10)/10))))))),"")</f>
        <v>13.7930305606339</v>
      </c>
      <c r="AW30">
        <f>IF(AND(ISNUMBER(AV30),逐级计算!$X$48&gt;-1),IF(逐级计算!$X$48=0,AV30+逐级计算!$C$48,AV30+逐级计算!$C$48-(10/(逐级计算!$Q$48*LN(10))*(MAX((LN(10^(逐级计算!$Q$48/10)-1)+逐级计算!$Q$48*(AV30-逐级计算!$P$48)*LN(10)/10),0)+LN(1+EXP(-ABS((LN(10^(逐级计算!$Q$48/10)-1)+逐级计算!$Q$48*(AV30-逐级计算!$P$48)*LN(10)/10))))))),"")</f>
        <v>13.7930305606339</v>
      </c>
      <c r="AX30">
        <f>IF(AND(ISNUMBER(AW30),逐级计算!$X$49&gt;-1),IF(逐级计算!$X$49=0,AW30+逐级计算!$C$49,AW30+逐级计算!$C$49-(10/(逐级计算!$Q$49*LN(10))*(MAX((LN(10^(逐级计算!$Q$49/10)-1)+逐级计算!$Q$49*(AW30-逐级计算!$P$49)*LN(10)/10),0)+LN(1+EXP(-ABS((LN(10^(逐级计算!$Q$49/10)-1)+逐级计算!$Q$49*(AW30-逐级计算!$P$49)*LN(10)/10))))))),"")</f>
        <v>13.7930305606339</v>
      </c>
      <c r="AY30">
        <f>IF(AND(ISNUMBER(AX30),逐级计算!$X$50&gt;-1),IF(逐级计算!$X$50=0,AX30+逐级计算!$C$50,AX30+逐级计算!$C$50-(10/(逐级计算!$Q$50*LN(10))*(MAX((LN(10^(逐级计算!$Q$50/10)-1)+逐级计算!$Q$50*(AX30-逐级计算!$P$50)*LN(10)/10),0)+LN(1+EXP(-ABS((LN(10^(逐级计算!$Q$50/10)-1)+逐级计算!$Q$50*(AX30-逐级计算!$P$50)*LN(10)/10))))))),"")</f>
        <v>13.7930305606339</v>
      </c>
      <c r="AZ30">
        <f>IF(AND(ISNUMBER(AY30),逐级计算!$X$51&gt;-1),IF(逐级计算!$X$51=0,AY30+逐级计算!$C$51,AY30+逐级计算!$C$51-(10/(逐级计算!$Q$51*LN(10))*(MAX((LN(10^(逐级计算!$Q$51/10)-1)+逐级计算!$Q$51*(AY30-逐级计算!$P$51)*LN(10)/10),0)+LN(1+EXP(-ABS((LN(10^(逐级计算!$Q$51/10)-1)+逐级计算!$Q$51*(AY30-逐级计算!$P$51)*LN(10)/10))))))),"")</f>
        <v>13.7930305606339</v>
      </c>
      <c r="BA30">
        <f>IF(AND(ISNUMBER(AZ30),逐级计算!$X$52&gt;-1),IF(逐级计算!$X$52=0,AZ30+逐级计算!$C$52,AZ30+逐级计算!$C$52-(10/(逐级计算!$Q$52*LN(10))*(MAX((LN(10^(逐级计算!$Q$52/10)-1)+逐级计算!$Q$52*(AZ30-逐级计算!$P$52)*LN(10)/10),0)+LN(1+EXP(-ABS((LN(10^(逐级计算!$Q$52/10)-1)+逐级计算!$Q$52*(AZ30-逐级计算!$P$52)*LN(10)/10))))))),"")</f>
        <v>13.7930305606339</v>
      </c>
      <c r="BB30">
        <f>IF(AND(ISNUMBER(BA30),逐级计算!$X$53&gt;-1),IF(逐级计算!$X$53=0,BA30+逐级计算!$C$53,BA30+逐级计算!$C$53-(10/(逐级计算!$Q$53*LN(10))*(MAX((LN(10^(逐级计算!$Q$53/10)-1)+逐级计算!$Q$53*(BA30-逐级计算!$P$53)*LN(10)/10),0)+LN(1+EXP(-ABS((LN(10^(逐级计算!$Q$53/10)-1)+逐级计算!$Q$53*(BA30-逐级计算!$P$53)*LN(10)/10))))))),"")</f>
        <v>13.7930305606339</v>
      </c>
      <c r="BC30">
        <f>IF(AND(ISNUMBER(BB30),逐级计算!$X$54&gt;-1),IF(逐级计算!$X$54=0,BB30+逐级计算!$C$54,BB30+逐级计算!$C$54-(10/(逐级计算!$Q$54*LN(10))*(MAX((LN(10^(逐级计算!$Q$54/10)-1)+逐级计算!$Q$54*(BB30-逐级计算!$P$54)*LN(10)/10),0)+LN(1+EXP(-ABS((LN(10^(逐级计算!$Q$54/10)-1)+逐级计算!$Q$54*(BB30-逐级计算!$P$54)*LN(10)/10))))))),"")</f>
        <v>13.7930305606339</v>
      </c>
      <c r="BD30">
        <f>IF(AND(ISNUMBER(BC30),逐级计算!$X$55&gt;-1),IF(逐级计算!$X$55=0,BC30+逐级计算!$C$55,BC30+逐级计算!$C$55-(10/(逐级计算!$Q$55*LN(10))*(MAX((LN(10^(逐级计算!$Q$55/10)-1)+逐级计算!$Q$55*(BC30-逐级计算!$P$55)*LN(10)/10),0)+LN(1+EXP(-ABS((LN(10^(逐级计算!$Q$55/10)-1)+逐级计算!$Q$55*(BC30-逐级计算!$P$55)*LN(10)/10))))))),"")</f>
        <v>13.7930305606339</v>
      </c>
      <c r="BE30">
        <f>IF(AND(ISNUMBER(BD30),逐级计算!$X$56&gt;-1),IF(逐级计算!$X$56=0,BD30+逐级计算!$C$56,BD30+逐级计算!$C$56-(10/(逐级计算!$Q$56*LN(10))*(MAX((LN(10^(逐级计算!$Q$56/10)-1)+逐级计算!$Q$56*(BD30-逐级计算!$P$56)*LN(10)/10),0)+LN(1+EXP(-ABS((LN(10^(逐级计算!$Q$56/10)-1)+逐级计算!$Q$56*(BD30-逐级计算!$P$56)*LN(10)/10))))))),"")</f>
        <v>13.7930305606339</v>
      </c>
      <c r="BF30">
        <f>IF(AND(ISNUMBER(BE30),逐级计算!$X$57&gt;-1),IF(逐级计算!$X$57=0,BE30+逐级计算!$C$57,BE30+逐级计算!$C$57-(10/(逐级计算!$Q$57*LN(10))*(MAX((LN(10^(逐级计算!$Q$57/10)-1)+逐级计算!$Q$57*(BE30-逐级计算!$P$57)*LN(10)/10),0)+LN(1+EXP(-ABS((LN(10^(逐级计算!$Q$57/10)-1)+逐级计算!$Q$57*(BE30-逐级计算!$P$57)*LN(10)/10))))))),"")</f>
        <v>13.7930305606339</v>
      </c>
      <c r="BG30">
        <f>IF(AND(ISNUMBER(BF30),逐级计算!$X$58&gt;-1),IF(逐级计算!$X$58=0,BF30+逐级计算!$C$58,BF30+逐级计算!$C$58-(10/(逐级计算!$Q$58*LN(10))*(MAX((LN(10^(逐级计算!$Q$58/10)-1)+逐级计算!$Q$58*(BF30-逐级计算!$P$58)*LN(10)/10),0)+LN(1+EXP(-ABS((LN(10^(逐级计算!$Q$58/10)-1)+逐级计算!$Q$58*(BF30-逐级计算!$P$58)*LN(10)/10))))))),"")</f>
        <v>13.7930305606339</v>
      </c>
      <c r="BH30">
        <f>IF(AND(ISNUMBER(BG30),逐级计算!$X$59&gt;-1),IF(逐级计算!$X$59=0,BG30+逐级计算!$C$59,BG30+逐级计算!$C$59-(10/(逐级计算!$Q$59*LN(10))*(MAX((LN(10^(逐级计算!$Q$59/10)-1)+逐级计算!$Q$59*(BG30-逐级计算!$P$59)*LN(10)/10),0)+LN(1+EXP(-ABS((LN(10^(逐级计算!$Q$59/10)-1)+逐级计算!$Q$59*(BG30-逐级计算!$P$59)*LN(10)/10))))))),"")</f>
        <v>13.7930305606339</v>
      </c>
      <c r="BI30">
        <f>IF(AND(ISNUMBER(BH30),逐级计算!$X$60&gt;-1),IF(逐级计算!$X$60=0,BH30+逐级计算!$C$60,BH30+逐级计算!$C$60-(10/(逐级计算!$Q$60*LN(10))*(MAX((LN(10^(逐级计算!$Q$60/10)-1)+逐级计算!$Q$60*(BH30-逐级计算!$P$60)*LN(10)/10),0)+LN(1+EXP(-ABS((LN(10^(逐级计算!$Q$60/10)-1)+逐级计算!$Q$60*(BH30-逐级计算!$P$60)*LN(10)/10))))))),"")</f>
        <v>13.7930305606339</v>
      </c>
      <c r="BJ30">
        <f>IF(AND(ISNUMBER(BI30),逐级计算!$X$61&gt;-1),IF(逐级计算!$X$61=0,BI30+逐级计算!$C$61,BI30+逐级计算!$C$61-(10/(逐级计算!$Q$61*LN(10))*(MAX((LN(10^(逐级计算!$Q$61/10)-1)+逐级计算!$Q$61*(BI30-逐级计算!$P$61)*LN(10)/10),0)+LN(1+EXP(-ABS((LN(10^(逐级计算!$Q$61/10)-1)+逐级计算!$Q$61*(BI30-逐级计算!$P$61)*LN(10)/10))))))),"")</f>
        <v>13.7930305606339</v>
      </c>
      <c r="BK30">
        <f>IF(AND(ISNUMBER(BJ30),逐级计算!$X$62&gt;-1),IF(逐级计算!$X$62=0,BJ30+逐级计算!$C$62,BJ30+逐级计算!$C$62-(10/(逐级计算!$Q$62*LN(10))*(MAX((LN(10^(逐级计算!$Q$62/10)-1)+逐级计算!$Q$62*(BJ30-逐级计算!$P$62)*LN(10)/10),0)+LN(1+EXP(-ABS((LN(10^(逐级计算!$Q$62/10)-1)+逐级计算!$Q$62*(BJ30-逐级计算!$P$62)*LN(10)/10))))))),"")</f>
        <v>13.7930305606339</v>
      </c>
      <c r="BL30">
        <f>IF(AND(ISNUMBER(BK30),逐级计算!$X$63&gt;-1),IF(逐级计算!$X$63=0,BK30+逐级计算!$C$63,BK30+逐级计算!$C$63-(10/(逐级计算!$Q$63*LN(10))*(MAX((LN(10^(逐级计算!$Q$63/10)-1)+逐级计算!$Q$63*(BK30-逐级计算!$P$63)*LN(10)/10),0)+LN(1+EXP(-ABS((LN(10^(逐级计算!$Q$63/10)-1)+逐级计算!$Q$63*(BK30-逐级计算!$P$63)*LN(10)/10))))))),"")</f>
        <v>13.7930305606339</v>
      </c>
      <c r="BM30">
        <f>IF(AND(ISNUMBER(BL30),逐级计算!$X$64&gt;-1),IF(逐级计算!$X$64=0,BL30+逐级计算!$C$64,BL30+逐级计算!$C$64-(10/(逐级计算!$Q$64*LN(10))*(MAX((LN(10^(逐级计算!$Q$64/10)-1)+逐级计算!$Q$64*(BL30-逐级计算!$P$64)*LN(10)/10),0)+LN(1+EXP(-ABS((LN(10^(逐级计算!$Q$64/10)-1)+逐级计算!$Q$64*(BL30-逐级计算!$P$64)*LN(10)/10))))))),"")</f>
        <v>13.7930305606339</v>
      </c>
      <c r="BN30">
        <f>IF(AND(ISNUMBER(BM30),逐级计算!$X$65&gt;-1),IF(逐级计算!$X$65=0,BM30+逐级计算!$C$65,BM30+逐级计算!$C$65-(10/(逐级计算!$Q$65*LN(10))*(MAX((LN(10^(逐级计算!$Q$65/10)-1)+逐级计算!$Q$65*(BM30-逐级计算!$P$65)*LN(10)/10),0)+LN(1+EXP(-ABS((LN(10^(逐级计算!$Q$65/10)-1)+逐级计算!$Q$65*(BM30-逐级计算!$P$65)*LN(10)/10))))))),"")</f>
        <v>13.7930305606339</v>
      </c>
      <c r="BO30">
        <f>IF(AND(ISNUMBER(BN30),逐级计算!$X$66&gt;-1),IF(逐级计算!$X$66=0,BN30+逐级计算!$C$66,BN30+逐级计算!$C$66-(10/(逐级计算!$Q$66*LN(10))*(MAX((LN(10^(逐级计算!$Q$66/10)-1)+逐级计算!$Q$66*(BN30-逐级计算!$P$66)*LN(10)/10),0)+LN(1+EXP(-ABS((LN(10^(逐级计算!$Q$66/10)-1)+逐级计算!$Q$66*(BN30-逐级计算!$P$66)*LN(10)/10))))))),"")</f>
        <v>13.7930305606339</v>
      </c>
      <c r="BP30">
        <f>IF(AND(ISNUMBER(BO30),逐级计算!$X$67&gt;-1),IF(逐级计算!$X$67=0,BO30+逐级计算!$C$67,BO30+逐级计算!$C$67-(10/(逐级计算!$Q$67*LN(10))*(MAX((LN(10^(逐级计算!$Q$67/10)-1)+逐级计算!$Q$67*(BO30-逐级计算!$P$67)*LN(10)/10),0)+LN(1+EXP(-ABS((LN(10^(逐级计算!$Q$67/10)-1)+逐级计算!$Q$67*(BO30-逐级计算!$P$67)*LN(10)/10))))))),"")</f>
        <v>13.7930305606339</v>
      </c>
      <c r="BQ30">
        <f>IF(AND(ISNUMBER(BP30),逐级计算!$X$68&gt;-1),IF(逐级计算!$X$68=0,BP30+逐级计算!$C$68,BP30+逐级计算!$C$68-(10/(逐级计算!$Q$68*LN(10))*(MAX((LN(10^(逐级计算!$Q$68/10)-1)+逐级计算!$Q$68*(BP30-逐级计算!$P$68)*LN(10)/10),0)+LN(1+EXP(-ABS((LN(10^(逐级计算!$Q$68/10)-1)+逐级计算!$Q$68*(BP30-逐级计算!$P$68)*LN(10)/10))))))),"")</f>
        <v>13.7930305606339</v>
      </c>
      <c r="BR30">
        <f>IF(AND(ISNUMBER(BQ30),逐级计算!$X$69&gt;-1),IF(逐级计算!$X$69=0,BQ30+逐级计算!$C$69,BQ30+逐级计算!$C$69-(10/(逐级计算!$Q$69*LN(10))*(MAX((LN(10^(逐级计算!$Q$69/10)-1)+逐级计算!$Q$69*(BQ30-逐级计算!$P$69)*LN(10)/10),0)+LN(1+EXP(-ABS((LN(10^(逐级计算!$Q$69/10)-1)+逐级计算!$Q$69*(BQ30-逐级计算!$P$69)*LN(10)/10))))))),"")</f>
        <v>13.7930305606339</v>
      </c>
      <c r="BS30">
        <f>IF(AND(ISNUMBER(BR30),逐级计算!$X$70&gt;-1),IF(逐级计算!$X$70=0,BR30+逐级计算!$C$70,BR30+逐级计算!$C$70-(10/(逐级计算!$Q$70*LN(10))*(MAX((LN(10^(逐级计算!$Q$70/10)-1)+逐级计算!$Q$70*(BR30-逐级计算!$P$70)*LN(10)/10),0)+LN(1+EXP(-ABS((LN(10^(逐级计算!$Q$70/10)-1)+逐级计算!$Q$70*(BR30-逐级计算!$P$70)*LN(10)/10))))))),"")</f>
        <v>13.7930305606339</v>
      </c>
      <c r="BT30">
        <f>IF(AND(ISNUMBER(BS30),逐级计算!$X$71&gt;-1),IF(逐级计算!$X$71=0,BS30+逐级计算!$C$71,BS30+逐级计算!$C$71-(10/(逐级计算!$Q$71*LN(10))*(MAX((LN(10^(逐级计算!$Q$71/10)-1)+逐级计算!$Q$71*(BS30-逐级计算!$P$71)*LN(10)/10),0)+LN(1+EXP(-ABS((LN(10^(逐级计算!$Q$71/10)-1)+逐级计算!$Q$71*(BS30-逐级计算!$P$71)*LN(10)/10))))))),"")</f>
        <v>13.7930305606339</v>
      </c>
      <c r="BU30">
        <f>IF(AND(ISNUMBER(BT30),逐级计算!$X$72&gt;-1),IF(逐级计算!$X$72=0,BT30+逐级计算!$C$72,BT30+逐级计算!$C$72-(10/(逐级计算!$Q$72*LN(10))*(MAX((LN(10^(逐级计算!$Q$72/10)-1)+逐级计算!$Q$72*(BT30-逐级计算!$P$72)*LN(10)/10),0)+LN(1+EXP(-ABS((LN(10^(逐级计算!$Q$72/10)-1)+逐级计算!$Q$72*(BT30-逐级计算!$P$72)*LN(10)/10))))))),"")</f>
        <v>13.7930305606339</v>
      </c>
      <c r="BV30">
        <f>IF(AND(ISNUMBER(BU30),逐级计算!$X$73&gt;-1),IF(逐级计算!$X$73=0,BU30+逐级计算!$C$73,BU30+逐级计算!$C$73-(10/(逐级计算!$Q$73*LN(10))*(MAX((LN(10^(逐级计算!$Q$73/10)-1)+逐级计算!$Q$73*(BU30-逐级计算!$P$73)*LN(10)/10),0)+LN(1+EXP(-ABS((LN(10^(逐级计算!$Q$73/10)-1)+逐级计算!$Q$73*(BU30-逐级计算!$P$73)*LN(10)/10))))))),"")</f>
        <v>13.7930305606339</v>
      </c>
      <c r="BW30">
        <f>IF(AND(ISNUMBER(BV30),逐级计算!$X$74&gt;-1),IF(逐级计算!$X$74=0,BV30+逐级计算!$C$74,BV30+逐级计算!$C$74-(10/(逐级计算!$Q$74*LN(10))*(MAX((LN(10^(逐级计算!$Q$74/10)-1)+逐级计算!$Q$74*(BV30-逐级计算!$P$74)*LN(10)/10),0)+LN(1+EXP(-ABS((LN(10^(逐级计算!$Q$74/10)-1)+逐级计算!$Q$74*(BV30-逐级计算!$P$74)*LN(10)/10))))))),"")</f>
        <v>13.7930305606339</v>
      </c>
      <c r="BX30">
        <f>IF(AND(ISNUMBER(BW30),逐级计算!$X$75&gt;-1),IF(逐级计算!$X$75=0,BW30+逐级计算!$C$75,BW30+逐级计算!$C$75-(10/(逐级计算!$Q$75*LN(10))*(MAX((LN(10^(逐级计算!$Q$75/10)-1)+逐级计算!$Q$75*(BW30-逐级计算!$P$75)*LN(10)/10),0)+LN(1+EXP(-ABS((LN(10^(逐级计算!$Q$75/10)-1)+逐级计算!$Q$75*(BW30-逐级计算!$P$75)*LN(10)/10))))))),"")</f>
        <v>13.7930305606339</v>
      </c>
      <c r="BY30">
        <f>IF(AND(ISNUMBER(BX30),逐级计算!$X$76&gt;-1),IF(逐级计算!$X$76=0,BX30+逐级计算!$C$76,BX30+逐级计算!$C$76-(10/(逐级计算!$Q$76*LN(10))*(MAX((LN(10^(逐级计算!$Q$76/10)-1)+逐级计算!$Q$76*(BX30-逐级计算!$P$76)*LN(10)/10),0)+LN(1+EXP(-ABS((LN(10^(逐级计算!$Q$76/10)-1)+逐级计算!$Q$76*(BX30-逐级计算!$P$76)*LN(10)/10))))))),"")</f>
        <v>13.7930305606339</v>
      </c>
      <c r="BZ30">
        <f>IF(AND(ISNUMBER(BY30),逐级计算!$X$77&gt;-1),IF(逐级计算!$X$77=0,BY30+逐级计算!$C$77,BY30+逐级计算!$C$77-(10/(逐级计算!$Q$77*LN(10))*(MAX((LN(10^(逐级计算!$Q$77/10)-1)+逐级计算!$Q$77*(BY30-逐级计算!$P$77)*LN(10)/10),0)+LN(1+EXP(-ABS((LN(10^(逐级计算!$Q$77/10)-1)+逐级计算!$Q$77*(BY30-逐级计算!$P$77)*LN(10)/10))))))),"")</f>
        <v>13.7930305606339</v>
      </c>
      <c r="CA30">
        <f>IF(AND(ISNUMBER(BZ30),逐级计算!$X$78&gt;-1),IF(逐级计算!$X$78=0,BZ30+逐级计算!$C$78,BZ30+逐级计算!$C$78-(10/(逐级计算!$Q$78*LN(10))*(MAX((LN(10^(逐级计算!$Q$78/10)-1)+逐级计算!$Q$78*(BZ30-逐级计算!$P$78)*LN(10)/10),0)+LN(1+EXP(-ABS((LN(10^(逐级计算!$Q$78/10)-1)+逐级计算!$Q$78*(BZ30-逐级计算!$P$78)*LN(10)/10))))))),"")</f>
        <v>13.7930305606339</v>
      </c>
      <c r="CB30">
        <f>IF(AND(ISNUMBER(CA30),逐级计算!$X$79&gt;-1),IF(逐级计算!$X$79=0,CA30+逐级计算!$C$79,CA30+逐级计算!$C$79-(10/(逐级计算!$Q$79*LN(10))*(MAX((LN(10^(逐级计算!$Q$79/10)-1)+逐级计算!$Q$79*(CA30-逐级计算!$P$79)*LN(10)/10),0)+LN(1+EXP(-ABS((LN(10^(逐级计算!$Q$79/10)-1)+逐级计算!$Q$79*(CA30-逐级计算!$P$79)*LN(10)/10))))))),"")</f>
        <v>13.7930305606339</v>
      </c>
      <c r="CC30">
        <f>IF(AND(ISNUMBER(CB30),逐级计算!$X$80&gt;-1),IF(逐级计算!$X$80=0,CB30+逐级计算!$C$80,CB30+逐级计算!$C$80-(10/(逐级计算!$Q$80*LN(10))*(MAX((LN(10^(逐级计算!$Q$80/10)-1)+逐级计算!$Q$80*(CB30-逐级计算!$P$80)*LN(10)/10),0)+LN(1+EXP(-ABS((LN(10^(逐级计算!$Q$80/10)-1)+逐级计算!$Q$80*(CB30-逐级计算!$P$80)*LN(10)/10))))))),"")</f>
        <v>13.7930305606339</v>
      </c>
      <c r="CD30">
        <f>IF(AND(ISNUMBER(CC30),逐级计算!$X$81&gt;-1),IF(逐级计算!$X$81=0,CC30+逐级计算!$C$81,CC30+逐级计算!$C$81-(10/(逐级计算!$Q$81*LN(10))*(MAX((LN(10^(逐级计算!$Q$81/10)-1)+逐级计算!$Q$81*(CC30-逐级计算!$P$81)*LN(10)/10),0)+LN(1+EXP(-ABS((LN(10^(逐级计算!$Q$81/10)-1)+逐级计算!$Q$81*(CC30-逐级计算!$P$81)*LN(10)/10))))))),"")</f>
        <v>13.7930305606339</v>
      </c>
      <c r="CE30">
        <f>IF(AND(ISNUMBER(CD30),逐级计算!$X$82&gt;-1),IF(逐级计算!$X$82=0,CD30+逐级计算!$C$82,CD30+逐级计算!$C$82-(10/(逐级计算!$Q$82*LN(10))*(MAX((LN(10^(逐级计算!$Q$82/10)-1)+逐级计算!$Q$82*(CD30-逐级计算!$P$82)*LN(10)/10),0)+LN(1+EXP(-ABS((LN(10^(逐级计算!$Q$82/10)-1)+逐级计算!$Q$82*(CD30-逐级计算!$P$82)*LN(10)/10))))))),"")</f>
        <v>13.7930305606339</v>
      </c>
      <c r="CF30">
        <f>IF(AND(ISNUMBER(CE30),逐级计算!$X$83&gt;-1),IF(逐级计算!$X$83=0,CE30+逐级计算!$C$83,CE30+逐级计算!$C$83-(10/(逐级计算!$Q$83*LN(10))*(MAX((LN(10^(逐级计算!$Q$83/10)-1)+逐级计算!$Q$83*(CE30-逐级计算!$P$83)*LN(10)/10),0)+LN(1+EXP(-ABS((LN(10^(逐级计算!$Q$83/10)-1)+逐级计算!$Q$83*(CE30-逐级计算!$P$83)*LN(10)/10))))))),"")</f>
        <v>13.7930305606339</v>
      </c>
      <c r="CG30">
        <f>IF(AND(ISNUMBER(CF30),逐级计算!$X$84&gt;-1),IF(逐级计算!$X$84=0,CF30+逐级计算!$C$84,CF30+逐级计算!$C$84-(10/(逐级计算!$Q$84*LN(10))*(MAX((LN(10^(逐级计算!$Q$84/10)-1)+逐级计算!$Q$84*(CF30-逐级计算!$P$84)*LN(10)/10),0)+LN(1+EXP(-ABS((LN(10^(逐级计算!$Q$84/10)-1)+逐级计算!$Q$84*(CF30-逐级计算!$P$84)*LN(10)/10))))))),"")</f>
        <v>13.7930305606339</v>
      </c>
      <c r="CH30">
        <f>IF(AND(ISNUMBER(CG30),逐级计算!$X$85&gt;-1),IF(逐级计算!$X$85=0,CG30+逐级计算!$C$85,CG30+逐级计算!$C$85-(10/(逐级计算!$Q$85*LN(10))*(MAX((LN(10^(逐级计算!$Q$85/10)-1)+逐级计算!$Q$85*(CG30-逐级计算!$P$85)*LN(10)/10),0)+LN(1+EXP(-ABS((LN(10^(逐级计算!$Q$85/10)-1)+逐级计算!$Q$85*(CG30-逐级计算!$P$85)*LN(10)/10))))))),"")</f>
        <v>13.7930305606339</v>
      </c>
      <c r="CI30">
        <f>IF(AND(ISNUMBER(CH30),逐级计算!$X$86&gt;-1),IF(逐级计算!$X$86=0,CH30+逐级计算!$C$86,CH30+逐级计算!$C$86-(10/(逐级计算!$Q$86*LN(10))*(MAX((LN(10^(逐级计算!$Q$86/10)-1)+逐级计算!$Q$86*(CH30-逐级计算!$P$86)*LN(10)/10),0)+LN(1+EXP(-ABS((LN(10^(逐级计算!$Q$86/10)-1)+逐级计算!$Q$86*(CH30-逐级计算!$P$86)*LN(10)/10))))))),"")</f>
        <v>13.7930305606339</v>
      </c>
      <c r="CJ30">
        <f>IF(AND(ISNUMBER(CI30),逐级计算!$X$87&gt;-1),IF(逐级计算!$X$87=0,CI30+逐级计算!$C$87,CI30+逐级计算!$C$87-(10/(逐级计算!$Q$87*LN(10))*(MAX((LN(10^(逐级计算!$Q$87/10)-1)+逐级计算!$Q$87*(CI30-逐级计算!$P$87)*LN(10)/10),0)+LN(1+EXP(-ABS((LN(10^(逐级计算!$Q$87/10)-1)+逐级计算!$Q$87*(CI30-逐级计算!$P$87)*LN(10)/10))))))),"")</f>
        <v>13.7930305606339</v>
      </c>
      <c r="CK30">
        <f>IF(AND(ISNUMBER(CJ30),逐级计算!$X$88&gt;-1),IF(逐级计算!$X$88=0,CJ30+逐级计算!$C$88,CJ30+逐级计算!$C$88-(10/(逐级计算!$Q$88*LN(10))*(MAX((LN(10^(逐级计算!$Q$88/10)-1)+逐级计算!$Q$88*(CJ30-逐级计算!$P$88)*LN(10)/10),0)+LN(1+EXP(-ABS((LN(10^(逐级计算!$Q$88/10)-1)+逐级计算!$Q$88*(CJ30-逐级计算!$P$88)*LN(10)/10))))))),"")</f>
        <v>13.7930305606339</v>
      </c>
      <c r="CL30">
        <f>IF(AND(ISNUMBER(CK30),逐级计算!$X$89&gt;-1),IF(逐级计算!$X$89=0,CK30+逐级计算!$C$89,CK30+逐级计算!$C$89-(10/(逐级计算!$Q$89*LN(10))*(MAX((LN(10^(逐级计算!$Q$89/10)-1)+逐级计算!$Q$89*(CK30-逐级计算!$P$89)*LN(10)/10),0)+LN(1+EXP(-ABS((LN(10^(逐级计算!$Q$89/10)-1)+逐级计算!$Q$89*(CK30-逐级计算!$P$89)*LN(10)/10))))))),"")</f>
        <v>13.7930305606339</v>
      </c>
      <c r="CM30">
        <f>IF(AND(ISNUMBER(CL30),逐级计算!$X$90&gt;-1),IF(逐级计算!$X$90=0,CL30+逐级计算!$C$90,CL30+逐级计算!$C$90-(10/(逐级计算!$Q$90*LN(10))*(MAX((LN(10^(逐级计算!$Q$90/10)-1)+逐级计算!$Q$90*(CL30-逐级计算!$P$90)*LN(10)/10),0)+LN(1+EXP(-ABS((LN(10^(逐级计算!$Q$90/10)-1)+逐级计算!$Q$90*(CL30-逐级计算!$P$90)*LN(10)/10))))))),"")</f>
        <v>13.7930305606339</v>
      </c>
      <c r="CN30">
        <f>IF(AND(ISNUMBER(CM30),逐级计算!$X$91&gt;-1),IF(逐级计算!$X$91=0,CM30+逐级计算!$C$91,CM30+逐级计算!$C$91-(10/(逐级计算!$Q$91*LN(10))*(MAX((LN(10^(逐级计算!$Q$91/10)-1)+逐级计算!$Q$91*(CM30-逐级计算!$P$91)*LN(10)/10),0)+LN(1+EXP(-ABS((LN(10^(逐级计算!$Q$91/10)-1)+逐级计算!$Q$91*(CM30-逐级计算!$P$91)*LN(10)/10))))))),"")</f>
        <v>13.7930305606339</v>
      </c>
      <c r="CO30">
        <f>IF(AND(ISNUMBER(CN30),逐级计算!$X$92&gt;-1),IF(逐级计算!$X$92=0,CN30+逐级计算!$C$92,CN30+逐级计算!$C$92-(10/(逐级计算!$Q$92*LN(10))*(MAX((LN(10^(逐级计算!$Q$92/10)-1)+逐级计算!$Q$92*(CN30-逐级计算!$P$92)*LN(10)/10),0)+LN(1+EXP(-ABS((LN(10^(逐级计算!$Q$92/10)-1)+逐级计算!$Q$92*(CN30-逐级计算!$P$92)*LN(10)/10))))))),"")</f>
        <v>13.7930305606339</v>
      </c>
      <c r="CP30">
        <f>IF(AND(ISNUMBER(CO30),逐级计算!$X$93&gt;-1),IF(逐级计算!$X$93=0,CO30+逐级计算!$C$93,CO30+逐级计算!$C$93-(10/(逐级计算!$Q$93*LN(10))*(MAX((LN(10^(逐级计算!$Q$93/10)-1)+逐级计算!$Q$93*(CO30-逐级计算!$P$93)*LN(10)/10),0)+LN(1+EXP(-ABS((LN(10^(逐级计算!$Q$93/10)-1)+逐级计算!$Q$93*(CO30-逐级计算!$P$93)*LN(10)/10))))))),"")</f>
        <v>13.7930305606339</v>
      </c>
      <c r="CQ30">
        <f>IF(AND(ISNUMBER(CP30),逐级计算!$X$94&gt;-1),IF(逐级计算!$X$94=0,CP30+逐级计算!$C$94,CP30+逐级计算!$C$94-(10/(逐级计算!$Q$94*LN(10))*(MAX((LN(10^(逐级计算!$Q$94/10)-1)+逐级计算!$Q$94*(CP30-逐级计算!$P$94)*LN(10)/10),0)+LN(1+EXP(-ABS((LN(10^(逐级计算!$Q$94/10)-1)+逐级计算!$Q$94*(CP30-逐级计算!$P$94)*LN(10)/10))))))),"")</f>
        <v>13.7930305606339</v>
      </c>
      <c r="CR30">
        <f>IF(AND(ISNUMBER(CQ30),逐级计算!$X$95&gt;-1),IF(逐级计算!$X$95=0,CQ30+逐级计算!$C$95,CQ30+逐级计算!$C$95-(10/(逐级计算!$Q$95*LN(10))*(MAX((LN(10^(逐级计算!$Q$95/10)-1)+逐级计算!$Q$95*(CQ30-逐级计算!$P$95)*LN(10)/10),0)+LN(1+EXP(-ABS((LN(10^(逐级计算!$Q$95/10)-1)+逐级计算!$Q$95*(CQ30-逐级计算!$P$95)*LN(10)/10))))))),"")</f>
        <v>13.7930305606339</v>
      </c>
      <c r="CS30">
        <f>IF(AND(ISNUMBER(CR30),逐级计算!$X$96&gt;-1),IF(逐级计算!$X$96=0,CR30+逐级计算!$C$96,CR30+逐级计算!$C$96-(10/(逐级计算!$Q$96*LN(10))*(MAX((LN(10^(逐级计算!$Q$96/10)-1)+逐级计算!$Q$96*(CR30-逐级计算!$P$96)*LN(10)/10),0)+LN(1+EXP(-ABS((LN(10^(逐级计算!$Q$96/10)-1)+逐级计算!$Q$96*(CR30-逐级计算!$P$96)*LN(10)/10))))))),"")</f>
        <v>13.7930305606339</v>
      </c>
      <c r="CT30">
        <f>IF(AND(ISNUMBER(CS30),逐级计算!$X$97&gt;-1),IF(逐级计算!$X$97=0,CS30+逐级计算!$C$97,CS30+逐级计算!$C$97-(10/(逐级计算!$Q$97*LN(10))*(MAX((LN(10^(逐级计算!$Q$97/10)-1)+逐级计算!$Q$97*(CS30-逐级计算!$P$97)*LN(10)/10),0)+LN(1+EXP(-ABS((LN(10^(逐级计算!$Q$97/10)-1)+逐级计算!$Q$97*(CS30-逐级计算!$P$97)*LN(10)/10))))))),"")</f>
        <v>13.7930305606339</v>
      </c>
      <c r="CU30">
        <f>IF(AND(ISNUMBER(CT30),逐级计算!$X$98&gt;-1),IF(逐级计算!$X$98=0,CT30+逐级计算!$C$98,CT30+逐级计算!$C$98-(10/(逐级计算!$Q$98*LN(10))*(MAX((LN(10^(逐级计算!$Q$98/10)-1)+逐级计算!$Q$98*(CT30-逐级计算!$P$98)*LN(10)/10),0)+LN(1+EXP(-ABS((LN(10^(逐级计算!$Q$98/10)-1)+逐级计算!$Q$98*(CT30-逐级计算!$P$98)*LN(10)/10))))))),"")</f>
        <v>13.7930305606339</v>
      </c>
      <c r="CV30">
        <f>IF(AND(ISNUMBER(CU30),逐级计算!$X$99&gt;-1),IF(逐级计算!$X$99=0,CU30+逐级计算!$C$99,CU30+逐级计算!$C$99-(10/(逐级计算!$Q$99*LN(10))*(MAX((LN(10^(逐级计算!$Q$99/10)-1)+逐级计算!$Q$99*(CU30-逐级计算!$P$99)*LN(10)/10),0)+LN(1+EXP(-ABS((LN(10^(逐级计算!$Q$99/10)-1)+逐级计算!$Q$99*(CU30-逐级计算!$P$99)*LN(10)/10))))))),"")</f>
        <v>13.7930305606339</v>
      </c>
      <c r="CW30">
        <f>IF(AND(ISNUMBER(CV30),逐级计算!$X$100&gt;-1),IF(逐级计算!$X$100=0,CV30+逐级计算!$C$100,CV30+逐级计算!$C$100-(10/(逐级计算!$Q$100*LN(10))*(MAX((LN(10^(逐级计算!$Q$100/10)-1)+逐级计算!$Q$100*(CV30-逐级计算!$P$100)*LN(10)/10),0)+LN(1+EXP(-ABS((LN(10^(逐级计算!$Q$100/10)-1)+逐级计算!$Q$100*(CV30-逐级计算!$P$100)*LN(10)/10))))))),"")</f>
        <v>13.7930305606339</v>
      </c>
      <c r="CX30">
        <f>IF(AND(ISNUMBER(CW30),逐级计算!$X$101&gt;-1),IF(逐级计算!$X$101=0,CW30+逐级计算!$C$101,CW30+逐级计算!$C$101-(10/(逐级计算!$Q$101*LN(10))*(MAX((LN(10^(逐级计算!$Q$101/10)-1)+逐级计算!$Q$101*(CW30-逐级计算!$P$101)*LN(10)/10),0)+LN(1+EXP(-ABS((LN(10^(逐级计算!$Q$101/10)-1)+逐级计算!$Q$101*(CW30-逐级计算!$P$101)*LN(10)/10))))))),"")</f>
        <v>13.7930305606339</v>
      </c>
      <c r="CY30">
        <f>IF(AND(ISNUMBER(CX30),逐级计算!$X$102&gt;-1),IF(逐级计算!$X$102=0,CX30+逐级计算!$C$102,CX30+逐级计算!$C$102-(10/(逐级计算!$Q$102*LN(10))*(MAX((LN(10^(逐级计算!$Q$102/10)-1)+逐级计算!$Q$102*(CX30-逐级计算!$P$102)*LN(10)/10),0)+LN(1+EXP(-ABS((LN(10^(逐级计算!$Q$102/10)-1)+逐级计算!$Q$102*(CX30-逐级计算!$P$102)*LN(10)/10))))))),"")</f>
        <v>13.7930305606339</v>
      </c>
      <c r="CZ30">
        <f>IF(AND(ISNUMBER(CY30),逐级计算!$X$103&gt;-1),IF(逐级计算!$X$103=0,CY30+逐级计算!$C$103,CY30+逐级计算!$C$103-(10/(逐级计算!$Q$103*LN(10))*(MAX((LN(10^(逐级计算!$Q$103/10)-1)+逐级计算!$Q$103*(CY30-逐级计算!$P$103)*LN(10)/10),0)+LN(1+EXP(-ABS((LN(10^(逐级计算!$Q$103/10)-1)+逐级计算!$Q$103*(CY30-逐级计算!$P$103)*LN(10)/10))))))),"")</f>
        <v>13.7930305606339</v>
      </c>
      <c r="DA30">
        <f>IF(AND(ISNUMBER(CZ30),逐级计算!$X$104&gt;-1),IF(逐级计算!$X$104=0,CZ30+逐级计算!$C$104,CZ30+逐级计算!$C$104-(10/(逐级计算!$Q$104*LN(10))*(MAX((LN(10^(逐级计算!$Q$104/10)-1)+逐级计算!$Q$104*(CZ30-逐级计算!$P$104)*LN(10)/10),0)+LN(1+EXP(-ABS((LN(10^(逐级计算!$Q$104/10)-1)+逐级计算!$Q$104*(CZ30-逐级计算!$P$104)*LN(10)/10))))))),"")</f>
        <v>13.7930305606339</v>
      </c>
      <c r="DB30">
        <f>IF(AND(ISNUMBER(DA30),逐级计算!$X$105&gt;-1),IF(逐级计算!$X$105=0,DA30+逐级计算!$C$105,DA30+逐级计算!$C$105-(10/(逐级计算!$Q$105*LN(10))*(MAX((LN(10^(逐级计算!$Q$105/10)-1)+逐级计算!$Q$105*(DA30-逐级计算!$P$105)*LN(10)/10),0)+LN(1+EXP(-ABS((LN(10^(逐级计算!$Q$105/10)-1)+逐级计算!$Q$105*(DA30-逐级计算!$P$105)*LN(10)/10))))))),"")</f>
        <v>13.7930305606339</v>
      </c>
      <c r="DC30">
        <f>IF(AND(ISNUMBER(DB30),逐级计算!$X$106&gt;-1),IF(逐级计算!$X$106=0,DB30+逐级计算!$C$106,DB30+逐级计算!$C$106-(10/(逐级计算!$Q$106*LN(10))*(MAX((LN(10^(逐级计算!$Q$106/10)-1)+逐级计算!$Q$106*(DB30-逐级计算!$P$106)*LN(10)/10),0)+LN(1+EXP(-ABS((LN(10^(逐级计算!$Q$106/10)-1)+逐级计算!$Q$106*(DB30-逐级计算!$P$106)*LN(10)/10))))))),"")</f>
        <v>13.7930305606339</v>
      </c>
      <c r="DD30">
        <f>IF(AND(ISNUMBER(DC30),逐级计算!$X$107&gt;-1),IF(逐级计算!$X$107=0,DC30+逐级计算!$C$107,DC30+逐级计算!$C$107-(10/(逐级计算!$Q$107*LN(10))*(MAX((LN(10^(逐级计算!$Q$107/10)-1)+逐级计算!$Q$107*(DC30-逐级计算!$P$107)*LN(10)/10),0)+LN(1+EXP(-ABS((LN(10^(逐级计算!$Q$107/10)-1)+逐级计算!$Q$107*(DC30-逐级计算!$P$107)*LN(10)/10))))))),"")</f>
        <v>13.7930305606339</v>
      </c>
      <c r="DE30">
        <f>IF(AND(ISNUMBER(DD30),逐级计算!$X$108&gt;-1),IF(逐级计算!$X$108=0,DD30+逐级计算!$C$108,DD30+逐级计算!$C$108-(10/(逐级计算!$Q$108*LN(10))*(MAX((LN(10^(逐级计算!$Q$108/10)-1)+逐级计算!$Q$108*(DD30-逐级计算!$P$108)*LN(10)/10),0)+LN(1+EXP(-ABS((LN(10^(逐级计算!$Q$108/10)-1)+逐级计算!$Q$108*(DD30-逐级计算!$P$108)*LN(10)/10))))))),"")</f>
        <v>13.7930305606339</v>
      </c>
      <c r="DF30">
        <f>IF(AND(ISNUMBER(DE30),逐级计算!$X$109&gt;-1),IF(逐级计算!$X$109=0,DE30+逐级计算!$C$109,DE30+逐级计算!$C$109-(10/(逐级计算!$Q$109*LN(10))*(MAX((LN(10^(逐级计算!$Q$109/10)-1)+逐级计算!$Q$109*(DE30-逐级计算!$P$109)*LN(10)/10),0)+LN(1+EXP(-ABS((LN(10^(逐级计算!$Q$109/10)-1)+逐级计算!$Q$109*(DE30-逐级计算!$P$109)*LN(10)/10))))))),"")</f>
        <v>13.7930305606339</v>
      </c>
      <c r="DG30">
        <f>IF(AND(ISNUMBER(DF30),逐级计算!$X$110&gt;-1),IF(逐级计算!$X$110=0,DF30+逐级计算!$C$110,DF30+逐级计算!$C$110-(10/(逐级计算!$Q$110*LN(10))*(MAX((LN(10^(逐级计算!$Q$110/10)-1)+逐级计算!$Q$110*(DF30-逐级计算!$P$110)*LN(10)/10),0)+LN(1+EXP(-ABS((LN(10^(逐级计算!$Q$110/10)-1)+逐级计算!$Q$110*(DF30-逐级计算!$P$110)*LN(10)/10))))))),"")</f>
        <v>13.7930305606339</v>
      </c>
      <c r="DH30">
        <f>IF(AND(ISNUMBER(DG30),逐级计算!$X$111&gt;-1),IF(逐级计算!$X$111=0,DG30+逐级计算!$C$111,DG30+逐级计算!$C$111-(10/(逐级计算!$Q$111*LN(10))*(MAX((LN(10^(逐级计算!$Q$111/10)-1)+逐级计算!$Q$111*(DG30-逐级计算!$P$111)*LN(10)/10),0)+LN(1+EXP(-ABS((LN(10^(逐级计算!$Q$111/10)-1)+逐级计算!$Q$111*(DG30-逐级计算!$P$111)*LN(10)/10))))))),"")</f>
        <v>13.7930305606339</v>
      </c>
      <c r="DI30">
        <f>IF(AND(ISNUMBER(DH30),逐级计算!$X$112&gt;-1),IF(逐级计算!$X$112=0,DH30+逐级计算!$C$112,DH30+逐级计算!$C$112-(10/(逐级计算!$Q$112*LN(10))*(MAX((LN(10^(逐级计算!$Q$112/10)-1)+逐级计算!$Q$112*(DH30-逐级计算!$P$112)*LN(10)/10),0)+LN(1+EXP(-ABS((LN(10^(逐级计算!$Q$112/10)-1)+逐级计算!$Q$112*(DH30-逐级计算!$P$112)*LN(10)/10))))))),"")</f>
        <v>13.7930305606339</v>
      </c>
      <c r="DJ30">
        <f>IF(AND(ISNUMBER(DI30),逐级计算!$X$113&gt;-1),IF(逐级计算!$X$113=0,DI30+逐级计算!$C$113,DI30+逐级计算!$C$113-(10/(逐级计算!$Q$113*LN(10))*(MAX((LN(10^(逐级计算!$Q$113/10)-1)+逐级计算!$Q$113*(DI30-逐级计算!$P$113)*LN(10)/10),0)+LN(1+EXP(-ABS((LN(10^(逐级计算!$Q$113/10)-1)+逐级计算!$Q$113*(DI30-逐级计算!$P$113)*LN(10)/10))))))),"")</f>
        <v>13.7930305606339</v>
      </c>
      <c r="DK30">
        <f>IF(AND(ISNUMBER(DJ30),逐级计算!$X$114&gt;-1),IF(逐级计算!$X$114=0,DJ30+逐级计算!$C$114,DJ30+逐级计算!$C$114-(10/(逐级计算!$Q$114*LN(10))*(MAX((LN(10^(逐级计算!$Q$114/10)-1)+逐级计算!$Q$114*(DJ30-逐级计算!$P$114)*LN(10)/10),0)+LN(1+EXP(-ABS((LN(10^(逐级计算!$Q$114/10)-1)+逐级计算!$Q$114*(DJ30-逐级计算!$P$114)*LN(10)/10))))))),"")</f>
        <v>13.7930305606339</v>
      </c>
      <c r="DL30">
        <f>IF(AND(ISNUMBER(DK30),逐级计算!$X$115&gt;-1),IF(逐级计算!$X$115=0,DK30+逐级计算!$C$115,DK30+逐级计算!$C$115-(10/(逐级计算!$Q$115*LN(10))*(MAX((LN(10^(逐级计算!$Q$115/10)-1)+逐级计算!$Q$115*(DK30-逐级计算!$P$115)*LN(10)/10),0)+LN(1+EXP(-ABS((LN(10^(逐级计算!$Q$115/10)-1)+逐级计算!$Q$115*(DK30-逐级计算!$P$115)*LN(10)/10))))))),"")</f>
        <v>13.7930305606339</v>
      </c>
      <c r="DM30">
        <f>IF(AND(ISNUMBER(DL30),逐级计算!$X$116&gt;-1),IF(逐级计算!$X$116=0,DL30+逐级计算!$C$116,DL30+逐级计算!$C$116-(10/(逐级计算!$Q$116*LN(10))*(MAX((LN(10^(逐级计算!$Q$116/10)-1)+逐级计算!$Q$116*(DL30-逐级计算!$P$116)*LN(10)/10),0)+LN(1+EXP(-ABS((LN(10^(逐级计算!$Q$116/10)-1)+逐级计算!$Q$116*(DL30-逐级计算!$P$116)*LN(10)/10))))))),"")</f>
        <v>13.7930305606339</v>
      </c>
      <c r="DN30">
        <f>IF(AND(ISNUMBER(DM30),逐级计算!$X$117&gt;-1),IF(逐级计算!$X$117=0,DM30+逐级计算!$C$117,DM30+逐级计算!$C$117-(10/(逐级计算!$Q$117*LN(10))*(MAX((LN(10^(逐级计算!$Q$117/10)-1)+逐级计算!$Q$117*(DM30-逐级计算!$P$117)*LN(10)/10),0)+LN(1+EXP(-ABS((LN(10^(逐级计算!$Q$117/10)-1)+逐级计算!$Q$117*(DM30-逐级计算!$P$117)*LN(10)/10))))))),"")</f>
        <v>13.7930305606339</v>
      </c>
      <c r="DO30">
        <f>IF(AND(ISNUMBER(DN30),逐级计算!$X$118&gt;-1),IF(逐级计算!$X$118=0,DN30+逐级计算!$C$118,DN30+逐级计算!$C$118-(10/(逐级计算!$Q$118*LN(10))*(MAX((LN(10^(逐级计算!$Q$118/10)-1)+逐级计算!$Q$118*(DN30-逐级计算!$P$118)*LN(10)/10),0)+LN(1+EXP(-ABS((LN(10^(逐级计算!$Q$118/10)-1)+逐级计算!$Q$118*(DN30-逐级计算!$P$118)*LN(10)/10))))))),"")</f>
        <v>13.7930305606339</v>
      </c>
      <c r="DP30">
        <f>IF(AND(ISNUMBER(DO30),逐级计算!$X$119&gt;-1),IF(逐级计算!$X$119=0,DO30+逐级计算!$C$119,DO30+逐级计算!$C$119-(10/(逐级计算!$Q$119*LN(10))*(MAX((LN(10^(逐级计算!$Q$119/10)-1)+逐级计算!$Q$119*(DO30-逐级计算!$P$119)*LN(10)/10),0)+LN(1+EXP(-ABS((LN(10^(逐级计算!$Q$119/10)-1)+逐级计算!$Q$119*(DO30-逐级计算!$P$119)*LN(10)/10))))))),"")</f>
        <v>13.7930305606339</v>
      </c>
      <c r="DQ30">
        <f>IF(AND(ISNUMBER(DP30),逐级计算!$X$120&gt;-1),IF(逐级计算!$X$120=0,DP30+逐级计算!$C$120,DP30+逐级计算!$C$120-(10/(逐级计算!$Q$120*LN(10))*(MAX((LN(10^(逐级计算!$Q$120/10)-1)+逐级计算!$Q$120*(DP30-逐级计算!$P$120)*LN(10)/10),0)+LN(1+EXP(-ABS((LN(10^(逐级计算!$Q$120/10)-1)+逐级计算!$Q$120*(DP30-逐级计算!$P$120)*LN(10)/10))))))),"")</f>
        <v>13.7930305606339</v>
      </c>
      <c r="DR30">
        <f>IF(AND(ISNUMBER(DQ30),逐级计算!$X$121&gt;-1),IF(逐级计算!$X$121=0,DQ30+逐级计算!$C$121,DQ30+逐级计算!$C$121-(10/(逐级计算!$Q$121*LN(10))*(MAX((LN(10^(逐级计算!$Q$121/10)-1)+逐级计算!$Q$121*(DQ30-逐级计算!$P$121)*LN(10)/10),0)+LN(1+EXP(-ABS((LN(10^(逐级计算!$Q$121/10)-1)+逐级计算!$Q$121*(DQ30-逐级计算!$P$121)*LN(10)/10))))))),"")</f>
        <v>13.7930305606339</v>
      </c>
      <c r="DS30">
        <f>IF(AND(ISNUMBER(DR30),逐级计算!$X$122&gt;-1),IF(逐级计算!$X$122=0,DR30+逐级计算!$C$122,DR30+逐级计算!$C$122-(10/(逐级计算!$Q$122*LN(10))*(MAX((LN(10^(逐级计算!$Q$122/10)-1)+逐级计算!$Q$122*(DR30-逐级计算!$P$122)*LN(10)/10),0)+LN(1+EXP(-ABS((LN(10^(逐级计算!$Q$122/10)-1)+逐级计算!$Q$122*(DR30-逐级计算!$P$122)*LN(10)/10))))))),"")</f>
        <v>13.7930305606339</v>
      </c>
      <c r="DT30">
        <f>IF(AND(ISNUMBER(DS30),逐级计算!$X$123&gt;-1),IF(逐级计算!$X$123=0,DS30+逐级计算!$C$123,DS30+逐级计算!$C$123-(10/(逐级计算!$Q$123*LN(10))*(MAX((LN(10^(逐级计算!$Q$123/10)-1)+逐级计算!$Q$123*(DS30-逐级计算!$P$123)*LN(10)/10),0)+LN(1+EXP(-ABS((LN(10^(逐级计算!$Q$123/10)-1)+逐级计算!$Q$123*(DS30-逐级计算!$P$123)*LN(10)/10))))))),"")</f>
        <v>13.7930305606339</v>
      </c>
      <c r="DU30">
        <f>IF(AND(ISNUMBER(DT30),逐级计算!$X$124&gt;-1),IF(逐级计算!$X$124=0,DT30+逐级计算!$C$124,DT30+逐级计算!$C$124-(10/(逐级计算!$Q$124*LN(10))*(MAX((LN(10^(逐级计算!$Q$124/10)-1)+逐级计算!$Q$124*(DT30-逐级计算!$P$124)*LN(10)/10),0)+LN(1+EXP(-ABS((LN(10^(逐级计算!$Q$124/10)-1)+逐级计算!$Q$124*(DT30-逐级计算!$P$124)*LN(10)/10))))))),"")</f>
        <v>13.7930305606339</v>
      </c>
      <c r="DV30">
        <f>IF(AND(ISNUMBER(DU30),逐级计算!$X$125&gt;-1),IF(逐级计算!$X$125=0,DU30+逐级计算!$C$125,DU30+逐级计算!$C$125-(10/(逐级计算!$Q$125*LN(10))*(MAX((LN(10^(逐级计算!$Q$125/10)-1)+逐级计算!$Q$125*(DU30-逐级计算!$P$125)*LN(10)/10),0)+LN(1+EXP(-ABS((LN(10^(逐级计算!$Q$125/10)-1)+逐级计算!$Q$125*(DU30-逐级计算!$P$125)*LN(10)/10))))))),"")</f>
        <v>13.7930305606339</v>
      </c>
      <c r="DW30">
        <f>IF(AND(ISNUMBER(DV30),逐级计算!$X$126&gt;-1),IF(逐级计算!$X$126=0,DV30+逐级计算!$C$126,DV30+逐级计算!$C$126-(10/(逐级计算!$Q$126*LN(10))*(MAX((LN(10^(逐级计算!$Q$126/10)-1)+逐级计算!$Q$126*(DV30-逐级计算!$P$126)*LN(10)/10),0)+LN(1+EXP(-ABS((LN(10^(逐级计算!$Q$126/10)-1)+逐级计算!$Q$126*(DV30-逐级计算!$P$126)*LN(10)/10))))))),"")</f>
        <v>13.7930305606339</v>
      </c>
      <c r="DX30">
        <f>IF(AND(ISNUMBER(DW30),逐级计算!$X$127&gt;-1),IF(逐级计算!$X$127=0,DW30+逐级计算!$C$127,DW30+逐级计算!$C$127-(10/(逐级计算!$Q$127*LN(10))*(MAX((LN(10^(逐级计算!$Q$127/10)-1)+逐级计算!$Q$127*(DW30-逐级计算!$P$127)*LN(10)/10),0)+LN(1+EXP(-ABS((LN(10^(逐级计算!$Q$127/10)-1)+逐级计算!$Q$127*(DW30-逐级计算!$P$127)*LN(10)/10))))))),"")</f>
        <v>13.7930305606339</v>
      </c>
      <c r="DY30">
        <f>IF(AND(ISNUMBER(DX30),逐级计算!$X$128&gt;-1),IF(逐级计算!$X$128=0,DX30+逐级计算!$C$128,DX30+逐级计算!$C$128-(10/(逐级计算!$Q$128*LN(10))*(MAX((LN(10^(逐级计算!$Q$128/10)-1)+逐级计算!$Q$128*(DX30-逐级计算!$P$128)*LN(10)/10),0)+LN(1+EXP(-ABS((LN(10^(逐级计算!$Q$128/10)-1)+逐级计算!$Q$128*(DX30-逐级计算!$P$128)*LN(10)/10))))))),"")</f>
        <v>13.7930305606339</v>
      </c>
      <c r="DZ30">
        <f>IF(AND(ISNUMBER(DY30),逐级计算!$X$129&gt;-1),IF(逐级计算!$X$129=0,DY30+逐级计算!$C$129,DY30+逐级计算!$C$129-(10/(逐级计算!$Q$129*LN(10))*(MAX((LN(10^(逐级计算!$Q$129/10)-1)+逐级计算!$Q$129*(DY30-逐级计算!$P$129)*LN(10)/10),0)+LN(1+EXP(-ABS((LN(10^(逐级计算!$Q$129/10)-1)+逐级计算!$Q$129*(DY30-逐级计算!$P$129)*LN(10)/10))))))),"")</f>
        <v>13.7930305606339</v>
      </c>
      <c r="EA30">
        <f>IF(AND(ISNUMBER(DZ30),逐级计算!$X$130&gt;-1),IF(逐级计算!$X$130=0,DZ30+逐级计算!$C$130,DZ30+逐级计算!$C$130-(10/(逐级计算!$Q$130*LN(10))*(MAX((LN(10^(逐级计算!$Q$130/10)-1)+逐级计算!$Q$130*(DZ30-逐级计算!$P$130)*LN(10)/10),0)+LN(1+EXP(-ABS((LN(10^(逐级计算!$Q$130/10)-1)+逐级计算!$Q$130*(DZ30-逐级计算!$P$130)*LN(10)/10))))))),"")</f>
        <v>13.7930305606339</v>
      </c>
      <c r="EB30">
        <f>IF(AND(ISNUMBER(EA30),逐级计算!$X$131&gt;-1),IF(逐级计算!$X$131=0,EA30+逐级计算!$C$131,EA30+逐级计算!$C$131-(10/(逐级计算!$Q$131*LN(10))*(MAX((LN(10^(逐级计算!$Q$131/10)-1)+逐级计算!$Q$131*(EA30-逐级计算!$P$131)*LN(10)/10),0)+LN(1+EXP(-ABS((LN(10^(逐级计算!$Q$131/10)-1)+逐级计算!$Q$131*(EA30-逐级计算!$P$131)*LN(10)/10))))))),"")</f>
        <v>13.7930305606339</v>
      </c>
      <c r="EC30">
        <f>IF(AND(ISNUMBER(EB30),逐级计算!$X$132&gt;-1),IF(逐级计算!$X$132=0,EB30+逐级计算!$C$132,EB30+逐级计算!$C$132-(10/(逐级计算!$Q$132*LN(10))*(MAX((LN(10^(逐级计算!$Q$132/10)-1)+逐级计算!$Q$132*(EB30-逐级计算!$P$132)*LN(10)/10),0)+LN(1+EXP(-ABS((LN(10^(逐级计算!$Q$132/10)-1)+逐级计算!$Q$132*(EB30-逐级计算!$P$132)*LN(10)/10))))))),"")</f>
        <v>13.7930305606339</v>
      </c>
      <c r="ED30">
        <f>IF(AND(ISNUMBER(EC30),逐级计算!$X$133&gt;-1),IF(逐级计算!$X$133=0,EC30+逐级计算!$C$133,EC30+逐级计算!$C$133-(10/(逐级计算!$Q$133*LN(10))*(MAX((LN(10^(逐级计算!$Q$133/10)-1)+逐级计算!$Q$133*(EC30-逐级计算!$P$133)*LN(10)/10),0)+LN(1+EXP(-ABS((LN(10^(逐级计算!$Q$133/10)-1)+逐级计算!$Q$133*(EC30-逐级计算!$P$133)*LN(10)/10))))))),"")</f>
        <v>13.7930305606339</v>
      </c>
      <c r="EE30">
        <f>IF(AND(ISNUMBER(ED30),逐级计算!$X$134&gt;-1),IF(逐级计算!$X$134=0,ED30+逐级计算!$C$134,ED30+逐级计算!$C$134-(10/(逐级计算!$Q$134*LN(10))*(MAX((LN(10^(逐级计算!$Q$134/10)-1)+逐级计算!$Q$134*(ED30-逐级计算!$P$134)*LN(10)/10),0)+LN(1+EXP(-ABS((LN(10^(逐级计算!$Q$134/10)-1)+逐级计算!$Q$134*(ED30-逐级计算!$P$134)*LN(10)/10))))))),"")</f>
        <v>13.7930305606339</v>
      </c>
      <c r="EF30">
        <f>IF(AND(ISNUMBER(EE30),逐级计算!$X$135&gt;-1),IF(逐级计算!$X$135=0,EE30+逐级计算!$C$135,EE30+逐级计算!$C$135-(10/(逐级计算!$Q$135*LN(10))*(MAX((LN(10^(逐级计算!$Q$135/10)-1)+逐级计算!$Q$135*(EE30-逐级计算!$P$135)*LN(10)/10),0)+LN(1+EXP(-ABS((LN(10^(逐级计算!$Q$135/10)-1)+逐级计算!$Q$135*(EE30-逐级计算!$P$135)*LN(10)/10))))))),"")</f>
        <v>13.7930305606339</v>
      </c>
      <c r="EG30">
        <f>IF(AND(ISNUMBER(EF30),逐级计算!$X$136&gt;-1),IF(逐级计算!$X$136=0,EF30+逐级计算!$C$136,EF30+逐级计算!$C$136-(10/(逐级计算!$Q$136*LN(10))*(MAX((LN(10^(逐级计算!$Q$136/10)-1)+逐级计算!$Q$136*(EF30-逐级计算!$P$136)*LN(10)/10),0)+LN(1+EXP(-ABS((LN(10^(逐级计算!$Q$136/10)-1)+逐级计算!$Q$136*(EF30-逐级计算!$P$136)*LN(10)/10))))))),"")</f>
        <v>13.7930305606339</v>
      </c>
      <c r="EH30">
        <f>IF(AND(ISNUMBER(EG30),逐级计算!$X$137&gt;-1),IF(逐级计算!$X$137=0,EG30+逐级计算!$C$137,EG30+逐级计算!$C$137-(10/(逐级计算!$Q$137*LN(10))*(MAX((LN(10^(逐级计算!$Q$137/10)-1)+逐级计算!$Q$137*(EG30-逐级计算!$P$137)*LN(10)/10),0)+LN(1+EXP(-ABS((LN(10^(逐级计算!$Q$137/10)-1)+逐级计算!$Q$137*(EG30-逐级计算!$P$137)*LN(10)/10))))))),"")</f>
        <v>13.7930305606339</v>
      </c>
      <c r="EI30">
        <f>IF(AND(ISNUMBER(EH30),逐级计算!$X$138&gt;-1),IF(逐级计算!$X$138=0,EH30+逐级计算!$C$138,EH30+逐级计算!$C$138-(10/(逐级计算!$Q$138*LN(10))*(MAX((LN(10^(逐级计算!$Q$138/10)-1)+逐级计算!$Q$138*(EH30-逐级计算!$P$138)*LN(10)/10),0)+LN(1+EXP(-ABS((LN(10^(逐级计算!$Q$138/10)-1)+逐级计算!$Q$138*(EH30-逐级计算!$P$138)*LN(10)/10))))))),"")</f>
        <v>13.7930305606339</v>
      </c>
      <c r="EJ30">
        <f>IF(AND(ISNUMBER(EI30),逐级计算!$X$139&gt;-1),IF(逐级计算!$X$139=0,EI30+逐级计算!$C$139,EI30+逐级计算!$C$139-(10/(逐级计算!$Q$139*LN(10))*(MAX((LN(10^(逐级计算!$Q$139/10)-1)+逐级计算!$Q$139*(EI30-逐级计算!$P$139)*LN(10)/10),0)+LN(1+EXP(-ABS((LN(10^(逐级计算!$Q$139/10)-1)+逐级计算!$Q$139*(EI30-逐级计算!$P$139)*LN(10)/10))))))),"")</f>
        <v>13.7930305606339</v>
      </c>
      <c r="EK30">
        <f>IF(AND(ISNUMBER(EJ30),逐级计算!$X$140&gt;-1),IF(逐级计算!$X$140=0,EJ30+逐级计算!$C$140,EJ30+逐级计算!$C$140-(10/(逐级计算!$Q$140*LN(10))*(MAX((LN(10^(逐级计算!$Q$140/10)-1)+逐级计算!$Q$140*(EJ30-逐级计算!$P$140)*LN(10)/10),0)+LN(1+EXP(-ABS((LN(10^(逐级计算!$Q$140/10)-1)+逐级计算!$Q$140*(EJ30-逐级计算!$P$140)*LN(10)/10))))))),"")</f>
        <v>13.7930305606339</v>
      </c>
      <c r="EL30">
        <f>IF(AND(ISNUMBER(EK30),逐级计算!$X$141&gt;-1),IF(逐级计算!$X$141=0,EK30+逐级计算!$C$141,EK30+逐级计算!$C$141-(10/(逐级计算!$Q$141*LN(10))*(MAX((LN(10^(逐级计算!$Q$141/10)-1)+逐级计算!$Q$141*(EK30-逐级计算!$P$141)*LN(10)/10),0)+LN(1+EXP(-ABS((LN(10^(逐级计算!$Q$141/10)-1)+逐级计算!$Q$141*(EK30-逐级计算!$P$141)*LN(10)/10))))))),"")</f>
        <v>13.7930305606339</v>
      </c>
      <c r="EM30">
        <f>IF(AND(ISNUMBER(EL30),逐级计算!$X$142&gt;-1),IF(逐级计算!$X$142=0,EL30+逐级计算!$C$142,EL30+逐级计算!$C$142-(10/(逐级计算!$Q$142*LN(10))*(MAX((LN(10^(逐级计算!$Q$142/10)-1)+逐级计算!$Q$142*(EL30-逐级计算!$P$142)*LN(10)/10),0)+LN(1+EXP(-ABS((LN(10^(逐级计算!$Q$142/10)-1)+逐级计算!$Q$142*(EL30-逐级计算!$P$142)*LN(10)/10))))))),"")</f>
        <v>13.7930305606339</v>
      </c>
      <c r="EN30">
        <f>IF(AND(ISNUMBER(EM30),逐级计算!$X$143&gt;-1),IF(逐级计算!$X$143=0,EM30+逐级计算!$C$143,EM30+逐级计算!$C$143-(10/(逐级计算!$Q$143*LN(10))*(MAX((LN(10^(逐级计算!$Q$143/10)-1)+逐级计算!$Q$143*(EM30-逐级计算!$P$143)*LN(10)/10),0)+LN(1+EXP(-ABS((LN(10^(逐级计算!$Q$143/10)-1)+逐级计算!$Q$143*(EM30-逐级计算!$P$143)*LN(10)/10))))))),"")</f>
        <v>13.7930305606339</v>
      </c>
      <c r="EO30">
        <f>IF(AND(ISNUMBER(EN30),逐级计算!$X$144&gt;-1),IF(逐级计算!$X$144=0,EN30+逐级计算!$C$144,EN30+逐级计算!$C$144-(10/(逐级计算!$Q$144*LN(10))*(MAX((LN(10^(逐级计算!$Q$144/10)-1)+逐级计算!$Q$144*(EN30-逐级计算!$P$144)*LN(10)/10),0)+LN(1+EXP(-ABS((LN(10^(逐级计算!$Q$144/10)-1)+逐级计算!$Q$144*(EN30-逐级计算!$P$144)*LN(10)/10))))))),"")</f>
        <v>13.7930305606339</v>
      </c>
      <c r="EP30">
        <f>IF(AND(ISNUMBER(EO30),逐级计算!$X$145&gt;-1),IF(逐级计算!$X$145=0,EO30+逐级计算!$C$145,EO30+逐级计算!$C$145-(10/(逐级计算!$Q$145*LN(10))*(MAX((LN(10^(逐级计算!$Q$145/10)-1)+逐级计算!$Q$145*(EO30-逐级计算!$P$145)*LN(10)/10),0)+LN(1+EXP(-ABS((LN(10^(逐级计算!$Q$145/10)-1)+逐级计算!$Q$145*(EO30-逐级计算!$P$145)*LN(10)/10))))))),"")</f>
        <v>13.7930305606339</v>
      </c>
      <c r="EQ30">
        <f>IF(AND(ISNUMBER(EP30),逐级计算!$X$146&gt;-1),IF(逐级计算!$X$146=0,EP30+逐级计算!$C$146,EP30+逐级计算!$C$146-(10/(逐级计算!$Q$146*LN(10))*(MAX((LN(10^(逐级计算!$Q$146/10)-1)+逐级计算!$Q$146*(EP30-逐级计算!$P$146)*LN(10)/10),0)+LN(1+EXP(-ABS((LN(10^(逐级计算!$Q$146/10)-1)+逐级计算!$Q$146*(EP30-逐级计算!$P$146)*LN(10)/10))))))),"")</f>
        <v>13.7930305606339</v>
      </c>
      <c r="ER30">
        <f>IF(AND(ISNUMBER(EQ30),逐级计算!$X$147&gt;-1),IF(逐级计算!$X$147=0,EQ30+逐级计算!$C$147,EQ30+逐级计算!$C$147-(10/(逐级计算!$Q$147*LN(10))*(MAX((LN(10^(逐级计算!$Q$147/10)-1)+逐级计算!$Q$147*(EQ30-逐级计算!$P$147)*LN(10)/10),0)+LN(1+EXP(-ABS((LN(10^(逐级计算!$Q$147/10)-1)+逐级计算!$Q$147*(EQ30-逐级计算!$P$147)*LN(10)/10))))))),"")</f>
        <v>13.7930305606339</v>
      </c>
      <c r="ES30">
        <f>IF(AND(ISNUMBER(ER30),逐级计算!$X$148&gt;-1),IF(逐级计算!$X$148=0,ER30+逐级计算!$C$148,ER30+逐级计算!$C$148-(10/(逐级计算!$Q$148*LN(10))*(MAX((LN(10^(逐级计算!$Q$148/10)-1)+逐级计算!$Q$148*(ER30-逐级计算!$P$148)*LN(10)/10),0)+LN(1+EXP(-ABS((LN(10^(逐级计算!$Q$148/10)-1)+逐级计算!$Q$148*(ER30-逐级计算!$P$148)*LN(10)/10))))))),"")</f>
        <v>13.7930305606339</v>
      </c>
      <c r="ET30">
        <f>IF(AND(ISNUMBER(ES30),逐级计算!$X$149&gt;-1),IF(逐级计算!$X$149=0,ES30+逐级计算!$C$149,ES30+逐级计算!$C$149-(10/(逐级计算!$Q$149*LN(10))*(MAX((LN(10^(逐级计算!$Q$149/10)-1)+逐级计算!$Q$149*(ES30-逐级计算!$P$149)*LN(10)/10),0)+LN(1+EXP(-ABS((LN(10^(逐级计算!$Q$149/10)-1)+逐级计算!$Q$149*(ES30-逐级计算!$P$149)*LN(10)/10))))))),"")</f>
        <v>13.7930305606339</v>
      </c>
      <c r="EU30">
        <f>IF(AND(ISNUMBER(ET30),逐级计算!$X$150&gt;-1),IF(逐级计算!$X$150=0,ET30+逐级计算!$C$150,ET30+逐级计算!$C$150-(10/(逐级计算!$Q$150*LN(10))*(MAX((LN(10^(逐级计算!$Q$150/10)-1)+逐级计算!$Q$150*(ET30-逐级计算!$P$150)*LN(10)/10),0)+LN(1+EXP(-ABS((LN(10^(逐级计算!$Q$150/10)-1)+逐级计算!$Q$150*(ET30-逐级计算!$P$150)*LN(10)/10))))))),"")</f>
        <v>13.7930305606339</v>
      </c>
      <c r="EV30">
        <f>IF(AND(ISNUMBER(EU30),逐级计算!$X$151&gt;-1),IF(逐级计算!$X$151=0,EU30+逐级计算!$C$151,EU30+逐级计算!$C$151-(10/(逐级计算!$Q$151*LN(10))*(MAX((LN(10^(逐级计算!$Q$151/10)-1)+逐级计算!$Q$151*(EU30-逐级计算!$P$151)*LN(10)/10),0)+LN(1+EXP(-ABS((LN(10^(逐级计算!$Q$151/10)-1)+逐级计算!$Q$151*(EU30-逐级计算!$P$151)*LN(10)/10))))))),"")</f>
        <v>13.7930305606339</v>
      </c>
      <c r="EW30">
        <f>IF(AND(ISNUMBER(EV30),逐级计算!$X$152&gt;-1),IF(逐级计算!$X$152=0,EV30+逐级计算!$C$152,EV30+逐级计算!$C$152-(10/(逐级计算!$Q$152*LN(10))*(MAX((LN(10^(逐级计算!$Q$152/10)-1)+逐级计算!$Q$152*(EV30-逐级计算!$P$152)*LN(10)/10),0)+LN(1+EXP(-ABS((LN(10^(逐级计算!$Q$152/10)-1)+逐级计算!$Q$152*(EV30-逐级计算!$P$152)*LN(10)/10))))))),"")</f>
        <v>13.7930305606339</v>
      </c>
      <c r="EX30">
        <f>IF(AND(ISNUMBER(EW30),逐级计算!$X$153&gt;-1),IF(逐级计算!$X$153=0,EW30+逐级计算!$C$153,EW30+逐级计算!$C$153-(10/(逐级计算!$Q$153*LN(10))*(MAX((LN(10^(逐级计算!$Q$153/10)-1)+逐级计算!$Q$153*(EW30-逐级计算!$P$153)*LN(10)/10),0)+LN(1+EXP(-ABS((LN(10^(逐级计算!$Q$153/10)-1)+逐级计算!$Q$153*(EW30-逐级计算!$P$153)*LN(10)/10))))))),"")</f>
        <v>13.7930305606339</v>
      </c>
      <c r="EY30">
        <f>IF(AND(ISNUMBER(EX30),逐级计算!$X$154&gt;-1),IF(逐级计算!$X$154=0,EX30+逐级计算!$C$154,EX30+逐级计算!$C$154-(10/(逐级计算!$Q$154*LN(10))*(MAX((LN(10^(逐级计算!$Q$154/10)-1)+逐级计算!$Q$154*(EX30-逐级计算!$P$154)*LN(10)/10),0)+LN(1+EXP(-ABS((LN(10^(逐级计算!$Q$154/10)-1)+逐级计算!$Q$154*(EX30-逐级计算!$P$154)*LN(10)/10))))))),"")</f>
        <v>13.7930305606339</v>
      </c>
      <c r="EZ30">
        <f>IF(AND(ISNUMBER(EY30),逐级计算!$X$155&gt;-1),IF(逐级计算!$X$155=0,EY30+逐级计算!$C$155,EY30+逐级计算!$C$155-(10/(逐级计算!$Q$155*LN(10))*(MAX((LN(10^(逐级计算!$Q$155/10)-1)+逐级计算!$Q$155*(EY30-逐级计算!$P$155)*LN(10)/10),0)+LN(1+EXP(-ABS((LN(10^(逐级计算!$Q$155/10)-1)+逐级计算!$Q$155*(EY30-逐级计算!$P$155)*LN(10)/10))))))),"")</f>
        <v>13.7930305606339</v>
      </c>
      <c r="FA30">
        <f>IF(AND(ISNUMBER(EZ30),逐级计算!$X$156&gt;-1),IF(逐级计算!$X$156=0,EZ30+逐级计算!$C$156,EZ30+逐级计算!$C$156-(10/(逐级计算!$Q$156*LN(10))*(MAX((LN(10^(逐级计算!$Q$156/10)-1)+逐级计算!$Q$156*(EZ30-逐级计算!$P$156)*LN(10)/10),0)+LN(1+EXP(-ABS((LN(10^(逐级计算!$Q$156/10)-1)+逐级计算!$Q$156*(EZ30-逐级计算!$P$156)*LN(10)/10))))))),"")</f>
        <v>13.7930305606339</v>
      </c>
      <c r="FB30">
        <f>IF(AND(ISNUMBER(FA30),逐级计算!$X$157&gt;-1),IF(逐级计算!$X$157=0,FA30+逐级计算!$C$157,FA30+逐级计算!$C$157-(10/(逐级计算!$Q$157*LN(10))*(MAX((LN(10^(逐级计算!$Q$157/10)-1)+逐级计算!$Q$157*(FA30-逐级计算!$P$157)*LN(10)/10),0)+LN(1+EXP(-ABS((LN(10^(逐级计算!$Q$157/10)-1)+逐级计算!$Q$157*(FA30-逐级计算!$P$157)*LN(10)/10))))))),"")</f>
        <v>13.7930305606339</v>
      </c>
      <c r="FC30">
        <f>IF(AND(ISNUMBER(FB30),逐级计算!$X$158&gt;-1),IF(逐级计算!$X$158=0,FB30+逐级计算!$C$158,FB30+逐级计算!$C$158-(10/(逐级计算!$Q$158*LN(10))*(MAX((LN(10^(逐级计算!$Q$158/10)-1)+逐级计算!$Q$158*(FB30-逐级计算!$P$158)*LN(10)/10),0)+LN(1+EXP(-ABS((LN(10^(逐级计算!$Q$158/10)-1)+逐级计算!$Q$158*(FB30-逐级计算!$P$158)*LN(10)/10))))))),"")</f>
        <v>13.7930305606339</v>
      </c>
      <c r="FD30">
        <f>IF(AND(ISNUMBER(FC30),逐级计算!$X$159&gt;-1),IF(逐级计算!$X$159=0,FC30+逐级计算!$C$159,FC30+逐级计算!$C$159-(10/(逐级计算!$Q$159*LN(10))*(MAX((LN(10^(逐级计算!$Q$159/10)-1)+逐级计算!$Q$159*(FC30-逐级计算!$P$159)*LN(10)/10),0)+LN(1+EXP(-ABS((LN(10^(逐级计算!$Q$159/10)-1)+逐级计算!$Q$159*(FC30-逐级计算!$P$159)*LN(10)/10))))))),"")</f>
        <v>13.7930305606339</v>
      </c>
      <c r="FE30">
        <f>IF(AND(ISNUMBER(FD30),逐级计算!$X$160&gt;-1),IF(逐级计算!$X$160=0,FD30+逐级计算!$C$160,FD30+逐级计算!$C$160-(10/(逐级计算!$Q$160*LN(10))*(MAX((LN(10^(逐级计算!$Q$160/10)-1)+逐级计算!$Q$160*(FD30-逐级计算!$P$160)*LN(10)/10),0)+LN(1+EXP(-ABS((LN(10^(逐级计算!$Q$160/10)-1)+逐级计算!$Q$160*(FD30-逐级计算!$P$160)*LN(10)/10))))))),"")</f>
        <v>13.7930305606339</v>
      </c>
      <c r="FF30">
        <f>IF(AND(ISNUMBER(FE30),逐级计算!$X$161&gt;-1),IF(逐级计算!$X$161=0,FE30+逐级计算!$C$161,FE30+逐级计算!$C$161-(10/(逐级计算!$Q$161*LN(10))*(MAX((LN(10^(逐级计算!$Q$161/10)-1)+逐级计算!$Q$161*(FE30-逐级计算!$P$161)*LN(10)/10),0)+LN(1+EXP(-ABS((LN(10^(逐级计算!$Q$161/10)-1)+逐级计算!$Q$161*(FE30-逐级计算!$P$161)*LN(10)/10))))))),"")</f>
        <v>13.7930305606339</v>
      </c>
      <c r="FG30">
        <f>IF(AND(ISNUMBER(FF30),逐级计算!$X$162&gt;-1),IF(逐级计算!$X$162=0,FF30+逐级计算!$C$162,FF30+逐级计算!$C$162-(10/(逐级计算!$Q$162*LN(10))*(MAX((LN(10^(逐级计算!$Q$162/10)-1)+逐级计算!$Q$162*(FF30-逐级计算!$P$162)*LN(10)/10),0)+LN(1+EXP(-ABS((LN(10^(逐级计算!$Q$162/10)-1)+逐级计算!$Q$162*(FF30-逐级计算!$P$162)*LN(10)/10))))))),"")</f>
        <v>13.7930305606339</v>
      </c>
      <c r="FH30">
        <f>IF(AND(ISNUMBER(FG30),逐级计算!$X$163&gt;-1),IF(逐级计算!$X$163=0,FG30+逐级计算!$C$163,FG30+逐级计算!$C$163-(10/(逐级计算!$Q$163*LN(10))*(MAX((LN(10^(逐级计算!$Q$163/10)-1)+逐级计算!$Q$163*(FG30-逐级计算!$P$163)*LN(10)/10),0)+LN(1+EXP(-ABS((LN(10^(逐级计算!$Q$163/10)-1)+逐级计算!$Q$163*(FG30-逐级计算!$P$163)*LN(10)/10))))))),"")</f>
        <v>13.7930305606339</v>
      </c>
      <c r="FI30">
        <f>IF(AND(ISNUMBER(FH30),逐级计算!$X$164&gt;-1),IF(逐级计算!$X$164=0,FH30+逐级计算!$C$164,FH30+逐级计算!$C$164-(10/(逐级计算!$Q$164*LN(10))*(MAX((LN(10^(逐级计算!$Q$164/10)-1)+逐级计算!$Q$164*(FH30-逐级计算!$P$164)*LN(10)/10),0)+LN(1+EXP(-ABS((LN(10^(逐级计算!$Q$164/10)-1)+逐级计算!$Q$164*(FH30-逐级计算!$P$164)*LN(10)/10))))))),"")</f>
        <v>13.7930305606339</v>
      </c>
      <c r="FJ30">
        <f>IF(AND(ISNUMBER(FI30),逐级计算!$X$165&gt;-1),IF(逐级计算!$X$165=0,FI30+逐级计算!$C$165,FI30+逐级计算!$C$165-(10/(逐级计算!$Q$165*LN(10))*(MAX((LN(10^(逐级计算!$Q$165/10)-1)+逐级计算!$Q$165*(FI30-逐级计算!$P$165)*LN(10)/10),0)+LN(1+EXP(-ABS((LN(10^(逐级计算!$Q$165/10)-1)+逐级计算!$Q$165*(FI30-逐级计算!$P$165)*LN(10)/10))))))),"")</f>
        <v>13.7930305606339</v>
      </c>
      <c r="FK30">
        <f>IF(AND(ISNUMBER(FJ30),逐级计算!$X$166&gt;-1),IF(逐级计算!$X$166=0,FJ30+逐级计算!$C$166,FJ30+逐级计算!$C$166-(10/(逐级计算!$Q$166*LN(10))*(MAX((LN(10^(逐级计算!$Q$166/10)-1)+逐级计算!$Q$166*(FJ30-逐级计算!$P$166)*LN(10)/10),0)+LN(1+EXP(-ABS((LN(10^(逐级计算!$Q$166/10)-1)+逐级计算!$Q$166*(FJ30-逐级计算!$P$166)*LN(10)/10))))))),"")</f>
        <v>13.7930305606339</v>
      </c>
      <c r="FL30">
        <f>IF(AND(ISNUMBER(FK30),逐级计算!$X$167&gt;-1),IF(逐级计算!$X$167=0,FK30+逐级计算!$C$167,FK30+逐级计算!$C$167-(10/(逐级计算!$Q$167*LN(10))*(MAX((LN(10^(逐级计算!$Q$167/10)-1)+逐级计算!$Q$167*(FK30-逐级计算!$P$167)*LN(10)/10),0)+LN(1+EXP(-ABS((LN(10^(逐级计算!$Q$167/10)-1)+逐级计算!$Q$167*(FK30-逐级计算!$P$167)*LN(10)/10))))))),"")</f>
        <v>13.7930305606339</v>
      </c>
      <c r="FM30">
        <f>IF(AND(ISNUMBER(FL30),逐级计算!$X$168&gt;-1),IF(逐级计算!$X$168=0,FL30+逐级计算!$C$168,FL30+逐级计算!$C$168-(10/(逐级计算!$Q$168*LN(10))*(MAX((LN(10^(逐级计算!$Q$168/10)-1)+逐级计算!$Q$168*(FL30-逐级计算!$P$168)*LN(10)/10),0)+LN(1+EXP(-ABS((LN(10^(逐级计算!$Q$168/10)-1)+逐级计算!$Q$168*(FL30-逐级计算!$P$168)*LN(10)/10))))))),"")</f>
        <v>13.7930305606339</v>
      </c>
      <c r="FN30">
        <f>IF(AND(ISNUMBER(FM30),逐级计算!$X$169&gt;-1),IF(逐级计算!$X$169=0,FM30+逐级计算!$C$169,FM30+逐级计算!$C$169-(10/(逐级计算!$Q$169*LN(10))*(MAX((LN(10^(逐级计算!$Q$169/10)-1)+逐级计算!$Q$169*(FM30-逐级计算!$P$169)*LN(10)/10),0)+LN(1+EXP(-ABS((LN(10^(逐级计算!$Q$169/10)-1)+逐级计算!$Q$169*(FM30-逐级计算!$P$169)*LN(10)/10))))))),"")</f>
        <v>13.7930305606339</v>
      </c>
      <c r="FO30">
        <f>IF(AND(ISNUMBER(FN30),逐级计算!$X$170&gt;-1),IF(逐级计算!$X$170=0,FN30+逐级计算!$C$170,FN30+逐级计算!$C$170-(10/(逐级计算!$Q$170*LN(10))*(MAX((LN(10^(逐级计算!$Q$170/10)-1)+逐级计算!$Q$170*(FN30-逐级计算!$P$170)*LN(10)/10),0)+LN(1+EXP(-ABS((LN(10^(逐级计算!$Q$170/10)-1)+逐级计算!$Q$170*(FN30-逐级计算!$P$170)*LN(10)/10))))))),"")</f>
        <v>13.7930305606339</v>
      </c>
      <c r="FP30">
        <f>IF(AND(ISNUMBER(FO30),逐级计算!$X$171&gt;-1),IF(逐级计算!$X$171=0,FO30+逐级计算!$C$171,FO30+逐级计算!$C$171-(10/(逐级计算!$Q$171*LN(10))*(MAX((LN(10^(逐级计算!$Q$171/10)-1)+逐级计算!$Q$171*(FO30-逐级计算!$P$171)*LN(10)/10),0)+LN(1+EXP(-ABS((LN(10^(逐级计算!$Q$171/10)-1)+逐级计算!$Q$171*(FO30-逐级计算!$P$171)*LN(10)/10))))))),"")</f>
        <v>13.7930305606339</v>
      </c>
      <c r="FQ30">
        <f>IF(AND(ISNUMBER(FP30),逐级计算!$X$172&gt;-1),IF(逐级计算!$X$172=0,FP30+逐级计算!$C$172,FP30+逐级计算!$C$172-(10/(逐级计算!$Q$172*LN(10))*(MAX((LN(10^(逐级计算!$Q$172/10)-1)+逐级计算!$Q$172*(FP30-逐级计算!$P$172)*LN(10)/10),0)+LN(1+EXP(-ABS((LN(10^(逐级计算!$Q$172/10)-1)+逐级计算!$Q$172*(FP30-逐级计算!$P$172)*LN(10)/10))))))),"")</f>
        <v>13.7930305606339</v>
      </c>
      <c r="FR30">
        <f>IF(AND(ISNUMBER(FQ30),逐级计算!$X$173&gt;-1),IF(逐级计算!$X$173=0,FQ30+逐级计算!$C$173,FQ30+逐级计算!$C$173-(10/(逐级计算!$Q$173*LN(10))*(MAX((LN(10^(逐级计算!$Q$173/10)-1)+逐级计算!$Q$173*(FQ30-逐级计算!$P$173)*LN(10)/10),0)+LN(1+EXP(-ABS((LN(10^(逐级计算!$Q$173/10)-1)+逐级计算!$Q$173*(FQ30-逐级计算!$P$173)*LN(10)/10))))))),"")</f>
        <v>13.7930305606339</v>
      </c>
      <c r="FS30">
        <f>IF(AND(ISNUMBER(FR30),逐级计算!$X$174&gt;-1),IF(逐级计算!$X$174=0,FR30+逐级计算!$C$174,FR30+逐级计算!$C$174-(10/(逐级计算!$Q$174*LN(10))*(MAX((LN(10^(逐级计算!$Q$174/10)-1)+逐级计算!$Q$174*(FR30-逐级计算!$P$174)*LN(10)/10),0)+LN(1+EXP(-ABS((LN(10^(逐级计算!$Q$174/10)-1)+逐级计算!$Q$174*(FR30-逐级计算!$P$174)*LN(10)/10))))))),"")</f>
        <v>13.7930305606339</v>
      </c>
      <c r="FT30">
        <f>IF(AND(ISNUMBER(FS30),逐级计算!$X$175&gt;-1),IF(逐级计算!$X$175=0,FS30+逐级计算!$C$175,FS30+逐级计算!$C$175-(10/(逐级计算!$Q$175*LN(10))*(MAX((LN(10^(逐级计算!$Q$175/10)-1)+逐级计算!$Q$175*(FS30-逐级计算!$P$175)*LN(10)/10),0)+LN(1+EXP(-ABS((LN(10^(逐级计算!$Q$175/10)-1)+逐级计算!$Q$175*(FS30-逐级计算!$P$175)*LN(10)/10))))))),"")</f>
        <v>13.7930305606339</v>
      </c>
      <c r="FU30">
        <f>IF(AND(ISNUMBER(FT30),逐级计算!$X$176&gt;-1),IF(逐级计算!$X$176=0,FT30+逐级计算!$C$176,FT30+逐级计算!$C$176-(10/(逐级计算!$Q$176*LN(10))*(MAX((LN(10^(逐级计算!$Q$176/10)-1)+逐级计算!$Q$176*(FT30-逐级计算!$P$176)*LN(10)/10),0)+LN(1+EXP(-ABS((LN(10^(逐级计算!$Q$176/10)-1)+逐级计算!$Q$176*(FT30-逐级计算!$P$176)*LN(10)/10))))))),"")</f>
        <v>13.7930305606339</v>
      </c>
      <c r="FV30">
        <f>IF(AND(ISNUMBER(FU30),逐级计算!$X$177&gt;-1),IF(逐级计算!$X$177=0,FU30+逐级计算!$C$177,FU30+逐级计算!$C$177-(10/(逐级计算!$Q$177*LN(10))*(MAX((LN(10^(逐级计算!$Q$177/10)-1)+逐级计算!$Q$177*(FU30-逐级计算!$P$177)*LN(10)/10),0)+LN(1+EXP(-ABS((LN(10^(逐级计算!$Q$177/10)-1)+逐级计算!$Q$177*(FU30-逐级计算!$P$177)*LN(10)/10))))))),"")</f>
        <v>13.7930305606339</v>
      </c>
      <c r="FW30">
        <f>IF(AND(ISNUMBER(FV30),逐级计算!$X$178&gt;-1),IF(逐级计算!$X$178=0,FV30+逐级计算!$C$178,FV30+逐级计算!$C$178-(10/(逐级计算!$Q$178*LN(10))*(MAX((LN(10^(逐级计算!$Q$178/10)-1)+逐级计算!$Q$178*(FV30-逐级计算!$P$178)*LN(10)/10),0)+LN(1+EXP(-ABS((LN(10^(逐级计算!$Q$178/10)-1)+逐级计算!$Q$178*(FV30-逐级计算!$P$178)*LN(10)/10))))))),"")</f>
        <v>13.7930305606339</v>
      </c>
      <c r="FX30">
        <f>IF(AND(ISNUMBER(FW30),逐级计算!$X$179&gt;-1),IF(逐级计算!$X$179=0,FW30+逐级计算!$C$179,FW30+逐级计算!$C$179-(10/(逐级计算!$Q$179*LN(10))*(MAX((LN(10^(逐级计算!$Q$179/10)-1)+逐级计算!$Q$179*(FW30-逐级计算!$P$179)*LN(10)/10),0)+LN(1+EXP(-ABS((LN(10^(逐级计算!$Q$179/10)-1)+逐级计算!$Q$179*(FW30-逐级计算!$P$179)*LN(10)/10))))))),"")</f>
        <v>13.7930305606339</v>
      </c>
      <c r="FY30">
        <f>IF(AND(ISNUMBER(FX30),逐级计算!$X$180&gt;-1),IF(逐级计算!$X$180=0,FX30+逐级计算!$C$180,FX30+逐级计算!$C$180-(10/(逐级计算!$Q$180*LN(10))*(MAX((LN(10^(逐级计算!$Q$180/10)-1)+逐级计算!$Q$180*(FX30-逐级计算!$P$180)*LN(10)/10),0)+LN(1+EXP(-ABS((LN(10^(逐级计算!$Q$180/10)-1)+逐级计算!$Q$180*(FX30-逐级计算!$P$180)*LN(10)/10))))))),"")</f>
        <v>13.7930305606339</v>
      </c>
      <c r="FZ30">
        <f>IF(AND(ISNUMBER(FY30),逐级计算!$X$181&gt;-1),IF(逐级计算!$X$181=0,FY30+逐级计算!$C$181,FY30+逐级计算!$C$181-(10/(逐级计算!$Q$181*LN(10))*(MAX((LN(10^(逐级计算!$Q$181/10)-1)+逐级计算!$Q$181*(FY30-逐级计算!$P$181)*LN(10)/10),0)+LN(1+EXP(-ABS((LN(10^(逐级计算!$Q$181/10)-1)+逐级计算!$Q$181*(FY30-逐级计算!$P$181)*LN(10)/10))))))),"")</f>
        <v>13.7930305606339</v>
      </c>
      <c r="GA30">
        <f>IF(AND(ISNUMBER(FZ30),逐级计算!$X$182&gt;-1),IF(逐级计算!$X$182=0,FZ30+逐级计算!$C$182,FZ30+逐级计算!$C$182-(10/(逐级计算!$Q$182*LN(10))*(MAX((LN(10^(逐级计算!$Q$182/10)-1)+逐级计算!$Q$182*(FZ30-逐级计算!$P$182)*LN(10)/10),0)+LN(1+EXP(-ABS((LN(10^(逐级计算!$Q$182/10)-1)+逐级计算!$Q$182*(FZ30-逐级计算!$P$182)*LN(10)/10))))))),"")</f>
        <v>13.7930305606339</v>
      </c>
      <c r="GB30">
        <f>IF(AND(ISNUMBER(GA30),逐级计算!$X$183&gt;-1),IF(逐级计算!$X$183=0,GA30+逐级计算!$C$183,GA30+逐级计算!$C$183-(10/(逐级计算!$Q$183*LN(10))*(MAX((LN(10^(逐级计算!$Q$183/10)-1)+逐级计算!$Q$183*(GA30-逐级计算!$P$183)*LN(10)/10),0)+LN(1+EXP(-ABS((LN(10^(逐级计算!$Q$183/10)-1)+逐级计算!$Q$183*(GA30-逐级计算!$P$183)*LN(10)/10))))))),"")</f>
        <v>13.7930305606339</v>
      </c>
      <c r="GC30">
        <f>IF(AND(ISNUMBER(GB30),逐级计算!$X$184&gt;-1),IF(逐级计算!$X$184=0,GB30+逐级计算!$C$184,GB30+逐级计算!$C$184-(10/(逐级计算!$Q$184*LN(10))*(MAX((LN(10^(逐级计算!$Q$184/10)-1)+逐级计算!$Q$184*(GB30-逐级计算!$P$184)*LN(10)/10),0)+LN(1+EXP(-ABS((LN(10^(逐级计算!$Q$184/10)-1)+逐级计算!$Q$184*(GB30-逐级计算!$P$184)*LN(10)/10))))))),"")</f>
        <v>13.7930305606339</v>
      </c>
      <c r="GD30">
        <f>IF(AND(ISNUMBER(GC30),逐级计算!$X$185&gt;-1),IF(逐级计算!$X$185=0,GC30+逐级计算!$C$185,GC30+逐级计算!$C$185-(10/(逐级计算!$Q$185*LN(10))*(MAX((LN(10^(逐级计算!$Q$185/10)-1)+逐级计算!$Q$185*(GC30-逐级计算!$P$185)*LN(10)/10),0)+LN(1+EXP(-ABS((LN(10^(逐级计算!$Q$185/10)-1)+逐级计算!$Q$185*(GC30-逐级计算!$P$185)*LN(10)/10))))))),"")</f>
        <v>13.7930305606339</v>
      </c>
      <c r="GE30">
        <f>IF(AND(ISNUMBER(GD30),逐级计算!$X$186&gt;-1),IF(逐级计算!$X$186=0,GD30+逐级计算!$C$186,GD30+逐级计算!$C$186-(10/(逐级计算!$Q$186*LN(10))*(MAX((LN(10^(逐级计算!$Q$186/10)-1)+逐级计算!$Q$186*(GD30-逐级计算!$P$186)*LN(10)/10),0)+LN(1+EXP(-ABS((LN(10^(逐级计算!$Q$186/10)-1)+逐级计算!$Q$186*(GD30-逐级计算!$P$186)*LN(10)/10))))))),"")</f>
        <v>13.7930305606339</v>
      </c>
      <c r="GF30">
        <f>IF(AND(ISNUMBER(GE30),逐级计算!$X$187&gt;-1),IF(逐级计算!$X$187=0,GE30+逐级计算!$C$187,GE30+逐级计算!$C$187-(10/(逐级计算!$Q$187*LN(10))*(MAX((LN(10^(逐级计算!$Q$187/10)-1)+逐级计算!$Q$187*(GE30-逐级计算!$P$187)*LN(10)/10),0)+LN(1+EXP(-ABS((LN(10^(逐级计算!$Q$187/10)-1)+逐级计算!$Q$187*(GE30-逐级计算!$P$187)*LN(10)/10))))))),"")</f>
        <v>13.7930305606339</v>
      </c>
      <c r="GG30">
        <f>IF(AND(ISNUMBER(GF30),逐级计算!$X$188&gt;-1),IF(逐级计算!$X$188=0,GF30+逐级计算!$C$188,GF30+逐级计算!$C$188-(10/(逐级计算!$Q$188*LN(10))*(MAX((LN(10^(逐级计算!$Q$188/10)-1)+逐级计算!$Q$188*(GF30-逐级计算!$P$188)*LN(10)/10),0)+LN(1+EXP(-ABS((LN(10^(逐级计算!$Q$188/10)-1)+逐级计算!$Q$188*(GF30-逐级计算!$P$188)*LN(10)/10))))))),"")</f>
        <v>13.7930305606339</v>
      </c>
      <c r="GH30">
        <f>IF(AND(ISNUMBER(GG30),逐级计算!$X$189&gt;-1),IF(逐级计算!$X$189=0,GG30+逐级计算!$C$189,GG30+逐级计算!$C$189-(10/(逐级计算!$Q$189*LN(10))*(MAX((LN(10^(逐级计算!$Q$189/10)-1)+逐级计算!$Q$189*(GG30-逐级计算!$P$189)*LN(10)/10),0)+LN(1+EXP(-ABS((LN(10^(逐级计算!$Q$189/10)-1)+逐级计算!$Q$189*(GG30-逐级计算!$P$189)*LN(10)/10))))))),"")</f>
        <v>13.7930305606339</v>
      </c>
      <c r="GI30">
        <f>IF(AND(ISNUMBER(GH30),逐级计算!$X$190&gt;-1),IF(逐级计算!$X$190=0,GH30+逐级计算!$C$190,GH30+逐级计算!$C$190-(10/(逐级计算!$Q$190*LN(10))*(MAX((LN(10^(逐级计算!$Q$190/10)-1)+逐级计算!$Q$190*(GH30-逐级计算!$P$190)*LN(10)/10),0)+LN(1+EXP(-ABS((LN(10^(逐级计算!$Q$190/10)-1)+逐级计算!$Q$190*(GH30-逐级计算!$P$190)*LN(10)/10))))))),"")</f>
        <v>13.7930305606339</v>
      </c>
      <c r="GJ30">
        <f>IF(AND(ISNUMBER(GI30),逐级计算!$X$191&gt;-1),IF(逐级计算!$X$191=0,GI30+逐级计算!$C$191,GI30+逐级计算!$C$191-(10/(逐级计算!$Q$191*LN(10))*(MAX((LN(10^(逐级计算!$Q$191/10)-1)+逐级计算!$Q$191*(GI30-逐级计算!$P$191)*LN(10)/10),0)+LN(1+EXP(-ABS((LN(10^(逐级计算!$Q$191/10)-1)+逐级计算!$Q$191*(GI30-逐级计算!$P$191)*LN(10)/10))))))),"")</f>
        <v>13.7930305606339</v>
      </c>
      <c r="GK30">
        <f>IF(AND(ISNUMBER(GJ30),逐级计算!$X$192&gt;-1),IF(逐级计算!$X$192=0,GJ30+逐级计算!$C$192,GJ30+逐级计算!$C$192-(10/(逐级计算!$Q$192*LN(10))*(MAX((LN(10^(逐级计算!$Q$192/10)-1)+逐级计算!$Q$192*(GJ30-逐级计算!$P$192)*LN(10)/10),0)+LN(1+EXP(-ABS((LN(10^(逐级计算!$Q$192/10)-1)+逐级计算!$Q$192*(GJ30-逐级计算!$P$192)*LN(10)/10))))))),"")</f>
        <v>13.7930305606339</v>
      </c>
      <c r="GL30">
        <f>IF(AND(ISNUMBER(GK30),逐级计算!$X$193&gt;-1),IF(逐级计算!$X$193=0,GK30+逐级计算!$C$193,GK30+逐级计算!$C$193-(10/(逐级计算!$Q$193*LN(10))*(MAX((LN(10^(逐级计算!$Q$193/10)-1)+逐级计算!$Q$193*(GK30-逐级计算!$P$193)*LN(10)/10),0)+LN(1+EXP(-ABS((LN(10^(逐级计算!$Q$193/10)-1)+逐级计算!$Q$193*(GK30-逐级计算!$P$193)*LN(10)/10))))))),"")</f>
        <v>13.7930305606339</v>
      </c>
      <c r="GM30">
        <f>IF(AND(ISNUMBER(GL30),逐级计算!$X$194&gt;-1),IF(逐级计算!$X$194=0,GL30+逐级计算!$C$194,GL30+逐级计算!$C$194-(10/(逐级计算!$Q$194*LN(10))*(MAX((LN(10^(逐级计算!$Q$194/10)-1)+逐级计算!$Q$194*(GL30-逐级计算!$P$194)*LN(10)/10),0)+LN(1+EXP(-ABS((LN(10^(逐级计算!$Q$194/10)-1)+逐级计算!$Q$194*(GL30-逐级计算!$P$194)*LN(10)/10))))))),"")</f>
        <v>13.7930305606339</v>
      </c>
      <c r="GN30">
        <f>IF(AND(ISNUMBER(GM30),逐级计算!$X$195&gt;-1),IF(逐级计算!$X$195=0,GM30+逐级计算!$C$195,GM30+逐级计算!$C$195-(10/(逐级计算!$Q$195*LN(10))*(MAX((LN(10^(逐级计算!$Q$195/10)-1)+逐级计算!$Q$195*(GM30-逐级计算!$P$195)*LN(10)/10),0)+LN(1+EXP(-ABS((LN(10^(逐级计算!$Q$195/10)-1)+逐级计算!$Q$195*(GM30-逐级计算!$P$195)*LN(10)/10))))))),"")</f>
        <v>13.7930305606339</v>
      </c>
      <c r="GO30">
        <f>IF(AND(ISNUMBER(GN30),逐级计算!$X$196&gt;-1),IF(逐级计算!$X$196=0,GN30+逐级计算!$C$196,GN30+逐级计算!$C$196-(10/(逐级计算!$Q$196*LN(10))*(MAX((LN(10^(逐级计算!$Q$196/10)-1)+逐级计算!$Q$196*(GN30-逐级计算!$P$196)*LN(10)/10),0)+LN(1+EXP(-ABS((LN(10^(逐级计算!$Q$196/10)-1)+逐级计算!$Q$196*(GN30-逐级计算!$P$196)*LN(10)/10))))))),"")</f>
        <v>13.7930305606339</v>
      </c>
      <c r="GP30">
        <f>IF(AND(ISNUMBER(GO30),逐级计算!$X$197&gt;-1),IF(逐级计算!$X$197=0,GO30+逐级计算!$C$197,GO30+逐级计算!$C$197-(10/(逐级计算!$Q$197*LN(10))*(MAX((LN(10^(逐级计算!$Q$197/10)-1)+逐级计算!$Q$197*(GO30-逐级计算!$P$197)*LN(10)/10),0)+LN(1+EXP(-ABS((LN(10^(逐级计算!$Q$197/10)-1)+逐级计算!$Q$197*(GO30-逐级计算!$P$197)*LN(10)/10))))))),"")</f>
        <v>13.7930305606339</v>
      </c>
      <c r="GQ30">
        <f>IF(AND(ISNUMBER(GP30),逐级计算!$X$198&gt;-1),IF(逐级计算!$X$198=0,GP30+逐级计算!$C$198,GP30+逐级计算!$C$198-(10/(逐级计算!$Q$198*LN(10))*(MAX((LN(10^(逐级计算!$Q$198/10)-1)+逐级计算!$Q$198*(GP30-逐级计算!$P$198)*LN(10)/10),0)+LN(1+EXP(-ABS((LN(10^(逐级计算!$Q$198/10)-1)+逐级计算!$Q$198*(GP30-逐级计算!$P$198)*LN(10)/10))))))),"")</f>
        <v>13.7930305606339</v>
      </c>
      <c r="GR30">
        <f>IF(AND(ISNUMBER(GQ30),逐级计算!$X$199&gt;-1),IF(逐级计算!$X$199=0,GQ30+逐级计算!$C$199,GQ30+逐级计算!$C$199-(10/(逐级计算!$Q$199*LN(10))*(MAX((LN(10^(逐级计算!$Q$199/10)-1)+逐级计算!$Q$199*(GQ30-逐级计算!$P$199)*LN(10)/10),0)+LN(1+EXP(-ABS((LN(10^(逐级计算!$Q$199/10)-1)+逐级计算!$Q$199*(GQ30-逐级计算!$P$199)*LN(10)/10))))))),"")</f>
        <v>13.7930305606339</v>
      </c>
      <c r="GS30">
        <f>IF(AND(ISNUMBER(GR30),逐级计算!$X$200&gt;-1),IF(逐级计算!$X$200=0,GR30+逐级计算!$C$200,GR30+逐级计算!$C$200-(10/(逐级计算!$Q$200*LN(10))*(MAX((LN(10^(逐级计算!$Q$200/10)-1)+逐级计算!$Q$200*(GR30-逐级计算!$P$200)*LN(10)/10),0)+LN(1+EXP(-ABS((LN(10^(逐级计算!$Q$200/10)-1)+逐级计算!$Q$200*(GR30-逐级计算!$P$200)*LN(10)/10))))))),"")</f>
        <v>13.7930305606339</v>
      </c>
      <c r="GT30">
        <f>IF(AND(ISNUMBER(GS30),逐级计算!$X$201&gt;-1),IF(逐级计算!$X$201=0,GS30+逐级计算!$C$201,GS30+逐级计算!$C$201-(10/(逐级计算!$Q$201*LN(10))*(MAX((LN(10^(逐级计算!$Q$201/10)-1)+逐级计算!$Q$201*(GS30-逐级计算!$P$201)*LN(10)/10),0)+LN(1+EXP(-ABS((LN(10^(逐级计算!$Q$201/10)-1)+逐级计算!$Q$201*(GS30-逐级计算!$P$201)*LN(10)/10))))))),"")</f>
        <v>13.7930305606339</v>
      </c>
      <c r="GU30">
        <f>IF(AND(ISNUMBER(GT30),逐级计算!$X$202&gt;-1),IF(逐级计算!$X$202=0,GT30+逐级计算!$C$202,GT30+逐级计算!$C$202-(10/(逐级计算!$Q$202*LN(10))*(MAX((LN(10^(逐级计算!$Q$202/10)-1)+逐级计算!$Q$202*(GT30-逐级计算!$P$202)*LN(10)/10),0)+LN(1+EXP(-ABS((LN(10^(逐级计算!$Q$202/10)-1)+逐级计算!$Q$202*(GT30-逐级计算!$P$202)*LN(10)/10))))))),"")</f>
        <v>13.7930305606339</v>
      </c>
      <c r="GV30">
        <f>IF(AND(ISNUMBER(GU30),逐级计算!$X$203&gt;-1),IF(逐级计算!$X$203=0,GU30+逐级计算!$C$203,GU30+逐级计算!$C$203-(10/(逐级计算!$Q$203*LN(10))*(MAX((LN(10^(逐级计算!$Q$203/10)-1)+逐级计算!$Q$203*(GU30-逐级计算!$P$203)*LN(10)/10),0)+LN(1+EXP(-ABS((LN(10^(逐级计算!$Q$203/10)-1)+逐级计算!$Q$203*(GU30-逐级计算!$P$203)*LN(10)/10))))))),"")</f>
        <v>13.7930305606339</v>
      </c>
      <c r="GW30">
        <f t="shared" si="2"/>
        <v>-5.20696043968201</v>
      </c>
    </row>
    <row r="31" spans="1:205">
      <c r="A31">
        <v>24</v>
      </c>
      <c r="B31">
        <f t="shared" si="1"/>
        <v>-5.20697295665741</v>
      </c>
      <c r="C31">
        <f t="shared" si="0"/>
        <v>-5.20696669816971</v>
      </c>
      <c r="D31">
        <f>IF(AND(ISNUMBER(C31),ISNUMBER(逐级计算!$E$203),ISNUMBER(GV31)),C31+逐级计算!$E$203-GV31,"")</f>
        <v>0.999998792353292</v>
      </c>
      <c r="E31">
        <f>IF(AND(ISNUMBER(C31),逐级计算!$X$4&gt;-1),IF(逐级计算!$X$4=0,C31+逐级计算!$C$4,C31+逐级计算!$C$4-(10/(逐级计算!$Q$4*LN(10))*(MAX((LN(10^(逐级计算!$Q$4/10)-1)+逐级计算!$Q$4*(C31-逐级计算!$P$4)*LN(10)/10),0)+LN(1+EXP(-ABS((LN(10^(逐级计算!$Q$4/10)-1)+逐级计算!$Q$4*(C31-逐级计算!$P$4)*LN(10)/10))))))),"")</f>
        <v>4.68053672211887</v>
      </c>
      <c r="F31">
        <f>IF(AND(ISNUMBER(E31),逐级计算!$X$5&gt;-1),IF(逐级计算!$X$5=0,E31+逐级计算!$C$5,E31+逐级计算!$C$5-(10/(逐级计算!$Q$5*LN(10))*(MAX((LN(10^(逐级计算!$Q$5/10)-1)+逐级计算!$Q$5*(E31-逐级计算!$P$5)*LN(10)/10),0)+LN(1+EXP(-ABS((LN(10^(逐级计算!$Q$5/10)-1)+逐级计算!$Q$5*(E31-逐级计算!$P$5)*LN(10)/10))))))),"")</f>
        <v>13.793034509477</v>
      </c>
      <c r="G31">
        <f>IF(AND(ISNUMBER(F31),逐级计算!$X$6&gt;-1),IF(逐级计算!$X$6=0,F31+逐级计算!$C$6,F31+逐级计算!$C$6-(10/(逐级计算!$Q$6*LN(10))*(MAX((LN(10^(逐级计算!$Q$6/10)-1)+逐级计算!$Q$6*(F31-逐级计算!$P$6)*LN(10)/10),0)+LN(1+EXP(-ABS((LN(10^(逐级计算!$Q$6/10)-1)+逐级计算!$Q$6*(F31-逐级计算!$P$6)*LN(10)/10))))))),"")</f>
        <v>13.793034509477</v>
      </c>
      <c r="H31">
        <f>IF(AND(ISNUMBER(G31),逐级计算!$X$7&gt;-1),IF(逐级计算!$X$7=0,G31+逐级计算!$C$7,G31+逐级计算!$C$7-(10/(逐级计算!$Q$7*LN(10))*(MAX((LN(10^(逐级计算!$Q$7/10)-1)+逐级计算!$Q$7*(G31-逐级计算!$P$7)*LN(10)/10),0)+LN(1+EXP(-ABS((LN(10^(逐级计算!$Q$7/10)-1)+逐级计算!$Q$7*(G31-逐级计算!$P$7)*LN(10)/10))))))),"")</f>
        <v>13.793034509477</v>
      </c>
      <c r="I31">
        <f>IF(AND(ISNUMBER(H31),逐级计算!$X$8&gt;-1),IF(逐级计算!$X$8=0,H31+逐级计算!$C$8,H31+逐级计算!$C$8-(10/(逐级计算!$Q$8*LN(10))*(MAX((LN(10^(逐级计算!$Q$8/10)-1)+逐级计算!$Q$8*(H31-逐级计算!$P$8)*LN(10)/10),0)+LN(1+EXP(-ABS((LN(10^(逐级计算!$Q$8/10)-1)+逐级计算!$Q$8*(H31-逐级计算!$P$8)*LN(10)/10))))))),"")</f>
        <v>13.793034509477</v>
      </c>
      <c r="J31">
        <f>IF(AND(ISNUMBER(I31),逐级计算!$X$9&gt;-1),IF(逐级计算!$X$9=0,I31+逐级计算!$C$9,I31+逐级计算!$C$9-(10/(逐级计算!$Q$9*LN(10))*(MAX((LN(10^(逐级计算!$Q$9/10)-1)+逐级计算!$Q$9*(I31-逐级计算!$P$9)*LN(10)/10),0)+LN(1+EXP(-ABS((LN(10^(逐级计算!$Q$9/10)-1)+逐级计算!$Q$9*(I31-逐级计算!$P$9)*LN(10)/10))))))),"")</f>
        <v>13.793034509477</v>
      </c>
      <c r="K31">
        <f>IF(AND(ISNUMBER(J31),逐级计算!$X$10&gt;-1),IF(逐级计算!$X$10=0,J31+逐级计算!$C$10,J31+逐级计算!$C$10-(10/(逐级计算!$Q$10*LN(10))*(MAX((LN(10^(逐级计算!$Q$10/10)-1)+逐级计算!$Q$10*(J31-逐级计算!$P$10)*LN(10)/10),0)+LN(1+EXP(-ABS((LN(10^(逐级计算!$Q$10/10)-1)+逐级计算!$Q$10*(J31-逐级计算!$P$10)*LN(10)/10))))))),"")</f>
        <v>13.793034509477</v>
      </c>
      <c r="L31">
        <f>IF(AND(ISNUMBER(K31),逐级计算!$X$11&gt;-1),IF(逐级计算!$X$11=0,K31+逐级计算!$C$11,K31+逐级计算!$C$11-(10/(逐级计算!$Q$11*LN(10))*(MAX((LN(10^(逐级计算!$Q$11/10)-1)+逐级计算!$Q$11*(K31-逐级计算!$P$11)*LN(10)/10),0)+LN(1+EXP(-ABS((LN(10^(逐级计算!$Q$11/10)-1)+逐级计算!$Q$11*(K31-逐级计算!$P$11)*LN(10)/10))))))),"")</f>
        <v>13.793034509477</v>
      </c>
      <c r="M31">
        <f>IF(AND(ISNUMBER(L31),逐级计算!$X$12&gt;-1),IF(逐级计算!$X$12=0,L31+逐级计算!$C$12,L31+逐级计算!$C$12-(10/(逐级计算!$Q$12*LN(10))*(MAX((LN(10^(逐级计算!$Q$12/10)-1)+逐级计算!$Q$12*(L31-逐级计算!$P$12)*LN(10)/10),0)+LN(1+EXP(-ABS((LN(10^(逐级计算!$Q$12/10)-1)+逐级计算!$Q$12*(L31-逐级计算!$P$12)*LN(10)/10))))))),"")</f>
        <v>13.793034509477</v>
      </c>
      <c r="N31">
        <f>IF(AND(ISNUMBER(M31),逐级计算!$X$13&gt;-1),IF(逐级计算!$X$13=0,M31+逐级计算!$C$13,M31+逐级计算!$C$13-(10/(逐级计算!$Q$13*LN(10))*(MAX((LN(10^(逐级计算!$Q$13/10)-1)+逐级计算!$Q$13*(M31-逐级计算!$P$13)*LN(10)/10),0)+LN(1+EXP(-ABS((LN(10^(逐级计算!$Q$13/10)-1)+逐级计算!$Q$13*(M31-逐级计算!$P$13)*LN(10)/10))))))),"")</f>
        <v>13.793034509477</v>
      </c>
      <c r="O31">
        <f>IF(AND(ISNUMBER(N31),逐级计算!$X$14&gt;-1),IF(逐级计算!$X$14=0,N31+逐级计算!$C$14,N31+逐级计算!$C$14-(10/(逐级计算!$Q$14*LN(10))*(MAX((LN(10^(逐级计算!$Q$14/10)-1)+逐级计算!$Q$14*(N31-逐级计算!$P$14)*LN(10)/10),0)+LN(1+EXP(-ABS((LN(10^(逐级计算!$Q$14/10)-1)+逐级计算!$Q$14*(N31-逐级计算!$P$14)*LN(10)/10))))))),"")</f>
        <v>13.793034509477</v>
      </c>
      <c r="P31">
        <f>IF(AND(ISNUMBER(O31),逐级计算!$X$15&gt;-1),IF(逐级计算!$X$15=0,O31+逐级计算!$C$15,O31+逐级计算!$C$15-(10/(逐级计算!$Q$15*LN(10))*(MAX((LN(10^(逐级计算!$Q$15/10)-1)+逐级计算!$Q$15*(O31-逐级计算!$P$15)*LN(10)/10),0)+LN(1+EXP(-ABS((LN(10^(逐级计算!$Q$15/10)-1)+逐级计算!$Q$15*(O31-逐级计算!$P$15)*LN(10)/10))))))),"")</f>
        <v>13.793034509477</v>
      </c>
      <c r="Q31">
        <f>IF(AND(ISNUMBER(P31),逐级计算!$X$16&gt;-1),IF(逐级计算!$X$16=0,P31+逐级计算!$C$16,P31+逐级计算!$C$16-(10/(逐级计算!$Q$16*LN(10))*(MAX((LN(10^(逐级计算!$Q$16/10)-1)+逐级计算!$Q$16*(P31-逐级计算!$P$16)*LN(10)/10),0)+LN(1+EXP(-ABS((LN(10^(逐级计算!$Q$16/10)-1)+逐级计算!$Q$16*(P31-逐级计算!$P$16)*LN(10)/10))))))),"")</f>
        <v>13.793034509477</v>
      </c>
      <c r="R31">
        <f>IF(AND(ISNUMBER(Q31),逐级计算!$X$17&gt;-1),IF(逐级计算!$X$17=0,Q31+逐级计算!$C$17,Q31+逐级计算!$C$17-(10/(逐级计算!$Q$17*LN(10))*(MAX((LN(10^(逐级计算!$Q$17/10)-1)+逐级计算!$Q$17*(Q31-逐级计算!$P$17)*LN(10)/10),0)+LN(1+EXP(-ABS((LN(10^(逐级计算!$Q$17/10)-1)+逐级计算!$Q$17*(Q31-逐级计算!$P$17)*LN(10)/10))))))),"")</f>
        <v>13.793034509477</v>
      </c>
      <c r="S31">
        <f>IF(AND(ISNUMBER(R31),逐级计算!$X$18&gt;-1),IF(逐级计算!$X$18=0,R31+逐级计算!$C$18,R31+逐级计算!$C$18-(10/(逐级计算!$Q$18*LN(10))*(MAX((LN(10^(逐级计算!$Q$18/10)-1)+逐级计算!$Q$18*(R31-逐级计算!$P$18)*LN(10)/10),0)+LN(1+EXP(-ABS((LN(10^(逐级计算!$Q$18/10)-1)+逐级计算!$Q$18*(R31-逐级计算!$P$18)*LN(10)/10))))))),"")</f>
        <v>13.793034509477</v>
      </c>
      <c r="T31">
        <f>IF(AND(ISNUMBER(S31),逐级计算!$X$19&gt;-1),IF(逐级计算!$X$19=0,S31+逐级计算!$C$19,S31+逐级计算!$C$19-(10/(逐级计算!$Q$19*LN(10))*(MAX((LN(10^(逐级计算!$Q$19/10)-1)+逐级计算!$Q$19*(S31-逐级计算!$P$19)*LN(10)/10),0)+LN(1+EXP(-ABS((LN(10^(逐级计算!$Q$19/10)-1)+逐级计算!$Q$19*(S31-逐级计算!$P$19)*LN(10)/10))))))),"")</f>
        <v>13.793034509477</v>
      </c>
      <c r="U31">
        <f>IF(AND(ISNUMBER(T31),逐级计算!$X$20&gt;-1),IF(逐级计算!$X$20=0,T31+逐级计算!$C$20,T31+逐级计算!$C$20-(10/(逐级计算!$Q$20*LN(10))*(MAX((LN(10^(逐级计算!$Q$20/10)-1)+逐级计算!$Q$20*(T31-逐级计算!$P$20)*LN(10)/10),0)+LN(1+EXP(-ABS((LN(10^(逐级计算!$Q$20/10)-1)+逐级计算!$Q$20*(T31-逐级计算!$P$20)*LN(10)/10))))))),"")</f>
        <v>13.793034509477</v>
      </c>
      <c r="V31">
        <f>IF(AND(ISNUMBER(U31),逐级计算!$X$21&gt;-1),IF(逐级计算!$X$21=0,U31+逐级计算!$C$21,U31+逐级计算!$C$21-(10/(逐级计算!$Q$21*LN(10))*(MAX((LN(10^(逐级计算!$Q$21/10)-1)+逐级计算!$Q$21*(U31-逐级计算!$P$21)*LN(10)/10),0)+LN(1+EXP(-ABS((LN(10^(逐级计算!$Q$21/10)-1)+逐级计算!$Q$21*(U31-逐级计算!$P$21)*LN(10)/10))))))),"")</f>
        <v>13.793034509477</v>
      </c>
      <c r="W31">
        <f>IF(AND(ISNUMBER(V31),逐级计算!$X$22&gt;-1),IF(逐级计算!$X$22=0,V31+逐级计算!$C$22,V31+逐级计算!$C$22-(10/(逐级计算!$Q$22*LN(10))*(MAX((LN(10^(逐级计算!$Q$22/10)-1)+逐级计算!$Q$22*(V31-逐级计算!$P$22)*LN(10)/10),0)+LN(1+EXP(-ABS((LN(10^(逐级计算!$Q$22/10)-1)+逐级计算!$Q$22*(V31-逐级计算!$P$22)*LN(10)/10))))))),"")</f>
        <v>13.793034509477</v>
      </c>
      <c r="X31">
        <f>IF(AND(ISNUMBER(W31),逐级计算!$X$23&gt;-1),IF(逐级计算!$X$23=0,W31+逐级计算!$C$23,W31+逐级计算!$C$23-(10/(逐级计算!$Q$23*LN(10))*(MAX((LN(10^(逐级计算!$Q$23/10)-1)+逐级计算!$Q$23*(W31-逐级计算!$P$23)*LN(10)/10),0)+LN(1+EXP(-ABS((LN(10^(逐级计算!$Q$23/10)-1)+逐级计算!$Q$23*(W31-逐级计算!$P$23)*LN(10)/10))))))),"")</f>
        <v>13.793034509477</v>
      </c>
      <c r="Y31">
        <f>IF(AND(ISNUMBER(X31),逐级计算!$X$24&gt;-1),IF(逐级计算!$X$24=0,X31+逐级计算!$C$24,X31+逐级计算!$C$24-(10/(逐级计算!$Q$24*LN(10))*(MAX((LN(10^(逐级计算!$Q$24/10)-1)+逐级计算!$Q$24*(X31-逐级计算!$P$24)*LN(10)/10),0)+LN(1+EXP(-ABS((LN(10^(逐级计算!$Q$24/10)-1)+逐级计算!$Q$24*(X31-逐级计算!$P$24)*LN(10)/10))))))),"")</f>
        <v>13.793034509477</v>
      </c>
      <c r="Z31">
        <f>IF(AND(ISNUMBER(Y31),逐级计算!$X$25&gt;-1),IF(逐级计算!$X$25=0,Y31+逐级计算!$C$25,Y31+逐级计算!$C$25-(10/(逐级计算!$Q$25*LN(10))*(MAX((LN(10^(逐级计算!$Q$25/10)-1)+逐级计算!$Q$25*(Y31-逐级计算!$P$25)*LN(10)/10),0)+LN(1+EXP(-ABS((LN(10^(逐级计算!$Q$25/10)-1)+逐级计算!$Q$25*(Y31-逐级计算!$P$25)*LN(10)/10))))))),"")</f>
        <v>13.793034509477</v>
      </c>
      <c r="AA31">
        <f>IF(AND(ISNUMBER(Z31),逐级计算!$X$26&gt;-1),IF(逐级计算!$X$26=0,Z31+逐级计算!$C$26,Z31+逐级计算!$C$26-(10/(逐级计算!$Q$26*LN(10))*(MAX((LN(10^(逐级计算!$Q$26/10)-1)+逐级计算!$Q$26*(Z31-逐级计算!$P$26)*LN(10)/10),0)+LN(1+EXP(-ABS((LN(10^(逐级计算!$Q$26/10)-1)+逐级计算!$Q$26*(Z31-逐级计算!$P$26)*LN(10)/10))))))),"")</f>
        <v>13.793034509477</v>
      </c>
      <c r="AB31">
        <f>IF(AND(ISNUMBER(AA31),逐级计算!$X$27&gt;-1),IF(逐级计算!$X$27=0,AA31+逐级计算!$C$27,AA31+逐级计算!$C$27-(10/(逐级计算!$Q$27*LN(10))*(MAX((LN(10^(逐级计算!$Q$27/10)-1)+逐级计算!$Q$27*(AA31-逐级计算!$P$27)*LN(10)/10),0)+LN(1+EXP(-ABS((LN(10^(逐级计算!$Q$27/10)-1)+逐级计算!$Q$27*(AA31-逐级计算!$P$27)*LN(10)/10))))))),"")</f>
        <v>13.793034509477</v>
      </c>
      <c r="AC31">
        <f>IF(AND(ISNUMBER(AB31),逐级计算!$X$28&gt;-1),IF(逐级计算!$X$28=0,AB31+逐级计算!$C$28,AB31+逐级计算!$C$28-(10/(逐级计算!$Q$28*LN(10))*(MAX((LN(10^(逐级计算!$Q$28/10)-1)+逐级计算!$Q$28*(AB31-逐级计算!$P$28)*LN(10)/10),0)+LN(1+EXP(-ABS((LN(10^(逐级计算!$Q$28/10)-1)+逐级计算!$Q$28*(AB31-逐级计算!$P$28)*LN(10)/10))))))),"")</f>
        <v>13.793034509477</v>
      </c>
      <c r="AD31">
        <f>IF(AND(ISNUMBER(AC31),逐级计算!$X$29&gt;-1),IF(逐级计算!$X$29=0,AC31+逐级计算!$C$29,AC31+逐级计算!$C$29-(10/(逐级计算!$Q$29*LN(10))*(MAX((LN(10^(逐级计算!$Q$29/10)-1)+逐级计算!$Q$29*(AC31-逐级计算!$P$29)*LN(10)/10),0)+LN(1+EXP(-ABS((LN(10^(逐级计算!$Q$29/10)-1)+逐级计算!$Q$29*(AC31-逐级计算!$P$29)*LN(10)/10))))))),"")</f>
        <v>13.793034509477</v>
      </c>
      <c r="AE31">
        <f>IF(AND(ISNUMBER(AD31),逐级计算!$X$30&gt;-1),IF(逐级计算!$X$30=0,AD31+逐级计算!$C$30,AD31+逐级计算!$C$30-(10/(逐级计算!$Q$30*LN(10))*(MAX((LN(10^(逐级计算!$Q$30/10)-1)+逐级计算!$Q$30*(AD31-逐级计算!$P$30)*LN(10)/10),0)+LN(1+EXP(-ABS((LN(10^(逐级计算!$Q$30/10)-1)+逐级计算!$Q$30*(AD31-逐级计算!$P$30)*LN(10)/10))))))),"")</f>
        <v>13.793034509477</v>
      </c>
      <c r="AF31">
        <f>IF(AND(ISNUMBER(AE31),逐级计算!$X$31&gt;-1),IF(逐级计算!$X$31=0,AE31+逐级计算!$C$31,AE31+逐级计算!$C$31-(10/(逐级计算!$Q$31*LN(10))*(MAX((LN(10^(逐级计算!$Q$31/10)-1)+逐级计算!$Q$31*(AE31-逐级计算!$P$31)*LN(10)/10),0)+LN(1+EXP(-ABS((LN(10^(逐级计算!$Q$31/10)-1)+逐级计算!$Q$31*(AE31-逐级计算!$P$31)*LN(10)/10))))))),"")</f>
        <v>13.793034509477</v>
      </c>
      <c r="AG31">
        <f>IF(AND(ISNUMBER(AF31),逐级计算!$X$32&gt;-1),IF(逐级计算!$X$32=0,AF31+逐级计算!$C$32,AF31+逐级计算!$C$32-(10/(逐级计算!$Q$32*LN(10))*(MAX((LN(10^(逐级计算!$Q$32/10)-1)+逐级计算!$Q$32*(AF31-逐级计算!$P$32)*LN(10)/10),0)+LN(1+EXP(-ABS((LN(10^(逐级计算!$Q$32/10)-1)+逐级计算!$Q$32*(AF31-逐级计算!$P$32)*LN(10)/10))))))),"")</f>
        <v>13.793034509477</v>
      </c>
      <c r="AH31">
        <f>IF(AND(ISNUMBER(AG31),逐级计算!$X$33&gt;-1),IF(逐级计算!$X$33=0,AG31+逐级计算!$C$33,AG31+逐级计算!$C$33-(10/(逐级计算!$Q$33*LN(10))*(MAX((LN(10^(逐级计算!$Q$33/10)-1)+逐级计算!$Q$33*(AG31-逐级计算!$P$33)*LN(10)/10),0)+LN(1+EXP(-ABS((LN(10^(逐级计算!$Q$33/10)-1)+逐级计算!$Q$33*(AG31-逐级计算!$P$33)*LN(10)/10))))))),"")</f>
        <v>13.793034509477</v>
      </c>
      <c r="AI31">
        <f>IF(AND(ISNUMBER(AH31),逐级计算!$X$34&gt;-1),IF(逐级计算!$X$34=0,AH31+逐级计算!$C$34,AH31+逐级计算!$C$34-(10/(逐级计算!$Q$34*LN(10))*(MAX((LN(10^(逐级计算!$Q$34/10)-1)+逐级计算!$Q$34*(AH31-逐级计算!$P$34)*LN(10)/10),0)+LN(1+EXP(-ABS((LN(10^(逐级计算!$Q$34/10)-1)+逐级计算!$Q$34*(AH31-逐级计算!$P$34)*LN(10)/10))))))),"")</f>
        <v>13.793034509477</v>
      </c>
      <c r="AJ31">
        <f>IF(AND(ISNUMBER(AI31),逐级计算!$X$35&gt;-1),IF(逐级计算!$X$35=0,AI31+逐级计算!$C$35,AI31+逐级计算!$C$35-(10/(逐级计算!$Q$35*LN(10))*(MAX((LN(10^(逐级计算!$Q$35/10)-1)+逐级计算!$Q$35*(AI31-逐级计算!$P$35)*LN(10)/10),0)+LN(1+EXP(-ABS((LN(10^(逐级计算!$Q$35/10)-1)+逐级计算!$Q$35*(AI31-逐级计算!$P$35)*LN(10)/10))))))),"")</f>
        <v>13.793034509477</v>
      </c>
      <c r="AK31">
        <f>IF(AND(ISNUMBER(AJ31),逐级计算!$X$36&gt;-1),IF(逐级计算!$X$36=0,AJ31+逐级计算!$C$36,AJ31+逐级计算!$C$36-(10/(逐级计算!$Q$36*LN(10))*(MAX((LN(10^(逐级计算!$Q$36/10)-1)+逐级计算!$Q$36*(AJ31-逐级计算!$P$36)*LN(10)/10),0)+LN(1+EXP(-ABS((LN(10^(逐级计算!$Q$36/10)-1)+逐级计算!$Q$36*(AJ31-逐级计算!$P$36)*LN(10)/10))))))),"")</f>
        <v>13.793034509477</v>
      </c>
      <c r="AL31">
        <f>IF(AND(ISNUMBER(AK31),逐级计算!$X$37&gt;-1),IF(逐级计算!$X$37=0,AK31+逐级计算!$C$37,AK31+逐级计算!$C$37-(10/(逐级计算!$Q$37*LN(10))*(MAX((LN(10^(逐级计算!$Q$37/10)-1)+逐级计算!$Q$37*(AK31-逐级计算!$P$37)*LN(10)/10),0)+LN(1+EXP(-ABS((LN(10^(逐级计算!$Q$37/10)-1)+逐级计算!$Q$37*(AK31-逐级计算!$P$37)*LN(10)/10))))))),"")</f>
        <v>13.793034509477</v>
      </c>
      <c r="AM31">
        <f>IF(AND(ISNUMBER(AL31),逐级计算!$X$38&gt;-1),IF(逐级计算!$X$38=0,AL31+逐级计算!$C$38,AL31+逐级计算!$C$38-(10/(逐级计算!$Q$38*LN(10))*(MAX((LN(10^(逐级计算!$Q$38/10)-1)+逐级计算!$Q$38*(AL31-逐级计算!$P$38)*LN(10)/10),0)+LN(1+EXP(-ABS((LN(10^(逐级计算!$Q$38/10)-1)+逐级计算!$Q$38*(AL31-逐级计算!$P$38)*LN(10)/10))))))),"")</f>
        <v>13.793034509477</v>
      </c>
      <c r="AN31">
        <f>IF(AND(ISNUMBER(AM31),逐级计算!$X$39&gt;-1),IF(逐级计算!$X$39=0,AM31+逐级计算!$C$39,AM31+逐级计算!$C$39-(10/(逐级计算!$Q$39*LN(10))*(MAX((LN(10^(逐级计算!$Q$39/10)-1)+逐级计算!$Q$39*(AM31-逐级计算!$P$39)*LN(10)/10),0)+LN(1+EXP(-ABS((LN(10^(逐级计算!$Q$39/10)-1)+逐级计算!$Q$39*(AM31-逐级计算!$P$39)*LN(10)/10))))))),"")</f>
        <v>13.793034509477</v>
      </c>
      <c r="AO31">
        <f>IF(AND(ISNUMBER(AN31),逐级计算!$X$40&gt;-1),IF(逐级计算!$X$40=0,AN31+逐级计算!$C$40,AN31+逐级计算!$C$40-(10/(逐级计算!$Q$40*LN(10))*(MAX((LN(10^(逐级计算!$Q$40/10)-1)+逐级计算!$Q$40*(AN31-逐级计算!$P$40)*LN(10)/10),0)+LN(1+EXP(-ABS((LN(10^(逐级计算!$Q$40/10)-1)+逐级计算!$Q$40*(AN31-逐级计算!$P$40)*LN(10)/10))))))),"")</f>
        <v>13.793034509477</v>
      </c>
      <c r="AP31">
        <f>IF(AND(ISNUMBER(AO31),逐级计算!$X$41&gt;-1),IF(逐级计算!$X$41=0,AO31+逐级计算!$C$41,AO31+逐级计算!$C$41-(10/(逐级计算!$Q$41*LN(10))*(MAX((LN(10^(逐级计算!$Q$41/10)-1)+逐级计算!$Q$41*(AO31-逐级计算!$P$41)*LN(10)/10),0)+LN(1+EXP(-ABS((LN(10^(逐级计算!$Q$41/10)-1)+逐级计算!$Q$41*(AO31-逐级计算!$P$41)*LN(10)/10))))))),"")</f>
        <v>13.793034509477</v>
      </c>
      <c r="AQ31">
        <f>IF(AND(ISNUMBER(AP31),逐级计算!$X$42&gt;-1),IF(逐级计算!$X$42=0,AP31+逐级计算!$C$42,AP31+逐级计算!$C$42-(10/(逐级计算!$Q$42*LN(10))*(MAX((LN(10^(逐级计算!$Q$42/10)-1)+逐级计算!$Q$42*(AP31-逐级计算!$P$42)*LN(10)/10),0)+LN(1+EXP(-ABS((LN(10^(逐级计算!$Q$42/10)-1)+逐级计算!$Q$42*(AP31-逐级计算!$P$42)*LN(10)/10))))))),"")</f>
        <v>13.793034509477</v>
      </c>
      <c r="AR31">
        <f>IF(AND(ISNUMBER(AQ31),逐级计算!$X$43&gt;-1),IF(逐级计算!$X$43=0,AQ31+逐级计算!$C$43,AQ31+逐级计算!$C$43-(10/(逐级计算!$Q$43*LN(10))*(MAX((LN(10^(逐级计算!$Q$43/10)-1)+逐级计算!$Q$43*(AQ31-逐级计算!$P$43)*LN(10)/10),0)+LN(1+EXP(-ABS((LN(10^(逐级计算!$Q$43/10)-1)+逐级计算!$Q$43*(AQ31-逐级计算!$P$43)*LN(10)/10))))))),"")</f>
        <v>13.793034509477</v>
      </c>
      <c r="AS31">
        <f>IF(AND(ISNUMBER(AR31),逐级计算!$X$44&gt;-1),IF(逐级计算!$X$44=0,AR31+逐级计算!$C$44,AR31+逐级计算!$C$44-(10/(逐级计算!$Q$44*LN(10))*(MAX((LN(10^(逐级计算!$Q$44/10)-1)+逐级计算!$Q$44*(AR31-逐级计算!$P$44)*LN(10)/10),0)+LN(1+EXP(-ABS((LN(10^(逐级计算!$Q$44/10)-1)+逐级计算!$Q$44*(AR31-逐级计算!$P$44)*LN(10)/10))))))),"")</f>
        <v>13.793034509477</v>
      </c>
      <c r="AT31">
        <f>IF(AND(ISNUMBER(AS31),逐级计算!$X$45&gt;-1),IF(逐级计算!$X$45=0,AS31+逐级计算!$C$45,AS31+逐级计算!$C$45-(10/(逐级计算!$Q$45*LN(10))*(MAX((LN(10^(逐级计算!$Q$45/10)-1)+逐级计算!$Q$45*(AS31-逐级计算!$P$45)*LN(10)/10),0)+LN(1+EXP(-ABS((LN(10^(逐级计算!$Q$45/10)-1)+逐级计算!$Q$45*(AS31-逐级计算!$P$45)*LN(10)/10))))))),"")</f>
        <v>13.793034509477</v>
      </c>
      <c r="AU31">
        <f>IF(AND(ISNUMBER(AT31),逐级计算!$X$46&gt;-1),IF(逐级计算!$X$46=0,AT31+逐级计算!$C$46,AT31+逐级计算!$C$46-(10/(逐级计算!$Q$46*LN(10))*(MAX((LN(10^(逐级计算!$Q$46/10)-1)+逐级计算!$Q$46*(AT31-逐级计算!$P$46)*LN(10)/10),0)+LN(1+EXP(-ABS((LN(10^(逐级计算!$Q$46/10)-1)+逐级计算!$Q$46*(AT31-逐级计算!$P$46)*LN(10)/10))))))),"")</f>
        <v>13.793034509477</v>
      </c>
      <c r="AV31">
        <f>IF(AND(ISNUMBER(AU31),逐级计算!$X$47&gt;-1),IF(逐级计算!$X$47=0,AU31+逐级计算!$C$47,AU31+逐级计算!$C$47-(10/(逐级计算!$Q$47*LN(10))*(MAX((LN(10^(逐级计算!$Q$47/10)-1)+逐级计算!$Q$47*(AU31-逐级计算!$P$47)*LN(10)/10),0)+LN(1+EXP(-ABS((LN(10^(逐级计算!$Q$47/10)-1)+逐级计算!$Q$47*(AU31-逐级计算!$P$47)*LN(10)/10))))))),"")</f>
        <v>13.793034509477</v>
      </c>
      <c r="AW31">
        <f>IF(AND(ISNUMBER(AV31),逐级计算!$X$48&gt;-1),IF(逐级计算!$X$48=0,AV31+逐级计算!$C$48,AV31+逐级计算!$C$48-(10/(逐级计算!$Q$48*LN(10))*(MAX((LN(10^(逐级计算!$Q$48/10)-1)+逐级计算!$Q$48*(AV31-逐级计算!$P$48)*LN(10)/10),0)+LN(1+EXP(-ABS((LN(10^(逐级计算!$Q$48/10)-1)+逐级计算!$Q$48*(AV31-逐级计算!$P$48)*LN(10)/10))))))),"")</f>
        <v>13.793034509477</v>
      </c>
      <c r="AX31">
        <f>IF(AND(ISNUMBER(AW31),逐级计算!$X$49&gt;-1),IF(逐级计算!$X$49=0,AW31+逐级计算!$C$49,AW31+逐级计算!$C$49-(10/(逐级计算!$Q$49*LN(10))*(MAX((LN(10^(逐级计算!$Q$49/10)-1)+逐级计算!$Q$49*(AW31-逐级计算!$P$49)*LN(10)/10),0)+LN(1+EXP(-ABS((LN(10^(逐级计算!$Q$49/10)-1)+逐级计算!$Q$49*(AW31-逐级计算!$P$49)*LN(10)/10))))))),"")</f>
        <v>13.793034509477</v>
      </c>
      <c r="AY31">
        <f>IF(AND(ISNUMBER(AX31),逐级计算!$X$50&gt;-1),IF(逐级计算!$X$50=0,AX31+逐级计算!$C$50,AX31+逐级计算!$C$50-(10/(逐级计算!$Q$50*LN(10))*(MAX((LN(10^(逐级计算!$Q$50/10)-1)+逐级计算!$Q$50*(AX31-逐级计算!$P$50)*LN(10)/10),0)+LN(1+EXP(-ABS((LN(10^(逐级计算!$Q$50/10)-1)+逐级计算!$Q$50*(AX31-逐级计算!$P$50)*LN(10)/10))))))),"")</f>
        <v>13.793034509477</v>
      </c>
      <c r="AZ31">
        <f>IF(AND(ISNUMBER(AY31),逐级计算!$X$51&gt;-1),IF(逐级计算!$X$51=0,AY31+逐级计算!$C$51,AY31+逐级计算!$C$51-(10/(逐级计算!$Q$51*LN(10))*(MAX((LN(10^(逐级计算!$Q$51/10)-1)+逐级计算!$Q$51*(AY31-逐级计算!$P$51)*LN(10)/10),0)+LN(1+EXP(-ABS((LN(10^(逐级计算!$Q$51/10)-1)+逐级计算!$Q$51*(AY31-逐级计算!$P$51)*LN(10)/10))))))),"")</f>
        <v>13.793034509477</v>
      </c>
      <c r="BA31">
        <f>IF(AND(ISNUMBER(AZ31),逐级计算!$X$52&gt;-1),IF(逐级计算!$X$52=0,AZ31+逐级计算!$C$52,AZ31+逐级计算!$C$52-(10/(逐级计算!$Q$52*LN(10))*(MAX((LN(10^(逐级计算!$Q$52/10)-1)+逐级计算!$Q$52*(AZ31-逐级计算!$P$52)*LN(10)/10),0)+LN(1+EXP(-ABS((LN(10^(逐级计算!$Q$52/10)-1)+逐级计算!$Q$52*(AZ31-逐级计算!$P$52)*LN(10)/10))))))),"")</f>
        <v>13.793034509477</v>
      </c>
      <c r="BB31">
        <f>IF(AND(ISNUMBER(BA31),逐级计算!$X$53&gt;-1),IF(逐级计算!$X$53=0,BA31+逐级计算!$C$53,BA31+逐级计算!$C$53-(10/(逐级计算!$Q$53*LN(10))*(MAX((LN(10^(逐级计算!$Q$53/10)-1)+逐级计算!$Q$53*(BA31-逐级计算!$P$53)*LN(10)/10),0)+LN(1+EXP(-ABS((LN(10^(逐级计算!$Q$53/10)-1)+逐级计算!$Q$53*(BA31-逐级计算!$P$53)*LN(10)/10))))))),"")</f>
        <v>13.793034509477</v>
      </c>
      <c r="BC31">
        <f>IF(AND(ISNUMBER(BB31),逐级计算!$X$54&gt;-1),IF(逐级计算!$X$54=0,BB31+逐级计算!$C$54,BB31+逐级计算!$C$54-(10/(逐级计算!$Q$54*LN(10))*(MAX((LN(10^(逐级计算!$Q$54/10)-1)+逐级计算!$Q$54*(BB31-逐级计算!$P$54)*LN(10)/10),0)+LN(1+EXP(-ABS((LN(10^(逐级计算!$Q$54/10)-1)+逐级计算!$Q$54*(BB31-逐级计算!$P$54)*LN(10)/10))))))),"")</f>
        <v>13.793034509477</v>
      </c>
      <c r="BD31">
        <f>IF(AND(ISNUMBER(BC31),逐级计算!$X$55&gt;-1),IF(逐级计算!$X$55=0,BC31+逐级计算!$C$55,BC31+逐级计算!$C$55-(10/(逐级计算!$Q$55*LN(10))*(MAX((LN(10^(逐级计算!$Q$55/10)-1)+逐级计算!$Q$55*(BC31-逐级计算!$P$55)*LN(10)/10),0)+LN(1+EXP(-ABS((LN(10^(逐级计算!$Q$55/10)-1)+逐级计算!$Q$55*(BC31-逐级计算!$P$55)*LN(10)/10))))))),"")</f>
        <v>13.793034509477</v>
      </c>
      <c r="BE31">
        <f>IF(AND(ISNUMBER(BD31),逐级计算!$X$56&gt;-1),IF(逐级计算!$X$56=0,BD31+逐级计算!$C$56,BD31+逐级计算!$C$56-(10/(逐级计算!$Q$56*LN(10))*(MAX((LN(10^(逐级计算!$Q$56/10)-1)+逐级计算!$Q$56*(BD31-逐级计算!$P$56)*LN(10)/10),0)+LN(1+EXP(-ABS((LN(10^(逐级计算!$Q$56/10)-1)+逐级计算!$Q$56*(BD31-逐级计算!$P$56)*LN(10)/10))))))),"")</f>
        <v>13.793034509477</v>
      </c>
      <c r="BF31">
        <f>IF(AND(ISNUMBER(BE31),逐级计算!$X$57&gt;-1),IF(逐级计算!$X$57=0,BE31+逐级计算!$C$57,BE31+逐级计算!$C$57-(10/(逐级计算!$Q$57*LN(10))*(MAX((LN(10^(逐级计算!$Q$57/10)-1)+逐级计算!$Q$57*(BE31-逐级计算!$P$57)*LN(10)/10),0)+LN(1+EXP(-ABS((LN(10^(逐级计算!$Q$57/10)-1)+逐级计算!$Q$57*(BE31-逐级计算!$P$57)*LN(10)/10))))))),"")</f>
        <v>13.793034509477</v>
      </c>
      <c r="BG31">
        <f>IF(AND(ISNUMBER(BF31),逐级计算!$X$58&gt;-1),IF(逐级计算!$X$58=0,BF31+逐级计算!$C$58,BF31+逐级计算!$C$58-(10/(逐级计算!$Q$58*LN(10))*(MAX((LN(10^(逐级计算!$Q$58/10)-1)+逐级计算!$Q$58*(BF31-逐级计算!$P$58)*LN(10)/10),0)+LN(1+EXP(-ABS((LN(10^(逐级计算!$Q$58/10)-1)+逐级计算!$Q$58*(BF31-逐级计算!$P$58)*LN(10)/10))))))),"")</f>
        <v>13.793034509477</v>
      </c>
      <c r="BH31">
        <f>IF(AND(ISNUMBER(BG31),逐级计算!$X$59&gt;-1),IF(逐级计算!$X$59=0,BG31+逐级计算!$C$59,BG31+逐级计算!$C$59-(10/(逐级计算!$Q$59*LN(10))*(MAX((LN(10^(逐级计算!$Q$59/10)-1)+逐级计算!$Q$59*(BG31-逐级计算!$P$59)*LN(10)/10),0)+LN(1+EXP(-ABS((LN(10^(逐级计算!$Q$59/10)-1)+逐级计算!$Q$59*(BG31-逐级计算!$P$59)*LN(10)/10))))))),"")</f>
        <v>13.793034509477</v>
      </c>
      <c r="BI31">
        <f>IF(AND(ISNUMBER(BH31),逐级计算!$X$60&gt;-1),IF(逐级计算!$X$60=0,BH31+逐级计算!$C$60,BH31+逐级计算!$C$60-(10/(逐级计算!$Q$60*LN(10))*(MAX((LN(10^(逐级计算!$Q$60/10)-1)+逐级计算!$Q$60*(BH31-逐级计算!$P$60)*LN(10)/10),0)+LN(1+EXP(-ABS((LN(10^(逐级计算!$Q$60/10)-1)+逐级计算!$Q$60*(BH31-逐级计算!$P$60)*LN(10)/10))))))),"")</f>
        <v>13.793034509477</v>
      </c>
      <c r="BJ31">
        <f>IF(AND(ISNUMBER(BI31),逐级计算!$X$61&gt;-1),IF(逐级计算!$X$61=0,BI31+逐级计算!$C$61,BI31+逐级计算!$C$61-(10/(逐级计算!$Q$61*LN(10))*(MAX((LN(10^(逐级计算!$Q$61/10)-1)+逐级计算!$Q$61*(BI31-逐级计算!$P$61)*LN(10)/10),0)+LN(1+EXP(-ABS((LN(10^(逐级计算!$Q$61/10)-1)+逐级计算!$Q$61*(BI31-逐级计算!$P$61)*LN(10)/10))))))),"")</f>
        <v>13.793034509477</v>
      </c>
      <c r="BK31">
        <f>IF(AND(ISNUMBER(BJ31),逐级计算!$X$62&gt;-1),IF(逐级计算!$X$62=0,BJ31+逐级计算!$C$62,BJ31+逐级计算!$C$62-(10/(逐级计算!$Q$62*LN(10))*(MAX((LN(10^(逐级计算!$Q$62/10)-1)+逐级计算!$Q$62*(BJ31-逐级计算!$P$62)*LN(10)/10),0)+LN(1+EXP(-ABS((LN(10^(逐级计算!$Q$62/10)-1)+逐级计算!$Q$62*(BJ31-逐级计算!$P$62)*LN(10)/10))))))),"")</f>
        <v>13.793034509477</v>
      </c>
      <c r="BL31">
        <f>IF(AND(ISNUMBER(BK31),逐级计算!$X$63&gt;-1),IF(逐级计算!$X$63=0,BK31+逐级计算!$C$63,BK31+逐级计算!$C$63-(10/(逐级计算!$Q$63*LN(10))*(MAX((LN(10^(逐级计算!$Q$63/10)-1)+逐级计算!$Q$63*(BK31-逐级计算!$P$63)*LN(10)/10),0)+LN(1+EXP(-ABS((LN(10^(逐级计算!$Q$63/10)-1)+逐级计算!$Q$63*(BK31-逐级计算!$P$63)*LN(10)/10))))))),"")</f>
        <v>13.793034509477</v>
      </c>
      <c r="BM31">
        <f>IF(AND(ISNUMBER(BL31),逐级计算!$X$64&gt;-1),IF(逐级计算!$X$64=0,BL31+逐级计算!$C$64,BL31+逐级计算!$C$64-(10/(逐级计算!$Q$64*LN(10))*(MAX((LN(10^(逐级计算!$Q$64/10)-1)+逐级计算!$Q$64*(BL31-逐级计算!$P$64)*LN(10)/10),0)+LN(1+EXP(-ABS((LN(10^(逐级计算!$Q$64/10)-1)+逐级计算!$Q$64*(BL31-逐级计算!$P$64)*LN(10)/10))))))),"")</f>
        <v>13.793034509477</v>
      </c>
      <c r="BN31">
        <f>IF(AND(ISNUMBER(BM31),逐级计算!$X$65&gt;-1),IF(逐级计算!$X$65=0,BM31+逐级计算!$C$65,BM31+逐级计算!$C$65-(10/(逐级计算!$Q$65*LN(10))*(MAX((LN(10^(逐级计算!$Q$65/10)-1)+逐级计算!$Q$65*(BM31-逐级计算!$P$65)*LN(10)/10),0)+LN(1+EXP(-ABS((LN(10^(逐级计算!$Q$65/10)-1)+逐级计算!$Q$65*(BM31-逐级计算!$P$65)*LN(10)/10))))))),"")</f>
        <v>13.793034509477</v>
      </c>
      <c r="BO31">
        <f>IF(AND(ISNUMBER(BN31),逐级计算!$X$66&gt;-1),IF(逐级计算!$X$66=0,BN31+逐级计算!$C$66,BN31+逐级计算!$C$66-(10/(逐级计算!$Q$66*LN(10))*(MAX((LN(10^(逐级计算!$Q$66/10)-1)+逐级计算!$Q$66*(BN31-逐级计算!$P$66)*LN(10)/10),0)+LN(1+EXP(-ABS((LN(10^(逐级计算!$Q$66/10)-1)+逐级计算!$Q$66*(BN31-逐级计算!$P$66)*LN(10)/10))))))),"")</f>
        <v>13.793034509477</v>
      </c>
      <c r="BP31">
        <f>IF(AND(ISNUMBER(BO31),逐级计算!$X$67&gt;-1),IF(逐级计算!$X$67=0,BO31+逐级计算!$C$67,BO31+逐级计算!$C$67-(10/(逐级计算!$Q$67*LN(10))*(MAX((LN(10^(逐级计算!$Q$67/10)-1)+逐级计算!$Q$67*(BO31-逐级计算!$P$67)*LN(10)/10),0)+LN(1+EXP(-ABS((LN(10^(逐级计算!$Q$67/10)-1)+逐级计算!$Q$67*(BO31-逐级计算!$P$67)*LN(10)/10))))))),"")</f>
        <v>13.793034509477</v>
      </c>
      <c r="BQ31">
        <f>IF(AND(ISNUMBER(BP31),逐级计算!$X$68&gt;-1),IF(逐级计算!$X$68=0,BP31+逐级计算!$C$68,BP31+逐级计算!$C$68-(10/(逐级计算!$Q$68*LN(10))*(MAX((LN(10^(逐级计算!$Q$68/10)-1)+逐级计算!$Q$68*(BP31-逐级计算!$P$68)*LN(10)/10),0)+LN(1+EXP(-ABS((LN(10^(逐级计算!$Q$68/10)-1)+逐级计算!$Q$68*(BP31-逐级计算!$P$68)*LN(10)/10))))))),"")</f>
        <v>13.793034509477</v>
      </c>
      <c r="BR31">
        <f>IF(AND(ISNUMBER(BQ31),逐级计算!$X$69&gt;-1),IF(逐级计算!$X$69=0,BQ31+逐级计算!$C$69,BQ31+逐级计算!$C$69-(10/(逐级计算!$Q$69*LN(10))*(MAX((LN(10^(逐级计算!$Q$69/10)-1)+逐级计算!$Q$69*(BQ31-逐级计算!$P$69)*LN(10)/10),0)+LN(1+EXP(-ABS((LN(10^(逐级计算!$Q$69/10)-1)+逐级计算!$Q$69*(BQ31-逐级计算!$P$69)*LN(10)/10))))))),"")</f>
        <v>13.793034509477</v>
      </c>
      <c r="BS31">
        <f>IF(AND(ISNUMBER(BR31),逐级计算!$X$70&gt;-1),IF(逐级计算!$X$70=0,BR31+逐级计算!$C$70,BR31+逐级计算!$C$70-(10/(逐级计算!$Q$70*LN(10))*(MAX((LN(10^(逐级计算!$Q$70/10)-1)+逐级计算!$Q$70*(BR31-逐级计算!$P$70)*LN(10)/10),0)+LN(1+EXP(-ABS((LN(10^(逐级计算!$Q$70/10)-1)+逐级计算!$Q$70*(BR31-逐级计算!$P$70)*LN(10)/10))))))),"")</f>
        <v>13.793034509477</v>
      </c>
      <c r="BT31">
        <f>IF(AND(ISNUMBER(BS31),逐级计算!$X$71&gt;-1),IF(逐级计算!$X$71=0,BS31+逐级计算!$C$71,BS31+逐级计算!$C$71-(10/(逐级计算!$Q$71*LN(10))*(MAX((LN(10^(逐级计算!$Q$71/10)-1)+逐级计算!$Q$71*(BS31-逐级计算!$P$71)*LN(10)/10),0)+LN(1+EXP(-ABS((LN(10^(逐级计算!$Q$71/10)-1)+逐级计算!$Q$71*(BS31-逐级计算!$P$71)*LN(10)/10))))))),"")</f>
        <v>13.793034509477</v>
      </c>
      <c r="BU31">
        <f>IF(AND(ISNUMBER(BT31),逐级计算!$X$72&gt;-1),IF(逐级计算!$X$72=0,BT31+逐级计算!$C$72,BT31+逐级计算!$C$72-(10/(逐级计算!$Q$72*LN(10))*(MAX((LN(10^(逐级计算!$Q$72/10)-1)+逐级计算!$Q$72*(BT31-逐级计算!$P$72)*LN(10)/10),0)+LN(1+EXP(-ABS((LN(10^(逐级计算!$Q$72/10)-1)+逐级计算!$Q$72*(BT31-逐级计算!$P$72)*LN(10)/10))))))),"")</f>
        <v>13.793034509477</v>
      </c>
      <c r="BV31">
        <f>IF(AND(ISNUMBER(BU31),逐级计算!$X$73&gt;-1),IF(逐级计算!$X$73=0,BU31+逐级计算!$C$73,BU31+逐级计算!$C$73-(10/(逐级计算!$Q$73*LN(10))*(MAX((LN(10^(逐级计算!$Q$73/10)-1)+逐级计算!$Q$73*(BU31-逐级计算!$P$73)*LN(10)/10),0)+LN(1+EXP(-ABS((LN(10^(逐级计算!$Q$73/10)-1)+逐级计算!$Q$73*(BU31-逐级计算!$P$73)*LN(10)/10))))))),"")</f>
        <v>13.793034509477</v>
      </c>
      <c r="BW31">
        <f>IF(AND(ISNUMBER(BV31),逐级计算!$X$74&gt;-1),IF(逐级计算!$X$74=0,BV31+逐级计算!$C$74,BV31+逐级计算!$C$74-(10/(逐级计算!$Q$74*LN(10))*(MAX((LN(10^(逐级计算!$Q$74/10)-1)+逐级计算!$Q$74*(BV31-逐级计算!$P$74)*LN(10)/10),0)+LN(1+EXP(-ABS((LN(10^(逐级计算!$Q$74/10)-1)+逐级计算!$Q$74*(BV31-逐级计算!$P$74)*LN(10)/10))))))),"")</f>
        <v>13.793034509477</v>
      </c>
      <c r="BX31">
        <f>IF(AND(ISNUMBER(BW31),逐级计算!$X$75&gt;-1),IF(逐级计算!$X$75=0,BW31+逐级计算!$C$75,BW31+逐级计算!$C$75-(10/(逐级计算!$Q$75*LN(10))*(MAX((LN(10^(逐级计算!$Q$75/10)-1)+逐级计算!$Q$75*(BW31-逐级计算!$P$75)*LN(10)/10),0)+LN(1+EXP(-ABS((LN(10^(逐级计算!$Q$75/10)-1)+逐级计算!$Q$75*(BW31-逐级计算!$P$75)*LN(10)/10))))))),"")</f>
        <v>13.793034509477</v>
      </c>
      <c r="BY31">
        <f>IF(AND(ISNUMBER(BX31),逐级计算!$X$76&gt;-1),IF(逐级计算!$X$76=0,BX31+逐级计算!$C$76,BX31+逐级计算!$C$76-(10/(逐级计算!$Q$76*LN(10))*(MAX((LN(10^(逐级计算!$Q$76/10)-1)+逐级计算!$Q$76*(BX31-逐级计算!$P$76)*LN(10)/10),0)+LN(1+EXP(-ABS((LN(10^(逐级计算!$Q$76/10)-1)+逐级计算!$Q$76*(BX31-逐级计算!$P$76)*LN(10)/10))))))),"")</f>
        <v>13.793034509477</v>
      </c>
      <c r="BZ31">
        <f>IF(AND(ISNUMBER(BY31),逐级计算!$X$77&gt;-1),IF(逐级计算!$X$77=0,BY31+逐级计算!$C$77,BY31+逐级计算!$C$77-(10/(逐级计算!$Q$77*LN(10))*(MAX((LN(10^(逐级计算!$Q$77/10)-1)+逐级计算!$Q$77*(BY31-逐级计算!$P$77)*LN(10)/10),0)+LN(1+EXP(-ABS((LN(10^(逐级计算!$Q$77/10)-1)+逐级计算!$Q$77*(BY31-逐级计算!$P$77)*LN(10)/10))))))),"")</f>
        <v>13.793034509477</v>
      </c>
      <c r="CA31">
        <f>IF(AND(ISNUMBER(BZ31),逐级计算!$X$78&gt;-1),IF(逐级计算!$X$78=0,BZ31+逐级计算!$C$78,BZ31+逐级计算!$C$78-(10/(逐级计算!$Q$78*LN(10))*(MAX((LN(10^(逐级计算!$Q$78/10)-1)+逐级计算!$Q$78*(BZ31-逐级计算!$P$78)*LN(10)/10),0)+LN(1+EXP(-ABS((LN(10^(逐级计算!$Q$78/10)-1)+逐级计算!$Q$78*(BZ31-逐级计算!$P$78)*LN(10)/10))))))),"")</f>
        <v>13.793034509477</v>
      </c>
      <c r="CB31">
        <f>IF(AND(ISNUMBER(CA31),逐级计算!$X$79&gt;-1),IF(逐级计算!$X$79=0,CA31+逐级计算!$C$79,CA31+逐级计算!$C$79-(10/(逐级计算!$Q$79*LN(10))*(MAX((LN(10^(逐级计算!$Q$79/10)-1)+逐级计算!$Q$79*(CA31-逐级计算!$P$79)*LN(10)/10),0)+LN(1+EXP(-ABS((LN(10^(逐级计算!$Q$79/10)-1)+逐级计算!$Q$79*(CA31-逐级计算!$P$79)*LN(10)/10))))))),"")</f>
        <v>13.793034509477</v>
      </c>
      <c r="CC31">
        <f>IF(AND(ISNUMBER(CB31),逐级计算!$X$80&gt;-1),IF(逐级计算!$X$80=0,CB31+逐级计算!$C$80,CB31+逐级计算!$C$80-(10/(逐级计算!$Q$80*LN(10))*(MAX((LN(10^(逐级计算!$Q$80/10)-1)+逐级计算!$Q$80*(CB31-逐级计算!$P$80)*LN(10)/10),0)+LN(1+EXP(-ABS((LN(10^(逐级计算!$Q$80/10)-1)+逐级计算!$Q$80*(CB31-逐级计算!$P$80)*LN(10)/10))))))),"")</f>
        <v>13.793034509477</v>
      </c>
      <c r="CD31">
        <f>IF(AND(ISNUMBER(CC31),逐级计算!$X$81&gt;-1),IF(逐级计算!$X$81=0,CC31+逐级计算!$C$81,CC31+逐级计算!$C$81-(10/(逐级计算!$Q$81*LN(10))*(MAX((LN(10^(逐级计算!$Q$81/10)-1)+逐级计算!$Q$81*(CC31-逐级计算!$P$81)*LN(10)/10),0)+LN(1+EXP(-ABS((LN(10^(逐级计算!$Q$81/10)-1)+逐级计算!$Q$81*(CC31-逐级计算!$P$81)*LN(10)/10))))))),"")</f>
        <v>13.793034509477</v>
      </c>
      <c r="CE31">
        <f>IF(AND(ISNUMBER(CD31),逐级计算!$X$82&gt;-1),IF(逐级计算!$X$82=0,CD31+逐级计算!$C$82,CD31+逐级计算!$C$82-(10/(逐级计算!$Q$82*LN(10))*(MAX((LN(10^(逐级计算!$Q$82/10)-1)+逐级计算!$Q$82*(CD31-逐级计算!$P$82)*LN(10)/10),0)+LN(1+EXP(-ABS((LN(10^(逐级计算!$Q$82/10)-1)+逐级计算!$Q$82*(CD31-逐级计算!$P$82)*LN(10)/10))))))),"")</f>
        <v>13.793034509477</v>
      </c>
      <c r="CF31">
        <f>IF(AND(ISNUMBER(CE31),逐级计算!$X$83&gt;-1),IF(逐级计算!$X$83=0,CE31+逐级计算!$C$83,CE31+逐级计算!$C$83-(10/(逐级计算!$Q$83*LN(10))*(MAX((LN(10^(逐级计算!$Q$83/10)-1)+逐级计算!$Q$83*(CE31-逐级计算!$P$83)*LN(10)/10),0)+LN(1+EXP(-ABS((LN(10^(逐级计算!$Q$83/10)-1)+逐级计算!$Q$83*(CE31-逐级计算!$P$83)*LN(10)/10))))))),"")</f>
        <v>13.793034509477</v>
      </c>
      <c r="CG31">
        <f>IF(AND(ISNUMBER(CF31),逐级计算!$X$84&gt;-1),IF(逐级计算!$X$84=0,CF31+逐级计算!$C$84,CF31+逐级计算!$C$84-(10/(逐级计算!$Q$84*LN(10))*(MAX((LN(10^(逐级计算!$Q$84/10)-1)+逐级计算!$Q$84*(CF31-逐级计算!$P$84)*LN(10)/10),0)+LN(1+EXP(-ABS((LN(10^(逐级计算!$Q$84/10)-1)+逐级计算!$Q$84*(CF31-逐级计算!$P$84)*LN(10)/10))))))),"")</f>
        <v>13.793034509477</v>
      </c>
      <c r="CH31">
        <f>IF(AND(ISNUMBER(CG31),逐级计算!$X$85&gt;-1),IF(逐级计算!$X$85=0,CG31+逐级计算!$C$85,CG31+逐级计算!$C$85-(10/(逐级计算!$Q$85*LN(10))*(MAX((LN(10^(逐级计算!$Q$85/10)-1)+逐级计算!$Q$85*(CG31-逐级计算!$P$85)*LN(10)/10),0)+LN(1+EXP(-ABS((LN(10^(逐级计算!$Q$85/10)-1)+逐级计算!$Q$85*(CG31-逐级计算!$P$85)*LN(10)/10))))))),"")</f>
        <v>13.793034509477</v>
      </c>
      <c r="CI31">
        <f>IF(AND(ISNUMBER(CH31),逐级计算!$X$86&gt;-1),IF(逐级计算!$X$86=0,CH31+逐级计算!$C$86,CH31+逐级计算!$C$86-(10/(逐级计算!$Q$86*LN(10))*(MAX((LN(10^(逐级计算!$Q$86/10)-1)+逐级计算!$Q$86*(CH31-逐级计算!$P$86)*LN(10)/10),0)+LN(1+EXP(-ABS((LN(10^(逐级计算!$Q$86/10)-1)+逐级计算!$Q$86*(CH31-逐级计算!$P$86)*LN(10)/10))))))),"")</f>
        <v>13.793034509477</v>
      </c>
      <c r="CJ31">
        <f>IF(AND(ISNUMBER(CI31),逐级计算!$X$87&gt;-1),IF(逐级计算!$X$87=0,CI31+逐级计算!$C$87,CI31+逐级计算!$C$87-(10/(逐级计算!$Q$87*LN(10))*(MAX((LN(10^(逐级计算!$Q$87/10)-1)+逐级计算!$Q$87*(CI31-逐级计算!$P$87)*LN(10)/10),0)+LN(1+EXP(-ABS((LN(10^(逐级计算!$Q$87/10)-1)+逐级计算!$Q$87*(CI31-逐级计算!$P$87)*LN(10)/10))))))),"")</f>
        <v>13.793034509477</v>
      </c>
      <c r="CK31">
        <f>IF(AND(ISNUMBER(CJ31),逐级计算!$X$88&gt;-1),IF(逐级计算!$X$88=0,CJ31+逐级计算!$C$88,CJ31+逐级计算!$C$88-(10/(逐级计算!$Q$88*LN(10))*(MAX((LN(10^(逐级计算!$Q$88/10)-1)+逐级计算!$Q$88*(CJ31-逐级计算!$P$88)*LN(10)/10),0)+LN(1+EXP(-ABS((LN(10^(逐级计算!$Q$88/10)-1)+逐级计算!$Q$88*(CJ31-逐级计算!$P$88)*LN(10)/10))))))),"")</f>
        <v>13.793034509477</v>
      </c>
      <c r="CL31">
        <f>IF(AND(ISNUMBER(CK31),逐级计算!$X$89&gt;-1),IF(逐级计算!$X$89=0,CK31+逐级计算!$C$89,CK31+逐级计算!$C$89-(10/(逐级计算!$Q$89*LN(10))*(MAX((LN(10^(逐级计算!$Q$89/10)-1)+逐级计算!$Q$89*(CK31-逐级计算!$P$89)*LN(10)/10),0)+LN(1+EXP(-ABS((LN(10^(逐级计算!$Q$89/10)-1)+逐级计算!$Q$89*(CK31-逐级计算!$P$89)*LN(10)/10))))))),"")</f>
        <v>13.793034509477</v>
      </c>
      <c r="CM31">
        <f>IF(AND(ISNUMBER(CL31),逐级计算!$X$90&gt;-1),IF(逐级计算!$X$90=0,CL31+逐级计算!$C$90,CL31+逐级计算!$C$90-(10/(逐级计算!$Q$90*LN(10))*(MAX((LN(10^(逐级计算!$Q$90/10)-1)+逐级计算!$Q$90*(CL31-逐级计算!$P$90)*LN(10)/10),0)+LN(1+EXP(-ABS((LN(10^(逐级计算!$Q$90/10)-1)+逐级计算!$Q$90*(CL31-逐级计算!$P$90)*LN(10)/10))))))),"")</f>
        <v>13.793034509477</v>
      </c>
      <c r="CN31">
        <f>IF(AND(ISNUMBER(CM31),逐级计算!$X$91&gt;-1),IF(逐级计算!$X$91=0,CM31+逐级计算!$C$91,CM31+逐级计算!$C$91-(10/(逐级计算!$Q$91*LN(10))*(MAX((LN(10^(逐级计算!$Q$91/10)-1)+逐级计算!$Q$91*(CM31-逐级计算!$P$91)*LN(10)/10),0)+LN(1+EXP(-ABS((LN(10^(逐级计算!$Q$91/10)-1)+逐级计算!$Q$91*(CM31-逐级计算!$P$91)*LN(10)/10))))))),"")</f>
        <v>13.793034509477</v>
      </c>
      <c r="CO31">
        <f>IF(AND(ISNUMBER(CN31),逐级计算!$X$92&gt;-1),IF(逐级计算!$X$92=0,CN31+逐级计算!$C$92,CN31+逐级计算!$C$92-(10/(逐级计算!$Q$92*LN(10))*(MAX((LN(10^(逐级计算!$Q$92/10)-1)+逐级计算!$Q$92*(CN31-逐级计算!$P$92)*LN(10)/10),0)+LN(1+EXP(-ABS((LN(10^(逐级计算!$Q$92/10)-1)+逐级计算!$Q$92*(CN31-逐级计算!$P$92)*LN(10)/10))))))),"")</f>
        <v>13.793034509477</v>
      </c>
      <c r="CP31">
        <f>IF(AND(ISNUMBER(CO31),逐级计算!$X$93&gt;-1),IF(逐级计算!$X$93=0,CO31+逐级计算!$C$93,CO31+逐级计算!$C$93-(10/(逐级计算!$Q$93*LN(10))*(MAX((LN(10^(逐级计算!$Q$93/10)-1)+逐级计算!$Q$93*(CO31-逐级计算!$P$93)*LN(10)/10),0)+LN(1+EXP(-ABS((LN(10^(逐级计算!$Q$93/10)-1)+逐级计算!$Q$93*(CO31-逐级计算!$P$93)*LN(10)/10))))))),"")</f>
        <v>13.793034509477</v>
      </c>
      <c r="CQ31">
        <f>IF(AND(ISNUMBER(CP31),逐级计算!$X$94&gt;-1),IF(逐级计算!$X$94=0,CP31+逐级计算!$C$94,CP31+逐级计算!$C$94-(10/(逐级计算!$Q$94*LN(10))*(MAX((LN(10^(逐级计算!$Q$94/10)-1)+逐级计算!$Q$94*(CP31-逐级计算!$P$94)*LN(10)/10),0)+LN(1+EXP(-ABS((LN(10^(逐级计算!$Q$94/10)-1)+逐级计算!$Q$94*(CP31-逐级计算!$P$94)*LN(10)/10))))))),"")</f>
        <v>13.793034509477</v>
      </c>
      <c r="CR31">
        <f>IF(AND(ISNUMBER(CQ31),逐级计算!$X$95&gt;-1),IF(逐级计算!$X$95=0,CQ31+逐级计算!$C$95,CQ31+逐级计算!$C$95-(10/(逐级计算!$Q$95*LN(10))*(MAX((LN(10^(逐级计算!$Q$95/10)-1)+逐级计算!$Q$95*(CQ31-逐级计算!$P$95)*LN(10)/10),0)+LN(1+EXP(-ABS((LN(10^(逐级计算!$Q$95/10)-1)+逐级计算!$Q$95*(CQ31-逐级计算!$P$95)*LN(10)/10))))))),"")</f>
        <v>13.793034509477</v>
      </c>
      <c r="CS31">
        <f>IF(AND(ISNUMBER(CR31),逐级计算!$X$96&gt;-1),IF(逐级计算!$X$96=0,CR31+逐级计算!$C$96,CR31+逐级计算!$C$96-(10/(逐级计算!$Q$96*LN(10))*(MAX((LN(10^(逐级计算!$Q$96/10)-1)+逐级计算!$Q$96*(CR31-逐级计算!$P$96)*LN(10)/10),0)+LN(1+EXP(-ABS((LN(10^(逐级计算!$Q$96/10)-1)+逐级计算!$Q$96*(CR31-逐级计算!$P$96)*LN(10)/10))))))),"")</f>
        <v>13.793034509477</v>
      </c>
      <c r="CT31">
        <f>IF(AND(ISNUMBER(CS31),逐级计算!$X$97&gt;-1),IF(逐级计算!$X$97=0,CS31+逐级计算!$C$97,CS31+逐级计算!$C$97-(10/(逐级计算!$Q$97*LN(10))*(MAX((LN(10^(逐级计算!$Q$97/10)-1)+逐级计算!$Q$97*(CS31-逐级计算!$P$97)*LN(10)/10),0)+LN(1+EXP(-ABS((LN(10^(逐级计算!$Q$97/10)-1)+逐级计算!$Q$97*(CS31-逐级计算!$P$97)*LN(10)/10))))))),"")</f>
        <v>13.793034509477</v>
      </c>
      <c r="CU31">
        <f>IF(AND(ISNUMBER(CT31),逐级计算!$X$98&gt;-1),IF(逐级计算!$X$98=0,CT31+逐级计算!$C$98,CT31+逐级计算!$C$98-(10/(逐级计算!$Q$98*LN(10))*(MAX((LN(10^(逐级计算!$Q$98/10)-1)+逐级计算!$Q$98*(CT31-逐级计算!$P$98)*LN(10)/10),0)+LN(1+EXP(-ABS((LN(10^(逐级计算!$Q$98/10)-1)+逐级计算!$Q$98*(CT31-逐级计算!$P$98)*LN(10)/10))))))),"")</f>
        <v>13.793034509477</v>
      </c>
      <c r="CV31">
        <f>IF(AND(ISNUMBER(CU31),逐级计算!$X$99&gt;-1),IF(逐级计算!$X$99=0,CU31+逐级计算!$C$99,CU31+逐级计算!$C$99-(10/(逐级计算!$Q$99*LN(10))*(MAX((LN(10^(逐级计算!$Q$99/10)-1)+逐级计算!$Q$99*(CU31-逐级计算!$P$99)*LN(10)/10),0)+LN(1+EXP(-ABS((LN(10^(逐级计算!$Q$99/10)-1)+逐级计算!$Q$99*(CU31-逐级计算!$P$99)*LN(10)/10))))))),"")</f>
        <v>13.793034509477</v>
      </c>
      <c r="CW31">
        <f>IF(AND(ISNUMBER(CV31),逐级计算!$X$100&gt;-1),IF(逐级计算!$X$100=0,CV31+逐级计算!$C$100,CV31+逐级计算!$C$100-(10/(逐级计算!$Q$100*LN(10))*(MAX((LN(10^(逐级计算!$Q$100/10)-1)+逐级计算!$Q$100*(CV31-逐级计算!$P$100)*LN(10)/10),0)+LN(1+EXP(-ABS((LN(10^(逐级计算!$Q$100/10)-1)+逐级计算!$Q$100*(CV31-逐级计算!$P$100)*LN(10)/10))))))),"")</f>
        <v>13.793034509477</v>
      </c>
      <c r="CX31">
        <f>IF(AND(ISNUMBER(CW31),逐级计算!$X$101&gt;-1),IF(逐级计算!$X$101=0,CW31+逐级计算!$C$101,CW31+逐级计算!$C$101-(10/(逐级计算!$Q$101*LN(10))*(MAX((LN(10^(逐级计算!$Q$101/10)-1)+逐级计算!$Q$101*(CW31-逐级计算!$P$101)*LN(10)/10),0)+LN(1+EXP(-ABS((LN(10^(逐级计算!$Q$101/10)-1)+逐级计算!$Q$101*(CW31-逐级计算!$P$101)*LN(10)/10))))))),"")</f>
        <v>13.793034509477</v>
      </c>
      <c r="CY31">
        <f>IF(AND(ISNUMBER(CX31),逐级计算!$X$102&gt;-1),IF(逐级计算!$X$102=0,CX31+逐级计算!$C$102,CX31+逐级计算!$C$102-(10/(逐级计算!$Q$102*LN(10))*(MAX((LN(10^(逐级计算!$Q$102/10)-1)+逐级计算!$Q$102*(CX31-逐级计算!$P$102)*LN(10)/10),0)+LN(1+EXP(-ABS((LN(10^(逐级计算!$Q$102/10)-1)+逐级计算!$Q$102*(CX31-逐级计算!$P$102)*LN(10)/10))))))),"")</f>
        <v>13.793034509477</v>
      </c>
      <c r="CZ31">
        <f>IF(AND(ISNUMBER(CY31),逐级计算!$X$103&gt;-1),IF(逐级计算!$X$103=0,CY31+逐级计算!$C$103,CY31+逐级计算!$C$103-(10/(逐级计算!$Q$103*LN(10))*(MAX((LN(10^(逐级计算!$Q$103/10)-1)+逐级计算!$Q$103*(CY31-逐级计算!$P$103)*LN(10)/10),0)+LN(1+EXP(-ABS((LN(10^(逐级计算!$Q$103/10)-1)+逐级计算!$Q$103*(CY31-逐级计算!$P$103)*LN(10)/10))))))),"")</f>
        <v>13.793034509477</v>
      </c>
      <c r="DA31">
        <f>IF(AND(ISNUMBER(CZ31),逐级计算!$X$104&gt;-1),IF(逐级计算!$X$104=0,CZ31+逐级计算!$C$104,CZ31+逐级计算!$C$104-(10/(逐级计算!$Q$104*LN(10))*(MAX((LN(10^(逐级计算!$Q$104/10)-1)+逐级计算!$Q$104*(CZ31-逐级计算!$P$104)*LN(10)/10),0)+LN(1+EXP(-ABS((LN(10^(逐级计算!$Q$104/10)-1)+逐级计算!$Q$104*(CZ31-逐级计算!$P$104)*LN(10)/10))))))),"")</f>
        <v>13.793034509477</v>
      </c>
      <c r="DB31">
        <f>IF(AND(ISNUMBER(DA31),逐级计算!$X$105&gt;-1),IF(逐级计算!$X$105=0,DA31+逐级计算!$C$105,DA31+逐级计算!$C$105-(10/(逐级计算!$Q$105*LN(10))*(MAX((LN(10^(逐级计算!$Q$105/10)-1)+逐级计算!$Q$105*(DA31-逐级计算!$P$105)*LN(10)/10),0)+LN(1+EXP(-ABS((LN(10^(逐级计算!$Q$105/10)-1)+逐级计算!$Q$105*(DA31-逐级计算!$P$105)*LN(10)/10))))))),"")</f>
        <v>13.793034509477</v>
      </c>
      <c r="DC31">
        <f>IF(AND(ISNUMBER(DB31),逐级计算!$X$106&gt;-1),IF(逐级计算!$X$106=0,DB31+逐级计算!$C$106,DB31+逐级计算!$C$106-(10/(逐级计算!$Q$106*LN(10))*(MAX((LN(10^(逐级计算!$Q$106/10)-1)+逐级计算!$Q$106*(DB31-逐级计算!$P$106)*LN(10)/10),0)+LN(1+EXP(-ABS((LN(10^(逐级计算!$Q$106/10)-1)+逐级计算!$Q$106*(DB31-逐级计算!$P$106)*LN(10)/10))))))),"")</f>
        <v>13.793034509477</v>
      </c>
      <c r="DD31">
        <f>IF(AND(ISNUMBER(DC31),逐级计算!$X$107&gt;-1),IF(逐级计算!$X$107=0,DC31+逐级计算!$C$107,DC31+逐级计算!$C$107-(10/(逐级计算!$Q$107*LN(10))*(MAX((LN(10^(逐级计算!$Q$107/10)-1)+逐级计算!$Q$107*(DC31-逐级计算!$P$107)*LN(10)/10),0)+LN(1+EXP(-ABS((LN(10^(逐级计算!$Q$107/10)-1)+逐级计算!$Q$107*(DC31-逐级计算!$P$107)*LN(10)/10))))))),"")</f>
        <v>13.793034509477</v>
      </c>
      <c r="DE31">
        <f>IF(AND(ISNUMBER(DD31),逐级计算!$X$108&gt;-1),IF(逐级计算!$X$108=0,DD31+逐级计算!$C$108,DD31+逐级计算!$C$108-(10/(逐级计算!$Q$108*LN(10))*(MAX((LN(10^(逐级计算!$Q$108/10)-1)+逐级计算!$Q$108*(DD31-逐级计算!$P$108)*LN(10)/10),0)+LN(1+EXP(-ABS((LN(10^(逐级计算!$Q$108/10)-1)+逐级计算!$Q$108*(DD31-逐级计算!$P$108)*LN(10)/10))))))),"")</f>
        <v>13.793034509477</v>
      </c>
      <c r="DF31">
        <f>IF(AND(ISNUMBER(DE31),逐级计算!$X$109&gt;-1),IF(逐级计算!$X$109=0,DE31+逐级计算!$C$109,DE31+逐级计算!$C$109-(10/(逐级计算!$Q$109*LN(10))*(MAX((LN(10^(逐级计算!$Q$109/10)-1)+逐级计算!$Q$109*(DE31-逐级计算!$P$109)*LN(10)/10),0)+LN(1+EXP(-ABS((LN(10^(逐级计算!$Q$109/10)-1)+逐级计算!$Q$109*(DE31-逐级计算!$P$109)*LN(10)/10))))))),"")</f>
        <v>13.793034509477</v>
      </c>
      <c r="DG31">
        <f>IF(AND(ISNUMBER(DF31),逐级计算!$X$110&gt;-1),IF(逐级计算!$X$110=0,DF31+逐级计算!$C$110,DF31+逐级计算!$C$110-(10/(逐级计算!$Q$110*LN(10))*(MAX((LN(10^(逐级计算!$Q$110/10)-1)+逐级计算!$Q$110*(DF31-逐级计算!$P$110)*LN(10)/10),0)+LN(1+EXP(-ABS((LN(10^(逐级计算!$Q$110/10)-1)+逐级计算!$Q$110*(DF31-逐级计算!$P$110)*LN(10)/10))))))),"")</f>
        <v>13.793034509477</v>
      </c>
      <c r="DH31">
        <f>IF(AND(ISNUMBER(DG31),逐级计算!$X$111&gt;-1),IF(逐级计算!$X$111=0,DG31+逐级计算!$C$111,DG31+逐级计算!$C$111-(10/(逐级计算!$Q$111*LN(10))*(MAX((LN(10^(逐级计算!$Q$111/10)-1)+逐级计算!$Q$111*(DG31-逐级计算!$P$111)*LN(10)/10),0)+LN(1+EXP(-ABS((LN(10^(逐级计算!$Q$111/10)-1)+逐级计算!$Q$111*(DG31-逐级计算!$P$111)*LN(10)/10))))))),"")</f>
        <v>13.793034509477</v>
      </c>
      <c r="DI31">
        <f>IF(AND(ISNUMBER(DH31),逐级计算!$X$112&gt;-1),IF(逐级计算!$X$112=0,DH31+逐级计算!$C$112,DH31+逐级计算!$C$112-(10/(逐级计算!$Q$112*LN(10))*(MAX((LN(10^(逐级计算!$Q$112/10)-1)+逐级计算!$Q$112*(DH31-逐级计算!$P$112)*LN(10)/10),0)+LN(1+EXP(-ABS((LN(10^(逐级计算!$Q$112/10)-1)+逐级计算!$Q$112*(DH31-逐级计算!$P$112)*LN(10)/10))))))),"")</f>
        <v>13.793034509477</v>
      </c>
      <c r="DJ31">
        <f>IF(AND(ISNUMBER(DI31),逐级计算!$X$113&gt;-1),IF(逐级计算!$X$113=0,DI31+逐级计算!$C$113,DI31+逐级计算!$C$113-(10/(逐级计算!$Q$113*LN(10))*(MAX((LN(10^(逐级计算!$Q$113/10)-1)+逐级计算!$Q$113*(DI31-逐级计算!$P$113)*LN(10)/10),0)+LN(1+EXP(-ABS((LN(10^(逐级计算!$Q$113/10)-1)+逐级计算!$Q$113*(DI31-逐级计算!$P$113)*LN(10)/10))))))),"")</f>
        <v>13.793034509477</v>
      </c>
      <c r="DK31">
        <f>IF(AND(ISNUMBER(DJ31),逐级计算!$X$114&gt;-1),IF(逐级计算!$X$114=0,DJ31+逐级计算!$C$114,DJ31+逐级计算!$C$114-(10/(逐级计算!$Q$114*LN(10))*(MAX((LN(10^(逐级计算!$Q$114/10)-1)+逐级计算!$Q$114*(DJ31-逐级计算!$P$114)*LN(10)/10),0)+LN(1+EXP(-ABS((LN(10^(逐级计算!$Q$114/10)-1)+逐级计算!$Q$114*(DJ31-逐级计算!$P$114)*LN(10)/10))))))),"")</f>
        <v>13.793034509477</v>
      </c>
      <c r="DL31">
        <f>IF(AND(ISNUMBER(DK31),逐级计算!$X$115&gt;-1),IF(逐级计算!$X$115=0,DK31+逐级计算!$C$115,DK31+逐级计算!$C$115-(10/(逐级计算!$Q$115*LN(10))*(MAX((LN(10^(逐级计算!$Q$115/10)-1)+逐级计算!$Q$115*(DK31-逐级计算!$P$115)*LN(10)/10),0)+LN(1+EXP(-ABS((LN(10^(逐级计算!$Q$115/10)-1)+逐级计算!$Q$115*(DK31-逐级计算!$P$115)*LN(10)/10))))))),"")</f>
        <v>13.793034509477</v>
      </c>
      <c r="DM31">
        <f>IF(AND(ISNUMBER(DL31),逐级计算!$X$116&gt;-1),IF(逐级计算!$X$116=0,DL31+逐级计算!$C$116,DL31+逐级计算!$C$116-(10/(逐级计算!$Q$116*LN(10))*(MAX((LN(10^(逐级计算!$Q$116/10)-1)+逐级计算!$Q$116*(DL31-逐级计算!$P$116)*LN(10)/10),0)+LN(1+EXP(-ABS((LN(10^(逐级计算!$Q$116/10)-1)+逐级计算!$Q$116*(DL31-逐级计算!$P$116)*LN(10)/10))))))),"")</f>
        <v>13.793034509477</v>
      </c>
      <c r="DN31">
        <f>IF(AND(ISNUMBER(DM31),逐级计算!$X$117&gt;-1),IF(逐级计算!$X$117=0,DM31+逐级计算!$C$117,DM31+逐级计算!$C$117-(10/(逐级计算!$Q$117*LN(10))*(MAX((LN(10^(逐级计算!$Q$117/10)-1)+逐级计算!$Q$117*(DM31-逐级计算!$P$117)*LN(10)/10),0)+LN(1+EXP(-ABS((LN(10^(逐级计算!$Q$117/10)-1)+逐级计算!$Q$117*(DM31-逐级计算!$P$117)*LN(10)/10))))))),"")</f>
        <v>13.793034509477</v>
      </c>
      <c r="DO31">
        <f>IF(AND(ISNUMBER(DN31),逐级计算!$X$118&gt;-1),IF(逐级计算!$X$118=0,DN31+逐级计算!$C$118,DN31+逐级计算!$C$118-(10/(逐级计算!$Q$118*LN(10))*(MAX((LN(10^(逐级计算!$Q$118/10)-1)+逐级计算!$Q$118*(DN31-逐级计算!$P$118)*LN(10)/10),0)+LN(1+EXP(-ABS((LN(10^(逐级计算!$Q$118/10)-1)+逐级计算!$Q$118*(DN31-逐级计算!$P$118)*LN(10)/10))))))),"")</f>
        <v>13.793034509477</v>
      </c>
      <c r="DP31">
        <f>IF(AND(ISNUMBER(DO31),逐级计算!$X$119&gt;-1),IF(逐级计算!$X$119=0,DO31+逐级计算!$C$119,DO31+逐级计算!$C$119-(10/(逐级计算!$Q$119*LN(10))*(MAX((LN(10^(逐级计算!$Q$119/10)-1)+逐级计算!$Q$119*(DO31-逐级计算!$P$119)*LN(10)/10),0)+LN(1+EXP(-ABS((LN(10^(逐级计算!$Q$119/10)-1)+逐级计算!$Q$119*(DO31-逐级计算!$P$119)*LN(10)/10))))))),"")</f>
        <v>13.793034509477</v>
      </c>
      <c r="DQ31">
        <f>IF(AND(ISNUMBER(DP31),逐级计算!$X$120&gt;-1),IF(逐级计算!$X$120=0,DP31+逐级计算!$C$120,DP31+逐级计算!$C$120-(10/(逐级计算!$Q$120*LN(10))*(MAX((LN(10^(逐级计算!$Q$120/10)-1)+逐级计算!$Q$120*(DP31-逐级计算!$P$120)*LN(10)/10),0)+LN(1+EXP(-ABS((LN(10^(逐级计算!$Q$120/10)-1)+逐级计算!$Q$120*(DP31-逐级计算!$P$120)*LN(10)/10))))))),"")</f>
        <v>13.793034509477</v>
      </c>
      <c r="DR31">
        <f>IF(AND(ISNUMBER(DQ31),逐级计算!$X$121&gt;-1),IF(逐级计算!$X$121=0,DQ31+逐级计算!$C$121,DQ31+逐级计算!$C$121-(10/(逐级计算!$Q$121*LN(10))*(MAX((LN(10^(逐级计算!$Q$121/10)-1)+逐级计算!$Q$121*(DQ31-逐级计算!$P$121)*LN(10)/10),0)+LN(1+EXP(-ABS((LN(10^(逐级计算!$Q$121/10)-1)+逐级计算!$Q$121*(DQ31-逐级计算!$P$121)*LN(10)/10))))))),"")</f>
        <v>13.793034509477</v>
      </c>
      <c r="DS31">
        <f>IF(AND(ISNUMBER(DR31),逐级计算!$X$122&gt;-1),IF(逐级计算!$X$122=0,DR31+逐级计算!$C$122,DR31+逐级计算!$C$122-(10/(逐级计算!$Q$122*LN(10))*(MAX((LN(10^(逐级计算!$Q$122/10)-1)+逐级计算!$Q$122*(DR31-逐级计算!$P$122)*LN(10)/10),0)+LN(1+EXP(-ABS((LN(10^(逐级计算!$Q$122/10)-1)+逐级计算!$Q$122*(DR31-逐级计算!$P$122)*LN(10)/10))))))),"")</f>
        <v>13.793034509477</v>
      </c>
      <c r="DT31">
        <f>IF(AND(ISNUMBER(DS31),逐级计算!$X$123&gt;-1),IF(逐级计算!$X$123=0,DS31+逐级计算!$C$123,DS31+逐级计算!$C$123-(10/(逐级计算!$Q$123*LN(10))*(MAX((LN(10^(逐级计算!$Q$123/10)-1)+逐级计算!$Q$123*(DS31-逐级计算!$P$123)*LN(10)/10),0)+LN(1+EXP(-ABS((LN(10^(逐级计算!$Q$123/10)-1)+逐级计算!$Q$123*(DS31-逐级计算!$P$123)*LN(10)/10))))))),"")</f>
        <v>13.793034509477</v>
      </c>
      <c r="DU31">
        <f>IF(AND(ISNUMBER(DT31),逐级计算!$X$124&gt;-1),IF(逐级计算!$X$124=0,DT31+逐级计算!$C$124,DT31+逐级计算!$C$124-(10/(逐级计算!$Q$124*LN(10))*(MAX((LN(10^(逐级计算!$Q$124/10)-1)+逐级计算!$Q$124*(DT31-逐级计算!$P$124)*LN(10)/10),0)+LN(1+EXP(-ABS((LN(10^(逐级计算!$Q$124/10)-1)+逐级计算!$Q$124*(DT31-逐级计算!$P$124)*LN(10)/10))))))),"")</f>
        <v>13.793034509477</v>
      </c>
      <c r="DV31">
        <f>IF(AND(ISNUMBER(DU31),逐级计算!$X$125&gt;-1),IF(逐级计算!$X$125=0,DU31+逐级计算!$C$125,DU31+逐级计算!$C$125-(10/(逐级计算!$Q$125*LN(10))*(MAX((LN(10^(逐级计算!$Q$125/10)-1)+逐级计算!$Q$125*(DU31-逐级计算!$P$125)*LN(10)/10),0)+LN(1+EXP(-ABS((LN(10^(逐级计算!$Q$125/10)-1)+逐级计算!$Q$125*(DU31-逐级计算!$P$125)*LN(10)/10))))))),"")</f>
        <v>13.793034509477</v>
      </c>
      <c r="DW31">
        <f>IF(AND(ISNUMBER(DV31),逐级计算!$X$126&gt;-1),IF(逐级计算!$X$126=0,DV31+逐级计算!$C$126,DV31+逐级计算!$C$126-(10/(逐级计算!$Q$126*LN(10))*(MAX((LN(10^(逐级计算!$Q$126/10)-1)+逐级计算!$Q$126*(DV31-逐级计算!$P$126)*LN(10)/10),0)+LN(1+EXP(-ABS((LN(10^(逐级计算!$Q$126/10)-1)+逐级计算!$Q$126*(DV31-逐级计算!$P$126)*LN(10)/10))))))),"")</f>
        <v>13.793034509477</v>
      </c>
      <c r="DX31">
        <f>IF(AND(ISNUMBER(DW31),逐级计算!$X$127&gt;-1),IF(逐级计算!$X$127=0,DW31+逐级计算!$C$127,DW31+逐级计算!$C$127-(10/(逐级计算!$Q$127*LN(10))*(MAX((LN(10^(逐级计算!$Q$127/10)-1)+逐级计算!$Q$127*(DW31-逐级计算!$P$127)*LN(10)/10),0)+LN(1+EXP(-ABS((LN(10^(逐级计算!$Q$127/10)-1)+逐级计算!$Q$127*(DW31-逐级计算!$P$127)*LN(10)/10))))))),"")</f>
        <v>13.793034509477</v>
      </c>
      <c r="DY31">
        <f>IF(AND(ISNUMBER(DX31),逐级计算!$X$128&gt;-1),IF(逐级计算!$X$128=0,DX31+逐级计算!$C$128,DX31+逐级计算!$C$128-(10/(逐级计算!$Q$128*LN(10))*(MAX((LN(10^(逐级计算!$Q$128/10)-1)+逐级计算!$Q$128*(DX31-逐级计算!$P$128)*LN(10)/10),0)+LN(1+EXP(-ABS((LN(10^(逐级计算!$Q$128/10)-1)+逐级计算!$Q$128*(DX31-逐级计算!$P$128)*LN(10)/10))))))),"")</f>
        <v>13.793034509477</v>
      </c>
      <c r="DZ31">
        <f>IF(AND(ISNUMBER(DY31),逐级计算!$X$129&gt;-1),IF(逐级计算!$X$129=0,DY31+逐级计算!$C$129,DY31+逐级计算!$C$129-(10/(逐级计算!$Q$129*LN(10))*(MAX((LN(10^(逐级计算!$Q$129/10)-1)+逐级计算!$Q$129*(DY31-逐级计算!$P$129)*LN(10)/10),0)+LN(1+EXP(-ABS((LN(10^(逐级计算!$Q$129/10)-1)+逐级计算!$Q$129*(DY31-逐级计算!$P$129)*LN(10)/10))))))),"")</f>
        <v>13.793034509477</v>
      </c>
      <c r="EA31">
        <f>IF(AND(ISNUMBER(DZ31),逐级计算!$X$130&gt;-1),IF(逐级计算!$X$130=0,DZ31+逐级计算!$C$130,DZ31+逐级计算!$C$130-(10/(逐级计算!$Q$130*LN(10))*(MAX((LN(10^(逐级计算!$Q$130/10)-1)+逐级计算!$Q$130*(DZ31-逐级计算!$P$130)*LN(10)/10),0)+LN(1+EXP(-ABS((LN(10^(逐级计算!$Q$130/10)-1)+逐级计算!$Q$130*(DZ31-逐级计算!$P$130)*LN(10)/10))))))),"")</f>
        <v>13.793034509477</v>
      </c>
      <c r="EB31">
        <f>IF(AND(ISNUMBER(EA31),逐级计算!$X$131&gt;-1),IF(逐级计算!$X$131=0,EA31+逐级计算!$C$131,EA31+逐级计算!$C$131-(10/(逐级计算!$Q$131*LN(10))*(MAX((LN(10^(逐级计算!$Q$131/10)-1)+逐级计算!$Q$131*(EA31-逐级计算!$P$131)*LN(10)/10),0)+LN(1+EXP(-ABS((LN(10^(逐级计算!$Q$131/10)-1)+逐级计算!$Q$131*(EA31-逐级计算!$P$131)*LN(10)/10))))))),"")</f>
        <v>13.793034509477</v>
      </c>
      <c r="EC31">
        <f>IF(AND(ISNUMBER(EB31),逐级计算!$X$132&gt;-1),IF(逐级计算!$X$132=0,EB31+逐级计算!$C$132,EB31+逐级计算!$C$132-(10/(逐级计算!$Q$132*LN(10))*(MAX((LN(10^(逐级计算!$Q$132/10)-1)+逐级计算!$Q$132*(EB31-逐级计算!$P$132)*LN(10)/10),0)+LN(1+EXP(-ABS((LN(10^(逐级计算!$Q$132/10)-1)+逐级计算!$Q$132*(EB31-逐级计算!$P$132)*LN(10)/10))))))),"")</f>
        <v>13.793034509477</v>
      </c>
      <c r="ED31">
        <f>IF(AND(ISNUMBER(EC31),逐级计算!$X$133&gt;-1),IF(逐级计算!$X$133=0,EC31+逐级计算!$C$133,EC31+逐级计算!$C$133-(10/(逐级计算!$Q$133*LN(10))*(MAX((LN(10^(逐级计算!$Q$133/10)-1)+逐级计算!$Q$133*(EC31-逐级计算!$P$133)*LN(10)/10),0)+LN(1+EXP(-ABS((LN(10^(逐级计算!$Q$133/10)-1)+逐级计算!$Q$133*(EC31-逐级计算!$P$133)*LN(10)/10))))))),"")</f>
        <v>13.793034509477</v>
      </c>
      <c r="EE31">
        <f>IF(AND(ISNUMBER(ED31),逐级计算!$X$134&gt;-1),IF(逐级计算!$X$134=0,ED31+逐级计算!$C$134,ED31+逐级计算!$C$134-(10/(逐级计算!$Q$134*LN(10))*(MAX((LN(10^(逐级计算!$Q$134/10)-1)+逐级计算!$Q$134*(ED31-逐级计算!$P$134)*LN(10)/10),0)+LN(1+EXP(-ABS((LN(10^(逐级计算!$Q$134/10)-1)+逐级计算!$Q$134*(ED31-逐级计算!$P$134)*LN(10)/10))))))),"")</f>
        <v>13.793034509477</v>
      </c>
      <c r="EF31">
        <f>IF(AND(ISNUMBER(EE31),逐级计算!$X$135&gt;-1),IF(逐级计算!$X$135=0,EE31+逐级计算!$C$135,EE31+逐级计算!$C$135-(10/(逐级计算!$Q$135*LN(10))*(MAX((LN(10^(逐级计算!$Q$135/10)-1)+逐级计算!$Q$135*(EE31-逐级计算!$P$135)*LN(10)/10),0)+LN(1+EXP(-ABS((LN(10^(逐级计算!$Q$135/10)-1)+逐级计算!$Q$135*(EE31-逐级计算!$P$135)*LN(10)/10))))))),"")</f>
        <v>13.793034509477</v>
      </c>
      <c r="EG31">
        <f>IF(AND(ISNUMBER(EF31),逐级计算!$X$136&gt;-1),IF(逐级计算!$X$136=0,EF31+逐级计算!$C$136,EF31+逐级计算!$C$136-(10/(逐级计算!$Q$136*LN(10))*(MAX((LN(10^(逐级计算!$Q$136/10)-1)+逐级计算!$Q$136*(EF31-逐级计算!$P$136)*LN(10)/10),0)+LN(1+EXP(-ABS((LN(10^(逐级计算!$Q$136/10)-1)+逐级计算!$Q$136*(EF31-逐级计算!$P$136)*LN(10)/10))))))),"")</f>
        <v>13.793034509477</v>
      </c>
      <c r="EH31">
        <f>IF(AND(ISNUMBER(EG31),逐级计算!$X$137&gt;-1),IF(逐级计算!$X$137=0,EG31+逐级计算!$C$137,EG31+逐级计算!$C$137-(10/(逐级计算!$Q$137*LN(10))*(MAX((LN(10^(逐级计算!$Q$137/10)-1)+逐级计算!$Q$137*(EG31-逐级计算!$P$137)*LN(10)/10),0)+LN(1+EXP(-ABS((LN(10^(逐级计算!$Q$137/10)-1)+逐级计算!$Q$137*(EG31-逐级计算!$P$137)*LN(10)/10))))))),"")</f>
        <v>13.793034509477</v>
      </c>
      <c r="EI31">
        <f>IF(AND(ISNUMBER(EH31),逐级计算!$X$138&gt;-1),IF(逐级计算!$X$138=0,EH31+逐级计算!$C$138,EH31+逐级计算!$C$138-(10/(逐级计算!$Q$138*LN(10))*(MAX((LN(10^(逐级计算!$Q$138/10)-1)+逐级计算!$Q$138*(EH31-逐级计算!$P$138)*LN(10)/10),0)+LN(1+EXP(-ABS((LN(10^(逐级计算!$Q$138/10)-1)+逐级计算!$Q$138*(EH31-逐级计算!$P$138)*LN(10)/10))))))),"")</f>
        <v>13.793034509477</v>
      </c>
      <c r="EJ31">
        <f>IF(AND(ISNUMBER(EI31),逐级计算!$X$139&gt;-1),IF(逐级计算!$X$139=0,EI31+逐级计算!$C$139,EI31+逐级计算!$C$139-(10/(逐级计算!$Q$139*LN(10))*(MAX((LN(10^(逐级计算!$Q$139/10)-1)+逐级计算!$Q$139*(EI31-逐级计算!$P$139)*LN(10)/10),0)+LN(1+EXP(-ABS((LN(10^(逐级计算!$Q$139/10)-1)+逐级计算!$Q$139*(EI31-逐级计算!$P$139)*LN(10)/10))))))),"")</f>
        <v>13.793034509477</v>
      </c>
      <c r="EK31">
        <f>IF(AND(ISNUMBER(EJ31),逐级计算!$X$140&gt;-1),IF(逐级计算!$X$140=0,EJ31+逐级计算!$C$140,EJ31+逐级计算!$C$140-(10/(逐级计算!$Q$140*LN(10))*(MAX((LN(10^(逐级计算!$Q$140/10)-1)+逐级计算!$Q$140*(EJ31-逐级计算!$P$140)*LN(10)/10),0)+LN(1+EXP(-ABS((LN(10^(逐级计算!$Q$140/10)-1)+逐级计算!$Q$140*(EJ31-逐级计算!$P$140)*LN(10)/10))))))),"")</f>
        <v>13.793034509477</v>
      </c>
      <c r="EL31">
        <f>IF(AND(ISNUMBER(EK31),逐级计算!$X$141&gt;-1),IF(逐级计算!$X$141=0,EK31+逐级计算!$C$141,EK31+逐级计算!$C$141-(10/(逐级计算!$Q$141*LN(10))*(MAX((LN(10^(逐级计算!$Q$141/10)-1)+逐级计算!$Q$141*(EK31-逐级计算!$P$141)*LN(10)/10),0)+LN(1+EXP(-ABS((LN(10^(逐级计算!$Q$141/10)-1)+逐级计算!$Q$141*(EK31-逐级计算!$P$141)*LN(10)/10))))))),"")</f>
        <v>13.793034509477</v>
      </c>
      <c r="EM31">
        <f>IF(AND(ISNUMBER(EL31),逐级计算!$X$142&gt;-1),IF(逐级计算!$X$142=0,EL31+逐级计算!$C$142,EL31+逐级计算!$C$142-(10/(逐级计算!$Q$142*LN(10))*(MAX((LN(10^(逐级计算!$Q$142/10)-1)+逐级计算!$Q$142*(EL31-逐级计算!$P$142)*LN(10)/10),0)+LN(1+EXP(-ABS((LN(10^(逐级计算!$Q$142/10)-1)+逐级计算!$Q$142*(EL31-逐级计算!$P$142)*LN(10)/10))))))),"")</f>
        <v>13.793034509477</v>
      </c>
      <c r="EN31">
        <f>IF(AND(ISNUMBER(EM31),逐级计算!$X$143&gt;-1),IF(逐级计算!$X$143=0,EM31+逐级计算!$C$143,EM31+逐级计算!$C$143-(10/(逐级计算!$Q$143*LN(10))*(MAX((LN(10^(逐级计算!$Q$143/10)-1)+逐级计算!$Q$143*(EM31-逐级计算!$P$143)*LN(10)/10),0)+LN(1+EXP(-ABS((LN(10^(逐级计算!$Q$143/10)-1)+逐级计算!$Q$143*(EM31-逐级计算!$P$143)*LN(10)/10))))))),"")</f>
        <v>13.793034509477</v>
      </c>
      <c r="EO31">
        <f>IF(AND(ISNUMBER(EN31),逐级计算!$X$144&gt;-1),IF(逐级计算!$X$144=0,EN31+逐级计算!$C$144,EN31+逐级计算!$C$144-(10/(逐级计算!$Q$144*LN(10))*(MAX((LN(10^(逐级计算!$Q$144/10)-1)+逐级计算!$Q$144*(EN31-逐级计算!$P$144)*LN(10)/10),0)+LN(1+EXP(-ABS((LN(10^(逐级计算!$Q$144/10)-1)+逐级计算!$Q$144*(EN31-逐级计算!$P$144)*LN(10)/10))))))),"")</f>
        <v>13.793034509477</v>
      </c>
      <c r="EP31">
        <f>IF(AND(ISNUMBER(EO31),逐级计算!$X$145&gt;-1),IF(逐级计算!$X$145=0,EO31+逐级计算!$C$145,EO31+逐级计算!$C$145-(10/(逐级计算!$Q$145*LN(10))*(MAX((LN(10^(逐级计算!$Q$145/10)-1)+逐级计算!$Q$145*(EO31-逐级计算!$P$145)*LN(10)/10),0)+LN(1+EXP(-ABS((LN(10^(逐级计算!$Q$145/10)-1)+逐级计算!$Q$145*(EO31-逐级计算!$P$145)*LN(10)/10))))))),"")</f>
        <v>13.793034509477</v>
      </c>
      <c r="EQ31">
        <f>IF(AND(ISNUMBER(EP31),逐级计算!$X$146&gt;-1),IF(逐级计算!$X$146=0,EP31+逐级计算!$C$146,EP31+逐级计算!$C$146-(10/(逐级计算!$Q$146*LN(10))*(MAX((LN(10^(逐级计算!$Q$146/10)-1)+逐级计算!$Q$146*(EP31-逐级计算!$P$146)*LN(10)/10),0)+LN(1+EXP(-ABS((LN(10^(逐级计算!$Q$146/10)-1)+逐级计算!$Q$146*(EP31-逐级计算!$P$146)*LN(10)/10))))))),"")</f>
        <v>13.793034509477</v>
      </c>
      <c r="ER31">
        <f>IF(AND(ISNUMBER(EQ31),逐级计算!$X$147&gt;-1),IF(逐级计算!$X$147=0,EQ31+逐级计算!$C$147,EQ31+逐级计算!$C$147-(10/(逐级计算!$Q$147*LN(10))*(MAX((LN(10^(逐级计算!$Q$147/10)-1)+逐级计算!$Q$147*(EQ31-逐级计算!$P$147)*LN(10)/10),0)+LN(1+EXP(-ABS((LN(10^(逐级计算!$Q$147/10)-1)+逐级计算!$Q$147*(EQ31-逐级计算!$P$147)*LN(10)/10))))))),"")</f>
        <v>13.793034509477</v>
      </c>
      <c r="ES31">
        <f>IF(AND(ISNUMBER(ER31),逐级计算!$X$148&gt;-1),IF(逐级计算!$X$148=0,ER31+逐级计算!$C$148,ER31+逐级计算!$C$148-(10/(逐级计算!$Q$148*LN(10))*(MAX((LN(10^(逐级计算!$Q$148/10)-1)+逐级计算!$Q$148*(ER31-逐级计算!$P$148)*LN(10)/10),0)+LN(1+EXP(-ABS((LN(10^(逐级计算!$Q$148/10)-1)+逐级计算!$Q$148*(ER31-逐级计算!$P$148)*LN(10)/10))))))),"")</f>
        <v>13.793034509477</v>
      </c>
      <c r="ET31">
        <f>IF(AND(ISNUMBER(ES31),逐级计算!$X$149&gt;-1),IF(逐级计算!$X$149=0,ES31+逐级计算!$C$149,ES31+逐级计算!$C$149-(10/(逐级计算!$Q$149*LN(10))*(MAX((LN(10^(逐级计算!$Q$149/10)-1)+逐级计算!$Q$149*(ES31-逐级计算!$P$149)*LN(10)/10),0)+LN(1+EXP(-ABS((LN(10^(逐级计算!$Q$149/10)-1)+逐级计算!$Q$149*(ES31-逐级计算!$P$149)*LN(10)/10))))))),"")</f>
        <v>13.793034509477</v>
      </c>
      <c r="EU31">
        <f>IF(AND(ISNUMBER(ET31),逐级计算!$X$150&gt;-1),IF(逐级计算!$X$150=0,ET31+逐级计算!$C$150,ET31+逐级计算!$C$150-(10/(逐级计算!$Q$150*LN(10))*(MAX((LN(10^(逐级计算!$Q$150/10)-1)+逐级计算!$Q$150*(ET31-逐级计算!$P$150)*LN(10)/10),0)+LN(1+EXP(-ABS((LN(10^(逐级计算!$Q$150/10)-1)+逐级计算!$Q$150*(ET31-逐级计算!$P$150)*LN(10)/10))))))),"")</f>
        <v>13.793034509477</v>
      </c>
      <c r="EV31">
        <f>IF(AND(ISNUMBER(EU31),逐级计算!$X$151&gt;-1),IF(逐级计算!$X$151=0,EU31+逐级计算!$C$151,EU31+逐级计算!$C$151-(10/(逐级计算!$Q$151*LN(10))*(MAX((LN(10^(逐级计算!$Q$151/10)-1)+逐级计算!$Q$151*(EU31-逐级计算!$P$151)*LN(10)/10),0)+LN(1+EXP(-ABS((LN(10^(逐级计算!$Q$151/10)-1)+逐级计算!$Q$151*(EU31-逐级计算!$P$151)*LN(10)/10))))))),"")</f>
        <v>13.793034509477</v>
      </c>
      <c r="EW31">
        <f>IF(AND(ISNUMBER(EV31),逐级计算!$X$152&gt;-1),IF(逐级计算!$X$152=0,EV31+逐级计算!$C$152,EV31+逐级计算!$C$152-(10/(逐级计算!$Q$152*LN(10))*(MAX((LN(10^(逐级计算!$Q$152/10)-1)+逐级计算!$Q$152*(EV31-逐级计算!$P$152)*LN(10)/10),0)+LN(1+EXP(-ABS((LN(10^(逐级计算!$Q$152/10)-1)+逐级计算!$Q$152*(EV31-逐级计算!$P$152)*LN(10)/10))))))),"")</f>
        <v>13.793034509477</v>
      </c>
      <c r="EX31">
        <f>IF(AND(ISNUMBER(EW31),逐级计算!$X$153&gt;-1),IF(逐级计算!$X$153=0,EW31+逐级计算!$C$153,EW31+逐级计算!$C$153-(10/(逐级计算!$Q$153*LN(10))*(MAX((LN(10^(逐级计算!$Q$153/10)-1)+逐级计算!$Q$153*(EW31-逐级计算!$P$153)*LN(10)/10),0)+LN(1+EXP(-ABS((LN(10^(逐级计算!$Q$153/10)-1)+逐级计算!$Q$153*(EW31-逐级计算!$P$153)*LN(10)/10))))))),"")</f>
        <v>13.793034509477</v>
      </c>
      <c r="EY31">
        <f>IF(AND(ISNUMBER(EX31),逐级计算!$X$154&gt;-1),IF(逐级计算!$X$154=0,EX31+逐级计算!$C$154,EX31+逐级计算!$C$154-(10/(逐级计算!$Q$154*LN(10))*(MAX((LN(10^(逐级计算!$Q$154/10)-1)+逐级计算!$Q$154*(EX31-逐级计算!$P$154)*LN(10)/10),0)+LN(1+EXP(-ABS((LN(10^(逐级计算!$Q$154/10)-1)+逐级计算!$Q$154*(EX31-逐级计算!$P$154)*LN(10)/10))))))),"")</f>
        <v>13.793034509477</v>
      </c>
      <c r="EZ31">
        <f>IF(AND(ISNUMBER(EY31),逐级计算!$X$155&gt;-1),IF(逐级计算!$X$155=0,EY31+逐级计算!$C$155,EY31+逐级计算!$C$155-(10/(逐级计算!$Q$155*LN(10))*(MAX((LN(10^(逐级计算!$Q$155/10)-1)+逐级计算!$Q$155*(EY31-逐级计算!$P$155)*LN(10)/10),0)+LN(1+EXP(-ABS((LN(10^(逐级计算!$Q$155/10)-1)+逐级计算!$Q$155*(EY31-逐级计算!$P$155)*LN(10)/10))))))),"")</f>
        <v>13.793034509477</v>
      </c>
      <c r="FA31">
        <f>IF(AND(ISNUMBER(EZ31),逐级计算!$X$156&gt;-1),IF(逐级计算!$X$156=0,EZ31+逐级计算!$C$156,EZ31+逐级计算!$C$156-(10/(逐级计算!$Q$156*LN(10))*(MAX((LN(10^(逐级计算!$Q$156/10)-1)+逐级计算!$Q$156*(EZ31-逐级计算!$P$156)*LN(10)/10),0)+LN(1+EXP(-ABS((LN(10^(逐级计算!$Q$156/10)-1)+逐级计算!$Q$156*(EZ31-逐级计算!$P$156)*LN(10)/10))))))),"")</f>
        <v>13.793034509477</v>
      </c>
      <c r="FB31">
        <f>IF(AND(ISNUMBER(FA31),逐级计算!$X$157&gt;-1),IF(逐级计算!$X$157=0,FA31+逐级计算!$C$157,FA31+逐级计算!$C$157-(10/(逐级计算!$Q$157*LN(10))*(MAX((LN(10^(逐级计算!$Q$157/10)-1)+逐级计算!$Q$157*(FA31-逐级计算!$P$157)*LN(10)/10),0)+LN(1+EXP(-ABS((LN(10^(逐级计算!$Q$157/10)-1)+逐级计算!$Q$157*(FA31-逐级计算!$P$157)*LN(10)/10))))))),"")</f>
        <v>13.793034509477</v>
      </c>
      <c r="FC31">
        <f>IF(AND(ISNUMBER(FB31),逐级计算!$X$158&gt;-1),IF(逐级计算!$X$158=0,FB31+逐级计算!$C$158,FB31+逐级计算!$C$158-(10/(逐级计算!$Q$158*LN(10))*(MAX((LN(10^(逐级计算!$Q$158/10)-1)+逐级计算!$Q$158*(FB31-逐级计算!$P$158)*LN(10)/10),0)+LN(1+EXP(-ABS((LN(10^(逐级计算!$Q$158/10)-1)+逐级计算!$Q$158*(FB31-逐级计算!$P$158)*LN(10)/10))))))),"")</f>
        <v>13.793034509477</v>
      </c>
      <c r="FD31">
        <f>IF(AND(ISNUMBER(FC31),逐级计算!$X$159&gt;-1),IF(逐级计算!$X$159=0,FC31+逐级计算!$C$159,FC31+逐级计算!$C$159-(10/(逐级计算!$Q$159*LN(10))*(MAX((LN(10^(逐级计算!$Q$159/10)-1)+逐级计算!$Q$159*(FC31-逐级计算!$P$159)*LN(10)/10),0)+LN(1+EXP(-ABS((LN(10^(逐级计算!$Q$159/10)-1)+逐级计算!$Q$159*(FC31-逐级计算!$P$159)*LN(10)/10))))))),"")</f>
        <v>13.793034509477</v>
      </c>
      <c r="FE31">
        <f>IF(AND(ISNUMBER(FD31),逐级计算!$X$160&gt;-1),IF(逐级计算!$X$160=0,FD31+逐级计算!$C$160,FD31+逐级计算!$C$160-(10/(逐级计算!$Q$160*LN(10))*(MAX((LN(10^(逐级计算!$Q$160/10)-1)+逐级计算!$Q$160*(FD31-逐级计算!$P$160)*LN(10)/10),0)+LN(1+EXP(-ABS((LN(10^(逐级计算!$Q$160/10)-1)+逐级计算!$Q$160*(FD31-逐级计算!$P$160)*LN(10)/10))))))),"")</f>
        <v>13.793034509477</v>
      </c>
      <c r="FF31">
        <f>IF(AND(ISNUMBER(FE31),逐级计算!$X$161&gt;-1),IF(逐级计算!$X$161=0,FE31+逐级计算!$C$161,FE31+逐级计算!$C$161-(10/(逐级计算!$Q$161*LN(10))*(MAX((LN(10^(逐级计算!$Q$161/10)-1)+逐级计算!$Q$161*(FE31-逐级计算!$P$161)*LN(10)/10),0)+LN(1+EXP(-ABS((LN(10^(逐级计算!$Q$161/10)-1)+逐级计算!$Q$161*(FE31-逐级计算!$P$161)*LN(10)/10))))))),"")</f>
        <v>13.793034509477</v>
      </c>
      <c r="FG31">
        <f>IF(AND(ISNUMBER(FF31),逐级计算!$X$162&gt;-1),IF(逐级计算!$X$162=0,FF31+逐级计算!$C$162,FF31+逐级计算!$C$162-(10/(逐级计算!$Q$162*LN(10))*(MAX((LN(10^(逐级计算!$Q$162/10)-1)+逐级计算!$Q$162*(FF31-逐级计算!$P$162)*LN(10)/10),0)+LN(1+EXP(-ABS((LN(10^(逐级计算!$Q$162/10)-1)+逐级计算!$Q$162*(FF31-逐级计算!$P$162)*LN(10)/10))))))),"")</f>
        <v>13.793034509477</v>
      </c>
      <c r="FH31">
        <f>IF(AND(ISNUMBER(FG31),逐级计算!$X$163&gt;-1),IF(逐级计算!$X$163=0,FG31+逐级计算!$C$163,FG31+逐级计算!$C$163-(10/(逐级计算!$Q$163*LN(10))*(MAX((LN(10^(逐级计算!$Q$163/10)-1)+逐级计算!$Q$163*(FG31-逐级计算!$P$163)*LN(10)/10),0)+LN(1+EXP(-ABS((LN(10^(逐级计算!$Q$163/10)-1)+逐级计算!$Q$163*(FG31-逐级计算!$P$163)*LN(10)/10))))))),"")</f>
        <v>13.793034509477</v>
      </c>
      <c r="FI31">
        <f>IF(AND(ISNUMBER(FH31),逐级计算!$X$164&gt;-1),IF(逐级计算!$X$164=0,FH31+逐级计算!$C$164,FH31+逐级计算!$C$164-(10/(逐级计算!$Q$164*LN(10))*(MAX((LN(10^(逐级计算!$Q$164/10)-1)+逐级计算!$Q$164*(FH31-逐级计算!$P$164)*LN(10)/10),0)+LN(1+EXP(-ABS((LN(10^(逐级计算!$Q$164/10)-1)+逐级计算!$Q$164*(FH31-逐级计算!$P$164)*LN(10)/10))))))),"")</f>
        <v>13.793034509477</v>
      </c>
      <c r="FJ31">
        <f>IF(AND(ISNUMBER(FI31),逐级计算!$X$165&gt;-1),IF(逐级计算!$X$165=0,FI31+逐级计算!$C$165,FI31+逐级计算!$C$165-(10/(逐级计算!$Q$165*LN(10))*(MAX((LN(10^(逐级计算!$Q$165/10)-1)+逐级计算!$Q$165*(FI31-逐级计算!$P$165)*LN(10)/10),0)+LN(1+EXP(-ABS((LN(10^(逐级计算!$Q$165/10)-1)+逐级计算!$Q$165*(FI31-逐级计算!$P$165)*LN(10)/10))))))),"")</f>
        <v>13.793034509477</v>
      </c>
      <c r="FK31">
        <f>IF(AND(ISNUMBER(FJ31),逐级计算!$X$166&gt;-1),IF(逐级计算!$X$166=0,FJ31+逐级计算!$C$166,FJ31+逐级计算!$C$166-(10/(逐级计算!$Q$166*LN(10))*(MAX((LN(10^(逐级计算!$Q$166/10)-1)+逐级计算!$Q$166*(FJ31-逐级计算!$P$166)*LN(10)/10),0)+LN(1+EXP(-ABS((LN(10^(逐级计算!$Q$166/10)-1)+逐级计算!$Q$166*(FJ31-逐级计算!$P$166)*LN(10)/10))))))),"")</f>
        <v>13.793034509477</v>
      </c>
      <c r="FL31">
        <f>IF(AND(ISNUMBER(FK31),逐级计算!$X$167&gt;-1),IF(逐级计算!$X$167=0,FK31+逐级计算!$C$167,FK31+逐级计算!$C$167-(10/(逐级计算!$Q$167*LN(10))*(MAX((LN(10^(逐级计算!$Q$167/10)-1)+逐级计算!$Q$167*(FK31-逐级计算!$P$167)*LN(10)/10),0)+LN(1+EXP(-ABS((LN(10^(逐级计算!$Q$167/10)-1)+逐级计算!$Q$167*(FK31-逐级计算!$P$167)*LN(10)/10))))))),"")</f>
        <v>13.793034509477</v>
      </c>
      <c r="FM31">
        <f>IF(AND(ISNUMBER(FL31),逐级计算!$X$168&gt;-1),IF(逐级计算!$X$168=0,FL31+逐级计算!$C$168,FL31+逐级计算!$C$168-(10/(逐级计算!$Q$168*LN(10))*(MAX((LN(10^(逐级计算!$Q$168/10)-1)+逐级计算!$Q$168*(FL31-逐级计算!$P$168)*LN(10)/10),0)+LN(1+EXP(-ABS((LN(10^(逐级计算!$Q$168/10)-1)+逐级计算!$Q$168*(FL31-逐级计算!$P$168)*LN(10)/10))))))),"")</f>
        <v>13.793034509477</v>
      </c>
      <c r="FN31">
        <f>IF(AND(ISNUMBER(FM31),逐级计算!$X$169&gt;-1),IF(逐级计算!$X$169=0,FM31+逐级计算!$C$169,FM31+逐级计算!$C$169-(10/(逐级计算!$Q$169*LN(10))*(MAX((LN(10^(逐级计算!$Q$169/10)-1)+逐级计算!$Q$169*(FM31-逐级计算!$P$169)*LN(10)/10),0)+LN(1+EXP(-ABS((LN(10^(逐级计算!$Q$169/10)-1)+逐级计算!$Q$169*(FM31-逐级计算!$P$169)*LN(10)/10))))))),"")</f>
        <v>13.793034509477</v>
      </c>
      <c r="FO31">
        <f>IF(AND(ISNUMBER(FN31),逐级计算!$X$170&gt;-1),IF(逐级计算!$X$170=0,FN31+逐级计算!$C$170,FN31+逐级计算!$C$170-(10/(逐级计算!$Q$170*LN(10))*(MAX((LN(10^(逐级计算!$Q$170/10)-1)+逐级计算!$Q$170*(FN31-逐级计算!$P$170)*LN(10)/10),0)+LN(1+EXP(-ABS((LN(10^(逐级计算!$Q$170/10)-1)+逐级计算!$Q$170*(FN31-逐级计算!$P$170)*LN(10)/10))))))),"")</f>
        <v>13.793034509477</v>
      </c>
      <c r="FP31">
        <f>IF(AND(ISNUMBER(FO31),逐级计算!$X$171&gt;-1),IF(逐级计算!$X$171=0,FO31+逐级计算!$C$171,FO31+逐级计算!$C$171-(10/(逐级计算!$Q$171*LN(10))*(MAX((LN(10^(逐级计算!$Q$171/10)-1)+逐级计算!$Q$171*(FO31-逐级计算!$P$171)*LN(10)/10),0)+LN(1+EXP(-ABS((LN(10^(逐级计算!$Q$171/10)-1)+逐级计算!$Q$171*(FO31-逐级计算!$P$171)*LN(10)/10))))))),"")</f>
        <v>13.793034509477</v>
      </c>
      <c r="FQ31">
        <f>IF(AND(ISNUMBER(FP31),逐级计算!$X$172&gt;-1),IF(逐级计算!$X$172=0,FP31+逐级计算!$C$172,FP31+逐级计算!$C$172-(10/(逐级计算!$Q$172*LN(10))*(MAX((LN(10^(逐级计算!$Q$172/10)-1)+逐级计算!$Q$172*(FP31-逐级计算!$P$172)*LN(10)/10),0)+LN(1+EXP(-ABS((LN(10^(逐级计算!$Q$172/10)-1)+逐级计算!$Q$172*(FP31-逐级计算!$P$172)*LN(10)/10))))))),"")</f>
        <v>13.793034509477</v>
      </c>
      <c r="FR31">
        <f>IF(AND(ISNUMBER(FQ31),逐级计算!$X$173&gt;-1),IF(逐级计算!$X$173=0,FQ31+逐级计算!$C$173,FQ31+逐级计算!$C$173-(10/(逐级计算!$Q$173*LN(10))*(MAX((LN(10^(逐级计算!$Q$173/10)-1)+逐级计算!$Q$173*(FQ31-逐级计算!$P$173)*LN(10)/10),0)+LN(1+EXP(-ABS((LN(10^(逐级计算!$Q$173/10)-1)+逐级计算!$Q$173*(FQ31-逐级计算!$P$173)*LN(10)/10))))))),"")</f>
        <v>13.793034509477</v>
      </c>
      <c r="FS31">
        <f>IF(AND(ISNUMBER(FR31),逐级计算!$X$174&gt;-1),IF(逐级计算!$X$174=0,FR31+逐级计算!$C$174,FR31+逐级计算!$C$174-(10/(逐级计算!$Q$174*LN(10))*(MAX((LN(10^(逐级计算!$Q$174/10)-1)+逐级计算!$Q$174*(FR31-逐级计算!$P$174)*LN(10)/10),0)+LN(1+EXP(-ABS((LN(10^(逐级计算!$Q$174/10)-1)+逐级计算!$Q$174*(FR31-逐级计算!$P$174)*LN(10)/10))))))),"")</f>
        <v>13.793034509477</v>
      </c>
      <c r="FT31">
        <f>IF(AND(ISNUMBER(FS31),逐级计算!$X$175&gt;-1),IF(逐级计算!$X$175=0,FS31+逐级计算!$C$175,FS31+逐级计算!$C$175-(10/(逐级计算!$Q$175*LN(10))*(MAX((LN(10^(逐级计算!$Q$175/10)-1)+逐级计算!$Q$175*(FS31-逐级计算!$P$175)*LN(10)/10),0)+LN(1+EXP(-ABS((LN(10^(逐级计算!$Q$175/10)-1)+逐级计算!$Q$175*(FS31-逐级计算!$P$175)*LN(10)/10))))))),"")</f>
        <v>13.793034509477</v>
      </c>
      <c r="FU31">
        <f>IF(AND(ISNUMBER(FT31),逐级计算!$X$176&gt;-1),IF(逐级计算!$X$176=0,FT31+逐级计算!$C$176,FT31+逐级计算!$C$176-(10/(逐级计算!$Q$176*LN(10))*(MAX((LN(10^(逐级计算!$Q$176/10)-1)+逐级计算!$Q$176*(FT31-逐级计算!$P$176)*LN(10)/10),0)+LN(1+EXP(-ABS((LN(10^(逐级计算!$Q$176/10)-1)+逐级计算!$Q$176*(FT31-逐级计算!$P$176)*LN(10)/10))))))),"")</f>
        <v>13.793034509477</v>
      </c>
      <c r="FV31">
        <f>IF(AND(ISNUMBER(FU31),逐级计算!$X$177&gt;-1),IF(逐级计算!$X$177=0,FU31+逐级计算!$C$177,FU31+逐级计算!$C$177-(10/(逐级计算!$Q$177*LN(10))*(MAX((LN(10^(逐级计算!$Q$177/10)-1)+逐级计算!$Q$177*(FU31-逐级计算!$P$177)*LN(10)/10),0)+LN(1+EXP(-ABS((LN(10^(逐级计算!$Q$177/10)-1)+逐级计算!$Q$177*(FU31-逐级计算!$P$177)*LN(10)/10))))))),"")</f>
        <v>13.793034509477</v>
      </c>
      <c r="FW31">
        <f>IF(AND(ISNUMBER(FV31),逐级计算!$X$178&gt;-1),IF(逐级计算!$X$178=0,FV31+逐级计算!$C$178,FV31+逐级计算!$C$178-(10/(逐级计算!$Q$178*LN(10))*(MAX((LN(10^(逐级计算!$Q$178/10)-1)+逐级计算!$Q$178*(FV31-逐级计算!$P$178)*LN(10)/10),0)+LN(1+EXP(-ABS((LN(10^(逐级计算!$Q$178/10)-1)+逐级计算!$Q$178*(FV31-逐级计算!$P$178)*LN(10)/10))))))),"")</f>
        <v>13.793034509477</v>
      </c>
      <c r="FX31">
        <f>IF(AND(ISNUMBER(FW31),逐级计算!$X$179&gt;-1),IF(逐级计算!$X$179=0,FW31+逐级计算!$C$179,FW31+逐级计算!$C$179-(10/(逐级计算!$Q$179*LN(10))*(MAX((LN(10^(逐级计算!$Q$179/10)-1)+逐级计算!$Q$179*(FW31-逐级计算!$P$179)*LN(10)/10),0)+LN(1+EXP(-ABS((LN(10^(逐级计算!$Q$179/10)-1)+逐级计算!$Q$179*(FW31-逐级计算!$P$179)*LN(10)/10))))))),"")</f>
        <v>13.793034509477</v>
      </c>
      <c r="FY31">
        <f>IF(AND(ISNUMBER(FX31),逐级计算!$X$180&gt;-1),IF(逐级计算!$X$180=0,FX31+逐级计算!$C$180,FX31+逐级计算!$C$180-(10/(逐级计算!$Q$180*LN(10))*(MAX((LN(10^(逐级计算!$Q$180/10)-1)+逐级计算!$Q$180*(FX31-逐级计算!$P$180)*LN(10)/10),0)+LN(1+EXP(-ABS((LN(10^(逐级计算!$Q$180/10)-1)+逐级计算!$Q$180*(FX31-逐级计算!$P$180)*LN(10)/10))))))),"")</f>
        <v>13.793034509477</v>
      </c>
      <c r="FZ31">
        <f>IF(AND(ISNUMBER(FY31),逐级计算!$X$181&gt;-1),IF(逐级计算!$X$181=0,FY31+逐级计算!$C$181,FY31+逐级计算!$C$181-(10/(逐级计算!$Q$181*LN(10))*(MAX((LN(10^(逐级计算!$Q$181/10)-1)+逐级计算!$Q$181*(FY31-逐级计算!$P$181)*LN(10)/10),0)+LN(1+EXP(-ABS((LN(10^(逐级计算!$Q$181/10)-1)+逐级计算!$Q$181*(FY31-逐级计算!$P$181)*LN(10)/10))))))),"")</f>
        <v>13.793034509477</v>
      </c>
      <c r="GA31">
        <f>IF(AND(ISNUMBER(FZ31),逐级计算!$X$182&gt;-1),IF(逐级计算!$X$182=0,FZ31+逐级计算!$C$182,FZ31+逐级计算!$C$182-(10/(逐级计算!$Q$182*LN(10))*(MAX((LN(10^(逐级计算!$Q$182/10)-1)+逐级计算!$Q$182*(FZ31-逐级计算!$P$182)*LN(10)/10),0)+LN(1+EXP(-ABS((LN(10^(逐级计算!$Q$182/10)-1)+逐级计算!$Q$182*(FZ31-逐级计算!$P$182)*LN(10)/10))))))),"")</f>
        <v>13.793034509477</v>
      </c>
      <c r="GB31">
        <f>IF(AND(ISNUMBER(GA31),逐级计算!$X$183&gt;-1),IF(逐级计算!$X$183=0,GA31+逐级计算!$C$183,GA31+逐级计算!$C$183-(10/(逐级计算!$Q$183*LN(10))*(MAX((LN(10^(逐级计算!$Q$183/10)-1)+逐级计算!$Q$183*(GA31-逐级计算!$P$183)*LN(10)/10),0)+LN(1+EXP(-ABS((LN(10^(逐级计算!$Q$183/10)-1)+逐级计算!$Q$183*(GA31-逐级计算!$P$183)*LN(10)/10))))))),"")</f>
        <v>13.793034509477</v>
      </c>
      <c r="GC31">
        <f>IF(AND(ISNUMBER(GB31),逐级计算!$X$184&gt;-1),IF(逐级计算!$X$184=0,GB31+逐级计算!$C$184,GB31+逐级计算!$C$184-(10/(逐级计算!$Q$184*LN(10))*(MAX((LN(10^(逐级计算!$Q$184/10)-1)+逐级计算!$Q$184*(GB31-逐级计算!$P$184)*LN(10)/10),0)+LN(1+EXP(-ABS((LN(10^(逐级计算!$Q$184/10)-1)+逐级计算!$Q$184*(GB31-逐级计算!$P$184)*LN(10)/10))))))),"")</f>
        <v>13.793034509477</v>
      </c>
      <c r="GD31">
        <f>IF(AND(ISNUMBER(GC31),逐级计算!$X$185&gt;-1),IF(逐级计算!$X$185=0,GC31+逐级计算!$C$185,GC31+逐级计算!$C$185-(10/(逐级计算!$Q$185*LN(10))*(MAX((LN(10^(逐级计算!$Q$185/10)-1)+逐级计算!$Q$185*(GC31-逐级计算!$P$185)*LN(10)/10),0)+LN(1+EXP(-ABS((LN(10^(逐级计算!$Q$185/10)-1)+逐级计算!$Q$185*(GC31-逐级计算!$P$185)*LN(10)/10))))))),"")</f>
        <v>13.793034509477</v>
      </c>
      <c r="GE31">
        <f>IF(AND(ISNUMBER(GD31),逐级计算!$X$186&gt;-1),IF(逐级计算!$X$186=0,GD31+逐级计算!$C$186,GD31+逐级计算!$C$186-(10/(逐级计算!$Q$186*LN(10))*(MAX((LN(10^(逐级计算!$Q$186/10)-1)+逐级计算!$Q$186*(GD31-逐级计算!$P$186)*LN(10)/10),0)+LN(1+EXP(-ABS((LN(10^(逐级计算!$Q$186/10)-1)+逐级计算!$Q$186*(GD31-逐级计算!$P$186)*LN(10)/10))))))),"")</f>
        <v>13.793034509477</v>
      </c>
      <c r="GF31">
        <f>IF(AND(ISNUMBER(GE31),逐级计算!$X$187&gt;-1),IF(逐级计算!$X$187=0,GE31+逐级计算!$C$187,GE31+逐级计算!$C$187-(10/(逐级计算!$Q$187*LN(10))*(MAX((LN(10^(逐级计算!$Q$187/10)-1)+逐级计算!$Q$187*(GE31-逐级计算!$P$187)*LN(10)/10),0)+LN(1+EXP(-ABS((LN(10^(逐级计算!$Q$187/10)-1)+逐级计算!$Q$187*(GE31-逐级计算!$P$187)*LN(10)/10))))))),"")</f>
        <v>13.793034509477</v>
      </c>
      <c r="GG31">
        <f>IF(AND(ISNUMBER(GF31),逐级计算!$X$188&gt;-1),IF(逐级计算!$X$188=0,GF31+逐级计算!$C$188,GF31+逐级计算!$C$188-(10/(逐级计算!$Q$188*LN(10))*(MAX((LN(10^(逐级计算!$Q$188/10)-1)+逐级计算!$Q$188*(GF31-逐级计算!$P$188)*LN(10)/10),0)+LN(1+EXP(-ABS((LN(10^(逐级计算!$Q$188/10)-1)+逐级计算!$Q$188*(GF31-逐级计算!$P$188)*LN(10)/10))))))),"")</f>
        <v>13.793034509477</v>
      </c>
      <c r="GH31">
        <f>IF(AND(ISNUMBER(GG31),逐级计算!$X$189&gt;-1),IF(逐级计算!$X$189=0,GG31+逐级计算!$C$189,GG31+逐级计算!$C$189-(10/(逐级计算!$Q$189*LN(10))*(MAX((LN(10^(逐级计算!$Q$189/10)-1)+逐级计算!$Q$189*(GG31-逐级计算!$P$189)*LN(10)/10),0)+LN(1+EXP(-ABS((LN(10^(逐级计算!$Q$189/10)-1)+逐级计算!$Q$189*(GG31-逐级计算!$P$189)*LN(10)/10))))))),"")</f>
        <v>13.793034509477</v>
      </c>
      <c r="GI31">
        <f>IF(AND(ISNUMBER(GH31),逐级计算!$X$190&gt;-1),IF(逐级计算!$X$190=0,GH31+逐级计算!$C$190,GH31+逐级计算!$C$190-(10/(逐级计算!$Q$190*LN(10))*(MAX((LN(10^(逐级计算!$Q$190/10)-1)+逐级计算!$Q$190*(GH31-逐级计算!$P$190)*LN(10)/10),0)+LN(1+EXP(-ABS((LN(10^(逐级计算!$Q$190/10)-1)+逐级计算!$Q$190*(GH31-逐级计算!$P$190)*LN(10)/10))))))),"")</f>
        <v>13.793034509477</v>
      </c>
      <c r="GJ31">
        <f>IF(AND(ISNUMBER(GI31),逐级计算!$X$191&gt;-1),IF(逐级计算!$X$191=0,GI31+逐级计算!$C$191,GI31+逐级计算!$C$191-(10/(逐级计算!$Q$191*LN(10))*(MAX((LN(10^(逐级计算!$Q$191/10)-1)+逐级计算!$Q$191*(GI31-逐级计算!$P$191)*LN(10)/10),0)+LN(1+EXP(-ABS((LN(10^(逐级计算!$Q$191/10)-1)+逐级计算!$Q$191*(GI31-逐级计算!$P$191)*LN(10)/10))))))),"")</f>
        <v>13.793034509477</v>
      </c>
      <c r="GK31">
        <f>IF(AND(ISNUMBER(GJ31),逐级计算!$X$192&gt;-1),IF(逐级计算!$X$192=0,GJ31+逐级计算!$C$192,GJ31+逐级计算!$C$192-(10/(逐级计算!$Q$192*LN(10))*(MAX((LN(10^(逐级计算!$Q$192/10)-1)+逐级计算!$Q$192*(GJ31-逐级计算!$P$192)*LN(10)/10),0)+LN(1+EXP(-ABS((LN(10^(逐级计算!$Q$192/10)-1)+逐级计算!$Q$192*(GJ31-逐级计算!$P$192)*LN(10)/10))))))),"")</f>
        <v>13.793034509477</v>
      </c>
      <c r="GL31">
        <f>IF(AND(ISNUMBER(GK31),逐级计算!$X$193&gt;-1),IF(逐级计算!$X$193=0,GK31+逐级计算!$C$193,GK31+逐级计算!$C$193-(10/(逐级计算!$Q$193*LN(10))*(MAX((LN(10^(逐级计算!$Q$193/10)-1)+逐级计算!$Q$193*(GK31-逐级计算!$P$193)*LN(10)/10),0)+LN(1+EXP(-ABS((LN(10^(逐级计算!$Q$193/10)-1)+逐级计算!$Q$193*(GK31-逐级计算!$P$193)*LN(10)/10))))))),"")</f>
        <v>13.793034509477</v>
      </c>
      <c r="GM31">
        <f>IF(AND(ISNUMBER(GL31),逐级计算!$X$194&gt;-1),IF(逐级计算!$X$194=0,GL31+逐级计算!$C$194,GL31+逐级计算!$C$194-(10/(逐级计算!$Q$194*LN(10))*(MAX((LN(10^(逐级计算!$Q$194/10)-1)+逐级计算!$Q$194*(GL31-逐级计算!$P$194)*LN(10)/10),0)+LN(1+EXP(-ABS((LN(10^(逐级计算!$Q$194/10)-1)+逐级计算!$Q$194*(GL31-逐级计算!$P$194)*LN(10)/10))))))),"")</f>
        <v>13.793034509477</v>
      </c>
      <c r="GN31">
        <f>IF(AND(ISNUMBER(GM31),逐级计算!$X$195&gt;-1),IF(逐级计算!$X$195=0,GM31+逐级计算!$C$195,GM31+逐级计算!$C$195-(10/(逐级计算!$Q$195*LN(10))*(MAX((LN(10^(逐级计算!$Q$195/10)-1)+逐级计算!$Q$195*(GM31-逐级计算!$P$195)*LN(10)/10),0)+LN(1+EXP(-ABS((LN(10^(逐级计算!$Q$195/10)-1)+逐级计算!$Q$195*(GM31-逐级计算!$P$195)*LN(10)/10))))))),"")</f>
        <v>13.793034509477</v>
      </c>
      <c r="GO31">
        <f>IF(AND(ISNUMBER(GN31),逐级计算!$X$196&gt;-1),IF(逐级计算!$X$196=0,GN31+逐级计算!$C$196,GN31+逐级计算!$C$196-(10/(逐级计算!$Q$196*LN(10))*(MAX((LN(10^(逐级计算!$Q$196/10)-1)+逐级计算!$Q$196*(GN31-逐级计算!$P$196)*LN(10)/10),0)+LN(1+EXP(-ABS((LN(10^(逐级计算!$Q$196/10)-1)+逐级计算!$Q$196*(GN31-逐级计算!$P$196)*LN(10)/10))))))),"")</f>
        <v>13.793034509477</v>
      </c>
      <c r="GP31">
        <f>IF(AND(ISNUMBER(GO31),逐级计算!$X$197&gt;-1),IF(逐级计算!$X$197=0,GO31+逐级计算!$C$197,GO31+逐级计算!$C$197-(10/(逐级计算!$Q$197*LN(10))*(MAX((LN(10^(逐级计算!$Q$197/10)-1)+逐级计算!$Q$197*(GO31-逐级计算!$P$197)*LN(10)/10),0)+LN(1+EXP(-ABS((LN(10^(逐级计算!$Q$197/10)-1)+逐级计算!$Q$197*(GO31-逐级计算!$P$197)*LN(10)/10))))))),"")</f>
        <v>13.793034509477</v>
      </c>
      <c r="GQ31">
        <f>IF(AND(ISNUMBER(GP31),逐级计算!$X$198&gt;-1),IF(逐级计算!$X$198=0,GP31+逐级计算!$C$198,GP31+逐级计算!$C$198-(10/(逐级计算!$Q$198*LN(10))*(MAX((LN(10^(逐级计算!$Q$198/10)-1)+逐级计算!$Q$198*(GP31-逐级计算!$P$198)*LN(10)/10),0)+LN(1+EXP(-ABS((LN(10^(逐级计算!$Q$198/10)-1)+逐级计算!$Q$198*(GP31-逐级计算!$P$198)*LN(10)/10))))))),"")</f>
        <v>13.793034509477</v>
      </c>
      <c r="GR31">
        <f>IF(AND(ISNUMBER(GQ31),逐级计算!$X$199&gt;-1),IF(逐级计算!$X$199=0,GQ31+逐级计算!$C$199,GQ31+逐级计算!$C$199-(10/(逐级计算!$Q$199*LN(10))*(MAX((LN(10^(逐级计算!$Q$199/10)-1)+逐级计算!$Q$199*(GQ31-逐级计算!$P$199)*LN(10)/10),0)+LN(1+EXP(-ABS((LN(10^(逐级计算!$Q$199/10)-1)+逐级计算!$Q$199*(GQ31-逐级计算!$P$199)*LN(10)/10))))))),"")</f>
        <v>13.793034509477</v>
      </c>
      <c r="GS31">
        <f>IF(AND(ISNUMBER(GR31),逐级计算!$X$200&gt;-1),IF(逐级计算!$X$200=0,GR31+逐级计算!$C$200,GR31+逐级计算!$C$200-(10/(逐级计算!$Q$200*LN(10))*(MAX((LN(10^(逐级计算!$Q$200/10)-1)+逐级计算!$Q$200*(GR31-逐级计算!$P$200)*LN(10)/10),0)+LN(1+EXP(-ABS((LN(10^(逐级计算!$Q$200/10)-1)+逐级计算!$Q$200*(GR31-逐级计算!$P$200)*LN(10)/10))))))),"")</f>
        <v>13.793034509477</v>
      </c>
      <c r="GT31">
        <f>IF(AND(ISNUMBER(GS31),逐级计算!$X$201&gt;-1),IF(逐级计算!$X$201=0,GS31+逐级计算!$C$201,GS31+逐级计算!$C$201-(10/(逐级计算!$Q$201*LN(10))*(MAX((LN(10^(逐级计算!$Q$201/10)-1)+逐级计算!$Q$201*(GS31-逐级计算!$P$201)*LN(10)/10),0)+LN(1+EXP(-ABS((LN(10^(逐级计算!$Q$201/10)-1)+逐级计算!$Q$201*(GS31-逐级计算!$P$201)*LN(10)/10))))))),"")</f>
        <v>13.793034509477</v>
      </c>
      <c r="GU31">
        <f>IF(AND(ISNUMBER(GT31),逐级计算!$X$202&gt;-1),IF(逐级计算!$X$202=0,GT31+逐级计算!$C$202,GT31+逐级计算!$C$202-(10/(逐级计算!$Q$202*LN(10))*(MAX((LN(10^(逐级计算!$Q$202/10)-1)+逐级计算!$Q$202*(GT31-逐级计算!$P$202)*LN(10)/10),0)+LN(1+EXP(-ABS((LN(10^(逐级计算!$Q$202/10)-1)+逐级计算!$Q$202*(GT31-逐级计算!$P$202)*LN(10)/10))))))),"")</f>
        <v>13.793034509477</v>
      </c>
      <c r="GV31">
        <f>IF(AND(ISNUMBER(GU31),逐级计算!$X$203&gt;-1),IF(逐级计算!$X$203=0,GU31+逐级计算!$C$203,GU31+逐级计算!$C$203-(10/(逐级计算!$Q$203*LN(10))*(MAX((LN(10^(逐级计算!$Q$203/10)-1)+逐级计算!$Q$203*(GU31-逐级计算!$P$203)*LN(10)/10),0)+LN(1+EXP(-ABS((LN(10^(逐级计算!$Q$203/10)-1)+逐级计算!$Q$203*(GU31-逐级计算!$P$203)*LN(10)/10))))))),"")</f>
        <v>13.793034509477</v>
      </c>
      <c r="GW31">
        <f t="shared" si="2"/>
        <v>-5.20696043968201</v>
      </c>
    </row>
    <row r="32" spans="1:205">
      <c r="A32">
        <v>25</v>
      </c>
      <c r="B32">
        <f t="shared" si="1"/>
        <v>-5.20696669816971</v>
      </c>
      <c r="C32">
        <f t="shared" si="0"/>
        <v>-5.20696356892586</v>
      </c>
      <c r="D32">
        <f>IF(AND(ISNUMBER(C32),ISNUMBER(逐级计算!$E$203),ISNUMBER(GV32)),C32+逐级计算!$E$203-GV32,"")</f>
        <v>0.999999947177178</v>
      </c>
      <c r="E32">
        <f>IF(AND(ISNUMBER(C32),逐级计算!$X$4&gt;-1),IF(逐级计算!$X$4=0,C32+逐级计算!$C$4,C32+逐级计算!$C$4-(10/(逐级计算!$Q$4*LN(10))*(MAX((LN(10^(逐级计算!$Q$4/10)-1)+逐级计算!$Q$4*(C32-逐级计算!$P$4)*LN(10)/10),0)+LN(1+EXP(-ABS((LN(10^(逐级计算!$Q$4/10)-1)+逐级计算!$Q$4*(C32-逐级计算!$P$4)*LN(10)/10))))))),"")</f>
        <v>4.6805396933749</v>
      </c>
      <c r="F32">
        <f>IF(AND(ISNUMBER(E32),逐级计算!$X$5&gt;-1),IF(逐级计算!$X$5=0,E32+逐级计算!$C$5,E32+逐级计算!$C$5-(10/(逐级计算!$Q$5*LN(10))*(MAX((LN(10^(逐级计算!$Q$5/10)-1)+逐级计算!$Q$5*(E32-逐级计算!$P$5)*LN(10)/10),0)+LN(1+EXP(-ABS((LN(10^(逐级计算!$Q$5/10)-1)+逐级计算!$Q$5*(E32-逐级计算!$P$5)*LN(10)/10))))))),"")</f>
        <v>13.793036483897</v>
      </c>
      <c r="G32">
        <f>IF(AND(ISNUMBER(F32),逐级计算!$X$6&gt;-1),IF(逐级计算!$X$6=0,F32+逐级计算!$C$6,F32+逐级计算!$C$6-(10/(逐级计算!$Q$6*LN(10))*(MAX((LN(10^(逐级计算!$Q$6/10)-1)+逐级计算!$Q$6*(F32-逐级计算!$P$6)*LN(10)/10),0)+LN(1+EXP(-ABS((LN(10^(逐级计算!$Q$6/10)-1)+逐级计算!$Q$6*(F32-逐级计算!$P$6)*LN(10)/10))))))),"")</f>
        <v>13.793036483897</v>
      </c>
      <c r="H32">
        <f>IF(AND(ISNUMBER(G32),逐级计算!$X$7&gt;-1),IF(逐级计算!$X$7=0,G32+逐级计算!$C$7,G32+逐级计算!$C$7-(10/(逐级计算!$Q$7*LN(10))*(MAX((LN(10^(逐级计算!$Q$7/10)-1)+逐级计算!$Q$7*(G32-逐级计算!$P$7)*LN(10)/10),0)+LN(1+EXP(-ABS((LN(10^(逐级计算!$Q$7/10)-1)+逐级计算!$Q$7*(G32-逐级计算!$P$7)*LN(10)/10))))))),"")</f>
        <v>13.793036483897</v>
      </c>
      <c r="I32">
        <f>IF(AND(ISNUMBER(H32),逐级计算!$X$8&gt;-1),IF(逐级计算!$X$8=0,H32+逐级计算!$C$8,H32+逐级计算!$C$8-(10/(逐级计算!$Q$8*LN(10))*(MAX((LN(10^(逐级计算!$Q$8/10)-1)+逐级计算!$Q$8*(H32-逐级计算!$P$8)*LN(10)/10),0)+LN(1+EXP(-ABS((LN(10^(逐级计算!$Q$8/10)-1)+逐级计算!$Q$8*(H32-逐级计算!$P$8)*LN(10)/10))))))),"")</f>
        <v>13.793036483897</v>
      </c>
      <c r="J32">
        <f>IF(AND(ISNUMBER(I32),逐级计算!$X$9&gt;-1),IF(逐级计算!$X$9=0,I32+逐级计算!$C$9,I32+逐级计算!$C$9-(10/(逐级计算!$Q$9*LN(10))*(MAX((LN(10^(逐级计算!$Q$9/10)-1)+逐级计算!$Q$9*(I32-逐级计算!$P$9)*LN(10)/10),0)+LN(1+EXP(-ABS((LN(10^(逐级计算!$Q$9/10)-1)+逐级计算!$Q$9*(I32-逐级计算!$P$9)*LN(10)/10))))))),"")</f>
        <v>13.793036483897</v>
      </c>
      <c r="K32">
        <f>IF(AND(ISNUMBER(J32),逐级计算!$X$10&gt;-1),IF(逐级计算!$X$10=0,J32+逐级计算!$C$10,J32+逐级计算!$C$10-(10/(逐级计算!$Q$10*LN(10))*(MAX((LN(10^(逐级计算!$Q$10/10)-1)+逐级计算!$Q$10*(J32-逐级计算!$P$10)*LN(10)/10),0)+LN(1+EXP(-ABS((LN(10^(逐级计算!$Q$10/10)-1)+逐级计算!$Q$10*(J32-逐级计算!$P$10)*LN(10)/10))))))),"")</f>
        <v>13.793036483897</v>
      </c>
      <c r="L32">
        <f>IF(AND(ISNUMBER(K32),逐级计算!$X$11&gt;-1),IF(逐级计算!$X$11=0,K32+逐级计算!$C$11,K32+逐级计算!$C$11-(10/(逐级计算!$Q$11*LN(10))*(MAX((LN(10^(逐级计算!$Q$11/10)-1)+逐级计算!$Q$11*(K32-逐级计算!$P$11)*LN(10)/10),0)+LN(1+EXP(-ABS((LN(10^(逐级计算!$Q$11/10)-1)+逐级计算!$Q$11*(K32-逐级计算!$P$11)*LN(10)/10))))))),"")</f>
        <v>13.793036483897</v>
      </c>
      <c r="M32">
        <f>IF(AND(ISNUMBER(L32),逐级计算!$X$12&gt;-1),IF(逐级计算!$X$12=0,L32+逐级计算!$C$12,L32+逐级计算!$C$12-(10/(逐级计算!$Q$12*LN(10))*(MAX((LN(10^(逐级计算!$Q$12/10)-1)+逐级计算!$Q$12*(L32-逐级计算!$P$12)*LN(10)/10),0)+LN(1+EXP(-ABS((LN(10^(逐级计算!$Q$12/10)-1)+逐级计算!$Q$12*(L32-逐级计算!$P$12)*LN(10)/10))))))),"")</f>
        <v>13.793036483897</v>
      </c>
      <c r="N32">
        <f>IF(AND(ISNUMBER(M32),逐级计算!$X$13&gt;-1),IF(逐级计算!$X$13=0,M32+逐级计算!$C$13,M32+逐级计算!$C$13-(10/(逐级计算!$Q$13*LN(10))*(MAX((LN(10^(逐级计算!$Q$13/10)-1)+逐级计算!$Q$13*(M32-逐级计算!$P$13)*LN(10)/10),0)+LN(1+EXP(-ABS((LN(10^(逐级计算!$Q$13/10)-1)+逐级计算!$Q$13*(M32-逐级计算!$P$13)*LN(10)/10))))))),"")</f>
        <v>13.793036483897</v>
      </c>
      <c r="O32">
        <f>IF(AND(ISNUMBER(N32),逐级计算!$X$14&gt;-1),IF(逐级计算!$X$14=0,N32+逐级计算!$C$14,N32+逐级计算!$C$14-(10/(逐级计算!$Q$14*LN(10))*(MAX((LN(10^(逐级计算!$Q$14/10)-1)+逐级计算!$Q$14*(N32-逐级计算!$P$14)*LN(10)/10),0)+LN(1+EXP(-ABS((LN(10^(逐级计算!$Q$14/10)-1)+逐级计算!$Q$14*(N32-逐级计算!$P$14)*LN(10)/10))))))),"")</f>
        <v>13.793036483897</v>
      </c>
      <c r="P32">
        <f>IF(AND(ISNUMBER(O32),逐级计算!$X$15&gt;-1),IF(逐级计算!$X$15=0,O32+逐级计算!$C$15,O32+逐级计算!$C$15-(10/(逐级计算!$Q$15*LN(10))*(MAX((LN(10^(逐级计算!$Q$15/10)-1)+逐级计算!$Q$15*(O32-逐级计算!$P$15)*LN(10)/10),0)+LN(1+EXP(-ABS((LN(10^(逐级计算!$Q$15/10)-1)+逐级计算!$Q$15*(O32-逐级计算!$P$15)*LN(10)/10))))))),"")</f>
        <v>13.793036483897</v>
      </c>
      <c r="Q32">
        <f>IF(AND(ISNUMBER(P32),逐级计算!$X$16&gt;-1),IF(逐级计算!$X$16=0,P32+逐级计算!$C$16,P32+逐级计算!$C$16-(10/(逐级计算!$Q$16*LN(10))*(MAX((LN(10^(逐级计算!$Q$16/10)-1)+逐级计算!$Q$16*(P32-逐级计算!$P$16)*LN(10)/10),0)+LN(1+EXP(-ABS((LN(10^(逐级计算!$Q$16/10)-1)+逐级计算!$Q$16*(P32-逐级计算!$P$16)*LN(10)/10))))))),"")</f>
        <v>13.793036483897</v>
      </c>
      <c r="R32">
        <f>IF(AND(ISNUMBER(Q32),逐级计算!$X$17&gt;-1),IF(逐级计算!$X$17=0,Q32+逐级计算!$C$17,Q32+逐级计算!$C$17-(10/(逐级计算!$Q$17*LN(10))*(MAX((LN(10^(逐级计算!$Q$17/10)-1)+逐级计算!$Q$17*(Q32-逐级计算!$P$17)*LN(10)/10),0)+LN(1+EXP(-ABS((LN(10^(逐级计算!$Q$17/10)-1)+逐级计算!$Q$17*(Q32-逐级计算!$P$17)*LN(10)/10))))))),"")</f>
        <v>13.793036483897</v>
      </c>
      <c r="S32">
        <f>IF(AND(ISNUMBER(R32),逐级计算!$X$18&gt;-1),IF(逐级计算!$X$18=0,R32+逐级计算!$C$18,R32+逐级计算!$C$18-(10/(逐级计算!$Q$18*LN(10))*(MAX((LN(10^(逐级计算!$Q$18/10)-1)+逐级计算!$Q$18*(R32-逐级计算!$P$18)*LN(10)/10),0)+LN(1+EXP(-ABS((LN(10^(逐级计算!$Q$18/10)-1)+逐级计算!$Q$18*(R32-逐级计算!$P$18)*LN(10)/10))))))),"")</f>
        <v>13.793036483897</v>
      </c>
      <c r="T32">
        <f>IF(AND(ISNUMBER(S32),逐级计算!$X$19&gt;-1),IF(逐级计算!$X$19=0,S32+逐级计算!$C$19,S32+逐级计算!$C$19-(10/(逐级计算!$Q$19*LN(10))*(MAX((LN(10^(逐级计算!$Q$19/10)-1)+逐级计算!$Q$19*(S32-逐级计算!$P$19)*LN(10)/10),0)+LN(1+EXP(-ABS((LN(10^(逐级计算!$Q$19/10)-1)+逐级计算!$Q$19*(S32-逐级计算!$P$19)*LN(10)/10))))))),"")</f>
        <v>13.793036483897</v>
      </c>
      <c r="U32">
        <f>IF(AND(ISNUMBER(T32),逐级计算!$X$20&gt;-1),IF(逐级计算!$X$20=0,T32+逐级计算!$C$20,T32+逐级计算!$C$20-(10/(逐级计算!$Q$20*LN(10))*(MAX((LN(10^(逐级计算!$Q$20/10)-1)+逐级计算!$Q$20*(T32-逐级计算!$P$20)*LN(10)/10),0)+LN(1+EXP(-ABS((LN(10^(逐级计算!$Q$20/10)-1)+逐级计算!$Q$20*(T32-逐级计算!$P$20)*LN(10)/10))))))),"")</f>
        <v>13.793036483897</v>
      </c>
      <c r="V32">
        <f>IF(AND(ISNUMBER(U32),逐级计算!$X$21&gt;-1),IF(逐级计算!$X$21=0,U32+逐级计算!$C$21,U32+逐级计算!$C$21-(10/(逐级计算!$Q$21*LN(10))*(MAX((LN(10^(逐级计算!$Q$21/10)-1)+逐级计算!$Q$21*(U32-逐级计算!$P$21)*LN(10)/10),0)+LN(1+EXP(-ABS((LN(10^(逐级计算!$Q$21/10)-1)+逐级计算!$Q$21*(U32-逐级计算!$P$21)*LN(10)/10))))))),"")</f>
        <v>13.793036483897</v>
      </c>
      <c r="W32">
        <f>IF(AND(ISNUMBER(V32),逐级计算!$X$22&gt;-1),IF(逐级计算!$X$22=0,V32+逐级计算!$C$22,V32+逐级计算!$C$22-(10/(逐级计算!$Q$22*LN(10))*(MAX((LN(10^(逐级计算!$Q$22/10)-1)+逐级计算!$Q$22*(V32-逐级计算!$P$22)*LN(10)/10),0)+LN(1+EXP(-ABS((LN(10^(逐级计算!$Q$22/10)-1)+逐级计算!$Q$22*(V32-逐级计算!$P$22)*LN(10)/10))))))),"")</f>
        <v>13.793036483897</v>
      </c>
      <c r="X32">
        <f>IF(AND(ISNUMBER(W32),逐级计算!$X$23&gt;-1),IF(逐级计算!$X$23=0,W32+逐级计算!$C$23,W32+逐级计算!$C$23-(10/(逐级计算!$Q$23*LN(10))*(MAX((LN(10^(逐级计算!$Q$23/10)-1)+逐级计算!$Q$23*(W32-逐级计算!$P$23)*LN(10)/10),0)+LN(1+EXP(-ABS((LN(10^(逐级计算!$Q$23/10)-1)+逐级计算!$Q$23*(W32-逐级计算!$P$23)*LN(10)/10))))))),"")</f>
        <v>13.793036483897</v>
      </c>
      <c r="Y32">
        <f>IF(AND(ISNUMBER(X32),逐级计算!$X$24&gt;-1),IF(逐级计算!$X$24=0,X32+逐级计算!$C$24,X32+逐级计算!$C$24-(10/(逐级计算!$Q$24*LN(10))*(MAX((LN(10^(逐级计算!$Q$24/10)-1)+逐级计算!$Q$24*(X32-逐级计算!$P$24)*LN(10)/10),0)+LN(1+EXP(-ABS((LN(10^(逐级计算!$Q$24/10)-1)+逐级计算!$Q$24*(X32-逐级计算!$P$24)*LN(10)/10))))))),"")</f>
        <v>13.793036483897</v>
      </c>
      <c r="Z32">
        <f>IF(AND(ISNUMBER(Y32),逐级计算!$X$25&gt;-1),IF(逐级计算!$X$25=0,Y32+逐级计算!$C$25,Y32+逐级计算!$C$25-(10/(逐级计算!$Q$25*LN(10))*(MAX((LN(10^(逐级计算!$Q$25/10)-1)+逐级计算!$Q$25*(Y32-逐级计算!$P$25)*LN(10)/10),0)+LN(1+EXP(-ABS((LN(10^(逐级计算!$Q$25/10)-1)+逐级计算!$Q$25*(Y32-逐级计算!$P$25)*LN(10)/10))))))),"")</f>
        <v>13.793036483897</v>
      </c>
      <c r="AA32">
        <f>IF(AND(ISNUMBER(Z32),逐级计算!$X$26&gt;-1),IF(逐级计算!$X$26=0,Z32+逐级计算!$C$26,Z32+逐级计算!$C$26-(10/(逐级计算!$Q$26*LN(10))*(MAX((LN(10^(逐级计算!$Q$26/10)-1)+逐级计算!$Q$26*(Z32-逐级计算!$P$26)*LN(10)/10),0)+LN(1+EXP(-ABS((LN(10^(逐级计算!$Q$26/10)-1)+逐级计算!$Q$26*(Z32-逐级计算!$P$26)*LN(10)/10))))))),"")</f>
        <v>13.793036483897</v>
      </c>
      <c r="AB32">
        <f>IF(AND(ISNUMBER(AA32),逐级计算!$X$27&gt;-1),IF(逐级计算!$X$27=0,AA32+逐级计算!$C$27,AA32+逐级计算!$C$27-(10/(逐级计算!$Q$27*LN(10))*(MAX((LN(10^(逐级计算!$Q$27/10)-1)+逐级计算!$Q$27*(AA32-逐级计算!$P$27)*LN(10)/10),0)+LN(1+EXP(-ABS((LN(10^(逐级计算!$Q$27/10)-1)+逐级计算!$Q$27*(AA32-逐级计算!$P$27)*LN(10)/10))))))),"")</f>
        <v>13.793036483897</v>
      </c>
      <c r="AC32">
        <f>IF(AND(ISNUMBER(AB32),逐级计算!$X$28&gt;-1),IF(逐级计算!$X$28=0,AB32+逐级计算!$C$28,AB32+逐级计算!$C$28-(10/(逐级计算!$Q$28*LN(10))*(MAX((LN(10^(逐级计算!$Q$28/10)-1)+逐级计算!$Q$28*(AB32-逐级计算!$P$28)*LN(10)/10),0)+LN(1+EXP(-ABS((LN(10^(逐级计算!$Q$28/10)-1)+逐级计算!$Q$28*(AB32-逐级计算!$P$28)*LN(10)/10))))))),"")</f>
        <v>13.793036483897</v>
      </c>
      <c r="AD32">
        <f>IF(AND(ISNUMBER(AC32),逐级计算!$X$29&gt;-1),IF(逐级计算!$X$29=0,AC32+逐级计算!$C$29,AC32+逐级计算!$C$29-(10/(逐级计算!$Q$29*LN(10))*(MAX((LN(10^(逐级计算!$Q$29/10)-1)+逐级计算!$Q$29*(AC32-逐级计算!$P$29)*LN(10)/10),0)+LN(1+EXP(-ABS((LN(10^(逐级计算!$Q$29/10)-1)+逐级计算!$Q$29*(AC32-逐级计算!$P$29)*LN(10)/10))))))),"")</f>
        <v>13.793036483897</v>
      </c>
      <c r="AE32">
        <f>IF(AND(ISNUMBER(AD32),逐级计算!$X$30&gt;-1),IF(逐级计算!$X$30=0,AD32+逐级计算!$C$30,AD32+逐级计算!$C$30-(10/(逐级计算!$Q$30*LN(10))*(MAX((LN(10^(逐级计算!$Q$30/10)-1)+逐级计算!$Q$30*(AD32-逐级计算!$P$30)*LN(10)/10),0)+LN(1+EXP(-ABS((LN(10^(逐级计算!$Q$30/10)-1)+逐级计算!$Q$30*(AD32-逐级计算!$P$30)*LN(10)/10))))))),"")</f>
        <v>13.793036483897</v>
      </c>
      <c r="AF32">
        <f>IF(AND(ISNUMBER(AE32),逐级计算!$X$31&gt;-1),IF(逐级计算!$X$31=0,AE32+逐级计算!$C$31,AE32+逐级计算!$C$31-(10/(逐级计算!$Q$31*LN(10))*(MAX((LN(10^(逐级计算!$Q$31/10)-1)+逐级计算!$Q$31*(AE32-逐级计算!$P$31)*LN(10)/10),0)+LN(1+EXP(-ABS((LN(10^(逐级计算!$Q$31/10)-1)+逐级计算!$Q$31*(AE32-逐级计算!$P$31)*LN(10)/10))))))),"")</f>
        <v>13.793036483897</v>
      </c>
      <c r="AG32">
        <f>IF(AND(ISNUMBER(AF32),逐级计算!$X$32&gt;-1),IF(逐级计算!$X$32=0,AF32+逐级计算!$C$32,AF32+逐级计算!$C$32-(10/(逐级计算!$Q$32*LN(10))*(MAX((LN(10^(逐级计算!$Q$32/10)-1)+逐级计算!$Q$32*(AF32-逐级计算!$P$32)*LN(10)/10),0)+LN(1+EXP(-ABS((LN(10^(逐级计算!$Q$32/10)-1)+逐级计算!$Q$32*(AF32-逐级计算!$P$32)*LN(10)/10))))))),"")</f>
        <v>13.793036483897</v>
      </c>
      <c r="AH32">
        <f>IF(AND(ISNUMBER(AG32),逐级计算!$X$33&gt;-1),IF(逐级计算!$X$33=0,AG32+逐级计算!$C$33,AG32+逐级计算!$C$33-(10/(逐级计算!$Q$33*LN(10))*(MAX((LN(10^(逐级计算!$Q$33/10)-1)+逐级计算!$Q$33*(AG32-逐级计算!$P$33)*LN(10)/10),0)+LN(1+EXP(-ABS((LN(10^(逐级计算!$Q$33/10)-1)+逐级计算!$Q$33*(AG32-逐级计算!$P$33)*LN(10)/10))))))),"")</f>
        <v>13.793036483897</v>
      </c>
      <c r="AI32">
        <f>IF(AND(ISNUMBER(AH32),逐级计算!$X$34&gt;-1),IF(逐级计算!$X$34=0,AH32+逐级计算!$C$34,AH32+逐级计算!$C$34-(10/(逐级计算!$Q$34*LN(10))*(MAX((LN(10^(逐级计算!$Q$34/10)-1)+逐级计算!$Q$34*(AH32-逐级计算!$P$34)*LN(10)/10),0)+LN(1+EXP(-ABS((LN(10^(逐级计算!$Q$34/10)-1)+逐级计算!$Q$34*(AH32-逐级计算!$P$34)*LN(10)/10))))))),"")</f>
        <v>13.793036483897</v>
      </c>
      <c r="AJ32">
        <f>IF(AND(ISNUMBER(AI32),逐级计算!$X$35&gt;-1),IF(逐级计算!$X$35=0,AI32+逐级计算!$C$35,AI32+逐级计算!$C$35-(10/(逐级计算!$Q$35*LN(10))*(MAX((LN(10^(逐级计算!$Q$35/10)-1)+逐级计算!$Q$35*(AI32-逐级计算!$P$35)*LN(10)/10),0)+LN(1+EXP(-ABS((LN(10^(逐级计算!$Q$35/10)-1)+逐级计算!$Q$35*(AI32-逐级计算!$P$35)*LN(10)/10))))))),"")</f>
        <v>13.793036483897</v>
      </c>
      <c r="AK32">
        <f>IF(AND(ISNUMBER(AJ32),逐级计算!$X$36&gt;-1),IF(逐级计算!$X$36=0,AJ32+逐级计算!$C$36,AJ32+逐级计算!$C$36-(10/(逐级计算!$Q$36*LN(10))*(MAX((LN(10^(逐级计算!$Q$36/10)-1)+逐级计算!$Q$36*(AJ32-逐级计算!$P$36)*LN(10)/10),0)+LN(1+EXP(-ABS((LN(10^(逐级计算!$Q$36/10)-1)+逐级计算!$Q$36*(AJ32-逐级计算!$P$36)*LN(10)/10))))))),"")</f>
        <v>13.793036483897</v>
      </c>
      <c r="AL32">
        <f>IF(AND(ISNUMBER(AK32),逐级计算!$X$37&gt;-1),IF(逐级计算!$X$37=0,AK32+逐级计算!$C$37,AK32+逐级计算!$C$37-(10/(逐级计算!$Q$37*LN(10))*(MAX((LN(10^(逐级计算!$Q$37/10)-1)+逐级计算!$Q$37*(AK32-逐级计算!$P$37)*LN(10)/10),0)+LN(1+EXP(-ABS((LN(10^(逐级计算!$Q$37/10)-1)+逐级计算!$Q$37*(AK32-逐级计算!$P$37)*LN(10)/10))))))),"")</f>
        <v>13.793036483897</v>
      </c>
      <c r="AM32">
        <f>IF(AND(ISNUMBER(AL32),逐级计算!$X$38&gt;-1),IF(逐级计算!$X$38=0,AL32+逐级计算!$C$38,AL32+逐级计算!$C$38-(10/(逐级计算!$Q$38*LN(10))*(MAX((LN(10^(逐级计算!$Q$38/10)-1)+逐级计算!$Q$38*(AL32-逐级计算!$P$38)*LN(10)/10),0)+LN(1+EXP(-ABS((LN(10^(逐级计算!$Q$38/10)-1)+逐级计算!$Q$38*(AL32-逐级计算!$P$38)*LN(10)/10))))))),"")</f>
        <v>13.793036483897</v>
      </c>
      <c r="AN32">
        <f>IF(AND(ISNUMBER(AM32),逐级计算!$X$39&gt;-1),IF(逐级计算!$X$39=0,AM32+逐级计算!$C$39,AM32+逐级计算!$C$39-(10/(逐级计算!$Q$39*LN(10))*(MAX((LN(10^(逐级计算!$Q$39/10)-1)+逐级计算!$Q$39*(AM32-逐级计算!$P$39)*LN(10)/10),0)+LN(1+EXP(-ABS((LN(10^(逐级计算!$Q$39/10)-1)+逐级计算!$Q$39*(AM32-逐级计算!$P$39)*LN(10)/10))))))),"")</f>
        <v>13.793036483897</v>
      </c>
      <c r="AO32">
        <f>IF(AND(ISNUMBER(AN32),逐级计算!$X$40&gt;-1),IF(逐级计算!$X$40=0,AN32+逐级计算!$C$40,AN32+逐级计算!$C$40-(10/(逐级计算!$Q$40*LN(10))*(MAX((LN(10^(逐级计算!$Q$40/10)-1)+逐级计算!$Q$40*(AN32-逐级计算!$P$40)*LN(10)/10),0)+LN(1+EXP(-ABS((LN(10^(逐级计算!$Q$40/10)-1)+逐级计算!$Q$40*(AN32-逐级计算!$P$40)*LN(10)/10))))))),"")</f>
        <v>13.793036483897</v>
      </c>
      <c r="AP32">
        <f>IF(AND(ISNUMBER(AO32),逐级计算!$X$41&gt;-1),IF(逐级计算!$X$41=0,AO32+逐级计算!$C$41,AO32+逐级计算!$C$41-(10/(逐级计算!$Q$41*LN(10))*(MAX((LN(10^(逐级计算!$Q$41/10)-1)+逐级计算!$Q$41*(AO32-逐级计算!$P$41)*LN(10)/10),0)+LN(1+EXP(-ABS((LN(10^(逐级计算!$Q$41/10)-1)+逐级计算!$Q$41*(AO32-逐级计算!$P$41)*LN(10)/10))))))),"")</f>
        <v>13.793036483897</v>
      </c>
      <c r="AQ32">
        <f>IF(AND(ISNUMBER(AP32),逐级计算!$X$42&gt;-1),IF(逐级计算!$X$42=0,AP32+逐级计算!$C$42,AP32+逐级计算!$C$42-(10/(逐级计算!$Q$42*LN(10))*(MAX((LN(10^(逐级计算!$Q$42/10)-1)+逐级计算!$Q$42*(AP32-逐级计算!$P$42)*LN(10)/10),0)+LN(1+EXP(-ABS((LN(10^(逐级计算!$Q$42/10)-1)+逐级计算!$Q$42*(AP32-逐级计算!$P$42)*LN(10)/10))))))),"")</f>
        <v>13.793036483897</v>
      </c>
      <c r="AR32">
        <f>IF(AND(ISNUMBER(AQ32),逐级计算!$X$43&gt;-1),IF(逐级计算!$X$43=0,AQ32+逐级计算!$C$43,AQ32+逐级计算!$C$43-(10/(逐级计算!$Q$43*LN(10))*(MAX((LN(10^(逐级计算!$Q$43/10)-1)+逐级计算!$Q$43*(AQ32-逐级计算!$P$43)*LN(10)/10),0)+LN(1+EXP(-ABS((LN(10^(逐级计算!$Q$43/10)-1)+逐级计算!$Q$43*(AQ32-逐级计算!$P$43)*LN(10)/10))))))),"")</f>
        <v>13.793036483897</v>
      </c>
      <c r="AS32">
        <f>IF(AND(ISNUMBER(AR32),逐级计算!$X$44&gt;-1),IF(逐级计算!$X$44=0,AR32+逐级计算!$C$44,AR32+逐级计算!$C$44-(10/(逐级计算!$Q$44*LN(10))*(MAX((LN(10^(逐级计算!$Q$44/10)-1)+逐级计算!$Q$44*(AR32-逐级计算!$P$44)*LN(10)/10),0)+LN(1+EXP(-ABS((LN(10^(逐级计算!$Q$44/10)-1)+逐级计算!$Q$44*(AR32-逐级计算!$P$44)*LN(10)/10))))))),"")</f>
        <v>13.793036483897</v>
      </c>
      <c r="AT32">
        <f>IF(AND(ISNUMBER(AS32),逐级计算!$X$45&gt;-1),IF(逐级计算!$X$45=0,AS32+逐级计算!$C$45,AS32+逐级计算!$C$45-(10/(逐级计算!$Q$45*LN(10))*(MAX((LN(10^(逐级计算!$Q$45/10)-1)+逐级计算!$Q$45*(AS32-逐级计算!$P$45)*LN(10)/10),0)+LN(1+EXP(-ABS((LN(10^(逐级计算!$Q$45/10)-1)+逐级计算!$Q$45*(AS32-逐级计算!$P$45)*LN(10)/10))))))),"")</f>
        <v>13.793036483897</v>
      </c>
      <c r="AU32">
        <f>IF(AND(ISNUMBER(AT32),逐级计算!$X$46&gt;-1),IF(逐级计算!$X$46=0,AT32+逐级计算!$C$46,AT32+逐级计算!$C$46-(10/(逐级计算!$Q$46*LN(10))*(MAX((LN(10^(逐级计算!$Q$46/10)-1)+逐级计算!$Q$46*(AT32-逐级计算!$P$46)*LN(10)/10),0)+LN(1+EXP(-ABS((LN(10^(逐级计算!$Q$46/10)-1)+逐级计算!$Q$46*(AT32-逐级计算!$P$46)*LN(10)/10))))))),"")</f>
        <v>13.793036483897</v>
      </c>
      <c r="AV32">
        <f>IF(AND(ISNUMBER(AU32),逐级计算!$X$47&gt;-1),IF(逐级计算!$X$47=0,AU32+逐级计算!$C$47,AU32+逐级计算!$C$47-(10/(逐级计算!$Q$47*LN(10))*(MAX((LN(10^(逐级计算!$Q$47/10)-1)+逐级计算!$Q$47*(AU32-逐级计算!$P$47)*LN(10)/10),0)+LN(1+EXP(-ABS((LN(10^(逐级计算!$Q$47/10)-1)+逐级计算!$Q$47*(AU32-逐级计算!$P$47)*LN(10)/10))))))),"")</f>
        <v>13.793036483897</v>
      </c>
      <c r="AW32">
        <f>IF(AND(ISNUMBER(AV32),逐级计算!$X$48&gt;-1),IF(逐级计算!$X$48=0,AV32+逐级计算!$C$48,AV32+逐级计算!$C$48-(10/(逐级计算!$Q$48*LN(10))*(MAX((LN(10^(逐级计算!$Q$48/10)-1)+逐级计算!$Q$48*(AV32-逐级计算!$P$48)*LN(10)/10),0)+LN(1+EXP(-ABS((LN(10^(逐级计算!$Q$48/10)-1)+逐级计算!$Q$48*(AV32-逐级计算!$P$48)*LN(10)/10))))))),"")</f>
        <v>13.793036483897</v>
      </c>
      <c r="AX32">
        <f>IF(AND(ISNUMBER(AW32),逐级计算!$X$49&gt;-1),IF(逐级计算!$X$49=0,AW32+逐级计算!$C$49,AW32+逐级计算!$C$49-(10/(逐级计算!$Q$49*LN(10))*(MAX((LN(10^(逐级计算!$Q$49/10)-1)+逐级计算!$Q$49*(AW32-逐级计算!$P$49)*LN(10)/10),0)+LN(1+EXP(-ABS((LN(10^(逐级计算!$Q$49/10)-1)+逐级计算!$Q$49*(AW32-逐级计算!$P$49)*LN(10)/10))))))),"")</f>
        <v>13.793036483897</v>
      </c>
      <c r="AY32">
        <f>IF(AND(ISNUMBER(AX32),逐级计算!$X$50&gt;-1),IF(逐级计算!$X$50=0,AX32+逐级计算!$C$50,AX32+逐级计算!$C$50-(10/(逐级计算!$Q$50*LN(10))*(MAX((LN(10^(逐级计算!$Q$50/10)-1)+逐级计算!$Q$50*(AX32-逐级计算!$P$50)*LN(10)/10),0)+LN(1+EXP(-ABS((LN(10^(逐级计算!$Q$50/10)-1)+逐级计算!$Q$50*(AX32-逐级计算!$P$50)*LN(10)/10))))))),"")</f>
        <v>13.793036483897</v>
      </c>
      <c r="AZ32">
        <f>IF(AND(ISNUMBER(AY32),逐级计算!$X$51&gt;-1),IF(逐级计算!$X$51=0,AY32+逐级计算!$C$51,AY32+逐级计算!$C$51-(10/(逐级计算!$Q$51*LN(10))*(MAX((LN(10^(逐级计算!$Q$51/10)-1)+逐级计算!$Q$51*(AY32-逐级计算!$P$51)*LN(10)/10),0)+LN(1+EXP(-ABS((LN(10^(逐级计算!$Q$51/10)-1)+逐级计算!$Q$51*(AY32-逐级计算!$P$51)*LN(10)/10))))))),"")</f>
        <v>13.793036483897</v>
      </c>
      <c r="BA32">
        <f>IF(AND(ISNUMBER(AZ32),逐级计算!$X$52&gt;-1),IF(逐级计算!$X$52=0,AZ32+逐级计算!$C$52,AZ32+逐级计算!$C$52-(10/(逐级计算!$Q$52*LN(10))*(MAX((LN(10^(逐级计算!$Q$52/10)-1)+逐级计算!$Q$52*(AZ32-逐级计算!$P$52)*LN(10)/10),0)+LN(1+EXP(-ABS((LN(10^(逐级计算!$Q$52/10)-1)+逐级计算!$Q$52*(AZ32-逐级计算!$P$52)*LN(10)/10))))))),"")</f>
        <v>13.793036483897</v>
      </c>
      <c r="BB32">
        <f>IF(AND(ISNUMBER(BA32),逐级计算!$X$53&gt;-1),IF(逐级计算!$X$53=0,BA32+逐级计算!$C$53,BA32+逐级计算!$C$53-(10/(逐级计算!$Q$53*LN(10))*(MAX((LN(10^(逐级计算!$Q$53/10)-1)+逐级计算!$Q$53*(BA32-逐级计算!$P$53)*LN(10)/10),0)+LN(1+EXP(-ABS((LN(10^(逐级计算!$Q$53/10)-1)+逐级计算!$Q$53*(BA32-逐级计算!$P$53)*LN(10)/10))))))),"")</f>
        <v>13.793036483897</v>
      </c>
      <c r="BC32">
        <f>IF(AND(ISNUMBER(BB32),逐级计算!$X$54&gt;-1),IF(逐级计算!$X$54=0,BB32+逐级计算!$C$54,BB32+逐级计算!$C$54-(10/(逐级计算!$Q$54*LN(10))*(MAX((LN(10^(逐级计算!$Q$54/10)-1)+逐级计算!$Q$54*(BB32-逐级计算!$P$54)*LN(10)/10),0)+LN(1+EXP(-ABS((LN(10^(逐级计算!$Q$54/10)-1)+逐级计算!$Q$54*(BB32-逐级计算!$P$54)*LN(10)/10))))))),"")</f>
        <v>13.793036483897</v>
      </c>
      <c r="BD32">
        <f>IF(AND(ISNUMBER(BC32),逐级计算!$X$55&gt;-1),IF(逐级计算!$X$55=0,BC32+逐级计算!$C$55,BC32+逐级计算!$C$55-(10/(逐级计算!$Q$55*LN(10))*(MAX((LN(10^(逐级计算!$Q$55/10)-1)+逐级计算!$Q$55*(BC32-逐级计算!$P$55)*LN(10)/10),0)+LN(1+EXP(-ABS((LN(10^(逐级计算!$Q$55/10)-1)+逐级计算!$Q$55*(BC32-逐级计算!$P$55)*LN(10)/10))))))),"")</f>
        <v>13.793036483897</v>
      </c>
      <c r="BE32">
        <f>IF(AND(ISNUMBER(BD32),逐级计算!$X$56&gt;-1),IF(逐级计算!$X$56=0,BD32+逐级计算!$C$56,BD32+逐级计算!$C$56-(10/(逐级计算!$Q$56*LN(10))*(MAX((LN(10^(逐级计算!$Q$56/10)-1)+逐级计算!$Q$56*(BD32-逐级计算!$P$56)*LN(10)/10),0)+LN(1+EXP(-ABS((LN(10^(逐级计算!$Q$56/10)-1)+逐级计算!$Q$56*(BD32-逐级计算!$P$56)*LN(10)/10))))))),"")</f>
        <v>13.793036483897</v>
      </c>
      <c r="BF32">
        <f>IF(AND(ISNUMBER(BE32),逐级计算!$X$57&gt;-1),IF(逐级计算!$X$57=0,BE32+逐级计算!$C$57,BE32+逐级计算!$C$57-(10/(逐级计算!$Q$57*LN(10))*(MAX((LN(10^(逐级计算!$Q$57/10)-1)+逐级计算!$Q$57*(BE32-逐级计算!$P$57)*LN(10)/10),0)+LN(1+EXP(-ABS((LN(10^(逐级计算!$Q$57/10)-1)+逐级计算!$Q$57*(BE32-逐级计算!$P$57)*LN(10)/10))))))),"")</f>
        <v>13.793036483897</v>
      </c>
      <c r="BG32">
        <f>IF(AND(ISNUMBER(BF32),逐级计算!$X$58&gt;-1),IF(逐级计算!$X$58=0,BF32+逐级计算!$C$58,BF32+逐级计算!$C$58-(10/(逐级计算!$Q$58*LN(10))*(MAX((LN(10^(逐级计算!$Q$58/10)-1)+逐级计算!$Q$58*(BF32-逐级计算!$P$58)*LN(10)/10),0)+LN(1+EXP(-ABS((LN(10^(逐级计算!$Q$58/10)-1)+逐级计算!$Q$58*(BF32-逐级计算!$P$58)*LN(10)/10))))))),"")</f>
        <v>13.793036483897</v>
      </c>
      <c r="BH32">
        <f>IF(AND(ISNUMBER(BG32),逐级计算!$X$59&gt;-1),IF(逐级计算!$X$59=0,BG32+逐级计算!$C$59,BG32+逐级计算!$C$59-(10/(逐级计算!$Q$59*LN(10))*(MAX((LN(10^(逐级计算!$Q$59/10)-1)+逐级计算!$Q$59*(BG32-逐级计算!$P$59)*LN(10)/10),0)+LN(1+EXP(-ABS((LN(10^(逐级计算!$Q$59/10)-1)+逐级计算!$Q$59*(BG32-逐级计算!$P$59)*LN(10)/10))))))),"")</f>
        <v>13.793036483897</v>
      </c>
      <c r="BI32">
        <f>IF(AND(ISNUMBER(BH32),逐级计算!$X$60&gt;-1),IF(逐级计算!$X$60=0,BH32+逐级计算!$C$60,BH32+逐级计算!$C$60-(10/(逐级计算!$Q$60*LN(10))*(MAX((LN(10^(逐级计算!$Q$60/10)-1)+逐级计算!$Q$60*(BH32-逐级计算!$P$60)*LN(10)/10),0)+LN(1+EXP(-ABS((LN(10^(逐级计算!$Q$60/10)-1)+逐级计算!$Q$60*(BH32-逐级计算!$P$60)*LN(10)/10))))))),"")</f>
        <v>13.793036483897</v>
      </c>
      <c r="BJ32">
        <f>IF(AND(ISNUMBER(BI32),逐级计算!$X$61&gt;-1),IF(逐级计算!$X$61=0,BI32+逐级计算!$C$61,BI32+逐级计算!$C$61-(10/(逐级计算!$Q$61*LN(10))*(MAX((LN(10^(逐级计算!$Q$61/10)-1)+逐级计算!$Q$61*(BI32-逐级计算!$P$61)*LN(10)/10),0)+LN(1+EXP(-ABS((LN(10^(逐级计算!$Q$61/10)-1)+逐级计算!$Q$61*(BI32-逐级计算!$P$61)*LN(10)/10))))))),"")</f>
        <v>13.793036483897</v>
      </c>
      <c r="BK32">
        <f>IF(AND(ISNUMBER(BJ32),逐级计算!$X$62&gt;-1),IF(逐级计算!$X$62=0,BJ32+逐级计算!$C$62,BJ32+逐级计算!$C$62-(10/(逐级计算!$Q$62*LN(10))*(MAX((LN(10^(逐级计算!$Q$62/10)-1)+逐级计算!$Q$62*(BJ32-逐级计算!$P$62)*LN(10)/10),0)+LN(1+EXP(-ABS((LN(10^(逐级计算!$Q$62/10)-1)+逐级计算!$Q$62*(BJ32-逐级计算!$P$62)*LN(10)/10))))))),"")</f>
        <v>13.793036483897</v>
      </c>
      <c r="BL32">
        <f>IF(AND(ISNUMBER(BK32),逐级计算!$X$63&gt;-1),IF(逐级计算!$X$63=0,BK32+逐级计算!$C$63,BK32+逐级计算!$C$63-(10/(逐级计算!$Q$63*LN(10))*(MAX((LN(10^(逐级计算!$Q$63/10)-1)+逐级计算!$Q$63*(BK32-逐级计算!$P$63)*LN(10)/10),0)+LN(1+EXP(-ABS((LN(10^(逐级计算!$Q$63/10)-1)+逐级计算!$Q$63*(BK32-逐级计算!$P$63)*LN(10)/10))))))),"")</f>
        <v>13.793036483897</v>
      </c>
      <c r="BM32">
        <f>IF(AND(ISNUMBER(BL32),逐级计算!$X$64&gt;-1),IF(逐级计算!$X$64=0,BL32+逐级计算!$C$64,BL32+逐级计算!$C$64-(10/(逐级计算!$Q$64*LN(10))*(MAX((LN(10^(逐级计算!$Q$64/10)-1)+逐级计算!$Q$64*(BL32-逐级计算!$P$64)*LN(10)/10),0)+LN(1+EXP(-ABS((LN(10^(逐级计算!$Q$64/10)-1)+逐级计算!$Q$64*(BL32-逐级计算!$P$64)*LN(10)/10))))))),"")</f>
        <v>13.793036483897</v>
      </c>
      <c r="BN32">
        <f>IF(AND(ISNUMBER(BM32),逐级计算!$X$65&gt;-1),IF(逐级计算!$X$65=0,BM32+逐级计算!$C$65,BM32+逐级计算!$C$65-(10/(逐级计算!$Q$65*LN(10))*(MAX((LN(10^(逐级计算!$Q$65/10)-1)+逐级计算!$Q$65*(BM32-逐级计算!$P$65)*LN(10)/10),0)+LN(1+EXP(-ABS((LN(10^(逐级计算!$Q$65/10)-1)+逐级计算!$Q$65*(BM32-逐级计算!$P$65)*LN(10)/10))))))),"")</f>
        <v>13.793036483897</v>
      </c>
      <c r="BO32">
        <f>IF(AND(ISNUMBER(BN32),逐级计算!$X$66&gt;-1),IF(逐级计算!$X$66=0,BN32+逐级计算!$C$66,BN32+逐级计算!$C$66-(10/(逐级计算!$Q$66*LN(10))*(MAX((LN(10^(逐级计算!$Q$66/10)-1)+逐级计算!$Q$66*(BN32-逐级计算!$P$66)*LN(10)/10),0)+LN(1+EXP(-ABS((LN(10^(逐级计算!$Q$66/10)-1)+逐级计算!$Q$66*(BN32-逐级计算!$P$66)*LN(10)/10))))))),"")</f>
        <v>13.793036483897</v>
      </c>
      <c r="BP32">
        <f>IF(AND(ISNUMBER(BO32),逐级计算!$X$67&gt;-1),IF(逐级计算!$X$67=0,BO32+逐级计算!$C$67,BO32+逐级计算!$C$67-(10/(逐级计算!$Q$67*LN(10))*(MAX((LN(10^(逐级计算!$Q$67/10)-1)+逐级计算!$Q$67*(BO32-逐级计算!$P$67)*LN(10)/10),0)+LN(1+EXP(-ABS((LN(10^(逐级计算!$Q$67/10)-1)+逐级计算!$Q$67*(BO32-逐级计算!$P$67)*LN(10)/10))))))),"")</f>
        <v>13.793036483897</v>
      </c>
      <c r="BQ32">
        <f>IF(AND(ISNUMBER(BP32),逐级计算!$X$68&gt;-1),IF(逐级计算!$X$68=0,BP32+逐级计算!$C$68,BP32+逐级计算!$C$68-(10/(逐级计算!$Q$68*LN(10))*(MAX((LN(10^(逐级计算!$Q$68/10)-1)+逐级计算!$Q$68*(BP32-逐级计算!$P$68)*LN(10)/10),0)+LN(1+EXP(-ABS((LN(10^(逐级计算!$Q$68/10)-1)+逐级计算!$Q$68*(BP32-逐级计算!$P$68)*LN(10)/10))))))),"")</f>
        <v>13.793036483897</v>
      </c>
      <c r="BR32">
        <f>IF(AND(ISNUMBER(BQ32),逐级计算!$X$69&gt;-1),IF(逐级计算!$X$69=0,BQ32+逐级计算!$C$69,BQ32+逐级计算!$C$69-(10/(逐级计算!$Q$69*LN(10))*(MAX((LN(10^(逐级计算!$Q$69/10)-1)+逐级计算!$Q$69*(BQ32-逐级计算!$P$69)*LN(10)/10),0)+LN(1+EXP(-ABS((LN(10^(逐级计算!$Q$69/10)-1)+逐级计算!$Q$69*(BQ32-逐级计算!$P$69)*LN(10)/10))))))),"")</f>
        <v>13.793036483897</v>
      </c>
      <c r="BS32">
        <f>IF(AND(ISNUMBER(BR32),逐级计算!$X$70&gt;-1),IF(逐级计算!$X$70=0,BR32+逐级计算!$C$70,BR32+逐级计算!$C$70-(10/(逐级计算!$Q$70*LN(10))*(MAX((LN(10^(逐级计算!$Q$70/10)-1)+逐级计算!$Q$70*(BR32-逐级计算!$P$70)*LN(10)/10),0)+LN(1+EXP(-ABS((LN(10^(逐级计算!$Q$70/10)-1)+逐级计算!$Q$70*(BR32-逐级计算!$P$70)*LN(10)/10))))))),"")</f>
        <v>13.793036483897</v>
      </c>
      <c r="BT32">
        <f>IF(AND(ISNUMBER(BS32),逐级计算!$X$71&gt;-1),IF(逐级计算!$X$71=0,BS32+逐级计算!$C$71,BS32+逐级计算!$C$71-(10/(逐级计算!$Q$71*LN(10))*(MAX((LN(10^(逐级计算!$Q$71/10)-1)+逐级计算!$Q$71*(BS32-逐级计算!$P$71)*LN(10)/10),0)+LN(1+EXP(-ABS((LN(10^(逐级计算!$Q$71/10)-1)+逐级计算!$Q$71*(BS32-逐级计算!$P$71)*LN(10)/10))))))),"")</f>
        <v>13.793036483897</v>
      </c>
      <c r="BU32">
        <f>IF(AND(ISNUMBER(BT32),逐级计算!$X$72&gt;-1),IF(逐级计算!$X$72=0,BT32+逐级计算!$C$72,BT32+逐级计算!$C$72-(10/(逐级计算!$Q$72*LN(10))*(MAX((LN(10^(逐级计算!$Q$72/10)-1)+逐级计算!$Q$72*(BT32-逐级计算!$P$72)*LN(10)/10),0)+LN(1+EXP(-ABS((LN(10^(逐级计算!$Q$72/10)-1)+逐级计算!$Q$72*(BT32-逐级计算!$P$72)*LN(10)/10))))))),"")</f>
        <v>13.793036483897</v>
      </c>
      <c r="BV32">
        <f>IF(AND(ISNUMBER(BU32),逐级计算!$X$73&gt;-1),IF(逐级计算!$X$73=0,BU32+逐级计算!$C$73,BU32+逐级计算!$C$73-(10/(逐级计算!$Q$73*LN(10))*(MAX((LN(10^(逐级计算!$Q$73/10)-1)+逐级计算!$Q$73*(BU32-逐级计算!$P$73)*LN(10)/10),0)+LN(1+EXP(-ABS((LN(10^(逐级计算!$Q$73/10)-1)+逐级计算!$Q$73*(BU32-逐级计算!$P$73)*LN(10)/10))))))),"")</f>
        <v>13.793036483897</v>
      </c>
      <c r="BW32">
        <f>IF(AND(ISNUMBER(BV32),逐级计算!$X$74&gt;-1),IF(逐级计算!$X$74=0,BV32+逐级计算!$C$74,BV32+逐级计算!$C$74-(10/(逐级计算!$Q$74*LN(10))*(MAX((LN(10^(逐级计算!$Q$74/10)-1)+逐级计算!$Q$74*(BV32-逐级计算!$P$74)*LN(10)/10),0)+LN(1+EXP(-ABS((LN(10^(逐级计算!$Q$74/10)-1)+逐级计算!$Q$74*(BV32-逐级计算!$P$74)*LN(10)/10))))))),"")</f>
        <v>13.793036483897</v>
      </c>
      <c r="BX32">
        <f>IF(AND(ISNUMBER(BW32),逐级计算!$X$75&gt;-1),IF(逐级计算!$X$75=0,BW32+逐级计算!$C$75,BW32+逐级计算!$C$75-(10/(逐级计算!$Q$75*LN(10))*(MAX((LN(10^(逐级计算!$Q$75/10)-1)+逐级计算!$Q$75*(BW32-逐级计算!$P$75)*LN(10)/10),0)+LN(1+EXP(-ABS((LN(10^(逐级计算!$Q$75/10)-1)+逐级计算!$Q$75*(BW32-逐级计算!$P$75)*LN(10)/10))))))),"")</f>
        <v>13.793036483897</v>
      </c>
      <c r="BY32">
        <f>IF(AND(ISNUMBER(BX32),逐级计算!$X$76&gt;-1),IF(逐级计算!$X$76=0,BX32+逐级计算!$C$76,BX32+逐级计算!$C$76-(10/(逐级计算!$Q$76*LN(10))*(MAX((LN(10^(逐级计算!$Q$76/10)-1)+逐级计算!$Q$76*(BX32-逐级计算!$P$76)*LN(10)/10),0)+LN(1+EXP(-ABS((LN(10^(逐级计算!$Q$76/10)-1)+逐级计算!$Q$76*(BX32-逐级计算!$P$76)*LN(10)/10))))))),"")</f>
        <v>13.793036483897</v>
      </c>
      <c r="BZ32">
        <f>IF(AND(ISNUMBER(BY32),逐级计算!$X$77&gt;-1),IF(逐级计算!$X$77=0,BY32+逐级计算!$C$77,BY32+逐级计算!$C$77-(10/(逐级计算!$Q$77*LN(10))*(MAX((LN(10^(逐级计算!$Q$77/10)-1)+逐级计算!$Q$77*(BY32-逐级计算!$P$77)*LN(10)/10),0)+LN(1+EXP(-ABS((LN(10^(逐级计算!$Q$77/10)-1)+逐级计算!$Q$77*(BY32-逐级计算!$P$77)*LN(10)/10))))))),"")</f>
        <v>13.793036483897</v>
      </c>
      <c r="CA32">
        <f>IF(AND(ISNUMBER(BZ32),逐级计算!$X$78&gt;-1),IF(逐级计算!$X$78=0,BZ32+逐级计算!$C$78,BZ32+逐级计算!$C$78-(10/(逐级计算!$Q$78*LN(10))*(MAX((LN(10^(逐级计算!$Q$78/10)-1)+逐级计算!$Q$78*(BZ32-逐级计算!$P$78)*LN(10)/10),0)+LN(1+EXP(-ABS((LN(10^(逐级计算!$Q$78/10)-1)+逐级计算!$Q$78*(BZ32-逐级计算!$P$78)*LN(10)/10))))))),"")</f>
        <v>13.793036483897</v>
      </c>
      <c r="CB32">
        <f>IF(AND(ISNUMBER(CA32),逐级计算!$X$79&gt;-1),IF(逐级计算!$X$79=0,CA32+逐级计算!$C$79,CA32+逐级计算!$C$79-(10/(逐级计算!$Q$79*LN(10))*(MAX((LN(10^(逐级计算!$Q$79/10)-1)+逐级计算!$Q$79*(CA32-逐级计算!$P$79)*LN(10)/10),0)+LN(1+EXP(-ABS((LN(10^(逐级计算!$Q$79/10)-1)+逐级计算!$Q$79*(CA32-逐级计算!$P$79)*LN(10)/10))))))),"")</f>
        <v>13.793036483897</v>
      </c>
      <c r="CC32">
        <f>IF(AND(ISNUMBER(CB32),逐级计算!$X$80&gt;-1),IF(逐级计算!$X$80=0,CB32+逐级计算!$C$80,CB32+逐级计算!$C$80-(10/(逐级计算!$Q$80*LN(10))*(MAX((LN(10^(逐级计算!$Q$80/10)-1)+逐级计算!$Q$80*(CB32-逐级计算!$P$80)*LN(10)/10),0)+LN(1+EXP(-ABS((LN(10^(逐级计算!$Q$80/10)-1)+逐级计算!$Q$80*(CB32-逐级计算!$P$80)*LN(10)/10))))))),"")</f>
        <v>13.793036483897</v>
      </c>
      <c r="CD32">
        <f>IF(AND(ISNUMBER(CC32),逐级计算!$X$81&gt;-1),IF(逐级计算!$X$81=0,CC32+逐级计算!$C$81,CC32+逐级计算!$C$81-(10/(逐级计算!$Q$81*LN(10))*(MAX((LN(10^(逐级计算!$Q$81/10)-1)+逐级计算!$Q$81*(CC32-逐级计算!$P$81)*LN(10)/10),0)+LN(1+EXP(-ABS((LN(10^(逐级计算!$Q$81/10)-1)+逐级计算!$Q$81*(CC32-逐级计算!$P$81)*LN(10)/10))))))),"")</f>
        <v>13.793036483897</v>
      </c>
      <c r="CE32">
        <f>IF(AND(ISNUMBER(CD32),逐级计算!$X$82&gt;-1),IF(逐级计算!$X$82=0,CD32+逐级计算!$C$82,CD32+逐级计算!$C$82-(10/(逐级计算!$Q$82*LN(10))*(MAX((LN(10^(逐级计算!$Q$82/10)-1)+逐级计算!$Q$82*(CD32-逐级计算!$P$82)*LN(10)/10),0)+LN(1+EXP(-ABS((LN(10^(逐级计算!$Q$82/10)-1)+逐级计算!$Q$82*(CD32-逐级计算!$P$82)*LN(10)/10))))))),"")</f>
        <v>13.793036483897</v>
      </c>
      <c r="CF32">
        <f>IF(AND(ISNUMBER(CE32),逐级计算!$X$83&gt;-1),IF(逐级计算!$X$83=0,CE32+逐级计算!$C$83,CE32+逐级计算!$C$83-(10/(逐级计算!$Q$83*LN(10))*(MAX((LN(10^(逐级计算!$Q$83/10)-1)+逐级计算!$Q$83*(CE32-逐级计算!$P$83)*LN(10)/10),0)+LN(1+EXP(-ABS((LN(10^(逐级计算!$Q$83/10)-1)+逐级计算!$Q$83*(CE32-逐级计算!$P$83)*LN(10)/10))))))),"")</f>
        <v>13.793036483897</v>
      </c>
      <c r="CG32">
        <f>IF(AND(ISNUMBER(CF32),逐级计算!$X$84&gt;-1),IF(逐级计算!$X$84=0,CF32+逐级计算!$C$84,CF32+逐级计算!$C$84-(10/(逐级计算!$Q$84*LN(10))*(MAX((LN(10^(逐级计算!$Q$84/10)-1)+逐级计算!$Q$84*(CF32-逐级计算!$P$84)*LN(10)/10),0)+LN(1+EXP(-ABS((LN(10^(逐级计算!$Q$84/10)-1)+逐级计算!$Q$84*(CF32-逐级计算!$P$84)*LN(10)/10))))))),"")</f>
        <v>13.793036483897</v>
      </c>
      <c r="CH32">
        <f>IF(AND(ISNUMBER(CG32),逐级计算!$X$85&gt;-1),IF(逐级计算!$X$85=0,CG32+逐级计算!$C$85,CG32+逐级计算!$C$85-(10/(逐级计算!$Q$85*LN(10))*(MAX((LN(10^(逐级计算!$Q$85/10)-1)+逐级计算!$Q$85*(CG32-逐级计算!$P$85)*LN(10)/10),0)+LN(1+EXP(-ABS((LN(10^(逐级计算!$Q$85/10)-1)+逐级计算!$Q$85*(CG32-逐级计算!$P$85)*LN(10)/10))))))),"")</f>
        <v>13.793036483897</v>
      </c>
      <c r="CI32">
        <f>IF(AND(ISNUMBER(CH32),逐级计算!$X$86&gt;-1),IF(逐级计算!$X$86=0,CH32+逐级计算!$C$86,CH32+逐级计算!$C$86-(10/(逐级计算!$Q$86*LN(10))*(MAX((LN(10^(逐级计算!$Q$86/10)-1)+逐级计算!$Q$86*(CH32-逐级计算!$P$86)*LN(10)/10),0)+LN(1+EXP(-ABS((LN(10^(逐级计算!$Q$86/10)-1)+逐级计算!$Q$86*(CH32-逐级计算!$P$86)*LN(10)/10))))))),"")</f>
        <v>13.793036483897</v>
      </c>
      <c r="CJ32">
        <f>IF(AND(ISNUMBER(CI32),逐级计算!$X$87&gt;-1),IF(逐级计算!$X$87=0,CI32+逐级计算!$C$87,CI32+逐级计算!$C$87-(10/(逐级计算!$Q$87*LN(10))*(MAX((LN(10^(逐级计算!$Q$87/10)-1)+逐级计算!$Q$87*(CI32-逐级计算!$P$87)*LN(10)/10),0)+LN(1+EXP(-ABS((LN(10^(逐级计算!$Q$87/10)-1)+逐级计算!$Q$87*(CI32-逐级计算!$P$87)*LN(10)/10))))))),"")</f>
        <v>13.793036483897</v>
      </c>
      <c r="CK32">
        <f>IF(AND(ISNUMBER(CJ32),逐级计算!$X$88&gt;-1),IF(逐级计算!$X$88=0,CJ32+逐级计算!$C$88,CJ32+逐级计算!$C$88-(10/(逐级计算!$Q$88*LN(10))*(MAX((LN(10^(逐级计算!$Q$88/10)-1)+逐级计算!$Q$88*(CJ32-逐级计算!$P$88)*LN(10)/10),0)+LN(1+EXP(-ABS((LN(10^(逐级计算!$Q$88/10)-1)+逐级计算!$Q$88*(CJ32-逐级计算!$P$88)*LN(10)/10))))))),"")</f>
        <v>13.793036483897</v>
      </c>
      <c r="CL32">
        <f>IF(AND(ISNUMBER(CK32),逐级计算!$X$89&gt;-1),IF(逐级计算!$X$89=0,CK32+逐级计算!$C$89,CK32+逐级计算!$C$89-(10/(逐级计算!$Q$89*LN(10))*(MAX((LN(10^(逐级计算!$Q$89/10)-1)+逐级计算!$Q$89*(CK32-逐级计算!$P$89)*LN(10)/10),0)+LN(1+EXP(-ABS((LN(10^(逐级计算!$Q$89/10)-1)+逐级计算!$Q$89*(CK32-逐级计算!$P$89)*LN(10)/10))))))),"")</f>
        <v>13.793036483897</v>
      </c>
      <c r="CM32">
        <f>IF(AND(ISNUMBER(CL32),逐级计算!$X$90&gt;-1),IF(逐级计算!$X$90=0,CL32+逐级计算!$C$90,CL32+逐级计算!$C$90-(10/(逐级计算!$Q$90*LN(10))*(MAX((LN(10^(逐级计算!$Q$90/10)-1)+逐级计算!$Q$90*(CL32-逐级计算!$P$90)*LN(10)/10),0)+LN(1+EXP(-ABS((LN(10^(逐级计算!$Q$90/10)-1)+逐级计算!$Q$90*(CL32-逐级计算!$P$90)*LN(10)/10))))))),"")</f>
        <v>13.793036483897</v>
      </c>
      <c r="CN32">
        <f>IF(AND(ISNUMBER(CM32),逐级计算!$X$91&gt;-1),IF(逐级计算!$X$91=0,CM32+逐级计算!$C$91,CM32+逐级计算!$C$91-(10/(逐级计算!$Q$91*LN(10))*(MAX((LN(10^(逐级计算!$Q$91/10)-1)+逐级计算!$Q$91*(CM32-逐级计算!$P$91)*LN(10)/10),0)+LN(1+EXP(-ABS((LN(10^(逐级计算!$Q$91/10)-1)+逐级计算!$Q$91*(CM32-逐级计算!$P$91)*LN(10)/10))))))),"")</f>
        <v>13.793036483897</v>
      </c>
      <c r="CO32">
        <f>IF(AND(ISNUMBER(CN32),逐级计算!$X$92&gt;-1),IF(逐级计算!$X$92=0,CN32+逐级计算!$C$92,CN32+逐级计算!$C$92-(10/(逐级计算!$Q$92*LN(10))*(MAX((LN(10^(逐级计算!$Q$92/10)-1)+逐级计算!$Q$92*(CN32-逐级计算!$P$92)*LN(10)/10),0)+LN(1+EXP(-ABS((LN(10^(逐级计算!$Q$92/10)-1)+逐级计算!$Q$92*(CN32-逐级计算!$P$92)*LN(10)/10))))))),"")</f>
        <v>13.793036483897</v>
      </c>
      <c r="CP32">
        <f>IF(AND(ISNUMBER(CO32),逐级计算!$X$93&gt;-1),IF(逐级计算!$X$93=0,CO32+逐级计算!$C$93,CO32+逐级计算!$C$93-(10/(逐级计算!$Q$93*LN(10))*(MAX((LN(10^(逐级计算!$Q$93/10)-1)+逐级计算!$Q$93*(CO32-逐级计算!$P$93)*LN(10)/10),0)+LN(1+EXP(-ABS((LN(10^(逐级计算!$Q$93/10)-1)+逐级计算!$Q$93*(CO32-逐级计算!$P$93)*LN(10)/10))))))),"")</f>
        <v>13.793036483897</v>
      </c>
      <c r="CQ32">
        <f>IF(AND(ISNUMBER(CP32),逐级计算!$X$94&gt;-1),IF(逐级计算!$X$94=0,CP32+逐级计算!$C$94,CP32+逐级计算!$C$94-(10/(逐级计算!$Q$94*LN(10))*(MAX((LN(10^(逐级计算!$Q$94/10)-1)+逐级计算!$Q$94*(CP32-逐级计算!$P$94)*LN(10)/10),0)+LN(1+EXP(-ABS((LN(10^(逐级计算!$Q$94/10)-1)+逐级计算!$Q$94*(CP32-逐级计算!$P$94)*LN(10)/10))))))),"")</f>
        <v>13.793036483897</v>
      </c>
      <c r="CR32">
        <f>IF(AND(ISNUMBER(CQ32),逐级计算!$X$95&gt;-1),IF(逐级计算!$X$95=0,CQ32+逐级计算!$C$95,CQ32+逐级计算!$C$95-(10/(逐级计算!$Q$95*LN(10))*(MAX((LN(10^(逐级计算!$Q$95/10)-1)+逐级计算!$Q$95*(CQ32-逐级计算!$P$95)*LN(10)/10),0)+LN(1+EXP(-ABS((LN(10^(逐级计算!$Q$95/10)-1)+逐级计算!$Q$95*(CQ32-逐级计算!$P$95)*LN(10)/10))))))),"")</f>
        <v>13.793036483897</v>
      </c>
      <c r="CS32">
        <f>IF(AND(ISNUMBER(CR32),逐级计算!$X$96&gt;-1),IF(逐级计算!$X$96=0,CR32+逐级计算!$C$96,CR32+逐级计算!$C$96-(10/(逐级计算!$Q$96*LN(10))*(MAX((LN(10^(逐级计算!$Q$96/10)-1)+逐级计算!$Q$96*(CR32-逐级计算!$P$96)*LN(10)/10),0)+LN(1+EXP(-ABS((LN(10^(逐级计算!$Q$96/10)-1)+逐级计算!$Q$96*(CR32-逐级计算!$P$96)*LN(10)/10))))))),"")</f>
        <v>13.793036483897</v>
      </c>
      <c r="CT32">
        <f>IF(AND(ISNUMBER(CS32),逐级计算!$X$97&gt;-1),IF(逐级计算!$X$97=0,CS32+逐级计算!$C$97,CS32+逐级计算!$C$97-(10/(逐级计算!$Q$97*LN(10))*(MAX((LN(10^(逐级计算!$Q$97/10)-1)+逐级计算!$Q$97*(CS32-逐级计算!$P$97)*LN(10)/10),0)+LN(1+EXP(-ABS((LN(10^(逐级计算!$Q$97/10)-1)+逐级计算!$Q$97*(CS32-逐级计算!$P$97)*LN(10)/10))))))),"")</f>
        <v>13.793036483897</v>
      </c>
      <c r="CU32">
        <f>IF(AND(ISNUMBER(CT32),逐级计算!$X$98&gt;-1),IF(逐级计算!$X$98=0,CT32+逐级计算!$C$98,CT32+逐级计算!$C$98-(10/(逐级计算!$Q$98*LN(10))*(MAX((LN(10^(逐级计算!$Q$98/10)-1)+逐级计算!$Q$98*(CT32-逐级计算!$P$98)*LN(10)/10),0)+LN(1+EXP(-ABS((LN(10^(逐级计算!$Q$98/10)-1)+逐级计算!$Q$98*(CT32-逐级计算!$P$98)*LN(10)/10))))))),"")</f>
        <v>13.793036483897</v>
      </c>
      <c r="CV32">
        <f>IF(AND(ISNUMBER(CU32),逐级计算!$X$99&gt;-1),IF(逐级计算!$X$99=0,CU32+逐级计算!$C$99,CU32+逐级计算!$C$99-(10/(逐级计算!$Q$99*LN(10))*(MAX((LN(10^(逐级计算!$Q$99/10)-1)+逐级计算!$Q$99*(CU32-逐级计算!$P$99)*LN(10)/10),0)+LN(1+EXP(-ABS((LN(10^(逐级计算!$Q$99/10)-1)+逐级计算!$Q$99*(CU32-逐级计算!$P$99)*LN(10)/10))))))),"")</f>
        <v>13.793036483897</v>
      </c>
      <c r="CW32">
        <f>IF(AND(ISNUMBER(CV32),逐级计算!$X$100&gt;-1),IF(逐级计算!$X$100=0,CV32+逐级计算!$C$100,CV32+逐级计算!$C$100-(10/(逐级计算!$Q$100*LN(10))*(MAX((LN(10^(逐级计算!$Q$100/10)-1)+逐级计算!$Q$100*(CV32-逐级计算!$P$100)*LN(10)/10),0)+LN(1+EXP(-ABS((LN(10^(逐级计算!$Q$100/10)-1)+逐级计算!$Q$100*(CV32-逐级计算!$P$100)*LN(10)/10))))))),"")</f>
        <v>13.793036483897</v>
      </c>
      <c r="CX32">
        <f>IF(AND(ISNUMBER(CW32),逐级计算!$X$101&gt;-1),IF(逐级计算!$X$101=0,CW32+逐级计算!$C$101,CW32+逐级计算!$C$101-(10/(逐级计算!$Q$101*LN(10))*(MAX((LN(10^(逐级计算!$Q$101/10)-1)+逐级计算!$Q$101*(CW32-逐级计算!$P$101)*LN(10)/10),0)+LN(1+EXP(-ABS((LN(10^(逐级计算!$Q$101/10)-1)+逐级计算!$Q$101*(CW32-逐级计算!$P$101)*LN(10)/10))))))),"")</f>
        <v>13.793036483897</v>
      </c>
      <c r="CY32">
        <f>IF(AND(ISNUMBER(CX32),逐级计算!$X$102&gt;-1),IF(逐级计算!$X$102=0,CX32+逐级计算!$C$102,CX32+逐级计算!$C$102-(10/(逐级计算!$Q$102*LN(10))*(MAX((LN(10^(逐级计算!$Q$102/10)-1)+逐级计算!$Q$102*(CX32-逐级计算!$P$102)*LN(10)/10),0)+LN(1+EXP(-ABS((LN(10^(逐级计算!$Q$102/10)-1)+逐级计算!$Q$102*(CX32-逐级计算!$P$102)*LN(10)/10))))))),"")</f>
        <v>13.793036483897</v>
      </c>
      <c r="CZ32">
        <f>IF(AND(ISNUMBER(CY32),逐级计算!$X$103&gt;-1),IF(逐级计算!$X$103=0,CY32+逐级计算!$C$103,CY32+逐级计算!$C$103-(10/(逐级计算!$Q$103*LN(10))*(MAX((LN(10^(逐级计算!$Q$103/10)-1)+逐级计算!$Q$103*(CY32-逐级计算!$P$103)*LN(10)/10),0)+LN(1+EXP(-ABS((LN(10^(逐级计算!$Q$103/10)-1)+逐级计算!$Q$103*(CY32-逐级计算!$P$103)*LN(10)/10))))))),"")</f>
        <v>13.793036483897</v>
      </c>
      <c r="DA32">
        <f>IF(AND(ISNUMBER(CZ32),逐级计算!$X$104&gt;-1),IF(逐级计算!$X$104=0,CZ32+逐级计算!$C$104,CZ32+逐级计算!$C$104-(10/(逐级计算!$Q$104*LN(10))*(MAX((LN(10^(逐级计算!$Q$104/10)-1)+逐级计算!$Q$104*(CZ32-逐级计算!$P$104)*LN(10)/10),0)+LN(1+EXP(-ABS((LN(10^(逐级计算!$Q$104/10)-1)+逐级计算!$Q$104*(CZ32-逐级计算!$P$104)*LN(10)/10))))))),"")</f>
        <v>13.793036483897</v>
      </c>
      <c r="DB32">
        <f>IF(AND(ISNUMBER(DA32),逐级计算!$X$105&gt;-1),IF(逐级计算!$X$105=0,DA32+逐级计算!$C$105,DA32+逐级计算!$C$105-(10/(逐级计算!$Q$105*LN(10))*(MAX((LN(10^(逐级计算!$Q$105/10)-1)+逐级计算!$Q$105*(DA32-逐级计算!$P$105)*LN(10)/10),0)+LN(1+EXP(-ABS((LN(10^(逐级计算!$Q$105/10)-1)+逐级计算!$Q$105*(DA32-逐级计算!$P$105)*LN(10)/10))))))),"")</f>
        <v>13.793036483897</v>
      </c>
      <c r="DC32">
        <f>IF(AND(ISNUMBER(DB32),逐级计算!$X$106&gt;-1),IF(逐级计算!$X$106=0,DB32+逐级计算!$C$106,DB32+逐级计算!$C$106-(10/(逐级计算!$Q$106*LN(10))*(MAX((LN(10^(逐级计算!$Q$106/10)-1)+逐级计算!$Q$106*(DB32-逐级计算!$P$106)*LN(10)/10),0)+LN(1+EXP(-ABS((LN(10^(逐级计算!$Q$106/10)-1)+逐级计算!$Q$106*(DB32-逐级计算!$P$106)*LN(10)/10))))))),"")</f>
        <v>13.793036483897</v>
      </c>
      <c r="DD32">
        <f>IF(AND(ISNUMBER(DC32),逐级计算!$X$107&gt;-1),IF(逐级计算!$X$107=0,DC32+逐级计算!$C$107,DC32+逐级计算!$C$107-(10/(逐级计算!$Q$107*LN(10))*(MAX((LN(10^(逐级计算!$Q$107/10)-1)+逐级计算!$Q$107*(DC32-逐级计算!$P$107)*LN(10)/10),0)+LN(1+EXP(-ABS((LN(10^(逐级计算!$Q$107/10)-1)+逐级计算!$Q$107*(DC32-逐级计算!$P$107)*LN(10)/10))))))),"")</f>
        <v>13.793036483897</v>
      </c>
      <c r="DE32">
        <f>IF(AND(ISNUMBER(DD32),逐级计算!$X$108&gt;-1),IF(逐级计算!$X$108=0,DD32+逐级计算!$C$108,DD32+逐级计算!$C$108-(10/(逐级计算!$Q$108*LN(10))*(MAX((LN(10^(逐级计算!$Q$108/10)-1)+逐级计算!$Q$108*(DD32-逐级计算!$P$108)*LN(10)/10),0)+LN(1+EXP(-ABS((LN(10^(逐级计算!$Q$108/10)-1)+逐级计算!$Q$108*(DD32-逐级计算!$P$108)*LN(10)/10))))))),"")</f>
        <v>13.793036483897</v>
      </c>
      <c r="DF32">
        <f>IF(AND(ISNUMBER(DE32),逐级计算!$X$109&gt;-1),IF(逐级计算!$X$109=0,DE32+逐级计算!$C$109,DE32+逐级计算!$C$109-(10/(逐级计算!$Q$109*LN(10))*(MAX((LN(10^(逐级计算!$Q$109/10)-1)+逐级计算!$Q$109*(DE32-逐级计算!$P$109)*LN(10)/10),0)+LN(1+EXP(-ABS((LN(10^(逐级计算!$Q$109/10)-1)+逐级计算!$Q$109*(DE32-逐级计算!$P$109)*LN(10)/10))))))),"")</f>
        <v>13.793036483897</v>
      </c>
      <c r="DG32">
        <f>IF(AND(ISNUMBER(DF32),逐级计算!$X$110&gt;-1),IF(逐级计算!$X$110=0,DF32+逐级计算!$C$110,DF32+逐级计算!$C$110-(10/(逐级计算!$Q$110*LN(10))*(MAX((LN(10^(逐级计算!$Q$110/10)-1)+逐级计算!$Q$110*(DF32-逐级计算!$P$110)*LN(10)/10),0)+LN(1+EXP(-ABS((LN(10^(逐级计算!$Q$110/10)-1)+逐级计算!$Q$110*(DF32-逐级计算!$P$110)*LN(10)/10))))))),"")</f>
        <v>13.793036483897</v>
      </c>
      <c r="DH32">
        <f>IF(AND(ISNUMBER(DG32),逐级计算!$X$111&gt;-1),IF(逐级计算!$X$111=0,DG32+逐级计算!$C$111,DG32+逐级计算!$C$111-(10/(逐级计算!$Q$111*LN(10))*(MAX((LN(10^(逐级计算!$Q$111/10)-1)+逐级计算!$Q$111*(DG32-逐级计算!$P$111)*LN(10)/10),0)+LN(1+EXP(-ABS((LN(10^(逐级计算!$Q$111/10)-1)+逐级计算!$Q$111*(DG32-逐级计算!$P$111)*LN(10)/10))))))),"")</f>
        <v>13.793036483897</v>
      </c>
      <c r="DI32">
        <f>IF(AND(ISNUMBER(DH32),逐级计算!$X$112&gt;-1),IF(逐级计算!$X$112=0,DH32+逐级计算!$C$112,DH32+逐级计算!$C$112-(10/(逐级计算!$Q$112*LN(10))*(MAX((LN(10^(逐级计算!$Q$112/10)-1)+逐级计算!$Q$112*(DH32-逐级计算!$P$112)*LN(10)/10),0)+LN(1+EXP(-ABS((LN(10^(逐级计算!$Q$112/10)-1)+逐级计算!$Q$112*(DH32-逐级计算!$P$112)*LN(10)/10))))))),"")</f>
        <v>13.793036483897</v>
      </c>
      <c r="DJ32">
        <f>IF(AND(ISNUMBER(DI32),逐级计算!$X$113&gt;-1),IF(逐级计算!$X$113=0,DI32+逐级计算!$C$113,DI32+逐级计算!$C$113-(10/(逐级计算!$Q$113*LN(10))*(MAX((LN(10^(逐级计算!$Q$113/10)-1)+逐级计算!$Q$113*(DI32-逐级计算!$P$113)*LN(10)/10),0)+LN(1+EXP(-ABS((LN(10^(逐级计算!$Q$113/10)-1)+逐级计算!$Q$113*(DI32-逐级计算!$P$113)*LN(10)/10))))))),"")</f>
        <v>13.793036483897</v>
      </c>
      <c r="DK32">
        <f>IF(AND(ISNUMBER(DJ32),逐级计算!$X$114&gt;-1),IF(逐级计算!$X$114=0,DJ32+逐级计算!$C$114,DJ32+逐级计算!$C$114-(10/(逐级计算!$Q$114*LN(10))*(MAX((LN(10^(逐级计算!$Q$114/10)-1)+逐级计算!$Q$114*(DJ32-逐级计算!$P$114)*LN(10)/10),0)+LN(1+EXP(-ABS((LN(10^(逐级计算!$Q$114/10)-1)+逐级计算!$Q$114*(DJ32-逐级计算!$P$114)*LN(10)/10))))))),"")</f>
        <v>13.793036483897</v>
      </c>
      <c r="DL32">
        <f>IF(AND(ISNUMBER(DK32),逐级计算!$X$115&gt;-1),IF(逐级计算!$X$115=0,DK32+逐级计算!$C$115,DK32+逐级计算!$C$115-(10/(逐级计算!$Q$115*LN(10))*(MAX((LN(10^(逐级计算!$Q$115/10)-1)+逐级计算!$Q$115*(DK32-逐级计算!$P$115)*LN(10)/10),0)+LN(1+EXP(-ABS((LN(10^(逐级计算!$Q$115/10)-1)+逐级计算!$Q$115*(DK32-逐级计算!$P$115)*LN(10)/10))))))),"")</f>
        <v>13.793036483897</v>
      </c>
      <c r="DM32">
        <f>IF(AND(ISNUMBER(DL32),逐级计算!$X$116&gt;-1),IF(逐级计算!$X$116=0,DL32+逐级计算!$C$116,DL32+逐级计算!$C$116-(10/(逐级计算!$Q$116*LN(10))*(MAX((LN(10^(逐级计算!$Q$116/10)-1)+逐级计算!$Q$116*(DL32-逐级计算!$P$116)*LN(10)/10),0)+LN(1+EXP(-ABS((LN(10^(逐级计算!$Q$116/10)-1)+逐级计算!$Q$116*(DL32-逐级计算!$P$116)*LN(10)/10))))))),"")</f>
        <v>13.793036483897</v>
      </c>
      <c r="DN32">
        <f>IF(AND(ISNUMBER(DM32),逐级计算!$X$117&gt;-1),IF(逐级计算!$X$117=0,DM32+逐级计算!$C$117,DM32+逐级计算!$C$117-(10/(逐级计算!$Q$117*LN(10))*(MAX((LN(10^(逐级计算!$Q$117/10)-1)+逐级计算!$Q$117*(DM32-逐级计算!$P$117)*LN(10)/10),0)+LN(1+EXP(-ABS((LN(10^(逐级计算!$Q$117/10)-1)+逐级计算!$Q$117*(DM32-逐级计算!$P$117)*LN(10)/10))))))),"")</f>
        <v>13.793036483897</v>
      </c>
      <c r="DO32">
        <f>IF(AND(ISNUMBER(DN32),逐级计算!$X$118&gt;-1),IF(逐级计算!$X$118=0,DN32+逐级计算!$C$118,DN32+逐级计算!$C$118-(10/(逐级计算!$Q$118*LN(10))*(MAX((LN(10^(逐级计算!$Q$118/10)-1)+逐级计算!$Q$118*(DN32-逐级计算!$P$118)*LN(10)/10),0)+LN(1+EXP(-ABS((LN(10^(逐级计算!$Q$118/10)-1)+逐级计算!$Q$118*(DN32-逐级计算!$P$118)*LN(10)/10))))))),"")</f>
        <v>13.793036483897</v>
      </c>
      <c r="DP32">
        <f>IF(AND(ISNUMBER(DO32),逐级计算!$X$119&gt;-1),IF(逐级计算!$X$119=0,DO32+逐级计算!$C$119,DO32+逐级计算!$C$119-(10/(逐级计算!$Q$119*LN(10))*(MAX((LN(10^(逐级计算!$Q$119/10)-1)+逐级计算!$Q$119*(DO32-逐级计算!$P$119)*LN(10)/10),0)+LN(1+EXP(-ABS((LN(10^(逐级计算!$Q$119/10)-1)+逐级计算!$Q$119*(DO32-逐级计算!$P$119)*LN(10)/10))))))),"")</f>
        <v>13.793036483897</v>
      </c>
      <c r="DQ32">
        <f>IF(AND(ISNUMBER(DP32),逐级计算!$X$120&gt;-1),IF(逐级计算!$X$120=0,DP32+逐级计算!$C$120,DP32+逐级计算!$C$120-(10/(逐级计算!$Q$120*LN(10))*(MAX((LN(10^(逐级计算!$Q$120/10)-1)+逐级计算!$Q$120*(DP32-逐级计算!$P$120)*LN(10)/10),0)+LN(1+EXP(-ABS((LN(10^(逐级计算!$Q$120/10)-1)+逐级计算!$Q$120*(DP32-逐级计算!$P$120)*LN(10)/10))))))),"")</f>
        <v>13.793036483897</v>
      </c>
      <c r="DR32">
        <f>IF(AND(ISNUMBER(DQ32),逐级计算!$X$121&gt;-1),IF(逐级计算!$X$121=0,DQ32+逐级计算!$C$121,DQ32+逐级计算!$C$121-(10/(逐级计算!$Q$121*LN(10))*(MAX((LN(10^(逐级计算!$Q$121/10)-1)+逐级计算!$Q$121*(DQ32-逐级计算!$P$121)*LN(10)/10),0)+LN(1+EXP(-ABS((LN(10^(逐级计算!$Q$121/10)-1)+逐级计算!$Q$121*(DQ32-逐级计算!$P$121)*LN(10)/10))))))),"")</f>
        <v>13.793036483897</v>
      </c>
      <c r="DS32">
        <f>IF(AND(ISNUMBER(DR32),逐级计算!$X$122&gt;-1),IF(逐级计算!$X$122=0,DR32+逐级计算!$C$122,DR32+逐级计算!$C$122-(10/(逐级计算!$Q$122*LN(10))*(MAX((LN(10^(逐级计算!$Q$122/10)-1)+逐级计算!$Q$122*(DR32-逐级计算!$P$122)*LN(10)/10),0)+LN(1+EXP(-ABS((LN(10^(逐级计算!$Q$122/10)-1)+逐级计算!$Q$122*(DR32-逐级计算!$P$122)*LN(10)/10))))))),"")</f>
        <v>13.793036483897</v>
      </c>
      <c r="DT32">
        <f>IF(AND(ISNUMBER(DS32),逐级计算!$X$123&gt;-1),IF(逐级计算!$X$123=0,DS32+逐级计算!$C$123,DS32+逐级计算!$C$123-(10/(逐级计算!$Q$123*LN(10))*(MAX((LN(10^(逐级计算!$Q$123/10)-1)+逐级计算!$Q$123*(DS32-逐级计算!$P$123)*LN(10)/10),0)+LN(1+EXP(-ABS((LN(10^(逐级计算!$Q$123/10)-1)+逐级计算!$Q$123*(DS32-逐级计算!$P$123)*LN(10)/10))))))),"")</f>
        <v>13.793036483897</v>
      </c>
      <c r="DU32">
        <f>IF(AND(ISNUMBER(DT32),逐级计算!$X$124&gt;-1),IF(逐级计算!$X$124=0,DT32+逐级计算!$C$124,DT32+逐级计算!$C$124-(10/(逐级计算!$Q$124*LN(10))*(MAX((LN(10^(逐级计算!$Q$124/10)-1)+逐级计算!$Q$124*(DT32-逐级计算!$P$124)*LN(10)/10),0)+LN(1+EXP(-ABS((LN(10^(逐级计算!$Q$124/10)-1)+逐级计算!$Q$124*(DT32-逐级计算!$P$124)*LN(10)/10))))))),"")</f>
        <v>13.793036483897</v>
      </c>
      <c r="DV32">
        <f>IF(AND(ISNUMBER(DU32),逐级计算!$X$125&gt;-1),IF(逐级计算!$X$125=0,DU32+逐级计算!$C$125,DU32+逐级计算!$C$125-(10/(逐级计算!$Q$125*LN(10))*(MAX((LN(10^(逐级计算!$Q$125/10)-1)+逐级计算!$Q$125*(DU32-逐级计算!$P$125)*LN(10)/10),0)+LN(1+EXP(-ABS((LN(10^(逐级计算!$Q$125/10)-1)+逐级计算!$Q$125*(DU32-逐级计算!$P$125)*LN(10)/10))))))),"")</f>
        <v>13.793036483897</v>
      </c>
      <c r="DW32">
        <f>IF(AND(ISNUMBER(DV32),逐级计算!$X$126&gt;-1),IF(逐级计算!$X$126=0,DV32+逐级计算!$C$126,DV32+逐级计算!$C$126-(10/(逐级计算!$Q$126*LN(10))*(MAX((LN(10^(逐级计算!$Q$126/10)-1)+逐级计算!$Q$126*(DV32-逐级计算!$P$126)*LN(10)/10),0)+LN(1+EXP(-ABS((LN(10^(逐级计算!$Q$126/10)-1)+逐级计算!$Q$126*(DV32-逐级计算!$P$126)*LN(10)/10))))))),"")</f>
        <v>13.793036483897</v>
      </c>
      <c r="DX32">
        <f>IF(AND(ISNUMBER(DW32),逐级计算!$X$127&gt;-1),IF(逐级计算!$X$127=0,DW32+逐级计算!$C$127,DW32+逐级计算!$C$127-(10/(逐级计算!$Q$127*LN(10))*(MAX((LN(10^(逐级计算!$Q$127/10)-1)+逐级计算!$Q$127*(DW32-逐级计算!$P$127)*LN(10)/10),0)+LN(1+EXP(-ABS((LN(10^(逐级计算!$Q$127/10)-1)+逐级计算!$Q$127*(DW32-逐级计算!$P$127)*LN(10)/10))))))),"")</f>
        <v>13.793036483897</v>
      </c>
      <c r="DY32">
        <f>IF(AND(ISNUMBER(DX32),逐级计算!$X$128&gt;-1),IF(逐级计算!$X$128=0,DX32+逐级计算!$C$128,DX32+逐级计算!$C$128-(10/(逐级计算!$Q$128*LN(10))*(MAX((LN(10^(逐级计算!$Q$128/10)-1)+逐级计算!$Q$128*(DX32-逐级计算!$P$128)*LN(10)/10),0)+LN(1+EXP(-ABS((LN(10^(逐级计算!$Q$128/10)-1)+逐级计算!$Q$128*(DX32-逐级计算!$P$128)*LN(10)/10))))))),"")</f>
        <v>13.793036483897</v>
      </c>
      <c r="DZ32">
        <f>IF(AND(ISNUMBER(DY32),逐级计算!$X$129&gt;-1),IF(逐级计算!$X$129=0,DY32+逐级计算!$C$129,DY32+逐级计算!$C$129-(10/(逐级计算!$Q$129*LN(10))*(MAX((LN(10^(逐级计算!$Q$129/10)-1)+逐级计算!$Q$129*(DY32-逐级计算!$P$129)*LN(10)/10),0)+LN(1+EXP(-ABS((LN(10^(逐级计算!$Q$129/10)-1)+逐级计算!$Q$129*(DY32-逐级计算!$P$129)*LN(10)/10))))))),"")</f>
        <v>13.793036483897</v>
      </c>
      <c r="EA32">
        <f>IF(AND(ISNUMBER(DZ32),逐级计算!$X$130&gt;-1),IF(逐级计算!$X$130=0,DZ32+逐级计算!$C$130,DZ32+逐级计算!$C$130-(10/(逐级计算!$Q$130*LN(10))*(MAX((LN(10^(逐级计算!$Q$130/10)-1)+逐级计算!$Q$130*(DZ32-逐级计算!$P$130)*LN(10)/10),0)+LN(1+EXP(-ABS((LN(10^(逐级计算!$Q$130/10)-1)+逐级计算!$Q$130*(DZ32-逐级计算!$P$130)*LN(10)/10))))))),"")</f>
        <v>13.793036483897</v>
      </c>
      <c r="EB32">
        <f>IF(AND(ISNUMBER(EA32),逐级计算!$X$131&gt;-1),IF(逐级计算!$X$131=0,EA32+逐级计算!$C$131,EA32+逐级计算!$C$131-(10/(逐级计算!$Q$131*LN(10))*(MAX((LN(10^(逐级计算!$Q$131/10)-1)+逐级计算!$Q$131*(EA32-逐级计算!$P$131)*LN(10)/10),0)+LN(1+EXP(-ABS((LN(10^(逐级计算!$Q$131/10)-1)+逐级计算!$Q$131*(EA32-逐级计算!$P$131)*LN(10)/10))))))),"")</f>
        <v>13.793036483897</v>
      </c>
      <c r="EC32">
        <f>IF(AND(ISNUMBER(EB32),逐级计算!$X$132&gt;-1),IF(逐级计算!$X$132=0,EB32+逐级计算!$C$132,EB32+逐级计算!$C$132-(10/(逐级计算!$Q$132*LN(10))*(MAX((LN(10^(逐级计算!$Q$132/10)-1)+逐级计算!$Q$132*(EB32-逐级计算!$P$132)*LN(10)/10),0)+LN(1+EXP(-ABS((LN(10^(逐级计算!$Q$132/10)-1)+逐级计算!$Q$132*(EB32-逐级计算!$P$132)*LN(10)/10))))))),"")</f>
        <v>13.793036483897</v>
      </c>
      <c r="ED32">
        <f>IF(AND(ISNUMBER(EC32),逐级计算!$X$133&gt;-1),IF(逐级计算!$X$133=0,EC32+逐级计算!$C$133,EC32+逐级计算!$C$133-(10/(逐级计算!$Q$133*LN(10))*(MAX((LN(10^(逐级计算!$Q$133/10)-1)+逐级计算!$Q$133*(EC32-逐级计算!$P$133)*LN(10)/10),0)+LN(1+EXP(-ABS((LN(10^(逐级计算!$Q$133/10)-1)+逐级计算!$Q$133*(EC32-逐级计算!$P$133)*LN(10)/10))))))),"")</f>
        <v>13.793036483897</v>
      </c>
      <c r="EE32">
        <f>IF(AND(ISNUMBER(ED32),逐级计算!$X$134&gt;-1),IF(逐级计算!$X$134=0,ED32+逐级计算!$C$134,ED32+逐级计算!$C$134-(10/(逐级计算!$Q$134*LN(10))*(MAX((LN(10^(逐级计算!$Q$134/10)-1)+逐级计算!$Q$134*(ED32-逐级计算!$P$134)*LN(10)/10),0)+LN(1+EXP(-ABS((LN(10^(逐级计算!$Q$134/10)-1)+逐级计算!$Q$134*(ED32-逐级计算!$P$134)*LN(10)/10))))))),"")</f>
        <v>13.793036483897</v>
      </c>
      <c r="EF32">
        <f>IF(AND(ISNUMBER(EE32),逐级计算!$X$135&gt;-1),IF(逐级计算!$X$135=0,EE32+逐级计算!$C$135,EE32+逐级计算!$C$135-(10/(逐级计算!$Q$135*LN(10))*(MAX((LN(10^(逐级计算!$Q$135/10)-1)+逐级计算!$Q$135*(EE32-逐级计算!$P$135)*LN(10)/10),0)+LN(1+EXP(-ABS((LN(10^(逐级计算!$Q$135/10)-1)+逐级计算!$Q$135*(EE32-逐级计算!$P$135)*LN(10)/10))))))),"")</f>
        <v>13.793036483897</v>
      </c>
      <c r="EG32">
        <f>IF(AND(ISNUMBER(EF32),逐级计算!$X$136&gt;-1),IF(逐级计算!$X$136=0,EF32+逐级计算!$C$136,EF32+逐级计算!$C$136-(10/(逐级计算!$Q$136*LN(10))*(MAX((LN(10^(逐级计算!$Q$136/10)-1)+逐级计算!$Q$136*(EF32-逐级计算!$P$136)*LN(10)/10),0)+LN(1+EXP(-ABS((LN(10^(逐级计算!$Q$136/10)-1)+逐级计算!$Q$136*(EF32-逐级计算!$P$136)*LN(10)/10))))))),"")</f>
        <v>13.793036483897</v>
      </c>
      <c r="EH32">
        <f>IF(AND(ISNUMBER(EG32),逐级计算!$X$137&gt;-1),IF(逐级计算!$X$137=0,EG32+逐级计算!$C$137,EG32+逐级计算!$C$137-(10/(逐级计算!$Q$137*LN(10))*(MAX((LN(10^(逐级计算!$Q$137/10)-1)+逐级计算!$Q$137*(EG32-逐级计算!$P$137)*LN(10)/10),0)+LN(1+EXP(-ABS((LN(10^(逐级计算!$Q$137/10)-1)+逐级计算!$Q$137*(EG32-逐级计算!$P$137)*LN(10)/10))))))),"")</f>
        <v>13.793036483897</v>
      </c>
      <c r="EI32">
        <f>IF(AND(ISNUMBER(EH32),逐级计算!$X$138&gt;-1),IF(逐级计算!$X$138=0,EH32+逐级计算!$C$138,EH32+逐级计算!$C$138-(10/(逐级计算!$Q$138*LN(10))*(MAX((LN(10^(逐级计算!$Q$138/10)-1)+逐级计算!$Q$138*(EH32-逐级计算!$P$138)*LN(10)/10),0)+LN(1+EXP(-ABS((LN(10^(逐级计算!$Q$138/10)-1)+逐级计算!$Q$138*(EH32-逐级计算!$P$138)*LN(10)/10))))))),"")</f>
        <v>13.793036483897</v>
      </c>
      <c r="EJ32">
        <f>IF(AND(ISNUMBER(EI32),逐级计算!$X$139&gt;-1),IF(逐级计算!$X$139=0,EI32+逐级计算!$C$139,EI32+逐级计算!$C$139-(10/(逐级计算!$Q$139*LN(10))*(MAX((LN(10^(逐级计算!$Q$139/10)-1)+逐级计算!$Q$139*(EI32-逐级计算!$P$139)*LN(10)/10),0)+LN(1+EXP(-ABS((LN(10^(逐级计算!$Q$139/10)-1)+逐级计算!$Q$139*(EI32-逐级计算!$P$139)*LN(10)/10))))))),"")</f>
        <v>13.793036483897</v>
      </c>
      <c r="EK32">
        <f>IF(AND(ISNUMBER(EJ32),逐级计算!$X$140&gt;-1),IF(逐级计算!$X$140=0,EJ32+逐级计算!$C$140,EJ32+逐级计算!$C$140-(10/(逐级计算!$Q$140*LN(10))*(MAX((LN(10^(逐级计算!$Q$140/10)-1)+逐级计算!$Q$140*(EJ32-逐级计算!$P$140)*LN(10)/10),0)+LN(1+EXP(-ABS((LN(10^(逐级计算!$Q$140/10)-1)+逐级计算!$Q$140*(EJ32-逐级计算!$P$140)*LN(10)/10))))))),"")</f>
        <v>13.793036483897</v>
      </c>
      <c r="EL32">
        <f>IF(AND(ISNUMBER(EK32),逐级计算!$X$141&gt;-1),IF(逐级计算!$X$141=0,EK32+逐级计算!$C$141,EK32+逐级计算!$C$141-(10/(逐级计算!$Q$141*LN(10))*(MAX((LN(10^(逐级计算!$Q$141/10)-1)+逐级计算!$Q$141*(EK32-逐级计算!$P$141)*LN(10)/10),0)+LN(1+EXP(-ABS((LN(10^(逐级计算!$Q$141/10)-1)+逐级计算!$Q$141*(EK32-逐级计算!$P$141)*LN(10)/10))))))),"")</f>
        <v>13.793036483897</v>
      </c>
      <c r="EM32">
        <f>IF(AND(ISNUMBER(EL32),逐级计算!$X$142&gt;-1),IF(逐级计算!$X$142=0,EL32+逐级计算!$C$142,EL32+逐级计算!$C$142-(10/(逐级计算!$Q$142*LN(10))*(MAX((LN(10^(逐级计算!$Q$142/10)-1)+逐级计算!$Q$142*(EL32-逐级计算!$P$142)*LN(10)/10),0)+LN(1+EXP(-ABS((LN(10^(逐级计算!$Q$142/10)-1)+逐级计算!$Q$142*(EL32-逐级计算!$P$142)*LN(10)/10))))))),"")</f>
        <v>13.793036483897</v>
      </c>
      <c r="EN32">
        <f>IF(AND(ISNUMBER(EM32),逐级计算!$X$143&gt;-1),IF(逐级计算!$X$143=0,EM32+逐级计算!$C$143,EM32+逐级计算!$C$143-(10/(逐级计算!$Q$143*LN(10))*(MAX((LN(10^(逐级计算!$Q$143/10)-1)+逐级计算!$Q$143*(EM32-逐级计算!$P$143)*LN(10)/10),0)+LN(1+EXP(-ABS((LN(10^(逐级计算!$Q$143/10)-1)+逐级计算!$Q$143*(EM32-逐级计算!$P$143)*LN(10)/10))))))),"")</f>
        <v>13.793036483897</v>
      </c>
      <c r="EO32">
        <f>IF(AND(ISNUMBER(EN32),逐级计算!$X$144&gt;-1),IF(逐级计算!$X$144=0,EN32+逐级计算!$C$144,EN32+逐级计算!$C$144-(10/(逐级计算!$Q$144*LN(10))*(MAX((LN(10^(逐级计算!$Q$144/10)-1)+逐级计算!$Q$144*(EN32-逐级计算!$P$144)*LN(10)/10),0)+LN(1+EXP(-ABS((LN(10^(逐级计算!$Q$144/10)-1)+逐级计算!$Q$144*(EN32-逐级计算!$P$144)*LN(10)/10))))))),"")</f>
        <v>13.793036483897</v>
      </c>
      <c r="EP32">
        <f>IF(AND(ISNUMBER(EO32),逐级计算!$X$145&gt;-1),IF(逐级计算!$X$145=0,EO32+逐级计算!$C$145,EO32+逐级计算!$C$145-(10/(逐级计算!$Q$145*LN(10))*(MAX((LN(10^(逐级计算!$Q$145/10)-1)+逐级计算!$Q$145*(EO32-逐级计算!$P$145)*LN(10)/10),0)+LN(1+EXP(-ABS((LN(10^(逐级计算!$Q$145/10)-1)+逐级计算!$Q$145*(EO32-逐级计算!$P$145)*LN(10)/10))))))),"")</f>
        <v>13.793036483897</v>
      </c>
      <c r="EQ32">
        <f>IF(AND(ISNUMBER(EP32),逐级计算!$X$146&gt;-1),IF(逐级计算!$X$146=0,EP32+逐级计算!$C$146,EP32+逐级计算!$C$146-(10/(逐级计算!$Q$146*LN(10))*(MAX((LN(10^(逐级计算!$Q$146/10)-1)+逐级计算!$Q$146*(EP32-逐级计算!$P$146)*LN(10)/10),0)+LN(1+EXP(-ABS((LN(10^(逐级计算!$Q$146/10)-1)+逐级计算!$Q$146*(EP32-逐级计算!$P$146)*LN(10)/10))))))),"")</f>
        <v>13.793036483897</v>
      </c>
      <c r="ER32">
        <f>IF(AND(ISNUMBER(EQ32),逐级计算!$X$147&gt;-1),IF(逐级计算!$X$147=0,EQ32+逐级计算!$C$147,EQ32+逐级计算!$C$147-(10/(逐级计算!$Q$147*LN(10))*(MAX((LN(10^(逐级计算!$Q$147/10)-1)+逐级计算!$Q$147*(EQ32-逐级计算!$P$147)*LN(10)/10),0)+LN(1+EXP(-ABS((LN(10^(逐级计算!$Q$147/10)-1)+逐级计算!$Q$147*(EQ32-逐级计算!$P$147)*LN(10)/10))))))),"")</f>
        <v>13.793036483897</v>
      </c>
      <c r="ES32">
        <f>IF(AND(ISNUMBER(ER32),逐级计算!$X$148&gt;-1),IF(逐级计算!$X$148=0,ER32+逐级计算!$C$148,ER32+逐级计算!$C$148-(10/(逐级计算!$Q$148*LN(10))*(MAX((LN(10^(逐级计算!$Q$148/10)-1)+逐级计算!$Q$148*(ER32-逐级计算!$P$148)*LN(10)/10),0)+LN(1+EXP(-ABS((LN(10^(逐级计算!$Q$148/10)-1)+逐级计算!$Q$148*(ER32-逐级计算!$P$148)*LN(10)/10))))))),"")</f>
        <v>13.793036483897</v>
      </c>
      <c r="ET32">
        <f>IF(AND(ISNUMBER(ES32),逐级计算!$X$149&gt;-1),IF(逐级计算!$X$149=0,ES32+逐级计算!$C$149,ES32+逐级计算!$C$149-(10/(逐级计算!$Q$149*LN(10))*(MAX((LN(10^(逐级计算!$Q$149/10)-1)+逐级计算!$Q$149*(ES32-逐级计算!$P$149)*LN(10)/10),0)+LN(1+EXP(-ABS((LN(10^(逐级计算!$Q$149/10)-1)+逐级计算!$Q$149*(ES32-逐级计算!$P$149)*LN(10)/10))))))),"")</f>
        <v>13.793036483897</v>
      </c>
      <c r="EU32">
        <f>IF(AND(ISNUMBER(ET32),逐级计算!$X$150&gt;-1),IF(逐级计算!$X$150=0,ET32+逐级计算!$C$150,ET32+逐级计算!$C$150-(10/(逐级计算!$Q$150*LN(10))*(MAX((LN(10^(逐级计算!$Q$150/10)-1)+逐级计算!$Q$150*(ET32-逐级计算!$P$150)*LN(10)/10),0)+LN(1+EXP(-ABS((LN(10^(逐级计算!$Q$150/10)-1)+逐级计算!$Q$150*(ET32-逐级计算!$P$150)*LN(10)/10))))))),"")</f>
        <v>13.793036483897</v>
      </c>
      <c r="EV32">
        <f>IF(AND(ISNUMBER(EU32),逐级计算!$X$151&gt;-1),IF(逐级计算!$X$151=0,EU32+逐级计算!$C$151,EU32+逐级计算!$C$151-(10/(逐级计算!$Q$151*LN(10))*(MAX((LN(10^(逐级计算!$Q$151/10)-1)+逐级计算!$Q$151*(EU32-逐级计算!$P$151)*LN(10)/10),0)+LN(1+EXP(-ABS((LN(10^(逐级计算!$Q$151/10)-1)+逐级计算!$Q$151*(EU32-逐级计算!$P$151)*LN(10)/10))))))),"")</f>
        <v>13.793036483897</v>
      </c>
      <c r="EW32">
        <f>IF(AND(ISNUMBER(EV32),逐级计算!$X$152&gt;-1),IF(逐级计算!$X$152=0,EV32+逐级计算!$C$152,EV32+逐级计算!$C$152-(10/(逐级计算!$Q$152*LN(10))*(MAX((LN(10^(逐级计算!$Q$152/10)-1)+逐级计算!$Q$152*(EV32-逐级计算!$P$152)*LN(10)/10),0)+LN(1+EXP(-ABS((LN(10^(逐级计算!$Q$152/10)-1)+逐级计算!$Q$152*(EV32-逐级计算!$P$152)*LN(10)/10))))))),"")</f>
        <v>13.793036483897</v>
      </c>
      <c r="EX32">
        <f>IF(AND(ISNUMBER(EW32),逐级计算!$X$153&gt;-1),IF(逐级计算!$X$153=0,EW32+逐级计算!$C$153,EW32+逐级计算!$C$153-(10/(逐级计算!$Q$153*LN(10))*(MAX((LN(10^(逐级计算!$Q$153/10)-1)+逐级计算!$Q$153*(EW32-逐级计算!$P$153)*LN(10)/10),0)+LN(1+EXP(-ABS((LN(10^(逐级计算!$Q$153/10)-1)+逐级计算!$Q$153*(EW32-逐级计算!$P$153)*LN(10)/10))))))),"")</f>
        <v>13.793036483897</v>
      </c>
      <c r="EY32">
        <f>IF(AND(ISNUMBER(EX32),逐级计算!$X$154&gt;-1),IF(逐级计算!$X$154=0,EX32+逐级计算!$C$154,EX32+逐级计算!$C$154-(10/(逐级计算!$Q$154*LN(10))*(MAX((LN(10^(逐级计算!$Q$154/10)-1)+逐级计算!$Q$154*(EX32-逐级计算!$P$154)*LN(10)/10),0)+LN(1+EXP(-ABS((LN(10^(逐级计算!$Q$154/10)-1)+逐级计算!$Q$154*(EX32-逐级计算!$P$154)*LN(10)/10))))))),"")</f>
        <v>13.793036483897</v>
      </c>
      <c r="EZ32">
        <f>IF(AND(ISNUMBER(EY32),逐级计算!$X$155&gt;-1),IF(逐级计算!$X$155=0,EY32+逐级计算!$C$155,EY32+逐级计算!$C$155-(10/(逐级计算!$Q$155*LN(10))*(MAX((LN(10^(逐级计算!$Q$155/10)-1)+逐级计算!$Q$155*(EY32-逐级计算!$P$155)*LN(10)/10),0)+LN(1+EXP(-ABS((LN(10^(逐级计算!$Q$155/10)-1)+逐级计算!$Q$155*(EY32-逐级计算!$P$155)*LN(10)/10))))))),"")</f>
        <v>13.793036483897</v>
      </c>
      <c r="FA32">
        <f>IF(AND(ISNUMBER(EZ32),逐级计算!$X$156&gt;-1),IF(逐级计算!$X$156=0,EZ32+逐级计算!$C$156,EZ32+逐级计算!$C$156-(10/(逐级计算!$Q$156*LN(10))*(MAX((LN(10^(逐级计算!$Q$156/10)-1)+逐级计算!$Q$156*(EZ32-逐级计算!$P$156)*LN(10)/10),0)+LN(1+EXP(-ABS((LN(10^(逐级计算!$Q$156/10)-1)+逐级计算!$Q$156*(EZ32-逐级计算!$P$156)*LN(10)/10))))))),"")</f>
        <v>13.793036483897</v>
      </c>
      <c r="FB32">
        <f>IF(AND(ISNUMBER(FA32),逐级计算!$X$157&gt;-1),IF(逐级计算!$X$157=0,FA32+逐级计算!$C$157,FA32+逐级计算!$C$157-(10/(逐级计算!$Q$157*LN(10))*(MAX((LN(10^(逐级计算!$Q$157/10)-1)+逐级计算!$Q$157*(FA32-逐级计算!$P$157)*LN(10)/10),0)+LN(1+EXP(-ABS((LN(10^(逐级计算!$Q$157/10)-1)+逐级计算!$Q$157*(FA32-逐级计算!$P$157)*LN(10)/10))))))),"")</f>
        <v>13.793036483897</v>
      </c>
      <c r="FC32">
        <f>IF(AND(ISNUMBER(FB32),逐级计算!$X$158&gt;-1),IF(逐级计算!$X$158=0,FB32+逐级计算!$C$158,FB32+逐级计算!$C$158-(10/(逐级计算!$Q$158*LN(10))*(MAX((LN(10^(逐级计算!$Q$158/10)-1)+逐级计算!$Q$158*(FB32-逐级计算!$P$158)*LN(10)/10),0)+LN(1+EXP(-ABS((LN(10^(逐级计算!$Q$158/10)-1)+逐级计算!$Q$158*(FB32-逐级计算!$P$158)*LN(10)/10))))))),"")</f>
        <v>13.793036483897</v>
      </c>
      <c r="FD32">
        <f>IF(AND(ISNUMBER(FC32),逐级计算!$X$159&gt;-1),IF(逐级计算!$X$159=0,FC32+逐级计算!$C$159,FC32+逐级计算!$C$159-(10/(逐级计算!$Q$159*LN(10))*(MAX((LN(10^(逐级计算!$Q$159/10)-1)+逐级计算!$Q$159*(FC32-逐级计算!$P$159)*LN(10)/10),0)+LN(1+EXP(-ABS((LN(10^(逐级计算!$Q$159/10)-1)+逐级计算!$Q$159*(FC32-逐级计算!$P$159)*LN(10)/10))))))),"")</f>
        <v>13.793036483897</v>
      </c>
      <c r="FE32">
        <f>IF(AND(ISNUMBER(FD32),逐级计算!$X$160&gt;-1),IF(逐级计算!$X$160=0,FD32+逐级计算!$C$160,FD32+逐级计算!$C$160-(10/(逐级计算!$Q$160*LN(10))*(MAX((LN(10^(逐级计算!$Q$160/10)-1)+逐级计算!$Q$160*(FD32-逐级计算!$P$160)*LN(10)/10),0)+LN(1+EXP(-ABS((LN(10^(逐级计算!$Q$160/10)-1)+逐级计算!$Q$160*(FD32-逐级计算!$P$160)*LN(10)/10))))))),"")</f>
        <v>13.793036483897</v>
      </c>
      <c r="FF32">
        <f>IF(AND(ISNUMBER(FE32),逐级计算!$X$161&gt;-1),IF(逐级计算!$X$161=0,FE32+逐级计算!$C$161,FE32+逐级计算!$C$161-(10/(逐级计算!$Q$161*LN(10))*(MAX((LN(10^(逐级计算!$Q$161/10)-1)+逐级计算!$Q$161*(FE32-逐级计算!$P$161)*LN(10)/10),0)+LN(1+EXP(-ABS((LN(10^(逐级计算!$Q$161/10)-1)+逐级计算!$Q$161*(FE32-逐级计算!$P$161)*LN(10)/10))))))),"")</f>
        <v>13.793036483897</v>
      </c>
      <c r="FG32">
        <f>IF(AND(ISNUMBER(FF32),逐级计算!$X$162&gt;-1),IF(逐级计算!$X$162=0,FF32+逐级计算!$C$162,FF32+逐级计算!$C$162-(10/(逐级计算!$Q$162*LN(10))*(MAX((LN(10^(逐级计算!$Q$162/10)-1)+逐级计算!$Q$162*(FF32-逐级计算!$P$162)*LN(10)/10),0)+LN(1+EXP(-ABS((LN(10^(逐级计算!$Q$162/10)-1)+逐级计算!$Q$162*(FF32-逐级计算!$P$162)*LN(10)/10))))))),"")</f>
        <v>13.793036483897</v>
      </c>
      <c r="FH32">
        <f>IF(AND(ISNUMBER(FG32),逐级计算!$X$163&gt;-1),IF(逐级计算!$X$163=0,FG32+逐级计算!$C$163,FG32+逐级计算!$C$163-(10/(逐级计算!$Q$163*LN(10))*(MAX((LN(10^(逐级计算!$Q$163/10)-1)+逐级计算!$Q$163*(FG32-逐级计算!$P$163)*LN(10)/10),0)+LN(1+EXP(-ABS((LN(10^(逐级计算!$Q$163/10)-1)+逐级计算!$Q$163*(FG32-逐级计算!$P$163)*LN(10)/10))))))),"")</f>
        <v>13.793036483897</v>
      </c>
      <c r="FI32">
        <f>IF(AND(ISNUMBER(FH32),逐级计算!$X$164&gt;-1),IF(逐级计算!$X$164=0,FH32+逐级计算!$C$164,FH32+逐级计算!$C$164-(10/(逐级计算!$Q$164*LN(10))*(MAX((LN(10^(逐级计算!$Q$164/10)-1)+逐级计算!$Q$164*(FH32-逐级计算!$P$164)*LN(10)/10),0)+LN(1+EXP(-ABS((LN(10^(逐级计算!$Q$164/10)-1)+逐级计算!$Q$164*(FH32-逐级计算!$P$164)*LN(10)/10))))))),"")</f>
        <v>13.793036483897</v>
      </c>
      <c r="FJ32">
        <f>IF(AND(ISNUMBER(FI32),逐级计算!$X$165&gt;-1),IF(逐级计算!$X$165=0,FI32+逐级计算!$C$165,FI32+逐级计算!$C$165-(10/(逐级计算!$Q$165*LN(10))*(MAX((LN(10^(逐级计算!$Q$165/10)-1)+逐级计算!$Q$165*(FI32-逐级计算!$P$165)*LN(10)/10),0)+LN(1+EXP(-ABS((LN(10^(逐级计算!$Q$165/10)-1)+逐级计算!$Q$165*(FI32-逐级计算!$P$165)*LN(10)/10))))))),"")</f>
        <v>13.793036483897</v>
      </c>
      <c r="FK32">
        <f>IF(AND(ISNUMBER(FJ32),逐级计算!$X$166&gt;-1),IF(逐级计算!$X$166=0,FJ32+逐级计算!$C$166,FJ32+逐级计算!$C$166-(10/(逐级计算!$Q$166*LN(10))*(MAX((LN(10^(逐级计算!$Q$166/10)-1)+逐级计算!$Q$166*(FJ32-逐级计算!$P$166)*LN(10)/10),0)+LN(1+EXP(-ABS((LN(10^(逐级计算!$Q$166/10)-1)+逐级计算!$Q$166*(FJ32-逐级计算!$P$166)*LN(10)/10))))))),"")</f>
        <v>13.793036483897</v>
      </c>
      <c r="FL32">
        <f>IF(AND(ISNUMBER(FK32),逐级计算!$X$167&gt;-1),IF(逐级计算!$X$167=0,FK32+逐级计算!$C$167,FK32+逐级计算!$C$167-(10/(逐级计算!$Q$167*LN(10))*(MAX((LN(10^(逐级计算!$Q$167/10)-1)+逐级计算!$Q$167*(FK32-逐级计算!$P$167)*LN(10)/10),0)+LN(1+EXP(-ABS((LN(10^(逐级计算!$Q$167/10)-1)+逐级计算!$Q$167*(FK32-逐级计算!$P$167)*LN(10)/10))))))),"")</f>
        <v>13.793036483897</v>
      </c>
      <c r="FM32">
        <f>IF(AND(ISNUMBER(FL32),逐级计算!$X$168&gt;-1),IF(逐级计算!$X$168=0,FL32+逐级计算!$C$168,FL32+逐级计算!$C$168-(10/(逐级计算!$Q$168*LN(10))*(MAX((LN(10^(逐级计算!$Q$168/10)-1)+逐级计算!$Q$168*(FL32-逐级计算!$P$168)*LN(10)/10),0)+LN(1+EXP(-ABS((LN(10^(逐级计算!$Q$168/10)-1)+逐级计算!$Q$168*(FL32-逐级计算!$P$168)*LN(10)/10))))))),"")</f>
        <v>13.793036483897</v>
      </c>
      <c r="FN32">
        <f>IF(AND(ISNUMBER(FM32),逐级计算!$X$169&gt;-1),IF(逐级计算!$X$169=0,FM32+逐级计算!$C$169,FM32+逐级计算!$C$169-(10/(逐级计算!$Q$169*LN(10))*(MAX((LN(10^(逐级计算!$Q$169/10)-1)+逐级计算!$Q$169*(FM32-逐级计算!$P$169)*LN(10)/10),0)+LN(1+EXP(-ABS((LN(10^(逐级计算!$Q$169/10)-1)+逐级计算!$Q$169*(FM32-逐级计算!$P$169)*LN(10)/10))))))),"")</f>
        <v>13.793036483897</v>
      </c>
      <c r="FO32">
        <f>IF(AND(ISNUMBER(FN32),逐级计算!$X$170&gt;-1),IF(逐级计算!$X$170=0,FN32+逐级计算!$C$170,FN32+逐级计算!$C$170-(10/(逐级计算!$Q$170*LN(10))*(MAX((LN(10^(逐级计算!$Q$170/10)-1)+逐级计算!$Q$170*(FN32-逐级计算!$P$170)*LN(10)/10),0)+LN(1+EXP(-ABS((LN(10^(逐级计算!$Q$170/10)-1)+逐级计算!$Q$170*(FN32-逐级计算!$P$170)*LN(10)/10))))))),"")</f>
        <v>13.793036483897</v>
      </c>
      <c r="FP32">
        <f>IF(AND(ISNUMBER(FO32),逐级计算!$X$171&gt;-1),IF(逐级计算!$X$171=0,FO32+逐级计算!$C$171,FO32+逐级计算!$C$171-(10/(逐级计算!$Q$171*LN(10))*(MAX((LN(10^(逐级计算!$Q$171/10)-1)+逐级计算!$Q$171*(FO32-逐级计算!$P$171)*LN(10)/10),0)+LN(1+EXP(-ABS((LN(10^(逐级计算!$Q$171/10)-1)+逐级计算!$Q$171*(FO32-逐级计算!$P$171)*LN(10)/10))))))),"")</f>
        <v>13.793036483897</v>
      </c>
      <c r="FQ32">
        <f>IF(AND(ISNUMBER(FP32),逐级计算!$X$172&gt;-1),IF(逐级计算!$X$172=0,FP32+逐级计算!$C$172,FP32+逐级计算!$C$172-(10/(逐级计算!$Q$172*LN(10))*(MAX((LN(10^(逐级计算!$Q$172/10)-1)+逐级计算!$Q$172*(FP32-逐级计算!$P$172)*LN(10)/10),0)+LN(1+EXP(-ABS((LN(10^(逐级计算!$Q$172/10)-1)+逐级计算!$Q$172*(FP32-逐级计算!$P$172)*LN(10)/10))))))),"")</f>
        <v>13.793036483897</v>
      </c>
      <c r="FR32">
        <f>IF(AND(ISNUMBER(FQ32),逐级计算!$X$173&gt;-1),IF(逐级计算!$X$173=0,FQ32+逐级计算!$C$173,FQ32+逐级计算!$C$173-(10/(逐级计算!$Q$173*LN(10))*(MAX((LN(10^(逐级计算!$Q$173/10)-1)+逐级计算!$Q$173*(FQ32-逐级计算!$P$173)*LN(10)/10),0)+LN(1+EXP(-ABS((LN(10^(逐级计算!$Q$173/10)-1)+逐级计算!$Q$173*(FQ32-逐级计算!$P$173)*LN(10)/10))))))),"")</f>
        <v>13.793036483897</v>
      </c>
      <c r="FS32">
        <f>IF(AND(ISNUMBER(FR32),逐级计算!$X$174&gt;-1),IF(逐级计算!$X$174=0,FR32+逐级计算!$C$174,FR32+逐级计算!$C$174-(10/(逐级计算!$Q$174*LN(10))*(MAX((LN(10^(逐级计算!$Q$174/10)-1)+逐级计算!$Q$174*(FR32-逐级计算!$P$174)*LN(10)/10),0)+LN(1+EXP(-ABS((LN(10^(逐级计算!$Q$174/10)-1)+逐级计算!$Q$174*(FR32-逐级计算!$P$174)*LN(10)/10))))))),"")</f>
        <v>13.793036483897</v>
      </c>
      <c r="FT32">
        <f>IF(AND(ISNUMBER(FS32),逐级计算!$X$175&gt;-1),IF(逐级计算!$X$175=0,FS32+逐级计算!$C$175,FS32+逐级计算!$C$175-(10/(逐级计算!$Q$175*LN(10))*(MAX((LN(10^(逐级计算!$Q$175/10)-1)+逐级计算!$Q$175*(FS32-逐级计算!$P$175)*LN(10)/10),0)+LN(1+EXP(-ABS((LN(10^(逐级计算!$Q$175/10)-1)+逐级计算!$Q$175*(FS32-逐级计算!$P$175)*LN(10)/10))))))),"")</f>
        <v>13.793036483897</v>
      </c>
      <c r="FU32">
        <f>IF(AND(ISNUMBER(FT32),逐级计算!$X$176&gt;-1),IF(逐级计算!$X$176=0,FT32+逐级计算!$C$176,FT32+逐级计算!$C$176-(10/(逐级计算!$Q$176*LN(10))*(MAX((LN(10^(逐级计算!$Q$176/10)-1)+逐级计算!$Q$176*(FT32-逐级计算!$P$176)*LN(10)/10),0)+LN(1+EXP(-ABS((LN(10^(逐级计算!$Q$176/10)-1)+逐级计算!$Q$176*(FT32-逐级计算!$P$176)*LN(10)/10))))))),"")</f>
        <v>13.793036483897</v>
      </c>
      <c r="FV32">
        <f>IF(AND(ISNUMBER(FU32),逐级计算!$X$177&gt;-1),IF(逐级计算!$X$177=0,FU32+逐级计算!$C$177,FU32+逐级计算!$C$177-(10/(逐级计算!$Q$177*LN(10))*(MAX((LN(10^(逐级计算!$Q$177/10)-1)+逐级计算!$Q$177*(FU32-逐级计算!$P$177)*LN(10)/10),0)+LN(1+EXP(-ABS((LN(10^(逐级计算!$Q$177/10)-1)+逐级计算!$Q$177*(FU32-逐级计算!$P$177)*LN(10)/10))))))),"")</f>
        <v>13.793036483897</v>
      </c>
      <c r="FW32">
        <f>IF(AND(ISNUMBER(FV32),逐级计算!$X$178&gt;-1),IF(逐级计算!$X$178=0,FV32+逐级计算!$C$178,FV32+逐级计算!$C$178-(10/(逐级计算!$Q$178*LN(10))*(MAX((LN(10^(逐级计算!$Q$178/10)-1)+逐级计算!$Q$178*(FV32-逐级计算!$P$178)*LN(10)/10),0)+LN(1+EXP(-ABS((LN(10^(逐级计算!$Q$178/10)-1)+逐级计算!$Q$178*(FV32-逐级计算!$P$178)*LN(10)/10))))))),"")</f>
        <v>13.793036483897</v>
      </c>
      <c r="FX32">
        <f>IF(AND(ISNUMBER(FW32),逐级计算!$X$179&gt;-1),IF(逐级计算!$X$179=0,FW32+逐级计算!$C$179,FW32+逐级计算!$C$179-(10/(逐级计算!$Q$179*LN(10))*(MAX((LN(10^(逐级计算!$Q$179/10)-1)+逐级计算!$Q$179*(FW32-逐级计算!$P$179)*LN(10)/10),0)+LN(1+EXP(-ABS((LN(10^(逐级计算!$Q$179/10)-1)+逐级计算!$Q$179*(FW32-逐级计算!$P$179)*LN(10)/10))))))),"")</f>
        <v>13.793036483897</v>
      </c>
      <c r="FY32">
        <f>IF(AND(ISNUMBER(FX32),逐级计算!$X$180&gt;-1),IF(逐级计算!$X$180=0,FX32+逐级计算!$C$180,FX32+逐级计算!$C$180-(10/(逐级计算!$Q$180*LN(10))*(MAX((LN(10^(逐级计算!$Q$180/10)-1)+逐级计算!$Q$180*(FX32-逐级计算!$P$180)*LN(10)/10),0)+LN(1+EXP(-ABS((LN(10^(逐级计算!$Q$180/10)-1)+逐级计算!$Q$180*(FX32-逐级计算!$P$180)*LN(10)/10))))))),"")</f>
        <v>13.793036483897</v>
      </c>
      <c r="FZ32">
        <f>IF(AND(ISNUMBER(FY32),逐级计算!$X$181&gt;-1),IF(逐级计算!$X$181=0,FY32+逐级计算!$C$181,FY32+逐级计算!$C$181-(10/(逐级计算!$Q$181*LN(10))*(MAX((LN(10^(逐级计算!$Q$181/10)-1)+逐级计算!$Q$181*(FY32-逐级计算!$P$181)*LN(10)/10),0)+LN(1+EXP(-ABS((LN(10^(逐级计算!$Q$181/10)-1)+逐级计算!$Q$181*(FY32-逐级计算!$P$181)*LN(10)/10))))))),"")</f>
        <v>13.793036483897</v>
      </c>
      <c r="GA32">
        <f>IF(AND(ISNUMBER(FZ32),逐级计算!$X$182&gt;-1),IF(逐级计算!$X$182=0,FZ32+逐级计算!$C$182,FZ32+逐级计算!$C$182-(10/(逐级计算!$Q$182*LN(10))*(MAX((LN(10^(逐级计算!$Q$182/10)-1)+逐级计算!$Q$182*(FZ32-逐级计算!$P$182)*LN(10)/10),0)+LN(1+EXP(-ABS((LN(10^(逐级计算!$Q$182/10)-1)+逐级计算!$Q$182*(FZ32-逐级计算!$P$182)*LN(10)/10))))))),"")</f>
        <v>13.793036483897</v>
      </c>
      <c r="GB32">
        <f>IF(AND(ISNUMBER(GA32),逐级计算!$X$183&gt;-1),IF(逐级计算!$X$183=0,GA32+逐级计算!$C$183,GA32+逐级计算!$C$183-(10/(逐级计算!$Q$183*LN(10))*(MAX((LN(10^(逐级计算!$Q$183/10)-1)+逐级计算!$Q$183*(GA32-逐级计算!$P$183)*LN(10)/10),0)+LN(1+EXP(-ABS((LN(10^(逐级计算!$Q$183/10)-1)+逐级计算!$Q$183*(GA32-逐级计算!$P$183)*LN(10)/10))))))),"")</f>
        <v>13.793036483897</v>
      </c>
      <c r="GC32">
        <f>IF(AND(ISNUMBER(GB32),逐级计算!$X$184&gt;-1),IF(逐级计算!$X$184=0,GB32+逐级计算!$C$184,GB32+逐级计算!$C$184-(10/(逐级计算!$Q$184*LN(10))*(MAX((LN(10^(逐级计算!$Q$184/10)-1)+逐级计算!$Q$184*(GB32-逐级计算!$P$184)*LN(10)/10),0)+LN(1+EXP(-ABS((LN(10^(逐级计算!$Q$184/10)-1)+逐级计算!$Q$184*(GB32-逐级计算!$P$184)*LN(10)/10))))))),"")</f>
        <v>13.793036483897</v>
      </c>
      <c r="GD32">
        <f>IF(AND(ISNUMBER(GC32),逐级计算!$X$185&gt;-1),IF(逐级计算!$X$185=0,GC32+逐级计算!$C$185,GC32+逐级计算!$C$185-(10/(逐级计算!$Q$185*LN(10))*(MAX((LN(10^(逐级计算!$Q$185/10)-1)+逐级计算!$Q$185*(GC32-逐级计算!$P$185)*LN(10)/10),0)+LN(1+EXP(-ABS((LN(10^(逐级计算!$Q$185/10)-1)+逐级计算!$Q$185*(GC32-逐级计算!$P$185)*LN(10)/10))))))),"")</f>
        <v>13.793036483897</v>
      </c>
      <c r="GE32">
        <f>IF(AND(ISNUMBER(GD32),逐级计算!$X$186&gt;-1),IF(逐级计算!$X$186=0,GD32+逐级计算!$C$186,GD32+逐级计算!$C$186-(10/(逐级计算!$Q$186*LN(10))*(MAX((LN(10^(逐级计算!$Q$186/10)-1)+逐级计算!$Q$186*(GD32-逐级计算!$P$186)*LN(10)/10),0)+LN(1+EXP(-ABS((LN(10^(逐级计算!$Q$186/10)-1)+逐级计算!$Q$186*(GD32-逐级计算!$P$186)*LN(10)/10))))))),"")</f>
        <v>13.793036483897</v>
      </c>
      <c r="GF32">
        <f>IF(AND(ISNUMBER(GE32),逐级计算!$X$187&gt;-1),IF(逐级计算!$X$187=0,GE32+逐级计算!$C$187,GE32+逐级计算!$C$187-(10/(逐级计算!$Q$187*LN(10))*(MAX((LN(10^(逐级计算!$Q$187/10)-1)+逐级计算!$Q$187*(GE32-逐级计算!$P$187)*LN(10)/10),0)+LN(1+EXP(-ABS((LN(10^(逐级计算!$Q$187/10)-1)+逐级计算!$Q$187*(GE32-逐级计算!$P$187)*LN(10)/10))))))),"")</f>
        <v>13.793036483897</v>
      </c>
      <c r="GG32">
        <f>IF(AND(ISNUMBER(GF32),逐级计算!$X$188&gt;-1),IF(逐级计算!$X$188=0,GF32+逐级计算!$C$188,GF32+逐级计算!$C$188-(10/(逐级计算!$Q$188*LN(10))*(MAX((LN(10^(逐级计算!$Q$188/10)-1)+逐级计算!$Q$188*(GF32-逐级计算!$P$188)*LN(10)/10),0)+LN(1+EXP(-ABS((LN(10^(逐级计算!$Q$188/10)-1)+逐级计算!$Q$188*(GF32-逐级计算!$P$188)*LN(10)/10))))))),"")</f>
        <v>13.793036483897</v>
      </c>
      <c r="GH32">
        <f>IF(AND(ISNUMBER(GG32),逐级计算!$X$189&gt;-1),IF(逐级计算!$X$189=0,GG32+逐级计算!$C$189,GG32+逐级计算!$C$189-(10/(逐级计算!$Q$189*LN(10))*(MAX((LN(10^(逐级计算!$Q$189/10)-1)+逐级计算!$Q$189*(GG32-逐级计算!$P$189)*LN(10)/10),0)+LN(1+EXP(-ABS((LN(10^(逐级计算!$Q$189/10)-1)+逐级计算!$Q$189*(GG32-逐级计算!$P$189)*LN(10)/10))))))),"")</f>
        <v>13.793036483897</v>
      </c>
      <c r="GI32">
        <f>IF(AND(ISNUMBER(GH32),逐级计算!$X$190&gt;-1),IF(逐级计算!$X$190=0,GH32+逐级计算!$C$190,GH32+逐级计算!$C$190-(10/(逐级计算!$Q$190*LN(10))*(MAX((LN(10^(逐级计算!$Q$190/10)-1)+逐级计算!$Q$190*(GH32-逐级计算!$P$190)*LN(10)/10),0)+LN(1+EXP(-ABS((LN(10^(逐级计算!$Q$190/10)-1)+逐级计算!$Q$190*(GH32-逐级计算!$P$190)*LN(10)/10))))))),"")</f>
        <v>13.793036483897</v>
      </c>
      <c r="GJ32">
        <f>IF(AND(ISNUMBER(GI32),逐级计算!$X$191&gt;-1),IF(逐级计算!$X$191=0,GI32+逐级计算!$C$191,GI32+逐级计算!$C$191-(10/(逐级计算!$Q$191*LN(10))*(MAX((LN(10^(逐级计算!$Q$191/10)-1)+逐级计算!$Q$191*(GI32-逐级计算!$P$191)*LN(10)/10),0)+LN(1+EXP(-ABS((LN(10^(逐级计算!$Q$191/10)-1)+逐级计算!$Q$191*(GI32-逐级计算!$P$191)*LN(10)/10))))))),"")</f>
        <v>13.793036483897</v>
      </c>
      <c r="GK32">
        <f>IF(AND(ISNUMBER(GJ32),逐级计算!$X$192&gt;-1),IF(逐级计算!$X$192=0,GJ32+逐级计算!$C$192,GJ32+逐级计算!$C$192-(10/(逐级计算!$Q$192*LN(10))*(MAX((LN(10^(逐级计算!$Q$192/10)-1)+逐级计算!$Q$192*(GJ32-逐级计算!$P$192)*LN(10)/10),0)+LN(1+EXP(-ABS((LN(10^(逐级计算!$Q$192/10)-1)+逐级计算!$Q$192*(GJ32-逐级计算!$P$192)*LN(10)/10))))))),"")</f>
        <v>13.793036483897</v>
      </c>
      <c r="GL32">
        <f>IF(AND(ISNUMBER(GK32),逐级计算!$X$193&gt;-1),IF(逐级计算!$X$193=0,GK32+逐级计算!$C$193,GK32+逐级计算!$C$193-(10/(逐级计算!$Q$193*LN(10))*(MAX((LN(10^(逐级计算!$Q$193/10)-1)+逐级计算!$Q$193*(GK32-逐级计算!$P$193)*LN(10)/10),0)+LN(1+EXP(-ABS((LN(10^(逐级计算!$Q$193/10)-1)+逐级计算!$Q$193*(GK32-逐级计算!$P$193)*LN(10)/10))))))),"")</f>
        <v>13.793036483897</v>
      </c>
      <c r="GM32">
        <f>IF(AND(ISNUMBER(GL32),逐级计算!$X$194&gt;-1),IF(逐级计算!$X$194=0,GL32+逐级计算!$C$194,GL32+逐级计算!$C$194-(10/(逐级计算!$Q$194*LN(10))*(MAX((LN(10^(逐级计算!$Q$194/10)-1)+逐级计算!$Q$194*(GL32-逐级计算!$P$194)*LN(10)/10),0)+LN(1+EXP(-ABS((LN(10^(逐级计算!$Q$194/10)-1)+逐级计算!$Q$194*(GL32-逐级计算!$P$194)*LN(10)/10))))))),"")</f>
        <v>13.793036483897</v>
      </c>
      <c r="GN32">
        <f>IF(AND(ISNUMBER(GM32),逐级计算!$X$195&gt;-1),IF(逐级计算!$X$195=0,GM32+逐级计算!$C$195,GM32+逐级计算!$C$195-(10/(逐级计算!$Q$195*LN(10))*(MAX((LN(10^(逐级计算!$Q$195/10)-1)+逐级计算!$Q$195*(GM32-逐级计算!$P$195)*LN(10)/10),0)+LN(1+EXP(-ABS((LN(10^(逐级计算!$Q$195/10)-1)+逐级计算!$Q$195*(GM32-逐级计算!$P$195)*LN(10)/10))))))),"")</f>
        <v>13.793036483897</v>
      </c>
      <c r="GO32">
        <f>IF(AND(ISNUMBER(GN32),逐级计算!$X$196&gt;-1),IF(逐级计算!$X$196=0,GN32+逐级计算!$C$196,GN32+逐级计算!$C$196-(10/(逐级计算!$Q$196*LN(10))*(MAX((LN(10^(逐级计算!$Q$196/10)-1)+逐级计算!$Q$196*(GN32-逐级计算!$P$196)*LN(10)/10),0)+LN(1+EXP(-ABS((LN(10^(逐级计算!$Q$196/10)-1)+逐级计算!$Q$196*(GN32-逐级计算!$P$196)*LN(10)/10))))))),"")</f>
        <v>13.793036483897</v>
      </c>
      <c r="GP32">
        <f>IF(AND(ISNUMBER(GO32),逐级计算!$X$197&gt;-1),IF(逐级计算!$X$197=0,GO32+逐级计算!$C$197,GO32+逐级计算!$C$197-(10/(逐级计算!$Q$197*LN(10))*(MAX((LN(10^(逐级计算!$Q$197/10)-1)+逐级计算!$Q$197*(GO32-逐级计算!$P$197)*LN(10)/10),0)+LN(1+EXP(-ABS((LN(10^(逐级计算!$Q$197/10)-1)+逐级计算!$Q$197*(GO32-逐级计算!$P$197)*LN(10)/10))))))),"")</f>
        <v>13.793036483897</v>
      </c>
      <c r="GQ32">
        <f>IF(AND(ISNUMBER(GP32),逐级计算!$X$198&gt;-1),IF(逐级计算!$X$198=0,GP32+逐级计算!$C$198,GP32+逐级计算!$C$198-(10/(逐级计算!$Q$198*LN(10))*(MAX((LN(10^(逐级计算!$Q$198/10)-1)+逐级计算!$Q$198*(GP32-逐级计算!$P$198)*LN(10)/10),0)+LN(1+EXP(-ABS((LN(10^(逐级计算!$Q$198/10)-1)+逐级计算!$Q$198*(GP32-逐级计算!$P$198)*LN(10)/10))))))),"")</f>
        <v>13.793036483897</v>
      </c>
      <c r="GR32">
        <f>IF(AND(ISNUMBER(GQ32),逐级计算!$X$199&gt;-1),IF(逐级计算!$X$199=0,GQ32+逐级计算!$C$199,GQ32+逐级计算!$C$199-(10/(逐级计算!$Q$199*LN(10))*(MAX((LN(10^(逐级计算!$Q$199/10)-1)+逐级计算!$Q$199*(GQ32-逐级计算!$P$199)*LN(10)/10),0)+LN(1+EXP(-ABS((LN(10^(逐级计算!$Q$199/10)-1)+逐级计算!$Q$199*(GQ32-逐级计算!$P$199)*LN(10)/10))))))),"")</f>
        <v>13.793036483897</v>
      </c>
      <c r="GS32">
        <f>IF(AND(ISNUMBER(GR32),逐级计算!$X$200&gt;-1),IF(逐级计算!$X$200=0,GR32+逐级计算!$C$200,GR32+逐级计算!$C$200-(10/(逐级计算!$Q$200*LN(10))*(MAX((LN(10^(逐级计算!$Q$200/10)-1)+逐级计算!$Q$200*(GR32-逐级计算!$P$200)*LN(10)/10),0)+LN(1+EXP(-ABS((LN(10^(逐级计算!$Q$200/10)-1)+逐级计算!$Q$200*(GR32-逐级计算!$P$200)*LN(10)/10))))))),"")</f>
        <v>13.793036483897</v>
      </c>
      <c r="GT32">
        <f>IF(AND(ISNUMBER(GS32),逐级计算!$X$201&gt;-1),IF(逐级计算!$X$201=0,GS32+逐级计算!$C$201,GS32+逐级计算!$C$201-(10/(逐级计算!$Q$201*LN(10))*(MAX((LN(10^(逐级计算!$Q$201/10)-1)+逐级计算!$Q$201*(GS32-逐级计算!$P$201)*LN(10)/10),0)+LN(1+EXP(-ABS((LN(10^(逐级计算!$Q$201/10)-1)+逐级计算!$Q$201*(GS32-逐级计算!$P$201)*LN(10)/10))))))),"")</f>
        <v>13.793036483897</v>
      </c>
      <c r="GU32">
        <f>IF(AND(ISNUMBER(GT32),逐级计算!$X$202&gt;-1),IF(逐级计算!$X$202=0,GT32+逐级计算!$C$202,GT32+逐级计算!$C$202-(10/(逐级计算!$Q$202*LN(10))*(MAX((LN(10^(逐级计算!$Q$202/10)-1)+逐级计算!$Q$202*(GT32-逐级计算!$P$202)*LN(10)/10),0)+LN(1+EXP(-ABS((LN(10^(逐级计算!$Q$202/10)-1)+逐级计算!$Q$202*(GT32-逐级计算!$P$202)*LN(10)/10))))))),"")</f>
        <v>13.793036483897</v>
      </c>
      <c r="GV32">
        <f>IF(AND(ISNUMBER(GU32),逐级计算!$X$203&gt;-1),IF(逐级计算!$X$203=0,GU32+逐级计算!$C$203,GU32+逐级计算!$C$203-(10/(逐级计算!$Q$203*LN(10))*(MAX((LN(10^(逐级计算!$Q$203/10)-1)+逐级计算!$Q$203*(GU32-逐级计算!$P$203)*LN(10)/10),0)+LN(1+EXP(-ABS((LN(10^(逐级计算!$Q$203/10)-1)+逐级计算!$Q$203*(GU32-逐级计算!$P$203)*LN(10)/10))))))),"")</f>
        <v>13.793036483897</v>
      </c>
      <c r="GW32">
        <f t="shared" si="2"/>
        <v>-5.20696043968201</v>
      </c>
    </row>
    <row r="33" spans="1:205">
      <c r="A33">
        <v>26</v>
      </c>
      <c r="B33">
        <f t="shared" si="1"/>
        <v>-5.20696356892586</v>
      </c>
      <c r="C33">
        <f t="shared" si="0"/>
        <v>-5.20696200430393</v>
      </c>
      <c r="D33">
        <f>IF(AND(ISNUMBER(C33),ISNUMBER(逐级计算!$E$203),ISNUMBER(GV33)),C33+逐级计算!$E$203-GV33,"")</f>
        <v>1.00000052458952</v>
      </c>
      <c r="E33">
        <f>IF(AND(ISNUMBER(C33),逐级计算!$X$4&gt;-1),IF(逐级计算!$X$4=0,C33+逐级计算!$C$4,C33+逐级计算!$C$4-(10/(逐级计算!$Q$4*LN(10))*(MAX((LN(10^(逐级计算!$Q$4/10)-1)+逐级计算!$Q$4*(C33-逐级计算!$P$4)*LN(10)/10),0)+LN(1+EXP(-ABS((LN(10^(逐级计算!$Q$4/10)-1)+逐级计算!$Q$4*(C33-逐级计算!$P$4)*LN(10)/10))))))),"")</f>
        <v>4.68054117900283</v>
      </c>
      <c r="F33">
        <f>IF(AND(ISNUMBER(E33),逐级计算!$X$5&gt;-1),IF(逐级计算!$X$5=0,E33+逐级计算!$C$5,E33+逐级计算!$C$5-(10/(逐级计算!$Q$5*LN(10))*(MAX((LN(10^(逐级计算!$Q$5/10)-1)+逐级计算!$Q$5*(E33-逐级计算!$P$5)*LN(10)/10),0)+LN(1+EXP(-ABS((LN(10^(逐级计算!$Q$5/10)-1)+逐级计算!$Q$5*(E33-逐级计算!$P$5)*LN(10)/10))))))),"")</f>
        <v>13.7930374711066</v>
      </c>
      <c r="G33">
        <f>IF(AND(ISNUMBER(F33),逐级计算!$X$6&gt;-1),IF(逐级计算!$X$6=0,F33+逐级计算!$C$6,F33+逐级计算!$C$6-(10/(逐级计算!$Q$6*LN(10))*(MAX((LN(10^(逐级计算!$Q$6/10)-1)+逐级计算!$Q$6*(F33-逐级计算!$P$6)*LN(10)/10),0)+LN(1+EXP(-ABS((LN(10^(逐级计算!$Q$6/10)-1)+逐级计算!$Q$6*(F33-逐级计算!$P$6)*LN(10)/10))))))),"")</f>
        <v>13.7930374711066</v>
      </c>
      <c r="H33">
        <f>IF(AND(ISNUMBER(G33),逐级计算!$X$7&gt;-1),IF(逐级计算!$X$7=0,G33+逐级计算!$C$7,G33+逐级计算!$C$7-(10/(逐级计算!$Q$7*LN(10))*(MAX((LN(10^(逐级计算!$Q$7/10)-1)+逐级计算!$Q$7*(G33-逐级计算!$P$7)*LN(10)/10),0)+LN(1+EXP(-ABS((LN(10^(逐级计算!$Q$7/10)-1)+逐级计算!$Q$7*(G33-逐级计算!$P$7)*LN(10)/10))))))),"")</f>
        <v>13.7930374711066</v>
      </c>
      <c r="I33">
        <f>IF(AND(ISNUMBER(H33),逐级计算!$X$8&gt;-1),IF(逐级计算!$X$8=0,H33+逐级计算!$C$8,H33+逐级计算!$C$8-(10/(逐级计算!$Q$8*LN(10))*(MAX((LN(10^(逐级计算!$Q$8/10)-1)+逐级计算!$Q$8*(H33-逐级计算!$P$8)*LN(10)/10),0)+LN(1+EXP(-ABS((LN(10^(逐级计算!$Q$8/10)-1)+逐级计算!$Q$8*(H33-逐级计算!$P$8)*LN(10)/10))))))),"")</f>
        <v>13.7930374711066</v>
      </c>
      <c r="J33">
        <f>IF(AND(ISNUMBER(I33),逐级计算!$X$9&gt;-1),IF(逐级计算!$X$9=0,I33+逐级计算!$C$9,I33+逐级计算!$C$9-(10/(逐级计算!$Q$9*LN(10))*(MAX((LN(10^(逐级计算!$Q$9/10)-1)+逐级计算!$Q$9*(I33-逐级计算!$P$9)*LN(10)/10),0)+LN(1+EXP(-ABS((LN(10^(逐级计算!$Q$9/10)-1)+逐级计算!$Q$9*(I33-逐级计算!$P$9)*LN(10)/10))))))),"")</f>
        <v>13.7930374711066</v>
      </c>
      <c r="K33">
        <f>IF(AND(ISNUMBER(J33),逐级计算!$X$10&gt;-1),IF(逐级计算!$X$10=0,J33+逐级计算!$C$10,J33+逐级计算!$C$10-(10/(逐级计算!$Q$10*LN(10))*(MAX((LN(10^(逐级计算!$Q$10/10)-1)+逐级计算!$Q$10*(J33-逐级计算!$P$10)*LN(10)/10),0)+LN(1+EXP(-ABS((LN(10^(逐级计算!$Q$10/10)-1)+逐级计算!$Q$10*(J33-逐级计算!$P$10)*LN(10)/10))))))),"")</f>
        <v>13.7930374711066</v>
      </c>
      <c r="L33">
        <f>IF(AND(ISNUMBER(K33),逐级计算!$X$11&gt;-1),IF(逐级计算!$X$11=0,K33+逐级计算!$C$11,K33+逐级计算!$C$11-(10/(逐级计算!$Q$11*LN(10))*(MAX((LN(10^(逐级计算!$Q$11/10)-1)+逐级计算!$Q$11*(K33-逐级计算!$P$11)*LN(10)/10),0)+LN(1+EXP(-ABS((LN(10^(逐级计算!$Q$11/10)-1)+逐级计算!$Q$11*(K33-逐级计算!$P$11)*LN(10)/10))))))),"")</f>
        <v>13.7930374711066</v>
      </c>
      <c r="M33">
        <f>IF(AND(ISNUMBER(L33),逐级计算!$X$12&gt;-1),IF(逐级计算!$X$12=0,L33+逐级计算!$C$12,L33+逐级计算!$C$12-(10/(逐级计算!$Q$12*LN(10))*(MAX((LN(10^(逐级计算!$Q$12/10)-1)+逐级计算!$Q$12*(L33-逐级计算!$P$12)*LN(10)/10),0)+LN(1+EXP(-ABS((LN(10^(逐级计算!$Q$12/10)-1)+逐级计算!$Q$12*(L33-逐级计算!$P$12)*LN(10)/10))))))),"")</f>
        <v>13.7930374711066</v>
      </c>
      <c r="N33">
        <f>IF(AND(ISNUMBER(M33),逐级计算!$X$13&gt;-1),IF(逐级计算!$X$13=0,M33+逐级计算!$C$13,M33+逐级计算!$C$13-(10/(逐级计算!$Q$13*LN(10))*(MAX((LN(10^(逐级计算!$Q$13/10)-1)+逐级计算!$Q$13*(M33-逐级计算!$P$13)*LN(10)/10),0)+LN(1+EXP(-ABS((LN(10^(逐级计算!$Q$13/10)-1)+逐级计算!$Q$13*(M33-逐级计算!$P$13)*LN(10)/10))))))),"")</f>
        <v>13.7930374711066</v>
      </c>
      <c r="O33">
        <f>IF(AND(ISNUMBER(N33),逐级计算!$X$14&gt;-1),IF(逐级计算!$X$14=0,N33+逐级计算!$C$14,N33+逐级计算!$C$14-(10/(逐级计算!$Q$14*LN(10))*(MAX((LN(10^(逐级计算!$Q$14/10)-1)+逐级计算!$Q$14*(N33-逐级计算!$P$14)*LN(10)/10),0)+LN(1+EXP(-ABS((LN(10^(逐级计算!$Q$14/10)-1)+逐级计算!$Q$14*(N33-逐级计算!$P$14)*LN(10)/10))))))),"")</f>
        <v>13.7930374711066</v>
      </c>
      <c r="P33">
        <f>IF(AND(ISNUMBER(O33),逐级计算!$X$15&gt;-1),IF(逐级计算!$X$15=0,O33+逐级计算!$C$15,O33+逐级计算!$C$15-(10/(逐级计算!$Q$15*LN(10))*(MAX((LN(10^(逐级计算!$Q$15/10)-1)+逐级计算!$Q$15*(O33-逐级计算!$P$15)*LN(10)/10),0)+LN(1+EXP(-ABS((LN(10^(逐级计算!$Q$15/10)-1)+逐级计算!$Q$15*(O33-逐级计算!$P$15)*LN(10)/10))))))),"")</f>
        <v>13.7930374711066</v>
      </c>
      <c r="Q33">
        <f>IF(AND(ISNUMBER(P33),逐级计算!$X$16&gt;-1),IF(逐级计算!$X$16=0,P33+逐级计算!$C$16,P33+逐级计算!$C$16-(10/(逐级计算!$Q$16*LN(10))*(MAX((LN(10^(逐级计算!$Q$16/10)-1)+逐级计算!$Q$16*(P33-逐级计算!$P$16)*LN(10)/10),0)+LN(1+EXP(-ABS((LN(10^(逐级计算!$Q$16/10)-1)+逐级计算!$Q$16*(P33-逐级计算!$P$16)*LN(10)/10))))))),"")</f>
        <v>13.7930374711066</v>
      </c>
      <c r="R33">
        <f>IF(AND(ISNUMBER(Q33),逐级计算!$X$17&gt;-1),IF(逐级计算!$X$17=0,Q33+逐级计算!$C$17,Q33+逐级计算!$C$17-(10/(逐级计算!$Q$17*LN(10))*(MAX((LN(10^(逐级计算!$Q$17/10)-1)+逐级计算!$Q$17*(Q33-逐级计算!$P$17)*LN(10)/10),0)+LN(1+EXP(-ABS((LN(10^(逐级计算!$Q$17/10)-1)+逐级计算!$Q$17*(Q33-逐级计算!$P$17)*LN(10)/10))))))),"")</f>
        <v>13.7930374711066</v>
      </c>
      <c r="S33">
        <f>IF(AND(ISNUMBER(R33),逐级计算!$X$18&gt;-1),IF(逐级计算!$X$18=0,R33+逐级计算!$C$18,R33+逐级计算!$C$18-(10/(逐级计算!$Q$18*LN(10))*(MAX((LN(10^(逐级计算!$Q$18/10)-1)+逐级计算!$Q$18*(R33-逐级计算!$P$18)*LN(10)/10),0)+LN(1+EXP(-ABS((LN(10^(逐级计算!$Q$18/10)-1)+逐级计算!$Q$18*(R33-逐级计算!$P$18)*LN(10)/10))))))),"")</f>
        <v>13.7930374711066</v>
      </c>
      <c r="T33">
        <f>IF(AND(ISNUMBER(S33),逐级计算!$X$19&gt;-1),IF(逐级计算!$X$19=0,S33+逐级计算!$C$19,S33+逐级计算!$C$19-(10/(逐级计算!$Q$19*LN(10))*(MAX((LN(10^(逐级计算!$Q$19/10)-1)+逐级计算!$Q$19*(S33-逐级计算!$P$19)*LN(10)/10),0)+LN(1+EXP(-ABS((LN(10^(逐级计算!$Q$19/10)-1)+逐级计算!$Q$19*(S33-逐级计算!$P$19)*LN(10)/10))))))),"")</f>
        <v>13.7930374711066</v>
      </c>
      <c r="U33">
        <f>IF(AND(ISNUMBER(T33),逐级计算!$X$20&gt;-1),IF(逐级计算!$X$20=0,T33+逐级计算!$C$20,T33+逐级计算!$C$20-(10/(逐级计算!$Q$20*LN(10))*(MAX((LN(10^(逐级计算!$Q$20/10)-1)+逐级计算!$Q$20*(T33-逐级计算!$P$20)*LN(10)/10),0)+LN(1+EXP(-ABS((LN(10^(逐级计算!$Q$20/10)-1)+逐级计算!$Q$20*(T33-逐级计算!$P$20)*LN(10)/10))))))),"")</f>
        <v>13.7930374711066</v>
      </c>
      <c r="V33">
        <f>IF(AND(ISNUMBER(U33),逐级计算!$X$21&gt;-1),IF(逐级计算!$X$21=0,U33+逐级计算!$C$21,U33+逐级计算!$C$21-(10/(逐级计算!$Q$21*LN(10))*(MAX((LN(10^(逐级计算!$Q$21/10)-1)+逐级计算!$Q$21*(U33-逐级计算!$P$21)*LN(10)/10),0)+LN(1+EXP(-ABS((LN(10^(逐级计算!$Q$21/10)-1)+逐级计算!$Q$21*(U33-逐级计算!$P$21)*LN(10)/10))))))),"")</f>
        <v>13.7930374711066</v>
      </c>
      <c r="W33">
        <f>IF(AND(ISNUMBER(V33),逐级计算!$X$22&gt;-1),IF(逐级计算!$X$22=0,V33+逐级计算!$C$22,V33+逐级计算!$C$22-(10/(逐级计算!$Q$22*LN(10))*(MAX((LN(10^(逐级计算!$Q$22/10)-1)+逐级计算!$Q$22*(V33-逐级计算!$P$22)*LN(10)/10),0)+LN(1+EXP(-ABS((LN(10^(逐级计算!$Q$22/10)-1)+逐级计算!$Q$22*(V33-逐级计算!$P$22)*LN(10)/10))))))),"")</f>
        <v>13.7930374711066</v>
      </c>
      <c r="X33">
        <f>IF(AND(ISNUMBER(W33),逐级计算!$X$23&gt;-1),IF(逐级计算!$X$23=0,W33+逐级计算!$C$23,W33+逐级计算!$C$23-(10/(逐级计算!$Q$23*LN(10))*(MAX((LN(10^(逐级计算!$Q$23/10)-1)+逐级计算!$Q$23*(W33-逐级计算!$P$23)*LN(10)/10),0)+LN(1+EXP(-ABS((LN(10^(逐级计算!$Q$23/10)-1)+逐级计算!$Q$23*(W33-逐级计算!$P$23)*LN(10)/10))))))),"")</f>
        <v>13.7930374711066</v>
      </c>
      <c r="Y33">
        <f>IF(AND(ISNUMBER(X33),逐级计算!$X$24&gt;-1),IF(逐级计算!$X$24=0,X33+逐级计算!$C$24,X33+逐级计算!$C$24-(10/(逐级计算!$Q$24*LN(10))*(MAX((LN(10^(逐级计算!$Q$24/10)-1)+逐级计算!$Q$24*(X33-逐级计算!$P$24)*LN(10)/10),0)+LN(1+EXP(-ABS((LN(10^(逐级计算!$Q$24/10)-1)+逐级计算!$Q$24*(X33-逐级计算!$P$24)*LN(10)/10))))))),"")</f>
        <v>13.7930374711066</v>
      </c>
      <c r="Z33">
        <f>IF(AND(ISNUMBER(Y33),逐级计算!$X$25&gt;-1),IF(逐级计算!$X$25=0,Y33+逐级计算!$C$25,Y33+逐级计算!$C$25-(10/(逐级计算!$Q$25*LN(10))*(MAX((LN(10^(逐级计算!$Q$25/10)-1)+逐级计算!$Q$25*(Y33-逐级计算!$P$25)*LN(10)/10),0)+LN(1+EXP(-ABS((LN(10^(逐级计算!$Q$25/10)-1)+逐级计算!$Q$25*(Y33-逐级计算!$P$25)*LN(10)/10))))))),"")</f>
        <v>13.7930374711066</v>
      </c>
      <c r="AA33">
        <f>IF(AND(ISNUMBER(Z33),逐级计算!$X$26&gt;-1),IF(逐级计算!$X$26=0,Z33+逐级计算!$C$26,Z33+逐级计算!$C$26-(10/(逐级计算!$Q$26*LN(10))*(MAX((LN(10^(逐级计算!$Q$26/10)-1)+逐级计算!$Q$26*(Z33-逐级计算!$P$26)*LN(10)/10),0)+LN(1+EXP(-ABS((LN(10^(逐级计算!$Q$26/10)-1)+逐级计算!$Q$26*(Z33-逐级计算!$P$26)*LN(10)/10))))))),"")</f>
        <v>13.7930374711066</v>
      </c>
      <c r="AB33">
        <f>IF(AND(ISNUMBER(AA33),逐级计算!$X$27&gt;-1),IF(逐级计算!$X$27=0,AA33+逐级计算!$C$27,AA33+逐级计算!$C$27-(10/(逐级计算!$Q$27*LN(10))*(MAX((LN(10^(逐级计算!$Q$27/10)-1)+逐级计算!$Q$27*(AA33-逐级计算!$P$27)*LN(10)/10),0)+LN(1+EXP(-ABS((LN(10^(逐级计算!$Q$27/10)-1)+逐级计算!$Q$27*(AA33-逐级计算!$P$27)*LN(10)/10))))))),"")</f>
        <v>13.7930374711066</v>
      </c>
      <c r="AC33">
        <f>IF(AND(ISNUMBER(AB33),逐级计算!$X$28&gt;-1),IF(逐级计算!$X$28=0,AB33+逐级计算!$C$28,AB33+逐级计算!$C$28-(10/(逐级计算!$Q$28*LN(10))*(MAX((LN(10^(逐级计算!$Q$28/10)-1)+逐级计算!$Q$28*(AB33-逐级计算!$P$28)*LN(10)/10),0)+LN(1+EXP(-ABS((LN(10^(逐级计算!$Q$28/10)-1)+逐级计算!$Q$28*(AB33-逐级计算!$P$28)*LN(10)/10))))))),"")</f>
        <v>13.7930374711066</v>
      </c>
      <c r="AD33">
        <f>IF(AND(ISNUMBER(AC33),逐级计算!$X$29&gt;-1),IF(逐级计算!$X$29=0,AC33+逐级计算!$C$29,AC33+逐级计算!$C$29-(10/(逐级计算!$Q$29*LN(10))*(MAX((LN(10^(逐级计算!$Q$29/10)-1)+逐级计算!$Q$29*(AC33-逐级计算!$P$29)*LN(10)/10),0)+LN(1+EXP(-ABS((LN(10^(逐级计算!$Q$29/10)-1)+逐级计算!$Q$29*(AC33-逐级计算!$P$29)*LN(10)/10))))))),"")</f>
        <v>13.7930374711066</v>
      </c>
      <c r="AE33">
        <f>IF(AND(ISNUMBER(AD33),逐级计算!$X$30&gt;-1),IF(逐级计算!$X$30=0,AD33+逐级计算!$C$30,AD33+逐级计算!$C$30-(10/(逐级计算!$Q$30*LN(10))*(MAX((LN(10^(逐级计算!$Q$30/10)-1)+逐级计算!$Q$30*(AD33-逐级计算!$P$30)*LN(10)/10),0)+LN(1+EXP(-ABS((LN(10^(逐级计算!$Q$30/10)-1)+逐级计算!$Q$30*(AD33-逐级计算!$P$30)*LN(10)/10))))))),"")</f>
        <v>13.7930374711066</v>
      </c>
      <c r="AF33">
        <f>IF(AND(ISNUMBER(AE33),逐级计算!$X$31&gt;-1),IF(逐级计算!$X$31=0,AE33+逐级计算!$C$31,AE33+逐级计算!$C$31-(10/(逐级计算!$Q$31*LN(10))*(MAX((LN(10^(逐级计算!$Q$31/10)-1)+逐级计算!$Q$31*(AE33-逐级计算!$P$31)*LN(10)/10),0)+LN(1+EXP(-ABS((LN(10^(逐级计算!$Q$31/10)-1)+逐级计算!$Q$31*(AE33-逐级计算!$P$31)*LN(10)/10))))))),"")</f>
        <v>13.7930374711066</v>
      </c>
      <c r="AG33">
        <f>IF(AND(ISNUMBER(AF33),逐级计算!$X$32&gt;-1),IF(逐级计算!$X$32=0,AF33+逐级计算!$C$32,AF33+逐级计算!$C$32-(10/(逐级计算!$Q$32*LN(10))*(MAX((LN(10^(逐级计算!$Q$32/10)-1)+逐级计算!$Q$32*(AF33-逐级计算!$P$32)*LN(10)/10),0)+LN(1+EXP(-ABS((LN(10^(逐级计算!$Q$32/10)-1)+逐级计算!$Q$32*(AF33-逐级计算!$P$32)*LN(10)/10))))))),"")</f>
        <v>13.7930374711066</v>
      </c>
      <c r="AH33">
        <f>IF(AND(ISNUMBER(AG33),逐级计算!$X$33&gt;-1),IF(逐级计算!$X$33=0,AG33+逐级计算!$C$33,AG33+逐级计算!$C$33-(10/(逐级计算!$Q$33*LN(10))*(MAX((LN(10^(逐级计算!$Q$33/10)-1)+逐级计算!$Q$33*(AG33-逐级计算!$P$33)*LN(10)/10),0)+LN(1+EXP(-ABS((LN(10^(逐级计算!$Q$33/10)-1)+逐级计算!$Q$33*(AG33-逐级计算!$P$33)*LN(10)/10))))))),"")</f>
        <v>13.7930374711066</v>
      </c>
      <c r="AI33">
        <f>IF(AND(ISNUMBER(AH33),逐级计算!$X$34&gt;-1),IF(逐级计算!$X$34=0,AH33+逐级计算!$C$34,AH33+逐级计算!$C$34-(10/(逐级计算!$Q$34*LN(10))*(MAX((LN(10^(逐级计算!$Q$34/10)-1)+逐级计算!$Q$34*(AH33-逐级计算!$P$34)*LN(10)/10),0)+LN(1+EXP(-ABS((LN(10^(逐级计算!$Q$34/10)-1)+逐级计算!$Q$34*(AH33-逐级计算!$P$34)*LN(10)/10))))))),"")</f>
        <v>13.7930374711066</v>
      </c>
      <c r="AJ33">
        <f>IF(AND(ISNUMBER(AI33),逐级计算!$X$35&gt;-1),IF(逐级计算!$X$35=0,AI33+逐级计算!$C$35,AI33+逐级计算!$C$35-(10/(逐级计算!$Q$35*LN(10))*(MAX((LN(10^(逐级计算!$Q$35/10)-1)+逐级计算!$Q$35*(AI33-逐级计算!$P$35)*LN(10)/10),0)+LN(1+EXP(-ABS((LN(10^(逐级计算!$Q$35/10)-1)+逐级计算!$Q$35*(AI33-逐级计算!$P$35)*LN(10)/10))))))),"")</f>
        <v>13.7930374711066</v>
      </c>
      <c r="AK33">
        <f>IF(AND(ISNUMBER(AJ33),逐级计算!$X$36&gt;-1),IF(逐级计算!$X$36=0,AJ33+逐级计算!$C$36,AJ33+逐级计算!$C$36-(10/(逐级计算!$Q$36*LN(10))*(MAX((LN(10^(逐级计算!$Q$36/10)-1)+逐级计算!$Q$36*(AJ33-逐级计算!$P$36)*LN(10)/10),0)+LN(1+EXP(-ABS((LN(10^(逐级计算!$Q$36/10)-1)+逐级计算!$Q$36*(AJ33-逐级计算!$P$36)*LN(10)/10))))))),"")</f>
        <v>13.7930374711066</v>
      </c>
      <c r="AL33">
        <f>IF(AND(ISNUMBER(AK33),逐级计算!$X$37&gt;-1),IF(逐级计算!$X$37=0,AK33+逐级计算!$C$37,AK33+逐级计算!$C$37-(10/(逐级计算!$Q$37*LN(10))*(MAX((LN(10^(逐级计算!$Q$37/10)-1)+逐级计算!$Q$37*(AK33-逐级计算!$P$37)*LN(10)/10),0)+LN(1+EXP(-ABS((LN(10^(逐级计算!$Q$37/10)-1)+逐级计算!$Q$37*(AK33-逐级计算!$P$37)*LN(10)/10))))))),"")</f>
        <v>13.7930374711066</v>
      </c>
      <c r="AM33">
        <f>IF(AND(ISNUMBER(AL33),逐级计算!$X$38&gt;-1),IF(逐级计算!$X$38=0,AL33+逐级计算!$C$38,AL33+逐级计算!$C$38-(10/(逐级计算!$Q$38*LN(10))*(MAX((LN(10^(逐级计算!$Q$38/10)-1)+逐级计算!$Q$38*(AL33-逐级计算!$P$38)*LN(10)/10),0)+LN(1+EXP(-ABS((LN(10^(逐级计算!$Q$38/10)-1)+逐级计算!$Q$38*(AL33-逐级计算!$P$38)*LN(10)/10))))))),"")</f>
        <v>13.7930374711066</v>
      </c>
      <c r="AN33">
        <f>IF(AND(ISNUMBER(AM33),逐级计算!$X$39&gt;-1),IF(逐级计算!$X$39=0,AM33+逐级计算!$C$39,AM33+逐级计算!$C$39-(10/(逐级计算!$Q$39*LN(10))*(MAX((LN(10^(逐级计算!$Q$39/10)-1)+逐级计算!$Q$39*(AM33-逐级计算!$P$39)*LN(10)/10),0)+LN(1+EXP(-ABS((LN(10^(逐级计算!$Q$39/10)-1)+逐级计算!$Q$39*(AM33-逐级计算!$P$39)*LN(10)/10))))))),"")</f>
        <v>13.7930374711066</v>
      </c>
      <c r="AO33">
        <f>IF(AND(ISNUMBER(AN33),逐级计算!$X$40&gt;-1),IF(逐级计算!$X$40=0,AN33+逐级计算!$C$40,AN33+逐级计算!$C$40-(10/(逐级计算!$Q$40*LN(10))*(MAX((LN(10^(逐级计算!$Q$40/10)-1)+逐级计算!$Q$40*(AN33-逐级计算!$P$40)*LN(10)/10),0)+LN(1+EXP(-ABS((LN(10^(逐级计算!$Q$40/10)-1)+逐级计算!$Q$40*(AN33-逐级计算!$P$40)*LN(10)/10))))))),"")</f>
        <v>13.7930374711066</v>
      </c>
      <c r="AP33">
        <f>IF(AND(ISNUMBER(AO33),逐级计算!$X$41&gt;-1),IF(逐级计算!$X$41=0,AO33+逐级计算!$C$41,AO33+逐级计算!$C$41-(10/(逐级计算!$Q$41*LN(10))*(MAX((LN(10^(逐级计算!$Q$41/10)-1)+逐级计算!$Q$41*(AO33-逐级计算!$P$41)*LN(10)/10),0)+LN(1+EXP(-ABS((LN(10^(逐级计算!$Q$41/10)-1)+逐级计算!$Q$41*(AO33-逐级计算!$P$41)*LN(10)/10))))))),"")</f>
        <v>13.7930374711066</v>
      </c>
      <c r="AQ33">
        <f>IF(AND(ISNUMBER(AP33),逐级计算!$X$42&gt;-1),IF(逐级计算!$X$42=0,AP33+逐级计算!$C$42,AP33+逐级计算!$C$42-(10/(逐级计算!$Q$42*LN(10))*(MAX((LN(10^(逐级计算!$Q$42/10)-1)+逐级计算!$Q$42*(AP33-逐级计算!$P$42)*LN(10)/10),0)+LN(1+EXP(-ABS((LN(10^(逐级计算!$Q$42/10)-1)+逐级计算!$Q$42*(AP33-逐级计算!$P$42)*LN(10)/10))))))),"")</f>
        <v>13.7930374711066</v>
      </c>
      <c r="AR33">
        <f>IF(AND(ISNUMBER(AQ33),逐级计算!$X$43&gt;-1),IF(逐级计算!$X$43=0,AQ33+逐级计算!$C$43,AQ33+逐级计算!$C$43-(10/(逐级计算!$Q$43*LN(10))*(MAX((LN(10^(逐级计算!$Q$43/10)-1)+逐级计算!$Q$43*(AQ33-逐级计算!$P$43)*LN(10)/10),0)+LN(1+EXP(-ABS((LN(10^(逐级计算!$Q$43/10)-1)+逐级计算!$Q$43*(AQ33-逐级计算!$P$43)*LN(10)/10))))))),"")</f>
        <v>13.7930374711066</v>
      </c>
      <c r="AS33">
        <f>IF(AND(ISNUMBER(AR33),逐级计算!$X$44&gt;-1),IF(逐级计算!$X$44=0,AR33+逐级计算!$C$44,AR33+逐级计算!$C$44-(10/(逐级计算!$Q$44*LN(10))*(MAX((LN(10^(逐级计算!$Q$44/10)-1)+逐级计算!$Q$44*(AR33-逐级计算!$P$44)*LN(10)/10),0)+LN(1+EXP(-ABS((LN(10^(逐级计算!$Q$44/10)-1)+逐级计算!$Q$44*(AR33-逐级计算!$P$44)*LN(10)/10))))))),"")</f>
        <v>13.7930374711066</v>
      </c>
      <c r="AT33">
        <f>IF(AND(ISNUMBER(AS33),逐级计算!$X$45&gt;-1),IF(逐级计算!$X$45=0,AS33+逐级计算!$C$45,AS33+逐级计算!$C$45-(10/(逐级计算!$Q$45*LN(10))*(MAX((LN(10^(逐级计算!$Q$45/10)-1)+逐级计算!$Q$45*(AS33-逐级计算!$P$45)*LN(10)/10),0)+LN(1+EXP(-ABS((LN(10^(逐级计算!$Q$45/10)-1)+逐级计算!$Q$45*(AS33-逐级计算!$P$45)*LN(10)/10))))))),"")</f>
        <v>13.7930374711066</v>
      </c>
      <c r="AU33">
        <f>IF(AND(ISNUMBER(AT33),逐级计算!$X$46&gt;-1),IF(逐级计算!$X$46=0,AT33+逐级计算!$C$46,AT33+逐级计算!$C$46-(10/(逐级计算!$Q$46*LN(10))*(MAX((LN(10^(逐级计算!$Q$46/10)-1)+逐级计算!$Q$46*(AT33-逐级计算!$P$46)*LN(10)/10),0)+LN(1+EXP(-ABS((LN(10^(逐级计算!$Q$46/10)-1)+逐级计算!$Q$46*(AT33-逐级计算!$P$46)*LN(10)/10))))))),"")</f>
        <v>13.7930374711066</v>
      </c>
      <c r="AV33">
        <f>IF(AND(ISNUMBER(AU33),逐级计算!$X$47&gt;-1),IF(逐级计算!$X$47=0,AU33+逐级计算!$C$47,AU33+逐级计算!$C$47-(10/(逐级计算!$Q$47*LN(10))*(MAX((LN(10^(逐级计算!$Q$47/10)-1)+逐级计算!$Q$47*(AU33-逐级计算!$P$47)*LN(10)/10),0)+LN(1+EXP(-ABS((LN(10^(逐级计算!$Q$47/10)-1)+逐级计算!$Q$47*(AU33-逐级计算!$P$47)*LN(10)/10))))))),"")</f>
        <v>13.7930374711066</v>
      </c>
      <c r="AW33">
        <f>IF(AND(ISNUMBER(AV33),逐级计算!$X$48&gt;-1),IF(逐级计算!$X$48=0,AV33+逐级计算!$C$48,AV33+逐级计算!$C$48-(10/(逐级计算!$Q$48*LN(10))*(MAX((LN(10^(逐级计算!$Q$48/10)-1)+逐级计算!$Q$48*(AV33-逐级计算!$P$48)*LN(10)/10),0)+LN(1+EXP(-ABS((LN(10^(逐级计算!$Q$48/10)-1)+逐级计算!$Q$48*(AV33-逐级计算!$P$48)*LN(10)/10))))))),"")</f>
        <v>13.7930374711066</v>
      </c>
      <c r="AX33">
        <f>IF(AND(ISNUMBER(AW33),逐级计算!$X$49&gt;-1),IF(逐级计算!$X$49=0,AW33+逐级计算!$C$49,AW33+逐级计算!$C$49-(10/(逐级计算!$Q$49*LN(10))*(MAX((LN(10^(逐级计算!$Q$49/10)-1)+逐级计算!$Q$49*(AW33-逐级计算!$P$49)*LN(10)/10),0)+LN(1+EXP(-ABS((LN(10^(逐级计算!$Q$49/10)-1)+逐级计算!$Q$49*(AW33-逐级计算!$P$49)*LN(10)/10))))))),"")</f>
        <v>13.7930374711066</v>
      </c>
      <c r="AY33">
        <f>IF(AND(ISNUMBER(AX33),逐级计算!$X$50&gt;-1),IF(逐级计算!$X$50=0,AX33+逐级计算!$C$50,AX33+逐级计算!$C$50-(10/(逐级计算!$Q$50*LN(10))*(MAX((LN(10^(逐级计算!$Q$50/10)-1)+逐级计算!$Q$50*(AX33-逐级计算!$P$50)*LN(10)/10),0)+LN(1+EXP(-ABS((LN(10^(逐级计算!$Q$50/10)-1)+逐级计算!$Q$50*(AX33-逐级计算!$P$50)*LN(10)/10))))))),"")</f>
        <v>13.7930374711066</v>
      </c>
      <c r="AZ33">
        <f>IF(AND(ISNUMBER(AY33),逐级计算!$X$51&gt;-1),IF(逐级计算!$X$51=0,AY33+逐级计算!$C$51,AY33+逐级计算!$C$51-(10/(逐级计算!$Q$51*LN(10))*(MAX((LN(10^(逐级计算!$Q$51/10)-1)+逐级计算!$Q$51*(AY33-逐级计算!$P$51)*LN(10)/10),0)+LN(1+EXP(-ABS((LN(10^(逐级计算!$Q$51/10)-1)+逐级计算!$Q$51*(AY33-逐级计算!$P$51)*LN(10)/10))))))),"")</f>
        <v>13.7930374711066</v>
      </c>
      <c r="BA33">
        <f>IF(AND(ISNUMBER(AZ33),逐级计算!$X$52&gt;-1),IF(逐级计算!$X$52=0,AZ33+逐级计算!$C$52,AZ33+逐级计算!$C$52-(10/(逐级计算!$Q$52*LN(10))*(MAX((LN(10^(逐级计算!$Q$52/10)-1)+逐级计算!$Q$52*(AZ33-逐级计算!$P$52)*LN(10)/10),0)+LN(1+EXP(-ABS((LN(10^(逐级计算!$Q$52/10)-1)+逐级计算!$Q$52*(AZ33-逐级计算!$P$52)*LN(10)/10))))))),"")</f>
        <v>13.7930374711066</v>
      </c>
      <c r="BB33">
        <f>IF(AND(ISNUMBER(BA33),逐级计算!$X$53&gt;-1),IF(逐级计算!$X$53=0,BA33+逐级计算!$C$53,BA33+逐级计算!$C$53-(10/(逐级计算!$Q$53*LN(10))*(MAX((LN(10^(逐级计算!$Q$53/10)-1)+逐级计算!$Q$53*(BA33-逐级计算!$P$53)*LN(10)/10),0)+LN(1+EXP(-ABS((LN(10^(逐级计算!$Q$53/10)-1)+逐级计算!$Q$53*(BA33-逐级计算!$P$53)*LN(10)/10))))))),"")</f>
        <v>13.7930374711066</v>
      </c>
      <c r="BC33">
        <f>IF(AND(ISNUMBER(BB33),逐级计算!$X$54&gt;-1),IF(逐级计算!$X$54=0,BB33+逐级计算!$C$54,BB33+逐级计算!$C$54-(10/(逐级计算!$Q$54*LN(10))*(MAX((LN(10^(逐级计算!$Q$54/10)-1)+逐级计算!$Q$54*(BB33-逐级计算!$P$54)*LN(10)/10),0)+LN(1+EXP(-ABS((LN(10^(逐级计算!$Q$54/10)-1)+逐级计算!$Q$54*(BB33-逐级计算!$P$54)*LN(10)/10))))))),"")</f>
        <v>13.7930374711066</v>
      </c>
      <c r="BD33">
        <f>IF(AND(ISNUMBER(BC33),逐级计算!$X$55&gt;-1),IF(逐级计算!$X$55=0,BC33+逐级计算!$C$55,BC33+逐级计算!$C$55-(10/(逐级计算!$Q$55*LN(10))*(MAX((LN(10^(逐级计算!$Q$55/10)-1)+逐级计算!$Q$55*(BC33-逐级计算!$P$55)*LN(10)/10),0)+LN(1+EXP(-ABS((LN(10^(逐级计算!$Q$55/10)-1)+逐级计算!$Q$55*(BC33-逐级计算!$P$55)*LN(10)/10))))))),"")</f>
        <v>13.7930374711066</v>
      </c>
      <c r="BE33">
        <f>IF(AND(ISNUMBER(BD33),逐级计算!$X$56&gt;-1),IF(逐级计算!$X$56=0,BD33+逐级计算!$C$56,BD33+逐级计算!$C$56-(10/(逐级计算!$Q$56*LN(10))*(MAX((LN(10^(逐级计算!$Q$56/10)-1)+逐级计算!$Q$56*(BD33-逐级计算!$P$56)*LN(10)/10),0)+LN(1+EXP(-ABS((LN(10^(逐级计算!$Q$56/10)-1)+逐级计算!$Q$56*(BD33-逐级计算!$P$56)*LN(10)/10))))))),"")</f>
        <v>13.7930374711066</v>
      </c>
      <c r="BF33">
        <f>IF(AND(ISNUMBER(BE33),逐级计算!$X$57&gt;-1),IF(逐级计算!$X$57=0,BE33+逐级计算!$C$57,BE33+逐级计算!$C$57-(10/(逐级计算!$Q$57*LN(10))*(MAX((LN(10^(逐级计算!$Q$57/10)-1)+逐级计算!$Q$57*(BE33-逐级计算!$P$57)*LN(10)/10),0)+LN(1+EXP(-ABS((LN(10^(逐级计算!$Q$57/10)-1)+逐级计算!$Q$57*(BE33-逐级计算!$P$57)*LN(10)/10))))))),"")</f>
        <v>13.7930374711066</v>
      </c>
      <c r="BG33">
        <f>IF(AND(ISNUMBER(BF33),逐级计算!$X$58&gt;-1),IF(逐级计算!$X$58=0,BF33+逐级计算!$C$58,BF33+逐级计算!$C$58-(10/(逐级计算!$Q$58*LN(10))*(MAX((LN(10^(逐级计算!$Q$58/10)-1)+逐级计算!$Q$58*(BF33-逐级计算!$P$58)*LN(10)/10),0)+LN(1+EXP(-ABS((LN(10^(逐级计算!$Q$58/10)-1)+逐级计算!$Q$58*(BF33-逐级计算!$P$58)*LN(10)/10))))))),"")</f>
        <v>13.7930374711066</v>
      </c>
      <c r="BH33">
        <f>IF(AND(ISNUMBER(BG33),逐级计算!$X$59&gt;-1),IF(逐级计算!$X$59=0,BG33+逐级计算!$C$59,BG33+逐级计算!$C$59-(10/(逐级计算!$Q$59*LN(10))*(MAX((LN(10^(逐级计算!$Q$59/10)-1)+逐级计算!$Q$59*(BG33-逐级计算!$P$59)*LN(10)/10),0)+LN(1+EXP(-ABS((LN(10^(逐级计算!$Q$59/10)-1)+逐级计算!$Q$59*(BG33-逐级计算!$P$59)*LN(10)/10))))))),"")</f>
        <v>13.7930374711066</v>
      </c>
      <c r="BI33">
        <f>IF(AND(ISNUMBER(BH33),逐级计算!$X$60&gt;-1),IF(逐级计算!$X$60=0,BH33+逐级计算!$C$60,BH33+逐级计算!$C$60-(10/(逐级计算!$Q$60*LN(10))*(MAX((LN(10^(逐级计算!$Q$60/10)-1)+逐级计算!$Q$60*(BH33-逐级计算!$P$60)*LN(10)/10),0)+LN(1+EXP(-ABS((LN(10^(逐级计算!$Q$60/10)-1)+逐级计算!$Q$60*(BH33-逐级计算!$P$60)*LN(10)/10))))))),"")</f>
        <v>13.7930374711066</v>
      </c>
      <c r="BJ33">
        <f>IF(AND(ISNUMBER(BI33),逐级计算!$X$61&gt;-1),IF(逐级计算!$X$61=0,BI33+逐级计算!$C$61,BI33+逐级计算!$C$61-(10/(逐级计算!$Q$61*LN(10))*(MAX((LN(10^(逐级计算!$Q$61/10)-1)+逐级计算!$Q$61*(BI33-逐级计算!$P$61)*LN(10)/10),0)+LN(1+EXP(-ABS((LN(10^(逐级计算!$Q$61/10)-1)+逐级计算!$Q$61*(BI33-逐级计算!$P$61)*LN(10)/10))))))),"")</f>
        <v>13.7930374711066</v>
      </c>
      <c r="BK33">
        <f>IF(AND(ISNUMBER(BJ33),逐级计算!$X$62&gt;-1),IF(逐级计算!$X$62=0,BJ33+逐级计算!$C$62,BJ33+逐级计算!$C$62-(10/(逐级计算!$Q$62*LN(10))*(MAX((LN(10^(逐级计算!$Q$62/10)-1)+逐级计算!$Q$62*(BJ33-逐级计算!$P$62)*LN(10)/10),0)+LN(1+EXP(-ABS((LN(10^(逐级计算!$Q$62/10)-1)+逐级计算!$Q$62*(BJ33-逐级计算!$P$62)*LN(10)/10))))))),"")</f>
        <v>13.7930374711066</v>
      </c>
      <c r="BL33">
        <f>IF(AND(ISNUMBER(BK33),逐级计算!$X$63&gt;-1),IF(逐级计算!$X$63=0,BK33+逐级计算!$C$63,BK33+逐级计算!$C$63-(10/(逐级计算!$Q$63*LN(10))*(MAX((LN(10^(逐级计算!$Q$63/10)-1)+逐级计算!$Q$63*(BK33-逐级计算!$P$63)*LN(10)/10),0)+LN(1+EXP(-ABS((LN(10^(逐级计算!$Q$63/10)-1)+逐级计算!$Q$63*(BK33-逐级计算!$P$63)*LN(10)/10))))))),"")</f>
        <v>13.7930374711066</v>
      </c>
      <c r="BM33">
        <f>IF(AND(ISNUMBER(BL33),逐级计算!$X$64&gt;-1),IF(逐级计算!$X$64=0,BL33+逐级计算!$C$64,BL33+逐级计算!$C$64-(10/(逐级计算!$Q$64*LN(10))*(MAX((LN(10^(逐级计算!$Q$64/10)-1)+逐级计算!$Q$64*(BL33-逐级计算!$P$64)*LN(10)/10),0)+LN(1+EXP(-ABS((LN(10^(逐级计算!$Q$64/10)-1)+逐级计算!$Q$64*(BL33-逐级计算!$P$64)*LN(10)/10))))))),"")</f>
        <v>13.7930374711066</v>
      </c>
      <c r="BN33">
        <f>IF(AND(ISNUMBER(BM33),逐级计算!$X$65&gt;-1),IF(逐级计算!$X$65=0,BM33+逐级计算!$C$65,BM33+逐级计算!$C$65-(10/(逐级计算!$Q$65*LN(10))*(MAX((LN(10^(逐级计算!$Q$65/10)-1)+逐级计算!$Q$65*(BM33-逐级计算!$P$65)*LN(10)/10),0)+LN(1+EXP(-ABS((LN(10^(逐级计算!$Q$65/10)-1)+逐级计算!$Q$65*(BM33-逐级计算!$P$65)*LN(10)/10))))))),"")</f>
        <v>13.7930374711066</v>
      </c>
      <c r="BO33">
        <f>IF(AND(ISNUMBER(BN33),逐级计算!$X$66&gt;-1),IF(逐级计算!$X$66=0,BN33+逐级计算!$C$66,BN33+逐级计算!$C$66-(10/(逐级计算!$Q$66*LN(10))*(MAX((LN(10^(逐级计算!$Q$66/10)-1)+逐级计算!$Q$66*(BN33-逐级计算!$P$66)*LN(10)/10),0)+LN(1+EXP(-ABS((LN(10^(逐级计算!$Q$66/10)-1)+逐级计算!$Q$66*(BN33-逐级计算!$P$66)*LN(10)/10))))))),"")</f>
        <v>13.7930374711066</v>
      </c>
      <c r="BP33">
        <f>IF(AND(ISNUMBER(BO33),逐级计算!$X$67&gt;-1),IF(逐级计算!$X$67=0,BO33+逐级计算!$C$67,BO33+逐级计算!$C$67-(10/(逐级计算!$Q$67*LN(10))*(MAX((LN(10^(逐级计算!$Q$67/10)-1)+逐级计算!$Q$67*(BO33-逐级计算!$P$67)*LN(10)/10),0)+LN(1+EXP(-ABS((LN(10^(逐级计算!$Q$67/10)-1)+逐级计算!$Q$67*(BO33-逐级计算!$P$67)*LN(10)/10))))))),"")</f>
        <v>13.7930374711066</v>
      </c>
      <c r="BQ33">
        <f>IF(AND(ISNUMBER(BP33),逐级计算!$X$68&gt;-1),IF(逐级计算!$X$68=0,BP33+逐级计算!$C$68,BP33+逐级计算!$C$68-(10/(逐级计算!$Q$68*LN(10))*(MAX((LN(10^(逐级计算!$Q$68/10)-1)+逐级计算!$Q$68*(BP33-逐级计算!$P$68)*LN(10)/10),0)+LN(1+EXP(-ABS((LN(10^(逐级计算!$Q$68/10)-1)+逐级计算!$Q$68*(BP33-逐级计算!$P$68)*LN(10)/10))))))),"")</f>
        <v>13.7930374711066</v>
      </c>
      <c r="BR33">
        <f>IF(AND(ISNUMBER(BQ33),逐级计算!$X$69&gt;-1),IF(逐级计算!$X$69=0,BQ33+逐级计算!$C$69,BQ33+逐级计算!$C$69-(10/(逐级计算!$Q$69*LN(10))*(MAX((LN(10^(逐级计算!$Q$69/10)-1)+逐级计算!$Q$69*(BQ33-逐级计算!$P$69)*LN(10)/10),0)+LN(1+EXP(-ABS((LN(10^(逐级计算!$Q$69/10)-1)+逐级计算!$Q$69*(BQ33-逐级计算!$P$69)*LN(10)/10))))))),"")</f>
        <v>13.7930374711066</v>
      </c>
      <c r="BS33">
        <f>IF(AND(ISNUMBER(BR33),逐级计算!$X$70&gt;-1),IF(逐级计算!$X$70=0,BR33+逐级计算!$C$70,BR33+逐级计算!$C$70-(10/(逐级计算!$Q$70*LN(10))*(MAX((LN(10^(逐级计算!$Q$70/10)-1)+逐级计算!$Q$70*(BR33-逐级计算!$P$70)*LN(10)/10),0)+LN(1+EXP(-ABS((LN(10^(逐级计算!$Q$70/10)-1)+逐级计算!$Q$70*(BR33-逐级计算!$P$70)*LN(10)/10))))))),"")</f>
        <v>13.7930374711066</v>
      </c>
      <c r="BT33">
        <f>IF(AND(ISNUMBER(BS33),逐级计算!$X$71&gt;-1),IF(逐级计算!$X$71=0,BS33+逐级计算!$C$71,BS33+逐级计算!$C$71-(10/(逐级计算!$Q$71*LN(10))*(MAX((LN(10^(逐级计算!$Q$71/10)-1)+逐级计算!$Q$71*(BS33-逐级计算!$P$71)*LN(10)/10),0)+LN(1+EXP(-ABS((LN(10^(逐级计算!$Q$71/10)-1)+逐级计算!$Q$71*(BS33-逐级计算!$P$71)*LN(10)/10))))))),"")</f>
        <v>13.7930374711066</v>
      </c>
      <c r="BU33">
        <f>IF(AND(ISNUMBER(BT33),逐级计算!$X$72&gt;-1),IF(逐级计算!$X$72=0,BT33+逐级计算!$C$72,BT33+逐级计算!$C$72-(10/(逐级计算!$Q$72*LN(10))*(MAX((LN(10^(逐级计算!$Q$72/10)-1)+逐级计算!$Q$72*(BT33-逐级计算!$P$72)*LN(10)/10),0)+LN(1+EXP(-ABS((LN(10^(逐级计算!$Q$72/10)-1)+逐级计算!$Q$72*(BT33-逐级计算!$P$72)*LN(10)/10))))))),"")</f>
        <v>13.7930374711066</v>
      </c>
      <c r="BV33">
        <f>IF(AND(ISNUMBER(BU33),逐级计算!$X$73&gt;-1),IF(逐级计算!$X$73=0,BU33+逐级计算!$C$73,BU33+逐级计算!$C$73-(10/(逐级计算!$Q$73*LN(10))*(MAX((LN(10^(逐级计算!$Q$73/10)-1)+逐级计算!$Q$73*(BU33-逐级计算!$P$73)*LN(10)/10),0)+LN(1+EXP(-ABS((LN(10^(逐级计算!$Q$73/10)-1)+逐级计算!$Q$73*(BU33-逐级计算!$P$73)*LN(10)/10))))))),"")</f>
        <v>13.7930374711066</v>
      </c>
      <c r="BW33">
        <f>IF(AND(ISNUMBER(BV33),逐级计算!$X$74&gt;-1),IF(逐级计算!$X$74=0,BV33+逐级计算!$C$74,BV33+逐级计算!$C$74-(10/(逐级计算!$Q$74*LN(10))*(MAX((LN(10^(逐级计算!$Q$74/10)-1)+逐级计算!$Q$74*(BV33-逐级计算!$P$74)*LN(10)/10),0)+LN(1+EXP(-ABS((LN(10^(逐级计算!$Q$74/10)-1)+逐级计算!$Q$74*(BV33-逐级计算!$P$74)*LN(10)/10))))))),"")</f>
        <v>13.7930374711066</v>
      </c>
      <c r="BX33">
        <f>IF(AND(ISNUMBER(BW33),逐级计算!$X$75&gt;-1),IF(逐级计算!$X$75=0,BW33+逐级计算!$C$75,BW33+逐级计算!$C$75-(10/(逐级计算!$Q$75*LN(10))*(MAX((LN(10^(逐级计算!$Q$75/10)-1)+逐级计算!$Q$75*(BW33-逐级计算!$P$75)*LN(10)/10),0)+LN(1+EXP(-ABS((LN(10^(逐级计算!$Q$75/10)-1)+逐级计算!$Q$75*(BW33-逐级计算!$P$75)*LN(10)/10))))))),"")</f>
        <v>13.7930374711066</v>
      </c>
      <c r="BY33">
        <f>IF(AND(ISNUMBER(BX33),逐级计算!$X$76&gt;-1),IF(逐级计算!$X$76=0,BX33+逐级计算!$C$76,BX33+逐级计算!$C$76-(10/(逐级计算!$Q$76*LN(10))*(MAX((LN(10^(逐级计算!$Q$76/10)-1)+逐级计算!$Q$76*(BX33-逐级计算!$P$76)*LN(10)/10),0)+LN(1+EXP(-ABS((LN(10^(逐级计算!$Q$76/10)-1)+逐级计算!$Q$76*(BX33-逐级计算!$P$76)*LN(10)/10))))))),"")</f>
        <v>13.7930374711066</v>
      </c>
      <c r="BZ33">
        <f>IF(AND(ISNUMBER(BY33),逐级计算!$X$77&gt;-1),IF(逐级计算!$X$77=0,BY33+逐级计算!$C$77,BY33+逐级计算!$C$77-(10/(逐级计算!$Q$77*LN(10))*(MAX((LN(10^(逐级计算!$Q$77/10)-1)+逐级计算!$Q$77*(BY33-逐级计算!$P$77)*LN(10)/10),0)+LN(1+EXP(-ABS((LN(10^(逐级计算!$Q$77/10)-1)+逐级计算!$Q$77*(BY33-逐级计算!$P$77)*LN(10)/10))))))),"")</f>
        <v>13.7930374711066</v>
      </c>
      <c r="CA33">
        <f>IF(AND(ISNUMBER(BZ33),逐级计算!$X$78&gt;-1),IF(逐级计算!$X$78=0,BZ33+逐级计算!$C$78,BZ33+逐级计算!$C$78-(10/(逐级计算!$Q$78*LN(10))*(MAX((LN(10^(逐级计算!$Q$78/10)-1)+逐级计算!$Q$78*(BZ33-逐级计算!$P$78)*LN(10)/10),0)+LN(1+EXP(-ABS((LN(10^(逐级计算!$Q$78/10)-1)+逐级计算!$Q$78*(BZ33-逐级计算!$P$78)*LN(10)/10))))))),"")</f>
        <v>13.7930374711066</v>
      </c>
      <c r="CB33">
        <f>IF(AND(ISNUMBER(CA33),逐级计算!$X$79&gt;-1),IF(逐级计算!$X$79=0,CA33+逐级计算!$C$79,CA33+逐级计算!$C$79-(10/(逐级计算!$Q$79*LN(10))*(MAX((LN(10^(逐级计算!$Q$79/10)-1)+逐级计算!$Q$79*(CA33-逐级计算!$P$79)*LN(10)/10),0)+LN(1+EXP(-ABS((LN(10^(逐级计算!$Q$79/10)-1)+逐级计算!$Q$79*(CA33-逐级计算!$P$79)*LN(10)/10))))))),"")</f>
        <v>13.7930374711066</v>
      </c>
      <c r="CC33">
        <f>IF(AND(ISNUMBER(CB33),逐级计算!$X$80&gt;-1),IF(逐级计算!$X$80=0,CB33+逐级计算!$C$80,CB33+逐级计算!$C$80-(10/(逐级计算!$Q$80*LN(10))*(MAX((LN(10^(逐级计算!$Q$80/10)-1)+逐级计算!$Q$80*(CB33-逐级计算!$P$80)*LN(10)/10),0)+LN(1+EXP(-ABS((LN(10^(逐级计算!$Q$80/10)-1)+逐级计算!$Q$80*(CB33-逐级计算!$P$80)*LN(10)/10))))))),"")</f>
        <v>13.7930374711066</v>
      </c>
      <c r="CD33">
        <f>IF(AND(ISNUMBER(CC33),逐级计算!$X$81&gt;-1),IF(逐级计算!$X$81=0,CC33+逐级计算!$C$81,CC33+逐级计算!$C$81-(10/(逐级计算!$Q$81*LN(10))*(MAX((LN(10^(逐级计算!$Q$81/10)-1)+逐级计算!$Q$81*(CC33-逐级计算!$P$81)*LN(10)/10),0)+LN(1+EXP(-ABS((LN(10^(逐级计算!$Q$81/10)-1)+逐级计算!$Q$81*(CC33-逐级计算!$P$81)*LN(10)/10))))))),"")</f>
        <v>13.7930374711066</v>
      </c>
      <c r="CE33">
        <f>IF(AND(ISNUMBER(CD33),逐级计算!$X$82&gt;-1),IF(逐级计算!$X$82=0,CD33+逐级计算!$C$82,CD33+逐级计算!$C$82-(10/(逐级计算!$Q$82*LN(10))*(MAX((LN(10^(逐级计算!$Q$82/10)-1)+逐级计算!$Q$82*(CD33-逐级计算!$P$82)*LN(10)/10),0)+LN(1+EXP(-ABS((LN(10^(逐级计算!$Q$82/10)-1)+逐级计算!$Q$82*(CD33-逐级计算!$P$82)*LN(10)/10))))))),"")</f>
        <v>13.7930374711066</v>
      </c>
      <c r="CF33">
        <f>IF(AND(ISNUMBER(CE33),逐级计算!$X$83&gt;-1),IF(逐级计算!$X$83=0,CE33+逐级计算!$C$83,CE33+逐级计算!$C$83-(10/(逐级计算!$Q$83*LN(10))*(MAX((LN(10^(逐级计算!$Q$83/10)-1)+逐级计算!$Q$83*(CE33-逐级计算!$P$83)*LN(10)/10),0)+LN(1+EXP(-ABS((LN(10^(逐级计算!$Q$83/10)-1)+逐级计算!$Q$83*(CE33-逐级计算!$P$83)*LN(10)/10))))))),"")</f>
        <v>13.7930374711066</v>
      </c>
      <c r="CG33">
        <f>IF(AND(ISNUMBER(CF33),逐级计算!$X$84&gt;-1),IF(逐级计算!$X$84=0,CF33+逐级计算!$C$84,CF33+逐级计算!$C$84-(10/(逐级计算!$Q$84*LN(10))*(MAX((LN(10^(逐级计算!$Q$84/10)-1)+逐级计算!$Q$84*(CF33-逐级计算!$P$84)*LN(10)/10),0)+LN(1+EXP(-ABS((LN(10^(逐级计算!$Q$84/10)-1)+逐级计算!$Q$84*(CF33-逐级计算!$P$84)*LN(10)/10))))))),"")</f>
        <v>13.7930374711066</v>
      </c>
      <c r="CH33">
        <f>IF(AND(ISNUMBER(CG33),逐级计算!$X$85&gt;-1),IF(逐级计算!$X$85=0,CG33+逐级计算!$C$85,CG33+逐级计算!$C$85-(10/(逐级计算!$Q$85*LN(10))*(MAX((LN(10^(逐级计算!$Q$85/10)-1)+逐级计算!$Q$85*(CG33-逐级计算!$P$85)*LN(10)/10),0)+LN(1+EXP(-ABS((LN(10^(逐级计算!$Q$85/10)-1)+逐级计算!$Q$85*(CG33-逐级计算!$P$85)*LN(10)/10))))))),"")</f>
        <v>13.7930374711066</v>
      </c>
      <c r="CI33">
        <f>IF(AND(ISNUMBER(CH33),逐级计算!$X$86&gt;-1),IF(逐级计算!$X$86=0,CH33+逐级计算!$C$86,CH33+逐级计算!$C$86-(10/(逐级计算!$Q$86*LN(10))*(MAX((LN(10^(逐级计算!$Q$86/10)-1)+逐级计算!$Q$86*(CH33-逐级计算!$P$86)*LN(10)/10),0)+LN(1+EXP(-ABS((LN(10^(逐级计算!$Q$86/10)-1)+逐级计算!$Q$86*(CH33-逐级计算!$P$86)*LN(10)/10))))))),"")</f>
        <v>13.7930374711066</v>
      </c>
      <c r="CJ33">
        <f>IF(AND(ISNUMBER(CI33),逐级计算!$X$87&gt;-1),IF(逐级计算!$X$87=0,CI33+逐级计算!$C$87,CI33+逐级计算!$C$87-(10/(逐级计算!$Q$87*LN(10))*(MAX((LN(10^(逐级计算!$Q$87/10)-1)+逐级计算!$Q$87*(CI33-逐级计算!$P$87)*LN(10)/10),0)+LN(1+EXP(-ABS((LN(10^(逐级计算!$Q$87/10)-1)+逐级计算!$Q$87*(CI33-逐级计算!$P$87)*LN(10)/10))))))),"")</f>
        <v>13.7930374711066</v>
      </c>
      <c r="CK33">
        <f>IF(AND(ISNUMBER(CJ33),逐级计算!$X$88&gt;-1),IF(逐级计算!$X$88=0,CJ33+逐级计算!$C$88,CJ33+逐级计算!$C$88-(10/(逐级计算!$Q$88*LN(10))*(MAX((LN(10^(逐级计算!$Q$88/10)-1)+逐级计算!$Q$88*(CJ33-逐级计算!$P$88)*LN(10)/10),0)+LN(1+EXP(-ABS((LN(10^(逐级计算!$Q$88/10)-1)+逐级计算!$Q$88*(CJ33-逐级计算!$P$88)*LN(10)/10))))))),"")</f>
        <v>13.7930374711066</v>
      </c>
      <c r="CL33">
        <f>IF(AND(ISNUMBER(CK33),逐级计算!$X$89&gt;-1),IF(逐级计算!$X$89=0,CK33+逐级计算!$C$89,CK33+逐级计算!$C$89-(10/(逐级计算!$Q$89*LN(10))*(MAX((LN(10^(逐级计算!$Q$89/10)-1)+逐级计算!$Q$89*(CK33-逐级计算!$P$89)*LN(10)/10),0)+LN(1+EXP(-ABS((LN(10^(逐级计算!$Q$89/10)-1)+逐级计算!$Q$89*(CK33-逐级计算!$P$89)*LN(10)/10))))))),"")</f>
        <v>13.7930374711066</v>
      </c>
      <c r="CM33">
        <f>IF(AND(ISNUMBER(CL33),逐级计算!$X$90&gt;-1),IF(逐级计算!$X$90=0,CL33+逐级计算!$C$90,CL33+逐级计算!$C$90-(10/(逐级计算!$Q$90*LN(10))*(MAX((LN(10^(逐级计算!$Q$90/10)-1)+逐级计算!$Q$90*(CL33-逐级计算!$P$90)*LN(10)/10),0)+LN(1+EXP(-ABS((LN(10^(逐级计算!$Q$90/10)-1)+逐级计算!$Q$90*(CL33-逐级计算!$P$90)*LN(10)/10))))))),"")</f>
        <v>13.7930374711066</v>
      </c>
      <c r="CN33">
        <f>IF(AND(ISNUMBER(CM33),逐级计算!$X$91&gt;-1),IF(逐级计算!$X$91=0,CM33+逐级计算!$C$91,CM33+逐级计算!$C$91-(10/(逐级计算!$Q$91*LN(10))*(MAX((LN(10^(逐级计算!$Q$91/10)-1)+逐级计算!$Q$91*(CM33-逐级计算!$P$91)*LN(10)/10),0)+LN(1+EXP(-ABS((LN(10^(逐级计算!$Q$91/10)-1)+逐级计算!$Q$91*(CM33-逐级计算!$P$91)*LN(10)/10))))))),"")</f>
        <v>13.7930374711066</v>
      </c>
      <c r="CO33">
        <f>IF(AND(ISNUMBER(CN33),逐级计算!$X$92&gt;-1),IF(逐级计算!$X$92=0,CN33+逐级计算!$C$92,CN33+逐级计算!$C$92-(10/(逐级计算!$Q$92*LN(10))*(MAX((LN(10^(逐级计算!$Q$92/10)-1)+逐级计算!$Q$92*(CN33-逐级计算!$P$92)*LN(10)/10),0)+LN(1+EXP(-ABS((LN(10^(逐级计算!$Q$92/10)-1)+逐级计算!$Q$92*(CN33-逐级计算!$P$92)*LN(10)/10))))))),"")</f>
        <v>13.7930374711066</v>
      </c>
      <c r="CP33">
        <f>IF(AND(ISNUMBER(CO33),逐级计算!$X$93&gt;-1),IF(逐级计算!$X$93=0,CO33+逐级计算!$C$93,CO33+逐级计算!$C$93-(10/(逐级计算!$Q$93*LN(10))*(MAX((LN(10^(逐级计算!$Q$93/10)-1)+逐级计算!$Q$93*(CO33-逐级计算!$P$93)*LN(10)/10),0)+LN(1+EXP(-ABS((LN(10^(逐级计算!$Q$93/10)-1)+逐级计算!$Q$93*(CO33-逐级计算!$P$93)*LN(10)/10))))))),"")</f>
        <v>13.7930374711066</v>
      </c>
      <c r="CQ33">
        <f>IF(AND(ISNUMBER(CP33),逐级计算!$X$94&gt;-1),IF(逐级计算!$X$94=0,CP33+逐级计算!$C$94,CP33+逐级计算!$C$94-(10/(逐级计算!$Q$94*LN(10))*(MAX((LN(10^(逐级计算!$Q$94/10)-1)+逐级计算!$Q$94*(CP33-逐级计算!$P$94)*LN(10)/10),0)+LN(1+EXP(-ABS((LN(10^(逐级计算!$Q$94/10)-1)+逐级计算!$Q$94*(CP33-逐级计算!$P$94)*LN(10)/10))))))),"")</f>
        <v>13.7930374711066</v>
      </c>
      <c r="CR33">
        <f>IF(AND(ISNUMBER(CQ33),逐级计算!$X$95&gt;-1),IF(逐级计算!$X$95=0,CQ33+逐级计算!$C$95,CQ33+逐级计算!$C$95-(10/(逐级计算!$Q$95*LN(10))*(MAX((LN(10^(逐级计算!$Q$95/10)-1)+逐级计算!$Q$95*(CQ33-逐级计算!$P$95)*LN(10)/10),0)+LN(1+EXP(-ABS((LN(10^(逐级计算!$Q$95/10)-1)+逐级计算!$Q$95*(CQ33-逐级计算!$P$95)*LN(10)/10))))))),"")</f>
        <v>13.7930374711066</v>
      </c>
      <c r="CS33">
        <f>IF(AND(ISNUMBER(CR33),逐级计算!$X$96&gt;-1),IF(逐级计算!$X$96=0,CR33+逐级计算!$C$96,CR33+逐级计算!$C$96-(10/(逐级计算!$Q$96*LN(10))*(MAX((LN(10^(逐级计算!$Q$96/10)-1)+逐级计算!$Q$96*(CR33-逐级计算!$P$96)*LN(10)/10),0)+LN(1+EXP(-ABS((LN(10^(逐级计算!$Q$96/10)-1)+逐级计算!$Q$96*(CR33-逐级计算!$P$96)*LN(10)/10))))))),"")</f>
        <v>13.7930374711066</v>
      </c>
      <c r="CT33">
        <f>IF(AND(ISNUMBER(CS33),逐级计算!$X$97&gt;-1),IF(逐级计算!$X$97=0,CS33+逐级计算!$C$97,CS33+逐级计算!$C$97-(10/(逐级计算!$Q$97*LN(10))*(MAX((LN(10^(逐级计算!$Q$97/10)-1)+逐级计算!$Q$97*(CS33-逐级计算!$P$97)*LN(10)/10),0)+LN(1+EXP(-ABS((LN(10^(逐级计算!$Q$97/10)-1)+逐级计算!$Q$97*(CS33-逐级计算!$P$97)*LN(10)/10))))))),"")</f>
        <v>13.7930374711066</v>
      </c>
      <c r="CU33">
        <f>IF(AND(ISNUMBER(CT33),逐级计算!$X$98&gt;-1),IF(逐级计算!$X$98=0,CT33+逐级计算!$C$98,CT33+逐级计算!$C$98-(10/(逐级计算!$Q$98*LN(10))*(MAX((LN(10^(逐级计算!$Q$98/10)-1)+逐级计算!$Q$98*(CT33-逐级计算!$P$98)*LN(10)/10),0)+LN(1+EXP(-ABS((LN(10^(逐级计算!$Q$98/10)-1)+逐级计算!$Q$98*(CT33-逐级计算!$P$98)*LN(10)/10))))))),"")</f>
        <v>13.7930374711066</v>
      </c>
      <c r="CV33">
        <f>IF(AND(ISNUMBER(CU33),逐级计算!$X$99&gt;-1),IF(逐级计算!$X$99=0,CU33+逐级计算!$C$99,CU33+逐级计算!$C$99-(10/(逐级计算!$Q$99*LN(10))*(MAX((LN(10^(逐级计算!$Q$99/10)-1)+逐级计算!$Q$99*(CU33-逐级计算!$P$99)*LN(10)/10),0)+LN(1+EXP(-ABS((LN(10^(逐级计算!$Q$99/10)-1)+逐级计算!$Q$99*(CU33-逐级计算!$P$99)*LN(10)/10))))))),"")</f>
        <v>13.7930374711066</v>
      </c>
      <c r="CW33">
        <f>IF(AND(ISNUMBER(CV33),逐级计算!$X$100&gt;-1),IF(逐级计算!$X$100=0,CV33+逐级计算!$C$100,CV33+逐级计算!$C$100-(10/(逐级计算!$Q$100*LN(10))*(MAX((LN(10^(逐级计算!$Q$100/10)-1)+逐级计算!$Q$100*(CV33-逐级计算!$P$100)*LN(10)/10),0)+LN(1+EXP(-ABS((LN(10^(逐级计算!$Q$100/10)-1)+逐级计算!$Q$100*(CV33-逐级计算!$P$100)*LN(10)/10))))))),"")</f>
        <v>13.7930374711066</v>
      </c>
      <c r="CX33">
        <f>IF(AND(ISNUMBER(CW33),逐级计算!$X$101&gt;-1),IF(逐级计算!$X$101=0,CW33+逐级计算!$C$101,CW33+逐级计算!$C$101-(10/(逐级计算!$Q$101*LN(10))*(MAX((LN(10^(逐级计算!$Q$101/10)-1)+逐级计算!$Q$101*(CW33-逐级计算!$P$101)*LN(10)/10),0)+LN(1+EXP(-ABS((LN(10^(逐级计算!$Q$101/10)-1)+逐级计算!$Q$101*(CW33-逐级计算!$P$101)*LN(10)/10))))))),"")</f>
        <v>13.7930374711066</v>
      </c>
      <c r="CY33">
        <f>IF(AND(ISNUMBER(CX33),逐级计算!$X$102&gt;-1),IF(逐级计算!$X$102=0,CX33+逐级计算!$C$102,CX33+逐级计算!$C$102-(10/(逐级计算!$Q$102*LN(10))*(MAX((LN(10^(逐级计算!$Q$102/10)-1)+逐级计算!$Q$102*(CX33-逐级计算!$P$102)*LN(10)/10),0)+LN(1+EXP(-ABS((LN(10^(逐级计算!$Q$102/10)-1)+逐级计算!$Q$102*(CX33-逐级计算!$P$102)*LN(10)/10))))))),"")</f>
        <v>13.7930374711066</v>
      </c>
      <c r="CZ33">
        <f>IF(AND(ISNUMBER(CY33),逐级计算!$X$103&gt;-1),IF(逐级计算!$X$103=0,CY33+逐级计算!$C$103,CY33+逐级计算!$C$103-(10/(逐级计算!$Q$103*LN(10))*(MAX((LN(10^(逐级计算!$Q$103/10)-1)+逐级计算!$Q$103*(CY33-逐级计算!$P$103)*LN(10)/10),0)+LN(1+EXP(-ABS((LN(10^(逐级计算!$Q$103/10)-1)+逐级计算!$Q$103*(CY33-逐级计算!$P$103)*LN(10)/10))))))),"")</f>
        <v>13.7930374711066</v>
      </c>
      <c r="DA33">
        <f>IF(AND(ISNUMBER(CZ33),逐级计算!$X$104&gt;-1),IF(逐级计算!$X$104=0,CZ33+逐级计算!$C$104,CZ33+逐级计算!$C$104-(10/(逐级计算!$Q$104*LN(10))*(MAX((LN(10^(逐级计算!$Q$104/10)-1)+逐级计算!$Q$104*(CZ33-逐级计算!$P$104)*LN(10)/10),0)+LN(1+EXP(-ABS((LN(10^(逐级计算!$Q$104/10)-1)+逐级计算!$Q$104*(CZ33-逐级计算!$P$104)*LN(10)/10))))))),"")</f>
        <v>13.7930374711066</v>
      </c>
      <c r="DB33">
        <f>IF(AND(ISNUMBER(DA33),逐级计算!$X$105&gt;-1),IF(逐级计算!$X$105=0,DA33+逐级计算!$C$105,DA33+逐级计算!$C$105-(10/(逐级计算!$Q$105*LN(10))*(MAX((LN(10^(逐级计算!$Q$105/10)-1)+逐级计算!$Q$105*(DA33-逐级计算!$P$105)*LN(10)/10),0)+LN(1+EXP(-ABS((LN(10^(逐级计算!$Q$105/10)-1)+逐级计算!$Q$105*(DA33-逐级计算!$P$105)*LN(10)/10))))))),"")</f>
        <v>13.7930374711066</v>
      </c>
      <c r="DC33">
        <f>IF(AND(ISNUMBER(DB33),逐级计算!$X$106&gt;-1),IF(逐级计算!$X$106=0,DB33+逐级计算!$C$106,DB33+逐级计算!$C$106-(10/(逐级计算!$Q$106*LN(10))*(MAX((LN(10^(逐级计算!$Q$106/10)-1)+逐级计算!$Q$106*(DB33-逐级计算!$P$106)*LN(10)/10),0)+LN(1+EXP(-ABS((LN(10^(逐级计算!$Q$106/10)-1)+逐级计算!$Q$106*(DB33-逐级计算!$P$106)*LN(10)/10))))))),"")</f>
        <v>13.7930374711066</v>
      </c>
      <c r="DD33">
        <f>IF(AND(ISNUMBER(DC33),逐级计算!$X$107&gt;-1),IF(逐级计算!$X$107=0,DC33+逐级计算!$C$107,DC33+逐级计算!$C$107-(10/(逐级计算!$Q$107*LN(10))*(MAX((LN(10^(逐级计算!$Q$107/10)-1)+逐级计算!$Q$107*(DC33-逐级计算!$P$107)*LN(10)/10),0)+LN(1+EXP(-ABS((LN(10^(逐级计算!$Q$107/10)-1)+逐级计算!$Q$107*(DC33-逐级计算!$P$107)*LN(10)/10))))))),"")</f>
        <v>13.7930374711066</v>
      </c>
      <c r="DE33">
        <f>IF(AND(ISNUMBER(DD33),逐级计算!$X$108&gt;-1),IF(逐级计算!$X$108=0,DD33+逐级计算!$C$108,DD33+逐级计算!$C$108-(10/(逐级计算!$Q$108*LN(10))*(MAX((LN(10^(逐级计算!$Q$108/10)-1)+逐级计算!$Q$108*(DD33-逐级计算!$P$108)*LN(10)/10),0)+LN(1+EXP(-ABS((LN(10^(逐级计算!$Q$108/10)-1)+逐级计算!$Q$108*(DD33-逐级计算!$P$108)*LN(10)/10))))))),"")</f>
        <v>13.7930374711066</v>
      </c>
      <c r="DF33">
        <f>IF(AND(ISNUMBER(DE33),逐级计算!$X$109&gt;-1),IF(逐级计算!$X$109=0,DE33+逐级计算!$C$109,DE33+逐级计算!$C$109-(10/(逐级计算!$Q$109*LN(10))*(MAX((LN(10^(逐级计算!$Q$109/10)-1)+逐级计算!$Q$109*(DE33-逐级计算!$P$109)*LN(10)/10),0)+LN(1+EXP(-ABS((LN(10^(逐级计算!$Q$109/10)-1)+逐级计算!$Q$109*(DE33-逐级计算!$P$109)*LN(10)/10))))))),"")</f>
        <v>13.7930374711066</v>
      </c>
      <c r="DG33">
        <f>IF(AND(ISNUMBER(DF33),逐级计算!$X$110&gt;-1),IF(逐级计算!$X$110=0,DF33+逐级计算!$C$110,DF33+逐级计算!$C$110-(10/(逐级计算!$Q$110*LN(10))*(MAX((LN(10^(逐级计算!$Q$110/10)-1)+逐级计算!$Q$110*(DF33-逐级计算!$P$110)*LN(10)/10),0)+LN(1+EXP(-ABS((LN(10^(逐级计算!$Q$110/10)-1)+逐级计算!$Q$110*(DF33-逐级计算!$P$110)*LN(10)/10))))))),"")</f>
        <v>13.7930374711066</v>
      </c>
      <c r="DH33">
        <f>IF(AND(ISNUMBER(DG33),逐级计算!$X$111&gt;-1),IF(逐级计算!$X$111=0,DG33+逐级计算!$C$111,DG33+逐级计算!$C$111-(10/(逐级计算!$Q$111*LN(10))*(MAX((LN(10^(逐级计算!$Q$111/10)-1)+逐级计算!$Q$111*(DG33-逐级计算!$P$111)*LN(10)/10),0)+LN(1+EXP(-ABS((LN(10^(逐级计算!$Q$111/10)-1)+逐级计算!$Q$111*(DG33-逐级计算!$P$111)*LN(10)/10))))))),"")</f>
        <v>13.7930374711066</v>
      </c>
      <c r="DI33">
        <f>IF(AND(ISNUMBER(DH33),逐级计算!$X$112&gt;-1),IF(逐级计算!$X$112=0,DH33+逐级计算!$C$112,DH33+逐级计算!$C$112-(10/(逐级计算!$Q$112*LN(10))*(MAX((LN(10^(逐级计算!$Q$112/10)-1)+逐级计算!$Q$112*(DH33-逐级计算!$P$112)*LN(10)/10),0)+LN(1+EXP(-ABS((LN(10^(逐级计算!$Q$112/10)-1)+逐级计算!$Q$112*(DH33-逐级计算!$P$112)*LN(10)/10))))))),"")</f>
        <v>13.7930374711066</v>
      </c>
      <c r="DJ33">
        <f>IF(AND(ISNUMBER(DI33),逐级计算!$X$113&gt;-1),IF(逐级计算!$X$113=0,DI33+逐级计算!$C$113,DI33+逐级计算!$C$113-(10/(逐级计算!$Q$113*LN(10))*(MAX((LN(10^(逐级计算!$Q$113/10)-1)+逐级计算!$Q$113*(DI33-逐级计算!$P$113)*LN(10)/10),0)+LN(1+EXP(-ABS((LN(10^(逐级计算!$Q$113/10)-1)+逐级计算!$Q$113*(DI33-逐级计算!$P$113)*LN(10)/10))))))),"")</f>
        <v>13.7930374711066</v>
      </c>
      <c r="DK33">
        <f>IF(AND(ISNUMBER(DJ33),逐级计算!$X$114&gt;-1),IF(逐级计算!$X$114=0,DJ33+逐级计算!$C$114,DJ33+逐级计算!$C$114-(10/(逐级计算!$Q$114*LN(10))*(MAX((LN(10^(逐级计算!$Q$114/10)-1)+逐级计算!$Q$114*(DJ33-逐级计算!$P$114)*LN(10)/10),0)+LN(1+EXP(-ABS((LN(10^(逐级计算!$Q$114/10)-1)+逐级计算!$Q$114*(DJ33-逐级计算!$P$114)*LN(10)/10))))))),"")</f>
        <v>13.7930374711066</v>
      </c>
      <c r="DL33">
        <f>IF(AND(ISNUMBER(DK33),逐级计算!$X$115&gt;-1),IF(逐级计算!$X$115=0,DK33+逐级计算!$C$115,DK33+逐级计算!$C$115-(10/(逐级计算!$Q$115*LN(10))*(MAX((LN(10^(逐级计算!$Q$115/10)-1)+逐级计算!$Q$115*(DK33-逐级计算!$P$115)*LN(10)/10),0)+LN(1+EXP(-ABS((LN(10^(逐级计算!$Q$115/10)-1)+逐级计算!$Q$115*(DK33-逐级计算!$P$115)*LN(10)/10))))))),"")</f>
        <v>13.7930374711066</v>
      </c>
      <c r="DM33">
        <f>IF(AND(ISNUMBER(DL33),逐级计算!$X$116&gt;-1),IF(逐级计算!$X$116=0,DL33+逐级计算!$C$116,DL33+逐级计算!$C$116-(10/(逐级计算!$Q$116*LN(10))*(MAX((LN(10^(逐级计算!$Q$116/10)-1)+逐级计算!$Q$116*(DL33-逐级计算!$P$116)*LN(10)/10),0)+LN(1+EXP(-ABS((LN(10^(逐级计算!$Q$116/10)-1)+逐级计算!$Q$116*(DL33-逐级计算!$P$116)*LN(10)/10))))))),"")</f>
        <v>13.7930374711066</v>
      </c>
      <c r="DN33">
        <f>IF(AND(ISNUMBER(DM33),逐级计算!$X$117&gt;-1),IF(逐级计算!$X$117=0,DM33+逐级计算!$C$117,DM33+逐级计算!$C$117-(10/(逐级计算!$Q$117*LN(10))*(MAX((LN(10^(逐级计算!$Q$117/10)-1)+逐级计算!$Q$117*(DM33-逐级计算!$P$117)*LN(10)/10),0)+LN(1+EXP(-ABS((LN(10^(逐级计算!$Q$117/10)-1)+逐级计算!$Q$117*(DM33-逐级计算!$P$117)*LN(10)/10))))))),"")</f>
        <v>13.7930374711066</v>
      </c>
      <c r="DO33">
        <f>IF(AND(ISNUMBER(DN33),逐级计算!$X$118&gt;-1),IF(逐级计算!$X$118=0,DN33+逐级计算!$C$118,DN33+逐级计算!$C$118-(10/(逐级计算!$Q$118*LN(10))*(MAX((LN(10^(逐级计算!$Q$118/10)-1)+逐级计算!$Q$118*(DN33-逐级计算!$P$118)*LN(10)/10),0)+LN(1+EXP(-ABS((LN(10^(逐级计算!$Q$118/10)-1)+逐级计算!$Q$118*(DN33-逐级计算!$P$118)*LN(10)/10))))))),"")</f>
        <v>13.7930374711066</v>
      </c>
      <c r="DP33">
        <f>IF(AND(ISNUMBER(DO33),逐级计算!$X$119&gt;-1),IF(逐级计算!$X$119=0,DO33+逐级计算!$C$119,DO33+逐级计算!$C$119-(10/(逐级计算!$Q$119*LN(10))*(MAX((LN(10^(逐级计算!$Q$119/10)-1)+逐级计算!$Q$119*(DO33-逐级计算!$P$119)*LN(10)/10),0)+LN(1+EXP(-ABS((LN(10^(逐级计算!$Q$119/10)-1)+逐级计算!$Q$119*(DO33-逐级计算!$P$119)*LN(10)/10))))))),"")</f>
        <v>13.7930374711066</v>
      </c>
      <c r="DQ33">
        <f>IF(AND(ISNUMBER(DP33),逐级计算!$X$120&gt;-1),IF(逐级计算!$X$120=0,DP33+逐级计算!$C$120,DP33+逐级计算!$C$120-(10/(逐级计算!$Q$120*LN(10))*(MAX((LN(10^(逐级计算!$Q$120/10)-1)+逐级计算!$Q$120*(DP33-逐级计算!$P$120)*LN(10)/10),0)+LN(1+EXP(-ABS((LN(10^(逐级计算!$Q$120/10)-1)+逐级计算!$Q$120*(DP33-逐级计算!$P$120)*LN(10)/10))))))),"")</f>
        <v>13.7930374711066</v>
      </c>
      <c r="DR33">
        <f>IF(AND(ISNUMBER(DQ33),逐级计算!$X$121&gt;-1),IF(逐级计算!$X$121=0,DQ33+逐级计算!$C$121,DQ33+逐级计算!$C$121-(10/(逐级计算!$Q$121*LN(10))*(MAX((LN(10^(逐级计算!$Q$121/10)-1)+逐级计算!$Q$121*(DQ33-逐级计算!$P$121)*LN(10)/10),0)+LN(1+EXP(-ABS((LN(10^(逐级计算!$Q$121/10)-1)+逐级计算!$Q$121*(DQ33-逐级计算!$P$121)*LN(10)/10))))))),"")</f>
        <v>13.7930374711066</v>
      </c>
      <c r="DS33">
        <f>IF(AND(ISNUMBER(DR33),逐级计算!$X$122&gt;-1),IF(逐级计算!$X$122=0,DR33+逐级计算!$C$122,DR33+逐级计算!$C$122-(10/(逐级计算!$Q$122*LN(10))*(MAX((LN(10^(逐级计算!$Q$122/10)-1)+逐级计算!$Q$122*(DR33-逐级计算!$P$122)*LN(10)/10),0)+LN(1+EXP(-ABS((LN(10^(逐级计算!$Q$122/10)-1)+逐级计算!$Q$122*(DR33-逐级计算!$P$122)*LN(10)/10))))))),"")</f>
        <v>13.7930374711066</v>
      </c>
      <c r="DT33">
        <f>IF(AND(ISNUMBER(DS33),逐级计算!$X$123&gt;-1),IF(逐级计算!$X$123=0,DS33+逐级计算!$C$123,DS33+逐级计算!$C$123-(10/(逐级计算!$Q$123*LN(10))*(MAX((LN(10^(逐级计算!$Q$123/10)-1)+逐级计算!$Q$123*(DS33-逐级计算!$P$123)*LN(10)/10),0)+LN(1+EXP(-ABS((LN(10^(逐级计算!$Q$123/10)-1)+逐级计算!$Q$123*(DS33-逐级计算!$P$123)*LN(10)/10))))))),"")</f>
        <v>13.7930374711066</v>
      </c>
      <c r="DU33">
        <f>IF(AND(ISNUMBER(DT33),逐级计算!$X$124&gt;-1),IF(逐级计算!$X$124=0,DT33+逐级计算!$C$124,DT33+逐级计算!$C$124-(10/(逐级计算!$Q$124*LN(10))*(MAX((LN(10^(逐级计算!$Q$124/10)-1)+逐级计算!$Q$124*(DT33-逐级计算!$P$124)*LN(10)/10),0)+LN(1+EXP(-ABS((LN(10^(逐级计算!$Q$124/10)-1)+逐级计算!$Q$124*(DT33-逐级计算!$P$124)*LN(10)/10))))))),"")</f>
        <v>13.7930374711066</v>
      </c>
      <c r="DV33">
        <f>IF(AND(ISNUMBER(DU33),逐级计算!$X$125&gt;-1),IF(逐级计算!$X$125=0,DU33+逐级计算!$C$125,DU33+逐级计算!$C$125-(10/(逐级计算!$Q$125*LN(10))*(MAX((LN(10^(逐级计算!$Q$125/10)-1)+逐级计算!$Q$125*(DU33-逐级计算!$P$125)*LN(10)/10),0)+LN(1+EXP(-ABS((LN(10^(逐级计算!$Q$125/10)-1)+逐级计算!$Q$125*(DU33-逐级计算!$P$125)*LN(10)/10))))))),"")</f>
        <v>13.7930374711066</v>
      </c>
      <c r="DW33">
        <f>IF(AND(ISNUMBER(DV33),逐级计算!$X$126&gt;-1),IF(逐级计算!$X$126=0,DV33+逐级计算!$C$126,DV33+逐级计算!$C$126-(10/(逐级计算!$Q$126*LN(10))*(MAX((LN(10^(逐级计算!$Q$126/10)-1)+逐级计算!$Q$126*(DV33-逐级计算!$P$126)*LN(10)/10),0)+LN(1+EXP(-ABS((LN(10^(逐级计算!$Q$126/10)-1)+逐级计算!$Q$126*(DV33-逐级计算!$P$126)*LN(10)/10))))))),"")</f>
        <v>13.7930374711066</v>
      </c>
      <c r="DX33">
        <f>IF(AND(ISNUMBER(DW33),逐级计算!$X$127&gt;-1),IF(逐级计算!$X$127=0,DW33+逐级计算!$C$127,DW33+逐级计算!$C$127-(10/(逐级计算!$Q$127*LN(10))*(MAX((LN(10^(逐级计算!$Q$127/10)-1)+逐级计算!$Q$127*(DW33-逐级计算!$P$127)*LN(10)/10),0)+LN(1+EXP(-ABS((LN(10^(逐级计算!$Q$127/10)-1)+逐级计算!$Q$127*(DW33-逐级计算!$P$127)*LN(10)/10))))))),"")</f>
        <v>13.7930374711066</v>
      </c>
      <c r="DY33">
        <f>IF(AND(ISNUMBER(DX33),逐级计算!$X$128&gt;-1),IF(逐级计算!$X$128=0,DX33+逐级计算!$C$128,DX33+逐级计算!$C$128-(10/(逐级计算!$Q$128*LN(10))*(MAX((LN(10^(逐级计算!$Q$128/10)-1)+逐级计算!$Q$128*(DX33-逐级计算!$P$128)*LN(10)/10),0)+LN(1+EXP(-ABS((LN(10^(逐级计算!$Q$128/10)-1)+逐级计算!$Q$128*(DX33-逐级计算!$P$128)*LN(10)/10))))))),"")</f>
        <v>13.7930374711066</v>
      </c>
      <c r="DZ33">
        <f>IF(AND(ISNUMBER(DY33),逐级计算!$X$129&gt;-1),IF(逐级计算!$X$129=0,DY33+逐级计算!$C$129,DY33+逐级计算!$C$129-(10/(逐级计算!$Q$129*LN(10))*(MAX((LN(10^(逐级计算!$Q$129/10)-1)+逐级计算!$Q$129*(DY33-逐级计算!$P$129)*LN(10)/10),0)+LN(1+EXP(-ABS((LN(10^(逐级计算!$Q$129/10)-1)+逐级计算!$Q$129*(DY33-逐级计算!$P$129)*LN(10)/10))))))),"")</f>
        <v>13.7930374711066</v>
      </c>
      <c r="EA33">
        <f>IF(AND(ISNUMBER(DZ33),逐级计算!$X$130&gt;-1),IF(逐级计算!$X$130=0,DZ33+逐级计算!$C$130,DZ33+逐级计算!$C$130-(10/(逐级计算!$Q$130*LN(10))*(MAX((LN(10^(逐级计算!$Q$130/10)-1)+逐级计算!$Q$130*(DZ33-逐级计算!$P$130)*LN(10)/10),0)+LN(1+EXP(-ABS((LN(10^(逐级计算!$Q$130/10)-1)+逐级计算!$Q$130*(DZ33-逐级计算!$P$130)*LN(10)/10))))))),"")</f>
        <v>13.7930374711066</v>
      </c>
      <c r="EB33">
        <f>IF(AND(ISNUMBER(EA33),逐级计算!$X$131&gt;-1),IF(逐级计算!$X$131=0,EA33+逐级计算!$C$131,EA33+逐级计算!$C$131-(10/(逐级计算!$Q$131*LN(10))*(MAX((LN(10^(逐级计算!$Q$131/10)-1)+逐级计算!$Q$131*(EA33-逐级计算!$P$131)*LN(10)/10),0)+LN(1+EXP(-ABS((LN(10^(逐级计算!$Q$131/10)-1)+逐级计算!$Q$131*(EA33-逐级计算!$P$131)*LN(10)/10))))))),"")</f>
        <v>13.7930374711066</v>
      </c>
      <c r="EC33">
        <f>IF(AND(ISNUMBER(EB33),逐级计算!$X$132&gt;-1),IF(逐级计算!$X$132=0,EB33+逐级计算!$C$132,EB33+逐级计算!$C$132-(10/(逐级计算!$Q$132*LN(10))*(MAX((LN(10^(逐级计算!$Q$132/10)-1)+逐级计算!$Q$132*(EB33-逐级计算!$P$132)*LN(10)/10),0)+LN(1+EXP(-ABS((LN(10^(逐级计算!$Q$132/10)-1)+逐级计算!$Q$132*(EB33-逐级计算!$P$132)*LN(10)/10))))))),"")</f>
        <v>13.7930374711066</v>
      </c>
      <c r="ED33">
        <f>IF(AND(ISNUMBER(EC33),逐级计算!$X$133&gt;-1),IF(逐级计算!$X$133=0,EC33+逐级计算!$C$133,EC33+逐级计算!$C$133-(10/(逐级计算!$Q$133*LN(10))*(MAX((LN(10^(逐级计算!$Q$133/10)-1)+逐级计算!$Q$133*(EC33-逐级计算!$P$133)*LN(10)/10),0)+LN(1+EXP(-ABS((LN(10^(逐级计算!$Q$133/10)-1)+逐级计算!$Q$133*(EC33-逐级计算!$P$133)*LN(10)/10))))))),"")</f>
        <v>13.7930374711066</v>
      </c>
      <c r="EE33">
        <f>IF(AND(ISNUMBER(ED33),逐级计算!$X$134&gt;-1),IF(逐级计算!$X$134=0,ED33+逐级计算!$C$134,ED33+逐级计算!$C$134-(10/(逐级计算!$Q$134*LN(10))*(MAX((LN(10^(逐级计算!$Q$134/10)-1)+逐级计算!$Q$134*(ED33-逐级计算!$P$134)*LN(10)/10),0)+LN(1+EXP(-ABS((LN(10^(逐级计算!$Q$134/10)-1)+逐级计算!$Q$134*(ED33-逐级计算!$P$134)*LN(10)/10))))))),"")</f>
        <v>13.7930374711066</v>
      </c>
      <c r="EF33">
        <f>IF(AND(ISNUMBER(EE33),逐级计算!$X$135&gt;-1),IF(逐级计算!$X$135=0,EE33+逐级计算!$C$135,EE33+逐级计算!$C$135-(10/(逐级计算!$Q$135*LN(10))*(MAX((LN(10^(逐级计算!$Q$135/10)-1)+逐级计算!$Q$135*(EE33-逐级计算!$P$135)*LN(10)/10),0)+LN(1+EXP(-ABS((LN(10^(逐级计算!$Q$135/10)-1)+逐级计算!$Q$135*(EE33-逐级计算!$P$135)*LN(10)/10))))))),"")</f>
        <v>13.7930374711066</v>
      </c>
      <c r="EG33">
        <f>IF(AND(ISNUMBER(EF33),逐级计算!$X$136&gt;-1),IF(逐级计算!$X$136=0,EF33+逐级计算!$C$136,EF33+逐级计算!$C$136-(10/(逐级计算!$Q$136*LN(10))*(MAX((LN(10^(逐级计算!$Q$136/10)-1)+逐级计算!$Q$136*(EF33-逐级计算!$P$136)*LN(10)/10),0)+LN(1+EXP(-ABS((LN(10^(逐级计算!$Q$136/10)-1)+逐级计算!$Q$136*(EF33-逐级计算!$P$136)*LN(10)/10))))))),"")</f>
        <v>13.7930374711066</v>
      </c>
      <c r="EH33">
        <f>IF(AND(ISNUMBER(EG33),逐级计算!$X$137&gt;-1),IF(逐级计算!$X$137=0,EG33+逐级计算!$C$137,EG33+逐级计算!$C$137-(10/(逐级计算!$Q$137*LN(10))*(MAX((LN(10^(逐级计算!$Q$137/10)-1)+逐级计算!$Q$137*(EG33-逐级计算!$P$137)*LN(10)/10),0)+LN(1+EXP(-ABS((LN(10^(逐级计算!$Q$137/10)-1)+逐级计算!$Q$137*(EG33-逐级计算!$P$137)*LN(10)/10))))))),"")</f>
        <v>13.7930374711066</v>
      </c>
      <c r="EI33">
        <f>IF(AND(ISNUMBER(EH33),逐级计算!$X$138&gt;-1),IF(逐级计算!$X$138=0,EH33+逐级计算!$C$138,EH33+逐级计算!$C$138-(10/(逐级计算!$Q$138*LN(10))*(MAX((LN(10^(逐级计算!$Q$138/10)-1)+逐级计算!$Q$138*(EH33-逐级计算!$P$138)*LN(10)/10),0)+LN(1+EXP(-ABS((LN(10^(逐级计算!$Q$138/10)-1)+逐级计算!$Q$138*(EH33-逐级计算!$P$138)*LN(10)/10))))))),"")</f>
        <v>13.7930374711066</v>
      </c>
      <c r="EJ33">
        <f>IF(AND(ISNUMBER(EI33),逐级计算!$X$139&gt;-1),IF(逐级计算!$X$139=0,EI33+逐级计算!$C$139,EI33+逐级计算!$C$139-(10/(逐级计算!$Q$139*LN(10))*(MAX((LN(10^(逐级计算!$Q$139/10)-1)+逐级计算!$Q$139*(EI33-逐级计算!$P$139)*LN(10)/10),0)+LN(1+EXP(-ABS((LN(10^(逐级计算!$Q$139/10)-1)+逐级计算!$Q$139*(EI33-逐级计算!$P$139)*LN(10)/10))))))),"")</f>
        <v>13.7930374711066</v>
      </c>
      <c r="EK33">
        <f>IF(AND(ISNUMBER(EJ33),逐级计算!$X$140&gt;-1),IF(逐级计算!$X$140=0,EJ33+逐级计算!$C$140,EJ33+逐级计算!$C$140-(10/(逐级计算!$Q$140*LN(10))*(MAX((LN(10^(逐级计算!$Q$140/10)-1)+逐级计算!$Q$140*(EJ33-逐级计算!$P$140)*LN(10)/10),0)+LN(1+EXP(-ABS((LN(10^(逐级计算!$Q$140/10)-1)+逐级计算!$Q$140*(EJ33-逐级计算!$P$140)*LN(10)/10))))))),"")</f>
        <v>13.7930374711066</v>
      </c>
      <c r="EL33">
        <f>IF(AND(ISNUMBER(EK33),逐级计算!$X$141&gt;-1),IF(逐级计算!$X$141=0,EK33+逐级计算!$C$141,EK33+逐级计算!$C$141-(10/(逐级计算!$Q$141*LN(10))*(MAX((LN(10^(逐级计算!$Q$141/10)-1)+逐级计算!$Q$141*(EK33-逐级计算!$P$141)*LN(10)/10),0)+LN(1+EXP(-ABS((LN(10^(逐级计算!$Q$141/10)-1)+逐级计算!$Q$141*(EK33-逐级计算!$P$141)*LN(10)/10))))))),"")</f>
        <v>13.7930374711066</v>
      </c>
      <c r="EM33">
        <f>IF(AND(ISNUMBER(EL33),逐级计算!$X$142&gt;-1),IF(逐级计算!$X$142=0,EL33+逐级计算!$C$142,EL33+逐级计算!$C$142-(10/(逐级计算!$Q$142*LN(10))*(MAX((LN(10^(逐级计算!$Q$142/10)-1)+逐级计算!$Q$142*(EL33-逐级计算!$P$142)*LN(10)/10),0)+LN(1+EXP(-ABS((LN(10^(逐级计算!$Q$142/10)-1)+逐级计算!$Q$142*(EL33-逐级计算!$P$142)*LN(10)/10))))))),"")</f>
        <v>13.7930374711066</v>
      </c>
      <c r="EN33">
        <f>IF(AND(ISNUMBER(EM33),逐级计算!$X$143&gt;-1),IF(逐级计算!$X$143=0,EM33+逐级计算!$C$143,EM33+逐级计算!$C$143-(10/(逐级计算!$Q$143*LN(10))*(MAX((LN(10^(逐级计算!$Q$143/10)-1)+逐级计算!$Q$143*(EM33-逐级计算!$P$143)*LN(10)/10),0)+LN(1+EXP(-ABS((LN(10^(逐级计算!$Q$143/10)-1)+逐级计算!$Q$143*(EM33-逐级计算!$P$143)*LN(10)/10))))))),"")</f>
        <v>13.7930374711066</v>
      </c>
      <c r="EO33">
        <f>IF(AND(ISNUMBER(EN33),逐级计算!$X$144&gt;-1),IF(逐级计算!$X$144=0,EN33+逐级计算!$C$144,EN33+逐级计算!$C$144-(10/(逐级计算!$Q$144*LN(10))*(MAX((LN(10^(逐级计算!$Q$144/10)-1)+逐级计算!$Q$144*(EN33-逐级计算!$P$144)*LN(10)/10),0)+LN(1+EXP(-ABS((LN(10^(逐级计算!$Q$144/10)-1)+逐级计算!$Q$144*(EN33-逐级计算!$P$144)*LN(10)/10))))))),"")</f>
        <v>13.7930374711066</v>
      </c>
      <c r="EP33">
        <f>IF(AND(ISNUMBER(EO33),逐级计算!$X$145&gt;-1),IF(逐级计算!$X$145=0,EO33+逐级计算!$C$145,EO33+逐级计算!$C$145-(10/(逐级计算!$Q$145*LN(10))*(MAX((LN(10^(逐级计算!$Q$145/10)-1)+逐级计算!$Q$145*(EO33-逐级计算!$P$145)*LN(10)/10),0)+LN(1+EXP(-ABS((LN(10^(逐级计算!$Q$145/10)-1)+逐级计算!$Q$145*(EO33-逐级计算!$P$145)*LN(10)/10))))))),"")</f>
        <v>13.7930374711066</v>
      </c>
      <c r="EQ33">
        <f>IF(AND(ISNUMBER(EP33),逐级计算!$X$146&gt;-1),IF(逐级计算!$X$146=0,EP33+逐级计算!$C$146,EP33+逐级计算!$C$146-(10/(逐级计算!$Q$146*LN(10))*(MAX((LN(10^(逐级计算!$Q$146/10)-1)+逐级计算!$Q$146*(EP33-逐级计算!$P$146)*LN(10)/10),0)+LN(1+EXP(-ABS((LN(10^(逐级计算!$Q$146/10)-1)+逐级计算!$Q$146*(EP33-逐级计算!$P$146)*LN(10)/10))))))),"")</f>
        <v>13.7930374711066</v>
      </c>
      <c r="ER33">
        <f>IF(AND(ISNUMBER(EQ33),逐级计算!$X$147&gt;-1),IF(逐级计算!$X$147=0,EQ33+逐级计算!$C$147,EQ33+逐级计算!$C$147-(10/(逐级计算!$Q$147*LN(10))*(MAX((LN(10^(逐级计算!$Q$147/10)-1)+逐级计算!$Q$147*(EQ33-逐级计算!$P$147)*LN(10)/10),0)+LN(1+EXP(-ABS((LN(10^(逐级计算!$Q$147/10)-1)+逐级计算!$Q$147*(EQ33-逐级计算!$P$147)*LN(10)/10))))))),"")</f>
        <v>13.7930374711066</v>
      </c>
      <c r="ES33">
        <f>IF(AND(ISNUMBER(ER33),逐级计算!$X$148&gt;-1),IF(逐级计算!$X$148=0,ER33+逐级计算!$C$148,ER33+逐级计算!$C$148-(10/(逐级计算!$Q$148*LN(10))*(MAX((LN(10^(逐级计算!$Q$148/10)-1)+逐级计算!$Q$148*(ER33-逐级计算!$P$148)*LN(10)/10),0)+LN(1+EXP(-ABS((LN(10^(逐级计算!$Q$148/10)-1)+逐级计算!$Q$148*(ER33-逐级计算!$P$148)*LN(10)/10))))))),"")</f>
        <v>13.7930374711066</v>
      </c>
      <c r="ET33">
        <f>IF(AND(ISNUMBER(ES33),逐级计算!$X$149&gt;-1),IF(逐级计算!$X$149=0,ES33+逐级计算!$C$149,ES33+逐级计算!$C$149-(10/(逐级计算!$Q$149*LN(10))*(MAX((LN(10^(逐级计算!$Q$149/10)-1)+逐级计算!$Q$149*(ES33-逐级计算!$P$149)*LN(10)/10),0)+LN(1+EXP(-ABS((LN(10^(逐级计算!$Q$149/10)-1)+逐级计算!$Q$149*(ES33-逐级计算!$P$149)*LN(10)/10))))))),"")</f>
        <v>13.7930374711066</v>
      </c>
      <c r="EU33">
        <f>IF(AND(ISNUMBER(ET33),逐级计算!$X$150&gt;-1),IF(逐级计算!$X$150=0,ET33+逐级计算!$C$150,ET33+逐级计算!$C$150-(10/(逐级计算!$Q$150*LN(10))*(MAX((LN(10^(逐级计算!$Q$150/10)-1)+逐级计算!$Q$150*(ET33-逐级计算!$P$150)*LN(10)/10),0)+LN(1+EXP(-ABS((LN(10^(逐级计算!$Q$150/10)-1)+逐级计算!$Q$150*(ET33-逐级计算!$P$150)*LN(10)/10))))))),"")</f>
        <v>13.7930374711066</v>
      </c>
      <c r="EV33">
        <f>IF(AND(ISNUMBER(EU33),逐级计算!$X$151&gt;-1),IF(逐级计算!$X$151=0,EU33+逐级计算!$C$151,EU33+逐级计算!$C$151-(10/(逐级计算!$Q$151*LN(10))*(MAX((LN(10^(逐级计算!$Q$151/10)-1)+逐级计算!$Q$151*(EU33-逐级计算!$P$151)*LN(10)/10),0)+LN(1+EXP(-ABS((LN(10^(逐级计算!$Q$151/10)-1)+逐级计算!$Q$151*(EU33-逐级计算!$P$151)*LN(10)/10))))))),"")</f>
        <v>13.7930374711066</v>
      </c>
      <c r="EW33">
        <f>IF(AND(ISNUMBER(EV33),逐级计算!$X$152&gt;-1),IF(逐级计算!$X$152=0,EV33+逐级计算!$C$152,EV33+逐级计算!$C$152-(10/(逐级计算!$Q$152*LN(10))*(MAX((LN(10^(逐级计算!$Q$152/10)-1)+逐级计算!$Q$152*(EV33-逐级计算!$P$152)*LN(10)/10),0)+LN(1+EXP(-ABS((LN(10^(逐级计算!$Q$152/10)-1)+逐级计算!$Q$152*(EV33-逐级计算!$P$152)*LN(10)/10))))))),"")</f>
        <v>13.7930374711066</v>
      </c>
      <c r="EX33">
        <f>IF(AND(ISNUMBER(EW33),逐级计算!$X$153&gt;-1),IF(逐级计算!$X$153=0,EW33+逐级计算!$C$153,EW33+逐级计算!$C$153-(10/(逐级计算!$Q$153*LN(10))*(MAX((LN(10^(逐级计算!$Q$153/10)-1)+逐级计算!$Q$153*(EW33-逐级计算!$P$153)*LN(10)/10),0)+LN(1+EXP(-ABS((LN(10^(逐级计算!$Q$153/10)-1)+逐级计算!$Q$153*(EW33-逐级计算!$P$153)*LN(10)/10))))))),"")</f>
        <v>13.7930374711066</v>
      </c>
      <c r="EY33">
        <f>IF(AND(ISNUMBER(EX33),逐级计算!$X$154&gt;-1),IF(逐级计算!$X$154=0,EX33+逐级计算!$C$154,EX33+逐级计算!$C$154-(10/(逐级计算!$Q$154*LN(10))*(MAX((LN(10^(逐级计算!$Q$154/10)-1)+逐级计算!$Q$154*(EX33-逐级计算!$P$154)*LN(10)/10),0)+LN(1+EXP(-ABS((LN(10^(逐级计算!$Q$154/10)-1)+逐级计算!$Q$154*(EX33-逐级计算!$P$154)*LN(10)/10))))))),"")</f>
        <v>13.7930374711066</v>
      </c>
      <c r="EZ33">
        <f>IF(AND(ISNUMBER(EY33),逐级计算!$X$155&gt;-1),IF(逐级计算!$X$155=0,EY33+逐级计算!$C$155,EY33+逐级计算!$C$155-(10/(逐级计算!$Q$155*LN(10))*(MAX((LN(10^(逐级计算!$Q$155/10)-1)+逐级计算!$Q$155*(EY33-逐级计算!$P$155)*LN(10)/10),0)+LN(1+EXP(-ABS((LN(10^(逐级计算!$Q$155/10)-1)+逐级计算!$Q$155*(EY33-逐级计算!$P$155)*LN(10)/10))))))),"")</f>
        <v>13.7930374711066</v>
      </c>
      <c r="FA33">
        <f>IF(AND(ISNUMBER(EZ33),逐级计算!$X$156&gt;-1),IF(逐级计算!$X$156=0,EZ33+逐级计算!$C$156,EZ33+逐级计算!$C$156-(10/(逐级计算!$Q$156*LN(10))*(MAX((LN(10^(逐级计算!$Q$156/10)-1)+逐级计算!$Q$156*(EZ33-逐级计算!$P$156)*LN(10)/10),0)+LN(1+EXP(-ABS((LN(10^(逐级计算!$Q$156/10)-1)+逐级计算!$Q$156*(EZ33-逐级计算!$P$156)*LN(10)/10))))))),"")</f>
        <v>13.7930374711066</v>
      </c>
      <c r="FB33">
        <f>IF(AND(ISNUMBER(FA33),逐级计算!$X$157&gt;-1),IF(逐级计算!$X$157=0,FA33+逐级计算!$C$157,FA33+逐级计算!$C$157-(10/(逐级计算!$Q$157*LN(10))*(MAX((LN(10^(逐级计算!$Q$157/10)-1)+逐级计算!$Q$157*(FA33-逐级计算!$P$157)*LN(10)/10),0)+LN(1+EXP(-ABS((LN(10^(逐级计算!$Q$157/10)-1)+逐级计算!$Q$157*(FA33-逐级计算!$P$157)*LN(10)/10))))))),"")</f>
        <v>13.7930374711066</v>
      </c>
      <c r="FC33">
        <f>IF(AND(ISNUMBER(FB33),逐级计算!$X$158&gt;-1),IF(逐级计算!$X$158=0,FB33+逐级计算!$C$158,FB33+逐级计算!$C$158-(10/(逐级计算!$Q$158*LN(10))*(MAX((LN(10^(逐级计算!$Q$158/10)-1)+逐级计算!$Q$158*(FB33-逐级计算!$P$158)*LN(10)/10),0)+LN(1+EXP(-ABS((LN(10^(逐级计算!$Q$158/10)-1)+逐级计算!$Q$158*(FB33-逐级计算!$P$158)*LN(10)/10))))))),"")</f>
        <v>13.7930374711066</v>
      </c>
      <c r="FD33">
        <f>IF(AND(ISNUMBER(FC33),逐级计算!$X$159&gt;-1),IF(逐级计算!$X$159=0,FC33+逐级计算!$C$159,FC33+逐级计算!$C$159-(10/(逐级计算!$Q$159*LN(10))*(MAX((LN(10^(逐级计算!$Q$159/10)-1)+逐级计算!$Q$159*(FC33-逐级计算!$P$159)*LN(10)/10),0)+LN(1+EXP(-ABS((LN(10^(逐级计算!$Q$159/10)-1)+逐级计算!$Q$159*(FC33-逐级计算!$P$159)*LN(10)/10))))))),"")</f>
        <v>13.7930374711066</v>
      </c>
      <c r="FE33">
        <f>IF(AND(ISNUMBER(FD33),逐级计算!$X$160&gt;-1),IF(逐级计算!$X$160=0,FD33+逐级计算!$C$160,FD33+逐级计算!$C$160-(10/(逐级计算!$Q$160*LN(10))*(MAX((LN(10^(逐级计算!$Q$160/10)-1)+逐级计算!$Q$160*(FD33-逐级计算!$P$160)*LN(10)/10),0)+LN(1+EXP(-ABS((LN(10^(逐级计算!$Q$160/10)-1)+逐级计算!$Q$160*(FD33-逐级计算!$P$160)*LN(10)/10))))))),"")</f>
        <v>13.7930374711066</v>
      </c>
      <c r="FF33">
        <f>IF(AND(ISNUMBER(FE33),逐级计算!$X$161&gt;-1),IF(逐级计算!$X$161=0,FE33+逐级计算!$C$161,FE33+逐级计算!$C$161-(10/(逐级计算!$Q$161*LN(10))*(MAX((LN(10^(逐级计算!$Q$161/10)-1)+逐级计算!$Q$161*(FE33-逐级计算!$P$161)*LN(10)/10),0)+LN(1+EXP(-ABS((LN(10^(逐级计算!$Q$161/10)-1)+逐级计算!$Q$161*(FE33-逐级计算!$P$161)*LN(10)/10))))))),"")</f>
        <v>13.7930374711066</v>
      </c>
      <c r="FG33">
        <f>IF(AND(ISNUMBER(FF33),逐级计算!$X$162&gt;-1),IF(逐级计算!$X$162=0,FF33+逐级计算!$C$162,FF33+逐级计算!$C$162-(10/(逐级计算!$Q$162*LN(10))*(MAX((LN(10^(逐级计算!$Q$162/10)-1)+逐级计算!$Q$162*(FF33-逐级计算!$P$162)*LN(10)/10),0)+LN(1+EXP(-ABS((LN(10^(逐级计算!$Q$162/10)-1)+逐级计算!$Q$162*(FF33-逐级计算!$P$162)*LN(10)/10))))))),"")</f>
        <v>13.7930374711066</v>
      </c>
      <c r="FH33">
        <f>IF(AND(ISNUMBER(FG33),逐级计算!$X$163&gt;-1),IF(逐级计算!$X$163=0,FG33+逐级计算!$C$163,FG33+逐级计算!$C$163-(10/(逐级计算!$Q$163*LN(10))*(MAX((LN(10^(逐级计算!$Q$163/10)-1)+逐级计算!$Q$163*(FG33-逐级计算!$P$163)*LN(10)/10),0)+LN(1+EXP(-ABS((LN(10^(逐级计算!$Q$163/10)-1)+逐级计算!$Q$163*(FG33-逐级计算!$P$163)*LN(10)/10))))))),"")</f>
        <v>13.7930374711066</v>
      </c>
      <c r="FI33">
        <f>IF(AND(ISNUMBER(FH33),逐级计算!$X$164&gt;-1),IF(逐级计算!$X$164=0,FH33+逐级计算!$C$164,FH33+逐级计算!$C$164-(10/(逐级计算!$Q$164*LN(10))*(MAX((LN(10^(逐级计算!$Q$164/10)-1)+逐级计算!$Q$164*(FH33-逐级计算!$P$164)*LN(10)/10),0)+LN(1+EXP(-ABS((LN(10^(逐级计算!$Q$164/10)-1)+逐级计算!$Q$164*(FH33-逐级计算!$P$164)*LN(10)/10))))))),"")</f>
        <v>13.7930374711066</v>
      </c>
      <c r="FJ33">
        <f>IF(AND(ISNUMBER(FI33),逐级计算!$X$165&gt;-1),IF(逐级计算!$X$165=0,FI33+逐级计算!$C$165,FI33+逐级计算!$C$165-(10/(逐级计算!$Q$165*LN(10))*(MAX((LN(10^(逐级计算!$Q$165/10)-1)+逐级计算!$Q$165*(FI33-逐级计算!$P$165)*LN(10)/10),0)+LN(1+EXP(-ABS((LN(10^(逐级计算!$Q$165/10)-1)+逐级计算!$Q$165*(FI33-逐级计算!$P$165)*LN(10)/10))))))),"")</f>
        <v>13.7930374711066</v>
      </c>
      <c r="FK33">
        <f>IF(AND(ISNUMBER(FJ33),逐级计算!$X$166&gt;-1),IF(逐级计算!$X$166=0,FJ33+逐级计算!$C$166,FJ33+逐级计算!$C$166-(10/(逐级计算!$Q$166*LN(10))*(MAX((LN(10^(逐级计算!$Q$166/10)-1)+逐级计算!$Q$166*(FJ33-逐级计算!$P$166)*LN(10)/10),0)+LN(1+EXP(-ABS((LN(10^(逐级计算!$Q$166/10)-1)+逐级计算!$Q$166*(FJ33-逐级计算!$P$166)*LN(10)/10))))))),"")</f>
        <v>13.7930374711066</v>
      </c>
      <c r="FL33">
        <f>IF(AND(ISNUMBER(FK33),逐级计算!$X$167&gt;-1),IF(逐级计算!$X$167=0,FK33+逐级计算!$C$167,FK33+逐级计算!$C$167-(10/(逐级计算!$Q$167*LN(10))*(MAX((LN(10^(逐级计算!$Q$167/10)-1)+逐级计算!$Q$167*(FK33-逐级计算!$P$167)*LN(10)/10),0)+LN(1+EXP(-ABS((LN(10^(逐级计算!$Q$167/10)-1)+逐级计算!$Q$167*(FK33-逐级计算!$P$167)*LN(10)/10))))))),"")</f>
        <v>13.7930374711066</v>
      </c>
      <c r="FM33">
        <f>IF(AND(ISNUMBER(FL33),逐级计算!$X$168&gt;-1),IF(逐级计算!$X$168=0,FL33+逐级计算!$C$168,FL33+逐级计算!$C$168-(10/(逐级计算!$Q$168*LN(10))*(MAX((LN(10^(逐级计算!$Q$168/10)-1)+逐级计算!$Q$168*(FL33-逐级计算!$P$168)*LN(10)/10),0)+LN(1+EXP(-ABS((LN(10^(逐级计算!$Q$168/10)-1)+逐级计算!$Q$168*(FL33-逐级计算!$P$168)*LN(10)/10))))))),"")</f>
        <v>13.7930374711066</v>
      </c>
      <c r="FN33">
        <f>IF(AND(ISNUMBER(FM33),逐级计算!$X$169&gt;-1),IF(逐级计算!$X$169=0,FM33+逐级计算!$C$169,FM33+逐级计算!$C$169-(10/(逐级计算!$Q$169*LN(10))*(MAX((LN(10^(逐级计算!$Q$169/10)-1)+逐级计算!$Q$169*(FM33-逐级计算!$P$169)*LN(10)/10),0)+LN(1+EXP(-ABS((LN(10^(逐级计算!$Q$169/10)-1)+逐级计算!$Q$169*(FM33-逐级计算!$P$169)*LN(10)/10))))))),"")</f>
        <v>13.7930374711066</v>
      </c>
      <c r="FO33">
        <f>IF(AND(ISNUMBER(FN33),逐级计算!$X$170&gt;-1),IF(逐级计算!$X$170=0,FN33+逐级计算!$C$170,FN33+逐级计算!$C$170-(10/(逐级计算!$Q$170*LN(10))*(MAX((LN(10^(逐级计算!$Q$170/10)-1)+逐级计算!$Q$170*(FN33-逐级计算!$P$170)*LN(10)/10),0)+LN(1+EXP(-ABS((LN(10^(逐级计算!$Q$170/10)-1)+逐级计算!$Q$170*(FN33-逐级计算!$P$170)*LN(10)/10))))))),"")</f>
        <v>13.7930374711066</v>
      </c>
      <c r="FP33">
        <f>IF(AND(ISNUMBER(FO33),逐级计算!$X$171&gt;-1),IF(逐级计算!$X$171=0,FO33+逐级计算!$C$171,FO33+逐级计算!$C$171-(10/(逐级计算!$Q$171*LN(10))*(MAX((LN(10^(逐级计算!$Q$171/10)-1)+逐级计算!$Q$171*(FO33-逐级计算!$P$171)*LN(10)/10),0)+LN(1+EXP(-ABS((LN(10^(逐级计算!$Q$171/10)-1)+逐级计算!$Q$171*(FO33-逐级计算!$P$171)*LN(10)/10))))))),"")</f>
        <v>13.7930374711066</v>
      </c>
      <c r="FQ33">
        <f>IF(AND(ISNUMBER(FP33),逐级计算!$X$172&gt;-1),IF(逐级计算!$X$172=0,FP33+逐级计算!$C$172,FP33+逐级计算!$C$172-(10/(逐级计算!$Q$172*LN(10))*(MAX((LN(10^(逐级计算!$Q$172/10)-1)+逐级计算!$Q$172*(FP33-逐级计算!$P$172)*LN(10)/10),0)+LN(1+EXP(-ABS((LN(10^(逐级计算!$Q$172/10)-1)+逐级计算!$Q$172*(FP33-逐级计算!$P$172)*LN(10)/10))))))),"")</f>
        <v>13.7930374711066</v>
      </c>
      <c r="FR33">
        <f>IF(AND(ISNUMBER(FQ33),逐级计算!$X$173&gt;-1),IF(逐级计算!$X$173=0,FQ33+逐级计算!$C$173,FQ33+逐级计算!$C$173-(10/(逐级计算!$Q$173*LN(10))*(MAX((LN(10^(逐级计算!$Q$173/10)-1)+逐级计算!$Q$173*(FQ33-逐级计算!$P$173)*LN(10)/10),0)+LN(1+EXP(-ABS((LN(10^(逐级计算!$Q$173/10)-1)+逐级计算!$Q$173*(FQ33-逐级计算!$P$173)*LN(10)/10))))))),"")</f>
        <v>13.7930374711066</v>
      </c>
      <c r="FS33">
        <f>IF(AND(ISNUMBER(FR33),逐级计算!$X$174&gt;-1),IF(逐级计算!$X$174=0,FR33+逐级计算!$C$174,FR33+逐级计算!$C$174-(10/(逐级计算!$Q$174*LN(10))*(MAX((LN(10^(逐级计算!$Q$174/10)-1)+逐级计算!$Q$174*(FR33-逐级计算!$P$174)*LN(10)/10),0)+LN(1+EXP(-ABS((LN(10^(逐级计算!$Q$174/10)-1)+逐级计算!$Q$174*(FR33-逐级计算!$P$174)*LN(10)/10))))))),"")</f>
        <v>13.7930374711066</v>
      </c>
      <c r="FT33">
        <f>IF(AND(ISNUMBER(FS33),逐级计算!$X$175&gt;-1),IF(逐级计算!$X$175=0,FS33+逐级计算!$C$175,FS33+逐级计算!$C$175-(10/(逐级计算!$Q$175*LN(10))*(MAX((LN(10^(逐级计算!$Q$175/10)-1)+逐级计算!$Q$175*(FS33-逐级计算!$P$175)*LN(10)/10),0)+LN(1+EXP(-ABS((LN(10^(逐级计算!$Q$175/10)-1)+逐级计算!$Q$175*(FS33-逐级计算!$P$175)*LN(10)/10))))))),"")</f>
        <v>13.7930374711066</v>
      </c>
      <c r="FU33">
        <f>IF(AND(ISNUMBER(FT33),逐级计算!$X$176&gt;-1),IF(逐级计算!$X$176=0,FT33+逐级计算!$C$176,FT33+逐级计算!$C$176-(10/(逐级计算!$Q$176*LN(10))*(MAX((LN(10^(逐级计算!$Q$176/10)-1)+逐级计算!$Q$176*(FT33-逐级计算!$P$176)*LN(10)/10),0)+LN(1+EXP(-ABS((LN(10^(逐级计算!$Q$176/10)-1)+逐级计算!$Q$176*(FT33-逐级计算!$P$176)*LN(10)/10))))))),"")</f>
        <v>13.7930374711066</v>
      </c>
      <c r="FV33">
        <f>IF(AND(ISNUMBER(FU33),逐级计算!$X$177&gt;-1),IF(逐级计算!$X$177=0,FU33+逐级计算!$C$177,FU33+逐级计算!$C$177-(10/(逐级计算!$Q$177*LN(10))*(MAX((LN(10^(逐级计算!$Q$177/10)-1)+逐级计算!$Q$177*(FU33-逐级计算!$P$177)*LN(10)/10),0)+LN(1+EXP(-ABS((LN(10^(逐级计算!$Q$177/10)-1)+逐级计算!$Q$177*(FU33-逐级计算!$P$177)*LN(10)/10))))))),"")</f>
        <v>13.7930374711066</v>
      </c>
      <c r="FW33">
        <f>IF(AND(ISNUMBER(FV33),逐级计算!$X$178&gt;-1),IF(逐级计算!$X$178=0,FV33+逐级计算!$C$178,FV33+逐级计算!$C$178-(10/(逐级计算!$Q$178*LN(10))*(MAX((LN(10^(逐级计算!$Q$178/10)-1)+逐级计算!$Q$178*(FV33-逐级计算!$P$178)*LN(10)/10),0)+LN(1+EXP(-ABS((LN(10^(逐级计算!$Q$178/10)-1)+逐级计算!$Q$178*(FV33-逐级计算!$P$178)*LN(10)/10))))))),"")</f>
        <v>13.7930374711066</v>
      </c>
      <c r="FX33">
        <f>IF(AND(ISNUMBER(FW33),逐级计算!$X$179&gt;-1),IF(逐级计算!$X$179=0,FW33+逐级计算!$C$179,FW33+逐级计算!$C$179-(10/(逐级计算!$Q$179*LN(10))*(MAX((LN(10^(逐级计算!$Q$179/10)-1)+逐级计算!$Q$179*(FW33-逐级计算!$P$179)*LN(10)/10),0)+LN(1+EXP(-ABS((LN(10^(逐级计算!$Q$179/10)-1)+逐级计算!$Q$179*(FW33-逐级计算!$P$179)*LN(10)/10))))))),"")</f>
        <v>13.7930374711066</v>
      </c>
      <c r="FY33">
        <f>IF(AND(ISNUMBER(FX33),逐级计算!$X$180&gt;-1),IF(逐级计算!$X$180=0,FX33+逐级计算!$C$180,FX33+逐级计算!$C$180-(10/(逐级计算!$Q$180*LN(10))*(MAX((LN(10^(逐级计算!$Q$180/10)-1)+逐级计算!$Q$180*(FX33-逐级计算!$P$180)*LN(10)/10),0)+LN(1+EXP(-ABS((LN(10^(逐级计算!$Q$180/10)-1)+逐级计算!$Q$180*(FX33-逐级计算!$P$180)*LN(10)/10))))))),"")</f>
        <v>13.7930374711066</v>
      </c>
      <c r="FZ33">
        <f>IF(AND(ISNUMBER(FY33),逐级计算!$X$181&gt;-1),IF(逐级计算!$X$181=0,FY33+逐级计算!$C$181,FY33+逐级计算!$C$181-(10/(逐级计算!$Q$181*LN(10))*(MAX((LN(10^(逐级计算!$Q$181/10)-1)+逐级计算!$Q$181*(FY33-逐级计算!$P$181)*LN(10)/10),0)+LN(1+EXP(-ABS((LN(10^(逐级计算!$Q$181/10)-1)+逐级计算!$Q$181*(FY33-逐级计算!$P$181)*LN(10)/10))))))),"")</f>
        <v>13.7930374711066</v>
      </c>
      <c r="GA33">
        <f>IF(AND(ISNUMBER(FZ33),逐级计算!$X$182&gt;-1),IF(逐级计算!$X$182=0,FZ33+逐级计算!$C$182,FZ33+逐级计算!$C$182-(10/(逐级计算!$Q$182*LN(10))*(MAX((LN(10^(逐级计算!$Q$182/10)-1)+逐级计算!$Q$182*(FZ33-逐级计算!$P$182)*LN(10)/10),0)+LN(1+EXP(-ABS((LN(10^(逐级计算!$Q$182/10)-1)+逐级计算!$Q$182*(FZ33-逐级计算!$P$182)*LN(10)/10))))))),"")</f>
        <v>13.7930374711066</v>
      </c>
      <c r="GB33">
        <f>IF(AND(ISNUMBER(GA33),逐级计算!$X$183&gt;-1),IF(逐级计算!$X$183=0,GA33+逐级计算!$C$183,GA33+逐级计算!$C$183-(10/(逐级计算!$Q$183*LN(10))*(MAX((LN(10^(逐级计算!$Q$183/10)-1)+逐级计算!$Q$183*(GA33-逐级计算!$P$183)*LN(10)/10),0)+LN(1+EXP(-ABS((LN(10^(逐级计算!$Q$183/10)-1)+逐级计算!$Q$183*(GA33-逐级计算!$P$183)*LN(10)/10))))))),"")</f>
        <v>13.7930374711066</v>
      </c>
      <c r="GC33">
        <f>IF(AND(ISNUMBER(GB33),逐级计算!$X$184&gt;-1),IF(逐级计算!$X$184=0,GB33+逐级计算!$C$184,GB33+逐级计算!$C$184-(10/(逐级计算!$Q$184*LN(10))*(MAX((LN(10^(逐级计算!$Q$184/10)-1)+逐级计算!$Q$184*(GB33-逐级计算!$P$184)*LN(10)/10),0)+LN(1+EXP(-ABS((LN(10^(逐级计算!$Q$184/10)-1)+逐级计算!$Q$184*(GB33-逐级计算!$P$184)*LN(10)/10))))))),"")</f>
        <v>13.7930374711066</v>
      </c>
      <c r="GD33">
        <f>IF(AND(ISNUMBER(GC33),逐级计算!$X$185&gt;-1),IF(逐级计算!$X$185=0,GC33+逐级计算!$C$185,GC33+逐级计算!$C$185-(10/(逐级计算!$Q$185*LN(10))*(MAX((LN(10^(逐级计算!$Q$185/10)-1)+逐级计算!$Q$185*(GC33-逐级计算!$P$185)*LN(10)/10),0)+LN(1+EXP(-ABS((LN(10^(逐级计算!$Q$185/10)-1)+逐级计算!$Q$185*(GC33-逐级计算!$P$185)*LN(10)/10))))))),"")</f>
        <v>13.7930374711066</v>
      </c>
      <c r="GE33">
        <f>IF(AND(ISNUMBER(GD33),逐级计算!$X$186&gt;-1),IF(逐级计算!$X$186=0,GD33+逐级计算!$C$186,GD33+逐级计算!$C$186-(10/(逐级计算!$Q$186*LN(10))*(MAX((LN(10^(逐级计算!$Q$186/10)-1)+逐级计算!$Q$186*(GD33-逐级计算!$P$186)*LN(10)/10),0)+LN(1+EXP(-ABS((LN(10^(逐级计算!$Q$186/10)-1)+逐级计算!$Q$186*(GD33-逐级计算!$P$186)*LN(10)/10))))))),"")</f>
        <v>13.7930374711066</v>
      </c>
      <c r="GF33">
        <f>IF(AND(ISNUMBER(GE33),逐级计算!$X$187&gt;-1),IF(逐级计算!$X$187=0,GE33+逐级计算!$C$187,GE33+逐级计算!$C$187-(10/(逐级计算!$Q$187*LN(10))*(MAX((LN(10^(逐级计算!$Q$187/10)-1)+逐级计算!$Q$187*(GE33-逐级计算!$P$187)*LN(10)/10),0)+LN(1+EXP(-ABS((LN(10^(逐级计算!$Q$187/10)-1)+逐级计算!$Q$187*(GE33-逐级计算!$P$187)*LN(10)/10))))))),"")</f>
        <v>13.7930374711066</v>
      </c>
      <c r="GG33">
        <f>IF(AND(ISNUMBER(GF33),逐级计算!$X$188&gt;-1),IF(逐级计算!$X$188=0,GF33+逐级计算!$C$188,GF33+逐级计算!$C$188-(10/(逐级计算!$Q$188*LN(10))*(MAX((LN(10^(逐级计算!$Q$188/10)-1)+逐级计算!$Q$188*(GF33-逐级计算!$P$188)*LN(10)/10),0)+LN(1+EXP(-ABS((LN(10^(逐级计算!$Q$188/10)-1)+逐级计算!$Q$188*(GF33-逐级计算!$P$188)*LN(10)/10))))))),"")</f>
        <v>13.7930374711066</v>
      </c>
      <c r="GH33">
        <f>IF(AND(ISNUMBER(GG33),逐级计算!$X$189&gt;-1),IF(逐级计算!$X$189=0,GG33+逐级计算!$C$189,GG33+逐级计算!$C$189-(10/(逐级计算!$Q$189*LN(10))*(MAX((LN(10^(逐级计算!$Q$189/10)-1)+逐级计算!$Q$189*(GG33-逐级计算!$P$189)*LN(10)/10),0)+LN(1+EXP(-ABS((LN(10^(逐级计算!$Q$189/10)-1)+逐级计算!$Q$189*(GG33-逐级计算!$P$189)*LN(10)/10))))))),"")</f>
        <v>13.7930374711066</v>
      </c>
      <c r="GI33">
        <f>IF(AND(ISNUMBER(GH33),逐级计算!$X$190&gt;-1),IF(逐级计算!$X$190=0,GH33+逐级计算!$C$190,GH33+逐级计算!$C$190-(10/(逐级计算!$Q$190*LN(10))*(MAX((LN(10^(逐级计算!$Q$190/10)-1)+逐级计算!$Q$190*(GH33-逐级计算!$P$190)*LN(10)/10),0)+LN(1+EXP(-ABS((LN(10^(逐级计算!$Q$190/10)-1)+逐级计算!$Q$190*(GH33-逐级计算!$P$190)*LN(10)/10))))))),"")</f>
        <v>13.7930374711066</v>
      </c>
      <c r="GJ33">
        <f>IF(AND(ISNUMBER(GI33),逐级计算!$X$191&gt;-1),IF(逐级计算!$X$191=0,GI33+逐级计算!$C$191,GI33+逐级计算!$C$191-(10/(逐级计算!$Q$191*LN(10))*(MAX((LN(10^(逐级计算!$Q$191/10)-1)+逐级计算!$Q$191*(GI33-逐级计算!$P$191)*LN(10)/10),0)+LN(1+EXP(-ABS((LN(10^(逐级计算!$Q$191/10)-1)+逐级计算!$Q$191*(GI33-逐级计算!$P$191)*LN(10)/10))))))),"")</f>
        <v>13.7930374711066</v>
      </c>
      <c r="GK33">
        <f>IF(AND(ISNUMBER(GJ33),逐级计算!$X$192&gt;-1),IF(逐级计算!$X$192=0,GJ33+逐级计算!$C$192,GJ33+逐级计算!$C$192-(10/(逐级计算!$Q$192*LN(10))*(MAX((LN(10^(逐级计算!$Q$192/10)-1)+逐级计算!$Q$192*(GJ33-逐级计算!$P$192)*LN(10)/10),0)+LN(1+EXP(-ABS((LN(10^(逐级计算!$Q$192/10)-1)+逐级计算!$Q$192*(GJ33-逐级计算!$P$192)*LN(10)/10))))))),"")</f>
        <v>13.7930374711066</v>
      </c>
      <c r="GL33">
        <f>IF(AND(ISNUMBER(GK33),逐级计算!$X$193&gt;-1),IF(逐级计算!$X$193=0,GK33+逐级计算!$C$193,GK33+逐级计算!$C$193-(10/(逐级计算!$Q$193*LN(10))*(MAX((LN(10^(逐级计算!$Q$193/10)-1)+逐级计算!$Q$193*(GK33-逐级计算!$P$193)*LN(10)/10),0)+LN(1+EXP(-ABS((LN(10^(逐级计算!$Q$193/10)-1)+逐级计算!$Q$193*(GK33-逐级计算!$P$193)*LN(10)/10))))))),"")</f>
        <v>13.7930374711066</v>
      </c>
      <c r="GM33">
        <f>IF(AND(ISNUMBER(GL33),逐级计算!$X$194&gt;-1),IF(逐级计算!$X$194=0,GL33+逐级计算!$C$194,GL33+逐级计算!$C$194-(10/(逐级计算!$Q$194*LN(10))*(MAX((LN(10^(逐级计算!$Q$194/10)-1)+逐级计算!$Q$194*(GL33-逐级计算!$P$194)*LN(10)/10),0)+LN(1+EXP(-ABS((LN(10^(逐级计算!$Q$194/10)-1)+逐级计算!$Q$194*(GL33-逐级计算!$P$194)*LN(10)/10))))))),"")</f>
        <v>13.7930374711066</v>
      </c>
      <c r="GN33">
        <f>IF(AND(ISNUMBER(GM33),逐级计算!$X$195&gt;-1),IF(逐级计算!$X$195=0,GM33+逐级计算!$C$195,GM33+逐级计算!$C$195-(10/(逐级计算!$Q$195*LN(10))*(MAX((LN(10^(逐级计算!$Q$195/10)-1)+逐级计算!$Q$195*(GM33-逐级计算!$P$195)*LN(10)/10),0)+LN(1+EXP(-ABS((LN(10^(逐级计算!$Q$195/10)-1)+逐级计算!$Q$195*(GM33-逐级计算!$P$195)*LN(10)/10))))))),"")</f>
        <v>13.7930374711066</v>
      </c>
      <c r="GO33">
        <f>IF(AND(ISNUMBER(GN33),逐级计算!$X$196&gt;-1),IF(逐级计算!$X$196=0,GN33+逐级计算!$C$196,GN33+逐级计算!$C$196-(10/(逐级计算!$Q$196*LN(10))*(MAX((LN(10^(逐级计算!$Q$196/10)-1)+逐级计算!$Q$196*(GN33-逐级计算!$P$196)*LN(10)/10),0)+LN(1+EXP(-ABS((LN(10^(逐级计算!$Q$196/10)-1)+逐级计算!$Q$196*(GN33-逐级计算!$P$196)*LN(10)/10))))))),"")</f>
        <v>13.7930374711066</v>
      </c>
      <c r="GP33">
        <f>IF(AND(ISNUMBER(GO33),逐级计算!$X$197&gt;-1),IF(逐级计算!$X$197=0,GO33+逐级计算!$C$197,GO33+逐级计算!$C$197-(10/(逐级计算!$Q$197*LN(10))*(MAX((LN(10^(逐级计算!$Q$197/10)-1)+逐级计算!$Q$197*(GO33-逐级计算!$P$197)*LN(10)/10),0)+LN(1+EXP(-ABS((LN(10^(逐级计算!$Q$197/10)-1)+逐级计算!$Q$197*(GO33-逐级计算!$P$197)*LN(10)/10))))))),"")</f>
        <v>13.7930374711066</v>
      </c>
      <c r="GQ33">
        <f>IF(AND(ISNUMBER(GP33),逐级计算!$X$198&gt;-1),IF(逐级计算!$X$198=0,GP33+逐级计算!$C$198,GP33+逐级计算!$C$198-(10/(逐级计算!$Q$198*LN(10))*(MAX((LN(10^(逐级计算!$Q$198/10)-1)+逐级计算!$Q$198*(GP33-逐级计算!$P$198)*LN(10)/10),0)+LN(1+EXP(-ABS((LN(10^(逐级计算!$Q$198/10)-1)+逐级计算!$Q$198*(GP33-逐级计算!$P$198)*LN(10)/10))))))),"")</f>
        <v>13.7930374711066</v>
      </c>
      <c r="GR33">
        <f>IF(AND(ISNUMBER(GQ33),逐级计算!$X$199&gt;-1),IF(逐级计算!$X$199=0,GQ33+逐级计算!$C$199,GQ33+逐级计算!$C$199-(10/(逐级计算!$Q$199*LN(10))*(MAX((LN(10^(逐级计算!$Q$199/10)-1)+逐级计算!$Q$199*(GQ33-逐级计算!$P$199)*LN(10)/10),0)+LN(1+EXP(-ABS((LN(10^(逐级计算!$Q$199/10)-1)+逐级计算!$Q$199*(GQ33-逐级计算!$P$199)*LN(10)/10))))))),"")</f>
        <v>13.7930374711066</v>
      </c>
      <c r="GS33">
        <f>IF(AND(ISNUMBER(GR33),逐级计算!$X$200&gt;-1),IF(逐级计算!$X$200=0,GR33+逐级计算!$C$200,GR33+逐级计算!$C$200-(10/(逐级计算!$Q$200*LN(10))*(MAX((LN(10^(逐级计算!$Q$200/10)-1)+逐级计算!$Q$200*(GR33-逐级计算!$P$200)*LN(10)/10),0)+LN(1+EXP(-ABS((LN(10^(逐级计算!$Q$200/10)-1)+逐级计算!$Q$200*(GR33-逐级计算!$P$200)*LN(10)/10))))))),"")</f>
        <v>13.7930374711066</v>
      </c>
      <c r="GT33">
        <f>IF(AND(ISNUMBER(GS33),逐级计算!$X$201&gt;-1),IF(逐级计算!$X$201=0,GS33+逐级计算!$C$201,GS33+逐级计算!$C$201-(10/(逐级计算!$Q$201*LN(10))*(MAX((LN(10^(逐级计算!$Q$201/10)-1)+逐级计算!$Q$201*(GS33-逐级计算!$P$201)*LN(10)/10),0)+LN(1+EXP(-ABS((LN(10^(逐级计算!$Q$201/10)-1)+逐级计算!$Q$201*(GS33-逐级计算!$P$201)*LN(10)/10))))))),"")</f>
        <v>13.7930374711066</v>
      </c>
      <c r="GU33">
        <f>IF(AND(ISNUMBER(GT33),逐级计算!$X$202&gt;-1),IF(逐级计算!$X$202=0,GT33+逐级计算!$C$202,GT33+逐级计算!$C$202-(10/(逐级计算!$Q$202*LN(10))*(MAX((LN(10^(逐级计算!$Q$202/10)-1)+逐级计算!$Q$202*(GT33-逐级计算!$P$202)*LN(10)/10),0)+LN(1+EXP(-ABS((LN(10^(逐级计算!$Q$202/10)-1)+逐级计算!$Q$202*(GT33-逐级计算!$P$202)*LN(10)/10))))))),"")</f>
        <v>13.7930374711066</v>
      </c>
      <c r="GV33">
        <f>IF(AND(ISNUMBER(GU33),逐级计算!$X$203&gt;-1),IF(逐级计算!$X$203=0,GU33+逐级计算!$C$203,GU33+逐级计算!$C$203-(10/(逐级计算!$Q$203*LN(10))*(MAX((LN(10^(逐级计算!$Q$203/10)-1)+逐级计算!$Q$203*(GU33-逐级计算!$P$203)*LN(10)/10),0)+LN(1+EXP(-ABS((LN(10^(逐级计算!$Q$203/10)-1)+逐级计算!$Q$203*(GU33-逐级计算!$P$203)*LN(10)/10))))))),"")</f>
        <v>13.7930374711066</v>
      </c>
      <c r="GW33">
        <f t="shared" si="2"/>
        <v>-5.20696043968201</v>
      </c>
    </row>
    <row r="34" spans="1:205">
      <c r="A34">
        <v>27</v>
      </c>
      <c r="B34">
        <f t="shared" si="1"/>
        <v>-5.20696356892586</v>
      </c>
      <c r="C34">
        <f t="shared" si="0"/>
        <v>-5.20696278661489</v>
      </c>
      <c r="D34">
        <f>IF(AND(ISNUMBER(C34),ISNUMBER(逐级计算!$E$203),ISNUMBER(GV34)),C34+逐级计算!$E$203-GV34,"")</f>
        <v>1.00000023588331</v>
      </c>
      <c r="E34">
        <f>IF(AND(ISNUMBER(C34),逐级计算!$X$4&gt;-1),IF(逐级计算!$X$4=0,C34+逐级计算!$C$4,C34+逐级计算!$C$4-(10/(逐级计算!$Q$4*LN(10))*(MAX((LN(10^(逐级计算!$Q$4/10)-1)+逐级计算!$Q$4*(C34-逐级计算!$P$4)*LN(10)/10),0)+LN(1+EXP(-ABS((LN(10^(逐级计算!$Q$4/10)-1)+逐级计算!$Q$4*(C34-逐级计算!$P$4)*LN(10)/10))))))),"")</f>
        <v>4.68054043618887</v>
      </c>
      <c r="F34">
        <f>IF(AND(ISNUMBER(E34),逐级计算!$X$5&gt;-1),IF(逐级计算!$X$5=0,E34+逐级计算!$C$5,E34+逐级计算!$C$5-(10/(逐级计算!$Q$5*LN(10))*(MAX((LN(10^(逐级计算!$Q$5/10)-1)+逐级计算!$Q$5*(E34-逐级计算!$P$5)*LN(10)/10),0)+LN(1+EXP(-ABS((LN(10^(逐级计算!$Q$5/10)-1)+逐级计算!$Q$5*(E34-逐级计算!$P$5)*LN(10)/10))))))),"")</f>
        <v>13.7930369775018</v>
      </c>
      <c r="G34">
        <f>IF(AND(ISNUMBER(F34),逐级计算!$X$6&gt;-1),IF(逐级计算!$X$6=0,F34+逐级计算!$C$6,F34+逐级计算!$C$6-(10/(逐级计算!$Q$6*LN(10))*(MAX((LN(10^(逐级计算!$Q$6/10)-1)+逐级计算!$Q$6*(F34-逐级计算!$P$6)*LN(10)/10),0)+LN(1+EXP(-ABS((LN(10^(逐级计算!$Q$6/10)-1)+逐级计算!$Q$6*(F34-逐级计算!$P$6)*LN(10)/10))))))),"")</f>
        <v>13.7930369775018</v>
      </c>
      <c r="H34">
        <f>IF(AND(ISNUMBER(G34),逐级计算!$X$7&gt;-1),IF(逐级计算!$X$7=0,G34+逐级计算!$C$7,G34+逐级计算!$C$7-(10/(逐级计算!$Q$7*LN(10))*(MAX((LN(10^(逐级计算!$Q$7/10)-1)+逐级计算!$Q$7*(G34-逐级计算!$P$7)*LN(10)/10),0)+LN(1+EXP(-ABS((LN(10^(逐级计算!$Q$7/10)-1)+逐级计算!$Q$7*(G34-逐级计算!$P$7)*LN(10)/10))))))),"")</f>
        <v>13.7930369775018</v>
      </c>
      <c r="I34">
        <f>IF(AND(ISNUMBER(H34),逐级计算!$X$8&gt;-1),IF(逐级计算!$X$8=0,H34+逐级计算!$C$8,H34+逐级计算!$C$8-(10/(逐级计算!$Q$8*LN(10))*(MAX((LN(10^(逐级计算!$Q$8/10)-1)+逐级计算!$Q$8*(H34-逐级计算!$P$8)*LN(10)/10),0)+LN(1+EXP(-ABS((LN(10^(逐级计算!$Q$8/10)-1)+逐级计算!$Q$8*(H34-逐级计算!$P$8)*LN(10)/10))))))),"")</f>
        <v>13.7930369775018</v>
      </c>
      <c r="J34">
        <f>IF(AND(ISNUMBER(I34),逐级计算!$X$9&gt;-1),IF(逐级计算!$X$9=0,I34+逐级计算!$C$9,I34+逐级计算!$C$9-(10/(逐级计算!$Q$9*LN(10))*(MAX((LN(10^(逐级计算!$Q$9/10)-1)+逐级计算!$Q$9*(I34-逐级计算!$P$9)*LN(10)/10),0)+LN(1+EXP(-ABS((LN(10^(逐级计算!$Q$9/10)-1)+逐级计算!$Q$9*(I34-逐级计算!$P$9)*LN(10)/10))))))),"")</f>
        <v>13.7930369775018</v>
      </c>
      <c r="K34">
        <f>IF(AND(ISNUMBER(J34),逐级计算!$X$10&gt;-1),IF(逐级计算!$X$10=0,J34+逐级计算!$C$10,J34+逐级计算!$C$10-(10/(逐级计算!$Q$10*LN(10))*(MAX((LN(10^(逐级计算!$Q$10/10)-1)+逐级计算!$Q$10*(J34-逐级计算!$P$10)*LN(10)/10),0)+LN(1+EXP(-ABS((LN(10^(逐级计算!$Q$10/10)-1)+逐级计算!$Q$10*(J34-逐级计算!$P$10)*LN(10)/10))))))),"")</f>
        <v>13.7930369775018</v>
      </c>
      <c r="L34">
        <f>IF(AND(ISNUMBER(K34),逐级计算!$X$11&gt;-1),IF(逐级计算!$X$11=0,K34+逐级计算!$C$11,K34+逐级计算!$C$11-(10/(逐级计算!$Q$11*LN(10))*(MAX((LN(10^(逐级计算!$Q$11/10)-1)+逐级计算!$Q$11*(K34-逐级计算!$P$11)*LN(10)/10),0)+LN(1+EXP(-ABS((LN(10^(逐级计算!$Q$11/10)-1)+逐级计算!$Q$11*(K34-逐级计算!$P$11)*LN(10)/10))))))),"")</f>
        <v>13.7930369775018</v>
      </c>
      <c r="M34">
        <f>IF(AND(ISNUMBER(L34),逐级计算!$X$12&gt;-1),IF(逐级计算!$X$12=0,L34+逐级计算!$C$12,L34+逐级计算!$C$12-(10/(逐级计算!$Q$12*LN(10))*(MAX((LN(10^(逐级计算!$Q$12/10)-1)+逐级计算!$Q$12*(L34-逐级计算!$P$12)*LN(10)/10),0)+LN(1+EXP(-ABS((LN(10^(逐级计算!$Q$12/10)-1)+逐级计算!$Q$12*(L34-逐级计算!$P$12)*LN(10)/10))))))),"")</f>
        <v>13.7930369775018</v>
      </c>
      <c r="N34">
        <f>IF(AND(ISNUMBER(M34),逐级计算!$X$13&gt;-1),IF(逐级计算!$X$13=0,M34+逐级计算!$C$13,M34+逐级计算!$C$13-(10/(逐级计算!$Q$13*LN(10))*(MAX((LN(10^(逐级计算!$Q$13/10)-1)+逐级计算!$Q$13*(M34-逐级计算!$P$13)*LN(10)/10),0)+LN(1+EXP(-ABS((LN(10^(逐级计算!$Q$13/10)-1)+逐级计算!$Q$13*(M34-逐级计算!$P$13)*LN(10)/10))))))),"")</f>
        <v>13.7930369775018</v>
      </c>
      <c r="O34">
        <f>IF(AND(ISNUMBER(N34),逐级计算!$X$14&gt;-1),IF(逐级计算!$X$14=0,N34+逐级计算!$C$14,N34+逐级计算!$C$14-(10/(逐级计算!$Q$14*LN(10))*(MAX((LN(10^(逐级计算!$Q$14/10)-1)+逐级计算!$Q$14*(N34-逐级计算!$P$14)*LN(10)/10),0)+LN(1+EXP(-ABS((LN(10^(逐级计算!$Q$14/10)-1)+逐级计算!$Q$14*(N34-逐级计算!$P$14)*LN(10)/10))))))),"")</f>
        <v>13.7930369775018</v>
      </c>
      <c r="P34">
        <f>IF(AND(ISNUMBER(O34),逐级计算!$X$15&gt;-1),IF(逐级计算!$X$15=0,O34+逐级计算!$C$15,O34+逐级计算!$C$15-(10/(逐级计算!$Q$15*LN(10))*(MAX((LN(10^(逐级计算!$Q$15/10)-1)+逐级计算!$Q$15*(O34-逐级计算!$P$15)*LN(10)/10),0)+LN(1+EXP(-ABS((LN(10^(逐级计算!$Q$15/10)-1)+逐级计算!$Q$15*(O34-逐级计算!$P$15)*LN(10)/10))))))),"")</f>
        <v>13.7930369775018</v>
      </c>
      <c r="Q34">
        <f>IF(AND(ISNUMBER(P34),逐级计算!$X$16&gt;-1),IF(逐级计算!$X$16=0,P34+逐级计算!$C$16,P34+逐级计算!$C$16-(10/(逐级计算!$Q$16*LN(10))*(MAX((LN(10^(逐级计算!$Q$16/10)-1)+逐级计算!$Q$16*(P34-逐级计算!$P$16)*LN(10)/10),0)+LN(1+EXP(-ABS((LN(10^(逐级计算!$Q$16/10)-1)+逐级计算!$Q$16*(P34-逐级计算!$P$16)*LN(10)/10))))))),"")</f>
        <v>13.7930369775018</v>
      </c>
      <c r="R34">
        <f>IF(AND(ISNUMBER(Q34),逐级计算!$X$17&gt;-1),IF(逐级计算!$X$17=0,Q34+逐级计算!$C$17,Q34+逐级计算!$C$17-(10/(逐级计算!$Q$17*LN(10))*(MAX((LN(10^(逐级计算!$Q$17/10)-1)+逐级计算!$Q$17*(Q34-逐级计算!$P$17)*LN(10)/10),0)+LN(1+EXP(-ABS((LN(10^(逐级计算!$Q$17/10)-1)+逐级计算!$Q$17*(Q34-逐级计算!$P$17)*LN(10)/10))))))),"")</f>
        <v>13.7930369775018</v>
      </c>
      <c r="S34">
        <f>IF(AND(ISNUMBER(R34),逐级计算!$X$18&gt;-1),IF(逐级计算!$X$18=0,R34+逐级计算!$C$18,R34+逐级计算!$C$18-(10/(逐级计算!$Q$18*LN(10))*(MAX((LN(10^(逐级计算!$Q$18/10)-1)+逐级计算!$Q$18*(R34-逐级计算!$P$18)*LN(10)/10),0)+LN(1+EXP(-ABS((LN(10^(逐级计算!$Q$18/10)-1)+逐级计算!$Q$18*(R34-逐级计算!$P$18)*LN(10)/10))))))),"")</f>
        <v>13.7930369775018</v>
      </c>
      <c r="T34">
        <f>IF(AND(ISNUMBER(S34),逐级计算!$X$19&gt;-1),IF(逐级计算!$X$19=0,S34+逐级计算!$C$19,S34+逐级计算!$C$19-(10/(逐级计算!$Q$19*LN(10))*(MAX((LN(10^(逐级计算!$Q$19/10)-1)+逐级计算!$Q$19*(S34-逐级计算!$P$19)*LN(10)/10),0)+LN(1+EXP(-ABS((LN(10^(逐级计算!$Q$19/10)-1)+逐级计算!$Q$19*(S34-逐级计算!$P$19)*LN(10)/10))))))),"")</f>
        <v>13.7930369775018</v>
      </c>
      <c r="U34">
        <f>IF(AND(ISNUMBER(T34),逐级计算!$X$20&gt;-1),IF(逐级计算!$X$20=0,T34+逐级计算!$C$20,T34+逐级计算!$C$20-(10/(逐级计算!$Q$20*LN(10))*(MAX((LN(10^(逐级计算!$Q$20/10)-1)+逐级计算!$Q$20*(T34-逐级计算!$P$20)*LN(10)/10),0)+LN(1+EXP(-ABS((LN(10^(逐级计算!$Q$20/10)-1)+逐级计算!$Q$20*(T34-逐级计算!$P$20)*LN(10)/10))))))),"")</f>
        <v>13.7930369775018</v>
      </c>
      <c r="V34">
        <f>IF(AND(ISNUMBER(U34),逐级计算!$X$21&gt;-1),IF(逐级计算!$X$21=0,U34+逐级计算!$C$21,U34+逐级计算!$C$21-(10/(逐级计算!$Q$21*LN(10))*(MAX((LN(10^(逐级计算!$Q$21/10)-1)+逐级计算!$Q$21*(U34-逐级计算!$P$21)*LN(10)/10),0)+LN(1+EXP(-ABS((LN(10^(逐级计算!$Q$21/10)-1)+逐级计算!$Q$21*(U34-逐级计算!$P$21)*LN(10)/10))))))),"")</f>
        <v>13.7930369775018</v>
      </c>
      <c r="W34">
        <f>IF(AND(ISNUMBER(V34),逐级计算!$X$22&gt;-1),IF(逐级计算!$X$22=0,V34+逐级计算!$C$22,V34+逐级计算!$C$22-(10/(逐级计算!$Q$22*LN(10))*(MAX((LN(10^(逐级计算!$Q$22/10)-1)+逐级计算!$Q$22*(V34-逐级计算!$P$22)*LN(10)/10),0)+LN(1+EXP(-ABS((LN(10^(逐级计算!$Q$22/10)-1)+逐级计算!$Q$22*(V34-逐级计算!$P$22)*LN(10)/10))))))),"")</f>
        <v>13.7930369775018</v>
      </c>
      <c r="X34">
        <f>IF(AND(ISNUMBER(W34),逐级计算!$X$23&gt;-1),IF(逐级计算!$X$23=0,W34+逐级计算!$C$23,W34+逐级计算!$C$23-(10/(逐级计算!$Q$23*LN(10))*(MAX((LN(10^(逐级计算!$Q$23/10)-1)+逐级计算!$Q$23*(W34-逐级计算!$P$23)*LN(10)/10),0)+LN(1+EXP(-ABS((LN(10^(逐级计算!$Q$23/10)-1)+逐级计算!$Q$23*(W34-逐级计算!$P$23)*LN(10)/10))))))),"")</f>
        <v>13.7930369775018</v>
      </c>
      <c r="Y34">
        <f>IF(AND(ISNUMBER(X34),逐级计算!$X$24&gt;-1),IF(逐级计算!$X$24=0,X34+逐级计算!$C$24,X34+逐级计算!$C$24-(10/(逐级计算!$Q$24*LN(10))*(MAX((LN(10^(逐级计算!$Q$24/10)-1)+逐级计算!$Q$24*(X34-逐级计算!$P$24)*LN(10)/10),0)+LN(1+EXP(-ABS((LN(10^(逐级计算!$Q$24/10)-1)+逐级计算!$Q$24*(X34-逐级计算!$P$24)*LN(10)/10))))))),"")</f>
        <v>13.7930369775018</v>
      </c>
      <c r="Z34">
        <f>IF(AND(ISNUMBER(Y34),逐级计算!$X$25&gt;-1),IF(逐级计算!$X$25=0,Y34+逐级计算!$C$25,Y34+逐级计算!$C$25-(10/(逐级计算!$Q$25*LN(10))*(MAX((LN(10^(逐级计算!$Q$25/10)-1)+逐级计算!$Q$25*(Y34-逐级计算!$P$25)*LN(10)/10),0)+LN(1+EXP(-ABS((LN(10^(逐级计算!$Q$25/10)-1)+逐级计算!$Q$25*(Y34-逐级计算!$P$25)*LN(10)/10))))))),"")</f>
        <v>13.7930369775018</v>
      </c>
      <c r="AA34">
        <f>IF(AND(ISNUMBER(Z34),逐级计算!$X$26&gt;-1),IF(逐级计算!$X$26=0,Z34+逐级计算!$C$26,Z34+逐级计算!$C$26-(10/(逐级计算!$Q$26*LN(10))*(MAX((LN(10^(逐级计算!$Q$26/10)-1)+逐级计算!$Q$26*(Z34-逐级计算!$P$26)*LN(10)/10),0)+LN(1+EXP(-ABS((LN(10^(逐级计算!$Q$26/10)-1)+逐级计算!$Q$26*(Z34-逐级计算!$P$26)*LN(10)/10))))))),"")</f>
        <v>13.7930369775018</v>
      </c>
      <c r="AB34">
        <f>IF(AND(ISNUMBER(AA34),逐级计算!$X$27&gt;-1),IF(逐级计算!$X$27=0,AA34+逐级计算!$C$27,AA34+逐级计算!$C$27-(10/(逐级计算!$Q$27*LN(10))*(MAX((LN(10^(逐级计算!$Q$27/10)-1)+逐级计算!$Q$27*(AA34-逐级计算!$P$27)*LN(10)/10),0)+LN(1+EXP(-ABS((LN(10^(逐级计算!$Q$27/10)-1)+逐级计算!$Q$27*(AA34-逐级计算!$P$27)*LN(10)/10))))))),"")</f>
        <v>13.7930369775018</v>
      </c>
      <c r="AC34">
        <f>IF(AND(ISNUMBER(AB34),逐级计算!$X$28&gt;-1),IF(逐级计算!$X$28=0,AB34+逐级计算!$C$28,AB34+逐级计算!$C$28-(10/(逐级计算!$Q$28*LN(10))*(MAX((LN(10^(逐级计算!$Q$28/10)-1)+逐级计算!$Q$28*(AB34-逐级计算!$P$28)*LN(10)/10),0)+LN(1+EXP(-ABS((LN(10^(逐级计算!$Q$28/10)-1)+逐级计算!$Q$28*(AB34-逐级计算!$P$28)*LN(10)/10))))))),"")</f>
        <v>13.7930369775018</v>
      </c>
      <c r="AD34">
        <f>IF(AND(ISNUMBER(AC34),逐级计算!$X$29&gt;-1),IF(逐级计算!$X$29=0,AC34+逐级计算!$C$29,AC34+逐级计算!$C$29-(10/(逐级计算!$Q$29*LN(10))*(MAX((LN(10^(逐级计算!$Q$29/10)-1)+逐级计算!$Q$29*(AC34-逐级计算!$P$29)*LN(10)/10),0)+LN(1+EXP(-ABS((LN(10^(逐级计算!$Q$29/10)-1)+逐级计算!$Q$29*(AC34-逐级计算!$P$29)*LN(10)/10))))))),"")</f>
        <v>13.7930369775018</v>
      </c>
      <c r="AE34">
        <f>IF(AND(ISNUMBER(AD34),逐级计算!$X$30&gt;-1),IF(逐级计算!$X$30=0,AD34+逐级计算!$C$30,AD34+逐级计算!$C$30-(10/(逐级计算!$Q$30*LN(10))*(MAX((LN(10^(逐级计算!$Q$30/10)-1)+逐级计算!$Q$30*(AD34-逐级计算!$P$30)*LN(10)/10),0)+LN(1+EXP(-ABS((LN(10^(逐级计算!$Q$30/10)-1)+逐级计算!$Q$30*(AD34-逐级计算!$P$30)*LN(10)/10))))))),"")</f>
        <v>13.7930369775018</v>
      </c>
      <c r="AF34">
        <f>IF(AND(ISNUMBER(AE34),逐级计算!$X$31&gt;-1),IF(逐级计算!$X$31=0,AE34+逐级计算!$C$31,AE34+逐级计算!$C$31-(10/(逐级计算!$Q$31*LN(10))*(MAX((LN(10^(逐级计算!$Q$31/10)-1)+逐级计算!$Q$31*(AE34-逐级计算!$P$31)*LN(10)/10),0)+LN(1+EXP(-ABS((LN(10^(逐级计算!$Q$31/10)-1)+逐级计算!$Q$31*(AE34-逐级计算!$P$31)*LN(10)/10))))))),"")</f>
        <v>13.7930369775018</v>
      </c>
      <c r="AG34">
        <f>IF(AND(ISNUMBER(AF34),逐级计算!$X$32&gt;-1),IF(逐级计算!$X$32=0,AF34+逐级计算!$C$32,AF34+逐级计算!$C$32-(10/(逐级计算!$Q$32*LN(10))*(MAX((LN(10^(逐级计算!$Q$32/10)-1)+逐级计算!$Q$32*(AF34-逐级计算!$P$32)*LN(10)/10),0)+LN(1+EXP(-ABS((LN(10^(逐级计算!$Q$32/10)-1)+逐级计算!$Q$32*(AF34-逐级计算!$P$32)*LN(10)/10))))))),"")</f>
        <v>13.7930369775018</v>
      </c>
      <c r="AH34">
        <f>IF(AND(ISNUMBER(AG34),逐级计算!$X$33&gt;-1),IF(逐级计算!$X$33=0,AG34+逐级计算!$C$33,AG34+逐级计算!$C$33-(10/(逐级计算!$Q$33*LN(10))*(MAX((LN(10^(逐级计算!$Q$33/10)-1)+逐级计算!$Q$33*(AG34-逐级计算!$P$33)*LN(10)/10),0)+LN(1+EXP(-ABS((LN(10^(逐级计算!$Q$33/10)-1)+逐级计算!$Q$33*(AG34-逐级计算!$P$33)*LN(10)/10))))))),"")</f>
        <v>13.7930369775018</v>
      </c>
      <c r="AI34">
        <f>IF(AND(ISNUMBER(AH34),逐级计算!$X$34&gt;-1),IF(逐级计算!$X$34=0,AH34+逐级计算!$C$34,AH34+逐级计算!$C$34-(10/(逐级计算!$Q$34*LN(10))*(MAX((LN(10^(逐级计算!$Q$34/10)-1)+逐级计算!$Q$34*(AH34-逐级计算!$P$34)*LN(10)/10),0)+LN(1+EXP(-ABS((LN(10^(逐级计算!$Q$34/10)-1)+逐级计算!$Q$34*(AH34-逐级计算!$P$34)*LN(10)/10))))))),"")</f>
        <v>13.7930369775018</v>
      </c>
      <c r="AJ34">
        <f>IF(AND(ISNUMBER(AI34),逐级计算!$X$35&gt;-1),IF(逐级计算!$X$35=0,AI34+逐级计算!$C$35,AI34+逐级计算!$C$35-(10/(逐级计算!$Q$35*LN(10))*(MAX((LN(10^(逐级计算!$Q$35/10)-1)+逐级计算!$Q$35*(AI34-逐级计算!$P$35)*LN(10)/10),0)+LN(1+EXP(-ABS((LN(10^(逐级计算!$Q$35/10)-1)+逐级计算!$Q$35*(AI34-逐级计算!$P$35)*LN(10)/10))))))),"")</f>
        <v>13.7930369775018</v>
      </c>
      <c r="AK34">
        <f>IF(AND(ISNUMBER(AJ34),逐级计算!$X$36&gt;-1),IF(逐级计算!$X$36=0,AJ34+逐级计算!$C$36,AJ34+逐级计算!$C$36-(10/(逐级计算!$Q$36*LN(10))*(MAX((LN(10^(逐级计算!$Q$36/10)-1)+逐级计算!$Q$36*(AJ34-逐级计算!$P$36)*LN(10)/10),0)+LN(1+EXP(-ABS((LN(10^(逐级计算!$Q$36/10)-1)+逐级计算!$Q$36*(AJ34-逐级计算!$P$36)*LN(10)/10))))))),"")</f>
        <v>13.7930369775018</v>
      </c>
      <c r="AL34">
        <f>IF(AND(ISNUMBER(AK34),逐级计算!$X$37&gt;-1),IF(逐级计算!$X$37=0,AK34+逐级计算!$C$37,AK34+逐级计算!$C$37-(10/(逐级计算!$Q$37*LN(10))*(MAX((LN(10^(逐级计算!$Q$37/10)-1)+逐级计算!$Q$37*(AK34-逐级计算!$P$37)*LN(10)/10),0)+LN(1+EXP(-ABS((LN(10^(逐级计算!$Q$37/10)-1)+逐级计算!$Q$37*(AK34-逐级计算!$P$37)*LN(10)/10))))))),"")</f>
        <v>13.7930369775018</v>
      </c>
      <c r="AM34">
        <f>IF(AND(ISNUMBER(AL34),逐级计算!$X$38&gt;-1),IF(逐级计算!$X$38=0,AL34+逐级计算!$C$38,AL34+逐级计算!$C$38-(10/(逐级计算!$Q$38*LN(10))*(MAX((LN(10^(逐级计算!$Q$38/10)-1)+逐级计算!$Q$38*(AL34-逐级计算!$P$38)*LN(10)/10),0)+LN(1+EXP(-ABS((LN(10^(逐级计算!$Q$38/10)-1)+逐级计算!$Q$38*(AL34-逐级计算!$P$38)*LN(10)/10))))))),"")</f>
        <v>13.7930369775018</v>
      </c>
      <c r="AN34">
        <f>IF(AND(ISNUMBER(AM34),逐级计算!$X$39&gt;-1),IF(逐级计算!$X$39=0,AM34+逐级计算!$C$39,AM34+逐级计算!$C$39-(10/(逐级计算!$Q$39*LN(10))*(MAX((LN(10^(逐级计算!$Q$39/10)-1)+逐级计算!$Q$39*(AM34-逐级计算!$P$39)*LN(10)/10),0)+LN(1+EXP(-ABS((LN(10^(逐级计算!$Q$39/10)-1)+逐级计算!$Q$39*(AM34-逐级计算!$P$39)*LN(10)/10))))))),"")</f>
        <v>13.7930369775018</v>
      </c>
      <c r="AO34">
        <f>IF(AND(ISNUMBER(AN34),逐级计算!$X$40&gt;-1),IF(逐级计算!$X$40=0,AN34+逐级计算!$C$40,AN34+逐级计算!$C$40-(10/(逐级计算!$Q$40*LN(10))*(MAX((LN(10^(逐级计算!$Q$40/10)-1)+逐级计算!$Q$40*(AN34-逐级计算!$P$40)*LN(10)/10),0)+LN(1+EXP(-ABS((LN(10^(逐级计算!$Q$40/10)-1)+逐级计算!$Q$40*(AN34-逐级计算!$P$40)*LN(10)/10))))))),"")</f>
        <v>13.7930369775018</v>
      </c>
      <c r="AP34">
        <f>IF(AND(ISNUMBER(AO34),逐级计算!$X$41&gt;-1),IF(逐级计算!$X$41=0,AO34+逐级计算!$C$41,AO34+逐级计算!$C$41-(10/(逐级计算!$Q$41*LN(10))*(MAX((LN(10^(逐级计算!$Q$41/10)-1)+逐级计算!$Q$41*(AO34-逐级计算!$P$41)*LN(10)/10),0)+LN(1+EXP(-ABS((LN(10^(逐级计算!$Q$41/10)-1)+逐级计算!$Q$41*(AO34-逐级计算!$P$41)*LN(10)/10))))))),"")</f>
        <v>13.7930369775018</v>
      </c>
      <c r="AQ34">
        <f>IF(AND(ISNUMBER(AP34),逐级计算!$X$42&gt;-1),IF(逐级计算!$X$42=0,AP34+逐级计算!$C$42,AP34+逐级计算!$C$42-(10/(逐级计算!$Q$42*LN(10))*(MAX((LN(10^(逐级计算!$Q$42/10)-1)+逐级计算!$Q$42*(AP34-逐级计算!$P$42)*LN(10)/10),0)+LN(1+EXP(-ABS((LN(10^(逐级计算!$Q$42/10)-1)+逐级计算!$Q$42*(AP34-逐级计算!$P$42)*LN(10)/10))))))),"")</f>
        <v>13.7930369775018</v>
      </c>
      <c r="AR34">
        <f>IF(AND(ISNUMBER(AQ34),逐级计算!$X$43&gt;-1),IF(逐级计算!$X$43=0,AQ34+逐级计算!$C$43,AQ34+逐级计算!$C$43-(10/(逐级计算!$Q$43*LN(10))*(MAX((LN(10^(逐级计算!$Q$43/10)-1)+逐级计算!$Q$43*(AQ34-逐级计算!$P$43)*LN(10)/10),0)+LN(1+EXP(-ABS((LN(10^(逐级计算!$Q$43/10)-1)+逐级计算!$Q$43*(AQ34-逐级计算!$P$43)*LN(10)/10))))))),"")</f>
        <v>13.7930369775018</v>
      </c>
      <c r="AS34">
        <f>IF(AND(ISNUMBER(AR34),逐级计算!$X$44&gt;-1),IF(逐级计算!$X$44=0,AR34+逐级计算!$C$44,AR34+逐级计算!$C$44-(10/(逐级计算!$Q$44*LN(10))*(MAX((LN(10^(逐级计算!$Q$44/10)-1)+逐级计算!$Q$44*(AR34-逐级计算!$P$44)*LN(10)/10),0)+LN(1+EXP(-ABS((LN(10^(逐级计算!$Q$44/10)-1)+逐级计算!$Q$44*(AR34-逐级计算!$P$44)*LN(10)/10))))))),"")</f>
        <v>13.7930369775018</v>
      </c>
      <c r="AT34">
        <f>IF(AND(ISNUMBER(AS34),逐级计算!$X$45&gt;-1),IF(逐级计算!$X$45=0,AS34+逐级计算!$C$45,AS34+逐级计算!$C$45-(10/(逐级计算!$Q$45*LN(10))*(MAX((LN(10^(逐级计算!$Q$45/10)-1)+逐级计算!$Q$45*(AS34-逐级计算!$P$45)*LN(10)/10),0)+LN(1+EXP(-ABS((LN(10^(逐级计算!$Q$45/10)-1)+逐级计算!$Q$45*(AS34-逐级计算!$P$45)*LN(10)/10))))))),"")</f>
        <v>13.7930369775018</v>
      </c>
      <c r="AU34">
        <f>IF(AND(ISNUMBER(AT34),逐级计算!$X$46&gt;-1),IF(逐级计算!$X$46=0,AT34+逐级计算!$C$46,AT34+逐级计算!$C$46-(10/(逐级计算!$Q$46*LN(10))*(MAX((LN(10^(逐级计算!$Q$46/10)-1)+逐级计算!$Q$46*(AT34-逐级计算!$P$46)*LN(10)/10),0)+LN(1+EXP(-ABS((LN(10^(逐级计算!$Q$46/10)-1)+逐级计算!$Q$46*(AT34-逐级计算!$P$46)*LN(10)/10))))))),"")</f>
        <v>13.7930369775018</v>
      </c>
      <c r="AV34">
        <f>IF(AND(ISNUMBER(AU34),逐级计算!$X$47&gt;-1),IF(逐级计算!$X$47=0,AU34+逐级计算!$C$47,AU34+逐级计算!$C$47-(10/(逐级计算!$Q$47*LN(10))*(MAX((LN(10^(逐级计算!$Q$47/10)-1)+逐级计算!$Q$47*(AU34-逐级计算!$P$47)*LN(10)/10),0)+LN(1+EXP(-ABS((LN(10^(逐级计算!$Q$47/10)-1)+逐级计算!$Q$47*(AU34-逐级计算!$P$47)*LN(10)/10))))))),"")</f>
        <v>13.7930369775018</v>
      </c>
      <c r="AW34">
        <f>IF(AND(ISNUMBER(AV34),逐级计算!$X$48&gt;-1),IF(逐级计算!$X$48=0,AV34+逐级计算!$C$48,AV34+逐级计算!$C$48-(10/(逐级计算!$Q$48*LN(10))*(MAX((LN(10^(逐级计算!$Q$48/10)-1)+逐级计算!$Q$48*(AV34-逐级计算!$P$48)*LN(10)/10),0)+LN(1+EXP(-ABS((LN(10^(逐级计算!$Q$48/10)-1)+逐级计算!$Q$48*(AV34-逐级计算!$P$48)*LN(10)/10))))))),"")</f>
        <v>13.7930369775018</v>
      </c>
      <c r="AX34">
        <f>IF(AND(ISNUMBER(AW34),逐级计算!$X$49&gt;-1),IF(逐级计算!$X$49=0,AW34+逐级计算!$C$49,AW34+逐级计算!$C$49-(10/(逐级计算!$Q$49*LN(10))*(MAX((LN(10^(逐级计算!$Q$49/10)-1)+逐级计算!$Q$49*(AW34-逐级计算!$P$49)*LN(10)/10),0)+LN(1+EXP(-ABS((LN(10^(逐级计算!$Q$49/10)-1)+逐级计算!$Q$49*(AW34-逐级计算!$P$49)*LN(10)/10))))))),"")</f>
        <v>13.7930369775018</v>
      </c>
      <c r="AY34">
        <f>IF(AND(ISNUMBER(AX34),逐级计算!$X$50&gt;-1),IF(逐级计算!$X$50=0,AX34+逐级计算!$C$50,AX34+逐级计算!$C$50-(10/(逐级计算!$Q$50*LN(10))*(MAX((LN(10^(逐级计算!$Q$50/10)-1)+逐级计算!$Q$50*(AX34-逐级计算!$P$50)*LN(10)/10),0)+LN(1+EXP(-ABS((LN(10^(逐级计算!$Q$50/10)-1)+逐级计算!$Q$50*(AX34-逐级计算!$P$50)*LN(10)/10))))))),"")</f>
        <v>13.7930369775018</v>
      </c>
      <c r="AZ34">
        <f>IF(AND(ISNUMBER(AY34),逐级计算!$X$51&gt;-1),IF(逐级计算!$X$51=0,AY34+逐级计算!$C$51,AY34+逐级计算!$C$51-(10/(逐级计算!$Q$51*LN(10))*(MAX((LN(10^(逐级计算!$Q$51/10)-1)+逐级计算!$Q$51*(AY34-逐级计算!$P$51)*LN(10)/10),0)+LN(1+EXP(-ABS((LN(10^(逐级计算!$Q$51/10)-1)+逐级计算!$Q$51*(AY34-逐级计算!$P$51)*LN(10)/10))))))),"")</f>
        <v>13.7930369775018</v>
      </c>
      <c r="BA34">
        <f>IF(AND(ISNUMBER(AZ34),逐级计算!$X$52&gt;-1),IF(逐级计算!$X$52=0,AZ34+逐级计算!$C$52,AZ34+逐级计算!$C$52-(10/(逐级计算!$Q$52*LN(10))*(MAX((LN(10^(逐级计算!$Q$52/10)-1)+逐级计算!$Q$52*(AZ34-逐级计算!$P$52)*LN(10)/10),0)+LN(1+EXP(-ABS((LN(10^(逐级计算!$Q$52/10)-1)+逐级计算!$Q$52*(AZ34-逐级计算!$P$52)*LN(10)/10))))))),"")</f>
        <v>13.7930369775018</v>
      </c>
      <c r="BB34">
        <f>IF(AND(ISNUMBER(BA34),逐级计算!$X$53&gt;-1),IF(逐级计算!$X$53=0,BA34+逐级计算!$C$53,BA34+逐级计算!$C$53-(10/(逐级计算!$Q$53*LN(10))*(MAX((LN(10^(逐级计算!$Q$53/10)-1)+逐级计算!$Q$53*(BA34-逐级计算!$P$53)*LN(10)/10),0)+LN(1+EXP(-ABS((LN(10^(逐级计算!$Q$53/10)-1)+逐级计算!$Q$53*(BA34-逐级计算!$P$53)*LN(10)/10))))))),"")</f>
        <v>13.7930369775018</v>
      </c>
      <c r="BC34">
        <f>IF(AND(ISNUMBER(BB34),逐级计算!$X$54&gt;-1),IF(逐级计算!$X$54=0,BB34+逐级计算!$C$54,BB34+逐级计算!$C$54-(10/(逐级计算!$Q$54*LN(10))*(MAX((LN(10^(逐级计算!$Q$54/10)-1)+逐级计算!$Q$54*(BB34-逐级计算!$P$54)*LN(10)/10),0)+LN(1+EXP(-ABS((LN(10^(逐级计算!$Q$54/10)-1)+逐级计算!$Q$54*(BB34-逐级计算!$P$54)*LN(10)/10))))))),"")</f>
        <v>13.7930369775018</v>
      </c>
      <c r="BD34">
        <f>IF(AND(ISNUMBER(BC34),逐级计算!$X$55&gt;-1),IF(逐级计算!$X$55=0,BC34+逐级计算!$C$55,BC34+逐级计算!$C$55-(10/(逐级计算!$Q$55*LN(10))*(MAX((LN(10^(逐级计算!$Q$55/10)-1)+逐级计算!$Q$55*(BC34-逐级计算!$P$55)*LN(10)/10),0)+LN(1+EXP(-ABS((LN(10^(逐级计算!$Q$55/10)-1)+逐级计算!$Q$55*(BC34-逐级计算!$P$55)*LN(10)/10))))))),"")</f>
        <v>13.7930369775018</v>
      </c>
      <c r="BE34">
        <f>IF(AND(ISNUMBER(BD34),逐级计算!$X$56&gt;-1),IF(逐级计算!$X$56=0,BD34+逐级计算!$C$56,BD34+逐级计算!$C$56-(10/(逐级计算!$Q$56*LN(10))*(MAX((LN(10^(逐级计算!$Q$56/10)-1)+逐级计算!$Q$56*(BD34-逐级计算!$P$56)*LN(10)/10),0)+LN(1+EXP(-ABS((LN(10^(逐级计算!$Q$56/10)-1)+逐级计算!$Q$56*(BD34-逐级计算!$P$56)*LN(10)/10))))))),"")</f>
        <v>13.7930369775018</v>
      </c>
      <c r="BF34">
        <f>IF(AND(ISNUMBER(BE34),逐级计算!$X$57&gt;-1),IF(逐级计算!$X$57=0,BE34+逐级计算!$C$57,BE34+逐级计算!$C$57-(10/(逐级计算!$Q$57*LN(10))*(MAX((LN(10^(逐级计算!$Q$57/10)-1)+逐级计算!$Q$57*(BE34-逐级计算!$P$57)*LN(10)/10),0)+LN(1+EXP(-ABS((LN(10^(逐级计算!$Q$57/10)-1)+逐级计算!$Q$57*(BE34-逐级计算!$P$57)*LN(10)/10))))))),"")</f>
        <v>13.7930369775018</v>
      </c>
      <c r="BG34">
        <f>IF(AND(ISNUMBER(BF34),逐级计算!$X$58&gt;-1),IF(逐级计算!$X$58=0,BF34+逐级计算!$C$58,BF34+逐级计算!$C$58-(10/(逐级计算!$Q$58*LN(10))*(MAX((LN(10^(逐级计算!$Q$58/10)-1)+逐级计算!$Q$58*(BF34-逐级计算!$P$58)*LN(10)/10),0)+LN(1+EXP(-ABS((LN(10^(逐级计算!$Q$58/10)-1)+逐级计算!$Q$58*(BF34-逐级计算!$P$58)*LN(10)/10))))))),"")</f>
        <v>13.7930369775018</v>
      </c>
      <c r="BH34">
        <f>IF(AND(ISNUMBER(BG34),逐级计算!$X$59&gt;-1),IF(逐级计算!$X$59=0,BG34+逐级计算!$C$59,BG34+逐级计算!$C$59-(10/(逐级计算!$Q$59*LN(10))*(MAX((LN(10^(逐级计算!$Q$59/10)-1)+逐级计算!$Q$59*(BG34-逐级计算!$P$59)*LN(10)/10),0)+LN(1+EXP(-ABS((LN(10^(逐级计算!$Q$59/10)-1)+逐级计算!$Q$59*(BG34-逐级计算!$P$59)*LN(10)/10))))))),"")</f>
        <v>13.7930369775018</v>
      </c>
      <c r="BI34">
        <f>IF(AND(ISNUMBER(BH34),逐级计算!$X$60&gt;-1),IF(逐级计算!$X$60=0,BH34+逐级计算!$C$60,BH34+逐级计算!$C$60-(10/(逐级计算!$Q$60*LN(10))*(MAX((LN(10^(逐级计算!$Q$60/10)-1)+逐级计算!$Q$60*(BH34-逐级计算!$P$60)*LN(10)/10),0)+LN(1+EXP(-ABS((LN(10^(逐级计算!$Q$60/10)-1)+逐级计算!$Q$60*(BH34-逐级计算!$P$60)*LN(10)/10))))))),"")</f>
        <v>13.7930369775018</v>
      </c>
      <c r="BJ34">
        <f>IF(AND(ISNUMBER(BI34),逐级计算!$X$61&gt;-1),IF(逐级计算!$X$61=0,BI34+逐级计算!$C$61,BI34+逐级计算!$C$61-(10/(逐级计算!$Q$61*LN(10))*(MAX((LN(10^(逐级计算!$Q$61/10)-1)+逐级计算!$Q$61*(BI34-逐级计算!$P$61)*LN(10)/10),0)+LN(1+EXP(-ABS((LN(10^(逐级计算!$Q$61/10)-1)+逐级计算!$Q$61*(BI34-逐级计算!$P$61)*LN(10)/10))))))),"")</f>
        <v>13.7930369775018</v>
      </c>
      <c r="BK34">
        <f>IF(AND(ISNUMBER(BJ34),逐级计算!$X$62&gt;-1),IF(逐级计算!$X$62=0,BJ34+逐级计算!$C$62,BJ34+逐级计算!$C$62-(10/(逐级计算!$Q$62*LN(10))*(MAX((LN(10^(逐级计算!$Q$62/10)-1)+逐级计算!$Q$62*(BJ34-逐级计算!$P$62)*LN(10)/10),0)+LN(1+EXP(-ABS((LN(10^(逐级计算!$Q$62/10)-1)+逐级计算!$Q$62*(BJ34-逐级计算!$P$62)*LN(10)/10))))))),"")</f>
        <v>13.7930369775018</v>
      </c>
      <c r="BL34">
        <f>IF(AND(ISNUMBER(BK34),逐级计算!$X$63&gt;-1),IF(逐级计算!$X$63=0,BK34+逐级计算!$C$63,BK34+逐级计算!$C$63-(10/(逐级计算!$Q$63*LN(10))*(MAX((LN(10^(逐级计算!$Q$63/10)-1)+逐级计算!$Q$63*(BK34-逐级计算!$P$63)*LN(10)/10),0)+LN(1+EXP(-ABS((LN(10^(逐级计算!$Q$63/10)-1)+逐级计算!$Q$63*(BK34-逐级计算!$P$63)*LN(10)/10))))))),"")</f>
        <v>13.7930369775018</v>
      </c>
      <c r="BM34">
        <f>IF(AND(ISNUMBER(BL34),逐级计算!$X$64&gt;-1),IF(逐级计算!$X$64=0,BL34+逐级计算!$C$64,BL34+逐级计算!$C$64-(10/(逐级计算!$Q$64*LN(10))*(MAX((LN(10^(逐级计算!$Q$64/10)-1)+逐级计算!$Q$64*(BL34-逐级计算!$P$64)*LN(10)/10),0)+LN(1+EXP(-ABS((LN(10^(逐级计算!$Q$64/10)-1)+逐级计算!$Q$64*(BL34-逐级计算!$P$64)*LN(10)/10))))))),"")</f>
        <v>13.7930369775018</v>
      </c>
      <c r="BN34">
        <f>IF(AND(ISNUMBER(BM34),逐级计算!$X$65&gt;-1),IF(逐级计算!$X$65=0,BM34+逐级计算!$C$65,BM34+逐级计算!$C$65-(10/(逐级计算!$Q$65*LN(10))*(MAX((LN(10^(逐级计算!$Q$65/10)-1)+逐级计算!$Q$65*(BM34-逐级计算!$P$65)*LN(10)/10),0)+LN(1+EXP(-ABS((LN(10^(逐级计算!$Q$65/10)-1)+逐级计算!$Q$65*(BM34-逐级计算!$P$65)*LN(10)/10))))))),"")</f>
        <v>13.7930369775018</v>
      </c>
      <c r="BO34">
        <f>IF(AND(ISNUMBER(BN34),逐级计算!$X$66&gt;-1),IF(逐级计算!$X$66=0,BN34+逐级计算!$C$66,BN34+逐级计算!$C$66-(10/(逐级计算!$Q$66*LN(10))*(MAX((LN(10^(逐级计算!$Q$66/10)-1)+逐级计算!$Q$66*(BN34-逐级计算!$P$66)*LN(10)/10),0)+LN(1+EXP(-ABS((LN(10^(逐级计算!$Q$66/10)-1)+逐级计算!$Q$66*(BN34-逐级计算!$P$66)*LN(10)/10))))))),"")</f>
        <v>13.7930369775018</v>
      </c>
      <c r="BP34">
        <f>IF(AND(ISNUMBER(BO34),逐级计算!$X$67&gt;-1),IF(逐级计算!$X$67=0,BO34+逐级计算!$C$67,BO34+逐级计算!$C$67-(10/(逐级计算!$Q$67*LN(10))*(MAX((LN(10^(逐级计算!$Q$67/10)-1)+逐级计算!$Q$67*(BO34-逐级计算!$P$67)*LN(10)/10),0)+LN(1+EXP(-ABS((LN(10^(逐级计算!$Q$67/10)-1)+逐级计算!$Q$67*(BO34-逐级计算!$P$67)*LN(10)/10))))))),"")</f>
        <v>13.7930369775018</v>
      </c>
      <c r="BQ34">
        <f>IF(AND(ISNUMBER(BP34),逐级计算!$X$68&gt;-1),IF(逐级计算!$X$68=0,BP34+逐级计算!$C$68,BP34+逐级计算!$C$68-(10/(逐级计算!$Q$68*LN(10))*(MAX((LN(10^(逐级计算!$Q$68/10)-1)+逐级计算!$Q$68*(BP34-逐级计算!$P$68)*LN(10)/10),0)+LN(1+EXP(-ABS((LN(10^(逐级计算!$Q$68/10)-1)+逐级计算!$Q$68*(BP34-逐级计算!$P$68)*LN(10)/10))))))),"")</f>
        <v>13.7930369775018</v>
      </c>
      <c r="BR34">
        <f>IF(AND(ISNUMBER(BQ34),逐级计算!$X$69&gt;-1),IF(逐级计算!$X$69=0,BQ34+逐级计算!$C$69,BQ34+逐级计算!$C$69-(10/(逐级计算!$Q$69*LN(10))*(MAX((LN(10^(逐级计算!$Q$69/10)-1)+逐级计算!$Q$69*(BQ34-逐级计算!$P$69)*LN(10)/10),0)+LN(1+EXP(-ABS((LN(10^(逐级计算!$Q$69/10)-1)+逐级计算!$Q$69*(BQ34-逐级计算!$P$69)*LN(10)/10))))))),"")</f>
        <v>13.7930369775018</v>
      </c>
      <c r="BS34">
        <f>IF(AND(ISNUMBER(BR34),逐级计算!$X$70&gt;-1),IF(逐级计算!$X$70=0,BR34+逐级计算!$C$70,BR34+逐级计算!$C$70-(10/(逐级计算!$Q$70*LN(10))*(MAX((LN(10^(逐级计算!$Q$70/10)-1)+逐级计算!$Q$70*(BR34-逐级计算!$P$70)*LN(10)/10),0)+LN(1+EXP(-ABS((LN(10^(逐级计算!$Q$70/10)-1)+逐级计算!$Q$70*(BR34-逐级计算!$P$70)*LN(10)/10))))))),"")</f>
        <v>13.7930369775018</v>
      </c>
      <c r="BT34">
        <f>IF(AND(ISNUMBER(BS34),逐级计算!$X$71&gt;-1),IF(逐级计算!$X$71=0,BS34+逐级计算!$C$71,BS34+逐级计算!$C$71-(10/(逐级计算!$Q$71*LN(10))*(MAX((LN(10^(逐级计算!$Q$71/10)-1)+逐级计算!$Q$71*(BS34-逐级计算!$P$71)*LN(10)/10),0)+LN(1+EXP(-ABS((LN(10^(逐级计算!$Q$71/10)-1)+逐级计算!$Q$71*(BS34-逐级计算!$P$71)*LN(10)/10))))))),"")</f>
        <v>13.7930369775018</v>
      </c>
      <c r="BU34">
        <f>IF(AND(ISNUMBER(BT34),逐级计算!$X$72&gt;-1),IF(逐级计算!$X$72=0,BT34+逐级计算!$C$72,BT34+逐级计算!$C$72-(10/(逐级计算!$Q$72*LN(10))*(MAX((LN(10^(逐级计算!$Q$72/10)-1)+逐级计算!$Q$72*(BT34-逐级计算!$P$72)*LN(10)/10),0)+LN(1+EXP(-ABS((LN(10^(逐级计算!$Q$72/10)-1)+逐级计算!$Q$72*(BT34-逐级计算!$P$72)*LN(10)/10))))))),"")</f>
        <v>13.7930369775018</v>
      </c>
      <c r="BV34">
        <f>IF(AND(ISNUMBER(BU34),逐级计算!$X$73&gt;-1),IF(逐级计算!$X$73=0,BU34+逐级计算!$C$73,BU34+逐级计算!$C$73-(10/(逐级计算!$Q$73*LN(10))*(MAX((LN(10^(逐级计算!$Q$73/10)-1)+逐级计算!$Q$73*(BU34-逐级计算!$P$73)*LN(10)/10),0)+LN(1+EXP(-ABS((LN(10^(逐级计算!$Q$73/10)-1)+逐级计算!$Q$73*(BU34-逐级计算!$P$73)*LN(10)/10))))))),"")</f>
        <v>13.7930369775018</v>
      </c>
      <c r="BW34">
        <f>IF(AND(ISNUMBER(BV34),逐级计算!$X$74&gt;-1),IF(逐级计算!$X$74=0,BV34+逐级计算!$C$74,BV34+逐级计算!$C$74-(10/(逐级计算!$Q$74*LN(10))*(MAX((LN(10^(逐级计算!$Q$74/10)-1)+逐级计算!$Q$74*(BV34-逐级计算!$P$74)*LN(10)/10),0)+LN(1+EXP(-ABS((LN(10^(逐级计算!$Q$74/10)-1)+逐级计算!$Q$74*(BV34-逐级计算!$P$74)*LN(10)/10))))))),"")</f>
        <v>13.7930369775018</v>
      </c>
      <c r="BX34">
        <f>IF(AND(ISNUMBER(BW34),逐级计算!$X$75&gt;-1),IF(逐级计算!$X$75=0,BW34+逐级计算!$C$75,BW34+逐级计算!$C$75-(10/(逐级计算!$Q$75*LN(10))*(MAX((LN(10^(逐级计算!$Q$75/10)-1)+逐级计算!$Q$75*(BW34-逐级计算!$P$75)*LN(10)/10),0)+LN(1+EXP(-ABS((LN(10^(逐级计算!$Q$75/10)-1)+逐级计算!$Q$75*(BW34-逐级计算!$P$75)*LN(10)/10))))))),"")</f>
        <v>13.7930369775018</v>
      </c>
      <c r="BY34">
        <f>IF(AND(ISNUMBER(BX34),逐级计算!$X$76&gt;-1),IF(逐级计算!$X$76=0,BX34+逐级计算!$C$76,BX34+逐级计算!$C$76-(10/(逐级计算!$Q$76*LN(10))*(MAX((LN(10^(逐级计算!$Q$76/10)-1)+逐级计算!$Q$76*(BX34-逐级计算!$P$76)*LN(10)/10),0)+LN(1+EXP(-ABS((LN(10^(逐级计算!$Q$76/10)-1)+逐级计算!$Q$76*(BX34-逐级计算!$P$76)*LN(10)/10))))))),"")</f>
        <v>13.7930369775018</v>
      </c>
      <c r="BZ34">
        <f>IF(AND(ISNUMBER(BY34),逐级计算!$X$77&gt;-1),IF(逐级计算!$X$77=0,BY34+逐级计算!$C$77,BY34+逐级计算!$C$77-(10/(逐级计算!$Q$77*LN(10))*(MAX((LN(10^(逐级计算!$Q$77/10)-1)+逐级计算!$Q$77*(BY34-逐级计算!$P$77)*LN(10)/10),0)+LN(1+EXP(-ABS((LN(10^(逐级计算!$Q$77/10)-1)+逐级计算!$Q$77*(BY34-逐级计算!$P$77)*LN(10)/10))))))),"")</f>
        <v>13.7930369775018</v>
      </c>
      <c r="CA34">
        <f>IF(AND(ISNUMBER(BZ34),逐级计算!$X$78&gt;-1),IF(逐级计算!$X$78=0,BZ34+逐级计算!$C$78,BZ34+逐级计算!$C$78-(10/(逐级计算!$Q$78*LN(10))*(MAX((LN(10^(逐级计算!$Q$78/10)-1)+逐级计算!$Q$78*(BZ34-逐级计算!$P$78)*LN(10)/10),0)+LN(1+EXP(-ABS((LN(10^(逐级计算!$Q$78/10)-1)+逐级计算!$Q$78*(BZ34-逐级计算!$P$78)*LN(10)/10))))))),"")</f>
        <v>13.7930369775018</v>
      </c>
      <c r="CB34">
        <f>IF(AND(ISNUMBER(CA34),逐级计算!$X$79&gt;-1),IF(逐级计算!$X$79=0,CA34+逐级计算!$C$79,CA34+逐级计算!$C$79-(10/(逐级计算!$Q$79*LN(10))*(MAX((LN(10^(逐级计算!$Q$79/10)-1)+逐级计算!$Q$79*(CA34-逐级计算!$P$79)*LN(10)/10),0)+LN(1+EXP(-ABS((LN(10^(逐级计算!$Q$79/10)-1)+逐级计算!$Q$79*(CA34-逐级计算!$P$79)*LN(10)/10))))))),"")</f>
        <v>13.7930369775018</v>
      </c>
      <c r="CC34">
        <f>IF(AND(ISNUMBER(CB34),逐级计算!$X$80&gt;-1),IF(逐级计算!$X$80=0,CB34+逐级计算!$C$80,CB34+逐级计算!$C$80-(10/(逐级计算!$Q$80*LN(10))*(MAX((LN(10^(逐级计算!$Q$80/10)-1)+逐级计算!$Q$80*(CB34-逐级计算!$P$80)*LN(10)/10),0)+LN(1+EXP(-ABS((LN(10^(逐级计算!$Q$80/10)-1)+逐级计算!$Q$80*(CB34-逐级计算!$P$80)*LN(10)/10))))))),"")</f>
        <v>13.7930369775018</v>
      </c>
      <c r="CD34">
        <f>IF(AND(ISNUMBER(CC34),逐级计算!$X$81&gt;-1),IF(逐级计算!$X$81=0,CC34+逐级计算!$C$81,CC34+逐级计算!$C$81-(10/(逐级计算!$Q$81*LN(10))*(MAX((LN(10^(逐级计算!$Q$81/10)-1)+逐级计算!$Q$81*(CC34-逐级计算!$P$81)*LN(10)/10),0)+LN(1+EXP(-ABS((LN(10^(逐级计算!$Q$81/10)-1)+逐级计算!$Q$81*(CC34-逐级计算!$P$81)*LN(10)/10))))))),"")</f>
        <v>13.7930369775018</v>
      </c>
      <c r="CE34">
        <f>IF(AND(ISNUMBER(CD34),逐级计算!$X$82&gt;-1),IF(逐级计算!$X$82=0,CD34+逐级计算!$C$82,CD34+逐级计算!$C$82-(10/(逐级计算!$Q$82*LN(10))*(MAX((LN(10^(逐级计算!$Q$82/10)-1)+逐级计算!$Q$82*(CD34-逐级计算!$P$82)*LN(10)/10),0)+LN(1+EXP(-ABS((LN(10^(逐级计算!$Q$82/10)-1)+逐级计算!$Q$82*(CD34-逐级计算!$P$82)*LN(10)/10))))))),"")</f>
        <v>13.7930369775018</v>
      </c>
      <c r="CF34">
        <f>IF(AND(ISNUMBER(CE34),逐级计算!$X$83&gt;-1),IF(逐级计算!$X$83=0,CE34+逐级计算!$C$83,CE34+逐级计算!$C$83-(10/(逐级计算!$Q$83*LN(10))*(MAX((LN(10^(逐级计算!$Q$83/10)-1)+逐级计算!$Q$83*(CE34-逐级计算!$P$83)*LN(10)/10),0)+LN(1+EXP(-ABS((LN(10^(逐级计算!$Q$83/10)-1)+逐级计算!$Q$83*(CE34-逐级计算!$P$83)*LN(10)/10))))))),"")</f>
        <v>13.7930369775018</v>
      </c>
      <c r="CG34">
        <f>IF(AND(ISNUMBER(CF34),逐级计算!$X$84&gt;-1),IF(逐级计算!$X$84=0,CF34+逐级计算!$C$84,CF34+逐级计算!$C$84-(10/(逐级计算!$Q$84*LN(10))*(MAX((LN(10^(逐级计算!$Q$84/10)-1)+逐级计算!$Q$84*(CF34-逐级计算!$P$84)*LN(10)/10),0)+LN(1+EXP(-ABS((LN(10^(逐级计算!$Q$84/10)-1)+逐级计算!$Q$84*(CF34-逐级计算!$P$84)*LN(10)/10))))))),"")</f>
        <v>13.7930369775018</v>
      </c>
      <c r="CH34">
        <f>IF(AND(ISNUMBER(CG34),逐级计算!$X$85&gt;-1),IF(逐级计算!$X$85=0,CG34+逐级计算!$C$85,CG34+逐级计算!$C$85-(10/(逐级计算!$Q$85*LN(10))*(MAX((LN(10^(逐级计算!$Q$85/10)-1)+逐级计算!$Q$85*(CG34-逐级计算!$P$85)*LN(10)/10),0)+LN(1+EXP(-ABS((LN(10^(逐级计算!$Q$85/10)-1)+逐级计算!$Q$85*(CG34-逐级计算!$P$85)*LN(10)/10))))))),"")</f>
        <v>13.7930369775018</v>
      </c>
      <c r="CI34">
        <f>IF(AND(ISNUMBER(CH34),逐级计算!$X$86&gt;-1),IF(逐级计算!$X$86=0,CH34+逐级计算!$C$86,CH34+逐级计算!$C$86-(10/(逐级计算!$Q$86*LN(10))*(MAX((LN(10^(逐级计算!$Q$86/10)-1)+逐级计算!$Q$86*(CH34-逐级计算!$P$86)*LN(10)/10),0)+LN(1+EXP(-ABS((LN(10^(逐级计算!$Q$86/10)-1)+逐级计算!$Q$86*(CH34-逐级计算!$P$86)*LN(10)/10))))))),"")</f>
        <v>13.7930369775018</v>
      </c>
      <c r="CJ34">
        <f>IF(AND(ISNUMBER(CI34),逐级计算!$X$87&gt;-1),IF(逐级计算!$X$87=0,CI34+逐级计算!$C$87,CI34+逐级计算!$C$87-(10/(逐级计算!$Q$87*LN(10))*(MAX((LN(10^(逐级计算!$Q$87/10)-1)+逐级计算!$Q$87*(CI34-逐级计算!$P$87)*LN(10)/10),0)+LN(1+EXP(-ABS((LN(10^(逐级计算!$Q$87/10)-1)+逐级计算!$Q$87*(CI34-逐级计算!$P$87)*LN(10)/10))))))),"")</f>
        <v>13.7930369775018</v>
      </c>
      <c r="CK34">
        <f>IF(AND(ISNUMBER(CJ34),逐级计算!$X$88&gt;-1),IF(逐级计算!$X$88=0,CJ34+逐级计算!$C$88,CJ34+逐级计算!$C$88-(10/(逐级计算!$Q$88*LN(10))*(MAX((LN(10^(逐级计算!$Q$88/10)-1)+逐级计算!$Q$88*(CJ34-逐级计算!$P$88)*LN(10)/10),0)+LN(1+EXP(-ABS((LN(10^(逐级计算!$Q$88/10)-1)+逐级计算!$Q$88*(CJ34-逐级计算!$P$88)*LN(10)/10))))))),"")</f>
        <v>13.7930369775018</v>
      </c>
      <c r="CL34">
        <f>IF(AND(ISNUMBER(CK34),逐级计算!$X$89&gt;-1),IF(逐级计算!$X$89=0,CK34+逐级计算!$C$89,CK34+逐级计算!$C$89-(10/(逐级计算!$Q$89*LN(10))*(MAX((LN(10^(逐级计算!$Q$89/10)-1)+逐级计算!$Q$89*(CK34-逐级计算!$P$89)*LN(10)/10),0)+LN(1+EXP(-ABS((LN(10^(逐级计算!$Q$89/10)-1)+逐级计算!$Q$89*(CK34-逐级计算!$P$89)*LN(10)/10))))))),"")</f>
        <v>13.7930369775018</v>
      </c>
      <c r="CM34">
        <f>IF(AND(ISNUMBER(CL34),逐级计算!$X$90&gt;-1),IF(逐级计算!$X$90=0,CL34+逐级计算!$C$90,CL34+逐级计算!$C$90-(10/(逐级计算!$Q$90*LN(10))*(MAX((LN(10^(逐级计算!$Q$90/10)-1)+逐级计算!$Q$90*(CL34-逐级计算!$P$90)*LN(10)/10),0)+LN(1+EXP(-ABS((LN(10^(逐级计算!$Q$90/10)-1)+逐级计算!$Q$90*(CL34-逐级计算!$P$90)*LN(10)/10))))))),"")</f>
        <v>13.7930369775018</v>
      </c>
      <c r="CN34">
        <f>IF(AND(ISNUMBER(CM34),逐级计算!$X$91&gt;-1),IF(逐级计算!$X$91=0,CM34+逐级计算!$C$91,CM34+逐级计算!$C$91-(10/(逐级计算!$Q$91*LN(10))*(MAX((LN(10^(逐级计算!$Q$91/10)-1)+逐级计算!$Q$91*(CM34-逐级计算!$P$91)*LN(10)/10),0)+LN(1+EXP(-ABS((LN(10^(逐级计算!$Q$91/10)-1)+逐级计算!$Q$91*(CM34-逐级计算!$P$91)*LN(10)/10))))))),"")</f>
        <v>13.7930369775018</v>
      </c>
      <c r="CO34">
        <f>IF(AND(ISNUMBER(CN34),逐级计算!$X$92&gt;-1),IF(逐级计算!$X$92=0,CN34+逐级计算!$C$92,CN34+逐级计算!$C$92-(10/(逐级计算!$Q$92*LN(10))*(MAX((LN(10^(逐级计算!$Q$92/10)-1)+逐级计算!$Q$92*(CN34-逐级计算!$P$92)*LN(10)/10),0)+LN(1+EXP(-ABS((LN(10^(逐级计算!$Q$92/10)-1)+逐级计算!$Q$92*(CN34-逐级计算!$P$92)*LN(10)/10))))))),"")</f>
        <v>13.7930369775018</v>
      </c>
      <c r="CP34">
        <f>IF(AND(ISNUMBER(CO34),逐级计算!$X$93&gt;-1),IF(逐级计算!$X$93=0,CO34+逐级计算!$C$93,CO34+逐级计算!$C$93-(10/(逐级计算!$Q$93*LN(10))*(MAX((LN(10^(逐级计算!$Q$93/10)-1)+逐级计算!$Q$93*(CO34-逐级计算!$P$93)*LN(10)/10),0)+LN(1+EXP(-ABS((LN(10^(逐级计算!$Q$93/10)-1)+逐级计算!$Q$93*(CO34-逐级计算!$P$93)*LN(10)/10))))))),"")</f>
        <v>13.7930369775018</v>
      </c>
      <c r="CQ34">
        <f>IF(AND(ISNUMBER(CP34),逐级计算!$X$94&gt;-1),IF(逐级计算!$X$94=0,CP34+逐级计算!$C$94,CP34+逐级计算!$C$94-(10/(逐级计算!$Q$94*LN(10))*(MAX((LN(10^(逐级计算!$Q$94/10)-1)+逐级计算!$Q$94*(CP34-逐级计算!$P$94)*LN(10)/10),0)+LN(1+EXP(-ABS((LN(10^(逐级计算!$Q$94/10)-1)+逐级计算!$Q$94*(CP34-逐级计算!$P$94)*LN(10)/10))))))),"")</f>
        <v>13.7930369775018</v>
      </c>
      <c r="CR34">
        <f>IF(AND(ISNUMBER(CQ34),逐级计算!$X$95&gt;-1),IF(逐级计算!$X$95=0,CQ34+逐级计算!$C$95,CQ34+逐级计算!$C$95-(10/(逐级计算!$Q$95*LN(10))*(MAX((LN(10^(逐级计算!$Q$95/10)-1)+逐级计算!$Q$95*(CQ34-逐级计算!$P$95)*LN(10)/10),0)+LN(1+EXP(-ABS((LN(10^(逐级计算!$Q$95/10)-1)+逐级计算!$Q$95*(CQ34-逐级计算!$P$95)*LN(10)/10))))))),"")</f>
        <v>13.7930369775018</v>
      </c>
      <c r="CS34">
        <f>IF(AND(ISNUMBER(CR34),逐级计算!$X$96&gt;-1),IF(逐级计算!$X$96=0,CR34+逐级计算!$C$96,CR34+逐级计算!$C$96-(10/(逐级计算!$Q$96*LN(10))*(MAX((LN(10^(逐级计算!$Q$96/10)-1)+逐级计算!$Q$96*(CR34-逐级计算!$P$96)*LN(10)/10),0)+LN(1+EXP(-ABS((LN(10^(逐级计算!$Q$96/10)-1)+逐级计算!$Q$96*(CR34-逐级计算!$P$96)*LN(10)/10))))))),"")</f>
        <v>13.7930369775018</v>
      </c>
      <c r="CT34">
        <f>IF(AND(ISNUMBER(CS34),逐级计算!$X$97&gt;-1),IF(逐级计算!$X$97=0,CS34+逐级计算!$C$97,CS34+逐级计算!$C$97-(10/(逐级计算!$Q$97*LN(10))*(MAX((LN(10^(逐级计算!$Q$97/10)-1)+逐级计算!$Q$97*(CS34-逐级计算!$P$97)*LN(10)/10),0)+LN(1+EXP(-ABS((LN(10^(逐级计算!$Q$97/10)-1)+逐级计算!$Q$97*(CS34-逐级计算!$P$97)*LN(10)/10))))))),"")</f>
        <v>13.7930369775018</v>
      </c>
      <c r="CU34">
        <f>IF(AND(ISNUMBER(CT34),逐级计算!$X$98&gt;-1),IF(逐级计算!$X$98=0,CT34+逐级计算!$C$98,CT34+逐级计算!$C$98-(10/(逐级计算!$Q$98*LN(10))*(MAX((LN(10^(逐级计算!$Q$98/10)-1)+逐级计算!$Q$98*(CT34-逐级计算!$P$98)*LN(10)/10),0)+LN(1+EXP(-ABS((LN(10^(逐级计算!$Q$98/10)-1)+逐级计算!$Q$98*(CT34-逐级计算!$P$98)*LN(10)/10))))))),"")</f>
        <v>13.7930369775018</v>
      </c>
      <c r="CV34">
        <f>IF(AND(ISNUMBER(CU34),逐级计算!$X$99&gt;-1),IF(逐级计算!$X$99=0,CU34+逐级计算!$C$99,CU34+逐级计算!$C$99-(10/(逐级计算!$Q$99*LN(10))*(MAX((LN(10^(逐级计算!$Q$99/10)-1)+逐级计算!$Q$99*(CU34-逐级计算!$P$99)*LN(10)/10),0)+LN(1+EXP(-ABS((LN(10^(逐级计算!$Q$99/10)-1)+逐级计算!$Q$99*(CU34-逐级计算!$P$99)*LN(10)/10))))))),"")</f>
        <v>13.7930369775018</v>
      </c>
      <c r="CW34">
        <f>IF(AND(ISNUMBER(CV34),逐级计算!$X$100&gt;-1),IF(逐级计算!$X$100=0,CV34+逐级计算!$C$100,CV34+逐级计算!$C$100-(10/(逐级计算!$Q$100*LN(10))*(MAX((LN(10^(逐级计算!$Q$100/10)-1)+逐级计算!$Q$100*(CV34-逐级计算!$P$100)*LN(10)/10),0)+LN(1+EXP(-ABS((LN(10^(逐级计算!$Q$100/10)-1)+逐级计算!$Q$100*(CV34-逐级计算!$P$100)*LN(10)/10))))))),"")</f>
        <v>13.7930369775018</v>
      </c>
      <c r="CX34">
        <f>IF(AND(ISNUMBER(CW34),逐级计算!$X$101&gt;-1),IF(逐级计算!$X$101=0,CW34+逐级计算!$C$101,CW34+逐级计算!$C$101-(10/(逐级计算!$Q$101*LN(10))*(MAX((LN(10^(逐级计算!$Q$101/10)-1)+逐级计算!$Q$101*(CW34-逐级计算!$P$101)*LN(10)/10),0)+LN(1+EXP(-ABS((LN(10^(逐级计算!$Q$101/10)-1)+逐级计算!$Q$101*(CW34-逐级计算!$P$101)*LN(10)/10))))))),"")</f>
        <v>13.7930369775018</v>
      </c>
      <c r="CY34">
        <f>IF(AND(ISNUMBER(CX34),逐级计算!$X$102&gt;-1),IF(逐级计算!$X$102=0,CX34+逐级计算!$C$102,CX34+逐级计算!$C$102-(10/(逐级计算!$Q$102*LN(10))*(MAX((LN(10^(逐级计算!$Q$102/10)-1)+逐级计算!$Q$102*(CX34-逐级计算!$P$102)*LN(10)/10),0)+LN(1+EXP(-ABS((LN(10^(逐级计算!$Q$102/10)-1)+逐级计算!$Q$102*(CX34-逐级计算!$P$102)*LN(10)/10))))))),"")</f>
        <v>13.7930369775018</v>
      </c>
      <c r="CZ34">
        <f>IF(AND(ISNUMBER(CY34),逐级计算!$X$103&gt;-1),IF(逐级计算!$X$103=0,CY34+逐级计算!$C$103,CY34+逐级计算!$C$103-(10/(逐级计算!$Q$103*LN(10))*(MAX((LN(10^(逐级计算!$Q$103/10)-1)+逐级计算!$Q$103*(CY34-逐级计算!$P$103)*LN(10)/10),0)+LN(1+EXP(-ABS((LN(10^(逐级计算!$Q$103/10)-1)+逐级计算!$Q$103*(CY34-逐级计算!$P$103)*LN(10)/10))))))),"")</f>
        <v>13.7930369775018</v>
      </c>
      <c r="DA34">
        <f>IF(AND(ISNUMBER(CZ34),逐级计算!$X$104&gt;-1),IF(逐级计算!$X$104=0,CZ34+逐级计算!$C$104,CZ34+逐级计算!$C$104-(10/(逐级计算!$Q$104*LN(10))*(MAX((LN(10^(逐级计算!$Q$104/10)-1)+逐级计算!$Q$104*(CZ34-逐级计算!$P$104)*LN(10)/10),0)+LN(1+EXP(-ABS((LN(10^(逐级计算!$Q$104/10)-1)+逐级计算!$Q$104*(CZ34-逐级计算!$P$104)*LN(10)/10))))))),"")</f>
        <v>13.7930369775018</v>
      </c>
      <c r="DB34">
        <f>IF(AND(ISNUMBER(DA34),逐级计算!$X$105&gt;-1),IF(逐级计算!$X$105=0,DA34+逐级计算!$C$105,DA34+逐级计算!$C$105-(10/(逐级计算!$Q$105*LN(10))*(MAX((LN(10^(逐级计算!$Q$105/10)-1)+逐级计算!$Q$105*(DA34-逐级计算!$P$105)*LN(10)/10),0)+LN(1+EXP(-ABS((LN(10^(逐级计算!$Q$105/10)-1)+逐级计算!$Q$105*(DA34-逐级计算!$P$105)*LN(10)/10))))))),"")</f>
        <v>13.7930369775018</v>
      </c>
      <c r="DC34">
        <f>IF(AND(ISNUMBER(DB34),逐级计算!$X$106&gt;-1),IF(逐级计算!$X$106=0,DB34+逐级计算!$C$106,DB34+逐级计算!$C$106-(10/(逐级计算!$Q$106*LN(10))*(MAX((LN(10^(逐级计算!$Q$106/10)-1)+逐级计算!$Q$106*(DB34-逐级计算!$P$106)*LN(10)/10),0)+LN(1+EXP(-ABS((LN(10^(逐级计算!$Q$106/10)-1)+逐级计算!$Q$106*(DB34-逐级计算!$P$106)*LN(10)/10))))))),"")</f>
        <v>13.7930369775018</v>
      </c>
      <c r="DD34">
        <f>IF(AND(ISNUMBER(DC34),逐级计算!$X$107&gt;-1),IF(逐级计算!$X$107=0,DC34+逐级计算!$C$107,DC34+逐级计算!$C$107-(10/(逐级计算!$Q$107*LN(10))*(MAX((LN(10^(逐级计算!$Q$107/10)-1)+逐级计算!$Q$107*(DC34-逐级计算!$P$107)*LN(10)/10),0)+LN(1+EXP(-ABS((LN(10^(逐级计算!$Q$107/10)-1)+逐级计算!$Q$107*(DC34-逐级计算!$P$107)*LN(10)/10))))))),"")</f>
        <v>13.7930369775018</v>
      </c>
      <c r="DE34">
        <f>IF(AND(ISNUMBER(DD34),逐级计算!$X$108&gt;-1),IF(逐级计算!$X$108=0,DD34+逐级计算!$C$108,DD34+逐级计算!$C$108-(10/(逐级计算!$Q$108*LN(10))*(MAX((LN(10^(逐级计算!$Q$108/10)-1)+逐级计算!$Q$108*(DD34-逐级计算!$P$108)*LN(10)/10),0)+LN(1+EXP(-ABS((LN(10^(逐级计算!$Q$108/10)-1)+逐级计算!$Q$108*(DD34-逐级计算!$P$108)*LN(10)/10))))))),"")</f>
        <v>13.7930369775018</v>
      </c>
      <c r="DF34">
        <f>IF(AND(ISNUMBER(DE34),逐级计算!$X$109&gt;-1),IF(逐级计算!$X$109=0,DE34+逐级计算!$C$109,DE34+逐级计算!$C$109-(10/(逐级计算!$Q$109*LN(10))*(MAX((LN(10^(逐级计算!$Q$109/10)-1)+逐级计算!$Q$109*(DE34-逐级计算!$P$109)*LN(10)/10),0)+LN(1+EXP(-ABS((LN(10^(逐级计算!$Q$109/10)-1)+逐级计算!$Q$109*(DE34-逐级计算!$P$109)*LN(10)/10))))))),"")</f>
        <v>13.7930369775018</v>
      </c>
      <c r="DG34">
        <f>IF(AND(ISNUMBER(DF34),逐级计算!$X$110&gt;-1),IF(逐级计算!$X$110=0,DF34+逐级计算!$C$110,DF34+逐级计算!$C$110-(10/(逐级计算!$Q$110*LN(10))*(MAX((LN(10^(逐级计算!$Q$110/10)-1)+逐级计算!$Q$110*(DF34-逐级计算!$P$110)*LN(10)/10),0)+LN(1+EXP(-ABS((LN(10^(逐级计算!$Q$110/10)-1)+逐级计算!$Q$110*(DF34-逐级计算!$P$110)*LN(10)/10))))))),"")</f>
        <v>13.7930369775018</v>
      </c>
      <c r="DH34">
        <f>IF(AND(ISNUMBER(DG34),逐级计算!$X$111&gt;-1),IF(逐级计算!$X$111=0,DG34+逐级计算!$C$111,DG34+逐级计算!$C$111-(10/(逐级计算!$Q$111*LN(10))*(MAX((LN(10^(逐级计算!$Q$111/10)-1)+逐级计算!$Q$111*(DG34-逐级计算!$P$111)*LN(10)/10),0)+LN(1+EXP(-ABS((LN(10^(逐级计算!$Q$111/10)-1)+逐级计算!$Q$111*(DG34-逐级计算!$P$111)*LN(10)/10))))))),"")</f>
        <v>13.7930369775018</v>
      </c>
      <c r="DI34">
        <f>IF(AND(ISNUMBER(DH34),逐级计算!$X$112&gt;-1),IF(逐级计算!$X$112=0,DH34+逐级计算!$C$112,DH34+逐级计算!$C$112-(10/(逐级计算!$Q$112*LN(10))*(MAX((LN(10^(逐级计算!$Q$112/10)-1)+逐级计算!$Q$112*(DH34-逐级计算!$P$112)*LN(10)/10),0)+LN(1+EXP(-ABS((LN(10^(逐级计算!$Q$112/10)-1)+逐级计算!$Q$112*(DH34-逐级计算!$P$112)*LN(10)/10))))))),"")</f>
        <v>13.7930369775018</v>
      </c>
      <c r="DJ34">
        <f>IF(AND(ISNUMBER(DI34),逐级计算!$X$113&gt;-1),IF(逐级计算!$X$113=0,DI34+逐级计算!$C$113,DI34+逐级计算!$C$113-(10/(逐级计算!$Q$113*LN(10))*(MAX((LN(10^(逐级计算!$Q$113/10)-1)+逐级计算!$Q$113*(DI34-逐级计算!$P$113)*LN(10)/10),0)+LN(1+EXP(-ABS((LN(10^(逐级计算!$Q$113/10)-1)+逐级计算!$Q$113*(DI34-逐级计算!$P$113)*LN(10)/10))))))),"")</f>
        <v>13.7930369775018</v>
      </c>
      <c r="DK34">
        <f>IF(AND(ISNUMBER(DJ34),逐级计算!$X$114&gt;-1),IF(逐级计算!$X$114=0,DJ34+逐级计算!$C$114,DJ34+逐级计算!$C$114-(10/(逐级计算!$Q$114*LN(10))*(MAX((LN(10^(逐级计算!$Q$114/10)-1)+逐级计算!$Q$114*(DJ34-逐级计算!$P$114)*LN(10)/10),0)+LN(1+EXP(-ABS((LN(10^(逐级计算!$Q$114/10)-1)+逐级计算!$Q$114*(DJ34-逐级计算!$P$114)*LN(10)/10))))))),"")</f>
        <v>13.7930369775018</v>
      </c>
      <c r="DL34">
        <f>IF(AND(ISNUMBER(DK34),逐级计算!$X$115&gt;-1),IF(逐级计算!$X$115=0,DK34+逐级计算!$C$115,DK34+逐级计算!$C$115-(10/(逐级计算!$Q$115*LN(10))*(MAX((LN(10^(逐级计算!$Q$115/10)-1)+逐级计算!$Q$115*(DK34-逐级计算!$P$115)*LN(10)/10),0)+LN(1+EXP(-ABS((LN(10^(逐级计算!$Q$115/10)-1)+逐级计算!$Q$115*(DK34-逐级计算!$P$115)*LN(10)/10))))))),"")</f>
        <v>13.7930369775018</v>
      </c>
      <c r="DM34">
        <f>IF(AND(ISNUMBER(DL34),逐级计算!$X$116&gt;-1),IF(逐级计算!$X$116=0,DL34+逐级计算!$C$116,DL34+逐级计算!$C$116-(10/(逐级计算!$Q$116*LN(10))*(MAX((LN(10^(逐级计算!$Q$116/10)-1)+逐级计算!$Q$116*(DL34-逐级计算!$P$116)*LN(10)/10),0)+LN(1+EXP(-ABS((LN(10^(逐级计算!$Q$116/10)-1)+逐级计算!$Q$116*(DL34-逐级计算!$P$116)*LN(10)/10))))))),"")</f>
        <v>13.7930369775018</v>
      </c>
      <c r="DN34">
        <f>IF(AND(ISNUMBER(DM34),逐级计算!$X$117&gt;-1),IF(逐级计算!$X$117=0,DM34+逐级计算!$C$117,DM34+逐级计算!$C$117-(10/(逐级计算!$Q$117*LN(10))*(MAX((LN(10^(逐级计算!$Q$117/10)-1)+逐级计算!$Q$117*(DM34-逐级计算!$P$117)*LN(10)/10),0)+LN(1+EXP(-ABS((LN(10^(逐级计算!$Q$117/10)-1)+逐级计算!$Q$117*(DM34-逐级计算!$P$117)*LN(10)/10))))))),"")</f>
        <v>13.7930369775018</v>
      </c>
      <c r="DO34">
        <f>IF(AND(ISNUMBER(DN34),逐级计算!$X$118&gt;-1),IF(逐级计算!$X$118=0,DN34+逐级计算!$C$118,DN34+逐级计算!$C$118-(10/(逐级计算!$Q$118*LN(10))*(MAX((LN(10^(逐级计算!$Q$118/10)-1)+逐级计算!$Q$118*(DN34-逐级计算!$P$118)*LN(10)/10),0)+LN(1+EXP(-ABS((LN(10^(逐级计算!$Q$118/10)-1)+逐级计算!$Q$118*(DN34-逐级计算!$P$118)*LN(10)/10))))))),"")</f>
        <v>13.7930369775018</v>
      </c>
      <c r="DP34">
        <f>IF(AND(ISNUMBER(DO34),逐级计算!$X$119&gt;-1),IF(逐级计算!$X$119=0,DO34+逐级计算!$C$119,DO34+逐级计算!$C$119-(10/(逐级计算!$Q$119*LN(10))*(MAX((LN(10^(逐级计算!$Q$119/10)-1)+逐级计算!$Q$119*(DO34-逐级计算!$P$119)*LN(10)/10),0)+LN(1+EXP(-ABS((LN(10^(逐级计算!$Q$119/10)-1)+逐级计算!$Q$119*(DO34-逐级计算!$P$119)*LN(10)/10))))))),"")</f>
        <v>13.7930369775018</v>
      </c>
      <c r="DQ34">
        <f>IF(AND(ISNUMBER(DP34),逐级计算!$X$120&gt;-1),IF(逐级计算!$X$120=0,DP34+逐级计算!$C$120,DP34+逐级计算!$C$120-(10/(逐级计算!$Q$120*LN(10))*(MAX((LN(10^(逐级计算!$Q$120/10)-1)+逐级计算!$Q$120*(DP34-逐级计算!$P$120)*LN(10)/10),0)+LN(1+EXP(-ABS((LN(10^(逐级计算!$Q$120/10)-1)+逐级计算!$Q$120*(DP34-逐级计算!$P$120)*LN(10)/10))))))),"")</f>
        <v>13.7930369775018</v>
      </c>
      <c r="DR34">
        <f>IF(AND(ISNUMBER(DQ34),逐级计算!$X$121&gt;-1),IF(逐级计算!$X$121=0,DQ34+逐级计算!$C$121,DQ34+逐级计算!$C$121-(10/(逐级计算!$Q$121*LN(10))*(MAX((LN(10^(逐级计算!$Q$121/10)-1)+逐级计算!$Q$121*(DQ34-逐级计算!$P$121)*LN(10)/10),0)+LN(1+EXP(-ABS((LN(10^(逐级计算!$Q$121/10)-1)+逐级计算!$Q$121*(DQ34-逐级计算!$P$121)*LN(10)/10))))))),"")</f>
        <v>13.7930369775018</v>
      </c>
      <c r="DS34">
        <f>IF(AND(ISNUMBER(DR34),逐级计算!$X$122&gt;-1),IF(逐级计算!$X$122=0,DR34+逐级计算!$C$122,DR34+逐级计算!$C$122-(10/(逐级计算!$Q$122*LN(10))*(MAX((LN(10^(逐级计算!$Q$122/10)-1)+逐级计算!$Q$122*(DR34-逐级计算!$P$122)*LN(10)/10),0)+LN(1+EXP(-ABS((LN(10^(逐级计算!$Q$122/10)-1)+逐级计算!$Q$122*(DR34-逐级计算!$P$122)*LN(10)/10))))))),"")</f>
        <v>13.7930369775018</v>
      </c>
      <c r="DT34">
        <f>IF(AND(ISNUMBER(DS34),逐级计算!$X$123&gt;-1),IF(逐级计算!$X$123=0,DS34+逐级计算!$C$123,DS34+逐级计算!$C$123-(10/(逐级计算!$Q$123*LN(10))*(MAX((LN(10^(逐级计算!$Q$123/10)-1)+逐级计算!$Q$123*(DS34-逐级计算!$P$123)*LN(10)/10),0)+LN(1+EXP(-ABS((LN(10^(逐级计算!$Q$123/10)-1)+逐级计算!$Q$123*(DS34-逐级计算!$P$123)*LN(10)/10))))))),"")</f>
        <v>13.7930369775018</v>
      </c>
      <c r="DU34">
        <f>IF(AND(ISNUMBER(DT34),逐级计算!$X$124&gt;-1),IF(逐级计算!$X$124=0,DT34+逐级计算!$C$124,DT34+逐级计算!$C$124-(10/(逐级计算!$Q$124*LN(10))*(MAX((LN(10^(逐级计算!$Q$124/10)-1)+逐级计算!$Q$124*(DT34-逐级计算!$P$124)*LN(10)/10),0)+LN(1+EXP(-ABS((LN(10^(逐级计算!$Q$124/10)-1)+逐级计算!$Q$124*(DT34-逐级计算!$P$124)*LN(10)/10))))))),"")</f>
        <v>13.7930369775018</v>
      </c>
      <c r="DV34">
        <f>IF(AND(ISNUMBER(DU34),逐级计算!$X$125&gt;-1),IF(逐级计算!$X$125=0,DU34+逐级计算!$C$125,DU34+逐级计算!$C$125-(10/(逐级计算!$Q$125*LN(10))*(MAX((LN(10^(逐级计算!$Q$125/10)-1)+逐级计算!$Q$125*(DU34-逐级计算!$P$125)*LN(10)/10),0)+LN(1+EXP(-ABS((LN(10^(逐级计算!$Q$125/10)-1)+逐级计算!$Q$125*(DU34-逐级计算!$P$125)*LN(10)/10))))))),"")</f>
        <v>13.7930369775018</v>
      </c>
      <c r="DW34">
        <f>IF(AND(ISNUMBER(DV34),逐级计算!$X$126&gt;-1),IF(逐级计算!$X$126=0,DV34+逐级计算!$C$126,DV34+逐级计算!$C$126-(10/(逐级计算!$Q$126*LN(10))*(MAX((LN(10^(逐级计算!$Q$126/10)-1)+逐级计算!$Q$126*(DV34-逐级计算!$P$126)*LN(10)/10),0)+LN(1+EXP(-ABS((LN(10^(逐级计算!$Q$126/10)-1)+逐级计算!$Q$126*(DV34-逐级计算!$P$126)*LN(10)/10))))))),"")</f>
        <v>13.7930369775018</v>
      </c>
      <c r="DX34">
        <f>IF(AND(ISNUMBER(DW34),逐级计算!$X$127&gt;-1),IF(逐级计算!$X$127=0,DW34+逐级计算!$C$127,DW34+逐级计算!$C$127-(10/(逐级计算!$Q$127*LN(10))*(MAX((LN(10^(逐级计算!$Q$127/10)-1)+逐级计算!$Q$127*(DW34-逐级计算!$P$127)*LN(10)/10),0)+LN(1+EXP(-ABS((LN(10^(逐级计算!$Q$127/10)-1)+逐级计算!$Q$127*(DW34-逐级计算!$P$127)*LN(10)/10))))))),"")</f>
        <v>13.7930369775018</v>
      </c>
      <c r="DY34">
        <f>IF(AND(ISNUMBER(DX34),逐级计算!$X$128&gt;-1),IF(逐级计算!$X$128=0,DX34+逐级计算!$C$128,DX34+逐级计算!$C$128-(10/(逐级计算!$Q$128*LN(10))*(MAX((LN(10^(逐级计算!$Q$128/10)-1)+逐级计算!$Q$128*(DX34-逐级计算!$P$128)*LN(10)/10),0)+LN(1+EXP(-ABS((LN(10^(逐级计算!$Q$128/10)-1)+逐级计算!$Q$128*(DX34-逐级计算!$P$128)*LN(10)/10))))))),"")</f>
        <v>13.7930369775018</v>
      </c>
      <c r="DZ34">
        <f>IF(AND(ISNUMBER(DY34),逐级计算!$X$129&gt;-1),IF(逐级计算!$X$129=0,DY34+逐级计算!$C$129,DY34+逐级计算!$C$129-(10/(逐级计算!$Q$129*LN(10))*(MAX((LN(10^(逐级计算!$Q$129/10)-1)+逐级计算!$Q$129*(DY34-逐级计算!$P$129)*LN(10)/10),0)+LN(1+EXP(-ABS((LN(10^(逐级计算!$Q$129/10)-1)+逐级计算!$Q$129*(DY34-逐级计算!$P$129)*LN(10)/10))))))),"")</f>
        <v>13.7930369775018</v>
      </c>
      <c r="EA34">
        <f>IF(AND(ISNUMBER(DZ34),逐级计算!$X$130&gt;-1),IF(逐级计算!$X$130=0,DZ34+逐级计算!$C$130,DZ34+逐级计算!$C$130-(10/(逐级计算!$Q$130*LN(10))*(MAX((LN(10^(逐级计算!$Q$130/10)-1)+逐级计算!$Q$130*(DZ34-逐级计算!$P$130)*LN(10)/10),0)+LN(1+EXP(-ABS((LN(10^(逐级计算!$Q$130/10)-1)+逐级计算!$Q$130*(DZ34-逐级计算!$P$130)*LN(10)/10))))))),"")</f>
        <v>13.7930369775018</v>
      </c>
      <c r="EB34">
        <f>IF(AND(ISNUMBER(EA34),逐级计算!$X$131&gt;-1),IF(逐级计算!$X$131=0,EA34+逐级计算!$C$131,EA34+逐级计算!$C$131-(10/(逐级计算!$Q$131*LN(10))*(MAX((LN(10^(逐级计算!$Q$131/10)-1)+逐级计算!$Q$131*(EA34-逐级计算!$P$131)*LN(10)/10),0)+LN(1+EXP(-ABS((LN(10^(逐级计算!$Q$131/10)-1)+逐级计算!$Q$131*(EA34-逐级计算!$P$131)*LN(10)/10))))))),"")</f>
        <v>13.7930369775018</v>
      </c>
      <c r="EC34">
        <f>IF(AND(ISNUMBER(EB34),逐级计算!$X$132&gt;-1),IF(逐级计算!$X$132=0,EB34+逐级计算!$C$132,EB34+逐级计算!$C$132-(10/(逐级计算!$Q$132*LN(10))*(MAX((LN(10^(逐级计算!$Q$132/10)-1)+逐级计算!$Q$132*(EB34-逐级计算!$P$132)*LN(10)/10),0)+LN(1+EXP(-ABS((LN(10^(逐级计算!$Q$132/10)-1)+逐级计算!$Q$132*(EB34-逐级计算!$P$132)*LN(10)/10))))))),"")</f>
        <v>13.7930369775018</v>
      </c>
      <c r="ED34">
        <f>IF(AND(ISNUMBER(EC34),逐级计算!$X$133&gt;-1),IF(逐级计算!$X$133=0,EC34+逐级计算!$C$133,EC34+逐级计算!$C$133-(10/(逐级计算!$Q$133*LN(10))*(MAX((LN(10^(逐级计算!$Q$133/10)-1)+逐级计算!$Q$133*(EC34-逐级计算!$P$133)*LN(10)/10),0)+LN(1+EXP(-ABS((LN(10^(逐级计算!$Q$133/10)-1)+逐级计算!$Q$133*(EC34-逐级计算!$P$133)*LN(10)/10))))))),"")</f>
        <v>13.7930369775018</v>
      </c>
      <c r="EE34">
        <f>IF(AND(ISNUMBER(ED34),逐级计算!$X$134&gt;-1),IF(逐级计算!$X$134=0,ED34+逐级计算!$C$134,ED34+逐级计算!$C$134-(10/(逐级计算!$Q$134*LN(10))*(MAX((LN(10^(逐级计算!$Q$134/10)-1)+逐级计算!$Q$134*(ED34-逐级计算!$P$134)*LN(10)/10),0)+LN(1+EXP(-ABS((LN(10^(逐级计算!$Q$134/10)-1)+逐级计算!$Q$134*(ED34-逐级计算!$P$134)*LN(10)/10))))))),"")</f>
        <v>13.7930369775018</v>
      </c>
      <c r="EF34">
        <f>IF(AND(ISNUMBER(EE34),逐级计算!$X$135&gt;-1),IF(逐级计算!$X$135=0,EE34+逐级计算!$C$135,EE34+逐级计算!$C$135-(10/(逐级计算!$Q$135*LN(10))*(MAX((LN(10^(逐级计算!$Q$135/10)-1)+逐级计算!$Q$135*(EE34-逐级计算!$P$135)*LN(10)/10),0)+LN(1+EXP(-ABS((LN(10^(逐级计算!$Q$135/10)-1)+逐级计算!$Q$135*(EE34-逐级计算!$P$135)*LN(10)/10))))))),"")</f>
        <v>13.7930369775018</v>
      </c>
      <c r="EG34">
        <f>IF(AND(ISNUMBER(EF34),逐级计算!$X$136&gt;-1),IF(逐级计算!$X$136=0,EF34+逐级计算!$C$136,EF34+逐级计算!$C$136-(10/(逐级计算!$Q$136*LN(10))*(MAX((LN(10^(逐级计算!$Q$136/10)-1)+逐级计算!$Q$136*(EF34-逐级计算!$P$136)*LN(10)/10),0)+LN(1+EXP(-ABS((LN(10^(逐级计算!$Q$136/10)-1)+逐级计算!$Q$136*(EF34-逐级计算!$P$136)*LN(10)/10))))))),"")</f>
        <v>13.7930369775018</v>
      </c>
      <c r="EH34">
        <f>IF(AND(ISNUMBER(EG34),逐级计算!$X$137&gt;-1),IF(逐级计算!$X$137=0,EG34+逐级计算!$C$137,EG34+逐级计算!$C$137-(10/(逐级计算!$Q$137*LN(10))*(MAX((LN(10^(逐级计算!$Q$137/10)-1)+逐级计算!$Q$137*(EG34-逐级计算!$P$137)*LN(10)/10),0)+LN(1+EXP(-ABS((LN(10^(逐级计算!$Q$137/10)-1)+逐级计算!$Q$137*(EG34-逐级计算!$P$137)*LN(10)/10))))))),"")</f>
        <v>13.7930369775018</v>
      </c>
      <c r="EI34">
        <f>IF(AND(ISNUMBER(EH34),逐级计算!$X$138&gt;-1),IF(逐级计算!$X$138=0,EH34+逐级计算!$C$138,EH34+逐级计算!$C$138-(10/(逐级计算!$Q$138*LN(10))*(MAX((LN(10^(逐级计算!$Q$138/10)-1)+逐级计算!$Q$138*(EH34-逐级计算!$P$138)*LN(10)/10),0)+LN(1+EXP(-ABS((LN(10^(逐级计算!$Q$138/10)-1)+逐级计算!$Q$138*(EH34-逐级计算!$P$138)*LN(10)/10))))))),"")</f>
        <v>13.7930369775018</v>
      </c>
      <c r="EJ34">
        <f>IF(AND(ISNUMBER(EI34),逐级计算!$X$139&gt;-1),IF(逐级计算!$X$139=0,EI34+逐级计算!$C$139,EI34+逐级计算!$C$139-(10/(逐级计算!$Q$139*LN(10))*(MAX((LN(10^(逐级计算!$Q$139/10)-1)+逐级计算!$Q$139*(EI34-逐级计算!$P$139)*LN(10)/10),0)+LN(1+EXP(-ABS((LN(10^(逐级计算!$Q$139/10)-1)+逐级计算!$Q$139*(EI34-逐级计算!$P$139)*LN(10)/10))))))),"")</f>
        <v>13.7930369775018</v>
      </c>
      <c r="EK34">
        <f>IF(AND(ISNUMBER(EJ34),逐级计算!$X$140&gt;-1),IF(逐级计算!$X$140=0,EJ34+逐级计算!$C$140,EJ34+逐级计算!$C$140-(10/(逐级计算!$Q$140*LN(10))*(MAX((LN(10^(逐级计算!$Q$140/10)-1)+逐级计算!$Q$140*(EJ34-逐级计算!$P$140)*LN(10)/10),0)+LN(1+EXP(-ABS((LN(10^(逐级计算!$Q$140/10)-1)+逐级计算!$Q$140*(EJ34-逐级计算!$P$140)*LN(10)/10))))))),"")</f>
        <v>13.7930369775018</v>
      </c>
      <c r="EL34">
        <f>IF(AND(ISNUMBER(EK34),逐级计算!$X$141&gt;-1),IF(逐级计算!$X$141=0,EK34+逐级计算!$C$141,EK34+逐级计算!$C$141-(10/(逐级计算!$Q$141*LN(10))*(MAX((LN(10^(逐级计算!$Q$141/10)-1)+逐级计算!$Q$141*(EK34-逐级计算!$P$141)*LN(10)/10),0)+LN(1+EXP(-ABS((LN(10^(逐级计算!$Q$141/10)-1)+逐级计算!$Q$141*(EK34-逐级计算!$P$141)*LN(10)/10))))))),"")</f>
        <v>13.7930369775018</v>
      </c>
      <c r="EM34">
        <f>IF(AND(ISNUMBER(EL34),逐级计算!$X$142&gt;-1),IF(逐级计算!$X$142=0,EL34+逐级计算!$C$142,EL34+逐级计算!$C$142-(10/(逐级计算!$Q$142*LN(10))*(MAX((LN(10^(逐级计算!$Q$142/10)-1)+逐级计算!$Q$142*(EL34-逐级计算!$P$142)*LN(10)/10),0)+LN(1+EXP(-ABS((LN(10^(逐级计算!$Q$142/10)-1)+逐级计算!$Q$142*(EL34-逐级计算!$P$142)*LN(10)/10))))))),"")</f>
        <v>13.7930369775018</v>
      </c>
      <c r="EN34">
        <f>IF(AND(ISNUMBER(EM34),逐级计算!$X$143&gt;-1),IF(逐级计算!$X$143=0,EM34+逐级计算!$C$143,EM34+逐级计算!$C$143-(10/(逐级计算!$Q$143*LN(10))*(MAX((LN(10^(逐级计算!$Q$143/10)-1)+逐级计算!$Q$143*(EM34-逐级计算!$P$143)*LN(10)/10),0)+LN(1+EXP(-ABS((LN(10^(逐级计算!$Q$143/10)-1)+逐级计算!$Q$143*(EM34-逐级计算!$P$143)*LN(10)/10))))))),"")</f>
        <v>13.7930369775018</v>
      </c>
      <c r="EO34">
        <f>IF(AND(ISNUMBER(EN34),逐级计算!$X$144&gt;-1),IF(逐级计算!$X$144=0,EN34+逐级计算!$C$144,EN34+逐级计算!$C$144-(10/(逐级计算!$Q$144*LN(10))*(MAX((LN(10^(逐级计算!$Q$144/10)-1)+逐级计算!$Q$144*(EN34-逐级计算!$P$144)*LN(10)/10),0)+LN(1+EXP(-ABS((LN(10^(逐级计算!$Q$144/10)-1)+逐级计算!$Q$144*(EN34-逐级计算!$P$144)*LN(10)/10))))))),"")</f>
        <v>13.7930369775018</v>
      </c>
      <c r="EP34">
        <f>IF(AND(ISNUMBER(EO34),逐级计算!$X$145&gt;-1),IF(逐级计算!$X$145=0,EO34+逐级计算!$C$145,EO34+逐级计算!$C$145-(10/(逐级计算!$Q$145*LN(10))*(MAX((LN(10^(逐级计算!$Q$145/10)-1)+逐级计算!$Q$145*(EO34-逐级计算!$P$145)*LN(10)/10),0)+LN(1+EXP(-ABS((LN(10^(逐级计算!$Q$145/10)-1)+逐级计算!$Q$145*(EO34-逐级计算!$P$145)*LN(10)/10))))))),"")</f>
        <v>13.7930369775018</v>
      </c>
      <c r="EQ34">
        <f>IF(AND(ISNUMBER(EP34),逐级计算!$X$146&gt;-1),IF(逐级计算!$X$146=0,EP34+逐级计算!$C$146,EP34+逐级计算!$C$146-(10/(逐级计算!$Q$146*LN(10))*(MAX((LN(10^(逐级计算!$Q$146/10)-1)+逐级计算!$Q$146*(EP34-逐级计算!$P$146)*LN(10)/10),0)+LN(1+EXP(-ABS((LN(10^(逐级计算!$Q$146/10)-1)+逐级计算!$Q$146*(EP34-逐级计算!$P$146)*LN(10)/10))))))),"")</f>
        <v>13.7930369775018</v>
      </c>
      <c r="ER34">
        <f>IF(AND(ISNUMBER(EQ34),逐级计算!$X$147&gt;-1),IF(逐级计算!$X$147=0,EQ34+逐级计算!$C$147,EQ34+逐级计算!$C$147-(10/(逐级计算!$Q$147*LN(10))*(MAX((LN(10^(逐级计算!$Q$147/10)-1)+逐级计算!$Q$147*(EQ34-逐级计算!$P$147)*LN(10)/10),0)+LN(1+EXP(-ABS((LN(10^(逐级计算!$Q$147/10)-1)+逐级计算!$Q$147*(EQ34-逐级计算!$P$147)*LN(10)/10))))))),"")</f>
        <v>13.7930369775018</v>
      </c>
      <c r="ES34">
        <f>IF(AND(ISNUMBER(ER34),逐级计算!$X$148&gt;-1),IF(逐级计算!$X$148=0,ER34+逐级计算!$C$148,ER34+逐级计算!$C$148-(10/(逐级计算!$Q$148*LN(10))*(MAX((LN(10^(逐级计算!$Q$148/10)-1)+逐级计算!$Q$148*(ER34-逐级计算!$P$148)*LN(10)/10),0)+LN(1+EXP(-ABS((LN(10^(逐级计算!$Q$148/10)-1)+逐级计算!$Q$148*(ER34-逐级计算!$P$148)*LN(10)/10))))))),"")</f>
        <v>13.7930369775018</v>
      </c>
      <c r="ET34">
        <f>IF(AND(ISNUMBER(ES34),逐级计算!$X$149&gt;-1),IF(逐级计算!$X$149=0,ES34+逐级计算!$C$149,ES34+逐级计算!$C$149-(10/(逐级计算!$Q$149*LN(10))*(MAX((LN(10^(逐级计算!$Q$149/10)-1)+逐级计算!$Q$149*(ES34-逐级计算!$P$149)*LN(10)/10),0)+LN(1+EXP(-ABS((LN(10^(逐级计算!$Q$149/10)-1)+逐级计算!$Q$149*(ES34-逐级计算!$P$149)*LN(10)/10))))))),"")</f>
        <v>13.7930369775018</v>
      </c>
      <c r="EU34">
        <f>IF(AND(ISNUMBER(ET34),逐级计算!$X$150&gt;-1),IF(逐级计算!$X$150=0,ET34+逐级计算!$C$150,ET34+逐级计算!$C$150-(10/(逐级计算!$Q$150*LN(10))*(MAX((LN(10^(逐级计算!$Q$150/10)-1)+逐级计算!$Q$150*(ET34-逐级计算!$P$150)*LN(10)/10),0)+LN(1+EXP(-ABS((LN(10^(逐级计算!$Q$150/10)-1)+逐级计算!$Q$150*(ET34-逐级计算!$P$150)*LN(10)/10))))))),"")</f>
        <v>13.7930369775018</v>
      </c>
      <c r="EV34">
        <f>IF(AND(ISNUMBER(EU34),逐级计算!$X$151&gt;-1),IF(逐级计算!$X$151=0,EU34+逐级计算!$C$151,EU34+逐级计算!$C$151-(10/(逐级计算!$Q$151*LN(10))*(MAX((LN(10^(逐级计算!$Q$151/10)-1)+逐级计算!$Q$151*(EU34-逐级计算!$P$151)*LN(10)/10),0)+LN(1+EXP(-ABS((LN(10^(逐级计算!$Q$151/10)-1)+逐级计算!$Q$151*(EU34-逐级计算!$P$151)*LN(10)/10))))))),"")</f>
        <v>13.7930369775018</v>
      </c>
      <c r="EW34">
        <f>IF(AND(ISNUMBER(EV34),逐级计算!$X$152&gt;-1),IF(逐级计算!$X$152=0,EV34+逐级计算!$C$152,EV34+逐级计算!$C$152-(10/(逐级计算!$Q$152*LN(10))*(MAX((LN(10^(逐级计算!$Q$152/10)-1)+逐级计算!$Q$152*(EV34-逐级计算!$P$152)*LN(10)/10),0)+LN(1+EXP(-ABS((LN(10^(逐级计算!$Q$152/10)-1)+逐级计算!$Q$152*(EV34-逐级计算!$P$152)*LN(10)/10))))))),"")</f>
        <v>13.7930369775018</v>
      </c>
      <c r="EX34">
        <f>IF(AND(ISNUMBER(EW34),逐级计算!$X$153&gt;-1),IF(逐级计算!$X$153=0,EW34+逐级计算!$C$153,EW34+逐级计算!$C$153-(10/(逐级计算!$Q$153*LN(10))*(MAX((LN(10^(逐级计算!$Q$153/10)-1)+逐级计算!$Q$153*(EW34-逐级计算!$P$153)*LN(10)/10),0)+LN(1+EXP(-ABS((LN(10^(逐级计算!$Q$153/10)-1)+逐级计算!$Q$153*(EW34-逐级计算!$P$153)*LN(10)/10))))))),"")</f>
        <v>13.7930369775018</v>
      </c>
      <c r="EY34">
        <f>IF(AND(ISNUMBER(EX34),逐级计算!$X$154&gt;-1),IF(逐级计算!$X$154=0,EX34+逐级计算!$C$154,EX34+逐级计算!$C$154-(10/(逐级计算!$Q$154*LN(10))*(MAX((LN(10^(逐级计算!$Q$154/10)-1)+逐级计算!$Q$154*(EX34-逐级计算!$P$154)*LN(10)/10),0)+LN(1+EXP(-ABS((LN(10^(逐级计算!$Q$154/10)-1)+逐级计算!$Q$154*(EX34-逐级计算!$P$154)*LN(10)/10))))))),"")</f>
        <v>13.7930369775018</v>
      </c>
      <c r="EZ34">
        <f>IF(AND(ISNUMBER(EY34),逐级计算!$X$155&gt;-1),IF(逐级计算!$X$155=0,EY34+逐级计算!$C$155,EY34+逐级计算!$C$155-(10/(逐级计算!$Q$155*LN(10))*(MAX((LN(10^(逐级计算!$Q$155/10)-1)+逐级计算!$Q$155*(EY34-逐级计算!$P$155)*LN(10)/10),0)+LN(1+EXP(-ABS((LN(10^(逐级计算!$Q$155/10)-1)+逐级计算!$Q$155*(EY34-逐级计算!$P$155)*LN(10)/10))))))),"")</f>
        <v>13.7930369775018</v>
      </c>
      <c r="FA34">
        <f>IF(AND(ISNUMBER(EZ34),逐级计算!$X$156&gt;-1),IF(逐级计算!$X$156=0,EZ34+逐级计算!$C$156,EZ34+逐级计算!$C$156-(10/(逐级计算!$Q$156*LN(10))*(MAX((LN(10^(逐级计算!$Q$156/10)-1)+逐级计算!$Q$156*(EZ34-逐级计算!$P$156)*LN(10)/10),0)+LN(1+EXP(-ABS((LN(10^(逐级计算!$Q$156/10)-1)+逐级计算!$Q$156*(EZ34-逐级计算!$P$156)*LN(10)/10))))))),"")</f>
        <v>13.7930369775018</v>
      </c>
      <c r="FB34">
        <f>IF(AND(ISNUMBER(FA34),逐级计算!$X$157&gt;-1),IF(逐级计算!$X$157=0,FA34+逐级计算!$C$157,FA34+逐级计算!$C$157-(10/(逐级计算!$Q$157*LN(10))*(MAX((LN(10^(逐级计算!$Q$157/10)-1)+逐级计算!$Q$157*(FA34-逐级计算!$P$157)*LN(10)/10),0)+LN(1+EXP(-ABS((LN(10^(逐级计算!$Q$157/10)-1)+逐级计算!$Q$157*(FA34-逐级计算!$P$157)*LN(10)/10))))))),"")</f>
        <v>13.7930369775018</v>
      </c>
      <c r="FC34">
        <f>IF(AND(ISNUMBER(FB34),逐级计算!$X$158&gt;-1),IF(逐级计算!$X$158=0,FB34+逐级计算!$C$158,FB34+逐级计算!$C$158-(10/(逐级计算!$Q$158*LN(10))*(MAX((LN(10^(逐级计算!$Q$158/10)-1)+逐级计算!$Q$158*(FB34-逐级计算!$P$158)*LN(10)/10),0)+LN(1+EXP(-ABS((LN(10^(逐级计算!$Q$158/10)-1)+逐级计算!$Q$158*(FB34-逐级计算!$P$158)*LN(10)/10))))))),"")</f>
        <v>13.7930369775018</v>
      </c>
      <c r="FD34">
        <f>IF(AND(ISNUMBER(FC34),逐级计算!$X$159&gt;-1),IF(逐级计算!$X$159=0,FC34+逐级计算!$C$159,FC34+逐级计算!$C$159-(10/(逐级计算!$Q$159*LN(10))*(MAX((LN(10^(逐级计算!$Q$159/10)-1)+逐级计算!$Q$159*(FC34-逐级计算!$P$159)*LN(10)/10),0)+LN(1+EXP(-ABS((LN(10^(逐级计算!$Q$159/10)-1)+逐级计算!$Q$159*(FC34-逐级计算!$P$159)*LN(10)/10))))))),"")</f>
        <v>13.7930369775018</v>
      </c>
      <c r="FE34">
        <f>IF(AND(ISNUMBER(FD34),逐级计算!$X$160&gt;-1),IF(逐级计算!$X$160=0,FD34+逐级计算!$C$160,FD34+逐级计算!$C$160-(10/(逐级计算!$Q$160*LN(10))*(MAX((LN(10^(逐级计算!$Q$160/10)-1)+逐级计算!$Q$160*(FD34-逐级计算!$P$160)*LN(10)/10),0)+LN(1+EXP(-ABS((LN(10^(逐级计算!$Q$160/10)-1)+逐级计算!$Q$160*(FD34-逐级计算!$P$160)*LN(10)/10))))))),"")</f>
        <v>13.7930369775018</v>
      </c>
      <c r="FF34">
        <f>IF(AND(ISNUMBER(FE34),逐级计算!$X$161&gt;-1),IF(逐级计算!$X$161=0,FE34+逐级计算!$C$161,FE34+逐级计算!$C$161-(10/(逐级计算!$Q$161*LN(10))*(MAX((LN(10^(逐级计算!$Q$161/10)-1)+逐级计算!$Q$161*(FE34-逐级计算!$P$161)*LN(10)/10),0)+LN(1+EXP(-ABS((LN(10^(逐级计算!$Q$161/10)-1)+逐级计算!$Q$161*(FE34-逐级计算!$P$161)*LN(10)/10))))))),"")</f>
        <v>13.7930369775018</v>
      </c>
      <c r="FG34">
        <f>IF(AND(ISNUMBER(FF34),逐级计算!$X$162&gt;-1),IF(逐级计算!$X$162=0,FF34+逐级计算!$C$162,FF34+逐级计算!$C$162-(10/(逐级计算!$Q$162*LN(10))*(MAX((LN(10^(逐级计算!$Q$162/10)-1)+逐级计算!$Q$162*(FF34-逐级计算!$P$162)*LN(10)/10),0)+LN(1+EXP(-ABS((LN(10^(逐级计算!$Q$162/10)-1)+逐级计算!$Q$162*(FF34-逐级计算!$P$162)*LN(10)/10))))))),"")</f>
        <v>13.7930369775018</v>
      </c>
      <c r="FH34">
        <f>IF(AND(ISNUMBER(FG34),逐级计算!$X$163&gt;-1),IF(逐级计算!$X$163=0,FG34+逐级计算!$C$163,FG34+逐级计算!$C$163-(10/(逐级计算!$Q$163*LN(10))*(MAX((LN(10^(逐级计算!$Q$163/10)-1)+逐级计算!$Q$163*(FG34-逐级计算!$P$163)*LN(10)/10),0)+LN(1+EXP(-ABS((LN(10^(逐级计算!$Q$163/10)-1)+逐级计算!$Q$163*(FG34-逐级计算!$P$163)*LN(10)/10))))))),"")</f>
        <v>13.7930369775018</v>
      </c>
      <c r="FI34">
        <f>IF(AND(ISNUMBER(FH34),逐级计算!$X$164&gt;-1),IF(逐级计算!$X$164=0,FH34+逐级计算!$C$164,FH34+逐级计算!$C$164-(10/(逐级计算!$Q$164*LN(10))*(MAX((LN(10^(逐级计算!$Q$164/10)-1)+逐级计算!$Q$164*(FH34-逐级计算!$P$164)*LN(10)/10),0)+LN(1+EXP(-ABS((LN(10^(逐级计算!$Q$164/10)-1)+逐级计算!$Q$164*(FH34-逐级计算!$P$164)*LN(10)/10))))))),"")</f>
        <v>13.7930369775018</v>
      </c>
      <c r="FJ34">
        <f>IF(AND(ISNUMBER(FI34),逐级计算!$X$165&gt;-1),IF(逐级计算!$X$165=0,FI34+逐级计算!$C$165,FI34+逐级计算!$C$165-(10/(逐级计算!$Q$165*LN(10))*(MAX((LN(10^(逐级计算!$Q$165/10)-1)+逐级计算!$Q$165*(FI34-逐级计算!$P$165)*LN(10)/10),0)+LN(1+EXP(-ABS((LN(10^(逐级计算!$Q$165/10)-1)+逐级计算!$Q$165*(FI34-逐级计算!$P$165)*LN(10)/10))))))),"")</f>
        <v>13.7930369775018</v>
      </c>
      <c r="FK34">
        <f>IF(AND(ISNUMBER(FJ34),逐级计算!$X$166&gt;-1),IF(逐级计算!$X$166=0,FJ34+逐级计算!$C$166,FJ34+逐级计算!$C$166-(10/(逐级计算!$Q$166*LN(10))*(MAX((LN(10^(逐级计算!$Q$166/10)-1)+逐级计算!$Q$166*(FJ34-逐级计算!$P$166)*LN(10)/10),0)+LN(1+EXP(-ABS((LN(10^(逐级计算!$Q$166/10)-1)+逐级计算!$Q$166*(FJ34-逐级计算!$P$166)*LN(10)/10))))))),"")</f>
        <v>13.7930369775018</v>
      </c>
      <c r="FL34">
        <f>IF(AND(ISNUMBER(FK34),逐级计算!$X$167&gt;-1),IF(逐级计算!$X$167=0,FK34+逐级计算!$C$167,FK34+逐级计算!$C$167-(10/(逐级计算!$Q$167*LN(10))*(MAX((LN(10^(逐级计算!$Q$167/10)-1)+逐级计算!$Q$167*(FK34-逐级计算!$P$167)*LN(10)/10),0)+LN(1+EXP(-ABS((LN(10^(逐级计算!$Q$167/10)-1)+逐级计算!$Q$167*(FK34-逐级计算!$P$167)*LN(10)/10))))))),"")</f>
        <v>13.7930369775018</v>
      </c>
      <c r="FM34">
        <f>IF(AND(ISNUMBER(FL34),逐级计算!$X$168&gt;-1),IF(逐级计算!$X$168=0,FL34+逐级计算!$C$168,FL34+逐级计算!$C$168-(10/(逐级计算!$Q$168*LN(10))*(MAX((LN(10^(逐级计算!$Q$168/10)-1)+逐级计算!$Q$168*(FL34-逐级计算!$P$168)*LN(10)/10),0)+LN(1+EXP(-ABS((LN(10^(逐级计算!$Q$168/10)-1)+逐级计算!$Q$168*(FL34-逐级计算!$P$168)*LN(10)/10))))))),"")</f>
        <v>13.7930369775018</v>
      </c>
      <c r="FN34">
        <f>IF(AND(ISNUMBER(FM34),逐级计算!$X$169&gt;-1),IF(逐级计算!$X$169=0,FM34+逐级计算!$C$169,FM34+逐级计算!$C$169-(10/(逐级计算!$Q$169*LN(10))*(MAX((LN(10^(逐级计算!$Q$169/10)-1)+逐级计算!$Q$169*(FM34-逐级计算!$P$169)*LN(10)/10),0)+LN(1+EXP(-ABS((LN(10^(逐级计算!$Q$169/10)-1)+逐级计算!$Q$169*(FM34-逐级计算!$P$169)*LN(10)/10))))))),"")</f>
        <v>13.7930369775018</v>
      </c>
      <c r="FO34">
        <f>IF(AND(ISNUMBER(FN34),逐级计算!$X$170&gt;-1),IF(逐级计算!$X$170=0,FN34+逐级计算!$C$170,FN34+逐级计算!$C$170-(10/(逐级计算!$Q$170*LN(10))*(MAX((LN(10^(逐级计算!$Q$170/10)-1)+逐级计算!$Q$170*(FN34-逐级计算!$P$170)*LN(10)/10),0)+LN(1+EXP(-ABS((LN(10^(逐级计算!$Q$170/10)-1)+逐级计算!$Q$170*(FN34-逐级计算!$P$170)*LN(10)/10))))))),"")</f>
        <v>13.7930369775018</v>
      </c>
      <c r="FP34">
        <f>IF(AND(ISNUMBER(FO34),逐级计算!$X$171&gt;-1),IF(逐级计算!$X$171=0,FO34+逐级计算!$C$171,FO34+逐级计算!$C$171-(10/(逐级计算!$Q$171*LN(10))*(MAX((LN(10^(逐级计算!$Q$171/10)-1)+逐级计算!$Q$171*(FO34-逐级计算!$P$171)*LN(10)/10),0)+LN(1+EXP(-ABS((LN(10^(逐级计算!$Q$171/10)-1)+逐级计算!$Q$171*(FO34-逐级计算!$P$171)*LN(10)/10))))))),"")</f>
        <v>13.7930369775018</v>
      </c>
      <c r="FQ34">
        <f>IF(AND(ISNUMBER(FP34),逐级计算!$X$172&gt;-1),IF(逐级计算!$X$172=0,FP34+逐级计算!$C$172,FP34+逐级计算!$C$172-(10/(逐级计算!$Q$172*LN(10))*(MAX((LN(10^(逐级计算!$Q$172/10)-1)+逐级计算!$Q$172*(FP34-逐级计算!$P$172)*LN(10)/10),0)+LN(1+EXP(-ABS((LN(10^(逐级计算!$Q$172/10)-1)+逐级计算!$Q$172*(FP34-逐级计算!$P$172)*LN(10)/10))))))),"")</f>
        <v>13.7930369775018</v>
      </c>
      <c r="FR34">
        <f>IF(AND(ISNUMBER(FQ34),逐级计算!$X$173&gt;-1),IF(逐级计算!$X$173=0,FQ34+逐级计算!$C$173,FQ34+逐级计算!$C$173-(10/(逐级计算!$Q$173*LN(10))*(MAX((LN(10^(逐级计算!$Q$173/10)-1)+逐级计算!$Q$173*(FQ34-逐级计算!$P$173)*LN(10)/10),0)+LN(1+EXP(-ABS((LN(10^(逐级计算!$Q$173/10)-1)+逐级计算!$Q$173*(FQ34-逐级计算!$P$173)*LN(10)/10))))))),"")</f>
        <v>13.7930369775018</v>
      </c>
      <c r="FS34">
        <f>IF(AND(ISNUMBER(FR34),逐级计算!$X$174&gt;-1),IF(逐级计算!$X$174=0,FR34+逐级计算!$C$174,FR34+逐级计算!$C$174-(10/(逐级计算!$Q$174*LN(10))*(MAX((LN(10^(逐级计算!$Q$174/10)-1)+逐级计算!$Q$174*(FR34-逐级计算!$P$174)*LN(10)/10),0)+LN(1+EXP(-ABS((LN(10^(逐级计算!$Q$174/10)-1)+逐级计算!$Q$174*(FR34-逐级计算!$P$174)*LN(10)/10))))))),"")</f>
        <v>13.7930369775018</v>
      </c>
      <c r="FT34">
        <f>IF(AND(ISNUMBER(FS34),逐级计算!$X$175&gt;-1),IF(逐级计算!$X$175=0,FS34+逐级计算!$C$175,FS34+逐级计算!$C$175-(10/(逐级计算!$Q$175*LN(10))*(MAX((LN(10^(逐级计算!$Q$175/10)-1)+逐级计算!$Q$175*(FS34-逐级计算!$P$175)*LN(10)/10),0)+LN(1+EXP(-ABS((LN(10^(逐级计算!$Q$175/10)-1)+逐级计算!$Q$175*(FS34-逐级计算!$P$175)*LN(10)/10))))))),"")</f>
        <v>13.7930369775018</v>
      </c>
      <c r="FU34">
        <f>IF(AND(ISNUMBER(FT34),逐级计算!$X$176&gt;-1),IF(逐级计算!$X$176=0,FT34+逐级计算!$C$176,FT34+逐级计算!$C$176-(10/(逐级计算!$Q$176*LN(10))*(MAX((LN(10^(逐级计算!$Q$176/10)-1)+逐级计算!$Q$176*(FT34-逐级计算!$P$176)*LN(10)/10),0)+LN(1+EXP(-ABS((LN(10^(逐级计算!$Q$176/10)-1)+逐级计算!$Q$176*(FT34-逐级计算!$P$176)*LN(10)/10))))))),"")</f>
        <v>13.7930369775018</v>
      </c>
      <c r="FV34">
        <f>IF(AND(ISNUMBER(FU34),逐级计算!$X$177&gt;-1),IF(逐级计算!$X$177=0,FU34+逐级计算!$C$177,FU34+逐级计算!$C$177-(10/(逐级计算!$Q$177*LN(10))*(MAX((LN(10^(逐级计算!$Q$177/10)-1)+逐级计算!$Q$177*(FU34-逐级计算!$P$177)*LN(10)/10),0)+LN(1+EXP(-ABS((LN(10^(逐级计算!$Q$177/10)-1)+逐级计算!$Q$177*(FU34-逐级计算!$P$177)*LN(10)/10))))))),"")</f>
        <v>13.7930369775018</v>
      </c>
      <c r="FW34">
        <f>IF(AND(ISNUMBER(FV34),逐级计算!$X$178&gt;-1),IF(逐级计算!$X$178=0,FV34+逐级计算!$C$178,FV34+逐级计算!$C$178-(10/(逐级计算!$Q$178*LN(10))*(MAX((LN(10^(逐级计算!$Q$178/10)-1)+逐级计算!$Q$178*(FV34-逐级计算!$P$178)*LN(10)/10),0)+LN(1+EXP(-ABS((LN(10^(逐级计算!$Q$178/10)-1)+逐级计算!$Q$178*(FV34-逐级计算!$P$178)*LN(10)/10))))))),"")</f>
        <v>13.7930369775018</v>
      </c>
      <c r="FX34">
        <f>IF(AND(ISNUMBER(FW34),逐级计算!$X$179&gt;-1),IF(逐级计算!$X$179=0,FW34+逐级计算!$C$179,FW34+逐级计算!$C$179-(10/(逐级计算!$Q$179*LN(10))*(MAX((LN(10^(逐级计算!$Q$179/10)-1)+逐级计算!$Q$179*(FW34-逐级计算!$P$179)*LN(10)/10),0)+LN(1+EXP(-ABS((LN(10^(逐级计算!$Q$179/10)-1)+逐级计算!$Q$179*(FW34-逐级计算!$P$179)*LN(10)/10))))))),"")</f>
        <v>13.7930369775018</v>
      </c>
      <c r="FY34">
        <f>IF(AND(ISNUMBER(FX34),逐级计算!$X$180&gt;-1),IF(逐级计算!$X$180=0,FX34+逐级计算!$C$180,FX34+逐级计算!$C$180-(10/(逐级计算!$Q$180*LN(10))*(MAX((LN(10^(逐级计算!$Q$180/10)-1)+逐级计算!$Q$180*(FX34-逐级计算!$P$180)*LN(10)/10),0)+LN(1+EXP(-ABS((LN(10^(逐级计算!$Q$180/10)-1)+逐级计算!$Q$180*(FX34-逐级计算!$P$180)*LN(10)/10))))))),"")</f>
        <v>13.7930369775018</v>
      </c>
      <c r="FZ34">
        <f>IF(AND(ISNUMBER(FY34),逐级计算!$X$181&gt;-1),IF(逐级计算!$X$181=0,FY34+逐级计算!$C$181,FY34+逐级计算!$C$181-(10/(逐级计算!$Q$181*LN(10))*(MAX((LN(10^(逐级计算!$Q$181/10)-1)+逐级计算!$Q$181*(FY34-逐级计算!$P$181)*LN(10)/10),0)+LN(1+EXP(-ABS((LN(10^(逐级计算!$Q$181/10)-1)+逐级计算!$Q$181*(FY34-逐级计算!$P$181)*LN(10)/10))))))),"")</f>
        <v>13.7930369775018</v>
      </c>
      <c r="GA34">
        <f>IF(AND(ISNUMBER(FZ34),逐级计算!$X$182&gt;-1),IF(逐级计算!$X$182=0,FZ34+逐级计算!$C$182,FZ34+逐级计算!$C$182-(10/(逐级计算!$Q$182*LN(10))*(MAX((LN(10^(逐级计算!$Q$182/10)-1)+逐级计算!$Q$182*(FZ34-逐级计算!$P$182)*LN(10)/10),0)+LN(1+EXP(-ABS((LN(10^(逐级计算!$Q$182/10)-1)+逐级计算!$Q$182*(FZ34-逐级计算!$P$182)*LN(10)/10))))))),"")</f>
        <v>13.7930369775018</v>
      </c>
      <c r="GB34">
        <f>IF(AND(ISNUMBER(GA34),逐级计算!$X$183&gt;-1),IF(逐级计算!$X$183=0,GA34+逐级计算!$C$183,GA34+逐级计算!$C$183-(10/(逐级计算!$Q$183*LN(10))*(MAX((LN(10^(逐级计算!$Q$183/10)-1)+逐级计算!$Q$183*(GA34-逐级计算!$P$183)*LN(10)/10),0)+LN(1+EXP(-ABS((LN(10^(逐级计算!$Q$183/10)-1)+逐级计算!$Q$183*(GA34-逐级计算!$P$183)*LN(10)/10))))))),"")</f>
        <v>13.7930369775018</v>
      </c>
      <c r="GC34">
        <f>IF(AND(ISNUMBER(GB34),逐级计算!$X$184&gt;-1),IF(逐级计算!$X$184=0,GB34+逐级计算!$C$184,GB34+逐级计算!$C$184-(10/(逐级计算!$Q$184*LN(10))*(MAX((LN(10^(逐级计算!$Q$184/10)-1)+逐级计算!$Q$184*(GB34-逐级计算!$P$184)*LN(10)/10),0)+LN(1+EXP(-ABS((LN(10^(逐级计算!$Q$184/10)-1)+逐级计算!$Q$184*(GB34-逐级计算!$P$184)*LN(10)/10))))))),"")</f>
        <v>13.7930369775018</v>
      </c>
      <c r="GD34">
        <f>IF(AND(ISNUMBER(GC34),逐级计算!$X$185&gt;-1),IF(逐级计算!$X$185=0,GC34+逐级计算!$C$185,GC34+逐级计算!$C$185-(10/(逐级计算!$Q$185*LN(10))*(MAX((LN(10^(逐级计算!$Q$185/10)-1)+逐级计算!$Q$185*(GC34-逐级计算!$P$185)*LN(10)/10),0)+LN(1+EXP(-ABS((LN(10^(逐级计算!$Q$185/10)-1)+逐级计算!$Q$185*(GC34-逐级计算!$P$185)*LN(10)/10))))))),"")</f>
        <v>13.7930369775018</v>
      </c>
      <c r="GE34">
        <f>IF(AND(ISNUMBER(GD34),逐级计算!$X$186&gt;-1),IF(逐级计算!$X$186=0,GD34+逐级计算!$C$186,GD34+逐级计算!$C$186-(10/(逐级计算!$Q$186*LN(10))*(MAX((LN(10^(逐级计算!$Q$186/10)-1)+逐级计算!$Q$186*(GD34-逐级计算!$P$186)*LN(10)/10),0)+LN(1+EXP(-ABS((LN(10^(逐级计算!$Q$186/10)-1)+逐级计算!$Q$186*(GD34-逐级计算!$P$186)*LN(10)/10))))))),"")</f>
        <v>13.7930369775018</v>
      </c>
      <c r="GF34">
        <f>IF(AND(ISNUMBER(GE34),逐级计算!$X$187&gt;-1),IF(逐级计算!$X$187=0,GE34+逐级计算!$C$187,GE34+逐级计算!$C$187-(10/(逐级计算!$Q$187*LN(10))*(MAX((LN(10^(逐级计算!$Q$187/10)-1)+逐级计算!$Q$187*(GE34-逐级计算!$P$187)*LN(10)/10),0)+LN(1+EXP(-ABS((LN(10^(逐级计算!$Q$187/10)-1)+逐级计算!$Q$187*(GE34-逐级计算!$P$187)*LN(10)/10))))))),"")</f>
        <v>13.7930369775018</v>
      </c>
      <c r="GG34">
        <f>IF(AND(ISNUMBER(GF34),逐级计算!$X$188&gt;-1),IF(逐级计算!$X$188=0,GF34+逐级计算!$C$188,GF34+逐级计算!$C$188-(10/(逐级计算!$Q$188*LN(10))*(MAX((LN(10^(逐级计算!$Q$188/10)-1)+逐级计算!$Q$188*(GF34-逐级计算!$P$188)*LN(10)/10),0)+LN(1+EXP(-ABS((LN(10^(逐级计算!$Q$188/10)-1)+逐级计算!$Q$188*(GF34-逐级计算!$P$188)*LN(10)/10))))))),"")</f>
        <v>13.7930369775018</v>
      </c>
      <c r="GH34">
        <f>IF(AND(ISNUMBER(GG34),逐级计算!$X$189&gt;-1),IF(逐级计算!$X$189=0,GG34+逐级计算!$C$189,GG34+逐级计算!$C$189-(10/(逐级计算!$Q$189*LN(10))*(MAX((LN(10^(逐级计算!$Q$189/10)-1)+逐级计算!$Q$189*(GG34-逐级计算!$P$189)*LN(10)/10),0)+LN(1+EXP(-ABS((LN(10^(逐级计算!$Q$189/10)-1)+逐级计算!$Q$189*(GG34-逐级计算!$P$189)*LN(10)/10))))))),"")</f>
        <v>13.7930369775018</v>
      </c>
      <c r="GI34">
        <f>IF(AND(ISNUMBER(GH34),逐级计算!$X$190&gt;-1),IF(逐级计算!$X$190=0,GH34+逐级计算!$C$190,GH34+逐级计算!$C$190-(10/(逐级计算!$Q$190*LN(10))*(MAX((LN(10^(逐级计算!$Q$190/10)-1)+逐级计算!$Q$190*(GH34-逐级计算!$P$190)*LN(10)/10),0)+LN(1+EXP(-ABS((LN(10^(逐级计算!$Q$190/10)-1)+逐级计算!$Q$190*(GH34-逐级计算!$P$190)*LN(10)/10))))))),"")</f>
        <v>13.7930369775018</v>
      </c>
      <c r="GJ34">
        <f>IF(AND(ISNUMBER(GI34),逐级计算!$X$191&gt;-1),IF(逐级计算!$X$191=0,GI34+逐级计算!$C$191,GI34+逐级计算!$C$191-(10/(逐级计算!$Q$191*LN(10))*(MAX((LN(10^(逐级计算!$Q$191/10)-1)+逐级计算!$Q$191*(GI34-逐级计算!$P$191)*LN(10)/10),0)+LN(1+EXP(-ABS((LN(10^(逐级计算!$Q$191/10)-1)+逐级计算!$Q$191*(GI34-逐级计算!$P$191)*LN(10)/10))))))),"")</f>
        <v>13.7930369775018</v>
      </c>
      <c r="GK34">
        <f>IF(AND(ISNUMBER(GJ34),逐级计算!$X$192&gt;-1),IF(逐级计算!$X$192=0,GJ34+逐级计算!$C$192,GJ34+逐级计算!$C$192-(10/(逐级计算!$Q$192*LN(10))*(MAX((LN(10^(逐级计算!$Q$192/10)-1)+逐级计算!$Q$192*(GJ34-逐级计算!$P$192)*LN(10)/10),0)+LN(1+EXP(-ABS((LN(10^(逐级计算!$Q$192/10)-1)+逐级计算!$Q$192*(GJ34-逐级计算!$P$192)*LN(10)/10))))))),"")</f>
        <v>13.7930369775018</v>
      </c>
      <c r="GL34">
        <f>IF(AND(ISNUMBER(GK34),逐级计算!$X$193&gt;-1),IF(逐级计算!$X$193=0,GK34+逐级计算!$C$193,GK34+逐级计算!$C$193-(10/(逐级计算!$Q$193*LN(10))*(MAX((LN(10^(逐级计算!$Q$193/10)-1)+逐级计算!$Q$193*(GK34-逐级计算!$P$193)*LN(10)/10),0)+LN(1+EXP(-ABS((LN(10^(逐级计算!$Q$193/10)-1)+逐级计算!$Q$193*(GK34-逐级计算!$P$193)*LN(10)/10))))))),"")</f>
        <v>13.7930369775018</v>
      </c>
      <c r="GM34">
        <f>IF(AND(ISNUMBER(GL34),逐级计算!$X$194&gt;-1),IF(逐级计算!$X$194=0,GL34+逐级计算!$C$194,GL34+逐级计算!$C$194-(10/(逐级计算!$Q$194*LN(10))*(MAX((LN(10^(逐级计算!$Q$194/10)-1)+逐级计算!$Q$194*(GL34-逐级计算!$P$194)*LN(10)/10),0)+LN(1+EXP(-ABS((LN(10^(逐级计算!$Q$194/10)-1)+逐级计算!$Q$194*(GL34-逐级计算!$P$194)*LN(10)/10))))))),"")</f>
        <v>13.7930369775018</v>
      </c>
      <c r="GN34">
        <f>IF(AND(ISNUMBER(GM34),逐级计算!$X$195&gt;-1),IF(逐级计算!$X$195=0,GM34+逐级计算!$C$195,GM34+逐级计算!$C$195-(10/(逐级计算!$Q$195*LN(10))*(MAX((LN(10^(逐级计算!$Q$195/10)-1)+逐级计算!$Q$195*(GM34-逐级计算!$P$195)*LN(10)/10),0)+LN(1+EXP(-ABS((LN(10^(逐级计算!$Q$195/10)-1)+逐级计算!$Q$195*(GM34-逐级计算!$P$195)*LN(10)/10))))))),"")</f>
        <v>13.7930369775018</v>
      </c>
      <c r="GO34">
        <f>IF(AND(ISNUMBER(GN34),逐级计算!$X$196&gt;-1),IF(逐级计算!$X$196=0,GN34+逐级计算!$C$196,GN34+逐级计算!$C$196-(10/(逐级计算!$Q$196*LN(10))*(MAX((LN(10^(逐级计算!$Q$196/10)-1)+逐级计算!$Q$196*(GN34-逐级计算!$P$196)*LN(10)/10),0)+LN(1+EXP(-ABS((LN(10^(逐级计算!$Q$196/10)-1)+逐级计算!$Q$196*(GN34-逐级计算!$P$196)*LN(10)/10))))))),"")</f>
        <v>13.7930369775018</v>
      </c>
      <c r="GP34">
        <f>IF(AND(ISNUMBER(GO34),逐级计算!$X$197&gt;-1),IF(逐级计算!$X$197=0,GO34+逐级计算!$C$197,GO34+逐级计算!$C$197-(10/(逐级计算!$Q$197*LN(10))*(MAX((LN(10^(逐级计算!$Q$197/10)-1)+逐级计算!$Q$197*(GO34-逐级计算!$P$197)*LN(10)/10),0)+LN(1+EXP(-ABS((LN(10^(逐级计算!$Q$197/10)-1)+逐级计算!$Q$197*(GO34-逐级计算!$P$197)*LN(10)/10))))))),"")</f>
        <v>13.7930369775018</v>
      </c>
      <c r="GQ34">
        <f>IF(AND(ISNUMBER(GP34),逐级计算!$X$198&gt;-1),IF(逐级计算!$X$198=0,GP34+逐级计算!$C$198,GP34+逐级计算!$C$198-(10/(逐级计算!$Q$198*LN(10))*(MAX((LN(10^(逐级计算!$Q$198/10)-1)+逐级计算!$Q$198*(GP34-逐级计算!$P$198)*LN(10)/10),0)+LN(1+EXP(-ABS((LN(10^(逐级计算!$Q$198/10)-1)+逐级计算!$Q$198*(GP34-逐级计算!$P$198)*LN(10)/10))))))),"")</f>
        <v>13.7930369775018</v>
      </c>
      <c r="GR34">
        <f>IF(AND(ISNUMBER(GQ34),逐级计算!$X$199&gt;-1),IF(逐级计算!$X$199=0,GQ34+逐级计算!$C$199,GQ34+逐级计算!$C$199-(10/(逐级计算!$Q$199*LN(10))*(MAX((LN(10^(逐级计算!$Q$199/10)-1)+逐级计算!$Q$199*(GQ34-逐级计算!$P$199)*LN(10)/10),0)+LN(1+EXP(-ABS((LN(10^(逐级计算!$Q$199/10)-1)+逐级计算!$Q$199*(GQ34-逐级计算!$P$199)*LN(10)/10))))))),"")</f>
        <v>13.7930369775018</v>
      </c>
      <c r="GS34">
        <f>IF(AND(ISNUMBER(GR34),逐级计算!$X$200&gt;-1),IF(逐级计算!$X$200=0,GR34+逐级计算!$C$200,GR34+逐级计算!$C$200-(10/(逐级计算!$Q$200*LN(10))*(MAX((LN(10^(逐级计算!$Q$200/10)-1)+逐级计算!$Q$200*(GR34-逐级计算!$P$200)*LN(10)/10),0)+LN(1+EXP(-ABS((LN(10^(逐级计算!$Q$200/10)-1)+逐级计算!$Q$200*(GR34-逐级计算!$P$200)*LN(10)/10))))))),"")</f>
        <v>13.7930369775018</v>
      </c>
      <c r="GT34">
        <f>IF(AND(ISNUMBER(GS34),逐级计算!$X$201&gt;-1),IF(逐级计算!$X$201=0,GS34+逐级计算!$C$201,GS34+逐级计算!$C$201-(10/(逐级计算!$Q$201*LN(10))*(MAX((LN(10^(逐级计算!$Q$201/10)-1)+逐级计算!$Q$201*(GS34-逐级计算!$P$201)*LN(10)/10),0)+LN(1+EXP(-ABS((LN(10^(逐级计算!$Q$201/10)-1)+逐级计算!$Q$201*(GS34-逐级计算!$P$201)*LN(10)/10))))))),"")</f>
        <v>13.7930369775018</v>
      </c>
      <c r="GU34">
        <f>IF(AND(ISNUMBER(GT34),逐级计算!$X$202&gt;-1),IF(逐级计算!$X$202=0,GT34+逐级计算!$C$202,GT34+逐级计算!$C$202-(10/(逐级计算!$Q$202*LN(10))*(MAX((LN(10^(逐级计算!$Q$202/10)-1)+逐级计算!$Q$202*(GT34-逐级计算!$P$202)*LN(10)/10),0)+LN(1+EXP(-ABS((LN(10^(逐级计算!$Q$202/10)-1)+逐级计算!$Q$202*(GT34-逐级计算!$P$202)*LN(10)/10))))))),"")</f>
        <v>13.7930369775018</v>
      </c>
      <c r="GV34">
        <f>IF(AND(ISNUMBER(GU34),逐级计算!$X$203&gt;-1),IF(逐级计算!$X$203=0,GU34+逐级计算!$C$203,GU34+逐级计算!$C$203-(10/(逐级计算!$Q$203*LN(10))*(MAX((LN(10^(逐级计算!$Q$203/10)-1)+逐级计算!$Q$203*(GU34-逐级计算!$P$203)*LN(10)/10),0)+LN(1+EXP(-ABS((LN(10^(逐级计算!$Q$203/10)-1)+逐级计算!$Q$203*(GU34-逐级计算!$P$203)*LN(10)/10))))))),"")</f>
        <v>13.7930369775018</v>
      </c>
      <c r="GW34">
        <f t="shared" si="2"/>
        <v>-5.20696200430393</v>
      </c>
    </row>
    <row r="35" spans="1:205">
      <c r="A35">
        <v>28</v>
      </c>
      <c r="B35">
        <f t="shared" si="1"/>
        <v>-5.20696356892586</v>
      </c>
      <c r="C35">
        <f t="shared" si="0"/>
        <v>-5.20696317777038</v>
      </c>
      <c r="D35">
        <f>IF(AND(ISNUMBER(C35),ISNUMBER(逐级计算!$E$203),ISNUMBER(GV35)),C35+逐级计算!$E$203-GV35,"")</f>
        <v>1.00000009153024</v>
      </c>
      <c r="E35">
        <f>IF(AND(ISNUMBER(C35),逐级计算!$X$4&gt;-1),IF(逐级计算!$X$4=0,C35+逐级计算!$C$4,C35+逐级计算!$C$4-(10/(逐级计算!$Q$4*LN(10))*(MAX((LN(10^(逐级计算!$Q$4/10)-1)+逐级计算!$Q$4*(C35-逐级计算!$P$4)*LN(10)/10),0)+LN(1+EXP(-ABS((LN(10^(逐级计算!$Q$4/10)-1)+逐级计算!$Q$4*(C35-逐级计算!$P$4)*LN(10)/10))))))),"")</f>
        <v>4.68054006478188</v>
      </c>
      <c r="F35">
        <f>IF(AND(ISNUMBER(E35),逐级计算!$X$5&gt;-1),IF(逐级计算!$X$5=0,E35+逐级计算!$C$5,E35+逐级计算!$C$5-(10/(逐级计算!$Q$5*LN(10))*(MAX((LN(10^(逐级计算!$Q$5/10)-1)+逐级计算!$Q$5*(E35-逐级计算!$P$5)*LN(10)/10),0)+LN(1+EXP(-ABS((LN(10^(逐级计算!$Q$5/10)-1)+逐级计算!$Q$5*(E35-逐级计算!$P$5)*LN(10)/10))))))),"")</f>
        <v>13.7930367306994</v>
      </c>
      <c r="G35">
        <f>IF(AND(ISNUMBER(F35),逐级计算!$X$6&gt;-1),IF(逐级计算!$X$6=0,F35+逐级计算!$C$6,F35+逐级计算!$C$6-(10/(逐级计算!$Q$6*LN(10))*(MAX((LN(10^(逐级计算!$Q$6/10)-1)+逐级计算!$Q$6*(F35-逐级计算!$P$6)*LN(10)/10),0)+LN(1+EXP(-ABS((LN(10^(逐级计算!$Q$6/10)-1)+逐级计算!$Q$6*(F35-逐级计算!$P$6)*LN(10)/10))))))),"")</f>
        <v>13.7930367306994</v>
      </c>
      <c r="H35">
        <f>IF(AND(ISNUMBER(G35),逐级计算!$X$7&gt;-1),IF(逐级计算!$X$7=0,G35+逐级计算!$C$7,G35+逐级计算!$C$7-(10/(逐级计算!$Q$7*LN(10))*(MAX((LN(10^(逐级计算!$Q$7/10)-1)+逐级计算!$Q$7*(G35-逐级计算!$P$7)*LN(10)/10),0)+LN(1+EXP(-ABS((LN(10^(逐级计算!$Q$7/10)-1)+逐级计算!$Q$7*(G35-逐级计算!$P$7)*LN(10)/10))))))),"")</f>
        <v>13.7930367306994</v>
      </c>
      <c r="I35">
        <f>IF(AND(ISNUMBER(H35),逐级计算!$X$8&gt;-1),IF(逐级计算!$X$8=0,H35+逐级计算!$C$8,H35+逐级计算!$C$8-(10/(逐级计算!$Q$8*LN(10))*(MAX((LN(10^(逐级计算!$Q$8/10)-1)+逐级计算!$Q$8*(H35-逐级计算!$P$8)*LN(10)/10),0)+LN(1+EXP(-ABS((LN(10^(逐级计算!$Q$8/10)-1)+逐级计算!$Q$8*(H35-逐级计算!$P$8)*LN(10)/10))))))),"")</f>
        <v>13.7930367306994</v>
      </c>
      <c r="J35">
        <f>IF(AND(ISNUMBER(I35),逐级计算!$X$9&gt;-1),IF(逐级计算!$X$9=0,I35+逐级计算!$C$9,I35+逐级计算!$C$9-(10/(逐级计算!$Q$9*LN(10))*(MAX((LN(10^(逐级计算!$Q$9/10)-1)+逐级计算!$Q$9*(I35-逐级计算!$P$9)*LN(10)/10),0)+LN(1+EXP(-ABS((LN(10^(逐级计算!$Q$9/10)-1)+逐级计算!$Q$9*(I35-逐级计算!$P$9)*LN(10)/10))))))),"")</f>
        <v>13.7930367306994</v>
      </c>
      <c r="K35">
        <f>IF(AND(ISNUMBER(J35),逐级计算!$X$10&gt;-1),IF(逐级计算!$X$10=0,J35+逐级计算!$C$10,J35+逐级计算!$C$10-(10/(逐级计算!$Q$10*LN(10))*(MAX((LN(10^(逐级计算!$Q$10/10)-1)+逐级计算!$Q$10*(J35-逐级计算!$P$10)*LN(10)/10),0)+LN(1+EXP(-ABS((LN(10^(逐级计算!$Q$10/10)-1)+逐级计算!$Q$10*(J35-逐级计算!$P$10)*LN(10)/10))))))),"")</f>
        <v>13.7930367306994</v>
      </c>
      <c r="L35">
        <f>IF(AND(ISNUMBER(K35),逐级计算!$X$11&gt;-1),IF(逐级计算!$X$11=0,K35+逐级计算!$C$11,K35+逐级计算!$C$11-(10/(逐级计算!$Q$11*LN(10))*(MAX((LN(10^(逐级计算!$Q$11/10)-1)+逐级计算!$Q$11*(K35-逐级计算!$P$11)*LN(10)/10),0)+LN(1+EXP(-ABS((LN(10^(逐级计算!$Q$11/10)-1)+逐级计算!$Q$11*(K35-逐级计算!$P$11)*LN(10)/10))))))),"")</f>
        <v>13.7930367306994</v>
      </c>
      <c r="M35">
        <f>IF(AND(ISNUMBER(L35),逐级计算!$X$12&gt;-1),IF(逐级计算!$X$12=0,L35+逐级计算!$C$12,L35+逐级计算!$C$12-(10/(逐级计算!$Q$12*LN(10))*(MAX((LN(10^(逐级计算!$Q$12/10)-1)+逐级计算!$Q$12*(L35-逐级计算!$P$12)*LN(10)/10),0)+LN(1+EXP(-ABS((LN(10^(逐级计算!$Q$12/10)-1)+逐级计算!$Q$12*(L35-逐级计算!$P$12)*LN(10)/10))))))),"")</f>
        <v>13.7930367306994</v>
      </c>
      <c r="N35">
        <f>IF(AND(ISNUMBER(M35),逐级计算!$X$13&gt;-1),IF(逐级计算!$X$13=0,M35+逐级计算!$C$13,M35+逐级计算!$C$13-(10/(逐级计算!$Q$13*LN(10))*(MAX((LN(10^(逐级计算!$Q$13/10)-1)+逐级计算!$Q$13*(M35-逐级计算!$P$13)*LN(10)/10),0)+LN(1+EXP(-ABS((LN(10^(逐级计算!$Q$13/10)-1)+逐级计算!$Q$13*(M35-逐级计算!$P$13)*LN(10)/10))))))),"")</f>
        <v>13.7930367306994</v>
      </c>
      <c r="O35">
        <f>IF(AND(ISNUMBER(N35),逐级计算!$X$14&gt;-1),IF(逐级计算!$X$14=0,N35+逐级计算!$C$14,N35+逐级计算!$C$14-(10/(逐级计算!$Q$14*LN(10))*(MAX((LN(10^(逐级计算!$Q$14/10)-1)+逐级计算!$Q$14*(N35-逐级计算!$P$14)*LN(10)/10),0)+LN(1+EXP(-ABS((LN(10^(逐级计算!$Q$14/10)-1)+逐级计算!$Q$14*(N35-逐级计算!$P$14)*LN(10)/10))))))),"")</f>
        <v>13.7930367306994</v>
      </c>
      <c r="P35">
        <f>IF(AND(ISNUMBER(O35),逐级计算!$X$15&gt;-1),IF(逐级计算!$X$15=0,O35+逐级计算!$C$15,O35+逐级计算!$C$15-(10/(逐级计算!$Q$15*LN(10))*(MAX((LN(10^(逐级计算!$Q$15/10)-1)+逐级计算!$Q$15*(O35-逐级计算!$P$15)*LN(10)/10),0)+LN(1+EXP(-ABS((LN(10^(逐级计算!$Q$15/10)-1)+逐级计算!$Q$15*(O35-逐级计算!$P$15)*LN(10)/10))))))),"")</f>
        <v>13.7930367306994</v>
      </c>
      <c r="Q35">
        <f>IF(AND(ISNUMBER(P35),逐级计算!$X$16&gt;-1),IF(逐级计算!$X$16=0,P35+逐级计算!$C$16,P35+逐级计算!$C$16-(10/(逐级计算!$Q$16*LN(10))*(MAX((LN(10^(逐级计算!$Q$16/10)-1)+逐级计算!$Q$16*(P35-逐级计算!$P$16)*LN(10)/10),0)+LN(1+EXP(-ABS((LN(10^(逐级计算!$Q$16/10)-1)+逐级计算!$Q$16*(P35-逐级计算!$P$16)*LN(10)/10))))))),"")</f>
        <v>13.7930367306994</v>
      </c>
      <c r="R35">
        <f>IF(AND(ISNUMBER(Q35),逐级计算!$X$17&gt;-1),IF(逐级计算!$X$17=0,Q35+逐级计算!$C$17,Q35+逐级计算!$C$17-(10/(逐级计算!$Q$17*LN(10))*(MAX((LN(10^(逐级计算!$Q$17/10)-1)+逐级计算!$Q$17*(Q35-逐级计算!$P$17)*LN(10)/10),0)+LN(1+EXP(-ABS((LN(10^(逐级计算!$Q$17/10)-1)+逐级计算!$Q$17*(Q35-逐级计算!$P$17)*LN(10)/10))))))),"")</f>
        <v>13.7930367306994</v>
      </c>
      <c r="S35">
        <f>IF(AND(ISNUMBER(R35),逐级计算!$X$18&gt;-1),IF(逐级计算!$X$18=0,R35+逐级计算!$C$18,R35+逐级计算!$C$18-(10/(逐级计算!$Q$18*LN(10))*(MAX((LN(10^(逐级计算!$Q$18/10)-1)+逐级计算!$Q$18*(R35-逐级计算!$P$18)*LN(10)/10),0)+LN(1+EXP(-ABS((LN(10^(逐级计算!$Q$18/10)-1)+逐级计算!$Q$18*(R35-逐级计算!$P$18)*LN(10)/10))))))),"")</f>
        <v>13.7930367306994</v>
      </c>
      <c r="T35">
        <f>IF(AND(ISNUMBER(S35),逐级计算!$X$19&gt;-1),IF(逐级计算!$X$19=0,S35+逐级计算!$C$19,S35+逐级计算!$C$19-(10/(逐级计算!$Q$19*LN(10))*(MAX((LN(10^(逐级计算!$Q$19/10)-1)+逐级计算!$Q$19*(S35-逐级计算!$P$19)*LN(10)/10),0)+LN(1+EXP(-ABS((LN(10^(逐级计算!$Q$19/10)-1)+逐级计算!$Q$19*(S35-逐级计算!$P$19)*LN(10)/10))))))),"")</f>
        <v>13.7930367306994</v>
      </c>
      <c r="U35">
        <f>IF(AND(ISNUMBER(T35),逐级计算!$X$20&gt;-1),IF(逐级计算!$X$20=0,T35+逐级计算!$C$20,T35+逐级计算!$C$20-(10/(逐级计算!$Q$20*LN(10))*(MAX((LN(10^(逐级计算!$Q$20/10)-1)+逐级计算!$Q$20*(T35-逐级计算!$P$20)*LN(10)/10),0)+LN(1+EXP(-ABS((LN(10^(逐级计算!$Q$20/10)-1)+逐级计算!$Q$20*(T35-逐级计算!$P$20)*LN(10)/10))))))),"")</f>
        <v>13.7930367306994</v>
      </c>
      <c r="V35">
        <f>IF(AND(ISNUMBER(U35),逐级计算!$X$21&gt;-1),IF(逐级计算!$X$21=0,U35+逐级计算!$C$21,U35+逐级计算!$C$21-(10/(逐级计算!$Q$21*LN(10))*(MAX((LN(10^(逐级计算!$Q$21/10)-1)+逐级计算!$Q$21*(U35-逐级计算!$P$21)*LN(10)/10),0)+LN(1+EXP(-ABS((LN(10^(逐级计算!$Q$21/10)-1)+逐级计算!$Q$21*(U35-逐级计算!$P$21)*LN(10)/10))))))),"")</f>
        <v>13.7930367306994</v>
      </c>
      <c r="W35">
        <f>IF(AND(ISNUMBER(V35),逐级计算!$X$22&gt;-1),IF(逐级计算!$X$22=0,V35+逐级计算!$C$22,V35+逐级计算!$C$22-(10/(逐级计算!$Q$22*LN(10))*(MAX((LN(10^(逐级计算!$Q$22/10)-1)+逐级计算!$Q$22*(V35-逐级计算!$P$22)*LN(10)/10),0)+LN(1+EXP(-ABS((LN(10^(逐级计算!$Q$22/10)-1)+逐级计算!$Q$22*(V35-逐级计算!$P$22)*LN(10)/10))))))),"")</f>
        <v>13.7930367306994</v>
      </c>
      <c r="X35">
        <f>IF(AND(ISNUMBER(W35),逐级计算!$X$23&gt;-1),IF(逐级计算!$X$23=0,W35+逐级计算!$C$23,W35+逐级计算!$C$23-(10/(逐级计算!$Q$23*LN(10))*(MAX((LN(10^(逐级计算!$Q$23/10)-1)+逐级计算!$Q$23*(W35-逐级计算!$P$23)*LN(10)/10),0)+LN(1+EXP(-ABS((LN(10^(逐级计算!$Q$23/10)-1)+逐级计算!$Q$23*(W35-逐级计算!$P$23)*LN(10)/10))))))),"")</f>
        <v>13.7930367306994</v>
      </c>
      <c r="Y35">
        <f>IF(AND(ISNUMBER(X35),逐级计算!$X$24&gt;-1),IF(逐级计算!$X$24=0,X35+逐级计算!$C$24,X35+逐级计算!$C$24-(10/(逐级计算!$Q$24*LN(10))*(MAX((LN(10^(逐级计算!$Q$24/10)-1)+逐级计算!$Q$24*(X35-逐级计算!$P$24)*LN(10)/10),0)+LN(1+EXP(-ABS((LN(10^(逐级计算!$Q$24/10)-1)+逐级计算!$Q$24*(X35-逐级计算!$P$24)*LN(10)/10))))))),"")</f>
        <v>13.7930367306994</v>
      </c>
      <c r="Z35">
        <f>IF(AND(ISNUMBER(Y35),逐级计算!$X$25&gt;-1),IF(逐级计算!$X$25=0,Y35+逐级计算!$C$25,Y35+逐级计算!$C$25-(10/(逐级计算!$Q$25*LN(10))*(MAX((LN(10^(逐级计算!$Q$25/10)-1)+逐级计算!$Q$25*(Y35-逐级计算!$P$25)*LN(10)/10),0)+LN(1+EXP(-ABS((LN(10^(逐级计算!$Q$25/10)-1)+逐级计算!$Q$25*(Y35-逐级计算!$P$25)*LN(10)/10))))))),"")</f>
        <v>13.7930367306994</v>
      </c>
      <c r="AA35">
        <f>IF(AND(ISNUMBER(Z35),逐级计算!$X$26&gt;-1),IF(逐级计算!$X$26=0,Z35+逐级计算!$C$26,Z35+逐级计算!$C$26-(10/(逐级计算!$Q$26*LN(10))*(MAX((LN(10^(逐级计算!$Q$26/10)-1)+逐级计算!$Q$26*(Z35-逐级计算!$P$26)*LN(10)/10),0)+LN(1+EXP(-ABS((LN(10^(逐级计算!$Q$26/10)-1)+逐级计算!$Q$26*(Z35-逐级计算!$P$26)*LN(10)/10))))))),"")</f>
        <v>13.7930367306994</v>
      </c>
      <c r="AB35">
        <f>IF(AND(ISNUMBER(AA35),逐级计算!$X$27&gt;-1),IF(逐级计算!$X$27=0,AA35+逐级计算!$C$27,AA35+逐级计算!$C$27-(10/(逐级计算!$Q$27*LN(10))*(MAX((LN(10^(逐级计算!$Q$27/10)-1)+逐级计算!$Q$27*(AA35-逐级计算!$P$27)*LN(10)/10),0)+LN(1+EXP(-ABS((LN(10^(逐级计算!$Q$27/10)-1)+逐级计算!$Q$27*(AA35-逐级计算!$P$27)*LN(10)/10))))))),"")</f>
        <v>13.7930367306994</v>
      </c>
      <c r="AC35">
        <f>IF(AND(ISNUMBER(AB35),逐级计算!$X$28&gt;-1),IF(逐级计算!$X$28=0,AB35+逐级计算!$C$28,AB35+逐级计算!$C$28-(10/(逐级计算!$Q$28*LN(10))*(MAX((LN(10^(逐级计算!$Q$28/10)-1)+逐级计算!$Q$28*(AB35-逐级计算!$P$28)*LN(10)/10),0)+LN(1+EXP(-ABS((LN(10^(逐级计算!$Q$28/10)-1)+逐级计算!$Q$28*(AB35-逐级计算!$P$28)*LN(10)/10))))))),"")</f>
        <v>13.7930367306994</v>
      </c>
      <c r="AD35">
        <f>IF(AND(ISNUMBER(AC35),逐级计算!$X$29&gt;-1),IF(逐级计算!$X$29=0,AC35+逐级计算!$C$29,AC35+逐级计算!$C$29-(10/(逐级计算!$Q$29*LN(10))*(MAX((LN(10^(逐级计算!$Q$29/10)-1)+逐级计算!$Q$29*(AC35-逐级计算!$P$29)*LN(10)/10),0)+LN(1+EXP(-ABS((LN(10^(逐级计算!$Q$29/10)-1)+逐级计算!$Q$29*(AC35-逐级计算!$P$29)*LN(10)/10))))))),"")</f>
        <v>13.7930367306994</v>
      </c>
      <c r="AE35">
        <f>IF(AND(ISNUMBER(AD35),逐级计算!$X$30&gt;-1),IF(逐级计算!$X$30=0,AD35+逐级计算!$C$30,AD35+逐级计算!$C$30-(10/(逐级计算!$Q$30*LN(10))*(MAX((LN(10^(逐级计算!$Q$30/10)-1)+逐级计算!$Q$30*(AD35-逐级计算!$P$30)*LN(10)/10),0)+LN(1+EXP(-ABS((LN(10^(逐级计算!$Q$30/10)-1)+逐级计算!$Q$30*(AD35-逐级计算!$P$30)*LN(10)/10))))))),"")</f>
        <v>13.7930367306994</v>
      </c>
      <c r="AF35">
        <f>IF(AND(ISNUMBER(AE35),逐级计算!$X$31&gt;-1),IF(逐级计算!$X$31=0,AE35+逐级计算!$C$31,AE35+逐级计算!$C$31-(10/(逐级计算!$Q$31*LN(10))*(MAX((LN(10^(逐级计算!$Q$31/10)-1)+逐级计算!$Q$31*(AE35-逐级计算!$P$31)*LN(10)/10),0)+LN(1+EXP(-ABS((LN(10^(逐级计算!$Q$31/10)-1)+逐级计算!$Q$31*(AE35-逐级计算!$P$31)*LN(10)/10))))))),"")</f>
        <v>13.7930367306994</v>
      </c>
      <c r="AG35">
        <f>IF(AND(ISNUMBER(AF35),逐级计算!$X$32&gt;-1),IF(逐级计算!$X$32=0,AF35+逐级计算!$C$32,AF35+逐级计算!$C$32-(10/(逐级计算!$Q$32*LN(10))*(MAX((LN(10^(逐级计算!$Q$32/10)-1)+逐级计算!$Q$32*(AF35-逐级计算!$P$32)*LN(10)/10),0)+LN(1+EXP(-ABS((LN(10^(逐级计算!$Q$32/10)-1)+逐级计算!$Q$32*(AF35-逐级计算!$P$32)*LN(10)/10))))))),"")</f>
        <v>13.7930367306994</v>
      </c>
      <c r="AH35">
        <f>IF(AND(ISNUMBER(AG35),逐级计算!$X$33&gt;-1),IF(逐级计算!$X$33=0,AG35+逐级计算!$C$33,AG35+逐级计算!$C$33-(10/(逐级计算!$Q$33*LN(10))*(MAX((LN(10^(逐级计算!$Q$33/10)-1)+逐级计算!$Q$33*(AG35-逐级计算!$P$33)*LN(10)/10),0)+LN(1+EXP(-ABS((LN(10^(逐级计算!$Q$33/10)-1)+逐级计算!$Q$33*(AG35-逐级计算!$P$33)*LN(10)/10))))))),"")</f>
        <v>13.7930367306994</v>
      </c>
      <c r="AI35">
        <f>IF(AND(ISNUMBER(AH35),逐级计算!$X$34&gt;-1),IF(逐级计算!$X$34=0,AH35+逐级计算!$C$34,AH35+逐级计算!$C$34-(10/(逐级计算!$Q$34*LN(10))*(MAX((LN(10^(逐级计算!$Q$34/10)-1)+逐级计算!$Q$34*(AH35-逐级计算!$P$34)*LN(10)/10),0)+LN(1+EXP(-ABS((LN(10^(逐级计算!$Q$34/10)-1)+逐级计算!$Q$34*(AH35-逐级计算!$P$34)*LN(10)/10))))))),"")</f>
        <v>13.7930367306994</v>
      </c>
      <c r="AJ35">
        <f>IF(AND(ISNUMBER(AI35),逐级计算!$X$35&gt;-1),IF(逐级计算!$X$35=0,AI35+逐级计算!$C$35,AI35+逐级计算!$C$35-(10/(逐级计算!$Q$35*LN(10))*(MAX((LN(10^(逐级计算!$Q$35/10)-1)+逐级计算!$Q$35*(AI35-逐级计算!$P$35)*LN(10)/10),0)+LN(1+EXP(-ABS((LN(10^(逐级计算!$Q$35/10)-1)+逐级计算!$Q$35*(AI35-逐级计算!$P$35)*LN(10)/10))))))),"")</f>
        <v>13.7930367306994</v>
      </c>
      <c r="AK35">
        <f>IF(AND(ISNUMBER(AJ35),逐级计算!$X$36&gt;-1),IF(逐级计算!$X$36=0,AJ35+逐级计算!$C$36,AJ35+逐级计算!$C$36-(10/(逐级计算!$Q$36*LN(10))*(MAX((LN(10^(逐级计算!$Q$36/10)-1)+逐级计算!$Q$36*(AJ35-逐级计算!$P$36)*LN(10)/10),0)+LN(1+EXP(-ABS((LN(10^(逐级计算!$Q$36/10)-1)+逐级计算!$Q$36*(AJ35-逐级计算!$P$36)*LN(10)/10))))))),"")</f>
        <v>13.7930367306994</v>
      </c>
      <c r="AL35">
        <f>IF(AND(ISNUMBER(AK35),逐级计算!$X$37&gt;-1),IF(逐级计算!$X$37=0,AK35+逐级计算!$C$37,AK35+逐级计算!$C$37-(10/(逐级计算!$Q$37*LN(10))*(MAX((LN(10^(逐级计算!$Q$37/10)-1)+逐级计算!$Q$37*(AK35-逐级计算!$P$37)*LN(10)/10),0)+LN(1+EXP(-ABS((LN(10^(逐级计算!$Q$37/10)-1)+逐级计算!$Q$37*(AK35-逐级计算!$P$37)*LN(10)/10))))))),"")</f>
        <v>13.7930367306994</v>
      </c>
      <c r="AM35">
        <f>IF(AND(ISNUMBER(AL35),逐级计算!$X$38&gt;-1),IF(逐级计算!$X$38=0,AL35+逐级计算!$C$38,AL35+逐级计算!$C$38-(10/(逐级计算!$Q$38*LN(10))*(MAX((LN(10^(逐级计算!$Q$38/10)-1)+逐级计算!$Q$38*(AL35-逐级计算!$P$38)*LN(10)/10),0)+LN(1+EXP(-ABS((LN(10^(逐级计算!$Q$38/10)-1)+逐级计算!$Q$38*(AL35-逐级计算!$P$38)*LN(10)/10))))))),"")</f>
        <v>13.7930367306994</v>
      </c>
      <c r="AN35">
        <f>IF(AND(ISNUMBER(AM35),逐级计算!$X$39&gt;-1),IF(逐级计算!$X$39=0,AM35+逐级计算!$C$39,AM35+逐级计算!$C$39-(10/(逐级计算!$Q$39*LN(10))*(MAX((LN(10^(逐级计算!$Q$39/10)-1)+逐级计算!$Q$39*(AM35-逐级计算!$P$39)*LN(10)/10),0)+LN(1+EXP(-ABS((LN(10^(逐级计算!$Q$39/10)-1)+逐级计算!$Q$39*(AM35-逐级计算!$P$39)*LN(10)/10))))))),"")</f>
        <v>13.7930367306994</v>
      </c>
      <c r="AO35">
        <f>IF(AND(ISNUMBER(AN35),逐级计算!$X$40&gt;-1),IF(逐级计算!$X$40=0,AN35+逐级计算!$C$40,AN35+逐级计算!$C$40-(10/(逐级计算!$Q$40*LN(10))*(MAX((LN(10^(逐级计算!$Q$40/10)-1)+逐级计算!$Q$40*(AN35-逐级计算!$P$40)*LN(10)/10),0)+LN(1+EXP(-ABS((LN(10^(逐级计算!$Q$40/10)-1)+逐级计算!$Q$40*(AN35-逐级计算!$P$40)*LN(10)/10))))))),"")</f>
        <v>13.7930367306994</v>
      </c>
      <c r="AP35">
        <f>IF(AND(ISNUMBER(AO35),逐级计算!$X$41&gt;-1),IF(逐级计算!$X$41=0,AO35+逐级计算!$C$41,AO35+逐级计算!$C$41-(10/(逐级计算!$Q$41*LN(10))*(MAX((LN(10^(逐级计算!$Q$41/10)-1)+逐级计算!$Q$41*(AO35-逐级计算!$P$41)*LN(10)/10),0)+LN(1+EXP(-ABS((LN(10^(逐级计算!$Q$41/10)-1)+逐级计算!$Q$41*(AO35-逐级计算!$P$41)*LN(10)/10))))))),"")</f>
        <v>13.7930367306994</v>
      </c>
      <c r="AQ35">
        <f>IF(AND(ISNUMBER(AP35),逐级计算!$X$42&gt;-1),IF(逐级计算!$X$42=0,AP35+逐级计算!$C$42,AP35+逐级计算!$C$42-(10/(逐级计算!$Q$42*LN(10))*(MAX((LN(10^(逐级计算!$Q$42/10)-1)+逐级计算!$Q$42*(AP35-逐级计算!$P$42)*LN(10)/10),0)+LN(1+EXP(-ABS((LN(10^(逐级计算!$Q$42/10)-1)+逐级计算!$Q$42*(AP35-逐级计算!$P$42)*LN(10)/10))))))),"")</f>
        <v>13.7930367306994</v>
      </c>
      <c r="AR35">
        <f>IF(AND(ISNUMBER(AQ35),逐级计算!$X$43&gt;-1),IF(逐级计算!$X$43=0,AQ35+逐级计算!$C$43,AQ35+逐级计算!$C$43-(10/(逐级计算!$Q$43*LN(10))*(MAX((LN(10^(逐级计算!$Q$43/10)-1)+逐级计算!$Q$43*(AQ35-逐级计算!$P$43)*LN(10)/10),0)+LN(1+EXP(-ABS((LN(10^(逐级计算!$Q$43/10)-1)+逐级计算!$Q$43*(AQ35-逐级计算!$P$43)*LN(10)/10))))))),"")</f>
        <v>13.7930367306994</v>
      </c>
      <c r="AS35">
        <f>IF(AND(ISNUMBER(AR35),逐级计算!$X$44&gt;-1),IF(逐级计算!$X$44=0,AR35+逐级计算!$C$44,AR35+逐级计算!$C$44-(10/(逐级计算!$Q$44*LN(10))*(MAX((LN(10^(逐级计算!$Q$44/10)-1)+逐级计算!$Q$44*(AR35-逐级计算!$P$44)*LN(10)/10),0)+LN(1+EXP(-ABS((LN(10^(逐级计算!$Q$44/10)-1)+逐级计算!$Q$44*(AR35-逐级计算!$P$44)*LN(10)/10))))))),"")</f>
        <v>13.7930367306994</v>
      </c>
      <c r="AT35">
        <f>IF(AND(ISNUMBER(AS35),逐级计算!$X$45&gt;-1),IF(逐级计算!$X$45=0,AS35+逐级计算!$C$45,AS35+逐级计算!$C$45-(10/(逐级计算!$Q$45*LN(10))*(MAX((LN(10^(逐级计算!$Q$45/10)-1)+逐级计算!$Q$45*(AS35-逐级计算!$P$45)*LN(10)/10),0)+LN(1+EXP(-ABS((LN(10^(逐级计算!$Q$45/10)-1)+逐级计算!$Q$45*(AS35-逐级计算!$P$45)*LN(10)/10))))))),"")</f>
        <v>13.7930367306994</v>
      </c>
      <c r="AU35">
        <f>IF(AND(ISNUMBER(AT35),逐级计算!$X$46&gt;-1),IF(逐级计算!$X$46=0,AT35+逐级计算!$C$46,AT35+逐级计算!$C$46-(10/(逐级计算!$Q$46*LN(10))*(MAX((LN(10^(逐级计算!$Q$46/10)-1)+逐级计算!$Q$46*(AT35-逐级计算!$P$46)*LN(10)/10),0)+LN(1+EXP(-ABS((LN(10^(逐级计算!$Q$46/10)-1)+逐级计算!$Q$46*(AT35-逐级计算!$P$46)*LN(10)/10))))))),"")</f>
        <v>13.7930367306994</v>
      </c>
      <c r="AV35">
        <f>IF(AND(ISNUMBER(AU35),逐级计算!$X$47&gt;-1),IF(逐级计算!$X$47=0,AU35+逐级计算!$C$47,AU35+逐级计算!$C$47-(10/(逐级计算!$Q$47*LN(10))*(MAX((LN(10^(逐级计算!$Q$47/10)-1)+逐级计算!$Q$47*(AU35-逐级计算!$P$47)*LN(10)/10),0)+LN(1+EXP(-ABS((LN(10^(逐级计算!$Q$47/10)-1)+逐级计算!$Q$47*(AU35-逐级计算!$P$47)*LN(10)/10))))))),"")</f>
        <v>13.7930367306994</v>
      </c>
      <c r="AW35">
        <f>IF(AND(ISNUMBER(AV35),逐级计算!$X$48&gt;-1),IF(逐级计算!$X$48=0,AV35+逐级计算!$C$48,AV35+逐级计算!$C$48-(10/(逐级计算!$Q$48*LN(10))*(MAX((LN(10^(逐级计算!$Q$48/10)-1)+逐级计算!$Q$48*(AV35-逐级计算!$P$48)*LN(10)/10),0)+LN(1+EXP(-ABS((LN(10^(逐级计算!$Q$48/10)-1)+逐级计算!$Q$48*(AV35-逐级计算!$P$48)*LN(10)/10))))))),"")</f>
        <v>13.7930367306994</v>
      </c>
      <c r="AX35">
        <f>IF(AND(ISNUMBER(AW35),逐级计算!$X$49&gt;-1),IF(逐级计算!$X$49=0,AW35+逐级计算!$C$49,AW35+逐级计算!$C$49-(10/(逐级计算!$Q$49*LN(10))*(MAX((LN(10^(逐级计算!$Q$49/10)-1)+逐级计算!$Q$49*(AW35-逐级计算!$P$49)*LN(10)/10),0)+LN(1+EXP(-ABS((LN(10^(逐级计算!$Q$49/10)-1)+逐级计算!$Q$49*(AW35-逐级计算!$P$49)*LN(10)/10))))))),"")</f>
        <v>13.7930367306994</v>
      </c>
      <c r="AY35">
        <f>IF(AND(ISNUMBER(AX35),逐级计算!$X$50&gt;-1),IF(逐级计算!$X$50=0,AX35+逐级计算!$C$50,AX35+逐级计算!$C$50-(10/(逐级计算!$Q$50*LN(10))*(MAX((LN(10^(逐级计算!$Q$50/10)-1)+逐级计算!$Q$50*(AX35-逐级计算!$P$50)*LN(10)/10),0)+LN(1+EXP(-ABS((LN(10^(逐级计算!$Q$50/10)-1)+逐级计算!$Q$50*(AX35-逐级计算!$P$50)*LN(10)/10))))))),"")</f>
        <v>13.7930367306994</v>
      </c>
      <c r="AZ35">
        <f>IF(AND(ISNUMBER(AY35),逐级计算!$X$51&gt;-1),IF(逐级计算!$X$51=0,AY35+逐级计算!$C$51,AY35+逐级计算!$C$51-(10/(逐级计算!$Q$51*LN(10))*(MAX((LN(10^(逐级计算!$Q$51/10)-1)+逐级计算!$Q$51*(AY35-逐级计算!$P$51)*LN(10)/10),0)+LN(1+EXP(-ABS((LN(10^(逐级计算!$Q$51/10)-1)+逐级计算!$Q$51*(AY35-逐级计算!$P$51)*LN(10)/10))))))),"")</f>
        <v>13.7930367306994</v>
      </c>
      <c r="BA35">
        <f>IF(AND(ISNUMBER(AZ35),逐级计算!$X$52&gt;-1),IF(逐级计算!$X$52=0,AZ35+逐级计算!$C$52,AZ35+逐级计算!$C$52-(10/(逐级计算!$Q$52*LN(10))*(MAX((LN(10^(逐级计算!$Q$52/10)-1)+逐级计算!$Q$52*(AZ35-逐级计算!$P$52)*LN(10)/10),0)+LN(1+EXP(-ABS((LN(10^(逐级计算!$Q$52/10)-1)+逐级计算!$Q$52*(AZ35-逐级计算!$P$52)*LN(10)/10))))))),"")</f>
        <v>13.7930367306994</v>
      </c>
      <c r="BB35">
        <f>IF(AND(ISNUMBER(BA35),逐级计算!$X$53&gt;-1),IF(逐级计算!$X$53=0,BA35+逐级计算!$C$53,BA35+逐级计算!$C$53-(10/(逐级计算!$Q$53*LN(10))*(MAX((LN(10^(逐级计算!$Q$53/10)-1)+逐级计算!$Q$53*(BA35-逐级计算!$P$53)*LN(10)/10),0)+LN(1+EXP(-ABS((LN(10^(逐级计算!$Q$53/10)-1)+逐级计算!$Q$53*(BA35-逐级计算!$P$53)*LN(10)/10))))))),"")</f>
        <v>13.7930367306994</v>
      </c>
      <c r="BC35">
        <f>IF(AND(ISNUMBER(BB35),逐级计算!$X$54&gt;-1),IF(逐级计算!$X$54=0,BB35+逐级计算!$C$54,BB35+逐级计算!$C$54-(10/(逐级计算!$Q$54*LN(10))*(MAX((LN(10^(逐级计算!$Q$54/10)-1)+逐级计算!$Q$54*(BB35-逐级计算!$P$54)*LN(10)/10),0)+LN(1+EXP(-ABS((LN(10^(逐级计算!$Q$54/10)-1)+逐级计算!$Q$54*(BB35-逐级计算!$P$54)*LN(10)/10))))))),"")</f>
        <v>13.7930367306994</v>
      </c>
      <c r="BD35">
        <f>IF(AND(ISNUMBER(BC35),逐级计算!$X$55&gt;-1),IF(逐级计算!$X$55=0,BC35+逐级计算!$C$55,BC35+逐级计算!$C$55-(10/(逐级计算!$Q$55*LN(10))*(MAX((LN(10^(逐级计算!$Q$55/10)-1)+逐级计算!$Q$55*(BC35-逐级计算!$P$55)*LN(10)/10),0)+LN(1+EXP(-ABS((LN(10^(逐级计算!$Q$55/10)-1)+逐级计算!$Q$55*(BC35-逐级计算!$P$55)*LN(10)/10))))))),"")</f>
        <v>13.7930367306994</v>
      </c>
      <c r="BE35">
        <f>IF(AND(ISNUMBER(BD35),逐级计算!$X$56&gt;-1),IF(逐级计算!$X$56=0,BD35+逐级计算!$C$56,BD35+逐级计算!$C$56-(10/(逐级计算!$Q$56*LN(10))*(MAX((LN(10^(逐级计算!$Q$56/10)-1)+逐级计算!$Q$56*(BD35-逐级计算!$P$56)*LN(10)/10),0)+LN(1+EXP(-ABS((LN(10^(逐级计算!$Q$56/10)-1)+逐级计算!$Q$56*(BD35-逐级计算!$P$56)*LN(10)/10))))))),"")</f>
        <v>13.7930367306994</v>
      </c>
      <c r="BF35">
        <f>IF(AND(ISNUMBER(BE35),逐级计算!$X$57&gt;-1),IF(逐级计算!$X$57=0,BE35+逐级计算!$C$57,BE35+逐级计算!$C$57-(10/(逐级计算!$Q$57*LN(10))*(MAX((LN(10^(逐级计算!$Q$57/10)-1)+逐级计算!$Q$57*(BE35-逐级计算!$P$57)*LN(10)/10),0)+LN(1+EXP(-ABS((LN(10^(逐级计算!$Q$57/10)-1)+逐级计算!$Q$57*(BE35-逐级计算!$P$57)*LN(10)/10))))))),"")</f>
        <v>13.7930367306994</v>
      </c>
      <c r="BG35">
        <f>IF(AND(ISNUMBER(BF35),逐级计算!$X$58&gt;-1),IF(逐级计算!$X$58=0,BF35+逐级计算!$C$58,BF35+逐级计算!$C$58-(10/(逐级计算!$Q$58*LN(10))*(MAX((LN(10^(逐级计算!$Q$58/10)-1)+逐级计算!$Q$58*(BF35-逐级计算!$P$58)*LN(10)/10),0)+LN(1+EXP(-ABS((LN(10^(逐级计算!$Q$58/10)-1)+逐级计算!$Q$58*(BF35-逐级计算!$P$58)*LN(10)/10))))))),"")</f>
        <v>13.7930367306994</v>
      </c>
      <c r="BH35">
        <f>IF(AND(ISNUMBER(BG35),逐级计算!$X$59&gt;-1),IF(逐级计算!$X$59=0,BG35+逐级计算!$C$59,BG35+逐级计算!$C$59-(10/(逐级计算!$Q$59*LN(10))*(MAX((LN(10^(逐级计算!$Q$59/10)-1)+逐级计算!$Q$59*(BG35-逐级计算!$P$59)*LN(10)/10),0)+LN(1+EXP(-ABS((LN(10^(逐级计算!$Q$59/10)-1)+逐级计算!$Q$59*(BG35-逐级计算!$P$59)*LN(10)/10))))))),"")</f>
        <v>13.7930367306994</v>
      </c>
      <c r="BI35">
        <f>IF(AND(ISNUMBER(BH35),逐级计算!$X$60&gt;-1),IF(逐级计算!$X$60=0,BH35+逐级计算!$C$60,BH35+逐级计算!$C$60-(10/(逐级计算!$Q$60*LN(10))*(MAX((LN(10^(逐级计算!$Q$60/10)-1)+逐级计算!$Q$60*(BH35-逐级计算!$P$60)*LN(10)/10),0)+LN(1+EXP(-ABS((LN(10^(逐级计算!$Q$60/10)-1)+逐级计算!$Q$60*(BH35-逐级计算!$P$60)*LN(10)/10))))))),"")</f>
        <v>13.7930367306994</v>
      </c>
      <c r="BJ35">
        <f>IF(AND(ISNUMBER(BI35),逐级计算!$X$61&gt;-1),IF(逐级计算!$X$61=0,BI35+逐级计算!$C$61,BI35+逐级计算!$C$61-(10/(逐级计算!$Q$61*LN(10))*(MAX((LN(10^(逐级计算!$Q$61/10)-1)+逐级计算!$Q$61*(BI35-逐级计算!$P$61)*LN(10)/10),0)+LN(1+EXP(-ABS((LN(10^(逐级计算!$Q$61/10)-1)+逐级计算!$Q$61*(BI35-逐级计算!$P$61)*LN(10)/10))))))),"")</f>
        <v>13.7930367306994</v>
      </c>
      <c r="BK35">
        <f>IF(AND(ISNUMBER(BJ35),逐级计算!$X$62&gt;-1),IF(逐级计算!$X$62=0,BJ35+逐级计算!$C$62,BJ35+逐级计算!$C$62-(10/(逐级计算!$Q$62*LN(10))*(MAX((LN(10^(逐级计算!$Q$62/10)-1)+逐级计算!$Q$62*(BJ35-逐级计算!$P$62)*LN(10)/10),0)+LN(1+EXP(-ABS((LN(10^(逐级计算!$Q$62/10)-1)+逐级计算!$Q$62*(BJ35-逐级计算!$P$62)*LN(10)/10))))))),"")</f>
        <v>13.7930367306994</v>
      </c>
      <c r="BL35">
        <f>IF(AND(ISNUMBER(BK35),逐级计算!$X$63&gt;-1),IF(逐级计算!$X$63=0,BK35+逐级计算!$C$63,BK35+逐级计算!$C$63-(10/(逐级计算!$Q$63*LN(10))*(MAX((LN(10^(逐级计算!$Q$63/10)-1)+逐级计算!$Q$63*(BK35-逐级计算!$P$63)*LN(10)/10),0)+LN(1+EXP(-ABS((LN(10^(逐级计算!$Q$63/10)-1)+逐级计算!$Q$63*(BK35-逐级计算!$P$63)*LN(10)/10))))))),"")</f>
        <v>13.7930367306994</v>
      </c>
      <c r="BM35">
        <f>IF(AND(ISNUMBER(BL35),逐级计算!$X$64&gt;-1),IF(逐级计算!$X$64=0,BL35+逐级计算!$C$64,BL35+逐级计算!$C$64-(10/(逐级计算!$Q$64*LN(10))*(MAX((LN(10^(逐级计算!$Q$64/10)-1)+逐级计算!$Q$64*(BL35-逐级计算!$P$64)*LN(10)/10),0)+LN(1+EXP(-ABS((LN(10^(逐级计算!$Q$64/10)-1)+逐级计算!$Q$64*(BL35-逐级计算!$P$64)*LN(10)/10))))))),"")</f>
        <v>13.7930367306994</v>
      </c>
      <c r="BN35">
        <f>IF(AND(ISNUMBER(BM35),逐级计算!$X$65&gt;-1),IF(逐级计算!$X$65=0,BM35+逐级计算!$C$65,BM35+逐级计算!$C$65-(10/(逐级计算!$Q$65*LN(10))*(MAX((LN(10^(逐级计算!$Q$65/10)-1)+逐级计算!$Q$65*(BM35-逐级计算!$P$65)*LN(10)/10),0)+LN(1+EXP(-ABS((LN(10^(逐级计算!$Q$65/10)-1)+逐级计算!$Q$65*(BM35-逐级计算!$P$65)*LN(10)/10))))))),"")</f>
        <v>13.7930367306994</v>
      </c>
      <c r="BO35">
        <f>IF(AND(ISNUMBER(BN35),逐级计算!$X$66&gt;-1),IF(逐级计算!$X$66=0,BN35+逐级计算!$C$66,BN35+逐级计算!$C$66-(10/(逐级计算!$Q$66*LN(10))*(MAX((LN(10^(逐级计算!$Q$66/10)-1)+逐级计算!$Q$66*(BN35-逐级计算!$P$66)*LN(10)/10),0)+LN(1+EXP(-ABS((LN(10^(逐级计算!$Q$66/10)-1)+逐级计算!$Q$66*(BN35-逐级计算!$P$66)*LN(10)/10))))))),"")</f>
        <v>13.7930367306994</v>
      </c>
      <c r="BP35">
        <f>IF(AND(ISNUMBER(BO35),逐级计算!$X$67&gt;-1),IF(逐级计算!$X$67=0,BO35+逐级计算!$C$67,BO35+逐级计算!$C$67-(10/(逐级计算!$Q$67*LN(10))*(MAX((LN(10^(逐级计算!$Q$67/10)-1)+逐级计算!$Q$67*(BO35-逐级计算!$P$67)*LN(10)/10),0)+LN(1+EXP(-ABS((LN(10^(逐级计算!$Q$67/10)-1)+逐级计算!$Q$67*(BO35-逐级计算!$P$67)*LN(10)/10))))))),"")</f>
        <v>13.7930367306994</v>
      </c>
      <c r="BQ35">
        <f>IF(AND(ISNUMBER(BP35),逐级计算!$X$68&gt;-1),IF(逐级计算!$X$68=0,BP35+逐级计算!$C$68,BP35+逐级计算!$C$68-(10/(逐级计算!$Q$68*LN(10))*(MAX((LN(10^(逐级计算!$Q$68/10)-1)+逐级计算!$Q$68*(BP35-逐级计算!$P$68)*LN(10)/10),0)+LN(1+EXP(-ABS((LN(10^(逐级计算!$Q$68/10)-1)+逐级计算!$Q$68*(BP35-逐级计算!$P$68)*LN(10)/10))))))),"")</f>
        <v>13.7930367306994</v>
      </c>
      <c r="BR35">
        <f>IF(AND(ISNUMBER(BQ35),逐级计算!$X$69&gt;-1),IF(逐级计算!$X$69=0,BQ35+逐级计算!$C$69,BQ35+逐级计算!$C$69-(10/(逐级计算!$Q$69*LN(10))*(MAX((LN(10^(逐级计算!$Q$69/10)-1)+逐级计算!$Q$69*(BQ35-逐级计算!$P$69)*LN(10)/10),0)+LN(1+EXP(-ABS((LN(10^(逐级计算!$Q$69/10)-1)+逐级计算!$Q$69*(BQ35-逐级计算!$P$69)*LN(10)/10))))))),"")</f>
        <v>13.7930367306994</v>
      </c>
      <c r="BS35">
        <f>IF(AND(ISNUMBER(BR35),逐级计算!$X$70&gt;-1),IF(逐级计算!$X$70=0,BR35+逐级计算!$C$70,BR35+逐级计算!$C$70-(10/(逐级计算!$Q$70*LN(10))*(MAX((LN(10^(逐级计算!$Q$70/10)-1)+逐级计算!$Q$70*(BR35-逐级计算!$P$70)*LN(10)/10),0)+LN(1+EXP(-ABS((LN(10^(逐级计算!$Q$70/10)-1)+逐级计算!$Q$70*(BR35-逐级计算!$P$70)*LN(10)/10))))))),"")</f>
        <v>13.7930367306994</v>
      </c>
      <c r="BT35">
        <f>IF(AND(ISNUMBER(BS35),逐级计算!$X$71&gt;-1),IF(逐级计算!$X$71=0,BS35+逐级计算!$C$71,BS35+逐级计算!$C$71-(10/(逐级计算!$Q$71*LN(10))*(MAX((LN(10^(逐级计算!$Q$71/10)-1)+逐级计算!$Q$71*(BS35-逐级计算!$P$71)*LN(10)/10),0)+LN(1+EXP(-ABS((LN(10^(逐级计算!$Q$71/10)-1)+逐级计算!$Q$71*(BS35-逐级计算!$P$71)*LN(10)/10))))))),"")</f>
        <v>13.7930367306994</v>
      </c>
      <c r="BU35">
        <f>IF(AND(ISNUMBER(BT35),逐级计算!$X$72&gt;-1),IF(逐级计算!$X$72=0,BT35+逐级计算!$C$72,BT35+逐级计算!$C$72-(10/(逐级计算!$Q$72*LN(10))*(MAX((LN(10^(逐级计算!$Q$72/10)-1)+逐级计算!$Q$72*(BT35-逐级计算!$P$72)*LN(10)/10),0)+LN(1+EXP(-ABS((LN(10^(逐级计算!$Q$72/10)-1)+逐级计算!$Q$72*(BT35-逐级计算!$P$72)*LN(10)/10))))))),"")</f>
        <v>13.7930367306994</v>
      </c>
      <c r="BV35">
        <f>IF(AND(ISNUMBER(BU35),逐级计算!$X$73&gt;-1),IF(逐级计算!$X$73=0,BU35+逐级计算!$C$73,BU35+逐级计算!$C$73-(10/(逐级计算!$Q$73*LN(10))*(MAX((LN(10^(逐级计算!$Q$73/10)-1)+逐级计算!$Q$73*(BU35-逐级计算!$P$73)*LN(10)/10),0)+LN(1+EXP(-ABS((LN(10^(逐级计算!$Q$73/10)-1)+逐级计算!$Q$73*(BU35-逐级计算!$P$73)*LN(10)/10))))))),"")</f>
        <v>13.7930367306994</v>
      </c>
      <c r="BW35">
        <f>IF(AND(ISNUMBER(BV35),逐级计算!$X$74&gt;-1),IF(逐级计算!$X$74=0,BV35+逐级计算!$C$74,BV35+逐级计算!$C$74-(10/(逐级计算!$Q$74*LN(10))*(MAX((LN(10^(逐级计算!$Q$74/10)-1)+逐级计算!$Q$74*(BV35-逐级计算!$P$74)*LN(10)/10),0)+LN(1+EXP(-ABS((LN(10^(逐级计算!$Q$74/10)-1)+逐级计算!$Q$74*(BV35-逐级计算!$P$74)*LN(10)/10))))))),"")</f>
        <v>13.7930367306994</v>
      </c>
      <c r="BX35">
        <f>IF(AND(ISNUMBER(BW35),逐级计算!$X$75&gt;-1),IF(逐级计算!$X$75=0,BW35+逐级计算!$C$75,BW35+逐级计算!$C$75-(10/(逐级计算!$Q$75*LN(10))*(MAX((LN(10^(逐级计算!$Q$75/10)-1)+逐级计算!$Q$75*(BW35-逐级计算!$P$75)*LN(10)/10),0)+LN(1+EXP(-ABS((LN(10^(逐级计算!$Q$75/10)-1)+逐级计算!$Q$75*(BW35-逐级计算!$P$75)*LN(10)/10))))))),"")</f>
        <v>13.7930367306994</v>
      </c>
      <c r="BY35">
        <f>IF(AND(ISNUMBER(BX35),逐级计算!$X$76&gt;-1),IF(逐级计算!$X$76=0,BX35+逐级计算!$C$76,BX35+逐级计算!$C$76-(10/(逐级计算!$Q$76*LN(10))*(MAX((LN(10^(逐级计算!$Q$76/10)-1)+逐级计算!$Q$76*(BX35-逐级计算!$P$76)*LN(10)/10),0)+LN(1+EXP(-ABS((LN(10^(逐级计算!$Q$76/10)-1)+逐级计算!$Q$76*(BX35-逐级计算!$P$76)*LN(10)/10))))))),"")</f>
        <v>13.7930367306994</v>
      </c>
      <c r="BZ35">
        <f>IF(AND(ISNUMBER(BY35),逐级计算!$X$77&gt;-1),IF(逐级计算!$X$77=0,BY35+逐级计算!$C$77,BY35+逐级计算!$C$77-(10/(逐级计算!$Q$77*LN(10))*(MAX((LN(10^(逐级计算!$Q$77/10)-1)+逐级计算!$Q$77*(BY35-逐级计算!$P$77)*LN(10)/10),0)+LN(1+EXP(-ABS((LN(10^(逐级计算!$Q$77/10)-1)+逐级计算!$Q$77*(BY35-逐级计算!$P$77)*LN(10)/10))))))),"")</f>
        <v>13.7930367306994</v>
      </c>
      <c r="CA35">
        <f>IF(AND(ISNUMBER(BZ35),逐级计算!$X$78&gt;-1),IF(逐级计算!$X$78=0,BZ35+逐级计算!$C$78,BZ35+逐级计算!$C$78-(10/(逐级计算!$Q$78*LN(10))*(MAX((LN(10^(逐级计算!$Q$78/10)-1)+逐级计算!$Q$78*(BZ35-逐级计算!$P$78)*LN(10)/10),0)+LN(1+EXP(-ABS((LN(10^(逐级计算!$Q$78/10)-1)+逐级计算!$Q$78*(BZ35-逐级计算!$P$78)*LN(10)/10))))))),"")</f>
        <v>13.7930367306994</v>
      </c>
      <c r="CB35">
        <f>IF(AND(ISNUMBER(CA35),逐级计算!$X$79&gt;-1),IF(逐级计算!$X$79=0,CA35+逐级计算!$C$79,CA35+逐级计算!$C$79-(10/(逐级计算!$Q$79*LN(10))*(MAX((LN(10^(逐级计算!$Q$79/10)-1)+逐级计算!$Q$79*(CA35-逐级计算!$P$79)*LN(10)/10),0)+LN(1+EXP(-ABS((LN(10^(逐级计算!$Q$79/10)-1)+逐级计算!$Q$79*(CA35-逐级计算!$P$79)*LN(10)/10))))))),"")</f>
        <v>13.7930367306994</v>
      </c>
      <c r="CC35">
        <f>IF(AND(ISNUMBER(CB35),逐级计算!$X$80&gt;-1),IF(逐级计算!$X$80=0,CB35+逐级计算!$C$80,CB35+逐级计算!$C$80-(10/(逐级计算!$Q$80*LN(10))*(MAX((LN(10^(逐级计算!$Q$80/10)-1)+逐级计算!$Q$80*(CB35-逐级计算!$P$80)*LN(10)/10),0)+LN(1+EXP(-ABS((LN(10^(逐级计算!$Q$80/10)-1)+逐级计算!$Q$80*(CB35-逐级计算!$P$80)*LN(10)/10))))))),"")</f>
        <v>13.7930367306994</v>
      </c>
      <c r="CD35">
        <f>IF(AND(ISNUMBER(CC35),逐级计算!$X$81&gt;-1),IF(逐级计算!$X$81=0,CC35+逐级计算!$C$81,CC35+逐级计算!$C$81-(10/(逐级计算!$Q$81*LN(10))*(MAX((LN(10^(逐级计算!$Q$81/10)-1)+逐级计算!$Q$81*(CC35-逐级计算!$P$81)*LN(10)/10),0)+LN(1+EXP(-ABS((LN(10^(逐级计算!$Q$81/10)-1)+逐级计算!$Q$81*(CC35-逐级计算!$P$81)*LN(10)/10))))))),"")</f>
        <v>13.7930367306994</v>
      </c>
      <c r="CE35">
        <f>IF(AND(ISNUMBER(CD35),逐级计算!$X$82&gt;-1),IF(逐级计算!$X$82=0,CD35+逐级计算!$C$82,CD35+逐级计算!$C$82-(10/(逐级计算!$Q$82*LN(10))*(MAX((LN(10^(逐级计算!$Q$82/10)-1)+逐级计算!$Q$82*(CD35-逐级计算!$P$82)*LN(10)/10),0)+LN(1+EXP(-ABS((LN(10^(逐级计算!$Q$82/10)-1)+逐级计算!$Q$82*(CD35-逐级计算!$P$82)*LN(10)/10))))))),"")</f>
        <v>13.7930367306994</v>
      </c>
      <c r="CF35">
        <f>IF(AND(ISNUMBER(CE35),逐级计算!$X$83&gt;-1),IF(逐级计算!$X$83=0,CE35+逐级计算!$C$83,CE35+逐级计算!$C$83-(10/(逐级计算!$Q$83*LN(10))*(MAX((LN(10^(逐级计算!$Q$83/10)-1)+逐级计算!$Q$83*(CE35-逐级计算!$P$83)*LN(10)/10),0)+LN(1+EXP(-ABS((LN(10^(逐级计算!$Q$83/10)-1)+逐级计算!$Q$83*(CE35-逐级计算!$P$83)*LN(10)/10))))))),"")</f>
        <v>13.7930367306994</v>
      </c>
      <c r="CG35">
        <f>IF(AND(ISNUMBER(CF35),逐级计算!$X$84&gt;-1),IF(逐级计算!$X$84=0,CF35+逐级计算!$C$84,CF35+逐级计算!$C$84-(10/(逐级计算!$Q$84*LN(10))*(MAX((LN(10^(逐级计算!$Q$84/10)-1)+逐级计算!$Q$84*(CF35-逐级计算!$P$84)*LN(10)/10),0)+LN(1+EXP(-ABS((LN(10^(逐级计算!$Q$84/10)-1)+逐级计算!$Q$84*(CF35-逐级计算!$P$84)*LN(10)/10))))))),"")</f>
        <v>13.7930367306994</v>
      </c>
      <c r="CH35">
        <f>IF(AND(ISNUMBER(CG35),逐级计算!$X$85&gt;-1),IF(逐级计算!$X$85=0,CG35+逐级计算!$C$85,CG35+逐级计算!$C$85-(10/(逐级计算!$Q$85*LN(10))*(MAX((LN(10^(逐级计算!$Q$85/10)-1)+逐级计算!$Q$85*(CG35-逐级计算!$P$85)*LN(10)/10),0)+LN(1+EXP(-ABS((LN(10^(逐级计算!$Q$85/10)-1)+逐级计算!$Q$85*(CG35-逐级计算!$P$85)*LN(10)/10))))))),"")</f>
        <v>13.7930367306994</v>
      </c>
      <c r="CI35">
        <f>IF(AND(ISNUMBER(CH35),逐级计算!$X$86&gt;-1),IF(逐级计算!$X$86=0,CH35+逐级计算!$C$86,CH35+逐级计算!$C$86-(10/(逐级计算!$Q$86*LN(10))*(MAX((LN(10^(逐级计算!$Q$86/10)-1)+逐级计算!$Q$86*(CH35-逐级计算!$P$86)*LN(10)/10),0)+LN(1+EXP(-ABS((LN(10^(逐级计算!$Q$86/10)-1)+逐级计算!$Q$86*(CH35-逐级计算!$P$86)*LN(10)/10))))))),"")</f>
        <v>13.7930367306994</v>
      </c>
      <c r="CJ35">
        <f>IF(AND(ISNUMBER(CI35),逐级计算!$X$87&gt;-1),IF(逐级计算!$X$87=0,CI35+逐级计算!$C$87,CI35+逐级计算!$C$87-(10/(逐级计算!$Q$87*LN(10))*(MAX((LN(10^(逐级计算!$Q$87/10)-1)+逐级计算!$Q$87*(CI35-逐级计算!$P$87)*LN(10)/10),0)+LN(1+EXP(-ABS((LN(10^(逐级计算!$Q$87/10)-1)+逐级计算!$Q$87*(CI35-逐级计算!$P$87)*LN(10)/10))))))),"")</f>
        <v>13.7930367306994</v>
      </c>
      <c r="CK35">
        <f>IF(AND(ISNUMBER(CJ35),逐级计算!$X$88&gt;-1),IF(逐级计算!$X$88=0,CJ35+逐级计算!$C$88,CJ35+逐级计算!$C$88-(10/(逐级计算!$Q$88*LN(10))*(MAX((LN(10^(逐级计算!$Q$88/10)-1)+逐级计算!$Q$88*(CJ35-逐级计算!$P$88)*LN(10)/10),0)+LN(1+EXP(-ABS((LN(10^(逐级计算!$Q$88/10)-1)+逐级计算!$Q$88*(CJ35-逐级计算!$P$88)*LN(10)/10))))))),"")</f>
        <v>13.7930367306994</v>
      </c>
      <c r="CL35">
        <f>IF(AND(ISNUMBER(CK35),逐级计算!$X$89&gt;-1),IF(逐级计算!$X$89=0,CK35+逐级计算!$C$89,CK35+逐级计算!$C$89-(10/(逐级计算!$Q$89*LN(10))*(MAX((LN(10^(逐级计算!$Q$89/10)-1)+逐级计算!$Q$89*(CK35-逐级计算!$P$89)*LN(10)/10),0)+LN(1+EXP(-ABS((LN(10^(逐级计算!$Q$89/10)-1)+逐级计算!$Q$89*(CK35-逐级计算!$P$89)*LN(10)/10))))))),"")</f>
        <v>13.7930367306994</v>
      </c>
      <c r="CM35">
        <f>IF(AND(ISNUMBER(CL35),逐级计算!$X$90&gt;-1),IF(逐级计算!$X$90=0,CL35+逐级计算!$C$90,CL35+逐级计算!$C$90-(10/(逐级计算!$Q$90*LN(10))*(MAX((LN(10^(逐级计算!$Q$90/10)-1)+逐级计算!$Q$90*(CL35-逐级计算!$P$90)*LN(10)/10),0)+LN(1+EXP(-ABS((LN(10^(逐级计算!$Q$90/10)-1)+逐级计算!$Q$90*(CL35-逐级计算!$P$90)*LN(10)/10))))))),"")</f>
        <v>13.7930367306994</v>
      </c>
      <c r="CN35">
        <f>IF(AND(ISNUMBER(CM35),逐级计算!$X$91&gt;-1),IF(逐级计算!$X$91=0,CM35+逐级计算!$C$91,CM35+逐级计算!$C$91-(10/(逐级计算!$Q$91*LN(10))*(MAX((LN(10^(逐级计算!$Q$91/10)-1)+逐级计算!$Q$91*(CM35-逐级计算!$P$91)*LN(10)/10),0)+LN(1+EXP(-ABS((LN(10^(逐级计算!$Q$91/10)-1)+逐级计算!$Q$91*(CM35-逐级计算!$P$91)*LN(10)/10))))))),"")</f>
        <v>13.7930367306994</v>
      </c>
      <c r="CO35">
        <f>IF(AND(ISNUMBER(CN35),逐级计算!$X$92&gt;-1),IF(逐级计算!$X$92=0,CN35+逐级计算!$C$92,CN35+逐级计算!$C$92-(10/(逐级计算!$Q$92*LN(10))*(MAX((LN(10^(逐级计算!$Q$92/10)-1)+逐级计算!$Q$92*(CN35-逐级计算!$P$92)*LN(10)/10),0)+LN(1+EXP(-ABS((LN(10^(逐级计算!$Q$92/10)-1)+逐级计算!$Q$92*(CN35-逐级计算!$P$92)*LN(10)/10))))))),"")</f>
        <v>13.7930367306994</v>
      </c>
      <c r="CP35">
        <f>IF(AND(ISNUMBER(CO35),逐级计算!$X$93&gt;-1),IF(逐级计算!$X$93=0,CO35+逐级计算!$C$93,CO35+逐级计算!$C$93-(10/(逐级计算!$Q$93*LN(10))*(MAX((LN(10^(逐级计算!$Q$93/10)-1)+逐级计算!$Q$93*(CO35-逐级计算!$P$93)*LN(10)/10),0)+LN(1+EXP(-ABS((LN(10^(逐级计算!$Q$93/10)-1)+逐级计算!$Q$93*(CO35-逐级计算!$P$93)*LN(10)/10))))))),"")</f>
        <v>13.7930367306994</v>
      </c>
      <c r="CQ35">
        <f>IF(AND(ISNUMBER(CP35),逐级计算!$X$94&gt;-1),IF(逐级计算!$X$94=0,CP35+逐级计算!$C$94,CP35+逐级计算!$C$94-(10/(逐级计算!$Q$94*LN(10))*(MAX((LN(10^(逐级计算!$Q$94/10)-1)+逐级计算!$Q$94*(CP35-逐级计算!$P$94)*LN(10)/10),0)+LN(1+EXP(-ABS((LN(10^(逐级计算!$Q$94/10)-1)+逐级计算!$Q$94*(CP35-逐级计算!$P$94)*LN(10)/10))))))),"")</f>
        <v>13.7930367306994</v>
      </c>
      <c r="CR35">
        <f>IF(AND(ISNUMBER(CQ35),逐级计算!$X$95&gt;-1),IF(逐级计算!$X$95=0,CQ35+逐级计算!$C$95,CQ35+逐级计算!$C$95-(10/(逐级计算!$Q$95*LN(10))*(MAX((LN(10^(逐级计算!$Q$95/10)-1)+逐级计算!$Q$95*(CQ35-逐级计算!$P$95)*LN(10)/10),0)+LN(1+EXP(-ABS((LN(10^(逐级计算!$Q$95/10)-1)+逐级计算!$Q$95*(CQ35-逐级计算!$P$95)*LN(10)/10))))))),"")</f>
        <v>13.7930367306994</v>
      </c>
      <c r="CS35">
        <f>IF(AND(ISNUMBER(CR35),逐级计算!$X$96&gt;-1),IF(逐级计算!$X$96=0,CR35+逐级计算!$C$96,CR35+逐级计算!$C$96-(10/(逐级计算!$Q$96*LN(10))*(MAX((LN(10^(逐级计算!$Q$96/10)-1)+逐级计算!$Q$96*(CR35-逐级计算!$P$96)*LN(10)/10),0)+LN(1+EXP(-ABS((LN(10^(逐级计算!$Q$96/10)-1)+逐级计算!$Q$96*(CR35-逐级计算!$P$96)*LN(10)/10))))))),"")</f>
        <v>13.7930367306994</v>
      </c>
      <c r="CT35">
        <f>IF(AND(ISNUMBER(CS35),逐级计算!$X$97&gt;-1),IF(逐级计算!$X$97=0,CS35+逐级计算!$C$97,CS35+逐级计算!$C$97-(10/(逐级计算!$Q$97*LN(10))*(MAX((LN(10^(逐级计算!$Q$97/10)-1)+逐级计算!$Q$97*(CS35-逐级计算!$P$97)*LN(10)/10),0)+LN(1+EXP(-ABS((LN(10^(逐级计算!$Q$97/10)-1)+逐级计算!$Q$97*(CS35-逐级计算!$P$97)*LN(10)/10))))))),"")</f>
        <v>13.7930367306994</v>
      </c>
      <c r="CU35">
        <f>IF(AND(ISNUMBER(CT35),逐级计算!$X$98&gt;-1),IF(逐级计算!$X$98=0,CT35+逐级计算!$C$98,CT35+逐级计算!$C$98-(10/(逐级计算!$Q$98*LN(10))*(MAX((LN(10^(逐级计算!$Q$98/10)-1)+逐级计算!$Q$98*(CT35-逐级计算!$P$98)*LN(10)/10),0)+LN(1+EXP(-ABS((LN(10^(逐级计算!$Q$98/10)-1)+逐级计算!$Q$98*(CT35-逐级计算!$P$98)*LN(10)/10))))))),"")</f>
        <v>13.7930367306994</v>
      </c>
      <c r="CV35">
        <f>IF(AND(ISNUMBER(CU35),逐级计算!$X$99&gt;-1),IF(逐级计算!$X$99=0,CU35+逐级计算!$C$99,CU35+逐级计算!$C$99-(10/(逐级计算!$Q$99*LN(10))*(MAX((LN(10^(逐级计算!$Q$99/10)-1)+逐级计算!$Q$99*(CU35-逐级计算!$P$99)*LN(10)/10),0)+LN(1+EXP(-ABS((LN(10^(逐级计算!$Q$99/10)-1)+逐级计算!$Q$99*(CU35-逐级计算!$P$99)*LN(10)/10))))))),"")</f>
        <v>13.7930367306994</v>
      </c>
      <c r="CW35">
        <f>IF(AND(ISNUMBER(CV35),逐级计算!$X$100&gt;-1),IF(逐级计算!$X$100=0,CV35+逐级计算!$C$100,CV35+逐级计算!$C$100-(10/(逐级计算!$Q$100*LN(10))*(MAX((LN(10^(逐级计算!$Q$100/10)-1)+逐级计算!$Q$100*(CV35-逐级计算!$P$100)*LN(10)/10),0)+LN(1+EXP(-ABS((LN(10^(逐级计算!$Q$100/10)-1)+逐级计算!$Q$100*(CV35-逐级计算!$P$100)*LN(10)/10))))))),"")</f>
        <v>13.7930367306994</v>
      </c>
      <c r="CX35">
        <f>IF(AND(ISNUMBER(CW35),逐级计算!$X$101&gt;-1),IF(逐级计算!$X$101=0,CW35+逐级计算!$C$101,CW35+逐级计算!$C$101-(10/(逐级计算!$Q$101*LN(10))*(MAX((LN(10^(逐级计算!$Q$101/10)-1)+逐级计算!$Q$101*(CW35-逐级计算!$P$101)*LN(10)/10),0)+LN(1+EXP(-ABS((LN(10^(逐级计算!$Q$101/10)-1)+逐级计算!$Q$101*(CW35-逐级计算!$P$101)*LN(10)/10))))))),"")</f>
        <v>13.7930367306994</v>
      </c>
      <c r="CY35">
        <f>IF(AND(ISNUMBER(CX35),逐级计算!$X$102&gt;-1),IF(逐级计算!$X$102=0,CX35+逐级计算!$C$102,CX35+逐级计算!$C$102-(10/(逐级计算!$Q$102*LN(10))*(MAX((LN(10^(逐级计算!$Q$102/10)-1)+逐级计算!$Q$102*(CX35-逐级计算!$P$102)*LN(10)/10),0)+LN(1+EXP(-ABS((LN(10^(逐级计算!$Q$102/10)-1)+逐级计算!$Q$102*(CX35-逐级计算!$P$102)*LN(10)/10))))))),"")</f>
        <v>13.7930367306994</v>
      </c>
      <c r="CZ35">
        <f>IF(AND(ISNUMBER(CY35),逐级计算!$X$103&gt;-1),IF(逐级计算!$X$103=0,CY35+逐级计算!$C$103,CY35+逐级计算!$C$103-(10/(逐级计算!$Q$103*LN(10))*(MAX((LN(10^(逐级计算!$Q$103/10)-1)+逐级计算!$Q$103*(CY35-逐级计算!$P$103)*LN(10)/10),0)+LN(1+EXP(-ABS((LN(10^(逐级计算!$Q$103/10)-1)+逐级计算!$Q$103*(CY35-逐级计算!$P$103)*LN(10)/10))))))),"")</f>
        <v>13.7930367306994</v>
      </c>
      <c r="DA35">
        <f>IF(AND(ISNUMBER(CZ35),逐级计算!$X$104&gt;-1),IF(逐级计算!$X$104=0,CZ35+逐级计算!$C$104,CZ35+逐级计算!$C$104-(10/(逐级计算!$Q$104*LN(10))*(MAX((LN(10^(逐级计算!$Q$104/10)-1)+逐级计算!$Q$104*(CZ35-逐级计算!$P$104)*LN(10)/10),0)+LN(1+EXP(-ABS((LN(10^(逐级计算!$Q$104/10)-1)+逐级计算!$Q$104*(CZ35-逐级计算!$P$104)*LN(10)/10))))))),"")</f>
        <v>13.7930367306994</v>
      </c>
      <c r="DB35">
        <f>IF(AND(ISNUMBER(DA35),逐级计算!$X$105&gt;-1),IF(逐级计算!$X$105=0,DA35+逐级计算!$C$105,DA35+逐级计算!$C$105-(10/(逐级计算!$Q$105*LN(10))*(MAX((LN(10^(逐级计算!$Q$105/10)-1)+逐级计算!$Q$105*(DA35-逐级计算!$P$105)*LN(10)/10),0)+LN(1+EXP(-ABS((LN(10^(逐级计算!$Q$105/10)-1)+逐级计算!$Q$105*(DA35-逐级计算!$P$105)*LN(10)/10))))))),"")</f>
        <v>13.7930367306994</v>
      </c>
      <c r="DC35">
        <f>IF(AND(ISNUMBER(DB35),逐级计算!$X$106&gt;-1),IF(逐级计算!$X$106=0,DB35+逐级计算!$C$106,DB35+逐级计算!$C$106-(10/(逐级计算!$Q$106*LN(10))*(MAX((LN(10^(逐级计算!$Q$106/10)-1)+逐级计算!$Q$106*(DB35-逐级计算!$P$106)*LN(10)/10),0)+LN(1+EXP(-ABS((LN(10^(逐级计算!$Q$106/10)-1)+逐级计算!$Q$106*(DB35-逐级计算!$P$106)*LN(10)/10))))))),"")</f>
        <v>13.7930367306994</v>
      </c>
      <c r="DD35">
        <f>IF(AND(ISNUMBER(DC35),逐级计算!$X$107&gt;-1),IF(逐级计算!$X$107=0,DC35+逐级计算!$C$107,DC35+逐级计算!$C$107-(10/(逐级计算!$Q$107*LN(10))*(MAX((LN(10^(逐级计算!$Q$107/10)-1)+逐级计算!$Q$107*(DC35-逐级计算!$P$107)*LN(10)/10),0)+LN(1+EXP(-ABS((LN(10^(逐级计算!$Q$107/10)-1)+逐级计算!$Q$107*(DC35-逐级计算!$P$107)*LN(10)/10))))))),"")</f>
        <v>13.7930367306994</v>
      </c>
      <c r="DE35">
        <f>IF(AND(ISNUMBER(DD35),逐级计算!$X$108&gt;-1),IF(逐级计算!$X$108=0,DD35+逐级计算!$C$108,DD35+逐级计算!$C$108-(10/(逐级计算!$Q$108*LN(10))*(MAX((LN(10^(逐级计算!$Q$108/10)-1)+逐级计算!$Q$108*(DD35-逐级计算!$P$108)*LN(10)/10),0)+LN(1+EXP(-ABS((LN(10^(逐级计算!$Q$108/10)-1)+逐级计算!$Q$108*(DD35-逐级计算!$P$108)*LN(10)/10))))))),"")</f>
        <v>13.7930367306994</v>
      </c>
      <c r="DF35">
        <f>IF(AND(ISNUMBER(DE35),逐级计算!$X$109&gt;-1),IF(逐级计算!$X$109=0,DE35+逐级计算!$C$109,DE35+逐级计算!$C$109-(10/(逐级计算!$Q$109*LN(10))*(MAX((LN(10^(逐级计算!$Q$109/10)-1)+逐级计算!$Q$109*(DE35-逐级计算!$P$109)*LN(10)/10),0)+LN(1+EXP(-ABS((LN(10^(逐级计算!$Q$109/10)-1)+逐级计算!$Q$109*(DE35-逐级计算!$P$109)*LN(10)/10))))))),"")</f>
        <v>13.7930367306994</v>
      </c>
      <c r="DG35">
        <f>IF(AND(ISNUMBER(DF35),逐级计算!$X$110&gt;-1),IF(逐级计算!$X$110=0,DF35+逐级计算!$C$110,DF35+逐级计算!$C$110-(10/(逐级计算!$Q$110*LN(10))*(MAX((LN(10^(逐级计算!$Q$110/10)-1)+逐级计算!$Q$110*(DF35-逐级计算!$P$110)*LN(10)/10),0)+LN(1+EXP(-ABS((LN(10^(逐级计算!$Q$110/10)-1)+逐级计算!$Q$110*(DF35-逐级计算!$P$110)*LN(10)/10))))))),"")</f>
        <v>13.7930367306994</v>
      </c>
      <c r="DH35">
        <f>IF(AND(ISNUMBER(DG35),逐级计算!$X$111&gt;-1),IF(逐级计算!$X$111=0,DG35+逐级计算!$C$111,DG35+逐级计算!$C$111-(10/(逐级计算!$Q$111*LN(10))*(MAX((LN(10^(逐级计算!$Q$111/10)-1)+逐级计算!$Q$111*(DG35-逐级计算!$P$111)*LN(10)/10),0)+LN(1+EXP(-ABS((LN(10^(逐级计算!$Q$111/10)-1)+逐级计算!$Q$111*(DG35-逐级计算!$P$111)*LN(10)/10))))))),"")</f>
        <v>13.7930367306994</v>
      </c>
      <c r="DI35">
        <f>IF(AND(ISNUMBER(DH35),逐级计算!$X$112&gt;-1),IF(逐级计算!$X$112=0,DH35+逐级计算!$C$112,DH35+逐级计算!$C$112-(10/(逐级计算!$Q$112*LN(10))*(MAX((LN(10^(逐级计算!$Q$112/10)-1)+逐级计算!$Q$112*(DH35-逐级计算!$P$112)*LN(10)/10),0)+LN(1+EXP(-ABS((LN(10^(逐级计算!$Q$112/10)-1)+逐级计算!$Q$112*(DH35-逐级计算!$P$112)*LN(10)/10))))))),"")</f>
        <v>13.7930367306994</v>
      </c>
      <c r="DJ35">
        <f>IF(AND(ISNUMBER(DI35),逐级计算!$X$113&gt;-1),IF(逐级计算!$X$113=0,DI35+逐级计算!$C$113,DI35+逐级计算!$C$113-(10/(逐级计算!$Q$113*LN(10))*(MAX((LN(10^(逐级计算!$Q$113/10)-1)+逐级计算!$Q$113*(DI35-逐级计算!$P$113)*LN(10)/10),0)+LN(1+EXP(-ABS((LN(10^(逐级计算!$Q$113/10)-1)+逐级计算!$Q$113*(DI35-逐级计算!$P$113)*LN(10)/10))))))),"")</f>
        <v>13.7930367306994</v>
      </c>
      <c r="DK35">
        <f>IF(AND(ISNUMBER(DJ35),逐级计算!$X$114&gt;-1),IF(逐级计算!$X$114=0,DJ35+逐级计算!$C$114,DJ35+逐级计算!$C$114-(10/(逐级计算!$Q$114*LN(10))*(MAX((LN(10^(逐级计算!$Q$114/10)-1)+逐级计算!$Q$114*(DJ35-逐级计算!$P$114)*LN(10)/10),0)+LN(1+EXP(-ABS((LN(10^(逐级计算!$Q$114/10)-1)+逐级计算!$Q$114*(DJ35-逐级计算!$P$114)*LN(10)/10))))))),"")</f>
        <v>13.7930367306994</v>
      </c>
      <c r="DL35">
        <f>IF(AND(ISNUMBER(DK35),逐级计算!$X$115&gt;-1),IF(逐级计算!$X$115=0,DK35+逐级计算!$C$115,DK35+逐级计算!$C$115-(10/(逐级计算!$Q$115*LN(10))*(MAX((LN(10^(逐级计算!$Q$115/10)-1)+逐级计算!$Q$115*(DK35-逐级计算!$P$115)*LN(10)/10),0)+LN(1+EXP(-ABS((LN(10^(逐级计算!$Q$115/10)-1)+逐级计算!$Q$115*(DK35-逐级计算!$P$115)*LN(10)/10))))))),"")</f>
        <v>13.7930367306994</v>
      </c>
      <c r="DM35">
        <f>IF(AND(ISNUMBER(DL35),逐级计算!$X$116&gt;-1),IF(逐级计算!$X$116=0,DL35+逐级计算!$C$116,DL35+逐级计算!$C$116-(10/(逐级计算!$Q$116*LN(10))*(MAX((LN(10^(逐级计算!$Q$116/10)-1)+逐级计算!$Q$116*(DL35-逐级计算!$P$116)*LN(10)/10),0)+LN(1+EXP(-ABS((LN(10^(逐级计算!$Q$116/10)-1)+逐级计算!$Q$116*(DL35-逐级计算!$P$116)*LN(10)/10))))))),"")</f>
        <v>13.7930367306994</v>
      </c>
      <c r="DN35">
        <f>IF(AND(ISNUMBER(DM35),逐级计算!$X$117&gt;-1),IF(逐级计算!$X$117=0,DM35+逐级计算!$C$117,DM35+逐级计算!$C$117-(10/(逐级计算!$Q$117*LN(10))*(MAX((LN(10^(逐级计算!$Q$117/10)-1)+逐级计算!$Q$117*(DM35-逐级计算!$P$117)*LN(10)/10),0)+LN(1+EXP(-ABS((LN(10^(逐级计算!$Q$117/10)-1)+逐级计算!$Q$117*(DM35-逐级计算!$P$117)*LN(10)/10))))))),"")</f>
        <v>13.7930367306994</v>
      </c>
      <c r="DO35">
        <f>IF(AND(ISNUMBER(DN35),逐级计算!$X$118&gt;-1),IF(逐级计算!$X$118=0,DN35+逐级计算!$C$118,DN35+逐级计算!$C$118-(10/(逐级计算!$Q$118*LN(10))*(MAX((LN(10^(逐级计算!$Q$118/10)-1)+逐级计算!$Q$118*(DN35-逐级计算!$P$118)*LN(10)/10),0)+LN(1+EXP(-ABS((LN(10^(逐级计算!$Q$118/10)-1)+逐级计算!$Q$118*(DN35-逐级计算!$P$118)*LN(10)/10))))))),"")</f>
        <v>13.7930367306994</v>
      </c>
      <c r="DP35">
        <f>IF(AND(ISNUMBER(DO35),逐级计算!$X$119&gt;-1),IF(逐级计算!$X$119=0,DO35+逐级计算!$C$119,DO35+逐级计算!$C$119-(10/(逐级计算!$Q$119*LN(10))*(MAX((LN(10^(逐级计算!$Q$119/10)-1)+逐级计算!$Q$119*(DO35-逐级计算!$P$119)*LN(10)/10),0)+LN(1+EXP(-ABS((LN(10^(逐级计算!$Q$119/10)-1)+逐级计算!$Q$119*(DO35-逐级计算!$P$119)*LN(10)/10))))))),"")</f>
        <v>13.7930367306994</v>
      </c>
      <c r="DQ35">
        <f>IF(AND(ISNUMBER(DP35),逐级计算!$X$120&gt;-1),IF(逐级计算!$X$120=0,DP35+逐级计算!$C$120,DP35+逐级计算!$C$120-(10/(逐级计算!$Q$120*LN(10))*(MAX((LN(10^(逐级计算!$Q$120/10)-1)+逐级计算!$Q$120*(DP35-逐级计算!$P$120)*LN(10)/10),0)+LN(1+EXP(-ABS((LN(10^(逐级计算!$Q$120/10)-1)+逐级计算!$Q$120*(DP35-逐级计算!$P$120)*LN(10)/10))))))),"")</f>
        <v>13.7930367306994</v>
      </c>
      <c r="DR35">
        <f>IF(AND(ISNUMBER(DQ35),逐级计算!$X$121&gt;-1),IF(逐级计算!$X$121=0,DQ35+逐级计算!$C$121,DQ35+逐级计算!$C$121-(10/(逐级计算!$Q$121*LN(10))*(MAX((LN(10^(逐级计算!$Q$121/10)-1)+逐级计算!$Q$121*(DQ35-逐级计算!$P$121)*LN(10)/10),0)+LN(1+EXP(-ABS((LN(10^(逐级计算!$Q$121/10)-1)+逐级计算!$Q$121*(DQ35-逐级计算!$P$121)*LN(10)/10))))))),"")</f>
        <v>13.7930367306994</v>
      </c>
      <c r="DS35">
        <f>IF(AND(ISNUMBER(DR35),逐级计算!$X$122&gt;-1),IF(逐级计算!$X$122=0,DR35+逐级计算!$C$122,DR35+逐级计算!$C$122-(10/(逐级计算!$Q$122*LN(10))*(MAX((LN(10^(逐级计算!$Q$122/10)-1)+逐级计算!$Q$122*(DR35-逐级计算!$P$122)*LN(10)/10),0)+LN(1+EXP(-ABS((LN(10^(逐级计算!$Q$122/10)-1)+逐级计算!$Q$122*(DR35-逐级计算!$P$122)*LN(10)/10))))))),"")</f>
        <v>13.7930367306994</v>
      </c>
      <c r="DT35">
        <f>IF(AND(ISNUMBER(DS35),逐级计算!$X$123&gt;-1),IF(逐级计算!$X$123=0,DS35+逐级计算!$C$123,DS35+逐级计算!$C$123-(10/(逐级计算!$Q$123*LN(10))*(MAX((LN(10^(逐级计算!$Q$123/10)-1)+逐级计算!$Q$123*(DS35-逐级计算!$P$123)*LN(10)/10),0)+LN(1+EXP(-ABS((LN(10^(逐级计算!$Q$123/10)-1)+逐级计算!$Q$123*(DS35-逐级计算!$P$123)*LN(10)/10))))))),"")</f>
        <v>13.7930367306994</v>
      </c>
      <c r="DU35">
        <f>IF(AND(ISNUMBER(DT35),逐级计算!$X$124&gt;-1),IF(逐级计算!$X$124=0,DT35+逐级计算!$C$124,DT35+逐级计算!$C$124-(10/(逐级计算!$Q$124*LN(10))*(MAX((LN(10^(逐级计算!$Q$124/10)-1)+逐级计算!$Q$124*(DT35-逐级计算!$P$124)*LN(10)/10),0)+LN(1+EXP(-ABS((LN(10^(逐级计算!$Q$124/10)-1)+逐级计算!$Q$124*(DT35-逐级计算!$P$124)*LN(10)/10))))))),"")</f>
        <v>13.7930367306994</v>
      </c>
      <c r="DV35">
        <f>IF(AND(ISNUMBER(DU35),逐级计算!$X$125&gt;-1),IF(逐级计算!$X$125=0,DU35+逐级计算!$C$125,DU35+逐级计算!$C$125-(10/(逐级计算!$Q$125*LN(10))*(MAX((LN(10^(逐级计算!$Q$125/10)-1)+逐级计算!$Q$125*(DU35-逐级计算!$P$125)*LN(10)/10),0)+LN(1+EXP(-ABS((LN(10^(逐级计算!$Q$125/10)-1)+逐级计算!$Q$125*(DU35-逐级计算!$P$125)*LN(10)/10))))))),"")</f>
        <v>13.7930367306994</v>
      </c>
      <c r="DW35">
        <f>IF(AND(ISNUMBER(DV35),逐级计算!$X$126&gt;-1),IF(逐级计算!$X$126=0,DV35+逐级计算!$C$126,DV35+逐级计算!$C$126-(10/(逐级计算!$Q$126*LN(10))*(MAX((LN(10^(逐级计算!$Q$126/10)-1)+逐级计算!$Q$126*(DV35-逐级计算!$P$126)*LN(10)/10),0)+LN(1+EXP(-ABS((LN(10^(逐级计算!$Q$126/10)-1)+逐级计算!$Q$126*(DV35-逐级计算!$P$126)*LN(10)/10))))))),"")</f>
        <v>13.7930367306994</v>
      </c>
      <c r="DX35">
        <f>IF(AND(ISNUMBER(DW35),逐级计算!$X$127&gt;-1),IF(逐级计算!$X$127=0,DW35+逐级计算!$C$127,DW35+逐级计算!$C$127-(10/(逐级计算!$Q$127*LN(10))*(MAX((LN(10^(逐级计算!$Q$127/10)-1)+逐级计算!$Q$127*(DW35-逐级计算!$P$127)*LN(10)/10),0)+LN(1+EXP(-ABS((LN(10^(逐级计算!$Q$127/10)-1)+逐级计算!$Q$127*(DW35-逐级计算!$P$127)*LN(10)/10))))))),"")</f>
        <v>13.7930367306994</v>
      </c>
      <c r="DY35">
        <f>IF(AND(ISNUMBER(DX35),逐级计算!$X$128&gt;-1),IF(逐级计算!$X$128=0,DX35+逐级计算!$C$128,DX35+逐级计算!$C$128-(10/(逐级计算!$Q$128*LN(10))*(MAX((LN(10^(逐级计算!$Q$128/10)-1)+逐级计算!$Q$128*(DX35-逐级计算!$P$128)*LN(10)/10),0)+LN(1+EXP(-ABS((LN(10^(逐级计算!$Q$128/10)-1)+逐级计算!$Q$128*(DX35-逐级计算!$P$128)*LN(10)/10))))))),"")</f>
        <v>13.7930367306994</v>
      </c>
      <c r="DZ35">
        <f>IF(AND(ISNUMBER(DY35),逐级计算!$X$129&gt;-1),IF(逐级计算!$X$129=0,DY35+逐级计算!$C$129,DY35+逐级计算!$C$129-(10/(逐级计算!$Q$129*LN(10))*(MAX((LN(10^(逐级计算!$Q$129/10)-1)+逐级计算!$Q$129*(DY35-逐级计算!$P$129)*LN(10)/10),0)+LN(1+EXP(-ABS((LN(10^(逐级计算!$Q$129/10)-1)+逐级计算!$Q$129*(DY35-逐级计算!$P$129)*LN(10)/10))))))),"")</f>
        <v>13.7930367306994</v>
      </c>
      <c r="EA35">
        <f>IF(AND(ISNUMBER(DZ35),逐级计算!$X$130&gt;-1),IF(逐级计算!$X$130=0,DZ35+逐级计算!$C$130,DZ35+逐级计算!$C$130-(10/(逐级计算!$Q$130*LN(10))*(MAX((LN(10^(逐级计算!$Q$130/10)-1)+逐级计算!$Q$130*(DZ35-逐级计算!$P$130)*LN(10)/10),0)+LN(1+EXP(-ABS((LN(10^(逐级计算!$Q$130/10)-1)+逐级计算!$Q$130*(DZ35-逐级计算!$P$130)*LN(10)/10))))))),"")</f>
        <v>13.7930367306994</v>
      </c>
      <c r="EB35">
        <f>IF(AND(ISNUMBER(EA35),逐级计算!$X$131&gt;-1),IF(逐级计算!$X$131=0,EA35+逐级计算!$C$131,EA35+逐级计算!$C$131-(10/(逐级计算!$Q$131*LN(10))*(MAX((LN(10^(逐级计算!$Q$131/10)-1)+逐级计算!$Q$131*(EA35-逐级计算!$P$131)*LN(10)/10),0)+LN(1+EXP(-ABS((LN(10^(逐级计算!$Q$131/10)-1)+逐级计算!$Q$131*(EA35-逐级计算!$P$131)*LN(10)/10))))))),"")</f>
        <v>13.7930367306994</v>
      </c>
      <c r="EC35">
        <f>IF(AND(ISNUMBER(EB35),逐级计算!$X$132&gt;-1),IF(逐级计算!$X$132=0,EB35+逐级计算!$C$132,EB35+逐级计算!$C$132-(10/(逐级计算!$Q$132*LN(10))*(MAX((LN(10^(逐级计算!$Q$132/10)-1)+逐级计算!$Q$132*(EB35-逐级计算!$P$132)*LN(10)/10),0)+LN(1+EXP(-ABS((LN(10^(逐级计算!$Q$132/10)-1)+逐级计算!$Q$132*(EB35-逐级计算!$P$132)*LN(10)/10))))))),"")</f>
        <v>13.7930367306994</v>
      </c>
      <c r="ED35">
        <f>IF(AND(ISNUMBER(EC35),逐级计算!$X$133&gt;-1),IF(逐级计算!$X$133=0,EC35+逐级计算!$C$133,EC35+逐级计算!$C$133-(10/(逐级计算!$Q$133*LN(10))*(MAX((LN(10^(逐级计算!$Q$133/10)-1)+逐级计算!$Q$133*(EC35-逐级计算!$P$133)*LN(10)/10),0)+LN(1+EXP(-ABS((LN(10^(逐级计算!$Q$133/10)-1)+逐级计算!$Q$133*(EC35-逐级计算!$P$133)*LN(10)/10))))))),"")</f>
        <v>13.7930367306994</v>
      </c>
      <c r="EE35">
        <f>IF(AND(ISNUMBER(ED35),逐级计算!$X$134&gt;-1),IF(逐级计算!$X$134=0,ED35+逐级计算!$C$134,ED35+逐级计算!$C$134-(10/(逐级计算!$Q$134*LN(10))*(MAX((LN(10^(逐级计算!$Q$134/10)-1)+逐级计算!$Q$134*(ED35-逐级计算!$P$134)*LN(10)/10),0)+LN(1+EXP(-ABS((LN(10^(逐级计算!$Q$134/10)-1)+逐级计算!$Q$134*(ED35-逐级计算!$P$134)*LN(10)/10))))))),"")</f>
        <v>13.7930367306994</v>
      </c>
      <c r="EF35">
        <f>IF(AND(ISNUMBER(EE35),逐级计算!$X$135&gt;-1),IF(逐级计算!$X$135=0,EE35+逐级计算!$C$135,EE35+逐级计算!$C$135-(10/(逐级计算!$Q$135*LN(10))*(MAX((LN(10^(逐级计算!$Q$135/10)-1)+逐级计算!$Q$135*(EE35-逐级计算!$P$135)*LN(10)/10),0)+LN(1+EXP(-ABS((LN(10^(逐级计算!$Q$135/10)-1)+逐级计算!$Q$135*(EE35-逐级计算!$P$135)*LN(10)/10))))))),"")</f>
        <v>13.7930367306994</v>
      </c>
      <c r="EG35">
        <f>IF(AND(ISNUMBER(EF35),逐级计算!$X$136&gt;-1),IF(逐级计算!$X$136=0,EF35+逐级计算!$C$136,EF35+逐级计算!$C$136-(10/(逐级计算!$Q$136*LN(10))*(MAX((LN(10^(逐级计算!$Q$136/10)-1)+逐级计算!$Q$136*(EF35-逐级计算!$P$136)*LN(10)/10),0)+LN(1+EXP(-ABS((LN(10^(逐级计算!$Q$136/10)-1)+逐级计算!$Q$136*(EF35-逐级计算!$P$136)*LN(10)/10))))))),"")</f>
        <v>13.7930367306994</v>
      </c>
      <c r="EH35">
        <f>IF(AND(ISNUMBER(EG35),逐级计算!$X$137&gt;-1),IF(逐级计算!$X$137=0,EG35+逐级计算!$C$137,EG35+逐级计算!$C$137-(10/(逐级计算!$Q$137*LN(10))*(MAX((LN(10^(逐级计算!$Q$137/10)-1)+逐级计算!$Q$137*(EG35-逐级计算!$P$137)*LN(10)/10),0)+LN(1+EXP(-ABS((LN(10^(逐级计算!$Q$137/10)-1)+逐级计算!$Q$137*(EG35-逐级计算!$P$137)*LN(10)/10))))))),"")</f>
        <v>13.7930367306994</v>
      </c>
      <c r="EI35">
        <f>IF(AND(ISNUMBER(EH35),逐级计算!$X$138&gt;-1),IF(逐级计算!$X$138=0,EH35+逐级计算!$C$138,EH35+逐级计算!$C$138-(10/(逐级计算!$Q$138*LN(10))*(MAX((LN(10^(逐级计算!$Q$138/10)-1)+逐级计算!$Q$138*(EH35-逐级计算!$P$138)*LN(10)/10),0)+LN(1+EXP(-ABS((LN(10^(逐级计算!$Q$138/10)-1)+逐级计算!$Q$138*(EH35-逐级计算!$P$138)*LN(10)/10))))))),"")</f>
        <v>13.7930367306994</v>
      </c>
      <c r="EJ35">
        <f>IF(AND(ISNUMBER(EI35),逐级计算!$X$139&gt;-1),IF(逐级计算!$X$139=0,EI35+逐级计算!$C$139,EI35+逐级计算!$C$139-(10/(逐级计算!$Q$139*LN(10))*(MAX((LN(10^(逐级计算!$Q$139/10)-1)+逐级计算!$Q$139*(EI35-逐级计算!$P$139)*LN(10)/10),0)+LN(1+EXP(-ABS((LN(10^(逐级计算!$Q$139/10)-1)+逐级计算!$Q$139*(EI35-逐级计算!$P$139)*LN(10)/10))))))),"")</f>
        <v>13.7930367306994</v>
      </c>
      <c r="EK35">
        <f>IF(AND(ISNUMBER(EJ35),逐级计算!$X$140&gt;-1),IF(逐级计算!$X$140=0,EJ35+逐级计算!$C$140,EJ35+逐级计算!$C$140-(10/(逐级计算!$Q$140*LN(10))*(MAX((LN(10^(逐级计算!$Q$140/10)-1)+逐级计算!$Q$140*(EJ35-逐级计算!$P$140)*LN(10)/10),0)+LN(1+EXP(-ABS((LN(10^(逐级计算!$Q$140/10)-1)+逐级计算!$Q$140*(EJ35-逐级计算!$P$140)*LN(10)/10))))))),"")</f>
        <v>13.7930367306994</v>
      </c>
      <c r="EL35">
        <f>IF(AND(ISNUMBER(EK35),逐级计算!$X$141&gt;-1),IF(逐级计算!$X$141=0,EK35+逐级计算!$C$141,EK35+逐级计算!$C$141-(10/(逐级计算!$Q$141*LN(10))*(MAX((LN(10^(逐级计算!$Q$141/10)-1)+逐级计算!$Q$141*(EK35-逐级计算!$P$141)*LN(10)/10),0)+LN(1+EXP(-ABS((LN(10^(逐级计算!$Q$141/10)-1)+逐级计算!$Q$141*(EK35-逐级计算!$P$141)*LN(10)/10))))))),"")</f>
        <v>13.7930367306994</v>
      </c>
      <c r="EM35">
        <f>IF(AND(ISNUMBER(EL35),逐级计算!$X$142&gt;-1),IF(逐级计算!$X$142=0,EL35+逐级计算!$C$142,EL35+逐级计算!$C$142-(10/(逐级计算!$Q$142*LN(10))*(MAX((LN(10^(逐级计算!$Q$142/10)-1)+逐级计算!$Q$142*(EL35-逐级计算!$P$142)*LN(10)/10),0)+LN(1+EXP(-ABS((LN(10^(逐级计算!$Q$142/10)-1)+逐级计算!$Q$142*(EL35-逐级计算!$P$142)*LN(10)/10))))))),"")</f>
        <v>13.7930367306994</v>
      </c>
      <c r="EN35">
        <f>IF(AND(ISNUMBER(EM35),逐级计算!$X$143&gt;-1),IF(逐级计算!$X$143=0,EM35+逐级计算!$C$143,EM35+逐级计算!$C$143-(10/(逐级计算!$Q$143*LN(10))*(MAX((LN(10^(逐级计算!$Q$143/10)-1)+逐级计算!$Q$143*(EM35-逐级计算!$P$143)*LN(10)/10),0)+LN(1+EXP(-ABS((LN(10^(逐级计算!$Q$143/10)-1)+逐级计算!$Q$143*(EM35-逐级计算!$P$143)*LN(10)/10))))))),"")</f>
        <v>13.7930367306994</v>
      </c>
      <c r="EO35">
        <f>IF(AND(ISNUMBER(EN35),逐级计算!$X$144&gt;-1),IF(逐级计算!$X$144=0,EN35+逐级计算!$C$144,EN35+逐级计算!$C$144-(10/(逐级计算!$Q$144*LN(10))*(MAX((LN(10^(逐级计算!$Q$144/10)-1)+逐级计算!$Q$144*(EN35-逐级计算!$P$144)*LN(10)/10),0)+LN(1+EXP(-ABS((LN(10^(逐级计算!$Q$144/10)-1)+逐级计算!$Q$144*(EN35-逐级计算!$P$144)*LN(10)/10))))))),"")</f>
        <v>13.7930367306994</v>
      </c>
      <c r="EP35">
        <f>IF(AND(ISNUMBER(EO35),逐级计算!$X$145&gt;-1),IF(逐级计算!$X$145=0,EO35+逐级计算!$C$145,EO35+逐级计算!$C$145-(10/(逐级计算!$Q$145*LN(10))*(MAX((LN(10^(逐级计算!$Q$145/10)-1)+逐级计算!$Q$145*(EO35-逐级计算!$P$145)*LN(10)/10),0)+LN(1+EXP(-ABS((LN(10^(逐级计算!$Q$145/10)-1)+逐级计算!$Q$145*(EO35-逐级计算!$P$145)*LN(10)/10))))))),"")</f>
        <v>13.7930367306994</v>
      </c>
      <c r="EQ35">
        <f>IF(AND(ISNUMBER(EP35),逐级计算!$X$146&gt;-1),IF(逐级计算!$X$146=0,EP35+逐级计算!$C$146,EP35+逐级计算!$C$146-(10/(逐级计算!$Q$146*LN(10))*(MAX((LN(10^(逐级计算!$Q$146/10)-1)+逐级计算!$Q$146*(EP35-逐级计算!$P$146)*LN(10)/10),0)+LN(1+EXP(-ABS((LN(10^(逐级计算!$Q$146/10)-1)+逐级计算!$Q$146*(EP35-逐级计算!$P$146)*LN(10)/10))))))),"")</f>
        <v>13.7930367306994</v>
      </c>
      <c r="ER35">
        <f>IF(AND(ISNUMBER(EQ35),逐级计算!$X$147&gt;-1),IF(逐级计算!$X$147=0,EQ35+逐级计算!$C$147,EQ35+逐级计算!$C$147-(10/(逐级计算!$Q$147*LN(10))*(MAX((LN(10^(逐级计算!$Q$147/10)-1)+逐级计算!$Q$147*(EQ35-逐级计算!$P$147)*LN(10)/10),0)+LN(1+EXP(-ABS((LN(10^(逐级计算!$Q$147/10)-1)+逐级计算!$Q$147*(EQ35-逐级计算!$P$147)*LN(10)/10))))))),"")</f>
        <v>13.7930367306994</v>
      </c>
      <c r="ES35">
        <f>IF(AND(ISNUMBER(ER35),逐级计算!$X$148&gt;-1),IF(逐级计算!$X$148=0,ER35+逐级计算!$C$148,ER35+逐级计算!$C$148-(10/(逐级计算!$Q$148*LN(10))*(MAX((LN(10^(逐级计算!$Q$148/10)-1)+逐级计算!$Q$148*(ER35-逐级计算!$P$148)*LN(10)/10),0)+LN(1+EXP(-ABS((LN(10^(逐级计算!$Q$148/10)-1)+逐级计算!$Q$148*(ER35-逐级计算!$P$148)*LN(10)/10))))))),"")</f>
        <v>13.7930367306994</v>
      </c>
      <c r="ET35">
        <f>IF(AND(ISNUMBER(ES35),逐级计算!$X$149&gt;-1),IF(逐级计算!$X$149=0,ES35+逐级计算!$C$149,ES35+逐级计算!$C$149-(10/(逐级计算!$Q$149*LN(10))*(MAX((LN(10^(逐级计算!$Q$149/10)-1)+逐级计算!$Q$149*(ES35-逐级计算!$P$149)*LN(10)/10),0)+LN(1+EXP(-ABS((LN(10^(逐级计算!$Q$149/10)-1)+逐级计算!$Q$149*(ES35-逐级计算!$P$149)*LN(10)/10))))))),"")</f>
        <v>13.7930367306994</v>
      </c>
      <c r="EU35">
        <f>IF(AND(ISNUMBER(ET35),逐级计算!$X$150&gt;-1),IF(逐级计算!$X$150=0,ET35+逐级计算!$C$150,ET35+逐级计算!$C$150-(10/(逐级计算!$Q$150*LN(10))*(MAX((LN(10^(逐级计算!$Q$150/10)-1)+逐级计算!$Q$150*(ET35-逐级计算!$P$150)*LN(10)/10),0)+LN(1+EXP(-ABS((LN(10^(逐级计算!$Q$150/10)-1)+逐级计算!$Q$150*(ET35-逐级计算!$P$150)*LN(10)/10))))))),"")</f>
        <v>13.7930367306994</v>
      </c>
      <c r="EV35">
        <f>IF(AND(ISNUMBER(EU35),逐级计算!$X$151&gt;-1),IF(逐级计算!$X$151=0,EU35+逐级计算!$C$151,EU35+逐级计算!$C$151-(10/(逐级计算!$Q$151*LN(10))*(MAX((LN(10^(逐级计算!$Q$151/10)-1)+逐级计算!$Q$151*(EU35-逐级计算!$P$151)*LN(10)/10),0)+LN(1+EXP(-ABS((LN(10^(逐级计算!$Q$151/10)-1)+逐级计算!$Q$151*(EU35-逐级计算!$P$151)*LN(10)/10))))))),"")</f>
        <v>13.7930367306994</v>
      </c>
      <c r="EW35">
        <f>IF(AND(ISNUMBER(EV35),逐级计算!$X$152&gt;-1),IF(逐级计算!$X$152=0,EV35+逐级计算!$C$152,EV35+逐级计算!$C$152-(10/(逐级计算!$Q$152*LN(10))*(MAX((LN(10^(逐级计算!$Q$152/10)-1)+逐级计算!$Q$152*(EV35-逐级计算!$P$152)*LN(10)/10),0)+LN(1+EXP(-ABS((LN(10^(逐级计算!$Q$152/10)-1)+逐级计算!$Q$152*(EV35-逐级计算!$P$152)*LN(10)/10))))))),"")</f>
        <v>13.7930367306994</v>
      </c>
      <c r="EX35">
        <f>IF(AND(ISNUMBER(EW35),逐级计算!$X$153&gt;-1),IF(逐级计算!$X$153=0,EW35+逐级计算!$C$153,EW35+逐级计算!$C$153-(10/(逐级计算!$Q$153*LN(10))*(MAX((LN(10^(逐级计算!$Q$153/10)-1)+逐级计算!$Q$153*(EW35-逐级计算!$P$153)*LN(10)/10),0)+LN(1+EXP(-ABS((LN(10^(逐级计算!$Q$153/10)-1)+逐级计算!$Q$153*(EW35-逐级计算!$P$153)*LN(10)/10))))))),"")</f>
        <v>13.7930367306994</v>
      </c>
      <c r="EY35">
        <f>IF(AND(ISNUMBER(EX35),逐级计算!$X$154&gt;-1),IF(逐级计算!$X$154=0,EX35+逐级计算!$C$154,EX35+逐级计算!$C$154-(10/(逐级计算!$Q$154*LN(10))*(MAX((LN(10^(逐级计算!$Q$154/10)-1)+逐级计算!$Q$154*(EX35-逐级计算!$P$154)*LN(10)/10),0)+LN(1+EXP(-ABS((LN(10^(逐级计算!$Q$154/10)-1)+逐级计算!$Q$154*(EX35-逐级计算!$P$154)*LN(10)/10))))))),"")</f>
        <v>13.7930367306994</v>
      </c>
      <c r="EZ35">
        <f>IF(AND(ISNUMBER(EY35),逐级计算!$X$155&gt;-1),IF(逐级计算!$X$155=0,EY35+逐级计算!$C$155,EY35+逐级计算!$C$155-(10/(逐级计算!$Q$155*LN(10))*(MAX((LN(10^(逐级计算!$Q$155/10)-1)+逐级计算!$Q$155*(EY35-逐级计算!$P$155)*LN(10)/10),0)+LN(1+EXP(-ABS((LN(10^(逐级计算!$Q$155/10)-1)+逐级计算!$Q$155*(EY35-逐级计算!$P$155)*LN(10)/10))))))),"")</f>
        <v>13.7930367306994</v>
      </c>
      <c r="FA35">
        <f>IF(AND(ISNUMBER(EZ35),逐级计算!$X$156&gt;-1),IF(逐级计算!$X$156=0,EZ35+逐级计算!$C$156,EZ35+逐级计算!$C$156-(10/(逐级计算!$Q$156*LN(10))*(MAX((LN(10^(逐级计算!$Q$156/10)-1)+逐级计算!$Q$156*(EZ35-逐级计算!$P$156)*LN(10)/10),0)+LN(1+EXP(-ABS((LN(10^(逐级计算!$Q$156/10)-1)+逐级计算!$Q$156*(EZ35-逐级计算!$P$156)*LN(10)/10))))))),"")</f>
        <v>13.7930367306994</v>
      </c>
      <c r="FB35">
        <f>IF(AND(ISNUMBER(FA35),逐级计算!$X$157&gt;-1),IF(逐级计算!$X$157=0,FA35+逐级计算!$C$157,FA35+逐级计算!$C$157-(10/(逐级计算!$Q$157*LN(10))*(MAX((LN(10^(逐级计算!$Q$157/10)-1)+逐级计算!$Q$157*(FA35-逐级计算!$P$157)*LN(10)/10),0)+LN(1+EXP(-ABS((LN(10^(逐级计算!$Q$157/10)-1)+逐级计算!$Q$157*(FA35-逐级计算!$P$157)*LN(10)/10))))))),"")</f>
        <v>13.7930367306994</v>
      </c>
      <c r="FC35">
        <f>IF(AND(ISNUMBER(FB35),逐级计算!$X$158&gt;-1),IF(逐级计算!$X$158=0,FB35+逐级计算!$C$158,FB35+逐级计算!$C$158-(10/(逐级计算!$Q$158*LN(10))*(MAX((LN(10^(逐级计算!$Q$158/10)-1)+逐级计算!$Q$158*(FB35-逐级计算!$P$158)*LN(10)/10),0)+LN(1+EXP(-ABS((LN(10^(逐级计算!$Q$158/10)-1)+逐级计算!$Q$158*(FB35-逐级计算!$P$158)*LN(10)/10))))))),"")</f>
        <v>13.7930367306994</v>
      </c>
      <c r="FD35">
        <f>IF(AND(ISNUMBER(FC35),逐级计算!$X$159&gt;-1),IF(逐级计算!$X$159=0,FC35+逐级计算!$C$159,FC35+逐级计算!$C$159-(10/(逐级计算!$Q$159*LN(10))*(MAX((LN(10^(逐级计算!$Q$159/10)-1)+逐级计算!$Q$159*(FC35-逐级计算!$P$159)*LN(10)/10),0)+LN(1+EXP(-ABS((LN(10^(逐级计算!$Q$159/10)-1)+逐级计算!$Q$159*(FC35-逐级计算!$P$159)*LN(10)/10))))))),"")</f>
        <v>13.7930367306994</v>
      </c>
      <c r="FE35">
        <f>IF(AND(ISNUMBER(FD35),逐级计算!$X$160&gt;-1),IF(逐级计算!$X$160=0,FD35+逐级计算!$C$160,FD35+逐级计算!$C$160-(10/(逐级计算!$Q$160*LN(10))*(MAX((LN(10^(逐级计算!$Q$160/10)-1)+逐级计算!$Q$160*(FD35-逐级计算!$P$160)*LN(10)/10),0)+LN(1+EXP(-ABS((LN(10^(逐级计算!$Q$160/10)-1)+逐级计算!$Q$160*(FD35-逐级计算!$P$160)*LN(10)/10))))))),"")</f>
        <v>13.7930367306994</v>
      </c>
      <c r="FF35">
        <f>IF(AND(ISNUMBER(FE35),逐级计算!$X$161&gt;-1),IF(逐级计算!$X$161=0,FE35+逐级计算!$C$161,FE35+逐级计算!$C$161-(10/(逐级计算!$Q$161*LN(10))*(MAX((LN(10^(逐级计算!$Q$161/10)-1)+逐级计算!$Q$161*(FE35-逐级计算!$P$161)*LN(10)/10),0)+LN(1+EXP(-ABS((LN(10^(逐级计算!$Q$161/10)-1)+逐级计算!$Q$161*(FE35-逐级计算!$P$161)*LN(10)/10))))))),"")</f>
        <v>13.7930367306994</v>
      </c>
      <c r="FG35">
        <f>IF(AND(ISNUMBER(FF35),逐级计算!$X$162&gt;-1),IF(逐级计算!$X$162=0,FF35+逐级计算!$C$162,FF35+逐级计算!$C$162-(10/(逐级计算!$Q$162*LN(10))*(MAX((LN(10^(逐级计算!$Q$162/10)-1)+逐级计算!$Q$162*(FF35-逐级计算!$P$162)*LN(10)/10),0)+LN(1+EXP(-ABS((LN(10^(逐级计算!$Q$162/10)-1)+逐级计算!$Q$162*(FF35-逐级计算!$P$162)*LN(10)/10))))))),"")</f>
        <v>13.7930367306994</v>
      </c>
      <c r="FH35">
        <f>IF(AND(ISNUMBER(FG35),逐级计算!$X$163&gt;-1),IF(逐级计算!$X$163=0,FG35+逐级计算!$C$163,FG35+逐级计算!$C$163-(10/(逐级计算!$Q$163*LN(10))*(MAX((LN(10^(逐级计算!$Q$163/10)-1)+逐级计算!$Q$163*(FG35-逐级计算!$P$163)*LN(10)/10),0)+LN(1+EXP(-ABS((LN(10^(逐级计算!$Q$163/10)-1)+逐级计算!$Q$163*(FG35-逐级计算!$P$163)*LN(10)/10))))))),"")</f>
        <v>13.7930367306994</v>
      </c>
      <c r="FI35">
        <f>IF(AND(ISNUMBER(FH35),逐级计算!$X$164&gt;-1),IF(逐级计算!$X$164=0,FH35+逐级计算!$C$164,FH35+逐级计算!$C$164-(10/(逐级计算!$Q$164*LN(10))*(MAX((LN(10^(逐级计算!$Q$164/10)-1)+逐级计算!$Q$164*(FH35-逐级计算!$P$164)*LN(10)/10),0)+LN(1+EXP(-ABS((LN(10^(逐级计算!$Q$164/10)-1)+逐级计算!$Q$164*(FH35-逐级计算!$P$164)*LN(10)/10))))))),"")</f>
        <v>13.7930367306994</v>
      </c>
      <c r="FJ35">
        <f>IF(AND(ISNUMBER(FI35),逐级计算!$X$165&gt;-1),IF(逐级计算!$X$165=0,FI35+逐级计算!$C$165,FI35+逐级计算!$C$165-(10/(逐级计算!$Q$165*LN(10))*(MAX((LN(10^(逐级计算!$Q$165/10)-1)+逐级计算!$Q$165*(FI35-逐级计算!$P$165)*LN(10)/10),0)+LN(1+EXP(-ABS((LN(10^(逐级计算!$Q$165/10)-1)+逐级计算!$Q$165*(FI35-逐级计算!$P$165)*LN(10)/10))))))),"")</f>
        <v>13.7930367306994</v>
      </c>
      <c r="FK35">
        <f>IF(AND(ISNUMBER(FJ35),逐级计算!$X$166&gt;-1),IF(逐级计算!$X$166=0,FJ35+逐级计算!$C$166,FJ35+逐级计算!$C$166-(10/(逐级计算!$Q$166*LN(10))*(MAX((LN(10^(逐级计算!$Q$166/10)-1)+逐级计算!$Q$166*(FJ35-逐级计算!$P$166)*LN(10)/10),0)+LN(1+EXP(-ABS((LN(10^(逐级计算!$Q$166/10)-1)+逐级计算!$Q$166*(FJ35-逐级计算!$P$166)*LN(10)/10))))))),"")</f>
        <v>13.7930367306994</v>
      </c>
      <c r="FL35">
        <f>IF(AND(ISNUMBER(FK35),逐级计算!$X$167&gt;-1),IF(逐级计算!$X$167=0,FK35+逐级计算!$C$167,FK35+逐级计算!$C$167-(10/(逐级计算!$Q$167*LN(10))*(MAX((LN(10^(逐级计算!$Q$167/10)-1)+逐级计算!$Q$167*(FK35-逐级计算!$P$167)*LN(10)/10),0)+LN(1+EXP(-ABS((LN(10^(逐级计算!$Q$167/10)-1)+逐级计算!$Q$167*(FK35-逐级计算!$P$167)*LN(10)/10))))))),"")</f>
        <v>13.7930367306994</v>
      </c>
      <c r="FM35">
        <f>IF(AND(ISNUMBER(FL35),逐级计算!$X$168&gt;-1),IF(逐级计算!$X$168=0,FL35+逐级计算!$C$168,FL35+逐级计算!$C$168-(10/(逐级计算!$Q$168*LN(10))*(MAX((LN(10^(逐级计算!$Q$168/10)-1)+逐级计算!$Q$168*(FL35-逐级计算!$P$168)*LN(10)/10),0)+LN(1+EXP(-ABS((LN(10^(逐级计算!$Q$168/10)-1)+逐级计算!$Q$168*(FL35-逐级计算!$P$168)*LN(10)/10))))))),"")</f>
        <v>13.7930367306994</v>
      </c>
      <c r="FN35">
        <f>IF(AND(ISNUMBER(FM35),逐级计算!$X$169&gt;-1),IF(逐级计算!$X$169=0,FM35+逐级计算!$C$169,FM35+逐级计算!$C$169-(10/(逐级计算!$Q$169*LN(10))*(MAX((LN(10^(逐级计算!$Q$169/10)-1)+逐级计算!$Q$169*(FM35-逐级计算!$P$169)*LN(10)/10),0)+LN(1+EXP(-ABS((LN(10^(逐级计算!$Q$169/10)-1)+逐级计算!$Q$169*(FM35-逐级计算!$P$169)*LN(10)/10))))))),"")</f>
        <v>13.7930367306994</v>
      </c>
      <c r="FO35">
        <f>IF(AND(ISNUMBER(FN35),逐级计算!$X$170&gt;-1),IF(逐级计算!$X$170=0,FN35+逐级计算!$C$170,FN35+逐级计算!$C$170-(10/(逐级计算!$Q$170*LN(10))*(MAX((LN(10^(逐级计算!$Q$170/10)-1)+逐级计算!$Q$170*(FN35-逐级计算!$P$170)*LN(10)/10),0)+LN(1+EXP(-ABS((LN(10^(逐级计算!$Q$170/10)-1)+逐级计算!$Q$170*(FN35-逐级计算!$P$170)*LN(10)/10))))))),"")</f>
        <v>13.7930367306994</v>
      </c>
      <c r="FP35">
        <f>IF(AND(ISNUMBER(FO35),逐级计算!$X$171&gt;-1),IF(逐级计算!$X$171=0,FO35+逐级计算!$C$171,FO35+逐级计算!$C$171-(10/(逐级计算!$Q$171*LN(10))*(MAX((LN(10^(逐级计算!$Q$171/10)-1)+逐级计算!$Q$171*(FO35-逐级计算!$P$171)*LN(10)/10),0)+LN(1+EXP(-ABS((LN(10^(逐级计算!$Q$171/10)-1)+逐级计算!$Q$171*(FO35-逐级计算!$P$171)*LN(10)/10))))))),"")</f>
        <v>13.7930367306994</v>
      </c>
      <c r="FQ35">
        <f>IF(AND(ISNUMBER(FP35),逐级计算!$X$172&gt;-1),IF(逐级计算!$X$172=0,FP35+逐级计算!$C$172,FP35+逐级计算!$C$172-(10/(逐级计算!$Q$172*LN(10))*(MAX((LN(10^(逐级计算!$Q$172/10)-1)+逐级计算!$Q$172*(FP35-逐级计算!$P$172)*LN(10)/10),0)+LN(1+EXP(-ABS((LN(10^(逐级计算!$Q$172/10)-1)+逐级计算!$Q$172*(FP35-逐级计算!$P$172)*LN(10)/10))))))),"")</f>
        <v>13.7930367306994</v>
      </c>
      <c r="FR35">
        <f>IF(AND(ISNUMBER(FQ35),逐级计算!$X$173&gt;-1),IF(逐级计算!$X$173=0,FQ35+逐级计算!$C$173,FQ35+逐级计算!$C$173-(10/(逐级计算!$Q$173*LN(10))*(MAX((LN(10^(逐级计算!$Q$173/10)-1)+逐级计算!$Q$173*(FQ35-逐级计算!$P$173)*LN(10)/10),0)+LN(1+EXP(-ABS((LN(10^(逐级计算!$Q$173/10)-1)+逐级计算!$Q$173*(FQ35-逐级计算!$P$173)*LN(10)/10))))))),"")</f>
        <v>13.7930367306994</v>
      </c>
      <c r="FS35">
        <f>IF(AND(ISNUMBER(FR35),逐级计算!$X$174&gt;-1),IF(逐级计算!$X$174=0,FR35+逐级计算!$C$174,FR35+逐级计算!$C$174-(10/(逐级计算!$Q$174*LN(10))*(MAX((LN(10^(逐级计算!$Q$174/10)-1)+逐级计算!$Q$174*(FR35-逐级计算!$P$174)*LN(10)/10),0)+LN(1+EXP(-ABS((LN(10^(逐级计算!$Q$174/10)-1)+逐级计算!$Q$174*(FR35-逐级计算!$P$174)*LN(10)/10))))))),"")</f>
        <v>13.7930367306994</v>
      </c>
      <c r="FT35">
        <f>IF(AND(ISNUMBER(FS35),逐级计算!$X$175&gt;-1),IF(逐级计算!$X$175=0,FS35+逐级计算!$C$175,FS35+逐级计算!$C$175-(10/(逐级计算!$Q$175*LN(10))*(MAX((LN(10^(逐级计算!$Q$175/10)-1)+逐级计算!$Q$175*(FS35-逐级计算!$P$175)*LN(10)/10),0)+LN(1+EXP(-ABS((LN(10^(逐级计算!$Q$175/10)-1)+逐级计算!$Q$175*(FS35-逐级计算!$P$175)*LN(10)/10))))))),"")</f>
        <v>13.7930367306994</v>
      </c>
      <c r="FU35">
        <f>IF(AND(ISNUMBER(FT35),逐级计算!$X$176&gt;-1),IF(逐级计算!$X$176=0,FT35+逐级计算!$C$176,FT35+逐级计算!$C$176-(10/(逐级计算!$Q$176*LN(10))*(MAX((LN(10^(逐级计算!$Q$176/10)-1)+逐级计算!$Q$176*(FT35-逐级计算!$P$176)*LN(10)/10),0)+LN(1+EXP(-ABS((LN(10^(逐级计算!$Q$176/10)-1)+逐级计算!$Q$176*(FT35-逐级计算!$P$176)*LN(10)/10))))))),"")</f>
        <v>13.7930367306994</v>
      </c>
      <c r="FV35">
        <f>IF(AND(ISNUMBER(FU35),逐级计算!$X$177&gt;-1),IF(逐级计算!$X$177=0,FU35+逐级计算!$C$177,FU35+逐级计算!$C$177-(10/(逐级计算!$Q$177*LN(10))*(MAX((LN(10^(逐级计算!$Q$177/10)-1)+逐级计算!$Q$177*(FU35-逐级计算!$P$177)*LN(10)/10),0)+LN(1+EXP(-ABS((LN(10^(逐级计算!$Q$177/10)-1)+逐级计算!$Q$177*(FU35-逐级计算!$P$177)*LN(10)/10))))))),"")</f>
        <v>13.7930367306994</v>
      </c>
      <c r="FW35">
        <f>IF(AND(ISNUMBER(FV35),逐级计算!$X$178&gt;-1),IF(逐级计算!$X$178=0,FV35+逐级计算!$C$178,FV35+逐级计算!$C$178-(10/(逐级计算!$Q$178*LN(10))*(MAX((LN(10^(逐级计算!$Q$178/10)-1)+逐级计算!$Q$178*(FV35-逐级计算!$P$178)*LN(10)/10),0)+LN(1+EXP(-ABS((LN(10^(逐级计算!$Q$178/10)-1)+逐级计算!$Q$178*(FV35-逐级计算!$P$178)*LN(10)/10))))))),"")</f>
        <v>13.7930367306994</v>
      </c>
      <c r="FX35">
        <f>IF(AND(ISNUMBER(FW35),逐级计算!$X$179&gt;-1),IF(逐级计算!$X$179=0,FW35+逐级计算!$C$179,FW35+逐级计算!$C$179-(10/(逐级计算!$Q$179*LN(10))*(MAX((LN(10^(逐级计算!$Q$179/10)-1)+逐级计算!$Q$179*(FW35-逐级计算!$P$179)*LN(10)/10),0)+LN(1+EXP(-ABS((LN(10^(逐级计算!$Q$179/10)-1)+逐级计算!$Q$179*(FW35-逐级计算!$P$179)*LN(10)/10))))))),"")</f>
        <v>13.7930367306994</v>
      </c>
      <c r="FY35">
        <f>IF(AND(ISNUMBER(FX35),逐级计算!$X$180&gt;-1),IF(逐级计算!$X$180=0,FX35+逐级计算!$C$180,FX35+逐级计算!$C$180-(10/(逐级计算!$Q$180*LN(10))*(MAX((LN(10^(逐级计算!$Q$180/10)-1)+逐级计算!$Q$180*(FX35-逐级计算!$P$180)*LN(10)/10),0)+LN(1+EXP(-ABS((LN(10^(逐级计算!$Q$180/10)-1)+逐级计算!$Q$180*(FX35-逐级计算!$P$180)*LN(10)/10))))))),"")</f>
        <v>13.7930367306994</v>
      </c>
      <c r="FZ35">
        <f>IF(AND(ISNUMBER(FY35),逐级计算!$X$181&gt;-1),IF(逐级计算!$X$181=0,FY35+逐级计算!$C$181,FY35+逐级计算!$C$181-(10/(逐级计算!$Q$181*LN(10))*(MAX((LN(10^(逐级计算!$Q$181/10)-1)+逐级计算!$Q$181*(FY35-逐级计算!$P$181)*LN(10)/10),0)+LN(1+EXP(-ABS((LN(10^(逐级计算!$Q$181/10)-1)+逐级计算!$Q$181*(FY35-逐级计算!$P$181)*LN(10)/10))))))),"")</f>
        <v>13.7930367306994</v>
      </c>
      <c r="GA35">
        <f>IF(AND(ISNUMBER(FZ35),逐级计算!$X$182&gt;-1),IF(逐级计算!$X$182=0,FZ35+逐级计算!$C$182,FZ35+逐级计算!$C$182-(10/(逐级计算!$Q$182*LN(10))*(MAX((LN(10^(逐级计算!$Q$182/10)-1)+逐级计算!$Q$182*(FZ35-逐级计算!$P$182)*LN(10)/10),0)+LN(1+EXP(-ABS((LN(10^(逐级计算!$Q$182/10)-1)+逐级计算!$Q$182*(FZ35-逐级计算!$P$182)*LN(10)/10))))))),"")</f>
        <v>13.7930367306994</v>
      </c>
      <c r="GB35">
        <f>IF(AND(ISNUMBER(GA35),逐级计算!$X$183&gt;-1),IF(逐级计算!$X$183=0,GA35+逐级计算!$C$183,GA35+逐级计算!$C$183-(10/(逐级计算!$Q$183*LN(10))*(MAX((LN(10^(逐级计算!$Q$183/10)-1)+逐级计算!$Q$183*(GA35-逐级计算!$P$183)*LN(10)/10),0)+LN(1+EXP(-ABS((LN(10^(逐级计算!$Q$183/10)-1)+逐级计算!$Q$183*(GA35-逐级计算!$P$183)*LN(10)/10))))))),"")</f>
        <v>13.7930367306994</v>
      </c>
      <c r="GC35">
        <f>IF(AND(ISNUMBER(GB35),逐级计算!$X$184&gt;-1),IF(逐级计算!$X$184=0,GB35+逐级计算!$C$184,GB35+逐级计算!$C$184-(10/(逐级计算!$Q$184*LN(10))*(MAX((LN(10^(逐级计算!$Q$184/10)-1)+逐级计算!$Q$184*(GB35-逐级计算!$P$184)*LN(10)/10),0)+LN(1+EXP(-ABS((LN(10^(逐级计算!$Q$184/10)-1)+逐级计算!$Q$184*(GB35-逐级计算!$P$184)*LN(10)/10))))))),"")</f>
        <v>13.7930367306994</v>
      </c>
      <c r="GD35">
        <f>IF(AND(ISNUMBER(GC35),逐级计算!$X$185&gt;-1),IF(逐级计算!$X$185=0,GC35+逐级计算!$C$185,GC35+逐级计算!$C$185-(10/(逐级计算!$Q$185*LN(10))*(MAX((LN(10^(逐级计算!$Q$185/10)-1)+逐级计算!$Q$185*(GC35-逐级计算!$P$185)*LN(10)/10),0)+LN(1+EXP(-ABS((LN(10^(逐级计算!$Q$185/10)-1)+逐级计算!$Q$185*(GC35-逐级计算!$P$185)*LN(10)/10))))))),"")</f>
        <v>13.7930367306994</v>
      </c>
      <c r="GE35">
        <f>IF(AND(ISNUMBER(GD35),逐级计算!$X$186&gt;-1),IF(逐级计算!$X$186=0,GD35+逐级计算!$C$186,GD35+逐级计算!$C$186-(10/(逐级计算!$Q$186*LN(10))*(MAX((LN(10^(逐级计算!$Q$186/10)-1)+逐级计算!$Q$186*(GD35-逐级计算!$P$186)*LN(10)/10),0)+LN(1+EXP(-ABS((LN(10^(逐级计算!$Q$186/10)-1)+逐级计算!$Q$186*(GD35-逐级计算!$P$186)*LN(10)/10))))))),"")</f>
        <v>13.7930367306994</v>
      </c>
      <c r="GF35">
        <f>IF(AND(ISNUMBER(GE35),逐级计算!$X$187&gt;-1),IF(逐级计算!$X$187=0,GE35+逐级计算!$C$187,GE35+逐级计算!$C$187-(10/(逐级计算!$Q$187*LN(10))*(MAX((LN(10^(逐级计算!$Q$187/10)-1)+逐级计算!$Q$187*(GE35-逐级计算!$P$187)*LN(10)/10),0)+LN(1+EXP(-ABS((LN(10^(逐级计算!$Q$187/10)-1)+逐级计算!$Q$187*(GE35-逐级计算!$P$187)*LN(10)/10))))))),"")</f>
        <v>13.7930367306994</v>
      </c>
      <c r="GG35">
        <f>IF(AND(ISNUMBER(GF35),逐级计算!$X$188&gt;-1),IF(逐级计算!$X$188=0,GF35+逐级计算!$C$188,GF35+逐级计算!$C$188-(10/(逐级计算!$Q$188*LN(10))*(MAX((LN(10^(逐级计算!$Q$188/10)-1)+逐级计算!$Q$188*(GF35-逐级计算!$P$188)*LN(10)/10),0)+LN(1+EXP(-ABS((LN(10^(逐级计算!$Q$188/10)-1)+逐级计算!$Q$188*(GF35-逐级计算!$P$188)*LN(10)/10))))))),"")</f>
        <v>13.7930367306994</v>
      </c>
      <c r="GH35">
        <f>IF(AND(ISNUMBER(GG35),逐级计算!$X$189&gt;-1),IF(逐级计算!$X$189=0,GG35+逐级计算!$C$189,GG35+逐级计算!$C$189-(10/(逐级计算!$Q$189*LN(10))*(MAX((LN(10^(逐级计算!$Q$189/10)-1)+逐级计算!$Q$189*(GG35-逐级计算!$P$189)*LN(10)/10),0)+LN(1+EXP(-ABS((LN(10^(逐级计算!$Q$189/10)-1)+逐级计算!$Q$189*(GG35-逐级计算!$P$189)*LN(10)/10))))))),"")</f>
        <v>13.7930367306994</v>
      </c>
      <c r="GI35">
        <f>IF(AND(ISNUMBER(GH35),逐级计算!$X$190&gt;-1),IF(逐级计算!$X$190=0,GH35+逐级计算!$C$190,GH35+逐级计算!$C$190-(10/(逐级计算!$Q$190*LN(10))*(MAX((LN(10^(逐级计算!$Q$190/10)-1)+逐级计算!$Q$190*(GH35-逐级计算!$P$190)*LN(10)/10),0)+LN(1+EXP(-ABS((LN(10^(逐级计算!$Q$190/10)-1)+逐级计算!$Q$190*(GH35-逐级计算!$P$190)*LN(10)/10))))))),"")</f>
        <v>13.7930367306994</v>
      </c>
      <c r="GJ35">
        <f>IF(AND(ISNUMBER(GI35),逐级计算!$X$191&gt;-1),IF(逐级计算!$X$191=0,GI35+逐级计算!$C$191,GI35+逐级计算!$C$191-(10/(逐级计算!$Q$191*LN(10))*(MAX((LN(10^(逐级计算!$Q$191/10)-1)+逐级计算!$Q$191*(GI35-逐级计算!$P$191)*LN(10)/10),0)+LN(1+EXP(-ABS((LN(10^(逐级计算!$Q$191/10)-1)+逐级计算!$Q$191*(GI35-逐级计算!$P$191)*LN(10)/10))))))),"")</f>
        <v>13.7930367306994</v>
      </c>
      <c r="GK35">
        <f>IF(AND(ISNUMBER(GJ35),逐级计算!$X$192&gt;-1),IF(逐级计算!$X$192=0,GJ35+逐级计算!$C$192,GJ35+逐级计算!$C$192-(10/(逐级计算!$Q$192*LN(10))*(MAX((LN(10^(逐级计算!$Q$192/10)-1)+逐级计算!$Q$192*(GJ35-逐级计算!$P$192)*LN(10)/10),0)+LN(1+EXP(-ABS((LN(10^(逐级计算!$Q$192/10)-1)+逐级计算!$Q$192*(GJ35-逐级计算!$P$192)*LN(10)/10))))))),"")</f>
        <v>13.7930367306994</v>
      </c>
      <c r="GL35">
        <f>IF(AND(ISNUMBER(GK35),逐级计算!$X$193&gt;-1),IF(逐级计算!$X$193=0,GK35+逐级计算!$C$193,GK35+逐级计算!$C$193-(10/(逐级计算!$Q$193*LN(10))*(MAX((LN(10^(逐级计算!$Q$193/10)-1)+逐级计算!$Q$193*(GK35-逐级计算!$P$193)*LN(10)/10),0)+LN(1+EXP(-ABS((LN(10^(逐级计算!$Q$193/10)-1)+逐级计算!$Q$193*(GK35-逐级计算!$P$193)*LN(10)/10))))))),"")</f>
        <v>13.7930367306994</v>
      </c>
      <c r="GM35">
        <f>IF(AND(ISNUMBER(GL35),逐级计算!$X$194&gt;-1),IF(逐级计算!$X$194=0,GL35+逐级计算!$C$194,GL35+逐级计算!$C$194-(10/(逐级计算!$Q$194*LN(10))*(MAX((LN(10^(逐级计算!$Q$194/10)-1)+逐级计算!$Q$194*(GL35-逐级计算!$P$194)*LN(10)/10),0)+LN(1+EXP(-ABS((LN(10^(逐级计算!$Q$194/10)-1)+逐级计算!$Q$194*(GL35-逐级计算!$P$194)*LN(10)/10))))))),"")</f>
        <v>13.7930367306994</v>
      </c>
      <c r="GN35">
        <f>IF(AND(ISNUMBER(GM35),逐级计算!$X$195&gt;-1),IF(逐级计算!$X$195=0,GM35+逐级计算!$C$195,GM35+逐级计算!$C$195-(10/(逐级计算!$Q$195*LN(10))*(MAX((LN(10^(逐级计算!$Q$195/10)-1)+逐级计算!$Q$195*(GM35-逐级计算!$P$195)*LN(10)/10),0)+LN(1+EXP(-ABS((LN(10^(逐级计算!$Q$195/10)-1)+逐级计算!$Q$195*(GM35-逐级计算!$P$195)*LN(10)/10))))))),"")</f>
        <v>13.7930367306994</v>
      </c>
      <c r="GO35">
        <f>IF(AND(ISNUMBER(GN35),逐级计算!$X$196&gt;-1),IF(逐级计算!$X$196=0,GN35+逐级计算!$C$196,GN35+逐级计算!$C$196-(10/(逐级计算!$Q$196*LN(10))*(MAX((LN(10^(逐级计算!$Q$196/10)-1)+逐级计算!$Q$196*(GN35-逐级计算!$P$196)*LN(10)/10),0)+LN(1+EXP(-ABS((LN(10^(逐级计算!$Q$196/10)-1)+逐级计算!$Q$196*(GN35-逐级计算!$P$196)*LN(10)/10))))))),"")</f>
        <v>13.7930367306994</v>
      </c>
      <c r="GP35">
        <f>IF(AND(ISNUMBER(GO35),逐级计算!$X$197&gt;-1),IF(逐级计算!$X$197=0,GO35+逐级计算!$C$197,GO35+逐级计算!$C$197-(10/(逐级计算!$Q$197*LN(10))*(MAX((LN(10^(逐级计算!$Q$197/10)-1)+逐级计算!$Q$197*(GO35-逐级计算!$P$197)*LN(10)/10),0)+LN(1+EXP(-ABS((LN(10^(逐级计算!$Q$197/10)-1)+逐级计算!$Q$197*(GO35-逐级计算!$P$197)*LN(10)/10))))))),"")</f>
        <v>13.7930367306994</v>
      </c>
      <c r="GQ35">
        <f>IF(AND(ISNUMBER(GP35),逐级计算!$X$198&gt;-1),IF(逐级计算!$X$198=0,GP35+逐级计算!$C$198,GP35+逐级计算!$C$198-(10/(逐级计算!$Q$198*LN(10))*(MAX((LN(10^(逐级计算!$Q$198/10)-1)+逐级计算!$Q$198*(GP35-逐级计算!$P$198)*LN(10)/10),0)+LN(1+EXP(-ABS((LN(10^(逐级计算!$Q$198/10)-1)+逐级计算!$Q$198*(GP35-逐级计算!$P$198)*LN(10)/10))))))),"")</f>
        <v>13.7930367306994</v>
      </c>
      <c r="GR35">
        <f>IF(AND(ISNUMBER(GQ35),逐级计算!$X$199&gt;-1),IF(逐级计算!$X$199=0,GQ35+逐级计算!$C$199,GQ35+逐级计算!$C$199-(10/(逐级计算!$Q$199*LN(10))*(MAX((LN(10^(逐级计算!$Q$199/10)-1)+逐级计算!$Q$199*(GQ35-逐级计算!$P$199)*LN(10)/10),0)+LN(1+EXP(-ABS((LN(10^(逐级计算!$Q$199/10)-1)+逐级计算!$Q$199*(GQ35-逐级计算!$P$199)*LN(10)/10))))))),"")</f>
        <v>13.7930367306994</v>
      </c>
      <c r="GS35">
        <f>IF(AND(ISNUMBER(GR35),逐级计算!$X$200&gt;-1),IF(逐级计算!$X$200=0,GR35+逐级计算!$C$200,GR35+逐级计算!$C$200-(10/(逐级计算!$Q$200*LN(10))*(MAX((LN(10^(逐级计算!$Q$200/10)-1)+逐级计算!$Q$200*(GR35-逐级计算!$P$200)*LN(10)/10),0)+LN(1+EXP(-ABS((LN(10^(逐级计算!$Q$200/10)-1)+逐级计算!$Q$200*(GR35-逐级计算!$P$200)*LN(10)/10))))))),"")</f>
        <v>13.7930367306994</v>
      </c>
      <c r="GT35">
        <f>IF(AND(ISNUMBER(GS35),逐级计算!$X$201&gt;-1),IF(逐级计算!$X$201=0,GS35+逐级计算!$C$201,GS35+逐级计算!$C$201-(10/(逐级计算!$Q$201*LN(10))*(MAX((LN(10^(逐级计算!$Q$201/10)-1)+逐级计算!$Q$201*(GS35-逐级计算!$P$201)*LN(10)/10),0)+LN(1+EXP(-ABS((LN(10^(逐级计算!$Q$201/10)-1)+逐级计算!$Q$201*(GS35-逐级计算!$P$201)*LN(10)/10))))))),"")</f>
        <v>13.7930367306994</v>
      </c>
      <c r="GU35">
        <f>IF(AND(ISNUMBER(GT35),逐级计算!$X$202&gt;-1),IF(逐级计算!$X$202=0,GT35+逐级计算!$C$202,GT35+逐级计算!$C$202-(10/(逐级计算!$Q$202*LN(10))*(MAX((LN(10^(逐级计算!$Q$202/10)-1)+逐级计算!$Q$202*(GT35-逐级计算!$P$202)*LN(10)/10),0)+LN(1+EXP(-ABS((LN(10^(逐级计算!$Q$202/10)-1)+逐级计算!$Q$202*(GT35-逐级计算!$P$202)*LN(10)/10))))))),"")</f>
        <v>13.7930367306994</v>
      </c>
      <c r="GV35">
        <f>IF(AND(ISNUMBER(GU35),逐级计算!$X$203&gt;-1),IF(逐级计算!$X$203=0,GU35+逐级计算!$C$203,GU35+逐级计算!$C$203-(10/(逐级计算!$Q$203*LN(10))*(MAX((LN(10^(逐级计算!$Q$203/10)-1)+逐级计算!$Q$203*(GU35-逐级计算!$P$203)*LN(10)/10),0)+LN(1+EXP(-ABS((LN(10^(逐级计算!$Q$203/10)-1)+逐级计算!$Q$203*(GU35-逐级计算!$P$203)*LN(10)/10))))))),"")</f>
        <v>13.7930367306994</v>
      </c>
      <c r="GW35">
        <f t="shared" si="2"/>
        <v>-5.20696278661489</v>
      </c>
    </row>
    <row r="36" spans="1:205">
      <c r="A36">
        <v>29</v>
      </c>
      <c r="B36">
        <f t="shared" si="1"/>
        <v>-5.20696356892586</v>
      </c>
      <c r="C36">
        <f t="shared" si="0"/>
        <v>-5.20696337334812</v>
      </c>
      <c r="D36">
        <f>IF(AND(ISNUMBER(C36),ISNUMBER(逐级计算!$E$203),ISNUMBER(GV36)),C36+逐级计算!$E$203-GV36,"")</f>
        <v>1.00000001935371</v>
      </c>
      <c r="E36">
        <f>IF(AND(ISNUMBER(C36),逐级计算!$X$4&gt;-1),IF(逐级计算!$X$4=0,C36+逐级计算!$C$4,C36+逐级计算!$C$4-(10/(逐级计算!$Q$4*LN(10))*(MAX((LN(10^(逐级计算!$Q$4/10)-1)+逐级计算!$Q$4*(C36-逐级计算!$P$4)*LN(10)/10),0)+LN(1+EXP(-ABS((LN(10^(逐级计算!$Q$4/10)-1)+逐级计算!$Q$4*(C36-逐级计算!$P$4)*LN(10)/10))))))),"")</f>
        <v>4.68053987907839</v>
      </c>
      <c r="F36">
        <f>IF(AND(ISNUMBER(E36),逐级计算!$X$5&gt;-1),IF(逐级计算!$X$5=0,E36+逐级计算!$C$5,E36+逐级计算!$C$5-(10/(逐级计算!$Q$5*LN(10))*(MAX((LN(10^(逐级计算!$Q$5/10)-1)+逐级计算!$Q$5*(E36-逐级计算!$P$5)*LN(10)/10),0)+LN(1+EXP(-ABS((LN(10^(逐级计算!$Q$5/10)-1)+逐级计算!$Q$5*(E36-逐级计算!$P$5)*LN(10)/10))))))),"")</f>
        <v>13.7930366072982</v>
      </c>
      <c r="G36">
        <f>IF(AND(ISNUMBER(F36),逐级计算!$X$6&gt;-1),IF(逐级计算!$X$6=0,F36+逐级计算!$C$6,F36+逐级计算!$C$6-(10/(逐级计算!$Q$6*LN(10))*(MAX((LN(10^(逐级计算!$Q$6/10)-1)+逐级计算!$Q$6*(F36-逐级计算!$P$6)*LN(10)/10),0)+LN(1+EXP(-ABS((LN(10^(逐级计算!$Q$6/10)-1)+逐级计算!$Q$6*(F36-逐级计算!$P$6)*LN(10)/10))))))),"")</f>
        <v>13.7930366072982</v>
      </c>
      <c r="H36">
        <f>IF(AND(ISNUMBER(G36),逐级计算!$X$7&gt;-1),IF(逐级计算!$X$7=0,G36+逐级计算!$C$7,G36+逐级计算!$C$7-(10/(逐级计算!$Q$7*LN(10))*(MAX((LN(10^(逐级计算!$Q$7/10)-1)+逐级计算!$Q$7*(G36-逐级计算!$P$7)*LN(10)/10),0)+LN(1+EXP(-ABS((LN(10^(逐级计算!$Q$7/10)-1)+逐级计算!$Q$7*(G36-逐级计算!$P$7)*LN(10)/10))))))),"")</f>
        <v>13.7930366072982</v>
      </c>
      <c r="I36">
        <f>IF(AND(ISNUMBER(H36),逐级计算!$X$8&gt;-1),IF(逐级计算!$X$8=0,H36+逐级计算!$C$8,H36+逐级计算!$C$8-(10/(逐级计算!$Q$8*LN(10))*(MAX((LN(10^(逐级计算!$Q$8/10)-1)+逐级计算!$Q$8*(H36-逐级计算!$P$8)*LN(10)/10),0)+LN(1+EXP(-ABS((LN(10^(逐级计算!$Q$8/10)-1)+逐级计算!$Q$8*(H36-逐级计算!$P$8)*LN(10)/10))))))),"")</f>
        <v>13.7930366072982</v>
      </c>
      <c r="J36">
        <f>IF(AND(ISNUMBER(I36),逐级计算!$X$9&gt;-1),IF(逐级计算!$X$9=0,I36+逐级计算!$C$9,I36+逐级计算!$C$9-(10/(逐级计算!$Q$9*LN(10))*(MAX((LN(10^(逐级计算!$Q$9/10)-1)+逐级计算!$Q$9*(I36-逐级计算!$P$9)*LN(10)/10),0)+LN(1+EXP(-ABS((LN(10^(逐级计算!$Q$9/10)-1)+逐级计算!$Q$9*(I36-逐级计算!$P$9)*LN(10)/10))))))),"")</f>
        <v>13.7930366072982</v>
      </c>
      <c r="K36">
        <f>IF(AND(ISNUMBER(J36),逐级计算!$X$10&gt;-1),IF(逐级计算!$X$10=0,J36+逐级计算!$C$10,J36+逐级计算!$C$10-(10/(逐级计算!$Q$10*LN(10))*(MAX((LN(10^(逐级计算!$Q$10/10)-1)+逐级计算!$Q$10*(J36-逐级计算!$P$10)*LN(10)/10),0)+LN(1+EXP(-ABS((LN(10^(逐级计算!$Q$10/10)-1)+逐级计算!$Q$10*(J36-逐级计算!$P$10)*LN(10)/10))))))),"")</f>
        <v>13.7930366072982</v>
      </c>
      <c r="L36">
        <f>IF(AND(ISNUMBER(K36),逐级计算!$X$11&gt;-1),IF(逐级计算!$X$11=0,K36+逐级计算!$C$11,K36+逐级计算!$C$11-(10/(逐级计算!$Q$11*LN(10))*(MAX((LN(10^(逐级计算!$Q$11/10)-1)+逐级计算!$Q$11*(K36-逐级计算!$P$11)*LN(10)/10),0)+LN(1+EXP(-ABS((LN(10^(逐级计算!$Q$11/10)-1)+逐级计算!$Q$11*(K36-逐级计算!$P$11)*LN(10)/10))))))),"")</f>
        <v>13.7930366072982</v>
      </c>
      <c r="M36">
        <f>IF(AND(ISNUMBER(L36),逐级计算!$X$12&gt;-1),IF(逐级计算!$X$12=0,L36+逐级计算!$C$12,L36+逐级计算!$C$12-(10/(逐级计算!$Q$12*LN(10))*(MAX((LN(10^(逐级计算!$Q$12/10)-1)+逐级计算!$Q$12*(L36-逐级计算!$P$12)*LN(10)/10),0)+LN(1+EXP(-ABS((LN(10^(逐级计算!$Q$12/10)-1)+逐级计算!$Q$12*(L36-逐级计算!$P$12)*LN(10)/10))))))),"")</f>
        <v>13.7930366072982</v>
      </c>
      <c r="N36">
        <f>IF(AND(ISNUMBER(M36),逐级计算!$X$13&gt;-1),IF(逐级计算!$X$13=0,M36+逐级计算!$C$13,M36+逐级计算!$C$13-(10/(逐级计算!$Q$13*LN(10))*(MAX((LN(10^(逐级计算!$Q$13/10)-1)+逐级计算!$Q$13*(M36-逐级计算!$P$13)*LN(10)/10),0)+LN(1+EXP(-ABS((LN(10^(逐级计算!$Q$13/10)-1)+逐级计算!$Q$13*(M36-逐级计算!$P$13)*LN(10)/10))))))),"")</f>
        <v>13.7930366072982</v>
      </c>
      <c r="O36">
        <f>IF(AND(ISNUMBER(N36),逐级计算!$X$14&gt;-1),IF(逐级计算!$X$14=0,N36+逐级计算!$C$14,N36+逐级计算!$C$14-(10/(逐级计算!$Q$14*LN(10))*(MAX((LN(10^(逐级计算!$Q$14/10)-1)+逐级计算!$Q$14*(N36-逐级计算!$P$14)*LN(10)/10),0)+LN(1+EXP(-ABS((LN(10^(逐级计算!$Q$14/10)-1)+逐级计算!$Q$14*(N36-逐级计算!$P$14)*LN(10)/10))))))),"")</f>
        <v>13.7930366072982</v>
      </c>
      <c r="P36">
        <f>IF(AND(ISNUMBER(O36),逐级计算!$X$15&gt;-1),IF(逐级计算!$X$15=0,O36+逐级计算!$C$15,O36+逐级计算!$C$15-(10/(逐级计算!$Q$15*LN(10))*(MAX((LN(10^(逐级计算!$Q$15/10)-1)+逐级计算!$Q$15*(O36-逐级计算!$P$15)*LN(10)/10),0)+LN(1+EXP(-ABS((LN(10^(逐级计算!$Q$15/10)-1)+逐级计算!$Q$15*(O36-逐级计算!$P$15)*LN(10)/10))))))),"")</f>
        <v>13.7930366072982</v>
      </c>
      <c r="Q36">
        <f>IF(AND(ISNUMBER(P36),逐级计算!$X$16&gt;-1),IF(逐级计算!$X$16=0,P36+逐级计算!$C$16,P36+逐级计算!$C$16-(10/(逐级计算!$Q$16*LN(10))*(MAX((LN(10^(逐级计算!$Q$16/10)-1)+逐级计算!$Q$16*(P36-逐级计算!$P$16)*LN(10)/10),0)+LN(1+EXP(-ABS((LN(10^(逐级计算!$Q$16/10)-1)+逐级计算!$Q$16*(P36-逐级计算!$P$16)*LN(10)/10))))))),"")</f>
        <v>13.7930366072982</v>
      </c>
      <c r="R36">
        <f>IF(AND(ISNUMBER(Q36),逐级计算!$X$17&gt;-1),IF(逐级计算!$X$17=0,Q36+逐级计算!$C$17,Q36+逐级计算!$C$17-(10/(逐级计算!$Q$17*LN(10))*(MAX((LN(10^(逐级计算!$Q$17/10)-1)+逐级计算!$Q$17*(Q36-逐级计算!$P$17)*LN(10)/10),0)+LN(1+EXP(-ABS((LN(10^(逐级计算!$Q$17/10)-1)+逐级计算!$Q$17*(Q36-逐级计算!$P$17)*LN(10)/10))))))),"")</f>
        <v>13.7930366072982</v>
      </c>
      <c r="S36">
        <f>IF(AND(ISNUMBER(R36),逐级计算!$X$18&gt;-1),IF(逐级计算!$X$18=0,R36+逐级计算!$C$18,R36+逐级计算!$C$18-(10/(逐级计算!$Q$18*LN(10))*(MAX((LN(10^(逐级计算!$Q$18/10)-1)+逐级计算!$Q$18*(R36-逐级计算!$P$18)*LN(10)/10),0)+LN(1+EXP(-ABS((LN(10^(逐级计算!$Q$18/10)-1)+逐级计算!$Q$18*(R36-逐级计算!$P$18)*LN(10)/10))))))),"")</f>
        <v>13.7930366072982</v>
      </c>
      <c r="T36">
        <f>IF(AND(ISNUMBER(S36),逐级计算!$X$19&gt;-1),IF(逐级计算!$X$19=0,S36+逐级计算!$C$19,S36+逐级计算!$C$19-(10/(逐级计算!$Q$19*LN(10))*(MAX((LN(10^(逐级计算!$Q$19/10)-1)+逐级计算!$Q$19*(S36-逐级计算!$P$19)*LN(10)/10),0)+LN(1+EXP(-ABS((LN(10^(逐级计算!$Q$19/10)-1)+逐级计算!$Q$19*(S36-逐级计算!$P$19)*LN(10)/10))))))),"")</f>
        <v>13.7930366072982</v>
      </c>
      <c r="U36">
        <f>IF(AND(ISNUMBER(T36),逐级计算!$X$20&gt;-1),IF(逐级计算!$X$20=0,T36+逐级计算!$C$20,T36+逐级计算!$C$20-(10/(逐级计算!$Q$20*LN(10))*(MAX((LN(10^(逐级计算!$Q$20/10)-1)+逐级计算!$Q$20*(T36-逐级计算!$P$20)*LN(10)/10),0)+LN(1+EXP(-ABS((LN(10^(逐级计算!$Q$20/10)-1)+逐级计算!$Q$20*(T36-逐级计算!$P$20)*LN(10)/10))))))),"")</f>
        <v>13.7930366072982</v>
      </c>
      <c r="V36">
        <f>IF(AND(ISNUMBER(U36),逐级计算!$X$21&gt;-1),IF(逐级计算!$X$21=0,U36+逐级计算!$C$21,U36+逐级计算!$C$21-(10/(逐级计算!$Q$21*LN(10))*(MAX((LN(10^(逐级计算!$Q$21/10)-1)+逐级计算!$Q$21*(U36-逐级计算!$P$21)*LN(10)/10),0)+LN(1+EXP(-ABS((LN(10^(逐级计算!$Q$21/10)-1)+逐级计算!$Q$21*(U36-逐级计算!$P$21)*LN(10)/10))))))),"")</f>
        <v>13.7930366072982</v>
      </c>
      <c r="W36">
        <f>IF(AND(ISNUMBER(V36),逐级计算!$X$22&gt;-1),IF(逐级计算!$X$22=0,V36+逐级计算!$C$22,V36+逐级计算!$C$22-(10/(逐级计算!$Q$22*LN(10))*(MAX((LN(10^(逐级计算!$Q$22/10)-1)+逐级计算!$Q$22*(V36-逐级计算!$P$22)*LN(10)/10),0)+LN(1+EXP(-ABS((LN(10^(逐级计算!$Q$22/10)-1)+逐级计算!$Q$22*(V36-逐级计算!$P$22)*LN(10)/10))))))),"")</f>
        <v>13.7930366072982</v>
      </c>
      <c r="X36">
        <f>IF(AND(ISNUMBER(W36),逐级计算!$X$23&gt;-1),IF(逐级计算!$X$23=0,W36+逐级计算!$C$23,W36+逐级计算!$C$23-(10/(逐级计算!$Q$23*LN(10))*(MAX((LN(10^(逐级计算!$Q$23/10)-1)+逐级计算!$Q$23*(W36-逐级计算!$P$23)*LN(10)/10),0)+LN(1+EXP(-ABS((LN(10^(逐级计算!$Q$23/10)-1)+逐级计算!$Q$23*(W36-逐级计算!$P$23)*LN(10)/10))))))),"")</f>
        <v>13.7930366072982</v>
      </c>
      <c r="Y36">
        <f>IF(AND(ISNUMBER(X36),逐级计算!$X$24&gt;-1),IF(逐级计算!$X$24=0,X36+逐级计算!$C$24,X36+逐级计算!$C$24-(10/(逐级计算!$Q$24*LN(10))*(MAX((LN(10^(逐级计算!$Q$24/10)-1)+逐级计算!$Q$24*(X36-逐级计算!$P$24)*LN(10)/10),0)+LN(1+EXP(-ABS((LN(10^(逐级计算!$Q$24/10)-1)+逐级计算!$Q$24*(X36-逐级计算!$P$24)*LN(10)/10))))))),"")</f>
        <v>13.7930366072982</v>
      </c>
      <c r="Z36">
        <f>IF(AND(ISNUMBER(Y36),逐级计算!$X$25&gt;-1),IF(逐级计算!$X$25=0,Y36+逐级计算!$C$25,Y36+逐级计算!$C$25-(10/(逐级计算!$Q$25*LN(10))*(MAX((LN(10^(逐级计算!$Q$25/10)-1)+逐级计算!$Q$25*(Y36-逐级计算!$P$25)*LN(10)/10),0)+LN(1+EXP(-ABS((LN(10^(逐级计算!$Q$25/10)-1)+逐级计算!$Q$25*(Y36-逐级计算!$P$25)*LN(10)/10))))))),"")</f>
        <v>13.7930366072982</v>
      </c>
      <c r="AA36">
        <f>IF(AND(ISNUMBER(Z36),逐级计算!$X$26&gt;-1),IF(逐级计算!$X$26=0,Z36+逐级计算!$C$26,Z36+逐级计算!$C$26-(10/(逐级计算!$Q$26*LN(10))*(MAX((LN(10^(逐级计算!$Q$26/10)-1)+逐级计算!$Q$26*(Z36-逐级计算!$P$26)*LN(10)/10),0)+LN(1+EXP(-ABS((LN(10^(逐级计算!$Q$26/10)-1)+逐级计算!$Q$26*(Z36-逐级计算!$P$26)*LN(10)/10))))))),"")</f>
        <v>13.7930366072982</v>
      </c>
      <c r="AB36">
        <f>IF(AND(ISNUMBER(AA36),逐级计算!$X$27&gt;-1),IF(逐级计算!$X$27=0,AA36+逐级计算!$C$27,AA36+逐级计算!$C$27-(10/(逐级计算!$Q$27*LN(10))*(MAX((LN(10^(逐级计算!$Q$27/10)-1)+逐级计算!$Q$27*(AA36-逐级计算!$P$27)*LN(10)/10),0)+LN(1+EXP(-ABS((LN(10^(逐级计算!$Q$27/10)-1)+逐级计算!$Q$27*(AA36-逐级计算!$P$27)*LN(10)/10))))))),"")</f>
        <v>13.7930366072982</v>
      </c>
      <c r="AC36">
        <f>IF(AND(ISNUMBER(AB36),逐级计算!$X$28&gt;-1),IF(逐级计算!$X$28=0,AB36+逐级计算!$C$28,AB36+逐级计算!$C$28-(10/(逐级计算!$Q$28*LN(10))*(MAX((LN(10^(逐级计算!$Q$28/10)-1)+逐级计算!$Q$28*(AB36-逐级计算!$P$28)*LN(10)/10),0)+LN(1+EXP(-ABS((LN(10^(逐级计算!$Q$28/10)-1)+逐级计算!$Q$28*(AB36-逐级计算!$P$28)*LN(10)/10))))))),"")</f>
        <v>13.7930366072982</v>
      </c>
      <c r="AD36">
        <f>IF(AND(ISNUMBER(AC36),逐级计算!$X$29&gt;-1),IF(逐级计算!$X$29=0,AC36+逐级计算!$C$29,AC36+逐级计算!$C$29-(10/(逐级计算!$Q$29*LN(10))*(MAX((LN(10^(逐级计算!$Q$29/10)-1)+逐级计算!$Q$29*(AC36-逐级计算!$P$29)*LN(10)/10),0)+LN(1+EXP(-ABS((LN(10^(逐级计算!$Q$29/10)-1)+逐级计算!$Q$29*(AC36-逐级计算!$P$29)*LN(10)/10))))))),"")</f>
        <v>13.7930366072982</v>
      </c>
      <c r="AE36">
        <f>IF(AND(ISNUMBER(AD36),逐级计算!$X$30&gt;-1),IF(逐级计算!$X$30=0,AD36+逐级计算!$C$30,AD36+逐级计算!$C$30-(10/(逐级计算!$Q$30*LN(10))*(MAX((LN(10^(逐级计算!$Q$30/10)-1)+逐级计算!$Q$30*(AD36-逐级计算!$P$30)*LN(10)/10),0)+LN(1+EXP(-ABS((LN(10^(逐级计算!$Q$30/10)-1)+逐级计算!$Q$30*(AD36-逐级计算!$P$30)*LN(10)/10))))))),"")</f>
        <v>13.7930366072982</v>
      </c>
      <c r="AF36">
        <f>IF(AND(ISNUMBER(AE36),逐级计算!$X$31&gt;-1),IF(逐级计算!$X$31=0,AE36+逐级计算!$C$31,AE36+逐级计算!$C$31-(10/(逐级计算!$Q$31*LN(10))*(MAX((LN(10^(逐级计算!$Q$31/10)-1)+逐级计算!$Q$31*(AE36-逐级计算!$P$31)*LN(10)/10),0)+LN(1+EXP(-ABS((LN(10^(逐级计算!$Q$31/10)-1)+逐级计算!$Q$31*(AE36-逐级计算!$P$31)*LN(10)/10))))))),"")</f>
        <v>13.7930366072982</v>
      </c>
      <c r="AG36">
        <f>IF(AND(ISNUMBER(AF36),逐级计算!$X$32&gt;-1),IF(逐级计算!$X$32=0,AF36+逐级计算!$C$32,AF36+逐级计算!$C$32-(10/(逐级计算!$Q$32*LN(10))*(MAX((LN(10^(逐级计算!$Q$32/10)-1)+逐级计算!$Q$32*(AF36-逐级计算!$P$32)*LN(10)/10),0)+LN(1+EXP(-ABS((LN(10^(逐级计算!$Q$32/10)-1)+逐级计算!$Q$32*(AF36-逐级计算!$P$32)*LN(10)/10))))))),"")</f>
        <v>13.7930366072982</v>
      </c>
      <c r="AH36">
        <f>IF(AND(ISNUMBER(AG36),逐级计算!$X$33&gt;-1),IF(逐级计算!$X$33=0,AG36+逐级计算!$C$33,AG36+逐级计算!$C$33-(10/(逐级计算!$Q$33*LN(10))*(MAX((LN(10^(逐级计算!$Q$33/10)-1)+逐级计算!$Q$33*(AG36-逐级计算!$P$33)*LN(10)/10),0)+LN(1+EXP(-ABS((LN(10^(逐级计算!$Q$33/10)-1)+逐级计算!$Q$33*(AG36-逐级计算!$P$33)*LN(10)/10))))))),"")</f>
        <v>13.7930366072982</v>
      </c>
      <c r="AI36">
        <f>IF(AND(ISNUMBER(AH36),逐级计算!$X$34&gt;-1),IF(逐级计算!$X$34=0,AH36+逐级计算!$C$34,AH36+逐级计算!$C$34-(10/(逐级计算!$Q$34*LN(10))*(MAX((LN(10^(逐级计算!$Q$34/10)-1)+逐级计算!$Q$34*(AH36-逐级计算!$P$34)*LN(10)/10),0)+LN(1+EXP(-ABS((LN(10^(逐级计算!$Q$34/10)-1)+逐级计算!$Q$34*(AH36-逐级计算!$P$34)*LN(10)/10))))))),"")</f>
        <v>13.7930366072982</v>
      </c>
      <c r="AJ36">
        <f>IF(AND(ISNUMBER(AI36),逐级计算!$X$35&gt;-1),IF(逐级计算!$X$35=0,AI36+逐级计算!$C$35,AI36+逐级计算!$C$35-(10/(逐级计算!$Q$35*LN(10))*(MAX((LN(10^(逐级计算!$Q$35/10)-1)+逐级计算!$Q$35*(AI36-逐级计算!$P$35)*LN(10)/10),0)+LN(1+EXP(-ABS((LN(10^(逐级计算!$Q$35/10)-1)+逐级计算!$Q$35*(AI36-逐级计算!$P$35)*LN(10)/10))))))),"")</f>
        <v>13.7930366072982</v>
      </c>
      <c r="AK36">
        <f>IF(AND(ISNUMBER(AJ36),逐级计算!$X$36&gt;-1),IF(逐级计算!$X$36=0,AJ36+逐级计算!$C$36,AJ36+逐级计算!$C$36-(10/(逐级计算!$Q$36*LN(10))*(MAX((LN(10^(逐级计算!$Q$36/10)-1)+逐级计算!$Q$36*(AJ36-逐级计算!$P$36)*LN(10)/10),0)+LN(1+EXP(-ABS((LN(10^(逐级计算!$Q$36/10)-1)+逐级计算!$Q$36*(AJ36-逐级计算!$P$36)*LN(10)/10))))))),"")</f>
        <v>13.7930366072982</v>
      </c>
      <c r="AL36">
        <f>IF(AND(ISNUMBER(AK36),逐级计算!$X$37&gt;-1),IF(逐级计算!$X$37=0,AK36+逐级计算!$C$37,AK36+逐级计算!$C$37-(10/(逐级计算!$Q$37*LN(10))*(MAX((LN(10^(逐级计算!$Q$37/10)-1)+逐级计算!$Q$37*(AK36-逐级计算!$P$37)*LN(10)/10),0)+LN(1+EXP(-ABS((LN(10^(逐级计算!$Q$37/10)-1)+逐级计算!$Q$37*(AK36-逐级计算!$P$37)*LN(10)/10))))))),"")</f>
        <v>13.7930366072982</v>
      </c>
      <c r="AM36">
        <f>IF(AND(ISNUMBER(AL36),逐级计算!$X$38&gt;-1),IF(逐级计算!$X$38=0,AL36+逐级计算!$C$38,AL36+逐级计算!$C$38-(10/(逐级计算!$Q$38*LN(10))*(MAX((LN(10^(逐级计算!$Q$38/10)-1)+逐级计算!$Q$38*(AL36-逐级计算!$P$38)*LN(10)/10),0)+LN(1+EXP(-ABS((LN(10^(逐级计算!$Q$38/10)-1)+逐级计算!$Q$38*(AL36-逐级计算!$P$38)*LN(10)/10))))))),"")</f>
        <v>13.7930366072982</v>
      </c>
      <c r="AN36">
        <f>IF(AND(ISNUMBER(AM36),逐级计算!$X$39&gt;-1),IF(逐级计算!$X$39=0,AM36+逐级计算!$C$39,AM36+逐级计算!$C$39-(10/(逐级计算!$Q$39*LN(10))*(MAX((LN(10^(逐级计算!$Q$39/10)-1)+逐级计算!$Q$39*(AM36-逐级计算!$P$39)*LN(10)/10),0)+LN(1+EXP(-ABS((LN(10^(逐级计算!$Q$39/10)-1)+逐级计算!$Q$39*(AM36-逐级计算!$P$39)*LN(10)/10))))))),"")</f>
        <v>13.7930366072982</v>
      </c>
      <c r="AO36">
        <f>IF(AND(ISNUMBER(AN36),逐级计算!$X$40&gt;-1),IF(逐级计算!$X$40=0,AN36+逐级计算!$C$40,AN36+逐级计算!$C$40-(10/(逐级计算!$Q$40*LN(10))*(MAX((LN(10^(逐级计算!$Q$40/10)-1)+逐级计算!$Q$40*(AN36-逐级计算!$P$40)*LN(10)/10),0)+LN(1+EXP(-ABS((LN(10^(逐级计算!$Q$40/10)-1)+逐级计算!$Q$40*(AN36-逐级计算!$P$40)*LN(10)/10))))))),"")</f>
        <v>13.7930366072982</v>
      </c>
      <c r="AP36">
        <f>IF(AND(ISNUMBER(AO36),逐级计算!$X$41&gt;-1),IF(逐级计算!$X$41=0,AO36+逐级计算!$C$41,AO36+逐级计算!$C$41-(10/(逐级计算!$Q$41*LN(10))*(MAX((LN(10^(逐级计算!$Q$41/10)-1)+逐级计算!$Q$41*(AO36-逐级计算!$P$41)*LN(10)/10),0)+LN(1+EXP(-ABS((LN(10^(逐级计算!$Q$41/10)-1)+逐级计算!$Q$41*(AO36-逐级计算!$P$41)*LN(10)/10))))))),"")</f>
        <v>13.7930366072982</v>
      </c>
      <c r="AQ36">
        <f>IF(AND(ISNUMBER(AP36),逐级计算!$X$42&gt;-1),IF(逐级计算!$X$42=0,AP36+逐级计算!$C$42,AP36+逐级计算!$C$42-(10/(逐级计算!$Q$42*LN(10))*(MAX((LN(10^(逐级计算!$Q$42/10)-1)+逐级计算!$Q$42*(AP36-逐级计算!$P$42)*LN(10)/10),0)+LN(1+EXP(-ABS((LN(10^(逐级计算!$Q$42/10)-1)+逐级计算!$Q$42*(AP36-逐级计算!$P$42)*LN(10)/10))))))),"")</f>
        <v>13.7930366072982</v>
      </c>
      <c r="AR36">
        <f>IF(AND(ISNUMBER(AQ36),逐级计算!$X$43&gt;-1),IF(逐级计算!$X$43=0,AQ36+逐级计算!$C$43,AQ36+逐级计算!$C$43-(10/(逐级计算!$Q$43*LN(10))*(MAX((LN(10^(逐级计算!$Q$43/10)-1)+逐级计算!$Q$43*(AQ36-逐级计算!$P$43)*LN(10)/10),0)+LN(1+EXP(-ABS((LN(10^(逐级计算!$Q$43/10)-1)+逐级计算!$Q$43*(AQ36-逐级计算!$P$43)*LN(10)/10))))))),"")</f>
        <v>13.7930366072982</v>
      </c>
      <c r="AS36">
        <f>IF(AND(ISNUMBER(AR36),逐级计算!$X$44&gt;-1),IF(逐级计算!$X$44=0,AR36+逐级计算!$C$44,AR36+逐级计算!$C$44-(10/(逐级计算!$Q$44*LN(10))*(MAX((LN(10^(逐级计算!$Q$44/10)-1)+逐级计算!$Q$44*(AR36-逐级计算!$P$44)*LN(10)/10),0)+LN(1+EXP(-ABS((LN(10^(逐级计算!$Q$44/10)-1)+逐级计算!$Q$44*(AR36-逐级计算!$P$44)*LN(10)/10))))))),"")</f>
        <v>13.7930366072982</v>
      </c>
      <c r="AT36">
        <f>IF(AND(ISNUMBER(AS36),逐级计算!$X$45&gt;-1),IF(逐级计算!$X$45=0,AS36+逐级计算!$C$45,AS36+逐级计算!$C$45-(10/(逐级计算!$Q$45*LN(10))*(MAX((LN(10^(逐级计算!$Q$45/10)-1)+逐级计算!$Q$45*(AS36-逐级计算!$P$45)*LN(10)/10),0)+LN(1+EXP(-ABS((LN(10^(逐级计算!$Q$45/10)-1)+逐级计算!$Q$45*(AS36-逐级计算!$P$45)*LN(10)/10))))))),"")</f>
        <v>13.7930366072982</v>
      </c>
      <c r="AU36">
        <f>IF(AND(ISNUMBER(AT36),逐级计算!$X$46&gt;-1),IF(逐级计算!$X$46=0,AT36+逐级计算!$C$46,AT36+逐级计算!$C$46-(10/(逐级计算!$Q$46*LN(10))*(MAX((LN(10^(逐级计算!$Q$46/10)-1)+逐级计算!$Q$46*(AT36-逐级计算!$P$46)*LN(10)/10),0)+LN(1+EXP(-ABS((LN(10^(逐级计算!$Q$46/10)-1)+逐级计算!$Q$46*(AT36-逐级计算!$P$46)*LN(10)/10))))))),"")</f>
        <v>13.7930366072982</v>
      </c>
      <c r="AV36">
        <f>IF(AND(ISNUMBER(AU36),逐级计算!$X$47&gt;-1),IF(逐级计算!$X$47=0,AU36+逐级计算!$C$47,AU36+逐级计算!$C$47-(10/(逐级计算!$Q$47*LN(10))*(MAX((LN(10^(逐级计算!$Q$47/10)-1)+逐级计算!$Q$47*(AU36-逐级计算!$P$47)*LN(10)/10),0)+LN(1+EXP(-ABS((LN(10^(逐级计算!$Q$47/10)-1)+逐级计算!$Q$47*(AU36-逐级计算!$P$47)*LN(10)/10))))))),"")</f>
        <v>13.7930366072982</v>
      </c>
      <c r="AW36">
        <f>IF(AND(ISNUMBER(AV36),逐级计算!$X$48&gt;-1),IF(逐级计算!$X$48=0,AV36+逐级计算!$C$48,AV36+逐级计算!$C$48-(10/(逐级计算!$Q$48*LN(10))*(MAX((LN(10^(逐级计算!$Q$48/10)-1)+逐级计算!$Q$48*(AV36-逐级计算!$P$48)*LN(10)/10),0)+LN(1+EXP(-ABS((LN(10^(逐级计算!$Q$48/10)-1)+逐级计算!$Q$48*(AV36-逐级计算!$P$48)*LN(10)/10))))))),"")</f>
        <v>13.7930366072982</v>
      </c>
      <c r="AX36">
        <f>IF(AND(ISNUMBER(AW36),逐级计算!$X$49&gt;-1),IF(逐级计算!$X$49=0,AW36+逐级计算!$C$49,AW36+逐级计算!$C$49-(10/(逐级计算!$Q$49*LN(10))*(MAX((LN(10^(逐级计算!$Q$49/10)-1)+逐级计算!$Q$49*(AW36-逐级计算!$P$49)*LN(10)/10),0)+LN(1+EXP(-ABS((LN(10^(逐级计算!$Q$49/10)-1)+逐级计算!$Q$49*(AW36-逐级计算!$P$49)*LN(10)/10))))))),"")</f>
        <v>13.7930366072982</v>
      </c>
      <c r="AY36">
        <f>IF(AND(ISNUMBER(AX36),逐级计算!$X$50&gt;-1),IF(逐级计算!$X$50=0,AX36+逐级计算!$C$50,AX36+逐级计算!$C$50-(10/(逐级计算!$Q$50*LN(10))*(MAX((LN(10^(逐级计算!$Q$50/10)-1)+逐级计算!$Q$50*(AX36-逐级计算!$P$50)*LN(10)/10),0)+LN(1+EXP(-ABS((LN(10^(逐级计算!$Q$50/10)-1)+逐级计算!$Q$50*(AX36-逐级计算!$P$50)*LN(10)/10))))))),"")</f>
        <v>13.7930366072982</v>
      </c>
      <c r="AZ36">
        <f>IF(AND(ISNUMBER(AY36),逐级计算!$X$51&gt;-1),IF(逐级计算!$X$51=0,AY36+逐级计算!$C$51,AY36+逐级计算!$C$51-(10/(逐级计算!$Q$51*LN(10))*(MAX((LN(10^(逐级计算!$Q$51/10)-1)+逐级计算!$Q$51*(AY36-逐级计算!$P$51)*LN(10)/10),0)+LN(1+EXP(-ABS((LN(10^(逐级计算!$Q$51/10)-1)+逐级计算!$Q$51*(AY36-逐级计算!$P$51)*LN(10)/10))))))),"")</f>
        <v>13.7930366072982</v>
      </c>
      <c r="BA36">
        <f>IF(AND(ISNUMBER(AZ36),逐级计算!$X$52&gt;-1),IF(逐级计算!$X$52=0,AZ36+逐级计算!$C$52,AZ36+逐级计算!$C$52-(10/(逐级计算!$Q$52*LN(10))*(MAX((LN(10^(逐级计算!$Q$52/10)-1)+逐级计算!$Q$52*(AZ36-逐级计算!$P$52)*LN(10)/10),0)+LN(1+EXP(-ABS((LN(10^(逐级计算!$Q$52/10)-1)+逐级计算!$Q$52*(AZ36-逐级计算!$P$52)*LN(10)/10))))))),"")</f>
        <v>13.7930366072982</v>
      </c>
      <c r="BB36">
        <f>IF(AND(ISNUMBER(BA36),逐级计算!$X$53&gt;-1),IF(逐级计算!$X$53=0,BA36+逐级计算!$C$53,BA36+逐级计算!$C$53-(10/(逐级计算!$Q$53*LN(10))*(MAX((LN(10^(逐级计算!$Q$53/10)-1)+逐级计算!$Q$53*(BA36-逐级计算!$P$53)*LN(10)/10),0)+LN(1+EXP(-ABS((LN(10^(逐级计算!$Q$53/10)-1)+逐级计算!$Q$53*(BA36-逐级计算!$P$53)*LN(10)/10))))))),"")</f>
        <v>13.7930366072982</v>
      </c>
      <c r="BC36">
        <f>IF(AND(ISNUMBER(BB36),逐级计算!$X$54&gt;-1),IF(逐级计算!$X$54=0,BB36+逐级计算!$C$54,BB36+逐级计算!$C$54-(10/(逐级计算!$Q$54*LN(10))*(MAX((LN(10^(逐级计算!$Q$54/10)-1)+逐级计算!$Q$54*(BB36-逐级计算!$P$54)*LN(10)/10),0)+LN(1+EXP(-ABS((LN(10^(逐级计算!$Q$54/10)-1)+逐级计算!$Q$54*(BB36-逐级计算!$P$54)*LN(10)/10))))))),"")</f>
        <v>13.7930366072982</v>
      </c>
      <c r="BD36">
        <f>IF(AND(ISNUMBER(BC36),逐级计算!$X$55&gt;-1),IF(逐级计算!$X$55=0,BC36+逐级计算!$C$55,BC36+逐级计算!$C$55-(10/(逐级计算!$Q$55*LN(10))*(MAX((LN(10^(逐级计算!$Q$55/10)-1)+逐级计算!$Q$55*(BC36-逐级计算!$P$55)*LN(10)/10),0)+LN(1+EXP(-ABS((LN(10^(逐级计算!$Q$55/10)-1)+逐级计算!$Q$55*(BC36-逐级计算!$P$55)*LN(10)/10))))))),"")</f>
        <v>13.7930366072982</v>
      </c>
      <c r="BE36">
        <f>IF(AND(ISNUMBER(BD36),逐级计算!$X$56&gt;-1),IF(逐级计算!$X$56=0,BD36+逐级计算!$C$56,BD36+逐级计算!$C$56-(10/(逐级计算!$Q$56*LN(10))*(MAX((LN(10^(逐级计算!$Q$56/10)-1)+逐级计算!$Q$56*(BD36-逐级计算!$P$56)*LN(10)/10),0)+LN(1+EXP(-ABS((LN(10^(逐级计算!$Q$56/10)-1)+逐级计算!$Q$56*(BD36-逐级计算!$P$56)*LN(10)/10))))))),"")</f>
        <v>13.7930366072982</v>
      </c>
      <c r="BF36">
        <f>IF(AND(ISNUMBER(BE36),逐级计算!$X$57&gt;-1),IF(逐级计算!$X$57=0,BE36+逐级计算!$C$57,BE36+逐级计算!$C$57-(10/(逐级计算!$Q$57*LN(10))*(MAX((LN(10^(逐级计算!$Q$57/10)-1)+逐级计算!$Q$57*(BE36-逐级计算!$P$57)*LN(10)/10),0)+LN(1+EXP(-ABS((LN(10^(逐级计算!$Q$57/10)-1)+逐级计算!$Q$57*(BE36-逐级计算!$P$57)*LN(10)/10))))))),"")</f>
        <v>13.7930366072982</v>
      </c>
      <c r="BG36">
        <f>IF(AND(ISNUMBER(BF36),逐级计算!$X$58&gt;-1),IF(逐级计算!$X$58=0,BF36+逐级计算!$C$58,BF36+逐级计算!$C$58-(10/(逐级计算!$Q$58*LN(10))*(MAX((LN(10^(逐级计算!$Q$58/10)-1)+逐级计算!$Q$58*(BF36-逐级计算!$P$58)*LN(10)/10),0)+LN(1+EXP(-ABS((LN(10^(逐级计算!$Q$58/10)-1)+逐级计算!$Q$58*(BF36-逐级计算!$P$58)*LN(10)/10))))))),"")</f>
        <v>13.7930366072982</v>
      </c>
      <c r="BH36">
        <f>IF(AND(ISNUMBER(BG36),逐级计算!$X$59&gt;-1),IF(逐级计算!$X$59=0,BG36+逐级计算!$C$59,BG36+逐级计算!$C$59-(10/(逐级计算!$Q$59*LN(10))*(MAX((LN(10^(逐级计算!$Q$59/10)-1)+逐级计算!$Q$59*(BG36-逐级计算!$P$59)*LN(10)/10),0)+LN(1+EXP(-ABS((LN(10^(逐级计算!$Q$59/10)-1)+逐级计算!$Q$59*(BG36-逐级计算!$P$59)*LN(10)/10))))))),"")</f>
        <v>13.7930366072982</v>
      </c>
      <c r="BI36">
        <f>IF(AND(ISNUMBER(BH36),逐级计算!$X$60&gt;-1),IF(逐级计算!$X$60=0,BH36+逐级计算!$C$60,BH36+逐级计算!$C$60-(10/(逐级计算!$Q$60*LN(10))*(MAX((LN(10^(逐级计算!$Q$60/10)-1)+逐级计算!$Q$60*(BH36-逐级计算!$P$60)*LN(10)/10),0)+LN(1+EXP(-ABS((LN(10^(逐级计算!$Q$60/10)-1)+逐级计算!$Q$60*(BH36-逐级计算!$P$60)*LN(10)/10))))))),"")</f>
        <v>13.7930366072982</v>
      </c>
      <c r="BJ36">
        <f>IF(AND(ISNUMBER(BI36),逐级计算!$X$61&gt;-1),IF(逐级计算!$X$61=0,BI36+逐级计算!$C$61,BI36+逐级计算!$C$61-(10/(逐级计算!$Q$61*LN(10))*(MAX((LN(10^(逐级计算!$Q$61/10)-1)+逐级计算!$Q$61*(BI36-逐级计算!$P$61)*LN(10)/10),0)+LN(1+EXP(-ABS((LN(10^(逐级计算!$Q$61/10)-1)+逐级计算!$Q$61*(BI36-逐级计算!$P$61)*LN(10)/10))))))),"")</f>
        <v>13.7930366072982</v>
      </c>
      <c r="BK36">
        <f>IF(AND(ISNUMBER(BJ36),逐级计算!$X$62&gt;-1),IF(逐级计算!$X$62=0,BJ36+逐级计算!$C$62,BJ36+逐级计算!$C$62-(10/(逐级计算!$Q$62*LN(10))*(MAX((LN(10^(逐级计算!$Q$62/10)-1)+逐级计算!$Q$62*(BJ36-逐级计算!$P$62)*LN(10)/10),0)+LN(1+EXP(-ABS((LN(10^(逐级计算!$Q$62/10)-1)+逐级计算!$Q$62*(BJ36-逐级计算!$P$62)*LN(10)/10))))))),"")</f>
        <v>13.7930366072982</v>
      </c>
      <c r="BL36">
        <f>IF(AND(ISNUMBER(BK36),逐级计算!$X$63&gt;-1),IF(逐级计算!$X$63=0,BK36+逐级计算!$C$63,BK36+逐级计算!$C$63-(10/(逐级计算!$Q$63*LN(10))*(MAX((LN(10^(逐级计算!$Q$63/10)-1)+逐级计算!$Q$63*(BK36-逐级计算!$P$63)*LN(10)/10),0)+LN(1+EXP(-ABS((LN(10^(逐级计算!$Q$63/10)-1)+逐级计算!$Q$63*(BK36-逐级计算!$P$63)*LN(10)/10))))))),"")</f>
        <v>13.7930366072982</v>
      </c>
      <c r="BM36">
        <f>IF(AND(ISNUMBER(BL36),逐级计算!$X$64&gt;-1),IF(逐级计算!$X$64=0,BL36+逐级计算!$C$64,BL36+逐级计算!$C$64-(10/(逐级计算!$Q$64*LN(10))*(MAX((LN(10^(逐级计算!$Q$64/10)-1)+逐级计算!$Q$64*(BL36-逐级计算!$P$64)*LN(10)/10),0)+LN(1+EXP(-ABS((LN(10^(逐级计算!$Q$64/10)-1)+逐级计算!$Q$64*(BL36-逐级计算!$P$64)*LN(10)/10))))))),"")</f>
        <v>13.7930366072982</v>
      </c>
      <c r="BN36">
        <f>IF(AND(ISNUMBER(BM36),逐级计算!$X$65&gt;-1),IF(逐级计算!$X$65=0,BM36+逐级计算!$C$65,BM36+逐级计算!$C$65-(10/(逐级计算!$Q$65*LN(10))*(MAX((LN(10^(逐级计算!$Q$65/10)-1)+逐级计算!$Q$65*(BM36-逐级计算!$P$65)*LN(10)/10),0)+LN(1+EXP(-ABS((LN(10^(逐级计算!$Q$65/10)-1)+逐级计算!$Q$65*(BM36-逐级计算!$P$65)*LN(10)/10))))))),"")</f>
        <v>13.7930366072982</v>
      </c>
      <c r="BO36">
        <f>IF(AND(ISNUMBER(BN36),逐级计算!$X$66&gt;-1),IF(逐级计算!$X$66=0,BN36+逐级计算!$C$66,BN36+逐级计算!$C$66-(10/(逐级计算!$Q$66*LN(10))*(MAX((LN(10^(逐级计算!$Q$66/10)-1)+逐级计算!$Q$66*(BN36-逐级计算!$P$66)*LN(10)/10),0)+LN(1+EXP(-ABS((LN(10^(逐级计算!$Q$66/10)-1)+逐级计算!$Q$66*(BN36-逐级计算!$P$66)*LN(10)/10))))))),"")</f>
        <v>13.7930366072982</v>
      </c>
      <c r="BP36">
        <f>IF(AND(ISNUMBER(BO36),逐级计算!$X$67&gt;-1),IF(逐级计算!$X$67=0,BO36+逐级计算!$C$67,BO36+逐级计算!$C$67-(10/(逐级计算!$Q$67*LN(10))*(MAX((LN(10^(逐级计算!$Q$67/10)-1)+逐级计算!$Q$67*(BO36-逐级计算!$P$67)*LN(10)/10),0)+LN(1+EXP(-ABS((LN(10^(逐级计算!$Q$67/10)-1)+逐级计算!$Q$67*(BO36-逐级计算!$P$67)*LN(10)/10))))))),"")</f>
        <v>13.7930366072982</v>
      </c>
      <c r="BQ36">
        <f>IF(AND(ISNUMBER(BP36),逐级计算!$X$68&gt;-1),IF(逐级计算!$X$68=0,BP36+逐级计算!$C$68,BP36+逐级计算!$C$68-(10/(逐级计算!$Q$68*LN(10))*(MAX((LN(10^(逐级计算!$Q$68/10)-1)+逐级计算!$Q$68*(BP36-逐级计算!$P$68)*LN(10)/10),0)+LN(1+EXP(-ABS((LN(10^(逐级计算!$Q$68/10)-1)+逐级计算!$Q$68*(BP36-逐级计算!$P$68)*LN(10)/10))))))),"")</f>
        <v>13.7930366072982</v>
      </c>
      <c r="BR36">
        <f>IF(AND(ISNUMBER(BQ36),逐级计算!$X$69&gt;-1),IF(逐级计算!$X$69=0,BQ36+逐级计算!$C$69,BQ36+逐级计算!$C$69-(10/(逐级计算!$Q$69*LN(10))*(MAX((LN(10^(逐级计算!$Q$69/10)-1)+逐级计算!$Q$69*(BQ36-逐级计算!$P$69)*LN(10)/10),0)+LN(1+EXP(-ABS((LN(10^(逐级计算!$Q$69/10)-1)+逐级计算!$Q$69*(BQ36-逐级计算!$P$69)*LN(10)/10))))))),"")</f>
        <v>13.7930366072982</v>
      </c>
      <c r="BS36">
        <f>IF(AND(ISNUMBER(BR36),逐级计算!$X$70&gt;-1),IF(逐级计算!$X$70=0,BR36+逐级计算!$C$70,BR36+逐级计算!$C$70-(10/(逐级计算!$Q$70*LN(10))*(MAX((LN(10^(逐级计算!$Q$70/10)-1)+逐级计算!$Q$70*(BR36-逐级计算!$P$70)*LN(10)/10),0)+LN(1+EXP(-ABS((LN(10^(逐级计算!$Q$70/10)-1)+逐级计算!$Q$70*(BR36-逐级计算!$P$70)*LN(10)/10))))))),"")</f>
        <v>13.7930366072982</v>
      </c>
      <c r="BT36">
        <f>IF(AND(ISNUMBER(BS36),逐级计算!$X$71&gt;-1),IF(逐级计算!$X$71=0,BS36+逐级计算!$C$71,BS36+逐级计算!$C$71-(10/(逐级计算!$Q$71*LN(10))*(MAX((LN(10^(逐级计算!$Q$71/10)-1)+逐级计算!$Q$71*(BS36-逐级计算!$P$71)*LN(10)/10),0)+LN(1+EXP(-ABS((LN(10^(逐级计算!$Q$71/10)-1)+逐级计算!$Q$71*(BS36-逐级计算!$P$71)*LN(10)/10))))))),"")</f>
        <v>13.7930366072982</v>
      </c>
      <c r="BU36">
        <f>IF(AND(ISNUMBER(BT36),逐级计算!$X$72&gt;-1),IF(逐级计算!$X$72=0,BT36+逐级计算!$C$72,BT36+逐级计算!$C$72-(10/(逐级计算!$Q$72*LN(10))*(MAX((LN(10^(逐级计算!$Q$72/10)-1)+逐级计算!$Q$72*(BT36-逐级计算!$P$72)*LN(10)/10),0)+LN(1+EXP(-ABS((LN(10^(逐级计算!$Q$72/10)-1)+逐级计算!$Q$72*(BT36-逐级计算!$P$72)*LN(10)/10))))))),"")</f>
        <v>13.7930366072982</v>
      </c>
      <c r="BV36">
        <f>IF(AND(ISNUMBER(BU36),逐级计算!$X$73&gt;-1),IF(逐级计算!$X$73=0,BU36+逐级计算!$C$73,BU36+逐级计算!$C$73-(10/(逐级计算!$Q$73*LN(10))*(MAX((LN(10^(逐级计算!$Q$73/10)-1)+逐级计算!$Q$73*(BU36-逐级计算!$P$73)*LN(10)/10),0)+LN(1+EXP(-ABS((LN(10^(逐级计算!$Q$73/10)-1)+逐级计算!$Q$73*(BU36-逐级计算!$P$73)*LN(10)/10))))))),"")</f>
        <v>13.7930366072982</v>
      </c>
      <c r="BW36">
        <f>IF(AND(ISNUMBER(BV36),逐级计算!$X$74&gt;-1),IF(逐级计算!$X$74=0,BV36+逐级计算!$C$74,BV36+逐级计算!$C$74-(10/(逐级计算!$Q$74*LN(10))*(MAX((LN(10^(逐级计算!$Q$74/10)-1)+逐级计算!$Q$74*(BV36-逐级计算!$P$74)*LN(10)/10),0)+LN(1+EXP(-ABS((LN(10^(逐级计算!$Q$74/10)-1)+逐级计算!$Q$74*(BV36-逐级计算!$P$74)*LN(10)/10))))))),"")</f>
        <v>13.7930366072982</v>
      </c>
      <c r="BX36">
        <f>IF(AND(ISNUMBER(BW36),逐级计算!$X$75&gt;-1),IF(逐级计算!$X$75=0,BW36+逐级计算!$C$75,BW36+逐级计算!$C$75-(10/(逐级计算!$Q$75*LN(10))*(MAX((LN(10^(逐级计算!$Q$75/10)-1)+逐级计算!$Q$75*(BW36-逐级计算!$P$75)*LN(10)/10),0)+LN(1+EXP(-ABS((LN(10^(逐级计算!$Q$75/10)-1)+逐级计算!$Q$75*(BW36-逐级计算!$P$75)*LN(10)/10))))))),"")</f>
        <v>13.7930366072982</v>
      </c>
      <c r="BY36">
        <f>IF(AND(ISNUMBER(BX36),逐级计算!$X$76&gt;-1),IF(逐级计算!$X$76=0,BX36+逐级计算!$C$76,BX36+逐级计算!$C$76-(10/(逐级计算!$Q$76*LN(10))*(MAX((LN(10^(逐级计算!$Q$76/10)-1)+逐级计算!$Q$76*(BX36-逐级计算!$P$76)*LN(10)/10),0)+LN(1+EXP(-ABS((LN(10^(逐级计算!$Q$76/10)-1)+逐级计算!$Q$76*(BX36-逐级计算!$P$76)*LN(10)/10))))))),"")</f>
        <v>13.7930366072982</v>
      </c>
      <c r="BZ36">
        <f>IF(AND(ISNUMBER(BY36),逐级计算!$X$77&gt;-1),IF(逐级计算!$X$77=0,BY36+逐级计算!$C$77,BY36+逐级计算!$C$77-(10/(逐级计算!$Q$77*LN(10))*(MAX((LN(10^(逐级计算!$Q$77/10)-1)+逐级计算!$Q$77*(BY36-逐级计算!$P$77)*LN(10)/10),0)+LN(1+EXP(-ABS((LN(10^(逐级计算!$Q$77/10)-1)+逐级计算!$Q$77*(BY36-逐级计算!$P$77)*LN(10)/10))))))),"")</f>
        <v>13.7930366072982</v>
      </c>
      <c r="CA36">
        <f>IF(AND(ISNUMBER(BZ36),逐级计算!$X$78&gt;-1),IF(逐级计算!$X$78=0,BZ36+逐级计算!$C$78,BZ36+逐级计算!$C$78-(10/(逐级计算!$Q$78*LN(10))*(MAX((LN(10^(逐级计算!$Q$78/10)-1)+逐级计算!$Q$78*(BZ36-逐级计算!$P$78)*LN(10)/10),0)+LN(1+EXP(-ABS((LN(10^(逐级计算!$Q$78/10)-1)+逐级计算!$Q$78*(BZ36-逐级计算!$P$78)*LN(10)/10))))))),"")</f>
        <v>13.7930366072982</v>
      </c>
      <c r="CB36">
        <f>IF(AND(ISNUMBER(CA36),逐级计算!$X$79&gt;-1),IF(逐级计算!$X$79=0,CA36+逐级计算!$C$79,CA36+逐级计算!$C$79-(10/(逐级计算!$Q$79*LN(10))*(MAX((LN(10^(逐级计算!$Q$79/10)-1)+逐级计算!$Q$79*(CA36-逐级计算!$P$79)*LN(10)/10),0)+LN(1+EXP(-ABS((LN(10^(逐级计算!$Q$79/10)-1)+逐级计算!$Q$79*(CA36-逐级计算!$P$79)*LN(10)/10))))))),"")</f>
        <v>13.7930366072982</v>
      </c>
      <c r="CC36">
        <f>IF(AND(ISNUMBER(CB36),逐级计算!$X$80&gt;-1),IF(逐级计算!$X$80=0,CB36+逐级计算!$C$80,CB36+逐级计算!$C$80-(10/(逐级计算!$Q$80*LN(10))*(MAX((LN(10^(逐级计算!$Q$80/10)-1)+逐级计算!$Q$80*(CB36-逐级计算!$P$80)*LN(10)/10),0)+LN(1+EXP(-ABS((LN(10^(逐级计算!$Q$80/10)-1)+逐级计算!$Q$80*(CB36-逐级计算!$P$80)*LN(10)/10))))))),"")</f>
        <v>13.7930366072982</v>
      </c>
      <c r="CD36">
        <f>IF(AND(ISNUMBER(CC36),逐级计算!$X$81&gt;-1),IF(逐级计算!$X$81=0,CC36+逐级计算!$C$81,CC36+逐级计算!$C$81-(10/(逐级计算!$Q$81*LN(10))*(MAX((LN(10^(逐级计算!$Q$81/10)-1)+逐级计算!$Q$81*(CC36-逐级计算!$P$81)*LN(10)/10),0)+LN(1+EXP(-ABS((LN(10^(逐级计算!$Q$81/10)-1)+逐级计算!$Q$81*(CC36-逐级计算!$P$81)*LN(10)/10))))))),"")</f>
        <v>13.7930366072982</v>
      </c>
      <c r="CE36">
        <f>IF(AND(ISNUMBER(CD36),逐级计算!$X$82&gt;-1),IF(逐级计算!$X$82=0,CD36+逐级计算!$C$82,CD36+逐级计算!$C$82-(10/(逐级计算!$Q$82*LN(10))*(MAX((LN(10^(逐级计算!$Q$82/10)-1)+逐级计算!$Q$82*(CD36-逐级计算!$P$82)*LN(10)/10),0)+LN(1+EXP(-ABS((LN(10^(逐级计算!$Q$82/10)-1)+逐级计算!$Q$82*(CD36-逐级计算!$P$82)*LN(10)/10))))))),"")</f>
        <v>13.7930366072982</v>
      </c>
      <c r="CF36">
        <f>IF(AND(ISNUMBER(CE36),逐级计算!$X$83&gt;-1),IF(逐级计算!$X$83=0,CE36+逐级计算!$C$83,CE36+逐级计算!$C$83-(10/(逐级计算!$Q$83*LN(10))*(MAX((LN(10^(逐级计算!$Q$83/10)-1)+逐级计算!$Q$83*(CE36-逐级计算!$P$83)*LN(10)/10),0)+LN(1+EXP(-ABS((LN(10^(逐级计算!$Q$83/10)-1)+逐级计算!$Q$83*(CE36-逐级计算!$P$83)*LN(10)/10))))))),"")</f>
        <v>13.7930366072982</v>
      </c>
      <c r="CG36">
        <f>IF(AND(ISNUMBER(CF36),逐级计算!$X$84&gt;-1),IF(逐级计算!$X$84=0,CF36+逐级计算!$C$84,CF36+逐级计算!$C$84-(10/(逐级计算!$Q$84*LN(10))*(MAX((LN(10^(逐级计算!$Q$84/10)-1)+逐级计算!$Q$84*(CF36-逐级计算!$P$84)*LN(10)/10),0)+LN(1+EXP(-ABS((LN(10^(逐级计算!$Q$84/10)-1)+逐级计算!$Q$84*(CF36-逐级计算!$P$84)*LN(10)/10))))))),"")</f>
        <v>13.7930366072982</v>
      </c>
      <c r="CH36">
        <f>IF(AND(ISNUMBER(CG36),逐级计算!$X$85&gt;-1),IF(逐级计算!$X$85=0,CG36+逐级计算!$C$85,CG36+逐级计算!$C$85-(10/(逐级计算!$Q$85*LN(10))*(MAX((LN(10^(逐级计算!$Q$85/10)-1)+逐级计算!$Q$85*(CG36-逐级计算!$P$85)*LN(10)/10),0)+LN(1+EXP(-ABS((LN(10^(逐级计算!$Q$85/10)-1)+逐级计算!$Q$85*(CG36-逐级计算!$P$85)*LN(10)/10))))))),"")</f>
        <v>13.7930366072982</v>
      </c>
      <c r="CI36">
        <f>IF(AND(ISNUMBER(CH36),逐级计算!$X$86&gt;-1),IF(逐级计算!$X$86=0,CH36+逐级计算!$C$86,CH36+逐级计算!$C$86-(10/(逐级计算!$Q$86*LN(10))*(MAX((LN(10^(逐级计算!$Q$86/10)-1)+逐级计算!$Q$86*(CH36-逐级计算!$P$86)*LN(10)/10),0)+LN(1+EXP(-ABS((LN(10^(逐级计算!$Q$86/10)-1)+逐级计算!$Q$86*(CH36-逐级计算!$P$86)*LN(10)/10))))))),"")</f>
        <v>13.7930366072982</v>
      </c>
      <c r="CJ36">
        <f>IF(AND(ISNUMBER(CI36),逐级计算!$X$87&gt;-1),IF(逐级计算!$X$87=0,CI36+逐级计算!$C$87,CI36+逐级计算!$C$87-(10/(逐级计算!$Q$87*LN(10))*(MAX((LN(10^(逐级计算!$Q$87/10)-1)+逐级计算!$Q$87*(CI36-逐级计算!$P$87)*LN(10)/10),0)+LN(1+EXP(-ABS((LN(10^(逐级计算!$Q$87/10)-1)+逐级计算!$Q$87*(CI36-逐级计算!$P$87)*LN(10)/10))))))),"")</f>
        <v>13.7930366072982</v>
      </c>
      <c r="CK36">
        <f>IF(AND(ISNUMBER(CJ36),逐级计算!$X$88&gt;-1),IF(逐级计算!$X$88=0,CJ36+逐级计算!$C$88,CJ36+逐级计算!$C$88-(10/(逐级计算!$Q$88*LN(10))*(MAX((LN(10^(逐级计算!$Q$88/10)-1)+逐级计算!$Q$88*(CJ36-逐级计算!$P$88)*LN(10)/10),0)+LN(1+EXP(-ABS((LN(10^(逐级计算!$Q$88/10)-1)+逐级计算!$Q$88*(CJ36-逐级计算!$P$88)*LN(10)/10))))))),"")</f>
        <v>13.7930366072982</v>
      </c>
      <c r="CL36">
        <f>IF(AND(ISNUMBER(CK36),逐级计算!$X$89&gt;-1),IF(逐级计算!$X$89=0,CK36+逐级计算!$C$89,CK36+逐级计算!$C$89-(10/(逐级计算!$Q$89*LN(10))*(MAX((LN(10^(逐级计算!$Q$89/10)-1)+逐级计算!$Q$89*(CK36-逐级计算!$P$89)*LN(10)/10),0)+LN(1+EXP(-ABS((LN(10^(逐级计算!$Q$89/10)-1)+逐级计算!$Q$89*(CK36-逐级计算!$P$89)*LN(10)/10))))))),"")</f>
        <v>13.7930366072982</v>
      </c>
      <c r="CM36">
        <f>IF(AND(ISNUMBER(CL36),逐级计算!$X$90&gt;-1),IF(逐级计算!$X$90=0,CL36+逐级计算!$C$90,CL36+逐级计算!$C$90-(10/(逐级计算!$Q$90*LN(10))*(MAX((LN(10^(逐级计算!$Q$90/10)-1)+逐级计算!$Q$90*(CL36-逐级计算!$P$90)*LN(10)/10),0)+LN(1+EXP(-ABS((LN(10^(逐级计算!$Q$90/10)-1)+逐级计算!$Q$90*(CL36-逐级计算!$P$90)*LN(10)/10))))))),"")</f>
        <v>13.7930366072982</v>
      </c>
      <c r="CN36">
        <f>IF(AND(ISNUMBER(CM36),逐级计算!$X$91&gt;-1),IF(逐级计算!$X$91=0,CM36+逐级计算!$C$91,CM36+逐级计算!$C$91-(10/(逐级计算!$Q$91*LN(10))*(MAX((LN(10^(逐级计算!$Q$91/10)-1)+逐级计算!$Q$91*(CM36-逐级计算!$P$91)*LN(10)/10),0)+LN(1+EXP(-ABS((LN(10^(逐级计算!$Q$91/10)-1)+逐级计算!$Q$91*(CM36-逐级计算!$P$91)*LN(10)/10))))))),"")</f>
        <v>13.7930366072982</v>
      </c>
      <c r="CO36">
        <f>IF(AND(ISNUMBER(CN36),逐级计算!$X$92&gt;-1),IF(逐级计算!$X$92=0,CN36+逐级计算!$C$92,CN36+逐级计算!$C$92-(10/(逐级计算!$Q$92*LN(10))*(MAX((LN(10^(逐级计算!$Q$92/10)-1)+逐级计算!$Q$92*(CN36-逐级计算!$P$92)*LN(10)/10),0)+LN(1+EXP(-ABS((LN(10^(逐级计算!$Q$92/10)-1)+逐级计算!$Q$92*(CN36-逐级计算!$P$92)*LN(10)/10))))))),"")</f>
        <v>13.7930366072982</v>
      </c>
      <c r="CP36">
        <f>IF(AND(ISNUMBER(CO36),逐级计算!$X$93&gt;-1),IF(逐级计算!$X$93=0,CO36+逐级计算!$C$93,CO36+逐级计算!$C$93-(10/(逐级计算!$Q$93*LN(10))*(MAX((LN(10^(逐级计算!$Q$93/10)-1)+逐级计算!$Q$93*(CO36-逐级计算!$P$93)*LN(10)/10),0)+LN(1+EXP(-ABS((LN(10^(逐级计算!$Q$93/10)-1)+逐级计算!$Q$93*(CO36-逐级计算!$P$93)*LN(10)/10))))))),"")</f>
        <v>13.7930366072982</v>
      </c>
      <c r="CQ36">
        <f>IF(AND(ISNUMBER(CP36),逐级计算!$X$94&gt;-1),IF(逐级计算!$X$94=0,CP36+逐级计算!$C$94,CP36+逐级计算!$C$94-(10/(逐级计算!$Q$94*LN(10))*(MAX((LN(10^(逐级计算!$Q$94/10)-1)+逐级计算!$Q$94*(CP36-逐级计算!$P$94)*LN(10)/10),0)+LN(1+EXP(-ABS((LN(10^(逐级计算!$Q$94/10)-1)+逐级计算!$Q$94*(CP36-逐级计算!$P$94)*LN(10)/10))))))),"")</f>
        <v>13.7930366072982</v>
      </c>
      <c r="CR36">
        <f>IF(AND(ISNUMBER(CQ36),逐级计算!$X$95&gt;-1),IF(逐级计算!$X$95=0,CQ36+逐级计算!$C$95,CQ36+逐级计算!$C$95-(10/(逐级计算!$Q$95*LN(10))*(MAX((LN(10^(逐级计算!$Q$95/10)-1)+逐级计算!$Q$95*(CQ36-逐级计算!$P$95)*LN(10)/10),0)+LN(1+EXP(-ABS((LN(10^(逐级计算!$Q$95/10)-1)+逐级计算!$Q$95*(CQ36-逐级计算!$P$95)*LN(10)/10))))))),"")</f>
        <v>13.7930366072982</v>
      </c>
      <c r="CS36">
        <f>IF(AND(ISNUMBER(CR36),逐级计算!$X$96&gt;-1),IF(逐级计算!$X$96=0,CR36+逐级计算!$C$96,CR36+逐级计算!$C$96-(10/(逐级计算!$Q$96*LN(10))*(MAX((LN(10^(逐级计算!$Q$96/10)-1)+逐级计算!$Q$96*(CR36-逐级计算!$P$96)*LN(10)/10),0)+LN(1+EXP(-ABS((LN(10^(逐级计算!$Q$96/10)-1)+逐级计算!$Q$96*(CR36-逐级计算!$P$96)*LN(10)/10))))))),"")</f>
        <v>13.7930366072982</v>
      </c>
      <c r="CT36">
        <f>IF(AND(ISNUMBER(CS36),逐级计算!$X$97&gt;-1),IF(逐级计算!$X$97=0,CS36+逐级计算!$C$97,CS36+逐级计算!$C$97-(10/(逐级计算!$Q$97*LN(10))*(MAX((LN(10^(逐级计算!$Q$97/10)-1)+逐级计算!$Q$97*(CS36-逐级计算!$P$97)*LN(10)/10),0)+LN(1+EXP(-ABS((LN(10^(逐级计算!$Q$97/10)-1)+逐级计算!$Q$97*(CS36-逐级计算!$P$97)*LN(10)/10))))))),"")</f>
        <v>13.7930366072982</v>
      </c>
      <c r="CU36">
        <f>IF(AND(ISNUMBER(CT36),逐级计算!$X$98&gt;-1),IF(逐级计算!$X$98=0,CT36+逐级计算!$C$98,CT36+逐级计算!$C$98-(10/(逐级计算!$Q$98*LN(10))*(MAX((LN(10^(逐级计算!$Q$98/10)-1)+逐级计算!$Q$98*(CT36-逐级计算!$P$98)*LN(10)/10),0)+LN(1+EXP(-ABS((LN(10^(逐级计算!$Q$98/10)-1)+逐级计算!$Q$98*(CT36-逐级计算!$P$98)*LN(10)/10))))))),"")</f>
        <v>13.7930366072982</v>
      </c>
      <c r="CV36">
        <f>IF(AND(ISNUMBER(CU36),逐级计算!$X$99&gt;-1),IF(逐级计算!$X$99=0,CU36+逐级计算!$C$99,CU36+逐级计算!$C$99-(10/(逐级计算!$Q$99*LN(10))*(MAX((LN(10^(逐级计算!$Q$99/10)-1)+逐级计算!$Q$99*(CU36-逐级计算!$P$99)*LN(10)/10),0)+LN(1+EXP(-ABS((LN(10^(逐级计算!$Q$99/10)-1)+逐级计算!$Q$99*(CU36-逐级计算!$P$99)*LN(10)/10))))))),"")</f>
        <v>13.7930366072982</v>
      </c>
      <c r="CW36">
        <f>IF(AND(ISNUMBER(CV36),逐级计算!$X$100&gt;-1),IF(逐级计算!$X$100=0,CV36+逐级计算!$C$100,CV36+逐级计算!$C$100-(10/(逐级计算!$Q$100*LN(10))*(MAX((LN(10^(逐级计算!$Q$100/10)-1)+逐级计算!$Q$100*(CV36-逐级计算!$P$100)*LN(10)/10),0)+LN(1+EXP(-ABS((LN(10^(逐级计算!$Q$100/10)-1)+逐级计算!$Q$100*(CV36-逐级计算!$P$100)*LN(10)/10))))))),"")</f>
        <v>13.7930366072982</v>
      </c>
      <c r="CX36">
        <f>IF(AND(ISNUMBER(CW36),逐级计算!$X$101&gt;-1),IF(逐级计算!$X$101=0,CW36+逐级计算!$C$101,CW36+逐级计算!$C$101-(10/(逐级计算!$Q$101*LN(10))*(MAX((LN(10^(逐级计算!$Q$101/10)-1)+逐级计算!$Q$101*(CW36-逐级计算!$P$101)*LN(10)/10),0)+LN(1+EXP(-ABS((LN(10^(逐级计算!$Q$101/10)-1)+逐级计算!$Q$101*(CW36-逐级计算!$P$101)*LN(10)/10))))))),"")</f>
        <v>13.7930366072982</v>
      </c>
      <c r="CY36">
        <f>IF(AND(ISNUMBER(CX36),逐级计算!$X$102&gt;-1),IF(逐级计算!$X$102=0,CX36+逐级计算!$C$102,CX36+逐级计算!$C$102-(10/(逐级计算!$Q$102*LN(10))*(MAX((LN(10^(逐级计算!$Q$102/10)-1)+逐级计算!$Q$102*(CX36-逐级计算!$P$102)*LN(10)/10),0)+LN(1+EXP(-ABS((LN(10^(逐级计算!$Q$102/10)-1)+逐级计算!$Q$102*(CX36-逐级计算!$P$102)*LN(10)/10))))))),"")</f>
        <v>13.7930366072982</v>
      </c>
      <c r="CZ36">
        <f>IF(AND(ISNUMBER(CY36),逐级计算!$X$103&gt;-1),IF(逐级计算!$X$103=0,CY36+逐级计算!$C$103,CY36+逐级计算!$C$103-(10/(逐级计算!$Q$103*LN(10))*(MAX((LN(10^(逐级计算!$Q$103/10)-1)+逐级计算!$Q$103*(CY36-逐级计算!$P$103)*LN(10)/10),0)+LN(1+EXP(-ABS((LN(10^(逐级计算!$Q$103/10)-1)+逐级计算!$Q$103*(CY36-逐级计算!$P$103)*LN(10)/10))))))),"")</f>
        <v>13.7930366072982</v>
      </c>
      <c r="DA36">
        <f>IF(AND(ISNUMBER(CZ36),逐级计算!$X$104&gt;-1),IF(逐级计算!$X$104=0,CZ36+逐级计算!$C$104,CZ36+逐级计算!$C$104-(10/(逐级计算!$Q$104*LN(10))*(MAX((LN(10^(逐级计算!$Q$104/10)-1)+逐级计算!$Q$104*(CZ36-逐级计算!$P$104)*LN(10)/10),0)+LN(1+EXP(-ABS((LN(10^(逐级计算!$Q$104/10)-1)+逐级计算!$Q$104*(CZ36-逐级计算!$P$104)*LN(10)/10))))))),"")</f>
        <v>13.7930366072982</v>
      </c>
      <c r="DB36">
        <f>IF(AND(ISNUMBER(DA36),逐级计算!$X$105&gt;-1),IF(逐级计算!$X$105=0,DA36+逐级计算!$C$105,DA36+逐级计算!$C$105-(10/(逐级计算!$Q$105*LN(10))*(MAX((LN(10^(逐级计算!$Q$105/10)-1)+逐级计算!$Q$105*(DA36-逐级计算!$P$105)*LN(10)/10),0)+LN(1+EXP(-ABS((LN(10^(逐级计算!$Q$105/10)-1)+逐级计算!$Q$105*(DA36-逐级计算!$P$105)*LN(10)/10))))))),"")</f>
        <v>13.7930366072982</v>
      </c>
      <c r="DC36">
        <f>IF(AND(ISNUMBER(DB36),逐级计算!$X$106&gt;-1),IF(逐级计算!$X$106=0,DB36+逐级计算!$C$106,DB36+逐级计算!$C$106-(10/(逐级计算!$Q$106*LN(10))*(MAX((LN(10^(逐级计算!$Q$106/10)-1)+逐级计算!$Q$106*(DB36-逐级计算!$P$106)*LN(10)/10),0)+LN(1+EXP(-ABS((LN(10^(逐级计算!$Q$106/10)-1)+逐级计算!$Q$106*(DB36-逐级计算!$P$106)*LN(10)/10))))))),"")</f>
        <v>13.7930366072982</v>
      </c>
      <c r="DD36">
        <f>IF(AND(ISNUMBER(DC36),逐级计算!$X$107&gt;-1),IF(逐级计算!$X$107=0,DC36+逐级计算!$C$107,DC36+逐级计算!$C$107-(10/(逐级计算!$Q$107*LN(10))*(MAX((LN(10^(逐级计算!$Q$107/10)-1)+逐级计算!$Q$107*(DC36-逐级计算!$P$107)*LN(10)/10),0)+LN(1+EXP(-ABS((LN(10^(逐级计算!$Q$107/10)-1)+逐级计算!$Q$107*(DC36-逐级计算!$P$107)*LN(10)/10))))))),"")</f>
        <v>13.7930366072982</v>
      </c>
      <c r="DE36">
        <f>IF(AND(ISNUMBER(DD36),逐级计算!$X$108&gt;-1),IF(逐级计算!$X$108=0,DD36+逐级计算!$C$108,DD36+逐级计算!$C$108-(10/(逐级计算!$Q$108*LN(10))*(MAX((LN(10^(逐级计算!$Q$108/10)-1)+逐级计算!$Q$108*(DD36-逐级计算!$P$108)*LN(10)/10),0)+LN(1+EXP(-ABS((LN(10^(逐级计算!$Q$108/10)-1)+逐级计算!$Q$108*(DD36-逐级计算!$P$108)*LN(10)/10))))))),"")</f>
        <v>13.7930366072982</v>
      </c>
      <c r="DF36">
        <f>IF(AND(ISNUMBER(DE36),逐级计算!$X$109&gt;-1),IF(逐级计算!$X$109=0,DE36+逐级计算!$C$109,DE36+逐级计算!$C$109-(10/(逐级计算!$Q$109*LN(10))*(MAX((LN(10^(逐级计算!$Q$109/10)-1)+逐级计算!$Q$109*(DE36-逐级计算!$P$109)*LN(10)/10),0)+LN(1+EXP(-ABS((LN(10^(逐级计算!$Q$109/10)-1)+逐级计算!$Q$109*(DE36-逐级计算!$P$109)*LN(10)/10))))))),"")</f>
        <v>13.7930366072982</v>
      </c>
      <c r="DG36">
        <f>IF(AND(ISNUMBER(DF36),逐级计算!$X$110&gt;-1),IF(逐级计算!$X$110=0,DF36+逐级计算!$C$110,DF36+逐级计算!$C$110-(10/(逐级计算!$Q$110*LN(10))*(MAX((LN(10^(逐级计算!$Q$110/10)-1)+逐级计算!$Q$110*(DF36-逐级计算!$P$110)*LN(10)/10),0)+LN(1+EXP(-ABS((LN(10^(逐级计算!$Q$110/10)-1)+逐级计算!$Q$110*(DF36-逐级计算!$P$110)*LN(10)/10))))))),"")</f>
        <v>13.7930366072982</v>
      </c>
      <c r="DH36">
        <f>IF(AND(ISNUMBER(DG36),逐级计算!$X$111&gt;-1),IF(逐级计算!$X$111=0,DG36+逐级计算!$C$111,DG36+逐级计算!$C$111-(10/(逐级计算!$Q$111*LN(10))*(MAX((LN(10^(逐级计算!$Q$111/10)-1)+逐级计算!$Q$111*(DG36-逐级计算!$P$111)*LN(10)/10),0)+LN(1+EXP(-ABS((LN(10^(逐级计算!$Q$111/10)-1)+逐级计算!$Q$111*(DG36-逐级计算!$P$111)*LN(10)/10))))))),"")</f>
        <v>13.7930366072982</v>
      </c>
      <c r="DI36">
        <f>IF(AND(ISNUMBER(DH36),逐级计算!$X$112&gt;-1),IF(逐级计算!$X$112=0,DH36+逐级计算!$C$112,DH36+逐级计算!$C$112-(10/(逐级计算!$Q$112*LN(10))*(MAX((LN(10^(逐级计算!$Q$112/10)-1)+逐级计算!$Q$112*(DH36-逐级计算!$P$112)*LN(10)/10),0)+LN(1+EXP(-ABS((LN(10^(逐级计算!$Q$112/10)-1)+逐级计算!$Q$112*(DH36-逐级计算!$P$112)*LN(10)/10))))))),"")</f>
        <v>13.7930366072982</v>
      </c>
      <c r="DJ36">
        <f>IF(AND(ISNUMBER(DI36),逐级计算!$X$113&gt;-1),IF(逐级计算!$X$113=0,DI36+逐级计算!$C$113,DI36+逐级计算!$C$113-(10/(逐级计算!$Q$113*LN(10))*(MAX((LN(10^(逐级计算!$Q$113/10)-1)+逐级计算!$Q$113*(DI36-逐级计算!$P$113)*LN(10)/10),0)+LN(1+EXP(-ABS((LN(10^(逐级计算!$Q$113/10)-1)+逐级计算!$Q$113*(DI36-逐级计算!$P$113)*LN(10)/10))))))),"")</f>
        <v>13.7930366072982</v>
      </c>
      <c r="DK36">
        <f>IF(AND(ISNUMBER(DJ36),逐级计算!$X$114&gt;-1),IF(逐级计算!$X$114=0,DJ36+逐级计算!$C$114,DJ36+逐级计算!$C$114-(10/(逐级计算!$Q$114*LN(10))*(MAX((LN(10^(逐级计算!$Q$114/10)-1)+逐级计算!$Q$114*(DJ36-逐级计算!$P$114)*LN(10)/10),0)+LN(1+EXP(-ABS((LN(10^(逐级计算!$Q$114/10)-1)+逐级计算!$Q$114*(DJ36-逐级计算!$P$114)*LN(10)/10))))))),"")</f>
        <v>13.7930366072982</v>
      </c>
      <c r="DL36">
        <f>IF(AND(ISNUMBER(DK36),逐级计算!$X$115&gt;-1),IF(逐级计算!$X$115=0,DK36+逐级计算!$C$115,DK36+逐级计算!$C$115-(10/(逐级计算!$Q$115*LN(10))*(MAX((LN(10^(逐级计算!$Q$115/10)-1)+逐级计算!$Q$115*(DK36-逐级计算!$P$115)*LN(10)/10),0)+LN(1+EXP(-ABS((LN(10^(逐级计算!$Q$115/10)-1)+逐级计算!$Q$115*(DK36-逐级计算!$P$115)*LN(10)/10))))))),"")</f>
        <v>13.7930366072982</v>
      </c>
      <c r="DM36">
        <f>IF(AND(ISNUMBER(DL36),逐级计算!$X$116&gt;-1),IF(逐级计算!$X$116=0,DL36+逐级计算!$C$116,DL36+逐级计算!$C$116-(10/(逐级计算!$Q$116*LN(10))*(MAX((LN(10^(逐级计算!$Q$116/10)-1)+逐级计算!$Q$116*(DL36-逐级计算!$P$116)*LN(10)/10),0)+LN(1+EXP(-ABS((LN(10^(逐级计算!$Q$116/10)-1)+逐级计算!$Q$116*(DL36-逐级计算!$P$116)*LN(10)/10))))))),"")</f>
        <v>13.7930366072982</v>
      </c>
      <c r="DN36">
        <f>IF(AND(ISNUMBER(DM36),逐级计算!$X$117&gt;-1),IF(逐级计算!$X$117=0,DM36+逐级计算!$C$117,DM36+逐级计算!$C$117-(10/(逐级计算!$Q$117*LN(10))*(MAX((LN(10^(逐级计算!$Q$117/10)-1)+逐级计算!$Q$117*(DM36-逐级计算!$P$117)*LN(10)/10),0)+LN(1+EXP(-ABS((LN(10^(逐级计算!$Q$117/10)-1)+逐级计算!$Q$117*(DM36-逐级计算!$P$117)*LN(10)/10))))))),"")</f>
        <v>13.7930366072982</v>
      </c>
      <c r="DO36">
        <f>IF(AND(ISNUMBER(DN36),逐级计算!$X$118&gt;-1),IF(逐级计算!$X$118=0,DN36+逐级计算!$C$118,DN36+逐级计算!$C$118-(10/(逐级计算!$Q$118*LN(10))*(MAX((LN(10^(逐级计算!$Q$118/10)-1)+逐级计算!$Q$118*(DN36-逐级计算!$P$118)*LN(10)/10),0)+LN(1+EXP(-ABS((LN(10^(逐级计算!$Q$118/10)-1)+逐级计算!$Q$118*(DN36-逐级计算!$P$118)*LN(10)/10))))))),"")</f>
        <v>13.7930366072982</v>
      </c>
      <c r="DP36">
        <f>IF(AND(ISNUMBER(DO36),逐级计算!$X$119&gt;-1),IF(逐级计算!$X$119=0,DO36+逐级计算!$C$119,DO36+逐级计算!$C$119-(10/(逐级计算!$Q$119*LN(10))*(MAX((LN(10^(逐级计算!$Q$119/10)-1)+逐级计算!$Q$119*(DO36-逐级计算!$P$119)*LN(10)/10),0)+LN(1+EXP(-ABS((LN(10^(逐级计算!$Q$119/10)-1)+逐级计算!$Q$119*(DO36-逐级计算!$P$119)*LN(10)/10))))))),"")</f>
        <v>13.7930366072982</v>
      </c>
      <c r="DQ36">
        <f>IF(AND(ISNUMBER(DP36),逐级计算!$X$120&gt;-1),IF(逐级计算!$X$120=0,DP36+逐级计算!$C$120,DP36+逐级计算!$C$120-(10/(逐级计算!$Q$120*LN(10))*(MAX((LN(10^(逐级计算!$Q$120/10)-1)+逐级计算!$Q$120*(DP36-逐级计算!$P$120)*LN(10)/10),0)+LN(1+EXP(-ABS((LN(10^(逐级计算!$Q$120/10)-1)+逐级计算!$Q$120*(DP36-逐级计算!$P$120)*LN(10)/10))))))),"")</f>
        <v>13.7930366072982</v>
      </c>
      <c r="DR36">
        <f>IF(AND(ISNUMBER(DQ36),逐级计算!$X$121&gt;-1),IF(逐级计算!$X$121=0,DQ36+逐级计算!$C$121,DQ36+逐级计算!$C$121-(10/(逐级计算!$Q$121*LN(10))*(MAX((LN(10^(逐级计算!$Q$121/10)-1)+逐级计算!$Q$121*(DQ36-逐级计算!$P$121)*LN(10)/10),0)+LN(1+EXP(-ABS((LN(10^(逐级计算!$Q$121/10)-1)+逐级计算!$Q$121*(DQ36-逐级计算!$P$121)*LN(10)/10))))))),"")</f>
        <v>13.7930366072982</v>
      </c>
      <c r="DS36">
        <f>IF(AND(ISNUMBER(DR36),逐级计算!$X$122&gt;-1),IF(逐级计算!$X$122=0,DR36+逐级计算!$C$122,DR36+逐级计算!$C$122-(10/(逐级计算!$Q$122*LN(10))*(MAX((LN(10^(逐级计算!$Q$122/10)-1)+逐级计算!$Q$122*(DR36-逐级计算!$P$122)*LN(10)/10),0)+LN(1+EXP(-ABS((LN(10^(逐级计算!$Q$122/10)-1)+逐级计算!$Q$122*(DR36-逐级计算!$P$122)*LN(10)/10))))))),"")</f>
        <v>13.7930366072982</v>
      </c>
      <c r="DT36">
        <f>IF(AND(ISNUMBER(DS36),逐级计算!$X$123&gt;-1),IF(逐级计算!$X$123=0,DS36+逐级计算!$C$123,DS36+逐级计算!$C$123-(10/(逐级计算!$Q$123*LN(10))*(MAX((LN(10^(逐级计算!$Q$123/10)-1)+逐级计算!$Q$123*(DS36-逐级计算!$P$123)*LN(10)/10),0)+LN(1+EXP(-ABS((LN(10^(逐级计算!$Q$123/10)-1)+逐级计算!$Q$123*(DS36-逐级计算!$P$123)*LN(10)/10))))))),"")</f>
        <v>13.7930366072982</v>
      </c>
      <c r="DU36">
        <f>IF(AND(ISNUMBER(DT36),逐级计算!$X$124&gt;-1),IF(逐级计算!$X$124=0,DT36+逐级计算!$C$124,DT36+逐级计算!$C$124-(10/(逐级计算!$Q$124*LN(10))*(MAX((LN(10^(逐级计算!$Q$124/10)-1)+逐级计算!$Q$124*(DT36-逐级计算!$P$124)*LN(10)/10),0)+LN(1+EXP(-ABS((LN(10^(逐级计算!$Q$124/10)-1)+逐级计算!$Q$124*(DT36-逐级计算!$P$124)*LN(10)/10))))))),"")</f>
        <v>13.7930366072982</v>
      </c>
      <c r="DV36">
        <f>IF(AND(ISNUMBER(DU36),逐级计算!$X$125&gt;-1),IF(逐级计算!$X$125=0,DU36+逐级计算!$C$125,DU36+逐级计算!$C$125-(10/(逐级计算!$Q$125*LN(10))*(MAX((LN(10^(逐级计算!$Q$125/10)-1)+逐级计算!$Q$125*(DU36-逐级计算!$P$125)*LN(10)/10),0)+LN(1+EXP(-ABS((LN(10^(逐级计算!$Q$125/10)-1)+逐级计算!$Q$125*(DU36-逐级计算!$P$125)*LN(10)/10))))))),"")</f>
        <v>13.7930366072982</v>
      </c>
      <c r="DW36">
        <f>IF(AND(ISNUMBER(DV36),逐级计算!$X$126&gt;-1),IF(逐级计算!$X$126=0,DV36+逐级计算!$C$126,DV36+逐级计算!$C$126-(10/(逐级计算!$Q$126*LN(10))*(MAX((LN(10^(逐级计算!$Q$126/10)-1)+逐级计算!$Q$126*(DV36-逐级计算!$P$126)*LN(10)/10),0)+LN(1+EXP(-ABS((LN(10^(逐级计算!$Q$126/10)-1)+逐级计算!$Q$126*(DV36-逐级计算!$P$126)*LN(10)/10))))))),"")</f>
        <v>13.7930366072982</v>
      </c>
      <c r="DX36">
        <f>IF(AND(ISNUMBER(DW36),逐级计算!$X$127&gt;-1),IF(逐级计算!$X$127=0,DW36+逐级计算!$C$127,DW36+逐级计算!$C$127-(10/(逐级计算!$Q$127*LN(10))*(MAX((LN(10^(逐级计算!$Q$127/10)-1)+逐级计算!$Q$127*(DW36-逐级计算!$P$127)*LN(10)/10),0)+LN(1+EXP(-ABS((LN(10^(逐级计算!$Q$127/10)-1)+逐级计算!$Q$127*(DW36-逐级计算!$P$127)*LN(10)/10))))))),"")</f>
        <v>13.7930366072982</v>
      </c>
      <c r="DY36">
        <f>IF(AND(ISNUMBER(DX36),逐级计算!$X$128&gt;-1),IF(逐级计算!$X$128=0,DX36+逐级计算!$C$128,DX36+逐级计算!$C$128-(10/(逐级计算!$Q$128*LN(10))*(MAX((LN(10^(逐级计算!$Q$128/10)-1)+逐级计算!$Q$128*(DX36-逐级计算!$P$128)*LN(10)/10),0)+LN(1+EXP(-ABS((LN(10^(逐级计算!$Q$128/10)-1)+逐级计算!$Q$128*(DX36-逐级计算!$P$128)*LN(10)/10))))))),"")</f>
        <v>13.7930366072982</v>
      </c>
      <c r="DZ36">
        <f>IF(AND(ISNUMBER(DY36),逐级计算!$X$129&gt;-1),IF(逐级计算!$X$129=0,DY36+逐级计算!$C$129,DY36+逐级计算!$C$129-(10/(逐级计算!$Q$129*LN(10))*(MAX((LN(10^(逐级计算!$Q$129/10)-1)+逐级计算!$Q$129*(DY36-逐级计算!$P$129)*LN(10)/10),0)+LN(1+EXP(-ABS((LN(10^(逐级计算!$Q$129/10)-1)+逐级计算!$Q$129*(DY36-逐级计算!$P$129)*LN(10)/10))))))),"")</f>
        <v>13.7930366072982</v>
      </c>
      <c r="EA36">
        <f>IF(AND(ISNUMBER(DZ36),逐级计算!$X$130&gt;-1),IF(逐级计算!$X$130=0,DZ36+逐级计算!$C$130,DZ36+逐级计算!$C$130-(10/(逐级计算!$Q$130*LN(10))*(MAX((LN(10^(逐级计算!$Q$130/10)-1)+逐级计算!$Q$130*(DZ36-逐级计算!$P$130)*LN(10)/10),0)+LN(1+EXP(-ABS((LN(10^(逐级计算!$Q$130/10)-1)+逐级计算!$Q$130*(DZ36-逐级计算!$P$130)*LN(10)/10))))))),"")</f>
        <v>13.7930366072982</v>
      </c>
      <c r="EB36">
        <f>IF(AND(ISNUMBER(EA36),逐级计算!$X$131&gt;-1),IF(逐级计算!$X$131=0,EA36+逐级计算!$C$131,EA36+逐级计算!$C$131-(10/(逐级计算!$Q$131*LN(10))*(MAX((LN(10^(逐级计算!$Q$131/10)-1)+逐级计算!$Q$131*(EA36-逐级计算!$P$131)*LN(10)/10),0)+LN(1+EXP(-ABS((LN(10^(逐级计算!$Q$131/10)-1)+逐级计算!$Q$131*(EA36-逐级计算!$P$131)*LN(10)/10))))))),"")</f>
        <v>13.7930366072982</v>
      </c>
      <c r="EC36">
        <f>IF(AND(ISNUMBER(EB36),逐级计算!$X$132&gt;-1),IF(逐级计算!$X$132=0,EB36+逐级计算!$C$132,EB36+逐级计算!$C$132-(10/(逐级计算!$Q$132*LN(10))*(MAX((LN(10^(逐级计算!$Q$132/10)-1)+逐级计算!$Q$132*(EB36-逐级计算!$P$132)*LN(10)/10),0)+LN(1+EXP(-ABS((LN(10^(逐级计算!$Q$132/10)-1)+逐级计算!$Q$132*(EB36-逐级计算!$P$132)*LN(10)/10))))))),"")</f>
        <v>13.7930366072982</v>
      </c>
      <c r="ED36">
        <f>IF(AND(ISNUMBER(EC36),逐级计算!$X$133&gt;-1),IF(逐级计算!$X$133=0,EC36+逐级计算!$C$133,EC36+逐级计算!$C$133-(10/(逐级计算!$Q$133*LN(10))*(MAX((LN(10^(逐级计算!$Q$133/10)-1)+逐级计算!$Q$133*(EC36-逐级计算!$P$133)*LN(10)/10),0)+LN(1+EXP(-ABS((LN(10^(逐级计算!$Q$133/10)-1)+逐级计算!$Q$133*(EC36-逐级计算!$P$133)*LN(10)/10))))))),"")</f>
        <v>13.7930366072982</v>
      </c>
      <c r="EE36">
        <f>IF(AND(ISNUMBER(ED36),逐级计算!$X$134&gt;-1),IF(逐级计算!$X$134=0,ED36+逐级计算!$C$134,ED36+逐级计算!$C$134-(10/(逐级计算!$Q$134*LN(10))*(MAX((LN(10^(逐级计算!$Q$134/10)-1)+逐级计算!$Q$134*(ED36-逐级计算!$P$134)*LN(10)/10),0)+LN(1+EXP(-ABS((LN(10^(逐级计算!$Q$134/10)-1)+逐级计算!$Q$134*(ED36-逐级计算!$P$134)*LN(10)/10))))))),"")</f>
        <v>13.7930366072982</v>
      </c>
      <c r="EF36">
        <f>IF(AND(ISNUMBER(EE36),逐级计算!$X$135&gt;-1),IF(逐级计算!$X$135=0,EE36+逐级计算!$C$135,EE36+逐级计算!$C$135-(10/(逐级计算!$Q$135*LN(10))*(MAX((LN(10^(逐级计算!$Q$135/10)-1)+逐级计算!$Q$135*(EE36-逐级计算!$P$135)*LN(10)/10),0)+LN(1+EXP(-ABS((LN(10^(逐级计算!$Q$135/10)-1)+逐级计算!$Q$135*(EE36-逐级计算!$P$135)*LN(10)/10))))))),"")</f>
        <v>13.7930366072982</v>
      </c>
      <c r="EG36">
        <f>IF(AND(ISNUMBER(EF36),逐级计算!$X$136&gt;-1),IF(逐级计算!$X$136=0,EF36+逐级计算!$C$136,EF36+逐级计算!$C$136-(10/(逐级计算!$Q$136*LN(10))*(MAX((LN(10^(逐级计算!$Q$136/10)-1)+逐级计算!$Q$136*(EF36-逐级计算!$P$136)*LN(10)/10),0)+LN(1+EXP(-ABS((LN(10^(逐级计算!$Q$136/10)-1)+逐级计算!$Q$136*(EF36-逐级计算!$P$136)*LN(10)/10))))))),"")</f>
        <v>13.7930366072982</v>
      </c>
      <c r="EH36">
        <f>IF(AND(ISNUMBER(EG36),逐级计算!$X$137&gt;-1),IF(逐级计算!$X$137=0,EG36+逐级计算!$C$137,EG36+逐级计算!$C$137-(10/(逐级计算!$Q$137*LN(10))*(MAX((LN(10^(逐级计算!$Q$137/10)-1)+逐级计算!$Q$137*(EG36-逐级计算!$P$137)*LN(10)/10),0)+LN(1+EXP(-ABS((LN(10^(逐级计算!$Q$137/10)-1)+逐级计算!$Q$137*(EG36-逐级计算!$P$137)*LN(10)/10))))))),"")</f>
        <v>13.7930366072982</v>
      </c>
      <c r="EI36">
        <f>IF(AND(ISNUMBER(EH36),逐级计算!$X$138&gt;-1),IF(逐级计算!$X$138=0,EH36+逐级计算!$C$138,EH36+逐级计算!$C$138-(10/(逐级计算!$Q$138*LN(10))*(MAX((LN(10^(逐级计算!$Q$138/10)-1)+逐级计算!$Q$138*(EH36-逐级计算!$P$138)*LN(10)/10),0)+LN(1+EXP(-ABS((LN(10^(逐级计算!$Q$138/10)-1)+逐级计算!$Q$138*(EH36-逐级计算!$P$138)*LN(10)/10))))))),"")</f>
        <v>13.7930366072982</v>
      </c>
      <c r="EJ36">
        <f>IF(AND(ISNUMBER(EI36),逐级计算!$X$139&gt;-1),IF(逐级计算!$X$139=0,EI36+逐级计算!$C$139,EI36+逐级计算!$C$139-(10/(逐级计算!$Q$139*LN(10))*(MAX((LN(10^(逐级计算!$Q$139/10)-1)+逐级计算!$Q$139*(EI36-逐级计算!$P$139)*LN(10)/10),0)+LN(1+EXP(-ABS((LN(10^(逐级计算!$Q$139/10)-1)+逐级计算!$Q$139*(EI36-逐级计算!$P$139)*LN(10)/10))))))),"")</f>
        <v>13.7930366072982</v>
      </c>
      <c r="EK36">
        <f>IF(AND(ISNUMBER(EJ36),逐级计算!$X$140&gt;-1),IF(逐级计算!$X$140=0,EJ36+逐级计算!$C$140,EJ36+逐级计算!$C$140-(10/(逐级计算!$Q$140*LN(10))*(MAX((LN(10^(逐级计算!$Q$140/10)-1)+逐级计算!$Q$140*(EJ36-逐级计算!$P$140)*LN(10)/10),0)+LN(1+EXP(-ABS((LN(10^(逐级计算!$Q$140/10)-1)+逐级计算!$Q$140*(EJ36-逐级计算!$P$140)*LN(10)/10))))))),"")</f>
        <v>13.7930366072982</v>
      </c>
      <c r="EL36">
        <f>IF(AND(ISNUMBER(EK36),逐级计算!$X$141&gt;-1),IF(逐级计算!$X$141=0,EK36+逐级计算!$C$141,EK36+逐级计算!$C$141-(10/(逐级计算!$Q$141*LN(10))*(MAX((LN(10^(逐级计算!$Q$141/10)-1)+逐级计算!$Q$141*(EK36-逐级计算!$P$141)*LN(10)/10),0)+LN(1+EXP(-ABS((LN(10^(逐级计算!$Q$141/10)-1)+逐级计算!$Q$141*(EK36-逐级计算!$P$141)*LN(10)/10))))))),"")</f>
        <v>13.7930366072982</v>
      </c>
      <c r="EM36">
        <f>IF(AND(ISNUMBER(EL36),逐级计算!$X$142&gt;-1),IF(逐级计算!$X$142=0,EL36+逐级计算!$C$142,EL36+逐级计算!$C$142-(10/(逐级计算!$Q$142*LN(10))*(MAX((LN(10^(逐级计算!$Q$142/10)-1)+逐级计算!$Q$142*(EL36-逐级计算!$P$142)*LN(10)/10),0)+LN(1+EXP(-ABS((LN(10^(逐级计算!$Q$142/10)-1)+逐级计算!$Q$142*(EL36-逐级计算!$P$142)*LN(10)/10))))))),"")</f>
        <v>13.7930366072982</v>
      </c>
      <c r="EN36">
        <f>IF(AND(ISNUMBER(EM36),逐级计算!$X$143&gt;-1),IF(逐级计算!$X$143=0,EM36+逐级计算!$C$143,EM36+逐级计算!$C$143-(10/(逐级计算!$Q$143*LN(10))*(MAX((LN(10^(逐级计算!$Q$143/10)-1)+逐级计算!$Q$143*(EM36-逐级计算!$P$143)*LN(10)/10),0)+LN(1+EXP(-ABS((LN(10^(逐级计算!$Q$143/10)-1)+逐级计算!$Q$143*(EM36-逐级计算!$P$143)*LN(10)/10))))))),"")</f>
        <v>13.7930366072982</v>
      </c>
      <c r="EO36">
        <f>IF(AND(ISNUMBER(EN36),逐级计算!$X$144&gt;-1),IF(逐级计算!$X$144=0,EN36+逐级计算!$C$144,EN36+逐级计算!$C$144-(10/(逐级计算!$Q$144*LN(10))*(MAX((LN(10^(逐级计算!$Q$144/10)-1)+逐级计算!$Q$144*(EN36-逐级计算!$P$144)*LN(10)/10),0)+LN(1+EXP(-ABS((LN(10^(逐级计算!$Q$144/10)-1)+逐级计算!$Q$144*(EN36-逐级计算!$P$144)*LN(10)/10))))))),"")</f>
        <v>13.7930366072982</v>
      </c>
      <c r="EP36">
        <f>IF(AND(ISNUMBER(EO36),逐级计算!$X$145&gt;-1),IF(逐级计算!$X$145=0,EO36+逐级计算!$C$145,EO36+逐级计算!$C$145-(10/(逐级计算!$Q$145*LN(10))*(MAX((LN(10^(逐级计算!$Q$145/10)-1)+逐级计算!$Q$145*(EO36-逐级计算!$P$145)*LN(10)/10),0)+LN(1+EXP(-ABS((LN(10^(逐级计算!$Q$145/10)-1)+逐级计算!$Q$145*(EO36-逐级计算!$P$145)*LN(10)/10))))))),"")</f>
        <v>13.7930366072982</v>
      </c>
      <c r="EQ36">
        <f>IF(AND(ISNUMBER(EP36),逐级计算!$X$146&gt;-1),IF(逐级计算!$X$146=0,EP36+逐级计算!$C$146,EP36+逐级计算!$C$146-(10/(逐级计算!$Q$146*LN(10))*(MAX((LN(10^(逐级计算!$Q$146/10)-1)+逐级计算!$Q$146*(EP36-逐级计算!$P$146)*LN(10)/10),0)+LN(1+EXP(-ABS((LN(10^(逐级计算!$Q$146/10)-1)+逐级计算!$Q$146*(EP36-逐级计算!$P$146)*LN(10)/10))))))),"")</f>
        <v>13.7930366072982</v>
      </c>
      <c r="ER36">
        <f>IF(AND(ISNUMBER(EQ36),逐级计算!$X$147&gt;-1),IF(逐级计算!$X$147=0,EQ36+逐级计算!$C$147,EQ36+逐级计算!$C$147-(10/(逐级计算!$Q$147*LN(10))*(MAX((LN(10^(逐级计算!$Q$147/10)-1)+逐级计算!$Q$147*(EQ36-逐级计算!$P$147)*LN(10)/10),0)+LN(1+EXP(-ABS((LN(10^(逐级计算!$Q$147/10)-1)+逐级计算!$Q$147*(EQ36-逐级计算!$P$147)*LN(10)/10))))))),"")</f>
        <v>13.7930366072982</v>
      </c>
      <c r="ES36">
        <f>IF(AND(ISNUMBER(ER36),逐级计算!$X$148&gt;-1),IF(逐级计算!$X$148=0,ER36+逐级计算!$C$148,ER36+逐级计算!$C$148-(10/(逐级计算!$Q$148*LN(10))*(MAX((LN(10^(逐级计算!$Q$148/10)-1)+逐级计算!$Q$148*(ER36-逐级计算!$P$148)*LN(10)/10),0)+LN(1+EXP(-ABS((LN(10^(逐级计算!$Q$148/10)-1)+逐级计算!$Q$148*(ER36-逐级计算!$P$148)*LN(10)/10))))))),"")</f>
        <v>13.7930366072982</v>
      </c>
      <c r="ET36">
        <f>IF(AND(ISNUMBER(ES36),逐级计算!$X$149&gt;-1),IF(逐级计算!$X$149=0,ES36+逐级计算!$C$149,ES36+逐级计算!$C$149-(10/(逐级计算!$Q$149*LN(10))*(MAX((LN(10^(逐级计算!$Q$149/10)-1)+逐级计算!$Q$149*(ES36-逐级计算!$P$149)*LN(10)/10),0)+LN(1+EXP(-ABS((LN(10^(逐级计算!$Q$149/10)-1)+逐级计算!$Q$149*(ES36-逐级计算!$P$149)*LN(10)/10))))))),"")</f>
        <v>13.7930366072982</v>
      </c>
      <c r="EU36">
        <f>IF(AND(ISNUMBER(ET36),逐级计算!$X$150&gt;-1),IF(逐级计算!$X$150=0,ET36+逐级计算!$C$150,ET36+逐级计算!$C$150-(10/(逐级计算!$Q$150*LN(10))*(MAX((LN(10^(逐级计算!$Q$150/10)-1)+逐级计算!$Q$150*(ET36-逐级计算!$P$150)*LN(10)/10),0)+LN(1+EXP(-ABS((LN(10^(逐级计算!$Q$150/10)-1)+逐级计算!$Q$150*(ET36-逐级计算!$P$150)*LN(10)/10))))))),"")</f>
        <v>13.7930366072982</v>
      </c>
      <c r="EV36">
        <f>IF(AND(ISNUMBER(EU36),逐级计算!$X$151&gt;-1),IF(逐级计算!$X$151=0,EU36+逐级计算!$C$151,EU36+逐级计算!$C$151-(10/(逐级计算!$Q$151*LN(10))*(MAX((LN(10^(逐级计算!$Q$151/10)-1)+逐级计算!$Q$151*(EU36-逐级计算!$P$151)*LN(10)/10),0)+LN(1+EXP(-ABS((LN(10^(逐级计算!$Q$151/10)-1)+逐级计算!$Q$151*(EU36-逐级计算!$P$151)*LN(10)/10))))))),"")</f>
        <v>13.7930366072982</v>
      </c>
      <c r="EW36">
        <f>IF(AND(ISNUMBER(EV36),逐级计算!$X$152&gt;-1),IF(逐级计算!$X$152=0,EV36+逐级计算!$C$152,EV36+逐级计算!$C$152-(10/(逐级计算!$Q$152*LN(10))*(MAX((LN(10^(逐级计算!$Q$152/10)-1)+逐级计算!$Q$152*(EV36-逐级计算!$P$152)*LN(10)/10),0)+LN(1+EXP(-ABS((LN(10^(逐级计算!$Q$152/10)-1)+逐级计算!$Q$152*(EV36-逐级计算!$P$152)*LN(10)/10))))))),"")</f>
        <v>13.7930366072982</v>
      </c>
      <c r="EX36">
        <f>IF(AND(ISNUMBER(EW36),逐级计算!$X$153&gt;-1),IF(逐级计算!$X$153=0,EW36+逐级计算!$C$153,EW36+逐级计算!$C$153-(10/(逐级计算!$Q$153*LN(10))*(MAX((LN(10^(逐级计算!$Q$153/10)-1)+逐级计算!$Q$153*(EW36-逐级计算!$P$153)*LN(10)/10),0)+LN(1+EXP(-ABS((LN(10^(逐级计算!$Q$153/10)-1)+逐级计算!$Q$153*(EW36-逐级计算!$P$153)*LN(10)/10))))))),"")</f>
        <v>13.7930366072982</v>
      </c>
      <c r="EY36">
        <f>IF(AND(ISNUMBER(EX36),逐级计算!$X$154&gt;-1),IF(逐级计算!$X$154=0,EX36+逐级计算!$C$154,EX36+逐级计算!$C$154-(10/(逐级计算!$Q$154*LN(10))*(MAX((LN(10^(逐级计算!$Q$154/10)-1)+逐级计算!$Q$154*(EX36-逐级计算!$P$154)*LN(10)/10),0)+LN(1+EXP(-ABS((LN(10^(逐级计算!$Q$154/10)-1)+逐级计算!$Q$154*(EX36-逐级计算!$P$154)*LN(10)/10))))))),"")</f>
        <v>13.7930366072982</v>
      </c>
      <c r="EZ36">
        <f>IF(AND(ISNUMBER(EY36),逐级计算!$X$155&gt;-1),IF(逐级计算!$X$155=0,EY36+逐级计算!$C$155,EY36+逐级计算!$C$155-(10/(逐级计算!$Q$155*LN(10))*(MAX((LN(10^(逐级计算!$Q$155/10)-1)+逐级计算!$Q$155*(EY36-逐级计算!$P$155)*LN(10)/10),0)+LN(1+EXP(-ABS((LN(10^(逐级计算!$Q$155/10)-1)+逐级计算!$Q$155*(EY36-逐级计算!$P$155)*LN(10)/10))))))),"")</f>
        <v>13.7930366072982</v>
      </c>
      <c r="FA36">
        <f>IF(AND(ISNUMBER(EZ36),逐级计算!$X$156&gt;-1),IF(逐级计算!$X$156=0,EZ36+逐级计算!$C$156,EZ36+逐级计算!$C$156-(10/(逐级计算!$Q$156*LN(10))*(MAX((LN(10^(逐级计算!$Q$156/10)-1)+逐级计算!$Q$156*(EZ36-逐级计算!$P$156)*LN(10)/10),0)+LN(1+EXP(-ABS((LN(10^(逐级计算!$Q$156/10)-1)+逐级计算!$Q$156*(EZ36-逐级计算!$P$156)*LN(10)/10))))))),"")</f>
        <v>13.7930366072982</v>
      </c>
      <c r="FB36">
        <f>IF(AND(ISNUMBER(FA36),逐级计算!$X$157&gt;-1),IF(逐级计算!$X$157=0,FA36+逐级计算!$C$157,FA36+逐级计算!$C$157-(10/(逐级计算!$Q$157*LN(10))*(MAX((LN(10^(逐级计算!$Q$157/10)-1)+逐级计算!$Q$157*(FA36-逐级计算!$P$157)*LN(10)/10),0)+LN(1+EXP(-ABS((LN(10^(逐级计算!$Q$157/10)-1)+逐级计算!$Q$157*(FA36-逐级计算!$P$157)*LN(10)/10))))))),"")</f>
        <v>13.7930366072982</v>
      </c>
      <c r="FC36">
        <f>IF(AND(ISNUMBER(FB36),逐级计算!$X$158&gt;-1),IF(逐级计算!$X$158=0,FB36+逐级计算!$C$158,FB36+逐级计算!$C$158-(10/(逐级计算!$Q$158*LN(10))*(MAX((LN(10^(逐级计算!$Q$158/10)-1)+逐级计算!$Q$158*(FB36-逐级计算!$P$158)*LN(10)/10),0)+LN(1+EXP(-ABS((LN(10^(逐级计算!$Q$158/10)-1)+逐级计算!$Q$158*(FB36-逐级计算!$P$158)*LN(10)/10))))))),"")</f>
        <v>13.7930366072982</v>
      </c>
      <c r="FD36">
        <f>IF(AND(ISNUMBER(FC36),逐级计算!$X$159&gt;-1),IF(逐级计算!$X$159=0,FC36+逐级计算!$C$159,FC36+逐级计算!$C$159-(10/(逐级计算!$Q$159*LN(10))*(MAX((LN(10^(逐级计算!$Q$159/10)-1)+逐级计算!$Q$159*(FC36-逐级计算!$P$159)*LN(10)/10),0)+LN(1+EXP(-ABS((LN(10^(逐级计算!$Q$159/10)-1)+逐级计算!$Q$159*(FC36-逐级计算!$P$159)*LN(10)/10))))))),"")</f>
        <v>13.7930366072982</v>
      </c>
      <c r="FE36">
        <f>IF(AND(ISNUMBER(FD36),逐级计算!$X$160&gt;-1),IF(逐级计算!$X$160=0,FD36+逐级计算!$C$160,FD36+逐级计算!$C$160-(10/(逐级计算!$Q$160*LN(10))*(MAX((LN(10^(逐级计算!$Q$160/10)-1)+逐级计算!$Q$160*(FD36-逐级计算!$P$160)*LN(10)/10),0)+LN(1+EXP(-ABS((LN(10^(逐级计算!$Q$160/10)-1)+逐级计算!$Q$160*(FD36-逐级计算!$P$160)*LN(10)/10))))))),"")</f>
        <v>13.7930366072982</v>
      </c>
      <c r="FF36">
        <f>IF(AND(ISNUMBER(FE36),逐级计算!$X$161&gt;-1),IF(逐级计算!$X$161=0,FE36+逐级计算!$C$161,FE36+逐级计算!$C$161-(10/(逐级计算!$Q$161*LN(10))*(MAX((LN(10^(逐级计算!$Q$161/10)-1)+逐级计算!$Q$161*(FE36-逐级计算!$P$161)*LN(10)/10),0)+LN(1+EXP(-ABS((LN(10^(逐级计算!$Q$161/10)-1)+逐级计算!$Q$161*(FE36-逐级计算!$P$161)*LN(10)/10))))))),"")</f>
        <v>13.7930366072982</v>
      </c>
      <c r="FG36">
        <f>IF(AND(ISNUMBER(FF36),逐级计算!$X$162&gt;-1),IF(逐级计算!$X$162=0,FF36+逐级计算!$C$162,FF36+逐级计算!$C$162-(10/(逐级计算!$Q$162*LN(10))*(MAX((LN(10^(逐级计算!$Q$162/10)-1)+逐级计算!$Q$162*(FF36-逐级计算!$P$162)*LN(10)/10),0)+LN(1+EXP(-ABS((LN(10^(逐级计算!$Q$162/10)-1)+逐级计算!$Q$162*(FF36-逐级计算!$P$162)*LN(10)/10))))))),"")</f>
        <v>13.7930366072982</v>
      </c>
      <c r="FH36">
        <f>IF(AND(ISNUMBER(FG36),逐级计算!$X$163&gt;-1),IF(逐级计算!$X$163=0,FG36+逐级计算!$C$163,FG36+逐级计算!$C$163-(10/(逐级计算!$Q$163*LN(10))*(MAX((LN(10^(逐级计算!$Q$163/10)-1)+逐级计算!$Q$163*(FG36-逐级计算!$P$163)*LN(10)/10),0)+LN(1+EXP(-ABS((LN(10^(逐级计算!$Q$163/10)-1)+逐级计算!$Q$163*(FG36-逐级计算!$P$163)*LN(10)/10))))))),"")</f>
        <v>13.7930366072982</v>
      </c>
      <c r="FI36">
        <f>IF(AND(ISNUMBER(FH36),逐级计算!$X$164&gt;-1),IF(逐级计算!$X$164=0,FH36+逐级计算!$C$164,FH36+逐级计算!$C$164-(10/(逐级计算!$Q$164*LN(10))*(MAX((LN(10^(逐级计算!$Q$164/10)-1)+逐级计算!$Q$164*(FH36-逐级计算!$P$164)*LN(10)/10),0)+LN(1+EXP(-ABS((LN(10^(逐级计算!$Q$164/10)-1)+逐级计算!$Q$164*(FH36-逐级计算!$P$164)*LN(10)/10))))))),"")</f>
        <v>13.7930366072982</v>
      </c>
      <c r="FJ36">
        <f>IF(AND(ISNUMBER(FI36),逐级计算!$X$165&gt;-1),IF(逐级计算!$X$165=0,FI36+逐级计算!$C$165,FI36+逐级计算!$C$165-(10/(逐级计算!$Q$165*LN(10))*(MAX((LN(10^(逐级计算!$Q$165/10)-1)+逐级计算!$Q$165*(FI36-逐级计算!$P$165)*LN(10)/10),0)+LN(1+EXP(-ABS((LN(10^(逐级计算!$Q$165/10)-1)+逐级计算!$Q$165*(FI36-逐级计算!$P$165)*LN(10)/10))))))),"")</f>
        <v>13.7930366072982</v>
      </c>
      <c r="FK36">
        <f>IF(AND(ISNUMBER(FJ36),逐级计算!$X$166&gt;-1),IF(逐级计算!$X$166=0,FJ36+逐级计算!$C$166,FJ36+逐级计算!$C$166-(10/(逐级计算!$Q$166*LN(10))*(MAX((LN(10^(逐级计算!$Q$166/10)-1)+逐级计算!$Q$166*(FJ36-逐级计算!$P$166)*LN(10)/10),0)+LN(1+EXP(-ABS((LN(10^(逐级计算!$Q$166/10)-1)+逐级计算!$Q$166*(FJ36-逐级计算!$P$166)*LN(10)/10))))))),"")</f>
        <v>13.7930366072982</v>
      </c>
      <c r="FL36">
        <f>IF(AND(ISNUMBER(FK36),逐级计算!$X$167&gt;-1),IF(逐级计算!$X$167=0,FK36+逐级计算!$C$167,FK36+逐级计算!$C$167-(10/(逐级计算!$Q$167*LN(10))*(MAX((LN(10^(逐级计算!$Q$167/10)-1)+逐级计算!$Q$167*(FK36-逐级计算!$P$167)*LN(10)/10),0)+LN(1+EXP(-ABS((LN(10^(逐级计算!$Q$167/10)-1)+逐级计算!$Q$167*(FK36-逐级计算!$P$167)*LN(10)/10))))))),"")</f>
        <v>13.7930366072982</v>
      </c>
      <c r="FM36">
        <f>IF(AND(ISNUMBER(FL36),逐级计算!$X$168&gt;-1),IF(逐级计算!$X$168=0,FL36+逐级计算!$C$168,FL36+逐级计算!$C$168-(10/(逐级计算!$Q$168*LN(10))*(MAX((LN(10^(逐级计算!$Q$168/10)-1)+逐级计算!$Q$168*(FL36-逐级计算!$P$168)*LN(10)/10),0)+LN(1+EXP(-ABS((LN(10^(逐级计算!$Q$168/10)-1)+逐级计算!$Q$168*(FL36-逐级计算!$P$168)*LN(10)/10))))))),"")</f>
        <v>13.7930366072982</v>
      </c>
      <c r="FN36">
        <f>IF(AND(ISNUMBER(FM36),逐级计算!$X$169&gt;-1),IF(逐级计算!$X$169=0,FM36+逐级计算!$C$169,FM36+逐级计算!$C$169-(10/(逐级计算!$Q$169*LN(10))*(MAX((LN(10^(逐级计算!$Q$169/10)-1)+逐级计算!$Q$169*(FM36-逐级计算!$P$169)*LN(10)/10),0)+LN(1+EXP(-ABS((LN(10^(逐级计算!$Q$169/10)-1)+逐级计算!$Q$169*(FM36-逐级计算!$P$169)*LN(10)/10))))))),"")</f>
        <v>13.7930366072982</v>
      </c>
      <c r="FO36">
        <f>IF(AND(ISNUMBER(FN36),逐级计算!$X$170&gt;-1),IF(逐级计算!$X$170=0,FN36+逐级计算!$C$170,FN36+逐级计算!$C$170-(10/(逐级计算!$Q$170*LN(10))*(MAX((LN(10^(逐级计算!$Q$170/10)-1)+逐级计算!$Q$170*(FN36-逐级计算!$P$170)*LN(10)/10),0)+LN(1+EXP(-ABS((LN(10^(逐级计算!$Q$170/10)-1)+逐级计算!$Q$170*(FN36-逐级计算!$P$170)*LN(10)/10))))))),"")</f>
        <v>13.7930366072982</v>
      </c>
      <c r="FP36">
        <f>IF(AND(ISNUMBER(FO36),逐级计算!$X$171&gt;-1),IF(逐级计算!$X$171=0,FO36+逐级计算!$C$171,FO36+逐级计算!$C$171-(10/(逐级计算!$Q$171*LN(10))*(MAX((LN(10^(逐级计算!$Q$171/10)-1)+逐级计算!$Q$171*(FO36-逐级计算!$P$171)*LN(10)/10),0)+LN(1+EXP(-ABS((LN(10^(逐级计算!$Q$171/10)-1)+逐级计算!$Q$171*(FO36-逐级计算!$P$171)*LN(10)/10))))))),"")</f>
        <v>13.7930366072982</v>
      </c>
      <c r="FQ36">
        <f>IF(AND(ISNUMBER(FP36),逐级计算!$X$172&gt;-1),IF(逐级计算!$X$172=0,FP36+逐级计算!$C$172,FP36+逐级计算!$C$172-(10/(逐级计算!$Q$172*LN(10))*(MAX((LN(10^(逐级计算!$Q$172/10)-1)+逐级计算!$Q$172*(FP36-逐级计算!$P$172)*LN(10)/10),0)+LN(1+EXP(-ABS((LN(10^(逐级计算!$Q$172/10)-1)+逐级计算!$Q$172*(FP36-逐级计算!$P$172)*LN(10)/10))))))),"")</f>
        <v>13.7930366072982</v>
      </c>
      <c r="FR36">
        <f>IF(AND(ISNUMBER(FQ36),逐级计算!$X$173&gt;-1),IF(逐级计算!$X$173=0,FQ36+逐级计算!$C$173,FQ36+逐级计算!$C$173-(10/(逐级计算!$Q$173*LN(10))*(MAX((LN(10^(逐级计算!$Q$173/10)-1)+逐级计算!$Q$173*(FQ36-逐级计算!$P$173)*LN(10)/10),0)+LN(1+EXP(-ABS((LN(10^(逐级计算!$Q$173/10)-1)+逐级计算!$Q$173*(FQ36-逐级计算!$P$173)*LN(10)/10))))))),"")</f>
        <v>13.7930366072982</v>
      </c>
      <c r="FS36">
        <f>IF(AND(ISNUMBER(FR36),逐级计算!$X$174&gt;-1),IF(逐级计算!$X$174=0,FR36+逐级计算!$C$174,FR36+逐级计算!$C$174-(10/(逐级计算!$Q$174*LN(10))*(MAX((LN(10^(逐级计算!$Q$174/10)-1)+逐级计算!$Q$174*(FR36-逐级计算!$P$174)*LN(10)/10),0)+LN(1+EXP(-ABS((LN(10^(逐级计算!$Q$174/10)-1)+逐级计算!$Q$174*(FR36-逐级计算!$P$174)*LN(10)/10))))))),"")</f>
        <v>13.7930366072982</v>
      </c>
      <c r="FT36">
        <f>IF(AND(ISNUMBER(FS36),逐级计算!$X$175&gt;-1),IF(逐级计算!$X$175=0,FS36+逐级计算!$C$175,FS36+逐级计算!$C$175-(10/(逐级计算!$Q$175*LN(10))*(MAX((LN(10^(逐级计算!$Q$175/10)-1)+逐级计算!$Q$175*(FS36-逐级计算!$P$175)*LN(10)/10),0)+LN(1+EXP(-ABS((LN(10^(逐级计算!$Q$175/10)-1)+逐级计算!$Q$175*(FS36-逐级计算!$P$175)*LN(10)/10))))))),"")</f>
        <v>13.7930366072982</v>
      </c>
      <c r="FU36">
        <f>IF(AND(ISNUMBER(FT36),逐级计算!$X$176&gt;-1),IF(逐级计算!$X$176=0,FT36+逐级计算!$C$176,FT36+逐级计算!$C$176-(10/(逐级计算!$Q$176*LN(10))*(MAX((LN(10^(逐级计算!$Q$176/10)-1)+逐级计算!$Q$176*(FT36-逐级计算!$P$176)*LN(10)/10),0)+LN(1+EXP(-ABS((LN(10^(逐级计算!$Q$176/10)-1)+逐级计算!$Q$176*(FT36-逐级计算!$P$176)*LN(10)/10))))))),"")</f>
        <v>13.7930366072982</v>
      </c>
      <c r="FV36">
        <f>IF(AND(ISNUMBER(FU36),逐级计算!$X$177&gt;-1),IF(逐级计算!$X$177=0,FU36+逐级计算!$C$177,FU36+逐级计算!$C$177-(10/(逐级计算!$Q$177*LN(10))*(MAX((LN(10^(逐级计算!$Q$177/10)-1)+逐级计算!$Q$177*(FU36-逐级计算!$P$177)*LN(10)/10),0)+LN(1+EXP(-ABS((LN(10^(逐级计算!$Q$177/10)-1)+逐级计算!$Q$177*(FU36-逐级计算!$P$177)*LN(10)/10))))))),"")</f>
        <v>13.7930366072982</v>
      </c>
      <c r="FW36">
        <f>IF(AND(ISNUMBER(FV36),逐级计算!$X$178&gt;-1),IF(逐级计算!$X$178=0,FV36+逐级计算!$C$178,FV36+逐级计算!$C$178-(10/(逐级计算!$Q$178*LN(10))*(MAX((LN(10^(逐级计算!$Q$178/10)-1)+逐级计算!$Q$178*(FV36-逐级计算!$P$178)*LN(10)/10),0)+LN(1+EXP(-ABS((LN(10^(逐级计算!$Q$178/10)-1)+逐级计算!$Q$178*(FV36-逐级计算!$P$178)*LN(10)/10))))))),"")</f>
        <v>13.7930366072982</v>
      </c>
      <c r="FX36">
        <f>IF(AND(ISNUMBER(FW36),逐级计算!$X$179&gt;-1),IF(逐级计算!$X$179=0,FW36+逐级计算!$C$179,FW36+逐级计算!$C$179-(10/(逐级计算!$Q$179*LN(10))*(MAX((LN(10^(逐级计算!$Q$179/10)-1)+逐级计算!$Q$179*(FW36-逐级计算!$P$179)*LN(10)/10),0)+LN(1+EXP(-ABS((LN(10^(逐级计算!$Q$179/10)-1)+逐级计算!$Q$179*(FW36-逐级计算!$P$179)*LN(10)/10))))))),"")</f>
        <v>13.7930366072982</v>
      </c>
      <c r="FY36">
        <f>IF(AND(ISNUMBER(FX36),逐级计算!$X$180&gt;-1),IF(逐级计算!$X$180=0,FX36+逐级计算!$C$180,FX36+逐级计算!$C$180-(10/(逐级计算!$Q$180*LN(10))*(MAX((LN(10^(逐级计算!$Q$180/10)-1)+逐级计算!$Q$180*(FX36-逐级计算!$P$180)*LN(10)/10),0)+LN(1+EXP(-ABS((LN(10^(逐级计算!$Q$180/10)-1)+逐级计算!$Q$180*(FX36-逐级计算!$P$180)*LN(10)/10))))))),"")</f>
        <v>13.7930366072982</v>
      </c>
      <c r="FZ36">
        <f>IF(AND(ISNUMBER(FY36),逐级计算!$X$181&gt;-1),IF(逐级计算!$X$181=0,FY36+逐级计算!$C$181,FY36+逐级计算!$C$181-(10/(逐级计算!$Q$181*LN(10))*(MAX((LN(10^(逐级计算!$Q$181/10)-1)+逐级计算!$Q$181*(FY36-逐级计算!$P$181)*LN(10)/10),0)+LN(1+EXP(-ABS((LN(10^(逐级计算!$Q$181/10)-1)+逐级计算!$Q$181*(FY36-逐级计算!$P$181)*LN(10)/10))))))),"")</f>
        <v>13.7930366072982</v>
      </c>
      <c r="GA36">
        <f>IF(AND(ISNUMBER(FZ36),逐级计算!$X$182&gt;-1),IF(逐级计算!$X$182=0,FZ36+逐级计算!$C$182,FZ36+逐级计算!$C$182-(10/(逐级计算!$Q$182*LN(10))*(MAX((LN(10^(逐级计算!$Q$182/10)-1)+逐级计算!$Q$182*(FZ36-逐级计算!$P$182)*LN(10)/10),0)+LN(1+EXP(-ABS((LN(10^(逐级计算!$Q$182/10)-1)+逐级计算!$Q$182*(FZ36-逐级计算!$P$182)*LN(10)/10))))))),"")</f>
        <v>13.7930366072982</v>
      </c>
      <c r="GB36">
        <f>IF(AND(ISNUMBER(GA36),逐级计算!$X$183&gt;-1),IF(逐级计算!$X$183=0,GA36+逐级计算!$C$183,GA36+逐级计算!$C$183-(10/(逐级计算!$Q$183*LN(10))*(MAX((LN(10^(逐级计算!$Q$183/10)-1)+逐级计算!$Q$183*(GA36-逐级计算!$P$183)*LN(10)/10),0)+LN(1+EXP(-ABS((LN(10^(逐级计算!$Q$183/10)-1)+逐级计算!$Q$183*(GA36-逐级计算!$P$183)*LN(10)/10))))))),"")</f>
        <v>13.7930366072982</v>
      </c>
      <c r="GC36">
        <f>IF(AND(ISNUMBER(GB36),逐级计算!$X$184&gt;-1),IF(逐级计算!$X$184=0,GB36+逐级计算!$C$184,GB36+逐级计算!$C$184-(10/(逐级计算!$Q$184*LN(10))*(MAX((LN(10^(逐级计算!$Q$184/10)-1)+逐级计算!$Q$184*(GB36-逐级计算!$P$184)*LN(10)/10),0)+LN(1+EXP(-ABS((LN(10^(逐级计算!$Q$184/10)-1)+逐级计算!$Q$184*(GB36-逐级计算!$P$184)*LN(10)/10))))))),"")</f>
        <v>13.7930366072982</v>
      </c>
      <c r="GD36">
        <f>IF(AND(ISNUMBER(GC36),逐级计算!$X$185&gt;-1),IF(逐级计算!$X$185=0,GC36+逐级计算!$C$185,GC36+逐级计算!$C$185-(10/(逐级计算!$Q$185*LN(10))*(MAX((LN(10^(逐级计算!$Q$185/10)-1)+逐级计算!$Q$185*(GC36-逐级计算!$P$185)*LN(10)/10),0)+LN(1+EXP(-ABS((LN(10^(逐级计算!$Q$185/10)-1)+逐级计算!$Q$185*(GC36-逐级计算!$P$185)*LN(10)/10))))))),"")</f>
        <v>13.7930366072982</v>
      </c>
      <c r="GE36">
        <f>IF(AND(ISNUMBER(GD36),逐级计算!$X$186&gt;-1),IF(逐级计算!$X$186=0,GD36+逐级计算!$C$186,GD36+逐级计算!$C$186-(10/(逐级计算!$Q$186*LN(10))*(MAX((LN(10^(逐级计算!$Q$186/10)-1)+逐级计算!$Q$186*(GD36-逐级计算!$P$186)*LN(10)/10),0)+LN(1+EXP(-ABS((LN(10^(逐级计算!$Q$186/10)-1)+逐级计算!$Q$186*(GD36-逐级计算!$P$186)*LN(10)/10))))))),"")</f>
        <v>13.7930366072982</v>
      </c>
      <c r="GF36">
        <f>IF(AND(ISNUMBER(GE36),逐级计算!$X$187&gt;-1),IF(逐级计算!$X$187=0,GE36+逐级计算!$C$187,GE36+逐级计算!$C$187-(10/(逐级计算!$Q$187*LN(10))*(MAX((LN(10^(逐级计算!$Q$187/10)-1)+逐级计算!$Q$187*(GE36-逐级计算!$P$187)*LN(10)/10),0)+LN(1+EXP(-ABS((LN(10^(逐级计算!$Q$187/10)-1)+逐级计算!$Q$187*(GE36-逐级计算!$P$187)*LN(10)/10))))))),"")</f>
        <v>13.7930366072982</v>
      </c>
      <c r="GG36">
        <f>IF(AND(ISNUMBER(GF36),逐级计算!$X$188&gt;-1),IF(逐级计算!$X$188=0,GF36+逐级计算!$C$188,GF36+逐级计算!$C$188-(10/(逐级计算!$Q$188*LN(10))*(MAX((LN(10^(逐级计算!$Q$188/10)-1)+逐级计算!$Q$188*(GF36-逐级计算!$P$188)*LN(10)/10),0)+LN(1+EXP(-ABS((LN(10^(逐级计算!$Q$188/10)-1)+逐级计算!$Q$188*(GF36-逐级计算!$P$188)*LN(10)/10))))))),"")</f>
        <v>13.7930366072982</v>
      </c>
      <c r="GH36">
        <f>IF(AND(ISNUMBER(GG36),逐级计算!$X$189&gt;-1),IF(逐级计算!$X$189=0,GG36+逐级计算!$C$189,GG36+逐级计算!$C$189-(10/(逐级计算!$Q$189*LN(10))*(MAX((LN(10^(逐级计算!$Q$189/10)-1)+逐级计算!$Q$189*(GG36-逐级计算!$P$189)*LN(10)/10),0)+LN(1+EXP(-ABS((LN(10^(逐级计算!$Q$189/10)-1)+逐级计算!$Q$189*(GG36-逐级计算!$P$189)*LN(10)/10))))))),"")</f>
        <v>13.7930366072982</v>
      </c>
      <c r="GI36">
        <f>IF(AND(ISNUMBER(GH36),逐级计算!$X$190&gt;-1),IF(逐级计算!$X$190=0,GH36+逐级计算!$C$190,GH36+逐级计算!$C$190-(10/(逐级计算!$Q$190*LN(10))*(MAX((LN(10^(逐级计算!$Q$190/10)-1)+逐级计算!$Q$190*(GH36-逐级计算!$P$190)*LN(10)/10),0)+LN(1+EXP(-ABS((LN(10^(逐级计算!$Q$190/10)-1)+逐级计算!$Q$190*(GH36-逐级计算!$P$190)*LN(10)/10))))))),"")</f>
        <v>13.7930366072982</v>
      </c>
      <c r="GJ36">
        <f>IF(AND(ISNUMBER(GI36),逐级计算!$X$191&gt;-1),IF(逐级计算!$X$191=0,GI36+逐级计算!$C$191,GI36+逐级计算!$C$191-(10/(逐级计算!$Q$191*LN(10))*(MAX((LN(10^(逐级计算!$Q$191/10)-1)+逐级计算!$Q$191*(GI36-逐级计算!$P$191)*LN(10)/10),0)+LN(1+EXP(-ABS((LN(10^(逐级计算!$Q$191/10)-1)+逐级计算!$Q$191*(GI36-逐级计算!$P$191)*LN(10)/10))))))),"")</f>
        <v>13.7930366072982</v>
      </c>
      <c r="GK36">
        <f>IF(AND(ISNUMBER(GJ36),逐级计算!$X$192&gt;-1),IF(逐级计算!$X$192=0,GJ36+逐级计算!$C$192,GJ36+逐级计算!$C$192-(10/(逐级计算!$Q$192*LN(10))*(MAX((LN(10^(逐级计算!$Q$192/10)-1)+逐级计算!$Q$192*(GJ36-逐级计算!$P$192)*LN(10)/10),0)+LN(1+EXP(-ABS((LN(10^(逐级计算!$Q$192/10)-1)+逐级计算!$Q$192*(GJ36-逐级计算!$P$192)*LN(10)/10))))))),"")</f>
        <v>13.7930366072982</v>
      </c>
      <c r="GL36">
        <f>IF(AND(ISNUMBER(GK36),逐级计算!$X$193&gt;-1),IF(逐级计算!$X$193=0,GK36+逐级计算!$C$193,GK36+逐级计算!$C$193-(10/(逐级计算!$Q$193*LN(10))*(MAX((LN(10^(逐级计算!$Q$193/10)-1)+逐级计算!$Q$193*(GK36-逐级计算!$P$193)*LN(10)/10),0)+LN(1+EXP(-ABS((LN(10^(逐级计算!$Q$193/10)-1)+逐级计算!$Q$193*(GK36-逐级计算!$P$193)*LN(10)/10))))))),"")</f>
        <v>13.7930366072982</v>
      </c>
      <c r="GM36">
        <f>IF(AND(ISNUMBER(GL36),逐级计算!$X$194&gt;-1),IF(逐级计算!$X$194=0,GL36+逐级计算!$C$194,GL36+逐级计算!$C$194-(10/(逐级计算!$Q$194*LN(10))*(MAX((LN(10^(逐级计算!$Q$194/10)-1)+逐级计算!$Q$194*(GL36-逐级计算!$P$194)*LN(10)/10),0)+LN(1+EXP(-ABS((LN(10^(逐级计算!$Q$194/10)-1)+逐级计算!$Q$194*(GL36-逐级计算!$P$194)*LN(10)/10))))))),"")</f>
        <v>13.7930366072982</v>
      </c>
      <c r="GN36">
        <f>IF(AND(ISNUMBER(GM36),逐级计算!$X$195&gt;-1),IF(逐级计算!$X$195=0,GM36+逐级计算!$C$195,GM36+逐级计算!$C$195-(10/(逐级计算!$Q$195*LN(10))*(MAX((LN(10^(逐级计算!$Q$195/10)-1)+逐级计算!$Q$195*(GM36-逐级计算!$P$195)*LN(10)/10),0)+LN(1+EXP(-ABS((LN(10^(逐级计算!$Q$195/10)-1)+逐级计算!$Q$195*(GM36-逐级计算!$P$195)*LN(10)/10))))))),"")</f>
        <v>13.7930366072982</v>
      </c>
      <c r="GO36">
        <f>IF(AND(ISNUMBER(GN36),逐级计算!$X$196&gt;-1),IF(逐级计算!$X$196=0,GN36+逐级计算!$C$196,GN36+逐级计算!$C$196-(10/(逐级计算!$Q$196*LN(10))*(MAX((LN(10^(逐级计算!$Q$196/10)-1)+逐级计算!$Q$196*(GN36-逐级计算!$P$196)*LN(10)/10),0)+LN(1+EXP(-ABS((LN(10^(逐级计算!$Q$196/10)-1)+逐级计算!$Q$196*(GN36-逐级计算!$P$196)*LN(10)/10))))))),"")</f>
        <v>13.7930366072982</v>
      </c>
      <c r="GP36">
        <f>IF(AND(ISNUMBER(GO36),逐级计算!$X$197&gt;-1),IF(逐级计算!$X$197=0,GO36+逐级计算!$C$197,GO36+逐级计算!$C$197-(10/(逐级计算!$Q$197*LN(10))*(MAX((LN(10^(逐级计算!$Q$197/10)-1)+逐级计算!$Q$197*(GO36-逐级计算!$P$197)*LN(10)/10),0)+LN(1+EXP(-ABS((LN(10^(逐级计算!$Q$197/10)-1)+逐级计算!$Q$197*(GO36-逐级计算!$P$197)*LN(10)/10))))))),"")</f>
        <v>13.7930366072982</v>
      </c>
      <c r="GQ36">
        <f>IF(AND(ISNUMBER(GP36),逐级计算!$X$198&gt;-1),IF(逐级计算!$X$198=0,GP36+逐级计算!$C$198,GP36+逐级计算!$C$198-(10/(逐级计算!$Q$198*LN(10))*(MAX((LN(10^(逐级计算!$Q$198/10)-1)+逐级计算!$Q$198*(GP36-逐级计算!$P$198)*LN(10)/10),0)+LN(1+EXP(-ABS((LN(10^(逐级计算!$Q$198/10)-1)+逐级计算!$Q$198*(GP36-逐级计算!$P$198)*LN(10)/10))))))),"")</f>
        <v>13.7930366072982</v>
      </c>
      <c r="GR36">
        <f>IF(AND(ISNUMBER(GQ36),逐级计算!$X$199&gt;-1),IF(逐级计算!$X$199=0,GQ36+逐级计算!$C$199,GQ36+逐级计算!$C$199-(10/(逐级计算!$Q$199*LN(10))*(MAX((LN(10^(逐级计算!$Q$199/10)-1)+逐级计算!$Q$199*(GQ36-逐级计算!$P$199)*LN(10)/10),0)+LN(1+EXP(-ABS((LN(10^(逐级计算!$Q$199/10)-1)+逐级计算!$Q$199*(GQ36-逐级计算!$P$199)*LN(10)/10))))))),"")</f>
        <v>13.7930366072982</v>
      </c>
      <c r="GS36">
        <f>IF(AND(ISNUMBER(GR36),逐级计算!$X$200&gt;-1),IF(逐级计算!$X$200=0,GR36+逐级计算!$C$200,GR36+逐级计算!$C$200-(10/(逐级计算!$Q$200*LN(10))*(MAX((LN(10^(逐级计算!$Q$200/10)-1)+逐级计算!$Q$200*(GR36-逐级计算!$P$200)*LN(10)/10),0)+LN(1+EXP(-ABS((LN(10^(逐级计算!$Q$200/10)-1)+逐级计算!$Q$200*(GR36-逐级计算!$P$200)*LN(10)/10))))))),"")</f>
        <v>13.7930366072982</v>
      </c>
      <c r="GT36">
        <f>IF(AND(ISNUMBER(GS36),逐级计算!$X$201&gt;-1),IF(逐级计算!$X$201=0,GS36+逐级计算!$C$201,GS36+逐级计算!$C$201-(10/(逐级计算!$Q$201*LN(10))*(MAX((LN(10^(逐级计算!$Q$201/10)-1)+逐级计算!$Q$201*(GS36-逐级计算!$P$201)*LN(10)/10),0)+LN(1+EXP(-ABS((LN(10^(逐级计算!$Q$201/10)-1)+逐级计算!$Q$201*(GS36-逐级计算!$P$201)*LN(10)/10))))))),"")</f>
        <v>13.7930366072982</v>
      </c>
      <c r="GU36">
        <f>IF(AND(ISNUMBER(GT36),逐级计算!$X$202&gt;-1),IF(逐级计算!$X$202=0,GT36+逐级计算!$C$202,GT36+逐级计算!$C$202-(10/(逐级计算!$Q$202*LN(10))*(MAX((LN(10^(逐级计算!$Q$202/10)-1)+逐级计算!$Q$202*(GT36-逐级计算!$P$202)*LN(10)/10),0)+LN(1+EXP(-ABS((LN(10^(逐级计算!$Q$202/10)-1)+逐级计算!$Q$202*(GT36-逐级计算!$P$202)*LN(10)/10))))))),"")</f>
        <v>13.7930366072982</v>
      </c>
      <c r="GV36">
        <f>IF(AND(ISNUMBER(GU36),逐级计算!$X$203&gt;-1),IF(逐级计算!$X$203=0,GU36+逐级计算!$C$203,GU36+逐级计算!$C$203-(10/(逐级计算!$Q$203*LN(10))*(MAX((LN(10^(逐级计算!$Q$203/10)-1)+逐级计算!$Q$203*(GU36-逐级计算!$P$203)*LN(10)/10),0)+LN(1+EXP(-ABS((LN(10^(逐级计算!$Q$203/10)-1)+逐级计算!$Q$203*(GU36-逐级计算!$P$203)*LN(10)/10))))))),"")</f>
        <v>13.7930366072982</v>
      </c>
      <c r="GW36">
        <f t="shared" si="2"/>
        <v>-5.20696317777038</v>
      </c>
    </row>
    <row r="37" spans="1:205">
      <c r="A37">
        <v>30</v>
      </c>
      <c r="B37">
        <f t="shared" si="1"/>
        <v>-5.20696356892586</v>
      </c>
      <c r="C37">
        <f t="shared" si="0"/>
        <v>-5.20696347113699</v>
      </c>
      <c r="D37">
        <f>IF(AND(ISNUMBER(C37),ISNUMBER(逐级计算!$E$203),ISNUMBER(GV37)),C37+逐级计算!$E$203-GV37,"")</f>
        <v>0.999999983265443</v>
      </c>
      <c r="E37">
        <f>IF(AND(ISNUMBER(C37),逐级计算!$X$4&gt;-1),IF(逐级计算!$X$4=0,C37+逐级计算!$C$4,C37+逐级计算!$C$4-(10/(逐级计算!$Q$4*LN(10))*(MAX((LN(10^(逐级计算!$Q$4/10)-1)+逐级计算!$Q$4*(C37-逐级计算!$P$4)*LN(10)/10),0)+LN(1+EXP(-ABS((LN(10^(逐级计算!$Q$4/10)-1)+逐级计算!$Q$4*(C37-逐级计算!$P$4)*LN(10)/10))))))),"")</f>
        <v>4.68053978622664</v>
      </c>
      <c r="F37">
        <f>IF(AND(ISNUMBER(E37),逐级计算!$X$5&gt;-1),IF(逐级计算!$X$5=0,E37+逐级计算!$C$5,E37+逐级计算!$C$5-(10/(逐级计算!$Q$5*LN(10))*(MAX((LN(10^(逐级计算!$Q$5/10)-1)+逐级计算!$Q$5*(E37-逐级计算!$P$5)*LN(10)/10),0)+LN(1+EXP(-ABS((LN(10^(逐级计算!$Q$5/10)-1)+逐级计算!$Q$5*(E37-逐级计算!$P$5)*LN(10)/10))))))),"")</f>
        <v>13.7930365455976</v>
      </c>
      <c r="G37">
        <f>IF(AND(ISNUMBER(F37),逐级计算!$X$6&gt;-1),IF(逐级计算!$X$6=0,F37+逐级计算!$C$6,F37+逐级计算!$C$6-(10/(逐级计算!$Q$6*LN(10))*(MAX((LN(10^(逐级计算!$Q$6/10)-1)+逐级计算!$Q$6*(F37-逐级计算!$P$6)*LN(10)/10),0)+LN(1+EXP(-ABS((LN(10^(逐级计算!$Q$6/10)-1)+逐级计算!$Q$6*(F37-逐级计算!$P$6)*LN(10)/10))))))),"")</f>
        <v>13.7930365455976</v>
      </c>
      <c r="H37">
        <f>IF(AND(ISNUMBER(G37),逐级计算!$X$7&gt;-1),IF(逐级计算!$X$7=0,G37+逐级计算!$C$7,G37+逐级计算!$C$7-(10/(逐级计算!$Q$7*LN(10))*(MAX((LN(10^(逐级计算!$Q$7/10)-1)+逐级计算!$Q$7*(G37-逐级计算!$P$7)*LN(10)/10),0)+LN(1+EXP(-ABS((LN(10^(逐级计算!$Q$7/10)-1)+逐级计算!$Q$7*(G37-逐级计算!$P$7)*LN(10)/10))))))),"")</f>
        <v>13.7930365455976</v>
      </c>
      <c r="I37">
        <f>IF(AND(ISNUMBER(H37),逐级计算!$X$8&gt;-1),IF(逐级计算!$X$8=0,H37+逐级计算!$C$8,H37+逐级计算!$C$8-(10/(逐级计算!$Q$8*LN(10))*(MAX((LN(10^(逐级计算!$Q$8/10)-1)+逐级计算!$Q$8*(H37-逐级计算!$P$8)*LN(10)/10),0)+LN(1+EXP(-ABS((LN(10^(逐级计算!$Q$8/10)-1)+逐级计算!$Q$8*(H37-逐级计算!$P$8)*LN(10)/10))))))),"")</f>
        <v>13.7930365455976</v>
      </c>
      <c r="J37">
        <f>IF(AND(ISNUMBER(I37),逐级计算!$X$9&gt;-1),IF(逐级计算!$X$9=0,I37+逐级计算!$C$9,I37+逐级计算!$C$9-(10/(逐级计算!$Q$9*LN(10))*(MAX((LN(10^(逐级计算!$Q$9/10)-1)+逐级计算!$Q$9*(I37-逐级计算!$P$9)*LN(10)/10),0)+LN(1+EXP(-ABS((LN(10^(逐级计算!$Q$9/10)-1)+逐级计算!$Q$9*(I37-逐级计算!$P$9)*LN(10)/10))))))),"")</f>
        <v>13.7930365455976</v>
      </c>
      <c r="K37">
        <f>IF(AND(ISNUMBER(J37),逐级计算!$X$10&gt;-1),IF(逐级计算!$X$10=0,J37+逐级计算!$C$10,J37+逐级计算!$C$10-(10/(逐级计算!$Q$10*LN(10))*(MAX((LN(10^(逐级计算!$Q$10/10)-1)+逐级计算!$Q$10*(J37-逐级计算!$P$10)*LN(10)/10),0)+LN(1+EXP(-ABS((LN(10^(逐级计算!$Q$10/10)-1)+逐级计算!$Q$10*(J37-逐级计算!$P$10)*LN(10)/10))))))),"")</f>
        <v>13.7930365455976</v>
      </c>
      <c r="L37">
        <f>IF(AND(ISNUMBER(K37),逐级计算!$X$11&gt;-1),IF(逐级计算!$X$11=0,K37+逐级计算!$C$11,K37+逐级计算!$C$11-(10/(逐级计算!$Q$11*LN(10))*(MAX((LN(10^(逐级计算!$Q$11/10)-1)+逐级计算!$Q$11*(K37-逐级计算!$P$11)*LN(10)/10),0)+LN(1+EXP(-ABS((LN(10^(逐级计算!$Q$11/10)-1)+逐级计算!$Q$11*(K37-逐级计算!$P$11)*LN(10)/10))))))),"")</f>
        <v>13.7930365455976</v>
      </c>
      <c r="M37">
        <f>IF(AND(ISNUMBER(L37),逐级计算!$X$12&gt;-1),IF(逐级计算!$X$12=0,L37+逐级计算!$C$12,L37+逐级计算!$C$12-(10/(逐级计算!$Q$12*LN(10))*(MAX((LN(10^(逐级计算!$Q$12/10)-1)+逐级计算!$Q$12*(L37-逐级计算!$P$12)*LN(10)/10),0)+LN(1+EXP(-ABS((LN(10^(逐级计算!$Q$12/10)-1)+逐级计算!$Q$12*(L37-逐级计算!$P$12)*LN(10)/10))))))),"")</f>
        <v>13.7930365455976</v>
      </c>
      <c r="N37">
        <f>IF(AND(ISNUMBER(M37),逐级计算!$X$13&gt;-1),IF(逐级计算!$X$13=0,M37+逐级计算!$C$13,M37+逐级计算!$C$13-(10/(逐级计算!$Q$13*LN(10))*(MAX((LN(10^(逐级计算!$Q$13/10)-1)+逐级计算!$Q$13*(M37-逐级计算!$P$13)*LN(10)/10),0)+LN(1+EXP(-ABS((LN(10^(逐级计算!$Q$13/10)-1)+逐级计算!$Q$13*(M37-逐级计算!$P$13)*LN(10)/10))))))),"")</f>
        <v>13.7930365455976</v>
      </c>
      <c r="O37">
        <f>IF(AND(ISNUMBER(N37),逐级计算!$X$14&gt;-1),IF(逐级计算!$X$14=0,N37+逐级计算!$C$14,N37+逐级计算!$C$14-(10/(逐级计算!$Q$14*LN(10))*(MAX((LN(10^(逐级计算!$Q$14/10)-1)+逐级计算!$Q$14*(N37-逐级计算!$P$14)*LN(10)/10),0)+LN(1+EXP(-ABS((LN(10^(逐级计算!$Q$14/10)-1)+逐级计算!$Q$14*(N37-逐级计算!$P$14)*LN(10)/10))))))),"")</f>
        <v>13.7930365455976</v>
      </c>
      <c r="P37">
        <f>IF(AND(ISNUMBER(O37),逐级计算!$X$15&gt;-1),IF(逐级计算!$X$15=0,O37+逐级计算!$C$15,O37+逐级计算!$C$15-(10/(逐级计算!$Q$15*LN(10))*(MAX((LN(10^(逐级计算!$Q$15/10)-1)+逐级计算!$Q$15*(O37-逐级计算!$P$15)*LN(10)/10),0)+LN(1+EXP(-ABS((LN(10^(逐级计算!$Q$15/10)-1)+逐级计算!$Q$15*(O37-逐级计算!$P$15)*LN(10)/10))))))),"")</f>
        <v>13.7930365455976</v>
      </c>
      <c r="Q37">
        <f>IF(AND(ISNUMBER(P37),逐级计算!$X$16&gt;-1),IF(逐级计算!$X$16=0,P37+逐级计算!$C$16,P37+逐级计算!$C$16-(10/(逐级计算!$Q$16*LN(10))*(MAX((LN(10^(逐级计算!$Q$16/10)-1)+逐级计算!$Q$16*(P37-逐级计算!$P$16)*LN(10)/10),0)+LN(1+EXP(-ABS((LN(10^(逐级计算!$Q$16/10)-1)+逐级计算!$Q$16*(P37-逐级计算!$P$16)*LN(10)/10))))))),"")</f>
        <v>13.7930365455976</v>
      </c>
      <c r="R37">
        <f>IF(AND(ISNUMBER(Q37),逐级计算!$X$17&gt;-1),IF(逐级计算!$X$17=0,Q37+逐级计算!$C$17,Q37+逐级计算!$C$17-(10/(逐级计算!$Q$17*LN(10))*(MAX((LN(10^(逐级计算!$Q$17/10)-1)+逐级计算!$Q$17*(Q37-逐级计算!$P$17)*LN(10)/10),0)+LN(1+EXP(-ABS((LN(10^(逐级计算!$Q$17/10)-1)+逐级计算!$Q$17*(Q37-逐级计算!$P$17)*LN(10)/10))))))),"")</f>
        <v>13.7930365455976</v>
      </c>
      <c r="S37">
        <f>IF(AND(ISNUMBER(R37),逐级计算!$X$18&gt;-1),IF(逐级计算!$X$18=0,R37+逐级计算!$C$18,R37+逐级计算!$C$18-(10/(逐级计算!$Q$18*LN(10))*(MAX((LN(10^(逐级计算!$Q$18/10)-1)+逐级计算!$Q$18*(R37-逐级计算!$P$18)*LN(10)/10),0)+LN(1+EXP(-ABS((LN(10^(逐级计算!$Q$18/10)-1)+逐级计算!$Q$18*(R37-逐级计算!$P$18)*LN(10)/10))))))),"")</f>
        <v>13.7930365455976</v>
      </c>
      <c r="T37">
        <f>IF(AND(ISNUMBER(S37),逐级计算!$X$19&gt;-1),IF(逐级计算!$X$19=0,S37+逐级计算!$C$19,S37+逐级计算!$C$19-(10/(逐级计算!$Q$19*LN(10))*(MAX((LN(10^(逐级计算!$Q$19/10)-1)+逐级计算!$Q$19*(S37-逐级计算!$P$19)*LN(10)/10),0)+LN(1+EXP(-ABS((LN(10^(逐级计算!$Q$19/10)-1)+逐级计算!$Q$19*(S37-逐级计算!$P$19)*LN(10)/10))))))),"")</f>
        <v>13.7930365455976</v>
      </c>
      <c r="U37">
        <f>IF(AND(ISNUMBER(T37),逐级计算!$X$20&gt;-1),IF(逐级计算!$X$20=0,T37+逐级计算!$C$20,T37+逐级计算!$C$20-(10/(逐级计算!$Q$20*LN(10))*(MAX((LN(10^(逐级计算!$Q$20/10)-1)+逐级计算!$Q$20*(T37-逐级计算!$P$20)*LN(10)/10),0)+LN(1+EXP(-ABS((LN(10^(逐级计算!$Q$20/10)-1)+逐级计算!$Q$20*(T37-逐级计算!$P$20)*LN(10)/10))))))),"")</f>
        <v>13.7930365455976</v>
      </c>
      <c r="V37">
        <f>IF(AND(ISNUMBER(U37),逐级计算!$X$21&gt;-1),IF(逐级计算!$X$21=0,U37+逐级计算!$C$21,U37+逐级计算!$C$21-(10/(逐级计算!$Q$21*LN(10))*(MAX((LN(10^(逐级计算!$Q$21/10)-1)+逐级计算!$Q$21*(U37-逐级计算!$P$21)*LN(10)/10),0)+LN(1+EXP(-ABS((LN(10^(逐级计算!$Q$21/10)-1)+逐级计算!$Q$21*(U37-逐级计算!$P$21)*LN(10)/10))))))),"")</f>
        <v>13.7930365455976</v>
      </c>
      <c r="W37">
        <f>IF(AND(ISNUMBER(V37),逐级计算!$X$22&gt;-1),IF(逐级计算!$X$22=0,V37+逐级计算!$C$22,V37+逐级计算!$C$22-(10/(逐级计算!$Q$22*LN(10))*(MAX((LN(10^(逐级计算!$Q$22/10)-1)+逐级计算!$Q$22*(V37-逐级计算!$P$22)*LN(10)/10),0)+LN(1+EXP(-ABS((LN(10^(逐级计算!$Q$22/10)-1)+逐级计算!$Q$22*(V37-逐级计算!$P$22)*LN(10)/10))))))),"")</f>
        <v>13.7930365455976</v>
      </c>
      <c r="X37">
        <f>IF(AND(ISNUMBER(W37),逐级计算!$X$23&gt;-1),IF(逐级计算!$X$23=0,W37+逐级计算!$C$23,W37+逐级计算!$C$23-(10/(逐级计算!$Q$23*LN(10))*(MAX((LN(10^(逐级计算!$Q$23/10)-1)+逐级计算!$Q$23*(W37-逐级计算!$P$23)*LN(10)/10),0)+LN(1+EXP(-ABS((LN(10^(逐级计算!$Q$23/10)-1)+逐级计算!$Q$23*(W37-逐级计算!$P$23)*LN(10)/10))))))),"")</f>
        <v>13.7930365455976</v>
      </c>
      <c r="Y37">
        <f>IF(AND(ISNUMBER(X37),逐级计算!$X$24&gt;-1),IF(逐级计算!$X$24=0,X37+逐级计算!$C$24,X37+逐级计算!$C$24-(10/(逐级计算!$Q$24*LN(10))*(MAX((LN(10^(逐级计算!$Q$24/10)-1)+逐级计算!$Q$24*(X37-逐级计算!$P$24)*LN(10)/10),0)+LN(1+EXP(-ABS((LN(10^(逐级计算!$Q$24/10)-1)+逐级计算!$Q$24*(X37-逐级计算!$P$24)*LN(10)/10))))))),"")</f>
        <v>13.7930365455976</v>
      </c>
      <c r="Z37">
        <f>IF(AND(ISNUMBER(Y37),逐级计算!$X$25&gt;-1),IF(逐级计算!$X$25=0,Y37+逐级计算!$C$25,Y37+逐级计算!$C$25-(10/(逐级计算!$Q$25*LN(10))*(MAX((LN(10^(逐级计算!$Q$25/10)-1)+逐级计算!$Q$25*(Y37-逐级计算!$P$25)*LN(10)/10),0)+LN(1+EXP(-ABS((LN(10^(逐级计算!$Q$25/10)-1)+逐级计算!$Q$25*(Y37-逐级计算!$P$25)*LN(10)/10))))))),"")</f>
        <v>13.7930365455976</v>
      </c>
      <c r="AA37">
        <f>IF(AND(ISNUMBER(Z37),逐级计算!$X$26&gt;-1),IF(逐级计算!$X$26=0,Z37+逐级计算!$C$26,Z37+逐级计算!$C$26-(10/(逐级计算!$Q$26*LN(10))*(MAX((LN(10^(逐级计算!$Q$26/10)-1)+逐级计算!$Q$26*(Z37-逐级计算!$P$26)*LN(10)/10),0)+LN(1+EXP(-ABS((LN(10^(逐级计算!$Q$26/10)-1)+逐级计算!$Q$26*(Z37-逐级计算!$P$26)*LN(10)/10))))))),"")</f>
        <v>13.7930365455976</v>
      </c>
      <c r="AB37">
        <f>IF(AND(ISNUMBER(AA37),逐级计算!$X$27&gt;-1),IF(逐级计算!$X$27=0,AA37+逐级计算!$C$27,AA37+逐级计算!$C$27-(10/(逐级计算!$Q$27*LN(10))*(MAX((LN(10^(逐级计算!$Q$27/10)-1)+逐级计算!$Q$27*(AA37-逐级计算!$P$27)*LN(10)/10),0)+LN(1+EXP(-ABS((LN(10^(逐级计算!$Q$27/10)-1)+逐级计算!$Q$27*(AA37-逐级计算!$P$27)*LN(10)/10))))))),"")</f>
        <v>13.7930365455976</v>
      </c>
      <c r="AC37">
        <f>IF(AND(ISNUMBER(AB37),逐级计算!$X$28&gt;-1),IF(逐级计算!$X$28=0,AB37+逐级计算!$C$28,AB37+逐级计算!$C$28-(10/(逐级计算!$Q$28*LN(10))*(MAX((LN(10^(逐级计算!$Q$28/10)-1)+逐级计算!$Q$28*(AB37-逐级计算!$P$28)*LN(10)/10),0)+LN(1+EXP(-ABS((LN(10^(逐级计算!$Q$28/10)-1)+逐级计算!$Q$28*(AB37-逐级计算!$P$28)*LN(10)/10))))))),"")</f>
        <v>13.7930365455976</v>
      </c>
      <c r="AD37">
        <f>IF(AND(ISNUMBER(AC37),逐级计算!$X$29&gt;-1),IF(逐级计算!$X$29=0,AC37+逐级计算!$C$29,AC37+逐级计算!$C$29-(10/(逐级计算!$Q$29*LN(10))*(MAX((LN(10^(逐级计算!$Q$29/10)-1)+逐级计算!$Q$29*(AC37-逐级计算!$P$29)*LN(10)/10),0)+LN(1+EXP(-ABS((LN(10^(逐级计算!$Q$29/10)-1)+逐级计算!$Q$29*(AC37-逐级计算!$P$29)*LN(10)/10))))))),"")</f>
        <v>13.7930365455976</v>
      </c>
      <c r="AE37">
        <f>IF(AND(ISNUMBER(AD37),逐级计算!$X$30&gt;-1),IF(逐级计算!$X$30=0,AD37+逐级计算!$C$30,AD37+逐级计算!$C$30-(10/(逐级计算!$Q$30*LN(10))*(MAX((LN(10^(逐级计算!$Q$30/10)-1)+逐级计算!$Q$30*(AD37-逐级计算!$P$30)*LN(10)/10),0)+LN(1+EXP(-ABS((LN(10^(逐级计算!$Q$30/10)-1)+逐级计算!$Q$30*(AD37-逐级计算!$P$30)*LN(10)/10))))))),"")</f>
        <v>13.7930365455976</v>
      </c>
      <c r="AF37">
        <f>IF(AND(ISNUMBER(AE37),逐级计算!$X$31&gt;-1),IF(逐级计算!$X$31=0,AE37+逐级计算!$C$31,AE37+逐级计算!$C$31-(10/(逐级计算!$Q$31*LN(10))*(MAX((LN(10^(逐级计算!$Q$31/10)-1)+逐级计算!$Q$31*(AE37-逐级计算!$P$31)*LN(10)/10),0)+LN(1+EXP(-ABS((LN(10^(逐级计算!$Q$31/10)-1)+逐级计算!$Q$31*(AE37-逐级计算!$P$31)*LN(10)/10))))))),"")</f>
        <v>13.7930365455976</v>
      </c>
      <c r="AG37">
        <f>IF(AND(ISNUMBER(AF37),逐级计算!$X$32&gt;-1),IF(逐级计算!$X$32=0,AF37+逐级计算!$C$32,AF37+逐级计算!$C$32-(10/(逐级计算!$Q$32*LN(10))*(MAX((LN(10^(逐级计算!$Q$32/10)-1)+逐级计算!$Q$32*(AF37-逐级计算!$P$32)*LN(10)/10),0)+LN(1+EXP(-ABS((LN(10^(逐级计算!$Q$32/10)-1)+逐级计算!$Q$32*(AF37-逐级计算!$P$32)*LN(10)/10))))))),"")</f>
        <v>13.7930365455976</v>
      </c>
      <c r="AH37">
        <f>IF(AND(ISNUMBER(AG37),逐级计算!$X$33&gt;-1),IF(逐级计算!$X$33=0,AG37+逐级计算!$C$33,AG37+逐级计算!$C$33-(10/(逐级计算!$Q$33*LN(10))*(MAX((LN(10^(逐级计算!$Q$33/10)-1)+逐级计算!$Q$33*(AG37-逐级计算!$P$33)*LN(10)/10),0)+LN(1+EXP(-ABS((LN(10^(逐级计算!$Q$33/10)-1)+逐级计算!$Q$33*(AG37-逐级计算!$P$33)*LN(10)/10))))))),"")</f>
        <v>13.7930365455976</v>
      </c>
      <c r="AI37">
        <f>IF(AND(ISNUMBER(AH37),逐级计算!$X$34&gt;-1),IF(逐级计算!$X$34=0,AH37+逐级计算!$C$34,AH37+逐级计算!$C$34-(10/(逐级计算!$Q$34*LN(10))*(MAX((LN(10^(逐级计算!$Q$34/10)-1)+逐级计算!$Q$34*(AH37-逐级计算!$P$34)*LN(10)/10),0)+LN(1+EXP(-ABS((LN(10^(逐级计算!$Q$34/10)-1)+逐级计算!$Q$34*(AH37-逐级计算!$P$34)*LN(10)/10))))))),"")</f>
        <v>13.7930365455976</v>
      </c>
      <c r="AJ37">
        <f>IF(AND(ISNUMBER(AI37),逐级计算!$X$35&gt;-1),IF(逐级计算!$X$35=0,AI37+逐级计算!$C$35,AI37+逐级计算!$C$35-(10/(逐级计算!$Q$35*LN(10))*(MAX((LN(10^(逐级计算!$Q$35/10)-1)+逐级计算!$Q$35*(AI37-逐级计算!$P$35)*LN(10)/10),0)+LN(1+EXP(-ABS((LN(10^(逐级计算!$Q$35/10)-1)+逐级计算!$Q$35*(AI37-逐级计算!$P$35)*LN(10)/10))))))),"")</f>
        <v>13.7930365455976</v>
      </c>
      <c r="AK37">
        <f>IF(AND(ISNUMBER(AJ37),逐级计算!$X$36&gt;-1),IF(逐级计算!$X$36=0,AJ37+逐级计算!$C$36,AJ37+逐级计算!$C$36-(10/(逐级计算!$Q$36*LN(10))*(MAX((LN(10^(逐级计算!$Q$36/10)-1)+逐级计算!$Q$36*(AJ37-逐级计算!$P$36)*LN(10)/10),0)+LN(1+EXP(-ABS((LN(10^(逐级计算!$Q$36/10)-1)+逐级计算!$Q$36*(AJ37-逐级计算!$P$36)*LN(10)/10))))))),"")</f>
        <v>13.7930365455976</v>
      </c>
      <c r="AL37">
        <f>IF(AND(ISNUMBER(AK37),逐级计算!$X$37&gt;-1),IF(逐级计算!$X$37=0,AK37+逐级计算!$C$37,AK37+逐级计算!$C$37-(10/(逐级计算!$Q$37*LN(10))*(MAX((LN(10^(逐级计算!$Q$37/10)-1)+逐级计算!$Q$37*(AK37-逐级计算!$P$37)*LN(10)/10),0)+LN(1+EXP(-ABS((LN(10^(逐级计算!$Q$37/10)-1)+逐级计算!$Q$37*(AK37-逐级计算!$P$37)*LN(10)/10))))))),"")</f>
        <v>13.7930365455976</v>
      </c>
      <c r="AM37">
        <f>IF(AND(ISNUMBER(AL37),逐级计算!$X$38&gt;-1),IF(逐级计算!$X$38=0,AL37+逐级计算!$C$38,AL37+逐级计算!$C$38-(10/(逐级计算!$Q$38*LN(10))*(MAX((LN(10^(逐级计算!$Q$38/10)-1)+逐级计算!$Q$38*(AL37-逐级计算!$P$38)*LN(10)/10),0)+LN(1+EXP(-ABS((LN(10^(逐级计算!$Q$38/10)-1)+逐级计算!$Q$38*(AL37-逐级计算!$P$38)*LN(10)/10))))))),"")</f>
        <v>13.7930365455976</v>
      </c>
      <c r="AN37">
        <f>IF(AND(ISNUMBER(AM37),逐级计算!$X$39&gt;-1),IF(逐级计算!$X$39=0,AM37+逐级计算!$C$39,AM37+逐级计算!$C$39-(10/(逐级计算!$Q$39*LN(10))*(MAX((LN(10^(逐级计算!$Q$39/10)-1)+逐级计算!$Q$39*(AM37-逐级计算!$P$39)*LN(10)/10),0)+LN(1+EXP(-ABS((LN(10^(逐级计算!$Q$39/10)-1)+逐级计算!$Q$39*(AM37-逐级计算!$P$39)*LN(10)/10))))))),"")</f>
        <v>13.7930365455976</v>
      </c>
      <c r="AO37">
        <f>IF(AND(ISNUMBER(AN37),逐级计算!$X$40&gt;-1),IF(逐级计算!$X$40=0,AN37+逐级计算!$C$40,AN37+逐级计算!$C$40-(10/(逐级计算!$Q$40*LN(10))*(MAX((LN(10^(逐级计算!$Q$40/10)-1)+逐级计算!$Q$40*(AN37-逐级计算!$P$40)*LN(10)/10),0)+LN(1+EXP(-ABS((LN(10^(逐级计算!$Q$40/10)-1)+逐级计算!$Q$40*(AN37-逐级计算!$P$40)*LN(10)/10))))))),"")</f>
        <v>13.7930365455976</v>
      </c>
      <c r="AP37">
        <f>IF(AND(ISNUMBER(AO37),逐级计算!$X$41&gt;-1),IF(逐级计算!$X$41=0,AO37+逐级计算!$C$41,AO37+逐级计算!$C$41-(10/(逐级计算!$Q$41*LN(10))*(MAX((LN(10^(逐级计算!$Q$41/10)-1)+逐级计算!$Q$41*(AO37-逐级计算!$P$41)*LN(10)/10),0)+LN(1+EXP(-ABS((LN(10^(逐级计算!$Q$41/10)-1)+逐级计算!$Q$41*(AO37-逐级计算!$P$41)*LN(10)/10))))))),"")</f>
        <v>13.7930365455976</v>
      </c>
      <c r="AQ37">
        <f>IF(AND(ISNUMBER(AP37),逐级计算!$X$42&gt;-1),IF(逐级计算!$X$42=0,AP37+逐级计算!$C$42,AP37+逐级计算!$C$42-(10/(逐级计算!$Q$42*LN(10))*(MAX((LN(10^(逐级计算!$Q$42/10)-1)+逐级计算!$Q$42*(AP37-逐级计算!$P$42)*LN(10)/10),0)+LN(1+EXP(-ABS((LN(10^(逐级计算!$Q$42/10)-1)+逐级计算!$Q$42*(AP37-逐级计算!$P$42)*LN(10)/10))))))),"")</f>
        <v>13.7930365455976</v>
      </c>
      <c r="AR37">
        <f>IF(AND(ISNUMBER(AQ37),逐级计算!$X$43&gt;-1),IF(逐级计算!$X$43=0,AQ37+逐级计算!$C$43,AQ37+逐级计算!$C$43-(10/(逐级计算!$Q$43*LN(10))*(MAX((LN(10^(逐级计算!$Q$43/10)-1)+逐级计算!$Q$43*(AQ37-逐级计算!$P$43)*LN(10)/10),0)+LN(1+EXP(-ABS((LN(10^(逐级计算!$Q$43/10)-1)+逐级计算!$Q$43*(AQ37-逐级计算!$P$43)*LN(10)/10))))))),"")</f>
        <v>13.7930365455976</v>
      </c>
      <c r="AS37">
        <f>IF(AND(ISNUMBER(AR37),逐级计算!$X$44&gt;-1),IF(逐级计算!$X$44=0,AR37+逐级计算!$C$44,AR37+逐级计算!$C$44-(10/(逐级计算!$Q$44*LN(10))*(MAX((LN(10^(逐级计算!$Q$44/10)-1)+逐级计算!$Q$44*(AR37-逐级计算!$P$44)*LN(10)/10),0)+LN(1+EXP(-ABS((LN(10^(逐级计算!$Q$44/10)-1)+逐级计算!$Q$44*(AR37-逐级计算!$P$44)*LN(10)/10))))))),"")</f>
        <v>13.7930365455976</v>
      </c>
      <c r="AT37">
        <f>IF(AND(ISNUMBER(AS37),逐级计算!$X$45&gt;-1),IF(逐级计算!$X$45=0,AS37+逐级计算!$C$45,AS37+逐级计算!$C$45-(10/(逐级计算!$Q$45*LN(10))*(MAX((LN(10^(逐级计算!$Q$45/10)-1)+逐级计算!$Q$45*(AS37-逐级计算!$P$45)*LN(10)/10),0)+LN(1+EXP(-ABS((LN(10^(逐级计算!$Q$45/10)-1)+逐级计算!$Q$45*(AS37-逐级计算!$P$45)*LN(10)/10))))))),"")</f>
        <v>13.7930365455976</v>
      </c>
      <c r="AU37">
        <f>IF(AND(ISNUMBER(AT37),逐级计算!$X$46&gt;-1),IF(逐级计算!$X$46=0,AT37+逐级计算!$C$46,AT37+逐级计算!$C$46-(10/(逐级计算!$Q$46*LN(10))*(MAX((LN(10^(逐级计算!$Q$46/10)-1)+逐级计算!$Q$46*(AT37-逐级计算!$P$46)*LN(10)/10),0)+LN(1+EXP(-ABS((LN(10^(逐级计算!$Q$46/10)-1)+逐级计算!$Q$46*(AT37-逐级计算!$P$46)*LN(10)/10))))))),"")</f>
        <v>13.7930365455976</v>
      </c>
      <c r="AV37">
        <f>IF(AND(ISNUMBER(AU37),逐级计算!$X$47&gt;-1),IF(逐级计算!$X$47=0,AU37+逐级计算!$C$47,AU37+逐级计算!$C$47-(10/(逐级计算!$Q$47*LN(10))*(MAX((LN(10^(逐级计算!$Q$47/10)-1)+逐级计算!$Q$47*(AU37-逐级计算!$P$47)*LN(10)/10),0)+LN(1+EXP(-ABS((LN(10^(逐级计算!$Q$47/10)-1)+逐级计算!$Q$47*(AU37-逐级计算!$P$47)*LN(10)/10))))))),"")</f>
        <v>13.7930365455976</v>
      </c>
      <c r="AW37">
        <f>IF(AND(ISNUMBER(AV37),逐级计算!$X$48&gt;-1),IF(逐级计算!$X$48=0,AV37+逐级计算!$C$48,AV37+逐级计算!$C$48-(10/(逐级计算!$Q$48*LN(10))*(MAX((LN(10^(逐级计算!$Q$48/10)-1)+逐级计算!$Q$48*(AV37-逐级计算!$P$48)*LN(10)/10),0)+LN(1+EXP(-ABS((LN(10^(逐级计算!$Q$48/10)-1)+逐级计算!$Q$48*(AV37-逐级计算!$P$48)*LN(10)/10))))))),"")</f>
        <v>13.7930365455976</v>
      </c>
      <c r="AX37">
        <f>IF(AND(ISNUMBER(AW37),逐级计算!$X$49&gt;-1),IF(逐级计算!$X$49=0,AW37+逐级计算!$C$49,AW37+逐级计算!$C$49-(10/(逐级计算!$Q$49*LN(10))*(MAX((LN(10^(逐级计算!$Q$49/10)-1)+逐级计算!$Q$49*(AW37-逐级计算!$P$49)*LN(10)/10),0)+LN(1+EXP(-ABS((LN(10^(逐级计算!$Q$49/10)-1)+逐级计算!$Q$49*(AW37-逐级计算!$P$49)*LN(10)/10))))))),"")</f>
        <v>13.7930365455976</v>
      </c>
      <c r="AY37">
        <f>IF(AND(ISNUMBER(AX37),逐级计算!$X$50&gt;-1),IF(逐级计算!$X$50=0,AX37+逐级计算!$C$50,AX37+逐级计算!$C$50-(10/(逐级计算!$Q$50*LN(10))*(MAX((LN(10^(逐级计算!$Q$50/10)-1)+逐级计算!$Q$50*(AX37-逐级计算!$P$50)*LN(10)/10),0)+LN(1+EXP(-ABS((LN(10^(逐级计算!$Q$50/10)-1)+逐级计算!$Q$50*(AX37-逐级计算!$P$50)*LN(10)/10))))))),"")</f>
        <v>13.7930365455976</v>
      </c>
      <c r="AZ37">
        <f>IF(AND(ISNUMBER(AY37),逐级计算!$X$51&gt;-1),IF(逐级计算!$X$51=0,AY37+逐级计算!$C$51,AY37+逐级计算!$C$51-(10/(逐级计算!$Q$51*LN(10))*(MAX((LN(10^(逐级计算!$Q$51/10)-1)+逐级计算!$Q$51*(AY37-逐级计算!$P$51)*LN(10)/10),0)+LN(1+EXP(-ABS((LN(10^(逐级计算!$Q$51/10)-1)+逐级计算!$Q$51*(AY37-逐级计算!$P$51)*LN(10)/10))))))),"")</f>
        <v>13.7930365455976</v>
      </c>
      <c r="BA37">
        <f>IF(AND(ISNUMBER(AZ37),逐级计算!$X$52&gt;-1),IF(逐级计算!$X$52=0,AZ37+逐级计算!$C$52,AZ37+逐级计算!$C$52-(10/(逐级计算!$Q$52*LN(10))*(MAX((LN(10^(逐级计算!$Q$52/10)-1)+逐级计算!$Q$52*(AZ37-逐级计算!$P$52)*LN(10)/10),0)+LN(1+EXP(-ABS((LN(10^(逐级计算!$Q$52/10)-1)+逐级计算!$Q$52*(AZ37-逐级计算!$P$52)*LN(10)/10))))))),"")</f>
        <v>13.7930365455976</v>
      </c>
      <c r="BB37">
        <f>IF(AND(ISNUMBER(BA37),逐级计算!$X$53&gt;-1),IF(逐级计算!$X$53=0,BA37+逐级计算!$C$53,BA37+逐级计算!$C$53-(10/(逐级计算!$Q$53*LN(10))*(MAX((LN(10^(逐级计算!$Q$53/10)-1)+逐级计算!$Q$53*(BA37-逐级计算!$P$53)*LN(10)/10),0)+LN(1+EXP(-ABS((LN(10^(逐级计算!$Q$53/10)-1)+逐级计算!$Q$53*(BA37-逐级计算!$P$53)*LN(10)/10))))))),"")</f>
        <v>13.7930365455976</v>
      </c>
      <c r="BC37">
        <f>IF(AND(ISNUMBER(BB37),逐级计算!$X$54&gt;-1),IF(逐级计算!$X$54=0,BB37+逐级计算!$C$54,BB37+逐级计算!$C$54-(10/(逐级计算!$Q$54*LN(10))*(MAX((LN(10^(逐级计算!$Q$54/10)-1)+逐级计算!$Q$54*(BB37-逐级计算!$P$54)*LN(10)/10),0)+LN(1+EXP(-ABS((LN(10^(逐级计算!$Q$54/10)-1)+逐级计算!$Q$54*(BB37-逐级计算!$P$54)*LN(10)/10))))))),"")</f>
        <v>13.7930365455976</v>
      </c>
      <c r="BD37">
        <f>IF(AND(ISNUMBER(BC37),逐级计算!$X$55&gt;-1),IF(逐级计算!$X$55=0,BC37+逐级计算!$C$55,BC37+逐级计算!$C$55-(10/(逐级计算!$Q$55*LN(10))*(MAX((LN(10^(逐级计算!$Q$55/10)-1)+逐级计算!$Q$55*(BC37-逐级计算!$P$55)*LN(10)/10),0)+LN(1+EXP(-ABS((LN(10^(逐级计算!$Q$55/10)-1)+逐级计算!$Q$55*(BC37-逐级计算!$P$55)*LN(10)/10))))))),"")</f>
        <v>13.7930365455976</v>
      </c>
      <c r="BE37">
        <f>IF(AND(ISNUMBER(BD37),逐级计算!$X$56&gt;-1),IF(逐级计算!$X$56=0,BD37+逐级计算!$C$56,BD37+逐级计算!$C$56-(10/(逐级计算!$Q$56*LN(10))*(MAX((LN(10^(逐级计算!$Q$56/10)-1)+逐级计算!$Q$56*(BD37-逐级计算!$P$56)*LN(10)/10),0)+LN(1+EXP(-ABS((LN(10^(逐级计算!$Q$56/10)-1)+逐级计算!$Q$56*(BD37-逐级计算!$P$56)*LN(10)/10))))))),"")</f>
        <v>13.7930365455976</v>
      </c>
      <c r="BF37">
        <f>IF(AND(ISNUMBER(BE37),逐级计算!$X$57&gt;-1),IF(逐级计算!$X$57=0,BE37+逐级计算!$C$57,BE37+逐级计算!$C$57-(10/(逐级计算!$Q$57*LN(10))*(MAX((LN(10^(逐级计算!$Q$57/10)-1)+逐级计算!$Q$57*(BE37-逐级计算!$P$57)*LN(10)/10),0)+LN(1+EXP(-ABS((LN(10^(逐级计算!$Q$57/10)-1)+逐级计算!$Q$57*(BE37-逐级计算!$P$57)*LN(10)/10))))))),"")</f>
        <v>13.7930365455976</v>
      </c>
      <c r="BG37">
        <f>IF(AND(ISNUMBER(BF37),逐级计算!$X$58&gt;-1),IF(逐级计算!$X$58=0,BF37+逐级计算!$C$58,BF37+逐级计算!$C$58-(10/(逐级计算!$Q$58*LN(10))*(MAX((LN(10^(逐级计算!$Q$58/10)-1)+逐级计算!$Q$58*(BF37-逐级计算!$P$58)*LN(10)/10),0)+LN(1+EXP(-ABS((LN(10^(逐级计算!$Q$58/10)-1)+逐级计算!$Q$58*(BF37-逐级计算!$P$58)*LN(10)/10))))))),"")</f>
        <v>13.7930365455976</v>
      </c>
      <c r="BH37">
        <f>IF(AND(ISNUMBER(BG37),逐级计算!$X$59&gt;-1),IF(逐级计算!$X$59=0,BG37+逐级计算!$C$59,BG37+逐级计算!$C$59-(10/(逐级计算!$Q$59*LN(10))*(MAX((LN(10^(逐级计算!$Q$59/10)-1)+逐级计算!$Q$59*(BG37-逐级计算!$P$59)*LN(10)/10),0)+LN(1+EXP(-ABS((LN(10^(逐级计算!$Q$59/10)-1)+逐级计算!$Q$59*(BG37-逐级计算!$P$59)*LN(10)/10))))))),"")</f>
        <v>13.7930365455976</v>
      </c>
      <c r="BI37">
        <f>IF(AND(ISNUMBER(BH37),逐级计算!$X$60&gt;-1),IF(逐级计算!$X$60=0,BH37+逐级计算!$C$60,BH37+逐级计算!$C$60-(10/(逐级计算!$Q$60*LN(10))*(MAX((LN(10^(逐级计算!$Q$60/10)-1)+逐级计算!$Q$60*(BH37-逐级计算!$P$60)*LN(10)/10),0)+LN(1+EXP(-ABS((LN(10^(逐级计算!$Q$60/10)-1)+逐级计算!$Q$60*(BH37-逐级计算!$P$60)*LN(10)/10))))))),"")</f>
        <v>13.7930365455976</v>
      </c>
      <c r="BJ37">
        <f>IF(AND(ISNUMBER(BI37),逐级计算!$X$61&gt;-1),IF(逐级计算!$X$61=0,BI37+逐级计算!$C$61,BI37+逐级计算!$C$61-(10/(逐级计算!$Q$61*LN(10))*(MAX((LN(10^(逐级计算!$Q$61/10)-1)+逐级计算!$Q$61*(BI37-逐级计算!$P$61)*LN(10)/10),0)+LN(1+EXP(-ABS((LN(10^(逐级计算!$Q$61/10)-1)+逐级计算!$Q$61*(BI37-逐级计算!$P$61)*LN(10)/10))))))),"")</f>
        <v>13.7930365455976</v>
      </c>
      <c r="BK37">
        <f>IF(AND(ISNUMBER(BJ37),逐级计算!$X$62&gt;-1),IF(逐级计算!$X$62=0,BJ37+逐级计算!$C$62,BJ37+逐级计算!$C$62-(10/(逐级计算!$Q$62*LN(10))*(MAX((LN(10^(逐级计算!$Q$62/10)-1)+逐级计算!$Q$62*(BJ37-逐级计算!$P$62)*LN(10)/10),0)+LN(1+EXP(-ABS((LN(10^(逐级计算!$Q$62/10)-1)+逐级计算!$Q$62*(BJ37-逐级计算!$P$62)*LN(10)/10))))))),"")</f>
        <v>13.7930365455976</v>
      </c>
      <c r="BL37">
        <f>IF(AND(ISNUMBER(BK37),逐级计算!$X$63&gt;-1),IF(逐级计算!$X$63=0,BK37+逐级计算!$C$63,BK37+逐级计算!$C$63-(10/(逐级计算!$Q$63*LN(10))*(MAX((LN(10^(逐级计算!$Q$63/10)-1)+逐级计算!$Q$63*(BK37-逐级计算!$P$63)*LN(10)/10),0)+LN(1+EXP(-ABS((LN(10^(逐级计算!$Q$63/10)-1)+逐级计算!$Q$63*(BK37-逐级计算!$P$63)*LN(10)/10))))))),"")</f>
        <v>13.7930365455976</v>
      </c>
      <c r="BM37">
        <f>IF(AND(ISNUMBER(BL37),逐级计算!$X$64&gt;-1),IF(逐级计算!$X$64=0,BL37+逐级计算!$C$64,BL37+逐级计算!$C$64-(10/(逐级计算!$Q$64*LN(10))*(MAX((LN(10^(逐级计算!$Q$64/10)-1)+逐级计算!$Q$64*(BL37-逐级计算!$P$64)*LN(10)/10),0)+LN(1+EXP(-ABS((LN(10^(逐级计算!$Q$64/10)-1)+逐级计算!$Q$64*(BL37-逐级计算!$P$64)*LN(10)/10))))))),"")</f>
        <v>13.7930365455976</v>
      </c>
      <c r="BN37">
        <f>IF(AND(ISNUMBER(BM37),逐级计算!$X$65&gt;-1),IF(逐级计算!$X$65=0,BM37+逐级计算!$C$65,BM37+逐级计算!$C$65-(10/(逐级计算!$Q$65*LN(10))*(MAX((LN(10^(逐级计算!$Q$65/10)-1)+逐级计算!$Q$65*(BM37-逐级计算!$P$65)*LN(10)/10),0)+LN(1+EXP(-ABS((LN(10^(逐级计算!$Q$65/10)-1)+逐级计算!$Q$65*(BM37-逐级计算!$P$65)*LN(10)/10))))))),"")</f>
        <v>13.7930365455976</v>
      </c>
      <c r="BO37">
        <f>IF(AND(ISNUMBER(BN37),逐级计算!$X$66&gt;-1),IF(逐级计算!$X$66=0,BN37+逐级计算!$C$66,BN37+逐级计算!$C$66-(10/(逐级计算!$Q$66*LN(10))*(MAX((LN(10^(逐级计算!$Q$66/10)-1)+逐级计算!$Q$66*(BN37-逐级计算!$P$66)*LN(10)/10),0)+LN(1+EXP(-ABS((LN(10^(逐级计算!$Q$66/10)-1)+逐级计算!$Q$66*(BN37-逐级计算!$P$66)*LN(10)/10))))))),"")</f>
        <v>13.7930365455976</v>
      </c>
      <c r="BP37">
        <f>IF(AND(ISNUMBER(BO37),逐级计算!$X$67&gt;-1),IF(逐级计算!$X$67=0,BO37+逐级计算!$C$67,BO37+逐级计算!$C$67-(10/(逐级计算!$Q$67*LN(10))*(MAX((LN(10^(逐级计算!$Q$67/10)-1)+逐级计算!$Q$67*(BO37-逐级计算!$P$67)*LN(10)/10),0)+LN(1+EXP(-ABS((LN(10^(逐级计算!$Q$67/10)-1)+逐级计算!$Q$67*(BO37-逐级计算!$P$67)*LN(10)/10))))))),"")</f>
        <v>13.7930365455976</v>
      </c>
      <c r="BQ37">
        <f>IF(AND(ISNUMBER(BP37),逐级计算!$X$68&gt;-1),IF(逐级计算!$X$68=0,BP37+逐级计算!$C$68,BP37+逐级计算!$C$68-(10/(逐级计算!$Q$68*LN(10))*(MAX((LN(10^(逐级计算!$Q$68/10)-1)+逐级计算!$Q$68*(BP37-逐级计算!$P$68)*LN(10)/10),0)+LN(1+EXP(-ABS((LN(10^(逐级计算!$Q$68/10)-1)+逐级计算!$Q$68*(BP37-逐级计算!$P$68)*LN(10)/10))))))),"")</f>
        <v>13.7930365455976</v>
      </c>
      <c r="BR37">
        <f>IF(AND(ISNUMBER(BQ37),逐级计算!$X$69&gt;-1),IF(逐级计算!$X$69=0,BQ37+逐级计算!$C$69,BQ37+逐级计算!$C$69-(10/(逐级计算!$Q$69*LN(10))*(MAX((LN(10^(逐级计算!$Q$69/10)-1)+逐级计算!$Q$69*(BQ37-逐级计算!$P$69)*LN(10)/10),0)+LN(1+EXP(-ABS((LN(10^(逐级计算!$Q$69/10)-1)+逐级计算!$Q$69*(BQ37-逐级计算!$P$69)*LN(10)/10))))))),"")</f>
        <v>13.7930365455976</v>
      </c>
      <c r="BS37">
        <f>IF(AND(ISNUMBER(BR37),逐级计算!$X$70&gt;-1),IF(逐级计算!$X$70=0,BR37+逐级计算!$C$70,BR37+逐级计算!$C$70-(10/(逐级计算!$Q$70*LN(10))*(MAX((LN(10^(逐级计算!$Q$70/10)-1)+逐级计算!$Q$70*(BR37-逐级计算!$P$70)*LN(10)/10),0)+LN(1+EXP(-ABS((LN(10^(逐级计算!$Q$70/10)-1)+逐级计算!$Q$70*(BR37-逐级计算!$P$70)*LN(10)/10))))))),"")</f>
        <v>13.7930365455976</v>
      </c>
      <c r="BT37">
        <f>IF(AND(ISNUMBER(BS37),逐级计算!$X$71&gt;-1),IF(逐级计算!$X$71=0,BS37+逐级计算!$C$71,BS37+逐级计算!$C$71-(10/(逐级计算!$Q$71*LN(10))*(MAX((LN(10^(逐级计算!$Q$71/10)-1)+逐级计算!$Q$71*(BS37-逐级计算!$P$71)*LN(10)/10),0)+LN(1+EXP(-ABS((LN(10^(逐级计算!$Q$71/10)-1)+逐级计算!$Q$71*(BS37-逐级计算!$P$71)*LN(10)/10))))))),"")</f>
        <v>13.7930365455976</v>
      </c>
      <c r="BU37">
        <f>IF(AND(ISNUMBER(BT37),逐级计算!$X$72&gt;-1),IF(逐级计算!$X$72=0,BT37+逐级计算!$C$72,BT37+逐级计算!$C$72-(10/(逐级计算!$Q$72*LN(10))*(MAX((LN(10^(逐级计算!$Q$72/10)-1)+逐级计算!$Q$72*(BT37-逐级计算!$P$72)*LN(10)/10),0)+LN(1+EXP(-ABS((LN(10^(逐级计算!$Q$72/10)-1)+逐级计算!$Q$72*(BT37-逐级计算!$P$72)*LN(10)/10))))))),"")</f>
        <v>13.7930365455976</v>
      </c>
      <c r="BV37">
        <f>IF(AND(ISNUMBER(BU37),逐级计算!$X$73&gt;-1),IF(逐级计算!$X$73=0,BU37+逐级计算!$C$73,BU37+逐级计算!$C$73-(10/(逐级计算!$Q$73*LN(10))*(MAX((LN(10^(逐级计算!$Q$73/10)-1)+逐级计算!$Q$73*(BU37-逐级计算!$P$73)*LN(10)/10),0)+LN(1+EXP(-ABS((LN(10^(逐级计算!$Q$73/10)-1)+逐级计算!$Q$73*(BU37-逐级计算!$P$73)*LN(10)/10))))))),"")</f>
        <v>13.7930365455976</v>
      </c>
      <c r="BW37">
        <f>IF(AND(ISNUMBER(BV37),逐级计算!$X$74&gt;-1),IF(逐级计算!$X$74=0,BV37+逐级计算!$C$74,BV37+逐级计算!$C$74-(10/(逐级计算!$Q$74*LN(10))*(MAX((LN(10^(逐级计算!$Q$74/10)-1)+逐级计算!$Q$74*(BV37-逐级计算!$P$74)*LN(10)/10),0)+LN(1+EXP(-ABS((LN(10^(逐级计算!$Q$74/10)-1)+逐级计算!$Q$74*(BV37-逐级计算!$P$74)*LN(10)/10))))))),"")</f>
        <v>13.7930365455976</v>
      </c>
      <c r="BX37">
        <f>IF(AND(ISNUMBER(BW37),逐级计算!$X$75&gt;-1),IF(逐级计算!$X$75=0,BW37+逐级计算!$C$75,BW37+逐级计算!$C$75-(10/(逐级计算!$Q$75*LN(10))*(MAX((LN(10^(逐级计算!$Q$75/10)-1)+逐级计算!$Q$75*(BW37-逐级计算!$P$75)*LN(10)/10),0)+LN(1+EXP(-ABS((LN(10^(逐级计算!$Q$75/10)-1)+逐级计算!$Q$75*(BW37-逐级计算!$P$75)*LN(10)/10))))))),"")</f>
        <v>13.7930365455976</v>
      </c>
      <c r="BY37">
        <f>IF(AND(ISNUMBER(BX37),逐级计算!$X$76&gt;-1),IF(逐级计算!$X$76=0,BX37+逐级计算!$C$76,BX37+逐级计算!$C$76-(10/(逐级计算!$Q$76*LN(10))*(MAX((LN(10^(逐级计算!$Q$76/10)-1)+逐级计算!$Q$76*(BX37-逐级计算!$P$76)*LN(10)/10),0)+LN(1+EXP(-ABS((LN(10^(逐级计算!$Q$76/10)-1)+逐级计算!$Q$76*(BX37-逐级计算!$P$76)*LN(10)/10))))))),"")</f>
        <v>13.7930365455976</v>
      </c>
      <c r="BZ37">
        <f>IF(AND(ISNUMBER(BY37),逐级计算!$X$77&gt;-1),IF(逐级计算!$X$77=0,BY37+逐级计算!$C$77,BY37+逐级计算!$C$77-(10/(逐级计算!$Q$77*LN(10))*(MAX((LN(10^(逐级计算!$Q$77/10)-1)+逐级计算!$Q$77*(BY37-逐级计算!$P$77)*LN(10)/10),0)+LN(1+EXP(-ABS((LN(10^(逐级计算!$Q$77/10)-1)+逐级计算!$Q$77*(BY37-逐级计算!$P$77)*LN(10)/10))))))),"")</f>
        <v>13.7930365455976</v>
      </c>
      <c r="CA37">
        <f>IF(AND(ISNUMBER(BZ37),逐级计算!$X$78&gt;-1),IF(逐级计算!$X$78=0,BZ37+逐级计算!$C$78,BZ37+逐级计算!$C$78-(10/(逐级计算!$Q$78*LN(10))*(MAX((LN(10^(逐级计算!$Q$78/10)-1)+逐级计算!$Q$78*(BZ37-逐级计算!$P$78)*LN(10)/10),0)+LN(1+EXP(-ABS((LN(10^(逐级计算!$Q$78/10)-1)+逐级计算!$Q$78*(BZ37-逐级计算!$P$78)*LN(10)/10))))))),"")</f>
        <v>13.7930365455976</v>
      </c>
      <c r="CB37">
        <f>IF(AND(ISNUMBER(CA37),逐级计算!$X$79&gt;-1),IF(逐级计算!$X$79=0,CA37+逐级计算!$C$79,CA37+逐级计算!$C$79-(10/(逐级计算!$Q$79*LN(10))*(MAX((LN(10^(逐级计算!$Q$79/10)-1)+逐级计算!$Q$79*(CA37-逐级计算!$P$79)*LN(10)/10),0)+LN(1+EXP(-ABS((LN(10^(逐级计算!$Q$79/10)-1)+逐级计算!$Q$79*(CA37-逐级计算!$P$79)*LN(10)/10))))))),"")</f>
        <v>13.7930365455976</v>
      </c>
      <c r="CC37">
        <f>IF(AND(ISNUMBER(CB37),逐级计算!$X$80&gt;-1),IF(逐级计算!$X$80=0,CB37+逐级计算!$C$80,CB37+逐级计算!$C$80-(10/(逐级计算!$Q$80*LN(10))*(MAX((LN(10^(逐级计算!$Q$80/10)-1)+逐级计算!$Q$80*(CB37-逐级计算!$P$80)*LN(10)/10),0)+LN(1+EXP(-ABS((LN(10^(逐级计算!$Q$80/10)-1)+逐级计算!$Q$80*(CB37-逐级计算!$P$80)*LN(10)/10))))))),"")</f>
        <v>13.7930365455976</v>
      </c>
      <c r="CD37">
        <f>IF(AND(ISNUMBER(CC37),逐级计算!$X$81&gt;-1),IF(逐级计算!$X$81=0,CC37+逐级计算!$C$81,CC37+逐级计算!$C$81-(10/(逐级计算!$Q$81*LN(10))*(MAX((LN(10^(逐级计算!$Q$81/10)-1)+逐级计算!$Q$81*(CC37-逐级计算!$P$81)*LN(10)/10),0)+LN(1+EXP(-ABS((LN(10^(逐级计算!$Q$81/10)-1)+逐级计算!$Q$81*(CC37-逐级计算!$P$81)*LN(10)/10))))))),"")</f>
        <v>13.7930365455976</v>
      </c>
      <c r="CE37">
        <f>IF(AND(ISNUMBER(CD37),逐级计算!$X$82&gt;-1),IF(逐级计算!$X$82=0,CD37+逐级计算!$C$82,CD37+逐级计算!$C$82-(10/(逐级计算!$Q$82*LN(10))*(MAX((LN(10^(逐级计算!$Q$82/10)-1)+逐级计算!$Q$82*(CD37-逐级计算!$P$82)*LN(10)/10),0)+LN(1+EXP(-ABS((LN(10^(逐级计算!$Q$82/10)-1)+逐级计算!$Q$82*(CD37-逐级计算!$P$82)*LN(10)/10))))))),"")</f>
        <v>13.7930365455976</v>
      </c>
      <c r="CF37">
        <f>IF(AND(ISNUMBER(CE37),逐级计算!$X$83&gt;-1),IF(逐级计算!$X$83=0,CE37+逐级计算!$C$83,CE37+逐级计算!$C$83-(10/(逐级计算!$Q$83*LN(10))*(MAX((LN(10^(逐级计算!$Q$83/10)-1)+逐级计算!$Q$83*(CE37-逐级计算!$P$83)*LN(10)/10),0)+LN(1+EXP(-ABS((LN(10^(逐级计算!$Q$83/10)-1)+逐级计算!$Q$83*(CE37-逐级计算!$P$83)*LN(10)/10))))))),"")</f>
        <v>13.7930365455976</v>
      </c>
      <c r="CG37">
        <f>IF(AND(ISNUMBER(CF37),逐级计算!$X$84&gt;-1),IF(逐级计算!$X$84=0,CF37+逐级计算!$C$84,CF37+逐级计算!$C$84-(10/(逐级计算!$Q$84*LN(10))*(MAX((LN(10^(逐级计算!$Q$84/10)-1)+逐级计算!$Q$84*(CF37-逐级计算!$P$84)*LN(10)/10),0)+LN(1+EXP(-ABS((LN(10^(逐级计算!$Q$84/10)-1)+逐级计算!$Q$84*(CF37-逐级计算!$P$84)*LN(10)/10))))))),"")</f>
        <v>13.7930365455976</v>
      </c>
      <c r="CH37">
        <f>IF(AND(ISNUMBER(CG37),逐级计算!$X$85&gt;-1),IF(逐级计算!$X$85=0,CG37+逐级计算!$C$85,CG37+逐级计算!$C$85-(10/(逐级计算!$Q$85*LN(10))*(MAX((LN(10^(逐级计算!$Q$85/10)-1)+逐级计算!$Q$85*(CG37-逐级计算!$P$85)*LN(10)/10),0)+LN(1+EXP(-ABS((LN(10^(逐级计算!$Q$85/10)-1)+逐级计算!$Q$85*(CG37-逐级计算!$P$85)*LN(10)/10))))))),"")</f>
        <v>13.7930365455976</v>
      </c>
      <c r="CI37">
        <f>IF(AND(ISNUMBER(CH37),逐级计算!$X$86&gt;-1),IF(逐级计算!$X$86=0,CH37+逐级计算!$C$86,CH37+逐级计算!$C$86-(10/(逐级计算!$Q$86*LN(10))*(MAX((LN(10^(逐级计算!$Q$86/10)-1)+逐级计算!$Q$86*(CH37-逐级计算!$P$86)*LN(10)/10),0)+LN(1+EXP(-ABS((LN(10^(逐级计算!$Q$86/10)-1)+逐级计算!$Q$86*(CH37-逐级计算!$P$86)*LN(10)/10))))))),"")</f>
        <v>13.7930365455976</v>
      </c>
      <c r="CJ37">
        <f>IF(AND(ISNUMBER(CI37),逐级计算!$X$87&gt;-1),IF(逐级计算!$X$87=0,CI37+逐级计算!$C$87,CI37+逐级计算!$C$87-(10/(逐级计算!$Q$87*LN(10))*(MAX((LN(10^(逐级计算!$Q$87/10)-1)+逐级计算!$Q$87*(CI37-逐级计算!$P$87)*LN(10)/10),0)+LN(1+EXP(-ABS((LN(10^(逐级计算!$Q$87/10)-1)+逐级计算!$Q$87*(CI37-逐级计算!$P$87)*LN(10)/10))))))),"")</f>
        <v>13.7930365455976</v>
      </c>
      <c r="CK37">
        <f>IF(AND(ISNUMBER(CJ37),逐级计算!$X$88&gt;-1),IF(逐级计算!$X$88=0,CJ37+逐级计算!$C$88,CJ37+逐级计算!$C$88-(10/(逐级计算!$Q$88*LN(10))*(MAX((LN(10^(逐级计算!$Q$88/10)-1)+逐级计算!$Q$88*(CJ37-逐级计算!$P$88)*LN(10)/10),0)+LN(1+EXP(-ABS((LN(10^(逐级计算!$Q$88/10)-1)+逐级计算!$Q$88*(CJ37-逐级计算!$P$88)*LN(10)/10))))))),"")</f>
        <v>13.7930365455976</v>
      </c>
      <c r="CL37">
        <f>IF(AND(ISNUMBER(CK37),逐级计算!$X$89&gt;-1),IF(逐级计算!$X$89=0,CK37+逐级计算!$C$89,CK37+逐级计算!$C$89-(10/(逐级计算!$Q$89*LN(10))*(MAX((LN(10^(逐级计算!$Q$89/10)-1)+逐级计算!$Q$89*(CK37-逐级计算!$P$89)*LN(10)/10),0)+LN(1+EXP(-ABS((LN(10^(逐级计算!$Q$89/10)-1)+逐级计算!$Q$89*(CK37-逐级计算!$P$89)*LN(10)/10))))))),"")</f>
        <v>13.7930365455976</v>
      </c>
      <c r="CM37">
        <f>IF(AND(ISNUMBER(CL37),逐级计算!$X$90&gt;-1),IF(逐级计算!$X$90=0,CL37+逐级计算!$C$90,CL37+逐级计算!$C$90-(10/(逐级计算!$Q$90*LN(10))*(MAX((LN(10^(逐级计算!$Q$90/10)-1)+逐级计算!$Q$90*(CL37-逐级计算!$P$90)*LN(10)/10),0)+LN(1+EXP(-ABS((LN(10^(逐级计算!$Q$90/10)-1)+逐级计算!$Q$90*(CL37-逐级计算!$P$90)*LN(10)/10))))))),"")</f>
        <v>13.7930365455976</v>
      </c>
      <c r="CN37">
        <f>IF(AND(ISNUMBER(CM37),逐级计算!$X$91&gt;-1),IF(逐级计算!$X$91=0,CM37+逐级计算!$C$91,CM37+逐级计算!$C$91-(10/(逐级计算!$Q$91*LN(10))*(MAX((LN(10^(逐级计算!$Q$91/10)-1)+逐级计算!$Q$91*(CM37-逐级计算!$P$91)*LN(10)/10),0)+LN(1+EXP(-ABS((LN(10^(逐级计算!$Q$91/10)-1)+逐级计算!$Q$91*(CM37-逐级计算!$P$91)*LN(10)/10))))))),"")</f>
        <v>13.7930365455976</v>
      </c>
      <c r="CO37">
        <f>IF(AND(ISNUMBER(CN37),逐级计算!$X$92&gt;-1),IF(逐级计算!$X$92=0,CN37+逐级计算!$C$92,CN37+逐级计算!$C$92-(10/(逐级计算!$Q$92*LN(10))*(MAX((LN(10^(逐级计算!$Q$92/10)-1)+逐级计算!$Q$92*(CN37-逐级计算!$P$92)*LN(10)/10),0)+LN(1+EXP(-ABS((LN(10^(逐级计算!$Q$92/10)-1)+逐级计算!$Q$92*(CN37-逐级计算!$P$92)*LN(10)/10))))))),"")</f>
        <v>13.7930365455976</v>
      </c>
      <c r="CP37">
        <f>IF(AND(ISNUMBER(CO37),逐级计算!$X$93&gt;-1),IF(逐级计算!$X$93=0,CO37+逐级计算!$C$93,CO37+逐级计算!$C$93-(10/(逐级计算!$Q$93*LN(10))*(MAX((LN(10^(逐级计算!$Q$93/10)-1)+逐级计算!$Q$93*(CO37-逐级计算!$P$93)*LN(10)/10),0)+LN(1+EXP(-ABS((LN(10^(逐级计算!$Q$93/10)-1)+逐级计算!$Q$93*(CO37-逐级计算!$P$93)*LN(10)/10))))))),"")</f>
        <v>13.7930365455976</v>
      </c>
      <c r="CQ37">
        <f>IF(AND(ISNUMBER(CP37),逐级计算!$X$94&gt;-1),IF(逐级计算!$X$94=0,CP37+逐级计算!$C$94,CP37+逐级计算!$C$94-(10/(逐级计算!$Q$94*LN(10))*(MAX((LN(10^(逐级计算!$Q$94/10)-1)+逐级计算!$Q$94*(CP37-逐级计算!$P$94)*LN(10)/10),0)+LN(1+EXP(-ABS((LN(10^(逐级计算!$Q$94/10)-1)+逐级计算!$Q$94*(CP37-逐级计算!$P$94)*LN(10)/10))))))),"")</f>
        <v>13.7930365455976</v>
      </c>
      <c r="CR37">
        <f>IF(AND(ISNUMBER(CQ37),逐级计算!$X$95&gt;-1),IF(逐级计算!$X$95=0,CQ37+逐级计算!$C$95,CQ37+逐级计算!$C$95-(10/(逐级计算!$Q$95*LN(10))*(MAX((LN(10^(逐级计算!$Q$95/10)-1)+逐级计算!$Q$95*(CQ37-逐级计算!$P$95)*LN(10)/10),0)+LN(1+EXP(-ABS((LN(10^(逐级计算!$Q$95/10)-1)+逐级计算!$Q$95*(CQ37-逐级计算!$P$95)*LN(10)/10))))))),"")</f>
        <v>13.7930365455976</v>
      </c>
      <c r="CS37">
        <f>IF(AND(ISNUMBER(CR37),逐级计算!$X$96&gt;-1),IF(逐级计算!$X$96=0,CR37+逐级计算!$C$96,CR37+逐级计算!$C$96-(10/(逐级计算!$Q$96*LN(10))*(MAX((LN(10^(逐级计算!$Q$96/10)-1)+逐级计算!$Q$96*(CR37-逐级计算!$P$96)*LN(10)/10),0)+LN(1+EXP(-ABS((LN(10^(逐级计算!$Q$96/10)-1)+逐级计算!$Q$96*(CR37-逐级计算!$P$96)*LN(10)/10))))))),"")</f>
        <v>13.7930365455976</v>
      </c>
      <c r="CT37">
        <f>IF(AND(ISNUMBER(CS37),逐级计算!$X$97&gt;-1),IF(逐级计算!$X$97=0,CS37+逐级计算!$C$97,CS37+逐级计算!$C$97-(10/(逐级计算!$Q$97*LN(10))*(MAX((LN(10^(逐级计算!$Q$97/10)-1)+逐级计算!$Q$97*(CS37-逐级计算!$P$97)*LN(10)/10),0)+LN(1+EXP(-ABS((LN(10^(逐级计算!$Q$97/10)-1)+逐级计算!$Q$97*(CS37-逐级计算!$P$97)*LN(10)/10))))))),"")</f>
        <v>13.7930365455976</v>
      </c>
      <c r="CU37">
        <f>IF(AND(ISNUMBER(CT37),逐级计算!$X$98&gt;-1),IF(逐级计算!$X$98=0,CT37+逐级计算!$C$98,CT37+逐级计算!$C$98-(10/(逐级计算!$Q$98*LN(10))*(MAX((LN(10^(逐级计算!$Q$98/10)-1)+逐级计算!$Q$98*(CT37-逐级计算!$P$98)*LN(10)/10),0)+LN(1+EXP(-ABS((LN(10^(逐级计算!$Q$98/10)-1)+逐级计算!$Q$98*(CT37-逐级计算!$P$98)*LN(10)/10))))))),"")</f>
        <v>13.7930365455976</v>
      </c>
      <c r="CV37">
        <f>IF(AND(ISNUMBER(CU37),逐级计算!$X$99&gt;-1),IF(逐级计算!$X$99=0,CU37+逐级计算!$C$99,CU37+逐级计算!$C$99-(10/(逐级计算!$Q$99*LN(10))*(MAX((LN(10^(逐级计算!$Q$99/10)-1)+逐级计算!$Q$99*(CU37-逐级计算!$P$99)*LN(10)/10),0)+LN(1+EXP(-ABS((LN(10^(逐级计算!$Q$99/10)-1)+逐级计算!$Q$99*(CU37-逐级计算!$P$99)*LN(10)/10))))))),"")</f>
        <v>13.7930365455976</v>
      </c>
      <c r="CW37">
        <f>IF(AND(ISNUMBER(CV37),逐级计算!$X$100&gt;-1),IF(逐级计算!$X$100=0,CV37+逐级计算!$C$100,CV37+逐级计算!$C$100-(10/(逐级计算!$Q$100*LN(10))*(MAX((LN(10^(逐级计算!$Q$100/10)-1)+逐级计算!$Q$100*(CV37-逐级计算!$P$100)*LN(10)/10),0)+LN(1+EXP(-ABS((LN(10^(逐级计算!$Q$100/10)-1)+逐级计算!$Q$100*(CV37-逐级计算!$P$100)*LN(10)/10))))))),"")</f>
        <v>13.7930365455976</v>
      </c>
      <c r="CX37">
        <f>IF(AND(ISNUMBER(CW37),逐级计算!$X$101&gt;-1),IF(逐级计算!$X$101=0,CW37+逐级计算!$C$101,CW37+逐级计算!$C$101-(10/(逐级计算!$Q$101*LN(10))*(MAX((LN(10^(逐级计算!$Q$101/10)-1)+逐级计算!$Q$101*(CW37-逐级计算!$P$101)*LN(10)/10),0)+LN(1+EXP(-ABS((LN(10^(逐级计算!$Q$101/10)-1)+逐级计算!$Q$101*(CW37-逐级计算!$P$101)*LN(10)/10))))))),"")</f>
        <v>13.7930365455976</v>
      </c>
      <c r="CY37">
        <f>IF(AND(ISNUMBER(CX37),逐级计算!$X$102&gt;-1),IF(逐级计算!$X$102=0,CX37+逐级计算!$C$102,CX37+逐级计算!$C$102-(10/(逐级计算!$Q$102*LN(10))*(MAX((LN(10^(逐级计算!$Q$102/10)-1)+逐级计算!$Q$102*(CX37-逐级计算!$P$102)*LN(10)/10),0)+LN(1+EXP(-ABS((LN(10^(逐级计算!$Q$102/10)-1)+逐级计算!$Q$102*(CX37-逐级计算!$P$102)*LN(10)/10))))))),"")</f>
        <v>13.7930365455976</v>
      </c>
      <c r="CZ37">
        <f>IF(AND(ISNUMBER(CY37),逐级计算!$X$103&gt;-1),IF(逐级计算!$X$103=0,CY37+逐级计算!$C$103,CY37+逐级计算!$C$103-(10/(逐级计算!$Q$103*LN(10))*(MAX((LN(10^(逐级计算!$Q$103/10)-1)+逐级计算!$Q$103*(CY37-逐级计算!$P$103)*LN(10)/10),0)+LN(1+EXP(-ABS((LN(10^(逐级计算!$Q$103/10)-1)+逐级计算!$Q$103*(CY37-逐级计算!$P$103)*LN(10)/10))))))),"")</f>
        <v>13.7930365455976</v>
      </c>
      <c r="DA37">
        <f>IF(AND(ISNUMBER(CZ37),逐级计算!$X$104&gt;-1),IF(逐级计算!$X$104=0,CZ37+逐级计算!$C$104,CZ37+逐级计算!$C$104-(10/(逐级计算!$Q$104*LN(10))*(MAX((LN(10^(逐级计算!$Q$104/10)-1)+逐级计算!$Q$104*(CZ37-逐级计算!$P$104)*LN(10)/10),0)+LN(1+EXP(-ABS((LN(10^(逐级计算!$Q$104/10)-1)+逐级计算!$Q$104*(CZ37-逐级计算!$P$104)*LN(10)/10))))))),"")</f>
        <v>13.7930365455976</v>
      </c>
      <c r="DB37">
        <f>IF(AND(ISNUMBER(DA37),逐级计算!$X$105&gt;-1),IF(逐级计算!$X$105=0,DA37+逐级计算!$C$105,DA37+逐级计算!$C$105-(10/(逐级计算!$Q$105*LN(10))*(MAX((LN(10^(逐级计算!$Q$105/10)-1)+逐级计算!$Q$105*(DA37-逐级计算!$P$105)*LN(10)/10),0)+LN(1+EXP(-ABS((LN(10^(逐级计算!$Q$105/10)-1)+逐级计算!$Q$105*(DA37-逐级计算!$P$105)*LN(10)/10))))))),"")</f>
        <v>13.7930365455976</v>
      </c>
      <c r="DC37">
        <f>IF(AND(ISNUMBER(DB37),逐级计算!$X$106&gt;-1),IF(逐级计算!$X$106=0,DB37+逐级计算!$C$106,DB37+逐级计算!$C$106-(10/(逐级计算!$Q$106*LN(10))*(MAX((LN(10^(逐级计算!$Q$106/10)-1)+逐级计算!$Q$106*(DB37-逐级计算!$P$106)*LN(10)/10),0)+LN(1+EXP(-ABS((LN(10^(逐级计算!$Q$106/10)-1)+逐级计算!$Q$106*(DB37-逐级计算!$P$106)*LN(10)/10))))))),"")</f>
        <v>13.7930365455976</v>
      </c>
      <c r="DD37">
        <f>IF(AND(ISNUMBER(DC37),逐级计算!$X$107&gt;-1),IF(逐级计算!$X$107=0,DC37+逐级计算!$C$107,DC37+逐级计算!$C$107-(10/(逐级计算!$Q$107*LN(10))*(MAX((LN(10^(逐级计算!$Q$107/10)-1)+逐级计算!$Q$107*(DC37-逐级计算!$P$107)*LN(10)/10),0)+LN(1+EXP(-ABS((LN(10^(逐级计算!$Q$107/10)-1)+逐级计算!$Q$107*(DC37-逐级计算!$P$107)*LN(10)/10))))))),"")</f>
        <v>13.7930365455976</v>
      </c>
      <c r="DE37">
        <f>IF(AND(ISNUMBER(DD37),逐级计算!$X$108&gt;-1),IF(逐级计算!$X$108=0,DD37+逐级计算!$C$108,DD37+逐级计算!$C$108-(10/(逐级计算!$Q$108*LN(10))*(MAX((LN(10^(逐级计算!$Q$108/10)-1)+逐级计算!$Q$108*(DD37-逐级计算!$P$108)*LN(10)/10),0)+LN(1+EXP(-ABS((LN(10^(逐级计算!$Q$108/10)-1)+逐级计算!$Q$108*(DD37-逐级计算!$P$108)*LN(10)/10))))))),"")</f>
        <v>13.7930365455976</v>
      </c>
      <c r="DF37">
        <f>IF(AND(ISNUMBER(DE37),逐级计算!$X$109&gt;-1),IF(逐级计算!$X$109=0,DE37+逐级计算!$C$109,DE37+逐级计算!$C$109-(10/(逐级计算!$Q$109*LN(10))*(MAX((LN(10^(逐级计算!$Q$109/10)-1)+逐级计算!$Q$109*(DE37-逐级计算!$P$109)*LN(10)/10),0)+LN(1+EXP(-ABS((LN(10^(逐级计算!$Q$109/10)-1)+逐级计算!$Q$109*(DE37-逐级计算!$P$109)*LN(10)/10))))))),"")</f>
        <v>13.7930365455976</v>
      </c>
      <c r="DG37">
        <f>IF(AND(ISNUMBER(DF37),逐级计算!$X$110&gt;-1),IF(逐级计算!$X$110=0,DF37+逐级计算!$C$110,DF37+逐级计算!$C$110-(10/(逐级计算!$Q$110*LN(10))*(MAX((LN(10^(逐级计算!$Q$110/10)-1)+逐级计算!$Q$110*(DF37-逐级计算!$P$110)*LN(10)/10),0)+LN(1+EXP(-ABS((LN(10^(逐级计算!$Q$110/10)-1)+逐级计算!$Q$110*(DF37-逐级计算!$P$110)*LN(10)/10))))))),"")</f>
        <v>13.7930365455976</v>
      </c>
      <c r="DH37">
        <f>IF(AND(ISNUMBER(DG37),逐级计算!$X$111&gt;-1),IF(逐级计算!$X$111=0,DG37+逐级计算!$C$111,DG37+逐级计算!$C$111-(10/(逐级计算!$Q$111*LN(10))*(MAX((LN(10^(逐级计算!$Q$111/10)-1)+逐级计算!$Q$111*(DG37-逐级计算!$P$111)*LN(10)/10),0)+LN(1+EXP(-ABS((LN(10^(逐级计算!$Q$111/10)-1)+逐级计算!$Q$111*(DG37-逐级计算!$P$111)*LN(10)/10))))))),"")</f>
        <v>13.7930365455976</v>
      </c>
      <c r="DI37">
        <f>IF(AND(ISNUMBER(DH37),逐级计算!$X$112&gt;-1),IF(逐级计算!$X$112=0,DH37+逐级计算!$C$112,DH37+逐级计算!$C$112-(10/(逐级计算!$Q$112*LN(10))*(MAX((LN(10^(逐级计算!$Q$112/10)-1)+逐级计算!$Q$112*(DH37-逐级计算!$P$112)*LN(10)/10),0)+LN(1+EXP(-ABS((LN(10^(逐级计算!$Q$112/10)-1)+逐级计算!$Q$112*(DH37-逐级计算!$P$112)*LN(10)/10))))))),"")</f>
        <v>13.7930365455976</v>
      </c>
      <c r="DJ37">
        <f>IF(AND(ISNUMBER(DI37),逐级计算!$X$113&gt;-1),IF(逐级计算!$X$113=0,DI37+逐级计算!$C$113,DI37+逐级计算!$C$113-(10/(逐级计算!$Q$113*LN(10))*(MAX((LN(10^(逐级计算!$Q$113/10)-1)+逐级计算!$Q$113*(DI37-逐级计算!$P$113)*LN(10)/10),0)+LN(1+EXP(-ABS((LN(10^(逐级计算!$Q$113/10)-1)+逐级计算!$Q$113*(DI37-逐级计算!$P$113)*LN(10)/10))))))),"")</f>
        <v>13.7930365455976</v>
      </c>
      <c r="DK37">
        <f>IF(AND(ISNUMBER(DJ37),逐级计算!$X$114&gt;-1),IF(逐级计算!$X$114=0,DJ37+逐级计算!$C$114,DJ37+逐级计算!$C$114-(10/(逐级计算!$Q$114*LN(10))*(MAX((LN(10^(逐级计算!$Q$114/10)-1)+逐级计算!$Q$114*(DJ37-逐级计算!$P$114)*LN(10)/10),0)+LN(1+EXP(-ABS((LN(10^(逐级计算!$Q$114/10)-1)+逐级计算!$Q$114*(DJ37-逐级计算!$P$114)*LN(10)/10))))))),"")</f>
        <v>13.7930365455976</v>
      </c>
      <c r="DL37">
        <f>IF(AND(ISNUMBER(DK37),逐级计算!$X$115&gt;-1),IF(逐级计算!$X$115=0,DK37+逐级计算!$C$115,DK37+逐级计算!$C$115-(10/(逐级计算!$Q$115*LN(10))*(MAX((LN(10^(逐级计算!$Q$115/10)-1)+逐级计算!$Q$115*(DK37-逐级计算!$P$115)*LN(10)/10),0)+LN(1+EXP(-ABS((LN(10^(逐级计算!$Q$115/10)-1)+逐级计算!$Q$115*(DK37-逐级计算!$P$115)*LN(10)/10))))))),"")</f>
        <v>13.7930365455976</v>
      </c>
      <c r="DM37">
        <f>IF(AND(ISNUMBER(DL37),逐级计算!$X$116&gt;-1),IF(逐级计算!$X$116=0,DL37+逐级计算!$C$116,DL37+逐级计算!$C$116-(10/(逐级计算!$Q$116*LN(10))*(MAX((LN(10^(逐级计算!$Q$116/10)-1)+逐级计算!$Q$116*(DL37-逐级计算!$P$116)*LN(10)/10),0)+LN(1+EXP(-ABS((LN(10^(逐级计算!$Q$116/10)-1)+逐级计算!$Q$116*(DL37-逐级计算!$P$116)*LN(10)/10))))))),"")</f>
        <v>13.7930365455976</v>
      </c>
      <c r="DN37">
        <f>IF(AND(ISNUMBER(DM37),逐级计算!$X$117&gt;-1),IF(逐级计算!$X$117=0,DM37+逐级计算!$C$117,DM37+逐级计算!$C$117-(10/(逐级计算!$Q$117*LN(10))*(MAX((LN(10^(逐级计算!$Q$117/10)-1)+逐级计算!$Q$117*(DM37-逐级计算!$P$117)*LN(10)/10),0)+LN(1+EXP(-ABS((LN(10^(逐级计算!$Q$117/10)-1)+逐级计算!$Q$117*(DM37-逐级计算!$P$117)*LN(10)/10))))))),"")</f>
        <v>13.7930365455976</v>
      </c>
      <c r="DO37">
        <f>IF(AND(ISNUMBER(DN37),逐级计算!$X$118&gt;-1),IF(逐级计算!$X$118=0,DN37+逐级计算!$C$118,DN37+逐级计算!$C$118-(10/(逐级计算!$Q$118*LN(10))*(MAX((LN(10^(逐级计算!$Q$118/10)-1)+逐级计算!$Q$118*(DN37-逐级计算!$P$118)*LN(10)/10),0)+LN(1+EXP(-ABS((LN(10^(逐级计算!$Q$118/10)-1)+逐级计算!$Q$118*(DN37-逐级计算!$P$118)*LN(10)/10))))))),"")</f>
        <v>13.7930365455976</v>
      </c>
      <c r="DP37">
        <f>IF(AND(ISNUMBER(DO37),逐级计算!$X$119&gt;-1),IF(逐级计算!$X$119=0,DO37+逐级计算!$C$119,DO37+逐级计算!$C$119-(10/(逐级计算!$Q$119*LN(10))*(MAX((LN(10^(逐级计算!$Q$119/10)-1)+逐级计算!$Q$119*(DO37-逐级计算!$P$119)*LN(10)/10),0)+LN(1+EXP(-ABS((LN(10^(逐级计算!$Q$119/10)-1)+逐级计算!$Q$119*(DO37-逐级计算!$P$119)*LN(10)/10))))))),"")</f>
        <v>13.7930365455976</v>
      </c>
      <c r="DQ37">
        <f>IF(AND(ISNUMBER(DP37),逐级计算!$X$120&gt;-1),IF(逐级计算!$X$120=0,DP37+逐级计算!$C$120,DP37+逐级计算!$C$120-(10/(逐级计算!$Q$120*LN(10))*(MAX((LN(10^(逐级计算!$Q$120/10)-1)+逐级计算!$Q$120*(DP37-逐级计算!$P$120)*LN(10)/10),0)+LN(1+EXP(-ABS((LN(10^(逐级计算!$Q$120/10)-1)+逐级计算!$Q$120*(DP37-逐级计算!$P$120)*LN(10)/10))))))),"")</f>
        <v>13.7930365455976</v>
      </c>
      <c r="DR37">
        <f>IF(AND(ISNUMBER(DQ37),逐级计算!$X$121&gt;-1),IF(逐级计算!$X$121=0,DQ37+逐级计算!$C$121,DQ37+逐级计算!$C$121-(10/(逐级计算!$Q$121*LN(10))*(MAX((LN(10^(逐级计算!$Q$121/10)-1)+逐级计算!$Q$121*(DQ37-逐级计算!$P$121)*LN(10)/10),0)+LN(1+EXP(-ABS((LN(10^(逐级计算!$Q$121/10)-1)+逐级计算!$Q$121*(DQ37-逐级计算!$P$121)*LN(10)/10))))))),"")</f>
        <v>13.7930365455976</v>
      </c>
      <c r="DS37">
        <f>IF(AND(ISNUMBER(DR37),逐级计算!$X$122&gt;-1),IF(逐级计算!$X$122=0,DR37+逐级计算!$C$122,DR37+逐级计算!$C$122-(10/(逐级计算!$Q$122*LN(10))*(MAX((LN(10^(逐级计算!$Q$122/10)-1)+逐级计算!$Q$122*(DR37-逐级计算!$P$122)*LN(10)/10),0)+LN(1+EXP(-ABS((LN(10^(逐级计算!$Q$122/10)-1)+逐级计算!$Q$122*(DR37-逐级计算!$P$122)*LN(10)/10))))))),"")</f>
        <v>13.7930365455976</v>
      </c>
      <c r="DT37">
        <f>IF(AND(ISNUMBER(DS37),逐级计算!$X$123&gt;-1),IF(逐级计算!$X$123=0,DS37+逐级计算!$C$123,DS37+逐级计算!$C$123-(10/(逐级计算!$Q$123*LN(10))*(MAX((LN(10^(逐级计算!$Q$123/10)-1)+逐级计算!$Q$123*(DS37-逐级计算!$P$123)*LN(10)/10),0)+LN(1+EXP(-ABS((LN(10^(逐级计算!$Q$123/10)-1)+逐级计算!$Q$123*(DS37-逐级计算!$P$123)*LN(10)/10))))))),"")</f>
        <v>13.7930365455976</v>
      </c>
      <c r="DU37">
        <f>IF(AND(ISNUMBER(DT37),逐级计算!$X$124&gt;-1),IF(逐级计算!$X$124=0,DT37+逐级计算!$C$124,DT37+逐级计算!$C$124-(10/(逐级计算!$Q$124*LN(10))*(MAX((LN(10^(逐级计算!$Q$124/10)-1)+逐级计算!$Q$124*(DT37-逐级计算!$P$124)*LN(10)/10),0)+LN(1+EXP(-ABS((LN(10^(逐级计算!$Q$124/10)-1)+逐级计算!$Q$124*(DT37-逐级计算!$P$124)*LN(10)/10))))))),"")</f>
        <v>13.7930365455976</v>
      </c>
      <c r="DV37">
        <f>IF(AND(ISNUMBER(DU37),逐级计算!$X$125&gt;-1),IF(逐级计算!$X$125=0,DU37+逐级计算!$C$125,DU37+逐级计算!$C$125-(10/(逐级计算!$Q$125*LN(10))*(MAX((LN(10^(逐级计算!$Q$125/10)-1)+逐级计算!$Q$125*(DU37-逐级计算!$P$125)*LN(10)/10),0)+LN(1+EXP(-ABS((LN(10^(逐级计算!$Q$125/10)-1)+逐级计算!$Q$125*(DU37-逐级计算!$P$125)*LN(10)/10))))))),"")</f>
        <v>13.7930365455976</v>
      </c>
      <c r="DW37">
        <f>IF(AND(ISNUMBER(DV37),逐级计算!$X$126&gt;-1),IF(逐级计算!$X$126=0,DV37+逐级计算!$C$126,DV37+逐级计算!$C$126-(10/(逐级计算!$Q$126*LN(10))*(MAX((LN(10^(逐级计算!$Q$126/10)-1)+逐级计算!$Q$126*(DV37-逐级计算!$P$126)*LN(10)/10),0)+LN(1+EXP(-ABS((LN(10^(逐级计算!$Q$126/10)-1)+逐级计算!$Q$126*(DV37-逐级计算!$P$126)*LN(10)/10))))))),"")</f>
        <v>13.7930365455976</v>
      </c>
      <c r="DX37">
        <f>IF(AND(ISNUMBER(DW37),逐级计算!$X$127&gt;-1),IF(逐级计算!$X$127=0,DW37+逐级计算!$C$127,DW37+逐级计算!$C$127-(10/(逐级计算!$Q$127*LN(10))*(MAX((LN(10^(逐级计算!$Q$127/10)-1)+逐级计算!$Q$127*(DW37-逐级计算!$P$127)*LN(10)/10),0)+LN(1+EXP(-ABS((LN(10^(逐级计算!$Q$127/10)-1)+逐级计算!$Q$127*(DW37-逐级计算!$P$127)*LN(10)/10))))))),"")</f>
        <v>13.7930365455976</v>
      </c>
      <c r="DY37">
        <f>IF(AND(ISNUMBER(DX37),逐级计算!$X$128&gt;-1),IF(逐级计算!$X$128=0,DX37+逐级计算!$C$128,DX37+逐级计算!$C$128-(10/(逐级计算!$Q$128*LN(10))*(MAX((LN(10^(逐级计算!$Q$128/10)-1)+逐级计算!$Q$128*(DX37-逐级计算!$P$128)*LN(10)/10),0)+LN(1+EXP(-ABS((LN(10^(逐级计算!$Q$128/10)-1)+逐级计算!$Q$128*(DX37-逐级计算!$P$128)*LN(10)/10))))))),"")</f>
        <v>13.7930365455976</v>
      </c>
      <c r="DZ37">
        <f>IF(AND(ISNUMBER(DY37),逐级计算!$X$129&gt;-1),IF(逐级计算!$X$129=0,DY37+逐级计算!$C$129,DY37+逐级计算!$C$129-(10/(逐级计算!$Q$129*LN(10))*(MAX((LN(10^(逐级计算!$Q$129/10)-1)+逐级计算!$Q$129*(DY37-逐级计算!$P$129)*LN(10)/10),0)+LN(1+EXP(-ABS((LN(10^(逐级计算!$Q$129/10)-1)+逐级计算!$Q$129*(DY37-逐级计算!$P$129)*LN(10)/10))))))),"")</f>
        <v>13.7930365455976</v>
      </c>
      <c r="EA37">
        <f>IF(AND(ISNUMBER(DZ37),逐级计算!$X$130&gt;-1),IF(逐级计算!$X$130=0,DZ37+逐级计算!$C$130,DZ37+逐级计算!$C$130-(10/(逐级计算!$Q$130*LN(10))*(MAX((LN(10^(逐级计算!$Q$130/10)-1)+逐级计算!$Q$130*(DZ37-逐级计算!$P$130)*LN(10)/10),0)+LN(1+EXP(-ABS((LN(10^(逐级计算!$Q$130/10)-1)+逐级计算!$Q$130*(DZ37-逐级计算!$P$130)*LN(10)/10))))))),"")</f>
        <v>13.7930365455976</v>
      </c>
      <c r="EB37">
        <f>IF(AND(ISNUMBER(EA37),逐级计算!$X$131&gt;-1),IF(逐级计算!$X$131=0,EA37+逐级计算!$C$131,EA37+逐级计算!$C$131-(10/(逐级计算!$Q$131*LN(10))*(MAX((LN(10^(逐级计算!$Q$131/10)-1)+逐级计算!$Q$131*(EA37-逐级计算!$P$131)*LN(10)/10),0)+LN(1+EXP(-ABS((LN(10^(逐级计算!$Q$131/10)-1)+逐级计算!$Q$131*(EA37-逐级计算!$P$131)*LN(10)/10))))))),"")</f>
        <v>13.7930365455976</v>
      </c>
      <c r="EC37">
        <f>IF(AND(ISNUMBER(EB37),逐级计算!$X$132&gt;-1),IF(逐级计算!$X$132=0,EB37+逐级计算!$C$132,EB37+逐级计算!$C$132-(10/(逐级计算!$Q$132*LN(10))*(MAX((LN(10^(逐级计算!$Q$132/10)-1)+逐级计算!$Q$132*(EB37-逐级计算!$P$132)*LN(10)/10),0)+LN(1+EXP(-ABS((LN(10^(逐级计算!$Q$132/10)-1)+逐级计算!$Q$132*(EB37-逐级计算!$P$132)*LN(10)/10))))))),"")</f>
        <v>13.7930365455976</v>
      </c>
      <c r="ED37">
        <f>IF(AND(ISNUMBER(EC37),逐级计算!$X$133&gt;-1),IF(逐级计算!$X$133=0,EC37+逐级计算!$C$133,EC37+逐级计算!$C$133-(10/(逐级计算!$Q$133*LN(10))*(MAX((LN(10^(逐级计算!$Q$133/10)-1)+逐级计算!$Q$133*(EC37-逐级计算!$P$133)*LN(10)/10),0)+LN(1+EXP(-ABS((LN(10^(逐级计算!$Q$133/10)-1)+逐级计算!$Q$133*(EC37-逐级计算!$P$133)*LN(10)/10))))))),"")</f>
        <v>13.7930365455976</v>
      </c>
      <c r="EE37">
        <f>IF(AND(ISNUMBER(ED37),逐级计算!$X$134&gt;-1),IF(逐级计算!$X$134=0,ED37+逐级计算!$C$134,ED37+逐级计算!$C$134-(10/(逐级计算!$Q$134*LN(10))*(MAX((LN(10^(逐级计算!$Q$134/10)-1)+逐级计算!$Q$134*(ED37-逐级计算!$P$134)*LN(10)/10),0)+LN(1+EXP(-ABS((LN(10^(逐级计算!$Q$134/10)-1)+逐级计算!$Q$134*(ED37-逐级计算!$P$134)*LN(10)/10))))))),"")</f>
        <v>13.7930365455976</v>
      </c>
      <c r="EF37">
        <f>IF(AND(ISNUMBER(EE37),逐级计算!$X$135&gt;-1),IF(逐级计算!$X$135=0,EE37+逐级计算!$C$135,EE37+逐级计算!$C$135-(10/(逐级计算!$Q$135*LN(10))*(MAX((LN(10^(逐级计算!$Q$135/10)-1)+逐级计算!$Q$135*(EE37-逐级计算!$P$135)*LN(10)/10),0)+LN(1+EXP(-ABS((LN(10^(逐级计算!$Q$135/10)-1)+逐级计算!$Q$135*(EE37-逐级计算!$P$135)*LN(10)/10))))))),"")</f>
        <v>13.7930365455976</v>
      </c>
      <c r="EG37">
        <f>IF(AND(ISNUMBER(EF37),逐级计算!$X$136&gt;-1),IF(逐级计算!$X$136=0,EF37+逐级计算!$C$136,EF37+逐级计算!$C$136-(10/(逐级计算!$Q$136*LN(10))*(MAX((LN(10^(逐级计算!$Q$136/10)-1)+逐级计算!$Q$136*(EF37-逐级计算!$P$136)*LN(10)/10),0)+LN(1+EXP(-ABS((LN(10^(逐级计算!$Q$136/10)-1)+逐级计算!$Q$136*(EF37-逐级计算!$P$136)*LN(10)/10))))))),"")</f>
        <v>13.7930365455976</v>
      </c>
      <c r="EH37">
        <f>IF(AND(ISNUMBER(EG37),逐级计算!$X$137&gt;-1),IF(逐级计算!$X$137=0,EG37+逐级计算!$C$137,EG37+逐级计算!$C$137-(10/(逐级计算!$Q$137*LN(10))*(MAX((LN(10^(逐级计算!$Q$137/10)-1)+逐级计算!$Q$137*(EG37-逐级计算!$P$137)*LN(10)/10),0)+LN(1+EXP(-ABS((LN(10^(逐级计算!$Q$137/10)-1)+逐级计算!$Q$137*(EG37-逐级计算!$P$137)*LN(10)/10))))))),"")</f>
        <v>13.7930365455976</v>
      </c>
      <c r="EI37">
        <f>IF(AND(ISNUMBER(EH37),逐级计算!$X$138&gt;-1),IF(逐级计算!$X$138=0,EH37+逐级计算!$C$138,EH37+逐级计算!$C$138-(10/(逐级计算!$Q$138*LN(10))*(MAX((LN(10^(逐级计算!$Q$138/10)-1)+逐级计算!$Q$138*(EH37-逐级计算!$P$138)*LN(10)/10),0)+LN(1+EXP(-ABS((LN(10^(逐级计算!$Q$138/10)-1)+逐级计算!$Q$138*(EH37-逐级计算!$P$138)*LN(10)/10))))))),"")</f>
        <v>13.7930365455976</v>
      </c>
      <c r="EJ37">
        <f>IF(AND(ISNUMBER(EI37),逐级计算!$X$139&gt;-1),IF(逐级计算!$X$139=0,EI37+逐级计算!$C$139,EI37+逐级计算!$C$139-(10/(逐级计算!$Q$139*LN(10))*(MAX((LN(10^(逐级计算!$Q$139/10)-1)+逐级计算!$Q$139*(EI37-逐级计算!$P$139)*LN(10)/10),0)+LN(1+EXP(-ABS((LN(10^(逐级计算!$Q$139/10)-1)+逐级计算!$Q$139*(EI37-逐级计算!$P$139)*LN(10)/10))))))),"")</f>
        <v>13.7930365455976</v>
      </c>
      <c r="EK37">
        <f>IF(AND(ISNUMBER(EJ37),逐级计算!$X$140&gt;-1),IF(逐级计算!$X$140=0,EJ37+逐级计算!$C$140,EJ37+逐级计算!$C$140-(10/(逐级计算!$Q$140*LN(10))*(MAX((LN(10^(逐级计算!$Q$140/10)-1)+逐级计算!$Q$140*(EJ37-逐级计算!$P$140)*LN(10)/10),0)+LN(1+EXP(-ABS((LN(10^(逐级计算!$Q$140/10)-1)+逐级计算!$Q$140*(EJ37-逐级计算!$P$140)*LN(10)/10))))))),"")</f>
        <v>13.7930365455976</v>
      </c>
      <c r="EL37">
        <f>IF(AND(ISNUMBER(EK37),逐级计算!$X$141&gt;-1),IF(逐级计算!$X$141=0,EK37+逐级计算!$C$141,EK37+逐级计算!$C$141-(10/(逐级计算!$Q$141*LN(10))*(MAX((LN(10^(逐级计算!$Q$141/10)-1)+逐级计算!$Q$141*(EK37-逐级计算!$P$141)*LN(10)/10),0)+LN(1+EXP(-ABS((LN(10^(逐级计算!$Q$141/10)-1)+逐级计算!$Q$141*(EK37-逐级计算!$P$141)*LN(10)/10))))))),"")</f>
        <v>13.7930365455976</v>
      </c>
      <c r="EM37">
        <f>IF(AND(ISNUMBER(EL37),逐级计算!$X$142&gt;-1),IF(逐级计算!$X$142=0,EL37+逐级计算!$C$142,EL37+逐级计算!$C$142-(10/(逐级计算!$Q$142*LN(10))*(MAX((LN(10^(逐级计算!$Q$142/10)-1)+逐级计算!$Q$142*(EL37-逐级计算!$P$142)*LN(10)/10),0)+LN(1+EXP(-ABS((LN(10^(逐级计算!$Q$142/10)-1)+逐级计算!$Q$142*(EL37-逐级计算!$P$142)*LN(10)/10))))))),"")</f>
        <v>13.7930365455976</v>
      </c>
      <c r="EN37">
        <f>IF(AND(ISNUMBER(EM37),逐级计算!$X$143&gt;-1),IF(逐级计算!$X$143=0,EM37+逐级计算!$C$143,EM37+逐级计算!$C$143-(10/(逐级计算!$Q$143*LN(10))*(MAX((LN(10^(逐级计算!$Q$143/10)-1)+逐级计算!$Q$143*(EM37-逐级计算!$P$143)*LN(10)/10),0)+LN(1+EXP(-ABS((LN(10^(逐级计算!$Q$143/10)-1)+逐级计算!$Q$143*(EM37-逐级计算!$P$143)*LN(10)/10))))))),"")</f>
        <v>13.7930365455976</v>
      </c>
      <c r="EO37">
        <f>IF(AND(ISNUMBER(EN37),逐级计算!$X$144&gt;-1),IF(逐级计算!$X$144=0,EN37+逐级计算!$C$144,EN37+逐级计算!$C$144-(10/(逐级计算!$Q$144*LN(10))*(MAX((LN(10^(逐级计算!$Q$144/10)-1)+逐级计算!$Q$144*(EN37-逐级计算!$P$144)*LN(10)/10),0)+LN(1+EXP(-ABS((LN(10^(逐级计算!$Q$144/10)-1)+逐级计算!$Q$144*(EN37-逐级计算!$P$144)*LN(10)/10))))))),"")</f>
        <v>13.7930365455976</v>
      </c>
      <c r="EP37">
        <f>IF(AND(ISNUMBER(EO37),逐级计算!$X$145&gt;-1),IF(逐级计算!$X$145=0,EO37+逐级计算!$C$145,EO37+逐级计算!$C$145-(10/(逐级计算!$Q$145*LN(10))*(MAX((LN(10^(逐级计算!$Q$145/10)-1)+逐级计算!$Q$145*(EO37-逐级计算!$P$145)*LN(10)/10),0)+LN(1+EXP(-ABS((LN(10^(逐级计算!$Q$145/10)-1)+逐级计算!$Q$145*(EO37-逐级计算!$P$145)*LN(10)/10))))))),"")</f>
        <v>13.7930365455976</v>
      </c>
      <c r="EQ37">
        <f>IF(AND(ISNUMBER(EP37),逐级计算!$X$146&gt;-1),IF(逐级计算!$X$146=0,EP37+逐级计算!$C$146,EP37+逐级计算!$C$146-(10/(逐级计算!$Q$146*LN(10))*(MAX((LN(10^(逐级计算!$Q$146/10)-1)+逐级计算!$Q$146*(EP37-逐级计算!$P$146)*LN(10)/10),0)+LN(1+EXP(-ABS((LN(10^(逐级计算!$Q$146/10)-1)+逐级计算!$Q$146*(EP37-逐级计算!$P$146)*LN(10)/10))))))),"")</f>
        <v>13.7930365455976</v>
      </c>
      <c r="ER37">
        <f>IF(AND(ISNUMBER(EQ37),逐级计算!$X$147&gt;-1),IF(逐级计算!$X$147=0,EQ37+逐级计算!$C$147,EQ37+逐级计算!$C$147-(10/(逐级计算!$Q$147*LN(10))*(MAX((LN(10^(逐级计算!$Q$147/10)-1)+逐级计算!$Q$147*(EQ37-逐级计算!$P$147)*LN(10)/10),0)+LN(1+EXP(-ABS((LN(10^(逐级计算!$Q$147/10)-1)+逐级计算!$Q$147*(EQ37-逐级计算!$P$147)*LN(10)/10))))))),"")</f>
        <v>13.7930365455976</v>
      </c>
      <c r="ES37">
        <f>IF(AND(ISNUMBER(ER37),逐级计算!$X$148&gt;-1),IF(逐级计算!$X$148=0,ER37+逐级计算!$C$148,ER37+逐级计算!$C$148-(10/(逐级计算!$Q$148*LN(10))*(MAX((LN(10^(逐级计算!$Q$148/10)-1)+逐级计算!$Q$148*(ER37-逐级计算!$P$148)*LN(10)/10),0)+LN(1+EXP(-ABS((LN(10^(逐级计算!$Q$148/10)-1)+逐级计算!$Q$148*(ER37-逐级计算!$P$148)*LN(10)/10))))))),"")</f>
        <v>13.7930365455976</v>
      </c>
      <c r="ET37">
        <f>IF(AND(ISNUMBER(ES37),逐级计算!$X$149&gt;-1),IF(逐级计算!$X$149=0,ES37+逐级计算!$C$149,ES37+逐级计算!$C$149-(10/(逐级计算!$Q$149*LN(10))*(MAX((LN(10^(逐级计算!$Q$149/10)-1)+逐级计算!$Q$149*(ES37-逐级计算!$P$149)*LN(10)/10),0)+LN(1+EXP(-ABS((LN(10^(逐级计算!$Q$149/10)-1)+逐级计算!$Q$149*(ES37-逐级计算!$P$149)*LN(10)/10))))))),"")</f>
        <v>13.7930365455976</v>
      </c>
      <c r="EU37">
        <f>IF(AND(ISNUMBER(ET37),逐级计算!$X$150&gt;-1),IF(逐级计算!$X$150=0,ET37+逐级计算!$C$150,ET37+逐级计算!$C$150-(10/(逐级计算!$Q$150*LN(10))*(MAX((LN(10^(逐级计算!$Q$150/10)-1)+逐级计算!$Q$150*(ET37-逐级计算!$P$150)*LN(10)/10),0)+LN(1+EXP(-ABS((LN(10^(逐级计算!$Q$150/10)-1)+逐级计算!$Q$150*(ET37-逐级计算!$P$150)*LN(10)/10))))))),"")</f>
        <v>13.7930365455976</v>
      </c>
      <c r="EV37">
        <f>IF(AND(ISNUMBER(EU37),逐级计算!$X$151&gt;-1),IF(逐级计算!$X$151=0,EU37+逐级计算!$C$151,EU37+逐级计算!$C$151-(10/(逐级计算!$Q$151*LN(10))*(MAX((LN(10^(逐级计算!$Q$151/10)-1)+逐级计算!$Q$151*(EU37-逐级计算!$P$151)*LN(10)/10),0)+LN(1+EXP(-ABS((LN(10^(逐级计算!$Q$151/10)-1)+逐级计算!$Q$151*(EU37-逐级计算!$P$151)*LN(10)/10))))))),"")</f>
        <v>13.7930365455976</v>
      </c>
      <c r="EW37">
        <f>IF(AND(ISNUMBER(EV37),逐级计算!$X$152&gt;-1),IF(逐级计算!$X$152=0,EV37+逐级计算!$C$152,EV37+逐级计算!$C$152-(10/(逐级计算!$Q$152*LN(10))*(MAX((LN(10^(逐级计算!$Q$152/10)-1)+逐级计算!$Q$152*(EV37-逐级计算!$P$152)*LN(10)/10),0)+LN(1+EXP(-ABS((LN(10^(逐级计算!$Q$152/10)-1)+逐级计算!$Q$152*(EV37-逐级计算!$P$152)*LN(10)/10))))))),"")</f>
        <v>13.7930365455976</v>
      </c>
      <c r="EX37">
        <f>IF(AND(ISNUMBER(EW37),逐级计算!$X$153&gt;-1),IF(逐级计算!$X$153=0,EW37+逐级计算!$C$153,EW37+逐级计算!$C$153-(10/(逐级计算!$Q$153*LN(10))*(MAX((LN(10^(逐级计算!$Q$153/10)-1)+逐级计算!$Q$153*(EW37-逐级计算!$P$153)*LN(10)/10),0)+LN(1+EXP(-ABS((LN(10^(逐级计算!$Q$153/10)-1)+逐级计算!$Q$153*(EW37-逐级计算!$P$153)*LN(10)/10))))))),"")</f>
        <v>13.7930365455976</v>
      </c>
      <c r="EY37">
        <f>IF(AND(ISNUMBER(EX37),逐级计算!$X$154&gt;-1),IF(逐级计算!$X$154=0,EX37+逐级计算!$C$154,EX37+逐级计算!$C$154-(10/(逐级计算!$Q$154*LN(10))*(MAX((LN(10^(逐级计算!$Q$154/10)-1)+逐级计算!$Q$154*(EX37-逐级计算!$P$154)*LN(10)/10),0)+LN(1+EXP(-ABS((LN(10^(逐级计算!$Q$154/10)-1)+逐级计算!$Q$154*(EX37-逐级计算!$P$154)*LN(10)/10))))))),"")</f>
        <v>13.7930365455976</v>
      </c>
      <c r="EZ37">
        <f>IF(AND(ISNUMBER(EY37),逐级计算!$X$155&gt;-1),IF(逐级计算!$X$155=0,EY37+逐级计算!$C$155,EY37+逐级计算!$C$155-(10/(逐级计算!$Q$155*LN(10))*(MAX((LN(10^(逐级计算!$Q$155/10)-1)+逐级计算!$Q$155*(EY37-逐级计算!$P$155)*LN(10)/10),0)+LN(1+EXP(-ABS((LN(10^(逐级计算!$Q$155/10)-1)+逐级计算!$Q$155*(EY37-逐级计算!$P$155)*LN(10)/10))))))),"")</f>
        <v>13.7930365455976</v>
      </c>
      <c r="FA37">
        <f>IF(AND(ISNUMBER(EZ37),逐级计算!$X$156&gt;-1),IF(逐级计算!$X$156=0,EZ37+逐级计算!$C$156,EZ37+逐级计算!$C$156-(10/(逐级计算!$Q$156*LN(10))*(MAX((LN(10^(逐级计算!$Q$156/10)-1)+逐级计算!$Q$156*(EZ37-逐级计算!$P$156)*LN(10)/10),0)+LN(1+EXP(-ABS((LN(10^(逐级计算!$Q$156/10)-1)+逐级计算!$Q$156*(EZ37-逐级计算!$P$156)*LN(10)/10))))))),"")</f>
        <v>13.7930365455976</v>
      </c>
      <c r="FB37">
        <f>IF(AND(ISNUMBER(FA37),逐级计算!$X$157&gt;-1),IF(逐级计算!$X$157=0,FA37+逐级计算!$C$157,FA37+逐级计算!$C$157-(10/(逐级计算!$Q$157*LN(10))*(MAX((LN(10^(逐级计算!$Q$157/10)-1)+逐级计算!$Q$157*(FA37-逐级计算!$P$157)*LN(10)/10),0)+LN(1+EXP(-ABS((LN(10^(逐级计算!$Q$157/10)-1)+逐级计算!$Q$157*(FA37-逐级计算!$P$157)*LN(10)/10))))))),"")</f>
        <v>13.7930365455976</v>
      </c>
      <c r="FC37">
        <f>IF(AND(ISNUMBER(FB37),逐级计算!$X$158&gt;-1),IF(逐级计算!$X$158=0,FB37+逐级计算!$C$158,FB37+逐级计算!$C$158-(10/(逐级计算!$Q$158*LN(10))*(MAX((LN(10^(逐级计算!$Q$158/10)-1)+逐级计算!$Q$158*(FB37-逐级计算!$P$158)*LN(10)/10),0)+LN(1+EXP(-ABS((LN(10^(逐级计算!$Q$158/10)-1)+逐级计算!$Q$158*(FB37-逐级计算!$P$158)*LN(10)/10))))))),"")</f>
        <v>13.7930365455976</v>
      </c>
      <c r="FD37">
        <f>IF(AND(ISNUMBER(FC37),逐级计算!$X$159&gt;-1),IF(逐级计算!$X$159=0,FC37+逐级计算!$C$159,FC37+逐级计算!$C$159-(10/(逐级计算!$Q$159*LN(10))*(MAX((LN(10^(逐级计算!$Q$159/10)-1)+逐级计算!$Q$159*(FC37-逐级计算!$P$159)*LN(10)/10),0)+LN(1+EXP(-ABS((LN(10^(逐级计算!$Q$159/10)-1)+逐级计算!$Q$159*(FC37-逐级计算!$P$159)*LN(10)/10))))))),"")</f>
        <v>13.7930365455976</v>
      </c>
      <c r="FE37">
        <f>IF(AND(ISNUMBER(FD37),逐级计算!$X$160&gt;-1),IF(逐级计算!$X$160=0,FD37+逐级计算!$C$160,FD37+逐级计算!$C$160-(10/(逐级计算!$Q$160*LN(10))*(MAX((LN(10^(逐级计算!$Q$160/10)-1)+逐级计算!$Q$160*(FD37-逐级计算!$P$160)*LN(10)/10),0)+LN(1+EXP(-ABS((LN(10^(逐级计算!$Q$160/10)-1)+逐级计算!$Q$160*(FD37-逐级计算!$P$160)*LN(10)/10))))))),"")</f>
        <v>13.7930365455976</v>
      </c>
      <c r="FF37">
        <f>IF(AND(ISNUMBER(FE37),逐级计算!$X$161&gt;-1),IF(逐级计算!$X$161=0,FE37+逐级计算!$C$161,FE37+逐级计算!$C$161-(10/(逐级计算!$Q$161*LN(10))*(MAX((LN(10^(逐级计算!$Q$161/10)-1)+逐级计算!$Q$161*(FE37-逐级计算!$P$161)*LN(10)/10),0)+LN(1+EXP(-ABS((LN(10^(逐级计算!$Q$161/10)-1)+逐级计算!$Q$161*(FE37-逐级计算!$P$161)*LN(10)/10))))))),"")</f>
        <v>13.7930365455976</v>
      </c>
      <c r="FG37">
        <f>IF(AND(ISNUMBER(FF37),逐级计算!$X$162&gt;-1),IF(逐级计算!$X$162=0,FF37+逐级计算!$C$162,FF37+逐级计算!$C$162-(10/(逐级计算!$Q$162*LN(10))*(MAX((LN(10^(逐级计算!$Q$162/10)-1)+逐级计算!$Q$162*(FF37-逐级计算!$P$162)*LN(10)/10),0)+LN(1+EXP(-ABS((LN(10^(逐级计算!$Q$162/10)-1)+逐级计算!$Q$162*(FF37-逐级计算!$P$162)*LN(10)/10))))))),"")</f>
        <v>13.7930365455976</v>
      </c>
      <c r="FH37">
        <f>IF(AND(ISNUMBER(FG37),逐级计算!$X$163&gt;-1),IF(逐级计算!$X$163=0,FG37+逐级计算!$C$163,FG37+逐级计算!$C$163-(10/(逐级计算!$Q$163*LN(10))*(MAX((LN(10^(逐级计算!$Q$163/10)-1)+逐级计算!$Q$163*(FG37-逐级计算!$P$163)*LN(10)/10),0)+LN(1+EXP(-ABS((LN(10^(逐级计算!$Q$163/10)-1)+逐级计算!$Q$163*(FG37-逐级计算!$P$163)*LN(10)/10))))))),"")</f>
        <v>13.7930365455976</v>
      </c>
      <c r="FI37">
        <f>IF(AND(ISNUMBER(FH37),逐级计算!$X$164&gt;-1),IF(逐级计算!$X$164=0,FH37+逐级计算!$C$164,FH37+逐级计算!$C$164-(10/(逐级计算!$Q$164*LN(10))*(MAX((LN(10^(逐级计算!$Q$164/10)-1)+逐级计算!$Q$164*(FH37-逐级计算!$P$164)*LN(10)/10),0)+LN(1+EXP(-ABS((LN(10^(逐级计算!$Q$164/10)-1)+逐级计算!$Q$164*(FH37-逐级计算!$P$164)*LN(10)/10))))))),"")</f>
        <v>13.7930365455976</v>
      </c>
      <c r="FJ37">
        <f>IF(AND(ISNUMBER(FI37),逐级计算!$X$165&gt;-1),IF(逐级计算!$X$165=0,FI37+逐级计算!$C$165,FI37+逐级计算!$C$165-(10/(逐级计算!$Q$165*LN(10))*(MAX((LN(10^(逐级计算!$Q$165/10)-1)+逐级计算!$Q$165*(FI37-逐级计算!$P$165)*LN(10)/10),0)+LN(1+EXP(-ABS((LN(10^(逐级计算!$Q$165/10)-1)+逐级计算!$Q$165*(FI37-逐级计算!$P$165)*LN(10)/10))))))),"")</f>
        <v>13.7930365455976</v>
      </c>
      <c r="FK37">
        <f>IF(AND(ISNUMBER(FJ37),逐级计算!$X$166&gt;-1),IF(逐级计算!$X$166=0,FJ37+逐级计算!$C$166,FJ37+逐级计算!$C$166-(10/(逐级计算!$Q$166*LN(10))*(MAX((LN(10^(逐级计算!$Q$166/10)-1)+逐级计算!$Q$166*(FJ37-逐级计算!$P$166)*LN(10)/10),0)+LN(1+EXP(-ABS((LN(10^(逐级计算!$Q$166/10)-1)+逐级计算!$Q$166*(FJ37-逐级计算!$P$166)*LN(10)/10))))))),"")</f>
        <v>13.7930365455976</v>
      </c>
      <c r="FL37">
        <f>IF(AND(ISNUMBER(FK37),逐级计算!$X$167&gt;-1),IF(逐级计算!$X$167=0,FK37+逐级计算!$C$167,FK37+逐级计算!$C$167-(10/(逐级计算!$Q$167*LN(10))*(MAX((LN(10^(逐级计算!$Q$167/10)-1)+逐级计算!$Q$167*(FK37-逐级计算!$P$167)*LN(10)/10),0)+LN(1+EXP(-ABS((LN(10^(逐级计算!$Q$167/10)-1)+逐级计算!$Q$167*(FK37-逐级计算!$P$167)*LN(10)/10))))))),"")</f>
        <v>13.7930365455976</v>
      </c>
      <c r="FM37">
        <f>IF(AND(ISNUMBER(FL37),逐级计算!$X$168&gt;-1),IF(逐级计算!$X$168=0,FL37+逐级计算!$C$168,FL37+逐级计算!$C$168-(10/(逐级计算!$Q$168*LN(10))*(MAX((LN(10^(逐级计算!$Q$168/10)-1)+逐级计算!$Q$168*(FL37-逐级计算!$P$168)*LN(10)/10),0)+LN(1+EXP(-ABS((LN(10^(逐级计算!$Q$168/10)-1)+逐级计算!$Q$168*(FL37-逐级计算!$P$168)*LN(10)/10))))))),"")</f>
        <v>13.7930365455976</v>
      </c>
      <c r="FN37">
        <f>IF(AND(ISNUMBER(FM37),逐级计算!$X$169&gt;-1),IF(逐级计算!$X$169=0,FM37+逐级计算!$C$169,FM37+逐级计算!$C$169-(10/(逐级计算!$Q$169*LN(10))*(MAX((LN(10^(逐级计算!$Q$169/10)-1)+逐级计算!$Q$169*(FM37-逐级计算!$P$169)*LN(10)/10),0)+LN(1+EXP(-ABS((LN(10^(逐级计算!$Q$169/10)-1)+逐级计算!$Q$169*(FM37-逐级计算!$P$169)*LN(10)/10))))))),"")</f>
        <v>13.7930365455976</v>
      </c>
      <c r="FO37">
        <f>IF(AND(ISNUMBER(FN37),逐级计算!$X$170&gt;-1),IF(逐级计算!$X$170=0,FN37+逐级计算!$C$170,FN37+逐级计算!$C$170-(10/(逐级计算!$Q$170*LN(10))*(MAX((LN(10^(逐级计算!$Q$170/10)-1)+逐级计算!$Q$170*(FN37-逐级计算!$P$170)*LN(10)/10),0)+LN(1+EXP(-ABS((LN(10^(逐级计算!$Q$170/10)-1)+逐级计算!$Q$170*(FN37-逐级计算!$P$170)*LN(10)/10))))))),"")</f>
        <v>13.7930365455976</v>
      </c>
      <c r="FP37">
        <f>IF(AND(ISNUMBER(FO37),逐级计算!$X$171&gt;-1),IF(逐级计算!$X$171=0,FO37+逐级计算!$C$171,FO37+逐级计算!$C$171-(10/(逐级计算!$Q$171*LN(10))*(MAX((LN(10^(逐级计算!$Q$171/10)-1)+逐级计算!$Q$171*(FO37-逐级计算!$P$171)*LN(10)/10),0)+LN(1+EXP(-ABS((LN(10^(逐级计算!$Q$171/10)-1)+逐级计算!$Q$171*(FO37-逐级计算!$P$171)*LN(10)/10))))))),"")</f>
        <v>13.7930365455976</v>
      </c>
      <c r="FQ37">
        <f>IF(AND(ISNUMBER(FP37),逐级计算!$X$172&gt;-1),IF(逐级计算!$X$172=0,FP37+逐级计算!$C$172,FP37+逐级计算!$C$172-(10/(逐级计算!$Q$172*LN(10))*(MAX((LN(10^(逐级计算!$Q$172/10)-1)+逐级计算!$Q$172*(FP37-逐级计算!$P$172)*LN(10)/10),0)+LN(1+EXP(-ABS((LN(10^(逐级计算!$Q$172/10)-1)+逐级计算!$Q$172*(FP37-逐级计算!$P$172)*LN(10)/10))))))),"")</f>
        <v>13.7930365455976</v>
      </c>
      <c r="FR37">
        <f>IF(AND(ISNUMBER(FQ37),逐级计算!$X$173&gt;-1),IF(逐级计算!$X$173=0,FQ37+逐级计算!$C$173,FQ37+逐级计算!$C$173-(10/(逐级计算!$Q$173*LN(10))*(MAX((LN(10^(逐级计算!$Q$173/10)-1)+逐级计算!$Q$173*(FQ37-逐级计算!$P$173)*LN(10)/10),0)+LN(1+EXP(-ABS((LN(10^(逐级计算!$Q$173/10)-1)+逐级计算!$Q$173*(FQ37-逐级计算!$P$173)*LN(10)/10))))))),"")</f>
        <v>13.7930365455976</v>
      </c>
      <c r="FS37">
        <f>IF(AND(ISNUMBER(FR37),逐级计算!$X$174&gt;-1),IF(逐级计算!$X$174=0,FR37+逐级计算!$C$174,FR37+逐级计算!$C$174-(10/(逐级计算!$Q$174*LN(10))*(MAX((LN(10^(逐级计算!$Q$174/10)-1)+逐级计算!$Q$174*(FR37-逐级计算!$P$174)*LN(10)/10),0)+LN(1+EXP(-ABS((LN(10^(逐级计算!$Q$174/10)-1)+逐级计算!$Q$174*(FR37-逐级计算!$P$174)*LN(10)/10))))))),"")</f>
        <v>13.7930365455976</v>
      </c>
      <c r="FT37">
        <f>IF(AND(ISNUMBER(FS37),逐级计算!$X$175&gt;-1),IF(逐级计算!$X$175=0,FS37+逐级计算!$C$175,FS37+逐级计算!$C$175-(10/(逐级计算!$Q$175*LN(10))*(MAX((LN(10^(逐级计算!$Q$175/10)-1)+逐级计算!$Q$175*(FS37-逐级计算!$P$175)*LN(10)/10),0)+LN(1+EXP(-ABS((LN(10^(逐级计算!$Q$175/10)-1)+逐级计算!$Q$175*(FS37-逐级计算!$P$175)*LN(10)/10))))))),"")</f>
        <v>13.7930365455976</v>
      </c>
      <c r="FU37">
        <f>IF(AND(ISNUMBER(FT37),逐级计算!$X$176&gt;-1),IF(逐级计算!$X$176=0,FT37+逐级计算!$C$176,FT37+逐级计算!$C$176-(10/(逐级计算!$Q$176*LN(10))*(MAX((LN(10^(逐级计算!$Q$176/10)-1)+逐级计算!$Q$176*(FT37-逐级计算!$P$176)*LN(10)/10),0)+LN(1+EXP(-ABS((LN(10^(逐级计算!$Q$176/10)-1)+逐级计算!$Q$176*(FT37-逐级计算!$P$176)*LN(10)/10))))))),"")</f>
        <v>13.7930365455976</v>
      </c>
      <c r="FV37">
        <f>IF(AND(ISNUMBER(FU37),逐级计算!$X$177&gt;-1),IF(逐级计算!$X$177=0,FU37+逐级计算!$C$177,FU37+逐级计算!$C$177-(10/(逐级计算!$Q$177*LN(10))*(MAX((LN(10^(逐级计算!$Q$177/10)-1)+逐级计算!$Q$177*(FU37-逐级计算!$P$177)*LN(10)/10),0)+LN(1+EXP(-ABS((LN(10^(逐级计算!$Q$177/10)-1)+逐级计算!$Q$177*(FU37-逐级计算!$P$177)*LN(10)/10))))))),"")</f>
        <v>13.7930365455976</v>
      </c>
      <c r="FW37">
        <f>IF(AND(ISNUMBER(FV37),逐级计算!$X$178&gt;-1),IF(逐级计算!$X$178=0,FV37+逐级计算!$C$178,FV37+逐级计算!$C$178-(10/(逐级计算!$Q$178*LN(10))*(MAX((LN(10^(逐级计算!$Q$178/10)-1)+逐级计算!$Q$178*(FV37-逐级计算!$P$178)*LN(10)/10),0)+LN(1+EXP(-ABS((LN(10^(逐级计算!$Q$178/10)-1)+逐级计算!$Q$178*(FV37-逐级计算!$P$178)*LN(10)/10))))))),"")</f>
        <v>13.7930365455976</v>
      </c>
      <c r="FX37">
        <f>IF(AND(ISNUMBER(FW37),逐级计算!$X$179&gt;-1),IF(逐级计算!$X$179=0,FW37+逐级计算!$C$179,FW37+逐级计算!$C$179-(10/(逐级计算!$Q$179*LN(10))*(MAX((LN(10^(逐级计算!$Q$179/10)-1)+逐级计算!$Q$179*(FW37-逐级计算!$P$179)*LN(10)/10),0)+LN(1+EXP(-ABS((LN(10^(逐级计算!$Q$179/10)-1)+逐级计算!$Q$179*(FW37-逐级计算!$P$179)*LN(10)/10))))))),"")</f>
        <v>13.7930365455976</v>
      </c>
      <c r="FY37">
        <f>IF(AND(ISNUMBER(FX37),逐级计算!$X$180&gt;-1),IF(逐级计算!$X$180=0,FX37+逐级计算!$C$180,FX37+逐级计算!$C$180-(10/(逐级计算!$Q$180*LN(10))*(MAX((LN(10^(逐级计算!$Q$180/10)-1)+逐级计算!$Q$180*(FX37-逐级计算!$P$180)*LN(10)/10),0)+LN(1+EXP(-ABS((LN(10^(逐级计算!$Q$180/10)-1)+逐级计算!$Q$180*(FX37-逐级计算!$P$180)*LN(10)/10))))))),"")</f>
        <v>13.7930365455976</v>
      </c>
      <c r="FZ37">
        <f>IF(AND(ISNUMBER(FY37),逐级计算!$X$181&gt;-1),IF(逐级计算!$X$181=0,FY37+逐级计算!$C$181,FY37+逐级计算!$C$181-(10/(逐级计算!$Q$181*LN(10))*(MAX((LN(10^(逐级计算!$Q$181/10)-1)+逐级计算!$Q$181*(FY37-逐级计算!$P$181)*LN(10)/10),0)+LN(1+EXP(-ABS((LN(10^(逐级计算!$Q$181/10)-1)+逐级计算!$Q$181*(FY37-逐级计算!$P$181)*LN(10)/10))))))),"")</f>
        <v>13.7930365455976</v>
      </c>
      <c r="GA37">
        <f>IF(AND(ISNUMBER(FZ37),逐级计算!$X$182&gt;-1),IF(逐级计算!$X$182=0,FZ37+逐级计算!$C$182,FZ37+逐级计算!$C$182-(10/(逐级计算!$Q$182*LN(10))*(MAX((LN(10^(逐级计算!$Q$182/10)-1)+逐级计算!$Q$182*(FZ37-逐级计算!$P$182)*LN(10)/10),0)+LN(1+EXP(-ABS((LN(10^(逐级计算!$Q$182/10)-1)+逐级计算!$Q$182*(FZ37-逐级计算!$P$182)*LN(10)/10))))))),"")</f>
        <v>13.7930365455976</v>
      </c>
      <c r="GB37">
        <f>IF(AND(ISNUMBER(GA37),逐级计算!$X$183&gt;-1),IF(逐级计算!$X$183=0,GA37+逐级计算!$C$183,GA37+逐级计算!$C$183-(10/(逐级计算!$Q$183*LN(10))*(MAX((LN(10^(逐级计算!$Q$183/10)-1)+逐级计算!$Q$183*(GA37-逐级计算!$P$183)*LN(10)/10),0)+LN(1+EXP(-ABS((LN(10^(逐级计算!$Q$183/10)-1)+逐级计算!$Q$183*(GA37-逐级计算!$P$183)*LN(10)/10))))))),"")</f>
        <v>13.7930365455976</v>
      </c>
      <c r="GC37">
        <f>IF(AND(ISNUMBER(GB37),逐级计算!$X$184&gt;-1),IF(逐级计算!$X$184=0,GB37+逐级计算!$C$184,GB37+逐级计算!$C$184-(10/(逐级计算!$Q$184*LN(10))*(MAX((LN(10^(逐级计算!$Q$184/10)-1)+逐级计算!$Q$184*(GB37-逐级计算!$P$184)*LN(10)/10),0)+LN(1+EXP(-ABS((LN(10^(逐级计算!$Q$184/10)-1)+逐级计算!$Q$184*(GB37-逐级计算!$P$184)*LN(10)/10))))))),"")</f>
        <v>13.7930365455976</v>
      </c>
      <c r="GD37">
        <f>IF(AND(ISNUMBER(GC37),逐级计算!$X$185&gt;-1),IF(逐级计算!$X$185=0,GC37+逐级计算!$C$185,GC37+逐级计算!$C$185-(10/(逐级计算!$Q$185*LN(10))*(MAX((LN(10^(逐级计算!$Q$185/10)-1)+逐级计算!$Q$185*(GC37-逐级计算!$P$185)*LN(10)/10),0)+LN(1+EXP(-ABS((LN(10^(逐级计算!$Q$185/10)-1)+逐级计算!$Q$185*(GC37-逐级计算!$P$185)*LN(10)/10))))))),"")</f>
        <v>13.7930365455976</v>
      </c>
      <c r="GE37">
        <f>IF(AND(ISNUMBER(GD37),逐级计算!$X$186&gt;-1),IF(逐级计算!$X$186=0,GD37+逐级计算!$C$186,GD37+逐级计算!$C$186-(10/(逐级计算!$Q$186*LN(10))*(MAX((LN(10^(逐级计算!$Q$186/10)-1)+逐级计算!$Q$186*(GD37-逐级计算!$P$186)*LN(10)/10),0)+LN(1+EXP(-ABS((LN(10^(逐级计算!$Q$186/10)-1)+逐级计算!$Q$186*(GD37-逐级计算!$P$186)*LN(10)/10))))))),"")</f>
        <v>13.7930365455976</v>
      </c>
      <c r="GF37">
        <f>IF(AND(ISNUMBER(GE37),逐级计算!$X$187&gt;-1),IF(逐级计算!$X$187=0,GE37+逐级计算!$C$187,GE37+逐级计算!$C$187-(10/(逐级计算!$Q$187*LN(10))*(MAX((LN(10^(逐级计算!$Q$187/10)-1)+逐级计算!$Q$187*(GE37-逐级计算!$P$187)*LN(10)/10),0)+LN(1+EXP(-ABS((LN(10^(逐级计算!$Q$187/10)-1)+逐级计算!$Q$187*(GE37-逐级计算!$P$187)*LN(10)/10))))))),"")</f>
        <v>13.7930365455976</v>
      </c>
      <c r="GG37">
        <f>IF(AND(ISNUMBER(GF37),逐级计算!$X$188&gt;-1),IF(逐级计算!$X$188=0,GF37+逐级计算!$C$188,GF37+逐级计算!$C$188-(10/(逐级计算!$Q$188*LN(10))*(MAX((LN(10^(逐级计算!$Q$188/10)-1)+逐级计算!$Q$188*(GF37-逐级计算!$P$188)*LN(10)/10),0)+LN(1+EXP(-ABS((LN(10^(逐级计算!$Q$188/10)-1)+逐级计算!$Q$188*(GF37-逐级计算!$P$188)*LN(10)/10))))))),"")</f>
        <v>13.7930365455976</v>
      </c>
      <c r="GH37">
        <f>IF(AND(ISNUMBER(GG37),逐级计算!$X$189&gt;-1),IF(逐级计算!$X$189=0,GG37+逐级计算!$C$189,GG37+逐级计算!$C$189-(10/(逐级计算!$Q$189*LN(10))*(MAX((LN(10^(逐级计算!$Q$189/10)-1)+逐级计算!$Q$189*(GG37-逐级计算!$P$189)*LN(10)/10),0)+LN(1+EXP(-ABS((LN(10^(逐级计算!$Q$189/10)-1)+逐级计算!$Q$189*(GG37-逐级计算!$P$189)*LN(10)/10))))))),"")</f>
        <v>13.7930365455976</v>
      </c>
      <c r="GI37">
        <f>IF(AND(ISNUMBER(GH37),逐级计算!$X$190&gt;-1),IF(逐级计算!$X$190=0,GH37+逐级计算!$C$190,GH37+逐级计算!$C$190-(10/(逐级计算!$Q$190*LN(10))*(MAX((LN(10^(逐级计算!$Q$190/10)-1)+逐级计算!$Q$190*(GH37-逐级计算!$P$190)*LN(10)/10),0)+LN(1+EXP(-ABS((LN(10^(逐级计算!$Q$190/10)-1)+逐级计算!$Q$190*(GH37-逐级计算!$P$190)*LN(10)/10))))))),"")</f>
        <v>13.7930365455976</v>
      </c>
      <c r="GJ37">
        <f>IF(AND(ISNUMBER(GI37),逐级计算!$X$191&gt;-1),IF(逐级计算!$X$191=0,GI37+逐级计算!$C$191,GI37+逐级计算!$C$191-(10/(逐级计算!$Q$191*LN(10))*(MAX((LN(10^(逐级计算!$Q$191/10)-1)+逐级计算!$Q$191*(GI37-逐级计算!$P$191)*LN(10)/10),0)+LN(1+EXP(-ABS((LN(10^(逐级计算!$Q$191/10)-1)+逐级计算!$Q$191*(GI37-逐级计算!$P$191)*LN(10)/10))))))),"")</f>
        <v>13.7930365455976</v>
      </c>
      <c r="GK37">
        <f>IF(AND(ISNUMBER(GJ37),逐级计算!$X$192&gt;-1),IF(逐级计算!$X$192=0,GJ37+逐级计算!$C$192,GJ37+逐级计算!$C$192-(10/(逐级计算!$Q$192*LN(10))*(MAX((LN(10^(逐级计算!$Q$192/10)-1)+逐级计算!$Q$192*(GJ37-逐级计算!$P$192)*LN(10)/10),0)+LN(1+EXP(-ABS((LN(10^(逐级计算!$Q$192/10)-1)+逐级计算!$Q$192*(GJ37-逐级计算!$P$192)*LN(10)/10))))))),"")</f>
        <v>13.7930365455976</v>
      </c>
      <c r="GL37">
        <f>IF(AND(ISNUMBER(GK37),逐级计算!$X$193&gt;-1),IF(逐级计算!$X$193=0,GK37+逐级计算!$C$193,GK37+逐级计算!$C$193-(10/(逐级计算!$Q$193*LN(10))*(MAX((LN(10^(逐级计算!$Q$193/10)-1)+逐级计算!$Q$193*(GK37-逐级计算!$P$193)*LN(10)/10),0)+LN(1+EXP(-ABS((LN(10^(逐级计算!$Q$193/10)-1)+逐级计算!$Q$193*(GK37-逐级计算!$P$193)*LN(10)/10))))))),"")</f>
        <v>13.7930365455976</v>
      </c>
      <c r="GM37">
        <f>IF(AND(ISNUMBER(GL37),逐级计算!$X$194&gt;-1),IF(逐级计算!$X$194=0,GL37+逐级计算!$C$194,GL37+逐级计算!$C$194-(10/(逐级计算!$Q$194*LN(10))*(MAX((LN(10^(逐级计算!$Q$194/10)-1)+逐级计算!$Q$194*(GL37-逐级计算!$P$194)*LN(10)/10),0)+LN(1+EXP(-ABS((LN(10^(逐级计算!$Q$194/10)-1)+逐级计算!$Q$194*(GL37-逐级计算!$P$194)*LN(10)/10))))))),"")</f>
        <v>13.7930365455976</v>
      </c>
      <c r="GN37">
        <f>IF(AND(ISNUMBER(GM37),逐级计算!$X$195&gt;-1),IF(逐级计算!$X$195=0,GM37+逐级计算!$C$195,GM37+逐级计算!$C$195-(10/(逐级计算!$Q$195*LN(10))*(MAX((LN(10^(逐级计算!$Q$195/10)-1)+逐级计算!$Q$195*(GM37-逐级计算!$P$195)*LN(10)/10),0)+LN(1+EXP(-ABS((LN(10^(逐级计算!$Q$195/10)-1)+逐级计算!$Q$195*(GM37-逐级计算!$P$195)*LN(10)/10))))))),"")</f>
        <v>13.7930365455976</v>
      </c>
      <c r="GO37">
        <f>IF(AND(ISNUMBER(GN37),逐级计算!$X$196&gt;-1),IF(逐级计算!$X$196=0,GN37+逐级计算!$C$196,GN37+逐级计算!$C$196-(10/(逐级计算!$Q$196*LN(10))*(MAX((LN(10^(逐级计算!$Q$196/10)-1)+逐级计算!$Q$196*(GN37-逐级计算!$P$196)*LN(10)/10),0)+LN(1+EXP(-ABS((LN(10^(逐级计算!$Q$196/10)-1)+逐级计算!$Q$196*(GN37-逐级计算!$P$196)*LN(10)/10))))))),"")</f>
        <v>13.7930365455976</v>
      </c>
      <c r="GP37">
        <f>IF(AND(ISNUMBER(GO37),逐级计算!$X$197&gt;-1),IF(逐级计算!$X$197=0,GO37+逐级计算!$C$197,GO37+逐级计算!$C$197-(10/(逐级计算!$Q$197*LN(10))*(MAX((LN(10^(逐级计算!$Q$197/10)-1)+逐级计算!$Q$197*(GO37-逐级计算!$P$197)*LN(10)/10),0)+LN(1+EXP(-ABS((LN(10^(逐级计算!$Q$197/10)-1)+逐级计算!$Q$197*(GO37-逐级计算!$P$197)*LN(10)/10))))))),"")</f>
        <v>13.7930365455976</v>
      </c>
      <c r="GQ37">
        <f>IF(AND(ISNUMBER(GP37),逐级计算!$X$198&gt;-1),IF(逐级计算!$X$198=0,GP37+逐级计算!$C$198,GP37+逐级计算!$C$198-(10/(逐级计算!$Q$198*LN(10))*(MAX((LN(10^(逐级计算!$Q$198/10)-1)+逐级计算!$Q$198*(GP37-逐级计算!$P$198)*LN(10)/10),0)+LN(1+EXP(-ABS((LN(10^(逐级计算!$Q$198/10)-1)+逐级计算!$Q$198*(GP37-逐级计算!$P$198)*LN(10)/10))))))),"")</f>
        <v>13.7930365455976</v>
      </c>
      <c r="GR37">
        <f>IF(AND(ISNUMBER(GQ37),逐级计算!$X$199&gt;-1),IF(逐级计算!$X$199=0,GQ37+逐级计算!$C$199,GQ37+逐级计算!$C$199-(10/(逐级计算!$Q$199*LN(10))*(MAX((LN(10^(逐级计算!$Q$199/10)-1)+逐级计算!$Q$199*(GQ37-逐级计算!$P$199)*LN(10)/10),0)+LN(1+EXP(-ABS((LN(10^(逐级计算!$Q$199/10)-1)+逐级计算!$Q$199*(GQ37-逐级计算!$P$199)*LN(10)/10))))))),"")</f>
        <v>13.7930365455976</v>
      </c>
      <c r="GS37">
        <f>IF(AND(ISNUMBER(GR37),逐级计算!$X$200&gt;-1),IF(逐级计算!$X$200=0,GR37+逐级计算!$C$200,GR37+逐级计算!$C$200-(10/(逐级计算!$Q$200*LN(10))*(MAX((LN(10^(逐级计算!$Q$200/10)-1)+逐级计算!$Q$200*(GR37-逐级计算!$P$200)*LN(10)/10),0)+LN(1+EXP(-ABS((LN(10^(逐级计算!$Q$200/10)-1)+逐级计算!$Q$200*(GR37-逐级计算!$P$200)*LN(10)/10))))))),"")</f>
        <v>13.7930365455976</v>
      </c>
      <c r="GT37">
        <f>IF(AND(ISNUMBER(GS37),逐级计算!$X$201&gt;-1),IF(逐级计算!$X$201=0,GS37+逐级计算!$C$201,GS37+逐级计算!$C$201-(10/(逐级计算!$Q$201*LN(10))*(MAX((LN(10^(逐级计算!$Q$201/10)-1)+逐级计算!$Q$201*(GS37-逐级计算!$P$201)*LN(10)/10),0)+LN(1+EXP(-ABS((LN(10^(逐级计算!$Q$201/10)-1)+逐级计算!$Q$201*(GS37-逐级计算!$P$201)*LN(10)/10))))))),"")</f>
        <v>13.7930365455976</v>
      </c>
      <c r="GU37">
        <f>IF(AND(ISNUMBER(GT37),逐级计算!$X$202&gt;-1),IF(逐级计算!$X$202=0,GT37+逐级计算!$C$202,GT37+逐级计算!$C$202-(10/(逐级计算!$Q$202*LN(10))*(MAX((LN(10^(逐级计算!$Q$202/10)-1)+逐级计算!$Q$202*(GT37-逐级计算!$P$202)*LN(10)/10),0)+LN(1+EXP(-ABS((LN(10^(逐级计算!$Q$202/10)-1)+逐级计算!$Q$202*(GT37-逐级计算!$P$202)*LN(10)/10))))))),"")</f>
        <v>13.7930365455976</v>
      </c>
      <c r="GV37">
        <f>IF(AND(ISNUMBER(GU37),逐级计算!$X$203&gt;-1),IF(逐级计算!$X$203=0,GU37+逐级计算!$C$203,GU37+逐级计算!$C$203-(10/(逐级计算!$Q$203*LN(10))*(MAX((LN(10^(逐级计算!$Q$203/10)-1)+逐级计算!$Q$203*(GU37-逐级计算!$P$203)*LN(10)/10),0)+LN(1+EXP(-ABS((LN(10^(逐级计算!$Q$203/10)-1)+逐级计算!$Q$203*(GU37-逐级计算!$P$203)*LN(10)/10))))))),"")</f>
        <v>13.7930365455976</v>
      </c>
      <c r="GW37">
        <f t="shared" si="2"/>
        <v>-5.20696337334812</v>
      </c>
    </row>
    <row r="38" spans="1:205">
      <c r="A38">
        <v>31</v>
      </c>
      <c r="B38">
        <f t="shared" si="1"/>
        <v>-5.20696347113699</v>
      </c>
      <c r="C38">
        <f t="shared" si="0"/>
        <v>-5.20696342224255</v>
      </c>
      <c r="D38">
        <f>IF(AND(ISNUMBER(C38),ISNUMBER(逐级计算!$E$203),ISNUMBER(GV38)),C38+逐级计算!$E$203-GV38,"")</f>
        <v>1.00000000130957</v>
      </c>
      <c r="E38">
        <f>IF(AND(ISNUMBER(C38),逐级计算!$X$4&gt;-1),IF(逐级计算!$X$4=0,C38+逐级计算!$C$4,C38+逐级计算!$C$4-(10/(逐级计算!$Q$4*LN(10))*(MAX((LN(10^(逐级计算!$Q$4/10)-1)+逐级计算!$Q$4*(C38-逐级计算!$P$4)*LN(10)/10),0)+LN(1+EXP(-ABS((LN(10^(逐级计算!$Q$4/10)-1)+逐级计算!$Q$4*(C38-逐级计算!$P$4)*LN(10)/10))))))),"")</f>
        <v>4.68053983265252</v>
      </c>
      <c r="F38">
        <f>IF(AND(ISNUMBER(E38),逐级计算!$X$5&gt;-1),IF(逐级计算!$X$5=0,E38+逐级计算!$C$5,E38+逐级计算!$C$5-(10/(逐级计算!$Q$5*LN(10))*(MAX((LN(10^(逐级计算!$Q$5/10)-1)+逐级计算!$Q$5*(E38-逐级计算!$P$5)*LN(10)/10),0)+LN(1+EXP(-ABS((LN(10^(逐级计算!$Q$5/10)-1)+逐级计算!$Q$5*(E38-逐级计算!$P$5)*LN(10)/10))))))),"")</f>
        <v>13.7930365764479</v>
      </c>
      <c r="G38">
        <f>IF(AND(ISNUMBER(F38),逐级计算!$X$6&gt;-1),IF(逐级计算!$X$6=0,F38+逐级计算!$C$6,F38+逐级计算!$C$6-(10/(逐级计算!$Q$6*LN(10))*(MAX((LN(10^(逐级计算!$Q$6/10)-1)+逐级计算!$Q$6*(F38-逐级计算!$P$6)*LN(10)/10),0)+LN(1+EXP(-ABS((LN(10^(逐级计算!$Q$6/10)-1)+逐级计算!$Q$6*(F38-逐级计算!$P$6)*LN(10)/10))))))),"")</f>
        <v>13.7930365764479</v>
      </c>
      <c r="H38">
        <f>IF(AND(ISNUMBER(G38),逐级计算!$X$7&gt;-1),IF(逐级计算!$X$7=0,G38+逐级计算!$C$7,G38+逐级计算!$C$7-(10/(逐级计算!$Q$7*LN(10))*(MAX((LN(10^(逐级计算!$Q$7/10)-1)+逐级计算!$Q$7*(G38-逐级计算!$P$7)*LN(10)/10),0)+LN(1+EXP(-ABS((LN(10^(逐级计算!$Q$7/10)-1)+逐级计算!$Q$7*(G38-逐级计算!$P$7)*LN(10)/10))))))),"")</f>
        <v>13.7930365764479</v>
      </c>
      <c r="I38">
        <f>IF(AND(ISNUMBER(H38),逐级计算!$X$8&gt;-1),IF(逐级计算!$X$8=0,H38+逐级计算!$C$8,H38+逐级计算!$C$8-(10/(逐级计算!$Q$8*LN(10))*(MAX((LN(10^(逐级计算!$Q$8/10)-1)+逐级计算!$Q$8*(H38-逐级计算!$P$8)*LN(10)/10),0)+LN(1+EXP(-ABS((LN(10^(逐级计算!$Q$8/10)-1)+逐级计算!$Q$8*(H38-逐级计算!$P$8)*LN(10)/10))))))),"")</f>
        <v>13.7930365764479</v>
      </c>
      <c r="J38">
        <f>IF(AND(ISNUMBER(I38),逐级计算!$X$9&gt;-1),IF(逐级计算!$X$9=0,I38+逐级计算!$C$9,I38+逐级计算!$C$9-(10/(逐级计算!$Q$9*LN(10))*(MAX((LN(10^(逐级计算!$Q$9/10)-1)+逐级计算!$Q$9*(I38-逐级计算!$P$9)*LN(10)/10),0)+LN(1+EXP(-ABS((LN(10^(逐级计算!$Q$9/10)-1)+逐级计算!$Q$9*(I38-逐级计算!$P$9)*LN(10)/10))))))),"")</f>
        <v>13.7930365764479</v>
      </c>
      <c r="K38">
        <f>IF(AND(ISNUMBER(J38),逐级计算!$X$10&gt;-1),IF(逐级计算!$X$10=0,J38+逐级计算!$C$10,J38+逐级计算!$C$10-(10/(逐级计算!$Q$10*LN(10))*(MAX((LN(10^(逐级计算!$Q$10/10)-1)+逐级计算!$Q$10*(J38-逐级计算!$P$10)*LN(10)/10),0)+LN(1+EXP(-ABS((LN(10^(逐级计算!$Q$10/10)-1)+逐级计算!$Q$10*(J38-逐级计算!$P$10)*LN(10)/10))))))),"")</f>
        <v>13.7930365764479</v>
      </c>
      <c r="L38">
        <f>IF(AND(ISNUMBER(K38),逐级计算!$X$11&gt;-1),IF(逐级计算!$X$11=0,K38+逐级计算!$C$11,K38+逐级计算!$C$11-(10/(逐级计算!$Q$11*LN(10))*(MAX((LN(10^(逐级计算!$Q$11/10)-1)+逐级计算!$Q$11*(K38-逐级计算!$P$11)*LN(10)/10),0)+LN(1+EXP(-ABS((LN(10^(逐级计算!$Q$11/10)-1)+逐级计算!$Q$11*(K38-逐级计算!$P$11)*LN(10)/10))))))),"")</f>
        <v>13.7930365764479</v>
      </c>
      <c r="M38">
        <f>IF(AND(ISNUMBER(L38),逐级计算!$X$12&gt;-1),IF(逐级计算!$X$12=0,L38+逐级计算!$C$12,L38+逐级计算!$C$12-(10/(逐级计算!$Q$12*LN(10))*(MAX((LN(10^(逐级计算!$Q$12/10)-1)+逐级计算!$Q$12*(L38-逐级计算!$P$12)*LN(10)/10),0)+LN(1+EXP(-ABS((LN(10^(逐级计算!$Q$12/10)-1)+逐级计算!$Q$12*(L38-逐级计算!$P$12)*LN(10)/10))))))),"")</f>
        <v>13.7930365764479</v>
      </c>
      <c r="N38">
        <f>IF(AND(ISNUMBER(M38),逐级计算!$X$13&gt;-1),IF(逐级计算!$X$13=0,M38+逐级计算!$C$13,M38+逐级计算!$C$13-(10/(逐级计算!$Q$13*LN(10))*(MAX((LN(10^(逐级计算!$Q$13/10)-1)+逐级计算!$Q$13*(M38-逐级计算!$P$13)*LN(10)/10),0)+LN(1+EXP(-ABS((LN(10^(逐级计算!$Q$13/10)-1)+逐级计算!$Q$13*(M38-逐级计算!$P$13)*LN(10)/10))))))),"")</f>
        <v>13.7930365764479</v>
      </c>
      <c r="O38">
        <f>IF(AND(ISNUMBER(N38),逐级计算!$X$14&gt;-1),IF(逐级计算!$X$14=0,N38+逐级计算!$C$14,N38+逐级计算!$C$14-(10/(逐级计算!$Q$14*LN(10))*(MAX((LN(10^(逐级计算!$Q$14/10)-1)+逐级计算!$Q$14*(N38-逐级计算!$P$14)*LN(10)/10),0)+LN(1+EXP(-ABS((LN(10^(逐级计算!$Q$14/10)-1)+逐级计算!$Q$14*(N38-逐级计算!$P$14)*LN(10)/10))))))),"")</f>
        <v>13.7930365764479</v>
      </c>
      <c r="P38">
        <f>IF(AND(ISNUMBER(O38),逐级计算!$X$15&gt;-1),IF(逐级计算!$X$15=0,O38+逐级计算!$C$15,O38+逐级计算!$C$15-(10/(逐级计算!$Q$15*LN(10))*(MAX((LN(10^(逐级计算!$Q$15/10)-1)+逐级计算!$Q$15*(O38-逐级计算!$P$15)*LN(10)/10),0)+LN(1+EXP(-ABS((LN(10^(逐级计算!$Q$15/10)-1)+逐级计算!$Q$15*(O38-逐级计算!$P$15)*LN(10)/10))))))),"")</f>
        <v>13.7930365764479</v>
      </c>
      <c r="Q38">
        <f>IF(AND(ISNUMBER(P38),逐级计算!$X$16&gt;-1),IF(逐级计算!$X$16=0,P38+逐级计算!$C$16,P38+逐级计算!$C$16-(10/(逐级计算!$Q$16*LN(10))*(MAX((LN(10^(逐级计算!$Q$16/10)-1)+逐级计算!$Q$16*(P38-逐级计算!$P$16)*LN(10)/10),0)+LN(1+EXP(-ABS((LN(10^(逐级计算!$Q$16/10)-1)+逐级计算!$Q$16*(P38-逐级计算!$P$16)*LN(10)/10))))))),"")</f>
        <v>13.7930365764479</v>
      </c>
      <c r="R38">
        <f>IF(AND(ISNUMBER(Q38),逐级计算!$X$17&gt;-1),IF(逐级计算!$X$17=0,Q38+逐级计算!$C$17,Q38+逐级计算!$C$17-(10/(逐级计算!$Q$17*LN(10))*(MAX((LN(10^(逐级计算!$Q$17/10)-1)+逐级计算!$Q$17*(Q38-逐级计算!$P$17)*LN(10)/10),0)+LN(1+EXP(-ABS((LN(10^(逐级计算!$Q$17/10)-1)+逐级计算!$Q$17*(Q38-逐级计算!$P$17)*LN(10)/10))))))),"")</f>
        <v>13.7930365764479</v>
      </c>
      <c r="S38">
        <f>IF(AND(ISNUMBER(R38),逐级计算!$X$18&gt;-1),IF(逐级计算!$X$18=0,R38+逐级计算!$C$18,R38+逐级计算!$C$18-(10/(逐级计算!$Q$18*LN(10))*(MAX((LN(10^(逐级计算!$Q$18/10)-1)+逐级计算!$Q$18*(R38-逐级计算!$P$18)*LN(10)/10),0)+LN(1+EXP(-ABS((LN(10^(逐级计算!$Q$18/10)-1)+逐级计算!$Q$18*(R38-逐级计算!$P$18)*LN(10)/10))))))),"")</f>
        <v>13.7930365764479</v>
      </c>
      <c r="T38">
        <f>IF(AND(ISNUMBER(S38),逐级计算!$X$19&gt;-1),IF(逐级计算!$X$19=0,S38+逐级计算!$C$19,S38+逐级计算!$C$19-(10/(逐级计算!$Q$19*LN(10))*(MAX((LN(10^(逐级计算!$Q$19/10)-1)+逐级计算!$Q$19*(S38-逐级计算!$P$19)*LN(10)/10),0)+LN(1+EXP(-ABS((LN(10^(逐级计算!$Q$19/10)-1)+逐级计算!$Q$19*(S38-逐级计算!$P$19)*LN(10)/10))))))),"")</f>
        <v>13.7930365764479</v>
      </c>
      <c r="U38">
        <f>IF(AND(ISNUMBER(T38),逐级计算!$X$20&gt;-1),IF(逐级计算!$X$20=0,T38+逐级计算!$C$20,T38+逐级计算!$C$20-(10/(逐级计算!$Q$20*LN(10))*(MAX((LN(10^(逐级计算!$Q$20/10)-1)+逐级计算!$Q$20*(T38-逐级计算!$P$20)*LN(10)/10),0)+LN(1+EXP(-ABS((LN(10^(逐级计算!$Q$20/10)-1)+逐级计算!$Q$20*(T38-逐级计算!$P$20)*LN(10)/10))))))),"")</f>
        <v>13.7930365764479</v>
      </c>
      <c r="V38">
        <f>IF(AND(ISNUMBER(U38),逐级计算!$X$21&gt;-1),IF(逐级计算!$X$21=0,U38+逐级计算!$C$21,U38+逐级计算!$C$21-(10/(逐级计算!$Q$21*LN(10))*(MAX((LN(10^(逐级计算!$Q$21/10)-1)+逐级计算!$Q$21*(U38-逐级计算!$P$21)*LN(10)/10),0)+LN(1+EXP(-ABS((LN(10^(逐级计算!$Q$21/10)-1)+逐级计算!$Q$21*(U38-逐级计算!$P$21)*LN(10)/10))))))),"")</f>
        <v>13.7930365764479</v>
      </c>
      <c r="W38">
        <f>IF(AND(ISNUMBER(V38),逐级计算!$X$22&gt;-1),IF(逐级计算!$X$22=0,V38+逐级计算!$C$22,V38+逐级计算!$C$22-(10/(逐级计算!$Q$22*LN(10))*(MAX((LN(10^(逐级计算!$Q$22/10)-1)+逐级计算!$Q$22*(V38-逐级计算!$P$22)*LN(10)/10),0)+LN(1+EXP(-ABS((LN(10^(逐级计算!$Q$22/10)-1)+逐级计算!$Q$22*(V38-逐级计算!$P$22)*LN(10)/10))))))),"")</f>
        <v>13.7930365764479</v>
      </c>
      <c r="X38">
        <f>IF(AND(ISNUMBER(W38),逐级计算!$X$23&gt;-1),IF(逐级计算!$X$23=0,W38+逐级计算!$C$23,W38+逐级计算!$C$23-(10/(逐级计算!$Q$23*LN(10))*(MAX((LN(10^(逐级计算!$Q$23/10)-1)+逐级计算!$Q$23*(W38-逐级计算!$P$23)*LN(10)/10),0)+LN(1+EXP(-ABS((LN(10^(逐级计算!$Q$23/10)-1)+逐级计算!$Q$23*(W38-逐级计算!$P$23)*LN(10)/10))))))),"")</f>
        <v>13.7930365764479</v>
      </c>
      <c r="Y38">
        <f>IF(AND(ISNUMBER(X38),逐级计算!$X$24&gt;-1),IF(逐级计算!$X$24=0,X38+逐级计算!$C$24,X38+逐级计算!$C$24-(10/(逐级计算!$Q$24*LN(10))*(MAX((LN(10^(逐级计算!$Q$24/10)-1)+逐级计算!$Q$24*(X38-逐级计算!$P$24)*LN(10)/10),0)+LN(1+EXP(-ABS((LN(10^(逐级计算!$Q$24/10)-1)+逐级计算!$Q$24*(X38-逐级计算!$P$24)*LN(10)/10))))))),"")</f>
        <v>13.7930365764479</v>
      </c>
      <c r="Z38">
        <f>IF(AND(ISNUMBER(Y38),逐级计算!$X$25&gt;-1),IF(逐级计算!$X$25=0,Y38+逐级计算!$C$25,Y38+逐级计算!$C$25-(10/(逐级计算!$Q$25*LN(10))*(MAX((LN(10^(逐级计算!$Q$25/10)-1)+逐级计算!$Q$25*(Y38-逐级计算!$P$25)*LN(10)/10),0)+LN(1+EXP(-ABS((LN(10^(逐级计算!$Q$25/10)-1)+逐级计算!$Q$25*(Y38-逐级计算!$P$25)*LN(10)/10))))))),"")</f>
        <v>13.7930365764479</v>
      </c>
      <c r="AA38">
        <f>IF(AND(ISNUMBER(Z38),逐级计算!$X$26&gt;-1),IF(逐级计算!$X$26=0,Z38+逐级计算!$C$26,Z38+逐级计算!$C$26-(10/(逐级计算!$Q$26*LN(10))*(MAX((LN(10^(逐级计算!$Q$26/10)-1)+逐级计算!$Q$26*(Z38-逐级计算!$P$26)*LN(10)/10),0)+LN(1+EXP(-ABS((LN(10^(逐级计算!$Q$26/10)-1)+逐级计算!$Q$26*(Z38-逐级计算!$P$26)*LN(10)/10))))))),"")</f>
        <v>13.7930365764479</v>
      </c>
      <c r="AB38">
        <f>IF(AND(ISNUMBER(AA38),逐级计算!$X$27&gt;-1),IF(逐级计算!$X$27=0,AA38+逐级计算!$C$27,AA38+逐级计算!$C$27-(10/(逐级计算!$Q$27*LN(10))*(MAX((LN(10^(逐级计算!$Q$27/10)-1)+逐级计算!$Q$27*(AA38-逐级计算!$P$27)*LN(10)/10),0)+LN(1+EXP(-ABS((LN(10^(逐级计算!$Q$27/10)-1)+逐级计算!$Q$27*(AA38-逐级计算!$P$27)*LN(10)/10))))))),"")</f>
        <v>13.7930365764479</v>
      </c>
      <c r="AC38">
        <f>IF(AND(ISNUMBER(AB38),逐级计算!$X$28&gt;-1),IF(逐级计算!$X$28=0,AB38+逐级计算!$C$28,AB38+逐级计算!$C$28-(10/(逐级计算!$Q$28*LN(10))*(MAX((LN(10^(逐级计算!$Q$28/10)-1)+逐级计算!$Q$28*(AB38-逐级计算!$P$28)*LN(10)/10),0)+LN(1+EXP(-ABS((LN(10^(逐级计算!$Q$28/10)-1)+逐级计算!$Q$28*(AB38-逐级计算!$P$28)*LN(10)/10))))))),"")</f>
        <v>13.7930365764479</v>
      </c>
      <c r="AD38">
        <f>IF(AND(ISNUMBER(AC38),逐级计算!$X$29&gt;-1),IF(逐级计算!$X$29=0,AC38+逐级计算!$C$29,AC38+逐级计算!$C$29-(10/(逐级计算!$Q$29*LN(10))*(MAX((LN(10^(逐级计算!$Q$29/10)-1)+逐级计算!$Q$29*(AC38-逐级计算!$P$29)*LN(10)/10),0)+LN(1+EXP(-ABS((LN(10^(逐级计算!$Q$29/10)-1)+逐级计算!$Q$29*(AC38-逐级计算!$P$29)*LN(10)/10))))))),"")</f>
        <v>13.7930365764479</v>
      </c>
      <c r="AE38">
        <f>IF(AND(ISNUMBER(AD38),逐级计算!$X$30&gt;-1),IF(逐级计算!$X$30=0,AD38+逐级计算!$C$30,AD38+逐级计算!$C$30-(10/(逐级计算!$Q$30*LN(10))*(MAX((LN(10^(逐级计算!$Q$30/10)-1)+逐级计算!$Q$30*(AD38-逐级计算!$P$30)*LN(10)/10),0)+LN(1+EXP(-ABS((LN(10^(逐级计算!$Q$30/10)-1)+逐级计算!$Q$30*(AD38-逐级计算!$P$30)*LN(10)/10))))))),"")</f>
        <v>13.7930365764479</v>
      </c>
      <c r="AF38">
        <f>IF(AND(ISNUMBER(AE38),逐级计算!$X$31&gt;-1),IF(逐级计算!$X$31=0,AE38+逐级计算!$C$31,AE38+逐级计算!$C$31-(10/(逐级计算!$Q$31*LN(10))*(MAX((LN(10^(逐级计算!$Q$31/10)-1)+逐级计算!$Q$31*(AE38-逐级计算!$P$31)*LN(10)/10),0)+LN(1+EXP(-ABS((LN(10^(逐级计算!$Q$31/10)-1)+逐级计算!$Q$31*(AE38-逐级计算!$P$31)*LN(10)/10))))))),"")</f>
        <v>13.7930365764479</v>
      </c>
      <c r="AG38">
        <f>IF(AND(ISNUMBER(AF38),逐级计算!$X$32&gt;-1),IF(逐级计算!$X$32=0,AF38+逐级计算!$C$32,AF38+逐级计算!$C$32-(10/(逐级计算!$Q$32*LN(10))*(MAX((LN(10^(逐级计算!$Q$32/10)-1)+逐级计算!$Q$32*(AF38-逐级计算!$P$32)*LN(10)/10),0)+LN(1+EXP(-ABS((LN(10^(逐级计算!$Q$32/10)-1)+逐级计算!$Q$32*(AF38-逐级计算!$P$32)*LN(10)/10))))))),"")</f>
        <v>13.7930365764479</v>
      </c>
      <c r="AH38">
        <f>IF(AND(ISNUMBER(AG38),逐级计算!$X$33&gt;-1),IF(逐级计算!$X$33=0,AG38+逐级计算!$C$33,AG38+逐级计算!$C$33-(10/(逐级计算!$Q$33*LN(10))*(MAX((LN(10^(逐级计算!$Q$33/10)-1)+逐级计算!$Q$33*(AG38-逐级计算!$P$33)*LN(10)/10),0)+LN(1+EXP(-ABS((LN(10^(逐级计算!$Q$33/10)-1)+逐级计算!$Q$33*(AG38-逐级计算!$P$33)*LN(10)/10))))))),"")</f>
        <v>13.7930365764479</v>
      </c>
      <c r="AI38">
        <f>IF(AND(ISNUMBER(AH38),逐级计算!$X$34&gt;-1),IF(逐级计算!$X$34=0,AH38+逐级计算!$C$34,AH38+逐级计算!$C$34-(10/(逐级计算!$Q$34*LN(10))*(MAX((LN(10^(逐级计算!$Q$34/10)-1)+逐级计算!$Q$34*(AH38-逐级计算!$P$34)*LN(10)/10),0)+LN(1+EXP(-ABS((LN(10^(逐级计算!$Q$34/10)-1)+逐级计算!$Q$34*(AH38-逐级计算!$P$34)*LN(10)/10))))))),"")</f>
        <v>13.7930365764479</v>
      </c>
      <c r="AJ38">
        <f>IF(AND(ISNUMBER(AI38),逐级计算!$X$35&gt;-1),IF(逐级计算!$X$35=0,AI38+逐级计算!$C$35,AI38+逐级计算!$C$35-(10/(逐级计算!$Q$35*LN(10))*(MAX((LN(10^(逐级计算!$Q$35/10)-1)+逐级计算!$Q$35*(AI38-逐级计算!$P$35)*LN(10)/10),0)+LN(1+EXP(-ABS((LN(10^(逐级计算!$Q$35/10)-1)+逐级计算!$Q$35*(AI38-逐级计算!$P$35)*LN(10)/10))))))),"")</f>
        <v>13.7930365764479</v>
      </c>
      <c r="AK38">
        <f>IF(AND(ISNUMBER(AJ38),逐级计算!$X$36&gt;-1),IF(逐级计算!$X$36=0,AJ38+逐级计算!$C$36,AJ38+逐级计算!$C$36-(10/(逐级计算!$Q$36*LN(10))*(MAX((LN(10^(逐级计算!$Q$36/10)-1)+逐级计算!$Q$36*(AJ38-逐级计算!$P$36)*LN(10)/10),0)+LN(1+EXP(-ABS((LN(10^(逐级计算!$Q$36/10)-1)+逐级计算!$Q$36*(AJ38-逐级计算!$P$36)*LN(10)/10))))))),"")</f>
        <v>13.7930365764479</v>
      </c>
      <c r="AL38">
        <f>IF(AND(ISNUMBER(AK38),逐级计算!$X$37&gt;-1),IF(逐级计算!$X$37=0,AK38+逐级计算!$C$37,AK38+逐级计算!$C$37-(10/(逐级计算!$Q$37*LN(10))*(MAX((LN(10^(逐级计算!$Q$37/10)-1)+逐级计算!$Q$37*(AK38-逐级计算!$P$37)*LN(10)/10),0)+LN(1+EXP(-ABS((LN(10^(逐级计算!$Q$37/10)-1)+逐级计算!$Q$37*(AK38-逐级计算!$P$37)*LN(10)/10))))))),"")</f>
        <v>13.7930365764479</v>
      </c>
      <c r="AM38">
        <f>IF(AND(ISNUMBER(AL38),逐级计算!$X$38&gt;-1),IF(逐级计算!$X$38=0,AL38+逐级计算!$C$38,AL38+逐级计算!$C$38-(10/(逐级计算!$Q$38*LN(10))*(MAX((LN(10^(逐级计算!$Q$38/10)-1)+逐级计算!$Q$38*(AL38-逐级计算!$P$38)*LN(10)/10),0)+LN(1+EXP(-ABS((LN(10^(逐级计算!$Q$38/10)-1)+逐级计算!$Q$38*(AL38-逐级计算!$P$38)*LN(10)/10))))))),"")</f>
        <v>13.7930365764479</v>
      </c>
      <c r="AN38">
        <f>IF(AND(ISNUMBER(AM38),逐级计算!$X$39&gt;-1),IF(逐级计算!$X$39=0,AM38+逐级计算!$C$39,AM38+逐级计算!$C$39-(10/(逐级计算!$Q$39*LN(10))*(MAX((LN(10^(逐级计算!$Q$39/10)-1)+逐级计算!$Q$39*(AM38-逐级计算!$P$39)*LN(10)/10),0)+LN(1+EXP(-ABS((LN(10^(逐级计算!$Q$39/10)-1)+逐级计算!$Q$39*(AM38-逐级计算!$P$39)*LN(10)/10))))))),"")</f>
        <v>13.7930365764479</v>
      </c>
      <c r="AO38">
        <f>IF(AND(ISNUMBER(AN38),逐级计算!$X$40&gt;-1),IF(逐级计算!$X$40=0,AN38+逐级计算!$C$40,AN38+逐级计算!$C$40-(10/(逐级计算!$Q$40*LN(10))*(MAX((LN(10^(逐级计算!$Q$40/10)-1)+逐级计算!$Q$40*(AN38-逐级计算!$P$40)*LN(10)/10),0)+LN(1+EXP(-ABS((LN(10^(逐级计算!$Q$40/10)-1)+逐级计算!$Q$40*(AN38-逐级计算!$P$40)*LN(10)/10))))))),"")</f>
        <v>13.7930365764479</v>
      </c>
      <c r="AP38">
        <f>IF(AND(ISNUMBER(AO38),逐级计算!$X$41&gt;-1),IF(逐级计算!$X$41=0,AO38+逐级计算!$C$41,AO38+逐级计算!$C$41-(10/(逐级计算!$Q$41*LN(10))*(MAX((LN(10^(逐级计算!$Q$41/10)-1)+逐级计算!$Q$41*(AO38-逐级计算!$P$41)*LN(10)/10),0)+LN(1+EXP(-ABS((LN(10^(逐级计算!$Q$41/10)-1)+逐级计算!$Q$41*(AO38-逐级计算!$P$41)*LN(10)/10))))))),"")</f>
        <v>13.7930365764479</v>
      </c>
      <c r="AQ38">
        <f>IF(AND(ISNUMBER(AP38),逐级计算!$X$42&gt;-1),IF(逐级计算!$X$42=0,AP38+逐级计算!$C$42,AP38+逐级计算!$C$42-(10/(逐级计算!$Q$42*LN(10))*(MAX((LN(10^(逐级计算!$Q$42/10)-1)+逐级计算!$Q$42*(AP38-逐级计算!$P$42)*LN(10)/10),0)+LN(1+EXP(-ABS((LN(10^(逐级计算!$Q$42/10)-1)+逐级计算!$Q$42*(AP38-逐级计算!$P$42)*LN(10)/10))))))),"")</f>
        <v>13.7930365764479</v>
      </c>
      <c r="AR38">
        <f>IF(AND(ISNUMBER(AQ38),逐级计算!$X$43&gt;-1),IF(逐级计算!$X$43=0,AQ38+逐级计算!$C$43,AQ38+逐级计算!$C$43-(10/(逐级计算!$Q$43*LN(10))*(MAX((LN(10^(逐级计算!$Q$43/10)-1)+逐级计算!$Q$43*(AQ38-逐级计算!$P$43)*LN(10)/10),0)+LN(1+EXP(-ABS((LN(10^(逐级计算!$Q$43/10)-1)+逐级计算!$Q$43*(AQ38-逐级计算!$P$43)*LN(10)/10))))))),"")</f>
        <v>13.7930365764479</v>
      </c>
      <c r="AS38">
        <f>IF(AND(ISNUMBER(AR38),逐级计算!$X$44&gt;-1),IF(逐级计算!$X$44=0,AR38+逐级计算!$C$44,AR38+逐级计算!$C$44-(10/(逐级计算!$Q$44*LN(10))*(MAX((LN(10^(逐级计算!$Q$44/10)-1)+逐级计算!$Q$44*(AR38-逐级计算!$P$44)*LN(10)/10),0)+LN(1+EXP(-ABS((LN(10^(逐级计算!$Q$44/10)-1)+逐级计算!$Q$44*(AR38-逐级计算!$P$44)*LN(10)/10))))))),"")</f>
        <v>13.7930365764479</v>
      </c>
      <c r="AT38">
        <f>IF(AND(ISNUMBER(AS38),逐级计算!$X$45&gt;-1),IF(逐级计算!$X$45=0,AS38+逐级计算!$C$45,AS38+逐级计算!$C$45-(10/(逐级计算!$Q$45*LN(10))*(MAX((LN(10^(逐级计算!$Q$45/10)-1)+逐级计算!$Q$45*(AS38-逐级计算!$P$45)*LN(10)/10),0)+LN(1+EXP(-ABS((LN(10^(逐级计算!$Q$45/10)-1)+逐级计算!$Q$45*(AS38-逐级计算!$P$45)*LN(10)/10))))))),"")</f>
        <v>13.7930365764479</v>
      </c>
      <c r="AU38">
        <f>IF(AND(ISNUMBER(AT38),逐级计算!$X$46&gt;-1),IF(逐级计算!$X$46=0,AT38+逐级计算!$C$46,AT38+逐级计算!$C$46-(10/(逐级计算!$Q$46*LN(10))*(MAX((LN(10^(逐级计算!$Q$46/10)-1)+逐级计算!$Q$46*(AT38-逐级计算!$P$46)*LN(10)/10),0)+LN(1+EXP(-ABS((LN(10^(逐级计算!$Q$46/10)-1)+逐级计算!$Q$46*(AT38-逐级计算!$P$46)*LN(10)/10))))))),"")</f>
        <v>13.7930365764479</v>
      </c>
      <c r="AV38">
        <f>IF(AND(ISNUMBER(AU38),逐级计算!$X$47&gt;-1),IF(逐级计算!$X$47=0,AU38+逐级计算!$C$47,AU38+逐级计算!$C$47-(10/(逐级计算!$Q$47*LN(10))*(MAX((LN(10^(逐级计算!$Q$47/10)-1)+逐级计算!$Q$47*(AU38-逐级计算!$P$47)*LN(10)/10),0)+LN(1+EXP(-ABS((LN(10^(逐级计算!$Q$47/10)-1)+逐级计算!$Q$47*(AU38-逐级计算!$P$47)*LN(10)/10))))))),"")</f>
        <v>13.7930365764479</v>
      </c>
      <c r="AW38">
        <f>IF(AND(ISNUMBER(AV38),逐级计算!$X$48&gt;-1),IF(逐级计算!$X$48=0,AV38+逐级计算!$C$48,AV38+逐级计算!$C$48-(10/(逐级计算!$Q$48*LN(10))*(MAX((LN(10^(逐级计算!$Q$48/10)-1)+逐级计算!$Q$48*(AV38-逐级计算!$P$48)*LN(10)/10),0)+LN(1+EXP(-ABS((LN(10^(逐级计算!$Q$48/10)-1)+逐级计算!$Q$48*(AV38-逐级计算!$P$48)*LN(10)/10))))))),"")</f>
        <v>13.7930365764479</v>
      </c>
      <c r="AX38">
        <f>IF(AND(ISNUMBER(AW38),逐级计算!$X$49&gt;-1),IF(逐级计算!$X$49=0,AW38+逐级计算!$C$49,AW38+逐级计算!$C$49-(10/(逐级计算!$Q$49*LN(10))*(MAX((LN(10^(逐级计算!$Q$49/10)-1)+逐级计算!$Q$49*(AW38-逐级计算!$P$49)*LN(10)/10),0)+LN(1+EXP(-ABS((LN(10^(逐级计算!$Q$49/10)-1)+逐级计算!$Q$49*(AW38-逐级计算!$P$49)*LN(10)/10))))))),"")</f>
        <v>13.7930365764479</v>
      </c>
      <c r="AY38">
        <f>IF(AND(ISNUMBER(AX38),逐级计算!$X$50&gt;-1),IF(逐级计算!$X$50=0,AX38+逐级计算!$C$50,AX38+逐级计算!$C$50-(10/(逐级计算!$Q$50*LN(10))*(MAX((LN(10^(逐级计算!$Q$50/10)-1)+逐级计算!$Q$50*(AX38-逐级计算!$P$50)*LN(10)/10),0)+LN(1+EXP(-ABS((LN(10^(逐级计算!$Q$50/10)-1)+逐级计算!$Q$50*(AX38-逐级计算!$P$50)*LN(10)/10))))))),"")</f>
        <v>13.7930365764479</v>
      </c>
      <c r="AZ38">
        <f>IF(AND(ISNUMBER(AY38),逐级计算!$X$51&gt;-1),IF(逐级计算!$X$51=0,AY38+逐级计算!$C$51,AY38+逐级计算!$C$51-(10/(逐级计算!$Q$51*LN(10))*(MAX((LN(10^(逐级计算!$Q$51/10)-1)+逐级计算!$Q$51*(AY38-逐级计算!$P$51)*LN(10)/10),0)+LN(1+EXP(-ABS((LN(10^(逐级计算!$Q$51/10)-1)+逐级计算!$Q$51*(AY38-逐级计算!$P$51)*LN(10)/10))))))),"")</f>
        <v>13.7930365764479</v>
      </c>
      <c r="BA38">
        <f>IF(AND(ISNUMBER(AZ38),逐级计算!$X$52&gt;-1),IF(逐级计算!$X$52=0,AZ38+逐级计算!$C$52,AZ38+逐级计算!$C$52-(10/(逐级计算!$Q$52*LN(10))*(MAX((LN(10^(逐级计算!$Q$52/10)-1)+逐级计算!$Q$52*(AZ38-逐级计算!$P$52)*LN(10)/10),0)+LN(1+EXP(-ABS((LN(10^(逐级计算!$Q$52/10)-1)+逐级计算!$Q$52*(AZ38-逐级计算!$P$52)*LN(10)/10))))))),"")</f>
        <v>13.7930365764479</v>
      </c>
      <c r="BB38">
        <f>IF(AND(ISNUMBER(BA38),逐级计算!$X$53&gt;-1),IF(逐级计算!$X$53=0,BA38+逐级计算!$C$53,BA38+逐级计算!$C$53-(10/(逐级计算!$Q$53*LN(10))*(MAX((LN(10^(逐级计算!$Q$53/10)-1)+逐级计算!$Q$53*(BA38-逐级计算!$P$53)*LN(10)/10),0)+LN(1+EXP(-ABS((LN(10^(逐级计算!$Q$53/10)-1)+逐级计算!$Q$53*(BA38-逐级计算!$P$53)*LN(10)/10))))))),"")</f>
        <v>13.7930365764479</v>
      </c>
      <c r="BC38">
        <f>IF(AND(ISNUMBER(BB38),逐级计算!$X$54&gt;-1),IF(逐级计算!$X$54=0,BB38+逐级计算!$C$54,BB38+逐级计算!$C$54-(10/(逐级计算!$Q$54*LN(10))*(MAX((LN(10^(逐级计算!$Q$54/10)-1)+逐级计算!$Q$54*(BB38-逐级计算!$P$54)*LN(10)/10),0)+LN(1+EXP(-ABS((LN(10^(逐级计算!$Q$54/10)-1)+逐级计算!$Q$54*(BB38-逐级计算!$P$54)*LN(10)/10))))))),"")</f>
        <v>13.7930365764479</v>
      </c>
      <c r="BD38">
        <f>IF(AND(ISNUMBER(BC38),逐级计算!$X$55&gt;-1),IF(逐级计算!$X$55=0,BC38+逐级计算!$C$55,BC38+逐级计算!$C$55-(10/(逐级计算!$Q$55*LN(10))*(MAX((LN(10^(逐级计算!$Q$55/10)-1)+逐级计算!$Q$55*(BC38-逐级计算!$P$55)*LN(10)/10),0)+LN(1+EXP(-ABS((LN(10^(逐级计算!$Q$55/10)-1)+逐级计算!$Q$55*(BC38-逐级计算!$P$55)*LN(10)/10))))))),"")</f>
        <v>13.7930365764479</v>
      </c>
      <c r="BE38">
        <f>IF(AND(ISNUMBER(BD38),逐级计算!$X$56&gt;-1),IF(逐级计算!$X$56=0,BD38+逐级计算!$C$56,BD38+逐级计算!$C$56-(10/(逐级计算!$Q$56*LN(10))*(MAX((LN(10^(逐级计算!$Q$56/10)-1)+逐级计算!$Q$56*(BD38-逐级计算!$P$56)*LN(10)/10),0)+LN(1+EXP(-ABS((LN(10^(逐级计算!$Q$56/10)-1)+逐级计算!$Q$56*(BD38-逐级计算!$P$56)*LN(10)/10))))))),"")</f>
        <v>13.7930365764479</v>
      </c>
      <c r="BF38">
        <f>IF(AND(ISNUMBER(BE38),逐级计算!$X$57&gt;-1),IF(逐级计算!$X$57=0,BE38+逐级计算!$C$57,BE38+逐级计算!$C$57-(10/(逐级计算!$Q$57*LN(10))*(MAX((LN(10^(逐级计算!$Q$57/10)-1)+逐级计算!$Q$57*(BE38-逐级计算!$P$57)*LN(10)/10),0)+LN(1+EXP(-ABS((LN(10^(逐级计算!$Q$57/10)-1)+逐级计算!$Q$57*(BE38-逐级计算!$P$57)*LN(10)/10))))))),"")</f>
        <v>13.7930365764479</v>
      </c>
      <c r="BG38">
        <f>IF(AND(ISNUMBER(BF38),逐级计算!$X$58&gt;-1),IF(逐级计算!$X$58=0,BF38+逐级计算!$C$58,BF38+逐级计算!$C$58-(10/(逐级计算!$Q$58*LN(10))*(MAX((LN(10^(逐级计算!$Q$58/10)-1)+逐级计算!$Q$58*(BF38-逐级计算!$P$58)*LN(10)/10),0)+LN(1+EXP(-ABS((LN(10^(逐级计算!$Q$58/10)-1)+逐级计算!$Q$58*(BF38-逐级计算!$P$58)*LN(10)/10))))))),"")</f>
        <v>13.7930365764479</v>
      </c>
      <c r="BH38">
        <f>IF(AND(ISNUMBER(BG38),逐级计算!$X$59&gt;-1),IF(逐级计算!$X$59=0,BG38+逐级计算!$C$59,BG38+逐级计算!$C$59-(10/(逐级计算!$Q$59*LN(10))*(MAX((LN(10^(逐级计算!$Q$59/10)-1)+逐级计算!$Q$59*(BG38-逐级计算!$P$59)*LN(10)/10),0)+LN(1+EXP(-ABS((LN(10^(逐级计算!$Q$59/10)-1)+逐级计算!$Q$59*(BG38-逐级计算!$P$59)*LN(10)/10))))))),"")</f>
        <v>13.7930365764479</v>
      </c>
      <c r="BI38">
        <f>IF(AND(ISNUMBER(BH38),逐级计算!$X$60&gt;-1),IF(逐级计算!$X$60=0,BH38+逐级计算!$C$60,BH38+逐级计算!$C$60-(10/(逐级计算!$Q$60*LN(10))*(MAX((LN(10^(逐级计算!$Q$60/10)-1)+逐级计算!$Q$60*(BH38-逐级计算!$P$60)*LN(10)/10),0)+LN(1+EXP(-ABS((LN(10^(逐级计算!$Q$60/10)-1)+逐级计算!$Q$60*(BH38-逐级计算!$P$60)*LN(10)/10))))))),"")</f>
        <v>13.7930365764479</v>
      </c>
      <c r="BJ38">
        <f>IF(AND(ISNUMBER(BI38),逐级计算!$X$61&gt;-1),IF(逐级计算!$X$61=0,BI38+逐级计算!$C$61,BI38+逐级计算!$C$61-(10/(逐级计算!$Q$61*LN(10))*(MAX((LN(10^(逐级计算!$Q$61/10)-1)+逐级计算!$Q$61*(BI38-逐级计算!$P$61)*LN(10)/10),0)+LN(1+EXP(-ABS((LN(10^(逐级计算!$Q$61/10)-1)+逐级计算!$Q$61*(BI38-逐级计算!$P$61)*LN(10)/10))))))),"")</f>
        <v>13.7930365764479</v>
      </c>
      <c r="BK38">
        <f>IF(AND(ISNUMBER(BJ38),逐级计算!$X$62&gt;-1),IF(逐级计算!$X$62=0,BJ38+逐级计算!$C$62,BJ38+逐级计算!$C$62-(10/(逐级计算!$Q$62*LN(10))*(MAX((LN(10^(逐级计算!$Q$62/10)-1)+逐级计算!$Q$62*(BJ38-逐级计算!$P$62)*LN(10)/10),0)+LN(1+EXP(-ABS((LN(10^(逐级计算!$Q$62/10)-1)+逐级计算!$Q$62*(BJ38-逐级计算!$P$62)*LN(10)/10))))))),"")</f>
        <v>13.7930365764479</v>
      </c>
      <c r="BL38">
        <f>IF(AND(ISNUMBER(BK38),逐级计算!$X$63&gt;-1),IF(逐级计算!$X$63=0,BK38+逐级计算!$C$63,BK38+逐级计算!$C$63-(10/(逐级计算!$Q$63*LN(10))*(MAX((LN(10^(逐级计算!$Q$63/10)-1)+逐级计算!$Q$63*(BK38-逐级计算!$P$63)*LN(10)/10),0)+LN(1+EXP(-ABS((LN(10^(逐级计算!$Q$63/10)-1)+逐级计算!$Q$63*(BK38-逐级计算!$P$63)*LN(10)/10))))))),"")</f>
        <v>13.7930365764479</v>
      </c>
      <c r="BM38">
        <f>IF(AND(ISNUMBER(BL38),逐级计算!$X$64&gt;-1),IF(逐级计算!$X$64=0,BL38+逐级计算!$C$64,BL38+逐级计算!$C$64-(10/(逐级计算!$Q$64*LN(10))*(MAX((LN(10^(逐级计算!$Q$64/10)-1)+逐级计算!$Q$64*(BL38-逐级计算!$P$64)*LN(10)/10),0)+LN(1+EXP(-ABS((LN(10^(逐级计算!$Q$64/10)-1)+逐级计算!$Q$64*(BL38-逐级计算!$P$64)*LN(10)/10))))))),"")</f>
        <v>13.7930365764479</v>
      </c>
      <c r="BN38">
        <f>IF(AND(ISNUMBER(BM38),逐级计算!$X$65&gt;-1),IF(逐级计算!$X$65=0,BM38+逐级计算!$C$65,BM38+逐级计算!$C$65-(10/(逐级计算!$Q$65*LN(10))*(MAX((LN(10^(逐级计算!$Q$65/10)-1)+逐级计算!$Q$65*(BM38-逐级计算!$P$65)*LN(10)/10),0)+LN(1+EXP(-ABS((LN(10^(逐级计算!$Q$65/10)-1)+逐级计算!$Q$65*(BM38-逐级计算!$P$65)*LN(10)/10))))))),"")</f>
        <v>13.7930365764479</v>
      </c>
      <c r="BO38">
        <f>IF(AND(ISNUMBER(BN38),逐级计算!$X$66&gt;-1),IF(逐级计算!$X$66=0,BN38+逐级计算!$C$66,BN38+逐级计算!$C$66-(10/(逐级计算!$Q$66*LN(10))*(MAX((LN(10^(逐级计算!$Q$66/10)-1)+逐级计算!$Q$66*(BN38-逐级计算!$P$66)*LN(10)/10),0)+LN(1+EXP(-ABS((LN(10^(逐级计算!$Q$66/10)-1)+逐级计算!$Q$66*(BN38-逐级计算!$P$66)*LN(10)/10))))))),"")</f>
        <v>13.7930365764479</v>
      </c>
      <c r="BP38">
        <f>IF(AND(ISNUMBER(BO38),逐级计算!$X$67&gt;-1),IF(逐级计算!$X$67=0,BO38+逐级计算!$C$67,BO38+逐级计算!$C$67-(10/(逐级计算!$Q$67*LN(10))*(MAX((LN(10^(逐级计算!$Q$67/10)-1)+逐级计算!$Q$67*(BO38-逐级计算!$P$67)*LN(10)/10),0)+LN(1+EXP(-ABS((LN(10^(逐级计算!$Q$67/10)-1)+逐级计算!$Q$67*(BO38-逐级计算!$P$67)*LN(10)/10))))))),"")</f>
        <v>13.7930365764479</v>
      </c>
      <c r="BQ38">
        <f>IF(AND(ISNUMBER(BP38),逐级计算!$X$68&gt;-1),IF(逐级计算!$X$68=0,BP38+逐级计算!$C$68,BP38+逐级计算!$C$68-(10/(逐级计算!$Q$68*LN(10))*(MAX((LN(10^(逐级计算!$Q$68/10)-1)+逐级计算!$Q$68*(BP38-逐级计算!$P$68)*LN(10)/10),0)+LN(1+EXP(-ABS((LN(10^(逐级计算!$Q$68/10)-1)+逐级计算!$Q$68*(BP38-逐级计算!$P$68)*LN(10)/10))))))),"")</f>
        <v>13.7930365764479</v>
      </c>
      <c r="BR38">
        <f>IF(AND(ISNUMBER(BQ38),逐级计算!$X$69&gt;-1),IF(逐级计算!$X$69=0,BQ38+逐级计算!$C$69,BQ38+逐级计算!$C$69-(10/(逐级计算!$Q$69*LN(10))*(MAX((LN(10^(逐级计算!$Q$69/10)-1)+逐级计算!$Q$69*(BQ38-逐级计算!$P$69)*LN(10)/10),0)+LN(1+EXP(-ABS((LN(10^(逐级计算!$Q$69/10)-1)+逐级计算!$Q$69*(BQ38-逐级计算!$P$69)*LN(10)/10))))))),"")</f>
        <v>13.7930365764479</v>
      </c>
      <c r="BS38">
        <f>IF(AND(ISNUMBER(BR38),逐级计算!$X$70&gt;-1),IF(逐级计算!$X$70=0,BR38+逐级计算!$C$70,BR38+逐级计算!$C$70-(10/(逐级计算!$Q$70*LN(10))*(MAX((LN(10^(逐级计算!$Q$70/10)-1)+逐级计算!$Q$70*(BR38-逐级计算!$P$70)*LN(10)/10),0)+LN(1+EXP(-ABS((LN(10^(逐级计算!$Q$70/10)-1)+逐级计算!$Q$70*(BR38-逐级计算!$P$70)*LN(10)/10))))))),"")</f>
        <v>13.7930365764479</v>
      </c>
      <c r="BT38">
        <f>IF(AND(ISNUMBER(BS38),逐级计算!$X$71&gt;-1),IF(逐级计算!$X$71=0,BS38+逐级计算!$C$71,BS38+逐级计算!$C$71-(10/(逐级计算!$Q$71*LN(10))*(MAX((LN(10^(逐级计算!$Q$71/10)-1)+逐级计算!$Q$71*(BS38-逐级计算!$P$71)*LN(10)/10),0)+LN(1+EXP(-ABS((LN(10^(逐级计算!$Q$71/10)-1)+逐级计算!$Q$71*(BS38-逐级计算!$P$71)*LN(10)/10))))))),"")</f>
        <v>13.7930365764479</v>
      </c>
      <c r="BU38">
        <f>IF(AND(ISNUMBER(BT38),逐级计算!$X$72&gt;-1),IF(逐级计算!$X$72=0,BT38+逐级计算!$C$72,BT38+逐级计算!$C$72-(10/(逐级计算!$Q$72*LN(10))*(MAX((LN(10^(逐级计算!$Q$72/10)-1)+逐级计算!$Q$72*(BT38-逐级计算!$P$72)*LN(10)/10),0)+LN(1+EXP(-ABS((LN(10^(逐级计算!$Q$72/10)-1)+逐级计算!$Q$72*(BT38-逐级计算!$P$72)*LN(10)/10))))))),"")</f>
        <v>13.7930365764479</v>
      </c>
      <c r="BV38">
        <f>IF(AND(ISNUMBER(BU38),逐级计算!$X$73&gt;-1),IF(逐级计算!$X$73=0,BU38+逐级计算!$C$73,BU38+逐级计算!$C$73-(10/(逐级计算!$Q$73*LN(10))*(MAX((LN(10^(逐级计算!$Q$73/10)-1)+逐级计算!$Q$73*(BU38-逐级计算!$P$73)*LN(10)/10),0)+LN(1+EXP(-ABS((LN(10^(逐级计算!$Q$73/10)-1)+逐级计算!$Q$73*(BU38-逐级计算!$P$73)*LN(10)/10))))))),"")</f>
        <v>13.7930365764479</v>
      </c>
      <c r="BW38">
        <f>IF(AND(ISNUMBER(BV38),逐级计算!$X$74&gt;-1),IF(逐级计算!$X$74=0,BV38+逐级计算!$C$74,BV38+逐级计算!$C$74-(10/(逐级计算!$Q$74*LN(10))*(MAX((LN(10^(逐级计算!$Q$74/10)-1)+逐级计算!$Q$74*(BV38-逐级计算!$P$74)*LN(10)/10),0)+LN(1+EXP(-ABS((LN(10^(逐级计算!$Q$74/10)-1)+逐级计算!$Q$74*(BV38-逐级计算!$P$74)*LN(10)/10))))))),"")</f>
        <v>13.7930365764479</v>
      </c>
      <c r="BX38">
        <f>IF(AND(ISNUMBER(BW38),逐级计算!$X$75&gt;-1),IF(逐级计算!$X$75=0,BW38+逐级计算!$C$75,BW38+逐级计算!$C$75-(10/(逐级计算!$Q$75*LN(10))*(MAX((LN(10^(逐级计算!$Q$75/10)-1)+逐级计算!$Q$75*(BW38-逐级计算!$P$75)*LN(10)/10),0)+LN(1+EXP(-ABS((LN(10^(逐级计算!$Q$75/10)-1)+逐级计算!$Q$75*(BW38-逐级计算!$P$75)*LN(10)/10))))))),"")</f>
        <v>13.7930365764479</v>
      </c>
      <c r="BY38">
        <f>IF(AND(ISNUMBER(BX38),逐级计算!$X$76&gt;-1),IF(逐级计算!$X$76=0,BX38+逐级计算!$C$76,BX38+逐级计算!$C$76-(10/(逐级计算!$Q$76*LN(10))*(MAX((LN(10^(逐级计算!$Q$76/10)-1)+逐级计算!$Q$76*(BX38-逐级计算!$P$76)*LN(10)/10),0)+LN(1+EXP(-ABS((LN(10^(逐级计算!$Q$76/10)-1)+逐级计算!$Q$76*(BX38-逐级计算!$P$76)*LN(10)/10))))))),"")</f>
        <v>13.7930365764479</v>
      </c>
      <c r="BZ38">
        <f>IF(AND(ISNUMBER(BY38),逐级计算!$X$77&gt;-1),IF(逐级计算!$X$77=0,BY38+逐级计算!$C$77,BY38+逐级计算!$C$77-(10/(逐级计算!$Q$77*LN(10))*(MAX((LN(10^(逐级计算!$Q$77/10)-1)+逐级计算!$Q$77*(BY38-逐级计算!$P$77)*LN(10)/10),0)+LN(1+EXP(-ABS((LN(10^(逐级计算!$Q$77/10)-1)+逐级计算!$Q$77*(BY38-逐级计算!$P$77)*LN(10)/10))))))),"")</f>
        <v>13.7930365764479</v>
      </c>
      <c r="CA38">
        <f>IF(AND(ISNUMBER(BZ38),逐级计算!$X$78&gt;-1),IF(逐级计算!$X$78=0,BZ38+逐级计算!$C$78,BZ38+逐级计算!$C$78-(10/(逐级计算!$Q$78*LN(10))*(MAX((LN(10^(逐级计算!$Q$78/10)-1)+逐级计算!$Q$78*(BZ38-逐级计算!$P$78)*LN(10)/10),0)+LN(1+EXP(-ABS((LN(10^(逐级计算!$Q$78/10)-1)+逐级计算!$Q$78*(BZ38-逐级计算!$P$78)*LN(10)/10))))))),"")</f>
        <v>13.7930365764479</v>
      </c>
      <c r="CB38">
        <f>IF(AND(ISNUMBER(CA38),逐级计算!$X$79&gt;-1),IF(逐级计算!$X$79=0,CA38+逐级计算!$C$79,CA38+逐级计算!$C$79-(10/(逐级计算!$Q$79*LN(10))*(MAX((LN(10^(逐级计算!$Q$79/10)-1)+逐级计算!$Q$79*(CA38-逐级计算!$P$79)*LN(10)/10),0)+LN(1+EXP(-ABS((LN(10^(逐级计算!$Q$79/10)-1)+逐级计算!$Q$79*(CA38-逐级计算!$P$79)*LN(10)/10))))))),"")</f>
        <v>13.7930365764479</v>
      </c>
      <c r="CC38">
        <f>IF(AND(ISNUMBER(CB38),逐级计算!$X$80&gt;-1),IF(逐级计算!$X$80=0,CB38+逐级计算!$C$80,CB38+逐级计算!$C$80-(10/(逐级计算!$Q$80*LN(10))*(MAX((LN(10^(逐级计算!$Q$80/10)-1)+逐级计算!$Q$80*(CB38-逐级计算!$P$80)*LN(10)/10),0)+LN(1+EXP(-ABS((LN(10^(逐级计算!$Q$80/10)-1)+逐级计算!$Q$80*(CB38-逐级计算!$P$80)*LN(10)/10))))))),"")</f>
        <v>13.7930365764479</v>
      </c>
      <c r="CD38">
        <f>IF(AND(ISNUMBER(CC38),逐级计算!$X$81&gt;-1),IF(逐级计算!$X$81=0,CC38+逐级计算!$C$81,CC38+逐级计算!$C$81-(10/(逐级计算!$Q$81*LN(10))*(MAX((LN(10^(逐级计算!$Q$81/10)-1)+逐级计算!$Q$81*(CC38-逐级计算!$P$81)*LN(10)/10),0)+LN(1+EXP(-ABS((LN(10^(逐级计算!$Q$81/10)-1)+逐级计算!$Q$81*(CC38-逐级计算!$P$81)*LN(10)/10))))))),"")</f>
        <v>13.7930365764479</v>
      </c>
      <c r="CE38">
        <f>IF(AND(ISNUMBER(CD38),逐级计算!$X$82&gt;-1),IF(逐级计算!$X$82=0,CD38+逐级计算!$C$82,CD38+逐级计算!$C$82-(10/(逐级计算!$Q$82*LN(10))*(MAX((LN(10^(逐级计算!$Q$82/10)-1)+逐级计算!$Q$82*(CD38-逐级计算!$P$82)*LN(10)/10),0)+LN(1+EXP(-ABS((LN(10^(逐级计算!$Q$82/10)-1)+逐级计算!$Q$82*(CD38-逐级计算!$P$82)*LN(10)/10))))))),"")</f>
        <v>13.7930365764479</v>
      </c>
      <c r="CF38">
        <f>IF(AND(ISNUMBER(CE38),逐级计算!$X$83&gt;-1),IF(逐级计算!$X$83=0,CE38+逐级计算!$C$83,CE38+逐级计算!$C$83-(10/(逐级计算!$Q$83*LN(10))*(MAX((LN(10^(逐级计算!$Q$83/10)-1)+逐级计算!$Q$83*(CE38-逐级计算!$P$83)*LN(10)/10),0)+LN(1+EXP(-ABS((LN(10^(逐级计算!$Q$83/10)-1)+逐级计算!$Q$83*(CE38-逐级计算!$P$83)*LN(10)/10))))))),"")</f>
        <v>13.7930365764479</v>
      </c>
      <c r="CG38">
        <f>IF(AND(ISNUMBER(CF38),逐级计算!$X$84&gt;-1),IF(逐级计算!$X$84=0,CF38+逐级计算!$C$84,CF38+逐级计算!$C$84-(10/(逐级计算!$Q$84*LN(10))*(MAX((LN(10^(逐级计算!$Q$84/10)-1)+逐级计算!$Q$84*(CF38-逐级计算!$P$84)*LN(10)/10),0)+LN(1+EXP(-ABS((LN(10^(逐级计算!$Q$84/10)-1)+逐级计算!$Q$84*(CF38-逐级计算!$P$84)*LN(10)/10))))))),"")</f>
        <v>13.7930365764479</v>
      </c>
      <c r="CH38">
        <f>IF(AND(ISNUMBER(CG38),逐级计算!$X$85&gt;-1),IF(逐级计算!$X$85=0,CG38+逐级计算!$C$85,CG38+逐级计算!$C$85-(10/(逐级计算!$Q$85*LN(10))*(MAX((LN(10^(逐级计算!$Q$85/10)-1)+逐级计算!$Q$85*(CG38-逐级计算!$P$85)*LN(10)/10),0)+LN(1+EXP(-ABS((LN(10^(逐级计算!$Q$85/10)-1)+逐级计算!$Q$85*(CG38-逐级计算!$P$85)*LN(10)/10))))))),"")</f>
        <v>13.7930365764479</v>
      </c>
      <c r="CI38">
        <f>IF(AND(ISNUMBER(CH38),逐级计算!$X$86&gt;-1),IF(逐级计算!$X$86=0,CH38+逐级计算!$C$86,CH38+逐级计算!$C$86-(10/(逐级计算!$Q$86*LN(10))*(MAX((LN(10^(逐级计算!$Q$86/10)-1)+逐级计算!$Q$86*(CH38-逐级计算!$P$86)*LN(10)/10),0)+LN(1+EXP(-ABS((LN(10^(逐级计算!$Q$86/10)-1)+逐级计算!$Q$86*(CH38-逐级计算!$P$86)*LN(10)/10))))))),"")</f>
        <v>13.7930365764479</v>
      </c>
      <c r="CJ38">
        <f>IF(AND(ISNUMBER(CI38),逐级计算!$X$87&gt;-1),IF(逐级计算!$X$87=0,CI38+逐级计算!$C$87,CI38+逐级计算!$C$87-(10/(逐级计算!$Q$87*LN(10))*(MAX((LN(10^(逐级计算!$Q$87/10)-1)+逐级计算!$Q$87*(CI38-逐级计算!$P$87)*LN(10)/10),0)+LN(1+EXP(-ABS((LN(10^(逐级计算!$Q$87/10)-1)+逐级计算!$Q$87*(CI38-逐级计算!$P$87)*LN(10)/10))))))),"")</f>
        <v>13.7930365764479</v>
      </c>
      <c r="CK38">
        <f>IF(AND(ISNUMBER(CJ38),逐级计算!$X$88&gt;-1),IF(逐级计算!$X$88=0,CJ38+逐级计算!$C$88,CJ38+逐级计算!$C$88-(10/(逐级计算!$Q$88*LN(10))*(MAX((LN(10^(逐级计算!$Q$88/10)-1)+逐级计算!$Q$88*(CJ38-逐级计算!$P$88)*LN(10)/10),0)+LN(1+EXP(-ABS((LN(10^(逐级计算!$Q$88/10)-1)+逐级计算!$Q$88*(CJ38-逐级计算!$P$88)*LN(10)/10))))))),"")</f>
        <v>13.7930365764479</v>
      </c>
      <c r="CL38">
        <f>IF(AND(ISNUMBER(CK38),逐级计算!$X$89&gt;-1),IF(逐级计算!$X$89=0,CK38+逐级计算!$C$89,CK38+逐级计算!$C$89-(10/(逐级计算!$Q$89*LN(10))*(MAX((LN(10^(逐级计算!$Q$89/10)-1)+逐级计算!$Q$89*(CK38-逐级计算!$P$89)*LN(10)/10),0)+LN(1+EXP(-ABS((LN(10^(逐级计算!$Q$89/10)-1)+逐级计算!$Q$89*(CK38-逐级计算!$P$89)*LN(10)/10))))))),"")</f>
        <v>13.7930365764479</v>
      </c>
      <c r="CM38">
        <f>IF(AND(ISNUMBER(CL38),逐级计算!$X$90&gt;-1),IF(逐级计算!$X$90=0,CL38+逐级计算!$C$90,CL38+逐级计算!$C$90-(10/(逐级计算!$Q$90*LN(10))*(MAX((LN(10^(逐级计算!$Q$90/10)-1)+逐级计算!$Q$90*(CL38-逐级计算!$P$90)*LN(10)/10),0)+LN(1+EXP(-ABS((LN(10^(逐级计算!$Q$90/10)-1)+逐级计算!$Q$90*(CL38-逐级计算!$P$90)*LN(10)/10))))))),"")</f>
        <v>13.7930365764479</v>
      </c>
      <c r="CN38">
        <f>IF(AND(ISNUMBER(CM38),逐级计算!$X$91&gt;-1),IF(逐级计算!$X$91=0,CM38+逐级计算!$C$91,CM38+逐级计算!$C$91-(10/(逐级计算!$Q$91*LN(10))*(MAX((LN(10^(逐级计算!$Q$91/10)-1)+逐级计算!$Q$91*(CM38-逐级计算!$P$91)*LN(10)/10),0)+LN(1+EXP(-ABS((LN(10^(逐级计算!$Q$91/10)-1)+逐级计算!$Q$91*(CM38-逐级计算!$P$91)*LN(10)/10))))))),"")</f>
        <v>13.7930365764479</v>
      </c>
      <c r="CO38">
        <f>IF(AND(ISNUMBER(CN38),逐级计算!$X$92&gt;-1),IF(逐级计算!$X$92=0,CN38+逐级计算!$C$92,CN38+逐级计算!$C$92-(10/(逐级计算!$Q$92*LN(10))*(MAX((LN(10^(逐级计算!$Q$92/10)-1)+逐级计算!$Q$92*(CN38-逐级计算!$P$92)*LN(10)/10),0)+LN(1+EXP(-ABS((LN(10^(逐级计算!$Q$92/10)-1)+逐级计算!$Q$92*(CN38-逐级计算!$P$92)*LN(10)/10))))))),"")</f>
        <v>13.7930365764479</v>
      </c>
      <c r="CP38">
        <f>IF(AND(ISNUMBER(CO38),逐级计算!$X$93&gt;-1),IF(逐级计算!$X$93=0,CO38+逐级计算!$C$93,CO38+逐级计算!$C$93-(10/(逐级计算!$Q$93*LN(10))*(MAX((LN(10^(逐级计算!$Q$93/10)-1)+逐级计算!$Q$93*(CO38-逐级计算!$P$93)*LN(10)/10),0)+LN(1+EXP(-ABS((LN(10^(逐级计算!$Q$93/10)-1)+逐级计算!$Q$93*(CO38-逐级计算!$P$93)*LN(10)/10))))))),"")</f>
        <v>13.7930365764479</v>
      </c>
      <c r="CQ38">
        <f>IF(AND(ISNUMBER(CP38),逐级计算!$X$94&gt;-1),IF(逐级计算!$X$94=0,CP38+逐级计算!$C$94,CP38+逐级计算!$C$94-(10/(逐级计算!$Q$94*LN(10))*(MAX((LN(10^(逐级计算!$Q$94/10)-1)+逐级计算!$Q$94*(CP38-逐级计算!$P$94)*LN(10)/10),0)+LN(1+EXP(-ABS((LN(10^(逐级计算!$Q$94/10)-1)+逐级计算!$Q$94*(CP38-逐级计算!$P$94)*LN(10)/10))))))),"")</f>
        <v>13.7930365764479</v>
      </c>
      <c r="CR38">
        <f>IF(AND(ISNUMBER(CQ38),逐级计算!$X$95&gt;-1),IF(逐级计算!$X$95=0,CQ38+逐级计算!$C$95,CQ38+逐级计算!$C$95-(10/(逐级计算!$Q$95*LN(10))*(MAX((LN(10^(逐级计算!$Q$95/10)-1)+逐级计算!$Q$95*(CQ38-逐级计算!$P$95)*LN(10)/10),0)+LN(1+EXP(-ABS((LN(10^(逐级计算!$Q$95/10)-1)+逐级计算!$Q$95*(CQ38-逐级计算!$P$95)*LN(10)/10))))))),"")</f>
        <v>13.7930365764479</v>
      </c>
      <c r="CS38">
        <f>IF(AND(ISNUMBER(CR38),逐级计算!$X$96&gt;-1),IF(逐级计算!$X$96=0,CR38+逐级计算!$C$96,CR38+逐级计算!$C$96-(10/(逐级计算!$Q$96*LN(10))*(MAX((LN(10^(逐级计算!$Q$96/10)-1)+逐级计算!$Q$96*(CR38-逐级计算!$P$96)*LN(10)/10),0)+LN(1+EXP(-ABS((LN(10^(逐级计算!$Q$96/10)-1)+逐级计算!$Q$96*(CR38-逐级计算!$P$96)*LN(10)/10))))))),"")</f>
        <v>13.7930365764479</v>
      </c>
      <c r="CT38">
        <f>IF(AND(ISNUMBER(CS38),逐级计算!$X$97&gt;-1),IF(逐级计算!$X$97=0,CS38+逐级计算!$C$97,CS38+逐级计算!$C$97-(10/(逐级计算!$Q$97*LN(10))*(MAX((LN(10^(逐级计算!$Q$97/10)-1)+逐级计算!$Q$97*(CS38-逐级计算!$P$97)*LN(10)/10),0)+LN(1+EXP(-ABS((LN(10^(逐级计算!$Q$97/10)-1)+逐级计算!$Q$97*(CS38-逐级计算!$P$97)*LN(10)/10))))))),"")</f>
        <v>13.7930365764479</v>
      </c>
      <c r="CU38">
        <f>IF(AND(ISNUMBER(CT38),逐级计算!$X$98&gt;-1),IF(逐级计算!$X$98=0,CT38+逐级计算!$C$98,CT38+逐级计算!$C$98-(10/(逐级计算!$Q$98*LN(10))*(MAX((LN(10^(逐级计算!$Q$98/10)-1)+逐级计算!$Q$98*(CT38-逐级计算!$P$98)*LN(10)/10),0)+LN(1+EXP(-ABS((LN(10^(逐级计算!$Q$98/10)-1)+逐级计算!$Q$98*(CT38-逐级计算!$P$98)*LN(10)/10))))))),"")</f>
        <v>13.7930365764479</v>
      </c>
      <c r="CV38">
        <f>IF(AND(ISNUMBER(CU38),逐级计算!$X$99&gt;-1),IF(逐级计算!$X$99=0,CU38+逐级计算!$C$99,CU38+逐级计算!$C$99-(10/(逐级计算!$Q$99*LN(10))*(MAX((LN(10^(逐级计算!$Q$99/10)-1)+逐级计算!$Q$99*(CU38-逐级计算!$P$99)*LN(10)/10),0)+LN(1+EXP(-ABS((LN(10^(逐级计算!$Q$99/10)-1)+逐级计算!$Q$99*(CU38-逐级计算!$P$99)*LN(10)/10))))))),"")</f>
        <v>13.7930365764479</v>
      </c>
      <c r="CW38">
        <f>IF(AND(ISNUMBER(CV38),逐级计算!$X$100&gt;-1),IF(逐级计算!$X$100=0,CV38+逐级计算!$C$100,CV38+逐级计算!$C$100-(10/(逐级计算!$Q$100*LN(10))*(MAX((LN(10^(逐级计算!$Q$100/10)-1)+逐级计算!$Q$100*(CV38-逐级计算!$P$100)*LN(10)/10),0)+LN(1+EXP(-ABS((LN(10^(逐级计算!$Q$100/10)-1)+逐级计算!$Q$100*(CV38-逐级计算!$P$100)*LN(10)/10))))))),"")</f>
        <v>13.7930365764479</v>
      </c>
      <c r="CX38">
        <f>IF(AND(ISNUMBER(CW38),逐级计算!$X$101&gt;-1),IF(逐级计算!$X$101=0,CW38+逐级计算!$C$101,CW38+逐级计算!$C$101-(10/(逐级计算!$Q$101*LN(10))*(MAX((LN(10^(逐级计算!$Q$101/10)-1)+逐级计算!$Q$101*(CW38-逐级计算!$P$101)*LN(10)/10),0)+LN(1+EXP(-ABS((LN(10^(逐级计算!$Q$101/10)-1)+逐级计算!$Q$101*(CW38-逐级计算!$P$101)*LN(10)/10))))))),"")</f>
        <v>13.7930365764479</v>
      </c>
      <c r="CY38">
        <f>IF(AND(ISNUMBER(CX38),逐级计算!$X$102&gt;-1),IF(逐级计算!$X$102=0,CX38+逐级计算!$C$102,CX38+逐级计算!$C$102-(10/(逐级计算!$Q$102*LN(10))*(MAX((LN(10^(逐级计算!$Q$102/10)-1)+逐级计算!$Q$102*(CX38-逐级计算!$P$102)*LN(10)/10),0)+LN(1+EXP(-ABS((LN(10^(逐级计算!$Q$102/10)-1)+逐级计算!$Q$102*(CX38-逐级计算!$P$102)*LN(10)/10))))))),"")</f>
        <v>13.7930365764479</v>
      </c>
      <c r="CZ38">
        <f>IF(AND(ISNUMBER(CY38),逐级计算!$X$103&gt;-1),IF(逐级计算!$X$103=0,CY38+逐级计算!$C$103,CY38+逐级计算!$C$103-(10/(逐级计算!$Q$103*LN(10))*(MAX((LN(10^(逐级计算!$Q$103/10)-1)+逐级计算!$Q$103*(CY38-逐级计算!$P$103)*LN(10)/10),0)+LN(1+EXP(-ABS((LN(10^(逐级计算!$Q$103/10)-1)+逐级计算!$Q$103*(CY38-逐级计算!$P$103)*LN(10)/10))))))),"")</f>
        <v>13.7930365764479</v>
      </c>
      <c r="DA38">
        <f>IF(AND(ISNUMBER(CZ38),逐级计算!$X$104&gt;-1),IF(逐级计算!$X$104=0,CZ38+逐级计算!$C$104,CZ38+逐级计算!$C$104-(10/(逐级计算!$Q$104*LN(10))*(MAX((LN(10^(逐级计算!$Q$104/10)-1)+逐级计算!$Q$104*(CZ38-逐级计算!$P$104)*LN(10)/10),0)+LN(1+EXP(-ABS((LN(10^(逐级计算!$Q$104/10)-1)+逐级计算!$Q$104*(CZ38-逐级计算!$P$104)*LN(10)/10))))))),"")</f>
        <v>13.7930365764479</v>
      </c>
      <c r="DB38">
        <f>IF(AND(ISNUMBER(DA38),逐级计算!$X$105&gt;-1),IF(逐级计算!$X$105=0,DA38+逐级计算!$C$105,DA38+逐级计算!$C$105-(10/(逐级计算!$Q$105*LN(10))*(MAX((LN(10^(逐级计算!$Q$105/10)-1)+逐级计算!$Q$105*(DA38-逐级计算!$P$105)*LN(10)/10),0)+LN(1+EXP(-ABS((LN(10^(逐级计算!$Q$105/10)-1)+逐级计算!$Q$105*(DA38-逐级计算!$P$105)*LN(10)/10))))))),"")</f>
        <v>13.7930365764479</v>
      </c>
      <c r="DC38">
        <f>IF(AND(ISNUMBER(DB38),逐级计算!$X$106&gt;-1),IF(逐级计算!$X$106=0,DB38+逐级计算!$C$106,DB38+逐级计算!$C$106-(10/(逐级计算!$Q$106*LN(10))*(MAX((LN(10^(逐级计算!$Q$106/10)-1)+逐级计算!$Q$106*(DB38-逐级计算!$P$106)*LN(10)/10),0)+LN(1+EXP(-ABS((LN(10^(逐级计算!$Q$106/10)-1)+逐级计算!$Q$106*(DB38-逐级计算!$P$106)*LN(10)/10))))))),"")</f>
        <v>13.7930365764479</v>
      </c>
      <c r="DD38">
        <f>IF(AND(ISNUMBER(DC38),逐级计算!$X$107&gt;-1),IF(逐级计算!$X$107=0,DC38+逐级计算!$C$107,DC38+逐级计算!$C$107-(10/(逐级计算!$Q$107*LN(10))*(MAX((LN(10^(逐级计算!$Q$107/10)-1)+逐级计算!$Q$107*(DC38-逐级计算!$P$107)*LN(10)/10),0)+LN(1+EXP(-ABS((LN(10^(逐级计算!$Q$107/10)-1)+逐级计算!$Q$107*(DC38-逐级计算!$P$107)*LN(10)/10))))))),"")</f>
        <v>13.7930365764479</v>
      </c>
      <c r="DE38">
        <f>IF(AND(ISNUMBER(DD38),逐级计算!$X$108&gt;-1),IF(逐级计算!$X$108=0,DD38+逐级计算!$C$108,DD38+逐级计算!$C$108-(10/(逐级计算!$Q$108*LN(10))*(MAX((LN(10^(逐级计算!$Q$108/10)-1)+逐级计算!$Q$108*(DD38-逐级计算!$P$108)*LN(10)/10),0)+LN(1+EXP(-ABS((LN(10^(逐级计算!$Q$108/10)-1)+逐级计算!$Q$108*(DD38-逐级计算!$P$108)*LN(10)/10))))))),"")</f>
        <v>13.7930365764479</v>
      </c>
      <c r="DF38">
        <f>IF(AND(ISNUMBER(DE38),逐级计算!$X$109&gt;-1),IF(逐级计算!$X$109=0,DE38+逐级计算!$C$109,DE38+逐级计算!$C$109-(10/(逐级计算!$Q$109*LN(10))*(MAX((LN(10^(逐级计算!$Q$109/10)-1)+逐级计算!$Q$109*(DE38-逐级计算!$P$109)*LN(10)/10),0)+LN(1+EXP(-ABS((LN(10^(逐级计算!$Q$109/10)-1)+逐级计算!$Q$109*(DE38-逐级计算!$P$109)*LN(10)/10))))))),"")</f>
        <v>13.7930365764479</v>
      </c>
      <c r="DG38">
        <f>IF(AND(ISNUMBER(DF38),逐级计算!$X$110&gt;-1),IF(逐级计算!$X$110=0,DF38+逐级计算!$C$110,DF38+逐级计算!$C$110-(10/(逐级计算!$Q$110*LN(10))*(MAX((LN(10^(逐级计算!$Q$110/10)-1)+逐级计算!$Q$110*(DF38-逐级计算!$P$110)*LN(10)/10),0)+LN(1+EXP(-ABS((LN(10^(逐级计算!$Q$110/10)-1)+逐级计算!$Q$110*(DF38-逐级计算!$P$110)*LN(10)/10))))))),"")</f>
        <v>13.7930365764479</v>
      </c>
      <c r="DH38">
        <f>IF(AND(ISNUMBER(DG38),逐级计算!$X$111&gt;-1),IF(逐级计算!$X$111=0,DG38+逐级计算!$C$111,DG38+逐级计算!$C$111-(10/(逐级计算!$Q$111*LN(10))*(MAX((LN(10^(逐级计算!$Q$111/10)-1)+逐级计算!$Q$111*(DG38-逐级计算!$P$111)*LN(10)/10),0)+LN(1+EXP(-ABS((LN(10^(逐级计算!$Q$111/10)-1)+逐级计算!$Q$111*(DG38-逐级计算!$P$111)*LN(10)/10))))))),"")</f>
        <v>13.7930365764479</v>
      </c>
      <c r="DI38">
        <f>IF(AND(ISNUMBER(DH38),逐级计算!$X$112&gt;-1),IF(逐级计算!$X$112=0,DH38+逐级计算!$C$112,DH38+逐级计算!$C$112-(10/(逐级计算!$Q$112*LN(10))*(MAX((LN(10^(逐级计算!$Q$112/10)-1)+逐级计算!$Q$112*(DH38-逐级计算!$P$112)*LN(10)/10),0)+LN(1+EXP(-ABS((LN(10^(逐级计算!$Q$112/10)-1)+逐级计算!$Q$112*(DH38-逐级计算!$P$112)*LN(10)/10))))))),"")</f>
        <v>13.7930365764479</v>
      </c>
      <c r="DJ38">
        <f>IF(AND(ISNUMBER(DI38),逐级计算!$X$113&gt;-1),IF(逐级计算!$X$113=0,DI38+逐级计算!$C$113,DI38+逐级计算!$C$113-(10/(逐级计算!$Q$113*LN(10))*(MAX((LN(10^(逐级计算!$Q$113/10)-1)+逐级计算!$Q$113*(DI38-逐级计算!$P$113)*LN(10)/10),0)+LN(1+EXP(-ABS((LN(10^(逐级计算!$Q$113/10)-1)+逐级计算!$Q$113*(DI38-逐级计算!$P$113)*LN(10)/10))))))),"")</f>
        <v>13.7930365764479</v>
      </c>
      <c r="DK38">
        <f>IF(AND(ISNUMBER(DJ38),逐级计算!$X$114&gt;-1),IF(逐级计算!$X$114=0,DJ38+逐级计算!$C$114,DJ38+逐级计算!$C$114-(10/(逐级计算!$Q$114*LN(10))*(MAX((LN(10^(逐级计算!$Q$114/10)-1)+逐级计算!$Q$114*(DJ38-逐级计算!$P$114)*LN(10)/10),0)+LN(1+EXP(-ABS((LN(10^(逐级计算!$Q$114/10)-1)+逐级计算!$Q$114*(DJ38-逐级计算!$P$114)*LN(10)/10))))))),"")</f>
        <v>13.7930365764479</v>
      </c>
      <c r="DL38">
        <f>IF(AND(ISNUMBER(DK38),逐级计算!$X$115&gt;-1),IF(逐级计算!$X$115=0,DK38+逐级计算!$C$115,DK38+逐级计算!$C$115-(10/(逐级计算!$Q$115*LN(10))*(MAX((LN(10^(逐级计算!$Q$115/10)-1)+逐级计算!$Q$115*(DK38-逐级计算!$P$115)*LN(10)/10),0)+LN(1+EXP(-ABS((LN(10^(逐级计算!$Q$115/10)-1)+逐级计算!$Q$115*(DK38-逐级计算!$P$115)*LN(10)/10))))))),"")</f>
        <v>13.7930365764479</v>
      </c>
      <c r="DM38">
        <f>IF(AND(ISNUMBER(DL38),逐级计算!$X$116&gt;-1),IF(逐级计算!$X$116=0,DL38+逐级计算!$C$116,DL38+逐级计算!$C$116-(10/(逐级计算!$Q$116*LN(10))*(MAX((LN(10^(逐级计算!$Q$116/10)-1)+逐级计算!$Q$116*(DL38-逐级计算!$P$116)*LN(10)/10),0)+LN(1+EXP(-ABS((LN(10^(逐级计算!$Q$116/10)-1)+逐级计算!$Q$116*(DL38-逐级计算!$P$116)*LN(10)/10))))))),"")</f>
        <v>13.7930365764479</v>
      </c>
      <c r="DN38">
        <f>IF(AND(ISNUMBER(DM38),逐级计算!$X$117&gt;-1),IF(逐级计算!$X$117=0,DM38+逐级计算!$C$117,DM38+逐级计算!$C$117-(10/(逐级计算!$Q$117*LN(10))*(MAX((LN(10^(逐级计算!$Q$117/10)-1)+逐级计算!$Q$117*(DM38-逐级计算!$P$117)*LN(10)/10),0)+LN(1+EXP(-ABS((LN(10^(逐级计算!$Q$117/10)-1)+逐级计算!$Q$117*(DM38-逐级计算!$P$117)*LN(10)/10))))))),"")</f>
        <v>13.7930365764479</v>
      </c>
      <c r="DO38">
        <f>IF(AND(ISNUMBER(DN38),逐级计算!$X$118&gt;-1),IF(逐级计算!$X$118=0,DN38+逐级计算!$C$118,DN38+逐级计算!$C$118-(10/(逐级计算!$Q$118*LN(10))*(MAX((LN(10^(逐级计算!$Q$118/10)-1)+逐级计算!$Q$118*(DN38-逐级计算!$P$118)*LN(10)/10),0)+LN(1+EXP(-ABS((LN(10^(逐级计算!$Q$118/10)-1)+逐级计算!$Q$118*(DN38-逐级计算!$P$118)*LN(10)/10))))))),"")</f>
        <v>13.7930365764479</v>
      </c>
      <c r="DP38">
        <f>IF(AND(ISNUMBER(DO38),逐级计算!$X$119&gt;-1),IF(逐级计算!$X$119=0,DO38+逐级计算!$C$119,DO38+逐级计算!$C$119-(10/(逐级计算!$Q$119*LN(10))*(MAX((LN(10^(逐级计算!$Q$119/10)-1)+逐级计算!$Q$119*(DO38-逐级计算!$P$119)*LN(10)/10),0)+LN(1+EXP(-ABS((LN(10^(逐级计算!$Q$119/10)-1)+逐级计算!$Q$119*(DO38-逐级计算!$P$119)*LN(10)/10))))))),"")</f>
        <v>13.7930365764479</v>
      </c>
      <c r="DQ38">
        <f>IF(AND(ISNUMBER(DP38),逐级计算!$X$120&gt;-1),IF(逐级计算!$X$120=0,DP38+逐级计算!$C$120,DP38+逐级计算!$C$120-(10/(逐级计算!$Q$120*LN(10))*(MAX((LN(10^(逐级计算!$Q$120/10)-1)+逐级计算!$Q$120*(DP38-逐级计算!$P$120)*LN(10)/10),0)+LN(1+EXP(-ABS((LN(10^(逐级计算!$Q$120/10)-1)+逐级计算!$Q$120*(DP38-逐级计算!$P$120)*LN(10)/10))))))),"")</f>
        <v>13.7930365764479</v>
      </c>
      <c r="DR38">
        <f>IF(AND(ISNUMBER(DQ38),逐级计算!$X$121&gt;-1),IF(逐级计算!$X$121=0,DQ38+逐级计算!$C$121,DQ38+逐级计算!$C$121-(10/(逐级计算!$Q$121*LN(10))*(MAX((LN(10^(逐级计算!$Q$121/10)-1)+逐级计算!$Q$121*(DQ38-逐级计算!$P$121)*LN(10)/10),0)+LN(1+EXP(-ABS((LN(10^(逐级计算!$Q$121/10)-1)+逐级计算!$Q$121*(DQ38-逐级计算!$P$121)*LN(10)/10))))))),"")</f>
        <v>13.7930365764479</v>
      </c>
      <c r="DS38">
        <f>IF(AND(ISNUMBER(DR38),逐级计算!$X$122&gt;-1),IF(逐级计算!$X$122=0,DR38+逐级计算!$C$122,DR38+逐级计算!$C$122-(10/(逐级计算!$Q$122*LN(10))*(MAX((LN(10^(逐级计算!$Q$122/10)-1)+逐级计算!$Q$122*(DR38-逐级计算!$P$122)*LN(10)/10),0)+LN(1+EXP(-ABS((LN(10^(逐级计算!$Q$122/10)-1)+逐级计算!$Q$122*(DR38-逐级计算!$P$122)*LN(10)/10))))))),"")</f>
        <v>13.7930365764479</v>
      </c>
      <c r="DT38">
        <f>IF(AND(ISNUMBER(DS38),逐级计算!$X$123&gt;-1),IF(逐级计算!$X$123=0,DS38+逐级计算!$C$123,DS38+逐级计算!$C$123-(10/(逐级计算!$Q$123*LN(10))*(MAX((LN(10^(逐级计算!$Q$123/10)-1)+逐级计算!$Q$123*(DS38-逐级计算!$P$123)*LN(10)/10),0)+LN(1+EXP(-ABS((LN(10^(逐级计算!$Q$123/10)-1)+逐级计算!$Q$123*(DS38-逐级计算!$P$123)*LN(10)/10))))))),"")</f>
        <v>13.7930365764479</v>
      </c>
      <c r="DU38">
        <f>IF(AND(ISNUMBER(DT38),逐级计算!$X$124&gt;-1),IF(逐级计算!$X$124=0,DT38+逐级计算!$C$124,DT38+逐级计算!$C$124-(10/(逐级计算!$Q$124*LN(10))*(MAX((LN(10^(逐级计算!$Q$124/10)-1)+逐级计算!$Q$124*(DT38-逐级计算!$P$124)*LN(10)/10),0)+LN(1+EXP(-ABS((LN(10^(逐级计算!$Q$124/10)-1)+逐级计算!$Q$124*(DT38-逐级计算!$P$124)*LN(10)/10))))))),"")</f>
        <v>13.7930365764479</v>
      </c>
      <c r="DV38">
        <f>IF(AND(ISNUMBER(DU38),逐级计算!$X$125&gt;-1),IF(逐级计算!$X$125=0,DU38+逐级计算!$C$125,DU38+逐级计算!$C$125-(10/(逐级计算!$Q$125*LN(10))*(MAX((LN(10^(逐级计算!$Q$125/10)-1)+逐级计算!$Q$125*(DU38-逐级计算!$P$125)*LN(10)/10),0)+LN(1+EXP(-ABS((LN(10^(逐级计算!$Q$125/10)-1)+逐级计算!$Q$125*(DU38-逐级计算!$P$125)*LN(10)/10))))))),"")</f>
        <v>13.7930365764479</v>
      </c>
      <c r="DW38">
        <f>IF(AND(ISNUMBER(DV38),逐级计算!$X$126&gt;-1),IF(逐级计算!$X$126=0,DV38+逐级计算!$C$126,DV38+逐级计算!$C$126-(10/(逐级计算!$Q$126*LN(10))*(MAX((LN(10^(逐级计算!$Q$126/10)-1)+逐级计算!$Q$126*(DV38-逐级计算!$P$126)*LN(10)/10),0)+LN(1+EXP(-ABS((LN(10^(逐级计算!$Q$126/10)-1)+逐级计算!$Q$126*(DV38-逐级计算!$P$126)*LN(10)/10))))))),"")</f>
        <v>13.7930365764479</v>
      </c>
      <c r="DX38">
        <f>IF(AND(ISNUMBER(DW38),逐级计算!$X$127&gt;-1),IF(逐级计算!$X$127=0,DW38+逐级计算!$C$127,DW38+逐级计算!$C$127-(10/(逐级计算!$Q$127*LN(10))*(MAX((LN(10^(逐级计算!$Q$127/10)-1)+逐级计算!$Q$127*(DW38-逐级计算!$P$127)*LN(10)/10),0)+LN(1+EXP(-ABS((LN(10^(逐级计算!$Q$127/10)-1)+逐级计算!$Q$127*(DW38-逐级计算!$P$127)*LN(10)/10))))))),"")</f>
        <v>13.7930365764479</v>
      </c>
      <c r="DY38">
        <f>IF(AND(ISNUMBER(DX38),逐级计算!$X$128&gt;-1),IF(逐级计算!$X$128=0,DX38+逐级计算!$C$128,DX38+逐级计算!$C$128-(10/(逐级计算!$Q$128*LN(10))*(MAX((LN(10^(逐级计算!$Q$128/10)-1)+逐级计算!$Q$128*(DX38-逐级计算!$P$128)*LN(10)/10),0)+LN(1+EXP(-ABS((LN(10^(逐级计算!$Q$128/10)-1)+逐级计算!$Q$128*(DX38-逐级计算!$P$128)*LN(10)/10))))))),"")</f>
        <v>13.7930365764479</v>
      </c>
      <c r="DZ38">
        <f>IF(AND(ISNUMBER(DY38),逐级计算!$X$129&gt;-1),IF(逐级计算!$X$129=0,DY38+逐级计算!$C$129,DY38+逐级计算!$C$129-(10/(逐级计算!$Q$129*LN(10))*(MAX((LN(10^(逐级计算!$Q$129/10)-1)+逐级计算!$Q$129*(DY38-逐级计算!$P$129)*LN(10)/10),0)+LN(1+EXP(-ABS((LN(10^(逐级计算!$Q$129/10)-1)+逐级计算!$Q$129*(DY38-逐级计算!$P$129)*LN(10)/10))))))),"")</f>
        <v>13.7930365764479</v>
      </c>
      <c r="EA38">
        <f>IF(AND(ISNUMBER(DZ38),逐级计算!$X$130&gt;-1),IF(逐级计算!$X$130=0,DZ38+逐级计算!$C$130,DZ38+逐级计算!$C$130-(10/(逐级计算!$Q$130*LN(10))*(MAX((LN(10^(逐级计算!$Q$130/10)-1)+逐级计算!$Q$130*(DZ38-逐级计算!$P$130)*LN(10)/10),0)+LN(1+EXP(-ABS((LN(10^(逐级计算!$Q$130/10)-1)+逐级计算!$Q$130*(DZ38-逐级计算!$P$130)*LN(10)/10))))))),"")</f>
        <v>13.7930365764479</v>
      </c>
      <c r="EB38">
        <f>IF(AND(ISNUMBER(EA38),逐级计算!$X$131&gt;-1),IF(逐级计算!$X$131=0,EA38+逐级计算!$C$131,EA38+逐级计算!$C$131-(10/(逐级计算!$Q$131*LN(10))*(MAX((LN(10^(逐级计算!$Q$131/10)-1)+逐级计算!$Q$131*(EA38-逐级计算!$P$131)*LN(10)/10),0)+LN(1+EXP(-ABS((LN(10^(逐级计算!$Q$131/10)-1)+逐级计算!$Q$131*(EA38-逐级计算!$P$131)*LN(10)/10))))))),"")</f>
        <v>13.7930365764479</v>
      </c>
      <c r="EC38">
        <f>IF(AND(ISNUMBER(EB38),逐级计算!$X$132&gt;-1),IF(逐级计算!$X$132=0,EB38+逐级计算!$C$132,EB38+逐级计算!$C$132-(10/(逐级计算!$Q$132*LN(10))*(MAX((LN(10^(逐级计算!$Q$132/10)-1)+逐级计算!$Q$132*(EB38-逐级计算!$P$132)*LN(10)/10),0)+LN(1+EXP(-ABS((LN(10^(逐级计算!$Q$132/10)-1)+逐级计算!$Q$132*(EB38-逐级计算!$P$132)*LN(10)/10))))))),"")</f>
        <v>13.7930365764479</v>
      </c>
      <c r="ED38">
        <f>IF(AND(ISNUMBER(EC38),逐级计算!$X$133&gt;-1),IF(逐级计算!$X$133=0,EC38+逐级计算!$C$133,EC38+逐级计算!$C$133-(10/(逐级计算!$Q$133*LN(10))*(MAX((LN(10^(逐级计算!$Q$133/10)-1)+逐级计算!$Q$133*(EC38-逐级计算!$P$133)*LN(10)/10),0)+LN(1+EXP(-ABS((LN(10^(逐级计算!$Q$133/10)-1)+逐级计算!$Q$133*(EC38-逐级计算!$P$133)*LN(10)/10))))))),"")</f>
        <v>13.7930365764479</v>
      </c>
      <c r="EE38">
        <f>IF(AND(ISNUMBER(ED38),逐级计算!$X$134&gt;-1),IF(逐级计算!$X$134=0,ED38+逐级计算!$C$134,ED38+逐级计算!$C$134-(10/(逐级计算!$Q$134*LN(10))*(MAX((LN(10^(逐级计算!$Q$134/10)-1)+逐级计算!$Q$134*(ED38-逐级计算!$P$134)*LN(10)/10),0)+LN(1+EXP(-ABS((LN(10^(逐级计算!$Q$134/10)-1)+逐级计算!$Q$134*(ED38-逐级计算!$P$134)*LN(10)/10))))))),"")</f>
        <v>13.7930365764479</v>
      </c>
      <c r="EF38">
        <f>IF(AND(ISNUMBER(EE38),逐级计算!$X$135&gt;-1),IF(逐级计算!$X$135=0,EE38+逐级计算!$C$135,EE38+逐级计算!$C$135-(10/(逐级计算!$Q$135*LN(10))*(MAX((LN(10^(逐级计算!$Q$135/10)-1)+逐级计算!$Q$135*(EE38-逐级计算!$P$135)*LN(10)/10),0)+LN(1+EXP(-ABS((LN(10^(逐级计算!$Q$135/10)-1)+逐级计算!$Q$135*(EE38-逐级计算!$P$135)*LN(10)/10))))))),"")</f>
        <v>13.7930365764479</v>
      </c>
      <c r="EG38">
        <f>IF(AND(ISNUMBER(EF38),逐级计算!$X$136&gt;-1),IF(逐级计算!$X$136=0,EF38+逐级计算!$C$136,EF38+逐级计算!$C$136-(10/(逐级计算!$Q$136*LN(10))*(MAX((LN(10^(逐级计算!$Q$136/10)-1)+逐级计算!$Q$136*(EF38-逐级计算!$P$136)*LN(10)/10),0)+LN(1+EXP(-ABS((LN(10^(逐级计算!$Q$136/10)-1)+逐级计算!$Q$136*(EF38-逐级计算!$P$136)*LN(10)/10))))))),"")</f>
        <v>13.7930365764479</v>
      </c>
      <c r="EH38">
        <f>IF(AND(ISNUMBER(EG38),逐级计算!$X$137&gt;-1),IF(逐级计算!$X$137=0,EG38+逐级计算!$C$137,EG38+逐级计算!$C$137-(10/(逐级计算!$Q$137*LN(10))*(MAX((LN(10^(逐级计算!$Q$137/10)-1)+逐级计算!$Q$137*(EG38-逐级计算!$P$137)*LN(10)/10),0)+LN(1+EXP(-ABS((LN(10^(逐级计算!$Q$137/10)-1)+逐级计算!$Q$137*(EG38-逐级计算!$P$137)*LN(10)/10))))))),"")</f>
        <v>13.7930365764479</v>
      </c>
      <c r="EI38">
        <f>IF(AND(ISNUMBER(EH38),逐级计算!$X$138&gt;-1),IF(逐级计算!$X$138=0,EH38+逐级计算!$C$138,EH38+逐级计算!$C$138-(10/(逐级计算!$Q$138*LN(10))*(MAX((LN(10^(逐级计算!$Q$138/10)-1)+逐级计算!$Q$138*(EH38-逐级计算!$P$138)*LN(10)/10),0)+LN(1+EXP(-ABS((LN(10^(逐级计算!$Q$138/10)-1)+逐级计算!$Q$138*(EH38-逐级计算!$P$138)*LN(10)/10))))))),"")</f>
        <v>13.7930365764479</v>
      </c>
      <c r="EJ38">
        <f>IF(AND(ISNUMBER(EI38),逐级计算!$X$139&gt;-1),IF(逐级计算!$X$139=0,EI38+逐级计算!$C$139,EI38+逐级计算!$C$139-(10/(逐级计算!$Q$139*LN(10))*(MAX((LN(10^(逐级计算!$Q$139/10)-1)+逐级计算!$Q$139*(EI38-逐级计算!$P$139)*LN(10)/10),0)+LN(1+EXP(-ABS((LN(10^(逐级计算!$Q$139/10)-1)+逐级计算!$Q$139*(EI38-逐级计算!$P$139)*LN(10)/10))))))),"")</f>
        <v>13.7930365764479</v>
      </c>
      <c r="EK38">
        <f>IF(AND(ISNUMBER(EJ38),逐级计算!$X$140&gt;-1),IF(逐级计算!$X$140=0,EJ38+逐级计算!$C$140,EJ38+逐级计算!$C$140-(10/(逐级计算!$Q$140*LN(10))*(MAX((LN(10^(逐级计算!$Q$140/10)-1)+逐级计算!$Q$140*(EJ38-逐级计算!$P$140)*LN(10)/10),0)+LN(1+EXP(-ABS((LN(10^(逐级计算!$Q$140/10)-1)+逐级计算!$Q$140*(EJ38-逐级计算!$P$140)*LN(10)/10))))))),"")</f>
        <v>13.7930365764479</v>
      </c>
      <c r="EL38">
        <f>IF(AND(ISNUMBER(EK38),逐级计算!$X$141&gt;-1),IF(逐级计算!$X$141=0,EK38+逐级计算!$C$141,EK38+逐级计算!$C$141-(10/(逐级计算!$Q$141*LN(10))*(MAX((LN(10^(逐级计算!$Q$141/10)-1)+逐级计算!$Q$141*(EK38-逐级计算!$P$141)*LN(10)/10),0)+LN(1+EXP(-ABS((LN(10^(逐级计算!$Q$141/10)-1)+逐级计算!$Q$141*(EK38-逐级计算!$P$141)*LN(10)/10))))))),"")</f>
        <v>13.7930365764479</v>
      </c>
      <c r="EM38">
        <f>IF(AND(ISNUMBER(EL38),逐级计算!$X$142&gt;-1),IF(逐级计算!$X$142=0,EL38+逐级计算!$C$142,EL38+逐级计算!$C$142-(10/(逐级计算!$Q$142*LN(10))*(MAX((LN(10^(逐级计算!$Q$142/10)-1)+逐级计算!$Q$142*(EL38-逐级计算!$P$142)*LN(10)/10),0)+LN(1+EXP(-ABS((LN(10^(逐级计算!$Q$142/10)-1)+逐级计算!$Q$142*(EL38-逐级计算!$P$142)*LN(10)/10))))))),"")</f>
        <v>13.7930365764479</v>
      </c>
      <c r="EN38">
        <f>IF(AND(ISNUMBER(EM38),逐级计算!$X$143&gt;-1),IF(逐级计算!$X$143=0,EM38+逐级计算!$C$143,EM38+逐级计算!$C$143-(10/(逐级计算!$Q$143*LN(10))*(MAX((LN(10^(逐级计算!$Q$143/10)-1)+逐级计算!$Q$143*(EM38-逐级计算!$P$143)*LN(10)/10),0)+LN(1+EXP(-ABS((LN(10^(逐级计算!$Q$143/10)-1)+逐级计算!$Q$143*(EM38-逐级计算!$P$143)*LN(10)/10))))))),"")</f>
        <v>13.7930365764479</v>
      </c>
      <c r="EO38">
        <f>IF(AND(ISNUMBER(EN38),逐级计算!$X$144&gt;-1),IF(逐级计算!$X$144=0,EN38+逐级计算!$C$144,EN38+逐级计算!$C$144-(10/(逐级计算!$Q$144*LN(10))*(MAX((LN(10^(逐级计算!$Q$144/10)-1)+逐级计算!$Q$144*(EN38-逐级计算!$P$144)*LN(10)/10),0)+LN(1+EXP(-ABS((LN(10^(逐级计算!$Q$144/10)-1)+逐级计算!$Q$144*(EN38-逐级计算!$P$144)*LN(10)/10))))))),"")</f>
        <v>13.7930365764479</v>
      </c>
      <c r="EP38">
        <f>IF(AND(ISNUMBER(EO38),逐级计算!$X$145&gt;-1),IF(逐级计算!$X$145=0,EO38+逐级计算!$C$145,EO38+逐级计算!$C$145-(10/(逐级计算!$Q$145*LN(10))*(MAX((LN(10^(逐级计算!$Q$145/10)-1)+逐级计算!$Q$145*(EO38-逐级计算!$P$145)*LN(10)/10),0)+LN(1+EXP(-ABS((LN(10^(逐级计算!$Q$145/10)-1)+逐级计算!$Q$145*(EO38-逐级计算!$P$145)*LN(10)/10))))))),"")</f>
        <v>13.7930365764479</v>
      </c>
      <c r="EQ38">
        <f>IF(AND(ISNUMBER(EP38),逐级计算!$X$146&gt;-1),IF(逐级计算!$X$146=0,EP38+逐级计算!$C$146,EP38+逐级计算!$C$146-(10/(逐级计算!$Q$146*LN(10))*(MAX((LN(10^(逐级计算!$Q$146/10)-1)+逐级计算!$Q$146*(EP38-逐级计算!$P$146)*LN(10)/10),0)+LN(1+EXP(-ABS((LN(10^(逐级计算!$Q$146/10)-1)+逐级计算!$Q$146*(EP38-逐级计算!$P$146)*LN(10)/10))))))),"")</f>
        <v>13.7930365764479</v>
      </c>
      <c r="ER38">
        <f>IF(AND(ISNUMBER(EQ38),逐级计算!$X$147&gt;-1),IF(逐级计算!$X$147=0,EQ38+逐级计算!$C$147,EQ38+逐级计算!$C$147-(10/(逐级计算!$Q$147*LN(10))*(MAX((LN(10^(逐级计算!$Q$147/10)-1)+逐级计算!$Q$147*(EQ38-逐级计算!$P$147)*LN(10)/10),0)+LN(1+EXP(-ABS((LN(10^(逐级计算!$Q$147/10)-1)+逐级计算!$Q$147*(EQ38-逐级计算!$P$147)*LN(10)/10))))))),"")</f>
        <v>13.7930365764479</v>
      </c>
      <c r="ES38">
        <f>IF(AND(ISNUMBER(ER38),逐级计算!$X$148&gt;-1),IF(逐级计算!$X$148=0,ER38+逐级计算!$C$148,ER38+逐级计算!$C$148-(10/(逐级计算!$Q$148*LN(10))*(MAX((LN(10^(逐级计算!$Q$148/10)-1)+逐级计算!$Q$148*(ER38-逐级计算!$P$148)*LN(10)/10),0)+LN(1+EXP(-ABS((LN(10^(逐级计算!$Q$148/10)-1)+逐级计算!$Q$148*(ER38-逐级计算!$P$148)*LN(10)/10))))))),"")</f>
        <v>13.7930365764479</v>
      </c>
      <c r="ET38">
        <f>IF(AND(ISNUMBER(ES38),逐级计算!$X$149&gt;-1),IF(逐级计算!$X$149=0,ES38+逐级计算!$C$149,ES38+逐级计算!$C$149-(10/(逐级计算!$Q$149*LN(10))*(MAX((LN(10^(逐级计算!$Q$149/10)-1)+逐级计算!$Q$149*(ES38-逐级计算!$P$149)*LN(10)/10),0)+LN(1+EXP(-ABS((LN(10^(逐级计算!$Q$149/10)-1)+逐级计算!$Q$149*(ES38-逐级计算!$P$149)*LN(10)/10))))))),"")</f>
        <v>13.7930365764479</v>
      </c>
      <c r="EU38">
        <f>IF(AND(ISNUMBER(ET38),逐级计算!$X$150&gt;-1),IF(逐级计算!$X$150=0,ET38+逐级计算!$C$150,ET38+逐级计算!$C$150-(10/(逐级计算!$Q$150*LN(10))*(MAX((LN(10^(逐级计算!$Q$150/10)-1)+逐级计算!$Q$150*(ET38-逐级计算!$P$150)*LN(10)/10),0)+LN(1+EXP(-ABS((LN(10^(逐级计算!$Q$150/10)-1)+逐级计算!$Q$150*(ET38-逐级计算!$P$150)*LN(10)/10))))))),"")</f>
        <v>13.7930365764479</v>
      </c>
      <c r="EV38">
        <f>IF(AND(ISNUMBER(EU38),逐级计算!$X$151&gt;-1),IF(逐级计算!$X$151=0,EU38+逐级计算!$C$151,EU38+逐级计算!$C$151-(10/(逐级计算!$Q$151*LN(10))*(MAX((LN(10^(逐级计算!$Q$151/10)-1)+逐级计算!$Q$151*(EU38-逐级计算!$P$151)*LN(10)/10),0)+LN(1+EXP(-ABS((LN(10^(逐级计算!$Q$151/10)-1)+逐级计算!$Q$151*(EU38-逐级计算!$P$151)*LN(10)/10))))))),"")</f>
        <v>13.7930365764479</v>
      </c>
      <c r="EW38">
        <f>IF(AND(ISNUMBER(EV38),逐级计算!$X$152&gt;-1),IF(逐级计算!$X$152=0,EV38+逐级计算!$C$152,EV38+逐级计算!$C$152-(10/(逐级计算!$Q$152*LN(10))*(MAX((LN(10^(逐级计算!$Q$152/10)-1)+逐级计算!$Q$152*(EV38-逐级计算!$P$152)*LN(10)/10),0)+LN(1+EXP(-ABS((LN(10^(逐级计算!$Q$152/10)-1)+逐级计算!$Q$152*(EV38-逐级计算!$P$152)*LN(10)/10))))))),"")</f>
        <v>13.7930365764479</v>
      </c>
      <c r="EX38">
        <f>IF(AND(ISNUMBER(EW38),逐级计算!$X$153&gt;-1),IF(逐级计算!$X$153=0,EW38+逐级计算!$C$153,EW38+逐级计算!$C$153-(10/(逐级计算!$Q$153*LN(10))*(MAX((LN(10^(逐级计算!$Q$153/10)-1)+逐级计算!$Q$153*(EW38-逐级计算!$P$153)*LN(10)/10),0)+LN(1+EXP(-ABS((LN(10^(逐级计算!$Q$153/10)-1)+逐级计算!$Q$153*(EW38-逐级计算!$P$153)*LN(10)/10))))))),"")</f>
        <v>13.7930365764479</v>
      </c>
      <c r="EY38">
        <f>IF(AND(ISNUMBER(EX38),逐级计算!$X$154&gt;-1),IF(逐级计算!$X$154=0,EX38+逐级计算!$C$154,EX38+逐级计算!$C$154-(10/(逐级计算!$Q$154*LN(10))*(MAX((LN(10^(逐级计算!$Q$154/10)-1)+逐级计算!$Q$154*(EX38-逐级计算!$P$154)*LN(10)/10),0)+LN(1+EXP(-ABS((LN(10^(逐级计算!$Q$154/10)-1)+逐级计算!$Q$154*(EX38-逐级计算!$P$154)*LN(10)/10))))))),"")</f>
        <v>13.7930365764479</v>
      </c>
      <c r="EZ38">
        <f>IF(AND(ISNUMBER(EY38),逐级计算!$X$155&gt;-1),IF(逐级计算!$X$155=0,EY38+逐级计算!$C$155,EY38+逐级计算!$C$155-(10/(逐级计算!$Q$155*LN(10))*(MAX((LN(10^(逐级计算!$Q$155/10)-1)+逐级计算!$Q$155*(EY38-逐级计算!$P$155)*LN(10)/10),0)+LN(1+EXP(-ABS((LN(10^(逐级计算!$Q$155/10)-1)+逐级计算!$Q$155*(EY38-逐级计算!$P$155)*LN(10)/10))))))),"")</f>
        <v>13.7930365764479</v>
      </c>
      <c r="FA38">
        <f>IF(AND(ISNUMBER(EZ38),逐级计算!$X$156&gt;-1),IF(逐级计算!$X$156=0,EZ38+逐级计算!$C$156,EZ38+逐级计算!$C$156-(10/(逐级计算!$Q$156*LN(10))*(MAX((LN(10^(逐级计算!$Q$156/10)-1)+逐级计算!$Q$156*(EZ38-逐级计算!$P$156)*LN(10)/10),0)+LN(1+EXP(-ABS((LN(10^(逐级计算!$Q$156/10)-1)+逐级计算!$Q$156*(EZ38-逐级计算!$P$156)*LN(10)/10))))))),"")</f>
        <v>13.7930365764479</v>
      </c>
      <c r="FB38">
        <f>IF(AND(ISNUMBER(FA38),逐级计算!$X$157&gt;-1),IF(逐级计算!$X$157=0,FA38+逐级计算!$C$157,FA38+逐级计算!$C$157-(10/(逐级计算!$Q$157*LN(10))*(MAX((LN(10^(逐级计算!$Q$157/10)-1)+逐级计算!$Q$157*(FA38-逐级计算!$P$157)*LN(10)/10),0)+LN(1+EXP(-ABS((LN(10^(逐级计算!$Q$157/10)-1)+逐级计算!$Q$157*(FA38-逐级计算!$P$157)*LN(10)/10))))))),"")</f>
        <v>13.7930365764479</v>
      </c>
      <c r="FC38">
        <f>IF(AND(ISNUMBER(FB38),逐级计算!$X$158&gt;-1),IF(逐级计算!$X$158=0,FB38+逐级计算!$C$158,FB38+逐级计算!$C$158-(10/(逐级计算!$Q$158*LN(10))*(MAX((LN(10^(逐级计算!$Q$158/10)-1)+逐级计算!$Q$158*(FB38-逐级计算!$P$158)*LN(10)/10),0)+LN(1+EXP(-ABS((LN(10^(逐级计算!$Q$158/10)-1)+逐级计算!$Q$158*(FB38-逐级计算!$P$158)*LN(10)/10))))))),"")</f>
        <v>13.7930365764479</v>
      </c>
      <c r="FD38">
        <f>IF(AND(ISNUMBER(FC38),逐级计算!$X$159&gt;-1),IF(逐级计算!$X$159=0,FC38+逐级计算!$C$159,FC38+逐级计算!$C$159-(10/(逐级计算!$Q$159*LN(10))*(MAX((LN(10^(逐级计算!$Q$159/10)-1)+逐级计算!$Q$159*(FC38-逐级计算!$P$159)*LN(10)/10),0)+LN(1+EXP(-ABS((LN(10^(逐级计算!$Q$159/10)-1)+逐级计算!$Q$159*(FC38-逐级计算!$P$159)*LN(10)/10))))))),"")</f>
        <v>13.7930365764479</v>
      </c>
      <c r="FE38">
        <f>IF(AND(ISNUMBER(FD38),逐级计算!$X$160&gt;-1),IF(逐级计算!$X$160=0,FD38+逐级计算!$C$160,FD38+逐级计算!$C$160-(10/(逐级计算!$Q$160*LN(10))*(MAX((LN(10^(逐级计算!$Q$160/10)-1)+逐级计算!$Q$160*(FD38-逐级计算!$P$160)*LN(10)/10),0)+LN(1+EXP(-ABS((LN(10^(逐级计算!$Q$160/10)-1)+逐级计算!$Q$160*(FD38-逐级计算!$P$160)*LN(10)/10))))))),"")</f>
        <v>13.7930365764479</v>
      </c>
      <c r="FF38">
        <f>IF(AND(ISNUMBER(FE38),逐级计算!$X$161&gt;-1),IF(逐级计算!$X$161=0,FE38+逐级计算!$C$161,FE38+逐级计算!$C$161-(10/(逐级计算!$Q$161*LN(10))*(MAX((LN(10^(逐级计算!$Q$161/10)-1)+逐级计算!$Q$161*(FE38-逐级计算!$P$161)*LN(10)/10),0)+LN(1+EXP(-ABS((LN(10^(逐级计算!$Q$161/10)-1)+逐级计算!$Q$161*(FE38-逐级计算!$P$161)*LN(10)/10))))))),"")</f>
        <v>13.7930365764479</v>
      </c>
      <c r="FG38">
        <f>IF(AND(ISNUMBER(FF38),逐级计算!$X$162&gt;-1),IF(逐级计算!$X$162=0,FF38+逐级计算!$C$162,FF38+逐级计算!$C$162-(10/(逐级计算!$Q$162*LN(10))*(MAX((LN(10^(逐级计算!$Q$162/10)-1)+逐级计算!$Q$162*(FF38-逐级计算!$P$162)*LN(10)/10),0)+LN(1+EXP(-ABS((LN(10^(逐级计算!$Q$162/10)-1)+逐级计算!$Q$162*(FF38-逐级计算!$P$162)*LN(10)/10))))))),"")</f>
        <v>13.7930365764479</v>
      </c>
      <c r="FH38">
        <f>IF(AND(ISNUMBER(FG38),逐级计算!$X$163&gt;-1),IF(逐级计算!$X$163=0,FG38+逐级计算!$C$163,FG38+逐级计算!$C$163-(10/(逐级计算!$Q$163*LN(10))*(MAX((LN(10^(逐级计算!$Q$163/10)-1)+逐级计算!$Q$163*(FG38-逐级计算!$P$163)*LN(10)/10),0)+LN(1+EXP(-ABS((LN(10^(逐级计算!$Q$163/10)-1)+逐级计算!$Q$163*(FG38-逐级计算!$P$163)*LN(10)/10))))))),"")</f>
        <v>13.7930365764479</v>
      </c>
      <c r="FI38">
        <f>IF(AND(ISNUMBER(FH38),逐级计算!$X$164&gt;-1),IF(逐级计算!$X$164=0,FH38+逐级计算!$C$164,FH38+逐级计算!$C$164-(10/(逐级计算!$Q$164*LN(10))*(MAX((LN(10^(逐级计算!$Q$164/10)-1)+逐级计算!$Q$164*(FH38-逐级计算!$P$164)*LN(10)/10),0)+LN(1+EXP(-ABS((LN(10^(逐级计算!$Q$164/10)-1)+逐级计算!$Q$164*(FH38-逐级计算!$P$164)*LN(10)/10))))))),"")</f>
        <v>13.7930365764479</v>
      </c>
      <c r="FJ38">
        <f>IF(AND(ISNUMBER(FI38),逐级计算!$X$165&gt;-1),IF(逐级计算!$X$165=0,FI38+逐级计算!$C$165,FI38+逐级计算!$C$165-(10/(逐级计算!$Q$165*LN(10))*(MAX((LN(10^(逐级计算!$Q$165/10)-1)+逐级计算!$Q$165*(FI38-逐级计算!$P$165)*LN(10)/10),0)+LN(1+EXP(-ABS((LN(10^(逐级计算!$Q$165/10)-1)+逐级计算!$Q$165*(FI38-逐级计算!$P$165)*LN(10)/10))))))),"")</f>
        <v>13.7930365764479</v>
      </c>
      <c r="FK38">
        <f>IF(AND(ISNUMBER(FJ38),逐级计算!$X$166&gt;-1),IF(逐级计算!$X$166=0,FJ38+逐级计算!$C$166,FJ38+逐级计算!$C$166-(10/(逐级计算!$Q$166*LN(10))*(MAX((LN(10^(逐级计算!$Q$166/10)-1)+逐级计算!$Q$166*(FJ38-逐级计算!$P$166)*LN(10)/10),0)+LN(1+EXP(-ABS((LN(10^(逐级计算!$Q$166/10)-1)+逐级计算!$Q$166*(FJ38-逐级计算!$P$166)*LN(10)/10))))))),"")</f>
        <v>13.7930365764479</v>
      </c>
      <c r="FL38">
        <f>IF(AND(ISNUMBER(FK38),逐级计算!$X$167&gt;-1),IF(逐级计算!$X$167=0,FK38+逐级计算!$C$167,FK38+逐级计算!$C$167-(10/(逐级计算!$Q$167*LN(10))*(MAX((LN(10^(逐级计算!$Q$167/10)-1)+逐级计算!$Q$167*(FK38-逐级计算!$P$167)*LN(10)/10),0)+LN(1+EXP(-ABS((LN(10^(逐级计算!$Q$167/10)-1)+逐级计算!$Q$167*(FK38-逐级计算!$P$167)*LN(10)/10))))))),"")</f>
        <v>13.7930365764479</v>
      </c>
      <c r="FM38">
        <f>IF(AND(ISNUMBER(FL38),逐级计算!$X$168&gt;-1),IF(逐级计算!$X$168=0,FL38+逐级计算!$C$168,FL38+逐级计算!$C$168-(10/(逐级计算!$Q$168*LN(10))*(MAX((LN(10^(逐级计算!$Q$168/10)-1)+逐级计算!$Q$168*(FL38-逐级计算!$P$168)*LN(10)/10),0)+LN(1+EXP(-ABS((LN(10^(逐级计算!$Q$168/10)-1)+逐级计算!$Q$168*(FL38-逐级计算!$P$168)*LN(10)/10))))))),"")</f>
        <v>13.7930365764479</v>
      </c>
      <c r="FN38">
        <f>IF(AND(ISNUMBER(FM38),逐级计算!$X$169&gt;-1),IF(逐级计算!$X$169=0,FM38+逐级计算!$C$169,FM38+逐级计算!$C$169-(10/(逐级计算!$Q$169*LN(10))*(MAX((LN(10^(逐级计算!$Q$169/10)-1)+逐级计算!$Q$169*(FM38-逐级计算!$P$169)*LN(10)/10),0)+LN(1+EXP(-ABS((LN(10^(逐级计算!$Q$169/10)-1)+逐级计算!$Q$169*(FM38-逐级计算!$P$169)*LN(10)/10))))))),"")</f>
        <v>13.7930365764479</v>
      </c>
      <c r="FO38">
        <f>IF(AND(ISNUMBER(FN38),逐级计算!$X$170&gt;-1),IF(逐级计算!$X$170=0,FN38+逐级计算!$C$170,FN38+逐级计算!$C$170-(10/(逐级计算!$Q$170*LN(10))*(MAX((LN(10^(逐级计算!$Q$170/10)-1)+逐级计算!$Q$170*(FN38-逐级计算!$P$170)*LN(10)/10),0)+LN(1+EXP(-ABS((LN(10^(逐级计算!$Q$170/10)-1)+逐级计算!$Q$170*(FN38-逐级计算!$P$170)*LN(10)/10))))))),"")</f>
        <v>13.7930365764479</v>
      </c>
      <c r="FP38">
        <f>IF(AND(ISNUMBER(FO38),逐级计算!$X$171&gt;-1),IF(逐级计算!$X$171=0,FO38+逐级计算!$C$171,FO38+逐级计算!$C$171-(10/(逐级计算!$Q$171*LN(10))*(MAX((LN(10^(逐级计算!$Q$171/10)-1)+逐级计算!$Q$171*(FO38-逐级计算!$P$171)*LN(10)/10),0)+LN(1+EXP(-ABS((LN(10^(逐级计算!$Q$171/10)-1)+逐级计算!$Q$171*(FO38-逐级计算!$P$171)*LN(10)/10))))))),"")</f>
        <v>13.7930365764479</v>
      </c>
      <c r="FQ38">
        <f>IF(AND(ISNUMBER(FP38),逐级计算!$X$172&gt;-1),IF(逐级计算!$X$172=0,FP38+逐级计算!$C$172,FP38+逐级计算!$C$172-(10/(逐级计算!$Q$172*LN(10))*(MAX((LN(10^(逐级计算!$Q$172/10)-1)+逐级计算!$Q$172*(FP38-逐级计算!$P$172)*LN(10)/10),0)+LN(1+EXP(-ABS((LN(10^(逐级计算!$Q$172/10)-1)+逐级计算!$Q$172*(FP38-逐级计算!$P$172)*LN(10)/10))))))),"")</f>
        <v>13.7930365764479</v>
      </c>
      <c r="FR38">
        <f>IF(AND(ISNUMBER(FQ38),逐级计算!$X$173&gt;-1),IF(逐级计算!$X$173=0,FQ38+逐级计算!$C$173,FQ38+逐级计算!$C$173-(10/(逐级计算!$Q$173*LN(10))*(MAX((LN(10^(逐级计算!$Q$173/10)-1)+逐级计算!$Q$173*(FQ38-逐级计算!$P$173)*LN(10)/10),0)+LN(1+EXP(-ABS((LN(10^(逐级计算!$Q$173/10)-1)+逐级计算!$Q$173*(FQ38-逐级计算!$P$173)*LN(10)/10))))))),"")</f>
        <v>13.7930365764479</v>
      </c>
      <c r="FS38">
        <f>IF(AND(ISNUMBER(FR38),逐级计算!$X$174&gt;-1),IF(逐级计算!$X$174=0,FR38+逐级计算!$C$174,FR38+逐级计算!$C$174-(10/(逐级计算!$Q$174*LN(10))*(MAX((LN(10^(逐级计算!$Q$174/10)-1)+逐级计算!$Q$174*(FR38-逐级计算!$P$174)*LN(10)/10),0)+LN(1+EXP(-ABS((LN(10^(逐级计算!$Q$174/10)-1)+逐级计算!$Q$174*(FR38-逐级计算!$P$174)*LN(10)/10))))))),"")</f>
        <v>13.7930365764479</v>
      </c>
      <c r="FT38">
        <f>IF(AND(ISNUMBER(FS38),逐级计算!$X$175&gt;-1),IF(逐级计算!$X$175=0,FS38+逐级计算!$C$175,FS38+逐级计算!$C$175-(10/(逐级计算!$Q$175*LN(10))*(MAX((LN(10^(逐级计算!$Q$175/10)-1)+逐级计算!$Q$175*(FS38-逐级计算!$P$175)*LN(10)/10),0)+LN(1+EXP(-ABS((LN(10^(逐级计算!$Q$175/10)-1)+逐级计算!$Q$175*(FS38-逐级计算!$P$175)*LN(10)/10))))))),"")</f>
        <v>13.7930365764479</v>
      </c>
      <c r="FU38">
        <f>IF(AND(ISNUMBER(FT38),逐级计算!$X$176&gt;-1),IF(逐级计算!$X$176=0,FT38+逐级计算!$C$176,FT38+逐级计算!$C$176-(10/(逐级计算!$Q$176*LN(10))*(MAX((LN(10^(逐级计算!$Q$176/10)-1)+逐级计算!$Q$176*(FT38-逐级计算!$P$176)*LN(10)/10),0)+LN(1+EXP(-ABS((LN(10^(逐级计算!$Q$176/10)-1)+逐级计算!$Q$176*(FT38-逐级计算!$P$176)*LN(10)/10))))))),"")</f>
        <v>13.7930365764479</v>
      </c>
      <c r="FV38">
        <f>IF(AND(ISNUMBER(FU38),逐级计算!$X$177&gt;-1),IF(逐级计算!$X$177=0,FU38+逐级计算!$C$177,FU38+逐级计算!$C$177-(10/(逐级计算!$Q$177*LN(10))*(MAX((LN(10^(逐级计算!$Q$177/10)-1)+逐级计算!$Q$177*(FU38-逐级计算!$P$177)*LN(10)/10),0)+LN(1+EXP(-ABS((LN(10^(逐级计算!$Q$177/10)-1)+逐级计算!$Q$177*(FU38-逐级计算!$P$177)*LN(10)/10))))))),"")</f>
        <v>13.7930365764479</v>
      </c>
      <c r="FW38">
        <f>IF(AND(ISNUMBER(FV38),逐级计算!$X$178&gt;-1),IF(逐级计算!$X$178=0,FV38+逐级计算!$C$178,FV38+逐级计算!$C$178-(10/(逐级计算!$Q$178*LN(10))*(MAX((LN(10^(逐级计算!$Q$178/10)-1)+逐级计算!$Q$178*(FV38-逐级计算!$P$178)*LN(10)/10),0)+LN(1+EXP(-ABS((LN(10^(逐级计算!$Q$178/10)-1)+逐级计算!$Q$178*(FV38-逐级计算!$P$178)*LN(10)/10))))))),"")</f>
        <v>13.7930365764479</v>
      </c>
      <c r="FX38">
        <f>IF(AND(ISNUMBER(FW38),逐级计算!$X$179&gt;-1),IF(逐级计算!$X$179=0,FW38+逐级计算!$C$179,FW38+逐级计算!$C$179-(10/(逐级计算!$Q$179*LN(10))*(MAX((LN(10^(逐级计算!$Q$179/10)-1)+逐级计算!$Q$179*(FW38-逐级计算!$P$179)*LN(10)/10),0)+LN(1+EXP(-ABS((LN(10^(逐级计算!$Q$179/10)-1)+逐级计算!$Q$179*(FW38-逐级计算!$P$179)*LN(10)/10))))))),"")</f>
        <v>13.7930365764479</v>
      </c>
      <c r="FY38">
        <f>IF(AND(ISNUMBER(FX38),逐级计算!$X$180&gt;-1),IF(逐级计算!$X$180=0,FX38+逐级计算!$C$180,FX38+逐级计算!$C$180-(10/(逐级计算!$Q$180*LN(10))*(MAX((LN(10^(逐级计算!$Q$180/10)-1)+逐级计算!$Q$180*(FX38-逐级计算!$P$180)*LN(10)/10),0)+LN(1+EXP(-ABS((LN(10^(逐级计算!$Q$180/10)-1)+逐级计算!$Q$180*(FX38-逐级计算!$P$180)*LN(10)/10))))))),"")</f>
        <v>13.7930365764479</v>
      </c>
      <c r="FZ38">
        <f>IF(AND(ISNUMBER(FY38),逐级计算!$X$181&gt;-1),IF(逐级计算!$X$181=0,FY38+逐级计算!$C$181,FY38+逐级计算!$C$181-(10/(逐级计算!$Q$181*LN(10))*(MAX((LN(10^(逐级计算!$Q$181/10)-1)+逐级计算!$Q$181*(FY38-逐级计算!$P$181)*LN(10)/10),0)+LN(1+EXP(-ABS((LN(10^(逐级计算!$Q$181/10)-1)+逐级计算!$Q$181*(FY38-逐级计算!$P$181)*LN(10)/10))))))),"")</f>
        <v>13.7930365764479</v>
      </c>
      <c r="GA38">
        <f>IF(AND(ISNUMBER(FZ38),逐级计算!$X$182&gt;-1),IF(逐级计算!$X$182=0,FZ38+逐级计算!$C$182,FZ38+逐级计算!$C$182-(10/(逐级计算!$Q$182*LN(10))*(MAX((LN(10^(逐级计算!$Q$182/10)-1)+逐级计算!$Q$182*(FZ38-逐级计算!$P$182)*LN(10)/10),0)+LN(1+EXP(-ABS((LN(10^(逐级计算!$Q$182/10)-1)+逐级计算!$Q$182*(FZ38-逐级计算!$P$182)*LN(10)/10))))))),"")</f>
        <v>13.7930365764479</v>
      </c>
      <c r="GB38">
        <f>IF(AND(ISNUMBER(GA38),逐级计算!$X$183&gt;-1),IF(逐级计算!$X$183=0,GA38+逐级计算!$C$183,GA38+逐级计算!$C$183-(10/(逐级计算!$Q$183*LN(10))*(MAX((LN(10^(逐级计算!$Q$183/10)-1)+逐级计算!$Q$183*(GA38-逐级计算!$P$183)*LN(10)/10),0)+LN(1+EXP(-ABS((LN(10^(逐级计算!$Q$183/10)-1)+逐级计算!$Q$183*(GA38-逐级计算!$P$183)*LN(10)/10))))))),"")</f>
        <v>13.7930365764479</v>
      </c>
      <c r="GC38">
        <f>IF(AND(ISNUMBER(GB38),逐级计算!$X$184&gt;-1),IF(逐级计算!$X$184=0,GB38+逐级计算!$C$184,GB38+逐级计算!$C$184-(10/(逐级计算!$Q$184*LN(10))*(MAX((LN(10^(逐级计算!$Q$184/10)-1)+逐级计算!$Q$184*(GB38-逐级计算!$P$184)*LN(10)/10),0)+LN(1+EXP(-ABS((LN(10^(逐级计算!$Q$184/10)-1)+逐级计算!$Q$184*(GB38-逐级计算!$P$184)*LN(10)/10))))))),"")</f>
        <v>13.7930365764479</v>
      </c>
      <c r="GD38">
        <f>IF(AND(ISNUMBER(GC38),逐级计算!$X$185&gt;-1),IF(逐级计算!$X$185=0,GC38+逐级计算!$C$185,GC38+逐级计算!$C$185-(10/(逐级计算!$Q$185*LN(10))*(MAX((LN(10^(逐级计算!$Q$185/10)-1)+逐级计算!$Q$185*(GC38-逐级计算!$P$185)*LN(10)/10),0)+LN(1+EXP(-ABS((LN(10^(逐级计算!$Q$185/10)-1)+逐级计算!$Q$185*(GC38-逐级计算!$P$185)*LN(10)/10))))))),"")</f>
        <v>13.7930365764479</v>
      </c>
      <c r="GE38">
        <f>IF(AND(ISNUMBER(GD38),逐级计算!$X$186&gt;-1),IF(逐级计算!$X$186=0,GD38+逐级计算!$C$186,GD38+逐级计算!$C$186-(10/(逐级计算!$Q$186*LN(10))*(MAX((LN(10^(逐级计算!$Q$186/10)-1)+逐级计算!$Q$186*(GD38-逐级计算!$P$186)*LN(10)/10),0)+LN(1+EXP(-ABS((LN(10^(逐级计算!$Q$186/10)-1)+逐级计算!$Q$186*(GD38-逐级计算!$P$186)*LN(10)/10))))))),"")</f>
        <v>13.7930365764479</v>
      </c>
      <c r="GF38">
        <f>IF(AND(ISNUMBER(GE38),逐级计算!$X$187&gt;-1),IF(逐级计算!$X$187=0,GE38+逐级计算!$C$187,GE38+逐级计算!$C$187-(10/(逐级计算!$Q$187*LN(10))*(MAX((LN(10^(逐级计算!$Q$187/10)-1)+逐级计算!$Q$187*(GE38-逐级计算!$P$187)*LN(10)/10),0)+LN(1+EXP(-ABS((LN(10^(逐级计算!$Q$187/10)-1)+逐级计算!$Q$187*(GE38-逐级计算!$P$187)*LN(10)/10))))))),"")</f>
        <v>13.7930365764479</v>
      </c>
      <c r="GG38">
        <f>IF(AND(ISNUMBER(GF38),逐级计算!$X$188&gt;-1),IF(逐级计算!$X$188=0,GF38+逐级计算!$C$188,GF38+逐级计算!$C$188-(10/(逐级计算!$Q$188*LN(10))*(MAX((LN(10^(逐级计算!$Q$188/10)-1)+逐级计算!$Q$188*(GF38-逐级计算!$P$188)*LN(10)/10),0)+LN(1+EXP(-ABS((LN(10^(逐级计算!$Q$188/10)-1)+逐级计算!$Q$188*(GF38-逐级计算!$P$188)*LN(10)/10))))))),"")</f>
        <v>13.7930365764479</v>
      </c>
      <c r="GH38">
        <f>IF(AND(ISNUMBER(GG38),逐级计算!$X$189&gt;-1),IF(逐级计算!$X$189=0,GG38+逐级计算!$C$189,GG38+逐级计算!$C$189-(10/(逐级计算!$Q$189*LN(10))*(MAX((LN(10^(逐级计算!$Q$189/10)-1)+逐级计算!$Q$189*(GG38-逐级计算!$P$189)*LN(10)/10),0)+LN(1+EXP(-ABS((LN(10^(逐级计算!$Q$189/10)-1)+逐级计算!$Q$189*(GG38-逐级计算!$P$189)*LN(10)/10))))))),"")</f>
        <v>13.7930365764479</v>
      </c>
      <c r="GI38">
        <f>IF(AND(ISNUMBER(GH38),逐级计算!$X$190&gt;-1),IF(逐级计算!$X$190=0,GH38+逐级计算!$C$190,GH38+逐级计算!$C$190-(10/(逐级计算!$Q$190*LN(10))*(MAX((LN(10^(逐级计算!$Q$190/10)-1)+逐级计算!$Q$190*(GH38-逐级计算!$P$190)*LN(10)/10),0)+LN(1+EXP(-ABS((LN(10^(逐级计算!$Q$190/10)-1)+逐级计算!$Q$190*(GH38-逐级计算!$P$190)*LN(10)/10))))))),"")</f>
        <v>13.7930365764479</v>
      </c>
      <c r="GJ38">
        <f>IF(AND(ISNUMBER(GI38),逐级计算!$X$191&gt;-1),IF(逐级计算!$X$191=0,GI38+逐级计算!$C$191,GI38+逐级计算!$C$191-(10/(逐级计算!$Q$191*LN(10))*(MAX((LN(10^(逐级计算!$Q$191/10)-1)+逐级计算!$Q$191*(GI38-逐级计算!$P$191)*LN(10)/10),0)+LN(1+EXP(-ABS((LN(10^(逐级计算!$Q$191/10)-1)+逐级计算!$Q$191*(GI38-逐级计算!$P$191)*LN(10)/10))))))),"")</f>
        <v>13.7930365764479</v>
      </c>
      <c r="GK38">
        <f>IF(AND(ISNUMBER(GJ38),逐级计算!$X$192&gt;-1),IF(逐级计算!$X$192=0,GJ38+逐级计算!$C$192,GJ38+逐级计算!$C$192-(10/(逐级计算!$Q$192*LN(10))*(MAX((LN(10^(逐级计算!$Q$192/10)-1)+逐级计算!$Q$192*(GJ38-逐级计算!$P$192)*LN(10)/10),0)+LN(1+EXP(-ABS((LN(10^(逐级计算!$Q$192/10)-1)+逐级计算!$Q$192*(GJ38-逐级计算!$P$192)*LN(10)/10))))))),"")</f>
        <v>13.7930365764479</v>
      </c>
      <c r="GL38">
        <f>IF(AND(ISNUMBER(GK38),逐级计算!$X$193&gt;-1),IF(逐级计算!$X$193=0,GK38+逐级计算!$C$193,GK38+逐级计算!$C$193-(10/(逐级计算!$Q$193*LN(10))*(MAX((LN(10^(逐级计算!$Q$193/10)-1)+逐级计算!$Q$193*(GK38-逐级计算!$P$193)*LN(10)/10),0)+LN(1+EXP(-ABS((LN(10^(逐级计算!$Q$193/10)-1)+逐级计算!$Q$193*(GK38-逐级计算!$P$193)*LN(10)/10))))))),"")</f>
        <v>13.7930365764479</v>
      </c>
      <c r="GM38">
        <f>IF(AND(ISNUMBER(GL38),逐级计算!$X$194&gt;-1),IF(逐级计算!$X$194=0,GL38+逐级计算!$C$194,GL38+逐级计算!$C$194-(10/(逐级计算!$Q$194*LN(10))*(MAX((LN(10^(逐级计算!$Q$194/10)-1)+逐级计算!$Q$194*(GL38-逐级计算!$P$194)*LN(10)/10),0)+LN(1+EXP(-ABS((LN(10^(逐级计算!$Q$194/10)-1)+逐级计算!$Q$194*(GL38-逐级计算!$P$194)*LN(10)/10))))))),"")</f>
        <v>13.7930365764479</v>
      </c>
      <c r="GN38">
        <f>IF(AND(ISNUMBER(GM38),逐级计算!$X$195&gt;-1),IF(逐级计算!$X$195=0,GM38+逐级计算!$C$195,GM38+逐级计算!$C$195-(10/(逐级计算!$Q$195*LN(10))*(MAX((LN(10^(逐级计算!$Q$195/10)-1)+逐级计算!$Q$195*(GM38-逐级计算!$P$195)*LN(10)/10),0)+LN(1+EXP(-ABS((LN(10^(逐级计算!$Q$195/10)-1)+逐级计算!$Q$195*(GM38-逐级计算!$P$195)*LN(10)/10))))))),"")</f>
        <v>13.7930365764479</v>
      </c>
      <c r="GO38">
        <f>IF(AND(ISNUMBER(GN38),逐级计算!$X$196&gt;-1),IF(逐级计算!$X$196=0,GN38+逐级计算!$C$196,GN38+逐级计算!$C$196-(10/(逐级计算!$Q$196*LN(10))*(MAX((LN(10^(逐级计算!$Q$196/10)-1)+逐级计算!$Q$196*(GN38-逐级计算!$P$196)*LN(10)/10),0)+LN(1+EXP(-ABS((LN(10^(逐级计算!$Q$196/10)-1)+逐级计算!$Q$196*(GN38-逐级计算!$P$196)*LN(10)/10))))))),"")</f>
        <v>13.7930365764479</v>
      </c>
      <c r="GP38">
        <f>IF(AND(ISNUMBER(GO38),逐级计算!$X$197&gt;-1),IF(逐级计算!$X$197=0,GO38+逐级计算!$C$197,GO38+逐级计算!$C$197-(10/(逐级计算!$Q$197*LN(10))*(MAX((LN(10^(逐级计算!$Q$197/10)-1)+逐级计算!$Q$197*(GO38-逐级计算!$P$197)*LN(10)/10),0)+LN(1+EXP(-ABS((LN(10^(逐级计算!$Q$197/10)-1)+逐级计算!$Q$197*(GO38-逐级计算!$P$197)*LN(10)/10))))))),"")</f>
        <v>13.7930365764479</v>
      </c>
      <c r="GQ38">
        <f>IF(AND(ISNUMBER(GP38),逐级计算!$X$198&gt;-1),IF(逐级计算!$X$198=0,GP38+逐级计算!$C$198,GP38+逐级计算!$C$198-(10/(逐级计算!$Q$198*LN(10))*(MAX((LN(10^(逐级计算!$Q$198/10)-1)+逐级计算!$Q$198*(GP38-逐级计算!$P$198)*LN(10)/10),0)+LN(1+EXP(-ABS((LN(10^(逐级计算!$Q$198/10)-1)+逐级计算!$Q$198*(GP38-逐级计算!$P$198)*LN(10)/10))))))),"")</f>
        <v>13.7930365764479</v>
      </c>
      <c r="GR38">
        <f>IF(AND(ISNUMBER(GQ38),逐级计算!$X$199&gt;-1),IF(逐级计算!$X$199=0,GQ38+逐级计算!$C$199,GQ38+逐级计算!$C$199-(10/(逐级计算!$Q$199*LN(10))*(MAX((LN(10^(逐级计算!$Q$199/10)-1)+逐级计算!$Q$199*(GQ38-逐级计算!$P$199)*LN(10)/10),0)+LN(1+EXP(-ABS((LN(10^(逐级计算!$Q$199/10)-1)+逐级计算!$Q$199*(GQ38-逐级计算!$P$199)*LN(10)/10))))))),"")</f>
        <v>13.7930365764479</v>
      </c>
      <c r="GS38">
        <f>IF(AND(ISNUMBER(GR38),逐级计算!$X$200&gt;-1),IF(逐级计算!$X$200=0,GR38+逐级计算!$C$200,GR38+逐级计算!$C$200-(10/(逐级计算!$Q$200*LN(10))*(MAX((LN(10^(逐级计算!$Q$200/10)-1)+逐级计算!$Q$200*(GR38-逐级计算!$P$200)*LN(10)/10),0)+LN(1+EXP(-ABS((LN(10^(逐级计算!$Q$200/10)-1)+逐级计算!$Q$200*(GR38-逐级计算!$P$200)*LN(10)/10))))))),"")</f>
        <v>13.7930365764479</v>
      </c>
      <c r="GT38">
        <f>IF(AND(ISNUMBER(GS38),逐级计算!$X$201&gt;-1),IF(逐级计算!$X$201=0,GS38+逐级计算!$C$201,GS38+逐级计算!$C$201-(10/(逐级计算!$Q$201*LN(10))*(MAX((LN(10^(逐级计算!$Q$201/10)-1)+逐级计算!$Q$201*(GS38-逐级计算!$P$201)*LN(10)/10),0)+LN(1+EXP(-ABS((LN(10^(逐级计算!$Q$201/10)-1)+逐级计算!$Q$201*(GS38-逐级计算!$P$201)*LN(10)/10))))))),"")</f>
        <v>13.7930365764479</v>
      </c>
      <c r="GU38">
        <f>IF(AND(ISNUMBER(GT38),逐级计算!$X$202&gt;-1),IF(逐级计算!$X$202=0,GT38+逐级计算!$C$202,GT38+逐级计算!$C$202-(10/(逐级计算!$Q$202*LN(10))*(MAX((LN(10^(逐级计算!$Q$202/10)-1)+逐级计算!$Q$202*(GT38-逐级计算!$P$202)*LN(10)/10),0)+LN(1+EXP(-ABS((LN(10^(逐级计算!$Q$202/10)-1)+逐级计算!$Q$202*(GT38-逐级计算!$P$202)*LN(10)/10))))))),"")</f>
        <v>13.7930365764479</v>
      </c>
      <c r="GV38">
        <f>IF(AND(ISNUMBER(GU38),逐级计算!$X$203&gt;-1),IF(逐级计算!$X$203=0,GU38+逐级计算!$C$203,GU38+逐级计算!$C$203-(10/(逐级计算!$Q$203*LN(10))*(MAX((LN(10^(逐级计算!$Q$203/10)-1)+逐级计算!$Q$203*(GU38-逐级计算!$P$203)*LN(10)/10),0)+LN(1+EXP(-ABS((LN(10^(逐级计算!$Q$203/10)-1)+逐级计算!$Q$203*(GU38-逐级计算!$P$203)*LN(10)/10))))))),"")</f>
        <v>13.7930365764479</v>
      </c>
      <c r="GW38">
        <f t="shared" si="2"/>
        <v>-5.20696337334812</v>
      </c>
    </row>
    <row r="39" spans="1:205">
      <c r="A39">
        <v>32</v>
      </c>
      <c r="B39">
        <f t="shared" si="1"/>
        <v>-5.20696347113699</v>
      </c>
      <c r="C39">
        <f t="shared" si="0"/>
        <v>-5.20696344668977</v>
      </c>
      <c r="D39">
        <f>IF(AND(ISNUMBER(C39),ISNUMBER(逐级计算!$E$203),ISNUMBER(GV39)),C39+逐级计算!$E$203-GV39,"")</f>
        <v>0.999999992287508</v>
      </c>
      <c r="E39">
        <f>IF(AND(ISNUMBER(C39),逐级计算!$X$4&gt;-1),IF(逐级计算!$X$4=0,C39+逐级计算!$C$4,C39+逐级计算!$C$4-(10/(逐级计算!$Q$4*LN(10))*(MAX((LN(10^(逐级计算!$Q$4/10)-1)+逐级计算!$Q$4*(C39-逐级计算!$P$4)*LN(10)/10),0)+LN(1+EXP(-ABS((LN(10^(逐级计算!$Q$4/10)-1)+逐级计算!$Q$4*(C39-逐级计算!$P$4)*LN(10)/10))))))),"")</f>
        <v>4.68053980943958</v>
      </c>
      <c r="F39">
        <f>IF(AND(ISNUMBER(E39),逐级计算!$X$5&gt;-1),IF(逐级计算!$X$5=0,E39+逐级计算!$C$5,E39+逐级计算!$C$5-(10/(逐级计算!$Q$5*LN(10))*(MAX((LN(10^(逐级计算!$Q$5/10)-1)+逐级计算!$Q$5*(E39-逐级计算!$P$5)*LN(10)/10),0)+LN(1+EXP(-ABS((LN(10^(逐级计算!$Q$5/10)-1)+逐级计算!$Q$5*(E39-逐级计算!$P$5)*LN(10)/10))))))),"")</f>
        <v>13.7930365610227</v>
      </c>
      <c r="G39">
        <f>IF(AND(ISNUMBER(F39),逐级计算!$X$6&gt;-1),IF(逐级计算!$X$6=0,F39+逐级计算!$C$6,F39+逐级计算!$C$6-(10/(逐级计算!$Q$6*LN(10))*(MAX((LN(10^(逐级计算!$Q$6/10)-1)+逐级计算!$Q$6*(F39-逐级计算!$P$6)*LN(10)/10),0)+LN(1+EXP(-ABS((LN(10^(逐级计算!$Q$6/10)-1)+逐级计算!$Q$6*(F39-逐级计算!$P$6)*LN(10)/10))))))),"")</f>
        <v>13.7930365610227</v>
      </c>
      <c r="H39">
        <f>IF(AND(ISNUMBER(G39),逐级计算!$X$7&gt;-1),IF(逐级计算!$X$7=0,G39+逐级计算!$C$7,G39+逐级计算!$C$7-(10/(逐级计算!$Q$7*LN(10))*(MAX((LN(10^(逐级计算!$Q$7/10)-1)+逐级计算!$Q$7*(G39-逐级计算!$P$7)*LN(10)/10),0)+LN(1+EXP(-ABS((LN(10^(逐级计算!$Q$7/10)-1)+逐级计算!$Q$7*(G39-逐级计算!$P$7)*LN(10)/10))))))),"")</f>
        <v>13.7930365610227</v>
      </c>
      <c r="I39">
        <f>IF(AND(ISNUMBER(H39),逐级计算!$X$8&gt;-1),IF(逐级计算!$X$8=0,H39+逐级计算!$C$8,H39+逐级计算!$C$8-(10/(逐级计算!$Q$8*LN(10))*(MAX((LN(10^(逐级计算!$Q$8/10)-1)+逐级计算!$Q$8*(H39-逐级计算!$P$8)*LN(10)/10),0)+LN(1+EXP(-ABS((LN(10^(逐级计算!$Q$8/10)-1)+逐级计算!$Q$8*(H39-逐级计算!$P$8)*LN(10)/10))))))),"")</f>
        <v>13.7930365610227</v>
      </c>
      <c r="J39">
        <f>IF(AND(ISNUMBER(I39),逐级计算!$X$9&gt;-1),IF(逐级计算!$X$9=0,I39+逐级计算!$C$9,I39+逐级计算!$C$9-(10/(逐级计算!$Q$9*LN(10))*(MAX((LN(10^(逐级计算!$Q$9/10)-1)+逐级计算!$Q$9*(I39-逐级计算!$P$9)*LN(10)/10),0)+LN(1+EXP(-ABS((LN(10^(逐级计算!$Q$9/10)-1)+逐级计算!$Q$9*(I39-逐级计算!$P$9)*LN(10)/10))))))),"")</f>
        <v>13.7930365610227</v>
      </c>
      <c r="K39">
        <f>IF(AND(ISNUMBER(J39),逐级计算!$X$10&gt;-1),IF(逐级计算!$X$10=0,J39+逐级计算!$C$10,J39+逐级计算!$C$10-(10/(逐级计算!$Q$10*LN(10))*(MAX((LN(10^(逐级计算!$Q$10/10)-1)+逐级计算!$Q$10*(J39-逐级计算!$P$10)*LN(10)/10),0)+LN(1+EXP(-ABS((LN(10^(逐级计算!$Q$10/10)-1)+逐级计算!$Q$10*(J39-逐级计算!$P$10)*LN(10)/10))))))),"")</f>
        <v>13.7930365610227</v>
      </c>
      <c r="L39">
        <f>IF(AND(ISNUMBER(K39),逐级计算!$X$11&gt;-1),IF(逐级计算!$X$11=0,K39+逐级计算!$C$11,K39+逐级计算!$C$11-(10/(逐级计算!$Q$11*LN(10))*(MAX((LN(10^(逐级计算!$Q$11/10)-1)+逐级计算!$Q$11*(K39-逐级计算!$P$11)*LN(10)/10),0)+LN(1+EXP(-ABS((LN(10^(逐级计算!$Q$11/10)-1)+逐级计算!$Q$11*(K39-逐级计算!$P$11)*LN(10)/10))))))),"")</f>
        <v>13.7930365610227</v>
      </c>
      <c r="M39">
        <f>IF(AND(ISNUMBER(L39),逐级计算!$X$12&gt;-1),IF(逐级计算!$X$12=0,L39+逐级计算!$C$12,L39+逐级计算!$C$12-(10/(逐级计算!$Q$12*LN(10))*(MAX((LN(10^(逐级计算!$Q$12/10)-1)+逐级计算!$Q$12*(L39-逐级计算!$P$12)*LN(10)/10),0)+LN(1+EXP(-ABS((LN(10^(逐级计算!$Q$12/10)-1)+逐级计算!$Q$12*(L39-逐级计算!$P$12)*LN(10)/10))))))),"")</f>
        <v>13.7930365610227</v>
      </c>
      <c r="N39">
        <f>IF(AND(ISNUMBER(M39),逐级计算!$X$13&gt;-1),IF(逐级计算!$X$13=0,M39+逐级计算!$C$13,M39+逐级计算!$C$13-(10/(逐级计算!$Q$13*LN(10))*(MAX((LN(10^(逐级计算!$Q$13/10)-1)+逐级计算!$Q$13*(M39-逐级计算!$P$13)*LN(10)/10),0)+LN(1+EXP(-ABS((LN(10^(逐级计算!$Q$13/10)-1)+逐级计算!$Q$13*(M39-逐级计算!$P$13)*LN(10)/10))))))),"")</f>
        <v>13.7930365610227</v>
      </c>
      <c r="O39">
        <f>IF(AND(ISNUMBER(N39),逐级计算!$X$14&gt;-1),IF(逐级计算!$X$14=0,N39+逐级计算!$C$14,N39+逐级计算!$C$14-(10/(逐级计算!$Q$14*LN(10))*(MAX((LN(10^(逐级计算!$Q$14/10)-1)+逐级计算!$Q$14*(N39-逐级计算!$P$14)*LN(10)/10),0)+LN(1+EXP(-ABS((LN(10^(逐级计算!$Q$14/10)-1)+逐级计算!$Q$14*(N39-逐级计算!$P$14)*LN(10)/10))))))),"")</f>
        <v>13.7930365610227</v>
      </c>
      <c r="P39">
        <f>IF(AND(ISNUMBER(O39),逐级计算!$X$15&gt;-1),IF(逐级计算!$X$15=0,O39+逐级计算!$C$15,O39+逐级计算!$C$15-(10/(逐级计算!$Q$15*LN(10))*(MAX((LN(10^(逐级计算!$Q$15/10)-1)+逐级计算!$Q$15*(O39-逐级计算!$P$15)*LN(10)/10),0)+LN(1+EXP(-ABS((LN(10^(逐级计算!$Q$15/10)-1)+逐级计算!$Q$15*(O39-逐级计算!$P$15)*LN(10)/10))))))),"")</f>
        <v>13.7930365610227</v>
      </c>
      <c r="Q39">
        <f>IF(AND(ISNUMBER(P39),逐级计算!$X$16&gt;-1),IF(逐级计算!$X$16=0,P39+逐级计算!$C$16,P39+逐级计算!$C$16-(10/(逐级计算!$Q$16*LN(10))*(MAX((LN(10^(逐级计算!$Q$16/10)-1)+逐级计算!$Q$16*(P39-逐级计算!$P$16)*LN(10)/10),0)+LN(1+EXP(-ABS((LN(10^(逐级计算!$Q$16/10)-1)+逐级计算!$Q$16*(P39-逐级计算!$P$16)*LN(10)/10))))))),"")</f>
        <v>13.7930365610227</v>
      </c>
      <c r="R39">
        <f>IF(AND(ISNUMBER(Q39),逐级计算!$X$17&gt;-1),IF(逐级计算!$X$17=0,Q39+逐级计算!$C$17,Q39+逐级计算!$C$17-(10/(逐级计算!$Q$17*LN(10))*(MAX((LN(10^(逐级计算!$Q$17/10)-1)+逐级计算!$Q$17*(Q39-逐级计算!$P$17)*LN(10)/10),0)+LN(1+EXP(-ABS((LN(10^(逐级计算!$Q$17/10)-1)+逐级计算!$Q$17*(Q39-逐级计算!$P$17)*LN(10)/10))))))),"")</f>
        <v>13.7930365610227</v>
      </c>
      <c r="S39">
        <f>IF(AND(ISNUMBER(R39),逐级计算!$X$18&gt;-1),IF(逐级计算!$X$18=0,R39+逐级计算!$C$18,R39+逐级计算!$C$18-(10/(逐级计算!$Q$18*LN(10))*(MAX((LN(10^(逐级计算!$Q$18/10)-1)+逐级计算!$Q$18*(R39-逐级计算!$P$18)*LN(10)/10),0)+LN(1+EXP(-ABS((LN(10^(逐级计算!$Q$18/10)-1)+逐级计算!$Q$18*(R39-逐级计算!$P$18)*LN(10)/10))))))),"")</f>
        <v>13.7930365610227</v>
      </c>
      <c r="T39">
        <f>IF(AND(ISNUMBER(S39),逐级计算!$X$19&gt;-1),IF(逐级计算!$X$19=0,S39+逐级计算!$C$19,S39+逐级计算!$C$19-(10/(逐级计算!$Q$19*LN(10))*(MAX((LN(10^(逐级计算!$Q$19/10)-1)+逐级计算!$Q$19*(S39-逐级计算!$P$19)*LN(10)/10),0)+LN(1+EXP(-ABS((LN(10^(逐级计算!$Q$19/10)-1)+逐级计算!$Q$19*(S39-逐级计算!$P$19)*LN(10)/10))))))),"")</f>
        <v>13.7930365610227</v>
      </c>
      <c r="U39">
        <f>IF(AND(ISNUMBER(T39),逐级计算!$X$20&gt;-1),IF(逐级计算!$X$20=0,T39+逐级计算!$C$20,T39+逐级计算!$C$20-(10/(逐级计算!$Q$20*LN(10))*(MAX((LN(10^(逐级计算!$Q$20/10)-1)+逐级计算!$Q$20*(T39-逐级计算!$P$20)*LN(10)/10),0)+LN(1+EXP(-ABS((LN(10^(逐级计算!$Q$20/10)-1)+逐级计算!$Q$20*(T39-逐级计算!$P$20)*LN(10)/10))))))),"")</f>
        <v>13.7930365610227</v>
      </c>
      <c r="V39">
        <f>IF(AND(ISNUMBER(U39),逐级计算!$X$21&gt;-1),IF(逐级计算!$X$21=0,U39+逐级计算!$C$21,U39+逐级计算!$C$21-(10/(逐级计算!$Q$21*LN(10))*(MAX((LN(10^(逐级计算!$Q$21/10)-1)+逐级计算!$Q$21*(U39-逐级计算!$P$21)*LN(10)/10),0)+LN(1+EXP(-ABS((LN(10^(逐级计算!$Q$21/10)-1)+逐级计算!$Q$21*(U39-逐级计算!$P$21)*LN(10)/10))))))),"")</f>
        <v>13.7930365610227</v>
      </c>
      <c r="W39">
        <f>IF(AND(ISNUMBER(V39),逐级计算!$X$22&gt;-1),IF(逐级计算!$X$22=0,V39+逐级计算!$C$22,V39+逐级计算!$C$22-(10/(逐级计算!$Q$22*LN(10))*(MAX((LN(10^(逐级计算!$Q$22/10)-1)+逐级计算!$Q$22*(V39-逐级计算!$P$22)*LN(10)/10),0)+LN(1+EXP(-ABS((LN(10^(逐级计算!$Q$22/10)-1)+逐级计算!$Q$22*(V39-逐级计算!$P$22)*LN(10)/10))))))),"")</f>
        <v>13.7930365610227</v>
      </c>
      <c r="X39">
        <f>IF(AND(ISNUMBER(W39),逐级计算!$X$23&gt;-1),IF(逐级计算!$X$23=0,W39+逐级计算!$C$23,W39+逐级计算!$C$23-(10/(逐级计算!$Q$23*LN(10))*(MAX((LN(10^(逐级计算!$Q$23/10)-1)+逐级计算!$Q$23*(W39-逐级计算!$P$23)*LN(10)/10),0)+LN(1+EXP(-ABS((LN(10^(逐级计算!$Q$23/10)-1)+逐级计算!$Q$23*(W39-逐级计算!$P$23)*LN(10)/10))))))),"")</f>
        <v>13.7930365610227</v>
      </c>
      <c r="Y39">
        <f>IF(AND(ISNUMBER(X39),逐级计算!$X$24&gt;-1),IF(逐级计算!$X$24=0,X39+逐级计算!$C$24,X39+逐级计算!$C$24-(10/(逐级计算!$Q$24*LN(10))*(MAX((LN(10^(逐级计算!$Q$24/10)-1)+逐级计算!$Q$24*(X39-逐级计算!$P$24)*LN(10)/10),0)+LN(1+EXP(-ABS((LN(10^(逐级计算!$Q$24/10)-1)+逐级计算!$Q$24*(X39-逐级计算!$P$24)*LN(10)/10))))))),"")</f>
        <v>13.7930365610227</v>
      </c>
      <c r="Z39">
        <f>IF(AND(ISNUMBER(Y39),逐级计算!$X$25&gt;-1),IF(逐级计算!$X$25=0,Y39+逐级计算!$C$25,Y39+逐级计算!$C$25-(10/(逐级计算!$Q$25*LN(10))*(MAX((LN(10^(逐级计算!$Q$25/10)-1)+逐级计算!$Q$25*(Y39-逐级计算!$P$25)*LN(10)/10),0)+LN(1+EXP(-ABS((LN(10^(逐级计算!$Q$25/10)-1)+逐级计算!$Q$25*(Y39-逐级计算!$P$25)*LN(10)/10))))))),"")</f>
        <v>13.7930365610227</v>
      </c>
      <c r="AA39">
        <f>IF(AND(ISNUMBER(Z39),逐级计算!$X$26&gt;-1),IF(逐级计算!$X$26=0,Z39+逐级计算!$C$26,Z39+逐级计算!$C$26-(10/(逐级计算!$Q$26*LN(10))*(MAX((LN(10^(逐级计算!$Q$26/10)-1)+逐级计算!$Q$26*(Z39-逐级计算!$P$26)*LN(10)/10),0)+LN(1+EXP(-ABS((LN(10^(逐级计算!$Q$26/10)-1)+逐级计算!$Q$26*(Z39-逐级计算!$P$26)*LN(10)/10))))))),"")</f>
        <v>13.7930365610227</v>
      </c>
      <c r="AB39">
        <f>IF(AND(ISNUMBER(AA39),逐级计算!$X$27&gt;-1),IF(逐级计算!$X$27=0,AA39+逐级计算!$C$27,AA39+逐级计算!$C$27-(10/(逐级计算!$Q$27*LN(10))*(MAX((LN(10^(逐级计算!$Q$27/10)-1)+逐级计算!$Q$27*(AA39-逐级计算!$P$27)*LN(10)/10),0)+LN(1+EXP(-ABS((LN(10^(逐级计算!$Q$27/10)-1)+逐级计算!$Q$27*(AA39-逐级计算!$P$27)*LN(10)/10))))))),"")</f>
        <v>13.7930365610227</v>
      </c>
      <c r="AC39">
        <f>IF(AND(ISNUMBER(AB39),逐级计算!$X$28&gt;-1),IF(逐级计算!$X$28=0,AB39+逐级计算!$C$28,AB39+逐级计算!$C$28-(10/(逐级计算!$Q$28*LN(10))*(MAX((LN(10^(逐级计算!$Q$28/10)-1)+逐级计算!$Q$28*(AB39-逐级计算!$P$28)*LN(10)/10),0)+LN(1+EXP(-ABS((LN(10^(逐级计算!$Q$28/10)-1)+逐级计算!$Q$28*(AB39-逐级计算!$P$28)*LN(10)/10))))))),"")</f>
        <v>13.7930365610227</v>
      </c>
      <c r="AD39">
        <f>IF(AND(ISNUMBER(AC39),逐级计算!$X$29&gt;-1),IF(逐级计算!$X$29=0,AC39+逐级计算!$C$29,AC39+逐级计算!$C$29-(10/(逐级计算!$Q$29*LN(10))*(MAX((LN(10^(逐级计算!$Q$29/10)-1)+逐级计算!$Q$29*(AC39-逐级计算!$P$29)*LN(10)/10),0)+LN(1+EXP(-ABS((LN(10^(逐级计算!$Q$29/10)-1)+逐级计算!$Q$29*(AC39-逐级计算!$P$29)*LN(10)/10))))))),"")</f>
        <v>13.7930365610227</v>
      </c>
      <c r="AE39">
        <f>IF(AND(ISNUMBER(AD39),逐级计算!$X$30&gt;-1),IF(逐级计算!$X$30=0,AD39+逐级计算!$C$30,AD39+逐级计算!$C$30-(10/(逐级计算!$Q$30*LN(10))*(MAX((LN(10^(逐级计算!$Q$30/10)-1)+逐级计算!$Q$30*(AD39-逐级计算!$P$30)*LN(10)/10),0)+LN(1+EXP(-ABS((LN(10^(逐级计算!$Q$30/10)-1)+逐级计算!$Q$30*(AD39-逐级计算!$P$30)*LN(10)/10))))))),"")</f>
        <v>13.7930365610227</v>
      </c>
      <c r="AF39">
        <f>IF(AND(ISNUMBER(AE39),逐级计算!$X$31&gt;-1),IF(逐级计算!$X$31=0,AE39+逐级计算!$C$31,AE39+逐级计算!$C$31-(10/(逐级计算!$Q$31*LN(10))*(MAX((LN(10^(逐级计算!$Q$31/10)-1)+逐级计算!$Q$31*(AE39-逐级计算!$P$31)*LN(10)/10),0)+LN(1+EXP(-ABS((LN(10^(逐级计算!$Q$31/10)-1)+逐级计算!$Q$31*(AE39-逐级计算!$P$31)*LN(10)/10))))))),"")</f>
        <v>13.7930365610227</v>
      </c>
      <c r="AG39">
        <f>IF(AND(ISNUMBER(AF39),逐级计算!$X$32&gt;-1),IF(逐级计算!$X$32=0,AF39+逐级计算!$C$32,AF39+逐级计算!$C$32-(10/(逐级计算!$Q$32*LN(10))*(MAX((LN(10^(逐级计算!$Q$32/10)-1)+逐级计算!$Q$32*(AF39-逐级计算!$P$32)*LN(10)/10),0)+LN(1+EXP(-ABS((LN(10^(逐级计算!$Q$32/10)-1)+逐级计算!$Q$32*(AF39-逐级计算!$P$32)*LN(10)/10))))))),"")</f>
        <v>13.7930365610227</v>
      </c>
      <c r="AH39">
        <f>IF(AND(ISNUMBER(AG39),逐级计算!$X$33&gt;-1),IF(逐级计算!$X$33=0,AG39+逐级计算!$C$33,AG39+逐级计算!$C$33-(10/(逐级计算!$Q$33*LN(10))*(MAX((LN(10^(逐级计算!$Q$33/10)-1)+逐级计算!$Q$33*(AG39-逐级计算!$P$33)*LN(10)/10),0)+LN(1+EXP(-ABS((LN(10^(逐级计算!$Q$33/10)-1)+逐级计算!$Q$33*(AG39-逐级计算!$P$33)*LN(10)/10))))))),"")</f>
        <v>13.7930365610227</v>
      </c>
      <c r="AI39">
        <f>IF(AND(ISNUMBER(AH39),逐级计算!$X$34&gt;-1),IF(逐级计算!$X$34=0,AH39+逐级计算!$C$34,AH39+逐级计算!$C$34-(10/(逐级计算!$Q$34*LN(10))*(MAX((LN(10^(逐级计算!$Q$34/10)-1)+逐级计算!$Q$34*(AH39-逐级计算!$P$34)*LN(10)/10),0)+LN(1+EXP(-ABS((LN(10^(逐级计算!$Q$34/10)-1)+逐级计算!$Q$34*(AH39-逐级计算!$P$34)*LN(10)/10))))))),"")</f>
        <v>13.7930365610227</v>
      </c>
      <c r="AJ39">
        <f>IF(AND(ISNUMBER(AI39),逐级计算!$X$35&gt;-1),IF(逐级计算!$X$35=0,AI39+逐级计算!$C$35,AI39+逐级计算!$C$35-(10/(逐级计算!$Q$35*LN(10))*(MAX((LN(10^(逐级计算!$Q$35/10)-1)+逐级计算!$Q$35*(AI39-逐级计算!$P$35)*LN(10)/10),0)+LN(1+EXP(-ABS((LN(10^(逐级计算!$Q$35/10)-1)+逐级计算!$Q$35*(AI39-逐级计算!$P$35)*LN(10)/10))))))),"")</f>
        <v>13.7930365610227</v>
      </c>
      <c r="AK39">
        <f>IF(AND(ISNUMBER(AJ39),逐级计算!$X$36&gt;-1),IF(逐级计算!$X$36=0,AJ39+逐级计算!$C$36,AJ39+逐级计算!$C$36-(10/(逐级计算!$Q$36*LN(10))*(MAX((LN(10^(逐级计算!$Q$36/10)-1)+逐级计算!$Q$36*(AJ39-逐级计算!$P$36)*LN(10)/10),0)+LN(1+EXP(-ABS((LN(10^(逐级计算!$Q$36/10)-1)+逐级计算!$Q$36*(AJ39-逐级计算!$P$36)*LN(10)/10))))))),"")</f>
        <v>13.7930365610227</v>
      </c>
      <c r="AL39">
        <f>IF(AND(ISNUMBER(AK39),逐级计算!$X$37&gt;-1),IF(逐级计算!$X$37=0,AK39+逐级计算!$C$37,AK39+逐级计算!$C$37-(10/(逐级计算!$Q$37*LN(10))*(MAX((LN(10^(逐级计算!$Q$37/10)-1)+逐级计算!$Q$37*(AK39-逐级计算!$P$37)*LN(10)/10),0)+LN(1+EXP(-ABS((LN(10^(逐级计算!$Q$37/10)-1)+逐级计算!$Q$37*(AK39-逐级计算!$P$37)*LN(10)/10))))))),"")</f>
        <v>13.7930365610227</v>
      </c>
      <c r="AM39">
        <f>IF(AND(ISNUMBER(AL39),逐级计算!$X$38&gt;-1),IF(逐级计算!$X$38=0,AL39+逐级计算!$C$38,AL39+逐级计算!$C$38-(10/(逐级计算!$Q$38*LN(10))*(MAX((LN(10^(逐级计算!$Q$38/10)-1)+逐级计算!$Q$38*(AL39-逐级计算!$P$38)*LN(10)/10),0)+LN(1+EXP(-ABS((LN(10^(逐级计算!$Q$38/10)-1)+逐级计算!$Q$38*(AL39-逐级计算!$P$38)*LN(10)/10))))))),"")</f>
        <v>13.7930365610227</v>
      </c>
      <c r="AN39">
        <f>IF(AND(ISNUMBER(AM39),逐级计算!$X$39&gt;-1),IF(逐级计算!$X$39=0,AM39+逐级计算!$C$39,AM39+逐级计算!$C$39-(10/(逐级计算!$Q$39*LN(10))*(MAX((LN(10^(逐级计算!$Q$39/10)-1)+逐级计算!$Q$39*(AM39-逐级计算!$P$39)*LN(10)/10),0)+LN(1+EXP(-ABS((LN(10^(逐级计算!$Q$39/10)-1)+逐级计算!$Q$39*(AM39-逐级计算!$P$39)*LN(10)/10))))))),"")</f>
        <v>13.7930365610227</v>
      </c>
      <c r="AO39">
        <f>IF(AND(ISNUMBER(AN39),逐级计算!$X$40&gt;-1),IF(逐级计算!$X$40=0,AN39+逐级计算!$C$40,AN39+逐级计算!$C$40-(10/(逐级计算!$Q$40*LN(10))*(MAX((LN(10^(逐级计算!$Q$40/10)-1)+逐级计算!$Q$40*(AN39-逐级计算!$P$40)*LN(10)/10),0)+LN(1+EXP(-ABS((LN(10^(逐级计算!$Q$40/10)-1)+逐级计算!$Q$40*(AN39-逐级计算!$P$40)*LN(10)/10))))))),"")</f>
        <v>13.7930365610227</v>
      </c>
      <c r="AP39">
        <f>IF(AND(ISNUMBER(AO39),逐级计算!$X$41&gt;-1),IF(逐级计算!$X$41=0,AO39+逐级计算!$C$41,AO39+逐级计算!$C$41-(10/(逐级计算!$Q$41*LN(10))*(MAX((LN(10^(逐级计算!$Q$41/10)-1)+逐级计算!$Q$41*(AO39-逐级计算!$P$41)*LN(10)/10),0)+LN(1+EXP(-ABS((LN(10^(逐级计算!$Q$41/10)-1)+逐级计算!$Q$41*(AO39-逐级计算!$P$41)*LN(10)/10))))))),"")</f>
        <v>13.7930365610227</v>
      </c>
      <c r="AQ39">
        <f>IF(AND(ISNUMBER(AP39),逐级计算!$X$42&gt;-1),IF(逐级计算!$X$42=0,AP39+逐级计算!$C$42,AP39+逐级计算!$C$42-(10/(逐级计算!$Q$42*LN(10))*(MAX((LN(10^(逐级计算!$Q$42/10)-1)+逐级计算!$Q$42*(AP39-逐级计算!$P$42)*LN(10)/10),0)+LN(1+EXP(-ABS((LN(10^(逐级计算!$Q$42/10)-1)+逐级计算!$Q$42*(AP39-逐级计算!$P$42)*LN(10)/10))))))),"")</f>
        <v>13.7930365610227</v>
      </c>
      <c r="AR39">
        <f>IF(AND(ISNUMBER(AQ39),逐级计算!$X$43&gt;-1),IF(逐级计算!$X$43=0,AQ39+逐级计算!$C$43,AQ39+逐级计算!$C$43-(10/(逐级计算!$Q$43*LN(10))*(MAX((LN(10^(逐级计算!$Q$43/10)-1)+逐级计算!$Q$43*(AQ39-逐级计算!$P$43)*LN(10)/10),0)+LN(1+EXP(-ABS((LN(10^(逐级计算!$Q$43/10)-1)+逐级计算!$Q$43*(AQ39-逐级计算!$P$43)*LN(10)/10))))))),"")</f>
        <v>13.7930365610227</v>
      </c>
      <c r="AS39">
        <f>IF(AND(ISNUMBER(AR39),逐级计算!$X$44&gt;-1),IF(逐级计算!$X$44=0,AR39+逐级计算!$C$44,AR39+逐级计算!$C$44-(10/(逐级计算!$Q$44*LN(10))*(MAX((LN(10^(逐级计算!$Q$44/10)-1)+逐级计算!$Q$44*(AR39-逐级计算!$P$44)*LN(10)/10),0)+LN(1+EXP(-ABS((LN(10^(逐级计算!$Q$44/10)-1)+逐级计算!$Q$44*(AR39-逐级计算!$P$44)*LN(10)/10))))))),"")</f>
        <v>13.7930365610227</v>
      </c>
      <c r="AT39">
        <f>IF(AND(ISNUMBER(AS39),逐级计算!$X$45&gt;-1),IF(逐级计算!$X$45=0,AS39+逐级计算!$C$45,AS39+逐级计算!$C$45-(10/(逐级计算!$Q$45*LN(10))*(MAX((LN(10^(逐级计算!$Q$45/10)-1)+逐级计算!$Q$45*(AS39-逐级计算!$P$45)*LN(10)/10),0)+LN(1+EXP(-ABS((LN(10^(逐级计算!$Q$45/10)-1)+逐级计算!$Q$45*(AS39-逐级计算!$P$45)*LN(10)/10))))))),"")</f>
        <v>13.7930365610227</v>
      </c>
      <c r="AU39">
        <f>IF(AND(ISNUMBER(AT39),逐级计算!$X$46&gt;-1),IF(逐级计算!$X$46=0,AT39+逐级计算!$C$46,AT39+逐级计算!$C$46-(10/(逐级计算!$Q$46*LN(10))*(MAX((LN(10^(逐级计算!$Q$46/10)-1)+逐级计算!$Q$46*(AT39-逐级计算!$P$46)*LN(10)/10),0)+LN(1+EXP(-ABS((LN(10^(逐级计算!$Q$46/10)-1)+逐级计算!$Q$46*(AT39-逐级计算!$P$46)*LN(10)/10))))))),"")</f>
        <v>13.7930365610227</v>
      </c>
      <c r="AV39">
        <f>IF(AND(ISNUMBER(AU39),逐级计算!$X$47&gt;-1),IF(逐级计算!$X$47=0,AU39+逐级计算!$C$47,AU39+逐级计算!$C$47-(10/(逐级计算!$Q$47*LN(10))*(MAX((LN(10^(逐级计算!$Q$47/10)-1)+逐级计算!$Q$47*(AU39-逐级计算!$P$47)*LN(10)/10),0)+LN(1+EXP(-ABS((LN(10^(逐级计算!$Q$47/10)-1)+逐级计算!$Q$47*(AU39-逐级计算!$P$47)*LN(10)/10))))))),"")</f>
        <v>13.7930365610227</v>
      </c>
      <c r="AW39">
        <f>IF(AND(ISNUMBER(AV39),逐级计算!$X$48&gt;-1),IF(逐级计算!$X$48=0,AV39+逐级计算!$C$48,AV39+逐级计算!$C$48-(10/(逐级计算!$Q$48*LN(10))*(MAX((LN(10^(逐级计算!$Q$48/10)-1)+逐级计算!$Q$48*(AV39-逐级计算!$P$48)*LN(10)/10),0)+LN(1+EXP(-ABS((LN(10^(逐级计算!$Q$48/10)-1)+逐级计算!$Q$48*(AV39-逐级计算!$P$48)*LN(10)/10))))))),"")</f>
        <v>13.7930365610227</v>
      </c>
      <c r="AX39">
        <f>IF(AND(ISNUMBER(AW39),逐级计算!$X$49&gt;-1),IF(逐级计算!$X$49=0,AW39+逐级计算!$C$49,AW39+逐级计算!$C$49-(10/(逐级计算!$Q$49*LN(10))*(MAX((LN(10^(逐级计算!$Q$49/10)-1)+逐级计算!$Q$49*(AW39-逐级计算!$P$49)*LN(10)/10),0)+LN(1+EXP(-ABS((LN(10^(逐级计算!$Q$49/10)-1)+逐级计算!$Q$49*(AW39-逐级计算!$P$49)*LN(10)/10))))))),"")</f>
        <v>13.7930365610227</v>
      </c>
      <c r="AY39">
        <f>IF(AND(ISNUMBER(AX39),逐级计算!$X$50&gt;-1),IF(逐级计算!$X$50=0,AX39+逐级计算!$C$50,AX39+逐级计算!$C$50-(10/(逐级计算!$Q$50*LN(10))*(MAX((LN(10^(逐级计算!$Q$50/10)-1)+逐级计算!$Q$50*(AX39-逐级计算!$P$50)*LN(10)/10),0)+LN(1+EXP(-ABS((LN(10^(逐级计算!$Q$50/10)-1)+逐级计算!$Q$50*(AX39-逐级计算!$P$50)*LN(10)/10))))))),"")</f>
        <v>13.7930365610227</v>
      </c>
      <c r="AZ39">
        <f>IF(AND(ISNUMBER(AY39),逐级计算!$X$51&gt;-1),IF(逐级计算!$X$51=0,AY39+逐级计算!$C$51,AY39+逐级计算!$C$51-(10/(逐级计算!$Q$51*LN(10))*(MAX((LN(10^(逐级计算!$Q$51/10)-1)+逐级计算!$Q$51*(AY39-逐级计算!$P$51)*LN(10)/10),0)+LN(1+EXP(-ABS((LN(10^(逐级计算!$Q$51/10)-1)+逐级计算!$Q$51*(AY39-逐级计算!$P$51)*LN(10)/10))))))),"")</f>
        <v>13.7930365610227</v>
      </c>
      <c r="BA39">
        <f>IF(AND(ISNUMBER(AZ39),逐级计算!$X$52&gt;-1),IF(逐级计算!$X$52=0,AZ39+逐级计算!$C$52,AZ39+逐级计算!$C$52-(10/(逐级计算!$Q$52*LN(10))*(MAX((LN(10^(逐级计算!$Q$52/10)-1)+逐级计算!$Q$52*(AZ39-逐级计算!$P$52)*LN(10)/10),0)+LN(1+EXP(-ABS((LN(10^(逐级计算!$Q$52/10)-1)+逐级计算!$Q$52*(AZ39-逐级计算!$P$52)*LN(10)/10))))))),"")</f>
        <v>13.7930365610227</v>
      </c>
      <c r="BB39">
        <f>IF(AND(ISNUMBER(BA39),逐级计算!$X$53&gt;-1),IF(逐级计算!$X$53=0,BA39+逐级计算!$C$53,BA39+逐级计算!$C$53-(10/(逐级计算!$Q$53*LN(10))*(MAX((LN(10^(逐级计算!$Q$53/10)-1)+逐级计算!$Q$53*(BA39-逐级计算!$P$53)*LN(10)/10),0)+LN(1+EXP(-ABS((LN(10^(逐级计算!$Q$53/10)-1)+逐级计算!$Q$53*(BA39-逐级计算!$P$53)*LN(10)/10))))))),"")</f>
        <v>13.7930365610227</v>
      </c>
      <c r="BC39">
        <f>IF(AND(ISNUMBER(BB39),逐级计算!$X$54&gt;-1),IF(逐级计算!$X$54=0,BB39+逐级计算!$C$54,BB39+逐级计算!$C$54-(10/(逐级计算!$Q$54*LN(10))*(MAX((LN(10^(逐级计算!$Q$54/10)-1)+逐级计算!$Q$54*(BB39-逐级计算!$P$54)*LN(10)/10),0)+LN(1+EXP(-ABS((LN(10^(逐级计算!$Q$54/10)-1)+逐级计算!$Q$54*(BB39-逐级计算!$P$54)*LN(10)/10))))))),"")</f>
        <v>13.7930365610227</v>
      </c>
      <c r="BD39">
        <f>IF(AND(ISNUMBER(BC39),逐级计算!$X$55&gt;-1),IF(逐级计算!$X$55=0,BC39+逐级计算!$C$55,BC39+逐级计算!$C$55-(10/(逐级计算!$Q$55*LN(10))*(MAX((LN(10^(逐级计算!$Q$55/10)-1)+逐级计算!$Q$55*(BC39-逐级计算!$P$55)*LN(10)/10),0)+LN(1+EXP(-ABS((LN(10^(逐级计算!$Q$55/10)-1)+逐级计算!$Q$55*(BC39-逐级计算!$P$55)*LN(10)/10))))))),"")</f>
        <v>13.7930365610227</v>
      </c>
      <c r="BE39">
        <f>IF(AND(ISNUMBER(BD39),逐级计算!$X$56&gt;-1),IF(逐级计算!$X$56=0,BD39+逐级计算!$C$56,BD39+逐级计算!$C$56-(10/(逐级计算!$Q$56*LN(10))*(MAX((LN(10^(逐级计算!$Q$56/10)-1)+逐级计算!$Q$56*(BD39-逐级计算!$P$56)*LN(10)/10),0)+LN(1+EXP(-ABS((LN(10^(逐级计算!$Q$56/10)-1)+逐级计算!$Q$56*(BD39-逐级计算!$P$56)*LN(10)/10))))))),"")</f>
        <v>13.7930365610227</v>
      </c>
      <c r="BF39">
        <f>IF(AND(ISNUMBER(BE39),逐级计算!$X$57&gt;-1),IF(逐级计算!$X$57=0,BE39+逐级计算!$C$57,BE39+逐级计算!$C$57-(10/(逐级计算!$Q$57*LN(10))*(MAX((LN(10^(逐级计算!$Q$57/10)-1)+逐级计算!$Q$57*(BE39-逐级计算!$P$57)*LN(10)/10),0)+LN(1+EXP(-ABS((LN(10^(逐级计算!$Q$57/10)-1)+逐级计算!$Q$57*(BE39-逐级计算!$P$57)*LN(10)/10))))))),"")</f>
        <v>13.7930365610227</v>
      </c>
      <c r="BG39">
        <f>IF(AND(ISNUMBER(BF39),逐级计算!$X$58&gt;-1),IF(逐级计算!$X$58=0,BF39+逐级计算!$C$58,BF39+逐级计算!$C$58-(10/(逐级计算!$Q$58*LN(10))*(MAX((LN(10^(逐级计算!$Q$58/10)-1)+逐级计算!$Q$58*(BF39-逐级计算!$P$58)*LN(10)/10),0)+LN(1+EXP(-ABS((LN(10^(逐级计算!$Q$58/10)-1)+逐级计算!$Q$58*(BF39-逐级计算!$P$58)*LN(10)/10))))))),"")</f>
        <v>13.7930365610227</v>
      </c>
      <c r="BH39">
        <f>IF(AND(ISNUMBER(BG39),逐级计算!$X$59&gt;-1),IF(逐级计算!$X$59=0,BG39+逐级计算!$C$59,BG39+逐级计算!$C$59-(10/(逐级计算!$Q$59*LN(10))*(MAX((LN(10^(逐级计算!$Q$59/10)-1)+逐级计算!$Q$59*(BG39-逐级计算!$P$59)*LN(10)/10),0)+LN(1+EXP(-ABS((LN(10^(逐级计算!$Q$59/10)-1)+逐级计算!$Q$59*(BG39-逐级计算!$P$59)*LN(10)/10))))))),"")</f>
        <v>13.7930365610227</v>
      </c>
      <c r="BI39">
        <f>IF(AND(ISNUMBER(BH39),逐级计算!$X$60&gt;-1),IF(逐级计算!$X$60=0,BH39+逐级计算!$C$60,BH39+逐级计算!$C$60-(10/(逐级计算!$Q$60*LN(10))*(MAX((LN(10^(逐级计算!$Q$60/10)-1)+逐级计算!$Q$60*(BH39-逐级计算!$P$60)*LN(10)/10),0)+LN(1+EXP(-ABS((LN(10^(逐级计算!$Q$60/10)-1)+逐级计算!$Q$60*(BH39-逐级计算!$P$60)*LN(10)/10))))))),"")</f>
        <v>13.7930365610227</v>
      </c>
      <c r="BJ39">
        <f>IF(AND(ISNUMBER(BI39),逐级计算!$X$61&gt;-1),IF(逐级计算!$X$61=0,BI39+逐级计算!$C$61,BI39+逐级计算!$C$61-(10/(逐级计算!$Q$61*LN(10))*(MAX((LN(10^(逐级计算!$Q$61/10)-1)+逐级计算!$Q$61*(BI39-逐级计算!$P$61)*LN(10)/10),0)+LN(1+EXP(-ABS((LN(10^(逐级计算!$Q$61/10)-1)+逐级计算!$Q$61*(BI39-逐级计算!$P$61)*LN(10)/10))))))),"")</f>
        <v>13.7930365610227</v>
      </c>
      <c r="BK39">
        <f>IF(AND(ISNUMBER(BJ39),逐级计算!$X$62&gt;-1),IF(逐级计算!$X$62=0,BJ39+逐级计算!$C$62,BJ39+逐级计算!$C$62-(10/(逐级计算!$Q$62*LN(10))*(MAX((LN(10^(逐级计算!$Q$62/10)-1)+逐级计算!$Q$62*(BJ39-逐级计算!$P$62)*LN(10)/10),0)+LN(1+EXP(-ABS((LN(10^(逐级计算!$Q$62/10)-1)+逐级计算!$Q$62*(BJ39-逐级计算!$P$62)*LN(10)/10))))))),"")</f>
        <v>13.7930365610227</v>
      </c>
      <c r="BL39">
        <f>IF(AND(ISNUMBER(BK39),逐级计算!$X$63&gt;-1),IF(逐级计算!$X$63=0,BK39+逐级计算!$C$63,BK39+逐级计算!$C$63-(10/(逐级计算!$Q$63*LN(10))*(MAX((LN(10^(逐级计算!$Q$63/10)-1)+逐级计算!$Q$63*(BK39-逐级计算!$P$63)*LN(10)/10),0)+LN(1+EXP(-ABS((LN(10^(逐级计算!$Q$63/10)-1)+逐级计算!$Q$63*(BK39-逐级计算!$P$63)*LN(10)/10))))))),"")</f>
        <v>13.7930365610227</v>
      </c>
      <c r="BM39">
        <f>IF(AND(ISNUMBER(BL39),逐级计算!$X$64&gt;-1),IF(逐级计算!$X$64=0,BL39+逐级计算!$C$64,BL39+逐级计算!$C$64-(10/(逐级计算!$Q$64*LN(10))*(MAX((LN(10^(逐级计算!$Q$64/10)-1)+逐级计算!$Q$64*(BL39-逐级计算!$P$64)*LN(10)/10),0)+LN(1+EXP(-ABS((LN(10^(逐级计算!$Q$64/10)-1)+逐级计算!$Q$64*(BL39-逐级计算!$P$64)*LN(10)/10))))))),"")</f>
        <v>13.7930365610227</v>
      </c>
      <c r="BN39">
        <f>IF(AND(ISNUMBER(BM39),逐级计算!$X$65&gt;-1),IF(逐级计算!$X$65=0,BM39+逐级计算!$C$65,BM39+逐级计算!$C$65-(10/(逐级计算!$Q$65*LN(10))*(MAX((LN(10^(逐级计算!$Q$65/10)-1)+逐级计算!$Q$65*(BM39-逐级计算!$P$65)*LN(10)/10),0)+LN(1+EXP(-ABS((LN(10^(逐级计算!$Q$65/10)-1)+逐级计算!$Q$65*(BM39-逐级计算!$P$65)*LN(10)/10))))))),"")</f>
        <v>13.7930365610227</v>
      </c>
      <c r="BO39">
        <f>IF(AND(ISNUMBER(BN39),逐级计算!$X$66&gt;-1),IF(逐级计算!$X$66=0,BN39+逐级计算!$C$66,BN39+逐级计算!$C$66-(10/(逐级计算!$Q$66*LN(10))*(MAX((LN(10^(逐级计算!$Q$66/10)-1)+逐级计算!$Q$66*(BN39-逐级计算!$P$66)*LN(10)/10),0)+LN(1+EXP(-ABS((LN(10^(逐级计算!$Q$66/10)-1)+逐级计算!$Q$66*(BN39-逐级计算!$P$66)*LN(10)/10))))))),"")</f>
        <v>13.7930365610227</v>
      </c>
      <c r="BP39">
        <f>IF(AND(ISNUMBER(BO39),逐级计算!$X$67&gt;-1),IF(逐级计算!$X$67=0,BO39+逐级计算!$C$67,BO39+逐级计算!$C$67-(10/(逐级计算!$Q$67*LN(10))*(MAX((LN(10^(逐级计算!$Q$67/10)-1)+逐级计算!$Q$67*(BO39-逐级计算!$P$67)*LN(10)/10),0)+LN(1+EXP(-ABS((LN(10^(逐级计算!$Q$67/10)-1)+逐级计算!$Q$67*(BO39-逐级计算!$P$67)*LN(10)/10))))))),"")</f>
        <v>13.7930365610227</v>
      </c>
      <c r="BQ39">
        <f>IF(AND(ISNUMBER(BP39),逐级计算!$X$68&gt;-1),IF(逐级计算!$X$68=0,BP39+逐级计算!$C$68,BP39+逐级计算!$C$68-(10/(逐级计算!$Q$68*LN(10))*(MAX((LN(10^(逐级计算!$Q$68/10)-1)+逐级计算!$Q$68*(BP39-逐级计算!$P$68)*LN(10)/10),0)+LN(1+EXP(-ABS((LN(10^(逐级计算!$Q$68/10)-1)+逐级计算!$Q$68*(BP39-逐级计算!$P$68)*LN(10)/10))))))),"")</f>
        <v>13.7930365610227</v>
      </c>
      <c r="BR39">
        <f>IF(AND(ISNUMBER(BQ39),逐级计算!$X$69&gt;-1),IF(逐级计算!$X$69=0,BQ39+逐级计算!$C$69,BQ39+逐级计算!$C$69-(10/(逐级计算!$Q$69*LN(10))*(MAX((LN(10^(逐级计算!$Q$69/10)-1)+逐级计算!$Q$69*(BQ39-逐级计算!$P$69)*LN(10)/10),0)+LN(1+EXP(-ABS((LN(10^(逐级计算!$Q$69/10)-1)+逐级计算!$Q$69*(BQ39-逐级计算!$P$69)*LN(10)/10))))))),"")</f>
        <v>13.7930365610227</v>
      </c>
      <c r="BS39">
        <f>IF(AND(ISNUMBER(BR39),逐级计算!$X$70&gt;-1),IF(逐级计算!$X$70=0,BR39+逐级计算!$C$70,BR39+逐级计算!$C$70-(10/(逐级计算!$Q$70*LN(10))*(MAX((LN(10^(逐级计算!$Q$70/10)-1)+逐级计算!$Q$70*(BR39-逐级计算!$P$70)*LN(10)/10),0)+LN(1+EXP(-ABS((LN(10^(逐级计算!$Q$70/10)-1)+逐级计算!$Q$70*(BR39-逐级计算!$P$70)*LN(10)/10))))))),"")</f>
        <v>13.7930365610227</v>
      </c>
      <c r="BT39">
        <f>IF(AND(ISNUMBER(BS39),逐级计算!$X$71&gt;-1),IF(逐级计算!$X$71=0,BS39+逐级计算!$C$71,BS39+逐级计算!$C$71-(10/(逐级计算!$Q$71*LN(10))*(MAX((LN(10^(逐级计算!$Q$71/10)-1)+逐级计算!$Q$71*(BS39-逐级计算!$P$71)*LN(10)/10),0)+LN(1+EXP(-ABS((LN(10^(逐级计算!$Q$71/10)-1)+逐级计算!$Q$71*(BS39-逐级计算!$P$71)*LN(10)/10))))))),"")</f>
        <v>13.7930365610227</v>
      </c>
      <c r="BU39">
        <f>IF(AND(ISNUMBER(BT39),逐级计算!$X$72&gt;-1),IF(逐级计算!$X$72=0,BT39+逐级计算!$C$72,BT39+逐级计算!$C$72-(10/(逐级计算!$Q$72*LN(10))*(MAX((LN(10^(逐级计算!$Q$72/10)-1)+逐级计算!$Q$72*(BT39-逐级计算!$P$72)*LN(10)/10),0)+LN(1+EXP(-ABS((LN(10^(逐级计算!$Q$72/10)-1)+逐级计算!$Q$72*(BT39-逐级计算!$P$72)*LN(10)/10))))))),"")</f>
        <v>13.7930365610227</v>
      </c>
      <c r="BV39">
        <f>IF(AND(ISNUMBER(BU39),逐级计算!$X$73&gt;-1),IF(逐级计算!$X$73=0,BU39+逐级计算!$C$73,BU39+逐级计算!$C$73-(10/(逐级计算!$Q$73*LN(10))*(MAX((LN(10^(逐级计算!$Q$73/10)-1)+逐级计算!$Q$73*(BU39-逐级计算!$P$73)*LN(10)/10),0)+LN(1+EXP(-ABS((LN(10^(逐级计算!$Q$73/10)-1)+逐级计算!$Q$73*(BU39-逐级计算!$P$73)*LN(10)/10))))))),"")</f>
        <v>13.7930365610227</v>
      </c>
      <c r="BW39">
        <f>IF(AND(ISNUMBER(BV39),逐级计算!$X$74&gt;-1),IF(逐级计算!$X$74=0,BV39+逐级计算!$C$74,BV39+逐级计算!$C$74-(10/(逐级计算!$Q$74*LN(10))*(MAX((LN(10^(逐级计算!$Q$74/10)-1)+逐级计算!$Q$74*(BV39-逐级计算!$P$74)*LN(10)/10),0)+LN(1+EXP(-ABS((LN(10^(逐级计算!$Q$74/10)-1)+逐级计算!$Q$74*(BV39-逐级计算!$P$74)*LN(10)/10))))))),"")</f>
        <v>13.7930365610227</v>
      </c>
      <c r="BX39">
        <f>IF(AND(ISNUMBER(BW39),逐级计算!$X$75&gt;-1),IF(逐级计算!$X$75=0,BW39+逐级计算!$C$75,BW39+逐级计算!$C$75-(10/(逐级计算!$Q$75*LN(10))*(MAX((LN(10^(逐级计算!$Q$75/10)-1)+逐级计算!$Q$75*(BW39-逐级计算!$P$75)*LN(10)/10),0)+LN(1+EXP(-ABS((LN(10^(逐级计算!$Q$75/10)-1)+逐级计算!$Q$75*(BW39-逐级计算!$P$75)*LN(10)/10))))))),"")</f>
        <v>13.7930365610227</v>
      </c>
      <c r="BY39">
        <f>IF(AND(ISNUMBER(BX39),逐级计算!$X$76&gt;-1),IF(逐级计算!$X$76=0,BX39+逐级计算!$C$76,BX39+逐级计算!$C$76-(10/(逐级计算!$Q$76*LN(10))*(MAX((LN(10^(逐级计算!$Q$76/10)-1)+逐级计算!$Q$76*(BX39-逐级计算!$P$76)*LN(10)/10),0)+LN(1+EXP(-ABS((LN(10^(逐级计算!$Q$76/10)-1)+逐级计算!$Q$76*(BX39-逐级计算!$P$76)*LN(10)/10))))))),"")</f>
        <v>13.7930365610227</v>
      </c>
      <c r="BZ39">
        <f>IF(AND(ISNUMBER(BY39),逐级计算!$X$77&gt;-1),IF(逐级计算!$X$77=0,BY39+逐级计算!$C$77,BY39+逐级计算!$C$77-(10/(逐级计算!$Q$77*LN(10))*(MAX((LN(10^(逐级计算!$Q$77/10)-1)+逐级计算!$Q$77*(BY39-逐级计算!$P$77)*LN(10)/10),0)+LN(1+EXP(-ABS((LN(10^(逐级计算!$Q$77/10)-1)+逐级计算!$Q$77*(BY39-逐级计算!$P$77)*LN(10)/10))))))),"")</f>
        <v>13.7930365610227</v>
      </c>
      <c r="CA39">
        <f>IF(AND(ISNUMBER(BZ39),逐级计算!$X$78&gt;-1),IF(逐级计算!$X$78=0,BZ39+逐级计算!$C$78,BZ39+逐级计算!$C$78-(10/(逐级计算!$Q$78*LN(10))*(MAX((LN(10^(逐级计算!$Q$78/10)-1)+逐级计算!$Q$78*(BZ39-逐级计算!$P$78)*LN(10)/10),0)+LN(1+EXP(-ABS((LN(10^(逐级计算!$Q$78/10)-1)+逐级计算!$Q$78*(BZ39-逐级计算!$P$78)*LN(10)/10))))))),"")</f>
        <v>13.7930365610227</v>
      </c>
      <c r="CB39">
        <f>IF(AND(ISNUMBER(CA39),逐级计算!$X$79&gt;-1),IF(逐级计算!$X$79=0,CA39+逐级计算!$C$79,CA39+逐级计算!$C$79-(10/(逐级计算!$Q$79*LN(10))*(MAX((LN(10^(逐级计算!$Q$79/10)-1)+逐级计算!$Q$79*(CA39-逐级计算!$P$79)*LN(10)/10),0)+LN(1+EXP(-ABS((LN(10^(逐级计算!$Q$79/10)-1)+逐级计算!$Q$79*(CA39-逐级计算!$P$79)*LN(10)/10))))))),"")</f>
        <v>13.7930365610227</v>
      </c>
      <c r="CC39">
        <f>IF(AND(ISNUMBER(CB39),逐级计算!$X$80&gt;-1),IF(逐级计算!$X$80=0,CB39+逐级计算!$C$80,CB39+逐级计算!$C$80-(10/(逐级计算!$Q$80*LN(10))*(MAX((LN(10^(逐级计算!$Q$80/10)-1)+逐级计算!$Q$80*(CB39-逐级计算!$P$80)*LN(10)/10),0)+LN(1+EXP(-ABS((LN(10^(逐级计算!$Q$80/10)-1)+逐级计算!$Q$80*(CB39-逐级计算!$P$80)*LN(10)/10))))))),"")</f>
        <v>13.7930365610227</v>
      </c>
      <c r="CD39">
        <f>IF(AND(ISNUMBER(CC39),逐级计算!$X$81&gt;-1),IF(逐级计算!$X$81=0,CC39+逐级计算!$C$81,CC39+逐级计算!$C$81-(10/(逐级计算!$Q$81*LN(10))*(MAX((LN(10^(逐级计算!$Q$81/10)-1)+逐级计算!$Q$81*(CC39-逐级计算!$P$81)*LN(10)/10),0)+LN(1+EXP(-ABS((LN(10^(逐级计算!$Q$81/10)-1)+逐级计算!$Q$81*(CC39-逐级计算!$P$81)*LN(10)/10))))))),"")</f>
        <v>13.7930365610227</v>
      </c>
      <c r="CE39">
        <f>IF(AND(ISNUMBER(CD39),逐级计算!$X$82&gt;-1),IF(逐级计算!$X$82=0,CD39+逐级计算!$C$82,CD39+逐级计算!$C$82-(10/(逐级计算!$Q$82*LN(10))*(MAX((LN(10^(逐级计算!$Q$82/10)-1)+逐级计算!$Q$82*(CD39-逐级计算!$P$82)*LN(10)/10),0)+LN(1+EXP(-ABS((LN(10^(逐级计算!$Q$82/10)-1)+逐级计算!$Q$82*(CD39-逐级计算!$P$82)*LN(10)/10))))))),"")</f>
        <v>13.7930365610227</v>
      </c>
      <c r="CF39">
        <f>IF(AND(ISNUMBER(CE39),逐级计算!$X$83&gt;-1),IF(逐级计算!$X$83=0,CE39+逐级计算!$C$83,CE39+逐级计算!$C$83-(10/(逐级计算!$Q$83*LN(10))*(MAX((LN(10^(逐级计算!$Q$83/10)-1)+逐级计算!$Q$83*(CE39-逐级计算!$P$83)*LN(10)/10),0)+LN(1+EXP(-ABS((LN(10^(逐级计算!$Q$83/10)-1)+逐级计算!$Q$83*(CE39-逐级计算!$P$83)*LN(10)/10))))))),"")</f>
        <v>13.7930365610227</v>
      </c>
      <c r="CG39">
        <f>IF(AND(ISNUMBER(CF39),逐级计算!$X$84&gt;-1),IF(逐级计算!$X$84=0,CF39+逐级计算!$C$84,CF39+逐级计算!$C$84-(10/(逐级计算!$Q$84*LN(10))*(MAX((LN(10^(逐级计算!$Q$84/10)-1)+逐级计算!$Q$84*(CF39-逐级计算!$P$84)*LN(10)/10),0)+LN(1+EXP(-ABS((LN(10^(逐级计算!$Q$84/10)-1)+逐级计算!$Q$84*(CF39-逐级计算!$P$84)*LN(10)/10))))))),"")</f>
        <v>13.7930365610227</v>
      </c>
      <c r="CH39">
        <f>IF(AND(ISNUMBER(CG39),逐级计算!$X$85&gt;-1),IF(逐级计算!$X$85=0,CG39+逐级计算!$C$85,CG39+逐级计算!$C$85-(10/(逐级计算!$Q$85*LN(10))*(MAX((LN(10^(逐级计算!$Q$85/10)-1)+逐级计算!$Q$85*(CG39-逐级计算!$P$85)*LN(10)/10),0)+LN(1+EXP(-ABS((LN(10^(逐级计算!$Q$85/10)-1)+逐级计算!$Q$85*(CG39-逐级计算!$P$85)*LN(10)/10))))))),"")</f>
        <v>13.7930365610227</v>
      </c>
      <c r="CI39">
        <f>IF(AND(ISNUMBER(CH39),逐级计算!$X$86&gt;-1),IF(逐级计算!$X$86=0,CH39+逐级计算!$C$86,CH39+逐级计算!$C$86-(10/(逐级计算!$Q$86*LN(10))*(MAX((LN(10^(逐级计算!$Q$86/10)-1)+逐级计算!$Q$86*(CH39-逐级计算!$P$86)*LN(10)/10),0)+LN(1+EXP(-ABS((LN(10^(逐级计算!$Q$86/10)-1)+逐级计算!$Q$86*(CH39-逐级计算!$P$86)*LN(10)/10))))))),"")</f>
        <v>13.7930365610227</v>
      </c>
      <c r="CJ39">
        <f>IF(AND(ISNUMBER(CI39),逐级计算!$X$87&gt;-1),IF(逐级计算!$X$87=0,CI39+逐级计算!$C$87,CI39+逐级计算!$C$87-(10/(逐级计算!$Q$87*LN(10))*(MAX((LN(10^(逐级计算!$Q$87/10)-1)+逐级计算!$Q$87*(CI39-逐级计算!$P$87)*LN(10)/10),0)+LN(1+EXP(-ABS((LN(10^(逐级计算!$Q$87/10)-1)+逐级计算!$Q$87*(CI39-逐级计算!$P$87)*LN(10)/10))))))),"")</f>
        <v>13.7930365610227</v>
      </c>
      <c r="CK39">
        <f>IF(AND(ISNUMBER(CJ39),逐级计算!$X$88&gt;-1),IF(逐级计算!$X$88=0,CJ39+逐级计算!$C$88,CJ39+逐级计算!$C$88-(10/(逐级计算!$Q$88*LN(10))*(MAX((LN(10^(逐级计算!$Q$88/10)-1)+逐级计算!$Q$88*(CJ39-逐级计算!$P$88)*LN(10)/10),0)+LN(1+EXP(-ABS((LN(10^(逐级计算!$Q$88/10)-1)+逐级计算!$Q$88*(CJ39-逐级计算!$P$88)*LN(10)/10))))))),"")</f>
        <v>13.7930365610227</v>
      </c>
      <c r="CL39">
        <f>IF(AND(ISNUMBER(CK39),逐级计算!$X$89&gt;-1),IF(逐级计算!$X$89=0,CK39+逐级计算!$C$89,CK39+逐级计算!$C$89-(10/(逐级计算!$Q$89*LN(10))*(MAX((LN(10^(逐级计算!$Q$89/10)-1)+逐级计算!$Q$89*(CK39-逐级计算!$P$89)*LN(10)/10),0)+LN(1+EXP(-ABS((LN(10^(逐级计算!$Q$89/10)-1)+逐级计算!$Q$89*(CK39-逐级计算!$P$89)*LN(10)/10))))))),"")</f>
        <v>13.7930365610227</v>
      </c>
      <c r="CM39">
        <f>IF(AND(ISNUMBER(CL39),逐级计算!$X$90&gt;-1),IF(逐级计算!$X$90=0,CL39+逐级计算!$C$90,CL39+逐级计算!$C$90-(10/(逐级计算!$Q$90*LN(10))*(MAX((LN(10^(逐级计算!$Q$90/10)-1)+逐级计算!$Q$90*(CL39-逐级计算!$P$90)*LN(10)/10),0)+LN(1+EXP(-ABS((LN(10^(逐级计算!$Q$90/10)-1)+逐级计算!$Q$90*(CL39-逐级计算!$P$90)*LN(10)/10))))))),"")</f>
        <v>13.7930365610227</v>
      </c>
      <c r="CN39">
        <f>IF(AND(ISNUMBER(CM39),逐级计算!$X$91&gt;-1),IF(逐级计算!$X$91=0,CM39+逐级计算!$C$91,CM39+逐级计算!$C$91-(10/(逐级计算!$Q$91*LN(10))*(MAX((LN(10^(逐级计算!$Q$91/10)-1)+逐级计算!$Q$91*(CM39-逐级计算!$P$91)*LN(10)/10),0)+LN(1+EXP(-ABS((LN(10^(逐级计算!$Q$91/10)-1)+逐级计算!$Q$91*(CM39-逐级计算!$P$91)*LN(10)/10))))))),"")</f>
        <v>13.7930365610227</v>
      </c>
      <c r="CO39">
        <f>IF(AND(ISNUMBER(CN39),逐级计算!$X$92&gt;-1),IF(逐级计算!$X$92=0,CN39+逐级计算!$C$92,CN39+逐级计算!$C$92-(10/(逐级计算!$Q$92*LN(10))*(MAX((LN(10^(逐级计算!$Q$92/10)-1)+逐级计算!$Q$92*(CN39-逐级计算!$P$92)*LN(10)/10),0)+LN(1+EXP(-ABS((LN(10^(逐级计算!$Q$92/10)-1)+逐级计算!$Q$92*(CN39-逐级计算!$P$92)*LN(10)/10))))))),"")</f>
        <v>13.7930365610227</v>
      </c>
      <c r="CP39">
        <f>IF(AND(ISNUMBER(CO39),逐级计算!$X$93&gt;-1),IF(逐级计算!$X$93=0,CO39+逐级计算!$C$93,CO39+逐级计算!$C$93-(10/(逐级计算!$Q$93*LN(10))*(MAX((LN(10^(逐级计算!$Q$93/10)-1)+逐级计算!$Q$93*(CO39-逐级计算!$P$93)*LN(10)/10),0)+LN(1+EXP(-ABS((LN(10^(逐级计算!$Q$93/10)-1)+逐级计算!$Q$93*(CO39-逐级计算!$P$93)*LN(10)/10))))))),"")</f>
        <v>13.7930365610227</v>
      </c>
      <c r="CQ39">
        <f>IF(AND(ISNUMBER(CP39),逐级计算!$X$94&gt;-1),IF(逐级计算!$X$94=0,CP39+逐级计算!$C$94,CP39+逐级计算!$C$94-(10/(逐级计算!$Q$94*LN(10))*(MAX((LN(10^(逐级计算!$Q$94/10)-1)+逐级计算!$Q$94*(CP39-逐级计算!$P$94)*LN(10)/10),0)+LN(1+EXP(-ABS((LN(10^(逐级计算!$Q$94/10)-1)+逐级计算!$Q$94*(CP39-逐级计算!$P$94)*LN(10)/10))))))),"")</f>
        <v>13.7930365610227</v>
      </c>
      <c r="CR39">
        <f>IF(AND(ISNUMBER(CQ39),逐级计算!$X$95&gt;-1),IF(逐级计算!$X$95=0,CQ39+逐级计算!$C$95,CQ39+逐级计算!$C$95-(10/(逐级计算!$Q$95*LN(10))*(MAX((LN(10^(逐级计算!$Q$95/10)-1)+逐级计算!$Q$95*(CQ39-逐级计算!$P$95)*LN(10)/10),0)+LN(1+EXP(-ABS((LN(10^(逐级计算!$Q$95/10)-1)+逐级计算!$Q$95*(CQ39-逐级计算!$P$95)*LN(10)/10))))))),"")</f>
        <v>13.7930365610227</v>
      </c>
      <c r="CS39">
        <f>IF(AND(ISNUMBER(CR39),逐级计算!$X$96&gt;-1),IF(逐级计算!$X$96=0,CR39+逐级计算!$C$96,CR39+逐级计算!$C$96-(10/(逐级计算!$Q$96*LN(10))*(MAX((LN(10^(逐级计算!$Q$96/10)-1)+逐级计算!$Q$96*(CR39-逐级计算!$P$96)*LN(10)/10),0)+LN(1+EXP(-ABS((LN(10^(逐级计算!$Q$96/10)-1)+逐级计算!$Q$96*(CR39-逐级计算!$P$96)*LN(10)/10))))))),"")</f>
        <v>13.7930365610227</v>
      </c>
      <c r="CT39">
        <f>IF(AND(ISNUMBER(CS39),逐级计算!$X$97&gt;-1),IF(逐级计算!$X$97=0,CS39+逐级计算!$C$97,CS39+逐级计算!$C$97-(10/(逐级计算!$Q$97*LN(10))*(MAX((LN(10^(逐级计算!$Q$97/10)-1)+逐级计算!$Q$97*(CS39-逐级计算!$P$97)*LN(10)/10),0)+LN(1+EXP(-ABS((LN(10^(逐级计算!$Q$97/10)-1)+逐级计算!$Q$97*(CS39-逐级计算!$P$97)*LN(10)/10))))))),"")</f>
        <v>13.7930365610227</v>
      </c>
      <c r="CU39">
        <f>IF(AND(ISNUMBER(CT39),逐级计算!$X$98&gt;-1),IF(逐级计算!$X$98=0,CT39+逐级计算!$C$98,CT39+逐级计算!$C$98-(10/(逐级计算!$Q$98*LN(10))*(MAX((LN(10^(逐级计算!$Q$98/10)-1)+逐级计算!$Q$98*(CT39-逐级计算!$P$98)*LN(10)/10),0)+LN(1+EXP(-ABS((LN(10^(逐级计算!$Q$98/10)-1)+逐级计算!$Q$98*(CT39-逐级计算!$P$98)*LN(10)/10))))))),"")</f>
        <v>13.7930365610227</v>
      </c>
      <c r="CV39">
        <f>IF(AND(ISNUMBER(CU39),逐级计算!$X$99&gt;-1),IF(逐级计算!$X$99=0,CU39+逐级计算!$C$99,CU39+逐级计算!$C$99-(10/(逐级计算!$Q$99*LN(10))*(MAX((LN(10^(逐级计算!$Q$99/10)-1)+逐级计算!$Q$99*(CU39-逐级计算!$P$99)*LN(10)/10),0)+LN(1+EXP(-ABS((LN(10^(逐级计算!$Q$99/10)-1)+逐级计算!$Q$99*(CU39-逐级计算!$P$99)*LN(10)/10))))))),"")</f>
        <v>13.7930365610227</v>
      </c>
      <c r="CW39">
        <f>IF(AND(ISNUMBER(CV39),逐级计算!$X$100&gt;-1),IF(逐级计算!$X$100=0,CV39+逐级计算!$C$100,CV39+逐级计算!$C$100-(10/(逐级计算!$Q$100*LN(10))*(MAX((LN(10^(逐级计算!$Q$100/10)-1)+逐级计算!$Q$100*(CV39-逐级计算!$P$100)*LN(10)/10),0)+LN(1+EXP(-ABS((LN(10^(逐级计算!$Q$100/10)-1)+逐级计算!$Q$100*(CV39-逐级计算!$P$100)*LN(10)/10))))))),"")</f>
        <v>13.7930365610227</v>
      </c>
      <c r="CX39">
        <f>IF(AND(ISNUMBER(CW39),逐级计算!$X$101&gt;-1),IF(逐级计算!$X$101=0,CW39+逐级计算!$C$101,CW39+逐级计算!$C$101-(10/(逐级计算!$Q$101*LN(10))*(MAX((LN(10^(逐级计算!$Q$101/10)-1)+逐级计算!$Q$101*(CW39-逐级计算!$P$101)*LN(10)/10),0)+LN(1+EXP(-ABS((LN(10^(逐级计算!$Q$101/10)-1)+逐级计算!$Q$101*(CW39-逐级计算!$P$101)*LN(10)/10))))))),"")</f>
        <v>13.7930365610227</v>
      </c>
      <c r="CY39">
        <f>IF(AND(ISNUMBER(CX39),逐级计算!$X$102&gt;-1),IF(逐级计算!$X$102=0,CX39+逐级计算!$C$102,CX39+逐级计算!$C$102-(10/(逐级计算!$Q$102*LN(10))*(MAX((LN(10^(逐级计算!$Q$102/10)-1)+逐级计算!$Q$102*(CX39-逐级计算!$P$102)*LN(10)/10),0)+LN(1+EXP(-ABS((LN(10^(逐级计算!$Q$102/10)-1)+逐级计算!$Q$102*(CX39-逐级计算!$P$102)*LN(10)/10))))))),"")</f>
        <v>13.7930365610227</v>
      </c>
      <c r="CZ39">
        <f>IF(AND(ISNUMBER(CY39),逐级计算!$X$103&gt;-1),IF(逐级计算!$X$103=0,CY39+逐级计算!$C$103,CY39+逐级计算!$C$103-(10/(逐级计算!$Q$103*LN(10))*(MAX((LN(10^(逐级计算!$Q$103/10)-1)+逐级计算!$Q$103*(CY39-逐级计算!$P$103)*LN(10)/10),0)+LN(1+EXP(-ABS((LN(10^(逐级计算!$Q$103/10)-1)+逐级计算!$Q$103*(CY39-逐级计算!$P$103)*LN(10)/10))))))),"")</f>
        <v>13.7930365610227</v>
      </c>
      <c r="DA39">
        <f>IF(AND(ISNUMBER(CZ39),逐级计算!$X$104&gt;-1),IF(逐级计算!$X$104=0,CZ39+逐级计算!$C$104,CZ39+逐级计算!$C$104-(10/(逐级计算!$Q$104*LN(10))*(MAX((LN(10^(逐级计算!$Q$104/10)-1)+逐级计算!$Q$104*(CZ39-逐级计算!$P$104)*LN(10)/10),0)+LN(1+EXP(-ABS((LN(10^(逐级计算!$Q$104/10)-1)+逐级计算!$Q$104*(CZ39-逐级计算!$P$104)*LN(10)/10))))))),"")</f>
        <v>13.7930365610227</v>
      </c>
      <c r="DB39">
        <f>IF(AND(ISNUMBER(DA39),逐级计算!$X$105&gt;-1),IF(逐级计算!$X$105=0,DA39+逐级计算!$C$105,DA39+逐级计算!$C$105-(10/(逐级计算!$Q$105*LN(10))*(MAX((LN(10^(逐级计算!$Q$105/10)-1)+逐级计算!$Q$105*(DA39-逐级计算!$P$105)*LN(10)/10),0)+LN(1+EXP(-ABS((LN(10^(逐级计算!$Q$105/10)-1)+逐级计算!$Q$105*(DA39-逐级计算!$P$105)*LN(10)/10))))))),"")</f>
        <v>13.7930365610227</v>
      </c>
      <c r="DC39">
        <f>IF(AND(ISNUMBER(DB39),逐级计算!$X$106&gt;-1),IF(逐级计算!$X$106=0,DB39+逐级计算!$C$106,DB39+逐级计算!$C$106-(10/(逐级计算!$Q$106*LN(10))*(MAX((LN(10^(逐级计算!$Q$106/10)-1)+逐级计算!$Q$106*(DB39-逐级计算!$P$106)*LN(10)/10),0)+LN(1+EXP(-ABS((LN(10^(逐级计算!$Q$106/10)-1)+逐级计算!$Q$106*(DB39-逐级计算!$P$106)*LN(10)/10))))))),"")</f>
        <v>13.7930365610227</v>
      </c>
      <c r="DD39">
        <f>IF(AND(ISNUMBER(DC39),逐级计算!$X$107&gt;-1),IF(逐级计算!$X$107=0,DC39+逐级计算!$C$107,DC39+逐级计算!$C$107-(10/(逐级计算!$Q$107*LN(10))*(MAX((LN(10^(逐级计算!$Q$107/10)-1)+逐级计算!$Q$107*(DC39-逐级计算!$P$107)*LN(10)/10),0)+LN(1+EXP(-ABS((LN(10^(逐级计算!$Q$107/10)-1)+逐级计算!$Q$107*(DC39-逐级计算!$P$107)*LN(10)/10))))))),"")</f>
        <v>13.7930365610227</v>
      </c>
      <c r="DE39">
        <f>IF(AND(ISNUMBER(DD39),逐级计算!$X$108&gt;-1),IF(逐级计算!$X$108=0,DD39+逐级计算!$C$108,DD39+逐级计算!$C$108-(10/(逐级计算!$Q$108*LN(10))*(MAX((LN(10^(逐级计算!$Q$108/10)-1)+逐级计算!$Q$108*(DD39-逐级计算!$P$108)*LN(10)/10),0)+LN(1+EXP(-ABS((LN(10^(逐级计算!$Q$108/10)-1)+逐级计算!$Q$108*(DD39-逐级计算!$P$108)*LN(10)/10))))))),"")</f>
        <v>13.7930365610227</v>
      </c>
      <c r="DF39">
        <f>IF(AND(ISNUMBER(DE39),逐级计算!$X$109&gt;-1),IF(逐级计算!$X$109=0,DE39+逐级计算!$C$109,DE39+逐级计算!$C$109-(10/(逐级计算!$Q$109*LN(10))*(MAX((LN(10^(逐级计算!$Q$109/10)-1)+逐级计算!$Q$109*(DE39-逐级计算!$P$109)*LN(10)/10),0)+LN(1+EXP(-ABS((LN(10^(逐级计算!$Q$109/10)-1)+逐级计算!$Q$109*(DE39-逐级计算!$P$109)*LN(10)/10))))))),"")</f>
        <v>13.7930365610227</v>
      </c>
      <c r="DG39">
        <f>IF(AND(ISNUMBER(DF39),逐级计算!$X$110&gt;-1),IF(逐级计算!$X$110=0,DF39+逐级计算!$C$110,DF39+逐级计算!$C$110-(10/(逐级计算!$Q$110*LN(10))*(MAX((LN(10^(逐级计算!$Q$110/10)-1)+逐级计算!$Q$110*(DF39-逐级计算!$P$110)*LN(10)/10),0)+LN(1+EXP(-ABS((LN(10^(逐级计算!$Q$110/10)-1)+逐级计算!$Q$110*(DF39-逐级计算!$P$110)*LN(10)/10))))))),"")</f>
        <v>13.7930365610227</v>
      </c>
      <c r="DH39">
        <f>IF(AND(ISNUMBER(DG39),逐级计算!$X$111&gt;-1),IF(逐级计算!$X$111=0,DG39+逐级计算!$C$111,DG39+逐级计算!$C$111-(10/(逐级计算!$Q$111*LN(10))*(MAX((LN(10^(逐级计算!$Q$111/10)-1)+逐级计算!$Q$111*(DG39-逐级计算!$P$111)*LN(10)/10),0)+LN(1+EXP(-ABS((LN(10^(逐级计算!$Q$111/10)-1)+逐级计算!$Q$111*(DG39-逐级计算!$P$111)*LN(10)/10))))))),"")</f>
        <v>13.7930365610227</v>
      </c>
      <c r="DI39">
        <f>IF(AND(ISNUMBER(DH39),逐级计算!$X$112&gt;-1),IF(逐级计算!$X$112=0,DH39+逐级计算!$C$112,DH39+逐级计算!$C$112-(10/(逐级计算!$Q$112*LN(10))*(MAX((LN(10^(逐级计算!$Q$112/10)-1)+逐级计算!$Q$112*(DH39-逐级计算!$P$112)*LN(10)/10),0)+LN(1+EXP(-ABS((LN(10^(逐级计算!$Q$112/10)-1)+逐级计算!$Q$112*(DH39-逐级计算!$P$112)*LN(10)/10))))))),"")</f>
        <v>13.7930365610227</v>
      </c>
      <c r="DJ39">
        <f>IF(AND(ISNUMBER(DI39),逐级计算!$X$113&gt;-1),IF(逐级计算!$X$113=0,DI39+逐级计算!$C$113,DI39+逐级计算!$C$113-(10/(逐级计算!$Q$113*LN(10))*(MAX((LN(10^(逐级计算!$Q$113/10)-1)+逐级计算!$Q$113*(DI39-逐级计算!$P$113)*LN(10)/10),0)+LN(1+EXP(-ABS((LN(10^(逐级计算!$Q$113/10)-1)+逐级计算!$Q$113*(DI39-逐级计算!$P$113)*LN(10)/10))))))),"")</f>
        <v>13.7930365610227</v>
      </c>
      <c r="DK39">
        <f>IF(AND(ISNUMBER(DJ39),逐级计算!$X$114&gt;-1),IF(逐级计算!$X$114=0,DJ39+逐级计算!$C$114,DJ39+逐级计算!$C$114-(10/(逐级计算!$Q$114*LN(10))*(MAX((LN(10^(逐级计算!$Q$114/10)-1)+逐级计算!$Q$114*(DJ39-逐级计算!$P$114)*LN(10)/10),0)+LN(1+EXP(-ABS((LN(10^(逐级计算!$Q$114/10)-1)+逐级计算!$Q$114*(DJ39-逐级计算!$P$114)*LN(10)/10))))))),"")</f>
        <v>13.7930365610227</v>
      </c>
      <c r="DL39">
        <f>IF(AND(ISNUMBER(DK39),逐级计算!$X$115&gt;-1),IF(逐级计算!$X$115=0,DK39+逐级计算!$C$115,DK39+逐级计算!$C$115-(10/(逐级计算!$Q$115*LN(10))*(MAX((LN(10^(逐级计算!$Q$115/10)-1)+逐级计算!$Q$115*(DK39-逐级计算!$P$115)*LN(10)/10),0)+LN(1+EXP(-ABS((LN(10^(逐级计算!$Q$115/10)-1)+逐级计算!$Q$115*(DK39-逐级计算!$P$115)*LN(10)/10))))))),"")</f>
        <v>13.7930365610227</v>
      </c>
      <c r="DM39">
        <f>IF(AND(ISNUMBER(DL39),逐级计算!$X$116&gt;-1),IF(逐级计算!$X$116=0,DL39+逐级计算!$C$116,DL39+逐级计算!$C$116-(10/(逐级计算!$Q$116*LN(10))*(MAX((LN(10^(逐级计算!$Q$116/10)-1)+逐级计算!$Q$116*(DL39-逐级计算!$P$116)*LN(10)/10),0)+LN(1+EXP(-ABS((LN(10^(逐级计算!$Q$116/10)-1)+逐级计算!$Q$116*(DL39-逐级计算!$P$116)*LN(10)/10))))))),"")</f>
        <v>13.7930365610227</v>
      </c>
      <c r="DN39">
        <f>IF(AND(ISNUMBER(DM39),逐级计算!$X$117&gt;-1),IF(逐级计算!$X$117=0,DM39+逐级计算!$C$117,DM39+逐级计算!$C$117-(10/(逐级计算!$Q$117*LN(10))*(MAX((LN(10^(逐级计算!$Q$117/10)-1)+逐级计算!$Q$117*(DM39-逐级计算!$P$117)*LN(10)/10),0)+LN(1+EXP(-ABS((LN(10^(逐级计算!$Q$117/10)-1)+逐级计算!$Q$117*(DM39-逐级计算!$P$117)*LN(10)/10))))))),"")</f>
        <v>13.7930365610227</v>
      </c>
      <c r="DO39">
        <f>IF(AND(ISNUMBER(DN39),逐级计算!$X$118&gt;-1),IF(逐级计算!$X$118=0,DN39+逐级计算!$C$118,DN39+逐级计算!$C$118-(10/(逐级计算!$Q$118*LN(10))*(MAX((LN(10^(逐级计算!$Q$118/10)-1)+逐级计算!$Q$118*(DN39-逐级计算!$P$118)*LN(10)/10),0)+LN(1+EXP(-ABS((LN(10^(逐级计算!$Q$118/10)-1)+逐级计算!$Q$118*(DN39-逐级计算!$P$118)*LN(10)/10))))))),"")</f>
        <v>13.7930365610227</v>
      </c>
      <c r="DP39">
        <f>IF(AND(ISNUMBER(DO39),逐级计算!$X$119&gt;-1),IF(逐级计算!$X$119=0,DO39+逐级计算!$C$119,DO39+逐级计算!$C$119-(10/(逐级计算!$Q$119*LN(10))*(MAX((LN(10^(逐级计算!$Q$119/10)-1)+逐级计算!$Q$119*(DO39-逐级计算!$P$119)*LN(10)/10),0)+LN(1+EXP(-ABS((LN(10^(逐级计算!$Q$119/10)-1)+逐级计算!$Q$119*(DO39-逐级计算!$P$119)*LN(10)/10))))))),"")</f>
        <v>13.7930365610227</v>
      </c>
      <c r="DQ39">
        <f>IF(AND(ISNUMBER(DP39),逐级计算!$X$120&gt;-1),IF(逐级计算!$X$120=0,DP39+逐级计算!$C$120,DP39+逐级计算!$C$120-(10/(逐级计算!$Q$120*LN(10))*(MAX((LN(10^(逐级计算!$Q$120/10)-1)+逐级计算!$Q$120*(DP39-逐级计算!$P$120)*LN(10)/10),0)+LN(1+EXP(-ABS((LN(10^(逐级计算!$Q$120/10)-1)+逐级计算!$Q$120*(DP39-逐级计算!$P$120)*LN(10)/10))))))),"")</f>
        <v>13.7930365610227</v>
      </c>
      <c r="DR39">
        <f>IF(AND(ISNUMBER(DQ39),逐级计算!$X$121&gt;-1),IF(逐级计算!$X$121=0,DQ39+逐级计算!$C$121,DQ39+逐级计算!$C$121-(10/(逐级计算!$Q$121*LN(10))*(MAX((LN(10^(逐级计算!$Q$121/10)-1)+逐级计算!$Q$121*(DQ39-逐级计算!$P$121)*LN(10)/10),0)+LN(1+EXP(-ABS((LN(10^(逐级计算!$Q$121/10)-1)+逐级计算!$Q$121*(DQ39-逐级计算!$P$121)*LN(10)/10))))))),"")</f>
        <v>13.7930365610227</v>
      </c>
      <c r="DS39">
        <f>IF(AND(ISNUMBER(DR39),逐级计算!$X$122&gt;-1),IF(逐级计算!$X$122=0,DR39+逐级计算!$C$122,DR39+逐级计算!$C$122-(10/(逐级计算!$Q$122*LN(10))*(MAX((LN(10^(逐级计算!$Q$122/10)-1)+逐级计算!$Q$122*(DR39-逐级计算!$P$122)*LN(10)/10),0)+LN(1+EXP(-ABS((LN(10^(逐级计算!$Q$122/10)-1)+逐级计算!$Q$122*(DR39-逐级计算!$P$122)*LN(10)/10))))))),"")</f>
        <v>13.7930365610227</v>
      </c>
      <c r="DT39">
        <f>IF(AND(ISNUMBER(DS39),逐级计算!$X$123&gt;-1),IF(逐级计算!$X$123=0,DS39+逐级计算!$C$123,DS39+逐级计算!$C$123-(10/(逐级计算!$Q$123*LN(10))*(MAX((LN(10^(逐级计算!$Q$123/10)-1)+逐级计算!$Q$123*(DS39-逐级计算!$P$123)*LN(10)/10),0)+LN(1+EXP(-ABS((LN(10^(逐级计算!$Q$123/10)-1)+逐级计算!$Q$123*(DS39-逐级计算!$P$123)*LN(10)/10))))))),"")</f>
        <v>13.7930365610227</v>
      </c>
      <c r="DU39">
        <f>IF(AND(ISNUMBER(DT39),逐级计算!$X$124&gt;-1),IF(逐级计算!$X$124=0,DT39+逐级计算!$C$124,DT39+逐级计算!$C$124-(10/(逐级计算!$Q$124*LN(10))*(MAX((LN(10^(逐级计算!$Q$124/10)-1)+逐级计算!$Q$124*(DT39-逐级计算!$P$124)*LN(10)/10),0)+LN(1+EXP(-ABS((LN(10^(逐级计算!$Q$124/10)-1)+逐级计算!$Q$124*(DT39-逐级计算!$P$124)*LN(10)/10))))))),"")</f>
        <v>13.7930365610227</v>
      </c>
      <c r="DV39">
        <f>IF(AND(ISNUMBER(DU39),逐级计算!$X$125&gt;-1),IF(逐级计算!$X$125=0,DU39+逐级计算!$C$125,DU39+逐级计算!$C$125-(10/(逐级计算!$Q$125*LN(10))*(MAX((LN(10^(逐级计算!$Q$125/10)-1)+逐级计算!$Q$125*(DU39-逐级计算!$P$125)*LN(10)/10),0)+LN(1+EXP(-ABS((LN(10^(逐级计算!$Q$125/10)-1)+逐级计算!$Q$125*(DU39-逐级计算!$P$125)*LN(10)/10))))))),"")</f>
        <v>13.7930365610227</v>
      </c>
      <c r="DW39">
        <f>IF(AND(ISNUMBER(DV39),逐级计算!$X$126&gt;-1),IF(逐级计算!$X$126=0,DV39+逐级计算!$C$126,DV39+逐级计算!$C$126-(10/(逐级计算!$Q$126*LN(10))*(MAX((LN(10^(逐级计算!$Q$126/10)-1)+逐级计算!$Q$126*(DV39-逐级计算!$P$126)*LN(10)/10),0)+LN(1+EXP(-ABS((LN(10^(逐级计算!$Q$126/10)-1)+逐级计算!$Q$126*(DV39-逐级计算!$P$126)*LN(10)/10))))))),"")</f>
        <v>13.7930365610227</v>
      </c>
      <c r="DX39">
        <f>IF(AND(ISNUMBER(DW39),逐级计算!$X$127&gt;-1),IF(逐级计算!$X$127=0,DW39+逐级计算!$C$127,DW39+逐级计算!$C$127-(10/(逐级计算!$Q$127*LN(10))*(MAX((LN(10^(逐级计算!$Q$127/10)-1)+逐级计算!$Q$127*(DW39-逐级计算!$P$127)*LN(10)/10),0)+LN(1+EXP(-ABS((LN(10^(逐级计算!$Q$127/10)-1)+逐级计算!$Q$127*(DW39-逐级计算!$P$127)*LN(10)/10))))))),"")</f>
        <v>13.7930365610227</v>
      </c>
      <c r="DY39">
        <f>IF(AND(ISNUMBER(DX39),逐级计算!$X$128&gt;-1),IF(逐级计算!$X$128=0,DX39+逐级计算!$C$128,DX39+逐级计算!$C$128-(10/(逐级计算!$Q$128*LN(10))*(MAX((LN(10^(逐级计算!$Q$128/10)-1)+逐级计算!$Q$128*(DX39-逐级计算!$P$128)*LN(10)/10),0)+LN(1+EXP(-ABS((LN(10^(逐级计算!$Q$128/10)-1)+逐级计算!$Q$128*(DX39-逐级计算!$P$128)*LN(10)/10))))))),"")</f>
        <v>13.7930365610227</v>
      </c>
      <c r="DZ39">
        <f>IF(AND(ISNUMBER(DY39),逐级计算!$X$129&gt;-1),IF(逐级计算!$X$129=0,DY39+逐级计算!$C$129,DY39+逐级计算!$C$129-(10/(逐级计算!$Q$129*LN(10))*(MAX((LN(10^(逐级计算!$Q$129/10)-1)+逐级计算!$Q$129*(DY39-逐级计算!$P$129)*LN(10)/10),0)+LN(1+EXP(-ABS((LN(10^(逐级计算!$Q$129/10)-1)+逐级计算!$Q$129*(DY39-逐级计算!$P$129)*LN(10)/10))))))),"")</f>
        <v>13.7930365610227</v>
      </c>
      <c r="EA39">
        <f>IF(AND(ISNUMBER(DZ39),逐级计算!$X$130&gt;-1),IF(逐级计算!$X$130=0,DZ39+逐级计算!$C$130,DZ39+逐级计算!$C$130-(10/(逐级计算!$Q$130*LN(10))*(MAX((LN(10^(逐级计算!$Q$130/10)-1)+逐级计算!$Q$130*(DZ39-逐级计算!$P$130)*LN(10)/10),0)+LN(1+EXP(-ABS((LN(10^(逐级计算!$Q$130/10)-1)+逐级计算!$Q$130*(DZ39-逐级计算!$P$130)*LN(10)/10))))))),"")</f>
        <v>13.7930365610227</v>
      </c>
      <c r="EB39">
        <f>IF(AND(ISNUMBER(EA39),逐级计算!$X$131&gt;-1),IF(逐级计算!$X$131=0,EA39+逐级计算!$C$131,EA39+逐级计算!$C$131-(10/(逐级计算!$Q$131*LN(10))*(MAX((LN(10^(逐级计算!$Q$131/10)-1)+逐级计算!$Q$131*(EA39-逐级计算!$P$131)*LN(10)/10),0)+LN(1+EXP(-ABS((LN(10^(逐级计算!$Q$131/10)-1)+逐级计算!$Q$131*(EA39-逐级计算!$P$131)*LN(10)/10))))))),"")</f>
        <v>13.7930365610227</v>
      </c>
      <c r="EC39">
        <f>IF(AND(ISNUMBER(EB39),逐级计算!$X$132&gt;-1),IF(逐级计算!$X$132=0,EB39+逐级计算!$C$132,EB39+逐级计算!$C$132-(10/(逐级计算!$Q$132*LN(10))*(MAX((LN(10^(逐级计算!$Q$132/10)-1)+逐级计算!$Q$132*(EB39-逐级计算!$P$132)*LN(10)/10),0)+LN(1+EXP(-ABS((LN(10^(逐级计算!$Q$132/10)-1)+逐级计算!$Q$132*(EB39-逐级计算!$P$132)*LN(10)/10))))))),"")</f>
        <v>13.7930365610227</v>
      </c>
      <c r="ED39">
        <f>IF(AND(ISNUMBER(EC39),逐级计算!$X$133&gt;-1),IF(逐级计算!$X$133=0,EC39+逐级计算!$C$133,EC39+逐级计算!$C$133-(10/(逐级计算!$Q$133*LN(10))*(MAX((LN(10^(逐级计算!$Q$133/10)-1)+逐级计算!$Q$133*(EC39-逐级计算!$P$133)*LN(10)/10),0)+LN(1+EXP(-ABS((LN(10^(逐级计算!$Q$133/10)-1)+逐级计算!$Q$133*(EC39-逐级计算!$P$133)*LN(10)/10))))))),"")</f>
        <v>13.7930365610227</v>
      </c>
      <c r="EE39">
        <f>IF(AND(ISNUMBER(ED39),逐级计算!$X$134&gt;-1),IF(逐级计算!$X$134=0,ED39+逐级计算!$C$134,ED39+逐级计算!$C$134-(10/(逐级计算!$Q$134*LN(10))*(MAX((LN(10^(逐级计算!$Q$134/10)-1)+逐级计算!$Q$134*(ED39-逐级计算!$P$134)*LN(10)/10),0)+LN(1+EXP(-ABS((LN(10^(逐级计算!$Q$134/10)-1)+逐级计算!$Q$134*(ED39-逐级计算!$P$134)*LN(10)/10))))))),"")</f>
        <v>13.7930365610227</v>
      </c>
      <c r="EF39">
        <f>IF(AND(ISNUMBER(EE39),逐级计算!$X$135&gt;-1),IF(逐级计算!$X$135=0,EE39+逐级计算!$C$135,EE39+逐级计算!$C$135-(10/(逐级计算!$Q$135*LN(10))*(MAX((LN(10^(逐级计算!$Q$135/10)-1)+逐级计算!$Q$135*(EE39-逐级计算!$P$135)*LN(10)/10),0)+LN(1+EXP(-ABS((LN(10^(逐级计算!$Q$135/10)-1)+逐级计算!$Q$135*(EE39-逐级计算!$P$135)*LN(10)/10))))))),"")</f>
        <v>13.7930365610227</v>
      </c>
      <c r="EG39">
        <f>IF(AND(ISNUMBER(EF39),逐级计算!$X$136&gt;-1),IF(逐级计算!$X$136=0,EF39+逐级计算!$C$136,EF39+逐级计算!$C$136-(10/(逐级计算!$Q$136*LN(10))*(MAX((LN(10^(逐级计算!$Q$136/10)-1)+逐级计算!$Q$136*(EF39-逐级计算!$P$136)*LN(10)/10),0)+LN(1+EXP(-ABS((LN(10^(逐级计算!$Q$136/10)-1)+逐级计算!$Q$136*(EF39-逐级计算!$P$136)*LN(10)/10))))))),"")</f>
        <v>13.7930365610227</v>
      </c>
      <c r="EH39">
        <f>IF(AND(ISNUMBER(EG39),逐级计算!$X$137&gt;-1),IF(逐级计算!$X$137=0,EG39+逐级计算!$C$137,EG39+逐级计算!$C$137-(10/(逐级计算!$Q$137*LN(10))*(MAX((LN(10^(逐级计算!$Q$137/10)-1)+逐级计算!$Q$137*(EG39-逐级计算!$P$137)*LN(10)/10),0)+LN(1+EXP(-ABS((LN(10^(逐级计算!$Q$137/10)-1)+逐级计算!$Q$137*(EG39-逐级计算!$P$137)*LN(10)/10))))))),"")</f>
        <v>13.7930365610227</v>
      </c>
      <c r="EI39">
        <f>IF(AND(ISNUMBER(EH39),逐级计算!$X$138&gt;-1),IF(逐级计算!$X$138=0,EH39+逐级计算!$C$138,EH39+逐级计算!$C$138-(10/(逐级计算!$Q$138*LN(10))*(MAX((LN(10^(逐级计算!$Q$138/10)-1)+逐级计算!$Q$138*(EH39-逐级计算!$P$138)*LN(10)/10),0)+LN(1+EXP(-ABS((LN(10^(逐级计算!$Q$138/10)-1)+逐级计算!$Q$138*(EH39-逐级计算!$P$138)*LN(10)/10))))))),"")</f>
        <v>13.7930365610227</v>
      </c>
      <c r="EJ39">
        <f>IF(AND(ISNUMBER(EI39),逐级计算!$X$139&gt;-1),IF(逐级计算!$X$139=0,EI39+逐级计算!$C$139,EI39+逐级计算!$C$139-(10/(逐级计算!$Q$139*LN(10))*(MAX((LN(10^(逐级计算!$Q$139/10)-1)+逐级计算!$Q$139*(EI39-逐级计算!$P$139)*LN(10)/10),0)+LN(1+EXP(-ABS((LN(10^(逐级计算!$Q$139/10)-1)+逐级计算!$Q$139*(EI39-逐级计算!$P$139)*LN(10)/10))))))),"")</f>
        <v>13.7930365610227</v>
      </c>
      <c r="EK39">
        <f>IF(AND(ISNUMBER(EJ39),逐级计算!$X$140&gt;-1),IF(逐级计算!$X$140=0,EJ39+逐级计算!$C$140,EJ39+逐级计算!$C$140-(10/(逐级计算!$Q$140*LN(10))*(MAX((LN(10^(逐级计算!$Q$140/10)-1)+逐级计算!$Q$140*(EJ39-逐级计算!$P$140)*LN(10)/10),0)+LN(1+EXP(-ABS((LN(10^(逐级计算!$Q$140/10)-1)+逐级计算!$Q$140*(EJ39-逐级计算!$P$140)*LN(10)/10))))))),"")</f>
        <v>13.7930365610227</v>
      </c>
      <c r="EL39">
        <f>IF(AND(ISNUMBER(EK39),逐级计算!$X$141&gt;-1),IF(逐级计算!$X$141=0,EK39+逐级计算!$C$141,EK39+逐级计算!$C$141-(10/(逐级计算!$Q$141*LN(10))*(MAX((LN(10^(逐级计算!$Q$141/10)-1)+逐级计算!$Q$141*(EK39-逐级计算!$P$141)*LN(10)/10),0)+LN(1+EXP(-ABS((LN(10^(逐级计算!$Q$141/10)-1)+逐级计算!$Q$141*(EK39-逐级计算!$P$141)*LN(10)/10))))))),"")</f>
        <v>13.7930365610227</v>
      </c>
      <c r="EM39">
        <f>IF(AND(ISNUMBER(EL39),逐级计算!$X$142&gt;-1),IF(逐级计算!$X$142=0,EL39+逐级计算!$C$142,EL39+逐级计算!$C$142-(10/(逐级计算!$Q$142*LN(10))*(MAX((LN(10^(逐级计算!$Q$142/10)-1)+逐级计算!$Q$142*(EL39-逐级计算!$P$142)*LN(10)/10),0)+LN(1+EXP(-ABS((LN(10^(逐级计算!$Q$142/10)-1)+逐级计算!$Q$142*(EL39-逐级计算!$P$142)*LN(10)/10))))))),"")</f>
        <v>13.7930365610227</v>
      </c>
      <c r="EN39">
        <f>IF(AND(ISNUMBER(EM39),逐级计算!$X$143&gt;-1),IF(逐级计算!$X$143=0,EM39+逐级计算!$C$143,EM39+逐级计算!$C$143-(10/(逐级计算!$Q$143*LN(10))*(MAX((LN(10^(逐级计算!$Q$143/10)-1)+逐级计算!$Q$143*(EM39-逐级计算!$P$143)*LN(10)/10),0)+LN(1+EXP(-ABS((LN(10^(逐级计算!$Q$143/10)-1)+逐级计算!$Q$143*(EM39-逐级计算!$P$143)*LN(10)/10))))))),"")</f>
        <v>13.7930365610227</v>
      </c>
      <c r="EO39">
        <f>IF(AND(ISNUMBER(EN39),逐级计算!$X$144&gt;-1),IF(逐级计算!$X$144=0,EN39+逐级计算!$C$144,EN39+逐级计算!$C$144-(10/(逐级计算!$Q$144*LN(10))*(MAX((LN(10^(逐级计算!$Q$144/10)-1)+逐级计算!$Q$144*(EN39-逐级计算!$P$144)*LN(10)/10),0)+LN(1+EXP(-ABS((LN(10^(逐级计算!$Q$144/10)-1)+逐级计算!$Q$144*(EN39-逐级计算!$P$144)*LN(10)/10))))))),"")</f>
        <v>13.7930365610227</v>
      </c>
      <c r="EP39">
        <f>IF(AND(ISNUMBER(EO39),逐级计算!$X$145&gt;-1),IF(逐级计算!$X$145=0,EO39+逐级计算!$C$145,EO39+逐级计算!$C$145-(10/(逐级计算!$Q$145*LN(10))*(MAX((LN(10^(逐级计算!$Q$145/10)-1)+逐级计算!$Q$145*(EO39-逐级计算!$P$145)*LN(10)/10),0)+LN(1+EXP(-ABS((LN(10^(逐级计算!$Q$145/10)-1)+逐级计算!$Q$145*(EO39-逐级计算!$P$145)*LN(10)/10))))))),"")</f>
        <v>13.7930365610227</v>
      </c>
      <c r="EQ39">
        <f>IF(AND(ISNUMBER(EP39),逐级计算!$X$146&gt;-1),IF(逐级计算!$X$146=0,EP39+逐级计算!$C$146,EP39+逐级计算!$C$146-(10/(逐级计算!$Q$146*LN(10))*(MAX((LN(10^(逐级计算!$Q$146/10)-1)+逐级计算!$Q$146*(EP39-逐级计算!$P$146)*LN(10)/10),0)+LN(1+EXP(-ABS((LN(10^(逐级计算!$Q$146/10)-1)+逐级计算!$Q$146*(EP39-逐级计算!$P$146)*LN(10)/10))))))),"")</f>
        <v>13.7930365610227</v>
      </c>
      <c r="ER39">
        <f>IF(AND(ISNUMBER(EQ39),逐级计算!$X$147&gt;-1),IF(逐级计算!$X$147=0,EQ39+逐级计算!$C$147,EQ39+逐级计算!$C$147-(10/(逐级计算!$Q$147*LN(10))*(MAX((LN(10^(逐级计算!$Q$147/10)-1)+逐级计算!$Q$147*(EQ39-逐级计算!$P$147)*LN(10)/10),0)+LN(1+EXP(-ABS((LN(10^(逐级计算!$Q$147/10)-1)+逐级计算!$Q$147*(EQ39-逐级计算!$P$147)*LN(10)/10))))))),"")</f>
        <v>13.7930365610227</v>
      </c>
      <c r="ES39">
        <f>IF(AND(ISNUMBER(ER39),逐级计算!$X$148&gt;-1),IF(逐级计算!$X$148=0,ER39+逐级计算!$C$148,ER39+逐级计算!$C$148-(10/(逐级计算!$Q$148*LN(10))*(MAX((LN(10^(逐级计算!$Q$148/10)-1)+逐级计算!$Q$148*(ER39-逐级计算!$P$148)*LN(10)/10),0)+LN(1+EXP(-ABS((LN(10^(逐级计算!$Q$148/10)-1)+逐级计算!$Q$148*(ER39-逐级计算!$P$148)*LN(10)/10))))))),"")</f>
        <v>13.7930365610227</v>
      </c>
      <c r="ET39">
        <f>IF(AND(ISNUMBER(ES39),逐级计算!$X$149&gt;-1),IF(逐级计算!$X$149=0,ES39+逐级计算!$C$149,ES39+逐级计算!$C$149-(10/(逐级计算!$Q$149*LN(10))*(MAX((LN(10^(逐级计算!$Q$149/10)-1)+逐级计算!$Q$149*(ES39-逐级计算!$P$149)*LN(10)/10),0)+LN(1+EXP(-ABS((LN(10^(逐级计算!$Q$149/10)-1)+逐级计算!$Q$149*(ES39-逐级计算!$P$149)*LN(10)/10))))))),"")</f>
        <v>13.7930365610227</v>
      </c>
      <c r="EU39">
        <f>IF(AND(ISNUMBER(ET39),逐级计算!$X$150&gt;-1),IF(逐级计算!$X$150=0,ET39+逐级计算!$C$150,ET39+逐级计算!$C$150-(10/(逐级计算!$Q$150*LN(10))*(MAX((LN(10^(逐级计算!$Q$150/10)-1)+逐级计算!$Q$150*(ET39-逐级计算!$P$150)*LN(10)/10),0)+LN(1+EXP(-ABS((LN(10^(逐级计算!$Q$150/10)-1)+逐级计算!$Q$150*(ET39-逐级计算!$P$150)*LN(10)/10))))))),"")</f>
        <v>13.7930365610227</v>
      </c>
      <c r="EV39">
        <f>IF(AND(ISNUMBER(EU39),逐级计算!$X$151&gt;-1),IF(逐级计算!$X$151=0,EU39+逐级计算!$C$151,EU39+逐级计算!$C$151-(10/(逐级计算!$Q$151*LN(10))*(MAX((LN(10^(逐级计算!$Q$151/10)-1)+逐级计算!$Q$151*(EU39-逐级计算!$P$151)*LN(10)/10),0)+LN(1+EXP(-ABS((LN(10^(逐级计算!$Q$151/10)-1)+逐级计算!$Q$151*(EU39-逐级计算!$P$151)*LN(10)/10))))))),"")</f>
        <v>13.7930365610227</v>
      </c>
      <c r="EW39">
        <f>IF(AND(ISNUMBER(EV39),逐级计算!$X$152&gt;-1),IF(逐级计算!$X$152=0,EV39+逐级计算!$C$152,EV39+逐级计算!$C$152-(10/(逐级计算!$Q$152*LN(10))*(MAX((LN(10^(逐级计算!$Q$152/10)-1)+逐级计算!$Q$152*(EV39-逐级计算!$P$152)*LN(10)/10),0)+LN(1+EXP(-ABS((LN(10^(逐级计算!$Q$152/10)-1)+逐级计算!$Q$152*(EV39-逐级计算!$P$152)*LN(10)/10))))))),"")</f>
        <v>13.7930365610227</v>
      </c>
      <c r="EX39">
        <f>IF(AND(ISNUMBER(EW39),逐级计算!$X$153&gt;-1),IF(逐级计算!$X$153=0,EW39+逐级计算!$C$153,EW39+逐级计算!$C$153-(10/(逐级计算!$Q$153*LN(10))*(MAX((LN(10^(逐级计算!$Q$153/10)-1)+逐级计算!$Q$153*(EW39-逐级计算!$P$153)*LN(10)/10),0)+LN(1+EXP(-ABS((LN(10^(逐级计算!$Q$153/10)-1)+逐级计算!$Q$153*(EW39-逐级计算!$P$153)*LN(10)/10))))))),"")</f>
        <v>13.7930365610227</v>
      </c>
      <c r="EY39">
        <f>IF(AND(ISNUMBER(EX39),逐级计算!$X$154&gt;-1),IF(逐级计算!$X$154=0,EX39+逐级计算!$C$154,EX39+逐级计算!$C$154-(10/(逐级计算!$Q$154*LN(10))*(MAX((LN(10^(逐级计算!$Q$154/10)-1)+逐级计算!$Q$154*(EX39-逐级计算!$P$154)*LN(10)/10),0)+LN(1+EXP(-ABS((LN(10^(逐级计算!$Q$154/10)-1)+逐级计算!$Q$154*(EX39-逐级计算!$P$154)*LN(10)/10))))))),"")</f>
        <v>13.7930365610227</v>
      </c>
      <c r="EZ39">
        <f>IF(AND(ISNUMBER(EY39),逐级计算!$X$155&gt;-1),IF(逐级计算!$X$155=0,EY39+逐级计算!$C$155,EY39+逐级计算!$C$155-(10/(逐级计算!$Q$155*LN(10))*(MAX((LN(10^(逐级计算!$Q$155/10)-1)+逐级计算!$Q$155*(EY39-逐级计算!$P$155)*LN(10)/10),0)+LN(1+EXP(-ABS((LN(10^(逐级计算!$Q$155/10)-1)+逐级计算!$Q$155*(EY39-逐级计算!$P$155)*LN(10)/10))))))),"")</f>
        <v>13.7930365610227</v>
      </c>
      <c r="FA39">
        <f>IF(AND(ISNUMBER(EZ39),逐级计算!$X$156&gt;-1),IF(逐级计算!$X$156=0,EZ39+逐级计算!$C$156,EZ39+逐级计算!$C$156-(10/(逐级计算!$Q$156*LN(10))*(MAX((LN(10^(逐级计算!$Q$156/10)-1)+逐级计算!$Q$156*(EZ39-逐级计算!$P$156)*LN(10)/10),0)+LN(1+EXP(-ABS((LN(10^(逐级计算!$Q$156/10)-1)+逐级计算!$Q$156*(EZ39-逐级计算!$P$156)*LN(10)/10))))))),"")</f>
        <v>13.7930365610227</v>
      </c>
      <c r="FB39">
        <f>IF(AND(ISNUMBER(FA39),逐级计算!$X$157&gt;-1),IF(逐级计算!$X$157=0,FA39+逐级计算!$C$157,FA39+逐级计算!$C$157-(10/(逐级计算!$Q$157*LN(10))*(MAX((LN(10^(逐级计算!$Q$157/10)-1)+逐级计算!$Q$157*(FA39-逐级计算!$P$157)*LN(10)/10),0)+LN(1+EXP(-ABS((LN(10^(逐级计算!$Q$157/10)-1)+逐级计算!$Q$157*(FA39-逐级计算!$P$157)*LN(10)/10))))))),"")</f>
        <v>13.7930365610227</v>
      </c>
      <c r="FC39">
        <f>IF(AND(ISNUMBER(FB39),逐级计算!$X$158&gt;-1),IF(逐级计算!$X$158=0,FB39+逐级计算!$C$158,FB39+逐级计算!$C$158-(10/(逐级计算!$Q$158*LN(10))*(MAX((LN(10^(逐级计算!$Q$158/10)-1)+逐级计算!$Q$158*(FB39-逐级计算!$P$158)*LN(10)/10),0)+LN(1+EXP(-ABS((LN(10^(逐级计算!$Q$158/10)-1)+逐级计算!$Q$158*(FB39-逐级计算!$P$158)*LN(10)/10))))))),"")</f>
        <v>13.7930365610227</v>
      </c>
      <c r="FD39">
        <f>IF(AND(ISNUMBER(FC39),逐级计算!$X$159&gt;-1),IF(逐级计算!$X$159=0,FC39+逐级计算!$C$159,FC39+逐级计算!$C$159-(10/(逐级计算!$Q$159*LN(10))*(MAX((LN(10^(逐级计算!$Q$159/10)-1)+逐级计算!$Q$159*(FC39-逐级计算!$P$159)*LN(10)/10),0)+LN(1+EXP(-ABS((LN(10^(逐级计算!$Q$159/10)-1)+逐级计算!$Q$159*(FC39-逐级计算!$P$159)*LN(10)/10))))))),"")</f>
        <v>13.7930365610227</v>
      </c>
      <c r="FE39">
        <f>IF(AND(ISNUMBER(FD39),逐级计算!$X$160&gt;-1),IF(逐级计算!$X$160=0,FD39+逐级计算!$C$160,FD39+逐级计算!$C$160-(10/(逐级计算!$Q$160*LN(10))*(MAX((LN(10^(逐级计算!$Q$160/10)-1)+逐级计算!$Q$160*(FD39-逐级计算!$P$160)*LN(10)/10),0)+LN(1+EXP(-ABS((LN(10^(逐级计算!$Q$160/10)-1)+逐级计算!$Q$160*(FD39-逐级计算!$P$160)*LN(10)/10))))))),"")</f>
        <v>13.7930365610227</v>
      </c>
      <c r="FF39">
        <f>IF(AND(ISNUMBER(FE39),逐级计算!$X$161&gt;-1),IF(逐级计算!$X$161=0,FE39+逐级计算!$C$161,FE39+逐级计算!$C$161-(10/(逐级计算!$Q$161*LN(10))*(MAX((LN(10^(逐级计算!$Q$161/10)-1)+逐级计算!$Q$161*(FE39-逐级计算!$P$161)*LN(10)/10),0)+LN(1+EXP(-ABS((LN(10^(逐级计算!$Q$161/10)-1)+逐级计算!$Q$161*(FE39-逐级计算!$P$161)*LN(10)/10))))))),"")</f>
        <v>13.7930365610227</v>
      </c>
      <c r="FG39">
        <f>IF(AND(ISNUMBER(FF39),逐级计算!$X$162&gt;-1),IF(逐级计算!$X$162=0,FF39+逐级计算!$C$162,FF39+逐级计算!$C$162-(10/(逐级计算!$Q$162*LN(10))*(MAX((LN(10^(逐级计算!$Q$162/10)-1)+逐级计算!$Q$162*(FF39-逐级计算!$P$162)*LN(10)/10),0)+LN(1+EXP(-ABS((LN(10^(逐级计算!$Q$162/10)-1)+逐级计算!$Q$162*(FF39-逐级计算!$P$162)*LN(10)/10))))))),"")</f>
        <v>13.7930365610227</v>
      </c>
      <c r="FH39">
        <f>IF(AND(ISNUMBER(FG39),逐级计算!$X$163&gt;-1),IF(逐级计算!$X$163=0,FG39+逐级计算!$C$163,FG39+逐级计算!$C$163-(10/(逐级计算!$Q$163*LN(10))*(MAX((LN(10^(逐级计算!$Q$163/10)-1)+逐级计算!$Q$163*(FG39-逐级计算!$P$163)*LN(10)/10),0)+LN(1+EXP(-ABS((LN(10^(逐级计算!$Q$163/10)-1)+逐级计算!$Q$163*(FG39-逐级计算!$P$163)*LN(10)/10))))))),"")</f>
        <v>13.7930365610227</v>
      </c>
      <c r="FI39">
        <f>IF(AND(ISNUMBER(FH39),逐级计算!$X$164&gt;-1),IF(逐级计算!$X$164=0,FH39+逐级计算!$C$164,FH39+逐级计算!$C$164-(10/(逐级计算!$Q$164*LN(10))*(MAX((LN(10^(逐级计算!$Q$164/10)-1)+逐级计算!$Q$164*(FH39-逐级计算!$P$164)*LN(10)/10),0)+LN(1+EXP(-ABS((LN(10^(逐级计算!$Q$164/10)-1)+逐级计算!$Q$164*(FH39-逐级计算!$P$164)*LN(10)/10))))))),"")</f>
        <v>13.7930365610227</v>
      </c>
      <c r="FJ39">
        <f>IF(AND(ISNUMBER(FI39),逐级计算!$X$165&gt;-1),IF(逐级计算!$X$165=0,FI39+逐级计算!$C$165,FI39+逐级计算!$C$165-(10/(逐级计算!$Q$165*LN(10))*(MAX((LN(10^(逐级计算!$Q$165/10)-1)+逐级计算!$Q$165*(FI39-逐级计算!$P$165)*LN(10)/10),0)+LN(1+EXP(-ABS((LN(10^(逐级计算!$Q$165/10)-1)+逐级计算!$Q$165*(FI39-逐级计算!$P$165)*LN(10)/10))))))),"")</f>
        <v>13.7930365610227</v>
      </c>
      <c r="FK39">
        <f>IF(AND(ISNUMBER(FJ39),逐级计算!$X$166&gt;-1),IF(逐级计算!$X$166=0,FJ39+逐级计算!$C$166,FJ39+逐级计算!$C$166-(10/(逐级计算!$Q$166*LN(10))*(MAX((LN(10^(逐级计算!$Q$166/10)-1)+逐级计算!$Q$166*(FJ39-逐级计算!$P$166)*LN(10)/10),0)+LN(1+EXP(-ABS((LN(10^(逐级计算!$Q$166/10)-1)+逐级计算!$Q$166*(FJ39-逐级计算!$P$166)*LN(10)/10))))))),"")</f>
        <v>13.7930365610227</v>
      </c>
      <c r="FL39">
        <f>IF(AND(ISNUMBER(FK39),逐级计算!$X$167&gt;-1),IF(逐级计算!$X$167=0,FK39+逐级计算!$C$167,FK39+逐级计算!$C$167-(10/(逐级计算!$Q$167*LN(10))*(MAX((LN(10^(逐级计算!$Q$167/10)-1)+逐级计算!$Q$167*(FK39-逐级计算!$P$167)*LN(10)/10),0)+LN(1+EXP(-ABS((LN(10^(逐级计算!$Q$167/10)-1)+逐级计算!$Q$167*(FK39-逐级计算!$P$167)*LN(10)/10))))))),"")</f>
        <v>13.7930365610227</v>
      </c>
      <c r="FM39">
        <f>IF(AND(ISNUMBER(FL39),逐级计算!$X$168&gt;-1),IF(逐级计算!$X$168=0,FL39+逐级计算!$C$168,FL39+逐级计算!$C$168-(10/(逐级计算!$Q$168*LN(10))*(MAX((LN(10^(逐级计算!$Q$168/10)-1)+逐级计算!$Q$168*(FL39-逐级计算!$P$168)*LN(10)/10),0)+LN(1+EXP(-ABS((LN(10^(逐级计算!$Q$168/10)-1)+逐级计算!$Q$168*(FL39-逐级计算!$P$168)*LN(10)/10))))))),"")</f>
        <v>13.7930365610227</v>
      </c>
      <c r="FN39">
        <f>IF(AND(ISNUMBER(FM39),逐级计算!$X$169&gt;-1),IF(逐级计算!$X$169=0,FM39+逐级计算!$C$169,FM39+逐级计算!$C$169-(10/(逐级计算!$Q$169*LN(10))*(MAX((LN(10^(逐级计算!$Q$169/10)-1)+逐级计算!$Q$169*(FM39-逐级计算!$P$169)*LN(10)/10),0)+LN(1+EXP(-ABS((LN(10^(逐级计算!$Q$169/10)-1)+逐级计算!$Q$169*(FM39-逐级计算!$P$169)*LN(10)/10))))))),"")</f>
        <v>13.7930365610227</v>
      </c>
      <c r="FO39">
        <f>IF(AND(ISNUMBER(FN39),逐级计算!$X$170&gt;-1),IF(逐级计算!$X$170=0,FN39+逐级计算!$C$170,FN39+逐级计算!$C$170-(10/(逐级计算!$Q$170*LN(10))*(MAX((LN(10^(逐级计算!$Q$170/10)-1)+逐级计算!$Q$170*(FN39-逐级计算!$P$170)*LN(10)/10),0)+LN(1+EXP(-ABS((LN(10^(逐级计算!$Q$170/10)-1)+逐级计算!$Q$170*(FN39-逐级计算!$P$170)*LN(10)/10))))))),"")</f>
        <v>13.7930365610227</v>
      </c>
      <c r="FP39">
        <f>IF(AND(ISNUMBER(FO39),逐级计算!$X$171&gt;-1),IF(逐级计算!$X$171=0,FO39+逐级计算!$C$171,FO39+逐级计算!$C$171-(10/(逐级计算!$Q$171*LN(10))*(MAX((LN(10^(逐级计算!$Q$171/10)-1)+逐级计算!$Q$171*(FO39-逐级计算!$P$171)*LN(10)/10),0)+LN(1+EXP(-ABS((LN(10^(逐级计算!$Q$171/10)-1)+逐级计算!$Q$171*(FO39-逐级计算!$P$171)*LN(10)/10))))))),"")</f>
        <v>13.7930365610227</v>
      </c>
      <c r="FQ39">
        <f>IF(AND(ISNUMBER(FP39),逐级计算!$X$172&gt;-1),IF(逐级计算!$X$172=0,FP39+逐级计算!$C$172,FP39+逐级计算!$C$172-(10/(逐级计算!$Q$172*LN(10))*(MAX((LN(10^(逐级计算!$Q$172/10)-1)+逐级计算!$Q$172*(FP39-逐级计算!$P$172)*LN(10)/10),0)+LN(1+EXP(-ABS((LN(10^(逐级计算!$Q$172/10)-1)+逐级计算!$Q$172*(FP39-逐级计算!$P$172)*LN(10)/10))))))),"")</f>
        <v>13.7930365610227</v>
      </c>
      <c r="FR39">
        <f>IF(AND(ISNUMBER(FQ39),逐级计算!$X$173&gt;-1),IF(逐级计算!$X$173=0,FQ39+逐级计算!$C$173,FQ39+逐级计算!$C$173-(10/(逐级计算!$Q$173*LN(10))*(MAX((LN(10^(逐级计算!$Q$173/10)-1)+逐级计算!$Q$173*(FQ39-逐级计算!$P$173)*LN(10)/10),0)+LN(1+EXP(-ABS((LN(10^(逐级计算!$Q$173/10)-1)+逐级计算!$Q$173*(FQ39-逐级计算!$P$173)*LN(10)/10))))))),"")</f>
        <v>13.7930365610227</v>
      </c>
      <c r="FS39">
        <f>IF(AND(ISNUMBER(FR39),逐级计算!$X$174&gt;-1),IF(逐级计算!$X$174=0,FR39+逐级计算!$C$174,FR39+逐级计算!$C$174-(10/(逐级计算!$Q$174*LN(10))*(MAX((LN(10^(逐级计算!$Q$174/10)-1)+逐级计算!$Q$174*(FR39-逐级计算!$P$174)*LN(10)/10),0)+LN(1+EXP(-ABS((LN(10^(逐级计算!$Q$174/10)-1)+逐级计算!$Q$174*(FR39-逐级计算!$P$174)*LN(10)/10))))))),"")</f>
        <v>13.7930365610227</v>
      </c>
      <c r="FT39">
        <f>IF(AND(ISNUMBER(FS39),逐级计算!$X$175&gt;-1),IF(逐级计算!$X$175=0,FS39+逐级计算!$C$175,FS39+逐级计算!$C$175-(10/(逐级计算!$Q$175*LN(10))*(MAX((LN(10^(逐级计算!$Q$175/10)-1)+逐级计算!$Q$175*(FS39-逐级计算!$P$175)*LN(10)/10),0)+LN(1+EXP(-ABS((LN(10^(逐级计算!$Q$175/10)-1)+逐级计算!$Q$175*(FS39-逐级计算!$P$175)*LN(10)/10))))))),"")</f>
        <v>13.7930365610227</v>
      </c>
      <c r="FU39">
        <f>IF(AND(ISNUMBER(FT39),逐级计算!$X$176&gt;-1),IF(逐级计算!$X$176=0,FT39+逐级计算!$C$176,FT39+逐级计算!$C$176-(10/(逐级计算!$Q$176*LN(10))*(MAX((LN(10^(逐级计算!$Q$176/10)-1)+逐级计算!$Q$176*(FT39-逐级计算!$P$176)*LN(10)/10),0)+LN(1+EXP(-ABS((LN(10^(逐级计算!$Q$176/10)-1)+逐级计算!$Q$176*(FT39-逐级计算!$P$176)*LN(10)/10))))))),"")</f>
        <v>13.7930365610227</v>
      </c>
      <c r="FV39">
        <f>IF(AND(ISNUMBER(FU39),逐级计算!$X$177&gt;-1),IF(逐级计算!$X$177=0,FU39+逐级计算!$C$177,FU39+逐级计算!$C$177-(10/(逐级计算!$Q$177*LN(10))*(MAX((LN(10^(逐级计算!$Q$177/10)-1)+逐级计算!$Q$177*(FU39-逐级计算!$P$177)*LN(10)/10),0)+LN(1+EXP(-ABS((LN(10^(逐级计算!$Q$177/10)-1)+逐级计算!$Q$177*(FU39-逐级计算!$P$177)*LN(10)/10))))))),"")</f>
        <v>13.7930365610227</v>
      </c>
      <c r="FW39">
        <f>IF(AND(ISNUMBER(FV39),逐级计算!$X$178&gt;-1),IF(逐级计算!$X$178=0,FV39+逐级计算!$C$178,FV39+逐级计算!$C$178-(10/(逐级计算!$Q$178*LN(10))*(MAX((LN(10^(逐级计算!$Q$178/10)-1)+逐级计算!$Q$178*(FV39-逐级计算!$P$178)*LN(10)/10),0)+LN(1+EXP(-ABS((LN(10^(逐级计算!$Q$178/10)-1)+逐级计算!$Q$178*(FV39-逐级计算!$P$178)*LN(10)/10))))))),"")</f>
        <v>13.7930365610227</v>
      </c>
      <c r="FX39">
        <f>IF(AND(ISNUMBER(FW39),逐级计算!$X$179&gt;-1),IF(逐级计算!$X$179=0,FW39+逐级计算!$C$179,FW39+逐级计算!$C$179-(10/(逐级计算!$Q$179*LN(10))*(MAX((LN(10^(逐级计算!$Q$179/10)-1)+逐级计算!$Q$179*(FW39-逐级计算!$P$179)*LN(10)/10),0)+LN(1+EXP(-ABS((LN(10^(逐级计算!$Q$179/10)-1)+逐级计算!$Q$179*(FW39-逐级计算!$P$179)*LN(10)/10))))))),"")</f>
        <v>13.7930365610227</v>
      </c>
      <c r="FY39">
        <f>IF(AND(ISNUMBER(FX39),逐级计算!$X$180&gt;-1),IF(逐级计算!$X$180=0,FX39+逐级计算!$C$180,FX39+逐级计算!$C$180-(10/(逐级计算!$Q$180*LN(10))*(MAX((LN(10^(逐级计算!$Q$180/10)-1)+逐级计算!$Q$180*(FX39-逐级计算!$P$180)*LN(10)/10),0)+LN(1+EXP(-ABS((LN(10^(逐级计算!$Q$180/10)-1)+逐级计算!$Q$180*(FX39-逐级计算!$P$180)*LN(10)/10))))))),"")</f>
        <v>13.7930365610227</v>
      </c>
      <c r="FZ39">
        <f>IF(AND(ISNUMBER(FY39),逐级计算!$X$181&gt;-1),IF(逐级计算!$X$181=0,FY39+逐级计算!$C$181,FY39+逐级计算!$C$181-(10/(逐级计算!$Q$181*LN(10))*(MAX((LN(10^(逐级计算!$Q$181/10)-1)+逐级计算!$Q$181*(FY39-逐级计算!$P$181)*LN(10)/10),0)+LN(1+EXP(-ABS((LN(10^(逐级计算!$Q$181/10)-1)+逐级计算!$Q$181*(FY39-逐级计算!$P$181)*LN(10)/10))))))),"")</f>
        <v>13.7930365610227</v>
      </c>
      <c r="GA39">
        <f>IF(AND(ISNUMBER(FZ39),逐级计算!$X$182&gt;-1),IF(逐级计算!$X$182=0,FZ39+逐级计算!$C$182,FZ39+逐级计算!$C$182-(10/(逐级计算!$Q$182*LN(10))*(MAX((LN(10^(逐级计算!$Q$182/10)-1)+逐级计算!$Q$182*(FZ39-逐级计算!$P$182)*LN(10)/10),0)+LN(1+EXP(-ABS((LN(10^(逐级计算!$Q$182/10)-1)+逐级计算!$Q$182*(FZ39-逐级计算!$P$182)*LN(10)/10))))))),"")</f>
        <v>13.7930365610227</v>
      </c>
      <c r="GB39">
        <f>IF(AND(ISNUMBER(GA39),逐级计算!$X$183&gt;-1),IF(逐级计算!$X$183=0,GA39+逐级计算!$C$183,GA39+逐级计算!$C$183-(10/(逐级计算!$Q$183*LN(10))*(MAX((LN(10^(逐级计算!$Q$183/10)-1)+逐级计算!$Q$183*(GA39-逐级计算!$P$183)*LN(10)/10),0)+LN(1+EXP(-ABS((LN(10^(逐级计算!$Q$183/10)-1)+逐级计算!$Q$183*(GA39-逐级计算!$P$183)*LN(10)/10))))))),"")</f>
        <v>13.7930365610227</v>
      </c>
      <c r="GC39">
        <f>IF(AND(ISNUMBER(GB39),逐级计算!$X$184&gt;-1),IF(逐级计算!$X$184=0,GB39+逐级计算!$C$184,GB39+逐级计算!$C$184-(10/(逐级计算!$Q$184*LN(10))*(MAX((LN(10^(逐级计算!$Q$184/10)-1)+逐级计算!$Q$184*(GB39-逐级计算!$P$184)*LN(10)/10),0)+LN(1+EXP(-ABS((LN(10^(逐级计算!$Q$184/10)-1)+逐级计算!$Q$184*(GB39-逐级计算!$P$184)*LN(10)/10))))))),"")</f>
        <v>13.7930365610227</v>
      </c>
      <c r="GD39">
        <f>IF(AND(ISNUMBER(GC39),逐级计算!$X$185&gt;-1),IF(逐级计算!$X$185=0,GC39+逐级计算!$C$185,GC39+逐级计算!$C$185-(10/(逐级计算!$Q$185*LN(10))*(MAX((LN(10^(逐级计算!$Q$185/10)-1)+逐级计算!$Q$185*(GC39-逐级计算!$P$185)*LN(10)/10),0)+LN(1+EXP(-ABS((LN(10^(逐级计算!$Q$185/10)-1)+逐级计算!$Q$185*(GC39-逐级计算!$P$185)*LN(10)/10))))))),"")</f>
        <v>13.7930365610227</v>
      </c>
      <c r="GE39">
        <f>IF(AND(ISNUMBER(GD39),逐级计算!$X$186&gt;-1),IF(逐级计算!$X$186=0,GD39+逐级计算!$C$186,GD39+逐级计算!$C$186-(10/(逐级计算!$Q$186*LN(10))*(MAX((LN(10^(逐级计算!$Q$186/10)-1)+逐级计算!$Q$186*(GD39-逐级计算!$P$186)*LN(10)/10),0)+LN(1+EXP(-ABS((LN(10^(逐级计算!$Q$186/10)-1)+逐级计算!$Q$186*(GD39-逐级计算!$P$186)*LN(10)/10))))))),"")</f>
        <v>13.7930365610227</v>
      </c>
      <c r="GF39">
        <f>IF(AND(ISNUMBER(GE39),逐级计算!$X$187&gt;-1),IF(逐级计算!$X$187=0,GE39+逐级计算!$C$187,GE39+逐级计算!$C$187-(10/(逐级计算!$Q$187*LN(10))*(MAX((LN(10^(逐级计算!$Q$187/10)-1)+逐级计算!$Q$187*(GE39-逐级计算!$P$187)*LN(10)/10),0)+LN(1+EXP(-ABS((LN(10^(逐级计算!$Q$187/10)-1)+逐级计算!$Q$187*(GE39-逐级计算!$P$187)*LN(10)/10))))))),"")</f>
        <v>13.7930365610227</v>
      </c>
      <c r="GG39">
        <f>IF(AND(ISNUMBER(GF39),逐级计算!$X$188&gt;-1),IF(逐级计算!$X$188=0,GF39+逐级计算!$C$188,GF39+逐级计算!$C$188-(10/(逐级计算!$Q$188*LN(10))*(MAX((LN(10^(逐级计算!$Q$188/10)-1)+逐级计算!$Q$188*(GF39-逐级计算!$P$188)*LN(10)/10),0)+LN(1+EXP(-ABS((LN(10^(逐级计算!$Q$188/10)-1)+逐级计算!$Q$188*(GF39-逐级计算!$P$188)*LN(10)/10))))))),"")</f>
        <v>13.7930365610227</v>
      </c>
      <c r="GH39">
        <f>IF(AND(ISNUMBER(GG39),逐级计算!$X$189&gt;-1),IF(逐级计算!$X$189=0,GG39+逐级计算!$C$189,GG39+逐级计算!$C$189-(10/(逐级计算!$Q$189*LN(10))*(MAX((LN(10^(逐级计算!$Q$189/10)-1)+逐级计算!$Q$189*(GG39-逐级计算!$P$189)*LN(10)/10),0)+LN(1+EXP(-ABS((LN(10^(逐级计算!$Q$189/10)-1)+逐级计算!$Q$189*(GG39-逐级计算!$P$189)*LN(10)/10))))))),"")</f>
        <v>13.7930365610227</v>
      </c>
      <c r="GI39">
        <f>IF(AND(ISNUMBER(GH39),逐级计算!$X$190&gt;-1),IF(逐级计算!$X$190=0,GH39+逐级计算!$C$190,GH39+逐级计算!$C$190-(10/(逐级计算!$Q$190*LN(10))*(MAX((LN(10^(逐级计算!$Q$190/10)-1)+逐级计算!$Q$190*(GH39-逐级计算!$P$190)*LN(10)/10),0)+LN(1+EXP(-ABS((LN(10^(逐级计算!$Q$190/10)-1)+逐级计算!$Q$190*(GH39-逐级计算!$P$190)*LN(10)/10))))))),"")</f>
        <v>13.7930365610227</v>
      </c>
      <c r="GJ39">
        <f>IF(AND(ISNUMBER(GI39),逐级计算!$X$191&gt;-1),IF(逐级计算!$X$191=0,GI39+逐级计算!$C$191,GI39+逐级计算!$C$191-(10/(逐级计算!$Q$191*LN(10))*(MAX((LN(10^(逐级计算!$Q$191/10)-1)+逐级计算!$Q$191*(GI39-逐级计算!$P$191)*LN(10)/10),0)+LN(1+EXP(-ABS((LN(10^(逐级计算!$Q$191/10)-1)+逐级计算!$Q$191*(GI39-逐级计算!$P$191)*LN(10)/10))))))),"")</f>
        <v>13.7930365610227</v>
      </c>
      <c r="GK39">
        <f>IF(AND(ISNUMBER(GJ39),逐级计算!$X$192&gt;-1),IF(逐级计算!$X$192=0,GJ39+逐级计算!$C$192,GJ39+逐级计算!$C$192-(10/(逐级计算!$Q$192*LN(10))*(MAX((LN(10^(逐级计算!$Q$192/10)-1)+逐级计算!$Q$192*(GJ39-逐级计算!$P$192)*LN(10)/10),0)+LN(1+EXP(-ABS((LN(10^(逐级计算!$Q$192/10)-1)+逐级计算!$Q$192*(GJ39-逐级计算!$P$192)*LN(10)/10))))))),"")</f>
        <v>13.7930365610227</v>
      </c>
      <c r="GL39">
        <f>IF(AND(ISNUMBER(GK39),逐级计算!$X$193&gt;-1),IF(逐级计算!$X$193=0,GK39+逐级计算!$C$193,GK39+逐级计算!$C$193-(10/(逐级计算!$Q$193*LN(10))*(MAX((LN(10^(逐级计算!$Q$193/10)-1)+逐级计算!$Q$193*(GK39-逐级计算!$P$193)*LN(10)/10),0)+LN(1+EXP(-ABS((LN(10^(逐级计算!$Q$193/10)-1)+逐级计算!$Q$193*(GK39-逐级计算!$P$193)*LN(10)/10))))))),"")</f>
        <v>13.7930365610227</v>
      </c>
      <c r="GM39">
        <f>IF(AND(ISNUMBER(GL39),逐级计算!$X$194&gt;-1),IF(逐级计算!$X$194=0,GL39+逐级计算!$C$194,GL39+逐级计算!$C$194-(10/(逐级计算!$Q$194*LN(10))*(MAX((LN(10^(逐级计算!$Q$194/10)-1)+逐级计算!$Q$194*(GL39-逐级计算!$P$194)*LN(10)/10),0)+LN(1+EXP(-ABS((LN(10^(逐级计算!$Q$194/10)-1)+逐级计算!$Q$194*(GL39-逐级计算!$P$194)*LN(10)/10))))))),"")</f>
        <v>13.7930365610227</v>
      </c>
      <c r="GN39">
        <f>IF(AND(ISNUMBER(GM39),逐级计算!$X$195&gt;-1),IF(逐级计算!$X$195=0,GM39+逐级计算!$C$195,GM39+逐级计算!$C$195-(10/(逐级计算!$Q$195*LN(10))*(MAX((LN(10^(逐级计算!$Q$195/10)-1)+逐级计算!$Q$195*(GM39-逐级计算!$P$195)*LN(10)/10),0)+LN(1+EXP(-ABS((LN(10^(逐级计算!$Q$195/10)-1)+逐级计算!$Q$195*(GM39-逐级计算!$P$195)*LN(10)/10))))))),"")</f>
        <v>13.7930365610227</v>
      </c>
      <c r="GO39">
        <f>IF(AND(ISNUMBER(GN39),逐级计算!$X$196&gt;-1),IF(逐级计算!$X$196=0,GN39+逐级计算!$C$196,GN39+逐级计算!$C$196-(10/(逐级计算!$Q$196*LN(10))*(MAX((LN(10^(逐级计算!$Q$196/10)-1)+逐级计算!$Q$196*(GN39-逐级计算!$P$196)*LN(10)/10),0)+LN(1+EXP(-ABS((LN(10^(逐级计算!$Q$196/10)-1)+逐级计算!$Q$196*(GN39-逐级计算!$P$196)*LN(10)/10))))))),"")</f>
        <v>13.7930365610227</v>
      </c>
      <c r="GP39">
        <f>IF(AND(ISNUMBER(GO39),逐级计算!$X$197&gt;-1),IF(逐级计算!$X$197=0,GO39+逐级计算!$C$197,GO39+逐级计算!$C$197-(10/(逐级计算!$Q$197*LN(10))*(MAX((LN(10^(逐级计算!$Q$197/10)-1)+逐级计算!$Q$197*(GO39-逐级计算!$P$197)*LN(10)/10),0)+LN(1+EXP(-ABS((LN(10^(逐级计算!$Q$197/10)-1)+逐级计算!$Q$197*(GO39-逐级计算!$P$197)*LN(10)/10))))))),"")</f>
        <v>13.7930365610227</v>
      </c>
      <c r="GQ39">
        <f>IF(AND(ISNUMBER(GP39),逐级计算!$X$198&gt;-1),IF(逐级计算!$X$198=0,GP39+逐级计算!$C$198,GP39+逐级计算!$C$198-(10/(逐级计算!$Q$198*LN(10))*(MAX((LN(10^(逐级计算!$Q$198/10)-1)+逐级计算!$Q$198*(GP39-逐级计算!$P$198)*LN(10)/10),0)+LN(1+EXP(-ABS((LN(10^(逐级计算!$Q$198/10)-1)+逐级计算!$Q$198*(GP39-逐级计算!$P$198)*LN(10)/10))))))),"")</f>
        <v>13.7930365610227</v>
      </c>
      <c r="GR39">
        <f>IF(AND(ISNUMBER(GQ39),逐级计算!$X$199&gt;-1),IF(逐级计算!$X$199=0,GQ39+逐级计算!$C$199,GQ39+逐级计算!$C$199-(10/(逐级计算!$Q$199*LN(10))*(MAX((LN(10^(逐级计算!$Q$199/10)-1)+逐级计算!$Q$199*(GQ39-逐级计算!$P$199)*LN(10)/10),0)+LN(1+EXP(-ABS((LN(10^(逐级计算!$Q$199/10)-1)+逐级计算!$Q$199*(GQ39-逐级计算!$P$199)*LN(10)/10))))))),"")</f>
        <v>13.7930365610227</v>
      </c>
      <c r="GS39">
        <f>IF(AND(ISNUMBER(GR39),逐级计算!$X$200&gt;-1),IF(逐级计算!$X$200=0,GR39+逐级计算!$C$200,GR39+逐级计算!$C$200-(10/(逐级计算!$Q$200*LN(10))*(MAX((LN(10^(逐级计算!$Q$200/10)-1)+逐级计算!$Q$200*(GR39-逐级计算!$P$200)*LN(10)/10),0)+LN(1+EXP(-ABS((LN(10^(逐级计算!$Q$200/10)-1)+逐级计算!$Q$200*(GR39-逐级计算!$P$200)*LN(10)/10))))))),"")</f>
        <v>13.7930365610227</v>
      </c>
      <c r="GT39">
        <f>IF(AND(ISNUMBER(GS39),逐级计算!$X$201&gt;-1),IF(逐级计算!$X$201=0,GS39+逐级计算!$C$201,GS39+逐级计算!$C$201-(10/(逐级计算!$Q$201*LN(10))*(MAX((LN(10^(逐级计算!$Q$201/10)-1)+逐级计算!$Q$201*(GS39-逐级计算!$P$201)*LN(10)/10),0)+LN(1+EXP(-ABS((LN(10^(逐级计算!$Q$201/10)-1)+逐级计算!$Q$201*(GS39-逐级计算!$P$201)*LN(10)/10))))))),"")</f>
        <v>13.7930365610227</v>
      </c>
      <c r="GU39">
        <f>IF(AND(ISNUMBER(GT39),逐级计算!$X$202&gt;-1),IF(逐级计算!$X$202=0,GT39+逐级计算!$C$202,GT39+逐级计算!$C$202-(10/(逐级计算!$Q$202*LN(10))*(MAX((LN(10^(逐级计算!$Q$202/10)-1)+逐级计算!$Q$202*(GT39-逐级计算!$P$202)*LN(10)/10),0)+LN(1+EXP(-ABS((LN(10^(逐级计算!$Q$202/10)-1)+逐级计算!$Q$202*(GT39-逐级计算!$P$202)*LN(10)/10))))))),"")</f>
        <v>13.7930365610227</v>
      </c>
      <c r="GV39">
        <f>IF(AND(ISNUMBER(GU39),逐级计算!$X$203&gt;-1),IF(逐级计算!$X$203=0,GU39+逐级计算!$C$203,GU39+逐级计算!$C$203-(10/(逐级计算!$Q$203*LN(10))*(MAX((LN(10^(逐级计算!$Q$203/10)-1)+逐级计算!$Q$203*(GU39-逐级计算!$P$203)*LN(10)/10),0)+LN(1+EXP(-ABS((LN(10^(逐级计算!$Q$203/10)-1)+逐级计算!$Q$203*(GU39-逐级计算!$P$203)*LN(10)/10))))))),"")</f>
        <v>13.7930365610227</v>
      </c>
      <c r="GW39">
        <f t="shared" si="2"/>
        <v>-5.20696342224255</v>
      </c>
    </row>
    <row r="40" spans="1:205">
      <c r="A40">
        <v>33</v>
      </c>
      <c r="B40">
        <f t="shared" si="1"/>
        <v>-5.20696344668977</v>
      </c>
      <c r="C40">
        <f t="shared" si="0"/>
        <v>-5.20696343446616</v>
      </c>
      <c r="D40">
        <f>IF(AND(ISNUMBER(C40),ISNUMBER(逐级计算!$E$203),ISNUMBER(GV40)),C40+逐级计算!$E$203-GV40,"")</f>
        <v>0.999999996798543</v>
      </c>
      <c r="E40">
        <f>IF(AND(ISNUMBER(C40),逐级计算!$X$4&gt;-1),IF(逐级计算!$X$4=0,C40+逐级计算!$C$4,C40+逐级计算!$C$4-(10/(逐级计算!$Q$4*LN(10))*(MAX((LN(10^(逐级计算!$Q$4/10)-1)+逐级计算!$Q$4*(C40-逐级计算!$P$4)*LN(10)/10),0)+LN(1+EXP(-ABS((LN(10^(逐级计算!$Q$4/10)-1)+逐级计算!$Q$4*(C40-逐级计算!$P$4)*LN(10)/10))))))),"")</f>
        <v>4.68053982104605</v>
      </c>
      <c r="F40">
        <f>IF(AND(ISNUMBER(E40),逐级计算!$X$5&gt;-1),IF(逐级计算!$X$5=0,E40+逐级计算!$C$5,E40+逐级计算!$C$5-(10/(逐级计算!$Q$5*LN(10))*(MAX((LN(10^(逐级计算!$Q$5/10)-1)+逐级计算!$Q$5*(E40-逐级计算!$P$5)*LN(10)/10),0)+LN(1+EXP(-ABS((LN(10^(逐级计算!$Q$5/10)-1)+逐级计算!$Q$5*(E40-逐级计算!$P$5)*LN(10)/10))))))),"")</f>
        <v>13.7930365687353</v>
      </c>
      <c r="G40">
        <f>IF(AND(ISNUMBER(F40),逐级计算!$X$6&gt;-1),IF(逐级计算!$X$6=0,F40+逐级计算!$C$6,F40+逐级计算!$C$6-(10/(逐级计算!$Q$6*LN(10))*(MAX((LN(10^(逐级计算!$Q$6/10)-1)+逐级计算!$Q$6*(F40-逐级计算!$P$6)*LN(10)/10),0)+LN(1+EXP(-ABS((LN(10^(逐级计算!$Q$6/10)-1)+逐级计算!$Q$6*(F40-逐级计算!$P$6)*LN(10)/10))))))),"")</f>
        <v>13.7930365687353</v>
      </c>
      <c r="H40">
        <f>IF(AND(ISNUMBER(G40),逐级计算!$X$7&gt;-1),IF(逐级计算!$X$7=0,G40+逐级计算!$C$7,G40+逐级计算!$C$7-(10/(逐级计算!$Q$7*LN(10))*(MAX((LN(10^(逐级计算!$Q$7/10)-1)+逐级计算!$Q$7*(G40-逐级计算!$P$7)*LN(10)/10),0)+LN(1+EXP(-ABS((LN(10^(逐级计算!$Q$7/10)-1)+逐级计算!$Q$7*(G40-逐级计算!$P$7)*LN(10)/10))))))),"")</f>
        <v>13.7930365687353</v>
      </c>
      <c r="I40">
        <f>IF(AND(ISNUMBER(H40),逐级计算!$X$8&gt;-1),IF(逐级计算!$X$8=0,H40+逐级计算!$C$8,H40+逐级计算!$C$8-(10/(逐级计算!$Q$8*LN(10))*(MAX((LN(10^(逐级计算!$Q$8/10)-1)+逐级计算!$Q$8*(H40-逐级计算!$P$8)*LN(10)/10),0)+LN(1+EXP(-ABS((LN(10^(逐级计算!$Q$8/10)-1)+逐级计算!$Q$8*(H40-逐级计算!$P$8)*LN(10)/10))))))),"")</f>
        <v>13.7930365687353</v>
      </c>
      <c r="J40">
        <f>IF(AND(ISNUMBER(I40),逐级计算!$X$9&gt;-1),IF(逐级计算!$X$9=0,I40+逐级计算!$C$9,I40+逐级计算!$C$9-(10/(逐级计算!$Q$9*LN(10))*(MAX((LN(10^(逐级计算!$Q$9/10)-1)+逐级计算!$Q$9*(I40-逐级计算!$P$9)*LN(10)/10),0)+LN(1+EXP(-ABS((LN(10^(逐级计算!$Q$9/10)-1)+逐级计算!$Q$9*(I40-逐级计算!$P$9)*LN(10)/10))))))),"")</f>
        <v>13.7930365687353</v>
      </c>
      <c r="K40">
        <f>IF(AND(ISNUMBER(J40),逐级计算!$X$10&gt;-1),IF(逐级计算!$X$10=0,J40+逐级计算!$C$10,J40+逐级计算!$C$10-(10/(逐级计算!$Q$10*LN(10))*(MAX((LN(10^(逐级计算!$Q$10/10)-1)+逐级计算!$Q$10*(J40-逐级计算!$P$10)*LN(10)/10),0)+LN(1+EXP(-ABS((LN(10^(逐级计算!$Q$10/10)-1)+逐级计算!$Q$10*(J40-逐级计算!$P$10)*LN(10)/10))))))),"")</f>
        <v>13.7930365687353</v>
      </c>
      <c r="L40">
        <f>IF(AND(ISNUMBER(K40),逐级计算!$X$11&gt;-1),IF(逐级计算!$X$11=0,K40+逐级计算!$C$11,K40+逐级计算!$C$11-(10/(逐级计算!$Q$11*LN(10))*(MAX((LN(10^(逐级计算!$Q$11/10)-1)+逐级计算!$Q$11*(K40-逐级计算!$P$11)*LN(10)/10),0)+LN(1+EXP(-ABS((LN(10^(逐级计算!$Q$11/10)-1)+逐级计算!$Q$11*(K40-逐级计算!$P$11)*LN(10)/10))))))),"")</f>
        <v>13.7930365687353</v>
      </c>
      <c r="M40">
        <f>IF(AND(ISNUMBER(L40),逐级计算!$X$12&gt;-1),IF(逐级计算!$X$12=0,L40+逐级计算!$C$12,L40+逐级计算!$C$12-(10/(逐级计算!$Q$12*LN(10))*(MAX((LN(10^(逐级计算!$Q$12/10)-1)+逐级计算!$Q$12*(L40-逐级计算!$P$12)*LN(10)/10),0)+LN(1+EXP(-ABS((LN(10^(逐级计算!$Q$12/10)-1)+逐级计算!$Q$12*(L40-逐级计算!$P$12)*LN(10)/10))))))),"")</f>
        <v>13.7930365687353</v>
      </c>
      <c r="N40">
        <f>IF(AND(ISNUMBER(M40),逐级计算!$X$13&gt;-1),IF(逐级计算!$X$13=0,M40+逐级计算!$C$13,M40+逐级计算!$C$13-(10/(逐级计算!$Q$13*LN(10))*(MAX((LN(10^(逐级计算!$Q$13/10)-1)+逐级计算!$Q$13*(M40-逐级计算!$P$13)*LN(10)/10),0)+LN(1+EXP(-ABS((LN(10^(逐级计算!$Q$13/10)-1)+逐级计算!$Q$13*(M40-逐级计算!$P$13)*LN(10)/10))))))),"")</f>
        <v>13.7930365687353</v>
      </c>
      <c r="O40">
        <f>IF(AND(ISNUMBER(N40),逐级计算!$X$14&gt;-1),IF(逐级计算!$X$14=0,N40+逐级计算!$C$14,N40+逐级计算!$C$14-(10/(逐级计算!$Q$14*LN(10))*(MAX((LN(10^(逐级计算!$Q$14/10)-1)+逐级计算!$Q$14*(N40-逐级计算!$P$14)*LN(10)/10),0)+LN(1+EXP(-ABS((LN(10^(逐级计算!$Q$14/10)-1)+逐级计算!$Q$14*(N40-逐级计算!$P$14)*LN(10)/10))))))),"")</f>
        <v>13.7930365687353</v>
      </c>
      <c r="P40">
        <f>IF(AND(ISNUMBER(O40),逐级计算!$X$15&gt;-1),IF(逐级计算!$X$15=0,O40+逐级计算!$C$15,O40+逐级计算!$C$15-(10/(逐级计算!$Q$15*LN(10))*(MAX((LN(10^(逐级计算!$Q$15/10)-1)+逐级计算!$Q$15*(O40-逐级计算!$P$15)*LN(10)/10),0)+LN(1+EXP(-ABS((LN(10^(逐级计算!$Q$15/10)-1)+逐级计算!$Q$15*(O40-逐级计算!$P$15)*LN(10)/10))))))),"")</f>
        <v>13.7930365687353</v>
      </c>
      <c r="Q40">
        <f>IF(AND(ISNUMBER(P40),逐级计算!$X$16&gt;-1),IF(逐级计算!$X$16=0,P40+逐级计算!$C$16,P40+逐级计算!$C$16-(10/(逐级计算!$Q$16*LN(10))*(MAX((LN(10^(逐级计算!$Q$16/10)-1)+逐级计算!$Q$16*(P40-逐级计算!$P$16)*LN(10)/10),0)+LN(1+EXP(-ABS((LN(10^(逐级计算!$Q$16/10)-1)+逐级计算!$Q$16*(P40-逐级计算!$P$16)*LN(10)/10))))))),"")</f>
        <v>13.7930365687353</v>
      </c>
      <c r="R40">
        <f>IF(AND(ISNUMBER(Q40),逐级计算!$X$17&gt;-1),IF(逐级计算!$X$17=0,Q40+逐级计算!$C$17,Q40+逐级计算!$C$17-(10/(逐级计算!$Q$17*LN(10))*(MAX((LN(10^(逐级计算!$Q$17/10)-1)+逐级计算!$Q$17*(Q40-逐级计算!$P$17)*LN(10)/10),0)+LN(1+EXP(-ABS((LN(10^(逐级计算!$Q$17/10)-1)+逐级计算!$Q$17*(Q40-逐级计算!$P$17)*LN(10)/10))))))),"")</f>
        <v>13.7930365687353</v>
      </c>
      <c r="S40">
        <f>IF(AND(ISNUMBER(R40),逐级计算!$X$18&gt;-1),IF(逐级计算!$X$18=0,R40+逐级计算!$C$18,R40+逐级计算!$C$18-(10/(逐级计算!$Q$18*LN(10))*(MAX((LN(10^(逐级计算!$Q$18/10)-1)+逐级计算!$Q$18*(R40-逐级计算!$P$18)*LN(10)/10),0)+LN(1+EXP(-ABS((LN(10^(逐级计算!$Q$18/10)-1)+逐级计算!$Q$18*(R40-逐级计算!$P$18)*LN(10)/10))))))),"")</f>
        <v>13.7930365687353</v>
      </c>
      <c r="T40">
        <f>IF(AND(ISNUMBER(S40),逐级计算!$X$19&gt;-1),IF(逐级计算!$X$19=0,S40+逐级计算!$C$19,S40+逐级计算!$C$19-(10/(逐级计算!$Q$19*LN(10))*(MAX((LN(10^(逐级计算!$Q$19/10)-1)+逐级计算!$Q$19*(S40-逐级计算!$P$19)*LN(10)/10),0)+LN(1+EXP(-ABS((LN(10^(逐级计算!$Q$19/10)-1)+逐级计算!$Q$19*(S40-逐级计算!$P$19)*LN(10)/10))))))),"")</f>
        <v>13.7930365687353</v>
      </c>
      <c r="U40">
        <f>IF(AND(ISNUMBER(T40),逐级计算!$X$20&gt;-1),IF(逐级计算!$X$20=0,T40+逐级计算!$C$20,T40+逐级计算!$C$20-(10/(逐级计算!$Q$20*LN(10))*(MAX((LN(10^(逐级计算!$Q$20/10)-1)+逐级计算!$Q$20*(T40-逐级计算!$P$20)*LN(10)/10),0)+LN(1+EXP(-ABS((LN(10^(逐级计算!$Q$20/10)-1)+逐级计算!$Q$20*(T40-逐级计算!$P$20)*LN(10)/10))))))),"")</f>
        <v>13.7930365687353</v>
      </c>
      <c r="V40">
        <f>IF(AND(ISNUMBER(U40),逐级计算!$X$21&gt;-1),IF(逐级计算!$X$21=0,U40+逐级计算!$C$21,U40+逐级计算!$C$21-(10/(逐级计算!$Q$21*LN(10))*(MAX((LN(10^(逐级计算!$Q$21/10)-1)+逐级计算!$Q$21*(U40-逐级计算!$P$21)*LN(10)/10),0)+LN(1+EXP(-ABS((LN(10^(逐级计算!$Q$21/10)-1)+逐级计算!$Q$21*(U40-逐级计算!$P$21)*LN(10)/10))))))),"")</f>
        <v>13.7930365687353</v>
      </c>
      <c r="W40">
        <f>IF(AND(ISNUMBER(V40),逐级计算!$X$22&gt;-1),IF(逐级计算!$X$22=0,V40+逐级计算!$C$22,V40+逐级计算!$C$22-(10/(逐级计算!$Q$22*LN(10))*(MAX((LN(10^(逐级计算!$Q$22/10)-1)+逐级计算!$Q$22*(V40-逐级计算!$P$22)*LN(10)/10),0)+LN(1+EXP(-ABS((LN(10^(逐级计算!$Q$22/10)-1)+逐级计算!$Q$22*(V40-逐级计算!$P$22)*LN(10)/10))))))),"")</f>
        <v>13.7930365687353</v>
      </c>
      <c r="X40">
        <f>IF(AND(ISNUMBER(W40),逐级计算!$X$23&gt;-1),IF(逐级计算!$X$23=0,W40+逐级计算!$C$23,W40+逐级计算!$C$23-(10/(逐级计算!$Q$23*LN(10))*(MAX((LN(10^(逐级计算!$Q$23/10)-1)+逐级计算!$Q$23*(W40-逐级计算!$P$23)*LN(10)/10),0)+LN(1+EXP(-ABS((LN(10^(逐级计算!$Q$23/10)-1)+逐级计算!$Q$23*(W40-逐级计算!$P$23)*LN(10)/10))))))),"")</f>
        <v>13.7930365687353</v>
      </c>
      <c r="Y40">
        <f>IF(AND(ISNUMBER(X40),逐级计算!$X$24&gt;-1),IF(逐级计算!$X$24=0,X40+逐级计算!$C$24,X40+逐级计算!$C$24-(10/(逐级计算!$Q$24*LN(10))*(MAX((LN(10^(逐级计算!$Q$24/10)-1)+逐级计算!$Q$24*(X40-逐级计算!$P$24)*LN(10)/10),0)+LN(1+EXP(-ABS((LN(10^(逐级计算!$Q$24/10)-1)+逐级计算!$Q$24*(X40-逐级计算!$P$24)*LN(10)/10))))))),"")</f>
        <v>13.7930365687353</v>
      </c>
      <c r="Z40">
        <f>IF(AND(ISNUMBER(Y40),逐级计算!$X$25&gt;-1),IF(逐级计算!$X$25=0,Y40+逐级计算!$C$25,Y40+逐级计算!$C$25-(10/(逐级计算!$Q$25*LN(10))*(MAX((LN(10^(逐级计算!$Q$25/10)-1)+逐级计算!$Q$25*(Y40-逐级计算!$P$25)*LN(10)/10),0)+LN(1+EXP(-ABS((LN(10^(逐级计算!$Q$25/10)-1)+逐级计算!$Q$25*(Y40-逐级计算!$P$25)*LN(10)/10))))))),"")</f>
        <v>13.7930365687353</v>
      </c>
      <c r="AA40">
        <f>IF(AND(ISNUMBER(Z40),逐级计算!$X$26&gt;-1),IF(逐级计算!$X$26=0,Z40+逐级计算!$C$26,Z40+逐级计算!$C$26-(10/(逐级计算!$Q$26*LN(10))*(MAX((LN(10^(逐级计算!$Q$26/10)-1)+逐级计算!$Q$26*(Z40-逐级计算!$P$26)*LN(10)/10),0)+LN(1+EXP(-ABS((LN(10^(逐级计算!$Q$26/10)-1)+逐级计算!$Q$26*(Z40-逐级计算!$P$26)*LN(10)/10))))))),"")</f>
        <v>13.7930365687353</v>
      </c>
      <c r="AB40">
        <f>IF(AND(ISNUMBER(AA40),逐级计算!$X$27&gt;-1),IF(逐级计算!$X$27=0,AA40+逐级计算!$C$27,AA40+逐级计算!$C$27-(10/(逐级计算!$Q$27*LN(10))*(MAX((LN(10^(逐级计算!$Q$27/10)-1)+逐级计算!$Q$27*(AA40-逐级计算!$P$27)*LN(10)/10),0)+LN(1+EXP(-ABS((LN(10^(逐级计算!$Q$27/10)-1)+逐级计算!$Q$27*(AA40-逐级计算!$P$27)*LN(10)/10))))))),"")</f>
        <v>13.7930365687353</v>
      </c>
      <c r="AC40">
        <f>IF(AND(ISNUMBER(AB40),逐级计算!$X$28&gt;-1),IF(逐级计算!$X$28=0,AB40+逐级计算!$C$28,AB40+逐级计算!$C$28-(10/(逐级计算!$Q$28*LN(10))*(MAX((LN(10^(逐级计算!$Q$28/10)-1)+逐级计算!$Q$28*(AB40-逐级计算!$P$28)*LN(10)/10),0)+LN(1+EXP(-ABS((LN(10^(逐级计算!$Q$28/10)-1)+逐级计算!$Q$28*(AB40-逐级计算!$P$28)*LN(10)/10))))))),"")</f>
        <v>13.7930365687353</v>
      </c>
      <c r="AD40">
        <f>IF(AND(ISNUMBER(AC40),逐级计算!$X$29&gt;-1),IF(逐级计算!$X$29=0,AC40+逐级计算!$C$29,AC40+逐级计算!$C$29-(10/(逐级计算!$Q$29*LN(10))*(MAX((LN(10^(逐级计算!$Q$29/10)-1)+逐级计算!$Q$29*(AC40-逐级计算!$P$29)*LN(10)/10),0)+LN(1+EXP(-ABS((LN(10^(逐级计算!$Q$29/10)-1)+逐级计算!$Q$29*(AC40-逐级计算!$P$29)*LN(10)/10))))))),"")</f>
        <v>13.7930365687353</v>
      </c>
      <c r="AE40">
        <f>IF(AND(ISNUMBER(AD40),逐级计算!$X$30&gt;-1),IF(逐级计算!$X$30=0,AD40+逐级计算!$C$30,AD40+逐级计算!$C$30-(10/(逐级计算!$Q$30*LN(10))*(MAX((LN(10^(逐级计算!$Q$30/10)-1)+逐级计算!$Q$30*(AD40-逐级计算!$P$30)*LN(10)/10),0)+LN(1+EXP(-ABS((LN(10^(逐级计算!$Q$30/10)-1)+逐级计算!$Q$30*(AD40-逐级计算!$P$30)*LN(10)/10))))))),"")</f>
        <v>13.7930365687353</v>
      </c>
      <c r="AF40">
        <f>IF(AND(ISNUMBER(AE40),逐级计算!$X$31&gt;-1),IF(逐级计算!$X$31=0,AE40+逐级计算!$C$31,AE40+逐级计算!$C$31-(10/(逐级计算!$Q$31*LN(10))*(MAX((LN(10^(逐级计算!$Q$31/10)-1)+逐级计算!$Q$31*(AE40-逐级计算!$P$31)*LN(10)/10),0)+LN(1+EXP(-ABS((LN(10^(逐级计算!$Q$31/10)-1)+逐级计算!$Q$31*(AE40-逐级计算!$P$31)*LN(10)/10))))))),"")</f>
        <v>13.7930365687353</v>
      </c>
      <c r="AG40">
        <f>IF(AND(ISNUMBER(AF40),逐级计算!$X$32&gt;-1),IF(逐级计算!$X$32=0,AF40+逐级计算!$C$32,AF40+逐级计算!$C$32-(10/(逐级计算!$Q$32*LN(10))*(MAX((LN(10^(逐级计算!$Q$32/10)-1)+逐级计算!$Q$32*(AF40-逐级计算!$P$32)*LN(10)/10),0)+LN(1+EXP(-ABS((LN(10^(逐级计算!$Q$32/10)-1)+逐级计算!$Q$32*(AF40-逐级计算!$P$32)*LN(10)/10))))))),"")</f>
        <v>13.7930365687353</v>
      </c>
      <c r="AH40">
        <f>IF(AND(ISNUMBER(AG40),逐级计算!$X$33&gt;-1),IF(逐级计算!$X$33=0,AG40+逐级计算!$C$33,AG40+逐级计算!$C$33-(10/(逐级计算!$Q$33*LN(10))*(MAX((LN(10^(逐级计算!$Q$33/10)-1)+逐级计算!$Q$33*(AG40-逐级计算!$P$33)*LN(10)/10),0)+LN(1+EXP(-ABS((LN(10^(逐级计算!$Q$33/10)-1)+逐级计算!$Q$33*(AG40-逐级计算!$P$33)*LN(10)/10))))))),"")</f>
        <v>13.7930365687353</v>
      </c>
      <c r="AI40">
        <f>IF(AND(ISNUMBER(AH40),逐级计算!$X$34&gt;-1),IF(逐级计算!$X$34=0,AH40+逐级计算!$C$34,AH40+逐级计算!$C$34-(10/(逐级计算!$Q$34*LN(10))*(MAX((LN(10^(逐级计算!$Q$34/10)-1)+逐级计算!$Q$34*(AH40-逐级计算!$P$34)*LN(10)/10),0)+LN(1+EXP(-ABS((LN(10^(逐级计算!$Q$34/10)-1)+逐级计算!$Q$34*(AH40-逐级计算!$P$34)*LN(10)/10))))))),"")</f>
        <v>13.7930365687353</v>
      </c>
      <c r="AJ40">
        <f>IF(AND(ISNUMBER(AI40),逐级计算!$X$35&gt;-1),IF(逐级计算!$X$35=0,AI40+逐级计算!$C$35,AI40+逐级计算!$C$35-(10/(逐级计算!$Q$35*LN(10))*(MAX((LN(10^(逐级计算!$Q$35/10)-1)+逐级计算!$Q$35*(AI40-逐级计算!$P$35)*LN(10)/10),0)+LN(1+EXP(-ABS((LN(10^(逐级计算!$Q$35/10)-1)+逐级计算!$Q$35*(AI40-逐级计算!$P$35)*LN(10)/10))))))),"")</f>
        <v>13.7930365687353</v>
      </c>
      <c r="AK40">
        <f>IF(AND(ISNUMBER(AJ40),逐级计算!$X$36&gt;-1),IF(逐级计算!$X$36=0,AJ40+逐级计算!$C$36,AJ40+逐级计算!$C$36-(10/(逐级计算!$Q$36*LN(10))*(MAX((LN(10^(逐级计算!$Q$36/10)-1)+逐级计算!$Q$36*(AJ40-逐级计算!$P$36)*LN(10)/10),0)+LN(1+EXP(-ABS((LN(10^(逐级计算!$Q$36/10)-1)+逐级计算!$Q$36*(AJ40-逐级计算!$P$36)*LN(10)/10))))))),"")</f>
        <v>13.7930365687353</v>
      </c>
      <c r="AL40">
        <f>IF(AND(ISNUMBER(AK40),逐级计算!$X$37&gt;-1),IF(逐级计算!$X$37=0,AK40+逐级计算!$C$37,AK40+逐级计算!$C$37-(10/(逐级计算!$Q$37*LN(10))*(MAX((LN(10^(逐级计算!$Q$37/10)-1)+逐级计算!$Q$37*(AK40-逐级计算!$P$37)*LN(10)/10),0)+LN(1+EXP(-ABS((LN(10^(逐级计算!$Q$37/10)-1)+逐级计算!$Q$37*(AK40-逐级计算!$P$37)*LN(10)/10))))))),"")</f>
        <v>13.7930365687353</v>
      </c>
      <c r="AM40">
        <f>IF(AND(ISNUMBER(AL40),逐级计算!$X$38&gt;-1),IF(逐级计算!$X$38=0,AL40+逐级计算!$C$38,AL40+逐级计算!$C$38-(10/(逐级计算!$Q$38*LN(10))*(MAX((LN(10^(逐级计算!$Q$38/10)-1)+逐级计算!$Q$38*(AL40-逐级计算!$P$38)*LN(10)/10),0)+LN(1+EXP(-ABS((LN(10^(逐级计算!$Q$38/10)-1)+逐级计算!$Q$38*(AL40-逐级计算!$P$38)*LN(10)/10))))))),"")</f>
        <v>13.7930365687353</v>
      </c>
      <c r="AN40">
        <f>IF(AND(ISNUMBER(AM40),逐级计算!$X$39&gt;-1),IF(逐级计算!$X$39=0,AM40+逐级计算!$C$39,AM40+逐级计算!$C$39-(10/(逐级计算!$Q$39*LN(10))*(MAX((LN(10^(逐级计算!$Q$39/10)-1)+逐级计算!$Q$39*(AM40-逐级计算!$P$39)*LN(10)/10),0)+LN(1+EXP(-ABS((LN(10^(逐级计算!$Q$39/10)-1)+逐级计算!$Q$39*(AM40-逐级计算!$P$39)*LN(10)/10))))))),"")</f>
        <v>13.7930365687353</v>
      </c>
      <c r="AO40">
        <f>IF(AND(ISNUMBER(AN40),逐级计算!$X$40&gt;-1),IF(逐级计算!$X$40=0,AN40+逐级计算!$C$40,AN40+逐级计算!$C$40-(10/(逐级计算!$Q$40*LN(10))*(MAX((LN(10^(逐级计算!$Q$40/10)-1)+逐级计算!$Q$40*(AN40-逐级计算!$P$40)*LN(10)/10),0)+LN(1+EXP(-ABS((LN(10^(逐级计算!$Q$40/10)-1)+逐级计算!$Q$40*(AN40-逐级计算!$P$40)*LN(10)/10))))))),"")</f>
        <v>13.7930365687353</v>
      </c>
      <c r="AP40">
        <f>IF(AND(ISNUMBER(AO40),逐级计算!$X$41&gt;-1),IF(逐级计算!$X$41=0,AO40+逐级计算!$C$41,AO40+逐级计算!$C$41-(10/(逐级计算!$Q$41*LN(10))*(MAX((LN(10^(逐级计算!$Q$41/10)-1)+逐级计算!$Q$41*(AO40-逐级计算!$P$41)*LN(10)/10),0)+LN(1+EXP(-ABS((LN(10^(逐级计算!$Q$41/10)-1)+逐级计算!$Q$41*(AO40-逐级计算!$P$41)*LN(10)/10))))))),"")</f>
        <v>13.7930365687353</v>
      </c>
      <c r="AQ40">
        <f>IF(AND(ISNUMBER(AP40),逐级计算!$X$42&gt;-1),IF(逐级计算!$X$42=0,AP40+逐级计算!$C$42,AP40+逐级计算!$C$42-(10/(逐级计算!$Q$42*LN(10))*(MAX((LN(10^(逐级计算!$Q$42/10)-1)+逐级计算!$Q$42*(AP40-逐级计算!$P$42)*LN(10)/10),0)+LN(1+EXP(-ABS((LN(10^(逐级计算!$Q$42/10)-1)+逐级计算!$Q$42*(AP40-逐级计算!$P$42)*LN(10)/10))))))),"")</f>
        <v>13.7930365687353</v>
      </c>
      <c r="AR40">
        <f>IF(AND(ISNUMBER(AQ40),逐级计算!$X$43&gt;-1),IF(逐级计算!$X$43=0,AQ40+逐级计算!$C$43,AQ40+逐级计算!$C$43-(10/(逐级计算!$Q$43*LN(10))*(MAX((LN(10^(逐级计算!$Q$43/10)-1)+逐级计算!$Q$43*(AQ40-逐级计算!$P$43)*LN(10)/10),0)+LN(1+EXP(-ABS((LN(10^(逐级计算!$Q$43/10)-1)+逐级计算!$Q$43*(AQ40-逐级计算!$P$43)*LN(10)/10))))))),"")</f>
        <v>13.7930365687353</v>
      </c>
      <c r="AS40">
        <f>IF(AND(ISNUMBER(AR40),逐级计算!$X$44&gt;-1),IF(逐级计算!$X$44=0,AR40+逐级计算!$C$44,AR40+逐级计算!$C$44-(10/(逐级计算!$Q$44*LN(10))*(MAX((LN(10^(逐级计算!$Q$44/10)-1)+逐级计算!$Q$44*(AR40-逐级计算!$P$44)*LN(10)/10),0)+LN(1+EXP(-ABS((LN(10^(逐级计算!$Q$44/10)-1)+逐级计算!$Q$44*(AR40-逐级计算!$P$44)*LN(10)/10))))))),"")</f>
        <v>13.7930365687353</v>
      </c>
      <c r="AT40">
        <f>IF(AND(ISNUMBER(AS40),逐级计算!$X$45&gt;-1),IF(逐级计算!$X$45=0,AS40+逐级计算!$C$45,AS40+逐级计算!$C$45-(10/(逐级计算!$Q$45*LN(10))*(MAX((LN(10^(逐级计算!$Q$45/10)-1)+逐级计算!$Q$45*(AS40-逐级计算!$P$45)*LN(10)/10),0)+LN(1+EXP(-ABS((LN(10^(逐级计算!$Q$45/10)-1)+逐级计算!$Q$45*(AS40-逐级计算!$P$45)*LN(10)/10))))))),"")</f>
        <v>13.7930365687353</v>
      </c>
      <c r="AU40">
        <f>IF(AND(ISNUMBER(AT40),逐级计算!$X$46&gt;-1),IF(逐级计算!$X$46=0,AT40+逐级计算!$C$46,AT40+逐级计算!$C$46-(10/(逐级计算!$Q$46*LN(10))*(MAX((LN(10^(逐级计算!$Q$46/10)-1)+逐级计算!$Q$46*(AT40-逐级计算!$P$46)*LN(10)/10),0)+LN(1+EXP(-ABS((LN(10^(逐级计算!$Q$46/10)-1)+逐级计算!$Q$46*(AT40-逐级计算!$P$46)*LN(10)/10))))))),"")</f>
        <v>13.7930365687353</v>
      </c>
      <c r="AV40">
        <f>IF(AND(ISNUMBER(AU40),逐级计算!$X$47&gt;-1),IF(逐级计算!$X$47=0,AU40+逐级计算!$C$47,AU40+逐级计算!$C$47-(10/(逐级计算!$Q$47*LN(10))*(MAX((LN(10^(逐级计算!$Q$47/10)-1)+逐级计算!$Q$47*(AU40-逐级计算!$P$47)*LN(10)/10),0)+LN(1+EXP(-ABS((LN(10^(逐级计算!$Q$47/10)-1)+逐级计算!$Q$47*(AU40-逐级计算!$P$47)*LN(10)/10))))))),"")</f>
        <v>13.7930365687353</v>
      </c>
      <c r="AW40">
        <f>IF(AND(ISNUMBER(AV40),逐级计算!$X$48&gt;-1),IF(逐级计算!$X$48=0,AV40+逐级计算!$C$48,AV40+逐级计算!$C$48-(10/(逐级计算!$Q$48*LN(10))*(MAX((LN(10^(逐级计算!$Q$48/10)-1)+逐级计算!$Q$48*(AV40-逐级计算!$P$48)*LN(10)/10),0)+LN(1+EXP(-ABS((LN(10^(逐级计算!$Q$48/10)-1)+逐级计算!$Q$48*(AV40-逐级计算!$P$48)*LN(10)/10))))))),"")</f>
        <v>13.7930365687353</v>
      </c>
      <c r="AX40">
        <f>IF(AND(ISNUMBER(AW40),逐级计算!$X$49&gt;-1),IF(逐级计算!$X$49=0,AW40+逐级计算!$C$49,AW40+逐级计算!$C$49-(10/(逐级计算!$Q$49*LN(10))*(MAX((LN(10^(逐级计算!$Q$49/10)-1)+逐级计算!$Q$49*(AW40-逐级计算!$P$49)*LN(10)/10),0)+LN(1+EXP(-ABS((LN(10^(逐级计算!$Q$49/10)-1)+逐级计算!$Q$49*(AW40-逐级计算!$P$49)*LN(10)/10))))))),"")</f>
        <v>13.7930365687353</v>
      </c>
      <c r="AY40">
        <f>IF(AND(ISNUMBER(AX40),逐级计算!$X$50&gt;-1),IF(逐级计算!$X$50=0,AX40+逐级计算!$C$50,AX40+逐级计算!$C$50-(10/(逐级计算!$Q$50*LN(10))*(MAX((LN(10^(逐级计算!$Q$50/10)-1)+逐级计算!$Q$50*(AX40-逐级计算!$P$50)*LN(10)/10),0)+LN(1+EXP(-ABS((LN(10^(逐级计算!$Q$50/10)-1)+逐级计算!$Q$50*(AX40-逐级计算!$P$50)*LN(10)/10))))))),"")</f>
        <v>13.7930365687353</v>
      </c>
      <c r="AZ40">
        <f>IF(AND(ISNUMBER(AY40),逐级计算!$X$51&gt;-1),IF(逐级计算!$X$51=0,AY40+逐级计算!$C$51,AY40+逐级计算!$C$51-(10/(逐级计算!$Q$51*LN(10))*(MAX((LN(10^(逐级计算!$Q$51/10)-1)+逐级计算!$Q$51*(AY40-逐级计算!$P$51)*LN(10)/10),0)+LN(1+EXP(-ABS((LN(10^(逐级计算!$Q$51/10)-1)+逐级计算!$Q$51*(AY40-逐级计算!$P$51)*LN(10)/10))))))),"")</f>
        <v>13.7930365687353</v>
      </c>
      <c r="BA40">
        <f>IF(AND(ISNUMBER(AZ40),逐级计算!$X$52&gt;-1),IF(逐级计算!$X$52=0,AZ40+逐级计算!$C$52,AZ40+逐级计算!$C$52-(10/(逐级计算!$Q$52*LN(10))*(MAX((LN(10^(逐级计算!$Q$52/10)-1)+逐级计算!$Q$52*(AZ40-逐级计算!$P$52)*LN(10)/10),0)+LN(1+EXP(-ABS((LN(10^(逐级计算!$Q$52/10)-1)+逐级计算!$Q$52*(AZ40-逐级计算!$P$52)*LN(10)/10))))))),"")</f>
        <v>13.7930365687353</v>
      </c>
      <c r="BB40">
        <f>IF(AND(ISNUMBER(BA40),逐级计算!$X$53&gt;-1),IF(逐级计算!$X$53=0,BA40+逐级计算!$C$53,BA40+逐级计算!$C$53-(10/(逐级计算!$Q$53*LN(10))*(MAX((LN(10^(逐级计算!$Q$53/10)-1)+逐级计算!$Q$53*(BA40-逐级计算!$P$53)*LN(10)/10),0)+LN(1+EXP(-ABS((LN(10^(逐级计算!$Q$53/10)-1)+逐级计算!$Q$53*(BA40-逐级计算!$P$53)*LN(10)/10))))))),"")</f>
        <v>13.7930365687353</v>
      </c>
      <c r="BC40">
        <f>IF(AND(ISNUMBER(BB40),逐级计算!$X$54&gt;-1),IF(逐级计算!$X$54=0,BB40+逐级计算!$C$54,BB40+逐级计算!$C$54-(10/(逐级计算!$Q$54*LN(10))*(MAX((LN(10^(逐级计算!$Q$54/10)-1)+逐级计算!$Q$54*(BB40-逐级计算!$P$54)*LN(10)/10),0)+LN(1+EXP(-ABS((LN(10^(逐级计算!$Q$54/10)-1)+逐级计算!$Q$54*(BB40-逐级计算!$P$54)*LN(10)/10))))))),"")</f>
        <v>13.7930365687353</v>
      </c>
      <c r="BD40">
        <f>IF(AND(ISNUMBER(BC40),逐级计算!$X$55&gt;-1),IF(逐级计算!$X$55=0,BC40+逐级计算!$C$55,BC40+逐级计算!$C$55-(10/(逐级计算!$Q$55*LN(10))*(MAX((LN(10^(逐级计算!$Q$55/10)-1)+逐级计算!$Q$55*(BC40-逐级计算!$P$55)*LN(10)/10),0)+LN(1+EXP(-ABS((LN(10^(逐级计算!$Q$55/10)-1)+逐级计算!$Q$55*(BC40-逐级计算!$P$55)*LN(10)/10))))))),"")</f>
        <v>13.7930365687353</v>
      </c>
      <c r="BE40">
        <f>IF(AND(ISNUMBER(BD40),逐级计算!$X$56&gt;-1),IF(逐级计算!$X$56=0,BD40+逐级计算!$C$56,BD40+逐级计算!$C$56-(10/(逐级计算!$Q$56*LN(10))*(MAX((LN(10^(逐级计算!$Q$56/10)-1)+逐级计算!$Q$56*(BD40-逐级计算!$P$56)*LN(10)/10),0)+LN(1+EXP(-ABS((LN(10^(逐级计算!$Q$56/10)-1)+逐级计算!$Q$56*(BD40-逐级计算!$P$56)*LN(10)/10))))))),"")</f>
        <v>13.7930365687353</v>
      </c>
      <c r="BF40">
        <f>IF(AND(ISNUMBER(BE40),逐级计算!$X$57&gt;-1),IF(逐级计算!$X$57=0,BE40+逐级计算!$C$57,BE40+逐级计算!$C$57-(10/(逐级计算!$Q$57*LN(10))*(MAX((LN(10^(逐级计算!$Q$57/10)-1)+逐级计算!$Q$57*(BE40-逐级计算!$P$57)*LN(10)/10),0)+LN(1+EXP(-ABS((LN(10^(逐级计算!$Q$57/10)-1)+逐级计算!$Q$57*(BE40-逐级计算!$P$57)*LN(10)/10))))))),"")</f>
        <v>13.7930365687353</v>
      </c>
      <c r="BG40">
        <f>IF(AND(ISNUMBER(BF40),逐级计算!$X$58&gt;-1),IF(逐级计算!$X$58=0,BF40+逐级计算!$C$58,BF40+逐级计算!$C$58-(10/(逐级计算!$Q$58*LN(10))*(MAX((LN(10^(逐级计算!$Q$58/10)-1)+逐级计算!$Q$58*(BF40-逐级计算!$P$58)*LN(10)/10),0)+LN(1+EXP(-ABS((LN(10^(逐级计算!$Q$58/10)-1)+逐级计算!$Q$58*(BF40-逐级计算!$P$58)*LN(10)/10))))))),"")</f>
        <v>13.7930365687353</v>
      </c>
      <c r="BH40">
        <f>IF(AND(ISNUMBER(BG40),逐级计算!$X$59&gt;-1),IF(逐级计算!$X$59=0,BG40+逐级计算!$C$59,BG40+逐级计算!$C$59-(10/(逐级计算!$Q$59*LN(10))*(MAX((LN(10^(逐级计算!$Q$59/10)-1)+逐级计算!$Q$59*(BG40-逐级计算!$P$59)*LN(10)/10),0)+LN(1+EXP(-ABS((LN(10^(逐级计算!$Q$59/10)-1)+逐级计算!$Q$59*(BG40-逐级计算!$P$59)*LN(10)/10))))))),"")</f>
        <v>13.7930365687353</v>
      </c>
      <c r="BI40">
        <f>IF(AND(ISNUMBER(BH40),逐级计算!$X$60&gt;-1),IF(逐级计算!$X$60=0,BH40+逐级计算!$C$60,BH40+逐级计算!$C$60-(10/(逐级计算!$Q$60*LN(10))*(MAX((LN(10^(逐级计算!$Q$60/10)-1)+逐级计算!$Q$60*(BH40-逐级计算!$P$60)*LN(10)/10),0)+LN(1+EXP(-ABS((LN(10^(逐级计算!$Q$60/10)-1)+逐级计算!$Q$60*(BH40-逐级计算!$P$60)*LN(10)/10))))))),"")</f>
        <v>13.7930365687353</v>
      </c>
      <c r="BJ40">
        <f>IF(AND(ISNUMBER(BI40),逐级计算!$X$61&gt;-1),IF(逐级计算!$X$61=0,BI40+逐级计算!$C$61,BI40+逐级计算!$C$61-(10/(逐级计算!$Q$61*LN(10))*(MAX((LN(10^(逐级计算!$Q$61/10)-1)+逐级计算!$Q$61*(BI40-逐级计算!$P$61)*LN(10)/10),0)+LN(1+EXP(-ABS((LN(10^(逐级计算!$Q$61/10)-1)+逐级计算!$Q$61*(BI40-逐级计算!$P$61)*LN(10)/10))))))),"")</f>
        <v>13.7930365687353</v>
      </c>
      <c r="BK40">
        <f>IF(AND(ISNUMBER(BJ40),逐级计算!$X$62&gt;-1),IF(逐级计算!$X$62=0,BJ40+逐级计算!$C$62,BJ40+逐级计算!$C$62-(10/(逐级计算!$Q$62*LN(10))*(MAX((LN(10^(逐级计算!$Q$62/10)-1)+逐级计算!$Q$62*(BJ40-逐级计算!$P$62)*LN(10)/10),0)+LN(1+EXP(-ABS((LN(10^(逐级计算!$Q$62/10)-1)+逐级计算!$Q$62*(BJ40-逐级计算!$P$62)*LN(10)/10))))))),"")</f>
        <v>13.7930365687353</v>
      </c>
      <c r="BL40">
        <f>IF(AND(ISNUMBER(BK40),逐级计算!$X$63&gt;-1),IF(逐级计算!$X$63=0,BK40+逐级计算!$C$63,BK40+逐级计算!$C$63-(10/(逐级计算!$Q$63*LN(10))*(MAX((LN(10^(逐级计算!$Q$63/10)-1)+逐级计算!$Q$63*(BK40-逐级计算!$P$63)*LN(10)/10),0)+LN(1+EXP(-ABS((LN(10^(逐级计算!$Q$63/10)-1)+逐级计算!$Q$63*(BK40-逐级计算!$P$63)*LN(10)/10))))))),"")</f>
        <v>13.7930365687353</v>
      </c>
      <c r="BM40">
        <f>IF(AND(ISNUMBER(BL40),逐级计算!$X$64&gt;-1),IF(逐级计算!$X$64=0,BL40+逐级计算!$C$64,BL40+逐级计算!$C$64-(10/(逐级计算!$Q$64*LN(10))*(MAX((LN(10^(逐级计算!$Q$64/10)-1)+逐级计算!$Q$64*(BL40-逐级计算!$P$64)*LN(10)/10),0)+LN(1+EXP(-ABS((LN(10^(逐级计算!$Q$64/10)-1)+逐级计算!$Q$64*(BL40-逐级计算!$P$64)*LN(10)/10))))))),"")</f>
        <v>13.7930365687353</v>
      </c>
      <c r="BN40">
        <f>IF(AND(ISNUMBER(BM40),逐级计算!$X$65&gt;-1),IF(逐级计算!$X$65=0,BM40+逐级计算!$C$65,BM40+逐级计算!$C$65-(10/(逐级计算!$Q$65*LN(10))*(MAX((LN(10^(逐级计算!$Q$65/10)-1)+逐级计算!$Q$65*(BM40-逐级计算!$P$65)*LN(10)/10),0)+LN(1+EXP(-ABS((LN(10^(逐级计算!$Q$65/10)-1)+逐级计算!$Q$65*(BM40-逐级计算!$P$65)*LN(10)/10))))))),"")</f>
        <v>13.7930365687353</v>
      </c>
      <c r="BO40">
        <f>IF(AND(ISNUMBER(BN40),逐级计算!$X$66&gt;-1),IF(逐级计算!$X$66=0,BN40+逐级计算!$C$66,BN40+逐级计算!$C$66-(10/(逐级计算!$Q$66*LN(10))*(MAX((LN(10^(逐级计算!$Q$66/10)-1)+逐级计算!$Q$66*(BN40-逐级计算!$P$66)*LN(10)/10),0)+LN(1+EXP(-ABS((LN(10^(逐级计算!$Q$66/10)-1)+逐级计算!$Q$66*(BN40-逐级计算!$P$66)*LN(10)/10))))))),"")</f>
        <v>13.7930365687353</v>
      </c>
      <c r="BP40">
        <f>IF(AND(ISNUMBER(BO40),逐级计算!$X$67&gt;-1),IF(逐级计算!$X$67=0,BO40+逐级计算!$C$67,BO40+逐级计算!$C$67-(10/(逐级计算!$Q$67*LN(10))*(MAX((LN(10^(逐级计算!$Q$67/10)-1)+逐级计算!$Q$67*(BO40-逐级计算!$P$67)*LN(10)/10),0)+LN(1+EXP(-ABS((LN(10^(逐级计算!$Q$67/10)-1)+逐级计算!$Q$67*(BO40-逐级计算!$P$67)*LN(10)/10))))))),"")</f>
        <v>13.7930365687353</v>
      </c>
      <c r="BQ40">
        <f>IF(AND(ISNUMBER(BP40),逐级计算!$X$68&gt;-1),IF(逐级计算!$X$68=0,BP40+逐级计算!$C$68,BP40+逐级计算!$C$68-(10/(逐级计算!$Q$68*LN(10))*(MAX((LN(10^(逐级计算!$Q$68/10)-1)+逐级计算!$Q$68*(BP40-逐级计算!$P$68)*LN(10)/10),0)+LN(1+EXP(-ABS((LN(10^(逐级计算!$Q$68/10)-1)+逐级计算!$Q$68*(BP40-逐级计算!$P$68)*LN(10)/10))))))),"")</f>
        <v>13.7930365687353</v>
      </c>
      <c r="BR40">
        <f>IF(AND(ISNUMBER(BQ40),逐级计算!$X$69&gt;-1),IF(逐级计算!$X$69=0,BQ40+逐级计算!$C$69,BQ40+逐级计算!$C$69-(10/(逐级计算!$Q$69*LN(10))*(MAX((LN(10^(逐级计算!$Q$69/10)-1)+逐级计算!$Q$69*(BQ40-逐级计算!$P$69)*LN(10)/10),0)+LN(1+EXP(-ABS((LN(10^(逐级计算!$Q$69/10)-1)+逐级计算!$Q$69*(BQ40-逐级计算!$P$69)*LN(10)/10))))))),"")</f>
        <v>13.7930365687353</v>
      </c>
      <c r="BS40">
        <f>IF(AND(ISNUMBER(BR40),逐级计算!$X$70&gt;-1),IF(逐级计算!$X$70=0,BR40+逐级计算!$C$70,BR40+逐级计算!$C$70-(10/(逐级计算!$Q$70*LN(10))*(MAX((LN(10^(逐级计算!$Q$70/10)-1)+逐级计算!$Q$70*(BR40-逐级计算!$P$70)*LN(10)/10),0)+LN(1+EXP(-ABS((LN(10^(逐级计算!$Q$70/10)-1)+逐级计算!$Q$70*(BR40-逐级计算!$P$70)*LN(10)/10))))))),"")</f>
        <v>13.7930365687353</v>
      </c>
      <c r="BT40">
        <f>IF(AND(ISNUMBER(BS40),逐级计算!$X$71&gt;-1),IF(逐级计算!$X$71=0,BS40+逐级计算!$C$71,BS40+逐级计算!$C$71-(10/(逐级计算!$Q$71*LN(10))*(MAX((LN(10^(逐级计算!$Q$71/10)-1)+逐级计算!$Q$71*(BS40-逐级计算!$P$71)*LN(10)/10),0)+LN(1+EXP(-ABS((LN(10^(逐级计算!$Q$71/10)-1)+逐级计算!$Q$71*(BS40-逐级计算!$P$71)*LN(10)/10))))))),"")</f>
        <v>13.7930365687353</v>
      </c>
      <c r="BU40">
        <f>IF(AND(ISNUMBER(BT40),逐级计算!$X$72&gt;-1),IF(逐级计算!$X$72=0,BT40+逐级计算!$C$72,BT40+逐级计算!$C$72-(10/(逐级计算!$Q$72*LN(10))*(MAX((LN(10^(逐级计算!$Q$72/10)-1)+逐级计算!$Q$72*(BT40-逐级计算!$P$72)*LN(10)/10),0)+LN(1+EXP(-ABS((LN(10^(逐级计算!$Q$72/10)-1)+逐级计算!$Q$72*(BT40-逐级计算!$P$72)*LN(10)/10))))))),"")</f>
        <v>13.7930365687353</v>
      </c>
      <c r="BV40">
        <f>IF(AND(ISNUMBER(BU40),逐级计算!$X$73&gt;-1),IF(逐级计算!$X$73=0,BU40+逐级计算!$C$73,BU40+逐级计算!$C$73-(10/(逐级计算!$Q$73*LN(10))*(MAX((LN(10^(逐级计算!$Q$73/10)-1)+逐级计算!$Q$73*(BU40-逐级计算!$P$73)*LN(10)/10),0)+LN(1+EXP(-ABS((LN(10^(逐级计算!$Q$73/10)-1)+逐级计算!$Q$73*(BU40-逐级计算!$P$73)*LN(10)/10))))))),"")</f>
        <v>13.7930365687353</v>
      </c>
      <c r="BW40">
        <f>IF(AND(ISNUMBER(BV40),逐级计算!$X$74&gt;-1),IF(逐级计算!$X$74=0,BV40+逐级计算!$C$74,BV40+逐级计算!$C$74-(10/(逐级计算!$Q$74*LN(10))*(MAX((LN(10^(逐级计算!$Q$74/10)-1)+逐级计算!$Q$74*(BV40-逐级计算!$P$74)*LN(10)/10),0)+LN(1+EXP(-ABS((LN(10^(逐级计算!$Q$74/10)-1)+逐级计算!$Q$74*(BV40-逐级计算!$P$74)*LN(10)/10))))))),"")</f>
        <v>13.7930365687353</v>
      </c>
      <c r="BX40">
        <f>IF(AND(ISNUMBER(BW40),逐级计算!$X$75&gt;-1),IF(逐级计算!$X$75=0,BW40+逐级计算!$C$75,BW40+逐级计算!$C$75-(10/(逐级计算!$Q$75*LN(10))*(MAX((LN(10^(逐级计算!$Q$75/10)-1)+逐级计算!$Q$75*(BW40-逐级计算!$P$75)*LN(10)/10),0)+LN(1+EXP(-ABS((LN(10^(逐级计算!$Q$75/10)-1)+逐级计算!$Q$75*(BW40-逐级计算!$P$75)*LN(10)/10))))))),"")</f>
        <v>13.7930365687353</v>
      </c>
      <c r="BY40">
        <f>IF(AND(ISNUMBER(BX40),逐级计算!$X$76&gt;-1),IF(逐级计算!$X$76=0,BX40+逐级计算!$C$76,BX40+逐级计算!$C$76-(10/(逐级计算!$Q$76*LN(10))*(MAX((LN(10^(逐级计算!$Q$76/10)-1)+逐级计算!$Q$76*(BX40-逐级计算!$P$76)*LN(10)/10),0)+LN(1+EXP(-ABS((LN(10^(逐级计算!$Q$76/10)-1)+逐级计算!$Q$76*(BX40-逐级计算!$P$76)*LN(10)/10))))))),"")</f>
        <v>13.7930365687353</v>
      </c>
      <c r="BZ40">
        <f>IF(AND(ISNUMBER(BY40),逐级计算!$X$77&gt;-1),IF(逐级计算!$X$77=0,BY40+逐级计算!$C$77,BY40+逐级计算!$C$77-(10/(逐级计算!$Q$77*LN(10))*(MAX((LN(10^(逐级计算!$Q$77/10)-1)+逐级计算!$Q$77*(BY40-逐级计算!$P$77)*LN(10)/10),0)+LN(1+EXP(-ABS((LN(10^(逐级计算!$Q$77/10)-1)+逐级计算!$Q$77*(BY40-逐级计算!$P$77)*LN(10)/10))))))),"")</f>
        <v>13.7930365687353</v>
      </c>
      <c r="CA40">
        <f>IF(AND(ISNUMBER(BZ40),逐级计算!$X$78&gt;-1),IF(逐级计算!$X$78=0,BZ40+逐级计算!$C$78,BZ40+逐级计算!$C$78-(10/(逐级计算!$Q$78*LN(10))*(MAX((LN(10^(逐级计算!$Q$78/10)-1)+逐级计算!$Q$78*(BZ40-逐级计算!$P$78)*LN(10)/10),0)+LN(1+EXP(-ABS((LN(10^(逐级计算!$Q$78/10)-1)+逐级计算!$Q$78*(BZ40-逐级计算!$P$78)*LN(10)/10))))))),"")</f>
        <v>13.7930365687353</v>
      </c>
      <c r="CB40">
        <f>IF(AND(ISNUMBER(CA40),逐级计算!$X$79&gt;-1),IF(逐级计算!$X$79=0,CA40+逐级计算!$C$79,CA40+逐级计算!$C$79-(10/(逐级计算!$Q$79*LN(10))*(MAX((LN(10^(逐级计算!$Q$79/10)-1)+逐级计算!$Q$79*(CA40-逐级计算!$P$79)*LN(10)/10),0)+LN(1+EXP(-ABS((LN(10^(逐级计算!$Q$79/10)-1)+逐级计算!$Q$79*(CA40-逐级计算!$P$79)*LN(10)/10))))))),"")</f>
        <v>13.7930365687353</v>
      </c>
      <c r="CC40">
        <f>IF(AND(ISNUMBER(CB40),逐级计算!$X$80&gt;-1),IF(逐级计算!$X$80=0,CB40+逐级计算!$C$80,CB40+逐级计算!$C$80-(10/(逐级计算!$Q$80*LN(10))*(MAX((LN(10^(逐级计算!$Q$80/10)-1)+逐级计算!$Q$80*(CB40-逐级计算!$P$80)*LN(10)/10),0)+LN(1+EXP(-ABS((LN(10^(逐级计算!$Q$80/10)-1)+逐级计算!$Q$80*(CB40-逐级计算!$P$80)*LN(10)/10))))))),"")</f>
        <v>13.7930365687353</v>
      </c>
      <c r="CD40">
        <f>IF(AND(ISNUMBER(CC40),逐级计算!$X$81&gt;-1),IF(逐级计算!$X$81=0,CC40+逐级计算!$C$81,CC40+逐级计算!$C$81-(10/(逐级计算!$Q$81*LN(10))*(MAX((LN(10^(逐级计算!$Q$81/10)-1)+逐级计算!$Q$81*(CC40-逐级计算!$P$81)*LN(10)/10),0)+LN(1+EXP(-ABS((LN(10^(逐级计算!$Q$81/10)-1)+逐级计算!$Q$81*(CC40-逐级计算!$P$81)*LN(10)/10))))))),"")</f>
        <v>13.7930365687353</v>
      </c>
      <c r="CE40">
        <f>IF(AND(ISNUMBER(CD40),逐级计算!$X$82&gt;-1),IF(逐级计算!$X$82=0,CD40+逐级计算!$C$82,CD40+逐级计算!$C$82-(10/(逐级计算!$Q$82*LN(10))*(MAX((LN(10^(逐级计算!$Q$82/10)-1)+逐级计算!$Q$82*(CD40-逐级计算!$P$82)*LN(10)/10),0)+LN(1+EXP(-ABS((LN(10^(逐级计算!$Q$82/10)-1)+逐级计算!$Q$82*(CD40-逐级计算!$P$82)*LN(10)/10))))))),"")</f>
        <v>13.7930365687353</v>
      </c>
      <c r="CF40">
        <f>IF(AND(ISNUMBER(CE40),逐级计算!$X$83&gt;-1),IF(逐级计算!$X$83=0,CE40+逐级计算!$C$83,CE40+逐级计算!$C$83-(10/(逐级计算!$Q$83*LN(10))*(MAX((LN(10^(逐级计算!$Q$83/10)-1)+逐级计算!$Q$83*(CE40-逐级计算!$P$83)*LN(10)/10),0)+LN(1+EXP(-ABS((LN(10^(逐级计算!$Q$83/10)-1)+逐级计算!$Q$83*(CE40-逐级计算!$P$83)*LN(10)/10))))))),"")</f>
        <v>13.7930365687353</v>
      </c>
      <c r="CG40">
        <f>IF(AND(ISNUMBER(CF40),逐级计算!$X$84&gt;-1),IF(逐级计算!$X$84=0,CF40+逐级计算!$C$84,CF40+逐级计算!$C$84-(10/(逐级计算!$Q$84*LN(10))*(MAX((LN(10^(逐级计算!$Q$84/10)-1)+逐级计算!$Q$84*(CF40-逐级计算!$P$84)*LN(10)/10),0)+LN(1+EXP(-ABS((LN(10^(逐级计算!$Q$84/10)-1)+逐级计算!$Q$84*(CF40-逐级计算!$P$84)*LN(10)/10))))))),"")</f>
        <v>13.7930365687353</v>
      </c>
      <c r="CH40">
        <f>IF(AND(ISNUMBER(CG40),逐级计算!$X$85&gt;-1),IF(逐级计算!$X$85=0,CG40+逐级计算!$C$85,CG40+逐级计算!$C$85-(10/(逐级计算!$Q$85*LN(10))*(MAX((LN(10^(逐级计算!$Q$85/10)-1)+逐级计算!$Q$85*(CG40-逐级计算!$P$85)*LN(10)/10),0)+LN(1+EXP(-ABS((LN(10^(逐级计算!$Q$85/10)-1)+逐级计算!$Q$85*(CG40-逐级计算!$P$85)*LN(10)/10))))))),"")</f>
        <v>13.7930365687353</v>
      </c>
      <c r="CI40">
        <f>IF(AND(ISNUMBER(CH40),逐级计算!$X$86&gt;-1),IF(逐级计算!$X$86=0,CH40+逐级计算!$C$86,CH40+逐级计算!$C$86-(10/(逐级计算!$Q$86*LN(10))*(MAX((LN(10^(逐级计算!$Q$86/10)-1)+逐级计算!$Q$86*(CH40-逐级计算!$P$86)*LN(10)/10),0)+LN(1+EXP(-ABS((LN(10^(逐级计算!$Q$86/10)-1)+逐级计算!$Q$86*(CH40-逐级计算!$P$86)*LN(10)/10))))))),"")</f>
        <v>13.7930365687353</v>
      </c>
      <c r="CJ40">
        <f>IF(AND(ISNUMBER(CI40),逐级计算!$X$87&gt;-1),IF(逐级计算!$X$87=0,CI40+逐级计算!$C$87,CI40+逐级计算!$C$87-(10/(逐级计算!$Q$87*LN(10))*(MAX((LN(10^(逐级计算!$Q$87/10)-1)+逐级计算!$Q$87*(CI40-逐级计算!$P$87)*LN(10)/10),0)+LN(1+EXP(-ABS((LN(10^(逐级计算!$Q$87/10)-1)+逐级计算!$Q$87*(CI40-逐级计算!$P$87)*LN(10)/10))))))),"")</f>
        <v>13.7930365687353</v>
      </c>
      <c r="CK40">
        <f>IF(AND(ISNUMBER(CJ40),逐级计算!$X$88&gt;-1),IF(逐级计算!$X$88=0,CJ40+逐级计算!$C$88,CJ40+逐级计算!$C$88-(10/(逐级计算!$Q$88*LN(10))*(MAX((LN(10^(逐级计算!$Q$88/10)-1)+逐级计算!$Q$88*(CJ40-逐级计算!$P$88)*LN(10)/10),0)+LN(1+EXP(-ABS((LN(10^(逐级计算!$Q$88/10)-1)+逐级计算!$Q$88*(CJ40-逐级计算!$P$88)*LN(10)/10))))))),"")</f>
        <v>13.7930365687353</v>
      </c>
      <c r="CL40">
        <f>IF(AND(ISNUMBER(CK40),逐级计算!$X$89&gt;-1),IF(逐级计算!$X$89=0,CK40+逐级计算!$C$89,CK40+逐级计算!$C$89-(10/(逐级计算!$Q$89*LN(10))*(MAX((LN(10^(逐级计算!$Q$89/10)-1)+逐级计算!$Q$89*(CK40-逐级计算!$P$89)*LN(10)/10),0)+LN(1+EXP(-ABS((LN(10^(逐级计算!$Q$89/10)-1)+逐级计算!$Q$89*(CK40-逐级计算!$P$89)*LN(10)/10))))))),"")</f>
        <v>13.7930365687353</v>
      </c>
      <c r="CM40">
        <f>IF(AND(ISNUMBER(CL40),逐级计算!$X$90&gt;-1),IF(逐级计算!$X$90=0,CL40+逐级计算!$C$90,CL40+逐级计算!$C$90-(10/(逐级计算!$Q$90*LN(10))*(MAX((LN(10^(逐级计算!$Q$90/10)-1)+逐级计算!$Q$90*(CL40-逐级计算!$P$90)*LN(10)/10),0)+LN(1+EXP(-ABS((LN(10^(逐级计算!$Q$90/10)-1)+逐级计算!$Q$90*(CL40-逐级计算!$P$90)*LN(10)/10))))))),"")</f>
        <v>13.7930365687353</v>
      </c>
      <c r="CN40">
        <f>IF(AND(ISNUMBER(CM40),逐级计算!$X$91&gt;-1),IF(逐级计算!$X$91=0,CM40+逐级计算!$C$91,CM40+逐级计算!$C$91-(10/(逐级计算!$Q$91*LN(10))*(MAX((LN(10^(逐级计算!$Q$91/10)-1)+逐级计算!$Q$91*(CM40-逐级计算!$P$91)*LN(10)/10),0)+LN(1+EXP(-ABS((LN(10^(逐级计算!$Q$91/10)-1)+逐级计算!$Q$91*(CM40-逐级计算!$P$91)*LN(10)/10))))))),"")</f>
        <v>13.7930365687353</v>
      </c>
      <c r="CO40">
        <f>IF(AND(ISNUMBER(CN40),逐级计算!$X$92&gt;-1),IF(逐级计算!$X$92=0,CN40+逐级计算!$C$92,CN40+逐级计算!$C$92-(10/(逐级计算!$Q$92*LN(10))*(MAX((LN(10^(逐级计算!$Q$92/10)-1)+逐级计算!$Q$92*(CN40-逐级计算!$P$92)*LN(10)/10),0)+LN(1+EXP(-ABS((LN(10^(逐级计算!$Q$92/10)-1)+逐级计算!$Q$92*(CN40-逐级计算!$P$92)*LN(10)/10))))))),"")</f>
        <v>13.7930365687353</v>
      </c>
      <c r="CP40">
        <f>IF(AND(ISNUMBER(CO40),逐级计算!$X$93&gt;-1),IF(逐级计算!$X$93=0,CO40+逐级计算!$C$93,CO40+逐级计算!$C$93-(10/(逐级计算!$Q$93*LN(10))*(MAX((LN(10^(逐级计算!$Q$93/10)-1)+逐级计算!$Q$93*(CO40-逐级计算!$P$93)*LN(10)/10),0)+LN(1+EXP(-ABS((LN(10^(逐级计算!$Q$93/10)-1)+逐级计算!$Q$93*(CO40-逐级计算!$P$93)*LN(10)/10))))))),"")</f>
        <v>13.7930365687353</v>
      </c>
      <c r="CQ40">
        <f>IF(AND(ISNUMBER(CP40),逐级计算!$X$94&gt;-1),IF(逐级计算!$X$94=0,CP40+逐级计算!$C$94,CP40+逐级计算!$C$94-(10/(逐级计算!$Q$94*LN(10))*(MAX((LN(10^(逐级计算!$Q$94/10)-1)+逐级计算!$Q$94*(CP40-逐级计算!$P$94)*LN(10)/10),0)+LN(1+EXP(-ABS((LN(10^(逐级计算!$Q$94/10)-1)+逐级计算!$Q$94*(CP40-逐级计算!$P$94)*LN(10)/10))))))),"")</f>
        <v>13.7930365687353</v>
      </c>
      <c r="CR40">
        <f>IF(AND(ISNUMBER(CQ40),逐级计算!$X$95&gt;-1),IF(逐级计算!$X$95=0,CQ40+逐级计算!$C$95,CQ40+逐级计算!$C$95-(10/(逐级计算!$Q$95*LN(10))*(MAX((LN(10^(逐级计算!$Q$95/10)-1)+逐级计算!$Q$95*(CQ40-逐级计算!$P$95)*LN(10)/10),0)+LN(1+EXP(-ABS((LN(10^(逐级计算!$Q$95/10)-1)+逐级计算!$Q$95*(CQ40-逐级计算!$P$95)*LN(10)/10))))))),"")</f>
        <v>13.7930365687353</v>
      </c>
      <c r="CS40">
        <f>IF(AND(ISNUMBER(CR40),逐级计算!$X$96&gt;-1),IF(逐级计算!$X$96=0,CR40+逐级计算!$C$96,CR40+逐级计算!$C$96-(10/(逐级计算!$Q$96*LN(10))*(MAX((LN(10^(逐级计算!$Q$96/10)-1)+逐级计算!$Q$96*(CR40-逐级计算!$P$96)*LN(10)/10),0)+LN(1+EXP(-ABS((LN(10^(逐级计算!$Q$96/10)-1)+逐级计算!$Q$96*(CR40-逐级计算!$P$96)*LN(10)/10))))))),"")</f>
        <v>13.7930365687353</v>
      </c>
      <c r="CT40">
        <f>IF(AND(ISNUMBER(CS40),逐级计算!$X$97&gt;-1),IF(逐级计算!$X$97=0,CS40+逐级计算!$C$97,CS40+逐级计算!$C$97-(10/(逐级计算!$Q$97*LN(10))*(MAX((LN(10^(逐级计算!$Q$97/10)-1)+逐级计算!$Q$97*(CS40-逐级计算!$P$97)*LN(10)/10),0)+LN(1+EXP(-ABS((LN(10^(逐级计算!$Q$97/10)-1)+逐级计算!$Q$97*(CS40-逐级计算!$P$97)*LN(10)/10))))))),"")</f>
        <v>13.7930365687353</v>
      </c>
      <c r="CU40">
        <f>IF(AND(ISNUMBER(CT40),逐级计算!$X$98&gt;-1),IF(逐级计算!$X$98=0,CT40+逐级计算!$C$98,CT40+逐级计算!$C$98-(10/(逐级计算!$Q$98*LN(10))*(MAX((LN(10^(逐级计算!$Q$98/10)-1)+逐级计算!$Q$98*(CT40-逐级计算!$P$98)*LN(10)/10),0)+LN(1+EXP(-ABS((LN(10^(逐级计算!$Q$98/10)-1)+逐级计算!$Q$98*(CT40-逐级计算!$P$98)*LN(10)/10))))))),"")</f>
        <v>13.7930365687353</v>
      </c>
      <c r="CV40">
        <f>IF(AND(ISNUMBER(CU40),逐级计算!$X$99&gt;-1),IF(逐级计算!$X$99=0,CU40+逐级计算!$C$99,CU40+逐级计算!$C$99-(10/(逐级计算!$Q$99*LN(10))*(MAX((LN(10^(逐级计算!$Q$99/10)-1)+逐级计算!$Q$99*(CU40-逐级计算!$P$99)*LN(10)/10),0)+LN(1+EXP(-ABS((LN(10^(逐级计算!$Q$99/10)-1)+逐级计算!$Q$99*(CU40-逐级计算!$P$99)*LN(10)/10))))))),"")</f>
        <v>13.7930365687353</v>
      </c>
      <c r="CW40">
        <f>IF(AND(ISNUMBER(CV40),逐级计算!$X$100&gt;-1),IF(逐级计算!$X$100=0,CV40+逐级计算!$C$100,CV40+逐级计算!$C$100-(10/(逐级计算!$Q$100*LN(10))*(MAX((LN(10^(逐级计算!$Q$100/10)-1)+逐级计算!$Q$100*(CV40-逐级计算!$P$100)*LN(10)/10),0)+LN(1+EXP(-ABS((LN(10^(逐级计算!$Q$100/10)-1)+逐级计算!$Q$100*(CV40-逐级计算!$P$100)*LN(10)/10))))))),"")</f>
        <v>13.7930365687353</v>
      </c>
      <c r="CX40">
        <f>IF(AND(ISNUMBER(CW40),逐级计算!$X$101&gt;-1),IF(逐级计算!$X$101=0,CW40+逐级计算!$C$101,CW40+逐级计算!$C$101-(10/(逐级计算!$Q$101*LN(10))*(MAX((LN(10^(逐级计算!$Q$101/10)-1)+逐级计算!$Q$101*(CW40-逐级计算!$P$101)*LN(10)/10),0)+LN(1+EXP(-ABS((LN(10^(逐级计算!$Q$101/10)-1)+逐级计算!$Q$101*(CW40-逐级计算!$P$101)*LN(10)/10))))))),"")</f>
        <v>13.7930365687353</v>
      </c>
      <c r="CY40">
        <f>IF(AND(ISNUMBER(CX40),逐级计算!$X$102&gt;-1),IF(逐级计算!$X$102=0,CX40+逐级计算!$C$102,CX40+逐级计算!$C$102-(10/(逐级计算!$Q$102*LN(10))*(MAX((LN(10^(逐级计算!$Q$102/10)-1)+逐级计算!$Q$102*(CX40-逐级计算!$P$102)*LN(10)/10),0)+LN(1+EXP(-ABS((LN(10^(逐级计算!$Q$102/10)-1)+逐级计算!$Q$102*(CX40-逐级计算!$P$102)*LN(10)/10))))))),"")</f>
        <v>13.7930365687353</v>
      </c>
      <c r="CZ40">
        <f>IF(AND(ISNUMBER(CY40),逐级计算!$X$103&gt;-1),IF(逐级计算!$X$103=0,CY40+逐级计算!$C$103,CY40+逐级计算!$C$103-(10/(逐级计算!$Q$103*LN(10))*(MAX((LN(10^(逐级计算!$Q$103/10)-1)+逐级计算!$Q$103*(CY40-逐级计算!$P$103)*LN(10)/10),0)+LN(1+EXP(-ABS((LN(10^(逐级计算!$Q$103/10)-1)+逐级计算!$Q$103*(CY40-逐级计算!$P$103)*LN(10)/10))))))),"")</f>
        <v>13.7930365687353</v>
      </c>
      <c r="DA40">
        <f>IF(AND(ISNUMBER(CZ40),逐级计算!$X$104&gt;-1),IF(逐级计算!$X$104=0,CZ40+逐级计算!$C$104,CZ40+逐级计算!$C$104-(10/(逐级计算!$Q$104*LN(10))*(MAX((LN(10^(逐级计算!$Q$104/10)-1)+逐级计算!$Q$104*(CZ40-逐级计算!$P$104)*LN(10)/10),0)+LN(1+EXP(-ABS((LN(10^(逐级计算!$Q$104/10)-1)+逐级计算!$Q$104*(CZ40-逐级计算!$P$104)*LN(10)/10))))))),"")</f>
        <v>13.7930365687353</v>
      </c>
      <c r="DB40">
        <f>IF(AND(ISNUMBER(DA40),逐级计算!$X$105&gt;-1),IF(逐级计算!$X$105=0,DA40+逐级计算!$C$105,DA40+逐级计算!$C$105-(10/(逐级计算!$Q$105*LN(10))*(MAX((LN(10^(逐级计算!$Q$105/10)-1)+逐级计算!$Q$105*(DA40-逐级计算!$P$105)*LN(10)/10),0)+LN(1+EXP(-ABS((LN(10^(逐级计算!$Q$105/10)-1)+逐级计算!$Q$105*(DA40-逐级计算!$P$105)*LN(10)/10))))))),"")</f>
        <v>13.7930365687353</v>
      </c>
      <c r="DC40">
        <f>IF(AND(ISNUMBER(DB40),逐级计算!$X$106&gt;-1),IF(逐级计算!$X$106=0,DB40+逐级计算!$C$106,DB40+逐级计算!$C$106-(10/(逐级计算!$Q$106*LN(10))*(MAX((LN(10^(逐级计算!$Q$106/10)-1)+逐级计算!$Q$106*(DB40-逐级计算!$P$106)*LN(10)/10),0)+LN(1+EXP(-ABS((LN(10^(逐级计算!$Q$106/10)-1)+逐级计算!$Q$106*(DB40-逐级计算!$P$106)*LN(10)/10))))))),"")</f>
        <v>13.7930365687353</v>
      </c>
      <c r="DD40">
        <f>IF(AND(ISNUMBER(DC40),逐级计算!$X$107&gt;-1),IF(逐级计算!$X$107=0,DC40+逐级计算!$C$107,DC40+逐级计算!$C$107-(10/(逐级计算!$Q$107*LN(10))*(MAX((LN(10^(逐级计算!$Q$107/10)-1)+逐级计算!$Q$107*(DC40-逐级计算!$P$107)*LN(10)/10),0)+LN(1+EXP(-ABS((LN(10^(逐级计算!$Q$107/10)-1)+逐级计算!$Q$107*(DC40-逐级计算!$P$107)*LN(10)/10))))))),"")</f>
        <v>13.7930365687353</v>
      </c>
      <c r="DE40">
        <f>IF(AND(ISNUMBER(DD40),逐级计算!$X$108&gt;-1),IF(逐级计算!$X$108=0,DD40+逐级计算!$C$108,DD40+逐级计算!$C$108-(10/(逐级计算!$Q$108*LN(10))*(MAX((LN(10^(逐级计算!$Q$108/10)-1)+逐级计算!$Q$108*(DD40-逐级计算!$P$108)*LN(10)/10),0)+LN(1+EXP(-ABS((LN(10^(逐级计算!$Q$108/10)-1)+逐级计算!$Q$108*(DD40-逐级计算!$P$108)*LN(10)/10))))))),"")</f>
        <v>13.7930365687353</v>
      </c>
      <c r="DF40">
        <f>IF(AND(ISNUMBER(DE40),逐级计算!$X$109&gt;-1),IF(逐级计算!$X$109=0,DE40+逐级计算!$C$109,DE40+逐级计算!$C$109-(10/(逐级计算!$Q$109*LN(10))*(MAX((LN(10^(逐级计算!$Q$109/10)-1)+逐级计算!$Q$109*(DE40-逐级计算!$P$109)*LN(10)/10),0)+LN(1+EXP(-ABS((LN(10^(逐级计算!$Q$109/10)-1)+逐级计算!$Q$109*(DE40-逐级计算!$P$109)*LN(10)/10))))))),"")</f>
        <v>13.7930365687353</v>
      </c>
      <c r="DG40">
        <f>IF(AND(ISNUMBER(DF40),逐级计算!$X$110&gt;-1),IF(逐级计算!$X$110=0,DF40+逐级计算!$C$110,DF40+逐级计算!$C$110-(10/(逐级计算!$Q$110*LN(10))*(MAX((LN(10^(逐级计算!$Q$110/10)-1)+逐级计算!$Q$110*(DF40-逐级计算!$P$110)*LN(10)/10),0)+LN(1+EXP(-ABS((LN(10^(逐级计算!$Q$110/10)-1)+逐级计算!$Q$110*(DF40-逐级计算!$P$110)*LN(10)/10))))))),"")</f>
        <v>13.7930365687353</v>
      </c>
      <c r="DH40">
        <f>IF(AND(ISNUMBER(DG40),逐级计算!$X$111&gt;-1),IF(逐级计算!$X$111=0,DG40+逐级计算!$C$111,DG40+逐级计算!$C$111-(10/(逐级计算!$Q$111*LN(10))*(MAX((LN(10^(逐级计算!$Q$111/10)-1)+逐级计算!$Q$111*(DG40-逐级计算!$P$111)*LN(10)/10),0)+LN(1+EXP(-ABS((LN(10^(逐级计算!$Q$111/10)-1)+逐级计算!$Q$111*(DG40-逐级计算!$P$111)*LN(10)/10))))))),"")</f>
        <v>13.7930365687353</v>
      </c>
      <c r="DI40">
        <f>IF(AND(ISNUMBER(DH40),逐级计算!$X$112&gt;-1),IF(逐级计算!$X$112=0,DH40+逐级计算!$C$112,DH40+逐级计算!$C$112-(10/(逐级计算!$Q$112*LN(10))*(MAX((LN(10^(逐级计算!$Q$112/10)-1)+逐级计算!$Q$112*(DH40-逐级计算!$P$112)*LN(10)/10),0)+LN(1+EXP(-ABS((LN(10^(逐级计算!$Q$112/10)-1)+逐级计算!$Q$112*(DH40-逐级计算!$P$112)*LN(10)/10))))))),"")</f>
        <v>13.7930365687353</v>
      </c>
      <c r="DJ40">
        <f>IF(AND(ISNUMBER(DI40),逐级计算!$X$113&gt;-1),IF(逐级计算!$X$113=0,DI40+逐级计算!$C$113,DI40+逐级计算!$C$113-(10/(逐级计算!$Q$113*LN(10))*(MAX((LN(10^(逐级计算!$Q$113/10)-1)+逐级计算!$Q$113*(DI40-逐级计算!$P$113)*LN(10)/10),0)+LN(1+EXP(-ABS((LN(10^(逐级计算!$Q$113/10)-1)+逐级计算!$Q$113*(DI40-逐级计算!$P$113)*LN(10)/10))))))),"")</f>
        <v>13.7930365687353</v>
      </c>
      <c r="DK40">
        <f>IF(AND(ISNUMBER(DJ40),逐级计算!$X$114&gt;-1),IF(逐级计算!$X$114=0,DJ40+逐级计算!$C$114,DJ40+逐级计算!$C$114-(10/(逐级计算!$Q$114*LN(10))*(MAX((LN(10^(逐级计算!$Q$114/10)-1)+逐级计算!$Q$114*(DJ40-逐级计算!$P$114)*LN(10)/10),0)+LN(1+EXP(-ABS((LN(10^(逐级计算!$Q$114/10)-1)+逐级计算!$Q$114*(DJ40-逐级计算!$P$114)*LN(10)/10))))))),"")</f>
        <v>13.7930365687353</v>
      </c>
      <c r="DL40">
        <f>IF(AND(ISNUMBER(DK40),逐级计算!$X$115&gt;-1),IF(逐级计算!$X$115=0,DK40+逐级计算!$C$115,DK40+逐级计算!$C$115-(10/(逐级计算!$Q$115*LN(10))*(MAX((LN(10^(逐级计算!$Q$115/10)-1)+逐级计算!$Q$115*(DK40-逐级计算!$P$115)*LN(10)/10),0)+LN(1+EXP(-ABS((LN(10^(逐级计算!$Q$115/10)-1)+逐级计算!$Q$115*(DK40-逐级计算!$P$115)*LN(10)/10))))))),"")</f>
        <v>13.7930365687353</v>
      </c>
      <c r="DM40">
        <f>IF(AND(ISNUMBER(DL40),逐级计算!$X$116&gt;-1),IF(逐级计算!$X$116=0,DL40+逐级计算!$C$116,DL40+逐级计算!$C$116-(10/(逐级计算!$Q$116*LN(10))*(MAX((LN(10^(逐级计算!$Q$116/10)-1)+逐级计算!$Q$116*(DL40-逐级计算!$P$116)*LN(10)/10),0)+LN(1+EXP(-ABS((LN(10^(逐级计算!$Q$116/10)-1)+逐级计算!$Q$116*(DL40-逐级计算!$P$116)*LN(10)/10))))))),"")</f>
        <v>13.7930365687353</v>
      </c>
      <c r="DN40">
        <f>IF(AND(ISNUMBER(DM40),逐级计算!$X$117&gt;-1),IF(逐级计算!$X$117=0,DM40+逐级计算!$C$117,DM40+逐级计算!$C$117-(10/(逐级计算!$Q$117*LN(10))*(MAX((LN(10^(逐级计算!$Q$117/10)-1)+逐级计算!$Q$117*(DM40-逐级计算!$P$117)*LN(10)/10),0)+LN(1+EXP(-ABS((LN(10^(逐级计算!$Q$117/10)-1)+逐级计算!$Q$117*(DM40-逐级计算!$P$117)*LN(10)/10))))))),"")</f>
        <v>13.7930365687353</v>
      </c>
      <c r="DO40">
        <f>IF(AND(ISNUMBER(DN40),逐级计算!$X$118&gt;-1),IF(逐级计算!$X$118=0,DN40+逐级计算!$C$118,DN40+逐级计算!$C$118-(10/(逐级计算!$Q$118*LN(10))*(MAX((LN(10^(逐级计算!$Q$118/10)-1)+逐级计算!$Q$118*(DN40-逐级计算!$P$118)*LN(10)/10),0)+LN(1+EXP(-ABS((LN(10^(逐级计算!$Q$118/10)-1)+逐级计算!$Q$118*(DN40-逐级计算!$P$118)*LN(10)/10))))))),"")</f>
        <v>13.7930365687353</v>
      </c>
      <c r="DP40">
        <f>IF(AND(ISNUMBER(DO40),逐级计算!$X$119&gt;-1),IF(逐级计算!$X$119=0,DO40+逐级计算!$C$119,DO40+逐级计算!$C$119-(10/(逐级计算!$Q$119*LN(10))*(MAX((LN(10^(逐级计算!$Q$119/10)-1)+逐级计算!$Q$119*(DO40-逐级计算!$P$119)*LN(10)/10),0)+LN(1+EXP(-ABS((LN(10^(逐级计算!$Q$119/10)-1)+逐级计算!$Q$119*(DO40-逐级计算!$P$119)*LN(10)/10))))))),"")</f>
        <v>13.7930365687353</v>
      </c>
      <c r="DQ40">
        <f>IF(AND(ISNUMBER(DP40),逐级计算!$X$120&gt;-1),IF(逐级计算!$X$120=0,DP40+逐级计算!$C$120,DP40+逐级计算!$C$120-(10/(逐级计算!$Q$120*LN(10))*(MAX((LN(10^(逐级计算!$Q$120/10)-1)+逐级计算!$Q$120*(DP40-逐级计算!$P$120)*LN(10)/10),0)+LN(1+EXP(-ABS((LN(10^(逐级计算!$Q$120/10)-1)+逐级计算!$Q$120*(DP40-逐级计算!$P$120)*LN(10)/10))))))),"")</f>
        <v>13.7930365687353</v>
      </c>
      <c r="DR40">
        <f>IF(AND(ISNUMBER(DQ40),逐级计算!$X$121&gt;-1),IF(逐级计算!$X$121=0,DQ40+逐级计算!$C$121,DQ40+逐级计算!$C$121-(10/(逐级计算!$Q$121*LN(10))*(MAX((LN(10^(逐级计算!$Q$121/10)-1)+逐级计算!$Q$121*(DQ40-逐级计算!$P$121)*LN(10)/10),0)+LN(1+EXP(-ABS((LN(10^(逐级计算!$Q$121/10)-1)+逐级计算!$Q$121*(DQ40-逐级计算!$P$121)*LN(10)/10))))))),"")</f>
        <v>13.7930365687353</v>
      </c>
      <c r="DS40">
        <f>IF(AND(ISNUMBER(DR40),逐级计算!$X$122&gt;-1),IF(逐级计算!$X$122=0,DR40+逐级计算!$C$122,DR40+逐级计算!$C$122-(10/(逐级计算!$Q$122*LN(10))*(MAX((LN(10^(逐级计算!$Q$122/10)-1)+逐级计算!$Q$122*(DR40-逐级计算!$P$122)*LN(10)/10),0)+LN(1+EXP(-ABS((LN(10^(逐级计算!$Q$122/10)-1)+逐级计算!$Q$122*(DR40-逐级计算!$P$122)*LN(10)/10))))))),"")</f>
        <v>13.7930365687353</v>
      </c>
      <c r="DT40">
        <f>IF(AND(ISNUMBER(DS40),逐级计算!$X$123&gt;-1),IF(逐级计算!$X$123=0,DS40+逐级计算!$C$123,DS40+逐级计算!$C$123-(10/(逐级计算!$Q$123*LN(10))*(MAX((LN(10^(逐级计算!$Q$123/10)-1)+逐级计算!$Q$123*(DS40-逐级计算!$P$123)*LN(10)/10),0)+LN(1+EXP(-ABS((LN(10^(逐级计算!$Q$123/10)-1)+逐级计算!$Q$123*(DS40-逐级计算!$P$123)*LN(10)/10))))))),"")</f>
        <v>13.7930365687353</v>
      </c>
      <c r="DU40">
        <f>IF(AND(ISNUMBER(DT40),逐级计算!$X$124&gt;-1),IF(逐级计算!$X$124=0,DT40+逐级计算!$C$124,DT40+逐级计算!$C$124-(10/(逐级计算!$Q$124*LN(10))*(MAX((LN(10^(逐级计算!$Q$124/10)-1)+逐级计算!$Q$124*(DT40-逐级计算!$P$124)*LN(10)/10),0)+LN(1+EXP(-ABS((LN(10^(逐级计算!$Q$124/10)-1)+逐级计算!$Q$124*(DT40-逐级计算!$P$124)*LN(10)/10))))))),"")</f>
        <v>13.7930365687353</v>
      </c>
      <c r="DV40">
        <f>IF(AND(ISNUMBER(DU40),逐级计算!$X$125&gt;-1),IF(逐级计算!$X$125=0,DU40+逐级计算!$C$125,DU40+逐级计算!$C$125-(10/(逐级计算!$Q$125*LN(10))*(MAX((LN(10^(逐级计算!$Q$125/10)-1)+逐级计算!$Q$125*(DU40-逐级计算!$P$125)*LN(10)/10),0)+LN(1+EXP(-ABS((LN(10^(逐级计算!$Q$125/10)-1)+逐级计算!$Q$125*(DU40-逐级计算!$P$125)*LN(10)/10))))))),"")</f>
        <v>13.7930365687353</v>
      </c>
      <c r="DW40">
        <f>IF(AND(ISNUMBER(DV40),逐级计算!$X$126&gt;-1),IF(逐级计算!$X$126=0,DV40+逐级计算!$C$126,DV40+逐级计算!$C$126-(10/(逐级计算!$Q$126*LN(10))*(MAX((LN(10^(逐级计算!$Q$126/10)-1)+逐级计算!$Q$126*(DV40-逐级计算!$P$126)*LN(10)/10),0)+LN(1+EXP(-ABS((LN(10^(逐级计算!$Q$126/10)-1)+逐级计算!$Q$126*(DV40-逐级计算!$P$126)*LN(10)/10))))))),"")</f>
        <v>13.7930365687353</v>
      </c>
      <c r="DX40">
        <f>IF(AND(ISNUMBER(DW40),逐级计算!$X$127&gt;-1),IF(逐级计算!$X$127=0,DW40+逐级计算!$C$127,DW40+逐级计算!$C$127-(10/(逐级计算!$Q$127*LN(10))*(MAX((LN(10^(逐级计算!$Q$127/10)-1)+逐级计算!$Q$127*(DW40-逐级计算!$P$127)*LN(10)/10),0)+LN(1+EXP(-ABS((LN(10^(逐级计算!$Q$127/10)-1)+逐级计算!$Q$127*(DW40-逐级计算!$P$127)*LN(10)/10))))))),"")</f>
        <v>13.7930365687353</v>
      </c>
      <c r="DY40">
        <f>IF(AND(ISNUMBER(DX40),逐级计算!$X$128&gt;-1),IF(逐级计算!$X$128=0,DX40+逐级计算!$C$128,DX40+逐级计算!$C$128-(10/(逐级计算!$Q$128*LN(10))*(MAX((LN(10^(逐级计算!$Q$128/10)-1)+逐级计算!$Q$128*(DX40-逐级计算!$P$128)*LN(10)/10),0)+LN(1+EXP(-ABS((LN(10^(逐级计算!$Q$128/10)-1)+逐级计算!$Q$128*(DX40-逐级计算!$P$128)*LN(10)/10))))))),"")</f>
        <v>13.7930365687353</v>
      </c>
      <c r="DZ40">
        <f>IF(AND(ISNUMBER(DY40),逐级计算!$X$129&gt;-1),IF(逐级计算!$X$129=0,DY40+逐级计算!$C$129,DY40+逐级计算!$C$129-(10/(逐级计算!$Q$129*LN(10))*(MAX((LN(10^(逐级计算!$Q$129/10)-1)+逐级计算!$Q$129*(DY40-逐级计算!$P$129)*LN(10)/10),0)+LN(1+EXP(-ABS((LN(10^(逐级计算!$Q$129/10)-1)+逐级计算!$Q$129*(DY40-逐级计算!$P$129)*LN(10)/10))))))),"")</f>
        <v>13.7930365687353</v>
      </c>
      <c r="EA40">
        <f>IF(AND(ISNUMBER(DZ40),逐级计算!$X$130&gt;-1),IF(逐级计算!$X$130=0,DZ40+逐级计算!$C$130,DZ40+逐级计算!$C$130-(10/(逐级计算!$Q$130*LN(10))*(MAX((LN(10^(逐级计算!$Q$130/10)-1)+逐级计算!$Q$130*(DZ40-逐级计算!$P$130)*LN(10)/10),0)+LN(1+EXP(-ABS((LN(10^(逐级计算!$Q$130/10)-1)+逐级计算!$Q$130*(DZ40-逐级计算!$P$130)*LN(10)/10))))))),"")</f>
        <v>13.7930365687353</v>
      </c>
      <c r="EB40">
        <f>IF(AND(ISNUMBER(EA40),逐级计算!$X$131&gt;-1),IF(逐级计算!$X$131=0,EA40+逐级计算!$C$131,EA40+逐级计算!$C$131-(10/(逐级计算!$Q$131*LN(10))*(MAX((LN(10^(逐级计算!$Q$131/10)-1)+逐级计算!$Q$131*(EA40-逐级计算!$P$131)*LN(10)/10),0)+LN(1+EXP(-ABS((LN(10^(逐级计算!$Q$131/10)-1)+逐级计算!$Q$131*(EA40-逐级计算!$P$131)*LN(10)/10))))))),"")</f>
        <v>13.7930365687353</v>
      </c>
      <c r="EC40">
        <f>IF(AND(ISNUMBER(EB40),逐级计算!$X$132&gt;-1),IF(逐级计算!$X$132=0,EB40+逐级计算!$C$132,EB40+逐级计算!$C$132-(10/(逐级计算!$Q$132*LN(10))*(MAX((LN(10^(逐级计算!$Q$132/10)-1)+逐级计算!$Q$132*(EB40-逐级计算!$P$132)*LN(10)/10),0)+LN(1+EXP(-ABS((LN(10^(逐级计算!$Q$132/10)-1)+逐级计算!$Q$132*(EB40-逐级计算!$P$132)*LN(10)/10))))))),"")</f>
        <v>13.7930365687353</v>
      </c>
      <c r="ED40">
        <f>IF(AND(ISNUMBER(EC40),逐级计算!$X$133&gt;-1),IF(逐级计算!$X$133=0,EC40+逐级计算!$C$133,EC40+逐级计算!$C$133-(10/(逐级计算!$Q$133*LN(10))*(MAX((LN(10^(逐级计算!$Q$133/10)-1)+逐级计算!$Q$133*(EC40-逐级计算!$P$133)*LN(10)/10),0)+LN(1+EXP(-ABS((LN(10^(逐级计算!$Q$133/10)-1)+逐级计算!$Q$133*(EC40-逐级计算!$P$133)*LN(10)/10))))))),"")</f>
        <v>13.7930365687353</v>
      </c>
      <c r="EE40">
        <f>IF(AND(ISNUMBER(ED40),逐级计算!$X$134&gt;-1),IF(逐级计算!$X$134=0,ED40+逐级计算!$C$134,ED40+逐级计算!$C$134-(10/(逐级计算!$Q$134*LN(10))*(MAX((LN(10^(逐级计算!$Q$134/10)-1)+逐级计算!$Q$134*(ED40-逐级计算!$P$134)*LN(10)/10),0)+LN(1+EXP(-ABS((LN(10^(逐级计算!$Q$134/10)-1)+逐级计算!$Q$134*(ED40-逐级计算!$P$134)*LN(10)/10))))))),"")</f>
        <v>13.7930365687353</v>
      </c>
      <c r="EF40">
        <f>IF(AND(ISNUMBER(EE40),逐级计算!$X$135&gt;-1),IF(逐级计算!$X$135=0,EE40+逐级计算!$C$135,EE40+逐级计算!$C$135-(10/(逐级计算!$Q$135*LN(10))*(MAX((LN(10^(逐级计算!$Q$135/10)-1)+逐级计算!$Q$135*(EE40-逐级计算!$P$135)*LN(10)/10),0)+LN(1+EXP(-ABS((LN(10^(逐级计算!$Q$135/10)-1)+逐级计算!$Q$135*(EE40-逐级计算!$P$135)*LN(10)/10))))))),"")</f>
        <v>13.7930365687353</v>
      </c>
      <c r="EG40">
        <f>IF(AND(ISNUMBER(EF40),逐级计算!$X$136&gt;-1),IF(逐级计算!$X$136=0,EF40+逐级计算!$C$136,EF40+逐级计算!$C$136-(10/(逐级计算!$Q$136*LN(10))*(MAX((LN(10^(逐级计算!$Q$136/10)-1)+逐级计算!$Q$136*(EF40-逐级计算!$P$136)*LN(10)/10),0)+LN(1+EXP(-ABS((LN(10^(逐级计算!$Q$136/10)-1)+逐级计算!$Q$136*(EF40-逐级计算!$P$136)*LN(10)/10))))))),"")</f>
        <v>13.7930365687353</v>
      </c>
      <c r="EH40">
        <f>IF(AND(ISNUMBER(EG40),逐级计算!$X$137&gt;-1),IF(逐级计算!$X$137=0,EG40+逐级计算!$C$137,EG40+逐级计算!$C$137-(10/(逐级计算!$Q$137*LN(10))*(MAX((LN(10^(逐级计算!$Q$137/10)-1)+逐级计算!$Q$137*(EG40-逐级计算!$P$137)*LN(10)/10),0)+LN(1+EXP(-ABS((LN(10^(逐级计算!$Q$137/10)-1)+逐级计算!$Q$137*(EG40-逐级计算!$P$137)*LN(10)/10))))))),"")</f>
        <v>13.7930365687353</v>
      </c>
      <c r="EI40">
        <f>IF(AND(ISNUMBER(EH40),逐级计算!$X$138&gt;-1),IF(逐级计算!$X$138=0,EH40+逐级计算!$C$138,EH40+逐级计算!$C$138-(10/(逐级计算!$Q$138*LN(10))*(MAX((LN(10^(逐级计算!$Q$138/10)-1)+逐级计算!$Q$138*(EH40-逐级计算!$P$138)*LN(10)/10),0)+LN(1+EXP(-ABS((LN(10^(逐级计算!$Q$138/10)-1)+逐级计算!$Q$138*(EH40-逐级计算!$P$138)*LN(10)/10))))))),"")</f>
        <v>13.7930365687353</v>
      </c>
      <c r="EJ40">
        <f>IF(AND(ISNUMBER(EI40),逐级计算!$X$139&gt;-1),IF(逐级计算!$X$139=0,EI40+逐级计算!$C$139,EI40+逐级计算!$C$139-(10/(逐级计算!$Q$139*LN(10))*(MAX((LN(10^(逐级计算!$Q$139/10)-1)+逐级计算!$Q$139*(EI40-逐级计算!$P$139)*LN(10)/10),0)+LN(1+EXP(-ABS((LN(10^(逐级计算!$Q$139/10)-1)+逐级计算!$Q$139*(EI40-逐级计算!$P$139)*LN(10)/10))))))),"")</f>
        <v>13.7930365687353</v>
      </c>
      <c r="EK40">
        <f>IF(AND(ISNUMBER(EJ40),逐级计算!$X$140&gt;-1),IF(逐级计算!$X$140=0,EJ40+逐级计算!$C$140,EJ40+逐级计算!$C$140-(10/(逐级计算!$Q$140*LN(10))*(MAX((LN(10^(逐级计算!$Q$140/10)-1)+逐级计算!$Q$140*(EJ40-逐级计算!$P$140)*LN(10)/10),0)+LN(1+EXP(-ABS((LN(10^(逐级计算!$Q$140/10)-1)+逐级计算!$Q$140*(EJ40-逐级计算!$P$140)*LN(10)/10))))))),"")</f>
        <v>13.7930365687353</v>
      </c>
      <c r="EL40">
        <f>IF(AND(ISNUMBER(EK40),逐级计算!$X$141&gt;-1),IF(逐级计算!$X$141=0,EK40+逐级计算!$C$141,EK40+逐级计算!$C$141-(10/(逐级计算!$Q$141*LN(10))*(MAX((LN(10^(逐级计算!$Q$141/10)-1)+逐级计算!$Q$141*(EK40-逐级计算!$P$141)*LN(10)/10),0)+LN(1+EXP(-ABS((LN(10^(逐级计算!$Q$141/10)-1)+逐级计算!$Q$141*(EK40-逐级计算!$P$141)*LN(10)/10))))))),"")</f>
        <v>13.7930365687353</v>
      </c>
      <c r="EM40">
        <f>IF(AND(ISNUMBER(EL40),逐级计算!$X$142&gt;-1),IF(逐级计算!$X$142=0,EL40+逐级计算!$C$142,EL40+逐级计算!$C$142-(10/(逐级计算!$Q$142*LN(10))*(MAX((LN(10^(逐级计算!$Q$142/10)-1)+逐级计算!$Q$142*(EL40-逐级计算!$P$142)*LN(10)/10),0)+LN(1+EXP(-ABS((LN(10^(逐级计算!$Q$142/10)-1)+逐级计算!$Q$142*(EL40-逐级计算!$P$142)*LN(10)/10))))))),"")</f>
        <v>13.7930365687353</v>
      </c>
      <c r="EN40">
        <f>IF(AND(ISNUMBER(EM40),逐级计算!$X$143&gt;-1),IF(逐级计算!$X$143=0,EM40+逐级计算!$C$143,EM40+逐级计算!$C$143-(10/(逐级计算!$Q$143*LN(10))*(MAX((LN(10^(逐级计算!$Q$143/10)-1)+逐级计算!$Q$143*(EM40-逐级计算!$P$143)*LN(10)/10),0)+LN(1+EXP(-ABS((LN(10^(逐级计算!$Q$143/10)-1)+逐级计算!$Q$143*(EM40-逐级计算!$P$143)*LN(10)/10))))))),"")</f>
        <v>13.7930365687353</v>
      </c>
      <c r="EO40">
        <f>IF(AND(ISNUMBER(EN40),逐级计算!$X$144&gt;-1),IF(逐级计算!$X$144=0,EN40+逐级计算!$C$144,EN40+逐级计算!$C$144-(10/(逐级计算!$Q$144*LN(10))*(MAX((LN(10^(逐级计算!$Q$144/10)-1)+逐级计算!$Q$144*(EN40-逐级计算!$P$144)*LN(10)/10),0)+LN(1+EXP(-ABS((LN(10^(逐级计算!$Q$144/10)-1)+逐级计算!$Q$144*(EN40-逐级计算!$P$144)*LN(10)/10))))))),"")</f>
        <v>13.7930365687353</v>
      </c>
      <c r="EP40">
        <f>IF(AND(ISNUMBER(EO40),逐级计算!$X$145&gt;-1),IF(逐级计算!$X$145=0,EO40+逐级计算!$C$145,EO40+逐级计算!$C$145-(10/(逐级计算!$Q$145*LN(10))*(MAX((LN(10^(逐级计算!$Q$145/10)-1)+逐级计算!$Q$145*(EO40-逐级计算!$P$145)*LN(10)/10),0)+LN(1+EXP(-ABS((LN(10^(逐级计算!$Q$145/10)-1)+逐级计算!$Q$145*(EO40-逐级计算!$P$145)*LN(10)/10))))))),"")</f>
        <v>13.7930365687353</v>
      </c>
      <c r="EQ40">
        <f>IF(AND(ISNUMBER(EP40),逐级计算!$X$146&gt;-1),IF(逐级计算!$X$146=0,EP40+逐级计算!$C$146,EP40+逐级计算!$C$146-(10/(逐级计算!$Q$146*LN(10))*(MAX((LN(10^(逐级计算!$Q$146/10)-1)+逐级计算!$Q$146*(EP40-逐级计算!$P$146)*LN(10)/10),0)+LN(1+EXP(-ABS((LN(10^(逐级计算!$Q$146/10)-1)+逐级计算!$Q$146*(EP40-逐级计算!$P$146)*LN(10)/10))))))),"")</f>
        <v>13.7930365687353</v>
      </c>
      <c r="ER40">
        <f>IF(AND(ISNUMBER(EQ40),逐级计算!$X$147&gt;-1),IF(逐级计算!$X$147=0,EQ40+逐级计算!$C$147,EQ40+逐级计算!$C$147-(10/(逐级计算!$Q$147*LN(10))*(MAX((LN(10^(逐级计算!$Q$147/10)-1)+逐级计算!$Q$147*(EQ40-逐级计算!$P$147)*LN(10)/10),0)+LN(1+EXP(-ABS((LN(10^(逐级计算!$Q$147/10)-1)+逐级计算!$Q$147*(EQ40-逐级计算!$P$147)*LN(10)/10))))))),"")</f>
        <v>13.7930365687353</v>
      </c>
      <c r="ES40">
        <f>IF(AND(ISNUMBER(ER40),逐级计算!$X$148&gt;-1),IF(逐级计算!$X$148=0,ER40+逐级计算!$C$148,ER40+逐级计算!$C$148-(10/(逐级计算!$Q$148*LN(10))*(MAX((LN(10^(逐级计算!$Q$148/10)-1)+逐级计算!$Q$148*(ER40-逐级计算!$P$148)*LN(10)/10),0)+LN(1+EXP(-ABS((LN(10^(逐级计算!$Q$148/10)-1)+逐级计算!$Q$148*(ER40-逐级计算!$P$148)*LN(10)/10))))))),"")</f>
        <v>13.7930365687353</v>
      </c>
      <c r="ET40">
        <f>IF(AND(ISNUMBER(ES40),逐级计算!$X$149&gt;-1),IF(逐级计算!$X$149=0,ES40+逐级计算!$C$149,ES40+逐级计算!$C$149-(10/(逐级计算!$Q$149*LN(10))*(MAX((LN(10^(逐级计算!$Q$149/10)-1)+逐级计算!$Q$149*(ES40-逐级计算!$P$149)*LN(10)/10),0)+LN(1+EXP(-ABS((LN(10^(逐级计算!$Q$149/10)-1)+逐级计算!$Q$149*(ES40-逐级计算!$P$149)*LN(10)/10))))))),"")</f>
        <v>13.7930365687353</v>
      </c>
      <c r="EU40">
        <f>IF(AND(ISNUMBER(ET40),逐级计算!$X$150&gt;-1),IF(逐级计算!$X$150=0,ET40+逐级计算!$C$150,ET40+逐级计算!$C$150-(10/(逐级计算!$Q$150*LN(10))*(MAX((LN(10^(逐级计算!$Q$150/10)-1)+逐级计算!$Q$150*(ET40-逐级计算!$P$150)*LN(10)/10),0)+LN(1+EXP(-ABS((LN(10^(逐级计算!$Q$150/10)-1)+逐级计算!$Q$150*(ET40-逐级计算!$P$150)*LN(10)/10))))))),"")</f>
        <v>13.7930365687353</v>
      </c>
      <c r="EV40">
        <f>IF(AND(ISNUMBER(EU40),逐级计算!$X$151&gt;-1),IF(逐级计算!$X$151=0,EU40+逐级计算!$C$151,EU40+逐级计算!$C$151-(10/(逐级计算!$Q$151*LN(10))*(MAX((LN(10^(逐级计算!$Q$151/10)-1)+逐级计算!$Q$151*(EU40-逐级计算!$P$151)*LN(10)/10),0)+LN(1+EXP(-ABS((LN(10^(逐级计算!$Q$151/10)-1)+逐级计算!$Q$151*(EU40-逐级计算!$P$151)*LN(10)/10))))))),"")</f>
        <v>13.7930365687353</v>
      </c>
      <c r="EW40">
        <f>IF(AND(ISNUMBER(EV40),逐级计算!$X$152&gt;-1),IF(逐级计算!$X$152=0,EV40+逐级计算!$C$152,EV40+逐级计算!$C$152-(10/(逐级计算!$Q$152*LN(10))*(MAX((LN(10^(逐级计算!$Q$152/10)-1)+逐级计算!$Q$152*(EV40-逐级计算!$P$152)*LN(10)/10),0)+LN(1+EXP(-ABS((LN(10^(逐级计算!$Q$152/10)-1)+逐级计算!$Q$152*(EV40-逐级计算!$P$152)*LN(10)/10))))))),"")</f>
        <v>13.7930365687353</v>
      </c>
      <c r="EX40">
        <f>IF(AND(ISNUMBER(EW40),逐级计算!$X$153&gt;-1),IF(逐级计算!$X$153=0,EW40+逐级计算!$C$153,EW40+逐级计算!$C$153-(10/(逐级计算!$Q$153*LN(10))*(MAX((LN(10^(逐级计算!$Q$153/10)-1)+逐级计算!$Q$153*(EW40-逐级计算!$P$153)*LN(10)/10),0)+LN(1+EXP(-ABS((LN(10^(逐级计算!$Q$153/10)-1)+逐级计算!$Q$153*(EW40-逐级计算!$P$153)*LN(10)/10))))))),"")</f>
        <v>13.7930365687353</v>
      </c>
      <c r="EY40">
        <f>IF(AND(ISNUMBER(EX40),逐级计算!$X$154&gt;-1),IF(逐级计算!$X$154=0,EX40+逐级计算!$C$154,EX40+逐级计算!$C$154-(10/(逐级计算!$Q$154*LN(10))*(MAX((LN(10^(逐级计算!$Q$154/10)-1)+逐级计算!$Q$154*(EX40-逐级计算!$P$154)*LN(10)/10),0)+LN(1+EXP(-ABS((LN(10^(逐级计算!$Q$154/10)-1)+逐级计算!$Q$154*(EX40-逐级计算!$P$154)*LN(10)/10))))))),"")</f>
        <v>13.7930365687353</v>
      </c>
      <c r="EZ40">
        <f>IF(AND(ISNUMBER(EY40),逐级计算!$X$155&gt;-1),IF(逐级计算!$X$155=0,EY40+逐级计算!$C$155,EY40+逐级计算!$C$155-(10/(逐级计算!$Q$155*LN(10))*(MAX((LN(10^(逐级计算!$Q$155/10)-1)+逐级计算!$Q$155*(EY40-逐级计算!$P$155)*LN(10)/10),0)+LN(1+EXP(-ABS((LN(10^(逐级计算!$Q$155/10)-1)+逐级计算!$Q$155*(EY40-逐级计算!$P$155)*LN(10)/10))))))),"")</f>
        <v>13.7930365687353</v>
      </c>
      <c r="FA40">
        <f>IF(AND(ISNUMBER(EZ40),逐级计算!$X$156&gt;-1),IF(逐级计算!$X$156=0,EZ40+逐级计算!$C$156,EZ40+逐级计算!$C$156-(10/(逐级计算!$Q$156*LN(10))*(MAX((LN(10^(逐级计算!$Q$156/10)-1)+逐级计算!$Q$156*(EZ40-逐级计算!$P$156)*LN(10)/10),0)+LN(1+EXP(-ABS((LN(10^(逐级计算!$Q$156/10)-1)+逐级计算!$Q$156*(EZ40-逐级计算!$P$156)*LN(10)/10))))))),"")</f>
        <v>13.7930365687353</v>
      </c>
      <c r="FB40">
        <f>IF(AND(ISNUMBER(FA40),逐级计算!$X$157&gt;-1),IF(逐级计算!$X$157=0,FA40+逐级计算!$C$157,FA40+逐级计算!$C$157-(10/(逐级计算!$Q$157*LN(10))*(MAX((LN(10^(逐级计算!$Q$157/10)-1)+逐级计算!$Q$157*(FA40-逐级计算!$P$157)*LN(10)/10),0)+LN(1+EXP(-ABS((LN(10^(逐级计算!$Q$157/10)-1)+逐级计算!$Q$157*(FA40-逐级计算!$P$157)*LN(10)/10))))))),"")</f>
        <v>13.7930365687353</v>
      </c>
      <c r="FC40">
        <f>IF(AND(ISNUMBER(FB40),逐级计算!$X$158&gt;-1),IF(逐级计算!$X$158=0,FB40+逐级计算!$C$158,FB40+逐级计算!$C$158-(10/(逐级计算!$Q$158*LN(10))*(MAX((LN(10^(逐级计算!$Q$158/10)-1)+逐级计算!$Q$158*(FB40-逐级计算!$P$158)*LN(10)/10),0)+LN(1+EXP(-ABS((LN(10^(逐级计算!$Q$158/10)-1)+逐级计算!$Q$158*(FB40-逐级计算!$P$158)*LN(10)/10))))))),"")</f>
        <v>13.7930365687353</v>
      </c>
      <c r="FD40">
        <f>IF(AND(ISNUMBER(FC40),逐级计算!$X$159&gt;-1),IF(逐级计算!$X$159=0,FC40+逐级计算!$C$159,FC40+逐级计算!$C$159-(10/(逐级计算!$Q$159*LN(10))*(MAX((LN(10^(逐级计算!$Q$159/10)-1)+逐级计算!$Q$159*(FC40-逐级计算!$P$159)*LN(10)/10),0)+LN(1+EXP(-ABS((LN(10^(逐级计算!$Q$159/10)-1)+逐级计算!$Q$159*(FC40-逐级计算!$P$159)*LN(10)/10))))))),"")</f>
        <v>13.7930365687353</v>
      </c>
      <c r="FE40">
        <f>IF(AND(ISNUMBER(FD40),逐级计算!$X$160&gt;-1),IF(逐级计算!$X$160=0,FD40+逐级计算!$C$160,FD40+逐级计算!$C$160-(10/(逐级计算!$Q$160*LN(10))*(MAX((LN(10^(逐级计算!$Q$160/10)-1)+逐级计算!$Q$160*(FD40-逐级计算!$P$160)*LN(10)/10),0)+LN(1+EXP(-ABS((LN(10^(逐级计算!$Q$160/10)-1)+逐级计算!$Q$160*(FD40-逐级计算!$P$160)*LN(10)/10))))))),"")</f>
        <v>13.7930365687353</v>
      </c>
      <c r="FF40">
        <f>IF(AND(ISNUMBER(FE40),逐级计算!$X$161&gt;-1),IF(逐级计算!$X$161=0,FE40+逐级计算!$C$161,FE40+逐级计算!$C$161-(10/(逐级计算!$Q$161*LN(10))*(MAX((LN(10^(逐级计算!$Q$161/10)-1)+逐级计算!$Q$161*(FE40-逐级计算!$P$161)*LN(10)/10),0)+LN(1+EXP(-ABS((LN(10^(逐级计算!$Q$161/10)-1)+逐级计算!$Q$161*(FE40-逐级计算!$P$161)*LN(10)/10))))))),"")</f>
        <v>13.7930365687353</v>
      </c>
      <c r="FG40">
        <f>IF(AND(ISNUMBER(FF40),逐级计算!$X$162&gt;-1),IF(逐级计算!$X$162=0,FF40+逐级计算!$C$162,FF40+逐级计算!$C$162-(10/(逐级计算!$Q$162*LN(10))*(MAX((LN(10^(逐级计算!$Q$162/10)-1)+逐级计算!$Q$162*(FF40-逐级计算!$P$162)*LN(10)/10),0)+LN(1+EXP(-ABS((LN(10^(逐级计算!$Q$162/10)-1)+逐级计算!$Q$162*(FF40-逐级计算!$P$162)*LN(10)/10))))))),"")</f>
        <v>13.7930365687353</v>
      </c>
      <c r="FH40">
        <f>IF(AND(ISNUMBER(FG40),逐级计算!$X$163&gt;-1),IF(逐级计算!$X$163=0,FG40+逐级计算!$C$163,FG40+逐级计算!$C$163-(10/(逐级计算!$Q$163*LN(10))*(MAX((LN(10^(逐级计算!$Q$163/10)-1)+逐级计算!$Q$163*(FG40-逐级计算!$P$163)*LN(10)/10),0)+LN(1+EXP(-ABS((LN(10^(逐级计算!$Q$163/10)-1)+逐级计算!$Q$163*(FG40-逐级计算!$P$163)*LN(10)/10))))))),"")</f>
        <v>13.7930365687353</v>
      </c>
      <c r="FI40">
        <f>IF(AND(ISNUMBER(FH40),逐级计算!$X$164&gt;-1),IF(逐级计算!$X$164=0,FH40+逐级计算!$C$164,FH40+逐级计算!$C$164-(10/(逐级计算!$Q$164*LN(10))*(MAX((LN(10^(逐级计算!$Q$164/10)-1)+逐级计算!$Q$164*(FH40-逐级计算!$P$164)*LN(10)/10),0)+LN(1+EXP(-ABS((LN(10^(逐级计算!$Q$164/10)-1)+逐级计算!$Q$164*(FH40-逐级计算!$P$164)*LN(10)/10))))))),"")</f>
        <v>13.7930365687353</v>
      </c>
      <c r="FJ40">
        <f>IF(AND(ISNUMBER(FI40),逐级计算!$X$165&gt;-1),IF(逐级计算!$X$165=0,FI40+逐级计算!$C$165,FI40+逐级计算!$C$165-(10/(逐级计算!$Q$165*LN(10))*(MAX((LN(10^(逐级计算!$Q$165/10)-1)+逐级计算!$Q$165*(FI40-逐级计算!$P$165)*LN(10)/10),0)+LN(1+EXP(-ABS((LN(10^(逐级计算!$Q$165/10)-1)+逐级计算!$Q$165*(FI40-逐级计算!$P$165)*LN(10)/10))))))),"")</f>
        <v>13.7930365687353</v>
      </c>
      <c r="FK40">
        <f>IF(AND(ISNUMBER(FJ40),逐级计算!$X$166&gt;-1),IF(逐级计算!$X$166=0,FJ40+逐级计算!$C$166,FJ40+逐级计算!$C$166-(10/(逐级计算!$Q$166*LN(10))*(MAX((LN(10^(逐级计算!$Q$166/10)-1)+逐级计算!$Q$166*(FJ40-逐级计算!$P$166)*LN(10)/10),0)+LN(1+EXP(-ABS((LN(10^(逐级计算!$Q$166/10)-1)+逐级计算!$Q$166*(FJ40-逐级计算!$P$166)*LN(10)/10))))))),"")</f>
        <v>13.7930365687353</v>
      </c>
      <c r="FL40">
        <f>IF(AND(ISNUMBER(FK40),逐级计算!$X$167&gt;-1),IF(逐级计算!$X$167=0,FK40+逐级计算!$C$167,FK40+逐级计算!$C$167-(10/(逐级计算!$Q$167*LN(10))*(MAX((LN(10^(逐级计算!$Q$167/10)-1)+逐级计算!$Q$167*(FK40-逐级计算!$P$167)*LN(10)/10),0)+LN(1+EXP(-ABS((LN(10^(逐级计算!$Q$167/10)-1)+逐级计算!$Q$167*(FK40-逐级计算!$P$167)*LN(10)/10))))))),"")</f>
        <v>13.7930365687353</v>
      </c>
      <c r="FM40">
        <f>IF(AND(ISNUMBER(FL40),逐级计算!$X$168&gt;-1),IF(逐级计算!$X$168=0,FL40+逐级计算!$C$168,FL40+逐级计算!$C$168-(10/(逐级计算!$Q$168*LN(10))*(MAX((LN(10^(逐级计算!$Q$168/10)-1)+逐级计算!$Q$168*(FL40-逐级计算!$P$168)*LN(10)/10),0)+LN(1+EXP(-ABS((LN(10^(逐级计算!$Q$168/10)-1)+逐级计算!$Q$168*(FL40-逐级计算!$P$168)*LN(10)/10))))))),"")</f>
        <v>13.7930365687353</v>
      </c>
      <c r="FN40">
        <f>IF(AND(ISNUMBER(FM40),逐级计算!$X$169&gt;-1),IF(逐级计算!$X$169=0,FM40+逐级计算!$C$169,FM40+逐级计算!$C$169-(10/(逐级计算!$Q$169*LN(10))*(MAX((LN(10^(逐级计算!$Q$169/10)-1)+逐级计算!$Q$169*(FM40-逐级计算!$P$169)*LN(10)/10),0)+LN(1+EXP(-ABS((LN(10^(逐级计算!$Q$169/10)-1)+逐级计算!$Q$169*(FM40-逐级计算!$P$169)*LN(10)/10))))))),"")</f>
        <v>13.7930365687353</v>
      </c>
      <c r="FO40">
        <f>IF(AND(ISNUMBER(FN40),逐级计算!$X$170&gt;-1),IF(逐级计算!$X$170=0,FN40+逐级计算!$C$170,FN40+逐级计算!$C$170-(10/(逐级计算!$Q$170*LN(10))*(MAX((LN(10^(逐级计算!$Q$170/10)-1)+逐级计算!$Q$170*(FN40-逐级计算!$P$170)*LN(10)/10),0)+LN(1+EXP(-ABS((LN(10^(逐级计算!$Q$170/10)-1)+逐级计算!$Q$170*(FN40-逐级计算!$P$170)*LN(10)/10))))))),"")</f>
        <v>13.7930365687353</v>
      </c>
      <c r="FP40">
        <f>IF(AND(ISNUMBER(FO40),逐级计算!$X$171&gt;-1),IF(逐级计算!$X$171=0,FO40+逐级计算!$C$171,FO40+逐级计算!$C$171-(10/(逐级计算!$Q$171*LN(10))*(MAX((LN(10^(逐级计算!$Q$171/10)-1)+逐级计算!$Q$171*(FO40-逐级计算!$P$171)*LN(10)/10),0)+LN(1+EXP(-ABS((LN(10^(逐级计算!$Q$171/10)-1)+逐级计算!$Q$171*(FO40-逐级计算!$P$171)*LN(10)/10))))))),"")</f>
        <v>13.7930365687353</v>
      </c>
      <c r="FQ40">
        <f>IF(AND(ISNUMBER(FP40),逐级计算!$X$172&gt;-1),IF(逐级计算!$X$172=0,FP40+逐级计算!$C$172,FP40+逐级计算!$C$172-(10/(逐级计算!$Q$172*LN(10))*(MAX((LN(10^(逐级计算!$Q$172/10)-1)+逐级计算!$Q$172*(FP40-逐级计算!$P$172)*LN(10)/10),0)+LN(1+EXP(-ABS((LN(10^(逐级计算!$Q$172/10)-1)+逐级计算!$Q$172*(FP40-逐级计算!$P$172)*LN(10)/10))))))),"")</f>
        <v>13.7930365687353</v>
      </c>
      <c r="FR40">
        <f>IF(AND(ISNUMBER(FQ40),逐级计算!$X$173&gt;-1),IF(逐级计算!$X$173=0,FQ40+逐级计算!$C$173,FQ40+逐级计算!$C$173-(10/(逐级计算!$Q$173*LN(10))*(MAX((LN(10^(逐级计算!$Q$173/10)-1)+逐级计算!$Q$173*(FQ40-逐级计算!$P$173)*LN(10)/10),0)+LN(1+EXP(-ABS((LN(10^(逐级计算!$Q$173/10)-1)+逐级计算!$Q$173*(FQ40-逐级计算!$P$173)*LN(10)/10))))))),"")</f>
        <v>13.7930365687353</v>
      </c>
      <c r="FS40">
        <f>IF(AND(ISNUMBER(FR40),逐级计算!$X$174&gt;-1),IF(逐级计算!$X$174=0,FR40+逐级计算!$C$174,FR40+逐级计算!$C$174-(10/(逐级计算!$Q$174*LN(10))*(MAX((LN(10^(逐级计算!$Q$174/10)-1)+逐级计算!$Q$174*(FR40-逐级计算!$P$174)*LN(10)/10),0)+LN(1+EXP(-ABS((LN(10^(逐级计算!$Q$174/10)-1)+逐级计算!$Q$174*(FR40-逐级计算!$P$174)*LN(10)/10))))))),"")</f>
        <v>13.7930365687353</v>
      </c>
      <c r="FT40">
        <f>IF(AND(ISNUMBER(FS40),逐级计算!$X$175&gt;-1),IF(逐级计算!$X$175=0,FS40+逐级计算!$C$175,FS40+逐级计算!$C$175-(10/(逐级计算!$Q$175*LN(10))*(MAX((LN(10^(逐级计算!$Q$175/10)-1)+逐级计算!$Q$175*(FS40-逐级计算!$P$175)*LN(10)/10),0)+LN(1+EXP(-ABS((LN(10^(逐级计算!$Q$175/10)-1)+逐级计算!$Q$175*(FS40-逐级计算!$P$175)*LN(10)/10))))))),"")</f>
        <v>13.7930365687353</v>
      </c>
      <c r="FU40">
        <f>IF(AND(ISNUMBER(FT40),逐级计算!$X$176&gt;-1),IF(逐级计算!$X$176=0,FT40+逐级计算!$C$176,FT40+逐级计算!$C$176-(10/(逐级计算!$Q$176*LN(10))*(MAX((LN(10^(逐级计算!$Q$176/10)-1)+逐级计算!$Q$176*(FT40-逐级计算!$P$176)*LN(10)/10),0)+LN(1+EXP(-ABS((LN(10^(逐级计算!$Q$176/10)-1)+逐级计算!$Q$176*(FT40-逐级计算!$P$176)*LN(10)/10))))))),"")</f>
        <v>13.7930365687353</v>
      </c>
      <c r="FV40">
        <f>IF(AND(ISNUMBER(FU40),逐级计算!$X$177&gt;-1),IF(逐级计算!$X$177=0,FU40+逐级计算!$C$177,FU40+逐级计算!$C$177-(10/(逐级计算!$Q$177*LN(10))*(MAX((LN(10^(逐级计算!$Q$177/10)-1)+逐级计算!$Q$177*(FU40-逐级计算!$P$177)*LN(10)/10),0)+LN(1+EXP(-ABS((LN(10^(逐级计算!$Q$177/10)-1)+逐级计算!$Q$177*(FU40-逐级计算!$P$177)*LN(10)/10))))))),"")</f>
        <v>13.7930365687353</v>
      </c>
      <c r="FW40">
        <f>IF(AND(ISNUMBER(FV40),逐级计算!$X$178&gt;-1),IF(逐级计算!$X$178=0,FV40+逐级计算!$C$178,FV40+逐级计算!$C$178-(10/(逐级计算!$Q$178*LN(10))*(MAX((LN(10^(逐级计算!$Q$178/10)-1)+逐级计算!$Q$178*(FV40-逐级计算!$P$178)*LN(10)/10),0)+LN(1+EXP(-ABS((LN(10^(逐级计算!$Q$178/10)-1)+逐级计算!$Q$178*(FV40-逐级计算!$P$178)*LN(10)/10))))))),"")</f>
        <v>13.7930365687353</v>
      </c>
      <c r="FX40">
        <f>IF(AND(ISNUMBER(FW40),逐级计算!$X$179&gt;-1),IF(逐级计算!$X$179=0,FW40+逐级计算!$C$179,FW40+逐级计算!$C$179-(10/(逐级计算!$Q$179*LN(10))*(MAX((LN(10^(逐级计算!$Q$179/10)-1)+逐级计算!$Q$179*(FW40-逐级计算!$P$179)*LN(10)/10),0)+LN(1+EXP(-ABS((LN(10^(逐级计算!$Q$179/10)-1)+逐级计算!$Q$179*(FW40-逐级计算!$P$179)*LN(10)/10))))))),"")</f>
        <v>13.7930365687353</v>
      </c>
      <c r="FY40">
        <f>IF(AND(ISNUMBER(FX40),逐级计算!$X$180&gt;-1),IF(逐级计算!$X$180=0,FX40+逐级计算!$C$180,FX40+逐级计算!$C$180-(10/(逐级计算!$Q$180*LN(10))*(MAX((LN(10^(逐级计算!$Q$180/10)-1)+逐级计算!$Q$180*(FX40-逐级计算!$P$180)*LN(10)/10),0)+LN(1+EXP(-ABS((LN(10^(逐级计算!$Q$180/10)-1)+逐级计算!$Q$180*(FX40-逐级计算!$P$180)*LN(10)/10))))))),"")</f>
        <v>13.7930365687353</v>
      </c>
      <c r="FZ40">
        <f>IF(AND(ISNUMBER(FY40),逐级计算!$X$181&gt;-1),IF(逐级计算!$X$181=0,FY40+逐级计算!$C$181,FY40+逐级计算!$C$181-(10/(逐级计算!$Q$181*LN(10))*(MAX((LN(10^(逐级计算!$Q$181/10)-1)+逐级计算!$Q$181*(FY40-逐级计算!$P$181)*LN(10)/10),0)+LN(1+EXP(-ABS((LN(10^(逐级计算!$Q$181/10)-1)+逐级计算!$Q$181*(FY40-逐级计算!$P$181)*LN(10)/10))))))),"")</f>
        <v>13.7930365687353</v>
      </c>
      <c r="GA40">
        <f>IF(AND(ISNUMBER(FZ40),逐级计算!$X$182&gt;-1),IF(逐级计算!$X$182=0,FZ40+逐级计算!$C$182,FZ40+逐级计算!$C$182-(10/(逐级计算!$Q$182*LN(10))*(MAX((LN(10^(逐级计算!$Q$182/10)-1)+逐级计算!$Q$182*(FZ40-逐级计算!$P$182)*LN(10)/10),0)+LN(1+EXP(-ABS((LN(10^(逐级计算!$Q$182/10)-1)+逐级计算!$Q$182*(FZ40-逐级计算!$P$182)*LN(10)/10))))))),"")</f>
        <v>13.7930365687353</v>
      </c>
      <c r="GB40">
        <f>IF(AND(ISNUMBER(GA40),逐级计算!$X$183&gt;-1),IF(逐级计算!$X$183=0,GA40+逐级计算!$C$183,GA40+逐级计算!$C$183-(10/(逐级计算!$Q$183*LN(10))*(MAX((LN(10^(逐级计算!$Q$183/10)-1)+逐级计算!$Q$183*(GA40-逐级计算!$P$183)*LN(10)/10),0)+LN(1+EXP(-ABS((LN(10^(逐级计算!$Q$183/10)-1)+逐级计算!$Q$183*(GA40-逐级计算!$P$183)*LN(10)/10))))))),"")</f>
        <v>13.7930365687353</v>
      </c>
      <c r="GC40">
        <f>IF(AND(ISNUMBER(GB40),逐级计算!$X$184&gt;-1),IF(逐级计算!$X$184=0,GB40+逐级计算!$C$184,GB40+逐级计算!$C$184-(10/(逐级计算!$Q$184*LN(10))*(MAX((LN(10^(逐级计算!$Q$184/10)-1)+逐级计算!$Q$184*(GB40-逐级计算!$P$184)*LN(10)/10),0)+LN(1+EXP(-ABS((LN(10^(逐级计算!$Q$184/10)-1)+逐级计算!$Q$184*(GB40-逐级计算!$P$184)*LN(10)/10))))))),"")</f>
        <v>13.7930365687353</v>
      </c>
      <c r="GD40">
        <f>IF(AND(ISNUMBER(GC40),逐级计算!$X$185&gt;-1),IF(逐级计算!$X$185=0,GC40+逐级计算!$C$185,GC40+逐级计算!$C$185-(10/(逐级计算!$Q$185*LN(10))*(MAX((LN(10^(逐级计算!$Q$185/10)-1)+逐级计算!$Q$185*(GC40-逐级计算!$P$185)*LN(10)/10),0)+LN(1+EXP(-ABS((LN(10^(逐级计算!$Q$185/10)-1)+逐级计算!$Q$185*(GC40-逐级计算!$P$185)*LN(10)/10))))))),"")</f>
        <v>13.7930365687353</v>
      </c>
      <c r="GE40">
        <f>IF(AND(ISNUMBER(GD40),逐级计算!$X$186&gt;-1),IF(逐级计算!$X$186=0,GD40+逐级计算!$C$186,GD40+逐级计算!$C$186-(10/(逐级计算!$Q$186*LN(10))*(MAX((LN(10^(逐级计算!$Q$186/10)-1)+逐级计算!$Q$186*(GD40-逐级计算!$P$186)*LN(10)/10),0)+LN(1+EXP(-ABS((LN(10^(逐级计算!$Q$186/10)-1)+逐级计算!$Q$186*(GD40-逐级计算!$P$186)*LN(10)/10))))))),"")</f>
        <v>13.7930365687353</v>
      </c>
      <c r="GF40">
        <f>IF(AND(ISNUMBER(GE40),逐级计算!$X$187&gt;-1),IF(逐级计算!$X$187=0,GE40+逐级计算!$C$187,GE40+逐级计算!$C$187-(10/(逐级计算!$Q$187*LN(10))*(MAX((LN(10^(逐级计算!$Q$187/10)-1)+逐级计算!$Q$187*(GE40-逐级计算!$P$187)*LN(10)/10),0)+LN(1+EXP(-ABS((LN(10^(逐级计算!$Q$187/10)-1)+逐级计算!$Q$187*(GE40-逐级计算!$P$187)*LN(10)/10))))))),"")</f>
        <v>13.7930365687353</v>
      </c>
      <c r="GG40">
        <f>IF(AND(ISNUMBER(GF40),逐级计算!$X$188&gt;-1),IF(逐级计算!$X$188=0,GF40+逐级计算!$C$188,GF40+逐级计算!$C$188-(10/(逐级计算!$Q$188*LN(10))*(MAX((LN(10^(逐级计算!$Q$188/10)-1)+逐级计算!$Q$188*(GF40-逐级计算!$P$188)*LN(10)/10),0)+LN(1+EXP(-ABS((LN(10^(逐级计算!$Q$188/10)-1)+逐级计算!$Q$188*(GF40-逐级计算!$P$188)*LN(10)/10))))))),"")</f>
        <v>13.7930365687353</v>
      </c>
      <c r="GH40">
        <f>IF(AND(ISNUMBER(GG40),逐级计算!$X$189&gt;-1),IF(逐级计算!$X$189=0,GG40+逐级计算!$C$189,GG40+逐级计算!$C$189-(10/(逐级计算!$Q$189*LN(10))*(MAX((LN(10^(逐级计算!$Q$189/10)-1)+逐级计算!$Q$189*(GG40-逐级计算!$P$189)*LN(10)/10),0)+LN(1+EXP(-ABS((LN(10^(逐级计算!$Q$189/10)-1)+逐级计算!$Q$189*(GG40-逐级计算!$P$189)*LN(10)/10))))))),"")</f>
        <v>13.7930365687353</v>
      </c>
      <c r="GI40">
        <f>IF(AND(ISNUMBER(GH40),逐级计算!$X$190&gt;-1),IF(逐级计算!$X$190=0,GH40+逐级计算!$C$190,GH40+逐级计算!$C$190-(10/(逐级计算!$Q$190*LN(10))*(MAX((LN(10^(逐级计算!$Q$190/10)-1)+逐级计算!$Q$190*(GH40-逐级计算!$P$190)*LN(10)/10),0)+LN(1+EXP(-ABS((LN(10^(逐级计算!$Q$190/10)-1)+逐级计算!$Q$190*(GH40-逐级计算!$P$190)*LN(10)/10))))))),"")</f>
        <v>13.7930365687353</v>
      </c>
      <c r="GJ40">
        <f>IF(AND(ISNUMBER(GI40),逐级计算!$X$191&gt;-1),IF(逐级计算!$X$191=0,GI40+逐级计算!$C$191,GI40+逐级计算!$C$191-(10/(逐级计算!$Q$191*LN(10))*(MAX((LN(10^(逐级计算!$Q$191/10)-1)+逐级计算!$Q$191*(GI40-逐级计算!$P$191)*LN(10)/10),0)+LN(1+EXP(-ABS((LN(10^(逐级计算!$Q$191/10)-1)+逐级计算!$Q$191*(GI40-逐级计算!$P$191)*LN(10)/10))))))),"")</f>
        <v>13.7930365687353</v>
      </c>
      <c r="GK40">
        <f>IF(AND(ISNUMBER(GJ40),逐级计算!$X$192&gt;-1),IF(逐级计算!$X$192=0,GJ40+逐级计算!$C$192,GJ40+逐级计算!$C$192-(10/(逐级计算!$Q$192*LN(10))*(MAX((LN(10^(逐级计算!$Q$192/10)-1)+逐级计算!$Q$192*(GJ40-逐级计算!$P$192)*LN(10)/10),0)+LN(1+EXP(-ABS((LN(10^(逐级计算!$Q$192/10)-1)+逐级计算!$Q$192*(GJ40-逐级计算!$P$192)*LN(10)/10))))))),"")</f>
        <v>13.7930365687353</v>
      </c>
      <c r="GL40">
        <f>IF(AND(ISNUMBER(GK40),逐级计算!$X$193&gt;-1),IF(逐级计算!$X$193=0,GK40+逐级计算!$C$193,GK40+逐级计算!$C$193-(10/(逐级计算!$Q$193*LN(10))*(MAX((LN(10^(逐级计算!$Q$193/10)-1)+逐级计算!$Q$193*(GK40-逐级计算!$P$193)*LN(10)/10),0)+LN(1+EXP(-ABS((LN(10^(逐级计算!$Q$193/10)-1)+逐级计算!$Q$193*(GK40-逐级计算!$P$193)*LN(10)/10))))))),"")</f>
        <v>13.7930365687353</v>
      </c>
      <c r="GM40">
        <f>IF(AND(ISNUMBER(GL40),逐级计算!$X$194&gt;-1),IF(逐级计算!$X$194=0,GL40+逐级计算!$C$194,GL40+逐级计算!$C$194-(10/(逐级计算!$Q$194*LN(10))*(MAX((LN(10^(逐级计算!$Q$194/10)-1)+逐级计算!$Q$194*(GL40-逐级计算!$P$194)*LN(10)/10),0)+LN(1+EXP(-ABS((LN(10^(逐级计算!$Q$194/10)-1)+逐级计算!$Q$194*(GL40-逐级计算!$P$194)*LN(10)/10))))))),"")</f>
        <v>13.7930365687353</v>
      </c>
      <c r="GN40">
        <f>IF(AND(ISNUMBER(GM40),逐级计算!$X$195&gt;-1),IF(逐级计算!$X$195=0,GM40+逐级计算!$C$195,GM40+逐级计算!$C$195-(10/(逐级计算!$Q$195*LN(10))*(MAX((LN(10^(逐级计算!$Q$195/10)-1)+逐级计算!$Q$195*(GM40-逐级计算!$P$195)*LN(10)/10),0)+LN(1+EXP(-ABS((LN(10^(逐级计算!$Q$195/10)-1)+逐级计算!$Q$195*(GM40-逐级计算!$P$195)*LN(10)/10))))))),"")</f>
        <v>13.7930365687353</v>
      </c>
      <c r="GO40">
        <f>IF(AND(ISNUMBER(GN40),逐级计算!$X$196&gt;-1),IF(逐级计算!$X$196=0,GN40+逐级计算!$C$196,GN40+逐级计算!$C$196-(10/(逐级计算!$Q$196*LN(10))*(MAX((LN(10^(逐级计算!$Q$196/10)-1)+逐级计算!$Q$196*(GN40-逐级计算!$P$196)*LN(10)/10),0)+LN(1+EXP(-ABS((LN(10^(逐级计算!$Q$196/10)-1)+逐级计算!$Q$196*(GN40-逐级计算!$P$196)*LN(10)/10))))))),"")</f>
        <v>13.7930365687353</v>
      </c>
      <c r="GP40">
        <f>IF(AND(ISNUMBER(GO40),逐级计算!$X$197&gt;-1),IF(逐级计算!$X$197=0,GO40+逐级计算!$C$197,GO40+逐级计算!$C$197-(10/(逐级计算!$Q$197*LN(10))*(MAX((LN(10^(逐级计算!$Q$197/10)-1)+逐级计算!$Q$197*(GO40-逐级计算!$P$197)*LN(10)/10),0)+LN(1+EXP(-ABS((LN(10^(逐级计算!$Q$197/10)-1)+逐级计算!$Q$197*(GO40-逐级计算!$P$197)*LN(10)/10))))))),"")</f>
        <v>13.7930365687353</v>
      </c>
      <c r="GQ40">
        <f>IF(AND(ISNUMBER(GP40),逐级计算!$X$198&gt;-1),IF(逐级计算!$X$198=0,GP40+逐级计算!$C$198,GP40+逐级计算!$C$198-(10/(逐级计算!$Q$198*LN(10))*(MAX((LN(10^(逐级计算!$Q$198/10)-1)+逐级计算!$Q$198*(GP40-逐级计算!$P$198)*LN(10)/10),0)+LN(1+EXP(-ABS((LN(10^(逐级计算!$Q$198/10)-1)+逐级计算!$Q$198*(GP40-逐级计算!$P$198)*LN(10)/10))))))),"")</f>
        <v>13.7930365687353</v>
      </c>
      <c r="GR40">
        <f>IF(AND(ISNUMBER(GQ40),逐级计算!$X$199&gt;-1),IF(逐级计算!$X$199=0,GQ40+逐级计算!$C$199,GQ40+逐级计算!$C$199-(10/(逐级计算!$Q$199*LN(10))*(MAX((LN(10^(逐级计算!$Q$199/10)-1)+逐级计算!$Q$199*(GQ40-逐级计算!$P$199)*LN(10)/10),0)+LN(1+EXP(-ABS((LN(10^(逐级计算!$Q$199/10)-1)+逐级计算!$Q$199*(GQ40-逐级计算!$P$199)*LN(10)/10))))))),"")</f>
        <v>13.7930365687353</v>
      </c>
      <c r="GS40">
        <f>IF(AND(ISNUMBER(GR40),逐级计算!$X$200&gt;-1),IF(逐级计算!$X$200=0,GR40+逐级计算!$C$200,GR40+逐级计算!$C$200-(10/(逐级计算!$Q$200*LN(10))*(MAX((LN(10^(逐级计算!$Q$200/10)-1)+逐级计算!$Q$200*(GR40-逐级计算!$P$200)*LN(10)/10),0)+LN(1+EXP(-ABS((LN(10^(逐级计算!$Q$200/10)-1)+逐级计算!$Q$200*(GR40-逐级计算!$P$200)*LN(10)/10))))))),"")</f>
        <v>13.7930365687353</v>
      </c>
      <c r="GT40">
        <f>IF(AND(ISNUMBER(GS40),逐级计算!$X$201&gt;-1),IF(逐级计算!$X$201=0,GS40+逐级计算!$C$201,GS40+逐级计算!$C$201-(10/(逐级计算!$Q$201*LN(10))*(MAX((LN(10^(逐级计算!$Q$201/10)-1)+逐级计算!$Q$201*(GS40-逐级计算!$P$201)*LN(10)/10),0)+LN(1+EXP(-ABS((LN(10^(逐级计算!$Q$201/10)-1)+逐级计算!$Q$201*(GS40-逐级计算!$P$201)*LN(10)/10))))))),"")</f>
        <v>13.7930365687353</v>
      </c>
      <c r="GU40">
        <f>IF(AND(ISNUMBER(GT40),逐级计算!$X$202&gt;-1),IF(逐级计算!$X$202=0,GT40+逐级计算!$C$202,GT40+逐级计算!$C$202-(10/(逐级计算!$Q$202*LN(10))*(MAX((LN(10^(逐级计算!$Q$202/10)-1)+逐级计算!$Q$202*(GT40-逐级计算!$P$202)*LN(10)/10),0)+LN(1+EXP(-ABS((LN(10^(逐级计算!$Q$202/10)-1)+逐级计算!$Q$202*(GT40-逐级计算!$P$202)*LN(10)/10))))))),"")</f>
        <v>13.7930365687353</v>
      </c>
      <c r="GV40">
        <f>IF(AND(ISNUMBER(GU40),逐级计算!$X$203&gt;-1),IF(逐级计算!$X$203=0,GU40+逐级计算!$C$203,GU40+逐级计算!$C$203-(10/(逐级计算!$Q$203*LN(10))*(MAX((LN(10^(逐级计算!$Q$203/10)-1)+逐级计算!$Q$203*(GU40-逐级计算!$P$203)*LN(10)/10),0)+LN(1+EXP(-ABS((LN(10^(逐级计算!$Q$203/10)-1)+逐级计算!$Q$203*(GU40-逐级计算!$P$203)*LN(10)/10))))))),"")</f>
        <v>13.7930365687353</v>
      </c>
      <c r="GW40">
        <f t="shared" si="2"/>
        <v>-5.20696342224255</v>
      </c>
    </row>
    <row r="41" spans="1:205">
      <c r="A41">
        <v>34</v>
      </c>
      <c r="B41">
        <f t="shared" si="1"/>
        <v>-5.20696343446616</v>
      </c>
      <c r="C41">
        <f t="shared" si="0"/>
        <v>-5.20696342835436</v>
      </c>
      <c r="D41">
        <f>IF(AND(ISNUMBER(C41),ISNUMBER(逐级计算!$E$203),ISNUMBER(GV41)),C41+逐级计算!$E$203-GV41,"")</f>
        <v>0.999999999054058</v>
      </c>
      <c r="E41">
        <f>IF(AND(ISNUMBER(C41),逐级计算!$X$4&gt;-1),IF(逐级计算!$X$4=0,C41+逐级计算!$C$4,C41+逐级计算!$C$4-(10/(逐级计算!$Q$4*LN(10))*(MAX((LN(10^(逐级计算!$Q$4/10)-1)+逐级计算!$Q$4*(C41-逐级计算!$P$4)*LN(10)/10),0)+LN(1+EXP(-ABS((LN(10^(逐级计算!$Q$4/10)-1)+逐级计算!$Q$4*(C41-逐级计算!$P$4)*LN(10)/10))))))),"")</f>
        <v>4.68053982684928</v>
      </c>
      <c r="F41">
        <f>IF(AND(ISNUMBER(E41),逐级计算!$X$5&gt;-1),IF(逐级计算!$X$5=0,E41+逐级计算!$C$5,E41+逐级计算!$C$5-(10/(逐级计算!$Q$5*LN(10))*(MAX((LN(10^(逐级计算!$Q$5/10)-1)+逐级计算!$Q$5*(E41-逐级计算!$P$5)*LN(10)/10),0)+LN(1+EXP(-ABS((LN(10^(逐级计算!$Q$5/10)-1)+逐级计算!$Q$5*(E41-逐级计算!$P$5)*LN(10)/10))))))),"")</f>
        <v>13.7930365725916</v>
      </c>
      <c r="G41">
        <f>IF(AND(ISNUMBER(F41),逐级计算!$X$6&gt;-1),IF(逐级计算!$X$6=0,F41+逐级计算!$C$6,F41+逐级计算!$C$6-(10/(逐级计算!$Q$6*LN(10))*(MAX((LN(10^(逐级计算!$Q$6/10)-1)+逐级计算!$Q$6*(F41-逐级计算!$P$6)*LN(10)/10),0)+LN(1+EXP(-ABS((LN(10^(逐级计算!$Q$6/10)-1)+逐级计算!$Q$6*(F41-逐级计算!$P$6)*LN(10)/10))))))),"")</f>
        <v>13.7930365725916</v>
      </c>
      <c r="H41">
        <f>IF(AND(ISNUMBER(G41),逐级计算!$X$7&gt;-1),IF(逐级计算!$X$7=0,G41+逐级计算!$C$7,G41+逐级计算!$C$7-(10/(逐级计算!$Q$7*LN(10))*(MAX((LN(10^(逐级计算!$Q$7/10)-1)+逐级计算!$Q$7*(G41-逐级计算!$P$7)*LN(10)/10),0)+LN(1+EXP(-ABS((LN(10^(逐级计算!$Q$7/10)-1)+逐级计算!$Q$7*(G41-逐级计算!$P$7)*LN(10)/10))))))),"")</f>
        <v>13.7930365725916</v>
      </c>
      <c r="I41">
        <f>IF(AND(ISNUMBER(H41),逐级计算!$X$8&gt;-1),IF(逐级计算!$X$8=0,H41+逐级计算!$C$8,H41+逐级计算!$C$8-(10/(逐级计算!$Q$8*LN(10))*(MAX((LN(10^(逐级计算!$Q$8/10)-1)+逐级计算!$Q$8*(H41-逐级计算!$P$8)*LN(10)/10),0)+LN(1+EXP(-ABS((LN(10^(逐级计算!$Q$8/10)-1)+逐级计算!$Q$8*(H41-逐级计算!$P$8)*LN(10)/10))))))),"")</f>
        <v>13.7930365725916</v>
      </c>
      <c r="J41">
        <f>IF(AND(ISNUMBER(I41),逐级计算!$X$9&gt;-1),IF(逐级计算!$X$9=0,I41+逐级计算!$C$9,I41+逐级计算!$C$9-(10/(逐级计算!$Q$9*LN(10))*(MAX((LN(10^(逐级计算!$Q$9/10)-1)+逐级计算!$Q$9*(I41-逐级计算!$P$9)*LN(10)/10),0)+LN(1+EXP(-ABS((LN(10^(逐级计算!$Q$9/10)-1)+逐级计算!$Q$9*(I41-逐级计算!$P$9)*LN(10)/10))))))),"")</f>
        <v>13.7930365725916</v>
      </c>
      <c r="K41">
        <f>IF(AND(ISNUMBER(J41),逐级计算!$X$10&gt;-1),IF(逐级计算!$X$10=0,J41+逐级计算!$C$10,J41+逐级计算!$C$10-(10/(逐级计算!$Q$10*LN(10))*(MAX((LN(10^(逐级计算!$Q$10/10)-1)+逐级计算!$Q$10*(J41-逐级计算!$P$10)*LN(10)/10),0)+LN(1+EXP(-ABS((LN(10^(逐级计算!$Q$10/10)-1)+逐级计算!$Q$10*(J41-逐级计算!$P$10)*LN(10)/10))))))),"")</f>
        <v>13.7930365725916</v>
      </c>
      <c r="L41">
        <f>IF(AND(ISNUMBER(K41),逐级计算!$X$11&gt;-1),IF(逐级计算!$X$11=0,K41+逐级计算!$C$11,K41+逐级计算!$C$11-(10/(逐级计算!$Q$11*LN(10))*(MAX((LN(10^(逐级计算!$Q$11/10)-1)+逐级计算!$Q$11*(K41-逐级计算!$P$11)*LN(10)/10),0)+LN(1+EXP(-ABS((LN(10^(逐级计算!$Q$11/10)-1)+逐级计算!$Q$11*(K41-逐级计算!$P$11)*LN(10)/10))))))),"")</f>
        <v>13.7930365725916</v>
      </c>
      <c r="M41">
        <f>IF(AND(ISNUMBER(L41),逐级计算!$X$12&gt;-1),IF(逐级计算!$X$12=0,L41+逐级计算!$C$12,L41+逐级计算!$C$12-(10/(逐级计算!$Q$12*LN(10))*(MAX((LN(10^(逐级计算!$Q$12/10)-1)+逐级计算!$Q$12*(L41-逐级计算!$P$12)*LN(10)/10),0)+LN(1+EXP(-ABS((LN(10^(逐级计算!$Q$12/10)-1)+逐级计算!$Q$12*(L41-逐级计算!$P$12)*LN(10)/10))))))),"")</f>
        <v>13.7930365725916</v>
      </c>
      <c r="N41">
        <f>IF(AND(ISNUMBER(M41),逐级计算!$X$13&gt;-1),IF(逐级计算!$X$13=0,M41+逐级计算!$C$13,M41+逐级计算!$C$13-(10/(逐级计算!$Q$13*LN(10))*(MAX((LN(10^(逐级计算!$Q$13/10)-1)+逐级计算!$Q$13*(M41-逐级计算!$P$13)*LN(10)/10),0)+LN(1+EXP(-ABS((LN(10^(逐级计算!$Q$13/10)-1)+逐级计算!$Q$13*(M41-逐级计算!$P$13)*LN(10)/10))))))),"")</f>
        <v>13.7930365725916</v>
      </c>
      <c r="O41">
        <f>IF(AND(ISNUMBER(N41),逐级计算!$X$14&gt;-1),IF(逐级计算!$X$14=0,N41+逐级计算!$C$14,N41+逐级计算!$C$14-(10/(逐级计算!$Q$14*LN(10))*(MAX((LN(10^(逐级计算!$Q$14/10)-1)+逐级计算!$Q$14*(N41-逐级计算!$P$14)*LN(10)/10),0)+LN(1+EXP(-ABS((LN(10^(逐级计算!$Q$14/10)-1)+逐级计算!$Q$14*(N41-逐级计算!$P$14)*LN(10)/10))))))),"")</f>
        <v>13.7930365725916</v>
      </c>
      <c r="P41">
        <f>IF(AND(ISNUMBER(O41),逐级计算!$X$15&gt;-1),IF(逐级计算!$X$15=0,O41+逐级计算!$C$15,O41+逐级计算!$C$15-(10/(逐级计算!$Q$15*LN(10))*(MAX((LN(10^(逐级计算!$Q$15/10)-1)+逐级计算!$Q$15*(O41-逐级计算!$P$15)*LN(10)/10),0)+LN(1+EXP(-ABS((LN(10^(逐级计算!$Q$15/10)-1)+逐级计算!$Q$15*(O41-逐级计算!$P$15)*LN(10)/10))))))),"")</f>
        <v>13.7930365725916</v>
      </c>
      <c r="Q41">
        <f>IF(AND(ISNUMBER(P41),逐级计算!$X$16&gt;-1),IF(逐级计算!$X$16=0,P41+逐级计算!$C$16,P41+逐级计算!$C$16-(10/(逐级计算!$Q$16*LN(10))*(MAX((LN(10^(逐级计算!$Q$16/10)-1)+逐级计算!$Q$16*(P41-逐级计算!$P$16)*LN(10)/10),0)+LN(1+EXP(-ABS((LN(10^(逐级计算!$Q$16/10)-1)+逐级计算!$Q$16*(P41-逐级计算!$P$16)*LN(10)/10))))))),"")</f>
        <v>13.7930365725916</v>
      </c>
      <c r="R41">
        <f>IF(AND(ISNUMBER(Q41),逐级计算!$X$17&gt;-1),IF(逐级计算!$X$17=0,Q41+逐级计算!$C$17,Q41+逐级计算!$C$17-(10/(逐级计算!$Q$17*LN(10))*(MAX((LN(10^(逐级计算!$Q$17/10)-1)+逐级计算!$Q$17*(Q41-逐级计算!$P$17)*LN(10)/10),0)+LN(1+EXP(-ABS((LN(10^(逐级计算!$Q$17/10)-1)+逐级计算!$Q$17*(Q41-逐级计算!$P$17)*LN(10)/10))))))),"")</f>
        <v>13.7930365725916</v>
      </c>
      <c r="S41">
        <f>IF(AND(ISNUMBER(R41),逐级计算!$X$18&gt;-1),IF(逐级计算!$X$18=0,R41+逐级计算!$C$18,R41+逐级计算!$C$18-(10/(逐级计算!$Q$18*LN(10))*(MAX((LN(10^(逐级计算!$Q$18/10)-1)+逐级计算!$Q$18*(R41-逐级计算!$P$18)*LN(10)/10),0)+LN(1+EXP(-ABS((LN(10^(逐级计算!$Q$18/10)-1)+逐级计算!$Q$18*(R41-逐级计算!$P$18)*LN(10)/10))))))),"")</f>
        <v>13.7930365725916</v>
      </c>
      <c r="T41">
        <f>IF(AND(ISNUMBER(S41),逐级计算!$X$19&gt;-1),IF(逐级计算!$X$19=0,S41+逐级计算!$C$19,S41+逐级计算!$C$19-(10/(逐级计算!$Q$19*LN(10))*(MAX((LN(10^(逐级计算!$Q$19/10)-1)+逐级计算!$Q$19*(S41-逐级计算!$P$19)*LN(10)/10),0)+LN(1+EXP(-ABS((LN(10^(逐级计算!$Q$19/10)-1)+逐级计算!$Q$19*(S41-逐级计算!$P$19)*LN(10)/10))))))),"")</f>
        <v>13.7930365725916</v>
      </c>
      <c r="U41">
        <f>IF(AND(ISNUMBER(T41),逐级计算!$X$20&gt;-1),IF(逐级计算!$X$20=0,T41+逐级计算!$C$20,T41+逐级计算!$C$20-(10/(逐级计算!$Q$20*LN(10))*(MAX((LN(10^(逐级计算!$Q$20/10)-1)+逐级计算!$Q$20*(T41-逐级计算!$P$20)*LN(10)/10),0)+LN(1+EXP(-ABS((LN(10^(逐级计算!$Q$20/10)-1)+逐级计算!$Q$20*(T41-逐级计算!$P$20)*LN(10)/10))))))),"")</f>
        <v>13.7930365725916</v>
      </c>
      <c r="V41">
        <f>IF(AND(ISNUMBER(U41),逐级计算!$X$21&gt;-1),IF(逐级计算!$X$21=0,U41+逐级计算!$C$21,U41+逐级计算!$C$21-(10/(逐级计算!$Q$21*LN(10))*(MAX((LN(10^(逐级计算!$Q$21/10)-1)+逐级计算!$Q$21*(U41-逐级计算!$P$21)*LN(10)/10),0)+LN(1+EXP(-ABS((LN(10^(逐级计算!$Q$21/10)-1)+逐级计算!$Q$21*(U41-逐级计算!$P$21)*LN(10)/10))))))),"")</f>
        <v>13.7930365725916</v>
      </c>
      <c r="W41">
        <f>IF(AND(ISNUMBER(V41),逐级计算!$X$22&gt;-1),IF(逐级计算!$X$22=0,V41+逐级计算!$C$22,V41+逐级计算!$C$22-(10/(逐级计算!$Q$22*LN(10))*(MAX((LN(10^(逐级计算!$Q$22/10)-1)+逐级计算!$Q$22*(V41-逐级计算!$P$22)*LN(10)/10),0)+LN(1+EXP(-ABS((LN(10^(逐级计算!$Q$22/10)-1)+逐级计算!$Q$22*(V41-逐级计算!$P$22)*LN(10)/10))))))),"")</f>
        <v>13.7930365725916</v>
      </c>
      <c r="X41">
        <f>IF(AND(ISNUMBER(W41),逐级计算!$X$23&gt;-1),IF(逐级计算!$X$23=0,W41+逐级计算!$C$23,W41+逐级计算!$C$23-(10/(逐级计算!$Q$23*LN(10))*(MAX((LN(10^(逐级计算!$Q$23/10)-1)+逐级计算!$Q$23*(W41-逐级计算!$P$23)*LN(10)/10),0)+LN(1+EXP(-ABS((LN(10^(逐级计算!$Q$23/10)-1)+逐级计算!$Q$23*(W41-逐级计算!$P$23)*LN(10)/10))))))),"")</f>
        <v>13.7930365725916</v>
      </c>
      <c r="Y41">
        <f>IF(AND(ISNUMBER(X41),逐级计算!$X$24&gt;-1),IF(逐级计算!$X$24=0,X41+逐级计算!$C$24,X41+逐级计算!$C$24-(10/(逐级计算!$Q$24*LN(10))*(MAX((LN(10^(逐级计算!$Q$24/10)-1)+逐级计算!$Q$24*(X41-逐级计算!$P$24)*LN(10)/10),0)+LN(1+EXP(-ABS((LN(10^(逐级计算!$Q$24/10)-1)+逐级计算!$Q$24*(X41-逐级计算!$P$24)*LN(10)/10))))))),"")</f>
        <v>13.7930365725916</v>
      </c>
      <c r="Z41">
        <f>IF(AND(ISNUMBER(Y41),逐级计算!$X$25&gt;-1),IF(逐级计算!$X$25=0,Y41+逐级计算!$C$25,Y41+逐级计算!$C$25-(10/(逐级计算!$Q$25*LN(10))*(MAX((LN(10^(逐级计算!$Q$25/10)-1)+逐级计算!$Q$25*(Y41-逐级计算!$P$25)*LN(10)/10),0)+LN(1+EXP(-ABS((LN(10^(逐级计算!$Q$25/10)-1)+逐级计算!$Q$25*(Y41-逐级计算!$P$25)*LN(10)/10))))))),"")</f>
        <v>13.7930365725916</v>
      </c>
      <c r="AA41">
        <f>IF(AND(ISNUMBER(Z41),逐级计算!$X$26&gt;-1),IF(逐级计算!$X$26=0,Z41+逐级计算!$C$26,Z41+逐级计算!$C$26-(10/(逐级计算!$Q$26*LN(10))*(MAX((LN(10^(逐级计算!$Q$26/10)-1)+逐级计算!$Q$26*(Z41-逐级计算!$P$26)*LN(10)/10),0)+LN(1+EXP(-ABS((LN(10^(逐级计算!$Q$26/10)-1)+逐级计算!$Q$26*(Z41-逐级计算!$P$26)*LN(10)/10))))))),"")</f>
        <v>13.7930365725916</v>
      </c>
      <c r="AB41">
        <f>IF(AND(ISNUMBER(AA41),逐级计算!$X$27&gt;-1),IF(逐级计算!$X$27=0,AA41+逐级计算!$C$27,AA41+逐级计算!$C$27-(10/(逐级计算!$Q$27*LN(10))*(MAX((LN(10^(逐级计算!$Q$27/10)-1)+逐级计算!$Q$27*(AA41-逐级计算!$P$27)*LN(10)/10),0)+LN(1+EXP(-ABS((LN(10^(逐级计算!$Q$27/10)-1)+逐级计算!$Q$27*(AA41-逐级计算!$P$27)*LN(10)/10))))))),"")</f>
        <v>13.7930365725916</v>
      </c>
      <c r="AC41">
        <f>IF(AND(ISNUMBER(AB41),逐级计算!$X$28&gt;-1),IF(逐级计算!$X$28=0,AB41+逐级计算!$C$28,AB41+逐级计算!$C$28-(10/(逐级计算!$Q$28*LN(10))*(MAX((LN(10^(逐级计算!$Q$28/10)-1)+逐级计算!$Q$28*(AB41-逐级计算!$P$28)*LN(10)/10),0)+LN(1+EXP(-ABS((LN(10^(逐级计算!$Q$28/10)-1)+逐级计算!$Q$28*(AB41-逐级计算!$P$28)*LN(10)/10))))))),"")</f>
        <v>13.7930365725916</v>
      </c>
      <c r="AD41">
        <f>IF(AND(ISNUMBER(AC41),逐级计算!$X$29&gt;-1),IF(逐级计算!$X$29=0,AC41+逐级计算!$C$29,AC41+逐级计算!$C$29-(10/(逐级计算!$Q$29*LN(10))*(MAX((LN(10^(逐级计算!$Q$29/10)-1)+逐级计算!$Q$29*(AC41-逐级计算!$P$29)*LN(10)/10),0)+LN(1+EXP(-ABS((LN(10^(逐级计算!$Q$29/10)-1)+逐级计算!$Q$29*(AC41-逐级计算!$P$29)*LN(10)/10))))))),"")</f>
        <v>13.7930365725916</v>
      </c>
      <c r="AE41">
        <f>IF(AND(ISNUMBER(AD41),逐级计算!$X$30&gt;-1),IF(逐级计算!$X$30=0,AD41+逐级计算!$C$30,AD41+逐级计算!$C$30-(10/(逐级计算!$Q$30*LN(10))*(MAX((LN(10^(逐级计算!$Q$30/10)-1)+逐级计算!$Q$30*(AD41-逐级计算!$P$30)*LN(10)/10),0)+LN(1+EXP(-ABS((LN(10^(逐级计算!$Q$30/10)-1)+逐级计算!$Q$30*(AD41-逐级计算!$P$30)*LN(10)/10))))))),"")</f>
        <v>13.7930365725916</v>
      </c>
      <c r="AF41">
        <f>IF(AND(ISNUMBER(AE41),逐级计算!$X$31&gt;-1),IF(逐级计算!$X$31=0,AE41+逐级计算!$C$31,AE41+逐级计算!$C$31-(10/(逐级计算!$Q$31*LN(10))*(MAX((LN(10^(逐级计算!$Q$31/10)-1)+逐级计算!$Q$31*(AE41-逐级计算!$P$31)*LN(10)/10),0)+LN(1+EXP(-ABS((LN(10^(逐级计算!$Q$31/10)-1)+逐级计算!$Q$31*(AE41-逐级计算!$P$31)*LN(10)/10))))))),"")</f>
        <v>13.7930365725916</v>
      </c>
      <c r="AG41">
        <f>IF(AND(ISNUMBER(AF41),逐级计算!$X$32&gt;-1),IF(逐级计算!$X$32=0,AF41+逐级计算!$C$32,AF41+逐级计算!$C$32-(10/(逐级计算!$Q$32*LN(10))*(MAX((LN(10^(逐级计算!$Q$32/10)-1)+逐级计算!$Q$32*(AF41-逐级计算!$P$32)*LN(10)/10),0)+LN(1+EXP(-ABS((LN(10^(逐级计算!$Q$32/10)-1)+逐级计算!$Q$32*(AF41-逐级计算!$P$32)*LN(10)/10))))))),"")</f>
        <v>13.7930365725916</v>
      </c>
      <c r="AH41">
        <f>IF(AND(ISNUMBER(AG41),逐级计算!$X$33&gt;-1),IF(逐级计算!$X$33=0,AG41+逐级计算!$C$33,AG41+逐级计算!$C$33-(10/(逐级计算!$Q$33*LN(10))*(MAX((LN(10^(逐级计算!$Q$33/10)-1)+逐级计算!$Q$33*(AG41-逐级计算!$P$33)*LN(10)/10),0)+LN(1+EXP(-ABS((LN(10^(逐级计算!$Q$33/10)-1)+逐级计算!$Q$33*(AG41-逐级计算!$P$33)*LN(10)/10))))))),"")</f>
        <v>13.7930365725916</v>
      </c>
      <c r="AI41">
        <f>IF(AND(ISNUMBER(AH41),逐级计算!$X$34&gt;-1),IF(逐级计算!$X$34=0,AH41+逐级计算!$C$34,AH41+逐级计算!$C$34-(10/(逐级计算!$Q$34*LN(10))*(MAX((LN(10^(逐级计算!$Q$34/10)-1)+逐级计算!$Q$34*(AH41-逐级计算!$P$34)*LN(10)/10),0)+LN(1+EXP(-ABS((LN(10^(逐级计算!$Q$34/10)-1)+逐级计算!$Q$34*(AH41-逐级计算!$P$34)*LN(10)/10))))))),"")</f>
        <v>13.7930365725916</v>
      </c>
      <c r="AJ41">
        <f>IF(AND(ISNUMBER(AI41),逐级计算!$X$35&gt;-1),IF(逐级计算!$X$35=0,AI41+逐级计算!$C$35,AI41+逐级计算!$C$35-(10/(逐级计算!$Q$35*LN(10))*(MAX((LN(10^(逐级计算!$Q$35/10)-1)+逐级计算!$Q$35*(AI41-逐级计算!$P$35)*LN(10)/10),0)+LN(1+EXP(-ABS((LN(10^(逐级计算!$Q$35/10)-1)+逐级计算!$Q$35*(AI41-逐级计算!$P$35)*LN(10)/10))))))),"")</f>
        <v>13.7930365725916</v>
      </c>
      <c r="AK41">
        <f>IF(AND(ISNUMBER(AJ41),逐级计算!$X$36&gt;-1),IF(逐级计算!$X$36=0,AJ41+逐级计算!$C$36,AJ41+逐级计算!$C$36-(10/(逐级计算!$Q$36*LN(10))*(MAX((LN(10^(逐级计算!$Q$36/10)-1)+逐级计算!$Q$36*(AJ41-逐级计算!$P$36)*LN(10)/10),0)+LN(1+EXP(-ABS((LN(10^(逐级计算!$Q$36/10)-1)+逐级计算!$Q$36*(AJ41-逐级计算!$P$36)*LN(10)/10))))))),"")</f>
        <v>13.7930365725916</v>
      </c>
      <c r="AL41">
        <f>IF(AND(ISNUMBER(AK41),逐级计算!$X$37&gt;-1),IF(逐级计算!$X$37=0,AK41+逐级计算!$C$37,AK41+逐级计算!$C$37-(10/(逐级计算!$Q$37*LN(10))*(MAX((LN(10^(逐级计算!$Q$37/10)-1)+逐级计算!$Q$37*(AK41-逐级计算!$P$37)*LN(10)/10),0)+LN(1+EXP(-ABS((LN(10^(逐级计算!$Q$37/10)-1)+逐级计算!$Q$37*(AK41-逐级计算!$P$37)*LN(10)/10))))))),"")</f>
        <v>13.7930365725916</v>
      </c>
      <c r="AM41">
        <f>IF(AND(ISNUMBER(AL41),逐级计算!$X$38&gt;-1),IF(逐级计算!$X$38=0,AL41+逐级计算!$C$38,AL41+逐级计算!$C$38-(10/(逐级计算!$Q$38*LN(10))*(MAX((LN(10^(逐级计算!$Q$38/10)-1)+逐级计算!$Q$38*(AL41-逐级计算!$P$38)*LN(10)/10),0)+LN(1+EXP(-ABS((LN(10^(逐级计算!$Q$38/10)-1)+逐级计算!$Q$38*(AL41-逐级计算!$P$38)*LN(10)/10))))))),"")</f>
        <v>13.7930365725916</v>
      </c>
      <c r="AN41">
        <f>IF(AND(ISNUMBER(AM41),逐级计算!$X$39&gt;-1),IF(逐级计算!$X$39=0,AM41+逐级计算!$C$39,AM41+逐级计算!$C$39-(10/(逐级计算!$Q$39*LN(10))*(MAX((LN(10^(逐级计算!$Q$39/10)-1)+逐级计算!$Q$39*(AM41-逐级计算!$P$39)*LN(10)/10),0)+LN(1+EXP(-ABS((LN(10^(逐级计算!$Q$39/10)-1)+逐级计算!$Q$39*(AM41-逐级计算!$P$39)*LN(10)/10))))))),"")</f>
        <v>13.7930365725916</v>
      </c>
      <c r="AO41">
        <f>IF(AND(ISNUMBER(AN41),逐级计算!$X$40&gt;-1),IF(逐级计算!$X$40=0,AN41+逐级计算!$C$40,AN41+逐级计算!$C$40-(10/(逐级计算!$Q$40*LN(10))*(MAX((LN(10^(逐级计算!$Q$40/10)-1)+逐级计算!$Q$40*(AN41-逐级计算!$P$40)*LN(10)/10),0)+LN(1+EXP(-ABS((LN(10^(逐级计算!$Q$40/10)-1)+逐级计算!$Q$40*(AN41-逐级计算!$P$40)*LN(10)/10))))))),"")</f>
        <v>13.7930365725916</v>
      </c>
      <c r="AP41">
        <f>IF(AND(ISNUMBER(AO41),逐级计算!$X$41&gt;-1),IF(逐级计算!$X$41=0,AO41+逐级计算!$C$41,AO41+逐级计算!$C$41-(10/(逐级计算!$Q$41*LN(10))*(MAX((LN(10^(逐级计算!$Q$41/10)-1)+逐级计算!$Q$41*(AO41-逐级计算!$P$41)*LN(10)/10),0)+LN(1+EXP(-ABS((LN(10^(逐级计算!$Q$41/10)-1)+逐级计算!$Q$41*(AO41-逐级计算!$P$41)*LN(10)/10))))))),"")</f>
        <v>13.7930365725916</v>
      </c>
      <c r="AQ41">
        <f>IF(AND(ISNUMBER(AP41),逐级计算!$X$42&gt;-1),IF(逐级计算!$X$42=0,AP41+逐级计算!$C$42,AP41+逐级计算!$C$42-(10/(逐级计算!$Q$42*LN(10))*(MAX((LN(10^(逐级计算!$Q$42/10)-1)+逐级计算!$Q$42*(AP41-逐级计算!$P$42)*LN(10)/10),0)+LN(1+EXP(-ABS((LN(10^(逐级计算!$Q$42/10)-1)+逐级计算!$Q$42*(AP41-逐级计算!$P$42)*LN(10)/10))))))),"")</f>
        <v>13.7930365725916</v>
      </c>
      <c r="AR41">
        <f>IF(AND(ISNUMBER(AQ41),逐级计算!$X$43&gt;-1),IF(逐级计算!$X$43=0,AQ41+逐级计算!$C$43,AQ41+逐级计算!$C$43-(10/(逐级计算!$Q$43*LN(10))*(MAX((LN(10^(逐级计算!$Q$43/10)-1)+逐级计算!$Q$43*(AQ41-逐级计算!$P$43)*LN(10)/10),0)+LN(1+EXP(-ABS((LN(10^(逐级计算!$Q$43/10)-1)+逐级计算!$Q$43*(AQ41-逐级计算!$P$43)*LN(10)/10))))))),"")</f>
        <v>13.7930365725916</v>
      </c>
      <c r="AS41">
        <f>IF(AND(ISNUMBER(AR41),逐级计算!$X$44&gt;-1),IF(逐级计算!$X$44=0,AR41+逐级计算!$C$44,AR41+逐级计算!$C$44-(10/(逐级计算!$Q$44*LN(10))*(MAX((LN(10^(逐级计算!$Q$44/10)-1)+逐级计算!$Q$44*(AR41-逐级计算!$P$44)*LN(10)/10),0)+LN(1+EXP(-ABS((LN(10^(逐级计算!$Q$44/10)-1)+逐级计算!$Q$44*(AR41-逐级计算!$P$44)*LN(10)/10))))))),"")</f>
        <v>13.7930365725916</v>
      </c>
      <c r="AT41">
        <f>IF(AND(ISNUMBER(AS41),逐级计算!$X$45&gt;-1),IF(逐级计算!$X$45=0,AS41+逐级计算!$C$45,AS41+逐级计算!$C$45-(10/(逐级计算!$Q$45*LN(10))*(MAX((LN(10^(逐级计算!$Q$45/10)-1)+逐级计算!$Q$45*(AS41-逐级计算!$P$45)*LN(10)/10),0)+LN(1+EXP(-ABS((LN(10^(逐级计算!$Q$45/10)-1)+逐级计算!$Q$45*(AS41-逐级计算!$P$45)*LN(10)/10))))))),"")</f>
        <v>13.7930365725916</v>
      </c>
      <c r="AU41">
        <f>IF(AND(ISNUMBER(AT41),逐级计算!$X$46&gt;-1),IF(逐级计算!$X$46=0,AT41+逐级计算!$C$46,AT41+逐级计算!$C$46-(10/(逐级计算!$Q$46*LN(10))*(MAX((LN(10^(逐级计算!$Q$46/10)-1)+逐级计算!$Q$46*(AT41-逐级计算!$P$46)*LN(10)/10),0)+LN(1+EXP(-ABS((LN(10^(逐级计算!$Q$46/10)-1)+逐级计算!$Q$46*(AT41-逐级计算!$P$46)*LN(10)/10))))))),"")</f>
        <v>13.7930365725916</v>
      </c>
      <c r="AV41">
        <f>IF(AND(ISNUMBER(AU41),逐级计算!$X$47&gt;-1),IF(逐级计算!$X$47=0,AU41+逐级计算!$C$47,AU41+逐级计算!$C$47-(10/(逐级计算!$Q$47*LN(10))*(MAX((LN(10^(逐级计算!$Q$47/10)-1)+逐级计算!$Q$47*(AU41-逐级计算!$P$47)*LN(10)/10),0)+LN(1+EXP(-ABS((LN(10^(逐级计算!$Q$47/10)-1)+逐级计算!$Q$47*(AU41-逐级计算!$P$47)*LN(10)/10))))))),"")</f>
        <v>13.7930365725916</v>
      </c>
      <c r="AW41">
        <f>IF(AND(ISNUMBER(AV41),逐级计算!$X$48&gt;-1),IF(逐级计算!$X$48=0,AV41+逐级计算!$C$48,AV41+逐级计算!$C$48-(10/(逐级计算!$Q$48*LN(10))*(MAX((LN(10^(逐级计算!$Q$48/10)-1)+逐级计算!$Q$48*(AV41-逐级计算!$P$48)*LN(10)/10),0)+LN(1+EXP(-ABS((LN(10^(逐级计算!$Q$48/10)-1)+逐级计算!$Q$48*(AV41-逐级计算!$P$48)*LN(10)/10))))))),"")</f>
        <v>13.7930365725916</v>
      </c>
      <c r="AX41">
        <f>IF(AND(ISNUMBER(AW41),逐级计算!$X$49&gt;-1),IF(逐级计算!$X$49=0,AW41+逐级计算!$C$49,AW41+逐级计算!$C$49-(10/(逐级计算!$Q$49*LN(10))*(MAX((LN(10^(逐级计算!$Q$49/10)-1)+逐级计算!$Q$49*(AW41-逐级计算!$P$49)*LN(10)/10),0)+LN(1+EXP(-ABS((LN(10^(逐级计算!$Q$49/10)-1)+逐级计算!$Q$49*(AW41-逐级计算!$P$49)*LN(10)/10))))))),"")</f>
        <v>13.7930365725916</v>
      </c>
      <c r="AY41">
        <f>IF(AND(ISNUMBER(AX41),逐级计算!$X$50&gt;-1),IF(逐级计算!$X$50=0,AX41+逐级计算!$C$50,AX41+逐级计算!$C$50-(10/(逐级计算!$Q$50*LN(10))*(MAX((LN(10^(逐级计算!$Q$50/10)-1)+逐级计算!$Q$50*(AX41-逐级计算!$P$50)*LN(10)/10),0)+LN(1+EXP(-ABS((LN(10^(逐级计算!$Q$50/10)-1)+逐级计算!$Q$50*(AX41-逐级计算!$P$50)*LN(10)/10))))))),"")</f>
        <v>13.7930365725916</v>
      </c>
      <c r="AZ41">
        <f>IF(AND(ISNUMBER(AY41),逐级计算!$X$51&gt;-1),IF(逐级计算!$X$51=0,AY41+逐级计算!$C$51,AY41+逐级计算!$C$51-(10/(逐级计算!$Q$51*LN(10))*(MAX((LN(10^(逐级计算!$Q$51/10)-1)+逐级计算!$Q$51*(AY41-逐级计算!$P$51)*LN(10)/10),0)+LN(1+EXP(-ABS((LN(10^(逐级计算!$Q$51/10)-1)+逐级计算!$Q$51*(AY41-逐级计算!$P$51)*LN(10)/10))))))),"")</f>
        <v>13.7930365725916</v>
      </c>
      <c r="BA41">
        <f>IF(AND(ISNUMBER(AZ41),逐级计算!$X$52&gt;-1),IF(逐级计算!$X$52=0,AZ41+逐级计算!$C$52,AZ41+逐级计算!$C$52-(10/(逐级计算!$Q$52*LN(10))*(MAX((LN(10^(逐级计算!$Q$52/10)-1)+逐级计算!$Q$52*(AZ41-逐级计算!$P$52)*LN(10)/10),0)+LN(1+EXP(-ABS((LN(10^(逐级计算!$Q$52/10)-1)+逐级计算!$Q$52*(AZ41-逐级计算!$P$52)*LN(10)/10))))))),"")</f>
        <v>13.7930365725916</v>
      </c>
      <c r="BB41">
        <f>IF(AND(ISNUMBER(BA41),逐级计算!$X$53&gt;-1),IF(逐级计算!$X$53=0,BA41+逐级计算!$C$53,BA41+逐级计算!$C$53-(10/(逐级计算!$Q$53*LN(10))*(MAX((LN(10^(逐级计算!$Q$53/10)-1)+逐级计算!$Q$53*(BA41-逐级计算!$P$53)*LN(10)/10),0)+LN(1+EXP(-ABS((LN(10^(逐级计算!$Q$53/10)-1)+逐级计算!$Q$53*(BA41-逐级计算!$P$53)*LN(10)/10))))))),"")</f>
        <v>13.7930365725916</v>
      </c>
      <c r="BC41">
        <f>IF(AND(ISNUMBER(BB41),逐级计算!$X$54&gt;-1),IF(逐级计算!$X$54=0,BB41+逐级计算!$C$54,BB41+逐级计算!$C$54-(10/(逐级计算!$Q$54*LN(10))*(MAX((LN(10^(逐级计算!$Q$54/10)-1)+逐级计算!$Q$54*(BB41-逐级计算!$P$54)*LN(10)/10),0)+LN(1+EXP(-ABS((LN(10^(逐级计算!$Q$54/10)-1)+逐级计算!$Q$54*(BB41-逐级计算!$P$54)*LN(10)/10))))))),"")</f>
        <v>13.7930365725916</v>
      </c>
      <c r="BD41">
        <f>IF(AND(ISNUMBER(BC41),逐级计算!$X$55&gt;-1),IF(逐级计算!$X$55=0,BC41+逐级计算!$C$55,BC41+逐级计算!$C$55-(10/(逐级计算!$Q$55*LN(10))*(MAX((LN(10^(逐级计算!$Q$55/10)-1)+逐级计算!$Q$55*(BC41-逐级计算!$P$55)*LN(10)/10),0)+LN(1+EXP(-ABS((LN(10^(逐级计算!$Q$55/10)-1)+逐级计算!$Q$55*(BC41-逐级计算!$P$55)*LN(10)/10))))))),"")</f>
        <v>13.7930365725916</v>
      </c>
      <c r="BE41">
        <f>IF(AND(ISNUMBER(BD41),逐级计算!$X$56&gt;-1),IF(逐级计算!$X$56=0,BD41+逐级计算!$C$56,BD41+逐级计算!$C$56-(10/(逐级计算!$Q$56*LN(10))*(MAX((LN(10^(逐级计算!$Q$56/10)-1)+逐级计算!$Q$56*(BD41-逐级计算!$P$56)*LN(10)/10),0)+LN(1+EXP(-ABS((LN(10^(逐级计算!$Q$56/10)-1)+逐级计算!$Q$56*(BD41-逐级计算!$P$56)*LN(10)/10))))))),"")</f>
        <v>13.7930365725916</v>
      </c>
      <c r="BF41">
        <f>IF(AND(ISNUMBER(BE41),逐级计算!$X$57&gt;-1),IF(逐级计算!$X$57=0,BE41+逐级计算!$C$57,BE41+逐级计算!$C$57-(10/(逐级计算!$Q$57*LN(10))*(MAX((LN(10^(逐级计算!$Q$57/10)-1)+逐级计算!$Q$57*(BE41-逐级计算!$P$57)*LN(10)/10),0)+LN(1+EXP(-ABS((LN(10^(逐级计算!$Q$57/10)-1)+逐级计算!$Q$57*(BE41-逐级计算!$P$57)*LN(10)/10))))))),"")</f>
        <v>13.7930365725916</v>
      </c>
      <c r="BG41">
        <f>IF(AND(ISNUMBER(BF41),逐级计算!$X$58&gt;-1),IF(逐级计算!$X$58=0,BF41+逐级计算!$C$58,BF41+逐级计算!$C$58-(10/(逐级计算!$Q$58*LN(10))*(MAX((LN(10^(逐级计算!$Q$58/10)-1)+逐级计算!$Q$58*(BF41-逐级计算!$P$58)*LN(10)/10),0)+LN(1+EXP(-ABS((LN(10^(逐级计算!$Q$58/10)-1)+逐级计算!$Q$58*(BF41-逐级计算!$P$58)*LN(10)/10))))))),"")</f>
        <v>13.7930365725916</v>
      </c>
      <c r="BH41">
        <f>IF(AND(ISNUMBER(BG41),逐级计算!$X$59&gt;-1),IF(逐级计算!$X$59=0,BG41+逐级计算!$C$59,BG41+逐级计算!$C$59-(10/(逐级计算!$Q$59*LN(10))*(MAX((LN(10^(逐级计算!$Q$59/10)-1)+逐级计算!$Q$59*(BG41-逐级计算!$P$59)*LN(10)/10),0)+LN(1+EXP(-ABS((LN(10^(逐级计算!$Q$59/10)-1)+逐级计算!$Q$59*(BG41-逐级计算!$P$59)*LN(10)/10))))))),"")</f>
        <v>13.7930365725916</v>
      </c>
      <c r="BI41">
        <f>IF(AND(ISNUMBER(BH41),逐级计算!$X$60&gt;-1),IF(逐级计算!$X$60=0,BH41+逐级计算!$C$60,BH41+逐级计算!$C$60-(10/(逐级计算!$Q$60*LN(10))*(MAX((LN(10^(逐级计算!$Q$60/10)-1)+逐级计算!$Q$60*(BH41-逐级计算!$P$60)*LN(10)/10),0)+LN(1+EXP(-ABS((LN(10^(逐级计算!$Q$60/10)-1)+逐级计算!$Q$60*(BH41-逐级计算!$P$60)*LN(10)/10))))))),"")</f>
        <v>13.7930365725916</v>
      </c>
      <c r="BJ41">
        <f>IF(AND(ISNUMBER(BI41),逐级计算!$X$61&gt;-1),IF(逐级计算!$X$61=0,BI41+逐级计算!$C$61,BI41+逐级计算!$C$61-(10/(逐级计算!$Q$61*LN(10))*(MAX((LN(10^(逐级计算!$Q$61/10)-1)+逐级计算!$Q$61*(BI41-逐级计算!$P$61)*LN(10)/10),0)+LN(1+EXP(-ABS((LN(10^(逐级计算!$Q$61/10)-1)+逐级计算!$Q$61*(BI41-逐级计算!$P$61)*LN(10)/10))))))),"")</f>
        <v>13.7930365725916</v>
      </c>
      <c r="BK41">
        <f>IF(AND(ISNUMBER(BJ41),逐级计算!$X$62&gt;-1),IF(逐级计算!$X$62=0,BJ41+逐级计算!$C$62,BJ41+逐级计算!$C$62-(10/(逐级计算!$Q$62*LN(10))*(MAX((LN(10^(逐级计算!$Q$62/10)-1)+逐级计算!$Q$62*(BJ41-逐级计算!$P$62)*LN(10)/10),0)+LN(1+EXP(-ABS((LN(10^(逐级计算!$Q$62/10)-1)+逐级计算!$Q$62*(BJ41-逐级计算!$P$62)*LN(10)/10))))))),"")</f>
        <v>13.7930365725916</v>
      </c>
      <c r="BL41">
        <f>IF(AND(ISNUMBER(BK41),逐级计算!$X$63&gt;-1),IF(逐级计算!$X$63=0,BK41+逐级计算!$C$63,BK41+逐级计算!$C$63-(10/(逐级计算!$Q$63*LN(10))*(MAX((LN(10^(逐级计算!$Q$63/10)-1)+逐级计算!$Q$63*(BK41-逐级计算!$P$63)*LN(10)/10),0)+LN(1+EXP(-ABS((LN(10^(逐级计算!$Q$63/10)-1)+逐级计算!$Q$63*(BK41-逐级计算!$P$63)*LN(10)/10))))))),"")</f>
        <v>13.7930365725916</v>
      </c>
      <c r="BM41">
        <f>IF(AND(ISNUMBER(BL41),逐级计算!$X$64&gt;-1),IF(逐级计算!$X$64=0,BL41+逐级计算!$C$64,BL41+逐级计算!$C$64-(10/(逐级计算!$Q$64*LN(10))*(MAX((LN(10^(逐级计算!$Q$64/10)-1)+逐级计算!$Q$64*(BL41-逐级计算!$P$64)*LN(10)/10),0)+LN(1+EXP(-ABS((LN(10^(逐级计算!$Q$64/10)-1)+逐级计算!$Q$64*(BL41-逐级计算!$P$64)*LN(10)/10))))))),"")</f>
        <v>13.7930365725916</v>
      </c>
      <c r="BN41">
        <f>IF(AND(ISNUMBER(BM41),逐级计算!$X$65&gt;-1),IF(逐级计算!$X$65=0,BM41+逐级计算!$C$65,BM41+逐级计算!$C$65-(10/(逐级计算!$Q$65*LN(10))*(MAX((LN(10^(逐级计算!$Q$65/10)-1)+逐级计算!$Q$65*(BM41-逐级计算!$P$65)*LN(10)/10),0)+LN(1+EXP(-ABS((LN(10^(逐级计算!$Q$65/10)-1)+逐级计算!$Q$65*(BM41-逐级计算!$P$65)*LN(10)/10))))))),"")</f>
        <v>13.7930365725916</v>
      </c>
      <c r="BO41">
        <f>IF(AND(ISNUMBER(BN41),逐级计算!$X$66&gt;-1),IF(逐级计算!$X$66=0,BN41+逐级计算!$C$66,BN41+逐级计算!$C$66-(10/(逐级计算!$Q$66*LN(10))*(MAX((LN(10^(逐级计算!$Q$66/10)-1)+逐级计算!$Q$66*(BN41-逐级计算!$P$66)*LN(10)/10),0)+LN(1+EXP(-ABS((LN(10^(逐级计算!$Q$66/10)-1)+逐级计算!$Q$66*(BN41-逐级计算!$P$66)*LN(10)/10))))))),"")</f>
        <v>13.7930365725916</v>
      </c>
      <c r="BP41">
        <f>IF(AND(ISNUMBER(BO41),逐级计算!$X$67&gt;-1),IF(逐级计算!$X$67=0,BO41+逐级计算!$C$67,BO41+逐级计算!$C$67-(10/(逐级计算!$Q$67*LN(10))*(MAX((LN(10^(逐级计算!$Q$67/10)-1)+逐级计算!$Q$67*(BO41-逐级计算!$P$67)*LN(10)/10),0)+LN(1+EXP(-ABS((LN(10^(逐级计算!$Q$67/10)-1)+逐级计算!$Q$67*(BO41-逐级计算!$P$67)*LN(10)/10))))))),"")</f>
        <v>13.7930365725916</v>
      </c>
      <c r="BQ41">
        <f>IF(AND(ISNUMBER(BP41),逐级计算!$X$68&gt;-1),IF(逐级计算!$X$68=0,BP41+逐级计算!$C$68,BP41+逐级计算!$C$68-(10/(逐级计算!$Q$68*LN(10))*(MAX((LN(10^(逐级计算!$Q$68/10)-1)+逐级计算!$Q$68*(BP41-逐级计算!$P$68)*LN(10)/10),0)+LN(1+EXP(-ABS((LN(10^(逐级计算!$Q$68/10)-1)+逐级计算!$Q$68*(BP41-逐级计算!$P$68)*LN(10)/10))))))),"")</f>
        <v>13.7930365725916</v>
      </c>
      <c r="BR41">
        <f>IF(AND(ISNUMBER(BQ41),逐级计算!$X$69&gt;-1),IF(逐级计算!$X$69=0,BQ41+逐级计算!$C$69,BQ41+逐级计算!$C$69-(10/(逐级计算!$Q$69*LN(10))*(MAX((LN(10^(逐级计算!$Q$69/10)-1)+逐级计算!$Q$69*(BQ41-逐级计算!$P$69)*LN(10)/10),0)+LN(1+EXP(-ABS((LN(10^(逐级计算!$Q$69/10)-1)+逐级计算!$Q$69*(BQ41-逐级计算!$P$69)*LN(10)/10))))))),"")</f>
        <v>13.7930365725916</v>
      </c>
      <c r="BS41">
        <f>IF(AND(ISNUMBER(BR41),逐级计算!$X$70&gt;-1),IF(逐级计算!$X$70=0,BR41+逐级计算!$C$70,BR41+逐级计算!$C$70-(10/(逐级计算!$Q$70*LN(10))*(MAX((LN(10^(逐级计算!$Q$70/10)-1)+逐级计算!$Q$70*(BR41-逐级计算!$P$70)*LN(10)/10),0)+LN(1+EXP(-ABS((LN(10^(逐级计算!$Q$70/10)-1)+逐级计算!$Q$70*(BR41-逐级计算!$P$70)*LN(10)/10))))))),"")</f>
        <v>13.7930365725916</v>
      </c>
      <c r="BT41">
        <f>IF(AND(ISNUMBER(BS41),逐级计算!$X$71&gt;-1),IF(逐级计算!$X$71=0,BS41+逐级计算!$C$71,BS41+逐级计算!$C$71-(10/(逐级计算!$Q$71*LN(10))*(MAX((LN(10^(逐级计算!$Q$71/10)-1)+逐级计算!$Q$71*(BS41-逐级计算!$P$71)*LN(10)/10),0)+LN(1+EXP(-ABS((LN(10^(逐级计算!$Q$71/10)-1)+逐级计算!$Q$71*(BS41-逐级计算!$P$71)*LN(10)/10))))))),"")</f>
        <v>13.7930365725916</v>
      </c>
      <c r="BU41">
        <f>IF(AND(ISNUMBER(BT41),逐级计算!$X$72&gt;-1),IF(逐级计算!$X$72=0,BT41+逐级计算!$C$72,BT41+逐级计算!$C$72-(10/(逐级计算!$Q$72*LN(10))*(MAX((LN(10^(逐级计算!$Q$72/10)-1)+逐级计算!$Q$72*(BT41-逐级计算!$P$72)*LN(10)/10),0)+LN(1+EXP(-ABS((LN(10^(逐级计算!$Q$72/10)-1)+逐级计算!$Q$72*(BT41-逐级计算!$P$72)*LN(10)/10))))))),"")</f>
        <v>13.7930365725916</v>
      </c>
      <c r="BV41">
        <f>IF(AND(ISNUMBER(BU41),逐级计算!$X$73&gt;-1),IF(逐级计算!$X$73=0,BU41+逐级计算!$C$73,BU41+逐级计算!$C$73-(10/(逐级计算!$Q$73*LN(10))*(MAX((LN(10^(逐级计算!$Q$73/10)-1)+逐级计算!$Q$73*(BU41-逐级计算!$P$73)*LN(10)/10),0)+LN(1+EXP(-ABS((LN(10^(逐级计算!$Q$73/10)-1)+逐级计算!$Q$73*(BU41-逐级计算!$P$73)*LN(10)/10))))))),"")</f>
        <v>13.7930365725916</v>
      </c>
      <c r="BW41">
        <f>IF(AND(ISNUMBER(BV41),逐级计算!$X$74&gt;-1),IF(逐级计算!$X$74=0,BV41+逐级计算!$C$74,BV41+逐级计算!$C$74-(10/(逐级计算!$Q$74*LN(10))*(MAX((LN(10^(逐级计算!$Q$74/10)-1)+逐级计算!$Q$74*(BV41-逐级计算!$P$74)*LN(10)/10),0)+LN(1+EXP(-ABS((LN(10^(逐级计算!$Q$74/10)-1)+逐级计算!$Q$74*(BV41-逐级计算!$P$74)*LN(10)/10))))))),"")</f>
        <v>13.7930365725916</v>
      </c>
      <c r="BX41">
        <f>IF(AND(ISNUMBER(BW41),逐级计算!$X$75&gt;-1),IF(逐级计算!$X$75=0,BW41+逐级计算!$C$75,BW41+逐级计算!$C$75-(10/(逐级计算!$Q$75*LN(10))*(MAX((LN(10^(逐级计算!$Q$75/10)-1)+逐级计算!$Q$75*(BW41-逐级计算!$P$75)*LN(10)/10),0)+LN(1+EXP(-ABS((LN(10^(逐级计算!$Q$75/10)-1)+逐级计算!$Q$75*(BW41-逐级计算!$P$75)*LN(10)/10))))))),"")</f>
        <v>13.7930365725916</v>
      </c>
      <c r="BY41">
        <f>IF(AND(ISNUMBER(BX41),逐级计算!$X$76&gt;-1),IF(逐级计算!$X$76=0,BX41+逐级计算!$C$76,BX41+逐级计算!$C$76-(10/(逐级计算!$Q$76*LN(10))*(MAX((LN(10^(逐级计算!$Q$76/10)-1)+逐级计算!$Q$76*(BX41-逐级计算!$P$76)*LN(10)/10),0)+LN(1+EXP(-ABS((LN(10^(逐级计算!$Q$76/10)-1)+逐级计算!$Q$76*(BX41-逐级计算!$P$76)*LN(10)/10))))))),"")</f>
        <v>13.7930365725916</v>
      </c>
      <c r="BZ41">
        <f>IF(AND(ISNUMBER(BY41),逐级计算!$X$77&gt;-1),IF(逐级计算!$X$77=0,BY41+逐级计算!$C$77,BY41+逐级计算!$C$77-(10/(逐级计算!$Q$77*LN(10))*(MAX((LN(10^(逐级计算!$Q$77/10)-1)+逐级计算!$Q$77*(BY41-逐级计算!$P$77)*LN(10)/10),0)+LN(1+EXP(-ABS((LN(10^(逐级计算!$Q$77/10)-1)+逐级计算!$Q$77*(BY41-逐级计算!$P$77)*LN(10)/10))))))),"")</f>
        <v>13.7930365725916</v>
      </c>
      <c r="CA41">
        <f>IF(AND(ISNUMBER(BZ41),逐级计算!$X$78&gt;-1),IF(逐级计算!$X$78=0,BZ41+逐级计算!$C$78,BZ41+逐级计算!$C$78-(10/(逐级计算!$Q$78*LN(10))*(MAX((LN(10^(逐级计算!$Q$78/10)-1)+逐级计算!$Q$78*(BZ41-逐级计算!$P$78)*LN(10)/10),0)+LN(1+EXP(-ABS((LN(10^(逐级计算!$Q$78/10)-1)+逐级计算!$Q$78*(BZ41-逐级计算!$P$78)*LN(10)/10))))))),"")</f>
        <v>13.7930365725916</v>
      </c>
      <c r="CB41">
        <f>IF(AND(ISNUMBER(CA41),逐级计算!$X$79&gt;-1),IF(逐级计算!$X$79=0,CA41+逐级计算!$C$79,CA41+逐级计算!$C$79-(10/(逐级计算!$Q$79*LN(10))*(MAX((LN(10^(逐级计算!$Q$79/10)-1)+逐级计算!$Q$79*(CA41-逐级计算!$P$79)*LN(10)/10),0)+LN(1+EXP(-ABS((LN(10^(逐级计算!$Q$79/10)-1)+逐级计算!$Q$79*(CA41-逐级计算!$P$79)*LN(10)/10))))))),"")</f>
        <v>13.7930365725916</v>
      </c>
      <c r="CC41">
        <f>IF(AND(ISNUMBER(CB41),逐级计算!$X$80&gt;-1),IF(逐级计算!$X$80=0,CB41+逐级计算!$C$80,CB41+逐级计算!$C$80-(10/(逐级计算!$Q$80*LN(10))*(MAX((LN(10^(逐级计算!$Q$80/10)-1)+逐级计算!$Q$80*(CB41-逐级计算!$P$80)*LN(10)/10),0)+LN(1+EXP(-ABS((LN(10^(逐级计算!$Q$80/10)-1)+逐级计算!$Q$80*(CB41-逐级计算!$P$80)*LN(10)/10))))))),"")</f>
        <v>13.7930365725916</v>
      </c>
      <c r="CD41">
        <f>IF(AND(ISNUMBER(CC41),逐级计算!$X$81&gt;-1),IF(逐级计算!$X$81=0,CC41+逐级计算!$C$81,CC41+逐级计算!$C$81-(10/(逐级计算!$Q$81*LN(10))*(MAX((LN(10^(逐级计算!$Q$81/10)-1)+逐级计算!$Q$81*(CC41-逐级计算!$P$81)*LN(10)/10),0)+LN(1+EXP(-ABS((LN(10^(逐级计算!$Q$81/10)-1)+逐级计算!$Q$81*(CC41-逐级计算!$P$81)*LN(10)/10))))))),"")</f>
        <v>13.7930365725916</v>
      </c>
      <c r="CE41">
        <f>IF(AND(ISNUMBER(CD41),逐级计算!$X$82&gt;-1),IF(逐级计算!$X$82=0,CD41+逐级计算!$C$82,CD41+逐级计算!$C$82-(10/(逐级计算!$Q$82*LN(10))*(MAX((LN(10^(逐级计算!$Q$82/10)-1)+逐级计算!$Q$82*(CD41-逐级计算!$P$82)*LN(10)/10),0)+LN(1+EXP(-ABS((LN(10^(逐级计算!$Q$82/10)-1)+逐级计算!$Q$82*(CD41-逐级计算!$P$82)*LN(10)/10))))))),"")</f>
        <v>13.7930365725916</v>
      </c>
      <c r="CF41">
        <f>IF(AND(ISNUMBER(CE41),逐级计算!$X$83&gt;-1),IF(逐级计算!$X$83=0,CE41+逐级计算!$C$83,CE41+逐级计算!$C$83-(10/(逐级计算!$Q$83*LN(10))*(MAX((LN(10^(逐级计算!$Q$83/10)-1)+逐级计算!$Q$83*(CE41-逐级计算!$P$83)*LN(10)/10),0)+LN(1+EXP(-ABS((LN(10^(逐级计算!$Q$83/10)-1)+逐级计算!$Q$83*(CE41-逐级计算!$P$83)*LN(10)/10))))))),"")</f>
        <v>13.7930365725916</v>
      </c>
      <c r="CG41">
        <f>IF(AND(ISNUMBER(CF41),逐级计算!$X$84&gt;-1),IF(逐级计算!$X$84=0,CF41+逐级计算!$C$84,CF41+逐级计算!$C$84-(10/(逐级计算!$Q$84*LN(10))*(MAX((LN(10^(逐级计算!$Q$84/10)-1)+逐级计算!$Q$84*(CF41-逐级计算!$P$84)*LN(10)/10),0)+LN(1+EXP(-ABS((LN(10^(逐级计算!$Q$84/10)-1)+逐级计算!$Q$84*(CF41-逐级计算!$P$84)*LN(10)/10))))))),"")</f>
        <v>13.7930365725916</v>
      </c>
      <c r="CH41">
        <f>IF(AND(ISNUMBER(CG41),逐级计算!$X$85&gt;-1),IF(逐级计算!$X$85=0,CG41+逐级计算!$C$85,CG41+逐级计算!$C$85-(10/(逐级计算!$Q$85*LN(10))*(MAX((LN(10^(逐级计算!$Q$85/10)-1)+逐级计算!$Q$85*(CG41-逐级计算!$P$85)*LN(10)/10),0)+LN(1+EXP(-ABS((LN(10^(逐级计算!$Q$85/10)-1)+逐级计算!$Q$85*(CG41-逐级计算!$P$85)*LN(10)/10))))))),"")</f>
        <v>13.7930365725916</v>
      </c>
      <c r="CI41">
        <f>IF(AND(ISNUMBER(CH41),逐级计算!$X$86&gt;-1),IF(逐级计算!$X$86=0,CH41+逐级计算!$C$86,CH41+逐级计算!$C$86-(10/(逐级计算!$Q$86*LN(10))*(MAX((LN(10^(逐级计算!$Q$86/10)-1)+逐级计算!$Q$86*(CH41-逐级计算!$P$86)*LN(10)/10),0)+LN(1+EXP(-ABS((LN(10^(逐级计算!$Q$86/10)-1)+逐级计算!$Q$86*(CH41-逐级计算!$P$86)*LN(10)/10))))))),"")</f>
        <v>13.7930365725916</v>
      </c>
      <c r="CJ41">
        <f>IF(AND(ISNUMBER(CI41),逐级计算!$X$87&gt;-1),IF(逐级计算!$X$87=0,CI41+逐级计算!$C$87,CI41+逐级计算!$C$87-(10/(逐级计算!$Q$87*LN(10))*(MAX((LN(10^(逐级计算!$Q$87/10)-1)+逐级计算!$Q$87*(CI41-逐级计算!$P$87)*LN(10)/10),0)+LN(1+EXP(-ABS((LN(10^(逐级计算!$Q$87/10)-1)+逐级计算!$Q$87*(CI41-逐级计算!$P$87)*LN(10)/10))))))),"")</f>
        <v>13.7930365725916</v>
      </c>
      <c r="CK41">
        <f>IF(AND(ISNUMBER(CJ41),逐级计算!$X$88&gt;-1),IF(逐级计算!$X$88=0,CJ41+逐级计算!$C$88,CJ41+逐级计算!$C$88-(10/(逐级计算!$Q$88*LN(10))*(MAX((LN(10^(逐级计算!$Q$88/10)-1)+逐级计算!$Q$88*(CJ41-逐级计算!$P$88)*LN(10)/10),0)+LN(1+EXP(-ABS((LN(10^(逐级计算!$Q$88/10)-1)+逐级计算!$Q$88*(CJ41-逐级计算!$P$88)*LN(10)/10))))))),"")</f>
        <v>13.7930365725916</v>
      </c>
      <c r="CL41">
        <f>IF(AND(ISNUMBER(CK41),逐级计算!$X$89&gt;-1),IF(逐级计算!$X$89=0,CK41+逐级计算!$C$89,CK41+逐级计算!$C$89-(10/(逐级计算!$Q$89*LN(10))*(MAX((LN(10^(逐级计算!$Q$89/10)-1)+逐级计算!$Q$89*(CK41-逐级计算!$P$89)*LN(10)/10),0)+LN(1+EXP(-ABS((LN(10^(逐级计算!$Q$89/10)-1)+逐级计算!$Q$89*(CK41-逐级计算!$P$89)*LN(10)/10))))))),"")</f>
        <v>13.7930365725916</v>
      </c>
      <c r="CM41">
        <f>IF(AND(ISNUMBER(CL41),逐级计算!$X$90&gt;-1),IF(逐级计算!$X$90=0,CL41+逐级计算!$C$90,CL41+逐级计算!$C$90-(10/(逐级计算!$Q$90*LN(10))*(MAX((LN(10^(逐级计算!$Q$90/10)-1)+逐级计算!$Q$90*(CL41-逐级计算!$P$90)*LN(10)/10),0)+LN(1+EXP(-ABS((LN(10^(逐级计算!$Q$90/10)-1)+逐级计算!$Q$90*(CL41-逐级计算!$P$90)*LN(10)/10))))))),"")</f>
        <v>13.7930365725916</v>
      </c>
      <c r="CN41">
        <f>IF(AND(ISNUMBER(CM41),逐级计算!$X$91&gt;-1),IF(逐级计算!$X$91=0,CM41+逐级计算!$C$91,CM41+逐级计算!$C$91-(10/(逐级计算!$Q$91*LN(10))*(MAX((LN(10^(逐级计算!$Q$91/10)-1)+逐级计算!$Q$91*(CM41-逐级计算!$P$91)*LN(10)/10),0)+LN(1+EXP(-ABS((LN(10^(逐级计算!$Q$91/10)-1)+逐级计算!$Q$91*(CM41-逐级计算!$P$91)*LN(10)/10))))))),"")</f>
        <v>13.7930365725916</v>
      </c>
      <c r="CO41">
        <f>IF(AND(ISNUMBER(CN41),逐级计算!$X$92&gt;-1),IF(逐级计算!$X$92=0,CN41+逐级计算!$C$92,CN41+逐级计算!$C$92-(10/(逐级计算!$Q$92*LN(10))*(MAX((LN(10^(逐级计算!$Q$92/10)-1)+逐级计算!$Q$92*(CN41-逐级计算!$P$92)*LN(10)/10),0)+LN(1+EXP(-ABS((LN(10^(逐级计算!$Q$92/10)-1)+逐级计算!$Q$92*(CN41-逐级计算!$P$92)*LN(10)/10))))))),"")</f>
        <v>13.7930365725916</v>
      </c>
      <c r="CP41">
        <f>IF(AND(ISNUMBER(CO41),逐级计算!$X$93&gt;-1),IF(逐级计算!$X$93=0,CO41+逐级计算!$C$93,CO41+逐级计算!$C$93-(10/(逐级计算!$Q$93*LN(10))*(MAX((LN(10^(逐级计算!$Q$93/10)-1)+逐级计算!$Q$93*(CO41-逐级计算!$P$93)*LN(10)/10),0)+LN(1+EXP(-ABS((LN(10^(逐级计算!$Q$93/10)-1)+逐级计算!$Q$93*(CO41-逐级计算!$P$93)*LN(10)/10))))))),"")</f>
        <v>13.7930365725916</v>
      </c>
      <c r="CQ41">
        <f>IF(AND(ISNUMBER(CP41),逐级计算!$X$94&gt;-1),IF(逐级计算!$X$94=0,CP41+逐级计算!$C$94,CP41+逐级计算!$C$94-(10/(逐级计算!$Q$94*LN(10))*(MAX((LN(10^(逐级计算!$Q$94/10)-1)+逐级计算!$Q$94*(CP41-逐级计算!$P$94)*LN(10)/10),0)+LN(1+EXP(-ABS((LN(10^(逐级计算!$Q$94/10)-1)+逐级计算!$Q$94*(CP41-逐级计算!$P$94)*LN(10)/10))))))),"")</f>
        <v>13.7930365725916</v>
      </c>
      <c r="CR41">
        <f>IF(AND(ISNUMBER(CQ41),逐级计算!$X$95&gt;-1),IF(逐级计算!$X$95=0,CQ41+逐级计算!$C$95,CQ41+逐级计算!$C$95-(10/(逐级计算!$Q$95*LN(10))*(MAX((LN(10^(逐级计算!$Q$95/10)-1)+逐级计算!$Q$95*(CQ41-逐级计算!$P$95)*LN(10)/10),0)+LN(1+EXP(-ABS((LN(10^(逐级计算!$Q$95/10)-1)+逐级计算!$Q$95*(CQ41-逐级计算!$P$95)*LN(10)/10))))))),"")</f>
        <v>13.7930365725916</v>
      </c>
      <c r="CS41">
        <f>IF(AND(ISNUMBER(CR41),逐级计算!$X$96&gt;-1),IF(逐级计算!$X$96=0,CR41+逐级计算!$C$96,CR41+逐级计算!$C$96-(10/(逐级计算!$Q$96*LN(10))*(MAX((LN(10^(逐级计算!$Q$96/10)-1)+逐级计算!$Q$96*(CR41-逐级计算!$P$96)*LN(10)/10),0)+LN(1+EXP(-ABS((LN(10^(逐级计算!$Q$96/10)-1)+逐级计算!$Q$96*(CR41-逐级计算!$P$96)*LN(10)/10))))))),"")</f>
        <v>13.7930365725916</v>
      </c>
      <c r="CT41">
        <f>IF(AND(ISNUMBER(CS41),逐级计算!$X$97&gt;-1),IF(逐级计算!$X$97=0,CS41+逐级计算!$C$97,CS41+逐级计算!$C$97-(10/(逐级计算!$Q$97*LN(10))*(MAX((LN(10^(逐级计算!$Q$97/10)-1)+逐级计算!$Q$97*(CS41-逐级计算!$P$97)*LN(10)/10),0)+LN(1+EXP(-ABS((LN(10^(逐级计算!$Q$97/10)-1)+逐级计算!$Q$97*(CS41-逐级计算!$P$97)*LN(10)/10))))))),"")</f>
        <v>13.7930365725916</v>
      </c>
      <c r="CU41">
        <f>IF(AND(ISNUMBER(CT41),逐级计算!$X$98&gt;-1),IF(逐级计算!$X$98=0,CT41+逐级计算!$C$98,CT41+逐级计算!$C$98-(10/(逐级计算!$Q$98*LN(10))*(MAX((LN(10^(逐级计算!$Q$98/10)-1)+逐级计算!$Q$98*(CT41-逐级计算!$P$98)*LN(10)/10),0)+LN(1+EXP(-ABS((LN(10^(逐级计算!$Q$98/10)-1)+逐级计算!$Q$98*(CT41-逐级计算!$P$98)*LN(10)/10))))))),"")</f>
        <v>13.7930365725916</v>
      </c>
      <c r="CV41">
        <f>IF(AND(ISNUMBER(CU41),逐级计算!$X$99&gt;-1),IF(逐级计算!$X$99=0,CU41+逐级计算!$C$99,CU41+逐级计算!$C$99-(10/(逐级计算!$Q$99*LN(10))*(MAX((LN(10^(逐级计算!$Q$99/10)-1)+逐级计算!$Q$99*(CU41-逐级计算!$P$99)*LN(10)/10),0)+LN(1+EXP(-ABS((LN(10^(逐级计算!$Q$99/10)-1)+逐级计算!$Q$99*(CU41-逐级计算!$P$99)*LN(10)/10))))))),"")</f>
        <v>13.7930365725916</v>
      </c>
      <c r="CW41">
        <f>IF(AND(ISNUMBER(CV41),逐级计算!$X$100&gt;-1),IF(逐级计算!$X$100=0,CV41+逐级计算!$C$100,CV41+逐级计算!$C$100-(10/(逐级计算!$Q$100*LN(10))*(MAX((LN(10^(逐级计算!$Q$100/10)-1)+逐级计算!$Q$100*(CV41-逐级计算!$P$100)*LN(10)/10),0)+LN(1+EXP(-ABS((LN(10^(逐级计算!$Q$100/10)-1)+逐级计算!$Q$100*(CV41-逐级计算!$P$100)*LN(10)/10))))))),"")</f>
        <v>13.7930365725916</v>
      </c>
      <c r="CX41">
        <f>IF(AND(ISNUMBER(CW41),逐级计算!$X$101&gt;-1),IF(逐级计算!$X$101=0,CW41+逐级计算!$C$101,CW41+逐级计算!$C$101-(10/(逐级计算!$Q$101*LN(10))*(MAX((LN(10^(逐级计算!$Q$101/10)-1)+逐级计算!$Q$101*(CW41-逐级计算!$P$101)*LN(10)/10),0)+LN(1+EXP(-ABS((LN(10^(逐级计算!$Q$101/10)-1)+逐级计算!$Q$101*(CW41-逐级计算!$P$101)*LN(10)/10))))))),"")</f>
        <v>13.7930365725916</v>
      </c>
      <c r="CY41">
        <f>IF(AND(ISNUMBER(CX41),逐级计算!$X$102&gt;-1),IF(逐级计算!$X$102=0,CX41+逐级计算!$C$102,CX41+逐级计算!$C$102-(10/(逐级计算!$Q$102*LN(10))*(MAX((LN(10^(逐级计算!$Q$102/10)-1)+逐级计算!$Q$102*(CX41-逐级计算!$P$102)*LN(10)/10),0)+LN(1+EXP(-ABS((LN(10^(逐级计算!$Q$102/10)-1)+逐级计算!$Q$102*(CX41-逐级计算!$P$102)*LN(10)/10))))))),"")</f>
        <v>13.7930365725916</v>
      </c>
      <c r="CZ41">
        <f>IF(AND(ISNUMBER(CY41),逐级计算!$X$103&gt;-1),IF(逐级计算!$X$103=0,CY41+逐级计算!$C$103,CY41+逐级计算!$C$103-(10/(逐级计算!$Q$103*LN(10))*(MAX((LN(10^(逐级计算!$Q$103/10)-1)+逐级计算!$Q$103*(CY41-逐级计算!$P$103)*LN(10)/10),0)+LN(1+EXP(-ABS((LN(10^(逐级计算!$Q$103/10)-1)+逐级计算!$Q$103*(CY41-逐级计算!$P$103)*LN(10)/10))))))),"")</f>
        <v>13.7930365725916</v>
      </c>
      <c r="DA41">
        <f>IF(AND(ISNUMBER(CZ41),逐级计算!$X$104&gt;-1),IF(逐级计算!$X$104=0,CZ41+逐级计算!$C$104,CZ41+逐级计算!$C$104-(10/(逐级计算!$Q$104*LN(10))*(MAX((LN(10^(逐级计算!$Q$104/10)-1)+逐级计算!$Q$104*(CZ41-逐级计算!$P$104)*LN(10)/10),0)+LN(1+EXP(-ABS((LN(10^(逐级计算!$Q$104/10)-1)+逐级计算!$Q$104*(CZ41-逐级计算!$P$104)*LN(10)/10))))))),"")</f>
        <v>13.7930365725916</v>
      </c>
      <c r="DB41">
        <f>IF(AND(ISNUMBER(DA41),逐级计算!$X$105&gt;-1),IF(逐级计算!$X$105=0,DA41+逐级计算!$C$105,DA41+逐级计算!$C$105-(10/(逐级计算!$Q$105*LN(10))*(MAX((LN(10^(逐级计算!$Q$105/10)-1)+逐级计算!$Q$105*(DA41-逐级计算!$P$105)*LN(10)/10),0)+LN(1+EXP(-ABS((LN(10^(逐级计算!$Q$105/10)-1)+逐级计算!$Q$105*(DA41-逐级计算!$P$105)*LN(10)/10))))))),"")</f>
        <v>13.7930365725916</v>
      </c>
      <c r="DC41">
        <f>IF(AND(ISNUMBER(DB41),逐级计算!$X$106&gt;-1),IF(逐级计算!$X$106=0,DB41+逐级计算!$C$106,DB41+逐级计算!$C$106-(10/(逐级计算!$Q$106*LN(10))*(MAX((LN(10^(逐级计算!$Q$106/10)-1)+逐级计算!$Q$106*(DB41-逐级计算!$P$106)*LN(10)/10),0)+LN(1+EXP(-ABS((LN(10^(逐级计算!$Q$106/10)-1)+逐级计算!$Q$106*(DB41-逐级计算!$P$106)*LN(10)/10))))))),"")</f>
        <v>13.7930365725916</v>
      </c>
      <c r="DD41">
        <f>IF(AND(ISNUMBER(DC41),逐级计算!$X$107&gt;-1),IF(逐级计算!$X$107=0,DC41+逐级计算!$C$107,DC41+逐级计算!$C$107-(10/(逐级计算!$Q$107*LN(10))*(MAX((LN(10^(逐级计算!$Q$107/10)-1)+逐级计算!$Q$107*(DC41-逐级计算!$P$107)*LN(10)/10),0)+LN(1+EXP(-ABS((LN(10^(逐级计算!$Q$107/10)-1)+逐级计算!$Q$107*(DC41-逐级计算!$P$107)*LN(10)/10))))))),"")</f>
        <v>13.7930365725916</v>
      </c>
      <c r="DE41">
        <f>IF(AND(ISNUMBER(DD41),逐级计算!$X$108&gt;-1),IF(逐级计算!$X$108=0,DD41+逐级计算!$C$108,DD41+逐级计算!$C$108-(10/(逐级计算!$Q$108*LN(10))*(MAX((LN(10^(逐级计算!$Q$108/10)-1)+逐级计算!$Q$108*(DD41-逐级计算!$P$108)*LN(10)/10),0)+LN(1+EXP(-ABS((LN(10^(逐级计算!$Q$108/10)-1)+逐级计算!$Q$108*(DD41-逐级计算!$P$108)*LN(10)/10))))))),"")</f>
        <v>13.7930365725916</v>
      </c>
      <c r="DF41">
        <f>IF(AND(ISNUMBER(DE41),逐级计算!$X$109&gt;-1),IF(逐级计算!$X$109=0,DE41+逐级计算!$C$109,DE41+逐级计算!$C$109-(10/(逐级计算!$Q$109*LN(10))*(MAX((LN(10^(逐级计算!$Q$109/10)-1)+逐级计算!$Q$109*(DE41-逐级计算!$P$109)*LN(10)/10),0)+LN(1+EXP(-ABS((LN(10^(逐级计算!$Q$109/10)-1)+逐级计算!$Q$109*(DE41-逐级计算!$P$109)*LN(10)/10))))))),"")</f>
        <v>13.7930365725916</v>
      </c>
      <c r="DG41">
        <f>IF(AND(ISNUMBER(DF41),逐级计算!$X$110&gt;-1),IF(逐级计算!$X$110=0,DF41+逐级计算!$C$110,DF41+逐级计算!$C$110-(10/(逐级计算!$Q$110*LN(10))*(MAX((LN(10^(逐级计算!$Q$110/10)-1)+逐级计算!$Q$110*(DF41-逐级计算!$P$110)*LN(10)/10),0)+LN(1+EXP(-ABS((LN(10^(逐级计算!$Q$110/10)-1)+逐级计算!$Q$110*(DF41-逐级计算!$P$110)*LN(10)/10))))))),"")</f>
        <v>13.7930365725916</v>
      </c>
      <c r="DH41">
        <f>IF(AND(ISNUMBER(DG41),逐级计算!$X$111&gt;-1),IF(逐级计算!$X$111=0,DG41+逐级计算!$C$111,DG41+逐级计算!$C$111-(10/(逐级计算!$Q$111*LN(10))*(MAX((LN(10^(逐级计算!$Q$111/10)-1)+逐级计算!$Q$111*(DG41-逐级计算!$P$111)*LN(10)/10),0)+LN(1+EXP(-ABS((LN(10^(逐级计算!$Q$111/10)-1)+逐级计算!$Q$111*(DG41-逐级计算!$P$111)*LN(10)/10))))))),"")</f>
        <v>13.7930365725916</v>
      </c>
      <c r="DI41">
        <f>IF(AND(ISNUMBER(DH41),逐级计算!$X$112&gt;-1),IF(逐级计算!$X$112=0,DH41+逐级计算!$C$112,DH41+逐级计算!$C$112-(10/(逐级计算!$Q$112*LN(10))*(MAX((LN(10^(逐级计算!$Q$112/10)-1)+逐级计算!$Q$112*(DH41-逐级计算!$P$112)*LN(10)/10),0)+LN(1+EXP(-ABS((LN(10^(逐级计算!$Q$112/10)-1)+逐级计算!$Q$112*(DH41-逐级计算!$P$112)*LN(10)/10))))))),"")</f>
        <v>13.7930365725916</v>
      </c>
      <c r="DJ41">
        <f>IF(AND(ISNUMBER(DI41),逐级计算!$X$113&gt;-1),IF(逐级计算!$X$113=0,DI41+逐级计算!$C$113,DI41+逐级计算!$C$113-(10/(逐级计算!$Q$113*LN(10))*(MAX((LN(10^(逐级计算!$Q$113/10)-1)+逐级计算!$Q$113*(DI41-逐级计算!$P$113)*LN(10)/10),0)+LN(1+EXP(-ABS((LN(10^(逐级计算!$Q$113/10)-1)+逐级计算!$Q$113*(DI41-逐级计算!$P$113)*LN(10)/10))))))),"")</f>
        <v>13.7930365725916</v>
      </c>
      <c r="DK41">
        <f>IF(AND(ISNUMBER(DJ41),逐级计算!$X$114&gt;-1),IF(逐级计算!$X$114=0,DJ41+逐级计算!$C$114,DJ41+逐级计算!$C$114-(10/(逐级计算!$Q$114*LN(10))*(MAX((LN(10^(逐级计算!$Q$114/10)-1)+逐级计算!$Q$114*(DJ41-逐级计算!$P$114)*LN(10)/10),0)+LN(1+EXP(-ABS((LN(10^(逐级计算!$Q$114/10)-1)+逐级计算!$Q$114*(DJ41-逐级计算!$P$114)*LN(10)/10))))))),"")</f>
        <v>13.7930365725916</v>
      </c>
      <c r="DL41">
        <f>IF(AND(ISNUMBER(DK41),逐级计算!$X$115&gt;-1),IF(逐级计算!$X$115=0,DK41+逐级计算!$C$115,DK41+逐级计算!$C$115-(10/(逐级计算!$Q$115*LN(10))*(MAX((LN(10^(逐级计算!$Q$115/10)-1)+逐级计算!$Q$115*(DK41-逐级计算!$P$115)*LN(10)/10),0)+LN(1+EXP(-ABS((LN(10^(逐级计算!$Q$115/10)-1)+逐级计算!$Q$115*(DK41-逐级计算!$P$115)*LN(10)/10))))))),"")</f>
        <v>13.7930365725916</v>
      </c>
      <c r="DM41">
        <f>IF(AND(ISNUMBER(DL41),逐级计算!$X$116&gt;-1),IF(逐级计算!$X$116=0,DL41+逐级计算!$C$116,DL41+逐级计算!$C$116-(10/(逐级计算!$Q$116*LN(10))*(MAX((LN(10^(逐级计算!$Q$116/10)-1)+逐级计算!$Q$116*(DL41-逐级计算!$P$116)*LN(10)/10),0)+LN(1+EXP(-ABS((LN(10^(逐级计算!$Q$116/10)-1)+逐级计算!$Q$116*(DL41-逐级计算!$P$116)*LN(10)/10))))))),"")</f>
        <v>13.7930365725916</v>
      </c>
      <c r="DN41">
        <f>IF(AND(ISNUMBER(DM41),逐级计算!$X$117&gt;-1),IF(逐级计算!$X$117=0,DM41+逐级计算!$C$117,DM41+逐级计算!$C$117-(10/(逐级计算!$Q$117*LN(10))*(MAX((LN(10^(逐级计算!$Q$117/10)-1)+逐级计算!$Q$117*(DM41-逐级计算!$P$117)*LN(10)/10),0)+LN(1+EXP(-ABS((LN(10^(逐级计算!$Q$117/10)-1)+逐级计算!$Q$117*(DM41-逐级计算!$P$117)*LN(10)/10))))))),"")</f>
        <v>13.7930365725916</v>
      </c>
      <c r="DO41">
        <f>IF(AND(ISNUMBER(DN41),逐级计算!$X$118&gt;-1),IF(逐级计算!$X$118=0,DN41+逐级计算!$C$118,DN41+逐级计算!$C$118-(10/(逐级计算!$Q$118*LN(10))*(MAX((LN(10^(逐级计算!$Q$118/10)-1)+逐级计算!$Q$118*(DN41-逐级计算!$P$118)*LN(10)/10),0)+LN(1+EXP(-ABS((LN(10^(逐级计算!$Q$118/10)-1)+逐级计算!$Q$118*(DN41-逐级计算!$P$118)*LN(10)/10))))))),"")</f>
        <v>13.7930365725916</v>
      </c>
      <c r="DP41">
        <f>IF(AND(ISNUMBER(DO41),逐级计算!$X$119&gt;-1),IF(逐级计算!$X$119=0,DO41+逐级计算!$C$119,DO41+逐级计算!$C$119-(10/(逐级计算!$Q$119*LN(10))*(MAX((LN(10^(逐级计算!$Q$119/10)-1)+逐级计算!$Q$119*(DO41-逐级计算!$P$119)*LN(10)/10),0)+LN(1+EXP(-ABS((LN(10^(逐级计算!$Q$119/10)-1)+逐级计算!$Q$119*(DO41-逐级计算!$P$119)*LN(10)/10))))))),"")</f>
        <v>13.7930365725916</v>
      </c>
      <c r="DQ41">
        <f>IF(AND(ISNUMBER(DP41),逐级计算!$X$120&gt;-1),IF(逐级计算!$X$120=0,DP41+逐级计算!$C$120,DP41+逐级计算!$C$120-(10/(逐级计算!$Q$120*LN(10))*(MAX((LN(10^(逐级计算!$Q$120/10)-1)+逐级计算!$Q$120*(DP41-逐级计算!$P$120)*LN(10)/10),0)+LN(1+EXP(-ABS((LN(10^(逐级计算!$Q$120/10)-1)+逐级计算!$Q$120*(DP41-逐级计算!$P$120)*LN(10)/10))))))),"")</f>
        <v>13.7930365725916</v>
      </c>
      <c r="DR41">
        <f>IF(AND(ISNUMBER(DQ41),逐级计算!$X$121&gt;-1),IF(逐级计算!$X$121=0,DQ41+逐级计算!$C$121,DQ41+逐级计算!$C$121-(10/(逐级计算!$Q$121*LN(10))*(MAX((LN(10^(逐级计算!$Q$121/10)-1)+逐级计算!$Q$121*(DQ41-逐级计算!$P$121)*LN(10)/10),0)+LN(1+EXP(-ABS((LN(10^(逐级计算!$Q$121/10)-1)+逐级计算!$Q$121*(DQ41-逐级计算!$P$121)*LN(10)/10))))))),"")</f>
        <v>13.7930365725916</v>
      </c>
      <c r="DS41">
        <f>IF(AND(ISNUMBER(DR41),逐级计算!$X$122&gt;-1),IF(逐级计算!$X$122=0,DR41+逐级计算!$C$122,DR41+逐级计算!$C$122-(10/(逐级计算!$Q$122*LN(10))*(MAX((LN(10^(逐级计算!$Q$122/10)-1)+逐级计算!$Q$122*(DR41-逐级计算!$P$122)*LN(10)/10),0)+LN(1+EXP(-ABS((LN(10^(逐级计算!$Q$122/10)-1)+逐级计算!$Q$122*(DR41-逐级计算!$P$122)*LN(10)/10))))))),"")</f>
        <v>13.7930365725916</v>
      </c>
      <c r="DT41">
        <f>IF(AND(ISNUMBER(DS41),逐级计算!$X$123&gt;-1),IF(逐级计算!$X$123=0,DS41+逐级计算!$C$123,DS41+逐级计算!$C$123-(10/(逐级计算!$Q$123*LN(10))*(MAX((LN(10^(逐级计算!$Q$123/10)-1)+逐级计算!$Q$123*(DS41-逐级计算!$P$123)*LN(10)/10),0)+LN(1+EXP(-ABS((LN(10^(逐级计算!$Q$123/10)-1)+逐级计算!$Q$123*(DS41-逐级计算!$P$123)*LN(10)/10))))))),"")</f>
        <v>13.7930365725916</v>
      </c>
      <c r="DU41">
        <f>IF(AND(ISNUMBER(DT41),逐级计算!$X$124&gt;-1),IF(逐级计算!$X$124=0,DT41+逐级计算!$C$124,DT41+逐级计算!$C$124-(10/(逐级计算!$Q$124*LN(10))*(MAX((LN(10^(逐级计算!$Q$124/10)-1)+逐级计算!$Q$124*(DT41-逐级计算!$P$124)*LN(10)/10),0)+LN(1+EXP(-ABS((LN(10^(逐级计算!$Q$124/10)-1)+逐级计算!$Q$124*(DT41-逐级计算!$P$124)*LN(10)/10))))))),"")</f>
        <v>13.7930365725916</v>
      </c>
      <c r="DV41">
        <f>IF(AND(ISNUMBER(DU41),逐级计算!$X$125&gt;-1),IF(逐级计算!$X$125=0,DU41+逐级计算!$C$125,DU41+逐级计算!$C$125-(10/(逐级计算!$Q$125*LN(10))*(MAX((LN(10^(逐级计算!$Q$125/10)-1)+逐级计算!$Q$125*(DU41-逐级计算!$P$125)*LN(10)/10),0)+LN(1+EXP(-ABS((LN(10^(逐级计算!$Q$125/10)-1)+逐级计算!$Q$125*(DU41-逐级计算!$P$125)*LN(10)/10))))))),"")</f>
        <v>13.7930365725916</v>
      </c>
      <c r="DW41">
        <f>IF(AND(ISNUMBER(DV41),逐级计算!$X$126&gt;-1),IF(逐级计算!$X$126=0,DV41+逐级计算!$C$126,DV41+逐级计算!$C$126-(10/(逐级计算!$Q$126*LN(10))*(MAX((LN(10^(逐级计算!$Q$126/10)-1)+逐级计算!$Q$126*(DV41-逐级计算!$P$126)*LN(10)/10),0)+LN(1+EXP(-ABS((LN(10^(逐级计算!$Q$126/10)-1)+逐级计算!$Q$126*(DV41-逐级计算!$P$126)*LN(10)/10))))))),"")</f>
        <v>13.7930365725916</v>
      </c>
      <c r="DX41">
        <f>IF(AND(ISNUMBER(DW41),逐级计算!$X$127&gt;-1),IF(逐级计算!$X$127=0,DW41+逐级计算!$C$127,DW41+逐级计算!$C$127-(10/(逐级计算!$Q$127*LN(10))*(MAX((LN(10^(逐级计算!$Q$127/10)-1)+逐级计算!$Q$127*(DW41-逐级计算!$P$127)*LN(10)/10),0)+LN(1+EXP(-ABS((LN(10^(逐级计算!$Q$127/10)-1)+逐级计算!$Q$127*(DW41-逐级计算!$P$127)*LN(10)/10))))))),"")</f>
        <v>13.7930365725916</v>
      </c>
      <c r="DY41">
        <f>IF(AND(ISNUMBER(DX41),逐级计算!$X$128&gt;-1),IF(逐级计算!$X$128=0,DX41+逐级计算!$C$128,DX41+逐级计算!$C$128-(10/(逐级计算!$Q$128*LN(10))*(MAX((LN(10^(逐级计算!$Q$128/10)-1)+逐级计算!$Q$128*(DX41-逐级计算!$P$128)*LN(10)/10),0)+LN(1+EXP(-ABS((LN(10^(逐级计算!$Q$128/10)-1)+逐级计算!$Q$128*(DX41-逐级计算!$P$128)*LN(10)/10))))))),"")</f>
        <v>13.7930365725916</v>
      </c>
      <c r="DZ41">
        <f>IF(AND(ISNUMBER(DY41),逐级计算!$X$129&gt;-1),IF(逐级计算!$X$129=0,DY41+逐级计算!$C$129,DY41+逐级计算!$C$129-(10/(逐级计算!$Q$129*LN(10))*(MAX((LN(10^(逐级计算!$Q$129/10)-1)+逐级计算!$Q$129*(DY41-逐级计算!$P$129)*LN(10)/10),0)+LN(1+EXP(-ABS((LN(10^(逐级计算!$Q$129/10)-1)+逐级计算!$Q$129*(DY41-逐级计算!$P$129)*LN(10)/10))))))),"")</f>
        <v>13.7930365725916</v>
      </c>
      <c r="EA41">
        <f>IF(AND(ISNUMBER(DZ41),逐级计算!$X$130&gt;-1),IF(逐级计算!$X$130=0,DZ41+逐级计算!$C$130,DZ41+逐级计算!$C$130-(10/(逐级计算!$Q$130*LN(10))*(MAX((LN(10^(逐级计算!$Q$130/10)-1)+逐级计算!$Q$130*(DZ41-逐级计算!$P$130)*LN(10)/10),0)+LN(1+EXP(-ABS((LN(10^(逐级计算!$Q$130/10)-1)+逐级计算!$Q$130*(DZ41-逐级计算!$P$130)*LN(10)/10))))))),"")</f>
        <v>13.7930365725916</v>
      </c>
      <c r="EB41">
        <f>IF(AND(ISNUMBER(EA41),逐级计算!$X$131&gt;-1),IF(逐级计算!$X$131=0,EA41+逐级计算!$C$131,EA41+逐级计算!$C$131-(10/(逐级计算!$Q$131*LN(10))*(MAX((LN(10^(逐级计算!$Q$131/10)-1)+逐级计算!$Q$131*(EA41-逐级计算!$P$131)*LN(10)/10),0)+LN(1+EXP(-ABS((LN(10^(逐级计算!$Q$131/10)-1)+逐级计算!$Q$131*(EA41-逐级计算!$P$131)*LN(10)/10))))))),"")</f>
        <v>13.7930365725916</v>
      </c>
      <c r="EC41">
        <f>IF(AND(ISNUMBER(EB41),逐级计算!$X$132&gt;-1),IF(逐级计算!$X$132=0,EB41+逐级计算!$C$132,EB41+逐级计算!$C$132-(10/(逐级计算!$Q$132*LN(10))*(MAX((LN(10^(逐级计算!$Q$132/10)-1)+逐级计算!$Q$132*(EB41-逐级计算!$P$132)*LN(10)/10),0)+LN(1+EXP(-ABS((LN(10^(逐级计算!$Q$132/10)-1)+逐级计算!$Q$132*(EB41-逐级计算!$P$132)*LN(10)/10))))))),"")</f>
        <v>13.7930365725916</v>
      </c>
      <c r="ED41">
        <f>IF(AND(ISNUMBER(EC41),逐级计算!$X$133&gt;-1),IF(逐级计算!$X$133=0,EC41+逐级计算!$C$133,EC41+逐级计算!$C$133-(10/(逐级计算!$Q$133*LN(10))*(MAX((LN(10^(逐级计算!$Q$133/10)-1)+逐级计算!$Q$133*(EC41-逐级计算!$P$133)*LN(10)/10),0)+LN(1+EXP(-ABS((LN(10^(逐级计算!$Q$133/10)-1)+逐级计算!$Q$133*(EC41-逐级计算!$P$133)*LN(10)/10))))))),"")</f>
        <v>13.7930365725916</v>
      </c>
      <c r="EE41">
        <f>IF(AND(ISNUMBER(ED41),逐级计算!$X$134&gt;-1),IF(逐级计算!$X$134=0,ED41+逐级计算!$C$134,ED41+逐级计算!$C$134-(10/(逐级计算!$Q$134*LN(10))*(MAX((LN(10^(逐级计算!$Q$134/10)-1)+逐级计算!$Q$134*(ED41-逐级计算!$P$134)*LN(10)/10),0)+LN(1+EXP(-ABS((LN(10^(逐级计算!$Q$134/10)-1)+逐级计算!$Q$134*(ED41-逐级计算!$P$134)*LN(10)/10))))))),"")</f>
        <v>13.7930365725916</v>
      </c>
      <c r="EF41">
        <f>IF(AND(ISNUMBER(EE41),逐级计算!$X$135&gt;-1),IF(逐级计算!$X$135=0,EE41+逐级计算!$C$135,EE41+逐级计算!$C$135-(10/(逐级计算!$Q$135*LN(10))*(MAX((LN(10^(逐级计算!$Q$135/10)-1)+逐级计算!$Q$135*(EE41-逐级计算!$P$135)*LN(10)/10),0)+LN(1+EXP(-ABS((LN(10^(逐级计算!$Q$135/10)-1)+逐级计算!$Q$135*(EE41-逐级计算!$P$135)*LN(10)/10))))))),"")</f>
        <v>13.7930365725916</v>
      </c>
      <c r="EG41">
        <f>IF(AND(ISNUMBER(EF41),逐级计算!$X$136&gt;-1),IF(逐级计算!$X$136=0,EF41+逐级计算!$C$136,EF41+逐级计算!$C$136-(10/(逐级计算!$Q$136*LN(10))*(MAX((LN(10^(逐级计算!$Q$136/10)-1)+逐级计算!$Q$136*(EF41-逐级计算!$P$136)*LN(10)/10),0)+LN(1+EXP(-ABS((LN(10^(逐级计算!$Q$136/10)-1)+逐级计算!$Q$136*(EF41-逐级计算!$P$136)*LN(10)/10))))))),"")</f>
        <v>13.7930365725916</v>
      </c>
      <c r="EH41">
        <f>IF(AND(ISNUMBER(EG41),逐级计算!$X$137&gt;-1),IF(逐级计算!$X$137=0,EG41+逐级计算!$C$137,EG41+逐级计算!$C$137-(10/(逐级计算!$Q$137*LN(10))*(MAX((LN(10^(逐级计算!$Q$137/10)-1)+逐级计算!$Q$137*(EG41-逐级计算!$P$137)*LN(10)/10),0)+LN(1+EXP(-ABS((LN(10^(逐级计算!$Q$137/10)-1)+逐级计算!$Q$137*(EG41-逐级计算!$P$137)*LN(10)/10))))))),"")</f>
        <v>13.7930365725916</v>
      </c>
      <c r="EI41">
        <f>IF(AND(ISNUMBER(EH41),逐级计算!$X$138&gt;-1),IF(逐级计算!$X$138=0,EH41+逐级计算!$C$138,EH41+逐级计算!$C$138-(10/(逐级计算!$Q$138*LN(10))*(MAX((LN(10^(逐级计算!$Q$138/10)-1)+逐级计算!$Q$138*(EH41-逐级计算!$P$138)*LN(10)/10),0)+LN(1+EXP(-ABS((LN(10^(逐级计算!$Q$138/10)-1)+逐级计算!$Q$138*(EH41-逐级计算!$P$138)*LN(10)/10))))))),"")</f>
        <v>13.7930365725916</v>
      </c>
      <c r="EJ41">
        <f>IF(AND(ISNUMBER(EI41),逐级计算!$X$139&gt;-1),IF(逐级计算!$X$139=0,EI41+逐级计算!$C$139,EI41+逐级计算!$C$139-(10/(逐级计算!$Q$139*LN(10))*(MAX((LN(10^(逐级计算!$Q$139/10)-1)+逐级计算!$Q$139*(EI41-逐级计算!$P$139)*LN(10)/10),0)+LN(1+EXP(-ABS((LN(10^(逐级计算!$Q$139/10)-1)+逐级计算!$Q$139*(EI41-逐级计算!$P$139)*LN(10)/10))))))),"")</f>
        <v>13.7930365725916</v>
      </c>
      <c r="EK41">
        <f>IF(AND(ISNUMBER(EJ41),逐级计算!$X$140&gt;-1),IF(逐级计算!$X$140=0,EJ41+逐级计算!$C$140,EJ41+逐级计算!$C$140-(10/(逐级计算!$Q$140*LN(10))*(MAX((LN(10^(逐级计算!$Q$140/10)-1)+逐级计算!$Q$140*(EJ41-逐级计算!$P$140)*LN(10)/10),0)+LN(1+EXP(-ABS((LN(10^(逐级计算!$Q$140/10)-1)+逐级计算!$Q$140*(EJ41-逐级计算!$P$140)*LN(10)/10))))))),"")</f>
        <v>13.7930365725916</v>
      </c>
      <c r="EL41">
        <f>IF(AND(ISNUMBER(EK41),逐级计算!$X$141&gt;-1),IF(逐级计算!$X$141=0,EK41+逐级计算!$C$141,EK41+逐级计算!$C$141-(10/(逐级计算!$Q$141*LN(10))*(MAX((LN(10^(逐级计算!$Q$141/10)-1)+逐级计算!$Q$141*(EK41-逐级计算!$P$141)*LN(10)/10),0)+LN(1+EXP(-ABS((LN(10^(逐级计算!$Q$141/10)-1)+逐级计算!$Q$141*(EK41-逐级计算!$P$141)*LN(10)/10))))))),"")</f>
        <v>13.7930365725916</v>
      </c>
      <c r="EM41">
        <f>IF(AND(ISNUMBER(EL41),逐级计算!$X$142&gt;-1),IF(逐级计算!$X$142=0,EL41+逐级计算!$C$142,EL41+逐级计算!$C$142-(10/(逐级计算!$Q$142*LN(10))*(MAX((LN(10^(逐级计算!$Q$142/10)-1)+逐级计算!$Q$142*(EL41-逐级计算!$P$142)*LN(10)/10),0)+LN(1+EXP(-ABS((LN(10^(逐级计算!$Q$142/10)-1)+逐级计算!$Q$142*(EL41-逐级计算!$P$142)*LN(10)/10))))))),"")</f>
        <v>13.7930365725916</v>
      </c>
      <c r="EN41">
        <f>IF(AND(ISNUMBER(EM41),逐级计算!$X$143&gt;-1),IF(逐级计算!$X$143=0,EM41+逐级计算!$C$143,EM41+逐级计算!$C$143-(10/(逐级计算!$Q$143*LN(10))*(MAX((LN(10^(逐级计算!$Q$143/10)-1)+逐级计算!$Q$143*(EM41-逐级计算!$P$143)*LN(10)/10),0)+LN(1+EXP(-ABS((LN(10^(逐级计算!$Q$143/10)-1)+逐级计算!$Q$143*(EM41-逐级计算!$P$143)*LN(10)/10))))))),"")</f>
        <v>13.7930365725916</v>
      </c>
      <c r="EO41">
        <f>IF(AND(ISNUMBER(EN41),逐级计算!$X$144&gt;-1),IF(逐级计算!$X$144=0,EN41+逐级计算!$C$144,EN41+逐级计算!$C$144-(10/(逐级计算!$Q$144*LN(10))*(MAX((LN(10^(逐级计算!$Q$144/10)-1)+逐级计算!$Q$144*(EN41-逐级计算!$P$144)*LN(10)/10),0)+LN(1+EXP(-ABS((LN(10^(逐级计算!$Q$144/10)-1)+逐级计算!$Q$144*(EN41-逐级计算!$P$144)*LN(10)/10))))))),"")</f>
        <v>13.7930365725916</v>
      </c>
      <c r="EP41">
        <f>IF(AND(ISNUMBER(EO41),逐级计算!$X$145&gt;-1),IF(逐级计算!$X$145=0,EO41+逐级计算!$C$145,EO41+逐级计算!$C$145-(10/(逐级计算!$Q$145*LN(10))*(MAX((LN(10^(逐级计算!$Q$145/10)-1)+逐级计算!$Q$145*(EO41-逐级计算!$P$145)*LN(10)/10),0)+LN(1+EXP(-ABS((LN(10^(逐级计算!$Q$145/10)-1)+逐级计算!$Q$145*(EO41-逐级计算!$P$145)*LN(10)/10))))))),"")</f>
        <v>13.7930365725916</v>
      </c>
      <c r="EQ41">
        <f>IF(AND(ISNUMBER(EP41),逐级计算!$X$146&gt;-1),IF(逐级计算!$X$146=0,EP41+逐级计算!$C$146,EP41+逐级计算!$C$146-(10/(逐级计算!$Q$146*LN(10))*(MAX((LN(10^(逐级计算!$Q$146/10)-1)+逐级计算!$Q$146*(EP41-逐级计算!$P$146)*LN(10)/10),0)+LN(1+EXP(-ABS((LN(10^(逐级计算!$Q$146/10)-1)+逐级计算!$Q$146*(EP41-逐级计算!$P$146)*LN(10)/10))))))),"")</f>
        <v>13.7930365725916</v>
      </c>
      <c r="ER41">
        <f>IF(AND(ISNUMBER(EQ41),逐级计算!$X$147&gt;-1),IF(逐级计算!$X$147=0,EQ41+逐级计算!$C$147,EQ41+逐级计算!$C$147-(10/(逐级计算!$Q$147*LN(10))*(MAX((LN(10^(逐级计算!$Q$147/10)-1)+逐级计算!$Q$147*(EQ41-逐级计算!$P$147)*LN(10)/10),0)+LN(1+EXP(-ABS((LN(10^(逐级计算!$Q$147/10)-1)+逐级计算!$Q$147*(EQ41-逐级计算!$P$147)*LN(10)/10))))))),"")</f>
        <v>13.7930365725916</v>
      </c>
      <c r="ES41">
        <f>IF(AND(ISNUMBER(ER41),逐级计算!$X$148&gt;-1),IF(逐级计算!$X$148=0,ER41+逐级计算!$C$148,ER41+逐级计算!$C$148-(10/(逐级计算!$Q$148*LN(10))*(MAX((LN(10^(逐级计算!$Q$148/10)-1)+逐级计算!$Q$148*(ER41-逐级计算!$P$148)*LN(10)/10),0)+LN(1+EXP(-ABS((LN(10^(逐级计算!$Q$148/10)-1)+逐级计算!$Q$148*(ER41-逐级计算!$P$148)*LN(10)/10))))))),"")</f>
        <v>13.7930365725916</v>
      </c>
      <c r="ET41">
        <f>IF(AND(ISNUMBER(ES41),逐级计算!$X$149&gt;-1),IF(逐级计算!$X$149=0,ES41+逐级计算!$C$149,ES41+逐级计算!$C$149-(10/(逐级计算!$Q$149*LN(10))*(MAX((LN(10^(逐级计算!$Q$149/10)-1)+逐级计算!$Q$149*(ES41-逐级计算!$P$149)*LN(10)/10),0)+LN(1+EXP(-ABS((LN(10^(逐级计算!$Q$149/10)-1)+逐级计算!$Q$149*(ES41-逐级计算!$P$149)*LN(10)/10))))))),"")</f>
        <v>13.7930365725916</v>
      </c>
      <c r="EU41">
        <f>IF(AND(ISNUMBER(ET41),逐级计算!$X$150&gt;-1),IF(逐级计算!$X$150=0,ET41+逐级计算!$C$150,ET41+逐级计算!$C$150-(10/(逐级计算!$Q$150*LN(10))*(MAX((LN(10^(逐级计算!$Q$150/10)-1)+逐级计算!$Q$150*(ET41-逐级计算!$P$150)*LN(10)/10),0)+LN(1+EXP(-ABS((LN(10^(逐级计算!$Q$150/10)-1)+逐级计算!$Q$150*(ET41-逐级计算!$P$150)*LN(10)/10))))))),"")</f>
        <v>13.7930365725916</v>
      </c>
      <c r="EV41">
        <f>IF(AND(ISNUMBER(EU41),逐级计算!$X$151&gt;-1),IF(逐级计算!$X$151=0,EU41+逐级计算!$C$151,EU41+逐级计算!$C$151-(10/(逐级计算!$Q$151*LN(10))*(MAX((LN(10^(逐级计算!$Q$151/10)-1)+逐级计算!$Q$151*(EU41-逐级计算!$P$151)*LN(10)/10),0)+LN(1+EXP(-ABS((LN(10^(逐级计算!$Q$151/10)-1)+逐级计算!$Q$151*(EU41-逐级计算!$P$151)*LN(10)/10))))))),"")</f>
        <v>13.7930365725916</v>
      </c>
      <c r="EW41">
        <f>IF(AND(ISNUMBER(EV41),逐级计算!$X$152&gt;-1),IF(逐级计算!$X$152=0,EV41+逐级计算!$C$152,EV41+逐级计算!$C$152-(10/(逐级计算!$Q$152*LN(10))*(MAX((LN(10^(逐级计算!$Q$152/10)-1)+逐级计算!$Q$152*(EV41-逐级计算!$P$152)*LN(10)/10),0)+LN(1+EXP(-ABS((LN(10^(逐级计算!$Q$152/10)-1)+逐级计算!$Q$152*(EV41-逐级计算!$P$152)*LN(10)/10))))))),"")</f>
        <v>13.7930365725916</v>
      </c>
      <c r="EX41">
        <f>IF(AND(ISNUMBER(EW41),逐级计算!$X$153&gt;-1),IF(逐级计算!$X$153=0,EW41+逐级计算!$C$153,EW41+逐级计算!$C$153-(10/(逐级计算!$Q$153*LN(10))*(MAX((LN(10^(逐级计算!$Q$153/10)-1)+逐级计算!$Q$153*(EW41-逐级计算!$P$153)*LN(10)/10),0)+LN(1+EXP(-ABS((LN(10^(逐级计算!$Q$153/10)-1)+逐级计算!$Q$153*(EW41-逐级计算!$P$153)*LN(10)/10))))))),"")</f>
        <v>13.7930365725916</v>
      </c>
      <c r="EY41">
        <f>IF(AND(ISNUMBER(EX41),逐级计算!$X$154&gt;-1),IF(逐级计算!$X$154=0,EX41+逐级计算!$C$154,EX41+逐级计算!$C$154-(10/(逐级计算!$Q$154*LN(10))*(MAX((LN(10^(逐级计算!$Q$154/10)-1)+逐级计算!$Q$154*(EX41-逐级计算!$P$154)*LN(10)/10),0)+LN(1+EXP(-ABS((LN(10^(逐级计算!$Q$154/10)-1)+逐级计算!$Q$154*(EX41-逐级计算!$P$154)*LN(10)/10))))))),"")</f>
        <v>13.7930365725916</v>
      </c>
      <c r="EZ41">
        <f>IF(AND(ISNUMBER(EY41),逐级计算!$X$155&gt;-1),IF(逐级计算!$X$155=0,EY41+逐级计算!$C$155,EY41+逐级计算!$C$155-(10/(逐级计算!$Q$155*LN(10))*(MAX((LN(10^(逐级计算!$Q$155/10)-1)+逐级计算!$Q$155*(EY41-逐级计算!$P$155)*LN(10)/10),0)+LN(1+EXP(-ABS((LN(10^(逐级计算!$Q$155/10)-1)+逐级计算!$Q$155*(EY41-逐级计算!$P$155)*LN(10)/10))))))),"")</f>
        <v>13.7930365725916</v>
      </c>
      <c r="FA41">
        <f>IF(AND(ISNUMBER(EZ41),逐级计算!$X$156&gt;-1),IF(逐级计算!$X$156=0,EZ41+逐级计算!$C$156,EZ41+逐级计算!$C$156-(10/(逐级计算!$Q$156*LN(10))*(MAX((LN(10^(逐级计算!$Q$156/10)-1)+逐级计算!$Q$156*(EZ41-逐级计算!$P$156)*LN(10)/10),0)+LN(1+EXP(-ABS((LN(10^(逐级计算!$Q$156/10)-1)+逐级计算!$Q$156*(EZ41-逐级计算!$P$156)*LN(10)/10))))))),"")</f>
        <v>13.7930365725916</v>
      </c>
      <c r="FB41">
        <f>IF(AND(ISNUMBER(FA41),逐级计算!$X$157&gt;-1),IF(逐级计算!$X$157=0,FA41+逐级计算!$C$157,FA41+逐级计算!$C$157-(10/(逐级计算!$Q$157*LN(10))*(MAX((LN(10^(逐级计算!$Q$157/10)-1)+逐级计算!$Q$157*(FA41-逐级计算!$P$157)*LN(10)/10),0)+LN(1+EXP(-ABS((LN(10^(逐级计算!$Q$157/10)-1)+逐级计算!$Q$157*(FA41-逐级计算!$P$157)*LN(10)/10))))))),"")</f>
        <v>13.7930365725916</v>
      </c>
      <c r="FC41">
        <f>IF(AND(ISNUMBER(FB41),逐级计算!$X$158&gt;-1),IF(逐级计算!$X$158=0,FB41+逐级计算!$C$158,FB41+逐级计算!$C$158-(10/(逐级计算!$Q$158*LN(10))*(MAX((LN(10^(逐级计算!$Q$158/10)-1)+逐级计算!$Q$158*(FB41-逐级计算!$P$158)*LN(10)/10),0)+LN(1+EXP(-ABS((LN(10^(逐级计算!$Q$158/10)-1)+逐级计算!$Q$158*(FB41-逐级计算!$P$158)*LN(10)/10))))))),"")</f>
        <v>13.7930365725916</v>
      </c>
      <c r="FD41">
        <f>IF(AND(ISNUMBER(FC41),逐级计算!$X$159&gt;-1),IF(逐级计算!$X$159=0,FC41+逐级计算!$C$159,FC41+逐级计算!$C$159-(10/(逐级计算!$Q$159*LN(10))*(MAX((LN(10^(逐级计算!$Q$159/10)-1)+逐级计算!$Q$159*(FC41-逐级计算!$P$159)*LN(10)/10),0)+LN(1+EXP(-ABS((LN(10^(逐级计算!$Q$159/10)-1)+逐级计算!$Q$159*(FC41-逐级计算!$P$159)*LN(10)/10))))))),"")</f>
        <v>13.7930365725916</v>
      </c>
      <c r="FE41">
        <f>IF(AND(ISNUMBER(FD41),逐级计算!$X$160&gt;-1),IF(逐级计算!$X$160=0,FD41+逐级计算!$C$160,FD41+逐级计算!$C$160-(10/(逐级计算!$Q$160*LN(10))*(MAX((LN(10^(逐级计算!$Q$160/10)-1)+逐级计算!$Q$160*(FD41-逐级计算!$P$160)*LN(10)/10),0)+LN(1+EXP(-ABS((LN(10^(逐级计算!$Q$160/10)-1)+逐级计算!$Q$160*(FD41-逐级计算!$P$160)*LN(10)/10))))))),"")</f>
        <v>13.7930365725916</v>
      </c>
      <c r="FF41">
        <f>IF(AND(ISNUMBER(FE41),逐级计算!$X$161&gt;-1),IF(逐级计算!$X$161=0,FE41+逐级计算!$C$161,FE41+逐级计算!$C$161-(10/(逐级计算!$Q$161*LN(10))*(MAX((LN(10^(逐级计算!$Q$161/10)-1)+逐级计算!$Q$161*(FE41-逐级计算!$P$161)*LN(10)/10),0)+LN(1+EXP(-ABS((LN(10^(逐级计算!$Q$161/10)-1)+逐级计算!$Q$161*(FE41-逐级计算!$P$161)*LN(10)/10))))))),"")</f>
        <v>13.7930365725916</v>
      </c>
      <c r="FG41">
        <f>IF(AND(ISNUMBER(FF41),逐级计算!$X$162&gt;-1),IF(逐级计算!$X$162=0,FF41+逐级计算!$C$162,FF41+逐级计算!$C$162-(10/(逐级计算!$Q$162*LN(10))*(MAX((LN(10^(逐级计算!$Q$162/10)-1)+逐级计算!$Q$162*(FF41-逐级计算!$P$162)*LN(10)/10),0)+LN(1+EXP(-ABS((LN(10^(逐级计算!$Q$162/10)-1)+逐级计算!$Q$162*(FF41-逐级计算!$P$162)*LN(10)/10))))))),"")</f>
        <v>13.7930365725916</v>
      </c>
      <c r="FH41">
        <f>IF(AND(ISNUMBER(FG41),逐级计算!$X$163&gt;-1),IF(逐级计算!$X$163=0,FG41+逐级计算!$C$163,FG41+逐级计算!$C$163-(10/(逐级计算!$Q$163*LN(10))*(MAX((LN(10^(逐级计算!$Q$163/10)-1)+逐级计算!$Q$163*(FG41-逐级计算!$P$163)*LN(10)/10),0)+LN(1+EXP(-ABS((LN(10^(逐级计算!$Q$163/10)-1)+逐级计算!$Q$163*(FG41-逐级计算!$P$163)*LN(10)/10))))))),"")</f>
        <v>13.7930365725916</v>
      </c>
      <c r="FI41">
        <f>IF(AND(ISNUMBER(FH41),逐级计算!$X$164&gt;-1),IF(逐级计算!$X$164=0,FH41+逐级计算!$C$164,FH41+逐级计算!$C$164-(10/(逐级计算!$Q$164*LN(10))*(MAX((LN(10^(逐级计算!$Q$164/10)-1)+逐级计算!$Q$164*(FH41-逐级计算!$P$164)*LN(10)/10),0)+LN(1+EXP(-ABS((LN(10^(逐级计算!$Q$164/10)-1)+逐级计算!$Q$164*(FH41-逐级计算!$P$164)*LN(10)/10))))))),"")</f>
        <v>13.7930365725916</v>
      </c>
      <c r="FJ41">
        <f>IF(AND(ISNUMBER(FI41),逐级计算!$X$165&gt;-1),IF(逐级计算!$X$165=0,FI41+逐级计算!$C$165,FI41+逐级计算!$C$165-(10/(逐级计算!$Q$165*LN(10))*(MAX((LN(10^(逐级计算!$Q$165/10)-1)+逐级计算!$Q$165*(FI41-逐级计算!$P$165)*LN(10)/10),0)+LN(1+EXP(-ABS((LN(10^(逐级计算!$Q$165/10)-1)+逐级计算!$Q$165*(FI41-逐级计算!$P$165)*LN(10)/10))))))),"")</f>
        <v>13.7930365725916</v>
      </c>
      <c r="FK41">
        <f>IF(AND(ISNUMBER(FJ41),逐级计算!$X$166&gt;-1),IF(逐级计算!$X$166=0,FJ41+逐级计算!$C$166,FJ41+逐级计算!$C$166-(10/(逐级计算!$Q$166*LN(10))*(MAX((LN(10^(逐级计算!$Q$166/10)-1)+逐级计算!$Q$166*(FJ41-逐级计算!$P$166)*LN(10)/10),0)+LN(1+EXP(-ABS((LN(10^(逐级计算!$Q$166/10)-1)+逐级计算!$Q$166*(FJ41-逐级计算!$P$166)*LN(10)/10))))))),"")</f>
        <v>13.7930365725916</v>
      </c>
      <c r="FL41">
        <f>IF(AND(ISNUMBER(FK41),逐级计算!$X$167&gt;-1),IF(逐级计算!$X$167=0,FK41+逐级计算!$C$167,FK41+逐级计算!$C$167-(10/(逐级计算!$Q$167*LN(10))*(MAX((LN(10^(逐级计算!$Q$167/10)-1)+逐级计算!$Q$167*(FK41-逐级计算!$P$167)*LN(10)/10),0)+LN(1+EXP(-ABS((LN(10^(逐级计算!$Q$167/10)-1)+逐级计算!$Q$167*(FK41-逐级计算!$P$167)*LN(10)/10))))))),"")</f>
        <v>13.7930365725916</v>
      </c>
      <c r="FM41">
        <f>IF(AND(ISNUMBER(FL41),逐级计算!$X$168&gt;-1),IF(逐级计算!$X$168=0,FL41+逐级计算!$C$168,FL41+逐级计算!$C$168-(10/(逐级计算!$Q$168*LN(10))*(MAX((LN(10^(逐级计算!$Q$168/10)-1)+逐级计算!$Q$168*(FL41-逐级计算!$P$168)*LN(10)/10),0)+LN(1+EXP(-ABS((LN(10^(逐级计算!$Q$168/10)-1)+逐级计算!$Q$168*(FL41-逐级计算!$P$168)*LN(10)/10))))))),"")</f>
        <v>13.7930365725916</v>
      </c>
      <c r="FN41">
        <f>IF(AND(ISNUMBER(FM41),逐级计算!$X$169&gt;-1),IF(逐级计算!$X$169=0,FM41+逐级计算!$C$169,FM41+逐级计算!$C$169-(10/(逐级计算!$Q$169*LN(10))*(MAX((LN(10^(逐级计算!$Q$169/10)-1)+逐级计算!$Q$169*(FM41-逐级计算!$P$169)*LN(10)/10),0)+LN(1+EXP(-ABS((LN(10^(逐级计算!$Q$169/10)-1)+逐级计算!$Q$169*(FM41-逐级计算!$P$169)*LN(10)/10))))))),"")</f>
        <v>13.7930365725916</v>
      </c>
      <c r="FO41">
        <f>IF(AND(ISNUMBER(FN41),逐级计算!$X$170&gt;-1),IF(逐级计算!$X$170=0,FN41+逐级计算!$C$170,FN41+逐级计算!$C$170-(10/(逐级计算!$Q$170*LN(10))*(MAX((LN(10^(逐级计算!$Q$170/10)-1)+逐级计算!$Q$170*(FN41-逐级计算!$P$170)*LN(10)/10),0)+LN(1+EXP(-ABS((LN(10^(逐级计算!$Q$170/10)-1)+逐级计算!$Q$170*(FN41-逐级计算!$P$170)*LN(10)/10))))))),"")</f>
        <v>13.7930365725916</v>
      </c>
      <c r="FP41">
        <f>IF(AND(ISNUMBER(FO41),逐级计算!$X$171&gt;-1),IF(逐级计算!$X$171=0,FO41+逐级计算!$C$171,FO41+逐级计算!$C$171-(10/(逐级计算!$Q$171*LN(10))*(MAX((LN(10^(逐级计算!$Q$171/10)-1)+逐级计算!$Q$171*(FO41-逐级计算!$P$171)*LN(10)/10),0)+LN(1+EXP(-ABS((LN(10^(逐级计算!$Q$171/10)-1)+逐级计算!$Q$171*(FO41-逐级计算!$P$171)*LN(10)/10))))))),"")</f>
        <v>13.7930365725916</v>
      </c>
      <c r="FQ41">
        <f>IF(AND(ISNUMBER(FP41),逐级计算!$X$172&gt;-1),IF(逐级计算!$X$172=0,FP41+逐级计算!$C$172,FP41+逐级计算!$C$172-(10/(逐级计算!$Q$172*LN(10))*(MAX((LN(10^(逐级计算!$Q$172/10)-1)+逐级计算!$Q$172*(FP41-逐级计算!$P$172)*LN(10)/10),0)+LN(1+EXP(-ABS((LN(10^(逐级计算!$Q$172/10)-1)+逐级计算!$Q$172*(FP41-逐级计算!$P$172)*LN(10)/10))))))),"")</f>
        <v>13.7930365725916</v>
      </c>
      <c r="FR41">
        <f>IF(AND(ISNUMBER(FQ41),逐级计算!$X$173&gt;-1),IF(逐级计算!$X$173=0,FQ41+逐级计算!$C$173,FQ41+逐级计算!$C$173-(10/(逐级计算!$Q$173*LN(10))*(MAX((LN(10^(逐级计算!$Q$173/10)-1)+逐级计算!$Q$173*(FQ41-逐级计算!$P$173)*LN(10)/10),0)+LN(1+EXP(-ABS((LN(10^(逐级计算!$Q$173/10)-1)+逐级计算!$Q$173*(FQ41-逐级计算!$P$173)*LN(10)/10))))))),"")</f>
        <v>13.7930365725916</v>
      </c>
      <c r="FS41">
        <f>IF(AND(ISNUMBER(FR41),逐级计算!$X$174&gt;-1),IF(逐级计算!$X$174=0,FR41+逐级计算!$C$174,FR41+逐级计算!$C$174-(10/(逐级计算!$Q$174*LN(10))*(MAX((LN(10^(逐级计算!$Q$174/10)-1)+逐级计算!$Q$174*(FR41-逐级计算!$P$174)*LN(10)/10),0)+LN(1+EXP(-ABS((LN(10^(逐级计算!$Q$174/10)-1)+逐级计算!$Q$174*(FR41-逐级计算!$P$174)*LN(10)/10))))))),"")</f>
        <v>13.7930365725916</v>
      </c>
      <c r="FT41">
        <f>IF(AND(ISNUMBER(FS41),逐级计算!$X$175&gt;-1),IF(逐级计算!$X$175=0,FS41+逐级计算!$C$175,FS41+逐级计算!$C$175-(10/(逐级计算!$Q$175*LN(10))*(MAX((LN(10^(逐级计算!$Q$175/10)-1)+逐级计算!$Q$175*(FS41-逐级计算!$P$175)*LN(10)/10),0)+LN(1+EXP(-ABS((LN(10^(逐级计算!$Q$175/10)-1)+逐级计算!$Q$175*(FS41-逐级计算!$P$175)*LN(10)/10))))))),"")</f>
        <v>13.7930365725916</v>
      </c>
      <c r="FU41">
        <f>IF(AND(ISNUMBER(FT41),逐级计算!$X$176&gt;-1),IF(逐级计算!$X$176=0,FT41+逐级计算!$C$176,FT41+逐级计算!$C$176-(10/(逐级计算!$Q$176*LN(10))*(MAX((LN(10^(逐级计算!$Q$176/10)-1)+逐级计算!$Q$176*(FT41-逐级计算!$P$176)*LN(10)/10),0)+LN(1+EXP(-ABS((LN(10^(逐级计算!$Q$176/10)-1)+逐级计算!$Q$176*(FT41-逐级计算!$P$176)*LN(10)/10))))))),"")</f>
        <v>13.7930365725916</v>
      </c>
      <c r="FV41">
        <f>IF(AND(ISNUMBER(FU41),逐级计算!$X$177&gt;-1),IF(逐级计算!$X$177=0,FU41+逐级计算!$C$177,FU41+逐级计算!$C$177-(10/(逐级计算!$Q$177*LN(10))*(MAX((LN(10^(逐级计算!$Q$177/10)-1)+逐级计算!$Q$177*(FU41-逐级计算!$P$177)*LN(10)/10),0)+LN(1+EXP(-ABS((LN(10^(逐级计算!$Q$177/10)-1)+逐级计算!$Q$177*(FU41-逐级计算!$P$177)*LN(10)/10))))))),"")</f>
        <v>13.7930365725916</v>
      </c>
      <c r="FW41">
        <f>IF(AND(ISNUMBER(FV41),逐级计算!$X$178&gt;-1),IF(逐级计算!$X$178=0,FV41+逐级计算!$C$178,FV41+逐级计算!$C$178-(10/(逐级计算!$Q$178*LN(10))*(MAX((LN(10^(逐级计算!$Q$178/10)-1)+逐级计算!$Q$178*(FV41-逐级计算!$P$178)*LN(10)/10),0)+LN(1+EXP(-ABS((LN(10^(逐级计算!$Q$178/10)-1)+逐级计算!$Q$178*(FV41-逐级计算!$P$178)*LN(10)/10))))))),"")</f>
        <v>13.7930365725916</v>
      </c>
      <c r="FX41">
        <f>IF(AND(ISNUMBER(FW41),逐级计算!$X$179&gt;-1),IF(逐级计算!$X$179=0,FW41+逐级计算!$C$179,FW41+逐级计算!$C$179-(10/(逐级计算!$Q$179*LN(10))*(MAX((LN(10^(逐级计算!$Q$179/10)-1)+逐级计算!$Q$179*(FW41-逐级计算!$P$179)*LN(10)/10),0)+LN(1+EXP(-ABS((LN(10^(逐级计算!$Q$179/10)-1)+逐级计算!$Q$179*(FW41-逐级计算!$P$179)*LN(10)/10))))))),"")</f>
        <v>13.7930365725916</v>
      </c>
      <c r="FY41">
        <f>IF(AND(ISNUMBER(FX41),逐级计算!$X$180&gt;-1),IF(逐级计算!$X$180=0,FX41+逐级计算!$C$180,FX41+逐级计算!$C$180-(10/(逐级计算!$Q$180*LN(10))*(MAX((LN(10^(逐级计算!$Q$180/10)-1)+逐级计算!$Q$180*(FX41-逐级计算!$P$180)*LN(10)/10),0)+LN(1+EXP(-ABS((LN(10^(逐级计算!$Q$180/10)-1)+逐级计算!$Q$180*(FX41-逐级计算!$P$180)*LN(10)/10))))))),"")</f>
        <v>13.7930365725916</v>
      </c>
      <c r="FZ41">
        <f>IF(AND(ISNUMBER(FY41),逐级计算!$X$181&gt;-1),IF(逐级计算!$X$181=0,FY41+逐级计算!$C$181,FY41+逐级计算!$C$181-(10/(逐级计算!$Q$181*LN(10))*(MAX((LN(10^(逐级计算!$Q$181/10)-1)+逐级计算!$Q$181*(FY41-逐级计算!$P$181)*LN(10)/10),0)+LN(1+EXP(-ABS((LN(10^(逐级计算!$Q$181/10)-1)+逐级计算!$Q$181*(FY41-逐级计算!$P$181)*LN(10)/10))))))),"")</f>
        <v>13.7930365725916</v>
      </c>
      <c r="GA41">
        <f>IF(AND(ISNUMBER(FZ41),逐级计算!$X$182&gt;-1),IF(逐级计算!$X$182=0,FZ41+逐级计算!$C$182,FZ41+逐级计算!$C$182-(10/(逐级计算!$Q$182*LN(10))*(MAX((LN(10^(逐级计算!$Q$182/10)-1)+逐级计算!$Q$182*(FZ41-逐级计算!$P$182)*LN(10)/10),0)+LN(1+EXP(-ABS((LN(10^(逐级计算!$Q$182/10)-1)+逐级计算!$Q$182*(FZ41-逐级计算!$P$182)*LN(10)/10))))))),"")</f>
        <v>13.7930365725916</v>
      </c>
      <c r="GB41">
        <f>IF(AND(ISNUMBER(GA41),逐级计算!$X$183&gt;-1),IF(逐级计算!$X$183=0,GA41+逐级计算!$C$183,GA41+逐级计算!$C$183-(10/(逐级计算!$Q$183*LN(10))*(MAX((LN(10^(逐级计算!$Q$183/10)-1)+逐级计算!$Q$183*(GA41-逐级计算!$P$183)*LN(10)/10),0)+LN(1+EXP(-ABS((LN(10^(逐级计算!$Q$183/10)-1)+逐级计算!$Q$183*(GA41-逐级计算!$P$183)*LN(10)/10))))))),"")</f>
        <v>13.7930365725916</v>
      </c>
      <c r="GC41">
        <f>IF(AND(ISNUMBER(GB41),逐级计算!$X$184&gt;-1),IF(逐级计算!$X$184=0,GB41+逐级计算!$C$184,GB41+逐级计算!$C$184-(10/(逐级计算!$Q$184*LN(10))*(MAX((LN(10^(逐级计算!$Q$184/10)-1)+逐级计算!$Q$184*(GB41-逐级计算!$P$184)*LN(10)/10),0)+LN(1+EXP(-ABS((LN(10^(逐级计算!$Q$184/10)-1)+逐级计算!$Q$184*(GB41-逐级计算!$P$184)*LN(10)/10))))))),"")</f>
        <v>13.7930365725916</v>
      </c>
      <c r="GD41">
        <f>IF(AND(ISNUMBER(GC41),逐级计算!$X$185&gt;-1),IF(逐级计算!$X$185=0,GC41+逐级计算!$C$185,GC41+逐级计算!$C$185-(10/(逐级计算!$Q$185*LN(10))*(MAX((LN(10^(逐级计算!$Q$185/10)-1)+逐级计算!$Q$185*(GC41-逐级计算!$P$185)*LN(10)/10),0)+LN(1+EXP(-ABS((LN(10^(逐级计算!$Q$185/10)-1)+逐级计算!$Q$185*(GC41-逐级计算!$P$185)*LN(10)/10))))))),"")</f>
        <v>13.7930365725916</v>
      </c>
      <c r="GE41">
        <f>IF(AND(ISNUMBER(GD41),逐级计算!$X$186&gt;-1),IF(逐级计算!$X$186=0,GD41+逐级计算!$C$186,GD41+逐级计算!$C$186-(10/(逐级计算!$Q$186*LN(10))*(MAX((LN(10^(逐级计算!$Q$186/10)-1)+逐级计算!$Q$186*(GD41-逐级计算!$P$186)*LN(10)/10),0)+LN(1+EXP(-ABS((LN(10^(逐级计算!$Q$186/10)-1)+逐级计算!$Q$186*(GD41-逐级计算!$P$186)*LN(10)/10))))))),"")</f>
        <v>13.7930365725916</v>
      </c>
      <c r="GF41">
        <f>IF(AND(ISNUMBER(GE41),逐级计算!$X$187&gt;-1),IF(逐级计算!$X$187=0,GE41+逐级计算!$C$187,GE41+逐级计算!$C$187-(10/(逐级计算!$Q$187*LN(10))*(MAX((LN(10^(逐级计算!$Q$187/10)-1)+逐级计算!$Q$187*(GE41-逐级计算!$P$187)*LN(10)/10),0)+LN(1+EXP(-ABS((LN(10^(逐级计算!$Q$187/10)-1)+逐级计算!$Q$187*(GE41-逐级计算!$P$187)*LN(10)/10))))))),"")</f>
        <v>13.7930365725916</v>
      </c>
      <c r="GG41">
        <f>IF(AND(ISNUMBER(GF41),逐级计算!$X$188&gt;-1),IF(逐级计算!$X$188=0,GF41+逐级计算!$C$188,GF41+逐级计算!$C$188-(10/(逐级计算!$Q$188*LN(10))*(MAX((LN(10^(逐级计算!$Q$188/10)-1)+逐级计算!$Q$188*(GF41-逐级计算!$P$188)*LN(10)/10),0)+LN(1+EXP(-ABS((LN(10^(逐级计算!$Q$188/10)-1)+逐级计算!$Q$188*(GF41-逐级计算!$P$188)*LN(10)/10))))))),"")</f>
        <v>13.7930365725916</v>
      </c>
      <c r="GH41">
        <f>IF(AND(ISNUMBER(GG41),逐级计算!$X$189&gt;-1),IF(逐级计算!$X$189=0,GG41+逐级计算!$C$189,GG41+逐级计算!$C$189-(10/(逐级计算!$Q$189*LN(10))*(MAX((LN(10^(逐级计算!$Q$189/10)-1)+逐级计算!$Q$189*(GG41-逐级计算!$P$189)*LN(10)/10),0)+LN(1+EXP(-ABS((LN(10^(逐级计算!$Q$189/10)-1)+逐级计算!$Q$189*(GG41-逐级计算!$P$189)*LN(10)/10))))))),"")</f>
        <v>13.7930365725916</v>
      </c>
      <c r="GI41">
        <f>IF(AND(ISNUMBER(GH41),逐级计算!$X$190&gt;-1),IF(逐级计算!$X$190=0,GH41+逐级计算!$C$190,GH41+逐级计算!$C$190-(10/(逐级计算!$Q$190*LN(10))*(MAX((LN(10^(逐级计算!$Q$190/10)-1)+逐级计算!$Q$190*(GH41-逐级计算!$P$190)*LN(10)/10),0)+LN(1+EXP(-ABS((LN(10^(逐级计算!$Q$190/10)-1)+逐级计算!$Q$190*(GH41-逐级计算!$P$190)*LN(10)/10))))))),"")</f>
        <v>13.7930365725916</v>
      </c>
      <c r="GJ41">
        <f>IF(AND(ISNUMBER(GI41),逐级计算!$X$191&gt;-1),IF(逐级计算!$X$191=0,GI41+逐级计算!$C$191,GI41+逐级计算!$C$191-(10/(逐级计算!$Q$191*LN(10))*(MAX((LN(10^(逐级计算!$Q$191/10)-1)+逐级计算!$Q$191*(GI41-逐级计算!$P$191)*LN(10)/10),0)+LN(1+EXP(-ABS((LN(10^(逐级计算!$Q$191/10)-1)+逐级计算!$Q$191*(GI41-逐级计算!$P$191)*LN(10)/10))))))),"")</f>
        <v>13.7930365725916</v>
      </c>
      <c r="GK41">
        <f>IF(AND(ISNUMBER(GJ41),逐级计算!$X$192&gt;-1),IF(逐级计算!$X$192=0,GJ41+逐级计算!$C$192,GJ41+逐级计算!$C$192-(10/(逐级计算!$Q$192*LN(10))*(MAX((LN(10^(逐级计算!$Q$192/10)-1)+逐级计算!$Q$192*(GJ41-逐级计算!$P$192)*LN(10)/10),0)+LN(1+EXP(-ABS((LN(10^(逐级计算!$Q$192/10)-1)+逐级计算!$Q$192*(GJ41-逐级计算!$P$192)*LN(10)/10))))))),"")</f>
        <v>13.7930365725916</v>
      </c>
      <c r="GL41">
        <f>IF(AND(ISNUMBER(GK41),逐级计算!$X$193&gt;-1),IF(逐级计算!$X$193=0,GK41+逐级计算!$C$193,GK41+逐级计算!$C$193-(10/(逐级计算!$Q$193*LN(10))*(MAX((LN(10^(逐级计算!$Q$193/10)-1)+逐级计算!$Q$193*(GK41-逐级计算!$P$193)*LN(10)/10),0)+LN(1+EXP(-ABS((LN(10^(逐级计算!$Q$193/10)-1)+逐级计算!$Q$193*(GK41-逐级计算!$P$193)*LN(10)/10))))))),"")</f>
        <v>13.7930365725916</v>
      </c>
      <c r="GM41">
        <f>IF(AND(ISNUMBER(GL41),逐级计算!$X$194&gt;-1),IF(逐级计算!$X$194=0,GL41+逐级计算!$C$194,GL41+逐级计算!$C$194-(10/(逐级计算!$Q$194*LN(10))*(MAX((LN(10^(逐级计算!$Q$194/10)-1)+逐级计算!$Q$194*(GL41-逐级计算!$P$194)*LN(10)/10),0)+LN(1+EXP(-ABS((LN(10^(逐级计算!$Q$194/10)-1)+逐级计算!$Q$194*(GL41-逐级计算!$P$194)*LN(10)/10))))))),"")</f>
        <v>13.7930365725916</v>
      </c>
      <c r="GN41">
        <f>IF(AND(ISNUMBER(GM41),逐级计算!$X$195&gt;-1),IF(逐级计算!$X$195=0,GM41+逐级计算!$C$195,GM41+逐级计算!$C$195-(10/(逐级计算!$Q$195*LN(10))*(MAX((LN(10^(逐级计算!$Q$195/10)-1)+逐级计算!$Q$195*(GM41-逐级计算!$P$195)*LN(10)/10),0)+LN(1+EXP(-ABS((LN(10^(逐级计算!$Q$195/10)-1)+逐级计算!$Q$195*(GM41-逐级计算!$P$195)*LN(10)/10))))))),"")</f>
        <v>13.7930365725916</v>
      </c>
      <c r="GO41">
        <f>IF(AND(ISNUMBER(GN41),逐级计算!$X$196&gt;-1),IF(逐级计算!$X$196=0,GN41+逐级计算!$C$196,GN41+逐级计算!$C$196-(10/(逐级计算!$Q$196*LN(10))*(MAX((LN(10^(逐级计算!$Q$196/10)-1)+逐级计算!$Q$196*(GN41-逐级计算!$P$196)*LN(10)/10),0)+LN(1+EXP(-ABS((LN(10^(逐级计算!$Q$196/10)-1)+逐级计算!$Q$196*(GN41-逐级计算!$P$196)*LN(10)/10))))))),"")</f>
        <v>13.7930365725916</v>
      </c>
      <c r="GP41">
        <f>IF(AND(ISNUMBER(GO41),逐级计算!$X$197&gt;-1),IF(逐级计算!$X$197=0,GO41+逐级计算!$C$197,GO41+逐级计算!$C$197-(10/(逐级计算!$Q$197*LN(10))*(MAX((LN(10^(逐级计算!$Q$197/10)-1)+逐级计算!$Q$197*(GO41-逐级计算!$P$197)*LN(10)/10),0)+LN(1+EXP(-ABS((LN(10^(逐级计算!$Q$197/10)-1)+逐级计算!$Q$197*(GO41-逐级计算!$P$197)*LN(10)/10))))))),"")</f>
        <v>13.7930365725916</v>
      </c>
      <c r="GQ41">
        <f>IF(AND(ISNUMBER(GP41),逐级计算!$X$198&gt;-1),IF(逐级计算!$X$198=0,GP41+逐级计算!$C$198,GP41+逐级计算!$C$198-(10/(逐级计算!$Q$198*LN(10))*(MAX((LN(10^(逐级计算!$Q$198/10)-1)+逐级计算!$Q$198*(GP41-逐级计算!$P$198)*LN(10)/10),0)+LN(1+EXP(-ABS((LN(10^(逐级计算!$Q$198/10)-1)+逐级计算!$Q$198*(GP41-逐级计算!$P$198)*LN(10)/10))))))),"")</f>
        <v>13.7930365725916</v>
      </c>
      <c r="GR41">
        <f>IF(AND(ISNUMBER(GQ41),逐级计算!$X$199&gt;-1),IF(逐级计算!$X$199=0,GQ41+逐级计算!$C$199,GQ41+逐级计算!$C$199-(10/(逐级计算!$Q$199*LN(10))*(MAX((LN(10^(逐级计算!$Q$199/10)-1)+逐级计算!$Q$199*(GQ41-逐级计算!$P$199)*LN(10)/10),0)+LN(1+EXP(-ABS((LN(10^(逐级计算!$Q$199/10)-1)+逐级计算!$Q$199*(GQ41-逐级计算!$P$199)*LN(10)/10))))))),"")</f>
        <v>13.7930365725916</v>
      </c>
      <c r="GS41">
        <f>IF(AND(ISNUMBER(GR41),逐级计算!$X$200&gt;-1),IF(逐级计算!$X$200=0,GR41+逐级计算!$C$200,GR41+逐级计算!$C$200-(10/(逐级计算!$Q$200*LN(10))*(MAX((LN(10^(逐级计算!$Q$200/10)-1)+逐级计算!$Q$200*(GR41-逐级计算!$P$200)*LN(10)/10),0)+LN(1+EXP(-ABS((LN(10^(逐级计算!$Q$200/10)-1)+逐级计算!$Q$200*(GR41-逐级计算!$P$200)*LN(10)/10))))))),"")</f>
        <v>13.7930365725916</v>
      </c>
      <c r="GT41">
        <f>IF(AND(ISNUMBER(GS41),逐级计算!$X$201&gt;-1),IF(逐级计算!$X$201=0,GS41+逐级计算!$C$201,GS41+逐级计算!$C$201-(10/(逐级计算!$Q$201*LN(10))*(MAX((LN(10^(逐级计算!$Q$201/10)-1)+逐级计算!$Q$201*(GS41-逐级计算!$P$201)*LN(10)/10),0)+LN(1+EXP(-ABS((LN(10^(逐级计算!$Q$201/10)-1)+逐级计算!$Q$201*(GS41-逐级计算!$P$201)*LN(10)/10))))))),"")</f>
        <v>13.7930365725916</v>
      </c>
      <c r="GU41">
        <f>IF(AND(ISNUMBER(GT41),逐级计算!$X$202&gt;-1),IF(逐级计算!$X$202=0,GT41+逐级计算!$C$202,GT41+逐级计算!$C$202-(10/(逐级计算!$Q$202*LN(10))*(MAX((LN(10^(逐级计算!$Q$202/10)-1)+逐级计算!$Q$202*(GT41-逐级计算!$P$202)*LN(10)/10),0)+LN(1+EXP(-ABS((LN(10^(逐级计算!$Q$202/10)-1)+逐级计算!$Q$202*(GT41-逐级计算!$P$202)*LN(10)/10))))))),"")</f>
        <v>13.7930365725916</v>
      </c>
      <c r="GV41">
        <f>IF(AND(ISNUMBER(GU41),逐级计算!$X$203&gt;-1),IF(逐级计算!$X$203=0,GU41+逐级计算!$C$203,GU41+逐级计算!$C$203-(10/(逐级计算!$Q$203*LN(10))*(MAX((LN(10^(逐级计算!$Q$203/10)-1)+逐级计算!$Q$203*(GU41-逐级计算!$P$203)*LN(10)/10),0)+LN(1+EXP(-ABS((LN(10^(逐级计算!$Q$203/10)-1)+逐级计算!$Q$203*(GU41-逐级计算!$P$203)*LN(10)/10))))))),"")</f>
        <v>13.7930365725916</v>
      </c>
      <c r="GW41">
        <f t="shared" si="2"/>
        <v>-5.20696342224255</v>
      </c>
    </row>
    <row r="42" spans="1:205">
      <c r="A42">
        <v>35</v>
      </c>
      <c r="B42">
        <f t="shared" si="1"/>
        <v>-5.20696342835436</v>
      </c>
      <c r="C42">
        <f t="shared" si="0"/>
        <v>-5.20696342529845</v>
      </c>
      <c r="D42">
        <f>IF(AND(ISNUMBER(C42),ISNUMBER(逐级计算!$E$203),ISNUMBER(GV42)),C42+逐级计算!$E$203-GV42,"")</f>
        <v>1.00000000018182</v>
      </c>
      <c r="E42">
        <f>IF(AND(ISNUMBER(C42),逐级计算!$X$4&gt;-1),IF(逐级计算!$X$4=0,C42+逐级计算!$C$4,C42+逐级计算!$C$4-(10/(逐级计算!$Q$4*LN(10))*(MAX((LN(10^(逐级计算!$Q$4/10)-1)+逐级计算!$Q$4*(C42-逐级计算!$P$4)*LN(10)/10),0)+LN(1+EXP(-ABS((LN(10^(逐级计算!$Q$4/10)-1)+逐级计算!$Q$4*(C42-逐级计算!$P$4)*LN(10)/10))))))),"")</f>
        <v>4.6805398297509</v>
      </c>
      <c r="F42">
        <f>IF(AND(ISNUMBER(E42),逐级计算!$X$5&gt;-1),IF(逐级计算!$X$5=0,E42+逐级计算!$C$5,E42+逐级计算!$C$5-(10/(逐级计算!$Q$5*LN(10))*(MAX((LN(10^(逐级计算!$Q$5/10)-1)+逐级计算!$Q$5*(E42-逐级计算!$P$5)*LN(10)/10),0)+LN(1+EXP(-ABS((LN(10^(逐级计算!$Q$5/10)-1)+逐级计算!$Q$5*(E42-逐级计算!$P$5)*LN(10)/10))))))),"")</f>
        <v>13.7930365745197</v>
      </c>
      <c r="G42">
        <f>IF(AND(ISNUMBER(F42),逐级计算!$X$6&gt;-1),IF(逐级计算!$X$6=0,F42+逐级计算!$C$6,F42+逐级计算!$C$6-(10/(逐级计算!$Q$6*LN(10))*(MAX((LN(10^(逐级计算!$Q$6/10)-1)+逐级计算!$Q$6*(F42-逐级计算!$P$6)*LN(10)/10),0)+LN(1+EXP(-ABS((LN(10^(逐级计算!$Q$6/10)-1)+逐级计算!$Q$6*(F42-逐级计算!$P$6)*LN(10)/10))))))),"")</f>
        <v>13.7930365745197</v>
      </c>
      <c r="H42">
        <f>IF(AND(ISNUMBER(G42),逐级计算!$X$7&gt;-1),IF(逐级计算!$X$7=0,G42+逐级计算!$C$7,G42+逐级计算!$C$7-(10/(逐级计算!$Q$7*LN(10))*(MAX((LN(10^(逐级计算!$Q$7/10)-1)+逐级计算!$Q$7*(G42-逐级计算!$P$7)*LN(10)/10),0)+LN(1+EXP(-ABS((LN(10^(逐级计算!$Q$7/10)-1)+逐级计算!$Q$7*(G42-逐级计算!$P$7)*LN(10)/10))))))),"")</f>
        <v>13.7930365745197</v>
      </c>
      <c r="I42">
        <f>IF(AND(ISNUMBER(H42),逐级计算!$X$8&gt;-1),IF(逐级计算!$X$8=0,H42+逐级计算!$C$8,H42+逐级计算!$C$8-(10/(逐级计算!$Q$8*LN(10))*(MAX((LN(10^(逐级计算!$Q$8/10)-1)+逐级计算!$Q$8*(H42-逐级计算!$P$8)*LN(10)/10),0)+LN(1+EXP(-ABS((LN(10^(逐级计算!$Q$8/10)-1)+逐级计算!$Q$8*(H42-逐级计算!$P$8)*LN(10)/10))))))),"")</f>
        <v>13.7930365745197</v>
      </c>
      <c r="J42">
        <f>IF(AND(ISNUMBER(I42),逐级计算!$X$9&gt;-1),IF(逐级计算!$X$9=0,I42+逐级计算!$C$9,I42+逐级计算!$C$9-(10/(逐级计算!$Q$9*LN(10))*(MAX((LN(10^(逐级计算!$Q$9/10)-1)+逐级计算!$Q$9*(I42-逐级计算!$P$9)*LN(10)/10),0)+LN(1+EXP(-ABS((LN(10^(逐级计算!$Q$9/10)-1)+逐级计算!$Q$9*(I42-逐级计算!$P$9)*LN(10)/10))))))),"")</f>
        <v>13.7930365745197</v>
      </c>
      <c r="K42">
        <f>IF(AND(ISNUMBER(J42),逐级计算!$X$10&gt;-1),IF(逐级计算!$X$10=0,J42+逐级计算!$C$10,J42+逐级计算!$C$10-(10/(逐级计算!$Q$10*LN(10))*(MAX((LN(10^(逐级计算!$Q$10/10)-1)+逐级计算!$Q$10*(J42-逐级计算!$P$10)*LN(10)/10),0)+LN(1+EXP(-ABS((LN(10^(逐级计算!$Q$10/10)-1)+逐级计算!$Q$10*(J42-逐级计算!$P$10)*LN(10)/10))))))),"")</f>
        <v>13.7930365745197</v>
      </c>
      <c r="L42">
        <f>IF(AND(ISNUMBER(K42),逐级计算!$X$11&gt;-1),IF(逐级计算!$X$11=0,K42+逐级计算!$C$11,K42+逐级计算!$C$11-(10/(逐级计算!$Q$11*LN(10))*(MAX((LN(10^(逐级计算!$Q$11/10)-1)+逐级计算!$Q$11*(K42-逐级计算!$P$11)*LN(10)/10),0)+LN(1+EXP(-ABS((LN(10^(逐级计算!$Q$11/10)-1)+逐级计算!$Q$11*(K42-逐级计算!$P$11)*LN(10)/10))))))),"")</f>
        <v>13.7930365745197</v>
      </c>
      <c r="M42">
        <f>IF(AND(ISNUMBER(L42),逐级计算!$X$12&gt;-1),IF(逐级计算!$X$12=0,L42+逐级计算!$C$12,L42+逐级计算!$C$12-(10/(逐级计算!$Q$12*LN(10))*(MAX((LN(10^(逐级计算!$Q$12/10)-1)+逐级计算!$Q$12*(L42-逐级计算!$P$12)*LN(10)/10),0)+LN(1+EXP(-ABS((LN(10^(逐级计算!$Q$12/10)-1)+逐级计算!$Q$12*(L42-逐级计算!$P$12)*LN(10)/10))))))),"")</f>
        <v>13.7930365745197</v>
      </c>
      <c r="N42">
        <f>IF(AND(ISNUMBER(M42),逐级计算!$X$13&gt;-1),IF(逐级计算!$X$13=0,M42+逐级计算!$C$13,M42+逐级计算!$C$13-(10/(逐级计算!$Q$13*LN(10))*(MAX((LN(10^(逐级计算!$Q$13/10)-1)+逐级计算!$Q$13*(M42-逐级计算!$P$13)*LN(10)/10),0)+LN(1+EXP(-ABS((LN(10^(逐级计算!$Q$13/10)-1)+逐级计算!$Q$13*(M42-逐级计算!$P$13)*LN(10)/10))))))),"")</f>
        <v>13.7930365745197</v>
      </c>
      <c r="O42">
        <f>IF(AND(ISNUMBER(N42),逐级计算!$X$14&gt;-1),IF(逐级计算!$X$14=0,N42+逐级计算!$C$14,N42+逐级计算!$C$14-(10/(逐级计算!$Q$14*LN(10))*(MAX((LN(10^(逐级计算!$Q$14/10)-1)+逐级计算!$Q$14*(N42-逐级计算!$P$14)*LN(10)/10),0)+LN(1+EXP(-ABS((LN(10^(逐级计算!$Q$14/10)-1)+逐级计算!$Q$14*(N42-逐级计算!$P$14)*LN(10)/10))))))),"")</f>
        <v>13.7930365745197</v>
      </c>
      <c r="P42">
        <f>IF(AND(ISNUMBER(O42),逐级计算!$X$15&gt;-1),IF(逐级计算!$X$15=0,O42+逐级计算!$C$15,O42+逐级计算!$C$15-(10/(逐级计算!$Q$15*LN(10))*(MAX((LN(10^(逐级计算!$Q$15/10)-1)+逐级计算!$Q$15*(O42-逐级计算!$P$15)*LN(10)/10),0)+LN(1+EXP(-ABS((LN(10^(逐级计算!$Q$15/10)-1)+逐级计算!$Q$15*(O42-逐级计算!$P$15)*LN(10)/10))))))),"")</f>
        <v>13.7930365745197</v>
      </c>
      <c r="Q42">
        <f>IF(AND(ISNUMBER(P42),逐级计算!$X$16&gt;-1),IF(逐级计算!$X$16=0,P42+逐级计算!$C$16,P42+逐级计算!$C$16-(10/(逐级计算!$Q$16*LN(10))*(MAX((LN(10^(逐级计算!$Q$16/10)-1)+逐级计算!$Q$16*(P42-逐级计算!$P$16)*LN(10)/10),0)+LN(1+EXP(-ABS((LN(10^(逐级计算!$Q$16/10)-1)+逐级计算!$Q$16*(P42-逐级计算!$P$16)*LN(10)/10))))))),"")</f>
        <v>13.7930365745197</v>
      </c>
      <c r="R42">
        <f>IF(AND(ISNUMBER(Q42),逐级计算!$X$17&gt;-1),IF(逐级计算!$X$17=0,Q42+逐级计算!$C$17,Q42+逐级计算!$C$17-(10/(逐级计算!$Q$17*LN(10))*(MAX((LN(10^(逐级计算!$Q$17/10)-1)+逐级计算!$Q$17*(Q42-逐级计算!$P$17)*LN(10)/10),0)+LN(1+EXP(-ABS((LN(10^(逐级计算!$Q$17/10)-1)+逐级计算!$Q$17*(Q42-逐级计算!$P$17)*LN(10)/10))))))),"")</f>
        <v>13.7930365745197</v>
      </c>
      <c r="S42">
        <f>IF(AND(ISNUMBER(R42),逐级计算!$X$18&gt;-1),IF(逐级计算!$X$18=0,R42+逐级计算!$C$18,R42+逐级计算!$C$18-(10/(逐级计算!$Q$18*LN(10))*(MAX((LN(10^(逐级计算!$Q$18/10)-1)+逐级计算!$Q$18*(R42-逐级计算!$P$18)*LN(10)/10),0)+LN(1+EXP(-ABS((LN(10^(逐级计算!$Q$18/10)-1)+逐级计算!$Q$18*(R42-逐级计算!$P$18)*LN(10)/10))))))),"")</f>
        <v>13.7930365745197</v>
      </c>
      <c r="T42">
        <f>IF(AND(ISNUMBER(S42),逐级计算!$X$19&gt;-1),IF(逐级计算!$X$19=0,S42+逐级计算!$C$19,S42+逐级计算!$C$19-(10/(逐级计算!$Q$19*LN(10))*(MAX((LN(10^(逐级计算!$Q$19/10)-1)+逐级计算!$Q$19*(S42-逐级计算!$P$19)*LN(10)/10),0)+LN(1+EXP(-ABS((LN(10^(逐级计算!$Q$19/10)-1)+逐级计算!$Q$19*(S42-逐级计算!$P$19)*LN(10)/10))))))),"")</f>
        <v>13.7930365745197</v>
      </c>
      <c r="U42">
        <f>IF(AND(ISNUMBER(T42),逐级计算!$X$20&gt;-1),IF(逐级计算!$X$20=0,T42+逐级计算!$C$20,T42+逐级计算!$C$20-(10/(逐级计算!$Q$20*LN(10))*(MAX((LN(10^(逐级计算!$Q$20/10)-1)+逐级计算!$Q$20*(T42-逐级计算!$P$20)*LN(10)/10),0)+LN(1+EXP(-ABS((LN(10^(逐级计算!$Q$20/10)-1)+逐级计算!$Q$20*(T42-逐级计算!$P$20)*LN(10)/10))))))),"")</f>
        <v>13.7930365745197</v>
      </c>
      <c r="V42">
        <f>IF(AND(ISNUMBER(U42),逐级计算!$X$21&gt;-1),IF(逐级计算!$X$21=0,U42+逐级计算!$C$21,U42+逐级计算!$C$21-(10/(逐级计算!$Q$21*LN(10))*(MAX((LN(10^(逐级计算!$Q$21/10)-1)+逐级计算!$Q$21*(U42-逐级计算!$P$21)*LN(10)/10),0)+LN(1+EXP(-ABS((LN(10^(逐级计算!$Q$21/10)-1)+逐级计算!$Q$21*(U42-逐级计算!$P$21)*LN(10)/10))))))),"")</f>
        <v>13.7930365745197</v>
      </c>
      <c r="W42">
        <f>IF(AND(ISNUMBER(V42),逐级计算!$X$22&gt;-1),IF(逐级计算!$X$22=0,V42+逐级计算!$C$22,V42+逐级计算!$C$22-(10/(逐级计算!$Q$22*LN(10))*(MAX((LN(10^(逐级计算!$Q$22/10)-1)+逐级计算!$Q$22*(V42-逐级计算!$P$22)*LN(10)/10),0)+LN(1+EXP(-ABS((LN(10^(逐级计算!$Q$22/10)-1)+逐级计算!$Q$22*(V42-逐级计算!$P$22)*LN(10)/10))))))),"")</f>
        <v>13.7930365745197</v>
      </c>
      <c r="X42">
        <f>IF(AND(ISNUMBER(W42),逐级计算!$X$23&gt;-1),IF(逐级计算!$X$23=0,W42+逐级计算!$C$23,W42+逐级计算!$C$23-(10/(逐级计算!$Q$23*LN(10))*(MAX((LN(10^(逐级计算!$Q$23/10)-1)+逐级计算!$Q$23*(W42-逐级计算!$P$23)*LN(10)/10),0)+LN(1+EXP(-ABS((LN(10^(逐级计算!$Q$23/10)-1)+逐级计算!$Q$23*(W42-逐级计算!$P$23)*LN(10)/10))))))),"")</f>
        <v>13.7930365745197</v>
      </c>
      <c r="Y42">
        <f>IF(AND(ISNUMBER(X42),逐级计算!$X$24&gt;-1),IF(逐级计算!$X$24=0,X42+逐级计算!$C$24,X42+逐级计算!$C$24-(10/(逐级计算!$Q$24*LN(10))*(MAX((LN(10^(逐级计算!$Q$24/10)-1)+逐级计算!$Q$24*(X42-逐级计算!$P$24)*LN(10)/10),0)+LN(1+EXP(-ABS((LN(10^(逐级计算!$Q$24/10)-1)+逐级计算!$Q$24*(X42-逐级计算!$P$24)*LN(10)/10))))))),"")</f>
        <v>13.7930365745197</v>
      </c>
      <c r="Z42">
        <f>IF(AND(ISNUMBER(Y42),逐级计算!$X$25&gt;-1),IF(逐级计算!$X$25=0,Y42+逐级计算!$C$25,Y42+逐级计算!$C$25-(10/(逐级计算!$Q$25*LN(10))*(MAX((LN(10^(逐级计算!$Q$25/10)-1)+逐级计算!$Q$25*(Y42-逐级计算!$P$25)*LN(10)/10),0)+LN(1+EXP(-ABS((LN(10^(逐级计算!$Q$25/10)-1)+逐级计算!$Q$25*(Y42-逐级计算!$P$25)*LN(10)/10))))))),"")</f>
        <v>13.7930365745197</v>
      </c>
      <c r="AA42">
        <f>IF(AND(ISNUMBER(Z42),逐级计算!$X$26&gt;-1),IF(逐级计算!$X$26=0,Z42+逐级计算!$C$26,Z42+逐级计算!$C$26-(10/(逐级计算!$Q$26*LN(10))*(MAX((LN(10^(逐级计算!$Q$26/10)-1)+逐级计算!$Q$26*(Z42-逐级计算!$P$26)*LN(10)/10),0)+LN(1+EXP(-ABS((LN(10^(逐级计算!$Q$26/10)-1)+逐级计算!$Q$26*(Z42-逐级计算!$P$26)*LN(10)/10))))))),"")</f>
        <v>13.7930365745197</v>
      </c>
      <c r="AB42">
        <f>IF(AND(ISNUMBER(AA42),逐级计算!$X$27&gt;-1),IF(逐级计算!$X$27=0,AA42+逐级计算!$C$27,AA42+逐级计算!$C$27-(10/(逐级计算!$Q$27*LN(10))*(MAX((LN(10^(逐级计算!$Q$27/10)-1)+逐级计算!$Q$27*(AA42-逐级计算!$P$27)*LN(10)/10),0)+LN(1+EXP(-ABS((LN(10^(逐级计算!$Q$27/10)-1)+逐级计算!$Q$27*(AA42-逐级计算!$P$27)*LN(10)/10))))))),"")</f>
        <v>13.7930365745197</v>
      </c>
      <c r="AC42">
        <f>IF(AND(ISNUMBER(AB42),逐级计算!$X$28&gt;-1),IF(逐级计算!$X$28=0,AB42+逐级计算!$C$28,AB42+逐级计算!$C$28-(10/(逐级计算!$Q$28*LN(10))*(MAX((LN(10^(逐级计算!$Q$28/10)-1)+逐级计算!$Q$28*(AB42-逐级计算!$P$28)*LN(10)/10),0)+LN(1+EXP(-ABS((LN(10^(逐级计算!$Q$28/10)-1)+逐级计算!$Q$28*(AB42-逐级计算!$P$28)*LN(10)/10))))))),"")</f>
        <v>13.7930365745197</v>
      </c>
      <c r="AD42">
        <f>IF(AND(ISNUMBER(AC42),逐级计算!$X$29&gt;-1),IF(逐级计算!$X$29=0,AC42+逐级计算!$C$29,AC42+逐级计算!$C$29-(10/(逐级计算!$Q$29*LN(10))*(MAX((LN(10^(逐级计算!$Q$29/10)-1)+逐级计算!$Q$29*(AC42-逐级计算!$P$29)*LN(10)/10),0)+LN(1+EXP(-ABS((LN(10^(逐级计算!$Q$29/10)-1)+逐级计算!$Q$29*(AC42-逐级计算!$P$29)*LN(10)/10))))))),"")</f>
        <v>13.7930365745197</v>
      </c>
      <c r="AE42">
        <f>IF(AND(ISNUMBER(AD42),逐级计算!$X$30&gt;-1),IF(逐级计算!$X$30=0,AD42+逐级计算!$C$30,AD42+逐级计算!$C$30-(10/(逐级计算!$Q$30*LN(10))*(MAX((LN(10^(逐级计算!$Q$30/10)-1)+逐级计算!$Q$30*(AD42-逐级计算!$P$30)*LN(10)/10),0)+LN(1+EXP(-ABS((LN(10^(逐级计算!$Q$30/10)-1)+逐级计算!$Q$30*(AD42-逐级计算!$P$30)*LN(10)/10))))))),"")</f>
        <v>13.7930365745197</v>
      </c>
      <c r="AF42">
        <f>IF(AND(ISNUMBER(AE42),逐级计算!$X$31&gt;-1),IF(逐级计算!$X$31=0,AE42+逐级计算!$C$31,AE42+逐级计算!$C$31-(10/(逐级计算!$Q$31*LN(10))*(MAX((LN(10^(逐级计算!$Q$31/10)-1)+逐级计算!$Q$31*(AE42-逐级计算!$P$31)*LN(10)/10),0)+LN(1+EXP(-ABS((LN(10^(逐级计算!$Q$31/10)-1)+逐级计算!$Q$31*(AE42-逐级计算!$P$31)*LN(10)/10))))))),"")</f>
        <v>13.7930365745197</v>
      </c>
      <c r="AG42">
        <f>IF(AND(ISNUMBER(AF42),逐级计算!$X$32&gt;-1),IF(逐级计算!$X$32=0,AF42+逐级计算!$C$32,AF42+逐级计算!$C$32-(10/(逐级计算!$Q$32*LN(10))*(MAX((LN(10^(逐级计算!$Q$32/10)-1)+逐级计算!$Q$32*(AF42-逐级计算!$P$32)*LN(10)/10),0)+LN(1+EXP(-ABS((LN(10^(逐级计算!$Q$32/10)-1)+逐级计算!$Q$32*(AF42-逐级计算!$P$32)*LN(10)/10))))))),"")</f>
        <v>13.7930365745197</v>
      </c>
      <c r="AH42">
        <f>IF(AND(ISNUMBER(AG42),逐级计算!$X$33&gt;-1),IF(逐级计算!$X$33=0,AG42+逐级计算!$C$33,AG42+逐级计算!$C$33-(10/(逐级计算!$Q$33*LN(10))*(MAX((LN(10^(逐级计算!$Q$33/10)-1)+逐级计算!$Q$33*(AG42-逐级计算!$P$33)*LN(10)/10),0)+LN(1+EXP(-ABS((LN(10^(逐级计算!$Q$33/10)-1)+逐级计算!$Q$33*(AG42-逐级计算!$P$33)*LN(10)/10))))))),"")</f>
        <v>13.7930365745197</v>
      </c>
      <c r="AI42">
        <f>IF(AND(ISNUMBER(AH42),逐级计算!$X$34&gt;-1),IF(逐级计算!$X$34=0,AH42+逐级计算!$C$34,AH42+逐级计算!$C$34-(10/(逐级计算!$Q$34*LN(10))*(MAX((LN(10^(逐级计算!$Q$34/10)-1)+逐级计算!$Q$34*(AH42-逐级计算!$P$34)*LN(10)/10),0)+LN(1+EXP(-ABS((LN(10^(逐级计算!$Q$34/10)-1)+逐级计算!$Q$34*(AH42-逐级计算!$P$34)*LN(10)/10))))))),"")</f>
        <v>13.7930365745197</v>
      </c>
      <c r="AJ42">
        <f>IF(AND(ISNUMBER(AI42),逐级计算!$X$35&gt;-1),IF(逐级计算!$X$35=0,AI42+逐级计算!$C$35,AI42+逐级计算!$C$35-(10/(逐级计算!$Q$35*LN(10))*(MAX((LN(10^(逐级计算!$Q$35/10)-1)+逐级计算!$Q$35*(AI42-逐级计算!$P$35)*LN(10)/10),0)+LN(1+EXP(-ABS((LN(10^(逐级计算!$Q$35/10)-1)+逐级计算!$Q$35*(AI42-逐级计算!$P$35)*LN(10)/10))))))),"")</f>
        <v>13.7930365745197</v>
      </c>
      <c r="AK42">
        <f>IF(AND(ISNUMBER(AJ42),逐级计算!$X$36&gt;-1),IF(逐级计算!$X$36=0,AJ42+逐级计算!$C$36,AJ42+逐级计算!$C$36-(10/(逐级计算!$Q$36*LN(10))*(MAX((LN(10^(逐级计算!$Q$36/10)-1)+逐级计算!$Q$36*(AJ42-逐级计算!$P$36)*LN(10)/10),0)+LN(1+EXP(-ABS((LN(10^(逐级计算!$Q$36/10)-1)+逐级计算!$Q$36*(AJ42-逐级计算!$P$36)*LN(10)/10))))))),"")</f>
        <v>13.7930365745197</v>
      </c>
      <c r="AL42">
        <f>IF(AND(ISNUMBER(AK42),逐级计算!$X$37&gt;-1),IF(逐级计算!$X$37=0,AK42+逐级计算!$C$37,AK42+逐级计算!$C$37-(10/(逐级计算!$Q$37*LN(10))*(MAX((LN(10^(逐级计算!$Q$37/10)-1)+逐级计算!$Q$37*(AK42-逐级计算!$P$37)*LN(10)/10),0)+LN(1+EXP(-ABS((LN(10^(逐级计算!$Q$37/10)-1)+逐级计算!$Q$37*(AK42-逐级计算!$P$37)*LN(10)/10))))))),"")</f>
        <v>13.7930365745197</v>
      </c>
      <c r="AM42">
        <f>IF(AND(ISNUMBER(AL42),逐级计算!$X$38&gt;-1),IF(逐级计算!$X$38=0,AL42+逐级计算!$C$38,AL42+逐级计算!$C$38-(10/(逐级计算!$Q$38*LN(10))*(MAX((LN(10^(逐级计算!$Q$38/10)-1)+逐级计算!$Q$38*(AL42-逐级计算!$P$38)*LN(10)/10),0)+LN(1+EXP(-ABS((LN(10^(逐级计算!$Q$38/10)-1)+逐级计算!$Q$38*(AL42-逐级计算!$P$38)*LN(10)/10))))))),"")</f>
        <v>13.7930365745197</v>
      </c>
      <c r="AN42">
        <f>IF(AND(ISNUMBER(AM42),逐级计算!$X$39&gt;-1),IF(逐级计算!$X$39=0,AM42+逐级计算!$C$39,AM42+逐级计算!$C$39-(10/(逐级计算!$Q$39*LN(10))*(MAX((LN(10^(逐级计算!$Q$39/10)-1)+逐级计算!$Q$39*(AM42-逐级计算!$P$39)*LN(10)/10),0)+LN(1+EXP(-ABS((LN(10^(逐级计算!$Q$39/10)-1)+逐级计算!$Q$39*(AM42-逐级计算!$P$39)*LN(10)/10))))))),"")</f>
        <v>13.7930365745197</v>
      </c>
      <c r="AO42">
        <f>IF(AND(ISNUMBER(AN42),逐级计算!$X$40&gt;-1),IF(逐级计算!$X$40=0,AN42+逐级计算!$C$40,AN42+逐级计算!$C$40-(10/(逐级计算!$Q$40*LN(10))*(MAX((LN(10^(逐级计算!$Q$40/10)-1)+逐级计算!$Q$40*(AN42-逐级计算!$P$40)*LN(10)/10),0)+LN(1+EXP(-ABS((LN(10^(逐级计算!$Q$40/10)-1)+逐级计算!$Q$40*(AN42-逐级计算!$P$40)*LN(10)/10))))))),"")</f>
        <v>13.7930365745197</v>
      </c>
      <c r="AP42">
        <f>IF(AND(ISNUMBER(AO42),逐级计算!$X$41&gt;-1),IF(逐级计算!$X$41=0,AO42+逐级计算!$C$41,AO42+逐级计算!$C$41-(10/(逐级计算!$Q$41*LN(10))*(MAX((LN(10^(逐级计算!$Q$41/10)-1)+逐级计算!$Q$41*(AO42-逐级计算!$P$41)*LN(10)/10),0)+LN(1+EXP(-ABS((LN(10^(逐级计算!$Q$41/10)-1)+逐级计算!$Q$41*(AO42-逐级计算!$P$41)*LN(10)/10))))))),"")</f>
        <v>13.7930365745197</v>
      </c>
      <c r="AQ42">
        <f>IF(AND(ISNUMBER(AP42),逐级计算!$X$42&gt;-1),IF(逐级计算!$X$42=0,AP42+逐级计算!$C$42,AP42+逐级计算!$C$42-(10/(逐级计算!$Q$42*LN(10))*(MAX((LN(10^(逐级计算!$Q$42/10)-1)+逐级计算!$Q$42*(AP42-逐级计算!$P$42)*LN(10)/10),0)+LN(1+EXP(-ABS((LN(10^(逐级计算!$Q$42/10)-1)+逐级计算!$Q$42*(AP42-逐级计算!$P$42)*LN(10)/10))))))),"")</f>
        <v>13.7930365745197</v>
      </c>
      <c r="AR42">
        <f>IF(AND(ISNUMBER(AQ42),逐级计算!$X$43&gt;-1),IF(逐级计算!$X$43=0,AQ42+逐级计算!$C$43,AQ42+逐级计算!$C$43-(10/(逐级计算!$Q$43*LN(10))*(MAX((LN(10^(逐级计算!$Q$43/10)-1)+逐级计算!$Q$43*(AQ42-逐级计算!$P$43)*LN(10)/10),0)+LN(1+EXP(-ABS((LN(10^(逐级计算!$Q$43/10)-1)+逐级计算!$Q$43*(AQ42-逐级计算!$P$43)*LN(10)/10))))))),"")</f>
        <v>13.7930365745197</v>
      </c>
      <c r="AS42">
        <f>IF(AND(ISNUMBER(AR42),逐级计算!$X$44&gt;-1),IF(逐级计算!$X$44=0,AR42+逐级计算!$C$44,AR42+逐级计算!$C$44-(10/(逐级计算!$Q$44*LN(10))*(MAX((LN(10^(逐级计算!$Q$44/10)-1)+逐级计算!$Q$44*(AR42-逐级计算!$P$44)*LN(10)/10),0)+LN(1+EXP(-ABS((LN(10^(逐级计算!$Q$44/10)-1)+逐级计算!$Q$44*(AR42-逐级计算!$P$44)*LN(10)/10))))))),"")</f>
        <v>13.7930365745197</v>
      </c>
      <c r="AT42">
        <f>IF(AND(ISNUMBER(AS42),逐级计算!$X$45&gt;-1),IF(逐级计算!$X$45=0,AS42+逐级计算!$C$45,AS42+逐级计算!$C$45-(10/(逐级计算!$Q$45*LN(10))*(MAX((LN(10^(逐级计算!$Q$45/10)-1)+逐级计算!$Q$45*(AS42-逐级计算!$P$45)*LN(10)/10),0)+LN(1+EXP(-ABS((LN(10^(逐级计算!$Q$45/10)-1)+逐级计算!$Q$45*(AS42-逐级计算!$P$45)*LN(10)/10))))))),"")</f>
        <v>13.7930365745197</v>
      </c>
      <c r="AU42">
        <f>IF(AND(ISNUMBER(AT42),逐级计算!$X$46&gt;-1),IF(逐级计算!$X$46=0,AT42+逐级计算!$C$46,AT42+逐级计算!$C$46-(10/(逐级计算!$Q$46*LN(10))*(MAX((LN(10^(逐级计算!$Q$46/10)-1)+逐级计算!$Q$46*(AT42-逐级计算!$P$46)*LN(10)/10),0)+LN(1+EXP(-ABS((LN(10^(逐级计算!$Q$46/10)-1)+逐级计算!$Q$46*(AT42-逐级计算!$P$46)*LN(10)/10))))))),"")</f>
        <v>13.7930365745197</v>
      </c>
      <c r="AV42">
        <f>IF(AND(ISNUMBER(AU42),逐级计算!$X$47&gt;-1),IF(逐级计算!$X$47=0,AU42+逐级计算!$C$47,AU42+逐级计算!$C$47-(10/(逐级计算!$Q$47*LN(10))*(MAX((LN(10^(逐级计算!$Q$47/10)-1)+逐级计算!$Q$47*(AU42-逐级计算!$P$47)*LN(10)/10),0)+LN(1+EXP(-ABS((LN(10^(逐级计算!$Q$47/10)-1)+逐级计算!$Q$47*(AU42-逐级计算!$P$47)*LN(10)/10))))))),"")</f>
        <v>13.7930365745197</v>
      </c>
      <c r="AW42">
        <f>IF(AND(ISNUMBER(AV42),逐级计算!$X$48&gt;-1),IF(逐级计算!$X$48=0,AV42+逐级计算!$C$48,AV42+逐级计算!$C$48-(10/(逐级计算!$Q$48*LN(10))*(MAX((LN(10^(逐级计算!$Q$48/10)-1)+逐级计算!$Q$48*(AV42-逐级计算!$P$48)*LN(10)/10),0)+LN(1+EXP(-ABS((LN(10^(逐级计算!$Q$48/10)-1)+逐级计算!$Q$48*(AV42-逐级计算!$P$48)*LN(10)/10))))))),"")</f>
        <v>13.7930365745197</v>
      </c>
      <c r="AX42">
        <f>IF(AND(ISNUMBER(AW42),逐级计算!$X$49&gt;-1),IF(逐级计算!$X$49=0,AW42+逐级计算!$C$49,AW42+逐级计算!$C$49-(10/(逐级计算!$Q$49*LN(10))*(MAX((LN(10^(逐级计算!$Q$49/10)-1)+逐级计算!$Q$49*(AW42-逐级计算!$P$49)*LN(10)/10),0)+LN(1+EXP(-ABS((LN(10^(逐级计算!$Q$49/10)-1)+逐级计算!$Q$49*(AW42-逐级计算!$P$49)*LN(10)/10))))))),"")</f>
        <v>13.7930365745197</v>
      </c>
      <c r="AY42">
        <f>IF(AND(ISNUMBER(AX42),逐级计算!$X$50&gt;-1),IF(逐级计算!$X$50=0,AX42+逐级计算!$C$50,AX42+逐级计算!$C$50-(10/(逐级计算!$Q$50*LN(10))*(MAX((LN(10^(逐级计算!$Q$50/10)-1)+逐级计算!$Q$50*(AX42-逐级计算!$P$50)*LN(10)/10),0)+LN(1+EXP(-ABS((LN(10^(逐级计算!$Q$50/10)-1)+逐级计算!$Q$50*(AX42-逐级计算!$P$50)*LN(10)/10))))))),"")</f>
        <v>13.7930365745197</v>
      </c>
      <c r="AZ42">
        <f>IF(AND(ISNUMBER(AY42),逐级计算!$X$51&gt;-1),IF(逐级计算!$X$51=0,AY42+逐级计算!$C$51,AY42+逐级计算!$C$51-(10/(逐级计算!$Q$51*LN(10))*(MAX((LN(10^(逐级计算!$Q$51/10)-1)+逐级计算!$Q$51*(AY42-逐级计算!$P$51)*LN(10)/10),0)+LN(1+EXP(-ABS((LN(10^(逐级计算!$Q$51/10)-1)+逐级计算!$Q$51*(AY42-逐级计算!$P$51)*LN(10)/10))))))),"")</f>
        <v>13.7930365745197</v>
      </c>
      <c r="BA42">
        <f>IF(AND(ISNUMBER(AZ42),逐级计算!$X$52&gt;-1),IF(逐级计算!$X$52=0,AZ42+逐级计算!$C$52,AZ42+逐级计算!$C$52-(10/(逐级计算!$Q$52*LN(10))*(MAX((LN(10^(逐级计算!$Q$52/10)-1)+逐级计算!$Q$52*(AZ42-逐级计算!$P$52)*LN(10)/10),0)+LN(1+EXP(-ABS((LN(10^(逐级计算!$Q$52/10)-1)+逐级计算!$Q$52*(AZ42-逐级计算!$P$52)*LN(10)/10))))))),"")</f>
        <v>13.7930365745197</v>
      </c>
      <c r="BB42">
        <f>IF(AND(ISNUMBER(BA42),逐级计算!$X$53&gt;-1),IF(逐级计算!$X$53=0,BA42+逐级计算!$C$53,BA42+逐级计算!$C$53-(10/(逐级计算!$Q$53*LN(10))*(MAX((LN(10^(逐级计算!$Q$53/10)-1)+逐级计算!$Q$53*(BA42-逐级计算!$P$53)*LN(10)/10),0)+LN(1+EXP(-ABS((LN(10^(逐级计算!$Q$53/10)-1)+逐级计算!$Q$53*(BA42-逐级计算!$P$53)*LN(10)/10))))))),"")</f>
        <v>13.7930365745197</v>
      </c>
      <c r="BC42">
        <f>IF(AND(ISNUMBER(BB42),逐级计算!$X$54&gt;-1),IF(逐级计算!$X$54=0,BB42+逐级计算!$C$54,BB42+逐级计算!$C$54-(10/(逐级计算!$Q$54*LN(10))*(MAX((LN(10^(逐级计算!$Q$54/10)-1)+逐级计算!$Q$54*(BB42-逐级计算!$P$54)*LN(10)/10),0)+LN(1+EXP(-ABS((LN(10^(逐级计算!$Q$54/10)-1)+逐级计算!$Q$54*(BB42-逐级计算!$P$54)*LN(10)/10))))))),"")</f>
        <v>13.7930365745197</v>
      </c>
      <c r="BD42">
        <f>IF(AND(ISNUMBER(BC42),逐级计算!$X$55&gt;-1),IF(逐级计算!$X$55=0,BC42+逐级计算!$C$55,BC42+逐级计算!$C$55-(10/(逐级计算!$Q$55*LN(10))*(MAX((LN(10^(逐级计算!$Q$55/10)-1)+逐级计算!$Q$55*(BC42-逐级计算!$P$55)*LN(10)/10),0)+LN(1+EXP(-ABS((LN(10^(逐级计算!$Q$55/10)-1)+逐级计算!$Q$55*(BC42-逐级计算!$P$55)*LN(10)/10))))))),"")</f>
        <v>13.7930365745197</v>
      </c>
      <c r="BE42">
        <f>IF(AND(ISNUMBER(BD42),逐级计算!$X$56&gt;-1),IF(逐级计算!$X$56=0,BD42+逐级计算!$C$56,BD42+逐级计算!$C$56-(10/(逐级计算!$Q$56*LN(10))*(MAX((LN(10^(逐级计算!$Q$56/10)-1)+逐级计算!$Q$56*(BD42-逐级计算!$P$56)*LN(10)/10),0)+LN(1+EXP(-ABS((LN(10^(逐级计算!$Q$56/10)-1)+逐级计算!$Q$56*(BD42-逐级计算!$P$56)*LN(10)/10))))))),"")</f>
        <v>13.7930365745197</v>
      </c>
      <c r="BF42">
        <f>IF(AND(ISNUMBER(BE42),逐级计算!$X$57&gt;-1),IF(逐级计算!$X$57=0,BE42+逐级计算!$C$57,BE42+逐级计算!$C$57-(10/(逐级计算!$Q$57*LN(10))*(MAX((LN(10^(逐级计算!$Q$57/10)-1)+逐级计算!$Q$57*(BE42-逐级计算!$P$57)*LN(10)/10),0)+LN(1+EXP(-ABS((LN(10^(逐级计算!$Q$57/10)-1)+逐级计算!$Q$57*(BE42-逐级计算!$P$57)*LN(10)/10))))))),"")</f>
        <v>13.7930365745197</v>
      </c>
      <c r="BG42">
        <f>IF(AND(ISNUMBER(BF42),逐级计算!$X$58&gt;-1),IF(逐级计算!$X$58=0,BF42+逐级计算!$C$58,BF42+逐级计算!$C$58-(10/(逐级计算!$Q$58*LN(10))*(MAX((LN(10^(逐级计算!$Q$58/10)-1)+逐级计算!$Q$58*(BF42-逐级计算!$P$58)*LN(10)/10),0)+LN(1+EXP(-ABS((LN(10^(逐级计算!$Q$58/10)-1)+逐级计算!$Q$58*(BF42-逐级计算!$P$58)*LN(10)/10))))))),"")</f>
        <v>13.7930365745197</v>
      </c>
      <c r="BH42">
        <f>IF(AND(ISNUMBER(BG42),逐级计算!$X$59&gt;-1),IF(逐级计算!$X$59=0,BG42+逐级计算!$C$59,BG42+逐级计算!$C$59-(10/(逐级计算!$Q$59*LN(10))*(MAX((LN(10^(逐级计算!$Q$59/10)-1)+逐级计算!$Q$59*(BG42-逐级计算!$P$59)*LN(10)/10),0)+LN(1+EXP(-ABS((LN(10^(逐级计算!$Q$59/10)-1)+逐级计算!$Q$59*(BG42-逐级计算!$P$59)*LN(10)/10))))))),"")</f>
        <v>13.7930365745197</v>
      </c>
      <c r="BI42">
        <f>IF(AND(ISNUMBER(BH42),逐级计算!$X$60&gt;-1),IF(逐级计算!$X$60=0,BH42+逐级计算!$C$60,BH42+逐级计算!$C$60-(10/(逐级计算!$Q$60*LN(10))*(MAX((LN(10^(逐级计算!$Q$60/10)-1)+逐级计算!$Q$60*(BH42-逐级计算!$P$60)*LN(10)/10),0)+LN(1+EXP(-ABS((LN(10^(逐级计算!$Q$60/10)-1)+逐级计算!$Q$60*(BH42-逐级计算!$P$60)*LN(10)/10))))))),"")</f>
        <v>13.7930365745197</v>
      </c>
      <c r="BJ42">
        <f>IF(AND(ISNUMBER(BI42),逐级计算!$X$61&gt;-1),IF(逐级计算!$X$61=0,BI42+逐级计算!$C$61,BI42+逐级计算!$C$61-(10/(逐级计算!$Q$61*LN(10))*(MAX((LN(10^(逐级计算!$Q$61/10)-1)+逐级计算!$Q$61*(BI42-逐级计算!$P$61)*LN(10)/10),0)+LN(1+EXP(-ABS((LN(10^(逐级计算!$Q$61/10)-1)+逐级计算!$Q$61*(BI42-逐级计算!$P$61)*LN(10)/10))))))),"")</f>
        <v>13.7930365745197</v>
      </c>
      <c r="BK42">
        <f>IF(AND(ISNUMBER(BJ42),逐级计算!$X$62&gt;-1),IF(逐级计算!$X$62=0,BJ42+逐级计算!$C$62,BJ42+逐级计算!$C$62-(10/(逐级计算!$Q$62*LN(10))*(MAX((LN(10^(逐级计算!$Q$62/10)-1)+逐级计算!$Q$62*(BJ42-逐级计算!$P$62)*LN(10)/10),0)+LN(1+EXP(-ABS((LN(10^(逐级计算!$Q$62/10)-1)+逐级计算!$Q$62*(BJ42-逐级计算!$P$62)*LN(10)/10))))))),"")</f>
        <v>13.7930365745197</v>
      </c>
      <c r="BL42">
        <f>IF(AND(ISNUMBER(BK42),逐级计算!$X$63&gt;-1),IF(逐级计算!$X$63=0,BK42+逐级计算!$C$63,BK42+逐级计算!$C$63-(10/(逐级计算!$Q$63*LN(10))*(MAX((LN(10^(逐级计算!$Q$63/10)-1)+逐级计算!$Q$63*(BK42-逐级计算!$P$63)*LN(10)/10),0)+LN(1+EXP(-ABS((LN(10^(逐级计算!$Q$63/10)-1)+逐级计算!$Q$63*(BK42-逐级计算!$P$63)*LN(10)/10))))))),"")</f>
        <v>13.7930365745197</v>
      </c>
      <c r="BM42">
        <f>IF(AND(ISNUMBER(BL42),逐级计算!$X$64&gt;-1),IF(逐级计算!$X$64=0,BL42+逐级计算!$C$64,BL42+逐级计算!$C$64-(10/(逐级计算!$Q$64*LN(10))*(MAX((LN(10^(逐级计算!$Q$64/10)-1)+逐级计算!$Q$64*(BL42-逐级计算!$P$64)*LN(10)/10),0)+LN(1+EXP(-ABS((LN(10^(逐级计算!$Q$64/10)-1)+逐级计算!$Q$64*(BL42-逐级计算!$P$64)*LN(10)/10))))))),"")</f>
        <v>13.7930365745197</v>
      </c>
      <c r="BN42">
        <f>IF(AND(ISNUMBER(BM42),逐级计算!$X$65&gt;-1),IF(逐级计算!$X$65=0,BM42+逐级计算!$C$65,BM42+逐级计算!$C$65-(10/(逐级计算!$Q$65*LN(10))*(MAX((LN(10^(逐级计算!$Q$65/10)-1)+逐级计算!$Q$65*(BM42-逐级计算!$P$65)*LN(10)/10),0)+LN(1+EXP(-ABS((LN(10^(逐级计算!$Q$65/10)-1)+逐级计算!$Q$65*(BM42-逐级计算!$P$65)*LN(10)/10))))))),"")</f>
        <v>13.7930365745197</v>
      </c>
      <c r="BO42">
        <f>IF(AND(ISNUMBER(BN42),逐级计算!$X$66&gt;-1),IF(逐级计算!$X$66=0,BN42+逐级计算!$C$66,BN42+逐级计算!$C$66-(10/(逐级计算!$Q$66*LN(10))*(MAX((LN(10^(逐级计算!$Q$66/10)-1)+逐级计算!$Q$66*(BN42-逐级计算!$P$66)*LN(10)/10),0)+LN(1+EXP(-ABS((LN(10^(逐级计算!$Q$66/10)-1)+逐级计算!$Q$66*(BN42-逐级计算!$P$66)*LN(10)/10))))))),"")</f>
        <v>13.7930365745197</v>
      </c>
      <c r="BP42">
        <f>IF(AND(ISNUMBER(BO42),逐级计算!$X$67&gt;-1),IF(逐级计算!$X$67=0,BO42+逐级计算!$C$67,BO42+逐级计算!$C$67-(10/(逐级计算!$Q$67*LN(10))*(MAX((LN(10^(逐级计算!$Q$67/10)-1)+逐级计算!$Q$67*(BO42-逐级计算!$P$67)*LN(10)/10),0)+LN(1+EXP(-ABS((LN(10^(逐级计算!$Q$67/10)-1)+逐级计算!$Q$67*(BO42-逐级计算!$P$67)*LN(10)/10))))))),"")</f>
        <v>13.7930365745197</v>
      </c>
      <c r="BQ42">
        <f>IF(AND(ISNUMBER(BP42),逐级计算!$X$68&gt;-1),IF(逐级计算!$X$68=0,BP42+逐级计算!$C$68,BP42+逐级计算!$C$68-(10/(逐级计算!$Q$68*LN(10))*(MAX((LN(10^(逐级计算!$Q$68/10)-1)+逐级计算!$Q$68*(BP42-逐级计算!$P$68)*LN(10)/10),0)+LN(1+EXP(-ABS((LN(10^(逐级计算!$Q$68/10)-1)+逐级计算!$Q$68*(BP42-逐级计算!$P$68)*LN(10)/10))))))),"")</f>
        <v>13.7930365745197</v>
      </c>
      <c r="BR42">
        <f>IF(AND(ISNUMBER(BQ42),逐级计算!$X$69&gt;-1),IF(逐级计算!$X$69=0,BQ42+逐级计算!$C$69,BQ42+逐级计算!$C$69-(10/(逐级计算!$Q$69*LN(10))*(MAX((LN(10^(逐级计算!$Q$69/10)-1)+逐级计算!$Q$69*(BQ42-逐级计算!$P$69)*LN(10)/10),0)+LN(1+EXP(-ABS((LN(10^(逐级计算!$Q$69/10)-1)+逐级计算!$Q$69*(BQ42-逐级计算!$P$69)*LN(10)/10))))))),"")</f>
        <v>13.7930365745197</v>
      </c>
      <c r="BS42">
        <f>IF(AND(ISNUMBER(BR42),逐级计算!$X$70&gt;-1),IF(逐级计算!$X$70=0,BR42+逐级计算!$C$70,BR42+逐级计算!$C$70-(10/(逐级计算!$Q$70*LN(10))*(MAX((LN(10^(逐级计算!$Q$70/10)-1)+逐级计算!$Q$70*(BR42-逐级计算!$P$70)*LN(10)/10),0)+LN(1+EXP(-ABS((LN(10^(逐级计算!$Q$70/10)-1)+逐级计算!$Q$70*(BR42-逐级计算!$P$70)*LN(10)/10))))))),"")</f>
        <v>13.7930365745197</v>
      </c>
      <c r="BT42">
        <f>IF(AND(ISNUMBER(BS42),逐级计算!$X$71&gt;-1),IF(逐级计算!$X$71=0,BS42+逐级计算!$C$71,BS42+逐级计算!$C$71-(10/(逐级计算!$Q$71*LN(10))*(MAX((LN(10^(逐级计算!$Q$71/10)-1)+逐级计算!$Q$71*(BS42-逐级计算!$P$71)*LN(10)/10),0)+LN(1+EXP(-ABS((LN(10^(逐级计算!$Q$71/10)-1)+逐级计算!$Q$71*(BS42-逐级计算!$P$71)*LN(10)/10))))))),"")</f>
        <v>13.7930365745197</v>
      </c>
      <c r="BU42">
        <f>IF(AND(ISNUMBER(BT42),逐级计算!$X$72&gt;-1),IF(逐级计算!$X$72=0,BT42+逐级计算!$C$72,BT42+逐级计算!$C$72-(10/(逐级计算!$Q$72*LN(10))*(MAX((LN(10^(逐级计算!$Q$72/10)-1)+逐级计算!$Q$72*(BT42-逐级计算!$P$72)*LN(10)/10),0)+LN(1+EXP(-ABS((LN(10^(逐级计算!$Q$72/10)-1)+逐级计算!$Q$72*(BT42-逐级计算!$P$72)*LN(10)/10))))))),"")</f>
        <v>13.7930365745197</v>
      </c>
      <c r="BV42">
        <f>IF(AND(ISNUMBER(BU42),逐级计算!$X$73&gt;-1),IF(逐级计算!$X$73=0,BU42+逐级计算!$C$73,BU42+逐级计算!$C$73-(10/(逐级计算!$Q$73*LN(10))*(MAX((LN(10^(逐级计算!$Q$73/10)-1)+逐级计算!$Q$73*(BU42-逐级计算!$P$73)*LN(10)/10),0)+LN(1+EXP(-ABS((LN(10^(逐级计算!$Q$73/10)-1)+逐级计算!$Q$73*(BU42-逐级计算!$P$73)*LN(10)/10))))))),"")</f>
        <v>13.7930365745197</v>
      </c>
      <c r="BW42">
        <f>IF(AND(ISNUMBER(BV42),逐级计算!$X$74&gt;-1),IF(逐级计算!$X$74=0,BV42+逐级计算!$C$74,BV42+逐级计算!$C$74-(10/(逐级计算!$Q$74*LN(10))*(MAX((LN(10^(逐级计算!$Q$74/10)-1)+逐级计算!$Q$74*(BV42-逐级计算!$P$74)*LN(10)/10),0)+LN(1+EXP(-ABS((LN(10^(逐级计算!$Q$74/10)-1)+逐级计算!$Q$74*(BV42-逐级计算!$P$74)*LN(10)/10))))))),"")</f>
        <v>13.7930365745197</v>
      </c>
      <c r="BX42">
        <f>IF(AND(ISNUMBER(BW42),逐级计算!$X$75&gt;-1),IF(逐级计算!$X$75=0,BW42+逐级计算!$C$75,BW42+逐级计算!$C$75-(10/(逐级计算!$Q$75*LN(10))*(MAX((LN(10^(逐级计算!$Q$75/10)-1)+逐级计算!$Q$75*(BW42-逐级计算!$P$75)*LN(10)/10),0)+LN(1+EXP(-ABS((LN(10^(逐级计算!$Q$75/10)-1)+逐级计算!$Q$75*(BW42-逐级计算!$P$75)*LN(10)/10))))))),"")</f>
        <v>13.7930365745197</v>
      </c>
      <c r="BY42">
        <f>IF(AND(ISNUMBER(BX42),逐级计算!$X$76&gt;-1),IF(逐级计算!$X$76=0,BX42+逐级计算!$C$76,BX42+逐级计算!$C$76-(10/(逐级计算!$Q$76*LN(10))*(MAX((LN(10^(逐级计算!$Q$76/10)-1)+逐级计算!$Q$76*(BX42-逐级计算!$P$76)*LN(10)/10),0)+LN(1+EXP(-ABS((LN(10^(逐级计算!$Q$76/10)-1)+逐级计算!$Q$76*(BX42-逐级计算!$P$76)*LN(10)/10))))))),"")</f>
        <v>13.7930365745197</v>
      </c>
      <c r="BZ42">
        <f>IF(AND(ISNUMBER(BY42),逐级计算!$X$77&gt;-1),IF(逐级计算!$X$77=0,BY42+逐级计算!$C$77,BY42+逐级计算!$C$77-(10/(逐级计算!$Q$77*LN(10))*(MAX((LN(10^(逐级计算!$Q$77/10)-1)+逐级计算!$Q$77*(BY42-逐级计算!$P$77)*LN(10)/10),0)+LN(1+EXP(-ABS((LN(10^(逐级计算!$Q$77/10)-1)+逐级计算!$Q$77*(BY42-逐级计算!$P$77)*LN(10)/10))))))),"")</f>
        <v>13.7930365745197</v>
      </c>
      <c r="CA42">
        <f>IF(AND(ISNUMBER(BZ42),逐级计算!$X$78&gt;-1),IF(逐级计算!$X$78=0,BZ42+逐级计算!$C$78,BZ42+逐级计算!$C$78-(10/(逐级计算!$Q$78*LN(10))*(MAX((LN(10^(逐级计算!$Q$78/10)-1)+逐级计算!$Q$78*(BZ42-逐级计算!$P$78)*LN(10)/10),0)+LN(1+EXP(-ABS((LN(10^(逐级计算!$Q$78/10)-1)+逐级计算!$Q$78*(BZ42-逐级计算!$P$78)*LN(10)/10))))))),"")</f>
        <v>13.7930365745197</v>
      </c>
      <c r="CB42">
        <f>IF(AND(ISNUMBER(CA42),逐级计算!$X$79&gt;-1),IF(逐级计算!$X$79=0,CA42+逐级计算!$C$79,CA42+逐级计算!$C$79-(10/(逐级计算!$Q$79*LN(10))*(MAX((LN(10^(逐级计算!$Q$79/10)-1)+逐级计算!$Q$79*(CA42-逐级计算!$P$79)*LN(10)/10),0)+LN(1+EXP(-ABS((LN(10^(逐级计算!$Q$79/10)-1)+逐级计算!$Q$79*(CA42-逐级计算!$P$79)*LN(10)/10))))))),"")</f>
        <v>13.7930365745197</v>
      </c>
      <c r="CC42">
        <f>IF(AND(ISNUMBER(CB42),逐级计算!$X$80&gt;-1),IF(逐级计算!$X$80=0,CB42+逐级计算!$C$80,CB42+逐级计算!$C$80-(10/(逐级计算!$Q$80*LN(10))*(MAX((LN(10^(逐级计算!$Q$80/10)-1)+逐级计算!$Q$80*(CB42-逐级计算!$P$80)*LN(10)/10),0)+LN(1+EXP(-ABS((LN(10^(逐级计算!$Q$80/10)-1)+逐级计算!$Q$80*(CB42-逐级计算!$P$80)*LN(10)/10))))))),"")</f>
        <v>13.7930365745197</v>
      </c>
      <c r="CD42">
        <f>IF(AND(ISNUMBER(CC42),逐级计算!$X$81&gt;-1),IF(逐级计算!$X$81=0,CC42+逐级计算!$C$81,CC42+逐级计算!$C$81-(10/(逐级计算!$Q$81*LN(10))*(MAX((LN(10^(逐级计算!$Q$81/10)-1)+逐级计算!$Q$81*(CC42-逐级计算!$P$81)*LN(10)/10),0)+LN(1+EXP(-ABS((LN(10^(逐级计算!$Q$81/10)-1)+逐级计算!$Q$81*(CC42-逐级计算!$P$81)*LN(10)/10))))))),"")</f>
        <v>13.7930365745197</v>
      </c>
      <c r="CE42">
        <f>IF(AND(ISNUMBER(CD42),逐级计算!$X$82&gt;-1),IF(逐级计算!$X$82=0,CD42+逐级计算!$C$82,CD42+逐级计算!$C$82-(10/(逐级计算!$Q$82*LN(10))*(MAX((LN(10^(逐级计算!$Q$82/10)-1)+逐级计算!$Q$82*(CD42-逐级计算!$P$82)*LN(10)/10),0)+LN(1+EXP(-ABS((LN(10^(逐级计算!$Q$82/10)-1)+逐级计算!$Q$82*(CD42-逐级计算!$P$82)*LN(10)/10))))))),"")</f>
        <v>13.7930365745197</v>
      </c>
      <c r="CF42">
        <f>IF(AND(ISNUMBER(CE42),逐级计算!$X$83&gt;-1),IF(逐级计算!$X$83=0,CE42+逐级计算!$C$83,CE42+逐级计算!$C$83-(10/(逐级计算!$Q$83*LN(10))*(MAX((LN(10^(逐级计算!$Q$83/10)-1)+逐级计算!$Q$83*(CE42-逐级计算!$P$83)*LN(10)/10),0)+LN(1+EXP(-ABS((LN(10^(逐级计算!$Q$83/10)-1)+逐级计算!$Q$83*(CE42-逐级计算!$P$83)*LN(10)/10))))))),"")</f>
        <v>13.7930365745197</v>
      </c>
      <c r="CG42">
        <f>IF(AND(ISNUMBER(CF42),逐级计算!$X$84&gt;-1),IF(逐级计算!$X$84=0,CF42+逐级计算!$C$84,CF42+逐级计算!$C$84-(10/(逐级计算!$Q$84*LN(10))*(MAX((LN(10^(逐级计算!$Q$84/10)-1)+逐级计算!$Q$84*(CF42-逐级计算!$P$84)*LN(10)/10),0)+LN(1+EXP(-ABS((LN(10^(逐级计算!$Q$84/10)-1)+逐级计算!$Q$84*(CF42-逐级计算!$P$84)*LN(10)/10))))))),"")</f>
        <v>13.7930365745197</v>
      </c>
      <c r="CH42">
        <f>IF(AND(ISNUMBER(CG42),逐级计算!$X$85&gt;-1),IF(逐级计算!$X$85=0,CG42+逐级计算!$C$85,CG42+逐级计算!$C$85-(10/(逐级计算!$Q$85*LN(10))*(MAX((LN(10^(逐级计算!$Q$85/10)-1)+逐级计算!$Q$85*(CG42-逐级计算!$P$85)*LN(10)/10),0)+LN(1+EXP(-ABS((LN(10^(逐级计算!$Q$85/10)-1)+逐级计算!$Q$85*(CG42-逐级计算!$P$85)*LN(10)/10))))))),"")</f>
        <v>13.7930365745197</v>
      </c>
      <c r="CI42">
        <f>IF(AND(ISNUMBER(CH42),逐级计算!$X$86&gt;-1),IF(逐级计算!$X$86=0,CH42+逐级计算!$C$86,CH42+逐级计算!$C$86-(10/(逐级计算!$Q$86*LN(10))*(MAX((LN(10^(逐级计算!$Q$86/10)-1)+逐级计算!$Q$86*(CH42-逐级计算!$P$86)*LN(10)/10),0)+LN(1+EXP(-ABS((LN(10^(逐级计算!$Q$86/10)-1)+逐级计算!$Q$86*(CH42-逐级计算!$P$86)*LN(10)/10))))))),"")</f>
        <v>13.7930365745197</v>
      </c>
      <c r="CJ42">
        <f>IF(AND(ISNUMBER(CI42),逐级计算!$X$87&gt;-1),IF(逐级计算!$X$87=0,CI42+逐级计算!$C$87,CI42+逐级计算!$C$87-(10/(逐级计算!$Q$87*LN(10))*(MAX((LN(10^(逐级计算!$Q$87/10)-1)+逐级计算!$Q$87*(CI42-逐级计算!$P$87)*LN(10)/10),0)+LN(1+EXP(-ABS((LN(10^(逐级计算!$Q$87/10)-1)+逐级计算!$Q$87*(CI42-逐级计算!$P$87)*LN(10)/10))))))),"")</f>
        <v>13.7930365745197</v>
      </c>
      <c r="CK42">
        <f>IF(AND(ISNUMBER(CJ42),逐级计算!$X$88&gt;-1),IF(逐级计算!$X$88=0,CJ42+逐级计算!$C$88,CJ42+逐级计算!$C$88-(10/(逐级计算!$Q$88*LN(10))*(MAX((LN(10^(逐级计算!$Q$88/10)-1)+逐级计算!$Q$88*(CJ42-逐级计算!$P$88)*LN(10)/10),0)+LN(1+EXP(-ABS((LN(10^(逐级计算!$Q$88/10)-1)+逐级计算!$Q$88*(CJ42-逐级计算!$P$88)*LN(10)/10))))))),"")</f>
        <v>13.7930365745197</v>
      </c>
      <c r="CL42">
        <f>IF(AND(ISNUMBER(CK42),逐级计算!$X$89&gt;-1),IF(逐级计算!$X$89=0,CK42+逐级计算!$C$89,CK42+逐级计算!$C$89-(10/(逐级计算!$Q$89*LN(10))*(MAX((LN(10^(逐级计算!$Q$89/10)-1)+逐级计算!$Q$89*(CK42-逐级计算!$P$89)*LN(10)/10),0)+LN(1+EXP(-ABS((LN(10^(逐级计算!$Q$89/10)-1)+逐级计算!$Q$89*(CK42-逐级计算!$P$89)*LN(10)/10))))))),"")</f>
        <v>13.7930365745197</v>
      </c>
      <c r="CM42">
        <f>IF(AND(ISNUMBER(CL42),逐级计算!$X$90&gt;-1),IF(逐级计算!$X$90=0,CL42+逐级计算!$C$90,CL42+逐级计算!$C$90-(10/(逐级计算!$Q$90*LN(10))*(MAX((LN(10^(逐级计算!$Q$90/10)-1)+逐级计算!$Q$90*(CL42-逐级计算!$P$90)*LN(10)/10),0)+LN(1+EXP(-ABS((LN(10^(逐级计算!$Q$90/10)-1)+逐级计算!$Q$90*(CL42-逐级计算!$P$90)*LN(10)/10))))))),"")</f>
        <v>13.7930365745197</v>
      </c>
      <c r="CN42">
        <f>IF(AND(ISNUMBER(CM42),逐级计算!$X$91&gt;-1),IF(逐级计算!$X$91=0,CM42+逐级计算!$C$91,CM42+逐级计算!$C$91-(10/(逐级计算!$Q$91*LN(10))*(MAX((LN(10^(逐级计算!$Q$91/10)-1)+逐级计算!$Q$91*(CM42-逐级计算!$P$91)*LN(10)/10),0)+LN(1+EXP(-ABS((LN(10^(逐级计算!$Q$91/10)-1)+逐级计算!$Q$91*(CM42-逐级计算!$P$91)*LN(10)/10))))))),"")</f>
        <v>13.7930365745197</v>
      </c>
      <c r="CO42">
        <f>IF(AND(ISNUMBER(CN42),逐级计算!$X$92&gt;-1),IF(逐级计算!$X$92=0,CN42+逐级计算!$C$92,CN42+逐级计算!$C$92-(10/(逐级计算!$Q$92*LN(10))*(MAX((LN(10^(逐级计算!$Q$92/10)-1)+逐级计算!$Q$92*(CN42-逐级计算!$P$92)*LN(10)/10),0)+LN(1+EXP(-ABS((LN(10^(逐级计算!$Q$92/10)-1)+逐级计算!$Q$92*(CN42-逐级计算!$P$92)*LN(10)/10))))))),"")</f>
        <v>13.7930365745197</v>
      </c>
      <c r="CP42">
        <f>IF(AND(ISNUMBER(CO42),逐级计算!$X$93&gt;-1),IF(逐级计算!$X$93=0,CO42+逐级计算!$C$93,CO42+逐级计算!$C$93-(10/(逐级计算!$Q$93*LN(10))*(MAX((LN(10^(逐级计算!$Q$93/10)-1)+逐级计算!$Q$93*(CO42-逐级计算!$P$93)*LN(10)/10),0)+LN(1+EXP(-ABS((LN(10^(逐级计算!$Q$93/10)-1)+逐级计算!$Q$93*(CO42-逐级计算!$P$93)*LN(10)/10))))))),"")</f>
        <v>13.7930365745197</v>
      </c>
      <c r="CQ42">
        <f>IF(AND(ISNUMBER(CP42),逐级计算!$X$94&gt;-1),IF(逐级计算!$X$94=0,CP42+逐级计算!$C$94,CP42+逐级计算!$C$94-(10/(逐级计算!$Q$94*LN(10))*(MAX((LN(10^(逐级计算!$Q$94/10)-1)+逐级计算!$Q$94*(CP42-逐级计算!$P$94)*LN(10)/10),0)+LN(1+EXP(-ABS((LN(10^(逐级计算!$Q$94/10)-1)+逐级计算!$Q$94*(CP42-逐级计算!$P$94)*LN(10)/10))))))),"")</f>
        <v>13.7930365745197</v>
      </c>
      <c r="CR42">
        <f>IF(AND(ISNUMBER(CQ42),逐级计算!$X$95&gt;-1),IF(逐级计算!$X$95=0,CQ42+逐级计算!$C$95,CQ42+逐级计算!$C$95-(10/(逐级计算!$Q$95*LN(10))*(MAX((LN(10^(逐级计算!$Q$95/10)-1)+逐级计算!$Q$95*(CQ42-逐级计算!$P$95)*LN(10)/10),0)+LN(1+EXP(-ABS((LN(10^(逐级计算!$Q$95/10)-1)+逐级计算!$Q$95*(CQ42-逐级计算!$P$95)*LN(10)/10))))))),"")</f>
        <v>13.7930365745197</v>
      </c>
      <c r="CS42">
        <f>IF(AND(ISNUMBER(CR42),逐级计算!$X$96&gt;-1),IF(逐级计算!$X$96=0,CR42+逐级计算!$C$96,CR42+逐级计算!$C$96-(10/(逐级计算!$Q$96*LN(10))*(MAX((LN(10^(逐级计算!$Q$96/10)-1)+逐级计算!$Q$96*(CR42-逐级计算!$P$96)*LN(10)/10),0)+LN(1+EXP(-ABS((LN(10^(逐级计算!$Q$96/10)-1)+逐级计算!$Q$96*(CR42-逐级计算!$P$96)*LN(10)/10))))))),"")</f>
        <v>13.7930365745197</v>
      </c>
      <c r="CT42">
        <f>IF(AND(ISNUMBER(CS42),逐级计算!$X$97&gt;-1),IF(逐级计算!$X$97=0,CS42+逐级计算!$C$97,CS42+逐级计算!$C$97-(10/(逐级计算!$Q$97*LN(10))*(MAX((LN(10^(逐级计算!$Q$97/10)-1)+逐级计算!$Q$97*(CS42-逐级计算!$P$97)*LN(10)/10),0)+LN(1+EXP(-ABS((LN(10^(逐级计算!$Q$97/10)-1)+逐级计算!$Q$97*(CS42-逐级计算!$P$97)*LN(10)/10))))))),"")</f>
        <v>13.7930365745197</v>
      </c>
      <c r="CU42">
        <f>IF(AND(ISNUMBER(CT42),逐级计算!$X$98&gt;-1),IF(逐级计算!$X$98=0,CT42+逐级计算!$C$98,CT42+逐级计算!$C$98-(10/(逐级计算!$Q$98*LN(10))*(MAX((LN(10^(逐级计算!$Q$98/10)-1)+逐级计算!$Q$98*(CT42-逐级计算!$P$98)*LN(10)/10),0)+LN(1+EXP(-ABS((LN(10^(逐级计算!$Q$98/10)-1)+逐级计算!$Q$98*(CT42-逐级计算!$P$98)*LN(10)/10))))))),"")</f>
        <v>13.7930365745197</v>
      </c>
      <c r="CV42">
        <f>IF(AND(ISNUMBER(CU42),逐级计算!$X$99&gt;-1),IF(逐级计算!$X$99=0,CU42+逐级计算!$C$99,CU42+逐级计算!$C$99-(10/(逐级计算!$Q$99*LN(10))*(MAX((LN(10^(逐级计算!$Q$99/10)-1)+逐级计算!$Q$99*(CU42-逐级计算!$P$99)*LN(10)/10),0)+LN(1+EXP(-ABS((LN(10^(逐级计算!$Q$99/10)-1)+逐级计算!$Q$99*(CU42-逐级计算!$P$99)*LN(10)/10))))))),"")</f>
        <v>13.7930365745197</v>
      </c>
      <c r="CW42">
        <f>IF(AND(ISNUMBER(CV42),逐级计算!$X$100&gt;-1),IF(逐级计算!$X$100=0,CV42+逐级计算!$C$100,CV42+逐级计算!$C$100-(10/(逐级计算!$Q$100*LN(10))*(MAX((LN(10^(逐级计算!$Q$100/10)-1)+逐级计算!$Q$100*(CV42-逐级计算!$P$100)*LN(10)/10),0)+LN(1+EXP(-ABS((LN(10^(逐级计算!$Q$100/10)-1)+逐级计算!$Q$100*(CV42-逐级计算!$P$100)*LN(10)/10))))))),"")</f>
        <v>13.7930365745197</v>
      </c>
      <c r="CX42">
        <f>IF(AND(ISNUMBER(CW42),逐级计算!$X$101&gt;-1),IF(逐级计算!$X$101=0,CW42+逐级计算!$C$101,CW42+逐级计算!$C$101-(10/(逐级计算!$Q$101*LN(10))*(MAX((LN(10^(逐级计算!$Q$101/10)-1)+逐级计算!$Q$101*(CW42-逐级计算!$P$101)*LN(10)/10),0)+LN(1+EXP(-ABS((LN(10^(逐级计算!$Q$101/10)-1)+逐级计算!$Q$101*(CW42-逐级计算!$P$101)*LN(10)/10))))))),"")</f>
        <v>13.7930365745197</v>
      </c>
      <c r="CY42">
        <f>IF(AND(ISNUMBER(CX42),逐级计算!$X$102&gt;-1),IF(逐级计算!$X$102=0,CX42+逐级计算!$C$102,CX42+逐级计算!$C$102-(10/(逐级计算!$Q$102*LN(10))*(MAX((LN(10^(逐级计算!$Q$102/10)-1)+逐级计算!$Q$102*(CX42-逐级计算!$P$102)*LN(10)/10),0)+LN(1+EXP(-ABS((LN(10^(逐级计算!$Q$102/10)-1)+逐级计算!$Q$102*(CX42-逐级计算!$P$102)*LN(10)/10))))))),"")</f>
        <v>13.7930365745197</v>
      </c>
      <c r="CZ42">
        <f>IF(AND(ISNUMBER(CY42),逐级计算!$X$103&gt;-1),IF(逐级计算!$X$103=0,CY42+逐级计算!$C$103,CY42+逐级计算!$C$103-(10/(逐级计算!$Q$103*LN(10))*(MAX((LN(10^(逐级计算!$Q$103/10)-1)+逐级计算!$Q$103*(CY42-逐级计算!$P$103)*LN(10)/10),0)+LN(1+EXP(-ABS((LN(10^(逐级计算!$Q$103/10)-1)+逐级计算!$Q$103*(CY42-逐级计算!$P$103)*LN(10)/10))))))),"")</f>
        <v>13.7930365745197</v>
      </c>
      <c r="DA42">
        <f>IF(AND(ISNUMBER(CZ42),逐级计算!$X$104&gt;-1),IF(逐级计算!$X$104=0,CZ42+逐级计算!$C$104,CZ42+逐级计算!$C$104-(10/(逐级计算!$Q$104*LN(10))*(MAX((LN(10^(逐级计算!$Q$104/10)-1)+逐级计算!$Q$104*(CZ42-逐级计算!$P$104)*LN(10)/10),0)+LN(1+EXP(-ABS((LN(10^(逐级计算!$Q$104/10)-1)+逐级计算!$Q$104*(CZ42-逐级计算!$P$104)*LN(10)/10))))))),"")</f>
        <v>13.7930365745197</v>
      </c>
      <c r="DB42">
        <f>IF(AND(ISNUMBER(DA42),逐级计算!$X$105&gt;-1),IF(逐级计算!$X$105=0,DA42+逐级计算!$C$105,DA42+逐级计算!$C$105-(10/(逐级计算!$Q$105*LN(10))*(MAX((LN(10^(逐级计算!$Q$105/10)-1)+逐级计算!$Q$105*(DA42-逐级计算!$P$105)*LN(10)/10),0)+LN(1+EXP(-ABS((LN(10^(逐级计算!$Q$105/10)-1)+逐级计算!$Q$105*(DA42-逐级计算!$P$105)*LN(10)/10))))))),"")</f>
        <v>13.7930365745197</v>
      </c>
      <c r="DC42">
        <f>IF(AND(ISNUMBER(DB42),逐级计算!$X$106&gt;-1),IF(逐级计算!$X$106=0,DB42+逐级计算!$C$106,DB42+逐级计算!$C$106-(10/(逐级计算!$Q$106*LN(10))*(MAX((LN(10^(逐级计算!$Q$106/10)-1)+逐级计算!$Q$106*(DB42-逐级计算!$P$106)*LN(10)/10),0)+LN(1+EXP(-ABS((LN(10^(逐级计算!$Q$106/10)-1)+逐级计算!$Q$106*(DB42-逐级计算!$P$106)*LN(10)/10))))))),"")</f>
        <v>13.7930365745197</v>
      </c>
      <c r="DD42">
        <f>IF(AND(ISNUMBER(DC42),逐级计算!$X$107&gt;-1),IF(逐级计算!$X$107=0,DC42+逐级计算!$C$107,DC42+逐级计算!$C$107-(10/(逐级计算!$Q$107*LN(10))*(MAX((LN(10^(逐级计算!$Q$107/10)-1)+逐级计算!$Q$107*(DC42-逐级计算!$P$107)*LN(10)/10),0)+LN(1+EXP(-ABS((LN(10^(逐级计算!$Q$107/10)-1)+逐级计算!$Q$107*(DC42-逐级计算!$P$107)*LN(10)/10))))))),"")</f>
        <v>13.7930365745197</v>
      </c>
      <c r="DE42">
        <f>IF(AND(ISNUMBER(DD42),逐级计算!$X$108&gt;-1),IF(逐级计算!$X$108=0,DD42+逐级计算!$C$108,DD42+逐级计算!$C$108-(10/(逐级计算!$Q$108*LN(10))*(MAX((LN(10^(逐级计算!$Q$108/10)-1)+逐级计算!$Q$108*(DD42-逐级计算!$P$108)*LN(10)/10),0)+LN(1+EXP(-ABS((LN(10^(逐级计算!$Q$108/10)-1)+逐级计算!$Q$108*(DD42-逐级计算!$P$108)*LN(10)/10))))))),"")</f>
        <v>13.7930365745197</v>
      </c>
      <c r="DF42">
        <f>IF(AND(ISNUMBER(DE42),逐级计算!$X$109&gt;-1),IF(逐级计算!$X$109=0,DE42+逐级计算!$C$109,DE42+逐级计算!$C$109-(10/(逐级计算!$Q$109*LN(10))*(MAX((LN(10^(逐级计算!$Q$109/10)-1)+逐级计算!$Q$109*(DE42-逐级计算!$P$109)*LN(10)/10),0)+LN(1+EXP(-ABS((LN(10^(逐级计算!$Q$109/10)-1)+逐级计算!$Q$109*(DE42-逐级计算!$P$109)*LN(10)/10))))))),"")</f>
        <v>13.7930365745197</v>
      </c>
      <c r="DG42">
        <f>IF(AND(ISNUMBER(DF42),逐级计算!$X$110&gt;-1),IF(逐级计算!$X$110=0,DF42+逐级计算!$C$110,DF42+逐级计算!$C$110-(10/(逐级计算!$Q$110*LN(10))*(MAX((LN(10^(逐级计算!$Q$110/10)-1)+逐级计算!$Q$110*(DF42-逐级计算!$P$110)*LN(10)/10),0)+LN(1+EXP(-ABS((LN(10^(逐级计算!$Q$110/10)-1)+逐级计算!$Q$110*(DF42-逐级计算!$P$110)*LN(10)/10))))))),"")</f>
        <v>13.7930365745197</v>
      </c>
      <c r="DH42">
        <f>IF(AND(ISNUMBER(DG42),逐级计算!$X$111&gt;-1),IF(逐级计算!$X$111=0,DG42+逐级计算!$C$111,DG42+逐级计算!$C$111-(10/(逐级计算!$Q$111*LN(10))*(MAX((LN(10^(逐级计算!$Q$111/10)-1)+逐级计算!$Q$111*(DG42-逐级计算!$P$111)*LN(10)/10),0)+LN(1+EXP(-ABS((LN(10^(逐级计算!$Q$111/10)-1)+逐级计算!$Q$111*(DG42-逐级计算!$P$111)*LN(10)/10))))))),"")</f>
        <v>13.7930365745197</v>
      </c>
      <c r="DI42">
        <f>IF(AND(ISNUMBER(DH42),逐级计算!$X$112&gt;-1),IF(逐级计算!$X$112=0,DH42+逐级计算!$C$112,DH42+逐级计算!$C$112-(10/(逐级计算!$Q$112*LN(10))*(MAX((LN(10^(逐级计算!$Q$112/10)-1)+逐级计算!$Q$112*(DH42-逐级计算!$P$112)*LN(10)/10),0)+LN(1+EXP(-ABS((LN(10^(逐级计算!$Q$112/10)-1)+逐级计算!$Q$112*(DH42-逐级计算!$P$112)*LN(10)/10))))))),"")</f>
        <v>13.7930365745197</v>
      </c>
      <c r="DJ42">
        <f>IF(AND(ISNUMBER(DI42),逐级计算!$X$113&gt;-1),IF(逐级计算!$X$113=0,DI42+逐级计算!$C$113,DI42+逐级计算!$C$113-(10/(逐级计算!$Q$113*LN(10))*(MAX((LN(10^(逐级计算!$Q$113/10)-1)+逐级计算!$Q$113*(DI42-逐级计算!$P$113)*LN(10)/10),0)+LN(1+EXP(-ABS((LN(10^(逐级计算!$Q$113/10)-1)+逐级计算!$Q$113*(DI42-逐级计算!$P$113)*LN(10)/10))))))),"")</f>
        <v>13.7930365745197</v>
      </c>
      <c r="DK42">
        <f>IF(AND(ISNUMBER(DJ42),逐级计算!$X$114&gt;-1),IF(逐级计算!$X$114=0,DJ42+逐级计算!$C$114,DJ42+逐级计算!$C$114-(10/(逐级计算!$Q$114*LN(10))*(MAX((LN(10^(逐级计算!$Q$114/10)-1)+逐级计算!$Q$114*(DJ42-逐级计算!$P$114)*LN(10)/10),0)+LN(1+EXP(-ABS((LN(10^(逐级计算!$Q$114/10)-1)+逐级计算!$Q$114*(DJ42-逐级计算!$P$114)*LN(10)/10))))))),"")</f>
        <v>13.7930365745197</v>
      </c>
      <c r="DL42">
        <f>IF(AND(ISNUMBER(DK42),逐级计算!$X$115&gt;-1),IF(逐级计算!$X$115=0,DK42+逐级计算!$C$115,DK42+逐级计算!$C$115-(10/(逐级计算!$Q$115*LN(10))*(MAX((LN(10^(逐级计算!$Q$115/10)-1)+逐级计算!$Q$115*(DK42-逐级计算!$P$115)*LN(10)/10),0)+LN(1+EXP(-ABS((LN(10^(逐级计算!$Q$115/10)-1)+逐级计算!$Q$115*(DK42-逐级计算!$P$115)*LN(10)/10))))))),"")</f>
        <v>13.7930365745197</v>
      </c>
      <c r="DM42">
        <f>IF(AND(ISNUMBER(DL42),逐级计算!$X$116&gt;-1),IF(逐级计算!$X$116=0,DL42+逐级计算!$C$116,DL42+逐级计算!$C$116-(10/(逐级计算!$Q$116*LN(10))*(MAX((LN(10^(逐级计算!$Q$116/10)-1)+逐级计算!$Q$116*(DL42-逐级计算!$P$116)*LN(10)/10),0)+LN(1+EXP(-ABS((LN(10^(逐级计算!$Q$116/10)-1)+逐级计算!$Q$116*(DL42-逐级计算!$P$116)*LN(10)/10))))))),"")</f>
        <v>13.7930365745197</v>
      </c>
      <c r="DN42">
        <f>IF(AND(ISNUMBER(DM42),逐级计算!$X$117&gt;-1),IF(逐级计算!$X$117=0,DM42+逐级计算!$C$117,DM42+逐级计算!$C$117-(10/(逐级计算!$Q$117*LN(10))*(MAX((LN(10^(逐级计算!$Q$117/10)-1)+逐级计算!$Q$117*(DM42-逐级计算!$P$117)*LN(10)/10),0)+LN(1+EXP(-ABS((LN(10^(逐级计算!$Q$117/10)-1)+逐级计算!$Q$117*(DM42-逐级计算!$P$117)*LN(10)/10))))))),"")</f>
        <v>13.7930365745197</v>
      </c>
      <c r="DO42">
        <f>IF(AND(ISNUMBER(DN42),逐级计算!$X$118&gt;-1),IF(逐级计算!$X$118=0,DN42+逐级计算!$C$118,DN42+逐级计算!$C$118-(10/(逐级计算!$Q$118*LN(10))*(MAX((LN(10^(逐级计算!$Q$118/10)-1)+逐级计算!$Q$118*(DN42-逐级计算!$P$118)*LN(10)/10),0)+LN(1+EXP(-ABS((LN(10^(逐级计算!$Q$118/10)-1)+逐级计算!$Q$118*(DN42-逐级计算!$P$118)*LN(10)/10))))))),"")</f>
        <v>13.7930365745197</v>
      </c>
      <c r="DP42">
        <f>IF(AND(ISNUMBER(DO42),逐级计算!$X$119&gt;-1),IF(逐级计算!$X$119=0,DO42+逐级计算!$C$119,DO42+逐级计算!$C$119-(10/(逐级计算!$Q$119*LN(10))*(MAX((LN(10^(逐级计算!$Q$119/10)-1)+逐级计算!$Q$119*(DO42-逐级计算!$P$119)*LN(10)/10),0)+LN(1+EXP(-ABS((LN(10^(逐级计算!$Q$119/10)-1)+逐级计算!$Q$119*(DO42-逐级计算!$P$119)*LN(10)/10))))))),"")</f>
        <v>13.7930365745197</v>
      </c>
      <c r="DQ42">
        <f>IF(AND(ISNUMBER(DP42),逐级计算!$X$120&gt;-1),IF(逐级计算!$X$120=0,DP42+逐级计算!$C$120,DP42+逐级计算!$C$120-(10/(逐级计算!$Q$120*LN(10))*(MAX((LN(10^(逐级计算!$Q$120/10)-1)+逐级计算!$Q$120*(DP42-逐级计算!$P$120)*LN(10)/10),0)+LN(1+EXP(-ABS((LN(10^(逐级计算!$Q$120/10)-1)+逐级计算!$Q$120*(DP42-逐级计算!$P$120)*LN(10)/10))))))),"")</f>
        <v>13.7930365745197</v>
      </c>
      <c r="DR42">
        <f>IF(AND(ISNUMBER(DQ42),逐级计算!$X$121&gt;-1),IF(逐级计算!$X$121=0,DQ42+逐级计算!$C$121,DQ42+逐级计算!$C$121-(10/(逐级计算!$Q$121*LN(10))*(MAX((LN(10^(逐级计算!$Q$121/10)-1)+逐级计算!$Q$121*(DQ42-逐级计算!$P$121)*LN(10)/10),0)+LN(1+EXP(-ABS((LN(10^(逐级计算!$Q$121/10)-1)+逐级计算!$Q$121*(DQ42-逐级计算!$P$121)*LN(10)/10))))))),"")</f>
        <v>13.7930365745197</v>
      </c>
      <c r="DS42">
        <f>IF(AND(ISNUMBER(DR42),逐级计算!$X$122&gt;-1),IF(逐级计算!$X$122=0,DR42+逐级计算!$C$122,DR42+逐级计算!$C$122-(10/(逐级计算!$Q$122*LN(10))*(MAX((LN(10^(逐级计算!$Q$122/10)-1)+逐级计算!$Q$122*(DR42-逐级计算!$P$122)*LN(10)/10),0)+LN(1+EXP(-ABS((LN(10^(逐级计算!$Q$122/10)-1)+逐级计算!$Q$122*(DR42-逐级计算!$P$122)*LN(10)/10))))))),"")</f>
        <v>13.7930365745197</v>
      </c>
      <c r="DT42">
        <f>IF(AND(ISNUMBER(DS42),逐级计算!$X$123&gt;-1),IF(逐级计算!$X$123=0,DS42+逐级计算!$C$123,DS42+逐级计算!$C$123-(10/(逐级计算!$Q$123*LN(10))*(MAX((LN(10^(逐级计算!$Q$123/10)-1)+逐级计算!$Q$123*(DS42-逐级计算!$P$123)*LN(10)/10),0)+LN(1+EXP(-ABS((LN(10^(逐级计算!$Q$123/10)-1)+逐级计算!$Q$123*(DS42-逐级计算!$P$123)*LN(10)/10))))))),"")</f>
        <v>13.7930365745197</v>
      </c>
      <c r="DU42">
        <f>IF(AND(ISNUMBER(DT42),逐级计算!$X$124&gt;-1),IF(逐级计算!$X$124=0,DT42+逐级计算!$C$124,DT42+逐级计算!$C$124-(10/(逐级计算!$Q$124*LN(10))*(MAX((LN(10^(逐级计算!$Q$124/10)-1)+逐级计算!$Q$124*(DT42-逐级计算!$P$124)*LN(10)/10),0)+LN(1+EXP(-ABS((LN(10^(逐级计算!$Q$124/10)-1)+逐级计算!$Q$124*(DT42-逐级计算!$P$124)*LN(10)/10))))))),"")</f>
        <v>13.7930365745197</v>
      </c>
      <c r="DV42">
        <f>IF(AND(ISNUMBER(DU42),逐级计算!$X$125&gt;-1),IF(逐级计算!$X$125=0,DU42+逐级计算!$C$125,DU42+逐级计算!$C$125-(10/(逐级计算!$Q$125*LN(10))*(MAX((LN(10^(逐级计算!$Q$125/10)-1)+逐级计算!$Q$125*(DU42-逐级计算!$P$125)*LN(10)/10),0)+LN(1+EXP(-ABS((LN(10^(逐级计算!$Q$125/10)-1)+逐级计算!$Q$125*(DU42-逐级计算!$P$125)*LN(10)/10))))))),"")</f>
        <v>13.7930365745197</v>
      </c>
      <c r="DW42">
        <f>IF(AND(ISNUMBER(DV42),逐级计算!$X$126&gt;-1),IF(逐级计算!$X$126=0,DV42+逐级计算!$C$126,DV42+逐级计算!$C$126-(10/(逐级计算!$Q$126*LN(10))*(MAX((LN(10^(逐级计算!$Q$126/10)-1)+逐级计算!$Q$126*(DV42-逐级计算!$P$126)*LN(10)/10),0)+LN(1+EXP(-ABS((LN(10^(逐级计算!$Q$126/10)-1)+逐级计算!$Q$126*(DV42-逐级计算!$P$126)*LN(10)/10))))))),"")</f>
        <v>13.7930365745197</v>
      </c>
      <c r="DX42">
        <f>IF(AND(ISNUMBER(DW42),逐级计算!$X$127&gt;-1),IF(逐级计算!$X$127=0,DW42+逐级计算!$C$127,DW42+逐级计算!$C$127-(10/(逐级计算!$Q$127*LN(10))*(MAX((LN(10^(逐级计算!$Q$127/10)-1)+逐级计算!$Q$127*(DW42-逐级计算!$P$127)*LN(10)/10),0)+LN(1+EXP(-ABS((LN(10^(逐级计算!$Q$127/10)-1)+逐级计算!$Q$127*(DW42-逐级计算!$P$127)*LN(10)/10))))))),"")</f>
        <v>13.7930365745197</v>
      </c>
      <c r="DY42">
        <f>IF(AND(ISNUMBER(DX42),逐级计算!$X$128&gt;-1),IF(逐级计算!$X$128=0,DX42+逐级计算!$C$128,DX42+逐级计算!$C$128-(10/(逐级计算!$Q$128*LN(10))*(MAX((LN(10^(逐级计算!$Q$128/10)-1)+逐级计算!$Q$128*(DX42-逐级计算!$P$128)*LN(10)/10),0)+LN(1+EXP(-ABS((LN(10^(逐级计算!$Q$128/10)-1)+逐级计算!$Q$128*(DX42-逐级计算!$P$128)*LN(10)/10))))))),"")</f>
        <v>13.7930365745197</v>
      </c>
      <c r="DZ42">
        <f>IF(AND(ISNUMBER(DY42),逐级计算!$X$129&gt;-1),IF(逐级计算!$X$129=0,DY42+逐级计算!$C$129,DY42+逐级计算!$C$129-(10/(逐级计算!$Q$129*LN(10))*(MAX((LN(10^(逐级计算!$Q$129/10)-1)+逐级计算!$Q$129*(DY42-逐级计算!$P$129)*LN(10)/10),0)+LN(1+EXP(-ABS((LN(10^(逐级计算!$Q$129/10)-1)+逐级计算!$Q$129*(DY42-逐级计算!$P$129)*LN(10)/10))))))),"")</f>
        <v>13.7930365745197</v>
      </c>
      <c r="EA42">
        <f>IF(AND(ISNUMBER(DZ42),逐级计算!$X$130&gt;-1),IF(逐级计算!$X$130=0,DZ42+逐级计算!$C$130,DZ42+逐级计算!$C$130-(10/(逐级计算!$Q$130*LN(10))*(MAX((LN(10^(逐级计算!$Q$130/10)-1)+逐级计算!$Q$130*(DZ42-逐级计算!$P$130)*LN(10)/10),0)+LN(1+EXP(-ABS((LN(10^(逐级计算!$Q$130/10)-1)+逐级计算!$Q$130*(DZ42-逐级计算!$P$130)*LN(10)/10))))))),"")</f>
        <v>13.7930365745197</v>
      </c>
      <c r="EB42">
        <f>IF(AND(ISNUMBER(EA42),逐级计算!$X$131&gt;-1),IF(逐级计算!$X$131=0,EA42+逐级计算!$C$131,EA42+逐级计算!$C$131-(10/(逐级计算!$Q$131*LN(10))*(MAX((LN(10^(逐级计算!$Q$131/10)-1)+逐级计算!$Q$131*(EA42-逐级计算!$P$131)*LN(10)/10),0)+LN(1+EXP(-ABS((LN(10^(逐级计算!$Q$131/10)-1)+逐级计算!$Q$131*(EA42-逐级计算!$P$131)*LN(10)/10))))))),"")</f>
        <v>13.7930365745197</v>
      </c>
      <c r="EC42">
        <f>IF(AND(ISNUMBER(EB42),逐级计算!$X$132&gt;-1),IF(逐级计算!$X$132=0,EB42+逐级计算!$C$132,EB42+逐级计算!$C$132-(10/(逐级计算!$Q$132*LN(10))*(MAX((LN(10^(逐级计算!$Q$132/10)-1)+逐级计算!$Q$132*(EB42-逐级计算!$P$132)*LN(10)/10),0)+LN(1+EXP(-ABS((LN(10^(逐级计算!$Q$132/10)-1)+逐级计算!$Q$132*(EB42-逐级计算!$P$132)*LN(10)/10))))))),"")</f>
        <v>13.7930365745197</v>
      </c>
      <c r="ED42">
        <f>IF(AND(ISNUMBER(EC42),逐级计算!$X$133&gt;-1),IF(逐级计算!$X$133=0,EC42+逐级计算!$C$133,EC42+逐级计算!$C$133-(10/(逐级计算!$Q$133*LN(10))*(MAX((LN(10^(逐级计算!$Q$133/10)-1)+逐级计算!$Q$133*(EC42-逐级计算!$P$133)*LN(10)/10),0)+LN(1+EXP(-ABS((LN(10^(逐级计算!$Q$133/10)-1)+逐级计算!$Q$133*(EC42-逐级计算!$P$133)*LN(10)/10))))))),"")</f>
        <v>13.7930365745197</v>
      </c>
      <c r="EE42">
        <f>IF(AND(ISNUMBER(ED42),逐级计算!$X$134&gt;-1),IF(逐级计算!$X$134=0,ED42+逐级计算!$C$134,ED42+逐级计算!$C$134-(10/(逐级计算!$Q$134*LN(10))*(MAX((LN(10^(逐级计算!$Q$134/10)-1)+逐级计算!$Q$134*(ED42-逐级计算!$P$134)*LN(10)/10),0)+LN(1+EXP(-ABS((LN(10^(逐级计算!$Q$134/10)-1)+逐级计算!$Q$134*(ED42-逐级计算!$P$134)*LN(10)/10))))))),"")</f>
        <v>13.7930365745197</v>
      </c>
      <c r="EF42">
        <f>IF(AND(ISNUMBER(EE42),逐级计算!$X$135&gt;-1),IF(逐级计算!$X$135=0,EE42+逐级计算!$C$135,EE42+逐级计算!$C$135-(10/(逐级计算!$Q$135*LN(10))*(MAX((LN(10^(逐级计算!$Q$135/10)-1)+逐级计算!$Q$135*(EE42-逐级计算!$P$135)*LN(10)/10),0)+LN(1+EXP(-ABS((LN(10^(逐级计算!$Q$135/10)-1)+逐级计算!$Q$135*(EE42-逐级计算!$P$135)*LN(10)/10))))))),"")</f>
        <v>13.7930365745197</v>
      </c>
      <c r="EG42">
        <f>IF(AND(ISNUMBER(EF42),逐级计算!$X$136&gt;-1),IF(逐级计算!$X$136=0,EF42+逐级计算!$C$136,EF42+逐级计算!$C$136-(10/(逐级计算!$Q$136*LN(10))*(MAX((LN(10^(逐级计算!$Q$136/10)-1)+逐级计算!$Q$136*(EF42-逐级计算!$P$136)*LN(10)/10),0)+LN(1+EXP(-ABS((LN(10^(逐级计算!$Q$136/10)-1)+逐级计算!$Q$136*(EF42-逐级计算!$P$136)*LN(10)/10))))))),"")</f>
        <v>13.7930365745197</v>
      </c>
      <c r="EH42">
        <f>IF(AND(ISNUMBER(EG42),逐级计算!$X$137&gt;-1),IF(逐级计算!$X$137=0,EG42+逐级计算!$C$137,EG42+逐级计算!$C$137-(10/(逐级计算!$Q$137*LN(10))*(MAX((LN(10^(逐级计算!$Q$137/10)-1)+逐级计算!$Q$137*(EG42-逐级计算!$P$137)*LN(10)/10),0)+LN(1+EXP(-ABS((LN(10^(逐级计算!$Q$137/10)-1)+逐级计算!$Q$137*(EG42-逐级计算!$P$137)*LN(10)/10))))))),"")</f>
        <v>13.7930365745197</v>
      </c>
      <c r="EI42">
        <f>IF(AND(ISNUMBER(EH42),逐级计算!$X$138&gt;-1),IF(逐级计算!$X$138=0,EH42+逐级计算!$C$138,EH42+逐级计算!$C$138-(10/(逐级计算!$Q$138*LN(10))*(MAX((LN(10^(逐级计算!$Q$138/10)-1)+逐级计算!$Q$138*(EH42-逐级计算!$P$138)*LN(10)/10),0)+LN(1+EXP(-ABS((LN(10^(逐级计算!$Q$138/10)-1)+逐级计算!$Q$138*(EH42-逐级计算!$P$138)*LN(10)/10))))))),"")</f>
        <v>13.7930365745197</v>
      </c>
      <c r="EJ42">
        <f>IF(AND(ISNUMBER(EI42),逐级计算!$X$139&gt;-1),IF(逐级计算!$X$139=0,EI42+逐级计算!$C$139,EI42+逐级计算!$C$139-(10/(逐级计算!$Q$139*LN(10))*(MAX((LN(10^(逐级计算!$Q$139/10)-1)+逐级计算!$Q$139*(EI42-逐级计算!$P$139)*LN(10)/10),0)+LN(1+EXP(-ABS((LN(10^(逐级计算!$Q$139/10)-1)+逐级计算!$Q$139*(EI42-逐级计算!$P$139)*LN(10)/10))))))),"")</f>
        <v>13.7930365745197</v>
      </c>
      <c r="EK42">
        <f>IF(AND(ISNUMBER(EJ42),逐级计算!$X$140&gt;-1),IF(逐级计算!$X$140=0,EJ42+逐级计算!$C$140,EJ42+逐级计算!$C$140-(10/(逐级计算!$Q$140*LN(10))*(MAX((LN(10^(逐级计算!$Q$140/10)-1)+逐级计算!$Q$140*(EJ42-逐级计算!$P$140)*LN(10)/10),0)+LN(1+EXP(-ABS((LN(10^(逐级计算!$Q$140/10)-1)+逐级计算!$Q$140*(EJ42-逐级计算!$P$140)*LN(10)/10))))))),"")</f>
        <v>13.7930365745197</v>
      </c>
      <c r="EL42">
        <f>IF(AND(ISNUMBER(EK42),逐级计算!$X$141&gt;-1),IF(逐级计算!$X$141=0,EK42+逐级计算!$C$141,EK42+逐级计算!$C$141-(10/(逐级计算!$Q$141*LN(10))*(MAX((LN(10^(逐级计算!$Q$141/10)-1)+逐级计算!$Q$141*(EK42-逐级计算!$P$141)*LN(10)/10),0)+LN(1+EXP(-ABS((LN(10^(逐级计算!$Q$141/10)-1)+逐级计算!$Q$141*(EK42-逐级计算!$P$141)*LN(10)/10))))))),"")</f>
        <v>13.7930365745197</v>
      </c>
      <c r="EM42">
        <f>IF(AND(ISNUMBER(EL42),逐级计算!$X$142&gt;-1),IF(逐级计算!$X$142=0,EL42+逐级计算!$C$142,EL42+逐级计算!$C$142-(10/(逐级计算!$Q$142*LN(10))*(MAX((LN(10^(逐级计算!$Q$142/10)-1)+逐级计算!$Q$142*(EL42-逐级计算!$P$142)*LN(10)/10),0)+LN(1+EXP(-ABS((LN(10^(逐级计算!$Q$142/10)-1)+逐级计算!$Q$142*(EL42-逐级计算!$P$142)*LN(10)/10))))))),"")</f>
        <v>13.7930365745197</v>
      </c>
      <c r="EN42">
        <f>IF(AND(ISNUMBER(EM42),逐级计算!$X$143&gt;-1),IF(逐级计算!$X$143=0,EM42+逐级计算!$C$143,EM42+逐级计算!$C$143-(10/(逐级计算!$Q$143*LN(10))*(MAX((LN(10^(逐级计算!$Q$143/10)-1)+逐级计算!$Q$143*(EM42-逐级计算!$P$143)*LN(10)/10),0)+LN(1+EXP(-ABS((LN(10^(逐级计算!$Q$143/10)-1)+逐级计算!$Q$143*(EM42-逐级计算!$P$143)*LN(10)/10))))))),"")</f>
        <v>13.7930365745197</v>
      </c>
      <c r="EO42">
        <f>IF(AND(ISNUMBER(EN42),逐级计算!$X$144&gt;-1),IF(逐级计算!$X$144=0,EN42+逐级计算!$C$144,EN42+逐级计算!$C$144-(10/(逐级计算!$Q$144*LN(10))*(MAX((LN(10^(逐级计算!$Q$144/10)-1)+逐级计算!$Q$144*(EN42-逐级计算!$P$144)*LN(10)/10),0)+LN(1+EXP(-ABS((LN(10^(逐级计算!$Q$144/10)-1)+逐级计算!$Q$144*(EN42-逐级计算!$P$144)*LN(10)/10))))))),"")</f>
        <v>13.7930365745197</v>
      </c>
      <c r="EP42">
        <f>IF(AND(ISNUMBER(EO42),逐级计算!$X$145&gt;-1),IF(逐级计算!$X$145=0,EO42+逐级计算!$C$145,EO42+逐级计算!$C$145-(10/(逐级计算!$Q$145*LN(10))*(MAX((LN(10^(逐级计算!$Q$145/10)-1)+逐级计算!$Q$145*(EO42-逐级计算!$P$145)*LN(10)/10),0)+LN(1+EXP(-ABS((LN(10^(逐级计算!$Q$145/10)-1)+逐级计算!$Q$145*(EO42-逐级计算!$P$145)*LN(10)/10))))))),"")</f>
        <v>13.7930365745197</v>
      </c>
      <c r="EQ42">
        <f>IF(AND(ISNUMBER(EP42),逐级计算!$X$146&gt;-1),IF(逐级计算!$X$146=0,EP42+逐级计算!$C$146,EP42+逐级计算!$C$146-(10/(逐级计算!$Q$146*LN(10))*(MAX((LN(10^(逐级计算!$Q$146/10)-1)+逐级计算!$Q$146*(EP42-逐级计算!$P$146)*LN(10)/10),0)+LN(1+EXP(-ABS((LN(10^(逐级计算!$Q$146/10)-1)+逐级计算!$Q$146*(EP42-逐级计算!$P$146)*LN(10)/10))))))),"")</f>
        <v>13.7930365745197</v>
      </c>
      <c r="ER42">
        <f>IF(AND(ISNUMBER(EQ42),逐级计算!$X$147&gt;-1),IF(逐级计算!$X$147=0,EQ42+逐级计算!$C$147,EQ42+逐级计算!$C$147-(10/(逐级计算!$Q$147*LN(10))*(MAX((LN(10^(逐级计算!$Q$147/10)-1)+逐级计算!$Q$147*(EQ42-逐级计算!$P$147)*LN(10)/10),0)+LN(1+EXP(-ABS((LN(10^(逐级计算!$Q$147/10)-1)+逐级计算!$Q$147*(EQ42-逐级计算!$P$147)*LN(10)/10))))))),"")</f>
        <v>13.7930365745197</v>
      </c>
      <c r="ES42">
        <f>IF(AND(ISNUMBER(ER42),逐级计算!$X$148&gt;-1),IF(逐级计算!$X$148=0,ER42+逐级计算!$C$148,ER42+逐级计算!$C$148-(10/(逐级计算!$Q$148*LN(10))*(MAX((LN(10^(逐级计算!$Q$148/10)-1)+逐级计算!$Q$148*(ER42-逐级计算!$P$148)*LN(10)/10),0)+LN(1+EXP(-ABS((LN(10^(逐级计算!$Q$148/10)-1)+逐级计算!$Q$148*(ER42-逐级计算!$P$148)*LN(10)/10))))))),"")</f>
        <v>13.7930365745197</v>
      </c>
      <c r="ET42">
        <f>IF(AND(ISNUMBER(ES42),逐级计算!$X$149&gt;-1),IF(逐级计算!$X$149=0,ES42+逐级计算!$C$149,ES42+逐级计算!$C$149-(10/(逐级计算!$Q$149*LN(10))*(MAX((LN(10^(逐级计算!$Q$149/10)-1)+逐级计算!$Q$149*(ES42-逐级计算!$P$149)*LN(10)/10),0)+LN(1+EXP(-ABS((LN(10^(逐级计算!$Q$149/10)-1)+逐级计算!$Q$149*(ES42-逐级计算!$P$149)*LN(10)/10))))))),"")</f>
        <v>13.7930365745197</v>
      </c>
      <c r="EU42">
        <f>IF(AND(ISNUMBER(ET42),逐级计算!$X$150&gt;-1),IF(逐级计算!$X$150=0,ET42+逐级计算!$C$150,ET42+逐级计算!$C$150-(10/(逐级计算!$Q$150*LN(10))*(MAX((LN(10^(逐级计算!$Q$150/10)-1)+逐级计算!$Q$150*(ET42-逐级计算!$P$150)*LN(10)/10),0)+LN(1+EXP(-ABS((LN(10^(逐级计算!$Q$150/10)-1)+逐级计算!$Q$150*(ET42-逐级计算!$P$150)*LN(10)/10))))))),"")</f>
        <v>13.7930365745197</v>
      </c>
      <c r="EV42">
        <f>IF(AND(ISNUMBER(EU42),逐级计算!$X$151&gt;-1),IF(逐级计算!$X$151=0,EU42+逐级计算!$C$151,EU42+逐级计算!$C$151-(10/(逐级计算!$Q$151*LN(10))*(MAX((LN(10^(逐级计算!$Q$151/10)-1)+逐级计算!$Q$151*(EU42-逐级计算!$P$151)*LN(10)/10),0)+LN(1+EXP(-ABS((LN(10^(逐级计算!$Q$151/10)-1)+逐级计算!$Q$151*(EU42-逐级计算!$P$151)*LN(10)/10))))))),"")</f>
        <v>13.7930365745197</v>
      </c>
      <c r="EW42">
        <f>IF(AND(ISNUMBER(EV42),逐级计算!$X$152&gt;-1),IF(逐级计算!$X$152=0,EV42+逐级计算!$C$152,EV42+逐级计算!$C$152-(10/(逐级计算!$Q$152*LN(10))*(MAX((LN(10^(逐级计算!$Q$152/10)-1)+逐级计算!$Q$152*(EV42-逐级计算!$P$152)*LN(10)/10),0)+LN(1+EXP(-ABS((LN(10^(逐级计算!$Q$152/10)-1)+逐级计算!$Q$152*(EV42-逐级计算!$P$152)*LN(10)/10))))))),"")</f>
        <v>13.7930365745197</v>
      </c>
      <c r="EX42">
        <f>IF(AND(ISNUMBER(EW42),逐级计算!$X$153&gt;-1),IF(逐级计算!$X$153=0,EW42+逐级计算!$C$153,EW42+逐级计算!$C$153-(10/(逐级计算!$Q$153*LN(10))*(MAX((LN(10^(逐级计算!$Q$153/10)-1)+逐级计算!$Q$153*(EW42-逐级计算!$P$153)*LN(10)/10),0)+LN(1+EXP(-ABS((LN(10^(逐级计算!$Q$153/10)-1)+逐级计算!$Q$153*(EW42-逐级计算!$P$153)*LN(10)/10))))))),"")</f>
        <v>13.7930365745197</v>
      </c>
      <c r="EY42">
        <f>IF(AND(ISNUMBER(EX42),逐级计算!$X$154&gt;-1),IF(逐级计算!$X$154=0,EX42+逐级计算!$C$154,EX42+逐级计算!$C$154-(10/(逐级计算!$Q$154*LN(10))*(MAX((LN(10^(逐级计算!$Q$154/10)-1)+逐级计算!$Q$154*(EX42-逐级计算!$P$154)*LN(10)/10),0)+LN(1+EXP(-ABS((LN(10^(逐级计算!$Q$154/10)-1)+逐级计算!$Q$154*(EX42-逐级计算!$P$154)*LN(10)/10))))))),"")</f>
        <v>13.7930365745197</v>
      </c>
      <c r="EZ42">
        <f>IF(AND(ISNUMBER(EY42),逐级计算!$X$155&gt;-1),IF(逐级计算!$X$155=0,EY42+逐级计算!$C$155,EY42+逐级计算!$C$155-(10/(逐级计算!$Q$155*LN(10))*(MAX((LN(10^(逐级计算!$Q$155/10)-1)+逐级计算!$Q$155*(EY42-逐级计算!$P$155)*LN(10)/10),0)+LN(1+EXP(-ABS((LN(10^(逐级计算!$Q$155/10)-1)+逐级计算!$Q$155*(EY42-逐级计算!$P$155)*LN(10)/10))))))),"")</f>
        <v>13.7930365745197</v>
      </c>
      <c r="FA42">
        <f>IF(AND(ISNUMBER(EZ42),逐级计算!$X$156&gt;-1),IF(逐级计算!$X$156=0,EZ42+逐级计算!$C$156,EZ42+逐级计算!$C$156-(10/(逐级计算!$Q$156*LN(10))*(MAX((LN(10^(逐级计算!$Q$156/10)-1)+逐级计算!$Q$156*(EZ42-逐级计算!$P$156)*LN(10)/10),0)+LN(1+EXP(-ABS((LN(10^(逐级计算!$Q$156/10)-1)+逐级计算!$Q$156*(EZ42-逐级计算!$P$156)*LN(10)/10))))))),"")</f>
        <v>13.7930365745197</v>
      </c>
      <c r="FB42">
        <f>IF(AND(ISNUMBER(FA42),逐级计算!$X$157&gt;-1),IF(逐级计算!$X$157=0,FA42+逐级计算!$C$157,FA42+逐级计算!$C$157-(10/(逐级计算!$Q$157*LN(10))*(MAX((LN(10^(逐级计算!$Q$157/10)-1)+逐级计算!$Q$157*(FA42-逐级计算!$P$157)*LN(10)/10),0)+LN(1+EXP(-ABS((LN(10^(逐级计算!$Q$157/10)-1)+逐级计算!$Q$157*(FA42-逐级计算!$P$157)*LN(10)/10))))))),"")</f>
        <v>13.7930365745197</v>
      </c>
      <c r="FC42">
        <f>IF(AND(ISNUMBER(FB42),逐级计算!$X$158&gt;-1),IF(逐级计算!$X$158=0,FB42+逐级计算!$C$158,FB42+逐级计算!$C$158-(10/(逐级计算!$Q$158*LN(10))*(MAX((LN(10^(逐级计算!$Q$158/10)-1)+逐级计算!$Q$158*(FB42-逐级计算!$P$158)*LN(10)/10),0)+LN(1+EXP(-ABS((LN(10^(逐级计算!$Q$158/10)-1)+逐级计算!$Q$158*(FB42-逐级计算!$P$158)*LN(10)/10))))))),"")</f>
        <v>13.7930365745197</v>
      </c>
      <c r="FD42">
        <f>IF(AND(ISNUMBER(FC42),逐级计算!$X$159&gt;-1),IF(逐级计算!$X$159=0,FC42+逐级计算!$C$159,FC42+逐级计算!$C$159-(10/(逐级计算!$Q$159*LN(10))*(MAX((LN(10^(逐级计算!$Q$159/10)-1)+逐级计算!$Q$159*(FC42-逐级计算!$P$159)*LN(10)/10),0)+LN(1+EXP(-ABS((LN(10^(逐级计算!$Q$159/10)-1)+逐级计算!$Q$159*(FC42-逐级计算!$P$159)*LN(10)/10))))))),"")</f>
        <v>13.7930365745197</v>
      </c>
      <c r="FE42">
        <f>IF(AND(ISNUMBER(FD42),逐级计算!$X$160&gt;-1),IF(逐级计算!$X$160=0,FD42+逐级计算!$C$160,FD42+逐级计算!$C$160-(10/(逐级计算!$Q$160*LN(10))*(MAX((LN(10^(逐级计算!$Q$160/10)-1)+逐级计算!$Q$160*(FD42-逐级计算!$P$160)*LN(10)/10),0)+LN(1+EXP(-ABS((LN(10^(逐级计算!$Q$160/10)-1)+逐级计算!$Q$160*(FD42-逐级计算!$P$160)*LN(10)/10))))))),"")</f>
        <v>13.7930365745197</v>
      </c>
      <c r="FF42">
        <f>IF(AND(ISNUMBER(FE42),逐级计算!$X$161&gt;-1),IF(逐级计算!$X$161=0,FE42+逐级计算!$C$161,FE42+逐级计算!$C$161-(10/(逐级计算!$Q$161*LN(10))*(MAX((LN(10^(逐级计算!$Q$161/10)-1)+逐级计算!$Q$161*(FE42-逐级计算!$P$161)*LN(10)/10),0)+LN(1+EXP(-ABS((LN(10^(逐级计算!$Q$161/10)-1)+逐级计算!$Q$161*(FE42-逐级计算!$P$161)*LN(10)/10))))))),"")</f>
        <v>13.7930365745197</v>
      </c>
      <c r="FG42">
        <f>IF(AND(ISNUMBER(FF42),逐级计算!$X$162&gt;-1),IF(逐级计算!$X$162=0,FF42+逐级计算!$C$162,FF42+逐级计算!$C$162-(10/(逐级计算!$Q$162*LN(10))*(MAX((LN(10^(逐级计算!$Q$162/10)-1)+逐级计算!$Q$162*(FF42-逐级计算!$P$162)*LN(10)/10),0)+LN(1+EXP(-ABS((LN(10^(逐级计算!$Q$162/10)-1)+逐级计算!$Q$162*(FF42-逐级计算!$P$162)*LN(10)/10))))))),"")</f>
        <v>13.7930365745197</v>
      </c>
      <c r="FH42">
        <f>IF(AND(ISNUMBER(FG42),逐级计算!$X$163&gt;-1),IF(逐级计算!$X$163=0,FG42+逐级计算!$C$163,FG42+逐级计算!$C$163-(10/(逐级计算!$Q$163*LN(10))*(MAX((LN(10^(逐级计算!$Q$163/10)-1)+逐级计算!$Q$163*(FG42-逐级计算!$P$163)*LN(10)/10),0)+LN(1+EXP(-ABS((LN(10^(逐级计算!$Q$163/10)-1)+逐级计算!$Q$163*(FG42-逐级计算!$P$163)*LN(10)/10))))))),"")</f>
        <v>13.7930365745197</v>
      </c>
      <c r="FI42">
        <f>IF(AND(ISNUMBER(FH42),逐级计算!$X$164&gt;-1),IF(逐级计算!$X$164=0,FH42+逐级计算!$C$164,FH42+逐级计算!$C$164-(10/(逐级计算!$Q$164*LN(10))*(MAX((LN(10^(逐级计算!$Q$164/10)-1)+逐级计算!$Q$164*(FH42-逐级计算!$P$164)*LN(10)/10),0)+LN(1+EXP(-ABS((LN(10^(逐级计算!$Q$164/10)-1)+逐级计算!$Q$164*(FH42-逐级计算!$P$164)*LN(10)/10))))))),"")</f>
        <v>13.7930365745197</v>
      </c>
      <c r="FJ42">
        <f>IF(AND(ISNUMBER(FI42),逐级计算!$X$165&gt;-1),IF(逐级计算!$X$165=0,FI42+逐级计算!$C$165,FI42+逐级计算!$C$165-(10/(逐级计算!$Q$165*LN(10))*(MAX((LN(10^(逐级计算!$Q$165/10)-1)+逐级计算!$Q$165*(FI42-逐级计算!$P$165)*LN(10)/10),0)+LN(1+EXP(-ABS((LN(10^(逐级计算!$Q$165/10)-1)+逐级计算!$Q$165*(FI42-逐级计算!$P$165)*LN(10)/10))))))),"")</f>
        <v>13.7930365745197</v>
      </c>
      <c r="FK42">
        <f>IF(AND(ISNUMBER(FJ42),逐级计算!$X$166&gt;-1),IF(逐级计算!$X$166=0,FJ42+逐级计算!$C$166,FJ42+逐级计算!$C$166-(10/(逐级计算!$Q$166*LN(10))*(MAX((LN(10^(逐级计算!$Q$166/10)-1)+逐级计算!$Q$166*(FJ42-逐级计算!$P$166)*LN(10)/10),0)+LN(1+EXP(-ABS((LN(10^(逐级计算!$Q$166/10)-1)+逐级计算!$Q$166*(FJ42-逐级计算!$P$166)*LN(10)/10))))))),"")</f>
        <v>13.7930365745197</v>
      </c>
      <c r="FL42">
        <f>IF(AND(ISNUMBER(FK42),逐级计算!$X$167&gt;-1),IF(逐级计算!$X$167=0,FK42+逐级计算!$C$167,FK42+逐级计算!$C$167-(10/(逐级计算!$Q$167*LN(10))*(MAX((LN(10^(逐级计算!$Q$167/10)-1)+逐级计算!$Q$167*(FK42-逐级计算!$P$167)*LN(10)/10),0)+LN(1+EXP(-ABS((LN(10^(逐级计算!$Q$167/10)-1)+逐级计算!$Q$167*(FK42-逐级计算!$P$167)*LN(10)/10))))))),"")</f>
        <v>13.7930365745197</v>
      </c>
      <c r="FM42">
        <f>IF(AND(ISNUMBER(FL42),逐级计算!$X$168&gt;-1),IF(逐级计算!$X$168=0,FL42+逐级计算!$C$168,FL42+逐级计算!$C$168-(10/(逐级计算!$Q$168*LN(10))*(MAX((LN(10^(逐级计算!$Q$168/10)-1)+逐级计算!$Q$168*(FL42-逐级计算!$P$168)*LN(10)/10),0)+LN(1+EXP(-ABS((LN(10^(逐级计算!$Q$168/10)-1)+逐级计算!$Q$168*(FL42-逐级计算!$P$168)*LN(10)/10))))))),"")</f>
        <v>13.7930365745197</v>
      </c>
      <c r="FN42">
        <f>IF(AND(ISNUMBER(FM42),逐级计算!$X$169&gt;-1),IF(逐级计算!$X$169=0,FM42+逐级计算!$C$169,FM42+逐级计算!$C$169-(10/(逐级计算!$Q$169*LN(10))*(MAX((LN(10^(逐级计算!$Q$169/10)-1)+逐级计算!$Q$169*(FM42-逐级计算!$P$169)*LN(10)/10),0)+LN(1+EXP(-ABS((LN(10^(逐级计算!$Q$169/10)-1)+逐级计算!$Q$169*(FM42-逐级计算!$P$169)*LN(10)/10))))))),"")</f>
        <v>13.7930365745197</v>
      </c>
      <c r="FO42">
        <f>IF(AND(ISNUMBER(FN42),逐级计算!$X$170&gt;-1),IF(逐级计算!$X$170=0,FN42+逐级计算!$C$170,FN42+逐级计算!$C$170-(10/(逐级计算!$Q$170*LN(10))*(MAX((LN(10^(逐级计算!$Q$170/10)-1)+逐级计算!$Q$170*(FN42-逐级计算!$P$170)*LN(10)/10),0)+LN(1+EXP(-ABS((LN(10^(逐级计算!$Q$170/10)-1)+逐级计算!$Q$170*(FN42-逐级计算!$P$170)*LN(10)/10))))))),"")</f>
        <v>13.7930365745197</v>
      </c>
      <c r="FP42">
        <f>IF(AND(ISNUMBER(FO42),逐级计算!$X$171&gt;-1),IF(逐级计算!$X$171=0,FO42+逐级计算!$C$171,FO42+逐级计算!$C$171-(10/(逐级计算!$Q$171*LN(10))*(MAX((LN(10^(逐级计算!$Q$171/10)-1)+逐级计算!$Q$171*(FO42-逐级计算!$P$171)*LN(10)/10),0)+LN(1+EXP(-ABS((LN(10^(逐级计算!$Q$171/10)-1)+逐级计算!$Q$171*(FO42-逐级计算!$P$171)*LN(10)/10))))))),"")</f>
        <v>13.7930365745197</v>
      </c>
      <c r="FQ42">
        <f>IF(AND(ISNUMBER(FP42),逐级计算!$X$172&gt;-1),IF(逐级计算!$X$172=0,FP42+逐级计算!$C$172,FP42+逐级计算!$C$172-(10/(逐级计算!$Q$172*LN(10))*(MAX((LN(10^(逐级计算!$Q$172/10)-1)+逐级计算!$Q$172*(FP42-逐级计算!$P$172)*LN(10)/10),0)+LN(1+EXP(-ABS((LN(10^(逐级计算!$Q$172/10)-1)+逐级计算!$Q$172*(FP42-逐级计算!$P$172)*LN(10)/10))))))),"")</f>
        <v>13.7930365745197</v>
      </c>
      <c r="FR42">
        <f>IF(AND(ISNUMBER(FQ42),逐级计算!$X$173&gt;-1),IF(逐级计算!$X$173=0,FQ42+逐级计算!$C$173,FQ42+逐级计算!$C$173-(10/(逐级计算!$Q$173*LN(10))*(MAX((LN(10^(逐级计算!$Q$173/10)-1)+逐级计算!$Q$173*(FQ42-逐级计算!$P$173)*LN(10)/10),0)+LN(1+EXP(-ABS((LN(10^(逐级计算!$Q$173/10)-1)+逐级计算!$Q$173*(FQ42-逐级计算!$P$173)*LN(10)/10))))))),"")</f>
        <v>13.7930365745197</v>
      </c>
      <c r="FS42">
        <f>IF(AND(ISNUMBER(FR42),逐级计算!$X$174&gt;-1),IF(逐级计算!$X$174=0,FR42+逐级计算!$C$174,FR42+逐级计算!$C$174-(10/(逐级计算!$Q$174*LN(10))*(MAX((LN(10^(逐级计算!$Q$174/10)-1)+逐级计算!$Q$174*(FR42-逐级计算!$P$174)*LN(10)/10),0)+LN(1+EXP(-ABS((LN(10^(逐级计算!$Q$174/10)-1)+逐级计算!$Q$174*(FR42-逐级计算!$P$174)*LN(10)/10))))))),"")</f>
        <v>13.7930365745197</v>
      </c>
      <c r="FT42">
        <f>IF(AND(ISNUMBER(FS42),逐级计算!$X$175&gt;-1),IF(逐级计算!$X$175=0,FS42+逐级计算!$C$175,FS42+逐级计算!$C$175-(10/(逐级计算!$Q$175*LN(10))*(MAX((LN(10^(逐级计算!$Q$175/10)-1)+逐级计算!$Q$175*(FS42-逐级计算!$P$175)*LN(10)/10),0)+LN(1+EXP(-ABS((LN(10^(逐级计算!$Q$175/10)-1)+逐级计算!$Q$175*(FS42-逐级计算!$P$175)*LN(10)/10))))))),"")</f>
        <v>13.7930365745197</v>
      </c>
      <c r="FU42">
        <f>IF(AND(ISNUMBER(FT42),逐级计算!$X$176&gt;-1),IF(逐级计算!$X$176=0,FT42+逐级计算!$C$176,FT42+逐级计算!$C$176-(10/(逐级计算!$Q$176*LN(10))*(MAX((LN(10^(逐级计算!$Q$176/10)-1)+逐级计算!$Q$176*(FT42-逐级计算!$P$176)*LN(10)/10),0)+LN(1+EXP(-ABS((LN(10^(逐级计算!$Q$176/10)-1)+逐级计算!$Q$176*(FT42-逐级计算!$P$176)*LN(10)/10))))))),"")</f>
        <v>13.7930365745197</v>
      </c>
      <c r="FV42">
        <f>IF(AND(ISNUMBER(FU42),逐级计算!$X$177&gt;-1),IF(逐级计算!$X$177=0,FU42+逐级计算!$C$177,FU42+逐级计算!$C$177-(10/(逐级计算!$Q$177*LN(10))*(MAX((LN(10^(逐级计算!$Q$177/10)-1)+逐级计算!$Q$177*(FU42-逐级计算!$P$177)*LN(10)/10),0)+LN(1+EXP(-ABS((LN(10^(逐级计算!$Q$177/10)-1)+逐级计算!$Q$177*(FU42-逐级计算!$P$177)*LN(10)/10))))))),"")</f>
        <v>13.7930365745197</v>
      </c>
      <c r="FW42">
        <f>IF(AND(ISNUMBER(FV42),逐级计算!$X$178&gt;-1),IF(逐级计算!$X$178=0,FV42+逐级计算!$C$178,FV42+逐级计算!$C$178-(10/(逐级计算!$Q$178*LN(10))*(MAX((LN(10^(逐级计算!$Q$178/10)-1)+逐级计算!$Q$178*(FV42-逐级计算!$P$178)*LN(10)/10),0)+LN(1+EXP(-ABS((LN(10^(逐级计算!$Q$178/10)-1)+逐级计算!$Q$178*(FV42-逐级计算!$P$178)*LN(10)/10))))))),"")</f>
        <v>13.7930365745197</v>
      </c>
      <c r="FX42">
        <f>IF(AND(ISNUMBER(FW42),逐级计算!$X$179&gt;-1),IF(逐级计算!$X$179=0,FW42+逐级计算!$C$179,FW42+逐级计算!$C$179-(10/(逐级计算!$Q$179*LN(10))*(MAX((LN(10^(逐级计算!$Q$179/10)-1)+逐级计算!$Q$179*(FW42-逐级计算!$P$179)*LN(10)/10),0)+LN(1+EXP(-ABS((LN(10^(逐级计算!$Q$179/10)-1)+逐级计算!$Q$179*(FW42-逐级计算!$P$179)*LN(10)/10))))))),"")</f>
        <v>13.7930365745197</v>
      </c>
      <c r="FY42">
        <f>IF(AND(ISNUMBER(FX42),逐级计算!$X$180&gt;-1),IF(逐级计算!$X$180=0,FX42+逐级计算!$C$180,FX42+逐级计算!$C$180-(10/(逐级计算!$Q$180*LN(10))*(MAX((LN(10^(逐级计算!$Q$180/10)-1)+逐级计算!$Q$180*(FX42-逐级计算!$P$180)*LN(10)/10),0)+LN(1+EXP(-ABS((LN(10^(逐级计算!$Q$180/10)-1)+逐级计算!$Q$180*(FX42-逐级计算!$P$180)*LN(10)/10))))))),"")</f>
        <v>13.7930365745197</v>
      </c>
      <c r="FZ42">
        <f>IF(AND(ISNUMBER(FY42),逐级计算!$X$181&gt;-1),IF(逐级计算!$X$181=0,FY42+逐级计算!$C$181,FY42+逐级计算!$C$181-(10/(逐级计算!$Q$181*LN(10))*(MAX((LN(10^(逐级计算!$Q$181/10)-1)+逐级计算!$Q$181*(FY42-逐级计算!$P$181)*LN(10)/10),0)+LN(1+EXP(-ABS((LN(10^(逐级计算!$Q$181/10)-1)+逐级计算!$Q$181*(FY42-逐级计算!$P$181)*LN(10)/10))))))),"")</f>
        <v>13.7930365745197</v>
      </c>
      <c r="GA42">
        <f>IF(AND(ISNUMBER(FZ42),逐级计算!$X$182&gt;-1),IF(逐级计算!$X$182=0,FZ42+逐级计算!$C$182,FZ42+逐级计算!$C$182-(10/(逐级计算!$Q$182*LN(10))*(MAX((LN(10^(逐级计算!$Q$182/10)-1)+逐级计算!$Q$182*(FZ42-逐级计算!$P$182)*LN(10)/10),0)+LN(1+EXP(-ABS((LN(10^(逐级计算!$Q$182/10)-1)+逐级计算!$Q$182*(FZ42-逐级计算!$P$182)*LN(10)/10))))))),"")</f>
        <v>13.7930365745197</v>
      </c>
      <c r="GB42">
        <f>IF(AND(ISNUMBER(GA42),逐级计算!$X$183&gt;-1),IF(逐级计算!$X$183=0,GA42+逐级计算!$C$183,GA42+逐级计算!$C$183-(10/(逐级计算!$Q$183*LN(10))*(MAX((LN(10^(逐级计算!$Q$183/10)-1)+逐级计算!$Q$183*(GA42-逐级计算!$P$183)*LN(10)/10),0)+LN(1+EXP(-ABS((LN(10^(逐级计算!$Q$183/10)-1)+逐级计算!$Q$183*(GA42-逐级计算!$P$183)*LN(10)/10))))))),"")</f>
        <v>13.7930365745197</v>
      </c>
      <c r="GC42">
        <f>IF(AND(ISNUMBER(GB42),逐级计算!$X$184&gt;-1),IF(逐级计算!$X$184=0,GB42+逐级计算!$C$184,GB42+逐级计算!$C$184-(10/(逐级计算!$Q$184*LN(10))*(MAX((LN(10^(逐级计算!$Q$184/10)-1)+逐级计算!$Q$184*(GB42-逐级计算!$P$184)*LN(10)/10),0)+LN(1+EXP(-ABS((LN(10^(逐级计算!$Q$184/10)-1)+逐级计算!$Q$184*(GB42-逐级计算!$P$184)*LN(10)/10))))))),"")</f>
        <v>13.7930365745197</v>
      </c>
      <c r="GD42">
        <f>IF(AND(ISNUMBER(GC42),逐级计算!$X$185&gt;-1),IF(逐级计算!$X$185=0,GC42+逐级计算!$C$185,GC42+逐级计算!$C$185-(10/(逐级计算!$Q$185*LN(10))*(MAX((LN(10^(逐级计算!$Q$185/10)-1)+逐级计算!$Q$185*(GC42-逐级计算!$P$185)*LN(10)/10),0)+LN(1+EXP(-ABS((LN(10^(逐级计算!$Q$185/10)-1)+逐级计算!$Q$185*(GC42-逐级计算!$P$185)*LN(10)/10))))))),"")</f>
        <v>13.7930365745197</v>
      </c>
      <c r="GE42">
        <f>IF(AND(ISNUMBER(GD42),逐级计算!$X$186&gt;-1),IF(逐级计算!$X$186=0,GD42+逐级计算!$C$186,GD42+逐级计算!$C$186-(10/(逐级计算!$Q$186*LN(10))*(MAX((LN(10^(逐级计算!$Q$186/10)-1)+逐级计算!$Q$186*(GD42-逐级计算!$P$186)*LN(10)/10),0)+LN(1+EXP(-ABS((LN(10^(逐级计算!$Q$186/10)-1)+逐级计算!$Q$186*(GD42-逐级计算!$P$186)*LN(10)/10))))))),"")</f>
        <v>13.7930365745197</v>
      </c>
      <c r="GF42">
        <f>IF(AND(ISNUMBER(GE42),逐级计算!$X$187&gt;-1),IF(逐级计算!$X$187=0,GE42+逐级计算!$C$187,GE42+逐级计算!$C$187-(10/(逐级计算!$Q$187*LN(10))*(MAX((LN(10^(逐级计算!$Q$187/10)-1)+逐级计算!$Q$187*(GE42-逐级计算!$P$187)*LN(10)/10),0)+LN(1+EXP(-ABS((LN(10^(逐级计算!$Q$187/10)-1)+逐级计算!$Q$187*(GE42-逐级计算!$P$187)*LN(10)/10))))))),"")</f>
        <v>13.7930365745197</v>
      </c>
      <c r="GG42">
        <f>IF(AND(ISNUMBER(GF42),逐级计算!$X$188&gt;-1),IF(逐级计算!$X$188=0,GF42+逐级计算!$C$188,GF42+逐级计算!$C$188-(10/(逐级计算!$Q$188*LN(10))*(MAX((LN(10^(逐级计算!$Q$188/10)-1)+逐级计算!$Q$188*(GF42-逐级计算!$P$188)*LN(10)/10),0)+LN(1+EXP(-ABS((LN(10^(逐级计算!$Q$188/10)-1)+逐级计算!$Q$188*(GF42-逐级计算!$P$188)*LN(10)/10))))))),"")</f>
        <v>13.7930365745197</v>
      </c>
      <c r="GH42">
        <f>IF(AND(ISNUMBER(GG42),逐级计算!$X$189&gt;-1),IF(逐级计算!$X$189=0,GG42+逐级计算!$C$189,GG42+逐级计算!$C$189-(10/(逐级计算!$Q$189*LN(10))*(MAX((LN(10^(逐级计算!$Q$189/10)-1)+逐级计算!$Q$189*(GG42-逐级计算!$P$189)*LN(10)/10),0)+LN(1+EXP(-ABS((LN(10^(逐级计算!$Q$189/10)-1)+逐级计算!$Q$189*(GG42-逐级计算!$P$189)*LN(10)/10))))))),"")</f>
        <v>13.7930365745197</v>
      </c>
      <c r="GI42">
        <f>IF(AND(ISNUMBER(GH42),逐级计算!$X$190&gt;-1),IF(逐级计算!$X$190=0,GH42+逐级计算!$C$190,GH42+逐级计算!$C$190-(10/(逐级计算!$Q$190*LN(10))*(MAX((LN(10^(逐级计算!$Q$190/10)-1)+逐级计算!$Q$190*(GH42-逐级计算!$P$190)*LN(10)/10),0)+LN(1+EXP(-ABS((LN(10^(逐级计算!$Q$190/10)-1)+逐级计算!$Q$190*(GH42-逐级计算!$P$190)*LN(10)/10))))))),"")</f>
        <v>13.7930365745197</v>
      </c>
      <c r="GJ42">
        <f>IF(AND(ISNUMBER(GI42),逐级计算!$X$191&gt;-1),IF(逐级计算!$X$191=0,GI42+逐级计算!$C$191,GI42+逐级计算!$C$191-(10/(逐级计算!$Q$191*LN(10))*(MAX((LN(10^(逐级计算!$Q$191/10)-1)+逐级计算!$Q$191*(GI42-逐级计算!$P$191)*LN(10)/10),0)+LN(1+EXP(-ABS((LN(10^(逐级计算!$Q$191/10)-1)+逐级计算!$Q$191*(GI42-逐级计算!$P$191)*LN(10)/10))))))),"")</f>
        <v>13.7930365745197</v>
      </c>
      <c r="GK42">
        <f>IF(AND(ISNUMBER(GJ42),逐级计算!$X$192&gt;-1),IF(逐级计算!$X$192=0,GJ42+逐级计算!$C$192,GJ42+逐级计算!$C$192-(10/(逐级计算!$Q$192*LN(10))*(MAX((LN(10^(逐级计算!$Q$192/10)-1)+逐级计算!$Q$192*(GJ42-逐级计算!$P$192)*LN(10)/10),0)+LN(1+EXP(-ABS((LN(10^(逐级计算!$Q$192/10)-1)+逐级计算!$Q$192*(GJ42-逐级计算!$P$192)*LN(10)/10))))))),"")</f>
        <v>13.7930365745197</v>
      </c>
      <c r="GL42">
        <f>IF(AND(ISNUMBER(GK42),逐级计算!$X$193&gt;-1),IF(逐级计算!$X$193=0,GK42+逐级计算!$C$193,GK42+逐级计算!$C$193-(10/(逐级计算!$Q$193*LN(10))*(MAX((LN(10^(逐级计算!$Q$193/10)-1)+逐级计算!$Q$193*(GK42-逐级计算!$P$193)*LN(10)/10),0)+LN(1+EXP(-ABS((LN(10^(逐级计算!$Q$193/10)-1)+逐级计算!$Q$193*(GK42-逐级计算!$P$193)*LN(10)/10))))))),"")</f>
        <v>13.7930365745197</v>
      </c>
      <c r="GM42">
        <f>IF(AND(ISNUMBER(GL42),逐级计算!$X$194&gt;-1),IF(逐级计算!$X$194=0,GL42+逐级计算!$C$194,GL42+逐级计算!$C$194-(10/(逐级计算!$Q$194*LN(10))*(MAX((LN(10^(逐级计算!$Q$194/10)-1)+逐级计算!$Q$194*(GL42-逐级计算!$P$194)*LN(10)/10),0)+LN(1+EXP(-ABS((LN(10^(逐级计算!$Q$194/10)-1)+逐级计算!$Q$194*(GL42-逐级计算!$P$194)*LN(10)/10))))))),"")</f>
        <v>13.7930365745197</v>
      </c>
      <c r="GN42">
        <f>IF(AND(ISNUMBER(GM42),逐级计算!$X$195&gt;-1),IF(逐级计算!$X$195=0,GM42+逐级计算!$C$195,GM42+逐级计算!$C$195-(10/(逐级计算!$Q$195*LN(10))*(MAX((LN(10^(逐级计算!$Q$195/10)-1)+逐级计算!$Q$195*(GM42-逐级计算!$P$195)*LN(10)/10),0)+LN(1+EXP(-ABS((LN(10^(逐级计算!$Q$195/10)-1)+逐级计算!$Q$195*(GM42-逐级计算!$P$195)*LN(10)/10))))))),"")</f>
        <v>13.7930365745197</v>
      </c>
      <c r="GO42">
        <f>IF(AND(ISNUMBER(GN42),逐级计算!$X$196&gt;-1),IF(逐级计算!$X$196=0,GN42+逐级计算!$C$196,GN42+逐级计算!$C$196-(10/(逐级计算!$Q$196*LN(10))*(MAX((LN(10^(逐级计算!$Q$196/10)-1)+逐级计算!$Q$196*(GN42-逐级计算!$P$196)*LN(10)/10),0)+LN(1+EXP(-ABS((LN(10^(逐级计算!$Q$196/10)-1)+逐级计算!$Q$196*(GN42-逐级计算!$P$196)*LN(10)/10))))))),"")</f>
        <v>13.7930365745197</v>
      </c>
      <c r="GP42">
        <f>IF(AND(ISNUMBER(GO42),逐级计算!$X$197&gt;-1),IF(逐级计算!$X$197=0,GO42+逐级计算!$C$197,GO42+逐级计算!$C$197-(10/(逐级计算!$Q$197*LN(10))*(MAX((LN(10^(逐级计算!$Q$197/10)-1)+逐级计算!$Q$197*(GO42-逐级计算!$P$197)*LN(10)/10),0)+LN(1+EXP(-ABS((LN(10^(逐级计算!$Q$197/10)-1)+逐级计算!$Q$197*(GO42-逐级计算!$P$197)*LN(10)/10))))))),"")</f>
        <v>13.7930365745197</v>
      </c>
      <c r="GQ42">
        <f>IF(AND(ISNUMBER(GP42),逐级计算!$X$198&gt;-1),IF(逐级计算!$X$198=0,GP42+逐级计算!$C$198,GP42+逐级计算!$C$198-(10/(逐级计算!$Q$198*LN(10))*(MAX((LN(10^(逐级计算!$Q$198/10)-1)+逐级计算!$Q$198*(GP42-逐级计算!$P$198)*LN(10)/10),0)+LN(1+EXP(-ABS((LN(10^(逐级计算!$Q$198/10)-1)+逐级计算!$Q$198*(GP42-逐级计算!$P$198)*LN(10)/10))))))),"")</f>
        <v>13.7930365745197</v>
      </c>
      <c r="GR42">
        <f>IF(AND(ISNUMBER(GQ42),逐级计算!$X$199&gt;-1),IF(逐级计算!$X$199=0,GQ42+逐级计算!$C$199,GQ42+逐级计算!$C$199-(10/(逐级计算!$Q$199*LN(10))*(MAX((LN(10^(逐级计算!$Q$199/10)-1)+逐级计算!$Q$199*(GQ42-逐级计算!$P$199)*LN(10)/10),0)+LN(1+EXP(-ABS((LN(10^(逐级计算!$Q$199/10)-1)+逐级计算!$Q$199*(GQ42-逐级计算!$P$199)*LN(10)/10))))))),"")</f>
        <v>13.7930365745197</v>
      </c>
      <c r="GS42">
        <f>IF(AND(ISNUMBER(GR42),逐级计算!$X$200&gt;-1),IF(逐级计算!$X$200=0,GR42+逐级计算!$C$200,GR42+逐级计算!$C$200-(10/(逐级计算!$Q$200*LN(10))*(MAX((LN(10^(逐级计算!$Q$200/10)-1)+逐级计算!$Q$200*(GR42-逐级计算!$P$200)*LN(10)/10),0)+LN(1+EXP(-ABS((LN(10^(逐级计算!$Q$200/10)-1)+逐级计算!$Q$200*(GR42-逐级计算!$P$200)*LN(10)/10))))))),"")</f>
        <v>13.7930365745197</v>
      </c>
      <c r="GT42">
        <f>IF(AND(ISNUMBER(GS42),逐级计算!$X$201&gt;-1),IF(逐级计算!$X$201=0,GS42+逐级计算!$C$201,GS42+逐级计算!$C$201-(10/(逐级计算!$Q$201*LN(10))*(MAX((LN(10^(逐级计算!$Q$201/10)-1)+逐级计算!$Q$201*(GS42-逐级计算!$P$201)*LN(10)/10),0)+LN(1+EXP(-ABS((LN(10^(逐级计算!$Q$201/10)-1)+逐级计算!$Q$201*(GS42-逐级计算!$P$201)*LN(10)/10))))))),"")</f>
        <v>13.7930365745197</v>
      </c>
      <c r="GU42">
        <f>IF(AND(ISNUMBER(GT42),逐级计算!$X$202&gt;-1),IF(逐级计算!$X$202=0,GT42+逐级计算!$C$202,GT42+逐级计算!$C$202-(10/(逐级计算!$Q$202*LN(10))*(MAX((LN(10^(逐级计算!$Q$202/10)-1)+逐级计算!$Q$202*(GT42-逐级计算!$P$202)*LN(10)/10),0)+LN(1+EXP(-ABS((LN(10^(逐级计算!$Q$202/10)-1)+逐级计算!$Q$202*(GT42-逐级计算!$P$202)*LN(10)/10))))))),"")</f>
        <v>13.7930365745197</v>
      </c>
      <c r="GV42">
        <f>IF(AND(ISNUMBER(GU42),逐级计算!$X$203&gt;-1),IF(逐级计算!$X$203=0,GU42+逐级计算!$C$203,GU42+逐级计算!$C$203-(10/(逐级计算!$Q$203*LN(10))*(MAX((LN(10^(逐级计算!$Q$203/10)-1)+逐级计算!$Q$203*(GU42-逐级计算!$P$203)*LN(10)/10),0)+LN(1+EXP(-ABS((LN(10^(逐级计算!$Q$203/10)-1)+逐级计算!$Q$203*(GU42-逐级计算!$P$203)*LN(10)/10))))))),"")</f>
        <v>13.7930365745197</v>
      </c>
      <c r="GW42">
        <f t="shared" si="2"/>
        <v>-5.20696342224255</v>
      </c>
    </row>
    <row r="43" spans="1:205">
      <c r="A43">
        <v>36</v>
      </c>
      <c r="B43">
        <f t="shared" si="1"/>
        <v>-5.20696342835436</v>
      </c>
      <c r="C43">
        <f t="shared" si="0"/>
        <v>-5.20696342682641</v>
      </c>
      <c r="D43">
        <f>IF(AND(ISNUMBER(C43),ISNUMBER(逐级计算!$E$203),ISNUMBER(GV43)),C43+逐级计算!$E$203-GV43,"")</f>
        <v>0.999999999617938</v>
      </c>
      <c r="E43">
        <f>IF(AND(ISNUMBER(C43),逐级计算!$X$4&gt;-1),IF(逐级计算!$X$4=0,C43+逐级计算!$C$4,C43+逐级计算!$C$4-(10/(逐级计算!$Q$4*LN(10))*(MAX((LN(10^(逐级计算!$Q$4/10)-1)+逐级计算!$Q$4*(C43-逐级计算!$P$4)*LN(10)/10),0)+LN(1+EXP(-ABS((LN(10^(逐级计算!$Q$4/10)-1)+逐级计算!$Q$4*(C43-逐级计算!$P$4)*LN(10)/10))))))),"")</f>
        <v>4.68053982830009</v>
      </c>
      <c r="F43">
        <f>IF(AND(ISNUMBER(E43),逐级计算!$X$5&gt;-1),IF(逐级计算!$X$5=0,E43+逐级计算!$C$5,E43+逐级计算!$C$5-(10/(逐级计算!$Q$5*LN(10))*(MAX((LN(10^(逐级计算!$Q$5/10)-1)+逐级计算!$Q$5*(E43-逐级计算!$P$5)*LN(10)/10),0)+LN(1+EXP(-ABS((LN(10^(逐级计算!$Q$5/10)-1)+逐级计算!$Q$5*(E43-逐级计算!$P$5)*LN(10)/10))))))),"")</f>
        <v>13.7930365735557</v>
      </c>
      <c r="G43">
        <f>IF(AND(ISNUMBER(F43),逐级计算!$X$6&gt;-1),IF(逐级计算!$X$6=0,F43+逐级计算!$C$6,F43+逐级计算!$C$6-(10/(逐级计算!$Q$6*LN(10))*(MAX((LN(10^(逐级计算!$Q$6/10)-1)+逐级计算!$Q$6*(F43-逐级计算!$P$6)*LN(10)/10),0)+LN(1+EXP(-ABS((LN(10^(逐级计算!$Q$6/10)-1)+逐级计算!$Q$6*(F43-逐级计算!$P$6)*LN(10)/10))))))),"")</f>
        <v>13.7930365735557</v>
      </c>
      <c r="H43">
        <f>IF(AND(ISNUMBER(G43),逐级计算!$X$7&gt;-1),IF(逐级计算!$X$7=0,G43+逐级计算!$C$7,G43+逐级计算!$C$7-(10/(逐级计算!$Q$7*LN(10))*(MAX((LN(10^(逐级计算!$Q$7/10)-1)+逐级计算!$Q$7*(G43-逐级计算!$P$7)*LN(10)/10),0)+LN(1+EXP(-ABS((LN(10^(逐级计算!$Q$7/10)-1)+逐级计算!$Q$7*(G43-逐级计算!$P$7)*LN(10)/10))))))),"")</f>
        <v>13.7930365735557</v>
      </c>
      <c r="I43">
        <f>IF(AND(ISNUMBER(H43),逐级计算!$X$8&gt;-1),IF(逐级计算!$X$8=0,H43+逐级计算!$C$8,H43+逐级计算!$C$8-(10/(逐级计算!$Q$8*LN(10))*(MAX((LN(10^(逐级计算!$Q$8/10)-1)+逐级计算!$Q$8*(H43-逐级计算!$P$8)*LN(10)/10),0)+LN(1+EXP(-ABS((LN(10^(逐级计算!$Q$8/10)-1)+逐级计算!$Q$8*(H43-逐级计算!$P$8)*LN(10)/10))))))),"")</f>
        <v>13.7930365735557</v>
      </c>
      <c r="J43">
        <f>IF(AND(ISNUMBER(I43),逐级计算!$X$9&gt;-1),IF(逐级计算!$X$9=0,I43+逐级计算!$C$9,I43+逐级计算!$C$9-(10/(逐级计算!$Q$9*LN(10))*(MAX((LN(10^(逐级计算!$Q$9/10)-1)+逐级计算!$Q$9*(I43-逐级计算!$P$9)*LN(10)/10),0)+LN(1+EXP(-ABS((LN(10^(逐级计算!$Q$9/10)-1)+逐级计算!$Q$9*(I43-逐级计算!$P$9)*LN(10)/10))))))),"")</f>
        <v>13.7930365735557</v>
      </c>
      <c r="K43">
        <f>IF(AND(ISNUMBER(J43),逐级计算!$X$10&gt;-1),IF(逐级计算!$X$10=0,J43+逐级计算!$C$10,J43+逐级计算!$C$10-(10/(逐级计算!$Q$10*LN(10))*(MAX((LN(10^(逐级计算!$Q$10/10)-1)+逐级计算!$Q$10*(J43-逐级计算!$P$10)*LN(10)/10),0)+LN(1+EXP(-ABS((LN(10^(逐级计算!$Q$10/10)-1)+逐级计算!$Q$10*(J43-逐级计算!$P$10)*LN(10)/10))))))),"")</f>
        <v>13.7930365735557</v>
      </c>
      <c r="L43">
        <f>IF(AND(ISNUMBER(K43),逐级计算!$X$11&gt;-1),IF(逐级计算!$X$11=0,K43+逐级计算!$C$11,K43+逐级计算!$C$11-(10/(逐级计算!$Q$11*LN(10))*(MAX((LN(10^(逐级计算!$Q$11/10)-1)+逐级计算!$Q$11*(K43-逐级计算!$P$11)*LN(10)/10),0)+LN(1+EXP(-ABS((LN(10^(逐级计算!$Q$11/10)-1)+逐级计算!$Q$11*(K43-逐级计算!$P$11)*LN(10)/10))))))),"")</f>
        <v>13.7930365735557</v>
      </c>
      <c r="M43">
        <f>IF(AND(ISNUMBER(L43),逐级计算!$X$12&gt;-1),IF(逐级计算!$X$12=0,L43+逐级计算!$C$12,L43+逐级计算!$C$12-(10/(逐级计算!$Q$12*LN(10))*(MAX((LN(10^(逐级计算!$Q$12/10)-1)+逐级计算!$Q$12*(L43-逐级计算!$P$12)*LN(10)/10),0)+LN(1+EXP(-ABS((LN(10^(逐级计算!$Q$12/10)-1)+逐级计算!$Q$12*(L43-逐级计算!$P$12)*LN(10)/10))))))),"")</f>
        <v>13.7930365735557</v>
      </c>
      <c r="N43">
        <f>IF(AND(ISNUMBER(M43),逐级计算!$X$13&gt;-1),IF(逐级计算!$X$13=0,M43+逐级计算!$C$13,M43+逐级计算!$C$13-(10/(逐级计算!$Q$13*LN(10))*(MAX((LN(10^(逐级计算!$Q$13/10)-1)+逐级计算!$Q$13*(M43-逐级计算!$P$13)*LN(10)/10),0)+LN(1+EXP(-ABS((LN(10^(逐级计算!$Q$13/10)-1)+逐级计算!$Q$13*(M43-逐级计算!$P$13)*LN(10)/10))))))),"")</f>
        <v>13.7930365735557</v>
      </c>
      <c r="O43">
        <f>IF(AND(ISNUMBER(N43),逐级计算!$X$14&gt;-1),IF(逐级计算!$X$14=0,N43+逐级计算!$C$14,N43+逐级计算!$C$14-(10/(逐级计算!$Q$14*LN(10))*(MAX((LN(10^(逐级计算!$Q$14/10)-1)+逐级计算!$Q$14*(N43-逐级计算!$P$14)*LN(10)/10),0)+LN(1+EXP(-ABS((LN(10^(逐级计算!$Q$14/10)-1)+逐级计算!$Q$14*(N43-逐级计算!$P$14)*LN(10)/10))))))),"")</f>
        <v>13.7930365735557</v>
      </c>
      <c r="P43">
        <f>IF(AND(ISNUMBER(O43),逐级计算!$X$15&gt;-1),IF(逐级计算!$X$15=0,O43+逐级计算!$C$15,O43+逐级计算!$C$15-(10/(逐级计算!$Q$15*LN(10))*(MAX((LN(10^(逐级计算!$Q$15/10)-1)+逐级计算!$Q$15*(O43-逐级计算!$P$15)*LN(10)/10),0)+LN(1+EXP(-ABS((LN(10^(逐级计算!$Q$15/10)-1)+逐级计算!$Q$15*(O43-逐级计算!$P$15)*LN(10)/10))))))),"")</f>
        <v>13.7930365735557</v>
      </c>
      <c r="Q43">
        <f>IF(AND(ISNUMBER(P43),逐级计算!$X$16&gt;-1),IF(逐级计算!$X$16=0,P43+逐级计算!$C$16,P43+逐级计算!$C$16-(10/(逐级计算!$Q$16*LN(10))*(MAX((LN(10^(逐级计算!$Q$16/10)-1)+逐级计算!$Q$16*(P43-逐级计算!$P$16)*LN(10)/10),0)+LN(1+EXP(-ABS((LN(10^(逐级计算!$Q$16/10)-1)+逐级计算!$Q$16*(P43-逐级计算!$P$16)*LN(10)/10))))))),"")</f>
        <v>13.7930365735557</v>
      </c>
      <c r="R43">
        <f>IF(AND(ISNUMBER(Q43),逐级计算!$X$17&gt;-1),IF(逐级计算!$X$17=0,Q43+逐级计算!$C$17,Q43+逐级计算!$C$17-(10/(逐级计算!$Q$17*LN(10))*(MAX((LN(10^(逐级计算!$Q$17/10)-1)+逐级计算!$Q$17*(Q43-逐级计算!$P$17)*LN(10)/10),0)+LN(1+EXP(-ABS((LN(10^(逐级计算!$Q$17/10)-1)+逐级计算!$Q$17*(Q43-逐级计算!$P$17)*LN(10)/10))))))),"")</f>
        <v>13.7930365735557</v>
      </c>
      <c r="S43">
        <f>IF(AND(ISNUMBER(R43),逐级计算!$X$18&gt;-1),IF(逐级计算!$X$18=0,R43+逐级计算!$C$18,R43+逐级计算!$C$18-(10/(逐级计算!$Q$18*LN(10))*(MAX((LN(10^(逐级计算!$Q$18/10)-1)+逐级计算!$Q$18*(R43-逐级计算!$P$18)*LN(10)/10),0)+LN(1+EXP(-ABS((LN(10^(逐级计算!$Q$18/10)-1)+逐级计算!$Q$18*(R43-逐级计算!$P$18)*LN(10)/10))))))),"")</f>
        <v>13.7930365735557</v>
      </c>
      <c r="T43">
        <f>IF(AND(ISNUMBER(S43),逐级计算!$X$19&gt;-1),IF(逐级计算!$X$19=0,S43+逐级计算!$C$19,S43+逐级计算!$C$19-(10/(逐级计算!$Q$19*LN(10))*(MAX((LN(10^(逐级计算!$Q$19/10)-1)+逐级计算!$Q$19*(S43-逐级计算!$P$19)*LN(10)/10),0)+LN(1+EXP(-ABS((LN(10^(逐级计算!$Q$19/10)-1)+逐级计算!$Q$19*(S43-逐级计算!$P$19)*LN(10)/10))))))),"")</f>
        <v>13.7930365735557</v>
      </c>
      <c r="U43">
        <f>IF(AND(ISNUMBER(T43),逐级计算!$X$20&gt;-1),IF(逐级计算!$X$20=0,T43+逐级计算!$C$20,T43+逐级计算!$C$20-(10/(逐级计算!$Q$20*LN(10))*(MAX((LN(10^(逐级计算!$Q$20/10)-1)+逐级计算!$Q$20*(T43-逐级计算!$P$20)*LN(10)/10),0)+LN(1+EXP(-ABS((LN(10^(逐级计算!$Q$20/10)-1)+逐级计算!$Q$20*(T43-逐级计算!$P$20)*LN(10)/10))))))),"")</f>
        <v>13.7930365735557</v>
      </c>
      <c r="V43">
        <f>IF(AND(ISNUMBER(U43),逐级计算!$X$21&gt;-1),IF(逐级计算!$X$21=0,U43+逐级计算!$C$21,U43+逐级计算!$C$21-(10/(逐级计算!$Q$21*LN(10))*(MAX((LN(10^(逐级计算!$Q$21/10)-1)+逐级计算!$Q$21*(U43-逐级计算!$P$21)*LN(10)/10),0)+LN(1+EXP(-ABS((LN(10^(逐级计算!$Q$21/10)-1)+逐级计算!$Q$21*(U43-逐级计算!$P$21)*LN(10)/10))))))),"")</f>
        <v>13.7930365735557</v>
      </c>
      <c r="W43">
        <f>IF(AND(ISNUMBER(V43),逐级计算!$X$22&gt;-1),IF(逐级计算!$X$22=0,V43+逐级计算!$C$22,V43+逐级计算!$C$22-(10/(逐级计算!$Q$22*LN(10))*(MAX((LN(10^(逐级计算!$Q$22/10)-1)+逐级计算!$Q$22*(V43-逐级计算!$P$22)*LN(10)/10),0)+LN(1+EXP(-ABS((LN(10^(逐级计算!$Q$22/10)-1)+逐级计算!$Q$22*(V43-逐级计算!$P$22)*LN(10)/10))))))),"")</f>
        <v>13.7930365735557</v>
      </c>
      <c r="X43">
        <f>IF(AND(ISNUMBER(W43),逐级计算!$X$23&gt;-1),IF(逐级计算!$X$23=0,W43+逐级计算!$C$23,W43+逐级计算!$C$23-(10/(逐级计算!$Q$23*LN(10))*(MAX((LN(10^(逐级计算!$Q$23/10)-1)+逐级计算!$Q$23*(W43-逐级计算!$P$23)*LN(10)/10),0)+LN(1+EXP(-ABS((LN(10^(逐级计算!$Q$23/10)-1)+逐级计算!$Q$23*(W43-逐级计算!$P$23)*LN(10)/10))))))),"")</f>
        <v>13.7930365735557</v>
      </c>
      <c r="Y43">
        <f>IF(AND(ISNUMBER(X43),逐级计算!$X$24&gt;-1),IF(逐级计算!$X$24=0,X43+逐级计算!$C$24,X43+逐级计算!$C$24-(10/(逐级计算!$Q$24*LN(10))*(MAX((LN(10^(逐级计算!$Q$24/10)-1)+逐级计算!$Q$24*(X43-逐级计算!$P$24)*LN(10)/10),0)+LN(1+EXP(-ABS((LN(10^(逐级计算!$Q$24/10)-1)+逐级计算!$Q$24*(X43-逐级计算!$P$24)*LN(10)/10))))))),"")</f>
        <v>13.7930365735557</v>
      </c>
      <c r="Z43">
        <f>IF(AND(ISNUMBER(Y43),逐级计算!$X$25&gt;-1),IF(逐级计算!$X$25=0,Y43+逐级计算!$C$25,Y43+逐级计算!$C$25-(10/(逐级计算!$Q$25*LN(10))*(MAX((LN(10^(逐级计算!$Q$25/10)-1)+逐级计算!$Q$25*(Y43-逐级计算!$P$25)*LN(10)/10),0)+LN(1+EXP(-ABS((LN(10^(逐级计算!$Q$25/10)-1)+逐级计算!$Q$25*(Y43-逐级计算!$P$25)*LN(10)/10))))))),"")</f>
        <v>13.7930365735557</v>
      </c>
      <c r="AA43">
        <f>IF(AND(ISNUMBER(Z43),逐级计算!$X$26&gt;-1),IF(逐级计算!$X$26=0,Z43+逐级计算!$C$26,Z43+逐级计算!$C$26-(10/(逐级计算!$Q$26*LN(10))*(MAX((LN(10^(逐级计算!$Q$26/10)-1)+逐级计算!$Q$26*(Z43-逐级计算!$P$26)*LN(10)/10),0)+LN(1+EXP(-ABS((LN(10^(逐级计算!$Q$26/10)-1)+逐级计算!$Q$26*(Z43-逐级计算!$P$26)*LN(10)/10))))))),"")</f>
        <v>13.7930365735557</v>
      </c>
      <c r="AB43">
        <f>IF(AND(ISNUMBER(AA43),逐级计算!$X$27&gt;-1),IF(逐级计算!$X$27=0,AA43+逐级计算!$C$27,AA43+逐级计算!$C$27-(10/(逐级计算!$Q$27*LN(10))*(MAX((LN(10^(逐级计算!$Q$27/10)-1)+逐级计算!$Q$27*(AA43-逐级计算!$P$27)*LN(10)/10),0)+LN(1+EXP(-ABS((LN(10^(逐级计算!$Q$27/10)-1)+逐级计算!$Q$27*(AA43-逐级计算!$P$27)*LN(10)/10))))))),"")</f>
        <v>13.7930365735557</v>
      </c>
      <c r="AC43">
        <f>IF(AND(ISNUMBER(AB43),逐级计算!$X$28&gt;-1),IF(逐级计算!$X$28=0,AB43+逐级计算!$C$28,AB43+逐级计算!$C$28-(10/(逐级计算!$Q$28*LN(10))*(MAX((LN(10^(逐级计算!$Q$28/10)-1)+逐级计算!$Q$28*(AB43-逐级计算!$P$28)*LN(10)/10),0)+LN(1+EXP(-ABS((LN(10^(逐级计算!$Q$28/10)-1)+逐级计算!$Q$28*(AB43-逐级计算!$P$28)*LN(10)/10))))))),"")</f>
        <v>13.7930365735557</v>
      </c>
      <c r="AD43">
        <f>IF(AND(ISNUMBER(AC43),逐级计算!$X$29&gt;-1),IF(逐级计算!$X$29=0,AC43+逐级计算!$C$29,AC43+逐级计算!$C$29-(10/(逐级计算!$Q$29*LN(10))*(MAX((LN(10^(逐级计算!$Q$29/10)-1)+逐级计算!$Q$29*(AC43-逐级计算!$P$29)*LN(10)/10),0)+LN(1+EXP(-ABS((LN(10^(逐级计算!$Q$29/10)-1)+逐级计算!$Q$29*(AC43-逐级计算!$P$29)*LN(10)/10))))))),"")</f>
        <v>13.7930365735557</v>
      </c>
      <c r="AE43">
        <f>IF(AND(ISNUMBER(AD43),逐级计算!$X$30&gt;-1),IF(逐级计算!$X$30=0,AD43+逐级计算!$C$30,AD43+逐级计算!$C$30-(10/(逐级计算!$Q$30*LN(10))*(MAX((LN(10^(逐级计算!$Q$30/10)-1)+逐级计算!$Q$30*(AD43-逐级计算!$P$30)*LN(10)/10),0)+LN(1+EXP(-ABS((LN(10^(逐级计算!$Q$30/10)-1)+逐级计算!$Q$30*(AD43-逐级计算!$P$30)*LN(10)/10))))))),"")</f>
        <v>13.7930365735557</v>
      </c>
      <c r="AF43">
        <f>IF(AND(ISNUMBER(AE43),逐级计算!$X$31&gt;-1),IF(逐级计算!$X$31=0,AE43+逐级计算!$C$31,AE43+逐级计算!$C$31-(10/(逐级计算!$Q$31*LN(10))*(MAX((LN(10^(逐级计算!$Q$31/10)-1)+逐级计算!$Q$31*(AE43-逐级计算!$P$31)*LN(10)/10),0)+LN(1+EXP(-ABS((LN(10^(逐级计算!$Q$31/10)-1)+逐级计算!$Q$31*(AE43-逐级计算!$P$31)*LN(10)/10))))))),"")</f>
        <v>13.7930365735557</v>
      </c>
      <c r="AG43">
        <f>IF(AND(ISNUMBER(AF43),逐级计算!$X$32&gt;-1),IF(逐级计算!$X$32=0,AF43+逐级计算!$C$32,AF43+逐级计算!$C$32-(10/(逐级计算!$Q$32*LN(10))*(MAX((LN(10^(逐级计算!$Q$32/10)-1)+逐级计算!$Q$32*(AF43-逐级计算!$P$32)*LN(10)/10),0)+LN(1+EXP(-ABS((LN(10^(逐级计算!$Q$32/10)-1)+逐级计算!$Q$32*(AF43-逐级计算!$P$32)*LN(10)/10))))))),"")</f>
        <v>13.7930365735557</v>
      </c>
      <c r="AH43">
        <f>IF(AND(ISNUMBER(AG43),逐级计算!$X$33&gt;-1),IF(逐级计算!$X$33=0,AG43+逐级计算!$C$33,AG43+逐级计算!$C$33-(10/(逐级计算!$Q$33*LN(10))*(MAX((LN(10^(逐级计算!$Q$33/10)-1)+逐级计算!$Q$33*(AG43-逐级计算!$P$33)*LN(10)/10),0)+LN(1+EXP(-ABS((LN(10^(逐级计算!$Q$33/10)-1)+逐级计算!$Q$33*(AG43-逐级计算!$P$33)*LN(10)/10))))))),"")</f>
        <v>13.7930365735557</v>
      </c>
      <c r="AI43">
        <f>IF(AND(ISNUMBER(AH43),逐级计算!$X$34&gt;-1),IF(逐级计算!$X$34=0,AH43+逐级计算!$C$34,AH43+逐级计算!$C$34-(10/(逐级计算!$Q$34*LN(10))*(MAX((LN(10^(逐级计算!$Q$34/10)-1)+逐级计算!$Q$34*(AH43-逐级计算!$P$34)*LN(10)/10),0)+LN(1+EXP(-ABS((LN(10^(逐级计算!$Q$34/10)-1)+逐级计算!$Q$34*(AH43-逐级计算!$P$34)*LN(10)/10))))))),"")</f>
        <v>13.7930365735557</v>
      </c>
      <c r="AJ43">
        <f>IF(AND(ISNUMBER(AI43),逐级计算!$X$35&gt;-1),IF(逐级计算!$X$35=0,AI43+逐级计算!$C$35,AI43+逐级计算!$C$35-(10/(逐级计算!$Q$35*LN(10))*(MAX((LN(10^(逐级计算!$Q$35/10)-1)+逐级计算!$Q$35*(AI43-逐级计算!$P$35)*LN(10)/10),0)+LN(1+EXP(-ABS((LN(10^(逐级计算!$Q$35/10)-1)+逐级计算!$Q$35*(AI43-逐级计算!$P$35)*LN(10)/10))))))),"")</f>
        <v>13.7930365735557</v>
      </c>
      <c r="AK43">
        <f>IF(AND(ISNUMBER(AJ43),逐级计算!$X$36&gt;-1),IF(逐级计算!$X$36=0,AJ43+逐级计算!$C$36,AJ43+逐级计算!$C$36-(10/(逐级计算!$Q$36*LN(10))*(MAX((LN(10^(逐级计算!$Q$36/10)-1)+逐级计算!$Q$36*(AJ43-逐级计算!$P$36)*LN(10)/10),0)+LN(1+EXP(-ABS((LN(10^(逐级计算!$Q$36/10)-1)+逐级计算!$Q$36*(AJ43-逐级计算!$P$36)*LN(10)/10))))))),"")</f>
        <v>13.7930365735557</v>
      </c>
      <c r="AL43">
        <f>IF(AND(ISNUMBER(AK43),逐级计算!$X$37&gt;-1),IF(逐级计算!$X$37=0,AK43+逐级计算!$C$37,AK43+逐级计算!$C$37-(10/(逐级计算!$Q$37*LN(10))*(MAX((LN(10^(逐级计算!$Q$37/10)-1)+逐级计算!$Q$37*(AK43-逐级计算!$P$37)*LN(10)/10),0)+LN(1+EXP(-ABS((LN(10^(逐级计算!$Q$37/10)-1)+逐级计算!$Q$37*(AK43-逐级计算!$P$37)*LN(10)/10))))))),"")</f>
        <v>13.7930365735557</v>
      </c>
      <c r="AM43">
        <f>IF(AND(ISNUMBER(AL43),逐级计算!$X$38&gt;-1),IF(逐级计算!$X$38=0,AL43+逐级计算!$C$38,AL43+逐级计算!$C$38-(10/(逐级计算!$Q$38*LN(10))*(MAX((LN(10^(逐级计算!$Q$38/10)-1)+逐级计算!$Q$38*(AL43-逐级计算!$P$38)*LN(10)/10),0)+LN(1+EXP(-ABS((LN(10^(逐级计算!$Q$38/10)-1)+逐级计算!$Q$38*(AL43-逐级计算!$P$38)*LN(10)/10))))))),"")</f>
        <v>13.7930365735557</v>
      </c>
      <c r="AN43">
        <f>IF(AND(ISNUMBER(AM43),逐级计算!$X$39&gt;-1),IF(逐级计算!$X$39=0,AM43+逐级计算!$C$39,AM43+逐级计算!$C$39-(10/(逐级计算!$Q$39*LN(10))*(MAX((LN(10^(逐级计算!$Q$39/10)-1)+逐级计算!$Q$39*(AM43-逐级计算!$P$39)*LN(10)/10),0)+LN(1+EXP(-ABS((LN(10^(逐级计算!$Q$39/10)-1)+逐级计算!$Q$39*(AM43-逐级计算!$P$39)*LN(10)/10))))))),"")</f>
        <v>13.7930365735557</v>
      </c>
      <c r="AO43">
        <f>IF(AND(ISNUMBER(AN43),逐级计算!$X$40&gt;-1),IF(逐级计算!$X$40=0,AN43+逐级计算!$C$40,AN43+逐级计算!$C$40-(10/(逐级计算!$Q$40*LN(10))*(MAX((LN(10^(逐级计算!$Q$40/10)-1)+逐级计算!$Q$40*(AN43-逐级计算!$P$40)*LN(10)/10),0)+LN(1+EXP(-ABS((LN(10^(逐级计算!$Q$40/10)-1)+逐级计算!$Q$40*(AN43-逐级计算!$P$40)*LN(10)/10))))))),"")</f>
        <v>13.7930365735557</v>
      </c>
      <c r="AP43">
        <f>IF(AND(ISNUMBER(AO43),逐级计算!$X$41&gt;-1),IF(逐级计算!$X$41=0,AO43+逐级计算!$C$41,AO43+逐级计算!$C$41-(10/(逐级计算!$Q$41*LN(10))*(MAX((LN(10^(逐级计算!$Q$41/10)-1)+逐级计算!$Q$41*(AO43-逐级计算!$P$41)*LN(10)/10),0)+LN(1+EXP(-ABS((LN(10^(逐级计算!$Q$41/10)-1)+逐级计算!$Q$41*(AO43-逐级计算!$P$41)*LN(10)/10))))))),"")</f>
        <v>13.7930365735557</v>
      </c>
      <c r="AQ43">
        <f>IF(AND(ISNUMBER(AP43),逐级计算!$X$42&gt;-1),IF(逐级计算!$X$42=0,AP43+逐级计算!$C$42,AP43+逐级计算!$C$42-(10/(逐级计算!$Q$42*LN(10))*(MAX((LN(10^(逐级计算!$Q$42/10)-1)+逐级计算!$Q$42*(AP43-逐级计算!$P$42)*LN(10)/10),0)+LN(1+EXP(-ABS((LN(10^(逐级计算!$Q$42/10)-1)+逐级计算!$Q$42*(AP43-逐级计算!$P$42)*LN(10)/10))))))),"")</f>
        <v>13.7930365735557</v>
      </c>
      <c r="AR43">
        <f>IF(AND(ISNUMBER(AQ43),逐级计算!$X$43&gt;-1),IF(逐级计算!$X$43=0,AQ43+逐级计算!$C$43,AQ43+逐级计算!$C$43-(10/(逐级计算!$Q$43*LN(10))*(MAX((LN(10^(逐级计算!$Q$43/10)-1)+逐级计算!$Q$43*(AQ43-逐级计算!$P$43)*LN(10)/10),0)+LN(1+EXP(-ABS((LN(10^(逐级计算!$Q$43/10)-1)+逐级计算!$Q$43*(AQ43-逐级计算!$P$43)*LN(10)/10))))))),"")</f>
        <v>13.7930365735557</v>
      </c>
      <c r="AS43">
        <f>IF(AND(ISNUMBER(AR43),逐级计算!$X$44&gt;-1),IF(逐级计算!$X$44=0,AR43+逐级计算!$C$44,AR43+逐级计算!$C$44-(10/(逐级计算!$Q$44*LN(10))*(MAX((LN(10^(逐级计算!$Q$44/10)-1)+逐级计算!$Q$44*(AR43-逐级计算!$P$44)*LN(10)/10),0)+LN(1+EXP(-ABS((LN(10^(逐级计算!$Q$44/10)-1)+逐级计算!$Q$44*(AR43-逐级计算!$P$44)*LN(10)/10))))))),"")</f>
        <v>13.7930365735557</v>
      </c>
      <c r="AT43">
        <f>IF(AND(ISNUMBER(AS43),逐级计算!$X$45&gt;-1),IF(逐级计算!$X$45=0,AS43+逐级计算!$C$45,AS43+逐级计算!$C$45-(10/(逐级计算!$Q$45*LN(10))*(MAX((LN(10^(逐级计算!$Q$45/10)-1)+逐级计算!$Q$45*(AS43-逐级计算!$P$45)*LN(10)/10),0)+LN(1+EXP(-ABS((LN(10^(逐级计算!$Q$45/10)-1)+逐级计算!$Q$45*(AS43-逐级计算!$P$45)*LN(10)/10))))))),"")</f>
        <v>13.7930365735557</v>
      </c>
      <c r="AU43">
        <f>IF(AND(ISNUMBER(AT43),逐级计算!$X$46&gt;-1),IF(逐级计算!$X$46=0,AT43+逐级计算!$C$46,AT43+逐级计算!$C$46-(10/(逐级计算!$Q$46*LN(10))*(MAX((LN(10^(逐级计算!$Q$46/10)-1)+逐级计算!$Q$46*(AT43-逐级计算!$P$46)*LN(10)/10),0)+LN(1+EXP(-ABS((LN(10^(逐级计算!$Q$46/10)-1)+逐级计算!$Q$46*(AT43-逐级计算!$P$46)*LN(10)/10))))))),"")</f>
        <v>13.7930365735557</v>
      </c>
      <c r="AV43">
        <f>IF(AND(ISNUMBER(AU43),逐级计算!$X$47&gt;-1),IF(逐级计算!$X$47=0,AU43+逐级计算!$C$47,AU43+逐级计算!$C$47-(10/(逐级计算!$Q$47*LN(10))*(MAX((LN(10^(逐级计算!$Q$47/10)-1)+逐级计算!$Q$47*(AU43-逐级计算!$P$47)*LN(10)/10),0)+LN(1+EXP(-ABS((LN(10^(逐级计算!$Q$47/10)-1)+逐级计算!$Q$47*(AU43-逐级计算!$P$47)*LN(10)/10))))))),"")</f>
        <v>13.7930365735557</v>
      </c>
      <c r="AW43">
        <f>IF(AND(ISNUMBER(AV43),逐级计算!$X$48&gt;-1),IF(逐级计算!$X$48=0,AV43+逐级计算!$C$48,AV43+逐级计算!$C$48-(10/(逐级计算!$Q$48*LN(10))*(MAX((LN(10^(逐级计算!$Q$48/10)-1)+逐级计算!$Q$48*(AV43-逐级计算!$P$48)*LN(10)/10),0)+LN(1+EXP(-ABS((LN(10^(逐级计算!$Q$48/10)-1)+逐级计算!$Q$48*(AV43-逐级计算!$P$48)*LN(10)/10))))))),"")</f>
        <v>13.7930365735557</v>
      </c>
      <c r="AX43">
        <f>IF(AND(ISNUMBER(AW43),逐级计算!$X$49&gt;-1),IF(逐级计算!$X$49=0,AW43+逐级计算!$C$49,AW43+逐级计算!$C$49-(10/(逐级计算!$Q$49*LN(10))*(MAX((LN(10^(逐级计算!$Q$49/10)-1)+逐级计算!$Q$49*(AW43-逐级计算!$P$49)*LN(10)/10),0)+LN(1+EXP(-ABS((LN(10^(逐级计算!$Q$49/10)-1)+逐级计算!$Q$49*(AW43-逐级计算!$P$49)*LN(10)/10))))))),"")</f>
        <v>13.7930365735557</v>
      </c>
      <c r="AY43">
        <f>IF(AND(ISNUMBER(AX43),逐级计算!$X$50&gt;-1),IF(逐级计算!$X$50=0,AX43+逐级计算!$C$50,AX43+逐级计算!$C$50-(10/(逐级计算!$Q$50*LN(10))*(MAX((LN(10^(逐级计算!$Q$50/10)-1)+逐级计算!$Q$50*(AX43-逐级计算!$P$50)*LN(10)/10),0)+LN(1+EXP(-ABS((LN(10^(逐级计算!$Q$50/10)-1)+逐级计算!$Q$50*(AX43-逐级计算!$P$50)*LN(10)/10))))))),"")</f>
        <v>13.7930365735557</v>
      </c>
      <c r="AZ43">
        <f>IF(AND(ISNUMBER(AY43),逐级计算!$X$51&gt;-1),IF(逐级计算!$X$51=0,AY43+逐级计算!$C$51,AY43+逐级计算!$C$51-(10/(逐级计算!$Q$51*LN(10))*(MAX((LN(10^(逐级计算!$Q$51/10)-1)+逐级计算!$Q$51*(AY43-逐级计算!$P$51)*LN(10)/10),0)+LN(1+EXP(-ABS((LN(10^(逐级计算!$Q$51/10)-1)+逐级计算!$Q$51*(AY43-逐级计算!$P$51)*LN(10)/10))))))),"")</f>
        <v>13.7930365735557</v>
      </c>
      <c r="BA43">
        <f>IF(AND(ISNUMBER(AZ43),逐级计算!$X$52&gt;-1),IF(逐级计算!$X$52=0,AZ43+逐级计算!$C$52,AZ43+逐级计算!$C$52-(10/(逐级计算!$Q$52*LN(10))*(MAX((LN(10^(逐级计算!$Q$52/10)-1)+逐级计算!$Q$52*(AZ43-逐级计算!$P$52)*LN(10)/10),0)+LN(1+EXP(-ABS((LN(10^(逐级计算!$Q$52/10)-1)+逐级计算!$Q$52*(AZ43-逐级计算!$P$52)*LN(10)/10))))))),"")</f>
        <v>13.7930365735557</v>
      </c>
      <c r="BB43">
        <f>IF(AND(ISNUMBER(BA43),逐级计算!$X$53&gt;-1),IF(逐级计算!$X$53=0,BA43+逐级计算!$C$53,BA43+逐级计算!$C$53-(10/(逐级计算!$Q$53*LN(10))*(MAX((LN(10^(逐级计算!$Q$53/10)-1)+逐级计算!$Q$53*(BA43-逐级计算!$P$53)*LN(10)/10),0)+LN(1+EXP(-ABS((LN(10^(逐级计算!$Q$53/10)-1)+逐级计算!$Q$53*(BA43-逐级计算!$P$53)*LN(10)/10))))))),"")</f>
        <v>13.7930365735557</v>
      </c>
      <c r="BC43">
        <f>IF(AND(ISNUMBER(BB43),逐级计算!$X$54&gt;-1),IF(逐级计算!$X$54=0,BB43+逐级计算!$C$54,BB43+逐级计算!$C$54-(10/(逐级计算!$Q$54*LN(10))*(MAX((LN(10^(逐级计算!$Q$54/10)-1)+逐级计算!$Q$54*(BB43-逐级计算!$P$54)*LN(10)/10),0)+LN(1+EXP(-ABS((LN(10^(逐级计算!$Q$54/10)-1)+逐级计算!$Q$54*(BB43-逐级计算!$P$54)*LN(10)/10))))))),"")</f>
        <v>13.7930365735557</v>
      </c>
      <c r="BD43">
        <f>IF(AND(ISNUMBER(BC43),逐级计算!$X$55&gt;-1),IF(逐级计算!$X$55=0,BC43+逐级计算!$C$55,BC43+逐级计算!$C$55-(10/(逐级计算!$Q$55*LN(10))*(MAX((LN(10^(逐级计算!$Q$55/10)-1)+逐级计算!$Q$55*(BC43-逐级计算!$P$55)*LN(10)/10),0)+LN(1+EXP(-ABS((LN(10^(逐级计算!$Q$55/10)-1)+逐级计算!$Q$55*(BC43-逐级计算!$P$55)*LN(10)/10))))))),"")</f>
        <v>13.7930365735557</v>
      </c>
      <c r="BE43">
        <f>IF(AND(ISNUMBER(BD43),逐级计算!$X$56&gt;-1),IF(逐级计算!$X$56=0,BD43+逐级计算!$C$56,BD43+逐级计算!$C$56-(10/(逐级计算!$Q$56*LN(10))*(MAX((LN(10^(逐级计算!$Q$56/10)-1)+逐级计算!$Q$56*(BD43-逐级计算!$P$56)*LN(10)/10),0)+LN(1+EXP(-ABS((LN(10^(逐级计算!$Q$56/10)-1)+逐级计算!$Q$56*(BD43-逐级计算!$P$56)*LN(10)/10))))))),"")</f>
        <v>13.7930365735557</v>
      </c>
      <c r="BF43">
        <f>IF(AND(ISNUMBER(BE43),逐级计算!$X$57&gt;-1),IF(逐级计算!$X$57=0,BE43+逐级计算!$C$57,BE43+逐级计算!$C$57-(10/(逐级计算!$Q$57*LN(10))*(MAX((LN(10^(逐级计算!$Q$57/10)-1)+逐级计算!$Q$57*(BE43-逐级计算!$P$57)*LN(10)/10),0)+LN(1+EXP(-ABS((LN(10^(逐级计算!$Q$57/10)-1)+逐级计算!$Q$57*(BE43-逐级计算!$P$57)*LN(10)/10))))))),"")</f>
        <v>13.7930365735557</v>
      </c>
      <c r="BG43">
        <f>IF(AND(ISNUMBER(BF43),逐级计算!$X$58&gt;-1),IF(逐级计算!$X$58=0,BF43+逐级计算!$C$58,BF43+逐级计算!$C$58-(10/(逐级计算!$Q$58*LN(10))*(MAX((LN(10^(逐级计算!$Q$58/10)-1)+逐级计算!$Q$58*(BF43-逐级计算!$P$58)*LN(10)/10),0)+LN(1+EXP(-ABS((LN(10^(逐级计算!$Q$58/10)-1)+逐级计算!$Q$58*(BF43-逐级计算!$P$58)*LN(10)/10))))))),"")</f>
        <v>13.7930365735557</v>
      </c>
      <c r="BH43">
        <f>IF(AND(ISNUMBER(BG43),逐级计算!$X$59&gt;-1),IF(逐级计算!$X$59=0,BG43+逐级计算!$C$59,BG43+逐级计算!$C$59-(10/(逐级计算!$Q$59*LN(10))*(MAX((LN(10^(逐级计算!$Q$59/10)-1)+逐级计算!$Q$59*(BG43-逐级计算!$P$59)*LN(10)/10),0)+LN(1+EXP(-ABS((LN(10^(逐级计算!$Q$59/10)-1)+逐级计算!$Q$59*(BG43-逐级计算!$P$59)*LN(10)/10))))))),"")</f>
        <v>13.7930365735557</v>
      </c>
      <c r="BI43">
        <f>IF(AND(ISNUMBER(BH43),逐级计算!$X$60&gt;-1),IF(逐级计算!$X$60=0,BH43+逐级计算!$C$60,BH43+逐级计算!$C$60-(10/(逐级计算!$Q$60*LN(10))*(MAX((LN(10^(逐级计算!$Q$60/10)-1)+逐级计算!$Q$60*(BH43-逐级计算!$P$60)*LN(10)/10),0)+LN(1+EXP(-ABS((LN(10^(逐级计算!$Q$60/10)-1)+逐级计算!$Q$60*(BH43-逐级计算!$P$60)*LN(10)/10))))))),"")</f>
        <v>13.7930365735557</v>
      </c>
      <c r="BJ43">
        <f>IF(AND(ISNUMBER(BI43),逐级计算!$X$61&gt;-1),IF(逐级计算!$X$61=0,BI43+逐级计算!$C$61,BI43+逐级计算!$C$61-(10/(逐级计算!$Q$61*LN(10))*(MAX((LN(10^(逐级计算!$Q$61/10)-1)+逐级计算!$Q$61*(BI43-逐级计算!$P$61)*LN(10)/10),0)+LN(1+EXP(-ABS((LN(10^(逐级计算!$Q$61/10)-1)+逐级计算!$Q$61*(BI43-逐级计算!$P$61)*LN(10)/10))))))),"")</f>
        <v>13.7930365735557</v>
      </c>
      <c r="BK43">
        <f>IF(AND(ISNUMBER(BJ43),逐级计算!$X$62&gt;-1),IF(逐级计算!$X$62=0,BJ43+逐级计算!$C$62,BJ43+逐级计算!$C$62-(10/(逐级计算!$Q$62*LN(10))*(MAX((LN(10^(逐级计算!$Q$62/10)-1)+逐级计算!$Q$62*(BJ43-逐级计算!$P$62)*LN(10)/10),0)+LN(1+EXP(-ABS((LN(10^(逐级计算!$Q$62/10)-1)+逐级计算!$Q$62*(BJ43-逐级计算!$P$62)*LN(10)/10))))))),"")</f>
        <v>13.7930365735557</v>
      </c>
      <c r="BL43">
        <f>IF(AND(ISNUMBER(BK43),逐级计算!$X$63&gt;-1),IF(逐级计算!$X$63=0,BK43+逐级计算!$C$63,BK43+逐级计算!$C$63-(10/(逐级计算!$Q$63*LN(10))*(MAX((LN(10^(逐级计算!$Q$63/10)-1)+逐级计算!$Q$63*(BK43-逐级计算!$P$63)*LN(10)/10),0)+LN(1+EXP(-ABS((LN(10^(逐级计算!$Q$63/10)-1)+逐级计算!$Q$63*(BK43-逐级计算!$P$63)*LN(10)/10))))))),"")</f>
        <v>13.7930365735557</v>
      </c>
      <c r="BM43">
        <f>IF(AND(ISNUMBER(BL43),逐级计算!$X$64&gt;-1),IF(逐级计算!$X$64=0,BL43+逐级计算!$C$64,BL43+逐级计算!$C$64-(10/(逐级计算!$Q$64*LN(10))*(MAX((LN(10^(逐级计算!$Q$64/10)-1)+逐级计算!$Q$64*(BL43-逐级计算!$P$64)*LN(10)/10),0)+LN(1+EXP(-ABS((LN(10^(逐级计算!$Q$64/10)-1)+逐级计算!$Q$64*(BL43-逐级计算!$P$64)*LN(10)/10))))))),"")</f>
        <v>13.7930365735557</v>
      </c>
      <c r="BN43">
        <f>IF(AND(ISNUMBER(BM43),逐级计算!$X$65&gt;-1),IF(逐级计算!$X$65=0,BM43+逐级计算!$C$65,BM43+逐级计算!$C$65-(10/(逐级计算!$Q$65*LN(10))*(MAX((LN(10^(逐级计算!$Q$65/10)-1)+逐级计算!$Q$65*(BM43-逐级计算!$P$65)*LN(10)/10),0)+LN(1+EXP(-ABS((LN(10^(逐级计算!$Q$65/10)-1)+逐级计算!$Q$65*(BM43-逐级计算!$P$65)*LN(10)/10))))))),"")</f>
        <v>13.7930365735557</v>
      </c>
      <c r="BO43">
        <f>IF(AND(ISNUMBER(BN43),逐级计算!$X$66&gt;-1),IF(逐级计算!$X$66=0,BN43+逐级计算!$C$66,BN43+逐级计算!$C$66-(10/(逐级计算!$Q$66*LN(10))*(MAX((LN(10^(逐级计算!$Q$66/10)-1)+逐级计算!$Q$66*(BN43-逐级计算!$P$66)*LN(10)/10),0)+LN(1+EXP(-ABS((LN(10^(逐级计算!$Q$66/10)-1)+逐级计算!$Q$66*(BN43-逐级计算!$P$66)*LN(10)/10))))))),"")</f>
        <v>13.7930365735557</v>
      </c>
      <c r="BP43">
        <f>IF(AND(ISNUMBER(BO43),逐级计算!$X$67&gt;-1),IF(逐级计算!$X$67=0,BO43+逐级计算!$C$67,BO43+逐级计算!$C$67-(10/(逐级计算!$Q$67*LN(10))*(MAX((LN(10^(逐级计算!$Q$67/10)-1)+逐级计算!$Q$67*(BO43-逐级计算!$P$67)*LN(10)/10),0)+LN(1+EXP(-ABS((LN(10^(逐级计算!$Q$67/10)-1)+逐级计算!$Q$67*(BO43-逐级计算!$P$67)*LN(10)/10))))))),"")</f>
        <v>13.7930365735557</v>
      </c>
      <c r="BQ43">
        <f>IF(AND(ISNUMBER(BP43),逐级计算!$X$68&gt;-1),IF(逐级计算!$X$68=0,BP43+逐级计算!$C$68,BP43+逐级计算!$C$68-(10/(逐级计算!$Q$68*LN(10))*(MAX((LN(10^(逐级计算!$Q$68/10)-1)+逐级计算!$Q$68*(BP43-逐级计算!$P$68)*LN(10)/10),0)+LN(1+EXP(-ABS((LN(10^(逐级计算!$Q$68/10)-1)+逐级计算!$Q$68*(BP43-逐级计算!$P$68)*LN(10)/10))))))),"")</f>
        <v>13.7930365735557</v>
      </c>
      <c r="BR43">
        <f>IF(AND(ISNUMBER(BQ43),逐级计算!$X$69&gt;-1),IF(逐级计算!$X$69=0,BQ43+逐级计算!$C$69,BQ43+逐级计算!$C$69-(10/(逐级计算!$Q$69*LN(10))*(MAX((LN(10^(逐级计算!$Q$69/10)-1)+逐级计算!$Q$69*(BQ43-逐级计算!$P$69)*LN(10)/10),0)+LN(1+EXP(-ABS((LN(10^(逐级计算!$Q$69/10)-1)+逐级计算!$Q$69*(BQ43-逐级计算!$P$69)*LN(10)/10))))))),"")</f>
        <v>13.7930365735557</v>
      </c>
      <c r="BS43">
        <f>IF(AND(ISNUMBER(BR43),逐级计算!$X$70&gt;-1),IF(逐级计算!$X$70=0,BR43+逐级计算!$C$70,BR43+逐级计算!$C$70-(10/(逐级计算!$Q$70*LN(10))*(MAX((LN(10^(逐级计算!$Q$70/10)-1)+逐级计算!$Q$70*(BR43-逐级计算!$P$70)*LN(10)/10),0)+LN(1+EXP(-ABS((LN(10^(逐级计算!$Q$70/10)-1)+逐级计算!$Q$70*(BR43-逐级计算!$P$70)*LN(10)/10))))))),"")</f>
        <v>13.7930365735557</v>
      </c>
      <c r="BT43">
        <f>IF(AND(ISNUMBER(BS43),逐级计算!$X$71&gt;-1),IF(逐级计算!$X$71=0,BS43+逐级计算!$C$71,BS43+逐级计算!$C$71-(10/(逐级计算!$Q$71*LN(10))*(MAX((LN(10^(逐级计算!$Q$71/10)-1)+逐级计算!$Q$71*(BS43-逐级计算!$P$71)*LN(10)/10),0)+LN(1+EXP(-ABS((LN(10^(逐级计算!$Q$71/10)-1)+逐级计算!$Q$71*(BS43-逐级计算!$P$71)*LN(10)/10))))))),"")</f>
        <v>13.7930365735557</v>
      </c>
      <c r="BU43">
        <f>IF(AND(ISNUMBER(BT43),逐级计算!$X$72&gt;-1),IF(逐级计算!$X$72=0,BT43+逐级计算!$C$72,BT43+逐级计算!$C$72-(10/(逐级计算!$Q$72*LN(10))*(MAX((LN(10^(逐级计算!$Q$72/10)-1)+逐级计算!$Q$72*(BT43-逐级计算!$P$72)*LN(10)/10),0)+LN(1+EXP(-ABS((LN(10^(逐级计算!$Q$72/10)-1)+逐级计算!$Q$72*(BT43-逐级计算!$P$72)*LN(10)/10))))))),"")</f>
        <v>13.7930365735557</v>
      </c>
      <c r="BV43">
        <f>IF(AND(ISNUMBER(BU43),逐级计算!$X$73&gt;-1),IF(逐级计算!$X$73=0,BU43+逐级计算!$C$73,BU43+逐级计算!$C$73-(10/(逐级计算!$Q$73*LN(10))*(MAX((LN(10^(逐级计算!$Q$73/10)-1)+逐级计算!$Q$73*(BU43-逐级计算!$P$73)*LN(10)/10),0)+LN(1+EXP(-ABS((LN(10^(逐级计算!$Q$73/10)-1)+逐级计算!$Q$73*(BU43-逐级计算!$P$73)*LN(10)/10))))))),"")</f>
        <v>13.7930365735557</v>
      </c>
      <c r="BW43">
        <f>IF(AND(ISNUMBER(BV43),逐级计算!$X$74&gt;-1),IF(逐级计算!$X$74=0,BV43+逐级计算!$C$74,BV43+逐级计算!$C$74-(10/(逐级计算!$Q$74*LN(10))*(MAX((LN(10^(逐级计算!$Q$74/10)-1)+逐级计算!$Q$74*(BV43-逐级计算!$P$74)*LN(10)/10),0)+LN(1+EXP(-ABS((LN(10^(逐级计算!$Q$74/10)-1)+逐级计算!$Q$74*(BV43-逐级计算!$P$74)*LN(10)/10))))))),"")</f>
        <v>13.7930365735557</v>
      </c>
      <c r="BX43">
        <f>IF(AND(ISNUMBER(BW43),逐级计算!$X$75&gt;-1),IF(逐级计算!$X$75=0,BW43+逐级计算!$C$75,BW43+逐级计算!$C$75-(10/(逐级计算!$Q$75*LN(10))*(MAX((LN(10^(逐级计算!$Q$75/10)-1)+逐级计算!$Q$75*(BW43-逐级计算!$P$75)*LN(10)/10),0)+LN(1+EXP(-ABS((LN(10^(逐级计算!$Q$75/10)-1)+逐级计算!$Q$75*(BW43-逐级计算!$P$75)*LN(10)/10))))))),"")</f>
        <v>13.7930365735557</v>
      </c>
      <c r="BY43">
        <f>IF(AND(ISNUMBER(BX43),逐级计算!$X$76&gt;-1),IF(逐级计算!$X$76=0,BX43+逐级计算!$C$76,BX43+逐级计算!$C$76-(10/(逐级计算!$Q$76*LN(10))*(MAX((LN(10^(逐级计算!$Q$76/10)-1)+逐级计算!$Q$76*(BX43-逐级计算!$P$76)*LN(10)/10),0)+LN(1+EXP(-ABS((LN(10^(逐级计算!$Q$76/10)-1)+逐级计算!$Q$76*(BX43-逐级计算!$P$76)*LN(10)/10))))))),"")</f>
        <v>13.7930365735557</v>
      </c>
      <c r="BZ43">
        <f>IF(AND(ISNUMBER(BY43),逐级计算!$X$77&gt;-1),IF(逐级计算!$X$77=0,BY43+逐级计算!$C$77,BY43+逐级计算!$C$77-(10/(逐级计算!$Q$77*LN(10))*(MAX((LN(10^(逐级计算!$Q$77/10)-1)+逐级计算!$Q$77*(BY43-逐级计算!$P$77)*LN(10)/10),0)+LN(1+EXP(-ABS((LN(10^(逐级计算!$Q$77/10)-1)+逐级计算!$Q$77*(BY43-逐级计算!$P$77)*LN(10)/10))))))),"")</f>
        <v>13.7930365735557</v>
      </c>
      <c r="CA43">
        <f>IF(AND(ISNUMBER(BZ43),逐级计算!$X$78&gt;-1),IF(逐级计算!$X$78=0,BZ43+逐级计算!$C$78,BZ43+逐级计算!$C$78-(10/(逐级计算!$Q$78*LN(10))*(MAX((LN(10^(逐级计算!$Q$78/10)-1)+逐级计算!$Q$78*(BZ43-逐级计算!$P$78)*LN(10)/10),0)+LN(1+EXP(-ABS((LN(10^(逐级计算!$Q$78/10)-1)+逐级计算!$Q$78*(BZ43-逐级计算!$P$78)*LN(10)/10))))))),"")</f>
        <v>13.7930365735557</v>
      </c>
      <c r="CB43">
        <f>IF(AND(ISNUMBER(CA43),逐级计算!$X$79&gt;-1),IF(逐级计算!$X$79=0,CA43+逐级计算!$C$79,CA43+逐级计算!$C$79-(10/(逐级计算!$Q$79*LN(10))*(MAX((LN(10^(逐级计算!$Q$79/10)-1)+逐级计算!$Q$79*(CA43-逐级计算!$P$79)*LN(10)/10),0)+LN(1+EXP(-ABS((LN(10^(逐级计算!$Q$79/10)-1)+逐级计算!$Q$79*(CA43-逐级计算!$P$79)*LN(10)/10))))))),"")</f>
        <v>13.7930365735557</v>
      </c>
      <c r="CC43">
        <f>IF(AND(ISNUMBER(CB43),逐级计算!$X$80&gt;-1),IF(逐级计算!$X$80=0,CB43+逐级计算!$C$80,CB43+逐级计算!$C$80-(10/(逐级计算!$Q$80*LN(10))*(MAX((LN(10^(逐级计算!$Q$80/10)-1)+逐级计算!$Q$80*(CB43-逐级计算!$P$80)*LN(10)/10),0)+LN(1+EXP(-ABS((LN(10^(逐级计算!$Q$80/10)-1)+逐级计算!$Q$80*(CB43-逐级计算!$P$80)*LN(10)/10))))))),"")</f>
        <v>13.7930365735557</v>
      </c>
      <c r="CD43">
        <f>IF(AND(ISNUMBER(CC43),逐级计算!$X$81&gt;-1),IF(逐级计算!$X$81=0,CC43+逐级计算!$C$81,CC43+逐级计算!$C$81-(10/(逐级计算!$Q$81*LN(10))*(MAX((LN(10^(逐级计算!$Q$81/10)-1)+逐级计算!$Q$81*(CC43-逐级计算!$P$81)*LN(10)/10),0)+LN(1+EXP(-ABS((LN(10^(逐级计算!$Q$81/10)-1)+逐级计算!$Q$81*(CC43-逐级计算!$P$81)*LN(10)/10))))))),"")</f>
        <v>13.7930365735557</v>
      </c>
      <c r="CE43">
        <f>IF(AND(ISNUMBER(CD43),逐级计算!$X$82&gt;-1),IF(逐级计算!$X$82=0,CD43+逐级计算!$C$82,CD43+逐级计算!$C$82-(10/(逐级计算!$Q$82*LN(10))*(MAX((LN(10^(逐级计算!$Q$82/10)-1)+逐级计算!$Q$82*(CD43-逐级计算!$P$82)*LN(10)/10),0)+LN(1+EXP(-ABS((LN(10^(逐级计算!$Q$82/10)-1)+逐级计算!$Q$82*(CD43-逐级计算!$P$82)*LN(10)/10))))))),"")</f>
        <v>13.7930365735557</v>
      </c>
      <c r="CF43">
        <f>IF(AND(ISNUMBER(CE43),逐级计算!$X$83&gt;-1),IF(逐级计算!$X$83=0,CE43+逐级计算!$C$83,CE43+逐级计算!$C$83-(10/(逐级计算!$Q$83*LN(10))*(MAX((LN(10^(逐级计算!$Q$83/10)-1)+逐级计算!$Q$83*(CE43-逐级计算!$P$83)*LN(10)/10),0)+LN(1+EXP(-ABS((LN(10^(逐级计算!$Q$83/10)-1)+逐级计算!$Q$83*(CE43-逐级计算!$P$83)*LN(10)/10))))))),"")</f>
        <v>13.7930365735557</v>
      </c>
      <c r="CG43">
        <f>IF(AND(ISNUMBER(CF43),逐级计算!$X$84&gt;-1),IF(逐级计算!$X$84=0,CF43+逐级计算!$C$84,CF43+逐级计算!$C$84-(10/(逐级计算!$Q$84*LN(10))*(MAX((LN(10^(逐级计算!$Q$84/10)-1)+逐级计算!$Q$84*(CF43-逐级计算!$P$84)*LN(10)/10),0)+LN(1+EXP(-ABS((LN(10^(逐级计算!$Q$84/10)-1)+逐级计算!$Q$84*(CF43-逐级计算!$P$84)*LN(10)/10))))))),"")</f>
        <v>13.7930365735557</v>
      </c>
      <c r="CH43">
        <f>IF(AND(ISNUMBER(CG43),逐级计算!$X$85&gt;-1),IF(逐级计算!$X$85=0,CG43+逐级计算!$C$85,CG43+逐级计算!$C$85-(10/(逐级计算!$Q$85*LN(10))*(MAX((LN(10^(逐级计算!$Q$85/10)-1)+逐级计算!$Q$85*(CG43-逐级计算!$P$85)*LN(10)/10),0)+LN(1+EXP(-ABS((LN(10^(逐级计算!$Q$85/10)-1)+逐级计算!$Q$85*(CG43-逐级计算!$P$85)*LN(10)/10))))))),"")</f>
        <v>13.7930365735557</v>
      </c>
      <c r="CI43">
        <f>IF(AND(ISNUMBER(CH43),逐级计算!$X$86&gt;-1),IF(逐级计算!$X$86=0,CH43+逐级计算!$C$86,CH43+逐级计算!$C$86-(10/(逐级计算!$Q$86*LN(10))*(MAX((LN(10^(逐级计算!$Q$86/10)-1)+逐级计算!$Q$86*(CH43-逐级计算!$P$86)*LN(10)/10),0)+LN(1+EXP(-ABS((LN(10^(逐级计算!$Q$86/10)-1)+逐级计算!$Q$86*(CH43-逐级计算!$P$86)*LN(10)/10))))))),"")</f>
        <v>13.7930365735557</v>
      </c>
      <c r="CJ43">
        <f>IF(AND(ISNUMBER(CI43),逐级计算!$X$87&gt;-1),IF(逐级计算!$X$87=0,CI43+逐级计算!$C$87,CI43+逐级计算!$C$87-(10/(逐级计算!$Q$87*LN(10))*(MAX((LN(10^(逐级计算!$Q$87/10)-1)+逐级计算!$Q$87*(CI43-逐级计算!$P$87)*LN(10)/10),0)+LN(1+EXP(-ABS((LN(10^(逐级计算!$Q$87/10)-1)+逐级计算!$Q$87*(CI43-逐级计算!$P$87)*LN(10)/10))))))),"")</f>
        <v>13.7930365735557</v>
      </c>
      <c r="CK43">
        <f>IF(AND(ISNUMBER(CJ43),逐级计算!$X$88&gt;-1),IF(逐级计算!$X$88=0,CJ43+逐级计算!$C$88,CJ43+逐级计算!$C$88-(10/(逐级计算!$Q$88*LN(10))*(MAX((LN(10^(逐级计算!$Q$88/10)-1)+逐级计算!$Q$88*(CJ43-逐级计算!$P$88)*LN(10)/10),0)+LN(1+EXP(-ABS((LN(10^(逐级计算!$Q$88/10)-1)+逐级计算!$Q$88*(CJ43-逐级计算!$P$88)*LN(10)/10))))))),"")</f>
        <v>13.7930365735557</v>
      </c>
      <c r="CL43">
        <f>IF(AND(ISNUMBER(CK43),逐级计算!$X$89&gt;-1),IF(逐级计算!$X$89=0,CK43+逐级计算!$C$89,CK43+逐级计算!$C$89-(10/(逐级计算!$Q$89*LN(10))*(MAX((LN(10^(逐级计算!$Q$89/10)-1)+逐级计算!$Q$89*(CK43-逐级计算!$P$89)*LN(10)/10),0)+LN(1+EXP(-ABS((LN(10^(逐级计算!$Q$89/10)-1)+逐级计算!$Q$89*(CK43-逐级计算!$P$89)*LN(10)/10))))))),"")</f>
        <v>13.7930365735557</v>
      </c>
      <c r="CM43">
        <f>IF(AND(ISNUMBER(CL43),逐级计算!$X$90&gt;-1),IF(逐级计算!$X$90=0,CL43+逐级计算!$C$90,CL43+逐级计算!$C$90-(10/(逐级计算!$Q$90*LN(10))*(MAX((LN(10^(逐级计算!$Q$90/10)-1)+逐级计算!$Q$90*(CL43-逐级计算!$P$90)*LN(10)/10),0)+LN(1+EXP(-ABS((LN(10^(逐级计算!$Q$90/10)-1)+逐级计算!$Q$90*(CL43-逐级计算!$P$90)*LN(10)/10))))))),"")</f>
        <v>13.7930365735557</v>
      </c>
      <c r="CN43">
        <f>IF(AND(ISNUMBER(CM43),逐级计算!$X$91&gt;-1),IF(逐级计算!$X$91=0,CM43+逐级计算!$C$91,CM43+逐级计算!$C$91-(10/(逐级计算!$Q$91*LN(10))*(MAX((LN(10^(逐级计算!$Q$91/10)-1)+逐级计算!$Q$91*(CM43-逐级计算!$P$91)*LN(10)/10),0)+LN(1+EXP(-ABS((LN(10^(逐级计算!$Q$91/10)-1)+逐级计算!$Q$91*(CM43-逐级计算!$P$91)*LN(10)/10))))))),"")</f>
        <v>13.7930365735557</v>
      </c>
      <c r="CO43">
        <f>IF(AND(ISNUMBER(CN43),逐级计算!$X$92&gt;-1),IF(逐级计算!$X$92=0,CN43+逐级计算!$C$92,CN43+逐级计算!$C$92-(10/(逐级计算!$Q$92*LN(10))*(MAX((LN(10^(逐级计算!$Q$92/10)-1)+逐级计算!$Q$92*(CN43-逐级计算!$P$92)*LN(10)/10),0)+LN(1+EXP(-ABS((LN(10^(逐级计算!$Q$92/10)-1)+逐级计算!$Q$92*(CN43-逐级计算!$P$92)*LN(10)/10))))))),"")</f>
        <v>13.7930365735557</v>
      </c>
      <c r="CP43">
        <f>IF(AND(ISNUMBER(CO43),逐级计算!$X$93&gt;-1),IF(逐级计算!$X$93=0,CO43+逐级计算!$C$93,CO43+逐级计算!$C$93-(10/(逐级计算!$Q$93*LN(10))*(MAX((LN(10^(逐级计算!$Q$93/10)-1)+逐级计算!$Q$93*(CO43-逐级计算!$P$93)*LN(10)/10),0)+LN(1+EXP(-ABS((LN(10^(逐级计算!$Q$93/10)-1)+逐级计算!$Q$93*(CO43-逐级计算!$P$93)*LN(10)/10))))))),"")</f>
        <v>13.7930365735557</v>
      </c>
      <c r="CQ43">
        <f>IF(AND(ISNUMBER(CP43),逐级计算!$X$94&gt;-1),IF(逐级计算!$X$94=0,CP43+逐级计算!$C$94,CP43+逐级计算!$C$94-(10/(逐级计算!$Q$94*LN(10))*(MAX((LN(10^(逐级计算!$Q$94/10)-1)+逐级计算!$Q$94*(CP43-逐级计算!$P$94)*LN(10)/10),0)+LN(1+EXP(-ABS((LN(10^(逐级计算!$Q$94/10)-1)+逐级计算!$Q$94*(CP43-逐级计算!$P$94)*LN(10)/10))))))),"")</f>
        <v>13.7930365735557</v>
      </c>
      <c r="CR43">
        <f>IF(AND(ISNUMBER(CQ43),逐级计算!$X$95&gt;-1),IF(逐级计算!$X$95=0,CQ43+逐级计算!$C$95,CQ43+逐级计算!$C$95-(10/(逐级计算!$Q$95*LN(10))*(MAX((LN(10^(逐级计算!$Q$95/10)-1)+逐级计算!$Q$95*(CQ43-逐级计算!$P$95)*LN(10)/10),0)+LN(1+EXP(-ABS((LN(10^(逐级计算!$Q$95/10)-1)+逐级计算!$Q$95*(CQ43-逐级计算!$P$95)*LN(10)/10))))))),"")</f>
        <v>13.7930365735557</v>
      </c>
      <c r="CS43">
        <f>IF(AND(ISNUMBER(CR43),逐级计算!$X$96&gt;-1),IF(逐级计算!$X$96=0,CR43+逐级计算!$C$96,CR43+逐级计算!$C$96-(10/(逐级计算!$Q$96*LN(10))*(MAX((LN(10^(逐级计算!$Q$96/10)-1)+逐级计算!$Q$96*(CR43-逐级计算!$P$96)*LN(10)/10),0)+LN(1+EXP(-ABS((LN(10^(逐级计算!$Q$96/10)-1)+逐级计算!$Q$96*(CR43-逐级计算!$P$96)*LN(10)/10))))))),"")</f>
        <v>13.7930365735557</v>
      </c>
      <c r="CT43">
        <f>IF(AND(ISNUMBER(CS43),逐级计算!$X$97&gt;-1),IF(逐级计算!$X$97=0,CS43+逐级计算!$C$97,CS43+逐级计算!$C$97-(10/(逐级计算!$Q$97*LN(10))*(MAX((LN(10^(逐级计算!$Q$97/10)-1)+逐级计算!$Q$97*(CS43-逐级计算!$P$97)*LN(10)/10),0)+LN(1+EXP(-ABS((LN(10^(逐级计算!$Q$97/10)-1)+逐级计算!$Q$97*(CS43-逐级计算!$P$97)*LN(10)/10))))))),"")</f>
        <v>13.7930365735557</v>
      </c>
      <c r="CU43">
        <f>IF(AND(ISNUMBER(CT43),逐级计算!$X$98&gt;-1),IF(逐级计算!$X$98=0,CT43+逐级计算!$C$98,CT43+逐级计算!$C$98-(10/(逐级计算!$Q$98*LN(10))*(MAX((LN(10^(逐级计算!$Q$98/10)-1)+逐级计算!$Q$98*(CT43-逐级计算!$P$98)*LN(10)/10),0)+LN(1+EXP(-ABS((LN(10^(逐级计算!$Q$98/10)-1)+逐级计算!$Q$98*(CT43-逐级计算!$P$98)*LN(10)/10))))))),"")</f>
        <v>13.7930365735557</v>
      </c>
      <c r="CV43">
        <f>IF(AND(ISNUMBER(CU43),逐级计算!$X$99&gt;-1),IF(逐级计算!$X$99=0,CU43+逐级计算!$C$99,CU43+逐级计算!$C$99-(10/(逐级计算!$Q$99*LN(10))*(MAX((LN(10^(逐级计算!$Q$99/10)-1)+逐级计算!$Q$99*(CU43-逐级计算!$P$99)*LN(10)/10),0)+LN(1+EXP(-ABS((LN(10^(逐级计算!$Q$99/10)-1)+逐级计算!$Q$99*(CU43-逐级计算!$P$99)*LN(10)/10))))))),"")</f>
        <v>13.7930365735557</v>
      </c>
      <c r="CW43">
        <f>IF(AND(ISNUMBER(CV43),逐级计算!$X$100&gt;-1),IF(逐级计算!$X$100=0,CV43+逐级计算!$C$100,CV43+逐级计算!$C$100-(10/(逐级计算!$Q$100*LN(10))*(MAX((LN(10^(逐级计算!$Q$100/10)-1)+逐级计算!$Q$100*(CV43-逐级计算!$P$100)*LN(10)/10),0)+LN(1+EXP(-ABS((LN(10^(逐级计算!$Q$100/10)-1)+逐级计算!$Q$100*(CV43-逐级计算!$P$100)*LN(10)/10))))))),"")</f>
        <v>13.7930365735557</v>
      </c>
      <c r="CX43">
        <f>IF(AND(ISNUMBER(CW43),逐级计算!$X$101&gt;-1),IF(逐级计算!$X$101=0,CW43+逐级计算!$C$101,CW43+逐级计算!$C$101-(10/(逐级计算!$Q$101*LN(10))*(MAX((LN(10^(逐级计算!$Q$101/10)-1)+逐级计算!$Q$101*(CW43-逐级计算!$P$101)*LN(10)/10),0)+LN(1+EXP(-ABS((LN(10^(逐级计算!$Q$101/10)-1)+逐级计算!$Q$101*(CW43-逐级计算!$P$101)*LN(10)/10))))))),"")</f>
        <v>13.7930365735557</v>
      </c>
      <c r="CY43">
        <f>IF(AND(ISNUMBER(CX43),逐级计算!$X$102&gt;-1),IF(逐级计算!$X$102=0,CX43+逐级计算!$C$102,CX43+逐级计算!$C$102-(10/(逐级计算!$Q$102*LN(10))*(MAX((LN(10^(逐级计算!$Q$102/10)-1)+逐级计算!$Q$102*(CX43-逐级计算!$P$102)*LN(10)/10),0)+LN(1+EXP(-ABS((LN(10^(逐级计算!$Q$102/10)-1)+逐级计算!$Q$102*(CX43-逐级计算!$P$102)*LN(10)/10))))))),"")</f>
        <v>13.7930365735557</v>
      </c>
      <c r="CZ43">
        <f>IF(AND(ISNUMBER(CY43),逐级计算!$X$103&gt;-1),IF(逐级计算!$X$103=0,CY43+逐级计算!$C$103,CY43+逐级计算!$C$103-(10/(逐级计算!$Q$103*LN(10))*(MAX((LN(10^(逐级计算!$Q$103/10)-1)+逐级计算!$Q$103*(CY43-逐级计算!$P$103)*LN(10)/10),0)+LN(1+EXP(-ABS((LN(10^(逐级计算!$Q$103/10)-1)+逐级计算!$Q$103*(CY43-逐级计算!$P$103)*LN(10)/10))))))),"")</f>
        <v>13.7930365735557</v>
      </c>
      <c r="DA43">
        <f>IF(AND(ISNUMBER(CZ43),逐级计算!$X$104&gt;-1),IF(逐级计算!$X$104=0,CZ43+逐级计算!$C$104,CZ43+逐级计算!$C$104-(10/(逐级计算!$Q$104*LN(10))*(MAX((LN(10^(逐级计算!$Q$104/10)-1)+逐级计算!$Q$104*(CZ43-逐级计算!$P$104)*LN(10)/10),0)+LN(1+EXP(-ABS((LN(10^(逐级计算!$Q$104/10)-1)+逐级计算!$Q$104*(CZ43-逐级计算!$P$104)*LN(10)/10))))))),"")</f>
        <v>13.7930365735557</v>
      </c>
      <c r="DB43">
        <f>IF(AND(ISNUMBER(DA43),逐级计算!$X$105&gt;-1),IF(逐级计算!$X$105=0,DA43+逐级计算!$C$105,DA43+逐级计算!$C$105-(10/(逐级计算!$Q$105*LN(10))*(MAX((LN(10^(逐级计算!$Q$105/10)-1)+逐级计算!$Q$105*(DA43-逐级计算!$P$105)*LN(10)/10),0)+LN(1+EXP(-ABS((LN(10^(逐级计算!$Q$105/10)-1)+逐级计算!$Q$105*(DA43-逐级计算!$P$105)*LN(10)/10))))))),"")</f>
        <v>13.7930365735557</v>
      </c>
      <c r="DC43">
        <f>IF(AND(ISNUMBER(DB43),逐级计算!$X$106&gt;-1),IF(逐级计算!$X$106=0,DB43+逐级计算!$C$106,DB43+逐级计算!$C$106-(10/(逐级计算!$Q$106*LN(10))*(MAX((LN(10^(逐级计算!$Q$106/10)-1)+逐级计算!$Q$106*(DB43-逐级计算!$P$106)*LN(10)/10),0)+LN(1+EXP(-ABS((LN(10^(逐级计算!$Q$106/10)-1)+逐级计算!$Q$106*(DB43-逐级计算!$P$106)*LN(10)/10))))))),"")</f>
        <v>13.7930365735557</v>
      </c>
      <c r="DD43">
        <f>IF(AND(ISNUMBER(DC43),逐级计算!$X$107&gt;-1),IF(逐级计算!$X$107=0,DC43+逐级计算!$C$107,DC43+逐级计算!$C$107-(10/(逐级计算!$Q$107*LN(10))*(MAX((LN(10^(逐级计算!$Q$107/10)-1)+逐级计算!$Q$107*(DC43-逐级计算!$P$107)*LN(10)/10),0)+LN(1+EXP(-ABS((LN(10^(逐级计算!$Q$107/10)-1)+逐级计算!$Q$107*(DC43-逐级计算!$P$107)*LN(10)/10))))))),"")</f>
        <v>13.7930365735557</v>
      </c>
      <c r="DE43">
        <f>IF(AND(ISNUMBER(DD43),逐级计算!$X$108&gt;-1),IF(逐级计算!$X$108=0,DD43+逐级计算!$C$108,DD43+逐级计算!$C$108-(10/(逐级计算!$Q$108*LN(10))*(MAX((LN(10^(逐级计算!$Q$108/10)-1)+逐级计算!$Q$108*(DD43-逐级计算!$P$108)*LN(10)/10),0)+LN(1+EXP(-ABS((LN(10^(逐级计算!$Q$108/10)-1)+逐级计算!$Q$108*(DD43-逐级计算!$P$108)*LN(10)/10))))))),"")</f>
        <v>13.7930365735557</v>
      </c>
      <c r="DF43">
        <f>IF(AND(ISNUMBER(DE43),逐级计算!$X$109&gt;-1),IF(逐级计算!$X$109=0,DE43+逐级计算!$C$109,DE43+逐级计算!$C$109-(10/(逐级计算!$Q$109*LN(10))*(MAX((LN(10^(逐级计算!$Q$109/10)-1)+逐级计算!$Q$109*(DE43-逐级计算!$P$109)*LN(10)/10),0)+LN(1+EXP(-ABS((LN(10^(逐级计算!$Q$109/10)-1)+逐级计算!$Q$109*(DE43-逐级计算!$P$109)*LN(10)/10))))))),"")</f>
        <v>13.7930365735557</v>
      </c>
      <c r="DG43">
        <f>IF(AND(ISNUMBER(DF43),逐级计算!$X$110&gt;-1),IF(逐级计算!$X$110=0,DF43+逐级计算!$C$110,DF43+逐级计算!$C$110-(10/(逐级计算!$Q$110*LN(10))*(MAX((LN(10^(逐级计算!$Q$110/10)-1)+逐级计算!$Q$110*(DF43-逐级计算!$P$110)*LN(10)/10),0)+LN(1+EXP(-ABS((LN(10^(逐级计算!$Q$110/10)-1)+逐级计算!$Q$110*(DF43-逐级计算!$P$110)*LN(10)/10))))))),"")</f>
        <v>13.7930365735557</v>
      </c>
      <c r="DH43">
        <f>IF(AND(ISNUMBER(DG43),逐级计算!$X$111&gt;-1),IF(逐级计算!$X$111=0,DG43+逐级计算!$C$111,DG43+逐级计算!$C$111-(10/(逐级计算!$Q$111*LN(10))*(MAX((LN(10^(逐级计算!$Q$111/10)-1)+逐级计算!$Q$111*(DG43-逐级计算!$P$111)*LN(10)/10),0)+LN(1+EXP(-ABS((LN(10^(逐级计算!$Q$111/10)-1)+逐级计算!$Q$111*(DG43-逐级计算!$P$111)*LN(10)/10))))))),"")</f>
        <v>13.7930365735557</v>
      </c>
      <c r="DI43">
        <f>IF(AND(ISNUMBER(DH43),逐级计算!$X$112&gt;-1),IF(逐级计算!$X$112=0,DH43+逐级计算!$C$112,DH43+逐级计算!$C$112-(10/(逐级计算!$Q$112*LN(10))*(MAX((LN(10^(逐级计算!$Q$112/10)-1)+逐级计算!$Q$112*(DH43-逐级计算!$P$112)*LN(10)/10),0)+LN(1+EXP(-ABS((LN(10^(逐级计算!$Q$112/10)-1)+逐级计算!$Q$112*(DH43-逐级计算!$P$112)*LN(10)/10))))))),"")</f>
        <v>13.7930365735557</v>
      </c>
      <c r="DJ43">
        <f>IF(AND(ISNUMBER(DI43),逐级计算!$X$113&gt;-1),IF(逐级计算!$X$113=0,DI43+逐级计算!$C$113,DI43+逐级计算!$C$113-(10/(逐级计算!$Q$113*LN(10))*(MAX((LN(10^(逐级计算!$Q$113/10)-1)+逐级计算!$Q$113*(DI43-逐级计算!$P$113)*LN(10)/10),0)+LN(1+EXP(-ABS((LN(10^(逐级计算!$Q$113/10)-1)+逐级计算!$Q$113*(DI43-逐级计算!$P$113)*LN(10)/10))))))),"")</f>
        <v>13.7930365735557</v>
      </c>
      <c r="DK43">
        <f>IF(AND(ISNUMBER(DJ43),逐级计算!$X$114&gt;-1),IF(逐级计算!$X$114=0,DJ43+逐级计算!$C$114,DJ43+逐级计算!$C$114-(10/(逐级计算!$Q$114*LN(10))*(MAX((LN(10^(逐级计算!$Q$114/10)-1)+逐级计算!$Q$114*(DJ43-逐级计算!$P$114)*LN(10)/10),0)+LN(1+EXP(-ABS((LN(10^(逐级计算!$Q$114/10)-1)+逐级计算!$Q$114*(DJ43-逐级计算!$P$114)*LN(10)/10))))))),"")</f>
        <v>13.7930365735557</v>
      </c>
      <c r="DL43">
        <f>IF(AND(ISNUMBER(DK43),逐级计算!$X$115&gt;-1),IF(逐级计算!$X$115=0,DK43+逐级计算!$C$115,DK43+逐级计算!$C$115-(10/(逐级计算!$Q$115*LN(10))*(MAX((LN(10^(逐级计算!$Q$115/10)-1)+逐级计算!$Q$115*(DK43-逐级计算!$P$115)*LN(10)/10),0)+LN(1+EXP(-ABS((LN(10^(逐级计算!$Q$115/10)-1)+逐级计算!$Q$115*(DK43-逐级计算!$P$115)*LN(10)/10))))))),"")</f>
        <v>13.7930365735557</v>
      </c>
      <c r="DM43">
        <f>IF(AND(ISNUMBER(DL43),逐级计算!$X$116&gt;-1),IF(逐级计算!$X$116=0,DL43+逐级计算!$C$116,DL43+逐级计算!$C$116-(10/(逐级计算!$Q$116*LN(10))*(MAX((LN(10^(逐级计算!$Q$116/10)-1)+逐级计算!$Q$116*(DL43-逐级计算!$P$116)*LN(10)/10),0)+LN(1+EXP(-ABS((LN(10^(逐级计算!$Q$116/10)-1)+逐级计算!$Q$116*(DL43-逐级计算!$P$116)*LN(10)/10))))))),"")</f>
        <v>13.7930365735557</v>
      </c>
      <c r="DN43">
        <f>IF(AND(ISNUMBER(DM43),逐级计算!$X$117&gt;-1),IF(逐级计算!$X$117=0,DM43+逐级计算!$C$117,DM43+逐级计算!$C$117-(10/(逐级计算!$Q$117*LN(10))*(MAX((LN(10^(逐级计算!$Q$117/10)-1)+逐级计算!$Q$117*(DM43-逐级计算!$P$117)*LN(10)/10),0)+LN(1+EXP(-ABS((LN(10^(逐级计算!$Q$117/10)-1)+逐级计算!$Q$117*(DM43-逐级计算!$P$117)*LN(10)/10))))))),"")</f>
        <v>13.7930365735557</v>
      </c>
      <c r="DO43">
        <f>IF(AND(ISNUMBER(DN43),逐级计算!$X$118&gt;-1),IF(逐级计算!$X$118=0,DN43+逐级计算!$C$118,DN43+逐级计算!$C$118-(10/(逐级计算!$Q$118*LN(10))*(MAX((LN(10^(逐级计算!$Q$118/10)-1)+逐级计算!$Q$118*(DN43-逐级计算!$P$118)*LN(10)/10),0)+LN(1+EXP(-ABS((LN(10^(逐级计算!$Q$118/10)-1)+逐级计算!$Q$118*(DN43-逐级计算!$P$118)*LN(10)/10))))))),"")</f>
        <v>13.7930365735557</v>
      </c>
      <c r="DP43">
        <f>IF(AND(ISNUMBER(DO43),逐级计算!$X$119&gt;-1),IF(逐级计算!$X$119=0,DO43+逐级计算!$C$119,DO43+逐级计算!$C$119-(10/(逐级计算!$Q$119*LN(10))*(MAX((LN(10^(逐级计算!$Q$119/10)-1)+逐级计算!$Q$119*(DO43-逐级计算!$P$119)*LN(10)/10),0)+LN(1+EXP(-ABS((LN(10^(逐级计算!$Q$119/10)-1)+逐级计算!$Q$119*(DO43-逐级计算!$P$119)*LN(10)/10))))))),"")</f>
        <v>13.7930365735557</v>
      </c>
      <c r="DQ43">
        <f>IF(AND(ISNUMBER(DP43),逐级计算!$X$120&gt;-1),IF(逐级计算!$X$120=0,DP43+逐级计算!$C$120,DP43+逐级计算!$C$120-(10/(逐级计算!$Q$120*LN(10))*(MAX((LN(10^(逐级计算!$Q$120/10)-1)+逐级计算!$Q$120*(DP43-逐级计算!$P$120)*LN(10)/10),0)+LN(1+EXP(-ABS((LN(10^(逐级计算!$Q$120/10)-1)+逐级计算!$Q$120*(DP43-逐级计算!$P$120)*LN(10)/10))))))),"")</f>
        <v>13.7930365735557</v>
      </c>
      <c r="DR43">
        <f>IF(AND(ISNUMBER(DQ43),逐级计算!$X$121&gt;-1),IF(逐级计算!$X$121=0,DQ43+逐级计算!$C$121,DQ43+逐级计算!$C$121-(10/(逐级计算!$Q$121*LN(10))*(MAX((LN(10^(逐级计算!$Q$121/10)-1)+逐级计算!$Q$121*(DQ43-逐级计算!$P$121)*LN(10)/10),0)+LN(1+EXP(-ABS((LN(10^(逐级计算!$Q$121/10)-1)+逐级计算!$Q$121*(DQ43-逐级计算!$P$121)*LN(10)/10))))))),"")</f>
        <v>13.7930365735557</v>
      </c>
      <c r="DS43">
        <f>IF(AND(ISNUMBER(DR43),逐级计算!$X$122&gt;-1),IF(逐级计算!$X$122=0,DR43+逐级计算!$C$122,DR43+逐级计算!$C$122-(10/(逐级计算!$Q$122*LN(10))*(MAX((LN(10^(逐级计算!$Q$122/10)-1)+逐级计算!$Q$122*(DR43-逐级计算!$P$122)*LN(10)/10),0)+LN(1+EXP(-ABS((LN(10^(逐级计算!$Q$122/10)-1)+逐级计算!$Q$122*(DR43-逐级计算!$P$122)*LN(10)/10))))))),"")</f>
        <v>13.7930365735557</v>
      </c>
      <c r="DT43">
        <f>IF(AND(ISNUMBER(DS43),逐级计算!$X$123&gt;-1),IF(逐级计算!$X$123=0,DS43+逐级计算!$C$123,DS43+逐级计算!$C$123-(10/(逐级计算!$Q$123*LN(10))*(MAX((LN(10^(逐级计算!$Q$123/10)-1)+逐级计算!$Q$123*(DS43-逐级计算!$P$123)*LN(10)/10),0)+LN(1+EXP(-ABS((LN(10^(逐级计算!$Q$123/10)-1)+逐级计算!$Q$123*(DS43-逐级计算!$P$123)*LN(10)/10))))))),"")</f>
        <v>13.7930365735557</v>
      </c>
      <c r="DU43">
        <f>IF(AND(ISNUMBER(DT43),逐级计算!$X$124&gt;-1),IF(逐级计算!$X$124=0,DT43+逐级计算!$C$124,DT43+逐级计算!$C$124-(10/(逐级计算!$Q$124*LN(10))*(MAX((LN(10^(逐级计算!$Q$124/10)-1)+逐级计算!$Q$124*(DT43-逐级计算!$P$124)*LN(10)/10),0)+LN(1+EXP(-ABS((LN(10^(逐级计算!$Q$124/10)-1)+逐级计算!$Q$124*(DT43-逐级计算!$P$124)*LN(10)/10))))))),"")</f>
        <v>13.7930365735557</v>
      </c>
      <c r="DV43">
        <f>IF(AND(ISNUMBER(DU43),逐级计算!$X$125&gt;-1),IF(逐级计算!$X$125=0,DU43+逐级计算!$C$125,DU43+逐级计算!$C$125-(10/(逐级计算!$Q$125*LN(10))*(MAX((LN(10^(逐级计算!$Q$125/10)-1)+逐级计算!$Q$125*(DU43-逐级计算!$P$125)*LN(10)/10),0)+LN(1+EXP(-ABS((LN(10^(逐级计算!$Q$125/10)-1)+逐级计算!$Q$125*(DU43-逐级计算!$P$125)*LN(10)/10))))))),"")</f>
        <v>13.7930365735557</v>
      </c>
      <c r="DW43">
        <f>IF(AND(ISNUMBER(DV43),逐级计算!$X$126&gt;-1),IF(逐级计算!$X$126=0,DV43+逐级计算!$C$126,DV43+逐级计算!$C$126-(10/(逐级计算!$Q$126*LN(10))*(MAX((LN(10^(逐级计算!$Q$126/10)-1)+逐级计算!$Q$126*(DV43-逐级计算!$P$126)*LN(10)/10),0)+LN(1+EXP(-ABS((LN(10^(逐级计算!$Q$126/10)-1)+逐级计算!$Q$126*(DV43-逐级计算!$P$126)*LN(10)/10))))))),"")</f>
        <v>13.7930365735557</v>
      </c>
      <c r="DX43">
        <f>IF(AND(ISNUMBER(DW43),逐级计算!$X$127&gt;-1),IF(逐级计算!$X$127=0,DW43+逐级计算!$C$127,DW43+逐级计算!$C$127-(10/(逐级计算!$Q$127*LN(10))*(MAX((LN(10^(逐级计算!$Q$127/10)-1)+逐级计算!$Q$127*(DW43-逐级计算!$P$127)*LN(10)/10),0)+LN(1+EXP(-ABS((LN(10^(逐级计算!$Q$127/10)-1)+逐级计算!$Q$127*(DW43-逐级计算!$P$127)*LN(10)/10))))))),"")</f>
        <v>13.7930365735557</v>
      </c>
      <c r="DY43">
        <f>IF(AND(ISNUMBER(DX43),逐级计算!$X$128&gt;-1),IF(逐级计算!$X$128=0,DX43+逐级计算!$C$128,DX43+逐级计算!$C$128-(10/(逐级计算!$Q$128*LN(10))*(MAX((LN(10^(逐级计算!$Q$128/10)-1)+逐级计算!$Q$128*(DX43-逐级计算!$P$128)*LN(10)/10),0)+LN(1+EXP(-ABS((LN(10^(逐级计算!$Q$128/10)-1)+逐级计算!$Q$128*(DX43-逐级计算!$P$128)*LN(10)/10))))))),"")</f>
        <v>13.7930365735557</v>
      </c>
      <c r="DZ43">
        <f>IF(AND(ISNUMBER(DY43),逐级计算!$X$129&gt;-1),IF(逐级计算!$X$129=0,DY43+逐级计算!$C$129,DY43+逐级计算!$C$129-(10/(逐级计算!$Q$129*LN(10))*(MAX((LN(10^(逐级计算!$Q$129/10)-1)+逐级计算!$Q$129*(DY43-逐级计算!$P$129)*LN(10)/10),0)+LN(1+EXP(-ABS((LN(10^(逐级计算!$Q$129/10)-1)+逐级计算!$Q$129*(DY43-逐级计算!$P$129)*LN(10)/10))))))),"")</f>
        <v>13.7930365735557</v>
      </c>
      <c r="EA43">
        <f>IF(AND(ISNUMBER(DZ43),逐级计算!$X$130&gt;-1),IF(逐级计算!$X$130=0,DZ43+逐级计算!$C$130,DZ43+逐级计算!$C$130-(10/(逐级计算!$Q$130*LN(10))*(MAX((LN(10^(逐级计算!$Q$130/10)-1)+逐级计算!$Q$130*(DZ43-逐级计算!$P$130)*LN(10)/10),0)+LN(1+EXP(-ABS((LN(10^(逐级计算!$Q$130/10)-1)+逐级计算!$Q$130*(DZ43-逐级计算!$P$130)*LN(10)/10))))))),"")</f>
        <v>13.7930365735557</v>
      </c>
      <c r="EB43">
        <f>IF(AND(ISNUMBER(EA43),逐级计算!$X$131&gt;-1),IF(逐级计算!$X$131=0,EA43+逐级计算!$C$131,EA43+逐级计算!$C$131-(10/(逐级计算!$Q$131*LN(10))*(MAX((LN(10^(逐级计算!$Q$131/10)-1)+逐级计算!$Q$131*(EA43-逐级计算!$P$131)*LN(10)/10),0)+LN(1+EXP(-ABS((LN(10^(逐级计算!$Q$131/10)-1)+逐级计算!$Q$131*(EA43-逐级计算!$P$131)*LN(10)/10))))))),"")</f>
        <v>13.7930365735557</v>
      </c>
      <c r="EC43">
        <f>IF(AND(ISNUMBER(EB43),逐级计算!$X$132&gt;-1),IF(逐级计算!$X$132=0,EB43+逐级计算!$C$132,EB43+逐级计算!$C$132-(10/(逐级计算!$Q$132*LN(10))*(MAX((LN(10^(逐级计算!$Q$132/10)-1)+逐级计算!$Q$132*(EB43-逐级计算!$P$132)*LN(10)/10),0)+LN(1+EXP(-ABS((LN(10^(逐级计算!$Q$132/10)-1)+逐级计算!$Q$132*(EB43-逐级计算!$P$132)*LN(10)/10))))))),"")</f>
        <v>13.7930365735557</v>
      </c>
      <c r="ED43">
        <f>IF(AND(ISNUMBER(EC43),逐级计算!$X$133&gt;-1),IF(逐级计算!$X$133=0,EC43+逐级计算!$C$133,EC43+逐级计算!$C$133-(10/(逐级计算!$Q$133*LN(10))*(MAX((LN(10^(逐级计算!$Q$133/10)-1)+逐级计算!$Q$133*(EC43-逐级计算!$P$133)*LN(10)/10),0)+LN(1+EXP(-ABS((LN(10^(逐级计算!$Q$133/10)-1)+逐级计算!$Q$133*(EC43-逐级计算!$P$133)*LN(10)/10))))))),"")</f>
        <v>13.7930365735557</v>
      </c>
      <c r="EE43">
        <f>IF(AND(ISNUMBER(ED43),逐级计算!$X$134&gt;-1),IF(逐级计算!$X$134=0,ED43+逐级计算!$C$134,ED43+逐级计算!$C$134-(10/(逐级计算!$Q$134*LN(10))*(MAX((LN(10^(逐级计算!$Q$134/10)-1)+逐级计算!$Q$134*(ED43-逐级计算!$P$134)*LN(10)/10),0)+LN(1+EXP(-ABS((LN(10^(逐级计算!$Q$134/10)-1)+逐级计算!$Q$134*(ED43-逐级计算!$P$134)*LN(10)/10))))))),"")</f>
        <v>13.7930365735557</v>
      </c>
      <c r="EF43">
        <f>IF(AND(ISNUMBER(EE43),逐级计算!$X$135&gt;-1),IF(逐级计算!$X$135=0,EE43+逐级计算!$C$135,EE43+逐级计算!$C$135-(10/(逐级计算!$Q$135*LN(10))*(MAX((LN(10^(逐级计算!$Q$135/10)-1)+逐级计算!$Q$135*(EE43-逐级计算!$P$135)*LN(10)/10),0)+LN(1+EXP(-ABS((LN(10^(逐级计算!$Q$135/10)-1)+逐级计算!$Q$135*(EE43-逐级计算!$P$135)*LN(10)/10))))))),"")</f>
        <v>13.7930365735557</v>
      </c>
      <c r="EG43">
        <f>IF(AND(ISNUMBER(EF43),逐级计算!$X$136&gt;-1),IF(逐级计算!$X$136=0,EF43+逐级计算!$C$136,EF43+逐级计算!$C$136-(10/(逐级计算!$Q$136*LN(10))*(MAX((LN(10^(逐级计算!$Q$136/10)-1)+逐级计算!$Q$136*(EF43-逐级计算!$P$136)*LN(10)/10),0)+LN(1+EXP(-ABS((LN(10^(逐级计算!$Q$136/10)-1)+逐级计算!$Q$136*(EF43-逐级计算!$P$136)*LN(10)/10))))))),"")</f>
        <v>13.7930365735557</v>
      </c>
      <c r="EH43">
        <f>IF(AND(ISNUMBER(EG43),逐级计算!$X$137&gt;-1),IF(逐级计算!$X$137=0,EG43+逐级计算!$C$137,EG43+逐级计算!$C$137-(10/(逐级计算!$Q$137*LN(10))*(MAX((LN(10^(逐级计算!$Q$137/10)-1)+逐级计算!$Q$137*(EG43-逐级计算!$P$137)*LN(10)/10),0)+LN(1+EXP(-ABS((LN(10^(逐级计算!$Q$137/10)-1)+逐级计算!$Q$137*(EG43-逐级计算!$P$137)*LN(10)/10))))))),"")</f>
        <v>13.7930365735557</v>
      </c>
      <c r="EI43">
        <f>IF(AND(ISNUMBER(EH43),逐级计算!$X$138&gt;-1),IF(逐级计算!$X$138=0,EH43+逐级计算!$C$138,EH43+逐级计算!$C$138-(10/(逐级计算!$Q$138*LN(10))*(MAX((LN(10^(逐级计算!$Q$138/10)-1)+逐级计算!$Q$138*(EH43-逐级计算!$P$138)*LN(10)/10),0)+LN(1+EXP(-ABS((LN(10^(逐级计算!$Q$138/10)-1)+逐级计算!$Q$138*(EH43-逐级计算!$P$138)*LN(10)/10))))))),"")</f>
        <v>13.7930365735557</v>
      </c>
      <c r="EJ43">
        <f>IF(AND(ISNUMBER(EI43),逐级计算!$X$139&gt;-1),IF(逐级计算!$X$139=0,EI43+逐级计算!$C$139,EI43+逐级计算!$C$139-(10/(逐级计算!$Q$139*LN(10))*(MAX((LN(10^(逐级计算!$Q$139/10)-1)+逐级计算!$Q$139*(EI43-逐级计算!$P$139)*LN(10)/10),0)+LN(1+EXP(-ABS((LN(10^(逐级计算!$Q$139/10)-1)+逐级计算!$Q$139*(EI43-逐级计算!$P$139)*LN(10)/10))))))),"")</f>
        <v>13.7930365735557</v>
      </c>
      <c r="EK43">
        <f>IF(AND(ISNUMBER(EJ43),逐级计算!$X$140&gt;-1),IF(逐级计算!$X$140=0,EJ43+逐级计算!$C$140,EJ43+逐级计算!$C$140-(10/(逐级计算!$Q$140*LN(10))*(MAX((LN(10^(逐级计算!$Q$140/10)-1)+逐级计算!$Q$140*(EJ43-逐级计算!$P$140)*LN(10)/10),0)+LN(1+EXP(-ABS((LN(10^(逐级计算!$Q$140/10)-1)+逐级计算!$Q$140*(EJ43-逐级计算!$P$140)*LN(10)/10))))))),"")</f>
        <v>13.7930365735557</v>
      </c>
      <c r="EL43">
        <f>IF(AND(ISNUMBER(EK43),逐级计算!$X$141&gt;-1),IF(逐级计算!$X$141=0,EK43+逐级计算!$C$141,EK43+逐级计算!$C$141-(10/(逐级计算!$Q$141*LN(10))*(MAX((LN(10^(逐级计算!$Q$141/10)-1)+逐级计算!$Q$141*(EK43-逐级计算!$P$141)*LN(10)/10),0)+LN(1+EXP(-ABS((LN(10^(逐级计算!$Q$141/10)-1)+逐级计算!$Q$141*(EK43-逐级计算!$P$141)*LN(10)/10))))))),"")</f>
        <v>13.7930365735557</v>
      </c>
      <c r="EM43">
        <f>IF(AND(ISNUMBER(EL43),逐级计算!$X$142&gt;-1),IF(逐级计算!$X$142=0,EL43+逐级计算!$C$142,EL43+逐级计算!$C$142-(10/(逐级计算!$Q$142*LN(10))*(MAX((LN(10^(逐级计算!$Q$142/10)-1)+逐级计算!$Q$142*(EL43-逐级计算!$P$142)*LN(10)/10),0)+LN(1+EXP(-ABS((LN(10^(逐级计算!$Q$142/10)-1)+逐级计算!$Q$142*(EL43-逐级计算!$P$142)*LN(10)/10))))))),"")</f>
        <v>13.7930365735557</v>
      </c>
      <c r="EN43">
        <f>IF(AND(ISNUMBER(EM43),逐级计算!$X$143&gt;-1),IF(逐级计算!$X$143=0,EM43+逐级计算!$C$143,EM43+逐级计算!$C$143-(10/(逐级计算!$Q$143*LN(10))*(MAX((LN(10^(逐级计算!$Q$143/10)-1)+逐级计算!$Q$143*(EM43-逐级计算!$P$143)*LN(10)/10),0)+LN(1+EXP(-ABS((LN(10^(逐级计算!$Q$143/10)-1)+逐级计算!$Q$143*(EM43-逐级计算!$P$143)*LN(10)/10))))))),"")</f>
        <v>13.7930365735557</v>
      </c>
      <c r="EO43">
        <f>IF(AND(ISNUMBER(EN43),逐级计算!$X$144&gt;-1),IF(逐级计算!$X$144=0,EN43+逐级计算!$C$144,EN43+逐级计算!$C$144-(10/(逐级计算!$Q$144*LN(10))*(MAX((LN(10^(逐级计算!$Q$144/10)-1)+逐级计算!$Q$144*(EN43-逐级计算!$P$144)*LN(10)/10),0)+LN(1+EXP(-ABS((LN(10^(逐级计算!$Q$144/10)-1)+逐级计算!$Q$144*(EN43-逐级计算!$P$144)*LN(10)/10))))))),"")</f>
        <v>13.7930365735557</v>
      </c>
      <c r="EP43">
        <f>IF(AND(ISNUMBER(EO43),逐级计算!$X$145&gt;-1),IF(逐级计算!$X$145=0,EO43+逐级计算!$C$145,EO43+逐级计算!$C$145-(10/(逐级计算!$Q$145*LN(10))*(MAX((LN(10^(逐级计算!$Q$145/10)-1)+逐级计算!$Q$145*(EO43-逐级计算!$P$145)*LN(10)/10),0)+LN(1+EXP(-ABS((LN(10^(逐级计算!$Q$145/10)-1)+逐级计算!$Q$145*(EO43-逐级计算!$P$145)*LN(10)/10))))))),"")</f>
        <v>13.7930365735557</v>
      </c>
      <c r="EQ43">
        <f>IF(AND(ISNUMBER(EP43),逐级计算!$X$146&gt;-1),IF(逐级计算!$X$146=0,EP43+逐级计算!$C$146,EP43+逐级计算!$C$146-(10/(逐级计算!$Q$146*LN(10))*(MAX((LN(10^(逐级计算!$Q$146/10)-1)+逐级计算!$Q$146*(EP43-逐级计算!$P$146)*LN(10)/10),0)+LN(1+EXP(-ABS((LN(10^(逐级计算!$Q$146/10)-1)+逐级计算!$Q$146*(EP43-逐级计算!$P$146)*LN(10)/10))))))),"")</f>
        <v>13.7930365735557</v>
      </c>
      <c r="ER43">
        <f>IF(AND(ISNUMBER(EQ43),逐级计算!$X$147&gt;-1),IF(逐级计算!$X$147=0,EQ43+逐级计算!$C$147,EQ43+逐级计算!$C$147-(10/(逐级计算!$Q$147*LN(10))*(MAX((LN(10^(逐级计算!$Q$147/10)-1)+逐级计算!$Q$147*(EQ43-逐级计算!$P$147)*LN(10)/10),0)+LN(1+EXP(-ABS((LN(10^(逐级计算!$Q$147/10)-1)+逐级计算!$Q$147*(EQ43-逐级计算!$P$147)*LN(10)/10))))))),"")</f>
        <v>13.7930365735557</v>
      </c>
      <c r="ES43">
        <f>IF(AND(ISNUMBER(ER43),逐级计算!$X$148&gt;-1),IF(逐级计算!$X$148=0,ER43+逐级计算!$C$148,ER43+逐级计算!$C$148-(10/(逐级计算!$Q$148*LN(10))*(MAX((LN(10^(逐级计算!$Q$148/10)-1)+逐级计算!$Q$148*(ER43-逐级计算!$P$148)*LN(10)/10),0)+LN(1+EXP(-ABS((LN(10^(逐级计算!$Q$148/10)-1)+逐级计算!$Q$148*(ER43-逐级计算!$P$148)*LN(10)/10))))))),"")</f>
        <v>13.7930365735557</v>
      </c>
      <c r="ET43">
        <f>IF(AND(ISNUMBER(ES43),逐级计算!$X$149&gt;-1),IF(逐级计算!$X$149=0,ES43+逐级计算!$C$149,ES43+逐级计算!$C$149-(10/(逐级计算!$Q$149*LN(10))*(MAX((LN(10^(逐级计算!$Q$149/10)-1)+逐级计算!$Q$149*(ES43-逐级计算!$P$149)*LN(10)/10),0)+LN(1+EXP(-ABS((LN(10^(逐级计算!$Q$149/10)-1)+逐级计算!$Q$149*(ES43-逐级计算!$P$149)*LN(10)/10))))))),"")</f>
        <v>13.7930365735557</v>
      </c>
      <c r="EU43">
        <f>IF(AND(ISNUMBER(ET43),逐级计算!$X$150&gt;-1),IF(逐级计算!$X$150=0,ET43+逐级计算!$C$150,ET43+逐级计算!$C$150-(10/(逐级计算!$Q$150*LN(10))*(MAX((LN(10^(逐级计算!$Q$150/10)-1)+逐级计算!$Q$150*(ET43-逐级计算!$P$150)*LN(10)/10),0)+LN(1+EXP(-ABS((LN(10^(逐级计算!$Q$150/10)-1)+逐级计算!$Q$150*(ET43-逐级计算!$P$150)*LN(10)/10))))))),"")</f>
        <v>13.7930365735557</v>
      </c>
      <c r="EV43">
        <f>IF(AND(ISNUMBER(EU43),逐级计算!$X$151&gt;-1),IF(逐级计算!$X$151=0,EU43+逐级计算!$C$151,EU43+逐级计算!$C$151-(10/(逐级计算!$Q$151*LN(10))*(MAX((LN(10^(逐级计算!$Q$151/10)-1)+逐级计算!$Q$151*(EU43-逐级计算!$P$151)*LN(10)/10),0)+LN(1+EXP(-ABS((LN(10^(逐级计算!$Q$151/10)-1)+逐级计算!$Q$151*(EU43-逐级计算!$P$151)*LN(10)/10))))))),"")</f>
        <v>13.7930365735557</v>
      </c>
      <c r="EW43">
        <f>IF(AND(ISNUMBER(EV43),逐级计算!$X$152&gt;-1),IF(逐级计算!$X$152=0,EV43+逐级计算!$C$152,EV43+逐级计算!$C$152-(10/(逐级计算!$Q$152*LN(10))*(MAX((LN(10^(逐级计算!$Q$152/10)-1)+逐级计算!$Q$152*(EV43-逐级计算!$P$152)*LN(10)/10),0)+LN(1+EXP(-ABS((LN(10^(逐级计算!$Q$152/10)-1)+逐级计算!$Q$152*(EV43-逐级计算!$P$152)*LN(10)/10))))))),"")</f>
        <v>13.7930365735557</v>
      </c>
      <c r="EX43">
        <f>IF(AND(ISNUMBER(EW43),逐级计算!$X$153&gt;-1),IF(逐级计算!$X$153=0,EW43+逐级计算!$C$153,EW43+逐级计算!$C$153-(10/(逐级计算!$Q$153*LN(10))*(MAX((LN(10^(逐级计算!$Q$153/10)-1)+逐级计算!$Q$153*(EW43-逐级计算!$P$153)*LN(10)/10),0)+LN(1+EXP(-ABS((LN(10^(逐级计算!$Q$153/10)-1)+逐级计算!$Q$153*(EW43-逐级计算!$P$153)*LN(10)/10))))))),"")</f>
        <v>13.7930365735557</v>
      </c>
      <c r="EY43">
        <f>IF(AND(ISNUMBER(EX43),逐级计算!$X$154&gt;-1),IF(逐级计算!$X$154=0,EX43+逐级计算!$C$154,EX43+逐级计算!$C$154-(10/(逐级计算!$Q$154*LN(10))*(MAX((LN(10^(逐级计算!$Q$154/10)-1)+逐级计算!$Q$154*(EX43-逐级计算!$P$154)*LN(10)/10),0)+LN(1+EXP(-ABS((LN(10^(逐级计算!$Q$154/10)-1)+逐级计算!$Q$154*(EX43-逐级计算!$P$154)*LN(10)/10))))))),"")</f>
        <v>13.7930365735557</v>
      </c>
      <c r="EZ43">
        <f>IF(AND(ISNUMBER(EY43),逐级计算!$X$155&gt;-1),IF(逐级计算!$X$155=0,EY43+逐级计算!$C$155,EY43+逐级计算!$C$155-(10/(逐级计算!$Q$155*LN(10))*(MAX((LN(10^(逐级计算!$Q$155/10)-1)+逐级计算!$Q$155*(EY43-逐级计算!$P$155)*LN(10)/10),0)+LN(1+EXP(-ABS((LN(10^(逐级计算!$Q$155/10)-1)+逐级计算!$Q$155*(EY43-逐级计算!$P$155)*LN(10)/10))))))),"")</f>
        <v>13.7930365735557</v>
      </c>
      <c r="FA43">
        <f>IF(AND(ISNUMBER(EZ43),逐级计算!$X$156&gt;-1),IF(逐级计算!$X$156=0,EZ43+逐级计算!$C$156,EZ43+逐级计算!$C$156-(10/(逐级计算!$Q$156*LN(10))*(MAX((LN(10^(逐级计算!$Q$156/10)-1)+逐级计算!$Q$156*(EZ43-逐级计算!$P$156)*LN(10)/10),0)+LN(1+EXP(-ABS((LN(10^(逐级计算!$Q$156/10)-1)+逐级计算!$Q$156*(EZ43-逐级计算!$P$156)*LN(10)/10))))))),"")</f>
        <v>13.7930365735557</v>
      </c>
      <c r="FB43">
        <f>IF(AND(ISNUMBER(FA43),逐级计算!$X$157&gt;-1),IF(逐级计算!$X$157=0,FA43+逐级计算!$C$157,FA43+逐级计算!$C$157-(10/(逐级计算!$Q$157*LN(10))*(MAX((LN(10^(逐级计算!$Q$157/10)-1)+逐级计算!$Q$157*(FA43-逐级计算!$P$157)*LN(10)/10),0)+LN(1+EXP(-ABS((LN(10^(逐级计算!$Q$157/10)-1)+逐级计算!$Q$157*(FA43-逐级计算!$P$157)*LN(10)/10))))))),"")</f>
        <v>13.7930365735557</v>
      </c>
      <c r="FC43">
        <f>IF(AND(ISNUMBER(FB43),逐级计算!$X$158&gt;-1),IF(逐级计算!$X$158=0,FB43+逐级计算!$C$158,FB43+逐级计算!$C$158-(10/(逐级计算!$Q$158*LN(10))*(MAX((LN(10^(逐级计算!$Q$158/10)-1)+逐级计算!$Q$158*(FB43-逐级计算!$P$158)*LN(10)/10),0)+LN(1+EXP(-ABS((LN(10^(逐级计算!$Q$158/10)-1)+逐级计算!$Q$158*(FB43-逐级计算!$P$158)*LN(10)/10))))))),"")</f>
        <v>13.7930365735557</v>
      </c>
      <c r="FD43">
        <f>IF(AND(ISNUMBER(FC43),逐级计算!$X$159&gt;-1),IF(逐级计算!$X$159=0,FC43+逐级计算!$C$159,FC43+逐级计算!$C$159-(10/(逐级计算!$Q$159*LN(10))*(MAX((LN(10^(逐级计算!$Q$159/10)-1)+逐级计算!$Q$159*(FC43-逐级计算!$P$159)*LN(10)/10),0)+LN(1+EXP(-ABS((LN(10^(逐级计算!$Q$159/10)-1)+逐级计算!$Q$159*(FC43-逐级计算!$P$159)*LN(10)/10))))))),"")</f>
        <v>13.7930365735557</v>
      </c>
      <c r="FE43">
        <f>IF(AND(ISNUMBER(FD43),逐级计算!$X$160&gt;-1),IF(逐级计算!$X$160=0,FD43+逐级计算!$C$160,FD43+逐级计算!$C$160-(10/(逐级计算!$Q$160*LN(10))*(MAX((LN(10^(逐级计算!$Q$160/10)-1)+逐级计算!$Q$160*(FD43-逐级计算!$P$160)*LN(10)/10),0)+LN(1+EXP(-ABS((LN(10^(逐级计算!$Q$160/10)-1)+逐级计算!$Q$160*(FD43-逐级计算!$P$160)*LN(10)/10))))))),"")</f>
        <v>13.7930365735557</v>
      </c>
      <c r="FF43">
        <f>IF(AND(ISNUMBER(FE43),逐级计算!$X$161&gt;-1),IF(逐级计算!$X$161=0,FE43+逐级计算!$C$161,FE43+逐级计算!$C$161-(10/(逐级计算!$Q$161*LN(10))*(MAX((LN(10^(逐级计算!$Q$161/10)-1)+逐级计算!$Q$161*(FE43-逐级计算!$P$161)*LN(10)/10),0)+LN(1+EXP(-ABS((LN(10^(逐级计算!$Q$161/10)-1)+逐级计算!$Q$161*(FE43-逐级计算!$P$161)*LN(10)/10))))))),"")</f>
        <v>13.7930365735557</v>
      </c>
      <c r="FG43">
        <f>IF(AND(ISNUMBER(FF43),逐级计算!$X$162&gt;-1),IF(逐级计算!$X$162=0,FF43+逐级计算!$C$162,FF43+逐级计算!$C$162-(10/(逐级计算!$Q$162*LN(10))*(MAX((LN(10^(逐级计算!$Q$162/10)-1)+逐级计算!$Q$162*(FF43-逐级计算!$P$162)*LN(10)/10),0)+LN(1+EXP(-ABS((LN(10^(逐级计算!$Q$162/10)-1)+逐级计算!$Q$162*(FF43-逐级计算!$P$162)*LN(10)/10))))))),"")</f>
        <v>13.7930365735557</v>
      </c>
      <c r="FH43">
        <f>IF(AND(ISNUMBER(FG43),逐级计算!$X$163&gt;-1),IF(逐级计算!$X$163=0,FG43+逐级计算!$C$163,FG43+逐级计算!$C$163-(10/(逐级计算!$Q$163*LN(10))*(MAX((LN(10^(逐级计算!$Q$163/10)-1)+逐级计算!$Q$163*(FG43-逐级计算!$P$163)*LN(10)/10),0)+LN(1+EXP(-ABS((LN(10^(逐级计算!$Q$163/10)-1)+逐级计算!$Q$163*(FG43-逐级计算!$P$163)*LN(10)/10))))))),"")</f>
        <v>13.7930365735557</v>
      </c>
      <c r="FI43">
        <f>IF(AND(ISNUMBER(FH43),逐级计算!$X$164&gt;-1),IF(逐级计算!$X$164=0,FH43+逐级计算!$C$164,FH43+逐级计算!$C$164-(10/(逐级计算!$Q$164*LN(10))*(MAX((LN(10^(逐级计算!$Q$164/10)-1)+逐级计算!$Q$164*(FH43-逐级计算!$P$164)*LN(10)/10),0)+LN(1+EXP(-ABS((LN(10^(逐级计算!$Q$164/10)-1)+逐级计算!$Q$164*(FH43-逐级计算!$P$164)*LN(10)/10))))))),"")</f>
        <v>13.7930365735557</v>
      </c>
      <c r="FJ43">
        <f>IF(AND(ISNUMBER(FI43),逐级计算!$X$165&gt;-1),IF(逐级计算!$X$165=0,FI43+逐级计算!$C$165,FI43+逐级计算!$C$165-(10/(逐级计算!$Q$165*LN(10))*(MAX((LN(10^(逐级计算!$Q$165/10)-1)+逐级计算!$Q$165*(FI43-逐级计算!$P$165)*LN(10)/10),0)+LN(1+EXP(-ABS((LN(10^(逐级计算!$Q$165/10)-1)+逐级计算!$Q$165*(FI43-逐级计算!$P$165)*LN(10)/10))))))),"")</f>
        <v>13.7930365735557</v>
      </c>
      <c r="FK43">
        <f>IF(AND(ISNUMBER(FJ43),逐级计算!$X$166&gt;-1),IF(逐级计算!$X$166=0,FJ43+逐级计算!$C$166,FJ43+逐级计算!$C$166-(10/(逐级计算!$Q$166*LN(10))*(MAX((LN(10^(逐级计算!$Q$166/10)-1)+逐级计算!$Q$166*(FJ43-逐级计算!$P$166)*LN(10)/10),0)+LN(1+EXP(-ABS((LN(10^(逐级计算!$Q$166/10)-1)+逐级计算!$Q$166*(FJ43-逐级计算!$P$166)*LN(10)/10))))))),"")</f>
        <v>13.7930365735557</v>
      </c>
      <c r="FL43">
        <f>IF(AND(ISNUMBER(FK43),逐级计算!$X$167&gt;-1),IF(逐级计算!$X$167=0,FK43+逐级计算!$C$167,FK43+逐级计算!$C$167-(10/(逐级计算!$Q$167*LN(10))*(MAX((LN(10^(逐级计算!$Q$167/10)-1)+逐级计算!$Q$167*(FK43-逐级计算!$P$167)*LN(10)/10),0)+LN(1+EXP(-ABS((LN(10^(逐级计算!$Q$167/10)-1)+逐级计算!$Q$167*(FK43-逐级计算!$P$167)*LN(10)/10))))))),"")</f>
        <v>13.7930365735557</v>
      </c>
      <c r="FM43">
        <f>IF(AND(ISNUMBER(FL43),逐级计算!$X$168&gt;-1),IF(逐级计算!$X$168=0,FL43+逐级计算!$C$168,FL43+逐级计算!$C$168-(10/(逐级计算!$Q$168*LN(10))*(MAX((LN(10^(逐级计算!$Q$168/10)-1)+逐级计算!$Q$168*(FL43-逐级计算!$P$168)*LN(10)/10),0)+LN(1+EXP(-ABS((LN(10^(逐级计算!$Q$168/10)-1)+逐级计算!$Q$168*(FL43-逐级计算!$P$168)*LN(10)/10))))))),"")</f>
        <v>13.7930365735557</v>
      </c>
      <c r="FN43">
        <f>IF(AND(ISNUMBER(FM43),逐级计算!$X$169&gt;-1),IF(逐级计算!$X$169=0,FM43+逐级计算!$C$169,FM43+逐级计算!$C$169-(10/(逐级计算!$Q$169*LN(10))*(MAX((LN(10^(逐级计算!$Q$169/10)-1)+逐级计算!$Q$169*(FM43-逐级计算!$P$169)*LN(10)/10),0)+LN(1+EXP(-ABS((LN(10^(逐级计算!$Q$169/10)-1)+逐级计算!$Q$169*(FM43-逐级计算!$P$169)*LN(10)/10))))))),"")</f>
        <v>13.7930365735557</v>
      </c>
      <c r="FO43">
        <f>IF(AND(ISNUMBER(FN43),逐级计算!$X$170&gt;-1),IF(逐级计算!$X$170=0,FN43+逐级计算!$C$170,FN43+逐级计算!$C$170-(10/(逐级计算!$Q$170*LN(10))*(MAX((LN(10^(逐级计算!$Q$170/10)-1)+逐级计算!$Q$170*(FN43-逐级计算!$P$170)*LN(10)/10),0)+LN(1+EXP(-ABS((LN(10^(逐级计算!$Q$170/10)-1)+逐级计算!$Q$170*(FN43-逐级计算!$P$170)*LN(10)/10))))))),"")</f>
        <v>13.7930365735557</v>
      </c>
      <c r="FP43">
        <f>IF(AND(ISNUMBER(FO43),逐级计算!$X$171&gt;-1),IF(逐级计算!$X$171=0,FO43+逐级计算!$C$171,FO43+逐级计算!$C$171-(10/(逐级计算!$Q$171*LN(10))*(MAX((LN(10^(逐级计算!$Q$171/10)-1)+逐级计算!$Q$171*(FO43-逐级计算!$P$171)*LN(10)/10),0)+LN(1+EXP(-ABS((LN(10^(逐级计算!$Q$171/10)-1)+逐级计算!$Q$171*(FO43-逐级计算!$P$171)*LN(10)/10))))))),"")</f>
        <v>13.7930365735557</v>
      </c>
      <c r="FQ43">
        <f>IF(AND(ISNUMBER(FP43),逐级计算!$X$172&gt;-1),IF(逐级计算!$X$172=0,FP43+逐级计算!$C$172,FP43+逐级计算!$C$172-(10/(逐级计算!$Q$172*LN(10))*(MAX((LN(10^(逐级计算!$Q$172/10)-1)+逐级计算!$Q$172*(FP43-逐级计算!$P$172)*LN(10)/10),0)+LN(1+EXP(-ABS((LN(10^(逐级计算!$Q$172/10)-1)+逐级计算!$Q$172*(FP43-逐级计算!$P$172)*LN(10)/10))))))),"")</f>
        <v>13.7930365735557</v>
      </c>
      <c r="FR43">
        <f>IF(AND(ISNUMBER(FQ43),逐级计算!$X$173&gt;-1),IF(逐级计算!$X$173=0,FQ43+逐级计算!$C$173,FQ43+逐级计算!$C$173-(10/(逐级计算!$Q$173*LN(10))*(MAX((LN(10^(逐级计算!$Q$173/10)-1)+逐级计算!$Q$173*(FQ43-逐级计算!$P$173)*LN(10)/10),0)+LN(1+EXP(-ABS((LN(10^(逐级计算!$Q$173/10)-1)+逐级计算!$Q$173*(FQ43-逐级计算!$P$173)*LN(10)/10))))))),"")</f>
        <v>13.7930365735557</v>
      </c>
      <c r="FS43">
        <f>IF(AND(ISNUMBER(FR43),逐级计算!$X$174&gt;-1),IF(逐级计算!$X$174=0,FR43+逐级计算!$C$174,FR43+逐级计算!$C$174-(10/(逐级计算!$Q$174*LN(10))*(MAX((LN(10^(逐级计算!$Q$174/10)-1)+逐级计算!$Q$174*(FR43-逐级计算!$P$174)*LN(10)/10),0)+LN(1+EXP(-ABS((LN(10^(逐级计算!$Q$174/10)-1)+逐级计算!$Q$174*(FR43-逐级计算!$P$174)*LN(10)/10))))))),"")</f>
        <v>13.7930365735557</v>
      </c>
      <c r="FT43">
        <f>IF(AND(ISNUMBER(FS43),逐级计算!$X$175&gt;-1),IF(逐级计算!$X$175=0,FS43+逐级计算!$C$175,FS43+逐级计算!$C$175-(10/(逐级计算!$Q$175*LN(10))*(MAX((LN(10^(逐级计算!$Q$175/10)-1)+逐级计算!$Q$175*(FS43-逐级计算!$P$175)*LN(10)/10),0)+LN(1+EXP(-ABS((LN(10^(逐级计算!$Q$175/10)-1)+逐级计算!$Q$175*(FS43-逐级计算!$P$175)*LN(10)/10))))))),"")</f>
        <v>13.7930365735557</v>
      </c>
      <c r="FU43">
        <f>IF(AND(ISNUMBER(FT43),逐级计算!$X$176&gt;-1),IF(逐级计算!$X$176=0,FT43+逐级计算!$C$176,FT43+逐级计算!$C$176-(10/(逐级计算!$Q$176*LN(10))*(MAX((LN(10^(逐级计算!$Q$176/10)-1)+逐级计算!$Q$176*(FT43-逐级计算!$P$176)*LN(10)/10),0)+LN(1+EXP(-ABS((LN(10^(逐级计算!$Q$176/10)-1)+逐级计算!$Q$176*(FT43-逐级计算!$P$176)*LN(10)/10))))))),"")</f>
        <v>13.7930365735557</v>
      </c>
      <c r="FV43">
        <f>IF(AND(ISNUMBER(FU43),逐级计算!$X$177&gt;-1),IF(逐级计算!$X$177=0,FU43+逐级计算!$C$177,FU43+逐级计算!$C$177-(10/(逐级计算!$Q$177*LN(10))*(MAX((LN(10^(逐级计算!$Q$177/10)-1)+逐级计算!$Q$177*(FU43-逐级计算!$P$177)*LN(10)/10),0)+LN(1+EXP(-ABS((LN(10^(逐级计算!$Q$177/10)-1)+逐级计算!$Q$177*(FU43-逐级计算!$P$177)*LN(10)/10))))))),"")</f>
        <v>13.7930365735557</v>
      </c>
      <c r="FW43">
        <f>IF(AND(ISNUMBER(FV43),逐级计算!$X$178&gt;-1),IF(逐级计算!$X$178=0,FV43+逐级计算!$C$178,FV43+逐级计算!$C$178-(10/(逐级计算!$Q$178*LN(10))*(MAX((LN(10^(逐级计算!$Q$178/10)-1)+逐级计算!$Q$178*(FV43-逐级计算!$P$178)*LN(10)/10),0)+LN(1+EXP(-ABS((LN(10^(逐级计算!$Q$178/10)-1)+逐级计算!$Q$178*(FV43-逐级计算!$P$178)*LN(10)/10))))))),"")</f>
        <v>13.7930365735557</v>
      </c>
      <c r="FX43">
        <f>IF(AND(ISNUMBER(FW43),逐级计算!$X$179&gt;-1),IF(逐级计算!$X$179=0,FW43+逐级计算!$C$179,FW43+逐级计算!$C$179-(10/(逐级计算!$Q$179*LN(10))*(MAX((LN(10^(逐级计算!$Q$179/10)-1)+逐级计算!$Q$179*(FW43-逐级计算!$P$179)*LN(10)/10),0)+LN(1+EXP(-ABS((LN(10^(逐级计算!$Q$179/10)-1)+逐级计算!$Q$179*(FW43-逐级计算!$P$179)*LN(10)/10))))))),"")</f>
        <v>13.7930365735557</v>
      </c>
      <c r="FY43">
        <f>IF(AND(ISNUMBER(FX43),逐级计算!$X$180&gt;-1),IF(逐级计算!$X$180=0,FX43+逐级计算!$C$180,FX43+逐级计算!$C$180-(10/(逐级计算!$Q$180*LN(10))*(MAX((LN(10^(逐级计算!$Q$180/10)-1)+逐级计算!$Q$180*(FX43-逐级计算!$P$180)*LN(10)/10),0)+LN(1+EXP(-ABS((LN(10^(逐级计算!$Q$180/10)-1)+逐级计算!$Q$180*(FX43-逐级计算!$P$180)*LN(10)/10))))))),"")</f>
        <v>13.7930365735557</v>
      </c>
      <c r="FZ43">
        <f>IF(AND(ISNUMBER(FY43),逐级计算!$X$181&gt;-1),IF(逐级计算!$X$181=0,FY43+逐级计算!$C$181,FY43+逐级计算!$C$181-(10/(逐级计算!$Q$181*LN(10))*(MAX((LN(10^(逐级计算!$Q$181/10)-1)+逐级计算!$Q$181*(FY43-逐级计算!$P$181)*LN(10)/10),0)+LN(1+EXP(-ABS((LN(10^(逐级计算!$Q$181/10)-1)+逐级计算!$Q$181*(FY43-逐级计算!$P$181)*LN(10)/10))))))),"")</f>
        <v>13.7930365735557</v>
      </c>
      <c r="GA43">
        <f>IF(AND(ISNUMBER(FZ43),逐级计算!$X$182&gt;-1),IF(逐级计算!$X$182=0,FZ43+逐级计算!$C$182,FZ43+逐级计算!$C$182-(10/(逐级计算!$Q$182*LN(10))*(MAX((LN(10^(逐级计算!$Q$182/10)-1)+逐级计算!$Q$182*(FZ43-逐级计算!$P$182)*LN(10)/10),0)+LN(1+EXP(-ABS((LN(10^(逐级计算!$Q$182/10)-1)+逐级计算!$Q$182*(FZ43-逐级计算!$P$182)*LN(10)/10))))))),"")</f>
        <v>13.7930365735557</v>
      </c>
      <c r="GB43">
        <f>IF(AND(ISNUMBER(GA43),逐级计算!$X$183&gt;-1),IF(逐级计算!$X$183=0,GA43+逐级计算!$C$183,GA43+逐级计算!$C$183-(10/(逐级计算!$Q$183*LN(10))*(MAX((LN(10^(逐级计算!$Q$183/10)-1)+逐级计算!$Q$183*(GA43-逐级计算!$P$183)*LN(10)/10),0)+LN(1+EXP(-ABS((LN(10^(逐级计算!$Q$183/10)-1)+逐级计算!$Q$183*(GA43-逐级计算!$P$183)*LN(10)/10))))))),"")</f>
        <v>13.7930365735557</v>
      </c>
      <c r="GC43">
        <f>IF(AND(ISNUMBER(GB43),逐级计算!$X$184&gt;-1),IF(逐级计算!$X$184=0,GB43+逐级计算!$C$184,GB43+逐级计算!$C$184-(10/(逐级计算!$Q$184*LN(10))*(MAX((LN(10^(逐级计算!$Q$184/10)-1)+逐级计算!$Q$184*(GB43-逐级计算!$P$184)*LN(10)/10),0)+LN(1+EXP(-ABS((LN(10^(逐级计算!$Q$184/10)-1)+逐级计算!$Q$184*(GB43-逐级计算!$P$184)*LN(10)/10))))))),"")</f>
        <v>13.7930365735557</v>
      </c>
      <c r="GD43">
        <f>IF(AND(ISNUMBER(GC43),逐级计算!$X$185&gt;-1),IF(逐级计算!$X$185=0,GC43+逐级计算!$C$185,GC43+逐级计算!$C$185-(10/(逐级计算!$Q$185*LN(10))*(MAX((LN(10^(逐级计算!$Q$185/10)-1)+逐级计算!$Q$185*(GC43-逐级计算!$P$185)*LN(10)/10),0)+LN(1+EXP(-ABS((LN(10^(逐级计算!$Q$185/10)-1)+逐级计算!$Q$185*(GC43-逐级计算!$P$185)*LN(10)/10))))))),"")</f>
        <v>13.7930365735557</v>
      </c>
      <c r="GE43">
        <f>IF(AND(ISNUMBER(GD43),逐级计算!$X$186&gt;-1),IF(逐级计算!$X$186=0,GD43+逐级计算!$C$186,GD43+逐级计算!$C$186-(10/(逐级计算!$Q$186*LN(10))*(MAX((LN(10^(逐级计算!$Q$186/10)-1)+逐级计算!$Q$186*(GD43-逐级计算!$P$186)*LN(10)/10),0)+LN(1+EXP(-ABS((LN(10^(逐级计算!$Q$186/10)-1)+逐级计算!$Q$186*(GD43-逐级计算!$P$186)*LN(10)/10))))))),"")</f>
        <v>13.7930365735557</v>
      </c>
      <c r="GF43">
        <f>IF(AND(ISNUMBER(GE43),逐级计算!$X$187&gt;-1),IF(逐级计算!$X$187=0,GE43+逐级计算!$C$187,GE43+逐级计算!$C$187-(10/(逐级计算!$Q$187*LN(10))*(MAX((LN(10^(逐级计算!$Q$187/10)-1)+逐级计算!$Q$187*(GE43-逐级计算!$P$187)*LN(10)/10),0)+LN(1+EXP(-ABS((LN(10^(逐级计算!$Q$187/10)-1)+逐级计算!$Q$187*(GE43-逐级计算!$P$187)*LN(10)/10))))))),"")</f>
        <v>13.7930365735557</v>
      </c>
      <c r="GG43">
        <f>IF(AND(ISNUMBER(GF43),逐级计算!$X$188&gt;-1),IF(逐级计算!$X$188=0,GF43+逐级计算!$C$188,GF43+逐级计算!$C$188-(10/(逐级计算!$Q$188*LN(10))*(MAX((LN(10^(逐级计算!$Q$188/10)-1)+逐级计算!$Q$188*(GF43-逐级计算!$P$188)*LN(10)/10),0)+LN(1+EXP(-ABS((LN(10^(逐级计算!$Q$188/10)-1)+逐级计算!$Q$188*(GF43-逐级计算!$P$188)*LN(10)/10))))))),"")</f>
        <v>13.7930365735557</v>
      </c>
      <c r="GH43">
        <f>IF(AND(ISNUMBER(GG43),逐级计算!$X$189&gt;-1),IF(逐级计算!$X$189=0,GG43+逐级计算!$C$189,GG43+逐级计算!$C$189-(10/(逐级计算!$Q$189*LN(10))*(MAX((LN(10^(逐级计算!$Q$189/10)-1)+逐级计算!$Q$189*(GG43-逐级计算!$P$189)*LN(10)/10),0)+LN(1+EXP(-ABS((LN(10^(逐级计算!$Q$189/10)-1)+逐级计算!$Q$189*(GG43-逐级计算!$P$189)*LN(10)/10))))))),"")</f>
        <v>13.7930365735557</v>
      </c>
      <c r="GI43">
        <f>IF(AND(ISNUMBER(GH43),逐级计算!$X$190&gt;-1),IF(逐级计算!$X$190=0,GH43+逐级计算!$C$190,GH43+逐级计算!$C$190-(10/(逐级计算!$Q$190*LN(10))*(MAX((LN(10^(逐级计算!$Q$190/10)-1)+逐级计算!$Q$190*(GH43-逐级计算!$P$190)*LN(10)/10),0)+LN(1+EXP(-ABS((LN(10^(逐级计算!$Q$190/10)-1)+逐级计算!$Q$190*(GH43-逐级计算!$P$190)*LN(10)/10))))))),"")</f>
        <v>13.7930365735557</v>
      </c>
      <c r="GJ43">
        <f>IF(AND(ISNUMBER(GI43),逐级计算!$X$191&gt;-1),IF(逐级计算!$X$191=0,GI43+逐级计算!$C$191,GI43+逐级计算!$C$191-(10/(逐级计算!$Q$191*LN(10))*(MAX((LN(10^(逐级计算!$Q$191/10)-1)+逐级计算!$Q$191*(GI43-逐级计算!$P$191)*LN(10)/10),0)+LN(1+EXP(-ABS((LN(10^(逐级计算!$Q$191/10)-1)+逐级计算!$Q$191*(GI43-逐级计算!$P$191)*LN(10)/10))))))),"")</f>
        <v>13.7930365735557</v>
      </c>
      <c r="GK43">
        <f>IF(AND(ISNUMBER(GJ43),逐级计算!$X$192&gt;-1),IF(逐级计算!$X$192=0,GJ43+逐级计算!$C$192,GJ43+逐级计算!$C$192-(10/(逐级计算!$Q$192*LN(10))*(MAX((LN(10^(逐级计算!$Q$192/10)-1)+逐级计算!$Q$192*(GJ43-逐级计算!$P$192)*LN(10)/10),0)+LN(1+EXP(-ABS((LN(10^(逐级计算!$Q$192/10)-1)+逐级计算!$Q$192*(GJ43-逐级计算!$P$192)*LN(10)/10))))))),"")</f>
        <v>13.7930365735557</v>
      </c>
      <c r="GL43">
        <f>IF(AND(ISNUMBER(GK43),逐级计算!$X$193&gt;-1),IF(逐级计算!$X$193=0,GK43+逐级计算!$C$193,GK43+逐级计算!$C$193-(10/(逐级计算!$Q$193*LN(10))*(MAX((LN(10^(逐级计算!$Q$193/10)-1)+逐级计算!$Q$193*(GK43-逐级计算!$P$193)*LN(10)/10),0)+LN(1+EXP(-ABS((LN(10^(逐级计算!$Q$193/10)-1)+逐级计算!$Q$193*(GK43-逐级计算!$P$193)*LN(10)/10))))))),"")</f>
        <v>13.7930365735557</v>
      </c>
      <c r="GM43">
        <f>IF(AND(ISNUMBER(GL43),逐级计算!$X$194&gt;-1),IF(逐级计算!$X$194=0,GL43+逐级计算!$C$194,GL43+逐级计算!$C$194-(10/(逐级计算!$Q$194*LN(10))*(MAX((LN(10^(逐级计算!$Q$194/10)-1)+逐级计算!$Q$194*(GL43-逐级计算!$P$194)*LN(10)/10),0)+LN(1+EXP(-ABS((LN(10^(逐级计算!$Q$194/10)-1)+逐级计算!$Q$194*(GL43-逐级计算!$P$194)*LN(10)/10))))))),"")</f>
        <v>13.7930365735557</v>
      </c>
      <c r="GN43">
        <f>IF(AND(ISNUMBER(GM43),逐级计算!$X$195&gt;-1),IF(逐级计算!$X$195=0,GM43+逐级计算!$C$195,GM43+逐级计算!$C$195-(10/(逐级计算!$Q$195*LN(10))*(MAX((LN(10^(逐级计算!$Q$195/10)-1)+逐级计算!$Q$195*(GM43-逐级计算!$P$195)*LN(10)/10),0)+LN(1+EXP(-ABS((LN(10^(逐级计算!$Q$195/10)-1)+逐级计算!$Q$195*(GM43-逐级计算!$P$195)*LN(10)/10))))))),"")</f>
        <v>13.7930365735557</v>
      </c>
      <c r="GO43">
        <f>IF(AND(ISNUMBER(GN43),逐级计算!$X$196&gt;-1),IF(逐级计算!$X$196=0,GN43+逐级计算!$C$196,GN43+逐级计算!$C$196-(10/(逐级计算!$Q$196*LN(10))*(MAX((LN(10^(逐级计算!$Q$196/10)-1)+逐级计算!$Q$196*(GN43-逐级计算!$P$196)*LN(10)/10),0)+LN(1+EXP(-ABS((LN(10^(逐级计算!$Q$196/10)-1)+逐级计算!$Q$196*(GN43-逐级计算!$P$196)*LN(10)/10))))))),"")</f>
        <v>13.7930365735557</v>
      </c>
      <c r="GP43">
        <f>IF(AND(ISNUMBER(GO43),逐级计算!$X$197&gt;-1),IF(逐级计算!$X$197=0,GO43+逐级计算!$C$197,GO43+逐级计算!$C$197-(10/(逐级计算!$Q$197*LN(10))*(MAX((LN(10^(逐级计算!$Q$197/10)-1)+逐级计算!$Q$197*(GO43-逐级计算!$P$197)*LN(10)/10),0)+LN(1+EXP(-ABS((LN(10^(逐级计算!$Q$197/10)-1)+逐级计算!$Q$197*(GO43-逐级计算!$P$197)*LN(10)/10))))))),"")</f>
        <v>13.7930365735557</v>
      </c>
      <c r="GQ43">
        <f>IF(AND(ISNUMBER(GP43),逐级计算!$X$198&gt;-1),IF(逐级计算!$X$198=0,GP43+逐级计算!$C$198,GP43+逐级计算!$C$198-(10/(逐级计算!$Q$198*LN(10))*(MAX((LN(10^(逐级计算!$Q$198/10)-1)+逐级计算!$Q$198*(GP43-逐级计算!$P$198)*LN(10)/10),0)+LN(1+EXP(-ABS((LN(10^(逐级计算!$Q$198/10)-1)+逐级计算!$Q$198*(GP43-逐级计算!$P$198)*LN(10)/10))))))),"")</f>
        <v>13.7930365735557</v>
      </c>
      <c r="GR43">
        <f>IF(AND(ISNUMBER(GQ43),逐级计算!$X$199&gt;-1),IF(逐级计算!$X$199=0,GQ43+逐级计算!$C$199,GQ43+逐级计算!$C$199-(10/(逐级计算!$Q$199*LN(10))*(MAX((LN(10^(逐级计算!$Q$199/10)-1)+逐级计算!$Q$199*(GQ43-逐级计算!$P$199)*LN(10)/10),0)+LN(1+EXP(-ABS((LN(10^(逐级计算!$Q$199/10)-1)+逐级计算!$Q$199*(GQ43-逐级计算!$P$199)*LN(10)/10))))))),"")</f>
        <v>13.7930365735557</v>
      </c>
      <c r="GS43">
        <f>IF(AND(ISNUMBER(GR43),逐级计算!$X$200&gt;-1),IF(逐级计算!$X$200=0,GR43+逐级计算!$C$200,GR43+逐级计算!$C$200-(10/(逐级计算!$Q$200*LN(10))*(MAX((LN(10^(逐级计算!$Q$200/10)-1)+逐级计算!$Q$200*(GR43-逐级计算!$P$200)*LN(10)/10),0)+LN(1+EXP(-ABS((LN(10^(逐级计算!$Q$200/10)-1)+逐级计算!$Q$200*(GR43-逐级计算!$P$200)*LN(10)/10))))))),"")</f>
        <v>13.7930365735557</v>
      </c>
      <c r="GT43">
        <f>IF(AND(ISNUMBER(GS43),逐级计算!$X$201&gt;-1),IF(逐级计算!$X$201=0,GS43+逐级计算!$C$201,GS43+逐级计算!$C$201-(10/(逐级计算!$Q$201*LN(10))*(MAX((LN(10^(逐级计算!$Q$201/10)-1)+逐级计算!$Q$201*(GS43-逐级计算!$P$201)*LN(10)/10),0)+LN(1+EXP(-ABS((LN(10^(逐级计算!$Q$201/10)-1)+逐级计算!$Q$201*(GS43-逐级计算!$P$201)*LN(10)/10))))))),"")</f>
        <v>13.7930365735557</v>
      </c>
      <c r="GU43">
        <f>IF(AND(ISNUMBER(GT43),逐级计算!$X$202&gt;-1),IF(逐级计算!$X$202=0,GT43+逐级计算!$C$202,GT43+逐级计算!$C$202-(10/(逐级计算!$Q$202*LN(10))*(MAX((LN(10^(逐级计算!$Q$202/10)-1)+逐级计算!$Q$202*(GT43-逐级计算!$P$202)*LN(10)/10),0)+LN(1+EXP(-ABS((LN(10^(逐级计算!$Q$202/10)-1)+逐级计算!$Q$202*(GT43-逐级计算!$P$202)*LN(10)/10))))))),"")</f>
        <v>13.7930365735557</v>
      </c>
      <c r="GV43">
        <f>IF(AND(ISNUMBER(GU43),逐级计算!$X$203&gt;-1),IF(逐级计算!$X$203=0,GU43+逐级计算!$C$203,GU43+逐级计算!$C$203-(10/(逐级计算!$Q$203*LN(10))*(MAX((LN(10^(逐级计算!$Q$203/10)-1)+逐级计算!$Q$203*(GU43-逐级计算!$P$203)*LN(10)/10),0)+LN(1+EXP(-ABS((LN(10^(逐级计算!$Q$203/10)-1)+逐级计算!$Q$203*(GU43-逐级计算!$P$203)*LN(10)/10))))))),"")</f>
        <v>13.7930365735557</v>
      </c>
      <c r="GW43">
        <f t="shared" si="2"/>
        <v>-5.20696342529845</v>
      </c>
    </row>
    <row r="44" spans="1:205">
      <c r="A44">
        <v>37</v>
      </c>
      <c r="B44">
        <f t="shared" si="1"/>
        <v>-5.20696342682641</v>
      </c>
      <c r="C44">
        <f t="shared" si="0"/>
        <v>-5.20696342606243</v>
      </c>
      <c r="D44">
        <f>IF(AND(ISNUMBER(C44),ISNUMBER(逐级计算!$E$203),ISNUMBER(GV44)),C44+逐级计算!$E$203-GV44,"")</f>
        <v>0.999999999899877</v>
      </c>
      <c r="E44">
        <f>IF(AND(ISNUMBER(C44),逐级计算!$X$4&gt;-1),IF(逐级计算!$X$4=0,C44+逐级计算!$C$4,C44+逐级计算!$C$4-(10/(逐级计算!$Q$4*LN(10))*(MAX((LN(10^(逐级计算!$Q$4/10)-1)+逐级计算!$Q$4*(C44-逐级计算!$P$4)*LN(10)/10),0)+LN(1+EXP(-ABS((LN(10^(逐级计算!$Q$4/10)-1)+逐级计算!$Q$4*(C44-逐级计算!$P$4)*LN(10)/10))))))),"")</f>
        <v>4.68053982902549</v>
      </c>
      <c r="F44">
        <f>IF(AND(ISNUMBER(E44),逐级计算!$X$5&gt;-1),IF(逐级计算!$X$5=0,E44+逐级计算!$C$5,E44+逐级计算!$C$5-(10/(逐级计算!$Q$5*LN(10))*(MAX((LN(10^(逐级计算!$Q$5/10)-1)+逐级计算!$Q$5*(E44-逐级计算!$P$5)*LN(10)/10),0)+LN(1+EXP(-ABS((LN(10^(逐级计算!$Q$5/10)-1)+逐级计算!$Q$5*(E44-逐级计算!$P$5)*LN(10)/10))))))),"")</f>
        <v>13.7930365740377</v>
      </c>
      <c r="G44">
        <f>IF(AND(ISNUMBER(F44),逐级计算!$X$6&gt;-1),IF(逐级计算!$X$6=0,F44+逐级计算!$C$6,F44+逐级计算!$C$6-(10/(逐级计算!$Q$6*LN(10))*(MAX((LN(10^(逐级计算!$Q$6/10)-1)+逐级计算!$Q$6*(F44-逐级计算!$P$6)*LN(10)/10),0)+LN(1+EXP(-ABS((LN(10^(逐级计算!$Q$6/10)-1)+逐级计算!$Q$6*(F44-逐级计算!$P$6)*LN(10)/10))))))),"")</f>
        <v>13.7930365740377</v>
      </c>
      <c r="H44">
        <f>IF(AND(ISNUMBER(G44),逐级计算!$X$7&gt;-1),IF(逐级计算!$X$7=0,G44+逐级计算!$C$7,G44+逐级计算!$C$7-(10/(逐级计算!$Q$7*LN(10))*(MAX((LN(10^(逐级计算!$Q$7/10)-1)+逐级计算!$Q$7*(G44-逐级计算!$P$7)*LN(10)/10),0)+LN(1+EXP(-ABS((LN(10^(逐级计算!$Q$7/10)-1)+逐级计算!$Q$7*(G44-逐级计算!$P$7)*LN(10)/10))))))),"")</f>
        <v>13.7930365740377</v>
      </c>
      <c r="I44">
        <f>IF(AND(ISNUMBER(H44),逐级计算!$X$8&gt;-1),IF(逐级计算!$X$8=0,H44+逐级计算!$C$8,H44+逐级计算!$C$8-(10/(逐级计算!$Q$8*LN(10))*(MAX((LN(10^(逐级计算!$Q$8/10)-1)+逐级计算!$Q$8*(H44-逐级计算!$P$8)*LN(10)/10),0)+LN(1+EXP(-ABS((LN(10^(逐级计算!$Q$8/10)-1)+逐级计算!$Q$8*(H44-逐级计算!$P$8)*LN(10)/10))))))),"")</f>
        <v>13.7930365740377</v>
      </c>
      <c r="J44">
        <f>IF(AND(ISNUMBER(I44),逐级计算!$X$9&gt;-1),IF(逐级计算!$X$9=0,I44+逐级计算!$C$9,I44+逐级计算!$C$9-(10/(逐级计算!$Q$9*LN(10))*(MAX((LN(10^(逐级计算!$Q$9/10)-1)+逐级计算!$Q$9*(I44-逐级计算!$P$9)*LN(10)/10),0)+LN(1+EXP(-ABS((LN(10^(逐级计算!$Q$9/10)-1)+逐级计算!$Q$9*(I44-逐级计算!$P$9)*LN(10)/10))))))),"")</f>
        <v>13.7930365740377</v>
      </c>
      <c r="K44">
        <f>IF(AND(ISNUMBER(J44),逐级计算!$X$10&gt;-1),IF(逐级计算!$X$10=0,J44+逐级计算!$C$10,J44+逐级计算!$C$10-(10/(逐级计算!$Q$10*LN(10))*(MAX((LN(10^(逐级计算!$Q$10/10)-1)+逐级计算!$Q$10*(J44-逐级计算!$P$10)*LN(10)/10),0)+LN(1+EXP(-ABS((LN(10^(逐级计算!$Q$10/10)-1)+逐级计算!$Q$10*(J44-逐级计算!$P$10)*LN(10)/10))))))),"")</f>
        <v>13.7930365740377</v>
      </c>
      <c r="L44">
        <f>IF(AND(ISNUMBER(K44),逐级计算!$X$11&gt;-1),IF(逐级计算!$X$11=0,K44+逐级计算!$C$11,K44+逐级计算!$C$11-(10/(逐级计算!$Q$11*LN(10))*(MAX((LN(10^(逐级计算!$Q$11/10)-1)+逐级计算!$Q$11*(K44-逐级计算!$P$11)*LN(10)/10),0)+LN(1+EXP(-ABS((LN(10^(逐级计算!$Q$11/10)-1)+逐级计算!$Q$11*(K44-逐级计算!$P$11)*LN(10)/10))))))),"")</f>
        <v>13.7930365740377</v>
      </c>
      <c r="M44">
        <f>IF(AND(ISNUMBER(L44),逐级计算!$X$12&gt;-1),IF(逐级计算!$X$12=0,L44+逐级计算!$C$12,L44+逐级计算!$C$12-(10/(逐级计算!$Q$12*LN(10))*(MAX((LN(10^(逐级计算!$Q$12/10)-1)+逐级计算!$Q$12*(L44-逐级计算!$P$12)*LN(10)/10),0)+LN(1+EXP(-ABS((LN(10^(逐级计算!$Q$12/10)-1)+逐级计算!$Q$12*(L44-逐级计算!$P$12)*LN(10)/10))))))),"")</f>
        <v>13.7930365740377</v>
      </c>
      <c r="N44">
        <f>IF(AND(ISNUMBER(M44),逐级计算!$X$13&gt;-1),IF(逐级计算!$X$13=0,M44+逐级计算!$C$13,M44+逐级计算!$C$13-(10/(逐级计算!$Q$13*LN(10))*(MAX((LN(10^(逐级计算!$Q$13/10)-1)+逐级计算!$Q$13*(M44-逐级计算!$P$13)*LN(10)/10),0)+LN(1+EXP(-ABS((LN(10^(逐级计算!$Q$13/10)-1)+逐级计算!$Q$13*(M44-逐级计算!$P$13)*LN(10)/10))))))),"")</f>
        <v>13.7930365740377</v>
      </c>
      <c r="O44">
        <f>IF(AND(ISNUMBER(N44),逐级计算!$X$14&gt;-1),IF(逐级计算!$X$14=0,N44+逐级计算!$C$14,N44+逐级计算!$C$14-(10/(逐级计算!$Q$14*LN(10))*(MAX((LN(10^(逐级计算!$Q$14/10)-1)+逐级计算!$Q$14*(N44-逐级计算!$P$14)*LN(10)/10),0)+LN(1+EXP(-ABS((LN(10^(逐级计算!$Q$14/10)-1)+逐级计算!$Q$14*(N44-逐级计算!$P$14)*LN(10)/10))))))),"")</f>
        <v>13.7930365740377</v>
      </c>
      <c r="P44">
        <f>IF(AND(ISNUMBER(O44),逐级计算!$X$15&gt;-1),IF(逐级计算!$X$15=0,O44+逐级计算!$C$15,O44+逐级计算!$C$15-(10/(逐级计算!$Q$15*LN(10))*(MAX((LN(10^(逐级计算!$Q$15/10)-1)+逐级计算!$Q$15*(O44-逐级计算!$P$15)*LN(10)/10),0)+LN(1+EXP(-ABS((LN(10^(逐级计算!$Q$15/10)-1)+逐级计算!$Q$15*(O44-逐级计算!$P$15)*LN(10)/10))))))),"")</f>
        <v>13.7930365740377</v>
      </c>
      <c r="Q44">
        <f>IF(AND(ISNUMBER(P44),逐级计算!$X$16&gt;-1),IF(逐级计算!$X$16=0,P44+逐级计算!$C$16,P44+逐级计算!$C$16-(10/(逐级计算!$Q$16*LN(10))*(MAX((LN(10^(逐级计算!$Q$16/10)-1)+逐级计算!$Q$16*(P44-逐级计算!$P$16)*LN(10)/10),0)+LN(1+EXP(-ABS((LN(10^(逐级计算!$Q$16/10)-1)+逐级计算!$Q$16*(P44-逐级计算!$P$16)*LN(10)/10))))))),"")</f>
        <v>13.7930365740377</v>
      </c>
      <c r="R44">
        <f>IF(AND(ISNUMBER(Q44),逐级计算!$X$17&gt;-1),IF(逐级计算!$X$17=0,Q44+逐级计算!$C$17,Q44+逐级计算!$C$17-(10/(逐级计算!$Q$17*LN(10))*(MAX((LN(10^(逐级计算!$Q$17/10)-1)+逐级计算!$Q$17*(Q44-逐级计算!$P$17)*LN(10)/10),0)+LN(1+EXP(-ABS((LN(10^(逐级计算!$Q$17/10)-1)+逐级计算!$Q$17*(Q44-逐级计算!$P$17)*LN(10)/10))))))),"")</f>
        <v>13.7930365740377</v>
      </c>
      <c r="S44">
        <f>IF(AND(ISNUMBER(R44),逐级计算!$X$18&gt;-1),IF(逐级计算!$X$18=0,R44+逐级计算!$C$18,R44+逐级计算!$C$18-(10/(逐级计算!$Q$18*LN(10))*(MAX((LN(10^(逐级计算!$Q$18/10)-1)+逐级计算!$Q$18*(R44-逐级计算!$P$18)*LN(10)/10),0)+LN(1+EXP(-ABS((LN(10^(逐级计算!$Q$18/10)-1)+逐级计算!$Q$18*(R44-逐级计算!$P$18)*LN(10)/10))))))),"")</f>
        <v>13.7930365740377</v>
      </c>
      <c r="T44">
        <f>IF(AND(ISNUMBER(S44),逐级计算!$X$19&gt;-1),IF(逐级计算!$X$19=0,S44+逐级计算!$C$19,S44+逐级计算!$C$19-(10/(逐级计算!$Q$19*LN(10))*(MAX((LN(10^(逐级计算!$Q$19/10)-1)+逐级计算!$Q$19*(S44-逐级计算!$P$19)*LN(10)/10),0)+LN(1+EXP(-ABS((LN(10^(逐级计算!$Q$19/10)-1)+逐级计算!$Q$19*(S44-逐级计算!$P$19)*LN(10)/10))))))),"")</f>
        <v>13.7930365740377</v>
      </c>
      <c r="U44">
        <f>IF(AND(ISNUMBER(T44),逐级计算!$X$20&gt;-1),IF(逐级计算!$X$20=0,T44+逐级计算!$C$20,T44+逐级计算!$C$20-(10/(逐级计算!$Q$20*LN(10))*(MAX((LN(10^(逐级计算!$Q$20/10)-1)+逐级计算!$Q$20*(T44-逐级计算!$P$20)*LN(10)/10),0)+LN(1+EXP(-ABS((LN(10^(逐级计算!$Q$20/10)-1)+逐级计算!$Q$20*(T44-逐级计算!$P$20)*LN(10)/10))))))),"")</f>
        <v>13.7930365740377</v>
      </c>
      <c r="V44">
        <f>IF(AND(ISNUMBER(U44),逐级计算!$X$21&gt;-1),IF(逐级计算!$X$21=0,U44+逐级计算!$C$21,U44+逐级计算!$C$21-(10/(逐级计算!$Q$21*LN(10))*(MAX((LN(10^(逐级计算!$Q$21/10)-1)+逐级计算!$Q$21*(U44-逐级计算!$P$21)*LN(10)/10),0)+LN(1+EXP(-ABS((LN(10^(逐级计算!$Q$21/10)-1)+逐级计算!$Q$21*(U44-逐级计算!$P$21)*LN(10)/10))))))),"")</f>
        <v>13.7930365740377</v>
      </c>
      <c r="W44">
        <f>IF(AND(ISNUMBER(V44),逐级计算!$X$22&gt;-1),IF(逐级计算!$X$22=0,V44+逐级计算!$C$22,V44+逐级计算!$C$22-(10/(逐级计算!$Q$22*LN(10))*(MAX((LN(10^(逐级计算!$Q$22/10)-1)+逐级计算!$Q$22*(V44-逐级计算!$P$22)*LN(10)/10),0)+LN(1+EXP(-ABS((LN(10^(逐级计算!$Q$22/10)-1)+逐级计算!$Q$22*(V44-逐级计算!$P$22)*LN(10)/10))))))),"")</f>
        <v>13.7930365740377</v>
      </c>
      <c r="X44">
        <f>IF(AND(ISNUMBER(W44),逐级计算!$X$23&gt;-1),IF(逐级计算!$X$23=0,W44+逐级计算!$C$23,W44+逐级计算!$C$23-(10/(逐级计算!$Q$23*LN(10))*(MAX((LN(10^(逐级计算!$Q$23/10)-1)+逐级计算!$Q$23*(W44-逐级计算!$P$23)*LN(10)/10),0)+LN(1+EXP(-ABS((LN(10^(逐级计算!$Q$23/10)-1)+逐级计算!$Q$23*(W44-逐级计算!$P$23)*LN(10)/10))))))),"")</f>
        <v>13.7930365740377</v>
      </c>
      <c r="Y44">
        <f>IF(AND(ISNUMBER(X44),逐级计算!$X$24&gt;-1),IF(逐级计算!$X$24=0,X44+逐级计算!$C$24,X44+逐级计算!$C$24-(10/(逐级计算!$Q$24*LN(10))*(MAX((LN(10^(逐级计算!$Q$24/10)-1)+逐级计算!$Q$24*(X44-逐级计算!$P$24)*LN(10)/10),0)+LN(1+EXP(-ABS((LN(10^(逐级计算!$Q$24/10)-1)+逐级计算!$Q$24*(X44-逐级计算!$P$24)*LN(10)/10))))))),"")</f>
        <v>13.7930365740377</v>
      </c>
      <c r="Z44">
        <f>IF(AND(ISNUMBER(Y44),逐级计算!$X$25&gt;-1),IF(逐级计算!$X$25=0,Y44+逐级计算!$C$25,Y44+逐级计算!$C$25-(10/(逐级计算!$Q$25*LN(10))*(MAX((LN(10^(逐级计算!$Q$25/10)-1)+逐级计算!$Q$25*(Y44-逐级计算!$P$25)*LN(10)/10),0)+LN(1+EXP(-ABS((LN(10^(逐级计算!$Q$25/10)-1)+逐级计算!$Q$25*(Y44-逐级计算!$P$25)*LN(10)/10))))))),"")</f>
        <v>13.7930365740377</v>
      </c>
      <c r="AA44">
        <f>IF(AND(ISNUMBER(Z44),逐级计算!$X$26&gt;-1),IF(逐级计算!$X$26=0,Z44+逐级计算!$C$26,Z44+逐级计算!$C$26-(10/(逐级计算!$Q$26*LN(10))*(MAX((LN(10^(逐级计算!$Q$26/10)-1)+逐级计算!$Q$26*(Z44-逐级计算!$P$26)*LN(10)/10),0)+LN(1+EXP(-ABS((LN(10^(逐级计算!$Q$26/10)-1)+逐级计算!$Q$26*(Z44-逐级计算!$P$26)*LN(10)/10))))))),"")</f>
        <v>13.7930365740377</v>
      </c>
      <c r="AB44">
        <f>IF(AND(ISNUMBER(AA44),逐级计算!$X$27&gt;-1),IF(逐级计算!$X$27=0,AA44+逐级计算!$C$27,AA44+逐级计算!$C$27-(10/(逐级计算!$Q$27*LN(10))*(MAX((LN(10^(逐级计算!$Q$27/10)-1)+逐级计算!$Q$27*(AA44-逐级计算!$P$27)*LN(10)/10),0)+LN(1+EXP(-ABS((LN(10^(逐级计算!$Q$27/10)-1)+逐级计算!$Q$27*(AA44-逐级计算!$P$27)*LN(10)/10))))))),"")</f>
        <v>13.7930365740377</v>
      </c>
      <c r="AC44">
        <f>IF(AND(ISNUMBER(AB44),逐级计算!$X$28&gt;-1),IF(逐级计算!$X$28=0,AB44+逐级计算!$C$28,AB44+逐级计算!$C$28-(10/(逐级计算!$Q$28*LN(10))*(MAX((LN(10^(逐级计算!$Q$28/10)-1)+逐级计算!$Q$28*(AB44-逐级计算!$P$28)*LN(10)/10),0)+LN(1+EXP(-ABS((LN(10^(逐级计算!$Q$28/10)-1)+逐级计算!$Q$28*(AB44-逐级计算!$P$28)*LN(10)/10))))))),"")</f>
        <v>13.7930365740377</v>
      </c>
      <c r="AD44">
        <f>IF(AND(ISNUMBER(AC44),逐级计算!$X$29&gt;-1),IF(逐级计算!$X$29=0,AC44+逐级计算!$C$29,AC44+逐级计算!$C$29-(10/(逐级计算!$Q$29*LN(10))*(MAX((LN(10^(逐级计算!$Q$29/10)-1)+逐级计算!$Q$29*(AC44-逐级计算!$P$29)*LN(10)/10),0)+LN(1+EXP(-ABS((LN(10^(逐级计算!$Q$29/10)-1)+逐级计算!$Q$29*(AC44-逐级计算!$P$29)*LN(10)/10))))))),"")</f>
        <v>13.7930365740377</v>
      </c>
      <c r="AE44">
        <f>IF(AND(ISNUMBER(AD44),逐级计算!$X$30&gt;-1),IF(逐级计算!$X$30=0,AD44+逐级计算!$C$30,AD44+逐级计算!$C$30-(10/(逐级计算!$Q$30*LN(10))*(MAX((LN(10^(逐级计算!$Q$30/10)-1)+逐级计算!$Q$30*(AD44-逐级计算!$P$30)*LN(10)/10),0)+LN(1+EXP(-ABS((LN(10^(逐级计算!$Q$30/10)-1)+逐级计算!$Q$30*(AD44-逐级计算!$P$30)*LN(10)/10))))))),"")</f>
        <v>13.7930365740377</v>
      </c>
      <c r="AF44">
        <f>IF(AND(ISNUMBER(AE44),逐级计算!$X$31&gt;-1),IF(逐级计算!$X$31=0,AE44+逐级计算!$C$31,AE44+逐级计算!$C$31-(10/(逐级计算!$Q$31*LN(10))*(MAX((LN(10^(逐级计算!$Q$31/10)-1)+逐级计算!$Q$31*(AE44-逐级计算!$P$31)*LN(10)/10),0)+LN(1+EXP(-ABS((LN(10^(逐级计算!$Q$31/10)-1)+逐级计算!$Q$31*(AE44-逐级计算!$P$31)*LN(10)/10))))))),"")</f>
        <v>13.7930365740377</v>
      </c>
      <c r="AG44">
        <f>IF(AND(ISNUMBER(AF44),逐级计算!$X$32&gt;-1),IF(逐级计算!$X$32=0,AF44+逐级计算!$C$32,AF44+逐级计算!$C$32-(10/(逐级计算!$Q$32*LN(10))*(MAX((LN(10^(逐级计算!$Q$32/10)-1)+逐级计算!$Q$32*(AF44-逐级计算!$P$32)*LN(10)/10),0)+LN(1+EXP(-ABS((LN(10^(逐级计算!$Q$32/10)-1)+逐级计算!$Q$32*(AF44-逐级计算!$P$32)*LN(10)/10))))))),"")</f>
        <v>13.7930365740377</v>
      </c>
      <c r="AH44">
        <f>IF(AND(ISNUMBER(AG44),逐级计算!$X$33&gt;-1),IF(逐级计算!$X$33=0,AG44+逐级计算!$C$33,AG44+逐级计算!$C$33-(10/(逐级计算!$Q$33*LN(10))*(MAX((LN(10^(逐级计算!$Q$33/10)-1)+逐级计算!$Q$33*(AG44-逐级计算!$P$33)*LN(10)/10),0)+LN(1+EXP(-ABS((LN(10^(逐级计算!$Q$33/10)-1)+逐级计算!$Q$33*(AG44-逐级计算!$P$33)*LN(10)/10))))))),"")</f>
        <v>13.7930365740377</v>
      </c>
      <c r="AI44">
        <f>IF(AND(ISNUMBER(AH44),逐级计算!$X$34&gt;-1),IF(逐级计算!$X$34=0,AH44+逐级计算!$C$34,AH44+逐级计算!$C$34-(10/(逐级计算!$Q$34*LN(10))*(MAX((LN(10^(逐级计算!$Q$34/10)-1)+逐级计算!$Q$34*(AH44-逐级计算!$P$34)*LN(10)/10),0)+LN(1+EXP(-ABS((LN(10^(逐级计算!$Q$34/10)-1)+逐级计算!$Q$34*(AH44-逐级计算!$P$34)*LN(10)/10))))))),"")</f>
        <v>13.7930365740377</v>
      </c>
      <c r="AJ44">
        <f>IF(AND(ISNUMBER(AI44),逐级计算!$X$35&gt;-1),IF(逐级计算!$X$35=0,AI44+逐级计算!$C$35,AI44+逐级计算!$C$35-(10/(逐级计算!$Q$35*LN(10))*(MAX((LN(10^(逐级计算!$Q$35/10)-1)+逐级计算!$Q$35*(AI44-逐级计算!$P$35)*LN(10)/10),0)+LN(1+EXP(-ABS((LN(10^(逐级计算!$Q$35/10)-1)+逐级计算!$Q$35*(AI44-逐级计算!$P$35)*LN(10)/10))))))),"")</f>
        <v>13.7930365740377</v>
      </c>
      <c r="AK44">
        <f>IF(AND(ISNUMBER(AJ44),逐级计算!$X$36&gt;-1),IF(逐级计算!$X$36=0,AJ44+逐级计算!$C$36,AJ44+逐级计算!$C$36-(10/(逐级计算!$Q$36*LN(10))*(MAX((LN(10^(逐级计算!$Q$36/10)-1)+逐级计算!$Q$36*(AJ44-逐级计算!$P$36)*LN(10)/10),0)+LN(1+EXP(-ABS((LN(10^(逐级计算!$Q$36/10)-1)+逐级计算!$Q$36*(AJ44-逐级计算!$P$36)*LN(10)/10))))))),"")</f>
        <v>13.7930365740377</v>
      </c>
      <c r="AL44">
        <f>IF(AND(ISNUMBER(AK44),逐级计算!$X$37&gt;-1),IF(逐级计算!$X$37=0,AK44+逐级计算!$C$37,AK44+逐级计算!$C$37-(10/(逐级计算!$Q$37*LN(10))*(MAX((LN(10^(逐级计算!$Q$37/10)-1)+逐级计算!$Q$37*(AK44-逐级计算!$P$37)*LN(10)/10),0)+LN(1+EXP(-ABS((LN(10^(逐级计算!$Q$37/10)-1)+逐级计算!$Q$37*(AK44-逐级计算!$P$37)*LN(10)/10))))))),"")</f>
        <v>13.7930365740377</v>
      </c>
      <c r="AM44">
        <f>IF(AND(ISNUMBER(AL44),逐级计算!$X$38&gt;-1),IF(逐级计算!$X$38=0,AL44+逐级计算!$C$38,AL44+逐级计算!$C$38-(10/(逐级计算!$Q$38*LN(10))*(MAX((LN(10^(逐级计算!$Q$38/10)-1)+逐级计算!$Q$38*(AL44-逐级计算!$P$38)*LN(10)/10),0)+LN(1+EXP(-ABS((LN(10^(逐级计算!$Q$38/10)-1)+逐级计算!$Q$38*(AL44-逐级计算!$P$38)*LN(10)/10))))))),"")</f>
        <v>13.7930365740377</v>
      </c>
      <c r="AN44">
        <f>IF(AND(ISNUMBER(AM44),逐级计算!$X$39&gt;-1),IF(逐级计算!$X$39=0,AM44+逐级计算!$C$39,AM44+逐级计算!$C$39-(10/(逐级计算!$Q$39*LN(10))*(MAX((LN(10^(逐级计算!$Q$39/10)-1)+逐级计算!$Q$39*(AM44-逐级计算!$P$39)*LN(10)/10),0)+LN(1+EXP(-ABS((LN(10^(逐级计算!$Q$39/10)-1)+逐级计算!$Q$39*(AM44-逐级计算!$P$39)*LN(10)/10))))))),"")</f>
        <v>13.7930365740377</v>
      </c>
      <c r="AO44">
        <f>IF(AND(ISNUMBER(AN44),逐级计算!$X$40&gt;-1),IF(逐级计算!$X$40=0,AN44+逐级计算!$C$40,AN44+逐级计算!$C$40-(10/(逐级计算!$Q$40*LN(10))*(MAX((LN(10^(逐级计算!$Q$40/10)-1)+逐级计算!$Q$40*(AN44-逐级计算!$P$40)*LN(10)/10),0)+LN(1+EXP(-ABS((LN(10^(逐级计算!$Q$40/10)-1)+逐级计算!$Q$40*(AN44-逐级计算!$P$40)*LN(10)/10))))))),"")</f>
        <v>13.7930365740377</v>
      </c>
      <c r="AP44">
        <f>IF(AND(ISNUMBER(AO44),逐级计算!$X$41&gt;-1),IF(逐级计算!$X$41=0,AO44+逐级计算!$C$41,AO44+逐级计算!$C$41-(10/(逐级计算!$Q$41*LN(10))*(MAX((LN(10^(逐级计算!$Q$41/10)-1)+逐级计算!$Q$41*(AO44-逐级计算!$P$41)*LN(10)/10),0)+LN(1+EXP(-ABS((LN(10^(逐级计算!$Q$41/10)-1)+逐级计算!$Q$41*(AO44-逐级计算!$P$41)*LN(10)/10))))))),"")</f>
        <v>13.7930365740377</v>
      </c>
      <c r="AQ44">
        <f>IF(AND(ISNUMBER(AP44),逐级计算!$X$42&gt;-1),IF(逐级计算!$X$42=0,AP44+逐级计算!$C$42,AP44+逐级计算!$C$42-(10/(逐级计算!$Q$42*LN(10))*(MAX((LN(10^(逐级计算!$Q$42/10)-1)+逐级计算!$Q$42*(AP44-逐级计算!$P$42)*LN(10)/10),0)+LN(1+EXP(-ABS((LN(10^(逐级计算!$Q$42/10)-1)+逐级计算!$Q$42*(AP44-逐级计算!$P$42)*LN(10)/10))))))),"")</f>
        <v>13.7930365740377</v>
      </c>
      <c r="AR44">
        <f>IF(AND(ISNUMBER(AQ44),逐级计算!$X$43&gt;-1),IF(逐级计算!$X$43=0,AQ44+逐级计算!$C$43,AQ44+逐级计算!$C$43-(10/(逐级计算!$Q$43*LN(10))*(MAX((LN(10^(逐级计算!$Q$43/10)-1)+逐级计算!$Q$43*(AQ44-逐级计算!$P$43)*LN(10)/10),0)+LN(1+EXP(-ABS((LN(10^(逐级计算!$Q$43/10)-1)+逐级计算!$Q$43*(AQ44-逐级计算!$P$43)*LN(10)/10))))))),"")</f>
        <v>13.7930365740377</v>
      </c>
      <c r="AS44">
        <f>IF(AND(ISNUMBER(AR44),逐级计算!$X$44&gt;-1),IF(逐级计算!$X$44=0,AR44+逐级计算!$C$44,AR44+逐级计算!$C$44-(10/(逐级计算!$Q$44*LN(10))*(MAX((LN(10^(逐级计算!$Q$44/10)-1)+逐级计算!$Q$44*(AR44-逐级计算!$P$44)*LN(10)/10),0)+LN(1+EXP(-ABS((LN(10^(逐级计算!$Q$44/10)-1)+逐级计算!$Q$44*(AR44-逐级计算!$P$44)*LN(10)/10))))))),"")</f>
        <v>13.7930365740377</v>
      </c>
      <c r="AT44">
        <f>IF(AND(ISNUMBER(AS44),逐级计算!$X$45&gt;-1),IF(逐级计算!$X$45=0,AS44+逐级计算!$C$45,AS44+逐级计算!$C$45-(10/(逐级计算!$Q$45*LN(10))*(MAX((LN(10^(逐级计算!$Q$45/10)-1)+逐级计算!$Q$45*(AS44-逐级计算!$P$45)*LN(10)/10),0)+LN(1+EXP(-ABS((LN(10^(逐级计算!$Q$45/10)-1)+逐级计算!$Q$45*(AS44-逐级计算!$P$45)*LN(10)/10))))))),"")</f>
        <v>13.7930365740377</v>
      </c>
      <c r="AU44">
        <f>IF(AND(ISNUMBER(AT44),逐级计算!$X$46&gt;-1),IF(逐级计算!$X$46=0,AT44+逐级计算!$C$46,AT44+逐级计算!$C$46-(10/(逐级计算!$Q$46*LN(10))*(MAX((LN(10^(逐级计算!$Q$46/10)-1)+逐级计算!$Q$46*(AT44-逐级计算!$P$46)*LN(10)/10),0)+LN(1+EXP(-ABS((LN(10^(逐级计算!$Q$46/10)-1)+逐级计算!$Q$46*(AT44-逐级计算!$P$46)*LN(10)/10))))))),"")</f>
        <v>13.7930365740377</v>
      </c>
      <c r="AV44">
        <f>IF(AND(ISNUMBER(AU44),逐级计算!$X$47&gt;-1),IF(逐级计算!$X$47=0,AU44+逐级计算!$C$47,AU44+逐级计算!$C$47-(10/(逐级计算!$Q$47*LN(10))*(MAX((LN(10^(逐级计算!$Q$47/10)-1)+逐级计算!$Q$47*(AU44-逐级计算!$P$47)*LN(10)/10),0)+LN(1+EXP(-ABS((LN(10^(逐级计算!$Q$47/10)-1)+逐级计算!$Q$47*(AU44-逐级计算!$P$47)*LN(10)/10))))))),"")</f>
        <v>13.7930365740377</v>
      </c>
      <c r="AW44">
        <f>IF(AND(ISNUMBER(AV44),逐级计算!$X$48&gt;-1),IF(逐级计算!$X$48=0,AV44+逐级计算!$C$48,AV44+逐级计算!$C$48-(10/(逐级计算!$Q$48*LN(10))*(MAX((LN(10^(逐级计算!$Q$48/10)-1)+逐级计算!$Q$48*(AV44-逐级计算!$P$48)*LN(10)/10),0)+LN(1+EXP(-ABS((LN(10^(逐级计算!$Q$48/10)-1)+逐级计算!$Q$48*(AV44-逐级计算!$P$48)*LN(10)/10))))))),"")</f>
        <v>13.7930365740377</v>
      </c>
      <c r="AX44">
        <f>IF(AND(ISNUMBER(AW44),逐级计算!$X$49&gt;-1),IF(逐级计算!$X$49=0,AW44+逐级计算!$C$49,AW44+逐级计算!$C$49-(10/(逐级计算!$Q$49*LN(10))*(MAX((LN(10^(逐级计算!$Q$49/10)-1)+逐级计算!$Q$49*(AW44-逐级计算!$P$49)*LN(10)/10),0)+LN(1+EXP(-ABS((LN(10^(逐级计算!$Q$49/10)-1)+逐级计算!$Q$49*(AW44-逐级计算!$P$49)*LN(10)/10))))))),"")</f>
        <v>13.7930365740377</v>
      </c>
      <c r="AY44">
        <f>IF(AND(ISNUMBER(AX44),逐级计算!$X$50&gt;-1),IF(逐级计算!$X$50=0,AX44+逐级计算!$C$50,AX44+逐级计算!$C$50-(10/(逐级计算!$Q$50*LN(10))*(MAX((LN(10^(逐级计算!$Q$50/10)-1)+逐级计算!$Q$50*(AX44-逐级计算!$P$50)*LN(10)/10),0)+LN(1+EXP(-ABS((LN(10^(逐级计算!$Q$50/10)-1)+逐级计算!$Q$50*(AX44-逐级计算!$P$50)*LN(10)/10))))))),"")</f>
        <v>13.7930365740377</v>
      </c>
      <c r="AZ44">
        <f>IF(AND(ISNUMBER(AY44),逐级计算!$X$51&gt;-1),IF(逐级计算!$X$51=0,AY44+逐级计算!$C$51,AY44+逐级计算!$C$51-(10/(逐级计算!$Q$51*LN(10))*(MAX((LN(10^(逐级计算!$Q$51/10)-1)+逐级计算!$Q$51*(AY44-逐级计算!$P$51)*LN(10)/10),0)+LN(1+EXP(-ABS((LN(10^(逐级计算!$Q$51/10)-1)+逐级计算!$Q$51*(AY44-逐级计算!$P$51)*LN(10)/10))))))),"")</f>
        <v>13.7930365740377</v>
      </c>
      <c r="BA44">
        <f>IF(AND(ISNUMBER(AZ44),逐级计算!$X$52&gt;-1),IF(逐级计算!$X$52=0,AZ44+逐级计算!$C$52,AZ44+逐级计算!$C$52-(10/(逐级计算!$Q$52*LN(10))*(MAX((LN(10^(逐级计算!$Q$52/10)-1)+逐级计算!$Q$52*(AZ44-逐级计算!$P$52)*LN(10)/10),0)+LN(1+EXP(-ABS((LN(10^(逐级计算!$Q$52/10)-1)+逐级计算!$Q$52*(AZ44-逐级计算!$P$52)*LN(10)/10))))))),"")</f>
        <v>13.7930365740377</v>
      </c>
      <c r="BB44">
        <f>IF(AND(ISNUMBER(BA44),逐级计算!$X$53&gt;-1),IF(逐级计算!$X$53=0,BA44+逐级计算!$C$53,BA44+逐级计算!$C$53-(10/(逐级计算!$Q$53*LN(10))*(MAX((LN(10^(逐级计算!$Q$53/10)-1)+逐级计算!$Q$53*(BA44-逐级计算!$P$53)*LN(10)/10),0)+LN(1+EXP(-ABS((LN(10^(逐级计算!$Q$53/10)-1)+逐级计算!$Q$53*(BA44-逐级计算!$P$53)*LN(10)/10))))))),"")</f>
        <v>13.7930365740377</v>
      </c>
      <c r="BC44">
        <f>IF(AND(ISNUMBER(BB44),逐级计算!$X$54&gt;-1),IF(逐级计算!$X$54=0,BB44+逐级计算!$C$54,BB44+逐级计算!$C$54-(10/(逐级计算!$Q$54*LN(10))*(MAX((LN(10^(逐级计算!$Q$54/10)-1)+逐级计算!$Q$54*(BB44-逐级计算!$P$54)*LN(10)/10),0)+LN(1+EXP(-ABS((LN(10^(逐级计算!$Q$54/10)-1)+逐级计算!$Q$54*(BB44-逐级计算!$P$54)*LN(10)/10))))))),"")</f>
        <v>13.7930365740377</v>
      </c>
      <c r="BD44">
        <f>IF(AND(ISNUMBER(BC44),逐级计算!$X$55&gt;-1),IF(逐级计算!$X$55=0,BC44+逐级计算!$C$55,BC44+逐级计算!$C$55-(10/(逐级计算!$Q$55*LN(10))*(MAX((LN(10^(逐级计算!$Q$55/10)-1)+逐级计算!$Q$55*(BC44-逐级计算!$P$55)*LN(10)/10),0)+LN(1+EXP(-ABS((LN(10^(逐级计算!$Q$55/10)-1)+逐级计算!$Q$55*(BC44-逐级计算!$P$55)*LN(10)/10))))))),"")</f>
        <v>13.7930365740377</v>
      </c>
      <c r="BE44">
        <f>IF(AND(ISNUMBER(BD44),逐级计算!$X$56&gt;-1),IF(逐级计算!$X$56=0,BD44+逐级计算!$C$56,BD44+逐级计算!$C$56-(10/(逐级计算!$Q$56*LN(10))*(MAX((LN(10^(逐级计算!$Q$56/10)-1)+逐级计算!$Q$56*(BD44-逐级计算!$P$56)*LN(10)/10),0)+LN(1+EXP(-ABS((LN(10^(逐级计算!$Q$56/10)-1)+逐级计算!$Q$56*(BD44-逐级计算!$P$56)*LN(10)/10))))))),"")</f>
        <v>13.7930365740377</v>
      </c>
      <c r="BF44">
        <f>IF(AND(ISNUMBER(BE44),逐级计算!$X$57&gt;-1),IF(逐级计算!$X$57=0,BE44+逐级计算!$C$57,BE44+逐级计算!$C$57-(10/(逐级计算!$Q$57*LN(10))*(MAX((LN(10^(逐级计算!$Q$57/10)-1)+逐级计算!$Q$57*(BE44-逐级计算!$P$57)*LN(10)/10),0)+LN(1+EXP(-ABS((LN(10^(逐级计算!$Q$57/10)-1)+逐级计算!$Q$57*(BE44-逐级计算!$P$57)*LN(10)/10))))))),"")</f>
        <v>13.7930365740377</v>
      </c>
      <c r="BG44">
        <f>IF(AND(ISNUMBER(BF44),逐级计算!$X$58&gt;-1),IF(逐级计算!$X$58=0,BF44+逐级计算!$C$58,BF44+逐级计算!$C$58-(10/(逐级计算!$Q$58*LN(10))*(MAX((LN(10^(逐级计算!$Q$58/10)-1)+逐级计算!$Q$58*(BF44-逐级计算!$P$58)*LN(10)/10),0)+LN(1+EXP(-ABS((LN(10^(逐级计算!$Q$58/10)-1)+逐级计算!$Q$58*(BF44-逐级计算!$P$58)*LN(10)/10))))))),"")</f>
        <v>13.7930365740377</v>
      </c>
      <c r="BH44">
        <f>IF(AND(ISNUMBER(BG44),逐级计算!$X$59&gt;-1),IF(逐级计算!$X$59=0,BG44+逐级计算!$C$59,BG44+逐级计算!$C$59-(10/(逐级计算!$Q$59*LN(10))*(MAX((LN(10^(逐级计算!$Q$59/10)-1)+逐级计算!$Q$59*(BG44-逐级计算!$P$59)*LN(10)/10),0)+LN(1+EXP(-ABS((LN(10^(逐级计算!$Q$59/10)-1)+逐级计算!$Q$59*(BG44-逐级计算!$P$59)*LN(10)/10))))))),"")</f>
        <v>13.7930365740377</v>
      </c>
      <c r="BI44">
        <f>IF(AND(ISNUMBER(BH44),逐级计算!$X$60&gt;-1),IF(逐级计算!$X$60=0,BH44+逐级计算!$C$60,BH44+逐级计算!$C$60-(10/(逐级计算!$Q$60*LN(10))*(MAX((LN(10^(逐级计算!$Q$60/10)-1)+逐级计算!$Q$60*(BH44-逐级计算!$P$60)*LN(10)/10),0)+LN(1+EXP(-ABS((LN(10^(逐级计算!$Q$60/10)-1)+逐级计算!$Q$60*(BH44-逐级计算!$P$60)*LN(10)/10))))))),"")</f>
        <v>13.7930365740377</v>
      </c>
      <c r="BJ44">
        <f>IF(AND(ISNUMBER(BI44),逐级计算!$X$61&gt;-1),IF(逐级计算!$X$61=0,BI44+逐级计算!$C$61,BI44+逐级计算!$C$61-(10/(逐级计算!$Q$61*LN(10))*(MAX((LN(10^(逐级计算!$Q$61/10)-1)+逐级计算!$Q$61*(BI44-逐级计算!$P$61)*LN(10)/10),0)+LN(1+EXP(-ABS((LN(10^(逐级计算!$Q$61/10)-1)+逐级计算!$Q$61*(BI44-逐级计算!$P$61)*LN(10)/10))))))),"")</f>
        <v>13.7930365740377</v>
      </c>
      <c r="BK44">
        <f>IF(AND(ISNUMBER(BJ44),逐级计算!$X$62&gt;-1),IF(逐级计算!$X$62=0,BJ44+逐级计算!$C$62,BJ44+逐级计算!$C$62-(10/(逐级计算!$Q$62*LN(10))*(MAX((LN(10^(逐级计算!$Q$62/10)-1)+逐级计算!$Q$62*(BJ44-逐级计算!$P$62)*LN(10)/10),0)+LN(1+EXP(-ABS((LN(10^(逐级计算!$Q$62/10)-1)+逐级计算!$Q$62*(BJ44-逐级计算!$P$62)*LN(10)/10))))))),"")</f>
        <v>13.7930365740377</v>
      </c>
      <c r="BL44">
        <f>IF(AND(ISNUMBER(BK44),逐级计算!$X$63&gt;-1),IF(逐级计算!$X$63=0,BK44+逐级计算!$C$63,BK44+逐级计算!$C$63-(10/(逐级计算!$Q$63*LN(10))*(MAX((LN(10^(逐级计算!$Q$63/10)-1)+逐级计算!$Q$63*(BK44-逐级计算!$P$63)*LN(10)/10),0)+LN(1+EXP(-ABS((LN(10^(逐级计算!$Q$63/10)-1)+逐级计算!$Q$63*(BK44-逐级计算!$P$63)*LN(10)/10))))))),"")</f>
        <v>13.7930365740377</v>
      </c>
      <c r="BM44">
        <f>IF(AND(ISNUMBER(BL44),逐级计算!$X$64&gt;-1),IF(逐级计算!$X$64=0,BL44+逐级计算!$C$64,BL44+逐级计算!$C$64-(10/(逐级计算!$Q$64*LN(10))*(MAX((LN(10^(逐级计算!$Q$64/10)-1)+逐级计算!$Q$64*(BL44-逐级计算!$P$64)*LN(10)/10),0)+LN(1+EXP(-ABS((LN(10^(逐级计算!$Q$64/10)-1)+逐级计算!$Q$64*(BL44-逐级计算!$P$64)*LN(10)/10))))))),"")</f>
        <v>13.7930365740377</v>
      </c>
      <c r="BN44">
        <f>IF(AND(ISNUMBER(BM44),逐级计算!$X$65&gt;-1),IF(逐级计算!$X$65=0,BM44+逐级计算!$C$65,BM44+逐级计算!$C$65-(10/(逐级计算!$Q$65*LN(10))*(MAX((LN(10^(逐级计算!$Q$65/10)-1)+逐级计算!$Q$65*(BM44-逐级计算!$P$65)*LN(10)/10),0)+LN(1+EXP(-ABS((LN(10^(逐级计算!$Q$65/10)-1)+逐级计算!$Q$65*(BM44-逐级计算!$P$65)*LN(10)/10))))))),"")</f>
        <v>13.7930365740377</v>
      </c>
      <c r="BO44">
        <f>IF(AND(ISNUMBER(BN44),逐级计算!$X$66&gt;-1),IF(逐级计算!$X$66=0,BN44+逐级计算!$C$66,BN44+逐级计算!$C$66-(10/(逐级计算!$Q$66*LN(10))*(MAX((LN(10^(逐级计算!$Q$66/10)-1)+逐级计算!$Q$66*(BN44-逐级计算!$P$66)*LN(10)/10),0)+LN(1+EXP(-ABS((LN(10^(逐级计算!$Q$66/10)-1)+逐级计算!$Q$66*(BN44-逐级计算!$P$66)*LN(10)/10))))))),"")</f>
        <v>13.7930365740377</v>
      </c>
      <c r="BP44">
        <f>IF(AND(ISNUMBER(BO44),逐级计算!$X$67&gt;-1),IF(逐级计算!$X$67=0,BO44+逐级计算!$C$67,BO44+逐级计算!$C$67-(10/(逐级计算!$Q$67*LN(10))*(MAX((LN(10^(逐级计算!$Q$67/10)-1)+逐级计算!$Q$67*(BO44-逐级计算!$P$67)*LN(10)/10),0)+LN(1+EXP(-ABS((LN(10^(逐级计算!$Q$67/10)-1)+逐级计算!$Q$67*(BO44-逐级计算!$P$67)*LN(10)/10))))))),"")</f>
        <v>13.7930365740377</v>
      </c>
      <c r="BQ44">
        <f>IF(AND(ISNUMBER(BP44),逐级计算!$X$68&gt;-1),IF(逐级计算!$X$68=0,BP44+逐级计算!$C$68,BP44+逐级计算!$C$68-(10/(逐级计算!$Q$68*LN(10))*(MAX((LN(10^(逐级计算!$Q$68/10)-1)+逐级计算!$Q$68*(BP44-逐级计算!$P$68)*LN(10)/10),0)+LN(1+EXP(-ABS((LN(10^(逐级计算!$Q$68/10)-1)+逐级计算!$Q$68*(BP44-逐级计算!$P$68)*LN(10)/10))))))),"")</f>
        <v>13.7930365740377</v>
      </c>
      <c r="BR44">
        <f>IF(AND(ISNUMBER(BQ44),逐级计算!$X$69&gt;-1),IF(逐级计算!$X$69=0,BQ44+逐级计算!$C$69,BQ44+逐级计算!$C$69-(10/(逐级计算!$Q$69*LN(10))*(MAX((LN(10^(逐级计算!$Q$69/10)-1)+逐级计算!$Q$69*(BQ44-逐级计算!$P$69)*LN(10)/10),0)+LN(1+EXP(-ABS((LN(10^(逐级计算!$Q$69/10)-1)+逐级计算!$Q$69*(BQ44-逐级计算!$P$69)*LN(10)/10))))))),"")</f>
        <v>13.7930365740377</v>
      </c>
      <c r="BS44">
        <f>IF(AND(ISNUMBER(BR44),逐级计算!$X$70&gt;-1),IF(逐级计算!$X$70=0,BR44+逐级计算!$C$70,BR44+逐级计算!$C$70-(10/(逐级计算!$Q$70*LN(10))*(MAX((LN(10^(逐级计算!$Q$70/10)-1)+逐级计算!$Q$70*(BR44-逐级计算!$P$70)*LN(10)/10),0)+LN(1+EXP(-ABS((LN(10^(逐级计算!$Q$70/10)-1)+逐级计算!$Q$70*(BR44-逐级计算!$P$70)*LN(10)/10))))))),"")</f>
        <v>13.7930365740377</v>
      </c>
      <c r="BT44">
        <f>IF(AND(ISNUMBER(BS44),逐级计算!$X$71&gt;-1),IF(逐级计算!$X$71=0,BS44+逐级计算!$C$71,BS44+逐级计算!$C$71-(10/(逐级计算!$Q$71*LN(10))*(MAX((LN(10^(逐级计算!$Q$71/10)-1)+逐级计算!$Q$71*(BS44-逐级计算!$P$71)*LN(10)/10),0)+LN(1+EXP(-ABS((LN(10^(逐级计算!$Q$71/10)-1)+逐级计算!$Q$71*(BS44-逐级计算!$P$71)*LN(10)/10))))))),"")</f>
        <v>13.7930365740377</v>
      </c>
      <c r="BU44">
        <f>IF(AND(ISNUMBER(BT44),逐级计算!$X$72&gt;-1),IF(逐级计算!$X$72=0,BT44+逐级计算!$C$72,BT44+逐级计算!$C$72-(10/(逐级计算!$Q$72*LN(10))*(MAX((LN(10^(逐级计算!$Q$72/10)-1)+逐级计算!$Q$72*(BT44-逐级计算!$P$72)*LN(10)/10),0)+LN(1+EXP(-ABS((LN(10^(逐级计算!$Q$72/10)-1)+逐级计算!$Q$72*(BT44-逐级计算!$P$72)*LN(10)/10))))))),"")</f>
        <v>13.7930365740377</v>
      </c>
      <c r="BV44">
        <f>IF(AND(ISNUMBER(BU44),逐级计算!$X$73&gt;-1),IF(逐级计算!$X$73=0,BU44+逐级计算!$C$73,BU44+逐级计算!$C$73-(10/(逐级计算!$Q$73*LN(10))*(MAX((LN(10^(逐级计算!$Q$73/10)-1)+逐级计算!$Q$73*(BU44-逐级计算!$P$73)*LN(10)/10),0)+LN(1+EXP(-ABS((LN(10^(逐级计算!$Q$73/10)-1)+逐级计算!$Q$73*(BU44-逐级计算!$P$73)*LN(10)/10))))))),"")</f>
        <v>13.7930365740377</v>
      </c>
      <c r="BW44">
        <f>IF(AND(ISNUMBER(BV44),逐级计算!$X$74&gt;-1),IF(逐级计算!$X$74=0,BV44+逐级计算!$C$74,BV44+逐级计算!$C$74-(10/(逐级计算!$Q$74*LN(10))*(MAX((LN(10^(逐级计算!$Q$74/10)-1)+逐级计算!$Q$74*(BV44-逐级计算!$P$74)*LN(10)/10),0)+LN(1+EXP(-ABS((LN(10^(逐级计算!$Q$74/10)-1)+逐级计算!$Q$74*(BV44-逐级计算!$P$74)*LN(10)/10))))))),"")</f>
        <v>13.7930365740377</v>
      </c>
      <c r="BX44">
        <f>IF(AND(ISNUMBER(BW44),逐级计算!$X$75&gt;-1),IF(逐级计算!$X$75=0,BW44+逐级计算!$C$75,BW44+逐级计算!$C$75-(10/(逐级计算!$Q$75*LN(10))*(MAX((LN(10^(逐级计算!$Q$75/10)-1)+逐级计算!$Q$75*(BW44-逐级计算!$P$75)*LN(10)/10),0)+LN(1+EXP(-ABS((LN(10^(逐级计算!$Q$75/10)-1)+逐级计算!$Q$75*(BW44-逐级计算!$P$75)*LN(10)/10))))))),"")</f>
        <v>13.7930365740377</v>
      </c>
      <c r="BY44">
        <f>IF(AND(ISNUMBER(BX44),逐级计算!$X$76&gt;-1),IF(逐级计算!$X$76=0,BX44+逐级计算!$C$76,BX44+逐级计算!$C$76-(10/(逐级计算!$Q$76*LN(10))*(MAX((LN(10^(逐级计算!$Q$76/10)-1)+逐级计算!$Q$76*(BX44-逐级计算!$P$76)*LN(10)/10),0)+LN(1+EXP(-ABS((LN(10^(逐级计算!$Q$76/10)-1)+逐级计算!$Q$76*(BX44-逐级计算!$P$76)*LN(10)/10))))))),"")</f>
        <v>13.7930365740377</v>
      </c>
      <c r="BZ44">
        <f>IF(AND(ISNUMBER(BY44),逐级计算!$X$77&gt;-1),IF(逐级计算!$X$77=0,BY44+逐级计算!$C$77,BY44+逐级计算!$C$77-(10/(逐级计算!$Q$77*LN(10))*(MAX((LN(10^(逐级计算!$Q$77/10)-1)+逐级计算!$Q$77*(BY44-逐级计算!$P$77)*LN(10)/10),0)+LN(1+EXP(-ABS((LN(10^(逐级计算!$Q$77/10)-1)+逐级计算!$Q$77*(BY44-逐级计算!$P$77)*LN(10)/10))))))),"")</f>
        <v>13.7930365740377</v>
      </c>
      <c r="CA44">
        <f>IF(AND(ISNUMBER(BZ44),逐级计算!$X$78&gt;-1),IF(逐级计算!$X$78=0,BZ44+逐级计算!$C$78,BZ44+逐级计算!$C$78-(10/(逐级计算!$Q$78*LN(10))*(MAX((LN(10^(逐级计算!$Q$78/10)-1)+逐级计算!$Q$78*(BZ44-逐级计算!$P$78)*LN(10)/10),0)+LN(1+EXP(-ABS((LN(10^(逐级计算!$Q$78/10)-1)+逐级计算!$Q$78*(BZ44-逐级计算!$P$78)*LN(10)/10))))))),"")</f>
        <v>13.7930365740377</v>
      </c>
      <c r="CB44">
        <f>IF(AND(ISNUMBER(CA44),逐级计算!$X$79&gt;-1),IF(逐级计算!$X$79=0,CA44+逐级计算!$C$79,CA44+逐级计算!$C$79-(10/(逐级计算!$Q$79*LN(10))*(MAX((LN(10^(逐级计算!$Q$79/10)-1)+逐级计算!$Q$79*(CA44-逐级计算!$P$79)*LN(10)/10),0)+LN(1+EXP(-ABS((LN(10^(逐级计算!$Q$79/10)-1)+逐级计算!$Q$79*(CA44-逐级计算!$P$79)*LN(10)/10))))))),"")</f>
        <v>13.7930365740377</v>
      </c>
      <c r="CC44">
        <f>IF(AND(ISNUMBER(CB44),逐级计算!$X$80&gt;-1),IF(逐级计算!$X$80=0,CB44+逐级计算!$C$80,CB44+逐级计算!$C$80-(10/(逐级计算!$Q$80*LN(10))*(MAX((LN(10^(逐级计算!$Q$80/10)-1)+逐级计算!$Q$80*(CB44-逐级计算!$P$80)*LN(10)/10),0)+LN(1+EXP(-ABS((LN(10^(逐级计算!$Q$80/10)-1)+逐级计算!$Q$80*(CB44-逐级计算!$P$80)*LN(10)/10))))))),"")</f>
        <v>13.7930365740377</v>
      </c>
      <c r="CD44">
        <f>IF(AND(ISNUMBER(CC44),逐级计算!$X$81&gt;-1),IF(逐级计算!$X$81=0,CC44+逐级计算!$C$81,CC44+逐级计算!$C$81-(10/(逐级计算!$Q$81*LN(10))*(MAX((LN(10^(逐级计算!$Q$81/10)-1)+逐级计算!$Q$81*(CC44-逐级计算!$P$81)*LN(10)/10),0)+LN(1+EXP(-ABS((LN(10^(逐级计算!$Q$81/10)-1)+逐级计算!$Q$81*(CC44-逐级计算!$P$81)*LN(10)/10))))))),"")</f>
        <v>13.7930365740377</v>
      </c>
      <c r="CE44">
        <f>IF(AND(ISNUMBER(CD44),逐级计算!$X$82&gt;-1),IF(逐级计算!$X$82=0,CD44+逐级计算!$C$82,CD44+逐级计算!$C$82-(10/(逐级计算!$Q$82*LN(10))*(MAX((LN(10^(逐级计算!$Q$82/10)-1)+逐级计算!$Q$82*(CD44-逐级计算!$P$82)*LN(10)/10),0)+LN(1+EXP(-ABS((LN(10^(逐级计算!$Q$82/10)-1)+逐级计算!$Q$82*(CD44-逐级计算!$P$82)*LN(10)/10))))))),"")</f>
        <v>13.7930365740377</v>
      </c>
      <c r="CF44">
        <f>IF(AND(ISNUMBER(CE44),逐级计算!$X$83&gt;-1),IF(逐级计算!$X$83=0,CE44+逐级计算!$C$83,CE44+逐级计算!$C$83-(10/(逐级计算!$Q$83*LN(10))*(MAX((LN(10^(逐级计算!$Q$83/10)-1)+逐级计算!$Q$83*(CE44-逐级计算!$P$83)*LN(10)/10),0)+LN(1+EXP(-ABS((LN(10^(逐级计算!$Q$83/10)-1)+逐级计算!$Q$83*(CE44-逐级计算!$P$83)*LN(10)/10))))))),"")</f>
        <v>13.7930365740377</v>
      </c>
      <c r="CG44">
        <f>IF(AND(ISNUMBER(CF44),逐级计算!$X$84&gt;-1),IF(逐级计算!$X$84=0,CF44+逐级计算!$C$84,CF44+逐级计算!$C$84-(10/(逐级计算!$Q$84*LN(10))*(MAX((LN(10^(逐级计算!$Q$84/10)-1)+逐级计算!$Q$84*(CF44-逐级计算!$P$84)*LN(10)/10),0)+LN(1+EXP(-ABS((LN(10^(逐级计算!$Q$84/10)-1)+逐级计算!$Q$84*(CF44-逐级计算!$P$84)*LN(10)/10))))))),"")</f>
        <v>13.7930365740377</v>
      </c>
      <c r="CH44">
        <f>IF(AND(ISNUMBER(CG44),逐级计算!$X$85&gt;-1),IF(逐级计算!$X$85=0,CG44+逐级计算!$C$85,CG44+逐级计算!$C$85-(10/(逐级计算!$Q$85*LN(10))*(MAX((LN(10^(逐级计算!$Q$85/10)-1)+逐级计算!$Q$85*(CG44-逐级计算!$P$85)*LN(10)/10),0)+LN(1+EXP(-ABS((LN(10^(逐级计算!$Q$85/10)-1)+逐级计算!$Q$85*(CG44-逐级计算!$P$85)*LN(10)/10))))))),"")</f>
        <v>13.7930365740377</v>
      </c>
      <c r="CI44">
        <f>IF(AND(ISNUMBER(CH44),逐级计算!$X$86&gt;-1),IF(逐级计算!$X$86=0,CH44+逐级计算!$C$86,CH44+逐级计算!$C$86-(10/(逐级计算!$Q$86*LN(10))*(MAX((LN(10^(逐级计算!$Q$86/10)-1)+逐级计算!$Q$86*(CH44-逐级计算!$P$86)*LN(10)/10),0)+LN(1+EXP(-ABS((LN(10^(逐级计算!$Q$86/10)-1)+逐级计算!$Q$86*(CH44-逐级计算!$P$86)*LN(10)/10))))))),"")</f>
        <v>13.7930365740377</v>
      </c>
      <c r="CJ44">
        <f>IF(AND(ISNUMBER(CI44),逐级计算!$X$87&gt;-1),IF(逐级计算!$X$87=0,CI44+逐级计算!$C$87,CI44+逐级计算!$C$87-(10/(逐级计算!$Q$87*LN(10))*(MAX((LN(10^(逐级计算!$Q$87/10)-1)+逐级计算!$Q$87*(CI44-逐级计算!$P$87)*LN(10)/10),0)+LN(1+EXP(-ABS((LN(10^(逐级计算!$Q$87/10)-1)+逐级计算!$Q$87*(CI44-逐级计算!$P$87)*LN(10)/10))))))),"")</f>
        <v>13.7930365740377</v>
      </c>
      <c r="CK44">
        <f>IF(AND(ISNUMBER(CJ44),逐级计算!$X$88&gt;-1),IF(逐级计算!$X$88=0,CJ44+逐级计算!$C$88,CJ44+逐级计算!$C$88-(10/(逐级计算!$Q$88*LN(10))*(MAX((LN(10^(逐级计算!$Q$88/10)-1)+逐级计算!$Q$88*(CJ44-逐级计算!$P$88)*LN(10)/10),0)+LN(1+EXP(-ABS((LN(10^(逐级计算!$Q$88/10)-1)+逐级计算!$Q$88*(CJ44-逐级计算!$P$88)*LN(10)/10))))))),"")</f>
        <v>13.7930365740377</v>
      </c>
      <c r="CL44">
        <f>IF(AND(ISNUMBER(CK44),逐级计算!$X$89&gt;-1),IF(逐级计算!$X$89=0,CK44+逐级计算!$C$89,CK44+逐级计算!$C$89-(10/(逐级计算!$Q$89*LN(10))*(MAX((LN(10^(逐级计算!$Q$89/10)-1)+逐级计算!$Q$89*(CK44-逐级计算!$P$89)*LN(10)/10),0)+LN(1+EXP(-ABS((LN(10^(逐级计算!$Q$89/10)-1)+逐级计算!$Q$89*(CK44-逐级计算!$P$89)*LN(10)/10))))))),"")</f>
        <v>13.7930365740377</v>
      </c>
      <c r="CM44">
        <f>IF(AND(ISNUMBER(CL44),逐级计算!$X$90&gt;-1),IF(逐级计算!$X$90=0,CL44+逐级计算!$C$90,CL44+逐级计算!$C$90-(10/(逐级计算!$Q$90*LN(10))*(MAX((LN(10^(逐级计算!$Q$90/10)-1)+逐级计算!$Q$90*(CL44-逐级计算!$P$90)*LN(10)/10),0)+LN(1+EXP(-ABS((LN(10^(逐级计算!$Q$90/10)-1)+逐级计算!$Q$90*(CL44-逐级计算!$P$90)*LN(10)/10))))))),"")</f>
        <v>13.7930365740377</v>
      </c>
      <c r="CN44">
        <f>IF(AND(ISNUMBER(CM44),逐级计算!$X$91&gt;-1),IF(逐级计算!$X$91=0,CM44+逐级计算!$C$91,CM44+逐级计算!$C$91-(10/(逐级计算!$Q$91*LN(10))*(MAX((LN(10^(逐级计算!$Q$91/10)-1)+逐级计算!$Q$91*(CM44-逐级计算!$P$91)*LN(10)/10),0)+LN(1+EXP(-ABS((LN(10^(逐级计算!$Q$91/10)-1)+逐级计算!$Q$91*(CM44-逐级计算!$P$91)*LN(10)/10))))))),"")</f>
        <v>13.7930365740377</v>
      </c>
      <c r="CO44">
        <f>IF(AND(ISNUMBER(CN44),逐级计算!$X$92&gt;-1),IF(逐级计算!$X$92=0,CN44+逐级计算!$C$92,CN44+逐级计算!$C$92-(10/(逐级计算!$Q$92*LN(10))*(MAX((LN(10^(逐级计算!$Q$92/10)-1)+逐级计算!$Q$92*(CN44-逐级计算!$P$92)*LN(10)/10),0)+LN(1+EXP(-ABS((LN(10^(逐级计算!$Q$92/10)-1)+逐级计算!$Q$92*(CN44-逐级计算!$P$92)*LN(10)/10))))))),"")</f>
        <v>13.7930365740377</v>
      </c>
      <c r="CP44">
        <f>IF(AND(ISNUMBER(CO44),逐级计算!$X$93&gt;-1),IF(逐级计算!$X$93=0,CO44+逐级计算!$C$93,CO44+逐级计算!$C$93-(10/(逐级计算!$Q$93*LN(10))*(MAX((LN(10^(逐级计算!$Q$93/10)-1)+逐级计算!$Q$93*(CO44-逐级计算!$P$93)*LN(10)/10),0)+LN(1+EXP(-ABS((LN(10^(逐级计算!$Q$93/10)-1)+逐级计算!$Q$93*(CO44-逐级计算!$P$93)*LN(10)/10))))))),"")</f>
        <v>13.7930365740377</v>
      </c>
      <c r="CQ44">
        <f>IF(AND(ISNUMBER(CP44),逐级计算!$X$94&gt;-1),IF(逐级计算!$X$94=0,CP44+逐级计算!$C$94,CP44+逐级计算!$C$94-(10/(逐级计算!$Q$94*LN(10))*(MAX((LN(10^(逐级计算!$Q$94/10)-1)+逐级计算!$Q$94*(CP44-逐级计算!$P$94)*LN(10)/10),0)+LN(1+EXP(-ABS((LN(10^(逐级计算!$Q$94/10)-1)+逐级计算!$Q$94*(CP44-逐级计算!$P$94)*LN(10)/10))))))),"")</f>
        <v>13.7930365740377</v>
      </c>
      <c r="CR44">
        <f>IF(AND(ISNUMBER(CQ44),逐级计算!$X$95&gt;-1),IF(逐级计算!$X$95=0,CQ44+逐级计算!$C$95,CQ44+逐级计算!$C$95-(10/(逐级计算!$Q$95*LN(10))*(MAX((LN(10^(逐级计算!$Q$95/10)-1)+逐级计算!$Q$95*(CQ44-逐级计算!$P$95)*LN(10)/10),0)+LN(1+EXP(-ABS((LN(10^(逐级计算!$Q$95/10)-1)+逐级计算!$Q$95*(CQ44-逐级计算!$P$95)*LN(10)/10))))))),"")</f>
        <v>13.7930365740377</v>
      </c>
      <c r="CS44">
        <f>IF(AND(ISNUMBER(CR44),逐级计算!$X$96&gt;-1),IF(逐级计算!$X$96=0,CR44+逐级计算!$C$96,CR44+逐级计算!$C$96-(10/(逐级计算!$Q$96*LN(10))*(MAX((LN(10^(逐级计算!$Q$96/10)-1)+逐级计算!$Q$96*(CR44-逐级计算!$P$96)*LN(10)/10),0)+LN(1+EXP(-ABS((LN(10^(逐级计算!$Q$96/10)-1)+逐级计算!$Q$96*(CR44-逐级计算!$P$96)*LN(10)/10))))))),"")</f>
        <v>13.7930365740377</v>
      </c>
      <c r="CT44">
        <f>IF(AND(ISNUMBER(CS44),逐级计算!$X$97&gt;-1),IF(逐级计算!$X$97=0,CS44+逐级计算!$C$97,CS44+逐级计算!$C$97-(10/(逐级计算!$Q$97*LN(10))*(MAX((LN(10^(逐级计算!$Q$97/10)-1)+逐级计算!$Q$97*(CS44-逐级计算!$P$97)*LN(10)/10),0)+LN(1+EXP(-ABS((LN(10^(逐级计算!$Q$97/10)-1)+逐级计算!$Q$97*(CS44-逐级计算!$P$97)*LN(10)/10))))))),"")</f>
        <v>13.7930365740377</v>
      </c>
      <c r="CU44">
        <f>IF(AND(ISNUMBER(CT44),逐级计算!$X$98&gt;-1),IF(逐级计算!$X$98=0,CT44+逐级计算!$C$98,CT44+逐级计算!$C$98-(10/(逐级计算!$Q$98*LN(10))*(MAX((LN(10^(逐级计算!$Q$98/10)-1)+逐级计算!$Q$98*(CT44-逐级计算!$P$98)*LN(10)/10),0)+LN(1+EXP(-ABS((LN(10^(逐级计算!$Q$98/10)-1)+逐级计算!$Q$98*(CT44-逐级计算!$P$98)*LN(10)/10))))))),"")</f>
        <v>13.7930365740377</v>
      </c>
      <c r="CV44">
        <f>IF(AND(ISNUMBER(CU44),逐级计算!$X$99&gt;-1),IF(逐级计算!$X$99=0,CU44+逐级计算!$C$99,CU44+逐级计算!$C$99-(10/(逐级计算!$Q$99*LN(10))*(MAX((LN(10^(逐级计算!$Q$99/10)-1)+逐级计算!$Q$99*(CU44-逐级计算!$P$99)*LN(10)/10),0)+LN(1+EXP(-ABS((LN(10^(逐级计算!$Q$99/10)-1)+逐级计算!$Q$99*(CU44-逐级计算!$P$99)*LN(10)/10))))))),"")</f>
        <v>13.7930365740377</v>
      </c>
      <c r="CW44">
        <f>IF(AND(ISNUMBER(CV44),逐级计算!$X$100&gt;-1),IF(逐级计算!$X$100=0,CV44+逐级计算!$C$100,CV44+逐级计算!$C$100-(10/(逐级计算!$Q$100*LN(10))*(MAX((LN(10^(逐级计算!$Q$100/10)-1)+逐级计算!$Q$100*(CV44-逐级计算!$P$100)*LN(10)/10),0)+LN(1+EXP(-ABS((LN(10^(逐级计算!$Q$100/10)-1)+逐级计算!$Q$100*(CV44-逐级计算!$P$100)*LN(10)/10))))))),"")</f>
        <v>13.7930365740377</v>
      </c>
      <c r="CX44">
        <f>IF(AND(ISNUMBER(CW44),逐级计算!$X$101&gt;-1),IF(逐级计算!$X$101=0,CW44+逐级计算!$C$101,CW44+逐级计算!$C$101-(10/(逐级计算!$Q$101*LN(10))*(MAX((LN(10^(逐级计算!$Q$101/10)-1)+逐级计算!$Q$101*(CW44-逐级计算!$P$101)*LN(10)/10),0)+LN(1+EXP(-ABS((LN(10^(逐级计算!$Q$101/10)-1)+逐级计算!$Q$101*(CW44-逐级计算!$P$101)*LN(10)/10))))))),"")</f>
        <v>13.7930365740377</v>
      </c>
      <c r="CY44">
        <f>IF(AND(ISNUMBER(CX44),逐级计算!$X$102&gt;-1),IF(逐级计算!$X$102=0,CX44+逐级计算!$C$102,CX44+逐级计算!$C$102-(10/(逐级计算!$Q$102*LN(10))*(MAX((LN(10^(逐级计算!$Q$102/10)-1)+逐级计算!$Q$102*(CX44-逐级计算!$P$102)*LN(10)/10),0)+LN(1+EXP(-ABS((LN(10^(逐级计算!$Q$102/10)-1)+逐级计算!$Q$102*(CX44-逐级计算!$P$102)*LN(10)/10))))))),"")</f>
        <v>13.7930365740377</v>
      </c>
      <c r="CZ44">
        <f>IF(AND(ISNUMBER(CY44),逐级计算!$X$103&gt;-1),IF(逐级计算!$X$103=0,CY44+逐级计算!$C$103,CY44+逐级计算!$C$103-(10/(逐级计算!$Q$103*LN(10))*(MAX((LN(10^(逐级计算!$Q$103/10)-1)+逐级计算!$Q$103*(CY44-逐级计算!$P$103)*LN(10)/10),0)+LN(1+EXP(-ABS((LN(10^(逐级计算!$Q$103/10)-1)+逐级计算!$Q$103*(CY44-逐级计算!$P$103)*LN(10)/10))))))),"")</f>
        <v>13.7930365740377</v>
      </c>
      <c r="DA44">
        <f>IF(AND(ISNUMBER(CZ44),逐级计算!$X$104&gt;-1),IF(逐级计算!$X$104=0,CZ44+逐级计算!$C$104,CZ44+逐级计算!$C$104-(10/(逐级计算!$Q$104*LN(10))*(MAX((LN(10^(逐级计算!$Q$104/10)-1)+逐级计算!$Q$104*(CZ44-逐级计算!$P$104)*LN(10)/10),0)+LN(1+EXP(-ABS((LN(10^(逐级计算!$Q$104/10)-1)+逐级计算!$Q$104*(CZ44-逐级计算!$P$104)*LN(10)/10))))))),"")</f>
        <v>13.7930365740377</v>
      </c>
      <c r="DB44">
        <f>IF(AND(ISNUMBER(DA44),逐级计算!$X$105&gt;-1),IF(逐级计算!$X$105=0,DA44+逐级计算!$C$105,DA44+逐级计算!$C$105-(10/(逐级计算!$Q$105*LN(10))*(MAX((LN(10^(逐级计算!$Q$105/10)-1)+逐级计算!$Q$105*(DA44-逐级计算!$P$105)*LN(10)/10),0)+LN(1+EXP(-ABS((LN(10^(逐级计算!$Q$105/10)-1)+逐级计算!$Q$105*(DA44-逐级计算!$P$105)*LN(10)/10))))))),"")</f>
        <v>13.7930365740377</v>
      </c>
      <c r="DC44">
        <f>IF(AND(ISNUMBER(DB44),逐级计算!$X$106&gt;-1),IF(逐级计算!$X$106=0,DB44+逐级计算!$C$106,DB44+逐级计算!$C$106-(10/(逐级计算!$Q$106*LN(10))*(MAX((LN(10^(逐级计算!$Q$106/10)-1)+逐级计算!$Q$106*(DB44-逐级计算!$P$106)*LN(10)/10),0)+LN(1+EXP(-ABS((LN(10^(逐级计算!$Q$106/10)-1)+逐级计算!$Q$106*(DB44-逐级计算!$P$106)*LN(10)/10))))))),"")</f>
        <v>13.7930365740377</v>
      </c>
      <c r="DD44">
        <f>IF(AND(ISNUMBER(DC44),逐级计算!$X$107&gt;-1),IF(逐级计算!$X$107=0,DC44+逐级计算!$C$107,DC44+逐级计算!$C$107-(10/(逐级计算!$Q$107*LN(10))*(MAX((LN(10^(逐级计算!$Q$107/10)-1)+逐级计算!$Q$107*(DC44-逐级计算!$P$107)*LN(10)/10),0)+LN(1+EXP(-ABS((LN(10^(逐级计算!$Q$107/10)-1)+逐级计算!$Q$107*(DC44-逐级计算!$P$107)*LN(10)/10))))))),"")</f>
        <v>13.7930365740377</v>
      </c>
      <c r="DE44">
        <f>IF(AND(ISNUMBER(DD44),逐级计算!$X$108&gt;-1),IF(逐级计算!$X$108=0,DD44+逐级计算!$C$108,DD44+逐级计算!$C$108-(10/(逐级计算!$Q$108*LN(10))*(MAX((LN(10^(逐级计算!$Q$108/10)-1)+逐级计算!$Q$108*(DD44-逐级计算!$P$108)*LN(10)/10),0)+LN(1+EXP(-ABS((LN(10^(逐级计算!$Q$108/10)-1)+逐级计算!$Q$108*(DD44-逐级计算!$P$108)*LN(10)/10))))))),"")</f>
        <v>13.7930365740377</v>
      </c>
      <c r="DF44">
        <f>IF(AND(ISNUMBER(DE44),逐级计算!$X$109&gt;-1),IF(逐级计算!$X$109=0,DE44+逐级计算!$C$109,DE44+逐级计算!$C$109-(10/(逐级计算!$Q$109*LN(10))*(MAX((LN(10^(逐级计算!$Q$109/10)-1)+逐级计算!$Q$109*(DE44-逐级计算!$P$109)*LN(10)/10),0)+LN(1+EXP(-ABS((LN(10^(逐级计算!$Q$109/10)-1)+逐级计算!$Q$109*(DE44-逐级计算!$P$109)*LN(10)/10))))))),"")</f>
        <v>13.7930365740377</v>
      </c>
      <c r="DG44">
        <f>IF(AND(ISNUMBER(DF44),逐级计算!$X$110&gt;-1),IF(逐级计算!$X$110=0,DF44+逐级计算!$C$110,DF44+逐级计算!$C$110-(10/(逐级计算!$Q$110*LN(10))*(MAX((LN(10^(逐级计算!$Q$110/10)-1)+逐级计算!$Q$110*(DF44-逐级计算!$P$110)*LN(10)/10),0)+LN(1+EXP(-ABS((LN(10^(逐级计算!$Q$110/10)-1)+逐级计算!$Q$110*(DF44-逐级计算!$P$110)*LN(10)/10))))))),"")</f>
        <v>13.7930365740377</v>
      </c>
      <c r="DH44">
        <f>IF(AND(ISNUMBER(DG44),逐级计算!$X$111&gt;-1),IF(逐级计算!$X$111=0,DG44+逐级计算!$C$111,DG44+逐级计算!$C$111-(10/(逐级计算!$Q$111*LN(10))*(MAX((LN(10^(逐级计算!$Q$111/10)-1)+逐级计算!$Q$111*(DG44-逐级计算!$P$111)*LN(10)/10),0)+LN(1+EXP(-ABS((LN(10^(逐级计算!$Q$111/10)-1)+逐级计算!$Q$111*(DG44-逐级计算!$P$111)*LN(10)/10))))))),"")</f>
        <v>13.7930365740377</v>
      </c>
      <c r="DI44">
        <f>IF(AND(ISNUMBER(DH44),逐级计算!$X$112&gt;-1),IF(逐级计算!$X$112=0,DH44+逐级计算!$C$112,DH44+逐级计算!$C$112-(10/(逐级计算!$Q$112*LN(10))*(MAX((LN(10^(逐级计算!$Q$112/10)-1)+逐级计算!$Q$112*(DH44-逐级计算!$P$112)*LN(10)/10),0)+LN(1+EXP(-ABS((LN(10^(逐级计算!$Q$112/10)-1)+逐级计算!$Q$112*(DH44-逐级计算!$P$112)*LN(10)/10))))))),"")</f>
        <v>13.7930365740377</v>
      </c>
      <c r="DJ44">
        <f>IF(AND(ISNUMBER(DI44),逐级计算!$X$113&gt;-1),IF(逐级计算!$X$113=0,DI44+逐级计算!$C$113,DI44+逐级计算!$C$113-(10/(逐级计算!$Q$113*LN(10))*(MAX((LN(10^(逐级计算!$Q$113/10)-1)+逐级计算!$Q$113*(DI44-逐级计算!$P$113)*LN(10)/10),0)+LN(1+EXP(-ABS((LN(10^(逐级计算!$Q$113/10)-1)+逐级计算!$Q$113*(DI44-逐级计算!$P$113)*LN(10)/10))))))),"")</f>
        <v>13.7930365740377</v>
      </c>
      <c r="DK44">
        <f>IF(AND(ISNUMBER(DJ44),逐级计算!$X$114&gt;-1),IF(逐级计算!$X$114=0,DJ44+逐级计算!$C$114,DJ44+逐级计算!$C$114-(10/(逐级计算!$Q$114*LN(10))*(MAX((LN(10^(逐级计算!$Q$114/10)-1)+逐级计算!$Q$114*(DJ44-逐级计算!$P$114)*LN(10)/10),0)+LN(1+EXP(-ABS((LN(10^(逐级计算!$Q$114/10)-1)+逐级计算!$Q$114*(DJ44-逐级计算!$P$114)*LN(10)/10))))))),"")</f>
        <v>13.7930365740377</v>
      </c>
      <c r="DL44">
        <f>IF(AND(ISNUMBER(DK44),逐级计算!$X$115&gt;-1),IF(逐级计算!$X$115=0,DK44+逐级计算!$C$115,DK44+逐级计算!$C$115-(10/(逐级计算!$Q$115*LN(10))*(MAX((LN(10^(逐级计算!$Q$115/10)-1)+逐级计算!$Q$115*(DK44-逐级计算!$P$115)*LN(10)/10),0)+LN(1+EXP(-ABS((LN(10^(逐级计算!$Q$115/10)-1)+逐级计算!$Q$115*(DK44-逐级计算!$P$115)*LN(10)/10))))))),"")</f>
        <v>13.7930365740377</v>
      </c>
      <c r="DM44">
        <f>IF(AND(ISNUMBER(DL44),逐级计算!$X$116&gt;-1),IF(逐级计算!$X$116=0,DL44+逐级计算!$C$116,DL44+逐级计算!$C$116-(10/(逐级计算!$Q$116*LN(10))*(MAX((LN(10^(逐级计算!$Q$116/10)-1)+逐级计算!$Q$116*(DL44-逐级计算!$P$116)*LN(10)/10),0)+LN(1+EXP(-ABS((LN(10^(逐级计算!$Q$116/10)-1)+逐级计算!$Q$116*(DL44-逐级计算!$P$116)*LN(10)/10))))))),"")</f>
        <v>13.7930365740377</v>
      </c>
      <c r="DN44">
        <f>IF(AND(ISNUMBER(DM44),逐级计算!$X$117&gt;-1),IF(逐级计算!$X$117=0,DM44+逐级计算!$C$117,DM44+逐级计算!$C$117-(10/(逐级计算!$Q$117*LN(10))*(MAX((LN(10^(逐级计算!$Q$117/10)-1)+逐级计算!$Q$117*(DM44-逐级计算!$P$117)*LN(10)/10),0)+LN(1+EXP(-ABS((LN(10^(逐级计算!$Q$117/10)-1)+逐级计算!$Q$117*(DM44-逐级计算!$P$117)*LN(10)/10))))))),"")</f>
        <v>13.7930365740377</v>
      </c>
      <c r="DO44">
        <f>IF(AND(ISNUMBER(DN44),逐级计算!$X$118&gt;-1),IF(逐级计算!$X$118=0,DN44+逐级计算!$C$118,DN44+逐级计算!$C$118-(10/(逐级计算!$Q$118*LN(10))*(MAX((LN(10^(逐级计算!$Q$118/10)-1)+逐级计算!$Q$118*(DN44-逐级计算!$P$118)*LN(10)/10),0)+LN(1+EXP(-ABS((LN(10^(逐级计算!$Q$118/10)-1)+逐级计算!$Q$118*(DN44-逐级计算!$P$118)*LN(10)/10))))))),"")</f>
        <v>13.7930365740377</v>
      </c>
      <c r="DP44">
        <f>IF(AND(ISNUMBER(DO44),逐级计算!$X$119&gt;-1),IF(逐级计算!$X$119=0,DO44+逐级计算!$C$119,DO44+逐级计算!$C$119-(10/(逐级计算!$Q$119*LN(10))*(MAX((LN(10^(逐级计算!$Q$119/10)-1)+逐级计算!$Q$119*(DO44-逐级计算!$P$119)*LN(10)/10),0)+LN(1+EXP(-ABS((LN(10^(逐级计算!$Q$119/10)-1)+逐级计算!$Q$119*(DO44-逐级计算!$P$119)*LN(10)/10))))))),"")</f>
        <v>13.7930365740377</v>
      </c>
      <c r="DQ44">
        <f>IF(AND(ISNUMBER(DP44),逐级计算!$X$120&gt;-1),IF(逐级计算!$X$120=0,DP44+逐级计算!$C$120,DP44+逐级计算!$C$120-(10/(逐级计算!$Q$120*LN(10))*(MAX((LN(10^(逐级计算!$Q$120/10)-1)+逐级计算!$Q$120*(DP44-逐级计算!$P$120)*LN(10)/10),0)+LN(1+EXP(-ABS((LN(10^(逐级计算!$Q$120/10)-1)+逐级计算!$Q$120*(DP44-逐级计算!$P$120)*LN(10)/10))))))),"")</f>
        <v>13.7930365740377</v>
      </c>
      <c r="DR44">
        <f>IF(AND(ISNUMBER(DQ44),逐级计算!$X$121&gt;-1),IF(逐级计算!$X$121=0,DQ44+逐级计算!$C$121,DQ44+逐级计算!$C$121-(10/(逐级计算!$Q$121*LN(10))*(MAX((LN(10^(逐级计算!$Q$121/10)-1)+逐级计算!$Q$121*(DQ44-逐级计算!$P$121)*LN(10)/10),0)+LN(1+EXP(-ABS((LN(10^(逐级计算!$Q$121/10)-1)+逐级计算!$Q$121*(DQ44-逐级计算!$P$121)*LN(10)/10))))))),"")</f>
        <v>13.7930365740377</v>
      </c>
      <c r="DS44">
        <f>IF(AND(ISNUMBER(DR44),逐级计算!$X$122&gt;-1),IF(逐级计算!$X$122=0,DR44+逐级计算!$C$122,DR44+逐级计算!$C$122-(10/(逐级计算!$Q$122*LN(10))*(MAX((LN(10^(逐级计算!$Q$122/10)-1)+逐级计算!$Q$122*(DR44-逐级计算!$P$122)*LN(10)/10),0)+LN(1+EXP(-ABS((LN(10^(逐级计算!$Q$122/10)-1)+逐级计算!$Q$122*(DR44-逐级计算!$P$122)*LN(10)/10))))))),"")</f>
        <v>13.7930365740377</v>
      </c>
      <c r="DT44">
        <f>IF(AND(ISNUMBER(DS44),逐级计算!$X$123&gt;-1),IF(逐级计算!$X$123=0,DS44+逐级计算!$C$123,DS44+逐级计算!$C$123-(10/(逐级计算!$Q$123*LN(10))*(MAX((LN(10^(逐级计算!$Q$123/10)-1)+逐级计算!$Q$123*(DS44-逐级计算!$P$123)*LN(10)/10),0)+LN(1+EXP(-ABS((LN(10^(逐级计算!$Q$123/10)-1)+逐级计算!$Q$123*(DS44-逐级计算!$P$123)*LN(10)/10))))))),"")</f>
        <v>13.7930365740377</v>
      </c>
      <c r="DU44">
        <f>IF(AND(ISNUMBER(DT44),逐级计算!$X$124&gt;-1),IF(逐级计算!$X$124=0,DT44+逐级计算!$C$124,DT44+逐级计算!$C$124-(10/(逐级计算!$Q$124*LN(10))*(MAX((LN(10^(逐级计算!$Q$124/10)-1)+逐级计算!$Q$124*(DT44-逐级计算!$P$124)*LN(10)/10),0)+LN(1+EXP(-ABS((LN(10^(逐级计算!$Q$124/10)-1)+逐级计算!$Q$124*(DT44-逐级计算!$P$124)*LN(10)/10))))))),"")</f>
        <v>13.7930365740377</v>
      </c>
      <c r="DV44">
        <f>IF(AND(ISNUMBER(DU44),逐级计算!$X$125&gt;-1),IF(逐级计算!$X$125=0,DU44+逐级计算!$C$125,DU44+逐级计算!$C$125-(10/(逐级计算!$Q$125*LN(10))*(MAX((LN(10^(逐级计算!$Q$125/10)-1)+逐级计算!$Q$125*(DU44-逐级计算!$P$125)*LN(10)/10),0)+LN(1+EXP(-ABS((LN(10^(逐级计算!$Q$125/10)-1)+逐级计算!$Q$125*(DU44-逐级计算!$P$125)*LN(10)/10))))))),"")</f>
        <v>13.7930365740377</v>
      </c>
      <c r="DW44">
        <f>IF(AND(ISNUMBER(DV44),逐级计算!$X$126&gt;-1),IF(逐级计算!$X$126=0,DV44+逐级计算!$C$126,DV44+逐级计算!$C$126-(10/(逐级计算!$Q$126*LN(10))*(MAX((LN(10^(逐级计算!$Q$126/10)-1)+逐级计算!$Q$126*(DV44-逐级计算!$P$126)*LN(10)/10),0)+LN(1+EXP(-ABS((LN(10^(逐级计算!$Q$126/10)-1)+逐级计算!$Q$126*(DV44-逐级计算!$P$126)*LN(10)/10))))))),"")</f>
        <v>13.7930365740377</v>
      </c>
      <c r="DX44">
        <f>IF(AND(ISNUMBER(DW44),逐级计算!$X$127&gt;-1),IF(逐级计算!$X$127=0,DW44+逐级计算!$C$127,DW44+逐级计算!$C$127-(10/(逐级计算!$Q$127*LN(10))*(MAX((LN(10^(逐级计算!$Q$127/10)-1)+逐级计算!$Q$127*(DW44-逐级计算!$P$127)*LN(10)/10),0)+LN(1+EXP(-ABS((LN(10^(逐级计算!$Q$127/10)-1)+逐级计算!$Q$127*(DW44-逐级计算!$P$127)*LN(10)/10))))))),"")</f>
        <v>13.7930365740377</v>
      </c>
      <c r="DY44">
        <f>IF(AND(ISNUMBER(DX44),逐级计算!$X$128&gt;-1),IF(逐级计算!$X$128=0,DX44+逐级计算!$C$128,DX44+逐级计算!$C$128-(10/(逐级计算!$Q$128*LN(10))*(MAX((LN(10^(逐级计算!$Q$128/10)-1)+逐级计算!$Q$128*(DX44-逐级计算!$P$128)*LN(10)/10),0)+LN(1+EXP(-ABS((LN(10^(逐级计算!$Q$128/10)-1)+逐级计算!$Q$128*(DX44-逐级计算!$P$128)*LN(10)/10))))))),"")</f>
        <v>13.7930365740377</v>
      </c>
      <c r="DZ44">
        <f>IF(AND(ISNUMBER(DY44),逐级计算!$X$129&gt;-1),IF(逐级计算!$X$129=0,DY44+逐级计算!$C$129,DY44+逐级计算!$C$129-(10/(逐级计算!$Q$129*LN(10))*(MAX((LN(10^(逐级计算!$Q$129/10)-1)+逐级计算!$Q$129*(DY44-逐级计算!$P$129)*LN(10)/10),0)+LN(1+EXP(-ABS((LN(10^(逐级计算!$Q$129/10)-1)+逐级计算!$Q$129*(DY44-逐级计算!$P$129)*LN(10)/10))))))),"")</f>
        <v>13.7930365740377</v>
      </c>
      <c r="EA44">
        <f>IF(AND(ISNUMBER(DZ44),逐级计算!$X$130&gt;-1),IF(逐级计算!$X$130=0,DZ44+逐级计算!$C$130,DZ44+逐级计算!$C$130-(10/(逐级计算!$Q$130*LN(10))*(MAX((LN(10^(逐级计算!$Q$130/10)-1)+逐级计算!$Q$130*(DZ44-逐级计算!$P$130)*LN(10)/10),0)+LN(1+EXP(-ABS((LN(10^(逐级计算!$Q$130/10)-1)+逐级计算!$Q$130*(DZ44-逐级计算!$P$130)*LN(10)/10))))))),"")</f>
        <v>13.7930365740377</v>
      </c>
      <c r="EB44">
        <f>IF(AND(ISNUMBER(EA44),逐级计算!$X$131&gt;-1),IF(逐级计算!$X$131=0,EA44+逐级计算!$C$131,EA44+逐级计算!$C$131-(10/(逐级计算!$Q$131*LN(10))*(MAX((LN(10^(逐级计算!$Q$131/10)-1)+逐级计算!$Q$131*(EA44-逐级计算!$P$131)*LN(10)/10),0)+LN(1+EXP(-ABS((LN(10^(逐级计算!$Q$131/10)-1)+逐级计算!$Q$131*(EA44-逐级计算!$P$131)*LN(10)/10))))))),"")</f>
        <v>13.7930365740377</v>
      </c>
      <c r="EC44">
        <f>IF(AND(ISNUMBER(EB44),逐级计算!$X$132&gt;-1),IF(逐级计算!$X$132=0,EB44+逐级计算!$C$132,EB44+逐级计算!$C$132-(10/(逐级计算!$Q$132*LN(10))*(MAX((LN(10^(逐级计算!$Q$132/10)-1)+逐级计算!$Q$132*(EB44-逐级计算!$P$132)*LN(10)/10),0)+LN(1+EXP(-ABS((LN(10^(逐级计算!$Q$132/10)-1)+逐级计算!$Q$132*(EB44-逐级计算!$P$132)*LN(10)/10))))))),"")</f>
        <v>13.7930365740377</v>
      </c>
      <c r="ED44">
        <f>IF(AND(ISNUMBER(EC44),逐级计算!$X$133&gt;-1),IF(逐级计算!$X$133=0,EC44+逐级计算!$C$133,EC44+逐级计算!$C$133-(10/(逐级计算!$Q$133*LN(10))*(MAX((LN(10^(逐级计算!$Q$133/10)-1)+逐级计算!$Q$133*(EC44-逐级计算!$P$133)*LN(10)/10),0)+LN(1+EXP(-ABS((LN(10^(逐级计算!$Q$133/10)-1)+逐级计算!$Q$133*(EC44-逐级计算!$P$133)*LN(10)/10))))))),"")</f>
        <v>13.7930365740377</v>
      </c>
      <c r="EE44">
        <f>IF(AND(ISNUMBER(ED44),逐级计算!$X$134&gt;-1),IF(逐级计算!$X$134=0,ED44+逐级计算!$C$134,ED44+逐级计算!$C$134-(10/(逐级计算!$Q$134*LN(10))*(MAX((LN(10^(逐级计算!$Q$134/10)-1)+逐级计算!$Q$134*(ED44-逐级计算!$P$134)*LN(10)/10),0)+LN(1+EXP(-ABS((LN(10^(逐级计算!$Q$134/10)-1)+逐级计算!$Q$134*(ED44-逐级计算!$P$134)*LN(10)/10))))))),"")</f>
        <v>13.7930365740377</v>
      </c>
      <c r="EF44">
        <f>IF(AND(ISNUMBER(EE44),逐级计算!$X$135&gt;-1),IF(逐级计算!$X$135=0,EE44+逐级计算!$C$135,EE44+逐级计算!$C$135-(10/(逐级计算!$Q$135*LN(10))*(MAX((LN(10^(逐级计算!$Q$135/10)-1)+逐级计算!$Q$135*(EE44-逐级计算!$P$135)*LN(10)/10),0)+LN(1+EXP(-ABS((LN(10^(逐级计算!$Q$135/10)-1)+逐级计算!$Q$135*(EE44-逐级计算!$P$135)*LN(10)/10))))))),"")</f>
        <v>13.7930365740377</v>
      </c>
      <c r="EG44">
        <f>IF(AND(ISNUMBER(EF44),逐级计算!$X$136&gt;-1),IF(逐级计算!$X$136=0,EF44+逐级计算!$C$136,EF44+逐级计算!$C$136-(10/(逐级计算!$Q$136*LN(10))*(MAX((LN(10^(逐级计算!$Q$136/10)-1)+逐级计算!$Q$136*(EF44-逐级计算!$P$136)*LN(10)/10),0)+LN(1+EXP(-ABS((LN(10^(逐级计算!$Q$136/10)-1)+逐级计算!$Q$136*(EF44-逐级计算!$P$136)*LN(10)/10))))))),"")</f>
        <v>13.7930365740377</v>
      </c>
      <c r="EH44">
        <f>IF(AND(ISNUMBER(EG44),逐级计算!$X$137&gt;-1),IF(逐级计算!$X$137=0,EG44+逐级计算!$C$137,EG44+逐级计算!$C$137-(10/(逐级计算!$Q$137*LN(10))*(MAX((LN(10^(逐级计算!$Q$137/10)-1)+逐级计算!$Q$137*(EG44-逐级计算!$P$137)*LN(10)/10),0)+LN(1+EXP(-ABS((LN(10^(逐级计算!$Q$137/10)-1)+逐级计算!$Q$137*(EG44-逐级计算!$P$137)*LN(10)/10))))))),"")</f>
        <v>13.7930365740377</v>
      </c>
      <c r="EI44">
        <f>IF(AND(ISNUMBER(EH44),逐级计算!$X$138&gt;-1),IF(逐级计算!$X$138=0,EH44+逐级计算!$C$138,EH44+逐级计算!$C$138-(10/(逐级计算!$Q$138*LN(10))*(MAX((LN(10^(逐级计算!$Q$138/10)-1)+逐级计算!$Q$138*(EH44-逐级计算!$P$138)*LN(10)/10),0)+LN(1+EXP(-ABS((LN(10^(逐级计算!$Q$138/10)-1)+逐级计算!$Q$138*(EH44-逐级计算!$P$138)*LN(10)/10))))))),"")</f>
        <v>13.7930365740377</v>
      </c>
      <c r="EJ44">
        <f>IF(AND(ISNUMBER(EI44),逐级计算!$X$139&gt;-1),IF(逐级计算!$X$139=0,EI44+逐级计算!$C$139,EI44+逐级计算!$C$139-(10/(逐级计算!$Q$139*LN(10))*(MAX((LN(10^(逐级计算!$Q$139/10)-1)+逐级计算!$Q$139*(EI44-逐级计算!$P$139)*LN(10)/10),0)+LN(1+EXP(-ABS((LN(10^(逐级计算!$Q$139/10)-1)+逐级计算!$Q$139*(EI44-逐级计算!$P$139)*LN(10)/10))))))),"")</f>
        <v>13.7930365740377</v>
      </c>
      <c r="EK44">
        <f>IF(AND(ISNUMBER(EJ44),逐级计算!$X$140&gt;-1),IF(逐级计算!$X$140=0,EJ44+逐级计算!$C$140,EJ44+逐级计算!$C$140-(10/(逐级计算!$Q$140*LN(10))*(MAX((LN(10^(逐级计算!$Q$140/10)-1)+逐级计算!$Q$140*(EJ44-逐级计算!$P$140)*LN(10)/10),0)+LN(1+EXP(-ABS((LN(10^(逐级计算!$Q$140/10)-1)+逐级计算!$Q$140*(EJ44-逐级计算!$P$140)*LN(10)/10))))))),"")</f>
        <v>13.7930365740377</v>
      </c>
      <c r="EL44">
        <f>IF(AND(ISNUMBER(EK44),逐级计算!$X$141&gt;-1),IF(逐级计算!$X$141=0,EK44+逐级计算!$C$141,EK44+逐级计算!$C$141-(10/(逐级计算!$Q$141*LN(10))*(MAX((LN(10^(逐级计算!$Q$141/10)-1)+逐级计算!$Q$141*(EK44-逐级计算!$P$141)*LN(10)/10),0)+LN(1+EXP(-ABS((LN(10^(逐级计算!$Q$141/10)-1)+逐级计算!$Q$141*(EK44-逐级计算!$P$141)*LN(10)/10))))))),"")</f>
        <v>13.7930365740377</v>
      </c>
      <c r="EM44">
        <f>IF(AND(ISNUMBER(EL44),逐级计算!$X$142&gt;-1),IF(逐级计算!$X$142=0,EL44+逐级计算!$C$142,EL44+逐级计算!$C$142-(10/(逐级计算!$Q$142*LN(10))*(MAX((LN(10^(逐级计算!$Q$142/10)-1)+逐级计算!$Q$142*(EL44-逐级计算!$P$142)*LN(10)/10),0)+LN(1+EXP(-ABS((LN(10^(逐级计算!$Q$142/10)-1)+逐级计算!$Q$142*(EL44-逐级计算!$P$142)*LN(10)/10))))))),"")</f>
        <v>13.7930365740377</v>
      </c>
      <c r="EN44">
        <f>IF(AND(ISNUMBER(EM44),逐级计算!$X$143&gt;-1),IF(逐级计算!$X$143=0,EM44+逐级计算!$C$143,EM44+逐级计算!$C$143-(10/(逐级计算!$Q$143*LN(10))*(MAX((LN(10^(逐级计算!$Q$143/10)-1)+逐级计算!$Q$143*(EM44-逐级计算!$P$143)*LN(10)/10),0)+LN(1+EXP(-ABS((LN(10^(逐级计算!$Q$143/10)-1)+逐级计算!$Q$143*(EM44-逐级计算!$P$143)*LN(10)/10))))))),"")</f>
        <v>13.7930365740377</v>
      </c>
      <c r="EO44">
        <f>IF(AND(ISNUMBER(EN44),逐级计算!$X$144&gt;-1),IF(逐级计算!$X$144=0,EN44+逐级计算!$C$144,EN44+逐级计算!$C$144-(10/(逐级计算!$Q$144*LN(10))*(MAX((LN(10^(逐级计算!$Q$144/10)-1)+逐级计算!$Q$144*(EN44-逐级计算!$P$144)*LN(10)/10),0)+LN(1+EXP(-ABS((LN(10^(逐级计算!$Q$144/10)-1)+逐级计算!$Q$144*(EN44-逐级计算!$P$144)*LN(10)/10))))))),"")</f>
        <v>13.7930365740377</v>
      </c>
      <c r="EP44">
        <f>IF(AND(ISNUMBER(EO44),逐级计算!$X$145&gt;-1),IF(逐级计算!$X$145=0,EO44+逐级计算!$C$145,EO44+逐级计算!$C$145-(10/(逐级计算!$Q$145*LN(10))*(MAX((LN(10^(逐级计算!$Q$145/10)-1)+逐级计算!$Q$145*(EO44-逐级计算!$P$145)*LN(10)/10),0)+LN(1+EXP(-ABS((LN(10^(逐级计算!$Q$145/10)-1)+逐级计算!$Q$145*(EO44-逐级计算!$P$145)*LN(10)/10))))))),"")</f>
        <v>13.7930365740377</v>
      </c>
      <c r="EQ44">
        <f>IF(AND(ISNUMBER(EP44),逐级计算!$X$146&gt;-1),IF(逐级计算!$X$146=0,EP44+逐级计算!$C$146,EP44+逐级计算!$C$146-(10/(逐级计算!$Q$146*LN(10))*(MAX((LN(10^(逐级计算!$Q$146/10)-1)+逐级计算!$Q$146*(EP44-逐级计算!$P$146)*LN(10)/10),0)+LN(1+EXP(-ABS((LN(10^(逐级计算!$Q$146/10)-1)+逐级计算!$Q$146*(EP44-逐级计算!$P$146)*LN(10)/10))))))),"")</f>
        <v>13.7930365740377</v>
      </c>
      <c r="ER44">
        <f>IF(AND(ISNUMBER(EQ44),逐级计算!$X$147&gt;-1),IF(逐级计算!$X$147=0,EQ44+逐级计算!$C$147,EQ44+逐级计算!$C$147-(10/(逐级计算!$Q$147*LN(10))*(MAX((LN(10^(逐级计算!$Q$147/10)-1)+逐级计算!$Q$147*(EQ44-逐级计算!$P$147)*LN(10)/10),0)+LN(1+EXP(-ABS((LN(10^(逐级计算!$Q$147/10)-1)+逐级计算!$Q$147*(EQ44-逐级计算!$P$147)*LN(10)/10))))))),"")</f>
        <v>13.7930365740377</v>
      </c>
      <c r="ES44">
        <f>IF(AND(ISNUMBER(ER44),逐级计算!$X$148&gt;-1),IF(逐级计算!$X$148=0,ER44+逐级计算!$C$148,ER44+逐级计算!$C$148-(10/(逐级计算!$Q$148*LN(10))*(MAX((LN(10^(逐级计算!$Q$148/10)-1)+逐级计算!$Q$148*(ER44-逐级计算!$P$148)*LN(10)/10),0)+LN(1+EXP(-ABS((LN(10^(逐级计算!$Q$148/10)-1)+逐级计算!$Q$148*(ER44-逐级计算!$P$148)*LN(10)/10))))))),"")</f>
        <v>13.7930365740377</v>
      </c>
      <c r="ET44">
        <f>IF(AND(ISNUMBER(ES44),逐级计算!$X$149&gt;-1),IF(逐级计算!$X$149=0,ES44+逐级计算!$C$149,ES44+逐级计算!$C$149-(10/(逐级计算!$Q$149*LN(10))*(MAX((LN(10^(逐级计算!$Q$149/10)-1)+逐级计算!$Q$149*(ES44-逐级计算!$P$149)*LN(10)/10),0)+LN(1+EXP(-ABS((LN(10^(逐级计算!$Q$149/10)-1)+逐级计算!$Q$149*(ES44-逐级计算!$P$149)*LN(10)/10))))))),"")</f>
        <v>13.7930365740377</v>
      </c>
      <c r="EU44">
        <f>IF(AND(ISNUMBER(ET44),逐级计算!$X$150&gt;-1),IF(逐级计算!$X$150=0,ET44+逐级计算!$C$150,ET44+逐级计算!$C$150-(10/(逐级计算!$Q$150*LN(10))*(MAX((LN(10^(逐级计算!$Q$150/10)-1)+逐级计算!$Q$150*(ET44-逐级计算!$P$150)*LN(10)/10),0)+LN(1+EXP(-ABS((LN(10^(逐级计算!$Q$150/10)-1)+逐级计算!$Q$150*(ET44-逐级计算!$P$150)*LN(10)/10))))))),"")</f>
        <v>13.7930365740377</v>
      </c>
      <c r="EV44">
        <f>IF(AND(ISNUMBER(EU44),逐级计算!$X$151&gt;-1),IF(逐级计算!$X$151=0,EU44+逐级计算!$C$151,EU44+逐级计算!$C$151-(10/(逐级计算!$Q$151*LN(10))*(MAX((LN(10^(逐级计算!$Q$151/10)-1)+逐级计算!$Q$151*(EU44-逐级计算!$P$151)*LN(10)/10),0)+LN(1+EXP(-ABS((LN(10^(逐级计算!$Q$151/10)-1)+逐级计算!$Q$151*(EU44-逐级计算!$P$151)*LN(10)/10))))))),"")</f>
        <v>13.7930365740377</v>
      </c>
      <c r="EW44">
        <f>IF(AND(ISNUMBER(EV44),逐级计算!$X$152&gt;-1),IF(逐级计算!$X$152=0,EV44+逐级计算!$C$152,EV44+逐级计算!$C$152-(10/(逐级计算!$Q$152*LN(10))*(MAX((LN(10^(逐级计算!$Q$152/10)-1)+逐级计算!$Q$152*(EV44-逐级计算!$P$152)*LN(10)/10),0)+LN(1+EXP(-ABS((LN(10^(逐级计算!$Q$152/10)-1)+逐级计算!$Q$152*(EV44-逐级计算!$P$152)*LN(10)/10))))))),"")</f>
        <v>13.7930365740377</v>
      </c>
      <c r="EX44">
        <f>IF(AND(ISNUMBER(EW44),逐级计算!$X$153&gt;-1),IF(逐级计算!$X$153=0,EW44+逐级计算!$C$153,EW44+逐级计算!$C$153-(10/(逐级计算!$Q$153*LN(10))*(MAX((LN(10^(逐级计算!$Q$153/10)-1)+逐级计算!$Q$153*(EW44-逐级计算!$P$153)*LN(10)/10),0)+LN(1+EXP(-ABS((LN(10^(逐级计算!$Q$153/10)-1)+逐级计算!$Q$153*(EW44-逐级计算!$P$153)*LN(10)/10))))))),"")</f>
        <v>13.7930365740377</v>
      </c>
      <c r="EY44">
        <f>IF(AND(ISNUMBER(EX44),逐级计算!$X$154&gt;-1),IF(逐级计算!$X$154=0,EX44+逐级计算!$C$154,EX44+逐级计算!$C$154-(10/(逐级计算!$Q$154*LN(10))*(MAX((LN(10^(逐级计算!$Q$154/10)-1)+逐级计算!$Q$154*(EX44-逐级计算!$P$154)*LN(10)/10),0)+LN(1+EXP(-ABS((LN(10^(逐级计算!$Q$154/10)-1)+逐级计算!$Q$154*(EX44-逐级计算!$P$154)*LN(10)/10))))))),"")</f>
        <v>13.7930365740377</v>
      </c>
      <c r="EZ44">
        <f>IF(AND(ISNUMBER(EY44),逐级计算!$X$155&gt;-1),IF(逐级计算!$X$155=0,EY44+逐级计算!$C$155,EY44+逐级计算!$C$155-(10/(逐级计算!$Q$155*LN(10))*(MAX((LN(10^(逐级计算!$Q$155/10)-1)+逐级计算!$Q$155*(EY44-逐级计算!$P$155)*LN(10)/10),0)+LN(1+EXP(-ABS((LN(10^(逐级计算!$Q$155/10)-1)+逐级计算!$Q$155*(EY44-逐级计算!$P$155)*LN(10)/10))))))),"")</f>
        <v>13.7930365740377</v>
      </c>
      <c r="FA44">
        <f>IF(AND(ISNUMBER(EZ44),逐级计算!$X$156&gt;-1),IF(逐级计算!$X$156=0,EZ44+逐级计算!$C$156,EZ44+逐级计算!$C$156-(10/(逐级计算!$Q$156*LN(10))*(MAX((LN(10^(逐级计算!$Q$156/10)-1)+逐级计算!$Q$156*(EZ44-逐级计算!$P$156)*LN(10)/10),0)+LN(1+EXP(-ABS((LN(10^(逐级计算!$Q$156/10)-1)+逐级计算!$Q$156*(EZ44-逐级计算!$P$156)*LN(10)/10))))))),"")</f>
        <v>13.7930365740377</v>
      </c>
      <c r="FB44">
        <f>IF(AND(ISNUMBER(FA44),逐级计算!$X$157&gt;-1),IF(逐级计算!$X$157=0,FA44+逐级计算!$C$157,FA44+逐级计算!$C$157-(10/(逐级计算!$Q$157*LN(10))*(MAX((LN(10^(逐级计算!$Q$157/10)-1)+逐级计算!$Q$157*(FA44-逐级计算!$P$157)*LN(10)/10),0)+LN(1+EXP(-ABS((LN(10^(逐级计算!$Q$157/10)-1)+逐级计算!$Q$157*(FA44-逐级计算!$P$157)*LN(10)/10))))))),"")</f>
        <v>13.7930365740377</v>
      </c>
      <c r="FC44">
        <f>IF(AND(ISNUMBER(FB44),逐级计算!$X$158&gt;-1),IF(逐级计算!$X$158=0,FB44+逐级计算!$C$158,FB44+逐级计算!$C$158-(10/(逐级计算!$Q$158*LN(10))*(MAX((LN(10^(逐级计算!$Q$158/10)-1)+逐级计算!$Q$158*(FB44-逐级计算!$P$158)*LN(10)/10),0)+LN(1+EXP(-ABS((LN(10^(逐级计算!$Q$158/10)-1)+逐级计算!$Q$158*(FB44-逐级计算!$P$158)*LN(10)/10))))))),"")</f>
        <v>13.7930365740377</v>
      </c>
      <c r="FD44">
        <f>IF(AND(ISNUMBER(FC44),逐级计算!$X$159&gt;-1),IF(逐级计算!$X$159=0,FC44+逐级计算!$C$159,FC44+逐级计算!$C$159-(10/(逐级计算!$Q$159*LN(10))*(MAX((LN(10^(逐级计算!$Q$159/10)-1)+逐级计算!$Q$159*(FC44-逐级计算!$P$159)*LN(10)/10),0)+LN(1+EXP(-ABS((LN(10^(逐级计算!$Q$159/10)-1)+逐级计算!$Q$159*(FC44-逐级计算!$P$159)*LN(10)/10))))))),"")</f>
        <v>13.7930365740377</v>
      </c>
      <c r="FE44">
        <f>IF(AND(ISNUMBER(FD44),逐级计算!$X$160&gt;-1),IF(逐级计算!$X$160=0,FD44+逐级计算!$C$160,FD44+逐级计算!$C$160-(10/(逐级计算!$Q$160*LN(10))*(MAX((LN(10^(逐级计算!$Q$160/10)-1)+逐级计算!$Q$160*(FD44-逐级计算!$P$160)*LN(10)/10),0)+LN(1+EXP(-ABS((LN(10^(逐级计算!$Q$160/10)-1)+逐级计算!$Q$160*(FD44-逐级计算!$P$160)*LN(10)/10))))))),"")</f>
        <v>13.7930365740377</v>
      </c>
      <c r="FF44">
        <f>IF(AND(ISNUMBER(FE44),逐级计算!$X$161&gt;-1),IF(逐级计算!$X$161=0,FE44+逐级计算!$C$161,FE44+逐级计算!$C$161-(10/(逐级计算!$Q$161*LN(10))*(MAX((LN(10^(逐级计算!$Q$161/10)-1)+逐级计算!$Q$161*(FE44-逐级计算!$P$161)*LN(10)/10),0)+LN(1+EXP(-ABS((LN(10^(逐级计算!$Q$161/10)-1)+逐级计算!$Q$161*(FE44-逐级计算!$P$161)*LN(10)/10))))))),"")</f>
        <v>13.7930365740377</v>
      </c>
      <c r="FG44">
        <f>IF(AND(ISNUMBER(FF44),逐级计算!$X$162&gt;-1),IF(逐级计算!$X$162=0,FF44+逐级计算!$C$162,FF44+逐级计算!$C$162-(10/(逐级计算!$Q$162*LN(10))*(MAX((LN(10^(逐级计算!$Q$162/10)-1)+逐级计算!$Q$162*(FF44-逐级计算!$P$162)*LN(10)/10),0)+LN(1+EXP(-ABS((LN(10^(逐级计算!$Q$162/10)-1)+逐级计算!$Q$162*(FF44-逐级计算!$P$162)*LN(10)/10))))))),"")</f>
        <v>13.7930365740377</v>
      </c>
      <c r="FH44">
        <f>IF(AND(ISNUMBER(FG44),逐级计算!$X$163&gt;-1),IF(逐级计算!$X$163=0,FG44+逐级计算!$C$163,FG44+逐级计算!$C$163-(10/(逐级计算!$Q$163*LN(10))*(MAX((LN(10^(逐级计算!$Q$163/10)-1)+逐级计算!$Q$163*(FG44-逐级计算!$P$163)*LN(10)/10),0)+LN(1+EXP(-ABS((LN(10^(逐级计算!$Q$163/10)-1)+逐级计算!$Q$163*(FG44-逐级计算!$P$163)*LN(10)/10))))))),"")</f>
        <v>13.7930365740377</v>
      </c>
      <c r="FI44">
        <f>IF(AND(ISNUMBER(FH44),逐级计算!$X$164&gt;-1),IF(逐级计算!$X$164=0,FH44+逐级计算!$C$164,FH44+逐级计算!$C$164-(10/(逐级计算!$Q$164*LN(10))*(MAX((LN(10^(逐级计算!$Q$164/10)-1)+逐级计算!$Q$164*(FH44-逐级计算!$P$164)*LN(10)/10),0)+LN(1+EXP(-ABS((LN(10^(逐级计算!$Q$164/10)-1)+逐级计算!$Q$164*(FH44-逐级计算!$P$164)*LN(10)/10))))))),"")</f>
        <v>13.7930365740377</v>
      </c>
      <c r="FJ44">
        <f>IF(AND(ISNUMBER(FI44),逐级计算!$X$165&gt;-1),IF(逐级计算!$X$165=0,FI44+逐级计算!$C$165,FI44+逐级计算!$C$165-(10/(逐级计算!$Q$165*LN(10))*(MAX((LN(10^(逐级计算!$Q$165/10)-1)+逐级计算!$Q$165*(FI44-逐级计算!$P$165)*LN(10)/10),0)+LN(1+EXP(-ABS((LN(10^(逐级计算!$Q$165/10)-1)+逐级计算!$Q$165*(FI44-逐级计算!$P$165)*LN(10)/10))))))),"")</f>
        <v>13.7930365740377</v>
      </c>
      <c r="FK44">
        <f>IF(AND(ISNUMBER(FJ44),逐级计算!$X$166&gt;-1),IF(逐级计算!$X$166=0,FJ44+逐级计算!$C$166,FJ44+逐级计算!$C$166-(10/(逐级计算!$Q$166*LN(10))*(MAX((LN(10^(逐级计算!$Q$166/10)-1)+逐级计算!$Q$166*(FJ44-逐级计算!$P$166)*LN(10)/10),0)+LN(1+EXP(-ABS((LN(10^(逐级计算!$Q$166/10)-1)+逐级计算!$Q$166*(FJ44-逐级计算!$P$166)*LN(10)/10))))))),"")</f>
        <v>13.7930365740377</v>
      </c>
      <c r="FL44">
        <f>IF(AND(ISNUMBER(FK44),逐级计算!$X$167&gt;-1),IF(逐级计算!$X$167=0,FK44+逐级计算!$C$167,FK44+逐级计算!$C$167-(10/(逐级计算!$Q$167*LN(10))*(MAX((LN(10^(逐级计算!$Q$167/10)-1)+逐级计算!$Q$167*(FK44-逐级计算!$P$167)*LN(10)/10),0)+LN(1+EXP(-ABS((LN(10^(逐级计算!$Q$167/10)-1)+逐级计算!$Q$167*(FK44-逐级计算!$P$167)*LN(10)/10))))))),"")</f>
        <v>13.7930365740377</v>
      </c>
      <c r="FM44">
        <f>IF(AND(ISNUMBER(FL44),逐级计算!$X$168&gt;-1),IF(逐级计算!$X$168=0,FL44+逐级计算!$C$168,FL44+逐级计算!$C$168-(10/(逐级计算!$Q$168*LN(10))*(MAX((LN(10^(逐级计算!$Q$168/10)-1)+逐级计算!$Q$168*(FL44-逐级计算!$P$168)*LN(10)/10),0)+LN(1+EXP(-ABS((LN(10^(逐级计算!$Q$168/10)-1)+逐级计算!$Q$168*(FL44-逐级计算!$P$168)*LN(10)/10))))))),"")</f>
        <v>13.7930365740377</v>
      </c>
      <c r="FN44">
        <f>IF(AND(ISNUMBER(FM44),逐级计算!$X$169&gt;-1),IF(逐级计算!$X$169=0,FM44+逐级计算!$C$169,FM44+逐级计算!$C$169-(10/(逐级计算!$Q$169*LN(10))*(MAX((LN(10^(逐级计算!$Q$169/10)-1)+逐级计算!$Q$169*(FM44-逐级计算!$P$169)*LN(10)/10),0)+LN(1+EXP(-ABS((LN(10^(逐级计算!$Q$169/10)-1)+逐级计算!$Q$169*(FM44-逐级计算!$P$169)*LN(10)/10))))))),"")</f>
        <v>13.7930365740377</v>
      </c>
      <c r="FO44">
        <f>IF(AND(ISNUMBER(FN44),逐级计算!$X$170&gt;-1),IF(逐级计算!$X$170=0,FN44+逐级计算!$C$170,FN44+逐级计算!$C$170-(10/(逐级计算!$Q$170*LN(10))*(MAX((LN(10^(逐级计算!$Q$170/10)-1)+逐级计算!$Q$170*(FN44-逐级计算!$P$170)*LN(10)/10),0)+LN(1+EXP(-ABS((LN(10^(逐级计算!$Q$170/10)-1)+逐级计算!$Q$170*(FN44-逐级计算!$P$170)*LN(10)/10))))))),"")</f>
        <v>13.7930365740377</v>
      </c>
      <c r="FP44">
        <f>IF(AND(ISNUMBER(FO44),逐级计算!$X$171&gt;-1),IF(逐级计算!$X$171=0,FO44+逐级计算!$C$171,FO44+逐级计算!$C$171-(10/(逐级计算!$Q$171*LN(10))*(MAX((LN(10^(逐级计算!$Q$171/10)-1)+逐级计算!$Q$171*(FO44-逐级计算!$P$171)*LN(10)/10),0)+LN(1+EXP(-ABS((LN(10^(逐级计算!$Q$171/10)-1)+逐级计算!$Q$171*(FO44-逐级计算!$P$171)*LN(10)/10))))))),"")</f>
        <v>13.7930365740377</v>
      </c>
      <c r="FQ44">
        <f>IF(AND(ISNUMBER(FP44),逐级计算!$X$172&gt;-1),IF(逐级计算!$X$172=0,FP44+逐级计算!$C$172,FP44+逐级计算!$C$172-(10/(逐级计算!$Q$172*LN(10))*(MAX((LN(10^(逐级计算!$Q$172/10)-1)+逐级计算!$Q$172*(FP44-逐级计算!$P$172)*LN(10)/10),0)+LN(1+EXP(-ABS((LN(10^(逐级计算!$Q$172/10)-1)+逐级计算!$Q$172*(FP44-逐级计算!$P$172)*LN(10)/10))))))),"")</f>
        <v>13.7930365740377</v>
      </c>
      <c r="FR44">
        <f>IF(AND(ISNUMBER(FQ44),逐级计算!$X$173&gt;-1),IF(逐级计算!$X$173=0,FQ44+逐级计算!$C$173,FQ44+逐级计算!$C$173-(10/(逐级计算!$Q$173*LN(10))*(MAX((LN(10^(逐级计算!$Q$173/10)-1)+逐级计算!$Q$173*(FQ44-逐级计算!$P$173)*LN(10)/10),0)+LN(1+EXP(-ABS((LN(10^(逐级计算!$Q$173/10)-1)+逐级计算!$Q$173*(FQ44-逐级计算!$P$173)*LN(10)/10))))))),"")</f>
        <v>13.7930365740377</v>
      </c>
      <c r="FS44">
        <f>IF(AND(ISNUMBER(FR44),逐级计算!$X$174&gt;-1),IF(逐级计算!$X$174=0,FR44+逐级计算!$C$174,FR44+逐级计算!$C$174-(10/(逐级计算!$Q$174*LN(10))*(MAX((LN(10^(逐级计算!$Q$174/10)-1)+逐级计算!$Q$174*(FR44-逐级计算!$P$174)*LN(10)/10),0)+LN(1+EXP(-ABS((LN(10^(逐级计算!$Q$174/10)-1)+逐级计算!$Q$174*(FR44-逐级计算!$P$174)*LN(10)/10))))))),"")</f>
        <v>13.7930365740377</v>
      </c>
      <c r="FT44">
        <f>IF(AND(ISNUMBER(FS44),逐级计算!$X$175&gt;-1),IF(逐级计算!$X$175=0,FS44+逐级计算!$C$175,FS44+逐级计算!$C$175-(10/(逐级计算!$Q$175*LN(10))*(MAX((LN(10^(逐级计算!$Q$175/10)-1)+逐级计算!$Q$175*(FS44-逐级计算!$P$175)*LN(10)/10),0)+LN(1+EXP(-ABS((LN(10^(逐级计算!$Q$175/10)-1)+逐级计算!$Q$175*(FS44-逐级计算!$P$175)*LN(10)/10))))))),"")</f>
        <v>13.7930365740377</v>
      </c>
      <c r="FU44">
        <f>IF(AND(ISNUMBER(FT44),逐级计算!$X$176&gt;-1),IF(逐级计算!$X$176=0,FT44+逐级计算!$C$176,FT44+逐级计算!$C$176-(10/(逐级计算!$Q$176*LN(10))*(MAX((LN(10^(逐级计算!$Q$176/10)-1)+逐级计算!$Q$176*(FT44-逐级计算!$P$176)*LN(10)/10),0)+LN(1+EXP(-ABS((LN(10^(逐级计算!$Q$176/10)-1)+逐级计算!$Q$176*(FT44-逐级计算!$P$176)*LN(10)/10))))))),"")</f>
        <v>13.7930365740377</v>
      </c>
      <c r="FV44">
        <f>IF(AND(ISNUMBER(FU44),逐级计算!$X$177&gt;-1),IF(逐级计算!$X$177=0,FU44+逐级计算!$C$177,FU44+逐级计算!$C$177-(10/(逐级计算!$Q$177*LN(10))*(MAX((LN(10^(逐级计算!$Q$177/10)-1)+逐级计算!$Q$177*(FU44-逐级计算!$P$177)*LN(10)/10),0)+LN(1+EXP(-ABS((LN(10^(逐级计算!$Q$177/10)-1)+逐级计算!$Q$177*(FU44-逐级计算!$P$177)*LN(10)/10))))))),"")</f>
        <v>13.7930365740377</v>
      </c>
      <c r="FW44">
        <f>IF(AND(ISNUMBER(FV44),逐级计算!$X$178&gt;-1),IF(逐级计算!$X$178=0,FV44+逐级计算!$C$178,FV44+逐级计算!$C$178-(10/(逐级计算!$Q$178*LN(10))*(MAX((LN(10^(逐级计算!$Q$178/10)-1)+逐级计算!$Q$178*(FV44-逐级计算!$P$178)*LN(10)/10),0)+LN(1+EXP(-ABS((LN(10^(逐级计算!$Q$178/10)-1)+逐级计算!$Q$178*(FV44-逐级计算!$P$178)*LN(10)/10))))))),"")</f>
        <v>13.7930365740377</v>
      </c>
      <c r="FX44">
        <f>IF(AND(ISNUMBER(FW44),逐级计算!$X$179&gt;-1),IF(逐级计算!$X$179=0,FW44+逐级计算!$C$179,FW44+逐级计算!$C$179-(10/(逐级计算!$Q$179*LN(10))*(MAX((LN(10^(逐级计算!$Q$179/10)-1)+逐级计算!$Q$179*(FW44-逐级计算!$P$179)*LN(10)/10),0)+LN(1+EXP(-ABS((LN(10^(逐级计算!$Q$179/10)-1)+逐级计算!$Q$179*(FW44-逐级计算!$P$179)*LN(10)/10))))))),"")</f>
        <v>13.7930365740377</v>
      </c>
      <c r="FY44">
        <f>IF(AND(ISNUMBER(FX44),逐级计算!$X$180&gt;-1),IF(逐级计算!$X$180=0,FX44+逐级计算!$C$180,FX44+逐级计算!$C$180-(10/(逐级计算!$Q$180*LN(10))*(MAX((LN(10^(逐级计算!$Q$180/10)-1)+逐级计算!$Q$180*(FX44-逐级计算!$P$180)*LN(10)/10),0)+LN(1+EXP(-ABS((LN(10^(逐级计算!$Q$180/10)-1)+逐级计算!$Q$180*(FX44-逐级计算!$P$180)*LN(10)/10))))))),"")</f>
        <v>13.7930365740377</v>
      </c>
      <c r="FZ44">
        <f>IF(AND(ISNUMBER(FY44),逐级计算!$X$181&gt;-1),IF(逐级计算!$X$181=0,FY44+逐级计算!$C$181,FY44+逐级计算!$C$181-(10/(逐级计算!$Q$181*LN(10))*(MAX((LN(10^(逐级计算!$Q$181/10)-1)+逐级计算!$Q$181*(FY44-逐级计算!$P$181)*LN(10)/10),0)+LN(1+EXP(-ABS((LN(10^(逐级计算!$Q$181/10)-1)+逐级计算!$Q$181*(FY44-逐级计算!$P$181)*LN(10)/10))))))),"")</f>
        <v>13.7930365740377</v>
      </c>
      <c r="GA44">
        <f>IF(AND(ISNUMBER(FZ44),逐级计算!$X$182&gt;-1),IF(逐级计算!$X$182=0,FZ44+逐级计算!$C$182,FZ44+逐级计算!$C$182-(10/(逐级计算!$Q$182*LN(10))*(MAX((LN(10^(逐级计算!$Q$182/10)-1)+逐级计算!$Q$182*(FZ44-逐级计算!$P$182)*LN(10)/10),0)+LN(1+EXP(-ABS((LN(10^(逐级计算!$Q$182/10)-1)+逐级计算!$Q$182*(FZ44-逐级计算!$P$182)*LN(10)/10))))))),"")</f>
        <v>13.7930365740377</v>
      </c>
      <c r="GB44">
        <f>IF(AND(ISNUMBER(GA44),逐级计算!$X$183&gt;-1),IF(逐级计算!$X$183=0,GA44+逐级计算!$C$183,GA44+逐级计算!$C$183-(10/(逐级计算!$Q$183*LN(10))*(MAX((LN(10^(逐级计算!$Q$183/10)-1)+逐级计算!$Q$183*(GA44-逐级计算!$P$183)*LN(10)/10),0)+LN(1+EXP(-ABS((LN(10^(逐级计算!$Q$183/10)-1)+逐级计算!$Q$183*(GA44-逐级计算!$P$183)*LN(10)/10))))))),"")</f>
        <v>13.7930365740377</v>
      </c>
      <c r="GC44">
        <f>IF(AND(ISNUMBER(GB44),逐级计算!$X$184&gt;-1),IF(逐级计算!$X$184=0,GB44+逐级计算!$C$184,GB44+逐级计算!$C$184-(10/(逐级计算!$Q$184*LN(10))*(MAX((LN(10^(逐级计算!$Q$184/10)-1)+逐级计算!$Q$184*(GB44-逐级计算!$P$184)*LN(10)/10),0)+LN(1+EXP(-ABS((LN(10^(逐级计算!$Q$184/10)-1)+逐级计算!$Q$184*(GB44-逐级计算!$P$184)*LN(10)/10))))))),"")</f>
        <v>13.7930365740377</v>
      </c>
      <c r="GD44">
        <f>IF(AND(ISNUMBER(GC44),逐级计算!$X$185&gt;-1),IF(逐级计算!$X$185=0,GC44+逐级计算!$C$185,GC44+逐级计算!$C$185-(10/(逐级计算!$Q$185*LN(10))*(MAX((LN(10^(逐级计算!$Q$185/10)-1)+逐级计算!$Q$185*(GC44-逐级计算!$P$185)*LN(10)/10),0)+LN(1+EXP(-ABS((LN(10^(逐级计算!$Q$185/10)-1)+逐级计算!$Q$185*(GC44-逐级计算!$P$185)*LN(10)/10))))))),"")</f>
        <v>13.7930365740377</v>
      </c>
      <c r="GE44">
        <f>IF(AND(ISNUMBER(GD44),逐级计算!$X$186&gt;-1),IF(逐级计算!$X$186=0,GD44+逐级计算!$C$186,GD44+逐级计算!$C$186-(10/(逐级计算!$Q$186*LN(10))*(MAX((LN(10^(逐级计算!$Q$186/10)-1)+逐级计算!$Q$186*(GD44-逐级计算!$P$186)*LN(10)/10),0)+LN(1+EXP(-ABS((LN(10^(逐级计算!$Q$186/10)-1)+逐级计算!$Q$186*(GD44-逐级计算!$P$186)*LN(10)/10))))))),"")</f>
        <v>13.7930365740377</v>
      </c>
      <c r="GF44">
        <f>IF(AND(ISNUMBER(GE44),逐级计算!$X$187&gt;-1),IF(逐级计算!$X$187=0,GE44+逐级计算!$C$187,GE44+逐级计算!$C$187-(10/(逐级计算!$Q$187*LN(10))*(MAX((LN(10^(逐级计算!$Q$187/10)-1)+逐级计算!$Q$187*(GE44-逐级计算!$P$187)*LN(10)/10),0)+LN(1+EXP(-ABS((LN(10^(逐级计算!$Q$187/10)-1)+逐级计算!$Q$187*(GE44-逐级计算!$P$187)*LN(10)/10))))))),"")</f>
        <v>13.7930365740377</v>
      </c>
      <c r="GG44">
        <f>IF(AND(ISNUMBER(GF44),逐级计算!$X$188&gt;-1),IF(逐级计算!$X$188=0,GF44+逐级计算!$C$188,GF44+逐级计算!$C$188-(10/(逐级计算!$Q$188*LN(10))*(MAX((LN(10^(逐级计算!$Q$188/10)-1)+逐级计算!$Q$188*(GF44-逐级计算!$P$188)*LN(10)/10),0)+LN(1+EXP(-ABS((LN(10^(逐级计算!$Q$188/10)-1)+逐级计算!$Q$188*(GF44-逐级计算!$P$188)*LN(10)/10))))))),"")</f>
        <v>13.7930365740377</v>
      </c>
      <c r="GH44">
        <f>IF(AND(ISNUMBER(GG44),逐级计算!$X$189&gt;-1),IF(逐级计算!$X$189=0,GG44+逐级计算!$C$189,GG44+逐级计算!$C$189-(10/(逐级计算!$Q$189*LN(10))*(MAX((LN(10^(逐级计算!$Q$189/10)-1)+逐级计算!$Q$189*(GG44-逐级计算!$P$189)*LN(10)/10),0)+LN(1+EXP(-ABS((LN(10^(逐级计算!$Q$189/10)-1)+逐级计算!$Q$189*(GG44-逐级计算!$P$189)*LN(10)/10))))))),"")</f>
        <v>13.7930365740377</v>
      </c>
      <c r="GI44">
        <f>IF(AND(ISNUMBER(GH44),逐级计算!$X$190&gt;-1),IF(逐级计算!$X$190=0,GH44+逐级计算!$C$190,GH44+逐级计算!$C$190-(10/(逐级计算!$Q$190*LN(10))*(MAX((LN(10^(逐级计算!$Q$190/10)-1)+逐级计算!$Q$190*(GH44-逐级计算!$P$190)*LN(10)/10),0)+LN(1+EXP(-ABS((LN(10^(逐级计算!$Q$190/10)-1)+逐级计算!$Q$190*(GH44-逐级计算!$P$190)*LN(10)/10))))))),"")</f>
        <v>13.7930365740377</v>
      </c>
      <c r="GJ44">
        <f>IF(AND(ISNUMBER(GI44),逐级计算!$X$191&gt;-1),IF(逐级计算!$X$191=0,GI44+逐级计算!$C$191,GI44+逐级计算!$C$191-(10/(逐级计算!$Q$191*LN(10))*(MAX((LN(10^(逐级计算!$Q$191/10)-1)+逐级计算!$Q$191*(GI44-逐级计算!$P$191)*LN(10)/10),0)+LN(1+EXP(-ABS((LN(10^(逐级计算!$Q$191/10)-1)+逐级计算!$Q$191*(GI44-逐级计算!$P$191)*LN(10)/10))))))),"")</f>
        <v>13.7930365740377</v>
      </c>
      <c r="GK44">
        <f>IF(AND(ISNUMBER(GJ44),逐级计算!$X$192&gt;-1),IF(逐级计算!$X$192=0,GJ44+逐级计算!$C$192,GJ44+逐级计算!$C$192-(10/(逐级计算!$Q$192*LN(10))*(MAX((LN(10^(逐级计算!$Q$192/10)-1)+逐级计算!$Q$192*(GJ44-逐级计算!$P$192)*LN(10)/10),0)+LN(1+EXP(-ABS((LN(10^(逐级计算!$Q$192/10)-1)+逐级计算!$Q$192*(GJ44-逐级计算!$P$192)*LN(10)/10))))))),"")</f>
        <v>13.7930365740377</v>
      </c>
      <c r="GL44">
        <f>IF(AND(ISNUMBER(GK44),逐级计算!$X$193&gt;-1),IF(逐级计算!$X$193=0,GK44+逐级计算!$C$193,GK44+逐级计算!$C$193-(10/(逐级计算!$Q$193*LN(10))*(MAX((LN(10^(逐级计算!$Q$193/10)-1)+逐级计算!$Q$193*(GK44-逐级计算!$P$193)*LN(10)/10),0)+LN(1+EXP(-ABS((LN(10^(逐级计算!$Q$193/10)-1)+逐级计算!$Q$193*(GK44-逐级计算!$P$193)*LN(10)/10))))))),"")</f>
        <v>13.7930365740377</v>
      </c>
      <c r="GM44">
        <f>IF(AND(ISNUMBER(GL44),逐级计算!$X$194&gt;-1),IF(逐级计算!$X$194=0,GL44+逐级计算!$C$194,GL44+逐级计算!$C$194-(10/(逐级计算!$Q$194*LN(10))*(MAX((LN(10^(逐级计算!$Q$194/10)-1)+逐级计算!$Q$194*(GL44-逐级计算!$P$194)*LN(10)/10),0)+LN(1+EXP(-ABS((LN(10^(逐级计算!$Q$194/10)-1)+逐级计算!$Q$194*(GL44-逐级计算!$P$194)*LN(10)/10))))))),"")</f>
        <v>13.7930365740377</v>
      </c>
      <c r="GN44">
        <f>IF(AND(ISNUMBER(GM44),逐级计算!$X$195&gt;-1),IF(逐级计算!$X$195=0,GM44+逐级计算!$C$195,GM44+逐级计算!$C$195-(10/(逐级计算!$Q$195*LN(10))*(MAX((LN(10^(逐级计算!$Q$195/10)-1)+逐级计算!$Q$195*(GM44-逐级计算!$P$195)*LN(10)/10),0)+LN(1+EXP(-ABS((LN(10^(逐级计算!$Q$195/10)-1)+逐级计算!$Q$195*(GM44-逐级计算!$P$195)*LN(10)/10))))))),"")</f>
        <v>13.7930365740377</v>
      </c>
      <c r="GO44">
        <f>IF(AND(ISNUMBER(GN44),逐级计算!$X$196&gt;-1),IF(逐级计算!$X$196=0,GN44+逐级计算!$C$196,GN44+逐级计算!$C$196-(10/(逐级计算!$Q$196*LN(10))*(MAX((LN(10^(逐级计算!$Q$196/10)-1)+逐级计算!$Q$196*(GN44-逐级计算!$P$196)*LN(10)/10),0)+LN(1+EXP(-ABS((LN(10^(逐级计算!$Q$196/10)-1)+逐级计算!$Q$196*(GN44-逐级计算!$P$196)*LN(10)/10))))))),"")</f>
        <v>13.7930365740377</v>
      </c>
      <c r="GP44">
        <f>IF(AND(ISNUMBER(GO44),逐级计算!$X$197&gt;-1),IF(逐级计算!$X$197=0,GO44+逐级计算!$C$197,GO44+逐级计算!$C$197-(10/(逐级计算!$Q$197*LN(10))*(MAX((LN(10^(逐级计算!$Q$197/10)-1)+逐级计算!$Q$197*(GO44-逐级计算!$P$197)*LN(10)/10),0)+LN(1+EXP(-ABS((LN(10^(逐级计算!$Q$197/10)-1)+逐级计算!$Q$197*(GO44-逐级计算!$P$197)*LN(10)/10))))))),"")</f>
        <v>13.7930365740377</v>
      </c>
      <c r="GQ44">
        <f>IF(AND(ISNUMBER(GP44),逐级计算!$X$198&gt;-1),IF(逐级计算!$X$198=0,GP44+逐级计算!$C$198,GP44+逐级计算!$C$198-(10/(逐级计算!$Q$198*LN(10))*(MAX((LN(10^(逐级计算!$Q$198/10)-1)+逐级计算!$Q$198*(GP44-逐级计算!$P$198)*LN(10)/10),0)+LN(1+EXP(-ABS((LN(10^(逐级计算!$Q$198/10)-1)+逐级计算!$Q$198*(GP44-逐级计算!$P$198)*LN(10)/10))))))),"")</f>
        <v>13.7930365740377</v>
      </c>
      <c r="GR44">
        <f>IF(AND(ISNUMBER(GQ44),逐级计算!$X$199&gt;-1),IF(逐级计算!$X$199=0,GQ44+逐级计算!$C$199,GQ44+逐级计算!$C$199-(10/(逐级计算!$Q$199*LN(10))*(MAX((LN(10^(逐级计算!$Q$199/10)-1)+逐级计算!$Q$199*(GQ44-逐级计算!$P$199)*LN(10)/10),0)+LN(1+EXP(-ABS((LN(10^(逐级计算!$Q$199/10)-1)+逐级计算!$Q$199*(GQ44-逐级计算!$P$199)*LN(10)/10))))))),"")</f>
        <v>13.7930365740377</v>
      </c>
      <c r="GS44">
        <f>IF(AND(ISNUMBER(GR44),逐级计算!$X$200&gt;-1),IF(逐级计算!$X$200=0,GR44+逐级计算!$C$200,GR44+逐级计算!$C$200-(10/(逐级计算!$Q$200*LN(10))*(MAX((LN(10^(逐级计算!$Q$200/10)-1)+逐级计算!$Q$200*(GR44-逐级计算!$P$200)*LN(10)/10),0)+LN(1+EXP(-ABS((LN(10^(逐级计算!$Q$200/10)-1)+逐级计算!$Q$200*(GR44-逐级计算!$P$200)*LN(10)/10))))))),"")</f>
        <v>13.7930365740377</v>
      </c>
      <c r="GT44">
        <f>IF(AND(ISNUMBER(GS44),逐级计算!$X$201&gt;-1),IF(逐级计算!$X$201=0,GS44+逐级计算!$C$201,GS44+逐级计算!$C$201-(10/(逐级计算!$Q$201*LN(10))*(MAX((LN(10^(逐级计算!$Q$201/10)-1)+逐级计算!$Q$201*(GS44-逐级计算!$P$201)*LN(10)/10),0)+LN(1+EXP(-ABS((LN(10^(逐级计算!$Q$201/10)-1)+逐级计算!$Q$201*(GS44-逐级计算!$P$201)*LN(10)/10))))))),"")</f>
        <v>13.7930365740377</v>
      </c>
      <c r="GU44">
        <f>IF(AND(ISNUMBER(GT44),逐级计算!$X$202&gt;-1),IF(逐级计算!$X$202=0,GT44+逐级计算!$C$202,GT44+逐级计算!$C$202-(10/(逐级计算!$Q$202*LN(10))*(MAX((LN(10^(逐级计算!$Q$202/10)-1)+逐级计算!$Q$202*(GT44-逐级计算!$P$202)*LN(10)/10),0)+LN(1+EXP(-ABS((LN(10^(逐级计算!$Q$202/10)-1)+逐级计算!$Q$202*(GT44-逐级计算!$P$202)*LN(10)/10))))))),"")</f>
        <v>13.7930365740377</v>
      </c>
      <c r="GV44">
        <f>IF(AND(ISNUMBER(GU44),逐级计算!$X$203&gt;-1),IF(逐级计算!$X$203=0,GU44+逐级计算!$C$203,GU44+逐级计算!$C$203-(10/(逐级计算!$Q$203*LN(10))*(MAX((LN(10^(逐级计算!$Q$203/10)-1)+逐级计算!$Q$203*(GU44-逐级计算!$P$203)*LN(10)/10),0)+LN(1+EXP(-ABS((LN(10^(逐级计算!$Q$203/10)-1)+逐级计算!$Q$203*(GU44-逐级计算!$P$203)*LN(10)/10))))))),"")</f>
        <v>13.7930365740377</v>
      </c>
      <c r="GW44">
        <f t="shared" si="2"/>
        <v>-5.20696342529845</v>
      </c>
    </row>
    <row r="45" spans="1:205">
      <c r="A45">
        <v>38</v>
      </c>
      <c r="B45">
        <f t="shared" si="1"/>
        <v>-5.20696342606243</v>
      </c>
      <c r="C45">
        <f t="shared" si="0"/>
        <v>-5.20696342568044</v>
      </c>
      <c r="D45">
        <f>IF(AND(ISNUMBER(C45),ISNUMBER(逐级计算!$E$203),ISNUMBER(GV45)),C45+逐级计算!$E$203-GV45,"")</f>
        <v>1.00000000004085</v>
      </c>
      <c r="E45">
        <f>IF(AND(ISNUMBER(C45),逐级计算!$X$4&gt;-1),IF(逐级计算!$X$4=0,C45+逐级计算!$C$4,C45+逐级计算!$C$4-(10/(逐级计算!$Q$4*LN(10))*(MAX((LN(10^(逐级计算!$Q$4/10)-1)+逐级计算!$Q$4*(C45-逐级计算!$P$4)*LN(10)/10),0)+LN(1+EXP(-ABS((LN(10^(逐级计算!$Q$4/10)-1)+逐级计算!$Q$4*(C45-逐级计算!$P$4)*LN(10)/10))))))),"")</f>
        <v>4.6805398293882</v>
      </c>
      <c r="F45">
        <f>IF(AND(ISNUMBER(E45),逐级计算!$X$5&gt;-1),IF(逐级计算!$X$5=0,E45+逐级计算!$C$5,E45+逐级计算!$C$5-(10/(逐级计算!$Q$5*LN(10))*(MAX((LN(10^(逐级计算!$Q$5/10)-1)+逐级计算!$Q$5*(E45-逐级计算!$P$5)*LN(10)/10),0)+LN(1+EXP(-ABS((LN(10^(逐级计算!$Q$5/10)-1)+逐级计算!$Q$5*(E45-逐级计算!$P$5)*LN(10)/10))))))),"")</f>
        <v>13.7930365742787</v>
      </c>
      <c r="G45">
        <f>IF(AND(ISNUMBER(F45),逐级计算!$X$6&gt;-1),IF(逐级计算!$X$6=0,F45+逐级计算!$C$6,F45+逐级计算!$C$6-(10/(逐级计算!$Q$6*LN(10))*(MAX((LN(10^(逐级计算!$Q$6/10)-1)+逐级计算!$Q$6*(F45-逐级计算!$P$6)*LN(10)/10),0)+LN(1+EXP(-ABS((LN(10^(逐级计算!$Q$6/10)-1)+逐级计算!$Q$6*(F45-逐级计算!$P$6)*LN(10)/10))))))),"")</f>
        <v>13.7930365742787</v>
      </c>
      <c r="H45">
        <f>IF(AND(ISNUMBER(G45),逐级计算!$X$7&gt;-1),IF(逐级计算!$X$7=0,G45+逐级计算!$C$7,G45+逐级计算!$C$7-(10/(逐级计算!$Q$7*LN(10))*(MAX((LN(10^(逐级计算!$Q$7/10)-1)+逐级计算!$Q$7*(G45-逐级计算!$P$7)*LN(10)/10),0)+LN(1+EXP(-ABS((LN(10^(逐级计算!$Q$7/10)-1)+逐级计算!$Q$7*(G45-逐级计算!$P$7)*LN(10)/10))))))),"")</f>
        <v>13.7930365742787</v>
      </c>
      <c r="I45">
        <f>IF(AND(ISNUMBER(H45),逐级计算!$X$8&gt;-1),IF(逐级计算!$X$8=0,H45+逐级计算!$C$8,H45+逐级计算!$C$8-(10/(逐级计算!$Q$8*LN(10))*(MAX((LN(10^(逐级计算!$Q$8/10)-1)+逐级计算!$Q$8*(H45-逐级计算!$P$8)*LN(10)/10),0)+LN(1+EXP(-ABS((LN(10^(逐级计算!$Q$8/10)-1)+逐级计算!$Q$8*(H45-逐级计算!$P$8)*LN(10)/10))))))),"")</f>
        <v>13.7930365742787</v>
      </c>
      <c r="J45">
        <f>IF(AND(ISNUMBER(I45),逐级计算!$X$9&gt;-1),IF(逐级计算!$X$9=0,I45+逐级计算!$C$9,I45+逐级计算!$C$9-(10/(逐级计算!$Q$9*LN(10))*(MAX((LN(10^(逐级计算!$Q$9/10)-1)+逐级计算!$Q$9*(I45-逐级计算!$P$9)*LN(10)/10),0)+LN(1+EXP(-ABS((LN(10^(逐级计算!$Q$9/10)-1)+逐级计算!$Q$9*(I45-逐级计算!$P$9)*LN(10)/10))))))),"")</f>
        <v>13.7930365742787</v>
      </c>
      <c r="K45">
        <f>IF(AND(ISNUMBER(J45),逐级计算!$X$10&gt;-1),IF(逐级计算!$X$10=0,J45+逐级计算!$C$10,J45+逐级计算!$C$10-(10/(逐级计算!$Q$10*LN(10))*(MAX((LN(10^(逐级计算!$Q$10/10)-1)+逐级计算!$Q$10*(J45-逐级计算!$P$10)*LN(10)/10),0)+LN(1+EXP(-ABS((LN(10^(逐级计算!$Q$10/10)-1)+逐级计算!$Q$10*(J45-逐级计算!$P$10)*LN(10)/10))))))),"")</f>
        <v>13.7930365742787</v>
      </c>
      <c r="L45">
        <f>IF(AND(ISNUMBER(K45),逐级计算!$X$11&gt;-1),IF(逐级计算!$X$11=0,K45+逐级计算!$C$11,K45+逐级计算!$C$11-(10/(逐级计算!$Q$11*LN(10))*(MAX((LN(10^(逐级计算!$Q$11/10)-1)+逐级计算!$Q$11*(K45-逐级计算!$P$11)*LN(10)/10),0)+LN(1+EXP(-ABS((LN(10^(逐级计算!$Q$11/10)-1)+逐级计算!$Q$11*(K45-逐级计算!$P$11)*LN(10)/10))))))),"")</f>
        <v>13.7930365742787</v>
      </c>
      <c r="M45">
        <f>IF(AND(ISNUMBER(L45),逐级计算!$X$12&gt;-1),IF(逐级计算!$X$12=0,L45+逐级计算!$C$12,L45+逐级计算!$C$12-(10/(逐级计算!$Q$12*LN(10))*(MAX((LN(10^(逐级计算!$Q$12/10)-1)+逐级计算!$Q$12*(L45-逐级计算!$P$12)*LN(10)/10),0)+LN(1+EXP(-ABS((LN(10^(逐级计算!$Q$12/10)-1)+逐级计算!$Q$12*(L45-逐级计算!$P$12)*LN(10)/10))))))),"")</f>
        <v>13.7930365742787</v>
      </c>
      <c r="N45">
        <f>IF(AND(ISNUMBER(M45),逐级计算!$X$13&gt;-1),IF(逐级计算!$X$13=0,M45+逐级计算!$C$13,M45+逐级计算!$C$13-(10/(逐级计算!$Q$13*LN(10))*(MAX((LN(10^(逐级计算!$Q$13/10)-1)+逐级计算!$Q$13*(M45-逐级计算!$P$13)*LN(10)/10),0)+LN(1+EXP(-ABS((LN(10^(逐级计算!$Q$13/10)-1)+逐级计算!$Q$13*(M45-逐级计算!$P$13)*LN(10)/10))))))),"")</f>
        <v>13.7930365742787</v>
      </c>
      <c r="O45">
        <f>IF(AND(ISNUMBER(N45),逐级计算!$X$14&gt;-1),IF(逐级计算!$X$14=0,N45+逐级计算!$C$14,N45+逐级计算!$C$14-(10/(逐级计算!$Q$14*LN(10))*(MAX((LN(10^(逐级计算!$Q$14/10)-1)+逐级计算!$Q$14*(N45-逐级计算!$P$14)*LN(10)/10),0)+LN(1+EXP(-ABS((LN(10^(逐级计算!$Q$14/10)-1)+逐级计算!$Q$14*(N45-逐级计算!$P$14)*LN(10)/10))))))),"")</f>
        <v>13.7930365742787</v>
      </c>
      <c r="P45">
        <f>IF(AND(ISNUMBER(O45),逐级计算!$X$15&gt;-1),IF(逐级计算!$X$15=0,O45+逐级计算!$C$15,O45+逐级计算!$C$15-(10/(逐级计算!$Q$15*LN(10))*(MAX((LN(10^(逐级计算!$Q$15/10)-1)+逐级计算!$Q$15*(O45-逐级计算!$P$15)*LN(10)/10),0)+LN(1+EXP(-ABS((LN(10^(逐级计算!$Q$15/10)-1)+逐级计算!$Q$15*(O45-逐级计算!$P$15)*LN(10)/10))))))),"")</f>
        <v>13.7930365742787</v>
      </c>
      <c r="Q45">
        <f>IF(AND(ISNUMBER(P45),逐级计算!$X$16&gt;-1),IF(逐级计算!$X$16=0,P45+逐级计算!$C$16,P45+逐级计算!$C$16-(10/(逐级计算!$Q$16*LN(10))*(MAX((LN(10^(逐级计算!$Q$16/10)-1)+逐级计算!$Q$16*(P45-逐级计算!$P$16)*LN(10)/10),0)+LN(1+EXP(-ABS((LN(10^(逐级计算!$Q$16/10)-1)+逐级计算!$Q$16*(P45-逐级计算!$P$16)*LN(10)/10))))))),"")</f>
        <v>13.7930365742787</v>
      </c>
      <c r="R45">
        <f>IF(AND(ISNUMBER(Q45),逐级计算!$X$17&gt;-1),IF(逐级计算!$X$17=0,Q45+逐级计算!$C$17,Q45+逐级计算!$C$17-(10/(逐级计算!$Q$17*LN(10))*(MAX((LN(10^(逐级计算!$Q$17/10)-1)+逐级计算!$Q$17*(Q45-逐级计算!$P$17)*LN(10)/10),0)+LN(1+EXP(-ABS((LN(10^(逐级计算!$Q$17/10)-1)+逐级计算!$Q$17*(Q45-逐级计算!$P$17)*LN(10)/10))))))),"")</f>
        <v>13.7930365742787</v>
      </c>
      <c r="S45">
        <f>IF(AND(ISNUMBER(R45),逐级计算!$X$18&gt;-1),IF(逐级计算!$X$18=0,R45+逐级计算!$C$18,R45+逐级计算!$C$18-(10/(逐级计算!$Q$18*LN(10))*(MAX((LN(10^(逐级计算!$Q$18/10)-1)+逐级计算!$Q$18*(R45-逐级计算!$P$18)*LN(10)/10),0)+LN(1+EXP(-ABS((LN(10^(逐级计算!$Q$18/10)-1)+逐级计算!$Q$18*(R45-逐级计算!$P$18)*LN(10)/10))))))),"")</f>
        <v>13.7930365742787</v>
      </c>
      <c r="T45">
        <f>IF(AND(ISNUMBER(S45),逐级计算!$X$19&gt;-1),IF(逐级计算!$X$19=0,S45+逐级计算!$C$19,S45+逐级计算!$C$19-(10/(逐级计算!$Q$19*LN(10))*(MAX((LN(10^(逐级计算!$Q$19/10)-1)+逐级计算!$Q$19*(S45-逐级计算!$P$19)*LN(10)/10),0)+LN(1+EXP(-ABS((LN(10^(逐级计算!$Q$19/10)-1)+逐级计算!$Q$19*(S45-逐级计算!$P$19)*LN(10)/10))))))),"")</f>
        <v>13.7930365742787</v>
      </c>
      <c r="U45">
        <f>IF(AND(ISNUMBER(T45),逐级计算!$X$20&gt;-1),IF(逐级计算!$X$20=0,T45+逐级计算!$C$20,T45+逐级计算!$C$20-(10/(逐级计算!$Q$20*LN(10))*(MAX((LN(10^(逐级计算!$Q$20/10)-1)+逐级计算!$Q$20*(T45-逐级计算!$P$20)*LN(10)/10),0)+LN(1+EXP(-ABS((LN(10^(逐级计算!$Q$20/10)-1)+逐级计算!$Q$20*(T45-逐级计算!$P$20)*LN(10)/10))))))),"")</f>
        <v>13.7930365742787</v>
      </c>
      <c r="V45">
        <f>IF(AND(ISNUMBER(U45),逐级计算!$X$21&gt;-1),IF(逐级计算!$X$21=0,U45+逐级计算!$C$21,U45+逐级计算!$C$21-(10/(逐级计算!$Q$21*LN(10))*(MAX((LN(10^(逐级计算!$Q$21/10)-1)+逐级计算!$Q$21*(U45-逐级计算!$P$21)*LN(10)/10),0)+LN(1+EXP(-ABS((LN(10^(逐级计算!$Q$21/10)-1)+逐级计算!$Q$21*(U45-逐级计算!$P$21)*LN(10)/10))))))),"")</f>
        <v>13.7930365742787</v>
      </c>
      <c r="W45">
        <f>IF(AND(ISNUMBER(V45),逐级计算!$X$22&gt;-1),IF(逐级计算!$X$22=0,V45+逐级计算!$C$22,V45+逐级计算!$C$22-(10/(逐级计算!$Q$22*LN(10))*(MAX((LN(10^(逐级计算!$Q$22/10)-1)+逐级计算!$Q$22*(V45-逐级计算!$P$22)*LN(10)/10),0)+LN(1+EXP(-ABS((LN(10^(逐级计算!$Q$22/10)-1)+逐级计算!$Q$22*(V45-逐级计算!$P$22)*LN(10)/10))))))),"")</f>
        <v>13.7930365742787</v>
      </c>
      <c r="X45">
        <f>IF(AND(ISNUMBER(W45),逐级计算!$X$23&gt;-1),IF(逐级计算!$X$23=0,W45+逐级计算!$C$23,W45+逐级计算!$C$23-(10/(逐级计算!$Q$23*LN(10))*(MAX((LN(10^(逐级计算!$Q$23/10)-1)+逐级计算!$Q$23*(W45-逐级计算!$P$23)*LN(10)/10),0)+LN(1+EXP(-ABS((LN(10^(逐级计算!$Q$23/10)-1)+逐级计算!$Q$23*(W45-逐级计算!$P$23)*LN(10)/10))))))),"")</f>
        <v>13.7930365742787</v>
      </c>
      <c r="Y45">
        <f>IF(AND(ISNUMBER(X45),逐级计算!$X$24&gt;-1),IF(逐级计算!$X$24=0,X45+逐级计算!$C$24,X45+逐级计算!$C$24-(10/(逐级计算!$Q$24*LN(10))*(MAX((LN(10^(逐级计算!$Q$24/10)-1)+逐级计算!$Q$24*(X45-逐级计算!$P$24)*LN(10)/10),0)+LN(1+EXP(-ABS((LN(10^(逐级计算!$Q$24/10)-1)+逐级计算!$Q$24*(X45-逐级计算!$P$24)*LN(10)/10))))))),"")</f>
        <v>13.7930365742787</v>
      </c>
      <c r="Z45">
        <f>IF(AND(ISNUMBER(Y45),逐级计算!$X$25&gt;-1),IF(逐级计算!$X$25=0,Y45+逐级计算!$C$25,Y45+逐级计算!$C$25-(10/(逐级计算!$Q$25*LN(10))*(MAX((LN(10^(逐级计算!$Q$25/10)-1)+逐级计算!$Q$25*(Y45-逐级计算!$P$25)*LN(10)/10),0)+LN(1+EXP(-ABS((LN(10^(逐级计算!$Q$25/10)-1)+逐级计算!$Q$25*(Y45-逐级计算!$P$25)*LN(10)/10))))))),"")</f>
        <v>13.7930365742787</v>
      </c>
      <c r="AA45">
        <f>IF(AND(ISNUMBER(Z45),逐级计算!$X$26&gt;-1),IF(逐级计算!$X$26=0,Z45+逐级计算!$C$26,Z45+逐级计算!$C$26-(10/(逐级计算!$Q$26*LN(10))*(MAX((LN(10^(逐级计算!$Q$26/10)-1)+逐级计算!$Q$26*(Z45-逐级计算!$P$26)*LN(10)/10),0)+LN(1+EXP(-ABS((LN(10^(逐级计算!$Q$26/10)-1)+逐级计算!$Q$26*(Z45-逐级计算!$P$26)*LN(10)/10))))))),"")</f>
        <v>13.7930365742787</v>
      </c>
      <c r="AB45">
        <f>IF(AND(ISNUMBER(AA45),逐级计算!$X$27&gt;-1),IF(逐级计算!$X$27=0,AA45+逐级计算!$C$27,AA45+逐级计算!$C$27-(10/(逐级计算!$Q$27*LN(10))*(MAX((LN(10^(逐级计算!$Q$27/10)-1)+逐级计算!$Q$27*(AA45-逐级计算!$P$27)*LN(10)/10),0)+LN(1+EXP(-ABS((LN(10^(逐级计算!$Q$27/10)-1)+逐级计算!$Q$27*(AA45-逐级计算!$P$27)*LN(10)/10))))))),"")</f>
        <v>13.7930365742787</v>
      </c>
      <c r="AC45">
        <f>IF(AND(ISNUMBER(AB45),逐级计算!$X$28&gt;-1),IF(逐级计算!$X$28=0,AB45+逐级计算!$C$28,AB45+逐级计算!$C$28-(10/(逐级计算!$Q$28*LN(10))*(MAX((LN(10^(逐级计算!$Q$28/10)-1)+逐级计算!$Q$28*(AB45-逐级计算!$P$28)*LN(10)/10),0)+LN(1+EXP(-ABS((LN(10^(逐级计算!$Q$28/10)-1)+逐级计算!$Q$28*(AB45-逐级计算!$P$28)*LN(10)/10))))))),"")</f>
        <v>13.7930365742787</v>
      </c>
      <c r="AD45">
        <f>IF(AND(ISNUMBER(AC45),逐级计算!$X$29&gt;-1),IF(逐级计算!$X$29=0,AC45+逐级计算!$C$29,AC45+逐级计算!$C$29-(10/(逐级计算!$Q$29*LN(10))*(MAX((LN(10^(逐级计算!$Q$29/10)-1)+逐级计算!$Q$29*(AC45-逐级计算!$P$29)*LN(10)/10),0)+LN(1+EXP(-ABS((LN(10^(逐级计算!$Q$29/10)-1)+逐级计算!$Q$29*(AC45-逐级计算!$P$29)*LN(10)/10))))))),"")</f>
        <v>13.7930365742787</v>
      </c>
      <c r="AE45">
        <f>IF(AND(ISNUMBER(AD45),逐级计算!$X$30&gt;-1),IF(逐级计算!$X$30=0,AD45+逐级计算!$C$30,AD45+逐级计算!$C$30-(10/(逐级计算!$Q$30*LN(10))*(MAX((LN(10^(逐级计算!$Q$30/10)-1)+逐级计算!$Q$30*(AD45-逐级计算!$P$30)*LN(10)/10),0)+LN(1+EXP(-ABS((LN(10^(逐级计算!$Q$30/10)-1)+逐级计算!$Q$30*(AD45-逐级计算!$P$30)*LN(10)/10))))))),"")</f>
        <v>13.7930365742787</v>
      </c>
      <c r="AF45">
        <f>IF(AND(ISNUMBER(AE45),逐级计算!$X$31&gt;-1),IF(逐级计算!$X$31=0,AE45+逐级计算!$C$31,AE45+逐级计算!$C$31-(10/(逐级计算!$Q$31*LN(10))*(MAX((LN(10^(逐级计算!$Q$31/10)-1)+逐级计算!$Q$31*(AE45-逐级计算!$P$31)*LN(10)/10),0)+LN(1+EXP(-ABS((LN(10^(逐级计算!$Q$31/10)-1)+逐级计算!$Q$31*(AE45-逐级计算!$P$31)*LN(10)/10))))))),"")</f>
        <v>13.7930365742787</v>
      </c>
      <c r="AG45">
        <f>IF(AND(ISNUMBER(AF45),逐级计算!$X$32&gt;-1),IF(逐级计算!$X$32=0,AF45+逐级计算!$C$32,AF45+逐级计算!$C$32-(10/(逐级计算!$Q$32*LN(10))*(MAX((LN(10^(逐级计算!$Q$32/10)-1)+逐级计算!$Q$32*(AF45-逐级计算!$P$32)*LN(10)/10),0)+LN(1+EXP(-ABS((LN(10^(逐级计算!$Q$32/10)-1)+逐级计算!$Q$32*(AF45-逐级计算!$P$32)*LN(10)/10))))))),"")</f>
        <v>13.7930365742787</v>
      </c>
      <c r="AH45">
        <f>IF(AND(ISNUMBER(AG45),逐级计算!$X$33&gt;-1),IF(逐级计算!$X$33=0,AG45+逐级计算!$C$33,AG45+逐级计算!$C$33-(10/(逐级计算!$Q$33*LN(10))*(MAX((LN(10^(逐级计算!$Q$33/10)-1)+逐级计算!$Q$33*(AG45-逐级计算!$P$33)*LN(10)/10),0)+LN(1+EXP(-ABS((LN(10^(逐级计算!$Q$33/10)-1)+逐级计算!$Q$33*(AG45-逐级计算!$P$33)*LN(10)/10))))))),"")</f>
        <v>13.7930365742787</v>
      </c>
      <c r="AI45">
        <f>IF(AND(ISNUMBER(AH45),逐级计算!$X$34&gt;-1),IF(逐级计算!$X$34=0,AH45+逐级计算!$C$34,AH45+逐级计算!$C$34-(10/(逐级计算!$Q$34*LN(10))*(MAX((LN(10^(逐级计算!$Q$34/10)-1)+逐级计算!$Q$34*(AH45-逐级计算!$P$34)*LN(10)/10),0)+LN(1+EXP(-ABS((LN(10^(逐级计算!$Q$34/10)-1)+逐级计算!$Q$34*(AH45-逐级计算!$P$34)*LN(10)/10))))))),"")</f>
        <v>13.7930365742787</v>
      </c>
      <c r="AJ45">
        <f>IF(AND(ISNUMBER(AI45),逐级计算!$X$35&gt;-1),IF(逐级计算!$X$35=0,AI45+逐级计算!$C$35,AI45+逐级计算!$C$35-(10/(逐级计算!$Q$35*LN(10))*(MAX((LN(10^(逐级计算!$Q$35/10)-1)+逐级计算!$Q$35*(AI45-逐级计算!$P$35)*LN(10)/10),0)+LN(1+EXP(-ABS((LN(10^(逐级计算!$Q$35/10)-1)+逐级计算!$Q$35*(AI45-逐级计算!$P$35)*LN(10)/10))))))),"")</f>
        <v>13.7930365742787</v>
      </c>
      <c r="AK45">
        <f>IF(AND(ISNUMBER(AJ45),逐级计算!$X$36&gt;-1),IF(逐级计算!$X$36=0,AJ45+逐级计算!$C$36,AJ45+逐级计算!$C$36-(10/(逐级计算!$Q$36*LN(10))*(MAX((LN(10^(逐级计算!$Q$36/10)-1)+逐级计算!$Q$36*(AJ45-逐级计算!$P$36)*LN(10)/10),0)+LN(1+EXP(-ABS((LN(10^(逐级计算!$Q$36/10)-1)+逐级计算!$Q$36*(AJ45-逐级计算!$P$36)*LN(10)/10))))))),"")</f>
        <v>13.7930365742787</v>
      </c>
      <c r="AL45">
        <f>IF(AND(ISNUMBER(AK45),逐级计算!$X$37&gt;-1),IF(逐级计算!$X$37=0,AK45+逐级计算!$C$37,AK45+逐级计算!$C$37-(10/(逐级计算!$Q$37*LN(10))*(MAX((LN(10^(逐级计算!$Q$37/10)-1)+逐级计算!$Q$37*(AK45-逐级计算!$P$37)*LN(10)/10),0)+LN(1+EXP(-ABS((LN(10^(逐级计算!$Q$37/10)-1)+逐级计算!$Q$37*(AK45-逐级计算!$P$37)*LN(10)/10))))))),"")</f>
        <v>13.7930365742787</v>
      </c>
      <c r="AM45">
        <f>IF(AND(ISNUMBER(AL45),逐级计算!$X$38&gt;-1),IF(逐级计算!$X$38=0,AL45+逐级计算!$C$38,AL45+逐级计算!$C$38-(10/(逐级计算!$Q$38*LN(10))*(MAX((LN(10^(逐级计算!$Q$38/10)-1)+逐级计算!$Q$38*(AL45-逐级计算!$P$38)*LN(10)/10),0)+LN(1+EXP(-ABS((LN(10^(逐级计算!$Q$38/10)-1)+逐级计算!$Q$38*(AL45-逐级计算!$P$38)*LN(10)/10))))))),"")</f>
        <v>13.7930365742787</v>
      </c>
      <c r="AN45">
        <f>IF(AND(ISNUMBER(AM45),逐级计算!$X$39&gt;-1),IF(逐级计算!$X$39=0,AM45+逐级计算!$C$39,AM45+逐级计算!$C$39-(10/(逐级计算!$Q$39*LN(10))*(MAX((LN(10^(逐级计算!$Q$39/10)-1)+逐级计算!$Q$39*(AM45-逐级计算!$P$39)*LN(10)/10),0)+LN(1+EXP(-ABS((LN(10^(逐级计算!$Q$39/10)-1)+逐级计算!$Q$39*(AM45-逐级计算!$P$39)*LN(10)/10))))))),"")</f>
        <v>13.7930365742787</v>
      </c>
      <c r="AO45">
        <f>IF(AND(ISNUMBER(AN45),逐级计算!$X$40&gt;-1),IF(逐级计算!$X$40=0,AN45+逐级计算!$C$40,AN45+逐级计算!$C$40-(10/(逐级计算!$Q$40*LN(10))*(MAX((LN(10^(逐级计算!$Q$40/10)-1)+逐级计算!$Q$40*(AN45-逐级计算!$P$40)*LN(10)/10),0)+LN(1+EXP(-ABS((LN(10^(逐级计算!$Q$40/10)-1)+逐级计算!$Q$40*(AN45-逐级计算!$P$40)*LN(10)/10))))))),"")</f>
        <v>13.7930365742787</v>
      </c>
      <c r="AP45">
        <f>IF(AND(ISNUMBER(AO45),逐级计算!$X$41&gt;-1),IF(逐级计算!$X$41=0,AO45+逐级计算!$C$41,AO45+逐级计算!$C$41-(10/(逐级计算!$Q$41*LN(10))*(MAX((LN(10^(逐级计算!$Q$41/10)-1)+逐级计算!$Q$41*(AO45-逐级计算!$P$41)*LN(10)/10),0)+LN(1+EXP(-ABS((LN(10^(逐级计算!$Q$41/10)-1)+逐级计算!$Q$41*(AO45-逐级计算!$P$41)*LN(10)/10))))))),"")</f>
        <v>13.7930365742787</v>
      </c>
      <c r="AQ45">
        <f>IF(AND(ISNUMBER(AP45),逐级计算!$X$42&gt;-1),IF(逐级计算!$X$42=0,AP45+逐级计算!$C$42,AP45+逐级计算!$C$42-(10/(逐级计算!$Q$42*LN(10))*(MAX((LN(10^(逐级计算!$Q$42/10)-1)+逐级计算!$Q$42*(AP45-逐级计算!$P$42)*LN(10)/10),0)+LN(1+EXP(-ABS((LN(10^(逐级计算!$Q$42/10)-1)+逐级计算!$Q$42*(AP45-逐级计算!$P$42)*LN(10)/10))))))),"")</f>
        <v>13.7930365742787</v>
      </c>
      <c r="AR45">
        <f>IF(AND(ISNUMBER(AQ45),逐级计算!$X$43&gt;-1),IF(逐级计算!$X$43=0,AQ45+逐级计算!$C$43,AQ45+逐级计算!$C$43-(10/(逐级计算!$Q$43*LN(10))*(MAX((LN(10^(逐级计算!$Q$43/10)-1)+逐级计算!$Q$43*(AQ45-逐级计算!$P$43)*LN(10)/10),0)+LN(1+EXP(-ABS((LN(10^(逐级计算!$Q$43/10)-1)+逐级计算!$Q$43*(AQ45-逐级计算!$P$43)*LN(10)/10))))))),"")</f>
        <v>13.7930365742787</v>
      </c>
      <c r="AS45">
        <f>IF(AND(ISNUMBER(AR45),逐级计算!$X$44&gt;-1),IF(逐级计算!$X$44=0,AR45+逐级计算!$C$44,AR45+逐级计算!$C$44-(10/(逐级计算!$Q$44*LN(10))*(MAX((LN(10^(逐级计算!$Q$44/10)-1)+逐级计算!$Q$44*(AR45-逐级计算!$P$44)*LN(10)/10),0)+LN(1+EXP(-ABS((LN(10^(逐级计算!$Q$44/10)-1)+逐级计算!$Q$44*(AR45-逐级计算!$P$44)*LN(10)/10))))))),"")</f>
        <v>13.7930365742787</v>
      </c>
      <c r="AT45">
        <f>IF(AND(ISNUMBER(AS45),逐级计算!$X$45&gt;-1),IF(逐级计算!$X$45=0,AS45+逐级计算!$C$45,AS45+逐级计算!$C$45-(10/(逐级计算!$Q$45*LN(10))*(MAX((LN(10^(逐级计算!$Q$45/10)-1)+逐级计算!$Q$45*(AS45-逐级计算!$P$45)*LN(10)/10),0)+LN(1+EXP(-ABS((LN(10^(逐级计算!$Q$45/10)-1)+逐级计算!$Q$45*(AS45-逐级计算!$P$45)*LN(10)/10))))))),"")</f>
        <v>13.7930365742787</v>
      </c>
      <c r="AU45">
        <f>IF(AND(ISNUMBER(AT45),逐级计算!$X$46&gt;-1),IF(逐级计算!$X$46=0,AT45+逐级计算!$C$46,AT45+逐级计算!$C$46-(10/(逐级计算!$Q$46*LN(10))*(MAX((LN(10^(逐级计算!$Q$46/10)-1)+逐级计算!$Q$46*(AT45-逐级计算!$P$46)*LN(10)/10),0)+LN(1+EXP(-ABS((LN(10^(逐级计算!$Q$46/10)-1)+逐级计算!$Q$46*(AT45-逐级计算!$P$46)*LN(10)/10))))))),"")</f>
        <v>13.7930365742787</v>
      </c>
      <c r="AV45">
        <f>IF(AND(ISNUMBER(AU45),逐级计算!$X$47&gt;-1),IF(逐级计算!$X$47=0,AU45+逐级计算!$C$47,AU45+逐级计算!$C$47-(10/(逐级计算!$Q$47*LN(10))*(MAX((LN(10^(逐级计算!$Q$47/10)-1)+逐级计算!$Q$47*(AU45-逐级计算!$P$47)*LN(10)/10),0)+LN(1+EXP(-ABS((LN(10^(逐级计算!$Q$47/10)-1)+逐级计算!$Q$47*(AU45-逐级计算!$P$47)*LN(10)/10))))))),"")</f>
        <v>13.7930365742787</v>
      </c>
      <c r="AW45">
        <f>IF(AND(ISNUMBER(AV45),逐级计算!$X$48&gt;-1),IF(逐级计算!$X$48=0,AV45+逐级计算!$C$48,AV45+逐级计算!$C$48-(10/(逐级计算!$Q$48*LN(10))*(MAX((LN(10^(逐级计算!$Q$48/10)-1)+逐级计算!$Q$48*(AV45-逐级计算!$P$48)*LN(10)/10),0)+LN(1+EXP(-ABS((LN(10^(逐级计算!$Q$48/10)-1)+逐级计算!$Q$48*(AV45-逐级计算!$P$48)*LN(10)/10))))))),"")</f>
        <v>13.7930365742787</v>
      </c>
      <c r="AX45">
        <f>IF(AND(ISNUMBER(AW45),逐级计算!$X$49&gt;-1),IF(逐级计算!$X$49=0,AW45+逐级计算!$C$49,AW45+逐级计算!$C$49-(10/(逐级计算!$Q$49*LN(10))*(MAX((LN(10^(逐级计算!$Q$49/10)-1)+逐级计算!$Q$49*(AW45-逐级计算!$P$49)*LN(10)/10),0)+LN(1+EXP(-ABS((LN(10^(逐级计算!$Q$49/10)-1)+逐级计算!$Q$49*(AW45-逐级计算!$P$49)*LN(10)/10))))))),"")</f>
        <v>13.7930365742787</v>
      </c>
      <c r="AY45">
        <f>IF(AND(ISNUMBER(AX45),逐级计算!$X$50&gt;-1),IF(逐级计算!$X$50=0,AX45+逐级计算!$C$50,AX45+逐级计算!$C$50-(10/(逐级计算!$Q$50*LN(10))*(MAX((LN(10^(逐级计算!$Q$50/10)-1)+逐级计算!$Q$50*(AX45-逐级计算!$P$50)*LN(10)/10),0)+LN(1+EXP(-ABS((LN(10^(逐级计算!$Q$50/10)-1)+逐级计算!$Q$50*(AX45-逐级计算!$P$50)*LN(10)/10))))))),"")</f>
        <v>13.7930365742787</v>
      </c>
      <c r="AZ45">
        <f>IF(AND(ISNUMBER(AY45),逐级计算!$X$51&gt;-1),IF(逐级计算!$X$51=0,AY45+逐级计算!$C$51,AY45+逐级计算!$C$51-(10/(逐级计算!$Q$51*LN(10))*(MAX((LN(10^(逐级计算!$Q$51/10)-1)+逐级计算!$Q$51*(AY45-逐级计算!$P$51)*LN(10)/10),0)+LN(1+EXP(-ABS((LN(10^(逐级计算!$Q$51/10)-1)+逐级计算!$Q$51*(AY45-逐级计算!$P$51)*LN(10)/10))))))),"")</f>
        <v>13.7930365742787</v>
      </c>
      <c r="BA45">
        <f>IF(AND(ISNUMBER(AZ45),逐级计算!$X$52&gt;-1),IF(逐级计算!$X$52=0,AZ45+逐级计算!$C$52,AZ45+逐级计算!$C$52-(10/(逐级计算!$Q$52*LN(10))*(MAX((LN(10^(逐级计算!$Q$52/10)-1)+逐级计算!$Q$52*(AZ45-逐级计算!$P$52)*LN(10)/10),0)+LN(1+EXP(-ABS((LN(10^(逐级计算!$Q$52/10)-1)+逐级计算!$Q$52*(AZ45-逐级计算!$P$52)*LN(10)/10))))))),"")</f>
        <v>13.7930365742787</v>
      </c>
      <c r="BB45">
        <f>IF(AND(ISNUMBER(BA45),逐级计算!$X$53&gt;-1),IF(逐级计算!$X$53=0,BA45+逐级计算!$C$53,BA45+逐级计算!$C$53-(10/(逐级计算!$Q$53*LN(10))*(MAX((LN(10^(逐级计算!$Q$53/10)-1)+逐级计算!$Q$53*(BA45-逐级计算!$P$53)*LN(10)/10),0)+LN(1+EXP(-ABS((LN(10^(逐级计算!$Q$53/10)-1)+逐级计算!$Q$53*(BA45-逐级计算!$P$53)*LN(10)/10))))))),"")</f>
        <v>13.7930365742787</v>
      </c>
      <c r="BC45">
        <f>IF(AND(ISNUMBER(BB45),逐级计算!$X$54&gt;-1),IF(逐级计算!$X$54=0,BB45+逐级计算!$C$54,BB45+逐级计算!$C$54-(10/(逐级计算!$Q$54*LN(10))*(MAX((LN(10^(逐级计算!$Q$54/10)-1)+逐级计算!$Q$54*(BB45-逐级计算!$P$54)*LN(10)/10),0)+LN(1+EXP(-ABS((LN(10^(逐级计算!$Q$54/10)-1)+逐级计算!$Q$54*(BB45-逐级计算!$P$54)*LN(10)/10))))))),"")</f>
        <v>13.7930365742787</v>
      </c>
      <c r="BD45">
        <f>IF(AND(ISNUMBER(BC45),逐级计算!$X$55&gt;-1),IF(逐级计算!$X$55=0,BC45+逐级计算!$C$55,BC45+逐级计算!$C$55-(10/(逐级计算!$Q$55*LN(10))*(MAX((LN(10^(逐级计算!$Q$55/10)-1)+逐级计算!$Q$55*(BC45-逐级计算!$P$55)*LN(10)/10),0)+LN(1+EXP(-ABS((LN(10^(逐级计算!$Q$55/10)-1)+逐级计算!$Q$55*(BC45-逐级计算!$P$55)*LN(10)/10))))))),"")</f>
        <v>13.7930365742787</v>
      </c>
      <c r="BE45">
        <f>IF(AND(ISNUMBER(BD45),逐级计算!$X$56&gt;-1),IF(逐级计算!$X$56=0,BD45+逐级计算!$C$56,BD45+逐级计算!$C$56-(10/(逐级计算!$Q$56*LN(10))*(MAX((LN(10^(逐级计算!$Q$56/10)-1)+逐级计算!$Q$56*(BD45-逐级计算!$P$56)*LN(10)/10),0)+LN(1+EXP(-ABS((LN(10^(逐级计算!$Q$56/10)-1)+逐级计算!$Q$56*(BD45-逐级计算!$P$56)*LN(10)/10))))))),"")</f>
        <v>13.7930365742787</v>
      </c>
      <c r="BF45">
        <f>IF(AND(ISNUMBER(BE45),逐级计算!$X$57&gt;-1),IF(逐级计算!$X$57=0,BE45+逐级计算!$C$57,BE45+逐级计算!$C$57-(10/(逐级计算!$Q$57*LN(10))*(MAX((LN(10^(逐级计算!$Q$57/10)-1)+逐级计算!$Q$57*(BE45-逐级计算!$P$57)*LN(10)/10),0)+LN(1+EXP(-ABS((LN(10^(逐级计算!$Q$57/10)-1)+逐级计算!$Q$57*(BE45-逐级计算!$P$57)*LN(10)/10))))))),"")</f>
        <v>13.7930365742787</v>
      </c>
      <c r="BG45">
        <f>IF(AND(ISNUMBER(BF45),逐级计算!$X$58&gt;-1),IF(逐级计算!$X$58=0,BF45+逐级计算!$C$58,BF45+逐级计算!$C$58-(10/(逐级计算!$Q$58*LN(10))*(MAX((LN(10^(逐级计算!$Q$58/10)-1)+逐级计算!$Q$58*(BF45-逐级计算!$P$58)*LN(10)/10),0)+LN(1+EXP(-ABS((LN(10^(逐级计算!$Q$58/10)-1)+逐级计算!$Q$58*(BF45-逐级计算!$P$58)*LN(10)/10))))))),"")</f>
        <v>13.7930365742787</v>
      </c>
      <c r="BH45">
        <f>IF(AND(ISNUMBER(BG45),逐级计算!$X$59&gt;-1),IF(逐级计算!$X$59=0,BG45+逐级计算!$C$59,BG45+逐级计算!$C$59-(10/(逐级计算!$Q$59*LN(10))*(MAX((LN(10^(逐级计算!$Q$59/10)-1)+逐级计算!$Q$59*(BG45-逐级计算!$P$59)*LN(10)/10),0)+LN(1+EXP(-ABS((LN(10^(逐级计算!$Q$59/10)-1)+逐级计算!$Q$59*(BG45-逐级计算!$P$59)*LN(10)/10))))))),"")</f>
        <v>13.7930365742787</v>
      </c>
      <c r="BI45">
        <f>IF(AND(ISNUMBER(BH45),逐级计算!$X$60&gt;-1),IF(逐级计算!$X$60=0,BH45+逐级计算!$C$60,BH45+逐级计算!$C$60-(10/(逐级计算!$Q$60*LN(10))*(MAX((LN(10^(逐级计算!$Q$60/10)-1)+逐级计算!$Q$60*(BH45-逐级计算!$P$60)*LN(10)/10),0)+LN(1+EXP(-ABS((LN(10^(逐级计算!$Q$60/10)-1)+逐级计算!$Q$60*(BH45-逐级计算!$P$60)*LN(10)/10))))))),"")</f>
        <v>13.7930365742787</v>
      </c>
      <c r="BJ45">
        <f>IF(AND(ISNUMBER(BI45),逐级计算!$X$61&gt;-1),IF(逐级计算!$X$61=0,BI45+逐级计算!$C$61,BI45+逐级计算!$C$61-(10/(逐级计算!$Q$61*LN(10))*(MAX((LN(10^(逐级计算!$Q$61/10)-1)+逐级计算!$Q$61*(BI45-逐级计算!$P$61)*LN(10)/10),0)+LN(1+EXP(-ABS((LN(10^(逐级计算!$Q$61/10)-1)+逐级计算!$Q$61*(BI45-逐级计算!$P$61)*LN(10)/10))))))),"")</f>
        <v>13.7930365742787</v>
      </c>
      <c r="BK45">
        <f>IF(AND(ISNUMBER(BJ45),逐级计算!$X$62&gt;-1),IF(逐级计算!$X$62=0,BJ45+逐级计算!$C$62,BJ45+逐级计算!$C$62-(10/(逐级计算!$Q$62*LN(10))*(MAX((LN(10^(逐级计算!$Q$62/10)-1)+逐级计算!$Q$62*(BJ45-逐级计算!$P$62)*LN(10)/10),0)+LN(1+EXP(-ABS((LN(10^(逐级计算!$Q$62/10)-1)+逐级计算!$Q$62*(BJ45-逐级计算!$P$62)*LN(10)/10))))))),"")</f>
        <v>13.7930365742787</v>
      </c>
      <c r="BL45">
        <f>IF(AND(ISNUMBER(BK45),逐级计算!$X$63&gt;-1),IF(逐级计算!$X$63=0,BK45+逐级计算!$C$63,BK45+逐级计算!$C$63-(10/(逐级计算!$Q$63*LN(10))*(MAX((LN(10^(逐级计算!$Q$63/10)-1)+逐级计算!$Q$63*(BK45-逐级计算!$P$63)*LN(10)/10),0)+LN(1+EXP(-ABS((LN(10^(逐级计算!$Q$63/10)-1)+逐级计算!$Q$63*(BK45-逐级计算!$P$63)*LN(10)/10))))))),"")</f>
        <v>13.7930365742787</v>
      </c>
      <c r="BM45">
        <f>IF(AND(ISNUMBER(BL45),逐级计算!$X$64&gt;-1),IF(逐级计算!$X$64=0,BL45+逐级计算!$C$64,BL45+逐级计算!$C$64-(10/(逐级计算!$Q$64*LN(10))*(MAX((LN(10^(逐级计算!$Q$64/10)-1)+逐级计算!$Q$64*(BL45-逐级计算!$P$64)*LN(10)/10),0)+LN(1+EXP(-ABS((LN(10^(逐级计算!$Q$64/10)-1)+逐级计算!$Q$64*(BL45-逐级计算!$P$64)*LN(10)/10))))))),"")</f>
        <v>13.7930365742787</v>
      </c>
      <c r="BN45">
        <f>IF(AND(ISNUMBER(BM45),逐级计算!$X$65&gt;-1),IF(逐级计算!$X$65=0,BM45+逐级计算!$C$65,BM45+逐级计算!$C$65-(10/(逐级计算!$Q$65*LN(10))*(MAX((LN(10^(逐级计算!$Q$65/10)-1)+逐级计算!$Q$65*(BM45-逐级计算!$P$65)*LN(10)/10),0)+LN(1+EXP(-ABS((LN(10^(逐级计算!$Q$65/10)-1)+逐级计算!$Q$65*(BM45-逐级计算!$P$65)*LN(10)/10))))))),"")</f>
        <v>13.7930365742787</v>
      </c>
      <c r="BO45">
        <f>IF(AND(ISNUMBER(BN45),逐级计算!$X$66&gt;-1),IF(逐级计算!$X$66=0,BN45+逐级计算!$C$66,BN45+逐级计算!$C$66-(10/(逐级计算!$Q$66*LN(10))*(MAX((LN(10^(逐级计算!$Q$66/10)-1)+逐级计算!$Q$66*(BN45-逐级计算!$P$66)*LN(10)/10),0)+LN(1+EXP(-ABS((LN(10^(逐级计算!$Q$66/10)-1)+逐级计算!$Q$66*(BN45-逐级计算!$P$66)*LN(10)/10))))))),"")</f>
        <v>13.7930365742787</v>
      </c>
      <c r="BP45">
        <f>IF(AND(ISNUMBER(BO45),逐级计算!$X$67&gt;-1),IF(逐级计算!$X$67=0,BO45+逐级计算!$C$67,BO45+逐级计算!$C$67-(10/(逐级计算!$Q$67*LN(10))*(MAX((LN(10^(逐级计算!$Q$67/10)-1)+逐级计算!$Q$67*(BO45-逐级计算!$P$67)*LN(10)/10),0)+LN(1+EXP(-ABS((LN(10^(逐级计算!$Q$67/10)-1)+逐级计算!$Q$67*(BO45-逐级计算!$P$67)*LN(10)/10))))))),"")</f>
        <v>13.7930365742787</v>
      </c>
      <c r="BQ45">
        <f>IF(AND(ISNUMBER(BP45),逐级计算!$X$68&gt;-1),IF(逐级计算!$X$68=0,BP45+逐级计算!$C$68,BP45+逐级计算!$C$68-(10/(逐级计算!$Q$68*LN(10))*(MAX((LN(10^(逐级计算!$Q$68/10)-1)+逐级计算!$Q$68*(BP45-逐级计算!$P$68)*LN(10)/10),0)+LN(1+EXP(-ABS((LN(10^(逐级计算!$Q$68/10)-1)+逐级计算!$Q$68*(BP45-逐级计算!$P$68)*LN(10)/10))))))),"")</f>
        <v>13.7930365742787</v>
      </c>
      <c r="BR45">
        <f>IF(AND(ISNUMBER(BQ45),逐级计算!$X$69&gt;-1),IF(逐级计算!$X$69=0,BQ45+逐级计算!$C$69,BQ45+逐级计算!$C$69-(10/(逐级计算!$Q$69*LN(10))*(MAX((LN(10^(逐级计算!$Q$69/10)-1)+逐级计算!$Q$69*(BQ45-逐级计算!$P$69)*LN(10)/10),0)+LN(1+EXP(-ABS((LN(10^(逐级计算!$Q$69/10)-1)+逐级计算!$Q$69*(BQ45-逐级计算!$P$69)*LN(10)/10))))))),"")</f>
        <v>13.7930365742787</v>
      </c>
      <c r="BS45">
        <f>IF(AND(ISNUMBER(BR45),逐级计算!$X$70&gt;-1),IF(逐级计算!$X$70=0,BR45+逐级计算!$C$70,BR45+逐级计算!$C$70-(10/(逐级计算!$Q$70*LN(10))*(MAX((LN(10^(逐级计算!$Q$70/10)-1)+逐级计算!$Q$70*(BR45-逐级计算!$P$70)*LN(10)/10),0)+LN(1+EXP(-ABS((LN(10^(逐级计算!$Q$70/10)-1)+逐级计算!$Q$70*(BR45-逐级计算!$P$70)*LN(10)/10))))))),"")</f>
        <v>13.7930365742787</v>
      </c>
      <c r="BT45">
        <f>IF(AND(ISNUMBER(BS45),逐级计算!$X$71&gt;-1),IF(逐级计算!$X$71=0,BS45+逐级计算!$C$71,BS45+逐级计算!$C$71-(10/(逐级计算!$Q$71*LN(10))*(MAX((LN(10^(逐级计算!$Q$71/10)-1)+逐级计算!$Q$71*(BS45-逐级计算!$P$71)*LN(10)/10),0)+LN(1+EXP(-ABS((LN(10^(逐级计算!$Q$71/10)-1)+逐级计算!$Q$71*(BS45-逐级计算!$P$71)*LN(10)/10))))))),"")</f>
        <v>13.7930365742787</v>
      </c>
      <c r="BU45">
        <f>IF(AND(ISNUMBER(BT45),逐级计算!$X$72&gt;-1),IF(逐级计算!$X$72=0,BT45+逐级计算!$C$72,BT45+逐级计算!$C$72-(10/(逐级计算!$Q$72*LN(10))*(MAX((LN(10^(逐级计算!$Q$72/10)-1)+逐级计算!$Q$72*(BT45-逐级计算!$P$72)*LN(10)/10),0)+LN(1+EXP(-ABS((LN(10^(逐级计算!$Q$72/10)-1)+逐级计算!$Q$72*(BT45-逐级计算!$P$72)*LN(10)/10))))))),"")</f>
        <v>13.7930365742787</v>
      </c>
      <c r="BV45">
        <f>IF(AND(ISNUMBER(BU45),逐级计算!$X$73&gt;-1),IF(逐级计算!$X$73=0,BU45+逐级计算!$C$73,BU45+逐级计算!$C$73-(10/(逐级计算!$Q$73*LN(10))*(MAX((LN(10^(逐级计算!$Q$73/10)-1)+逐级计算!$Q$73*(BU45-逐级计算!$P$73)*LN(10)/10),0)+LN(1+EXP(-ABS((LN(10^(逐级计算!$Q$73/10)-1)+逐级计算!$Q$73*(BU45-逐级计算!$P$73)*LN(10)/10))))))),"")</f>
        <v>13.7930365742787</v>
      </c>
      <c r="BW45">
        <f>IF(AND(ISNUMBER(BV45),逐级计算!$X$74&gt;-1),IF(逐级计算!$X$74=0,BV45+逐级计算!$C$74,BV45+逐级计算!$C$74-(10/(逐级计算!$Q$74*LN(10))*(MAX((LN(10^(逐级计算!$Q$74/10)-1)+逐级计算!$Q$74*(BV45-逐级计算!$P$74)*LN(10)/10),0)+LN(1+EXP(-ABS((LN(10^(逐级计算!$Q$74/10)-1)+逐级计算!$Q$74*(BV45-逐级计算!$P$74)*LN(10)/10))))))),"")</f>
        <v>13.7930365742787</v>
      </c>
      <c r="BX45">
        <f>IF(AND(ISNUMBER(BW45),逐级计算!$X$75&gt;-1),IF(逐级计算!$X$75=0,BW45+逐级计算!$C$75,BW45+逐级计算!$C$75-(10/(逐级计算!$Q$75*LN(10))*(MAX((LN(10^(逐级计算!$Q$75/10)-1)+逐级计算!$Q$75*(BW45-逐级计算!$P$75)*LN(10)/10),0)+LN(1+EXP(-ABS((LN(10^(逐级计算!$Q$75/10)-1)+逐级计算!$Q$75*(BW45-逐级计算!$P$75)*LN(10)/10))))))),"")</f>
        <v>13.7930365742787</v>
      </c>
      <c r="BY45">
        <f>IF(AND(ISNUMBER(BX45),逐级计算!$X$76&gt;-1),IF(逐级计算!$X$76=0,BX45+逐级计算!$C$76,BX45+逐级计算!$C$76-(10/(逐级计算!$Q$76*LN(10))*(MAX((LN(10^(逐级计算!$Q$76/10)-1)+逐级计算!$Q$76*(BX45-逐级计算!$P$76)*LN(10)/10),0)+LN(1+EXP(-ABS((LN(10^(逐级计算!$Q$76/10)-1)+逐级计算!$Q$76*(BX45-逐级计算!$P$76)*LN(10)/10))))))),"")</f>
        <v>13.7930365742787</v>
      </c>
      <c r="BZ45">
        <f>IF(AND(ISNUMBER(BY45),逐级计算!$X$77&gt;-1),IF(逐级计算!$X$77=0,BY45+逐级计算!$C$77,BY45+逐级计算!$C$77-(10/(逐级计算!$Q$77*LN(10))*(MAX((LN(10^(逐级计算!$Q$77/10)-1)+逐级计算!$Q$77*(BY45-逐级计算!$P$77)*LN(10)/10),0)+LN(1+EXP(-ABS((LN(10^(逐级计算!$Q$77/10)-1)+逐级计算!$Q$77*(BY45-逐级计算!$P$77)*LN(10)/10))))))),"")</f>
        <v>13.7930365742787</v>
      </c>
      <c r="CA45">
        <f>IF(AND(ISNUMBER(BZ45),逐级计算!$X$78&gt;-1),IF(逐级计算!$X$78=0,BZ45+逐级计算!$C$78,BZ45+逐级计算!$C$78-(10/(逐级计算!$Q$78*LN(10))*(MAX((LN(10^(逐级计算!$Q$78/10)-1)+逐级计算!$Q$78*(BZ45-逐级计算!$P$78)*LN(10)/10),0)+LN(1+EXP(-ABS((LN(10^(逐级计算!$Q$78/10)-1)+逐级计算!$Q$78*(BZ45-逐级计算!$P$78)*LN(10)/10))))))),"")</f>
        <v>13.7930365742787</v>
      </c>
      <c r="CB45">
        <f>IF(AND(ISNUMBER(CA45),逐级计算!$X$79&gt;-1),IF(逐级计算!$X$79=0,CA45+逐级计算!$C$79,CA45+逐级计算!$C$79-(10/(逐级计算!$Q$79*LN(10))*(MAX((LN(10^(逐级计算!$Q$79/10)-1)+逐级计算!$Q$79*(CA45-逐级计算!$P$79)*LN(10)/10),0)+LN(1+EXP(-ABS((LN(10^(逐级计算!$Q$79/10)-1)+逐级计算!$Q$79*(CA45-逐级计算!$P$79)*LN(10)/10))))))),"")</f>
        <v>13.7930365742787</v>
      </c>
      <c r="CC45">
        <f>IF(AND(ISNUMBER(CB45),逐级计算!$X$80&gt;-1),IF(逐级计算!$X$80=0,CB45+逐级计算!$C$80,CB45+逐级计算!$C$80-(10/(逐级计算!$Q$80*LN(10))*(MAX((LN(10^(逐级计算!$Q$80/10)-1)+逐级计算!$Q$80*(CB45-逐级计算!$P$80)*LN(10)/10),0)+LN(1+EXP(-ABS((LN(10^(逐级计算!$Q$80/10)-1)+逐级计算!$Q$80*(CB45-逐级计算!$P$80)*LN(10)/10))))))),"")</f>
        <v>13.7930365742787</v>
      </c>
      <c r="CD45">
        <f>IF(AND(ISNUMBER(CC45),逐级计算!$X$81&gt;-1),IF(逐级计算!$X$81=0,CC45+逐级计算!$C$81,CC45+逐级计算!$C$81-(10/(逐级计算!$Q$81*LN(10))*(MAX((LN(10^(逐级计算!$Q$81/10)-1)+逐级计算!$Q$81*(CC45-逐级计算!$P$81)*LN(10)/10),0)+LN(1+EXP(-ABS((LN(10^(逐级计算!$Q$81/10)-1)+逐级计算!$Q$81*(CC45-逐级计算!$P$81)*LN(10)/10))))))),"")</f>
        <v>13.7930365742787</v>
      </c>
      <c r="CE45">
        <f>IF(AND(ISNUMBER(CD45),逐级计算!$X$82&gt;-1),IF(逐级计算!$X$82=0,CD45+逐级计算!$C$82,CD45+逐级计算!$C$82-(10/(逐级计算!$Q$82*LN(10))*(MAX((LN(10^(逐级计算!$Q$82/10)-1)+逐级计算!$Q$82*(CD45-逐级计算!$P$82)*LN(10)/10),0)+LN(1+EXP(-ABS((LN(10^(逐级计算!$Q$82/10)-1)+逐级计算!$Q$82*(CD45-逐级计算!$P$82)*LN(10)/10))))))),"")</f>
        <v>13.7930365742787</v>
      </c>
      <c r="CF45">
        <f>IF(AND(ISNUMBER(CE45),逐级计算!$X$83&gt;-1),IF(逐级计算!$X$83=0,CE45+逐级计算!$C$83,CE45+逐级计算!$C$83-(10/(逐级计算!$Q$83*LN(10))*(MAX((LN(10^(逐级计算!$Q$83/10)-1)+逐级计算!$Q$83*(CE45-逐级计算!$P$83)*LN(10)/10),0)+LN(1+EXP(-ABS((LN(10^(逐级计算!$Q$83/10)-1)+逐级计算!$Q$83*(CE45-逐级计算!$P$83)*LN(10)/10))))))),"")</f>
        <v>13.7930365742787</v>
      </c>
      <c r="CG45">
        <f>IF(AND(ISNUMBER(CF45),逐级计算!$X$84&gt;-1),IF(逐级计算!$X$84=0,CF45+逐级计算!$C$84,CF45+逐级计算!$C$84-(10/(逐级计算!$Q$84*LN(10))*(MAX((LN(10^(逐级计算!$Q$84/10)-1)+逐级计算!$Q$84*(CF45-逐级计算!$P$84)*LN(10)/10),0)+LN(1+EXP(-ABS((LN(10^(逐级计算!$Q$84/10)-1)+逐级计算!$Q$84*(CF45-逐级计算!$P$84)*LN(10)/10))))))),"")</f>
        <v>13.7930365742787</v>
      </c>
      <c r="CH45">
        <f>IF(AND(ISNUMBER(CG45),逐级计算!$X$85&gt;-1),IF(逐级计算!$X$85=0,CG45+逐级计算!$C$85,CG45+逐级计算!$C$85-(10/(逐级计算!$Q$85*LN(10))*(MAX((LN(10^(逐级计算!$Q$85/10)-1)+逐级计算!$Q$85*(CG45-逐级计算!$P$85)*LN(10)/10),0)+LN(1+EXP(-ABS((LN(10^(逐级计算!$Q$85/10)-1)+逐级计算!$Q$85*(CG45-逐级计算!$P$85)*LN(10)/10))))))),"")</f>
        <v>13.7930365742787</v>
      </c>
      <c r="CI45">
        <f>IF(AND(ISNUMBER(CH45),逐级计算!$X$86&gt;-1),IF(逐级计算!$X$86=0,CH45+逐级计算!$C$86,CH45+逐级计算!$C$86-(10/(逐级计算!$Q$86*LN(10))*(MAX((LN(10^(逐级计算!$Q$86/10)-1)+逐级计算!$Q$86*(CH45-逐级计算!$P$86)*LN(10)/10),0)+LN(1+EXP(-ABS((LN(10^(逐级计算!$Q$86/10)-1)+逐级计算!$Q$86*(CH45-逐级计算!$P$86)*LN(10)/10))))))),"")</f>
        <v>13.7930365742787</v>
      </c>
      <c r="CJ45">
        <f>IF(AND(ISNUMBER(CI45),逐级计算!$X$87&gt;-1),IF(逐级计算!$X$87=0,CI45+逐级计算!$C$87,CI45+逐级计算!$C$87-(10/(逐级计算!$Q$87*LN(10))*(MAX((LN(10^(逐级计算!$Q$87/10)-1)+逐级计算!$Q$87*(CI45-逐级计算!$P$87)*LN(10)/10),0)+LN(1+EXP(-ABS((LN(10^(逐级计算!$Q$87/10)-1)+逐级计算!$Q$87*(CI45-逐级计算!$P$87)*LN(10)/10))))))),"")</f>
        <v>13.7930365742787</v>
      </c>
      <c r="CK45">
        <f>IF(AND(ISNUMBER(CJ45),逐级计算!$X$88&gt;-1),IF(逐级计算!$X$88=0,CJ45+逐级计算!$C$88,CJ45+逐级计算!$C$88-(10/(逐级计算!$Q$88*LN(10))*(MAX((LN(10^(逐级计算!$Q$88/10)-1)+逐级计算!$Q$88*(CJ45-逐级计算!$P$88)*LN(10)/10),0)+LN(1+EXP(-ABS((LN(10^(逐级计算!$Q$88/10)-1)+逐级计算!$Q$88*(CJ45-逐级计算!$P$88)*LN(10)/10))))))),"")</f>
        <v>13.7930365742787</v>
      </c>
      <c r="CL45">
        <f>IF(AND(ISNUMBER(CK45),逐级计算!$X$89&gt;-1),IF(逐级计算!$X$89=0,CK45+逐级计算!$C$89,CK45+逐级计算!$C$89-(10/(逐级计算!$Q$89*LN(10))*(MAX((LN(10^(逐级计算!$Q$89/10)-1)+逐级计算!$Q$89*(CK45-逐级计算!$P$89)*LN(10)/10),0)+LN(1+EXP(-ABS((LN(10^(逐级计算!$Q$89/10)-1)+逐级计算!$Q$89*(CK45-逐级计算!$P$89)*LN(10)/10))))))),"")</f>
        <v>13.7930365742787</v>
      </c>
      <c r="CM45">
        <f>IF(AND(ISNUMBER(CL45),逐级计算!$X$90&gt;-1),IF(逐级计算!$X$90=0,CL45+逐级计算!$C$90,CL45+逐级计算!$C$90-(10/(逐级计算!$Q$90*LN(10))*(MAX((LN(10^(逐级计算!$Q$90/10)-1)+逐级计算!$Q$90*(CL45-逐级计算!$P$90)*LN(10)/10),0)+LN(1+EXP(-ABS((LN(10^(逐级计算!$Q$90/10)-1)+逐级计算!$Q$90*(CL45-逐级计算!$P$90)*LN(10)/10))))))),"")</f>
        <v>13.7930365742787</v>
      </c>
      <c r="CN45">
        <f>IF(AND(ISNUMBER(CM45),逐级计算!$X$91&gt;-1),IF(逐级计算!$X$91=0,CM45+逐级计算!$C$91,CM45+逐级计算!$C$91-(10/(逐级计算!$Q$91*LN(10))*(MAX((LN(10^(逐级计算!$Q$91/10)-1)+逐级计算!$Q$91*(CM45-逐级计算!$P$91)*LN(10)/10),0)+LN(1+EXP(-ABS((LN(10^(逐级计算!$Q$91/10)-1)+逐级计算!$Q$91*(CM45-逐级计算!$P$91)*LN(10)/10))))))),"")</f>
        <v>13.7930365742787</v>
      </c>
      <c r="CO45">
        <f>IF(AND(ISNUMBER(CN45),逐级计算!$X$92&gt;-1),IF(逐级计算!$X$92=0,CN45+逐级计算!$C$92,CN45+逐级计算!$C$92-(10/(逐级计算!$Q$92*LN(10))*(MAX((LN(10^(逐级计算!$Q$92/10)-1)+逐级计算!$Q$92*(CN45-逐级计算!$P$92)*LN(10)/10),0)+LN(1+EXP(-ABS((LN(10^(逐级计算!$Q$92/10)-1)+逐级计算!$Q$92*(CN45-逐级计算!$P$92)*LN(10)/10))))))),"")</f>
        <v>13.7930365742787</v>
      </c>
      <c r="CP45">
        <f>IF(AND(ISNUMBER(CO45),逐级计算!$X$93&gt;-1),IF(逐级计算!$X$93=0,CO45+逐级计算!$C$93,CO45+逐级计算!$C$93-(10/(逐级计算!$Q$93*LN(10))*(MAX((LN(10^(逐级计算!$Q$93/10)-1)+逐级计算!$Q$93*(CO45-逐级计算!$P$93)*LN(10)/10),0)+LN(1+EXP(-ABS((LN(10^(逐级计算!$Q$93/10)-1)+逐级计算!$Q$93*(CO45-逐级计算!$P$93)*LN(10)/10))))))),"")</f>
        <v>13.7930365742787</v>
      </c>
      <c r="CQ45">
        <f>IF(AND(ISNUMBER(CP45),逐级计算!$X$94&gt;-1),IF(逐级计算!$X$94=0,CP45+逐级计算!$C$94,CP45+逐级计算!$C$94-(10/(逐级计算!$Q$94*LN(10))*(MAX((LN(10^(逐级计算!$Q$94/10)-1)+逐级计算!$Q$94*(CP45-逐级计算!$P$94)*LN(10)/10),0)+LN(1+EXP(-ABS((LN(10^(逐级计算!$Q$94/10)-1)+逐级计算!$Q$94*(CP45-逐级计算!$P$94)*LN(10)/10))))))),"")</f>
        <v>13.7930365742787</v>
      </c>
      <c r="CR45">
        <f>IF(AND(ISNUMBER(CQ45),逐级计算!$X$95&gt;-1),IF(逐级计算!$X$95=0,CQ45+逐级计算!$C$95,CQ45+逐级计算!$C$95-(10/(逐级计算!$Q$95*LN(10))*(MAX((LN(10^(逐级计算!$Q$95/10)-1)+逐级计算!$Q$95*(CQ45-逐级计算!$P$95)*LN(10)/10),0)+LN(1+EXP(-ABS((LN(10^(逐级计算!$Q$95/10)-1)+逐级计算!$Q$95*(CQ45-逐级计算!$P$95)*LN(10)/10))))))),"")</f>
        <v>13.7930365742787</v>
      </c>
      <c r="CS45">
        <f>IF(AND(ISNUMBER(CR45),逐级计算!$X$96&gt;-1),IF(逐级计算!$X$96=0,CR45+逐级计算!$C$96,CR45+逐级计算!$C$96-(10/(逐级计算!$Q$96*LN(10))*(MAX((LN(10^(逐级计算!$Q$96/10)-1)+逐级计算!$Q$96*(CR45-逐级计算!$P$96)*LN(10)/10),0)+LN(1+EXP(-ABS((LN(10^(逐级计算!$Q$96/10)-1)+逐级计算!$Q$96*(CR45-逐级计算!$P$96)*LN(10)/10))))))),"")</f>
        <v>13.7930365742787</v>
      </c>
      <c r="CT45">
        <f>IF(AND(ISNUMBER(CS45),逐级计算!$X$97&gt;-1),IF(逐级计算!$X$97=0,CS45+逐级计算!$C$97,CS45+逐级计算!$C$97-(10/(逐级计算!$Q$97*LN(10))*(MAX((LN(10^(逐级计算!$Q$97/10)-1)+逐级计算!$Q$97*(CS45-逐级计算!$P$97)*LN(10)/10),0)+LN(1+EXP(-ABS((LN(10^(逐级计算!$Q$97/10)-1)+逐级计算!$Q$97*(CS45-逐级计算!$P$97)*LN(10)/10))))))),"")</f>
        <v>13.7930365742787</v>
      </c>
      <c r="CU45">
        <f>IF(AND(ISNUMBER(CT45),逐级计算!$X$98&gt;-1),IF(逐级计算!$X$98=0,CT45+逐级计算!$C$98,CT45+逐级计算!$C$98-(10/(逐级计算!$Q$98*LN(10))*(MAX((LN(10^(逐级计算!$Q$98/10)-1)+逐级计算!$Q$98*(CT45-逐级计算!$P$98)*LN(10)/10),0)+LN(1+EXP(-ABS((LN(10^(逐级计算!$Q$98/10)-1)+逐级计算!$Q$98*(CT45-逐级计算!$P$98)*LN(10)/10))))))),"")</f>
        <v>13.7930365742787</v>
      </c>
      <c r="CV45">
        <f>IF(AND(ISNUMBER(CU45),逐级计算!$X$99&gt;-1),IF(逐级计算!$X$99=0,CU45+逐级计算!$C$99,CU45+逐级计算!$C$99-(10/(逐级计算!$Q$99*LN(10))*(MAX((LN(10^(逐级计算!$Q$99/10)-1)+逐级计算!$Q$99*(CU45-逐级计算!$P$99)*LN(10)/10),0)+LN(1+EXP(-ABS((LN(10^(逐级计算!$Q$99/10)-1)+逐级计算!$Q$99*(CU45-逐级计算!$P$99)*LN(10)/10))))))),"")</f>
        <v>13.7930365742787</v>
      </c>
      <c r="CW45">
        <f>IF(AND(ISNUMBER(CV45),逐级计算!$X$100&gt;-1),IF(逐级计算!$X$100=0,CV45+逐级计算!$C$100,CV45+逐级计算!$C$100-(10/(逐级计算!$Q$100*LN(10))*(MAX((LN(10^(逐级计算!$Q$100/10)-1)+逐级计算!$Q$100*(CV45-逐级计算!$P$100)*LN(10)/10),0)+LN(1+EXP(-ABS((LN(10^(逐级计算!$Q$100/10)-1)+逐级计算!$Q$100*(CV45-逐级计算!$P$100)*LN(10)/10))))))),"")</f>
        <v>13.7930365742787</v>
      </c>
      <c r="CX45">
        <f>IF(AND(ISNUMBER(CW45),逐级计算!$X$101&gt;-1),IF(逐级计算!$X$101=0,CW45+逐级计算!$C$101,CW45+逐级计算!$C$101-(10/(逐级计算!$Q$101*LN(10))*(MAX((LN(10^(逐级计算!$Q$101/10)-1)+逐级计算!$Q$101*(CW45-逐级计算!$P$101)*LN(10)/10),0)+LN(1+EXP(-ABS((LN(10^(逐级计算!$Q$101/10)-1)+逐级计算!$Q$101*(CW45-逐级计算!$P$101)*LN(10)/10))))))),"")</f>
        <v>13.7930365742787</v>
      </c>
      <c r="CY45">
        <f>IF(AND(ISNUMBER(CX45),逐级计算!$X$102&gt;-1),IF(逐级计算!$X$102=0,CX45+逐级计算!$C$102,CX45+逐级计算!$C$102-(10/(逐级计算!$Q$102*LN(10))*(MAX((LN(10^(逐级计算!$Q$102/10)-1)+逐级计算!$Q$102*(CX45-逐级计算!$P$102)*LN(10)/10),0)+LN(1+EXP(-ABS((LN(10^(逐级计算!$Q$102/10)-1)+逐级计算!$Q$102*(CX45-逐级计算!$P$102)*LN(10)/10))))))),"")</f>
        <v>13.7930365742787</v>
      </c>
      <c r="CZ45">
        <f>IF(AND(ISNUMBER(CY45),逐级计算!$X$103&gt;-1),IF(逐级计算!$X$103=0,CY45+逐级计算!$C$103,CY45+逐级计算!$C$103-(10/(逐级计算!$Q$103*LN(10))*(MAX((LN(10^(逐级计算!$Q$103/10)-1)+逐级计算!$Q$103*(CY45-逐级计算!$P$103)*LN(10)/10),0)+LN(1+EXP(-ABS((LN(10^(逐级计算!$Q$103/10)-1)+逐级计算!$Q$103*(CY45-逐级计算!$P$103)*LN(10)/10))))))),"")</f>
        <v>13.7930365742787</v>
      </c>
      <c r="DA45">
        <f>IF(AND(ISNUMBER(CZ45),逐级计算!$X$104&gt;-1),IF(逐级计算!$X$104=0,CZ45+逐级计算!$C$104,CZ45+逐级计算!$C$104-(10/(逐级计算!$Q$104*LN(10))*(MAX((LN(10^(逐级计算!$Q$104/10)-1)+逐级计算!$Q$104*(CZ45-逐级计算!$P$104)*LN(10)/10),0)+LN(1+EXP(-ABS((LN(10^(逐级计算!$Q$104/10)-1)+逐级计算!$Q$104*(CZ45-逐级计算!$P$104)*LN(10)/10))))))),"")</f>
        <v>13.7930365742787</v>
      </c>
      <c r="DB45">
        <f>IF(AND(ISNUMBER(DA45),逐级计算!$X$105&gt;-1),IF(逐级计算!$X$105=0,DA45+逐级计算!$C$105,DA45+逐级计算!$C$105-(10/(逐级计算!$Q$105*LN(10))*(MAX((LN(10^(逐级计算!$Q$105/10)-1)+逐级计算!$Q$105*(DA45-逐级计算!$P$105)*LN(10)/10),0)+LN(1+EXP(-ABS((LN(10^(逐级计算!$Q$105/10)-1)+逐级计算!$Q$105*(DA45-逐级计算!$P$105)*LN(10)/10))))))),"")</f>
        <v>13.7930365742787</v>
      </c>
      <c r="DC45">
        <f>IF(AND(ISNUMBER(DB45),逐级计算!$X$106&gt;-1),IF(逐级计算!$X$106=0,DB45+逐级计算!$C$106,DB45+逐级计算!$C$106-(10/(逐级计算!$Q$106*LN(10))*(MAX((LN(10^(逐级计算!$Q$106/10)-1)+逐级计算!$Q$106*(DB45-逐级计算!$P$106)*LN(10)/10),0)+LN(1+EXP(-ABS((LN(10^(逐级计算!$Q$106/10)-1)+逐级计算!$Q$106*(DB45-逐级计算!$P$106)*LN(10)/10))))))),"")</f>
        <v>13.7930365742787</v>
      </c>
      <c r="DD45">
        <f>IF(AND(ISNUMBER(DC45),逐级计算!$X$107&gt;-1),IF(逐级计算!$X$107=0,DC45+逐级计算!$C$107,DC45+逐级计算!$C$107-(10/(逐级计算!$Q$107*LN(10))*(MAX((LN(10^(逐级计算!$Q$107/10)-1)+逐级计算!$Q$107*(DC45-逐级计算!$P$107)*LN(10)/10),0)+LN(1+EXP(-ABS((LN(10^(逐级计算!$Q$107/10)-1)+逐级计算!$Q$107*(DC45-逐级计算!$P$107)*LN(10)/10))))))),"")</f>
        <v>13.7930365742787</v>
      </c>
      <c r="DE45">
        <f>IF(AND(ISNUMBER(DD45),逐级计算!$X$108&gt;-1),IF(逐级计算!$X$108=0,DD45+逐级计算!$C$108,DD45+逐级计算!$C$108-(10/(逐级计算!$Q$108*LN(10))*(MAX((LN(10^(逐级计算!$Q$108/10)-1)+逐级计算!$Q$108*(DD45-逐级计算!$P$108)*LN(10)/10),0)+LN(1+EXP(-ABS((LN(10^(逐级计算!$Q$108/10)-1)+逐级计算!$Q$108*(DD45-逐级计算!$P$108)*LN(10)/10))))))),"")</f>
        <v>13.7930365742787</v>
      </c>
      <c r="DF45">
        <f>IF(AND(ISNUMBER(DE45),逐级计算!$X$109&gt;-1),IF(逐级计算!$X$109=0,DE45+逐级计算!$C$109,DE45+逐级计算!$C$109-(10/(逐级计算!$Q$109*LN(10))*(MAX((LN(10^(逐级计算!$Q$109/10)-1)+逐级计算!$Q$109*(DE45-逐级计算!$P$109)*LN(10)/10),0)+LN(1+EXP(-ABS((LN(10^(逐级计算!$Q$109/10)-1)+逐级计算!$Q$109*(DE45-逐级计算!$P$109)*LN(10)/10))))))),"")</f>
        <v>13.7930365742787</v>
      </c>
      <c r="DG45">
        <f>IF(AND(ISNUMBER(DF45),逐级计算!$X$110&gt;-1),IF(逐级计算!$X$110=0,DF45+逐级计算!$C$110,DF45+逐级计算!$C$110-(10/(逐级计算!$Q$110*LN(10))*(MAX((LN(10^(逐级计算!$Q$110/10)-1)+逐级计算!$Q$110*(DF45-逐级计算!$P$110)*LN(10)/10),0)+LN(1+EXP(-ABS((LN(10^(逐级计算!$Q$110/10)-1)+逐级计算!$Q$110*(DF45-逐级计算!$P$110)*LN(10)/10))))))),"")</f>
        <v>13.7930365742787</v>
      </c>
      <c r="DH45">
        <f>IF(AND(ISNUMBER(DG45),逐级计算!$X$111&gt;-1),IF(逐级计算!$X$111=0,DG45+逐级计算!$C$111,DG45+逐级计算!$C$111-(10/(逐级计算!$Q$111*LN(10))*(MAX((LN(10^(逐级计算!$Q$111/10)-1)+逐级计算!$Q$111*(DG45-逐级计算!$P$111)*LN(10)/10),0)+LN(1+EXP(-ABS((LN(10^(逐级计算!$Q$111/10)-1)+逐级计算!$Q$111*(DG45-逐级计算!$P$111)*LN(10)/10))))))),"")</f>
        <v>13.7930365742787</v>
      </c>
      <c r="DI45">
        <f>IF(AND(ISNUMBER(DH45),逐级计算!$X$112&gt;-1),IF(逐级计算!$X$112=0,DH45+逐级计算!$C$112,DH45+逐级计算!$C$112-(10/(逐级计算!$Q$112*LN(10))*(MAX((LN(10^(逐级计算!$Q$112/10)-1)+逐级计算!$Q$112*(DH45-逐级计算!$P$112)*LN(10)/10),0)+LN(1+EXP(-ABS((LN(10^(逐级计算!$Q$112/10)-1)+逐级计算!$Q$112*(DH45-逐级计算!$P$112)*LN(10)/10))))))),"")</f>
        <v>13.7930365742787</v>
      </c>
      <c r="DJ45">
        <f>IF(AND(ISNUMBER(DI45),逐级计算!$X$113&gt;-1),IF(逐级计算!$X$113=0,DI45+逐级计算!$C$113,DI45+逐级计算!$C$113-(10/(逐级计算!$Q$113*LN(10))*(MAX((LN(10^(逐级计算!$Q$113/10)-1)+逐级计算!$Q$113*(DI45-逐级计算!$P$113)*LN(10)/10),0)+LN(1+EXP(-ABS((LN(10^(逐级计算!$Q$113/10)-1)+逐级计算!$Q$113*(DI45-逐级计算!$P$113)*LN(10)/10))))))),"")</f>
        <v>13.7930365742787</v>
      </c>
      <c r="DK45">
        <f>IF(AND(ISNUMBER(DJ45),逐级计算!$X$114&gt;-1),IF(逐级计算!$X$114=0,DJ45+逐级计算!$C$114,DJ45+逐级计算!$C$114-(10/(逐级计算!$Q$114*LN(10))*(MAX((LN(10^(逐级计算!$Q$114/10)-1)+逐级计算!$Q$114*(DJ45-逐级计算!$P$114)*LN(10)/10),0)+LN(1+EXP(-ABS((LN(10^(逐级计算!$Q$114/10)-1)+逐级计算!$Q$114*(DJ45-逐级计算!$P$114)*LN(10)/10))))))),"")</f>
        <v>13.7930365742787</v>
      </c>
      <c r="DL45">
        <f>IF(AND(ISNUMBER(DK45),逐级计算!$X$115&gt;-1),IF(逐级计算!$X$115=0,DK45+逐级计算!$C$115,DK45+逐级计算!$C$115-(10/(逐级计算!$Q$115*LN(10))*(MAX((LN(10^(逐级计算!$Q$115/10)-1)+逐级计算!$Q$115*(DK45-逐级计算!$P$115)*LN(10)/10),0)+LN(1+EXP(-ABS((LN(10^(逐级计算!$Q$115/10)-1)+逐级计算!$Q$115*(DK45-逐级计算!$P$115)*LN(10)/10))))))),"")</f>
        <v>13.7930365742787</v>
      </c>
      <c r="DM45">
        <f>IF(AND(ISNUMBER(DL45),逐级计算!$X$116&gt;-1),IF(逐级计算!$X$116=0,DL45+逐级计算!$C$116,DL45+逐级计算!$C$116-(10/(逐级计算!$Q$116*LN(10))*(MAX((LN(10^(逐级计算!$Q$116/10)-1)+逐级计算!$Q$116*(DL45-逐级计算!$P$116)*LN(10)/10),0)+LN(1+EXP(-ABS((LN(10^(逐级计算!$Q$116/10)-1)+逐级计算!$Q$116*(DL45-逐级计算!$P$116)*LN(10)/10))))))),"")</f>
        <v>13.7930365742787</v>
      </c>
      <c r="DN45">
        <f>IF(AND(ISNUMBER(DM45),逐级计算!$X$117&gt;-1),IF(逐级计算!$X$117=0,DM45+逐级计算!$C$117,DM45+逐级计算!$C$117-(10/(逐级计算!$Q$117*LN(10))*(MAX((LN(10^(逐级计算!$Q$117/10)-1)+逐级计算!$Q$117*(DM45-逐级计算!$P$117)*LN(10)/10),0)+LN(1+EXP(-ABS((LN(10^(逐级计算!$Q$117/10)-1)+逐级计算!$Q$117*(DM45-逐级计算!$P$117)*LN(10)/10))))))),"")</f>
        <v>13.7930365742787</v>
      </c>
      <c r="DO45">
        <f>IF(AND(ISNUMBER(DN45),逐级计算!$X$118&gt;-1),IF(逐级计算!$X$118=0,DN45+逐级计算!$C$118,DN45+逐级计算!$C$118-(10/(逐级计算!$Q$118*LN(10))*(MAX((LN(10^(逐级计算!$Q$118/10)-1)+逐级计算!$Q$118*(DN45-逐级计算!$P$118)*LN(10)/10),0)+LN(1+EXP(-ABS((LN(10^(逐级计算!$Q$118/10)-1)+逐级计算!$Q$118*(DN45-逐级计算!$P$118)*LN(10)/10))))))),"")</f>
        <v>13.7930365742787</v>
      </c>
      <c r="DP45">
        <f>IF(AND(ISNUMBER(DO45),逐级计算!$X$119&gt;-1),IF(逐级计算!$X$119=0,DO45+逐级计算!$C$119,DO45+逐级计算!$C$119-(10/(逐级计算!$Q$119*LN(10))*(MAX((LN(10^(逐级计算!$Q$119/10)-1)+逐级计算!$Q$119*(DO45-逐级计算!$P$119)*LN(10)/10),0)+LN(1+EXP(-ABS((LN(10^(逐级计算!$Q$119/10)-1)+逐级计算!$Q$119*(DO45-逐级计算!$P$119)*LN(10)/10))))))),"")</f>
        <v>13.7930365742787</v>
      </c>
      <c r="DQ45">
        <f>IF(AND(ISNUMBER(DP45),逐级计算!$X$120&gt;-1),IF(逐级计算!$X$120=0,DP45+逐级计算!$C$120,DP45+逐级计算!$C$120-(10/(逐级计算!$Q$120*LN(10))*(MAX((LN(10^(逐级计算!$Q$120/10)-1)+逐级计算!$Q$120*(DP45-逐级计算!$P$120)*LN(10)/10),0)+LN(1+EXP(-ABS((LN(10^(逐级计算!$Q$120/10)-1)+逐级计算!$Q$120*(DP45-逐级计算!$P$120)*LN(10)/10))))))),"")</f>
        <v>13.7930365742787</v>
      </c>
      <c r="DR45">
        <f>IF(AND(ISNUMBER(DQ45),逐级计算!$X$121&gt;-1),IF(逐级计算!$X$121=0,DQ45+逐级计算!$C$121,DQ45+逐级计算!$C$121-(10/(逐级计算!$Q$121*LN(10))*(MAX((LN(10^(逐级计算!$Q$121/10)-1)+逐级计算!$Q$121*(DQ45-逐级计算!$P$121)*LN(10)/10),0)+LN(1+EXP(-ABS((LN(10^(逐级计算!$Q$121/10)-1)+逐级计算!$Q$121*(DQ45-逐级计算!$P$121)*LN(10)/10))))))),"")</f>
        <v>13.7930365742787</v>
      </c>
      <c r="DS45">
        <f>IF(AND(ISNUMBER(DR45),逐级计算!$X$122&gt;-1),IF(逐级计算!$X$122=0,DR45+逐级计算!$C$122,DR45+逐级计算!$C$122-(10/(逐级计算!$Q$122*LN(10))*(MAX((LN(10^(逐级计算!$Q$122/10)-1)+逐级计算!$Q$122*(DR45-逐级计算!$P$122)*LN(10)/10),0)+LN(1+EXP(-ABS((LN(10^(逐级计算!$Q$122/10)-1)+逐级计算!$Q$122*(DR45-逐级计算!$P$122)*LN(10)/10))))))),"")</f>
        <v>13.7930365742787</v>
      </c>
      <c r="DT45">
        <f>IF(AND(ISNUMBER(DS45),逐级计算!$X$123&gt;-1),IF(逐级计算!$X$123=0,DS45+逐级计算!$C$123,DS45+逐级计算!$C$123-(10/(逐级计算!$Q$123*LN(10))*(MAX((LN(10^(逐级计算!$Q$123/10)-1)+逐级计算!$Q$123*(DS45-逐级计算!$P$123)*LN(10)/10),0)+LN(1+EXP(-ABS((LN(10^(逐级计算!$Q$123/10)-1)+逐级计算!$Q$123*(DS45-逐级计算!$P$123)*LN(10)/10))))))),"")</f>
        <v>13.7930365742787</v>
      </c>
      <c r="DU45">
        <f>IF(AND(ISNUMBER(DT45),逐级计算!$X$124&gt;-1),IF(逐级计算!$X$124=0,DT45+逐级计算!$C$124,DT45+逐级计算!$C$124-(10/(逐级计算!$Q$124*LN(10))*(MAX((LN(10^(逐级计算!$Q$124/10)-1)+逐级计算!$Q$124*(DT45-逐级计算!$P$124)*LN(10)/10),0)+LN(1+EXP(-ABS((LN(10^(逐级计算!$Q$124/10)-1)+逐级计算!$Q$124*(DT45-逐级计算!$P$124)*LN(10)/10))))))),"")</f>
        <v>13.7930365742787</v>
      </c>
      <c r="DV45">
        <f>IF(AND(ISNUMBER(DU45),逐级计算!$X$125&gt;-1),IF(逐级计算!$X$125=0,DU45+逐级计算!$C$125,DU45+逐级计算!$C$125-(10/(逐级计算!$Q$125*LN(10))*(MAX((LN(10^(逐级计算!$Q$125/10)-1)+逐级计算!$Q$125*(DU45-逐级计算!$P$125)*LN(10)/10),0)+LN(1+EXP(-ABS((LN(10^(逐级计算!$Q$125/10)-1)+逐级计算!$Q$125*(DU45-逐级计算!$P$125)*LN(10)/10))))))),"")</f>
        <v>13.7930365742787</v>
      </c>
      <c r="DW45">
        <f>IF(AND(ISNUMBER(DV45),逐级计算!$X$126&gt;-1),IF(逐级计算!$X$126=0,DV45+逐级计算!$C$126,DV45+逐级计算!$C$126-(10/(逐级计算!$Q$126*LN(10))*(MAX((LN(10^(逐级计算!$Q$126/10)-1)+逐级计算!$Q$126*(DV45-逐级计算!$P$126)*LN(10)/10),0)+LN(1+EXP(-ABS((LN(10^(逐级计算!$Q$126/10)-1)+逐级计算!$Q$126*(DV45-逐级计算!$P$126)*LN(10)/10))))))),"")</f>
        <v>13.7930365742787</v>
      </c>
      <c r="DX45">
        <f>IF(AND(ISNUMBER(DW45),逐级计算!$X$127&gt;-1),IF(逐级计算!$X$127=0,DW45+逐级计算!$C$127,DW45+逐级计算!$C$127-(10/(逐级计算!$Q$127*LN(10))*(MAX((LN(10^(逐级计算!$Q$127/10)-1)+逐级计算!$Q$127*(DW45-逐级计算!$P$127)*LN(10)/10),0)+LN(1+EXP(-ABS((LN(10^(逐级计算!$Q$127/10)-1)+逐级计算!$Q$127*(DW45-逐级计算!$P$127)*LN(10)/10))))))),"")</f>
        <v>13.7930365742787</v>
      </c>
      <c r="DY45">
        <f>IF(AND(ISNUMBER(DX45),逐级计算!$X$128&gt;-1),IF(逐级计算!$X$128=0,DX45+逐级计算!$C$128,DX45+逐级计算!$C$128-(10/(逐级计算!$Q$128*LN(10))*(MAX((LN(10^(逐级计算!$Q$128/10)-1)+逐级计算!$Q$128*(DX45-逐级计算!$P$128)*LN(10)/10),0)+LN(1+EXP(-ABS((LN(10^(逐级计算!$Q$128/10)-1)+逐级计算!$Q$128*(DX45-逐级计算!$P$128)*LN(10)/10))))))),"")</f>
        <v>13.7930365742787</v>
      </c>
      <c r="DZ45">
        <f>IF(AND(ISNUMBER(DY45),逐级计算!$X$129&gt;-1),IF(逐级计算!$X$129=0,DY45+逐级计算!$C$129,DY45+逐级计算!$C$129-(10/(逐级计算!$Q$129*LN(10))*(MAX((LN(10^(逐级计算!$Q$129/10)-1)+逐级计算!$Q$129*(DY45-逐级计算!$P$129)*LN(10)/10),0)+LN(1+EXP(-ABS((LN(10^(逐级计算!$Q$129/10)-1)+逐级计算!$Q$129*(DY45-逐级计算!$P$129)*LN(10)/10))))))),"")</f>
        <v>13.7930365742787</v>
      </c>
      <c r="EA45">
        <f>IF(AND(ISNUMBER(DZ45),逐级计算!$X$130&gt;-1),IF(逐级计算!$X$130=0,DZ45+逐级计算!$C$130,DZ45+逐级计算!$C$130-(10/(逐级计算!$Q$130*LN(10))*(MAX((LN(10^(逐级计算!$Q$130/10)-1)+逐级计算!$Q$130*(DZ45-逐级计算!$P$130)*LN(10)/10),0)+LN(1+EXP(-ABS((LN(10^(逐级计算!$Q$130/10)-1)+逐级计算!$Q$130*(DZ45-逐级计算!$P$130)*LN(10)/10))))))),"")</f>
        <v>13.7930365742787</v>
      </c>
      <c r="EB45">
        <f>IF(AND(ISNUMBER(EA45),逐级计算!$X$131&gt;-1),IF(逐级计算!$X$131=0,EA45+逐级计算!$C$131,EA45+逐级计算!$C$131-(10/(逐级计算!$Q$131*LN(10))*(MAX((LN(10^(逐级计算!$Q$131/10)-1)+逐级计算!$Q$131*(EA45-逐级计算!$P$131)*LN(10)/10),0)+LN(1+EXP(-ABS((LN(10^(逐级计算!$Q$131/10)-1)+逐级计算!$Q$131*(EA45-逐级计算!$P$131)*LN(10)/10))))))),"")</f>
        <v>13.7930365742787</v>
      </c>
      <c r="EC45">
        <f>IF(AND(ISNUMBER(EB45),逐级计算!$X$132&gt;-1),IF(逐级计算!$X$132=0,EB45+逐级计算!$C$132,EB45+逐级计算!$C$132-(10/(逐级计算!$Q$132*LN(10))*(MAX((LN(10^(逐级计算!$Q$132/10)-1)+逐级计算!$Q$132*(EB45-逐级计算!$P$132)*LN(10)/10),0)+LN(1+EXP(-ABS((LN(10^(逐级计算!$Q$132/10)-1)+逐级计算!$Q$132*(EB45-逐级计算!$P$132)*LN(10)/10))))))),"")</f>
        <v>13.7930365742787</v>
      </c>
      <c r="ED45">
        <f>IF(AND(ISNUMBER(EC45),逐级计算!$X$133&gt;-1),IF(逐级计算!$X$133=0,EC45+逐级计算!$C$133,EC45+逐级计算!$C$133-(10/(逐级计算!$Q$133*LN(10))*(MAX((LN(10^(逐级计算!$Q$133/10)-1)+逐级计算!$Q$133*(EC45-逐级计算!$P$133)*LN(10)/10),0)+LN(1+EXP(-ABS((LN(10^(逐级计算!$Q$133/10)-1)+逐级计算!$Q$133*(EC45-逐级计算!$P$133)*LN(10)/10))))))),"")</f>
        <v>13.7930365742787</v>
      </c>
      <c r="EE45">
        <f>IF(AND(ISNUMBER(ED45),逐级计算!$X$134&gt;-1),IF(逐级计算!$X$134=0,ED45+逐级计算!$C$134,ED45+逐级计算!$C$134-(10/(逐级计算!$Q$134*LN(10))*(MAX((LN(10^(逐级计算!$Q$134/10)-1)+逐级计算!$Q$134*(ED45-逐级计算!$P$134)*LN(10)/10),0)+LN(1+EXP(-ABS((LN(10^(逐级计算!$Q$134/10)-1)+逐级计算!$Q$134*(ED45-逐级计算!$P$134)*LN(10)/10))))))),"")</f>
        <v>13.7930365742787</v>
      </c>
      <c r="EF45">
        <f>IF(AND(ISNUMBER(EE45),逐级计算!$X$135&gt;-1),IF(逐级计算!$X$135=0,EE45+逐级计算!$C$135,EE45+逐级计算!$C$135-(10/(逐级计算!$Q$135*LN(10))*(MAX((LN(10^(逐级计算!$Q$135/10)-1)+逐级计算!$Q$135*(EE45-逐级计算!$P$135)*LN(10)/10),0)+LN(1+EXP(-ABS((LN(10^(逐级计算!$Q$135/10)-1)+逐级计算!$Q$135*(EE45-逐级计算!$P$135)*LN(10)/10))))))),"")</f>
        <v>13.7930365742787</v>
      </c>
      <c r="EG45">
        <f>IF(AND(ISNUMBER(EF45),逐级计算!$X$136&gt;-1),IF(逐级计算!$X$136=0,EF45+逐级计算!$C$136,EF45+逐级计算!$C$136-(10/(逐级计算!$Q$136*LN(10))*(MAX((LN(10^(逐级计算!$Q$136/10)-1)+逐级计算!$Q$136*(EF45-逐级计算!$P$136)*LN(10)/10),0)+LN(1+EXP(-ABS((LN(10^(逐级计算!$Q$136/10)-1)+逐级计算!$Q$136*(EF45-逐级计算!$P$136)*LN(10)/10))))))),"")</f>
        <v>13.7930365742787</v>
      </c>
      <c r="EH45">
        <f>IF(AND(ISNUMBER(EG45),逐级计算!$X$137&gt;-1),IF(逐级计算!$X$137=0,EG45+逐级计算!$C$137,EG45+逐级计算!$C$137-(10/(逐级计算!$Q$137*LN(10))*(MAX((LN(10^(逐级计算!$Q$137/10)-1)+逐级计算!$Q$137*(EG45-逐级计算!$P$137)*LN(10)/10),0)+LN(1+EXP(-ABS((LN(10^(逐级计算!$Q$137/10)-1)+逐级计算!$Q$137*(EG45-逐级计算!$P$137)*LN(10)/10))))))),"")</f>
        <v>13.7930365742787</v>
      </c>
      <c r="EI45">
        <f>IF(AND(ISNUMBER(EH45),逐级计算!$X$138&gt;-1),IF(逐级计算!$X$138=0,EH45+逐级计算!$C$138,EH45+逐级计算!$C$138-(10/(逐级计算!$Q$138*LN(10))*(MAX((LN(10^(逐级计算!$Q$138/10)-1)+逐级计算!$Q$138*(EH45-逐级计算!$P$138)*LN(10)/10),0)+LN(1+EXP(-ABS((LN(10^(逐级计算!$Q$138/10)-1)+逐级计算!$Q$138*(EH45-逐级计算!$P$138)*LN(10)/10))))))),"")</f>
        <v>13.7930365742787</v>
      </c>
      <c r="EJ45">
        <f>IF(AND(ISNUMBER(EI45),逐级计算!$X$139&gt;-1),IF(逐级计算!$X$139=0,EI45+逐级计算!$C$139,EI45+逐级计算!$C$139-(10/(逐级计算!$Q$139*LN(10))*(MAX((LN(10^(逐级计算!$Q$139/10)-1)+逐级计算!$Q$139*(EI45-逐级计算!$P$139)*LN(10)/10),0)+LN(1+EXP(-ABS((LN(10^(逐级计算!$Q$139/10)-1)+逐级计算!$Q$139*(EI45-逐级计算!$P$139)*LN(10)/10))))))),"")</f>
        <v>13.7930365742787</v>
      </c>
      <c r="EK45">
        <f>IF(AND(ISNUMBER(EJ45),逐级计算!$X$140&gt;-1),IF(逐级计算!$X$140=0,EJ45+逐级计算!$C$140,EJ45+逐级计算!$C$140-(10/(逐级计算!$Q$140*LN(10))*(MAX((LN(10^(逐级计算!$Q$140/10)-1)+逐级计算!$Q$140*(EJ45-逐级计算!$P$140)*LN(10)/10),0)+LN(1+EXP(-ABS((LN(10^(逐级计算!$Q$140/10)-1)+逐级计算!$Q$140*(EJ45-逐级计算!$P$140)*LN(10)/10))))))),"")</f>
        <v>13.7930365742787</v>
      </c>
      <c r="EL45">
        <f>IF(AND(ISNUMBER(EK45),逐级计算!$X$141&gt;-1),IF(逐级计算!$X$141=0,EK45+逐级计算!$C$141,EK45+逐级计算!$C$141-(10/(逐级计算!$Q$141*LN(10))*(MAX((LN(10^(逐级计算!$Q$141/10)-1)+逐级计算!$Q$141*(EK45-逐级计算!$P$141)*LN(10)/10),0)+LN(1+EXP(-ABS((LN(10^(逐级计算!$Q$141/10)-1)+逐级计算!$Q$141*(EK45-逐级计算!$P$141)*LN(10)/10))))))),"")</f>
        <v>13.7930365742787</v>
      </c>
      <c r="EM45">
        <f>IF(AND(ISNUMBER(EL45),逐级计算!$X$142&gt;-1),IF(逐级计算!$X$142=0,EL45+逐级计算!$C$142,EL45+逐级计算!$C$142-(10/(逐级计算!$Q$142*LN(10))*(MAX((LN(10^(逐级计算!$Q$142/10)-1)+逐级计算!$Q$142*(EL45-逐级计算!$P$142)*LN(10)/10),0)+LN(1+EXP(-ABS((LN(10^(逐级计算!$Q$142/10)-1)+逐级计算!$Q$142*(EL45-逐级计算!$P$142)*LN(10)/10))))))),"")</f>
        <v>13.7930365742787</v>
      </c>
      <c r="EN45">
        <f>IF(AND(ISNUMBER(EM45),逐级计算!$X$143&gt;-1),IF(逐级计算!$X$143=0,EM45+逐级计算!$C$143,EM45+逐级计算!$C$143-(10/(逐级计算!$Q$143*LN(10))*(MAX((LN(10^(逐级计算!$Q$143/10)-1)+逐级计算!$Q$143*(EM45-逐级计算!$P$143)*LN(10)/10),0)+LN(1+EXP(-ABS((LN(10^(逐级计算!$Q$143/10)-1)+逐级计算!$Q$143*(EM45-逐级计算!$P$143)*LN(10)/10))))))),"")</f>
        <v>13.7930365742787</v>
      </c>
      <c r="EO45">
        <f>IF(AND(ISNUMBER(EN45),逐级计算!$X$144&gt;-1),IF(逐级计算!$X$144=0,EN45+逐级计算!$C$144,EN45+逐级计算!$C$144-(10/(逐级计算!$Q$144*LN(10))*(MAX((LN(10^(逐级计算!$Q$144/10)-1)+逐级计算!$Q$144*(EN45-逐级计算!$P$144)*LN(10)/10),0)+LN(1+EXP(-ABS((LN(10^(逐级计算!$Q$144/10)-1)+逐级计算!$Q$144*(EN45-逐级计算!$P$144)*LN(10)/10))))))),"")</f>
        <v>13.7930365742787</v>
      </c>
      <c r="EP45">
        <f>IF(AND(ISNUMBER(EO45),逐级计算!$X$145&gt;-1),IF(逐级计算!$X$145=0,EO45+逐级计算!$C$145,EO45+逐级计算!$C$145-(10/(逐级计算!$Q$145*LN(10))*(MAX((LN(10^(逐级计算!$Q$145/10)-1)+逐级计算!$Q$145*(EO45-逐级计算!$P$145)*LN(10)/10),0)+LN(1+EXP(-ABS((LN(10^(逐级计算!$Q$145/10)-1)+逐级计算!$Q$145*(EO45-逐级计算!$P$145)*LN(10)/10))))))),"")</f>
        <v>13.7930365742787</v>
      </c>
      <c r="EQ45">
        <f>IF(AND(ISNUMBER(EP45),逐级计算!$X$146&gt;-1),IF(逐级计算!$X$146=0,EP45+逐级计算!$C$146,EP45+逐级计算!$C$146-(10/(逐级计算!$Q$146*LN(10))*(MAX((LN(10^(逐级计算!$Q$146/10)-1)+逐级计算!$Q$146*(EP45-逐级计算!$P$146)*LN(10)/10),0)+LN(1+EXP(-ABS((LN(10^(逐级计算!$Q$146/10)-1)+逐级计算!$Q$146*(EP45-逐级计算!$P$146)*LN(10)/10))))))),"")</f>
        <v>13.7930365742787</v>
      </c>
      <c r="ER45">
        <f>IF(AND(ISNUMBER(EQ45),逐级计算!$X$147&gt;-1),IF(逐级计算!$X$147=0,EQ45+逐级计算!$C$147,EQ45+逐级计算!$C$147-(10/(逐级计算!$Q$147*LN(10))*(MAX((LN(10^(逐级计算!$Q$147/10)-1)+逐级计算!$Q$147*(EQ45-逐级计算!$P$147)*LN(10)/10),0)+LN(1+EXP(-ABS((LN(10^(逐级计算!$Q$147/10)-1)+逐级计算!$Q$147*(EQ45-逐级计算!$P$147)*LN(10)/10))))))),"")</f>
        <v>13.7930365742787</v>
      </c>
      <c r="ES45">
        <f>IF(AND(ISNUMBER(ER45),逐级计算!$X$148&gt;-1),IF(逐级计算!$X$148=0,ER45+逐级计算!$C$148,ER45+逐级计算!$C$148-(10/(逐级计算!$Q$148*LN(10))*(MAX((LN(10^(逐级计算!$Q$148/10)-1)+逐级计算!$Q$148*(ER45-逐级计算!$P$148)*LN(10)/10),0)+LN(1+EXP(-ABS((LN(10^(逐级计算!$Q$148/10)-1)+逐级计算!$Q$148*(ER45-逐级计算!$P$148)*LN(10)/10))))))),"")</f>
        <v>13.7930365742787</v>
      </c>
      <c r="ET45">
        <f>IF(AND(ISNUMBER(ES45),逐级计算!$X$149&gt;-1),IF(逐级计算!$X$149=0,ES45+逐级计算!$C$149,ES45+逐级计算!$C$149-(10/(逐级计算!$Q$149*LN(10))*(MAX((LN(10^(逐级计算!$Q$149/10)-1)+逐级计算!$Q$149*(ES45-逐级计算!$P$149)*LN(10)/10),0)+LN(1+EXP(-ABS((LN(10^(逐级计算!$Q$149/10)-1)+逐级计算!$Q$149*(ES45-逐级计算!$P$149)*LN(10)/10))))))),"")</f>
        <v>13.7930365742787</v>
      </c>
      <c r="EU45">
        <f>IF(AND(ISNUMBER(ET45),逐级计算!$X$150&gt;-1),IF(逐级计算!$X$150=0,ET45+逐级计算!$C$150,ET45+逐级计算!$C$150-(10/(逐级计算!$Q$150*LN(10))*(MAX((LN(10^(逐级计算!$Q$150/10)-1)+逐级计算!$Q$150*(ET45-逐级计算!$P$150)*LN(10)/10),0)+LN(1+EXP(-ABS((LN(10^(逐级计算!$Q$150/10)-1)+逐级计算!$Q$150*(ET45-逐级计算!$P$150)*LN(10)/10))))))),"")</f>
        <v>13.7930365742787</v>
      </c>
      <c r="EV45">
        <f>IF(AND(ISNUMBER(EU45),逐级计算!$X$151&gt;-1),IF(逐级计算!$X$151=0,EU45+逐级计算!$C$151,EU45+逐级计算!$C$151-(10/(逐级计算!$Q$151*LN(10))*(MAX((LN(10^(逐级计算!$Q$151/10)-1)+逐级计算!$Q$151*(EU45-逐级计算!$P$151)*LN(10)/10),0)+LN(1+EXP(-ABS((LN(10^(逐级计算!$Q$151/10)-1)+逐级计算!$Q$151*(EU45-逐级计算!$P$151)*LN(10)/10))))))),"")</f>
        <v>13.7930365742787</v>
      </c>
      <c r="EW45">
        <f>IF(AND(ISNUMBER(EV45),逐级计算!$X$152&gt;-1),IF(逐级计算!$X$152=0,EV45+逐级计算!$C$152,EV45+逐级计算!$C$152-(10/(逐级计算!$Q$152*LN(10))*(MAX((LN(10^(逐级计算!$Q$152/10)-1)+逐级计算!$Q$152*(EV45-逐级计算!$P$152)*LN(10)/10),0)+LN(1+EXP(-ABS((LN(10^(逐级计算!$Q$152/10)-1)+逐级计算!$Q$152*(EV45-逐级计算!$P$152)*LN(10)/10))))))),"")</f>
        <v>13.7930365742787</v>
      </c>
      <c r="EX45">
        <f>IF(AND(ISNUMBER(EW45),逐级计算!$X$153&gt;-1),IF(逐级计算!$X$153=0,EW45+逐级计算!$C$153,EW45+逐级计算!$C$153-(10/(逐级计算!$Q$153*LN(10))*(MAX((LN(10^(逐级计算!$Q$153/10)-1)+逐级计算!$Q$153*(EW45-逐级计算!$P$153)*LN(10)/10),0)+LN(1+EXP(-ABS((LN(10^(逐级计算!$Q$153/10)-1)+逐级计算!$Q$153*(EW45-逐级计算!$P$153)*LN(10)/10))))))),"")</f>
        <v>13.7930365742787</v>
      </c>
      <c r="EY45">
        <f>IF(AND(ISNUMBER(EX45),逐级计算!$X$154&gt;-1),IF(逐级计算!$X$154=0,EX45+逐级计算!$C$154,EX45+逐级计算!$C$154-(10/(逐级计算!$Q$154*LN(10))*(MAX((LN(10^(逐级计算!$Q$154/10)-1)+逐级计算!$Q$154*(EX45-逐级计算!$P$154)*LN(10)/10),0)+LN(1+EXP(-ABS((LN(10^(逐级计算!$Q$154/10)-1)+逐级计算!$Q$154*(EX45-逐级计算!$P$154)*LN(10)/10))))))),"")</f>
        <v>13.7930365742787</v>
      </c>
      <c r="EZ45">
        <f>IF(AND(ISNUMBER(EY45),逐级计算!$X$155&gt;-1),IF(逐级计算!$X$155=0,EY45+逐级计算!$C$155,EY45+逐级计算!$C$155-(10/(逐级计算!$Q$155*LN(10))*(MAX((LN(10^(逐级计算!$Q$155/10)-1)+逐级计算!$Q$155*(EY45-逐级计算!$P$155)*LN(10)/10),0)+LN(1+EXP(-ABS((LN(10^(逐级计算!$Q$155/10)-1)+逐级计算!$Q$155*(EY45-逐级计算!$P$155)*LN(10)/10))))))),"")</f>
        <v>13.7930365742787</v>
      </c>
      <c r="FA45">
        <f>IF(AND(ISNUMBER(EZ45),逐级计算!$X$156&gt;-1),IF(逐级计算!$X$156=0,EZ45+逐级计算!$C$156,EZ45+逐级计算!$C$156-(10/(逐级计算!$Q$156*LN(10))*(MAX((LN(10^(逐级计算!$Q$156/10)-1)+逐级计算!$Q$156*(EZ45-逐级计算!$P$156)*LN(10)/10),0)+LN(1+EXP(-ABS((LN(10^(逐级计算!$Q$156/10)-1)+逐级计算!$Q$156*(EZ45-逐级计算!$P$156)*LN(10)/10))))))),"")</f>
        <v>13.7930365742787</v>
      </c>
      <c r="FB45">
        <f>IF(AND(ISNUMBER(FA45),逐级计算!$X$157&gt;-1),IF(逐级计算!$X$157=0,FA45+逐级计算!$C$157,FA45+逐级计算!$C$157-(10/(逐级计算!$Q$157*LN(10))*(MAX((LN(10^(逐级计算!$Q$157/10)-1)+逐级计算!$Q$157*(FA45-逐级计算!$P$157)*LN(10)/10),0)+LN(1+EXP(-ABS((LN(10^(逐级计算!$Q$157/10)-1)+逐级计算!$Q$157*(FA45-逐级计算!$P$157)*LN(10)/10))))))),"")</f>
        <v>13.7930365742787</v>
      </c>
      <c r="FC45">
        <f>IF(AND(ISNUMBER(FB45),逐级计算!$X$158&gt;-1),IF(逐级计算!$X$158=0,FB45+逐级计算!$C$158,FB45+逐级计算!$C$158-(10/(逐级计算!$Q$158*LN(10))*(MAX((LN(10^(逐级计算!$Q$158/10)-1)+逐级计算!$Q$158*(FB45-逐级计算!$P$158)*LN(10)/10),0)+LN(1+EXP(-ABS((LN(10^(逐级计算!$Q$158/10)-1)+逐级计算!$Q$158*(FB45-逐级计算!$P$158)*LN(10)/10))))))),"")</f>
        <v>13.7930365742787</v>
      </c>
      <c r="FD45">
        <f>IF(AND(ISNUMBER(FC45),逐级计算!$X$159&gt;-1),IF(逐级计算!$X$159=0,FC45+逐级计算!$C$159,FC45+逐级计算!$C$159-(10/(逐级计算!$Q$159*LN(10))*(MAX((LN(10^(逐级计算!$Q$159/10)-1)+逐级计算!$Q$159*(FC45-逐级计算!$P$159)*LN(10)/10),0)+LN(1+EXP(-ABS((LN(10^(逐级计算!$Q$159/10)-1)+逐级计算!$Q$159*(FC45-逐级计算!$P$159)*LN(10)/10))))))),"")</f>
        <v>13.7930365742787</v>
      </c>
      <c r="FE45">
        <f>IF(AND(ISNUMBER(FD45),逐级计算!$X$160&gt;-1),IF(逐级计算!$X$160=0,FD45+逐级计算!$C$160,FD45+逐级计算!$C$160-(10/(逐级计算!$Q$160*LN(10))*(MAX((LN(10^(逐级计算!$Q$160/10)-1)+逐级计算!$Q$160*(FD45-逐级计算!$P$160)*LN(10)/10),0)+LN(1+EXP(-ABS((LN(10^(逐级计算!$Q$160/10)-1)+逐级计算!$Q$160*(FD45-逐级计算!$P$160)*LN(10)/10))))))),"")</f>
        <v>13.7930365742787</v>
      </c>
      <c r="FF45">
        <f>IF(AND(ISNUMBER(FE45),逐级计算!$X$161&gt;-1),IF(逐级计算!$X$161=0,FE45+逐级计算!$C$161,FE45+逐级计算!$C$161-(10/(逐级计算!$Q$161*LN(10))*(MAX((LN(10^(逐级计算!$Q$161/10)-1)+逐级计算!$Q$161*(FE45-逐级计算!$P$161)*LN(10)/10),0)+LN(1+EXP(-ABS((LN(10^(逐级计算!$Q$161/10)-1)+逐级计算!$Q$161*(FE45-逐级计算!$P$161)*LN(10)/10))))))),"")</f>
        <v>13.7930365742787</v>
      </c>
      <c r="FG45">
        <f>IF(AND(ISNUMBER(FF45),逐级计算!$X$162&gt;-1),IF(逐级计算!$X$162=0,FF45+逐级计算!$C$162,FF45+逐级计算!$C$162-(10/(逐级计算!$Q$162*LN(10))*(MAX((LN(10^(逐级计算!$Q$162/10)-1)+逐级计算!$Q$162*(FF45-逐级计算!$P$162)*LN(10)/10),0)+LN(1+EXP(-ABS((LN(10^(逐级计算!$Q$162/10)-1)+逐级计算!$Q$162*(FF45-逐级计算!$P$162)*LN(10)/10))))))),"")</f>
        <v>13.7930365742787</v>
      </c>
      <c r="FH45">
        <f>IF(AND(ISNUMBER(FG45),逐级计算!$X$163&gt;-1),IF(逐级计算!$X$163=0,FG45+逐级计算!$C$163,FG45+逐级计算!$C$163-(10/(逐级计算!$Q$163*LN(10))*(MAX((LN(10^(逐级计算!$Q$163/10)-1)+逐级计算!$Q$163*(FG45-逐级计算!$P$163)*LN(10)/10),0)+LN(1+EXP(-ABS((LN(10^(逐级计算!$Q$163/10)-1)+逐级计算!$Q$163*(FG45-逐级计算!$P$163)*LN(10)/10))))))),"")</f>
        <v>13.7930365742787</v>
      </c>
      <c r="FI45">
        <f>IF(AND(ISNUMBER(FH45),逐级计算!$X$164&gt;-1),IF(逐级计算!$X$164=0,FH45+逐级计算!$C$164,FH45+逐级计算!$C$164-(10/(逐级计算!$Q$164*LN(10))*(MAX((LN(10^(逐级计算!$Q$164/10)-1)+逐级计算!$Q$164*(FH45-逐级计算!$P$164)*LN(10)/10),0)+LN(1+EXP(-ABS((LN(10^(逐级计算!$Q$164/10)-1)+逐级计算!$Q$164*(FH45-逐级计算!$P$164)*LN(10)/10))))))),"")</f>
        <v>13.7930365742787</v>
      </c>
      <c r="FJ45">
        <f>IF(AND(ISNUMBER(FI45),逐级计算!$X$165&gt;-1),IF(逐级计算!$X$165=0,FI45+逐级计算!$C$165,FI45+逐级计算!$C$165-(10/(逐级计算!$Q$165*LN(10))*(MAX((LN(10^(逐级计算!$Q$165/10)-1)+逐级计算!$Q$165*(FI45-逐级计算!$P$165)*LN(10)/10),0)+LN(1+EXP(-ABS((LN(10^(逐级计算!$Q$165/10)-1)+逐级计算!$Q$165*(FI45-逐级计算!$P$165)*LN(10)/10))))))),"")</f>
        <v>13.7930365742787</v>
      </c>
      <c r="FK45">
        <f>IF(AND(ISNUMBER(FJ45),逐级计算!$X$166&gt;-1),IF(逐级计算!$X$166=0,FJ45+逐级计算!$C$166,FJ45+逐级计算!$C$166-(10/(逐级计算!$Q$166*LN(10))*(MAX((LN(10^(逐级计算!$Q$166/10)-1)+逐级计算!$Q$166*(FJ45-逐级计算!$P$166)*LN(10)/10),0)+LN(1+EXP(-ABS((LN(10^(逐级计算!$Q$166/10)-1)+逐级计算!$Q$166*(FJ45-逐级计算!$P$166)*LN(10)/10))))))),"")</f>
        <v>13.7930365742787</v>
      </c>
      <c r="FL45">
        <f>IF(AND(ISNUMBER(FK45),逐级计算!$X$167&gt;-1),IF(逐级计算!$X$167=0,FK45+逐级计算!$C$167,FK45+逐级计算!$C$167-(10/(逐级计算!$Q$167*LN(10))*(MAX((LN(10^(逐级计算!$Q$167/10)-1)+逐级计算!$Q$167*(FK45-逐级计算!$P$167)*LN(10)/10),0)+LN(1+EXP(-ABS((LN(10^(逐级计算!$Q$167/10)-1)+逐级计算!$Q$167*(FK45-逐级计算!$P$167)*LN(10)/10))))))),"")</f>
        <v>13.7930365742787</v>
      </c>
      <c r="FM45">
        <f>IF(AND(ISNUMBER(FL45),逐级计算!$X$168&gt;-1),IF(逐级计算!$X$168=0,FL45+逐级计算!$C$168,FL45+逐级计算!$C$168-(10/(逐级计算!$Q$168*LN(10))*(MAX((LN(10^(逐级计算!$Q$168/10)-1)+逐级计算!$Q$168*(FL45-逐级计算!$P$168)*LN(10)/10),0)+LN(1+EXP(-ABS((LN(10^(逐级计算!$Q$168/10)-1)+逐级计算!$Q$168*(FL45-逐级计算!$P$168)*LN(10)/10))))))),"")</f>
        <v>13.7930365742787</v>
      </c>
      <c r="FN45">
        <f>IF(AND(ISNUMBER(FM45),逐级计算!$X$169&gt;-1),IF(逐级计算!$X$169=0,FM45+逐级计算!$C$169,FM45+逐级计算!$C$169-(10/(逐级计算!$Q$169*LN(10))*(MAX((LN(10^(逐级计算!$Q$169/10)-1)+逐级计算!$Q$169*(FM45-逐级计算!$P$169)*LN(10)/10),0)+LN(1+EXP(-ABS((LN(10^(逐级计算!$Q$169/10)-1)+逐级计算!$Q$169*(FM45-逐级计算!$P$169)*LN(10)/10))))))),"")</f>
        <v>13.7930365742787</v>
      </c>
      <c r="FO45">
        <f>IF(AND(ISNUMBER(FN45),逐级计算!$X$170&gt;-1),IF(逐级计算!$X$170=0,FN45+逐级计算!$C$170,FN45+逐级计算!$C$170-(10/(逐级计算!$Q$170*LN(10))*(MAX((LN(10^(逐级计算!$Q$170/10)-1)+逐级计算!$Q$170*(FN45-逐级计算!$P$170)*LN(10)/10),0)+LN(1+EXP(-ABS((LN(10^(逐级计算!$Q$170/10)-1)+逐级计算!$Q$170*(FN45-逐级计算!$P$170)*LN(10)/10))))))),"")</f>
        <v>13.7930365742787</v>
      </c>
      <c r="FP45">
        <f>IF(AND(ISNUMBER(FO45),逐级计算!$X$171&gt;-1),IF(逐级计算!$X$171=0,FO45+逐级计算!$C$171,FO45+逐级计算!$C$171-(10/(逐级计算!$Q$171*LN(10))*(MAX((LN(10^(逐级计算!$Q$171/10)-1)+逐级计算!$Q$171*(FO45-逐级计算!$P$171)*LN(10)/10),0)+LN(1+EXP(-ABS((LN(10^(逐级计算!$Q$171/10)-1)+逐级计算!$Q$171*(FO45-逐级计算!$P$171)*LN(10)/10))))))),"")</f>
        <v>13.7930365742787</v>
      </c>
      <c r="FQ45">
        <f>IF(AND(ISNUMBER(FP45),逐级计算!$X$172&gt;-1),IF(逐级计算!$X$172=0,FP45+逐级计算!$C$172,FP45+逐级计算!$C$172-(10/(逐级计算!$Q$172*LN(10))*(MAX((LN(10^(逐级计算!$Q$172/10)-1)+逐级计算!$Q$172*(FP45-逐级计算!$P$172)*LN(10)/10),0)+LN(1+EXP(-ABS((LN(10^(逐级计算!$Q$172/10)-1)+逐级计算!$Q$172*(FP45-逐级计算!$P$172)*LN(10)/10))))))),"")</f>
        <v>13.7930365742787</v>
      </c>
      <c r="FR45">
        <f>IF(AND(ISNUMBER(FQ45),逐级计算!$X$173&gt;-1),IF(逐级计算!$X$173=0,FQ45+逐级计算!$C$173,FQ45+逐级计算!$C$173-(10/(逐级计算!$Q$173*LN(10))*(MAX((LN(10^(逐级计算!$Q$173/10)-1)+逐级计算!$Q$173*(FQ45-逐级计算!$P$173)*LN(10)/10),0)+LN(1+EXP(-ABS((LN(10^(逐级计算!$Q$173/10)-1)+逐级计算!$Q$173*(FQ45-逐级计算!$P$173)*LN(10)/10))))))),"")</f>
        <v>13.7930365742787</v>
      </c>
      <c r="FS45">
        <f>IF(AND(ISNUMBER(FR45),逐级计算!$X$174&gt;-1),IF(逐级计算!$X$174=0,FR45+逐级计算!$C$174,FR45+逐级计算!$C$174-(10/(逐级计算!$Q$174*LN(10))*(MAX((LN(10^(逐级计算!$Q$174/10)-1)+逐级计算!$Q$174*(FR45-逐级计算!$P$174)*LN(10)/10),0)+LN(1+EXP(-ABS((LN(10^(逐级计算!$Q$174/10)-1)+逐级计算!$Q$174*(FR45-逐级计算!$P$174)*LN(10)/10))))))),"")</f>
        <v>13.7930365742787</v>
      </c>
      <c r="FT45">
        <f>IF(AND(ISNUMBER(FS45),逐级计算!$X$175&gt;-1),IF(逐级计算!$X$175=0,FS45+逐级计算!$C$175,FS45+逐级计算!$C$175-(10/(逐级计算!$Q$175*LN(10))*(MAX((LN(10^(逐级计算!$Q$175/10)-1)+逐级计算!$Q$175*(FS45-逐级计算!$P$175)*LN(10)/10),0)+LN(1+EXP(-ABS((LN(10^(逐级计算!$Q$175/10)-1)+逐级计算!$Q$175*(FS45-逐级计算!$P$175)*LN(10)/10))))))),"")</f>
        <v>13.7930365742787</v>
      </c>
      <c r="FU45">
        <f>IF(AND(ISNUMBER(FT45),逐级计算!$X$176&gt;-1),IF(逐级计算!$X$176=0,FT45+逐级计算!$C$176,FT45+逐级计算!$C$176-(10/(逐级计算!$Q$176*LN(10))*(MAX((LN(10^(逐级计算!$Q$176/10)-1)+逐级计算!$Q$176*(FT45-逐级计算!$P$176)*LN(10)/10),0)+LN(1+EXP(-ABS((LN(10^(逐级计算!$Q$176/10)-1)+逐级计算!$Q$176*(FT45-逐级计算!$P$176)*LN(10)/10))))))),"")</f>
        <v>13.7930365742787</v>
      </c>
      <c r="FV45">
        <f>IF(AND(ISNUMBER(FU45),逐级计算!$X$177&gt;-1),IF(逐级计算!$X$177=0,FU45+逐级计算!$C$177,FU45+逐级计算!$C$177-(10/(逐级计算!$Q$177*LN(10))*(MAX((LN(10^(逐级计算!$Q$177/10)-1)+逐级计算!$Q$177*(FU45-逐级计算!$P$177)*LN(10)/10),0)+LN(1+EXP(-ABS((LN(10^(逐级计算!$Q$177/10)-1)+逐级计算!$Q$177*(FU45-逐级计算!$P$177)*LN(10)/10))))))),"")</f>
        <v>13.7930365742787</v>
      </c>
      <c r="FW45">
        <f>IF(AND(ISNUMBER(FV45),逐级计算!$X$178&gt;-1),IF(逐级计算!$X$178=0,FV45+逐级计算!$C$178,FV45+逐级计算!$C$178-(10/(逐级计算!$Q$178*LN(10))*(MAX((LN(10^(逐级计算!$Q$178/10)-1)+逐级计算!$Q$178*(FV45-逐级计算!$P$178)*LN(10)/10),0)+LN(1+EXP(-ABS((LN(10^(逐级计算!$Q$178/10)-1)+逐级计算!$Q$178*(FV45-逐级计算!$P$178)*LN(10)/10))))))),"")</f>
        <v>13.7930365742787</v>
      </c>
      <c r="FX45">
        <f>IF(AND(ISNUMBER(FW45),逐级计算!$X$179&gt;-1),IF(逐级计算!$X$179=0,FW45+逐级计算!$C$179,FW45+逐级计算!$C$179-(10/(逐级计算!$Q$179*LN(10))*(MAX((LN(10^(逐级计算!$Q$179/10)-1)+逐级计算!$Q$179*(FW45-逐级计算!$P$179)*LN(10)/10),0)+LN(1+EXP(-ABS((LN(10^(逐级计算!$Q$179/10)-1)+逐级计算!$Q$179*(FW45-逐级计算!$P$179)*LN(10)/10))))))),"")</f>
        <v>13.7930365742787</v>
      </c>
      <c r="FY45">
        <f>IF(AND(ISNUMBER(FX45),逐级计算!$X$180&gt;-1),IF(逐级计算!$X$180=0,FX45+逐级计算!$C$180,FX45+逐级计算!$C$180-(10/(逐级计算!$Q$180*LN(10))*(MAX((LN(10^(逐级计算!$Q$180/10)-1)+逐级计算!$Q$180*(FX45-逐级计算!$P$180)*LN(10)/10),0)+LN(1+EXP(-ABS((LN(10^(逐级计算!$Q$180/10)-1)+逐级计算!$Q$180*(FX45-逐级计算!$P$180)*LN(10)/10))))))),"")</f>
        <v>13.7930365742787</v>
      </c>
      <c r="FZ45">
        <f>IF(AND(ISNUMBER(FY45),逐级计算!$X$181&gt;-1),IF(逐级计算!$X$181=0,FY45+逐级计算!$C$181,FY45+逐级计算!$C$181-(10/(逐级计算!$Q$181*LN(10))*(MAX((LN(10^(逐级计算!$Q$181/10)-1)+逐级计算!$Q$181*(FY45-逐级计算!$P$181)*LN(10)/10),0)+LN(1+EXP(-ABS((LN(10^(逐级计算!$Q$181/10)-1)+逐级计算!$Q$181*(FY45-逐级计算!$P$181)*LN(10)/10))))))),"")</f>
        <v>13.7930365742787</v>
      </c>
      <c r="GA45">
        <f>IF(AND(ISNUMBER(FZ45),逐级计算!$X$182&gt;-1),IF(逐级计算!$X$182=0,FZ45+逐级计算!$C$182,FZ45+逐级计算!$C$182-(10/(逐级计算!$Q$182*LN(10))*(MAX((LN(10^(逐级计算!$Q$182/10)-1)+逐级计算!$Q$182*(FZ45-逐级计算!$P$182)*LN(10)/10),0)+LN(1+EXP(-ABS((LN(10^(逐级计算!$Q$182/10)-1)+逐级计算!$Q$182*(FZ45-逐级计算!$P$182)*LN(10)/10))))))),"")</f>
        <v>13.7930365742787</v>
      </c>
      <c r="GB45">
        <f>IF(AND(ISNUMBER(GA45),逐级计算!$X$183&gt;-1),IF(逐级计算!$X$183=0,GA45+逐级计算!$C$183,GA45+逐级计算!$C$183-(10/(逐级计算!$Q$183*LN(10))*(MAX((LN(10^(逐级计算!$Q$183/10)-1)+逐级计算!$Q$183*(GA45-逐级计算!$P$183)*LN(10)/10),0)+LN(1+EXP(-ABS((LN(10^(逐级计算!$Q$183/10)-1)+逐级计算!$Q$183*(GA45-逐级计算!$P$183)*LN(10)/10))))))),"")</f>
        <v>13.7930365742787</v>
      </c>
      <c r="GC45">
        <f>IF(AND(ISNUMBER(GB45),逐级计算!$X$184&gt;-1),IF(逐级计算!$X$184=0,GB45+逐级计算!$C$184,GB45+逐级计算!$C$184-(10/(逐级计算!$Q$184*LN(10))*(MAX((LN(10^(逐级计算!$Q$184/10)-1)+逐级计算!$Q$184*(GB45-逐级计算!$P$184)*LN(10)/10),0)+LN(1+EXP(-ABS((LN(10^(逐级计算!$Q$184/10)-1)+逐级计算!$Q$184*(GB45-逐级计算!$P$184)*LN(10)/10))))))),"")</f>
        <v>13.7930365742787</v>
      </c>
      <c r="GD45">
        <f>IF(AND(ISNUMBER(GC45),逐级计算!$X$185&gt;-1),IF(逐级计算!$X$185=0,GC45+逐级计算!$C$185,GC45+逐级计算!$C$185-(10/(逐级计算!$Q$185*LN(10))*(MAX((LN(10^(逐级计算!$Q$185/10)-1)+逐级计算!$Q$185*(GC45-逐级计算!$P$185)*LN(10)/10),0)+LN(1+EXP(-ABS((LN(10^(逐级计算!$Q$185/10)-1)+逐级计算!$Q$185*(GC45-逐级计算!$P$185)*LN(10)/10))))))),"")</f>
        <v>13.7930365742787</v>
      </c>
      <c r="GE45">
        <f>IF(AND(ISNUMBER(GD45),逐级计算!$X$186&gt;-1),IF(逐级计算!$X$186=0,GD45+逐级计算!$C$186,GD45+逐级计算!$C$186-(10/(逐级计算!$Q$186*LN(10))*(MAX((LN(10^(逐级计算!$Q$186/10)-1)+逐级计算!$Q$186*(GD45-逐级计算!$P$186)*LN(10)/10),0)+LN(1+EXP(-ABS((LN(10^(逐级计算!$Q$186/10)-1)+逐级计算!$Q$186*(GD45-逐级计算!$P$186)*LN(10)/10))))))),"")</f>
        <v>13.7930365742787</v>
      </c>
      <c r="GF45">
        <f>IF(AND(ISNUMBER(GE45),逐级计算!$X$187&gt;-1),IF(逐级计算!$X$187=0,GE45+逐级计算!$C$187,GE45+逐级计算!$C$187-(10/(逐级计算!$Q$187*LN(10))*(MAX((LN(10^(逐级计算!$Q$187/10)-1)+逐级计算!$Q$187*(GE45-逐级计算!$P$187)*LN(10)/10),0)+LN(1+EXP(-ABS((LN(10^(逐级计算!$Q$187/10)-1)+逐级计算!$Q$187*(GE45-逐级计算!$P$187)*LN(10)/10))))))),"")</f>
        <v>13.7930365742787</v>
      </c>
      <c r="GG45">
        <f>IF(AND(ISNUMBER(GF45),逐级计算!$X$188&gt;-1),IF(逐级计算!$X$188=0,GF45+逐级计算!$C$188,GF45+逐级计算!$C$188-(10/(逐级计算!$Q$188*LN(10))*(MAX((LN(10^(逐级计算!$Q$188/10)-1)+逐级计算!$Q$188*(GF45-逐级计算!$P$188)*LN(10)/10),0)+LN(1+EXP(-ABS((LN(10^(逐级计算!$Q$188/10)-1)+逐级计算!$Q$188*(GF45-逐级计算!$P$188)*LN(10)/10))))))),"")</f>
        <v>13.7930365742787</v>
      </c>
      <c r="GH45">
        <f>IF(AND(ISNUMBER(GG45),逐级计算!$X$189&gt;-1),IF(逐级计算!$X$189=0,GG45+逐级计算!$C$189,GG45+逐级计算!$C$189-(10/(逐级计算!$Q$189*LN(10))*(MAX((LN(10^(逐级计算!$Q$189/10)-1)+逐级计算!$Q$189*(GG45-逐级计算!$P$189)*LN(10)/10),0)+LN(1+EXP(-ABS((LN(10^(逐级计算!$Q$189/10)-1)+逐级计算!$Q$189*(GG45-逐级计算!$P$189)*LN(10)/10))))))),"")</f>
        <v>13.7930365742787</v>
      </c>
      <c r="GI45">
        <f>IF(AND(ISNUMBER(GH45),逐级计算!$X$190&gt;-1),IF(逐级计算!$X$190=0,GH45+逐级计算!$C$190,GH45+逐级计算!$C$190-(10/(逐级计算!$Q$190*LN(10))*(MAX((LN(10^(逐级计算!$Q$190/10)-1)+逐级计算!$Q$190*(GH45-逐级计算!$P$190)*LN(10)/10),0)+LN(1+EXP(-ABS((LN(10^(逐级计算!$Q$190/10)-1)+逐级计算!$Q$190*(GH45-逐级计算!$P$190)*LN(10)/10))))))),"")</f>
        <v>13.7930365742787</v>
      </c>
      <c r="GJ45">
        <f>IF(AND(ISNUMBER(GI45),逐级计算!$X$191&gt;-1),IF(逐级计算!$X$191=0,GI45+逐级计算!$C$191,GI45+逐级计算!$C$191-(10/(逐级计算!$Q$191*LN(10))*(MAX((LN(10^(逐级计算!$Q$191/10)-1)+逐级计算!$Q$191*(GI45-逐级计算!$P$191)*LN(10)/10),0)+LN(1+EXP(-ABS((LN(10^(逐级计算!$Q$191/10)-1)+逐级计算!$Q$191*(GI45-逐级计算!$P$191)*LN(10)/10))))))),"")</f>
        <v>13.7930365742787</v>
      </c>
      <c r="GK45">
        <f>IF(AND(ISNUMBER(GJ45),逐级计算!$X$192&gt;-1),IF(逐级计算!$X$192=0,GJ45+逐级计算!$C$192,GJ45+逐级计算!$C$192-(10/(逐级计算!$Q$192*LN(10))*(MAX((LN(10^(逐级计算!$Q$192/10)-1)+逐级计算!$Q$192*(GJ45-逐级计算!$P$192)*LN(10)/10),0)+LN(1+EXP(-ABS((LN(10^(逐级计算!$Q$192/10)-1)+逐级计算!$Q$192*(GJ45-逐级计算!$P$192)*LN(10)/10))))))),"")</f>
        <v>13.7930365742787</v>
      </c>
      <c r="GL45">
        <f>IF(AND(ISNUMBER(GK45),逐级计算!$X$193&gt;-1),IF(逐级计算!$X$193=0,GK45+逐级计算!$C$193,GK45+逐级计算!$C$193-(10/(逐级计算!$Q$193*LN(10))*(MAX((LN(10^(逐级计算!$Q$193/10)-1)+逐级计算!$Q$193*(GK45-逐级计算!$P$193)*LN(10)/10),0)+LN(1+EXP(-ABS((LN(10^(逐级计算!$Q$193/10)-1)+逐级计算!$Q$193*(GK45-逐级计算!$P$193)*LN(10)/10))))))),"")</f>
        <v>13.7930365742787</v>
      </c>
      <c r="GM45">
        <f>IF(AND(ISNUMBER(GL45),逐级计算!$X$194&gt;-1),IF(逐级计算!$X$194=0,GL45+逐级计算!$C$194,GL45+逐级计算!$C$194-(10/(逐级计算!$Q$194*LN(10))*(MAX((LN(10^(逐级计算!$Q$194/10)-1)+逐级计算!$Q$194*(GL45-逐级计算!$P$194)*LN(10)/10),0)+LN(1+EXP(-ABS((LN(10^(逐级计算!$Q$194/10)-1)+逐级计算!$Q$194*(GL45-逐级计算!$P$194)*LN(10)/10))))))),"")</f>
        <v>13.7930365742787</v>
      </c>
      <c r="GN45">
        <f>IF(AND(ISNUMBER(GM45),逐级计算!$X$195&gt;-1),IF(逐级计算!$X$195=0,GM45+逐级计算!$C$195,GM45+逐级计算!$C$195-(10/(逐级计算!$Q$195*LN(10))*(MAX((LN(10^(逐级计算!$Q$195/10)-1)+逐级计算!$Q$195*(GM45-逐级计算!$P$195)*LN(10)/10),0)+LN(1+EXP(-ABS((LN(10^(逐级计算!$Q$195/10)-1)+逐级计算!$Q$195*(GM45-逐级计算!$P$195)*LN(10)/10))))))),"")</f>
        <v>13.7930365742787</v>
      </c>
      <c r="GO45">
        <f>IF(AND(ISNUMBER(GN45),逐级计算!$X$196&gt;-1),IF(逐级计算!$X$196=0,GN45+逐级计算!$C$196,GN45+逐级计算!$C$196-(10/(逐级计算!$Q$196*LN(10))*(MAX((LN(10^(逐级计算!$Q$196/10)-1)+逐级计算!$Q$196*(GN45-逐级计算!$P$196)*LN(10)/10),0)+LN(1+EXP(-ABS((LN(10^(逐级计算!$Q$196/10)-1)+逐级计算!$Q$196*(GN45-逐级计算!$P$196)*LN(10)/10))))))),"")</f>
        <v>13.7930365742787</v>
      </c>
      <c r="GP45">
        <f>IF(AND(ISNUMBER(GO45),逐级计算!$X$197&gt;-1),IF(逐级计算!$X$197=0,GO45+逐级计算!$C$197,GO45+逐级计算!$C$197-(10/(逐级计算!$Q$197*LN(10))*(MAX((LN(10^(逐级计算!$Q$197/10)-1)+逐级计算!$Q$197*(GO45-逐级计算!$P$197)*LN(10)/10),0)+LN(1+EXP(-ABS((LN(10^(逐级计算!$Q$197/10)-1)+逐级计算!$Q$197*(GO45-逐级计算!$P$197)*LN(10)/10))))))),"")</f>
        <v>13.7930365742787</v>
      </c>
      <c r="GQ45">
        <f>IF(AND(ISNUMBER(GP45),逐级计算!$X$198&gt;-1),IF(逐级计算!$X$198=0,GP45+逐级计算!$C$198,GP45+逐级计算!$C$198-(10/(逐级计算!$Q$198*LN(10))*(MAX((LN(10^(逐级计算!$Q$198/10)-1)+逐级计算!$Q$198*(GP45-逐级计算!$P$198)*LN(10)/10),0)+LN(1+EXP(-ABS((LN(10^(逐级计算!$Q$198/10)-1)+逐级计算!$Q$198*(GP45-逐级计算!$P$198)*LN(10)/10))))))),"")</f>
        <v>13.7930365742787</v>
      </c>
      <c r="GR45">
        <f>IF(AND(ISNUMBER(GQ45),逐级计算!$X$199&gt;-1),IF(逐级计算!$X$199=0,GQ45+逐级计算!$C$199,GQ45+逐级计算!$C$199-(10/(逐级计算!$Q$199*LN(10))*(MAX((LN(10^(逐级计算!$Q$199/10)-1)+逐级计算!$Q$199*(GQ45-逐级计算!$P$199)*LN(10)/10),0)+LN(1+EXP(-ABS((LN(10^(逐级计算!$Q$199/10)-1)+逐级计算!$Q$199*(GQ45-逐级计算!$P$199)*LN(10)/10))))))),"")</f>
        <v>13.7930365742787</v>
      </c>
      <c r="GS45">
        <f>IF(AND(ISNUMBER(GR45),逐级计算!$X$200&gt;-1),IF(逐级计算!$X$200=0,GR45+逐级计算!$C$200,GR45+逐级计算!$C$200-(10/(逐级计算!$Q$200*LN(10))*(MAX((LN(10^(逐级计算!$Q$200/10)-1)+逐级计算!$Q$200*(GR45-逐级计算!$P$200)*LN(10)/10),0)+LN(1+EXP(-ABS((LN(10^(逐级计算!$Q$200/10)-1)+逐级计算!$Q$200*(GR45-逐级计算!$P$200)*LN(10)/10))))))),"")</f>
        <v>13.7930365742787</v>
      </c>
      <c r="GT45">
        <f>IF(AND(ISNUMBER(GS45),逐级计算!$X$201&gt;-1),IF(逐级计算!$X$201=0,GS45+逐级计算!$C$201,GS45+逐级计算!$C$201-(10/(逐级计算!$Q$201*LN(10))*(MAX((LN(10^(逐级计算!$Q$201/10)-1)+逐级计算!$Q$201*(GS45-逐级计算!$P$201)*LN(10)/10),0)+LN(1+EXP(-ABS((LN(10^(逐级计算!$Q$201/10)-1)+逐级计算!$Q$201*(GS45-逐级计算!$P$201)*LN(10)/10))))))),"")</f>
        <v>13.7930365742787</v>
      </c>
      <c r="GU45">
        <f>IF(AND(ISNUMBER(GT45),逐级计算!$X$202&gt;-1),IF(逐级计算!$X$202=0,GT45+逐级计算!$C$202,GT45+逐级计算!$C$202-(10/(逐级计算!$Q$202*LN(10))*(MAX((LN(10^(逐级计算!$Q$202/10)-1)+逐级计算!$Q$202*(GT45-逐级计算!$P$202)*LN(10)/10),0)+LN(1+EXP(-ABS((LN(10^(逐级计算!$Q$202/10)-1)+逐级计算!$Q$202*(GT45-逐级计算!$P$202)*LN(10)/10))))))),"")</f>
        <v>13.7930365742787</v>
      </c>
      <c r="GV45">
        <f>IF(AND(ISNUMBER(GU45),逐级计算!$X$203&gt;-1),IF(逐级计算!$X$203=0,GU45+逐级计算!$C$203,GU45+逐级计算!$C$203-(10/(逐级计算!$Q$203*LN(10))*(MAX((LN(10^(逐级计算!$Q$203/10)-1)+逐级计算!$Q$203*(GU45-逐级计算!$P$203)*LN(10)/10),0)+LN(1+EXP(-ABS((LN(10^(逐级计算!$Q$203/10)-1)+逐级计算!$Q$203*(GU45-逐级计算!$P$203)*LN(10)/10))))))),"")</f>
        <v>13.7930365742787</v>
      </c>
      <c r="GW45">
        <f t="shared" si="2"/>
        <v>-5.20696342529845</v>
      </c>
    </row>
    <row r="46" spans="1:205">
      <c r="A46">
        <v>39</v>
      </c>
      <c r="B46">
        <f t="shared" si="1"/>
        <v>-5.20696342606243</v>
      </c>
      <c r="C46">
        <f t="shared" si="0"/>
        <v>-5.20696342587144</v>
      </c>
      <c r="D46">
        <f>IF(AND(ISNUMBER(C46),ISNUMBER(逐级计算!$E$203),ISNUMBER(GV46)),C46+逐级计算!$E$203-GV46,"")</f>
        <v>0.999999999970361</v>
      </c>
      <c r="E46">
        <f>IF(AND(ISNUMBER(C46),逐级计算!$X$4&gt;-1),IF(逐级计算!$X$4=0,C46+逐级计算!$C$4,C46+逐级计算!$C$4-(10/(逐级计算!$Q$4*LN(10))*(MAX((LN(10^(逐级计算!$Q$4/10)-1)+逐级计算!$Q$4*(C46-逐级计算!$P$4)*LN(10)/10),0)+LN(1+EXP(-ABS((LN(10^(逐级计算!$Q$4/10)-1)+逐级计算!$Q$4*(C46-逐级计算!$P$4)*LN(10)/10))))))),"")</f>
        <v>4.68053982920685</v>
      </c>
      <c r="F46">
        <f>IF(AND(ISNUMBER(E46),逐级计算!$X$5&gt;-1),IF(逐级计算!$X$5=0,E46+逐级计算!$C$5,E46+逐级计算!$C$5-(10/(逐级计算!$Q$5*LN(10))*(MAX((LN(10^(逐级计算!$Q$5/10)-1)+逐级计算!$Q$5*(E46-逐级计算!$P$5)*LN(10)/10),0)+LN(1+EXP(-ABS((LN(10^(逐级计算!$Q$5/10)-1)+逐级计算!$Q$5*(E46-逐级计算!$P$5)*LN(10)/10))))))),"")</f>
        <v>13.7930365741582</v>
      </c>
      <c r="G46">
        <f>IF(AND(ISNUMBER(F46),逐级计算!$X$6&gt;-1),IF(逐级计算!$X$6=0,F46+逐级计算!$C$6,F46+逐级计算!$C$6-(10/(逐级计算!$Q$6*LN(10))*(MAX((LN(10^(逐级计算!$Q$6/10)-1)+逐级计算!$Q$6*(F46-逐级计算!$P$6)*LN(10)/10),0)+LN(1+EXP(-ABS((LN(10^(逐级计算!$Q$6/10)-1)+逐级计算!$Q$6*(F46-逐级计算!$P$6)*LN(10)/10))))))),"")</f>
        <v>13.7930365741582</v>
      </c>
      <c r="H46">
        <f>IF(AND(ISNUMBER(G46),逐级计算!$X$7&gt;-1),IF(逐级计算!$X$7=0,G46+逐级计算!$C$7,G46+逐级计算!$C$7-(10/(逐级计算!$Q$7*LN(10))*(MAX((LN(10^(逐级计算!$Q$7/10)-1)+逐级计算!$Q$7*(G46-逐级计算!$P$7)*LN(10)/10),0)+LN(1+EXP(-ABS((LN(10^(逐级计算!$Q$7/10)-1)+逐级计算!$Q$7*(G46-逐级计算!$P$7)*LN(10)/10))))))),"")</f>
        <v>13.7930365741582</v>
      </c>
      <c r="I46">
        <f>IF(AND(ISNUMBER(H46),逐级计算!$X$8&gt;-1),IF(逐级计算!$X$8=0,H46+逐级计算!$C$8,H46+逐级计算!$C$8-(10/(逐级计算!$Q$8*LN(10))*(MAX((LN(10^(逐级计算!$Q$8/10)-1)+逐级计算!$Q$8*(H46-逐级计算!$P$8)*LN(10)/10),0)+LN(1+EXP(-ABS((LN(10^(逐级计算!$Q$8/10)-1)+逐级计算!$Q$8*(H46-逐级计算!$P$8)*LN(10)/10))))))),"")</f>
        <v>13.7930365741582</v>
      </c>
      <c r="J46">
        <f>IF(AND(ISNUMBER(I46),逐级计算!$X$9&gt;-1),IF(逐级计算!$X$9=0,I46+逐级计算!$C$9,I46+逐级计算!$C$9-(10/(逐级计算!$Q$9*LN(10))*(MAX((LN(10^(逐级计算!$Q$9/10)-1)+逐级计算!$Q$9*(I46-逐级计算!$P$9)*LN(10)/10),0)+LN(1+EXP(-ABS((LN(10^(逐级计算!$Q$9/10)-1)+逐级计算!$Q$9*(I46-逐级计算!$P$9)*LN(10)/10))))))),"")</f>
        <v>13.7930365741582</v>
      </c>
      <c r="K46">
        <f>IF(AND(ISNUMBER(J46),逐级计算!$X$10&gt;-1),IF(逐级计算!$X$10=0,J46+逐级计算!$C$10,J46+逐级计算!$C$10-(10/(逐级计算!$Q$10*LN(10))*(MAX((LN(10^(逐级计算!$Q$10/10)-1)+逐级计算!$Q$10*(J46-逐级计算!$P$10)*LN(10)/10),0)+LN(1+EXP(-ABS((LN(10^(逐级计算!$Q$10/10)-1)+逐级计算!$Q$10*(J46-逐级计算!$P$10)*LN(10)/10))))))),"")</f>
        <v>13.7930365741582</v>
      </c>
      <c r="L46">
        <f>IF(AND(ISNUMBER(K46),逐级计算!$X$11&gt;-1),IF(逐级计算!$X$11=0,K46+逐级计算!$C$11,K46+逐级计算!$C$11-(10/(逐级计算!$Q$11*LN(10))*(MAX((LN(10^(逐级计算!$Q$11/10)-1)+逐级计算!$Q$11*(K46-逐级计算!$P$11)*LN(10)/10),0)+LN(1+EXP(-ABS((LN(10^(逐级计算!$Q$11/10)-1)+逐级计算!$Q$11*(K46-逐级计算!$P$11)*LN(10)/10))))))),"")</f>
        <v>13.7930365741582</v>
      </c>
      <c r="M46">
        <f>IF(AND(ISNUMBER(L46),逐级计算!$X$12&gt;-1),IF(逐级计算!$X$12=0,L46+逐级计算!$C$12,L46+逐级计算!$C$12-(10/(逐级计算!$Q$12*LN(10))*(MAX((LN(10^(逐级计算!$Q$12/10)-1)+逐级计算!$Q$12*(L46-逐级计算!$P$12)*LN(10)/10),0)+LN(1+EXP(-ABS((LN(10^(逐级计算!$Q$12/10)-1)+逐级计算!$Q$12*(L46-逐级计算!$P$12)*LN(10)/10))))))),"")</f>
        <v>13.7930365741582</v>
      </c>
      <c r="N46">
        <f>IF(AND(ISNUMBER(M46),逐级计算!$X$13&gt;-1),IF(逐级计算!$X$13=0,M46+逐级计算!$C$13,M46+逐级计算!$C$13-(10/(逐级计算!$Q$13*LN(10))*(MAX((LN(10^(逐级计算!$Q$13/10)-1)+逐级计算!$Q$13*(M46-逐级计算!$P$13)*LN(10)/10),0)+LN(1+EXP(-ABS((LN(10^(逐级计算!$Q$13/10)-1)+逐级计算!$Q$13*(M46-逐级计算!$P$13)*LN(10)/10))))))),"")</f>
        <v>13.7930365741582</v>
      </c>
      <c r="O46">
        <f>IF(AND(ISNUMBER(N46),逐级计算!$X$14&gt;-1),IF(逐级计算!$X$14=0,N46+逐级计算!$C$14,N46+逐级计算!$C$14-(10/(逐级计算!$Q$14*LN(10))*(MAX((LN(10^(逐级计算!$Q$14/10)-1)+逐级计算!$Q$14*(N46-逐级计算!$P$14)*LN(10)/10),0)+LN(1+EXP(-ABS((LN(10^(逐级计算!$Q$14/10)-1)+逐级计算!$Q$14*(N46-逐级计算!$P$14)*LN(10)/10))))))),"")</f>
        <v>13.7930365741582</v>
      </c>
      <c r="P46">
        <f>IF(AND(ISNUMBER(O46),逐级计算!$X$15&gt;-1),IF(逐级计算!$X$15=0,O46+逐级计算!$C$15,O46+逐级计算!$C$15-(10/(逐级计算!$Q$15*LN(10))*(MAX((LN(10^(逐级计算!$Q$15/10)-1)+逐级计算!$Q$15*(O46-逐级计算!$P$15)*LN(10)/10),0)+LN(1+EXP(-ABS((LN(10^(逐级计算!$Q$15/10)-1)+逐级计算!$Q$15*(O46-逐级计算!$P$15)*LN(10)/10))))))),"")</f>
        <v>13.7930365741582</v>
      </c>
      <c r="Q46">
        <f>IF(AND(ISNUMBER(P46),逐级计算!$X$16&gt;-1),IF(逐级计算!$X$16=0,P46+逐级计算!$C$16,P46+逐级计算!$C$16-(10/(逐级计算!$Q$16*LN(10))*(MAX((LN(10^(逐级计算!$Q$16/10)-1)+逐级计算!$Q$16*(P46-逐级计算!$P$16)*LN(10)/10),0)+LN(1+EXP(-ABS((LN(10^(逐级计算!$Q$16/10)-1)+逐级计算!$Q$16*(P46-逐级计算!$P$16)*LN(10)/10))))))),"")</f>
        <v>13.7930365741582</v>
      </c>
      <c r="R46">
        <f>IF(AND(ISNUMBER(Q46),逐级计算!$X$17&gt;-1),IF(逐级计算!$X$17=0,Q46+逐级计算!$C$17,Q46+逐级计算!$C$17-(10/(逐级计算!$Q$17*LN(10))*(MAX((LN(10^(逐级计算!$Q$17/10)-1)+逐级计算!$Q$17*(Q46-逐级计算!$P$17)*LN(10)/10),0)+LN(1+EXP(-ABS((LN(10^(逐级计算!$Q$17/10)-1)+逐级计算!$Q$17*(Q46-逐级计算!$P$17)*LN(10)/10))))))),"")</f>
        <v>13.7930365741582</v>
      </c>
      <c r="S46">
        <f>IF(AND(ISNUMBER(R46),逐级计算!$X$18&gt;-1),IF(逐级计算!$X$18=0,R46+逐级计算!$C$18,R46+逐级计算!$C$18-(10/(逐级计算!$Q$18*LN(10))*(MAX((LN(10^(逐级计算!$Q$18/10)-1)+逐级计算!$Q$18*(R46-逐级计算!$P$18)*LN(10)/10),0)+LN(1+EXP(-ABS((LN(10^(逐级计算!$Q$18/10)-1)+逐级计算!$Q$18*(R46-逐级计算!$P$18)*LN(10)/10))))))),"")</f>
        <v>13.7930365741582</v>
      </c>
      <c r="T46">
        <f>IF(AND(ISNUMBER(S46),逐级计算!$X$19&gt;-1),IF(逐级计算!$X$19=0,S46+逐级计算!$C$19,S46+逐级计算!$C$19-(10/(逐级计算!$Q$19*LN(10))*(MAX((LN(10^(逐级计算!$Q$19/10)-1)+逐级计算!$Q$19*(S46-逐级计算!$P$19)*LN(10)/10),0)+LN(1+EXP(-ABS((LN(10^(逐级计算!$Q$19/10)-1)+逐级计算!$Q$19*(S46-逐级计算!$P$19)*LN(10)/10))))))),"")</f>
        <v>13.7930365741582</v>
      </c>
      <c r="U46">
        <f>IF(AND(ISNUMBER(T46),逐级计算!$X$20&gt;-1),IF(逐级计算!$X$20=0,T46+逐级计算!$C$20,T46+逐级计算!$C$20-(10/(逐级计算!$Q$20*LN(10))*(MAX((LN(10^(逐级计算!$Q$20/10)-1)+逐级计算!$Q$20*(T46-逐级计算!$P$20)*LN(10)/10),0)+LN(1+EXP(-ABS((LN(10^(逐级计算!$Q$20/10)-1)+逐级计算!$Q$20*(T46-逐级计算!$P$20)*LN(10)/10))))))),"")</f>
        <v>13.7930365741582</v>
      </c>
      <c r="V46">
        <f>IF(AND(ISNUMBER(U46),逐级计算!$X$21&gt;-1),IF(逐级计算!$X$21=0,U46+逐级计算!$C$21,U46+逐级计算!$C$21-(10/(逐级计算!$Q$21*LN(10))*(MAX((LN(10^(逐级计算!$Q$21/10)-1)+逐级计算!$Q$21*(U46-逐级计算!$P$21)*LN(10)/10),0)+LN(1+EXP(-ABS((LN(10^(逐级计算!$Q$21/10)-1)+逐级计算!$Q$21*(U46-逐级计算!$P$21)*LN(10)/10))))))),"")</f>
        <v>13.7930365741582</v>
      </c>
      <c r="W46">
        <f>IF(AND(ISNUMBER(V46),逐级计算!$X$22&gt;-1),IF(逐级计算!$X$22=0,V46+逐级计算!$C$22,V46+逐级计算!$C$22-(10/(逐级计算!$Q$22*LN(10))*(MAX((LN(10^(逐级计算!$Q$22/10)-1)+逐级计算!$Q$22*(V46-逐级计算!$P$22)*LN(10)/10),0)+LN(1+EXP(-ABS((LN(10^(逐级计算!$Q$22/10)-1)+逐级计算!$Q$22*(V46-逐级计算!$P$22)*LN(10)/10))))))),"")</f>
        <v>13.7930365741582</v>
      </c>
      <c r="X46">
        <f>IF(AND(ISNUMBER(W46),逐级计算!$X$23&gt;-1),IF(逐级计算!$X$23=0,W46+逐级计算!$C$23,W46+逐级计算!$C$23-(10/(逐级计算!$Q$23*LN(10))*(MAX((LN(10^(逐级计算!$Q$23/10)-1)+逐级计算!$Q$23*(W46-逐级计算!$P$23)*LN(10)/10),0)+LN(1+EXP(-ABS((LN(10^(逐级计算!$Q$23/10)-1)+逐级计算!$Q$23*(W46-逐级计算!$P$23)*LN(10)/10))))))),"")</f>
        <v>13.7930365741582</v>
      </c>
      <c r="Y46">
        <f>IF(AND(ISNUMBER(X46),逐级计算!$X$24&gt;-1),IF(逐级计算!$X$24=0,X46+逐级计算!$C$24,X46+逐级计算!$C$24-(10/(逐级计算!$Q$24*LN(10))*(MAX((LN(10^(逐级计算!$Q$24/10)-1)+逐级计算!$Q$24*(X46-逐级计算!$P$24)*LN(10)/10),0)+LN(1+EXP(-ABS((LN(10^(逐级计算!$Q$24/10)-1)+逐级计算!$Q$24*(X46-逐级计算!$P$24)*LN(10)/10))))))),"")</f>
        <v>13.7930365741582</v>
      </c>
      <c r="Z46">
        <f>IF(AND(ISNUMBER(Y46),逐级计算!$X$25&gt;-1),IF(逐级计算!$X$25=0,Y46+逐级计算!$C$25,Y46+逐级计算!$C$25-(10/(逐级计算!$Q$25*LN(10))*(MAX((LN(10^(逐级计算!$Q$25/10)-1)+逐级计算!$Q$25*(Y46-逐级计算!$P$25)*LN(10)/10),0)+LN(1+EXP(-ABS((LN(10^(逐级计算!$Q$25/10)-1)+逐级计算!$Q$25*(Y46-逐级计算!$P$25)*LN(10)/10))))))),"")</f>
        <v>13.7930365741582</v>
      </c>
      <c r="AA46">
        <f>IF(AND(ISNUMBER(Z46),逐级计算!$X$26&gt;-1),IF(逐级计算!$X$26=0,Z46+逐级计算!$C$26,Z46+逐级计算!$C$26-(10/(逐级计算!$Q$26*LN(10))*(MAX((LN(10^(逐级计算!$Q$26/10)-1)+逐级计算!$Q$26*(Z46-逐级计算!$P$26)*LN(10)/10),0)+LN(1+EXP(-ABS((LN(10^(逐级计算!$Q$26/10)-1)+逐级计算!$Q$26*(Z46-逐级计算!$P$26)*LN(10)/10))))))),"")</f>
        <v>13.7930365741582</v>
      </c>
      <c r="AB46">
        <f>IF(AND(ISNUMBER(AA46),逐级计算!$X$27&gt;-1),IF(逐级计算!$X$27=0,AA46+逐级计算!$C$27,AA46+逐级计算!$C$27-(10/(逐级计算!$Q$27*LN(10))*(MAX((LN(10^(逐级计算!$Q$27/10)-1)+逐级计算!$Q$27*(AA46-逐级计算!$P$27)*LN(10)/10),0)+LN(1+EXP(-ABS((LN(10^(逐级计算!$Q$27/10)-1)+逐级计算!$Q$27*(AA46-逐级计算!$P$27)*LN(10)/10))))))),"")</f>
        <v>13.7930365741582</v>
      </c>
      <c r="AC46">
        <f>IF(AND(ISNUMBER(AB46),逐级计算!$X$28&gt;-1),IF(逐级计算!$X$28=0,AB46+逐级计算!$C$28,AB46+逐级计算!$C$28-(10/(逐级计算!$Q$28*LN(10))*(MAX((LN(10^(逐级计算!$Q$28/10)-1)+逐级计算!$Q$28*(AB46-逐级计算!$P$28)*LN(10)/10),0)+LN(1+EXP(-ABS((LN(10^(逐级计算!$Q$28/10)-1)+逐级计算!$Q$28*(AB46-逐级计算!$P$28)*LN(10)/10))))))),"")</f>
        <v>13.7930365741582</v>
      </c>
      <c r="AD46">
        <f>IF(AND(ISNUMBER(AC46),逐级计算!$X$29&gt;-1),IF(逐级计算!$X$29=0,AC46+逐级计算!$C$29,AC46+逐级计算!$C$29-(10/(逐级计算!$Q$29*LN(10))*(MAX((LN(10^(逐级计算!$Q$29/10)-1)+逐级计算!$Q$29*(AC46-逐级计算!$P$29)*LN(10)/10),0)+LN(1+EXP(-ABS((LN(10^(逐级计算!$Q$29/10)-1)+逐级计算!$Q$29*(AC46-逐级计算!$P$29)*LN(10)/10))))))),"")</f>
        <v>13.7930365741582</v>
      </c>
      <c r="AE46">
        <f>IF(AND(ISNUMBER(AD46),逐级计算!$X$30&gt;-1),IF(逐级计算!$X$30=0,AD46+逐级计算!$C$30,AD46+逐级计算!$C$30-(10/(逐级计算!$Q$30*LN(10))*(MAX((LN(10^(逐级计算!$Q$30/10)-1)+逐级计算!$Q$30*(AD46-逐级计算!$P$30)*LN(10)/10),0)+LN(1+EXP(-ABS((LN(10^(逐级计算!$Q$30/10)-1)+逐级计算!$Q$30*(AD46-逐级计算!$P$30)*LN(10)/10))))))),"")</f>
        <v>13.7930365741582</v>
      </c>
      <c r="AF46">
        <f>IF(AND(ISNUMBER(AE46),逐级计算!$X$31&gt;-1),IF(逐级计算!$X$31=0,AE46+逐级计算!$C$31,AE46+逐级计算!$C$31-(10/(逐级计算!$Q$31*LN(10))*(MAX((LN(10^(逐级计算!$Q$31/10)-1)+逐级计算!$Q$31*(AE46-逐级计算!$P$31)*LN(10)/10),0)+LN(1+EXP(-ABS((LN(10^(逐级计算!$Q$31/10)-1)+逐级计算!$Q$31*(AE46-逐级计算!$P$31)*LN(10)/10))))))),"")</f>
        <v>13.7930365741582</v>
      </c>
      <c r="AG46">
        <f>IF(AND(ISNUMBER(AF46),逐级计算!$X$32&gt;-1),IF(逐级计算!$X$32=0,AF46+逐级计算!$C$32,AF46+逐级计算!$C$32-(10/(逐级计算!$Q$32*LN(10))*(MAX((LN(10^(逐级计算!$Q$32/10)-1)+逐级计算!$Q$32*(AF46-逐级计算!$P$32)*LN(10)/10),0)+LN(1+EXP(-ABS((LN(10^(逐级计算!$Q$32/10)-1)+逐级计算!$Q$32*(AF46-逐级计算!$P$32)*LN(10)/10))))))),"")</f>
        <v>13.7930365741582</v>
      </c>
      <c r="AH46">
        <f>IF(AND(ISNUMBER(AG46),逐级计算!$X$33&gt;-1),IF(逐级计算!$X$33=0,AG46+逐级计算!$C$33,AG46+逐级计算!$C$33-(10/(逐级计算!$Q$33*LN(10))*(MAX((LN(10^(逐级计算!$Q$33/10)-1)+逐级计算!$Q$33*(AG46-逐级计算!$P$33)*LN(10)/10),0)+LN(1+EXP(-ABS((LN(10^(逐级计算!$Q$33/10)-1)+逐级计算!$Q$33*(AG46-逐级计算!$P$33)*LN(10)/10))))))),"")</f>
        <v>13.7930365741582</v>
      </c>
      <c r="AI46">
        <f>IF(AND(ISNUMBER(AH46),逐级计算!$X$34&gt;-1),IF(逐级计算!$X$34=0,AH46+逐级计算!$C$34,AH46+逐级计算!$C$34-(10/(逐级计算!$Q$34*LN(10))*(MAX((LN(10^(逐级计算!$Q$34/10)-1)+逐级计算!$Q$34*(AH46-逐级计算!$P$34)*LN(10)/10),0)+LN(1+EXP(-ABS((LN(10^(逐级计算!$Q$34/10)-1)+逐级计算!$Q$34*(AH46-逐级计算!$P$34)*LN(10)/10))))))),"")</f>
        <v>13.7930365741582</v>
      </c>
      <c r="AJ46">
        <f>IF(AND(ISNUMBER(AI46),逐级计算!$X$35&gt;-1),IF(逐级计算!$X$35=0,AI46+逐级计算!$C$35,AI46+逐级计算!$C$35-(10/(逐级计算!$Q$35*LN(10))*(MAX((LN(10^(逐级计算!$Q$35/10)-1)+逐级计算!$Q$35*(AI46-逐级计算!$P$35)*LN(10)/10),0)+LN(1+EXP(-ABS((LN(10^(逐级计算!$Q$35/10)-1)+逐级计算!$Q$35*(AI46-逐级计算!$P$35)*LN(10)/10))))))),"")</f>
        <v>13.7930365741582</v>
      </c>
      <c r="AK46">
        <f>IF(AND(ISNUMBER(AJ46),逐级计算!$X$36&gt;-1),IF(逐级计算!$X$36=0,AJ46+逐级计算!$C$36,AJ46+逐级计算!$C$36-(10/(逐级计算!$Q$36*LN(10))*(MAX((LN(10^(逐级计算!$Q$36/10)-1)+逐级计算!$Q$36*(AJ46-逐级计算!$P$36)*LN(10)/10),0)+LN(1+EXP(-ABS((LN(10^(逐级计算!$Q$36/10)-1)+逐级计算!$Q$36*(AJ46-逐级计算!$P$36)*LN(10)/10))))))),"")</f>
        <v>13.7930365741582</v>
      </c>
      <c r="AL46">
        <f>IF(AND(ISNUMBER(AK46),逐级计算!$X$37&gt;-1),IF(逐级计算!$X$37=0,AK46+逐级计算!$C$37,AK46+逐级计算!$C$37-(10/(逐级计算!$Q$37*LN(10))*(MAX((LN(10^(逐级计算!$Q$37/10)-1)+逐级计算!$Q$37*(AK46-逐级计算!$P$37)*LN(10)/10),0)+LN(1+EXP(-ABS((LN(10^(逐级计算!$Q$37/10)-1)+逐级计算!$Q$37*(AK46-逐级计算!$P$37)*LN(10)/10))))))),"")</f>
        <v>13.7930365741582</v>
      </c>
      <c r="AM46">
        <f>IF(AND(ISNUMBER(AL46),逐级计算!$X$38&gt;-1),IF(逐级计算!$X$38=0,AL46+逐级计算!$C$38,AL46+逐级计算!$C$38-(10/(逐级计算!$Q$38*LN(10))*(MAX((LN(10^(逐级计算!$Q$38/10)-1)+逐级计算!$Q$38*(AL46-逐级计算!$P$38)*LN(10)/10),0)+LN(1+EXP(-ABS((LN(10^(逐级计算!$Q$38/10)-1)+逐级计算!$Q$38*(AL46-逐级计算!$P$38)*LN(10)/10))))))),"")</f>
        <v>13.7930365741582</v>
      </c>
      <c r="AN46">
        <f>IF(AND(ISNUMBER(AM46),逐级计算!$X$39&gt;-1),IF(逐级计算!$X$39=0,AM46+逐级计算!$C$39,AM46+逐级计算!$C$39-(10/(逐级计算!$Q$39*LN(10))*(MAX((LN(10^(逐级计算!$Q$39/10)-1)+逐级计算!$Q$39*(AM46-逐级计算!$P$39)*LN(10)/10),0)+LN(1+EXP(-ABS((LN(10^(逐级计算!$Q$39/10)-1)+逐级计算!$Q$39*(AM46-逐级计算!$P$39)*LN(10)/10))))))),"")</f>
        <v>13.7930365741582</v>
      </c>
      <c r="AO46">
        <f>IF(AND(ISNUMBER(AN46),逐级计算!$X$40&gt;-1),IF(逐级计算!$X$40=0,AN46+逐级计算!$C$40,AN46+逐级计算!$C$40-(10/(逐级计算!$Q$40*LN(10))*(MAX((LN(10^(逐级计算!$Q$40/10)-1)+逐级计算!$Q$40*(AN46-逐级计算!$P$40)*LN(10)/10),0)+LN(1+EXP(-ABS((LN(10^(逐级计算!$Q$40/10)-1)+逐级计算!$Q$40*(AN46-逐级计算!$P$40)*LN(10)/10))))))),"")</f>
        <v>13.7930365741582</v>
      </c>
      <c r="AP46">
        <f>IF(AND(ISNUMBER(AO46),逐级计算!$X$41&gt;-1),IF(逐级计算!$X$41=0,AO46+逐级计算!$C$41,AO46+逐级计算!$C$41-(10/(逐级计算!$Q$41*LN(10))*(MAX((LN(10^(逐级计算!$Q$41/10)-1)+逐级计算!$Q$41*(AO46-逐级计算!$P$41)*LN(10)/10),0)+LN(1+EXP(-ABS((LN(10^(逐级计算!$Q$41/10)-1)+逐级计算!$Q$41*(AO46-逐级计算!$P$41)*LN(10)/10))))))),"")</f>
        <v>13.7930365741582</v>
      </c>
      <c r="AQ46">
        <f>IF(AND(ISNUMBER(AP46),逐级计算!$X$42&gt;-1),IF(逐级计算!$X$42=0,AP46+逐级计算!$C$42,AP46+逐级计算!$C$42-(10/(逐级计算!$Q$42*LN(10))*(MAX((LN(10^(逐级计算!$Q$42/10)-1)+逐级计算!$Q$42*(AP46-逐级计算!$P$42)*LN(10)/10),0)+LN(1+EXP(-ABS((LN(10^(逐级计算!$Q$42/10)-1)+逐级计算!$Q$42*(AP46-逐级计算!$P$42)*LN(10)/10))))))),"")</f>
        <v>13.7930365741582</v>
      </c>
      <c r="AR46">
        <f>IF(AND(ISNUMBER(AQ46),逐级计算!$X$43&gt;-1),IF(逐级计算!$X$43=0,AQ46+逐级计算!$C$43,AQ46+逐级计算!$C$43-(10/(逐级计算!$Q$43*LN(10))*(MAX((LN(10^(逐级计算!$Q$43/10)-1)+逐级计算!$Q$43*(AQ46-逐级计算!$P$43)*LN(10)/10),0)+LN(1+EXP(-ABS((LN(10^(逐级计算!$Q$43/10)-1)+逐级计算!$Q$43*(AQ46-逐级计算!$P$43)*LN(10)/10))))))),"")</f>
        <v>13.7930365741582</v>
      </c>
      <c r="AS46">
        <f>IF(AND(ISNUMBER(AR46),逐级计算!$X$44&gt;-1),IF(逐级计算!$X$44=0,AR46+逐级计算!$C$44,AR46+逐级计算!$C$44-(10/(逐级计算!$Q$44*LN(10))*(MAX((LN(10^(逐级计算!$Q$44/10)-1)+逐级计算!$Q$44*(AR46-逐级计算!$P$44)*LN(10)/10),0)+LN(1+EXP(-ABS((LN(10^(逐级计算!$Q$44/10)-1)+逐级计算!$Q$44*(AR46-逐级计算!$P$44)*LN(10)/10))))))),"")</f>
        <v>13.7930365741582</v>
      </c>
      <c r="AT46">
        <f>IF(AND(ISNUMBER(AS46),逐级计算!$X$45&gt;-1),IF(逐级计算!$X$45=0,AS46+逐级计算!$C$45,AS46+逐级计算!$C$45-(10/(逐级计算!$Q$45*LN(10))*(MAX((LN(10^(逐级计算!$Q$45/10)-1)+逐级计算!$Q$45*(AS46-逐级计算!$P$45)*LN(10)/10),0)+LN(1+EXP(-ABS((LN(10^(逐级计算!$Q$45/10)-1)+逐级计算!$Q$45*(AS46-逐级计算!$P$45)*LN(10)/10))))))),"")</f>
        <v>13.7930365741582</v>
      </c>
      <c r="AU46">
        <f>IF(AND(ISNUMBER(AT46),逐级计算!$X$46&gt;-1),IF(逐级计算!$X$46=0,AT46+逐级计算!$C$46,AT46+逐级计算!$C$46-(10/(逐级计算!$Q$46*LN(10))*(MAX((LN(10^(逐级计算!$Q$46/10)-1)+逐级计算!$Q$46*(AT46-逐级计算!$P$46)*LN(10)/10),0)+LN(1+EXP(-ABS((LN(10^(逐级计算!$Q$46/10)-1)+逐级计算!$Q$46*(AT46-逐级计算!$P$46)*LN(10)/10))))))),"")</f>
        <v>13.7930365741582</v>
      </c>
      <c r="AV46">
        <f>IF(AND(ISNUMBER(AU46),逐级计算!$X$47&gt;-1),IF(逐级计算!$X$47=0,AU46+逐级计算!$C$47,AU46+逐级计算!$C$47-(10/(逐级计算!$Q$47*LN(10))*(MAX((LN(10^(逐级计算!$Q$47/10)-1)+逐级计算!$Q$47*(AU46-逐级计算!$P$47)*LN(10)/10),0)+LN(1+EXP(-ABS((LN(10^(逐级计算!$Q$47/10)-1)+逐级计算!$Q$47*(AU46-逐级计算!$P$47)*LN(10)/10))))))),"")</f>
        <v>13.7930365741582</v>
      </c>
      <c r="AW46">
        <f>IF(AND(ISNUMBER(AV46),逐级计算!$X$48&gt;-1),IF(逐级计算!$X$48=0,AV46+逐级计算!$C$48,AV46+逐级计算!$C$48-(10/(逐级计算!$Q$48*LN(10))*(MAX((LN(10^(逐级计算!$Q$48/10)-1)+逐级计算!$Q$48*(AV46-逐级计算!$P$48)*LN(10)/10),0)+LN(1+EXP(-ABS((LN(10^(逐级计算!$Q$48/10)-1)+逐级计算!$Q$48*(AV46-逐级计算!$P$48)*LN(10)/10))))))),"")</f>
        <v>13.7930365741582</v>
      </c>
      <c r="AX46">
        <f>IF(AND(ISNUMBER(AW46),逐级计算!$X$49&gt;-1),IF(逐级计算!$X$49=0,AW46+逐级计算!$C$49,AW46+逐级计算!$C$49-(10/(逐级计算!$Q$49*LN(10))*(MAX((LN(10^(逐级计算!$Q$49/10)-1)+逐级计算!$Q$49*(AW46-逐级计算!$P$49)*LN(10)/10),0)+LN(1+EXP(-ABS((LN(10^(逐级计算!$Q$49/10)-1)+逐级计算!$Q$49*(AW46-逐级计算!$P$49)*LN(10)/10))))))),"")</f>
        <v>13.7930365741582</v>
      </c>
      <c r="AY46">
        <f>IF(AND(ISNUMBER(AX46),逐级计算!$X$50&gt;-1),IF(逐级计算!$X$50=0,AX46+逐级计算!$C$50,AX46+逐级计算!$C$50-(10/(逐级计算!$Q$50*LN(10))*(MAX((LN(10^(逐级计算!$Q$50/10)-1)+逐级计算!$Q$50*(AX46-逐级计算!$P$50)*LN(10)/10),0)+LN(1+EXP(-ABS((LN(10^(逐级计算!$Q$50/10)-1)+逐级计算!$Q$50*(AX46-逐级计算!$P$50)*LN(10)/10))))))),"")</f>
        <v>13.7930365741582</v>
      </c>
      <c r="AZ46">
        <f>IF(AND(ISNUMBER(AY46),逐级计算!$X$51&gt;-1),IF(逐级计算!$X$51=0,AY46+逐级计算!$C$51,AY46+逐级计算!$C$51-(10/(逐级计算!$Q$51*LN(10))*(MAX((LN(10^(逐级计算!$Q$51/10)-1)+逐级计算!$Q$51*(AY46-逐级计算!$P$51)*LN(10)/10),0)+LN(1+EXP(-ABS((LN(10^(逐级计算!$Q$51/10)-1)+逐级计算!$Q$51*(AY46-逐级计算!$P$51)*LN(10)/10))))))),"")</f>
        <v>13.7930365741582</v>
      </c>
      <c r="BA46">
        <f>IF(AND(ISNUMBER(AZ46),逐级计算!$X$52&gt;-1),IF(逐级计算!$X$52=0,AZ46+逐级计算!$C$52,AZ46+逐级计算!$C$52-(10/(逐级计算!$Q$52*LN(10))*(MAX((LN(10^(逐级计算!$Q$52/10)-1)+逐级计算!$Q$52*(AZ46-逐级计算!$P$52)*LN(10)/10),0)+LN(1+EXP(-ABS((LN(10^(逐级计算!$Q$52/10)-1)+逐级计算!$Q$52*(AZ46-逐级计算!$P$52)*LN(10)/10))))))),"")</f>
        <v>13.7930365741582</v>
      </c>
      <c r="BB46">
        <f>IF(AND(ISNUMBER(BA46),逐级计算!$X$53&gt;-1),IF(逐级计算!$X$53=0,BA46+逐级计算!$C$53,BA46+逐级计算!$C$53-(10/(逐级计算!$Q$53*LN(10))*(MAX((LN(10^(逐级计算!$Q$53/10)-1)+逐级计算!$Q$53*(BA46-逐级计算!$P$53)*LN(10)/10),0)+LN(1+EXP(-ABS((LN(10^(逐级计算!$Q$53/10)-1)+逐级计算!$Q$53*(BA46-逐级计算!$P$53)*LN(10)/10))))))),"")</f>
        <v>13.7930365741582</v>
      </c>
      <c r="BC46">
        <f>IF(AND(ISNUMBER(BB46),逐级计算!$X$54&gt;-1),IF(逐级计算!$X$54=0,BB46+逐级计算!$C$54,BB46+逐级计算!$C$54-(10/(逐级计算!$Q$54*LN(10))*(MAX((LN(10^(逐级计算!$Q$54/10)-1)+逐级计算!$Q$54*(BB46-逐级计算!$P$54)*LN(10)/10),0)+LN(1+EXP(-ABS((LN(10^(逐级计算!$Q$54/10)-1)+逐级计算!$Q$54*(BB46-逐级计算!$P$54)*LN(10)/10))))))),"")</f>
        <v>13.7930365741582</v>
      </c>
      <c r="BD46">
        <f>IF(AND(ISNUMBER(BC46),逐级计算!$X$55&gt;-1),IF(逐级计算!$X$55=0,BC46+逐级计算!$C$55,BC46+逐级计算!$C$55-(10/(逐级计算!$Q$55*LN(10))*(MAX((LN(10^(逐级计算!$Q$55/10)-1)+逐级计算!$Q$55*(BC46-逐级计算!$P$55)*LN(10)/10),0)+LN(1+EXP(-ABS((LN(10^(逐级计算!$Q$55/10)-1)+逐级计算!$Q$55*(BC46-逐级计算!$P$55)*LN(10)/10))))))),"")</f>
        <v>13.7930365741582</v>
      </c>
      <c r="BE46">
        <f>IF(AND(ISNUMBER(BD46),逐级计算!$X$56&gt;-1),IF(逐级计算!$X$56=0,BD46+逐级计算!$C$56,BD46+逐级计算!$C$56-(10/(逐级计算!$Q$56*LN(10))*(MAX((LN(10^(逐级计算!$Q$56/10)-1)+逐级计算!$Q$56*(BD46-逐级计算!$P$56)*LN(10)/10),0)+LN(1+EXP(-ABS((LN(10^(逐级计算!$Q$56/10)-1)+逐级计算!$Q$56*(BD46-逐级计算!$P$56)*LN(10)/10))))))),"")</f>
        <v>13.7930365741582</v>
      </c>
      <c r="BF46">
        <f>IF(AND(ISNUMBER(BE46),逐级计算!$X$57&gt;-1),IF(逐级计算!$X$57=0,BE46+逐级计算!$C$57,BE46+逐级计算!$C$57-(10/(逐级计算!$Q$57*LN(10))*(MAX((LN(10^(逐级计算!$Q$57/10)-1)+逐级计算!$Q$57*(BE46-逐级计算!$P$57)*LN(10)/10),0)+LN(1+EXP(-ABS((LN(10^(逐级计算!$Q$57/10)-1)+逐级计算!$Q$57*(BE46-逐级计算!$P$57)*LN(10)/10))))))),"")</f>
        <v>13.7930365741582</v>
      </c>
      <c r="BG46">
        <f>IF(AND(ISNUMBER(BF46),逐级计算!$X$58&gt;-1),IF(逐级计算!$X$58=0,BF46+逐级计算!$C$58,BF46+逐级计算!$C$58-(10/(逐级计算!$Q$58*LN(10))*(MAX((LN(10^(逐级计算!$Q$58/10)-1)+逐级计算!$Q$58*(BF46-逐级计算!$P$58)*LN(10)/10),0)+LN(1+EXP(-ABS((LN(10^(逐级计算!$Q$58/10)-1)+逐级计算!$Q$58*(BF46-逐级计算!$P$58)*LN(10)/10))))))),"")</f>
        <v>13.7930365741582</v>
      </c>
      <c r="BH46">
        <f>IF(AND(ISNUMBER(BG46),逐级计算!$X$59&gt;-1),IF(逐级计算!$X$59=0,BG46+逐级计算!$C$59,BG46+逐级计算!$C$59-(10/(逐级计算!$Q$59*LN(10))*(MAX((LN(10^(逐级计算!$Q$59/10)-1)+逐级计算!$Q$59*(BG46-逐级计算!$P$59)*LN(10)/10),0)+LN(1+EXP(-ABS((LN(10^(逐级计算!$Q$59/10)-1)+逐级计算!$Q$59*(BG46-逐级计算!$P$59)*LN(10)/10))))))),"")</f>
        <v>13.7930365741582</v>
      </c>
      <c r="BI46">
        <f>IF(AND(ISNUMBER(BH46),逐级计算!$X$60&gt;-1),IF(逐级计算!$X$60=0,BH46+逐级计算!$C$60,BH46+逐级计算!$C$60-(10/(逐级计算!$Q$60*LN(10))*(MAX((LN(10^(逐级计算!$Q$60/10)-1)+逐级计算!$Q$60*(BH46-逐级计算!$P$60)*LN(10)/10),0)+LN(1+EXP(-ABS((LN(10^(逐级计算!$Q$60/10)-1)+逐级计算!$Q$60*(BH46-逐级计算!$P$60)*LN(10)/10))))))),"")</f>
        <v>13.7930365741582</v>
      </c>
      <c r="BJ46">
        <f>IF(AND(ISNUMBER(BI46),逐级计算!$X$61&gt;-1),IF(逐级计算!$X$61=0,BI46+逐级计算!$C$61,BI46+逐级计算!$C$61-(10/(逐级计算!$Q$61*LN(10))*(MAX((LN(10^(逐级计算!$Q$61/10)-1)+逐级计算!$Q$61*(BI46-逐级计算!$P$61)*LN(10)/10),0)+LN(1+EXP(-ABS((LN(10^(逐级计算!$Q$61/10)-1)+逐级计算!$Q$61*(BI46-逐级计算!$P$61)*LN(10)/10))))))),"")</f>
        <v>13.7930365741582</v>
      </c>
      <c r="BK46">
        <f>IF(AND(ISNUMBER(BJ46),逐级计算!$X$62&gt;-1),IF(逐级计算!$X$62=0,BJ46+逐级计算!$C$62,BJ46+逐级计算!$C$62-(10/(逐级计算!$Q$62*LN(10))*(MAX((LN(10^(逐级计算!$Q$62/10)-1)+逐级计算!$Q$62*(BJ46-逐级计算!$P$62)*LN(10)/10),0)+LN(1+EXP(-ABS((LN(10^(逐级计算!$Q$62/10)-1)+逐级计算!$Q$62*(BJ46-逐级计算!$P$62)*LN(10)/10))))))),"")</f>
        <v>13.7930365741582</v>
      </c>
      <c r="BL46">
        <f>IF(AND(ISNUMBER(BK46),逐级计算!$X$63&gt;-1),IF(逐级计算!$X$63=0,BK46+逐级计算!$C$63,BK46+逐级计算!$C$63-(10/(逐级计算!$Q$63*LN(10))*(MAX((LN(10^(逐级计算!$Q$63/10)-1)+逐级计算!$Q$63*(BK46-逐级计算!$P$63)*LN(10)/10),0)+LN(1+EXP(-ABS((LN(10^(逐级计算!$Q$63/10)-1)+逐级计算!$Q$63*(BK46-逐级计算!$P$63)*LN(10)/10))))))),"")</f>
        <v>13.7930365741582</v>
      </c>
      <c r="BM46">
        <f>IF(AND(ISNUMBER(BL46),逐级计算!$X$64&gt;-1),IF(逐级计算!$X$64=0,BL46+逐级计算!$C$64,BL46+逐级计算!$C$64-(10/(逐级计算!$Q$64*LN(10))*(MAX((LN(10^(逐级计算!$Q$64/10)-1)+逐级计算!$Q$64*(BL46-逐级计算!$P$64)*LN(10)/10),0)+LN(1+EXP(-ABS((LN(10^(逐级计算!$Q$64/10)-1)+逐级计算!$Q$64*(BL46-逐级计算!$P$64)*LN(10)/10))))))),"")</f>
        <v>13.7930365741582</v>
      </c>
      <c r="BN46">
        <f>IF(AND(ISNUMBER(BM46),逐级计算!$X$65&gt;-1),IF(逐级计算!$X$65=0,BM46+逐级计算!$C$65,BM46+逐级计算!$C$65-(10/(逐级计算!$Q$65*LN(10))*(MAX((LN(10^(逐级计算!$Q$65/10)-1)+逐级计算!$Q$65*(BM46-逐级计算!$P$65)*LN(10)/10),0)+LN(1+EXP(-ABS((LN(10^(逐级计算!$Q$65/10)-1)+逐级计算!$Q$65*(BM46-逐级计算!$P$65)*LN(10)/10))))))),"")</f>
        <v>13.7930365741582</v>
      </c>
      <c r="BO46">
        <f>IF(AND(ISNUMBER(BN46),逐级计算!$X$66&gt;-1),IF(逐级计算!$X$66=0,BN46+逐级计算!$C$66,BN46+逐级计算!$C$66-(10/(逐级计算!$Q$66*LN(10))*(MAX((LN(10^(逐级计算!$Q$66/10)-1)+逐级计算!$Q$66*(BN46-逐级计算!$P$66)*LN(10)/10),0)+LN(1+EXP(-ABS((LN(10^(逐级计算!$Q$66/10)-1)+逐级计算!$Q$66*(BN46-逐级计算!$P$66)*LN(10)/10))))))),"")</f>
        <v>13.7930365741582</v>
      </c>
      <c r="BP46">
        <f>IF(AND(ISNUMBER(BO46),逐级计算!$X$67&gt;-1),IF(逐级计算!$X$67=0,BO46+逐级计算!$C$67,BO46+逐级计算!$C$67-(10/(逐级计算!$Q$67*LN(10))*(MAX((LN(10^(逐级计算!$Q$67/10)-1)+逐级计算!$Q$67*(BO46-逐级计算!$P$67)*LN(10)/10),0)+LN(1+EXP(-ABS((LN(10^(逐级计算!$Q$67/10)-1)+逐级计算!$Q$67*(BO46-逐级计算!$P$67)*LN(10)/10))))))),"")</f>
        <v>13.7930365741582</v>
      </c>
      <c r="BQ46">
        <f>IF(AND(ISNUMBER(BP46),逐级计算!$X$68&gt;-1),IF(逐级计算!$X$68=0,BP46+逐级计算!$C$68,BP46+逐级计算!$C$68-(10/(逐级计算!$Q$68*LN(10))*(MAX((LN(10^(逐级计算!$Q$68/10)-1)+逐级计算!$Q$68*(BP46-逐级计算!$P$68)*LN(10)/10),0)+LN(1+EXP(-ABS((LN(10^(逐级计算!$Q$68/10)-1)+逐级计算!$Q$68*(BP46-逐级计算!$P$68)*LN(10)/10))))))),"")</f>
        <v>13.7930365741582</v>
      </c>
      <c r="BR46">
        <f>IF(AND(ISNUMBER(BQ46),逐级计算!$X$69&gt;-1),IF(逐级计算!$X$69=0,BQ46+逐级计算!$C$69,BQ46+逐级计算!$C$69-(10/(逐级计算!$Q$69*LN(10))*(MAX((LN(10^(逐级计算!$Q$69/10)-1)+逐级计算!$Q$69*(BQ46-逐级计算!$P$69)*LN(10)/10),0)+LN(1+EXP(-ABS((LN(10^(逐级计算!$Q$69/10)-1)+逐级计算!$Q$69*(BQ46-逐级计算!$P$69)*LN(10)/10))))))),"")</f>
        <v>13.7930365741582</v>
      </c>
      <c r="BS46">
        <f>IF(AND(ISNUMBER(BR46),逐级计算!$X$70&gt;-1),IF(逐级计算!$X$70=0,BR46+逐级计算!$C$70,BR46+逐级计算!$C$70-(10/(逐级计算!$Q$70*LN(10))*(MAX((LN(10^(逐级计算!$Q$70/10)-1)+逐级计算!$Q$70*(BR46-逐级计算!$P$70)*LN(10)/10),0)+LN(1+EXP(-ABS((LN(10^(逐级计算!$Q$70/10)-1)+逐级计算!$Q$70*(BR46-逐级计算!$P$70)*LN(10)/10))))))),"")</f>
        <v>13.7930365741582</v>
      </c>
      <c r="BT46">
        <f>IF(AND(ISNUMBER(BS46),逐级计算!$X$71&gt;-1),IF(逐级计算!$X$71=0,BS46+逐级计算!$C$71,BS46+逐级计算!$C$71-(10/(逐级计算!$Q$71*LN(10))*(MAX((LN(10^(逐级计算!$Q$71/10)-1)+逐级计算!$Q$71*(BS46-逐级计算!$P$71)*LN(10)/10),0)+LN(1+EXP(-ABS((LN(10^(逐级计算!$Q$71/10)-1)+逐级计算!$Q$71*(BS46-逐级计算!$P$71)*LN(10)/10))))))),"")</f>
        <v>13.7930365741582</v>
      </c>
      <c r="BU46">
        <f>IF(AND(ISNUMBER(BT46),逐级计算!$X$72&gt;-1),IF(逐级计算!$X$72=0,BT46+逐级计算!$C$72,BT46+逐级计算!$C$72-(10/(逐级计算!$Q$72*LN(10))*(MAX((LN(10^(逐级计算!$Q$72/10)-1)+逐级计算!$Q$72*(BT46-逐级计算!$P$72)*LN(10)/10),0)+LN(1+EXP(-ABS((LN(10^(逐级计算!$Q$72/10)-1)+逐级计算!$Q$72*(BT46-逐级计算!$P$72)*LN(10)/10))))))),"")</f>
        <v>13.7930365741582</v>
      </c>
      <c r="BV46">
        <f>IF(AND(ISNUMBER(BU46),逐级计算!$X$73&gt;-1),IF(逐级计算!$X$73=0,BU46+逐级计算!$C$73,BU46+逐级计算!$C$73-(10/(逐级计算!$Q$73*LN(10))*(MAX((LN(10^(逐级计算!$Q$73/10)-1)+逐级计算!$Q$73*(BU46-逐级计算!$P$73)*LN(10)/10),0)+LN(1+EXP(-ABS((LN(10^(逐级计算!$Q$73/10)-1)+逐级计算!$Q$73*(BU46-逐级计算!$P$73)*LN(10)/10))))))),"")</f>
        <v>13.7930365741582</v>
      </c>
      <c r="BW46">
        <f>IF(AND(ISNUMBER(BV46),逐级计算!$X$74&gt;-1),IF(逐级计算!$X$74=0,BV46+逐级计算!$C$74,BV46+逐级计算!$C$74-(10/(逐级计算!$Q$74*LN(10))*(MAX((LN(10^(逐级计算!$Q$74/10)-1)+逐级计算!$Q$74*(BV46-逐级计算!$P$74)*LN(10)/10),0)+LN(1+EXP(-ABS((LN(10^(逐级计算!$Q$74/10)-1)+逐级计算!$Q$74*(BV46-逐级计算!$P$74)*LN(10)/10))))))),"")</f>
        <v>13.7930365741582</v>
      </c>
      <c r="BX46">
        <f>IF(AND(ISNUMBER(BW46),逐级计算!$X$75&gt;-1),IF(逐级计算!$X$75=0,BW46+逐级计算!$C$75,BW46+逐级计算!$C$75-(10/(逐级计算!$Q$75*LN(10))*(MAX((LN(10^(逐级计算!$Q$75/10)-1)+逐级计算!$Q$75*(BW46-逐级计算!$P$75)*LN(10)/10),0)+LN(1+EXP(-ABS((LN(10^(逐级计算!$Q$75/10)-1)+逐级计算!$Q$75*(BW46-逐级计算!$P$75)*LN(10)/10))))))),"")</f>
        <v>13.7930365741582</v>
      </c>
      <c r="BY46">
        <f>IF(AND(ISNUMBER(BX46),逐级计算!$X$76&gt;-1),IF(逐级计算!$X$76=0,BX46+逐级计算!$C$76,BX46+逐级计算!$C$76-(10/(逐级计算!$Q$76*LN(10))*(MAX((LN(10^(逐级计算!$Q$76/10)-1)+逐级计算!$Q$76*(BX46-逐级计算!$P$76)*LN(10)/10),0)+LN(1+EXP(-ABS((LN(10^(逐级计算!$Q$76/10)-1)+逐级计算!$Q$76*(BX46-逐级计算!$P$76)*LN(10)/10))))))),"")</f>
        <v>13.7930365741582</v>
      </c>
      <c r="BZ46">
        <f>IF(AND(ISNUMBER(BY46),逐级计算!$X$77&gt;-1),IF(逐级计算!$X$77=0,BY46+逐级计算!$C$77,BY46+逐级计算!$C$77-(10/(逐级计算!$Q$77*LN(10))*(MAX((LN(10^(逐级计算!$Q$77/10)-1)+逐级计算!$Q$77*(BY46-逐级计算!$P$77)*LN(10)/10),0)+LN(1+EXP(-ABS((LN(10^(逐级计算!$Q$77/10)-1)+逐级计算!$Q$77*(BY46-逐级计算!$P$77)*LN(10)/10))))))),"")</f>
        <v>13.7930365741582</v>
      </c>
      <c r="CA46">
        <f>IF(AND(ISNUMBER(BZ46),逐级计算!$X$78&gt;-1),IF(逐级计算!$X$78=0,BZ46+逐级计算!$C$78,BZ46+逐级计算!$C$78-(10/(逐级计算!$Q$78*LN(10))*(MAX((LN(10^(逐级计算!$Q$78/10)-1)+逐级计算!$Q$78*(BZ46-逐级计算!$P$78)*LN(10)/10),0)+LN(1+EXP(-ABS((LN(10^(逐级计算!$Q$78/10)-1)+逐级计算!$Q$78*(BZ46-逐级计算!$P$78)*LN(10)/10))))))),"")</f>
        <v>13.7930365741582</v>
      </c>
      <c r="CB46">
        <f>IF(AND(ISNUMBER(CA46),逐级计算!$X$79&gt;-1),IF(逐级计算!$X$79=0,CA46+逐级计算!$C$79,CA46+逐级计算!$C$79-(10/(逐级计算!$Q$79*LN(10))*(MAX((LN(10^(逐级计算!$Q$79/10)-1)+逐级计算!$Q$79*(CA46-逐级计算!$P$79)*LN(10)/10),0)+LN(1+EXP(-ABS((LN(10^(逐级计算!$Q$79/10)-1)+逐级计算!$Q$79*(CA46-逐级计算!$P$79)*LN(10)/10))))))),"")</f>
        <v>13.7930365741582</v>
      </c>
      <c r="CC46">
        <f>IF(AND(ISNUMBER(CB46),逐级计算!$X$80&gt;-1),IF(逐级计算!$X$80=0,CB46+逐级计算!$C$80,CB46+逐级计算!$C$80-(10/(逐级计算!$Q$80*LN(10))*(MAX((LN(10^(逐级计算!$Q$80/10)-1)+逐级计算!$Q$80*(CB46-逐级计算!$P$80)*LN(10)/10),0)+LN(1+EXP(-ABS((LN(10^(逐级计算!$Q$80/10)-1)+逐级计算!$Q$80*(CB46-逐级计算!$P$80)*LN(10)/10))))))),"")</f>
        <v>13.7930365741582</v>
      </c>
      <c r="CD46">
        <f>IF(AND(ISNUMBER(CC46),逐级计算!$X$81&gt;-1),IF(逐级计算!$X$81=0,CC46+逐级计算!$C$81,CC46+逐级计算!$C$81-(10/(逐级计算!$Q$81*LN(10))*(MAX((LN(10^(逐级计算!$Q$81/10)-1)+逐级计算!$Q$81*(CC46-逐级计算!$P$81)*LN(10)/10),0)+LN(1+EXP(-ABS((LN(10^(逐级计算!$Q$81/10)-1)+逐级计算!$Q$81*(CC46-逐级计算!$P$81)*LN(10)/10))))))),"")</f>
        <v>13.7930365741582</v>
      </c>
      <c r="CE46">
        <f>IF(AND(ISNUMBER(CD46),逐级计算!$X$82&gt;-1),IF(逐级计算!$X$82=0,CD46+逐级计算!$C$82,CD46+逐级计算!$C$82-(10/(逐级计算!$Q$82*LN(10))*(MAX((LN(10^(逐级计算!$Q$82/10)-1)+逐级计算!$Q$82*(CD46-逐级计算!$P$82)*LN(10)/10),0)+LN(1+EXP(-ABS((LN(10^(逐级计算!$Q$82/10)-1)+逐级计算!$Q$82*(CD46-逐级计算!$P$82)*LN(10)/10))))))),"")</f>
        <v>13.7930365741582</v>
      </c>
      <c r="CF46">
        <f>IF(AND(ISNUMBER(CE46),逐级计算!$X$83&gt;-1),IF(逐级计算!$X$83=0,CE46+逐级计算!$C$83,CE46+逐级计算!$C$83-(10/(逐级计算!$Q$83*LN(10))*(MAX((LN(10^(逐级计算!$Q$83/10)-1)+逐级计算!$Q$83*(CE46-逐级计算!$P$83)*LN(10)/10),0)+LN(1+EXP(-ABS((LN(10^(逐级计算!$Q$83/10)-1)+逐级计算!$Q$83*(CE46-逐级计算!$P$83)*LN(10)/10))))))),"")</f>
        <v>13.7930365741582</v>
      </c>
      <c r="CG46">
        <f>IF(AND(ISNUMBER(CF46),逐级计算!$X$84&gt;-1),IF(逐级计算!$X$84=0,CF46+逐级计算!$C$84,CF46+逐级计算!$C$84-(10/(逐级计算!$Q$84*LN(10))*(MAX((LN(10^(逐级计算!$Q$84/10)-1)+逐级计算!$Q$84*(CF46-逐级计算!$P$84)*LN(10)/10),0)+LN(1+EXP(-ABS((LN(10^(逐级计算!$Q$84/10)-1)+逐级计算!$Q$84*(CF46-逐级计算!$P$84)*LN(10)/10))))))),"")</f>
        <v>13.7930365741582</v>
      </c>
      <c r="CH46">
        <f>IF(AND(ISNUMBER(CG46),逐级计算!$X$85&gt;-1),IF(逐级计算!$X$85=0,CG46+逐级计算!$C$85,CG46+逐级计算!$C$85-(10/(逐级计算!$Q$85*LN(10))*(MAX((LN(10^(逐级计算!$Q$85/10)-1)+逐级计算!$Q$85*(CG46-逐级计算!$P$85)*LN(10)/10),0)+LN(1+EXP(-ABS((LN(10^(逐级计算!$Q$85/10)-1)+逐级计算!$Q$85*(CG46-逐级计算!$P$85)*LN(10)/10))))))),"")</f>
        <v>13.7930365741582</v>
      </c>
      <c r="CI46">
        <f>IF(AND(ISNUMBER(CH46),逐级计算!$X$86&gt;-1),IF(逐级计算!$X$86=0,CH46+逐级计算!$C$86,CH46+逐级计算!$C$86-(10/(逐级计算!$Q$86*LN(10))*(MAX((LN(10^(逐级计算!$Q$86/10)-1)+逐级计算!$Q$86*(CH46-逐级计算!$P$86)*LN(10)/10),0)+LN(1+EXP(-ABS((LN(10^(逐级计算!$Q$86/10)-1)+逐级计算!$Q$86*(CH46-逐级计算!$P$86)*LN(10)/10))))))),"")</f>
        <v>13.7930365741582</v>
      </c>
      <c r="CJ46">
        <f>IF(AND(ISNUMBER(CI46),逐级计算!$X$87&gt;-1),IF(逐级计算!$X$87=0,CI46+逐级计算!$C$87,CI46+逐级计算!$C$87-(10/(逐级计算!$Q$87*LN(10))*(MAX((LN(10^(逐级计算!$Q$87/10)-1)+逐级计算!$Q$87*(CI46-逐级计算!$P$87)*LN(10)/10),0)+LN(1+EXP(-ABS((LN(10^(逐级计算!$Q$87/10)-1)+逐级计算!$Q$87*(CI46-逐级计算!$P$87)*LN(10)/10))))))),"")</f>
        <v>13.7930365741582</v>
      </c>
      <c r="CK46">
        <f>IF(AND(ISNUMBER(CJ46),逐级计算!$X$88&gt;-1),IF(逐级计算!$X$88=0,CJ46+逐级计算!$C$88,CJ46+逐级计算!$C$88-(10/(逐级计算!$Q$88*LN(10))*(MAX((LN(10^(逐级计算!$Q$88/10)-1)+逐级计算!$Q$88*(CJ46-逐级计算!$P$88)*LN(10)/10),0)+LN(1+EXP(-ABS((LN(10^(逐级计算!$Q$88/10)-1)+逐级计算!$Q$88*(CJ46-逐级计算!$P$88)*LN(10)/10))))))),"")</f>
        <v>13.7930365741582</v>
      </c>
      <c r="CL46">
        <f>IF(AND(ISNUMBER(CK46),逐级计算!$X$89&gt;-1),IF(逐级计算!$X$89=0,CK46+逐级计算!$C$89,CK46+逐级计算!$C$89-(10/(逐级计算!$Q$89*LN(10))*(MAX((LN(10^(逐级计算!$Q$89/10)-1)+逐级计算!$Q$89*(CK46-逐级计算!$P$89)*LN(10)/10),0)+LN(1+EXP(-ABS((LN(10^(逐级计算!$Q$89/10)-1)+逐级计算!$Q$89*(CK46-逐级计算!$P$89)*LN(10)/10))))))),"")</f>
        <v>13.7930365741582</v>
      </c>
      <c r="CM46">
        <f>IF(AND(ISNUMBER(CL46),逐级计算!$X$90&gt;-1),IF(逐级计算!$X$90=0,CL46+逐级计算!$C$90,CL46+逐级计算!$C$90-(10/(逐级计算!$Q$90*LN(10))*(MAX((LN(10^(逐级计算!$Q$90/10)-1)+逐级计算!$Q$90*(CL46-逐级计算!$P$90)*LN(10)/10),0)+LN(1+EXP(-ABS((LN(10^(逐级计算!$Q$90/10)-1)+逐级计算!$Q$90*(CL46-逐级计算!$P$90)*LN(10)/10))))))),"")</f>
        <v>13.7930365741582</v>
      </c>
      <c r="CN46">
        <f>IF(AND(ISNUMBER(CM46),逐级计算!$X$91&gt;-1),IF(逐级计算!$X$91=0,CM46+逐级计算!$C$91,CM46+逐级计算!$C$91-(10/(逐级计算!$Q$91*LN(10))*(MAX((LN(10^(逐级计算!$Q$91/10)-1)+逐级计算!$Q$91*(CM46-逐级计算!$P$91)*LN(10)/10),0)+LN(1+EXP(-ABS((LN(10^(逐级计算!$Q$91/10)-1)+逐级计算!$Q$91*(CM46-逐级计算!$P$91)*LN(10)/10))))))),"")</f>
        <v>13.7930365741582</v>
      </c>
      <c r="CO46">
        <f>IF(AND(ISNUMBER(CN46),逐级计算!$X$92&gt;-1),IF(逐级计算!$X$92=0,CN46+逐级计算!$C$92,CN46+逐级计算!$C$92-(10/(逐级计算!$Q$92*LN(10))*(MAX((LN(10^(逐级计算!$Q$92/10)-1)+逐级计算!$Q$92*(CN46-逐级计算!$P$92)*LN(10)/10),0)+LN(1+EXP(-ABS((LN(10^(逐级计算!$Q$92/10)-1)+逐级计算!$Q$92*(CN46-逐级计算!$P$92)*LN(10)/10))))))),"")</f>
        <v>13.7930365741582</v>
      </c>
      <c r="CP46">
        <f>IF(AND(ISNUMBER(CO46),逐级计算!$X$93&gt;-1),IF(逐级计算!$X$93=0,CO46+逐级计算!$C$93,CO46+逐级计算!$C$93-(10/(逐级计算!$Q$93*LN(10))*(MAX((LN(10^(逐级计算!$Q$93/10)-1)+逐级计算!$Q$93*(CO46-逐级计算!$P$93)*LN(10)/10),0)+LN(1+EXP(-ABS((LN(10^(逐级计算!$Q$93/10)-1)+逐级计算!$Q$93*(CO46-逐级计算!$P$93)*LN(10)/10))))))),"")</f>
        <v>13.7930365741582</v>
      </c>
      <c r="CQ46">
        <f>IF(AND(ISNUMBER(CP46),逐级计算!$X$94&gt;-1),IF(逐级计算!$X$94=0,CP46+逐级计算!$C$94,CP46+逐级计算!$C$94-(10/(逐级计算!$Q$94*LN(10))*(MAX((LN(10^(逐级计算!$Q$94/10)-1)+逐级计算!$Q$94*(CP46-逐级计算!$P$94)*LN(10)/10),0)+LN(1+EXP(-ABS((LN(10^(逐级计算!$Q$94/10)-1)+逐级计算!$Q$94*(CP46-逐级计算!$P$94)*LN(10)/10))))))),"")</f>
        <v>13.7930365741582</v>
      </c>
      <c r="CR46">
        <f>IF(AND(ISNUMBER(CQ46),逐级计算!$X$95&gt;-1),IF(逐级计算!$X$95=0,CQ46+逐级计算!$C$95,CQ46+逐级计算!$C$95-(10/(逐级计算!$Q$95*LN(10))*(MAX((LN(10^(逐级计算!$Q$95/10)-1)+逐级计算!$Q$95*(CQ46-逐级计算!$P$95)*LN(10)/10),0)+LN(1+EXP(-ABS((LN(10^(逐级计算!$Q$95/10)-1)+逐级计算!$Q$95*(CQ46-逐级计算!$P$95)*LN(10)/10))))))),"")</f>
        <v>13.7930365741582</v>
      </c>
      <c r="CS46">
        <f>IF(AND(ISNUMBER(CR46),逐级计算!$X$96&gt;-1),IF(逐级计算!$X$96=0,CR46+逐级计算!$C$96,CR46+逐级计算!$C$96-(10/(逐级计算!$Q$96*LN(10))*(MAX((LN(10^(逐级计算!$Q$96/10)-1)+逐级计算!$Q$96*(CR46-逐级计算!$P$96)*LN(10)/10),0)+LN(1+EXP(-ABS((LN(10^(逐级计算!$Q$96/10)-1)+逐级计算!$Q$96*(CR46-逐级计算!$P$96)*LN(10)/10))))))),"")</f>
        <v>13.7930365741582</v>
      </c>
      <c r="CT46">
        <f>IF(AND(ISNUMBER(CS46),逐级计算!$X$97&gt;-1),IF(逐级计算!$X$97=0,CS46+逐级计算!$C$97,CS46+逐级计算!$C$97-(10/(逐级计算!$Q$97*LN(10))*(MAX((LN(10^(逐级计算!$Q$97/10)-1)+逐级计算!$Q$97*(CS46-逐级计算!$P$97)*LN(10)/10),0)+LN(1+EXP(-ABS((LN(10^(逐级计算!$Q$97/10)-1)+逐级计算!$Q$97*(CS46-逐级计算!$P$97)*LN(10)/10))))))),"")</f>
        <v>13.7930365741582</v>
      </c>
      <c r="CU46">
        <f>IF(AND(ISNUMBER(CT46),逐级计算!$X$98&gt;-1),IF(逐级计算!$X$98=0,CT46+逐级计算!$C$98,CT46+逐级计算!$C$98-(10/(逐级计算!$Q$98*LN(10))*(MAX((LN(10^(逐级计算!$Q$98/10)-1)+逐级计算!$Q$98*(CT46-逐级计算!$P$98)*LN(10)/10),0)+LN(1+EXP(-ABS((LN(10^(逐级计算!$Q$98/10)-1)+逐级计算!$Q$98*(CT46-逐级计算!$P$98)*LN(10)/10))))))),"")</f>
        <v>13.7930365741582</v>
      </c>
      <c r="CV46">
        <f>IF(AND(ISNUMBER(CU46),逐级计算!$X$99&gt;-1),IF(逐级计算!$X$99=0,CU46+逐级计算!$C$99,CU46+逐级计算!$C$99-(10/(逐级计算!$Q$99*LN(10))*(MAX((LN(10^(逐级计算!$Q$99/10)-1)+逐级计算!$Q$99*(CU46-逐级计算!$P$99)*LN(10)/10),0)+LN(1+EXP(-ABS((LN(10^(逐级计算!$Q$99/10)-1)+逐级计算!$Q$99*(CU46-逐级计算!$P$99)*LN(10)/10))))))),"")</f>
        <v>13.7930365741582</v>
      </c>
      <c r="CW46">
        <f>IF(AND(ISNUMBER(CV46),逐级计算!$X$100&gt;-1),IF(逐级计算!$X$100=0,CV46+逐级计算!$C$100,CV46+逐级计算!$C$100-(10/(逐级计算!$Q$100*LN(10))*(MAX((LN(10^(逐级计算!$Q$100/10)-1)+逐级计算!$Q$100*(CV46-逐级计算!$P$100)*LN(10)/10),0)+LN(1+EXP(-ABS((LN(10^(逐级计算!$Q$100/10)-1)+逐级计算!$Q$100*(CV46-逐级计算!$P$100)*LN(10)/10))))))),"")</f>
        <v>13.7930365741582</v>
      </c>
      <c r="CX46">
        <f>IF(AND(ISNUMBER(CW46),逐级计算!$X$101&gt;-1),IF(逐级计算!$X$101=0,CW46+逐级计算!$C$101,CW46+逐级计算!$C$101-(10/(逐级计算!$Q$101*LN(10))*(MAX((LN(10^(逐级计算!$Q$101/10)-1)+逐级计算!$Q$101*(CW46-逐级计算!$P$101)*LN(10)/10),0)+LN(1+EXP(-ABS((LN(10^(逐级计算!$Q$101/10)-1)+逐级计算!$Q$101*(CW46-逐级计算!$P$101)*LN(10)/10))))))),"")</f>
        <v>13.7930365741582</v>
      </c>
      <c r="CY46">
        <f>IF(AND(ISNUMBER(CX46),逐级计算!$X$102&gt;-1),IF(逐级计算!$X$102=0,CX46+逐级计算!$C$102,CX46+逐级计算!$C$102-(10/(逐级计算!$Q$102*LN(10))*(MAX((LN(10^(逐级计算!$Q$102/10)-1)+逐级计算!$Q$102*(CX46-逐级计算!$P$102)*LN(10)/10),0)+LN(1+EXP(-ABS((LN(10^(逐级计算!$Q$102/10)-1)+逐级计算!$Q$102*(CX46-逐级计算!$P$102)*LN(10)/10))))))),"")</f>
        <v>13.7930365741582</v>
      </c>
      <c r="CZ46">
        <f>IF(AND(ISNUMBER(CY46),逐级计算!$X$103&gt;-1),IF(逐级计算!$X$103=0,CY46+逐级计算!$C$103,CY46+逐级计算!$C$103-(10/(逐级计算!$Q$103*LN(10))*(MAX((LN(10^(逐级计算!$Q$103/10)-1)+逐级计算!$Q$103*(CY46-逐级计算!$P$103)*LN(10)/10),0)+LN(1+EXP(-ABS((LN(10^(逐级计算!$Q$103/10)-1)+逐级计算!$Q$103*(CY46-逐级计算!$P$103)*LN(10)/10))))))),"")</f>
        <v>13.7930365741582</v>
      </c>
      <c r="DA46">
        <f>IF(AND(ISNUMBER(CZ46),逐级计算!$X$104&gt;-1),IF(逐级计算!$X$104=0,CZ46+逐级计算!$C$104,CZ46+逐级计算!$C$104-(10/(逐级计算!$Q$104*LN(10))*(MAX((LN(10^(逐级计算!$Q$104/10)-1)+逐级计算!$Q$104*(CZ46-逐级计算!$P$104)*LN(10)/10),0)+LN(1+EXP(-ABS((LN(10^(逐级计算!$Q$104/10)-1)+逐级计算!$Q$104*(CZ46-逐级计算!$P$104)*LN(10)/10))))))),"")</f>
        <v>13.7930365741582</v>
      </c>
      <c r="DB46">
        <f>IF(AND(ISNUMBER(DA46),逐级计算!$X$105&gt;-1),IF(逐级计算!$X$105=0,DA46+逐级计算!$C$105,DA46+逐级计算!$C$105-(10/(逐级计算!$Q$105*LN(10))*(MAX((LN(10^(逐级计算!$Q$105/10)-1)+逐级计算!$Q$105*(DA46-逐级计算!$P$105)*LN(10)/10),0)+LN(1+EXP(-ABS((LN(10^(逐级计算!$Q$105/10)-1)+逐级计算!$Q$105*(DA46-逐级计算!$P$105)*LN(10)/10))))))),"")</f>
        <v>13.7930365741582</v>
      </c>
      <c r="DC46">
        <f>IF(AND(ISNUMBER(DB46),逐级计算!$X$106&gt;-1),IF(逐级计算!$X$106=0,DB46+逐级计算!$C$106,DB46+逐级计算!$C$106-(10/(逐级计算!$Q$106*LN(10))*(MAX((LN(10^(逐级计算!$Q$106/10)-1)+逐级计算!$Q$106*(DB46-逐级计算!$P$106)*LN(10)/10),0)+LN(1+EXP(-ABS((LN(10^(逐级计算!$Q$106/10)-1)+逐级计算!$Q$106*(DB46-逐级计算!$P$106)*LN(10)/10))))))),"")</f>
        <v>13.7930365741582</v>
      </c>
      <c r="DD46">
        <f>IF(AND(ISNUMBER(DC46),逐级计算!$X$107&gt;-1),IF(逐级计算!$X$107=0,DC46+逐级计算!$C$107,DC46+逐级计算!$C$107-(10/(逐级计算!$Q$107*LN(10))*(MAX((LN(10^(逐级计算!$Q$107/10)-1)+逐级计算!$Q$107*(DC46-逐级计算!$P$107)*LN(10)/10),0)+LN(1+EXP(-ABS((LN(10^(逐级计算!$Q$107/10)-1)+逐级计算!$Q$107*(DC46-逐级计算!$P$107)*LN(10)/10))))))),"")</f>
        <v>13.7930365741582</v>
      </c>
      <c r="DE46">
        <f>IF(AND(ISNUMBER(DD46),逐级计算!$X$108&gt;-1),IF(逐级计算!$X$108=0,DD46+逐级计算!$C$108,DD46+逐级计算!$C$108-(10/(逐级计算!$Q$108*LN(10))*(MAX((LN(10^(逐级计算!$Q$108/10)-1)+逐级计算!$Q$108*(DD46-逐级计算!$P$108)*LN(10)/10),0)+LN(1+EXP(-ABS((LN(10^(逐级计算!$Q$108/10)-1)+逐级计算!$Q$108*(DD46-逐级计算!$P$108)*LN(10)/10))))))),"")</f>
        <v>13.7930365741582</v>
      </c>
      <c r="DF46">
        <f>IF(AND(ISNUMBER(DE46),逐级计算!$X$109&gt;-1),IF(逐级计算!$X$109=0,DE46+逐级计算!$C$109,DE46+逐级计算!$C$109-(10/(逐级计算!$Q$109*LN(10))*(MAX((LN(10^(逐级计算!$Q$109/10)-1)+逐级计算!$Q$109*(DE46-逐级计算!$P$109)*LN(10)/10),0)+LN(1+EXP(-ABS((LN(10^(逐级计算!$Q$109/10)-1)+逐级计算!$Q$109*(DE46-逐级计算!$P$109)*LN(10)/10))))))),"")</f>
        <v>13.7930365741582</v>
      </c>
      <c r="DG46">
        <f>IF(AND(ISNUMBER(DF46),逐级计算!$X$110&gt;-1),IF(逐级计算!$X$110=0,DF46+逐级计算!$C$110,DF46+逐级计算!$C$110-(10/(逐级计算!$Q$110*LN(10))*(MAX((LN(10^(逐级计算!$Q$110/10)-1)+逐级计算!$Q$110*(DF46-逐级计算!$P$110)*LN(10)/10),0)+LN(1+EXP(-ABS((LN(10^(逐级计算!$Q$110/10)-1)+逐级计算!$Q$110*(DF46-逐级计算!$P$110)*LN(10)/10))))))),"")</f>
        <v>13.7930365741582</v>
      </c>
      <c r="DH46">
        <f>IF(AND(ISNUMBER(DG46),逐级计算!$X$111&gt;-1),IF(逐级计算!$X$111=0,DG46+逐级计算!$C$111,DG46+逐级计算!$C$111-(10/(逐级计算!$Q$111*LN(10))*(MAX((LN(10^(逐级计算!$Q$111/10)-1)+逐级计算!$Q$111*(DG46-逐级计算!$P$111)*LN(10)/10),0)+LN(1+EXP(-ABS((LN(10^(逐级计算!$Q$111/10)-1)+逐级计算!$Q$111*(DG46-逐级计算!$P$111)*LN(10)/10))))))),"")</f>
        <v>13.7930365741582</v>
      </c>
      <c r="DI46">
        <f>IF(AND(ISNUMBER(DH46),逐级计算!$X$112&gt;-1),IF(逐级计算!$X$112=0,DH46+逐级计算!$C$112,DH46+逐级计算!$C$112-(10/(逐级计算!$Q$112*LN(10))*(MAX((LN(10^(逐级计算!$Q$112/10)-1)+逐级计算!$Q$112*(DH46-逐级计算!$P$112)*LN(10)/10),0)+LN(1+EXP(-ABS((LN(10^(逐级计算!$Q$112/10)-1)+逐级计算!$Q$112*(DH46-逐级计算!$P$112)*LN(10)/10))))))),"")</f>
        <v>13.7930365741582</v>
      </c>
      <c r="DJ46">
        <f>IF(AND(ISNUMBER(DI46),逐级计算!$X$113&gt;-1),IF(逐级计算!$X$113=0,DI46+逐级计算!$C$113,DI46+逐级计算!$C$113-(10/(逐级计算!$Q$113*LN(10))*(MAX((LN(10^(逐级计算!$Q$113/10)-1)+逐级计算!$Q$113*(DI46-逐级计算!$P$113)*LN(10)/10),0)+LN(1+EXP(-ABS((LN(10^(逐级计算!$Q$113/10)-1)+逐级计算!$Q$113*(DI46-逐级计算!$P$113)*LN(10)/10))))))),"")</f>
        <v>13.7930365741582</v>
      </c>
      <c r="DK46">
        <f>IF(AND(ISNUMBER(DJ46),逐级计算!$X$114&gt;-1),IF(逐级计算!$X$114=0,DJ46+逐级计算!$C$114,DJ46+逐级计算!$C$114-(10/(逐级计算!$Q$114*LN(10))*(MAX((LN(10^(逐级计算!$Q$114/10)-1)+逐级计算!$Q$114*(DJ46-逐级计算!$P$114)*LN(10)/10),0)+LN(1+EXP(-ABS((LN(10^(逐级计算!$Q$114/10)-1)+逐级计算!$Q$114*(DJ46-逐级计算!$P$114)*LN(10)/10))))))),"")</f>
        <v>13.7930365741582</v>
      </c>
      <c r="DL46">
        <f>IF(AND(ISNUMBER(DK46),逐级计算!$X$115&gt;-1),IF(逐级计算!$X$115=0,DK46+逐级计算!$C$115,DK46+逐级计算!$C$115-(10/(逐级计算!$Q$115*LN(10))*(MAX((LN(10^(逐级计算!$Q$115/10)-1)+逐级计算!$Q$115*(DK46-逐级计算!$P$115)*LN(10)/10),0)+LN(1+EXP(-ABS((LN(10^(逐级计算!$Q$115/10)-1)+逐级计算!$Q$115*(DK46-逐级计算!$P$115)*LN(10)/10))))))),"")</f>
        <v>13.7930365741582</v>
      </c>
      <c r="DM46">
        <f>IF(AND(ISNUMBER(DL46),逐级计算!$X$116&gt;-1),IF(逐级计算!$X$116=0,DL46+逐级计算!$C$116,DL46+逐级计算!$C$116-(10/(逐级计算!$Q$116*LN(10))*(MAX((LN(10^(逐级计算!$Q$116/10)-1)+逐级计算!$Q$116*(DL46-逐级计算!$P$116)*LN(10)/10),0)+LN(1+EXP(-ABS((LN(10^(逐级计算!$Q$116/10)-1)+逐级计算!$Q$116*(DL46-逐级计算!$P$116)*LN(10)/10))))))),"")</f>
        <v>13.7930365741582</v>
      </c>
      <c r="DN46">
        <f>IF(AND(ISNUMBER(DM46),逐级计算!$X$117&gt;-1),IF(逐级计算!$X$117=0,DM46+逐级计算!$C$117,DM46+逐级计算!$C$117-(10/(逐级计算!$Q$117*LN(10))*(MAX((LN(10^(逐级计算!$Q$117/10)-1)+逐级计算!$Q$117*(DM46-逐级计算!$P$117)*LN(10)/10),0)+LN(1+EXP(-ABS((LN(10^(逐级计算!$Q$117/10)-1)+逐级计算!$Q$117*(DM46-逐级计算!$P$117)*LN(10)/10))))))),"")</f>
        <v>13.7930365741582</v>
      </c>
      <c r="DO46">
        <f>IF(AND(ISNUMBER(DN46),逐级计算!$X$118&gt;-1),IF(逐级计算!$X$118=0,DN46+逐级计算!$C$118,DN46+逐级计算!$C$118-(10/(逐级计算!$Q$118*LN(10))*(MAX((LN(10^(逐级计算!$Q$118/10)-1)+逐级计算!$Q$118*(DN46-逐级计算!$P$118)*LN(10)/10),0)+LN(1+EXP(-ABS((LN(10^(逐级计算!$Q$118/10)-1)+逐级计算!$Q$118*(DN46-逐级计算!$P$118)*LN(10)/10))))))),"")</f>
        <v>13.7930365741582</v>
      </c>
      <c r="DP46">
        <f>IF(AND(ISNUMBER(DO46),逐级计算!$X$119&gt;-1),IF(逐级计算!$X$119=0,DO46+逐级计算!$C$119,DO46+逐级计算!$C$119-(10/(逐级计算!$Q$119*LN(10))*(MAX((LN(10^(逐级计算!$Q$119/10)-1)+逐级计算!$Q$119*(DO46-逐级计算!$P$119)*LN(10)/10),0)+LN(1+EXP(-ABS((LN(10^(逐级计算!$Q$119/10)-1)+逐级计算!$Q$119*(DO46-逐级计算!$P$119)*LN(10)/10))))))),"")</f>
        <v>13.7930365741582</v>
      </c>
      <c r="DQ46">
        <f>IF(AND(ISNUMBER(DP46),逐级计算!$X$120&gt;-1),IF(逐级计算!$X$120=0,DP46+逐级计算!$C$120,DP46+逐级计算!$C$120-(10/(逐级计算!$Q$120*LN(10))*(MAX((LN(10^(逐级计算!$Q$120/10)-1)+逐级计算!$Q$120*(DP46-逐级计算!$P$120)*LN(10)/10),0)+LN(1+EXP(-ABS((LN(10^(逐级计算!$Q$120/10)-1)+逐级计算!$Q$120*(DP46-逐级计算!$P$120)*LN(10)/10))))))),"")</f>
        <v>13.7930365741582</v>
      </c>
      <c r="DR46">
        <f>IF(AND(ISNUMBER(DQ46),逐级计算!$X$121&gt;-1),IF(逐级计算!$X$121=0,DQ46+逐级计算!$C$121,DQ46+逐级计算!$C$121-(10/(逐级计算!$Q$121*LN(10))*(MAX((LN(10^(逐级计算!$Q$121/10)-1)+逐级计算!$Q$121*(DQ46-逐级计算!$P$121)*LN(10)/10),0)+LN(1+EXP(-ABS((LN(10^(逐级计算!$Q$121/10)-1)+逐级计算!$Q$121*(DQ46-逐级计算!$P$121)*LN(10)/10))))))),"")</f>
        <v>13.7930365741582</v>
      </c>
      <c r="DS46">
        <f>IF(AND(ISNUMBER(DR46),逐级计算!$X$122&gt;-1),IF(逐级计算!$X$122=0,DR46+逐级计算!$C$122,DR46+逐级计算!$C$122-(10/(逐级计算!$Q$122*LN(10))*(MAX((LN(10^(逐级计算!$Q$122/10)-1)+逐级计算!$Q$122*(DR46-逐级计算!$P$122)*LN(10)/10),0)+LN(1+EXP(-ABS((LN(10^(逐级计算!$Q$122/10)-1)+逐级计算!$Q$122*(DR46-逐级计算!$P$122)*LN(10)/10))))))),"")</f>
        <v>13.7930365741582</v>
      </c>
      <c r="DT46">
        <f>IF(AND(ISNUMBER(DS46),逐级计算!$X$123&gt;-1),IF(逐级计算!$X$123=0,DS46+逐级计算!$C$123,DS46+逐级计算!$C$123-(10/(逐级计算!$Q$123*LN(10))*(MAX((LN(10^(逐级计算!$Q$123/10)-1)+逐级计算!$Q$123*(DS46-逐级计算!$P$123)*LN(10)/10),0)+LN(1+EXP(-ABS((LN(10^(逐级计算!$Q$123/10)-1)+逐级计算!$Q$123*(DS46-逐级计算!$P$123)*LN(10)/10))))))),"")</f>
        <v>13.7930365741582</v>
      </c>
      <c r="DU46">
        <f>IF(AND(ISNUMBER(DT46),逐级计算!$X$124&gt;-1),IF(逐级计算!$X$124=0,DT46+逐级计算!$C$124,DT46+逐级计算!$C$124-(10/(逐级计算!$Q$124*LN(10))*(MAX((LN(10^(逐级计算!$Q$124/10)-1)+逐级计算!$Q$124*(DT46-逐级计算!$P$124)*LN(10)/10),0)+LN(1+EXP(-ABS((LN(10^(逐级计算!$Q$124/10)-1)+逐级计算!$Q$124*(DT46-逐级计算!$P$124)*LN(10)/10))))))),"")</f>
        <v>13.7930365741582</v>
      </c>
      <c r="DV46">
        <f>IF(AND(ISNUMBER(DU46),逐级计算!$X$125&gt;-1),IF(逐级计算!$X$125=0,DU46+逐级计算!$C$125,DU46+逐级计算!$C$125-(10/(逐级计算!$Q$125*LN(10))*(MAX((LN(10^(逐级计算!$Q$125/10)-1)+逐级计算!$Q$125*(DU46-逐级计算!$P$125)*LN(10)/10),0)+LN(1+EXP(-ABS((LN(10^(逐级计算!$Q$125/10)-1)+逐级计算!$Q$125*(DU46-逐级计算!$P$125)*LN(10)/10))))))),"")</f>
        <v>13.7930365741582</v>
      </c>
      <c r="DW46">
        <f>IF(AND(ISNUMBER(DV46),逐级计算!$X$126&gt;-1),IF(逐级计算!$X$126=0,DV46+逐级计算!$C$126,DV46+逐级计算!$C$126-(10/(逐级计算!$Q$126*LN(10))*(MAX((LN(10^(逐级计算!$Q$126/10)-1)+逐级计算!$Q$126*(DV46-逐级计算!$P$126)*LN(10)/10),0)+LN(1+EXP(-ABS((LN(10^(逐级计算!$Q$126/10)-1)+逐级计算!$Q$126*(DV46-逐级计算!$P$126)*LN(10)/10))))))),"")</f>
        <v>13.7930365741582</v>
      </c>
      <c r="DX46">
        <f>IF(AND(ISNUMBER(DW46),逐级计算!$X$127&gt;-1),IF(逐级计算!$X$127=0,DW46+逐级计算!$C$127,DW46+逐级计算!$C$127-(10/(逐级计算!$Q$127*LN(10))*(MAX((LN(10^(逐级计算!$Q$127/10)-1)+逐级计算!$Q$127*(DW46-逐级计算!$P$127)*LN(10)/10),0)+LN(1+EXP(-ABS((LN(10^(逐级计算!$Q$127/10)-1)+逐级计算!$Q$127*(DW46-逐级计算!$P$127)*LN(10)/10))))))),"")</f>
        <v>13.7930365741582</v>
      </c>
      <c r="DY46">
        <f>IF(AND(ISNUMBER(DX46),逐级计算!$X$128&gt;-1),IF(逐级计算!$X$128=0,DX46+逐级计算!$C$128,DX46+逐级计算!$C$128-(10/(逐级计算!$Q$128*LN(10))*(MAX((LN(10^(逐级计算!$Q$128/10)-1)+逐级计算!$Q$128*(DX46-逐级计算!$P$128)*LN(10)/10),0)+LN(1+EXP(-ABS((LN(10^(逐级计算!$Q$128/10)-1)+逐级计算!$Q$128*(DX46-逐级计算!$P$128)*LN(10)/10))))))),"")</f>
        <v>13.7930365741582</v>
      </c>
      <c r="DZ46">
        <f>IF(AND(ISNUMBER(DY46),逐级计算!$X$129&gt;-1),IF(逐级计算!$X$129=0,DY46+逐级计算!$C$129,DY46+逐级计算!$C$129-(10/(逐级计算!$Q$129*LN(10))*(MAX((LN(10^(逐级计算!$Q$129/10)-1)+逐级计算!$Q$129*(DY46-逐级计算!$P$129)*LN(10)/10),0)+LN(1+EXP(-ABS((LN(10^(逐级计算!$Q$129/10)-1)+逐级计算!$Q$129*(DY46-逐级计算!$P$129)*LN(10)/10))))))),"")</f>
        <v>13.7930365741582</v>
      </c>
      <c r="EA46">
        <f>IF(AND(ISNUMBER(DZ46),逐级计算!$X$130&gt;-1),IF(逐级计算!$X$130=0,DZ46+逐级计算!$C$130,DZ46+逐级计算!$C$130-(10/(逐级计算!$Q$130*LN(10))*(MAX((LN(10^(逐级计算!$Q$130/10)-1)+逐级计算!$Q$130*(DZ46-逐级计算!$P$130)*LN(10)/10),0)+LN(1+EXP(-ABS((LN(10^(逐级计算!$Q$130/10)-1)+逐级计算!$Q$130*(DZ46-逐级计算!$P$130)*LN(10)/10))))))),"")</f>
        <v>13.7930365741582</v>
      </c>
      <c r="EB46">
        <f>IF(AND(ISNUMBER(EA46),逐级计算!$X$131&gt;-1),IF(逐级计算!$X$131=0,EA46+逐级计算!$C$131,EA46+逐级计算!$C$131-(10/(逐级计算!$Q$131*LN(10))*(MAX((LN(10^(逐级计算!$Q$131/10)-1)+逐级计算!$Q$131*(EA46-逐级计算!$P$131)*LN(10)/10),0)+LN(1+EXP(-ABS((LN(10^(逐级计算!$Q$131/10)-1)+逐级计算!$Q$131*(EA46-逐级计算!$P$131)*LN(10)/10))))))),"")</f>
        <v>13.7930365741582</v>
      </c>
      <c r="EC46">
        <f>IF(AND(ISNUMBER(EB46),逐级计算!$X$132&gt;-1),IF(逐级计算!$X$132=0,EB46+逐级计算!$C$132,EB46+逐级计算!$C$132-(10/(逐级计算!$Q$132*LN(10))*(MAX((LN(10^(逐级计算!$Q$132/10)-1)+逐级计算!$Q$132*(EB46-逐级计算!$P$132)*LN(10)/10),0)+LN(1+EXP(-ABS((LN(10^(逐级计算!$Q$132/10)-1)+逐级计算!$Q$132*(EB46-逐级计算!$P$132)*LN(10)/10))))))),"")</f>
        <v>13.7930365741582</v>
      </c>
      <c r="ED46">
        <f>IF(AND(ISNUMBER(EC46),逐级计算!$X$133&gt;-1),IF(逐级计算!$X$133=0,EC46+逐级计算!$C$133,EC46+逐级计算!$C$133-(10/(逐级计算!$Q$133*LN(10))*(MAX((LN(10^(逐级计算!$Q$133/10)-1)+逐级计算!$Q$133*(EC46-逐级计算!$P$133)*LN(10)/10),0)+LN(1+EXP(-ABS((LN(10^(逐级计算!$Q$133/10)-1)+逐级计算!$Q$133*(EC46-逐级计算!$P$133)*LN(10)/10))))))),"")</f>
        <v>13.7930365741582</v>
      </c>
      <c r="EE46">
        <f>IF(AND(ISNUMBER(ED46),逐级计算!$X$134&gt;-1),IF(逐级计算!$X$134=0,ED46+逐级计算!$C$134,ED46+逐级计算!$C$134-(10/(逐级计算!$Q$134*LN(10))*(MAX((LN(10^(逐级计算!$Q$134/10)-1)+逐级计算!$Q$134*(ED46-逐级计算!$P$134)*LN(10)/10),0)+LN(1+EXP(-ABS((LN(10^(逐级计算!$Q$134/10)-1)+逐级计算!$Q$134*(ED46-逐级计算!$P$134)*LN(10)/10))))))),"")</f>
        <v>13.7930365741582</v>
      </c>
      <c r="EF46">
        <f>IF(AND(ISNUMBER(EE46),逐级计算!$X$135&gt;-1),IF(逐级计算!$X$135=0,EE46+逐级计算!$C$135,EE46+逐级计算!$C$135-(10/(逐级计算!$Q$135*LN(10))*(MAX((LN(10^(逐级计算!$Q$135/10)-1)+逐级计算!$Q$135*(EE46-逐级计算!$P$135)*LN(10)/10),0)+LN(1+EXP(-ABS((LN(10^(逐级计算!$Q$135/10)-1)+逐级计算!$Q$135*(EE46-逐级计算!$P$135)*LN(10)/10))))))),"")</f>
        <v>13.7930365741582</v>
      </c>
      <c r="EG46">
        <f>IF(AND(ISNUMBER(EF46),逐级计算!$X$136&gt;-1),IF(逐级计算!$X$136=0,EF46+逐级计算!$C$136,EF46+逐级计算!$C$136-(10/(逐级计算!$Q$136*LN(10))*(MAX((LN(10^(逐级计算!$Q$136/10)-1)+逐级计算!$Q$136*(EF46-逐级计算!$P$136)*LN(10)/10),0)+LN(1+EXP(-ABS((LN(10^(逐级计算!$Q$136/10)-1)+逐级计算!$Q$136*(EF46-逐级计算!$P$136)*LN(10)/10))))))),"")</f>
        <v>13.7930365741582</v>
      </c>
      <c r="EH46">
        <f>IF(AND(ISNUMBER(EG46),逐级计算!$X$137&gt;-1),IF(逐级计算!$X$137=0,EG46+逐级计算!$C$137,EG46+逐级计算!$C$137-(10/(逐级计算!$Q$137*LN(10))*(MAX((LN(10^(逐级计算!$Q$137/10)-1)+逐级计算!$Q$137*(EG46-逐级计算!$P$137)*LN(10)/10),0)+LN(1+EXP(-ABS((LN(10^(逐级计算!$Q$137/10)-1)+逐级计算!$Q$137*(EG46-逐级计算!$P$137)*LN(10)/10))))))),"")</f>
        <v>13.7930365741582</v>
      </c>
      <c r="EI46">
        <f>IF(AND(ISNUMBER(EH46),逐级计算!$X$138&gt;-1),IF(逐级计算!$X$138=0,EH46+逐级计算!$C$138,EH46+逐级计算!$C$138-(10/(逐级计算!$Q$138*LN(10))*(MAX((LN(10^(逐级计算!$Q$138/10)-1)+逐级计算!$Q$138*(EH46-逐级计算!$P$138)*LN(10)/10),0)+LN(1+EXP(-ABS((LN(10^(逐级计算!$Q$138/10)-1)+逐级计算!$Q$138*(EH46-逐级计算!$P$138)*LN(10)/10))))))),"")</f>
        <v>13.7930365741582</v>
      </c>
      <c r="EJ46">
        <f>IF(AND(ISNUMBER(EI46),逐级计算!$X$139&gt;-1),IF(逐级计算!$X$139=0,EI46+逐级计算!$C$139,EI46+逐级计算!$C$139-(10/(逐级计算!$Q$139*LN(10))*(MAX((LN(10^(逐级计算!$Q$139/10)-1)+逐级计算!$Q$139*(EI46-逐级计算!$P$139)*LN(10)/10),0)+LN(1+EXP(-ABS((LN(10^(逐级计算!$Q$139/10)-1)+逐级计算!$Q$139*(EI46-逐级计算!$P$139)*LN(10)/10))))))),"")</f>
        <v>13.7930365741582</v>
      </c>
      <c r="EK46">
        <f>IF(AND(ISNUMBER(EJ46),逐级计算!$X$140&gt;-1),IF(逐级计算!$X$140=0,EJ46+逐级计算!$C$140,EJ46+逐级计算!$C$140-(10/(逐级计算!$Q$140*LN(10))*(MAX((LN(10^(逐级计算!$Q$140/10)-1)+逐级计算!$Q$140*(EJ46-逐级计算!$P$140)*LN(10)/10),0)+LN(1+EXP(-ABS((LN(10^(逐级计算!$Q$140/10)-1)+逐级计算!$Q$140*(EJ46-逐级计算!$P$140)*LN(10)/10))))))),"")</f>
        <v>13.7930365741582</v>
      </c>
      <c r="EL46">
        <f>IF(AND(ISNUMBER(EK46),逐级计算!$X$141&gt;-1),IF(逐级计算!$X$141=0,EK46+逐级计算!$C$141,EK46+逐级计算!$C$141-(10/(逐级计算!$Q$141*LN(10))*(MAX((LN(10^(逐级计算!$Q$141/10)-1)+逐级计算!$Q$141*(EK46-逐级计算!$P$141)*LN(10)/10),0)+LN(1+EXP(-ABS((LN(10^(逐级计算!$Q$141/10)-1)+逐级计算!$Q$141*(EK46-逐级计算!$P$141)*LN(10)/10))))))),"")</f>
        <v>13.7930365741582</v>
      </c>
      <c r="EM46">
        <f>IF(AND(ISNUMBER(EL46),逐级计算!$X$142&gt;-1),IF(逐级计算!$X$142=0,EL46+逐级计算!$C$142,EL46+逐级计算!$C$142-(10/(逐级计算!$Q$142*LN(10))*(MAX((LN(10^(逐级计算!$Q$142/10)-1)+逐级计算!$Q$142*(EL46-逐级计算!$P$142)*LN(10)/10),0)+LN(1+EXP(-ABS((LN(10^(逐级计算!$Q$142/10)-1)+逐级计算!$Q$142*(EL46-逐级计算!$P$142)*LN(10)/10))))))),"")</f>
        <v>13.7930365741582</v>
      </c>
      <c r="EN46">
        <f>IF(AND(ISNUMBER(EM46),逐级计算!$X$143&gt;-1),IF(逐级计算!$X$143=0,EM46+逐级计算!$C$143,EM46+逐级计算!$C$143-(10/(逐级计算!$Q$143*LN(10))*(MAX((LN(10^(逐级计算!$Q$143/10)-1)+逐级计算!$Q$143*(EM46-逐级计算!$P$143)*LN(10)/10),0)+LN(1+EXP(-ABS((LN(10^(逐级计算!$Q$143/10)-1)+逐级计算!$Q$143*(EM46-逐级计算!$P$143)*LN(10)/10))))))),"")</f>
        <v>13.7930365741582</v>
      </c>
      <c r="EO46">
        <f>IF(AND(ISNUMBER(EN46),逐级计算!$X$144&gt;-1),IF(逐级计算!$X$144=0,EN46+逐级计算!$C$144,EN46+逐级计算!$C$144-(10/(逐级计算!$Q$144*LN(10))*(MAX((LN(10^(逐级计算!$Q$144/10)-1)+逐级计算!$Q$144*(EN46-逐级计算!$P$144)*LN(10)/10),0)+LN(1+EXP(-ABS((LN(10^(逐级计算!$Q$144/10)-1)+逐级计算!$Q$144*(EN46-逐级计算!$P$144)*LN(10)/10))))))),"")</f>
        <v>13.7930365741582</v>
      </c>
      <c r="EP46">
        <f>IF(AND(ISNUMBER(EO46),逐级计算!$X$145&gt;-1),IF(逐级计算!$X$145=0,EO46+逐级计算!$C$145,EO46+逐级计算!$C$145-(10/(逐级计算!$Q$145*LN(10))*(MAX((LN(10^(逐级计算!$Q$145/10)-1)+逐级计算!$Q$145*(EO46-逐级计算!$P$145)*LN(10)/10),0)+LN(1+EXP(-ABS((LN(10^(逐级计算!$Q$145/10)-1)+逐级计算!$Q$145*(EO46-逐级计算!$P$145)*LN(10)/10))))))),"")</f>
        <v>13.7930365741582</v>
      </c>
      <c r="EQ46">
        <f>IF(AND(ISNUMBER(EP46),逐级计算!$X$146&gt;-1),IF(逐级计算!$X$146=0,EP46+逐级计算!$C$146,EP46+逐级计算!$C$146-(10/(逐级计算!$Q$146*LN(10))*(MAX((LN(10^(逐级计算!$Q$146/10)-1)+逐级计算!$Q$146*(EP46-逐级计算!$P$146)*LN(10)/10),0)+LN(1+EXP(-ABS((LN(10^(逐级计算!$Q$146/10)-1)+逐级计算!$Q$146*(EP46-逐级计算!$P$146)*LN(10)/10))))))),"")</f>
        <v>13.7930365741582</v>
      </c>
      <c r="ER46">
        <f>IF(AND(ISNUMBER(EQ46),逐级计算!$X$147&gt;-1),IF(逐级计算!$X$147=0,EQ46+逐级计算!$C$147,EQ46+逐级计算!$C$147-(10/(逐级计算!$Q$147*LN(10))*(MAX((LN(10^(逐级计算!$Q$147/10)-1)+逐级计算!$Q$147*(EQ46-逐级计算!$P$147)*LN(10)/10),0)+LN(1+EXP(-ABS((LN(10^(逐级计算!$Q$147/10)-1)+逐级计算!$Q$147*(EQ46-逐级计算!$P$147)*LN(10)/10))))))),"")</f>
        <v>13.7930365741582</v>
      </c>
      <c r="ES46">
        <f>IF(AND(ISNUMBER(ER46),逐级计算!$X$148&gt;-1),IF(逐级计算!$X$148=0,ER46+逐级计算!$C$148,ER46+逐级计算!$C$148-(10/(逐级计算!$Q$148*LN(10))*(MAX((LN(10^(逐级计算!$Q$148/10)-1)+逐级计算!$Q$148*(ER46-逐级计算!$P$148)*LN(10)/10),0)+LN(1+EXP(-ABS((LN(10^(逐级计算!$Q$148/10)-1)+逐级计算!$Q$148*(ER46-逐级计算!$P$148)*LN(10)/10))))))),"")</f>
        <v>13.7930365741582</v>
      </c>
      <c r="ET46">
        <f>IF(AND(ISNUMBER(ES46),逐级计算!$X$149&gt;-1),IF(逐级计算!$X$149=0,ES46+逐级计算!$C$149,ES46+逐级计算!$C$149-(10/(逐级计算!$Q$149*LN(10))*(MAX((LN(10^(逐级计算!$Q$149/10)-1)+逐级计算!$Q$149*(ES46-逐级计算!$P$149)*LN(10)/10),0)+LN(1+EXP(-ABS((LN(10^(逐级计算!$Q$149/10)-1)+逐级计算!$Q$149*(ES46-逐级计算!$P$149)*LN(10)/10))))))),"")</f>
        <v>13.7930365741582</v>
      </c>
      <c r="EU46">
        <f>IF(AND(ISNUMBER(ET46),逐级计算!$X$150&gt;-1),IF(逐级计算!$X$150=0,ET46+逐级计算!$C$150,ET46+逐级计算!$C$150-(10/(逐级计算!$Q$150*LN(10))*(MAX((LN(10^(逐级计算!$Q$150/10)-1)+逐级计算!$Q$150*(ET46-逐级计算!$P$150)*LN(10)/10),0)+LN(1+EXP(-ABS((LN(10^(逐级计算!$Q$150/10)-1)+逐级计算!$Q$150*(ET46-逐级计算!$P$150)*LN(10)/10))))))),"")</f>
        <v>13.7930365741582</v>
      </c>
      <c r="EV46">
        <f>IF(AND(ISNUMBER(EU46),逐级计算!$X$151&gt;-1),IF(逐级计算!$X$151=0,EU46+逐级计算!$C$151,EU46+逐级计算!$C$151-(10/(逐级计算!$Q$151*LN(10))*(MAX((LN(10^(逐级计算!$Q$151/10)-1)+逐级计算!$Q$151*(EU46-逐级计算!$P$151)*LN(10)/10),0)+LN(1+EXP(-ABS((LN(10^(逐级计算!$Q$151/10)-1)+逐级计算!$Q$151*(EU46-逐级计算!$P$151)*LN(10)/10))))))),"")</f>
        <v>13.7930365741582</v>
      </c>
      <c r="EW46">
        <f>IF(AND(ISNUMBER(EV46),逐级计算!$X$152&gt;-1),IF(逐级计算!$X$152=0,EV46+逐级计算!$C$152,EV46+逐级计算!$C$152-(10/(逐级计算!$Q$152*LN(10))*(MAX((LN(10^(逐级计算!$Q$152/10)-1)+逐级计算!$Q$152*(EV46-逐级计算!$P$152)*LN(10)/10),0)+LN(1+EXP(-ABS((LN(10^(逐级计算!$Q$152/10)-1)+逐级计算!$Q$152*(EV46-逐级计算!$P$152)*LN(10)/10))))))),"")</f>
        <v>13.7930365741582</v>
      </c>
      <c r="EX46">
        <f>IF(AND(ISNUMBER(EW46),逐级计算!$X$153&gt;-1),IF(逐级计算!$X$153=0,EW46+逐级计算!$C$153,EW46+逐级计算!$C$153-(10/(逐级计算!$Q$153*LN(10))*(MAX((LN(10^(逐级计算!$Q$153/10)-1)+逐级计算!$Q$153*(EW46-逐级计算!$P$153)*LN(10)/10),0)+LN(1+EXP(-ABS((LN(10^(逐级计算!$Q$153/10)-1)+逐级计算!$Q$153*(EW46-逐级计算!$P$153)*LN(10)/10))))))),"")</f>
        <v>13.7930365741582</v>
      </c>
      <c r="EY46">
        <f>IF(AND(ISNUMBER(EX46),逐级计算!$X$154&gt;-1),IF(逐级计算!$X$154=0,EX46+逐级计算!$C$154,EX46+逐级计算!$C$154-(10/(逐级计算!$Q$154*LN(10))*(MAX((LN(10^(逐级计算!$Q$154/10)-1)+逐级计算!$Q$154*(EX46-逐级计算!$P$154)*LN(10)/10),0)+LN(1+EXP(-ABS((LN(10^(逐级计算!$Q$154/10)-1)+逐级计算!$Q$154*(EX46-逐级计算!$P$154)*LN(10)/10))))))),"")</f>
        <v>13.7930365741582</v>
      </c>
      <c r="EZ46">
        <f>IF(AND(ISNUMBER(EY46),逐级计算!$X$155&gt;-1),IF(逐级计算!$X$155=0,EY46+逐级计算!$C$155,EY46+逐级计算!$C$155-(10/(逐级计算!$Q$155*LN(10))*(MAX((LN(10^(逐级计算!$Q$155/10)-1)+逐级计算!$Q$155*(EY46-逐级计算!$P$155)*LN(10)/10),0)+LN(1+EXP(-ABS((LN(10^(逐级计算!$Q$155/10)-1)+逐级计算!$Q$155*(EY46-逐级计算!$P$155)*LN(10)/10))))))),"")</f>
        <v>13.7930365741582</v>
      </c>
      <c r="FA46">
        <f>IF(AND(ISNUMBER(EZ46),逐级计算!$X$156&gt;-1),IF(逐级计算!$X$156=0,EZ46+逐级计算!$C$156,EZ46+逐级计算!$C$156-(10/(逐级计算!$Q$156*LN(10))*(MAX((LN(10^(逐级计算!$Q$156/10)-1)+逐级计算!$Q$156*(EZ46-逐级计算!$P$156)*LN(10)/10),0)+LN(1+EXP(-ABS((LN(10^(逐级计算!$Q$156/10)-1)+逐级计算!$Q$156*(EZ46-逐级计算!$P$156)*LN(10)/10))))))),"")</f>
        <v>13.7930365741582</v>
      </c>
      <c r="FB46">
        <f>IF(AND(ISNUMBER(FA46),逐级计算!$X$157&gt;-1),IF(逐级计算!$X$157=0,FA46+逐级计算!$C$157,FA46+逐级计算!$C$157-(10/(逐级计算!$Q$157*LN(10))*(MAX((LN(10^(逐级计算!$Q$157/10)-1)+逐级计算!$Q$157*(FA46-逐级计算!$P$157)*LN(10)/10),0)+LN(1+EXP(-ABS((LN(10^(逐级计算!$Q$157/10)-1)+逐级计算!$Q$157*(FA46-逐级计算!$P$157)*LN(10)/10))))))),"")</f>
        <v>13.7930365741582</v>
      </c>
      <c r="FC46">
        <f>IF(AND(ISNUMBER(FB46),逐级计算!$X$158&gt;-1),IF(逐级计算!$X$158=0,FB46+逐级计算!$C$158,FB46+逐级计算!$C$158-(10/(逐级计算!$Q$158*LN(10))*(MAX((LN(10^(逐级计算!$Q$158/10)-1)+逐级计算!$Q$158*(FB46-逐级计算!$P$158)*LN(10)/10),0)+LN(1+EXP(-ABS((LN(10^(逐级计算!$Q$158/10)-1)+逐级计算!$Q$158*(FB46-逐级计算!$P$158)*LN(10)/10))))))),"")</f>
        <v>13.7930365741582</v>
      </c>
      <c r="FD46">
        <f>IF(AND(ISNUMBER(FC46),逐级计算!$X$159&gt;-1),IF(逐级计算!$X$159=0,FC46+逐级计算!$C$159,FC46+逐级计算!$C$159-(10/(逐级计算!$Q$159*LN(10))*(MAX((LN(10^(逐级计算!$Q$159/10)-1)+逐级计算!$Q$159*(FC46-逐级计算!$P$159)*LN(10)/10),0)+LN(1+EXP(-ABS((LN(10^(逐级计算!$Q$159/10)-1)+逐级计算!$Q$159*(FC46-逐级计算!$P$159)*LN(10)/10))))))),"")</f>
        <v>13.7930365741582</v>
      </c>
      <c r="FE46">
        <f>IF(AND(ISNUMBER(FD46),逐级计算!$X$160&gt;-1),IF(逐级计算!$X$160=0,FD46+逐级计算!$C$160,FD46+逐级计算!$C$160-(10/(逐级计算!$Q$160*LN(10))*(MAX((LN(10^(逐级计算!$Q$160/10)-1)+逐级计算!$Q$160*(FD46-逐级计算!$P$160)*LN(10)/10),0)+LN(1+EXP(-ABS((LN(10^(逐级计算!$Q$160/10)-1)+逐级计算!$Q$160*(FD46-逐级计算!$P$160)*LN(10)/10))))))),"")</f>
        <v>13.7930365741582</v>
      </c>
      <c r="FF46">
        <f>IF(AND(ISNUMBER(FE46),逐级计算!$X$161&gt;-1),IF(逐级计算!$X$161=0,FE46+逐级计算!$C$161,FE46+逐级计算!$C$161-(10/(逐级计算!$Q$161*LN(10))*(MAX((LN(10^(逐级计算!$Q$161/10)-1)+逐级计算!$Q$161*(FE46-逐级计算!$P$161)*LN(10)/10),0)+LN(1+EXP(-ABS((LN(10^(逐级计算!$Q$161/10)-1)+逐级计算!$Q$161*(FE46-逐级计算!$P$161)*LN(10)/10))))))),"")</f>
        <v>13.7930365741582</v>
      </c>
      <c r="FG46">
        <f>IF(AND(ISNUMBER(FF46),逐级计算!$X$162&gt;-1),IF(逐级计算!$X$162=0,FF46+逐级计算!$C$162,FF46+逐级计算!$C$162-(10/(逐级计算!$Q$162*LN(10))*(MAX((LN(10^(逐级计算!$Q$162/10)-1)+逐级计算!$Q$162*(FF46-逐级计算!$P$162)*LN(10)/10),0)+LN(1+EXP(-ABS((LN(10^(逐级计算!$Q$162/10)-1)+逐级计算!$Q$162*(FF46-逐级计算!$P$162)*LN(10)/10))))))),"")</f>
        <v>13.7930365741582</v>
      </c>
      <c r="FH46">
        <f>IF(AND(ISNUMBER(FG46),逐级计算!$X$163&gt;-1),IF(逐级计算!$X$163=0,FG46+逐级计算!$C$163,FG46+逐级计算!$C$163-(10/(逐级计算!$Q$163*LN(10))*(MAX((LN(10^(逐级计算!$Q$163/10)-1)+逐级计算!$Q$163*(FG46-逐级计算!$P$163)*LN(10)/10),0)+LN(1+EXP(-ABS((LN(10^(逐级计算!$Q$163/10)-1)+逐级计算!$Q$163*(FG46-逐级计算!$P$163)*LN(10)/10))))))),"")</f>
        <v>13.7930365741582</v>
      </c>
      <c r="FI46">
        <f>IF(AND(ISNUMBER(FH46),逐级计算!$X$164&gt;-1),IF(逐级计算!$X$164=0,FH46+逐级计算!$C$164,FH46+逐级计算!$C$164-(10/(逐级计算!$Q$164*LN(10))*(MAX((LN(10^(逐级计算!$Q$164/10)-1)+逐级计算!$Q$164*(FH46-逐级计算!$P$164)*LN(10)/10),0)+LN(1+EXP(-ABS((LN(10^(逐级计算!$Q$164/10)-1)+逐级计算!$Q$164*(FH46-逐级计算!$P$164)*LN(10)/10))))))),"")</f>
        <v>13.7930365741582</v>
      </c>
      <c r="FJ46">
        <f>IF(AND(ISNUMBER(FI46),逐级计算!$X$165&gt;-1),IF(逐级计算!$X$165=0,FI46+逐级计算!$C$165,FI46+逐级计算!$C$165-(10/(逐级计算!$Q$165*LN(10))*(MAX((LN(10^(逐级计算!$Q$165/10)-1)+逐级计算!$Q$165*(FI46-逐级计算!$P$165)*LN(10)/10),0)+LN(1+EXP(-ABS((LN(10^(逐级计算!$Q$165/10)-1)+逐级计算!$Q$165*(FI46-逐级计算!$P$165)*LN(10)/10))))))),"")</f>
        <v>13.7930365741582</v>
      </c>
      <c r="FK46">
        <f>IF(AND(ISNUMBER(FJ46),逐级计算!$X$166&gt;-1),IF(逐级计算!$X$166=0,FJ46+逐级计算!$C$166,FJ46+逐级计算!$C$166-(10/(逐级计算!$Q$166*LN(10))*(MAX((LN(10^(逐级计算!$Q$166/10)-1)+逐级计算!$Q$166*(FJ46-逐级计算!$P$166)*LN(10)/10),0)+LN(1+EXP(-ABS((LN(10^(逐级计算!$Q$166/10)-1)+逐级计算!$Q$166*(FJ46-逐级计算!$P$166)*LN(10)/10))))))),"")</f>
        <v>13.7930365741582</v>
      </c>
      <c r="FL46">
        <f>IF(AND(ISNUMBER(FK46),逐级计算!$X$167&gt;-1),IF(逐级计算!$X$167=0,FK46+逐级计算!$C$167,FK46+逐级计算!$C$167-(10/(逐级计算!$Q$167*LN(10))*(MAX((LN(10^(逐级计算!$Q$167/10)-1)+逐级计算!$Q$167*(FK46-逐级计算!$P$167)*LN(10)/10),0)+LN(1+EXP(-ABS((LN(10^(逐级计算!$Q$167/10)-1)+逐级计算!$Q$167*(FK46-逐级计算!$P$167)*LN(10)/10))))))),"")</f>
        <v>13.7930365741582</v>
      </c>
      <c r="FM46">
        <f>IF(AND(ISNUMBER(FL46),逐级计算!$X$168&gt;-1),IF(逐级计算!$X$168=0,FL46+逐级计算!$C$168,FL46+逐级计算!$C$168-(10/(逐级计算!$Q$168*LN(10))*(MAX((LN(10^(逐级计算!$Q$168/10)-1)+逐级计算!$Q$168*(FL46-逐级计算!$P$168)*LN(10)/10),0)+LN(1+EXP(-ABS((LN(10^(逐级计算!$Q$168/10)-1)+逐级计算!$Q$168*(FL46-逐级计算!$P$168)*LN(10)/10))))))),"")</f>
        <v>13.7930365741582</v>
      </c>
      <c r="FN46">
        <f>IF(AND(ISNUMBER(FM46),逐级计算!$X$169&gt;-1),IF(逐级计算!$X$169=0,FM46+逐级计算!$C$169,FM46+逐级计算!$C$169-(10/(逐级计算!$Q$169*LN(10))*(MAX((LN(10^(逐级计算!$Q$169/10)-1)+逐级计算!$Q$169*(FM46-逐级计算!$P$169)*LN(10)/10),0)+LN(1+EXP(-ABS((LN(10^(逐级计算!$Q$169/10)-1)+逐级计算!$Q$169*(FM46-逐级计算!$P$169)*LN(10)/10))))))),"")</f>
        <v>13.7930365741582</v>
      </c>
      <c r="FO46">
        <f>IF(AND(ISNUMBER(FN46),逐级计算!$X$170&gt;-1),IF(逐级计算!$X$170=0,FN46+逐级计算!$C$170,FN46+逐级计算!$C$170-(10/(逐级计算!$Q$170*LN(10))*(MAX((LN(10^(逐级计算!$Q$170/10)-1)+逐级计算!$Q$170*(FN46-逐级计算!$P$170)*LN(10)/10),0)+LN(1+EXP(-ABS((LN(10^(逐级计算!$Q$170/10)-1)+逐级计算!$Q$170*(FN46-逐级计算!$P$170)*LN(10)/10))))))),"")</f>
        <v>13.7930365741582</v>
      </c>
      <c r="FP46">
        <f>IF(AND(ISNUMBER(FO46),逐级计算!$X$171&gt;-1),IF(逐级计算!$X$171=0,FO46+逐级计算!$C$171,FO46+逐级计算!$C$171-(10/(逐级计算!$Q$171*LN(10))*(MAX((LN(10^(逐级计算!$Q$171/10)-1)+逐级计算!$Q$171*(FO46-逐级计算!$P$171)*LN(10)/10),0)+LN(1+EXP(-ABS((LN(10^(逐级计算!$Q$171/10)-1)+逐级计算!$Q$171*(FO46-逐级计算!$P$171)*LN(10)/10))))))),"")</f>
        <v>13.7930365741582</v>
      </c>
      <c r="FQ46">
        <f>IF(AND(ISNUMBER(FP46),逐级计算!$X$172&gt;-1),IF(逐级计算!$X$172=0,FP46+逐级计算!$C$172,FP46+逐级计算!$C$172-(10/(逐级计算!$Q$172*LN(10))*(MAX((LN(10^(逐级计算!$Q$172/10)-1)+逐级计算!$Q$172*(FP46-逐级计算!$P$172)*LN(10)/10),0)+LN(1+EXP(-ABS((LN(10^(逐级计算!$Q$172/10)-1)+逐级计算!$Q$172*(FP46-逐级计算!$P$172)*LN(10)/10))))))),"")</f>
        <v>13.7930365741582</v>
      </c>
      <c r="FR46">
        <f>IF(AND(ISNUMBER(FQ46),逐级计算!$X$173&gt;-1),IF(逐级计算!$X$173=0,FQ46+逐级计算!$C$173,FQ46+逐级计算!$C$173-(10/(逐级计算!$Q$173*LN(10))*(MAX((LN(10^(逐级计算!$Q$173/10)-1)+逐级计算!$Q$173*(FQ46-逐级计算!$P$173)*LN(10)/10),0)+LN(1+EXP(-ABS((LN(10^(逐级计算!$Q$173/10)-1)+逐级计算!$Q$173*(FQ46-逐级计算!$P$173)*LN(10)/10))))))),"")</f>
        <v>13.7930365741582</v>
      </c>
      <c r="FS46">
        <f>IF(AND(ISNUMBER(FR46),逐级计算!$X$174&gt;-1),IF(逐级计算!$X$174=0,FR46+逐级计算!$C$174,FR46+逐级计算!$C$174-(10/(逐级计算!$Q$174*LN(10))*(MAX((LN(10^(逐级计算!$Q$174/10)-1)+逐级计算!$Q$174*(FR46-逐级计算!$P$174)*LN(10)/10),0)+LN(1+EXP(-ABS((LN(10^(逐级计算!$Q$174/10)-1)+逐级计算!$Q$174*(FR46-逐级计算!$P$174)*LN(10)/10))))))),"")</f>
        <v>13.7930365741582</v>
      </c>
      <c r="FT46">
        <f>IF(AND(ISNUMBER(FS46),逐级计算!$X$175&gt;-1),IF(逐级计算!$X$175=0,FS46+逐级计算!$C$175,FS46+逐级计算!$C$175-(10/(逐级计算!$Q$175*LN(10))*(MAX((LN(10^(逐级计算!$Q$175/10)-1)+逐级计算!$Q$175*(FS46-逐级计算!$P$175)*LN(10)/10),0)+LN(1+EXP(-ABS((LN(10^(逐级计算!$Q$175/10)-1)+逐级计算!$Q$175*(FS46-逐级计算!$P$175)*LN(10)/10))))))),"")</f>
        <v>13.7930365741582</v>
      </c>
      <c r="FU46">
        <f>IF(AND(ISNUMBER(FT46),逐级计算!$X$176&gt;-1),IF(逐级计算!$X$176=0,FT46+逐级计算!$C$176,FT46+逐级计算!$C$176-(10/(逐级计算!$Q$176*LN(10))*(MAX((LN(10^(逐级计算!$Q$176/10)-1)+逐级计算!$Q$176*(FT46-逐级计算!$P$176)*LN(10)/10),0)+LN(1+EXP(-ABS((LN(10^(逐级计算!$Q$176/10)-1)+逐级计算!$Q$176*(FT46-逐级计算!$P$176)*LN(10)/10))))))),"")</f>
        <v>13.7930365741582</v>
      </c>
      <c r="FV46">
        <f>IF(AND(ISNUMBER(FU46),逐级计算!$X$177&gt;-1),IF(逐级计算!$X$177=0,FU46+逐级计算!$C$177,FU46+逐级计算!$C$177-(10/(逐级计算!$Q$177*LN(10))*(MAX((LN(10^(逐级计算!$Q$177/10)-1)+逐级计算!$Q$177*(FU46-逐级计算!$P$177)*LN(10)/10),0)+LN(1+EXP(-ABS((LN(10^(逐级计算!$Q$177/10)-1)+逐级计算!$Q$177*(FU46-逐级计算!$P$177)*LN(10)/10))))))),"")</f>
        <v>13.7930365741582</v>
      </c>
      <c r="FW46">
        <f>IF(AND(ISNUMBER(FV46),逐级计算!$X$178&gt;-1),IF(逐级计算!$X$178=0,FV46+逐级计算!$C$178,FV46+逐级计算!$C$178-(10/(逐级计算!$Q$178*LN(10))*(MAX((LN(10^(逐级计算!$Q$178/10)-1)+逐级计算!$Q$178*(FV46-逐级计算!$P$178)*LN(10)/10),0)+LN(1+EXP(-ABS((LN(10^(逐级计算!$Q$178/10)-1)+逐级计算!$Q$178*(FV46-逐级计算!$P$178)*LN(10)/10))))))),"")</f>
        <v>13.7930365741582</v>
      </c>
      <c r="FX46">
        <f>IF(AND(ISNUMBER(FW46),逐级计算!$X$179&gt;-1),IF(逐级计算!$X$179=0,FW46+逐级计算!$C$179,FW46+逐级计算!$C$179-(10/(逐级计算!$Q$179*LN(10))*(MAX((LN(10^(逐级计算!$Q$179/10)-1)+逐级计算!$Q$179*(FW46-逐级计算!$P$179)*LN(10)/10),0)+LN(1+EXP(-ABS((LN(10^(逐级计算!$Q$179/10)-1)+逐级计算!$Q$179*(FW46-逐级计算!$P$179)*LN(10)/10))))))),"")</f>
        <v>13.7930365741582</v>
      </c>
      <c r="FY46">
        <f>IF(AND(ISNUMBER(FX46),逐级计算!$X$180&gt;-1),IF(逐级计算!$X$180=0,FX46+逐级计算!$C$180,FX46+逐级计算!$C$180-(10/(逐级计算!$Q$180*LN(10))*(MAX((LN(10^(逐级计算!$Q$180/10)-1)+逐级计算!$Q$180*(FX46-逐级计算!$P$180)*LN(10)/10),0)+LN(1+EXP(-ABS((LN(10^(逐级计算!$Q$180/10)-1)+逐级计算!$Q$180*(FX46-逐级计算!$P$180)*LN(10)/10))))))),"")</f>
        <v>13.7930365741582</v>
      </c>
      <c r="FZ46">
        <f>IF(AND(ISNUMBER(FY46),逐级计算!$X$181&gt;-1),IF(逐级计算!$X$181=0,FY46+逐级计算!$C$181,FY46+逐级计算!$C$181-(10/(逐级计算!$Q$181*LN(10))*(MAX((LN(10^(逐级计算!$Q$181/10)-1)+逐级计算!$Q$181*(FY46-逐级计算!$P$181)*LN(10)/10),0)+LN(1+EXP(-ABS((LN(10^(逐级计算!$Q$181/10)-1)+逐级计算!$Q$181*(FY46-逐级计算!$P$181)*LN(10)/10))))))),"")</f>
        <v>13.7930365741582</v>
      </c>
      <c r="GA46">
        <f>IF(AND(ISNUMBER(FZ46),逐级计算!$X$182&gt;-1),IF(逐级计算!$X$182=0,FZ46+逐级计算!$C$182,FZ46+逐级计算!$C$182-(10/(逐级计算!$Q$182*LN(10))*(MAX((LN(10^(逐级计算!$Q$182/10)-1)+逐级计算!$Q$182*(FZ46-逐级计算!$P$182)*LN(10)/10),0)+LN(1+EXP(-ABS((LN(10^(逐级计算!$Q$182/10)-1)+逐级计算!$Q$182*(FZ46-逐级计算!$P$182)*LN(10)/10))))))),"")</f>
        <v>13.7930365741582</v>
      </c>
      <c r="GB46">
        <f>IF(AND(ISNUMBER(GA46),逐级计算!$X$183&gt;-1),IF(逐级计算!$X$183=0,GA46+逐级计算!$C$183,GA46+逐级计算!$C$183-(10/(逐级计算!$Q$183*LN(10))*(MAX((LN(10^(逐级计算!$Q$183/10)-1)+逐级计算!$Q$183*(GA46-逐级计算!$P$183)*LN(10)/10),0)+LN(1+EXP(-ABS((LN(10^(逐级计算!$Q$183/10)-1)+逐级计算!$Q$183*(GA46-逐级计算!$P$183)*LN(10)/10))))))),"")</f>
        <v>13.7930365741582</v>
      </c>
      <c r="GC46">
        <f>IF(AND(ISNUMBER(GB46),逐级计算!$X$184&gt;-1),IF(逐级计算!$X$184=0,GB46+逐级计算!$C$184,GB46+逐级计算!$C$184-(10/(逐级计算!$Q$184*LN(10))*(MAX((LN(10^(逐级计算!$Q$184/10)-1)+逐级计算!$Q$184*(GB46-逐级计算!$P$184)*LN(10)/10),0)+LN(1+EXP(-ABS((LN(10^(逐级计算!$Q$184/10)-1)+逐级计算!$Q$184*(GB46-逐级计算!$P$184)*LN(10)/10))))))),"")</f>
        <v>13.7930365741582</v>
      </c>
      <c r="GD46">
        <f>IF(AND(ISNUMBER(GC46),逐级计算!$X$185&gt;-1),IF(逐级计算!$X$185=0,GC46+逐级计算!$C$185,GC46+逐级计算!$C$185-(10/(逐级计算!$Q$185*LN(10))*(MAX((LN(10^(逐级计算!$Q$185/10)-1)+逐级计算!$Q$185*(GC46-逐级计算!$P$185)*LN(10)/10),0)+LN(1+EXP(-ABS((LN(10^(逐级计算!$Q$185/10)-1)+逐级计算!$Q$185*(GC46-逐级计算!$P$185)*LN(10)/10))))))),"")</f>
        <v>13.7930365741582</v>
      </c>
      <c r="GE46">
        <f>IF(AND(ISNUMBER(GD46),逐级计算!$X$186&gt;-1),IF(逐级计算!$X$186=0,GD46+逐级计算!$C$186,GD46+逐级计算!$C$186-(10/(逐级计算!$Q$186*LN(10))*(MAX((LN(10^(逐级计算!$Q$186/10)-1)+逐级计算!$Q$186*(GD46-逐级计算!$P$186)*LN(10)/10),0)+LN(1+EXP(-ABS((LN(10^(逐级计算!$Q$186/10)-1)+逐级计算!$Q$186*(GD46-逐级计算!$P$186)*LN(10)/10))))))),"")</f>
        <v>13.7930365741582</v>
      </c>
      <c r="GF46">
        <f>IF(AND(ISNUMBER(GE46),逐级计算!$X$187&gt;-1),IF(逐级计算!$X$187=0,GE46+逐级计算!$C$187,GE46+逐级计算!$C$187-(10/(逐级计算!$Q$187*LN(10))*(MAX((LN(10^(逐级计算!$Q$187/10)-1)+逐级计算!$Q$187*(GE46-逐级计算!$P$187)*LN(10)/10),0)+LN(1+EXP(-ABS((LN(10^(逐级计算!$Q$187/10)-1)+逐级计算!$Q$187*(GE46-逐级计算!$P$187)*LN(10)/10))))))),"")</f>
        <v>13.7930365741582</v>
      </c>
      <c r="GG46">
        <f>IF(AND(ISNUMBER(GF46),逐级计算!$X$188&gt;-1),IF(逐级计算!$X$188=0,GF46+逐级计算!$C$188,GF46+逐级计算!$C$188-(10/(逐级计算!$Q$188*LN(10))*(MAX((LN(10^(逐级计算!$Q$188/10)-1)+逐级计算!$Q$188*(GF46-逐级计算!$P$188)*LN(10)/10),0)+LN(1+EXP(-ABS((LN(10^(逐级计算!$Q$188/10)-1)+逐级计算!$Q$188*(GF46-逐级计算!$P$188)*LN(10)/10))))))),"")</f>
        <v>13.7930365741582</v>
      </c>
      <c r="GH46">
        <f>IF(AND(ISNUMBER(GG46),逐级计算!$X$189&gt;-1),IF(逐级计算!$X$189=0,GG46+逐级计算!$C$189,GG46+逐级计算!$C$189-(10/(逐级计算!$Q$189*LN(10))*(MAX((LN(10^(逐级计算!$Q$189/10)-1)+逐级计算!$Q$189*(GG46-逐级计算!$P$189)*LN(10)/10),0)+LN(1+EXP(-ABS((LN(10^(逐级计算!$Q$189/10)-1)+逐级计算!$Q$189*(GG46-逐级计算!$P$189)*LN(10)/10))))))),"")</f>
        <v>13.7930365741582</v>
      </c>
      <c r="GI46">
        <f>IF(AND(ISNUMBER(GH46),逐级计算!$X$190&gt;-1),IF(逐级计算!$X$190=0,GH46+逐级计算!$C$190,GH46+逐级计算!$C$190-(10/(逐级计算!$Q$190*LN(10))*(MAX((LN(10^(逐级计算!$Q$190/10)-1)+逐级计算!$Q$190*(GH46-逐级计算!$P$190)*LN(10)/10),0)+LN(1+EXP(-ABS((LN(10^(逐级计算!$Q$190/10)-1)+逐级计算!$Q$190*(GH46-逐级计算!$P$190)*LN(10)/10))))))),"")</f>
        <v>13.7930365741582</v>
      </c>
      <c r="GJ46">
        <f>IF(AND(ISNUMBER(GI46),逐级计算!$X$191&gt;-1),IF(逐级计算!$X$191=0,GI46+逐级计算!$C$191,GI46+逐级计算!$C$191-(10/(逐级计算!$Q$191*LN(10))*(MAX((LN(10^(逐级计算!$Q$191/10)-1)+逐级计算!$Q$191*(GI46-逐级计算!$P$191)*LN(10)/10),0)+LN(1+EXP(-ABS((LN(10^(逐级计算!$Q$191/10)-1)+逐级计算!$Q$191*(GI46-逐级计算!$P$191)*LN(10)/10))))))),"")</f>
        <v>13.7930365741582</v>
      </c>
      <c r="GK46">
        <f>IF(AND(ISNUMBER(GJ46),逐级计算!$X$192&gt;-1),IF(逐级计算!$X$192=0,GJ46+逐级计算!$C$192,GJ46+逐级计算!$C$192-(10/(逐级计算!$Q$192*LN(10))*(MAX((LN(10^(逐级计算!$Q$192/10)-1)+逐级计算!$Q$192*(GJ46-逐级计算!$P$192)*LN(10)/10),0)+LN(1+EXP(-ABS((LN(10^(逐级计算!$Q$192/10)-1)+逐级计算!$Q$192*(GJ46-逐级计算!$P$192)*LN(10)/10))))))),"")</f>
        <v>13.7930365741582</v>
      </c>
      <c r="GL46">
        <f>IF(AND(ISNUMBER(GK46),逐级计算!$X$193&gt;-1),IF(逐级计算!$X$193=0,GK46+逐级计算!$C$193,GK46+逐级计算!$C$193-(10/(逐级计算!$Q$193*LN(10))*(MAX((LN(10^(逐级计算!$Q$193/10)-1)+逐级计算!$Q$193*(GK46-逐级计算!$P$193)*LN(10)/10),0)+LN(1+EXP(-ABS((LN(10^(逐级计算!$Q$193/10)-1)+逐级计算!$Q$193*(GK46-逐级计算!$P$193)*LN(10)/10))))))),"")</f>
        <v>13.7930365741582</v>
      </c>
      <c r="GM46">
        <f>IF(AND(ISNUMBER(GL46),逐级计算!$X$194&gt;-1),IF(逐级计算!$X$194=0,GL46+逐级计算!$C$194,GL46+逐级计算!$C$194-(10/(逐级计算!$Q$194*LN(10))*(MAX((LN(10^(逐级计算!$Q$194/10)-1)+逐级计算!$Q$194*(GL46-逐级计算!$P$194)*LN(10)/10),0)+LN(1+EXP(-ABS((LN(10^(逐级计算!$Q$194/10)-1)+逐级计算!$Q$194*(GL46-逐级计算!$P$194)*LN(10)/10))))))),"")</f>
        <v>13.7930365741582</v>
      </c>
      <c r="GN46">
        <f>IF(AND(ISNUMBER(GM46),逐级计算!$X$195&gt;-1),IF(逐级计算!$X$195=0,GM46+逐级计算!$C$195,GM46+逐级计算!$C$195-(10/(逐级计算!$Q$195*LN(10))*(MAX((LN(10^(逐级计算!$Q$195/10)-1)+逐级计算!$Q$195*(GM46-逐级计算!$P$195)*LN(10)/10),0)+LN(1+EXP(-ABS((LN(10^(逐级计算!$Q$195/10)-1)+逐级计算!$Q$195*(GM46-逐级计算!$P$195)*LN(10)/10))))))),"")</f>
        <v>13.7930365741582</v>
      </c>
      <c r="GO46">
        <f>IF(AND(ISNUMBER(GN46),逐级计算!$X$196&gt;-1),IF(逐级计算!$X$196=0,GN46+逐级计算!$C$196,GN46+逐级计算!$C$196-(10/(逐级计算!$Q$196*LN(10))*(MAX((LN(10^(逐级计算!$Q$196/10)-1)+逐级计算!$Q$196*(GN46-逐级计算!$P$196)*LN(10)/10),0)+LN(1+EXP(-ABS((LN(10^(逐级计算!$Q$196/10)-1)+逐级计算!$Q$196*(GN46-逐级计算!$P$196)*LN(10)/10))))))),"")</f>
        <v>13.7930365741582</v>
      </c>
      <c r="GP46">
        <f>IF(AND(ISNUMBER(GO46),逐级计算!$X$197&gt;-1),IF(逐级计算!$X$197=0,GO46+逐级计算!$C$197,GO46+逐级计算!$C$197-(10/(逐级计算!$Q$197*LN(10))*(MAX((LN(10^(逐级计算!$Q$197/10)-1)+逐级计算!$Q$197*(GO46-逐级计算!$P$197)*LN(10)/10),0)+LN(1+EXP(-ABS((LN(10^(逐级计算!$Q$197/10)-1)+逐级计算!$Q$197*(GO46-逐级计算!$P$197)*LN(10)/10))))))),"")</f>
        <v>13.7930365741582</v>
      </c>
      <c r="GQ46">
        <f>IF(AND(ISNUMBER(GP46),逐级计算!$X$198&gt;-1),IF(逐级计算!$X$198=0,GP46+逐级计算!$C$198,GP46+逐级计算!$C$198-(10/(逐级计算!$Q$198*LN(10))*(MAX((LN(10^(逐级计算!$Q$198/10)-1)+逐级计算!$Q$198*(GP46-逐级计算!$P$198)*LN(10)/10),0)+LN(1+EXP(-ABS((LN(10^(逐级计算!$Q$198/10)-1)+逐级计算!$Q$198*(GP46-逐级计算!$P$198)*LN(10)/10))))))),"")</f>
        <v>13.7930365741582</v>
      </c>
      <c r="GR46">
        <f>IF(AND(ISNUMBER(GQ46),逐级计算!$X$199&gt;-1),IF(逐级计算!$X$199=0,GQ46+逐级计算!$C$199,GQ46+逐级计算!$C$199-(10/(逐级计算!$Q$199*LN(10))*(MAX((LN(10^(逐级计算!$Q$199/10)-1)+逐级计算!$Q$199*(GQ46-逐级计算!$P$199)*LN(10)/10),0)+LN(1+EXP(-ABS((LN(10^(逐级计算!$Q$199/10)-1)+逐级计算!$Q$199*(GQ46-逐级计算!$P$199)*LN(10)/10))))))),"")</f>
        <v>13.7930365741582</v>
      </c>
      <c r="GS46">
        <f>IF(AND(ISNUMBER(GR46),逐级计算!$X$200&gt;-1),IF(逐级计算!$X$200=0,GR46+逐级计算!$C$200,GR46+逐级计算!$C$200-(10/(逐级计算!$Q$200*LN(10))*(MAX((LN(10^(逐级计算!$Q$200/10)-1)+逐级计算!$Q$200*(GR46-逐级计算!$P$200)*LN(10)/10),0)+LN(1+EXP(-ABS((LN(10^(逐级计算!$Q$200/10)-1)+逐级计算!$Q$200*(GR46-逐级计算!$P$200)*LN(10)/10))))))),"")</f>
        <v>13.7930365741582</v>
      </c>
      <c r="GT46">
        <f>IF(AND(ISNUMBER(GS46),逐级计算!$X$201&gt;-1),IF(逐级计算!$X$201=0,GS46+逐级计算!$C$201,GS46+逐级计算!$C$201-(10/(逐级计算!$Q$201*LN(10))*(MAX((LN(10^(逐级计算!$Q$201/10)-1)+逐级计算!$Q$201*(GS46-逐级计算!$P$201)*LN(10)/10),0)+LN(1+EXP(-ABS((LN(10^(逐级计算!$Q$201/10)-1)+逐级计算!$Q$201*(GS46-逐级计算!$P$201)*LN(10)/10))))))),"")</f>
        <v>13.7930365741582</v>
      </c>
      <c r="GU46">
        <f>IF(AND(ISNUMBER(GT46),逐级计算!$X$202&gt;-1),IF(逐级计算!$X$202=0,GT46+逐级计算!$C$202,GT46+逐级计算!$C$202-(10/(逐级计算!$Q$202*LN(10))*(MAX((LN(10^(逐级计算!$Q$202/10)-1)+逐级计算!$Q$202*(GT46-逐级计算!$P$202)*LN(10)/10),0)+LN(1+EXP(-ABS((LN(10^(逐级计算!$Q$202/10)-1)+逐级计算!$Q$202*(GT46-逐级计算!$P$202)*LN(10)/10))))))),"")</f>
        <v>13.7930365741582</v>
      </c>
      <c r="GV46">
        <f>IF(AND(ISNUMBER(GU46),逐级计算!$X$203&gt;-1),IF(逐级计算!$X$203=0,GU46+逐级计算!$C$203,GU46+逐级计算!$C$203-(10/(逐级计算!$Q$203*LN(10))*(MAX((LN(10^(逐级计算!$Q$203/10)-1)+逐级计算!$Q$203*(GU46-逐级计算!$P$203)*LN(10)/10),0)+LN(1+EXP(-ABS((LN(10^(逐级计算!$Q$203/10)-1)+逐级计算!$Q$203*(GU46-逐级计算!$P$203)*LN(10)/10))))))),"")</f>
        <v>13.7930365741582</v>
      </c>
      <c r="GW46">
        <f t="shared" si="2"/>
        <v>-5.20696342568044</v>
      </c>
    </row>
    <row r="47" spans="1:205">
      <c r="A47">
        <v>40</v>
      </c>
      <c r="B47">
        <f t="shared" si="1"/>
        <v>-5.20696342587144</v>
      </c>
      <c r="C47">
        <f t="shared" si="0"/>
        <v>-5.20696342577594</v>
      </c>
      <c r="D47">
        <f>IF(AND(ISNUMBER(C47),ISNUMBER(逐级计算!$E$203),ISNUMBER(GV47)),C47+逐级计算!$E$203-GV47,"")</f>
        <v>1.0000000000056</v>
      </c>
      <c r="E47">
        <f>IF(AND(ISNUMBER(C47),逐级计算!$X$4&gt;-1),IF(逐级计算!$X$4=0,C47+逐级计算!$C$4,C47+逐级计算!$C$4-(10/(逐级计算!$Q$4*LN(10))*(MAX((LN(10^(逐级计算!$Q$4/10)-1)+逐级计算!$Q$4*(C47-逐级计算!$P$4)*LN(10)/10),0)+LN(1+EXP(-ABS((LN(10^(逐级计算!$Q$4/10)-1)+逐级计算!$Q$4*(C47-逐级计算!$P$4)*LN(10)/10))))))),"")</f>
        <v>4.68053982929752</v>
      </c>
      <c r="F47">
        <f>IF(AND(ISNUMBER(E47),逐级计算!$X$5&gt;-1),IF(逐级计算!$X$5=0,E47+逐级计算!$C$5,E47+逐级计算!$C$5-(10/(逐级计算!$Q$5*LN(10))*(MAX((LN(10^(逐级计算!$Q$5/10)-1)+逐级计算!$Q$5*(E47-逐级计算!$P$5)*LN(10)/10),0)+LN(1+EXP(-ABS((LN(10^(逐级计算!$Q$5/10)-1)+逐级计算!$Q$5*(E47-逐级计算!$P$5)*LN(10)/10))))))),"")</f>
        <v>13.7930365742185</v>
      </c>
      <c r="G47">
        <f>IF(AND(ISNUMBER(F47),逐级计算!$X$6&gt;-1),IF(逐级计算!$X$6=0,F47+逐级计算!$C$6,F47+逐级计算!$C$6-(10/(逐级计算!$Q$6*LN(10))*(MAX((LN(10^(逐级计算!$Q$6/10)-1)+逐级计算!$Q$6*(F47-逐级计算!$P$6)*LN(10)/10),0)+LN(1+EXP(-ABS((LN(10^(逐级计算!$Q$6/10)-1)+逐级计算!$Q$6*(F47-逐级计算!$P$6)*LN(10)/10))))))),"")</f>
        <v>13.7930365742185</v>
      </c>
      <c r="H47">
        <f>IF(AND(ISNUMBER(G47),逐级计算!$X$7&gt;-1),IF(逐级计算!$X$7=0,G47+逐级计算!$C$7,G47+逐级计算!$C$7-(10/(逐级计算!$Q$7*LN(10))*(MAX((LN(10^(逐级计算!$Q$7/10)-1)+逐级计算!$Q$7*(G47-逐级计算!$P$7)*LN(10)/10),0)+LN(1+EXP(-ABS((LN(10^(逐级计算!$Q$7/10)-1)+逐级计算!$Q$7*(G47-逐级计算!$P$7)*LN(10)/10))))))),"")</f>
        <v>13.7930365742185</v>
      </c>
      <c r="I47">
        <f>IF(AND(ISNUMBER(H47),逐级计算!$X$8&gt;-1),IF(逐级计算!$X$8=0,H47+逐级计算!$C$8,H47+逐级计算!$C$8-(10/(逐级计算!$Q$8*LN(10))*(MAX((LN(10^(逐级计算!$Q$8/10)-1)+逐级计算!$Q$8*(H47-逐级计算!$P$8)*LN(10)/10),0)+LN(1+EXP(-ABS((LN(10^(逐级计算!$Q$8/10)-1)+逐级计算!$Q$8*(H47-逐级计算!$P$8)*LN(10)/10))))))),"")</f>
        <v>13.7930365742185</v>
      </c>
      <c r="J47">
        <f>IF(AND(ISNUMBER(I47),逐级计算!$X$9&gt;-1),IF(逐级计算!$X$9=0,I47+逐级计算!$C$9,I47+逐级计算!$C$9-(10/(逐级计算!$Q$9*LN(10))*(MAX((LN(10^(逐级计算!$Q$9/10)-1)+逐级计算!$Q$9*(I47-逐级计算!$P$9)*LN(10)/10),0)+LN(1+EXP(-ABS((LN(10^(逐级计算!$Q$9/10)-1)+逐级计算!$Q$9*(I47-逐级计算!$P$9)*LN(10)/10))))))),"")</f>
        <v>13.7930365742185</v>
      </c>
      <c r="K47">
        <f>IF(AND(ISNUMBER(J47),逐级计算!$X$10&gt;-1),IF(逐级计算!$X$10=0,J47+逐级计算!$C$10,J47+逐级计算!$C$10-(10/(逐级计算!$Q$10*LN(10))*(MAX((LN(10^(逐级计算!$Q$10/10)-1)+逐级计算!$Q$10*(J47-逐级计算!$P$10)*LN(10)/10),0)+LN(1+EXP(-ABS((LN(10^(逐级计算!$Q$10/10)-1)+逐级计算!$Q$10*(J47-逐级计算!$P$10)*LN(10)/10))))))),"")</f>
        <v>13.7930365742185</v>
      </c>
      <c r="L47">
        <f>IF(AND(ISNUMBER(K47),逐级计算!$X$11&gt;-1),IF(逐级计算!$X$11=0,K47+逐级计算!$C$11,K47+逐级计算!$C$11-(10/(逐级计算!$Q$11*LN(10))*(MAX((LN(10^(逐级计算!$Q$11/10)-1)+逐级计算!$Q$11*(K47-逐级计算!$P$11)*LN(10)/10),0)+LN(1+EXP(-ABS((LN(10^(逐级计算!$Q$11/10)-1)+逐级计算!$Q$11*(K47-逐级计算!$P$11)*LN(10)/10))))))),"")</f>
        <v>13.7930365742185</v>
      </c>
      <c r="M47">
        <f>IF(AND(ISNUMBER(L47),逐级计算!$X$12&gt;-1),IF(逐级计算!$X$12=0,L47+逐级计算!$C$12,L47+逐级计算!$C$12-(10/(逐级计算!$Q$12*LN(10))*(MAX((LN(10^(逐级计算!$Q$12/10)-1)+逐级计算!$Q$12*(L47-逐级计算!$P$12)*LN(10)/10),0)+LN(1+EXP(-ABS((LN(10^(逐级计算!$Q$12/10)-1)+逐级计算!$Q$12*(L47-逐级计算!$P$12)*LN(10)/10))))))),"")</f>
        <v>13.7930365742185</v>
      </c>
      <c r="N47">
        <f>IF(AND(ISNUMBER(M47),逐级计算!$X$13&gt;-1),IF(逐级计算!$X$13=0,M47+逐级计算!$C$13,M47+逐级计算!$C$13-(10/(逐级计算!$Q$13*LN(10))*(MAX((LN(10^(逐级计算!$Q$13/10)-1)+逐级计算!$Q$13*(M47-逐级计算!$P$13)*LN(10)/10),0)+LN(1+EXP(-ABS((LN(10^(逐级计算!$Q$13/10)-1)+逐级计算!$Q$13*(M47-逐级计算!$P$13)*LN(10)/10))))))),"")</f>
        <v>13.7930365742185</v>
      </c>
      <c r="O47">
        <f>IF(AND(ISNUMBER(N47),逐级计算!$X$14&gt;-1),IF(逐级计算!$X$14=0,N47+逐级计算!$C$14,N47+逐级计算!$C$14-(10/(逐级计算!$Q$14*LN(10))*(MAX((LN(10^(逐级计算!$Q$14/10)-1)+逐级计算!$Q$14*(N47-逐级计算!$P$14)*LN(10)/10),0)+LN(1+EXP(-ABS((LN(10^(逐级计算!$Q$14/10)-1)+逐级计算!$Q$14*(N47-逐级计算!$P$14)*LN(10)/10))))))),"")</f>
        <v>13.7930365742185</v>
      </c>
      <c r="P47">
        <f>IF(AND(ISNUMBER(O47),逐级计算!$X$15&gt;-1),IF(逐级计算!$X$15=0,O47+逐级计算!$C$15,O47+逐级计算!$C$15-(10/(逐级计算!$Q$15*LN(10))*(MAX((LN(10^(逐级计算!$Q$15/10)-1)+逐级计算!$Q$15*(O47-逐级计算!$P$15)*LN(10)/10),0)+LN(1+EXP(-ABS((LN(10^(逐级计算!$Q$15/10)-1)+逐级计算!$Q$15*(O47-逐级计算!$P$15)*LN(10)/10))))))),"")</f>
        <v>13.7930365742185</v>
      </c>
      <c r="Q47">
        <f>IF(AND(ISNUMBER(P47),逐级计算!$X$16&gt;-1),IF(逐级计算!$X$16=0,P47+逐级计算!$C$16,P47+逐级计算!$C$16-(10/(逐级计算!$Q$16*LN(10))*(MAX((LN(10^(逐级计算!$Q$16/10)-1)+逐级计算!$Q$16*(P47-逐级计算!$P$16)*LN(10)/10),0)+LN(1+EXP(-ABS((LN(10^(逐级计算!$Q$16/10)-1)+逐级计算!$Q$16*(P47-逐级计算!$P$16)*LN(10)/10))))))),"")</f>
        <v>13.7930365742185</v>
      </c>
      <c r="R47">
        <f>IF(AND(ISNUMBER(Q47),逐级计算!$X$17&gt;-1),IF(逐级计算!$X$17=0,Q47+逐级计算!$C$17,Q47+逐级计算!$C$17-(10/(逐级计算!$Q$17*LN(10))*(MAX((LN(10^(逐级计算!$Q$17/10)-1)+逐级计算!$Q$17*(Q47-逐级计算!$P$17)*LN(10)/10),0)+LN(1+EXP(-ABS((LN(10^(逐级计算!$Q$17/10)-1)+逐级计算!$Q$17*(Q47-逐级计算!$P$17)*LN(10)/10))))))),"")</f>
        <v>13.7930365742185</v>
      </c>
      <c r="S47">
        <f>IF(AND(ISNUMBER(R47),逐级计算!$X$18&gt;-1),IF(逐级计算!$X$18=0,R47+逐级计算!$C$18,R47+逐级计算!$C$18-(10/(逐级计算!$Q$18*LN(10))*(MAX((LN(10^(逐级计算!$Q$18/10)-1)+逐级计算!$Q$18*(R47-逐级计算!$P$18)*LN(10)/10),0)+LN(1+EXP(-ABS((LN(10^(逐级计算!$Q$18/10)-1)+逐级计算!$Q$18*(R47-逐级计算!$P$18)*LN(10)/10))))))),"")</f>
        <v>13.7930365742185</v>
      </c>
      <c r="T47">
        <f>IF(AND(ISNUMBER(S47),逐级计算!$X$19&gt;-1),IF(逐级计算!$X$19=0,S47+逐级计算!$C$19,S47+逐级计算!$C$19-(10/(逐级计算!$Q$19*LN(10))*(MAX((LN(10^(逐级计算!$Q$19/10)-1)+逐级计算!$Q$19*(S47-逐级计算!$P$19)*LN(10)/10),0)+LN(1+EXP(-ABS((LN(10^(逐级计算!$Q$19/10)-1)+逐级计算!$Q$19*(S47-逐级计算!$P$19)*LN(10)/10))))))),"")</f>
        <v>13.7930365742185</v>
      </c>
      <c r="U47">
        <f>IF(AND(ISNUMBER(T47),逐级计算!$X$20&gt;-1),IF(逐级计算!$X$20=0,T47+逐级计算!$C$20,T47+逐级计算!$C$20-(10/(逐级计算!$Q$20*LN(10))*(MAX((LN(10^(逐级计算!$Q$20/10)-1)+逐级计算!$Q$20*(T47-逐级计算!$P$20)*LN(10)/10),0)+LN(1+EXP(-ABS((LN(10^(逐级计算!$Q$20/10)-1)+逐级计算!$Q$20*(T47-逐级计算!$P$20)*LN(10)/10))))))),"")</f>
        <v>13.7930365742185</v>
      </c>
      <c r="V47">
        <f>IF(AND(ISNUMBER(U47),逐级计算!$X$21&gt;-1),IF(逐级计算!$X$21=0,U47+逐级计算!$C$21,U47+逐级计算!$C$21-(10/(逐级计算!$Q$21*LN(10))*(MAX((LN(10^(逐级计算!$Q$21/10)-1)+逐级计算!$Q$21*(U47-逐级计算!$P$21)*LN(10)/10),0)+LN(1+EXP(-ABS((LN(10^(逐级计算!$Q$21/10)-1)+逐级计算!$Q$21*(U47-逐级计算!$P$21)*LN(10)/10))))))),"")</f>
        <v>13.7930365742185</v>
      </c>
      <c r="W47">
        <f>IF(AND(ISNUMBER(V47),逐级计算!$X$22&gt;-1),IF(逐级计算!$X$22=0,V47+逐级计算!$C$22,V47+逐级计算!$C$22-(10/(逐级计算!$Q$22*LN(10))*(MAX((LN(10^(逐级计算!$Q$22/10)-1)+逐级计算!$Q$22*(V47-逐级计算!$P$22)*LN(10)/10),0)+LN(1+EXP(-ABS((LN(10^(逐级计算!$Q$22/10)-1)+逐级计算!$Q$22*(V47-逐级计算!$P$22)*LN(10)/10))))))),"")</f>
        <v>13.7930365742185</v>
      </c>
      <c r="X47">
        <f>IF(AND(ISNUMBER(W47),逐级计算!$X$23&gt;-1),IF(逐级计算!$X$23=0,W47+逐级计算!$C$23,W47+逐级计算!$C$23-(10/(逐级计算!$Q$23*LN(10))*(MAX((LN(10^(逐级计算!$Q$23/10)-1)+逐级计算!$Q$23*(W47-逐级计算!$P$23)*LN(10)/10),0)+LN(1+EXP(-ABS((LN(10^(逐级计算!$Q$23/10)-1)+逐级计算!$Q$23*(W47-逐级计算!$P$23)*LN(10)/10))))))),"")</f>
        <v>13.7930365742185</v>
      </c>
      <c r="Y47">
        <f>IF(AND(ISNUMBER(X47),逐级计算!$X$24&gt;-1),IF(逐级计算!$X$24=0,X47+逐级计算!$C$24,X47+逐级计算!$C$24-(10/(逐级计算!$Q$24*LN(10))*(MAX((LN(10^(逐级计算!$Q$24/10)-1)+逐级计算!$Q$24*(X47-逐级计算!$P$24)*LN(10)/10),0)+LN(1+EXP(-ABS((LN(10^(逐级计算!$Q$24/10)-1)+逐级计算!$Q$24*(X47-逐级计算!$P$24)*LN(10)/10))))))),"")</f>
        <v>13.7930365742185</v>
      </c>
      <c r="Z47">
        <f>IF(AND(ISNUMBER(Y47),逐级计算!$X$25&gt;-1),IF(逐级计算!$X$25=0,Y47+逐级计算!$C$25,Y47+逐级计算!$C$25-(10/(逐级计算!$Q$25*LN(10))*(MAX((LN(10^(逐级计算!$Q$25/10)-1)+逐级计算!$Q$25*(Y47-逐级计算!$P$25)*LN(10)/10),0)+LN(1+EXP(-ABS((LN(10^(逐级计算!$Q$25/10)-1)+逐级计算!$Q$25*(Y47-逐级计算!$P$25)*LN(10)/10))))))),"")</f>
        <v>13.7930365742185</v>
      </c>
      <c r="AA47">
        <f>IF(AND(ISNUMBER(Z47),逐级计算!$X$26&gt;-1),IF(逐级计算!$X$26=0,Z47+逐级计算!$C$26,Z47+逐级计算!$C$26-(10/(逐级计算!$Q$26*LN(10))*(MAX((LN(10^(逐级计算!$Q$26/10)-1)+逐级计算!$Q$26*(Z47-逐级计算!$P$26)*LN(10)/10),0)+LN(1+EXP(-ABS((LN(10^(逐级计算!$Q$26/10)-1)+逐级计算!$Q$26*(Z47-逐级计算!$P$26)*LN(10)/10))))))),"")</f>
        <v>13.7930365742185</v>
      </c>
      <c r="AB47">
        <f>IF(AND(ISNUMBER(AA47),逐级计算!$X$27&gt;-1),IF(逐级计算!$X$27=0,AA47+逐级计算!$C$27,AA47+逐级计算!$C$27-(10/(逐级计算!$Q$27*LN(10))*(MAX((LN(10^(逐级计算!$Q$27/10)-1)+逐级计算!$Q$27*(AA47-逐级计算!$P$27)*LN(10)/10),0)+LN(1+EXP(-ABS((LN(10^(逐级计算!$Q$27/10)-1)+逐级计算!$Q$27*(AA47-逐级计算!$P$27)*LN(10)/10))))))),"")</f>
        <v>13.7930365742185</v>
      </c>
      <c r="AC47">
        <f>IF(AND(ISNUMBER(AB47),逐级计算!$X$28&gt;-1),IF(逐级计算!$X$28=0,AB47+逐级计算!$C$28,AB47+逐级计算!$C$28-(10/(逐级计算!$Q$28*LN(10))*(MAX((LN(10^(逐级计算!$Q$28/10)-1)+逐级计算!$Q$28*(AB47-逐级计算!$P$28)*LN(10)/10),0)+LN(1+EXP(-ABS((LN(10^(逐级计算!$Q$28/10)-1)+逐级计算!$Q$28*(AB47-逐级计算!$P$28)*LN(10)/10))))))),"")</f>
        <v>13.7930365742185</v>
      </c>
      <c r="AD47">
        <f>IF(AND(ISNUMBER(AC47),逐级计算!$X$29&gt;-1),IF(逐级计算!$X$29=0,AC47+逐级计算!$C$29,AC47+逐级计算!$C$29-(10/(逐级计算!$Q$29*LN(10))*(MAX((LN(10^(逐级计算!$Q$29/10)-1)+逐级计算!$Q$29*(AC47-逐级计算!$P$29)*LN(10)/10),0)+LN(1+EXP(-ABS((LN(10^(逐级计算!$Q$29/10)-1)+逐级计算!$Q$29*(AC47-逐级计算!$P$29)*LN(10)/10))))))),"")</f>
        <v>13.7930365742185</v>
      </c>
      <c r="AE47">
        <f>IF(AND(ISNUMBER(AD47),逐级计算!$X$30&gt;-1),IF(逐级计算!$X$30=0,AD47+逐级计算!$C$30,AD47+逐级计算!$C$30-(10/(逐级计算!$Q$30*LN(10))*(MAX((LN(10^(逐级计算!$Q$30/10)-1)+逐级计算!$Q$30*(AD47-逐级计算!$P$30)*LN(10)/10),0)+LN(1+EXP(-ABS((LN(10^(逐级计算!$Q$30/10)-1)+逐级计算!$Q$30*(AD47-逐级计算!$P$30)*LN(10)/10))))))),"")</f>
        <v>13.7930365742185</v>
      </c>
      <c r="AF47">
        <f>IF(AND(ISNUMBER(AE47),逐级计算!$X$31&gt;-1),IF(逐级计算!$X$31=0,AE47+逐级计算!$C$31,AE47+逐级计算!$C$31-(10/(逐级计算!$Q$31*LN(10))*(MAX((LN(10^(逐级计算!$Q$31/10)-1)+逐级计算!$Q$31*(AE47-逐级计算!$P$31)*LN(10)/10),0)+LN(1+EXP(-ABS((LN(10^(逐级计算!$Q$31/10)-1)+逐级计算!$Q$31*(AE47-逐级计算!$P$31)*LN(10)/10))))))),"")</f>
        <v>13.7930365742185</v>
      </c>
      <c r="AG47">
        <f>IF(AND(ISNUMBER(AF47),逐级计算!$X$32&gt;-1),IF(逐级计算!$X$32=0,AF47+逐级计算!$C$32,AF47+逐级计算!$C$32-(10/(逐级计算!$Q$32*LN(10))*(MAX((LN(10^(逐级计算!$Q$32/10)-1)+逐级计算!$Q$32*(AF47-逐级计算!$P$32)*LN(10)/10),0)+LN(1+EXP(-ABS((LN(10^(逐级计算!$Q$32/10)-1)+逐级计算!$Q$32*(AF47-逐级计算!$P$32)*LN(10)/10))))))),"")</f>
        <v>13.7930365742185</v>
      </c>
      <c r="AH47">
        <f>IF(AND(ISNUMBER(AG47),逐级计算!$X$33&gt;-1),IF(逐级计算!$X$33=0,AG47+逐级计算!$C$33,AG47+逐级计算!$C$33-(10/(逐级计算!$Q$33*LN(10))*(MAX((LN(10^(逐级计算!$Q$33/10)-1)+逐级计算!$Q$33*(AG47-逐级计算!$P$33)*LN(10)/10),0)+LN(1+EXP(-ABS((LN(10^(逐级计算!$Q$33/10)-1)+逐级计算!$Q$33*(AG47-逐级计算!$P$33)*LN(10)/10))))))),"")</f>
        <v>13.7930365742185</v>
      </c>
      <c r="AI47">
        <f>IF(AND(ISNUMBER(AH47),逐级计算!$X$34&gt;-1),IF(逐级计算!$X$34=0,AH47+逐级计算!$C$34,AH47+逐级计算!$C$34-(10/(逐级计算!$Q$34*LN(10))*(MAX((LN(10^(逐级计算!$Q$34/10)-1)+逐级计算!$Q$34*(AH47-逐级计算!$P$34)*LN(10)/10),0)+LN(1+EXP(-ABS((LN(10^(逐级计算!$Q$34/10)-1)+逐级计算!$Q$34*(AH47-逐级计算!$P$34)*LN(10)/10))))))),"")</f>
        <v>13.7930365742185</v>
      </c>
      <c r="AJ47">
        <f>IF(AND(ISNUMBER(AI47),逐级计算!$X$35&gt;-1),IF(逐级计算!$X$35=0,AI47+逐级计算!$C$35,AI47+逐级计算!$C$35-(10/(逐级计算!$Q$35*LN(10))*(MAX((LN(10^(逐级计算!$Q$35/10)-1)+逐级计算!$Q$35*(AI47-逐级计算!$P$35)*LN(10)/10),0)+LN(1+EXP(-ABS((LN(10^(逐级计算!$Q$35/10)-1)+逐级计算!$Q$35*(AI47-逐级计算!$P$35)*LN(10)/10))))))),"")</f>
        <v>13.7930365742185</v>
      </c>
      <c r="AK47">
        <f>IF(AND(ISNUMBER(AJ47),逐级计算!$X$36&gt;-1),IF(逐级计算!$X$36=0,AJ47+逐级计算!$C$36,AJ47+逐级计算!$C$36-(10/(逐级计算!$Q$36*LN(10))*(MAX((LN(10^(逐级计算!$Q$36/10)-1)+逐级计算!$Q$36*(AJ47-逐级计算!$P$36)*LN(10)/10),0)+LN(1+EXP(-ABS((LN(10^(逐级计算!$Q$36/10)-1)+逐级计算!$Q$36*(AJ47-逐级计算!$P$36)*LN(10)/10))))))),"")</f>
        <v>13.7930365742185</v>
      </c>
      <c r="AL47">
        <f>IF(AND(ISNUMBER(AK47),逐级计算!$X$37&gt;-1),IF(逐级计算!$X$37=0,AK47+逐级计算!$C$37,AK47+逐级计算!$C$37-(10/(逐级计算!$Q$37*LN(10))*(MAX((LN(10^(逐级计算!$Q$37/10)-1)+逐级计算!$Q$37*(AK47-逐级计算!$P$37)*LN(10)/10),0)+LN(1+EXP(-ABS((LN(10^(逐级计算!$Q$37/10)-1)+逐级计算!$Q$37*(AK47-逐级计算!$P$37)*LN(10)/10))))))),"")</f>
        <v>13.7930365742185</v>
      </c>
      <c r="AM47">
        <f>IF(AND(ISNUMBER(AL47),逐级计算!$X$38&gt;-1),IF(逐级计算!$X$38=0,AL47+逐级计算!$C$38,AL47+逐级计算!$C$38-(10/(逐级计算!$Q$38*LN(10))*(MAX((LN(10^(逐级计算!$Q$38/10)-1)+逐级计算!$Q$38*(AL47-逐级计算!$P$38)*LN(10)/10),0)+LN(1+EXP(-ABS((LN(10^(逐级计算!$Q$38/10)-1)+逐级计算!$Q$38*(AL47-逐级计算!$P$38)*LN(10)/10))))))),"")</f>
        <v>13.7930365742185</v>
      </c>
      <c r="AN47">
        <f>IF(AND(ISNUMBER(AM47),逐级计算!$X$39&gt;-1),IF(逐级计算!$X$39=0,AM47+逐级计算!$C$39,AM47+逐级计算!$C$39-(10/(逐级计算!$Q$39*LN(10))*(MAX((LN(10^(逐级计算!$Q$39/10)-1)+逐级计算!$Q$39*(AM47-逐级计算!$P$39)*LN(10)/10),0)+LN(1+EXP(-ABS((LN(10^(逐级计算!$Q$39/10)-1)+逐级计算!$Q$39*(AM47-逐级计算!$P$39)*LN(10)/10))))))),"")</f>
        <v>13.7930365742185</v>
      </c>
      <c r="AO47">
        <f>IF(AND(ISNUMBER(AN47),逐级计算!$X$40&gt;-1),IF(逐级计算!$X$40=0,AN47+逐级计算!$C$40,AN47+逐级计算!$C$40-(10/(逐级计算!$Q$40*LN(10))*(MAX((LN(10^(逐级计算!$Q$40/10)-1)+逐级计算!$Q$40*(AN47-逐级计算!$P$40)*LN(10)/10),0)+LN(1+EXP(-ABS((LN(10^(逐级计算!$Q$40/10)-1)+逐级计算!$Q$40*(AN47-逐级计算!$P$40)*LN(10)/10))))))),"")</f>
        <v>13.7930365742185</v>
      </c>
      <c r="AP47">
        <f>IF(AND(ISNUMBER(AO47),逐级计算!$X$41&gt;-1),IF(逐级计算!$X$41=0,AO47+逐级计算!$C$41,AO47+逐级计算!$C$41-(10/(逐级计算!$Q$41*LN(10))*(MAX((LN(10^(逐级计算!$Q$41/10)-1)+逐级计算!$Q$41*(AO47-逐级计算!$P$41)*LN(10)/10),0)+LN(1+EXP(-ABS((LN(10^(逐级计算!$Q$41/10)-1)+逐级计算!$Q$41*(AO47-逐级计算!$P$41)*LN(10)/10))))))),"")</f>
        <v>13.7930365742185</v>
      </c>
      <c r="AQ47">
        <f>IF(AND(ISNUMBER(AP47),逐级计算!$X$42&gt;-1),IF(逐级计算!$X$42=0,AP47+逐级计算!$C$42,AP47+逐级计算!$C$42-(10/(逐级计算!$Q$42*LN(10))*(MAX((LN(10^(逐级计算!$Q$42/10)-1)+逐级计算!$Q$42*(AP47-逐级计算!$P$42)*LN(10)/10),0)+LN(1+EXP(-ABS((LN(10^(逐级计算!$Q$42/10)-1)+逐级计算!$Q$42*(AP47-逐级计算!$P$42)*LN(10)/10))))))),"")</f>
        <v>13.7930365742185</v>
      </c>
      <c r="AR47">
        <f>IF(AND(ISNUMBER(AQ47),逐级计算!$X$43&gt;-1),IF(逐级计算!$X$43=0,AQ47+逐级计算!$C$43,AQ47+逐级计算!$C$43-(10/(逐级计算!$Q$43*LN(10))*(MAX((LN(10^(逐级计算!$Q$43/10)-1)+逐级计算!$Q$43*(AQ47-逐级计算!$P$43)*LN(10)/10),0)+LN(1+EXP(-ABS((LN(10^(逐级计算!$Q$43/10)-1)+逐级计算!$Q$43*(AQ47-逐级计算!$P$43)*LN(10)/10))))))),"")</f>
        <v>13.7930365742185</v>
      </c>
      <c r="AS47">
        <f>IF(AND(ISNUMBER(AR47),逐级计算!$X$44&gt;-1),IF(逐级计算!$X$44=0,AR47+逐级计算!$C$44,AR47+逐级计算!$C$44-(10/(逐级计算!$Q$44*LN(10))*(MAX((LN(10^(逐级计算!$Q$44/10)-1)+逐级计算!$Q$44*(AR47-逐级计算!$P$44)*LN(10)/10),0)+LN(1+EXP(-ABS((LN(10^(逐级计算!$Q$44/10)-1)+逐级计算!$Q$44*(AR47-逐级计算!$P$44)*LN(10)/10))))))),"")</f>
        <v>13.7930365742185</v>
      </c>
      <c r="AT47">
        <f>IF(AND(ISNUMBER(AS47),逐级计算!$X$45&gt;-1),IF(逐级计算!$X$45=0,AS47+逐级计算!$C$45,AS47+逐级计算!$C$45-(10/(逐级计算!$Q$45*LN(10))*(MAX((LN(10^(逐级计算!$Q$45/10)-1)+逐级计算!$Q$45*(AS47-逐级计算!$P$45)*LN(10)/10),0)+LN(1+EXP(-ABS((LN(10^(逐级计算!$Q$45/10)-1)+逐级计算!$Q$45*(AS47-逐级计算!$P$45)*LN(10)/10))))))),"")</f>
        <v>13.7930365742185</v>
      </c>
      <c r="AU47">
        <f>IF(AND(ISNUMBER(AT47),逐级计算!$X$46&gt;-1),IF(逐级计算!$X$46=0,AT47+逐级计算!$C$46,AT47+逐级计算!$C$46-(10/(逐级计算!$Q$46*LN(10))*(MAX((LN(10^(逐级计算!$Q$46/10)-1)+逐级计算!$Q$46*(AT47-逐级计算!$P$46)*LN(10)/10),0)+LN(1+EXP(-ABS((LN(10^(逐级计算!$Q$46/10)-1)+逐级计算!$Q$46*(AT47-逐级计算!$P$46)*LN(10)/10))))))),"")</f>
        <v>13.7930365742185</v>
      </c>
      <c r="AV47">
        <f>IF(AND(ISNUMBER(AU47),逐级计算!$X$47&gt;-1),IF(逐级计算!$X$47=0,AU47+逐级计算!$C$47,AU47+逐级计算!$C$47-(10/(逐级计算!$Q$47*LN(10))*(MAX((LN(10^(逐级计算!$Q$47/10)-1)+逐级计算!$Q$47*(AU47-逐级计算!$P$47)*LN(10)/10),0)+LN(1+EXP(-ABS((LN(10^(逐级计算!$Q$47/10)-1)+逐级计算!$Q$47*(AU47-逐级计算!$P$47)*LN(10)/10))))))),"")</f>
        <v>13.7930365742185</v>
      </c>
      <c r="AW47">
        <f>IF(AND(ISNUMBER(AV47),逐级计算!$X$48&gt;-1),IF(逐级计算!$X$48=0,AV47+逐级计算!$C$48,AV47+逐级计算!$C$48-(10/(逐级计算!$Q$48*LN(10))*(MAX((LN(10^(逐级计算!$Q$48/10)-1)+逐级计算!$Q$48*(AV47-逐级计算!$P$48)*LN(10)/10),0)+LN(1+EXP(-ABS((LN(10^(逐级计算!$Q$48/10)-1)+逐级计算!$Q$48*(AV47-逐级计算!$P$48)*LN(10)/10))))))),"")</f>
        <v>13.7930365742185</v>
      </c>
      <c r="AX47">
        <f>IF(AND(ISNUMBER(AW47),逐级计算!$X$49&gt;-1),IF(逐级计算!$X$49=0,AW47+逐级计算!$C$49,AW47+逐级计算!$C$49-(10/(逐级计算!$Q$49*LN(10))*(MAX((LN(10^(逐级计算!$Q$49/10)-1)+逐级计算!$Q$49*(AW47-逐级计算!$P$49)*LN(10)/10),0)+LN(1+EXP(-ABS((LN(10^(逐级计算!$Q$49/10)-1)+逐级计算!$Q$49*(AW47-逐级计算!$P$49)*LN(10)/10))))))),"")</f>
        <v>13.7930365742185</v>
      </c>
      <c r="AY47">
        <f>IF(AND(ISNUMBER(AX47),逐级计算!$X$50&gt;-1),IF(逐级计算!$X$50=0,AX47+逐级计算!$C$50,AX47+逐级计算!$C$50-(10/(逐级计算!$Q$50*LN(10))*(MAX((LN(10^(逐级计算!$Q$50/10)-1)+逐级计算!$Q$50*(AX47-逐级计算!$P$50)*LN(10)/10),0)+LN(1+EXP(-ABS((LN(10^(逐级计算!$Q$50/10)-1)+逐级计算!$Q$50*(AX47-逐级计算!$P$50)*LN(10)/10))))))),"")</f>
        <v>13.7930365742185</v>
      </c>
      <c r="AZ47">
        <f>IF(AND(ISNUMBER(AY47),逐级计算!$X$51&gt;-1),IF(逐级计算!$X$51=0,AY47+逐级计算!$C$51,AY47+逐级计算!$C$51-(10/(逐级计算!$Q$51*LN(10))*(MAX((LN(10^(逐级计算!$Q$51/10)-1)+逐级计算!$Q$51*(AY47-逐级计算!$P$51)*LN(10)/10),0)+LN(1+EXP(-ABS((LN(10^(逐级计算!$Q$51/10)-1)+逐级计算!$Q$51*(AY47-逐级计算!$P$51)*LN(10)/10))))))),"")</f>
        <v>13.7930365742185</v>
      </c>
      <c r="BA47">
        <f>IF(AND(ISNUMBER(AZ47),逐级计算!$X$52&gt;-1),IF(逐级计算!$X$52=0,AZ47+逐级计算!$C$52,AZ47+逐级计算!$C$52-(10/(逐级计算!$Q$52*LN(10))*(MAX((LN(10^(逐级计算!$Q$52/10)-1)+逐级计算!$Q$52*(AZ47-逐级计算!$P$52)*LN(10)/10),0)+LN(1+EXP(-ABS((LN(10^(逐级计算!$Q$52/10)-1)+逐级计算!$Q$52*(AZ47-逐级计算!$P$52)*LN(10)/10))))))),"")</f>
        <v>13.7930365742185</v>
      </c>
      <c r="BB47">
        <f>IF(AND(ISNUMBER(BA47),逐级计算!$X$53&gt;-1),IF(逐级计算!$X$53=0,BA47+逐级计算!$C$53,BA47+逐级计算!$C$53-(10/(逐级计算!$Q$53*LN(10))*(MAX((LN(10^(逐级计算!$Q$53/10)-1)+逐级计算!$Q$53*(BA47-逐级计算!$P$53)*LN(10)/10),0)+LN(1+EXP(-ABS((LN(10^(逐级计算!$Q$53/10)-1)+逐级计算!$Q$53*(BA47-逐级计算!$P$53)*LN(10)/10))))))),"")</f>
        <v>13.7930365742185</v>
      </c>
      <c r="BC47">
        <f>IF(AND(ISNUMBER(BB47),逐级计算!$X$54&gt;-1),IF(逐级计算!$X$54=0,BB47+逐级计算!$C$54,BB47+逐级计算!$C$54-(10/(逐级计算!$Q$54*LN(10))*(MAX((LN(10^(逐级计算!$Q$54/10)-1)+逐级计算!$Q$54*(BB47-逐级计算!$P$54)*LN(10)/10),0)+LN(1+EXP(-ABS((LN(10^(逐级计算!$Q$54/10)-1)+逐级计算!$Q$54*(BB47-逐级计算!$P$54)*LN(10)/10))))))),"")</f>
        <v>13.7930365742185</v>
      </c>
      <c r="BD47">
        <f>IF(AND(ISNUMBER(BC47),逐级计算!$X$55&gt;-1),IF(逐级计算!$X$55=0,BC47+逐级计算!$C$55,BC47+逐级计算!$C$55-(10/(逐级计算!$Q$55*LN(10))*(MAX((LN(10^(逐级计算!$Q$55/10)-1)+逐级计算!$Q$55*(BC47-逐级计算!$P$55)*LN(10)/10),0)+LN(1+EXP(-ABS((LN(10^(逐级计算!$Q$55/10)-1)+逐级计算!$Q$55*(BC47-逐级计算!$P$55)*LN(10)/10))))))),"")</f>
        <v>13.7930365742185</v>
      </c>
      <c r="BE47">
        <f>IF(AND(ISNUMBER(BD47),逐级计算!$X$56&gt;-1),IF(逐级计算!$X$56=0,BD47+逐级计算!$C$56,BD47+逐级计算!$C$56-(10/(逐级计算!$Q$56*LN(10))*(MAX((LN(10^(逐级计算!$Q$56/10)-1)+逐级计算!$Q$56*(BD47-逐级计算!$P$56)*LN(10)/10),0)+LN(1+EXP(-ABS((LN(10^(逐级计算!$Q$56/10)-1)+逐级计算!$Q$56*(BD47-逐级计算!$P$56)*LN(10)/10))))))),"")</f>
        <v>13.7930365742185</v>
      </c>
      <c r="BF47">
        <f>IF(AND(ISNUMBER(BE47),逐级计算!$X$57&gt;-1),IF(逐级计算!$X$57=0,BE47+逐级计算!$C$57,BE47+逐级计算!$C$57-(10/(逐级计算!$Q$57*LN(10))*(MAX((LN(10^(逐级计算!$Q$57/10)-1)+逐级计算!$Q$57*(BE47-逐级计算!$P$57)*LN(10)/10),0)+LN(1+EXP(-ABS((LN(10^(逐级计算!$Q$57/10)-1)+逐级计算!$Q$57*(BE47-逐级计算!$P$57)*LN(10)/10))))))),"")</f>
        <v>13.7930365742185</v>
      </c>
      <c r="BG47">
        <f>IF(AND(ISNUMBER(BF47),逐级计算!$X$58&gt;-1),IF(逐级计算!$X$58=0,BF47+逐级计算!$C$58,BF47+逐级计算!$C$58-(10/(逐级计算!$Q$58*LN(10))*(MAX((LN(10^(逐级计算!$Q$58/10)-1)+逐级计算!$Q$58*(BF47-逐级计算!$P$58)*LN(10)/10),0)+LN(1+EXP(-ABS((LN(10^(逐级计算!$Q$58/10)-1)+逐级计算!$Q$58*(BF47-逐级计算!$P$58)*LN(10)/10))))))),"")</f>
        <v>13.7930365742185</v>
      </c>
      <c r="BH47">
        <f>IF(AND(ISNUMBER(BG47),逐级计算!$X$59&gt;-1),IF(逐级计算!$X$59=0,BG47+逐级计算!$C$59,BG47+逐级计算!$C$59-(10/(逐级计算!$Q$59*LN(10))*(MAX((LN(10^(逐级计算!$Q$59/10)-1)+逐级计算!$Q$59*(BG47-逐级计算!$P$59)*LN(10)/10),0)+LN(1+EXP(-ABS((LN(10^(逐级计算!$Q$59/10)-1)+逐级计算!$Q$59*(BG47-逐级计算!$P$59)*LN(10)/10))))))),"")</f>
        <v>13.7930365742185</v>
      </c>
      <c r="BI47">
        <f>IF(AND(ISNUMBER(BH47),逐级计算!$X$60&gt;-1),IF(逐级计算!$X$60=0,BH47+逐级计算!$C$60,BH47+逐级计算!$C$60-(10/(逐级计算!$Q$60*LN(10))*(MAX((LN(10^(逐级计算!$Q$60/10)-1)+逐级计算!$Q$60*(BH47-逐级计算!$P$60)*LN(10)/10),0)+LN(1+EXP(-ABS((LN(10^(逐级计算!$Q$60/10)-1)+逐级计算!$Q$60*(BH47-逐级计算!$P$60)*LN(10)/10))))))),"")</f>
        <v>13.7930365742185</v>
      </c>
      <c r="BJ47">
        <f>IF(AND(ISNUMBER(BI47),逐级计算!$X$61&gt;-1),IF(逐级计算!$X$61=0,BI47+逐级计算!$C$61,BI47+逐级计算!$C$61-(10/(逐级计算!$Q$61*LN(10))*(MAX((LN(10^(逐级计算!$Q$61/10)-1)+逐级计算!$Q$61*(BI47-逐级计算!$P$61)*LN(10)/10),0)+LN(1+EXP(-ABS((LN(10^(逐级计算!$Q$61/10)-1)+逐级计算!$Q$61*(BI47-逐级计算!$P$61)*LN(10)/10))))))),"")</f>
        <v>13.7930365742185</v>
      </c>
      <c r="BK47">
        <f>IF(AND(ISNUMBER(BJ47),逐级计算!$X$62&gt;-1),IF(逐级计算!$X$62=0,BJ47+逐级计算!$C$62,BJ47+逐级计算!$C$62-(10/(逐级计算!$Q$62*LN(10))*(MAX((LN(10^(逐级计算!$Q$62/10)-1)+逐级计算!$Q$62*(BJ47-逐级计算!$P$62)*LN(10)/10),0)+LN(1+EXP(-ABS((LN(10^(逐级计算!$Q$62/10)-1)+逐级计算!$Q$62*(BJ47-逐级计算!$P$62)*LN(10)/10))))))),"")</f>
        <v>13.7930365742185</v>
      </c>
      <c r="BL47">
        <f>IF(AND(ISNUMBER(BK47),逐级计算!$X$63&gt;-1),IF(逐级计算!$X$63=0,BK47+逐级计算!$C$63,BK47+逐级计算!$C$63-(10/(逐级计算!$Q$63*LN(10))*(MAX((LN(10^(逐级计算!$Q$63/10)-1)+逐级计算!$Q$63*(BK47-逐级计算!$P$63)*LN(10)/10),0)+LN(1+EXP(-ABS((LN(10^(逐级计算!$Q$63/10)-1)+逐级计算!$Q$63*(BK47-逐级计算!$P$63)*LN(10)/10))))))),"")</f>
        <v>13.7930365742185</v>
      </c>
      <c r="BM47">
        <f>IF(AND(ISNUMBER(BL47),逐级计算!$X$64&gt;-1),IF(逐级计算!$X$64=0,BL47+逐级计算!$C$64,BL47+逐级计算!$C$64-(10/(逐级计算!$Q$64*LN(10))*(MAX((LN(10^(逐级计算!$Q$64/10)-1)+逐级计算!$Q$64*(BL47-逐级计算!$P$64)*LN(10)/10),0)+LN(1+EXP(-ABS((LN(10^(逐级计算!$Q$64/10)-1)+逐级计算!$Q$64*(BL47-逐级计算!$P$64)*LN(10)/10))))))),"")</f>
        <v>13.7930365742185</v>
      </c>
      <c r="BN47">
        <f>IF(AND(ISNUMBER(BM47),逐级计算!$X$65&gt;-1),IF(逐级计算!$X$65=0,BM47+逐级计算!$C$65,BM47+逐级计算!$C$65-(10/(逐级计算!$Q$65*LN(10))*(MAX((LN(10^(逐级计算!$Q$65/10)-1)+逐级计算!$Q$65*(BM47-逐级计算!$P$65)*LN(10)/10),0)+LN(1+EXP(-ABS((LN(10^(逐级计算!$Q$65/10)-1)+逐级计算!$Q$65*(BM47-逐级计算!$P$65)*LN(10)/10))))))),"")</f>
        <v>13.7930365742185</v>
      </c>
      <c r="BO47">
        <f>IF(AND(ISNUMBER(BN47),逐级计算!$X$66&gt;-1),IF(逐级计算!$X$66=0,BN47+逐级计算!$C$66,BN47+逐级计算!$C$66-(10/(逐级计算!$Q$66*LN(10))*(MAX((LN(10^(逐级计算!$Q$66/10)-1)+逐级计算!$Q$66*(BN47-逐级计算!$P$66)*LN(10)/10),0)+LN(1+EXP(-ABS((LN(10^(逐级计算!$Q$66/10)-1)+逐级计算!$Q$66*(BN47-逐级计算!$P$66)*LN(10)/10))))))),"")</f>
        <v>13.7930365742185</v>
      </c>
      <c r="BP47">
        <f>IF(AND(ISNUMBER(BO47),逐级计算!$X$67&gt;-1),IF(逐级计算!$X$67=0,BO47+逐级计算!$C$67,BO47+逐级计算!$C$67-(10/(逐级计算!$Q$67*LN(10))*(MAX((LN(10^(逐级计算!$Q$67/10)-1)+逐级计算!$Q$67*(BO47-逐级计算!$P$67)*LN(10)/10),0)+LN(1+EXP(-ABS((LN(10^(逐级计算!$Q$67/10)-1)+逐级计算!$Q$67*(BO47-逐级计算!$P$67)*LN(10)/10))))))),"")</f>
        <v>13.7930365742185</v>
      </c>
      <c r="BQ47">
        <f>IF(AND(ISNUMBER(BP47),逐级计算!$X$68&gt;-1),IF(逐级计算!$X$68=0,BP47+逐级计算!$C$68,BP47+逐级计算!$C$68-(10/(逐级计算!$Q$68*LN(10))*(MAX((LN(10^(逐级计算!$Q$68/10)-1)+逐级计算!$Q$68*(BP47-逐级计算!$P$68)*LN(10)/10),0)+LN(1+EXP(-ABS((LN(10^(逐级计算!$Q$68/10)-1)+逐级计算!$Q$68*(BP47-逐级计算!$P$68)*LN(10)/10))))))),"")</f>
        <v>13.7930365742185</v>
      </c>
      <c r="BR47">
        <f>IF(AND(ISNUMBER(BQ47),逐级计算!$X$69&gt;-1),IF(逐级计算!$X$69=0,BQ47+逐级计算!$C$69,BQ47+逐级计算!$C$69-(10/(逐级计算!$Q$69*LN(10))*(MAX((LN(10^(逐级计算!$Q$69/10)-1)+逐级计算!$Q$69*(BQ47-逐级计算!$P$69)*LN(10)/10),0)+LN(1+EXP(-ABS((LN(10^(逐级计算!$Q$69/10)-1)+逐级计算!$Q$69*(BQ47-逐级计算!$P$69)*LN(10)/10))))))),"")</f>
        <v>13.7930365742185</v>
      </c>
      <c r="BS47">
        <f>IF(AND(ISNUMBER(BR47),逐级计算!$X$70&gt;-1),IF(逐级计算!$X$70=0,BR47+逐级计算!$C$70,BR47+逐级计算!$C$70-(10/(逐级计算!$Q$70*LN(10))*(MAX((LN(10^(逐级计算!$Q$70/10)-1)+逐级计算!$Q$70*(BR47-逐级计算!$P$70)*LN(10)/10),0)+LN(1+EXP(-ABS((LN(10^(逐级计算!$Q$70/10)-1)+逐级计算!$Q$70*(BR47-逐级计算!$P$70)*LN(10)/10))))))),"")</f>
        <v>13.7930365742185</v>
      </c>
      <c r="BT47">
        <f>IF(AND(ISNUMBER(BS47),逐级计算!$X$71&gt;-1),IF(逐级计算!$X$71=0,BS47+逐级计算!$C$71,BS47+逐级计算!$C$71-(10/(逐级计算!$Q$71*LN(10))*(MAX((LN(10^(逐级计算!$Q$71/10)-1)+逐级计算!$Q$71*(BS47-逐级计算!$P$71)*LN(10)/10),0)+LN(1+EXP(-ABS((LN(10^(逐级计算!$Q$71/10)-1)+逐级计算!$Q$71*(BS47-逐级计算!$P$71)*LN(10)/10))))))),"")</f>
        <v>13.7930365742185</v>
      </c>
      <c r="BU47">
        <f>IF(AND(ISNUMBER(BT47),逐级计算!$X$72&gt;-1),IF(逐级计算!$X$72=0,BT47+逐级计算!$C$72,BT47+逐级计算!$C$72-(10/(逐级计算!$Q$72*LN(10))*(MAX((LN(10^(逐级计算!$Q$72/10)-1)+逐级计算!$Q$72*(BT47-逐级计算!$P$72)*LN(10)/10),0)+LN(1+EXP(-ABS((LN(10^(逐级计算!$Q$72/10)-1)+逐级计算!$Q$72*(BT47-逐级计算!$P$72)*LN(10)/10))))))),"")</f>
        <v>13.7930365742185</v>
      </c>
      <c r="BV47">
        <f>IF(AND(ISNUMBER(BU47),逐级计算!$X$73&gt;-1),IF(逐级计算!$X$73=0,BU47+逐级计算!$C$73,BU47+逐级计算!$C$73-(10/(逐级计算!$Q$73*LN(10))*(MAX((LN(10^(逐级计算!$Q$73/10)-1)+逐级计算!$Q$73*(BU47-逐级计算!$P$73)*LN(10)/10),0)+LN(1+EXP(-ABS((LN(10^(逐级计算!$Q$73/10)-1)+逐级计算!$Q$73*(BU47-逐级计算!$P$73)*LN(10)/10))))))),"")</f>
        <v>13.7930365742185</v>
      </c>
      <c r="BW47">
        <f>IF(AND(ISNUMBER(BV47),逐级计算!$X$74&gt;-1),IF(逐级计算!$X$74=0,BV47+逐级计算!$C$74,BV47+逐级计算!$C$74-(10/(逐级计算!$Q$74*LN(10))*(MAX((LN(10^(逐级计算!$Q$74/10)-1)+逐级计算!$Q$74*(BV47-逐级计算!$P$74)*LN(10)/10),0)+LN(1+EXP(-ABS((LN(10^(逐级计算!$Q$74/10)-1)+逐级计算!$Q$74*(BV47-逐级计算!$P$74)*LN(10)/10))))))),"")</f>
        <v>13.7930365742185</v>
      </c>
      <c r="BX47">
        <f>IF(AND(ISNUMBER(BW47),逐级计算!$X$75&gt;-1),IF(逐级计算!$X$75=0,BW47+逐级计算!$C$75,BW47+逐级计算!$C$75-(10/(逐级计算!$Q$75*LN(10))*(MAX((LN(10^(逐级计算!$Q$75/10)-1)+逐级计算!$Q$75*(BW47-逐级计算!$P$75)*LN(10)/10),0)+LN(1+EXP(-ABS((LN(10^(逐级计算!$Q$75/10)-1)+逐级计算!$Q$75*(BW47-逐级计算!$P$75)*LN(10)/10))))))),"")</f>
        <v>13.7930365742185</v>
      </c>
      <c r="BY47">
        <f>IF(AND(ISNUMBER(BX47),逐级计算!$X$76&gt;-1),IF(逐级计算!$X$76=0,BX47+逐级计算!$C$76,BX47+逐级计算!$C$76-(10/(逐级计算!$Q$76*LN(10))*(MAX((LN(10^(逐级计算!$Q$76/10)-1)+逐级计算!$Q$76*(BX47-逐级计算!$P$76)*LN(10)/10),0)+LN(1+EXP(-ABS((LN(10^(逐级计算!$Q$76/10)-1)+逐级计算!$Q$76*(BX47-逐级计算!$P$76)*LN(10)/10))))))),"")</f>
        <v>13.7930365742185</v>
      </c>
      <c r="BZ47">
        <f>IF(AND(ISNUMBER(BY47),逐级计算!$X$77&gt;-1),IF(逐级计算!$X$77=0,BY47+逐级计算!$C$77,BY47+逐级计算!$C$77-(10/(逐级计算!$Q$77*LN(10))*(MAX((LN(10^(逐级计算!$Q$77/10)-1)+逐级计算!$Q$77*(BY47-逐级计算!$P$77)*LN(10)/10),0)+LN(1+EXP(-ABS((LN(10^(逐级计算!$Q$77/10)-1)+逐级计算!$Q$77*(BY47-逐级计算!$P$77)*LN(10)/10))))))),"")</f>
        <v>13.7930365742185</v>
      </c>
      <c r="CA47">
        <f>IF(AND(ISNUMBER(BZ47),逐级计算!$X$78&gt;-1),IF(逐级计算!$X$78=0,BZ47+逐级计算!$C$78,BZ47+逐级计算!$C$78-(10/(逐级计算!$Q$78*LN(10))*(MAX((LN(10^(逐级计算!$Q$78/10)-1)+逐级计算!$Q$78*(BZ47-逐级计算!$P$78)*LN(10)/10),0)+LN(1+EXP(-ABS((LN(10^(逐级计算!$Q$78/10)-1)+逐级计算!$Q$78*(BZ47-逐级计算!$P$78)*LN(10)/10))))))),"")</f>
        <v>13.7930365742185</v>
      </c>
      <c r="CB47">
        <f>IF(AND(ISNUMBER(CA47),逐级计算!$X$79&gt;-1),IF(逐级计算!$X$79=0,CA47+逐级计算!$C$79,CA47+逐级计算!$C$79-(10/(逐级计算!$Q$79*LN(10))*(MAX((LN(10^(逐级计算!$Q$79/10)-1)+逐级计算!$Q$79*(CA47-逐级计算!$P$79)*LN(10)/10),0)+LN(1+EXP(-ABS((LN(10^(逐级计算!$Q$79/10)-1)+逐级计算!$Q$79*(CA47-逐级计算!$P$79)*LN(10)/10))))))),"")</f>
        <v>13.7930365742185</v>
      </c>
      <c r="CC47">
        <f>IF(AND(ISNUMBER(CB47),逐级计算!$X$80&gt;-1),IF(逐级计算!$X$80=0,CB47+逐级计算!$C$80,CB47+逐级计算!$C$80-(10/(逐级计算!$Q$80*LN(10))*(MAX((LN(10^(逐级计算!$Q$80/10)-1)+逐级计算!$Q$80*(CB47-逐级计算!$P$80)*LN(10)/10),0)+LN(1+EXP(-ABS((LN(10^(逐级计算!$Q$80/10)-1)+逐级计算!$Q$80*(CB47-逐级计算!$P$80)*LN(10)/10))))))),"")</f>
        <v>13.7930365742185</v>
      </c>
      <c r="CD47">
        <f>IF(AND(ISNUMBER(CC47),逐级计算!$X$81&gt;-1),IF(逐级计算!$X$81=0,CC47+逐级计算!$C$81,CC47+逐级计算!$C$81-(10/(逐级计算!$Q$81*LN(10))*(MAX((LN(10^(逐级计算!$Q$81/10)-1)+逐级计算!$Q$81*(CC47-逐级计算!$P$81)*LN(10)/10),0)+LN(1+EXP(-ABS((LN(10^(逐级计算!$Q$81/10)-1)+逐级计算!$Q$81*(CC47-逐级计算!$P$81)*LN(10)/10))))))),"")</f>
        <v>13.7930365742185</v>
      </c>
      <c r="CE47">
        <f>IF(AND(ISNUMBER(CD47),逐级计算!$X$82&gt;-1),IF(逐级计算!$X$82=0,CD47+逐级计算!$C$82,CD47+逐级计算!$C$82-(10/(逐级计算!$Q$82*LN(10))*(MAX((LN(10^(逐级计算!$Q$82/10)-1)+逐级计算!$Q$82*(CD47-逐级计算!$P$82)*LN(10)/10),0)+LN(1+EXP(-ABS((LN(10^(逐级计算!$Q$82/10)-1)+逐级计算!$Q$82*(CD47-逐级计算!$P$82)*LN(10)/10))))))),"")</f>
        <v>13.7930365742185</v>
      </c>
      <c r="CF47">
        <f>IF(AND(ISNUMBER(CE47),逐级计算!$X$83&gt;-1),IF(逐级计算!$X$83=0,CE47+逐级计算!$C$83,CE47+逐级计算!$C$83-(10/(逐级计算!$Q$83*LN(10))*(MAX((LN(10^(逐级计算!$Q$83/10)-1)+逐级计算!$Q$83*(CE47-逐级计算!$P$83)*LN(10)/10),0)+LN(1+EXP(-ABS((LN(10^(逐级计算!$Q$83/10)-1)+逐级计算!$Q$83*(CE47-逐级计算!$P$83)*LN(10)/10))))))),"")</f>
        <v>13.7930365742185</v>
      </c>
      <c r="CG47">
        <f>IF(AND(ISNUMBER(CF47),逐级计算!$X$84&gt;-1),IF(逐级计算!$X$84=0,CF47+逐级计算!$C$84,CF47+逐级计算!$C$84-(10/(逐级计算!$Q$84*LN(10))*(MAX((LN(10^(逐级计算!$Q$84/10)-1)+逐级计算!$Q$84*(CF47-逐级计算!$P$84)*LN(10)/10),0)+LN(1+EXP(-ABS((LN(10^(逐级计算!$Q$84/10)-1)+逐级计算!$Q$84*(CF47-逐级计算!$P$84)*LN(10)/10))))))),"")</f>
        <v>13.7930365742185</v>
      </c>
      <c r="CH47">
        <f>IF(AND(ISNUMBER(CG47),逐级计算!$X$85&gt;-1),IF(逐级计算!$X$85=0,CG47+逐级计算!$C$85,CG47+逐级计算!$C$85-(10/(逐级计算!$Q$85*LN(10))*(MAX((LN(10^(逐级计算!$Q$85/10)-1)+逐级计算!$Q$85*(CG47-逐级计算!$P$85)*LN(10)/10),0)+LN(1+EXP(-ABS((LN(10^(逐级计算!$Q$85/10)-1)+逐级计算!$Q$85*(CG47-逐级计算!$P$85)*LN(10)/10))))))),"")</f>
        <v>13.7930365742185</v>
      </c>
      <c r="CI47">
        <f>IF(AND(ISNUMBER(CH47),逐级计算!$X$86&gt;-1),IF(逐级计算!$X$86=0,CH47+逐级计算!$C$86,CH47+逐级计算!$C$86-(10/(逐级计算!$Q$86*LN(10))*(MAX((LN(10^(逐级计算!$Q$86/10)-1)+逐级计算!$Q$86*(CH47-逐级计算!$P$86)*LN(10)/10),0)+LN(1+EXP(-ABS((LN(10^(逐级计算!$Q$86/10)-1)+逐级计算!$Q$86*(CH47-逐级计算!$P$86)*LN(10)/10))))))),"")</f>
        <v>13.7930365742185</v>
      </c>
      <c r="CJ47">
        <f>IF(AND(ISNUMBER(CI47),逐级计算!$X$87&gt;-1),IF(逐级计算!$X$87=0,CI47+逐级计算!$C$87,CI47+逐级计算!$C$87-(10/(逐级计算!$Q$87*LN(10))*(MAX((LN(10^(逐级计算!$Q$87/10)-1)+逐级计算!$Q$87*(CI47-逐级计算!$P$87)*LN(10)/10),0)+LN(1+EXP(-ABS((LN(10^(逐级计算!$Q$87/10)-1)+逐级计算!$Q$87*(CI47-逐级计算!$P$87)*LN(10)/10))))))),"")</f>
        <v>13.7930365742185</v>
      </c>
      <c r="CK47">
        <f>IF(AND(ISNUMBER(CJ47),逐级计算!$X$88&gt;-1),IF(逐级计算!$X$88=0,CJ47+逐级计算!$C$88,CJ47+逐级计算!$C$88-(10/(逐级计算!$Q$88*LN(10))*(MAX((LN(10^(逐级计算!$Q$88/10)-1)+逐级计算!$Q$88*(CJ47-逐级计算!$P$88)*LN(10)/10),0)+LN(1+EXP(-ABS((LN(10^(逐级计算!$Q$88/10)-1)+逐级计算!$Q$88*(CJ47-逐级计算!$P$88)*LN(10)/10))))))),"")</f>
        <v>13.7930365742185</v>
      </c>
      <c r="CL47">
        <f>IF(AND(ISNUMBER(CK47),逐级计算!$X$89&gt;-1),IF(逐级计算!$X$89=0,CK47+逐级计算!$C$89,CK47+逐级计算!$C$89-(10/(逐级计算!$Q$89*LN(10))*(MAX((LN(10^(逐级计算!$Q$89/10)-1)+逐级计算!$Q$89*(CK47-逐级计算!$P$89)*LN(10)/10),0)+LN(1+EXP(-ABS((LN(10^(逐级计算!$Q$89/10)-1)+逐级计算!$Q$89*(CK47-逐级计算!$P$89)*LN(10)/10))))))),"")</f>
        <v>13.7930365742185</v>
      </c>
      <c r="CM47">
        <f>IF(AND(ISNUMBER(CL47),逐级计算!$X$90&gt;-1),IF(逐级计算!$X$90=0,CL47+逐级计算!$C$90,CL47+逐级计算!$C$90-(10/(逐级计算!$Q$90*LN(10))*(MAX((LN(10^(逐级计算!$Q$90/10)-1)+逐级计算!$Q$90*(CL47-逐级计算!$P$90)*LN(10)/10),0)+LN(1+EXP(-ABS((LN(10^(逐级计算!$Q$90/10)-1)+逐级计算!$Q$90*(CL47-逐级计算!$P$90)*LN(10)/10))))))),"")</f>
        <v>13.7930365742185</v>
      </c>
      <c r="CN47">
        <f>IF(AND(ISNUMBER(CM47),逐级计算!$X$91&gt;-1),IF(逐级计算!$X$91=0,CM47+逐级计算!$C$91,CM47+逐级计算!$C$91-(10/(逐级计算!$Q$91*LN(10))*(MAX((LN(10^(逐级计算!$Q$91/10)-1)+逐级计算!$Q$91*(CM47-逐级计算!$P$91)*LN(10)/10),0)+LN(1+EXP(-ABS((LN(10^(逐级计算!$Q$91/10)-1)+逐级计算!$Q$91*(CM47-逐级计算!$P$91)*LN(10)/10))))))),"")</f>
        <v>13.7930365742185</v>
      </c>
      <c r="CO47">
        <f>IF(AND(ISNUMBER(CN47),逐级计算!$X$92&gt;-1),IF(逐级计算!$X$92=0,CN47+逐级计算!$C$92,CN47+逐级计算!$C$92-(10/(逐级计算!$Q$92*LN(10))*(MAX((LN(10^(逐级计算!$Q$92/10)-1)+逐级计算!$Q$92*(CN47-逐级计算!$P$92)*LN(10)/10),0)+LN(1+EXP(-ABS((LN(10^(逐级计算!$Q$92/10)-1)+逐级计算!$Q$92*(CN47-逐级计算!$P$92)*LN(10)/10))))))),"")</f>
        <v>13.7930365742185</v>
      </c>
      <c r="CP47">
        <f>IF(AND(ISNUMBER(CO47),逐级计算!$X$93&gt;-1),IF(逐级计算!$X$93=0,CO47+逐级计算!$C$93,CO47+逐级计算!$C$93-(10/(逐级计算!$Q$93*LN(10))*(MAX((LN(10^(逐级计算!$Q$93/10)-1)+逐级计算!$Q$93*(CO47-逐级计算!$P$93)*LN(10)/10),0)+LN(1+EXP(-ABS((LN(10^(逐级计算!$Q$93/10)-1)+逐级计算!$Q$93*(CO47-逐级计算!$P$93)*LN(10)/10))))))),"")</f>
        <v>13.7930365742185</v>
      </c>
      <c r="CQ47">
        <f>IF(AND(ISNUMBER(CP47),逐级计算!$X$94&gt;-1),IF(逐级计算!$X$94=0,CP47+逐级计算!$C$94,CP47+逐级计算!$C$94-(10/(逐级计算!$Q$94*LN(10))*(MAX((LN(10^(逐级计算!$Q$94/10)-1)+逐级计算!$Q$94*(CP47-逐级计算!$P$94)*LN(10)/10),0)+LN(1+EXP(-ABS((LN(10^(逐级计算!$Q$94/10)-1)+逐级计算!$Q$94*(CP47-逐级计算!$P$94)*LN(10)/10))))))),"")</f>
        <v>13.7930365742185</v>
      </c>
      <c r="CR47">
        <f>IF(AND(ISNUMBER(CQ47),逐级计算!$X$95&gt;-1),IF(逐级计算!$X$95=0,CQ47+逐级计算!$C$95,CQ47+逐级计算!$C$95-(10/(逐级计算!$Q$95*LN(10))*(MAX((LN(10^(逐级计算!$Q$95/10)-1)+逐级计算!$Q$95*(CQ47-逐级计算!$P$95)*LN(10)/10),0)+LN(1+EXP(-ABS((LN(10^(逐级计算!$Q$95/10)-1)+逐级计算!$Q$95*(CQ47-逐级计算!$P$95)*LN(10)/10))))))),"")</f>
        <v>13.7930365742185</v>
      </c>
      <c r="CS47">
        <f>IF(AND(ISNUMBER(CR47),逐级计算!$X$96&gt;-1),IF(逐级计算!$X$96=0,CR47+逐级计算!$C$96,CR47+逐级计算!$C$96-(10/(逐级计算!$Q$96*LN(10))*(MAX((LN(10^(逐级计算!$Q$96/10)-1)+逐级计算!$Q$96*(CR47-逐级计算!$P$96)*LN(10)/10),0)+LN(1+EXP(-ABS((LN(10^(逐级计算!$Q$96/10)-1)+逐级计算!$Q$96*(CR47-逐级计算!$P$96)*LN(10)/10))))))),"")</f>
        <v>13.7930365742185</v>
      </c>
      <c r="CT47">
        <f>IF(AND(ISNUMBER(CS47),逐级计算!$X$97&gt;-1),IF(逐级计算!$X$97=0,CS47+逐级计算!$C$97,CS47+逐级计算!$C$97-(10/(逐级计算!$Q$97*LN(10))*(MAX((LN(10^(逐级计算!$Q$97/10)-1)+逐级计算!$Q$97*(CS47-逐级计算!$P$97)*LN(10)/10),0)+LN(1+EXP(-ABS((LN(10^(逐级计算!$Q$97/10)-1)+逐级计算!$Q$97*(CS47-逐级计算!$P$97)*LN(10)/10))))))),"")</f>
        <v>13.7930365742185</v>
      </c>
      <c r="CU47">
        <f>IF(AND(ISNUMBER(CT47),逐级计算!$X$98&gt;-1),IF(逐级计算!$X$98=0,CT47+逐级计算!$C$98,CT47+逐级计算!$C$98-(10/(逐级计算!$Q$98*LN(10))*(MAX((LN(10^(逐级计算!$Q$98/10)-1)+逐级计算!$Q$98*(CT47-逐级计算!$P$98)*LN(10)/10),0)+LN(1+EXP(-ABS((LN(10^(逐级计算!$Q$98/10)-1)+逐级计算!$Q$98*(CT47-逐级计算!$P$98)*LN(10)/10))))))),"")</f>
        <v>13.7930365742185</v>
      </c>
      <c r="CV47">
        <f>IF(AND(ISNUMBER(CU47),逐级计算!$X$99&gt;-1),IF(逐级计算!$X$99=0,CU47+逐级计算!$C$99,CU47+逐级计算!$C$99-(10/(逐级计算!$Q$99*LN(10))*(MAX((LN(10^(逐级计算!$Q$99/10)-1)+逐级计算!$Q$99*(CU47-逐级计算!$P$99)*LN(10)/10),0)+LN(1+EXP(-ABS((LN(10^(逐级计算!$Q$99/10)-1)+逐级计算!$Q$99*(CU47-逐级计算!$P$99)*LN(10)/10))))))),"")</f>
        <v>13.7930365742185</v>
      </c>
      <c r="CW47">
        <f>IF(AND(ISNUMBER(CV47),逐级计算!$X$100&gt;-1),IF(逐级计算!$X$100=0,CV47+逐级计算!$C$100,CV47+逐级计算!$C$100-(10/(逐级计算!$Q$100*LN(10))*(MAX((LN(10^(逐级计算!$Q$100/10)-1)+逐级计算!$Q$100*(CV47-逐级计算!$P$100)*LN(10)/10),0)+LN(1+EXP(-ABS((LN(10^(逐级计算!$Q$100/10)-1)+逐级计算!$Q$100*(CV47-逐级计算!$P$100)*LN(10)/10))))))),"")</f>
        <v>13.7930365742185</v>
      </c>
      <c r="CX47">
        <f>IF(AND(ISNUMBER(CW47),逐级计算!$X$101&gt;-1),IF(逐级计算!$X$101=0,CW47+逐级计算!$C$101,CW47+逐级计算!$C$101-(10/(逐级计算!$Q$101*LN(10))*(MAX((LN(10^(逐级计算!$Q$101/10)-1)+逐级计算!$Q$101*(CW47-逐级计算!$P$101)*LN(10)/10),0)+LN(1+EXP(-ABS((LN(10^(逐级计算!$Q$101/10)-1)+逐级计算!$Q$101*(CW47-逐级计算!$P$101)*LN(10)/10))))))),"")</f>
        <v>13.7930365742185</v>
      </c>
      <c r="CY47">
        <f>IF(AND(ISNUMBER(CX47),逐级计算!$X$102&gt;-1),IF(逐级计算!$X$102=0,CX47+逐级计算!$C$102,CX47+逐级计算!$C$102-(10/(逐级计算!$Q$102*LN(10))*(MAX((LN(10^(逐级计算!$Q$102/10)-1)+逐级计算!$Q$102*(CX47-逐级计算!$P$102)*LN(10)/10),0)+LN(1+EXP(-ABS((LN(10^(逐级计算!$Q$102/10)-1)+逐级计算!$Q$102*(CX47-逐级计算!$P$102)*LN(10)/10))))))),"")</f>
        <v>13.7930365742185</v>
      </c>
      <c r="CZ47">
        <f>IF(AND(ISNUMBER(CY47),逐级计算!$X$103&gt;-1),IF(逐级计算!$X$103=0,CY47+逐级计算!$C$103,CY47+逐级计算!$C$103-(10/(逐级计算!$Q$103*LN(10))*(MAX((LN(10^(逐级计算!$Q$103/10)-1)+逐级计算!$Q$103*(CY47-逐级计算!$P$103)*LN(10)/10),0)+LN(1+EXP(-ABS((LN(10^(逐级计算!$Q$103/10)-1)+逐级计算!$Q$103*(CY47-逐级计算!$P$103)*LN(10)/10))))))),"")</f>
        <v>13.7930365742185</v>
      </c>
      <c r="DA47">
        <f>IF(AND(ISNUMBER(CZ47),逐级计算!$X$104&gt;-1),IF(逐级计算!$X$104=0,CZ47+逐级计算!$C$104,CZ47+逐级计算!$C$104-(10/(逐级计算!$Q$104*LN(10))*(MAX((LN(10^(逐级计算!$Q$104/10)-1)+逐级计算!$Q$104*(CZ47-逐级计算!$P$104)*LN(10)/10),0)+LN(1+EXP(-ABS((LN(10^(逐级计算!$Q$104/10)-1)+逐级计算!$Q$104*(CZ47-逐级计算!$P$104)*LN(10)/10))))))),"")</f>
        <v>13.7930365742185</v>
      </c>
      <c r="DB47">
        <f>IF(AND(ISNUMBER(DA47),逐级计算!$X$105&gt;-1),IF(逐级计算!$X$105=0,DA47+逐级计算!$C$105,DA47+逐级计算!$C$105-(10/(逐级计算!$Q$105*LN(10))*(MAX((LN(10^(逐级计算!$Q$105/10)-1)+逐级计算!$Q$105*(DA47-逐级计算!$P$105)*LN(10)/10),0)+LN(1+EXP(-ABS((LN(10^(逐级计算!$Q$105/10)-1)+逐级计算!$Q$105*(DA47-逐级计算!$P$105)*LN(10)/10))))))),"")</f>
        <v>13.7930365742185</v>
      </c>
      <c r="DC47">
        <f>IF(AND(ISNUMBER(DB47),逐级计算!$X$106&gt;-1),IF(逐级计算!$X$106=0,DB47+逐级计算!$C$106,DB47+逐级计算!$C$106-(10/(逐级计算!$Q$106*LN(10))*(MAX((LN(10^(逐级计算!$Q$106/10)-1)+逐级计算!$Q$106*(DB47-逐级计算!$P$106)*LN(10)/10),0)+LN(1+EXP(-ABS((LN(10^(逐级计算!$Q$106/10)-1)+逐级计算!$Q$106*(DB47-逐级计算!$P$106)*LN(10)/10))))))),"")</f>
        <v>13.7930365742185</v>
      </c>
      <c r="DD47">
        <f>IF(AND(ISNUMBER(DC47),逐级计算!$X$107&gt;-1),IF(逐级计算!$X$107=0,DC47+逐级计算!$C$107,DC47+逐级计算!$C$107-(10/(逐级计算!$Q$107*LN(10))*(MAX((LN(10^(逐级计算!$Q$107/10)-1)+逐级计算!$Q$107*(DC47-逐级计算!$P$107)*LN(10)/10),0)+LN(1+EXP(-ABS((LN(10^(逐级计算!$Q$107/10)-1)+逐级计算!$Q$107*(DC47-逐级计算!$P$107)*LN(10)/10))))))),"")</f>
        <v>13.7930365742185</v>
      </c>
      <c r="DE47">
        <f>IF(AND(ISNUMBER(DD47),逐级计算!$X$108&gt;-1),IF(逐级计算!$X$108=0,DD47+逐级计算!$C$108,DD47+逐级计算!$C$108-(10/(逐级计算!$Q$108*LN(10))*(MAX((LN(10^(逐级计算!$Q$108/10)-1)+逐级计算!$Q$108*(DD47-逐级计算!$P$108)*LN(10)/10),0)+LN(1+EXP(-ABS((LN(10^(逐级计算!$Q$108/10)-1)+逐级计算!$Q$108*(DD47-逐级计算!$P$108)*LN(10)/10))))))),"")</f>
        <v>13.7930365742185</v>
      </c>
      <c r="DF47">
        <f>IF(AND(ISNUMBER(DE47),逐级计算!$X$109&gt;-1),IF(逐级计算!$X$109=0,DE47+逐级计算!$C$109,DE47+逐级计算!$C$109-(10/(逐级计算!$Q$109*LN(10))*(MAX((LN(10^(逐级计算!$Q$109/10)-1)+逐级计算!$Q$109*(DE47-逐级计算!$P$109)*LN(10)/10),0)+LN(1+EXP(-ABS((LN(10^(逐级计算!$Q$109/10)-1)+逐级计算!$Q$109*(DE47-逐级计算!$P$109)*LN(10)/10))))))),"")</f>
        <v>13.7930365742185</v>
      </c>
      <c r="DG47">
        <f>IF(AND(ISNUMBER(DF47),逐级计算!$X$110&gt;-1),IF(逐级计算!$X$110=0,DF47+逐级计算!$C$110,DF47+逐级计算!$C$110-(10/(逐级计算!$Q$110*LN(10))*(MAX((LN(10^(逐级计算!$Q$110/10)-1)+逐级计算!$Q$110*(DF47-逐级计算!$P$110)*LN(10)/10),0)+LN(1+EXP(-ABS((LN(10^(逐级计算!$Q$110/10)-1)+逐级计算!$Q$110*(DF47-逐级计算!$P$110)*LN(10)/10))))))),"")</f>
        <v>13.7930365742185</v>
      </c>
      <c r="DH47">
        <f>IF(AND(ISNUMBER(DG47),逐级计算!$X$111&gt;-1),IF(逐级计算!$X$111=0,DG47+逐级计算!$C$111,DG47+逐级计算!$C$111-(10/(逐级计算!$Q$111*LN(10))*(MAX((LN(10^(逐级计算!$Q$111/10)-1)+逐级计算!$Q$111*(DG47-逐级计算!$P$111)*LN(10)/10),0)+LN(1+EXP(-ABS((LN(10^(逐级计算!$Q$111/10)-1)+逐级计算!$Q$111*(DG47-逐级计算!$P$111)*LN(10)/10))))))),"")</f>
        <v>13.7930365742185</v>
      </c>
      <c r="DI47">
        <f>IF(AND(ISNUMBER(DH47),逐级计算!$X$112&gt;-1),IF(逐级计算!$X$112=0,DH47+逐级计算!$C$112,DH47+逐级计算!$C$112-(10/(逐级计算!$Q$112*LN(10))*(MAX((LN(10^(逐级计算!$Q$112/10)-1)+逐级计算!$Q$112*(DH47-逐级计算!$P$112)*LN(10)/10),0)+LN(1+EXP(-ABS((LN(10^(逐级计算!$Q$112/10)-1)+逐级计算!$Q$112*(DH47-逐级计算!$P$112)*LN(10)/10))))))),"")</f>
        <v>13.7930365742185</v>
      </c>
      <c r="DJ47">
        <f>IF(AND(ISNUMBER(DI47),逐级计算!$X$113&gt;-1),IF(逐级计算!$X$113=0,DI47+逐级计算!$C$113,DI47+逐级计算!$C$113-(10/(逐级计算!$Q$113*LN(10))*(MAX((LN(10^(逐级计算!$Q$113/10)-1)+逐级计算!$Q$113*(DI47-逐级计算!$P$113)*LN(10)/10),0)+LN(1+EXP(-ABS((LN(10^(逐级计算!$Q$113/10)-1)+逐级计算!$Q$113*(DI47-逐级计算!$P$113)*LN(10)/10))))))),"")</f>
        <v>13.7930365742185</v>
      </c>
      <c r="DK47">
        <f>IF(AND(ISNUMBER(DJ47),逐级计算!$X$114&gt;-1),IF(逐级计算!$X$114=0,DJ47+逐级计算!$C$114,DJ47+逐级计算!$C$114-(10/(逐级计算!$Q$114*LN(10))*(MAX((LN(10^(逐级计算!$Q$114/10)-1)+逐级计算!$Q$114*(DJ47-逐级计算!$P$114)*LN(10)/10),0)+LN(1+EXP(-ABS((LN(10^(逐级计算!$Q$114/10)-1)+逐级计算!$Q$114*(DJ47-逐级计算!$P$114)*LN(10)/10))))))),"")</f>
        <v>13.7930365742185</v>
      </c>
      <c r="DL47">
        <f>IF(AND(ISNUMBER(DK47),逐级计算!$X$115&gt;-1),IF(逐级计算!$X$115=0,DK47+逐级计算!$C$115,DK47+逐级计算!$C$115-(10/(逐级计算!$Q$115*LN(10))*(MAX((LN(10^(逐级计算!$Q$115/10)-1)+逐级计算!$Q$115*(DK47-逐级计算!$P$115)*LN(10)/10),0)+LN(1+EXP(-ABS((LN(10^(逐级计算!$Q$115/10)-1)+逐级计算!$Q$115*(DK47-逐级计算!$P$115)*LN(10)/10))))))),"")</f>
        <v>13.7930365742185</v>
      </c>
      <c r="DM47">
        <f>IF(AND(ISNUMBER(DL47),逐级计算!$X$116&gt;-1),IF(逐级计算!$X$116=0,DL47+逐级计算!$C$116,DL47+逐级计算!$C$116-(10/(逐级计算!$Q$116*LN(10))*(MAX((LN(10^(逐级计算!$Q$116/10)-1)+逐级计算!$Q$116*(DL47-逐级计算!$P$116)*LN(10)/10),0)+LN(1+EXP(-ABS((LN(10^(逐级计算!$Q$116/10)-1)+逐级计算!$Q$116*(DL47-逐级计算!$P$116)*LN(10)/10))))))),"")</f>
        <v>13.7930365742185</v>
      </c>
      <c r="DN47">
        <f>IF(AND(ISNUMBER(DM47),逐级计算!$X$117&gt;-1),IF(逐级计算!$X$117=0,DM47+逐级计算!$C$117,DM47+逐级计算!$C$117-(10/(逐级计算!$Q$117*LN(10))*(MAX((LN(10^(逐级计算!$Q$117/10)-1)+逐级计算!$Q$117*(DM47-逐级计算!$P$117)*LN(10)/10),0)+LN(1+EXP(-ABS((LN(10^(逐级计算!$Q$117/10)-1)+逐级计算!$Q$117*(DM47-逐级计算!$P$117)*LN(10)/10))))))),"")</f>
        <v>13.7930365742185</v>
      </c>
      <c r="DO47">
        <f>IF(AND(ISNUMBER(DN47),逐级计算!$X$118&gt;-1),IF(逐级计算!$X$118=0,DN47+逐级计算!$C$118,DN47+逐级计算!$C$118-(10/(逐级计算!$Q$118*LN(10))*(MAX((LN(10^(逐级计算!$Q$118/10)-1)+逐级计算!$Q$118*(DN47-逐级计算!$P$118)*LN(10)/10),0)+LN(1+EXP(-ABS((LN(10^(逐级计算!$Q$118/10)-1)+逐级计算!$Q$118*(DN47-逐级计算!$P$118)*LN(10)/10))))))),"")</f>
        <v>13.7930365742185</v>
      </c>
      <c r="DP47">
        <f>IF(AND(ISNUMBER(DO47),逐级计算!$X$119&gt;-1),IF(逐级计算!$X$119=0,DO47+逐级计算!$C$119,DO47+逐级计算!$C$119-(10/(逐级计算!$Q$119*LN(10))*(MAX((LN(10^(逐级计算!$Q$119/10)-1)+逐级计算!$Q$119*(DO47-逐级计算!$P$119)*LN(10)/10),0)+LN(1+EXP(-ABS((LN(10^(逐级计算!$Q$119/10)-1)+逐级计算!$Q$119*(DO47-逐级计算!$P$119)*LN(10)/10))))))),"")</f>
        <v>13.7930365742185</v>
      </c>
      <c r="DQ47">
        <f>IF(AND(ISNUMBER(DP47),逐级计算!$X$120&gt;-1),IF(逐级计算!$X$120=0,DP47+逐级计算!$C$120,DP47+逐级计算!$C$120-(10/(逐级计算!$Q$120*LN(10))*(MAX((LN(10^(逐级计算!$Q$120/10)-1)+逐级计算!$Q$120*(DP47-逐级计算!$P$120)*LN(10)/10),0)+LN(1+EXP(-ABS((LN(10^(逐级计算!$Q$120/10)-1)+逐级计算!$Q$120*(DP47-逐级计算!$P$120)*LN(10)/10))))))),"")</f>
        <v>13.7930365742185</v>
      </c>
      <c r="DR47">
        <f>IF(AND(ISNUMBER(DQ47),逐级计算!$X$121&gt;-1),IF(逐级计算!$X$121=0,DQ47+逐级计算!$C$121,DQ47+逐级计算!$C$121-(10/(逐级计算!$Q$121*LN(10))*(MAX((LN(10^(逐级计算!$Q$121/10)-1)+逐级计算!$Q$121*(DQ47-逐级计算!$P$121)*LN(10)/10),0)+LN(1+EXP(-ABS((LN(10^(逐级计算!$Q$121/10)-1)+逐级计算!$Q$121*(DQ47-逐级计算!$P$121)*LN(10)/10))))))),"")</f>
        <v>13.7930365742185</v>
      </c>
      <c r="DS47">
        <f>IF(AND(ISNUMBER(DR47),逐级计算!$X$122&gt;-1),IF(逐级计算!$X$122=0,DR47+逐级计算!$C$122,DR47+逐级计算!$C$122-(10/(逐级计算!$Q$122*LN(10))*(MAX((LN(10^(逐级计算!$Q$122/10)-1)+逐级计算!$Q$122*(DR47-逐级计算!$P$122)*LN(10)/10),0)+LN(1+EXP(-ABS((LN(10^(逐级计算!$Q$122/10)-1)+逐级计算!$Q$122*(DR47-逐级计算!$P$122)*LN(10)/10))))))),"")</f>
        <v>13.7930365742185</v>
      </c>
      <c r="DT47">
        <f>IF(AND(ISNUMBER(DS47),逐级计算!$X$123&gt;-1),IF(逐级计算!$X$123=0,DS47+逐级计算!$C$123,DS47+逐级计算!$C$123-(10/(逐级计算!$Q$123*LN(10))*(MAX((LN(10^(逐级计算!$Q$123/10)-1)+逐级计算!$Q$123*(DS47-逐级计算!$P$123)*LN(10)/10),0)+LN(1+EXP(-ABS((LN(10^(逐级计算!$Q$123/10)-1)+逐级计算!$Q$123*(DS47-逐级计算!$P$123)*LN(10)/10))))))),"")</f>
        <v>13.7930365742185</v>
      </c>
      <c r="DU47">
        <f>IF(AND(ISNUMBER(DT47),逐级计算!$X$124&gt;-1),IF(逐级计算!$X$124=0,DT47+逐级计算!$C$124,DT47+逐级计算!$C$124-(10/(逐级计算!$Q$124*LN(10))*(MAX((LN(10^(逐级计算!$Q$124/10)-1)+逐级计算!$Q$124*(DT47-逐级计算!$P$124)*LN(10)/10),0)+LN(1+EXP(-ABS((LN(10^(逐级计算!$Q$124/10)-1)+逐级计算!$Q$124*(DT47-逐级计算!$P$124)*LN(10)/10))))))),"")</f>
        <v>13.7930365742185</v>
      </c>
      <c r="DV47">
        <f>IF(AND(ISNUMBER(DU47),逐级计算!$X$125&gt;-1),IF(逐级计算!$X$125=0,DU47+逐级计算!$C$125,DU47+逐级计算!$C$125-(10/(逐级计算!$Q$125*LN(10))*(MAX((LN(10^(逐级计算!$Q$125/10)-1)+逐级计算!$Q$125*(DU47-逐级计算!$P$125)*LN(10)/10),0)+LN(1+EXP(-ABS((LN(10^(逐级计算!$Q$125/10)-1)+逐级计算!$Q$125*(DU47-逐级计算!$P$125)*LN(10)/10))))))),"")</f>
        <v>13.7930365742185</v>
      </c>
      <c r="DW47">
        <f>IF(AND(ISNUMBER(DV47),逐级计算!$X$126&gt;-1),IF(逐级计算!$X$126=0,DV47+逐级计算!$C$126,DV47+逐级计算!$C$126-(10/(逐级计算!$Q$126*LN(10))*(MAX((LN(10^(逐级计算!$Q$126/10)-1)+逐级计算!$Q$126*(DV47-逐级计算!$P$126)*LN(10)/10),0)+LN(1+EXP(-ABS((LN(10^(逐级计算!$Q$126/10)-1)+逐级计算!$Q$126*(DV47-逐级计算!$P$126)*LN(10)/10))))))),"")</f>
        <v>13.7930365742185</v>
      </c>
      <c r="DX47">
        <f>IF(AND(ISNUMBER(DW47),逐级计算!$X$127&gt;-1),IF(逐级计算!$X$127=0,DW47+逐级计算!$C$127,DW47+逐级计算!$C$127-(10/(逐级计算!$Q$127*LN(10))*(MAX((LN(10^(逐级计算!$Q$127/10)-1)+逐级计算!$Q$127*(DW47-逐级计算!$P$127)*LN(10)/10),0)+LN(1+EXP(-ABS((LN(10^(逐级计算!$Q$127/10)-1)+逐级计算!$Q$127*(DW47-逐级计算!$P$127)*LN(10)/10))))))),"")</f>
        <v>13.7930365742185</v>
      </c>
      <c r="DY47">
        <f>IF(AND(ISNUMBER(DX47),逐级计算!$X$128&gt;-1),IF(逐级计算!$X$128=0,DX47+逐级计算!$C$128,DX47+逐级计算!$C$128-(10/(逐级计算!$Q$128*LN(10))*(MAX((LN(10^(逐级计算!$Q$128/10)-1)+逐级计算!$Q$128*(DX47-逐级计算!$P$128)*LN(10)/10),0)+LN(1+EXP(-ABS((LN(10^(逐级计算!$Q$128/10)-1)+逐级计算!$Q$128*(DX47-逐级计算!$P$128)*LN(10)/10))))))),"")</f>
        <v>13.7930365742185</v>
      </c>
      <c r="DZ47">
        <f>IF(AND(ISNUMBER(DY47),逐级计算!$X$129&gt;-1),IF(逐级计算!$X$129=0,DY47+逐级计算!$C$129,DY47+逐级计算!$C$129-(10/(逐级计算!$Q$129*LN(10))*(MAX((LN(10^(逐级计算!$Q$129/10)-1)+逐级计算!$Q$129*(DY47-逐级计算!$P$129)*LN(10)/10),0)+LN(1+EXP(-ABS((LN(10^(逐级计算!$Q$129/10)-1)+逐级计算!$Q$129*(DY47-逐级计算!$P$129)*LN(10)/10))))))),"")</f>
        <v>13.7930365742185</v>
      </c>
      <c r="EA47">
        <f>IF(AND(ISNUMBER(DZ47),逐级计算!$X$130&gt;-1),IF(逐级计算!$X$130=0,DZ47+逐级计算!$C$130,DZ47+逐级计算!$C$130-(10/(逐级计算!$Q$130*LN(10))*(MAX((LN(10^(逐级计算!$Q$130/10)-1)+逐级计算!$Q$130*(DZ47-逐级计算!$P$130)*LN(10)/10),0)+LN(1+EXP(-ABS((LN(10^(逐级计算!$Q$130/10)-1)+逐级计算!$Q$130*(DZ47-逐级计算!$P$130)*LN(10)/10))))))),"")</f>
        <v>13.7930365742185</v>
      </c>
      <c r="EB47">
        <f>IF(AND(ISNUMBER(EA47),逐级计算!$X$131&gt;-1),IF(逐级计算!$X$131=0,EA47+逐级计算!$C$131,EA47+逐级计算!$C$131-(10/(逐级计算!$Q$131*LN(10))*(MAX((LN(10^(逐级计算!$Q$131/10)-1)+逐级计算!$Q$131*(EA47-逐级计算!$P$131)*LN(10)/10),0)+LN(1+EXP(-ABS((LN(10^(逐级计算!$Q$131/10)-1)+逐级计算!$Q$131*(EA47-逐级计算!$P$131)*LN(10)/10))))))),"")</f>
        <v>13.7930365742185</v>
      </c>
      <c r="EC47">
        <f>IF(AND(ISNUMBER(EB47),逐级计算!$X$132&gt;-1),IF(逐级计算!$X$132=0,EB47+逐级计算!$C$132,EB47+逐级计算!$C$132-(10/(逐级计算!$Q$132*LN(10))*(MAX((LN(10^(逐级计算!$Q$132/10)-1)+逐级计算!$Q$132*(EB47-逐级计算!$P$132)*LN(10)/10),0)+LN(1+EXP(-ABS((LN(10^(逐级计算!$Q$132/10)-1)+逐级计算!$Q$132*(EB47-逐级计算!$P$132)*LN(10)/10))))))),"")</f>
        <v>13.7930365742185</v>
      </c>
      <c r="ED47">
        <f>IF(AND(ISNUMBER(EC47),逐级计算!$X$133&gt;-1),IF(逐级计算!$X$133=0,EC47+逐级计算!$C$133,EC47+逐级计算!$C$133-(10/(逐级计算!$Q$133*LN(10))*(MAX((LN(10^(逐级计算!$Q$133/10)-1)+逐级计算!$Q$133*(EC47-逐级计算!$P$133)*LN(10)/10),0)+LN(1+EXP(-ABS((LN(10^(逐级计算!$Q$133/10)-1)+逐级计算!$Q$133*(EC47-逐级计算!$P$133)*LN(10)/10))))))),"")</f>
        <v>13.7930365742185</v>
      </c>
      <c r="EE47">
        <f>IF(AND(ISNUMBER(ED47),逐级计算!$X$134&gt;-1),IF(逐级计算!$X$134=0,ED47+逐级计算!$C$134,ED47+逐级计算!$C$134-(10/(逐级计算!$Q$134*LN(10))*(MAX((LN(10^(逐级计算!$Q$134/10)-1)+逐级计算!$Q$134*(ED47-逐级计算!$P$134)*LN(10)/10),0)+LN(1+EXP(-ABS((LN(10^(逐级计算!$Q$134/10)-1)+逐级计算!$Q$134*(ED47-逐级计算!$P$134)*LN(10)/10))))))),"")</f>
        <v>13.7930365742185</v>
      </c>
      <c r="EF47">
        <f>IF(AND(ISNUMBER(EE47),逐级计算!$X$135&gt;-1),IF(逐级计算!$X$135=0,EE47+逐级计算!$C$135,EE47+逐级计算!$C$135-(10/(逐级计算!$Q$135*LN(10))*(MAX((LN(10^(逐级计算!$Q$135/10)-1)+逐级计算!$Q$135*(EE47-逐级计算!$P$135)*LN(10)/10),0)+LN(1+EXP(-ABS((LN(10^(逐级计算!$Q$135/10)-1)+逐级计算!$Q$135*(EE47-逐级计算!$P$135)*LN(10)/10))))))),"")</f>
        <v>13.7930365742185</v>
      </c>
      <c r="EG47">
        <f>IF(AND(ISNUMBER(EF47),逐级计算!$X$136&gt;-1),IF(逐级计算!$X$136=0,EF47+逐级计算!$C$136,EF47+逐级计算!$C$136-(10/(逐级计算!$Q$136*LN(10))*(MAX((LN(10^(逐级计算!$Q$136/10)-1)+逐级计算!$Q$136*(EF47-逐级计算!$P$136)*LN(10)/10),0)+LN(1+EXP(-ABS((LN(10^(逐级计算!$Q$136/10)-1)+逐级计算!$Q$136*(EF47-逐级计算!$P$136)*LN(10)/10))))))),"")</f>
        <v>13.7930365742185</v>
      </c>
      <c r="EH47">
        <f>IF(AND(ISNUMBER(EG47),逐级计算!$X$137&gt;-1),IF(逐级计算!$X$137=0,EG47+逐级计算!$C$137,EG47+逐级计算!$C$137-(10/(逐级计算!$Q$137*LN(10))*(MAX((LN(10^(逐级计算!$Q$137/10)-1)+逐级计算!$Q$137*(EG47-逐级计算!$P$137)*LN(10)/10),0)+LN(1+EXP(-ABS((LN(10^(逐级计算!$Q$137/10)-1)+逐级计算!$Q$137*(EG47-逐级计算!$P$137)*LN(10)/10))))))),"")</f>
        <v>13.7930365742185</v>
      </c>
      <c r="EI47">
        <f>IF(AND(ISNUMBER(EH47),逐级计算!$X$138&gt;-1),IF(逐级计算!$X$138=0,EH47+逐级计算!$C$138,EH47+逐级计算!$C$138-(10/(逐级计算!$Q$138*LN(10))*(MAX((LN(10^(逐级计算!$Q$138/10)-1)+逐级计算!$Q$138*(EH47-逐级计算!$P$138)*LN(10)/10),0)+LN(1+EXP(-ABS((LN(10^(逐级计算!$Q$138/10)-1)+逐级计算!$Q$138*(EH47-逐级计算!$P$138)*LN(10)/10))))))),"")</f>
        <v>13.7930365742185</v>
      </c>
      <c r="EJ47">
        <f>IF(AND(ISNUMBER(EI47),逐级计算!$X$139&gt;-1),IF(逐级计算!$X$139=0,EI47+逐级计算!$C$139,EI47+逐级计算!$C$139-(10/(逐级计算!$Q$139*LN(10))*(MAX((LN(10^(逐级计算!$Q$139/10)-1)+逐级计算!$Q$139*(EI47-逐级计算!$P$139)*LN(10)/10),0)+LN(1+EXP(-ABS((LN(10^(逐级计算!$Q$139/10)-1)+逐级计算!$Q$139*(EI47-逐级计算!$P$139)*LN(10)/10))))))),"")</f>
        <v>13.7930365742185</v>
      </c>
      <c r="EK47">
        <f>IF(AND(ISNUMBER(EJ47),逐级计算!$X$140&gt;-1),IF(逐级计算!$X$140=0,EJ47+逐级计算!$C$140,EJ47+逐级计算!$C$140-(10/(逐级计算!$Q$140*LN(10))*(MAX((LN(10^(逐级计算!$Q$140/10)-1)+逐级计算!$Q$140*(EJ47-逐级计算!$P$140)*LN(10)/10),0)+LN(1+EXP(-ABS((LN(10^(逐级计算!$Q$140/10)-1)+逐级计算!$Q$140*(EJ47-逐级计算!$P$140)*LN(10)/10))))))),"")</f>
        <v>13.7930365742185</v>
      </c>
      <c r="EL47">
        <f>IF(AND(ISNUMBER(EK47),逐级计算!$X$141&gt;-1),IF(逐级计算!$X$141=0,EK47+逐级计算!$C$141,EK47+逐级计算!$C$141-(10/(逐级计算!$Q$141*LN(10))*(MAX((LN(10^(逐级计算!$Q$141/10)-1)+逐级计算!$Q$141*(EK47-逐级计算!$P$141)*LN(10)/10),0)+LN(1+EXP(-ABS((LN(10^(逐级计算!$Q$141/10)-1)+逐级计算!$Q$141*(EK47-逐级计算!$P$141)*LN(10)/10))))))),"")</f>
        <v>13.7930365742185</v>
      </c>
      <c r="EM47">
        <f>IF(AND(ISNUMBER(EL47),逐级计算!$X$142&gt;-1),IF(逐级计算!$X$142=0,EL47+逐级计算!$C$142,EL47+逐级计算!$C$142-(10/(逐级计算!$Q$142*LN(10))*(MAX((LN(10^(逐级计算!$Q$142/10)-1)+逐级计算!$Q$142*(EL47-逐级计算!$P$142)*LN(10)/10),0)+LN(1+EXP(-ABS((LN(10^(逐级计算!$Q$142/10)-1)+逐级计算!$Q$142*(EL47-逐级计算!$P$142)*LN(10)/10))))))),"")</f>
        <v>13.7930365742185</v>
      </c>
      <c r="EN47">
        <f>IF(AND(ISNUMBER(EM47),逐级计算!$X$143&gt;-1),IF(逐级计算!$X$143=0,EM47+逐级计算!$C$143,EM47+逐级计算!$C$143-(10/(逐级计算!$Q$143*LN(10))*(MAX((LN(10^(逐级计算!$Q$143/10)-1)+逐级计算!$Q$143*(EM47-逐级计算!$P$143)*LN(10)/10),0)+LN(1+EXP(-ABS((LN(10^(逐级计算!$Q$143/10)-1)+逐级计算!$Q$143*(EM47-逐级计算!$P$143)*LN(10)/10))))))),"")</f>
        <v>13.7930365742185</v>
      </c>
      <c r="EO47">
        <f>IF(AND(ISNUMBER(EN47),逐级计算!$X$144&gt;-1),IF(逐级计算!$X$144=0,EN47+逐级计算!$C$144,EN47+逐级计算!$C$144-(10/(逐级计算!$Q$144*LN(10))*(MAX((LN(10^(逐级计算!$Q$144/10)-1)+逐级计算!$Q$144*(EN47-逐级计算!$P$144)*LN(10)/10),0)+LN(1+EXP(-ABS((LN(10^(逐级计算!$Q$144/10)-1)+逐级计算!$Q$144*(EN47-逐级计算!$P$144)*LN(10)/10))))))),"")</f>
        <v>13.7930365742185</v>
      </c>
      <c r="EP47">
        <f>IF(AND(ISNUMBER(EO47),逐级计算!$X$145&gt;-1),IF(逐级计算!$X$145=0,EO47+逐级计算!$C$145,EO47+逐级计算!$C$145-(10/(逐级计算!$Q$145*LN(10))*(MAX((LN(10^(逐级计算!$Q$145/10)-1)+逐级计算!$Q$145*(EO47-逐级计算!$P$145)*LN(10)/10),0)+LN(1+EXP(-ABS((LN(10^(逐级计算!$Q$145/10)-1)+逐级计算!$Q$145*(EO47-逐级计算!$P$145)*LN(10)/10))))))),"")</f>
        <v>13.7930365742185</v>
      </c>
      <c r="EQ47">
        <f>IF(AND(ISNUMBER(EP47),逐级计算!$X$146&gt;-1),IF(逐级计算!$X$146=0,EP47+逐级计算!$C$146,EP47+逐级计算!$C$146-(10/(逐级计算!$Q$146*LN(10))*(MAX((LN(10^(逐级计算!$Q$146/10)-1)+逐级计算!$Q$146*(EP47-逐级计算!$P$146)*LN(10)/10),0)+LN(1+EXP(-ABS((LN(10^(逐级计算!$Q$146/10)-1)+逐级计算!$Q$146*(EP47-逐级计算!$P$146)*LN(10)/10))))))),"")</f>
        <v>13.7930365742185</v>
      </c>
      <c r="ER47">
        <f>IF(AND(ISNUMBER(EQ47),逐级计算!$X$147&gt;-1),IF(逐级计算!$X$147=0,EQ47+逐级计算!$C$147,EQ47+逐级计算!$C$147-(10/(逐级计算!$Q$147*LN(10))*(MAX((LN(10^(逐级计算!$Q$147/10)-1)+逐级计算!$Q$147*(EQ47-逐级计算!$P$147)*LN(10)/10),0)+LN(1+EXP(-ABS((LN(10^(逐级计算!$Q$147/10)-1)+逐级计算!$Q$147*(EQ47-逐级计算!$P$147)*LN(10)/10))))))),"")</f>
        <v>13.7930365742185</v>
      </c>
      <c r="ES47">
        <f>IF(AND(ISNUMBER(ER47),逐级计算!$X$148&gt;-1),IF(逐级计算!$X$148=0,ER47+逐级计算!$C$148,ER47+逐级计算!$C$148-(10/(逐级计算!$Q$148*LN(10))*(MAX((LN(10^(逐级计算!$Q$148/10)-1)+逐级计算!$Q$148*(ER47-逐级计算!$P$148)*LN(10)/10),0)+LN(1+EXP(-ABS((LN(10^(逐级计算!$Q$148/10)-1)+逐级计算!$Q$148*(ER47-逐级计算!$P$148)*LN(10)/10))))))),"")</f>
        <v>13.7930365742185</v>
      </c>
      <c r="ET47">
        <f>IF(AND(ISNUMBER(ES47),逐级计算!$X$149&gt;-1),IF(逐级计算!$X$149=0,ES47+逐级计算!$C$149,ES47+逐级计算!$C$149-(10/(逐级计算!$Q$149*LN(10))*(MAX((LN(10^(逐级计算!$Q$149/10)-1)+逐级计算!$Q$149*(ES47-逐级计算!$P$149)*LN(10)/10),0)+LN(1+EXP(-ABS((LN(10^(逐级计算!$Q$149/10)-1)+逐级计算!$Q$149*(ES47-逐级计算!$P$149)*LN(10)/10))))))),"")</f>
        <v>13.7930365742185</v>
      </c>
      <c r="EU47">
        <f>IF(AND(ISNUMBER(ET47),逐级计算!$X$150&gt;-1),IF(逐级计算!$X$150=0,ET47+逐级计算!$C$150,ET47+逐级计算!$C$150-(10/(逐级计算!$Q$150*LN(10))*(MAX((LN(10^(逐级计算!$Q$150/10)-1)+逐级计算!$Q$150*(ET47-逐级计算!$P$150)*LN(10)/10),0)+LN(1+EXP(-ABS((LN(10^(逐级计算!$Q$150/10)-1)+逐级计算!$Q$150*(ET47-逐级计算!$P$150)*LN(10)/10))))))),"")</f>
        <v>13.7930365742185</v>
      </c>
      <c r="EV47">
        <f>IF(AND(ISNUMBER(EU47),逐级计算!$X$151&gt;-1),IF(逐级计算!$X$151=0,EU47+逐级计算!$C$151,EU47+逐级计算!$C$151-(10/(逐级计算!$Q$151*LN(10))*(MAX((LN(10^(逐级计算!$Q$151/10)-1)+逐级计算!$Q$151*(EU47-逐级计算!$P$151)*LN(10)/10),0)+LN(1+EXP(-ABS((LN(10^(逐级计算!$Q$151/10)-1)+逐级计算!$Q$151*(EU47-逐级计算!$P$151)*LN(10)/10))))))),"")</f>
        <v>13.7930365742185</v>
      </c>
      <c r="EW47">
        <f>IF(AND(ISNUMBER(EV47),逐级计算!$X$152&gt;-1),IF(逐级计算!$X$152=0,EV47+逐级计算!$C$152,EV47+逐级计算!$C$152-(10/(逐级计算!$Q$152*LN(10))*(MAX((LN(10^(逐级计算!$Q$152/10)-1)+逐级计算!$Q$152*(EV47-逐级计算!$P$152)*LN(10)/10),0)+LN(1+EXP(-ABS((LN(10^(逐级计算!$Q$152/10)-1)+逐级计算!$Q$152*(EV47-逐级计算!$P$152)*LN(10)/10))))))),"")</f>
        <v>13.7930365742185</v>
      </c>
      <c r="EX47">
        <f>IF(AND(ISNUMBER(EW47),逐级计算!$X$153&gt;-1),IF(逐级计算!$X$153=0,EW47+逐级计算!$C$153,EW47+逐级计算!$C$153-(10/(逐级计算!$Q$153*LN(10))*(MAX((LN(10^(逐级计算!$Q$153/10)-1)+逐级计算!$Q$153*(EW47-逐级计算!$P$153)*LN(10)/10),0)+LN(1+EXP(-ABS((LN(10^(逐级计算!$Q$153/10)-1)+逐级计算!$Q$153*(EW47-逐级计算!$P$153)*LN(10)/10))))))),"")</f>
        <v>13.7930365742185</v>
      </c>
      <c r="EY47">
        <f>IF(AND(ISNUMBER(EX47),逐级计算!$X$154&gt;-1),IF(逐级计算!$X$154=0,EX47+逐级计算!$C$154,EX47+逐级计算!$C$154-(10/(逐级计算!$Q$154*LN(10))*(MAX((LN(10^(逐级计算!$Q$154/10)-1)+逐级计算!$Q$154*(EX47-逐级计算!$P$154)*LN(10)/10),0)+LN(1+EXP(-ABS((LN(10^(逐级计算!$Q$154/10)-1)+逐级计算!$Q$154*(EX47-逐级计算!$P$154)*LN(10)/10))))))),"")</f>
        <v>13.7930365742185</v>
      </c>
      <c r="EZ47">
        <f>IF(AND(ISNUMBER(EY47),逐级计算!$X$155&gt;-1),IF(逐级计算!$X$155=0,EY47+逐级计算!$C$155,EY47+逐级计算!$C$155-(10/(逐级计算!$Q$155*LN(10))*(MAX((LN(10^(逐级计算!$Q$155/10)-1)+逐级计算!$Q$155*(EY47-逐级计算!$P$155)*LN(10)/10),0)+LN(1+EXP(-ABS((LN(10^(逐级计算!$Q$155/10)-1)+逐级计算!$Q$155*(EY47-逐级计算!$P$155)*LN(10)/10))))))),"")</f>
        <v>13.7930365742185</v>
      </c>
      <c r="FA47">
        <f>IF(AND(ISNUMBER(EZ47),逐级计算!$X$156&gt;-1),IF(逐级计算!$X$156=0,EZ47+逐级计算!$C$156,EZ47+逐级计算!$C$156-(10/(逐级计算!$Q$156*LN(10))*(MAX((LN(10^(逐级计算!$Q$156/10)-1)+逐级计算!$Q$156*(EZ47-逐级计算!$P$156)*LN(10)/10),0)+LN(1+EXP(-ABS((LN(10^(逐级计算!$Q$156/10)-1)+逐级计算!$Q$156*(EZ47-逐级计算!$P$156)*LN(10)/10))))))),"")</f>
        <v>13.7930365742185</v>
      </c>
      <c r="FB47">
        <f>IF(AND(ISNUMBER(FA47),逐级计算!$X$157&gt;-1),IF(逐级计算!$X$157=0,FA47+逐级计算!$C$157,FA47+逐级计算!$C$157-(10/(逐级计算!$Q$157*LN(10))*(MAX((LN(10^(逐级计算!$Q$157/10)-1)+逐级计算!$Q$157*(FA47-逐级计算!$P$157)*LN(10)/10),0)+LN(1+EXP(-ABS((LN(10^(逐级计算!$Q$157/10)-1)+逐级计算!$Q$157*(FA47-逐级计算!$P$157)*LN(10)/10))))))),"")</f>
        <v>13.7930365742185</v>
      </c>
      <c r="FC47">
        <f>IF(AND(ISNUMBER(FB47),逐级计算!$X$158&gt;-1),IF(逐级计算!$X$158=0,FB47+逐级计算!$C$158,FB47+逐级计算!$C$158-(10/(逐级计算!$Q$158*LN(10))*(MAX((LN(10^(逐级计算!$Q$158/10)-1)+逐级计算!$Q$158*(FB47-逐级计算!$P$158)*LN(10)/10),0)+LN(1+EXP(-ABS((LN(10^(逐级计算!$Q$158/10)-1)+逐级计算!$Q$158*(FB47-逐级计算!$P$158)*LN(10)/10))))))),"")</f>
        <v>13.7930365742185</v>
      </c>
      <c r="FD47">
        <f>IF(AND(ISNUMBER(FC47),逐级计算!$X$159&gt;-1),IF(逐级计算!$X$159=0,FC47+逐级计算!$C$159,FC47+逐级计算!$C$159-(10/(逐级计算!$Q$159*LN(10))*(MAX((LN(10^(逐级计算!$Q$159/10)-1)+逐级计算!$Q$159*(FC47-逐级计算!$P$159)*LN(10)/10),0)+LN(1+EXP(-ABS((LN(10^(逐级计算!$Q$159/10)-1)+逐级计算!$Q$159*(FC47-逐级计算!$P$159)*LN(10)/10))))))),"")</f>
        <v>13.7930365742185</v>
      </c>
      <c r="FE47">
        <f>IF(AND(ISNUMBER(FD47),逐级计算!$X$160&gt;-1),IF(逐级计算!$X$160=0,FD47+逐级计算!$C$160,FD47+逐级计算!$C$160-(10/(逐级计算!$Q$160*LN(10))*(MAX((LN(10^(逐级计算!$Q$160/10)-1)+逐级计算!$Q$160*(FD47-逐级计算!$P$160)*LN(10)/10),0)+LN(1+EXP(-ABS((LN(10^(逐级计算!$Q$160/10)-1)+逐级计算!$Q$160*(FD47-逐级计算!$P$160)*LN(10)/10))))))),"")</f>
        <v>13.7930365742185</v>
      </c>
      <c r="FF47">
        <f>IF(AND(ISNUMBER(FE47),逐级计算!$X$161&gt;-1),IF(逐级计算!$X$161=0,FE47+逐级计算!$C$161,FE47+逐级计算!$C$161-(10/(逐级计算!$Q$161*LN(10))*(MAX((LN(10^(逐级计算!$Q$161/10)-1)+逐级计算!$Q$161*(FE47-逐级计算!$P$161)*LN(10)/10),0)+LN(1+EXP(-ABS((LN(10^(逐级计算!$Q$161/10)-1)+逐级计算!$Q$161*(FE47-逐级计算!$P$161)*LN(10)/10))))))),"")</f>
        <v>13.7930365742185</v>
      </c>
      <c r="FG47">
        <f>IF(AND(ISNUMBER(FF47),逐级计算!$X$162&gt;-1),IF(逐级计算!$X$162=0,FF47+逐级计算!$C$162,FF47+逐级计算!$C$162-(10/(逐级计算!$Q$162*LN(10))*(MAX((LN(10^(逐级计算!$Q$162/10)-1)+逐级计算!$Q$162*(FF47-逐级计算!$P$162)*LN(10)/10),0)+LN(1+EXP(-ABS((LN(10^(逐级计算!$Q$162/10)-1)+逐级计算!$Q$162*(FF47-逐级计算!$P$162)*LN(10)/10))))))),"")</f>
        <v>13.7930365742185</v>
      </c>
      <c r="FH47">
        <f>IF(AND(ISNUMBER(FG47),逐级计算!$X$163&gt;-1),IF(逐级计算!$X$163=0,FG47+逐级计算!$C$163,FG47+逐级计算!$C$163-(10/(逐级计算!$Q$163*LN(10))*(MAX((LN(10^(逐级计算!$Q$163/10)-1)+逐级计算!$Q$163*(FG47-逐级计算!$P$163)*LN(10)/10),0)+LN(1+EXP(-ABS((LN(10^(逐级计算!$Q$163/10)-1)+逐级计算!$Q$163*(FG47-逐级计算!$P$163)*LN(10)/10))))))),"")</f>
        <v>13.7930365742185</v>
      </c>
      <c r="FI47">
        <f>IF(AND(ISNUMBER(FH47),逐级计算!$X$164&gt;-1),IF(逐级计算!$X$164=0,FH47+逐级计算!$C$164,FH47+逐级计算!$C$164-(10/(逐级计算!$Q$164*LN(10))*(MAX((LN(10^(逐级计算!$Q$164/10)-1)+逐级计算!$Q$164*(FH47-逐级计算!$P$164)*LN(10)/10),0)+LN(1+EXP(-ABS((LN(10^(逐级计算!$Q$164/10)-1)+逐级计算!$Q$164*(FH47-逐级计算!$P$164)*LN(10)/10))))))),"")</f>
        <v>13.7930365742185</v>
      </c>
      <c r="FJ47">
        <f>IF(AND(ISNUMBER(FI47),逐级计算!$X$165&gt;-1),IF(逐级计算!$X$165=0,FI47+逐级计算!$C$165,FI47+逐级计算!$C$165-(10/(逐级计算!$Q$165*LN(10))*(MAX((LN(10^(逐级计算!$Q$165/10)-1)+逐级计算!$Q$165*(FI47-逐级计算!$P$165)*LN(10)/10),0)+LN(1+EXP(-ABS((LN(10^(逐级计算!$Q$165/10)-1)+逐级计算!$Q$165*(FI47-逐级计算!$P$165)*LN(10)/10))))))),"")</f>
        <v>13.7930365742185</v>
      </c>
      <c r="FK47">
        <f>IF(AND(ISNUMBER(FJ47),逐级计算!$X$166&gt;-1),IF(逐级计算!$X$166=0,FJ47+逐级计算!$C$166,FJ47+逐级计算!$C$166-(10/(逐级计算!$Q$166*LN(10))*(MAX((LN(10^(逐级计算!$Q$166/10)-1)+逐级计算!$Q$166*(FJ47-逐级计算!$P$166)*LN(10)/10),0)+LN(1+EXP(-ABS((LN(10^(逐级计算!$Q$166/10)-1)+逐级计算!$Q$166*(FJ47-逐级计算!$P$166)*LN(10)/10))))))),"")</f>
        <v>13.7930365742185</v>
      </c>
      <c r="FL47">
        <f>IF(AND(ISNUMBER(FK47),逐级计算!$X$167&gt;-1),IF(逐级计算!$X$167=0,FK47+逐级计算!$C$167,FK47+逐级计算!$C$167-(10/(逐级计算!$Q$167*LN(10))*(MAX((LN(10^(逐级计算!$Q$167/10)-1)+逐级计算!$Q$167*(FK47-逐级计算!$P$167)*LN(10)/10),0)+LN(1+EXP(-ABS((LN(10^(逐级计算!$Q$167/10)-1)+逐级计算!$Q$167*(FK47-逐级计算!$P$167)*LN(10)/10))))))),"")</f>
        <v>13.7930365742185</v>
      </c>
      <c r="FM47">
        <f>IF(AND(ISNUMBER(FL47),逐级计算!$X$168&gt;-1),IF(逐级计算!$X$168=0,FL47+逐级计算!$C$168,FL47+逐级计算!$C$168-(10/(逐级计算!$Q$168*LN(10))*(MAX((LN(10^(逐级计算!$Q$168/10)-1)+逐级计算!$Q$168*(FL47-逐级计算!$P$168)*LN(10)/10),0)+LN(1+EXP(-ABS((LN(10^(逐级计算!$Q$168/10)-1)+逐级计算!$Q$168*(FL47-逐级计算!$P$168)*LN(10)/10))))))),"")</f>
        <v>13.7930365742185</v>
      </c>
      <c r="FN47">
        <f>IF(AND(ISNUMBER(FM47),逐级计算!$X$169&gt;-1),IF(逐级计算!$X$169=0,FM47+逐级计算!$C$169,FM47+逐级计算!$C$169-(10/(逐级计算!$Q$169*LN(10))*(MAX((LN(10^(逐级计算!$Q$169/10)-1)+逐级计算!$Q$169*(FM47-逐级计算!$P$169)*LN(10)/10),0)+LN(1+EXP(-ABS((LN(10^(逐级计算!$Q$169/10)-1)+逐级计算!$Q$169*(FM47-逐级计算!$P$169)*LN(10)/10))))))),"")</f>
        <v>13.7930365742185</v>
      </c>
      <c r="FO47">
        <f>IF(AND(ISNUMBER(FN47),逐级计算!$X$170&gt;-1),IF(逐级计算!$X$170=0,FN47+逐级计算!$C$170,FN47+逐级计算!$C$170-(10/(逐级计算!$Q$170*LN(10))*(MAX((LN(10^(逐级计算!$Q$170/10)-1)+逐级计算!$Q$170*(FN47-逐级计算!$P$170)*LN(10)/10),0)+LN(1+EXP(-ABS((LN(10^(逐级计算!$Q$170/10)-1)+逐级计算!$Q$170*(FN47-逐级计算!$P$170)*LN(10)/10))))))),"")</f>
        <v>13.7930365742185</v>
      </c>
      <c r="FP47">
        <f>IF(AND(ISNUMBER(FO47),逐级计算!$X$171&gt;-1),IF(逐级计算!$X$171=0,FO47+逐级计算!$C$171,FO47+逐级计算!$C$171-(10/(逐级计算!$Q$171*LN(10))*(MAX((LN(10^(逐级计算!$Q$171/10)-1)+逐级计算!$Q$171*(FO47-逐级计算!$P$171)*LN(10)/10),0)+LN(1+EXP(-ABS((LN(10^(逐级计算!$Q$171/10)-1)+逐级计算!$Q$171*(FO47-逐级计算!$P$171)*LN(10)/10))))))),"")</f>
        <v>13.7930365742185</v>
      </c>
      <c r="FQ47">
        <f>IF(AND(ISNUMBER(FP47),逐级计算!$X$172&gt;-1),IF(逐级计算!$X$172=0,FP47+逐级计算!$C$172,FP47+逐级计算!$C$172-(10/(逐级计算!$Q$172*LN(10))*(MAX((LN(10^(逐级计算!$Q$172/10)-1)+逐级计算!$Q$172*(FP47-逐级计算!$P$172)*LN(10)/10),0)+LN(1+EXP(-ABS((LN(10^(逐级计算!$Q$172/10)-1)+逐级计算!$Q$172*(FP47-逐级计算!$P$172)*LN(10)/10))))))),"")</f>
        <v>13.7930365742185</v>
      </c>
      <c r="FR47">
        <f>IF(AND(ISNUMBER(FQ47),逐级计算!$X$173&gt;-1),IF(逐级计算!$X$173=0,FQ47+逐级计算!$C$173,FQ47+逐级计算!$C$173-(10/(逐级计算!$Q$173*LN(10))*(MAX((LN(10^(逐级计算!$Q$173/10)-1)+逐级计算!$Q$173*(FQ47-逐级计算!$P$173)*LN(10)/10),0)+LN(1+EXP(-ABS((LN(10^(逐级计算!$Q$173/10)-1)+逐级计算!$Q$173*(FQ47-逐级计算!$P$173)*LN(10)/10))))))),"")</f>
        <v>13.7930365742185</v>
      </c>
      <c r="FS47">
        <f>IF(AND(ISNUMBER(FR47),逐级计算!$X$174&gt;-1),IF(逐级计算!$X$174=0,FR47+逐级计算!$C$174,FR47+逐级计算!$C$174-(10/(逐级计算!$Q$174*LN(10))*(MAX((LN(10^(逐级计算!$Q$174/10)-1)+逐级计算!$Q$174*(FR47-逐级计算!$P$174)*LN(10)/10),0)+LN(1+EXP(-ABS((LN(10^(逐级计算!$Q$174/10)-1)+逐级计算!$Q$174*(FR47-逐级计算!$P$174)*LN(10)/10))))))),"")</f>
        <v>13.7930365742185</v>
      </c>
      <c r="FT47">
        <f>IF(AND(ISNUMBER(FS47),逐级计算!$X$175&gt;-1),IF(逐级计算!$X$175=0,FS47+逐级计算!$C$175,FS47+逐级计算!$C$175-(10/(逐级计算!$Q$175*LN(10))*(MAX((LN(10^(逐级计算!$Q$175/10)-1)+逐级计算!$Q$175*(FS47-逐级计算!$P$175)*LN(10)/10),0)+LN(1+EXP(-ABS((LN(10^(逐级计算!$Q$175/10)-1)+逐级计算!$Q$175*(FS47-逐级计算!$P$175)*LN(10)/10))))))),"")</f>
        <v>13.7930365742185</v>
      </c>
      <c r="FU47">
        <f>IF(AND(ISNUMBER(FT47),逐级计算!$X$176&gt;-1),IF(逐级计算!$X$176=0,FT47+逐级计算!$C$176,FT47+逐级计算!$C$176-(10/(逐级计算!$Q$176*LN(10))*(MAX((LN(10^(逐级计算!$Q$176/10)-1)+逐级计算!$Q$176*(FT47-逐级计算!$P$176)*LN(10)/10),0)+LN(1+EXP(-ABS((LN(10^(逐级计算!$Q$176/10)-1)+逐级计算!$Q$176*(FT47-逐级计算!$P$176)*LN(10)/10))))))),"")</f>
        <v>13.7930365742185</v>
      </c>
      <c r="FV47">
        <f>IF(AND(ISNUMBER(FU47),逐级计算!$X$177&gt;-1),IF(逐级计算!$X$177=0,FU47+逐级计算!$C$177,FU47+逐级计算!$C$177-(10/(逐级计算!$Q$177*LN(10))*(MAX((LN(10^(逐级计算!$Q$177/10)-1)+逐级计算!$Q$177*(FU47-逐级计算!$P$177)*LN(10)/10),0)+LN(1+EXP(-ABS((LN(10^(逐级计算!$Q$177/10)-1)+逐级计算!$Q$177*(FU47-逐级计算!$P$177)*LN(10)/10))))))),"")</f>
        <v>13.7930365742185</v>
      </c>
      <c r="FW47">
        <f>IF(AND(ISNUMBER(FV47),逐级计算!$X$178&gt;-1),IF(逐级计算!$X$178=0,FV47+逐级计算!$C$178,FV47+逐级计算!$C$178-(10/(逐级计算!$Q$178*LN(10))*(MAX((LN(10^(逐级计算!$Q$178/10)-1)+逐级计算!$Q$178*(FV47-逐级计算!$P$178)*LN(10)/10),0)+LN(1+EXP(-ABS((LN(10^(逐级计算!$Q$178/10)-1)+逐级计算!$Q$178*(FV47-逐级计算!$P$178)*LN(10)/10))))))),"")</f>
        <v>13.7930365742185</v>
      </c>
      <c r="FX47">
        <f>IF(AND(ISNUMBER(FW47),逐级计算!$X$179&gt;-1),IF(逐级计算!$X$179=0,FW47+逐级计算!$C$179,FW47+逐级计算!$C$179-(10/(逐级计算!$Q$179*LN(10))*(MAX((LN(10^(逐级计算!$Q$179/10)-1)+逐级计算!$Q$179*(FW47-逐级计算!$P$179)*LN(10)/10),0)+LN(1+EXP(-ABS((LN(10^(逐级计算!$Q$179/10)-1)+逐级计算!$Q$179*(FW47-逐级计算!$P$179)*LN(10)/10))))))),"")</f>
        <v>13.7930365742185</v>
      </c>
      <c r="FY47">
        <f>IF(AND(ISNUMBER(FX47),逐级计算!$X$180&gt;-1),IF(逐级计算!$X$180=0,FX47+逐级计算!$C$180,FX47+逐级计算!$C$180-(10/(逐级计算!$Q$180*LN(10))*(MAX((LN(10^(逐级计算!$Q$180/10)-1)+逐级计算!$Q$180*(FX47-逐级计算!$P$180)*LN(10)/10),0)+LN(1+EXP(-ABS((LN(10^(逐级计算!$Q$180/10)-1)+逐级计算!$Q$180*(FX47-逐级计算!$P$180)*LN(10)/10))))))),"")</f>
        <v>13.7930365742185</v>
      </c>
      <c r="FZ47">
        <f>IF(AND(ISNUMBER(FY47),逐级计算!$X$181&gt;-1),IF(逐级计算!$X$181=0,FY47+逐级计算!$C$181,FY47+逐级计算!$C$181-(10/(逐级计算!$Q$181*LN(10))*(MAX((LN(10^(逐级计算!$Q$181/10)-1)+逐级计算!$Q$181*(FY47-逐级计算!$P$181)*LN(10)/10),0)+LN(1+EXP(-ABS((LN(10^(逐级计算!$Q$181/10)-1)+逐级计算!$Q$181*(FY47-逐级计算!$P$181)*LN(10)/10))))))),"")</f>
        <v>13.7930365742185</v>
      </c>
      <c r="GA47">
        <f>IF(AND(ISNUMBER(FZ47),逐级计算!$X$182&gt;-1),IF(逐级计算!$X$182=0,FZ47+逐级计算!$C$182,FZ47+逐级计算!$C$182-(10/(逐级计算!$Q$182*LN(10))*(MAX((LN(10^(逐级计算!$Q$182/10)-1)+逐级计算!$Q$182*(FZ47-逐级计算!$P$182)*LN(10)/10),0)+LN(1+EXP(-ABS((LN(10^(逐级计算!$Q$182/10)-1)+逐级计算!$Q$182*(FZ47-逐级计算!$P$182)*LN(10)/10))))))),"")</f>
        <v>13.7930365742185</v>
      </c>
      <c r="GB47">
        <f>IF(AND(ISNUMBER(GA47),逐级计算!$X$183&gt;-1),IF(逐级计算!$X$183=0,GA47+逐级计算!$C$183,GA47+逐级计算!$C$183-(10/(逐级计算!$Q$183*LN(10))*(MAX((LN(10^(逐级计算!$Q$183/10)-1)+逐级计算!$Q$183*(GA47-逐级计算!$P$183)*LN(10)/10),0)+LN(1+EXP(-ABS((LN(10^(逐级计算!$Q$183/10)-1)+逐级计算!$Q$183*(GA47-逐级计算!$P$183)*LN(10)/10))))))),"")</f>
        <v>13.7930365742185</v>
      </c>
      <c r="GC47">
        <f>IF(AND(ISNUMBER(GB47),逐级计算!$X$184&gt;-1),IF(逐级计算!$X$184=0,GB47+逐级计算!$C$184,GB47+逐级计算!$C$184-(10/(逐级计算!$Q$184*LN(10))*(MAX((LN(10^(逐级计算!$Q$184/10)-1)+逐级计算!$Q$184*(GB47-逐级计算!$P$184)*LN(10)/10),0)+LN(1+EXP(-ABS((LN(10^(逐级计算!$Q$184/10)-1)+逐级计算!$Q$184*(GB47-逐级计算!$P$184)*LN(10)/10))))))),"")</f>
        <v>13.7930365742185</v>
      </c>
      <c r="GD47">
        <f>IF(AND(ISNUMBER(GC47),逐级计算!$X$185&gt;-1),IF(逐级计算!$X$185=0,GC47+逐级计算!$C$185,GC47+逐级计算!$C$185-(10/(逐级计算!$Q$185*LN(10))*(MAX((LN(10^(逐级计算!$Q$185/10)-1)+逐级计算!$Q$185*(GC47-逐级计算!$P$185)*LN(10)/10),0)+LN(1+EXP(-ABS((LN(10^(逐级计算!$Q$185/10)-1)+逐级计算!$Q$185*(GC47-逐级计算!$P$185)*LN(10)/10))))))),"")</f>
        <v>13.7930365742185</v>
      </c>
      <c r="GE47">
        <f>IF(AND(ISNUMBER(GD47),逐级计算!$X$186&gt;-1),IF(逐级计算!$X$186=0,GD47+逐级计算!$C$186,GD47+逐级计算!$C$186-(10/(逐级计算!$Q$186*LN(10))*(MAX((LN(10^(逐级计算!$Q$186/10)-1)+逐级计算!$Q$186*(GD47-逐级计算!$P$186)*LN(10)/10),0)+LN(1+EXP(-ABS((LN(10^(逐级计算!$Q$186/10)-1)+逐级计算!$Q$186*(GD47-逐级计算!$P$186)*LN(10)/10))))))),"")</f>
        <v>13.7930365742185</v>
      </c>
      <c r="GF47">
        <f>IF(AND(ISNUMBER(GE47),逐级计算!$X$187&gt;-1),IF(逐级计算!$X$187=0,GE47+逐级计算!$C$187,GE47+逐级计算!$C$187-(10/(逐级计算!$Q$187*LN(10))*(MAX((LN(10^(逐级计算!$Q$187/10)-1)+逐级计算!$Q$187*(GE47-逐级计算!$P$187)*LN(10)/10),0)+LN(1+EXP(-ABS((LN(10^(逐级计算!$Q$187/10)-1)+逐级计算!$Q$187*(GE47-逐级计算!$P$187)*LN(10)/10))))))),"")</f>
        <v>13.7930365742185</v>
      </c>
      <c r="GG47">
        <f>IF(AND(ISNUMBER(GF47),逐级计算!$X$188&gt;-1),IF(逐级计算!$X$188=0,GF47+逐级计算!$C$188,GF47+逐级计算!$C$188-(10/(逐级计算!$Q$188*LN(10))*(MAX((LN(10^(逐级计算!$Q$188/10)-1)+逐级计算!$Q$188*(GF47-逐级计算!$P$188)*LN(10)/10),0)+LN(1+EXP(-ABS((LN(10^(逐级计算!$Q$188/10)-1)+逐级计算!$Q$188*(GF47-逐级计算!$P$188)*LN(10)/10))))))),"")</f>
        <v>13.7930365742185</v>
      </c>
      <c r="GH47">
        <f>IF(AND(ISNUMBER(GG47),逐级计算!$X$189&gt;-1),IF(逐级计算!$X$189=0,GG47+逐级计算!$C$189,GG47+逐级计算!$C$189-(10/(逐级计算!$Q$189*LN(10))*(MAX((LN(10^(逐级计算!$Q$189/10)-1)+逐级计算!$Q$189*(GG47-逐级计算!$P$189)*LN(10)/10),0)+LN(1+EXP(-ABS((LN(10^(逐级计算!$Q$189/10)-1)+逐级计算!$Q$189*(GG47-逐级计算!$P$189)*LN(10)/10))))))),"")</f>
        <v>13.7930365742185</v>
      </c>
      <c r="GI47">
        <f>IF(AND(ISNUMBER(GH47),逐级计算!$X$190&gt;-1),IF(逐级计算!$X$190=0,GH47+逐级计算!$C$190,GH47+逐级计算!$C$190-(10/(逐级计算!$Q$190*LN(10))*(MAX((LN(10^(逐级计算!$Q$190/10)-1)+逐级计算!$Q$190*(GH47-逐级计算!$P$190)*LN(10)/10),0)+LN(1+EXP(-ABS((LN(10^(逐级计算!$Q$190/10)-1)+逐级计算!$Q$190*(GH47-逐级计算!$P$190)*LN(10)/10))))))),"")</f>
        <v>13.7930365742185</v>
      </c>
      <c r="GJ47">
        <f>IF(AND(ISNUMBER(GI47),逐级计算!$X$191&gt;-1),IF(逐级计算!$X$191=0,GI47+逐级计算!$C$191,GI47+逐级计算!$C$191-(10/(逐级计算!$Q$191*LN(10))*(MAX((LN(10^(逐级计算!$Q$191/10)-1)+逐级计算!$Q$191*(GI47-逐级计算!$P$191)*LN(10)/10),0)+LN(1+EXP(-ABS((LN(10^(逐级计算!$Q$191/10)-1)+逐级计算!$Q$191*(GI47-逐级计算!$P$191)*LN(10)/10))))))),"")</f>
        <v>13.7930365742185</v>
      </c>
      <c r="GK47">
        <f>IF(AND(ISNUMBER(GJ47),逐级计算!$X$192&gt;-1),IF(逐级计算!$X$192=0,GJ47+逐级计算!$C$192,GJ47+逐级计算!$C$192-(10/(逐级计算!$Q$192*LN(10))*(MAX((LN(10^(逐级计算!$Q$192/10)-1)+逐级计算!$Q$192*(GJ47-逐级计算!$P$192)*LN(10)/10),0)+LN(1+EXP(-ABS((LN(10^(逐级计算!$Q$192/10)-1)+逐级计算!$Q$192*(GJ47-逐级计算!$P$192)*LN(10)/10))))))),"")</f>
        <v>13.7930365742185</v>
      </c>
      <c r="GL47">
        <f>IF(AND(ISNUMBER(GK47),逐级计算!$X$193&gt;-1),IF(逐级计算!$X$193=0,GK47+逐级计算!$C$193,GK47+逐级计算!$C$193-(10/(逐级计算!$Q$193*LN(10))*(MAX((LN(10^(逐级计算!$Q$193/10)-1)+逐级计算!$Q$193*(GK47-逐级计算!$P$193)*LN(10)/10),0)+LN(1+EXP(-ABS((LN(10^(逐级计算!$Q$193/10)-1)+逐级计算!$Q$193*(GK47-逐级计算!$P$193)*LN(10)/10))))))),"")</f>
        <v>13.7930365742185</v>
      </c>
      <c r="GM47">
        <f>IF(AND(ISNUMBER(GL47),逐级计算!$X$194&gt;-1),IF(逐级计算!$X$194=0,GL47+逐级计算!$C$194,GL47+逐级计算!$C$194-(10/(逐级计算!$Q$194*LN(10))*(MAX((LN(10^(逐级计算!$Q$194/10)-1)+逐级计算!$Q$194*(GL47-逐级计算!$P$194)*LN(10)/10),0)+LN(1+EXP(-ABS((LN(10^(逐级计算!$Q$194/10)-1)+逐级计算!$Q$194*(GL47-逐级计算!$P$194)*LN(10)/10))))))),"")</f>
        <v>13.7930365742185</v>
      </c>
      <c r="GN47">
        <f>IF(AND(ISNUMBER(GM47),逐级计算!$X$195&gt;-1),IF(逐级计算!$X$195=0,GM47+逐级计算!$C$195,GM47+逐级计算!$C$195-(10/(逐级计算!$Q$195*LN(10))*(MAX((LN(10^(逐级计算!$Q$195/10)-1)+逐级计算!$Q$195*(GM47-逐级计算!$P$195)*LN(10)/10),0)+LN(1+EXP(-ABS((LN(10^(逐级计算!$Q$195/10)-1)+逐级计算!$Q$195*(GM47-逐级计算!$P$195)*LN(10)/10))))))),"")</f>
        <v>13.7930365742185</v>
      </c>
      <c r="GO47">
        <f>IF(AND(ISNUMBER(GN47),逐级计算!$X$196&gt;-1),IF(逐级计算!$X$196=0,GN47+逐级计算!$C$196,GN47+逐级计算!$C$196-(10/(逐级计算!$Q$196*LN(10))*(MAX((LN(10^(逐级计算!$Q$196/10)-1)+逐级计算!$Q$196*(GN47-逐级计算!$P$196)*LN(10)/10),0)+LN(1+EXP(-ABS((LN(10^(逐级计算!$Q$196/10)-1)+逐级计算!$Q$196*(GN47-逐级计算!$P$196)*LN(10)/10))))))),"")</f>
        <v>13.7930365742185</v>
      </c>
      <c r="GP47">
        <f>IF(AND(ISNUMBER(GO47),逐级计算!$X$197&gt;-1),IF(逐级计算!$X$197=0,GO47+逐级计算!$C$197,GO47+逐级计算!$C$197-(10/(逐级计算!$Q$197*LN(10))*(MAX((LN(10^(逐级计算!$Q$197/10)-1)+逐级计算!$Q$197*(GO47-逐级计算!$P$197)*LN(10)/10),0)+LN(1+EXP(-ABS((LN(10^(逐级计算!$Q$197/10)-1)+逐级计算!$Q$197*(GO47-逐级计算!$P$197)*LN(10)/10))))))),"")</f>
        <v>13.7930365742185</v>
      </c>
      <c r="GQ47">
        <f>IF(AND(ISNUMBER(GP47),逐级计算!$X$198&gt;-1),IF(逐级计算!$X$198=0,GP47+逐级计算!$C$198,GP47+逐级计算!$C$198-(10/(逐级计算!$Q$198*LN(10))*(MAX((LN(10^(逐级计算!$Q$198/10)-1)+逐级计算!$Q$198*(GP47-逐级计算!$P$198)*LN(10)/10),0)+LN(1+EXP(-ABS((LN(10^(逐级计算!$Q$198/10)-1)+逐级计算!$Q$198*(GP47-逐级计算!$P$198)*LN(10)/10))))))),"")</f>
        <v>13.7930365742185</v>
      </c>
      <c r="GR47">
        <f>IF(AND(ISNUMBER(GQ47),逐级计算!$X$199&gt;-1),IF(逐级计算!$X$199=0,GQ47+逐级计算!$C$199,GQ47+逐级计算!$C$199-(10/(逐级计算!$Q$199*LN(10))*(MAX((LN(10^(逐级计算!$Q$199/10)-1)+逐级计算!$Q$199*(GQ47-逐级计算!$P$199)*LN(10)/10),0)+LN(1+EXP(-ABS((LN(10^(逐级计算!$Q$199/10)-1)+逐级计算!$Q$199*(GQ47-逐级计算!$P$199)*LN(10)/10))))))),"")</f>
        <v>13.7930365742185</v>
      </c>
      <c r="GS47">
        <f>IF(AND(ISNUMBER(GR47),逐级计算!$X$200&gt;-1),IF(逐级计算!$X$200=0,GR47+逐级计算!$C$200,GR47+逐级计算!$C$200-(10/(逐级计算!$Q$200*LN(10))*(MAX((LN(10^(逐级计算!$Q$200/10)-1)+逐级计算!$Q$200*(GR47-逐级计算!$P$200)*LN(10)/10),0)+LN(1+EXP(-ABS((LN(10^(逐级计算!$Q$200/10)-1)+逐级计算!$Q$200*(GR47-逐级计算!$P$200)*LN(10)/10))))))),"")</f>
        <v>13.7930365742185</v>
      </c>
      <c r="GT47">
        <f>IF(AND(ISNUMBER(GS47),逐级计算!$X$201&gt;-1),IF(逐级计算!$X$201=0,GS47+逐级计算!$C$201,GS47+逐级计算!$C$201-(10/(逐级计算!$Q$201*LN(10))*(MAX((LN(10^(逐级计算!$Q$201/10)-1)+逐级计算!$Q$201*(GS47-逐级计算!$P$201)*LN(10)/10),0)+LN(1+EXP(-ABS((LN(10^(逐级计算!$Q$201/10)-1)+逐级计算!$Q$201*(GS47-逐级计算!$P$201)*LN(10)/10))))))),"")</f>
        <v>13.7930365742185</v>
      </c>
      <c r="GU47">
        <f>IF(AND(ISNUMBER(GT47),逐级计算!$X$202&gt;-1),IF(逐级计算!$X$202=0,GT47+逐级计算!$C$202,GT47+逐级计算!$C$202-(10/(逐级计算!$Q$202*LN(10))*(MAX((LN(10^(逐级计算!$Q$202/10)-1)+逐级计算!$Q$202*(GT47-逐级计算!$P$202)*LN(10)/10),0)+LN(1+EXP(-ABS((LN(10^(逐级计算!$Q$202/10)-1)+逐级计算!$Q$202*(GT47-逐级计算!$P$202)*LN(10)/10))))))),"")</f>
        <v>13.7930365742185</v>
      </c>
      <c r="GV47">
        <f>IF(AND(ISNUMBER(GU47),逐级计算!$X$203&gt;-1),IF(逐级计算!$X$203=0,GU47+逐级计算!$C$203,GU47+逐级计算!$C$203-(10/(逐级计算!$Q$203*LN(10))*(MAX((LN(10^(逐级计算!$Q$203/10)-1)+逐级计算!$Q$203*(GU47-逐级计算!$P$203)*LN(10)/10),0)+LN(1+EXP(-ABS((LN(10^(逐级计算!$Q$203/10)-1)+逐级计算!$Q$203*(GU47-逐级计算!$P$203)*LN(10)/10))))))),"")</f>
        <v>13.7930365742185</v>
      </c>
      <c r="GW47">
        <f t="shared" si="2"/>
        <v>-5.20696342568044</v>
      </c>
    </row>
    <row r="48" spans="1:205">
      <c r="A48">
        <v>41</v>
      </c>
      <c r="B48">
        <f t="shared" si="1"/>
        <v>-5.20696342587144</v>
      </c>
      <c r="C48">
        <f t="shared" si="0"/>
        <v>-5.20696342582369</v>
      </c>
      <c r="D48">
        <f>IF(AND(ISNUMBER(C48),ISNUMBER(逐级计算!$E$203),ISNUMBER(GV48)),C48+逐级计算!$E$203-GV48,"")</f>
        <v>0.999999999987985</v>
      </c>
      <c r="E48">
        <f>IF(AND(ISNUMBER(C48),逐级计算!$X$4&gt;-1),IF(逐级计算!$X$4=0,C48+逐级计算!$C$4,C48+逐级计算!$C$4-(10/(逐级计算!$Q$4*LN(10))*(MAX((LN(10^(逐级计算!$Q$4/10)-1)+逐级计算!$Q$4*(C48-逐级计算!$P$4)*LN(10)/10),0)+LN(1+EXP(-ABS((LN(10^(逐级计算!$Q$4/10)-1)+逐级计算!$Q$4*(C48-逐级计算!$P$4)*LN(10)/10))))))),"")</f>
        <v>4.68053982925218</v>
      </c>
      <c r="F48">
        <f>IF(AND(ISNUMBER(E48),逐级计算!$X$5&gt;-1),IF(逐级计算!$X$5=0,E48+逐级计算!$C$5,E48+逐级计算!$C$5-(10/(逐级计算!$Q$5*LN(10))*(MAX((LN(10^(逐级计算!$Q$5/10)-1)+逐级计算!$Q$5*(E48-逐级计算!$P$5)*LN(10)/10),0)+LN(1+EXP(-ABS((LN(10^(逐级计算!$Q$5/10)-1)+逐级计算!$Q$5*(E48-逐级计算!$P$5)*LN(10)/10))))))),"")</f>
        <v>13.7930365741883</v>
      </c>
      <c r="G48">
        <f>IF(AND(ISNUMBER(F48),逐级计算!$X$6&gt;-1),IF(逐级计算!$X$6=0,F48+逐级计算!$C$6,F48+逐级计算!$C$6-(10/(逐级计算!$Q$6*LN(10))*(MAX((LN(10^(逐级计算!$Q$6/10)-1)+逐级计算!$Q$6*(F48-逐级计算!$P$6)*LN(10)/10),0)+LN(1+EXP(-ABS((LN(10^(逐级计算!$Q$6/10)-1)+逐级计算!$Q$6*(F48-逐级计算!$P$6)*LN(10)/10))))))),"")</f>
        <v>13.7930365741883</v>
      </c>
      <c r="H48">
        <f>IF(AND(ISNUMBER(G48),逐级计算!$X$7&gt;-1),IF(逐级计算!$X$7=0,G48+逐级计算!$C$7,G48+逐级计算!$C$7-(10/(逐级计算!$Q$7*LN(10))*(MAX((LN(10^(逐级计算!$Q$7/10)-1)+逐级计算!$Q$7*(G48-逐级计算!$P$7)*LN(10)/10),0)+LN(1+EXP(-ABS((LN(10^(逐级计算!$Q$7/10)-1)+逐级计算!$Q$7*(G48-逐级计算!$P$7)*LN(10)/10))))))),"")</f>
        <v>13.7930365741883</v>
      </c>
      <c r="I48">
        <f>IF(AND(ISNUMBER(H48),逐级计算!$X$8&gt;-1),IF(逐级计算!$X$8=0,H48+逐级计算!$C$8,H48+逐级计算!$C$8-(10/(逐级计算!$Q$8*LN(10))*(MAX((LN(10^(逐级计算!$Q$8/10)-1)+逐级计算!$Q$8*(H48-逐级计算!$P$8)*LN(10)/10),0)+LN(1+EXP(-ABS((LN(10^(逐级计算!$Q$8/10)-1)+逐级计算!$Q$8*(H48-逐级计算!$P$8)*LN(10)/10))))))),"")</f>
        <v>13.7930365741883</v>
      </c>
      <c r="J48">
        <f>IF(AND(ISNUMBER(I48),逐级计算!$X$9&gt;-1),IF(逐级计算!$X$9=0,I48+逐级计算!$C$9,I48+逐级计算!$C$9-(10/(逐级计算!$Q$9*LN(10))*(MAX((LN(10^(逐级计算!$Q$9/10)-1)+逐级计算!$Q$9*(I48-逐级计算!$P$9)*LN(10)/10),0)+LN(1+EXP(-ABS((LN(10^(逐级计算!$Q$9/10)-1)+逐级计算!$Q$9*(I48-逐级计算!$P$9)*LN(10)/10))))))),"")</f>
        <v>13.7930365741883</v>
      </c>
      <c r="K48">
        <f>IF(AND(ISNUMBER(J48),逐级计算!$X$10&gt;-1),IF(逐级计算!$X$10=0,J48+逐级计算!$C$10,J48+逐级计算!$C$10-(10/(逐级计算!$Q$10*LN(10))*(MAX((LN(10^(逐级计算!$Q$10/10)-1)+逐级计算!$Q$10*(J48-逐级计算!$P$10)*LN(10)/10),0)+LN(1+EXP(-ABS((LN(10^(逐级计算!$Q$10/10)-1)+逐级计算!$Q$10*(J48-逐级计算!$P$10)*LN(10)/10))))))),"")</f>
        <v>13.7930365741883</v>
      </c>
      <c r="L48">
        <f>IF(AND(ISNUMBER(K48),逐级计算!$X$11&gt;-1),IF(逐级计算!$X$11=0,K48+逐级计算!$C$11,K48+逐级计算!$C$11-(10/(逐级计算!$Q$11*LN(10))*(MAX((LN(10^(逐级计算!$Q$11/10)-1)+逐级计算!$Q$11*(K48-逐级计算!$P$11)*LN(10)/10),0)+LN(1+EXP(-ABS((LN(10^(逐级计算!$Q$11/10)-1)+逐级计算!$Q$11*(K48-逐级计算!$P$11)*LN(10)/10))))))),"")</f>
        <v>13.7930365741883</v>
      </c>
      <c r="M48">
        <f>IF(AND(ISNUMBER(L48),逐级计算!$X$12&gt;-1),IF(逐级计算!$X$12=0,L48+逐级计算!$C$12,L48+逐级计算!$C$12-(10/(逐级计算!$Q$12*LN(10))*(MAX((LN(10^(逐级计算!$Q$12/10)-1)+逐级计算!$Q$12*(L48-逐级计算!$P$12)*LN(10)/10),0)+LN(1+EXP(-ABS((LN(10^(逐级计算!$Q$12/10)-1)+逐级计算!$Q$12*(L48-逐级计算!$P$12)*LN(10)/10))))))),"")</f>
        <v>13.7930365741883</v>
      </c>
      <c r="N48">
        <f>IF(AND(ISNUMBER(M48),逐级计算!$X$13&gt;-1),IF(逐级计算!$X$13=0,M48+逐级计算!$C$13,M48+逐级计算!$C$13-(10/(逐级计算!$Q$13*LN(10))*(MAX((LN(10^(逐级计算!$Q$13/10)-1)+逐级计算!$Q$13*(M48-逐级计算!$P$13)*LN(10)/10),0)+LN(1+EXP(-ABS((LN(10^(逐级计算!$Q$13/10)-1)+逐级计算!$Q$13*(M48-逐级计算!$P$13)*LN(10)/10))))))),"")</f>
        <v>13.7930365741883</v>
      </c>
      <c r="O48">
        <f>IF(AND(ISNUMBER(N48),逐级计算!$X$14&gt;-1),IF(逐级计算!$X$14=0,N48+逐级计算!$C$14,N48+逐级计算!$C$14-(10/(逐级计算!$Q$14*LN(10))*(MAX((LN(10^(逐级计算!$Q$14/10)-1)+逐级计算!$Q$14*(N48-逐级计算!$P$14)*LN(10)/10),0)+LN(1+EXP(-ABS((LN(10^(逐级计算!$Q$14/10)-1)+逐级计算!$Q$14*(N48-逐级计算!$P$14)*LN(10)/10))))))),"")</f>
        <v>13.7930365741883</v>
      </c>
      <c r="P48">
        <f>IF(AND(ISNUMBER(O48),逐级计算!$X$15&gt;-1),IF(逐级计算!$X$15=0,O48+逐级计算!$C$15,O48+逐级计算!$C$15-(10/(逐级计算!$Q$15*LN(10))*(MAX((LN(10^(逐级计算!$Q$15/10)-1)+逐级计算!$Q$15*(O48-逐级计算!$P$15)*LN(10)/10),0)+LN(1+EXP(-ABS((LN(10^(逐级计算!$Q$15/10)-1)+逐级计算!$Q$15*(O48-逐级计算!$P$15)*LN(10)/10))))))),"")</f>
        <v>13.7930365741883</v>
      </c>
      <c r="Q48">
        <f>IF(AND(ISNUMBER(P48),逐级计算!$X$16&gt;-1),IF(逐级计算!$X$16=0,P48+逐级计算!$C$16,P48+逐级计算!$C$16-(10/(逐级计算!$Q$16*LN(10))*(MAX((LN(10^(逐级计算!$Q$16/10)-1)+逐级计算!$Q$16*(P48-逐级计算!$P$16)*LN(10)/10),0)+LN(1+EXP(-ABS((LN(10^(逐级计算!$Q$16/10)-1)+逐级计算!$Q$16*(P48-逐级计算!$P$16)*LN(10)/10))))))),"")</f>
        <v>13.7930365741883</v>
      </c>
      <c r="R48">
        <f>IF(AND(ISNUMBER(Q48),逐级计算!$X$17&gt;-1),IF(逐级计算!$X$17=0,Q48+逐级计算!$C$17,Q48+逐级计算!$C$17-(10/(逐级计算!$Q$17*LN(10))*(MAX((LN(10^(逐级计算!$Q$17/10)-1)+逐级计算!$Q$17*(Q48-逐级计算!$P$17)*LN(10)/10),0)+LN(1+EXP(-ABS((LN(10^(逐级计算!$Q$17/10)-1)+逐级计算!$Q$17*(Q48-逐级计算!$P$17)*LN(10)/10))))))),"")</f>
        <v>13.7930365741883</v>
      </c>
      <c r="S48">
        <f>IF(AND(ISNUMBER(R48),逐级计算!$X$18&gt;-1),IF(逐级计算!$X$18=0,R48+逐级计算!$C$18,R48+逐级计算!$C$18-(10/(逐级计算!$Q$18*LN(10))*(MAX((LN(10^(逐级计算!$Q$18/10)-1)+逐级计算!$Q$18*(R48-逐级计算!$P$18)*LN(10)/10),0)+LN(1+EXP(-ABS((LN(10^(逐级计算!$Q$18/10)-1)+逐级计算!$Q$18*(R48-逐级计算!$P$18)*LN(10)/10))))))),"")</f>
        <v>13.7930365741883</v>
      </c>
      <c r="T48">
        <f>IF(AND(ISNUMBER(S48),逐级计算!$X$19&gt;-1),IF(逐级计算!$X$19=0,S48+逐级计算!$C$19,S48+逐级计算!$C$19-(10/(逐级计算!$Q$19*LN(10))*(MAX((LN(10^(逐级计算!$Q$19/10)-1)+逐级计算!$Q$19*(S48-逐级计算!$P$19)*LN(10)/10),0)+LN(1+EXP(-ABS((LN(10^(逐级计算!$Q$19/10)-1)+逐级计算!$Q$19*(S48-逐级计算!$P$19)*LN(10)/10))))))),"")</f>
        <v>13.7930365741883</v>
      </c>
      <c r="U48">
        <f>IF(AND(ISNUMBER(T48),逐级计算!$X$20&gt;-1),IF(逐级计算!$X$20=0,T48+逐级计算!$C$20,T48+逐级计算!$C$20-(10/(逐级计算!$Q$20*LN(10))*(MAX((LN(10^(逐级计算!$Q$20/10)-1)+逐级计算!$Q$20*(T48-逐级计算!$P$20)*LN(10)/10),0)+LN(1+EXP(-ABS((LN(10^(逐级计算!$Q$20/10)-1)+逐级计算!$Q$20*(T48-逐级计算!$P$20)*LN(10)/10))))))),"")</f>
        <v>13.7930365741883</v>
      </c>
      <c r="V48">
        <f>IF(AND(ISNUMBER(U48),逐级计算!$X$21&gt;-1),IF(逐级计算!$X$21=0,U48+逐级计算!$C$21,U48+逐级计算!$C$21-(10/(逐级计算!$Q$21*LN(10))*(MAX((LN(10^(逐级计算!$Q$21/10)-1)+逐级计算!$Q$21*(U48-逐级计算!$P$21)*LN(10)/10),0)+LN(1+EXP(-ABS((LN(10^(逐级计算!$Q$21/10)-1)+逐级计算!$Q$21*(U48-逐级计算!$P$21)*LN(10)/10))))))),"")</f>
        <v>13.7930365741883</v>
      </c>
      <c r="W48">
        <f>IF(AND(ISNUMBER(V48),逐级计算!$X$22&gt;-1),IF(逐级计算!$X$22=0,V48+逐级计算!$C$22,V48+逐级计算!$C$22-(10/(逐级计算!$Q$22*LN(10))*(MAX((LN(10^(逐级计算!$Q$22/10)-1)+逐级计算!$Q$22*(V48-逐级计算!$P$22)*LN(10)/10),0)+LN(1+EXP(-ABS((LN(10^(逐级计算!$Q$22/10)-1)+逐级计算!$Q$22*(V48-逐级计算!$P$22)*LN(10)/10))))))),"")</f>
        <v>13.7930365741883</v>
      </c>
      <c r="X48">
        <f>IF(AND(ISNUMBER(W48),逐级计算!$X$23&gt;-1),IF(逐级计算!$X$23=0,W48+逐级计算!$C$23,W48+逐级计算!$C$23-(10/(逐级计算!$Q$23*LN(10))*(MAX((LN(10^(逐级计算!$Q$23/10)-1)+逐级计算!$Q$23*(W48-逐级计算!$P$23)*LN(10)/10),0)+LN(1+EXP(-ABS((LN(10^(逐级计算!$Q$23/10)-1)+逐级计算!$Q$23*(W48-逐级计算!$P$23)*LN(10)/10))))))),"")</f>
        <v>13.7930365741883</v>
      </c>
      <c r="Y48">
        <f>IF(AND(ISNUMBER(X48),逐级计算!$X$24&gt;-1),IF(逐级计算!$X$24=0,X48+逐级计算!$C$24,X48+逐级计算!$C$24-(10/(逐级计算!$Q$24*LN(10))*(MAX((LN(10^(逐级计算!$Q$24/10)-1)+逐级计算!$Q$24*(X48-逐级计算!$P$24)*LN(10)/10),0)+LN(1+EXP(-ABS((LN(10^(逐级计算!$Q$24/10)-1)+逐级计算!$Q$24*(X48-逐级计算!$P$24)*LN(10)/10))))))),"")</f>
        <v>13.7930365741883</v>
      </c>
      <c r="Z48">
        <f>IF(AND(ISNUMBER(Y48),逐级计算!$X$25&gt;-1),IF(逐级计算!$X$25=0,Y48+逐级计算!$C$25,Y48+逐级计算!$C$25-(10/(逐级计算!$Q$25*LN(10))*(MAX((LN(10^(逐级计算!$Q$25/10)-1)+逐级计算!$Q$25*(Y48-逐级计算!$P$25)*LN(10)/10),0)+LN(1+EXP(-ABS((LN(10^(逐级计算!$Q$25/10)-1)+逐级计算!$Q$25*(Y48-逐级计算!$P$25)*LN(10)/10))))))),"")</f>
        <v>13.7930365741883</v>
      </c>
      <c r="AA48">
        <f>IF(AND(ISNUMBER(Z48),逐级计算!$X$26&gt;-1),IF(逐级计算!$X$26=0,Z48+逐级计算!$C$26,Z48+逐级计算!$C$26-(10/(逐级计算!$Q$26*LN(10))*(MAX((LN(10^(逐级计算!$Q$26/10)-1)+逐级计算!$Q$26*(Z48-逐级计算!$P$26)*LN(10)/10),0)+LN(1+EXP(-ABS((LN(10^(逐级计算!$Q$26/10)-1)+逐级计算!$Q$26*(Z48-逐级计算!$P$26)*LN(10)/10))))))),"")</f>
        <v>13.7930365741883</v>
      </c>
      <c r="AB48">
        <f>IF(AND(ISNUMBER(AA48),逐级计算!$X$27&gt;-1),IF(逐级计算!$X$27=0,AA48+逐级计算!$C$27,AA48+逐级计算!$C$27-(10/(逐级计算!$Q$27*LN(10))*(MAX((LN(10^(逐级计算!$Q$27/10)-1)+逐级计算!$Q$27*(AA48-逐级计算!$P$27)*LN(10)/10),0)+LN(1+EXP(-ABS((LN(10^(逐级计算!$Q$27/10)-1)+逐级计算!$Q$27*(AA48-逐级计算!$P$27)*LN(10)/10))))))),"")</f>
        <v>13.7930365741883</v>
      </c>
      <c r="AC48">
        <f>IF(AND(ISNUMBER(AB48),逐级计算!$X$28&gt;-1),IF(逐级计算!$X$28=0,AB48+逐级计算!$C$28,AB48+逐级计算!$C$28-(10/(逐级计算!$Q$28*LN(10))*(MAX((LN(10^(逐级计算!$Q$28/10)-1)+逐级计算!$Q$28*(AB48-逐级计算!$P$28)*LN(10)/10),0)+LN(1+EXP(-ABS((LN(10^(逐级计算!$Q$28/10)-1)+逐级计算!$Q$28*(AB48-逐级计算!$P$28)*LN(10)/10))))))),"")</f>
        <v>13.7930365741883</v>
      </c>
      <c r="AD48">
        <f>IF(AND(ISNUMBER(AC48),逐级计算!$X$29&gt;-1),IF(逐级计算!$X$29=0,AC48+逐级计算!$C$29,AC48+逐级计算!$C$29-(10/(逐级计算!$Q$29*LN(10))*(MAX((LN(10^(逐级计算!$Q$29/10)-1)+逐级计算!$Q$29*(AC48-逐级计算!$P$29)*LN(10)/10),0)+LN(1+EXP(-ABS((LN(10^(逐级计算!$Q$29/10)-1)+逐级计算!$Q$29*(AC48-逐级计算!$P$29)*LN(10)/10))))))),"")</f>
        <v>13.7930365741883</v>
      </c>
      <c r="AE48">
        <f>IF(AND(ISNUMBER(AD48),逐级计算!$X$30&gt;-1),IF(逐级计算!$X$30=0,AD48+逐级计算!$C$30,AD48+逐级计算!$C$30-(10/(逐级计算!$Q$30*LN(10))*(MAX((LN(10^(逐级计算!$Q$30/10)-1)+逐级计算!$Q$30*(AD48-逐级计算!$P$30)*LN(10)/10),0)+LN(1+EXP(-ABS((LN(10^(逐级计算!$Q$30/10)-1)+逐级计算!$Q$30*(AD48-逐级计算!$P$30)*LN(10)/10))))))),"")</f>
        <v>13.7930365741883</v>
      </c>
      <c r="AF48">
        <f>IF(AND(ISNUMBER(AE48),逐级计算!$X$31&gt;-1),IF(逐级计算!$X$31=0,AE48+逐级计算!$C$31,AE48+逐级计算!$C$31-(10/(逐级计算!$Q$31*LN(10))*(MAX((LN(10^(逐级计算!$Q$31/10)-1)+逐级计算!$Q$31*(AE48-逐级计算!$P$31)*LN(10)/10),0)+LN(1+EXP(-ABS((LN(10^(逐级计算!$Q$31/10)-1)+逐级计算!$Q$31*(AE48-逐级计算!$P$31)*LN(10)/10))))))),"")</f>
        <v>13.7930365741883</v>
      </c>
      <c r="AG48">
        <f>IF(AND(ISNUMBER(AF48),逐级计算!$X$32&gt;-1),IF(逐级计算!$X$32=0,AF48+逐级计算!$C$32,AF48+逐级计算!$C$32-(10/(逐级计算!$Q$32*LN(10))*(MAX((LN(10^(逐级计算!$Q$32/10)-1)+逐级计算!$Q$32*(AF48-逐级计算!$P$32)*LN(10)/10),0)+LN(1+EXP(-ABS((LN(10^(逐级计算!$Q$32/10)-1)+逐级计算!$Q$32*(AF48-逐级计算!$P$32)*LN(10)/10))))))),"")</f>
        <v>13.7930365741883</v>
      </c>
      <c r="AH48">
        <f>IF(AND(ISNUMBER(AG48),逐级计算!$X$33&gt;-1),IF(逐级计算!$X$33=0,AG48+逐级计算!$C$33,AG48+逐级计算!$C$33-(10/(逐级计算!$Q$33*LN(10))*(MAX((LN(10^(逐级计算!$Q$33/10)-1)+逐级计算!$Q$33*(AG48-逐级计算!$P$33)*LN(10)/10),0)+LN(1+EXP(-ABS((LN(10^(逐级计算!$Q$33/10)-1)+逐级计算!$Q$33*(AG48-逐级计算!$P$33)*LN(10)/10))))))),"")</f>
        <v>13.7930365741883</v>
      </c>
      <c r="AI48">
        <f>IF(AND(ISNUMBER(AH48),逐级计算!$X$34&gt;-1),IF(逐级计算!$X$34=0,AH48+逐级计算!$C$34,AH48+逐级计算!$C$34-(10/(逐级计算!$Q$34*LN(10))*(MAX((LN(10^(逐级计算!$Q$34/10)-1)+逐级计算!$Q$34*(AH48-逐级计算!$P$34)*LN(10)/10),0)+LN(1+EXP(-ABS((LN(10^(逐级计算!$Q$34/10)-1)+逐级计算!$Q$34*(AH48-逐级计算!$P$34)*LN(10)/10))))))),"")</f>
        <v>13.7930365741883</v>
      </c>
      <c r="AJ48">
        <f>IF(AND(ISNUMBER(AI48),逐级计算!$X$35&gt;-1),IF(逐级计算!$X$35=0,AI48+逐级计算!$C$35,AI48+逐级计算!$C$35-(10/(逐级计算!$Q$35*LN(10))*(MAX((LN(10^(逐级计算!$Q$35/10)-1)+逐级计算!$Q$35*(AI48-逐级计算!$P$35)*LN(10)/10),0)+LN(1+EXP(-ABS((LN(10^(逐级计算!$Q$35/10)-1)+逐级计算!$Q$35*(AI48-逐级计算!$P$35)*LN(10)/10))))))),"")</f>
        <v>13.7930365741883</v>
      </c>
      <c r="AK48">
        <f>IF(AND(ISNUMBER(AJ48),逐级计算!$X$36&gt;-1),IF(逐级计算!$X$36=0,AJ48+逐级计算!$C$36,AJ48+逐级计算!$C$36-(10/(逐级计算!$Q$36*LN(10))*(MAX((LN(10^(逐级计算!$Q$36/10)-1)+逐级计算!$Q$36*(AJ48-逐级计算!$P$36)*LN(10)/10),0)+LN(1+EXP(-ABS((LN(10^(逐级计算!$Q$36/10)-1)+逐级计算!$Q$36*(AJ48-逐级计算!$P$36)*LN(10)/10))))))),"")</f>
        <v>13.7930365741883</v>
      </c>
      <c r="AL48">
        <f>IF(AND(ISNUMBER(AK48),逐级计算!$X$37&gt;-1),IF(逐级计算!$X$37=0,AK48+逐级计算!$C$37,AK48+逐级计算!$C$37-(10/(逐级计算!$Q$37*LN(10))*(MAX((LN(10^(逐级计算!$Q$37/10)-1)+逐级计算!$Q$37*(AK48-逐级计算!$P$37)*LN(10)/10),0)+LN(1+EXP(-ABS((LN(10^(逐级计算!$Q$37/10)-1)+逐级计算!$Q$37*(AK48-逐级计算!$P$37)*LN(10)/10))))))),"")</f>
        <v>13.7930365741883</v>
      </c>
      <c r="AM48">
        <f>IF(AND(ISNUMBER(AL48),逐级计算!$X$38&gt;-1),IF(逐级计算!$X$38=0,AL48+逐级计算!$C$38,AL48+逐级计算!$C$38-(10/(逐级计算!$Q$38*LN(10))*(MAX((LN(10^(逐级计算!$Q$38/10)-1)+逐级计算!$Q$38*(AL48-逐级计算!$P$38)*LN(10)/10),0)+LN(1+EXP(-ABS((LN(10^(逐级计算!$Q$38/10)-1)+逐级计算!$Q$38*(AL48-逐级计算!$P$38)*LN(10)/10))))))),"")</f>
        <v>13.7930365741883</v>
      </c>
      <c r="AN48">
        <f>IF(AND(ISNUMBER(AM48),逐级计算!$X$39&gt;-1),IF(逐级计算!$X$39=0,AM48+逐级计算!$C$39,AM48+逐级计算!$C$39-(10/(逐级计算!$Q$39*LN(10))*(MAX((LN(10^(逐级计算!$Q$39/10)-1)+逐级计算!$Q$39*(AM48-逐级计算!$P$39)*LN(10)/10),0)+LN(1+EXP(-ABS((LN(10^(逐级计算!$Q$39/10)-1)+逐级计算!$Q$39*(AM48-逐级计算!$P$39)*LN(10)/10))))))),"")</f>
        <v>13.7930365741883</v>
      </c>
      <c r="AO48">
        <f>IF(AND(ISNUMBER(AN48),逐级计算!$X$40&gt;-1),IF(逐级计算!$X$40=0,AN48+逐级计算!$C$40,AN48+逐级计算!$C$40-(10/(逐级计算!$Q$40*LN(10))*(MAX((LN(10^(逐级计算!$Q$40/10)-1)+逐级计算!$Q$40*(AN48-逐级计算!$P$40)*LN(10)/10),0)+LN(1+EXP(-ABS((LN(10^(逐级计算!$Q$40/10)-1)+逐级计算!$Q$40*(AN48-逐级计算!$P$40)*LN(10)/10))))))),"")</f>
        <v>13.7930365741883</v>
      </c>
      <c r="AP48">
        <f>IF(AND(ISNUMBER(AO48),逐级计算!$X$41&gt;-1),IF(逐级计算!$X$41=0,AO48+逐级计算!$C$41,AO48+逐级计算!$C$41-(10/(逐级计算!$Q$41*LN(10))*(MAX((LN(10^(逐级计算!$Q$41/10)-1)+逐级计算!$Q$41*(AO48-逐级计算!$P$41)*LN(10)/10),0)+LN(1+EXP(-ABS((LN(10^(逐级计算!$Q$41/10)-1)+逐级计算!$Q$41*(AO48-逐级计算!$P$41)*LN(10)/10))))))),"")</f>
        <v>13.7930365741883</v>
      </c>
      <c r="AQ48">
        <f>IF(AND(ISNUMBER(AP48),逐级计算!$X$42&gt;-1),IF(逐级计算!$X$42=0,AP48+逐级计算!$C$42,AP48+逐级计算!$C$42-(10/(逐级计算!$Q$42*LN(10))*(MAX((LN(10^(逐级计算!$Q$42/10)-1)+逐级计算!$Q$42*(AP48-逐级计算!$P$42)*LN(10)/10),0)+LN(1+EXP(-ABS((LN(10^(逐级计算!$Q$42/10)-1)+逐级计算!$Q$42*(AP48-逐级计算!$P$42)*LN(10)/10))))))),"")</f>
        <v>13.7930365741883</v>
      </c>
      <c r="AR48">
        <f>IF(AND(ISNUMBER(AQ48),逐级计算!$X$43&gt;-1),IF(逐级计算!$X$43=0,AQ48+逐级计算!$C$43,AQ48+逐级计算!$C$43-(10/(逐级计算!$Q$43*LN(10))*(MAX((LN(10^(逐级计算!$Q$43/10)-1)+逐级计算!$Q$43*(AQ48-逐级计算!$P$43)*LN(10)/10),0)+LN(1+EXP(-ABS((LN(10^(逐级计算!$Q$43/10)-1)+逐级计算!$Q$43*(AQ48-逐级计算!$P$43)*LN(10)/10))))))),"")</f>
        <v>13.7930365741883</v>
      </c>
      <c r="AS48">
        <f>IF(AND(ISNUMBER(AR48),逐级计算!$X$44&gt;-1),IF(逐级计算!$X$44=0,AR48+逐级计算!$C$44,AR48+逐级计算!$C$44-(10/(逐级计算!$Q$44*LN(10))*(MAX((LN(10^(逐级计算!$Q$44/10)-1)+逐级计算!$Q$44*(AR48-逐级计算!$P$44)*LN(10)/10),0)+LN(1+EXP(-ABS((LN(10^(逐级计算!$Q$44/10)-1)+逐级计算!$Q$44*(AR48-逐级计算!$P$44)*LN(10)/10))))))),"")</f>
        <v>13.7930365741883</v>
      </c>
      <c r="AT48">
        <f>IF(AND(ISNUMBER(AS48),逐级计算!$X$45&gt;-1),IF(逐级计算!$X$45=0,AS48+逐级计算!$C$45,AS48+逐级计算!$C$45-(10/(逐级计算!$Q$45*LN(10))*(MAX((LN(10^(逐级计算!$Q$45/10)-1)+逐级计算!$Q$45*(AS48-逐级计算!$P$45)*LN(10)/10),0)+LN(1+EXP(-ABS((LN(10^(逐级计算!$Q$45/10)-1)+逐级计算!$Q$45*(AS48-逐级计算!$P$45)*LN(10)/10))))))),"")</f>
        <v>13.7930365741883</v>
      </c>
      <c r="AU48">
        <f>IF(AND(ISNUMBER(AT48),逐级计算!$X$46&gt;-1),IF(逐级计算!$X$46=0,AT48+逐级计算!$C$46,AT48+逐级计算!$C$46-(10/(逐级计算!$Q$46*LN(10))*(MAX((LN(10^(逐级计算!$Q$46/10)-1)+逐级计算!$Q$46*(AT48-逐级计算!$P$46)*LN(10)/10),0)+LN(1+EXP(-ABS((LN(10^(逐级计算!$Q$46/10)-1)+逐级计算!$Q$46*(AT48-逐级计算!$P$46)*LN(10)/10))))))),"")</f>
        <v>13.7930365741883</v>
      </c>
      <c r="AV48">
        <f>IF(AND(ISNUMBER(AU48),逐级计算!$X$47&gt;-1),IF(逐级计算!$X$47=0,AU48+逐级计算!$C$47,AU48+逐级计算!$C$47-(10/(逐级计算!$Q$47*LN(10))*(MAX((LN(10^(逐级计算!$Q$47/10)-1)+逐级计算!$Q$47*(AU48-逐级计算!$P$47)*LN(10)/10),0)+LN(1+EXP(-ABS((LN(10^(逐级计算!$Q$47/10)-1)+逐级计算!$Q$47*(AU48-逐级计算!$P$47)*LN(10)/10))))))),"")</f>
        <v>13.7930365741883</v>
      </c>
      <c r="AW48">
        <f>IF(AND(ISNUMBER(AV48),逐级计算!$X$48&gt;-1),IF(逐级计算!$X$48=0,AV48+逐级计算!$C$48,AV48+逐级计算!$C$48-(10/(逐级计算!$Q$48*LN(10))*(MAX((LN(10^(逐级计算!$Q$48/10)-1)+逐级计算!$Q$48*(AV48-逐级计算!$P$48)*LN(10)/10),0)+LN(1+EXP(-ABS((LN(10^(逐级计算!$Q$48/10)-1)+逐级计算!$Q$48*(AV48-逐级计算!$P$48)*LN(10)/10))))))),"")</f>
        <v>13.7930365741883</v>
      </c>
      <c r="AX48">
        <f>IF(AND(ISNUMBER(AW48),逐级计算!$X$49&gt;-1),IF(逐级计算!$X$49=0,AW48+逐级计算!$C$49,AW48+逐级计算!$C$49-(10/(逐级计算!$Q$49*LN(10))*(MAX((LN(10^(逐级计算!$Q$49/10)-1)+逐级计算!$Q$49*(AW48-逐级计算!$P$49)*LN(10)/10),0)+LN(1+EXP(-ABS((LN(10^(逐级计算!$Q$49/10)-1)+逐级计算!$Q$49*(AW48-逐级计算!$P$49)*LN(10)/10))))))),"")</f>
        <v>13.7930365741883</v>
      </c>
      <c r="AY48">
        <f>IF(AND(ISNUMBER(AX48),逐级计算!$X$50&gt;-1),IF(逐级计算!$X$50=0,AX48+逐级计算!$C$50,AX48+逐级计算!$C$50-(10/(逐级计算!$Q$50*LN(10))*(MAX((LN(10^(逐级计算!$Q$50/10)-1)+逐级计算!$Q$50*(AX48-逐级计算!$P$50)*LN(10)/10),0)+LN(1+EXP(-ABS((LN(10^(逐级计算!$Q$50/10)-1)+逐级计算!$Q$50*(AX48-逐级计算!$P$50)*LN(10)/10))))))),"")</f>
        <v>13.7930365741883</v>
      </c>
      <c r="AZ48">
        <f>IF(AND(ISNUMBER(AY48),逐级计算!$X$51&gt;-1),IF(逐级计算!$X$51=0,AY48+逐级计算!$C$51,AY48+逐级计算!$C$51-(10/(逐级计算!$Q$51*LN(10))*(MAX((LN(10^(逐级计算!$Q$51/10)-1)+逐级计算!$Q$51*(AY48-逐级计算!$P$51)*LN(10)/10),0)+LN(1+EXP(-ABS((LN(10^(逐级计算!$Q$51/10)-1)+逐级计算!$Q$51*(AY48-逐级计算!$P$51)*LN(10)/10))))))),"")</f>
        <v>13.7930365741883</v>
      </c>
      <c r="BA48">
        <f>IF(AND(ISNUMBER(AZ48),逐级计算!$X$52&gt;-1),IF(逐级计算!$X$52=0,AZ48+逐级计算!$C$52,AZ48+逐级计算!$C$52-(10/(逐级计算!$Q$52*LN(10))*(MAX((LN(10^(逐级计算!$Q$52/10)-1)+逐级计算!$Q$52*(AZ48-逐级计算!$P$52)*LN(10)/10),0)+LN(1+EXP(-ABS((LN(10^(逐级计算!$Q$52/10)-1)+逐级计算!$Q$52*(AZ48-逐级计算!$P$52)*LN(10)/10))))))),"")</f>
        <v>13.7930365741883</v>
      </c>
      <c r="BB48">
        <f>IF(AND(ISNUMBER(BA48),逐级计算!$X$53&gt;-1),IF(逐级计算!$X$53=0,BA48+逐级计算!$C$53,BA48+逐级计算!$C$53-(10/(逐级计算!$Q$53*LN(10))*(MAX((LN(10^(逐级计算!$Q$53/10)-1)+逐级计算!$Q$53*(BA48-逐级计算!$P$53)*LN(10)/10),0)+LN(1+EXP(-ABS((LN(10^(逐级计算!$Q$53/10)-1)+逐级计算!$Q$53*(BA48-逐级计算!$P$53)*LN(10)/10))))))),"")</f>
        <v>13.7930365741883</v>
      </c>
      <c r="BC48">
        <f>IF(AND(ISNUMBER(BB48),逐级计算!$X$54&gt;-1),IF(逐级计算!$X$54=0,BB48+逐级计算!$C$54,BB48+逐级计算!$C$54-(10/(逐级计算!$Q$54*LN(10))*(MAX((LN(10^(逐级计算!$Q$54/10)-1)+逐级计算!$Q$54*(BB48-逐级计算!$P$54)*LN(10)/10),0)+LN(1+EXP(-ABS((LN(10^(逐级计算!$Q$54/10)-1)+逐级计算!$Q$54*(BB48-逐级计算!$P$54)*LN(10)/10))))))),"")</f>
        <v>13.7930365741883</v>
      </c>
      <c r="BD48">
        <f>IF(AND(ISNUMBER(BC48),逐级计算!$X$55&gt;-1),IF(逐级计算!$X$55=0,BC48+逐级计算!$C$55,BC48+逐级计算!$C$55-(10/(逐级计算!$Q$55*LN(10))*(MAX((LN(10^(逐级计算!$Q$55/10)-1)+逐级计算!$Q$55*(BC48-逐级计算!$P$55)*LN(10)/10),0)+LN(1+EXP(-ABS((LN(10^(逐级计算!$Q$55/10)-1)+逐级计算!$Q$55*(BC48-逐级计算!$P$55)*LN(10)/10))))))),"")</f>
        <v>13.7930365741883</v>
      </c>
      <c r="BE48">
        <f>IF(AND(ISNUMBER(BD48),逐级计算!$X$56&gt;-1),IF(逐级计算!$X$56=0,BD48+逐级计算!$C$56,BD48+逐级计算!$C$56-(10/(逐级计算!$Q$56*LN(10))*(MAX((LN(10^(逐级计算!$Q$56/10)-1)+逐级计算!$Q$56*(BD48-逐级计算!$P$56)*LN(10)/10),0)+LN(1+EXP(-ABS((LN(10^(逐级计算!$Q$56/10)-1)+逐级计算!$Q$56*(BD48-逐级计算!$P$56)*LN(10)/10))))))),"")</f>
        <v>13.7930365741883</v>
      </c>
      <c r="BF48">
        <f>IF(AND(ISNUMBER(BE48),逐级计算!$X$57&gt;-1),IF(逐级计算!$X$57=0,BE48+逐级计算!$C$57,BE48+逐级计算!$C$57-(10/(逐级计算!$Q$57*LN(10))*(MAX((LN(10^(逐级计算!$Q$57/10)-1)+逐级计算!$Q$57*(BE48-逐级计算!$P$57)*LN(10)/10),0)+LN(1+EXP(-ABS((LN(10^(逐级计算!$Q$57/10)-1)+逐级计算!$Q$57*(BE48-逐级计算!$P$57)*LN(10)/10))))))),"")</f>
        <v>13.7930365741883</v>
      </c>
      <c r="BG48">
        <f>IF(AND(ISNUMBER(BF48),逐级计算!$X$58&gt;-1),IF(逐级计算!$X$58=0,BF48+逐级计算!$C$58,BF48+逐级计算!$C$58-(10/(逐级计算!$Q$58*LN(10))*(MAX((LN(10^(逐级计算!$Q$58/10)-1)+逐级计算!$Q$58*(BF48-逐级计算!$P$58)*LN(10)/10),0)+LN(1+EXP(-ABS((LN(10^(逐级计算!$Q$58/10)-1)+逐级计算!$Q$58*(BF48-逐级计算!$P$58)*LN(10)/10))))))),"")</f>
        <v>13.7930365741883</v>
      </c>
      <c r="BH48">
        <f>IF(AND(ISNUMBER(BG48),逐级计算!$X$59&gt;-1),IF(逐级计算!$X$59=0,BG48+逐级计算!$C$59,BG48+逐级计算!$C$59-(10/(逐级计算!$Q$59*LN(10))*(MAX((LN(10^(逐级计算!$Q$59/10)-1)+逐级计算!$Q$59*(BG48-逐级计算!$P$59)*LN(10)/10),0)+LN(1+EXP(-ABS((LN(10^(逐级计算!$Q$59/10)-1)+逐级计算!$Q$59*(BG48-逐级计算!$P$59)*LN(10)/10))))))),"")</f>
        <v>13.7930365741883</v>
      </c>
      <c r="BI48">
        <f>IF(AND(ISNUMBER(BH48),逐级计算!$X$60&gt;-1),IF(逐级计算!$X$60=0,BH48+逐级计算!$C$60,BH48+逐级计算!$C$60-(10/(逐级计算!$Q$60*LN(10))*(MAX((LN(10^(逐级计算!$Q$60/10)-1)+逐级计算!$Q$60*(BH48-逐级计算!$P$60)*LN(10)/10),0)+LN(1+EXP(-ABS((LN(10^(逐级计算!$Q$60/10)-1)+逐级计算!$Q$60*(BH48-逐级计算!$P$60)*LN(10)/10))))))),"")</f>
        <v>13.7930365741883</v>
      </c>
      <c r="BJ48">
        <f>IF(AND(ISNUMBER(BI48),逐级计算!$X$61&gt;-1),IF(逐级计算!$X$61=0,BI48+逐级计算!$C$61,BI48+逐级计算!$C$61-(10/(逐级计算!$Q$61*LN(10))*(MAX((LN(10^(逐级计算!$Q$61/10)-1)+逐级计算!$Q$61*(BI48-逐级计算!$P$61)*LN(10)/10),0)+LN(1+EXP(-ABS((LN(10^(逐级计算!$Q$61/10)-1)+逐级计算!$Q$61*(BI48-逐级计算!$P$61)*LN(10)/10))))))),"")</f>
        <v>13.7930365741883</v>
      </c>
      <c r="BK48">
        <f>IF(AND(ISNUMBER(BJ48),逐级计算!$X$62&gt;-1),IF(逐级计算!$X$62=0,BJ48+逐级计算!$C$62,BJ48+逐级计算!$C$62-(10/(逐级计算!$Q$62*LN(10))*(MAX((LN(10^(逐级计算!$Q$62/10)-1)+逐级计算!$Q$62*(BJ48-逐级计算!$P$62)*LN(10)/10),0)+LN(1+EXP(-ABS((LN(10^(逐级计算!$Q$62/10)-1)+逐级计算!$Q$62*(BJ48-逐级计算!$P$62)*LN(10)/10))))))),"")</f>
        <v>13.7930365741883</v>
      </c>
      <c r="BL48">
        <f>IF(AND(ISNUMBER(BK48),逐级计算!$X$63&gt;-1),IF(逐级计算!$X$63=0,BK48+逐级计算!$C$63,BK48+逐级计算!$C$63-(10/(逐级计算!$Q$63*LN(10))*(MAX((LN(10^(逐级计算!$Q$63/10)-1)+逐级计算!$Q$63*(BK48-逐级计算!$P$63)*LN(10)/10),0)+LN(1+EXP(-ABS((LN(10^(逐级计算!$Q$63/10)-1)+逐级计算!$Q$63*(BK48-逐级计算!$P$63)*LN(10)/10))))))),"")</f>
        <v>13.7930365741883</v>
      </c>
      <c r="BM48">
        <f>IF(AND(ISNUMBER(BL48),逐级计算!$X$64&gt;-1),IF(逐级计算!$X$64=0,BL48+逐级计算!$C$64,BL48+逐级计算!$C$64-(10/(逐级计算!$Q$64*LN(10))*(MAX((LN(10^(逐级计算!$Q$64/10)-1)+逐级计算!$Q$64*(BL48-逐级计算!$P$64)*LN(10)/10),0)+LN(1+EXP(-ABS((LN(10^(逐级计算!$Q$64/10)-1)+逐级计算!$Q$64*(BL48-逐级计算!$P$64)*LN(10)/10))))))),"")</f>
        <v>13.7930365741883</v>
      </c>
      <c r="BN48">
        <f>IF(AND(ISNUMBER(BM48),逐级计算!$X$65&gt;-1),IF(逐级计算!$X$65=0,BM48+逐级计算!$C$65,BM48+逐级计算!$C$65-(10/(逐级计算!$Q$65*LN(10))*(MAX((LN(10^(逐级计算!$Q$65/10)-1)+逐级计算!$Q$65*(BM48-逐级计算!$P$65)*LN(10)/10),0)+LN(1+EXP(-ABS((LN(10^(逐级计算!$Q$65/10)-1)+逐级计算!$Q$65*(BM48-逐级计算!$P$65)*LN(10)/10))))))),"")</f>
        <v>13.7930365741883</v>
      </c>
      <c r="BO48">
        <f>IF(AND(ISNUMBER(BN48),逐级计算!$X$66&gt;-1),IF(逐级计算!$X$66=0,BN48+逐级计算!$C$66,BN48+逐级计算!$C$66-(10/(逐级计算!$Q$66*LN(10))*(MAX((LN(10^(逐级计算!$Q$66/10)-1)+逐级计算!$Q$66*(BN48-逐级计算!$P$66)*LN(10)/10),0)+LN(1+EXP(-ABS((LN(10^(逐级计算!$Q$66/10)-1)+逐级计算!$Q$66*(BN48-逐级计算!$P$66)*LN(10)/10))))))),"")</f>
        <v>13.7930365741883</v>
      </c>
      <c r="BP48">
        <f>IF(AND(ISNUMBER(BO48),逐级计算!$X$67&gt;-1),IF(逐级计算!$X$67=0,BO48+逐级计算!$C$67,BO48+逐级计算!$C$67-(10/(逐级计算!$Q$67*LN(10))*(MAX((LN(10^(逐级计算!$Q$67/10)-1)+逐级计算!$Q$67*(BO48-逐级计算!$P$67)*LN(10)/10),0)+LN(1+EXP(-ABS((LN(10^(逐级计算!$Q$67/10)-1)+逐级计算!$Q$67*(BO48-逐级计算!$P$67)*LN(10)/10))))))),"")</f>
        <v>13.7930365741883</v>
      </c>
      <c r="BQ48">
        <f>IF(AND(ISNUMBER(BP48),逐级计算!$X$68&gt;-1),IF(逐级计算!$X$68=0,BP48+逐级计算!$C$68,BP48+逐级计算!$C$68-(10/(逐级计算!$Q$68*LN(10))*(MAX((LN(10^(逐级计算!$Q$68/10)-1)+逐级计算!$Q$68*(BP48-逐级计算!$P$68)*LN(10)/10),0)+LN(1+EXP(-ABS((LN(10^(逐级计算!$Q$68/10)-1)+逐级计算!$Q$68*(BP48-逐级计算!$P$68)*LN(10)/10))))))),"")</f>
        <v>13.7930365741883</v>
      </c>
      <c r="BR48">
        <f>IF(AND(ISNUMBER(BQ48),逐级计算!$X$69&gt;-1),IF(逐级计算!$X$69=0,BQ48+逐级计算!$C$69,BQ48+逐级计算!$C$69-(10/(逐级计算!$Q$69*LN(10))*(MAX((LN(10^(逐级计算!$Q$69/10)-1)+逐级计算!$Q$69*(BQ48-逐级计算!$P$69)*LN(10)/10),0)+LN(1+EXP(-ABS((LN(10^(逐级计算!$Q$69/10)-1)+逐级计算!$Q$69*(BQ48-逐级计算!$P$69)*LN(10)/10))))))),"")</f>
        <v>13.7930365741883</v>
      </c>
      <c r="BS48">
        <f>IF(AND(ISNUMBER(BR48),逐级计算!$X$70&gt;-1),IF(逐级计算!$X$70=0,BR48+逐级计算!$C$70,BR48+逐级计算!$C$70-(10/(逐级计算!$Q$70*LN(10))*(MAX((LN(10^(逐级计算!$Q$70/10)-1)+逐级计算!$Q$70*(BR48-逐级计算!$P$70)*LN(10)/10),0)+LN(1+EXP(-ABS((LN(10^(逐级计算!$Q$70/10)-1)+逐级计算!$Q$70*(BR48-逐级计算!$P$70)*LN(10)/10))))))),"")</f>
        <v>13.7930365741883</v>
      </c>
      <c r="BT48">
        <f>IF(AND(ISNUMBER(BS48),逐级计算!$X$71&gt;-1),IF(逐级计算!$X$71=0,BS48+逐级计算!$C$71,BS48+逐级计算!$C$71-(10/(逐级计算!$Q$71*LN(10))*(MAX((LN(10^(逐级计算!$Q$71/10)-1)+逐级计算!$Q$71*(BS48-逐级计算!$P$71)*LN(10)/10),0)+LN(1+EXP(-ABS((LN(10^(逐级计算!$Q$71/10)-1)+逐级计算!$Q$71*(BS48-逐级计算!$P$71)*LN(10)/10))))))),"")</f>
        <v>13.7930365741883</v>
      </c>
      <c r="BU48">
        <f>IF(AND(ISNUMBER(BT48),逐级计算!$X$72&gt;-1),IF(逐级计算!$X$72=0,BT48+逐级计算!$C$72,BT48+逐级计算!$C$72-(10/(逐级计算!$Q$72*LN(10))*(MAX((LN(10^(逐级计算!$Q$72/10)-1)+逐级计算!$Q$72*(BT48-逐级计算!$P$72)*LN(10)/10),0)+LN(1+EXP(-ABS((LN(10^(逐级计算!$Q$72/10)-1)+逐级计算!$Q$72*(BT48-逐级计算!$P$72)*LN(10)/10))))))),"")</f>
        <v>13.7930365741883</v>
      </c>
      <c r="BV48">
        <f>IF(AND(ISNUMBER(BU48),逐级计算!$X$73&gt;-1),IF(逐级计算!$X$73=0,BU48+逐级计算!$C$73,BU48+逐级计算!$C$73-(10/(逐级计算!$Q$73*LN(10))*(MAX((LN(10^(逐级计算!$Q$73/10)-1)+逐级计算!$Q$73*(BU48-逐级计算!$P$73)*LN(10)/10),0)+LN(1+EXP(-ABS((LN(10^(逐级计算!$Q$73/10)-1)+逐级计算!$Q$73*(BU48-逐级计算!$P$73)*LN(10)/10))))))),"")</f>
        <v>13.7930365741883</v>
      </c>
      <c r="BW48">
        <f>IF(AND(ISNUMBER(BV48),逐级计算!$X$74&gt;-1),IF(逐级计算!$X$74=0,BV48+逐级计算!$C$74,BV48+逐级计算!$C$74-(10/(逐级计算!$Q$74*LN(10))*(MAX((LN(10^(逐级计算!$Q$74/10)-1)+逐级计算!$Q$74*(BV48-逐级计算!$P$74)*LN(10)/10),0)+LN(1+EXP(-ABS((LN(10^(逐级计算!$Q$74/10)-1)+逐级计算!$Q$74*(BV48-逐级计算!$P$74)*LN(10)/10))))))),"")</f>
        <v>13.7930365741883</v>
      </c>
      <c r="BX48">
        <f>IF(AND(ISNUMBER(BW48),逐级计算!$X$75&gt;-1),IF(逐级计算!$X$75=0,BW48+逐级计算!$C$75,BW48+逐级计算!$C$75-(10/(逐级计算!$Q$75*LN(10))*(MAX((LN(10^(逐级计算!$Q$75/10)-1)+逐级计算!$Q$75*(BW48-逐级计算!$P$75)*LN(10)/10),0)+LN(1+EXP(-ABS((LN(10^(逐级计算!$Q$75/10)-1)+逐级计算!$Q$75*(BW48-逐级计算!$P$75)*LN(10)/10))))))),"")</f>
        <v>13.7930365741883</v>
      </c>
      <c r="BY48">
        <f>IF(AND(ISNUMBER(BX48),逐级计算!$X$76&gt;-1),IF(逐级计算!$X$76=0,BX48+逐级计算!$C$76,BX48+逐级计算!$C$76-(10/(逐级计算!$Q$76*LN(10))*(MAX((LN(10^(逐级计算!$Q$76/10)-1)+逐级计算!$Q$76*(BX48-逐级计算!$P$76)*LN(10)/10),0)+LN(1+EXP(-ABS((LN(10^(逐级计算!$Q$76/10)-1)+逐级计算!$Q$76*(BX48-逐级计算!$P$76)*LN(10)/10))))))),"")</f>
        <v>13.7930365741883</v>
      </c>
      <c r="BZ48">
        <f>IF(AND(ISNUMBER(BY48),逐级计算!$X$77&gt;-1),IF(逐级计算!$X$77=0,BY48+逐级计算!$C$77,BY48+逐级计算!$C$77-(10/(逐级计算!$Q$77*LN(10))*(MAX((LN(10^(逐级计算!$Q$77/10)-1)+逐级计算!$Q$77*(BY48-逐级计算!$P$77)*LN(10)/10),0)+LN(1+EXP(-ABS((LN(10^(逐级计算!$Q$77/10)-1)+逐级计算!$Q$77*(BY48-逐级计算!$P$77)*LN(10)/10))))))),"")</f>
        <v>13.7930365741883</v>
      </c>
      <c r="CA48">
        <f>IF(AND(ISNUMBER(BZ48),逐级计算!$X$78&gt;-1),IF(逐级计算!$X$78=0,BZ48+逐级计算!$C$78,BZ48+逐级计算!$C$78-(10/(逐级计算!$Q$78*LN(10))*(MAX((LN(10^(逐级计算!$Q$78/10)-1)+逐级计算!$Q$78*(BZ48-逐级计算!$P$78)*LN(10)/10),0)+LN(1+EXP(-ABS((LN(10^(逐级计算!$Q$78/10)-1)+逐级计算!$Q$78*(BZ48-逐级计算!$P$78)*LN(10)/10))))))),"")</f>
        <v>13.7930365741883</v>
      </c>
      <c r="CB48">
        <f>IF(AND(ISNUMBER(CA48),逐级计算!$X$79&gt;-1),IF(逐级计算!$X$79=0,CA48+逐级计算!$C$79,CA48+逐级计算!$C$79-(10/(逐级计算!$Q$79*LN(10))*(MAX((LN(10^(逐级计算!$Q$79/10)-1)+逐级计算!$Q$79*(CA48-逐级计算!$P$79)*LN(10)/10),0)+LN(1+EXP(-ABS((LN(10^(逐级计算!$Q$79/10)-1)+逐级计算!$Q$79*(CA48-逐级计算!$P$79)*LN(10)/10))))))),"")</f>
        <v>13.7930365741883</v>
      </c>
      <c r="CC48">
        <f>IF(AND(ISNUMBER(CB48),逐级计算!$X$80&gt;-1),IF(逐级计算!$X$80=0,CB48+逐级计算!$C$80,CB48+逐级计算!$C$80-(10/(逐级计算!$Q$80*LN(10))*(MAX((LN(10^(逐级计算!$Q$80/10)-1)+逐级计算!$Q$80*(CB48-逐级计算!$P$80)*LN(10)/10),0)+LN(1+EXP(-ABS((LN(10^(逐级计算!$Q$80/10)-1)+逐级计算!$Q$80*(CB48-逐级计算!$P$80)*LN(10)/10))))))),"")</f>
        <v>13.7930365741883</v>
      </c>
      <c r="CD48">
        <f>IF(AND(ISNUMBER(CC48),逐级计算!$X$81&gt;-1),IF(逐级计算!$X$81=0,CC48+逐级计算!$C$81,CC48+逐级计算!$C$81-(10/(逐级计算!$Q$81*LN(10))*(MAX((LN(10^(逐级计算!$Q$81/10)-1)+逐级计算!$Q$81*(CC48-逐级计算!$P$81)*LN(10)/10),0)+LN(1+EXP(-ABS((LN(10^(逐级计算!$Q$81/10)-1)+逐级计算!$Q$81*(CC48-逐级计算!$P$81)*LN(10)/10))))))),"")</f>
        <v>13.7930365741883</v>
      </c>
      <c r="CE48">
        <f>IF(AND(ISNUMBER(CD48),逐级计算!$X$82&gt;-1),IF(逐级计算!$X$82=0,CD48+逐级计算!$C$82,CD48+逐级计算!$C$82-(10/(逐级计算!$Q$82*LN(10))*(MAX((LN(10^(逐级计算!$Q$82/10)-1)+逐级计算!$Q$82*(CD48-逐级计算!$P$82)*LN(10)/10),0)+LN(1+EXP(-ABS((LN(10^(逐级计算!$Q$82/10)-1)+逐级计算!$Q$82*(CD48-逐级计算!$P$82)*LN(10)/10))))))),"")</f>
        <v>13.7930365741883</v>
      </c>
      <c r="CF48">
        <f>IF(AND(ISNUMBER(CE48),逐级计算!$X$83&gt;-1),IF(逐级计算!$X$83=0,CE48+逐级计算!$C$83,CE48+逐级计算!$C$83-(10/(逐级计算!$Q$83*LN(10))*(MAX((LN(10^(逐级计算!$Q$83/10)-1)+逐级计算!$Q$83*(CE48-逐级计算!$P$83)*LN(10)/10),0)+LN(1+EXP(-ABS((LN(10^(逐级计算!$Q$83/10)-1)+逐级计算!$Q$83*(CE48-逐级计算!$P$83)*LN(10)/10))))))),"")</f>
        <v>13.7930365741883</v>
      </c>
      <c r="CG48">
        <f>IF(AND(ISNUMBER(CF48),逐级计算!$X$84&gt;-1),IF(逐级计算!$X$84=0,CF48+逐级计算!$C$84,CF48+逐级计算!$C$84-(10/(逐级计算!$Q$84*LN(10))*(MAX((LN(10^(逐级计算!$Q$84/10)-1)+逐级计算!$Q$84*(CF48-逐级计算!$P$84)*LN(10)/10),0)+LN(1+EXP(-ABS((LN(10^(逐级计算!$Q$84/10)-1)+逐级计算!$Q$84*(CF48-逐级计算!$P$84)*LN(10)/10))))))),"")</f>
        <v>13.7930365741883</v>
      </c>
      <c r="CH48">
        <f>IF(AND(ISNUMBER(CG48),逐级计算!$X$85&gt;-1),IF(逐级计算!$X$85=0,CG48+逐级计算!$C$85,CG48+逐级计算!$C$85-(10/(逐级计算!$Q$85*LN(10))*(MAX((LN(10^(逐级计算!$Q$85/10)-1)+逐级计算!$Q$85*(CG48-逐级计算!$P$85)*LN(10)/10),0)+LN(1+EXP(-ABS((LN(10^(逐级计算!$Q$85/10)-1)+逐级计算!$Q$85*(CG48-逐级计算!$P$85)*LN(10)/10))))))),"")</f>
        <v>13.7930365741883</v>
      </c>
      <c r="CI48">
        <f>IF(AND(ISNUMBER(CH48),逐级计算!$X$86&gt;-1),IF(逐级计算!$X$86=0,CH48+逐级计算!$C$86,CH48+逐级计算!$C$86-(10/(逐级计算!$Q$86*LN(10))*(MAX((LN(10^(逐级计算!$Q$86/10)-1)+逐级计算!$Q$86*(CH48-逐级计算!$P$86)*LN(10)/10),0)+LN(1+EXP(-ABS((LN(10^(逐级计算!$Q$86/10)-1)+逐级计算!$Q$86*(CH48-逐级计算!$P$86)*LN(10)/10))))))),"")</f>
        <v>13.7930365741883</v>
      </c>
      <c r="CJ48">
        <f>IF(AND(ISNUMBER(CI48),逐级计算!$X$87&gt;-1),IF(逐级计算!$X$87=0,CI48+逐级计算!$C$87,CI48+逐级计算!$C$87-(10/(逐级计算!$Q$87*LN(10))*(MAX((LN(10^(逐级计算!$Q$87/10)-1)+逐级计算!$Q$87*(CI48-逐级计算!$P$87)*LN(10)/10),0)+LN(1+EXP(-ABS((LN(10^(逐级计算!$Q$87/10)-1)+逐级计算!$Q$87*(CI48-逐级计算!$P$87)*LN(10)/10))))))),"")</f>
        <v>13.7930365741883</v>
      </c>
      <c r="CK48">
        <f>IF(AND(ISNUMBER(CJ48),逐级计算!$X$88&gt;-1),IF(逐级计算!$X$88=0,CJ48+逐级计算!$C$88,CJ48+逐级计算!$C$88-(10/(逐级计算!$Q$88*LN(10))*(MAX((LN(10^(逐级计算!$Q$88/10)-1)+逐级计算!$Q$88*(CJ48-逐级计算!$P$88)*LN(10)/10),0)+LN(1+EXP(-ABS((LN(10^(逐级计算!$Q$88/10)-1)+逐级计算!$Q$88*(CJ48-逐级计算!$P$88)*LN(10)/10))))))),"")</f>
        <v>13.7930365741883</v>
      </c>
      <c r="CL48">
        <f>IF(AND(ISNUMBER(CK48),逐级计算!$X$89&gt;-1),IF(逐级计算!$X$89=0,CK48+逐级计算!$C$89,CK48+逐级计算!$C$89-(10/(逐级计算!$Q$89*LN(10))*(MAX((LN(10^(逐级计算!$Q$89/10)-1)+逐级计算!$Q$89*(CK48-逐级计算!$P$89)*LN(10)/10),0)+LN(1+EXP(-ABS((LN(10^(逐级计算!$Q$89/10)-1)+逐级计算!$Q$89*(CK48-逐级计算!$P$89)*LN(10)/10))))))),"")</f>
        <v>13.7930365741883</v>
      </c>
      <c r="CM48">
        <f>IF(AND(ISNUMBER(CL48),逐级计算!$X$90&gt;-1),IF(逐级计算!$X$90=0,CL48+逐级计算!$C$90,CL48+逐级计算!$C$90-(10/(逐级计算!$Q$90*LN(10))*(MAX((LN(10^(逐级计算!$Q$90/10)-1)+逐级计算!$Q$90*(CL48-逐级计算!$P$90)*LN(10)/10),0)+LN(1+EXP(-ABS((LN(10^(逐级计算!$Q$90/10)-1)+逐级计算!$Q$90*(CL48-逐级计算!$P$90)*LN(10)/10))))))),"")</f>
        <v>13.7930365741883</v>
      </c>
      <c r="CN48">
        <f>IF(AND(ISNUMBER(CM48),逐级计算!$X$91&gt;-1),IF(逐级计算!$X$91=0,CM48+逐级计算!$C$91,CM48+逐级计算!$C$91-(10/(逐级计算!$Q$91*LN(10))*(MAX((LN(10^(逐级计算!$Q$91/10)-1)+逐级计算!$Q$91*(CM48-逐级计算!$P$91)*LN(10)/10),0)+LN(1+EXP(-ABS((LN(10^(逐级计算!$Q$91/10)-1)+逐级计算!$Q$91*(CM48-逐级计算!$P$91)*LN(10)/10))))))),"")</f>
        <v>13.7930365741883</v>
      </c>
      <c r="CO48">
        <f>IF(AND(ISNUMBER(CN48),逐级计算!$X$92&gt;-1),IF(逐级计算!$X$92=0,CN48+逐级计算!$C$92,CN48+逐级计算!$C$92-(10/(逐级计算!$Q$92*LN(10))*(MAX((LN(10^(逐级计算!$Q$92/10)-1)+逐级计算!$Q$92*(CN48-逐级计算!$P$92)*LN(10)/10),0)+LN(1+EXP(-ABS((LN(10^(逐级计算!$Q$92/10)-1)+逐级计算!$Q$92*(CN48-逐级计算!$P$92)*LN(10)/10))))))),"")</f>
        <v>13.7930365741883</v>
      </c>
      <c r="CP48">
        <f>IF(AND(ISNUMBER(CO48),逐级计算!$X$93&gt;-1),IF(逐级计算!$X$93=0,CO48+逐级计算!$C$93,CO48+逐级计算!$C$93-(10/(逐级计算!$Q$93*LN(10))*(MAX((LN(10^(逐级计算!$Q$93/10)-1)+逐级计算!$Q$93*(CO48-逐级计算!$P$93)*LN(10)/10),0)+LN(1+EXP(-ABS((LN(10^(逐级计算!$Q$93/10)-1)+逐级计算!$Q$93*(CO48-逐级计算!$P$93)*LN(10)/10))))))),"")</f>
        <v>13.7930365741883</v>
      </c>
      <c r="CQ48">
        <f>IF(AND(ISNUMBER(CP48),逐级计算!$X$94&gt;-1),IF(逐级计算!$X$94=0,CP48+逐级计算!$C$94,CP48+逐级计算!$C$94-(10/(逐级计算!$Q$94*LN(10))*(MAX((LN(10^(逐级计算!$Q$94/10)-1)+逐级计算!$Q$94*(CP48-逐级计算!$P$94)*LN(10)/10),0)+LN(1+EXP(-ABS((LN(10^(逐级计算!$Q$94/10)-1)+逐级计算!$Q$94*(CP48-逐级计算!$P$94)*LN(10)/10))))))),"")</f>
        <v>13.7930365741883</v>
      </c>
      <c r="CR48">
        <f>IF(AND(ISNUMBER(CQ48),逐级计算!$X$95&gt;-1),IF(逐级计算!$X$95=0,CQ48+逐级计算!$C$95,CQ48+逐级计算!$C$95-(10/(逐级计算!$Q$95*LN(10))*(MAX((LN(10^(逐级计算!$Q$95/10)-1)+逐级计算!$Q$95*(CQ48-逐级计算!$P$95)*LN(10)/10),0)+LN(1+EXP(-ABS((LN(10^(逐级计算!$Q$95/10)-1)+逐级计算!$Q$95*(CQ48-逐级计算!$P$95)*LN(10)/10))))))),"")</f>
        <v>13.7930365741883</v>
      </c>
      <c r="CS48">
        <f>IF(AND(ISNUMBER(CR48),逐级计算!$X$96&gt;-1),IF(逐级计算!$X$96=0,CR48+逐级计算!$C$96,CR48+逐级计算!$C$96-(10/(逐级计算!$Q$96*LN(10))*(MAX((LN(10^(逐级计算!$Q$96/10)-1)+逐级计算!$Q$96*(CR48-逐级计算!$P$96)*LN(10)/10),0)+LN(1+EXP(-ABS((LN(10^(逐级计算!$Q$96/10)-1)+逐级计算!$Q$96*(CR48-逐级计算!$P$96)*LN(10)/10))))))),"")</f>
        <v>13.7930365741883</v>
      </c>
      <c r="CT48">
        <f>IF(AND(ISNUMBER(CS48),逐级计算!$X$97&gt;-1),IF(逐级计算!$X$97=0,CS48+逐级计算!$C$97,CS48+逐级计算!$C$97-(10/(逐级计算!$Q$97*LN(10))*(MAX((LN(10^(逐级计算!$Q$97/10)-1)+逐级计算!$Q$97*(CS48-逐级计算!$P$97)*LN(10)/10),0)+LN(1+EXP(-ABS((LN(10^(逐级计算!$Q$97/10)-1)+逐级计算!$Q$97*(CS48-逐级计算!$P$97)*LN(10)/10))))))),"")</f>
        <v>13.7930365741883</v>
      </c>
      <c r="CU48">
        <f>IF(AND(ISNUMBER(CT48),逐级计算!$X$98&gt;-1),IF(逐级计算!$X$98=0,CT48+逐级计算!$C$98,CT48+逐级计算!$C$98-(10/(逐级计算!$Q$98*LN(10))*(MAX((LN(10^(逐级计算!$Q$98/10)-1)+逐级计算!$Q$98*(CT48-逐级计算!$P$98)*LN(10)/10),0)+LN(1+EXP(-ABS((LN(10^(逐级计算!$Q$98/10)-1)+逐级计算!$Q$98*(CT48-逐级计算!$P$98)*LN(10)/10))))))),"")</f>
        <v>13.7930365741883</v>
      </c>
      <c r="CV48">
        <f>IF(AND(ISNUMBER(CU48),逐级计算!$X$99&gt;-1),IF(逐级计算!$X$99=0,CU48+逐级计算!$C$99,CU48+逐级计算!$C$99-(10/(逐级计算!$Q$99*LN(10))*(MAX((LN(10^(逐级计算!$Q$99/10)-1)+逐级计算!$Q$99*(CU48-逐级计算!$P$99)*LN(10)/10),0)+LN(1+EXP(-ABS((LN(10^(逐级计算!$Q$99/10)-1)+逐级计算!$Q$99*(CU48-逐级计算!$P$99)*LN(10)/10))))))),"")</f>
        <v>13.7930365741883</v>
      </c>
      <c r="CW48">
        <f>IF(AND(ISNUMBER(CV48),逐级计算!$X$100&gt;-1),IF(逐级计算!$X$100=0,CV48+逐级计算!$C$100,CV48+逐级计算!$C$100-(10/(逐级计算!$Q$100*LN(10))*(MAX((LN(10^(逐级计算!$Q$100/10)-1)+逐级计算!$Q$100*(CV48-逐级计算!$P$100)*LN(10)/10),0)+LN(1+EXP(-ABS((LN(10^(逐级计算!$Q$100/10)-1)+逐级计算!$Q$100*(CV48-逐级计算!$P$100)*LN(10)/10))))))),"")</f>
        <v>13.7930365741883</v>
      </c>
      <c r="CX48">
        <f>IF(AND(ISNUMBER(CW48),逐级计算!$X$101&gt;-1),IF(逐级计算!$X$101=0,CW48+逐级计算!$C$101,CW48+逐级计算!$C$101-(10/(逐级计算!$Q$101*LN(10))*(MAX((LN(10^(逐级计算!$Q$101/10)-1)+逐级计算!$Q$101*(CW48-逐级计算!$P$101)*LN(10)/10),0)+LN(1+EXP(-ABS((LN(10^(逐级计算!$Q$101/10)-1)+逐级计算!$Q$101*(CW48-逐级计算!$P$101)*LN(10)/10))))))),"")</f>
        <v>13.7930365741883</v>
      </c>
      <c r="CY48">
        <f>IF(AND(ISNUMBER(CX48),逐级计算!$X$102&gt;-1),IF(逐级计算!$X$102=0,CX48+逐级计算!$C$102,CX48+逐级计算!$C$102-(10/(逐级计算!$Q$102*LN(10))*(MAX((LN(10^(逐级计算!$Q$102/10)-1)+逐级计算!$Q$102*(CX48-逐级计算!$P$102)*LN(10)/10),0)+LN(1+EXP(-ABS((LN(10^(逐级计算!$Q$102/10)-1)+逐级计算!$Q$102*(CX48-逐级计算!$P$102)*LN(10)/10))))))),"")</f>
        <v>13.7930365741883</v>
      </c>
      <c r="CZ48">
        <f>IF(AND(ISNUMBER(CY48),逐级计算!$X$103&gt;-1),IF(逐级计算!$X$103=0,CY48+逐级计算!$C$103,CY48+逐级计算!$C$103-(10/(逐级计算!$Q$103*LN(10))*(MAX((LN(10^(逐级计算!$Q$103/10)-1)+逐级计算!$Q$103*(CY48-逐级计算!$P$103)*LN(10)/10),0)+LN(1+EXP(-ABS((LN(10^(逐级计算!$Q$103/10)-1)+逐级计算!$Q$103*(CY48-逐级计算!$P$103)*LN(10)/10))))))),"")</f>
        <v>13.7930365741883</v>
      </c>
      <c r="DA48">
        <f>IF(AND(ISNUMBER(CZ48),逐级计算!$X$104&gt;-1),IF(逐级计算!$X$104=0,CZ48+逐级计算!$C$104,CZ48+逐级计算!$C$104-(10/(逐级计算!$Q$104*LN(10))*(MAX((LN(10^(逐级计算!$Q$104/10)-1)+逐级计算!$Q$104*(CZ48-逐级计算!$P$104)*LN(10)/10),0)+LN(1+EXP(-ABS((LN(10^(逐级计算!$Q$104/10)-1)+逐级计算!$Q$104*(CZ48-逐级计算!$P$104)*LN(10)/10))))))),"")</f>
        <v>13.7930365741883</v>
      </c>
      <c r="DB48">
        <f>IF(AND(ISNUMBER(DA48),逐级计算!$X$105&gt;-1),IF(逐级计算!$X$105=0,DA48+逐级计算!$C$105,DA48+逐级计算!$C$105-(10/(逐级计算!$Q$105*LN(10))*(MAX((LN(10^(逐级计算!$Q$105/10)-1)+逐级计算!$Q$105*(DA48-逐级计算!$P$105)*LN(10)/10),0)+LN(1+EXP(-ABS((LN(10^(逐级计算!$Q$105/10)-1)+逐级计算!$Q$105*(DA48-逐级计算!$P$105)*LN(10)/10))))))),"")</f>
        <v>13.7930365741883</v>
      </c>
      <c r="DC48">
        <f>IF(AND(ISNUMBER(DB48),逐级计算!$X$106&gt;-1),IF(逐级计算!$X$106=0,DB48+逐级计算!$C$106,DB48+逐级计算!$C$106-(10/(逐级计算!$Q$106*LN(10))*(MAX((LN(10^(逐级计算!$Q$106/10)-1)+逐级计算!$Q$106*(DB48-逐级计算!$P$106)*LN(10)/10),0)+LN(1+EXP(-ABS((LN(10^(逐级计算!$Q$106/10)-1)+逐级计算!$Q$106*(DB48-逐级计算!$P$106)*LN(10)/10))))))),"")</f>
        <v>13.7930365741883</v>
      </c>
      <c r="DD48">
        <f>IF(AND(ISNUMBER(DC48),逐级计算!$X$107&gt;-1),IF(逐级计算!$X$107=0,DC48+逐级计算!$C$107,DC48+逐级计算!$C$107-(10/(逐级计算!$Q$107*LN(10))*(MAX((LN(10^(逐级计算!$Q$107/10)-1)+逐级计算!$Q$107*(DC48-逐级计算!$P$107)*LN(10)/10),0)+LN(1+EXP(-ABS((LN(10^(逐级计算!$Q$107/10)-1)+逐级计算!$Q$107*(DC48-逐级计算!$P$107)*LN(10)/10))))))),"")</f>
        <v>13.7930365741883</v>
      </c>
      <c r="DE48">
        <f>IF(AND(ISNUMBER(DD48),逐级计算!$X$108&gt;-1),IF(逐级计算!$X$108=0,DD48+逐级计算!$C$108,DD48+逐级计算!$C$108-(10/(逐级计算!$Q$108*LN(10))*(MAX((LN(10^(逐级计算!$Q$108/10)-1)+逐级计算!$Q$108*(DD48-逐级计算!$P$108)*LN(10)/10),0)+LN(1+EXP(-ABS((LN(10^(逐级计算!$Q$108/10)-1)+逐级计算!$Q$108*(DD48-逐级计算!$P$108)*LN(10)/10))))))),"")</f>
        <v>13.7930365741883</v>
      </c>
      <c r="DF48">
        <f>IF(AND(ISNUMBER(DE48),逐级计算!$X$109&gt;-1),IF(逐级计算!$X$109=0,DE48+逐级计算!$C$109,DE48+逐级计算!$C$109-(10/(逐级计算!$Q$109*LN(10))*(MAX((LN(10^(逐级计算!$Q$109/10)-1)+逐级计算!$Q$109*(DE48-逐级计算!$P$109)*LN(10)/10),0)+LN(1+EXP(-ABS((LN(10^(逐级计算!$Q$109/10)-1)+逐级计算!$Q$109*(DE48-逐级计算!$P$109)*LN(10)/10))))))),"")</f>
        <v>13.7930365741883</v>
      </c>
      <c r="DG48">
        <f>IF(AND(ISNUMBER(DF48),逐级计算!$X$110&gt;-1),IF(逐级计算!$X$110=0,DF48+逐级计算!$C$110,DF48+逐级计算!$C$110-(10/(逐级计算!$Q$110*LN(10))*(MAX((LN(10^(逐级计算!$Q$110/10)-1)+逐级计算!$Q$110*(DF48-逐级计算!$P$110)*LN(10)/10),0)+LN(1+EXP(-ABS((LN(10^(逐级计算!$Q$110/10)-1)+逐级计算!$Q$110*(DF48-逐级计算!$P$110)*LN(10)/10))))))),"")</f>
        <v>13.7930365741883</v>
      </c>
      <c r="DH48">
        <f>IF(AND(ISNUMBER(DG48),逐级计算!$X$111&gt;-1),IF(逐级计算!$X$111=0,DG48+逐级计算!$C$111,DG48+逐级计算!$C$111-(10/(逐级计算!$Q$111*LN(10))*(MAX((LN(10^(逐级计算!$Q$111/10)-1)+逐级计算!$Q$111*(DG48-逐级计算!$P$111)*LN(10)/10),0)+LN(1+EXP(-ABS((LN(10^(逐级计算!$Q$111/10)-1)+逐级计算!$Q$111*(DG48-逐级计算!$P$111)*LN(10)/10))))))),"")</f>
        <v>13.7930365741883</v>
      </c>
      <c r="DI48">
        <f>IF(AND(ISNUMBER(DH48),逐级计算!$X$112&gt;-1),IF(逐级计算!$X$112=0,DH48+逐级计算!$C$112,DH48+逐级计算!$C$112-(10/(逐级计算!$Q$112*LN(10))*(MAX((LN(10^(逐级计算!$Q$112/10)-1)+逐级计算!$Q$112*(DH48-逐级计算!$P$112)*LN(10)/10),0)+LN(1+EXP(-ABS((LN(10^(逐级计算!$Q$112/10)-1)+逐级计算!$Q$112*(DH48-逐级计算!$P$112)*LN(10)/10))))))),"")</f>
        <v>13.7930365741883</v>
      </c>
      <c r="DJ48">
        <f>IF(AND(ISNUMBER(DI48),逐级计算!$X$113&gt;-1),IF(逐级计算!$X$113=0,DI48+逐级计算!$C$113,DI48+逐级计算!$C$113-(10/(逐级计算!$Q$113*LN(10))*(MAX((LN(10^(逐级计算!$Q$113/10)-1)+逐级计算!$Q$113*(DI48-逐级计算!$P$113)*LN(10)/10),0)+LN(1+EXP(-ABS((LN(10^(逐级计算!$Q$113/10)-1)+逐级计算!$Q$113*(DI48-逐级计算!$P$113)*LN(10)/10))))))),"")</f>
        <v>13.7930365741883</v>
      </c>
      <c r="DK48">
        <f>IF(AND(ISNUMBER(DJ48),逐级计算!$X$114&gt;-1),IF(逐级计算!$X$114=0,DJ48+逐级计算!$C$114,DJ48+逐级计算!$C$114-(10/(逐级计算!$Q$114*LN(10))*(MAX((LN(10^(逐级计算!$Q$114/10)-1)+逐级计算!$Q$114*(DJ48-逐级计算!$P$114)*LN(10)/10),0)+LN(1+EXP(-ABS((LN(10^(逐级计算!$Q$114/10)-1)+逐级计算!$Q$114*(DJ48-逐级计算!$P$114)*LN(10)/10))))))),"")</f>
        <v>13.7930365741883</v>
      </c>
      <c r="DL48">
        <f>IF(AND(ISNUMBER(DK48),逐级计算!$X$115&gt;-1),IF(逐级计算!$X$115=0,DK48+逐级计算!$C$115,DK48+逐级计算!$C$115-(10/(逐级计算!$Q$115*LN(10))*(MAX((LN(10^(逐级计算!$Q$115/10)-1)+逐级计算!$Q$115*(DK48-逐级计算!$P$115)*LN(10)/10),0)+LN(1+EXP(-ABS((LN(10^(逐级计算!$Q$115/10)-1)+逐级计算!$Q$115*(DK48-逐级计算!$P$115)*LN(10)/10))))))),"")</f>
        <v>13.7930365741883</v>
      </c>
      <c r="DM48">
        <f>IF(AND(ISNUMBER(DL48),逐级计算!$X$116&gt;-1),IF(逐级计算!$X$116=0,DL48+逐级计算!$C$116,DL48+逐级计算!$C$116-(10/(逐级计算!$Q$116*LN(10))*(MAX((LN(10^(逐级计算!$Q$116/10)-1)+逐级计算!$Q$116*(DL48-逐级计算!$P$116)*LN(10)/10),0)+LN(1+EXP(-ABS((LN(10^(逐级计算!$Q$116/10)-1)+逐级计算!$Q$116*(DL48-逐级计算!$P$116)*LN(10)/10))))))),"")</f>
        <v>13.7930365741883</v>
      </c>
      <c r="DN48">
        <f>IF(AND(ISNUMBER(DM48),逐级计算!$X$117&gt;-1),IF(逐级计算!$X$117=0,DM48+逐级计算!$C$117,DM48+逐级计算!$C$117-(10/(逐级计算!$Q$117*LN(10))*(MAX((LN(10^(逐级计算!$Q$117/10)-1)+逐级计算!$Q$117*(DM48-逐级计算!$P$117)*LN(10)/10),0)+LN(1+EXP(-ABS((LN(10^(逐级计算!$Q$117/10)-1)+逐级计算!$Q$117*(DM48-逐级计算!$P$117)*LN(10)/10))))))),"")</f>
        <v>13.7930365741883</v>
      </c>
      <c r="DO48">
        <f>IF(AND(ISNUMBER(DN48),逐级计算!$X$118&gt;-1),IF(逐级计算!$X$118=0,DN48+逐级计算!$C$118,DN48+逐级计算!$C$118-(10/(逐级计算!$Q$118*LN(10))*(MAX((LN(10^(逐级计算!$Q$118/10)-1)+逐级计算!$Q$118*(DN48-逐级计算!$P$118)*LN(10)/10),0)+LN(1+EXP(-ABS((LN(10^(逐级计算!$Q$118/10)-1)+逐级计算!$Q$118*(DN48-逐级计算!$P$118)*LN(10)/10))))))),"")</f>
        <v>13.7930365741883</v>
      </c>
      <c r="DP48">
        <f>IF(AND(ISNUMBER(DO48),逐级计算!$X$119&gt;-1),IF(逐级计算!$X$119=0,DO48+逐级计算!$C$119,DO48+逐级计算!$C$119-(10/(逐级计算!$Q$119*LN(10))*(MAX((LN(10^(逐级计算!$Q$119/10)-1)+逐级计算!$Q$119*(DO48-逐级计算!$P$119)*LN(10)/10),0)+LN(1+EXP(-ABS((LN(10^(逐级计算!$Q$119/10)-1)+逐级计算!$Q$119*(DO48-逐级计算!$P$119)*LN(10)/10))))))),"")</f>
        <v>13.7930365741883</v>
      </c>
      <c r="DQ48">
        <f>IF(AND(ISNUMBER(DP48),逐级计算!$X$120&gt;-1),IF(逐级计算!$X$120=0,DP48+逐级计算!$C$120,DP48+逐级计算!$C$120-(10/(逐级计算!$Q$120*LN(10))*(MAX((LN(10^(逐级计算!$Q$120/10)-1)+逐级计算!$Q$120*(DP48-逐级计算!$P$120)*LN(10)/10),0)+LN(1+EXP(-ABS((LN(10^(逐级计算!$Q$120/10)-1)+逐级计算!$Q$120*(DP48-逐级计算!$P$120)*LN(10)/10))))))),"")</f>
        <v>13.7930365741883</v>
      </c>
      <c r="DR48">
        <f>IF(AND(ISNUMBER(DQ48),逐级计算!$X$121&gt;-1),IF(逐级计算!$X$121=0,DQ48+逐级计算!$C$121,DQ48+逐级计算!$C$121-(10/(逐级计算!$Q$121*LN(10))*(MAX((LN(10^(逐级计算!$Q$121/10)-1)+逐级计算!$Q$121*(DQ48-逐级计算!$P$121)*LN(10)/10),0)+LN(1+EXP(-ABS((LN(10^(逐级计算!$Q$121/10)-1)+逐级计算!$Q$121*(DQ48-逐级计算!$P$121)*LN(10)/10))))))),"")</f>
        <v>13.7930365741883</v>
      </c>
      <c r="DS48">
        <f>IF(AND(ISNUMBER(DR48),逐级计算!$X$122&gt;-1),IF(逐级计算!$X$122=0,DR48+逐级计算!$C$122,DR48+逐级计算!$C$122-(10/(逐级计算!$Q$122*LN(10))*(MAX((LN(10^(逐级计算!$Q$122/10)-1)+逐级计算!$Q$122*(DR48-逐级计算!$P$122)*LN(10)/10),0)+LN(1+EXP(-ABS((LN(10^(逐级计算!$Q$122/10)-1)+逐级计算!$Q$122*(DR48-逐级计算!$P$122)*LN(10)/10))))))),"")</f>
        <v>13.7930365741883</v>
      </c>
      <c r="DT48">
        <f>IF(AND(ISNUMBER(DS48),逐级计算!$X$123&gt;-1),IF(逐级计算!$X$123=0,DS48+逐级计算!$C$123,DS48+逐级计算!$C$123-(10/(逐级计算!$Q$123*LN(10))*(MAX((LN(10^(逐级计算!$Q$123/10)-1)+逐级计算!$Q$123*(DS48-逐级计算!$P$123)*LN(10)/10),0)+LN(1+EXP(-ABS((LN(10^(逐级计算!$Q$123/10)-1)+逐级计算!$Q$123*(DS48-逐级计算!$P$123)*LN(10)/10))))))),"")</f>
        <v>13.7930365741883</v>
      </c>
      <c r="DU48">
        <f>IF(AND(ISNUMBER(DT48),逐级计算!$X$124&gt;-1),IF(逐级计算!$X$124=0,DT48+逐级计算!$C$124,DT48+逐级计算!$C$124-(10/(逐级计算!$Q$124*LN(10))*(MAX((LN(10^(逐级计算!$Q$124/10)-1)+逐级计算!$Q$124*(DT48-逐级计算!$P$124)*LN(10)/10),0)+LN(1+EXP(-ABS((LN(10^(逐级计算!$Q$124/10)-1)+逐级计算!$Q$124*(DT48-逐级计算!$P$124)*LN(10)/10))))))),"")</f>
        <v>13.7930365741883</v>
      </c>
      <c r="DV48">
        <f>IF(AND(ISNUMBER(DU48),逐级计算!$X$125&gt;-1),IF(逐级计算!$X$125=0,DU48+逐级计算!$C$125,DU48+逐级计算!$C$125-(10/(逐级计算!$Q$125*LN(10))*(MAX((LN(10^(逐级计算!$Q$125/10)-1)+逐级计算!$Q$125*(DU48-逐级计算!$P$125)*LN(10)/10),0)+LN(1+EXP(-ABS((LN(10^(逐级计算!$Q$125/10)-1)+逐级计算!$Q$125*(DU48-逐级计算!$P$125)*LN(10)/10))))))),"")</f>
        <v>13.7930365741883</v>
      </c>
      <c r="DW48">
        <f>IF(AND(ISNUMBER(DV48),逐级计算!$X$126&gt;-1),IF(逐级计算!$X$126=0,DV48+逐级计算!$C$126,DV48+逐级计算!$C$126-(10/(逐级计算!$Q$126*LN(10))*(MAX((LN(10^(逐级计算!$Q$126/10)-1)+逐级计算!$Q$126*(DV48-逐级计算!$P$126)*LN(10)/10),0)+LN(1+EXP(-ABS((LN(10^(逐级计算!$Q$126/10)-1)+逐级计算!$Q$126*(DV48-逐级计算!$P$126)*LN(10)/10))))))),"")</f>
        <v>13.7930365741883</v>
      </c>
      <c r="DX48">
        <f>IF(AND(ISNUMBER(DW48),逐级计算!$X$127&gt;-1),IF(逐级计算!$X$127=0,DW48+逐级计算!$C$127,DW48+逐级计算!$C$127-(10/(逐级计算!$Q$127*LN(10))*(MAX((LN(10^(逐级计算!$Q$127/10)-1)+逐级计算!$Q$127*(DW48-逐级计算!$P$127)*LN(10)/10),0)+LN(1+EXP(-ABS((LN(10^(逐级计算!$Q$127/10)-1)+逐级计算!$Q$127*(DW48-逐级计算!$P$127)*LN(10)/10))))))),"")</f>
        <v>13.7930365741883</v>
      </c>
      <c r="DY48">
        <f>IF(AND(ISNUMBER(DX48),逐级计算!$X$128&gt;-1),IF(逐级计算!$X$128=0,DX48+逐级计算!$C$128,DX48+逐级计算!$C$128-(10/(逐级计算!$Q$128*LN(10))*(MAX((LN(10^(逐级计算!$Q$128/10)-1)+逐级计算!$Q$128*(DX48-逐级计算!$P$128)*LN(10)/10),0)+LN(1+EXP(-ABS((LN(10^(逐级计算!$Q$128/10)-1)+逐级计算!$Q$128*(DX48-逐级计算!$P$128)*LN(10)/10))))))),"")</f>
        <v>13.7930365741883</v>
      </c>
      <c r="DZ48">
        <f>IF(AND(ISNUMBER(DY48),逐级计算!$X$129&gt;-1),IF(逐级计算!$X$129=0,DY48+逐级计算!$C$129,DY48+逐级计算!$C$129-(10/(逐级计算!$Q$129*LN(10))*(MAX((LN(10^(逐级计算!$Q$129/10)-1)+逐级计算!$Q$129*(DY48-逐级计算!$P$129)*LN(10)/10),0)+LN(1+EXP(-ABS((LN(10^(逐级计算!$Q$129/10)-1)+逐级计算!$Q$129*(DY48-逐级计算!$P$129)*LN(10)/10))))))),"")</f>
        <v>13.7930365741883</v>
      </c>
      <c r="EA48">
        <f>IF(AND(ISNUMBER(DZ48),逐级计算!$X$130&gt;-1),IF(逐级计算!$X$130=0,DZ48+逐级计算!$C$130,DZ48+逐级计算!$C$130-(10/(逐级计算!$Q$130*LN(10))*(MAX((LN(10^(逐级计算!$Q$130/10)-1)+逐级计算!$Q$130*(DZ48-逐级计算!$P$130)*LN(10)/10),0)+LN(1+EXP(-ABS((LN(10^(逐级计算!$Q$130/10)-1)+逐级计算!$Q$130*(DZ48-逐级计算!$P$130)*LN(10)/10))))))),"")</f>
        <v>13.7930365741883</v>
      </c>
      <c r="EB48">
        <f>IF(AND(ISNUMBER(EA48),逐级计算!$X$131&gt;-1),IF(逐级计算!$X$131=0,EA48+逐级计算!$C$131,EA48+逐级计算!$C$131-(10/(逐级计算!$Q$131*LN(10))*(MAX((LN(10^(逐级计算!$Q$131/10)-1)+逐级计算!$Q$131*(EA48-逐级计算!$P$131)*LN(10)/10),0)+LN(1+EXP(-ABS((LN(10^(逐级计算!$Q$131/10)-1)+逐级计算!$Q$131*(EA48-逐级计算!$P$131)*LN(10)/10))))))),"")</f>
        <v>13.7930365741883</v>
      </c>
      <c r="EC48">
        <f>IF(AND(ISNUMBER(EB48),逐级计算!$X$132&gt;-1),IF(逐级计算!$X$132=0,EB48+逐级计算!$C$132,EB48+逐级计算!$C$132-(10/(逐级计算!$Q$132*LN(10))*(MAX((LN(10^(逐级计算!$Q$132/10)-1)+逐级计算!$Q$132*(EB48-逐级计算!$P$132)*LN(10)/10),0)+LN(1+EXP(-ABS((LN(10^(逐级计算!$Q$132/10)-1)+逐级计算!$Q$132*(EB48-逐级计算!$P$132)*LN(10)/10))))))),"")</f>
        <v>13.7930365741883</v>
      </c>
      <c r="ED48">
        <f>IF(AND(ISNUMBER(EC48),逐级计算!$X$133&gt;-1),IF(逐级计算!$X$133=0,EC48+逐级计算!$C$133,EC48+逐级计算!$C$133-(10/(逐级计算!$Q$133*LN(10))*(MAX((LN(10^(逐级计算!$Q$133/10)-1)+逐级计算!$Q$133*(EC48-逐级计算!$P$133)*LN(10)/10),0)+LN(1+EXP(-ABS((LN(10^(逐级计算!$Q$133/10)-1)+逐级计算!$Q$133*(EC48-逐级计算!$P$133)*LN(10)/10))))))),"")</f>
        <v>13.7930365741883</v>
      </c>
      <c r="EE48">
        <f>IF(AND(ISNUMBER(ED48),逐级计算!$X$134&gt;-1),IF(逐级计算!$X$134=0,ED48+逐级计算!$C$134,ED48+逐级计算!$C$134-(10/(逐级计算!$Q$134*LN(10))*(MAX((LN(10^(逐级计算!$Q$134/10)-1)+逐级计算!$Q$134*(ED48-逐级计算!$P$134)*LN(10)/10),0)+LN(1+EXP(-ABS((LN(10^(逐级计算!$Q$134/10)-1)+逐级计算!$Q$134*(ED48-逐级计算!$P$134)*LN(10)/10))))))),"")</f>
        <v>13.7930365741883</v>
      </c>
      <c r="EF48">
        <f>IF(AND(ISNUMBER(EE48),逐级计算!$X$135&gt;-1),IF(逐级计算!$X$135=0,EE48+逐级计算!$C$135,EE48+逐级计算!$C$135-(10/(逐级计算!$Q$135*LN(10))*(MAX((LN(10^(逐级计算!$Q$135/10)-1)+逐级计算!$Q$135*(EE48-逐级计算!$P$135)*LN(10)/10),0)+LN(1+EXP(-ABS((LN(10^(逐级计算!$Q$135/10)-1)+逐级计算!$Q$135*(EE48-逐级计算!$P$135)*LN(10)/10))))))),"")</f>
        <v>13.7930365741883</v>
      </c>
      <c r="EG48">
        <f>IF(AND(ISNUMBER(EF48),逐级计算!$X$136&gt;-1),IF(逐级计算!$X$136=0,EF48+逐级计算!$C$136,EF48+逐级计算!$C$136-(10/(逐级计算!$Q$136*LN(10))*(MAX((LN(10^(逐级计算!$Q$136/10)-1)+逐级计算!$Q$136*(EF48-逐级计算!$P$136)*LN(10)/10),0)+LN(1+EXP(-ABS((LN(10^(逐级计算!$Q$136/10)-1)+逐级计算!$Q$136*(EF48-逐级计算!$P$136)*LN(10)/10))))))),"")</f>
        <v>13.7930365741883</v>
      </c>
      <c r="EH48">
        <f>IF(AND(ISNUMBER(EG48),逐级计算!$X$137&gt;-1),IF(逐级计算!$X$137=0,EG48+逐级计算!$C$137,EG48+逐级计算!$C$137-(10/(逐级计算!$Q$137*LN(10))*(MAX((LN(10^(逐级计算!$Q$137/10)-1)+逐级计算!$Q$137*(EG48-逐级计算!$P$137)*LN(10)/10),0)+LN(1+EXP(-ABS((LN(10^(逐级计算!$Q$137/10)-1)+逐级计算!$Q$137*(EG48-逐级计算!$P$137)*LN(10)/10))))))),"")</f>
        <v>13.7930365741883</v>
      </c>
      <c r="EI48">
        <f>IF(AND(ISNUMBER(EH48),逐级计算!$X$138&gt;-1),IF(逐级计算!$X$138=0,EH48+逐级计算!$C$138,EH48+逐级计算!$C$138-(10/(逐级计算!$Q$138*LN(10))*(MAX((LN(10^(逐级计算!$Q$138/10)-1)+逐级计算!$Q$138*(EH48-逐级计算!$P$138)*LN(10)/10),0)+LN(1+EXP(-ABS((LN(10^(逐级计算!$Q$138/10)-1)+逐级计算!$Q$138*(EH48-逐级计算!$P$138)*LN(10)/10))))))),"")</f>
        <v>13.7930365741883</v>
      </c>
      <c r="EJ48">
        <f>IF(AND(ISNUMBER(EI48),逐级计算!$X$139&gt;-1),IF(逐级计算!$X$139=0,EI48+逐级计算!$C$139,EI48+逐级计算!$C$139-(10/(逐级计算!$Q$139*LN(10))*(MAX((LN(10^(逐级计算!$Q$139/10)-1)+逐级计算!$Q$139*(EI48-逐级计算!$P$139)*LN(10)/10),0)+LN(1+EXP(-ABS((LN(10^(逐级计算!$Q$139/10)-1)+逐级计算!$Q$139*(EI48-逐级计算!$P$139)*LN(10)/10))))))),"")</f>
        <v>13.7930365741883</v>
      </c>
      <c r="EK48">
        <f>IF(AND(ISNUMBER(EJ48),逐级计算!$X$140&gt;-1),IF(逐级计算!$X$140=0,EJ48+逐级计算!$C$140,EJ48+逐级计算!$C$140-(10/(逐级计算!$Q$140*LN(10))*(MAX((LN(10^(逐级计算!$Q$140/10)-1)+逐级计算!$Q$140*(EJ48-逐级计算!$P$140)*LN(10)/10),0)+LN(1+EXP(-ABS((LN(10^(逐级计算!$Q$140/10)-1)+逐级计算!$Q$140*(EJ48-逐级计算!$P$140)*LN(10)/10))))))),"")</f>
        <v>13.7930365741883</v>
      </c>
      <c r="EL48">
        <f>IF(AND(ISNUMBER(EK48),逐级计算!$X$141&gt;-1),IF(逐级计算!$X$141=0,EK48+逐级计算!$C$141,EK48+逐级计算!$C$141-(10/(逐级计算!$Q$141*LN(10))*(MAX((LN(10^(逐级计算!$Q$141/10)-1)+逐级计算!$Q$141*(EK48-逐级计算!$P$141)*LN(10)/10),0)+LN(1+EXP(-ABS((LN(10^(逐级计算!$Q$141/10)-1)+逐级计算!$Q$141*(EK48-逐级计算!$P$141)*LN(10)/10))))))),"")</f>
        <v>13.7930365741883</v>
      </c>
      <c r="EM48">
        <f>IF(AND(ISNUMBER(EL48),逐级计算!$X$142&gt;-1),IF(逐级计算!$X$142=0,EL48+逐级计算!$C$142,EL48+逐级计算!$C$142-(10/(逐级计算!$Q$142*LN(10))*(MAX((LN(10^(逐级计算!$Q$142/10)-1)+逐级计算!$Q$142*(EL48-逐级计算!$P$142)*LN(10)/10),0)+LN(1+EXP(-ABS((LN(10^(逐级计算!$Q$142/10)-1)+逐级计算!$Q$142*(EL48-逐级计算!$P$142)*LN(10)/10))))))),"")</f>
        <v>13.7930365741883</v>
      </c>
      <c r="EN48">
        <f>IF(AND(ISNUMBER(EM48),逐级计算!$X$143&gt;-1),IF(逐级计算!$X$143=0,EM48+逐级计算!$C$143,EM48+逐级计算!$C$143-(10/(逐级计算!$Q$143*LN(10))*(MAX((LN(10^(逐级计算!$Q$143/10)-1)+逐级计算!$Q$143*(EM48-逐级计算!$P$143)*LN(10)/10),0)+LN(1+EXP(-ABS((LN(10^(逐级计算!$Q$143/10)-1)+逐级计算!$Q$143*(EM48-逐级计算!$P$143)*LN(10)/10))))))),"")</f>
        <v>13.7930365741883</v>
      </c>
      <c r="EO48">
        <f>IF(AND(ISNUMBER(EN48),逐级计算!$X$144&gt;-1),IF(逐级计算!$X$144=0,EN48+逐级计算!$C$144,EN48+逐级计算!$C$144-(10/(逐级计算!$Q$144*LN(10))*(MAX((LN(10^(逐级计算!$Q$144/10)-1)+逐级计算!$Q$144*(EN48-逐级计算!$P$144)*LN(10)/10),0)+LN(1+EXP(-ABS((LN(10^(逐级计算!$Q$144/10)-1)+逐级计算!$Q$144*(EN48-逐级计算!$P$144)*LN(10)/10))))))),"")</f>
        <v>13.7930365741883</v>
      </c>
      <c r="EP48">
        <f>IF(AND(ISNUMBER(EO48),逐级计算!$X$145&gt;-1),IF(逐级计算!$X$145=0,EO48+逐级计算!$C$145,EO48+逐级计算!$C$145-(10/(逐级计算!$Q$145*LN(10))*(MAX((LN(10^(逐级计算!$Q$145/10)-1)+逐级计算!$Q$145*(EO48-逐级计算!$P$145)*LN(10)/10),0)+LN(1+EXP(-ABS((LN(10^(逐级计算!$Q$145/10)-1)+逐级计算!$Q$145*(EO48-逐级计算!$P$145)*LN(10)/10))))))),"")</f>
        <v>13.7930365741883</v>
      </c>
      <c r="EQ48">
        <f>IF(AND(ISNUMBER(EP48),逐级计算!$X$146&gt;-1),IF(逐级计算!$X$146=0,EP48+逐级计算!$C$146,EP48+逐级计算!$C$146-(10/(逐级计算!$Q$146*LN(10))*(MAX((LN(10^(逐级计算!$Q$146/10)-1)+逐级计算!$Q$146*(EP48-逐级计算!$P$146)*LN(10)/10),0)+LN(1+EXP(-ABS((LN(10^(逐级计算!$Q$146/10)-1)+逐级计算!$Q$146*(EP48-逐级计算!$P$146)*LN(10)/10))))))),"")</f>
        <v>13.7930365741883</v>
      </c>
      <c r="ER48">
        <f>IF(AND(ISNUMBER(EQ48),逐级计算!$X$147&gt;-1),IF(逐级计算!$X$147=0,EQ48+逐级计算!$C$147,EQ48+逐级计算!$C$147-(10/(逐级计算!$Q$147*LN(10))*(MAX((LN(10^(逐级计算!$Q$147/10)-1)+逐级计算!$Q$147*(EQ48-逐级计算!$P$147)*LN(10)/10),0)+LN(1+EXP(-ABS((LN(10^(逐级计算!$Q$147/10)-1)+逐级计算!$Q$147*(EQ48-逐级计算!$P$147)*LN(10)/10))))))),"")</f>
        <v>13.7930365741883</v>
      </c>
      <c r="ES48">
        <f>IF(AND(ISNUMBER(ER48),逐级计算!$X$148&gt;-1),IF(逐级计算!$X$148=0,ER48+逐级计算!$C$148,ER48+逐级计算!$C$148-(10/(逐级计算!$Q$148*LN(10))*(MAX((LN(10^(逐级计算!$Q$148/10)-1)+逐级计算!$Q$148*(ER48-逐级计算!$P$148)*LN(10)/10),0)+LN(1+EXP(-ABS((LN(10^(逐级计算!$Q$148/10)-1)+逐级计算!$Q$148*(ER48-逐级计算!$P$148)*LN(10)/10))))))),"")</f>
        <v>13.7930365741883</v>
      </c>
      <c r="ET48">
        <f>IF(AND(ISNUMBER(ES48),逐级计算!$X$149&gt;-1),IF(逐级计算!$X$149=0,ES48+逐级计算!$C$149,ES48+逐级计算!$C$149-(10/(逐级计算!$Q$149*LN(10))*(MAX((LN(10^(逐级计算!$Q$149/10)-1)+逐级计算!$Q$149*(ES48-逐级计算!$P$149)*LN(10)/10),0)+LN(1+EXP(-ABS((LN(10^(逐级计算!$Q$149/10)-1)+逐级计算!$Q$149*(ES48-逐级计算!$P$149)*LN(10)/10))))))),"")</f>
        <v>13.7930365741883</v>
      </c>
      <c r="EU48">
        <f>IF(AND(ISNUMBER(ET48),逐级计算!$X$150&gt;-1),IF(逐级计算!$X$150=0,ET48+逐级计算!$C$150,ET48+逐级计算!$C$150-(10/(逐级计算!$Q$150*LN(10))*(MAX((LN(10^(逐级计算!$Q$150/10)-1)+逐级计算!$Q$150*(ET48-逐级计算!$P$150)*LN(10)/10),0)+LN(1+EXP(-ABS((LN(10^(逐级计算!$Q$150/10)-1)+逐级计算!$Q$150*(ET48-逐级计算!$P$150)*LN(10)/10))))))),"")</f>
        <v>13.7930365741883</v>
      </c>
      <c r="EV48">
        <f>IF(AND(ISNUMBER(EU48),逐级计算!$X$151&gt;-1),IF(逐级计算!$X$151=0,EU48+逐级计算!$C$151,EU48+逐级计算!$C$151-(10/(逐级计算!$Q$151*LN(10))*(MAX((LN(10^(逐级计算!$Q$151/10)-1)+逐级计算!$Q$151*(EU48-逐级计算!$P$151)*LN(10)/10),0)+LN(1+EXP(-ABS((LN(10^(逐级计算!$Q$151/10)-1)+逐级计算!$Q$151*(EU48-逐级计算!$P$151)*LN(10)/10))))))),"")</f>
        <v>13.7930365741883</v>
      </c>
      <c r="EW48">
        <f>IF(AND(ISNUMBER(EV48),逐级计算!$X$152&gt;-1),IF(逐级计算!$X$152=0,EV48+逐级计算!$C$152,EV48+逐级计算!$C$152-(10/(逐级计算!$Q$152*LN(10))*(MAX((LN(10^(逐级计算!$Q$152/10)-1)+逐级计算!$Q$152*(EV48-逐级计算!$P$152)*LN(10)/10),0)+LN(1+EXP(-ABS((LN(10^(逐级计算!$Q$152/10)-1)+逐级计算!$Q$152*(EV48-逐级计算!$P$152)*LN(10)/10))))))),"")</f>
        <v>13.7930365741883</v>
      </c>
      <c r="EX48">
        <f>IF(AND(ISNUMBER(EW48),逐级计算!$X$153&gt;-1),IF(逐级计算!$X$153=0,EW48+逐级计算!$C$153,EW48+逐级计算!$C$153-(10/(逐级计算!$Q$153*LN(10))*(MAX((LN(10^(逐级计算!$Q$153/10)-1)+逐级计算!$Q$153*(EW48-逐级计算!$P$153)*LN(10)/10),0)+LN(1+EXP(-ABS((LN(10^(逐级计算!$Q$153/10)-1)+逐级计算!$Q$153*(EW48-逐级计算!$P$153)*LN(10)/10))))))),"")</f>
        <v>13.7930365741883</v>
      </c>
      <c r="EY48">
        <f>IF(AND(ISNUMBER(EX48),逐级计算!$X$154&gt;-1),IF(逐级计算!$X$154=0,EX48+逐级计算!$C$154,EX48+逐级计算!$C$154-(10/(逐级计算!$Q$154*LN(10))*(MAX((LN(10^(逐级计算!$Q$154/10)-1)+逐级计算!$Q$154*(EX48-逐级计算!$P$154)*LN(10)/10),0)+LN(1+EXP(-ABS((LN(10^(逐级计算!$Q$154/10)-1)+逐级计算!$Q$154*(EX48-逐级计算!$P$154)*LN(10)/10))))))),"")</f>
        <v>13.7930365741883</v>
      </c>
      <c r="EZ48">
        <f>IF(AND(ISNUMBER(EY48),逐级计算!$X$155&gt;-1),IF(逐级计算!$X$155=0,EY48+逐级计算!$C$155,EY48+逐级计算!$C$155-(10/(逐级计算!$Q$155*LN(10))*(MAX((LN(10^(逐级计算!$Q$155/10)-1)+逐级计算!$Q$155*(EY48-逐级计算!$P$155)*LN(10)/10),0)+LN(1+EXP(-ABS((LN(10^(逐级计算!$Q$155/10)-1)+逐级计算!$Q$155*(EY48-逐级计算!$P$155)*LN(10)/10))))))),"")</f>
        <v>13.7930365741883</v>
      </c>
      <c r="FA48">
        <f>IF(AND(ISNUMBER(EZ48),逐级计算!$X$156&gt;-1),IF(逐级计算!$X$156=0,EZ48+逐级计算!$C$156,EZ48+逐级计算!$C$156-(10/(逐级计算!$Q$156*LN(10))*(MAX((LN(10^(逐级计算!$Q$156/10)-1)+逐级计算!$Q$156*(EZ48-逐级计算!$P$156)*LN(10)/10),0)+LN(1+EXP(-ABS((LN(10^(逐级计算!$Q$156/10)-1)+逐级计算!$Q$156*(EZ48-逐级计算!$P$156)*LN(10)/10))))))),"")</f>
        <v>13.7930365741883</v>
      </c>
      <c r="FB48">
        <f>IF(AND(ISNUMBER(FA48),逐级计算!$X$157&gt;-1),IF(逐级计算!$X$157=0,FA48+逐级计算!$C$157,FA48+逐级计算!$C$157-(10/(逐级计算!$Q$157*LN(10))*(MAX((LN(10^(逐级计算!$Q$157/10)-1)+逐级计算!$Q$157*(FA48-逐级计算!$P$157)*LN(10)/10),0)+LN(1+EXP(-ABS((LN(10^(逐级计算!$Q$157/10)-1)+逐级计算!$Q$157*(FA48-逐级计算!$P$157)*LN(10)/10))))))),"")</f>
        <v>13.7930365741883</v>
      </c>
      <c r="FC48">
        <f>IF(AND(ISNUMBER(FB48),逐级计算!$X$158&gt;-1),IF(逐级计算!$X$158=0,FB48+逐级计算!$C$158,FB48+逐级计算!$C$158-(10/(逐级计算!$Q$158*LN(10))*(MAX((LN(10^(逐级计算!$Q$158/10)-1)+逐级计算!$Q$158*(FB48-逐级计算!$P$158)*LN(10)/10),0)+LN(1+EXP(-ABS((LN(10^(逐级计算!$Q$158/10)-1)+逐级计算!$Q$158*(FB48-逐级计算!$P$158)*LN(10)/10))))))),"")</f>
        <v>13.7930365741883</v>
      </c>
      <c r="FD48">
        <f>IF(AND(ISNUMBER(FC48),逐级计算!$X$159&gt;-1),IF(逐级计算!$X$159=0,FC48+逐级计算!$C$159,FC48+逐级计算!$C$159-(10/(逐级计算!$Q$159*LN(10))*(MAX((LN(10^(逐级计算!$Q$159/10)-1)+逐级计算!$Q$159*(FC48-逐级计算!$P$159)*LN(10)/10),0)+LN(1+EXP(-ABS((LN(10^(逐级计算!$Q$159/10)-1)+逐级计算!$Q$159*(FC48-逐级计算!$P$159)*LN(10)/10))))))),"")</f>
        <v>13.7930365741883</v>
      </c>
      <c r="FE48">
        <f>IF(AND(ISNUMBER(FD48),逐级计算!$X$160&gt;-1),IF(逐级计算!$X$160=0,FD48+逐级计算!$C$160,FD48+逐级计算!$C$160-(10/(逐级计算!$Q$160*LN(10))*(MAX((LN(10^(逐级计算!$Q$160/10)-1)+逐级计算!$Q$160*(FD48-逐级计算!$P$160)*LN(10)/10),0)+LN(1+EXP(-ABS((LN(10^(逐级计算!$Q$160/10)-1)+逐级计算!$Q$160*(FD48-逐级计算!$P$160)*LN(10)/10))))))),"")</f>
        <v>13.7930365741883</v>
      </c>
      <c r="FF48">
        <f>IF(AND(ISNUMBER(FE48),逐级计算!$X$161&gt;-1),IF(逐级计算!$X$161=0,FE48+逐级计算!$C$161,FE48+逐级计算!$C$161-(10/(逐级计算!$Q$161*LN(10))*(MAX((LN(10^(逐级计算!$Q$161/10)-1)+逐级计算!$Q$161*(FE48-逐级计算!$P$161)*LN(10)/10),0)+LN(1+EXP(-ABS((LN(10^(逐级计算!$Q$161/10)-1)+逐级计算!$Q$161*(FE48-逐级计算!$P$161)*LN(10)/10))))))),"")</f>
        <v>13.7930365741883</v>
      </c>
      <c r="FG48">
        <f>IF(AND(ISNUMBER(FF48),逐级计算!$X$162&gt;-1),IF(逐级计算!$X$162=0,FF48+逐级计算!$C$162,FF48+逐级计算!$C$162-(10/(逐级计算!$Q$162*LN(10))*(MAX((LN(10^(逐级计算!$Q$162/10)-1)+逐级计算!$Q$162*(FF48-逐级计算!$P$162)*LN(10)/10),0)+LN(1+EXP(-ABS((LN(10^(逐级计算!$Q$162/10)-1)+逐级计算!$Q$162*(FF48-逐级计算!$P$162)*LN(10)/10))))))),"")</f>
        <v>13.7930365741883</v>
      </c>
      <c r="FH48">
        <f>IF(AND(ISNUMBER(FG48),逐级计算!$X$163&gt;-1),IF(逐级计算!$X$163=0,FG48+逐级计算!$C$163,FG48+逐级计算!$C$163-(10/(逐级计算!$Q$163*LN(10))*(MAX((LN(10^(逐级计算!$Q$163/10)-1)+逐级计算!$Q$163*(FG48-逐级计算!$P$163)*LN(10)/10),0)+LN(1+EXP(-ABS((LN(10^(逐级计算!$Q$163/10)-1)+逐级计算!$Q$163*(FG48-逐级计算!$P$163)*LN(10)/10))))))),"")</f>
        <v>13.7930365741883</v>
      </c>
      <c r="FI48">
        <f>IF(AND(ISNUMBER(FH48),逐级计算!$X$164&gt;-1),IF(逐级计算!$X$164=0,FH48+逐级计算!$C$164,FH48+逐级计算!$C$164-(10/(逐级计算!$Q$164*LN(10))*(MAX((LN(10^(逐级计算!$Q$164/10)-1)+逐级计算!$Q$164*(FH48-逐级计算!$P$164)*LN(10)/10),0)+LN(1+EXP(-ABS((LN(10^(逐级计算!$Q$164/10)-1)+逐级计算!$Q$164*(FH48-逐级计算!$P$164)*LN(10)/10))))))),"")</f>
        <v>13.7930365741883</v>
      </c>
      <c r="FJ48">
        <f>IF(AND(ISNUMBER(FI48),逐级计算!$X$165&gt;-1),IF(逐级计算!$X$165=0,FI48+逐级计算!$C$165,FI48+逐级计算!$C$165-(10/(逐级计算!$Q$165*LN(10))*(MAX((LN(10^(逐级计算!$Q$165/10)-1)+逐级计算!$Q$165*(FI48-逐级计算!$P$165)*LN(10)/10),0)+LN(1+EXP(-ABS((LN(10^(逐级计算!$Q$165/10)-1)+逐级计算!$Q$165*(FI48-逐级计算!$P$165)*LN(10)/10))))))),"")</f>
        <v>13.7930365741883</v>
      </c>
      <c r="FK48">
        <f>IF(AND(ISNUMBER(FJ48),逐级计算!$X$166&gt;-1),IF(逐级计算!$X$166=0,FJ48+逐级计算!$C$166,FJ48+逐级计算!$C$166-(10/(逐级计算!$Q$166*LN(10))*(MAX((LN(10^(逐级计算!$Q$166/10)-1)+逐级计算!$Q$166*(FJ48-逐级计算!$P$166)*LN(10)/10),0)+LN(1+EXP(-ABS((LN(10^(逐级计算!$Q$166/10)-1)+逐级计算!$Q$166*(FJ48-逐级计算!$P$166)*LN(10)/10))))))),"")</f>
        <v>13.7930365741883</v>
      </c>
      <c r="FL48">
        <f>IF(AND(ISNUMBER(FK48),逐级计算!$X$167&gt;-1),IF(逐级计算!$X$167=0,FK48+逐级计算!$C$167,FK48+逐级计算!$C$167-(10/(逐级计算!$Q$167*LN(10))*(MAX((LN(10^(逐级计算!$Q$167/10)-1)+逐级计算!$Q$167*(FK48-逐级计算!$P$167)*LN(10)/10),0)+LN(1+EXP(-ABS((LN(10^(逐级计算!$Q$167/10)-1)+逐级计算!$Q$167*(FK48-逐级计算!$P$167)*LN(10)/10))))))),"")</f>
        <v>13.7930365741883</v>
      </c>
      <c r="FM48">
        <f>IF(AND(ISNUMBER(FL48),逐级计算!$X$168&gt;-1),IF(逐级计算!$X$168=0,FL48+逐级计算!$C$168,FL48+逐级计算!$C$168-(10/(逐级计算!$Q$168*LN(10))*(MAX((LN(10^(逐级计算!$Q$168/10)-1)+逐级计算!$Q$168*(FL48-逐级计算!$P$168)*LN(10)/10),0)+LN(1+EXP(-ABS((LN(10^(逐级计算!$Q$168/10)-1)+逐级计算!$Q$168*(FL48-逐级计算!$P$168)*LN(10)/10))))))),"")</f>
        <v>13.7930365741883</v>
      </c>
      <c r="FN48">
        <f>IF(AND(ISNUMBER(FM48),逐级计算!$X$169&gt;-1),IF(逐级计算!$X$169=0,FM48+逐级计算!$C$169,FM48+逐级计算!$C$169-(10/(逐级计算!$Q$169*LN(10))*(MAX((LN(10^(逐级计算!$Q$169/10)-1)+逐级计算!$Q$169*(FM48-逐级计算!$P$169)*LN(10)/10),0)+LN(1+EXP(-ABS((LN(10^(逐级计算!$Q$169/10)-1)+逐级计算!$Q$169*(FM48-逐级计算!$P$169)*LN(10)/10))))))),"")</f>
        <v>13.7930365741883</v>
      </c>
      <c r="FO48">
        <f>IF(AND(ISNUMBER(FN48),逐级计算!$X$170&gt;-1),IF(逐级计算!$X$170=0,FN48+逐级计算!$C$170,FN48+逐级计算!$C$170-(10/(逐级计算!$Q$170*LN(10))*(MAX((LN(10^(逐级计算!$Q$170/10)-1)+逐级计算!$Q$170*(FN48-逐级计算!$P$170)*LN(10)/10),0)+LN(1+EXP(-ABS((LN(10^(逐级计算!$Q$170/10)-1)+逐级计算!$Q$170*(FN48-逐级计算!$P$170)*LN(10)/10))))))),"")</f>
        <v>13.7930365741883</v>
      </c>
      <c r="FP48">
        <f>IF(AND(ISNUMBER(FO48),逐级计算!$X$171&gt;-1),IF(逐级计算!$X$171=0,FO48+逐级计算!$C$171,FO48+逐级计算!$C$171-(10/(逐级计算!$Q$171*LN(10))*(MAX((LN(10^(逐级计算!$Q$171/10)-1)+逐级计算!$Q$171*(FO48-逐级计算!$P$171)*LN(10)/10),0)+LN(1+EXP(-ABS((LN(10^(逐级计算!$Q$171/10)-1)+逐级计算!$Q$171*(FO48-逐级计算!$P$171)*LN(10)/10))))))),"")</f>
        <v>13.7930365741883</v>
      </c>
      <c r="FQ48">
        <f>IF(AND(ISNUMBER(FP48),逐级计算!$X$172&gt;-1),IF(逐级计算!$X$172=0,FP48+逐级计算!$C$172,FP48+逐级计算!$C$172-(10/(逐级计算!$Q$172*LN(10))*(MAX((LN(10^(逐级计算!$Q$172/10)-1)+逐级计算!$Q$172*(FP48-逐级计算!$P$172)*LN(10)/10),0)+LN(1+EXP(-ABS((LN(10^(逐级计算!$Q$172/10)-1)+逐级计算!$Q$172*(FP48-逐级计算!$P$172)*LN(10)/10))))))),"")</f>
        <v>13.7930365741883</v>
      </c>
      <c r="FR48">
        <f>IF(AND(ISNUMBER(FQ48),逐级计算!$X$173&gt;-1),IF(逐级计算!$X$173=0,FQ48+逐级计算!$C$173,FQ48+逐级计算!$C$173-(10/(逐级计算!$Q$173*LN(10))*(MAX((LN(10^(逐级计算!$Q$173/10)-1)+逐级计算!$Q$173*(FQ48-逐级计算!$P$173)*LN(10)/10),0)+LN(1+EXP(-ABS((LN(10^(逐级计算!$Q$173/10)-1)+逐级计算!$Q$173*(FQ48-逐级计算!$P$173)*LN(10)/10))))))),"")</f>
        <v>13.7930365741883</v>
      </c>
      <c r="FS48">
        <f>IF(AND(ISNUMBER(FR48),逐级计算!$X$174&gt;-1),IF(逐级计算!$X$174=0,FR48+逐级计算!$C$174,FR48+逐级计算!$C$174-(10/(逐级计算!$Q$174*LN(10))*(MAX((LN(10^(逐级计算!$Q$174/10)-1)+逐级计算!$Q$174*(FR48-逐级计算!$P$174)*LN(10)/10),0)+LN(1+EXP(-ABS((LN(10^(逐级计算!$Q$174/10)-1)+逐级计算!$Q$174*(FR48-逐级计算!$P$174)*LN(10)/10))))))),"")</f>
        <v>13.7930365741883</v>
      </c>
      <c r="FT48">
        <f>IF(AND(ISNUMBER(FS48),逐级计算!$X$175&gt;-1),IF(逐级计算!$X$175=0,FS48+逐级计算!$C$175,FS48+逐级计算!$C$175-(10/(逐级计算!$Q$175*LN(10))*(MAX((LN(10^(逐级计算!$Q$175/10)-1)+逐级计算!$Q$175*(FS48-逐级计算!$P$175)*LN(10)/10),0)+LN(1+EXP(-ABS((LN(10^(逐级计算!$Q$175/10)-1)+逐级计算!$Q$175*(FS48-逐级计算!$P$175)*LN(10)/10))))))),"")</f>
        <v>13.7930365741883</v>
      </c>
      <c r="FU48">
        <f>IF(AND(ISNUMBER(FT48),逐级计算!$X$176&gt;-1),IF(逐级计算!$X$176=0,FT48+逐级计算!$C$176,FT48+逐级计算!$C$176-(10/(逐级计算!$Q$176*LN(10))*(MAX((LN(10^(逐级计算!$Q$176/10)-1)+逐级计算!$Q$176*(FT48-逐级计算!$P$176)*LN(10)/10),0)+LN(1+EXP(-ABS((LN(10^(逐级计算!$Q$176/10)-1)+逐级计算!$Q$176*(FT48-逐级计算!$P$176)*LN(10)/10))))))),"")</f>
        <v>13.7930365741883</v>
      </c>
      <c r="FV48">
        <f>IF(AND(ISNUMBER(FU48),逐级计算!$X$177&gt;-1),IF(逐级计算!$X$177=0,FU48+逐级计算!$C$177,FU48+逐级计算!$C$177-(10/(逐级计算!$Q$177*LN(10))*(MAX((LN(10^(逐级计算!$Q$177/10)-1)+逐级计算!$Q$177*(FU48-逐级计算!$P$177)*LN(10)/10),0)+LN(1+EXP(-ABS((LN(10^(逐级计算!$Q$177/10)-1)+逐级计算!$Q$177*(FU48-逐级计算!$P$177)*LN(10)/10))))))),"")</f>
        <v>13.7930365741883</v>
      </c>
      <c r="FW48">
        <f>IF(AND(ISNUMBER(FV48),逐级计算!$X$178&gt;-1),IF(逐级计算!$X$178=0,FV48+逐级计算!$C$178,FV48+逐级计算!$C$178-(10/(逐级计算!$Q$178*LN(10))*(MAX((LN(10^(逐级计算!$Q$178/10)-1)+逐级计算!$Q$178*(FV48-逐级计算!$P$178)*LN(10)/10),0)+LN(1+EXP(-ABS((LN(10^(逐级计算!$Q$178/10)-1)+逐级计算!$Q$178*(FV48-逐级计算!$P$178)*LN(10)/10))))))),"")</f>
        <v>13.7930365741883</v>
      </c>
      <c r="FX48">
        <f>IF(AND(ISNUMBER(FW48),逐级计算!$X$179&gt;-1),IF(逐级计算!$X$179=0,FW48+逐级计算!$C$179,FW48+逐级计算!$C$179-(10/(逐级计算!$Q$179*LN(10))*(MAX((LN(10^(逐级计算!$Q$179/10)-1)+逐级计算!$Q$179*(FW48-逐级计算!$P$179)*LN(10)/10),0)+LN(1+EXP(-ABS((LN(10^(逐级计算!$Q$179/10)-1)+逐级计算!$Q$179*(FW48-逐级计算!$P$179)*LN(10)/10))))))),"")</f>
        <v>13.7930365741883</v>
      </c>
      <c r="FY48">
        <f>IF(AND(ISNUMBER(FX48),逐级计算!$X$180&gt;-1),IF(逐级计算!$X$180=0,FX48+逐级计算!$C$180,FX48+逐级计算!$C$180-(10/(逐级计算!$Q$180*LN(10))*(MAX((LN(10^(逐级计算!$Q$180/10)-1)+逐级计算!$Q$180*(FX48-逐级计算!$P$180)*LN(10)/10),0)+LN(1+EXP(-ABS((LN(10^(逐级计算!$Q$180/10)-1)+逐级计算!$Q$180*(FX48-逐级计算!$P$180)*LN(10)/10))))))),"")</f>
        <v>13.7930365741883</v>
      </c>
      <c r="FZ48">
        <f>IF(AND(ISNUMBER(FY48),逐级计算!$X$181&gt;-1),IF(逐级计算!$X$181=0,FY48+逐级计算!$C$181,FY48+逐级计算!$C$181-(10/(逐级计算!$Q$181*LN(10))*(MAX((LN(10^(逐级计算!$Q$181/10)-1)+逐级计算!$Q$181*(FY48-逐级计算!$P$181)*LN(10)/10),0)+LN(1+EXP(-ABS((LN(10^(逐级计算!$Q$181/10)-1)+逐级计算!$Q$181*(FY48-逐级计算!$P$181)*LN(10)/10))))))),"")</f>
        <v>13.7930365741883</v>
      </c>
      <c r="GA48">
        <f>IF(AND(ISNUMBER(FZ48),逐级计算!$X$182&gt;-1),IF(逐级计算!$X$182=0,FZ48+逐级计算!$C$182,FZ48+逐级计算!$C$182-(10/(逐级计算!$Q$182*LN(10))*(MAX((LN(10^(逐级计算!$Q$182/10)-1)+逐级计算!$Q$182*(FZ48-逐级计算!$P$182)*LN(10)/10),0)+LN(1+EXP(-ABS((LN(10^(逐级计算!$Q$182/10)-1)+逐级计算!$Q$182*(FZ48-逐级计算!$P$182)*LN(10)/10))))))),"")</f>
        <v>13.7930365741883</v>
      </c>
      <c r="GB48">
        <f>IF(AND(ISNUMBER(GA48),逐级计算!$X$183&gt;-1),IF(逐级计算!$X$183=0,GA48+逐级计算!$C$183,GA48+逐级计算!$C$183-(10/(逐级计算!$Q$183*LN(10))*(MAX((LN(10^(逐级计算!$Q$183/10)-1)+逐级计算!$Q$183*(GA48-逐级计算!$P$183)*LN(10)/10),0)+LN(1+EXP(-ABS((LN(10^(逐级计算!$Q$183/10)-1)+逐级计算!$Q$183*(GA48-逐级计算!$P$183)*LN(10)/10))))))),"")</f>
        <v>13.7930365741883</v>
      </c>
      <c r="GC48">
        <f>IF(AND(ISNUMBER(GB48),逐级计算!$X$184&gt;-1),IF(逐级计算!$X$184=0,GB48+逐级计算!$C$184,GB48+逐级计算!$C$184-(10/(逐级计算!$Q$184*LN(10))*(MAX((LN(10^(逐级计算!$Q$184/10)-1)+逐级计算!$Q$184*(GB48-逐级计算!$P$184)*LN(10)/10),0)+LN(1+EXP(-ABS((LN(10^(逐级计算!$Q$184/10)-1)+逐级计算!$Q$184*(GB48-逐级计算!$P$184)*LN(10)/10))))))),"")</f>
        <v>13.7930365741883</v>
      </c>
      <c r="GD48">
        <f>IF(AND(ISNUMBER(GC48),逐级计算!$X$185&gt;-1),IF(逐级计算!$X$185=0,GC48+逐级计算!$C$185,GC48+逐级计算!$C$185-(10/(逐级计算!$Q$185*LN(10))*(MAX((LN(10^(逐级计算!$Q$185/10)-1)+逐级计算!$Q$185*(GC48-逐级计算!$P$185)*LN(10)/10),0)+LN(1+EXP(-ABS((LN(10^(逐级计算!$Q$185/10)-1)+逐级计算!$Q$185*(GC48-逐级计算!$P$185)*LN(10)/10))))))),"")</f>
        <v>13.7930365741883</v>
      </c>
      <c r="GE48">
        <f>IF(AND(ISNUMBER(GD48),逐级计算!$X$186&gt;-1),IF(逐级计算!$X$186=0,GD48+逐级计算!$C$186,GD48+逐级计算!$C$186-(10/(逐级计算!$Q$186*LN(10))*(MAX((LN(10^(逐级计算!$Q$186/10)-1)+逐级计算!$Q$186*(GD48-逐级计算!$P$186)*LN(10)/10),0)+LN(1+EXP(-ABS((LN(10^(逐级计算!$Q$186/10)-1)+逐级计算!$Q$186*(GD48-逐级计算!$P$186)*LN(10)/10))))))),"")</f>
        <v>13.7930365741883</v>
      </c>
      <c r="GF48">
        <f>IF(AND(ISNUMBER(GE48),逐级计算!$X$187&gt;-1),IF(逐级计算!$X$187=0,GE48+逐级计算!$C$187,GE48+逐级计算!$C$187-(10/(逐级计算!$Q$187*LN(10))*(MAX((LN(10^(逐级计算!$Q$187/10)-1)+逐级计算!$Q$187*(GE48-逐级计算!$P$187)*LN(10)/10),0)+LN(1+EXP(-ABS((LN(10^(逐级计算!$Q$187/10)-1)+逐级计算!$Q$187*(GE48-逐级计算!$P$187)*LN(10)/10))))))),"")</f>
        <v>13.7930365741883</v>
      </c>
      <c r="GG48">
        <f>IF(AND(ISNUMBER(GF48),逐级计算!$X$188&gt;-1),IF(逐级计算!$X$188=0,GF48+逐级计算!$C$188,GF48+逐级计算!$C$188-(10/(逐级计算!$Q$188*LN(10))*(MAX((LN(10^(逐级计算!$Q$188/10)-1)+逐级计算!$Q$188*(GF48-逐级计算!$P$188)*LN(10)/10),0)+LN(1+EXP(-ABS((LN(10^(逐级计算!$Q$188/10)-1)+逐级计算!$Q$188*(GF48-逐级计算!$P$188)*LN(10)/10))))))),"")</f>
        <v>13.7930365741883</v>
      </c>
      <c r="GH48">
        <f>IF(AND(ISNUMBER(GG48),逐级计算!$X$189&gt;-1),IF(逐级计算!$X$189=0,GG48+逐级计算!$C$189,GG48+逐级计算!$C$189-(10/(逐级计算!$Q$189*LN(10))*(MAX((LN(10^(逐级计算!$Q$189/10)-1)+逐级计算!$Q$189*(GG48-逐级计算!$P$189)*LN(10)/10),0)+LN(1+EXP(-ABS((LN(10^(逐级计算!$Q$189/10)-1)+逐级计算!$Q$189*(GG48-逐级计算!$P$189)*LN(10)/10))))))),"")</f>
        <v>13.7930365741883</v>
      </c>
      <c r="GI48">
        <f>IF(AND(ISNUMBER(GH48),逐级计算!$X$190&gt;-1),IF(逐级计算!$X$190=0,GH48+逐级计算!$C$190,GH48+逐级计算!$C$190-(10/(逐级计算!$Q$190*LN(10))*(MAX((LN(10^(逐级计算!$Q$190/10)-1)+逐级计算!$Q$190*(GH48-逐级计算!$P$190)*LN(10)/10),0)+LN(1+EXP(-ABS((LN(10^(逐级计算!$Q$190/10)-1)+逐级计算!$Q$190*(GH48-逐级计算!$P$190)*LN(10)/10))))))),"")</f>
        <v>13.7930365741883</v>
      </c>
      <c r="GJ48">
        <f>IF(AND(ISNUMBER(GI48),逐级计算!$X$191&gt;-1),IF(逐级计算!$X$191=0,GI48+逐级计算!$C$191,GI48+逐级计算!$C$191-(10/(逐级计算!$Q$191*LN(10))*(MAX((LN(10^(逐级计算!$Q$191/10)-1)+逐级计算!$Q$191*(GI48-逐级计算!$P$191)*LN(10)/10),0)+LN(1+EXP(-ABS((LN(10^(逐级计算!$Q$191/10)-1)+逐级计算!$Q$191*(GI48-逐级计算!$P$191)*LN(10)/10))))))),"")</f>
        <v>13.7930365741883</v>
      </c>
      <c r="GK48">
        <f>IF(AND(ISNUMBER(GJ48),逐级计算!$X$192&gt;-1),IF(逐级计算!$X$192=0,GJ48+逐级计算!$C$192,GJ48+逐级计算!$C$192-(10/(逐级计算!$Q$192*LN(10))*(MAX((LN(10^(逐级计算!$Q$192/10)-1)+逐级计算!$Q$192*(GJ48-逐级计算!$P$192)*LN(10)/10),0)+LN(1+EXP(-ABS((LN(10^(逐级计算!$Q$192/10)-1)+逐级计算!$Q$192*(GJ48-逐级计算!$P$192)*LN(10)/10))))))),"")</f>
        <v>13.7930365741883</v>
      </c>
      <c r="GL48">
        <f>IF(AND(ISNUMBER(GK48),逐级计算!$X$193&gt;-1),IF(逐级计算!$X$193=0,GK48+逐级计算!$C$193,GK48+逐级计算!$C$193-(10/(逐级计算!$Q$193*LN(10))*(MAX((LN(10^(逐级计算!$Q$193/10)-1)+逐级计算!$Q$193*(GK48-逐级计算!$P$193)*LN(10)/10),0)+LN(1+EXP(-ABS((LN(10^(逐级计算!$Q$193/10)-1)+逐级计算!$Q$193*(GK48-逐级计算!$P$193)*LN(10)/10))))))),"")</f>
        <v>13.7930365741883</v>
      </c>
      <c r="GM48">
        <f>IF(AND(ISNUMBER(GL48),逐级计算!$X$194&gt;-1),IF(逐级计算!$X$194=0,GL48+逐级计算!$C$194,GL48+逐级计算!$C$194-(10/(逐级计算!$Q$194*LN(10))*(MAX((LN(10^(逐级计算!$Q$194/10)-1)+逐级计算!$Q$194*(GL48-逐级计算!$P$194)*LN(10)/10),0)+LN(1+EXP(-ABS((LN(10^(逐级计算!$Q$194/10)-1)+逐级计算!$Q$194*(GL48-逐级计算!$P$194)*LN(10)/10))))))),"")</f>
        <v>13.7930365741883</v>
      </c>
      <c r="GN48">
        <f>IF(AND(ISNUMBER(GM48),逐级计算!$X$195&gt;-1),IF(逐级计算!$X$195=0,GM48+逐级计算!$C$195,GM48+逐级计算!$C$195-(10/(逐级计算!$Q$195*LN(10))*(MAX((LN(10^(逐级计算!$Q$195/10)-1)+逐级计算!$Q$195*(GM48-逐级计算!$P$195)*LN(10)/10),0)+LN(1+EXP(-ABS((LN(10^(逐级计算!$Q$195/10)-1)+逐级计算!$Q$195*(GM48-逐级计算!$P$195)*LN(10)/10))))))),"")</f>
        <v>13.7930365741883</v>
      </c>
      <c r="GO48">
        <f>IF(AND(ISNUMBER(GN48),逐级计算!$X$196&gt;-1),IF(逐级计算!$X$196=0,GN48+逐级计算!$C$196,GN48+逐级计算!$C$196-(10/(逐级计算!$Q$196*LN(10))*(MAX((LN(10^(逐级计算!$Q$196/10)-1)+逐级计算!$Q$196*(GN48-逐级计算!$P$196)*LN(10)/10),0)+LN(1+EXP(-ABS((LN(10^(逐级计算!$Q$196/10)-1)+逐级计算!$Q$196*(GN48-逐级计算!$P$196)*LN(10)/10))))))),"")</f>
        <v>13.7930365741883</v>
      </c>
      <c r="GP48">
        <f>IF(AND(ISNUMBER(GO48),逐级计算!$X$197&gt;-1),IF(逐级计算!$X$197=0,GO48+逐级计算!$C$197,GO48+逐级计算!$C$197-(10/(逐级计算!$Q$197*LN(10))*(MAX((LN(10^(逐级计算!$Q$197/10)-1)+逐级计算!$Q$197*(GO48-逐级计算!$P$197)*LN(10)/10),0)+LN(1+EXP(-ABS((LN(10^(逐级计算!$Q$197/10)-1)+逐级计算!$Q$197*(GO48-逐级计算!$P$197)*LN(10)/10))))))),"")</f>
        <v>13.7930365741883</v>
      </c>
      <c r="GQ48">
        <f>IF(AND(ISNUMBER(GP48),逐级计算!$X$198&gt;-1),IF(逐级计算!$X$198=0,GP48+逐级计算!$C$198,GP48+逐级计算!$C$198-(10/(逐级计算!$Q$198*LN(10))*(MAX((LN(10^(逐级计算!$Q$198/10)-1)+逐级计算!$Q$198*(GP48-逐级计算!$P$198)*LN(10)/10),0)+LN(1+EXP(-ABS((LN(10^(逐级计算!$Q$198/10)-1)+逐级计算!$Q$198*(GP48-逐级计算!$P$198)*LN(10)/10))))))),"")</f>
        <v>13.7930365741883</v>
      </c>
      <c r="GR48">
        <f>IF(AND(ISNUMBER(GQ48),逐级计算!$X$199&gt;-1),IF(逐级计算!$X$199=0,GQ48+逐级计算!$C$199,GQ48+逐级计算!$C$199-(10/(逐级计算!$Q$199*LN(10))*(MAX((LN(10^(逐级计算!$Q$199/10)-1)+逐级计算!$Q$199*(GQ48-逐级计算!$P$199)*LN(10)/10),0)+LN(1+EXP(-ABS((LN(10^(逐级计算!$Q$199/10)-1)+逐级计算!$Q$199*(GQ48-逐级计算!$P$199)*LN(10)/10))))))),"")</f>
        <v>13.7930365741883</v>
      </c>
      <c r="GS48">
        <f>IF(AND(ISNUMBER(GR48),逐级计算!$X$200&gt;-1),IF(逐级计算!$X$200=0,GR48+逐级计算!$C$200,GR48+逐级计算!$C$200-(10/(逐级计算!$Q$200*LN(10))*(MAX((LN(10^(逐级计算!$Q$200/10)-1)+逐级计算!$Q$200*(GR48-逐级计算!$P$200)*LN(10)/10),0)+LN(1+EXP(-ABS((LN(10^(逐级计算!$Q$200/10)-1)+逐级计算!$Q$200*(GR48-逐级计算!$P$200)*LN(10)/10))))))),"")</f>
        <v>13.7930365741883</v>
      </c>
      <c r="GT48">
        <f>IF(AND(ISNUMBER(GS48),逐级计算!$X$201&gt;-1),IF(逐级计算!$X$201=0,GS48+逐级计算!$C$201,GS48+逐级计算!$C$201-(10/(逐级计算!$Q$201*LN(10))*(MAX((LN(10^(逐级计算!$Q$201/10)-1)+逐级计算!$Q$201*(GS48-逐级计算!$P$201)*LN(10)/10),0)+LN(1+EXP(-ABS((LN(10^(逐级计算!$Q$201/10)-1)+逐级计算!$Q$201*(GS48-逐级计算!$P$201)*LN(10)/10))))))),"")</f>
        <v>13.7930365741883</v>
      </c>
      <c r="GU48">
        <f>IF(AND(ISNUMBER(GT48),逐级计算!$X$202&gt;-1),IF(逐级计算!$X$202=0,GT48+逐级计算!$C$202,GT48+逐级计算!$C$202-(10/(逐级计算!$Q$202*LN(10))*(MAX((LN(10^(逐级计算!$Q$202/10)-1)+逐级计算!$Q$202*(GT48-逐级计算!$P$202)*LN(10)/10),0)+LN(1+EXP(-ABS((LN(10^(逐级计算!$Q$202/10)-1)+逐级计算!$Q$202*(GT48-逐级计算!$P$202)*LN(10)/10))))))),"")</f>
        <v>13.7930365741883</v>
      </c>
      <c r="GV48">
        <f>IF(AND(ISNUMBER(GU48),逐级计算!$X$203&gt;-1),IF(逐级计算!$X$203=0,GU48+逐级计算!$C$203,GU48+逐级计算!$C$203-(10/(逐级计算!$Q$203*LN(10))*(MAX((LN(10^(逐级计算!$Q$203/10)-1)+逐级计算!$Q$203*(GU48-逐级计算!$P$203)*LN(10)/10),0)+LN(1+EXP(-ABS((LN(10^(逐级计算!$Q$203/10)-1)+逐级计算!$Q$203*(GU48-逐级计算!$P$203)*LN(10)/10))))))),"")</f>
        <v>13.7930365741883</v>
      </c>
      <c r="GW48">
        <f t="shared" si="2"/>
        <v>-5.20696342577594</v>
      </c>
    </row>
    <row r="49" spans="1:205">
      <c r="A49">
        <v>42</v>
      </c>
      <c r="B49">
        <f t="shared" si="1"/>
        <v>-5.20696342582369</v>
      </c>
      <c r="C49">
        <f t="shared" si="0"/>
        <v>-5.20696342579981</v>
      </c>
      <c r="D49">
        <f>IF(AND(ISNUMBER(C49),ISNUMBER(逐级计算!$E$203),ISNUMBER(GV49)),C49+逐级计算!$E$203-GV49,"")</f>
        <v>0.999999999996794</v>
      </c>
      <c r="E49">
        <f>IF(AND(ISNUMBER(C49),逐级计算!$X$4&gt;-1),IF(逐级计算!$X$4=0,C49+逐级计算!$C$4,C49+逐级计算!$C$4-(10/(逐级计算!$Q$4*LN(10))*(MAX((LN(10^(逐级计算!$Q$4/10)-1)+逐级计算!$Q$4*(C49-逐级计算!$P$4)*LN(10)/10),0)+LN(1+EXP(-ABS((LN(10^(逐级计算!$Q$4/10)-1)+逐级计算!$Q$4*(C49-逐级计算!$P$4)*LN(10)/10))))))),"")</f>
        <v>4.68053982927485</v>
      </c>
      <c r="F49">
        <f>IF(AND(ISNUMBER(E49),逐级计算!$X$5&gt;-1),IF(逐级计算!$X$5=0,E49+逐级计算!$C$5,E49+逐级计算!$C$5-(10/(逐级计算!$Q$5*LN(10))*(MAX((LN(10^(逐级计算!$Q$5/10)-1)+逐级计算!$Q$5*(E49-逐级计算!$P$5)*LN(10)/10),0)+LN(1+EXP(-ABS((LN(10^(逐级计算!$Q$5/10)-1)+逐级计算!$Q$5*(E49-逐级计算!$P$5)*LN(10)/10))))))),"")</f>
        <v>13.7930365742034</v>
      </c>
      <c r="G49">
        <f>IF(AND(ISNUMBER(F49),逐级计算!$X$6&gt;-1),IF(逐级计算!$X$6=0,F49+逐级计算!$C$6,F49+逐级计算!$C$6-(10/(逐级计算!$Q$6*LN(10))*(MAX((LN(10^(逐级计算!$Q$6/10)-1)+逐级计算!$Q$6*(F49-逐级计算!$P$6)*LN(10)/10),0)+LN(1+EXP(-ABS((LN(10^(逐级计算!$Q$6/10)-1)+逐级计算!$Q$6*(F49-逐级计算!$P$6)*LN(10)/10))))))),"")</f>
        <v>13.7930365742034</v>
      </c>
      <c r="H49">
        <f>IF(AND(ISNUMBER(G49),逐级计算!$X$7&gt;-1),IF(逐级计算!$X$7=0,G49+逐级计算!$C$7,G49+逐级计算!$C$7-(10/(逐级计算!$Q$7*LN(10))*(MAX((LN(10^(逐级计算!$Q$7/10)-1)+逐级计算!$Q$7*(G49-逐级计算!$P$7)*LN(10)/10),0)+LN(1+EXP(-ABS((LN(10^(逐级计算!$Q$7/10)-1)+逐级计算!$Q$7*(G49-逐级计算!$P$7)*LN(10)/10))))))),"")</f>
        <v>13.7930365742034</v>
      </c>
      <c r="I49">
        <f>IF(AND(ISNUMBER(H49),逐级计算!$X$8&gt;-1),IF(逐级计算!$X$8=0,H49+逐级计算!$C$8,H49+逐级计算!$C$8-(10/(逐级计算!$Q$8*LN(10))*(MAX((LN(10^(逐级计算!$Q$8/10)-1)+逐级计算!$Q$8*(H49-逐级计算!$P$8)*LN(10)/10),0)+LN(1+EXP(-ABS((LN(10^(逐级计算!$Q$8/10)-1)+逐级计算!$Q$8*(H49-逐级计算!$P$8)*LN(10)/10))))))),"")</f>
        <v>13.7930365742034</v>
      </c>
      <c r="J49">
        <f>IF(AND(ISNUMBER(I49),逐级计算!$X$9&gt;-1),IF(逐级计算!$X$9=0,I49+逐级计算!$C$9,I49+逐级计算!$C$9-(10/(逐级计算!$Q$9*LN(10))*(MAX((LN(10^(逐级计算!$Q$9/10)-1)+逐级计算!$Q$9*(I49-逐级计算!$P$9)*LN(10)/10),0)+LN(1+EXP(-ABS((LN(10^(逐级计算!$Q$9/10)-1)+逐级计算!$Q$9*(I49-逐级计算!$P$9)*LN(10)/10))))))),"")</f>
        <v>13.7930365742034</v>
      </c>
      <c r="K49">
        <f>IF(AND(ISNUMBER(J49),逐级计算!$X$10&gt;-1),IF(逐级计算!$X$10=0,J49+逐级计算!$C$10,J49+逐级计算!$C$10-(10/(逐级计算!$Q$10*LN(10))*(MAX((LN(10^(逐级计算!$Q$10/10)-1)+逐级计算!$Q$10*(J49-逐级计算!$P$10)*LN(10)/10),0)+LN(1+EXP(-ABS((LN(10^(逐级计算!$Q$10/10)-1)+逐级计算!$Q$10*(J49-逐级计算!$P$10)*LN(10)/10))))))),"")</f>
        <v>13.7930365742034</v>
      </c>
      <c r="L49">
        <f>IF(AND(ISNUMBER(K49),逐级计算!$X$11&gt;-1),IF(逐级计算!$X$11=0,K49+逐级计算!$C$11,K49+逐级计算!$C$11-(10/(逐级计算!$Q$11*LN(10))*(MAX((LN(10^(逐级计算!$Q$11/10)-1)+逐级计算!$Q$11*(K49-逐级计算!$P$11)*LN(10)/10),0)+LN(1+EXP(-ABS((LN(10^(逐级计算!$Q$11/10)-1)+逐级计算!$Q$11*(K49-逐级计算!$P$11)*LN(10)/10))))))),"")</f>
        <v>13.7930365742034</v>
      </c>
      <c r="M49">
        <f>IF(AND(ISNUMBER(L49),逐级计算!$X$12&gt;-1),IF(逐级计算!$X$12=0,L49+逐级计算!$C$12,L49+逐级计算!$C$12-(10/(逐级计算!$Q$12*LN(10))*(MAX((LN(10^(逐级计算!$Q$12/10)-1)+逐级计算!$Q$12*(L49-逐级计算!$P$12)*LN(10)/10),0)+LN(1+EXP(-ABS((LN(10^(逐级计算!$Q$12/10)-1)+逐级计算!$Q$12*(L49-逐级计算!$P$12)*LN(10)/10))))))),"")</f>
        <v>13.7930365742034</v>
      </c>
      <c r="N49">
        <f>IF(AND(ISNUMBER(M49),逐级计算!$X$13&gt;-1),IF(逐级计算!$X$13=0,M49+逐级计算!$C$13,M49+逐级计算!$C$13-(10/(逐级计算!$Q$13*LN(10))*(MAX((LN(10^(逐级计算!$Q$13/10)-1)+逐级计算!$Q$13*(M49-逐级计算!$P$13)*LN(10)/10),0)+LN(1+EXP(-ABS((LN(10^(逐级计算!$Q$13/10)-1)+逐级计算!$Q$13*(M49-逐级计算!$P$13)*LN(10)/10))))))),"")</f>
        <v>13.7930365742034</v>
      </c>
      <c r="O49">
        <f>IF(AND(ISNUMBER(N49),逐级计算!$X$14&gt;-1),IF(逐级计算!$X$14=0,N49+逐级计算!$C$14,N49+逐级计算!$C$14-(10/(逐级计算!$Q$14*LN(10))*(MAX((LN(10^(逐级计算!$Q$14/10)-1)+逐级计算!$Q$14*(N49-逐级计算!$P$14)*LN(10)/10),0)+LN(1+EXP(-ABS((LN(10^(逐级计算!$Q$14/10)-1)+逐级计算!$Q$14*(N49-逐级计算!$P$14)*LN(10)/10))))))),"")</f>
        <v>13.7930365742034</v>
      </c>
      <c r="P49">
        <f>IF(AND(ISNUMBER(O49),逐级计算!$X$15&gt;-1),IF(逐级计算!$X$15=0,O49+逐级计算!$C$15,O49+逐级计算!$C$15-(10/(逐级计算!$Q$15*LN(10))*(MAX((LN(10^(逐级计算!$Q$15/10)-1)+逐级计算!$Q$15*(O49-逐级计算!$P$15)*LN(10)/10),0)+LN(1+EXP(-ABS((LN(10^(逐级计算!$Q$15/10)-1)+逐级计算!$Q$15*(O49-逐级计算!$P$15)*LN(10)/10))))))),"")</f>
        <v>13.7930365742034</v>
      </c>
      <c r="Q49">
        <f>IF(AND(ISNUMBER(P49),逐级计算!$X$16&gt;-1),IF(逐级计算!$X$16=0,P49+逐级计算!$C$16,P49+逐级计算!$C$16-(10/(逐级计算!$Q$16*LN(10))*(MAX((LN(10^(逐级计算!$Q$16/10)-1)+逐级计算!$Q$16*(P49-逐级计算!$P$16)*LN(10)/10),0)+LN(1+EXP(-ABS((LN(10^(逐级计算!$Q$16/10)-1)+逐级计算!$Q$16*(P49-逐级计算!$P$16)*LN(10)/10))))))),"")</f>
        <v>13.7930365742034</v>
      </c>
      <c r="R49">
        <f>IF(AND(ISNUMBER(Q49),逐级计算!$X$17&gt;-1),IF(逐级计算!$X$17=0,Q49+逐级计算!$C$17,Q49+逐级计算!$C$17-(10/(逐级计算!$Q$17*LN(10))*(MAX((LN(10^(逐级计算!$Q$17/10)-1)+逐级计算!$Q$17*(Q49-逐级计算!$P$17)*LN(10)/10),0)+LN(1+EXP(-ABS((LN(10^(逐级计算!$Q$17/10)-1)+逐级计算!$Q$17*(Q49-逐级计算!$P$17)*LN(10)/10))))))),"")</f>
        <v>13.7930365742034</v>
      </c>
      <c r="S49">
        <f>IF(AND(ISNUMBER(R49),逐级计算!$X$18&gt;-1),IF(逐级计算!$X$18=0,R49+逐级计算!$C$18,R49+逐级计算!$C$18-(10/(逐级计算!$Q$18*LN(10))*(MAX((LN(10^(逐级计算!$Q$18/10)-1)+逐级计算!$Q$18*(R49-逐级计算!$P$18)*LN(10)/10),0)+LN(1+EXP(-ABS((LN(10^(逐级计算!$Q$18/10)-1)+逐级计算!$Q$18*(R49-逐级计算!$P$18)*LN(10)/10))))))),"")</f>
        <v>13.7930365742034</v>
      </c>
      <c r="T49">
        <f>IF(AND(ISNUMBER(S49),逐级计算!$X$19&gt;-1),IF(逐级计算!$X$19=0,S49+逐级计算!$C$19,S49+逐级计算!$C$19-(10/(逐级计算!$Q$19*LN(10))*(MAX((LN(10^(逐级计算!$Q$19/10)-1)+逐级计算!$Q$19*(S49-逐级计算!$P$19)*LN(10)/10),0)+LN(1+EXP(-ABS((LN(10^(逐级计算!$Q$19/10)-1)+逐级计算!$Q$19*(S49-逐级计算!$P$19)*LN(10)/10))))))),"")</f>
        <v>13.7930365742034</v>
      </c>
      <c r="U49">
        <f>IF(AND(ISNUMBER(T49),逐级计算!$X$20&gt;-1),IF(逐级计算!$X$20=0,T49+逐级计算!$C$20,T49+逐级计算!$C$20-(10/(逐级计算!$Q$20*LN(10))*(MAX((LN(10^(逐级计算!$Q$20/10)-1)+逐级计算!$Q$20*(T49-逐级计算!$P$20)*LN(10)/10),0)+LN(1+EXP(-ABS((LN(10^(逐级计算!$Q$20/10)-1)+逐级计算!$Q$20*(T49-逐级计算!$P$20)*LN(10)/10))))))),"")</f>
        <v>13.7930365742034</v>
      </c>
      <c r="V49">
        <f>IF(AND(ISNUMBER(U49),逐级计算!$X$21&gt;-1),IF(逐级计算!$X$21=0,U49+逐级计算!$C$21,U49+逐级计算!$C$21-(10/(逐级计算!$Q$21*LN(10))*(MAX((LN(10^(逐级计算!$Q$21/10)-1)+逐级计算!$Q$21*(U49-逐级计算!$P$21)*LN(10)/10),0)+LN(1+EXP(-ABS((LN(10^(逐级计算!$Q$21/10)-1)+逐级计算!$Q$21*(U49-逐级计算!$P$21)*LN(10)/10))))))),"")</f>
        <v>13.7930365742034</v>
      </c>
      <c r="W49">
        <f>IF(AND(ISNUMBER(V49),逐级计算!$X$22&gt;-1),IF(逐级计算!$X$22=0,V49+逐级计算!$C$22,V49+逐级计算!$C$22-(10/(逐级计算!$Q$22*LN(10))*(MAX((LN(10^(逐级计算!$Q$22/10)-1)+逐级计算!$Q$22*(V49-逐级计算!$P$22)*LN(10)/10),0)+LN(1+EXP(-ABS((LN(10^(逐级计算!$Q$22/10)-1)+逐级计算!$Q$22*(V49-逐级计算!$P$22)*LN(10)/10))))))),"")</f>
        <v>13.7930365742034</v>
      </c>
      <c r="X49">
        <f>IF(AND(ISNUMBER(W49),逐级计算!$X$23&gt;-1),IF(逐级计算!$X$23=0,W49+逐级计算!$C$23,W49+逐级计算!$C$23-(10/(逐级计算!$Q$23*LN(10))*(MAX((LN(10^(逐级计算!$Q$23/10)-1)+逐级计算!$Q$23*(W49-逐级计算!$P$23)*LN(10)/10),0)+LN(1+EXP(-ABS((LN(10^(逐级计算!$Q$23/10)-1)+逐级计算!$Q$23*(W49-逐级计算!$P$23)*LN(10)/10))))))),"")</f>
        <v>13.7930365742034</v>
      </c>
      <c r="Y49">
        <f>IF(AND(ISNUMBER(X49),逐级计算!$X$24&gt;-1),IF(逐级计算!$X$24=0,X49+逐级计算!$C$24,X49+逐级计算!$C$24-(10/(逐级计算!$Q$24*LN(10))*(MAX((LN(10^(逐级计算!$Q$24/10)-1)+逐级计算!$Q$24*(X49-逐级计算!$P$24)*LN(10)/10),0)+LN(1+EXP(-ABS((LN(10^(逐级计算!$Q$24/10)-1)+逐级计算!$Q$24*(X49-逐级计算!$P$24)*LN(10)/10))))))),"")</f>
        <v>13.7930365742034</v>
      </c>
      <c r="Z49">
        <f>IF(AND(ISNUMBER(Y49),逐级计算!$X$25&gt;-1),IF(逐级计算!$X$25=0,Y49+逐级计算!$C$25,Y49+逐级计算!$C$25-(10/(逐级计算!$Q$25*LN(10))*(MAX((LN(10^(逐级计算!$Q$25/10)-1)+逐级计算!$Q$25*(Y49-逐级计算!$P$25)*LN(10)/10),0)+LN(1+EXP(-ABS((LN(10^(逐级计算!$Q$25/10)-1)+逐级计算!$Q$25*(Y49-逐级计算!$P$25)*LN(10)/10))))))),"")</f>
        <v>13.7930365742034</v>
      </c>
      <c r="AA49">
        <f>IF(AND(ISNUMBER(Z49),逐级计算!$X$26&gt;-1),IF(逐级计算!$X$26=0,Z49+逐级计算!$C$26,Z49+逐级计算!$C$26-(10/(逐级计算!$Q$26*LN(10))*(MAX((LN(10^(逐级计算!$Q$26/10)-1)+逐级计算!$Q$26*(Z49-逐级计算!$P$26)*LN(10)/10),0)+LN(1+EXP(-ABS((LN(10^(逐级计算!$Q$26/10)-1)+逐级计算!$Q$26*(Z49-逐级计算!$P$26)*LN(10)/10))))))),"")</f>
        <v>13.7930365742034</v>
      </c>
      <c r="AB49">
        <f>IF(AND(ISNUMBER(AA49),逐级计算!$X$27&gt;-1),IF(逐级计算!$X$27=0,AA49+逐级计算!$C$27,AA49+逐级计算!$C$27-(10/(逐级计算!$Q$27*LN(10))*(MAX((LN(10^(逐级计算!$Q$27/10)-1)+逐级计算!$Q$27*(AA49-逐级计算!$P$27)*LN(10)/10),0)+LN(1+EXP(-ABS((LN(10^(逐级计算!$Q$27/10)-1)+逐级计算!$Q$27*(AA49-逐级计算!$P$27)*LN(10)/10))))))),"")</f>
        <v>13.7930365742034</v>
      </c>
      <c r="AC49">
        <f>IF(AND(ISNUMBER(AB49),逐级计算!$X$28&gt;-1),IF(逐级计算!$X$28=0,AB49+逐级计算!$C$28,AB49+逐级计算!$C$28-(10/(逐级计算!$Q$28*LN(10))*(MAX((LN(10^(逐级计算!$Q$28/10)-1)+逐级计算!$Q$28*(AB49-逐级计算!$P$28)*LN(10)/10),0)+LN(1+EXP(-ABS((LN(10^(逐级计算!$Q$28/10)-1)+逐级计算!$Q$28*(AB49-逐级计算!$P$28)*LN(10)/10))))))),"")</f>
        <v>13.7930365742034</v>
      </c>
      <c r="AD49">
        <f>IF(AND(ISNUMBER(AC49),逐级计算!$X$29&gt;-1),IF(逐级计算!$X$29=0,AC49+逐级计算!$C$29,AC49+逐级计算!$C$29-(10/(逐级计算!$Q$29*LN(10))*(MAX((LN(10^(逐级计算!$Q$29/10)-1)+逐级计算!$Q$29*(AC49-逐级计算!$P$29)*LN(10)/10),0)+LN(1+EXP(-ABS((LN(10^(逐级计算!$Q$29/10)-1)+逐级计算!$Q$29*(AC49-逐级计算!$P$29)*LN(10)/10))))))),"")</f>
        <v>13.7930365742034</v>
      </c>
      <c r="AE49">
        <f>IF(AND(ISNUMBER(AD49),逐级计算!$X$30&gt;-1),IF(逐级计算!$X$30=0,AD49+逐级计算!$C$30,AD49+逐级计算!$C$30-(10/(逐级计算!$Q$30*LN(10))*(MAX((LN(10^(逐级计算!$Q$30/10)-1)+逐级计算!$Q$30*(AD49-逐级计算!$P$30)*LN(10)/10),0)+LN(1+EXP(-ABS((LN(10^(逐级计算!$Q$30/10)-1)+逐级计算!$Q$30*(AD49-逐级计算!$P$30)*LN(10)/10))))))),"")</f>
        <v>13.7930365742034</v>
      </c>
      <c r="AF49">
        <f>IF(AND(ISNUMBER(AE49),逐级计算!$X$31&gt;-1),IF(逐级计算!$X$31=0,AE49+逐级计算!$C$31,AE49+逐级计算!$C$31-(10/(逐级计算!$Q$31*LN(10))*(MAX((LN(10^(逐级计算!$Q$31/10)-1)+逐级计算!$Q$31*(AE49-逐级计算!$P$31)*LN(10)/10),0)+LN(1+EXP(-ABS((LN(10^(逐级计算!$Q$31/10)-1)+逐级计算!$Q$31*(AE49-逐级计算!$P$31)*LN(10)/10))))))),"")</f>
        <v>13.7930365742034</v>
      </c>
      <c r="AG49">
        <f>IF(AND(ISNUMBER(AF49),逐级计算!$X$32&gt;-1),IF(逐级计算!$X$32=0,AF49+逐级计算!$C$32,AF49+逐级计算!$C$32-(10/(逐级计算!$Q$32*LN(10))*(MAX((LN(10^(逐级计算!$Q$32/10)-1)+逐级计算!$Q$32*(AF49-逐级计算!$P$32)*LN(10)/10),0)+LN(1+EXP(-ABS((LN(10^(逐级计算!$Q$32/10)-1)+逐级计算!$Q$32*(AF49-逐级计算!$P$32)*LN(10)/10))))))),"")</f>
        <v>13.7930365742034</v>
      </c>
      <c r="AH49">
        <f>IF(AND(ISNUMBER(AG49),逐级计算!$X$33&gt;-1),IF(逐级计算!$X$33=0,AG49+逐级计算!$C$33,AG49+逐级计算!$C$33-(10/(逐级计算!$Q$33*LN(10))*(MAX((LN(10^(逐级计算!$Q$33/10)-1)+逐级计算!$Q$33*(AG49-逐级计算!$P$33)*LN(10)/10),0)+LN(1+EXP(-ABS((LN(10^(逐级计算!$Q$33/10)-1)+逐级计算!$Q$33*(AG49-逐级计算!$P$33)*LN(10)/10))))))),"")</f>
        <v>13.7930365742034</v>
      </c>
      <c r="AI49">
        <f>IF(AND(ISNUMBER(AH49),逐级计算!$X$34&gt;-1),IF(逐级计算!$X$34=0,AH49+逐级计算!$C$34,AH49+逐级计算!$C$34-(10/(逐级计算!$Q$34*LN(10))*(MAX((LN(10^(逐级计算!$Q$34/10)-1)+逐级计算!$Q$34*(AH49-逐级计算!$P$34)*LN(10)/10),0)+LN(1+EXP(-ABS((LN(10^(逐级计算!$Q$34/10)-1)+逐级计算!$Q$34*(AH49-逐级计算!$P$34)*LN(10)/10))))))),"")</f>
        <v>13.7930365742034</v>
      </c>
      <c r="AJ49">
        <f>IF(AND(ISNUMBER(AI49),逐级计算!$X$35&gt;-1),IF(逐级计算!$X$35=0,AI49+逐级计算!$C$35,AI49+逐级计算!$C$35-(10/(逐级计算!$Q$35*LN(10))*(MAX((LN(10^(逐级计算!$Q$35/10)-1)+逐级计算!$Q$35*(AI49-逐级计算!$P$35)*LN(10)/10),0)+LN(1+EXP(-ABS((LN(10^(逐级计算!$Q$35/10)-1)+逐级计算!$Q$35*(AI49-逐级计算!$P$35)*LN(10)/10))))))),"")</f>
        <v>13.7930365742034</v>
      </c>
      <c r="AK49">
        <f>IF(AND(ISNUMBER(AJ49),逐级计算!$X$36&gt;-1),IF(逐级计算!$X$36=0,AJ49+逐级计算!$C$36,AJ49+逐级计算!$C$36-(10/(逐级计算!$Q$36*LN(10))*(MAX((LN(10^(逐级计算!$Q$36/10)-1)+逐级计算!$Q$36*(AJ49-逐级计算!$P$36)*LN(10)/10),0)+LN(1+EXP(-ABS((LN(10^(逐级计算!$Q$36/10)-1)+逐级计算!$Q$36*(AJ49-逐级计算!$P$36)*LN(10)/10))))))),"")</f>
        <v>13.7930365742034</v>
      </c>
      <c r="AL49">
        <f>IF(AND(ISNUMBER(AK49),逐级计算!$X$37&gt;-1),IF(逐级计算!$X$37=0,AK49+逐级计算!$C$37,AK49+逐级计算!$C$37-(10/(逐级计算!$Q$37*LN(10))*(MAX((LN(10^(逐级计算!$Q$37/10)-1)+逐级计算!$Q$37*(AK49-逐级计算!$P$37)*LN(10)/10),0)+LN(1+EXP(-ABS((LN(10^(逐级计算!$Q$37/10)-1)+逐级计算!$Q$37*(AK49-逐级计算!$P$37)*LN(10)/10))))))),"")</f>
        <v>13.7930365742034</v>
      </c>
      <c r="AM49">
        <f>IF(AND(ISNUMBER(AL49),逐级计算!$X$38&gt;-1),IF(逐级计算!$X$38=0,AL49+逐级计算!$C$38,AL49+逐级计算!$C$38-(10/(逐级计算!$Q$38*LN(10))*(MAX((LN(10^(逐级计算!$Q$38/10)-1)+逐级计算!$Q$38*(AL49-逐级计算!$P$38)*LN(10)/10),0)+LN(1+EXP(-ABS((LN(10^(逐级计算!$Q$38/10)-1)+逐级计算!$Q$38*(AL49-逐级计算!$P$38)*LN(10)/10))))))),"")</f>
        <v>13.7930365742034</v>
      </c>
      <c r="AN49">
        <f>IF(AND(ISNUMBER(AM49),逐级计算!$X$39&gt;-1),IF(逐级计算!$X$39=0,AM49+逐级计算!$C$39,AM49+逐级计算!$C$39-(10/(逐级计算!$Q$39*LN(10))*(MAX((LN(10^(逐级计算!$Q$39/10)-1)+逐级计算!$Q$39*(AM49-逐级计算!$P$39)*LN(10)/10),0)+LN(1+EXP(-ABS((LN(10^(逐级计算!$Q$39/10)-1)+逐级计算!$Q$39*(AM49-逐级计算!$P$39)*LN(10)/10))))))),"")</f>
        <v>13.7930365742034</v>
      </c>
      <c r="AO49">
        <f>IF(AND(ISNUMBER(AN49),逐级计算!$X$40&gt;-1),IF(逐级计算!$X$40=0,AN49+逐级计算!$C$40,AN49+逐级计算!$C$40-(10/(逐级计算!$Q$40*LN(10))*(MAX((LN(10^(逐级计算!$Q$40/10)-1)+逐级计算!$Q$40*(AN49-逐级计算!$P$40)*LN(10)/10),0)+LN(1+EXP(-ABS((LN(10^(逐级计算!$Q$40/10)-1)+逐级计算!$Q$40*(AN49-逐级计算!$P$40)*LN(10)/10))))))),"")</f>
        <v>13.7930365742034</v>
      </c>
      <c r="AP49">
        <f>IF(AND(ISNUMBER(AO49),逐级计算!$X$41&gt;-1),IF(逐级计算!$X$41=0,AO49+逐级计算!$C$41,AO49+逐级计算!$C$41-(10/(逐级计算!$Q$41*LN(10))*(MAX((LN(10^(逐级计算!$Q$41/10)-1)+逐级计算!$Q$41*(AO49-逐级计算!$P$41)*LN(10)/10),0)+LN(1+EXP(-ABS((LN(10^(逐级计算!$Q$41/10)-1)+逐级计算!$Q$41*(AO49-逐级计算!$P$41)*LN(10)/10))))))),"")</f>
        <v>13.7930365742034</v>
      </c>
      <c r="AQ49">
        <f>IF(AND(ISNUMBER(AP49),逐级计算!$X$42&gt;-1),IF(逐级计算!$X$42=0,AP49+逐级计算!$C$42,AP49+逐级计算!$C$42-(10/(逐级计算!$Q$42*LN(10))*(MAX((LN(10^(逐级计算!$Q$42/10)-1)+逐级计算!$Q$42*(AP49-逐级计算!$P$42)*LN(10)/10),0)+LN(1+EXP(-ABS((LN(10^(逐级计算!$Q$42/10)-1)+逐级计算!$Q$42*(AP49-逐级计算!$P$42)*LN(10)/10))))))),"")</f>
        <v>13.7930365742034</v>
      </c>
      <c r="AR49">
        <f>IF(AND(ISNUMBER(AQ49),逐级计算!$X$43&gt;-1),IF(逐级计算!$X$43=0,AQ49+逐级计算!$C$43,AQ49+逐级计算!$C$43-(10/(逐级计算!$Q$43*LN(10))*(MAX((LN(10^(逐级计算!$Q$43/10)-1)+逐级计算!$Q$43*(AQ49-逐级计算!$P$43)*LN(10)/10),0)+LN(1+EXP(-ABS((LN(10^(逐级计算!$Q$43/10)-1)+逐级计算!$Q$43*(AQ49-逐级计算!$P$43)*LN(10)/10))))))),"")</f>
        <v>13.7930365742034</v>
      </c>
      <c r="AS49">
        <f>IF(AND(ISNUMBER(AR49),逐级计算!$X$44&gt;-1),IF(逐级计算!$X$44=0,AR49+逐级计算!$C$44,AR49+逐级计算!$C$44-(10/(逐级计算!$Q$44*LN(10))*(MAX((LN(10^(逐级计算!$Q$44/10)-1)+逐级计算!$Q$44*(AR49-逐级计算!$P$44)*LN(10)/10),0)+LN(1+EXP(-ABS((LN(10^(逐级计算!$Q$44/10)-1)+逐级计算!$Q$44*(AR49-逐级计算!$P$44)*LN(10)/10))))))),"")</f>
        <v>13.7930365742034</v>
      </c>
      <c r="AT49">
        <f>IF(AND(ISNUMBER(AS49),逐级计算!$X$45&gt;-1),IF(逐级计算!$X$45=0,AS49+逐级计算!$C$45,AS49+逐级计算!$C$45-(10/(逐级计算!$Q$45*LN(10))*(MAX((LN(10^(逐级计算!$Q$45/10)-1)+逐级计算!$Q$45*(AS49-逐级计算!$P$45)*LN(10)/10),0)+LN(1+EXP(-ABS((LN(10^(逐级计算!$Q$45/10)-1)+逐级计算!$Q$45*(AS49-逐级计算!$P$45)*LN(10)/10))))))),"")</f>
        <v>13.7930365742034</v>
      </c>
      <c r="AU49">
        <f>IF(AND(ISNUMBER(AT49),逐级计算!$X$46&gt;-1),IF(逐级计算!$X$46=0,AT49+逐级计算!$C$46,AT49+逐级计算!$C$46-(10/(逐级计算!$Q$46*LN(10))*(MAX((LN(10^(逐级计算!$Q$46/10)-1)+逐级计算!$Q$46*(AT49-逐级计算!$P$46)*LN(10)/10),0)+LN(1+EXP(-ABS((LN(10^(逐级计算!$Q$46/10)-1)+逐级计算!$Q$46*(AT49-逐级计算!$P$46)*LN(10)/10))))))),"")</f>
        <v>13.7930365742034</v>
      </c>
      <c r="AV49">
        <f>IF(AND(ISNUMBER(AU49),逐级计算!$X$47&gt;-1),IF(逐级计算!$X$47=0,AU49+逐级计算!$C$47,AU49+逐级计算!$C$47-(10/(逐级计算!$Q$47*LN(10))*(MAX((LN(10^(逐级计算!$Q$47/10)-1)+逐级计算!$Q$47*(AU49-逐级计算!$P$47)*LN(10)/10),0)+LN(1+EXP(-ABS((LN(10^(逐级计算!$Q$47/10)-1)+逐级计算!$Q$47*(AU49-逐级计算!$P$47)*LN(10)/10))))))),"")</f>
        <v>13.7930365742034</v>
      </c>
      <c r="AW49">
        <f>IF(AND(ISNUMBER(AV49),逐级计算!$X$48&gt;-1),IF(逐级计算!$X$48=0,AV49+逐级计算!$C$48,AV49+逐级计算!$C$48-(10/(逐级计算!$Q$48*LN(10))*(MAX((LN(10^(逐级计算!$Q$48/10)-1)+逐级计算!$Q$48*(AV49-逐级计算!$P$48)*LN(10)/10),0)+LN(1+EXP(-ABS((LN(10^(逐级计算!$Q$48/10)-1)+逐级计算!$Q$48*(AV49-逐级计算!$P$48)*LN(10)/10))))))),"")</f>
        <v>13.7930365742034</v>
      </c>
      <c r="AX49">
        <f>IF(AND(ISNUMBER(AW49),逐级计算!$X$49&gt;-1),IF(逐级计算!$X$49=0,AW49+逐级计算!$C$49,AW49+逐级计算!$C$49-(10/(逐级计算!$Q$49*LN(10))*(MAX((LN(10^(逐级计算!$Q$49/10)-1)+逐级计算!$Q$49*(AW49-逐级计算!$P$49)*LN(10)/10),0)+LN(1+EXP(-ABS((LN(10^(逐级计算!$Q$49/10)-1)+逐级计算!$Q$49*(AW49-逐级计算!$P$49)*LN(10)/10))))))),"")</f>
        <v>13.7930365742034</v>
      </c>
      <c r="AY49">
        <f>IF(AND(ISNUMBER(AX49),逐级计算!$X$50&gt;-1),IF(逐级计算!$X$50=0,AX49+逐级计算!$C$50,AX49+逐级计算!$C$50-(10/(逐级计算!$Q$50*LN(10))*(MAX((LN(10^(逐级计算!$Q$50/10)-1)+逐级计算!$Q$50*(AX49-逐级计算!$P$50)*LN(10)/10),0)+LN(1+EXP(-ABS((LN(10^(逐级计算!$Q$50/10)-1)+逐级计算!$Q$50*(AX49-逐级计算!$P$50)*LN(10)/10))))))),"")</f>
        <v>13.7930365742034</v>
      </c>
      <c r="AZ49">
        <f>IF(AND(ISNUMBER(AY49),逐级计算!$X$51&gt;-1),IF(逐级计算!$X$51=0,AY49+逐级计算!$C$51,AY49+逐级计算!$C$51-(10/(逐级计算!$Q$51*LN(10))*(MAX((LN(10^(逐级计算!$Q$51/10)-1)+逐级计算!$Q$51*(AY49-逐级计算!$P$51)*LN(10)/10),0)+LN(1+EXP(-ABS((LN(10^(逐级计算!$Q$51/10)-1)+逐级计算!$Q$51*(AY49-逐级计算!$P$51)*LN(10)/10))))))),"")</f>
        <v>13.7930365742034</v>
      </c>
      <c r="BA49">
        <f>IF(AND(ISNUMBER(AZ49),逐级计算!$X$52&gt;-1),IF(逐级计算!$X$52=0,AZ49+逐级计算!$C$52,AZ49+逐级计算!$C$52-(10/(逐级计算!$Q$52*LN(10))*(MAX((LN(10^(逐级计算!$Q$52/10)-1)+逐级计算!$Q$52*(AZ49-逐级计算!$P$52)*LN(10)/10),0)+LN(1+EXP(-ABS((LN(10^(逐级计算!$Q$52/10)-1)+逐级计算!$Q$52*(AZ49-逐级计算!$P$52)*LN(10)/10))))))),"")</f>
        <v>13.7930365742034</v>
      </c>
      <c r="BB49">
        <f>IF(AND(ISNUMBER(BA49),逐级计算!$X$53&gt;-1),IF(逐级计算!$X$53=0,BA49+逐级计算!$C$53,BA49+逐级计算!$C$53-(10/(逐级计算!$Q$53*LN(10))*(MAX((LN(10^(逐级计算!$Q$53/10)-1)+逐级计算!$Q$53*(BA49-逐级计算!$P$53)*LN(10)/10),0)+LN(1+EXP(-ABS((LN(10^(逐级计算!$Q$53/10)-1)+逐级计算!$Q$53*(BA49-逐级计算!$P$53)*LN(10)/10))))))),"")</f>
        <v>13.7930365742034</v>
      </c>
      <c r="BC49">
        <f>IF(AND(ISNUMBER(BB49),逐级计算!$X$54&gt;-1),IF(逐级计算!$X$54=0,BB49+逐级计算!$C$54,BB49+逐级计算!$C$54-(10/(逐级计算!$Q$54*LN(10))*(MAX((LN(10^(逐级计算!$Q$54/10)-1)+逐级计算!$Q$54*(BB49-逐级计算!$P$54)*LN(10)/10),0)+LN(1+EXP(-ABS((LN(10^(逐级计算!$Q$54/10)-1)+逐级计算!$Q$54*(BB49-逐级计算!$P$54)*LN(10)/10))))))),"")</f>
        <v>13.7930365742034</v>
      </c>
      <c r="BD49">
        <f>IF(AND(ISNUMBER(BC49),逐级计算!$X$55&gt;-1),IF(逐级计算!$X$55=0,BC49+逐级计算!$C$55,BC49+逐级计算!$C$55-(10/(逐级计算!$Q$55*LN(10))*(MAX((LN(10^(逐级计算!$Q$55/10)-1)+逐级计算!$Q$55*(BC49-逐级计算!$P$55)*LN(10)/10),0)+LN(1+EXP(-ABS((LN(10^(逐级计算!$Q$55/10)-1)+逐级计算!$Q$55*(BC49-逐级计算!$P$55)*LN(10)/10))))))),"")</f>
        <v>13.7930365742034</v>
      </c>
      <c r="BE49">
        <f>IF(AND(ISNUMBER(BD49),逐级计算!$X$56&gt;-1),IF(逐级计算!$X$56=0,BD49+逐级计算!$C$56,BD49+逐级计算!$C$56-(10/(逐级计算!$Q$56*LN(10))*(MAX((LN(10^(逐级计算!$Q$56/10)-1)+逐级计算!$Q$56*(BD49-逐级计算!$P$56)*LN(10)/10),0)+LN(1+EXP(-ABS((LN(10^(逐级计算!$Q$56/10)-1)+逐级计算!$Q$56*(BD49-逐级计算!$P$56)*LN(10)/10))))))),"")</f>
        <v>13.7930365742034</v>
      </c>
      <c r="BF49">
        <f>IF(AND(ISNUMBER(BE49),逐级计算!$X$57&gt;-1),IF(逐级计算!$X$57=0,BE49+逐级计算!$C$57,BE49+逐级计算!$C$57-(10/(逐级计算!$Q$57*LN(10))*(MAX((LN(10^(逐级计算!$Q$57/10)-1)+逐级计算!$Q$57*(BE49-逐级计算!$P$57)*LN(10)/10),0)+LN(1+EXP(-ABS((LN(10^(逐级计算!$Q$57/10)-1)+逐级计算!$Q$57*(BE49-逐级计算!$P$57)*LN(10)/10))))))),"")</f>
        <v>13.7930365742034</v>
      </c>
      <c r="BG49">
        <f>IF(AND(ISNUMBER(BF49),逐级计算!$X$58&gt;-1),IF(逐级计算!$X$58=0,BF49+逐级计算!$C$58,BF49+逐级计算!$C$58-(10/(逐级计算!$Q$58*LN(10))*(MAX((LN(10^(逐级计算!$Q$58/10)-1)+逐级计算!$Q$58*(BF49-逐级计算!$P$58)*LN(10)/10),0)+LN(1+EXP(-ABS((LN(10^(逐级计算!$Q$58/10)-1)+逐级计算!$Q$58*(BF49-逐级计算!$P$58)*LN(10)/10))))))),"")</f>
        <v>13.7930365742034</v>
      </c>
      <c r="BH49">
        <f>IF(AND(ISNUMBER(BG49),逐级计算!$X$59&gt;-1),IF(逐级计算!$X$59=0,BG49+逐级计算!$C$59,BG49+逐级计算!$C$59-(10/(逐级计算!$Q$59*LN(10))*(MAX((LN(10^(逐级计算!$Q$59/10)-1)+逐级计算!$Q$59*(BG49-逐级计算!$P$59)*LN(10)/10),0)+LN(1+EXP(-ABS((LN(10^(逐级计算!$Q$59/10)-1)+逐级计算!$Q$59*(BG49-逐级计算!$P$59)*LN(10)/10))))))),"")</f>
        <v>13.7930365742034</v>
      </c>
      <c r="BI49">
        <f>IF(AND(ISNUMBER(BH49),逐级计算!$X$60&gt;-1),IF(逐级计算!$X$60=0,BH49+逐级计算!$C$60,BH49+逐级计算!$C$60-(10/(逐级计算!$Q$60*LN(10))*(MAX((LN(10^(逐级计算!$Q$60/10)-1)+逐级计算!$Q$60*(BH49-逐级计算!$P$60)*LN(10)/10),0)+LN(1+EXP(-ABS((LN(10^(逐级计算!$Q$60/10)-1)+逐级计算!$Q$60*(BH49-逐级计算!$P$60)*LN(10)/10))))))),"")</f>
        <v>13.7930365742034</v>
      </c>
      <c r="BJ49">
        <f>IF(AND(ISNUMBER(BI49),逐级计算!$X$61&gt;-1),IF(逐级计算!$X$61=0,BI49+逐级计算!$C$61,BI49+逐级计算!$C$61-(10/(逐级计算!$Q$61*LN(10))*(MAX((LN(10^(逐级计算!$Q$61/10)-1)+逐级计算!$Q$61*(BI49-逐级计算!$P$61)*LN(10)/10),0)+LN(1+EXP(-ABS((LN(10^(逐级计算!$Q$61/10)-1)+逐级计算!$Q$61*(BI49-逐级计算!$P$61)*LN(10)/10))))))),"")</f>
        <v>13.7930365742034</v>
      </c>
      <c r="BK49">
        <f>IF(AND(ISNUMBER(BJ49),逐级计算!$X$62&gt;-1),IF(逐级计算!$X$62=0,BJ49+逐级计算!$C$62,BJ49+逐级计算!$C$62-(10/(逐级计算!$Q$62*LN(10))*(MAX((LN(10^(逐级计算!$Q$62/10)-1)+逐级计算!$Q$62*(BJ49-逐级计算!$P$62)*LN(10)/10),0)+LN(1+EXP(-ABS((LN(10^(逐级计算!$Q$62/10)-1)+逐级计算!$Q$62*(BJ49-逐级计算!$P$62)*LN(10)/10))))))),"")</f>
        <v>13.7930365742034</v>
      </c>
      <c r="BL49">
        <f>IF(AND(ISNUMBER(BK49),逐级计算!$X$63&gt;-1),IF(逐级计算!$X$63=0,BK49+逐级计算!$C$63,BK49+逐级计算!$C$63-(10/(逐级计算!$Q$63*LN(10))*(MAX((LN(10^(逐级计算!$Q$63/10)-1)+逐级计算!$Q$63*(BK49-逐级计算!$P$63)*LN(10)/10),0)+LN(1+EXP(-ABS((LN(10^(逐级计算!$Q$63/10)-1)+逐级计算!$Q$63*(BK49-逐级计算!$P$63)*LN(10)/10))))))),"")</f>
        <v>13.7930365742034</v>
      </c>
      <c r="BM49">
        <f>IF(AND(ISNUMBER(BL49),逐级计算!$X$64&gt;-1),IF(逐级计算!$X$64=0,BL49+逐级计算!$C$64,BL49+逐级计算!$C$64-(10/(逐级计算!$Q$64*LN(10))*(MAX((LN(10^(逐级计算!$Q$64/10)-1)+逐级计算!$Q$64*(BL49-逐级计算!$P$64)*LN(10)/10),0)+LN(1+EXP(-ABS((LN(10^(逐级计算!$Q$64/10)-1)+逐级计算!$Q$64*(BL49-逐级计算!$P$64)*LN(10)/10))))))),"")</f>
        <v>13.7930365742034</v>
      </c>
      <c r="BN49">
        <f>IF(AND(ISNUMBER(BM49),逐级计算!$X$65&gt;-1),IF(逐级计算!$X$65=0,BM49+逐级计算!$C$65,BM49+逐级计算!$C$65-(10/(逐级计算!$Q$65*LN(10))*(MAX((LN(10^(逐级计算!$Q$65/10)-1)+逐级计算!$Q$65*(BM49-逐级计算!$P$65)*LN(10)/10),0)+LN(1+EXP(-ABS((LN(10^(逐级计算!$Q$65/10)-1)+逐级计算!$Q$65*(BM49-逐级计算!$P$65)*LN(10)/10))))))),"")</f>
        <v>13.7930365742034</v>
      </c>
      <c r="BO49">
        <f>IF(AND(ISNUMBER(BN49),逐级计算!$X$66&gt;-1),IF(逐级计算!$X$66=0,BN49+逐级计算!$C$66,BN49+逐级计算!$C$66-(10/(逐级计算!$Q$66*LN(10))*(MAX((LN(10^(逐级计算!$Q$66/10)-1)+逐级计算!$Q$66*(BN49-逐级计算!$P$66)*LN(10)/10),0)+LN(1+EXP(-ABS((LN(10^(逐级计算!$Q$66/10)-1)+逐级计算!$Q$66*(BN49-逐级计算!$P$66)*LN(10)/10))))))),"")</f>
        <v>13.7930365742034</v>
      </c>
      <c r="BP49">
        <f>IF(AND(ISNUMBER(BO49),逐级计算!$X$67&gt;-1),IF(逐级计算!$X$67=0,BO49+逐级计算!$C$67,BO49+逐级计算!$C$67-(10/(逐级计算!$Q$67*LN(10))*(MAX((LN(10^(逐级计算!$Q$67/10)-1)+逐级计算!$Q$67*(BO49-逐级计算!$P$67)*LN(10)/10),0)+LN(1+EXP(-ABS((LN(10^(逐级计算!$Q$67/10)-1)+逐级计算!$Q$67*(BO49-逐级计算!$P$67)*LN(10)/10))))))),"")</f>
        <v>13.7930365742034</v>
      </c>
      <c r="BQ49">
        <f>IF(AND(ISNUMBER(BP49),逐级计算!$X$68&gt;-1),IF(逐级计算!$X$68=0,BP49+逐级计算!$C$68,BP49+逐级计算!$C$68-(10/(逐级计算!$Q$68*LN(10))*(MAX((LN(10^(逐级计算!$Q$68/10)-1)+逐级计算!$Q$68*(BP49-逐级计算!$P$68)*LN(10)/10),0)+LN(1+EXP(-ABS((LN(10^(逐级计算!$Q$68/10)-1)+逐级计算!$Q$68*(BP49-逐级计算!$P$68)*LN(10)/10))))))),"")</f>
        <v>13.7930365742034</v>
      </c>
      <c r="BR49">
        <f>IF(AND(ISNUMBER(BQ49),逐级计算!$X$69&gt;-1),IF(逐级计算!$X$69=0,BQ49+逐级计算!$C$69,BQ49+逐级计算!$C$69-(10/(逐级计算!$Q$69*LN(10))*(MAX((LN(10^(逐级计算!$Q$69/10)-1)+逐级计算!$Q$69*(BQ49-逐级计算!$P$69)*LN(10)/10),0)+LN(1+EXP(-ABS((LN(10^(逐级计算!$Q$69/10)-1)+逐级计算!$Q$69*(BQ49-逐级计算!$P$69)*LN(10)/10))))))),"")</f>
        <v>13.7930365742034</v>
      </c>
      <c r="BS49">
        <f>IF(AND(ISNUMBER(BR49),逐级计算!$X$70&gt;-1),IF(逐级计算!$X$70=0,BR49+逐级计算!$C$70,BR49+逐级计算!$C$70-(10/(逐级计算!$Q$70*LN(10))*(MAX((LN(10^(逐级计算!$Q$70/10)-1)+逐级计算!$Q$70*(BR49-逐级计算!$P$70)*LN(10)/10),0)+LN(1+EXP(-ABS((LN(10^(逐级计算!$Q$70/10)-1)+逐级计算!$Q$70*(BR49-逐级计算!$P$70)*LN(10)/10))))))),"")</f>
        <v>13.7930365742034</v>
      </c>
      <c r="BT49">
        <f>IF(AND(ISNUMBER(BS49),逐级计算!$X$71&gt;-1),IF(逐级计算!$X$71=0,BS49+逐级计算!$C$71,BS49+逐级计算!$C$71-(10/(逐级计算!$Q$71*LN(10))*(MAX((LN(10^(逐级计算!$Q$71/10)-1)+逐级计算!$Q$71*(BS49-逐级计算!$P$71)*LN(10)/10),0)+LN(1+EXP(-ABS((LN(10^(逐级计算!$Q$71/10)-1)+逐级计算!$Q$71*(BS49-逐级计算!$P$71)*LN(10)/10))))))),"")</f>
        <v>13.7930365742034</v>
      </c>
      <c r="BU49">
        <f>IF(AND(ISNUMBER(BT49),逐级计算!$X$72&gt;-1),IF(逐级计算!$X$72=0,BT49+逐级计算!$C$72,BT49+逐级计算!$C$72-(10/(逐级计算!$Q$72*LN(10))*(MAX((LN(10^(逐级计算!$Q$72/10)-1)+逐级计算!$Q$72*(BT49-逐级计算!$P$72)*LN(10)/10),0)+LN(1+EXP(-ABS((LN(10^(逐级计算!$Q$72/10)-1)+逐级计算!$Q$72*(BT49-逐级计算!$P$72)*LN(10)/10))))))),"")</f>
        <v>13.7930365742034</v>
      </c>
      <c r="BV49">
        <f>IF(AND(ISNUMBER(BU49),逐级计算!$X$73&gt;-1),IF(逐级计算!$X$73=0,BU49+逐级计算!$C$73,BU49+逐级计算!$C$73-(10/(逐级计算!$Q$73*LN(10))*(MAX((LN(10^(逐级计算!$Q$73/10)-1)+逐级计算!$Q$73*(BU49-逐级计算!$P$73)*LN(10)/10),0)+LN(1+EXP(-ABS((LN(10^(逐级计算!$Q$73/10)-1)+逐级计算!$Q$73*(BU49-逐级计算!$P$73)*LN(10)/10))))))),"")</f>
        <v>13.7930365742034</v>
      </c>
      <c r="BW49">
        <f>IF(AND(ISNUMBER(BV49),逐级计算!$X$74&gt;-1),IF(逐级计算!$X$74=0,BV49+逐级计算!$C$74,BV49+逐级计算!$C$74-(10/(逐级计算!$Q$74*LN(10))*(MAX((LN(10^(逐级计算!$Q$74/10)-1)+逐级计算!$Q$74*(BV49-逐级计算!$P$74)*LN(10)/10),0)+LN(1+EXP(-ABS((LN(10^(逐级计算!$Q$74/10)-1)+逐级计算!$Q$74*(BV49-逐级计算!$P$74)*LN(10)/10))))))),"")</f>
        <v>13.7930365742034</v>
      </c>
      <c r="BX49">
        <f>IF(AND(ISNUMBER(BW49),逐级计算!$X$75&gt;-1),IF(逐级计算!$X$75=0,BW49+逐级计算!$C$75,BW49+逐级计算!$C$75-(10/(逐级计算!$Q$75*LN(10))*(MAX((LN(10^(逐级计算!$Q$75/10)-1)+逐级计算!$Q$75*(BW49-逐级计算!$P$75)*LN(10)/10),0)+LN(1+EXP(-ABS((LN(10^(逐级计算!$Q$75/10)-1)+逐级计算!$Q$75*(BW49-逐级计算!$P$75)*LN(10)/10))))))),"")</f>
        <v>13.7930365742034</v>
      </c>
      <c r="BY49">
        <f>IF(AND(ISNUMBER(BX49),逐级计算!$X$76&gt;-1),IF(逐级计算!$X$76=0,BX49+逐级计算!$C$76,BX49+逐级计算!$C$76-(10/(逐级计算!$Q$76*LN(10))*(MAX((LN(10^(逐级计算!$Q$76/10)-1)+逐级计算!$Q$76*(BX49-逐级计算!$P$76)*LN(10)/10),0)+LN(1+EXP(-ABS((LN(10^(逐级计算!$Q$76/10)-1)+逐级计算!$Q$76*(BX49-逐级计算!$P$76)*LN(10)/10))))))),"")</f>
        <v>13.7930365742034</v>
      </c>
      <c r="BZ49">
        <f>IF(AND(ISNUMBER(BY49),逐级计算!$X$77&gt;-1),IF(逐级计算!$X$77=0,BY49+逐级计算!$C$77,BY49+逐级计算!$C$77-(10/(逐级计算!$Q$77*LN(10))*(MAX((LN(10^(逐级计算!$Q$77/10)-1)+逐级计算!$Q$77*(BY49-逐级计算!$P$77)*LN(10)/10),0)+LN(1+EXP(-ABS((LN(10^(逐级计算!$Q$77/10)-1)+逐级计算!$Q$77*(BY49-逐级计算!$P$77)*LN(10)/10))))))),"")</f>
        <v>13.7930365742034</v>
      </c>
      <c r="CA49">
        <f>IF(AND(ISNUMBER(BZ49),逐级计算!$X$78&gt;-1),IF(逐级计算!$X$78=0,BZ49+逐级计算!$C$78,BZ49+逐级计算!$C$78-(10/(逐级计算!$Q$78*LN(10))*(MAX((LN(10^(逐级计算!$Q$78/10)-1)+逐级计算!$Q$78*(BZ49-逐级计算!$P$78)*LN(10)/10),0)+LN(1+EXP(-ABS((LN(10^(逐级计算!$Q$78/10)-1)+逐级计算!$Q$78*(BZ49-逐级计算!$P$78)*LN(10)/10))))))),"")</f>
        <v>13.7930365742034</v>
      </c>
      <c r="CB49">
        <f>IF(AND(ISNUMBER(CA49),逐级计算!$X$79&gt;-1),IF(逐级计算!$X$79=0,CA49+逐级计算!$C$79,CA49+逐级计算!$C$79-(10/(逐级计算!$Q$79*LN(10))*(MAX((LN(10^(逐级计算!$Q$79/10)-1)+逐级计算!$Q$79*(CA49-逐级计算!$P$79)*LN(10)/10),0)+LN(1+EXP(-ABS((LN(10^(逐级计算!$Q$79/10)-1)+逐级计算!$Q$79*(CA49-逐级计算!$P$79)*LN(10)/10))))))),"")</f>
        <v>13.7930365742034</v>
      </c>
      <c r="CC49">
        <f>IF(AND(ISNUMBER(CB49),逐级计算!$X$80&gt;-1),IF(逐级计算!$X$80=0,CB49+逐级计算!$C$80,CB49+逐级计算!$C$80-(10/(逐级计算!$Q$80*LN(10))*(MAX((LN(10^(逐级计算!$Q$80/10)-1)+逐级计算!$Q$80*(CB49-逐级计算!$P$80)*LN(10)/10),0)+LN(1+EXP(-ABS((LN(10^(逐级计算!$Q$80/10)-1)+逐级计算!$Q$80*(CB49-逐级计算!$P$80)*LN(10)/10))))))),"")</f>
        <v>13.7930365742034</v>
      </c>
      <c r="CD49">
        <f>IF(AND(ISNUMBER(CC49),逐级计算!$X$81&gt;-1),IF(逐级计算!$X$81=0,CC49+逐级计算!$C$81,CC49+逐级计算!$C$81-(10/(逐级计算!$Q$81*LN(10))*(MAX((LN(10^(逐级计算!$Q$81/10)-1)+逐级计算!$Q$81*(CC49-逐级计算!$P$81)*LN(10)/10),0)+LN(1+EXP(-ABS((LN(10^(逐级计算!$Q$81/10)-1)+逐级计算!$Q$81*(CC49-逐级计算!$P$81)*LN(10)/10))))))),"")</f>
        <v>13.7930365742034</v>
      </c>
      <c r="CE49">
        <f>IF(AND(ISNUMBER(CD49),逐级计算!$X$82&gt;-1),IF(逐级计算!$X$82=0,CD49+逐级计算!$C$82,CD49+逐级计算!$C$82-(10/(逐级计算!$Q$82*LN(10))*(MAX((LN(10^(逐级计算!$Q$82/10)-1)+逐级计算!$Q$82*(CD49-逐级计算!$P$82)*LN(10)/10),0)+LN(1+EXP(-ABS((LN(10^(逐级计算!$Q$82/10)-1)+逐级计算!$Q$82*(CD49-逐级计算!$P$82)*LN(10)/10))))))),"")</f>
        <v>13.7930365742034</v>
      </c>
      <c r="CF49">
        <f>IF(AND(ISNUMBER(CE49),逐级计算!$X$83&gt;-1),IF(逐级计算!$X$83=0,CE49+逐级计算!$C$83,CE49+逐级计算!$C$83-(10/(逐级计算!$Q$83*LN(10))*(MAX((LN(10^(逐级计算!$Q$83/10)-1)+逐级计算!$Q$83*(CE49-逐级计算!$P$83)*LN(10)/10),0)+LN(1+EXP(-ABS((LN(10^(逐级计算!$Q$83/10)-1)+逐级计算!$Q$83*(CE49-逐级计算!$P$83)*LN(10)/10))))))),"")</f>
        <v>13.7930365742034</v>
      </c>
      <c r="CG49">
        <f>IF(AND(ISNUMBER(CF49),逐级计算!$X$84&gt;-1),IF(逐级计算!$X$84=0,CF49+逐级计算!$C$84,CF49+逐级计算!$C$84-(10/(逐级计算!$Q$84*LN(10))*(MAX((LN(10^(逐级计算!$Q$84/10)-1)+逐级计算!$Q$84*(CF49-逐级计算!$P$84)*LN(10)/10),0)+LN(1+EXP(-ABS((LN(10^(逐级计算!$Q$84/10)-1)+逐级计算!$Q$84*(CF49-逐级计算!$P$84)*LN(10)/10))))))),"")</f>
        <v>13.7930365742034</v>
      </c>
      <c r="CH49">
        <f>IF(AND(ISNUMBER(CG49),逐级计算!$X$85&gt;-1),IF(逐级计算!$X$85=0,CG49+逐级计算!$C$85,CG49+逐级计算!$C$85-(10/(逐级计算!$Q$85*LN(10))*(MAX((LN(10^(逐级计算!$Q$85/10)-1)+逐级计算!$Q$85*(CG49-逐级计算!$P$85)*LN(10)/10),0)+LN(1+EXP(-ABS((LN(10^(逐级计算!$Q$85/10)-1)+逐级计算!$Q$85*(CG49-逐级计算!$P$85)*LN(10)/10))))))),"")</f>
        <v>13.7930365742034</v>
      </c>
      <c r="CI49">
        <f>IF(AND(ISNUMBER(CH49),逐级计算!$X$86&gt;-1),IF(逐级计算!$X$86=0,CH49+逐级计算!$C$86,CH49+逐级计算!$C$86-(10/(逐级计算!$Q$86*LN(10))*(MAX((LN(10^(逐级计算!$Q$86/10)-1)+逐级计算!$Q$86*(CH49-逐级计算!$P$86)*LN(10)/10),0)+LN(1+EXP(-ABS((LN(10^(逐级计算!$Q$86/10)-1)+逐级计算!$Q$86*(CH49-逐级计算!$P$86)*LN(10)/10))))))),"")</f>
        <v>13.7930365742034</v>
      </c>
      <c r="CJ49">
        <f>IF(AND(ISNUMBER(CI49),逐级计算!$X$87&gt;-1),IF(逐级计算!$X$87=0,CI49+逐级计算!$C$87,CI49+逐级计算!$C$87-(10/(逐级计算!$Q$87*LN(10))*(MAX((LN(10^(逐级计算!$Q$87/10)-1)+逐级计算!$Q$87*(CI49-逐级计算!$P$87)*LN(10)/10),0)+LN(1+EXP(-ABS((LN(10^(逐级计算!$Q$87/10)-1)+逐级计算!$Q$87*(CI49-逐级计算!$P$87)*LN(10)/10))))))),"")</f>
        <v>13.7930365742034</v>
      </c>
      <c r="CK49">
        <f>IF(AND(ISNUMBER(CJ49),逐级计算!$X$88&gt;-1),IF(逐级计算!$X$88=0,CJ49+逐级计算!$C$88,CJ49+逐级计算!$C$88-(10/(逐级计算!$Q$88*LN(10))*(MAX((LN(10^(逐级计算!$Q$88/10)-1)+逐级计算!$Q$88*(CJ49-逐级计算!$P$88)*LN(10)/10),0)+LN(1+EXP(-ABS((LN(10^(逐级计算!$Q$88/10)-1)+逐级计算!$Q$88*(CJ49-逐级计算!$P$88)*LN(10)/10))))))),"")</f>
        <v>13.7930365742034</v>
      </c>
      <c r="CL49">
        <f>IF(AND(ISNUMBER(CK49),逐级计算!$X$89&gt;-1),IF(逐级计算!$X$89=0,CK49+逐级计算!$C$89,CK49+逐级计算!$C$89-(10/(逐级计算!$Q$89*LN(10))*(MAX((LN(10^(逐级计算!$Q$89/10)-1)+逐级计算!$Q$89*(CK49-逐级计算!$P$89)*LN(10)/10),0)+LN(1+EXP(-ABS((LN(10^(逐级计算!$Q$89/10)-1)+逐级计算!$Q$89*(CK49-逐级计算!$P$89)*LN(10)/10))))))),"")</f>
        <v>13.7930365742034</v>
      </c>
      <c r="CM49">
        <f>IF(AND(ISNUMBER(CL49),逐级计算!$X$90&gt;-1),IF(逐级计算!$X$90=0,CL49+逐级计算!$C$90,CL49+逐级计算!$C$90-(10/(逐级计算!$Q$90*LN(10))*(MAX((LN(10^(逐级计算!$Q$90/10)-1)+逐级计算!$Q$90*(CL49-逐级计算!$P$90)*LN(10)/10),0)+LN(1+EXP(-ABS((LN(10^(逐级计算!$Q$90/10)-1)+逐级计算!$Q$90*(CL49-逐级计算!$P$90)*LN(10)/10))))))),"")</f>
        <v>13.7930365742034</v>
      </c>
      <c r="CN49">
        <f>IF(AND(ISNUMBER(CM49),逐级计算!$X$91&gt;-1),IF(逐级计算!$X$91=0,CM49+逐级计算!$C$91,CM49+逐级计算!$C$91-(10/(逐级计算!$Q$91*LN(10))*(MAX((LN(10^(逐级计算!$Q$91/10)-1)+逐级计算!$Q$91*(CM49-逐级计算!$P$91)*LN(10)/10),0)+LN(1+EXP(-ABS((LN(10^(逐级计算!$Q$91/10)-1)+逐级计算!$Q$91*(CM49-逐级计算!$P$91)*LN(10)/10))))))),"")</f>
        <v>13.7930365742034</v>
      </c>
      <c r="CO49">
        <f>IF(AND(ISNUMBER(CN49),逐级计算!$X$92&gt;-1),IF(逐级计算!$X$92=0,CN49+逐级计算!$C$92,CN49+逐级计算!$C$92-(10/(逐级计算!$Q$92*LN(10))*(MAX((LN(10^(逐级计算!$Q$92/10)-1)+逐级计算!$Q$92*(CN49-逐级计算!$P$92)*LN(10)/10),0)+LN(1+EXP(-ABS((LN(10^(逐级计算!$Q$92/10)-1)+逐级计算!$Q$92*(CN49-逐级计算!$P$92)*LN(10)/10))))))),"")</f>
        <v>13.7930365742034</v>
      </c>
      <c r="CP49">
        <f>IF(AND(ISNUMBER(CO49),逐级计算!$X$93&gt;-1),IF(逐级计算!$X$93=0,CO49+逐级计算!$C$93,CO49+逐级计算!$C$93-(10/(逐级计算!$Q$93*LN(10))*(MAX((LN(10^(逐级计算!$Q$93/10)-1)+逐级计算!$Q$93*(CO49-逐级计算!$P$93)*LN(10)/10),0)+LN(1+EXP(-ABS((LN(10^(逐级计算!$Q$93/10)-1)+逐级计算!$Q$93*(CO49-逐级计算!$P$93)*LN(10)/10))))))),"")</f>
        <v>13.7930365742034</v>
      </c>
      <c r="CQ49">
        <f>IF(AND(ISNUMBER(CP49),逐级计算!$X$94&gt;-1),IF(逐级计算!$X$94=0,CP49+逐级计算!$C$94,CP49+逐级计算!$C$94-(10/(逐级计算!$Q$94*LN(10))*(MAX((LN(10^(逐级计算!$Q$94/10)-1)+逐级计算!$Q$94*(CP49-逐级计算!$P$94)*LN(10)/10),0)+LN(1+EXP(-ABS((LN(10^(逐级计算!$Q$94/10)-1)+逐级计算!$Q$94*(CP49-逐级计算!$P$94)*LN(10)/10))))))),"")</f>
        <v>13.7930365742034</v>
      </c>
      <c r="CR49">
        <f>IF(AND(ISNUMBER(CQ49),逐级计算!$X$95&gt;-1),IF(逐级计算!$X$95=0,CQ49+逐级计算!$C$95,CQ49+逐级计算!$C$95-(10/(逐级计算!$Q$95*LN(10))*(MAX((LN(10^(逐级计算!$Q$95/10)-1)+逐级计算!$Q$95*(CQ49-逐级计算!$P$95)*LN(10)/10),0)+LN(1+EXP(-ABS((LN(10^(逐级计算!$Q$95/10)-1)+逐级计算!$Q$95*(CQ49-逐级计算!$P$95)*LN(10)/10))))))),"")</f>
        <v>13.7930365742034</v>
      </c>
      <c r="CS49">
        <f>IF(AND(ISNUMBER(CR49),逐级计算!$X$96&gt;-1),IF(逐级计算!$X$96=0,CR49+逐级计算!$C$96,CR49+逐级计算!$C$96-(10/(逐级计算!$Q$96*LN(10))*(MAX((LN(10^(逐级计算!$Q$96/10)-1)+逐级计算!$Q$96*(CR49-逐级计算!$P$96)*LN(10)/10),0)+LN(1+EXP(-ABS((LN(10^(逐级计算!$Q$96/10)-1)+逐级计算!$Q$96*(CR49-逐级计算!$P$96)*LN(10)/10))))))),"")</f>
        <v>13.7930365742034</v>
      </c>
      <c r="CT49">
        <f>IF(AND(ISNUMBER(CS49),逐级计算!$X$97&gt;-1),IF(逐级计算!$X$97=0,CS49+逐级计算!$C$97,CS49+逐级计算!$C$97-(10/(逐级计算!$Q$97*LN(10))*(MAX((LN(10^(逐级计算!$Q$97/10)-1)+逐级计算!$Q$97*(CS49-逐级计算!$P$97)*LN(10)/10),0)+LN(1+EXP(-ABS((LN(10^(逐级计算!$Q$97/10)-1)+逐级计算!$Q$97*(CS49-逐级计算!$P$97)*LN(10)/10))))))),"")</f>
        <v>13.7930365742034</v>
      </c>
      <c r="CU49">
        <f>IF(AND(ISNUMBER(CT49),逐级计算!$X$98&gt;-1),IF(逐级计算!$X$98=0,CT49+逐级计算!$C$98,CT49+逐级计算!$C$98-(10/(逐级计算!$Q$98*LN(10))*(MAX((LN(10^(逐级计算!$Q$98/10)-1)+逐级计算!$Q$98*(CT49-逐级计算!$P$98)*LN(10)/10),0)+LN(1+EXP(-ABS((LN(10^(逐级计算!$Q$98/10)-1)+逐级计算!$Q$98*(CT49-逐级计算!$P$98)*LN(10)/10))))))),"")</f>
        <v>13.7930365742034</v>
      </c>
      <c r="CV49">
        <f>IF(AND(ISNUMBER(CU49),逐级计算!$X$99&gt;-1),IF(逐级计算!$X$99=0,CU49+逐级计算!$C$99,CU49+逐级计算!$C$99-(10/(逐级计算!$Q$99*LN(10))*(MAX((LN(10^(逐级计算!$Q$99/10)-1)+逐级计算!$Q$99*(CU49-逐级计算!$P$99)*LN(10)/10),0)+LN(1+EXP(-ABS((LN(10^(逐级计算!$Q$99/10)-1)+逐级计算!$Q$99*(CU49-逐级计算!$P$99)*LN(10)/10))))))),"")</f>
        <v>13.7930365742034</v>
      </c>
      <c r="CW49">
        <f>IF(AND(ISNUMBER(CV49),逐级计算!$X$100&gt;-1),IF(逐级计算!$X$100=0,CV49+逐级计算!$C$100,CV49+逐级计算!$C$100-(10/(逐级计算!$Q$100*LN(10))*(MAX((LN(10^(逐级计算!$Q$100/10)-1)+逐级计算!$Q$100*(CV49-逐级计算!$P$100)*LN(10)/10),0)+LN(1+EXP(-ABS((LN(10^(逐级计算!$Q$100/10)-1)+逐级计算!$Q$100*(CV49-逐级计算!$P$100)*LN(10)/10))))))),"")</f>
        <v>13.7930365742034</v>
      </c>
      <c r="CX49">
        <f>IF(AND(ISNUMBER(CW49),逐级计算!$X$101&gt;-1),IF(逐级计算!$X$101=0,CW49+逐级计算!$C$101,CW49+逐级计算!$C$101-(10/(逐级计算!$Q$101*LN(10))*(MAX((LN(10^(逐级计算!$Q$101/10)-1)+逐级计算!$Q$101*(CW49-逐级计算!$P$101)*LN(10)/10),0)+LN(1+EXP(-ABS((LN(10^(逐级计算!$Q$101/10)-1)+逐级计算!$Q$101*(CW49-逐级计算!$P$101)*LN(10)/10))))))),"")</f>
        <v>13.7930365742034</v>
      </c>
      <c r="CY49">
        <f>IF(AND(ISNUMBER(CX49),逐级计算!$X$102&gt;-1),IF(逐级计算!$X$102=0,CX49+逐级计算!$C$102,CX49+逐级计算!$C$102-(10/(逐级计算!$Q$102*LN(10))*(MAX((LN(10^(逐级计算!$Q$102/10)-1)+逐级计算!$Q$102*(CX49-逐级计算!$P$102)*LN(10)/10),0)+LN(1+EXP(-ABS((LN(10^(逐级计算!$Q$102/10)-1)+逐级计算!$Q$102*(CX49-逐级计算!$P$102)*LN(10)/10))))))),"")</f>
        <v>13.7930365742034</v>
      </c>
      <c r="CZ49">
        <f>IF(AND(ISNUMBER(CY49),逐级计算!$X$103&gt;-1),IF(逐级计算!$X$103=0,CY49+逐级计算!$C$103,CY49+逐级计算!$C$103-(10/(逐级计算!$Q$103*LN(10))*(MAX((LN(10^(逐级计算!$Q$103/10)-1)+逐级计算!$Q$103*(CY49-逐级计算!$P$103)*LN(10)/10),0)+LN(1+EXP(-ABS((LN(10^(逐级计算!$Q$103/10)-1)+逐级计算!$Q$103*(CY49-逐级计算!$P$103)*LN(10)/10))))))),"")</f>
        <v>13.7930365742034</v>
      </c>
      <c r="DA49">
        <f>IF(AND(ISNUMBER(CZ49),逐级计算!$X$104&gt;-1),IF(逐级计算!$X$104=0,CZ49+逐级计算!$C$104,CZ49+逐级计算!$C$104-(10/(逐级计算!$Q$104*LN(10))*(MAX((LN(10^(逐级计算!$Q$104/10)-1)+逐级计算!$Q$104*(CZ49-逐级计算!$P$104)*LN(10)/10),0)+LN(1+EXP(-ABS((LN(10^(逐级计算!$Q$104/10)-1)+逐级计算!$Q$104*(CZ49-逐级计算!$P$104)*LN(10)/10))))))),"")</f>
        <v>13.7930365742034</v>
      </c>
      <c r="DB49">
        <f>IF(AND(ISNUMBER(DA49),逐级计算!$X$105&gt;-1),IF(逐级计算!$X$105=0,DA49+逐级计算!$C$105,DA49+逐级计算!$C$105-(10/(逐级计算!$Q$105*LN(10))*(MAX((LN(10^(逐级计算!$Q$105/10)-1)+逐级计算!$Q$105*(DA49-逐级计算!$P$105)*LN(10)/10),0)+LN(1+EXP(-ABS((LN(10^(逐级计算!$Q$105/10)-1)+逐级计算!$Q$105*(DA49-逐级计算!$P$105)*LN(10)/10))))))),"")</f>
        <v>13.7930365742034</v>
      </c>
      <c r="DC49">
        <f>IF(AND(ISNUMBER(DB49),逐级计算!$X$106&gt;-1),IF(逐级计算!$X$106=0,DB49+逐级计算!$C$106,DB49+逐级计算!$C$106-(10/(逐级计算!$Q$106*LN(10))*(MAX((LN(10^(逐级计算!$Q$106/10)-1)+逐级计算!$Q$106*(DB49-逐级计算!$P$106)*LN(10)/10),0)+LN(1+EXP(-ABS((LN(10^(逐级计算!$Q$106/10)-1)+逐级计算!$Q$106*(DB49-逐级计算!$P$106)*LN(10)/10))))))),"")</f>
        <v>13.7930365742034</v>
      </c>
      <c r="DD49">
        <f>IF(AND(ISNUMBER(DC49),逐级计算!$X$107&gt;-1),IF(逐级计算!$X$107=0,DC49+逐级计算!$C$107,DC49+逐级计算!$C$107-(10/(逐级计算!$Q$107*LN(10))*(MAX((LN(10^(逐级计算!$Q$107/10)-1)+逐级计算!$Q$107*(DC49-逐级计算!$P$107)*LN(10)/10),0)+LN(1+EXP(-ABS((LN(10^(逐级计算!$Q$107/10)-1)+逐级计算!$Q$107*(DC49-逐级计算!$P$107)*LN(10)/10))))))),"")</f>
        <v>13.7930365742034</v>
      </c>
      <c r="DE49">
        <f>IF(AND(ISNUMBER(DD49),逐级计算!$X$108&gt;-1),IF(逐级计算!$X$108=0,DD49+逐级计算!$C$108,DD49+逐级计算!$C$108-(10/(逐级计算!$Q$108*LN(10))*(MAX((LN(10^(逐级计算!$Q$108/10)-1)+逐级计算!$Q$108*(DD49-逐级计算!$P$108)*LN(10)/10),0)+LN(1+EXP(-ABS((LN(10^(逐级计算!$Q$108/10)-1)+逐级计算!$Q$108*(DD49-逐级计算!$P$108)*LN(10)/10))))))),"")</f>
        <v>13.7930365742034</v>
      </c>
      <c r="DF49">
        <f>IF(AND(ISNUMBER(DE49),逐级计算!$X$109&gt;-1),IF(逐级计算!$X$109=0,DE49+逐级计算!$C$109,DE49+逐级计算!$C$109-(10/(逐级计算!$Q$109*LN(10))*(MAX((LN(10^(逐级计算!$Q$109/10)-1)+逐级计算!$Q$109*(DE49-逐级计算!$P$109)*LN(10)/10),0)+LN(1+EXP(-ABS((LN(10^(逐级计算!$Q$109/10)-1)+逐级计算!$Q$109*(DE49-逐级计算!$P$109)*LN(10)/10))))))),"")</f>
        <v>13.7930365742034</v>
      </c>
      <c r="DG49">
        <f>IF(AND(ISNUMBER(DF49),逐级计算!$X$110&gt;-1),IF(逐级计算!$X$110=0,DF49+逐级计算!$C$110,DF49+逐级计算!$C$110-(10/(逐级计算!$Q$110*LN(10))*(MAX((LN(10^(逐级计算!$Q$110/10)-1)+逐级计算!$Q$110*(DF49-逐级计算!$P$110)*LN(10)/10),0)+LN(1+EXP(-ABS((LN(10^(逐级计算!$Q$110/10)-1)+逐级计算!$Q$110*(DF49-逐级计算!$P$110)*LN(10)/10))))))),"")</f>
        <v>13.7930365742034</v>
      </c>
      <c r="DH49">
        <f>IF(AND(ISNUMBER(DG49),逐级计算!$X$111&gt;-1),IF(逐级计算!$X$111=0,DG49+逐级计算!$C$111,DG49+逐级计算!$C$111-(10/(逐级计算!$Q$111*LN(10))*(MAX((LN(10^(逐级计算!$Q$111/10)-1)+逐级计算!$Q$111*(DG49-逐级计算!$P$111)*LN(10)/10),0)+LN(1+EXP(-ABS((LN(10^(逐级计算!$Q$111/10)-1)+逐级计算!$Q$111*(DG49-逐级计算!$P$111)*LN(10)/10))))))),"")</f>
        <v>13.7930365742034</v>
      </c>
      <c r="DI49">
        <f>IF(AND(ISNUMBER(DH49),逐级计算!$X$112&gt;-1),IF(逐级计算!$X$112=0,DH49+逐级计算!$C$112,DH49+逐级计算!$C$112-(10/(逐级计算!$Q$112*LN(10))*(MAX((LN(10^(逐级计算!$Q$112/10)-1)+逐级计算!$Q$112*(DH49-逐级计算!$P$112)*LN(10)/10),0)+LN(1+EXP(-ABS((LN(10^(逐级计算!$Q$112/10)-1)+逐级计算!$Q$112*(DH49-逐级计算!$P$112)*LN(10)/10))))))),"")</f>
        <v>13.7930365742034</v>
      </c>
      <c r="DJ49">
        <f>IF(AND(ISNUMBER(DI49),逐级计算!$X$113&gt;-1),IF(逐级计算!$X$113=0,DI49+逐级计算!$C$113,DI49+逐级计算!$C$113-(10/(逐级计算!$Q$113*LN(10))*(MAX((LN(10^(逐级计算!$Q$113/10)-1)+逐级计算!$Q$113*(DI49-逐级计算!$P$113)*LN(10)/10),0)+LN(1+EXP(-ABS((LN(10^(逐级计算!$Q$113/10)-1)+逐级计算!$Q$113*(DI49-逐级计算!$P$113)*LN(10)/10))))))),"")</f>
        <v>13.7930365742034</v>
      </c>
      <c r="DK49">
        <f>IF(AND(ISNUMBER(DJ49),逐级计算!$X$114&gt;-1),IF(逐级计算!$X$114=0,DJ49+逐级计算!$C$114,DJ49+逐级计算!$C$114-(10/(逐级计算!$Q$114*LN(10))*(MAX((LN(10^(逐级计算!$Q$114/10)-1)+逐级计算!$Q$114*(DJ49-逐级计算!$P$114)*LN(10)/10),0)+LN(1+EXP(-ABS((LN(10^(逐级计算!$Q$114/10)-1)+逐级计算!$Q$114*(DJ49-逐级计算!$P$114)*LN(10)/10))))))),"")</f>
        <v>13.7930365742034</v>
      </c>
      <c r="DL49">
        <f>IF(AND(ISNUMBER(DK49),逐级计算!$X$115&gt;-1),IF(逐级计算!$X$115=0,DK49+逐级计算!$C$115,DK49+逐级计算!$C$115-(10/(逐级计算!$Q$115*LN(10))*(MAX((LN(10^(逐级计算!$Q$115/10)-1)+逐级计算!$Q$115*(DK49-逐级计算!$P$115)*LN(10)/10),0)+LN(1+EXP(-ABS((LN(10^(逐级计算!$Q$115/10)-1)+逐级计算!$Q$115*(DK49-逐级计算!$P$115)*LN(10)/10))))))),"")</f>
        <v>13.7930365742034</v>
      </c>
      <c r="DM49">
        <f>IF(AND(ISNUMBER(DL49),逐级计算!$X$116&gt;-1),IF(逐级计算!$X$116=0,DL49+逐级计算!$C$116,DL49+逐级计算!$C$116-(10/(逐级计算!$Q$116*LN(10))*(MAX((LN(10^(逐级计算!$Q$116/10)-1)+逐级计算!$Q$116*(DL49-逐级计算!$P$116)*LN(10)/10),0)+LN(1+EXP(-ABS((LN(10^(逐级计算!$Q$116/10)-1)+逐级计算!$Q$116*(DL49-逐级计算!$P$116)*LN(10)/10))))))),"")</f>
        <v>13.7930365742034</v>
      </c>
      <c r="DN49">
        <f>IF(AND(ISNUMBER(DM49),逐级计算!$X$117&gt;-1),IF(逐级计算!$X$117=0,DM49+逐级计算!$C$117,DM49+逐级计算!$C$117-(10/(逐级计算!$Q$117*LN(10))*(MAX((LN(10^(逐级计算!$Q$117/10)-1)+逐级计算!$Q$117*(DM49-逐级计算!$P$117)*LN(10)/10),0)+LN(1+EXP(-ABS((LN(10^(逐级计算!$Q$117/10)-1)+逐级计算!$Q$117*(DM49-逐级计算!$P$117)*LN(10)/10))))))),"")</f>
        <v>13.7930365742034</v>
      </c>
      <c r="DO49">
        <f>IF(AND(ISNUMBER(DN49),逐级计算!$X$118&gt;-1),IF(逐级计算!$X$118=0,DN49+逐级计算!$C$118,DN49+逐级计算!$C$118-(10/(逐级计算!$Q$118*LN(10))*(MAX((LN(10^(逐级计算!$Q$118/10)-1)+逐级计算!$Q$118*(DN49-逐级计算!$P$118)*LN(10)/10),0)+LN(1+EXP(-ABS((LN(10^(逐级计算!$Q$118/10)-1)+逐级计算!$Q$118*(DN49-逐级计算!$P$118)*LN(10)/10))))))),"")</f>
        <v>13.7930365742034</v>
      </c>
      <c r="DP49">
        <f>IF(AND(ISNUMBER(DO49),逐级计算!$X$119&gt;-1),IF(逐级计算!$X$119=0,DO49+逐级计算!$C$119,DO49+逐级计算!$C$119-(10/(逐级计算!$Q$119*LN(10))*(MAX((LN(10^(逐级计算!$Q$119/10)-1)+逐级计算!$Q$119*(DO49-逐级计算!$P$119)*LN(10)/10),0)+LN(1+EXP(-ABS((LN(10^(逐级计算!$Q$119/10)-1)+逐级计算!$Q$119*(DO49-逐级计算!$P$119)*LN(10)/10))))))),"")</f>
        <v>13.7930365742034</v>
      </c>
      <c r="DQ49">
        <f>IF(AND(ISNUMBER(DP49),逐级计算!$X$120&gt;-1),IF(逐级计算!$X$120=0,DP49+逐级计算!$C$120,DP49+逐级计算!$C$120-(10/(逐级计算!$Q$120*LN(10))*(MAX((LN(10^(逐级计算!$Q$120/10)-1)+逐级计算!$Q$120*(DP49-逐级计算!$P$120)*LN(10)/10),0)+LN(1+EXP(-ABS((LN(10^(逐级计算!$Q$120/10)-1)+逐级计算!$Q$120*(DP49-逐级计算!$P$120)*LN(10)/10))))))),"")</f>
        <v>13.7930365742034</v>
      </c>
      <c r="DR49">
        <f>IF(AND(ISNUMBER(DQ49),逐级计算!$X$121&gt;-1),IF(逐级计算!$X$121=0,DQ49+逐级计算!$C$121,DQ49+逐级计算!$C$121-(10/(逐级计算!$Q$121*LN(10))*(MAX((LN(10^(逐级计算!$Q$121/10)-1)+逐级计算!$Q$121*(DQ49-逐级计算!$P$121)*LN(10)/10),0)+LN(1+EXP(-ABS((LN(10^(逐级计算!$Q$121/10)-1)+逐级计算!$Q$121*(DQ49-逐级计算!$P$121)*LN(10)/10))))))),"")</f>
        <v>13.7930365742034</v>
      </c>
      <c r="DS49">
        <f>IF(AND(ISNUMBER(DR49),逐级计算!$X$122&gt;-1),IF(逐级计算!$X$122=0,DR49+逐级计算!$C$122,DR49+逐级计算!$C$122-(10/(逐级计算!$Q$122*LN(10))*(MAX((LN(10^(逐级计算!$Q$122/10)-1)+逐级计算!$Q$122*(DR49-逐级计算!$P$122)*LN(10)/10),0)+LN(1+EXP(-ABS((LN(10^(逐级计算!$Q$122/10)-1)+逐级计算!$Q$122*(DR49-逐级计算!$P$122)*LN(10)/10))))))),"")</f>
        <v>13.7930365742034</v>
      </c>
      <c r="DT49">
        <f>IF(AND(ISNUMBER(DS49),逐级计算!$X$123&gt;-1),IF(逐级计算!$X$123=0,DS49+逐级计算!$C$123,DS49+逐级计算!$C$123-(10/(逐级计算!$Q$123*LN(10))*(MAX((LN(10^(逐级计算!$Q$123/10)-1)+逐级计算!$Q$123*(DS49-逐级计算!$P$123)*LN(10)/10),0)+LN(1+EXP(-ABS((LN(10^(逐级计算!$Q$123/10)-1)+逐级计算!$Q$123*(DS49-逐级计算!$P$123)*LN(10)/10))))))),"")</f>
        <v>13.7930365742034</v>
      </c>
      <c r="DU49">
        <f>IF(AND(ISNUMBER(DT49),逐级计算!$X$124&gt;-1),IF(逐级计算!$X$124=0,DT49+逐级计算!$C$124,DT49+逐级计算!$C$124-(10/(逐级计算!$Q$124*LN(10))*(MAX((LN(10^(逐级计算!$Q$124/10)-1)+逐级计算!$Q$124*(DT49-逐级计算!$P$124)*LN(10)/10),0)+LN(1+EXP(-ABS((LN(10^(逐级计算!$Q$124/10)-1)+逐级计算!$Q$124*(DT49-逐级计算!$P$124)*LN(10)/10))))))),"")</f>
        <v>13.7930365742034</v>
      </c>
      <c r="DV49">
        <f>IF(AND(ISNUMBER(DU49),逐级计算!$X$125&gt;-1),IF(逐级计算!$X$125=0,DU49+逐级计算!$C$125,DU49+逐级计算!$C$125-(10/(逐级计算!$Q$125*LN(10))*(MAX((LN(10^(逐级计算!$Q$125/10)-1)+逐级计算!$Q$125*(DU49-逐级计算!$P$125)*LN(10)/10),0)+LN(1+EXP(-ABS((LN(10^(逐级计算!$Q$125/10)-1)+逐级计算!$Q$125*(DU49-逐级计算!$P$125)*LN(10)/10))))))),"")</f>
        <v>13.7930365742034</v>
      </c>
      <c r="DW49">
        <f>IF(AND(ISNUMBER(DV49),逐级计算!$X$126&gt;-1),IF(逐级计算!$X$126=0,DV49+逐级计算!$C$126,DV49+逐级计算!$C$126-(10/(逐级计算!$Q$126*LN(10))*(MAX((LN(10^(逐级计算!$Q$126/10)-1)+逐级计算!$Q$126*(DV49-逐级计算!$P$126)*LN(10)/10),0)+LN(1+EXP(-ABS((LN(10^(逐级计算!$Q$126/10)-1)+逐级计算!$Q$126*(DV49-逐级计算!$P$126)*LN(10)/10))))))),"")</f>
        <v>13.7930365742034</v>
      </c>
      <c r="DX49">
        <f>IF(AND(ISNUMBER(DW49),逐级计算!$X$127&gt;-1),IF(逐级计算!$X$127=0,DW49+逐级计算!$C$127,DW49+逐级计算!$C$127-(10/(逐级计算!$Q$127*LN(10))*(MAX((LN(10^(逐级计算!$Q$127/10)-1)+逐级计算!$Q$127*(DW49-逐级计算!$P$127)*LN(10)/10),0)+LN(1+EXP(-ABS((LN(10^(逐级计算!$Q$127/10)-1)+逐级计算!$Q$127*(DW49-逐级计算!$P$127)*LN(10)/10))))))),"")</f>
        <v>13.7930365742034</v>
      </c>
      <c r="DY49">
        <f>IF(AND(ISNUMBER(DX49),逐级计算!$X$128&gt;-1),IF(逐级计算!$X$128=0,DX49+逐级计算!$C$128,DX49+逐级计算!$C$128-(10/(逐级计算!$Q$128*LN(10))*(MAX((LN(10^(逐级计算!$Q$128/10)-1)+逐级计算!$Q$128*(DX49-逐级计算!$P$128)*LN(10)/10),0)+LN(1+EXP(-ABS((LN(10^(逐级计算!$Q$128/10)-1)+逐级计算!$Q$128*(DX49-逐级计算!$P$128)*LN(10)/10))))))),"")</f>
        <v>13.7930365742034</v>
      </c>
      <c r="DZ49">
        <f>IF(AND(ISNUMBER(DY49),逐级计算!$X$129&gt;-1),IF(逐级计算!$X$129=0,DY49+逐级计算!$C$129,DY49+逐级计算!$C$129-(10/(逐级计算!$Q$129*LN(10))*(MAX((LN(10^(逐级计算!$Q$129/10)-1)+逐级计算!$Q$129*(DY49-逐级计算!$P$129)*LN(10)/10),0)+LN(1+EXP(-ABS((LN(10^(逐级计算!$Q$129/10)-1)+逐级计算!$Q$129*(DY49-逐级计算!$P$129)*LN(10)/10))))))),"")</f>
        <v>13.7930365742034</v>
      </c>
      <c r="EA49">
        <f>IF(AND(ISNUMBER(DZ49),逐级计算!$X$130&gt;-1),IF(逐级计算!$X$130=0,DZ49+逐级计算!$C$130,DZ49+逐级计算!$C$130-(10/(逐级计算!$Q$130*LN(10))*(MAX((LN(10^(逐级计算!$Q$130/10)-1)+逐级计算!$Q$130*(DZ49-逐级计算!$P$130)*LN(10)/10),0)+LN(1+EXP(-ABS((LN(10^(逐级计算!$Q$130/10)-1)+逐级计算!$Q$130*(DZ49-逐级计算!$P$130)*LN(10)/10))))))),"")</f>
        <v>13.7930365742034</v>
      </c>
      <c r="EB49">
        <f>IF(AND(ISNUMBER(EA49),逐级计算!$X$131&gt;-1),IF(逐级计算!$X$131=0,EA49+逐级计算!$C$131,EA49+逐级计算!$C$131-(10/(逐级计算!$Q$131*LN(10))*(MAX((LN(10^(逐级计算!$Q$131/10)-1)+逐级计算!$Q$131*(EA49-逐级计算!$P$131)*LN(10)/10),0)+LN(1+EXP(-ABS((LN(10^(逐级计算!$Q$131/10)-1)+逐级计算!$Q$131*(EA49-逐级计算!$P$131)*LN(10)/10))))))),"")</f>
        <v>13.7930365742034</v>
      </c>
      <c r="EC49">
        <f>IF(AND(ISNUMBER(EB49),逐级计算!$X$132&gt;-1),IF(逐级计算!$X$132=0,EB49+逐级计算!$C$132,EB49+逐级计算!$C$132-(10/(逐级计算!$Q$132*LN(10))*(MAX((LN(10^(逐级计算!$Q$132/10)-1)+逐级计算!$Q$132*(EB49-逐级计算!$P$132)*LN(10)/10),0)+LN(1+EXP(-ABS((LN(10^(逐级计算!$Q$132/10)-1)+逐级计算!$Q$132*(EB49-逐级计算!$P$132)*LN(10)/10))))))),"")</f>
        <v>13.7930365742034</v>
      </c>
      <c r="ED49">
        <f>IF(AND(ISNUMBER(EC49),逐级计算!$X$133&gt;-1),IF(逐级计算!$X$133=0,EC49+逐级计算!$C$133,EC49+逐级计算!$C$133-(10/(逐级计算!$Q$133*LN(10))*(MAX((LN(10^(逐级计算!$Q$133/10)-1)+逐级计算!$Q$133*(EC49-逐级计算!$P$133)*LN(10)/10),0)+LN(1+EXP(-ABS((LN(10^(逐级计算!$Q$133/10)-1)+逐级计算!$Q$133*(EC49-逐级计算!$P$133)*LN(10)/10))))))),"")</f>
        <v>13.7930365742034</v>
      </c>
      <c r="EE49">
        <f>IF(AND(ISNUMBER(ED49),逐级计算!$X$134&gt;-1),IF(逐级计算!$X$134=0,ED49+逐级计算!$C$134,ED49+逐级计算!$C$134-(10/(逐级计算!$Q$134*LN(10))*(MAX((LN(10^(逐级计算!$Q$134/10)-1)+逐级计算!$Q$134*(ED49-逐级计算!$P$134)*LN(10)/10),0)+LN(1+EXP(-ABS((LN(10^(逐级计算!$Q$134/10)-1)+逐级计算!$Q$134*(ED49-逐级计算!$P$134)*LN(10)/10))))))),"")</f>
        <v>13.7930365742034</v>
      </c>
      <c r="EF49">
        <f>IF(AND(ISNUMBER(EE49),逐级计算!$X$135&gt;-1),IF(逐级计算!$X$135=0,EE49+逐级计算!$C$135,EE49+逐级计算!$C$135-(10/(逐级计算!$Q$135*LN(10))*(MAX((LN(10^(逐级计算!$Q$135/10)-1)+逐级计算!$Q$135*(EE49-逐级计算!$P$135)*LN(10)/10),0)+LN(1+EXP(-ABS((LN(10^(逐级计算!$Q$135/10)-1)+逐级计算!$Q$135*(EE49-逐级计算!$P$135)*LN(10)/10))))))),"")</f>
        <v>13.7930365742034</v>
      </c>
      <c r="EG49">
        <f>IF(AND(ISNUMBER(EF49),逐级计算!$X$136&gt;-1),IF(逐级计算!$X$136=0,EF49+逐级计算!$C$136,EF49+逐级计算!$C$136-(10/(逐级计算!$Q$136*LN(10))*(MAX((LN(10^(逐级计算!$Q$136/10)-1)+逐级计算!$Q$136*(EF49-逐级计算!$P$136)*LN(10)/10),0)+LN(1+EXP(-ABS((LN(10^(逐级计算!$Q$136/10)-1)+逐级计算!$Q$136*(EF49-逐级计算!$P$136)*LN(10)/10))))))),"")</f>
        <v>13.7930365742034</v>
      </c>
      <c r="EH49">
        <f>IF(AND(ISNUMBER(EG49),逐级计算!$X$137&gt;-1),IF(逐级计算!$X$137=0,EG49+逐级计算!$C$137,EG49+逐级计算!$C$137-(10/(逐级计算!$Q$137*LN(10))*(MAX((LN(10^(逐级计算!$Q$137/10)-1)+逐级计算!$Q$137*(EG49-逐级计算!$P$137)*LN(10)/10),0)+LN(1+EXP(-ABS((LN(10^(逐级计算!$Q$137/10)-1)+逐级计算!$Q$137*(EG49-逐级计算!$P$137)*LN(10)/10))))))),"")</f>
        <v>13.7930365742034</v>
      </c>
      <c r="EI49">
        <f>IF(AND(ISNUMBER(EH49),逐级计算!$X$138&gt;-1),IF(逐级计算!$X$138=0,EH49+逐级计算!$C$138,EH49+逐级计算!$C$138-(10/(逐级计算!$Q$138*LN(10))*(MAX((LN(10^(逐级计算!$Q$138/10)-1)+逐级计算!$Q$138*(EH49-逐级计算!$P$138)*LN(10)/10),0)+LN(1+EXP(-ABS((LN(10^(逐级计算!$Q$138/10)-1)+逐级计算!$Q$138*(EH49-逐级计算!$P$138)*LN(10)/10))))))),"")</f>
        <v>13.7930365742034</v>
      </c>
      <c r="EJ49">
        <f>IF(AND(ISNUMBER(EI49),逐级计算!$X$139&gt;-1),IF(逐级计算!$X$139=0,EI49+逐级计算!$C$139,EI49+逐级计算!$C$139-(10/(逐级计算!$Q$139*LN(10))*(MAX((LN(10^(逐级计算!$Q$139/10)-1)+逐级计算!$Q$139*(EI49-逐级计算!$P$139)*LN(10)/10),0)+LN(1+EXP(-ABS((LN(10^(逐级计算!$Q$139/10)-1)+逐级计算!$Q$139*(EI49-逐级计算!$P$139)*LN(10)/10))))))),"")</f>
        <v>13.7930365742034</v>
      </c>
      <c r="EK49">
        <f>IF(AND(ISNUMBER(EJ49),逐级计算!$X$140&gt;-1),IF(逐级计算!$X$140=0,EJ49+逐级计算!$C$140,EJ49+逐级计算!$C$140-(10/(逐级计算!$Q$140*LN(10))*(MAX((LN(10^(逐级计算!$Q$140/10)-1)+逐级计算!$Q$140*(EJ49-逐级计算!$P$140)*LN(10)/10),0)+LN(1+EXP(-ABS((LN(10^(逐级计算!$Q$140/10)-1)+逐级计算!$Q$140*(EJ49-逐级计算!$P$140)*LN(10)/10))))))),"")</f>
        <v>13.7930365742034</v>
      </c>
      <c r="EL49">
        <f>IF(AND(ISNUMBER(EK49),逐级计算!$X$141&gt;-1),IF(逐级计算!$X$141=0,EK49+逐级计算!$C$141,EK49+逐级计算!$C$141-(10/(逐级计算!$Q$141*LN(10))*(MAX((LN(10^(逐级计算!$Q$141/10)-1)+逐级计算!$Q$141*(EK49-逐级计算!$P$141)*LN(10)/10),0)+LN(1+EXP(-ABS((LN(10^(逐级计算!$Q$141/10)-1)+逐级计算!$Q$141*(EK49-逐级计算!$P$141)*LN(10)/10))))))),"")</f>
        <v>13.7930365742034</v>
      </c>
      <c r="EM49">
        <f>IF(AND(ISNUMBER(EL49),逐级计算!$X$142&gt;-1),IF(逐级计算!$X$142=0,EL49+逐级计算!$C$142,EL49+逐级计算!$C$142-(10/(逐级计算!$Q$142*LN(10))*(MAX((LN(10^(逐级计算!$Q$142/10)-1)+逐级计算!$Q$142*(EL49-逐级计算!$P$142)*LN(10)/10),0)+LN(1+EXP(-ABS((LN(10^(逐级计算!$Q$142/10)-1)+逐级计算!$Q$142*(EL49-逐级计算!$P$142)*LN(10)/10))))))),"")</f>
        <v>13.7930365742034</v>
      </c>
      <c r="EN49">
        <f>IF(AND(ISNUMBER(EM49),逐级计算!$X$143&gt;-1),IF(逐级计算!$X$143=0,EM49+逐级计算!$C$143,EM49+逐级计算!$C$143-(10/(逐级计算!$Q$143*LN(10))*(MAX((LN(10^(逐级计算!$Q$143/10)-1)+逐级计算!$Q$143*(EM49-逐级计算!$P$143)*LN(10)/10),0)+LN(1+EXP(-ABS((LN(10^(逐级计算!$Q$143/10)-1)+逐级计算!$Q$143*(EM49-逐级计算!$P$143)*LN(10)/10))))))),"")</f>
        <v>13.7930365742034</v>
      </c>
      <c r="EO49">
        <f>IF(AND(ISNUMBER(EN49),逐级计算!$X$144&gt;-1),IF(逐级计算!$X$144=0,EN49+逐级计算!$C$144,EN49+逐级计算!$C$144-(10/(逐级计算!$Q$144*LN(10))*(MAX((LN(10^(逐级计算!$Q$144/10)-1)+逐级计算!$Q$144*(EN49-逐级计算!$P$144)*LN(10)/10),0)+LN(1+EXP(-ABS((LN(10^(逐级计算!$Q$144/10)-1)+逐级计算!$Q$144*(EN49-逐级计算!$P$144)*LN(10)/10))))))),"")</f>
        <v>13.7930365742034</v>
      </c>
      <c r="EP49">
        <f>IF(AND(ISNUMBER(EO49),逐级计算!$X$145&gt;-1),IF(逐级计算!$X$145=0,EO49+逐级计算!$C$145,EO49+逐级计算!$C$145-(10/(逐级计算!$Q$145*LN(10))*(MAX((LN(10^(逐级计算!$Q$145/10)-1)+逐级计算!$Q$145*(EO49-逐级计算!$P$145)*LN(10)/10),0)+LN(1+EXP(-ABS((LN(10^(逐级计算!$Q$145/10)-1)+逐级计算!$Q$145*(EO49-逐级计算!$P$145)*LN(10)/10))))))),"")</f>
        <v>13.7930365742034</v>
      </c>
      <c r="EQ49">
        <f>IF(AND(ISNUMBER(EP49),逐级计算!$X$146&gt;-1),IF(逐级计算!$X$146=0,EP49+逐级计算!$C$146,EP49+逐级计算!$C$146-(10/(逐级计算!$Q$146*LN(10))*(MAX((LN(10^(逐级计算!$Q$146/10)-1)+逐级计算!$Q$146*(EP49-逐级计算!$P$146)*LN(10)/10),0)+LN(1+EXP(-ABS((LN(10^(逐级计算!$Q$146/10)-1)+逐级计算!$Q$146*(EP49-逐级计算!$P$146)*LN(10)/10))))))),"")</f>
        <v>13.7930365742034</v>
      </c>
      <c r="ER49">
        <f>IF(AND(ISNUMBER(EQ49),逐级计算!$X$147&gt;-1),IF(逐级计算!$X$147=0,EQ49+逐级计算!$C$147,EQ49+逐级计算!$C$147-(10/(逐级计算!$Q$147*LN(10))*(MAX((LN(10^(逐级计算!$Q$147/10)-1)+逐级计算!$Q$147*(EQ49-逐级计算!$P$147)*LN(10)/10),0)+LN(1+EXP(-ABS((LN(10^(逐级计算!$Q$147/10)-1)+逐级计算!$Q$147*(EQ49-逐级计算!$P$147)*LN(10)/10))))))),"")</f>
        <v>13.7930365742034</v>
      </c>
      <c r="ES49">
        <f>IF(AND(ISNUMBER(ER49),逐级计算!$X$148&gt;-1),IF(逐级计算!$X$148=0,ER49+逐级计算!$C$148,ER49+逐级计算!$C$148-(10/(逐级计算!$Q$148*LN(10))*(MAX((LN(10^(逐级计算!$Q$148/10)-1)+逐级计算!$Q$148*(ER49-逐级计算!$P$148)*LN(10)/10),0)+LN(1+EXP(-ABS((LN(10^(逐级计算!$Q$148/10)-1)+逐级计算!$Q$148*(ER49-逐级计算!$P$148)*LN(10)/10))))))),"")</f>
        <v>13.7930365742034</v>
      </c>
      <c r="ET49">
        <f>IF(AND(ISNUMBER(ES49),逐级计算!$X$149&gt;-1),IF(逐级计算!$X$149=0,ES49+逐级计算!$C$149,ES49+逐级计算!$C$149-(10/(逐级计算!$Q$149*LN(10))*(MAX((LN(10^(逐级计算!$Q$149/10)-1)+逐级计算!$Q$149*(ES49-逐级计算!$P$149)*LN(10)/10),0)+LN(1+EXP(-ABS((LN(10^(逐级计算!$Q$149/10)-1)+逐级计算!$Q$149*(ES49-逐级计算!$P$149)*LN(10)/10))))))),"")</f>
        <v>13.7930365742034</v>
      </c>
      <c r="EU49">
        <f>IF(AND(ISNUMBER(ET49),逐级计算!$X$150&gt;-1),IF(逐级计算!$X$150=0,ET49+逐级计算!$C$150,ET49+逐级计算!$C$150-(10/(逐级计算!$Q$150*LN(10))*(MAX((LN(10^(逐级计算!$Q$150/10)-1)+逐级计算!$Q$150*(ET49-逐级计算!$P$150)*LN(10)/10),0)+LN(1+EXP(-ABS((LN(10^(逐级计算!$Q$150/10)-1)+逐级计算!$Q$150*(ET49-逐级计算!$P$150)*LN(10)/10))))))),"")</f>
        <v>13.7930365742034</v>
      </c>
      <c r="EV49">
        <f>IF(AND(ISNUMBER(EU49),逐级计算!$X$151&gt;-1),IF(逐级计算!$X$151=0,EU49+逐级计算!$C$151,EU49+逐级计算!$C$151-(10/(逐级计算!$Q$151*LN(10))*(MAX((LN(10^(逐级计算!$Q$151/10)-1)+逐级计算!$Q$151*(EU49-逐级计算!$P$151)*LN(10)/10),0)+LN(1+EXP(-ABS((LN(10^(逐级计算!$Q$151/10)-1)+逐级计算!$Q$151*(EU49-逐级计算!$P$151)*LN(10)/10))))))),"")</f>
        <v>13.7930365742034</v>
      </c>
      <c r="EW49">
        <f>IF(AND(ISNUMBER(EV49),逐级计算!$X$152&gt;-1),IF(逐级计算!$X$152=0,EV49+逐级计算!$C$152,EV49+逐级计算!$C$152-(10/(逐级计算!$Q$152*LN(10))*(MAX((LN(10^(逐级计算!$Q$152/10)-1)+逐级计算!$Q$152*(EV49-逐级计算!$P$152)*LN(10)/10),0)+LN(1+EXP(-ABS((LN(10^(逐级计算!$Q$152/10)-1)+逐级计算!$Q$152*(EV49-逐级计算!$P$152)*LN(10)/10))))))),"")</f>
        <v>13.7930365742034</v>
      </c>
      <c r="EX49">
        <f>IF(AND(ISNUMBER(EW49),逐级计算!$X$153&gt;-1),IF(逐级计算!$X$153=0,EW49+逐级计算!$C$153,EW49+逐级计算!$C$153-(10/(逐级计算!$Q$153*LN(10))*(MAX((LN(10^(逐级计算!$Q$153/10)-1)+逐级计算!$Q$153*(EW49-逐级计算!$P$153)*LN(10)/10),0)+LN(1+EXP(-ABS((LN(10^(逐级计算!$Q$153/10)-1)+逐级计算!$Q$153*(EW49-逐级计算!$P$153)*LN(10)/10))))))),"")</f>
        <v>13.7930365742034</v>
      </c>
      <c r="EY49">
        <f>IF(AND(ISNUMBER(EX49),逐级计算!$X$154&gt;-1),IF(逐级计算!$X$154=0,EX49+逐级计算!$C$154,EX49+逐级计算!$C$154-(10/(逐级计算!$Q$154*LN(10))*(MAX((LN(10^(逐级计算!$Q$154/10)-1)+逐级计算!$Q$154*(EX49-逐级计算!$P$154)*LN(10)/10),0)+LN(1+EXP(-ABS((LN(10^(逐级计算!$Q$154/10)-1)+逐级计算!$Q$154*(EX49-逐级计算!$P$154)*LN(10)/10))))))),"")</f>
        <v>13.7930365742034</v>
      </c>
      <c r="EZ49">
        <f>IF(AND(ISNUMBER(EY49),逐级计算!$X$155&gt;-1),IF(逐级计算!$X$155=0,EY49+逐级计算!$C$155,EY49+逐级计算!$C$155-(10/(逐级计算!$Q$155*LN(10))*(MAX((LN(10^(逐级计算!$Q$155/10)-1)+逐级计算!$Q$155*(EY49-逐级计算!$P$155)*LN(10)/10),0)+LN(1+EXP(-ABS((LN(10^(逐级计算!$Q$155/10)-1)+逐级计算!$Q$155*(EY49-逐级计算!$P$155)*LN(10)/10))))))),"")</f>
        <v>13.7930365742034</v>
      </c>
      <c r="FA49">
        <f>IF(AND(ISNUMBER(EZ49),逐级计算!$X$156&gt;-1),IF(逐级计算!$X$156=0,EZ49+逐级计算!$C$156,EZ49+逐级计算!$C$156-(10/(逐级计算!$Q$156*LN(10))*(MAX((LN(10^(逐级计算!$Q$156/10)-1)+逐级计算!$Q$156*(EZ49-逐级计算!$P$156)*LN(10)/10),0)+LN(1+EXP(-ABS((LN(10^(逐级计算!$Q$156/10)-1)+逐级计算!$Q$156*(EZ49-逐级计算!$P$156)*LN(10)/10))))))),"")</f>
        <v>13.7930365742034</v>
      </c>
      <c r="FB49">
        <f>IF(AND(ISNUMBER(FA49),逐级计算!$X$157&gt;-1),IF(逐级计算!$X$157=0,FA49+逐级计算!$C$157,FA49+逐级计算!$C$157-(10/(逐级计算!$Q$157*LN(10))*(MAX((LN(10^(逐级计算!$Q$157/10)-1)+逐级计算!$Q$157*(FA49-逐级计算!$P$157)*LN(10)/10),0)+LN(1+EXP(-ABS((LN(10^(逐级计算!$Q$157/10)-1)+逐级计算!$Q$157*(FA49-逐级计算!$P$157)*LN(10)/10))))))),"")</f>
        <v>13.7930365742034</v>
      </c>
      <c r="FC49">
        <f>IF(AND(ISNUMBER(FB49),逐级计算!$X$158&gt;-1),IF(逐级计算!$X$158=0,FB49+逐级计算!$C$158,FB49+逐级计算!$C$158-(10/(逐级计算!$Q$158*LN(10))*(MAX((LN(10^(逐级计算!$Q$158/10)-1)+逐级计算!$Q$158*(FB49-逐级计算!$P$158)*LN(10)/10),0)+LN(1+EXP(-ABS((LN(10^(逐级计算!$Q$158/10)-1)+逐级计算!$Q$158*(FB49-逐级计算!$P$158)*LN(10)/10))))))),"")</f>
        <v>13.7930365742034</v>
      </c>
      <c r="FD49">
        <f>IF(AND(ISNUMBER(FC49),逐级计算!$X$159&gt;-1),IF(逐级计算!$X$159=0,FC49+逐级计算!$C$159,FC49+逐级计算!$C$159-(10/(逐级计算!$Q$159*LN(10))*(MAX((LN(10^(逐级计算!$Q$159/10)-1)+逐级计算!$Q$159*(FC49-逐级计算!$P$159)*LN(10)/10),0)+LN(1+EXP(-ABS((LN(10^(逐级计算!$Q$159/10)-1)+逐级计算!$Q$159*(FC49-逐级计算!$P$159)*LN(10)/10))))))),"")</f>
        <v>13.7930365742034</v>
      </c>
      <c r="FE49">
        <f>IF(AND(ISNUMBER(FD49),逐级计算!$X$160&gt;-1),IF(逐级计算!$X$160=0,FD49+逐级计算!$C$160,FD49+逐级计算!$C$160-(10/(逐级计算!$Q$160*LN(10))*(MAX((LN(10^(逐级计算!$Q$160/10)-1)+逐级计算!$Q$160*(FD49-逐级计算!$P$160)*LN(10)/10),0)+LN(1+EXP(-ABS((LN(10^(逐级计算!$Q$160/10)-1)+逐级计算!$Q$160*(FD49-逐级计算!$P$160)*LN(10)/10))))))),"")</f>
        <v>13.7930365742034</v>
      </c>
      <c r="FF49">
        <f>IF(AND(ISNUMBER(FE49),逐级计算!$X$161&gt;-1),IF(逐级计算!$X$161=0,FE49+逐级计算!$C$161,FE49+逐级计算!$C$161-(10/(逐级计算!$Q$161*LN(10))*(MAX((LN(10^(逐级计算!$Q$161/10)-1)+逐级计算!$Q$161*(FE49-逐级计算!$P$161)*LN(10)/10),0)+LN(1+EXP(-ABS((LN(10^(逐级计算!$Q$161/10)-1)+逐级计算!$Q$161*(FE49-逐级计算!$P$161)*LN(10)/10))))))),"")</f>
        <v>13.7930365742034</v>
      </c>
      <c r="FG49">
        <f>IF(AND(ISNUMBER(FF49),逐级计算!$X$162&gt;-1),IF(逐级计算!$X$162=0,FF49+逐级计算!$C$162,FF49+逐级计算!$C$162-(10/(逐级计算!$Q$162*LN(10))*(MAX((LN(10^(逐级计算!$Q$162/10)-1)+逐级计算!$Q$162*(FF49-逐级计算!$P$162)*LN(10)/10),0)+LN(1+EXP(-ABS((LN(10^(逐级计算!$Q$162/10)-1)+逐级计算!$Q$162*(FF49-逐级计算!$P$162)*LN(10)/10))))))),"")</f>
        <v>13.7930365742034</v>
      </c>
      <c r="FH49">
        <f>IF(AND(ISNUMBER(FG49),逐级计算!$X$163&gt;-1),IF(逐级计算!$X$163=0,FG49+逐级计算!$C$163,FG49+逐级计算!$C$163-(10/(逐级计算!$Q$163*LN(10))*(MAX((LN(10^(逐级计算!$Q$163/10)-1)+逐级计算!$Q$163*(FG49-逐级计算!$P$163)*LN(10)/10),0)+LN(1+EXP(-ABS((LN(10^(逐级计算!$Q$163/10)-1)+逐级计算!$Q$163*(FG49-逐级计算!$P$163)*LN(10)/10))))))),"")</f>
        <v>13.7930365742034</v>
      </c>
      <c r="FI49">
        <f>IF(AND(ISNUMBER(FH49),逐级计算!$X$164&gt;-1),IF(逐级计算!$X$164=0,FH49+逐级计算!$C$164,FH49+逐级计算!$C$164-(10/(逐级计算!$Q$164*LN(10))*(MAX((LN(10^(逐级计算!$Q$164/10)-1)+逐级计算!$Q$164*(FH49-逐级计算!$P$164)*LN(10)/10),0)+LN(1+EXP(-ABS((LN(10^(逐级计算!$Q$164/10)-1)+逐级计算!$Q$164*(FH49-逐级计算!$P$164)*LN(10)/10))))))),"")</f>
        <v>13.7930365742034</v>
      </c>
      <c r="FJ49">
        <f>IF(AND(ISNUMBER(FI49),逐级计算!$X$165&gt;-1),IF(逐级计算!$X$165=0,FI49+逐级计算!$C$165,FI49+逐级计算!$C$165-(10/(逐级计算!$Q$165*LN(10))*(MAX((LN(10^(逐级计算!$Q$165/10)-1)+逐级计算!$Q$165*(FI49-逐级计算!$P$165)*LN(10)/10),0)+LN(1+EXP(-ABS((LN(10^(逐级计算!$Q$165/10)-1)+逐级计算!$Q$165*(FI49-逐级计算!$P$165)*LN(10)/10))))))),"")</f>
        <v>13.7930365742034</v>
      </c>
      <c r="FK49">
        <f>IF(AND(ISNUMBER(FJ49),逐级计算!$X$166&gt;-1),IF(逐级计算!$X$166=0,FJ49+逐级计算!$C$166,FJ49+逐级计算!$C$166-(10/(逐级计算!$Q$166*LN(10))*(MAX((LN(10^(逐级计算!$Q$166/10)-1)+逐级计算!$Q$166*(FJ49-逐级计算!$P$166)*LN(10)/10),0)+LN(1+EXP(-ABS((LN(10^(逐级计算!$Q$166/10)-1)+逐级计算!$Q$166*(FJ49-逐级计算!$P$166)*LN(10)/10))))))),"")</f>
        <v>13.7930365742034</v>
      </c>
      <c r="FL49">
        <f>IF(AND(ISNUMBER(FK49),逐级计算!$X$167&gt;-1),IF(逐级计算!$X$167=0,FK49+逐级计算!$C$167,FK49+逐级计算!$C$167-(10/(逐级计算!$Q$167*LN(10))*(MAX((LN(10^(逐级计算!$Q$167/10)-1)+逐级计算!$Q$167*(FK49-逐级计算!$P$167)*LN(10)/10),0)+LN(1+EXP(-ABS((LN(10^(逐级计算!$Q$167/10)-1)+逐级计算!$Q$167*(FK49-逐级计算!$P$167)*LN(10)/10))))))),"")</f>
        <v>13.7930365742034</v>
      </c>
      <c r="FM49">
        <f>IF(AND(ISNUMBER(FL49),逐级计算!$X$168&gt;-1),IF(逐级计算!$X$168=0,FL49+逐级计算!$C$168,FL49+逐级计算!$C$168-(10/(逐级计算!$Q$168*LN(10))*(MAX((LN(10^(逐级计算!$Q$168/10)-1)+逐级计算!$Q$168*(FL49-逐级计算!$P$168)*LN(10)/10),0)+LN(1+EXP(-ABS((LN(10^(逐级计算!$Q$168/10)-1)+逐级计算!$Q$168*(FL49-逐级计算!$P$168)*LN(10)/10))))))),"")</f>
        <v>13.7930365742034</v>
      </c>
      <c r="FN49">
        <f>IF(AND(ISNUMBER(FM49),逐级计算!$X$169&gt;-1),IF(逐级计算!$X$169=0,FM49+逐级计算!$C$169,FM49+逐级计算!$C$169-(10/(逐级计算!$Q$169*LN(10))*(MAX((LN(10^(逐级计算!$Q$169/10)-1)+逐级计算!$Q$169*(FM49-逐级计算!$P$169)*LN(10)/10),0)+LN(1+EXP(-ABS((LN(10^(逐级计算!$Q$169/10)-1)+逐级计算!$Q$169*(FM49-逐级计算!$P$169)*LN(10)/10))))))),"")</f>
        <v>13.7930365742034</v>
      </c>
      <c r="FO49">
        <f>IF(AND(ISNUMBER(FN49),逐级计算!$X$170&gt;-1),IF(逐级计算!$X$170=0,FN49+逐级计算!$C$170,FN49+逐级计算!$C$170-(10/(逐级计算!$Q$170*LN(10))*(MAX((LN(10^(逐级计算!$Q$170/10)-1)+逐级计算!$Q$170*(FN49-逐级计算!$P$170)*LN(10)/10),0)+LN(1+EXP(-ABS((LN(10^(逐级计算!$Q$170/10)-1)+逐级计算!$Q$170*(FN49-逐级计算!$P$170)*LN(10)/10))))))),"")</f>
        <v>13.7930365742034</v>
      </c>
      <c r="FP49">
        <f>IF(AND(ISNUMBER(FO49),逐级计算!$X$171&gt;-1),IF(逐级计算!$X$171=0,FO49+逐级计算!$C$171,FO49+逐级计算!$C$171-(10/(逐级计算!$Q$171*LN(10))*(MAX((LN(10^(逐级计算!$Q$171/10)-1)+逐级计算!$Q$171*(FO49-逐级计算!$P$171)*LN(10)/10),0)+LN(1+EXP(-ABS((LN(10^(逐级计算!$Q$171/10)-1)+逐级计算!$Q$171*(FO49-逐级计算!$P$171)*LN(10)/10))))))),"")</f>
        <v>13.7930365742034</v>
      </c>
      <c r="FQ49">
        <f>IF(AND(ISNUMBER(FP49),逐级计算!$X$172&gt;-1),IF(逐级计算!$X$172=0,FP49+逐级计算!$C$172,FP49+逐级计算!$C$172-(10/(逐级计算!$Q$172*LN(10))*(MAX((LN(10^(逐级计算!$Q$172/10)-1)+逐级计算!$Q$172*(FP49-逐级计算!$P$172)*LN(10)/10),0)+LN(1+EXP(-ABS((LN(10^(逐级计算!$Q$172/10)-1)+逐级计算!$Q$172*(FP49-逐级计算!$P$172)*LN(10)/10))))))),"")</f>
        <v>13.7930365742034</v>
      </c>
      <c r="FR49">
        <f>IF(AND(ISNUMBER(FQ49),逐级计算!$X$173&gt;-1),IF(逐级计算!$X$173=0,FQ49+逐级计算!$C$173,FQ49+逐级计算!$C$173-(10/(逐级计算!$Q$173*LN(10))*(MAX((LN(10^(逐级计算!$Q$173/10)-1)+逐级计算!$Q$173*(FQ49-逐级计算!$P$173)*LN(10)/10),0)+LN(1+EXP(-ABS((LN(10^(逐级计算!$Q$173/10)-1)+逐级计算!$Q$173*(FQ49-逐级计算!$P$173)*LN(10)/10))))))),"")</f>
        <v>13.7930365742034</v>
      </c>
      <c r="FS49">
        <f>IF(AND(ISNUMBER(FR49),逐级计算!$X$174&gt;-1),IF(逐级计算!$X$174=0,FR49+逐级计算!$C$174,FR49+逐级计算!$C$174-(10/(逐级计算!$Q$174*LN(10))*(MAX((LN(10^(逐级计算!$Q$174/10)-1)+逐级计算!$Q$174*(FR49-逐级计算!$P$174)*LN(10)/10),0)+LN(1+EXP(-ABS((LN(10^(逐级计算!$Q$174/10)-1)+逐级计算!$Q$174*(FR49-逐级计算!$P$174)*LN(10)/10))))))),"")</f>
        <v>13.7930365742034</v>
      </c>
      <c r="FT49">
        <f>IF(AND(ISNUMBER(FS49),逐级计算!$X$175&gt;-1),IF(逐级计算!$X$175=0,FS49+逐级计算!$C$175,FS49+逐级计算!$C$175-(10/(逐级计算!$Q$175*LN(10))*(MAX((LN(10^(逐级计算!$Q$175/10)-1)+逐级计算!$Q$175*(FS49-逐级计算!$P$175)*LN(10)/10),0)+LN(1+EXP(-ABS((LN(10^(逐级计算!$Q$175/10)-1)+逐级计算!$Q$175*(FS49-逐级计算!$P$175)*LN(10)/10))))))),"")</f>
        <v>13.7930365742034</v>
      </c>
      <c r="FU49">
        <f>IF(AND(ISNUMBER(FT49),逐级计算!$X$176&gt;-1),IF(逐级计算!$X$176=0,FT49+逐级计算!$C$176,FT49+逐级计算!$C$176-(10/(逐级计算!$Q$176*LN(10))*(MAX((LN(10^(逐级计算!$Q$176/10)-1)+逐级计算!$Q$176*(FT49-逐级计算!$P$176)*LN(10)/10),0)+LN(1+EXP(-ABS((LN(10^(逐级计算!$Q$176/10)-1)+逐级计算!$Q$176*(FT49-逐级计算!$P$176)*LN(10)/10))))))),"")</f>
        <v>13.7930365742034</v>
      </c>
      <c r="FV49">
        <f>IF(AND(ISNUMBER(FU49),逐级计算!$X$177&gt;-1),IF(逐级计算!$X$177=0,FU49+逐级计算!$C$177,FU49+逐级计算!$C$177-(10/(逐级计算!$Q$177*LN(10))*(MAX((LN(10^(逐级计算!$Q$177/10)-1)+逐级计算!$Q$177*(FU49-逐级计算!$P$177)*LN(10)/10),0)+LN(1+EXP(-ABS((LN(10^(逐级计算!$Q$177/10)-1)+逐级计算!$Q$177*(FU49-逐级计算!$P$177)*LN(10)/10))))))),"")</f>
        <v>13.7930365742034</v>
      </c>
      <c r="FW49">
        <f>IF(AND(ISNUMBER(FV49),逐级计算!$X$178&gt;-1),IF(逐级计算!$X$178=0,FV49+逐级计算!$C$178,FV49+逐级计算!$C$178-(10/(逐级计算!$Q$178*LN(10))*(MAX((LN(10^(逐级计算!$Q$178/10)-1)+逐级计算!$Q$178*(FV49-逐级计算!$P$178)*LN(10)/10),0)+LN(1+EXP(-ABS((LN(10^(逐级计算!$Q$178/10)-1)+逐级计算!$Q$178*(FV49-逐级计算!$P$178)*LN(10)/10))))))),"")</f>
        <v>13.7930365742034</v>
      </c>
      <c r="FX49">
        <f>IF(AND(ISNUMBER(FW49),逐级计算!$X$179&gt;-1),IF(逐级计算!$X$179=0,FW49+逐级计算!$C$179,FW49+逐级计算!$C$179-(10/(逐级计算!$Q$179*LN(10))*(MAX((LN(10^(逐级计算!$Q$179/10)-1)+逐级计算!$Q$179*(FW49-逐级计算!$P$179)*LN(10)/10),0)+LN(1+EXP(-ABS((LN(10^(逐级计算!$Q$179/10)-1)+逐级计算!$Q$179*(FW49-逐级计算!$P$179)*LN(10)/10))))))),"")</f>
        <v>13.7930365742034</v>
      </c>
      <c r="FY49">
        <f>IF(AND(ISNUMBER(FX49),逐级计算!$X$180&gt;-1),IF(逐级计算!$X$180=0,FX49+逐级计算!$C$180,FX49+逐级计算!$C$180-(10/(逐级计算!$Q$180*LN(10))*(MAX((LN(10^(逐级计算!$Q$180/10)-1)+逐级计算!$Q$180*(FX49-逐级计算!$P$180)*LN(10)/10),0)+LN(1+EXP(-ABS((LN(10^(逐级计算!$Q$180/10)-1)+逐级计算!$Q$180*(FX49-逐级计算!$P$180)*LN(10)/10))))))),"")</f>
        <v>13.7930365742034</v>
      </c>
      <c r="FZ49">
        <f>IF(AND(ISNUMBER(FY49),逐级计算!$X$181&gt;-1),IF(逐级计算!$X$181=0,FY49+逐级计算!$C$181,FY49+逐级计算!$C$181-(10/(逐级计算!$Q$181*LN(10))*(MAX((LN(10^(逐级计算!$Q$181/10)-1)+逐级计算!$Q$181*(FY49-逐级计算!$P$181)*LN(10)/10),0)+LN(1+EXP(-ABS((LN(10^(逐级计算!$Q$181/10)-1)+逐级计算!$Q$181*(FY49-逐级计算!$P$181)*LN(10)/10))))))),"")</f>
        <v>13.7930365742034</v>
      </c>
      <c r="GA49">
        <f>IF(AND(ISNUMBER(FZ49),逐级计算!$X$182&gt;-1),IF(逐级计算!$X$182=0,FZ49+逐级计算!$C$182,FZ49+逐级计算!$C$182-(10/(逐级计算!$Q$182*LN(10))*(MAX((LN(10^(逐级计算!$Q$182/10)-1)+逐级计算!$Q$182*(FZ49-逐级计算!$P$182)*LN(10)/10),0)+LN(1+EXP(-ABS((LN(10^(逐级计算!$Q$182/10)-1)+逐级计算!$Q$182*(FZ49-逐级计算!$P$182)*LN(10)/10))))))),"")</f>
        <v>13.7930365742034</v>
      </c>
      <c r="GB49">
        <f>IF(AND(ISNUMBER(GA49),逐级计算!$X$183&gt;-1),IF(逐级计算!$X$183=0,GA49+逐级计算!$C$183,GA49+逐级计算!$C$183-(10/(逐级计算!$Q$183*LN(10))*(MAX((LN(10^(逐级计算!$Q$183/10)-1)+逐级计算!$Q$183*(GA49-逐级计算!$P$183)*LN(10)/10),0)+LN(1+EXP(-ABS((LN(10^(逐级计算!$Q$183/10)-1)+逐级计算!$Q$183*(GA49-逐级计算!$P$183)*LN(10)/10))))))),"")</f>
        <v>13.7930365742034</v>
      </c>
      <c r="GC49">
        <f>IF(AND(ISNUMBER(GB49),逐级计算!$X$184&gt;-1),IF(逐级计算!$X$184=0,GB49+逐级计算!$C$184,GB49+逐级计算!$C$184-(10/(逐级计算!$Q$184*LN(10))*(MAX((LN(10^(逐级计算!$Q$184/10)-1)+逐级计算!$Q$184*(GB49-逐级计算!$P$184)*LN(10)/10),0)+LN(1+EXP(-ABS((LN(10^(逐级计算!$Q$184/10)-1)+逐级计算!$Q$184*(GB49-逐级计算!$P$184)*LN(10)/10))))))),"")</f>
        <v>13.7930365742034</v>
      </c>
      <c r="GD49">
        <f>IF(AND(ISNUMBER(GC49),逐级计算!$X$185&gt;-1),IF(逐级计算!$X$185=0,GC49+逐级计算!$C$185,GC49+逐级计算!$C$185-(10/(逐级计算!$Q$185*LN(10))*(MAX((LN(10^(逐级计算!$Q$185/10)-1)+逐级计算!$Q$185*(GC49-逐级计算!$P$185)*LN(10)/10),0)+LN(1+EXP(-ABS((LN(10^(逐级计算!$Q$185/10)-1)+逐级计算!$Q$185*(GC49-逐级计算!$P$185)*LN(10)/10))))))),"")</f>
        <v>13.7930365742034</v>
      </c>
      <c r="GE49">
        <f>IF(AND(ISNUMBER(GD49),逐级计算!$X$186&gt;-1),IF(逐级计算!$X$186=0,GD49+逐级计算!$C$186,GD49+逐级计算!$C$186-(10/(逐级计算!$Q$186*LN(10))*(MAX((LN(10^(逐级计算!$Q$186/10)-1)+逐级计算!$Q$186*(GD49-逐级计算!$P$186)*LN(10)/10),0)+LN(1+EXP(-ABS((LN(10^(逐级计算!$Q$186/10)-1)+逐级计算!$Q$186*(GD49-逐级计算!$P$186)*LN(10)/10))))))),"")</f>
        <v>13.7930365742034</v>
      </c>
      <c r="GF49">
        <f>IF(AND(ISNUMBER(GE49),逐级计算!$X$187&gt;-1),IF(逐级计算!$X$187=0,GE49+逐级计算!$C$187,GE49+逐级计算!$C$187-(10/(逐级计算!$Q$187*LN(10))*(MAX((LN(10^(逐级计算!$Q$187/10)-1)+逐级计算!$Q$187*(GE49-逐级计算!$P$187)*LN(10)/10),0)+LN(1+EXP(-ABS((LN(10^(逐级计算!$Q$187/10)-1)+逐级计算!$Q$187*(GE49-逐级计算!$P$187)*LN(10)/10))))))),"")</f>
        <v>13.7930365742034</v>
      </c>
      <c r="GG49">
        <f>IF(AND(ISNUMBER(GF49),逐级计算!$X$188&gt;-1),IF(逐级计算!$X$188=0,GF49+逐级计算!$C$188,GF49+逐级计算!$C$188-(10/(逐级计算!$Q$188*LN(10))*(MAX((LN(10^(逐级计算!$Q$188/10)-1)+逐级计算!$Q$188*(GF49-逐级计算!$P$188)*LN(10)/10),0)+LN(1+EXP(-ABS((LN(10^(逐级计算!$Q$188/10)-1)+逐级计算!$Q$188*(GF49-逐级计算!$P$188)*LN(10)/10))))))),"")</f>
        <v>13.7930365742034</v>
      </c>
      <c r="GH49">
        <f>IF(AND(ISNUMBER(GG49),逐级计算!$X$189&gt;-1),IF(逐级计算!$X$189=0,GG49+逐级计算!$C$189,GG49+逐级计算!$C$189-(10/(逐级计算!$Q$189*LN(10))*(MAX((LN(10^(逐级计算!$Q$189/10)-1)+逐级计算!$Q$189*(GG49-逐级计算!$P$189)*LN(10)/10),0)+LN(1+EXP(-ABS((LN(10^(逐级计算!$Q$189/10)-1)+逐级计算!$Q$189*(GG49-逐级计算!$P$189)*LN(10)/10))))))),"")</f>
        <v>13.7930365742034</v>
      </c>
      <c r="GI49">
        <f>IF(AND(ISNUMBER(GH49),逐级计算!$X$190&gt;-1),IF(逐级计算!$X$190=0,GH49+逐级计算!$C$190,GH49+逐级计算!$C$190-(10/(逐级计算!$Q$190*LN(10))*(MAX((LN(10^(逐级计算!$Q$190/10)-1)+逐级计算!$Q$190*(GH49-逐级计算!$P$190)*LN(10)/10),0)+LN(1+EXP(-ABS((LN(10^(逐级计算!$Q$190/10)-1)+逐级计算!$Q$190*(GH49-逐级计算!$P$190)*LN(10)/10))))))),"")</f>
        <v>13.7930365742034</v>
      </c>
      <c r="GJ49">
        <f>IF(AND(ISNUMBER(GI49),逐级计算!$X$191&gt;-1),IF(逐级计算!$X$191=0,GI49+逐级计算!$C$191,GI49+逐级计算!$C$191-(10/(逐级计算!$Q$191*LN(10))*(MAX((LN(10^(逐级计算!$Q$191/10)-1)+逐级计算!$Q$191*(GI49-逐级计算!$P$191)*LN(10)/10),0)+LN(1+EXP(-ABS((LN(10^(逐级计算!$Q$191/10)-1)+逐级计算!$Q$191*(GI49-逐级计算!$P$191)*LN(10)/10))))))),"")</f>
        <v>13.7930365742034</v>
      </c>
      <c r="GK49">
        <f>IF(AND(ISNUMBER(GJ49),逐级计算!$X$192&gt;-1),IF(逐级计算!$X$192=0,GJ49+逐级计算!$C$192,GJ49+逐级计算!$C$192-(10/(逐级计算!$Q$192*LN(10))*(MAX((LN(10^(逐级计算!$Q$192/10)-1)+逐级计算!$Q$192*(GJ49-逐级计算!$P$192)*LN(10)/10),0)+LN(1+EXP(-ABS((LN(10^(逐级计算!$Q$192/10)-1)+逐级计算!$Q$192*(GJ49-逐级计算!$P$192)*LN(10)/10))))))),"")</f>
        <v>13.7930365742034</v>
      </c>
      <c r="GL49">
        <f>IF(AND(ISNUMBER(GK49),逐级计算!$X$193&gt;-1),IF(逐级计算!$X$193=0,GK49+逐级计算!$C$193,GK49+逐级计算!$C$193-(10/(逐级计算!$Q$193*LN(10))*(MAX((LN(10^(逐级计算!$Q$193/10)-1)+逐级计算!$Q$193*(GK49-逐级计算!$P$193)*LN(10)/10),0)+LN(1+EXP(-ABS((LN(10^(逐级计算!$Q$193/10)-1)+逐级计算!$Q$193*(GK49-逐级计算!$P$193)*LN(10)/10))))))),"")</f>
        <v>13.7930365742034</v>
      </c>
      <c r="GM49">
        <f>IF(AND(ISNUMBER(GL49),逐级计算!$X$194&gt;-1),IF(逐级计算!$X$194=0,GL49+逐级计算!$C$194,GL49+逐级计算!$C$194-(10/(逐级计算!$Q$194*LN(10))*(MAX((LN(10^(逐级计算!$Q$194/10)-1)+逐级计算!$Q$194*(GL49-逐级计算!$P$194)*LN(10)/10),0)+LN(1+EXP(-ABS((LN(10^(逐级计算!$Q$194/10)-1)+逐级计算!$Q$194*(GL49-逐级计算!$P$194)*LN(10)/10))))))),"")</f>
        <v>13.7930365742034</v>
      </c>
      <c r="GN49">
        <f>IF(AND(ISNUMBER(GM49),逐级计算!$X$195&gt;-1),IF(逐级计算!$X$195=0,GM49+逐级计算!$C$195,GM49+逐级计算!$C$195-(10/(逐级计算!$Q$195*LN(10))*(MAX((LN(10^(逐级计算!$Q$195/10)-1)+逐级计算!$Q$195*(GM49-逐级计算!$P$195)*LN(10)/10),0)+LN(1+EXP(-ABS((LN(10^(逐级计算!$Q$195/10)-1)+逐级计算!$Q$195*(GM49-逐级计算!$P$195)*LN(10)/10))))))),"")</f>
        <v>13.7930365742034</v>
      </c>
      <c r="GO49">
        <f>IF(AND(ISNUMBER(GN49),逐级计算!$X$196&gt;-1),IF(逐级计算!$X$196=0,GN49+逐级计算!$C$196,GN49+逐级计算!$C$196-(10/(逐级计算!$Q$196*LN(10))*(MAX((LN(10^(逐级计算!$Q$196/10)-1)+逐级计算!$Q$196*(GN49-逐级计算!$P$196)*LN(10)/10),0)+LN(1+EXP(-ABS((LN(10^(逐级计算!$Q$196/10)-1)+逐级计算!$Q$196*(GN49-逐级计算!$P$196)*LN(10)/10))))))),"")</f>
        <v>13.7930365742034</v>
      </c>
      <c r="GP49">
        <f>IF(AND(ISNUMBER(GO49),逐级计算!$X$197&gt;-1),IF(逐级计算!$X$197=0,GO49+逐级计算!$C$197,GO49+逐级计算!$C$197-(10/(逐级计算!$Q$197*LN(10))*(MAX((LN(10^(逐级计算!$Q$197/10)-1)+逐级计算!$Q$197*(GO49-逐级计算!$P$197)*LN(10)/10),0)+LN(1+EXP(-ABS((LN(10^(逐级计算!$Q$197/10)-1)+逐级计算!$Q$197*(GO49-逐级计算!$P$197)*LN(10)/10))))))),"")</f>
        <v>13.7930365742034</v>
      </c>
      <c r="GQ49">
        <f>IF(AND(ISNUMBER(GP49),逐级计算!$X$198&gt;-1),IF(逐级计算!$X$198=0,GP49+逐级计算!$C$198,GP49+逐级计算!$C$198-(10/(逐级计算!$Q$198*LN(10))*(MAX((LN(10^(逐级计算!$Q$198/10)-1)+逐级计算!$Q$198*(GP49-逐级计算!$P$198)*LN(10)/10),0)+LN(1+EXP(-ABS((LN(10^(逐级计算!$Q$198/10)-1)+逐级计算!$Q$198*(GP49-逐级计算!$P$198)*LN(10)/10))))))),"")</f>
        <v>13.7930365742034</v>
      </c>
      <c r="GR49">
        <f>IF(AND(ISNUMBER(GQ49),逐级计算!$X$199&gt;-1),IF(逐级计算!$X$199=0,GQ49+逐级计算!$C$199,GQ49+逐级计算!$C$199-(10/(逐级计算!$Q$199*LN(10))*(MAX((LN(10^(逐级计算!$Q$199/10)-1)+逐级计算!$Q$199*(GQ49-逐级计算!$P$199)*LN(10)/10),0)+LN(1+EXP(-ABS((LN(10^(逐级计算!$Q$199/10)-1)+逐级计算!$Q$199*(GQ49-逐级计算!$P$199)*LN(10)/10))))))),"")</f>
        <v>13.7930365742034</v>
      </c>
      <c r="GS49">
        <f>IF(AND(ISNUMBER(GR49),逐级计算!$X$200&gt;-1),IF(逐级计算!$X$200=0,GR49+逐级计算!$C$200,GR49+逐级计算!$C$200-(10/(逐级计算!$Q$200*LN(10))*(MAX((LN(10^(逐级计算!$Q$200/10)-1)+逐级计算!$Q$200*(GR49-逐级计算!$P$200)*LN(10)/10),0)+LN(1+EXP(-ABS((LN(10^(逐级计算!$Q$200/10)-1)+逐级计算!$Q$200*(GR49-逐级计算!$P$200)*LN(10)/10))))))),"")</f>
        <v>13.7930365742034</v>
      </c>
      <c r="GT49">
        <f>IF(AND(ISNUMBER(GS49),逐级计算!$X$201&gt;-1),IF(逐级计算!$X$201=0,GS49+逐级计算!$C$201,GS49+逐级计算!$C$201-(10/(逐级计算!$Q$201*LN(10))*(MAX((LN(10^(逐级计算!$Q$201/10)-1)+逐级计算!$Q$201*(GS49-逐级计算!$P$201)*LN(10)/10),0)+LN(1+EXP(-ABS((LN(10^(逐级计算!$Q$201/10)-1)+逐级计算!$Q$201*(GS49-逐级计算!$P$201)*LN(10)/10))))))),"")</f>
        <v>13.7930365742034</v>
      </c>
      <c r="GU49">
        <f>IF(AND(ISNUMBER(GT49),逐级计算!$X$202&gt;-1),IF(逐级计算!$X$202=0,GT49+逐级计算!$C$202,GT49+逐级计算!$C$202-(10/(逐级计算!$Q$202*LN(10))*(MAX((LN(10^(逐级计算!$Q$202/10)-1)+逐级计算!$Q$202*(GT49-逐级计算!$P$202)*LN(10)/10),0)+LN(1+EXP(-ABS((LN(10^(逐级计算!$Q$202/10)-1)+逐级计算!$Q$202*(GT49-逐级计算!$P$202)*LN(10)/10))))))),"")</f>
        <v>13.7930365742034</v>
      </c>
      <c r="GV49">
        <f>IF(AND(ISNUMBER(GU49),逐级计算!$X$203&gt;-1),IF(逐级计算!$X$203=0,GU49+逐级计算!$C$203,GU49+逐级计算!$C$203-(10/(逐级计算!$Q$203*LN(10))*(MAX((LN(10^(逐级计算!$Q$203/10)-1)+逐级计算!$Q$203*(GU49-逐级计算!$P$203)*LN(10)/10),0)+LN(1+EXP(-ABS((LN(10^(逐级计算!$Q$203/10)-1)+逐级计算!$Q$203*(GU49-逐级计算!$P$203)*LN(10)/10))))))),"")</f>
        <v>13.7930365742034</v>
      </c>
      <c r="GW49">
        <f t="shared" si="2"/>
        <v>-5.20696342577594</v>
      </c>
    </row>
    <row r="50" spans="1:205">
      <c r="A50">
        <v>43</v>
      </c>
      <c r="B50">
        <f t="shared" si="1"/>
        <v>-5.20696342579981</v>
      </c>
      <c r="C50">
        <f t="shared" si="0"/>
        <v>-5.20696342578788</v>
      </c>
      <c r="D50">
        <f>IF(AND(ISNUMBER(C50),ISNUMBER(逐级计算!$E$203),ISNUMBER(GV50)),C50+逐级计算!$E$203-GV50,"")</f>
        <v>1.0000000000012</v>
      </c>
      <c r="E50">
        <f>IF(AND(ISNUMBER(C50),逐级计算!$X$4&gt;-1),IF(逐级计算!$X$4=0,C50+逐级计算!$C$4,C50+逐级计算!$C$4-(10/(逐级计算!$Q$4*LN(10))*(MAX((LN(10^(逐级计算!$Q$4/10)-1)+逐级计算!$Q$4*(C50-逐级计算!$P$4)*LN(10)/10),0)+LN(1+EXP(-ABS((LN(10^(逐级计算!$Q$4/10)-1)+逐级计算!$Q$4*(C50-逐级计算!$P$4)*LN(10)/10))))))),"")</f>
        <v>4.68053982928619</v>
      </c>
      <c r="F50">
        <f>IF(AND(ISNUMBER(E50),逐级计算!$X$5&gt;-1),IF(逐级计算!$X$5=0,E50+逐级计算!$C$5,E50+逐级计算!$C$5-(10/(逐级计算!$Q$5*LN(10))*(MAX((LN(10^(逐级计算!$Q$5/10)-1)+逐级计算!$Q$5*(E50-逐级计算!$P$5)*LN(10)/10),0)+LN(1+EXP(-ABS((LN(10^(逐级计算!$Q$5/10)-1)+逐级计算!$Q$5*(E50-逐级计算!$P$5)*LN(10)/10))))))),"")</f>
        <v>13.7930365742109</v>
      </c>
      <c r="G50">
        <f>IF(AND(ISNUMBER(F50),逐级计算!$X$6&gt;-1),IF(逐级计算!$X$6=0,F50+逐级计算!$C$6,F50+逐级计算!$C$6-(10/(逐级计算!$Q$6*LN(10))*(MAX((LN(10^(逐级计算!$Q$6/10)-1)+逐级计算!$Q$6*(F50-逐级计算!$P$6)*LN(10)/10),0)+LN(1+EXP(-ABS((LN(10^(逐级计算!$Q$6/10)-1)+逐级计算!$Q$6*(F50-逐级计算!$P$6)*LN(10)/10))))))),"")</f>
        <v>13.7930365742109</v>
      </c>
      <c r="H50">
        <f>IF(AND(ISNUMBER(G50),逐级计算!$X$7&gt;-1),IF(逐级计算!$X$7=0,G50+逐级计算!$C$7,G50+逐级计算!$C$7-(10/(逐级计算!$Q$7*LN(10))*(MAX((LN(10^(逐级计算!$Q$7/10)-1)+逐级计算!$Q$7*(G50-逐级计算!$P$7)*LN(10)/10),0)+LN(1+EXP(-ABS((LN(10^(逐级计算!$Q$7/10)-1)+逐级计算!$Q$7*(G50-逐级计算!$P$7)*LN(10)/10))))))),"")</f>
        <v>13.7930365742109</v>
      </c>
      <c r="I50">
        <f>IF(AND(ISNUMBER(H50),逐级计算!$X$8&gt;-1),IF(逐级计算!$X$8=0,H50+逐级计算!$C$8,H50+逐级计算!$C$8-(10/(逐级计算!$Q$8*LN(10))*(MAX((LN(10^(逐级计算!$Q$8/10)-1)+逐级计算!$Q$8*(H50-逐级计算!$P$8)*LN(10)/10),0)+LN(1+EXP(-ABS((LN(10^(逐级计算!$Q$8/10)-1)+逐级计算!$Q$8*(H50-逐级计算!$P$8)*LN(10)/10))))))),"")</f>
        <v>13.7930365742109</v>
      </c>
      <c r="J50">
        <f>IF(AND(ISNUMBER(I50),逐级计算!$X$9&gt;-1),IF(逐级计算!$X$9=0,I50+逐级计算!$C$9,I50+逐级计算!$C$9-(10/(逐级计算!$Q$9*LN(10))*(MAX((LN(10^(逐级计算!$Q$9/10)-1)+逐级计算!$Q$9*(I50-逐级计算!$P$9)*LN(10)/10),0)+LN(1+EXP(-ABS((LN(10^(逐级计算!$Q$9/10)-1)+逐级计算!$Q$9*(I50-逐级计算!$P$9)*LN(10)/10))))))),"")</f>
        <v>13.7930365742109</v>
      </c>
      <c r="K50">
        <f>IF(AND(ISNUMBER(J50),逐级计算!$X$10&gt;-1),IF(逐级计算!$X$10=0,J50+逐级计算!$C$10,J50+逐级计算!$C$10-(10/(逐级计算!$Q$10*LN(10))*(MAX((LN(10^(逐级计算!$Q$10/10)-1)+逐级计算!$Q$10*(J50-逐级计算!$P$10)*LN(10)/10),0)+LN(1+EXP(-ABS((LN(10^(逐级计算!$Q$10/10)-1)+逐级计算!$Q$10*(J50-逐级计算!$P$10)*LN(10)/10))))))),"")</f>
        <v>13.7930365742109</v>
      </c>
      <c r="L50">
        <f>IF(AND(ISNUMBER(K50),逐级计算!$X$11&gt;-1),IF(逐级计算!$X$11=0,K50+逐级计算!$C$11,K50+逐级计算!$C$11-(10/(逐级计算!$Q$11*LN(10))*(MAX((LN(10^(逐级计算!$Q$11/10)-1)+逐级计算!$Q$11*(K50-逐级计算!$P$11)*LN(10)/10),0)+LN(1+EXP(-ABS((LN(10^(逐级计算!$Q$11/10)-1)+逐级计算!$Q$11*(K50-逐级计算!$P$11)*LN(10)/10))))))),"")</f>
        <v>13.7930365742109</v>
      </c>
      <c r="M50">
        <f>IF(AND(ISNUMBER(L50),逐级计算!$X$12&gt;-1),IF(逐级计算!$X$12=0,L50+逐级计算!$C$12,L50+逐级计算!$C$12-(10/(逐级计算!$Q$12*LN(10))*(MAX((LN(10^(逐级计算!$Q$12/10)-1)+逐级计算!$Q$12*(L50-逐级计算!$P$12)*LN(10)/10),0)+LN(1+EXP(-ABS((LN(10^(逐级计算!$Q$12/10)-1)+逐级计算!$Q$12*(L50-逐级计算!$P$12)*LN(10)/10))))))),"")</f>
        <v>13.7930365742109</v>
      </c>
      <c r="N50">
        <f>IF(AND(ISNUMBER(M50),逐级计算!$X$13&gt;-1),IF(逐级计算!$X$13=0,M50+逐级计算!$C$13,M50+逐级计算!$C$13-(10/(逐级计算!$Q$13*LN(10))*(MAX((LN(10^(逐级计算!$Q$13/10)-1)+逐级计算!$Q$13*(M50-逐级计算!$P$13)*LN(10)/10),0)+LN(1+EXP(-ABS((LN(10^(逐级计算!$Q$13/10)-1)+逐级计算!$Q$13*(M50-逐级计算!$P$13)*LN(10)/10))))))),"")</f>
        <v>13.7930365742109</v>
      </c>
      <c r="O50">
        <f>IF(AND(ISNUMBER(N50),逐级计算!$X$14&gt;-1),IF(逐级计算!$X$14=0,N50+逐级计算!$C$14,N50+逐级计算!$C$14-(10/(逐级计算!$Q$14*LN(10))*(MAX((LN(10^(逐级计算!$Q$14/10)-1)+逐级计算!$Q$14*(N50-逐级计算!$P$14)*LN(10)/10),0)+LN(1+EXP(-ABS((LN(10^(逐级计算!$Q$14/10)-1)+逐级计算!$Q$14*(N50-逐级计算!$P$14)*LN(10)/10))))))),"")</f>
        <v>13.7930365742109</v>
      </c>
      <c r="P50">
        <f>IF(AND(ISNUMBER(O50),逐级计算!$X$15&gt;-1),IF(逐级计算!$X$15=0,O50+逐级计算!$C$15,O50+逐级计算!$C$15-(10/(逐级计算!$Q$15*LN(10))*(MAX((LN(10^(逐级计算!$Q$15/10)-1)+逐级计算!$Q$15*(O50-逐级计算!$P$15)*LN(10)/10),0)+LN(1+EXP(-ABS((LN(10^(逐级计算!$Q$15/10)-1)+逐级计算!$Q$15*(O50-逐级计算!$P$15)*LN(10)/10))))))),"")</f>
        <v>13.7930365742109</v>
      </c>
      <c r="Q50">
        <f>IF(AND(ISNUMBER(P50),逐级计算!$X$16&gt;-1),IF(逐级计算!$X$16=0,P50+逐级计算!$C$16,P50+逐级计算!$C$16-(10/(逐级计算!$Q$16*LN(10))*(MAX((LN(10^(逐级计算!$Q$16/10)-1)+逐级计算!$Q$16*(P50-逐级计算!$P$16)*LN(10)/10),0)+LN(1+EXP(-ABS((LN(10^(逐级计算!$Q$16/10)-1)+逐级计算!$Q$16*(P50-逐级计算!$P$16)*LN(10)/10))))))),"")</f>
        <v>13.7930365742109</v>
      </c>
      <c r="R50">
        <f>IF(AND(ISNUMBER(Q50),逐级计算!$X$17&gt;-1),IF(逐级计算!$X$17=0,Q50+逐级计算!$C$17,Q50+逐级计算!$C$17-(10/(逐级计算!$Q$17*LN(10))*(MAX((LN(10^(逐级计算!$Q$17/10)-1)+逐级计算!$Q$17*(Q50-逐级计算!$P$17)*LN(10)/10),0)+LN(1+EXP(-ABS((LN(10^(逐级计算!$Q$17/10)-1)+逐级计算!$Q$17*(Q50-逐级计算!$P$17)*LN(10)/10))))))),"")</f>
        <v>13.7930365742109</v>
      </c>
      <c r="S50">
        <f>IF(AND(ISNUMBER(R50),逐级计算!$X$18&gt;-1),IF(逐级计算!$X$18=0,R50+逐级计算!$C$18,R50+逐级计算!$C$18-(10/(逐级计算!$Q$18*LN(10))*(MAX((LN(10^(逐级计算!$Q$18/10)-1)+逐级计算!$Q$18*(R50-逐级计算!$P$18)*LN(10)/10),0)+LN(1+EXP(-ABS((LN(10^(逐级计算!$Q$18/10)-1)+逐级计算!$Q$18*(R50-逐级计算!$P$18)*LN(10)/10))))))),"")</f>
        <v>13.7930365742109</v>
      </c>
      <c r="T50">
        <f>IF(AND(ISNUMBER(S50),逐级计算!$X$19&gt;-1),IF(逐级计算!$X$19=0,S50+逐级计算!$C$19,S50+逐级计算!$C$19-(10/(逐级计算!$Q$19*LN(10))*(MAX((LN(10^(逐级计算!$Q$19/10)-1)+逐级计算!$Q$19*(S50-逐级计算!$P$19)*LN(10)/10),0)+LN(1+EXP(-ABS((LN(10^(逐级计算!$Q$19/10)-1)+逐级计算!$Q$19*(S50-逐级计算!$P$19)*LN(10)/10))))))),"")</f>
        <v>13.7930365742109</v>
      </c>
      <c r="U50">
        <f>IF(AND(ISNUMBER(T50),逐级计算!$X$20&gt;-1),IF(逐级计算!$X$20=0,T50+逐级计算!$C$20,T50+逐级计算!$C$20-(10/(逐级计算!$Q$20*LN(10))*(MAX((LN(10^(逐级计算!$Q$20/10)-1)+逐级计算!$Q$20*(T50-逐级计算!$P$20)*LN(10)/10),0)+LN(1+EXP(-ABS((LN(10^(逐级计算!$Q$20/10)-1)+逐级计算!$Q$20*(T50-逐级计算!$P$20)*LN(10)/10))))))),"")</f>
        <v>13.7930365742109</v>
      </c>
      <c r="V50">
        <f>IF(AND(ISNUMBER(U50),逐级计算!$X$21&gt;-1),IF(逐级计算!$X$21=0,U50+逐级计算!$C$21,U50+逐级计算!$C$21-(10/(逐级计算!$Q$21*LN(10))*(MAX((LN(10^(逐级计算!$Q$21/10)-1)+逐级计算!$Q$21*(U50-逐级计算!$P$21)*LN(10)/10),0)+LN(1+EXP(-ABS((LN(10^(逐级计算!$Q$21/10)-1)+逐级计算!$Q$21*(U50-逐级计算!$P$21)*LN(10)/10))))))),"")</f>
        <v>13.7930365742109</v>
      </c>
      <c r="W50">
        <f>IF(AND(ISNUMBER(V50),逐级计算!$X$22&gt;-1),IF(逐级计算!$X$22=0,V50+逐级计算!$C$22,V50+逐级计算!$C$22-(10/(逐级计算!$Q$22*LN(10))*(MAX((LN(10^(逐级计算!$Q$22/10)-1)+逐级计算!$Q$22*(V50-逐级计算!$P$22)*LN(10)/10),0)+LN(1+EXP(-ABS((LN(10^(逐级计算!$Q$22/10)-1)+逐级计算!$Q$22*(V50-逐级计算!$P$22)*LN(10)/10))))))),"")</f>
        <v>13.7930365742109</v>
      </c>
      <c r="X50">
        <f>IF(AND(ISNUMBER(W50),逐级计算!$X$23&gt;-1),IF(逐级计算!$X$23=0,W50+逐级计算!$C$23,W50+逐级计算!$C$23-(10/(逐级计算!$Q$23*LN(10))*(MAX((LN(10^(逐级计算!$Q$23/10)-1)+逐级计算!$Q$23*(W50-逐级计算!$P$23)*LN(10)/10),0)+LN(1+EXP(-ABS((LN(10^(逐级计算!$Q$23/10)-1)+逐级计算!$Q$23*(W50-逐级计算!$P$23)*LN(10)/10))))))),"")</f>
        <v>13.7930365742109</v>
      </c>
      <c r="Y50">
        <f>IF(AND(ISNUMBER(X50),逐级计算!$X$24&gt;-1),IF(逐级计算!$X$24=0,X50+逐级计算!$C$24,X50+逐级计算!$C$24-(10/(逐级计算!$Q$24*LN(10))*(MAX((LN(10^(逐级计算!$Q$24/10)-1)+逐级计算!$Q$24*(X50-逐级计算!$P$24)*LN(10)/10),0)+LN(1+EXP(-ABS((LN(10^(逐级计算!$Q$24/10)-1)+逐级计算!$Q$24*(X50-逐级计算!$P$24)*LN(10)/10))))))),"")</f>
        <v>13.7930365742109</v>
      </c>
      <c r="Z50">
        <f>IF(AND(ISNUMBER(Y50),逐级计算!$X$25&gt;-1),IF(逐级计算!$X$25=0,Y50+逐级计算!$C$25,Y50+逐级计算!$C$25-(10/(逐级计算!$Q$25*LN(10))*(MAX((LN(10^(逐级计算!$Q$25/10)-1)+逐级计算!$Q$25*(Y50-逐级计算!$P$25)*LN(10)/10),0)+LN(1+EXP(-ABS((LN(10^(逐级计算!$Q$25/10)-1)+逐级计算!$Q$25*(Y50-逐级计算!$P$25)*LN(10)/10))))))),"")</f>
        <v>13.7930365742109</v>
      </c>
      <c r="AA50">
        <f>IF(AND(ISNUMBER(Z50),逐级计算!$X$26&gt;-1),IF(逐级计算!$X$26=0,Z50+逐级计算!$C$26,Z50+逐级计算!$C$26-(10/(逐级计算!$Q$26*LN(10))*(MAX((LN(10^(逐级计算!$Q$26/10)-1)+逐级计算!$Q$26*(Z50-逐级计算!$P$26)*LN(10)/10),0)+LN(1+EXP(-ABS((LN(10^(逐级计算!$Q$26/10)-1)+逐级计算!$Q$26*(Z50-逐级计算!$P$26)*LN(10)/10))))))),"")</f>
        <v>13.7930365742109</v>
      </c>
      <c r="AB50">
        <f>IF(AND(ISNUMBER(AA50),逐级计算!$X$27&gt;-1),IF(逐级计算!$X$27=0,AA50+逐级计算!$C$27,AA50+逐级计算!$C$27-(10/(逐级计算!$Q$27*LN(10))*(MAX((LN(10^(逐级计算!$Q$27/10)-1)+逐级计算!$Q$27*(AA50-逐级计算!$P$27)*LN(10)/10),0)+LN(1+EXP(-ABS((LN(10^(逐级计算!$Q$27/10)-1)+逐级计算!$Q$27*(AA50-逐级计算!$P$27)*LN(10)/10))))))),"")</f>
        <v>13.7930365742109</v>
      </c>
      <c r="AC50">
        <f>IF(AND(ISNUMBER(AB50),逐级计算!$X$28&gt;-1),IF(逐级计算!$X$28=0,AB50+逐级计算!$C$28,AB50+逐级计算!$C$28-(10/(逐级计算!$Q$28*LN(10))*(MAX((LN(10^(逐级计算!$Q$28/10)-1)+逐级计算!$Q$28*(AB50-逐级计算!$P$28)*LN(10)/10),0)+LN(1+EXP(-ABS((LN(10^(逐级计算!$Q$28/10)-1)+逐级计算!$Q$28*(AB50-逐级计算!$P$28)*LN(10)/10))))))),"")</f>
        <v>13.7930365742109</v>
      </c>
      <c r="AD50">
        <f>IF(AND(ISNUMBER(AC50),逐级计算!$X$29&gt;-1),IF(逐级计算!$X$29=0,AC50+逐级计算!$C$29,AC50+逐级计算!$C$29-(10/(逐级计算!$Q$29*LN(10))*(MAX((LN(10^(逐级计算!$Q$29/10)-1)+逐级计算!$Q$29*(AC50-逐级计算!$P$29)*LN(10)/10),0)+LN(1+EXP(-ABS((LN(10^(逐级计算!$Q$29/10)-1)+逐级计算!$Q$29*(AC50-逐级计算!$P$29)*LN(10)/10))))))),"")</f>
        <v>13.7930365742109</v>
      </c>
      <c r="AE50">
        <f>IF(AND(ISNUMBER(AD50),逐级计算!$X$30&gt;-1),IF(逐级计算!$X$30=0,AD50+逐级计算!$C$30,AD50+逐级计算!$C$30-(10/(逐级计算!$Q$30*LN(10))*(MAX((LN(10^(逐级计算!$Q$30/10)-1)+逐级计算!$Q$30*(AD50-逐级计算!$P$30)*LN(10)/10),0)+LN(1+EXP(-ABS((LN(10^(逐级计算!$Q$30/10)-1)+逐级计算!$Q$30*(AD50-逐级计算!$P$30)*LN(10)/10))))))),"")</f>
        <v>13.7930365742109</v>
      </c>
      <c r="AF50">
        <f>IF(AND(ISNUMBER(AE50),逐级计算!$X$31&gt;-1),IF(逐级计算!$X$31=0,AE50+逐级计算!$C$31,AE50+逐级计算!$C$31-(10/(逐级计算!$Q$31*LN(10))*(MAX((LN(10^(逐级计算!$Q$31/10)-1)+逐级计算!$Q$31*(AE50-逐级计算!$P$31)*LN(10)/10),0)+LN(1+EXP(-ABS((LN(10^(逐级计算!$Q$31/10)-1)+逐级计算!$Q$31*(AE50-逐级计算!$P$31)*LN(10)/10))))))),"")</f>
        <v>13.7930365742109</v>
      </c>
      <c r="AG50">
        <f>IF(AND(ISNUMBER(AF50),逐级计算!$X$32&gt;-1),IF(逐级计算!$X$32=0,AF50+逐级计算!$C$32,AF50+逐级计算!$C$32-(10/(逐级计算!$Q$32*LN(10))*(MAX((LN(10^(逐级计算!$Q$32/10)-1)+逐级计算!$Q$32*(AF50-逐级计算!$P$32)*LN(10)/10),0)+LN(1+EXP(-ABS((LN(10^(逐级计算!$Q$32/10)-1)+逐级计算!$Q$32*(AF50-逐级计算!$P$32)*LN(10)/10))))))),"")</f>
        <v>13.7930365742109</v>
      </c>
      <c r="AH50">
        <f>IF(AND(ISNUMBER(AG50),逐级计算!$X$33&gt;-1),IF(逐级计算!$X$33=0,AG50+逐级计算!$C$33,AG50+逐级计算!$C$33-(10/(逐级计算!$Q$33*LN(10))*(MAX((LN(10^(逐级计算!$Q$33/10)-1)+逐级计算!$Q$33*(AG50-逐级计算!$P$33)*LN(10)/10),0)+LN(1+EXP(-ABS((LN(10^(逐级计算!$Q$33/10)-1)+逐级计算!$Q$33*(AG50-逐级计算!$P$33)*LN(10)/10))))))),"")</f>
        <v>13.7930365742109</v>
      </c>
      <c r="AI50">
        <f>IF(AND(ISNUMBER(AH50),逐级计算!$X$34&gt;-1),IF(逐级计算!$X$34=0,AH50+逐级计算!$C$34,AH50+逐级计算!$C$34-(10/(逐级计算!$Q$34*LN(10))*(MAX((LN(10^(逐级计算!$Q$34/10)-1)+逐级计算!$Q$34*(AH50-逐级计算!$P$34)*LN(10)/10),0)+LN(1+EXP(-ABS((LN(10^(逐级计算!$Q$34/10)-1)+逐级计算!$Q$34*(AH50-逐级计算!$P$34)*LN(10)/10))))))),"")</f>
        <v>13.7930365742109</v>
      </c>
      <c r="AJ50">
        <f>IF(AND(ISNUMBER(AI50),逐级计算!$X$35&gt;-1),IF(逐级计算!$X$35=0,AI50+逐级计算!$C$35,AI50+逐级计算!$C$35-(10/(逐级计算!$Q$35*LN(10))*(MAX((LN(10^(逐级计算!$Q$35/10)-1)+逐级计算!$Q$35*(AI50-逐级计算!$P$35)*LN(10)/10),0)+LN(1+EXP(-ABS((LN(10^(逐级计算!$Q$35/10)-1)+逐级计算!$Q$35*(AI50-逐级计算!$P$35)*LN(10)/10))))))),"")</f>
        <v>13.7930365742109</v>
      </c>
      <c r="AK50">
        <f>IF(AND(ISNUMBER(AJ50),逐级计算!$X$36&gt;-1),IF(逐级计算!$X$36=0,AJ50+逐级计算!$C$36,AJ50+逐级计算!$C$36-(10/(逐级计算!$Q$36*LN(10))*(MAX((LN(10^(逐级计算!$Q$36/10)-1)+逐级计算!$Q$36*(AJ50-逐级计算!$P$36)*LN(10)/10),0)+LN(1+EXP(-ABS((LN(10^(逐级计算!$Q$36/10)-1)+逐级计算!$Q$36*(AJ50-逐级计算!$P$36)*LN(10)/10))))))),"")</f>
        <v>13.7930365742109</v>
      </c>
      <c r="AL50">
        <f>IF(AND(ISNUMBER(AK50),逐级计算!$X$37&gt;-1),IF(逐级计算!$X$37=0,AK50+逐级计算!$C$37,AK50+逐级计算!$C$37-(10/(逐级计算!$Q$37*LN(10))*(MAX((LN(10^(逐级计算!$Q$37/10)-1)+逐级计算!$Q$37*(AK50-逐级计算!$P$37)*LN(10)/10),0)+LN(1+EXP(-ABS((LN(10^(逐级计算!$Q$37/10)-1)+逐级计算!$Q$37*(AK50-逐级计算!$P$37)*LN(10)/10))))))),"")</f>
        <v>13.7930365742109</v>
      </c>
      <c r="AM50">
        <f>IF(AND(ISNUMBER(AL50),逐级计算!$X$38&gt;-1),IF(逐级计算!$X$38=0,AL50+逐级计算!$C$38,AL50+逐级计算!$C$38-(10/(逐级计算!$Q$38*LN(10))*(MAX((LN(10^(逐级计算!$Q$38/10)-1)+逐级计算!$Q$38*(AL50-逐级计算!$P$38)*LN(10)/10),0)+LN(1+EXP(-ABS((LN(10^(逐级计算!$Q$38/10)-1)+逐级计算!$Q$38*(AL50-逐级计算!$P$38)*LN(10)/10))))))),"")</f>
        <v>13.7930365742109</v>
      </c>
      <c r="AN50">
        <f>IF(AND(ISNUMBER(AM50),逐级计算!$X$39&gt;-1),IF(逐级计算!$X$39=0,AM50+逐级计算!$C$39,AM50+逐级计算!$C$39-(10/(逐级计算!$Q$39*LN(10))*(MAX((LN(10^(逐级计算!$Q$39/10)-1)+逐级计算!$Q$39*(AM50-逐级计算!$P$39)*LN(10)/10),0)+LN(1+EXP(-ABS((LN(10^(逐级计算!$Q$39/10)-1)+逐级计算!$Q$39*(AM50-逐级计算!$P$39)*LN(10)/10))))))),"")</f>
        <v>13.7930365742109</v>
      </c>
      <c r="AO50">
        <f>IF(AND(ISNUMBER(AN50),逐级计算!$X$40&gt;-1),IF(逐级计算!$X$40=0,AN50+逐级计算!$C$40,AN50+逐级计算!$C$40-(10/(逐级计算!$Q$40*LN(10))*(MAX((LN(10^(逐级计算!$Q$40/10)-1)+逐级计算!$Q$40*(AN50-逐级计算!$P$40)*LN(10)/10),0)+LN(1+EXP(-ABS((LN(10^(逐级计算!$Q$40/10)-1)+逐级计算!$Q$40*(AN50-逐级计算!$P$40)*LN(10)/10))))))),"")</f>
        <v>13.7930365742109</v>
      </c>
      <c r="AP50">
        <f>IF(AND(ISNUMBER(AO50),逐级计算!$X$41&gt;-1),IF(逐级计算!$X$41=0,AO50+逐级计算!$C$41,AO50+逐级计算!$C$41-(10/(逐级计算!$Q$41*LN(10))*(MAX((LN(10^(逐级计算!$Q$41/10)-1)+逐级计算!$Q$41*(AO50-逐级计算!$P$41)*LN(10)/10),0)+LN(1+EXP(-ABS((LN(10^(逐级计算!$Q$41/10)-1)+逐级计算!$Q$41*(AO50-逐级计算!$P$41)*LN(10)/10))))))),"")</f>
        <v>13.7930365742109</v>
      </c>
      <c r="AQ50">
        <f>IF(AND(ISNUMBER(AP50),逐级计算!$X$42&gt;-1),IF(逐级计算!$X$42=0,AP50+逐级计算!$C$42,AP50+逐级计算!$C$42-(10/(逐级计算!$Q$42*LN(10))*(MAX((LN(10^(逐级计算!$Q$42/10)-1)+逐级计算!$Q$42*(AP50-逐级计算!$P$42)*LN(10)/10),0)+LN(1+EXP(-ABS((LN(10^(逐级计算!$Q$42/10)-1)+逐级计算!$Q$42*(AP50-逐级计算!$P$42)*LN(10)/10))))))),"")</f>
        <v>13.7930365742109</v>
      </c>
      <c r="AR50">
        <f>IF(AND(ISNUMBER(AQ50),逐级计算!$X$43&gt;-1),IF(逐级计算!$X$43=0,AQ50+逐级计算!$C$43,AQ50+逐级计算!$C$43-(10/(逐级计算!$Q$43*LN(10))*(MAX((LN(10^(逐级计算!$Q$43/10)-1)+逐级计算!$Q$43*(AQ50-逐级计算!$P$43)*LN(10)/10),0)+LN(1+EXP(-ABS((LN(10^(逐级计算!$Q$43/10)-1)+逐级计算!$Q$43*(AQ50-逐级计算!$P$43)*LN(10)/10))))))),"")</f>
        <v>13.7930365742109</v>
      </c>
      <c r="AS50">
        <f>IF(AND(ISNUMBER(AR50),逐级计算!$X$44&gt;-1),IF(逐级计算!$X$44=0,AR50+逐级计算!$C$44,AR50+逐级计算!$C$44-(10/(逐级计算!$Q$44*LN(10))*(MAX((LN(10^(逐级计算!$Q$44/10)-1)+逐级计算!$Q$44*(AR50-逐级计算!$P$44)*LN(10)/10),0)+LN(1+EXP(-ABS((LN(10^(逐级计算!$Q$44/10)-1)+逐级计算!$Q$44*(AR50-逐级计算!$P$44)*LN(10)/10))))))),"")</f>
        <v>13.7930365742109</v>
      </c>
      <c r="AT50">
        <f>IF(AND(ISNUMBER(AS50),逐级计算!$X$45&gt;-1),IF(逐级计算!$X$45=0,AS50+逐级计算!$C$45,AS50+逐级计算!$C$45-(10/(逐级计算!$Q$45*LN(10))*(MAX((LN(10^(逐级计算!$Q$45/10)-1)+逐级计算!$Q$45*(AS50-逐级计算!$P$45)*LN(10)/10),0)+LN(1+EXP(-ABS((LN(10^(逐级计算!$Q$45/10)-1)+逐级计算!$Q$45*(AS50-逐级计算!$P$45)*LN(10)/10))))))),"")</f>
        <v>13.7930365742109</v>
      </c>
      <c r="AU50">
        <f>IF(AND(ISNUMBER(AT50),逐级计算!$X$46&gt;-1),IF(逐级计算!$X$46=0,AT50+逐级计算!$C$46,AT50+逐级计算!$C$46-(10/(逐级计算!$Q$46*LN(10))*(MAX((LN(10^(逐级计算!$Q$46/10)-1)+逐级计算!$Q$46*(AT50-逐级计算!$P$46)*LN(10)/10),0)+LN(1+EXP(-ABS((LN(10^(逐级计算!$Q$46/10)-1)+逐级计算!$Q$46*(AT50-逐级计算!$P$46)*LN(10)/10))))))),"")</f>
        <v>13.7930365742109</v>
      </c>
      <c r="AV50">
        <f>IF(AND(ISNUMBER(AU50),逐级计算!$X$47&gt;-1),IF(逐级计算!$X$47=0,AU50+逐级计算!$C$47,AU50+逐级计算!$C$47-(10/(逐级计算!$Q$47*LN(10))*(MAX((LN(10^(逐级计算!$Q$47/10)-1)+逐级计算!$Q$47*(AU50-逐级计算!$P$47)*LN(10)/10),0)+LN(1+EXP(-ABS((LN(10^(逐级计算!$Q$47/10)-1)+逐级计算!$Q$47*(AU50-逐级计算!$P$47)*LN(10)/10))))))),"")</f>
        <v>13.7930365742109</v>
      </c>
      <c r="AW50">
        <f>IF(AND(ISNUMBER(AV50),逐级计算!$X$48&gt;-1),IF(逐级计算!$X$48=0,AV50+逐级计算!$C$48,AV50+逐级计算!$C$48-(10/(逐级计算!$Q$48*LN(10))*(MAX((LN(10^(逐级计算!$Q$48/10)-1)+逐级计算!$Q$48*(AV50-逐级计算!$P$48)*LN(10)/10),0)+LN(1+EXP(-ABS((LN(10^(逐级计算!$Q$48/10)-1)+逐级计算!$Q$48*(AV50-逐级计算!$P$48)*LN(10)/10))))))),"")</f>
        <v>13.7930365742109</v>
      </c>
      <c r="AX50">
        <f>IF(AND(ISNUMBER(AW50),逐级计算!$X$49&gt;-1),IF(逐级计算!$X$49=0,AW50+逐级计算!$C$49,AW50+逐级计算!$C$49-(10/(逐级计算!$Q$49*LN(10))*(MAX((LN(10^(逐级计算!$Q$49/10)-1)+逐级计算!$Q$49*(AW50-逐级计算!$P$49)*LN(10)/10),0)+LN(1+EXP(-ABS((LN(10^(逐级计算!$Q$49/10)-1)+逐级计算!$Q$49*(AW50-逐级计算!$P$49)*LN(10)/10))))))),"")</f>
        <v>13.7930365742109</v>
      </c>
      <c r="AY50">
        <f>IF(AND(ISNUMBER(AX50),逐级计算!$X$50&gt;-1),IF(逐级计算!$X$50=0,AX50+逐级计算!$C$50,AX50+逐级计算!$C$50-(10/(逐级计算!$Q$50*LN(10))*(MAX((LN(10^(逐级计算!$Q$50/10)-1)+逐级计算!$Q$50*(AX50-逐级计算!$P$50)*LN(10)/10),0)+LN(1+EXP(-ABS((LN(10^(逐级计算!$Q$50/10)-1)+逐级计算!$Q$50*(AX50-逐级计算!$P$50)*LN(10)/10))))))),"")</f>
        <v>13.7930365742109</v>
      </c>
      <c r="AZ50">
        <f>IF(AND(ISNUMBER(AY50),逐级计算!$X$51&gt;-1),IF(逐级计算!$X$51=0,AY50+逐级计算!$C$51,AY50+逐级计算!$C$51-(10/(逐级计算!$Q$51*LN(10))*(MAX((LN(10^(逐级计算!$Q$51/10)-1)+逐级计算!$Q$51*(AY50-逐级计算!$P$51)*LN(10)/10),0)+LN(1+EXP(-ABS((LN(10^(逐级计算!$Q$51/10)-1)+逐级计算!$Q$51*(AY50-逐级计算!$P$51)*LN(10)/10))))))),"")</f>
        <v>13.7930365742109</v>
      </c>
      <c r="BA50">
        <f>IF(AND(ISNUMBER(AZ50),逐级计算!$X$52&gt;-1),IF(逐级计算!$X$52=0,AZ50+逐级计算!$C$52,AZ50+逐级计算!$C$52-(10/(逐级计算!$Q$52*LN(10))*(MAX((LN(10^(逐级计算!$Q$52/10)-1)+逐级计算!$Q$52*(AZ50-逐级计算!$P$52)*LN(10)/10),0)+LN(1+EXP(-ABS((LN(10^(逐级计算!$Q$52/10)-1)+逐级计算!$Q$52*(AZ50-逐级计算!$P$52)*LN(10)/10))))))),"")</f>
        <v>13.7930365742109</v>
      </c>
      <c r="BB50">
        <f>IF(AND(ISNUMBER(BA50),逐级计算!$X$53&gt;-1),IF(逐级计算!$X$53=0,BA50+逐级计算!$C$53,BA50+逐级计算!$C$53-(10/(逐级计算!$Q$53*LN(10))*(MAX((LN(10^(逐级计算!$Q$53/10)-1)+逐级计算!$Q$53*(BA50-逐级计算!$P$53)*LN(10)/10),0)+LN(1+EXP(-ABS((LN(10^(逐级计算!$Q$53/10)-1)+逐级计算!$Q$53*(BA50-逐级计算!$P$53)*LN(10)/10))))))),"")</f>
        <v>13.7930365742109</v>
      </c>
      <c r="BC50">
        <f>IF(AND(ISNUMBER(BB50),逐级计算!$X$54&gt;-1),IF(逐级计算!$X$54=0,BB50+逐级计算!$C$54,BB50+逐级计算!$C$54-(10/(逐级计算!$Q$54*LN(10))*(MAX((LN(10^(逐级计算!$Q$54/10)-1)+逐级计算!$Q$54*(BB50-逐级计算!$P$54)*LN(10)/10),0)+LN(1+EXP(-ABS((LN(10^(逐级计算!$Q$54/10)-1)+逐级计算!$Q$54*(BB50-逐级计算!$P$54)*LN(10)/10))))))),"")</f>
        <v>13.7930365742109</v>
      </c>
      <c r="BD50">
        <f>IF(AND(ISNUMBER(BC50),逐级计算!$X$55&gt;-1),IF(逐级计算!$X$55=0,BC50+逐级计算!$C$55,BC50+逐级计算!$C$55-(10/(逐级计算!$Q$55*LN(10))*(MAX((LN(10^(逐级计算!$Q$55/10)-1)+逐级计算!$Q$55*(BC50-逐级计算!$P$55)*LN(10)/10),0)+LN(1+EXP(-ABS((LN(10^(逐级计算!$Q$55/10)-1)+逐级计算!$Q$55*(BC50-逐级计算!$P$55)*LN(10)/10))))))),"")</f>
        <v>13.7930365742109</v>
      </c>
      <c r="BE50">
        <f>IF(AND(ISNUMBER(BD50),逐级计算!$X$56&gt;-1),IF(逐级计算!$X$56=0,BD50+逐级计算!$C$56,BD50+逐级计算!$C$56-(10/(逐级计算!$Q$56*LN(10))*(MAX((LN(10^(逐级计算!$Q$56/10)-1)+逐级计算!$Q$56*(BD50-逐级计算!$P$56)*LN(10)/10),0)+LN(1+EXP(-ABS((LN(10^(逐级计算!$Q$56/10)-1)+逐级计算!$Q$56*(BD50-逐级计算!$P$56)*LN(10)/10))))))),"")</f>
        <v>13.7930365742109</v>
      </c>
      <c r="BF50">
        <f>IF(AND(ISNUMBER(BE50),逐级计算!$X$57&gt;-1),IF(逐级计算!$X$57=0,BE50+逐级计算!$C$57,BE50+逐级计算!$C$57-(10/(逐级计算!$Q$57*LN(10))*(MAX((LN(10^(逐级计算!$Q$57/10)-1)+逐级计算!$Q$57*(BE50-逐级计算!$P$57)*LN(10)/10),0)+LN(1+EXP(-ABS((LN(10^(逐级计算!$Q$57/10)-1)+逐级计算!$Q$57*(BE50-逐级计算!$P$57)*LN(10)/10))))))),"")</f>
        <v>13.7930365742109</v>
      </c>
      <c r="BG50">
        <f>IF(AND(ISNUMBER(BF50),逐级计算!$X$58&gt;-1),IF(逐级计算!$X$58=0,BF50+逐级计算!$C$58,BF50+逐级计算!$C$58-(10/(逐级计算!$Q$58*LN(10))*(MAX((LN(10^(逐级计算!$Q$58/10)-1)+逐级计算!$Q$58*(BF50-逐级计算!$P$58)*LN(10)/10),0)+LN(1+EXP(-ABS((LN(10^(逐级计算!$Q$58/10)-1)+逐级计算!$Q$58*(BF50-逐级计算!$P$58)*LN(10)/10))))))),"")</f>
        <v>13.7930365742109</v>
      </c>
      <c r="BH50">
        <f>IF(AND(ISNUMBER(BG50),逐级计算!$X$59&gt;-1),IF(逐级计算!$X$59=0,BG50+逐级计算!$C$59,BG50+逐级计算!$C$59-(10/(逐级计算!$Q$59*LN(10))*(MAX((LN(10^(逐级计算!$Q$59/10)-1)+逐级计算!$Q$59*(BG50-逐级计算!$P$59)*LN(10)/10),0)+LN(1+EXP(-ABS((LN(10^(逐级计算!$Q$59/10)-1)+逐级计算!$Q$59*(BG50-逐级计算!$P$59)*LN(10)/10))))))),"")</f>
        <v>13.7930365742109</v>
      </c>
      <c r="BI50">
        <f>IF(AND(ISNUMBER(BH50),逐级计算!$X$60&gt;-1),IF(逐级计算!$X$60=0,BH50+逐级计算!$C$60,BH50+逐级计算!$C$60-(10/(逐级计算!$Q$60*LN(10))*(MAX((LN(10^(逐级计算!$Q$60/10)-1)+逐级计算!$Q$60*(BH50-逐级计算!$P$60)*LN(10)/10),0)+LN(1+EXP(-ABS((LN(10^(逐级计算!$Q$60/10)-1)+逐级计算!$Q$60*(BH50-逐级计算!$P$60)*LN(10)/10))))))),"")</f>
        <v>13.7930365742109</v>
      </c>
      <c r="BJ50">
        <f>IF(AND(ISNUMBER(BI50),逐级计算!$X$61&gt;-1),IF(逐级计算!$X$61=0,BI50+逐级计算!$C$61,BI50+逐级计算!$C$61-(10/(逐级计算!$Q$61*LN(10))*(MAX((LN(10^(逐级计算!$Q$61/10)-1)+逐级计算!$Q$61*(BI50-逐级计算!$P$61)*LN(10)/10),0)+LN(1+EXP(-ABS((LN(10^(逐级计算!$Q$61/10)-1)+逐级计算!$Q$61*(BI50-逐级计算!$P$61)*LN(10)/10))))))),"")</f>
        <v>13.7930365742109</v>
      </c>
      <c r="BK50">
        <f>IF(AND(ISNUMBER(BJ50),逐级计算!$X$62&gt;-1),IF(逐级计算!$X$62=0,BJ50+逐级计算!$C$62,BJ50+逐级计算!$C$62-(10/(逐级计算!$Q$62*LN(10))*(MAX((LN(10^(逐级计算!$Q$62/10)-1)+逐级计算!$Q$62*(BJ50-逐级计算!$P$62)*LN(10)/10),0)+LN(1+EXP(-ABS((LN(10^(逐级计算!$Q$62/10)-1)+逐级计算!$Q$62*(BJ50-逐级计算!$P$62)*LN(10)/10))))))),"")</f>
        <v>13.7930365742109</v>
      </c>
      <c r="BL50">
        <f>IF(AND(ISNUMBER(BK50),逐级计算!$X$63&gt;-1),IF(逐级计算!$X$63=0,BK50+逐级计算!$C$63,BK50+逐级计算!$C$63-(10/(逐级计算!$Q$63*LN(10))*(MAX((LN(10^(逐级计算!$Q$63/10)-1)+逐级计算!$Q$63*(BK50-逐级计算!$P$63)*LN(10)/10),0)+LN(1+EXP(-ABS((LN(10^(逐级计算!$Q$63/10)-1)+逐级计算!$Q$63*(BK50-逐级计算!$P$63)*LN(10)/10))))))),"")</f>
        <v>13.7930365742109</v>
      </c>
      <c r="BM50">
        <f>IF(AND(ISNUMBER(BL50),逐级计算!$X$64&gt;-1),IF(逐级计算!$X$64=0,BL50+逐级计算!$C$64,BL50+逐级计算!$C$64-(10/(逐级计算!$Q$64*LN(10))*(MAX((LN(10^(逐级计算!$Q$64/10)-1)+逐级计算!$Q$64*(BL50-逐级计算!$P$64)*LN(10)/10),0)+LN(1+EXP(-ABS((LN(10^(逐级计算!$Q$64/10)-1)+逐级计算!$Q$64*(BL50-逐级计算!$P$64)*LN(10)/10))))))),"")</f>
        <v>13.7930365742109</v>
      </c>
      <c r="BN50">
        <f>IF(AND(ISNUMBER(BM50),逐级计算!$X$65&gt;-1),IF(逐级计算!$X$65=0,BM50+逐级计算!$C$65,BM50+逐级计算!$C$65-(10/(逐级计算!$Q$65*LN(10))*(MAX((LN(10^(逐级计算!$Q$65/10)-1)+逐级计算!$Q$65*(BM50-逐级计算!$P$65)*LN(10)/10),0)+LN(1+EXP(-ABS((LN(10^(逐级计算!$Q$65/10)-1)+逐级计算!$Q$65*(BM50-逐级计算!$P$65)*LN(10)/10))))))),"")</f>
        <v>13.7930365742109</v>
      </c>
      <c r="BO50">
        <f>IF(AND(ISNUMBER(BN50),逐级计算!$X$66&gt;-1),IF(逐级计算!$X$66=0,BN50+逐级计算!$C$66,BN50+逐级计算!$C$66-(10/(逐级计算!$Q$66*LN(10))*(MAX((LN(10^(逐级计算!$Q$66/10)-1)+逐级计算!$Q$66*(BN50-逐级计算!$P$66)*LN(10)/10),0)+LN(1+EXP(-ABS((LN(10^(逐级计算!$Q$66/10)-1)+逐级计算!$Q$66*(BN50-逐级计算!$P$66)*LN(10)/10))))))),"")</f>
        <v>13.7930365742109</v>
      </c>
      <c r="BP50">
        <f>IF(AND(ISNUMBER(BO50),逐级计算!$X$67&gt;-1),IF(逐级计算!$X$67=0,BO50+逐级计算!$C$67,BO50+逐级计算!$C$67-(10/(逐级计算!$Q$67*LN(10))*(MAX((LN(10^(逐级计算!$Q$67/10)-1)+逐级计算!$Q$67*(BO50-逐级计算!$P$67)*LN(10)/10),0)+LN(1+EXP(-ABS((LN(10^(逐级计算!$Q$67/10)-1)+逐级计算!$Q$67*(BO50-逐级计算!$P$67)*LN(10)/10))))))),"")</f>
        <v>13.7930365742109</v>
      </c>
      <c r="BQ50">
        <f>IF(AND(ISNUMBER(BP50),逐级计算!$X$68&gt;-1),IF(逐级计算!$X$68=0,BP50+逐级计算!$C$68,BP50+逐级计算!$C$68-(10/(逐级计算!$Q$68*LN(10))*(MAX((LN(10^(逐级计算!$Q$68/10)-1)+逐级计算!$Q$68*(BP50-逐级计算!$P$68)*LN(10)/10),0)+LN(1+EXP(-ABS((LN(10^(逐级计算!$Q$68/10)-1)+逐级计算!$Q$68*(BP50-逐级计算!$P$68)*LN(10)/10))))))),"")</f>
        <v>13.7930365742109</v>
      </c>
      <c r="BR50">
        <f>IF(AND(ISNUMBER(BQ50),逐级计算!$X$69&gt;-1),IF(逐级计算!$X$69=0,BQ50+逐级计算!$C$69,BQ50+逐级计算!$C$69-(10/(逐级计算!$Q$69*LN(10))*(MAX((LN(10^(逐级计算!$Q$69/10)-1)+逐级计算!$Q$69*(BQ50-逐级计算!$P$69)*LN(10)/10),0)+LN(1+EXP(-ABS((LN(10^(逐级计算!$Q$69/10)-1)+逐级计算!$Q$69*(BQ50-逐级计算!$P$69)*LN(10)/10))))))),"")</f>
        <v>13.7930365742109</v>
      </c>
      <c r="BS50">
        <f>IF(AND(ISNUMBER(BR50),逐级计算!$X$70&gt;-1),IF(逐级计算!$X$70=0,BR50+逐级计算!$C$70,BR50+逐级计算!$C$70-(10/(逐级计算!$Q$70*LN(10))*(MAX((LN(10^(逐级计算!$Q$70/10)-1)+逐级计算!$Q$70*(BR50-逐级计算!$P$70)*LN(10)/10),0)+LN(1+EXP(-ABS((LN(10^(逐级计算!$Q$70/10)-1)+逐级计算!$Q$70*(BR50-逐级计算!$P$70)*LN(10)/10))))))),"")</f>
        <v>13.7930365742109</v>
      </c>
      <c r="BT50">
        <f>IF(AND(ISNUMBER(BS50),逐级计算!$X$71&gt;-1),IF(逐级计算!$X$71=0,BS50+逐级计算!$C$71,BS50+逐级计算!$C$71-(10/(逐级计算!$Q$71*LN(10))*(MAX((LN(10^(逐级计算!$Q$71/10)-1)+逐级计算!$Q$71*(BS50-逐级计算!$P$71)*LN(10)/10),0)+LN(1+EXP(-ABS((LN(10^(逐级计算!$Q$71/10)-1)+逐级计算!$Q$71*(BS50-逐级计算!$P$71)*LN(10)/10))))))),"")</f>
        <v>13.7930365742109</v>
      </c>
      <c r="BU50">
        <f>IF(AND(ISNUMBER(BT50),逐级计算!$X$72&gt;-1),IF(逐级计算!$X$72=0,BT50+逐级计算!$C$72,BT50+逐级计算!$C$72-(10/(逐级计算!$Q$72*LN(10))*(MAX((LN(10^(逐级计算!$Q$72/10)-1)+逐级计算!$Q$72*(BT50-逐级计算!$P$72)*LN(10)/10),0)+LN(1+EXP(-ABS((LN(10^(逐级计算!$Q$72/10)-1)+逐级计算!$Q$72*(BT50-逐级计算!$P$72)*LN(10)/10))))))),"")</f>
        <v>13.7930365742109</v>
      </c>
      <c r="BV50">
        <f>IF(AND(ISNUMBER(BU50),逐级计算!$X$73&gt;-1),IF(逐级计算!$X$73=0,BU50+逐级计算!$C$73,BU50+逐级计算!$C$73-(10/(逐级计算!$Q$73*LN(10))*(MAX((LN(10^(逐级计算!$Q$73/10)-1)+逐级计算!$Q$73*(BU50-逐级计算!$P$73)*LN(10)/10),0)+LN(1+EXP(-ABS((LN(10^(逐级计算!$Q$73/10)-1)+逐级计算!$Q$73*(BU50-逐级计算!$P$73)*LN(10)/10))))))),"")</f>
        <v>13.7930365742109</v>
      </c>
      <c r="BW50">
        <f>IF(AND(ISNUMBER(BV50),逐级计算!$X$74&gt;-1),IF(逐级计算!$X$74=0,BV50+逐级计算!$C$74,BV50+逐级计算!$C$74-(10/(逐级计算!$Q$74*LN(10))*(MAX((LN(10^(逐级计算!$Q$74/10)-1)+逐级计算!$Q$74*(BV50-逐级计算!$P$74)*LN(10)/10),0)+LN(1+EXP(-ABS((LN(10^(逐级计算!$Q$74/10)-1)+逐级计算!$Q$74*(BV50-逐级计算!$P$74)*LN(10)/10))))))),"")</f>
        <v>13.7930365742109</v>
      </c>
      <c r="BX50">
        <f>IF(AND(ISNUMBER(BW50),逐级计算!$X$75&gt;-1),IF(逐级计算!$X$75=0,BW50+逐级计算!$C$75,BW50+逐级计算!$C$75-(10/(逐级计算!$Q$75*LN(10))*(MAX((LN(10^(逐级计算!$Q$75/10)-1)+逐级计算!$Q$75*(BW50-逐级计算!$P$75)*LN(10)/10),0)+LN(1+EXP(-ABS((LN(10^(逐级计算!$Q$75/10)-1)+逐级计算!$Q$75*(BW50-逐级计算!$P$75)*LN(10)/10))))))),"")</f>
        <v>13.7930365742109</v>
      </c>
      <c r="BY50">
        <f>IF(AND(ISNUMBER(BX50),逐级计算!$X$76&gt;-1),IF(逐级计算!$X$76=0,BX50+逐级计算!$C$76,BX50+逐级计算!$C$76-(10/(逐级计算!$Q$76*LN(10))*(MAX((LN(10^(逐级计算!$Q$76/10)-1)+逐级计算!$Q$76*(BX50-逐级计算!$P$76)*LN(10)/10),0)+LN(1+EXP(-ABS((LN(10^(逐级计算!$Q$76/10)-1)+逐级计算!$Q$76*(BX50-逐级计算!$P$76)*LN(10)/10))))))),"")</f>
        <v>13.7930365742109</v>
      </c>
      <c r="BZ50">
        <f>IF(AND(ISNUMBER(BY50),逐级计算!$X$77&gt;-1),IF(逐级计算!$X$77=0,BY50+逐级计算!$C$77,BY50+逐级计算!$C$77-(10/(逐级计算!$Q$77*LN(10))*(MAX((LN(10^(逐级计算!$Q$77/10)-1)+逐级计算!$Q$77*(BY50-逐级计算!$P$77)*LN(10)/10),0)+LN(1+EXP(-ABS((LN(10^(逐级计算!$Q$77/10)-1)+逐级计算!$Q$77*(BY50-逐级计算!$P$77)*LN(10)/10))))))),"")</f>
        <v>13.7930365742109</v>
      </c>
      <c r="CA50">
        <f>IF(AND(ISNUMBER(BZ50),逐级计算!$X$78&gt;-1),IF(逐级计算!$X$78=0,BZ50+逐级计算!$C$78,BZ50+逐级计算!$C$78-(10/(逐级计算!$Q$78*LN(10))*(MAX((LN(10^(逐级计算!$Q$78/10)-1)+逐级计算!$Q$78*(BZ50-逐级计算!$P$78)*LN(10)/10),0)+LN(1+EXP(-ABS((LN(10^(逐级计算!$Q$78/10)-1)+逐级计算!$Q$78*(BZ50-逐级计算!$P$78)*LN(10)/10))))))),"")</f>
        <v>13.7930365742109</v>
      </c>
      <c r="CB50">
        <f>IF(AND(ISNUMBER(CA50),逐级计算!$X$79&gt;-1),IF(逐级计算!$X$79=0,CA50+逐级计算!$C$79,CA50+逐级计算!$C$79-(10/(逐级计算!$Q$79*LN(10))*(MAX((LN(10^(逐级计算!$Q$79/10)-1)+逐级计算!$Q$79*(CA50-逐级计算!$P$79)*LN(10)/10),0)+LN(1+EXP(-ABS((LN(10^(逐级计算!$Q$79/10)-1)+逐级计算!$Q$79*(CA50-逐级计算!$P$79)*LN(10)/10))))))),"")</f>
        <v>13.7930365742109</v>
      </c>
      <c r="CC50">
        <f>IF(AND(ISNUMBER(CB50),逐级计算!$X$80&gt;-1),IF(逐级计算!$X$80=0,CB50+逐级计算!$C$80,CB50+逐级计算!$C$80-(10/(逐级计算!$Q$80*LN(10))*(MAX((LN(10^(逐级计算!$Q$80/10)-1)+逐级计算!$Q$80*(CB50-逐级计算!$P$80)*LN(10)/10),0)+LN(1+EXP(-ABS((LN(10^(逐级计算!$Q$80/10)-1)+逐级计算!$Q$80*(CB50-逐级计算!$P$80)*LN(10)/10))))))),"")</f>
        <v>13.7930365742109</v>
      </c>
      <c r="CD50">
        <f>IF(AND(ISNUMBER(CC50),逐级计算!$X$81&gt;-1),IF(逐级计算!$X$81=0,CC50+逐级计算!$C$81,CC50+逐级计算!$C$81-(10/(逐级计算!$Q$81*LN(10))*(MAX((LN(10^(逐级计算!$Q$81/10)-1)+逐级计算!$Q$81*(CC50-逐级计算!$P$81)*LN(10)/10),0)+LN(1+EXP(-ABS((LN(10^(逐级计算!$Q$81/10)-1)+逐级计算!$Q$81*(CC50-逐级计算!$P$81)*LN(10)/10))))))),"")</f>
        <v>13.7930365742109</v>
      </c>
      <c r="CE50">
        <f>IF(AND(ISNUMBER(CD50),逐级计算!$X$82&gt;-1),IF(逐级计算!$X$82=0,CD50+逐级计算!$C$82,CD50+逐级计算!$C$82-(10/(逐级计算!$Q$82*LN(10))*(MAX((LN(10^(逐级计算!$Q$82/10)-1)+逐级计算!$Q$82*(CD50-逐级计算!$P$82)*LN(10)/10),0)+LN(1+EXP(-ABS((LN(10^(逐级计算!$Q$82/10)-1)+逐级计算!$Q$82*(CD50-逐级计算!$P$82)*LN(10)/10))))))),"")</f>
        <v>13.7930365742109</v>
      </c>
      <c r="CF50">
        <f>IF(AND(ISNUMBER(CE50),逐级计算!$X$83&gt;-1),IF(逐级计算!$X$83=0,CE50+逐级计算!$C$83,CE50+逐级计算!$C$83-(10/(逐级计算!$Q$83*LN(10))*(MAX((LN(10^(逐级计算!$Q$83/10)-1)+逐级计算!$Q$83*(CE50-逐级计算!$P$83)*LN(10)/10),0)+LN(1+EXP(-ABS((LN(10^(逐级计算!$Q$83/10)-1)+逐级计算!$Q$83*(CE50-逐级计算!$P$83)*LN(10)/10))))))),"")</f>
        <v>13.7930365742109</v>
      </c>
      <c r="CG50">
        <f>IF(AND(ISNUMBER(CF50),逐级计算!$X$84&gt;-1),IF(逐级计算!$X$84=0,CF50+逐级计算!$C$84,CF50+逐级计算!$C$84-(10/(逐级计算!$Q$84*LN(10))*(MAX((LN(10^(逐级计算!$Q$84/10)-1)+逐级计算!$Q$84*(CF50-逐级计算!$P$84)*LN(10)/10),0)+LN(1+EXP(-ABS((LN(10^(逐级计算!$Q$84/10)-1)+逐级计算!$Q$84*(CF50-逐级计算!$P$84)*LN(10)/10))))))),"")</f>
        <v>13.7930365742109</v>
      </c>
      <c r="CH50">
        <f>IF(AND(ISNUMBER(CG50),逐级计算!$X$85&gt;-1),IF(逐级计算!$X$85=0,CG50+逐级计算!$C$85,CG50+逐级计算!$C$85-(10/(逐级计算!$Q$85*LN(10))*(MAX((LN(10^(逐级计算!$Q$85/10)-1)+逐级计算!$Q$85*(CG50-逐级计算!$P$85)*LN(10)/10),0)+LN(1+EXP(-ABS((LN(10^(逐级计算!$Q$85/10)-1)+逐级计算!$Q$85*(CG50-逐级计算!$P$85)*LN(10)/10))))))),"")</f>
        <v>13.7930365742109</v>
      </c>
      <c r="CI50">
        <f>IF(AND(ISNUMBER(CH50),逐级计算!$X$86&gt;-1),IF(逐级计算!$X$86=0,CH50+逐级计算!$C$86,CH50+逐级计算!$C$86-(10/(逐级计算!$Q$86*LN(10))*(MAX((LN(10^(逐级计算!$Q$86/10)-1)+逐级计算!$Q$86*(CH50-逐级计算!$P$86)*LN(10)/10),0)+LN(1+EXP(-ABS((LN(10^(逐级计算!$Q$86/10)-1)+逐级计算!$Q$86*(CH50-逐级计算!$P$86)*LN(10)/10))))))),"")</f>
        <v>13.7930365742109</v>
      </c>
      <c r="CJ50">
        <f>IF(AND(ISNUMBER(CI50),逐级计算!$X$87&gt;-1),IF(逐级计算!$X$87=0,CI50+逐级计算!$C$87,CI50+逐级计算!$C$87-(10/(逐级计算!$Q$87*LN(10))*(MAX((LN(10^(逐级计算!$Q$87/10)-1)+逐级计算!$Q$87*(CI50-逐级计算!$P$87)*LN(10)/10),0)+LN(1+EXP(-ABS((LN(10^(逐级计算!$Q$87/10)-1)+逐级计算!$Q$87*(CI50-逐级计算!$P$87)*LN(10)/10))))))),"")</f>
        <v>13.7930365742109</v>
      </c>
      <c r="CK50">
        <f>IF(AND(ISNUMBER(CJ50),逐级计算!$X$88&gt;-1),IF(逐级计算!$X$88=0,CJ50+逐级计算!$C$88,CJ50+逐级计算!$C$88-(10/(逐级计算!$Q$88*LN(10))*(MAX((LN(10^(逐级计算!$Q$88/10)-1)+逐级计算!$Q$88*(CJ50-逐级计算!$P$88)*LN(10)/10),0)+LN(1+EXP(-ABS((LN(10^(逐级计算!$Q$88/10)-1)+逐级计算!$Q$88*(CJ50-逐级计算!$P$88)*LN(10)/10))))))),"")</f>
        <v>13.7930365742109</v>
      </c>
      <c r="CL50">
        <f>IF(AND(ISNUMBER(CK50),逐级计算!$X$89&gt;-1),IF(逐级计算!$X$89=0,CK50+逐级计算!$C$89,CK50+逐级计算!$C$89-(10/(逐级计算!$Q$89*LN(10))*(MAX((LN(10^(逐级计算!$Q$89/10)-1)+逐级计算!$Q$89*(CK50-逐级计算!$P$89)*LN(10)/10),0)+LN(1+EXP(-ABS((LN(10^(逐级计算!$Q$89/10)-1)+逐级计算!$Q$89*(CK50-逐级计算!$P$89)*LN(10)/10))))))),"")</f>
        <v>13.7930365742109</v>
      </c>
      <c r="CM50">
        <f>IF(AND(ISNUMBER(CL50),逐级计算!$X$90&gt;-1),IF(逐级计算!$X$90=0,CL50+逐级计算!$C$90,CL50+逐级计算!$C$90-(10/(逐级计算!$Q$90*LN(10))*(MAX((LN(10^(逐级计算!$Q$90/10)-1)+逐级计算!$Q$90*(CL50-逐级计算!$P$90)*LN(10)/10),0)+LN(1+EXP(-ABS((LN(10^(逐级计算!$Q$90/10)-1)+逐级计算!$Q$90*(CL50-逐级计算!$P$90)*LN(10)/10))))))),"")</f>
        <v>13.7930365742109</v>
      </c>
      <c r="CN50">
        <f>IF(AND(ISNUMBER(CM50),逐级计算!$X$91&gt;-1),IF(逐级计算!$X$91=0,CM50+逐级计算!$C$91,CM50+逐级计算!$C$91-(10/(逐级计算!$Q$91*LN(10))*(MAX((LN(10^(逐级计算!$Q$91/10)-1)+逐级计算!$Q$91*(CM50-逐级计算!$P$91)*LN(10)/10),0)+LN(1+EXP(-ABS((LN(10^(逐级计算!$Q$91/10)-1)+逐级计算!$Q$91*(CM50-逐级计算!$P$91)*LN(10)/10))))))),"")</f>
        <v>13.7930365742109</v>
      </c>
      <c r="CO50">
        <f>IF(AND(ISNUMBER(CN50),逐级计算!$X$92&gt;-1),IF(逐级计算!$X$92=0,CN50+逐级计算!$C$92,CN50+逐级计算!$C$92-(10/(逐级计算!$Q$92*LN(10))*(MAX((LN(10^(逐级计算!$Q$92/10)-1)+逐级计算!$Q$92*(CN50-逐级计算!$P$92)*LN(10)/10),0)+LN(1+EXP(-ABS((LN(10^(逐级计算!$Q$92/10)-1)+逐级计算!$Q$92*(CN50-逐级计算!$P$92)*LN(10)/10))))))),"")</f>
        <v>13.7930365742109</v>
      </c>
      <c r="CP50">
        <f>IF(AND(ISNUMBER(CO50),逐级计算!$X$93&gt;-1),IF(逐级计算!$X$93=0,CO50+逐级计算!$C$93,CO50+逐级计算!$C$93-(10/(逐级计算!$Q$93*LN(10))*(MAX((LN(10^(逐级计算!$Q$93/10)-1)+逐级计算!$Q$93*(CO50-逐级计算!$P$93)*LN(10)/10),0)+LN(1+EXP(-ABS((LN(10^(逐级计算!$Q$93/10)-1)+逐级计算!$Q$93*(CO50-逐级计算!$P$93)*LN(10)/10))))))),"")</f>
        <v>13.7930365742109</v>
      </c>
      <c r="CQ50">
        <f>IF(AND(ISNUMBER(CP50),逐级计算!$X$94&gt;-1),IF(逐级计算!$X$94=0,CP50+逐级计算!$C$94,CP50+逐级计算!$C$94-(10/(逐级计算!$Q$94*LN(10))*(MAX((LN(10^(逐级计算!$Q$94/10)-1)+逐级计算!$Q$94*(CP50-逐级计算!$P$94)*LN(10)/10),0)+LN(1+EXP(-ABS((LN(10^(逐级计算!$Q$94/10)-1)+逐级计算!$Q$94*(CP50-逐级计算!$P$94)*LN(10)/10))))))),"")</f>
        <v>13.7930365742109</v>
      </c>
      <c r="CR50">
        <f>IF(AND(ISNUMBER(CQ50),逐级计算!$X$95&gt;-1),IF(逐级计算!$X$95=0,CQ50+逐级计算!$C$95,CQ50+逐级计算!$C$95-(10/(逐级计算!$Q$95*LN(10))*(MAX((LN(10^(逐级计算!$Q$95/10)-1)+逐级计算!$Q$95*(CQ50-逐级计算!$P$95)*LN(10)/10),0)+LN(1+EXP(-ABS((LN(10^(逐级计算!$Q$95/10)-1)+逐级计算!$Q$95*(CQ50-逐级计算!$P$95)*LN(10)/10))))))),"")</f>
        <v>13.7930365742109</v>
      </c>
      <c r="CS50">
        <f>IF(AND(ISNUMBER(CR50),逐级计算!$X$96&gt;-1),IF(逐级计算!$X$96=0,CR50+逐级计算!$C$96,CR50+逐级计算!$C$96-(10/(逐级计算!$Q$96*LN(10))*(MAX((LN(10^(逐级计算!$Q$96/10)-1)+逐级计算!$Q$96*(CR50-逐级计算!$P$96)*LN(10)/10),0)+LN(1+EXP(-ABS((LN(10^(逐级计算!$Q$96/10)-1)+逐级计算!$Q$96*(CR50-逐级计算!$P$96)*LN(10)/10))))))),"")</f>
        <v>13.7930365742109</v>
      </c>
      <c r="CT50">
        <f>IF(AND(ISNUMBER(CS50),逐级计算!$X$97&gt;-1),IF(逐级计算!$X$97=0,CS50+逐级计算!$C$97,CS50+逐级计算!$C$97-(10/(逐级计算!$Q$97*LN(10))*(MAX((LN(10^(逐级计算!$Q$97/10)-1)+逐级计算!$Q$97*(CS50-逐级计算!$P$97)*LN(10)/10),0)+LN(1+EXP(-ABS((LN(10^(逐级计算!$Q$97/10)-1)+逐级计算!$Q$97*(CS50-逐级计算!$P$97)*LN(10)/10))))))),"")</f>
        <v>13.7930365742109</v>
      </c>
      <c r="CU50">
        <f>IF(AND(ISNUMBER(CT50),逐级计算!$X$98&gt;-1),IF(逐级计算!$X$98=0,CT50+逐级计算!$C$98,CT50+逐级计算!$C$98-(10/(逐级计算!$Q$98*LN(10))*(MAX((LN(10^(逐级计算!$Q$98/10)-1)+逐级计算!$Q$98*(CT50-逐级计算!$P$98)*LN(10)/10),0)+LN(1+EXP(-ABS((LN(10^(逐级计算!$Q$98/10)-1)+逐级计算!$Q$98*(CT50-逐级计算!$P$98)*LN(10)/10))))))),"")</f>
        <v>13.7930365742109</v>
      </c>
      <c r="CV50">
        <f>IF(AND(ISNUMBER(CU50),逐级计算!$X$99&gt;-1),IF(逐级计算!$X$99=0,CU50+逐级计算!$C$99,CU50+逐级计算!$C$99-(10/(逐级计算!$Q$99*LN(10))*(MAX((LN(10^(逐级计算!$Q$99/10)-1)+逐级计算!$Q$99*(CU50-逐级计算!$P$99)*LN(10)/10),0)+LN(1+EXP(-ABS((LN(10^(逐级计算!$Q$99/10)-1)+逐级计算!$Q$99*(CU50-逐级计算!$P$99)*LN(10)/10))))))),"")</f>
        <v>13.7930365742109</v>
      </c>
      <c r="CW50">
        <f>IF(AND(ISNUMBER(CV50),逐级计算!$X$100&gt;-1),IF(逐级计算!$X$100=0,CV50+逐级计算!$C$100,CV50+逐级计算!$C$100-(10/(逐级计算!$Q$100*LN(10))*(MAX((LN(10^(逐级计算!$Q$100/10)-1)+逐级计算!$Q$100*(CV50-逐级计算!$P$100)*LN(10)/10),0)+LN(1+EXP(-ABS((LN(10^(逐级计算!$Q$100/10)-1)+逐级计算!$Q$100*(CV50-逐级计算!$P$100)*LN(10)/10))))))),"")</f>
        <v>13.7930365742109</v>
      </c>
      <c r="CX50">
        <f>IF(AND(ISNUMBER(CW50),逐级计算!$X$101&gt;-1),IF(逐级计算!$X$101=0,CW50+逐级计算!$C$101,CW50+逐级计算!$C$101-(10/(逐级计算!$Q$101*LN(10))*(MAX((LN(10^(逐级计算!$Q$101/10)-1)+逐级计算!$Q$101*(CW50-逐级计算!$P$101)*LN(10)/10),0)+LN(1+EXP(-ABS((LN(10^(逐级计算!$Q$101/10)-1)+逐级计算!$Q$101*(CW50-逐级计算!$P$101)*LN(10)/10))))))),"")</f>
        <v>13.7930365742109</v>
      </c>
      <c r="CY50">
        <f>IF(AND(ISNUMBER(CX50),逐级计算!$X$102&gt;-1),IF(逐级计算!$X$102=0,CX50+逐级计算!$C$102,CX50+逐级计算!$C$102-(10/(逐级计算!$Q$102*LN(10))*(MAX((LN(10^(逐级计算!$Q$102/10)-1)+逐级计算!$Q$102*(CX50-逐级计算!$P$102)*LN(10)/10),0)+LN(1+EXP(-ABS((LN(10^(逐级计算!$Q$102/10)-1)+逐级计算!$Q$102*(CX50-逐级计算!$P$102)*LN(10)/10))))))),"")</f>
        <v>13.7930365742109</v>
      </c>
      <c r="CZ50">
        <f>IF(AND(ISNUMBER(CY50),逐级计算!$X$103&gt;-1),IF(逐级计算!$X$103=0,CY50+逐级计算!$C$103,CY50+逐级计算!$C$103-(10/(逐级计算!$Q$103*LN(10))*(MAX((LN(10^(逐级计算!$Q$103/10)-1)+逐级计算!$Q$103*(CY50-逐级计算!$P$103)*LN(10)/10),0)+LN(1+EXP(-ABS((LN(10^(逐级计算!$Q$103/10)-1)+逐级计算!$Q$103*(CY50-逐级计算!$P$103)*LN(10)/10))))))),"")</f>
        <v>13.7930365742109</v>
      </c>
      <c r="DA50">
        <f>IF(AND(ISNUMBER(CZ50),逐级计算!$X$104&gt;-1),IF(逐级计算!$X$104=0,CZ50+逐级计算!$C$104,CZ50+逐级计算!$C$104-(10/(逐级计算!$Q$104*LN(10))*(MAX((LN(10^(逐级计算!$Q$104/10)-1)+逐级计算!$Q$104*(CZ50-逐级计算!$P$104)*LN(10)/10),0)+LN(1+EXP(-ABS((LN(10^(逐级计算!$Q$104/10)-1)+逐级计算!$Q$104*(CZ50-逐级计算!$P$104)*LN(10)/10))))))),"")</f>
        <v>13.7930365742109</v>
      </c>
      <c r="DB50">
        <f>IF(AND(ISNUMBER(DA50),逐级计算!$X$105&gt;-1),IF(逐级计算!$X$105=0,DA50+逐级计算!$C$105,DA50+逐级计算!$C$105-(10/(逐级计算!$Q$105*LN(10))*(MAX((LN(10^(逐级计算!$Q$105/10)-1)+逐级计算!$Q$105*(DA50-逐级计算!$P$105)*LN(10)/10),0)+LN(1+EXP(-ABS((LN(10^(逐级计算!$Q$105/10)-1)+逐级计算!$Q$105*(DA50-逐级计算!$P$105)*LN(10)/10))))))),"")</f>
        <v>13.7930365742109</v>
      </c>
      <c r="DC50">
        <f>IF(AND(ISNUMBER(DB50),逐级计算!$X$106&gt;-1),IF(逐级计算!$X$106=0,DB50+逐级计算!$C$106,DB50+逐级计算!$C$106-(10/(逐级计算!$Q$106*LN(10))*(MAX((LN(10^(逐级计算!$Q$106/10)-1)+逐级计算!$Q$106*(DB50-逐级计算!$P$106)*LN(10)/10),0)+LN(1+EXP(-ABS((LN(10^(逐级计算!$Q$106/10)-1)+逐级计算!$Q$106*(DB50-逐级计算!$P$106)*LN(10)/10))))))),"")</f>
        <v>13.7930365742109</v>
      </c>
      <c r="DD50">
        <f>IF(AND(ISNUMBER(DC50),逐级计算!$X$107&gt;-1),IF(逐级计算!$X$107=0,DC50+逐级计算!$C$107,DC50+逐级计算!$C$107-(10/(逐级计算!$Q$107*LN(10))*(MAX((LN(10^(逐级计算!$Q$107/10)-1)+逐级计算!$Q$107*(DC50-逐级计算!$P$107)*LN(10)/10),0)+LN(1+EXP(-ABS((LN(10^(逐级计算!$Q$107/10)-1)+逐级计算!$Q$107*(DC50-逐级计算!$P$107)*LN(10)/10))))))),"")</f>
        <v>13.7930365742109</v>
      </c>
      <c r="DE50">
        <f>IF(AND(ISNUMBER(DD50),逐级计算!$X$108&gt;-1),IF(逐级计算!$X$108=0,DD50+逐级计算!$C$108,DD50+逐级计算!$C$108-(10/(逐级计算!$Q$108*LN(10))*(MAX((LN(10^(逐级计算!$Q$108/10)-1)+逐级计算!$Q$108*(DD50-逐级计算!$P$108)*LN(10)/10),0)+LN(1+EXP(-ABS((LN(10^(逐级计算!$Q$108/10)-1)+逐级计算!$Q$108*(DD50-逐级计算!$P$108)*LN(10)/10))))))),"")</f>
        <v>13.7930365742109</v>
      </c>
      <c r="DF50">
        <f>IF(AND(ISNUMBER(DE50),逐级计算!$X$109&gt;-1),IF(逐级计算!$X$109=0,DE50+逐级计算!$C$109,DE50+逐级计算!$C$109-(10/(逐级计算!$Q$109*LN(10))*(MAX((LN(10^(逐级计算!$Q$109/10)-1)+逐级计算!$Q$109*(DE50-逐级计算!$P$109)*LN(10)/10),0)+LN(1+EXP(-ABS((LN(10^(逐级计算!$Q$109/10)-1)+逐级计算!$Q$109*(DE50-逐级计算!$P$109)*LN(10)/10))))))),"")</f>
        <v>13.7930365742109</v>
      </c>
      <c r="DG50">
        <f>IF(AND(ISNUMBER(DF50),逐级计算!$X$110&gt;-1),IF(逐级计算!$X$110=0,DF50+逐级计算!$C$110,DF50+逐级计算!$C$110-(10/(逐级计算!$Q$110*LN(10))*(MAX((LN(10^(逐级计算!$Q$110/10)-1)+逐级计算!$Q$110*(DF50-逐级计算!$P$110)*LN(10)/10),0)+LN(1+EXP(-ABS((LN(10^(逐级计算!$Q$110/10)-1)+逐级计算!$Q$110*(DF50-逐级计算!$P$110)*LN(10)/10))))))),"")</f>
        <v>13.7930365742109</v>
      </c>
      <c r="DH50">
        <f>IF(AND(ISNUMBER(DG50),逐级计算!$X$111&gt;-1),IF(逐级计算!$X$111=0,DG50+逐级计算!$C$111,DG50+逐级计算!$C$111-(10/(逐级计算!$Q$111*LN(10))*(MAX((LN(10^(逐级计算!$Q$111/10)-1)+逐级计算!$Q$111*(DG50-逐级计算!$P$111)*LN(10)/10),0)+LN(1+EXP(-ABS((LN(10^(逐级计算!$Q$111/10)-1)+逐级计算!$Q$111*(DG50-逐级计算!$P$111)*LN(10)/10))))))),"")</f>
        <v>13.7930365742109</v>
      </c>
      <c r="DI50">
        <f>IF(AND(ISNUMBER(DH50),逐级计算!$X$112&gt;-1),IF(逐级计算!$X$112=0,DH50+逐级计算!$C$112,DH50+逐级计算!$C$112-(10/(逐级计算!$Q$112*LN(10))*(MAX((LN(10^(逐级计算!$Q$112/10)-1)+逐级计算!$Q$112*(DH50-逐级计算!$P$112)*LN(10)/10),0)+LN(1+EXP(-ABS((LN(10^(逐级计算!$Q$112/10)-1)+逐级计算!$Q$112*(DH50-逐级计算!$P$112)*LN(10)/10))))))),"")</f>
        <v>13.7930365742109</v>
      </c>
      <c r="DJ50">
        <f>IF(AND(ISNUMBER(DI50),逐级计算!$X$113&gt;-1),IF(逐级计算!$X$113=0,DI50+逐级计算!$C$113,DI50+逐级计算!$C$113-(10/(逐级计算!$Q$113*LN(10))*(MAX((LN(10^(逐级计算!$Q$113/10)-1)+逐级计算!$Q$113*(DI50-逐级计算!$P$113)*LN(10)/10),0)+LN(1+EXP(-ABS((LN(10^(逐级计算!$Q$113/10)-1)+逐级计算!$Q$113*(DI50-逐级计算!$P$113)*LN(10)/10))))))),"")</f>
        <v>13.7930365742109</v>
      </c>
      <c r="DK50">
        <f>IF(AND(ISNUMBER(DJ50),逐级计算!$X$114&gt;-1),IF(逐级计算!$X$114=0,DJ50+逐级计算!$C$114,DJ50+逐级计算!$C$114-(10/(逐级计算!$Q$114*LN(10))*(MAX((LN(10^(逐级计算!$Q$114/10)-1)+逐级计算!$Q$114*(DJ50-逐级计算!$P$114)*LN(10)/10),0)+LN(1+EXP(-ABS((LN(10^(逐级计算!$Q$114/10)-1)+逐级计算!$Q$114*(DJ50-逐级计算!$P$114)*LN(10)/10))))))),"")</f>
        <v>13.7930365742109</v>
      </c>
      <c r="DL50">
        <f>IF(AND(ISNUMBER(DK50),逐级计算!$X$115&gt;-1),IF(逐级计算!$X$115=0,DK50+逐级计算!$C$115,DK50+逐级计算!$C$115-(10/(逐级计算!$Q$115*LN(10))*(MAX((LN(10^(逐级计算!$Q$115/10)-1)+逐级计算!$Q$115*(DK50-逐级计算!$P$115)*LN(10)/10),0)+LN(1+EXP(-ABS((LN(10^(逐级计算!$Q$115/10)-1)+逐级计算!$Q$115*(DK50-逐级计算!$P$115)*LN(10)/10))))))),"")</f>
        <v>13.7930365742109</v>
      </c>
      <c r="DM50">
        <f>IF(AND(ISNUMBER(DL50),逐级计算!$X$116&gt;-1),IF(逐级计算!$X$116=0,DL50+逐级计算!$C$116,DL50+逐级计算!$C$116-(10/(逐级计算!$Q$116*LN(10))*(MAX((LN(10^(逐级计算!$Q$116/10)-1)+逐级计算!$Q$116*(DL50-逐级计算!$P$116)*LN(10)/10),0)+LN(1+EXP(-ABS((LN(10^(逐级计算!$Q$116/10)-1)+逐级计算!$Q$116*(DL50-逐级计算!$P$116)*LN(10)/10))))))),"")</f>
        <v>13.7930365742109</v>
      </c>
      <c r="DN50">
        <f>IF(AND(ISNUMBER(DM50),逐级计算!$X$117&gt;-1),IF(逐级计算!$X$117=0,DM50+逐级计算!$C$117,DM50+逐级计算!$C$117-(10/(逐级计算!$Q$117*LN(10))*(MAX((LN(10^(逐级计算!$Q$117/10)-1)+逐级计算!$Q$117*(DM50-逐级计算!$P$117)*LN(10)/10),0)+LN(1+EXP(-ABS((LN(10^(逐级计算!$Q$117/10)-1)+逐级计算!$Q$117*(DM50-逐级计算!$P$117)*LN(10)/10))))))),"")</f>
        <v>13.7930365742109</v>
      </c>
      <c r="DO50">
        <f>IF(AND(ISNUMBER(DN50),逐级计算!$X$118&gt;-1),IF(逐级计算!$X$118=0,DN50+逐级计算!$C$118,DN50+逐级计算!$C$118-(10/(逐级计算!$Q$118*LN(10))*(MAX((LN(10^(逐级计算!$Q$118/10)-1)+逐级计算!$Q$118*(DN50-逐级计算!$P$118)*LN(10)/10),0)+LN(1+EXP(-ABS((LN(10^(逐级计算!$Q$118/10)-1)+逐级计算!$Q$118*(DN50-逐级计算!$P$118)*LN(10)/10))))))),"")</f>
        <v>13.7930365742109</v>
      </c>
      <c r="DP50">
        <f>IF(AND(ISNUMBER(DO50),逐级计算!$X$119&gt;-1),IF(逐级计算!$X$119=0,DO50+逐级计算!$C$119,DO50+逐级计算!$C$119-(10/(逐级计算!$Q$119*LN(10))*(MAX((LN(10^(逐级计算!$Q$119/10)-1)+逐级计算!$Q$119*(DO50-逐级计算!$P$119)*LN(10)/10),0)+LN(1+EXP(-ABS((LN(10^(逐级计算!$Q$119/10)-1)+逐级计算!$Q$119*(DO50-逐级计算!$P$119)*LN(10)/10))))))),"")</f>
        <v>13.7930365742109</v>
      </c>
      <c r="DQ50">
        <f>IF(AND(ISNUMBER(DP50),逐级计算!$X$120&gt;-1),IF(逐级计算!$X$120=0,DP50+逐级计算!$C$120,DP50+逐级计算!$C$120-(10/(逐级计算!$Q$120*LN(10))*(MAX((LN(10^(逐级计算!$Q$120/10)-1)+逐级计算!$Q$120*(DP50-逐级计算!$P$120)*LN(10)/10),0)+LN(1+EXP(-ABS((LN(10^(逐级计算!$Q$120/10)-1)+逐级计算!$Q$120*(DP50-逐级计算!$P$120)*LN(10)/10))))))),"")</f>
        <v>13.7930365742109</v>
      </c>
      <c r="DR50">
        <f>IF(AND(ISNUMBER(DQ50),逐级计算!$X$121&gt;-1),IF(逐级计算!$X$121=0,DQ50+逐级计算!$C$121,DQ50+逐级计算!$C$121-(10/(逐级计算!$Q$121*LN(10))*(MAX((LN(10^(逐级计算!$Q$121/10)-1)+逐级计算!$Q$121*(DQ50-逐级计算!$P$121)*LN(10)/10),0)+LN(1+EXP(-ABS((LN(10^(逐级计算!$Q$121/10)-1)+逐级计算!$Q$121*(DQ50-逐级计算!$P$121)*LN(10)/10))))))),"")</f>
        <v>13.7930365742109</v>
      </c>
      <c r="DS50">
        <f>IF(AND(ISNUMBER(DR50),逐级计算!$X$122&gt;-1),IF(逐级计算!$X$122=0,DR50+逐级计算!$C$122,DR50+逐级计算!$C$122-(10/(逐级计算!$Q$122*LN(10))*(MAX((LN(10^(逐级计算!$Q$122/10)-1)+逐级计算!$Q$122*(DR50-逐级计算!$P$122)*LN(10)/10),0)+LN(1+EXP(-ABS((LN(10^(逐级计算!$Q$122/10)-1)+逐级计算!$Q$122*(DR50-逐级计算!$P$122)*LN(10)/10))))))),"")</f>
        <v>13.7930365742109</v>
      </c>
      <c r="DT50">
        <f>IF(AND(ISNUMBER(DS50),逐级计算!$X$123&gt;-1),IF(逐级计算!$X$123=0,DS50+逐级计算!$C$123,DS50+逐级计算!$C$123-(10/(逐级计算!$Q$123*LN(10))*(MAX((LN(10^(逐级计算!$Q$123/10)-1)+逐级计算!$Q$123*(DS50-逐级计算!$P$123)*LN(10)/10),0)+LN(1+EXP(-ABS((LN(10^(逐级计算!$Q$123/10)-1)+逐级计算!$Q$123*(DS50-逐级计算!$P$123)*LN(10)/10))))))),"")</f>
        <v>13.7930365742109</v>
      </c>
      <c r="DU50">
        <f>IF(AND(ISNUMBER(DT50),逐级计算!$X$124&gt;-1),IF(逐级计算!$X$124=0,DT50+逐级计算!$C$124,DT50+逐级计算!$C$124-(10/(逐级计算!$Q$124*LN(10))*(MAX((LN(10^(逐级计算!$Q$124/10)-1)+逐级计算!$Q$124*(DT50-逐级计算!$P$124)*LN(10)/10),0)+LN(1+EXP(-ABS((LN(10^(逐级计算!$Q$124/10)-1)+逐级计算!$Q$124*(DT50-逐级计算!$P$124)*LN(10)/10))))))),"")</f>
        <v>13.7930365742109</v>
      </c>
      <c r="DV50">
        <f>IF(AND(ISNUMBER(DU50),逐级计算!$X$125&gt;-1),IF(逐级计算!$X$125=0,DU50+逐级计算!$C$125,DU50+逐级计算!$C$125-(10/(逐级计算!$Q$125*LN(10))*(MAX((LN(10^(逐级计算!$Q$125/10)-1)+逐级计算!$Q$125*(DU50-逐级计算!$P$125)*LN(10)/10),0)+LN(1+EXP(-ABS((LN(10^(逐级计算!$Q$125/10)-1)+逐级计算!$Q$125*(DU50-逐级计算!$P$125)*LN(10)/10))))))),"")</f>
        <v>13.7930365742109</v>
      </c>
      <c r="DW50">
        <f>IF(AND(ISNUMBER(DV50),逐级计算!$X$126&gt;-1),IF(逐级计算!$X$126=0,DV50+逐级计算!$C$126,DV50+逐级计算!$C$126-(10/(逐级计算!$Q$126*LN(10))*(MAX((LN(10^(逐级计算!$Q$126/10)-1)+逐级计算!$Q$126*(DV50-逐级计算!$P$126)*LN(10)/10),0)+LN(1+EXP(-ABS((LN(10^(逐级计算!$Q$126/10)-1)+逐级计算!$Q$126*(DV50-逐级计算!$P$126)*LN(10)/10))))))),"")</f>
        <v>13.7930365742109</v>
      </c>
      <c r="DX50">
        <f>IF(AND(ISNUMBER(DW50),逐级计算!$X$127&gt;-1),IF(逐级计算!$X$127=0,DW50+逐级计算!$C$127,DW50+逐级计算!$C$127-(10/(逐级计算!$Q$127*LN(10))*(MAX((LN(10^(逐级计算!$Q$127/10)-1)+逐级计算!$Q$127*(DW50-逐级计算!$P$127)*LN(10)/10),0)+LN(1+EXP(-ABS((LN(10^(逐级计算!$Q$127/10)-1)+逐级计算!$Q$127*(DW50-逐级计算!$P$127)*LN(10)/10))))))),"")</f>
        <v>13.7930365742109</v>
      </c>
      <c r="DY50">
        <f>IF(AND(ISNUMBER(DX50),逐级计算!$X$128&gt;-1),IF(逐级计算!$X$128=0,DX50+逐级计算!$C$128,DX50+逐级计算!$C$128-(10/(逐级计算!$Q$128*LN(10))*(MAX((LN(10^(逐级计算!$Q$128/10)-1)+逐级计算!$Q$128*(DX50-逐级计算!$P$128)*LN(10)/10),0)+LN(1+EXP(-ABS((LN(10^(逐级计算!$Q$128/10)-1)+逐级计算!$Q$128*(DX50-逐级计算!$P$128)*LN(10)/10))))))),"")</f>
        <v>13.7930365742109</v>
      </c>
      <c r="DZ50">
        <f>IF(AND(ISNUMBER(DY50),逐级计算!$X$129&gt;-1),IF(逐级计算!$X$129=0,DY50+逐级计算!$C$129,DY50+逐级计算!$C$129-(10/(逐级计算!$Q$129*LN(10))*(MAX((LN(10^(逐级计算!$Q$129/10)-1)+逐级计算!$Q$129*(DY50-逐级计算!$P$129)*LN(10)/10),0)+LN(1+EXP(-ABS((LN(10^(逐级计算!$Q$129/10)-1)+逐级计算!$Q$129*(DY50-逐级计算!$P$129)*LN(10)/10))))))),"")</f>
        <v>13.7930365742109</v>
      </c>
      <c r="EA50">
        <f>IF(AND(ISNUMBER(DZ50),逐级计算!$X$130&gt;-1),IF(逐级计算!$X$130=0,DZ50+逐级计算!$C$130,DZ50+逐级计算!$C$130-(10/(逐级计算!$Q$130*LN(10))*(MAX((LN(10^(逐级计算!$Q$130/10)-1)+逐级计算!$Q$130*(DZ50-逐级计算!$P$130)*LN(10)/10),0)+LN(1+EXP(-ABS((LN(10^(逐级计算!$Q$130/10)-1)+逐级计算!$Q$130*(DZ50-逐级计算!$P$130)*LN(10)/10))))))),"")</f>
        <v>13.7930365742109</v>
      </c>
      <c r="EB50">
        <f>IF(AND(ISNUMBER(EA50),逐级计算!$X$131&gt;-1),IF(逐级计算!$X$131=0,EA50+逐级计算!$C$131,EA50+逐级计算!$C$131-(10/(逐级计算!$Q$131*LN(10))*(MAX((LN(10^(逐级计算!$Q$131/10)-1)+逐级计算!$Q$131*(EA50-逐级计算!$P$131)*LN(10)/10),0)+LN(1+EXP(-ABS((LN(10^(逐级计算!$Q$131/10)-1)+逐级计算!$Q$131*(EA50-逐级计算!$P$131)*LN(10)/10))))))),"")</f>
        <v>13.7930365742109</v>
      </c>
      <c r="EC50">
        <f>IF(AND(ISNUMBER(EB50),逐级计算!$X$132&gt;-1),IF(逐级计算!$X$132=0,EB50+逐级计算!$C$132,EB50+逐级计算!$C$132-(10/(逐级计算!$Q$132*LN(10))*(MAX((LN(10^(逐级计算!$Q$132/10)-1)+逐级计算!$Q$132*(EB50-逐级计算!$P$132)*LN(10)/10),0)+LN(1+EXP(-ABS((LN(10^(逐级计算!$Q$132/10)-1)+逐级计算!$Q$132*(EB50-逐级计算!$P$132)*LN(10)/10))))))),"")</f>
        <v>13.7930365742109</v>
      </c>
      <c r="ED50">
        <f>IF(AND(ISNUMBER(EC50),逐级计算!$X$133&gt;-1),IF(逐级计算!$X$133=0,EC50+逐级计算!$C$133,EC50+逐级计算!$C$133-(10/(逐级计算!$Q$133*LN(10))*(MAX((LN(10^(逐级计算!$Q$133/10)-1)+逐级计算!$Q$133*(EC50-逐级计算!$P$133)*LN(10)/10),0)+LN(1+EXP(-ABS((LN(10^(逐级计算!$Q$133/10)-1)+逐级计算!$Q$133*(EC50-逐级计算!$P$133)*LN(10)/10))))))),"")</f>
        <v>13.7930365742109</v>
      </c>
      <c r="EE50">
        <f>IF(AND(ISNUMBER(ED50),逐级计算!$X$134&gt;-1),IF(逐级计算!$X$134=0,ED50+逐级计算!$C$134,ED50+逐级计算!$C$134-(10/(逐级计算!$Q$134*LN(10))*(MAX((LN(10^(逐级计算!$Q$134/10)-1)+逐级计算!$Q$134*(ED50-逐级计算!$P$134)*LN(10)/10),0)+LN(1+EXP(-ABS((LN(10^(逐级计算!$Q$134/10)-1)+逐级计算!$Q$134*(ED50-逐级计算!$P$134)*LN(10)/10))))))),"")</f>
        <v>13.7930365742109</v>
      </c>
      <c r="EF50">
        <f>IF(AND(ISNUMBER(EE50),逐级计算!$X$135&gt;-1),IF(逐级计算!$X$135=0,EE50+逐级计算!$C$135,EE50+逐级计算!$C$135-(10/(逐级计算!$Q$135*LN(10))*(MAX((LN(10^(逐级计算!$Q$135/10)-1)+逐级计算!$Q$135*(EE50-逐级计算!$P$135)*LN(10)/10),0)+LN(1+EXP(-ABS((LN(10^(逐级计算!$Q$135/10)-1)+逐级计算!$Q$135*(EE50-逐级计算!$P$135)*LN(10)/10))))))),"")</f>
        <v>13.7930365742109</v>
      </c>
      <c r="EG50">
        <f>IF(AND(ISNUMBER(EF50),逐级计算!$X$136&gt;-1),IF(逐级计算!$X$136=0,EF50+逐级计算!$C$136,EF50+逐级计算!$C$136-(10/(逐级计算!$Q$136*LN(10))*(MAX((LN(10^(逐级计算!$Q$136/10)-1)+逐级计算!$Q$136*(EF50-逐级计算!$P$136)*LN(10)/10),0)+LN(1+EXP(-ABS((LN(10^(逐级计算!$Q$136/10)-1)+逐级计算!$Q$136*(EF50-逐级计算!$P$136)*LN(10)/10))))))),"")</f>
        <v>13.7930365742109</v>
      </c>
      <c r="EH50">
        <f>IF(AND(ISNUMBER(EG50),逐级计算!$X$137&gt;-1),IF(逐级计算!$X$137=0,EG50+逐级计算!$C$137,EG50+逐级计算!$C$137-(10/(逐级计算!$Q$137*LN(10))*(MAX((LN(10^(逐级计算!$Q$137/10)-1)+逐级计算!$Q$137*(EG50-逐级计算!$P$137)*LN(10)/10),0)+LN(1+EXP(-ABS((LN(10^(逐级计算!$Q$137/10)-1)+逐级计算!$Q$137*(EG50-逐级计算!$P$137)*LN(10)/10))))))),"")</f>
        <v>13.7930365742109</v>
      </c>
      <c r="EI50">
        <f>IF(AND(ISNUMBER(EH50),逐级计算!$X$138&gt;-1),IF(逐级计算!$X$138=0,EH50+逐级计算!$C$138,EH50+逐级计算!$C$138-(10/(逐级计算!$Q$138*LN(10))*(MAX((LN(10^(逐级计算!$Q$138/10)-1)+逐级计算!$Q$138*(EH50-逐级计算!$P$138)*LN(10)/10),0)+LN(1+EXP(-ABS((LN(10^(逐级计算!$Q$138/10)-1)+逐级计算!$Q$138*(EH50-逐级计算!$P$138)*LN(10)/10))))))),"")</f>
        <v>13.7930365742109</v>
      </c>
      <c r="EJ50">
        <f>IF(AND(ISNUMBER(EI50),逐级计算!$X$139&gt;-1),IF(逐级计算!$X$139=0,EI50+逐级计算!$C$139,EI50+逐级计算!$C$139-(10/(逐级计算!$Q$139*LN(10))*(MAX((LN(10^(逐级计算!$Q$139/10)-1)+逐级计算!$Q$139*(EI50-逐级计算!$P$139)*LN(10)/10),0)+LN(1+EXP(-ABS((LN(10^(逐级计算!$Q$139/10)-1)+逐级计算!$Q$139*(EI50-逐级计算!$P$139)*LN(10)/10))))))),"")</f>
        <v>13.7930365742109</v>
      </c>
      <c r="EK50">
        <f>IF(AND(ISNUMBER(EJ50),逐级计算!$X$140&gt;-1),IF(逐级计算!$X$140=0,EJ50+逐级计算!$C$140,EJ50+逐级计算!$C$140-(10/(逐级计算!$Q$140*LN(10))*(MAX((LN(10^(逐级计算!$Q$140/10)-1)+逐级计算!$Q$140*(EJ50-逐级计算!$P$140)*LN(10)/10),0)+LN(1+EXP(-ABS((LN(10^(逐级计算!$Q$140/10)-1)+逐级计算!$Q$140*(EJ50-逐级计算!$P$140)*LN(10)/10))))))),"")</f>
        <v>13.7930365742109</v>
      </c>
      <c r="EL50">
        <f>IF(AND(ISNUMBER(EK50),逐级计算!$X$141&gt;-1),IF(逐级计算!$X$141=0,EK50+逐级计算!$C$141,EK50+逐级计算!$C$141-(10/(逐级计算!$Q$141*LN(10))*(MAX((LN(10^(逐级计算!$Q$141/10)-1)+逐级计算!$Q$141*(EK50-逐级计算!$P$141)*LN(10)/10),0)+LN(1+EXP(-ABS((LN(10^(逐级计算!$Q$141/10)-1)+逐级计算!$Q$141*(EK50-逐级计算!$P$141)*LN(10)/10))))))),"")</f>
        <v>13.7930365742109</v>
      </c>
      <c r="EM50">
        <f>IF(AND(ISNUMBER(EL50),逐级计算!$X$142&gt;-1),IF(逐级计算!$X$142=0,EL50+逐级计算!$C$142,EL50+逐级计算!$C$142-(10/(逐级计算!$Q$142*LN(10))*(MAX((LN(10^(逐级计算!$Q$142/10)-1)+逐级计算!$Q$142*(EL50-逐级计算!$P$142)*LN(10)/10),0)+LN(1+EXP(-ABS((LN(10^(逐级计算!$Q$142/10)-1)+逐级计算!$Q$142*(EL50-逐级计算!$P$142)*LN(10)/10))))))),"")</f>
        <v>13.7930365742109</v>
      </c>
      <c r="EN50">
        <f>IF(AND(ISNUMBER(EM50),逐级计算!$X$143&gt;-1),IF(逐级计算!$X$143=0,EM50+逐级计算!$C$143,EM50+逐级计算!$C$143-(10/(逐级计算!$Q$143*LN(10))*(MAX((LN(10^(逐级计算!$Q$143/10)-1)+逐级计算!$Q$143*(EM50-逐级计算!$P$143)*LN(10)/10),0)+LN(1+EXP(-ABS((LN(10^(逐级计算!$Q$143/10)-1)+逐级计算!$Q$143*(EM50-逐级计算!$P$143)*LN(10)/10))))))),"")</f>
        <v>13.7930365742109</v>
      </c>
      <c r="EO50">
        <f>IF(AND(ISNUMBER(EN50),逐级计算!$X$144&gt;-1),IF(逐级计算!$X$144=0,EN50+逐级计算!$C$144,EN50+逐级计算!$C$144-(10/(逐级计算!$Q$144*LN(10))*(MAX((LN(10^(逐级计算!$Q$144/10)-1)+逐级计算!$Q$144*(EN50-逐级计算!$P$144)*LN(10)/10),0)+LN(1+EXP(-ABS((LN(10^(逐级计算!$Q$144/10)-1)+逐级计算!$Q$144*(EN50-逐级计算!$P$144)*LN(10)/10))))))),"")</f>
        <v>13.7930365742109</v>
      </c>
      <c r="EP50">
        <f>IF(AND(ISNUMBER(EO50),逐级计算!$X$145&gt;-1),IF(逐级计算!$X$145=0,EO50+逐级计算!$C$145,EO50+逐级计算!$C$145-(10/(逐级计算!$Q$145*LN(10))*(MAX((LN(10^(逐级计算!$Q$145/10)-1)+逐级计算!$Q$145*(EO50-逐级计算!$P$145)*LN(10)/10),0)+LN(1+EXP(-ABS((LN(10^(逐级计算!$Q$145/10)-1)+逐级计算!$Q$145*(EO50-逐级计算!$P$145)*LN(10)/10))))))),"")</f>
        <v>13.7930365742109</v>
      </c>
      <c r="EQ50">
        <f>IF(AND(ISNUMBER(EP50),逐级计算!$X$146&gt;-1),IF(逐级计算!$X$146=0,EP50+逐级计算!$C$146,EP50+逐级计算!$C$146-(10/(逐级计算!$Q$146*LN(10))*(MAX((LN(10^(逐级计算!$Q$146/10)-1)+逐级计算!$Q$146*(EP50-逐级计算!$P$146)*LN(10)/10),0)+LN(1+EXP(-ABS((LN(10^(逐级计算!$Q$146/10)-1)+逐级计算!$Q$146*(EP50-逐级计算!$P$146)*LN(10)/10))))))),"")</f>
        <v>13.7930365742109</v>
      </c>
      <c r="ER50">
        <f>IF(AND(ISNUMBER(EQ50),逐级计算!$X$147&gt;-1),IF(逐级计算!$X$147=0,EQ50+逐级计算!$C$147,EQ50+逐级计算!$C$147-(10/(逐级计算!$Q$147*LN(10))*(MAX((LN(10^(逐级计算!$Q$147/10)-1)+逐级计算!$Q$147*(EQ50-逐级计算!$P$147)*LN(10)/10),0)+LN(1+EXP(-ABS((LN(10^(逐级计算!$Q$147/10)-1)+逐级计算!$Q$147*(EQ50-逐级计算!$P$147)*LN(10)/10))))))),"")</f>
        <v>13.7930365742109</v>
      </c>
      <c r="ES50">
        <f>IF(AND(ISNUMBER(ER50),逐级计算!$X$148&gt;-1),IF(逐级计算!$X$148=0,ER50+逐级计算!$C$148,ER50+逐级计算!$C$148-(10/(逐级计算!$Q$148*LN(10))*(MAX((LN(10^(逐级计算!$Q$148/10)-1)+逐级计算!$Q$148*(ER50-逐级计算!$P$148)*LN(10)/10),0)+LN(1+EXP(-ABS((LN(10^(逐级计算!$Q$148/10)-1)+逐级计算!$Q$148*(ER50-逐级计算!$P$148)*LN(10)/10))))))),"")</f>
        <v>13.7930365742109</v>
      </c>
      <c r="ET50">
        <f>IF(AND(ISNUMBER(ES50),逐级计算!$X$149&gt;-1),IF(逐级计算!$X$149=0,ES50+逐级计算!$C$149,ES50+逐级计算!$C$149-(10/(逐级计算!$Q$149*LN(10))*(MAX((LN(10^(逐级计算!$Q$149/10)-1)+逐级计算!$Q$149*(ES50-逐级计算!$P$149)*LN(10)/10),0)+LN(1+EXP(-ABS((LN(10^(逐级计算!$Q$149/10)-1)+逐级计算!$Q$149*(ES50-逐级计算!$P$149)*LN(10)/10))))))),"")</f>
        <v>13.7930365742109</v>
      </c>
      <c r="EU50">
        <f>IF(AND(ISNUMBER(ET50),逐级计算!$X$150&gt;-1),IF(逐级计算!$X$150=0,ET50+逐级计算!$C$150,ET50+逐级计算!$C$150-(10/(逐级计算!$Q$150*LN(10))*(MAX((LN(10^(逐级计算!$Q$150/10)-1)+逐级计算!$Q$150*(ET50-逐级计算!$P$150)*LN(10)/10),0)+LN(1+EXP(-ABS((LN(10^(逐级计算!$Q$150/10)-1)+逐级计算!$Q$150*(ET50-逐级计算!$P$150)*LN(10)/10))))))),"")</f>
        <v>13.7930365742109</v>
      </c>
      <c r="EV50">
        <f>IF(AND(ISNUMBER(EU50),逐级计算!$X$151&gt;-1),IF(逐级计算!$X$151=0,EU50+逐级计算!$C$151,EU50+逐级计算!$C$151-(10/(逐级计算!$Q$151*LN(10))*(MAX((LN(10^(逐级计算!$Q$151/10)-1)+逐级计算!$Q$151*(EU50-逐级计算!$P$151)*LN(10)/10),0)+LN(1+EXP(-ABS((LN(10^(逐级计算!$Q$151/10)-1)+逐级计算!$Q$151*(EU50-逐级计算!$P$151)*LN(10)/10))))))),"")</f>
        <v>13.7930365742109</v>
      </c>
      <c r="EW50">
        <f>IF(AND(ISNUMBER(EV50),逐级计算!$X$152&gt;-1),IF(逐级计算!$X$152=0,EV50+逐级计算!$C$152,EV50+逐级计算!$C$152-(10/(逐级计算!$Q$152*LN(10))*(MAX((LN(10^(逐级计算!$Q$152/10)-1)+逐级计算!$Q$152*(EV50-逐级计算!$P$152)*LN(10)/10),0)+LN(1+EXP(-ABS((LN(10^(逐级计算!$Q$152/10)-1)+逐级计算!$Q$152*(EV50-逐级计算!$P$152)*LN(10)/10))))))),"")</f>
        <v>13.7930365742109</v>
      </c>
      <c r="EX50">
        <f>IF(AND(ISNUMBER(EW50),逐级计算!$X$153&gt;-1),IF(逐级计算!$X$153=0,EW50+逐级计算!$C$153,EW50+逐级计算!$C$153-(10/(逐级计算!$Q$153*LN(10))*(MAX((LN(10^(逐级计算!$Q$153/10)-1)+逐级计算!$Q$153*(EW50-逐级计算!$P$153)*LN(10)/10),0)+LN(1+EXP(-ABS((LN(10^(逐级计算!$Q$153/10)-1)+逐级计算!$Q$153*(EW50-逐级计算!$P$153)*LN(10)/10))))))),"")</f>
        <v>13.7930365742109</v>
      </c>
      <c r="EY50">
        <f>IF(AND(ISNUMBER(EX50),逐级计算!$X$154&gt;-1),IF(逐级计算!$X$154=0,EX50+逐级计算!$C$154,EX50+逐级计算!$C$154-(10/(逐级计算!$Q$154*LN(10))*(MAX((LN(10^(逐级计算!$Q$154/10)-1)+逐级计算!$Q$154*(EX50-逐级计算!$P$154)*LN(10)/10),0)+LN(1+EXP(-ABS((LN(10^(逐级计算!$Q$154/10)-1)+逐级计算!$Q$154*(EX50-逐级计算!$P$154)*LN(10)/10))))))),"")</f>
        <v>13.7930365742109</v>
      </c>
      <c r="EZ50">
        <f>IF(AND(ISNUMBER(EY50),逐级计算!$X$155&gt;-1),IF(逐级计算!$X$155=0,EY50+逐级计算!$C$155,EY50+逐级计算!$C$155-(10/(逐级计算!$Q$155*LN(10))*(MAX((LN(10^(逐级计算!$Q$155/10)-1)+逐级计算!$Q$155*(EY50-逐级计算!$P$155)*LN(10)/10),0)+LN(1+EXP(-ABS((LN(10^(逐级计算!$Q$155/10)-1)+逐级计算!$Q$155*(EY50-逐级计算!$P$155)*LN(10)/10))))))),"")</f>
        <v>13.7930365742109</v>
      </c>
      <c r="FA50">
        <f>IF(AND(ISNUMBER(EZ50),逐级计算!$X$156&gt;-1),IF(逐级计算!$X$156=0,EZ50+逐级计算!$C$156,EZ50+逐级计算!$C$156-(10/(逐级计算!$Q$156*LN(10))*(MAX((LN(10^(逐级计算!$Q$156/10)-1)+逐级计算!$Q$156*(EZ50-逐级计算!$P$156)*LN(10)/10),0)+LN(1+EXP(-ABS((LN(10^(逐级计算!$Q$156/10)-1)+逐级计算!$Q$156*(EZ50-逐级计算!$P$156)*LN(10)/10))))))),"")</f>
        <v>13.7930365742109</v>
      </c>
      <c r="FB50">
        <f>IF(AND(ISNUMBER(FA50),逐级计算!$X$157&gt;-1),IF(逐级计算!$X$157=0,FA50+逐级计算!$C$157,FA50+逐级计算!$C$157-(10/(逐级计算!$Q$157*LN(10))*(MAX((LN(10^(逐级计算!$Q$157/10)-1)+逐级计算!$Q$157*(FA50-逐级计算!$P$157)*LN(10)/10),0)+LN(1+EXP(-ABS((LN(10^(逐级计算!$Q$157/10)-1)+逐级计算!$Q$157*(FA50-逐级计算!$P$157)*LN(10)/10))))))),"")</f>
        <v>13.7930365742109</v>
      </c>
      <c r="FC50">
        <f>IF(AND(ISNUMBER(FB50),逐级计算!$X$158&gt;-1),IF(逐级计算!$X$158=0,FB50+逐级计算!$C$158,FB50+逐级计算!$C$158-(10/(逐级计算!$Q$158*LN(10))*(MAX((LN(10^(逐级计算!$Q$158/10)-1)+逐级计算!$Q$158*(FB50-逐级计算!$P$158)*LN(10)/10),0)+LN(1+EXP(-ABS((LN(10^(逐级计算!$Q$158/10)-1)+逐级计算!$Q$158*(FB50-逐级计算!$P$158)*LN(10)/10))))))),"")</f>
        <v>13.7930365742109</v>
      </c>
      <c r="FD50">
        <f>IF(AND(ISNUMBER(FC50),逐级计算!$X$159&gt;-1),IF(逐级计算!$X$159=0,FC50+逐级计算!$C$159,FC50+逐级计算!$C$159-(10/(逐级计算!$Q$159*LN(10))*(MAX((LN(10^(逐级计算!$Q$159/10)-1)+逐级计算!$Q$159*(FC50-逐级计算!$P$159)*LN(10)/10),0)+LN(1+EXP(-ABS((LN(10^(逐级计算!$Q$159/10)-1)+逐级计算!$Q$159*(FC50-逐级计算!$P$159)*LN(10)/10))))))),"")</f>
        <v>13.7930365742109</v>
      </c>
      <c r="FE50">
        <f>IF(AND(ISNUMBER(FD50),逐级计算!$X$160&gt;-1),IF(逐级计算!$X$160=0,FD50+逐级计算!$C$160,FD50+逐级计算!$C$160-(10/(逐级计算!$Q$160*LN(10))*(MAX((LN(10^(逐级计算!$Q$160/10)-1)+逐级计算!$Q$160*(FD50-逐级计算!$P$160)*LN(10)/10),0)+LN(1+EXP(-ABS((LN(10^(逐级计算!$Q$160/10)-1)+逐级计算!$Q$160*(FD50-逐级计算!$P$160)*LN(10)/10))))))),"")</f>
        <v>13.7930365742109</v>
      </c>
      <c r="FF50">
        <f>IF(AND(ISNUMBER(FE50),逐级计算!$X$161&gt;-1),IF(逐级计算!$X$161=0,FE50+逐级计算!$C$161,FE50+逐级计算!$C$161-(10/(逐级计算!$Q$161*LN(10))*(MAX((LN(10^(逐级计算!$Q$161/10)-1)+逐级计算!$Q$161*(FE50-逐级计算!$P$161)*LN(10)/10),0)+LN(1+EXP(-ABS((LN(10^(逐级计算!$Q$161/10)-1)+逐级计算!$Q$161*(FE50-逐级计算!$P$161)*LN(10)/10))))))),"")</f>
        <v>13.7930365742109</v>
      </c>
      <c r="FG50">
        <f>IF(AND(ISNUMBER(FF50),逐级计算!$X$162&gt;-1),IF(逐级计算!$X$162=0,FF50+逐级计算!$C$162,FF50+逐级计算!$C$162-(10/(逐级计算!$Q$162*LN(10))*(MAX((LN(10^(逐级计算!$Q$162/10)-1)+逐级计算!$Q$162*(FF50-逐级计算!$P$162)*LN(10)/10),0)+LN(1+EXP(-ABS((LN(10^(逐级计算!$Q$162/10)-1)+逐级计算!$Q$162*(FF50-逐级计算!$P$162)*LN(10)/10))))))),"")</f>
        <v>13.7930365742109</v>
      </c>
      <c r="FH50">
        <f>IF(AND(ISNUMBER(FG50),逐级计算!$X$163&gt;-1),IF(逐级计算!$X$163=0,FG50+逐级计算!$C$163,FG50+逐级计算!$C$163-(10/(逐级计算!$Q$163*LN(10))*(MAX((LN(10^(逐级计算!$Q$163/10)-1)+逐级计算!$Q$163*(FG50-逐级计算!$P$163)*LN(10)/10),0)+LN(1+EXP(-ABS((LN(10^(逐级计算!$Q$163/10)-1)+逐级计算!$Q$163*(FG50-逐级计算!$P$163)*LN(10)/10))))))),"")</f>
        <v>13.7930365742109</v>
      </c>
      <c r="FI50">
        <f>IF(AND(ISNUMBER(FH50),逐级计算!$X$164&gt;-1),IF(逐级计算!$X$164=0,FH50+逐级计算!$C$164,FH50+逐级计算!$C$164-(10/(逐级计算!$Q$164*LN(10))*(MAX((LN(10^(逐级计算!$Q$164/10)-1)+逐级计算!$Q$164*(FH50-逐级计算!$P$164)*LN(10)/10),0)+LN(1+EXP(-ABS((LN(10^(逐级计算!$Q$164/10)-1)+逐级计算!$Q$164*(FH50-逐级计算!$P$164)*LN(10)/10))))))),"")</f>
        <v>13.7930365742109</v>
      </c>
      <c r="FJ50">
        <f>IF(AND(ISNUMBER(FI50),逐级计算!$X$165&gt;-1),IF(逐级计算!$X$165=0,FI50+逐级计算!$C$165,FI50+逐级计算!$C$165-(10/(逐级计算!$Q$165*LN(10))*(MAX((LN(10^(逐级计算!$Q$165/10)-1)+逐级计算!$Q$165*(FI50-逐级计算!$P$165)*LN(10)/10),0)+LN(1+EXP(-ABS((LN(10^(逐级计算!$Q$165/10)-1)+逐级计算!$Q$165*(FI50-逐级计算!$P$165)*LN(10)/10))))))),"")</f>
        <v>13.7930365742109</v>
      </c>
      <c r="FK50">
        <f>IF(AND(ISNUMBER(FJ50),逐级计算!$X$166&gt;-1),IF(逐级计算!$X$166=0,FJ50+逐级计算!$C$166,FJ50+逐级计算!$C$166-(10/(逐级计算!$Q$166*LN(10))*(MAX((LN(10^(逐级计算!$Q$166/10)-1)+逐级计算!$Q$166*(FJ50-逐级计算!$P$166)*LN(10)/10),0)+LN(1+EXP(-ABS((LN(10^(逐级计算!$Q$166/10)-1)+逐级计算!$Q$166*(FJ50-逐级计算!$P$166)*LN(10)/10))))))),"")</f>
        <v>13.7930365742109</v>
      </c>
      <c r="FL50">
        <f>IF(AND(ISNUMBER(FK50),逐级计算!$X$167&gt;-1),IF(逐级计算!$X$167=0,FK50+逐级计算!$C$167,FK50+逐级计算!$C$167-(10/(逐级计算!$Q$167*LN(10))*(MAX((LN(10^(逐级计算!$Q$167/10)-1)+逐级计算!$Q$167*(FK50-逐级计算!$P$167)*LN(10)/10),0)+LN(1+EXP(-ABS((LN(10^(逐级计算!$Q$167/10)-1)+逐级计算!$Q$167*(FK50-逐级计算!$P$167)*LN(10)/10))))))),"")</f>
        <v>13.7930365742109</v>
      </c>
      <c r="FM50">
        <f>IF(AND(ISNUMBER(FL50),逐级计算!$X$168&gt;-1),IF(逐级计算!$X$168=0,FL50+逐级计算!$C$168,FL50+逐级计算!$C$168-(10/(逐级计算!$Q$168*LN(10))*(MAX((LN(10^(逐级计算!$Q$168/10)-1)+逐级计算!$Q$168*(FL50-逐级计算!$P$168)*LN(10)/10),0)+LN(1+EXP(-ABS((LN(10^(逐级计算!$Q$168/10)-1)+逐级计算!$Q$168*(FL50-逐级计算!$P$168)*LN(10)/10))))))),"")</f>
        <v>13.7930365742109</v>
      </c>
      <c r="FN50">
        <f>IF(AND(ISNUMBER(FM50),逐级计算!$X$169&gt;-1),IF(逐级计算!$X$169=0,FM50+逐级计算!$C$169,FM50+逐级计算!$C$169-(10/(逐级计算!$Q$169*LN(10))*(MAX((LN(10^(逐级计算!$Q$169/10)-1)+逐级计算!$Q$169*(FM50-逐级计算!$P$169)*LN(10)/10),0)+LN(1+EXP(-ABS((LN(10^(逐级计算!$Q$169/10)-1)+逐级计算!$Q$169*(FM50-逐级计算!$P$169)*LN(10)/10))))))),"")</f>
        <v>13.7930365742109</v>
      </c>
      <c r="FO50">
        <f>IF(AND(ISNUMBER(FN50),逐级计算!$X$170&gt;-1),IF(逐级计算!$X$170=0,FN50+逐级计算!$C$170,FN50+逐级计算!$C$170-(10/(逐级计算!$Q$170*LN(10))*(MAX((LN(10^(逐级计算!$Q$170/10)-1)+逐级计算!$Q$170*(FN50-逐级计算!$P$170)*LN(10)/10),0)+LN(1+EXP(-ABS((LN(10^(逐级计算!$Q$170/10)-1)+逐级计算!$Q$170*(FN50-逐级计算!$P$170)*LN(10)/10))))))),"")</f>
        <v>13.7930365742109</v>
      </c>
      <c r="FP50">
        <f>IF(AND(ISNUMBER(FO50),逐级计算!$X$171&gt;-1),IF(逐级计算!$X$171=0,FO50+逐级计算!$C$171,FO50+逐级计算!$C$171-(10/(逐级计算!$Q$171*LN(10))*(MAX((LN(10^(逐级计算!$Q$171/10)-1)+逐级计算!$Q$171*(FO50-逐级计算!$P$171)*LN(10)/10),0)+LN(1+EXP(-ABS((LN(10^(逐级计算!$Q$171/10)-1)+逐级计算!$Q$171*(FO50-逐级计算!$P$171)*LN(10)/10))))))),"")</f>
        <v>13.7930365742109</v>
      </c>
      <c r="FQ50">
        <f>IF(AND(ISNUMBER(FP50),逐级计算!$X$172&gt;-1),IF(逐级计算!$X$172=0,FP50+逐级计算!$C$172,FP50+逐级计算!$C$172-(10/(逐级计算!$Q$172*LN(10))*(MAX((LN(10^(逐级计算!$Q$172/10)-1)+逐级计算!$Q$172*(FP50-逐级计算!$P$172)*LN(10)/10),0)+LN(1+EXP(-ABS((LN(10^(逐级计算!$Q$172/10)-1)+逐级计算!$Q$172*(FP50-逐级计算!$P$172)*LN(10)/10))))))),"")</f>
        <v>13.7930365742109</v>
      </c>
      <c r="FR50">
        <f>IF(AND(ISNUMBER(FQ50),逐级计算!$X$173&gt;-1),IF(逐级计算!$X$173=0,FQ50+逐级计算!$C$173,FQ50+逐级计算!$C$173-(10/(逐级计算!$Q$173*LN(10))*(MAX((LN(10^(逐级计算!$Q$173/10)-1)+逐级计算!$Q$173*(FQ50-逐级计算!$P$173)*LN(10)/10),0)+LN(1+EXP(-ABS((LN(10^(逐级计算!$Q$173/10)-1)+逐级计算!$Q$173*(FQ50-逐级计算!$P$173)*LN(10)/10))))))),"")</f>
        <v>13.7930365742109</v>
      </c>
      <c r="FS50">
        <f>IF(AND(ISNUMBER(FR50),逐级计算!$X$174&gt;-1),IF(逐级计算!$X$174=0,FR50+逐级计算!$C$174,FR50+逐级计算!$C$174-(10/(逐级计算!$Q$174*LN(10))*(MAX((LN(10^(逐级计算!$Q$174/10)-1)+逐级计算!$Q$174*(FR50-逐级计算!$P$174)*LN(10)/10),0)+LN(1+EXP(-ABS((LN(10^(逐级计算!$Q$174/10)-1)+逐级计算!$Q$174*(FR50-逐级计算!$P$174)*LN(10)/10))))))),"")</f>
        <v>13.7930365742109</v>
      </c>
      <c r="FT50">
        <f>IF(AND(ISNUMBER(FS50),逐级计算!$X$175&gt;-1),IF(逐级计算!$X$175=0,FS50+逐级计算!$C$175,FS50+逐级计算!$C$175-(10/(逐级计算!$Q$175*LN(10))*(MAX((LN(10^(逐级计算!$Q$175/10)-1)+逐级计算!$Q$175*(FS50-逐级计算!$P$175)*LN(10)/10),0)+LN(1+EXP(-ABS((LN(10^(逐级计算!$Q$175/10)-1)+逐级计算!$Q$175*(FS50-逐级计算!$P$175)*LN(10)/10))))))),"")</f>
        <v>13.7930365742109</v>
      </c>
      <c r="FU50">
        <f>IF(AND(ISNUMBER(FT50),逐级计算!$X$176&gt;-1),IF(逐级计算!$X$176=0,FT50+逐级计算!$C$176,FT50+逐级计算!$C$176-(10/(逐级计算!$Q$176*LN(10))*(MAX((LN(10^(逐级计算!$Q$176/10)-1)+逐级计算!$Q$176*(FT50-逐级计算!$P$176)*LN(10)/10),0)+LN(1+EXP(-ABS((LN(10^(逐级计算!$Q$176/10)-1)+逐级计算!$Q$176*(FT50-逐级计算!$P$176)*LN(10)/10))))))),"")</f>
        <v>13.7930365742109</v>
      </c>
      <c r="FV50">
        <f>IF(AND(ISNUMBER(FU50),逐级计算!$X$177&gt;-1),IF(逐级计算!$X$177=0,FU50+逐级计算!$C$177,FU50+逐级计算!$C$177-(10/(逐级计算!$Q$177*LN(10))*(MAX((LN(10^(逐级计算!$Q$177/10)-1)+逐级计算!$Q$177*(FU50-逐级计算!$P$177)*LN(10)/10),0)+LN(1+EXP(-ABS((LN(10^(逐级计算!$Q$177/10)-1)+逐级计算!$Q$177*(FU50-逐级计算!$P$177)*LN(10)/10))))))),"")</f>
        <v>13.7930365742109</v>
      </c>
      <c r="FW50">
        <f>IF(AND(ISNUMBER(FV50),逐级计算!$X$178&gt;-1),IF(逐级计算!$X$178=0,FV50+逐级计算!$C$178,FV50+逐级计算!$C$178-(10/(逐级计算!$Q$178*LN(10))*(MAX((LN(10^(逐级计算!$Q$178/10)-1)+逐级计算!$Q$178*(FV50-逐级计算!$P$178)*LN(10)/10),0)+LN(1+EXP(-ABS((LN(10^(逐级计算!$Q$178/10)-1)+逐级计算!$Q$178*(FV50-逐级计算!$P$178)*LN(10)/10))))))),"")</f>
        <v>13.7930365742109</v>
      </c>
      <c r="FX50">
        <f>IF(AND(ISNUMBER(FW50),逐级计算!$X$179&gt;-1),IF(逐级计算!$X$179=0,FW50+逐级计算!$C$179,FW50+逐级计算!$C$179-(10/(逐级计算!$Q$179*LN(10))*(MAX((LN(10^(逐级计算!$Q$179/10)-1)+逐级计算!$Q$179*(FW50-逐级计算!$P$179)*LN(10)/10),0)+LN(1+EXP(-ABS((LN(10^(逐级计算!$Q$179/10)-1)+逐级计算!$Q$179*(FW50-逐级计算!$P$179)*LN(10)/10))))))),"")</f>
        <v>13.7930365742109</v>
      </c>
      <c r="FY50">
        <f>IF(AND(ISNUMBER(FX50),逐级计算!$X$180&gt;-1),IF(逐级计算!$X$180=0,FX50+逐级计算!$C$180,FX50+逐级计算!$C$180-(10/(逐级计算!$Q$180*LN(10))*(MAX((LN(10^(逐级计算!$Q$180/10)-1)+逐级计算!$Q$180*(FX50-逐级计算!$P$180)*LN(10)/10),0)+LN(1+EXP(-ABS((LN(10^(逐级计算!$Q$180/10)-1)+逐级计算!$Q$180*(FX50-逐级计算!$P$180)*LN(10)/10))))))),"")</f>
        <v>13.7930365742109</v>
      </c>
      <c r="FZ50">
        <f>IF(AND(ISNUMBER(FY50),逐级计算!$X$181&gt;-1),IF(逐级计算!$X$181=0,FY50+逐级计算!$C$181,FY50+逐级计算!$C$181-(10/(逐级计算!$Q$181*LN(10))*(MAX((LN(10^(逐级计算!$Q$181/10)-1)+逐级计算!$Q$181*(FY50-逐级计算!$P$181)*LN(10)/10),0)+LN(1+EXP(-ABS((LN(10^(逐级计算!$Q$181/10)-1)+逐级计算!$Q$181*(FY50-逐级计算!$P$181)*LN(10)/10))))))),"")</f>
        <v>13.7930365742109</v>
      </c>
      <c r="GA50">
        <f>IF(AND(ISNUMBER(FZ50),逐级计算!$X$182&gt;-1),IF(逐级计算!$X$182=0,FZ50+逐级计算!$C$182,FZ50+逐级计算!$C$182-(10/(逐级计算!$Q$182*LN(10))*(MAX((LN(10^(逐级计算!$Q$182/10)-1)+逐级计算!$Q$182*(FZ50-逐级计算!$P$182)*LN(10)/10),0)+LN(1+EXP(-ABS((LN(10^(逐级计算!$Q$182/10)-1)+逐级计算!$Q$182*(FZ50-逐级计算!$P$182)*LN(10)/10))))))),"")</f>
        <v>13.7930365742109</v>
      </c>
      <c r="GB50">
        <f>IF(AND(ISNUMBER(GA50),逐级计算!$X$183&gt;-1),IF(逐级计算!$X$183=0,GA50+逐级计算!$C$183,GA50+逐级计算!$C$183-(10/(逐级计算!$Q$183*LN(10))*(MAX((LN(10^(逐级计算!$Q$183/10)-1)+逐级计算!$Q$183*(GA50-逐级计算!$P$183)*LN(10)/10),0)+LN(1+EXP(-ABS((LN(10^(逐级计算!$Q$183/10)-1)+逐级计算!$Q$183*(GA50-逐级计算!$P$183)*LN(10)/10))))))),"")</f>
        <v>13.7930365742109</v>
      </c>
      <c r="GC50">
        <f>IF(AND(ISNUMBER(GB50),逐级计算!$X$184&gt;-1),IF(逐级计算!$X$184=0,GB50+逐级计算!$C$184,GB50+逐级计算!$C$184-(10/(逐级计算!$Q$184*LN(10))*(MAX((LN(10^(逐级计算!$Q$184/10)-1)+逐级计算!$Q$184*(GB50-逐级计算!$P$184)*LN(10)/10),0)+LN(1+EXP(-ABS((LN(10^(逐级计算!$Q$184/10)-1)+逐级计算!$Q$184*(GB50-逐级计算!$P$184)*LN(10)/10))))))),"")</f>
        <v>13.7930365742109</v>
      </c>
      <c r="GD50">
        <f>IF(AND(ISNUMBER(GC50),逐级计算!$X$185&gt;-1),IF(逐级计算!$X$185=0,GC50+逐级计算!$C$185,GC50+逐级计算!$C$185-(10/(逐级计算!$Q$185*LN(10))*(MAX((LN(10^(逐级计算!$Q$185/10)-1)+逐级计算!$Q$185*(GC50-逐级计算!$P$185)*LN(10)/10),0)+LN(1+EXP(-ABS((LN(10^(逐级计算!$Q$185/10)-1)+逐级计算!$Q$185*(GC50-逐级计算!$P$185)*LN(10)/10))))))),"")</f>
        <v>13.7930365742109</v>
      </c>
      <c r="GE50">
        <f>IF(AND(ISNUMBER(GD50),逐级计算!$X$186&gt;-1),IF(逐级计算!$X$186=0,GD50+逐级计算!$C$186,GD50+逐级计算!$C$186-(10/(逐级计算!$Q$186*LN(10))*(MAX((LN(10^(逐级计算!$Q$186/10)-1)+逐级计算!$Q$186*(GD50-逐级计算!$P$186)*LN(10)/10),0)+LN(1+EXP(-ABS((LN(10^(逐级计算!$Q$186/10)-1)+逐级计算!$Q$186*(GD50-逐级计算!$P$186)*LN(10)/10))))))),"")</f>
        <v>13.7930365742109</v>
      </c>
      <c r="GF50">
        <f>IF(AND(ISNUMBER(GE50),逐级计算!$X$187&gt;-1),IF(逐级计算!$X$187=0,GE50+逐级计算!$C$187,GE50+逐级计算!$C$187-(10/(逐级计算!$Q$187*LN(10))*(MAX((LN(10^(逐级计算!$Q$187/10)-1)+逐级计算!$Q$187*(GE50-逐级计算!$P$187)*LN(10)/10),0)+LN(1+EXP(-ABS((LN(10^(逐级计算!$Q$187/10)-1)+逐级计算!$Q$187*(GE50-逐级计算!$P$187)*LN(10)/10))))))),"")</f>
        <v>13.7930365742109</v>
      </c>
      <c r="GG50">
        <f>IF(AND(ISNUMBER(GF50),逐级计算!$X$188&gt;-1),IF(逐级计算!$X$188=0,GF50+逐级计算!$C$188,GF50+逐级计算!$C$188-(10/(逐级计算!$Q$188*LN(10))*(MAX((LN(10^(逐级计算!$Q$188/10)-1)+逐级计算!$Q$188*(GF50-逐级计算!$P$188)*LN(10)/10),0)+LN(1+EXP(-ABS((LN(10^(逐级计算!$Q$188/10)-1)+逐级计算!$Q$188*(GF50-逐级计算!$P$188)*LN(10)/10))))))),"")</f>
        <v>13.7930365742109</v>
      </c>
      <c r="GH50">
        <f>IF(AND(ISNUMBER(GG50),逐级计算!$X$189&gt;-1),IF(逐级计算!$X$189=0,GG50+逐级计算!$C$189,GG50+逐级计算!$C$189-(10/(逐级计算!$Q$189*LN(10))*(MAX((LN(10^(逐级计算!$Q$189/10)-1)+逐级计算!$Q$189*(GG50-逐级计算!$P$189)*LN(10)/10),0)+LN(1+EXP(-ABS((LN(10^(逐级计算!$Q$189/10)-1)+逐级计算!$Q$189*(GG50-逐级计算!$P$189)*LN(10)/10))))))),"")</f>
        <v>13.7930365742109</v>
      </c>
      <c r="GI50">
        <f>IF(AND(ISNUMBER(GH50),逐级计算!$X$190&gt;-1),IF(逐级计算!$X$190=0,GH50+逐级计算!$C$190,GH50+逐级计算!$C$190-(10/(逐级计算!$Q$190*LN(10))*(MAX((LN(10^(逐级计算!$Q$190/10)-1)+逐级计算!$Q$190*(GH50-逐级计算!$P$190)*LN(10)/10),0)+LN(1+EXP(-ABS((LN(10^(逐级计算!$Q$190/10)-1)+逐级计算!$Q$190*(GH50-逐级计算!$P$190)*LN(10)/10))))))),"")</f>
        <v>13.7930365742109</v>
      </c>
      <c r="GJ50">
        <f>IF(AND(ISNUMBER(GI50),逐级计算!$X$191&gt;-1),IF(逐级计算!$X$191=0,GI50+逐级计算!$C$191,GI50+逐级计算!$C$191-(10/(逐级计算!$Q$191*LN(10))*(MAX((LN(10^(逐级计算!$Q$191/10)-1)+逐级计算!$Q$191*(GI50-逐级计算!$P$191)*LN(10)/10),0)+LN(1+EXP(-ABS((LN(10^(逐级计算!$Q$191/10)-1)+逐级计算!$Q$191*(GI50-逐级计算!$P$191)*LN(10)/10))))))),"")</f>
        <v>13.7930365742109</v>
      </c>
      <c r="GK50">
        <f>IF(AND(ISNUMBER(GJ50),逐级计算!$X$192&gt;-1),IF(逐级计算!$X$192=0,GJ50+逐级计算!$C$192,GJ50+逐级计算!$C$192-(10/(逐级计算!$Q$192*LN(10))*(MAX((LN(10^(逐级计算!$Q$192/10)-1)+逐级计算!$Q$192*(GJ50-逐级计算!$P$192)*LN(10)/10),0)+LN(1+EXP(-ABS((LN(10^(逐级计算!$Q$192/10)-1)+逐级计算!$Q$192*(GJ50-逐级计算!$P$192)*LN(10)/10))))))),"")</f>
        <v>13.7930365742109</v>
      </c>
      <c r="GL50">
        <f>IF(AND(ISNUMBER(GK50),逐级计算!$X$193&gt;-1),IF(逐级计算!$X$193=0,GK50+逐级计算!$C$193,GK50+逐级计算!$C$193-(10/(逐级计算!$Q$193*LN(10))*(MAX((LN(10^(逐级计算!$Q$193/10)-1)+逐级计算!$Q$193*(GK50-逐级计算!$P$193)*LN(10)/10),0)+LN(1+EXP(-ABS((LN(10^(逐级计算!$Q$193/10)-1)+逐级计算!$Q$193*(GK50-逐级计算!$P$193)*LN(10)/10))))))),"")</f>
        <v>13.7930365742109</v>
      </c>
      <c r="GM50">
        <f>IF(AND(ISNUMBER(GL50),逐级计算!$X$194&gt;-1),IF(逐级计算!$X$194=0,GL50+逐级计算!$C$194,GL50+逐级计算!$C$194-(10/(逐级计算!$Q$194*LN(10))*(MAX((LN(10^(逐级计算!$Q$194/10)-1)+逐级计算!$Q$194*(GL50-逐级计算!$P$194)*LN(10)/10),0)+LN(1+EXP(-ABS((LN(10^(逐级计算!$Q$194/10)-1)+逐级计算!$Q$194*(GL50-逐级计算!$P$194)*LN(10)/10))))))),"")</f>
        <v>13.7930365742109</v>
      </c>
      <c r="GN50">
        <f>IF(AND(ISNUMBER(GM50),逐级计算!$X$195&gt;-1),IF(逐级计算!$X$195=0,GM50+逐级计算!$C$195,GM50+逐级计算!$C$195-(10/(逐级计算!$Q$195*LN(10))*(MAX((LN(10^(逐级计算!$Q$195/10)-1)+逐级计算!$Q$195*(GM50-逐级计算!$P$195)*LN(10)/10),0)+LN(1+EXP(-ABS((LN(10^(逐级计算!$Q$195/10)-1)+逐级计算!$Q$195*(GM50-逐级计算!$P$195)*LN(10)/10))))))),"")</f>
        <v>13.7930365742109</v>
      </c>
      <c r="GO50">
        <f>IF(AND(ISNUMBER(GN50),逐级计算!$X$196&gt;-1),IF(逐级计算!$X$196=0,GN50+逐级计算!$C$196,GN50+逐级计算!$C$196-(10/(逐级计算!$Q$196*LN(10))*(MAX((LN(10^(逐级计算!$Q$196/10)-1)+逐级计算!$Q$196*(GN50-逐级计算!$P$196)*LN(10)/10),0)+LN(1+EXP(-ABS((LN(10^(逐级计算!$Q$196/10)-1)+逐级计算!$Q$196*(GN50-逐级计算!$P$196)*LN(10)/10))))))),"")</f>
        <v>13.7930365742109</v>
      </c>
      <c r="GP50">
        <f>IF(AND(ISNUMBER(GO50),逐级计算!$X$197&gt;-1),IF(逐级计算!$X$197=0,GO50+逐级计算!$C$197,GO50+逐级计算!$C$197-(10/(逐级计算!$Q$197*LN(10))*(MAX((LN(10^(逐级计算!$Q$197/10)-1)+逐级计算!$Q$197*(GO50-逐级计算!$P$197)*LN(10)/10),0)+LN(1+EXP(-ABS((LN(10^(逐级计算!$Q$197/10)-1)+逐级计算!$Q$197*(GO50-逐级计算!$P$197)*LN(10)/10))))))),"")</f>
        <v>13.7930365742109</v>
      </c>
      <c r="GQ50">
        <f>IF(AND(ISNUMBER(GP50),逐级计算!$X$198&gt;-1),IF(逐级计算!$X$198=0,GP50+逐级计算!$C$198,GP50+逐级计算!$C$198-(10/(逐级计算!$Q$198*LN(10))*(MAX((LN(10^(逐级计算!$Q$198/10)-1)+逐级计算!$Q$198*(GP50-逐级计算!$P$198)*LN(10)/10),0)+LN(1+EXP(-ABS((LN(10^(逐级计算!$Q$198/10)-1)+逐级计算!$Q$198*(GP50-逐级计算!$P$198)*LN(10)/10))))))),"")</f>
        <v>13.7930365742109</v>
      </c>
      <c r="GR50">
        <f>IF(AND(ISNUMBER(GQ50),逐级计算!$X$199&gt;-1),IF(逐级计算!$X$199=0,GQ50+逐级计算!$C$199,GQ50+逐级计算!$C$199-(10/(逐级计算!$Q$199*LN(10))*(MAX((LN(10^(逐级计算!$Q$199/10)-1)+逐级计算!$Q$199*(GQ50-逐级计算!$P$199)*LN(10)/10),0)+LN(1+EXP(-ABS((LN(10^(逐级计算!$Q$199/10)-1)+逐级计算!$Q$199*(GQ50-逐级计算!$P$199)*LN(10)/10))))))),"")</f>
        <v>13.7930365742109</v>
      </c>
      <c r="GS50">
        <f>IF(AND(ISNUMBER(GR50),逐级计算!$X$200&gt;-1),IF(逐级计算!$X$200=0,GR50+逐级计算!$C$200,GR50+逐级计算!$C$200-(10/(逐级计算!$Q$200*LN(10))*(MAX((LN(10^(逐级计算!$Q$200/10)-1)+逐级计算!$Q$200*(GR50-逐级计算!$P$200)*LN(10)/10),0)+LN(1+EXP(-ABS((LN(10^(逐级计算!$Q$200/10)-1)+逐级计算!$Q$200*(GR50-逐级计算!$P$200)*LN(10)/10))))))),"")</f>
        <v>13.7930365742109</v>
      </c>
      <c r="GT50">
        <f>IF(AND(ISNUMBER(GS50),逐级计算!$X$201&gt;-1),IF(逐级计算!$X$201=0,GS50+逐级计算!$C$201,GS50+逐级计算!$C$201-(10/(逐级计算!$Q$201*LN(10))*(MAX((LN(10^(逐级计算!$Q$201/10)-1)+逐级计算!$Q$201*(GS50-逐级计算!$P$201)*LN(10)/10),0)+LN(1+EXP(-ABS((LN(10^(逐级计算!$Q$201/10)-1)+逐级计算!$Q$201*(GS50-逐级计算!$P$201)*LN(10)/10))))))),"")</f>
        <v>13.7930365742109</v>
      </c>
      <c r="GU50">
        <f>IF(AND(ISNUMBER(GT50),逐级计算!$X$202&gt;-1),IF(逐级计算!$X$202=0,GT50+逐级计算!$C$202,GT50+逐级计算!$C$202-(10/(逐级计算!$Q$202*LN(10))*(MAX((LN(10^(逐级计算!$Q$202/10)-1)+逐级计算!$Q$202*(GT50-逐级计算!$P$202)*LN(10)/10),0)+LN(1+EXP(-ABS((LN(10^(逐级计算!$Q$202/10)-1)+逐级计算!$Q$202*(GT50-逐级计算!$P$202)*LN(10)/10))))))),"")</f>
        <v>13.7930365742109</v>
      </c>
      <c r="GV50">
        <f>IF(AND(ISNUMBER(GU50),逐级计算!$X$203&gt;-1),IF(逐级计算!$X$203=0,GU50+逐级计算!$C$203,GU50+逐级计算!$C$203-(10/(逐级计算!$Q$203*LN(10))*(MAX((LN(10^(逐级计算!$Q$203/10)-1)+逐级计算!$Q$203*(GU50-逐级计算!$P$203)*LN(10)/10),0)+LN(1+EXP(-ABS((LN(10^(逐级计算!$Q$203/10)-1)+逐级计算!$Q$203*(GU50-逐级计算!$P$203)*LN(10)/10))))))),"")</f>
        <v>13.7930365742109</v>
      </c>
      <c r="GW50">
        <f t="shared" si="2"/>
        <v>-5.20696342577594</v>
      </c>
    </row>
    <row r="51" spans="1:205">
      <c r="A51">
        <v>44</v>
      </c>
      <c r="B51">
        <f t="shared" si="1"/>
        <v>-5.20696342579981</v>
      </c>
      <c r="C51">
        <f t="shared" si="0"/>
        <v>-5.20696342579384</v>
      </c>
      <c r="D51">
        <f>IF(AND(ISNUMBER(C51),ISNUMBER(逐级计算!$E$203),ISNUMBER(GV51)),C51+逐级计算!$E$203-GV51,"")</f>
        <v>0.999999999998996</v>
      </c>
      <c r="E51">
        <f>IF(AND(ISNUMBER(C51),逐级计算!$X$4&gt;-1),IF(逐级计算!$X$4=0,C51+逐级计算!$C$4,C51+逐级计算!$C$4-(10/(逐级计算!$Q$4*LN(10))*(MAX((LN(10^(逐级计算!$Q$4/10)-1)+逐级计算!$Q$4*(C51-逐级计算!$P$4)*LN(10)/10),0)+LN(1+EXP(-ABS((LN(10^(逐级计算!$Q$4/10)-1)+逐级计算!$Q$4*(C51-逐级计算!$P$4)*LN(10)/10))))))),"")</f>
        <v>4.68053982928052</v>
      </c>
      <c r="F51">
        <f>IF(AND(ISNUMBER(E51),逐级计算!$X$5&gt;-1),IF(逐级计算!$X$5=0,E51+逐级计算!$C$5,E51+逐级计算!$C$5-(10/(逐级计算!$Q$5*LN(10))*(MAX((LN(10^(逐级计算!$Q$5/10)-1)+逐级计算!$Q$5*(E51-逐级计算!$P$5)*LN(10)/10),0)+LN(1+EXP(-ABS((LN(10^(逐级计算!$Q$5/10)-1)+逐级计算!$Q$5*(E51-逐级计算!$P$5)*LN(10)/10))))))),"")</f>
        <v>13.7930365742072</v>
      </c>
      <c r="G51">
        <f>IF(AND(ISNUMBER(F51),逐级计算!$X$6&gt;-1),IF(逐级计算!$X$6=0,F51+逐级计算!$C$6,F51+逐级计算!$C$6-(10/(逐级计算!$Q$6*LN(10))*(MAX((LN(10^(逐级计算!$Q$6/10)-1)+逐级计算!$Q$6*(F51-逐级计算!$P$6)*LN(10)/10),0)+LN(1+EXP(-ABS((LN(10^(逐级计算!$Q$6/10)-1)+逐级计算!$Q$6*(F51-逐级计算!$P$6)*LN(10)/10))))))),"")</f>
        <v>13.7930365742072</v>
      </c>
      <c r="H51">
        <f>IF(AND(ISNUMBER(G51),逐级计算!$X$7&gt;-1),IF(逐级计算!$X$7=0,G51+逐级计算!$C$7,G51+逐级计算!$C$7-(10/(逐级计算!$Q$7*LN(10))*(MAX((LN(10^(逐级计算!$Q$7/10)-1)+逐级计算!$Q$7*(G51-逐级计算!$P$7)*LN(10)/10),0)+LN(1+EXP(-ABS((LN(10^(逐级计算!$Q$7/10)-1)+逐级计算!$Q$7*(G51-逐级计算!$P$7)*LN(10)/10))))))),"")</f>
        <v>13.7930365742072</v>
      </c>
      <c r="I51">
        <f>IF(AND(ISNUMBER(H51),逐级计算!$X$8&gt;-1),IF(逐级计算!$X$8=0,H51+逐级计算!$C$8,H51+逐级计算!$C$8-(10/(逐级计算!$Q$8*LN(10))*(MAX((LN(10^(逐级计算!$Q$8/10)-1)+逐级计算!$Q$8*(H51-逐级计算!$P$8)*LN(10)/10),0)+LN(1+EXP(-ABS((LN(10^(逐级计算!$Q$8/10)-1)+逐级计算!$Q$8*(H51-逐级计算!$P$8)*LN(10)/10))))))),"")</f>
        <v>13.7930365742072</v>
      </c>
      <c r="J51">
        <f>IF(AND(ISNUMBER(I51),逐级计算!$X$9&gt;-1),IF(逐级计算!$X$9=0,I51+逐级计算!$C$9,I51+逐级计算!$C$9-(10/(逐级计算!$Q$9*LN(10))*(MAX((LN(10^(逐级计算!$Q$9/10)-1)+逐级计算!$Q$9*(I51-逐级计算!$P$9)*LN(10)/10),0)+LN(1+EXP(-ABS((LN(10^(逐级计算!$Q$9/10)-1)+逐级计算!$Q$9*(I51-逐级计算!$P$9)*LN(10)/10))))))),"")</f>
        <v>13.7930365742072</v>
      </c>
      <c r="K51">
        <f>IF(AND(ISNUMBER(J51),逐级计算!$X$10&gt;-1),IF(逐级计算!$X$10=0,J51+逐级计算!$C$10,J51+逐级计算!$C$10-(10/(逐级计算!$Q$10*LN(10))*(MAX((LN(10^(逐级计算!$Q$10/10)-1)+逐级计算!$Q$10*(J51-逐级计算!$P$10)*LN(10)/10),0)+LN(1+EXP(-ABS((LN(10^(逐级计算!$Q$10/10)-1)+逐级计算!$Q$10*(J51-逐级计算!$P$10)*LN(10)/10))))))),"")</f>
        <v>13.7930365742072</v>
      </c>
      <c r="L51">
        <f>IF(AND(ISNUMBER(K51),逐级计算!$X$11&gt;-1),IF(逐级计算!$X$11=0,K51+逐级计算!$C$11,K51+逐级计算!$C$11-(10/(逐级计算!$Q$11*LN(10))*(MAX((LN(10^(逐级计算!$Q$11/10)-1)+逐级计算!$Q$11*(K51-逐级计算!$P$11)*LN(10)/10),0)+LN(1+EXP(-ABS((LN(10^(逐级计算!$Q$11/10)-1)+逐级计算!$Q$11*(K51-逐级计算!$P$11)*LN(10)/10))))))),"")</f>
        <v>13.7930365742072</v>
      </c>
      <c r="M51">
        <f>IF(AND(ISNUMBER(L51),逐级计算!$X$12&gt;-1),IF(逐级计算!$X$12=0,L51+逐级计算!$C$12,L51+逐级计算!$C$12-(10/(逐级计算!$Q$12*LN(10))*(MAX((LN(10^(逐级计算!$Q$12/10)-1)+逐级计算!$Q$12*(L51-逐级计算!$P$12)*LN(10)/10),0)+LN(1+EXP(-ABS((LN(10^(逐级计算!$Q$12/10)-1)+逐级计算!$Q$12*(L51-逐级计算!$P$12)*LN(10)/10))))))),"")</f>
        <v>13.7930365742072</v>
      </c>
      <c r="N51">
        <f>IF(AND(ISNUMBER(M51),逐级计算!$X$13&gt;-1),IF(逐级计算!$X$13=0,M51+逐级计算!$C$13,M51+逐级计算!$C$13-(10/(逐级计算!$Q$13*LN(10))*(MAX((LN(10^(逐级计算!$Q$13/10)-1)+逐级计算!$Q$13*(M51-逐级计算!$P$13)*LN(10)/10),0)+LN(1+EXP(-ABS((LN(10^(逐级计算!$Q$13/10)-1)+逐级计算!$Q$13*(M51-逐级计算!$P$13)*LN(10)/10))))))),"")</f>
        <v>13.7930365742072</v>
      </c>
      <c r="O51">
        <f>IF(AND(ISNUMBER(N51),逐级计算!$X$14&gt;-1),IF(逐级计算!$X$14=0,N51+逐级计算!$C$14,N51+逐级计算!$C$14-(10/(逐级计算!$Q$14*LN(10))*(MAX((LN(10^(逐级计算!$Q$14/10)-1)+逐级计算!$Q$14*(N51-逐级计算!$P$14)*LN(10)/10),0)+LN(1+EXP(-ABS((LN(10^(逐级计算!$Q$14/10)-1)+逐级计算!$Q$14*(N51-逐级计算!$P$14)*LN(10)/10))))))),"")</f>
        <v>13.7930365742072</v>
      </c>
      <c r="P51">
        <f>IF(AND(ISNUMBER(O51),逐级计算!$X$15&gt;-1),IF(逐级计算!$X$15=0,O51+逐级计算!$C$15,O51+逐级计算!$C$15-(10/(逐级计算!$Q$15*LN(10))*(MAX((LN(10^(逐级计算!$Q$15/10)-1)+逐级计算!$Q$15*(O51-逐级计算!$P$15)*LN(10)/10),0)+LN(1+EXP(-ABS((LN(10^(逐级计算!$Q$15/10)-1)+逐级计算!$Q$15*(O51-逐级计算!$P$15)*LN(10)/10))))))),"")</f>
        <v>13.7930365742072</v>
      </c>
      <c r="Q51">
        <f>IF(AND(ISNUMBER(P51),逐级计算!$X$16&gt;-1),IF(逐级计算!$X$16=0,P51+逐级计算!$C$16,P51+逐级计算!$C$16-(10/(逐级计算!$Q$16*LN(10))*(MAX((LN(10^(逐级计算!$Q$16/10)-1)+逐级计算!$Q$16*(P51-逐级计算!$P$16)*LN(10)/10),0)+LN(1+EXP(-ABS((LN(10^(逐级计算!$Q$16/10)-1)+逐级计算!$Q$16*(P51-逐级计算!$P$16)*LN(10)/10))))))),"")</f>
        <v>13.7930365742072</v>
      </c>
      <c r="R51">
        <f>IF(AND(ISNUMBER(Q51),逐级计算!$X$17&gt;-1),IF(逐级计算!$X$17=0,Q51+逐级计算!$C$17,Q51+逐级计算!$C$17-(10/(逐级计算!$Q$17*LN(10))*(MAX((LN(10^(逐级计算!$Q$17/10)-1)+逐级计算!$Q$17*(Q51-逐级计算!$P$17)*LN(10)/10),0)+LN(1+EXP(-ABS((LN(10^(逐级计算!$Q$17/10)-1)+逐级计算!$Q$17*(Q51-逐级计算!$P$17)*LN(10)/10))))))),"")</f>
        <v>13.7930365742072</v>
      </c>
      <c r="S51">
        <f>IF(AND(ISNUMBER(R51),逐级计算!$X$18&gt;-1),IF(逐级计算!$X$18=0,R51+逐级计算!$C$18,R51+逐级计算!$C$18-(10/(逐级计算!$Q$18*LN(10))*(MAX((LN(10^(逐级计算!$Q$18/10)-1)+逐级计算!$Q$18*(R51-逐级计算!$P$18)*LN(10)/10),0)+LN(1+EXP(-ABS((LN(10^(逐级计算!$Q$18/10)-1)+逐级计算!$Q$18*(R51-逐级计算!$P$18)*LN(10)/10))))))),"")</f>
        <v>13.7930365742072</v>
      </c>
      <c r="T51">
        <f>IF(AND(ISNUMBER(S51),逐级计算!$X$19&gt;-1),IF(逐级计算!$X$19=0,S51+逐级计算!$C$19,S51+逐级计算!$C$19-(10/(逐级计算!$Q$19*LN(10))*(MAX((LN(10^(逐级计算!$Q$19/10)-1)+逐级计算!$Q$19*(S51-逐级计算!$P$19)*LN(10)/10),0)+LN(1+EXP(-ABS((LN(10^(逐级计算!$Q$19/10)-1)+逐级计算!$Q$19*(S51-逐级计算!$P$19)*LN(10)/10))))))),"")</f>
        <v>13.7930365742072</v>
      </c>
      <c r="U51">
        <f>IF(AND(ISNUMBER(T51),逐级计算!$X$20&gt;-1),IF(逐级计算!$X$20=0,T51+逐级计算!$C$20,T51+逐级计算!$C$20-(10/(逐级计算!$Q$20*LN(10))*(MAX((LN(10^(逐级计算!$Q$20/10)-1)+逐级计算!$Q$20*(T51-逐级计算!$P$20)*LN(10)/10),0)+LN(1+EXP(-ABS((LN(10^(逐级计算!$Q$20/10)-1)+逐级计算!$Q$20*(T51-逐级计算!$P$20)*LN(10)/10))))))),"")</f>
        <v>13.7930365742072</v>
      </c>
      <c r="V51">
        <f>IF(AND(ISNUMBER(U51),逐级计算!$X$21&gt;-1),IF(逐级计算!$X$21=0,U51+逐级计算!$C$21,U51+逐级计算!$C$21-(10/(逐级计算!$Q$21*LN(10))*(MAX((LN(10^(逐级计算!$Q$21/10)-1)+逐级计算!$Q$21*(U51-逐级计算!$P$21)*LN(10)/10),0)+LN(1+EXP(-ABS((LN(10^(逐级计算!$Q$21/10)-1)+逐级计算!$Q$21*(U51-逐级计算!$P$21)*LN(10)/10))))))),"")</f>
        <v>13.7930365742072</v>
      </c>
      <c r="W51">
        <f>IF(AND(ISNUMBER(V51),逐级计算!$X$22&gt;-1),IF(逐级计算!$X$22=0,V51+逐级计算!$C$22,V51+逐级计算!$C$22-(10/(逐级计算!$Q$22*LN(10))*(MAX((LN(10^(逐级计算!$Q$22/10)-1)+逐级计算!$Q$22*(V51-逐级计算!$P$22)*LN(10)/10),0)+LN(1+EXP(-ABS((LN(10^(逐级计算!$Q$22/10)-1)+逐级计算!$Q$22*(V51-逐级计算!$P$22)*LN(10)/10))))))),"")</f>
        <v>13.7930365742072</v>
      </c>
      <c r="X51">
        <f>IF(AND(ISNUMBER(W51),逐级计算!$X$23&gt;-1),IF(逐级计算!$X$23=0,W51+逐级计算!$C$23,W51+逐级计算!$C$23-(10/(逐级计算!$Q$23*LN(10))*(MAX((LN(10^(逐级计算!$Q$23/10)-1)+逐级计算!$Q$23*(W51-逐级计算!$P$23)*LN(10)/10),0)+LN(1+EXP(-ABS((LN(10^(逐级计算!$Q$23/10)-1)+逐级计算!$Q$23*(W51-逐级计算!$P$23)*LN(10)/10))))))),"")</f>
        <v>13.7930365742072</v>
      </c>
      <c r="Y51">
        <f>IF(AND(ISNUMBER(X51),逐级计算!$X$24&gt;-1),IF(逐级计算!$X$24=0,X51+逐级计算!$C$24,X51+逐级计算!$C$24-(10/(逐级计算!$Q$24*LN(10))*(MAX((LN(10^(逐级计算!$Q$24/10)-1)+逐级计算!$Q$24*(X51-逐级计算!$P$24)*LN(10)/10),0)+LN(1+EXP(-ABS((LN(10^(逐级计算!$Q$24/10)-1)+逐级计算!$Q$24*(X51-逐级计算!$P$24)*LN(10)/10))))))),"")</f>
        <v>13.7930365742072</v>
      </c>
      <c r="Z51">
        <f>IF(AND(ISNUMBER(Y51),逐级计算!$X$25&gt;-1),IF(逐级计算!$X$25=0,Y51+逐级计算!$C$25,Y51+逐级计算!$C$25-(10/(逐级计算!$Q$25*LN(10))*(MAX((LN(10^(逐级计算!$Q$25/10)-1)+逐级计算!$Q$25*(Y51-逐级计算!$P$25)*LN(10)/10),0)+LN(1+EXP(-ABS((LN(10^(逐级计算!$Q$25/10)-1)+逐级计算!$Q$25*(Y51-逐级计算!$P$25)*LN(10)/10))))))),"")</f>
        <v>13.7930365742072</v>
      </c>
      <c r="AA51">
        <f>IF(AND(ISNUMBER(Z51),逐级计算!$X$26&gt;-1),IF(逐级计算!$X$26=0,Z51+逐级计算!$C$26,Z51+逐级计算!$C$26-(10/(逐级计算!$Q$26*LN(10))*(MAX((LN(10^(逐级计算!$Q$26/10)-1)+逐级计算!$Q$26*(Z51-逐级计算!$P$26)*LN(10)/10),0)+LN(1+EXP(-ABS((LN(10^(逐级计算!$Q$26/10)-1)+逐级计算!$Q$26*(Z51-逐级计算!$P$26)*LN(10)/10))))))),"")</f>
        <v>13.7930365742072</v>
      </c>
      <c r="AB51">
        <f>IF(AND(ISNUMBER(AA51),逐级计算!$X$27&gt;-1),IF(逐级计算!$X$27=0,AA51+逐级计算!$C$27,AA51+逐级计算!$C$27-(10/(逐级计算!$Q$27*LN(10))*(MAX((LN(10^(逐级计算!$Q$27/10)-1)+逐级计算!$Q$27*(AA51-逐级计算!$P$27)*LN(10)/10),0)+LN(1+EXP(-ABS((LN(10^(逐级计算!$Q$27/10)-1)+逐级计算!$Q$27*(AA51-逐级计算!$P$27)*LN(10)/10))))))),"")</f>
        <v>13.7930365742072</v>
      </c>
      <c r="AC51">
        <f>IF(AND(ISNUMBER(AB51),逐级计算!$X$28&gt;-1),IF(逐级计算!$X$28=0,AB51+逐级计算!$C$28,AB51+逐级计算!$C$28-(10/(逐级计算!$Q$28*LN(10))*(MAX((LN(10^(逐级计算!$Q$28/10)-1)+逐级计算!$Q$28*(AB51-逐级计算!$P$28)*LN(10)/10),0)+LN(1+EXP(-ABS((LN(10^(逐级计算!$Q$28/10)-1)+逐级计算!$Q$28*(AB51-逐级计算!$P$28)*LN(10)/10))))))),"")</f>
        <v>13.7930365742072</v>
      </c>
      <c r="AD51">
        <f>IF(AND(ISNUMBER(AC51),逐级计算!$X$29&gt;-1),IF(逐级计算!$X$29=0,AC51+逐级计算!$C$29,AC51+逐级计算!$C$29-(10/(逐级计算!$Q$29*LN(10))*(MAX((LN(10^(逐级计算!$Q$29/10)-1)+逐级计算!$Q$29*(AC51-逐级计算!$P$29)*LN(10)/10),0)+LN(1+EXP(-ABS((LN(10^(逐级计算!$Q$29/10)-1)+逐级计算!$Q$29*(AC51-逐级计算!$P$29)*LN(10)/10))))))),"")</f>
        <v>13.7930365742072</v>
      </c>
      <c r="AE51">
        <f>IF(AND(ISNUMBER(AD51),逐级计算!$X$30&gt;-1),IF(逐级计算!$X$30=0,AD51+逐级计算!$C$30,AD51+逐级计算!$C$30-(10/(逐级计算!$Q$30*LN(10))*(MAX((LN(10^(逐级计算!$Q$30/10)-1)+逐级计算!$Q$30*(AD51-逐级计算!$P$30)*LN(10)/10),0)+LN(1+EXP(-ABS((LN(10^(逐级计算!$Q$30/10)-1)+逐级计算!$Q$30*(AD51-逐级计算!$P$30)*LN(10)/10))))))),"")</f>
        <v>13.7930365742072</v>
      </c>
      <c r="AF51">
        <f>IF(AND(ISNUMBER(AE51),逐级计算!$X$31&gt;-1),IF(逐级计算!$X$31=0,AE51+逐级计算!$C$31,AE51+逐级计算!$C$31-(10/(逐级计算!$Q$31*LN(10))*(MAX((LN(10^(逐级计算!$Q$31/10)-1)+逐级计算!$Q$31*(AE51-逐级计算!$P$31)*LN(10)/10),0)+LN(1+EXP(-ABS((LN(10^(逐级计算!$Q$31/10)-1)+逐级计算!$Q$31*(AE51-逐级计算!$P$31)*LN(10)/10))))))),"")</f>
        <v>13.7930365742072</v>
      </c>
      <c r="AG51">
        <f>IF(AND(ISNUMBER(AF51),逐级计算!$X$32&gt;-1),IF(逐级计算!$X$32=0,AF51+逐级计算!$C$32,AF51+逐级计算!$C$32-(10/(逐级计算!$Q$32*LN(10))*(MAX((LN(10^(逐级计算!$Q$32/10)-1)+逐级计算!$Q$32*(AF51-逐级计算!$P$32)*LN(10)/10),0)+LN(1+EXP(-ABS((LN(10^(逐级计算!$Q$32/10)-1)+逐级计算!$Q$32*(AF51-逐级计算!$P$32)*LN(10)/10))))))),"")</f>
        <v>13.7930365742072</v>
      </c>
      <c r="AH51">
        <f>IF(AND(ISNUMBER(AG51),逐级计算!$X$33&gt;-1),IF(逐级计算!$X$33=0,AG51+逐级计算!$C$33,AG51+逐级计算!$C$33-(10/(逐级计算!$Q$33*LN(10))*(MAX((LN(10^(逐级计算!$Q$33/10)-1)+逐级计算!$Q$33*(AG51-逐级计算!$P$33)*LN(10)/10),0)+LN(1+EXP(-ABS((LN(10^(逐级计算!$Q$33/10)-1)+逐级计算!$Q$33*(AG51-逐级计算!$P$33)*LN(10)/10))))))),"")</f>
        <v>13.7930365742072</v>
      </c>
      <c r="AI51">
        <f>IF(AND(ISNUMBER(AH51),逐级计算!$X$34&gt;-1),IF(逐级计算!$X$34=0,AH51+逐级计算!$C$34,AH51+逐级计算!$C$34-(10/(逐级计算!$Q$34*LN(10))*(MAX((LN(10^(逐级计算!$Q$34/10)-1)+逐级计算!$Q$34*(AH51-逐级计算!$P$34)*LN(10)/10),0)+LN(1+EXP(-ABS((LN(10^(逐级计算!$Q$34/10)-1)+逐级计算!$Q$34*(AH51-逐级计算!$P$34)*LN(10)/10))))))),"")</f>
        <v>13.7930365742072</v>
      </c>
      <c r="AJ51">
        <f>IF(AND(ISNUMBER(AI51),逐级计算!$X$35&gt;-1),IF(逐级计算!$X$35=0,AI51+逐级计算!$C$35,AI51+逐级计算!$C$35-(10/(逐级计算!$Q$35*LN(10))*(MAX((LN(10^(逐级计算!$Q$35/10)-1)+逐级计算!$Q$35*(AI51-逐级计算!$P$35)*LN(10)/10),0)+LN(1+EXP(-ABS((LN(10^(逐级计算!$Q$35/10)-1)+逐级计算!$Q$35*(AI51-逐级计算!$P$35)*LN(10)/10))))))),"")</f>
        <v>13.7930365742072</v>
      </c>
      <c r="AK51">
        <f>IF(AND(ISNUMBER(AJ51),逐级计算!$X$36&gt;-1),IF(逐级计算!$X$36=0,AJ51+逐级计算!$C$36,AJ51+逐级计算!$C$36-(10/(逐级计算!$Q$36*LN(10))*(MAX((LN(10^(逐级计算!$Q$36/10)-1)+逐级计算!$Q$36*(AJ51-逐级计算!$P$36)*LN(10)/10),0)+LN(1+EXP(-ABS((LN(10^(逐级计算!$Q$36/10)-1)+逐级计算!$Q$36*(AJ51-逐级计算!$P$36)*LN(10)/10))))))),"")</f>
        <v>13.7930365742072</v>
      </c>
      <c r="AL51">
        <f>IF(AND(ISNUMBER(AK51),逐级计算!$X$37&gt;-1),IF(逐级计算!$X$37=0,AK51+逐级计算!$C$37,AK51+逐级计算!$C$37-(10/(逐级计算!$Q$37*LN(10))*(MAX((LN(10^(逐级计算!$Q$37/10)-1)+逐级计算!$Q$37*(AK51-逐级计算!$P$37)*LN(10)/10),0)+LN(1+EXP(-ABS((LN(10^(逐级计算!$Q$37/10)-1)+逐级计算!$Q$37*(AK51-逐级计算!$P$37)*LN(10)/10))))))),"")</f>
        <v>13.7930365742072</v>
      </c>
      <c r="AM51">
        <f>IF(AND(ISNUMBER(AL51),逐级计算!$X$38&gt;-1),IF(逐级计算!$X$38=0,AL51+逐级计算!$C$38,AL51+逐级计算!$C$38-(10/(逐级计算!$Q$38*LN(10))*(MAX((LN(10^(逐级计算!$Q$38/10)-1)+逐级计算!$Q$38*(AL51-逐级计算!$P$38)*LN(10)/10),0)+LN(1+EXP(-ABS((LN(10^(逐级计算!$Q$38/10)-1)+逐级计算!$Q$38*(AL51-逐级计算!$P$38)*LN(10)/10))))))),"")</f>
        <v>13.7930365742072</v>
      </c>
      <c r="AN51">
        <f>IF(AND(ISNUMBER(AM51),逐级计算!$X$39&gt;-1),IF(逐级计算!$X$39=0,AM51+逐级计算!$C$39,AM51+逐级计算!$C$39-(10/(逐级计算!$Q$39*LN(10))*(MAX((LN(10^(逐级计算!$Q$39/10)-1)+逐级计算!$Q$39*(AM51-逐级计算!$P$39)*LN(10)/10),0)+LN(1+EXP(-ABS((LN(10^(逐级计算!$Q$39/10)-1)+逐级计算!$Q$39*(AM51-逐级计算!$P$39)*LN(10)/10))))))),"")</f>
        <v>13.7930365742072</v>
      </c>
      <c r="AO51">
        <f>IF(AND(ISNUMBER(AN51),逐级计算!$X$40&gt;-1),IF(逐级计算!$X$40=0,AN51+逐级计算!$C$40,AN51+逐级计算!$C$40-(10/(逐级计算!$Q$40*LN(10))*(MAX((LN(10^(逐级计算!$Q$40/10)-1)+逐级计算!$Q$40*(AN51-逐级计算!$P$40)*LN(10)/10),0)+LN(1+EXP(-ABS((LN(10^(逐级计算!$Q$40/10)-1)+逐级计算!$Q$40*(AN51-逐级计算!$P$40)*LN(10)/10))))))),"")</f>
        <v>13.7930365742072</v>
      </c>
      <c r="AP51">
        <f>IF(AND(ISNUMBER(AO51),逐级计算!$X$41&gt;-1),IF(逐级计算!$X$41=0,AO51+逐级计算!$C$41,AO51+逐级计算!$C$41-(10/(逐级计算!$Q$41*LN(10))*(MAX((LN(10^(逐级计算!$Q$41/10)-1)+逐级计算!$Q$41*(AO51-逐级计算!$P$41)*LN(10)/10),0)+LN(1+EXP(-ABS((LN(10^(逐级计算!$Q$41/10)-1)+逐级计算!$Q$41*(AO51-逐级计算!$P$41)*LN(10)/10))))))),"")</f>
        <v>13.7930365742072</v>
      </c>
      <c r="AQ51">
        <f>IF(AND(ISNUMBER(AP51),逐级计算!$X$42&gt;-1),IF(逐级计算!$X$42=0,AP51+逐级计算!$C$42,AP51+逐级计算!$C$42-(10/(逐级计算!$Q$42*LN(10))*(MAX((LN(10^(逐级计算!$Q$42/10)-1)+逐级计算!$Q$42*(AP51-逐级计算!$P$42)*LN(10)/10),0)+LN(1+EXP(-ABS((LN(10^(逐级计算!$Q$42/10)-1)+逐级计算!$Q$42*(AP51-逐级计算!$P$42)*LN(10)/10))))))),"")</f>
        <v>13.7930365742072</v>
      </c>
      <c r="AR51">
        <f>IF(AND(ISNUMBER(AQ51),逐级计算!$X$43&gt;-1),IF(逐级计算!$X$43=0,AQ51+逐级计算!$C$43,AQ51+逐级计算!$C$43-(10/(逐级计算!$Q$43*LN(10))*(MAX((LN(10^(逐级计算!$Q$43/10)-1)+逐级计算!$Q$43*(AQ51-逐级计算!$P$43)*LN(10)/10),0)+LN(1+EXP(-ABS((LN(10^(逐级计算!$Q$43/10)-1)+逐级计算!$Q$43*(AQ51-逐级计算!$P$43)*LN(10)/10))))))),"")</f>
        <v>13.7930365742072</v>
      </c>
      <c r="AS51">
        <f>IF(AND(ISNUMBER(AR51),逐级计算!$X$44&gt;-1),IF(逐级计算!$X$44=0,AR51+逐级计算!$C$44,AR51+逐级计算!$C$44-(10/(逐级计算!$Q$44*LN(10))*(MAX((LN(10^(逐级计算!$Q$44/10)-1)+逐级计算!$Q$44*(AR51-逐级计算!$P$44)*LN(10)/10),0)+LN(1+EXP(-ABS((LN(10^(逐级计算!$Q$44/10)-1)+逐级计算!$Q$44*(AR51-逐级计算!$P$44)*LN(10)/10))))))),"")</f>
        <v>13.7930365742072</v>
      </c>
      <c r="AT51">
        <f>IF(AND(ISNUMBER(AS51),逐级计算!$X$45&gt;-1),IF(逐级计算!$X$45=0,AS51+逐级计算!$C$45,AS51+逐级计算!$C$45-(10/(逐级计算!$Q$45*LN(10))*(MAX((LN(10^(逐级计算!$Q$45/10)-1)+逐级计算!$Q$45*(AS51-逐级计算!$P$45)*LN(10)/10),0)+LN(1+EXP(-ABS((LN(10^(逐级计算!$Q$45/10)-1)+逐级计算!$Q$45*(AS51-逐级计算!$P$45)*LN(10)/10))))))),"")</f>
        <v>13.7930365742072</v>
      </c>
      <c r="AU51">
        <f>IF(AND(ISNUMBER(AT51),逐级计算!$X$46&gt;-1),IF(逐级计算!$X$46=0,AT51+逐级计算!$C$46,AT51+逐级计算!$C$46-(10/(逐级计算!$Q$46*LN(10))*(MAX((LN(10^(逐级计算!$Q$46/10)-1)+逐级计算!$Q$46*(AT51-逐级计算!$P$46)*LN(10)/10),0)+LN(1+EXP(-ABS((LN(10^(逐级计算!$Q$46/10)-1)+逐级计算!$Q$46*(AT51-逐级计算!$P$46)*LN(10)/10))))))),"")</f>
        <v>13.7930365742072</v>
      </c>
      <c r="AV51">
        <f>IF(AND(ISNUMBER(AU51),逐级计算!$X$47&gt;-1),IF(逐级计算!$X$47=0,AU51+逐级计算!$C$47,AU51+逐级计算!$C$47-(10/(逐级计算!$Q$47*LN(10))*(MAX((LN(10^(逐级计算!$Q$47/10)-1)+逐级计算!$Q$47*(AU51-逐级计算!$P$47)*LN(10)/10),0)+LN(1+EXP(-ABS((LN(10^(逐级计算!$Q$47/10)-1)+逐级计算!$Q$47*(AU51-逐级计算!$P$47)*LN(10)/10))))))),"")</f>
        <v>13.7930365742072</v>
      </c>
      <c r="AW51">
        <f>IF(AND(ISNUMBER(AV51),逐级计算!$X$48&gt;-1),IF(逐级计算!$X$48=0,AV51+逐级计算!$C$48,AV51+逐级计算!$C$48-(10/(逐级计算!$Q$48*LN(10))*(MAX((LN(10^(逐级计算!$Q$48/10)-1)+逐级计算!$Q$48*(AV51-逐级计算!$P$48)*LN(10)/10),0)+LN(1+EXP(-ABS((LN(10^(逐级计算!$Q$48/10)-1)+逐级计算!$Q$48*(AV51-逐级计算!$P$48)*LN(10)/10))))))),"")</f>
        <v>13.7930365742072</v>
      </c>
      <c r="AX51">
        <f>IF(AND(ISNUMBER(AW51),逐级计算!$X$49&gt;-1),IF(逐级计算!$X$49=0,AW51+逐级计算!$C$49,AW51+逐级计算!$C$49-(10/(逐级计算!$Q$49*LN(10))*(MAX((LN(10^(逐级计算!$Q$49/10)-1)+逐级计算!$Q$49*(AW51-逐级计算!$P$49)*LN(10)/10),0)+LN(1+EXP(-ABS((LN(10^(逐级计算!$Q$49/10)-1)+逐级计算!$Q$49*(AW51-逐级计算!$P$49)*LN(10)/10))))))),"")</f>
        <v>13.7930365742072</v>
      </c>
      <c r="AY51">
        <f>IF(AND(ISNUMBER(AX51),逐级计算!$X$50&gt;-1),IF(逐级计算!$X$50=0,AX51+逐级计算!$C$50,AX51+逐级计算!$C$50-(10/(逐级计算!$Q$50*LN(10))*(MAX((LN(10^(逐级计算!$Q$50/10)-1)+逐级计算!$Q$50*(AX51-逐级计算!$P$50)*LN(10)/10),0)+LN(1+EXP(-ABS((LN(10^(逐级计算!$Q$50/10)-1)+逐级计算!$Q$50*(AX51-逐级计算!$P$50)*LN(10)/10))))))),"")</f>
        <v>13.7930365742072</v>
      </c>
      <c r="AZ51">
        <f>IF(AND(ISNUMBER(AY51),逐级计算!$X$51&gt;-1),IF(逐级计算!$X$51=0,AY51+逐级计算!$C$51,AY51+逐级计算!$C$51-(10/(逐级计算!$Q$51*LN(10))*(MAX((LN(10^(逐级计算!$Q$51/10)-1)+逐级计算!$Q$51*(AY51-逐级计算!$P$51)*LN(10)/10),0)+LN(1+EXP(-ABS((LN(10^(逐级计算!$Q$51/10)-1)+逐级计算!$Q$51*(AY51-逐级计算!$P$51)*LN(10)/10))))))),"")</f>
        <v>13.7930365742072</v>
      </c>
      <c r="BA51">
        <f>IF(AND(ISNUMBER(AZ51),逐级计算!$X$52&gt;-1),IF(逐级计算!$X$52=0,AZ51+逐级计算!$C$52,AZ51+逐级计算!$C$52-(10/(逐级计算!$Q$52*LN(10))*(MAX((LN(10^(逐级计算!$Q$52/10)-1)+逐级计算!$Q$52*(AZ51-逐级计算!$P$52)*LN(10)/10),0)+LN(1+EXP(-ABS((LN(10^(逐级计算!$Q$52/10)-1)+逐级计算!$Q$52*(AZ51-逐级计算!$P$52)*LN(10)/10))))))),"")</f>
        <v>13.7930365742072</v>
      </c>
      <c r="BB51">
        <f>IF(AND(ISNUMBER(BA51),逐级计算!$X$53&gt;-1),IF(逐级计算!$X$53=0,BA51+逐级计算!$C$53,BA51+逐级计算!$C$53-(10/(逐级计算!$Q$53*LN(10))*(MAX((LN(10^(逐级计算!$Q$53/10)-1)+逐级计算!$Q$53*(BA51-逐级计算!$P$53)*LN(10)/10),0)+LN(1+EXP(-ABS((LN(10^(逐级计算!$Q$53/10)-1)+逐级计算!$Q$53*(BA51-逐级计算!$P$53)*LN(10)/10))))))),"")</f>
        <v>13.7930365742072</v>
      </c>
      <c r="BC51">
        <f>IF(AND(ISNUMBER(BB51),逐级计算!$X$54&gt;-1),IF(逐级计算!$X$54=0,BB51+逐级计算!$C$54,BB51+逐级计算!$C$54-(10/(逐级计算!$Q$54*LN(10))*(MAX((LN(10^(逐级计算!$Q$54/10)-1)+逐级计算!$Q$54*(BB51-逐级计算!$P$54)*LN(10)/10),0)+LN(1+EXP(-ABS((LN(10^(逐级计算!$Q$54/10)-1)+逐级计算!$Q$54*(BB51-逐级计算!$P$54)*LN(10)/10))))))),"")</f>
        <v>13.7930365742072</v>
      </c>
      <c r="BD51">
        <f>IF(AND(ISNUMBER(BC51),逐级计算!$X$55&gt;-1),IF(逐级计算!$X$55=0,BC51+逐级计算!$C$55,BC51+逐级计算!$C$55-(10/(逐级计算!$Q$55*LN(10))*(MAX((LN(10^(逐级计算!$Q$55/10)-1)+逐级计算!$Q$55*(BC51-逐级计算!$P$55)*LN(10)/10),0)+LN(1+EXP(-ABS((LN(10^(逐级计算!$Q$55/10)-1)+逐级计算!$Q$55*(BC51-逐级计算!$P$55)*LN(10)/10))))))),"")</f>
        <v>13.7930365742072</v>
      </c>
      <c r="BE51">
        <f>IF(AND(ISNUMBER(BD51),逐级计算!$X$56&gt;-1),IF(逐级计算!$X$56=0,BD51+逐级计算!$C$56,BD51+逐级计算!$C$56-(10/(逐级计算!$Q$56*LN(10))*(MAX((LN(10^(逐级计算!$Q$56/10)-1)+逐级计算!$Q$56*(BD51-逐级计算!$P$56)*LN(10)/10),0)+LN(1+EXP(-ABS((LN(10^(逐级计算!$Q$56/10)-1)+逐级计算!$Q$56*(BD51-逐级计算!$P$56)*LN(10)/10))))))),"")</f>
        <v>13.7930365742072</v>
      </c>
      <c r="BF51">
        <f>IF(AND(ISNUMBER(BE51),逐级计算!$X$57&gt;-1),IF(逐级计算!$X$57=0,BE51+逐级计算!$C$57,BE51+逐级计算!$C$57-(10/(逐级计算!$Q$57*LN(10))*(MAX((LN(10^(逐级计算!$Q$57/10)-1)+逐级计算!$Q$57*(BE51-逐级计算!$P$57)*LN(10)/10),0)+LN(1+EXP(-ABS((LN(10^(逐级计算!$Q$57/10)-1)+逐级计算!$Q$57*(BE51-逐级计算!$P$57)*LN(10)/10))))))),"")</f>
        <v>13.7930365742072</v>
      </c>
      <c r="BG51">
        <f>IF(AND(ISNUMBER(BF51),逐级计算!$X$58&gt;-1),IF(逐级计算!$X$58=0,BF51+逐级计算!$C$58,BF51+逐级计算!$C$58-(10/(逐级计算!$Q$58*LN(10))*(MAX((LN(10^(逐级计算!$Q$58/10)-1)+逐级计算!$Q$58*(BF51-逐级计算!$P$58)*LN(10)/10),0)+LN(1+EXP(-ABS((LN(10^(逐级计算!$Q$58/10)-1)+逐级计算!$Q$58*(BF51-逐级计算!$P$58)*LN(10)/10))))))),"")</f>
        <v>13.7930365742072</v>
      </c>
      <c r="BH51">
        <f>IF(AND(ISNUMBER(BG51),逐级计算!$X$59&gt;-1),IF(逐级计算!$X$59=0,BG51+逐级计算!$C$59,BG51+逐级计算!$C$59-(10/(逐级计算!$Q$59*LN(10))*(MAX((LN(10^(逐级计算!$Q$59/10)-1)+逐级计算!$Q$59*(BG51-逐级计算!$P$59)*LN(10)/10),0)+LN(1+EXP(-ABS((LN(10^(逐级计算!$Q$59/10)-1)+逐级计算!$Q$59*(BG51-逐级计算!$P$59)*LN(10)/10))))))),"")</f>
        <v>13.7930365742072</v>
      </c>
      <c r="BI51">
        <f>IF(AND(ISNUMBER(BH51),逐级计算!$X$60&gt;-1),IF(逐级计算!$X$60=0,BH51+逐级计算!$C$60,BH51+逐级计算!$C$60-(10/(逐级计算!$Q$60*LN(10))*(MAX((LN(10^(逐级计算!$Q$60/10)-1)+逐级计算!$Q$60*(BH51-逐级计算!$P$60)*LN(10)/10),0)+LN(1+EXP(-ABS((LN(10^(逐级计算!$Q$60/10)-1)+逐级计算!$Q$60*(BH51-逐级计算!$P$60)*LN(10)/10))))))),"")</f>
        <v>13.7930365742072</v>
      </c>
      <c r="BJ51">
        <f>IF(AND(ISNUMBER(BI51),逐级计算!$X$61&gt;-1),IF(逐级计算!$X$61=0,BI51+逐级计算!$C$61,BI51+逐级计算!$C$61-(10/(逐级计算!$Q$61*LN(10))*(MAX((LN(10^(逐级计算!$Q$61/10)-1)+逐级计算!$Q$61*(BI51-逐级计算!$P$61)*LN(10)/10),0)+LN(1+EXP(-ABS((LN(10^(逐级计算!$Q$61/10)-1)+逐级计算!$Q$61*(BI51-逐级计算!$P$61)*LN(10)/10))))))),"")</f>
        <v>13.7930365742072</v>
      </c>
      <c r="BK51">
        <f>IF(AND(ISNUMBER(BJ51),逐级计算!$X$62&gt;-1),IF(逐级计算!$X$62=0,BJ51+逐级计算!$C$62,BJ51+逐级计算!$C$62-(10/(逐级计算!$Q$62*LN(10))*(MAX((LN(10^(逐级计算!$Q$62/10)-1)+逐级计算!$Q$62*(BJ51-逐级计算!$P$62)*LN(10)/10),0)+LN(1+EXP(-ABS((LN(10^(逐级计算!$Q$62/10)-1)+逐级计算!$Q$62*(BJ51-逐级计算!$P$62)*LN(10)/10))))))),"")</f>
        <v>13.7930365742072</v>
      </c>
      <c r="BL51">
        <f>IF(AND(ISNUMBER(BK51),逐级计算!$X$63&gt;-1),IF(逐级计算!$X$63=0,BK51+逐级计算!$C$63,BK51+逐级计算!$C$63-(10/(逐级计算!$Q$63*LN(10))*(MAX((LN(10^(逐级计算!$Q$63/10)-1)+逐级计算!$Q$63*(BK51-逐级计算!$P$63)*LN(10)/10),0)+LN(1+EXP(-ABS((LN(10^(逐级计算!$Q$63/10)-1)+逐级计算!$Q$63*(BK51-逐级计算!$P$63)*LN(10)/10))))))),"")</f>
        <v>13.7930365742072</v>
      </c>
      <c r="BM51">
        <f>IF(AND(ISNUMBER(BL51),逐级计算!$X$64&gt;-1),IF(逐级计算!$X$64=0,BL51+逐级计算!$C$64,BL51+逐级计算!$C$64-(10/(逐级计算!$Q$64*LN(10))*(MAX((LN(10^(逐级计算!$Q$64/10)-1)+逐级计算!$Q$64*(BL51-逐级计算!$P$64)*LN(10)/10),0)+LN(1+EXP(-ABS((LN(10^(逐级计算!$Q$64/10)-1)+逐级计算!$Q$64*(BL51-逐级计算!$P$64)*LN(10)/10))))))),"")</f>
        <v>13.7930365742072</v>
      </c>
      <c r="BN51">
        <f>IF(AND(ISNUMBER(BM51),逐级计算!$X$65&gt;-1),IF(逐级计算!$X$65=0,BM51+逐级计算!$C$65,BM51+逐级计算!$C$65-(10/(逐级计算!$Q$65*LN(10))*(MAX((LN(10^(逐级计算!$Q$65/10)-1)+逐级计算!$Q$65*(BM51-逐级计算!$P$65)*LN(10)/10),0)+LN(1+EXP(-ABS((LN(10^(逐级计算!$Q$65/10)-1)+逐级计算!$Q$65*(BM51-逐级计算!$P$65)*LN(10)/10))))))),"")</f>
        <v>13.7930365742072</v>
      </c>
      <c r="BO51">
        <f>IF(AND(ISNUMBER(BN51),逐级计算!$X$66&gt;-1),IF(逐级计算!$X$66=0,BN51+逐级计算!$C$66,BN51+逐级计算!$C$66-(10/(逐级计算!$Q$66*LN(10))*(MAX((LN(10^(逐级计算!$Q$66/10)-1)+逐级计算!$Q$66*(BN51-逐级计算!$P$66)*LN(10)/10),0)+LN(1+EXP(-ABS((LN(10^(逐级计算!$Q$66/10)-1)+逐级计算!$Q$66*(BN51-逐级计算!$P$66)*LN(10)/10))))))),"")</f>
        <v>13.7930365742072</v>
      </c>
      <c r="BP51">
        <f>IF(AND(ISNUMBER(BO51),逐级计算!$X$67&gt;-1),IF(逐级计算!$X$67=0,BO51+逐级计算!$C$67,BO51+逐级计算!$C$67-(10/(逐级计算!$Q$67*LN(10))*(MAX((LN(10^(逐级计算!$Q$67/10)-1)+逐级计算!$Q$67*(BO51-逐级计算!$P$67)*LN(10)/10),0)+LN(1+EXP(-ABS((LN(10^(逐级计算!$Q$67/10)-1)+逐级计算!$Q$67*(BO51-逐级计算!$P$67)*LN(10)/10))))))),"")</f>
        <v>13.7930365742072</v>
      </c>
      <c r="BQ51">
        <f>IF(AND(ISNUMBER(BP51),逐级计算!$X$68&gt;-1),IF(逐级计算!$X$68=0,BP51+逐级计算!$C$68,BP51+逐级计算!$C$68-(10/(逐级计算!$Q$68*LN(10))*(MAX((LN(10^(逐级计算!$Q$68/10)-1)+逐级计算!$Q$68*(BP51-逐级计算!$P$68)*LN(10)/10),0)+LN(1+EXP(-ABS((LN(10^(逐级计算!$Q$68/10)-1)+逐级计算!$Q$68*(BP51-逐级计算!$P$68)*LN(10)/10))))))),"")</f>
        <v>13.7930365742072</v>
      </c>
      <c r="BR51">
        <f>IF(AND(ISNUMBER(BQ51),逐级计算!$X$69&gt;-1),IF(逐级计算!$X$69=0,BQ51+逐级计算!$C$69,BQ51+逐级计算!$C$69-(10/(逐级计算!$Q$69*LN(10))*(MAX((LN(10^(逐级计算!$Q$69/10)-1)+逐级计算!$Q$69*(BQ51-逐级计算!$P$69)*LN(10)/10),0)+LN(1+EXP(-ABS((LN(10^(逐级计算!$Q$69/10)-1)+逐级计算!$Q$69*(BQ51-逐级计算!$P$69)*LN(10)/10))))))),"")</f>
        <v>13.7930365742072</v>
      </c>
      <c r="BS51">
        <f>IF(AND(ISNUMBER(BR51),逐级计算!$X$70&gt;-1),IF(逐级计算!$X$70=0,BR51+逐级计算!$C$70,BR51+逐级计算!$C$70-(10/(逐级计算!$Q$70*LN(10))*(MAX((LN(10^(逐级计算!$Q$70/10)-1)+逐级计算!$Q$70*(BR51-逐级计算!$P$70)*LN(10)/10),0)+LN(1+EXP(-ABS((LN(10^(逐级计算!$Q$70/10)-1)+逐级计算!$Q$70*(BR51-逐级计算!$P$70)*LN(10)/10))))))),"")</f>
        <v>13.7930365742072</v>
      </c>
      <c r="BT51">
        <f>IF(AND(ISNUMBER(BS51),逐级计算!$X$71&gt;-1),IF(逐级计算!$X$71=0,BS51+逐级计算!$C$71,BS51+逐级计算!$C$71-(10/(逐级计算!$Q$71*LN(10))*(MAX((LN(10^(逐级计算!$Q$71/10)-1)+逐级计算!$Q$71*(BS51-逐级计算!$P$71)*LN(10)/10),0)+LN(1+EXP(-ABS((LN(10^(逐级计算!$Q$71/10)-1)+逐级计算!$Q$71*(BS51-逐级计算!$P$71)*LN(10)/10))))))),"")</f>
        <v>13.7930365742072</v>
      </c>
      <c r="BU51">
        <f>IF(AND(ISNUMBER(BT51),逐级计算!$X$72&gt;-1),IF(逐级计算!$X$72=0,BT51+逐级计算!$C$72,BT51+逐级计算!$C$72-(10/(逐级计算!$Q$72*LN(10))*(MAX((LN(10^(逐级计算!$Q$72/10)-1)+逐级计算!$Q$72*(BT51-逐级计算!$P$72)*LN(10)/10),0)+LN(1+EXP(-ABS((LN(10^(逐级计算!$Q$72/10)-1)+逐级计算!$Q$72*(BT51-逐级计算!$P$72)*LN(10)/10))))))),"")</f>
        <v>13.7930365742072</v>
      </c>
      <c r="BV51">
        <f>IF(AND(ISNUMBER(BU51),逐级计算!$X$73&gt;-1),IF(逐级计算!$X$73=0,BU51+逐级计算!$C$73,BU51+逐级计算!$C$73-(10/(逐级计算!$Q$73*LN(10))*(MAX((LN(10^(逐级计算!$Q$73/10)-1)+逐级计算!$Q$73*(BU51-逐级计算!$P$73)*LN(10)/10),0)+LN(1+EXP(-ABS((LN(10^(逐级计算!$Q$73/10)-1)+逐级计算!$Q$73*(BU51-逐级计算!$P$73)*LN(10)/10))))))),"")</f>
        <v>13.7930365742072</v>
      </c>
      <c r="BW51">
        <f>IF(AND(ISNUMBER(BV51),逐级计算!$X$74&gt;-1),IF(逐级计算!$X$74=0,BV51+逐级计算!$C$74,BV51+逐级计算!$C$74-(10/(逐级计算!$Q$74*LN(10))*(MAX((LN(10^(逐级计算!$Q$74/10)-1)+逐级计算!$Q$74*(BV51-逐级计算!$P$74)*LN(10)/10),0)+LN(1+EXP(-ABS((LN(10^(逐级计算!$Q$74/10)-1)+逐级计算!$Q$74*(BV51-逐级计算!$P$74)*LN(10)/10))))))),"")</f>
        <v>13.7930365742072</v>
      </c>
      <c r="BX51">
        <f>IF(AND(ISNUMBER(BW51),逐级计算!$X$75&gt;-1),IF(逐级计算!$X$75=0,BW51+逐级计算!$C$75,BW51+逐级计算!$C$75-(10/(逐级计算!$Q$75*LN(10))*(MAX((LN(10^(逐级计算!$Q$75/10)-1)+逐级计算!$Q$75*(BW51-逐级计算!$P$75)*LN(10)/10),0)+LN(1+EXP(-ABS((LN(10^(逐级计算!$Q$75/10)-1)+逐级计算!$Q$75*(BW51-逐级计算!$P$75)*LN(10)/10))))))),"")</f>
        <v>13.7930365742072</v>
      </c>
      <c r="BY51">
        <f>IF(AND(ISNUMBER(BX51),逐级计算!$X$76&gt;-1),IF(逐级计算!$X$76=0,BX51+逐级计算!$C$76,BX51+逐级计算!$C$76-(10/(逐级计算!$Q$76*LN(10))*(MAX((LN(10^(逐级计算!$Q$76/10)-1)+逐级计算!$Q$76*(BX51-逐级计算!$P$76)*LN(10)/10),0)+LN(1+EXP(-ABS((LN(10^(逐级计算!$Q$76/10)-1)+逐级计算!$Q$76*(BX51-逐级计算!$P$76)*LN(10)/10))))))),"")</f>
        <v>13.7930365742072</v>
      </c>
      <c r="BZ51">
        <f>IF(AND(ISNUMBER(BY51),逐级计算!$X$77&gt;-1),IF(逐级计算!$X$77=0,BY51+逐级计算!$C$77,BY51+逐级计算!$C$77-(10/(逐级计算!$Q$77*LN(10))*(MAX((LN(10^(逐级计算!$Q$77/10)-1)+逐级计算!$Q$77*(BY51-逐级计算!$P$77)*LN(10)/10),0)+LN(1+EXP(-ABS((LN(10^(逐级计算!$Q$77/10)-1)+逐级计算!$Q$77*(BY51-逐级计算!$P$77)*LN(10)/10))))))),"")</f>
        <v>13.7930365742072</v>
      </c>
      <c r="CA51">
        <f>IF(AND(ISNUMBER(BZ51),逐级计算!$X$78&gt;-1),IF(逐级计算!$X$78=0,BZ51+逐级计算!$C$78,BZ51+逐级计算!$C$78-(10/(逐级计算!$Q$78*LN(10))*(MAX((LN(10^(逐级计算!$Q$78/10)-1)+逐级计算!$Q$78*(BZ51-逐级计算!$P$78)*LN(10)/10),0)+LN(1+EXP(-ABS((LN(10^(逐级计算!$Q$78/10)-1)+逐级计算!$Q$78*(BZ51-逐级计算!$P$78)*LN(10)/10))))))),"")</f>
        <v>13.7930365742072</v>
      </c>
      <c r="CB51">
        <f>IF(AND(ISNUMBER(CA51),逐级计算!$X$79&gt;-1),IF(逐级计算!$X$79=0,CA51+逐级计算!$C$79,CA51+逐级计算!$C$79-(10/(逐级计算!$Q$79*LN(10))*(MAX((LN(10^(逐级计算!$Q$79/10)-1)+逐级计算!$Q$79*(CA51-逐级计算!$P$79)*LN(10)/10),0)+LN(1+EXP(-ABS((LN(10^(逐级计算!$Q$79/10)-1)+逐级计算!$Q$79*(CA51-逐级计算!$P$79)*LN(10)/10))))))),"")</f>
        <v>13.7930365742072</v>
      </c>
      <c r="CC51">
        <f>IF(AND(ISNUMBER(CB51),逐级计算!$X$80&gt;-1),IF(逐级计算!$X$80=0,CB51+逐级计算!$C$80,CB51+逐级计算!$C$80-(10/(逐级计算!$Q$80*LN(10))*(MAX((LN(10^(逐级计算!$Q$80/10)-1)+逐级计算!$Q$80*(CB51-逐级计算!$P$80)*LN(10)/10),0)+LN(1+EXP(-ABS((LN(10^(逐级计算!$Q$80/10)-1)+逐级计算!$Q$80*(CB51-逐级计算!$P$80)*LN(10)/10))))))),"")</f>
        <v>13.7930365742072</v>
      </c>
      <c r="CD51">
        <f>IF(AND(ISNUMBER(CC51),逐级计算!$X$81&gt;-1),IF(逐级计算!$X$81=0,CC51+逐级计算!$C$81,CC51+逐级计算!$C$81-(10/(逐级计算!$Q$81*LN(10))*(MAX((LN(10^(逐级计算!$Q$81/10)-1)+逐级计算!$Q$81*(CC51-逐级计算!$P$81)*LN(10)/10),0)+LN(1+EXP(-ABS((LN(10^(逐级计算!$Q$81/10)-1)+逐级计算!$Q$81*(CC51-逐级计算!$P$81)*LN(10)/10))))))),"")</f>
        <v>13.7930365742072</v>
      </c>
      <c r="CE51">
        <f>IF(AND(ISNUMBER(CD51),逐级计算!$X$82&gt;-1),IF(逐级计算!$X$82=0,CD51+逐级计算!$C$82,CD51+逐级计算!$C$82-(10/(逐级计算!$Q$82*LN(10))*(MAX((LN(10^(逐级计算!$Q$82/10)-1)+逐级计算!$Q$82*(CD51-逐级计算!$P$82)*LN(10)/10),0)+LN(1+EXP(-ABS((LN(10^(逐级计算!$Q$82/10)-1)+逐级计算!$Q$82*(CD51-逐级计算!$P$82)*LN(10)/10))))))),"")</f>
        <v>13.7930365742072</v>
      </c>
      <c r="CF51">
        <f>IF(AND(ISNUMBER(CE51),逐级计算!$X$83&gt;-1),IF(逐级计算!$X$83=0,CE51+逐级计算!$C$83,CE51+逐级计算!$C$83-(10/(逐级计算!$Q$83*LN(10))*(MAX((LN(10^(逐级计算!$Q$83/10)-1)+逐级计算!$Q$83*(CE51-逐级计算!$P$83)*LN(10)/10),0)+LN(1+EXP(-ABS((LN(10^(逐级计算!$Q$83/10)-1)+逐级计算!$Q$83*(CE51-逐级计算!$P$83)*LN(10)/10))))))),"")</f>
        <v>13.7930365742072</v>
      </c>
      <c r="CG51">
        <f>IF(AND(ISNUMBER(CF51),逐级计算!$X$84&gt;-1),IF(逐级计算!$X$84=0,CF51+逐级计算!$C$84,CF51+逐级计算!$C$84-(10/(逐级计算!$Q$84*LN(10))*(MAX((LN(10^(逐级计算!$Q$84/10)-1)+逐级计算!$Q$84*(CF51-逐级计算!$P$84)*LN(10)/10),0)+LN(1+EXP(-ABS((LN(10^(逐级计算!$Q$84/10)-1)+逐级计算!$Q$84*(CF51-逐级计算!$P$84)*LN(10)/10))))))),"")</f>
        <v>13.7930365742072</v>
      </c>
      <c r="CH51">
        <f>IF(AND(ISNUMBER(CG51),逐级计算!$X$85&gt;-1),IF(逐级计算!$X$85=0,CG51+逐级计算!$C$85,CG51+逐级计算!$C$85-(10/(逐级计算!$Q$85*LN(10))*(MAX((LN(10^(逐级计算!$Q$85/10)-1)+逐级计算!$Q$85*(CG51-逐级计算!$P$85)*LN(10)/10),0)+LN(1+EXP(-ABS((LN(10^(逐级计算!$Q$85/10)-1)+逐级计算!$Q$85*(CG51-逐级计算!$P$85)*LN(10)/10))))))),"")</f>
        <v>13.7930365742072</v>
      </c>
      <c r="CI51">
        <f>IF(AND(ISNUMBER(CH51),逐级计算!$X$86&gt;-1),IF(逐级计算!$X$86=0,CH51+逐级计算!$C$86,CH51+逐级计算!$C$86-(10/(逐级计算!$Q$86*LN(10))*(MAX((LN(10^(逐级计算!$Q$86/10)-1)+逐级计算!$Q$86*(CH51-逐级计算!$P$86)*LN(10)/10),0)+LN(1+EXP(-ABS((LN(10^(逐级计算!$Q$86/10)-1)+逐级计算!$Q$86*(CH51-逐级计算!$P$86)*LN(10)/10))))))),"")</f>
        <v>13.7930365742072</v>
      </c>
      <c r="CJ51">
        <f>IF(AND(ISNUMBER(CI51),逐级计算!$X$87&gt;-1),IF(逐级计算!$X$87=0,CI51+逐级计算!$C$87,CI51+逐级计算!$C$87-(10/(逐级计算!$Q$87*LN(10))*(MAX((LN(10^(逐级计算!$Q$87/10)-1)+逐级计算!$Q$87*(CI51-逐级计算!$P$87)*LN(10)/10),0)+LN(1+EXP(-ABS((LN(10^(逐级计算!$Q$87/10)-1)+逐级计算!$Q$87*(CI51-逐级计算!$P$87)*LN(10)/10))))))),"")</f>
        <v>13.7930365742072</v>
      </c>
      <c r="CK51">
        <f>IF(AND(ISNUMBER(CJ51),逐级计算!$X$88&gt;-1),IF(逐级计算!$X$88=0,CJ51+逐级计算!$C$88,CJ51+逐级计算!$C$88-(10/(逐级计算!$Q$88*LN(10))*(MAX((LN(10^(逐级计算!$Q$88/10)-1)+逐级计算!$Q$88*(CJ51-逐级计算!$P$88)*LN(10)/10),0)+LN(1+EXP(-ABS((LN(10^(逐级计算!$Q$88/10)-1)+逐级计算!$Q$88*(CJ51-逐级计算!$P$88)*LN(10)/10))))))),"")</f>
        <v>13.7930365742072</v>
      </c>
      <c r="CL51">
        <f>IF(AND(ISNUMBER(CK51),逐级计算!$X$89&gt;-1),IF(逐级计算!$X$89=0,CK51+逐级计算!$C$89,CK51+逐级计算!$C$89-(10/(逐级计算!$Q$89*LN(10))*(MAX((LN(10^(逐级计算!$Q$89/10)-1)+逐级计算!$Q$89*(CK51-逐级计算!$P$89)*LN(10)/10),0)+LN(1+EXP(-ABS((LN(10^(逐级计算!$Q$89/10)-1)+逐级计算!$Q$89*(CK51-逐级计算!$P$89)*LN(10)/10))))))),"")</f>
        <v>13.7930365742072</v>
      </c>
      <c r="CM51">
        <f>IF(AND(ISNUMBER(CL51),逐级计算!$X$90&gt;-1),IF(逐级计算!$X$90=0,CL51+逐级计算!$C$90,CL51+逐级计算!$C$90-(10/(逐级计算!$Q$90*LN(10))*(MAX((LN(10^(逐级计算!$Q$90/10)-1)+逐级计算!$Q$90*(CL51-逐级计算!$P$90)*LN(10)/10),0)+LN(1+EXP(-ABS((LN(10^(逐级计算!$Q$90/10)-1)+逐级计算!$Q$90*(CL51-逐级计算!$P$90)*LN(10)/10))))))),"")</f>
        <v>13.7930365742072</v>
      </c>
      <c r="CN51">
        <f>IF(AND(ISNUMBER(CM51),逐级计算!$X$91&gt;-1),IF(逐级计算!$X$91=0,CM51+逐级计算!$C$91,CM51+逐级计算!$C$91-(10/(逐级计算!$Q$91*LN(10))*(MAX((LN(10^(逐级计算!$Q$91/10)-1)+逐级计算!$Q$91*(CM51-逐级计算!$P$91)*LN(10)/10),0)+LN(1+EXP(-ABS((LN(10^(逐级计算!$Q$91/10)-1)+逐级计算!$Q$91*(CM51-逐级计算!$P$91)*LN(10)/10))))))),"")</f>
        <v>13.7930365742072</v>
      </c>
      <c r="CO51">
        <f>IF(AND(ISNUMBER(CN51),逐级计算!$X$92&gt;-1),IF(逐级计算!$X$92=0,CN51+逐级计算!$C$92,CN51+逐级计算!$C$92-(10/(逐级计算!$Q$92*LN(10))*(MAX((LN(10^(逐级计算!$Q$92/10)-1)+逐级计算!$Q$92*(CN51-逐级计算!$P$92)*LN(10)/10),0)+LN(1+EXP(-ABS((LN(10^(逐级计算!$Q$92/10)-1)+逐级计算!$Q$92*(CN51-逐级计算!$P$92)*LN(10)/10))))))),"")</f>
        <v>13.7930365742072</v>
      </c>
      <c r="CP51">
        <f>IF(AND(ISNUMBER(CO51),逐级计算!$X$93&gt;-1),IF(逐级计算!$X$93=0,CO51+逐级计算!$C$93,CO51+逐级计算!$C$93-(10/(逐级计算!$Q$93*LN(10))*(MAX((LN(10^(逐级计算!$Q$93/10)-1)+逐级计算!$Q$93*(CO51-逐级计算!$P$93)*LN(10)/10),0)+LN(1+EXP(-ABS((LN(10^(逐级计算!$Q$93/10)-1)+逐级计算!$Q$93*(CO51-逐级计算!$P$93)*LN(10)/10))))))),"")</f>
        <v>13.7930365742072</v>
      </c>
      <c r="CQ51">
        <f>IF(AND(ISNUMBER(CP51),逐级计算!$X$94&gt;-1),IF(逐级计算!$X$94=0,CP51+逐级计算!$C$94,CP51+逐级计算!$C$94-(10/(逐级计算!$Q$94*LN(10))*(MAX((LN(10^(逐级计算!$Q$94/10)-1)+逐级计算!$Q$94*(CP51-逐级计算!$P$94)*LN(10)/10),0)+LN(1+EXP(-ABS((LN(10^(逐级计算!$Q$94/10)-1)+逐级计算!$Q$94*(CP51-逐级计算!$P$94)*LN(10)/10))))))),"")</f>
        <v>13.7930365742072</v>
      </c>
      <c r="CR51">
        <f>IF(AND(ISNUMBER(CQ51),逐级计算!$X$95&gt;-1),IF(逐级计算!$X$95=0,CQ51+逐级计算!$C$95,CQ51+逐级计算!$C$95-(10/(逐级计算!$Q$95*LN(10))*(MAX((LN(10^(逐级计算!$Q$95/10)-1)+逐级计算!$Q$95*(CQ51-逐级计算!$P$95)*LN(10)/10),0)+LN(1+EXP(-ABS((LN(10^(逐级计算!$Q$95/10)-1)+逐级计算!$Q$95*(CQ51-逐级计算!$P$95)*LN(10)/10))))))),"")</f>
        <v>13.7930365742072</v>
      </c>
      <c r="CS51">
        <f>IF(AND(ISNUMBER(CR51),逐级计算!$X$96&gt;-1),IF(逐级计算!$X$96=0,CR51+逐级计算!$C$96,CR51+逐级计算!$C$96-(10/(逐级计算!$Q$96*LN(10))*(MAX((LN(10^(逐级计算!$Q$96/10)-1)+逐级计算!$Q$96*(CR51-逐级计算!$P$96)*LN(10)/10),0)+LN(1+EXP(-ABS((LN(10^(逐级计算!$Q$96/10)-1)+逐级计算!$Q$96*(CR51-逐级计算!$P$96)*LN(10)/10))))))),"")</f>
        <v>13.7930365742072</v>
      </c>
      <c r="CT51">
        <f>IF(AND(ISNUMBER(CS51),逐级计算!$X$97&gt;-1),IF(逐级计算!$X$97=0,CS51+逐级计算!$C$97,CS51+逐级计算!$C$97-(10/(逐级计算!$Q$97*LN(10))*(MAX((LN(10^(逐级计算!$Q$97/10)-1)+逐级计算!$Q$97*(CS51-逐级计算!$P$97)*LN(10)/10),0)+LN(1+EXP(-ABS((LN(10^(逐级计算!$Q$97/10)-1)+逐级计算!$Q$97*(CS51-逐级计算!$P$97)*LN(10)/10))))))),"")</f>
        <v>13.7930365742072</v>
      </c>
      <c r="CU51">
        <f>IF(AND(ISNUMBER(CT51),逐级计算!$X$98&gt;-1),IF(逐级计算!$X$98=0,CT51+逐级计算!$C$98,CT51+逐级计算!$C$98-(10/(逐级计算!$Q$98*LN(10))*(MAX((LN(10^(逐级计算!$Q$98/10)-1)+逐级计算!$Q$98*(CT51-逐级计算!$P$98)*LN(10)/10),0)+LN(1+EXP(-ABS((LN(10^(逐级计算!$Q$98/10)-1)+逐级计算!$Q$98*(CT51-逐级计算!$P$98)*LN(10)/10))))))),"")</f>
        <v>13.7930365742072</v>
      </c>
      <c r="CV51">
        <f>IF(AND(ISNUMBER(CU51),逐级计算!$X$99&gt;-1),IF(逐级计算!$X$99=0,CU51+逐级计算!$C$99,CU51+逐级计算!$C$99-(10/(逐级计算!$Q$99*LN(10))*(MAX((LN(10^(逐级计算!$Q$99/10)-1)+逐级计算!$Q$99*(CU51-逐级计算!$P$99)*LN(10)/10),0)+LN(1+EXP(-ABS((LN(10^(逐级计算!$Q$99/10)-1)+逐级计算!$Q$99*(CU51-逐级计算!$P$99)*LN(10)/10))))))),"")</f>
        <v>13.7930365742072</v>
      </c>
      <c r="CW51">
        <f>IF(AND(ISNUMBER(CV51),逐级计算!$X$100&gt;-1),IF(逐级计算!$X$100=0,CV51+逐级计算!$C$100,CV51+逐级计算!$C$100-(10/(逐级计算!$Q$100*LN(10))*(MAX((LN(10^(逐级计算!$Q$100/10)-1)+逐级计算!$Q$100*(CV51-逐级计算!$P$100)*LN(10)/10),0)+LN(1+EXP(-ABS((LN(10^(逐级计算!$Q$100/10)-1)+逐级计算!$Q$100*(CV51-逐级计算!$P$100)*LN(10)/10))))))),"")</f>
        <v>13.7930365742072</v>
      </c>
      <c r="CX51">
        <f>IF(AND(ISNUMBER(CW51),逐级计算!$X$101&gt;-1),IF(逐级计算!$X$101=0,CW51+逐级计算!$C$101,CW51+逐级计算!$C$101-(10/(逐级计算!$Q$101*LN(10))*(MAX((LN(10^(逐级计算!$Q$101/10)-1)+逐级计算!$Q$101*(CW51-逐级计算!$P$101)*LN(10)/10),0)+LN(1+EXP(-ABS((LN(10^(逐级计算!$Q$101/10)-1)+逐级计算!$Q$101*(CW51-逐级计算!$P$101)*LN(10)/10))))))),"")</f>
        <v>13.7930365742072</v>
      </c>
      <c r="CY51">
        <f>IF(AND(ISNUMBER(CX51),逐级计算!$X$102&gt;-1),IF(逐级计算!$X$102=0,CX51+逐级计算!$C$102,CX51+逐级计算!$C$102-(10/(逐级计算!$Q$102*LN(10))*(MAX((LN(10^(逐级计算!$Q$102/10)-1)+逐级计算!$Q$102*(CX51-逐级计算!$P$102)*LN(10)/10),0)+LN(1+EXP(-ABS((LN(10^(逐级计算!$Q$102/10)-1)+逐级计算!$Q$102*(CX51-逐级计算!$P$102)*LN(10)/10))))))),"")</f>
        <v>13.7930365742072</v>
      </c>
      <c r="CZ51">
        <f>IF(AND(ISNUMBER(CY51),逐级计算!$X$103&gt;-1),IF(逐级计算!$X$103=0,CY51+逐级计算!$C$103,CY51+逐级计算!$C$103-(10/(逐级计算!$Q$103*LN(10))*(MAX((LN(10^(逐级计算!$Q$103/10)-1)+逐级计算!$Q$103*(CY51-逐级计算!$P$103)*LN(10)/10),0)+LN(1+EXP(-ABS((LN(10^(逐级计算!$Q$103/10)-1)+逐级计算!$Q$103*(CY51-逐级计算!$P$103)*LN(10)/10))))))),"")</f>
        <v>13.7930365742072</v>
      </c>
      <c r="DA51">
        <f>IF(AND(ISNUMBER(CZ51),逐级计算!$X$104&gt;-1),IF(逐级计算!$X$104=0,CZ51+逐级计算!$C$104,CZ51+逐级计算!$C$104-(10/(逐级计算!$Q$104*LN(10))*(MAX((LN(10^(逐级计算!$Q$104/10)-1)+逐级计算!$Q$104*(CZ51-逐级计算!$P$104)*LN(10)/10),0)+LN(1+EXP(-ABS((LN(10^(逐级计算!$Q$104/10)-1)+逐级计算!$Q$104*(CZ51-逐级计算!$P$104)*LN(10)/10))))))),"")</f>
        <v>13.7930365742072</v>
      </c>
      <c r="DB51">
        <f>IF(AND(ISNUMBER(DA51),逐级计算!$X$105&gt;-1),IF(逐级计算!$X$105=0,DA51+逐级计算!$C$105,DA51+逐级计算!$C$105-(10/(逐级计算!$Q$105*LN(10))*(MAX((LN(10^(逐级计算!$Q$105/10)-1)+逐级计算!$Q$105*(DA51-逐级计算!$P$105)*LN(10)/10),0)+LN(1+EXP(-ABS((LN(10^(逐级计算!$Q$105/10)-1)+逐级计算!$Q$105*(DA51-逐级计算!$P$105)*LN(10)/10))))))),"")</f>
        <v>13.7930365742072</v>
      </c>
      <c r="DC51">
        <f>IF(AND(ISNUMBER(DB51),逐级计算!$X$106&gt;-1),IF(逐级计算!$X$106=0,DB51+逐级计算!$C$106,DB51+逐级计算!$C$106-(10/(逐级计算!$Q$106*LN(10))*(MAX((LN(10^(逐级计算!$Q$106/10)-1)+逐级计算!$Q$106*(DB51-逐级计算!$P$106)*LN(10)/10),0)+LN(1+EXP(-ABS((LN(10^(逐级计算!$Q$106/10)-1)+逐级计算!$Q$106*(DB51-逐级计算!$P$106)*LN(10)/10))))))),"")</f>
        <v>13.7930365742072</v>
      </c>
      <c r="DD51">
        <f>IF(AND(ISNUMBER(DC51),逐级计算!$X$107&gt;-1),IF(逐级计算!$X$107=0,DC51+逐级计算!$C$107,DC51+逐级计算!$C$107-(10/(逐级计算!$Q$107*LN(10))*(MAX((LN(10^(逐级计算!$Q$107/10)-1)+逐级计算!$Q$107*(DC51-逐级计算!$P$107)*LN(10)/10),0)+LN(1+EXP(-ABS((LN(10^(逐级计算!$Q$107/10)-1)+逐级计算!$Q$107*(DC51-逐级计算!$P$107)*LN(10)/10))))))),"")</f>
        <v>13.7930365742072</v>
      </c>
      <c r="DE51">
        <f>IF(AND(ISNUMBER(DD51),逐级计算!$X$108&gt;-1),IF(逐级计算!$X$108=0,DD51+逐级计算!$C$108,DD51+逐级计算!$C$108-(10/(逐级计算!$Q$108*LN(10))*(MAX((LN(10^(逐级计算!$Q$108/10)-1)+逐级计算!$Q$108*(DD51-逐级计算!$P$108)*LN(10)/10),0)+LN(1+EXP(-ABS((LN(10^(逐级计算!$Q$108/10)-1)+逐级计算!$Q$108*(DD51-逐级计算!$P$108)*LN(10)/10))))))),"")</f>
        <v>13.7930365742072</v>
      </c>
      <c r="DF51">
        <f>IF(AND(ISNUMBER(DE51),逐级计算!$X$109&gt;-1),IF(逐级计算!$X$109=0,DE51+逐级计算!$C$109,DE51+逐级计算!$C$109-(10/(逐级计算!$Q$109*LN(10))*(MAX((LN(10^(逐级计算!$Q$109/10)-1)+逐级计算!$Q$109*(DE51-逐级计算!$P$109)*LN(10)/10),0)+LN(1+EXP(-ABS((LN(10^(逐级计算!$Q$109/10)-1)+逐级计算!$Q$109*(DE51-逐级计算!$P$109)*LN(10)/10))))))),"")</f>
        <v>13.7930365742072</v>
      </c>
      <c r="DG51">
        <f>IF(AND(ISNUMBER(DF51),逐级计算!$X$110&gt;-1),IF(逐级计算!$X$110=0,DF51+逐级计算!$C$110,DF51+逐级计算!$C$110-(10/(逐级计算!$Q$110*LN(10))*(MAX((LN(10^(逐级计算!$Q$110/10)-1)+逐级计算!$Q$110*(DF51-逐级计算!$P$110)*LN(10)/10),0)+LN(1+EXP(-ABS((LN(10^(逐级计算!$Q$110/10)-1)+逐级计算!$Q$110*(DF51-逐级计算!$P$110)*LN(10)/10))))))),"")</f>
        <v>13.7930365742072</v>
      </c>
      <c r="DH51">
        <f>IF(AND(ISNUMBER(DG51),逐级计算!$X$111&gt;-1),IF(逐级计算!$X$111=0,DG51+逐级计算!$C$111,DG51+逐级计算!$C$111-(10/(逐级计算!$Q$111*LN(10))*(MAX((LN(10^(逐级计算!$Q$111/10)-1)+逐级计算!$Q$111*(DG51-逐级计算!$P$111)*LN(10)/10),0)+LN(1+EXP(-ABS((LN(10^(逐级计算!$Q$111/10)-1)+逐级计算!$Q$111*(DG51-逐级计算!$P$111)*LN(10)/10))))))),"")</f>
        <v>13.7930365742072</v>
      </c>
      <c r="DI51">
        <f>IF(AND(ISNUMBER(DH51),逐级计算!$X$112&gt;-1),IF(逐级计算!$X$112=0,DH51+逐级计算!$C$112,DH51+逐级计算!$C$112-(10/(逐级计算!$Q$112*LN(10))*(MAX((LN(10^(逐级计算!$Q$112/10)-1)+逐级计算!$Q$112*(DH51-逐级计算!$P$112)*LN(10)/10),0)+LN(1+EXP(-ABS((LN(10^(逐级计算!$Q$112/10)-1)+逐级计算!$Q$112*(DH51-逐级计算!$P$112)*LN(10)/10))))))),"")</f>
        <v>13.7930365742072</v>
      </c>
      <c r="DJ51">
        <f>IF(AND(ISNUMBER(DI51),逐级计算!$X$113&gt;-1),IF(逐级计算!$X$113=0,DI51+逐级计算!$C$113,DI51+逐级计算!$C$113-(10/(逐级计算!$Q$113*LN(10))*(MAX((LN(10^(逐级计算!$Q$113/10)-1)+逐级计算!$Q$113*(DI51-逐级计算!$P$113)*LN(10)/10),0)+LN(1+EXP(-ABS((LN(10^(逐级计算!$Q$113/10)-1)+逐级计算!$Q$113*(DI51-逐级计算!$P$113)*LN(10)/10))))))),"")</f>
        <v>13.7930365742072</v>
      </c>
      <c r="DK51">
        <f>IF(AND(ISNUMBER(DJ51),逐级计算!$X$114&gt;-1),IF(逐级计算!$X$114=0,DJ51+逐级计算!$C$114,DJ51+逐级计算!$C$114-(10/(逐级计算!$Q$114*LN(10))*(MAX((LN(10^(逐级计算!$Q$114/10)-1)+逐级计算!$Q$114*(DJ51-逐级计算!$P$114)*LN(10)/10),0)+LN(1+EXP(-ABS((LN(10^(逐级计算!$Q$114/10)-1)+逐级计算!$Q$114*(DJ51-逐级计算!$P$114)*LN(10)/10))))))),"")</f>
        <v>13.7930365742072</v>
      </c>
      <c r="DL51">
        <f>IF(AND(ISNUMBER(DK51),逐级计算!$X$115&gt;-1),IF(逐级计算!$X$115=0,DK51+逐级计算!$C$115,DK51+逐级计算!$C$115-(10/(逐级计算!$Q$115*LN(10))*(MAX((LN(10^(逐级计算!$Q$115/10)-1)+逐级计算!$Q$115*(DK51-逐级计算!$P$115)*LN(10)/10),0)+LN(1+EXP(-ABS((LN(10^(逐级计算!$Q$115/10)-1)+逐级计算!$Q$115*(DK51-逐级计算!$P$115)*LN(10)/10))))))),"")</f>
        <v>13.7930365742072</v>
      </c>
      <c r="DM51">
        <f>IF(AND(ISNUMBER(DL51),逐级计算!$X$116&gt;-1),IF(逐级计算!$X$116=0,DL51+逐级计算!$C$116,DL51+逐级计算!$C$116-(10/(逐级计算!$Q$116*LN(10))*(MAX((LN(10^(逐级计算!$Q$116/10)-1)+逐级计算!$Q$116*(DL51-逐级计算!$P$116)*LN(10)/10),0)+LN(1+EXP(-ABS((LN(10^(逐级计算!$Q$116/10)-1)+逐级计算!$Q$116*(DL51-逐级计算!$P$116)*LN(10)/10))))))),"")</f>
        <v>13.7930365742072</v>
      </c>
      <c r="DN51">
        <f>IF(AND(ISNUMBER(DM51),逐级计算!$X$117&gt;-1),IF(逐级计算!$X$117=0,DM51+逐级计算!$C$117,DM51+逐级计算!$C$117-(10/(逐级计算!$Q$117*LN(10))*(MAX((LN(10^(逐级计算!$Q$117/10)-1)+逐级计算!$Q$117*(DM51-逐级计算!$P$117)*LN(10)/10),0)+LN(1+EXP(-ABS((LN(10^(逐级计算!$Q$117/10)-1)+逐级计算!$Q$117*(DM51-逐级计算!$P$117)*LN(10)/10))))))),"")</f>
        <v>13.7930365742072</v>
      </c>
      <c r="DO51">
        <f>IF(AND(ISNUMBER(DN51),逐级计算!$X$118&gt;-1),IF(逐级计算!$X$118=0,DN51+逐级计算!$C$118,DN51+逐级计算!$C$118-(10/(逐级计算!$Q$118*LN(10))*(MAX((LN(10^(逐级计算!$Q$118/10)-1)+逐级计算!$Q$118*(DN51-逐级计算!$P$118)*LN(10)/10),0)+LN(1+EXP(-ABS((LN(10^(逐级计算!$Q$118/10)-1)+逐级计算!$Q$118*(DN51-逐级计算!$P$118)*LN(10)/10))))))),"")</f>
        <v>13.7930365742072</v>
      </c>
      <c r="DP51">
        <f>IF(AND(ISNUMBER(DO51),逐级计算!$X$119&gt;-1),IF(逐级计算!$X$119=0,DO51+逐级计算!$C$119,DO51+逐级计算!$C$119-(10/(逐级计算!$Q$119*LN(10))*(MAX((LN(10^(逐级计算!$Q$119/10)-1)+逐级计算!$Q$119*(DO51-逐级计算!$P$119)*LN(10)/10),0)+LN(1+EXP(-ABS((LN(10^(逐级计算!$Q$119/10)-1)+逐级计算!$Q$119*(DO51-逐级计算!$P$119)*LN(10)/10))))))),"")</f>
        <v>13.7930365742072</v>
      </c>
      <c r="DQ51">
        <f>IF(AND(ISNUMBER(DP51),逐级计算!$X$120&gt;-1),IF(逐级计算!$X$120=0,DP51+逐级计算!$C$120,DP51+逐级计算!$C$120-(10/(逐级计算!$Q$120*LN(10))*(MAX((LN(10^(逐级计算!$Q$120/10)-1)+逐级计算!$Q$120*(DP51-逐级计算!$P$120)*LN(10)/10),0)+LN(1+EXP(-ABS((LN(10^(逐级计算!$Q$120/10)-1)+逐级计算!$Q$120*(DP51-逐级计算!$P$120)*LN(10)/10))))))),"")</f>
        <v>13.7930365742072</v>
      </c>
      <c r="DR51">
        <f>IF(AND(ISNUMBER(DQ51),逐级计算!$X$121&gt;-1),IF(逐级计算!$X$121=0,DQ51+逐级计算!$C$121,DQ51+逐级计算!$C$121-(10/(逐级计算!$Q$121*LN(10))*(MAX((LN(10^(逐级计算!$Q$121/10)-1)+逐级计算!$Q$121*(DQ51-逐级计算!$P$121)*LN(10)/10),0)+LN(1+EXP(-ABS((LN(10^(逐级计算!$Q$121/10)-1)+逐级计算!$Q$121*(DQ51-逐级计算!$P$121)*LN(10)/10))))))),"")</f>
        <v>13.7930365742072</v>
      </c>
      <c r="DS51">
        <f>IF(AND(ISNUMBER(DR51),逐级计算!$X$122&gt;-1),IF(逐级计算!$X$122=0,DR51+逐级计算!$C$122,DR51+逐级计算!$C$122-(10/(逐级计算!$Q$122*LN(10))*(MAX((LN(10^(逐级计算!$Q$122/10)-1)+逐级计算!$Q$122*(DR51-逐级计算!$P$122)*LN(10)/10),0)+LN(1+EXP(-ABS((LN(10^(逐级计算!$Q$122/10)-1)+逐级计算!$Q$122*(DR51-逐级计算!$P$122)*LN(10)/10))))))),"")</f>
        <v>13.7930365742072</v>
      </c>
      <c r="DT51">
        <f>IF(AND(ISNUMBER(DS51),逐级计算!$X$123&gt;-1),IF(逐级计算!$X$123=0,DS51+逐级计算!$C$123,DS51+逐级计算!$C$123-(10/(逐级计算!$Q$123*LN(10))*(MAX((LN(10^(逐级计算!$Q$123/10)-1)+逐级计算!$Q$123*(DS51-逐级计算!$P$123)*LN(10)/10),0)+LN(1+EXP(-ABS((LN(10^(逐级计算!$Q$123/10)-1)+逐级计算!$Q$123*(DS51-逐级计算!$P$123)*LN(10)/10))))))),"")</f>
        <v>13.7930365742072</v>
      </c>
      <c r="DU51">
        <f>IF(AND(ISNUMBER(DT51),逐级计算!$X$124&gt;-1),IF(逐级计算!$X$124=0,DT51+逐级计算!$C$124,DT51+逐级计算!$C$124-(10/(逐级计算!$Q$124*LN(10))*(MAX((LN(10^(逐级计算!$Q$124/10)-1)+逐级计算!$Q$124*(DT51-逐级计算!$P$124)*LN(10)/10),0)+LN(1+EXP(-ABS((LN(10^(逐级计算!$Q$124/10)-1)+逐级计算!$Q$124*(DT51-逐级计算!$P$124)*LN(10)/10))))))),"")</f>
        <v>13.7930365742072</v>
      </c>
      <c r="DV51">
        <f>IF(AND(ISNUMBER(DU51),逐级计算!$X$125&gt;-1),IF(逐级计算!$X$125=0,DU51+逐级计算!$C$125,DU51+逐级计算!$C$125-(10/(逐级计算!$Q$125*LN(10))*(MAX((LN(10^(逐级计算!$Q$125/10)-1)+逐级计算!$Q$125*(DU51-逐级计算!$P$125)*LN(10)/10),0)+LN(1+EXP(-ABS((LN(10^(逐级计算!$Q$125/10)-1)+逐级计算!$Q$125*(DU51-逐级计算!$P$125)*LN(10)/10))))))),"")</f>
        <v>13.7930365742072</v>
      </c>
      <c r="DW51">
        <f>IF(AND(ISNUMBER(DV51),逐级计算!$X$126&gt;-1),IF(逐级计算!$X$126=0,DV51+逐级计算!$C$126,DV51+逐级计算!$C$126-(10/(逐级计算!$Q$126*LN(10))*(MAX((LN(10^(逐级计算!$Q$126/10)-1)+逐级计算!$Q$126*(DV51-逐级计算!$P$126)*LN(10)/10),0)+LN(1+EXP(-ABS((LN(10^(逐级计算!$Q$126/10)-1)+逐级计算!$Q$126*(DV51-逐级计算!$P$126)*LN(10)/10))))))),"")</f>
        <v>13.7930365742072</v>
      </c>
      <c r="DX51">
        <f>IF(AND(ISNUMBER(DW51),逐级计算!$X$127&gt;-1),IF(逐级计算!$X$127=0,DW51+逐级计算!$C$127,DW51+逐级计算!$C$127-(10/(逐级计算!$Q$127*LN(10))*(MAX((LN(10^(逐级计算!$Q$127/10)-1)+逐级计算!$Q$127*(DW51-逐级计算!$P$127)*LN(10)/10),0)+LN(1+EXP(-ABS((LN(10^(逐级计算!$Q$127/10)-1)+逐级计算!$Q$127*(DW51-逐级计算!$P$127)*LN(10)/10))))))),"")</f>
        <v>13.7930365742072</v>
      </c>
      <c r="DY51">
        <f>IF(AND(ISNUMBER(DX51),逐级计算!$X$128&gt;-1),IF(逐级计算!$X$128=0,DX51+逐级计算!$C$128,DX51+逐级计算!$C$128-(10/(逐级计算!$Q$128*LN(10))*(MAX((LN(10^(逐级计算!$Q$128/10)-1)+逐级计算!$Q$128*(DX51-逐级计算!$P$128)*LN(10)/10),0)+LN(1+EXP(-ABS((LN(10^(逐级计算!$Q$128/10)-1)+逐级计算!$Q$128*(DX51-逐级计算!$P$128)*LN(10)/10))))))),"")</f>
        <v>13.7930365742072</v>
      </c>
      <c r="DZ51">
        <f>IF(AND(ISNUMBER(DY51),逐级计算!$X$129&gt;-1),IF(逐级计算!$X$129=0,DY51+逐级计算!$C$129,DY51+逐级计算!$C$129-(10/(逐级计算!$Q$129*LN(10))*(MAX((LN(10^(逐级计算!$Q$129/10)-1)+逐级计算!$Q$129*(DY51-逐级计算!$P$129)*LN(10)/10),0)+LN(1+EXP(-ABS((LN(10^(逐级计算!$Q$129/10)-1)+逐级计算!$Q$129*(DY51-逐级计算!$P$129)*LN(10)/10))))))),"")</f>
        <v>13.7930365742072</v>
      </c>
      <c r="EA51">
        <f>IF(AND(ISNUMBER(DZ51),逐级计算!$X$130&gt;-1),IF(逐级计算!$X$130=0,DZ51+逐级计算!$C$130,DZ51+逐级计算!$C$130-(10/(逐级计算!$Q$130*LN(10))*(MAX((LN(10^(逐级计算!$Q$130/10)-1)+逐级计算!$Q$130*(DZ51-逐级计算!$P$130)*LN(10)/10),0)+LN(1+EXP(-ABS((LN(10^(逐级计算!$Q$130/10)-1)+逐级计算!$Q$130*(DZ51-逐级计算!$P$130)*LN(10)/10))))))),"")</f>
        <v>13.7930365742072</v>
      </c>
      <c r="EB51">
        <f>IF(AND(ISNUMBER(EA51),逐级计算!$X$131&gt;-1),IF(逐级计算!$X$131=0,EA51+逐级计算!$C$131,EA51+逐级计算!$C$131-(10/(逐级计算!$Q$131*LN(10))*(MAX((LN(10^(逐级计算!$Q$131/10)-1)+逐级计算!$Q$131*(EA51-逐级计算!$P$131)*LN(10)/10),0)+LN(1+EXP(-ABS((LN(10^(逐级计算!$Q$131/10)-1)+逐级计算!$Q$131*(EA51-逐级计算!$P$131)*LN(10)/10))))))),"")</f>
        <v>13.7930365742072</v>
      </c>
      <c r="EC51">
        <f>IF(AND(ISNUMBER(EB51),逐级计算!$X$132&gt;-1),IF(逐级计算!$X$132=0,EB51+逐级计算!$C$132,EB51+逐级计算!$C$132-(10/(逐级计算!$Q$132*LN(10))*(MAX((LN(10^(逐级计算!$Q$132/10)-1)+逐级计算!$Q$132*(EB51-逐级计算!$P$132)*LN(10)/10),0)+LN(1+EXP(-ABS((LN(10^(逐级计算!$Q$132/10)-1)+逐级计算!$Q$132*(EB51-逐级计算!$P$132)*LN(10)/10))))))),"")</f>
        <v>13.7930365742072</v>
      </c>
      <c r="ED51">
        <f>IF(AND(ISNUMBER(EC51),逐级计算!$X$133&gt;-1),IF(逐级计算!$X$133=0,EC51+逐级计算!$C$133,EC51+逐级计算!$C$133-(10/(逐级计算!$Q$133*LN(10))*(MAX((LN(10^(逐级计算!$Q$133/10)-1)+逐级计算!$Q$133*(EC51-逐级计算!$P$133)*LN(10)/10),0)+LN(1+EXP(-ABS((LN(10^(逐级计算!$Q$133/10)-1)+逐级计算!$Q$133*(EC51-逐级计算!$P$133)*LN(10)/10))))))),"")</f>
        <v>13.7930365742072</v>
      </c>
      <c r="EE51">
        <f>IF(AND(ISNUMBER(ED51),逐级计算!$X$134&gt;-1),IF(逐级计算!$X$134=0,ED51+逐级计算!$C$134,ED51+逐级计算!$C$134-(10/(逐级计算!$Q$134*LN(10))*(MAX((LN(10^(逐级计算!$Q$134/10)-1)+逐级计算!$Q$134*(ED51-逐级计算!$P$134)*LN(10)/10),0)+LN(1+EXP(-ABS((LN(10^(逐级计算!$Q$134/10)-1)+逐级计算!$Q$134*(ED51-逐级计算!$P$134)*LN(10)/10))))))),"")</f>
        <v>13.7930365742072</v>
      </c>
      <c r="EF51">
        <f>IF(AND(ISNUMBER(EE51),逐级计算!$X$135&gt;-1),IF(逐级计算!$X$135=0,EE51+逐级计算!$C$135,EE51+逐级计算!$C$135-(10/(逐级计算!$Q$135*LN(10))*(MAX((LN(10^(逐级计算!$Q$135/10)-1)+逐级计算!$Q$135*(EE51-逐级计算!$P$135)*LN(10)/10),0)+LN(1+EXP(-ABS((LN(10^(逐级计算!$Q$135/10)-1)+逐级计算!$Q$135*(EE51-逐级计算!$P$135)*LN(10)/10))))))),"")</f>
        <v>13.7930365742072</v>
      </c>
      <c r="EG51">
        <f>IF(AND(ISNUMBER(EF51),逐级计算!$X$136&gt;-1),IF(逐级计算!$X$136=0,EF51+逐级计算!$C$136,EF51+逐级计算!$C$136-(10/(逐级计算!$Q$136*LN(10))*(MAX((LN(10^(逐级计算!$Q$136/10)-1)+逐级计算!$Q$136*(EF51-逐级计算!$P$136)*LN(10)/10),0)+LN(1+EXP(-ABS((LN(10^(逐级计算!$Q$136/10)-1)+逐级计算!$Q$136*(EF51-逐级计算!$P$136)*LN(10)/10))))))),"")</f>
        <v>13.7930365742072</v>
      </c>
      <c r="EH51">
        <f>IF(AND(ISNUMBER(EG51),逐级计算!$X$137&gt;-1),IF(逐级计算!$X$137=0,EG51+逐级计算!$C$137,EG51+逐级计算!$C$137-(10/(逐级计算!$Q$137*LN(10))*(MAX((LN(10^(逐级计算!$Q$137/10)-1)+逐级计算!$Q$137*(EG51-逐级计算!$P$137)*LN(10)/10),0)+LN(1+EXP(-ABS((LN(10^(逐级计算!$Q$137/10)-1)+逐级计算!$Q$137*(EG51-逐级计算!$P$137)*LN(10)/10))))))),"")</f>
        <v>13.7930365742072</v>
      </c>
      <c r="EI51">
        <f>IF(AND(ISNUMBER(EH51),逐级计算!$X$138&gt;-1),IF(逐级计算!$X$138=0,EH51+逐级计算!$C$138,EH51+逐级计算!$C$138-(10/(逐级计算!$Q$138*LN(10))*(MAX((LN(10^(逐级计算!$Q$138/10)-1)+逐级计算!$Q$138*(EH51-逐级计算!$P$138)*LN(10)/10),0)+LN(1+EXP(-ABS((LN(10^(逐级计算!$Q$138/10)-1)+逐级计算!$Q$138*(EH51-逐级计算!$P$138)*LN(10)/10))))))),"")</f>
        <v>13.7930365742072</v>
      </c>
      <c r="EJ51">
        <f>IF(AND(ISNUMBER(EI51),逐级计算!$X$139&gt;-1),IF(逐级计算!$X$139=0,EI51+逐级计算!$C$139,EI51+逐级计算!$C$139-(10/(逐级计算!$Q$139*LN(10))*(MAX((LN(10^(逐级计算!$Q$139/10)-1)+逐级计算!$Q$139*(EI51-逐级计算!$P$139)*LN(10)/10),0)+LN(1+EXP(-ABS((LN(10^(逐级计算!$Q$139/10)-1)+逐级计算!$Q$139*(EI51-逐级计算!$P$139)*LN(10)/10))))))),"")</f>
        <v>13.7930365742072</v>
      </c>
      <c r="EK51">
        <f>IF(AND(ISNUMBER(EJ51),逐级计算!$X$140&gt;-1),IF(逐级计算!$X$140=0,EJ51+逐级计算!$C$140,EJ51+逐级计算!$C$140-(10/(逐级计算!$Q$140*LN(10))*(MAX((LN(10^(逐级计算!$Q$140/10)-1)+逐级计算!$Q$140*(EJ51-逐级计算!$P$140)*LN(10)/10),0)+LN(1+EXP(-ABS((LN(10^(逐级计算!$Q$140/10)-1)+逐级计算!$Q$140*(EJ51-逐级计算!$P$140)*LN(10)/10))))))),"")</f>
        <v>13.7930365742072</v>
      </c>
      <c r="EL51">
        <f>IF(AND(ISNUMBER(EK51),逐级计算!$X$141&gt;-1),IF(逐级计算!$X$141=0,EK51+逐级计算!$C$141,EK51+逐级计算!$C$141-(10/(逐级计算!$Q$141*LN(10))*(MAX((LN(10^(逐级计算!$Q$141/10)-1)+逐级计算!$Q$141*(EK51-逐级计算!$P$141)*LN(10)/10),0)+LN(1+EXP(-ABS((LN(10^(逐级计算!$Q$141/10)-1)+逐级计算!$Q$141*(EK51-逐级计算!$P$141)*LN(10)/10))))))),"")</f>
        <v>13.7930365742072</v>
      </c>
      <c r="EM51">
        <f>IF(AND(ISNUMBER(EL51),逐级计算!$X$142&gt;-1),IF(逐级计算!$X$142=0,EL51+逐级计算!$C$142,EL51+逐级计算!$C$142-(10/(逐级计算!$Q$142*LN(10))*(MAX((LN(10^(逐级计算!$Q$142/10)-1)+逐级计算!$Q$142*(EL51-逐级计算!$P$142)*LN(10)/10),0)+LN(1+EXP(-ABS((LN(10^(逐级计算!$Q$142/10)-1)+逐级计算!$Q$142*(EL51-逐级计算!$P$142)*LN(10)/10))))))),"")</f>
        <v>13.7930365742072</v>
      </c>
      <c r="EN51">
        <f>IF(AND(ISNUMBER(EM51),逐级计算!$X$143&gt;-1),IF(逐级计算!$X$143=0,EM51+逐级计算!$C$143,EM51+逐级计算!$C$143-(10/(逐级计算!$Q$143*LN(10))*(MAX((LN(10^(逐级计算!$Q$143/10)-1)+逐级计算!$Q$143*(EM51-逐级计算!$P$143)*LN(10)/10),0)+LN(1+EXP(-ABS((LN(10^(逐级计算!$Q$143/10)-1)+逐级计算!$Q$143*(EM51-逐级计算!$P$143)*LN(10)/10))))))),"")</f>
        <v>13.7930365742072</v>
      </c>
      <c r="EO51">
        <f>IF(AND(ISNUMBER(EN51),逐级计算!$X$144&gt;-1),IF(逐级计算!$X$144=0,EN51+逐级计算!$C$144,EN51+逐级计算!$C$144-(10/(逐级计算!$Q$144*LN(10))*(MAX((LN(10^(逐级计算!$Q$144/10)-1)+逐级计算!$Q$144*(EN51-逐级计算!$P$144)*LN(10)/10),0)+LN(1+EXP(-ABS((LN(10^(逐级计算!$Q$144/10)-1)+逐级计算!$Q$144*(EN51-逐级计算!$P$144)*LN(10)/10))))))),"")</f>
        <v>13.7930365742072</v>
      </c>
      <c r="EP51">
        <f>IF(AND(ISNUMBER(EO51),逐级计算!$X$145&gt;-1),IF(逐级计算!$X$145=0,EO51+逐级计算!$C$145,EO51+逐级计算!$C$145-(10/(逐级计算!$Q$145*LN(10))*(MAX((LN(10^(逐级计算!$Q$145/10)-1)+逐级计算!$Q$145*(EO51-逐级计算!$P$145)*LN(10)/10),0)+LN(1+EXP(-ABS((LN(10^(逐级计算!$Q$145/10)-1)+逐级计算!$Q$145*(EO51-逐级计算!$P$145)*LN(10)/10))))))),"")</f>
        <v>13.7930365742072</v>
      </c>
      <c r="EQ51">
        <f>IF(AND(ISNUMBER(EP51),逐级计算!$X$146&gt;-1),IF(逐级计算!$X$146=0,EP51+逐级计算!$C$146,EP51+逐级计算!$C$146-(10/(逐级计算!$Q$146*LN(10))*(MAX((LN(10^(逐级计算!$Q$146/10)-1)+逐级计算!$Q$146*(EP51-逐级计算!$P$146)*LN(10)/10),0)+LN(1+EXP(-ABS((LN(10^(逐级计算!$Q$146/10)-1)+逐级计算!$Q$146*(EP51-逐级计算!$P$146)*LN(10)/10))))))),"")</f>
        <v>13.7930365742072</v>
      </c>
      <c r="ER51">
        <f>IF(AND(ISNUMBER(EQ51),逐级计算!$X$147&gt;-1),IF(逐级计算!$X$147=0,EQ51+逐级计算!$C$147,EQ51+逐级计算!$C$147-(10/(逐级计算!$Q$147*LN(10))*(MAX((LN(10^(逐级计算!$Q$147/10)-1)+逐级计算!$Q$147*(EQ51-逐级计算!$P$147)*LN(10)/10),0)+LN(1+EXP(-ABS((LN(10^(逐级计算!$Q$147/10)-1)+逐级计算!$Q$147*(EQ51-逐级计算!$P$147)*LN(10)/10))))))),"")</f>
        <v>13.7930365742072</v>
      </c>
      <c r="ES51">
        <f>IF(AND(ISNUMBER(ER51),逐级计算!$X$148&gt;-1),IF(逐级计算!$X$148=0,ER51+逐级计算!$C$148,ER51+逐级计算!$C$148-(10/(逐级计算!$Q$148*LN(10))*(MAX((LN(10^(逐级计算!$Q$148/10)-1)+逐级计算!$Q$148*(ER51-逐级计算!$P$148)*LN(10)/10),0)+LN(1+EXP(-ABS((LN(10^(逐级计算!$Q$148/10)-1)+逐级计算!$Q$148*(ER51-逐级计算!$P$148)*LN(10)/10))))))),"")</f>
        <v>13.7930365742072</v>
      </c>
      <c r="ET51">
        <f>IF(AND(ISNUMBER(ES51),逐级计算!$X$149&gt;-1),IF(逐级计算!$X$149=0,ES51+逐级计算!$C$149,ES51+逐级计算!$C$149-(10/(逐级计算!$Q$149*LN(10))*(MAX((LN(10^(逐级计算!$Q$149/10)-1)+逐级计算!$Q$149*(ES51-逐级计算!$P$149)*LN(10)/10),0)+LN(1+EXP(-ABS((LN(10^(逐级计算!$Q$149/10)-1)+逐级计算!$Q$149*(ES51-逐级计算!$P$149)*LN(10)/10))))))),"")</f>
        <v>13.7930365742072</v>
      </c>
      <c r="EU51">
        <f>IF(AND(ISNUMBER(ET51),逐级计算!$X$150&gt;-1),IF(逐级计算!$X$150=0,ET51+逐级计算!$C$150,ET51+逐级计算!$C$150-(10/(逐级计算!$Q$150*LN(10))*(MAX((LN(10^(逐级计算!$Q$150/10)-1)+逐级计算!$Q$150*(ET51-逐级计算!$P$150)*LN(10)/10),0)+LN(1+EXP(-ABS((LN(10^(逐级计算!$Q$150/10)-1)+逐级计算!$Q$150*(ET51-逐级计算!$P$150)*LN(10)/10))))))),"")</f>
        <v>13.7930365742072</v>
      </c>
      <c r="EV51">
        <f>IF(AND(ISNUMBER(EU51),逐级计算!$X$151&gt;-1),IF(逐级计算!$X$151=0,EU51+逐级计算!$C$151,EU51+逐级计算!$C$151-(10/(逐级计算!$Q$151*LN(10))*(MAX((LN(10^(逐级计算!$Q$151/10)-1)+逐级计算!$Q$151*(EU51-逐级计算!$P$151)*LN(10)/10),0)+LN(1+EXP(-ABS((LN(10^(逐级计算!$Q$151/10)-1)+逐级计算!$Q$151*(EU51-逐级计算!$P$151)*LN(10)/10))))))),"")</f>
        <v>13.7930365742072</v>
      </c>
      <c r="EW51">
        <f>IF(AND(ISNUMBER(EV51),逐级计算!$X$152&gt;-1),IF(逐级计算!$X$152=0,EV51+逐级计算!$C$152,EV51+逐级计算!$C$152-(10/(逐级计算!$Q$152*LN(10))*(MAX((LN(10^(逐级计算!$Q$152/10)-1)+逐级计算!$Q$152*(EV51-逐级计算!$P$152)*LN(10)/10),0)+LN(1+EXP(-ABS((LN(10^(逐级计算!$Q$152/10)-1)+逐级计算!$Q$152*(EV51-逐级计算!$P$152)*LN(10)/10))))))),"")</f>
        <v>13.7930365742072</v>
      </c>
      <c r="EX51">
        <f>IF(AND(ISNUMBER(EW51),逐级计算!$X$153&gt;-1),IF(逐级计算!$X$153=0,EW51+逐级计算!$C$153,EW51+逐级计算!$C$153-(10/(逐级计算!$Q$153*LN(10))*(MAX((LN(10^(逐级计算!$Q$153/10)-1)+逐级计算!$Q$153*(EW51-逐级计算!$P$153)*LN(10)/10),0)+LN(1+EXP(-ABS((LN(10^(逐级计算!$Q$153/10)-1)+逐级计算!$Q$153*(EW51-逐级计算!$P$153)*LN(10)/10))))))),"")</f>
        <v>13.7930365742072</v>
      </c>
      <c r="EY51">
        <f>IF(AND(ISNUMBER(EX51),逐级计算!$X$154&gt;-1),IF(逐级计算!$X$154=0,EX51+逐级计算!$C$154,EX51+逐级计算!$C$154-(10/(逐级计算!$Q$154*LN(10))*(MAX((LN(10^(逐级计算!$Q$154/10)-1)+逐级计算!$Q$154*(EX51-逐级计算!$P$154)*LN(10)/10),0)+LN(1+EXP(-ABS((LN(10^(逐级计算!$Q$154/10)-1)+逐级计算!$Q$154*(EX51-逐级计算!$P$154)*LN(10)/10))))))),"")</f>
        <v>13.7930365742072</v>
      </c>
      <c r="EZ51">
        <f>IF(AND(ISNUMBER(EY51),逐级计算!$X$155&gt;-1),IF(逐级计算!$X$155=0,EY51+逐级计算!$C$155,EY51+逐级计算!$C$155-(10/(逐级计算!$Q$155*LN(10))*(MAX((LN(10^(逐级计算!$Q$155/10)-1)+逐级计算!$Q$155*(EY51-逐级计算!$P$155)*LN(10)/10),0)+LN(1+EXP(-ABS((LN(10^(逐级计算!$Q$155/10)-1)+逐级计算!$Q$155*(EY51-逐级计算!$P$155)*LN(10)/10))))))),"")</f>
        <v>13.7930365742072</v>
      </c>
      <c r="FA51">
        <f>IF(AND(ISNUMBER(EZ51),逐级计算!$X$156&gt;-1),IF(逐级计算!$X$156=0,EZ51+逐级计算!$C$156,EZ51+逐级计算!$C$156-(10/(逐级计算!$Q$156*LN(10))*(MAX((LN(10^(逐级计算!$Q$156/10)-1)+逐级计算!$Q$156*(EZ51-逐级计算!$P$156)*LN(10)/10),0)+LN(1+EXP(-ABS((LN(10^(逐级计算!$Q$156/10)-1)+逐级计算!$Q$156*(EZ51-逐级计算!$P$156)*LN(10)/10))))))),"")</f>
        <v>13.7930365742072</v>
      </c>
      <c r="FB51">
        <f>IF(AND(ISNUMBER(FA51),逐级计算!$X$157&gt;-1),IF(逐级计算!$X$157=0,FA51+逐级计算!$C$157,FA51+逐级计算!$C$157-(10/(逐级计算!$Q$157*LN(10))*(MAX((LN(10^(逐级计算!$Q$157/10)-1)+逐级计算!$Q$157*(FA51-逐级计算!$P$157)*LN(10)/10),0)+LN(1+EXP(-ABS((LN(10^(逐级计算!$Q$157/10)-1)+逐级计算!$Q$157*(FA51-逐级计算!$P$157)*LN(10)/10))))))),"")</f>
        <v>13.7930365742072</v>
      </c>
      <c r="FC51">
        <f>IF(AND(ISNUMBER(FB51),逐级计算!$X$158&gt;-1),IF(逐级计算!$X$158=0,FB51+逐级计算!$C$158,FB51+逐级计算!$C$158-(10/(逐级计算!$Q$158*LN(10))*(MAX((LN(10^(逐级计算!$Q$158/10)-1)+逐级计算!$Q$158*(FB51-逐级计算!$P$158)*LN(10)/10),0)+LN(1+EXP(-ABS((LN(10^(逐级计算!$Q$158/10)-1)+逐级计算!$Q$158*(FB51-逐级计算!$P$158)*LN(10)/10))))))),"")</f>
        <v>13.7930365742072</v>
      </c>
      <c r="FD51">
        <f>IF(AND(ISNUMBER(FC51),逐级计算!$X$159&gt;-1),IF(逐级计算!$X$159=0,FC51+逐级计算!$C$159,FC51+逐级计算!$C$159-(10/(逐级计算!$Q$159*LN(10))*(MAX((LN(10^(逐级计算!$Q$159/10)-1)+逐级计算!$Q$159*(FC51-逐级计算!$P$159)*LN(10)/10),0)+LN(1+EXP(-ABS((LN(10^(逐级计算!$Q$159/10)-1)+逐级计算!$Q$159*(FC51-逐级计算!$P$159)*LN(10)/10))))))),"")</f>
        <v>13.7930365742072</v>
      </c>
      <c r="FE51">
        <f>IF(AND(ISNUMBER(FD51),逐级计算!$X$160&gt;-1),IF(逐级计算!$X$160=0,FD51+逐级计算!$C$160,FD51+逐级计算!$C$160-(10/(逐级计算!$Q$160*LN(10))*(MAX((LN(10^(逐级计算!$Q$160/10)-1)+逐级计算!$Q$160*(FD51-逐级计算!$P$160)*LN(10)/10),0)+LN(1+EXP(-ABS((LN(10^(逐级计算!$Q$160/10)-1)+逐级计算!$Q$160*(FD51-逐级计算!$P$160)*LN(10)/10))))))),"")</f>
        <v>13.7930365742072</v>
      </c>
      <c r="FF51">
        <f>IF(AND(ISNUMBER(FE51),逐级计算!$X$161&gt;-1),IF(逐级计算!$X$161=0,FE51+逐级计算!$C$161,FE51+逐级计算!$C$161-(10/(逐级计算!$Q$161*LN(10))*(MAX((LN(10^(逐级计算!$Q$161/10)-1)+逐级计算!$Q$161*(FE51-逐级计算!$P$161)*LN(10)/10),0)+LN(1+EXP(-ABS((LN(10^(逐级计算!$Q$161/10)-1)+逐级计算!$Q$161*(FE51-逐级计算!$P$161)*LN(10)/10))))))),"")</f>
        <v>13.7930365742072</v>
      </c>
      <c r="FG51">
        <f>IF(AND(ISNUMBER(FF51),逐级计算!$X$162&gt;-1),IF(逐级计算!$X$162=0,FF51+逐级计算!$C$162,FF51+逐级计算!$C$162-(10/(逐级计算!$Q$162*LN(10))*(MAX((LN(10^(逐级计算!$Q$162/10)-1)+逐级计算!$Q$162*(FF51-逐级计算!$P$162)*LN(10)/10),0)+LN(1+EXP(-ABS((LN(10^(逐级计算!$Q$162/10)-1)+逐级计算!$Q$162*(FF51-逐级计算!$P$162)*LN(10)/10))))))),"")</f>
        <v>13.7930365742072</v>
      </c>
      <c r="FH51">
        <f>IF(AND(ISNUMBER(FG51),逐级计算!$X$163&gt;-1),IF(逐级计算!$X$163=0,FG51+逐级计算!$C$163,FG51+逐级计算!$C$163-(10/(逐级计算!$Q$163*LN(10))*(MAX((LN(10^(逐级计算!$Q$163/10)-1)+逐级计算!$Q$163*(FG51-逐级计算!$P$163)*LN(10)/10),0)+LN(1+EXP(-ABS((LN(10^(逐级计算!$Q$163/10)-1)+逐级计算!$Q$163*(FG51-逐级计算!$P$163)*LN(10)/10))))))),"")</f>
        <v>13.7930365742072</v>
      </c>
      <c r="FI51">
        <f>IF(AND(ISNUMBER(FH51),逐级计算!$X$164&gt;-1),IF(逐级计算!$X$164=0,FH51+逐级计算!$C$164,FH51+逐级计算!$C$164-(10/(逐级计算!$Q$164*LN(10))*(MAX((LN(10^(逐级计算!$Q$164/10)-1)+逐级计算!$Q$164*(FH51-逐级计算!$P$164)*LN(10)/10),0)+LN(1+EXP(-ABS((LN(10^(逐级计算!$Q$164/10)-1)+逐级计算!$Q$164*(FH51-逐级计算!$P$164)*LN(10)/10))))))),"")</f>
        <v>13.7930365742072</v>
      </c>
      <c r="FJ51">
        <f>IF(AND(ISNUMBER(FI51),逐级计算!$X$165&gt;-1),IF(逐级计算!$X$165=0,FI51+逐级计算!$C$165,FI51+逐级计算!$C$165-(10/(逐级计算!$Q$165*LN(10))*(MAX((LN(10^(逐级计算!$Q$165/10)-1)+逐级计算!$Q$165*(FI51-逐级计算!$P$165)*LN(10)/10),0)+LN(1+EXP(-ABS((LN(10^(逐级计算!$Q$165/10)-1)+逐级计算!$Q$165*(FI51-逐级计算!$P$165)*LN(10)/10))))))),"")</f>
        <v>13.7930365742072</v>
      </c>
      <c r="FK51">
        <f>IF(AND(ISNUMBER(FJ51),逐级计算!$X$166&gt;-1),IF(逐级计算!$X$166=0,FJ51+逐级计算!$C$166,FJ51+逐级计算!$C$166-(10/(逐级计算!$Q$166*LN(10))*(MAX((LN(10^(逐级计算!$Q$166/10)-1)+逐级计算!$Q$166*(FJ51-逐级计算!$P$166)*LN(10)/10),0)+LN(1+EXP(-ABS((LN(10^(逐级计算!$Q$166/10)-1)+逐级计算!$Q$166*(FJ51-逐级计算!$P$166)*LN(10)/10))))))),"")</f>
        <v>13.7930365742072</v>
      </c>
      <c r="FL51">
        <f>IF(AND(ISNUMBER(FK51),逐级计算!$X$167&gt;-1),IF(逐级计算!$X$167=0,FK51+逐级计算!$C$167,FK51+逐级计算!$C$167-(10/(逐级计算!$Q$167*LN(10))*(MAX((LN(10^(逐级计算!$Q$167/10)-1)+逐级计算!$Q$167*(FK51-逐级计算!$P$167)*LN(10)/10),0)+LN(1+EXP(-ABS((LN(10^(逐级计算!$Q$167/10)-1)+逐级计算!$Q$167*(FK51-逐级计算!$P$167)*LN(10)/10))))))),"")</f>
        <v>13.7930365742072</v>
      </c>
      <c r="FM51">
        <f>IF(AND(ISNUMBER(FL51),逐级计算!$X$168&gt;-1),IF(逐级计算!$X$168=0,FL51+逐级计算!$C$168,FL51+逐级计算!$C$168-(10/(逐级计算!$Q$168*LN(10))*(MAX((LN(10^(逐级计算!$Q$168/10)-1)+逐级计算!$Q$168*(FL51-逐级计算!$P$168)*LN(10)/10),0)+LN(1+EXP(-ABS((LN(10^(逐级计算!$Q$168/10)-1)+逐级计算!$Q$168*(FL51-逐级计算!$P$168)*LN(10)/10))))))),"")</f>
        <v>13.7930365742072</v>
      </c>
      <c r="FN51">
        <f>IF(AND(ISNUMBER(FM51),逐级计算!$X$169&gt;-1),IF(逐级计算!$X$169=0,FM51+逐级计算!$C$169,FM51+逐级计算!$C$169-(10/(逐级计算!$Q$169*LN(10))*(MAX((LN(10^(逐级计算!$Q$169/10)-1)+逐级计算!$Q$169*(FM51-逐级计算!$P$169)*LN(10)/10),0)+LN(1+EXP(-ABS((LN(10^(逐级计算!$Q$169/10)-1)+逐级计算!$Q$169*(FM51-逐级计算!$P$169)*LN(10)/10))))))),"")</f>
        <v>13.7930365742072</v>
      </c>
      <c r="FO51">
        <f>IF(AND(ISNUMBER(FN51),逐级计算!$X$170&gt;-1),IF(逐级计算!$X$170=0,FN51+逐级计算!$C$170,FN51+逐级计算!$C$170-(10/(逐级计算!$Q$170*LN(10))*(MAX((LN(10^(逐级计算!$Q$170/10)-1)+逐级计算!$Q$170*(FN51-逐级计算!$P$170)*LN(10)/10),0)+LN(1+EXP(-ABS((LN(10^(逐级计算!$Q$170/10)-1)+逐级计算!$Q$170*(FN51-逐级计算!$P$170)*LN(10)/10))))))),"")</f>
        <v>13.7930365742072</v>
      </c>
      <c r="FP51">
        <f>IF(AND(ISNUMBER(FO51),逐级计算!$X$171&gt;-1),IF(逐级计算!$X$171=0,FO51+逐级计算!$C$171,FO51+逐级计算!$C$171-(10/(逐级计算!$Q$171*LN(10))*(MAX((LN(10^(逐级计算!$Q$171/10)-1)+逐级计算!$Q$171*(FO51-逐级计算!$P$171)*LN(10)/10),0)+LN(1+EXP(-ABS((LN(10^(逐级计算!$Q$171/10)-1)+逐级计算!$Q$171*(FO51-逐级计算!$P$171)*LN(10)/10))))))),"")</f>
        <v>13.7930365742072</v>
      </c>
      <c r="FQ51">
        <f>IF(AND(ISNUMBER(FP51),逐级计算!$X$172&gt;-1),IF(逐级计算!$X$172=0,FP51+逐级计算!$C$172,FP51+逐级计算!$C$172-(10/(逐级计算!$Q$172*LN(10))*(MAX((LN(10^(逐级计算!$Q$172/10)-1)+逐级计算!$Q$172*(FP51-逐级计算!$P$172)*LN(10)/10),0)+LN(1+EXP(-ABS((LN(10^(逐级计算!$Q$172/10)-1)+逐级计算!$Q$172*(FP51-逐级计算!$P$172)*LN(10)/10))))))),"")</f>
        <v>13.7930365742072</v>
      </c>
      <c r="FR51">
        <f>IF(AND(ISNUMBER(FQ51),逐级计算!$X$173&gt;-1),IF(逐级计算!$X$173=0,FQ51+逐级计算!$C$173,FQ51+逐级计算!$C$173-(10/(逐级计算!$Q$173*LN(10))*(MAX((LN(10^(逐级计算!$Q$173/10)-1)+逐级计算!$Q$173*(FQ51-逐级计算!$P$173)*LN(10)/10),0)+LN(1+EXP(-ABS((LN(10^(逐级计算!$Q$173/10)-1)+逐级计算!$Q$173*(FQ51-逐级计算!$P$173)*LN(10)/10))))))),"")</f>
        <v>13.7930365742072</v>
      </c>
      <c r="FS51">
        <f>IF(AND(ISNUMBER(FR51),逐级计算!$X$174&gt;-1),IF(逐级计算!$X$174=0,FR51+逐级计算!$C$174,FR51+逐级计算!$C$174-(10/(逐级计算!$Q$174*LN(10))*(MAX((LN(10^(逐级计算!$Q$174/10)-1)+逐级计算!$Q$174*(FR51-逐级计算!$P$174)*LN(10)/10),0)+LN(1+EXP(-ABS((LN(10^(逐级计算!$Q$174/10)-1)+逐级计算!$Q$174*(FR51-逐级计算!$P$174)*LN(10)/10))))))),"")</f>
        <v>13.7930365742072</v>
      </c>
      <c r="FT51">
        <f>IF(AND(ISNUMBER(FS51),逐级计算!$X$175&gt;-1),IF(逐级计算!$X$175=0,FS51+逐级计算!$C$175,FS51+逐级计算!$C$175-(10/(逐级计算!$Q$175*LN(10))*(MAX((LN(10^(逐级计算!$Q$175/10)-1)+逐级计算!$Q$175*(FS51-逐级计算!$P$175)*LN(10)/10),0)+LN(1+EXP(-ABS((LN(10^(逐级计算!$Q$175/10)-1)+逐级计算!$Q$175*(FS51-逐级计算!$P$175)*LN(10)/10))))))),"")</f>
        <v>13.7930365742072</v>
      </c>
      <c r="FU51">
        <f>IF(AND(ISNUMBER(FT51),逐级计算!$X$176&gt;-1),IF(逐级计算!$X$176=0,FT51+逐级计算!$C$176,FT51+逐级计算!$C$176-(10/(逐级计算!$Q$176*LN(10))*(MAX((LN(10^(逐级计算!$Q$176/10)-1)+逐级计算!$Q$176*(FT51-逐级计算!$P$176)*LN(10)/10),0)+LN(1+EXP(-ABS((LN(10^(逐级计算!$Q$176/10)-1)+逐级计算!$Q$176*(FT51-逐级计算!$P$176)*LN(10)/10))))))),"")</f>
        <v>13.7930365742072</v>
      </c>
      <c r="FV51">
        <f>IF(AND(ISNUMBER(FU51),逐级计算!$X$177&gt;-1),IF(逐级计算!$X$177=0,FU51+逐级计算!$C$177,FU51+逐级计算!$C$177-(10/(逐级计算!$Q$177*LN(10))*(MAX((LN(10^(逐级计算!$Q$177/10)-1)+逐级计算!$Q$177*(FU51-逐级计算!$P$177)*LN(10)/10),0)+LN(1+EXP(-ABS((LN(10^(逐级计算!$Q$177/10)-1)+逐级计算!$Q$177*(FU51-逐级计算!$P$177)*LN(10)/10))))))),"")</f>
        <v>13.7930365742072</v>
      </c>
      <c r="FW51">
        <f>IF(AND(ISNUMBER(FV51),逐级计算!$X$178&gt;-1),IF(逐级计算!$X$178=0,FV51+逐级计算!$C$178,FV51+逐级计算!$C$178-(10/(逐级计算!$Q$178*LN(10))*(MAX((LN(10^(逐级计算!$Q$178/10)-1)+逐级计算!$Q$178*(FV51-逐级计算!$P$178)*LN(10)/10),0)+LN(1+EXP(-ABS((LN(10^(逐级计算!$Q$178/10)-1)+逐级计算!$Q$178*(FV51-逐级计算!$P$178)*LN(10)/10))))))),"")</f>
        <v>13.7930365742072</v>
      </c>
      <c r="FX51">
        <f>IF(AND(ISNUMBER(FW51),逐级计算!$X$179&gt;-1),IF(逐级计算!$X$179=0,FW51+逐级计算!$C$179,FW51+逐级计算!$C$179-(10/(逐级计算!$Q$179*LN(10))*(MAX((LN(10^(逐级计算!$Q$179/10)-1)+逐级计算!$Q$179*(FW51-逐级计算!$P$179)*LN(10)/10),0)+LN(1+EXP(-ABS((LN(10^(逐级计算!$Q$179/10)-1)+逐级计算!$Q$179*(FW51-逐级计算!$P$179)*LN(10)/10))))))),"")</f>
        <v>13.7930365742072</v>
      </c>
      <c r="FY51">
        <f>IF(AND(ISNUMBER(FX51),逐级计算!$X$180&gt;-1),IF(逐级计算!$X$180=0,FX51+逐级计算!$C$180,FX51+逐级计算!$C$180-(10/(逐级计算!$Q$180*LN(10))*(MAX((LN(10^(逐级计算!$Q$180/10)-1)+逐级计算!$Q$180*(FX51-逐级计算!$P$180)*LN(10)/10),0)+LN(1+EXP(-ABS((LN(10^(逐级计算!$Q$180/10)-1)+逐级计算!$Q$180*(FX51-逐级计算!$P$180)*LN(10)/10))))))),"")</f>
        <v>13.7930365742072</v>
      </c>
      <c r="FZ51">
        <f>IF(AND(ISNUMBER(FY51),逐级计算!$X$181&gt;-1),IF(逐级计算!$X$181=0,FY51+逐级计算!$C$181,FY51+逐级计算!$C$181-(10/(逐级计算!$Q$181*LN(10))*(MAX((LN(10^(逐级计算!$Q$181/10)-1)+逐级计算!$Q$181*(FY51-逐级计算!$P$181)*LN(10)/10),0)+LN(1+EXP(-ABS((LN(10^(逐级计算!$Q$181/10)-1)+逐级计算!$Q$181*(FY51-逐级计算!$P$181)*LN(10)/10))))))),"")</f>
        <v>13.7930365742072</v>
      </c>
      <c r="GA51">
        <f>IF(AND(ISNUMBER(FZ51),逐级计算!$X$182&gt;-1),IF(逐级计算!$X$182=0,FZ51+逐级计算!$C$182,FZ51+逐级计算!$C$182-(10/(逐级计算!$Q$182*LN(10))*(MAX((LN(10^(逐级计算!$Q$182/10)-1)+逐级计算!$Q$182*(FZ51-逐级计算!$P$182)*LN(10)/10),0)+LN(1+EXP(-ABS((LN(10^(逐级计算!$Q$182/10)-1)+逐级计算!$Q$182*(FZ51-逐级计算!$P$182)*LN(10)/10))))))),"")</f>
        <v>13.7930365742072</v>
      </c>
      <c r="GB51">
        <f>IF(AND(ISNUMBER(GA51),逐级计算!$X$183&gt;-1),IF(逐级计算!$X$183=0,GA51+逐级计算!$C$183,GA51+逐级计算!$C$183-(10/(逐级计算!$Q$183*LN(10))*(MAX((LN(10^(逐级计算!$Q$183/10)-1)+逐级计算!$Q$183*(GA51-逐级计算!$P$183)*LN(10)/10),0)+LN(1+EXP(-ABS((LN(10^(逐级计算!$Q$183/10)-1)+逐级计算!$Q$183*(GA51-逐级计算!$P$183)*LN(10)/10))))))),"")</f>
        <v>13.7930365742072</v>
      </c>
      <c r="GC51">
        <f>IF(AND(ISNUMBER(GB51),逐级计算!$X$184&gt;-1),IF(逐级计算!$X$184=0,GB51+逐级计算!$C$184,GB51+逐级计算!$C$184-(10/(逐级计算!$Q$184*LN(10))*(MAX((LN(10^(逐级计算!$Q$184/10)-1)+逐级计算!$Q$184*(GB51-逐级计算!$P$184)*LN(10)/10),0)+LN(1+EXP(-ABS((LN(10^(逐级计算!$Q$184/10)-1)+逐级计算!$Q$184*(GB51-逐级计算!$P$184)*LN(10)/10))))))),"")</f>
        <v>13.7930365742072</v>
      </c>
      <c r="GD51">
        <f>IF(AND(ISNUMBER(GC51),逐级计算!$X$185&gt;-1),IF(逐级计算!$X$185=0,GC51+逐级计算!$C$185,GC51+逐级计算!$C$185-(10/(逐级计算!$Q$185*LN(10))*(MAX((LN(10^(逐级计算!$Q$185/10)-1)+逐级计算!$Q$185*(GC51-逐级计算!$P$185)*LN(10)/10),0)+LN(1+EXP(-ABS((LN(10^(逐级计算!$Q$185/10)-1)+逐级计算!$Q$185*(GC51-逐级计算!$P$185)*LN(10)/10))))))),"")</f>
        <v>13.7930365742072</v>
      </c>
      <c r="GE51">
        <f>IF(AND(ISNUMBER(GD51),逐级计算!$X$186&gt;-1),IF(逐级计算!$X$186=0,GD51+逐级计算!$C$186,GD51+逐级计算!$C$186-(10/(逐级计算!$Q$186*LN(10))*(MAX((LN(10^(逐级计算!$Q$186/10)-1)+逐级计算!$Q$186*(GD51-逐级计算!$P$186)*LN(10)/10),0)+LN(1+EXP(-ABS((LN(10^(逐级计算!$Q$186/10)-1)+逐级计算!$Q$186*(GD51-逐级计算!$P$186)*LN(10)/10))))))),"")</f>
        <v>13.7930365742072</v>
      </c>
      <c r="GF51">
        <f>IF(AND(ISNUMBER(GE51),逐级计算!$X$187&gt;-1),IF(逐级计算!$X$187=0,GE51+逐级计算!$C$187,GE51+逐级计算!$C$187-(10/(逐级计算!$Q$187*LN(10))*(MAX((LN(10^(逐级计算!$Q$187/10)-1)+逐级计算!$Q$187*(GE51-逐级计算!$P$187)*LN(10)/10),0)+LN(1+EXP(-ABS((LN(10^(逐级计算!$Q$187/10)-1)+逐级计算!$Q$187*(GE51-逐级计算!$P$187)*LN(10)/10))))))),"")</f>
        <v>13.7930365742072</v>
      </c>
      <c r="GG51">
        <f>IF(AND(ISNUMBER(GF51),逐级计算!$X$188&gt;-1),IF(逐级计算!$X$188=0,GF51+逐级计算!$C$188,GF51+逐级计算!$C$188-(10/(逐级计算!$Q$188*LN(10))*(MAX((LN(10^(逐级计算!$Q$188/10)-1)+逐级计算!$Q$188*(GF51-逐级计算!$P$188)*LN(10)/10),0)+LN(1+EXP(-ABS((LN(10^(逐级计算!$Q$188/10)-1)+逐级计算!$Q$188*(GF51-逐级计算!$P$188)*LN(10)/10))))))),"")</f>
        <v>13.7930365742072</v>
      </c>
      <c r="GH51">
        <f>IF(AND(ISNUMBER(GG51),逐级计算!$X$189&gt;-1),IF(逐级计算!$X$189=0,GG51+逐级计算!$C$189,GG51+逐级计算!$C$189-(10/(逐级计算!$Q$189*LN(10))*(MAX((LN(10^(逐级计算!$Q$189/10)-1)+逐级计算!$Q$189*(GG51-逐级计算!$P$189)*LN(10)/10),0)+LN(1+EXP(-ABS((LN(10^(逐级计算!$Q$189/10)-1)+逐级计算!$Q$189*(GG51-逐级计算!$P$189)*LN(10)/10))))))),"")</f>
        <v>13.7930365742072</v>
      </c>
      <c r="GI51">
        <f>IF(AND(ISNUMBER(GH51),逐级计算!$X$190&gt;-1),IF(逐级计算!$X$190=0,GH51+逐级计算!$C$190,GH51+逐级计算!$C$190-(10/(逐级计算!$Q$190*LN(10))*(MAX((LN(10^(逐级计算!$Q$190/10)-1)+逐级计算!$Q$190*(GH51-逐级计算!$P$190)*LN(10)/10),0)+LN(1+EXP(-ABS((LN(10^(逐级计算!$Q$190/10)-1)+逐级计算!$Q$190*(GH51-逐级计算!$P$190)*LN(10)/10))))))),"")</f>
        <v>13.7930365742072</v>
      </c>
      <c r="GJ51">
        <f>IF(AND(ISNUMBER(GI51),逐级计算!$X$191&gt;-1),IF(逐级计算!$X$191=0,GI51+逐级计算!$C$191,GI51+逐级计算!$C$191-(10/(逐级计算!$Q$191*LN(10))*(MAX((LN(10^(逐级计算!$Q$191/10)-1)+逐级计算!$Q$191*(GI51-逐级计算!$P$191)*LN(10)/10),0)+LN(1+EXP(-ABS((LN(10^(逐级计算!$Q$191/10)-1)+逐级计算!$Q$191*(GI51-逐级计算!$P$191)*LN(10)/10))))))),"")</f>
        <v>13.7930365742072</v>
      </c>
      <c r="GK51">
        <f>IF(AND(ISNUMBER(GJ51),逐级计算!$X$192&gt;-1),IF(逐级计算!$X$192=0,GJ51+逐级计算!$C$192,GJ51+逐级计算!$C$192-(10/(逐级计算!$Q$192*LN(10))*(MAX((LN(10^(逐级计算!$Q$192/10)-1)+逐级计算!$Q$192*(GJ51-逐级计算!$P$192)*LN(10)/10),0)+LN(1+EXP(-ABS((LN(10^(逐级计算!$Q$192/10)-1)+逐级计算!$Q$192*(GJ51-逐级计算!$P$192)*LN(10)/10))))))),"")</f>
        <v>13.7930365742072</v>
      </c>
      <c r="GL51">
        <f>IF(AND(ISNUMBER(GK51),逐级计算!$X$193&gt;-1),IF(逐级计算!$X$193=0,GK51+逐级计算!$C$193,GK51+逐级计算!$C$193-(10/(逐级计算!$Q$193*LN(10))*(MAX((LN(10^(逐级计算!$Q$193/10)-1)+逐级计算!$Q$193*(GK51-逐级计算!$P$193)*LN(10)/10),0)+LN(1+EXP(-ABS((LN(10^(逐级计算!$Q$193/10)-1)+逐级计算!$Q$193*(GK51-逐级计算!$P$193)*LN(10)/10))))))),"")</f>
        <v>13.7930365742072</v>
      </c>
      <c r="GM51">
        <f>IF(AND(ISNUMBER(GL51),逐级计算!$X$194&gt;-1),IF(逐级计算!$X$194=0,GL51+逐级计算!$C$194,GL51+逐级计算!$C$194-(10/(逐级计算!$Q$194*LN(10))*(MAX((LN(10^(逐级计算!$Q$194/10)-1)+逐级计算!$Q$194*(GL51-逐级计算!$P$194)*LN(10)/10),0)+LN(1+EXP(-ABS((LN(10^(逐级计算!$Q$194/10)-1)+逐级计算!$Q$194*(GL51-逐级计算!$P$194)*LN(10)/10))))))),"")</f>
        <v>13.7930365742072</v>
      </c>
      <c r="GN51">
        <f>IF(AND(ISNUMBER(GM51),逐级计算!$X$195&gt;-1),IF(逐级计算!$X$195=0,GM51+逐级计算!$C$195,GM51+逐级计算!$C$195-(10/(逐级计算!$Q$195*LN(10))*(MAX((LN(10^(逐级计算!$Q$195/10)-1)+逐级计算!$Q$195*(GM51-逐级计算!$P$195)*LN(10)/10),0)+LN(1+EXP(-ABS((LN(10^(逐级计算!$Q$195/10)-1)+逐级计算!$Q$195*(GM51-逐级计算!$P$195)*LN(10)/10))))))),"")</f>
        <v>13.7930365742072</v>
      </c>
      <c r="GO51">
        <f>IF(AND(ISNUMBER(GN51),逐级计算!$X$196&gt;-1),IF(逐级计算!$X$196=0,GN51+逐级计算!$C$196,GN51+逐级计算!$C$196-(10/(逐级计算!$Q$196*LN(10))*(MAX((LN(10^(逐级计算!$Q$196/10)-1)+逐级计算!$Q$196*(GN51-逐级计算!$P$196)*LN(10)/10),0)+LN(1+EXP(-ABS((LN(10^(逐级计算!$Q$196/10)-1)+逐级计算!$Q$196*(GN51-逐级计算!$P$196)*LN(10)/10))))))),"")</f>
        <v>13.7930365742072</v>
      </c>
      <c r="GP51">
        <f>IF(AND(ISNUMBER(GO51),逐级计算!$X$197&gt;-1),IF(逐级计算!$X$197=0,GO51+逐级计算!$C$197,GO51+逐级计算!$C$197-(10/(逐级计算!$Q$197*LN(10))*(MAX((LN(10^(逐级计算!$Q$197/10)-1)+逐级计算!$Q$197*(GO51-逐级计算!$P$197)*LN(10)/10),0)+LN(1+EXP(-ABS((LN(10^(逐级计算!$Q$197/10)-1)+逐级计算!$Q$197*(GO51-逐级计算!$P$197)*LN(10)/10))))))),"")</f>
        <v>13.7930365742072</v>
      </c>
      <c r="GQ51">
        <f>IF(AND(ISNUMBER(GP51),逐级计算!$X$198&gt;-1),IF(逐级计算!$X$198=0,GP51+逐级计算!$C$198,GP51+逐级计算!$C$198-(10/(逐级计算!$Q$198*LN(10))*(MAX((LN(10^(逐级计算!$Q$198/10)-1)+逐级计算!$Q$198*(GP51-逐级计算!$P$198)*LN(10)/10),0)+LN(1+EXP(-ABS((LN(10^(逐级计算!$Q$198/10)-1)+逐级计算!$Q$198*(GP51-逐级计算!$P$198)*LN(10)/10))))))),"")</f>
        <v>13.7930365742072</v>
      </c>
      <c r="GR51">
        <f>IF(AND(ISNUMBER(GQ51),逐级计算!$X$199&gt;-1),IF(逐级计算!$X$199=0,GQ51+逐级计算!$C$199,GQ51+逐级计算!$C$199-(10/(逐级计算!$Q$199*LN(10))*(MAX((LN(10^(逐级计算!$Q$199/10)-1)+逐级计算!$Q$199*(GQ51-逐级计算!$P$199)*LN(10)/10),0)+LN(1+EXP(-ABS((LN(10^(逐级计算!$Q$199/10)-1)+逐级计算!$Q$199*(GQ51-逐级计算!$P$199)*LN(10)/10))))))),"")</f>
        <v>13.7930365742072</v>
      </c>
      <c r="GS51">
        <f>IF(AND(ISNUMBER(GR51),逐级计算!$X$200&gt;-1),IF(逐级计算!$X$200=0,GR51+逐级计算!$C$200,GR51+逐级计算!$C$200-(10/(逐级计算!$Q$200*LN(10))*(MAX((LN(10^(逐级计算!$Q$200/10)-1)+逐级计算!$Q$200*(GR51-逐级计算!$P$200)*LN(10)/10),0)+LN(1+EXP(-ABS((LN(10^(逐级计算!$Q$200/10)-1)+逐级计算!$Q$200*(GR51-逐级计算!$P$200)*LN(10)/10))))))),"")</f>
        <v>13.7930365742072</v>
      </c>
      <c r="GT51">
        <f>IF(AND(ISNUMBER(GS51),逐级计算!$X$201&gt;-1),IF(逐级计算!$X$201=0,GS51+逐级计算!$C$201,GS51+逐级计算!$C$201-(10/(逐级计算!$Q$201*LN(10))*(MAX((LN(10^(逐级计算!$Q$201/10)-1)+逐级计算!$Q$201*(GS51-逐级计算!$P$201)*LN(10)/10),0)+LN(1+EXP(-ABS((LN(10^(逐级计算!$Q$201/10)-1)+逐级计算!$Q$201*(GS51-逐级计算!$P$201)*LN(10)/10))))))),"")</f>
        <v>13.7930365742072</v>
      </c>
      <c r="GU51">
        <f>IF(AND(ISNUMBER(GT51),逐级计算!$X$202&gt;-1),IF(逐级计算!$X$202=0,GT51+逐级计算!$C$202,GT51+逐级计算!$C$202-(10/(逐级计算!$Q$202*LN(10))*(MAX((LN(10^(逐级计算!$Q$202/10)-1)+逐级计算!$Q$202*(GT51-逐级计算!$P$202)*LN(10)/10),0)+LN(1+EXP(-ABS((LN(10^(逐级计算!$Q$202/10)-1)+逐级计算!$Q$202*(GT51-逐级计算!$P$202)*LN(10)/10))))))),"")</f>
        <v>13.7930365742072</v>
      </c>
      <c r="GV51">
        <f>IF(AND(ISNUMBER(GU51),逐级计算!$X$203&gt;-1),IF(逐级计算!$X$203=0,GU51+逐级计算!$C$203,GU51+逐级计算!$C$203-(10/(逐级计算!$Q$203*LN(10))*(MAX((LN(10^(逐级计算!$Q$203/10)-1)+逐级计算!$Q$203*(GU51-逐级计算!$P$203)*LN(10)/10),0)+LN(1+EXP(-ABS((LN(10^(逐级计算!$Q$203/10)-1)+逐级计算!$Q$203*(GU51-逐级计算!$P$203)*LN(10)/10))))))),"")</f>
        <v>13.7930365742072</v>
      </c>
      <c r="GW51">
        <f t="shared" si="2"/>
        <v>-5.20696342578788</v>
      </c>
    </row>
    <row r="52" spans="1:205">
      <c r="A52">
        <v>45</v>
      </c>
      <c r="B52">
        <f t="shared" si="1"/>
        <v>-5.20696342579384</v>
      </c>
      <c r="C52">
        <f t="shared" si="0"/>
        <v>-5.20696342579086</v>
      </c>
      <c r="D52">
        <f>IF(AND(ISNUMBER(C52),ISNUMBER(逐级计算!$E$203),ISNUMBER(GV52)),C52+逐级计算!$E$203-GV52,"")</f>
        <v>1.0000000000001</v>
      </c>
      <c r="E52">
        <f>IF(AND(ISNUMBER(C52),逐级计算!$X$4&gt;-1),IF(逐级计算!$X$4=0,C52+逐级计算!$C$4,C52+逐级计算!$C$4-(10/(逐级计算!$Q$4*LN(10))*(MAX((LN(10^(逐级计算!$Q$4/10)-1)+逐级计算!$Q$4*(C52-逐级计算!$P$4)*LN(10)/10),0)+LN(1+EXP(-ABS((LN(10^(逐级计算!$Q$4/10)-1)+逐级计算!$Q$4*(C52-逐级计算!$P$4)*LN(10)/10))))))),"")</f>
        <v>4.68053982928335</v>
      </c>
      <c r="F52">
        <f>IF(AND(ISNUMBER(E52),逐级计算!$X$5&gt;-1),IF(逐级计算!$X$5=0,E52+逐级计算!$C$5,E52+逐级计算!$C$5-(10/(逐级计算!$Q$5*LN(10))*(MAX((LN(10^(逐级计算!$Q$5/10)-1)+逐级计算!$Q$5*(E52-逐级计算!$P$5)*LN(10)/10),0)+LN(1+EXP(-ABS((LN(10^(逐级计算!$Q$5/10)-1)+逐级计算!$Q$5*(E52-逐级计算!$P$5)*LN(10)/10))))))),"")</f>
        <v>13.793036574209</v>
      </c>
      <c r="G52">
        <f>IF(AND(ISNUMBER(F52),逐级计算!$X$6&gt;-1),IF(逐级计算!$X$6=0,F52+逐级计算!$C$6,F52+逐级计算!$C$6-(10/(逐级计算!$Q$6*LN(10))*(MAX((LN(10^(逐级计算!$Q$6/10)-1)+逐级计算!$Q$6*(F52-逐级计算!$P$6)*LN(10)/10),0)+LN(1+EXP(-ABS((LN(10^(逐级计算!$Q$6/10)-1)+逐级计算!$Q$6*(F52-逐级计算!$P$6)*LN(10)/10))))))),"")</f>
        <v>13.793036574209</v>
      </c>
      <c r="H52">
        <f>IF(AND(ISNUMBER(G52),逐级计算!$X$7&gt;-1),IF(逐级计算!$X$7=0,G52+逐级计算!$C$7,G52+逐级计算!$C$7-(10/(逐级计算!$Q$7*LN(10))*(MAX((LN(10^(逐级计算!$Q$7/10)-1)+逐级计算!$Q$7*(G52-逐级计算!$P$7)*LN(10)/10),0)+LN(1+EXP(-ABS((LN(10^(逐级计算!$Q$7/10)-1)+逐级计算!$Q$7*(G52-逐级计算!$P$7)*LN(10)/10))))))),"")</f>
        <v>13.793036574209</v>
      </c>
      <c r="I52">
        <f>IF(AND(ISNUMBER(H52),逐级计算!$X$8&gt;-1),IF(逐级计算!$X$8=0,H52+逐级计算!$C$8,H52+逐级计算!$C$8-(10/(逐级计算!$Q$8*LN(10))*(MAX((LN(10^(逐级计算!$Q$8/10)-1)+逐级计算!$Q$8*(H52-逐级计算!$P$8)*LN(10)/10),0)+LN(1+EXP(-ABS((LN(10^(逐级计算!$Q$8/10)-1)+逐级计算!$Q$8*(H52-逐级计算!$P$8)*LN(10)/10))))))),"")</f>
        <v>13.793036574209</v>
      </c>
      <c r="J52">
        <f>IF(AND(ISNUMBER(I52),逐级计算!$X$9&gt;-1),IF(逐级计算!$X$9=0,I52+逐级计算!$C$9,I52+逐级计算!$C$9-(10/(逐级计算!$Q$9*LN(10))*(MAX((LN(10^(逐级计算!$Q$9/10)-1)+逐级计算!$Q$9*(I52-逐级计算!$P$9)*LN(10)/10),0)+LN(1+EXP(-ABS((LN(10^(逐级计算!$Q$9/10)-1)+逐级计算!$Q$9*(I52-逐级计算!$P$9)*LN(10)/10))))))),"")</f>
        <v>13.793036574209</v>
      </c>
      <c r="K52">
        <f>IF(AND(ISNUMBER(J52),逐级计算!$X$10&gt;-1),IF(逐级计算!$X$10=0,J52+逐级计算!$C$10,J52+逐级计算!$C$10-(10/(逐级计算!$Q$10*LN(10))*(MAX((LN(10^(逐级计算!$Q$10/10)-1)+逐级计算!$Q$10*(J52-逐级计算!$P$10)*LN(10)/10),0)+LN(1+EXP(-ABS((LN(10^(逐级计算!$Q$10/10)-1)+逐级计算!$Q$10*(J52-逐级计算!$P$10)*LN(10)/10))))))),"")</f>
        <v>13.793036574209</v>
      </c>
      <c r="L52">
        <f>IF(AND(ISNUMBER(K52),逐级计算!$X$11&gt;-1),IF(逐级计算!$X$11=0,K52+逐级计算!$C$11,K52+逐级计算!$C$11-(10/(逐级计算!$Q$11*LN(10))*(MAX((LN(10^(逐级计算!$Q$11/10)-1)+逐级计算!$Q$11*(K52-逐级计算!$P$11)*LN(10)/10),0)+LN(1+EXP(-ABS((LN(10^(逐级计算!$Q$11/10)-1)+逐级计算!$Q$11*(K52-逐级计算!$P$11)*LN(10)/10))))))),"")</f>
        <v>13.793036574209</v>
      </c>
      <c r="M52">
        <f>IF(AND(ISNUMBER(L52),逐级计算!$X$12&gt;-1),IF(逐级计算!$X$12=0,L52+逐级计算!$C$12,L52+逐级计算!$C$12-(10/(逐级计算!$Q$12*LN(10))*(MAX((LN(10^(逐级计算!$Q$12/10)-1)+逐级计算!$Q$12*(L52-逐级计算!$P$12)*LN(10)/10),0)+LN(1+EXP(-ABS((LN(10^(逐级计算!$Q$12/10)-1)+逐级计算!$Q$12*(L52-逐级计算!$P$12)*LN(10)/10))))))),"")</f>
        <v>13.793036574209</v>
      </c>
      <c r="N52">
        <f>IF(AND(ISNUMBER(M52),逐级计算!$X$13&gt;-1),IF(逐级计算!$X$13=0,M52+逐级计算!$C$13,M52+逐级计算!$C$13-(10/(逐级计算!$Q$13*LN(10))*(MAX((LN(10^(逐级计算!$Q$13/10)-1)+逐级计算!$Q$13*(M52-逐级计算!$P$13)*LN(10)/10),0)+LN(1+EXP(-ABS((LN(10^(逐级计算!$Q$13/10)-1)+逐级计算!$Q$13*(M52-逐级计算!$P$13)*LN(10)/10))))))),"")</f>
        <v>13.793036574209</v>
      </c>
      <c r="O52">
        <f>IF(AND(ISNUMBER(N52),逐级计算!$X$14&gt;-1),IF(逐级计算!$X$14=0,N52+逐级计算!$C$14,N52+逐级计算!$C$14-(10/(逐级计算!$Q$14*LN(10))*(MAX((LN(10^(逐级计算!$Q$14/10)-1)+逐级计算!$Q$14*(N52-逐级计算!$P$14)*LN(10)/10),0)+LN(1+EXP(-ABS((LN(10^(逐级计算!$Q$14/10)-1)+逐级计算!$Q$14*(N52-逐级计算!$P$14)*LN(10)/10))))))),"")</f>
        <v>13.793036574209</v>
      </c>
      <c r="P52">
        <f>IF(AND(ISNUMBER(O52),逐级计算!$X$15&gt;-1),IF(逐级计算!$X$15=0,O52+逐级计算!$C$15,O52+逐级计算!$C$15-(10/(逐级计算!$Q$15*LN(10))*(MAX((LN(10^(逐级计算!$Q$15/10)-1)+逐级计算!$Q$15*(O52-逐级计算!$P$15)*LN(10)/10),0)+LN(1+EXP(-ABS((LN(10^(逐级计算!$Q$15/10)-1)+逐级计算!$Q$15*(O52-逐级计算!$P$15)*LN(10)/10))))))),"")</f>
        <v>13.793036574209</v>
      </c>
      <c r="Q52">
        <f>IF(AND(ISNUMBER(P52),逐级计算!$X$16&gt;-1),IF(逐级计算!$X$16=0,P52+逐级计算!$C$16,P52+逐级计算!$C$16-(10/(逐级计算!$Q$16*LN(10))*(MAX((LN(10^(逐级计算!$Q$16/10)-1)+逐级计算!$Q$16*(P52-逐级计算!$P$16)*LN(10)/10),0)+LN(1+EXP(-ABS((LN(10^(逐级计算!$Q$16/10)-1)+逐级计算!$Q$16*(P52-逐级计算!$P$16)*LN(10)/10))))))),"")</f>
        <v>13.793036574209</v>
      </c>
      <c r="R52">
        <f>IF(AND(ISNUMBER(Q52),逐级计算!$X$17&gt;-1),IF(逐级计算!$X$17=0,Q52+逐级计算!$C$17,Q52+逐级计算!$C$17-(10/(逐级计算!$Q$17*LN(10))*(MAX((LN(10^(逐级计算!$Q$17/10)-1)+逐级计算!$Q$17*(Q52-逐级计算!$P$17)*LN(10)/10),0)+LN(1+EXP(-ABS((LN(10^(逐级计算!$Q$17/10)-1)+逐级计算!$Q$17*(Q52-逐级计算!$P$17)*LN(10)/10))))))),"")</f>
        <v>13.793036574209</v>
      </c>
      <c r="S52">
        <f>IF(AND(ISNUMBER(R52),逐级计算!$X$18&gt;-1),IF(逐级计算!$X$18=0,R52+逐级计算!$C$18,R52+逐级计算!$C$18-(10/(逐级计算!$Q$18*LN(10))*(MAX((LN(10^(逐级计算!$Q$18/10)-1)+逐级计算!$Q$18*(R52-逐级计算!$P$18)*LN(10)/10),0)+LN(1+EXP(-ABS((LN(10^(逐级计算!$Q$18/10)-1)+逐级计算!$Q$18*(R52-逐级计算!$P$18)*LN(10)/10))))))),"")</f>
        <v>13.793036574209</v>
      </c>
      <c r="T52">
        <f>IF(AND(ISNUMBER(S52),逐级计算!$X$19&gt;-1),IF(逐级计算!$X$19=0,S52+逐级计算!$C$19,S52+逐级计算!$C$19-(10/(逐级计算!$Q$19*LN(10))*(MAX((LN(10^(逐级计算!$Q$19/10)-1)+逐级计算!$Q$19*(S52-逐级计算!$P$19)*LN(10)/10),0)+LN(1+EXP(-ABS((LN(10^(逐级计算!$Q$19/10)-1)+逐级计算!$Q$19*(S52-逐级计算!$P$19)*LN(10)/10))))))),"")</f>
        <v>13.793036574209</v>
      </c>
      <c r="U52">
        <f>IF(AND(ISNUMBER(T52),逐级计算!$X$20&gt;-1),IF(逐级计算!$X$20=0,T52+逐级计算!$C$20,T52+逐级计算!$C$20-(10/(逐级计算!$Q$20*LN(10))*(MAX((LN(10^(逐级计算!$Q$20/10)-1)+逐级计算!$Q$20*(T52-逐级计算!$P$20)*LN(10)/10),0)+LN(1+EXP(-ABS((LN(10^(逐级计算!$Q$20/10)-1)+逐级计算!$Q$20*(T52-逐级计算!$P$20)*LN(10)/10))))))),"")</f>
        <v>13.793036574209</v>
      </c>
      <c r="V52">
        <f>IF(AND(ISNUMBER(U52),逐级计算!$X$21&gt;-1),IF(逐级计算!$X$21=0,U52+逐级计算!$C$21,U52+逐级计算!$C$21-(10/(逐级计算!$Q$21*LN(10))*(MAX((LN(10^(逐级计算!$Q$21/10)-1)+逐级计算!$Q$21*(U52-逐级计算!$P$21)*LN(10)/10),0)+LN(1+EXP(-ABS((LN(10^(逐级计算!$Q$21/10)-1)+逐级计算!$Q$21*(U52-逐级计算!$P$21)*LN(10)/10))))))),"")</f>
        <v>13.793036574209</v>
      </c>
      <c r="W52">
        <f>IF(AND(ISNUMBER(V52),逐级计算!$X$22&gt;-1),IF(逐级计算!$X$22=0,V52+逐级计算!$C$22,V52+逐级计算!$C$22-(10/(逐级计算!$Q$22*LN(10))*(MAX((LN(10^(逐级计算!$Q$22/10)-1)+逐级计算!$Q$22*(V52-逐级计算!$P$22)*LN(10)/10),0)+LN(1+EXP(-ABS((LN(10^(逐级计算!$Q$22/10)-1)+逐级计算!$Q$22*(V52-逐级计算!$P$22)*LN(10)/10))))))),"")</f>
        <v>13.793036574209</v>
      </c>
      <c r="X52">
        <f>IF(AND(ISNUMBER(W52),逐级计算!$X$23&gt;-1),IF(逐级计算!$X$23=0,W52+逐级计算!$C$23,W52+逐级计算!$C$23-(10/(逐级计算!$Q$23*LN(10))*(MAX((LN(10^(逐级计算!$Q$23/10)-1)+逐级计算!$Q$23*(W52-逐级计算!$P$23)*LN(10)/10),0)+LN(1+EXP(-ABS((LN(10^(逐级计算!$Q$23/10)-1)+逐级计算!$Q$23*(W52-逐级计算!$P$23)*LN(10)/10))))))),"")</f>
        <v>13.793036574209</v>
      </c>
      <c r="Y52">
        <f>IF(AND(ISNUMBER(X52),逐级计算!$X$24&gt;-1),IF(逐级计算!$X$24=0,X52+逐级计算!$C$24,X52+逐级计算!$C$24-(10/(逐级计算!$Q$24*LN(10))*(MAX((LN(10^(逐级计算!$Q$24/10)-1)+逐级计算!$Q$24*(X52-逐级计算!$P$24)*LN(10)/10),0)+LN(1+EXP(-ABS((LN(10^(逐级计算!$Q$24/10)-1)+逐级计算!$Q$24*(X52-逐级计算!$P$24)*LN(10)/10))))))),"")</f>
        <v>13.793036574209</v>
      </c>
      <c r="Z52">
        <f>IF(AND(ISNUMBER(Y52),逐级计算!$X$25&gt;-1),IF(逐级计算!$X$25=0,Y52+逐级计算!$C$25,Y52+逐级计算!$C$25-(10/(逐级计算!$Q$25*LN(10))*(MAX((LN(10^(逐级计算!$Q$25/10)-1)+逐级计算!$Q$25*(Y52-逐级计算!$P$25)*LN(10)/10),0)+LN(1+EXP(-ABS((LN(10^(逐级计算!$Q$25/10)-1)+逐级计算!$Q$25*(Y52-逐级计算!$P$25)*LN(10)/10))))))),"")</f>
        <v>13.793036574209</v>
      </c>
      <c r="AA52">
        <f>IF(AND(ISNUMBER(Z52),逐级计算!$X$26&gt;-1),IF(逐级计算!$X$26=0,Z52+逐级计算!$C$26,Z52+逐级计算!$C$26-(10/(逐级计算!$Q$26*LN(10))*(MAX((LN(10^(逐级计算!$Q$26/10)-1)+逐级计算!$Q$26*(Z52-逐级计算!$P$26)*LN(10)/10),0)+LN(1+EXP(-ABS((LN(10^(逐级计算!$Q$26/10)-1)+逐级计算!$Q$26*(Z52-逐级计算!$P$26)*LN(10)/10))))))),"")</f>
        <v>13.793036574209</v>
      </c>
      <c r="AB52">
        <f>IF(AND(ISNUMBER(AA52),逐级计算!$X$27&gt;-1),IF(逐级计算!$X$27=0,AA52+逐级计算!$C$27,AA52+逐级计算!$C$27-(10/(逐级计算!$Q$27*LN(10))*(MAX((LN(10^(逐级计算!$Q$27/10)-1)+逐级计算!$Q$27*(AA52-逐级计算!$P$27)*LN(10)/10),0)+LN(1+EXP(-ABS((LN(10^(逐级计算!$Q$27/10)-1)+逐级计算!$Q$27*(AA52-逐级计算!$P$27)*LN(10)/10))))))),"")</f>
        <v>13.793036574209</v>
      </c>
      <c r="AC52">
        <f>IF(AND(ISNUMBER(AB52),逐级计算!$X$28&gt;-1),IF(逐级计算!$X$28=0,AB52+逐级计算!$C$28,AB52+逐级计算!$C$28-(10/(逐级计算!$Q$28*LN(10))*(MAX((LN(10^(逐级计算!$Q$28/10)-1)+逐级计算!$Q$28*(AB52-逐级计算!$P$28)*LN(10)/10),0)+LN(1+EXP(-ABS((LN(10^(逐级计算!$Q$28/10)-1)+逐级计算!$Q$28*(AB52-逐级计算!$P$28)*LN(10)/10))))))),"")</f>
        <v>13.793036574209</v>
      </c>
      <c r="AD52">
        <f>IF(AND(ISNUMBER(AC52),逐级计算!$X$29&gt;-1),IF(逐级计算!$X$29=0,AC52+逐级计算!$C$29,AC52+逐级计算!$C$29-(10/(逐级计算!$Q$29*LN(10))*(MAX((LN(10^(逐级计算!$Q$29/10)-1)+逐级计算!$Q$29*(AC52-逐级计算!$P$29)*LN(10)/10),0)+LN(1+EXP(-ABS((LN(10^(逐级计算!$Q$29/10)-1)+逐级计算!$Q$29*(AC52-逐级计算!$P$29)*LN(10)/10))))))),"")</f>
        <v>13.793036574209</v>
      </c>
      <c r="AE52">
        <f>IF(AND(ISNUMBER(AD52),逐级计算!$X$30&gt;-1),IF(逐级计算!$X$30=0,AD52+逐级计算!$C$30,AD52+逐级计算!$C$30-(10/(逐级计算!$Q$30*LN(10))*(MAX((LN(10^(逐级计算!$Q$30/10)-1)+逐级计算!$Q$30*(AD52-逐级计算!$P$30)*LN(10)/10),0)+LN(1+EXP(-ABS((LN(10^(逐级计算!$Q$30/10)-1)+逐级计算!$Q$30*(AD52-逐级计算!$P$30)*LN(10)/10))))))),"")</f>
        <v>13.793036574209</v>
      </c>
      <c r="AF52">
        <f>IF(AND(ISNUMBER(AE52),逐级计算!$X$31&gt;-1),IF(逐级计算!$X$31=0,AE52+逐级计算!$C$31,AE52+逐级计算!$C$31-(10/(逐级计算!$Q$31*LN(10))*(MAX((LN(10^(逐级计算!$Q$31/10)-1)+逐级计算!$Q$31*(AE52-逐级计算!$P$31)*LN(10)/10),0)+LN(1+EXP(-ABS((LN(10^(逐级计算!$Q$31/10)-1)+逐级计算!$Q$31*(AE52-逐级计算!$P$31)*LN(10)/10))))))),"")</f>
        <v>13.793036574209</v>
      </c>
      <c r="AG52">
        <f>IF(AND(ISNUMBER(AF52),逐级计算!$X$32&gt;-1),IF(逐级计算!$X$32=0,AF52+逐级计算!$C$32,AF52+逐级计算!$C$32-(10/(逐级计算!$Q$32*LN(10))*(MAX((LN(10^(逐级计算!$Q$32/10)-1)+逐级计算!$Q$32*(AF52-逐级计算!$P$32)*LN(10)/10),0)+LN(1+EXP(-ABS((LN(10^(逐级计算!$Q$32/10)-1)+逐级计算!$Q$32*(AF52-逐级计算!$P$32)*LN(10)/10))))))),"")</f>
        <v>13.793036574209</v>
      </c>
      <c r="AH52">
        <f>IF(AND(ISNUMBER(AG52),逐级计算!$X$33&gt;-1),IF(逐级计算!$X$33=0,AG52+逐级计算!$C$33,AG52+逐级计算!$C$33-(10/(逐级计算!$Q$33*LN(10))*(MAX((LN(10^(逐级计算!$Q$33/10)-1)+逐级计算!$Q$33*(AG52-逐级计算!$P$33)*LN(10)/10),0)+LN(1+EXP(-ABS((LN(10^(逐级计算!$Q$33/10)-1)+逐级计算!$Q$33*(AG52-逐级计算!$P$33)*LN(10)/10))))))),"")</f>
        <v>13.793036574209</v>
      </c>
      <c r="AI52">
        <f>IF(AND(ISNUMBER(AH52),逐级计算!$X$34&gt;-1),IF(逐级计算!$X$34=0,AH52+逐级计算!$C$34,AH52+逐级计算!$C$34-(10/(逐级计算!$Q$34*LN(10))*(MAX((LN(10^(逐级计算!$Q$34/10)-1)+逐级计算!$Q$34*(AH52-逐级计算!$P$34)*LN(10)/10),0)+LN(1+EXP(-ABS((LN(10^(逐级计算!$Q$34/10)-1)+逐级计算!$Q$34*(AH52-逐级计算!$P$34)*LN(10)/10))))))),"")</f>
        <v>13.793036574209</v>
      </c>
      <c r="AJ52">
        <f>IF(AND(ISNUMBER(AI52),逐级计算!$X$35&gt;-1),IF(逐级计算!$X$35=0,AI52+逐级计算!$C$35,AI52+逐级计算!$C$35-(10/(逐级计算!$Q$35*LN(10))*(MAX((LN(10^(逐级计算!$Q$35/10)-1)+逐级计算!$Q$35*(AI52-逐级计算!$P$35)*LN(10)/10),0)+LN(1+EXP(-ABS((LN(10^(逐级计算!$Q$35/10)-1)+逐级计算!$Q$35*(AI52-逐级计算!$P$35)*LN(10)/10))))))),"")</f>
        <v>13.793036574209</v>
      </c>
      <c r="AK52">
        <f>IF(AND(ISNUMBER(AJ52),逐级计算!$X$36&gt;-1),IF(逐级计算!$X$36=0,AJ52+逐级计算!$C$36,AJ52+逐级计算!$C$36-(10/(逐级计算!$Q$36*LN(10))*(MAX((LN(10^(逐级计算!$Q$36/10)-1)+逐级计算!$Q$36*(AJ52-逐级计算!$P$36)*LN(10)/10),0)+LN(1+EXP(-ABS((LN(10^(逐级计算!$Q$36/10)-1)+逐级计算!$Q$36*(AJ52-逐级计算!$P$36)*LN(10)/10))))))),"")</f>
        <v>13.793036574209</v>
      </c>
      <c r="AL52">
        <f>IF(AND(ISNUMBER(AK52),逐级计算!$X$37&gt;-1),IF(逐级计算!$X$37=0,AK52+逐级计算!$C$37,AK52+逐级计算!$C$37-(10/(逐级计算!$Q$37*LN(10))*(MAX((LN(10^(逐级计算!$Q$37/10)-1)+逐级计算!$Q$37*(AK52-逐级计算!$P$37)*LN(10)/10),0)+LN(1+EXP(-ABS((LN(10^(逐级计算!$Q$37/10)-1)+逐级计算!$Q$37*(AK52-逐级计算!$P$37)*LN(10)/10))))))),"")</f>
        <v>13.793036574209</v>
      </c>
      <c r="AM52">
        <f>IF(AND(ISNUMBER(AL52),逐级计算!$X$38&gt;-1),IF(逐级计算!$X$38=0,AL52+逐级计算!$C$38,AL52+逐级计算!$C$38-(10/(逐级计算!$Q$38*LN(10))*(MAX((LN(10^(逐级计算!$Q$38/10)-1)+逐级计算!$Q$38*(AL52-逐级计算!$P$38)*LN(10)/10),0)+LN(1+EXP(-ABS((LN(10^(逐级计算!$Q$38/10)-1)+逐级计算!$Q$38*(AL52-逐级计算!$P$38)*LN(10)/10))))))),"")</f>
        <v>13.793036574209</v>
      </c>
      <c r="AN52">
        <f>IF(AND(ISNUMBER(AM52),逐级计算!$X$39&gt;-1),IF(逐级计算!$X$39=0,AM52+逐级计算!$C$39,AM52+逐级计算!$C$39-(10/(逐级计算!$Q$39*LN(10))*(MAX((LN(10^(逐级计算!$Q$39/10)-1)+逐级计算!$Q$39*(AM52-逐级计算!$P$39)*LN(10)/10),0)+LN(1+EXP(-ABS((LN(10^(逐级计算!$Q$39/10)-1)+逐级计算!$Q$39*(AM52-逐级计算!$P$39)*LN(10)/10))))))),"")</f>
        <v>13.793036574209</v>
      </c>
      <c r="AO52">
        <f>IF(AND(ISNUMBER(AN52),逐级计算!$X$40&gt;-1),IF(逐级计算!$X$40=0,AN52+逐级计算!$C$40,AN52+逐级计算!$C$40-(10/(逐级计算!$Q$40*LN(10))*(MAX((LN(10^(逐级计算!$Q$40/10)-1)+逐级计算!$Q$40*(AN52-逐级计算!$P$40)*LN(10)/10),0)+LN(1+EXP(-ABS((LN(10^(逐级计算!$Q$40/10)-1)+逐级计算!$Q$40*(AN52-逐级计算!$P$40)*LN(10)/10))))))),"")</f>
        <v>13.793036574209</v>
      </c>
      <c r="AP52">
        <f>IF(AND(ISNUMBER(AO52),逐级计算!$X$41&gt;-1),IF(逐级计算!$X$41=0,AO52+逐级计算!$C$41,AO52+逐级计算!$C$41-(10/(逐级计算!$Q$41*LN(10))*(MAX((LN(10^(逐级计算!$Q$41/10)-1)+逐级计算!$Q$41*(AO52-逐级计算!$P$41)*LN(10)/10),0)+LN(1+EXP(-ABS((LN(10^(逐级计算!$Q$41/10)-1)+逐级计算!$Q$41*(AO52-逐级计算!$P$41)*LN(10)/10))))))),"")</f>
        <v>13.793036574209</v>
      </c>
      <c r="AQ52">
        <f>IF(AND(ISNUMBER(AP52),逐级计算!$X$42&gt;-1),IF(逐级计算!$X$42=0,AP52+逐级计算!$C$42,AP52+逐级计算!$C$42-(10/(逐级计算!$Q$42*LN(10))*(MAX((LN(10^(逐级计算!$Q$42/10)-1)+逐级计算!$Q$42*(AP52-逐级计算!$P$42)*LN(10)/10),0)+LN(1+EXP(-ABS((LN(10^(逐级计算!$Q$42/10)-1)+逐级计算!$Q$42*(AP52-逐级计算!$P$42)*LN(10)/10))))))),"")</f>
        <v>13.793036574209</v>
      </c>
      <c r="AR52">
        <f>IF(AND(ISNUMBER(AQ52),逐级计算!$X$43&gt;-1),IF(逐级计算!$X$43=0,AQ52+逐级计算!$C$43,AQ52+逐级计算!$C$43-(10/(逐级计算!$Q$43*LN(10))*(MAX((LN(10^(逐级计算!$Q$43/10)-1)+逐级计算!$Q$43*(AQ52-逐级计算!$P$43)*LN(10)/10),0)+LN(1+EXP(-ABS((LN(10^(逐级计算!$Q$43/10)-1)+逐级计算!$Q$43*(AQ52-逐级计算!$P$43)*LN(10)/10))))))),"")</f>
        <v>13.793036574209</v>
      </c>
      <c r="AS52">
        <f>IF(AND(ISNUMBER(AR52),逐级计算!$X$44&gt;-1),IF(逐级计算!$X$44=0,AR52+逐级计算!$C$44,AR52+逐级计算!$C$44-(10/(逐级计算!$Q$44*LN(10))*(MAX((LN(10^(逐级计算!$Q$44/10)-1)+逐级计算!$Q$44*(AR52-逐级计算!$P$44)*LN(10)/10),0)+LN(1+EXP(-ABS((LN(10^(逐级计算!$Q$44/10)-1)+逐级计算!$Q$44*(AR52-逐级计算!$P$44)*LN(10)/10))))))),"")</f>
        <v>13.793036574209</v>
      </c>
      <c r="AT52">
        <f>IF(AND(ISNUMBER(AS52),逐级计算!$X$45&gt;-1),IF(逐级计算!$X$45=0,AS52+逐级计算!$C$45,AS52+逐级计算!$C$45-(10/(逐级计算!$Q$45*LN(10))*(MAX((LN(10^(逐级计算!$Q$45/10)-1)+逐级计算!$Q$45*(AS52-逐级计算!$P$45)*LN(10)/10),0)+LN(1+EXP(-ABS((LN(10^(逐级计算!$Q$45/10)-1)+逐级计算!$Q$45*(AS52-逐级计算!$P$45)*LN(10)/10))))))),"")</f>
        <v>13.793036574209</v>
      </c>
      <c r="AU52">
        <f>IF(AND(ISNUMBER(AT52),逐级计算!$X$46&gt;-1),IF(逐级计算!$X$46=0,AT52+逐级计算!$C$46,AT52+逐级计算!$C$46-(10/(逐级计算!$Q$46*LN(10))*(MAX((LN(10^(逐级计算!$Q$46/10)-1)+逐级计算!$Q$46*(AT52-逐级计算!$P$46)*LN(10)/10),0)+LN(1+EXP(-ABS((LN(10^(逐级计算!$Q$46/10)-1)+逐级计算!$Q$46*(AT52-逐级计算!$P$46)*LN(10)/10))))))),"")</f>
        <v>13.793036574209</v>
      </c>
      <c r="AV52">
        <f>IF(AND(ISNUMBER(AU52),逐级计算!$X$47&gt;-1),IF(逐级计算!$X$47=0,AU52+逐级计算!$C$47,AU52+逐级计算!$C$47-(10/(逐级计算!$Q$47*LN(10))*(MAX((LN(10^(逐级计算!$Q$47/10)-1)+逐级计算!$Q$47*(AU52-逐级计算!$P$47)*LN(10)/10),0)+LN(1+EXP(-ABS((LN(10^(逐级计算!$Q$47/10)-1)+逐级计算!$Q$47*(AU52-逐级计算!$P$47)*LN(10)/10))))))),"")</f>
        <v>13.793036574209</v>
      </c>
      <c r="AW52">
        <f>IF(AND(ISNUMBER(AV52),逐级计算!$X$48&gt;-1),IF(逐级计算!$X$48=0,AV52+逐级计算!$C$48,AV52+逐级计算!$C$48-(10/(逐级计算!$Q$48*LN(10))*(MAX((LN(10^(逐级计算!$Q$48/10)-1)+逐级计算!$Q$48*(AV52-逐级计算!$P$48)*LN(10)/10),0)+LN(1+EXP(-ABS((LN(10^(逐级计算!$Q$48/10)-1)+逐级计算!$Q$48*(AV52-逐级计算!$P$48)*LN(10)/10))))))),"")</f>
        <v>13.793036574209</v>
      </c>
      <c r="AX52">
        <f>IF(AND(ISNUMBER(AW52),逐级计算!$X$49&gt;-1),IF(逐级计算!$X$49=0,AW52+逐级计算!$C$49,AW52+逐级计算!$C$49-(10/(逐级计算!$Q$49*LN(10))*(MAX((LN(10^(逐级计算!$Q$49/10)-1)+逐级计算!$Q$49*(AW52-逐级计算!$P$49)*LN(10)/10),0)+LN(1+EXP(-ABS((LN(10^(逐级计算!$Q$49/10)-1)+逐级计算!$Q$49*(AW52-逐级计算!$P$49)*LN(10)/10))))))),"")</f>
        <v>13.793036574209</v>
      </c>
      <c r="AY52">
        <f>IF(AND(ISNUMBER(AX52),逐级计算!$X$50&gt;-1),IF(逐级计算!$X$50=0,AX52+逐级计算!$C$50,AX52+逐级计算!$C$50-(10/(逐级计算!$Q$50*LN(10))*(MAX((LN(10^(逐级计算!$Q$50/10)-1)+逐级计算!$Q$50*(AX52-逐级计算!$P$50)*LN(10)/10),0)+LN(1+EXP(-ABS((LN(10^(逐级计算!$Q$50/10)-1)+逐级计算!$Q$50*(AX52-逐级计算!$P$50)*LN(10)/10))))))),"")</f>
        <v>13.793036574209</v>
      </c>
      <c r="AZ52">
        <f>IF(AND(ISNUMBER(AY52),逐级计算!$X$51&gt;-1),IF(逐级计算!$X$51=0,AY52+逐级计算!$C$51,AY52+逐级计算!$C$51-(10/(逐级计算!$Q$51*LN(10))*(MAX((LN(10^(逐级计算!$Q$51/10)-1)+逐级计算!$Q$51*(AY52-逐级计算!$P$51)*LN(10)/10),0)+LN(1+EXP(-ABS((LN(10^(逐级计算!$Q$51/10)-1)+逐级计算!$Q$51*(AY52-逐级计算!$P$51)*LN(10)/10))))))),"")</f>
        <v>13.793036574209</v>
      </c>
      <c r="BA52">
        <f>IF(AND(ISNUMBER(AZ52),逐级计算!$X$52&gt;-1),IF(逐级计算!$X$52=0,AZ52+逐级计算!$C$52,AZ52+逐级计算!$C$52-(10/(逐级计算!$Q$52*LN(10))*(MAX((LN(10^(逐级计算!$Q$52/10)-1)+逐级计算!$Q$52*(AZ52-逐级计算!$P$52)*LN(10)/10),0)+LN(1+EXP(-ABS((LN(10^(逐级计算!$Q$52/10)-1)+逐级计算!$Q$52*(AZ52-逐级计算!$P$52)*LN(10)/10))))))),"")</f>
        <v>13.793036574209</v>
      </c>
      <c r="BB52">
        <f>IF(AND(ISNUMBER(BA52),逐级计算!$X$53&gt;-1),IF(逐级计算!$X$53=0,BA52+逐级计算!$C$53,BA52+逐级计算!$C$53-(10/(逐级计算!$Q$53*LN(10))*(MAX((LN(10^(逐级计算!$Q$53/10)-1)+逐级计算!$Q$53*(BA52-逐级计算!$P$53)*LN(10)/10),0)+LN(1+EXP(-ABS((LN(10^(逐级计算!$Q$53/10)-1)+逐级计算!$Q$53*(BA52-逐级计算!$P$53)*LN(10)/10))))))),"")</f>
        <v>13.793036574209</v>
      </c>
      <c r="BC52">
        <f>IF(AND(ISNUMBER(BB52),逐级计算!$X$54&gt;-1),IF(逐级计算!$X$54=0,BB52+逐级计算!$C$54,BB52+逐级计算!$C$54-(10/(逐级计算!$Q$54*LN(10))*(MAX((LN(10^(逐级计算!$Q$54/10)-1)+逐级计算!$Q$54*(BB52-逐级计算!$P$54)*LN(10)/10),0)+LN(1+EXP(-ABS((LN(10^(逐级计算!$Q$54/10)-1)+逐级计算!$Q$54*(BB52-逐级计算!$P$54)*LN(10)/10))))))),"")</f>
        <v>13.793036574209</v>
      </c>
      <c r="BD52">
        <f>IF(AND(ISNUMBER(BC52),逐级计算!$X$55&gt;-1),IF(逐级计算!$X$55=0,BC52+逐级计算!$C$55,BC52+逐级计算!$C$55-(10/(逐级计算!$Q$55*LN(10))*(MAX((LN(10^(逐级计算!$Q$55/10)-1)+逐级计算!$Q$55*(BC52-逐级计算!$P$55)*LN(10)/10),0)+LN(1+EXP(-ABS((LN(10^(逐级计算!$Q$55/10)-1)+逐级计算!$Q$55*(BC52-逐级计算!$P$55)*LN(10)/10))))))),"")</f>
        <v>13.793036574209</v>
      </c>
      <c r="BE52">
        <f>IF(AND(ISNUMBER(BD52),逐级计算!$X$56&gt;-1),IF(逐级计算!$X$56=0,BD52+逐级计算!$C$56,BD52+逐级计算!$C$56-(10/(逐级计算!$Q$56*LN(10))*(MAX((LN(10^(逐级计算!$Q$56/10)-1)+逐级计算!$Q$56*(BD52-逐级计算!$P$56)*LN(10)/10),0)+LN(1+EXP(-ABS((LN(10^(逐级计算!$Q$56/10)-1)+逐级计算!$Q$56*(BD52-逐级计算!$P$56)*LN(10)/10))))))),"")</f>
        <v>13.793036574209</v>
      </c>
      <c r="BF52">
        <f>IF(AND(ISNUMBER(BE52),逐级计算!$X$57&gt;-1),IF(逐级计算!$X$57=0,BE52+逐级计算!$C$57,BE52+逐级计算!$C$57-(10/(逐级计算!$Q$57*LN(10))*(MAX((LN(10^(逐级计算!$Q$57/10)-1)+逐级计算!$Q$57*(BE52-逐级计算!$P$57)*LN(10)/10),0)+LN(1+EXP(-ABS((LN(10^(逐级计算!$Q$57/10)-1)+逐级计算!$Q$57*(BE52-逐级计算!$P$57)*LN(10)/10))))))),"")</f>
        <v>13.793036574209</v>
      </c>
      <c r="BG52">
        <f>IF(AND(ISNUMBER(BF52),逐级计算!$X$58&gt;-1),IF(逐级计算!$X$58=0,BF52+逐级计算!$C$58,BF52+逐级计算!$C$58-(10/(逐级计算!$Q$58*LN(10))*(MAX((LN(10^(逐级计算!$Q$58/10)-1)+逐级计算!$Q$58*(BF52-逐级计算!$P$58)*LN(10)/10),0)+LN(1+EXP(-ABS((LN(10^(逐级计算!$Q$58/10)-1)+逐级计算!$Q$58*(BF52-逐级计算!$P$58)*LN(10)/10))))))),"")</f>
        <v>13.793036574209</v>
      </c>
      <c r="BH52">
        <f>IF(AND(ISNUMBER(BG52),逐级计算!$X$59&gt;-1),IF(逐级计算!$X$59=0,BG52+逐级计算!$C$59,BG52+逐级计算!$C$59-(10/(逐级计算!$Q$59*LN(10))*(MAX((LN(10^(逐级计算!$Q$59/10)-1)+逐级计算!$Q$59*(BG52-逐级计算!$P$59)*LN(10)/10),0)+LN(1+EXP(-ABS((LN(10^(逐级计算!$Q$59/10)-1)+逐级计算!$Q$59*(BG52-逐级计算!$P$59)*LN(10)/10))))))),"")</f>
        <v>13.793036574209</v>
      </c>
      <c r="BI52">
        <f>IF(AND(ISNUMBER(BH52),逐级计算!$X$60&gt;-1),IF(逐级计算!$X$60=0,BH52+逐级计算!$C$60,BH52+逐级计算!$C$60-(10/(逐级计算!$Q$60*LN(10))*(MAX((LN(10^(逐级计算!$Q$60/10)-1)+逐级计算!$Q$60*(BH52-逐级计算!$P$60)*LN(10)/10),0)+LN(1+EXP(-ABS((LN(10^(逐级计算!$Q$60/10)-1)+逐级计算!$Q$60*(BH52-逐级计算!$P$60)*LN(10)/10))))))),"")</f>
        <v>13.793036574209</v>
      </c>
      <c r="BJ52">
        <f>IF(AND(ISNUMBER(BI52),逐级计算!$X$61&gt;-1),IF(逐级计算!$X$61=0,BI52+逐级计算!$C$61,BI52+逐级计算!$C$61-(10/(逐级计算!$Q$61*LN(10))*(MAX((LN(10^(逐级计算!$Q$61/10)-1)+逐级计算!$Q$61*(BI52-逐级计算!$P$61)*LN(10)/10),0)+LN(1+EXP(-ABS((LN(10^(逐级计算!$Q$61/10)-1)+逐级计算!$Q$61*(BI52-逐级计算!$P$61)*LN(10)/10))))))),"")</f>
        <v>13.793036574209</v>
      </c>
      <c r="BK52">
        <f>IF(AND(ISNUMBER(BJ52),逐级计算!$X$62&gt;-1),IF(逐级计算!$X$62=0,BJ52+逐级计算!$C$62,BJ52+逐级计算!$C$62-(10/(逐级计算!$Q$62*LN(10))*(MAX((LN(10^(逐级计算!$Q$62/10)-1)+逐级计算!$Q$62*(BJ52-逐级计算!$P$62)*LN(10)/10),0)+LN(1+EXP(-ABS((LN(10^(逐级计算!$Q$62/10)-1)+逐级计算!$Q$62*(BJ52-逐级计算!$P$62)*LN(10)/10))))))),"")</f>
        <v>13.793036574209</v>
      </c>
      <c r="BL52">
        <f>IF(AND(ISNUMBER(BK52),逐级计算!$X$63&gt;-1),IF(逐级计算!$X$63=0,BK52+逐级计算!$C$63,BK52+逐级计算!$C$63-(10/(逐级计算!$Q$63*LN(10))*(MAX((LN(10^(逐级计算!$Q$63/10)-1)+逐级计算!$Q$63*(BK52-逐级计算!$P$63)*LN(10)/10),0)+LN(1+EXP(-ABS((LN(10^(逐级计算!$Q$63/10)-1)+逐级计算!$Q$63*(BK52-逐级计算!$P$63)*LN(10)/10))))))),"")</f>
        <v>13.793036574209</v>
      </c>
      <c r="BM52">
        <f>IF(AND(ISNUMBER(BL52),逐级计算!$X$64&gt;-1),IF(逐级计算!$X$64=0,BL52+逐级计算!$C$64,BL52+逐级计算!$C$64-(10/(逐级计算!$Q$64*LN(10))*(MAX((LN(10^(逐级计算!$Q$64/10)-1)+逐级计算!$Q$64*(BL52-逐级计算!$P$64)*LN(10)/10),0)+LN(1+EXP(-ABS((LN(10^(逐级计算!$Q$64/10)-1)+逐级计算!$Q$64*(BL52-逐级计算!$P$64)*LN(10)/10))))))),"")</f>
        <v>13.793036574209</v>
      </c>
      <c r="BN52">
        <f>IF(AND(ISNUMBER(BM52),逐级计算!$X$65&gt;-1),IF(逐级计算!$X$65=0,BM52+逐级计算!$C$65,BM52+逐级计算!$C$65-(10/(逐级计算!$Q$65*LN(10))*(MAX((LN(10^(逐级计算!$Q$65/10)-1)+逐级计算!$Q$65*(BM52-逐级计算!$P$65)*LN(10)/10),0)+LN(1+EXP(-ABS((LN(10^(逐级计算!$Q$65/10)-1)+逐级计算!$Q$65*(BM52-逐级计算!$P$65)*LN(10)/10))))))),"")</f>
        <v>13.793036574209</v>
      </c>
      <c r="BO52">
        <f>IF(AND(ISNUMBER(BN52),逐级计算!$X$66&gt;-1),IF(逐级计算!$X$66=0,BN52+逐级计算!$C$66,BN52+逐级计算!$C$66-(10/(逐级计算!$Q$66*LN(10))*(MAX((LN(10^(逐级计算!$Q$66/10)-1)+逐级计算!$Q$66*(BN52-逐级计算!$P$66)*LN(10)/10),0)+LN(1+EXP(-ABS((LN(10^(逐级计算!$Q$66/10)-1)+逐级计算!$Q$66*(BN52-逐级计算!$P$66)*LN(10)/10))))))),"")</f>
        <v>13.793036574209</v>
      </c>
      <c r="BP52">
        <f>IF(AND(ISNUMBER(BO52),逐级计算!$X$67&gt;-1),IF(逐级计算!$X$67=0,BO52+逐级计算!$C$67,BO52+逐级计算!$C$67-(10/(逐级计算!$Q$67*LN(10))*(MAX((LN(10^(逐级计算!$Q$67/10)-1)+逐级计算!$Q$67*(BO52-逐级计算!$P$67)*LN(10)/10),0)+LN(1+EXP(-ABS((LN(10^(逐级计算!$Q$67/10)-1)+逐级计算!$Q$67*(BO52-逐级计算!$P$67)*LN(10)/10))))))),"")</f>
        <v>13.793036574209</v>
      </c>
      <c r="BQ52">
        <f>IF(AND(ISNUMBER(BP52),逐级计算!$X$68&gt;-1),IF(逐级计算!$X$68=0,BP52+逐级计算!$C$68,BP52+逐级计算!$C$68-(10/(逐级计算!$Q$68*LN(10))*(MAX((LN(10^(逐级计算!$Q$68/10)-1)+逐级计算!$Q$68*(BP52-逐级计算!$P$68)*LN(10)/10),0)+LN(1+EXP(-ABS((LN(10^(逐级计算!$Q$68/10)-1)+逐级计算!$Q$68*(BP52-逐级计算!$P$68)*LN(10)/10))))))),"")</f>
        <v>13.793036574209</v>
      </c>
      <c r="BR52">
        <f>IF(AND(ISNUMBER(BQ52),逐级计算!$X$69&gt;-1),IF(逐级计算!$X$69=0,BQ52+逐级计算!$C$69,BQ52+逐级计算!$C$69-(10/(逐级计算!$Q$69*LN(10))*(MAX((LN(10^(逐级计算!$Q$69/10)-1)+逐级计算!$Q$69*(BQ52-逐级计算!$P$69)*LN(10)/10),0)+LN(1+EXP(-ABS((LN(10^(逐级计算!$Q$69/10)-1)+逐级计算!$Q$69*(BQ52-逐级计算!$P$69)*LN(10)/10))))))),"")</f>
        <v>13.793036574209</v>
      </c>
      <c r="BS52">
        <f>IF(AND(ISNUMBER(BR52),逐级计算!$X$70&gt;-1),IF(逐级计算!$X$70=0,BR52+逐级计算!$C$70,BR52+逐级计算!$C$70-(10/(逐级计算!$Q$70*LN(10))*(MAX((LN(10^(逐级计算!$Q$70/10)-1)+逐级计算!$Q$70*(BR52-逐级计算!$P$70)*LN(10)/10),0)+LN(1+EXP(-ABS((LN(10^(逐级计算!$Q$70/10)-1)+逐级计算!$Q$70*(BR52-逐级计算!$P$70)*LN(10)/10))))))),"")</f>
        <v>13.793036574209</v>
      </c>
      <c r="BT52">
        <f>IF(AND(ISNUMBER(BS52),逐级计算!$X$71&gt;-1),IF(逐级计算!$X$71=0,BS52+逐级计算!$C$71,BS52+逐级计算!$C$71-(10/(逐级计算!$Q$71*LN(10))*(MAX((LN(10^(逐级计算!$Q$71/10)-1)+逐级计算!$Q$71*(BS52-逐级计算!$P$71)*LN(10)/10),0)+LN(1+EXP(-ABS((LN(10^(逐级计算!$Q$71/10)-1)+逐级计算!$Q$71*(BS52-逐级计算!$P$71)*LN(10)/10))))))),"")</f>
        <v>13.793036574209</v>
      </c>
      <c r="BU52">
        <f>IF(AND(ISNUMBER(BT52),逐级计算!$X$72&gt;-1),IF(逐级计算!$X$72=0,BT52+逐级计算!$C$72,BT52+逐级计算!$C$72-(10/(逐级计算!$Q$72*LN(10))*(MAX((LN(10^(逐级计算!$Q$72/10)-1)+逐级计算!$Q$72*(BT52-逐级计算!$P$72)*LN(10)/10),0)+LN(1+EXP(-ABS((LN(10^(逐级计算!$Q$72/10)-1)+逐级计算!$Q$72*(BT52-逐级计算!$P$72)*LN(10)/10))))))),"")</f>
        <v>13.793036574209</v>
      </c>
      <c r="BV52">
        <f>IF(AND(ISNUMBER(BU52),逐级计算!$X$73&gt;-1),IF(逐级计算!$X$73=0,BU52+逐级计算!$C$73,BU52+逐级计算!$C$73-(10/(逐级计算!$Q$73*LN(10))*(MAX((LN(10^(逐级计算!$Q$73/10)-1)+逐级计算!$Q$73*(BU52-逐级计算!$P$73)*LN(10)/10),0)+LN(1+EXP(-ABS((LN(10^(逐级计算!$Q$73/10)-1)+逐级计算!$Q$73*(BU52-逐级计算!$P$73)*LN(10)/10))))))),"")</f>
        <v>13.793036574209</v>
      </c>
      <c r="BW52">
        <f>IF(AND(ISNUMBER(BV52),逐级计算!$X$74&gt;-1),IF(逐级计算!$X$74=0,BV52+逐级计算!$C$74,BV52+逐级计算!$C$74-(10/(逐级计算!$Q$74*LN(10))*(MAX((LN(10^(逐级计算!$Q$74/10)-1)+逐级计算!$Q$74*(BV52-逐级计算!$P$74)*LN(10)/10),0)+LN(1+EXP(-ABS((LN(10^(逐级计算!$Q$74/10)-1)+逐级计算!$Q$74*(BV52-逐级计算!$P$74)*LN(10)/10))))))),"")</f>
        <v>13.793036574209</v>
      </c>
      <c r="BX52">
        <f>IF(AND(ISNUMBER(BW52),逐级计算!$X$75&gt;-1),IF(逐级计算!$X$75=0,BW52+逐级计算!$C$75,BW52+逐级计算!$C$75-(10/(逐级计算!$Q$75*LN(10))*(MAX((LN(10^(逐级计算!$Q$75/10)-1)+逐级计算!$Q$75*(BW52-逐级计算!$P$75)*LN(10)/10),0)+LN(1+EXP(-ABS((LN(10^(逐级计算!$Q$75/10)-1)+逐级计算!$Q$75*(BW52-逐级计算!$P$75)*LN(10)/10))))))),"")</f>
        <v>13.793036574209</v>
      </c>
      <c r="BY52">
        <f>IF(AND(ISNUMBER(BX52),逐级计算!$X$76&gt;-1),IF(逐级计算!$X$76=0,BX52+逐级计算!$C$76,BX52+逐级计算!$C$76-(10/(逐级计算!$Q$76*LN(10))*(MAX((LN(10^(逐级计算!$Q$76/10)-1)+逐级计算!$Q$76*(BX52-逐级计算!$P$76)*LN(10)/10),0)+LN(1+EXP(-ABS((LN(10^(逐级计算!$Q$76/10)-1)+逐级计算!$Q$76*(BX52-逐级计算!$P$76)*LN(10)/10))))))),"")</f>
        <v>13.793036574209</v>
      </c>
      <c r="BZ52">
        <f>IF(AND(ISNUMBER(BY52),逐级计算!$X$77&gt;-1),IF(逐级计算!$X$77=0,BY52+逐级计算!$C$77,BY52+逐级计算!$C$77-(10/(逐级计算!$Q$77*LN(10))*(MAX((LN(10^(逐级计算!$Q$77/10)-1)+逐级计算!$Q$77*(BY52-逐级计算!$P$77)*LN(10)/10),0)+LN(1+EXP(-ABS((LN(10^(逐级计算!$Q$77/10)-1)+逐级计算!$Q$77*(BY52-逐级计算!$P$77)*LN(10)/10))))))),"")</f>
        <v>13.793036574209</v>
      </c>
      <c r="CA52">
        <f>IF(AND(ISNUMBER(BZ52),逐级计算!$X$78&gt;-1),IF(逐级计算!$X$78=0,BZ52+逐级计算!$C$78,BZ52+逐级计算!$C$78-(10/(逐级计算!$Q$78*LN(10))*(MAX((LN(10^(逐级计算!$Q$78/10)-1)+逐级计算!$Q$78*(BZ52-逐级计算!$P$78)*LN(10)/10),0)+LN(1+EXP(-ABS((LN(10^(逐级计算!$Q$78/10)-1)+逐级计算!$Q$78*(BZ52-逐级计算!$P$78)*LN(10)/10))))))),"")</f>
        <v>13.793036574209</v>
      </c>
      <c r="CB52">
        <f>IF(AND(ISNUMBER(CA52),逐级计算!$X$79&gt;-1),IF(逐级计算!$X$79=0,CA52+逐级计算!$C$79,CA52+逐级计算!$C$79-(10/(逐级计算!$Q$79*LN(10))*(MAX((LN(10^(逐级计算!$Q$79/10)-1)+逐级计算!$Q$79*(CA52-逐级计算!$P$79)*LN(10)/10),0)+LN(1+EXP(-ABS((LN(10^(逐级计算!$Q$79/10)-1)+逐级计算!$Q$79*(CA52-逐级计算!$P$79)*LN(10)/10))))))),"")</f>
        <v>13.793036574209</v>
      </c>
      <c r="CC52">
        <f>IF(AND(ISNUMBER(CB52),逐级计算!$X$80&gt;-1),IF(逐级计算!$X$80=0,CB52+逐级计算!$C$80,CB52+逐级计算!$C$80-(10/(逐级计算!$Q$80*LN(10))*(MAX((LN(10^(逐级计算!$Q$80/10)-1)+逐级计算!$Q$80*(CB52-逐级计算!$P$80)*LN(10)/10),0)+LN(1+EXP(-ABS((LN(10^(逐级计算!$Q$80/10)-1)+逐级计算!$Q$80*(CB52-逐级计算!$P$80)*LN(10)/10))))))),"")</f>
        <v>13.793036574209</v>
      </c>
      <c r="CD52">
        <f>IF(AND(ISNUMBER(CC52),逐级计算!$X$81&gt;-1),IF(逐级计算!$X$81=0,CC52+逐级计算!$C$81,CC52+逐级计算!$C$81-(10/(逐级计算!$Q$81*LN(10))*(MAX((LN(10^(逐级计算!$Q$81/10)-1)+逐级计算!$Q$81*(CC52-逐级计算!$P$81)*LN(10)/10),0)+LN(1+EXP(-ABS((LN(10^(逐级计算!$Q$81/10)-1)+逐级计算!$Q$81*(CC52-逐级计算!$P$81)*LN(10)/10))))))),"")</f>
        <v>13.793036574209</v>
      </c>
      <c r="CE52">
        <f>IF(AND(ISNUMBER(CD52),逐级计算!$X$82&gt;-1),IF(逐级计算!$X$82=0,CD52+逐级计算!$C$82,CD52+逐级计算!$C$82-(10/(逐级计算!$Q$82*LN(10))*(MAX((LN(10^(逐级计算!$Q$82/10)-1)+逐级计算!$Q$82*(CD52-逐级计算!$P$82)*LN(10)/10),0)+LN(1+EXP(-ABS((LN(10^(逐级计算!$Q$82/10)-1)+逐级计算!$Q$82*(CD52-逐级计算!$P$82)*LN(10)/10))))))),"")</f>
        <v>13.793036574209</v>
      </c>
      <c r="CF52">
        <f>IF(AND(ISNUMBER(CE52),逐级计算!$X$83&gt;-1),IF(逐级计算!$X$83=0,CE52+逐级计算!$C$83,CE52+逐级计算!$C$83-(10/(逐级计算!$Q$83*LN(10))*(MAX((LN(10^(逐级计算!$Q$83/10)-1)+逐级计算!$Q$83*(CE52-逐级计算!$P$83)*LN(10)/10),0)+LN(1+EXP(-ABS((LN(10^(逐级计算!$Q$83/10)-1)+逐级计算!$Q$83*(CE52-逐级计算!$P$83)*LN(10)/10))))))),"")</f>
        <v>13.793036574209</v>
      </c>
      <c r="CG52">
        <f>IF(AND(ISNUMBER(CF52),逐级计算!$X$84&gt;-1),IF(逐级计算!$X$84=0,CF52+逐级计算!$C$84,CF52+逐级计算!$C$84-(10/(逐级计算!$Q$84*LN(10))*(MAX((LN(10^(逐级计算!$Q$84/10)-1)+逐级计算!$Q$84*(CF52-逐级计算!$P$84)*LN(10)/10),0)+LN(1+EXP(-ABS((LN(10^(逐级计算!$Q$84/10)-1)+逐级计算!$Q$84*(CF52-逐级计算!$P$84)*LN(10)/10))))))),"")</f>
        <v>13.793036574209</v>
      </c>
      <c r="CH52">
        <f>IF(AND(ISNUMBER(CG52),逐级计算!$X$85&gt;-1),IF(逐级计算!$X$85=0,CG52+逐级计算!$C$85,CG52+逐级计算!$C$85-(10/(逐级计算!$Q$85*LN(10))*(MAX((LN(10^(逐级计算!$Q$85/10)-1)+逐级计算!$Q$85*(CG52-逐级计算!$P$85)*LN(10)/10),0)+LN(1+EXP(-ABS((LN(10^(逐级计算!$Q$85/10)-1)+逐级计算!$Q$85*(CG52-逐级计算!$P$85)*LN(10)/10))))))),"")</f>
        <v>13.793036574209</v>
      </c>
      <c r="CI52">
        <f>IF(AND(ISNUMBER(CH52),逐级计算!$X$86&gt;-1),IF(逐级计算!$X$86=0,CH52+逐级计算!$C$86,CH52+逐级计算!$C$86-(10/(逐级计算!$Q$86*LN(10))*(MAX((LN(10^(逐级计算!$Q$86/10)-1)+逐级计算!$Q$86*(CH52-逐级计算!$P$86)*LN(10)/10),0)+LN(1+EXP(-ABS((LN(10^(逐级计算!$Q$86/10)-1)+逐级计算!$Q$86*(CH52-逐级计算!$P$86)*LN(10)/10))))))),"")</f>
        <v>13.793036574209</v>
      </c>
      <c r="CJ52">
        <f>IF(AND(ISNUMBER(CI52),逐级计算!$X$87&gt;-1),IF(逐级计算!$X$87=0,CI52+逐级计算!$C$87,CI52+逐级计算!$C$87-(10/(逐级计算!$Q$87*LN(10))*(MAX((LN(10^(逐级计算!$Q$87/10)-1)+逐级计算!$Q$87*(CI52-逐级计算!$P$87)*LN(10)/10),0)+LN(1+EXP(-ABS((LN(10^(逐级计算!$Q$87/10)-1)+逐级计算!$Q$87*(CI52-逐级计算!$P$87)*LN(10)/10))))))),"")</f>
        <v>13.793036574209</v>
      </c>
      <c r="CK52">
        <f>IF(AND(ISNUMBER(CJ52),逐级计算!$X$88&gt;-1),IF(逐级计算!$X$88=0,CJ52+逐级计算!$C$88,CJ52+逐级计算!$C$88-(10/(逐级计算!$Q$88*LN(10))*(MAX((LN(10^(逐级计算!$Q$88/10)-1)+逐级计算!$Q$88*(CJ52-逐级计算!$P$88)*LN(10)/10),0)+LN(1+EXP(-ABS((LN(10^(逐级计算!$Q$88/10)-1)+逐级计算!$Q$88*(CJ52-逐级计算!$P$88)*LN(10)/10))))))),"")</f>
        <v>13.793036574209</v>
      </c>
      <c r="CL52">
        <f>IF(AND(ISNUMBER(CK52),逐级计算!$X$89&gt;-1),IF(逐级计算!$X$89=0,CK52+逐级计算!$C$89,CK52+逐级计算!$C$89-(10/(逐级计算!$Q$89*LN(10))*(MAX((LN(10^(逐级计算!$Q$89/10)-1)+逐级计算!$Q$89*(CK52-逐级计算!$P$89)*LN(10)/10),0)+LN(1+EXP(-ABS((LN(10^(逐级计算!$Q$89/10)-1)+逐级计算!$Q$89*(CK52-逐级计算!$P$89)*LN(10)/10))))))),"")</f>
        <v>13.793036574209</v>
      </c>
      <c r="CM52">
        <f>IF(AND(ISNUMBER(CL52),逐级计算!$X$90&gt;-1),IF(逐级计算!$X$90=0,CL52+逐级计算!$C$90,CL52+逐级计算!$C$90-(10/(逐级计算!$Q$90*LN(10))*(MAX((LN(10^(逐级计算!$Q$90/10)-1)+逐级计算!$Q$90*(CL52-逐级计算!$P$90)*LN(10)/10),0)+LN(1+EXP(-ABS((LN(10^(逐级计算!$Q$90/10)-1)+逐级计算!$Q$90*(CL52-逐级计算!$P$90)*LN(10)/10))))))),"")</f>
        <v>13.793036574209</v>
      </c>
      <c r="CN52">
        <f>IF(AND(ISNUMBER(CM52),逐级计算!$X$91&gt;-1),IF(逐级计算!$X$91=0,CM52+逐级计算!$C$91,CM52+逐级计算!$C$91-(10/(逐级计算!$Q$91*LN(10))*(MAX((LN(10^(逐级计算!$Q$91/10)-1)+逐级计算!$Q$91*(CM52-逐级计算!$P$91)*LN(10)/10),0)+LN(1+EXP(-ABS((LN(10^(逐级计算!$Q$91/10)-1)+逐级计算!$Q$91*(CM52-逐级计算!$P$91)*LN(10)/10))))))),"")</f>
        <v>13.793036574209</v>
      </c>
      <c r="CO52">
        <f>IF(AND(ISNUMBER(CN52),逐级计算!$X$92&gt;-1),IF(逐级计算!$X$92=0,CN52+逐级计算!$C$92,CN52+逐级计算!$C$92-(10/(逐级计算!$Q$92*LN(10))*(MAX((LN(10^(逐级计算!$Q$92/10)-1)+逐级计算!$Q$92*(CN52-逐级计算!$P$92)*LN(10)/10),0)+LN(1+EXP(-ABS((LN(10^(逐级计算!$Q$92/10)-1)+逐级计算!$Q$92*(CN52-逐级计算!$P$92)*LN(10)/10))))))),"")</f>
        <v>13.793036574209</v>
      </c>
      <c r="CP52">
        <f>IF(AND(ISNUMBER(CO52),逐级计算!$X$93&gt;-1),IF(逐级计算!$X$93=0,CO52+逐级计算!$C$93,CO52+逐级计算!$C$93-(10/(逐级计算!$Q$93*LN(10))*(MAX((LN(10^(逐级计算!$Q$93/10)-1)+逐级计算!$Q$93*(CO52-逐级计算!$P$93)*LN(10)/10),0)+LN(1+EXP(-ABS((LN(10^(逐级计算!$Q$93/10)-1)+逐级计算!$Q$93*(CO52-逐级计算!$P$93)*LN(10)/10))))))),"")</f>
        <v>13.793036574209</v>
      </c>
      <c r="CQ52">
        <f>IF(AND(ISNUMBER(CP52),逐级计算!$X$94&gt;-1),IF(逐级计算!$X$94=0,CP52+逐级计算!$C$94,CP52+逐级计算!$C$94-(10/(逐级计算!$Q$94*LN(10))*(MAX((LN(10^(逐级计算!$Q$94/10)-1)+逐级计算!$Q$94*(CP52-逐级计算!$P$94)*LN(10)/10),0)+LN(1+EXP(-ABS((LN(10^(逐级计算!$Q$94/10)-1)+逐级计算!$Q$94*(CP52-逐级计算!$P$94)*LN(10)/10))))))),"")</f>
        <v>13.793036574209</v>
      </c>
      <c r="CR52">
        <f>IF(AND(ISNUMBER(CQ52),逐级计算!$X$95&gt;-1),IF(逐级计算!$X$95=0,CQ52+逐级计算!$C$95,CQ52+逐级计算!$C$95-(10/(逐级计算!$Q$95*LN(10))*(MAX((LN(10^(逐级计算!$Q$95/10)-1)+逐级计算!$Q$95*(CQ52-逐级计算!$P$95)*LN(10)/10),0)+LN(1+EXP(-ABS((LN(10^(逐级计算!$Q$95/10)-1)+逐级计算!$Q$95*(CQ52-逐级计算!$P$95)*LN(10)/10))))))),"")</f>
        <v>13.793036574209</v>
      </c>
      <c r="CS52">
        <f>IF(AND(ISNUMBER(CR52),逐级计算!$X$96&gt;-1),IF(逐级计算!$X$96=0,CR52+逐级计算!$C$96,CR52+逐级计算!$C$96-(10/(逐级计算!$Q$96*LN(10))*(MAX((LN(10^(逐级计算!$Q$96/10)-1)+逐级计算!$Q$96*(CR52-逐级计算!$P$96)*LN(10)/10),0)+LN(1+EXP(-ABS((LN(10^(逐级计算!$Q$96/10)-1)+逐级计算!$Q$96*(CR52-逐级计算!$P$96)*LN(10)/10))))))),"")</f>
        <v>13.793036574209</v>
      </c>
      <c r="CT52">
        <f>IF(AND(ISNUMBER(CS52),逐级计算!$X$97&gt;-1),IF(逐级计算!$X$97=0,CS52+逐级计算!$C$97,CS52+逐级计算!$C$97-(10/(逐级计算!$Q$97*LN(10))*(MAX((LN(10^(逐级计算!$Q$97/10)-1)+逐级计算!$Q$97*(CS52-逐级计算!$P$97)*LN(10)/10),0)+LN(1+EXP(-ABS((LN(10^(逐级计算!$Q$97/10)-1)+逐级计算!$Q$97*(CS52-逐级计算!$P$97)*LN(10)/10))))))),"")</f>
        <v>13.793036574209</v>
      </c>
      <c r="CU52">
        <f>IF(AND(ISNUMBER(CT52),逐级计算!$X$98&gt;-1),IF(逐级计算!$X$98=0,CT52+逐级计算!$C$98,CT52+逐级计算!$C$98-(10/(逐级计算!$Q$98*LN(10))*(MAX((LN(10^(逐级计算!$Q$98/10)-1)+逐级计算!$Q$98*(CT52-逐级计算!$P$98)*LN(10)/10),0)+LN(1+EXP(-ABS((LN(10^(逐级计算!$Q$98/10)-1)+逐级计算!$Q$98*(CT52-逐级计算!$P$98)*LN(10)/10))))))),"")</f>
        <v>13.793036574209</v>
      </c>
      <c r="CV52">
        <f>IF(AND(ISNUMBER(CU52),逐级计算!$X$99&gt;-1),IF(逐级计算!$X$99=0,CU52+逐级计算!$C$99,CU52+逐级计算!$C$99-(10/(逐级计算!$Q$99*LN(10))*(MAX((LN(10^(逐级计算!$Q$99/10)-1)+逐级计算!$Q$99*(CU52-逐级计算!$P$99)*LN(10)/10),0)+LN(1+EXP(-ABS((LN(10^(逐级计算!$Q$99/10)-1)+逐级计算!$Q$99*(CU52-逐级计算!$P$99)*LN(10)/10))))))),"")</f>
        <v>13.793036574209</v>
      </c>
      <c r="CW52">
        <f>IF(AND(ISNUMBER(CV52),逐级计算!$X$100&gt;-1),IF(逐级计算!$X$100=0,CV52+逐级计算!$C$100,CV52+逐级计算!$C$100-(10/(逐级计算!$Q$100*LN(10))*(MAX((LN(10^(逐级计算!$Q$100/10)-1)+逐级计算!$Q$100*(CV52-逐级计算!$P$100)*LN(10)/10),0)+LN(1+EXP(-ABS((LN(10^(逐级计算!$Q$100/10)-1)+逐级计算!$Q$100*(CV52-逐级计算!$P$100)*LN(10)/10))))))),"")</f>
        <v>13.793036574209</v>
      </c>
      <c r="CX52">
        <f>IF(AND(ISNUMBER(CW52),逐级计算!$X$101&gt;-1),IF(逐级计算!$X$101=0,CW52+逐级计算!$C$101,CW52+逐级计算!$C$101-(10/(逐级计算!$Q$101*LN(10))*(MAX((LN(10^(逐级计算!$Q$101/10)-1)+逐级计算!$Q$101*(CW52-逐级计算!$P$101)*LN(10)/10),0)+LN(1+EXP(-ABS((LN(10^(逐级计算!$Q$101/10)-1)+逐级计算!$Q$101*(CW52-逐级计算!$P$101)*LN(10)/10))))))),"")</f>
        <v>13.793036574209</v>
      </c>
      <c r="CY52">
        <f>IF(AND(ISNUMBER(CX52),逐级计算!$X$102&gt;-1),IF(逐级计算!$X$102=0,CX52+逐级计算!$C$102,CX52+逐级计算!$C$102-(10/(逐级计算!$Q$102*LN(10))*(MAX((LN(10^(逐级计算!$Q$102/10)-1)+逐级计算!$Q$102*(CX52-逐级计算!$P$102)*LN(10)/10),0)+LN(1+EXP(-ABS((LN(10^(逐级计算!$Q$102/10)-1)+逐级计算!$Q$102*(CX52-逐级计算!$P$102)*LN(10)/10))))))),"")</f>
        <v>13.793036574209</v>
      </c>
      <c r="CZ52">
        <f>IF(AND(ISNUMBER(CY52),逐级计算!$X$103&gt;-1),IF(逐级计算!$X$103=0,CY52+逐级计算!$C$103,CY52+逐级计算!$C$103-(10/(逐级计算!$Q$103*LN(10))*(MAX((LN(10^(逐级计算!$Q$103/10)-1)+逐级计算!$Q$103*(CY52-逐级计算!$P$103)*LN(10)/10),0)+LN(1+EXP(-ABS((LN(10^(逐级计算!$Q$103/10)-1)+逐级计算!$Q$103*(CY52-逐级计算!$P$103)*LN(10)/10))))))),"")</f>
        <v>13.793036574209</v>
      </c>
      <c r="DA52">
        <f>IF(AND(ISNUMBER(CZ52),逐级计算!$X$104&gt;-1),IF(逐级计算!$X$104=0,CZ52+逐级计算!$C$104,CZ52+逐级计算!$C$104-(10/(逐级计算!$Q$104*LN(10))*(MAX((LN(10^(逐级计算!$Q$104/10)-1)+逐级计算!$Q$104*(CZ52-逐级计算!$P$104)*LN(10)/10),0)+LN(1+EXP(-ABS((LN(10^(逐级计算!$Q$104/10)-1)+逐级计算!$Q$104*(CZ52-逐级计算!$P$104)*LN(10)/10))))))),"")</f>
        <v>13.793036574209</v>
      </c>
      <c r="DB52">
        <f>IF(AND(ISNUMBER(DA52),逐级计算!$X$105&gt;-1),IF(逐级计算!$X$105=0,DA52+逐级计算!$C$105,DA52+逐级计算!$C$105-(10/(逐级计算!$Q$105*LN(10))*(MAX((LN(10^(逐级计算!$Q$105/10)-1)+逐级计算!$Q$105*(DA52-逐级计算!$P$105)*LN(10)/10),0)+LN(1+EXP(-ABS((LN(10^(逐级计算!$Q$105/10)-1)+逐级计算!$Q$105*(DA52-逐级计算!$P$105)*LN(10)/10))))))),"")</f>
        <v>13.793036574209</v>
      </c>
      <c r="DC52">
        <f>IF(AND(ISNUMBER(DB52),逐级计算!$X$106&gt;-1),IF(逐级计算!$X$106=0,DB52+逐级计算!$C$106,DB52+逐级计算!$C$106-(10/(逐级计算!$Q$106*LN(10))*(MAX((LN(10^(逐级计算!$Q$106/10)-1)+逐级计算!$Q$106*(DB52-逐级计算!$P$106)*LN(10)/10),0)+LN(1+EXP(-ABS((LN(10^(逐级计算!$Q$106/10)-1)+逐级计算!$Q$106*(DB52-逐级计算!$P$106)*LN(10)/10))))))),"")</f>
        <v>13.793036574209</v>
      </c>
      <c r="DD52">
        <f>IF(AND(ISNUMBER(DC52),逐级计算!$X$107&gt;-1),IF(逐级计算!$X$107=0,DC52+逐级计算!$C$107,DC52+逐级计算!$C$107-(10/(逐级计算!$Q$107*LN(10))*(MAX((LN(10^(逐级计算!$Q$107/10)-1)+逐级计算!$Q$107*(DC52-逐级计算!$P$107)*LN(10)/10),0)+LN(1+EXP(-ABS((LN(10^(逐级计算!$Q$107/10)-1)+逐级计算!$Q$107*(DC52-逐级计算!$P$107)*LN(10)/10))))))),"")</f>
        <v>13.793036574209</v>
      </c>
      <c r="DE52">
        <f>IF(AND(ISNUMBER(DD52),逐级计算!$X$108&gt;-1),IF(逐级计算!$X$108=0,DD52+逐级计算!$C$108,DD52+逐级计算!$C$108-(10/(逐级计算!$Q$108*LN(10))*(MAX((LN(10^(逐级计算!$Q$108/10)-1)+逐级计算!$Q$108*(DD52-逐级计算!$P$108)*LN(10)/10),0)+LN(1+EXP(-ABS((LN(10^(逐级计算!$Q$108/10)-1)+逐级计算!$Q$108*(DD52-逐级计算!$P$108)*LN(10)/10))))))),"")</f>
        <v>13.793036574209</v>
      </c>
      <c r="DF52">
        <f>IF(AND(ISNUMBER(DE52),逐级计算!$X$109&gt;-1),IF(逐级计算!$X$109=0,DE52+逐级计算!$C$109,DE52+逐级计算!$C$109-(10/(逐级计算!$Q$109*LN(10))*(MAX((LN(10^(逐级计算!$Q$109/10)-1)+逐级计算!$Q$109*(DE52-逐级计算!$P$109)*LN(10)/10),0)+LN(1+EXP(-ABS((LN(10^(逐级计算!$Q$109/10)-1)+逐级计算!$Q$109*(DE52-逐级计算!$P$109)*LN(10)/10))))))),"")</f>
        <v>13.793036574209</v>
      </c>
      <c r="DG52">
        <f>IF(AND(ISNUMBER(DF52),逐级计算!$X$110&gt;-1),IF(逐级计算!$X$110=0,DF52+逐级计算!$C$110,DF52+逐级计算!$C$110-(10/(逐级计算!$Q$110*LN(10))*(MAX((LN(10^(逐级计算!$Q$110/10)-1)+逐级计算!$Q$110*(DF52-逐级计算!$P$110)*LN(10)/10),0)+LN(1+EXP(-ABS((LN(10^(逐级计算!$Q$110/10)-1)+逐级计算!$Q$110*(DF52-逐级计算!$P$110)*LN(10)/10))))))),"")</f>
        <v>13.793036574209</v>
      </c>
      <c r="DH52">
        <f>IF(AND(ISNUMBER(DG52),逐级计算!$X$111&gt;-1),IF(逐级计算!$X$111=0,DG52+逐级计算!$C$111,DG52+逐级计算!$C$111-(10/(逐级计算!$Q$111*LN(10))*(MAX((LN(10^(逐级计算!$Q$111/10)-1)+逐级计算!$Q$111*(DG52-逐级计算!$P$111)*LN(10)/10),0)+LN(1+EXP(-ABS((LN(10^(逐级计算!$Q$111/10)-1)+逐级计算!$Q$111*(DG52-逐级计算!$P$111)*LN(10)/10))))))),"")</f>
        <v>13.793036574209</v>
      </c>
      <c r="DI52">
        <f>IF(AND(ISNUMBER(DH52),逐级计算!$X$112&gt;-1),IF(逐级计算!$X$112=0,DH52+逐级计算!$C$112,DH52+逐级计算!$C$112-(10/(逐级计算!$Q$112*LN(10))*(MAX((LN(10^(逐级计算!$Q$112/10)-1)+逐级计算!$Q$112*(DH52-逐级计算!$P$112)*LN(10)/10),0)+LN(1+EXP(-ABS((LN(10^(逐级计算!$Q$112/10)-1)+逐级计算!$Q$112*(DH52-逐级计算!$P$112)*LN(10)/10))))))),"")</f>
        <v>13.793036574209</v>
      </c>
      <c r="DJ52">
        <f>IF(AND(ISNUMBER(DI52),逐级计算!$X$113&gt;-1),IF(逐级计算!$X$113=0,DI52+逐级计算!$C$113,DI52+逐级计算!$C$113-(10/(逐级计算!$Q$113*LN(10))*(MAX((LN(10^(逐级计算!$Q$113/10)-1)+逐级计算!$Q$113*(DI52-逐级计算!$P$113)*LN(10)/10),0)+LN(1+EXP(-ABS((LN(10^(逐级计算!$Q$113/10)-1)+逐级计算!$Q$113*(DI52-逐级计算!$P$113)*LN(10)/10))))))),"")</f>
        <v>13.793036574209</v>
      </c>
      <c r="DK52">
        <f>IF(AND(ISNUMBER(DJ52),逐级计算!$X$114&gt;-1),IF(逐级计算!$X$114=0,DJ52+逐级计算!$C$114,DJ52+逐级计算!$C$114-(10/(逐级计算!$Q$114*LN(10))*(MAX((LN(10^(逐级计算!$Q$114/10)-1)+逐级计算!$Q$114*(DJ52-逐级计算!$P$114)*LN(10)/10),0)+LN(1+EXP(-ABS((LN(10^(逐级计算!$Q$114/10)-1)+逐级计算!$Q$114*(DJ52-逐级计算!$P$114)*LN(10)/10))))))),"")</f>
        <v>13.793036574209</v>
      </c>
      <c r="DL52">
        <f>IF(AND(ISNUMBER(DK52),逐级计算!$X$115&gt;-1),IF(逐级计算!$X$115=0,DK52+逐级计算!$C$115,DK52+逐级计算!$C$115-(10/(逐级计算!$Q$115*LN(10))*(MAX((LN(10^(逐级计算!$Q$115/10)-1)+逐级计算!$Q$115*(DK52-逐级计算!$P$115)*LN(10)/10),0)+LN(1+EXP(-ABS((LN(10^(逐级计算!$Q$115/10)-1)+逐级计算!$Q$115*(DK52-逐级计算!$P$115)*LN(10)/10))))))),"")</f>
        <v>13.793036574209</v>
      </c>
      <c r="DM52">
        <f>IF(AND(ISNUMBER(DL52),逐级计算!$X$116&gt;-1),IF(逐级计算!$X$116=0,DL52+逐级计算!$C$116,DL52+逐级计算!$C$116-(10/(逐级计算!$Q$116*LN(10))*(MAX((LN(10^(逐级计算!$Q$116/10)-1)+逐级计算!$Q$116*(DL52-逐级计算!$P$116)*LN(10)/10),0)+LN(1+EXP(-ABS((LN(10^(逐级计算!$Q$116/10)-1)+逐级计算!$Q$116*(DL52-逐级计算!$P$116)*LN(10)/10))))))),"")</f>
        <v>13.793036574209</v>
      </c>
      <c r="DN52">
        <f>IF(AND(ISNUMBER(DM52),逐级计算!$X$117&gt;-1),IF(逐级计算!$X$117=0,DM52+逐级计算!$C$117,DM52+逐级计算!$C$117-(10/(逐级计算!$Q$117*LN(10))*(MAX((LN(10^(逐级计算!$Q$117/10)-1)+逐级计算!$Q$117*(DM52-逐级计算!$P$117)*LN(10)/10),0)+LN(1+EXP(-ABS((LN(10^(逐级计算!$Q$117/10)-1)+逐级计算!$Q$117*(DM52-逐级计算!$P$117)*LN(10)/10))))))),"")</f>
        <v>13.793036574209</v>
      </c>
      <c r="DO52">
        <f>IF(AND(ISNUMBER(DN52),逐级计算!$X$118&gt;-1),IF(逐级计算!$X$118=0,DN52+逐级计算!$C$118,DN52+逐级计算!$C$118-(10/(逐级计算!$Q$118*LN(10))*(MAX((LN(10^(逐级计算!$Q$118/10)-1)+逐级计算!$Q$118*(DN52-逐级计算!$P$118)*LN(10)/10),0)+LN(1+EXP(-ABS((LN(10^(逐级计算!$Q$118/10)-1)+逐级计算!$Q$118*(DN52-逐级计算!$P$118)*LN(10)/10))))))),"")</f>
        <v>13.793036574209</v>
      </c>
      <c r="DP52">
        <f>IF(AND(ISNUMBER(DO52),逐级计算!$X$119&gt;-1),IF(逐级计算!$X$119=0,DO52+逐级计算!$C$119,DO52+逐级计算!$C$119-(10/(逐级计算!$Q$119*LN(10))*(MAX((LN(10^(逐级计算!$Q$119/10)-1)+逐级计算!$Q$119*(DO52-逐级计算!$P$119)*LN(10)/10),0)+LN(1+EXP(-ABS((LN(10^(逐级计算!$Q$119/10)-1)+逐级计算!$Q$119*(DO52-逐级计算!$P$119)*LN(10)/10))))))),"")</f>
        <v>13.793036574209</v>
      </c>
      <c r="DQ52">
        <f>IF(AND(ISNUMBER(DP52),逐级计算!$X$120&gt;-1),IF(逐级计算!$X$120=0,DP52+逐级计算!$C$120,DP52+逐级计算!$C$120-(10/(逐级计算!$Q$120*LN(10))*(MAX((LN(10^(逐级计算!$Q$120/10)-1)+逐级计算!$Q$120*(DP52-逐级计算!$P$120)*LN(10)/10),0)+LN(1+EXP(-ABS((LN(10^(逐级计算!$Q$120/10)-1)+逐级计算!$Q$120*(DP52-逐级计算!$P$120)*LN(10)/10))))))),"")</f>
        <v>13.793036574209</v>
      </c>
      <c r="DR52">
        <f>IF(AND(ISNUMBER(DQ52),逐级计算!$X$121&gt;-1),IF(逐级计算!$X$121=0,DQ52+逐级计算!$C$121,DQ52+逐级计算!$C$121-(10/(逐级计算!$Q$121*LN(10))*(MAX((LN(10^(逐级计算!$Q$121/10)-1)+逐级计算!$Q$121*(DQ52-逐级计算!$P$121)*LN(10)/10),0)+LN(1+EXP(-ABS((LN(10^(逐级计算!$Q$121/10)-1)+逐级计算!$Q$121*(DQ52-逐级计算!$P$121)*LN(10)/10))))))),"")</f>
        <v>13.793036574209</v>
      </c>
      <c r="DS52">
        <f>IF(AND(ISNUMBER(DR52),逐级计算!$X$122&gt;-1),IF(逐级计算!$X$122=0,DR52+逐级计算!$C$122,DR52+逐级计算!$C$122-(10/(逐级计算!$Q$122*LN(10))*(MAX((LN(10^(逐级计算!$Q$122/10)-1)+逐级计算!$Q$122*(DR52-逐级计算!$P$122)*LN(10)/10),0)+LN(1+EXP(-ABS((LN(10^(逐级计算!$Q$122/10)-1)+逐级计算!$Q$122*(DR52-逐级计算!$P$122)*LN(10)/10))))))),"")</f>
        <v>13.793036574209</v>
      </c>
      <c r="DT52">
        <f>IF(AND(ISNUMBER(DS52),逐级计算!$X$123&gt;-1),IF(逐级计算!$X$123=0,DS52+逐级计算!$C$123,DS52+逐级计算!$C$123-(10/(逐级计算!$Q$123*LN(10))*(MAX((LN(10^(逐级计算!$Q$123/10)-1)+逐级计算!$Q$123*(DS52-逐级计算!$P$123)*LN(10)/10),0)+LN(1+EXP(-ABS((LN(10^(逐级计算!$Q$123/10)-1)+逐级计算!$Q$123*(DS52-逐级计算!$P$123)*LN(10)/10))))))),"")</f>
        <v>13.793036574209</v>
      </c>
      <c r="DU52">
        <f>IF(AND(ISNUMBER(DT52),逐级计算!$X$124&gt;-1),IF(逐级计算!$X$124=0,DT52+逐级计算!$C$124,DT52+逐级计算!$C$124-(10/(逐级计算!$Q$124*LN(10))*(MAX((LN(10^(逐级计算!$Q$124/10)-1)+逐级计算!$Q$124*(DT52-逐级计算!$P$124)*LN(10)/10),0)+LN(1+EXP(-ABS((LN(10^(逐级计算!$Q$124/10)-1)+逐级计算!$Q$124*(DT52-逐级计算!$P$124)*LN(10)/10))))))),"")</f>
        <v>13.793036574209</v>
      </c>
      <c r="DV52">
        <f>IF(AND(ISNUMBER(DU52),逐级计算!$X$125&gt;-1),IF(逐级计算!$X$125=0,DU52+逐级计算!$C$125,DU52+逐级计算!$C$125-(10/(逐级计算!$Q$125*LN(10))*(MAX((LN(10^(逐级计算!$Q$125/10)-1)+逐级计算!$Q$125*(DU52-逐级计算!$P$125)*LN(10)/10),0)+LN(1+EXP(-ABS((LN(10^(逐级计算!$Q$125/10)-1)+逐级计算!$Q$125*(DU52-逐级计算!$P$125)*LN(10)/10))))))),"")</f>
        <v>13.793036574209</v>
      </c>
      <c r="DW52">
        <f>IF(AND(ISNUMBER(DV52),逐级计算!$X$126&gt;-1),IF(逐级计算!$X$126=0,DV52+逐级计算!$C$126,DV52+逐级计算!$C$126-(10/(逐级计算!$Q$126*LN(10))*(MAX((LN(10^(逐级计算!$Q$126/10)-1)+逐级计算!$Q$126*(DV52-逐级计算!$P$126)*LN(10)/10),0)+LN(1+EXP(-ABS((LN(10^(逐级计算!$Q$126/10)-1)+逐级计算!$Q$126*(DV52-逐级计算!$P$126)*LN(10)/10))))))),"")</f>
        <v>13.793036574209</v>
      </c>
      <c r="DX52">
        <f>IF(AND(ISNUMBER(DW52),逐级计算!$X$127&gt;-1),IF(逐级计算!$X$127=0,DW52+逐级计算!$C$127,DW52+逐级计算!$C$127-(10/(逐级计算!$Q$127*LN(10))*(MAX((LN(10^(逐级计算!$Q$127/10)-1)+逐级计算!$Q$127*(DW52-逐级计算!$P$127)*LN(10)/10),0)+LN(1+EXP(-ABS((LN(10^(逐级计算!$Q$127/10)-1)+逐级计算!$Q$127*(DW52-逐级计算!$P$127)*LN(10)/10))))))),"")</f>
        <v>13.793036574209</v>
      </c>
      <c r="DY52">
        <f>IF(AND(ISNUMBER(DX52),逐级计算!$X$128&gt;-1),IF(逐级计算!$X$128=0,DX52+逐级计算!$C$128,DX52+逐级计算!$C$128-(10/(逐级计算!$Q$128*LN(10))*(MAX((LN(10^(逐级计算!$Q$128/10)-1)+逐级计算!$Q$128*(DX52-逐级计算!$P$128)*LN(10)/10),0)+LN(1+EXP(-ABS((LN(10^(逐级计算!$Q$128/10)-1)+逐级计算!$Q$128*(DX52-逐级计算!$P$128)*LN(10)/10))))))),"")</f>
        <v>13.793036574209</v>
      </c>
      <c r="DZ52">
        <f>IF(AND(ISNUMBER(DY52),逐级计算!$X$129&gt;-1),IF(逐级计算!$X$129=0,DY52+逐级计算!$C$129,DY52+逐级计算!$C$129-(10/(逐级计算!$Q$129*LN(10))*(MAX((LN(10^(逐级计算!$Q$129/10)-1)+逐级计算!$Q$129*(DY52-逐级计算!$P$129)*LN(10)/10),0)+LN(1+EXP(-ABS((LN(10^(逐级计算!$Q$129/10)-1)+逐级计算!$Q$129*(DY52-逐级计算!$P$129)*LN(10)/10))))))),"")</f>
        <v>13.793036574209</v>
      </c>
      <c r="EA52">
        <f>IF(AND(ISNUMBER(DZ52),逐级计算!$X$130&gt;-1),IF(逐级计算!$X$130=0,DZ52+逐级计算!$C$130,DZ52+逐级计算!$C$130-(10/(逐级计算!$Q$130*LN(10))*(MAX((LN(10^(逐级计算!$Q$130/10)-1)+逐级计算!$Q$130*(DZ52-逐级计算!$P$130)*LN(10)/10),0)+LN(1+EXP(-ABS((LN(10^(逐级计算!$Q$130/10)-1)+逐级计算!$Q$130*(DZ52-逐级计算!$P$130)*LN(10)/10))))))),"")</f>
        <v>13.793036574209</v>
      </c>
      <c r="EB52">
        <f>IF(AND(ISNUMBER(EA52),逐级计算!$X$131&gt;-1),IF(逐级计算!$X$131=0,EA52+逐级计算!$C$131,EA52+逐级计算!$C$131-(10/(逐级计算!$Q$131*LN(10))*(MAX((LN(10^(逐级计算!$Q$131/10)-1)+逐级计算!$Q$131*(EA52-逐级计算!$P$131)*LN(10)/10),0)+LN(1+EXP(-ABS((LN(10^(逐级计算!$Q$131/10)-1)+逐级计算!$Q$131*(EA52-逐级计算!$P$131)*LN(10)/10))))))),"")</f>
        <v>13.793036574209</v>
      </c>
      <c r="EC52">
        <f>IF(AND(ISNUMBER(EB52),逐级计算!$X$132&gt;-1),IF(逐级计算!$X$132=0,EB52+逐级计算!$C$132,EB52+逐级计算!$C$132-(10/(逐级计算!$Q$132*LN(10))*(MAX((LN(10^(逐级计算!$Q$132/10)-1)+逐级计算!$Q$132*(EB52-逐级计算!$P$132)*LN(10)/10),0)+LN(1+EXP(-ABS((LN(10^(逐级计算!$Q$132/10)-1)+逐级计算!$Q$132*(EB52-逐级计算!$P$132)*LN(10)/10))))))),"")</f>
        <v>13.793036574209</v>
      </c>
      <c r="ED52">
        <f>IF(AND(ISNUMBER(EC52),逐级计算!$X$133&gt;-1),IF(逐级计算!$X$133=0,EC52+逐级计算!$C$133,EC52+逐级计算!$C$133-(10/(逐级计算!$Q$133*LN(10))*(MAX((LN(10^(逐级计算!$Q$133/10)-1)+逐级计算!$Q$133*(EC52-逐级计算!$P$133)*LN(10)/10),0)+LN(1+EXP(-ABS((LN(10^(逐级计算!$Q$133/10)-1)+逐级计算!$Q$133*(EC52-逐级计算!$P$133)*LN(10)/10))))))),"")</f>
        <v>13.793036574209</v>
      </c>
      <c r="EE52">
        <f>IF(AND(ISNUMBER(ED52),逐级计算!$X$134&gt;-1),IF(逐级计算!$X$134=0,ED52+逐级计算!$C$134,ED52+逐级计算!$C$134-(10/(逐级计算!$Q$134*LN(10))*(MAX((LN(10^(逐级计算!$Q$134/10)-1)+逐级计算!$Q$134*(ED52-逐级计算!$P$134)*LN(10)/10),0)+LN(1+EXP(-ABS((LN(10^(逐级计算!$Q$134/10)-1)+逐级计算!$Q$134*(ED52-逐级计算!$P$134)*LN(10)/10))))))),"")</f>
        <v>13.793036574209</v>
      </c>
      <c r="EF52">
        <f>IF(AND(ISNUMBER(EE52),逐级计算!$X$135&gt;-1),IF(逐级计算!$X$135=0,EE52+逐级计算!$C$135,EE52+逐级计算!$C$135-(10/(逐级计算!$Q$135*LN(10))*(MAX((LN(10^(逐级计算!$Q$135/10)-1)+逐级计算!$Q$135*(EE52-逐级计算!$P$135)*LN(10)/10),0)+LN(1+EXP(-ABS((LN(10^(逐级计算!$Q$135/10)-1)+逐级计算!$Q$135*(EE52-逐级计算!$P$135)*LN(10)/10))))))),"")</f>
        <v>13.793036574209</v>
      </c>
      <c r="EG52">
        <f>IF(AND(ISNUMBER(EF52),逐级计算!$X$136&gt;-1),IF(逐级计算!$X$136=0,EF52+逐级计算!$C$136,EF52+逐级计算!$C$136-(10/(逐级计算!$Q$136*LN(10))*(MAX((LN(10^(逐级计算!$Q$136/10)-1)+逐级计算!$Q$136*(EF52-逐级计算!$P$136)*LN(10)/10),0)+LN(1+EXP(-ABS((LN(10^(逐级计算!$Q$136/10)-1)+逐级计算!$Q$136*(EF52-逐级计算!$P$136)*LN(10)/10))))))),"")</f>
        <v>13.793036574209</v>
      </c>
      <c r="EH52">
        <f>IF(AND(ISNUMBER(EG52),逐级计算!$X$137&gt;-1),IF(逐级计算!$X$137=0,EG52+逐级计算!$C$137,EG52+逐级计算!$C$137-(10/(逐级计算!$Q$137*LN(10))*(MAX((LN(10^(逐级计算!$Q$137/10)-1)+逐级计算!$Q$137*(EG52-逐级计算!$P$137)*LN(10)/10),0)+LN(1+EXP(-ABS((LN(10^(逐级计算!$Q$137/10)-1)+逐级计算!$Q$137*(EG52-逐级计算!$P$137)*LN(10)/10))))))),"")</f>
        <v>13.793036574209</v>
      </c>
      <c r="EI52">
        <f>IF(AND(ISNUMBER(EH52),逐级计算!$X$138&gt;-1),IF(逐级计算!$X$138=0,EH52+逐级计算!$C$138,EH52+逐级计算!$C$138-(10/(逐级计算!$Q$138*LN(10))*(MAX((LN(10^(逐级计算!$Q$138/10)-1)+逐级计算!$Q$138*(EH52-逐级计算!$P$138)*LN(10)/10),0)+LN(1+EXP(-ABS((LN(10^(逐级计算!$Q$138/10)-1)+逐级计算!$Q$138*(EH52-逐级计算!$P$138)*LN(10)/10))))))),"")</f>
        <v>13.793036574209</v>
      </c>
      <c r="EJ52">
        <f>IF(AND(ISNUMBER(EI52),逐级计算!$X$139&gt;-1),IF(逐级计算!$X$139=0,EI52+逐级计算!$C$139,EI52+逐级计算!$C$139-(10/(逐级计算!$Q$139*LN(10))*(MAX((LN(10^(逐级计算!$Q$139/10)-1)+逐级计算!$Q$139*(EI52-逐级计算!$P$139)*LN(10)/10),0)+LN(1+EXP(-ABS((LN(10^(逐级计算!$Q$139/10)-1)+逐级计算!$Q$139*(EI52-逐级计算!$P$139)*LN(10)/10))))))),"")</f>
        <v>13.793036574209</v>
      </c>
      <c r="EK52">
        <f>IF(AND(ISNUMBER(EJ52),逐级计算!$X$140&gt;-1),IF(逐级计算!$X$140=0,EJ52+逐级计算!$C$140,EJ52+逐级计算!$C$140-(10/(逐级计算!$Q$140*LN(10))*(MAX((LN(10^(逐级计算!$Q$140/10)-1)+逐级计算!$Q$140*(EJ52-逐级计算!$P$140)*LN(10)/10),0)+LN(1+EXP(-ABS((LN(10^(逐级计算!$Q$140/10)-1)+逐级计算!$Q$140*(EJ52-逐级计算!$P$140)*LN(10)/10))))))),"")</f>
        <v>13.793036574209</v>
      </c>
      <c r="EL52">
        <f>IF(AND(ISNUMBER(EK52),逐级计算!$X$141&gt;-1),IF(逐级计算!$X$141=0,EK52+逐级计算!$C$141,EK52+逐级计算!$C$141-(10/(逐级计算!$Q$141*LN(10))*(MAX((LN(10^(逐级计算!$Q$141/10)-1)+逐级计算!$Q$141*(EK52-逐级计算!$P$141)*LN(10)/10),0)+LN(1+EXP(-ABS((LN(10^(逐级计算!$Q$141/10)-1)+逐级计算!$Q$141*(EK52-逐级计算!$P$141)*LN(10)/10))))))),"")</f>
        <v>13.793036574209</v>
      </c>
      <c r="EM52">
        <f>IF(AND(ISNUMBER(EL52),逐级计算!$X$142&gt;-1),IF(逐级计算!$X$142=0,EL52+逐级计算!$C$142,EL52+逐级计算!$C$142-(10/(逐级计算!$Q$142*LN(10))*(MAX((LN(10^(逐级计算!$Q$142/10)-1)+逐级计算!$Q$142*(EL52-逐级计算!$P$142)*LN(10)/10),0)+LN(1+EXP(-ABS((LN(10^(逐级计算!$Q$142/10)-1)+逐级计算!$Q$142*(EL52-逐级计算!$P$142)*LN(10)/10))))))),"")</f>
        <v>13.793036574209</v>
      </c>
      <c r="EN52">
        <f>IF(AND(ISNUMBER(EM52),逐级计算!$X$143&gt;-1),IF(逐级计算!$X$143=0,EM52+逐级计算!$C$143,EM52+逐级计算!$C$143-(10/(逐级计算!$Q$143*LN(10))*(MAX((LN(10^(逐级计算!$Q$143/10)-1)+逐级计算!$Q$143*(EM52-逐级计算!$P$143)*LN(10)/10),0)+LN(1+EXP(-ABS((LN(10^(逐级计算!$Q$143/10)-1)+逐级计算!$Q$143*(EM52-逐级计算!$P$143)*LN(10)/10))))))),"")</f>
        <v>13.793036574209</v>
      </c>
      <c r="EO52">
        <f>IF(AND(ISNUMBER(EN52),逐级计算!$X$144&gt;-1),IF(逐级计算!$X$144=0,EN52+逐级计算!$C$144,EN52+逐级计算!$C$144-(10/(逐级计算!$Q$144*LN(10))*(MAX((LN(10^(逐级计算!$Q$144/10)-1)+逐级计算!$Q$144*(EN52-逐级计算!$P$144)*LN(10)/10),0)+LN(1+EXP(-ABS((LN(10^(逐级计算!$Q$144/10)-1)+逐级计算!$Q$144*(EN52-逐级计算!$P$144)*LN(10)/10))))))),"")</f>
        <v>13.793036574209</v>
      </c>
      <c r="EP52">
        <f>IF(AND(ISNUMBER(EO52),逐级计算!$X$145&gt;-1),IF(逐级计算!$X$145=0,EO52+逐级计算!$C$145,EO52+逐级计算!$C$145-(10/(逐级计算!$Q$145*LN(10))*(MAX((LN(10^(逐级计算!$Q$145/10)-1)+逐级计算!$Q$145*(EO52-逐级计算!$P$145)*LN(10)/10),0)+LN(1+EXP(-ABS((LN(10^(逐级计算!$Q$145/10)-1)+逐级计算!$Q$145*(EO52-逐级计算!$P$145)*LN(10)/10))))))),"")</f>
        <v>13.793036574209</v>
      </c>
      <c r="EQ52">
        <f>IF(AND(ISNUMBER(EP52),逐级计算!$X$146&gt;-1),IF(逐级计算!$X$146=0,EP52+逐级计算!$C$146,EP52+逐级计算!$C$146-(10/(逐级计算!$Q$146*LN(10))*(MAX((LN(10^(逐级计算!$Q$146/10)-1)+逐级计算!$Q$146*(EP52-逐级计算!$P$146)*LN(10)/10),0)+LN(1+EXP(-ABS((LN(10^(逐级计算!$Q$146/10)-1)+逐级计算!$Q$146*(EP52-逐级计算!$P$146)*LN(10)/10))))))),"")</f>
        <v>13.793036574209</v>
      </c>
      <c r="ER52">
        <f>IF(AND(ISNUMBER(EQ52),逐级计算!$X$147&gt;-1),IF(逐级计算!$X$147=0,EQ52+逐级计算!$C$147,EQ52+逐级计算!$C$147-(10/(逐级计算!$Q$147*LN(10))*(MAX((LN(10^(逐级计算!$Q$147/10)-1)+逐级计算!$Q$147*(EQ52-逐级计算!$P$147)*LN(10)/10),0)+LN(1+EXP(-ABS((LN(10^(逐级计算!$Q$147/10)-1)+逐级计算!$Q$147*(EQ52-逐级计算!$P$147)*LN(10)/10))))))),"")</f>
        <v>13.793036574209</v>
      </c>
      <c r="ES52">
        <f>IF(AND(ISNUMBER(ER52),逐级计算!$X$148&gt;-1),IF(逐级计算!$X$148=0,ER52+逐级计算!$C$148,ER52+逐级计算!$C$148-(10/(逐级计算!$Q$148*LN(10))*(MAX((LN(10^(逐级计算!$Q$148/10)-1)+逐级计算!$Q$148*(ER52-逐级计算!$P$148)*LN(10)/10),0)+LN(1+EXP(-ABS((LN(10^(逐级计算!$Q$148/10)-1)+逐级计算!$Q$148*(ER52-逐级计算!$P$148)*LN(10)/10))))))),"")</f>
        <v>13.793036574209</v>
      </c>
      <c r="ET52">
        <f>IF(AND(ISNUMBER(ES52),逐级计算!$X$149&gt;-1),IF(逐级计算!$X$149=0,ES52+逐级计算!$C$149,ES52+逐级计算!$C$149-(10/(逐级计算!$Q$149*LN(10))*(MAX((LN(10^(逐级计算!$Q$149/10)-1)+逐级计算!$Q$149*(ES52-逐级计算!$P$149)*LN(10)/10),0)+LN(1+EXP(-ABS((LN(10^(逐级计算!$Q$149/10)-1)+逐级计算!$Q$149*(ES52-逐级计算!$P$149)*LN(10)/10))))))),"")</f>
        <v>13.793036574209</v>
      </c>
      <c r="EU52">
        <f>IF(AND(ISNUMBER(ET52),逐级计算!$X$150&gt;-1),IF(逐级计算!$X$150=0,ET52+逐级计算!$C$150,ET52+逐级计算!$C$150-(10/(逐级计算!$Q$150*LN(10))*(MAX((LN(10^(逐级计算!$Q$150/10)-1)+逐级计算!$Q$150*(ET52-逐级计算!$P$150)*LN(10)/10),0)+LN(1+EXP(-ABS((LN(10^(逐级计算!$Q$150/10)-1)+逐级计算!$Q$150*(ET52-逐级计算!$P$150)*LN(10)/10))))))),"")</f>
        <v>13.793036574209</v>
      </c>
      <c r="EV52">
        <f>IF(AND(ISNUMBER(EU52),逐级计算!$X$151&gt;-1),IF(逐级计算!$X$151=0,EU52+逐级计算!$C$151,EU52+逐级计算!$C$151-(10/(逐级计算!$Q$151*LN(10))*(MAX((LN(10^(逐级计算!$Q$151/10)-1)+逐级计算!$Q$151*(EU52-逐级计算!$P$151)*LN(10)/10),0)+LN(1+EXP(-ABS((LN(10^(逐级计算!$Q$151/10)-1)+逐级计算!$Q$151*(EU52-逐级计算!$P$151)*LN(10)/10))))))),"")</f>
        <v>13.793036574209</v>
      </c>
      <c r="EW52">
        <f>IF(AND(ISNUMBER(EV52),逐级计算!$X$152&gt;-1),IF(逐级计算!$X$152=0,EV52+逐级计算!$C$152,EV52+逐级计算!$C$152-(10/(逐级计算!$Q$152*LN(10))*(MAX((LN(10^(逐级计算!$Q$152/10)-1)+逐级计算!$Q$152*(EV52-逐级计算!$P$152)*LN(10)/10),0)+LN(1+EXP(-ABS((LN(10^(逐级计算!$Q$152/10)-1)+逐级计算!$Q$152*(EV52-逐级计算!$P$152)*LN(10)/10))))))),"")</f>
        <v>13.793036574209</v>
      </c>
      <c r="EX52">
        <f>IF(AND(ISNUMBER(EW52),逐级计算!$X$153&gt;-1),IF(逐级计算!$X$153=0,EW52+逐级计算!$C$153,EW52+逐级计算!$C$153-(10/(逐级计算!$Q$153*LN(10))*(MAX((LN(10^(逐级计算!$Q$153/10)-1)+逐级计算!$Q$153*(EW52-逐级计算!$P$153)*LN(10)/10),0)+LN(1+EXP(-ABS((LN(10^(逐级计算!$Q$153/10)-1)+逐级计算!$Q$153*(EW52-逐级计算!$P$153)*LN(10)/10))))))),"")</f>
        <v>13.793036574209</v>
      </c>
      <c r="EY52">
        <f>IF(AND(ISNUMBER(EX52),逐级计算!$X$154&gt;-1),IF(逐级计算!$X$154=0,EX52+逐级计算!$C$154,EX52+逐级计算!$C$154-(10/(逐级计算!$Q$154*LN(10))*(MAX((LN(10^(逐级计算!$Q$154/10)-1)+逐级计算!$Q$154*(EX52-逐级计算!$P$154)*LN(10)/10),0)+LN(1+EXP(-ABS((LN(10^(逐级计算!$Q$154/10)-1)+逐级计算!$Q$154*(EX52-逐级计算!$P$154)*LN(10)/10))))))),"")</f>
        <v>13.793036574209</v>
      </c>
      <c r="EZ52">
        <f>IF(AND(ISNUMBER(EY52),逐级计算!$X$155&gt;-1),IF(逐级计算!$X$155=0,EY52+逐级计算!$C$155,EY52+逐级计算!$C$155-(10/(逐级计算!$Q$155*LN(10))*(MAX((LN(10^(逐级计算!$Q$155/10)-1)+逐级计算!$Q$155*(EY52-逐级计算!$P$155)*LN(10)/10),0)+LN(1+EXP(-ABS((LN(10^(逐级计算!$Q$155/10)-1)+逐级计算!$Q$155*(EY52-逐级计算!$P$155)*LN(10)/10))))))),"")</f>
        <v>13.793036574209</v>
      </c>
      <c r="FA52">
        <f>IF(AND(ISNUMBER(EZ52),逐级计算!$X$156&gt;-1),IF(逐级计算!$X$156=0,EZ52+逐级计算!$C$156,EZ52+逐级计算!$C$156-(10/(逐级计算!$Q$156*LN(10))*(MAX((LN(10^(逐级计算!$Q$156/10)-1)+逐级计算!$Q$156*(EZ52-逐级计算!$P$156)*LN(10)/10),0)+LN(1+EXP(-ABS((LN(10^(逐级计算!$Q$156/10)-1)+逐级计算!$Q$156*(EZ52-逐级计算!$P$156)*LN(10)/10))))))),"")</f>
        <v>13.793036574209</v>
      </c>
      <c r="FB52">
        <f>IF(AND(ISNUMBER(FA52),逐级计算!$X$157&gt;-1),IF(逐级计算!$X$157=0,FA52+逐级计算!$C$157,FA52+逐级计算!$C$157-(10/(逐级计算!$Q$157*LN(10))*(MAX((LN(10^(逐级计算!$Q$157/10)-1)+逐级计算!$Q$157*(FA52-逐级计算!$P$157)*LN(10)/10),0)+LN(1+EXP(-ABS((LN(10^(逐级计算!$Q$157/10)-1)+逐级计算!$Q$157*(FA52-逐级计算!$P$157)*LN(10)/10))))))),"")</f>
        <v>13.793036574209</v>
      </c>
      <c r="FC52">
        <f>IF(AND(ISNUMBER(FB52),逐级计算!$X$158&gt;-1),IF(逐级计算!$X$158=0,FB52+逐级计算!$C$158,FB52+逐级计算!$C$158-(10/(逐级计算!$Q$158*LN(10))*(MAX((LN(10^(逐级计算!$Q$158/10)-1)+逐级计算!$Q$158*(FB52-逐级计算!$P$158)*LN(10)/10),0)+LN(1+EXP(-ABS((LN(10^(逐级计算!$Q$158/10)-1)+逐级计算!$Q$158*(FB52-逐级计算!$P$158)*LN(10)/10))))))),"")</f>
        <v>13.793036574209</v>
      </c>
      <c r="FD52">
        <f>IF(AND(ISNUMBER(FC52),逐级计算!$X$159&gt;-1),IF(逐级计算!$X$159=0,FC52+逐级计算!$C$159,FC52+逐级计算!$C$159-(10/(逐级计算!$Q$159*LN(10))*(MAX((LN(10^(逐级计算!$Q$159/10)-1)+逐级计算!$Q$159*(FC52-逐级计算!$P$159)*LN(10)/10),0)+LN(1+EXP(-ABS((LN(10^(逐级计算!$Q$159/10)-1)+逐级计算!$Q$159*(FC52-逐级计算!$P$159)*LN(10)/10))))))),"")</f>
        <v>13.793036574209</v>
      </c>
      <c r="FE52">
        <f>IF(AND(ISNUMBER(FD52),逐级计算!$X$160&gt;-1),IF(逐级计算!$X$160=0,FD52+逐级计算!$C$160,FD52+逐级计算!$C$160-(10/(逐级计算!$Q$160*LN(10))*(MAX((LN(10^(逐级计算!$Q$160/10)-1)+逐级计算!$Q$160*(FD52-逐级计算!$P$160)*LN(10)/10),0)+LN(1+EXP(-ABS((LN(10^(逐级计算!$Q$160/10)-1)+逐级计算!$Q$160*(FD52-逐级计算!$P$160)*LN(10)/10))))))),"")</f>
        <v>13.793036574209</v>
      </c>
      <c r="FF52">
        <f>IF(AND(ISNUMBER(FE52),逐级计算!$X$161&gt;-1),IF(逐级计算!$X$161=0,FE52+逐级计算!$C$161,FE52+逐级计算!$C$161-(10/(逐级计算!$Q$161*LN(10))*(MAX((LN(10^(逐级计算!$Q$161/10)-1)+逐级计算!$Q$161*(FE52-逐级计算!$P$161)*LN(10)/10),0)+LN(1+EXP(-ABS((LN(10^(逐级计算!$Q$161/10)-1)+逐级计算!$Q$161*(FE52-逐级计算!$P$161)*LN(10)/10))))))),"")</f>
        <v>13.793036574209</v>
      </c>
      <c r="FG52">
        <f>IF(AND(ISNUMBER(FF52),逐级计算!$X$162&gt;-1),IF(逐级计算!$X$162=0,FF52+逐级计算!$C$162,FF52+逐级计算!$C$162-(10/(逐级计算!$Q$162*LN(10))*(MAX((LN(10^(逐级计算!$Q$162/10)-1)+逐级计算!$Q$162*(FF52-逐级计算!$P$162)*LN(10)/10),0)+LN(1+EXP(-ABS((LN(10^(逐级计算!$Q$162/10)-1)+逐级计算!$Q$162*(FF52-逐级计算!$P$162)*LN(10)/10))))))),"")</f>
        <v>13.793036574209</v>
      </c>
      <c r="FH52">
        <f>IF(AND(ISNUMBER(FG52),逐级计算!$X$163&gt;-1),IF(逐级计算!$X$163=0,FG52+逐级计算!$C$163,FG52+逐级计算!$C$163-(10/(逐级计算!$Q$163*LN(10))*(MAX((LN(10^(逐级计算!$Q$163/10)-1)+逐级计算!$Q$163*(FG52-逐级计算!$P$163)*LN(10)/10),0)+LN(1+EXP(-ABS((LN(10^(逐级计算!$Q$163/10)-1)+逐级计算!$Q$163*(FG52-逐级计算!$P$163)*LN(10)/10))))))),"")</f>
        <v>13.793036574209</v>
      </c>
      <c r="FI52">
        <f>IF(AND(ISNUMBER(FH52),逐级计算!$X$164&gt;-1),IF(逐级计算!$X$164=0,FH52+逐级计算!$C$164,FH52+逐级计算!$C$164-(10/(逐级计算!$Q$164*LN(10))*(MAX((LN(10^(逐级计算!$Q$164/10)-1)+逐级计算!$Q$164*(FH52-逐级计算!$P$164)*LN(10)/10),0)+LN(1+EXP(-ABS((LN(10^(逐级计算!$Q$164/10)-1)+逐级计算!$Q$164*(FH52-逐级计算!$P$164)*LN(10)/10))))))),"")</f>
        <v>13.793036574209</v>
      </c>
      <c r="FJ52">
        <f>IF(AND(ISNUMBER(FI52),逐级计算!$X$165&gt;-1),IF(逐级计算!$X$165=0,FI52+逐级计算!$C$165,FI52+逐级计算!$C$165-(10/(逐级计算!$Q$165*LN(10))*(MAX((LN(10^(逐级计算!$Q$165/10)-1)+逐级计算!$Q$165*(FI52-逐级计算!$P$165)*LN(10)/10),0)+LN(1+EXP(-ABS((LN(10^(逐级计算!$Q$165/10)-1)+逐级计算!$Q$165*(FI52-逐级计算!$P$165)*LN(10)/10))))))),"")</f>
        <v>13.793036574209</v>
      </c>
      <c r="FK52">
        <f>IF(AND(ISNUMBER(FJ52),逐级计算!$X$166&gt;-1),IF(逐级计算!$X$166=0,FJ52+逐级计算!$C$166,FJ52+逐级计算!$C$166-(10/(逐级计算!$Q$166*LN(10))*(MAX((LN(10^(逐级计算!$Q$166/10)-1)+逐级计算!$Q$166*(FJ52-逐级计算!$P$166)*LN(10)/10),0)+LN(1+EXP(-ABS((LN(10^(逐级计算!$Q$166/10)-1)+逐级计算!$Q$166*(FJ52-逐级计算!$P$166)*LN(10)/10))))))),"")</f>
        <v>13.793036574209</v>
      </c>
      <c r="FL52">
        <f>IF(AND(ISNUMBER(FK52),逐级计算!$X$167&gt;-1),IF(逐级计算!$X$167=0,FK52+逐级计算!$C$167,FK52+逐级计算!$C$167-(10/(逐级计算!$Q$167*LN(10))*(MAX((LN(10^(逐级计算!$Q$167/10)-1)+逐级计算!$Q$167*(FK52-逐级计算!$P$167)*LN(10)/10),0)+LN(1+EXP(-ABS((LN(10^(逐级计算!$Q$167/10)-1)+逐级计算!$Q$167*(FK52-逐级计算!$P$167)*LN(10)/10))))))),"")</f>
        <v>13.793036574209</v>
      </c>
      <c r="FM52">
        <f>IF(AND(ISNUMBER(FL52),逐级计算!$X$168&gt;-1),IF(逐级计算!$X$168=0,FL52+逐级计算!$C$168,FL52+逐级计算!$C$168-(10/(逐级计算!$Q$168*LN(10))*(MAX((LN(10^(逐级计算!$Q$168/10)-1)+逐级计算!$Q$168*(FL52-逐级计算!$P$168)*LN(10)/10),0)+LN(1+EXP(-ABS((LN(10^(逐级计算!$Q$168/10)-1)+逐级计算!$Q$168*(FL52-逐级计算!$P$168)*LN(10)/10))))))),"")</f>
        <v>13.793036574209</v>
      </c>
      <c r="FN52">
        <f>IF(AND(ISNUMBER(FM52),逐级计算!$X$169&gt;-1),IF(逐级计算!$X$169=0,FM52+逐级计算!$C$169,FM52+逐级计算!$C$169-(10/(逐级计算!$Q$169*LN(10))*(MAX((LN(10^(逐级计算!$Q$169/10)-1)+逐级计算!$Q$169*(FM52-逐级计算!$P$169)*LN(10)/10),0)+LN(1+EXP(-ABS((LN(10^(逐级计算!$Q$169/10)-1)+逐级计算!$Q$169*(FM52-逐级计算!$P$169)*LN(10)/10))))))),"")</f>
        <v>13.793036574209</v>
      </c>
      <c r="FO52">
        <f>IF(AND(ISNUMBER(FN52),逐级计算!$X$170&gt;-1),IF(逐级计算!$X$170=0,FN52+逐级计算!$C$170,FN52+逐级计算!$C$170-(10/(逐级计算!$Q$170*LN(10))*(MAX((LN(10^(逐级计算!$Q$170/10)-1)+逐级计算!$Q$170*(FN52-逐级计算!$P$170)*LN(10)/10),0)+LN(1+EXP(-ABS((LN(10^(逐级计算!$Q$170/10)-1)+逐级计算!$Q$170*(FN52-逐级计算!$P$170)*LN(10)/10))))))),"")</f>
        <v>13.793036574209</v>
      </c>
      <c r="FP52">
        <f>IF(AND(ISNUMBER(FO52),逐级计算!$X$171&gt;-1),IF(逐级计算!$X$171=0,FO52+逐级计算!$C$171,FO52+逐级计算!$C$171-(10/(逐级计算!$Q$171*LN(10))*(MAX((LN(10^(逐级计算!$Q$171/10)-1)+逐级计算!$Q$171*(FO52-逐级计算!$P$171)*LN(10)/10),0)+LN(1+EXP(-ABS((LN(10^(逐级计算!$Q$171/10)-1)+逐级计算!$Q$171*(FO52-逐级计算!$P$171)*LN(10)/10))))))),"")</f>
        <v>13.793036574209</v>
      </c>
      <c r="FQ52">
        <f>IF(AND(ISNUMBER(FP52),逐级计算!$X$172&gt;-1),IF(逐级计算!$X$172=0,FP52+逐级计算!$C$172,FP52+逐级计算!$C$172-(10/(逐级计算!$Q$172*LN(10))*(MAX((LN(10^(逐级计算!$Q$172/10)-1)+逐级计算!$Q$172*(FP52-逐级计算!$P$172)*LN(10)/10),0)+LN(1+EXP(-ABS((LN(10^(逐级计算!$Q$172/10)-1)+逐级计算!$Q$172*(FP52-逐级计算!$P$172)*LN(10)/10))))))),"")</f>
        <v>13.793036574209</v>
      </c>
      <c r="FR52">
        <f>IF(AND(ISNUMBER(FQ52),逐级计算!$X$173&gt;-1),IF(逐级计算!$X$173=0,FQ52+逐级计算!$C$173,FQ52+逐级计算!$C$173-(10/(逐级计算!$Q$173*LN(10))*(MAX((LN(10^(逐级计算!$Q$173/10)-1)+逐级计算!$Q$173*(FQ52-逐级计算!$P$173)*LN(10)/10),0)+LN(1+EXP(-ABS((LN(10^(逐级计算!$Q$173/10)-1)+逐级计算!$Q$173*(FQ52-逐级计算!$P$173)*LN(10)/10))))))),"")</f>
        <v>13.793036574209</v>
      </c>
      <c r="FS52">
        <f>IF(AND(ISNUMBER(FR52),逐级计算!$X$174&gt;-1),IF(逐级计算!$X$174=0,FR52+逐级计算!$C$174,FR52+逐级计算!$C$174-(10/(逐级计算!$Q$174*LN(10))*(MAX((LN(10^(逐级计算!$Q$174/10)-1)+逐级计算!$Q$174*(FR52-逐级计算!$P$174)*LN(10)/10),0)+LN(1+EXP(-ABS((LN(10^(逐级计算!$Q$174/10)-1)+逐级计算!$Q$174*(FR52-逐级计算!$P$174)*LN(10)/10))))))),"")</f>
        <v>13.793036574209</v>
      </c>
      <c r="FT52">
        <f>IF(AND(ISNUMBER(FS52),逐级计算!$X$175&gt;-1),IF(逐级计算!$X$175=0,FS52+逐级计算!$C$175,FS52+逐级计算!$C$175-(10/(逐级计算!$Q$175*LN(10))*(MAX((LN(10^(逐级计算!$Q$175/10)-1)+逐级计算!$Q$175*(FS52-逐级计算!$P$175)*LN(10)/10),0)+LN(1+EXP(-ABS((LN(10^(逐级计算!$Q$175/10)-1)+逐级计算!$Q$175*(FS52-逐级计算!$P$175)*LN(10)/10))))))),"")</f>
        <v>13.793036574209</v>
      </c>
      <c r="FU52">
        <f>IF(AND(ISNUMBER(FT52),逐级计算!$X$176&gt;-1),IF(逐级计算!$X$176=0,FT52+逐级计算!$C$176,FT52+逐级计算!$C$176-(10/(逐级计算!$Q$176*LN(10))*(MAX((LN(10^(逐级计算!$Q$176/10)-1)+逐级计算!$Q$176*(FT52-逐级计算!$P$176)*LN(10)/10),0)+LN(1+EXP(-ABS((LN(10^(逐级计算!$Q$176/10)-1)+逐级计算!$Q$176*(FT52-逐级计算!$P$176)*LN(10)/10))))))),"")</f>
        <v>13.793036574209</v>
      </c>
      <c r="FV52">
        <f>IF(AND(ISNUMBER(FU52),逐级计算!$X$177&gt;-1),IF(逐级计算!$X$177=0,FU52+逐级计算!$C$177,FU52+逐级计算!$C$177-(10/(逐级计算!$Q$177*LN(10))*(MAX((LN(10^(逐级计算!$Q$177/10)-1)+逐级计算!$Q$177*(FU52-逐级计算!$P$177)*LN(10)/10),0)+LN(1+EXP(-ABS((LN(10^(逐级计算!$Q$177/10)-1)+逐级计算!$Q$177*(FU52-逐级计算!$P$177)*LN(10)/10))))))),"")</f>
        <v>13.793036574209</v>
      </c>
      <c r="FW52">
        <f>IF(AND(ISNUMBER(FV52),逐级计算!$X$178&gt;-1),IF(逐级计算!$X$178=0,FV52+逐级计算!$C$178,FV52+逐级计算!$C$178-(10/(逐级计算!$Q$178*LN(10))*(MAX((LN(10^(逐级计算!$Q$178/10)-1)+逐级计算!$Q$178*(FV52-逐级计算!$P$178)*LN(10)/10),0)+LN(1+EXP(-ABS((LN(10^(逐级计算!$Q$178/10)-1)+逐级计算!$Q$178*(FV52-逐级计算!$P$178)*LN(10)/10))))))),"")</f>
        <v>13.793036574209</v>
      </c>
      <c r="FX52">
        <f>IF(AND(ISNUMBER(FW52),逐级计算!$X$179&gt;-1),IF(逐级计算!$X$179=0,FW52+逐级计算!$C$179,FW52+逐级计算!$C$179-(10/(逐级计算!$Q$179*LN(10))*(MAX((LN(10^(逐级计算!$Q$179/10)-1)+逐级计算!$Q$179*(FW52-逐级计算!$P$179)*LN(10)/10),0)+LN(1+EXP(-ABS((LN(10^(逐级计算!$Q$179/10)-1)+逐级计算!$Q$179*(FW52-逐级计算!$P$179)*LN(10)/10))))))),"")</f>
        <v>13.793036574209</v>
      </c>
      <c r="FY52">
        <f>IF(AND(ISNUMBER(FX52),逐级计算!$X$180&gt;-1),IF(逐级计算!$X$180=0,FX52+逐级计算!$C$180,FX52+逐级计算!$C$180-(10/(逐级计算!$Q$180*LN(10))*(MAX((LN(10^(逐级计算!$Q$180/10)-1)+逐级计算!$Q$180*(FX52-逐级计算!$P$180)*LN(10)/10),0)+LN(1+EXP(-ABS((LN(10^(逐级计算!$Q$180/10)-1)+逐级计算!$Q$180*(FX52-逐级计算!$P$180)*LN(10)/10))))))),"")</f>
        <v>13.793036574209</v>
      </c>
      <c r="FZ52">
        <f>IF(AND(ISNUMBER(FY52),逐级计算!$X$181&gt;-1),IF(逐级计算!$X$181=0,FY52+逐级计算!$C$181,FY52+逐级计算!$C$181-(10/(逐级计算!$Q$181*LN(10))*(MAX((LN(10^(逐级计算!$Q$181/10)-1)+逐级计算!$Q$181*(FY52-逐级计算!$P$181)*LN(10)/10),0)+LN(1+EXP(-ABS((LN(10^(逐级计算!$Q$181/10)-1)+逐级计算!$Q$181*(FY52-逐级计算!$P$181)*LN(10)/10))))))),"")</f>
        <v>13.793036574209</v>
      </c>
      <c r="GA52">
        <f>IF(AND(ISNUMBER(FZ52),逐级计算!$X$182&gt;-1),IF(逐级计算!$X$182=0,FZ52+逐级计算!$C$182,FZ52+逐级计算!$C$182-(10/(逐级计算!$Q$182*LN(10))*(MAX((LN(10^(逐级计算!$Q$182/10)-1)+逐级计算!$Q$182*(FZ52-逐级计算!$P$182)*LN(10)/10),0)+LN(1+EXP(-ABS((LN(10^(逐级计算!$Q$182/10)-1)+逐级计算!$Q$182*(FZ52-逐级计算!$P$182)*LN(10)/10))))))),"")</f>
        <v>13.793036574209</v>
      </c>
      <c r="GB52">
        <f>IF(AND(ISNUMBER(GA52),逐级计算!$X$183&gt;-1),IF(逐级计算!$X$183=0,GA52+逐级计算!$C$183,GA52+逐级计算!$C$183-(10/(逐级计算!$Q$183*LN(10))*(MAX((LN(10^(逐级计算!$Q$183/10)-1)+逐级计算!$Q$183*(GA52-逐级计算!$P$183)*LN(10)/10),0)+LN(1+EXP(-ABS((LN(10^(逐级计算!$Q$183/10)-1)+逐级计算!$Q$183*(GA52-逐级计算!$P$183)*LN(10)/10))))))),"")</f>
        <v>13.793036574209</v>
      </c>
      <c r="GC52">
        <f>IF(AND(ISNUMBER(GB52),逐级计算!$X$184&gt;-1),IF(逐级计算!$X$184=0,GB52+逐级计算!$C$184,GB52+逐级计算!$C$184-(10/(逐级计算!$Q$184*LN(10))*(MAX((LN(10^(逐级计算!$Q$184/10)-1)+逐级计算!$Q$184*(GB52-逐级计算!$P$184)*LN(10)/10),0)+LN(1+EXP(-ABS((LN(10^(逐级计算!$Q$184/10)-1)+逐级计算!$Q$184*(GB52-逐级计算!$P$184)*LN(10)/10))))))),"")</f>
        <v>13.793036574209</v>
      </c>
      <c r="GD52">
        <f>IF(AND(ISNUMBER(GC52),逐级计算!$X$185&gt;-1),IF(逐级计算!$X$185=0,GC52+逐级计算!$C$185,GC52+逐级计算!$C$185-(10/(逐级计算!$Q$185*LN(10))*(MAX((LN(10^(逐级计算!$Q$185/10)-1)+逐级计算!$Q$185*(GC52-逐级计算!$P$185)*LN(10)/10),0)+LN(1+EXP(-ABS((LN(10^(逐级计算!$Q$185/10)-1)+逐级计算!$Q$185*(GC52-逐级计算!$P$185)*LN(10)/10))))))),"")</f>
        <v>13.793036574209</v>
      </c>
      <c r="GE52">
        <f>IF(AND(ISNUMBER(GD52),逐级计算!$X$186&gt;-1),IF(逐级计算!$X$186=0,GD52+逐级计算!$C$186,GD52+逐级计算!$C$186-(10/(逐级计算!$Q$186*LN(10))*(MAX((LN(10^(逐级计算!$Q$186/10)-1)+逐级计算!$Q$186*(GD52-逐级计算!$P$186)*LN(10)/10),0)+LN(1+EXP(-ABS((LN(10^(逐级计算!$Q$186/10)-1)+逐级计算!$Q$186*(GD52-逐级计算!$P$186)*LN(10)/10))))))),"")</f>
        <v>13.793036574209</v>
      </c>
      <c r="GF52">
        <f>IF(AND(ISNUMBER(GE52),逐级计算!$X$187&gt;-1),IF(逐级计算!$X$187=0,GE52+逐级计算!$C$187,GE52+逐级计算!$C$187-(10/(逐级计算!$Q$187*LN(10))*(MAX((LN(10^(逐级计算!$Q$187/10)-1)+逐级计算!$Q$187*(GE52-逐级计算!$P$187)*LN(10)/10),0)+LN(1+EXP(-ABS((LN(10^(逐级计算!$Q$187/10)-1)+逐级计算!$Q$187*(GE52-逐级计算!$P$187)*LN(10)/10))))))),"")</f>
        <v>13.793036574209</v>
      </c>
      <c r="GG52">
        <f>IF(AND(ISNUMBER(GF52),逐级计算!$X$188&gt;-1),IF(逐级计算!$X$188=0,GF52+逐级计算!$C$188,GF52+逐级计算!$C$188-(10/(逐级计算!$Q$188*LN(10))*(MAX((LN(10^(逐级计算!$Q$188/10)-1)+逐级计算!$Q$188*(GF52-逐级计算!$P$188)*LN(10)/10),0)+LN(1+EXP(-ABS((LN(10^(逐级计算!$Q$188/10)-1)+逐级计算!$Q$188*(GF52-逐级计算!$P$188)*LN(10)/10))))))),"")</f>
        <v>13.793036574209</v>
      </c>
      <c r="GH52">
        <f>IF(AND(ISNUMBER(GG52),逐级计算!$X$189&gt;-1),IF(逐级计算!$X$189=0,GG52+逐级计算!$C$189,GG52+逐级计算!$C$189-(10/(逐级计算!$Q$189*LN(10))*(MAX((LN(10^(逐级计算!$Q$189/10)-1)+逐级计算!$Q$189*(GG52-逐级计算!$P$189)*LN(10)/10),0)+LN(1+EXP(-ABS((LN(10^(逐级计算!$Q$189/10)-1)+逐级计算!$Q$189*(GG52-逐级计算!$P$189)*LN(10)/10))))))),"")</f>
        <v>13.793036574209</v>
      </c>
      <c r="GI52">
        <f>IF(AND(ISNUMBER(GH52),逐级计算!$X$190&gt;-1),IF(逐级计算!$X$190=0,GH52+逐级计算!$C$190,GH52+逐级计算!$C$190-(10/(逐级计算!$Q$190*LN(10))*(MAX((LN(10^(逐级计算!$Q$190/10)-1)+逐级计算!$Q$190*(GH52-逐级计算!$P$190)*LN(10)/10),0)+LN(1+EXP(-ABS((LN(10^(逐级计算!$Q$190/10)-1)+逐级计算!$Q$190*(GH52-逐级计算!$P$190)*LN(10)/10))))))),"")</f>
        <v>13.793036574209</v>
      </c>
      <c r="GJ52">
        <f>IF(AND(ISNUMBER(GI52),逐级计算!$X$191&gt;-1),IF(逐级计算!$X$191=0,GI52+逐级计算!$C$191,GI52+逐级计算!$C$191-(10/(逐级计算!$Q$191*LN(10))*(MAX((LN(10^(逐级计算!$Q$191/10)-1)+逐级计算!$Q$191*(GI52-逐级计算!$P$191)*LN(10)/10),0)+LN(1+EXP(-ABS((LN(10^(逐级计算!$Q$191/10)-1)+逐级计算!$Q$191*(GI52-逐级计算!$P$191)*LN(10)/10))))))),"")</f>
        <v>13.793036574209</v>
      </c>
      <c r="GK52">
        <f>IF(AND(ISNUMBER(GJ52),逐级计算!$X$192&gt;-1),IF(逐级计算!$X$192=0,GJ52+逐级计算!$C$192,GJ52+逐级计算!$C$192-(10/(逐级计算!$Q$192*LN(10))*(MAX((LN(10^(逐级计算!$Q$192/10)-1)+逐级计算!$Q$192*(GJ52-逐级计算!$P$192)*LN(10)/10),0)+LN(1+EXP(-ABS((LN(10^(逐级计算!$Q$192/10)-1)+逐级计算!$Q$192*(GJ52-逐级计算!$P$192)*LN(10)/10))))))),"")</f>
        <v>13.793036574209</v>
      </c>
      <c r="GL52">
        <f>IF(AND(ISNUMBER(GK52),逐级计算!$X$193&gt;-1),IF(逐级计算!$X$193=0,GK52+逐级计算!$C$193,GK52+逐级计算!$C$193-(10/(逐级计算!$Q$193*LN(10))*(MAX((LN(10^(逐级计算!$Q$193/10)-1)+逐级计算!$Q$193*(GK52-逐级计算!$P$193)*LN(10)/10),0)+LN(1+EXP(-ABS((LN(10^(逐级计算!$Q$193/10)-1)+逐级计算!$Q$193*(GK52-逐级计算!$P$193)*LN(10)/10))))))),"")</f>
        <v>13.793036574209</v>
      </c>
      <c r="GM52">
        <f>IF(AND(ISNUMBER(GL52),逐级计算!$X$194&gt;-1),IF(逐级计算!$X$194=0,GL52+逐级计算!$C$194,GL52+逐级计算!$C$194-(10/(逐级计算!$Q$194*LN(10))*(MAX((LN(10^(逐级计算!$Q$194/10)-1)+逐级计算!$Q$194*(GL52-逐级计算!$P$194)*LN(10)/10),0)+LN(1+EXP(-ABS((LN(10^(逐级计算!$Q$194/10)-1)+逐级计算!$Q$194*(GL52-逐级计算!$P$194)*LN(10)/10))))))),"")</f>
        <v>13.793036574209</v>
      </c>
      <c r="GN52">
        <f>IF(AND(ISNUMBER(GM52),逐级计算!$X$195&gt;-1),IF(逐级计算!$X$195=0,GM52+逐级计算!$C$195,GM52+逐级计算!$C$195-(10/(逐级计算!$Q$195*LN(10))*(MAX((LN(10^(逐级计算!$Q$195/10)-1)+逐级计算!$Q$195*(GM52-逐级计算!$P$195)*LN(10)/10),0)+LN(1+EXP(-ABS((LN(10^(逐级计算!$Q$195/10)-1)+逐级计算!$Q$195*(GM52-逐级计算!$P$195)*LN(10)/10))))))),"")</f>
        <v>13.793036574209</v>
      </c>
      <c r="GO52">
        <f>IF(AND(ISNUMBER(GN52),逐级计算!$X$196&gt;-1),IF(逐级计算!$X$196=0,GN52+逐级计算!$C$196,GN52+逐级计算!$C$196-(10/(逐级计算!$Q$196*LN(10))*(MAX((LN(10^(逐级计算!$Q$196/10)-1)+逐级计算!$Q$196*(GN52-逐级计算!$P$196)*LN(10)/10),0)+LN(1+EXP(-ABS((LN(10^(逐级计算!$Q$196/10)-1)+逐级计算!$Q$196*(GN52-逐级计算!$P$196)*LN(10)/10))))))),"")</f>
        <v>13.793036574209</v>
      </c>
      <c r="GP52">
        <f>IF(AND(ISNUMBER(GO52),逐级计算!$X$197&gt;-1),IF(逐级计算!$X$197=0,GO52+逐级计算!$C$197,GO52+逐级计算!$C$197-(10/(逐级计算!$Q$197*LN(10))*(MAX((LN(10^(逐级计算!$Q$197/10)-1)+逐级计算!$Q$197*(GO52-逐级计算!$P$197)*LN(10)/10),0)+LN(1+EXP(-ABS((LN(10^(逐级计算!$Q$197/10)-1)+逐级计算!$Q$197*(GO52-逐级计算!$P$197)*LN(10)/10))))))),"")</f>
        <v>13.793036574209</v>
      </c>
      <c r="GQ52">
        <f>IF(AND(ISNUMBER(GP52),逐级计算!$X$198&gt;-1),IF(逐级计算!$X$198=0,GP52+逐级计算!$C$198,GP52+逐级计算!$C$198-(10/(逐级计算!$Q$198*LN(10))*(MAX((LN(10^(逐级计算!$Q$198/10)-1)+逐级计算!$Q$198*(GP52-逐级计算!$P$198)*LN(10)/10),0)+LN(1+EXP(-ABS((LN(10^(逐级计算!$Q$198/10)-1)+逐级计算!$Q$198*(GP52-逐级计算!$P$198)*LN(10)/10))))))),"")</f>
        <v>13.793036574209</v>
      </c>
      <c r="GR52">
        <f>IF(AND(ISNUMBER(GQ52),逐级计算!$X$199&gt;-1),IF(逐级计算!$X$199=0,GQ52+逐级计算!$C$199,GQ52+逐级计算!$C$199-(10/(逐级计算!$Q$199*LN(10))*(MAX((LN(10^(逐级计算!$Q$199/10)-1)+逐级计算!$Q$199*(GQ52-逐级计算!$P$199)*LN(10)/10),0)+LN(1+EXP(-ABS((LN(10^(逐级计算!$Q$199/10)-1)+逐级计算!$Q$199*(GQ52-逐级计算!$P$199)*LN(10)/10))))))),"")</f>
        <v>13.793036574209</v>
      </c>
      <c r="GS52">
        <f>IF(AND(ISNUMBER(GR52),逐级计算!$X$200&gt;-1),IF(逐级计算!$X$200=0,GR52+逐级计算!$C$200,GR52+逐级计算!$C$200-(10/(逐级计算!$Q$200*LN(10))*(MAX((LN(10^(逐级计算!$Q$200/10)-1)+逐级计算!$Q$200*(GR52-逐级计算!$P$200)*LN(10)/10),0)+LN(1+EXP(-ABS((LN(10^(逐级计算!$Q$200/10)-1)+逐级计算!$Q$200*(GR52-逐级计算!$P$200)*LN(10)/10))))))),"")</f>
        <v>13.793036574209</v>
      </c>
      <c r="GT52">
        <f>IF(AND(ISNUMBER(GS52),逐级计算!$X$201&gt;-1),IF(逐级计算!$X$201=0,GS52+逐级计算!$C$201,GS52+逐级计算!$C$201-(10/(逐级计算!$Q$201*LN(10))*(MAX((LN(10^(逐级计算!$Q$201/10)-1)+逐级计算!$Q$201*(GS52-逐级计算!$P$201)*LN(10)/10),0)+LN(1+EXP(-ABS((LN(10^(逐级计算!$Q$201/10)-1)+逐级计算!$Q$201*(GS52-逐级计算!$P$201)*LN(10)/10))))))),"")</f>
        <v>13.793036574209</v>
      </c>
      <c r="GU52">
        <f>IF(AND(ISNUMBER(GT52),逐级计算!$X$202&gt;-1),IF(逐级计算!$X$202=0,GT52+逐级计算!$C$202,GT52+逐级计算!$C$202-(10/(逐级计算!$Q$202*LN(10))*(MAX((LN(10^(逐级计算!$Q$202/10)-1)+逐级计算!$Q$202*(GT52-逐级计算!$P$202)*LN(10)/10),0)+LN(1+EXP(-ABS((LN(10^(逐级计算!$Q$202/10)-1)+逐级计算!$Q$202*(GT52-逐级计算!$P$202)*LN(10)/10))))))),"")</f>
        <v>13.793036574209</v>
      </c>
      <c r="GV52">
        <f>IF(AND(ISNUMBER(GU52),逐级计算!$X$203&gt;-1),IF(逐级计算!$X$203=0,GU52+逐级计算!$C$203,GU52+逐级计算!$C$203-(10/(逐级计算!$Q$203*LN(10))*(MAX((LN(10^(逐级计算!$Q$203/10)-1)+逐级计算!$Q$203*(GU52-逐级计算!$P$203)*LN(10)/10),0)+LN(1+EXP(-ABS((LN(10^(逐级计算!$Q$203/10)-1)+逐级计算!$Q$203*(GU52-逐级计算!$P$203)*LN(10)/10))))))),"")</f>
        <v>13.793036574209</v>
      </c>
      <c r="GW52">
        <f t="shared" si="2"/>
        <v>-5.20696342578788</v>
      </c>
    </row>
    <row r="53" spans="1:205">
      <c r="A53">
        <v>46</v>
      </c>
      <c r="B53">
        <f t="shared" si="1"/>
        <v>-5.20696342579384</v>
      </c>
      <c r="C53">
        <f t="shared" si="0"/>
        <v>-5.20696342579235</v>
      </c>
      <c r="D53">
        <f>IF(AND(ISNUMBER(C53),ISNUMBER(逐级计算!$E$203),ISNUMBER(GV53)),C53+逐级计算!$E$203-GV53,"")</f>
        <v>0.999999999999547</v>
      </c>
      <c r="E53">
        <f>IF(AND(ISNUMBER(C53),逐级计算!$X$4&gt;-1),IF(逐级计算!$X$4=0,C53+逐级计算!$C$4,C53+逐级计算!$C$4-(10/(逐级计算!$Q$4*LN(10))*(MAX((LN(10^(逐级计算!$Q$4/10)-1)+逐级计算!$Q$4*(C53-逐级计算!$P$4)*LN(10)/10),0)+LN(1+EXP(-ABS((LN(10^(逐级计算!$Q$4/10)-1)+逐级计算!$Q$4*(C53-逐级计算!$P$4)*LN(10)/10))))))),"")</f>
        <v>4.68053982928194</v>
      </c>
      <c r="F53">
        <f>IF(AND(ISNUMBER(E53),逐级计算!$X$5&gt;-1),IF(逐级计算!$X$5=0,E53+逐级计算!$C$5,E53+逐级计算!$C$5-(10/(逐级计算!$Q$5*LN(10))*(MAX((LN(10^(逐级计算!$Q$5/10)-1)+逐级计算!$Q$5*(E53-逐级计算!$P$5)*LN(10)/10),0)+LN(1+EXP(-ABS((LN(10^(逐级计算!$Q$5/10)-1)+逐级计算!$Q$5*(E53-逐级计算!$P$5)*LN(10)/10))))))),"")</f>
        <v>13.7930365742081</v>
      </c>
      <c r="G53">
        <f>IF(AND(ISNUMBER(F53),逐级计算!$X$6&gt;-1),IF(逐级计算!$X$6=0,F53+逐级计算!$C$6,F53+逐级计算!$C$6-(10/(逐级计算!$Q$6*LN(10))*(MAX((LN(10^(逐级计算!$Q$6/10)-1)+逐级计算!$Q$6*(F53-逐级计算!$P$6)*LN(10)/10),0)+LN(1+EXP(-ABS((LN(10^(逐级计算!$Q$6/10)-1)+逐级计算!$Q$6*(F53-逐级计算!$P$6)*LN(10)/10))))))),"")</f>
        <v>13.7930365742081</v>
      </c>
      <c r="H53">
        <f>IF(AND(ISNUMBER(G53),逐级计算!$X$7&gt;-1),IF(逐级计算!$X$7=0,G53+逐级计算!$C$7,G53+逐级计算!$C$7-(10/(逐级计算!$Q$7*LN(10))*(MAX((LN(10^(逐级计算!$Q$7/10)-1)+逐级计算!$Q$7*(G53-逐级计算!$P$7)*LN(10)/10),0)+LN(1+EXP(-ABS((LN(10^(逐级计算!$Q$7/10)-1)+逐级计算!$Q$7*(G53-逐级计算!$P$7)*LN(10)/10))))))),"")</f>
        <v>13.7930365742081</v>
      </c>
      <c r="I53">
        <f>IF(AND(ISNUMBER(H53),逐级计算!$X$8&gt;-1),IF(逐级计算!$X$8=0,H53+逐级计算!$C$8,H53+逐级计算!$C$8-(10/(逐级计算!$Q$8*LN(10))*(MAX((LN(10^(逐级计算!$Q$8/10)-1)+逐级计算!$Q$8*(H53-逐级计算!$P$8)*LN(10)/10),0)+LN(1+EXP(-ABS((LN(10^(逐级计算!$Q$8/10)-1)+逐级计算!$Q$8*(H53-逐级计算!$P$8)*LN(10)/10))))))),"")</f>
        <v>13.7930365742081</v>
      </c>
      <c r="J53">
        <f>IF(AND(ISNUMBER(I53),逐级计算!$X$9&gt;-1),IF(逐级计算!$X$9=0,I53+逐级计算!$C$9,I53+逐级计算!$C$9-(10/(逐级计算!$Q$9*LN(10))*(MAX((LN(10^(逐级计算!$Q$9/10)-1)+逐级计算!$Q$9*(I53-逐级计算!$P$9)*LN(10)/10),0)+LN(1+EXP(-ABS((LN(10^(逐级计算!$Q$9/10)-1)+逐级计算!$Q$9*(I53-逐级计算!$P$9)*LN(10)/10))))))),"")</f>
        <v>13.7930365742081</v>
      </c>
      <c r="K53">
        <f>IF(AND(ISNUMBER(J53),逐级计算!$X$10&gt;-1),IF(逐级计算!$X$10=0,J53+逐级计算!$C$10,J53+逐级计算!$C$10-(10/(逐级计算!$Q$10*LN(10))*(MAX((LN(10^(逐级计算!$Q$10/10)-1)+逐级计算!$Q$10*(J53-逐级计算!$P$10)*LN(10)/10),0)+LN(1+EXP(-ABS((LN(10^(逐级计算!$Q$10/10)-1)+逐级计算!$Q$10*(J53-逐级计算!$P$10)*LN(10)/10))))))),"")</f>
        <v>13.7930365742081</v>
      </c>
      <c r="L53">
        <f>IF(AND(ISNUMBER(K53),逐级计算!$X$11&gt;-1),IF(逐级计算!$X$11=0,K53+逐级计算!$C$11,K53+逐级计算!$C$11-(10/(逐级计算!$Q$11*LN(10))*(MAX((LN(10^(逐级计算!$Q$11/10)-1)+逐级计算!$Q$11*(K53-逐级计算!$P$11)*LN(10)/10),0)+LN(1+EXP(-ABS((LN(10^(逐级计算!$Q$11/10)-1)+逐级计算!$Q$11*(K53-逐级计算!$P$11)*LN(10)/10))))))),"")</f>
        <v>13.7930365742081</v>
      </c>
      <c r="M53">
        <f>IF(AND(ISNUMBER(L53),逐级计算!$X$12&gt;-1),IF(逐级计算!$X$12=0,L53+逐级计算!$C$12,L53+逐级计算!$C$12-(10/(逐级计算!$Q$12*LN(10))*(MAX((LN(10^(逐级计算!$Q$12/10)-1)+逐级计算!$Q$12*(L53-逐级计算!$P$12)*LN(10)/10),0)+LN(1+EXP(-ABS((LN(10^(逐级计算!$Q$12/10)-1)+逐级计算!$Q$12*(L53-逐级计算!$P$12)*LN(10)/10))))))),"")</f>
        <v>13.7930365742081</v>
      </c>
      <c r="N53">
        <f>IF(AND(ISNUMBER(M53),逐级计算!$X$13&gt;-1),IF(逐级计算!$X$13=0,M53+逐级计算!$C$13,M53+逐级计算!$C$13-(10/(逐级计算!$Q$13*LN(10))*(MAX((LN(10^(逐级计算!$Q$13/10)-1)+逐级计算!$Q$13*(M53-逐级计算!$P$13)*LN(10)/10),0)+LN(1+EXP(-ABS((LN(10^(逐级计算!$Q$13/10)-1)+逐级计算!$Q$13*(M53-逐级计算!$P$13)*LN(10)/10))))))),"")</f>
        <v>13.7930365742081</v>
      </c>
      <c r="O53">
        <f>IF(AND(ISNUMBER(N53),逐级计算!$X$14&gt;-1),IF(逐级计算!$X$14=0,N53+逐级计算!$C$14,N53+逐级计算!$C$14-(10/(逐级计算!$Q$14*LN(10))*(MAX((LN(10^(逐级计算!$Q$14/10)-1)+逐级计算!$Q$14*(N53-逐级计算!$P$14)*LN(10)/10),0)+LN(1+EXP(-ABS((LN(10^(逐级计算!$Q$14/10)-1)+逐级计算!$Q$14*(N53-逐级计算!$P$14)*LN(10)/10))))))),"")</f>
        <v>13.7930365742081</v>
      </c>
      <c r="P53">
        <f>IF(AND(ISNUMBER(O53),逐级计算!$X$15&gt;-1),IF(逐级计算!$X$15=0,O53+逐级计算!$C$15,O53+逐级计算!$C$15-(10/(逐级计算!$Q$15*LN(10))*(MAX((LN(10^(逐级计算!$Q$15/10)-1)+逐级计算!$Q$15*(O53-逐级计算!$P$15)*LN(10)/10),0)+LN(1+EXP(-ABS((LN(10^(逐级计算!$Q$15/10)-1)+逐级计算!$Q$15*(O53-逐级计算!$P$15)*LN(10)/10))))))),"")</f>
        <v>13.7930365742081</v>
      </c>
      <c r="Q53">
        <f>IF(AND(ISNUMBER(P53),逐级计算!$X$16&gt;-1),IF(逐级计算!$X$16=0,P53+逐级计算!$C$16,P53+逐级计算!$C$16-(10/(逐级计算!$Q$16*LN(10))*(MAX((LN(10^(逐级计算!$Q$16/10)-1)+逐级计算!$Q$16*(P53-逐级计算!$P$16)*LN(10)/10),0)+LN(1+EXP(-ABS((LN(10^(逐级计算!$Q$16/10)-1)+逐级计算!$Q$16*(P53-逐级计算!$P$16)*LN(10)/10))))))),"")</f>
        <v>13.7930365742081</v>
      </c>
      <c r="R53">
        <f>IF(AND(ISNUMBER(Q53),逐级计算!$X$17&gt;-1),IF(逐级计算!$X$17=0,Q53+逐级计算!$C$17,Q53+逐级计算!$C$17-(10/(逐级计算!$Q$17*LN(10))*(MAX((LN(10^(逐级计算!$Q$17/10)-1)+逐级计算!$Q$17*(Q53-逐级计算!$P$17)*LN(10)/10),0)+LN(1+EXP(-ABS((LN(10^(逐级计算!$Q$17/10)-1)+逐级计算!$Q$17*(Q53-逐级计算!$P$17)*LN(10)/10))))))),"")</f>
        <v>13.7930365742081</v>
      </c>
      <c r="S53">
        <f>IF(AND(ISNUMBER(R53),逐级计算!$X$18&gt;-1),IF(逐级计算!$X$18=0,R53+逐级计算!$C$18,R53+逐级计算!$C$18-(10/(逐级计算!$Q$18*LN(10))*(MAX((LN(10^(逐级计算!$Q$18/10)-1)+逐级计算!$Q$18*(R53-逐级计算!$P$18)*LN(10)/10),0)+LN(1+EXP(-ABS((LN(10^(逐级计算!$Q$18/10)-1)+逐级计算!$Q$18*(R53-逐级计算!$P$18)*LN(10)/10))))))),"")</f>
        <v>13.7930365742081</v>
      </c>
      <c r="T53">
        <f>IF(AND(ISNUMBER(S53),逐级计算!$X$19&gt;-1),IF(逐级计算!$X$19=0,S53+逐级计算!$C$19,S53+逐级计算!$C$19-(10/(逐级计算!$Q$19*LN(10))*(MAX((LN(10^(逐级计算!$Q$19/10)-1)+逐级计算!$Q$19*(S53-逐级计算!$P$19)*LN(10)/10),0)+LN(1+EXP(-ABS((LN(10^(逐级计算!$Q$19/10)-1)+逐级计算!$Q$19*(S53-逐级计算!$P$19)*LN(10)/10))))))),"")</f>
        <v>13.7930365742081</v>
      </c>
      <c r="U53">
        <f>IF(AND(ISNUMBER(T53),逐级计算!$X$20&gt;-1),IF(逐级计算!$X$20=0,T53+逐级计算!$C$20,T53+逐级计算!$C$20-(10/(逐级计算!$Q$20*LN(10))*(MAX((LN(10^(逐级计算!$Q$20/10)-1)+逐级计算!$Q$20*(T53-逐级计算!$P$20)*LN(10)/10),0)+LN(1+EXP(-ABS((LN(10^(逐级计算!$Q$20/10)-1)+逐级计算!$Q$20*(T53-逐级计算!$P$20)*LN(10)/10))))))),"")</f>
        <v>13.7930365742081</v>
      </c>
      <c r="V53">
        <f>IF(AND(ISNUMBER(U53),逐级计算!$X$21&gt;-1),IF(逐级计算!$X$21=0,U53+逐级计算!$C$21,U53+逐级计算!$C$21-(10/(逐级计算!$Q$21*LN(10))*(MAX((LN(10^(逐级计算!$Q$21/10)-1)+逐级计算!$Q$21*(U53-逐级计算!$P$21)*LN(10)/10),0)+LN(1+EXP(-ABS((LN(10^(逐级计算!$Q$21/10)-1)+逐级计算!$Q$21*(U53-逐级计算!$P$21)*LN(10)/10))))))),"")</f>
        <v>13.7930365742081</v>
      </c>
      <c r="W53">
        <f>IF(AND(ISNUMBER(V53),逐级计算!$X$22&gt;-1),IF(逐级计算!$X$22=0,V53+逐级计算!$C$22,V53+逐级计算!$C$22-(10/(逐级计算!$Q$22*LN(10))*(MAX((LN(10^(逐级计算!$Q$22/10)-1)+逐级计算!$Q$22*(V53-逐级计算!$P$22)*LN(10)/10),0)+LN(1+EXP(-ABS((LN(10^(逐级计算!$Q$22/10)-1)+逐级计算!$Q$22*(V53-逐级计算!$P$22)*LN(10)/10))))))),"")</f>
        <v>13.7930365742081</v>
      </c>
      <c r="X53">
        <f>IF(AND(ISNUMBER(W53),逐级计算!$X$23&gt;-1),IF(逐级计算!$X$23=0,W53+逐级计算!$C$23,W53+逐级计算!$C$23-(10/(逐级计算!$Q$23*LN(10))*(MAX((LN(10^(逐级计算!$Q$23/10)-1)+逐级计算!$Q$23*(W53-逐级计算!$P$23)*LN(10)/10),0)+LN(1+EXP(-ABS((LN(10^(逐级计算!$Q$23/10)-1)+逐级计算!$Q$23*(W53-逐级计算!$P$23)*LN(10)/10))))))),"")</f>
        <v>13.7930365742081</v>
      </c>
      <c r="Y53">
        <f>IF(AND(ISNUMBER(X53),逐级计算!$X$24&gt;-1),IF(逐级计算!$X$24=0,X53+逐级计算!$C$24,X53+逐级计算!$C$24-(10/(逐级计算!$Q$24*LN(10))*(MAX((LN(10^(逐级计算!$Q$24/10)-1)+逐级计算!$Q$24*(X53-逐级计算!$P$24)*LN(10)/10),0)+LN(1+EXP(-ABS((LN(10^(逐级计算!$Q$24/10)-1)+逐级计算!$Q$24*(X53-逐级计算!$P$24)*LN(10)/10))))))),"")</f>
        <v>13.7930365742081</v>
      </c>
      <c r="Z53">
        <f>IF(AND(ISNUMBER(Y53),逐级计算!$X$25&gt;-1),IF(逐级计算!$X$25=0,Y53+逐级计算!$C$25,Y53+逐级计算!$C$25-(10/(逐级计算!$Q$25*LN(10))*(MAX((LN(10^(逐级计算!$Q$25/10)-1)+逐级计算!$Q$25*(Y53-逐级计算!$P$25)*LN(10)/10),0)+LN(1+EXP(-ABS((LN(10^(逐级计算!$Q$25/10)-1)+逐级计算!$Q$25*(Y53-逐级计算!$P$25)*LN(10)/10))))))),"")</f>
        <v>13.7930365742081</v>
      </c>
      <c r="AA53">
        <f>IF(AND(ISNUMBER(Z53),逐级计算!$X$26&gt;-1),IF(逐级计算!$X$26=0,Z53+逐级计算!$C$26,Z53+逐级计算!$C$26-(10/(逐级计算!$Q$26*LN(10))*(MAX((LN(10^(逐级计算!$Q$26/10)-1)+逐级计算!$Q$26*(Z53-逐级计算!$P$26)*LN(10)/10),0)+LN(1+EXP(-ABS((LN(10^(逐级计算!$Q$26/10)-1)+逐级计算!$Q$26*(Z53-逐级计算!$P$26)*LN(10)/10))))))),"")</f>
        <v>13.7930365742081</v>
      </c>
      <c r="AB53">
        <f>IF(AND(ISNUMBER(AA53),逐级计算!$X$27&gt;-1),IF(逐级计算!$X$27=0,AA53+逐级计算!$C$27,AA53+逐级计算!$C$27-(10/(逐级计算!$Q$27*LN(10))*(MAX((LN(10^(逐级计算!$Q$27/10)-1)+逐级计算!$Q$27*(AA53-逐级计算!$P$27)*LN(10)/10),0)+LN(1+EXP(-ABS((LN(10^(逐级计算!$Q$27/10)-1)+逐级计算!$Q$27*(AA53-逐级计算!$P$27)*LN(10)/10))))))),"")</f>
        <v>13.7930365742081</v>
      </c>
      <c r="AC53">
        <f>IF(AND(ISNUMBER(AB53),逐级计算!$X$28&gt;-1),IF(逐级计算!$X$28=0,AB53+逐级计算!$C$28,AB53+逐级计算!$C$28-(10/(逐级计算!$Q$28*LN(10))*(MAX((LN(10^(逐级计算!$Q$28/10)-1)+逐级计算!$Q$28*(AB53-逐级计算!$P$28)*LN(10)/10),0)+LN(1+EXP(-ABS((LN(10^(逐级计算!$Q$28/10)-1)+逐级计算!$Q$28*(AB53-逐级计算!$P$28)*LN(10)/10))))))),"")</f>
        <v>13.7930365742081</v>
      </c>
      <c r="AD53">
        <f>IF(AND(ISNUMBER(AC53),逐级计算!$X$29&gt;-1),IF(逐级计算!$X$29=0,AC53+逐级计算!$C$29,AC53+逐级计算!$C$29-(10/(逐级计算!$Q$29*LN(10))*(MAX((LN(10^(逐级计算!$Q$29/10)-1)+逐级计算!$Q$29*(AC53-逐级计算!$P$29)*LN(10)/10),0)+LN(1+EXP(-ABS((LN(10^(逐级计算!$Q$29/10)-1)+逐级计算!$Q$29*(AC53-逐级计算!$P$29)*LN(10)/10))))))),"")</f>
        <v>13.7930365742081</v>
      </c>
      <c r="AE53">
        <f>IF(AND(ISNUMBER(AD53),逐级计算!$X$30&gt;-1),IF(逐级计算!$X$30=0,AD53+逐级计算!$C$30,AD53+逐级计算!$C$30-(10/(逐级计算!$Q$30*LN(10))*(MAX((LN(10^(逐级计算!$Q$30/10)-1)+逐级计算!$Q$30*(AD53-逐级计算!$P$30)*LN(10)/10),0)+LN(1+EXP(-ABS((LN(10^(逐级计算!$Q$30/10)-1)+逐级计算!$Q$30*(AD53-逐级计算!$P$30)*LN(10)/10))))))),"")</f>
        <v>13.7930365742081</v>
      </c>
      <c r="AF53">
        <f>IF(AND(ISNUMBER(AE53),逐级计算!$X$31&gt;-1),IF(逐级计算!$X$31=0,AE53+逐级计算!$C$31,AE53+逐级计算!$C$31-(10/(逐级计算!$Q$31*LN(10))*(MAX((LN(10^(逐级计算!$Q$31/10)-1)+逐级计算!$Q$31*(AE53-逐级计算!$P$31)*LN(10)/10),0)+LN(1+EXP(-ABS((LN(10^(逐级计算!$Q$31/10)-1)+逐级计算!$Q$31*(AE53-逐级计算!$P$31)*LN(10)/10))))))),"")</f>
        <v>13.7930365742081</v>
      </c>
      <c r="AG53">
        <f>IF(AND(ISNUMBER(AF53),逐级计算!$X$32&gt;-1),IF(逐级计算!$X$32=0,AF53+逐级计算!$C$32,AF53+逐级计算!$C$32-(10/(逐级计算!$Q$32*LN(10))*(MAX((LN(10^(逐级计算!$Q$32/10)-1)+逐级计算!$Q$32*(AF53-逐级计算!$P$32)*LN(10)/10),0)+LN(1+EXP(-ABS((LN(10^(逐级计算!$Q$32/10)-1)+逐级计算!$Q$32*(AF53-逐级计算!$P$32)*LN(10)/10))))))),"")</f>
        <v>13.7930365742081</v>
      </c>
      <c r="AH53">
        <f>IF(AND(ISNUMBER(AG53),逐级计算!$X$33&gt;-1),IF(逐级计算!$X$33=0,AG53+逐级计算!$C$33,AG53+逐级计算!$C$33-(10/(逐级计算!$Q$33*LN(10))*(MAX((LN(10^(逐级计算!$Q$33/10)-1)+逐级计算!$Q$33*(AG53-逐级计算!$P$33)*LN(10)/10),0)+LN(1+EXP(-ABS((LN(10^(逐级计算!$Q$33/10)-1)+逐级计算!$Q$33*(AG53-逐级计算!$P$33)*LN(10)/10))))))),"")</f>
        <v>13.7930365742081</v>
      </c>
      <c r="AI53">
        <f>IF(AND(ISNUMBER(AH53),逐级计算!$X$34&gt;-1),IF(逐级计算!$X$34=0,AH53+逐级计算!$C$34,AH53+逐级计算!$C$34-(10/(逐级计算!$Q$34*LN(10))*(MAX((LN(10^(逐级计算!$Q$34/10)-1)+逐级计算!$Q$34*(AH53-逐级计算!$P$34)*LN(10)/10),0)+LN(1+EXP(-ABS((LN(10^(逐级计算!$Q$34/10)-1)+逐级计算!$Q$34*(AH53-逐级计算!$P$34)*LN(10)/10))))))),"")</f>
        <v>13.7930365742081</v>
      </c>
      <c r="AJ53">
        <f>IF(AND(ISNUMBER(AI53),逐级计算!$X$35&gt;-1),IF(逐级计算!$X$35=0,AI53+逐级计算!$C$35,AI53+逐级计算!$C$35-(10/(逐级计算!$Q$35*LN(10))*(MAX((LN(10^(逐级计算!$Q$35/10)-1)+逐级计算!$Q$35*(AI53-逐级计算!$P$35)*LN(10)/10),0)+LN(1+EXP(-ABS((LN(10^(逐级计算!$Q$35/10)-1)+逐级计算!$Q$35*(AI53-逐级计算!$P$35)*LN(10)/10))))))),"")</f>
        <v>13.7930365742081</v>
      </c>
      <c r="AK53">
        <f>IF(AND(ISNUMBER(AJ53),逐级计算!$X$36&gt;-1),IF(逐级计算!$X$36=0,AJ53+逐级计算!$C$36,AJ53+逐级计算!$C$36-(10/(逐级计算!$Q$36*LN(10))*(MAX((LN(10^(逐级计算!$Q$36/10)-1)+逐级计算!$Q$36*(AJ53-逐级计算!$P$36)*LN(10)/10),0)+LN(1+EXP(-ABS((LN(10^(逐级计算!$Q$36/10)-1)+逐级计算!$Q$36*(AJ53-逐级计算!$P$36)*LN(10)/10))))))),"")</f>
        <v>13.7930365742081</v>
      </c>
      <c r="AL53">
        <f>IF(AND(ISNUMBER(AK53),逐级计算!$X$37&gt;-1),IF(逐级计算!$X$37=0,AK53+逐级计算!$C$37,AK53+逐级计算!$C$37-(10/(逐级计算!$Q$37*LN(10))*(MAX((LN(10^(逐级计算!$Q$37/10)-1)+逐级计算!$Q$37*(AK53-逐级计算!$P$37)*LN(10)/10),0)+LN(1+EXP(-ABS((LN(10^(逐级计算!$Q$37/10)-1)+逐级计算!$Q$37*(AK53-逐级计算!$P$37)*LN(10)/10))))))),"")</f>
        <v>13.7930365742081</v>
      </c>
      <c r="AM53">
        <f>IF(AND(ISNUMBER(AL53),逐级计算!$X$38&gt;-1),IF(逐级计算!$X$38=0,AL53+逐级计算!$C$38,AL53+逐级计算!$C$38-(10/(逐级计算!$Q$38*LN(10))*(MAX((LN(10^(逐级计算!$Q$38/10)-1)+逐级计算!$Q$38*(AL53-逐级计算!$P$38)*LN(10)/10),0)+LN(1+EXP(-ABS((LN(10^(逐级计算!$Q$38/10)-1)+逐级计算!$Q$38*(AL53-逐级计算!$P$38)*LN(10)/10))))))),"")</f>
        <v>13.7930365742081</v>
      </c>
      <c r="AN53">
        <f>IF(AND(ISNUMBER(AM53),逐级计算!$X$39&gt;-1),IF(逐级计算!$X$39=0,AM53+逐级计算!$C$39,AM53+逐级计算!$C$39-(10/(逐级计算!$Q$39*LN(10))*(MAX((LN(10^(逐级计算!$Q$39/10)-1)+逐级计算!$Q$39*(AM53-逐级计算!$P$39)*LN(10)/10),0)+LN(1+EXP(-ABS((LN(10^(逐级计算!$Q$39/10)-1)+逐级计算!$Q$39*(AM53-逐级计算!$P$39)*LN(10)/10))))))),"")</f>
        <v>13.7930365742081</v>
      </c>
      <c r="AO53">
        <f>IF(AND(ISNUMBER(AN53),逐级计算!$X$40&gt;-1),IF(逐级计算!$X$40=0,AN53+逐级计算!$C$40,AN53+逐级计算!$C$40-(10/(逐级计算!$Q$40*LN(10))*(MAX((LN(10^(逐级计算!$Q$40/10)-1)+逐级计算!$Q$40*(AN53-逐级计算!$P$40)*LN(10)/10),0)+LN(1+EXP(-ABS((LN(10^(逐级计算!$Q$40/10)-1)+逐级计算!$Q$40*(AN53-逐级计算!$P$40)*LN(10)/10))))))),"")</f>
        <v>13.7930365742081</v>
      </c>
      <c r="AP53">
        <f>IF(AND(ISNUMBER(AO53),逐级计算!$X$41&gt;-1),IF(逐级计算!$X$41=0,AO53+逐级计算!$C$41,AO53+逐级计算!$C$41-(10/(逐级计算!$Q$41*LN(10))*(MAX((LN(10^(逐级计算!$Q$41/10)-1)+逐级计算!$Q$41*(AO53-逐级计算!$P$41)*LN(10)/10),0)+LN(1+EXP(-ABS((LN(10^(逐级计算!$Q$41/10)-1)+逐级计算!$Q$41*(AO53-逐级计算!$P$41)*LN(10)/10))))))),"")</f>
        <v>13.7930365742081</v>
      </c>
      <c r="AQ53">
        <f>IF(AND(ISNUMBER(AP53),逐级计算!$X$42&gt;-1),IF(逐级计算!$X$42=0,AP53+逐级计算!$C$42,AP53+逐级计算!$C$42-(10/(逐级计算!$Q$42*LN(10))*(MAX((LN(10^(逐级计算!$Q$42/10)-1)+逐级计算!$Q$42*(AP53-逐级计算!$P$42)*LN(10)/10),0)+LN(1+EXP(-ABS((LN(10^(逐级计算!$Q$42/10)-1)+逐级计算!$Q$42*(AP53-逐级计算!$P$42)*LN(10)/10))))))),"")</f>
        <v>13.7930365742081</v>
      </c>
      <c r="AR53">
        <f>IF(AND(ISNUMBER(AQ53),逐级计算!$X$43&gt;-1),IF(逐级计算!$X$43=0,AQ53+逐级计算!$C$43,AQ53+逐级计算!$C$43-(10/(逐级计算!$Q$43*LN(10))*(MAX((LN(10^(逐级计算!$Q$43/10)-1)+逐级计算!$Q$43*(AQ53-逐级计算!$P$43)*LN(10)/10),0)+LN(1+EXP(-ABS((LN(10^(逐级计算!$Q$43/10)-1)+逐级计算!$Q$43*(AQ53-逐级计算!$P$43)*LN(10)/10))))))),"")</f>
        <v>13.7930365742081</v>
      </c>
      <c r="AS53">
        <f>IF(AND(ISNUMBER(AR53),逐级计算!$X$44&gt;-1),IF(逐级计算!$X$44=0,AR53+逐级计算!$C$44,AR53+逐级计算!$C$44-(10/(逐级计算!$Q$44*LN(10))*(MAX((LN(10^(逐级计算!$Q$44/10)-1)+逐级计算!$Q$44*(AR53-逐级计算!$P$44)*LN(10)/10),0)+LN(1+EXP(-ABS((LN(10^(逐级计算!$Q$44/10)-1)+逐级计算!$Q$44*(AR53-逐级计算!$P$44)*LN(10)/10))))))),"")</f>
        <v>13.7930365742081</v>
      </c>
      <c r="AT53">
        <f>IF(AND(ISNUMBER(AS53),逐级计算!$X$45&gt;-1),IF(逐级计算!$X$45=0,AS53+逐级计算!$C$45,AS53+逐级计算!$C$45-(10/(逐级计算!$Q$45*LN(10))*(MAX((LN(10^(逐级计算!$Q$45/10)-1)+逐级计算!$Q$45*(AS53-逐级计算!$P$45)*LN(10)/10),0)+LN(1+EXP(-ABS((LN(10^(逐级计算!$Q$45/10)-1)+逐级计算!$Q$45*(AS53-逐级计算!$P$45)*LN(10)/10))))))),"")</f>
        <v>13.7930365742081</v>
      </c>
      <c r="AU53">
        <f>IF(AND(ISNUMBER(AT53),逐级计算!$X$46&gt;-1),IF(逐级计算!$X$46=0,AT53+逐级计算!$C$46,AT53+逐级计算!$C$46-(10/(逐级计算!$Q$46*LN(10))*(MAX((LN(10^(逐级计算!$Q$46/10)-1)+逐级计算!$Q$46*(AT53-逐级计算!$P$46)*LN(10)/10),0)+LN(1+EXP(-ABS((LN(10^(逐级计算!$Q$46/10)-1)+逐级计算!$Q$46*(AT53-逐级计算!$P$46)*LN(10)/10))))))),"")</f>
        <v>13.7930365742081</v>
      </c>
      <c r="AV53">
        <f>IF(AND(ISNUMBER(AU53),逐级计算!$X$47&gt;-1),IF(逐级计算!$X$47=0,AU53+逐级计算!$C$47,AU53+逐级计算!$C$47-(10/(逐级计算!$Q$47*LN(10))*(MAX((LN(10^(逐级计算!$Q$47/10)-1)+逐级计算!$Q$47*(AU53-逐级计算!$P$47)*LN(10)/10),0)+LN(1+EXP(-ABS((LN(10^(逐级计算!$Q$47/10)-1)+逐级计算!$Q$47*(AU53-逐级计算!$P$47)*LN(10)/10))))))),"")</f>
        <v>13.7930365742081</v>
      </c>
      <c r="AW53">
        <f>IF(AND(ISNUMBER(AV53),逐级计算!$X$48&gt;-1),IF(逐级计算!$X$48=0,AV53+逐级计算!$C$48,AV53+逐级计算!$C$48-(10/(逐级计算!$Q$48*LN(10))*(MAX((LN(10^(逐级计算!$Q$48/10)-1)+逐级计算!$Q$48*(AV53-逐级计算!$P$48)*LN(10)/10),0)+LN(1+EXP(-ABS((LN(10^(逐级计算!$Q$48/10)-1)+逐级计算!$Q$48*(AV53-逐级计算!$P$48)*LN(10)/10))))))),"")</f>
        <v>13.7930365742081</v>
      </c>
      <c r="AX53">
        <f>IF(AND(ISNUMBER(AW53),逐级计算!$X$49&gt;-1),IF(逐级计算!$X$49=0,AW53+逐级计算!$C$49,AW53+逐级计算!$C$49-(10/(逐级计算!$Q$49*LN(10))*(MAX((LN(10^(逐级计算!$Q$49/10)-1)+逐级计算!$Q$49*(AW53-逐级计算!$P$49)*LN(10)/10),0)+LN(1+EXP(-ABS((LN(10^(逐级计算!$Q$49/10)-1)+逐级计算!$Q$49*(AW53-逐级计算!$P$49)*LN(10)/10))))))),"")</f>
        <v>13.7930365742081</v>
      </c>
      <c r="AY53">
        <f>IF(AND(ISNUMBER(AX53),逐级计算!$X$50&gt;-1),IF(逐级计算!$X$50=0,AX53+逐级计算!$C$50,AX53+逐级计算!$C$50-(10/(逐级计算!$Q$50*LN(10))*(MAX((LN(10^(逐级计算!$Q$50/10)-1)+逐级计算!$Q$50*(AX53-逐级计算!$P$50)*LN(10)/10),0)+LN(1+EXP(-ABS((LN(10^(逐级计算!$Q$50/10)-1)+逐级计算!$Q$50*(AX53-逐级计算!$P$50)*LN(10)/10))))))),"")</f>
        <v>13.7930365742081</v>
      </c>
      <c r="AZ53">
        <f>IF(AND(ISNUMBER(AY53),逐级计算!$X$51&gt;-1),IF(逐级计算!$X$51=0,AY53+逐级计算!$C$51,AY53+逐级计算!$C$51-(10/(逐级计算!$Q$51*LN(10))*(MAX((LN(10^(逐级计算!$Q$51/10)-1)+逐级计算!$Q$51*(AY53-逐级计算!$P$51)*LN(10)/10),0)+LN(1+EXP(-ABS((LN(10^(逐级计算!$Q$51/10)-1)+逐级计算!$Q$51*(AY53-逐级计算!$P$51)*LN(10)/10))))))),"")</f>
        <v>13.7930365742081</v>
      </c>
      <c r="BA53">
        <f>IF(AND(ISNUMBER(AZ53),逐级计算!$X$52&gt;-1),IF(逐级计算!$X$52=0,AZ53+逐级计算!$C$52,AZ53+逐级计算!$C$52-(10/(逐级计算!$Q$52*LN(10))*(MAX((LN(10^(逐级计算!$Q$52/10)-1)+逐级计算!$Q$52*(AZ53-逐级计算!$P$52)*LN(10)/10),0)+LN(1+EXP(-ABS((LN(10^(逐级计算!$Q$52/10)-1)+逐级计算!$Q$52*(AZ53-逐级计算!$P$52)*LN(10)/10))))))),"")</f>
        <v>13.7930365742081</v>
      </c>
      <c r="BB53">
        <f>IF(AND(ISNUMBER(BA53),逐级计算!$X$53&gt;-1),IF(逐级计算!$X$53=0,BA53+逐级计算!$C$53,BA53+逐级计算!$C$53-(10/(逐级计算!$Q$53*LN(10))*(MAX((LN(10^(逐级计算!$Q$53/10)-1)+逐级计算!$Q$53*(BA53-逐级计算!$P$53)*LN(10)/10),0)+LN(1+EXP(-ABS((LN(10^(逐级计算!$Q$53/10)-1)+逐级计算!$Q$53*(BA53-逐级计算!$P$53)*LN(10)/10))))))),"")</f>
        <v>13.7930365742081</v>
      </c>
      <c r="BC53">
        <f>IF(AND(ISNUMBER(BB53),逐级计算!$X$54&gt;-1),IF(逐级计算!$X$54=0,BB53+逐级计算!$C$54,BB53+逐级计算!$C$54-(10/(逐级计算!$Q$54*LN(10))*(MAX((LN(10^(逐级计算!$Q$54/10)-1)+逐级计算!$Q$54*(BB53-逐级计算!$P$54)*LN(10)/10),0)+LN(1+EXP(-ABS((LN(10^(逐级计算!$Q$54/10)-1)+逐级计算!$Q$54*(BB53-逐级计算!$P$54)*LN(10)/10))))))),"")</f>
        <v>13.7930365742081</v>
      </c>
      <c r="BD53">
        <f>IF(AND(ISNUMBER(BC53),逐级计算!$X$55&gt;-1),IF(逐级计算!$X$55=0,BC53+逐级计算!$C$55,BC53+逐级计算!$C$55-(10/(逐级计算!$Q$55*LN(10))*(MAX((LN(10^(逐级计算!$Q$55/10)-1)+逐级计算!$Q$55*(BC53-逐级计算!$P$55)*LN(10)/10),0)+LN(1+EXP(-ABS((LN(10^(逐级计算!$Q$55/10)-1)+逐级计算!$Q$55*(BC53-逐级计算!$P$55)*LN(10)/10))))))),"")</f>
        <v>13.7930365742081</v>
      </c>
      <c r="BE53">
        <f>IF(AND(ISNUMBER(BD53),逐级计算!$X$56&gt;-1),IF(逐级计算!$X$56=0,BD53+逐级计算!$C$56,BD53+逐级计算!$C$56-(10/(逐级计算!$Q$56*LN(10))*(MAX((LN(10^(逐级计算!$Q$56/10)-1)+逐级计算!$Q$56*(BD53-逐级计算!$P$56)*LN(10)/10),0)+LN(1+EXP(-ABS((LN(10^(逐级计算!$Q$56/10)-1)+逐级计算!$Q$56*(BD53-逐级计算!$P$56)*LN(10)/10))))))),"")</f>
        <v>13.7930365742081</v>
      </c>
      <c r="BF53">
        <f>IF(AND(ISNUMBER(BE53),逐级计算!$X$57&gt;-1),IF(逐级计算!$X$57=0,BE53+逐级计算!$C$57,BE53+逐级计算!$C$57-(10/(逐级计算!$Q$57*LN(10))*(MAX((LN(10^(逐级计算!$Q$57/10)-1)+逐级计算!$Q$57*(BE53-逐级计算!$P$57)*LN(10)/10),0)+LN(1+EXP(-ABS((LN(10^(逐级计算!$Q$57/10)-1)+逐级计算!$Q$57*(BE53-逐级计算!$P$57)*LN(10)/10))))))),"")</f>
        <v>13.7930365742081</v>
      </c>
      <c r="BG53">
        <f>IF(AND(ISNUMBER(BF53),逐级计算!$X$58&gt;-1),IF(逐级计算!$X$58=0,BF53+逐级计算!$C$58,BF53+逐级计算!$C$58-(10/(逐级计算!$Q$58*LN(10))*(MAX((LN(10^(逐级计算!$Q$58/10)-1)+逐级计算!$Q$58*(BF53-逐级计算!$P$58)*LN(10)/10),0)+LN(1+EXP(-ABS((LN(10^(逐级计算!$Q$58/10)-1)+逐级计算!$Q$58*(BF53-逐级计算!$P$58)*LN(10)/10))))))),"")</f>
        <v>13.7930365742081</v>
      </c>
      <c r="BH53">
        <f>IF(AND(ISNUMBER(BG53),逐级计算!$X$59&gt;-1),IF(逐级计算!$X$59=0,BG53+逐级计算!$C$59,BG53+逐级计算!$C$59-(10/(逐级计算!$Q$59*LN(10))*(MAX((LN(10^(逐级计算!$Q$59/10)-1)+逐级计算!$Q$59*(BG53-逐级计算!$P$59)*LN(10)/10),0)+LN(1+EXP(-ABS((LN(10^(逐级计算!$Q$59/10)-1)+逐级计算!$Q$59*(BG53-逐级计算!$P$59)*LN(10)/10))))))),"")</f>
        <v>13.7930365742081</v>
      </c>
      <c r="BI53">
        <f>IF(AND(ISNUMBER(BH53),逐级计算!$X$60&gt;-1),IF(逐级计算!$X$60=0,BH53+逐级计算!$C$60,BH53+逐级计算!$C$60-(10/(逐级计算!$Q$60*LN(10))*(MAX((LN(10^(逐级计算!$Q$60/10)-1)+逐级计算!$Q$60*(BH53-逐级计算!$P$60)*LN(10)/10),0)+LN(1+EXP(-ABS((LN(10^(逐级计算!$Q$60/10)-1)+逐级计算!$Q$60*(BH53-逐级计算!$P$60)*LN(10)/10))))))),"")</f>
        <v>13.7930365742081</v>
      </c>
      <c r="BJ53">
        <f>IF(AND(ISNUMBER(BI53),逐级计算!$X$61&gt;-1),IF(逐级计算!$X$61=0,BI53+逐级计算!$C$61,BI53+逐级计算!$C$61-(10/(逐级计算!$Q$61*LN(10))*(MAX((LN(10^(逐级计算!$Q$61/10)-1)+逐级计算!$Q$61*(BI53-逐级计算!$P$61)*LN(10)/10),0)+LN(1+EXP(-ABS((LN(10^(逐级计算!$Q$61/10)-1)+逐级计算!$Q$61*(BI53-逐级计算!$P$61)*LN(10)/10))))))),"")</f>
        <v>13.7930365742081</v>
      </c>
      <c r="BK53">
        <f>IF(AND(ISNUMBER(BJ53),逐级计算!$X$62&gt;-1),IF(逐级计算!$X$62=0,BJ53+逐级计算!$C$62,BJ53+逐级计算!$C$62-(10/(逐级计算!$Q$62*LN(10))*(MAX((LN(10^(逐级计算!$Q$62/10)-1)+逐级计算!$Q$62*(BJ53-逐级计算!$P$62)*LN(10)/10),0)+LN(1+EXP(-ABS((LN(10^(逐级计算!$Q$62/10)-1)+逐级计算!$Q$62*(BJ53-逐级计算!$P$62)*LN(10)/10))))))),"")</f>
        <v>13.7930365742081</v>
      </c>
      <c r="BL53">
        <f>IF(AND(ISNUMBER(BK53),逐级计算!$X$63&gt;-1),IF(逐级计算!$X$63=0,BK53+逐级计算!$C$63,BK53+逐级计算!$C$63-(10/(逐级计算!$Q$63*LN(10))*(MAX((LN(10^(逐级计算!$Q$63/10)-1)+逐级计算!$Q$63*(BK53-逐级计算!$P$63)*LN(10)/10),0)+LN(1+EXP(-ABS((LN(10^(逐级计算!$Q$63/10)-1)+逐级计算!$Q$63*(BK53-逐级计算!$P$63)*LN(10)/10))))))),"")</f>
        <v>13.7930365742081</v>
      </c>
      <c r="BM53">
        <f>IF(AND(ISNUMBER(BL53),逐级计算!$X$64&gt;-1),IF(逐级计算!$X$64=0,BL53+逐级计算!$C$64,BL53+逐级计算!$C$64-(10/(逐级计算!$Q$64*LN(10))*(MAX((LN(10^(逐级计算!$Q$64/10)-1)+逐级计算!$Q$64*(BL53-逐级计算!$P$64)*LN(10)/10),0)+LN(1+EXP(-ABS((LN(10^(逐级计算!$Q$64/10)-1)+逐级计算!$Q$64*(BL53-逐级计算!$P$64)*LN(10)/10))))))),"")</f>
        <v>13.7930365742081</v>
      </c>
      <c r="BN53">
        <f>IF(AND(ISNUMBER(BM53),逐级计算!$X$65&gt;-1),IF(逐级计算!$X$65=0,BM53+逐级计算!$C$65,BM53+逐级计算!$C$65-(10/(逐级计算!$Q$65*LN(10))*(MAX((LN(10^(逐级计算!$Q$65/10)-1)+逐级计算!$Q$65*(BM53-逐级计算!$P$65)*LN(10)/10),0)+LN(1+EXP(-ABS((LN(10^(逐级计算!$Q$65/10)-1)+逐级计算!$Q$65*(BM53-逐级计算!$P$65)*LN(10)/10))))))),"")</f>
        <v>13.7930365742081</v>
      </c>
      <c r="BO53">
        <f>IF(AND(ISNUMBER(BN53),逐级计算!$X$66&gt;-1),IF(逐级计算!$X$66=0,BN53+逐级计算!$C$66,BN53+逐级计算!$C$66-(10/(逐级计算!$Q$66*LN(10))*(MAX((LN(10^(逐级计算!$Q$66/10)-1)+逐级计算!$Q$66*(BN53-逐级计算!$P$66)*LN(10)/10),0)+LN(1+EXP(-ABS((LN(10^(逐级计算!$Q$66/10)-1)+逐级计算!$Q$66*(BN53-逐级计算!$P$66)*LN(10)/10))))))),"")</f>
        <v>13.7930365742081</v>
      </c>
      <c r="BP53">
        <f>IF(AND(ISNUMBER(BO53),逐级计算!$X$67&gt;-1),IF(逐级计算!$X$67=0,BO53+逐级计算!$C$67,BO53+逐级计算!$C$67-(10/(逐级计算!$Q$67*LN(10))*(MAX((LN(10^(逐级计算!$Q$67/10)-1)+逐级计算!$Q$67*(BO53-逐级计算!$P$67)*LN(10)/10),0)+LN(1+EXP(-ABS((LN(10^(逐级计算!$Q$67/10)-1)+逐级计算!$Q$67*(BO53-逐级计算!$P$67)*LN(10)/10))))))),"")</f>
        <v>13.7930365742081</v>
      </c>
      <c r="BQ53">
        <f>IF(AND(ISNUMBER(BP53),逐级计算!$X$68&gt;-1),IF(逐级计算!$X$68=0,BP53+逐级计算!$C$68,BP53+逐级计算!$C$68-(10/(逐级计算!$Q$68*LN(10))*(MAX((LN(10^(逐级计算!$Q$68/10)-1)+逐级计算!$Q$68*(BP53-逐级计算!$P$68)*LN(10)/10),0)+LN(1+EXP(-ABS((LN(10^(逐级计算!$Q$68/10)-1)+逐级计算!$Q$68*(BP53-逐级计算!$P$68)*LN(10)/10))))))),"")</f>
        <v>13.7930365742081</v>
      </c>
      <c r="BR53">
        <f>IF(AND(ISNUMBER(BQ53),逐级计算!$X$69&gt;-1),IF(逐级计算!$X$69=0,BQ53+逐级计算!$C$69,BQ53+逐级计算!$C$69-(10/(逐级计算!$Q$69*LN(10))*(MAX((LN(10^(逐级计算!$Q$69/10)-1)+逐级计算!$Q$69*(BQ53-逐级计算!$P$69)*LN(10)/10),0)+LN(1+EXP(-ABS((LN(10^(逐级计算!$Q$69/10)-1)+逐级计算!$Q$69*(BQ53-逐级计算!$P$69)*LN(10)/10))))))),"")</f>
        <v>13.7930365742081</v>
      </c>
      <c r="BS53">
        <f>IF(AND(ISNUMBER(BR53),逐级计算!$X$70&gt;-1),IF(逐级计算!$X$70=0,BR53+逐级计算!$C$70,BR53+逐级计算!$C$70-(10/(逐级计算!$Q$70*LN(10))*(MAX((LN(10^(逐级计算!$Q$70/10)-1)+逐级计算!$Q$70*(BR53-逐级计算!$P$70)*LN(10)/10),0)+LN(1+EXP(-ABS((LN(10^(逐级计算!$Q$70/10)-1)+逐级计算!$Q$70*(BR53-逐级计算!$P$70)*LN(10)/10))))))),"")</f>
        <v>13.7930365742081</v>
      </c>
      <c r="BT53">
        <f>IF(AND(ISNUMBER(BS53),逐级计算!$X$71&gt;-1),IF(逐级计算!$X$71=0,BS53+逐级计算!$C$71,BS53+逐级计算!$C$71-(10/(逐级计算!$Q$71*LN(10))*(MAX((LN(10^(逐级计算!$Q$71/10)-1)+逐级计算!$Q$71*(BS53-逐级计算!$P$71)*LN(10)/10),0)+LN(1+EXP(-ABS((LN(10^(逐级计算!$Q$71/10)-1)+逐级计算!$Q$71*(BS53-逐级计算!$P$71)*LN(10)/10))))))),"")</f>
        <v>13.7930365742081</v>
      </c>
      <c r="BU53">
        <f>IF(AND(ISNUMBER(BT53),逐级计算!$X$72&gt;-1),IF(逐级计算!$X$72=0,BT53+逐级计算!$C$72,BT53+逐级计算!$C$72-(10/(逐级计算!$Q$72*LN(10))*(MAX((LN(10^(逐级计算!$Q$72/10)-1)+逐级计算!$Q$72*(BT53-逐级计算!$P$72)*LN(10)/10),0)+LN(1+EXP(-ABS((LN(10^(逐级计算!$Q$72/10)-1)+逐级计算!$Q$72*(BT53-逐级计算!$P$72)*LN(10)/10))))))),"")</f>
        <v>13.7930365742081</v>
      </c>
      <c r="BV53">
        <f>IF(AND(ISNUMBER(BU53),逐级计算!$X$73&gt;-1),IF(逐级计算!$X$73=0,BU53+逐级计算!$C$73,BU53+逐级计算!$C$73-(10/(逐级计算!$Q$73*LN(10))*(MAX((LN(10^(逐级计算!$Q$73/10)-1)+逐级计算!$Q$73*(BU53-逐级计算!$P$73)*LN(10)/10),0)+LN(1+EXP(-ABS((LN(10^(逐级计算!$Q$73/10)-1)+逐级计算!$Q$73*(BU53-逐级计算!$P$73)*LN(10)/10))))))),"")</f>
        <v>13.7930365742081</v>
      </c>
      <c r="BW53">
        <f>IF(AND(ISNUMBER(BV53),逐级计算!$X$74&gt;-1),IF(逐级计算!$X$74=0,BV53+逐级计算!$C$74,BV53+逐级计算!$C$74-(10/(逐级计算!$Q$74*LN(10))*(MAX((LN(10^(逐级计算!$Q$74/10)-1)+逐级计算!$Q$74*(BV53-逐级计算!$P$74)*LN(10)/10),0)+LN(1+EXP(-ABS((LN(10^(逐级计算!$Q$74/10)-1)+逐级计算!$Q$74*(BV53-逐级计算!$P$74)*LN(10)/10))))))),"")</f>
        <v>13.7930365742081</v>
      </c>
      <c r="BX53">
        <f>IF(AND(ISNUMBER(BW53),逐级计算!$X$75&gt;-1),IF(逐级计算!$X$75=0,BW53+逐级计算!$C$75,BW53+逐级计算!$C$75-(10/(逐级计算!$Q$75*LN(10))*(MAX((LN(10^(逐级计算!$Q$75/10)-1)+逐级计算!$Q$75*(BW53-逐级计算!$P$75)*LN(10)/10),0)+LN(1+EXP(-ABS((LN(10^(逐级计算!$Q$75/10)-1)+逐级计算!$Q$75*(BW53-逐级计算!$P$75)*LN(10)/10))))))),"")</f>
        <v>13.7930365742081</v>
      </c>
      <c r="BY53">
        <f>IF(AND(ISNUMBER(BX53),逐级计算!$X$76&gt;-1),IF(逐级计算!$X$76=0,BX53+逐级计算!$C$76,BX53+逐级计算!$C$76-(10/(逐级计算!$Q$76*LN(10))*(MAX((LN(10^(逐级计算!$Q$76/10)-1)+逐级计算!$Q$76*(BX53-逐级计算!$P$76)*LN(10)/10),0)+LN(1+EXP(-ABS((LN(10^(逐级计算!$Q$76/10)-1)+逐级计算!$Q$76*(BX53-逐级计算!$P$76)*LN(10)/10))))))),"")</f>
        <v>13.7930365742081</v>
      </c>
      <c r="BZ53">
        <f>IF(AND(ISNUMBER(BY53),逐级计算!$X$77&gt;-1),IF(逐级计算!$X$77=0,BY53+逐级计算!$C$77,BY53+逐级计算!$C$77-(10/(逐级计算!$Q$77*LN(10))*(MAX((LN(10^(逐级计算!$Q$77/10)-1)+逐级计算!$Q$77*(BY53-逐级计算!$P$77)*LN(10)/10),0)+LN(1+EXP(-ABS((LN(10^(逐级计算!$Q$77/10)-1)+逐级计算!$Q$77*(BY53-逐级计算!$P$77)*LN(10)/10))))))),"")</f>
        <v>13.7930365742081</v>
      </c>
      <c r="CA53">
        <f>IF(AND(ISNUMBER(BZ53),逐级计算!$X$78&gt;-1),IF(逐级计算!$X$78=0,BZ53+逐级计算!$C$78,BZ53+逐级计算!$C$78-(10/(逐级计算!$Q$78*LN(10))*(MAX((LN(10^(逐级计算!$Q$78/10)-1)+逐级计算!$Q$78*(BZ53-逐级计算!$P$78)*LN(10)/10),0)+LN(1+EXP(-ABS((LN(10^(逐级计算!$Q$78/10)-1)+逐级计算!$Q$78*(BZ53-逐级计算!$P$78)*LN(10)/10))))))),"")</f>
        <v>13.7930365742081</v>
      </c>
      <c r="CB53">
        <f>IF(AND(ISNUMBER(CA53),逐级计算!$X$79&gt;-1),IF(逐级计算!$X$79=0,CA53+逐级计算!$C$79,CA53+逐级计算!$C$79-(10/(逐级计算!$Q$79*LN(10))*(MAX((LN(10^(逐级计算!$Q$79/10)-1)+逐级计算!$Q$79*(CA53-逐级计算!$P$79)*LN(10)/10),0)+LN(1+EXP(-ABS((LN(10^(逐级计算!$Q$79/10)-1)+逐级计算!$Q$79*(CA53-逐级计算!$P$79)*LN(10)/10))))))),"")</f>
        <v>13.7930365742081</v>
      </c>
      <c r="CC53">
        <f>IF(AND(ISNUMBER(CB53),逐级计算!$X$80&gt;-1),IF(逐级计算!$X$80=0,CB53+逐级计算!$C$80,CB53+逐级计算!$C$80-(10/(逐级计算!$Q$80*LN(10))*(MAX((LN(10^(逐级计算!$Q$80/10)-1)+逐级计算!$Q$80*(CB53-逐级计算!$P$80)*LN(10)/10),0)+LN(1+EXP(-ABS((LN(10^(逐级计算!$Q$80/10)-1)+逐级计算!$Q$80*(CB53-逐级计算!$P$80)*LN(10)/10))))))),"")</f>
        <v>13.7930365742081</v>
      </c>
      <c r="CD53">
        <f>IF(AND(ISNUMBER(CC53),逐级计算!$X$81&gt;-1),IF(逐级计算!$X$81=0,CC53+逐级计算!$C$81,CC53+逐级计算!$C$81-(10/(逐级计算!$Q$81*LN(10))*(MAX((LN(10^(逐级计算!$Q$81/10)-1)+逐级计算!$Q$81*(CC53-逐级计算!$P$81)*LN(10)/10),0)+LN(1+EXP(-ABS((LN(10^(逐级计算!$Q$81/10)-1)+逐级计算!$Q$81*(CC53-逐级计算!$P$81)*LN(10)/10))))))),"")</f>
        <v>13.7930365742081</v>
      </c>
      <c r="CE53">
        <f>IF(AND(ISNUMBER(CD53),逐级计算!$X$82&gt;-1),IF(逐级计算!$X$82=0,CD53+逐级计算!$C$82,CD53+逐级计算!$C$82-(10/(逐级计算!$Q$82*LN(10))*(MAX((LN(10^(逐级计算!$Q$82/10)-1)+逐级计算!$Q$82*(CD53-逐级计算!$P$82)*LN(10)/10),0)+LN(1+EXP(-ABS((LN(10^(逐级计算!$Q$82/10)-1)+逐级计算!$Q$82*(CD53-逐级计算!$P$82)*LN(10)/10))))))),"")</f>
        <v>13.7930365742081</v>
      </c>
      <c r="CF53">
        <f>IF(AND(ISNUMBER(CE53),逐级计算!$X$83&gt;-1),IF(逐级计算!$X$83=0,CE53+逐级计算!$C$83,CE53+逐级计算!$C$83-(10/(逐级计算!$Q$83*LN(10))*(MAX((LN(10^(逐级计算!$Q$83/10)-1)+逐级计算!$Q$83*(CE53-逐级计算!$P$83)*LN(10)/10),0)+LN(1+EXP(-ABS((LN(10^(逐级计算!$Q$83/10)-1)+逐级计算!$Q$83*(CE53-逐级计算!$P$83)*LN(10)/10))))))),"")</f>
        <v>13.7930365742081</v>
      </c>
      <c r="CG53">
        <f>IF(AND(ISNUMBER(CF53),逐级计算!$X$84&gt;-1),IF(逐级计算!$X$84=0,CF53+逐级计算!$C$84,CF53+逐级计算!$C$84-(10/(逐级计算!$Q$84*LN(10))*(MAX((LN(10^(逐级计算!$Q$84/10)-1)+逐级计算!$Q$84*(CF53-逐级计算!$P$84)*LN(10)/10),0)+LN(1+EXP(-ABS((LN(10^(逐级计算!$Q$84/10)-1)+逐级计算!$Q$84*(CF53-逐级计算!$P$84)*LN(10)/10))))))),"")</f>
        <v>13.7930365742081</v>
      </c>
      <c r="CH53">
        <f>IF(AND(ISNUMBER(CG53),逐级计算!$X$85&gt;-1),IF(逐级计算!$X$85=0,CG53+逐级计算!$C$85,CG53+逐级计算!$C$85-(10/(逐级计算!$Q$85*LN(10))*(MAX((LN(10^(逐级计算!$Q$85/10)-1)+逐级计算!$Q$85*(CG53-逐级计算!$P$85)*LN(10)/10),0)+LN(1+EXP(-ABS((LN(10^(逐级计算!$Q$85/10)-1)+逐级计算!$Q$85*(CG53-逐级计算!$P$85)*LN(10)/10))))))),"")</f>
        <v>13.7930365742081</v>
      </c>
      <c r="CI53">
        <f>IF(AND(ISNUMBER(CH53),逐级计算!$X$86&gt;-1),IF(逐级计算!$X$86=0,CH53+逐级计算!$C$86,CH53+逐级计算!$C$86-(10/(逐级计算!$Q$86*LN(10))*(MAX((LN(10^(逐级计算!$Q$86/10)-1)+逐级计算!$Q$86*(CH53-逐级计算!$P$86)*LN(10)/10),0)+LN(1+EXP(-ABS((LN(10^(逐级计算!$Q$86/10)-1)+逐级计算!$Q$86*(CH53-逐级计算!$P$86)*LN(10)/10))))))),"")</f>
        <v>13.7930365742081</v>
      </c>
      <c r="CJ53">
        <f>IF(AND(ISNUMBER(CI53),逐级计算!$X$87&gt;-1),IF(逐级计算!$X$87=0,CI53+逐级计算!$C$87,CI53+逐级计算!$C$87-(10/(逐级计算!$Q$87*LN(10))*(MAX((LN(10^(逐级计算!$Q$87/10)-1)+逐级计算!$Q$87*(CI53-逐级计算!$P$87)*LN(10)/10),0)+LN(1+EXP(-ABS((LN(10^(逐级计算!$Q$87/10)-1)+逐级计算!$Q$87*(CI53-逐级计算!$P$87)*LN(10)/10))))))),"")</f>
        <v>13.7930365742081</v>
      </c>
      <c r="CK53">
        <f>IF(AND(ISNUMBER(CJ53),逐级计算!$X$88&gt;-1),IF(逐级计算!$X$88=0,CJ53+逐级计算!$C$88,CJ53+逐级计算!$C$88-(10/(逐级计算!$Q$88*LN(10))*(MAX((LN(10^(逐级计算!$Q$88/10)-1)+逐级计算!$Q$88*(CJ53-逐级计算!$P$88)*LN(10)/10),0)+LN(1+EXP(-ABS((LN(10^(逐级计算!$Q$88/10)-1)+逐级计算!$Q$88*(CJ53-逐级计算!$P$88)*LN(10)/10))))))),"")</f>
        <v>13.7930365742081</v>
      </c>
      <c r="CL53">
        <f>IF(AND(ISNUMBER(CK53),逐级计算!$X$89&gt;-1),IF(逐级计算!$X$89=0,CK53+逐级计算!$C$89,CK53+逐级计算!$C$89-(10/(逐级计算!$Q$89*LN(10))*(MAX((LN(10^(逐级计算!$Q$89/10)-1)+逐级计算!$Q$89*(CK53-逐级计算!$P$89)*LN(10)/10),0)+LN(1+EXP(-ABS((LN(10^(逐级计算!$Q$89/10)-1)+逐级计算!$Q$89*(CK53-逐级计算!$P$89)*LN(10)/10))))))),"")</f>
        <v>13.7930365742081</v>
      </c>
      <c r="CM53">
        <f>IF(AND(ISNUMBER(CL53),逐级计算!$X$90&gt;-1),IF(逐级计算!$X$90=0,CL53+逐级计算!$C$90,CL53+逐级计算!$C$90-(10/(逐级计算!$Q$90*LN(10))*(MAX((LN(10^(逐级计算!$Q$90/10)-1)+逐级计算!$Q$90*(CL53-逐级计算!$P$90)*LN(10)/10),0)+LN(1+EXP(-ABS((LN(10^(逐级计算!$Q$90/10)-1)+逐级计算!$Q$90*(CL53-逐级计算!$P$90)*LN(10)/10))))))),"")</f>
        <v>13.7930365742081</v>
      </c>
      <c r="CN53">
        <f>IF(AND(ISNUMBER(CM53),逐级计算!$X$91&gt;-1),IF(逐级计算!$X$91=0,CM53+逐级计算!$C$91,CM53+逐级计算!$C$91-(10/(逐级计算!$Q$91*LN(10))*(MAX((LN(10^(逐级计算!$Q$91/10)-1)+逐级计算!$Q$91*(CM53-逐级计算!$P$91)*LN(10)/10),0)+LN(1+EXP(-ABS((LN(10^(逐级计算!$Q$91/10)-1)+逐级计算!$Q$91*(CM53-逐级计算!$P$91)*LN(10)/10))))))),"")</f>
        <v>13.7930365742081</v>
      </c>
      <c r="CO53">
        <f>IF(AND(ISNUMBER(CN53),逐级计算!$X$92&gt;-1),IF(逐级计算!$X$92=0,CN53+逐级计算!$C$92,CN53+逐级计算!$C$92-(10/(逐级计算!$Q$92*LN(10))*(MAX((LN(10^(逐级计算!$Q$92/10)-1)+逐级计算!$Q$92*(CN53-逐级计算!$P$92)*LN(10)/10),0)+LN(1+EXP(-ABS((LN(10^(逐级计算!$Q$92/10)-1)+逐级计算!$Q$92*(CN53-逐级计算!$P$92)*LN(10)/10))))))),"")</f>
        <v>13.7930365742081</v>
      </c>
      <c r="CP53">
        <f>IF(AND(ISNUMBER(CO53),逐级计算!$X$93&gt;-1),IF(逐级计算!$X$93=0,CO53+逐级计算!$C$93,CO53+逐级计算!$C$93-(10/(逐级计算!$Q$93*LN(10))*(MAX((LN(10^(逐级计算!$Q$93/10)-1)+逐级计算!$Q$93*(CO53-逐级计算!$P$93)*LN(10)/10),0)+LN(1+EXP(-ABS((LN(10^(逐级计算!$Q$93/10)-1)+逐级计算!$Q$93*(CO53-逐级计算!$P$93)*LN(10)/10))))))),"")</f>
        <v>13.7930365742081</v>
      </c>
      <c r="CQ53">
        <f>IF(AND(ISNUMBER(CP53),逐级计算!$X$94&gt;-1),IF(逐级计算!$X$94=0,CP53+逐级计算!$C$94,CP53+逐级计算!$C$94-(10/(逐级计算!$Q$94*LN(10))*(MAX((LN(10^(逐级计算!$Q$94/10)-1)+逐级计算!$Q$94*(CP53-逐级计算!$P$94)*LN(10)/10),0)+LN(1+EXP(-ABS((LN(10^(逐级计算!$Q$94/10)-1)+逐级计算!$Q$94*(CP53-逐级计算!$P$94)*LN(10)/10))))))),"")</f>
        <v>13.7930365742081</v>
      </c>
      <c r="CR53">
        <f>IF(AND(ISNUMBER(CQ53),逐级计算!$X$95&gt;-1),IF(逐级计算!$X$95=0,CQ53+逐级计算!$C$95,CQ53+逐级计算!$C$95-(10/(逐级计算!$Q$95*LN(10))*(MAX((LN(10^(逐级计算!$Q$95/10)-1)+逐级计算!$Q$95*(CQ53-逐级计算!$P$95)*LN(10)/10),0)+LN(1+EXP(-ABS((LN(10^(逐级计算!$Q$95/10)-1)+逐级计算!$Q$95*(CQ53-逐级计算!$P$95)*LN(10)/10))))))),"")</f>
        <v>13.7930365742081</v>
      </c>
      <c r="CS53">
        <f>IF(AND(ISNUMBER(CR53),逐级计算!$X$96&gt;-1),IF(逐级计算!$X$96=0,CR53+逐级计算!$C$96,CR53+逐级计算!$C$96-(10/(逐级计算!$Q$96*LN(10))*(MAX((LN(10^(逐级计算!$Q$96/10)-1)+逐级计算!$Q$96*(CR53-逐级计算!$P$96)*LN(10)/10),0)+LN(1+EXP(-ABS((LN(10^(逐级计算!$Q$96/10)-1)+逐级计算!$Q$96*(CR53-逐级计算!$P$96)*LN(10)/10))))))),"")</f>
        <v>13.7930365742081</v>
      </c>
      <c r="CT53">
        <f>IF(AND(ISNUMBER(CS53),逐级计算!$X$97&gt;-1),IF(逐级计算!$X$97=0,CS53+逐级计算!$C$97,CS53+逐级计算!$C$97-(10/(逐级计算!$Q$97*LN(10))*(MAX((LN(10^(逐级计算!$Q$97/10)-1)+逐级计算!$Q$97*(CS53-逐级计算!$P$97)*LN(10)/10),0)+LN(1+EXP(-ABS((LN(10^(逐级计算!$Q$97/10)-1)+逐级计算!$Q$97*(CS53-逐级计算!$P$97)*LN(10)/10))))))),"")</f>
        <v>13.7930365742081</v>
      </c>
      <c r="CU53">
        <f>IF(AND(ISNUMBER(CT53),逐级计算!$X$98&gt;-1),IF(逐级计算!$X$98=0,CT53+逐级计算!$C$98,CT53+逐级计算!$C$98-(10/(逐级计算!$Q$98*LN(10))*(MAX((LN(10^(逐级计算!$Q$98/10)-1)+逐级计算!$Q$98*(CT53-逐级计算!$P$98)*LN(10)/10),0)+LN(1+EXP(-ABS((LN(10^(逐级计算!$Q$98/10)-1)+逐级计算!$Q$98*(CT53-逐级计算!$P$98)*LN(10)/10))))))),"")</f>
        <v>13.7930365742081</v>
      </c>
      <c r="CV53">
        <f>IF(AND(ISNUMBER(CU53),逐级计算!$X$99&gt;-1),IF(逐级计算!$X$99=0,CU53+逐级计算!$C$99,CU53+逐级计算!$C$99-(10/(逐级计算!$Q$99*LN(10))*(MAX((LN(10^(逐级计算!$Q$99/10)-1)+逐级计算!$Q$99*(CU53-逐级计算!$P$99)*LN(10)/10),0)+LN(1+EXP(-ABS((LN(10^(逐级计算!$Q$99/10)-1)+逐级计算!$Q$99*(CU53-逐级计算!$P$99)*LN(10)/10))))))),"")</f>
        <v>13.7930365742081</v>
      </c>
      <c r="CW53">
        <f>IF(AND(ISNUMBER(CV53),逐级计算!$X$100&gt;-1),IF(逐级计算!$X$100=0,CV53+逐级计算!$C$100,CV53+逐级计算!$C$100-(10/(逐级计算!$Q$100*LN(10))*(MAX((LN(10^(逐级计算!$Q$100/10)-1)+逐级计算!$Q$100*(CV53-逐级计算!$P$100)*LN(10)/10),0)+LN(1+EXP(-ABS((LN(10^(逐级计算!$Q$100/10)-1)+逐级计算!$Q$100*(CV53-逐级计算!$P$100)*LN(10)/10))))))),"")</f>
        <v>13.7930365742081</v>
      </c>
      <c r="CX53">
        <f>IF(AND(ISNUMBER(CW53),逐级计算!$X$101&gt;-1),IF(逐级计算!$X$101=0,CW53+逐级计算!$C$101,CW53+逐级计算!$C$101-(10/(逐级计算!$Q$101*LN(10))*(MAX((LN(10^(逐级计算!$Q$101/10)-1)+逐级计算!$Q$101*(CW53-逐级计算!$P$101)*LN(10)/10),0)+LN(1+EXP(-ABS((LN(10^(逐级计算!$Q$101/10)-1)+逐级计算!$Q$101*(CW53-逐级计算!$P$101)*LN(10)/10))))))),"")</f>
        <v>13.7930365742081</v>
      </c>
      <c r="CY53">
        <f>IF(AND(ISNUMBER(CX53),逐级计算!$X$102&gt;-1),IF(逐级计算!$X$102=0,CX53+逐级计算!$C$102,CX53+逐级计算!$C$102-(10/(逐级计算!$Q$102*LN(10))*(MAX((LN(10^(逐级计算!$Q$102/10)-1)+逐级计算!$Q$102*(CX53-逐级计算!$P$102)*LN(10)/10),0)+LN(1+EXP(-ABS((LN(10^(逐级计算!$Q$102/10)-1)+逐级计算!$Q$102*(CX53-逐级计算!$P$102)*LN(10)/10))))))),"")</f>
        <v>13.7930365742081</v>
      </c>
      <c r="CZ53">
        <f>IF(AND(ISNUMBER(CY53),逐级计算!$X$103&gt;-1),IF(逐级计算!$X$103=0,CY53+逐级计算!$C$103,CY53+逐级计算!$C$103-(10/(逐级计算!$Q$103*LN(10))*(MAX((LN(10^(逐级计算!$Q$103/10)-1)+逐级计算!$Q$103*(CY53-逐级计算!$P$103)*LN(10)/10),0)+LN(1+EXP(-ABS((LN(10^(逐级计算!$Q$103/10)-1)+逐级计算!$Q$103*(CY53-逐级计算!$P$103)*LN(10)/10))))))),"")</f>
        <v>13.7930365742081</v>
      </c>
      <c r="DA53">
        <f>IF(AND(ISNUMBER(CZ53),逐级计算!$X$104&gt;-1),IF(逐级计算!$X$104=0,CZ53+逐级计算!$C$104,CZ53+逐级计算!$C$104-(10/(逐级计算!$Q$104*LN(10))*(MAX((LN(10^(逐级计算!$Q$104/10)-1)+逐级计算!$Q$104*(CZ53-逐级计算!$P$104)*LN(10)/10),0)+LN(1+EXP(-ABS((LN(10^(逐级计算!$Q$104/10)-1)+逐级计算!$Q$104*(CZ53-逐级计算!$P$104)*LN(10)/10))))))),"")</f>
        <v>13.7930365742081</v>
      </c>
      <c r="DB53">
        <f>IF(AND(ISNUMBER(DA53),逐级计算!$X$105&gt;-1),IF(逐级计算!$X$105=0,DA53+逐级计算!$C$105,DA53+逐级计算!$C$105-(10/(逐级计算!$Q$105*LN(10))*(MAX((LN(10^(逐级计算!$Q$105/10)-1)+逐级计算!$Q$105*(DA53-逐级计算!$P$105)*LN(10)/10),0)+LN(1+EXP(-ABS((LN(10^(逐级计算!$Q$105/10)-1)+逐级计算!$Q$105*(DA53-逐级计算!$P$105)*LN(10)/10))))))),"")</f>
        <v>13.7930365742081</v>
      </c>
      <c r="DC53">
        <f>IF(AND(ISNUMBER(DB53),逐级计算!$X$106&gt;-1),IF(逐级计算!$X$106=0,DB53+逐级计算!$C$106,DB53+逐级计算!$C$106-(10/(逐级计算!$Q$106*LN(10))*(MAX((LN(10^(逐级计算!$Q$106/10)-1)+逐级计算!$Q$106*(DB53-逐级计算!$P$106)*LN(10)/10),0)+LN(1+EXP(-ABS((LN(10^(逐级计算!$Q$106/10)-1)+逐级计算!$Q$106*(DB53-逐级计算!$P$106)*LN(10)/10))))))),"")</f>
        <v>13.7930365742081</v>
      </c>
      <c r="DD53">
        <f>IF(AND(ISNUMBER(DC53),逐级计算!$X$107&gt;-1),IF(逐级计算!$X$107=0,DC53+逐级计算!$C$107,DC53+逐级计算!$C$107-(10/(逐级计算!$Q$107*LN(10))*(MAX((LN(10^(逐级计算!$Q$107/10)-1)+逐级计算!$Q$107*(DC53-逐级计算!$P$107)*LN(10)/10),0)+LN(1+EXP(-ABS((LN(10^(逐级计算!$Q$107/10)-1)+逐级计算!$Q$107*(DC53-逐级计算!$P$107)*LN(10)/10))))))),"")</f>
        <v>13.7930365742081</v>
      </c>
      <c r="DE53">
        <f>IF(AND(ISNUMBER(DD53),逐级计算!$X$108&gt;-1),IF(逐级计算!$X$108=0,DD53+逐级计算!$C$108,DD53+逐级计算!$C$108-(10/(逐级计算!$Q$108*LN(10))*(MAX((LN(10^(逐级计算!$Q$108/10)-1)+逐级计算!$Q$108*(DD53-逐级计算!$P$108)*LN(10)/10),0)+LN(1+EXP(-ABS((LN(10^(逐级计算!$Q$108/10)-1)+逐级计算!$Q$108*(DD53-逐级计算!$P$108)*LN(10)/10))))))),"")</f>
        <v>13.7930365742081</v>
      </c>
      <c r="DF53">
        <f>IF(AND(ISNUMBER(DE53),逐级计算!$X$109&gt;-1),IF(逐级计算!$X$109=0,DE53+逐级计算!$C$109,DE53+逐级计算!$C$109-(10/(逐级计算!$Q$109*LN(10))*(MAX((LN(10^(逐级计算!$Q$109/10)-1)+逐级计算!$Q$109*(DE53-逐级计算!$P$109)*LN(10)/10),0)+LN(1+EXP(-ABS((LN(10^(逐级计算!$Q$109/10)-1)+逐级计算!$Q$109*(DE53-逐级计算!$P$109)*LN(10)/10))))))),"")</f>
        <v>13.7930365742081</v>
      </c>
      <c r="DG53">
        <f>IF(AND(ISNUMBER(DF53),逐级计算!$X$110&gt;-1),IF(逐级计算!$X$110=0,DF53+逐级计算!$C$110,DF53+逐级计算!$C$110-(10/(逐级计算!$Q$110*LN(10))*(MAX((LN(10^(逐级计算!$Q$110/10)-1)+逐级计算!$Q$110*(DF53-逐级计算!$P$110)*LN(10)/10),0)+LN(1+EXP(-ABS((LN(10^(逐级计算!$Q$110/10)-1)+逐级计算!$Q$110*(DF53-逐级计算!$P$110)*LN(10)/10))))))),"")</f>
        <v>13.7930365742081</v>
      </c>
      <c r="DH53">
        <f>IF(AND(ISNUMBER(DG53),逐级计算!$X$111&gt;-1),IF(逐级计算!$X$111=0,DG53+逐级计算!$C$111,DG53+逐级计算!$C$111-(10/(逐级计算!$Q$111*LN(10))*(MAX((LN(10^(逐级计算!$Q$111/10)-1)+逐级计算!$Q$111*(DG53-逐级计算!$P$111)*LN(10)/10),0)+LN(1+EXP(-ABS((LN(10^(逐级计算!$Q$111/10)-1)+逐级计算!$Q$111*(DG53-逐级计算!$P$111)*LN(10)/10))))))),"")</f>
        <v>13.7930365742081</v>
      </c>
      <c r="DI53">
        <f>IF(AND(ISNUMBER(DH53),逐级计算!$X$112&gt;-1),IF(逐级计算!$X$112=0,DH53+逐级计算!$C$112,DH53+逐级计算!$C$112-(10/(逐级计算!$Q$112*LN(10))*(MAX((LN(10^(逐级计算!$Q$112/10)-1)+逐级计算!$Q$112*(DH53-逐级计算!$P$112)*LN(10)/10),0)+LN(1+EXP(-ABS((LN(10^(逐级计算!$Q$112/10)-1)+逐级计算!$Q$112*(DH53-逐级计算!$P$112)*LN(10)/10))))))),"")</f>
        <v>13.7930365742081</v>
      </c>
      <c r="DJ53">
        <f>IF(AND(ISNUMBER(DI53),逐级计算!$X$113&gt;-1),IF(逐级计算!$X$113=0,DI53+逐级计算!$C$113,DI53+逐级计算!$C$113-(10/(逐级计算!$Q$113*LN(10))*(MAX((LN(10^(逐级计算!$Q$113/10)-1)+逐级计算!$Q$113*(DI53-逐级计算!$P$113)*LN(10)/10),0)+LN(1+EXP(-ABS((LN(10^(逐级计算!$Q$113/10)-1)+逐级计算!$Q$113*(DI53-逐级计算!$P$113)*LN(10)/10))))))),"")</f>
        <v>13.7930365742081</v>
      </c>
      <c r="DK53">
        <f>IF(AND(ISNUMBER(DJ53),逐级计算!$X$114&gt;-1),IF(逐级计算!$X$114=0,DJ53+逐级计算!$C$114,DJ53+逐级计算!$C$114-(10/(逐级计算!$Q$114*LN(10))*(MAX((LN(10^(逐级计算!$Q$114/10)-1)+逐级计算!$Q$114*(DJ53-逐级计算!$P$114)*LN(10)/10),0)+LN(1+EXP(-ABS((LN(10^(逐级计算!$Q$114/10)-1)+逐级计算!$Q$114*(DJ53-逐级计算!$P$114)*LN(10)/10))))))),"")</f>
        <v>13.7930365742081</v>
      </c>
      <c r="DL53">
        <f>IF(AND(ISNUMBER(DK53),逐级计算!$X$115&gt;-1),IF(逐级计算!$X$115=0,DK53+逐级计算!$C$115,DK53+逐级计算!$C$115-(10/(逐级计算!$Q$115*LN(10))*(MAX((LN(10^(逐级计算!$Q$115/10)-1)+逐级计算!$Q$115*(DK53-逐级计算!$P$115)*LN(10)/10),0)+LN(1+EXP(-ABS((LN(10^(逐级计算!$Q$115/10)-1)+逐级计算!$Q$115*(DK53-逐级计算!$P$115)*LN(10)/10))))))),"")</f>
        <v>13.7930365742081</v>
      </c>
      <c r="DM53">
        <f>IF(AND(ISNUMBER(DL53),逐级计算!$X$116&gt;-1),IF(逐级计算!$X$116=0,DL53+逐级计算!$C$116,DL53+逐级计算!$C$116-(10/(逐级计算!$Q$116*LN(10))*(MAX((LN(10^(逐级计算!$Q$116/10)-1)+逐级计算!$Q$116*(DL53-逐级计算!$P$116)*LN(10)/10),0)+LN(1+EXP(-ABS((LN(10^(逐级计算!$Q$116/10)-1)+逐级计算!$Q$116*(DL53-逐级计算!$P$116)*LN(10)/10))))))),"")</f>
        <v>13.7930365742081</v>
      </c>
      <c r="DN53">
        <f>IF(AND(ISNUMBER(DM53),逐级计算!$X$117&gt;-1),IF(逐级计算!$X$117=0,DM53+逐级计算!$C$117,DM53+逐级计算!$C$117-(10/(逐级计算!$Q$117*LN(10))*(MAX((LN(10^(逐级计算!$Q$117/10)-1)+逐级计算!$Q$117*(DM53-逐级计算!$P$117)*LN(10)/10),0)+LN(1+EXP(-ABS((LN(10^(逐级计算!$Q$117/10)-1)+逐级计算!$Q$117*(DM53-逐级计算!$P$117)*LN(10)/10))))))),"")</f>
        <v>13.7930365742081</v>
      </c>
      <c r="DO53">
        <f>IF(AND(ISNUMBER(DN53),逐级计算!$X$118&gt;-1),IF(逐级计算!$X$118=0,DN53+逐级计算!$C$118,DN53+逐级计算!$C$118-(10/(逐级计算!$Q$118*LN(10))*(MAX((LN(10^(逐级计算!$Q$118/10)-1)+逐级计算!$Q$118*(DN53-逐级计算!$P$118)*LN(10)/10),0)+LN(1+EXP(-ABS((LN(10^(逐级计算!$Q$118/10)-1)+逐级计算!$Q$118*(DN53-逐级计算!$P$118)*LN(10)/10))))))),"")</f>
        <v>13.7930365742081</v>
      </c>
      <c r="DP53">
        <f>IF(AND(ISNUMBER(DO53),逐级计算!$X$119&gt;-1),IF(逐级计算!$X$119=0,DO53+逐级计算!$C$119,DO53+逐级计算!$C$119-(10/(逐级计算!$Q$119*LN(10))*(MAX((LN(10^(逐级计算!$Q$119/10)-1)+逐级计算!$Q$119*(DO53-逐级计算!$P$119)*LN(10)/10),0)+LN(1+EXP(-ABS((LN(10^(逐级计算!$Q$119/10)-1)+逐级计算!$Q$119*(DO53-逐级计算!$P$119)*LN(10)/10))))))),"")</f>
        <v>13.7930365742081</v>
      </c>
      <c r="DQ53">
        <f>IF(AND(ISNUMBER(DP53),逐级计算!$X$120&gt;-1),IF(逐级计算!$X$120=0,DP53+逐级计算!$C$120,DP53+逐级计算!$C$120-(10/(逐级计算!$Q$120*LN(10))*(MAX((LN(10^(逐级计算!$Q$120/10)-1)+逐级计算!$Q$120*(DP53-逐级计算!$P$120)*LN(10)/10),0)+LN(1+EXP(-ABS((LN(10^(逐级计算!$Q$120/10)-1)+逐级计算!$Q$120*(DP53-逐级计算!$P$120)*LN(10)/10))))))),"")</f>
        <v>13.7930365742081</v>
      </c>
      <c r="DR53">
        <f>IF(AND(ISNUMBER(DQ53),逐级计算!$X$121&gt;-1),IF(逐级计算!$X$121=0,DQ53+逐级计算!$C$121,DQ53+逐级计算!$C$121-(10/(逐级计算!$Q$121*LN(10))*(MAX((LN(10^(逐级计算!$Q$121/10)-1)+逐级计算!$Q$121*(DQ53-逐级计算!$P$121)*LN(10)/10),0)+LN(1+EXP(-ABS((LN(10^(逐级计算!$Q$121/10)-1)+逐级计算!$Q$121*(DQ53-逐级计算!$P$121)*LN(10)/10))))))),"")</f>
        <v>13.7930365742081</v>
      </c>
      <c r="DS53">
        <f>IF(AND(ISNUMBER(DR53),逐级计算!$X$122&gt;-1),IF(逐级计算!$X$122=0,DR53+逐级计算!$C$122,DR53+逐级计算!$C$122-(10/(逐级计算!$Q$122*LN(10))*(MAX((LN(10^(逐级计算!$Q$122/10)-1)+逐级计算!$Q$122*(DR53-逐级计算!$P$122)*LN(10)/10),0)+LN(1+EXP(-ABS((LN(10^(逐级计算!$Q$122/10)-1)+逐级计算!$Q$122*(DR53-逐级计算!$P$122)*LN(10)/10))))))),"")</f>
        <v>13.7930365742081</v>
      </c>
      <c r="DT53">
        <f>IF(AND(ISNUMBER(DS53),逐级计算!$X$123&gt;-1),IF(逐级计算!$X$123=0,DS53+逐级计算!$C$123,DS53+逐级计算!$C$123-(10/(逐级计算!$Q$123*LN(10))*(MAX((LN(10^(逐级计算!$Q$123/10)-1)+逐级计算!$Q$123*(DS53-逐级计算!$P$123)*LN(10)/10),0)+LN(1+EXP(-ABS((LN(10^(逐级计算!$Q$123/10)-1)+逐级计算!$Q$123*(DS53-逐级计算!$P$123)*LN(10)/10))))))),"")</f>
        <v>13.7930365742081</v>
      </c>
      <c r="DU53">
        <f>IF(AND(ISNUMBER(DT53),逐级计算!$X$124&gt;-1),IF(逐级计算!$X$124=0,DT53+逐级计算!$C$124,DT53+逐级计算!$C$124-(10/(逐级计算!$Q$124*LN(10))*(MAX((LN(10^(逐级计算!$Q$124/10)-1)+逐级计算!$Q$124*(DT53-逐级计算!$P$124)*LN(10)/10),0)+LN(1+EXP(-ABS((LN(10^(逐级计算!$Q$124/10)-1)+逐级计算!$Q$124*(DT53-逐级计算!$P$124)*LN(10)/10))))))),"")</f>
        <v>13.7930365742081</v>
      </c>
      <c r="DV53">
        <f>IF(AND(ISNUMBER(DU53),逐级计算!$X$125&gt;-1),IF(逐级计算!$X$125=0,DU53+逐级计算!$C$125,DU53+逐级计算!$C$125-(10/(逐级计算!$Q$125*LN(10))*(MAX((LN(10^(逐级计算!$Q$125/10)-1)+逐级计算!$Q$125*(DU53-逐级计算!$P$125)*LN(10)/10),0)+LN(1+EXP(-ABS((LN(10^(逐级计算!$Q$125/10)-1)+逐级计算!$Q$125*(DU53-逐级计算!$P$125)*LN(10)/10))))))),"")</f>
        <v>13.7930365742081</v>
      </c>
      <c r="DW53">
        <f>IF(AND(ISNUMBER(DV53),逐级计算!$X$126&gt;-1),IF(逐级计算!$X$126=0,DV53+逐级计算!$C$126,DV53+逐级计算!$C$126-(10/(逐级计算!$Q$126*LN(10))*(MAX((LN(10^(逐级计算!$Q$126/10)-1)+逐级计算!$Q$126*(DV53-逐级计算!$P$126)*LN(10)/10),0)+LN(1+EXP(-ABS((LN(10^(逐级计算!$Q$126/10)-1)+逐级计算!$Q$126*(DV53-逐级计算!$P$126)*LN(10)/10))))))),"")</f>
        <v>13.7930365742081</v>
      </c>
      <c r="DX53">
        <f>IF(AND(ISNUMBER(DW53),逐级计算!$X$127&gt;-1),IF(逐级计算!$X$127=0,DW53+逐级计算!$C$127,DW53+逐级计算!$C$127-(10/(逐级计算!$Q$127*LN(10))*(MAX((LN(10^(逐级计算!$Q$127/10)-1)+逐级计算!$Q$127*(DW53-逐级计算!$P$127)*LN(10)/10),0)+LN(1+EXP(-ABS((LN(10^(逐级计算!$Q$127/10)-1)+逐级计算!$Q$127*(DW53-逐级计算!$P$127)*LN(10)/10))))))),"")</f>
        <v>13.7930365742081</v>
      </c>
      <c r="DY53">
        <f>IF(AND(ISNUMBER(DX53),逐级计算!$X$128&gt;-1),IF(逐级计算!$X$128=0,DX53+逐级计算!$C$128,DX53+逐级计算!$C$128-(10/(逐级计算!$Q$128*LN(10))*(MAX((LN(10^(逐级计算!$Q$128/10)-1)+逐级计算!$Q$128*(DX53-逐级计算!$P$128)*LN(10)/10),0)+LN(1+EXP(-ABS((LN(10^(逐级计算!$Q$128/10)-1)+逐级计算!$Q$128*(DX53-逐级计算!$P$128)*LN(10)/10))))))),"")</f>
        <v>13.7930365742081</v>
      </c>
      <c r="DZ53">
        <f>IF(AND(ISNUMBER(DY53),逐级计算!$X$129&gt;-1),IF(逐级计算!$X$129=0,DY53+逐级计算!$C$129,DY53+逐级计算!$C$129-(10/(逐级计算!$Q$129*LN(10))*(MAX((LN(10^(逐级计算!$Q$129/10)-1)+逐级计算!$Q$129*(DY53-逐级计算!$P$129)*LN(10)/10),0)+LN(1+EXP(-ABS((LN(10^(逐级计算!$Q$129/10)-1)+逐级计算!$Q$129*(DY53-逐级计算!$P$129)*LN(10)/10))))))),"")</f>
        <v>13.7930365742081</v>
      </c>
      <c r="EA53">
        <f>IF(AND(ISNUMBER(DZ53),逐级计算!$X$130&gt;-1),IF(逐级计算!$X$130=0,DZ53+逐级计算!$C$130,DZ53+逐级计算!$C$130-(10/(逐级计算!$Q$130*LN(10))*(MAX((LN(10^(逐级计算!$Q$130/10)-1)+逐级计算!$Q$130*(DZ53-逐级计算!$P$130)*LN(10)/10),0)+LN(1+EXP(-ABS((LN(10^(逐级计算!$Q$130/10)-1)+逐级计算!$Q$130*(DZ53-逐级计算!$P$130)*LN(10)/10))))))),"")</f>
        <v>13.7930365742081</v>
      </c>
      <c r="EB53">
        <f>IF(AND(ISNUMBER(EA53),逐级计算!$X$131&gt;-1),IF(逐级计算!$X$131=0,EA53+逐级计算!$C$131,EA53+逐级计算!$C$131-(10/(逐级计算!$Q$131*LN(10))*(MAX((LN(10^(逐级计算!$Q$131/10)-1)+逐级计算!$Q$131*(EA53-逐级计算!$P$131)*LN(10)/10),0)+LN(1+EXP(-ABS((LN(10^(逐级计算!$Q$131/10)-1)+逐级计算!$Q$131*(EA53-逐级计算!$P$131)*LN(10)/10))))))),"")</f>
        <v>13.7930365742081</v>
      </c>
      <c r="EC53">
        <f>IF(AND(ISNUMBER(EB53),逐级计算!$X$132&gt;-1),IF(逐级计算!$X$132=0,EB53+逐级计算!$C$132,EB53+逐级计算!$C$132-(10/(逐级计算!$Q$132*LN(10))*(MAX((LN(10^(逐级计算!$Q$132/10)-1)+逐级计算!$Q$132*(EB53-逐级计算!$P$132)*LN(10)/10),0)+LN(1+EXP(-ABS((LN(10^(逐级计算!$Q$132/10)-1)+逐级计算!$Q$132*(EB53-逐级计算!$P$132)*LN(10)/10))))))),"")</f>
        <v>13.7930365742081</v>
      </c>
      <c r="ED53">
        <f>IF(AND(ISNUMBER(EC53),逐级计算!$X$133&gt;-1),IF(逐级计算!$X$133=0,EC53+逐级计算!$C$133,EC53+逐级计算!$C$133-(10/(逐级计算!$Q$133*LN(10))*(MAX((LN(10^(逐级计算!$Q$133/10)-1)+逐级计算!$Q$133*(EC53-逐级计算!$P$133)*LN(10)/10),0)+LN(1+EXP(-ABS((LN(10^(逐级计算!$Q$133/10)-1)+逐级计算!$Q$133*(EC53-逐级计算!$P$133)*LN(10)/10))))))),"")</f>
        <v>13.7930365742081</v>
      </c>
      <c r="EE53">
        <f>IF(AND(ISNUMBER(ED53),逐级计算!$X$134&gt;-1),IF(逐级计算!$X$134=0,ED53+逐级计算!$C$134,ED53+逐级计算!$C$134-(10/(逐级计算!$Q$134*LN(10))*(MAX((LN(10^(逐级计算!$Q$134/10)-1)+逐级计算!$Q$134*(ED53-逐级计算!$P$134)*LN(10)/10),0)+LN(1+EXP(-ABS((LN(10^(逐级计算!$Q$134/10)-1)+逐级计算!$Q$134*(ED53-逐级计算!$P$134)*LN(10)/10))))))),"")</f>
        <v>13.7930365742081</v>
      </c>
      <c r="EF53">
        <f>IF(AND(ISNUMBER(EE53),逐级计算!$X$135&gt;-1),IF(逐级计算!$X$135=0,EE53+逐级计算!$C$135,EE53+逐级计算!$C$135-(10/(逐级计算!$Q$135*LN(10))*(MAX((LN(10^(逐级计算!$Q$135/10)-1)+逐级计算!$Q$135*(EE53-逐级计算!$P$135)*LN(10)/10),0)+LN(1+EXP(-ABS((LN(10^(逐级计算!$Q$135/10)-1)+逐级计算!$Q$135*(EE53-逐级计算!$P$135)*LN(10)/10))))))),"")</f>
        <v>13.7930365742081</v>
      </c>
      <c r="EG53">
        <f>IF(AND(ISNUMBER(EF53),逐级计算!$X$136&gt;-1),IF(逐级计算!$X$136=0,EF53+逐级计算!$C$136,EF53+逐级计算!$C$136-(10/(逐级计算!$Q$136*LN(10))*(MAX((LN(10^(逐级计算!$Q$136/10)-1)+逐级计算!$Q$136*(EF53-逐级计算!$P$136)*LN(10)/10),0)+LN(1+EXP(-ABS((LN(10^(逐级计算!$Q$136/10)-1)+逐级计算!$Q$136*(EF53-逐级计算!$P$136)*LN(10)/10))))))),"")</f>
        <v>13.7930365742081</v>
      </c>
      <c r="EH53">
        <f>IF(AND(ISNUMBER(EG53),逐级计算!$X$137&gt;-1),IF(逐级计算!$X$137=0,EG53+逐级计算!$C$137,EG53+逐级计算!$C$137-(10/(逐级计算!$Q$137*LN(10))*(MAX((LN(10^(逐级计算!$Q$137/10)-1)+逐级计算!$Q$137*(EG53-逐级计算!$P$137)*LN(10)/10),0)+LN(1+EXP(-ABS((LN(10^(逐级计算!$Q$137/10)-1)+逐级计算!$Q$137*(EG53-逐级计算!$P$137)*LN(10)/10))))))),"")</f>
        <v>13.7930365742081</v>
      </c>
      <c r="EI53">
        <f>IF(AND(ISNUMBER(EH53),逐级计算!$X$138&gt;-1),IF(逐级计算!$X$138=0,EH53+逐级计算!$C$138,EH53+逐级计算!$C$138-(10/(逐级计算!$Q$138*LN(10))*(MAX((LN(10^(逐级计算!$Q$138/10)-1)+逐级计算!$Q$138*(EH53-逐级计算!$P$138)*LN(10)/10),0)+LN(1+EXP(-ABS((LN(10^(逐级计算!$Q$138/10)-1)+逐级计算!$Q$138*(EH53-逐级计算!$P$138)*LN(10)/10))))))),"")</f>
        <v>13.7930365742081</v>
      </c>
      <c r="EJ53">
        <f>IF(AND(ISNUMBER(EI53),逐级计算!$X$139&gt;-1),IF(逐级计算!$X$139=0,EI53+逐级计算!$C$139,EI53+逐级计算!$C$139-(10/(逐级计算!$Q$139*LN(10))*(MAX((LN(10^(逐级计算!$Q$139/10)-1)+逐级计算!$Q$139*(EI53-逐级计算!$P$139)*LN(10)/10),0)+LN(1+EXP(-ABS((LN(10^(逐级计算!$Q$139/10)-1)+逐级计算!$Q$139*(EI53-逐级计算!$P$139)*LN(10)/10))))))),"")</f>
        <v>13.7930365742081</v>
      </c>
      <c r="EK53">
        <f>IF(AND(ISNUMBER(EJ53),逐级计算!$X$140&gt;-1),IF(逐级计算!$X$140=0,EJ53+逐级计算!$C$140,EJ53+逐级计算!$C$140-(10/(逐级计算!$Q$140*LN(10))*(MAX((LN(10^(逐级计算!$Q$140/10)-1)+逐级计算!$Q$140*(EJ53-逐级计算!$P$140)*LN(10)/10),0)+LN(1+EXP(-ABS((LN(10^(逐级计算!$Q$140/10)-1)+逐级计算!$Q$140*(EJ53-逐级计算!$P$140)*LN(10)/10))))))),"")</f>
        <v>13.7930365742081</v>
      </c>
      <c r="EL53">
        <f>IF(AND(ISNUMBER(EK53),逐级计算!$X$141&gt;-1),IF(逐级计算!$X$141=0,EK53+逐级计算!$C$141,EK53+逐级计算!$C$141-(10/(逐级计算!$Q$141*LN(10))*(MAX((LN(10^(逐级计算!$Q$141/10)-1)+逐级计算!$Q$141*(EK53-逐级计算!$P$141)*LN(10)/10),0)+LN(1+EXP(-ABS((LN(10^(逐级计算!$Q$141/10)-1)+逐级计算!$Q$141*(EK53-逐级计算!$P$141)*LN(10)/10))))))),"")</f>
        <v>13.7930365742081</v>
      </c>
      <c r="EM53">
        <f>IF(AND(ISNUMBER(EL53),逐级计算!$X$142&gt;-1),IF(逐级计算!$X$142=0,EL53+逐级计算!$C$142,EL53+逐级计算!$C$142-(10/(逐级计算!$Q$142*LN(10))*(MAX((LN(10^(逐级计算!$Q$142/10)-1)+逐级计算!$Q$142*(EL53-逐级计算!$P$142)*LN(10)/10),0)+LN(1+EXP(-ABS((LN(10^(逐级计算!$Q$142/10)-1)+逐级计算!$Q$142*(EL53-逐级计算!$P$142)*LN(10)/10))))))),"")</f>
        <v>13.7930365742081</v>
      </c>
      <c r="EN53">
        <f>IF(AND(ISNUMBER(EM53),逐级计算!$X$143&gt;-1),IF(逐级计算!$X$143=0,EM53+逐级计算!$C$143,EM53+逐级计算!$C$143-(10/(逐级计算!$Q$143*LN(10))*(MAX((LN(10^(逐级计算!$Q$143/10)-1)+逐级计算!$Q$143*(EM53-逐级计算!$P$143)*LN(10)/10),0)+LN(1+EXP(-ABS((LN(10^(逐级计算!$Q$143/10)-1)+逐级计算!$Q$143*(EM53-逐级计算!$P$143)*LN(10)/10))))))),"")</f>
        <v>13.7930365742081</v>
      </c>
      <c r="EO53">
        <f>IF(AND(ISNUMBER(EN53),逐级计算!$X$144&gt;-1),IF(逐级计算!$X$144=0,EN53+逐级计算!$C$144,EN53+逐级计算!$C$144-(10/(逐级计算!$Q$144*LN(10))*(MAX((LN(10^(逐级计算!$Q$144/10)-1)+逐级计算!$Q$144*(EN53-逐级计算!$P$144)*LN(10)/10),0)+LN(1+EXP(-ABS((LN(10^(逐级计算!$Q$144/10)-1)+逐级计算!$Q$144*(EN53-逐级计算!$P$144)*LN(10)/10))))))),"")</f>
        <v>13.7930365742081</v>
      </c>
      <c r="EP53">
        <f>IF(AND(ISNUMBER(EO53),逐级计算!$X$145&gt;-1),IF(逐级计算!$X$145=0,EO53+逐级计算!$C$145,EO53+逐级计算!$C$145-(10/(逐级计算!$Q$145*LN(10))*(MAX((LN(10^(逐级计算!$Q$145/10)-1)+逐级计算!$Q$145*(EO53-逐级计算!$P$145)*LN(10)/10),0)+LN(1+EXP(-ABS((LN(10^(逐级计算!$Q$145/10)-1)+逐级计算!$Q$145*(EO53-逐级计算!$P$145)*LN(10)/10))))))),"")</f>
        <v>13.7930365742081</v>
      </c>
      <c r="EQ53">
        <f>IF(AND(ISNUMBER(EP53),逐级计算!$X$146&gt;-1),IF(逐级计算!$X$146=0,EP53+逐级计算!$C$146,EP53+逐级计算!$C$146-(10/(逐级计算!$Q$146*LN(10))*(MAX((LN(10^(逐级计算!$Q$146/10)-1)+逐级计算!$Q$146*(EP53-逐级计算!$P$146)*LN(10)/10),0)+LN(1+EXP(-ABS((LN(10^(逐级计算!$Q$146/10)-1)+逐级计算!$Q$146*(EP53-逐级计算!$P$146)*LN(10)/10))))))),"")</f>
        <v>13.7930365742081</v>
      </c>
      <c r="ER53">
        <f>IF(AND(ISNUMBER(EQ53),逐级计算!$X$147&gt;-1),IF(逐级计算!$X$147=0,EQ53+逐级计算!$C$147,EQ53+逐级计算!$C$147-(10/(逐级计算!$Q$147*LN(10))*(MAX((LN(10^(逐级计算!$Q$147/10)-1)+逐级计算!$Q$147*(EQ53-逐级计算!$P$147)*LN(10)/10),0)+LN(1+EXP(-ABS((LN(10^(逐级计算!$Q$147/10)-1)+逐级计算!$Q$147*(EQ53-逐级计算!$P$147)*LN(10)/10))))))),"")</f>
        <v>13.7930365742081</v>
      </c>
      <c r="ES53">
        <f>IF(AND(ISNUMBER(ER53),逐级计算!$X$148&gt;-1),IF(逐级计算!$X$148=0,ER53+逐级计算!$C$148,ER53+逐级计算!$C$148-(10/(逐级计算!$Q$148*LN(10))*(MAX((LN(10^(逐级计算!$Q$148/10)-1)+逐级计算!$Q$148*(ER53-逐级计算!$P$148)*LN(10)/10),0)+LN(1+EXP(-ABS((LN(10^(逐级计算!$Q$148/10)-1)+逐级计算!$Q$148*(ER53-逐级计算!$P$148)*LN(10)/10))))))),"")</f>
        <v>13.7930365742081</v>
      </c>
      <c r="ET53">
        <f>IF(AND(ISNUMBER(ES53),逐级计算!$X$149&gt;-1),IF(逐级计算!$X$149=0,ES53+逐级计算!$C$149,ES53+逐级计算!$C$149-(10/(逐级计算!$Q$149*LN(10))*(MAX((LN(10^(逐级计算!$Q$149/10)-1)+逐级计算!$Q$149*(ES53-逐级计算!$P$149)*LN(10)/10),0)+LN(1+EXP(-ABS((LN(10^(逐级计算!$Q$149/10)-1)+逐级计算!$Q$149*(ES53-逐级计算!$P$149)*LN(10)/10))))))),"")</f>
        <v>13.7930365742081</v>
      </c>
      <c r="EU53">
        <f>IF(AND(ISNUMBER(ET53),逐级计算!$X$150&gt;-1),IF(逐级计算!$X$150=0,ET53+逐级计算!$C$150,ET53+逐级计算!$C$150-(10/(逐级计算!$Q$150*LN(10))*(MAX((LN(10^(逐级计算!$Q$150/10)-1)+逐级计算!$Q$150*(ET53-逐级计算!$P$150)*LN(10)/10),0)+LN(1+EXP(-ABS((LN(10^(逐级计算!$Q$150/10)-1)+逐级计算!$Q$150*(ET53-逐级计算!$P$150)*LN(10)/10))))))),"")</f>
        <v>13.7930365742081</v>
      </c>
      <c r="EV53">
        <f>IF(AND(ISNUMBER(EU53),逐级计算!$X$151&gt;-1),IF(逐级计算!$X$151=0,EU53+逐级计算!$C$151,EU53+逐级计算!$C$151-(10/(逐级计算!$Q$151*LN(10))*(MAX((LN(10^(逐级计算!$Q$151/10)-1)+逐级计算!$Q$151*(EU53-逐级计算!$P$151)*LN(10)/10),0)+LN(1+EXP(-ABS((LN(10^(逐级计算!$Q$151/10)-1)+逐级计算!$Q$151*(EU53-逐级计算!$P$151)*LN(10)/10))))))),"")</f>
        <v>13.7930365742081</v>
      </c>
      <c r="EW53">
        <f>IF(AND(ISNUMBER(EV53),逐级计算!$X$152&gt;-1),IF(逐级计算!$X$152=0,EV53+逐级计算!$C$152,EV53+逐级计算!$C$152-(10/(逐级计算!$Q$152*LN(10))*(MAX((LN(10^(逐级计算!$Q$152/10)-1)+逐级计算!$Q$152*(EV53-逐级计算!$P$152)*LN(10)/10),0)+LN(1+EXP(-ABS((LN(10^(逐级计算!$Q$152/10)-1)+逐级计算!$Q$152*(EV53-逐级计算!$P$152)*LN(10)/10))))))),"")</f>
        <v>13.7930365742081</v>
      </c>
      <c r="EX53">
        <f>IF(AND(ISNUMBER(EW53),逐级计算!$X$153&gt;-1),IF(逐级计算!$X$153=0,EW53+逐级计算!$C$153,EW53+逐级计算!$C$153-(10/(逐级计算!$Q$153*LN(10))*(MAX((LN(10^(逐级计算!$Q$153/10)-1)+逐级计算!$Q$153*(EW53-逐级计算!$P$153)*LN(10)/10),0)+LN(1+EXP(-ABS((LN(10^(逐级计算!$Q$153/10)-1)+逐级计算!$Q$153*(EW53-逐级计算!$P$153)*LN(10)/10))))))),"")</f>
        <v>13.7930365742081</v>
      </c>
      <c r="EY53">
        <f>IF(AND(ISNUMBER(EX53),逐级计算!$X$154&gt;-1),IF(逐级计算!$X$154=0,EX53+逐级计算!$C$154,EX53+逐级计算!$C$154-(10/(逐级计算!$Q$154*LN(10))*(MAX((LN(10^(逐级计算!$Q$154/10)-1)+逐级计算!$Q$154*(EX53-逐级计算!$P$154)*LN(10)/10),0)+LN(1+EXP(-ABS((LN(10^(逐级计算!$Q$154/10)-1)+逐级计算!$Q$154*(EX53-逐级计算!$P$154)*LN(10)/10))))))),"")</f>
        <v>13.7930365742081</v>
      </c>
      <c r="EZ53">
        <f>IF(AND(ISNUMBER(EY53),逐级计算!$X$155&gt;-1),IF(逐级计算!$X$155=0,EY53+逐级计算!$C$155,EY53+逐级计算!$C$155-(10/(逐级计算!$Q$155*LN(10))*(MAX((LN(10^(逐级计算!$Q$155/10)-1)+逐级计算!$Q$155*(EY53-逐级计算!$P$155)*LN(10)/10),0)+LN(1+EXP(-ABS((LN(10^(逐级计算!$Q$155/10)-1)+逐级计算!$Q$155*(EY53-逐级计算!$P$155)*LN(10)/10))))))),"")</f>
        <v>13.7930365742081</v>
      </c>
      <c r="FA53">
        <f>IF(AND(ISNUMBER(EZ53),逐级计算!$X$156&gt;-1),IF(逐级计算!$X$156=0,EZ53+逐级计算!$C$156,EZ53+逐级计算!$C$156-(10/(逐级计算!$Q$156*LN(10))*(MAX((LN(10^(逐级计算!$Q$156/10)-1)+逐级计算!$Q$156*(EZ53-逐级计算!$P$156)*LN(10)/10),0)+LN(1+EXP(-ABS((LN(10^(逐级计算!$Q$156/10)-1)+逐级计算!$Q$156*(EZ53-逐级计算!$P$156)*LN(10)/10))))))),"")</f>
        <v>13.7930365742081</v>
      </c>
      <c r="FB53">
        <f>IF(AND(ISNUMBER(FA53),逐级计算!$X$157&gt;-1),IF(逐级计算!$X$157=0,FA53+逐级计算!$C$157,FA53+逐级计算!$C$157-(10/(逐级计算!$Q$157*LN(10))*(MAX((LN(10^(逐级计算!$Q$157/10)-1)+逐级计算!$Q$157*(FA53-逐级计算!$P$157)*LN(10)/10),0)+LN(1+EXP(-ABS((LN(10^(逐级计算!$Q$157/10)-1)+逐级计算!$Q$157*(FA53-逐级计算!$P$157)*LN(10)/10))))))),"")</f>
        <v>13.7930365742081</v>
      </c>
      <c r="FC53">
        <f>IF(AND(ISNUMBER(FB53),逐级计算!$X$158&gt;-1),IF(逐级计算!$X$158=0,FB53+逐级计算!$C$158,FB53+逐级计算!$C$158-(10/(逐级计算!$Q$158*LN(10))*(MAX((LN(10^(逐级计算!$Q$158/10)-1)+逐级计算!$Q$158*(FB53-逐级计算!$P$158)*LN(10)/10),0)+LN(1+EXP(-ABS((LN(10^(逐级计算!$Q$158/10)-1)+逐级计算!$Q$158*(FB53-逐级计算!$P$158)*LN(10)/10))))))),"")</f>
        <v>13.7930365742081</v>
      </c>
      <c r="FD53">
        <f>IF(AND(ISNUMBER(FC53),逐级计算!$X$159&gt;-1),IF(逐级计算!$X$159=0,FC53+逐级计算!$C$159,FC53+逐级计算!$C$159-(10/(逐级计算!$Q$159*LN(10))*(MAX((LN(10^(逐级计算!$Q$159/10)-1)+逐级计算!$Q$159*(FC53-逐级计算!$P$159)*LN(10)/10),0)+LN(1+EXP(-ABS((LN(10^(逐级计算!$Q$159/10)-1)+逐级计算!$Q$159*(FC53-逐级计算!$P$159)*LN(10)/10))))))),"")</f>
        <v>13.7930365742081</v>
      </c>
      <c r="FE53">
        <f>IF(AND(ISNUMBER(FD53),逐级计算!$X$160&gt;-1),IF(逐级计算!$X$160=0,FD53+逐级计算!$C$160,FD53+逐级计算!$C$160-(10/(逐级计算!$Q$160*LN(10))*(MAX((LN(10^(逐级计算!$Q$160/10)-1)+逐级计算!$Q$160*(FD53-逐级计算!$P$160)*LN(10)/10),0)+LN(1+EXP(-ABS((LN(10^(逐级计算!$Q$160/10)-1)+逐级计算!$Q$160*(FD53-逐级计算!$P$160)*LN(10)/10))))))),"")</f>
        <v>13.7930365742081</v>
      </c>
      <c r="FF53">
        <f>IF(AND(ISNUMBER(FE53),逐级计算!$X$161&gt;-1),IF(逐级计算!$X$161=0,FE53+逐级计算!$C$161,FE53+逐级计算!$C$161-(10/(逐级计算!$Q$161*LN(10))*(MAX((LN(10^(逐级计算!$Q$161/10)-1)+逐级计算!$Q$161*(FE53-逐级计算!$P$161)*LN(10)/10),0)+LN(1+EXP(-ABS((LN(10^(逐级计算!$Q$161/10)-1)+逐级计算!$Q$161*(FE53-逐级计算!$P$161)*LN(10)/10))))))),"")</f>
        <v>13.7930365742081</v>
      </c>
      <c r="FG53">
        <f>IF(AND(ISNUMBER(FF53),逐级计算!$X$162&gt;-1),IF(逐级计算!$X$162=0,FF53+逐级计算!$C$162,FF53+逐级计算!$C$162-(10/(逐级计算!$Q$162*LN(10))*(MAX((LN(10^(逐级计算!$Q$162/10)-1)+逐级计算!$Q$162*(FF53-逐级计算!$P$162)*LN(10)/10),0)+LN(1+EXP(-ABS((LN(10^(逐级计算!$Q$162/10)-1)+逐级计算!$Q$162*(FF53-逐级计算!$P$162)*LN(10)/10))))))),"")</f>
        <v>13.7930365742081</v>
      </c>
      <c r="FH53">
        <f>IF(AND(ISNUMBER(FG53),逐级计算!$X$163&gt;-1),IF(逐级计算!$X$163=0,FG53+逐级计算!$C$163,FG53+逐级计算!$C$163-(10/(逐级计算!$Q$163*LN(10))*(MAX((LN(10^(逐级计算!$Q$163/10)-1)+逐级计算!$Q$163*(FG53-逐级计算!$P$163)*LN(10)/10),0)+LN(1+EXP(-ABS((LN(10^(逐级计算!$Q$163/10)-1)+逐级计算!$Q$163*(FG53-逐级计算!$P$163)*LN(10)/10))))))),"")</f>
        <v>13.7930365742081</v>
      </c>
      <c r="FI53">
        <f>IF(AND(ISNUMBER(FH53),逐级计算!$X$164&gt;-1),IF(逐级计算!$X$164=0,FH53+逐级计算!$C$164,FH53+逐级计算!$C$164-(10/(逐级计算!$Q$164*LN(10))*(MAX((LN(10^(逐级计算!$Q$164/10)-1)+逐级计算!$Q$164*(FH53-逐级计算!$P$164)*LN(10)/10),0)+LN(1+EXP(-ABS((LN(10^(逐级计算!$Q$164/10)-1)+逐级计算!$Q$164*(FH53-逐级计算!$P$164)*LN(10)/10))))))),"")</f>
        <v>13.7930365742081</v>
      </c>
      <c r="FJ53">
        <f>IF(AND(ISNUMBER(FI53),逐级计算!$X$165&gt;-1),IF(逐级计算!$X$165=0,FI53+逐级计算!$C$165,FI53+逐级计算!$C$165-(10/(逐级计算!$Q$165*LN(10))*(MAX((LN(10^(逐级计算!$Q$165/10)-1)+逐级计算!$Q$165*(FI53-逐级计算!$P$165)*LN(10)/10),0)+LN(1+EXP(-ABS((LN(10^(逐级计算!$Q$165/10)-1)+逐级计算!$Q$165*(FI53-逐级计算!$P$165)*LN(10)/10))))))),"")</f>
        <v>13.7930365742081</v>
      </c>
      <c r="FK53">
        <f>IF(AND(ISNUMBER(FJ53),逐级计算!$X$166&gt;-1),IF(逐级计算!$X$166=0,FJ53+逐级计算!$C$166,FJ53+逐级计算!$C$166-(10/(逐级计算!$Q$166*LN(10))*(MAX((LN(10^(逐级计算!$Q$166/10)-1)+逐级计算!$Q$166*(FJ53-逐级计算!$P$166)*LN(10)/10),0)+LN(1+EXP(-ABS((LN(10^(逐级计算!$Q$166/10)-1)+逐级计算!$Q$166*(FJ53-逐级计算!$P$166)*LN(10)/10))))))),"")</f>
        <v>13.7930365742081</v>
      </c>
      <c r="FL53">
        <f>IF(AND(ISNUMBER(FK53),逐级计算!$X$167&gt;-1),IF(逐级计算!$X$167=0,FK53+逐级计算!$C$167,FK53+逐级计算!$C$167-(10/(逐级计算!$Q$167*LN(10))*(MAX((LN(10^(逐级计算!$Q$167/10)-1)+逐级计算!$Q$167*(FK53-逐级计算!$P$167)*LN(10)/10),0)+LN(1+EXP(-ABS((LN(10^(逐级计算!$Q$167/10)-1)+逐级计算!$Q$167*(FK53-逐级计算!$P$167)*LN(10)/10))))))),"")</f>
        <v>13.7930365742081</v>
      </c>
      <c r="FM53">
        <f>IF(AND(ISNUMBER(FL53),逐级计算!$X$168&gt;-1),IF(逐级计算!$X$168=0,FL53+逐级计算!$C$168,FL53+逐级计算!$C$168-(10/(逐级计算!$Q$168*LN(10))*(MAX((LN(10^(逐级计算!$Q$168/10)-1)+逐级计算!$Q$168*(FL53-逐级计算!$P$168)*LN(10)/10),0)+LN(1+EXP(-ABS((LN(10^(逐级计算!$Q$168/10)-1)+逐级计算!$Q$168*(FL53-逐级计算!$P$168)*LN(10)/10))))))),"")</f>
        <v>13.7930365742081</v>
      </c>
      <c r="FN53">
        <f>IF(AND(ISNUMBER(FM53),逐级计算!$X$169&gt;-1),IF(逐级计算!$X$169=0,FM53+逐级计算!$C$169,FM53+逐级计算!$C$169-(10/(逐级计算!$Q$169*LN(10))*(MAX((LN(10^(逐级计算!$Q$169/10)-1)+逐级计算!$Q$169*(FM53-逐级计算!$P$169)*LN(10)/10),0)+LN(1+EXP(-ABS((LN(10^(逐级计算!$Q$169/10)-1)+逐级计算!$Q$169*(FM53-逐级计算!$P$169)*LN(10)/10))))))),"")</f>
        <v>13.7930365742081</v>
      </c>
      <c r="FO53">
        <f>IF(AND(ISNUMBER(FN53),逐级计算!$X$170&gt;-1),IF(逐级计算!$X$170=0,FN53+逐级计算!$C$170,FN53+逐级计算!$C$170-(10/(逐级计算!$Q$170*LN(10))*(MAX((LN(10^(逐级计算!$Q$170/10)-1)+逐级计算!$Q$170*(FN53-逐级计算!$P$170)*LN(10)/10),0)+LN(1+EXP(-ABS((LN(10^(逐级计算!$Q$170/10)-1)+逐级计算!$Q$170*(FN53-逐级计算!$P$170)*LN(10)/10))))))),"")</f>
        <v>13.7930365742081</v>
      </c>
      <c r="FP53">
        <f>IF(AND(ISNUMBER(FO53),逐级计算!$X$171&gt;-1),IF(逐级计算!$X$171=0,FO53+逐级计算!$C$171,FO53+逐级计算!$C$171-(10/(逐级计算!$Q$171*LN(10))*(MAX((LN(10^(逐级计算!$Q$171/10)-1)+逐级计算!$Q$171*(FO53-逐级计算!$P$171)*LN(10)/10),0)+LN(1+EXP(-ABS((LN(10^(逐级计算!$Q$171/10)-1)+逐级计算!$Q$171*(FO53-逐级计算!$P$171)*LN(10)/10))))))),"")</f>
        <v>13.7930365742081</v>
      </c>
      <c r="FQ53">
        <f>IF(AND(ISNUMBER(FP53),逐级计算!$X$172&gt;-1),IF(逐级计算!$X$172=0,FP53+逐级计算!$C$172,FP53+逐级计算!$C$172-(10/(逐级计算!$Q$172*LN(10))*(MAX((LN(10^(逐级计算!$Q$172/10)-1)+逐级计算!$Q$172*(FP53-逐级计算!$P$172)*LN(10)/10),0)+LN(1+EXP(-ABS((LN(10^(逐级计算!$Q$172/10)-1)+逐级计算!$Q$172*(FP53-逐级计算!$P$172)*LN(10)/10))))))),"")</f>
        <v>13.7930365742081</v>
      </c>
      <c r="FR53">
        <f>IF(AND(ISNUMBER(FQ53),逐级计算!$X$173&gt;-1),IF(逐级计算!$X$173=0,FQ53+逐级计算!$C$173,FQ53+逐级计算!$C$173-(10/(逐级计算!$Q$173*LN(10))*(MAX((LN(10^(逐级计算!$Q$173/10)-1)+逐级计算!$Q$173*(FQ53-逐级计算!$P$173)*LN(10)/10),0)+LN(1+EXP(-ABS((LN(10^(逐级计算!$Q$173/10)-1)+逐级计算!$Q$173*(FQ53-逐级计算!$P$173)*LN(10)/10))))))),"")</f>
        <v>13.7930365742081</v>
      </c>
      <c r="FS53">
        <f>IF(AND(ISNUMBER(FR53),逐级计算!$X$174&gt;-1),IF(逐级计算!$X$174=0,FR53+逐级计算!$C$174,FR53+逐级计算!$C$174-(10/(逐级计算!$Q$174*LN(10))*(MAX((LN(10^(逐级计算!$Q$174/10)-1)+逐级计算!$Q$174*(FR53-逐级计算!$P$174)*LN(10)/10),0)+LN(1+EXP(-ABS((LN(10^(逐级计算!$Q$174/10)-1)+逐级计算!$Q$174*(FR53-逐级计算!$P$174)*LN(10)/10))))))),"")</f>
        <v>13.7930365742081</v>
      </c>
      <c r="FT53">
        <f>IF(AND(ISNUMBER(FS53),逐级计算!$X$175&gt;-1),IF(逐级计算!$X$175=0,FS53+逐级计算!$C$175,FS53+逐级计算!$C$175-(10/(逐级计算!$Q$175*LN(10))*(MAX((LN(10^(逐级计算!$Q$175/10)-1)+逐级计算!$Q$175*(FS53-逐级计算!$P$175)*LN(10)/10),0)+LN(1+EXP(-ABS((LN(10^(逐级计算!$Q$175/10)-1)+逐级计算!$Q$175*(FS53-逐级计算!$P$175)*LN(10)/10))))))),"")</f>
        <v>13.7930365742081</v>
      </c>
      <c r="FU53">
        <f>IF(AND(ISNUMBER(FT53),逐级计算!$X$176&gt;-1),IF(逐级计算!$X$176=0,FT53+逐级计算!$C$176,FT53+逐级计算!$C$176-(10/(逐级计算!$Q$176*LN(10))*(MAX((LN(10^(逐级计算!$Q$176/10)-1)+逐级计算!$Q$176*(FT53-逐级计算!$P$176)*LN(10)/10),0)+LN(1+EXP(-ABS((LN(10^(逐级计算!$Q$176/10)-1)+逐级计算!$Q$176*(FT53-逐级计算!$P$176)*LN(10)/10))))))),"")</f>
        <v>13.7930365742081</v>
      </c>
      <c r="FV53">
        <f>IF(AND(ISNUMBER(FU53),逐级计算!$X$177&gt;-1),IF(逐级计算!$X$177=0,FU53+逐级计算!$C$177,FU53+逐级计算!$C$177-(10/(逐级计算!$Q$177*LN(10))*(MAX((LN(10^(逐级计算!$Q$177/10)-1)+逐级计算!$Q$177*(FU53-逐级计算!$P$177)*LN(10)/10),0)+LN(1+EXP(-ABS((LN(10^(逐级计算!$Q$177/10)-1)+逐级计算!$Q$177*(FU53-逐级计算!$P$177)*LN(10)/10))))))),"")</f>
        <v>13.7930365742081</v>
      </c>
      <c r="FW53">
        <f>IF(AND(ISNUMBER(FV53),逐级计算!$X$178&gt;-1),IF(逐级计算!$X$178=0,FV53+逐级计算!$C$178,FV53+逐级计算!$C$178-(10/(逐级计算!$Q$178*LN(10))*(MAX((LN(10^(逐级计算!$Q$178/10)-1)+逐级计算!$Q$178*(FV53-逐级计算!$P$178)*LN(10)/10),0)+LN(1+EXP(-ABS((LN(10^(逐级计算!$Q$178/10)-1)+逐级计算!$Q$178*(FV53-逐级计算!$P$178)*LN(10)/10))))))),"")</f>
        <v>13.7930365742081</v>
      </c>
      <c r="FX53">
        <f>IF(AND(ISNUMBER(FW53),逐级计算!$X$179&gt;-1),IF(逐级计算!$X$179=0,FW53+逐级计算!$C$179,FW53+逐级计算!$C$179-(10/(逐级计算!$Q$179*LN(10))*(MAX((LN(10^(逐级计算!$Q$179/10)-1)+逐级计算!$Q$179*(FW53-逐级计算!$P$179)*LN(10)/10),0)+LN(1+EXP(-ABS((LN(10^(逐级计算!$Q$179/10)-1)+逐级计算!$Q$179*(FW53-逐级计算!$P$179)*LN(10)/10))))))),"")</f>
        <v>13.7930365742081</v>
      </c>
      <c r="FY53">
        <f>IF(AND(ISNUMBER(FX53),逐级计算!$X$180&gt;-1),IF(逐级计算!$X$180=0,FX53+逐级计算!$C$180,FX53+逐级计算!$C$180-(10/(逐级计算!$Q$180*LN(10))*(MAX((LN(10^(逐级计算!$Q$180/10)-1)+逐级计算!$Q$180*(FX53-逐级计算!$P$180)*LN(10)/10),0)+LN(1+EXP(-ABS((LN(10^(逐级计算!$Q$180/10)-1)+逐级计算!$Q$180*(FX53-逐级计算!$P$180)*LN(10)/10))))))),"")</f>
        <v>13.7930365742081</v>
      </c>
      <c r="FZ53">
        <f>IF(AND(ISNUMBER(FY53),逐级计算!$X$181&gt;-1),IF(逐级计算!$X$181=0,FY53+逐级计算!$C$181,FY53+逐级计算!$C$181-(10/(逐级计算!$Q$181*LN(10))*(MAX((LN(10^(逐级计算!$Q$181/10)-1)+逐级计算!$Q$181*(FY53-逐级计算!$P$181)*LN(10)/10),0)+LN(1+EXP(-ABS((LN(10^(逐级计算!$Q$181/10)-1)+逐级计算!$Q$181*(FY53-逐级计算!$P$181)*LN(10)/10))))))),"")</f>
        <v>13.7930365742081</v>
      </c>
      <c r="GA53">
        <f>IF(AND(ISNUMBER(FZ53),逐级计算!$X$182&gt;-1),IF(逐级计算!$X$182=0,FZ53+逐级计算!$C$182,FZ53+逐级计算!$C$182-(10/(逐级计算!$Q$182*LN(10))*(MAX((LN(10^(逐级计算!$Q$182/10)-1)+逐级计算!$Q$182*(FZ53-逐级计算!$P$182)*LN(10)/10),0)+LN(1+EXP(-ABS((LN(10^(逐级计算!$Q$182/10)-1)+逐级计算!$Q$182*(FZ53-逐级计算!$P$182)*LN(10)/10))))))),"")</f>
        <v>13.7930365742081</v>
      </c>
      <c r="GB53">
        <f>IF(AND(ISNUMBER(GA53),逐级计算!$X$183&gt;-1),IF(逐级计算!$X$183=0,GA53+逐级计算!$C$183,GA53+逐级计算!$C$183-(10/(逐级计算!$Q$183*LN(10))*(MAX((LN(10^(逐级计算!$Q$183/10)-1)+逐级计算!$Q$183*(GA53-逐级计算!$P$183)*LN(10)/10),0)+LN(1+EXP(-ABS((LN(10^(逐级计算!$Q$183/10)-1)+逐级计算!$Q$183*(GA53-逐级计算!$P$183)*LN(10)/10))))))),"")</f>
        <v>13.7930365742081</v>
      </c>
      <c r="GC53">
        <f>IF(AND(ISNUMBER(GB53),逐级计算!$X$184&gt;-1),IF(逐级计算!$X$184=0,GB53+逐级计算!$C$184,GB53+逐级计算!$C$184-(10/(逐级计算!$Q$184*LN(10))*(MAX((LN(10^(逐级计算!$Q$184/10)-1)+逐级计算!$Q$184*(GB53-逐级计算!$P$184)*LN(10)/10),0)+LN(1+EXP(-ABS((LN(10^(逐级计算!$Q$184/10)-1)+逐级计算!$Q$184*(GB53-逐级计算!$P$184)*LN(10)/10))))))),"")</f>
        <v>13.7930365742081</v>
      </c>
      <c r="GD53">
        <f>IF(AND(ISNUMBER(GC53),逐级计算!$X$185&gt;-1),IF(逐级计算!$X$185=0,GC53+逐级计算!$C$185,GC53+逐级计算!$C$185-(10/(逐级计算!$Q$185*LN(10))*(MAX((LN(10^(逐级计算!$Q$185/10)-1)+逐级计算!$Q$185*(GC53-逐级计算!$P$185)*LN(10)/10),0)+LN(1+EXP(-ABS((LN(10^(逐级计算!$Q$185/10)-1)+逐级计算!$Q$185*(GC53-逐级计算!$P$185)*LN(10)/10))))))),"")</f>
        <v>13.7930365742081</v>
      </c>
      <c r="GE53">
        <f>IF(AND(ISNUMBER(GD53),逐级计算!$X$186&gt;-1),IF(逐级计算!$X$186=0,GD53+逐级计算!$C$186,GD53+逐级计算!$C$186-(10/(逐级计算!$Q$186*LN(10))*(MAX((LN(10^(逐级计算!$Q$186/10)-1)+逐级计算!$Q$186*(GD53-逐级计算!$P$186)*LN(10)/10),0)+LN(1+EXP(-ABS((LN(10^(逐级计算!$Q$186/10)-1)+逐级计算!$Q$186*(GD53-逐级计算!$P$186)*LN(10)/10))))))),"")</f>
        <v>13.7930365742081</v>
      </c>
      <c r="GF53">
        <f>IF(AND(ISNUMBER(GE53),逐级计算!$X$187&gt;-1),IF(逐级计算!$X$187=0,GE53+逐级计算!$C$187,GE53+逐级计算!$C$187-(10/(逐级计算!$Q$187*LN(10))*(MAX((LN(10^(逐级计算!$Q$187/10)-1)+逐级计算!$Q$187*(GE53-逐级计算!$P$187)*LN(10)/10),0)+LN(1+EXP(-ABS((LN(10^(逐级计算!$Q$187/10)-1)+逐级计算!$Q$187*(GE53-逐级计算!$P$187)*LN(10)/10))))))),"")</f>
        <v>13.7930365742081</v>
      </c>
      <c r="GG53">
        <f>IF(AND(ISNUMBER(GF53),逐级计算!$X$188&gt;-1),IF(逐级计算!$X$188=0,GF53+逐级计算!$C$188,GF53+逐级计算!$C$188-(10/(逐级计算!$Q$188*LN(10))*(MAX((LN(10^(逐级计算!$Q$188/10)-1)+逐级计算!$Q$188*(GF53-逐级计算!$P$188)*LN(10)/10),0)+LN(1+EXP(-ABS((LN(10^(逐级计算!$Q$188/10)-1)+逐级计算!$Q$188*(GF53-逐级计算!$P$188)*LN(10)/10))))))),"")</f>
        <v>13.7930365742081</v>
      </c>
      <c r="GH53">
        <f>IF(AND(ISNUMBER(GG53),逐级计算!$X$189&gt;-1),IF(逐级计算!$X$189=0,GG53+逐级计算!$C$189,GG53+逐级计算!$C$189-(10/(逐级计算!$Q$189*LN(10))*(MAX((LN(10^(逐级计算!$Q$189/10)-1)+逐级计算!$Q$189*(GG53-逐级计算!$P$189)*LN(10)/10),0)+LN(1+EXP(-ABS((LN(10^(逐级计算!$Q$189/10)-1)+逐级计算!$Q$189*(GG53-逐级计算!$P$189)*LN(10)/10))))))),"")</f>
        <v>13.7930365742081</v>
      </c>
      <c r="GI53">
        <f>IF(AND(ISNUMBER(GH53),逐级计算!$X$190&gt;-1),IF(逐级计算!$X$190=0,GH53+逐级计算!$C$190,GH53+逐级计算!$C$190-(10/(逐级计算!$Q$190*LN(10))*(MAX((LN(10^(逐级计算!$Q$190/10)-1)+逐级计算!$Q$190*(GH53-逐级计算!$P$190)*LN(10)/10),0)+LN(1+EXP(-ABS((LN(10^(逐级计算!$Q$190/10)-1)+逐级计算!$Q$190*(GH53-逐级计算!$P$190)*LN(10)/10))))))),"")</f>
        <v>13.7930365742081</v>
      </c>
      <c r="GJ53">
        <f>IF(AND(ISNUMBER(GI53),逐级计算!$X$191&gt;-1),IF(逐级计算!$X$191=0,GI53+逐级计算!$C$191,GI53+逐级计算!$C$191-(10/(逐级计算!$Q$191*LN(10))*(MAX((LN(10^(逐级计算!$Q$191/10)-1)+逐级计算!$Q$191*(GI53-逐级计算!$P$191)*LN(10)/10),0)+LN(1+EXP(-ABS((LN(10^(逐级计算!$Q$191/10)-1)+逐级计算!$Q$191*(GI53-逐级计算!$P$191)*LN(10)/10))))))),"")</f>
        <v>13.7930365742081</v>
      </c>
      <c r="GK53">
        <f>IF(AND(ISNUMBER(GJ53),逐级计算!$X$192&gt;-1),IF(逐级计算!$X$192=0,GJ53+逐级计算!$C$192,GJ53+逐级计算!$C$192-(10/(逐级计算!$Q$192*LN(10))*(MAX((LN(10^(逐级计算!$Q$192/10)-1)+逐级计算!$Q$192*(GJ53-逐级计算!$P$192)*LN(10)/10),0)+LN(1+EXP(-ABS((LN(10^(逐级计算!$Q$192/10)-1)+逐级计算!$Q$192*(GJ53-逐级计算!$P$192)*LN(10)/10))))))),"")</f>
        <v>13.7930365742081</v>
      </c>
      <c r="GL53">
        <f>IF(AND(ISNUMBER(GK53),逐级计算!$X$193&gt;-1),IF(逐级计算!$X$193=0,GK53+逐级计算!$C$193,GK53+逐级计算!$C$193-(10/(逐级计算!$Q$193*LN(10))*(MAX((LN(10^(逐级计算!$Q$193/10)-1)+逐级计算!$Q$193*(GK53-逐级计算!$P$193)*LN(10)/10),0)+LN(1+EXP(-ABS((LN(10^(逐级计算!$Q$193/10)-1)+逐级计算!$Q$193*(GK53-逐级计算!$P$193)*LN(10)/10))))))),"")</f>
        <v>13.7930365742081</v>
      </c>
      <c r="GM53">
        <f>IF(AND(ISNUMBER(GL53),逐级计算!$X$194&gt;-1),IF(逐级计算!$X$194=0,GL53+逐级计算!$C$194,GL53+逐级计算!$C$194-(10/(逐级计算!$Q$194*LN(10))*(MAX((LN(10^(逐级计算!$Q$194/10)-1)+逐级计算!$Q$194*(GL53-逐级计算!$P$194)*LN(10)/10),0)+LN(1+EXP(-ABS((LN(10^(逐级计算!$Q$194/10)-1)+逐级计算!$Q$194*(GL53-逐级计算!$P$194)*LN(10)/10))))))),"")</f>
        <v>13.7930365742081</v>
      </c>
      <c r="GN53">
        <f>IF(AND(ISNUMBER(GM53),逐级计算!$X$195&gt;-1),IF(逐级计算!$X$195=0,GM53+逐级计算!$C$195,GM53+逐级计算!$C$195-(10/(逐级计算!$Q$195*LN(10))*(MAX((LN(10^(逐级计算!$Q$195/10)-1)+逐级计算!$Q$195*(GM53-逐级计算!$P$195)*LN(10)/10),0)+LN(1+EXP(-ABS((LN(10^(逐级计算!$Q$195/10)-1)+逐级计算!$Q$195*(GM53-逐级计算!$P$195)*LN(10)/10))))))),"")</f>
        <v>13.7930365742081</v>
      </c>
      <c r="GO53">
        <f>IF(AND(ISNUMBER(GN53),逐级计算!$X$196&gt;-1),IF(逐级计算!$X$196=0,GN53+逐级计算!$C$196,GN53+逐级计算!$C$196-(10/(逐级计算!$Q$196*LN(10))*(MAX((LN(10^(逐级计算!$Q$196/10)-1)+逐级计算!$Q$196*(GN53-逐级计算!$P$196)*LN(10)/10),0)+LN(1+EXP(-ABS((LN(10^(逐级计算!$Q$196/10)-1)+逐级计算!$Q$196*(GN53-逐级计算!$P$196)*LN(10)/10))))))),"")</f>
        <v>13.7930365742081</v>
      </c>
      <c r="GP53">
        <f>IF(AND(ISNUMBER(GO53),逐级计算!$X$197&gt;-1),IF(逐级计算!$X$197=0,GO53+逐级计算!$C$197,GO53+逐级计算!$C$197-(10/(逐级计算!$Q$197*LN(10))*(MAX((LN(10^(逐级计算!$Q$197/10)-1)+逐级计算!$Q$197*(GO53-逐级计算!$P$197)*LN(10)/10),0)+LN(1+EXP(-ABS((LN(10^(逐级计算!$Q$197/10)-1)+逐级计算!$Q$197*(GO53-逐级计算!$P$197)*LN(10)/10))))))),"")</f>
        <v>13.7930365742081</v>
      </c>
      <c r="GQ53">
        <f>IF(AND(ISNUMBER(GP53),逐级计算!$X$198&gt;-1),IF(逐级计算!$X$198=0,GP53+逐级计算!$C$198,GP53+逐级计算!$C$198-(10/(逐级计算!$Q$198*LN(10))*(MAX((LN(10^(逐级计算!$Q$198/10)-1)+逐级计算!$Q$198*(GP53-逐级计算!$P$198)*LN(10)/10),0)+LN(1+EXP(-ABS((LN(10^(逐级计算!$Q$198/10)-1)+逐级计算!$Q$198*(GP53-逐级计算!$P$198)*LN(10)/10))))))),"")</f>
        <v>13.7930365742081</v>
      </c>
      <c r="GR53">
        <f>IF(AND(ISNUMBER(GQ53),逐级计算!$X$199&gt;-1),IF(逐级计算!$X$199=0,GQ53+逐级计算!$C$199,GQ53+逐级计算!$C$199-(10/(逐级计算!$Q$199*LN(10))*(MAX((LN(10^(逐级计算!$Q$199/10)-1)+逐级计算!$Q$199*(GQ53-逐级计算!$P$199)*LN(10)/10),0)+LN(1+EXP(-ABS((LN(10^(逐级计算!$Q$199/10)-1)+逐级计算!$Q$199*(GQ53-逐级计算!$P$199)*LN(10)/10))))))),"")</f>
        <v>13.7930365742081</v>
      </c>
      <c r="GS53">
        <f>IF(AND(ISNUMBER(GR53),逐级计算!$X$200&gt;-1),IF(逐级计算!$X$200=0,GR53+逐级计算!$C$200,GR53+逐级计算!$C$200-(10/(逐级计算!$Q$200*LN(10))*(MAX((LN(10^(逐级计算!$Q$200/10)-1)+逐级计算!$Q$200*(GR53-逐级计算!$P$200)*LN(10)/10),0)+LN(1+EXP(-ABS((LN(10^(逐级计算!$Q$200/10)-1)+逐级计算!$Q$200*(GR53-逐级计算!$P$200)*LN(10)/10))))))),"")</f>
        <v>13.7930365742081</v>
      </c>
      <c r="GT53">
        <f>IF(AND(ISNUMBER(GS53),逐级计算!$X$201&gt;-1),IF(逐级计算!$X$201=0,GS53+逐级计算!$C$201,GS53+逐级计算!$C$201-(10/(逐级计算!$Q$201*LN(10))*(MAX((LN(10^(逐级计算!$Q$201/10)-1)+逐级计算!$Q$201*(GS53-逐级计算!$P$201)*LN(10)/10),0)+LN(1+EXP(-ABS((LN(10^(逐级计算!$Q$201/10)-1)+逐级计算!$Q$201*(GS53-逐级计算!$P$201)*LN(10)/10))))))),"")</f>
        <v>13.7930365742081</v>
      </c>
      <c r="GU53">
        <f>IF(AND(ISNUMBER(GT53),逐级计算!$X$202&gt;-1),IF(逐级计算!$X$202=0,GT53+逐级计算!$C$202,GT53+逐级计算!$C$202-(10/(逐级计算!$Q$202*LN(10))*(MAX((LN(10^(逐级计算!$Q$202/10)-1)+逐级计算!$Q$202*(GT53-逐级计算!$P$202)*LN(10)/10),0)+LN(1+EXP(-ABS((LN(10^(逐级计算!$Q$202/10)-1)+逐级计算!$Q$202*(GT53-逐级计算!$P$202)*LN(10)/10))))))),"")</f>
        <v>13.7930365742081</v>
      </c>
      <c r="GV53">
        <f>IF(AND(ISNUMBER(GU53),逐级计算!$X$203&gt;-1),IF(逐级计算!$X$203=0,GU53+逐级计算!$C$203,GU53+逐级计算!$C$203-(10/(逐级计算!$Q$203*LN(10))*(MAX((LN(10^(逐级计算!$Q$203/10)-1)+逐级计算!$Q$203*(GU53-逐级计算!$P$203)*LN(10)/10),0)+LN(1+EXP(-ABS((LN(10^(逐级计算!$Q$203/10)-1)+逐级计算!$Q$203*(GU53-逐级计算!$P$203)*LN(10)/10))))))),"")</f>
        <v>13.7930365742081</v>
      </c>
      <c r="GW53">
        <f t="shared" si="2"/>
        <v>-5.20696342579086</v>
      </c>
    </row>
    <row r="54" spans="1:205">
      <c r="A54">
        <v>47</v>
      </c>
      <c r="B54">
        <f t="shared" si="1"/>
        <v>-5.20696342579235</v>
      </c>
      <c r="C54">
        <f t="shared" si="0"/>
        <v>-5.20696342579161</v>
      </c>
      <c r="D54">
        <f>IF(AND(ISNUMBER(C54),ISNUMBER(逐级计算!$E$203),ISNUMBER(GV54)),C54+逐级计算!$E$203-GV54,"")</f>
        <v>0.999999999999822</v>
      </c>
      <c r="E54">
        <f>IF(AND(ISNUMBER(C54),逐级计算!$X$4&gt;-1),IF(逐级计算!$X$4=0,C54+逐级计算!$C$4,C54+逐级计算!$C$4-(10/(逐级计算!$Q$4*LN(10))*(MAX((LN(10^(逐级计算!$Q$4/10)-1)+逐级计算!$Q$4*(C54-逐级计算!$P$4)*LN(10)/10),0)+LN(1+EXP(-ABS((LN(10^(逐级计算!$Q$4/10)-1)+逐级计算!$Q$4*(C54-逐级计算!$P$4)*LN(10)/10))))))),"")</f>
        <v>4.68053982928264</v>
      </c>
      <c r="F54">
        <f>IF(AND(ISNUMBER(E54),逐级计算!$X$5&gt;-1),IF(逐级计算!$X$5=0,E54+逐级计算!$C$5,E54+逐级计算!$C$5-(10/(逐级计算!$Q$5*LN(10))*(MAX((LN(10^(逐级计算!$Q$5/10)-1)+逐级计算!$Q$5*(E54-逐级计算!$P$5)*LN(10)/10),0)+LN(1+EXP(-ABS((LN(10^(逐级计算!$Q$5/10)-1)+逐级计算!$Q$5*(E54-逐级计算!$P$5)*LN(10)/10))))))),"")</f>
        <v>13.7930365742086</v>
      </c>
      <c r="G54">
        <f>IF(AND(ISNUMBER(F54),逐级计算!$X$6&gt;-1),IF(逐级计算!$X$6=0,F54+逐级计算!$C$6,F54+逐级计算!$C$6-(10/(逐级计算!$Q$6*LN(10))*(MAX((LN(10^(逐级计算!$Q$6/10)-1)+逐级计算!$Q$6*(F54-逐级计算!$P$6)*LN(10)/10),0)+LN(1+EXP(-ABS((LN(10^(逐级计算!$Q$6/10)-1)+逐级计算!$Q$6*(F54-逐级计算!$P$6)*LN(10)/10))))))),"")</f>
        <v>13.7930365742086</v>
      </c>
      <c r="H54">
        <f>IF(AND(ISNUMBER(G54),逐级计算!$X$7&gt;-1),IF(逐级计算!$X$7=0,G54+逐级计算!$C$7,G54+逐级计算!$C$7-(10/(逐级计算!$Q$7*LN(10))*(MAX((LN(10^(逐级计算!$Q$7/10)-1)+逐级计算!$Q$7*(G54-逐级计算!$P$7)*LN(10)/10),0)+LN(1+EXP(-ABS((LN(10^(逐级计算!$Q$7/10)-1)+逐级计算!$Q$7*(G54-逐级计算!$P$7)*LN(10)/10))))))),"")</f>
        <v>13.7930365742086</v>
      </c>
      <c r="I54">
        <f>IF(AND(ISNUMBER(H54),逐级计算!$X$8&gt;-1),IF(逐级计算!$X$8=0,H54+逐级计算!$C$8,H54+逐级计算!$C$8-(10/(逐级计算!$Q$8*LN(10))*(MAX((LN(10^(逐级计算!$Q$8/10)-1)+逐级计算!$Q$8*(H54-逐级计算!$P$8)*LN(10)/10),0)+LN(1+EXP(-ABS((LN(10^(逐级计算!$Q$8/10)-1)+逐级计算!$Q$8*(H54-逐级计算!$P$8)*LN(10)/10))))))),"")</f>
        <v>13.7930365742086</v>
      </c>
      <c r="J54">
        <f>IF(AND(ISNUMBER(I54),逐级计算!$X$9&gt;-1),IF(逐级计算!$X$9=0,I54+逐级计算!$C$9,I54+逐级计算!$C$9-(10/(逐级计算!$Q$9*LN(10))*(MAX((LN(10^(逐级计算!$Q$9/10)-1)+逐级计算!$Q$9*(I54-逐级计算!$P$9)*LN(10)/10),0)+LN(1+EXP(-ABS((LN(10^(逐级计算!$Q$9/10)-1)+逐级计算!$Q$9*(I54-逐级计算!$P$9)*LN(10)/10))))))),"")</f>
        <v>13.7930365742086</v>
      </c>
      <c r="K54">
        <f>IF(AND(ISNUMBER(J54),逐级计算!$X$10&gt;-1),IF(逐级计算!$X$10=0,J54+逐级计算!$C$10,J54+逐级计算!$C$10-(10/(逐级计算!$Q$10*LN(10))*(MAX((LN(10^(逐级计算!$Q$10/10)-1)+逐级计算!$Q$10*(J54-逐级计算!$P$10)*LN(10)/10),0)+LN(1+EXP(-ABS((LN(10^(逐级计算!$Q$10/10)-1)+逐级计算!$Q$10*(J54-逐级计算!$P$10)*LN(10)/10))))))),"")</f>
        <v>13.7930365742086</v>
      </c>
      <c r="L54">
        <f>IF(AND(ISNUMBER(K54),逐级计算!$X$11&gt;-1),IF(逐级计算!$X$11=0,K54+逐级计算!$C$11,K54+逐级计算!$C$11-(10/(逐级计算!$Q$11*LN(10))*(MAX((LN(10^(逐级计算!$Q$11/10)-1)+逐级计算!$Q$11*(K54-逐级计算!$P$11)*LN(10)/10),0)+LN(1+EXP(-ABS((LN(10^(逐级计算!$Q$11/10)-1)+逐级计算!$Q$11*(K54-逐级计算!$P$11)*LN(10)/10))))))),"")</f>
        <v>13.7930365742086</v>
      </c>
      <c r="M54">
        <f>IF(AND(ISNUMBER(L54),逐级计算!$X$12&gt;-1),IF(逐级计算!$X$12=0,L54+逐级计算!$C$12,L54+逐级计算!$C$12-(10/(逐级计算!$Q$12*LN(10))*(MAX((LN(10^(逐级计算!$Q$12/10)-1)+逐级计算!$Q$12*(L54-逐级计算!$P$12)*LN(10)/10),0)+LN(1+EXP(-ABS((LN(10^(逐级计算!$Q$12/10)-1)+逐级计算!$Q$12*(L54-逐级计算!$P$12)*LN(10)/10))))))),"")</f>
        <v>13.7930365742086</v>
      </c>
      <c r="N54">
        <f>IF(AND(ISNUMBER(M54),逐级计算!$X$13&gt;-1),IF(逐级计算!$X$13=0,M54+逐级计算!$C$13,M54+逐级计算!$C$13-(10/(逐级计算!$Q$13*LN(10))*(MAX((LN(10^(逐级计算!$Q$13/10)-1)+逐级计算!$Q$13*(M54-逐级计算!$P$13)*LN(10)/10),0)+LN(1+EXP(-ABS((LN(10^(逐级计算!$Q$13/10)-1)+逐级计算!$Q$13*(M54-逐级计算!$P$13)*LN(10)/10))))))),"")</f>
        <v>13.7930365742086</v>
      </c>
      <c r="O54">
        <f>IF(AND(ISNUMBER(N54),逐级计算!$X$14&gt;-1),IF(逐级计算!$X$14=0,N54+逐级计算!$C$14,N54+逐级计算!$C$14-(10/(逐级计算!$Q$14*LN(10))*(MAX((LN(10^(逐级计算!$Q$14/10)-1)+逐级计算!$Q$14*(N54-逐级计算!$P$14)*LN(10)/10),0)+LN(1+EXP(-ABS((LN(10^(逐级计算!$Q$14/10)-1)+逐级计算!$Q$14*(N54-逐级计算!$P$14)*LN(10)/10))))))),"")</f>
        <v>13.7930365742086</v>
      </c>
      <c r="P54">
        <f>IF(AND(ISNUMBER(O54),逐级计算!$X$15&gt;-1),IF(逐级计算!$X$15=0,O54+逐级计算!$C$15,O54+逐级计算!$C$15-(10/(逐级计算!$Q$15*LN(10))*(MAX((LN(10^(逐级计算!$Q$15/10)-1)+逐级计算!$Q$15*(O54-逐级计算!$P$15)*LN(10)/10),0)+LN(1+EXP(-ABS((LN(10^(逐级计算!$Q$15/10)-1)+逐级计算!$Q$15*(O54-逐级计算!$P$15)*LN(10)/10))))))),"")</f>
        <v>13.7930365742086</v>
      </c>
      <c r="Q54">
        <f>IF(AND(ISNUMBER(P54),逐级计算!$X$16&gt;-1),IF(逐级计算!$X$16=0,P54+逐级计算!$C$16,P54+逐级计算!$C$16-(10/(逐级计算!$Q$16*LN(10))*(MAX((LN(10^(逐级计算!$Q$16/10)-1)+逐级计算!$Q$16*(P54-逐级计算!$P$16)*LN(10)/10),0)+LN(1+EXP(-ABS((LN(10^(逐级计算!$Q$16/10)-1)+逐级计算!$Q$16*(P54-逐级计算!$P$16)*LN(10)/10))))))),"")</f>
        <v>13.7930365742086</v>
      </c>
      <c r="R54">
        <f>IF(AND(ISNUMBER(Q54),逐级计算!$X$17&gt;-1),IF(逐级计算!$X$17=0,Q54+逐级计算!$C$17,Q54+逐级计算!$C$17-(10/(逐级计算!$Q$17*LN(10))*(MAX((LN(10^(逐级计算!$Q$17/10)-1)+逐级计算!$Q$17*(Q54-逐级计算!$P$17)*LN(10)/10),0)+LN(1+EXP(-ABS((LN(10^(逐级计算!$Q$17/10)-1)+逐级计算!$Q$17*(Q54-逐级计算!$P$17)*LN(10)/10))))))),"")</f>
        <v>13.7930365742086</v>
      </c>
      <c r="S54">
        <f>IF(AND(ISNUMBER(R54),逐级计算!$X$18&gt;-1),IF(逐级计算!$X$18=0,R54+逐级计算!$C$18,R54+逐级计算!$C$18-(10/(逐级计算!$Q$18*LN(10))*(MAX((LN(10^(逐级计算!$Q$18/10)-1)+逐级计算!$Q$18*(R54-逐级计算!$P$18)*LN(10)/10),0)+LN(1+EXP(-ABS((LN(10^(逐级计算!$Q$18/10)-1)+逐级计算!$Q$18*(R54-逐级计算!$P$18)*LN(10)/10))))))),"")</f>
        <v>13.7930365742086</v>
      </c>
      <c r="T54">
        <f>IF(AND(ISNUMBER(S54),逐级计算!$X$19&gt;-1),IF(逐级计算!$X$19=0,S54+逐级计算!$C$19,S54+逐级计算!$C$19-(10/(逐级计算!$Q$19*LN(10))*(MAX((LN(10^(逐级计算!$Q$19/10)-1)+逐级计算!$Q$19*(S54-逐级计算!$P$19)*LN(10)/10),0)+LN(1+EXP(-ABS((LN(10^(逐级计算!$Q$19/10)-1)+逐级计算!$Q$19*(S54-逐级计算!$P$19)*LN(10)/10))))))),"")</f>
        <v>13.7930365742086</v>
      </c>
      <c r="U54">
        <f>IF(AND(ISNUMBER(T54),逐级计算!$X$20&gt;-1),IF(逐级计算!$X$20=0,T54+逐级计算!$C$20,T54+逐级计算!$C$20-(10/(逐级计算!$Q$20*LN(10))*(MAX((LN(10^(逐级计算!$Q$20/10)-1)+逐级计算!$Q$20*(T54-逐级计算!$P$20)*LN(10)/10),0)+LN(1+EXP(-ABS((LN(10^(逐级计算!$Q$20/10)-1)+逐级计算!$Q$20*(T54-逐级计算!$P$20)*LN(10)/10))))))),"")</f>
        <v>13.7930365742086</v>
      </c>
      <c r="V54">
        <f>IF(AND(ISNUMBER(U54),逐级计算!$X$21&gt;-1),IF(逐级计算!$X$21=0,U54+逐级计算!$C$21,U54+逐级计算!$C$21-(10/(逐级计算!$Q$21*LN(10))*(MAX((LN(10^(逐级计算!$Q$21/10)-1)+逐级计算!$Q$21*(U54-逐级计算!$P$21)*LN(10)/10),0)+LN(1+EXP(-ABS((LN(10^(逐级计算!$Q$21/10)-1)+逐级计算!$Q$21*(U54-逐级计算!$P$21)*LN(10)/10))))))),"")</f>
        <v>13.7930365742086</v>
      </c>
      <c r="W54">
        <f>IF(AND(ISNUMBER(V54),逐级计算!$X$22&gt;-1),IF(逐级计算!$X$22=0,V54+逐级计算!$C$22,V54+逐级计算!$C$22-(10/(逐级计算!$Q$22*LN(10))*(MAX((LN(10^(逐级计算!$Q$22/10)-1)+逐级计算!$Q$22*(V54-逐级计算!$P$22)*LN(10)/10),0)+LN(1+EXP(-ABS((LN(10^(逐级计算!$Q$22/10)-1)+逐级计算!$Q$22*(V54-逐级计算!$P$22)*LN(10)/10))))))),"")</f>
        <v>13.7930365742086</v>
      </c>
      <c r="X54">
        <f>IF(AND(ISNUMBER(W54),逐级计算!$X$23&gt;-1),IF(逐级计算!$X$23=0,W54+逐级计算!$C$23,W54+逐级计算!$C$23-(10/(逐级计算!$Q$23*LN(10))*(MAX((LN(10^(逐级计算!$Q$23/10)-1)+逐级计算!$Q$23*(W54-逐级计算!$P$23)*LN(10)/10),0)+LN(1+EXP(-ABS((LN(10^(逐级计算!$Q$23/10)-1)+逐级计算!$Q$23*(W54-逐级计算!$P$23)*LN(10)/10))))))),"")</f>
        <v>13.7930365742086</v>
      </c>
      <c r="Y54">
        <f>IF(AND(ISNUMBER(X54),逐级计算!$X$24&gt;-1),IF(逐级计算!$X$24=0,X54+逐级计算!$C$24,X54+逐级计算!$C$24-(10/(逐级计算!$Q$24*LN(10))*(MAX((LN(10^(逐级计算!$Q$24/10)-1)+逐级计算!$Q$24*(X54-逐级计算!$P$24)*LN(10)/10),0)+LN(1+EXP(-ABS((LN(10^(逐级计算!$Q$24/10)-1)+逐级计算!$Q$24*(X54-逐级计算!$P$24)*LN(10)/10))))))),"")</f>
        <v>13.7930365742086</v>
      </c>
      <c r="Z54">
        <f>IF(AND(ISNUMBER(Y54),逐级计算!$X$25&gt;-1),IF(逐级计算!$X$25=0,Y54+逐级计算!$C$25,Y54+逐级计算!$C$25-(10/(逐级计算!$Q$25*LN(10))*(MAX((LN(10^(逐级计算!$Q$25/10)-1)+逐级计算!$Q$25*(Y54-逐级计算!$P$25)*LN(10)/10),0)+LN(1+EXP(-ABS((LN(10^(逐级计算!$Q$25/10)-1)+逐级计算!$Q$25*(Y54-逐级计算!$P$25)*LN(10)/10))))))),"")</f>
        <v>13.7930365742086</v>
      </c>
      <c r="AA54">
        <f>IF(AND(ISNUMBER(Z54),逐级计算!$X$26&gt;-1),IF(逐级计算!$X$26=0,Z54+逐级计算!$C$26,Z54+逐级计算!$C$26-(10/(逐级计算!$Q$26*LN(10))*(MAX((LN(10^(逐级计算!$Q$26/10)-1)+逐级计算!$Q$26*(Z54-逐级计算!$P$26)*LN(10)/10),0)+LN(1+EXP(-ABS((LN(10^(逐级计算!$Q$26/10)-1)+逐级计算!$Q$26*(Z54-逐级计算!$P$26)*LN(10)/10))))))),"")</f>
        <v>13.7930365742086</v>
      </c>
      <c r="AB54">
        <f>IF(AND(ISNUMBER(AA54),逐级计算!$X$27&gt;-1),IF(逐级计算!$X$27=0,AA54+逐级计算!$C$27,AA54+逐级计算!$C$27-(10/(逐级计算!$Q$27*LN(10))*(MAX((LN(10^(逐级计算!$Q$27/10)-1)+逐级计算!$Q$27*(AA54-逐级计算!$P$27)*LN(10)/10),0)+LN(1+EXP(-ABS((LN(10^(逐级计算!$Q$27/10)-1)+逐级计算!$Q$27*(AA54-逐级计算!$P$27)*LN(10)/10))))))),"")</f>
        <v>13.7930365742086</v>
      </c>
      <c r="AC54">
        <f>IF(AND(ISNUMBER(AB54),逐级计算!$X$28&gt;-1),IF(逐级计算!$X$28=0,AB54+逐级计算!$C$28,AB54+逐级计算!$C$28-(10/(逐级计算!$Q$28*LN(10))*(MAX((LN(10^(逐级计算!$Q$28/10)-1)+逐级计算!$Q$28*(AB54-逐级计算!$P$28)*LN(10)/10),0)+LN(1+EXP(-ABS((LN(10^(逐级计算!$Q$28/10)-1)+逐级计算!$Q$28*(AB54-逐级计算!$P$28)*LN(10)/10))))))),"")</f>
        <v>13.7930365742086</v>
      </c>
      <c r="AD54">
        <f>IF(AND(ISNUMBER(AC54),逐级计算!$X$29&gt;-1),IF(逐级计算!$X$29=0,AC54+逐级计算!$C$29,AC54+逐级计算!$C$29-(10/(逐级计算!$Q$29*LN(10))*(MAX((LN(10^(逐级计算!$Q$29/10)-1)+逐级计算!$Q$29*(AC54-逐级计算!$P$29)*LN(10)/10),0)+LN(1+EXP(-ABS((LN(10^(逐级计算!$Q$29/10)-1)+逐级计算!$Q$29*(AC54-逐级计算!$P$29)*LN(10)/10))))))),"")</f>
        <v>13.7930365742086</v>
      </c>
      <c r="AE54">
        <f>IF(AND(ISNUMBER(AD54),逐级计算!$X$30&gt;-1),IF(逐级计算!$X$30=0,AD54+逐级计算!$C$30,AD54+逐级计算!$C$30-(10/(逐级计算!$Q$30*LN(10))*(MAX((LN(10^(逐级计算!$Q$30/10)-1)+逐级计算!$Q$30*(AD54-逐级计算!$P$30)*LN(10)/10),0)+LN(1+EXP(-ABS((LN(10^(逐级计算!$Q$30/10)-1)+逐级计算!$Q$30*(AD54-逐级计算!$P$30)*LN(10)/10))))))),"")</f>
        <v>13.7930365742086</v>
      </c>
      <c r="AF54">
        <f>IF(AND(ISNUMBER(AE54),逐级计算!$X$31&gt;-1),IF(逐级计算!$X$31=0,AE54+逐级计算!$C$31,AE54+逐级计算!$C$31-(10/(逐级计算!$Q$31*LN(10))*(MAX((LN(10^(逐级计算!$Q$31/10)-1)+逐级计算!$Q$31*(AE54-逐级计算!$P$31)*LN(10)/10),0)+LN(1+EXP(-ABS((LN(10^(逐级计算!$Q$31/10)-1)+逐级计算!$Q$31*(AE54-逐级计算!$P$31)*LN(10)/10))))))),"")</f>
        <v>13.7930365742086</v>
      </c>
      <c r="AG54">
        <f>IF(AND(ISNUMBER(AF54),逐级计算!$X$32&gt;-1),IF(逐级计算!$X$32=0,AF54+逐级计算!$C$32,AF54+逐级计算!$C$32-(10/(逐级计算!$Q$32*LN(10))*(MAX((LN(10^(逐级计算!$Q$32/10)-1)+逐级计算!$Q$32*(AF54-逐级计算!$P$32)*LN(10)/10),0)+LN(1+EXP(-ABS((LN(10^(逐级计算!$Q$32/10)-1)+逐级计算!$Q$32*(AF54-逐级计算!$P$32)*LN(10)/10))))))),"")</f>
        <v>13.7930365742086</v>
      </c>
      <c r="AH54">
        <f>IF(AND(ISNUMBER(AG54),逐级计算!$X$33&gt;-1),IF(逐级计算!$X$33=0,AG54+逐级计算!$C$33,AG54+逐级计算!$C$33-(10/(逐级计算!$Q$33*LN(10))*(MAX((LN(10^(逐级计算!$Q$33/10)-1)+逐级计算!$Q$33*(AG54-逐级计算!$P$33)*LN(10)/10),0)+LN(1+EXP(-ABS((LN(10^(逐级计算!$Q$33/10)-1)+逐级计算!$Q$33*(AG54-逐级计算!$P$33)*LN(10)/10))))))),"")</f>
        <v>13.7930365742086</v>
      </c>
      <c r="AI54">
        <f>IF(AND(ISNUMBER(AH54),逐级计算!$X$34&gt;-1),IF(逐级计算!$X$34=0,AH54+逐级计算!$C$34,AH54+逐级计算!$C$34-(10/(逐级计算!$Q$34*LN(10))*(MAX((LN(10^(逐级计算!$Q$34/10)-1)+逐级计算!$Q$34*(AH54-逐级计算!$P$34)*LN(10)/10),0)+LN(1+EXP(-ABS((LN(10^(逐级计算!$Q$34/10)-1)+逐级计算!$Q$34*(AH54-逐级计算!$P$34)*LN(10)/10))))))),"")</f>
        <v>13.7930365742086</v>
      </c>
      <c r="AJ54">
        <f>IF(AND(ISNUMBER(AI54),逐级计算!$X$35&gt;-1),IF(逐级计算!$X$35=0,AI54+逐级计算!$C$35,AI54+逐级计算!$C$35-(10/(逐级计算!$Q$35*LN(10))*(MAX((LN(10^(逐级计算!$Q$35/10)-1)+逐级计算!$Q$35*(AI54-逐级计算!$P$35)*LN(10)/10),0)+LN(1+EXP(-ABS((LN(10^(逐级计算!$Q$35/10)-1)+逐级计算!$Q$35*(AI54-逐级计算!$P$35)*LN(10)/10))))))),"")</f>
        <v>13.7930365742086</v>
      </c>
      <c r="AK54">
        <f>IF(AND(ISNUMBER(AJ54),逐级计算!$X$36&gt;-1),IF(逐级计算!$X$36=0,AJ54+逐级计算!$C$36,AJ54+逐级计算!$C$36-(10/(逐级计算!$Q$36*LN(10))*(MAX((LN(10^(逐级计算!$Q$36/10)-1)+逐级计算!$Q$36*(AJ54-逐级计算!$P$36)*LN(10)/10),0)+LN(1+EXP(-ABS((LN(10^(逐级计算!$Q$36/10)-1)+逐级计算!$Q$36*(AJ54-逐级计算!$P$36)*LN(10)/10))))))),"")</f>
        <v>13.7930365742086</v>
      </c>
      <c r="AL54">
        <f>IF(AND(ISNUMBER(AK54),逐级计算!$X$37&gt;-1),IF(逐级计算!$X$37=0,AK54+逐级计算!$C$37,AK54+逐级计算!$C$37-(10/(逐级计算!$Q$37*LN(10))*(MAX((LN(10^(逐级计算!$Q$37/10)-1)+逐级计算!$Q$37*(AK54-逐级计算!$P$37)*LN(10)/10),0)+LN(1+EXP(-ABS((LN(10^(逐级计算!$Q$37/10)-1)+逐级计算!$Q$37*(AK54-逐级计算!$P$37)*LN(10)/10))))))),"")</f>
        <v>13.7930365742086</v>
      </c>
      <c r="AM54">
        <f>IF(AND(ISNUMBER(AL54),逐级计算!$X$38&gt;-1),IF(逐级计算!$X$38=0,AL54+逐级计算!$C$38,AL54+逐级计算!$C$38-(10/(逐级计算!$Q$38*LN(10))*(MAX((LN(10^(逐级计算!$Q$38/10)-1)+逐级计算!$Q$38*(AL54-逐级计算!$P$38)*LN(10)/10),0)+LN(1+EXP(-ABS((LN(10^(逐级计算!$Q$38/10)-1)+逐级计算!$Q$38*(AL54-逐级计算!$P$38)*LN(10)/10))))))),"")</f>
        <v>13.7930365742086</v>
      </c>
      <c r="AN54">
        <f>IF(AND(ISNUMBER(AM54),逐级计算!$X$39&gt;-1),IF(逐级计算!$X$39=0,AM54+逐级计算!$C$39,AM54+逐级计算!$C$39-(10/(逐级计算!$Q$39*LN(10))*(MAX((LN(10^(逐级计算!$Q$39/10)-1)+逐级计算!$Q$39*(AM54-逐级计算!$P$39)*LN(10)/10),0)+LN(1+EXP(-ABS((LN(10^(逐级计算!$Q$39/10)-1)+逐级计算!$Q$39*(AM54-逐级计算!$P$39)*LN(10)/10))))))),"")</f>
        <v>13.7930365742086</v>
      </c>
      <c r="AO54">
        <f>IF(AND(ISNUMBER(AN54),逐级计算!$X$40&gt;-1),IF(逐级计算!$X$40=0,AN54+逐级计算!$C$40,AN54+逐级计算!$C$40-(10/(逐级计算!$Q$40*LN(10))*(MAX((LN(10^(逐级计算!$Q$40/10)-1)+逐级计算!$Q$40*(AN54-逐级计算!$P$40)*LN(10)/10),0)+LN(1+EXP(-ABS((LN(10^(逐级计算!$Q$40/10)-1)+逐级计算!$Q$40*(AN54-逐级计算!$P$40)*LN(10)/10))))))),"")</f>
        <v>13.7930365742086</v>
      </c>
      <c r="AP54">
        <f>IF(AND(ISNUMBER(AO54),逐级计算!$X$41&gt;-1),IF(逐级计算!$X$41=0,AO54+逐级计算!$C$41,AO54+逐级计算!$C$41-(10/(逐级计算!$Q$41*LN(10))*(MAX((LN(10^(逐级计算!$Q$41/10)-1)+逐级计算!$Q$41*(AO54-逐级计算!$P$41)*LN(10)/10),0)+LN(1+EXP(-ABS((LN(10^(逐级计算!$Q$41/10)-1)+逐级计算!$Q$41*(AO54-逐级计算!$P$41)*LN(10)/10))))))),"")</f>
        <v>13.7930365742086</v>
      </c>
      <c r="AQ54">
        <f>IF(AND(ISNUMBER(AP54),逐级计算!$X$42&gt;-1),IF(逐级计算!$X$42=0,AP54+逐级计算!$C$42,AP54+逐级计算!$C$42-(10/(逐级计算!$Q$42*LN(10))*(MAX((LN(10^(逐级计算!$Q$42/10)-1)+逐级计算!$Q$42*(AP54-逐级计算!$P$42)*LN(10)/10),0)+LN(1+EXP(-ABS((LN(10^(逐级计算!$Q$42/10)-1)+逐级计算!$Q$42*(AP54-逐级计算!$P$42)*LN(10)/10))))))),"")</f>
        <v>13.7930365742086</v>
      </c>
      <c r="AR54">
        <f>IF(AND(ISNUMBER(AQ54),逐级计算!$X$43&gt;-1),IF(逐级计算!$X$43=0,AQ54+逐级计算!$C$43,AQ54+逐级计算!$C$43-(10/(逐级计算!$Q$43*LN(10))*(MAX((LN(10^(逐级计算!$Q$43/10)-1)+逐级计算!$Q$43*(AQ54-逐级计算!$P$43)*LN(10)/10),0)+LN(1+EXP(-ABS((LN(10^(逐级计算!$Q$43/10)-1)+逐级计算!$Q$43*(AQ54-逐级计算!$P$43)*LN(10)/10))))))),"")</f>
        <v>13.7930365742086</v>
      </c>
      <c r="AS54">
        <f>IF(AND(ISNUMBER(AR54),逐级计算!$X$44&gt;-1),IF(逐级计算!$X$44=0,AR54+逐级计算!$C$44,AR54+逐级计算!$C$44-(10/(逐级计算!$Q$44*LN(10))*(MAX((LN(10^(逐级计算!$Q$44/10)-1)+逐级计算!$Q$44*(AR54-逐级计算!$P$44)*LN(10)/10),0)+LN(1+EXP(-ABS((LN(10^(逐级计算!$Q$44/10)-1)+逐级计算!$Q$44*(AR54-逐级计算!$P$44)*LN(10)/10))))))),"")</f>
        <v>13.7930365742086</v>
      </c>
      <c r="AT54">
        <f>IF(AND(ISNUMBER(AS54),逐级计算!$X$45&gt;-1),IF(逐级计算!$X$45=0,AS54+逐级计算!$C$45,AS54+逐级计算!$C$45-(10/(逐级计算!$Q$45*LN(10))*(MAX((LN(10^(逐级计算!$Q$45/10)-1)+逐级计算!$Q$45*(AS54-逐级计算!$P$45)*LN(10)/10),0)+LN(1+EXP(-ABS((LN(10^(逐级计算!$Q$45/10)-1)+逐级计算!$Q$45*(AS54-逐级计算!$P$45)*LN(10)/10))))))),"")</f>
        <v>13.7930365742086</v>
      </c>
      <c r="AU54">
        <f>IF(AND(ISNUMBER(AT54),逐级计算!$X$46&gt;-1),IF(逐级计算!$X$46=0,AT54+逐级计算!$C$46,AT54+逐级计算!$C$46-(10/(逐级计算!$Q$46*LN(10))*(MAX((LN(10^(逐级计算!$Q$46/10)-1)+逐级计算!$Q$46*(AT54-逐级计算!$P$46)*LN(10)/10),0)+LN(1+EXP(-ABS((LN(10^(逐级计算!$Q$46/10)-1)+逐级计算!$Q$46*(AT54-逐级计算!$P$46)*LN(10)/10))))))),"")</f>
        <v>13.7930365742086</v>
      </c>
      <c r="AV54">
        <f>IF(AND(ISNUMBER(AU54),逐级计算!$X$47&gt;-1),IF(逐级计算!$X$47=0,AU54+逐级计算!$C$47,AU54+逐级计算!$C$47-(10/(逐级计算!$Q$47*LN(10))*(MAX((LN(10^(逐级计算!$Q$47/10)-1)+逐级计算!$Q$47*(AU54-逐级计算!$P$47)*LN(10)/10),0)+LN(1+EXP(-ABS((LN(10^(逐级计算!$Q$47/10)-1)+逐级计算!$Q$47*(AU54-逐级计算!$P$47)*LN(10)/10))))))),"")</f>
        <v>13.7930365742086</v>
      </c>
      <c r="AW54">
        <f>IF(AND(ISNUMBER(AV54),逐级计算!$X$48&gt;-1),IF(逐级计算!$X$48=0,AV54+逐级计算!$C$48,AV54+逐级计算!$C$48-(10/(逐级计算!$Q$48*LN(10))*(MAX((LN(10^(逐级计算!$Q$48/10)-1)+逐级计算!$Q$48*(AV54-逐级计算!$P$48)*LN(10)/10),0)+LN(1+EXP(-ABS((LN(10^(逐级计算!$Q$48/10)-1)+逐级计算!$Q$48*(AV54-逐级计算!$P$48)*LN(10)/10))))))),"")</f>
        <v>13.7930365742086</v>
      </c>
      <c r="AX54">
        <f>IF(AND(ISNUMBER(AW54),逐级计算!$X$49&gt;-1),IF(逐级计算!$X$49=0,AW54+逐级计算!$C$49,AW54+逐级计算!$C$49-(10/(逐级计算!$Q$49*LN(10))*(MAX((LN(10^(逐级计算!$Q$49/10)-1)+逐级计算!$Q$49*(AW54-逐级计算!$P$49)*LN(10)/10),0)+LN(1+EXP(-ABS((LN(10^(逐级计算!$Q$49/10)-1)+逐级计算!$Q$49*(AW54-逐级计算!$P$49)*LN(10)/10))))))),"")</f>
        <v>13.7930365742086</v>
      </c>
      <c r="AY54">
        <f>IF(AND(ISNUMBER(AX54),逐级计算!$X$50&gt;-1),IF(逐级计算!$X$50=0,AX54+逐级计算!$C$50,AX54+逐级计算!$C$50-(10/(逐级计算!$Q$50*LN(10))*(MAX((LN(10^(逐级计算!$Q$50/10)-1)+逐级计算!$Q$50*(AX54-逐级计算!$P$50)*LN(10)/10),0)+LN(1+EXP(-ABS((LN(10^(逐级计算!$Q$50/10)-1)+逐级计算!$Q$50*(AX54-逐级计算!$P$50)*LN(10)/10))))))),"")</f>
        <v>13.7930365742086</v>
      </c>
      <c r="AZ54">
        <f>IF(AND(ISNUMBER(AY54),逐级计算!$X$51&gt;-1),IF(逐级计算!$X$51=0,AY54+逐级计算!$C$51,AY54+逐级计算!$C$51-(10/(逐级计算!$Q$51*LN(10))*(MAX((LN(10^(逐级计算!$Q$51/10)-1)+逐级计算!$Q$51*(AY54-逐级计算!$P$51)*LN(10)/10),0)+LN(1+EXP(-ABS((LN(10^(逐级计算!$Q$51/10)-1)+逐级计算!$Q$51*(AY54-逐级计算!$P$51)*LN(10)/10))))))),"")</f>
        <v>13.7930365742086</v>
      </c>
      <c r="BA54">
        <f>IF(AND(ISNUMBER(AZ54),逐级计算!$X$52&gt;-1),IF(逐级计算!$X$52=0,AZ54+逐级计算!$C$52,AZ54+逐级计算!$C$52-(10/(逐级计算!$Q$52*LN(10))*(MAX((LN(10^(逐级计算!$Q$52/10)-1)+逐级计算!$Q$52*(AZ54-逐级计算!$P$52)*LN(10)/10),0)+LN(1+EXP(-ABS((LN(10^(逐级计算!$Q$52/10)-1)+逐级计算!$Q$52*(AZ54-逐级计算!$P$52)*LN(10)/10))))))),"")</f>
        <v>13.7930365742086</v>
      </c>
      <c r="BB54">
        <f>IF(AND(ISNUMBER(BA54),逐级计算!$X$53&gt;-1),IF(逐级计算!$X$53=0,BA54+逐级计算!$C$53,BA54+逐级计算!$C$53-(10/(逐级计算!$Q$53*LN(10))*(MAX((LN(10^(逐级计算!$Q$53/10)-1)+逐级计算!$Q$53*(BA54-逐级计算!$P$53)*LN(10)/10),0)+LN(1+EXP(-ABS((LN(10^(逐级计算!$Q$53/10)-1)+逐级计算!$Q$53*(BA54-逐级计算!$P$53)*LN(10)/10))))))),"")</f>
        <v>13.7930365742086</v>
      </c>
      <c r="BC54">
        <f>IF(AND(ISNUMBER(BB54),逐级计算!$X$54&gt;-1),IF(逐级计算!$X$54=0,BB54+逐级计算!$C$54,BB54+逐级计算!$C$54-(10/(逐级计算!$Q$54*LN(10))*(MAX((LN(10^(逐级计算!$Q$54/10)-1)+逐级计算!$Q$54*(BB54-逐级计算!$P$54)*LN(10)/10),0)+LN(1+EXP(-ABS((LN(10^(逐级计算!$Q$54/10)-1)+逐级计算!$Q$54*(BB54-逐级计算!$P$54)*LN(10)/10))))))),"")</f>
        <v>13.7930365742086</v>
      </c>
      <c r="BD54">
        <f>IF(AND(ISNUMBER(BC54),逐级计算!$X$55&gt;-1),IF(逐级计算!$X$55=0,BC54+逐级计算!$C$55,BC54+逐级计算!$C$55-(10/(逐级计算!$Q$55*LN(10))*(MAX((LN(10^(逐级计算!$Q$55/10)-1)+逐级计算!$Q$55*(BC54-逐级计算!$P$55)*LN(10)/10),0)+LN(1+EXP(-ABS((LN(10^(逐级计算!$Q$55/10)-1)+逐级计算!$Q$55*(BC54-逐级计算!$P$55)*LN(10)/10))))))),"")</f>
        <v>13.7930365742086</v>
      </c>
      <c r="BE54">
        <f>IF(AND(ISNUMBER(BD54),逐级计算!$X$56&gt;-1),IF(逐级计算!$X$56=0,BD54+逐级计算!$C$56,BD54+逐级计算!$C$56-(10/(逐级计算!$Q$56*LN(10))*(MAX((LN(10^(逐级计算!$Q$56/10)-1)+逐级计算!$Q$56*(BD54-逐级计算!$P$56)*LN(10)/10),0)+LN(1+EXP(-ABS((LN(10^(逐级计算!$Q$56/10)-1)+逐级计算!$Q$56*(BD54-逐级计算!$P$56)*LN(10)/10))))))),"")</f>
        <v>13.7930365742086</v>
      </c>
      <c r="BF54">
        <f>IF(AND(ISNUMBER(BE54),逐级计算!$X$57&gt;-1),IF(逐级计算!$X$57=0,BE54+逐级计算!$C$57,BE54+逐级计算!$C$57-(10/(逐级计算!$Q$57*LN(10))*(MAX((LN(10^(逐级计算!$Q$57/10)-1)+逐级计算!$Q$57*(BE54-逐级计算!$P$57)*LN(10)/10),0)+LN(1+EXP(-ABS((LN(10^(逐级计算!$Q$57/10)-1)+逐级计算!$Q$57*(BE54-逐级计算!$P$57)*LN(10)/10))))))),"")</f>
        <v>13.7930365742086</v>
      </c>
      <c r="BG54">
        <f>IF(AND(ISNUMBER(BF54),逐级计算!$X$58&gt;-1),IF(逐级计算!$X$58=0,BF54+逐级计算!$C$58,BF54+逐级计算!$C$58-(10/(逐级计算!$Q$58*LN(10))*(MAX((LN(10^(逐级计算!$Q$58/10)-1)+逐级计算!$Q$58*(BF54-逐级计算!$P$58)*LN(10)/10),0)+LN(1+EXP(-ABS((LN(10^(逐级计算!$Q$58/10)-1)+逐级计算!$Q$58*(BF54-逐级计算!$P$58)*LN(10)/10))))))),"")</f>
        <v>13.7930365742086</v>
      </c>
      <c r="BH54">
        <f>IF(AND(ISNUMBER(BG54),逐级计算!$X$59&gt;-1),IF(逐级计算!$X$59=0,BG54+逐级计算!$C$59,BG54+逐级计算!$C$59-(10/(逐级计算!$Q$59*LN(10))*(MAX((LN(10^(逐级计算!$Q$59/10)-1)+逐级计算!$Q$59*(BG54-逐级计算!$P$59)*LN(10)/10),0)+LN(1+EXP(-ABS((LN(10^(逐级计算!$Q$59/10)-1)+逐级计算!$Q$59*(BG54-逐级计算!$P$59)*LN(10)/10))))))),"")</f>
        <v>13.7930365742086</v>
      </c>
      <c r="BI54">
        <f>IF(AND(ISNUMBER(BH54),逐级计算!$X$60&gt;-1),IF(逐级计算!$X$60=0,BH54+逐级计算!$C$60,BH54+逐级计算!$C$60-(10/(逐级计算!$Q$60*LN(10))*(MAX((LN(10^(逐级计算!$Q$60/10)-1)+逐级计算!$Q$60*(BH54-逐级计算!$P$60)*LN(10)/10),0)+LN(1+EXP(-ABS((LN(10^(逐级计算!$Q$60/10)-1)+逐级计算!$Q$60*(BH54-逐级计算!$P$60)*LN(10)/10))))))),"")</f>
        <v>13.7930365742086</v>
      </c>
      <c r="BJ54">
        <f>IF(AND(ISNUMBER(BI54),逐级计算!$X$61&gt;-1),IF(逐级计算!$X$61=0,BI54+逐级计算!$C$61,BI54+逐级计算!$C$61-(10/(逐级计算!$Q$61*LN(10))*(MAX((LN(10^(逐级计算!$Q$61/10)-1)+逐级计算!$Q$61*(BI54-逐级计算!$P$61)*LN(10)/10),0)+LN(1+EXP(-ABS((LN(10^(逐级计算!$Q$61/10)-1)+逐级计算!$Q$61*(BI54-逐级计算!$P$61)*LN(10)/10))))))),"")</f>
        <v>13.7930365742086</v>
      </c>
      <c r="BK54">
        <f>IF(AND(ISNUMBER(BJ54),逐级计算!$X$62&gt;-1),IF(逐级计算!$X$62=0,BJ54+逐级计算!$C$62,BJ54+逐级计算!$C$62-(10/(逐级计算!$Q$62*LN(10))*(MAX((LN(10^(逐级计算!$Q$62/10)-1)+逐级计算!$Q$62*(BJ54-逐级计算!$P$62)*LN(10)/10),0)+LN(1+EXP(-ABS((LN(10^(逐级计算!$Q$62/10)-1)+逐级计算!$Q$62*(BJ54-逐级计算!$P$62)*LN(10)/10))))))),"")</f>
        <v>13.7930365742086</v>
      </c>
      <c r="BL54">
        <f>IF(AND(ISNUMBER(BK54),逐级计算!$X$63&gt;-1),IF(逐级计算!$X$63=0,BK54+逐级计算!$C$63,BK54+逐级计算!$C$63-(10/(逐级计算!$Q$63*LN(10))*(MAX((LN(10^(逐级计算!$Q$63/10)-1)+逐级计算!$Q$63*(BK54-逐级计算!$P$63)*LN(10)/10),0)+LN(1+EXP(-ABS((LN(10^(逐级计算!$Q$63/10)-1)+逐级计算!$Q$63*(BK54-逐级计算!$P$63)*LN(10)/10))))))),"")</f>
        <v>13.7930365742086</v>
      </c>
      <c r="BM54">
        <f>IF(AND(ISNUMBER(BL54),逐级计算!$X$64&gt;-1),IF(逐级计算!$X$64=0,BL54+逐级计算!$C$64,BL54+逐级计算!$C$64-(10/(逐级计算!$Q$64*LN(10))*(MAX((LN(10^(逐级计算!$Q$64/10)-1)+逐级计算!$Q$64*(BL54-逐级计算!$P$64)*LN(10)/10),0)+LN(1+EXP(-ABS((LN(10^(逐级计算!$Q$64/10)-1)+逐级计算!$Q$64*(BL54-逐级计算!$P$64)*LN(10)/10))))))),"")</f>
        <v>13.7930365742086</v>
      </c>
      <c r="BN54">
        <f>IF(AND(ISNUMBER(BM54),逐级计算!$X$65&gt;-1),IF(逐级计算!$X$65=0,BM54+逐级计算!$C$65,BM54+逐级计算!$C$65-(10/(逐级计算!$Q$65*LN(10))*(MAX((LN(10^(逐级计算!$Q$65/10)-1)+逐级计算!$Q$65*(BM54-逐级计算!$P$65)*LN(10)/10),0)+LN(1+EXP(-ABS((LN(10^(逐级计算!$Q$65/10)-1)+逐级计算!$Q$65*(BM54-逐级计算!$P$65)*LN(10)/10))))))),"")</f>
        <v>13.7930365742086</v>
      </c>
      <c r="BO54">
        <f>IF(AND(ISNUMBER(BN54),逐级计算!$X$66&gt;-1),IF(逐级计算!$X$66=0,BN54+逐级计算!$C$66,BN54+逐级计算!$C$66-(10/(逐级计算!$Q$66*LN(10))*(MAX((LN(10^(逐级计算!$Q$66/10)-1)+逐级计算!$Q$66*(BN54-逐级计算!$P$66)*LN(10)/10),0)+LN(1+EXP(-ABS((LN(10^(逐级计算!$Q$66/10)-1)+逐级计算!$Q$66*(BN54-逐级计算!$P$66)*LN(10)/10))))))),"")</f>
        <v>13.7930365742086</v>
      </c>
      <c r="BP54">
        <f>IF(AND(ISNUMBER(BO54),逐级计算!$X$67&gt;-1),IF(逐级计算!$X$67=0,BO54+逐级计算!$C$67,BO54+逐级计算!$C$67-(10/(逐级计算!$Q$67*LN(10))*(MAX((LN(10^(逐级计算!$Q$67/10)-1)+逐级计算!$Q$67*(BO54-逐级计算!$P$67)*LN(10)/10),0)+LN(1+EXP(-ABS((LN(10^(逐级计算!$Q$67/10)-1)+逐级计算!$Q$67*(BO54-逐级计算!$P$67)*LN(10)/10))))))),"")</f>
        <v>13.7930365742086</v>
      </c>
      <c r="BQ54">
        <f>IF(AND(ISNUMBER(BP54),逐级计算!$X$68&gt;-1),IF(逐级计算!$X$68=0,BP54+逐级计算!$C$68,BP54+逐级计算!$C$68-(10/(逐级计算!$Q$68*LN(10))*(MAX((LN(10^(逐级计算!$Q$68/10)-1)+逐级计算!$Q$68*(BP54-逐级计算!$P$68)*LN(10)/10),0)+LN(1+EXP(-ABS((LN(10^(逐级计算!$Q$68/10)-1)+逐级计算!$Q$68*(BP54-逐级计算!$P$68)*LN(10)/10))))))),"")</f>
        <v>13.7930365742086</v>
      </c>
      <c r="BR54">
        <f>IF(AND(ISNUMBER(BQ54),逐级计算!$X$69&gt;-1),IF(逐级计算!$X$69=0,BQ54+逐级计算!$C$69,BQ54+逐级计算!$C$69-(10/(逐级计算!$Q$69*LN(10))*(MAX((LN(10^(逐级计算!$Q$69/10)-1)+逐级计算!$Q$69*(BQ54-逐级计算!$P$69)*LN(10)/10),0)+LN(1+EXP(-ABS((LN(10^(逐级计算!$Q$69/10)-1)+逐级计算!$Q$69*(BQ54-逐级计算!$P$69)*LN(10)/10))))))),"")</f>
        <v>13.7930365742086</v>
      </c>
      <c r="BS54">
        <f>IF(AND(ISNUMBER(BR54),逐级计算!$X$70&gt;-1),IF(逐级计算!$X$70=0,BR54+逐级计算!$C$70,BR54+逐级计算!$C$70-(10/(逐级计算!$Q$70*LN(10))*(MAX((LN(10^(逐级计算!$Q$70/10)-1)+逐级计算!$Q$70*(BR54-逐级计算!$P$70)*LN(10)/10),0)+LN(1+EXP(-ABS((LN(10^(逐级计算!$Q$70/10)-1)+逐级计算!$Q$70*(BR54-逐级计算!$P$70)*LN(10)/10))))))),"")</f>
        <v>13.7930365742086</v>
      </c>
      <c r="BT54">
        <f>IF(AND(ISNUMBER(BS54),逐级计算!$X$71&gt;-1),IF(逐级计算!$X$71=0,BS54+逐级计算!$C$71,BS54+逐级计算!$C$71-(10/(逐级计算!$Q$71*LN(10))*(MAX((LN(10^(逐级计算!$Q$71/10)-1)+逐级计算!$Q$71*(BS54-逐级计算!$P$71)*LN(10)/10),0)+LN(1+EXP(-ABS((LN(10^(逐级计算!$Q$71/10)-1)+逐级计算!$Q$71*(BS54-逐级计算!$P$71)*LN(10)/10))))))),"")</f>
        <v>13.7930365742086</v>
      </c>
      <c r="BU54">
        <f>IF(AND(ISNUMBER(BT54),逐级计算!$X$72&gt;-1),IF(逐级计算!$X$72=0,BT54+逐级计算!$C$72,BT54+逐级计算!$C$72-(10/(逐级计算!$Q$72*LN(10))*(MAX((LN(10^(逐级计算!$Q$72/10)-1)+逐级计算!$Q$72*(BT54-逐级计算!$P$72)*LN(10)/10),0)+LN(1+EXP(-ABS((LN(10^(逐级计算!$Q$72/10)-1)+逐级计算!$Q$72*(BT54-逐级计算!$P$72)*LN(10)/10))))))),"")</f>
        <v>13.7930365742086</v>
      </c>
      <c r="BV54">
        <f>IF(AND(ISNUMBER(BU54),逐级计算!$X$73&gt;-1),IF(逐级计算!$X$73=0,BU54+逐级计算!$C$73,BU54+逐级计算!$C$73-(10/(逐级计算!$Q$73*LN(10))*(MAX((LN(10^(逐级计算!$Q$73/10)-1)+逐级计算!$Q$73*(BU54-逐级计算!$P$73)*LN(10)/10),0)+LN(1+EXP(-ABS((LN(10^(逐级计算!$Q$73/10)-1)+逐级计算!$Q$73*(BU54-逐级计算!$P$73)*LN(10)/10))))))),"")</f>
        <v>13.7930365742086</v>
      </c>
      <c r="BW54">
        <f>IF(AND(ISNUMBER(BV54),逐级计算!$X$74&gt;-1),IF(逐级计算!$X$74=0,BV54+逐级计算!$C$74,BV54+逐级计算!$C$74-(10/(逐级计算!$Q$74*LN(10))*(MAX((LN(10^(逐级计算!$Q$74/10)-1)+逐级计算!$Q$74*(BV54-逐级计算!$P$74)*LN(10)/10),0)+LN(1+EXP(-ABS((LN(10^(逐级计算!$Q$74/10)-1)+逐级计算!$Q$74*(BV54-逐级计算!$P$74)*LN(10)/10))))))),"")</f>
        <v>13.7930365742086</v>
      </c>
      <c r="BX54">
        <f>IF(AND(ISNUMBER(BW54),逐级计算!$X$75&gt;-1),IF(逐级计算!$X$75=0,BW54+逐级计算!$C$75,BW54+逐级计算!$C$75-(10/(逐级计算!$Q$75*LN(10))*(MAX((LN(10^(逐级计算!$Q$75/10)-1)+逐级计算!$Q$75*(BW54-逐级计算!$P$75)*LN(10)/10),0)+LN(1+EXP(-ABS((LN(10^(逐级计算!$Q$75/10)-1)+逐级计算!$Q$75*(BW54-逐级计算!$P$75)*LN(10)/10))))))),"")</f>
        <v>13.7930365742086</v>
      </c>
      <c r="BY54">
        <f>IF(AND(ISNUMBER(BX54),逐级计算!$X$76&gt;-1),IF(逐级计算!$X$76=0,BX54+逐级计算!$C$76,BX54+逐级计算!$C$76-(10/(逐级计算!$Q$76*LN(10))*(MAX((LN(10^(逐级计算!$Q$76/10)-1)+逐级计算!$Q$76*(BX54-逐级计算!$P$76)*LN(10)/10),0)+LN(1+EXP(-ABS((LN(10^(逐级计算!$Q$76/10)-1)+逐级计算!$Q$76*(BX54-逐级计算!$P$76)*LN(10)/10))))))),"")</f>
        <v>13.7930365742086</v>
      </c>
      <c r="BZ54">
        <f>IF(AND(ISNUMBER(BY54),逐级计算!$X$77&gt;-1),IF(逐级计算!$X$77=0,BY54+逐级计算!$C$77,BY54+逐级计算!$C$77-(10/(逐级计算!$Q$77*LN(10))*(MAX((LN(10^(逐级计算!$Q$77/10)-1)+逐级计算!$Q$77*(BY54-逐级计算!$P$77)*LN(10)/10),0)+LN(1+EXP(-ABS((LN(10^(逐级计算!$Q$77/10)-1)+逐级计算!$Q$77*(BY54-逐级计算!$P$77)*LN(10)/10))))))),"")</f>
        <v>13.7930365742086</v>
      </c>
      <c r="CA54">
        <f>IF(AND(ISNUMBER(BZ54),逐级计算!$X$78&gt;-1),IF(逐级计算!$X$78=0,BZ54+逐级计算!$C$78,BZ54+逐级计算!$C$78-(10/(逐级计算!$Q$78*LN(10))*(MAX((LN(10^(逐级计算!$Q$78/10)-1)+逐级计算!$Q$78*(BZ54-逐级计算!$P$78)*LN(10)/10),0)+LN(1+EXP(-ABS((LN(10^(逐级计算!$Q$78/10)-1)+逐级计算!$Q$78*(BZ54-逐级计算!$P$78)*LN(10)/10))))))),"")</f>
        <v>13.7930365742086</v>
      </c>
      <c r="CB54">
        <f>IF(AND(ISNUMBER(CA54),逐级计算!$X$79&gt;-1),IF(逐级计算!$X$79=0,CA54+逐级计算!$C$79,CA54+逐级计算!$C$79-(10/(逐级计算!$Q$79*LN(10))*(MAX((LN(10^(逐级计算!$Q$79/10)-1)+逐级计算!$Q$79*(CA54-逐级计算!$P$79)*LN(10)/10),0)+LN(1+EXP(-ABS((LN(10^(逐级计算!$Q$79/10)-1)+逐级计算!$Q$79*(CA54-逐级计算!$P$79)*LN(10)/10))))))),"")</f>
        <v>13.7930365742086</v>
      </c>
      <c r="CC54">
        <f>IF(AND(ISNUMBER(CB54),逐级计算!$X$80&gt;-1),IF(逐级计算!$X$80=0,CB54+逐级计算!$C$80,CB54+逐级计算!$C$80-(10/(逐级计算!$Q$80*LN(10))*(MAX((LN(10^(逐级计算!$Q$80/10)-1)+逐级计算!$Q$80*(CB54-逐级计算!$P$80)*LN(10)/10),0)+LN(1+EXP(-ABS((LN(10^(逐级计算!$Q$80/10)-1)+逐级计算!$Q$80*(CB54-逐级计算!$P$80)*LN(10)/10))))))),"")</f>
        <v>13.7930365742086</v>
      </c>
      <c r="CD54">
        <f>IF(AND(ISNUMBER(CC54),逐级计算!$X$81&gt;-1),IF(逐级计算!$X$81=0,CC54+逐级计算!$C$81,CC54+逐级计算!$C$81-(10/(逐级计算!$Q$81*LN(10))*(MAX((LN(10^(逐级计算!$Q$81/10)-1)+逐级计算!$Q$81*(CC54-逐级计算!$P$81)*LN(10)/10),0)+LN(1+EXP(-ABS((LN(10^(逐级计算!$Q$81/10)-1)+逐级计算!$Q$81*(CC54-逐级计算!$P$81)*LN(10)/10))))))),"")</f>
        <v>13.7930365742086</v>
      </c>
      <c r="CE54">
        <f>IF(AND(ISNUMBER(CD54),逐级计算!$X$82&gt;-1),IF(逐级计算!$X$82=0,CD54+逐级计算!$C$82,CD54+逐级计算!$C$82-(10/(逐级计算!$Q$82*LN(10))*(MAX((LN(10^(逐级计算!$Q$82/10)-1)+逐级计算!$Q$82*(CD54-逐级计算!$P$82)*LN(10)/10),0)+LN(1+EXP(-ABS((LN(10^(逐级计算!$Q$82/10)-1)+逐级计算!$Q$82*(CD54-逐级计算!$P$82)*LN(10)/10))))))),"")</f>
        <v>13.7930365742086</v>
      </c>
      <c r="CF54">
        <f>IF(AND(ISNUMBER(CE54),逐级计算!$X$83&gt;-1),IF(逐级计算!$X$83=0,CE54+逐级计算!$C$83,CE54+逐级计算!$C$83-(10/(逐级计算!$Q$83*LN(10))*(MAX((LN(10^(逐级计算!$Q$83/10)-1)+逐级计算!$Q$83*(CE54-逐级计算!$P$83)*LN(10)/10),0)+LN(1+EXP(-ABS((LN(10^(逐级计算!$Q$83/10)-1)+逐级计算!$Q$83*(CE54-逐级计算!$P$83)*LN(10)/10))))))),"")</f>
        <v>13.7930365742086</v>
      </c>
      <c r="CG54">
        <f>IF(AND(ISNUMBER(CF54),逐级计算!$X$84&gt;-1),IF(逐级计算!$X$84=0,CF54+逐级计算!$C$84,CF54+逐级计算!$C$84-(10/(逐级计算!$Q$84*LN(10))*(MAX((LN(10^(逐级计算!$Q$84/10)-1)+逐级计算!$Q$84*(CF54-逐级计算!$P$84)*LN(10)/10),0)+LN(1+EXP(-ABS((LN(10^(逐级计算!$Q$84/10)-1)+逐级计算!$Q$84*(CF54-逐级计算!$P$84)*LN(10)/10))))))),"")</f>
        <v>13.7930365742086</v>
      </c>
      <c r="CH54">
        <f>IF(AND(ISNUMBER(CG54),逐级计算!$X$85&gt;-1),IF(逐级计算!$X$85=0,CG54+逐级计算!$C$85,CG54+逐级计算!$C$85-(10/(逐级计算!$Q$85*LN(10))*(MAX((LN(10^(逐级计算!$Q$85/10)-1)+逐级计算!$Q$85*(CG54-逐级计算!$P$85)*LN(10)/10),0)+LN(1+EXP(-ABS((LN(10^(逐级计算!$Q$85/10)-1)+逐级计算!$Q$85*(CG54-逐级计算!$P$85)*LN(10)/10))))))),"")</f>
        <v>13.7930365742086</v>
      </c>
      <c r="CI54">
        <f>IF(AND(ISNUMBER(CH54),逐级计算!$X$86&gt;-1),IF(逐级计算!$X$86=0,CH54+逐级计算!$C$86,CH54+逐级计算!$C$86-(10/(逐级计算!$Q$86*LN(10))*(MAX((LN(10^(逐级计算!$Q$86/10)-1)+逐级计算!$Q$86*(CH54-逐级计算!$P$86)*LN(10)/10),0)+LN(1+EXP(-ABS((LN(10^(逐级计算!$Q$86/10)-1)+逐级计算!$Q$86*(CH54-逐级计算!$P$86)*LN(10)/10))))))),"")</f>
        <v>13.7930365742086</v>
      </c>
      <c r="CJ54">
        <f>IF(AND(ISNUMBER(CI54),逐级计算!$X$87&gt;-1),IF(逐级计算!$X$87=0,CI54+逐级计算!$C$87,CI54+逐级计算!$C$87-(10/(逐级计算!$Q$87*LN(10))*(MAX((LN(10^(逐级计算!$Q$87/10)-1)+逐级计算!$Q$87*(CI54-逐级计算!$P$87)*LN(10)/10),0)+LN(1+EXP(-ABS((LN(10^(逐级计算!$Q$87/10)-1)+逐级计算!$Q$87*(CI54-逐级计算!$P$87)*LN(10)/10))))))),"")</f>
        <v>13.7930365742086</v>
      </c>
      <c r="CK54">
        <f>IF(AND(ISNUMBER(CJ54),逐级计算!$X$88&gt;-1),IF(逐级计算!$X$88=0,CJ54+逐级计算!$C$88,CJ54+逐级计算!$C$88-(10/(逐级计算!$Q$88*LN(10))*(MAX((LN(10^(逐级计算!$Q$88/10)-1)+逐级计算!$Q$88*(CJ54-逐级计算!$P$88)*LN(10)/10),0)+LN(1+EXP(-ABS((LN(10^(逐级计算!$Q$88/10)-1)+逐级计算!$Q$88*(CJ54-逐级计算!$P$88)*LN(10)/10))))))),"")</f>
        <v>13.7930365742086</v>
      </c>
      <c r="CL54">
        <f>IF(AND(ISNUMBER(CK54),逐级计算!$X$89&gt;-1),IF(逐级计算!$X$89=0,CK54+逐级计算!$C$89,CK54+逐级计算!$C$89-(10/(逐级计算!$Q$89*LN(10))*(MAX((LN(10^(逐级计算!$Q$89/10)-1)+逐级计算!$Q$89*(CK54-逐级计算!$P$89)*LN(10)/10),0)+LN(1+EXP(-ABS((LN(10^(逐级计算!$Q$89/10)-1)+逐级计算!$Q$89*(CK54-逐级计算!$P$89)*LN(10)/10))))))),"")</f>
        <v>13.7930365742086</v>
      </c>
      <c r="CM54">
        <f>IF(AND(ISNUMBER(CL54),逐级计算!$X$90&gt;-1),IF(逐级计算!$X$90=0,CL54+逐级计算!$C$90,CL54+逐级计算!$C$90-(10/(逐级计算!$Q$90*LN(10))*(MAX((LN(10^(逐级计算!$Q$90/10)-1)+逐级计算!$Q$90*(CL54-逐级计算!$P$90)*LN(10)/10),0)+LN(1+EXP(-ABS((LN(10^(逐级计算!$Q$90/10)-1)+逐级计算!$Q$90*(CL54-逐级计算!$P$90)*LN(10)/10))))))),"")</f>
        <v>13.7930365742086</v>
      </c>
      <c r="CN54">
        <f>IF(AND(ISNUMBER(CM54),逐级计算!$X$91&gt;-1),IF(逐级计算!$X$91=0,CM54+逐级计算!$C$91,CM54+逐级计算!$C$91-(10/(逐级计算!$Q$91*LN(10))*(MAX((LN(10^(逐级计算!$Q$91/10)-1)+逐级计算!$Q$91*(CM54-逐级计算!$P$91)*LN(10)/10),0)+LN(1+EXP(-ABS((LN(10^(逐级计算!$Q$91/10)-1)+逐级计算!$Q$91*(CM54-逐级计算!$P$91)*LN(10)/10))))))),"")</f>
        <v>13.7930365742086</v>
      </c>
      <c r="CO54">
        <f>IF(AND(ISNUMBER(CN54),逐级计算!$X$92&gt;-1),IF(逐级计算!$X$92=0,CN54+逐级计算!$C$92,CN54+逐级计算!$C$92-(10/(逐级计算!$Q$92*LN(10))*(MAX((LN(10^(逐级计算!$Q$92/10)-1)+逐级计算!$Q$92*(CN54-逐级计算!$P$92)*LN(10)/10),0)+LN(1+EXP(-ABS((LN(10^(逐级计算!$Q$92/10)-1)+逐级计算!$Q$92*(CN54-逐级计算!$P$92)*LN(10)/10))))))),"")</f>
        <v>13.7930365742086</v>
      </c>
      <c r="CP54">
        <f>IF(AND(ISNUMBER(CO54),逐级计算!$X$93&gt;-1),IF(逐级计算!$X$93=0,CO54+逐级计算!$C$93,CO54+逐级计算!$C$93-(10/(逐级计算!$Q$93*LN(10))*(MAX((LN(10^(逐级计算!$Q$93/10)-1)+逐级计算!$Q$93*(CO54-逐级计算!$P$93)*LN(10)/10),0)+LN(1+EXP(-ABS((LN(10^(逐级计算!$Q$93/10)-1)+逐级计算!$Q$93*(CO54-逐级计算!$P$93)*LN(10)/10))))))),"")</f>
        <v>13.7930365742086</v>
      </c>
      <c r="CQ54">
        <f>IF(AND(ISNUMBER(CP54),逐级计算!$X$94&gt;-1),IF(逐级计算!$X$94=0,CP54+逐级计算!$C$94,CP54+逐级计算!$C$94-(10/(逐级计算!$Q$94*LN(10))*(MAX((LN(10^(逐级计算!$Q$94/10)-1)+逐级计算!$Q$94*(CP54-逐级计算!$P$94)*LN(10)/10),0)+LN(1+EXP(-ABS((LN(10^(逐级计算!$Q$94/10)-1)+逐级计算!$Q$94*(CP54-逐级计算!$P$94)*LN(10)/10))))))),"")</f>
        <v>13.7930365742086</v>
      </c>
      <c r="CR54">
        <f>IF(AND(ISNUMBER(CQ54),逐级计算!$X$95&gt;-1),IF(逐级计算!$X$95=0,CQ54+逐级计算!$C$95,CQ54+逐级计算!$C$95-(10/(逐级计算!$Q$95*LN(10))*(MAX((LN(10^(逐级计算!$Q$95/10)-1)+逐级计算!$Q$95*(CQ54-逐级计算!$P$95)*LN(10)/10),0)+LN(1+EXP(-ABS((LN(10^(逐级计算!$Q$95/10)-1)+逐级计算!$Q$95*(CQ54-逐级计算!$P$95)*LN(10)/10))))))),"")</f>
        <v>13.7930365742086</v>
      </c>
      <c r="CS54">
        <f>IF(AND(ISNUMBER(CR54),逐级计算!$X$96&gt;-1),IF(逐级计算!$X$96=0,CR54+逐级计算!$C$96,CR54+逐级计算!$C$96-(10/(逐级计算!$Q$96*LN(10))*(MAX((LN(10^(逐级计算!$Q$96/10)-1)+逐级计算!$Q$96*(CR54-逐级计算!$P$96)*LN(10)/10),0)+LN(1+EXP(-ABS((LN(10^(逐级计算!$Q$96/10)-1)+逐级计算!$Q$96*(CR54-逐级计算!$P$96)*LN(10)/10))))))),"")</f>
        <v>13.7930365742086</v>
      </c>
      <c r="CT54">
        <f>IF(AND(ISNUMBER(CS54),逐级计算!$X$97&gt;-1),IF(逐级计算!$X$97=0,CS54+逐级计算!$C$97,CS54+逐级计算!$C$97-(10/(逐级计算!$Q$97*LN(10))*(MAX((LN(10^(逐级计算!$Q$97/10)-1)+逐级计算!$Q$97*(CS54-逐级计算!$P$97)*LN(10)/10),0)+LN(1+EXP(-ABS((LN(10^(逐级计算!$Q$97/10)-1)+逐级计算!$Q$97*(CS54-逐级计算!$P$97)*LN(10)/10))))))),"")</f>
        <v>13.7930365742086</v>
      </c>
      <c r="CU54">
        <f>IF(AND(ISNUMBER(CT54),逐级计算!$X$98&gt;-1),IF(逐级计算!$X$98=0,CT54+逐级计算!$C$98,CT54+逐级计算!$C$98-(10/(逐级计算!$Q$98*LN(10))*(MAX((LN(10^(逐级计算!$Q$98/10)-1)+逐级计算!$Q$98*(CT54-逐级计算!$P$98)*LN(10)/10),0)+LN(1+EXP(-ABS((LN(10^(逐级计算!$Q$98/10)-1)+逐级计算!$Q$98*(CT54-逐级计算!$P$98)*LN(10)/10))))))),"")</f>
        <v>13.7930365742086</v>
      </c>
      <c r="CV54">
        <f>IF(AND(ISNUMBER(CU54),逐级计算!$X$99&gt;-1),IF(逐级计算!$X$99=0,CU54+逐级计算!$C$99,CU54+逐级计算!$C$99-(10/(逐级计算!$Q$99*LN(10))*(MAX((LN(10^(逐级计算!$Q$99/10)-1)+逐级计算!$Q$99*(CU54-逐级计算!$P$99)*LN(10)/10),0)+LN(1+EXP(-ABS((LN(10^(逐级计算!$Q$99/10)-1)+逐级计算!$Q$99*(CU54-逐级计算!$P$99)*LN(10)/10))))))),"")</f>
        <v>13.7930365742086</v>
      </c>
      <c r="CW54">
        <f>IF(AND(ISNUMBER(CV54),逐级计算!$X$100&gt;-1),IF(逐级计算!$X$100=0,CV54+逐级计算!$C$100,CV54+逐级计算!$C$100-(10/(逐级计算!$Q$100*LN(10))*(MAX((LN(10^(逐级计算!$Q$100/10)-1)+逐级计算!$Q$100*(CV54-逐级计算!$P$100)*LN(10)/10),0)+LN(1+EXP(-ABS((LN(10^(逐级计算!$Q$100/10)-1)+逐级计算!$Q$100*(CV54-逐级计算!$P$100)*LN(10)/10))))))),"")</f>
        <v>13.7930365742086</v>
      </c>
      <c r="CX54">
        <f>IF(AND(ISNUMBER(CW54),逐级计算!$X$101&gt;-1),IF(逐级计算!$X$101=0,CW54+逐级计算!$C$101,CW54+逐级计算!$C$101-(10/(逐级计算!$Q$101*LN(10))*(MAX((LN(10^(逐级计算!$Q$101/10)-1)+逐级计算!$Q$101*(CW54-逐级计算!$P$101)*LN(10)/10),0)+LN(1+EXP(-ABS((LN(10^(逐级计算!$Q$101/10)-1)+逐级计算!$Q$101*(CW54-逐级计算!$P$101)*LN(10)/10))))))),"")</f>
        <v>13.7930365742086</v>
      </c>
      <c r="CY54">
        <f>IF(AND(ISNUMBER(CX54),逐级计算!$X$102&gt;-1),IF(逐级计算!$X$102=0,CX54+逐级计算!$C$102,CX54+逐级计算!$C$102-(10/(逐级计算!$Q$102*LN(10))*(MAX((LN(10^(逐级计算!$Q$102/10)-1)+逐级计算!$Q$102*(CX54-逐级计算!$P$102)*LN(10)/10),0)+LN(1+EXP(-ABS((LN(10^(逐级计算!$Q$102/10)-1)+逐级计算!$Q$102*(CX54-逐级计算!$P$102)*LN(10)/10))))))),"")</f>
        <v>13.7930365742086</v>
      </c>
      <c r="CZ54">
        <f>IF(AND(ISNUMBER(CY54),逐级计算!$X$103&gt;-1),IF(逐级计算!$X$103=0,CY54+逐级计算!$C$103,CY54+逐级计算!$C$103-(10/(逐级计算!$Q$103*LN(10))*(MAX((LN(10^(逐级计算!$Q$103/10)-1)+逐级计算!$Q$103*(CY54-逐级计算!$P$103)*LN(10)/10),0)+LN(1+EXP(-ABS((LN(10^(逐级计算!$Q$103/10)-1)+逐级计算!$Q$103*(CY54-逐级计算!$P$103)*LN(10)/10))))))),"")</f>
        <v>13.7930365742086</v>
      </c>
      <c r="DA54">
        <f>IF(AND(ISNUMBER(CZ54),逐级计算!$X$104&gt;-1),IF(逐级计算!$X$104=0,CZ54+逐级计算!$C$104,CZ54+逐级计算!$C$104-(10/(逐级计算!$Q$104*LN(10))*(MAX((LN(10^(逐级计算!$Q$104/10)-1)+逐级计算!$Q$104*(CZ54-逐级计算!$P$104)*LN(10)/10),0)+LN(1+EXP(-ABS((LN(10^(逐级计算!$Q$104/10)-1)+逐级计算!$Q$104*(CZ54-逐级计算!$P$104)*LN(10)/10))))))),"")</f>
        <v>13.7930365742086</v>
      </c>
      <c r="DB54">
        <f>IF(AND(ISNUMBER(DA54),逐级计算!$X$105&gt;-1),IF(逐级计算!$X$105=0,DA54+逐级计算!$C$105,DA54+逐级计算!$C$105-(10/(逐级计算!$Q$105*LN(10))*(MAX((LN(10^(逐级计算!$Q$105/10)-1)+逐级计算!$Q$105*(DA54-逐级计算!$P$105)*LN(10)/10),0)+LN(1+EXP(-ABS((LN(10^(逐级计算!$Q$105/10)-1)+逐级计算!$Q$105*(DA54-逐级计算!$P$105)*LN(10)/10))))))),"")</f>
        <v>13.7930365742086</v>
      </c>
      <c r="DC54">
        <f>IF(AND(ISNUMBER(DB54),逐级计算!$X$106&gt;-1),IF(逐级计算!$X$106=0,DB54+逐级计算!$C$106,DB54+逐级计算!$C$106-(10/(逐级计算!$Q$106*LN(10))*(MAX((LN(10^(逐级计算!$Q$106/10)-1)+逐级计算!$Q$106*(DB54-逐级计算!$P$106)*LN(10)/10),0)+LN(1+EXP(-ABS((LN(10^(逐级计算!$Q$106/10)-1)+逐级计算!$Q$106*(DB54-逐级计算!$P$106)*LN(10)/10))))))),"")</f>
        <v>13.7930365742086</v>
      </c>
      <c r="DD54">
        <f>IF(AND(ISNUMBER(DC54),逐级计算!$X$107&gt;-1),IF(逐级计算!$X$107=0,DC54+逐级计算!$C$107,DC54+逐级计算!$C$107-(10/(逐级计算!$Q$107*LN(10))*(MAX((LN(10^(逐级计算!$Q$107/10)-1)+逐级计算!$Q$107*(DC54-逐级计算!$P$107)*LN(10)/10),0)+LN(1+EXP(-ABS((LN(10^(逐级计算!$Q$107/10)-1)+逐级计算!$Q$107*(DC54-逐级计算!$P$107)*LN(10)/10))))))),"")</f>
        <v>13.7930365742086</v>
      </c>
      <c r="DE54">
        <f>IF(AND(ISNUMBER(DD54),逐级计算!$X$108&gt;-1),IF(逐级计算!$X$108=0,DD54+逐级计算!$C$108,DD54+逐级计算!$C$108-(10/(逐级计算!$Q$108*LN(10))*(MAX((LN(10^(逐级计算!$Q$108/10)-1)+逐级计算!$Q$108*(DD54-逐级计算!$P$108)*LN(10)/10),0)+LN(1+EXP(-ABS((LN(10^(逐级计算!$Q$108/10)-1)+逐级计算!$Q$108*(DD54-逐级计算!$P$108)*LN(10)/10))))))),"")</f>
        <v>13.7930365742086</v>
      </c>
      <c r="DF54">
        <f>IF(AND(ISNUMBER(DE54),逐级计算!$X$109&gt;-1),IF(逐级计算!$X$109=0,DE54+逐级计算!$C$109,DE54+逐级计算!$C$109-(10/(逐级计算!$Q$109*LN(10))*(MAX((LN(10^(逐级计算!$Q$109/10)-1)+逐级计算!$Q$109*(DE54-逐级计算!$P$109)*LN(10)/10),0)+LN(1+EXP(-ABS((LN(10^(逐级计算!$Q$109/10)-1)+逐级计算!$Q$109*(DE54-逐级计算!$P$109)*LN(10)/10))))))),"")</f>
        <v>13.7930365742086</v>
      </c>
      <c r="DG54">
        <f>IF(AND(ISNUMBER(DF54),逐级计算!$X$110&gt;-1),IF(逐级计算!$X$110=0,DF54+逐级计算!$C$110,DF54+逐级计算!$C$110-(10/(逐级计算!$Q$110*LN(10))*(MAX((LN(10^(逐级计算!$Q$110/10)-1)+逐级计算!$Q$110*(DF54-逐级计算!$P$110)*LN(10)/10),0)+LN(1+EXP(-ABS((LN(10^(逐级计算!$Q$110/10)-1)+逐级计算!$Q$110*(DF54-逐级计算!$P$110)*LN(10)/10))))))),"")</f>
        <v>13.7930365742086</v>
      </c>
      <c r="DH54">
        <f>IF(AND(ISNUMBER(DG54),逐级计算!$X$111&gt;-1),IF(逐级计算!$X$111=0,DG54+逐级计算!$C$111,DG54+逐级计算!$C$111-(10/(逐级计算!$Q$111*LN(10))*(MAX((LN(10^(逐级计算!$Q$111/10)-1)+逐级计算!$Q$111*(DG54-逐级计算!$P$111)*LN(10)/10),0)+LN(1+EXP(-ABS((LN(10^(逐级计算!$Q$111/10)-1)+逐级计算!$Q$111*(DG54-逐级计算!$P$111)*LN(10)/10))))))),"")</f>
        <v>13.7930365742086</v>
      </c>
      <c r="DI54">
        <f>IF(AND(ISNUMBER(DH54),逐级计算!$X$112&gt;-1),IF(逐级计算!$X$112=0,DH54+逐级计算!$C$112,DH54+逐级计算!$C$112-(10/(逐级计算!$Q$112*LN(10))*(MAX((LN(10^(逐级计算!$Q$112/10)-1)+逐级计算!$Q$112*(DH54-逐级计算!$P$112)*LN(10)/10),0)+LN(1+EXP(-ABS((LN(10^(逐级计算!$Q$112/10)-1)+逐级计算!$Q$112*(DH54-逐级计算!$P$112)*LN(10)/10))))))),"")</f>
        <v>13.7930365742086</v>
      </c>
      <c r="DJ54">
        <f>IF(AND(ISNUMBER(DI54),逐级计算!$X$113&gt;-1),IF(逐级计算!$X$113=0,DI54+逐级计算!$C$113,DI54+逐级计算!$C$113-(10/(逐级计算!$Q$113*LN(10))*(MAX((LN(10^(逐级计算!$Q$113/10)-1)+逐级计算!$Q$113*(DI54-逐级计算!$P$113)*LN(10)/10),0)+LN(1+EXP(-ABS((LN(10^(逐级计算!$Q$113/10)-1)+逐级计算!$Q$113*(DI54-逐级计算!$P$113)*LN(10)/10))))))),"")</f>
        <v>13.7930365742086</v>
      </c>
      <c r="DK54">
        <f>IF(AND(ISNUMBER(DJ54),逐级计算!$X$114&gt;-1),IF(逐级计算!$X$114=0,DJ54+逐级计算!$C$114,DJ54+逐级计算!$C$114-(10/(逐级计算!$Q$114*LN(10))*(MAX((LN(10^(逐级计算!$Q$114/10)-1)+逐级计算!$Q$114*(DJ54-逐级计算!$P$114)*LN(10)/10),0)+LN(1+EXP(-ABS((LN(10^(逐级计算!$Q$114/10)-1)+逐级计算!$Q$114*(DJ54-逐级计算!$P$114)*LN(10)/10))))))),"")</f>
        <v>13.7930365742086</v>
      </c>
      <c r="DL54">
        <f>IF(AND(ISNUMBER(DK54),逐级计算!$X$115&gt;-1),IF(逐级计算!$X$115=0,DK54+逐级计算!$C$115,DK54+逐级计算!$C$115-(10/(逐级计算!$Q$115*LN(10))*(MAX((LN(10^(逐级计算!$Q$115/10)-1)+逐级计算!$Q$115*(DK54-逐级计算!$P$115)*LN(10)/10),0)+LN(1+EXP(-ABS((LN(10^(逐级计算!$Q$115/10)-1)+逐级计算!$Q$115*(DK54-逐级计算!$P$115)*LN(10)/10))))))),"")</f>
        <v>13.7930365742086</v>
      </c>
      <c r="DM54">
        <f>IF(AND(ISNUMBER(DL54),逐级计算!$X$116&gt;-1),IF(逐级计算!$X$116=0,DL54+逐级计算!$C$116,DL54+逐级计算!$C$116-(10/(逐级计算!$Q$116*LN(10))*(MAX((LN(10^(逐级计算!$Q$116/10)-1)+逐级计算!$Q$116*(DL54-逐级计算!$P$116)*LN(10)/10),0)+LN(1+EXP(-ABS((LN(10^(逐级计算!$Q$116/10)-1)+逐级计算!$Q$116*(DL54-逐级计算!$P$116)*LN(10)/10))))))),"")</f>
        <v>13.7930365742086</v>
      </c>
      <c r="DN54">
        <f>IF(AND(ISNUMBER(DM54),逐级计算!$X$117&gt;-1),IF(逐级计算!$X$117=0,DM54+逐级计算!$C$117,DM54+逐级计算!$C$117-(10/(逐级计算!$Q$117*LN(10))*(MAX((LN(10^(逐级计算!$Q$117/10)-1)+逐级计算!$Q$117*(DM54-逐级计算!$P$117)*LN(10)/10),0)+LN(1+EXP(-ABS((LN(10^(逐级计算!$Q$117/10)-1)+逐级计算!$Q$117*(DM54-逐级计算!$P$117)*LN(10)/10))))))),"")</f>
        <v>13.7930365742086</v>
      </c>
      <c r="DO54">
        <f>IF(AND(ISNUMBER(DN54),逐级计算!$X$118&gt;-1),IF(逐级计算!$X$118=0,DN54+逐级计算!$C$118,DN54+逐级计算!$C$118-(10/(逐级计算!$Q$118*LN(10))*(MAX((LN(10^(逐级计算!$Q$118/10)-1)+逐级计算!$Q$118*(DN54-逐级计算!$P$118)*LN(10)/10),0)+LN(1+EXP(-ABS((LN(10^(逐级计算!$Q$118/10)-1)+逐级计算!$Q$118*(DN54-逐级计算!$P$118)*LN(10)/10))))))),"")</f>
        <v>13.7930365742086</v>
      </c>
      <c r="DP54">
        <f>IF(AND(ISNUMBER(DO54),逐级计算!$X$119&gt;-1),IF(逐级计算!$X$119=0,DO54+逐级计算!$C$119,DO54+逐级计算!$C$119-(10/(逐级计算!$Q$119*LN(10))*(MAX((LN(10^(逐级计算!$Q$119/10)-1)+逐级计算!$Q$119*(DO54-逐级计算!$P$119)*LN(10)/10),0)+LN(1+EXP(-ABS((LN(10^(逐级计算!$Q$119/10)-1)+逐级计算!$Q$119*(DO54-逐级计算!$P$119)*LN(10)/10))))))),"")</f>
        <v>13.7930365742086</v>
      </c>
      <c r="DQ54">
        <f>IF(AND(ISNUMBER(DP54),逐级计算!$X$120&gt;-1),IF(逐级计算!$X$120=0,DP54+逐级计算!$C$120,DP54+逐级计算!$C$120-(10/(逐级计算!$Q$120*LN(10))*(MAX((LN(10^(逐级计算!$Q$120/10)-1)+逐级计算!$Q$120*(DP54-逐级计算!$P$120)*LN(10)/10),0)+LN(1+EXP(-ABS((LN(10^(逐级计算!$Q$120/10)-1)+逐级计算!$Q$120*(DP54-逐级计算!$P$120)*LN(10)/10))))))),"")</f>
        <v>13.7930365742086</v>
      </c>
      <c r="DR54">
        <f>IF(AND(ISNUMBER(DQ54),逐级计算!$X$121&gt;-1),IF(逐级计算!$X$121=0,DQ54+逐级计算!$C$121,DQ54+逐级计算!$C$121-(10/(逐级计算!$Q$121*LN(10))*(MAX((LN(10^(逐级计算!$Q$121/10)-1)+逐级计算!$Q$121*(DQ54-逐级计算!$P$121)*LN(10)/10),0)+LN(1+EXP(-ABS((LN(10^(逐级计算!$Q$121/10)-1)+逐级计算!$Q$121*(DQ54-逐级计算!$P$121)*LN(10)/10))))))),"")</f>
        <v>13.7930365742086</v>
      </c>
      <c r="DS54">
        <f>IF(AND(ISNUMBER(DR54),逐级计算!$X$122&gt;-1),IF(逐级计算!$X$122=0,DR54+逐级计算!$C$122,DR54+逐级计算!$C$122-(10/(逐级计算!$Q$122*LN(10))*(MAX((LN(10^(逐级计算!$Q$122/10)-1)+逐级计算!$Q$122*(DR54-逐级计算!$P$122)*LN(10)/10),0)+LN(1+EXP(-ABS((LN(10^(逐级计算!$Q$122/10)-1)+逐级计算!$Q$122*(DR54-逐级计算!$P$122)*LN(10)/10))))))),"")</f>
        <v>13.7930365742086</v>
      </c>
      <c r="DT54">
        <f>IF(AND(ISNUMBER(DS54),逐级计算!$X$123&gt;-1),IF(逐级计算!$X$123=0,DS54+逐级计算!$C$123,DS54+逐级计算!$C$123-(10/(逐级计算!$Q$123*LN(10))*(MAX((LN(10^(逐级计算!$Q$123/10)-1)+逐级计算!$Q$123*(DS54-逐级计算!$P$123)*LN(10)/10),0)+LN(1+EXP(-ABS((LN(10^(逐级计算!$Q$123/10)-1)+逐级计算!$Q$123*(DS54-逐级计算!$P$123)*LN(10)/10))))))),"")</f>
        <v>13.7930365742086</v>
      </c>
      <c r="DU54">
        <f>IF(AND(ISNUMBER(DT54),逐级计算!$X$124&gt;-1),IF(逐级计算!$X$124=0,DT54+逐级计算!$C$124,DT54+逐级计算!$C$124-(10/(逐级计算!$Q$124*LN(10))*(MAX((LN(10^(逐级计算!$Q$124/10)-1)+逐级计算!$Q$124*(DT54-逐级计算!$P$124)*LN(10)/10),0)+LN(1+EXP(-ABS((LN(10^(逐级计算!$Q$124/10)-1)+逐级计算!$Q$124*(DT54-逐级计算!$P$124)*LN(10)/10))))))),"")</f>
        <v>13.7930365742086</v>
      </c>
      <c r="DV54">
        <f>IF(AND(ISNUMBER(DU54),逐级计算!$X$125&gt;-1),IF(逐级计算!$X$125=0,DU54+逐级计算!$C$125,DU54+逐级计算!$C$125-(10/(逐级计算!$Q$125*LN(10))*(MAX((LN(10^(逐级计算!$Q$125/10)-1)+逐级计算!$Q$125*(DU54-逐级计算!$P$125)*LN(10)/10),0)+LN(1+EXP(-ABS((LN(10^(逐级计算!$Q$125/10)-1)+逐级计算!$Q$125*(DU54-逐级计算!$P$125)*LN(10)/10))))))),"")</f>
        <v>13.7930365742086</v>
      </c>
      <c r="DW54">
        <f>IF(AND(ISNUMBER(DV54),逐级计算!$X$126&gt;-1),IF(逐级计算!$X$126=0,DV54+逐级计算!$C$126,DV54+逐级计算!$C$126-(10/(逐级计算!$Q$126*LN(10))*(MAX((LN(10^(逐级计算!$Q$126/10)-1)+逐级计算!$Q$126*(DV54-逐级计算!$P$126)*LN(10)/10),0)+LN(1+EXP(-ABS((LN(10^(逐级计算!$Q$126/10)-1)+逐级计算!$Q$126*(DV54-逐级计算!$P$126)*LN(10)/10))))))),"")</f>
        <v>13.7930365742086</v>
      </c>
      <c r="DX54">
        <f>IF(AND(ISNUMBER(DW54),逐级计算!$X$127&gt;-1),IF(逐级计算!$X$127=0,DW54+逐级计算!$C$127,DW54+逐级计算!$C$127-(10/(逐级计算!$Q$127*LN(10))*(MAX((LN(10^(逐级计算!$Q$127/10)-1)+逐级计算!$Q$127*(DW54-逐级计算!$P$127)*LN(10)/10),0)+LN(1+EXP(-ABS((LN(10^(逐级计算!$Q$127/10)-1)+逐级计算!$Q$127*(DW54-逐级计算!$P$127)*LN(10)/10))))))),"")</f>
        <v>13.7930365742086</v>
      </c>
      <c r="DY54">
        <f>IF(AND(ISNUMBER(DX54),逐级计算!$X$128&gt;-1),IF(逐级计算!$X$128=0,DX54+逐级计算!$C$128,DX54+逐级计算!$C$128-(10/(逐级计算!$Q$128*LN(10))*(MAX((LN(10^(逐级计算!$Q$128/10)-1)+逐级计算!$Q$128*(DX54-逐级计算!$P$128)*LN(10)/10),0)+LN(1+EXP(-ABS((LN(10^(逐级计算!$Q$128/10)-1)+逐级计算!$Q$128*(DX54-逐级计算!$P$128)*LN(10)/10))))))),"")</f>
        <v>13.7930365742086</v>
      </c>
      <c r="DZ54">
        <f>IF(AND(ISNUMBER(DY54),逐级计算!$X$129&gt;-1),IF(逐级计算!$X$129=0,DY54+逐级计算!$C$129,DY54+逐级计算!$C$129-(10/(逐级计算!$Q$129*LN(10))*(MAX((LN(10^(逐级计算!$Q$129/10)-1)+逐级计算!$Q$129*(DY54-逐级计算!$P$129)*LN(10)/10),0)+LN(1+EXP(-ABS((LN(10^(逐级计算!$Q$129/10)-1)+逐级计算!$Q$129*(DY54-逐级计算!$P$129)*LN(10)/10))))))),"")</f>
        <v>13.7930365742086</v>
      </c>
      <c r="EA54">
        <f>IF(AND(ISNUMBER(DZ54),逐级计算!$X$130&gt;-1),IF(逐级计算!$X$130=0,DZ54+逐级计算!$C$130,DZ54+逐级计算!$C$130-(10/(逐级计算!$Q$130*LN(10))*(MAX((LN(10^(逐级计算!$Q$130/10)-1)+逐级计算!$Q$130*(DZ54-逐级计算!$P$130)*LN(10)/10),0)+LN(1+EXP(-ABS((LN(10^(逐级计算!$Q$130/10)-1)+逐级计算!$Q$130*(DZ54-逐级计算!$P$130)*LN(10)/10))))))),"")</f>
        <v>13.7930365742086</v>
      </c>
      <c r="EB54">
        <f>IF(AND(ISNUMBER(EA54),逐级计算!$X$131&gt;-1),IF(逐级计算!$X$131=0,EA54+逐级计算!$C$131,EA54+逐级计算!$C$131-(10/(逐级计算!$Q$131*LN(10))*(MAX((LN(10^(逐级计算!$Q$131/10)-1)+逐级计算!$Q$131*(EA54-逐级计算!$P$131)*LN(10)/10),0)+LN(1+EXP(-ABS((LN(10^(逐级计算!$Q$131/10)-1)+逐级计算!$Q$131*(EA54-逐级计算!$P$131)*LN(10)/10))))))),"")</f>
        <v>13.7930365742086</v>
      </c>
      <c r="EC54">
        <f>IF(AND(ISNUMBER(EB54),逐级计算!$X$132&gt;-1),IF(逐级计算!$X$132=0,EB54+逐级计算!$C$132,EB54+逐级计算!$C$132-(10/(逐级计算!$Q$132*LN(10))*(MAX((LN(10^(逐级计算!$Q$132/10)-1)+逐级计算!$Q$132*(EB54-逐级计算!$P$132)*LN(10)/10),0)+LN(1+EXP(-ABS((LN(10^(逐级计算!$Q$132/10)-1)+逐级计算!$Q$132*(EB54-逐级计算!$P$132)*LN(10)/10))))))),"")</f>
        <v>13.7930365742086</v>
      </c>
      <c r="ED54">
        <f>IF(AND(ISNUMBER(EC54),逐级计算!$X$133&gt;-1),IF(逐级计算!$X$133=0,EC54+逐级计算!$C$133,EC54+逐级计算!$C$133-(10/(逐级计算!$Q$133*LN(10))*(MAX((LN(10^(逐级计算!$Q$133/10)-1)+逐级计算!$Q$133*(EC54-逐级计算!$P$133)*LN(10)/10),0)+LN(1+EXP(-ABS((LN(10^(逐级计算!$Q$133/10)-1)+逐级计算!$Q$133*(EC54-逐级计算!$P$133)*LN(10)/10))))))),"")</f>
        <v>13.7930365742086</v>
      </c>
      <c r="EE54">
        <f>IF(AND(ISNUMBER(ED54),逐级计算!$X$134&gt;-1),IF(逐级计算!$X$134=0,ED54+逐级计算!$C$134,ED54+逐级计算!$C$134-(10/(逐级计算!$Q$134*LN(10))*(MAX((LN(10^(逐级计算!$Q$134/10)-1)+逐级计算!$Q$134*(ED54-逐级计算!$P$134)*LN(10)/10),0)+LN(1+EXP(-ABS((LN(10^(逐级计算!$Q$134/10)-1)+逐级计算!$Q$134*(ED54-逐级计算!$P$134)*LN(10)/10))))))),"")</f>
        <v>13.7930365742086</v>
      </c>
      <c r="EF54">
        <f>IF(AND(ISNUMBER(EE54),逐级计算!$X$135&gt;-1),IF(逐级计算!$X$135=0,EE54+逐级计算!$C$135,EE54+逐级计算!$C$135-(10/(逐级计算!$Q$135*LN(10))*(MAX((LN(10^(逐级计算!$Q$135/10)-1)+逐级计算!$Q$135*(EE54-逐级计算!$P$135)*LN(10)/10),0)+LN(1+EXP(-ABS((LN(10^(逐级计算!$Q$135/10)-1)+逐级计算!$Q$135*(EE54-逐级计算!$P$135)*LN(10)/10))))))),"")</f>
        <v>13.7930365742086</v>
      </c>
      <c r="EG54">
        <f>IF(AND(ISNUMBER(EF54),逐级计算!$X$136&gt;-1),IF(逐级计算!$X$136=0,EF54+逐级计算!$C$136,EF54+逐级计算!$C$136-(10/(逐级计算!$Q$136*LN(10))*(MAX((LN(10^(逐级计算!$Q$136/10)-1)+逐级计算!$Q$136*(EF54-逐级计算!$P$136)*LN(10)/10),0)+LN(1+EXP(-ABS((LN(10^(逐级计算!$Q$136/10)-1)+逐级计算!$Q$136*(EF54-逐级计算!$P$136)*LN(10)/10))))))),"")</f>
        <v>13.7930365742086</v>
      </c>
      <c r="EH54">
        <f>IF(AND(ISNUMBER(EG54),逐级计算!$X$137&gt;-1),IF(逐级计算!$X$137=0,EG54+逐级计算!$C$137,EG54+逐级计算!$C$137-(10/(逐级计算!$Q$137*LN(10))*(MAX((LN(10^(逐级计算!$Q$137/10)-1)+逐级计算!$Q$137*(EG54-逐级计算!$P$137)*LN(10)/10),0)+LN(1+EXP(-ABS((LN(10^(逐级计算!$Q$137/10)-1)+逐级计算!$Q$137*(EG54-逐级计算!$P$137)*LN(10)/10))))))),"")</f>
        <v>13.7930365742086</v>
      </c>
      <c r="EI54">
        <f>IF(AND(ISNUMBER(EH54),逐级计算!$X$138&gt;-1),IF(逐级计算!$X$138=0,EH54+逐级计算!$C$138,EH54+逐级计算!$C$138-(10/(逐级计算!$Q$138*LN(10))*(MAX((LN(10^(逐级计算!$Q$138/10)-1)+逐级计算!$Q$138*(EH54-逐级计算!$P$138)*LN(10)/10),0)+LN(1+EXP(-ABS((LN(10^(逐级计算!$Q$138/10)-1)+逐级计算!$Q$138*(EH54-逐级计算!$P$138)*LN(10)/10))))))),"")</f>
        <v>13.7930365742086</v>
      </c>
      <c r="EJ54">
        <f>IF(AND(ISNUMBER(EI54),逐级计算!$X$139&gt;-1),IF(逐级计算!$X$139=0,EI54+逐级计算!$C$139,EI54+逐级计算!$C$139-(10/(逐级计算!$Q$139*LN(10))*(MAX((LN(10^(逐级计算!$Q$139/10)-1)+逐级计算!$Q$139*(EI54-逐级计算!$P$139)*LN(10)/10),0)+LN(1+EXP(-ABS((LN(10^(逐级计算!$Q$139/10)-1)+逐级计算!$Q$139*(EI54-逐级计算!$P$139)*LN(10)/10))))))),"")</f>
        <v>13.7930365742086</v>
      </c>
      <c r="EK54">
        <f>IF(AND(ISNUMBER(EJ54),逐级计算!$X$140&gt;-1),IF(逐级计算!$X$140=0,EJ54+逐级计算!$C$140,EJ54+逐级计算!$C$140-(10/(逐级计算!$Q$140*LN(10))*(MAX((LN(10^(逐级计算!$Q$140/10)-1)+逐级计算!$Q$140*(EJ54-逐级计算!$P$140)*LN(10)/10),0)+LN(1+EXP(-ABS((LN(10^(逐级计算!$Q$140/10)-1)+逐级计算!$Q$140*(EJ54-逐级计算!$P$140)*LN(10)/10))))))),"")</f>
        <v>13.7930365742086</v>
      </c>
      <c r="EL54">
        <f>IF(AND(ISNUMBER(EK54),逐级计算!$X$141&gt;-1),IF(逐级计算!$X$141=0,EK54+逐级计算!$C$141,EK54+逐级计算!$C$141-(10/(逐级计算!$Q$141*LN(10))*(MAX((LN(10^(逐级计算!$Q$141/10)-1)+逐级计算!$Q$141*(EK54-逐级计算!$P$141)*LN(10)/10),0)+LN(1+EXP(-ABS((LN(10^(逐级计算!$Q$141/10)-1)+逐级计算!$Q$141*(EK54-逐级计算!$P$141)*LN(10)/10))))))),"")</f>
        <v>13.7930365742086</v>
      </c>
      <c r="EM54">
        <f>IF(AND(ISNUMBER(EL54),逐级计算!$X$142&gt;-1),IF(逐级计算!$X$142=0,EL54+逐级计算!$C$142,EL54+逐级计算!$C$142-(10/(逐级计算!$Q$142*LN(10))*(MAX((LN(10^(逐级计算!$Q$142/10)-1)+逐级计算!$Q$142*(EL54-逐级计算!$P$142)*LN(10)/10),0)+LN(1+EXP(-ABS((LN(10^(逐级计算!$Q$142/10)-1)+逐级计算!$Q$142*(EL54-逐级计算!$P$142)*LN(10)/10))))))),"")</f>
        <v>13.7930365742086</v>
      </c>
      <c r="EN54">
        <f>IF(AND(ISNUMBER(EM54),逐级计算!$X$143&gt;-1),IF(逐级计算!$X$143=0,EM54+逐级计算!$C$143,EM54+逐级计算!$C$143-(10/(逐级计算!$Q$143*LN(10))*(MAX((LN(10^(逐级计算!$Q$143/10)-1)+逐级计算!$Q$143*(EM54-逐级计算!$P$143)*LN(10)/10),0)+LN(1+EXP(-ABS((LN(10^(逐级计算!$Q$143/10)-1)+逐级计算!$Q$143*(EM54-逐级计算!$P$143)*LN(10)/10))))))),"")</f>
        <v>13.7930365742086</v>
      </c>
      <c r="EO54">
        <f>IF(AND(ISNUMBER(EN54),逐级计算!$X$144&gt;-1),IF(逐级计算!$X$144=0,EN54+逐级计算!$C$144,EN54+逐级计算!$C$144-(10/(逐级计算!$Q$144*LN(10))*(MAX((LN(10^(逐级计算!$Q$144/10)-1)+逐级计算!$Q$144*(EN54-逐级计算!$P$144)*LN(10)/10),0)+LN(1+EXP(-ABS((LN(10^(逐级计算!$Q$144/10)-1)+逐级计算!$Q$144*(EN54-逐级计算!$P$144)*LN(10)/10))))))),"")</f>
        <v>13.7930365742086</v>
      </c>
      <c r="EP54">
        <f>IF(AND(ISNUMBER(EO54),逐级计算!$X$145&gt;-1),IF(逐级计算!$X$145=0,EO54+逐级计算!$C$145,EO54+逐级计算!$C$145-(10/(逐级计算!$Q$145*LN(10))*(MAX((LN(10^(逐级计算!$Q$145/10)-1)+逐级计算!$Q$145*(EO54-逐级计算!$P$145)*LN(10)/10),0)+LN(1+EXP(-ABS((LN(10^(逐级计算!$Q$145/10)-1)+逐级计算!$Q$145*(EO54-逐级计算!$P$145)*LN(10)/10))))))),"")</f>
        <v>13.7930365742086</v>
      </c>
      <c r="EQ54">
        <f>IF(AND(ISNUMBER(EP54),逐级计算!$X$146&gt;-1),IF(逐级计算!$X$146=0,EP54+逐级计算!$C$146,EP54+逐级计算!$C$146-(10/(逐级计算!$Q$146*LN(10))*(MAX((LN(10^(逐级计算!$Q$146/10)-1)+逐级计算!$Q$146*(EP54-逐级计算!$P$146)*LN(10)/10),0)+LN(1+EXP(-ABS((LN(10^(逐级计算!$Q$146/10)-1)+逐级计算!$Q$146*(EP54-逐级计算!$P$146)*LN(10)/10))))))),"")</f>
        <v>13.7930365742086</v>
      </c>
      <c r="ER54">
        <f>IF(AND(ISNUMBER(EQ54),逐级计算!$X$147&gt;-1),IF(逐级计算!$X$147=0,EQ54+逐级计算!$C$147,EQ54+逐级计算!$C$147-(10/(逐级计算!$Q$147*LN(10))*(MAX((LN(10^(逐级计算!$Q$147/10)-1)+逐级计算!$Q$147*(EQ54-逐级计算!$P$147)*LN(10)/10),0)+LN(1+EXP(-ABS((LN(10^(逐级计算!$Q$147/10)-1)+逐级计算!$Q$147*(EQ54-逐级计算!$P$147)*LN(10)/10))))))),"")</f>
        <v>13.7930365742086</v>
      </c>
      <c r="ES54">
        <f>IF(AND(ISNUMBER(ER54),逐级计算!$X$148&gt;-1),IF(逐级计算!$X$148=0,ER54+逐级计算!$C$148,ER54+逐级计算!$C$148-(10/(逐级计算!$Q$148*LN(10))*(MAX((LN(10^(逐级计算!$Q$148/10)-1)+逐级计算!$Q$148*(ER54-逐级计算!$P$148)*LN(10)/10),0)+LN(1+EXP(-ABS((LN(10^(逐级计算!$Q$148/10)-1)+逐级计算!$Q$148*(ER54-逐级计算!$P$148)*LN(10)/10))))))),"")</f>
        <v>13.7930365742086</v>
      </c>
      <c r="ET54">
        <f>IF(AND(ISNUMBER(ES54),逐级计算!$X$149&gt;-1),IF(逐级计算!$X$149=0,ES54+逐级计算!$C$149,ES54+逐级计算!$C$149-(10/(逐级计算!$Q$149*LN(10))*(MAX((LN(10^(逐级计算!$Q$149/10)-1)+逐级计算!$Q$149*(ES54-逐级计算!$P$149)*LN(10)/10),0)+LN(1+EXP(-ABS((LN(10^(逐级计算!$Q$149/10)-1)+逐级计算!$Q$149*(ES54-逐级计算!$P$149)*LN(10)/10))))))),"")</f>
        <v>13.7930365742086</v>
      </c>
      <c r="EU54">
        <f>IF(AND(ISNUMBER(ET54),逐级计算!$X$150&gt;-1),IF(逐级计算!$X$150=0,ET54+逐级计算!$C$150,ET54+逐级计算!$C$150-(10/(逐级计算!$Q$150*LN(10))*(MAX((LN(10^(逐级计算!$Q$150/10)-1)+逐级计算!$Q$150*(ET54-逐级计算!$P$150)*LN(10)/10),0)+LN(1+EXP(-ABS((LN(10^(逐级计算!$Q$150/10)-1)+逐级计算!$Q$150*(ET54-逐级计算!$P$150)*LN(10)/10))))))),"")</f>
        <v>13.7930365742086</v>
      </c>
      <c r="EV54">
        <f>IF(AND(ISNUMBER(EU54),逐级计算!$X$151&gt;-1),IF(逐级计算!$X$151=0,EU54+逐级计算!$C$151,EU54+逐级计算!$C$151-(10/(逐级计算!$Q$151*LN(10))*(MAX((LN(10^(逐级计算!$Q$151/10)-1)+逐级计算!$Q$151*(EU54-逐级计算!$P$151)*LN(10)/10),0)+LN(1+EXP(-ABS((LN(10^(逐级计算!$Q$151/10)-1)+逐级计算!$Q$151*(EU54-逐级计算!$P$151)*LN(10)/10))))))),"")</f>
        <v>13.7930365742086</v>
      </c>
      <c r="EW54">
        <f>IF(AND(ISNUMBER(EV54),逐级计算!$X$152&gt;-1),IF(逐级计算!$X$152=0,EV54+逐级计算!$C$152,EV54+逐级计算!$C$152-(10/(逐级计算!$Q$152*LN(10))*(MAX((LN(10^(逐级计算!$Q$152/10)-1)+逐级计算!$Q$152*(EV54-逐级计算!$P$152)*LN(10)/10),0)+LN(1+EXP(-ABS((LN(10^(逐级计算!$Q$152/10)-1)+逐级计算!$Q$152*(EV54-逐级计算!$P$152)*LN(10)/10))))))),"")</f>
        <v>13.7930365742086</v>
      </c>
      <c r="EX54">
        <f>IF(AND(ISNUMBER(EW54),逐级计算!$X$153&gt;-1),IF(逐级计算!$X$153=0,EW54+逐级计算!$C$153,EW54+逐级计算!$C$153-(10/(逐级计算!$Q$153*LN(10))*(MAX((LN(10^(逐级计算!$Q$153/10)-1)+逐级计算!$Q$153*(EW54-逐级计算!$P$153)*LN(10)/10),0)+LN(1+EXP(-ABS((LN(10^(逐级计算!$Q$153/10)-1)+逐级计算!$Q$153*(EW54-逐级计算!$P$153)*LN(10)/10))))))),"")</f>
        <v>13.7930365742086</v>
      </c>
      <c r="EY54">
        <f>IF(AND(ISNUMBER(EX54),逐级计算!$X$154&gt;-1),IF(逐级计算!$X$154=0,EX54+逐级计算!$C$154,EX54+逐级计算!$C$154-(10/(逐级计算!$Q$154*LN(10))*(MAX((LN(10^(逐级计算!$Q$154/10)-1)+逐级计算!$Q$154*(EX54-逐级计算!$P$154)*LN(10)/10),0)+LN(1+EXP(-ABS((LN(10^(逐级计算!$Q$154/10)-1)+逐级计算!$Q$154*(EX54-逐级计算!$P$154)*LN(10)/10))))))),"")</f>
        <v>13.7930365742086</v>
      </c>
      <c r="EZ54">
        <f>IF(AND(ISNUMBER(EY54),逐级计算!$X$155&gt;-1),IF(逐级计算!$X$155=0,EY54+逐级计算!$C$155,EY54+逐级计算!$C$155-(10/(逐级计算!$Q$155*LN(10))*(MAX((LN(10^(逐级计算!$Q$155/10)-1)+逐级计算!$Q$155*(EY54-逐级计算!$P$155)*LN(10)/10),0)+LN(1+EXP(-ABS((LN(10^(逐级计算!$Q$155/10)-1)+逐级计算!$Q$155*(EY54-逐级计算!$P$155)*LN(10)/10))))))),"")</f>
        <v>13.7930365742086</v>
      </c>
      <c r="FA54">
        <f>IF(AND(ISNUMBER(EZ54),逐级计算!$X$156&gt;-1),IF(逐级计算!$X$156=0,EZ54+逐级计算!$C$156,EZ54+逐级计算!$C$156-(10/(逐级计算!$Q$156*LN(10))*(MAX((LN(10^(逐级计算!$Q$156/10)-1)+逐级计算!$Q$156*(EZ54-逐级计算!$P$156)*LN(10)/10),0)+LN(1+EXP(-ABS((LN(10^(逐级计算!$Q$156/10)-1)+逐级计算!$Q$156*(EZ54-逐级计算!$P$156)*LN(10)/10))))))),"")</f>
        <v>13.7930365742086</v>
      </c>
      <c r="FB54">
        <f>IF(AND(ISNUMBER(FA54),逐级计算!$X$157&gt;-1),IF(逐级计算!$X$157=0,FA54+逐级计算!$C$157,FA54+逐级计算!$C$157-(10/(逐级计算!$Q$157*LN(10))*(MAX((LN(10^(逐级计算!$Q$157/10)-1)+逐级计算!$Q$157*(FA54-逐级计算!$P$157)*LN(10)/10),0)+LN(1+EXP(-ABS((LN(10^(逐级计算!$Q$157/10)-1)+逐级计算!$Q$157*(FA54-逐级计算!$P$157)*LN(10)/10))))))),"")</f>
        <v>13.7930365742086</v>
      </c>
      <c r="FC54">
        <f>IF(AND(ISNUMBER(FB54),逐级计算!$X$158&gt;-1),IF(逐级计算!$X$158=0,FB54+逐级计算!$C$158,FB54+逐级计算!$C$158-(10/(逐级计算!$Q$158*LN(10))*(MAX((LN(10^(逐级计算!$Q$158/10)-1)+逐级计算!$Q$158*(FB54-逐级计算!$P$158)*LN(10)/10),0)+LN(1+EXP(-ABS((LN(10^(逐级计算!$Q$158/10)-1)+逐级计算!$Q$158*(FB54-逐级计算!$P$158)*LN(10)/10))))))),"")</f>
        <v>13.7930365742086</v>
      </c>
      <c r="FD54">
        <f>IF(AND(ISNUMBER(FC54),逐级计算!$X$159&gt;-1),IF(逐级计算!$X$159=0,FC54+逐级计算!$C$159,FC54+逐级计算!$C$159-(10/(逐级计算!$Q$159*LN(10))*(MAX((LN(10^(逐级计算!$Q$159/10)-1)+逐级计算!$Q$159*(FC54-逐级计算!$P$159)*LN(10)/10),0)+LN(1+EXP(-ABS((LN(10^(逐级计算!$Q$159/10)-1)+逐级计算!$Q$159*(FC54-逐级计算!$P$159)*LN(10)/10))))))),"")</f>
        <v>13.7930365742086</v>
      </c>
      <c r="FE54">
        <f>IF(AND(ISNUMBER(FD54),逐级计算!$X$160&gt;-1),IF(逐级计算!$X$160=0,FD54+逐级计算!$C$160,FD54+逐级计算!$C$160-(10/(逐级计算!$Q$160*LN(10))*(MAX((LN(10^(逐级计算!$Q$160/10)-1)+逐级计算!$Q$160*(FD54-逐级计算!$P$160)*LN(10)/10),0)+LN(1+EXP(-ABS((LN(10^(逐级计算!$Q$160/10)-1)+逐级计算!$Q$160*(FD54-逐级计算!$P$160)*LN(10)/10))))))),"")</f>
        <v>13.7930365742086</v>
      </c>
      <c r="FF54">
        <f>IF(AND(ISNUMBER(FE54),逐级计算!$X$161&gt;-1),IF(逐级计算!$X$161=0,FE54+逐级计算!$C$161,FE54+逐级计算!$C$161-(10/(逐级计算!$Q$161*LN(10))*(MAX((LN(10^(逐级计算!$Q$161/10)-1)+逐级计算!$Q$161*(FE54-逐级计算!$P$161)*LN(10)/10),0)+LN(1+EXP(-ABS((LN(10^(逐级计算!$Q$161/10)-1)+逐级计算!$Q$161*(FE54-逐级计算!$P$161)*LN(10)/10))))))),"")</f>
        <v>13.7930365742086</v>
      </c>
      <c r="FG54">
        <f>IF(AND(ISNUMBER(FF54),逐级计算!$X$162&gt;-1),IF(逐级计算!$X$162=0,FF54+逐级计算!$C$162,FF54+逐级计算!$C$162-(10/(逐级计算!$Q$162*LN(10))*(MAX((LN(10^(逐级计算!$Q$162/10)-1)+逐级计算!$Q$162*(FF54-逐级计算!$P$162)*LN(10)/10),0)+LN(1+EXP(-ABS((LN(10^(逐级计算!$Q$162/10)-1)+逐级计算!$Q$162*(FF54-逐级计算!$P$162)*LN(10)/10))))))),"")</f>
        <v>13.7930365742086</v>
      </c>
      <c r="FH54">
        <f>IF(AND(ISNUMBER(FG54),逐级计算!$X$163&gt;-1),IF(逐级计算!$X$163=0,FG54+逐级计算!$C$163,FG54+逐级计算!$C$163-(10/(逐级计算!$Q$163*LN(10))*(MAX((LN(10^(逐级计算!$Q$163/10)-1)+逐级计算!$Q$163*(FG54-逐级计算!$P$163)*LN(10)/10),0)+LN(1+EXP(-ABS((LN(10^(逐级计算!$Q$163/10)-1)+逐级计算!$Q$163*(FG54-逐级计算!$P$163)*LN(10)/10))))))),"")</f>
        <v>13.7930365742086</v>
      </c>
      <c r="FI54">
        <f>IF(AND(ISNUMBER(FH54),逐级计算!$X$164&gt;-1),IF(逐级计算!$X$164=0,FH54+逐级计算!$C$164,FH54+逐级计算!$C$164-(10/(逐级计算!$Q$164*LN(10))*(MAX((LN(10^(逐级计算!$Q$164/10)-1)+逐级计算!$Q$164*(FH54-逐级计算!$P$164)*LN(10)/10),0)+LN(1+EXP(-ABS((LN(10^(逐级计算!$Q$164/10)-1)+逐级计算!$Q$164*(FH54-逐级计算!$P$164)*LN(10)/10))))))),"")</f>
        <v>13.7930365742086</v>
      </c>
      <c r="FJ54">
        <f>IF(AND(ISNUMBER(FI54),逐级计算!$X$165&gt;-1),IF(逐级计算!$X$165=0,FI54+逐级计算!$C$165,FI54+逐级计算!$C$165-(10/(逐级计算!$Q$165*LN(10))*(MAX((LN(10^(逐级计算!$Q$165/10)-1)+逐级计算!$Q$165*(FI54-逐级计算!$P$165)*LN(10)/10),0)+LN(1+EXP(-ABS((LN(10^(逐级计算!$Q$165/10)-1)+逐级计算!$Q$165*(FI54-逐级计算!$P$165)*LN(10)/10))))))),"")</f>
        <v>13.7930365742086</v>
      </c>
      <c r="FK54">
        <f>IF(AND(ISNUMBER(FJ54),逐级计算!$X$166&gt;-1),IF(逐级计算!$X$166=0,FJ54+逐级计算!$C$166,FJ54+逐级计算!$C$166-(10/(逐级计算!$Q$166*LN(10))*(MAX((LN(10^(逐级计算!$Q$166/10)-1)+逐级计算!$Q$166*(FJ54-逐级计算!$P$166)*LN(10)/10),0)+LN(1+EXP(-ABS((LN(10^(逐级计算!$Q$166/10)-1)+逐级计算!$Q$166*(FJ54-逐级计算!$P$166)*LN(10)/10))))))),"")</f>
        <v>13.7930365742086</v>
      </c>
      <c r="FL54">
        <f>IF(AND(ISNUMBER(FK54),逐级计算!$X$167&gt;-1),IF(逐级计算!$X$167=0,FK54+逐级计算!$C$167,FK54+逐级计算!$C$167-(10/(逐级计算!$Q$167*LN(10))*(MAX((LN(10^(逐级计算!$Q$167/10)-1)+逐级计算!$Q$167*(FK54-逐级计算!$P$167)*LN(10)/10),0)+LN(1+EXP(-ABS((LN(10^(逐级计算!$Q$167/10)-1)+逐级计算!$Q$167*(FK54-逐级计算!$P$167)*LN(10)/10))))))),"")</f>
        <v>13.7930365742086</v>
      </c>
      <c r="FM54">
        <f>IF(AND(ISNUMBER(FL54),逐级计算!$X$168&gt;-1),IF(逐级计算!$X$168=0,FL54+逐级计算!$C$168,FL54+逐级计算!$C$168-(10/(逐级计算!$Q$168*LN(10))*(MAX((LN(10^(逐级计算!$Q$168/10)-1)+逐级计算!$Q$168*(FL54-逐级计算!$P$168)*LN(10)/10),0)+LN(1+EXP(-ABS((LN(10^(逐级计算!$Q$168/10)-1)+逐级计算!$Q$168*(FL54-逐级计算!$P$168)*LN(10)/10))))))),"")</f>
        <v>13.7930365742086</v>
      </c>
      <c r="FN54">
        <f>IF(AND(ISNUMBER(FM54),逐级计算!$X$169&gt;-1),IF(逐级计算!$X$169=0,FM54+逐级计算!$C$169,FM54+逐级计算!$C$169-(10/(逐级计算!$Q$169*LN(10))*(MAX((LN(10^(逐级计算!$Q$169/10)-1)+逐级计算!$Q$169*(FM54-逐级计算!$P$169)*LN(10)/10),0)+LN(1+EXP(-ABS((LN(10^(逐级计算!$Q$169/10)-1)+逐级计算!$Q$169*(FM54-逐级计算!$P$169)*LN(10)/10))))))),"")</f>
        <v>13.7930365742086</v>
      </c>
      <c r="FO54">
        <f>IF(AND(ISNUMBER(FN54),逐级计算!$X$170&gt;-1),IF(逐级计算!$X$170=0,FN54+逐级计算!$C$170,FN54+逐级计算!$C$170-(10/(逐级计算!$Q$170*LN(10))*(MAX((LN(10^(逐级计算!$Q$170/10)-1)+逐级计算!$Q$170*(FN54-逐级计算!$P$170)*LN(10)/10),0)+LN(1+EXP(-ABS((LN(10^(逐级计算!$Q$170/10)-1)+逐级计算!$Q$170*(FN54-逐级计算!$P$170)*LN(10)/10))))))),"")</f>
        <v>13.7930365742086</v>
      </c>
      <c r="FP54">
        <f>IF(AND(ISNUMBER(FO54),逐级计算!$X$171&gt;-1),IF(逐级计算!$X$171=0,FO54+逐级计算!$C$171,FO54+逐级计算!$C$171-(10/(逐级计算!$Q$171*LN(10))*(MAX((LN(10^(逐级计算!$Q$171/10)-1)+逐级计算!$Q$171*(FO54-逐级计算!$P$171)*LN(10)/10),0)+LN(1+EXP(-ABS((LN(10^(逐级计算!$Q$171/10)-1)+逐级计算!$Q$171*(FO54-逐级计算!$P$171)*LN(10)/10))))))),"")</f>
        <v>13.7930365742086</v>
      </c>
      <c r="FQ54">
        <f>IF(AND(ISNUMBER(FP54),逐级计算!$X$172&gt;-1),IF(逐级计算!$X$172=0,FP54+逐级计算!$C$172,FP54+逐级计算!$C$172-(10/(逐级计算!$Q$172*LN(10))*(MAX((LN(10^(逐级计算!$Q$172/10)-1)+逐级计算!$Q$172*(FP54-逐级计算!$P$172)*LN(10)/10),0)+LN(1+EXP(-ABS((LN(10^(逐级计算!$Q$172/10)-1)+逐级计算!$Q$172*(FP54-逐级计算!$P$172)*LN(10)/10))))))),"")</f>
        <v>13.7930365742086</v>
      </c>
      <c r="FR54">
        <f>IF(AND(ISNUMBER(FQ54),逐级计算!$X$173&gt;-1),IF(逐级计算!$X$173=0,FQ54+逐级计算!$C$173,FQ54+逐级计算!$C$173-(10/(逐级计算!$Q$173*LN(10))*(MAX((LN(10^(逐级计算!$Q$173/10)-1)+逐级计算!$Q$173*(FQ54-逐级计算!$P$173)*LN(10)/10),0)+LN(1+EXP(-ABS((LN(10^(逐级计算!$Q$173/10)-1)+逐级计算!$Q$173*(FQ54-逐级计算!$P$173)*LN(10)/10))))))),"")</f>
        <v>13.7930365742086</v>
      </c>
      <c r="FS54">
        <f>IF(AND(ISNUMBER(FR54),逐级计算!$X$174&gt;-1),IF(逐级计算!$X$174=0,FR54+逐级计算!$C$174,FR54+逐级计算!$C$174-(10/(逐级计算!$Q$174*LN(10))*(MAX((LN(10^(逐级计算!$Q$174/10)-1)+逐级计算!$Q$174*(FR54-逐级计算!$P$174)*LN(10)/10),0)+LN(1+EXP(-ABS((LN(10^(逐级计算!$Q$174/10)-1)+逐级计算!$Q$174*(FR54-逐级计算!$P$174)*LN(10)/10))))))),"")</f>
        <v>13.7930365742086</v>
      </c>
      <c r="FT54">
        <f>IF(AND(ISNUMBER(FS54),逐级计算!$X$175&gt;-1),IF(逐级计算!$X$175=0,FS54+逐级计算!$C$175,FS54+逐级计算!$C$175-(10/(逐级计算!$Q$175*LN(10))*(MAX((LN(10^(逐级计算!$Q$175/10)-1)+逐级计算!$Q$175*(FS54-逐级计算!$P$175)*LN(10)/10),0)+LN(1+EXP(-ABS((LN(10^(逐级计算!$Q$175/10)-1)+逐级计算!$Q$175*(FS54-逐级计算!$P$175)*LN(10)/10))))))),"")</f>
        <v>13.7930365742086</v>
      </c>
      <c r="FU54">
        <f>IF(AND(ISNUMBER(FT54),逐级计算!$X$176&gt;-1),IF(逐级计算!$X$176=0,FT54+逐级计算!$C$176,FT54+逐级计算!$C$176-(10/(逐级计算!$Q$176*LN(10))*(MAX((LN(10^(逐级计算!$Q$176/10)-1)+逐级计算!$Q$176*(FT54-逐级计算!$P$176)*LN(10)/10),0)+LN(1+EXP(-ABS((LN(10^(逐级计算!$Q$176/10)-1)+逐级计算!$Q$176*(FT54-逐级计算!$P$176)*LN(10)/10))))))),"")</f>
        <v>13.7930365742086</v>
      </c>
      <c r="FV54">
        <f>IF(AND(ISNUMBER(FU54),逐级计算!$X$177&gt;-1),IF(逐级计算!$X$177=0,FU54+逐级计算!$C$177,FU54+逐级计算!$C$177-(10/(逐级计算!$Q$177*LN(10))*(MAX((LN(10^(逐级计算!$Q$177/10)-1)+逐级计算!$Q$177*(FU54-逐级计算!$P$177)*LN(10)/10),0)+LN(1+EXP(-ABS((LN(10^(逐级计算!$Q$177/10)-1)+逐级计算!$Q$177*(FU54-逐级计算!$P$177)*LN(10)/10))))))),"")</f>
        <v>13.7930365742086</v>
      </c>
      <c r="FW54">
        <f>IF(AND(ISNUMBER(FV54),逐级计算!$X$178&gt;-1),IF(逐级计算!$X$178=0,FV54+逐级计算!$C$178,FV54+逐级计算!$C$178-(10/(逐级计算!$Q$178*LN(10))*(MAX((LN(10^(逐级计算!$Q$178/10)-1)+逐级计算!$Q$178*(FV54-逐级计算!$P$178)*LN(10)/10),0)+LN(1+EXP(-ABS((LN(10^(逐级计算!$Q$178/10)-1)+逐级计算!$Q$178*(FV54-逐级计算!$P$178)*LN(10)/10))))))),"")</f>
        <v>13.7930365742086</v>
      </c>
      <c r="FX54">
        <f>IF(AND(ISNUMBER(FW54),逐级计算!$X$179&gt;-1),IF(逐级计算!$X$179=0,FW54+逐级计算!$C$179,FW54+逐级计算!$C$179-(10/(逐级计算!$Q$179*LN(10))*(MAX((LN(10^(逐级计算!$Q$179/10)-1)+逐级计算!$Q$179*(FW54-逐级计算!$P$179)*LN(10)/10),0)+LN(1+EXP(-ABS((LN(10^(逐级计算!$Q$179/10)-1)+逐级计算!$Q$179*(FW54-逐级计算!$P$179)*LN(10)/10))))))),"")</f>
        <v>13.7930365742086</v>
      </c>
      <c r="FY54">
        <f>IF(AND(ISNUMBER(FX54),逐级计算!$X$180&gt;-1),IF(逐级计算!$X$180=0,FX54+逐级计算!$C$180,FX54+逐级计算!$C$180-(10/(逐级计算!$Q$180*LN(10))*(MAX((LN(10^(逐级计算!$Q$180/10)-1)+逐级计算!$Q$180*(FX54-逐级计算!$P$180)*LN(10)/10),0)+LN(1+EXP(-ABS((LN(10^(逐级计算!$Q$180/10)-1)+逐级计算!$Q$180*(FX54-逐级计算!$P$180)*LN(10)/10))))))),"")</f>
        <v>13.7930365742086</v>
      </c>
      <c r="FZ54">
        <f>IF(AND(ISNUMBER(FY54),逐级计算!$X$181&gt;-1),IF(逐级计算!$X$181=0,FY54+逐级计算!$C$181,FY54+逐级计算!$C$181-(10/(逐级计算!$Q$181*LN(10))*(MAX((LN(10^(逐级计算!$Q$181/10)-1)+逐级计算!$Q$181*(FY54-逐级计算!$P$181)*LN(10)/10),0)+LN(1+EXP(-ABS((LN(10^(逐级计算!$Q$181/10)-1)+逐级计算!$Q$181*(FY54-逐级计算!$P$181)*LN(10)/10))))))),"")</f>
        <v>13.7930365742086</v>
      </c>
      <c r="GA54">
        <f>IF(AND(ISNUMBER(FZ54),逐级计算!$X$182&gt;-1),IF(逐级计算!$X$182=0,FZ54+逐级计算!$C$182,FZ54+逐级计算!$C$182-(10/(逐级计算!$Q$182*LN(10))*(MAX((LN(10^(逐级计算!$Q$182/10)-1)+逐级计算!$Q$182*(FZ54-逐级计算!$P$182)*LN(10)/10),0)+LN(1+EXP(-ABS((LN(10^(逐级计算!$Q$182/10)-1)+逐级计算!$Q$182*(FZ54-逐级计算!$P$182)*LN(10)/10))))))),"")</f>
        <v>13.7930365742086</v>
      </c>
      <c r="GB54">
        <f>IF(AND(ISNUMBER(GA54),逐级计算!$X$183&gt;-1),IF(逐级计算!$X$183=0,GA54+逐级计算!$C$183,GA54+逐级计算!$C$183-(10/(逐级计算!$Q$183*LN(10))*(MAX((LN(10^(逐级计算!$Q$183/10)-1)+逐级计算!$Q$183*(GA54-逐级计算!$P$183)*LN(10)/10),0)+LN(1+EXP(-ABS((LN(10^(逐级计算!$Q$183/10)-1)+逐级计算!$Q$183*(GA54-逐级计算!$P$183)*LN(10)/10))))))),"")</f>
        <v>13.7930365742086</v>
      </c>
      <c r="GC54">
        <f>IF(AND(ISNUMBER(GB54),逐级计算!$X$184&gt;-1),IF(逐级计算!$X$184=0,GB54+逐级计算!$C$184,GB54+逐级计算!$C$184-(10/(逐级计算!$Q$184*LN(10))*(MAX((LN(10^(逐级计算!$Q$184/10)-1)+逐级计算!$Q$184*(GB54-逐级计算!$P$184)*LN(10)/10),0)+LN(1+EXP(-ABS((LN(10^(逐级计算!$Q$184/10)-1)+逐级计算!$Q$184*(GB54-逐级计算!$P$184)*LN(10)/10))))))),"")</f>
        <v>13.7930365742086</v>
      </c>
      <c r="GD54">
        <f>IF(AND(ISNUMBER(GC54),逐级计算!$X$185&gt;-1),IF(逐级计算!$X$185=0,GC54+逐级计算!$C$185,GC54+逐级计算!$C$185-(10/(逐级计算!$Q$185*LN(10))*(MAX((LN(10^(逐级计算!$Q$185/10)-1)+逐级计算!$Q$185*(GC54-逐级计算!$P$185)*LN(10)/10),0)+LN(1+EXP(-ABS((LN(10^(逐级计算!$Q$185/10)-1)+逐级计算!$Q$185*(GC54-逐级计算!$P$185)*LN(10)/10))))))),"")</f>
        <v>13.7930365742086</v>
      </c>
      <c r="GE54">
        <f>IF(AND(ISNUMBER(GD54),逐级计算!$X$186&gt;-1),IF(逐级计算!$X$186=0,GD54+逐级计算!$C$186,GD54+逐级计算!$C$186-(10/(逐级计算!$Q$186*LN(10))*(MAX((LN(10^(逐级计算!$Q$186/10)-1)+逐级计算!$Q$186*(GD54-逐级计算!$P$186)*LN(10)/10),0)+LN(1+EXP(-ABS((LN(10^(逐级计算!$Q$186/10)-1)+逐级计算!$Q$186*(GD54-逐级计算!$P$186)*LN(10)/10))))))),"")</f>
        <v>13.7930365742086</v>
      </c>
      <c r="GF54">
        <f>IF(AND(ISNUMBER(GE54),逐级计算!$X$187&gt;-1),IF(逐级计算!$X$187=0,GE54+逐级计算!$C$187,GE54+逐级计算!$C$187-(10/(逐级计算!$Q$187*LN(10))*(MAX((LN(10^(逐级计算!$Q$187/10)-1)+逐级计算!$Q$187*(GE54-逐级计算!$P$187)*LN(10)/10),0)+LN(1+EXP(-ABS((LN(10^(逐级计算!$Q$187/10)-1)+逐级计算!$Q$187*(GE54-逐级计算!$P$187)*LN(10)/10))))))),"")</f>
        <v>13.7930365742086</v>
      </c>
      <c r="GG54">
        <f>IF(AND(ISNUMBER(GF54),逐级计算!$X$188&gt;-1),IF(逐级计算!$X$188=0,GF54+逐级计算!$C$188,GF54+逐级计算!$C$188-(10/(逐级计算!$Q$188*LN(10))*(MAX((LN(10^(逐级计算!$Q$188/10)-1)+逐级计算!$Q$188*(GF54-逐级计算!$P$188)*LN(10)/10),0)+LN(1+EXP(-ABS((LN(10^(逐级计算!$Q$188/10)-1)+逐级计算!$Q$188*(GF54-逐级计算!$P$188)*LN(10)/10))))))),"")</f>
        <v>13.7930365742086</v>
      </c>
      <c r="GH54">
        <f>IF(AND(ISNUMBER(GG54),逐级计算!$X$189&gt;-1),IF(逐级计算!$X$189=0,GG54+逐级计算!$C$189,GG54+逐级计算!$C$189-(10/(逐级计算!$Q$189*LN(10))*(MAX((LN(10^(逐级计算!$Q$189/10)-1)+逐级计算!$Q$189*(GG54-逐级计算!$P$189)*LN(10)/10),0)+LN(1+EXP(-ABS((LN(10^(逐级计算!$Q$189/10)-1)+逐级计算!$Q$189*(GG54-逐级计算!$P$189)*LN(10)/10))))))),"")</f>
        <v>13.7930365742086</v>
      </c>
      <c r="GI54">
        <f>IF(AND(ISNUMBER(GH54),逐级计算!$X$190&gt;-1),IF(逐级计算!$X$190=0,GH54+逐级计算!$C$190,GH54+逐级计算!$C$190-(10/(逐级计算!$Q$190*LN(10))*(MAX((LN(10^(逐级计算!$Q$190/10)-1)+逐级计算!$Q$190*(GH54-逐级计算!$P$190)*LN(10)/10),0)+LN(1+EXP(-ABS((LN(10^(逐级计算!$Q$190/10)-1)+逐级计算!$Q$190*(GH54-逐级计算!$P$190)*LN(10)/10))))))),"")</f>
        <v>13.7930365742086</v>
      </c>
      <c r="GJ54">
        <f>IF(AND(ISNUMBER(GI54),逐级计算!$X$191&gt;-1),IF(逐级计算!$X$191=0,GI54+逐级计算!$C$191,GI54+逐级计算!$C$191-(10/(逐级计算!$Q$191*LN(10))*(MAX((LN(10^(逐级计算!$Q$191/10)-1)+逐级计算!$Q$191*(GI54-逐级计算!$P$191)*LN(10)/10),0)+LN(1+EXP(-ABS((LN(10^(逐级计算!$Q$191/10)-1)+逐级计算!$Q$191*(GI54-逐级计算!$P$191)*LN(10)/10))))))),"")</f>
        <v>13.7930365742086</v>
      </c>
      <c r="GK54">
        <f>IF(AND(ISNUMBER(GJ54),逐级计算!$X$192&gt;-1),IF(逐级计算!$X$192=0,GJ54+逐级计算!$C$192,GJ54+逐级计算!$C$192-(10/(逐级计算!$Q$192*LN(10))*(MAX((LN(10^(逐级计算!$Q$192/10)-1)+逐级计算!$Q$192*(GJ54-逐级计算!$P$192)*LN(10)/10),0)+LN(1+EXP(-ABS((LN(10^(逐级计算!$Q$192/10)-1)+逐级计算!$Q$192*(GJ54-逐级计算!$P$192)*LN(10)/10))))))),"")</f>
        <v>13.7930365742086</v>
      </c>
      <c r="GL54">
        <f>IF(AND(ISNUMBER(GK54),逐级计算!$X$193&gt;-1),IF(逐级计算!$X$193=0,GK54+逐级计算!$C$193,GK54+逐级计算!$C$193-(10/(逐级计算!$Q$193*LN(10))*(MAX((LN(10^(逐级计算!$Q$193/10)-1)+逐级计算!$Q$193*(GK54-逐级计算!$P$193)*LN(10)/10),0)+LN(1+EXP(-ABS((LN(10^(逐级计算!$Q$193/10)-1)+逐级计算!$Q$193*(GK54-逐级计算!$P$193)*LN(10)/10))))))),"")</f>
        <v>13.7930365742086</v>
      </c>
      <c r="GM54">
        <f>IF(AND(ISNUMBER(GL54),逐级计算!$X$194&gt;-1),IF(逐级计算!$X$194=0,GL54+逐级计算!$C$194,GL54+逐级计算!$C$194-(10/(逐级计算!$Q$194*LN(10))*(MAX((LN(10^(逐级计算!$Q$194/10)-1)+逐级计算!$Q$194*(GL54-逐级计算!$P$194)*LN(10)/10),0)+LN(1+EXP(-ABS((LN(10^(逐级计算!$Q$194/10)-1)+逐级计算!$Q$194*(GL54-逐级计算!$P$194)*LN(10)/10))))))),"")</f>
        <v>13.7930365742086</v>
      </c>
      <c r="GN54">
        <f>IF(AND(ISNUMBER(GM54),逐级计算!$X$195&gt;-1),IF(逐级计算!$X$195=0,GM54+逐级计算!$C$195,GM54+逐级计算!$C$195-(10/(逐级计算!$Q$195*LN(10))*(MAX((LN(10^(逐级计算!$Q$195/10)-1)+逐级计算!$Q$195*(GM54-逐级计算!$P$195)*LN(10)/10),0)+LN(1+EXP(-ABS((LN(10^(逐级计算!$Q$195/10)-1)+逐级计算!$Q$195*(GM54-逐级计算!$P$195)*LN(10)/10))))))),"")</f>
        <v>13.7930365742086</v>
      </c>
      <c r="GO54">
        <f>IF(AND(ISNUMBER(GN54),逐级计算!$X$196&gt;-1),IF(逐级计算!$X$196=0,GN54+逐级计算!$C$196,GN54+逐级计算!$C$196-(10/(逐级计算!$Q$196*LN(10))*(MAX((LN(10^(逐级计算!$Q$196/10)-1)+逐级计算!$Q$196*(GN54-逐级计算!$P$196)*LN(10)/10),0)+LN(1+EXP(-ABS((LN(10^(逐级计算!$Q$196/10)-1)+逐级计算!$Q$196*(GN54-逐级计算!$P$196)*LN(10)/10))))))),"")</f>
        <v>13.7930365742086</v>
      </c>
      <c r="GP54">
        <f>IF(AND(ISNUMBER(GO54),逐级计算!$X$197&gt;-1),IF(逐级计算!$X$197=0,GO54+逐级计算!$C$197,GO54+逐级计算!$C$197-(10/(逐级计算!$Q$197*LN(10))*(MAX((LN(10^(逐级计算!$Q$197/10)-1)+逐级计算!$Q$197*(GO54-逐级计算!$P$197)*LN(10)/10),0)+LN(1+EXP(-ABS((LN(10^(逐级计算!$Q$197/10)-1)+逐级计算!$Q$197*(GO54-逐级计算!$P$197)*LN(10)/10))))))),"")</f>
        <v>13.7930365742086</v>
      </c>
      <c r="GQ54">
        <f>IF(AND(ISNUMBER(GP54),逐级计算!$X$198&gt;-1),IF(逐级计算!$X$198=0,GP54+逐级计算!$C$198,GP54+逐级计算!$C$198-(10/(逐级计算!$Q$198*LN(10))*(MAX((LN(10^(逐级计算!$Q$198/10)-1)+逐级计算!$Q$198*(GP54-逐级计算!$P$198)*LN(10)/10),0)+LN(1+EXP(-ABS((LN(10^(逐级计算!$Q$198/10)-1)+逐级计算!$Q$198*(GP54-逐级计算!$P$198)*LN(10)/10))))))),"")</f>
        <v>13.7930365742086</v>
      </c>
      <c r="GR54">
        <f>IF(AND(ISNUMBER(GQ54),逐级计算!$X$199&gt;-1),IF(逐级计算!$X$199=0,GQ54+逐级计算!$C$199,GQ54+逐级计算!$C$199-(10/(逐级计算!$Q$199*LN(10))*(MAX((LN(10^(逐级计算!$Q$199/10)-1)+逐级计算!$Q$199*(GQ54-逐级计算!$P$199)*LN(10)/10),0)+LN(1+EXP(-ABS((LN(10^(逐级计算!$Q$199/10)-1)+逐级计算!$Q$199*(GQ54-逐级计算!$P$199)*LN(10)/10))))))),"")</f>
        <v>13.7930365742086</v>
      </c>
      <c r="GS54">
        <f>IF(AND(ISNUMBER(GR54),逐级计算!$X$200&gt;-1),IF(逐级计算!$X$200=0,GR54+逐级计算!$C$200,GR54+逐级计算!$C$200-(10/(逐级计算!$Q$200*LN(10))*(MAX((LN(10^(逐级计算!$Q$200/10)-1)+逐级计算!$Q$200*(GR54-逐级计算!$P$200)*LN(10)/10),0)+LN(1+EXP(-ABS((LN(10^(逐级计算!$Q$200/10)-1)+逐级计算!$Q$200*(GR54-逐级计算!$P$200)*LN(10)/10))))))),"")</f>
        <v>13.7930365742086</v>
      </c>
      <c r="GT54">
        <f>IF(AND(ISNUMBER(GS54),逐级计算!$X$201&gt;-1),IF(逐级计算!$X$201=0,GS54+逐级计算!$C$201,GS54+逐级计算!$C$201-(10/(逐级计算!$Q$201*LN(10))*(MAX((LN(10^(逐级计算!$Q$201/10)-1)+逐级计算!$Q$201*(GS54-逐级计算!$P$201)*LN(10)/10),0)+LN(1+EXP(-ABS((LN(10^(逐级计算!$Q$201/10)-1)+逐级计算!$Q$201*(GS54-逐级计算!$P$201)*LN(10)/10))))))),"")</f>
        <v>13.7930365742086</v>
      </c>
      <c r="GU54">
        <f>IF(AND(ISNUMBER(GT54),逐级计算!$X$202&gt;-1),IF(逐级计算!$X$202=0,GT54+逐级计算!$C$202,GT54+逐级计算!$C$202-(10/(逐级计算!$Q$202*LN(10))*(MAX((LN(10^(逐级计算!$Q$202/10)-1)+逐级计算!$Q$202*(GT54-逐级计算!$P$202)*LN(10)/10),0)+LN(1+EXP(-ABS((LN(10^(逐级计算!$Q$202/10)-1)+逐级计算!$Q$202*(GT54-逐级计算!$P$202)*LN(10)/10))))))),"")</f>
        <v>13.7930365742086</v>
      </c>
      <c r="GV54">
        <f>IF(AND(ISNUMBER(GU54),逐级计算!$X$203&gt;-1),IF(逐级计算!$X$203=0,GU54+逐级计算!$C$203,GU54+逐级计算!$C$203-(10/(逐级计算!$Q$203*LN(10))*(MAX((LN(10^(逐级计算!$Q$203/10)-1)+逐级计算!$Q$203*(GU54-逐级计算!$P$203)*LN(10)/10),0)+LN(1+EXP(-ABS((LN(10^(逐级计算!$Q$203/10)-1)+逐级计算!$Q$203*(GU54-逐级计算!$P$203)*LN(10)/10))))))),"")</f>
        <v>13.7930365742086</v>
      </c>
      <c r="GW54">
        <f t="shared" si="2"/>
        <v>-5.20696342579086</v>
      </c>
    </row>
    <row r="55" spans="1:205">
      <c r="A55">
        <v>48</v>
      </c>
      <c r="B55">
        <f t="shared" si="1"/>
        <v>-5.20696342579161</v>
      </c>
      <c r="C55">
        <f t="shared" si="0"/>
        <v>-5.20696342579123</v>
      </c>
      <c r="D55">
        <f>IF(AND(ISNUMBER(C55),ISNUMBER(逐级计算!$E$203),ISNUMBER(GV55)),C55+逐级计算!$E$203-GV55,"")</f>
        <v>0.999999999999961</v>
      </c>
      <c r="E55">
        <f>IF(AND(ISNUMBER(C55),逐级计算!$X$4&gt;-1),IF(逐级计算!$X$4=0,C55+逐级计算!$C$4,C55+逐级计算!$C$4-(10/(逐级计算!$Q$4*LN(10))*(MAX((LN(10^(逐级计算!$Q$4/10)-1)+逐级计算!$Q$4*(C55-逐级计算!$P$4)*LN(10)/10),0)+LN(1+EXP(-ABS((LN(10^(逐级计算!$Q$4/10)-1)+逐级计算!$Q$4*(C55-逐级计算!$P$4)*LN(10)/10))))))),"")</f>
        <v>4.680539829283</v>
      </c>
      <c r="F55">
        <f>IF(AND(ISNUMBER(E55),逐级计算!$X$5&gt;-1),IF(逐级计算!$X$5=0,E55+逐级计算!$C$5,E55+逐级计算!$C$5-(10/(逐级计算!$Q$5*LN(10))*(MAX((LN(10^(逐级计算!$Q$5/10)-1)+逐级计算!$Q$5*(E55-逐级计算!$P$5)*LN(10)/10),0)+LN(1+EXP(-ABS((LN(10^(逐级计算!$Q$5/10)-1)+逐级计算!$Q$5*(E55-逐级计算!$P$5)*LN(10)/10))))))),"")</f>
        <v>13.7930365742088</v>
      </c>
      <c r="G55">
        <f>IF(AND(ISNUMBER(F55),逐级计算!$X$6&gt;-1),IF(逐级计算!$X$6=0,F55+逐级计算!$C$6,F55+逐级计算!$C$6-(10/(逐级计算!$Q$6*LN(10))*(MAX((LN(10^(逐级计算!$Q$6/10)-1)+逐级计算!$Q$6*(F55-逐级计算!$P$6)*LN(10)/10),0)+LN(1+EXP(-ABS((LN(10^(逐级计算!$Q$6/10)-1)+逐级计算!$Q$6*(F55-逐级计算!$P$6)*LN(10)/10))))))),"")</f>
        <v>13.7930365742088</v>
      </c>
      <c r="H55">
        <f>IF(AND(ISNUMBER(G55),逐级计算!$X$7&gt;-1),IF(逐级计算!$X$7=0,G55+逐级计算!$C$7,G55+逐级计算!$C$7-(10/(逐级计算!$Q$7*LN(10))*(MAX((LN(10^(逐级计算!$Q$7/10)-1)+逐级计算!$Q$7*(G55-逐级计算!$P$7)*LN(10)/10),0)+LN(1+EXP(-ABS((LN(10^(逐级计算!$Q$7/10)-1)+逐级计算!$Q$7*(G55-逐级计算!$P$7)*LN(10)/10))))))),"")</f>
        <v>13.7930365742088</v>
      </c>
      <c r="I55">
        <f>IF(AND(ISNUMBER(H55),逐级计算!$X$8&gt;-1),IF(逐级计算!$X$8=0,H55+逐级计算!$C$8,H55+逐级计算!$C$8-(10/(逐级计算!$Q$8*LN(10))*(MAX((LN(10^(逐级计算!$Q$8/10)-1)+逐级计算!$Q$8*(H55-逐级计算!$P$8)*LN(10)/10),0)+LN(1+EXP(-ABS((LN(10^(逐级计算!$Q$8/10)-1)+逐级计算!$Q$8*(H55-逐级计算!$P$8)*LN(10)/10))))))),"")</f>
        <v>13.7930365742088</v>
      </c>
      <c r="J55">
        <f>IF(AND(ISNUMBER(I55),逐级计算!$X$9&gt;-1),IF(逐级计算!$X$9=0,I55+逐级计算!$C$9,I55+逐级计算!$C$9-(10/(逐级计算!$Q$9*LN(10))*(MAX((LN(10^(逐级计算!$Q$9/10)-1)+逐级计算!$Q$9*(I55-逐级计算!$P$9)*LN(10)/10),0)+LN(1+EXP(-ABS((LN(10^(逐级计算!$Q$9/10)-1)+逐级计算!$Q$9*(I55-逐级计算!$P$9)*LN(10)/10))))))),"")</f>
        <v>13.7930365742088</v>
      </c>
      <c r="K55">
        <f>IF(AND(ISNUMBER(J55),逐级计算!$X$10&gt;-1),IF(逐级计算!$X$10=0,J55+逐级计算!$C$10,J55+逐级计算!$C$10-(10/(逐级计算!$Q$10*LN(10))*(MAX((LN(10^(逐级计算!$Q$10/10)-1)+逐级计算!$Q$10*(J55-逐级计算!$P$10)*LN(10)/10),0)+LN(1+EXP(-ABS((LN(10^(逐级计算!$Q$10/10)-1)+逐级计算!$Q$10*(J55-逐级计算!$P$10)*LN(10)/10))))))),"")</f>
        <v>13.7930365742088</v>
      </c>
      <c r="L55">
        <f>IF(AND(ISNUMBER(K55),逐级计算!$X$11&gt;-1),IF(逐级计算!$X$11=0,K55+逐级计算!$C$11,K55+逐级计算!$C$11-(10/(逐级计算!$Q$11*LN(10))*(MAX((LN(10^(逐级计算!$Q$11/10)-1)+逐级计算!$Q$11*(K55-逐级计算!$P$11)*LN(10)/10),0)+LN(1+EXP(-ABS((LN(10^(逐级计算!$Q$11/10)-1)+逐级计算!$Q$11*(K55-逐级计算!$P$11)*LN(10)/10))))))),"")</f>
        <v>13.7930365742088</v>
      </c>
      <c r="M55">
        <f>IF(AND(ISNUMBER(L55),逐级计算!$X$12&gt;-1),IF(逐级计算!$X$12=0,L55+逐级计算!$C$12,L55+逐级计算!$C$12-(10/(逐级计算!$Q$12*LN(10))*(MAX((LN(10^(逐级计算!$Q$12/10)-1)+逐级计算!$Q$12*(L55-逐级计算!$P$12)*LN(10)/10),0)+LN(1+EXP(-ABS((LN(10^(逐级计算!$Q$12/10)-1)+逐级计算!$Q$12*(L55-逐级计算!$P$12)*LN(10)/10))))))),"")</f>
        <v>13.7930365742088</v>
      </c>
      <c r="N55">
        <f>IF(AND(ISNUMBER(M55),逐级计算!$X$13&gt;-1),IF(逐级计算!$X$13=0,M55+逐级计算!$C$13,M55+逐级计算!$C$13-(10/(逐级计算!$Q$13*LN(10))*(MAX((LN(10^(逐级计算!$Q$13/10)-1)+逐级计算!$Q$13*(M55-逐级计算!$P$13)*LN(10)/10),0)+LN(1+EXP(-ABS((LN(10^(逐级计算!$Q$13/10)-1)+逐级计算!$Q$13*(M55-逐级计算!$P$13)*LN(10)/10))))))),"")</f>
        <v>13.7930365742088</v>
      </c>
      <c r="O55">
        <f>IF(AND(ISNUMBER(N55),逐级计算!$X$14&gt;-1),IF(逐级计算!$X$14=0,N55+逐级计算!$C$14,N55+逐级计算!$C$14-(10/(逐级计算!$Q$14*LN(10))*(MAX((LN(10^(逐级计算!$Q$14/10)-1)+逐级计算!$Q$14*(N55-逐级计算!$P$14)*LN(10)/10),0)+LN(1+EXP(-ABS((LN(10^(逐级计算!$Q$14/10)-1)+逐级计算!$Q$14*(N55-逐级计算!$P$14)*LN(10)/10))))))),"")</f>
        <v>13.7930365742088</v>
      </c>
      <c r="P55">
        <f>IF(AND(ISNUMBER(O55),逐级计算!$X$15&gt;-1),IF(逐级计算!$X$15=0,O55+逐级计算!$C$15,O55+逐级计算!$C$15-(10/(逐级计算!$Q$15*LN(10))*(MAX((LN(10^(逐级计算!$Q$15/10)-1)+逐级计算!$Q$15*(O55-逐级计算!$P$15)*LN(10)/10),0)+LN(1+EXP(-ABS((LN(10^(逐级计算!$Q$15/10)-1)+逐级计算!$Q$15*(O55-逐级计算!$P$15)*LN(10)/10))))))),"")</f>
        <v>13.7930365742088</v>
      </c>
      <c r="Q55">
        <f>IF(AND(ISNUMBER(P55),逐级计算!$X$16&gt;-1),IF(逐级计算!$X$16=0,P55+逐级计算!$C$16,P55+逐级计算!$C$16-(10/(逐级计算!$Q$16*LN(10))*(MAX((LN(10^(逐级计算!$Q$16/10)-1)+逐级计算!$Q$16*(P55-逐级计算!$P$16)*LN(10)/10),0)+LN(1+EXP(-ABS((LN(10^(逐级计算!$Q$16/10)-1)+逐级计算!$Q$16*(P55-逐级计算!$P$16)*LN(10)/10))))))),"")</f>
        <v>13.7930365742088</v>
      </c>
      <c r="R55">
        <f>IF(AND(ISNUMBER(Q55),逐级计算!$X$17&gt;-1),IF(逐级计算!$X$17=0,Q55+逐级计算!$C$17,Q55+逐级计算!$C$17-(10/(逐级计算!$Q$17*LN(10))*(MAX((LN(10^(逐级计算!$Q$17/10)-1)+逐级计算!$Q$17*(Q55-逐级计算!$P$17)*LN(10)/10),0)+LN(1+EXP(-ABS((LN(10^(逐级计算!$Q$17/10)-1)+逐级计算!$Q$17*(Q55-逐级计算!$P$17)*LN(10)/10))))))),"")</f>
        <v>13.7930365742088</v>
      </c>
      <c r="S55">
        <f>IF(AND(ISNUMBER(R55),逐级计算!$X$18&gt;-1),IF(逐级计算!$X$18=0,R55+逐级计算!$C$18,R55+逐级计算!$C$18-(10/(逐级计算!$Q$18*LN(10))*(MAX((LN(10^(逐级计算!$Q$18/10)-1)+逐级计算!$Q$18*(R55-逐级计算!$P$18)*LN(10)/10),0)+LN(1+EXP(-ABS((LN(10^(逐级计算!$Q$18/10)-1)+逐级计算!$Q$18*(R55-逐级计算!$P$18)*LN(10)/10))))))),"")</f>
        <v>13.7930365742088</v>
      </c>
      <c r="T55">
        <f>IF(AND(ISNUMBER(S55),逐级计算!$X$19&gt;-1),IF(逐级计算!$X$19=0,S55+逐级计算!$C$19,S55+逐级计算!$C$19-(10/(逐级计算!$Q$19*LN(10))*(MAX((LN(10^(逐级计算!$Q$19/10)-1)+逐级计算!$Q$19*(S55-逐级计算!$P$19)*LN(10)/10),0)+LN(1+EXP(-ABS((LN(10^(逐级计算!$Q$19/10)-1)+逐级计算!$Q$19*(S55-逐级计算!$P$19)*LN(10)/10))))))),"")</f>
        <v>13.7930365742088</v>
      </c>
      <c r="U55">
        <f>IF(AND(ISNUMBER(T55),逐级计算!$X$20&gt;-1),IF(逐级计算!$X$20=0,T55+逐级计算!$C$20,T55+逐级计算!$C$20-(10/(逐级计算!$Q$20*LN(10))*(MAX((LN(10^(逐级计算!$Q$20/10)-1)+逐级计算!$Q$20*(T55-逐级计算!$P$20)*LN(10)/10),0)+LN(1+EXP(-ABS((LN(10^(逐级计算!$Q$20/10)-1)+逐级计算!$Q$20*(T55-逐级计算!$P$20)*LN(10)/10))))))),"")</f>
        <v>13.7930365742088</v>
      </c>
      <c r="V55">
        <f>IF(AND(ISNUMBER(U55),逐级计算!$X$21&gt;-1),IF(逐级计算!$X$21=0,U55+逐级计算!$C$21,U55+逐级计算!$C$21-(10/(逐级计算!$Q$21*LN(10))*(MAX((LN(10^(逐级计算!$Q$21/10)-1)+逐级计算!$Q$21*(U55-逐级计算!$P$21)*LN(10)/10),0)+LN(1+EXP(-ABS((LN(10^(逐级计算!$Q$21/10)-1)+逐级计算!$Q$21*(U55-逐级计算!$P$21)*LN(10)/10))))))),"")</f>
        <v>13.7930365742088</v>
      </c>
      <c r="W55">
        <f>IF(AND(ISNUMBER(V55),逐级计算!$X$22&gt;-1),IF(逐级计算!$X$22=0,V55+逐级计算!$C$22,V55+逐级计算!$C$22-(10/(逐级计算!$Q$22*LN(10))*(MAX((LN(10^(逐级计算!$Q$22/10)-1)+逐级计算!$Q$22*(V55-逐级计算!$P$22)*LN(10)/10),0)+LN(1+EXP(-ABS((LN(10^(逐级计算!$Q$22/10)-1)+逐级计算!$Q$22*(V55-逐级计算!$P$22)*LN(10)/10))))))),"")</f>
        <v>13.7930365742088</v>
      </c>
      <c r="X55">
        <f>IF(AND(ISNUMBER(W55),逐级计算!$X$23&gt;-1),IF(逐级计算!$X$23=0,W55+逐级计算!$C$23,W55+逐级计算!$C$23-(10/(逐级计算!$Q$23*LN(10))*(MAX((LN(10^(逐级计算!$Q$23/10)-1)+逐级计算!$Q$23*(W55-逐级计算!$P$23)*LN(10)/10),0)+LN(1+EXP(-ABS((LN(10^(逐级计算!$Q$23/10)-1)+逐级计算!$Q$23*(W55-逐级计算!$P$23)*LN(10)/10))))))),"")</f>
        <v>13.7930365742088</v>
      </c>
      <c r="Y55">
        <f>IF(AND(ISNUMBER(X55),逐级计算!$X$24&gt;-1),IF(逐级计算!$X$24=0,X55+逐级计算!$C$24,X55+逐级计算!$C$24-(10/(逐级计算!$Q$24*LN(10))*(MAX((LN(10^(逐级计算!$Q$24/10)-1)+逐级计算!$Q$24*(X55-逐级计算!$P$24)*LN(10)/10),0)+LN(1+EXP(-ABS((LN(10^(逐级计算!$Q$24/10)-1)+逐级计算!$Q$24*(X55-逐级计算!$P$24)*LN(10)/10))))))),"")</f>
        <v>13.7930365742088</v>
      </c>
      <c r="Z55">
        <f>IF(AND(ISNUMBER(Y55),逐级计算!$X$25&gt;-1),IF(逐级计算!$X$25=0,Y55+逐级计算!$C$25,Y55+逐级计算!$C$25-(10/(逐级计算!$Q$25*LN(10))*(MAX((LN(10^(逐级计算!$Q$25/10)-1)+逐级计算!$Q$25*(Y55-逐级计算!$P$25)*LN(10)/10),0)+LN(1+EXP(-ABS((LN(10^(逐级计算!$Q$25/10)-1)+逐级计算!$Q$25*(Y55-逐级计算!$P$25)*LN(10)/10))))))),"")</f>
        <v>13.7930365742088</v>
      </c>
      <c r="AA55">
        <f>IF(AND(ISNUMBER(Z55),逐级计算!$X$26&gt;-1),IF(逐级计算!$X$26=0,Z55+逐级计算!$C$26,Z55+逐级计算!$C$26-(10/(逐级计算!$Q$26*LN(10))*(MAX((LN(10^(逐级计算!$Q$26/10)-1)+逐级计算!$Q$26*(Z55-逐级计算!$P$26)*LN(10)/10),0)+LN(1+EXP(-ABS((LN(10^(逐级计算!$Q$26/10)-1)+逐级计算!$Q$26*(Z55-逐级计算!$P$26)*LN(10)/10))))))),"")</f>
        <v>13.7930365742088</v>
      </c>
      <c r="AB55">
        <f>IF(AND(ISNUMBER(AA55),逐级计算!$X$27&gt;-1),IF(逐级计算!$X$27=0,AA55+逐级计算!$C$27,AA55+逐级计算!$C$27-(10/(逐级计算!$Q$27*LN(10))*(MAX((LN(10^(逐级计算!$Q$27/10)-1)+逐级计算!$Q$27*(AA55-逐级计算!$P$27)*LN(10)/10),0)+LN(1+EXP(-ABS((LN(10^(逐级计算!$Q$27/10)-1)+逐级计算!$Q$27*(AA55-逐级计算!$P$27)*LN(10)/10))))))),"")</f>
        <v>13.7930365742088</v>
      </c>
      <c r="AC55">
        <f>IF(AND(ISNUMBER(AB55),逐级计算!$X$28&gt;-1),IF(逐级计算!$X$28=0,AB55+逐级计算!$C$28,AB55+逐级计算!$C$28-(10/(逐级计算!$Q$28*LN(10))*(MAX((LN(10^(逐级计算!$Q$28/10)-1)+逐级计算!$Q$28*(AB55-逐级计算!$P$28)*LN(10)/10),0)+LN(1+EXP(-ABS((LN(10^(逐级计算!$Q$28/10)-1)+逐级计算!$Q$28*(AB55-逐级计算!$P$28)*LN(10)/10))))))),"")</f>
        <v>13.7930365742088</v>
      </c>
      <c r="AD55">
        <f>IF(AND(ISNUMBER(AC55),逐级计算!$X$29&gt;-1),IF(逐级计算!$X$29=0,AC55+逐级计算!$C$29,AC55+逐级计算!$C$29-(10/(逐级计算!$Q$29*LN(10))*(MAX((LN(10^(逐级计算!$Q$29/10)-1)+逐级计算!$Q$29*(AC55-逐级计算!$P$29)*LN(10)/10),0)+LN(1+EXP(-ABS((LN(10^(逐级计算!$Q$29/10)-1)+逐级计算!$Q$29*(AC55-逐级计算!$P$29)*LN(10)/10))))))),"")</f>
        <v>13.7930365742088</v>
      </c>
      <c r="AE55">
        <f>IF(AND(ISNUMBER(AD55),逐级计算!$X$30&gt;-1),IF(逐级计算!$X$30=0,AD55+逐级计算!$C$30,AD55+逐级计算!$C$30-(10/(逐级计算!$Q$30*LN(10))*(MAX((LN(10^(逐级计算!$Q$30/10)-1)+逐级计算!$Q$30*(AD55-逐级计算!$P$30)*LN(10)/10),0)+LN(1+EXP(-ABS((LN(10^(逐级计算!$Q$30/10)-1)+逐级计算!$Q$30*(AD55-逐级计算!$P$30)*LN(10)/10))))))),"")</f>
        <v>13.7930365742088</v>
      </c>
      <c r="AF55">
        <f>IF(AND(ISNUMBER(AE55),逐级计算!$X$31&gt;-1),IF(逐级计算!$X$31=0,AE55+逐级计算!$C$31,AE55+逐级计算!$C$31-(10/(逐级计算!$Q$31*LN(10))*(MAX((LN(10^(逐级计算!$Q$31/10)-1)+逐级计算!$Q$31*(AE55-逐级计算!$P$31)*LN(10)/10),0)+LN(1+EXP(-ABS((LN(10^(逐级计算!$Q$31/10)-1)+逐级计算!$Q$31*(AE55-逐级计算!$P$31)*LN(10)/10))))))),"")</f>
        <v>13.7930365742088</v>
      </c>
      <c r="AG55">
        <f>IF(AND(ISNUMBER(AF55),逐级计算!$X$32&gt;-1),IF(逐级计算!$X$32=0,AF55+逐级计算!$C$32,AF55+逐级计算!$C$32-(10/(逐级计算!$Q$32*LN(10))*(MAX((LN(10^(逐级计算!$Q$32/10)-1)+逐级计算!$Q$32*(AF55-逐级计算!$P$32)*LN(10)/10),0)+LN(1+EXP(-ABS((LN(10^(逐级计算!$Q$32/10)-1)+逐级计算!$Q$32*(AF55-逐级计算!$P$32)*LN(10)/10))))))),"")</f>
        <v>13.7930365742088</v>
      </c>
      <c r="AH55">
        <f>IF(AND(ISNUMBER(AG55),逐级计算!$X$33&gt;-1),IF(逐级计算!$X$33=0,AG55+逐级计算!$C$33,AG55+逐级计算!$C$33-(10/(逐级计算!$Q$33*LN(10))*(MAX((LN(10^(逐级计算!$Q$33/10)-1)+逐级计算!$Q$33*(AG55-逐级计算!$P$33)*LN(10)/10),0)+LN(1+EXP(-ABS((LN(10^(逐级计算!$Q$33/10)-1)+逐级计算!$Q$33*(AG55-逐级计算!$P$33)*LN(10)/10))))))),"")</f>
        <v>13.7930365742088</v>
      </c>
      <c r="AI55">
        <f>IF(AND(ISNUMBER(AH55),逐级计算!$X$34&gt;-1),IF(逐级计算!$X$34=0,AH55+逐级计算!$C$34,AH55+逐级计算!$C$34-(10/(逐级计算!$Q$34*LN(10))*(MAX((LN(10^(逐级计算!$Q$34/10)-1)+逐级计算!$Q$34*(AH55-逐级计算!$P$34)*LN(10)/10),0)+LN(1+EXP(-ABS((LN(10^(逐级计算!$Q$34/10)-1)+逐级计算!$Q$34*(AH55-逐级计算!$P$34)*LN(10)/10))))))),"")</f>
        <v>13.7930365742088</v>
      </c>
      <c r="AJ55">
        <f>IF(AND(ISNUMBER(AI55),逐级计算!$X$35&gt;-1),IF(逐级计算!$X$35=0,AI55+逐级计算!$C$35,AI55+逐级计算!$C$35-(10/(逐级计算!$Q$35*LN(10))*(MAX((LN(10^(逐级计算!$Q$35/10)-1)+逐级计算!$Q$35*(AI55-逐级计算!$P$35)*LN(10)/10),0)+LN(1+EXP(-ABS((LN(10^(逐级计算!$Q$35/10)-1)+逐级计算!$Q$35*(AI55-逐级计算!$P$35)*LN(10)/10))))))),"")</f>
        <v>13.7930365742088</v>
      </c>
      <c r="AK55">
        <f>IF(AND(ISNUMBER(AJ55),逐级计算!$X$36&gt;-1),IF(逐级计算!$X$36=0,AJ55+逐级计算!$C$36,AJ55+逐级计算!$C$36-(10/(逐级计算!$Q$36*LN(10))*(MAX((LN(10^(逐级计算!$Q$36/10)-1)+逐级计算!$Q$36*(AJ55-逐级计算!$P$36)*LN(10)/10),0)+LN(1+EXP(-ABS((LN(10^(逐级计算!$Q$36/10)-1)+逐级计算!$Q$36*(AJ55-逐级计算!$P$36)*LN(10)/10))))))),"")</f>
        <v>13.7930365742088</v>
      </c>
      <c r="AL55">
        <f>IF(AND(ISNUMBER(AK55),逐级计算!$X$37&gt;-1),IF(逐级计算!$X$37=0,AK55+逐级计算!$C$37,AK55+逐级计算!$C$37-(10/(逐级计算!$Q$37*LN(10))*(MAX((LN(10^(逐级计算!$Q$37/10)-1)+逐级计算!$Q$37*(AK55-逐级计算!$P$37)*LN(10)/10),0)+LN(1+EXP(-ABS((LN(10^(逐级计算!$Q$37/10)-1)+逐级计算!$Q$37*(AK55-逐级计算!$P$37)*LN(10)/10))))))),"")</f>
        <v>13.7930365742088</v>
      </c>
      <c r="AM55">
        <f>IF(AND(ISNUMBER(AL55),逐级计算!$X$38&gt;-1),IF(逐级计算!$X$38=0,AL55+逐级计算!$C$38,AL55+逐级计算!$C$38-(10/(逐级计算!$Q$38*LN(10))*(MAX((LN(10^(逐级计算!$Q$38/10)-1)+逐级计算!$Q$38*(AL55-逐级计算!$P$38)*LN(10)/10),0)+LN(1+EXP(-ABS((LN(10^(逐级计算!$Q$38/10)-1)+逐级计算!$Q$38*(AL55-逐级计算!$P$38)*LN(10)/10))))))),"")</f>
        <v>13.7930365742088</v>
      </c>
      <c r="AN55">
        <f>IF(AND(ISNUMBER(AM55),逐级计算!$X$39&gt;-1),IF(逐级计算!$X$39=0,AM55+逐级计算!$C$39,AM55+逐级计算!$C$39-(10/(逐级计算!$Q$39*LN(10))*(MAX((LN(10^(逐级计算!$Q$39/10)-1)+逐级计算!$Q$39*(AM55-逐级计算!$P$39)*LN(10)/10),0)+LN(1+EXP(-ABS((LN(10^(逐级计算!$Q$39/10)-1)+逐级计算!$Q$39*(AM55-逐级计算!$P$39)*LN(10)/10))))))),"")</f>
        <v>13.7930365742088</v>
      </c>
      <c r="AO55">
        <f>IF(AND(ISNUMBER(AN55),逐级计算!$X$40&gt;-1),IF(逐级计算!$X$40=0,AN55+逐级计算!$C$40,AN55+逐级计算!$C$40-(10/(逐级计算!$Q$40*LN(10))*(MAX((LN(10^(逐级计算!$Q$40/10)-1)+逐级计算!$Q$40*(AN55-逐级计算!$P$40)*LN(10)/10),0)+LN(1+EXP(-ABS((LN(10^(逐级计算!$Q$40/10)-1)+逐级计算!$Q$40*(AN55-逐级计算!$P$40)*LN(10)/10))))))),"")</f>
        <v>13.7930365742088</v>
      </c>
      <c r="AP55">
        <f>IF(AND(ISNUMBER(AO55),逐级计算!$X$41&gt;-1),IF(逐级计算!$X$41=0,AO55+逐级计算!$C$41,AO55+逐级计算!$C$41-(10/(逐级计算!$Q$41*LN(10))*(MAX((LN(10^(逐级计算!$Q$41/10)-1)+逐级计算!$Q$41*(AO55-逐级计算!$P$41)*LN(10)/10),0)+LN(1+EXP(-ABS((LN(10^(逐级计算!$Q$41/10)-1)+逐级计算!$Q$41*(AO55-逐级计算!$P$41)*LN(10)/10))))))),"")</f>
        <v>13.7930365742088</v>
      </c>
      <c r="AQ55">
        <f>IF(AND(ISNUMBER(AP55),逐级计算!$X$42&gt;-1),IF(逐级计算!$X$42=0,AP55+逐级计算!$C$42,AP55+逐级计算!$C$42-(10/(逐级计算!$Q$42*LN(10))*(MAX((LN(10^(逐级计算!$Q$42/10)-1)+逐级计算!$Q$42*(AP55-逐级计算!$P$42)*LN(10)/10),0)+LN(1+EXP(-ABS((LN(10^(逐级计算!$Q$42/10)-1)+逐级计算!$Q$42*(AP55-逐级计算!$P$42)*LN(10)/10))))))),"")</f>
        <v>13.7930365742088</v>
      </c>
      <c r="AR55">
        <f>IF(AND(ISNUMBER(AQ55),逐级计算!$X$43&gt;-1),IF(逐级计算!$X$43=0,AQ55+逐级计算!$C$43,AQ55+逐级计算!$C$43-(10/(逐级计算!$Q$43*LN(10))*(MAX((LN(10^(逐级计算!$Q$43/10)-1)+逐级计算!$Q$43*(AQ55-逐级计算!$P$43)*LN(10)/10),0)+LN(1+EXP(-ABS((LN(10^(逐级计算!$Q$43/10)-1)+逐级计算!$Q$43*(AQ55-逐级计算!$P$43)*LN(10)/10))))))),"")</f>
        <v>13.7930365742088</v>
      </c>
      <c r="AS55">
        <f>IF(AND(ISNUMBER(AR55),逐级计算!$X$44&gt;-1),IF(逐级计算!$X$44=0,AR55+逐级计算!$C$44,AR55+逐级计算!$C$44-(10/(逐级计算!$Q$44*LN(10))*(MAX((LN(10^(逐级计算!$Q$44/10)-1)+逐级计算!$Q$44*(AR55-逐级计算!$P$44)*LN(10)/10),0)+LN(1+EXP(-ABS((LN(10^(逐级计算!$Q$44/10)-1)+逐级计算!$Q$44*(AR55-逐级计算!$P$44)*LN(10)/10))))))),"")</f>
        <v>13.7930365742088</v>
      </c>
      <c r="AT55">
        <f>IF(AND(ISNUMBER(AS55),逐级计算!$X$45&gt;-1),IF(逐级计算!$X$45=0,AS55+逐级计算!$C$45,AS55+逐级计算!$C$45-(10/(逐级计算!$Q$45*LN(10))*(MAX((LN(10^(逐级计算!$Q$45/10)-1)+逐级计算!$Q$45*(AS55-逐级计算!$P$45)*LN(10)/10),0)+LN(1+EXP(-ABS((LN(10^(逐级计算!$Q$45/10)-1)+逐级计算!$Q$45*(AS55-逐级计算!$P$45)*LN(10)/10))))))),"")</f>
        <v>13.7930365742088</v>
      </c>
      <c r="AU55">
        <f>IF(AND(ISNUMBER(AT55),逐级计算!$X$46&gt;-1),IF(逐级计算!$X$46=0,AT55+逐级计算!$C$46,AT55+逐级计算!$C$46-(10/(逐级计算!$Q$46*LN(10))*(MAX((LN(10^(逐级计算!$Q$46/10)-1)+逐级计算!$Q$46*(AT55-逐级计算!$P$46)*LN(10)/10),0)+LN(1+EXP(-ABS((LN(10^(逐级计算!$Q$46/10)-1)+逐级计算!$Q$46*(AT55-逐级计算!$P$46)*LN(10)/10))))))),"")</f>
        <v>13.7930365742088</v>
      </c>
      <c r="AV55">
        <f>IF(AND(ISNUMBER(AU55),逐级计算!$X$47&gt;-1),IF(逐级计算!$X$47=0,AU55+逐级计算!$C$47,AU55+逐级计算!$C$47-(10/(逐级计算!$Q$47*LN(10))*(MAX((LN(10^(逐级计算!$Q$47/10)-1)+逐级计算!$Q$47*(AU55-逐级计算!$P$47)*LN(10)/10),0)+LN(1+EXP(-ABS((LN(10^(逐级计算!$Q$47/10)-1)+逐级计算!$Q$47*(AU55-逐级计算!$P$47)*LN(10)/10))))))),"")</f>
        <v>13.7930365742088</v>
      </c>
      <c r="AW55">
        <f>IF(AND(ISNUMBER(AV55),逐级计算!$X$48&gt;-1),IF(逐级计算!$X$48=0,AV55+逐级计算!$C$48,AV55+逐级计算!$C$48-(10/(逐级计算!$Q$48*LN(10))*(MAX((LN(10^(逐级计算!$Q$48/10)-1)+逐级计算!$Q$48*(AV55-逐级计算!$P$48)*LN(10)/10),0)+LN(1+EXP(-ABS((LN(10^(逐级计算!$Q$48/10)-1)+逐级计算!$Q$48*(AV55-逐级计算!$P$48)*LN(10)/10))))))),"")</f>
        <v>13.7930365742088</v>
      </c>
      <c r="AX55">
        <f>IF(AND(ISNUMBER(AW55),逐级计算!$X$49&gt;-1),IF(逐级计算!$X$49=0,AW55+逐级计算!$C$49,AW55+逐级计算!$C$49-(10/(逐级计算!$Q$49*LN(10))*(MAX((LN(10^(逐级计算!$Q$49/10)-1)+逐级计算!$Q$49*(AW55-逐级计算!$P$49)*LN(10)/10),0)+LN(1+EXP(-ABS((LN(10^(逐级计算!$Q$49/10)-1)+逐级计算!$Q$49*(AW55-逐级计算!$P$49)*LN(10)/10))))))),"")</f>
        <v>13.7930365742088</v>
      </c>
      <c r="AY55">
        <f>IF(AND(ISNUMBER(AX55),逐级计算!$X$50&gt;-1),IF(逐级计算!$X$50=0,AX55+逐级计算!$C$50,AX55+逐级计算!$C$50-(10/(逐级计算!$Q$50*LN(10))*(MAX((LN(10^(逐级计算!$Q$50/10)-1)+逐级计算!$Q$50*(AX55-逐级计算!$P$50)*LN(10)/10),0)+LN(1+EXP(-ABS((LN(10^(逐级计算!$Q$50/10)-1)+逐级计算!$Q$50*(AX55-逐级计算!$P$50)*LN(10)/10))))))),"")</f>
        <v>13.7930365742088</v>
      </c>
      <c r="AZ55">
        <f>IF(AND(ISNUMBER(AY55),逐级计算!$X$51&gt;-1),IF(逐级计算!$X$51=0,AY55+逐级计算!$C$51,AY55+逐级计算!$C$51-(10/(逐级计算!$Q$51*LN(10))*(MAX((LN(10^(逐级计算!$Q$51/10)-1)+逐级计算!$Q$51*(AY55-逐级计算!$P$51)*LN(10)/10),0)+LN(1+EXP(-ABS((LN(10^(逐级计算!$Q$51/10)-1)+逐级计算!$Q$51*(AY55-逐级计算!$P$51)*LN(10)/10))))))),"")</f>
        <v>13.7930365742088</v>
      </c>
      <c r="BA55">
        <f>IF(AND(ISNUMBER(AZ55),逐级计算!$X$52&gt;-1),IF(逐级计算!$X$52=0,AZ55+逐级计算!$C$52,AZ55+逐级计算!$C$52-(10/(逐级计算!$Q$52*LN(10))*(MAX((LN(10^(逐级计算!$Q$52/10)-1)+逐级计算!$Q$52*(AZ55-逐级计算!$P$52)*LN(10)/10),0)+LN(1+EXP(-ABS((LN(10^(逐级计算!$Q$52/10)-1)+逐级计算!$Q$52*(AZ55-逐级计算!$P$52)*LN(10)/10))))))),"")</f>
        <v>13.7930365742088</v>
      </c>
      <c r="BB55">
        <f>IF(AND(ISNUMBER(BA55),逐级计算!$X$53&gt;-1),IF(逐级计算!$X$53=0,BA55+逐级计算!$C$53,BA55+逐级计算!$C$53-(10/(逐级计算!$Q$53*LN(10))*(MAX((LN(10^(逐级计算!$Q$53/10)-1)+逐级计算!$Q$53*(BA55-逐级计算!$P$53)*LN(10)/10),0)+LN(1+EXP(-ABS((LN(10^(逐级计算!$Q$53/10)-1)+逐级计算!$Q$53*(BA55-逐级计算!$P$53)*LN(10)/10))))))),"")</f>
        <v>13.7930365742088</v>
      </c>
      <c r="BC55">
        <f>IF(AND(ISNUMBER(BB55),逐级计算!$X$54&gt;-1),IF(逐级计算!$X$54=0,BB55+逐级计算!$C$54,BB55+逐级计算!$C$54-(10/(逐级计算!$Q$54*LN(10))*(MAX((LN(10^(逐级计算!$Q$54/10)-1)+逐级计算!$Q$54*(BB55-逐级计算!$P$54)*LN(10)/10),0)+LN(1+EXP(-ABS((LN(10^(逐级计算!$Q$54/10)-1)+逐级计算!$Q$54*(BB55-逐级计算!$P$54)*LN(10)/10))))))),"")</f>
        <v>13.7930365742088</v>
      </c>
      <c r="BD55">
        <f>IF(AND(ISNUMBER(BC55),逐级计算!$X$55&gt;-1),IF(逐级计算!$X$55=0,BC55+逐级计算!$C$55,BC55+逐级计算!$C$55-(10/(逐级计算!$Q$55*LN(10))*(MAX((LN(10^(逐级计算!$Q$55/10)-1)+逐级计算!$Q$55*(BC55-逐级计算!$P$55)*LN(10)/10),0)+LN(1+EXP(-ABS((LN(10^(逐级计算!$Q$55/10)-1)+逐级计算!$Q$55*(BC55-逐级计算!$P$55)*LN(10)/10))))))),"")</f>
        <v>13.7930365742088</v>
      </c>
      <c r="BE55">
        <f>IF(AND(ISNUMBER(BD55),逐级计算!$X$56&gt;-1),IF(逐级计算!$X$56=0,BD55+逐级计算!$C$56,BD55+逐级计算!$C$56-(10/(逐级计算!$Q$56*LN(10))*(MAX((LN(10^(逐级计算!$Q$56/10)-1)+逐级计算!$Q$56*(BD55-逐级计算!$P$56)*LN(10)/10),0)+LN(1+EXP(-ABS((LN(10^(逐级计算!$Q$56/10)-1)+逐级计算!$Q$56*(BD55-逐级计算!$P$56)*LN(10)/10))))))),"")</f>
        <v>13.7930365742088</v>
      </c>
      <c r="BF55">
        <f>IF(AND(ISNUMBER(BE55),逐级计算!$X$57&gt;-1),IF(逐级计算!$X$57=0,BE55+逐级计算!$C$57,BE55+逐级计算!$C$57-(10/(逐级计算!$Q$57*LN(10))*(MAX((LN(10^(逐级计算!$Q$57/10)-1)+逐级计算!$Q$57*(BE55-逐级计算!$P$57)*LN(10)/10),0)+LN(1+EXP(-ABS((LN(10^(逐级计算!$Q$57/10)-1)+逐级计算!$Q$57*(BE55-逐级计算!$P$57)*LN(10)/10))))))),"")</f>
        <v>13.7930365742088</v>
      </c>
      <c r="BG55">
        <f>IF(AND(ISNUMBER(BF55),逐级计算!$X$58&gt;-1),IF(逐级计算!$X$58=0,BF55+逐级计算!$C$58,BF55+逐级计算!$C$58-(10/(逐级计算!$Q$58*LN(10))*(MAX((LN(10^(逐级计算!$Q$58/10)-1)+逐级计算!$Q$58*(BF55-逐级计算!$P$58)*LN(10)/10),0)+LN(1+EXP(-ABS((LN(10^(逐级计算!$Q$58/10)-1)+逐级计算!$Q$58*(BF55-逐级计算!$P$58)*LN(10)/10))))))),"")</f>
        <v>13.7930365742088</v>
      </c>
      <c r="BH55">
        <f>IF(AND(ISNUMBER(BG55),逐级计算!$X$59&gt;-1),IF(逐级计算!$X$59=0,BG55+逐级计算!$C$59,BG55+逐级计算!$C$59-(10/(逐级计算!$Q$59*LN(10))*(MAX((LN(10^(逐级计算!$Q$59/10)-1)+逐级计算!$Q$59*(BG55-逐级计算!$P$59)*LN(10)/10),0)+LN(1+EXP(-ABS((LN(10^(逐级计算!$Q$59/10)-1)+逐级计算!$Q$59*(BG55-逐级计算!$P$59)*LN(10)/10))))))),"")</f>
        <v>13.7930365742088</v>
      </c>
      <c r="BI55">
        <f>IF(AND(ISNUMBER(BH55),逐级计算!$X$60&gt;-1),IF(逐级计算!$X$60=0,BH55+逐级计算!$C$60,BH55+逐级计算!$C$60-(10/(逐级计算!$Q$60*LN(10))*(MAX((LN(10^(逐级计算!$Q$60/10)-1)+逐级计算!$Q$60*(BH55-逐级计算!$P$60)*LN(10)/10),0)+LN(1+EXP(-ABS((LN(10^(逐级计算!$Q$60/10)-1)+逐级计算!$Q$60*(BH55-逐级计算!$P$60)*LN(10)/10))))))),"")</f>
        <v>13.7930365742088</v>
      </c>
      <c r="BJ55">
        <f>IF(AND(ISNUMBER(BI55),逐级计算!$X$61&gt;-1),IF(逐级计算!$X$61=0,BI55+逐级计算!$C$61,BI55+逐级计算!$C$61-(10/(逐级计算!$Q$61*LN(10))*(MAX((LN(10^(逐级计算!$Q$61/10)-1)+逐级计算!$Q$61*(BI55-逐级计算!$P$61)*LN(10)/10),0)+LN(1+EXP(-ABS((LN(10^(逐级计算!$Q$61/10)-1)+逐级计算!$Q$61*(BI55-逐级计算!$P$61)*LN(10)/10))))))),"")</f>
        <v>13.7930365742088</v>
      </c>
      <c r="BK55">
        <f>IF(AND(ISNUMBER(BJ55),逐级计算!$X$62&gt;-1),IF(逐级计算!$X$62=0,BJ55+逐级计算!$C$62,BJ55+逐级计算!$C$62-(10/(逐级计算!$Q$62*LN(10))*(MAX((LN(10^(逐级计算!$Q$62/10)-1)+逐级计算!$Q$62*(BJ55-逐级计算!$P$62)*LN(10)/10),0)+LN(1+EXP(-ABS((LN(10^(逐级计算!$Q$62/10)-1)+逐级计算!$Q$62*(BJ55-逐级计算!$P$62)*LN(10)/10))))))),"")</f>
        <v>13.7930365742088</v>
      </c>
      <c r="BL55">
        <f>IF(AND(ISNUMBER(BK55),逐级计算!$X$63&gt;-1),IF(逐级计算!$X$63=0,BK55+逐级计算!$C$63,BK55+逐级计算!$C$63-(10/(逐级计算!$Q$63*LN(10))*(MAX((LN(10^(逐级计算!$Q$63/10)-1)+逐级计算!$Q$63*(BK55-逐级计算!$P$63)*LN(10)/10),0)+LN(1+EXP(-ABS((LN(10^(逐级计算!$Q$63/10)-1)+逐级计算!$Q$63*(BK55-逐级计算!$P$63)*LN(10)/10))))))),"")</f>
        <v>13.7930365742088</v>
      </c>
      <c r="BM55">
        <f>IF(AND(ISNUMBER(BL55),逐级计算!$X$64&gt;-1),IF(逐级计算!$X$64=0,BL55+逐级计算!$C$64,BL55+逐级计算!$C$64-(10/(逐级计算!$Q$64*LN(10))*(MAX((LN(10^(逐级计算!$Q$64/10)-1)+逐级计算!$Q$64*(BL55-逐级计算!$P$64)*LN(10)/10),0)+LN(1+EXP(-ABS((LN(10^(逐级计算!$Q$64/10)-1)+逐级计算!$Q$64*(BL55-逐级计算!$P$64)*LN(10)/10))))))),"")</f>
        <v>13.7930365742088</v>
      </c>
      <c r="BN55">
        <f>IF(AND(ISNUMBER(BM55),逐级计算!$X$65&gt;-1),IF(逐级计算!$X$65=0,BM55+逐级计算!$C$65,BM55+逐级计算!$C$65-(10/(逐级计算!$Q$65*LN(10))*(MAX((LN(10^(逐级计算!$Q$65/10)-1)+逐级计算!$Q$65*(BM55-逐级计算!$P$65)*LN(10)/10),0)+LN(1+EXP(-ABS((LN(10^(逐级计算!$Q$65/10)-1)+逐级计算!$Q$65*(BM55-逐级计算!$P$65)*LN(10)/10))))))),"")</f>
        <v>13.7930365742088</v>
      </c>
      <c r="BO55">
        <f>IF(AND(ISNUMBER(BN55),逐级计算!$X$66&gt;-1),IF(逐级计算!$X$66=0,BN55+逐级计算!$C$66,BN55+逐级计算!$C$66-(10/(逐级计算!$Q$66*LN(10))*(MAX((LN(10^(逐级计算!$Q$66/10)-1)+逐级计算!$Q$66*(BN55-逐级计算!$P$66)*LN(10)/10),0)+LN(1+EXP(-ABS((LN(10^(逐级计算!$Q$66/10)-1)+逐级计算!$Q$66*(BN55-逐级计算!$P$66)*LN(10)/10))))))),"")</f>
        <v>13.7930365742088</v>
      </c>
      <c r="BP55">
        <f>IF(AND(ISNUMBER(BO55),逐级计算!$X$67&gt;-1),IF(逐级计算!$X$67=0,BO55+逐级计算!$C$67,BO55+逐级计算!$C$67-(10/(逐级计算!$Q$67*LN(10))*(MAX((LN(10^(逐级计算!$Q$67/10)-1)+逐级计算!$Q$67*(BO55-逐级计算!$P$67)*LN(10)/10),0)+LN(1+EXP(-ABS((LN(10^(逐级计算!$Q$67/10)-1)+逐级计算!$Q$67*(BO55-逐级计算!$P$67)*LN(10)/10))))))),"")</f>
        <v>13.7930365742088</v>
      </c>
      <c r="BQ55">
        <f>IF(AND(ISNUMBER(BP55),逐级计算!$X$68&gt;-1),IF(逐级计算!$X$68=0,BP55+逐级计算!$C$68,BP55+逐级计算!$C$68-(10/(逐级计算!$Q$68*LN(10))*(MAX((LN(10^(逐级计算!$Q$68/10)-1)+逐级计算!$Q$68*(BP55-逐级计算!$P$68)*LN(10)/10),0)+LN(1+EXP(-ABS((LN(10^(逐级计算!$Q$68/10)-1)+逐级计算!$Q$68*(BP55-逐级计算!$P$68)*LN(10)/10))))))),"")</f>
        <v>13.7930365742088</v>
      </c>
      <c r="BR55">
        <f>IF(AND(ISNUMBER(BQ55),逐级计算!$X$69&gt;-1),IF(逐级计算!$X$69=0,BQ55+逐级计算!$C$69,BQ55+逐级计算!$C$69-(10/(逐级计算!$Q$69*LN(10))*(MAX((LN(10^(逐级计算!$Q$69/10)-1)+逐级计算!$Q$69*(BQ55-逐级计算!$P$69)*LN(10)/10),0)+LN(1+EXP(-ABS((LN(10^(逐级计算!$Q$69/10)-1)+逐级计算!$Q$69*(BQ55-逐级计算!$P$69)*LN(10)/10))))))),"")</f>
        <v>13.7930365742088</v>
      </c>
      <c r="BS55">
        <f>IF(AND(ISNUMBER(BR55),逐级计算!$X$70&gt;-1),IF(逐级计算!$X$70=0,BR55+逐级计算!$C$70,BR55+逐级计算!$C$70-(10/(逐级计算!$Q$70*LN(10))*(MAX((LN(10^(逐级计算!$Q$70/10)-1)+逐级计算!$Q$70*(BR55-逐级计算!$P$70)*LN(10)/10),0)+LN(1+EXP(-ABS((LN(10^(逐级计算!$Q$70/10)-1)+逐级计算!$Q$70*(BR55-逐级计算!$P$70)*LN(10)/10))))))),"")</f>
        <v>13.7930365742088</v>
      </c>
      <c r="BT55">
        <f>IF(AND(ISNUMBER(BS55),逐级计算!$X$71&gt;-1),IF(逐级计算!$X$71=0,BS55+逐级计算!$C$71,BS55+逐级计算!$C$71-(10/(逐级计算!$Q$71*LN(10))*(MAX((LN(10^(逐级计算!$Q$71/10)-1)+逐级计算!$Q$71*(BS55-逐级计算!$P$71)*LN(10)/10),0)+LN(1+EXP(-ABS((LN(10^(逐级计算!$Q$71/10)-1)+逐级计算!$Q$71*(BS55-逐级计算!$P$71)*LN(10)/10))))))),"")</f>
        <v>13.7930365742088</v>
      </c>
      <c r="BU55">
        <f>IF(AND(ISNUMBER(BT55),逐级计算!$X$72&gt;-1),IF(逐级计算!$X$72=0,BT55+逐级计算!$C$72,BT55+逐级计算!$C$72-(10/(逐级计算!$Q$72*LN(10))*(MAX((LN(10^(逐级计算!$Q$72/10)-1)+逐级计算!$Q$72*(BT55-逐级计算!$P$72)*LN(10)/10),0)+LN(1+EXP(-ABS((LN(10^(逐级计算!$Q$72/10)-1)+逐级计算!$Q$72*(BT55-逐级计算!$P$72)*LN(10)/10))))))),"")</f>
        <v>13.7930365742088</v>
      </c>
      <c r="BV55">
        <f>IF(AND(ISNUMBER(BU55),逐级计算!$X$73&gt;-1),IF(逐级计算!$X$73=0,BU55+逐级计算!$C$73,BU55+逐级计算!$C$73-(10/(逐级计算!$Q$73*LN(10))*(MAX((LN(10^(逐级计算!$Q$73/10)-1)+逐级计算!$Q$73*(BU55-逐级计算!$P$73)*LN(10)/10),0)+LN(1+EXP(-ABS((LN(10^(逐级计算!$Q$73/10)-1)+逐级计算!$Q$73*(BU55-逐级计算!$P$73)*LN(10)/10))))))),"")</f>
        <v>13.7930365742088</v>
      </c>
      <c r="BW55">
        <f>IF(AND(ISNUMBER(BV55),逐级计算!$X$74&gt;-1),IF(逐级计算!$X$74=0,BV55+逐级计算!$C$74,BV55+逐级计算!$C$74-(10/(逐级计算!$Q$74*LN(10))*(MAX((LN(10^(逐级计算!$Q$74/10)-1)+逐级计算!$Q$74*(BV55-逐级计算!$P$74)*LN(10)/10),0)+LN(1+EXP(-ABS((LN(10^(逐级计算!$Q$74/10)-1)+逐级计算!$Q$74*(BV55-逐级计算!$P$74)*LN(10)/10))))))),"")</f>
        <v>13.7930365742088</v>
      </c>
      <c r="BX55">
        <f>IF(AND(ISNUMBER(BW55),逐级计算!$X$75&gt;-1),IF(逐级计算!$X$75=0,BW55+逐级计算!$C$75,BW55+逐级计算!$C$75-(10/(逐级计算!$Q$75*LN(10))*(MAX((LN(10^(逐级计算!$Q$75/10)-1)+逐级计算!$Q$75*(BW55-逐级计算!$P$75)*LN(10)/10),0)+LN(1+EXP(-ABS((LN(10^(逐级计算!$Q$75/10)-1)+逐级计算!$Q$75*(BW55-逐级计算!$P$75)*LN(10)/10))))))),"")</f>
        <v>13.7930365742088</v>
      </c>
      <c r="BY55">
        <f>IF(AND(ISNUMBER(BX55),逐级计算!$X$76&gt;-1),IF(逐级计算!$X$76=0,BX55+逐级计算!$C$76,BX55+逐级计算!$C$76-(10/(逐级计算!$Q$76*LN(10))*(MAX((LN(10^(逐级计算!$Q$76/10)-1)+逐级计算!$Q$76*(BX55-逐级计算!$P$76)*LN(10)/10),0)+LN(1+EXP(-ABS((LN(10^(逐级计算!$Q$76/10)-1)+逐级计算!$Q$76*(BX55-逐级计算!$P$76)*LN(10)/10))))))),"")</f>
        <v>13.7930365742088</v>
      </c>
      <c r="BZ55">
        <f>IF(AND(ISNUMBER(BY55),逐级计算!$X$77&gt;-1),IF(逐级计算!$X$77=0,BY55+逐级计算!$C$77,BY55+逐级计算!$C$77-(10/(逐级计算!$Q$77*LN(10))*(MAX((LN(10^(逐级计算!$Q$77/10)-1)+逐级计算!$Q$77*(BY55-逐级计算!$P$77)*LN(10)/10),0)+LN(1+EXP(-ABS((LN(10^(逐级计算!$Q$77/10)-1)+逐级计算!$Q$77*(BY55-逐级计算!$P$77)*LN(10)/10))))))),"")</f>
        <v>13.7930365742088</v>
      </c>
      <c r="CA55">
        <f>IF(AND(ISNUMBER(BZ55),逐级计算!$X$78&gt;-1),IF(逐级计算!$X$78=0,BZ55+逐级计算!$C$78,BZ55+逐级计算!$C$78-(10/(逐级计算!$Q$78*LN(10))*(MAX((LN(10^(逐级计算!$Q$78/10)-1)+逐级计算!$Q$78*(BZ55-逐级计算!$P$78)*LN(10)/10),0)+LN(1+EXP(-ABS((LN(10^(逐级计算!$Q$78/10)-1)+逐级计算!$Q$78*(BZ55-逐级计算!$P$78)*LN(10)/10))))))),"")</f>
        <v>13.7930365742088</v>
      </c>
      <c r="CB55">
        <f>IF(AND(ISNUMBER(CA55),逐级计算!$X$79&gt;-1),IF(逐级计算!$X$79=0,CA55+逐级计算!$C$79,CA55+逐级计算!$C$79-(10/(逐级计算!$Q$79*LN(10))*(MAX((LN(10^(逐级计算!$Q$79/10)-1)+逐级计算!$Q$79*(CA55-逐级计算!$P$79)*LN(10)/10),0)+LN(1+EXP(-ABS((LN(10^(逐级计算!$Q$79/10)-1)+逐级计算!$Q$79*(CA55-逐级计算!$P$79)*LN(10)/10))))))),"")</f>
        <v>13.7930365742088</v>
      </c>
      <c r="CC55">
        <f>IF(AND(ISNUMBER(CB55),逐级计算!$X$80&gt;-1),IF(逐级计算!$X$80=0,CB55+逐级计算!$C$80,CB55+逐级计算!$C$80-(10/(逐级计算!$Q$80*LN(10))*(MAX((LN(10^(逐级计算!$Q$80/10)-1)+逐级计算!$Q$80*(CB55-逐级计算!$P$80)*LN(10)/10),0)+LN(1+EXP(-ABS((LN(10^(逐级计算!$Q$80/10)-1)+逐级计算!$Q$80*(CB55-逐级计算!$P$80)*LN(10)/10))))))),"")</f>
        <v>13.7930365742088</v>
      </c>
      <c r="CD55">
        <f>IF(AND(ISNUMBER(CC55),逐级计算!$X$81&gt;-1),IF(逐级计算!$X$81=0,CC55+逐级计算!$C$81,CC55+逐级计算!$C$81-(10/(逐级计算!$Q$81*LN(10))*(MAX((LN(10^(逐级计算!$Q$81/10)-1)+逐级计算!$Q$81*(CC55-逐级计算!$P$81)*LN(10)/10),0)+LN(1+EXP(-ABS((LN(10^(逐级计算!$Q$81/10)-1)+逐级计算!$Q$81*(CC55-逐级计算!$P$81)*LN(10)/10))))))),"")</f>
        <v>13.7930365742088</v>
      </c>
      <c r="CE55">
        <f>IF(AND(ISNUMBER(CD55),逐级计算!$X$82&gt;-1),IF(逐级计算!$X$82=0,CD55+逐级计算!$C$82,CD55+逐级计算!$C$82-(10/(逐级计算!$Q$82*LN(10))*(MAX((LN(10^(逐级计算!$Q$82/10)-1)+逐级计算!$Q$82*(CD55-逐级计算!$P$82)*LN(10)/10),0)+LN(1+EXP(-ABS((LN(10^(逐级计算!$Q$82/10)-1)+逐级计算!$Q$82*(CD55-逐级计算!$P$82)*LN(10)/10))))))),"")</f>
        <v>13.7930365742088</v>
      </c>
      <c r="CF55">
        <f>IF(AND(ISNUMBER(CE55),逐级计算!$X$83&gt;-1),IF(逐级计算!$X$83=0,CE55+逐级计算!$C$83,CE55+逐级计算!$C$83-(10/(逐级计算!$Q$83*LN(10))*(MAX((LN(10^(逐级计算!$Q$83/10)-1)+逐级计算!$Q$83*(CE55-逐级计算!$P$83)*LN(10)/10),0)+LN(1+EXP(-ABS((LN(10^(逐级计算!$Q$83/10)-1)+逐级计算!$Q$83*(CE55-逐级计算!$P$83)*LN(10)/10))))))),"")</f>
        <v>13.7930365742088</v>
      </c>
      <c r="CG55">
        <f>IF(AND(ISNUMBER(CF55),逐级计算!$X$84&gt;-1),IF(逐级计算!$X$84=0,CF55+逐级计算!$C$84,CF55+逐级计算!$C$84-(10/(逐级计算!$Q$84*LN(10))*(MAX((LN(10^(逐级计算!$Q$84/10)-1)+逐级计算!$Q$84*(CF55-逐级计算!$P$84)*LN(10)/10),0)+LN(1+EXP(-ABS((LN(10^(逐级计算!$Q$84/10)-1)+逐级计算!$Q$84*(CF55-逐级计算!$P$84)*LN(10)/10))))))),"")</f>
        <v>13.7930365742088</v>
      </c>
      <c r="CH55">
        <f>IF(AND(ISNUMBER(CG55),逐级计算!$X$85&gt;-1),IF(逐级计算!$X$85=0,CG55+逐级计算!$C$85,CG55+逐级计算!$C$85-(10/(逐级计算!$Q$85*LN(10))*(MAX((LN(10^(逐级计算!$Q$85/10)-1)+逐级计算!$Q$85*(CG55-逐级计算!$P$85)*LN(10)/10),0)+LN(1+EXP(-ABS((LN(10^(逐级计算!$Q$85/10)-1)+逐级计算!$Q$85*(CG55-逐级计算!$P$85)*LN(10)/10))))))),"")</f>
        <v>13.7930365742088</v>
      </c>
      <c r="CI55">
        <f>IF(AND(ISNUMBER(CH55),逐级计算!$X$86&gt;-1),IF(逐级计算!$X$86=0,CH55+逐级计算!$C$86,CH55+逐级计算!$C$86-(10/(逐级计算!$Q$86*LN(10))*(MAX((LN(10^(逐级计算!$Q$86/10)-1)+逐级计算!$Q$86*(CH55-逐级计算!$P$86)*LN(10)/10),0)+LN(1+EXP(-ABS((LN(10^(逐级计算!$Q$86/10)-1)+逐级计算!$Q$86*(CH55-逐级计算!$P$86)*LN(10)/10))))))),"")</f>
        <v>13.7930365742088</v>
      </c>
      <c r="CJ55">
        <f>IF(AND(ISNUMBER(CI55),逐级计算!$X$87&gt;-1),IF(逐级计算!$X$87=0,CI55+逐级计算!$C$87,CI55+逐级计算!$C$87-(10/(逐级计算!$Q$87*LN(10))*(MAX((LN(10^(逐级计算!$Q$87/10)-1)+逐级计算!$Q$87*(CI55-逐级计算!$P$87)*LN(10)/10),0)+LN(1+EXP(-ABS((LN(10^(逐级计算!$Q$87/10)-1)+逐级计算!$Q$87*(CI55-逐级计算!$P$87)*LN(10)/10))))))),"")</f>
        <v>13.7930365742088</v>
      </c>
      <c r="CK55">
        <f>IF(AND(ISNUMBER(CJ55),逐级计算!$X$88&gt;-1),IF(逐级计算!$X$88=0,CJ55+逐级计算!$C$88,CJ55+逐级计算!$C$88-(10/(逐级计算!$Q$88*LN(10))*(MAX((LN(10^(逐级计算!$Q$88/10)-1)+逐级计算!$Q$88*(CJ55-逐级计算!$P$88)*LN(10)/10),0)+LN(1+EXP(-ABS((LN(10^(逐级计算!$Q$88/10)-1)+逐级计算!$Q$88*(CJ55-逐级计算!$P$88)*LN(10)/10))))))),"")</f>
        <v>13.7930365742088</v>
      </c>
      <c r="CL55">
        <f>IF(AND(ISNUMBER(CK55),逐级计算!$X$89&gt;-1),IF(逐级计算!$X$89=0,CK55+逐级计算!$C$89,CK55+逐级计算!$C$89-(10/(逐级计算!$Q$89*LN(10))*(MAX((LN(10^(逐级计算!$Q$89/10)-1)+逐级计算!$Q$89*(CK55-逐级计算!$P$89)*LN(10)/10),0)+LN(1+EXP(-ABS((LN(10^(逐级计算!$Q$89/10)-1)+逐级计算!$Q$89*(CK55-逐级计算!$P$89)*LN(10)/10))))))),"")</f>
        <v>13.7930365742088</v>
      </c>
      <c r="CM55">
        <f>IF(AND(ISNUMBER(CL55),逐级计算!$X$90&gt;-1),IF(逐级计算!$X$90=0,CL55+逐级计算!$C$90,CL55+逐级计算!$C$90-(10/(逐级计算!$Q$90*LN(10))*(MAX((LN(10^(逐级计算!$Q$90/10)-1)+逐级计算!$Q$90*(CL55-逐级计算!$P$90)*LN(10)/10),0)+LN(1+EXP(-ABS((LN(10^(逐级计算!$Q$90/10)-1)+逐级计算!$Q$90*(CL55-逐级计算!$P$90)*LN(10)/10))))))),"")</f>
        <v>13.7930365742088</v>
      </c>
      <c r="CN55">
        <f>IF(AND(ISNUMBER(CM55),逐级计算!$X$91&gt;-1),IF(逐级计算!$X$91=0,CM55+逐级计算!$C$91,CM55+逐级计算!$C$91-(10/(逐级计算!$Q$91*LN(10))*(MAX((LN(10^(逐级计算!$Q$91/10)-1)+逐级计算!$Q$91*(CM55-逐级计算!$P$91)*LN(10)/10),0)+LN(1+EXP(-ABS((LN(10^(逐级计算!$Q$91/10)-1)+逐级计算!$Q$91*(CM55-逐级计算!$P$91)*LN(10)/10))))))),"")</f>
        <v>13.7930365742088</v>
      </c>
      <c r="CO55">
        <f>IF(AND(ISNUMBER(CN55),逐级计算!$X$92&gt;-1),IF(逐级计算!$X$92=0,CN55+逐级计算!$C$92,CN55+逐级计算!$C$92-(10/(逐级计算!$Q$92*LN(10))*(MAX((LN(10^(逐级计算!$Q$92/10)-1)+逐级计算!$Q$92*(CN55-逐级计算!$P$92)*LN(10)/10),0)+LN(1+EXP(-ABS((LN(10^(逐级计算!$Q$92/10)-1)+逐级计算!$Q$92*(CN55-逐级计算!$P$92)*LN(10)/10))))))),"")</f>
        <v>13.7930365742088</v>
      </c>
      <c r="CP55">
        <f>IF(AND(ISNUMBER(CO55),逐级计算!$X$93&gt;-1),IF(逐级计算!$X$93=0,CO55+逐级计算!$C$93,CO55+逐级计算!$C$93-(10/(逐级计算!$Q$93*LN(10))*(MAX((LN(10^(逐级计算!$Q$93/10)-1)+逐级计算!$Q$93*(CO55-逐级计算!$P$93)*LN(10)/10),0)+LN(1+EXP(-ABS((LN(10^(逐级计算!$Q$93/10)-1)+逐级计算!$Q$93*(CO55-逐级计算!$P$93)*LN(10)/10))))))),"")</f>
        <v>13.7930365742088</v>
      </c>
      <c r="CQ55">
        <f>IF(AND(ISNUMBER(CP55),逐级计算!$X$94&gt;-1),IF(逐级计算!$X$94=0,CP55+逐级计算!$C$94,CP55+逐级计算!$C$94-(10/(逐级计算!$Q$94*LN(10))*(MAX((LN(10^(逐级计算!$Q$94/10)-1)+逐级计算!$Q$94*(CP55-逐级计算!$P$94)*LN(10)/10),0)+LN(1+EXP(-ABS((LN(10^(逐级计算!$Q$94/10)-1)+逐级计算!$Q$94*(CP55-逐级计算!$P$94)*LN(10)/10))))))),"")</f>
        <v>13.7930365742088</v>
      </c>
      <c r="CR55">
        <f>IF(AND(ISNUMBER(CQ55),逐级计算!$X$95&gt;-1),IF(逐级计算!$X$95=0,CQ55+逐级计算!$C$95,CQ55+逐级计算!$C$95-(10/(逐级计算!$Q$95*LN(10))*(MAX((LN(10^(逐级计算!$Q$95/10)-1)+逐级计算!$Q$95*(CQ55-逐级计算!$P$95)*LN(10)/10),0)+LN(1+EXP(-ABS((LN(10^(逐级计算!$Q$95/10)-1)+逐级计算!$Q$95*(CQ55-逐级计算!$P$95)*LN(10)/10))))))),"")</f>
        <v>13.7930365742088</v>
      </c>
      <c r="CS55">
        <f>IF(AND(ISNUMBER(CR55),逐级计算!$X$96&gt;-1),IF(逐级计算!$X$96=0,CR55+逐级计算!$C$96,CR55+逐级计算!$C$96-(10/(逐级计算!$Q$96*LN(10))*(MAX((LN(10^(逐级计算!$Q$96/10)-1)+逐级计算!$Q$96*(CR55-逐级计算!$P$96)*LN(10)/10),0)+LN(1+EXP(-ABS((LN(10^(逐级计算!$Q$96/10)-1)+逐级计算!$Q$96*(CR55-逐级计算!$P$96)*LN(10)/10))))))),"")</f>
        <v>13.7930365742088</v>
      </c>
      <c r="CT55">
        <f>IF(AND(ISNUMBER(CS55),逐级计算!$X$97&gt;-1),IF(逐级计算!$X$97=0,CS55+逐级计算!$C$97,CS55+逐级计算!$C$97-(10/(逐级计算!$Q$97*LN(10))*(MAX((LN(10^(逐级计算!$Q$97/10)-1)+逐级计算!$Q$97*(CS55-逐级计算!$P$97)*LN(10)/10),0)+LN(1+EXP(-ABS((LN(10^(逐级计算!$Q$97/10)-1)+逐级计算!$Q$97*(CS55-逐级计算!$P$97)*LN(10)/10))))))),"")</f>
        <v>13.7930365742088</v>
      </c>
      <c r="CU55">
        <f>IF(AND(ISNUMBER(CT55),逐级计算!$X$98&gt;-1),IF(逐级计算!$X$98=0,CT55+逐级计算!$C$98,CT55+逐级计算!$C$98-(10/(逐级计算!$Q$98*LN(10))*(MAX((LN(10^(逐级计算!$Q$98/10)-1)+逐级计算!$Q$98*(CT55-逐级计算!$P$98)*LN(10)/10),0)+LN(1+EXP(-ABS((LN(10^(逐级计算!$Q$98/10)-1)+逐级计算!$Q$98*(CT55-逐级计算!$P$98)*LN(10)/10))))))),"")</f>
        <v>13.7930365742088</v>
      </c>
      <c r="CV55">
        <f>IF(AND(ISNUMBER(CU55),逐级计算!$X$99&gt;-1),IF(逐级计算!$X$99=0,CU55+逐级计算!$C$99,CU55+逐级计算!$C$99-(10/(逐级计算!$Q$99*LN(10))*(MAX((LN(10^(逐级计算!$Q$99/10)-1)+逐级计算!$Q$99*(CU55-逐级计算!$P$99)*LN(10)/10),0)+LN(1+EXP(-ABS((LN(10^(逐级计算!$Q$99/10)-1)+逐级计算!$Q$99*(CU55-逐级计算!$P$99)*LN(10)/10))))))),"")</f>
        <v>13.7930365742088</v>
      </c>
      <c r="CW55">
        <f>IF(AND(ISNUMBER(CV55),逐级计算!$X$100&gt;-1),IF(逐级计算!$X$100=0,CV55+逐级计算!$C$100,CV55+逐级计算!$C$100-(10/(逐级计算!$Q$100*LN(10))*(MAX((LN(10^(逐级计算!$Q$100/10)-1)+逐级计算!$Q$100*(CV55-逐级计算!$P$100)*LN(10)/10),0)+LN(1+EXP(-ABS((LN(10^(逐级计算!$Q$100/10)-1)+逐级计算!$Q$100*(CV55-逐级计算!$P$100)*LN(10)/10))))))),"")</f>
        <v>13.7930365742088</v>
      </c>
      <c r="CX55">
        <f>IF(AND(ISNUMBER(CW55),逐级计算!$X$101&gt;-1),IF(逐级计算!$X$101=0,CW55+逐级计算!$C$101,CW55+逐级计算!$C$101-(10/(逐级计算!$Q$101*LN(10))*(MAX((LN(10^(逐级计算!$Q$101/10)-1)+逐级计算!$Q$101*(CW55-逐级计算!$P$101)*LN(10)/10),0)+LN(1+EXP(-ABS((LN(10^(逐级计算!$Q$101/10)-1)+逐级计算!$Q$101*(CW55-逐级计算!$P$101)*LN(10)/10))))))),"")</f>
        <v>13.7930365742088</v>
      </c>
      <c r="CY55">
        <f>IF(AND(ISNUMBER(CX55),逐级计算!$X$102&gt;-1),IF(逐级计算!$X$102=0,CX55+逐级计算!$C$102,CX55+逐级计算!$C$102-(10/(逐级计算!$Q$102*LN(10))*(MAX((LN(10^(逐级计算!$Q$102/10)-1)+逐级计算!$Q$102*(CX55-逐级计算!$P$102)*LN(10)/10),0)+LN(1+EXP(-ABS((LN(10^(逐级计算!$Q$102/10)-1)+逐级计算!$Q$102*(CX55-逐级计算!$P$102)*LN(10)/10))))))),"")</f>
        <v>13.7930365742088</v>
      </c>
      <c r="CZ55">
        <f>IF(AND(ISNUMBER(CY55),逐级计算!$X$103&gt;-1),IF(逐级计算!$X$103=0,CY55+逐级计算!$C$103,CY55+逐级计算!$C$103-(10/(逐级计算!$Q$103*LN(10))*(MAX((LN(10^(逐级计算!$Q$103/10)-1)+逐级计算!$Q$103*(CY55-逐级计算!$P$103)*LN(10)/10),0)+LN(1+EXP(-ABS((LN(10^(逐级计算!$Q$103/10)-1)+逐级计算!$Q$103*(CY55-逐级计算!$P$103)*LN(10)/10))))))),"")</f>
        <v>13.7930365742088</v>
      </c>
      <c r="DA55">
        <f>IF(AND(ISNUMBER(CZ55),逐级计算!$X$104&gt;-1),IF(逐级计算!$X$104=0,CZ55+逐级计算!$C$104,CZ55+逐级计算!$C$104-(10/(逐级计算!$Q$104*LN(10))*(MAX((LN(10^(逐级计算!$Q$104/10)-1)+逐级计算!$Q$104*(CZ55-逐级计算!$P$104)*LN(10)/10),0)+LN(1+EXP(-ABS((LN(10^(逐级计算!$Q$104/10)-1)+逐级计算!$Q$104*(CZ55-逐级计算!$P$104)*LN(10)/10))))))),"")</f>
        <v>13.7930365742088</v>
      </c>
      <c r="DB55">
        <f>IF(AND(ISNUMBER(DA55),逐级计算!$X$105&gt;-1),IF(逐级计算!$X$105=0,DA55+逐级计算!$C$105,DA55+逐级计算!$C$105-(10/(逐级计算!$Q$105*LN(10))*(MAX((LN(10^(逐级计算!$Q$105/10)-1)+逐级计算!$Q$105*(DA55-逐级计算!$P$105)*LN(10)/10),0)+LN(1+EXP(-ABS((LN(10^(逐级计算!$Q$105/10)-1)+逐级计算!$Q$105*(DA55-逐级计算!$P$105)*LN(10)/10))))))),"")</f>
        <v>13.7930365742088</v>
      </c>
      <c r="DC55">
        <f>IF(AND(ISNUMBER(DB55),逐级计算!$X$106&gt;-1),IF(逐级计算!$X$106=0,DB55+逐级计算!$C$106,DB55+逐级计算!$C$106-(10/(逐级计算!$Q$106*LN(10))*(MAX((LN(10^(逐级计算!$Q$106/10)-1)+逐级计算!$Q$106*(DB55-逐级计算!$P$106)*LN(10)/10),0)+LN(1+EXP(-ABS((LN(10^(逐级计算!$Q$106/10)-1)+逐级计算!$Q$106*(DB55-逐级计算!$P$106)*LN(10)/10))))))),"")</f>
        <v>13.7930365742088</v>
      </c>
      <c r="DD55">
        <f>IF(AND(ISNUMBER(DC55),逐级计算!$X$107&gt;-1),IF(逐级计算!$X$107=0,DC55+逐级计算!$C$107,DC55+逐级计算!$C$107-(10/(逐级计算!$Q$107*LN(10))*(MAX((LN(10^(逐级计算!$Q$107/10)-1)+逐级计算!$Q$107*(DC55-逐级计算!$P$107)*LN(10)/10),0)+LN(1+EXP(-ABS((LN(10^(逐级计算!$Q$107/10)-1)+逐级计算!$Q$107*(DC55-逐级计算!$P$107)*LN(10)/10))))))),"")</f>
        <v>13.7930365742088</v>
      </c>
      <c r="DE55">
        <f>IF(AND(ISNUMBER(DD55),逐级计算!$X$108&gt;-1),IF(逐级计算!$X$108=0,DD55+逐级计算!$C$108,DD55+逐级计算!$C$108-(10/(逐级计算!$Q$108*LN(10))*(MAX((LN(10^(逐级计算!$Q$108/10)-1)+逐级计算!$Q$108*(DD55-逐级计算!$P$108)*LN(10)/10),0)+LN(1+EXP(-ABS((LN(10^(逐级计算!$Q$108/10)-1)+逐级计算!$Q$108*(DD55-逐级计算!$P$108)*LN(10)/10))))))),"")</f>
        <v>13.7930365742088</v>
      </c>
      <c r="DF55">
        <f>IF(AND(ISNUMBER(DE55),逐级计算!$X$109&gt;-1),IF(逐级计算!$X$109=0,DE55+逐级计算!$C$109,DE55+逐级计算!$C$109-(10/(逐级计算!$Q$109*LN(10))*(MAX((LN(10^(逐级计算!$Q$109/10)-1)+逐级计算!$Q$109*(DE55-逐级计算!$P$109)*LN(10)/10),0)+LN(1+EXP(-ABS((LN(10^(逐级计算!$Q$109/10)-1)+逐级计算!$Q$109*(DE55-逐级计算!$P$109)*LN(10)/10))))))),"")</f>
        <v>13.7930365742088</v>
      </c>
      <c r="DG55">
        <f>IF(AND(ISNUMBER(DF55),逐级计算!$X$110&gt;-1),IF(逐级计算!$X$110=0,DF55+逐级计算!$C$110,DF55+逐级计算!$C$110-(10/(逐级计算!$Q$110*LN(10))*(MAX((LN(10^(逐级计算!$Q$110/10)-1)+逐级计算!$Q$110*(DF55-逐级计算!$P$110)*LN(10)/10),0)+LN(1+EXP(-ABS((LN(10^(逐级计算!$Q$110/10)-1)+逐级计算!$Q$110*(DF55-逐级计算!$P$110)*LN(10)/10))))))),"")</f>
        <v>13.7930365742088</v>
      </c>
      <c r="DH55">
        <f>IF(AND(ISNUMBER(DG55),逐级计算!$X$111&gt;-1),IF(逐级计算!$X$111=0,DG55+逐级计算!$C$111,DG55+逐级计算!$C$111-(10/(逐级计算!$Q$111*LN(10))*(MAX((LN(10^(逐级计算!$Q$111/10)-1)+逐级计算!$Q$111*(DG55-逐级计算!$P$111)*LN(10)/10),0)+LN(1+EXP(-ABS((LN(10^(逐级计算!$Q$111/10)-1)+逐级计算!$Q$111*(DG55-逐级计算!$P$111)*LN(10)/10))))))),"")</f>
        <v>13.7930365742088</v>
      </c>
      <c r="DI55">
        <f>IF(AND(ISNUMBER(DH55),逐级计算!$X$112&gt;-1),IF(逐级计算!$X$112=0,DH55+逐级计算!$C$112,DH55+逐级计算!$C$112-(10/(逐级计算!$Q$112*LN(10))*(MAX((LN(10^(逐级计算!$Q$112/10)-1)+逐级计算!$Q$112*(DH55-逐级计算!$P$112)*LN(10)/10),0)+LN(1+EXP(-ABS((LN(10^(逐级计算!$Q$112/10)-1)+逐级计算!$Q$112*(DH55-逐级计算!$P$112)*LN(10)/10))))))),"")</f>
        <v>13.7930365742088</v>
      </c>
      <c r="DJ55">
        <f>IF(AND(ISNUMBER(DI55),逐级计算!$X$113&gt;-1),IF(逐级计算!$X$113=0,DI55+逐级计算!$C$113,DI55+逐级计算!$C$113-(10/(逐级计算!$Q$113*LN(10))*(MAX((LN(10^(逐级计算!$Q$113/10)-1)+逐级计算!$Q$113*(DI55-逐级计算!$P$113)*LN(10)/10),0)+LN(1+EXP(-ABS((LN(10^(逐级计算!$Q$113/10)-1)+逐级计算!$Q$113*(DI55-逐级计算!$P$113)*LN(10)/10))))))),"")</f>
        <v>13.7930365742088</v>
      </c>
      <c r="DK55">
        <f>IF(AND(ISNUMBER(DJ55),逐级计算!$X$114&gt;-1),IF(逐级计算!$X$114=0,DJ55+逐级计算!$C$114,DJ55+逐级计算!$C$114-(10/(逐级计算!$Q$114*LN(10))*(MAX((LN(10^(逐级计算!$Q$114/10)-1)+逐级计算!$Q$114*(DJ55-逐级计算!$P$114)*LN(10)/10),0)+LN(1+EXP(-ABS((LN(10^(逐级计算!$Q$114/10)-1)+逐级计算!$Q$114*(DJ55-逐级计算!$P$114)*LN(10)/10))))))),"")</f>
        <v>13.7930365742088</v>
      </c>
      <c r="DL55">
        <f>IF(AND(ISNUMBER(DK55),逐级计算!$X$115&gt;-1),IF(逐级计算!$X$115=0,DK55+逐级计算!$C$115,DK55+逐级计算!$C$115-(10/(逐级计算!$Q$115*LN(10))*(MAX((LN(10^(逐级计算!$Q$115/10)-1)+逐级计算!$Q$115*(DK55-逐级计算!$P$115)*LN(10)/10),0)+LN(1+EXP(-ABS((LN(10^(逐级计算!$Q$115/10)-1)+逐级计算!$Q$115*(DK55-逐级计算!$P$115)*LN(10)/10))))))),"")</f>
        <v>13.7930365742088</v>
      </c>
      <c r="DM55">
        <f>IF(AND(ISNUMBER(DL55),逐级计算!$X$116&gt;-1),IF(逐级计算!$X$116=0,DL55+逐级计算!$C$116,DL55+逐级计算!$C$116-(10/(逐级计算!$Q$116*LN(10))*(MAX((LN(10^(逐级计算!$Q$116/10)-1)+逐级计算!$Q$116*(DL55-逐级计算!$P$116)*LN(10)/10),0)+LN(1+EXP(-ABS((LN(10^(逐级计算!$Q$116/10)-1)+逐级计算!$Q$116*(DL55-逐级计算!$P$116)*LN(10)/10))))))),"")</f>
        <v>13.7930365742088</v>
      </c>
      <c r="DN55">
        <f>IF(AND(ISNUMBER(DM55),逐级计算!$X$117&gt;-1),IF(逐级计算!$X$117=0,DM55+逐级计算!$C$117,DM55+逐级计算!$C$117-(10/(逐级计算!$Q$117*LN(10))*(MAX((LN(10^(逐级计算!$Q$117/10)-1)+逐级计算!$Q$117*(DM55-逐级计算!$P$117)*LN(10)/10),0)+LN(1+EXP(-ABS((LN(10^(逐级计算!$Q$117/10)-1)+逐级计算!$Q$117*(DM55-逐级计算!$P$117)*LN(10)/10))))))),"")</f>
        <v>13.7930365742088</v>
      </c>
      <c r="DO55">
        <f>IF(AND(ISNUMBER(DN55),逐级计算!$X$118&gt;-1),IF(逐级计算!$X$118=0,DN55+逐级计算!$C$118,DN55+逐级计算!$C$118-(10/(逐级计算!$Q$118*LN(10))*(MAX((LN(10^(逐级计算!$Q$118/10)-1)+逐级计算!$Q$118*(DN55-逐级计算!$P$118)*LN(10)/10),0)+LN(1+EXP(-ABS((LN(10^(逐级计算!$Q$118/10)-1)+逐级计算!$Q$118*(DN55-逐级计算!$P$118)*LN(10)/10))))))),"")</f>
        <v>13.7930365742088</v>
      </c>
      <c r="DP55">
        <f>IF(AND(ISNUMBER(DO55),逐级计算!$X$119&gt;-1),IF(逐级计算!$X$119=0,DO55+逐级计算!$C$119,DO55+逐级计算!$C$119-(10/(逐级计算!$Q$119*LN(10))*(MAX((LN(10^(逐级计算!$Q$119/10)-1)+逐级计算!$Q$119*(DO55-逐级计算!$P$119)*LN(10)/10),0)+LN(1+EXP(-ABS((LN(10^(逐级计算!$Q$119/10)-1)+逐级计算!$Q$119*(DO55-逐级计算!$P$119)*LN(10)/10))))))),"")</f>
        <v>13.7930365742088</v>
      </c>
      <c r="DQ55">
        <f>IF(AND(ISNUMBER(DP55),逐级计算!$X$120&gt;-1),IF(逐级计算!$X$120=0,DP55+逐级计算!$C$120,DP55+逐级计算!$C$120-(10/(逐级计算!$Q$120*LN(10))*(MAX((LN(10^(逐级计算!$Q$120/10)-1)+逐级计算!$Q$120*(DP55-逐级计算!$P$120)*LN(10)/10),0)+LN(1+EXP(-ABS((LN(10^(逐级计算!$Q$120/10)-1)+逐级计算!$Q$120*(DP55-逐级计算!$P$120)*LN(10)/10))))))),"")</f>
        <v>13.7930365742088</v>
      </c>
      <c r="DR55">
        <f>IF(AND(ISNUMBER(DQ55),逐级计算!$X$121&gt;-1),IF(逐级计算!$X$121=0,DQ55+逐级计算!$C$121,DQ55+逐级计算!$C$121-(10/(逐级计算!$Q$121*LN(10))*(MAX((LN(10^(逐级计算!$Q$121/10)-1)+逐级计算!$Q$121*(DQ55-逐级计算!$P$121)*LN(10)/10),0)+LN(1+EXP(-ABS((LN(10^(逐级计算!$Q$121/10)-1)+逐级计算!$Q$121*(DQ55-逐级计算!$P$121)*LN(10)/10))))))),"")</f>
        <v>13.7930365742088</v>
      </c>
      <c r="DS55">
        <f>IF(AND(ISNUMBER(DR55),逐级计算!$X$122&gt;-1),IF(逐级计算!$X$122=0,DR55+逐级计算!$C$122,DR55+逐级计算!$C$122-(10/(逐级计算!$Q$122*LN(10))*(MAX((LN(10^(逐级计算!$Q$122/10)-1)+逐级计算!$Q$122*(DR55-逐级计算!$P$122)*LN(10)/10),0)+LN(1+EXP(-ABS((LN(10^(逐级计算!$Q$122/10)-1)+逐级计算!$Q$122*(DR55-逐级计算!$P$122)*LN(10)/10))))))),"")</f>
        <v>13.7930365742088</v>
      </c>
      <c r="DT55">
        <f>IF(AND(ISNUMBER(DS55),逐级计算!$X$123&gt;-1),IF(逐级计算!$X$123=0,DS55+逐级计算!$C$123,DS55+逐级计算!$C$123-(10/(逐级计算!$Q$123*LN(10))*(MAX((LN(10^(逐级计算!$Q$123/10)-1)+逐级计算!$Q$123*(DS55-逐级计算!$P$123)*LN(10)/10),0)+LN(1+EXP(-ABS((LN(10^(逐级计算!$Q$123/10)-1)+逐级计算!$Q$123*(DS55-逐级计算!$P$123)*LN(10)/10))))))),"")</f>
        <v>13.7930365742088</v>
      </c>
      <c r="DU55">
        <f>IF(AND(ISNUMBER(DT55),逐级计算!$X$124&gt;-1),IF(逐级计算!$X$124=0,DT55+逐级计算!$C$124,DT55+逐级计算!$C$124-(10/(逐级计算!$Q$124*LN(10))*(MAX((LN(10^(逐级计算!$Q$124/10)-1)+逐级计算!$Q$124*(DT55-逐级计算!$P$124)*LN(10)/10),0)+LN(1+EXP(-ABS((LN(10^(逐级计算!$Q$124/10)-1)+逐级计算!$Q$124*(DT55-逐级计算!$P$124)*LN(10)/10))))))),"")</f>
        <v>13.7930365742088</v>
      </c>
      <c r="DV55">
        <f>IF(AND(ISNUMBER(DU55),逐级计算!$X$125&gt;-1),IF(逐级计算!$X$125=0,DU55+逐级计算!$C$125,DU55+逐级计算!$C$125-(10/(逐级计算!$Q$125*LN(10))*(MAX((LN(10^(逐级计算!$Q$125/10)-1)+逐级计算!$Q$125*(DU55-逐级计算!$P$125)*LN(10)/10),0)+LN(1+EXP(-ABS((LN(10^(逐级计算!$Q$125/10)-1)+逐级计算!$Q$125*(DU55-逐级计算!$P$125)*LN(10)/10))))))),"")</f>
        <v>13.7930365742088</v>
      </c>
      <c r="DW55">
        <f>IF(AND(ISNUMBER(DV55),逐级计算!$X$126&gt;-1),IF(逐级计算!$X$126=0,DV55+逐级计算!$C$126,DV55+逐级计算!$C$126-(10/(逐级计算!$Q$126*LN(10))*(MAX((LN(10^(逐级计算!$Q$126/10)-1)+逐级计算!$Q$126*(DV55-逐级计算!$P$126)*LN(10)/10),0)+LN(1+EXP(-ABS((LN(10^(逐级计算!$Q$126/10)-1)+逐级计算!$Q$126*(DV55-逐级计算!$P$126)*LN(10)/10))))))),"")</f>
        <v>13.7930365742088</v>
      </c>
      <c r="DX55">
        <f>IF(AND(ISNUMBER(DW55),逐级计算!$X$127&gt;-1),IF(逐级计算!$X$127=0,DW55+逐级计算!$C$127,DW55+逐级计算!$C$127-(10/(逐级计算!$Q$127*LN(10))*(MAX((LN(10^(逐级计算!$Q$127/10)-1)+逐级计算!$Q$127*(DW55-逐级计算!$P$127)*LN(10)/10),0)+LN(1+EXP(-ABS((LN(10^(逐级计算!$Q$127/10)-1)+逐级计算!$Q$127*(DW55-逐级计算!$P$127)*LN(10)/10))))))),"")</f>
        <v>13.7930365742088</v>
      </c>
      <c r="DY55">
        <f>IF(AND(ISNUMBER(DX55),逐级计算!$X$128&gt;-1),IF(逐级计算!$X$128=0,DX55+逐级计算!$C$128,DX55+逐级计算!$C$128-(10/(逐级计算!$Q$128*LN(10))*(MAX((LN(10^(逐级计算!$Q$128/10)-1)+逐级计算!$Q$128*(DX55-逐级计算!$P$128)*LN(10)/10),0)+LN(1+EXP(-ABS((LN(10^(逐级计算!$Q$128/10)-1)+逐级计算!$Q$128*(DX55-逐级计算!$P$128)*LN(10)/10))))))),"")</f>
        <v>13.7930365742088</v>
      </c>
      <c r="DZ55">
        <f>IF(AND(ISNUMBER(DY55),逐级计算!$X$129&gt;-1),IF(逐级计算!$X$129=0,DY55+逐级计算!$C$129,DY55+逐级计算!$C$129-(10/(逐级计算!$Q$129*LN(10))*(MAX((LN(10^(逐级计算!$Q$129/10)-1)+逐级计算!$Q$129*(DY55-逐级计算!$P$129)*LN(10)/10),0)+LN(1+EXP(-ABS((LN(10^(逐级计算!$Q$129/10)-1)+逐级计算!$Q$129*(DY55-逐级计算!$P$129)*LN(10)/10))))))),"")</f>
        <v>13.7930365742088</v>
      </c>
      <c r="EA55">
        <f>IF(AND(ISNUMBER(DZ55),逐级计算!$X$130&gt;-1),IF(逐级计算!$X$130=0,DZ55+逐级计算!$C$130,DZ55+逐级计算!$C$130-(10/(逐级计算!$Q$130*LN(10))*(MAX((LN(10^(逐级计算!$Q$130/10)-1)+逐级计算!$Q$130*(DZ55-逐级计算!$P$130)*LN(10)/10),0)+LN(1+EXP(-ABS((LN(10^(逐级计算!$Q$130/10)-1)+逐级计算!$Q$130*(DZ55-逐级计算!$P$130)*LN(10)/10))))))),"")</f>
        <v>13.7930365742088</v>
      </c>
      <c r="EB55">
        <f>IF(AND(ISNUMBER(EA55),逐级计算!$X$131&gt;-1),IF(逐级计算!$X$131=0,EA55+逐级计算!$C$131,EA55+逐级计算!$C$131-(10/(逐级计算!$Q$131*LN(10))*(MAX((LN(10^(逐级计算!$Q$131/10)-1)+逐级计算!$Q$131*(EA55-逐级计算!$P$131)*LN(10)/10),0)+LN(1+EXP(-ABS((LN(10^(逐级计算!$Q$131/10)-1)+逐级计算!$Q$131*(EA55-逐级计算!$P$131)*LN(10)/10))))))),"")</f>
        <v>13.7930365742088</v>
      </c>
      <c r="EC55">
        <f>IF(AND(ISNUMBER(EB55),逐级计算!$X$132&gt;-1),IF(逐级计算!$X$132=0,EB55+逐级计算!$C$132,EB55+逐级计算!$C$132-(10/(逐级计算!$Q$132*LN(10))*(MAX((LN(10^(逐级计算!$Q$132/10)-1)+逐级计算!$Q$132*(EB55-逐级计算!$P$132)*LN(10)/10),0)+LN(1+EXP(-ABS((LN(10^(逐级计算!$Q$132/10)-1)+逐级计算!$Q$132*(EB55-逐级计算!$P$132)*LN(10)/10))))))),"")</f>
        <v>13.7930365742088</v>
      </c>
      <c r="ED55">
        <f>IF(AND(ISNUMBER(EC55),逐级计算!$X$133&gt;-1),IF(逐级计算!$X$133=0,EC55+逐级计算!$C$133,EC55+逐级计算!$C$133-(10/(逐级计算!$Q$133*LN(10))*(MAX((LN(10^(逐级计算!$Q$133/10)-1)+逐级计算!$Q$133*(EC55-逐级计算!$P$133)*LN(10)/10),0)+LN(1+EXP(-ABS((LN(10^(逐级计算!$Q$133/10)-1)+逐级计算!$Q$133*(EC55-逐级计算!$P$133)*LN(10)/10))))))),"")</f>
        <v>13.7930365742088</v>
      </c>
      <c r="EE55">
        <f>IF(AND(ISNUMBER(ED55),逐级计算!$X$134&gt;-1),IF(逐级计算!$X$134=0,ED55+逐级计算!$C$134,ED55+逐级计算!$C$134-(10/(逐级计算!$Q$134*LN(10))*(MAX((LN(10^(逐级计算!$Q$134/10)-1)+逐级计算!$Q$134*(ED55-逐级计算!$P$134)*LN(10)/10),0)+LN(1+EXP(-ABS((LN(10^(逐级计算!$Q$134/10)-1)+逐级计算!$Q$134*(ED55-逐级计算!$P$134)*LN(10)/10))))))),"")</f>
        <v>13.7930365742088</v>
      </c>
      <c r="EF55">
        <f>IF(AND(ISNUMBER(EE55),逐级计算!$X$135&gt;-1),IF(逐级计算!$X$135=0,EE55+逐级计算!$C$135,EE55+逐级计算!$C$135-(10/(逐级计算!$Q$135*LN(10))*(MAX((LN(10^(逐级计算!$Q$135/10)-1)+逐级计算!$Q$135*(EE55-逐级计算!$P$135)*LN(10)/10),0)+LN(1+EXP(-ABS((LN(10^(逐级计算!$Q$135/10)-1)+逐级计算!$Q$135*(EE55-逐级计算!$P$135)*LN(10)/10))))))),"")</f>
        <v>13.7930365742088</v>
      </c>
      <c r="EG55">
        <f>IF(AND(ISNUMBER(EF55),逐级计算!$X$136&gt;-1),IF(逐级计算!$X$136=0,EF55+逐级计算!$C$136,EF55+逐级计算!$C$136-(10/(逐级计算!$Q$136*LN(10))*(MAX((LN(10^(逐级计算!$Q$136/10)-1)+逐级计算!$Q$136*(EF55-逐级计算!$P$136)*LN(10)/10),0)+LN(1+EXP(-ABS((LN(10^(逐级计算!$Q$136/10)-1)+逐级计算!$Q$136*(EF55-逐级计算!$P$136)*LN(10)/10))))))),"")</f>
        <v>13.7930365742088</v>
      </c>
      <c r="EH55">
        <f>IF(AND(ISNUMBER(EG55),逐级计算!$X$137&gt;-1),IF(逐级计算!$X$137=0,EG55+逐级计算!$C$137,EG55+逐级计算!$C$137-(10/(逐级计算!$Q$137*LN(10))*(MAX((LN(10^(逐级计算!$Q$137/10)-1)+逐级计算!$Q$137*(EG55-逐级计算!$P$137)*LN(10)/10),0)+LN(1+EXP(-ABS((LN(10^(逐级计算!$Q$137/10)-1)+逐级计算!$Q$137*(EG55-逐级计算!$P$137)*LN(10)/10))))))),"")</f>
        <v>13.7930365742088</v>
      </c>
      <c r="EI55">
        <f>IF(AND(ISNUMBER(EH55),逐级计算!$X$138&gt;-1),IF(逐级计算!$X$138=0,EH55+逐级计算!$C$138,EH55+逐级计算!$C$138-(10/(逐级计算!$Q$138*LN(10))*(MAX((LN(10^(逐级计算!$Q$138/10)-1)+逐级计算!$Q$138*(EH55-逐级计算!$P$138)*LN(10)/10),0)+LN(1+EXP(-ABS((LN(10^(逐级计算!$Q$138/10)-1)+逐级计算!$Q$138*(EH55-逐级计算!$P$138)*LN(10)/10))))))),"")</f>
        <v>13.7930365742088</v>
      </c>
      <c r="EJ55">
        <f>IF(AND(ISNUMBER(EI55),逐级计算!$X$139&gt;-1),IF(逐级计算!$X$139=0,EI55+逐级计算!$C$139,EI55+逐级计算!$C$139-(10/(逐级计算!$Q$139*LN(10))*(MAX((LN(10^(逐级计算!$Q$139/10)-1)+逐级计算!$Q$139*(EI55-逐级计算!$P$139)*LN(10)/10),0)+LN(1+EXP(-ABS((LN(10^(逐级计算!$Q$139/10)-1)+逐级计算!$Q$139*(EI55-逐级计算!$P$139)*LN(10)/10))))))),"")</f>
        <v>13.7930365742088</v>
      </c>
      <c r="EK55">
        <f>IF(AND(ISNUMBER(EJ55),逐级计算!$X$140&gt;-1),IF(逐级计算!$X$140=0,EJ55+逐级计算!$C$140,EJ55+逐级计算!$C$140-(10/(逐级计算!$Q$140*LN(10))*(MAX((LN(10^(逐级计算!$Q$140/10)-1)+逐级计算!$Q$140*(EJ55-逐级计算!$P$140)*LN(10)/10),0)+LN(1+EXP(-ABS((LN(10^(逐级计算!$Q$140/10)-1)+逐级计算!$Q$140*(EJ55-逐级计算!$P$140)*LN(10)/10))))))),"")</f>
        <v>13.7930365742088</v>
      </c>
      <c r="EL55">
        <f>IF(AND(ISNUMBER(EK55),逐级计算!$X$141&gt;-1),IF(逐级计算!$X$141=0,EK55+逐级计算!$C$141,EK55+逐级计算!$C$141-(10/(逐级计算!$Q$141*LN(10))*(MAX((LN(10^(逐级计算!$Q$141/10)-1)+逐级计算!$Q$141*(EK55-逐级计算!$P$141)*LN(10)/10),0)+LN(1+EXP(-ABS((LN(10^(逐级计算!$Q$141/10)-1)+逐级计算!$Q$141*(EK55-逐级计算!$P$141)*LN(10)/10))))))),"")</f>
        <v>13.7930365742088</v>
      </c>
      <c r="EM55">
        <f>IF(AND(ISNUMBER(EL55),逐级计算!$X$142&gt;-1),IF(逐级计算!$X$142=0,EL55+逐级计算!$C$142,EL55+逐级计算!$C$142-(10/(逐级计算!$Q$142*LN(10))*(MAX((LN(10^(逐级计算!$Q$142/10)-1)+逐级计算!$Q$142*(EL55-逐级计算!$P$142)*LN(10)/10),0)+LN(1+EXP(-ABS((LN(10^(逐级计算!$Q$142/10)-1)+逐级计算!$Q$142*(EL55-逐级计算!$P$142)*LN(10)/10))))))),"")</f>
        <v>13.7930365742088</v>
      </c>
      <c r="EN55">
        <f>IF(AND(ISNUMBER(EM55),逐级计算!$X$143&gt;-1),IF(逐级计算!$X$143=0,EM55+逐级计算!$C$143,EM55+逐级计算!$C$143-(10/(逐级计算!$Q$143*LN(10))*(MAX((LN(10^(逐级计算!$Q$143/10)-1)+逐级计算!$Q$143*(EM55-逐级计算!$P$143)*LN(10)/10),0)+LN(1+EXP(-ABS((LN(10^(逐级计算!$Q$143/10)-1)+逐级计算!$Q$143*(EM55-逐级计算!$P$143)*LN(10)/10))))))),"")</f>
        <v>13.7930365742088</v>
      </c>
      <c r="EO55">
        <f>IF(AND(ISNUMBER(EN55),逐级计算!$X$144&gt;-1),IF(逐级计算!$X$144=0,EN55+逐级计算!$C$144,EN55+逐级计算!$C$144-(10/(逐级计算!$Q$144*LN(10))*(MAX((LN(10^(逐级计算!$Q$144/10)-1)+逐级计算!$Q$144*(EN55-逐级计算!$P$144)*LN(10)/10),0)+LN(1+EXP(-ABS((LN(10^(逐级计算!$Q$144/10)-1)+逐级计算!$Q$144*(EN55-逐级计算!$P$144)*LN(10)/10))))))),"")</f>
        <v>13.7930365742088</v>
      </c>
      <c r="EP55">
        <f>IF(AND(ISNUMBER(EO55),逐级计算!$X$145&gt;-1),IF(逐级计算!$X$145=0,EO55+逐级计算!$C$145,EO55+逐级计算!$C$145-(10/(逐级计算!$Q$145*LN(10))*(MAX((LN(10^(逐级计算!$Q$145/10)-1)+逐级计算!$Q$145*(EO55-逐级计算!$P$145)*LN(10)/10),0)+LN(1+EXP(-ABS((LN(10^(逐级计算!$Q$145/10)-1)+逐级计算!$Q$145*(EO55-逐级计算!$P$145)*LN(10)/10))))))),"")</f>
        <v>13.7930365742088</v>
      </c>
      <c r="EQ55">
        <f>IF(AND(ISNUMBER(EP55),逐级计算!$X$146&gt;-1),IF(逐级计算!$X$146=0,EP55+逐级计算!$C$146,EP55+逐级计算!$C$146-(10/(逐级计算!$Q$146*LN(10))*(MAX((LN(10^(逐级计算!$Q$146/10)-1)+逐级计算!$Q$146*(EP55-逐级计算!$P$146)*LN(10)/10),0)+LN(1+EXP(-ABS((LN(10^(逐级计算!$Q$146/10)-1)+逐级计算!$Q$146*(EP55-逐级计算!$P$146)*LN(10)/10))))))),"")</f>
        <v>13.7930365742088</v>
      </c>
      <c r="ER55">
        <f>IF(AND(ISNUMBER(EQ55),逐级计算!$X$147&gt;-1),IF(逐级计算!$X$147=0,EQ55+逐级计算!$C$147,EQ55+逐级计算!$C$147-(10/(逐级计算!$Q$147*LN(10))*(MAX((LN(10^(逐级计算!$Q$147/10)-1)+逐级计算!$Q$147*(EQ55-逐级计算!$P$147)*LN(10)/10),0)+LN(1+EXP(-ABS((LN(10^(逐级计算!$Q$147/10)-1)+逐级计算!$Q$147*(EQ55-逐级计算!$P$147)*LN(10)/10))))))),"")</f>
        <v>13.7930365742088</v>
      </c>
      <c r="ES55">
        <f>IF(AND(ISNUMBER(ER55),逐级计算!$X$148&gt;-1),IF(逐级计算!$X$148=0,ER55+逐级计算!$C$148,ER55+逐级计算!$C$148-(10/(逐级计算!$Q$148*LN(10))*(MAX((LN(10^(逐级计算!$Q$148/10)-1)+逐级计算!$Q$148*(ER55-逐级计算!$P$148)*LN(10)/10),0)+LN(1+EXP(-ABS((LN(10^(逐级计算!$Q$148/10)-1)+逐级计算!$Q$148*(ER55-逐级计算!$P$148)*LN(10)/10))))))),"")</f>
        <v>13.7930365742088</v>
      </c>
      <c r="ET55">
        <f>IF(AND(ISNUMBER(ES55),逐级计算!$X$149&gt;-1),IF(逐级计算!$X$149=0,ES55+逐级计算!$C$149,ES55+逐级计算!$C$149-(10/(逐级计算!$Q$149*LN(10))*(MAX((LN(10^(逐级计算!$Q$149/10)-1)+逐级计算!$Q$149*(ES55-逐级计算!$P$149)*LN(10)/10),0)+LN(1+EXP(-ABS((LN(10^(逐级计算!$Q$149/10)-1)+逐级计算!$Q$149*(ES55-逐级计算!$P$149)*LN(10)/10))))))),"")</f>
        <v>13.7930365742088</v>
      </c>
      <c r="EU55">
        <f>IF(AND(ISNUMBER(ET55),逐级计算!$X$150&gt;-1),IF(逐级计算!$X$150=0,ET55+逐级计算!$C$150,ET55+逐级计算!$C$150-(10/(逐级计算!$Q$150*LN(10))*(MAX((LN(10^(逐级计算!$Q$150/10)-1)+逐级计算!$Q$150*(ET55-逐级计算!$P$150)*LN(10)/10),0)+LN(1+EXP(-ABS((LN(10^(逐级计算!$Q$150/10)-1)+逐级计算!$Q$150*(ET55-逐级计算!$P$150)*LN(10)/10))))))),"")</f>
        <v>13.7930365742088</v>
      </c>
      <c r="EV55">
        <f>IF(AND(ISNUMBER(EU55),逐级计算!$X$151&gt;-1),IF(逐级计算!$X$151=0,EU55+逐级计算!$C$151,EU55+逐级计算!$C$151-(10/(逐级计算!$Q$151*LN(10))*(MAX((LN(10^(逐级计算!$Q$151/10)-1)+逐级计算!$Q$151*(EU55-逐级计算!$P$151)*LN(10)/10),0)+LN(1+EXP(-ABS((LN(10^(逐级计算!$Q$151/10)-1)+逐级计算!$Q$151*(EU55-逐级计算!$P$151)*LN(10)/10))))))),"")</f>
        <v>13.7930365742088</v>
      </c>
      <c r="EW55">
        <f>IF(AND(ISNUMBER(EV55),逐级计算!$X$152&gt;-1),IF(逐级计算!$X$152=0,EV55+逐级计算!$C$152,EV55+逐级计算!$C$152-(10/(逐级计算!$Q$152*LN(10))*(MAX((LN(10^(逐级计算!$Q$152/10)-1)+逐级计算!$Q$152*(EV55-逐级计算!$P$152)*LN(10)/10),0)+LN(1+EXP(-ABS((LN(10^(逐级计算!$Q$152/10)-1)+逐级计算!$Q$152*(EV55-逐级计算!$P$152)*LN(10)/10))))))),"")</f>
        <v>13.7930365742088</v>
      </c>
      <c r="EX55">
        <f>IF(AND(ISNUMBER(EW55),逐级计算!$X$153&gt;-1),IF(逐级计算!$X$153=0,EW55+逐级计算!$C$153,EW55+逐级计算!$C$153-(10/(逐级计算!$Q$153*LN(10))*(MAX((LN(10^(逐级计算!$Q$153/10)-1)+逐级计算!$Q$153*(EW55-逐级计算!$P$153)*LN(10)/10),0)+LN(1+EXP(-ABS((LN(10^(逐级计算!$Q$153/10)-1)+逐级计算!$Q$153*(EW55-逐级计算!$P$153)*LN(10)/10))))))),"")</f>
        <v>13.7930365742088</v>
      </c>
      <c r="EY55">
        <f>IF(AND(ISNUMBER(EX55),逐级计算!$X$154&gt;-1),IF(逐级计算!$X$154=0,EX55+逐级计算!$C$154,EX55+逐级计算!$C$154-(10/(逐级计算!$Q$154*LN(10))*(MAX((LN(10^(逐级计算!$Q$154/10)-1)+逐级计算!$Q$154*(EX55-逐级计算!$P$154)*LN(10)/10),0)+LN(1+EXP(-ABS((LN(10^(逐级计算!$Q$154/10)-1)+逐级计算!$Q$154*(EX55-逐级计算!$P$154)*LN(10)/10))))))),"")</f>
        <v>13.7930365742088</v>
      </c>
      <c r="EZ55">
        <f>IF(AND(ISNUMBER(EY55),逐级计算!$X$155&gt;-1),IF(逐级计算!$X$155=0,EY55+逐级计算!$C$155,EY55+逐级计算!$C$155-(10/(逐级计算!$Q$155*LN(10))*(MAX((LN(10^(逐级计算!$Q$155/10)-1)+逐级计算!$Q$155*(EY55-逐级计算!$P$155)*LN(10)/10),0)+LN(1+EXP(-ABS((LN(10^(逐级计算!$Q$155/10)-1)+逐级计算!$Q$155*(EY55-逐级计算!$P$155)*LN(10)/10))))))),"")</f>
        <v>13.7930365742088</v>
      </c>
      <c r="FA55">
        <f>IF(AND(ISNUMBER(EZ55),逐级计算!$X$156&gt;-1),IF(逐级计算!$X$156=0,EZ55+逐级计算!$C$156,EZ55+逐级计算!$C$156-(10/(逐级计算!$Q$156*LN(10))*(MAX((LN(10^(逐级计算!$Q$156/10)-1)+逐级计算!$Q$156*(EZ55-逐级计算!$P$156)*LN(10)/10),0)+LN(1+EXP(-ABS((LN(10^(逐级计算!$Q$156/10)-1)+逐级计算!$Q$156*(EZ55-逐级计算!$P$156)*LN(10)/10))))))),"")</f>
        <v>13.7930365742088</v>
      </c>
      <c r="FB55">
        <f>IF(AND(ISNUMBER(FA55),逐级计算!$X$157&gt;-1),IF(逐级计算!$X$157=0,FA55+逐级计算!$C$157,FA55+逐级计算!$C$157-(10/(逐级计算!$Q$157*LN(10))*(MAX((LN(10^(逐级计算!$Q$157/10)-1)+逐级计算!$Q$157*(FA55-逐级计算!$P$157)*LN(10)/10),0)+LN(1+EXP(-ABS((LN(10^(逐级计算!$Q$157/10)-1)+逐级计算!$Q$157*(FA55-逐级计算!$P$157)*LN(10)/10))))))),"")</f>
        <v>13.7930365742088</v>
      </c>
      <c r="FC55">
        <f>IF(AND(ISNUMBER(FB55),逐级计算!$X$158&gt;-1),IF(逐级计算!$X$158=0,FB55+逐级计算!$C$158,FB55+逐级计算!$C$158-(10/(逐级计算!$Q$158*LN(10))*(MAX((LN(10^(逐级计算!$Q$158/10)-1)+逐级计算!$Q$158*(FB55-逐级计算!$P$158)*LN(10)/10),0)+LN(1+EXP(-ABS((LN(10^(逐级计算!$Q$158/10)-1)+逐级计算!$Q$158*(FB55-逐级计算!$P$158)*LN(10)/10))))))),"")</f>
        <v>13.7930365742088</v>
      </c>
      <c r="FD55">
        <f>IF(AND(ISNUMBER(FC55),逐级计算!$X$159&gt;-1),IF(逐级计算!$X$159=0,FC55+逐级计算!$C$159,FC55+逐级计算!$C$159-(10/(逐级计算!$Q$159*LN(10))*(MAX((LN(10^(逐级计算!$Q$159/10)-1)+逐级计算!$Q$159*(FC55-逐级计算!$P$159)*LN(10)/10),0)+LN(1+EXP(-ABS((LN(10^(逐级计算!$Q$159/10)-1)+逐级计算!$Q$159*(FC55-逐级计算!$P$159)*LN(10)/10))))))),"")</f>
        <v>13.7930365742088</v>
      </c>
      <c r="FE55">
        <f>IF(AND(ISNUMBER(FD55),逐级计算!$X$160&gt;-1),IF(逐级计算!$X$160=0,FD55+逐级计算!$C$160,FD55+逐级计算!$C$160-(10/(逐级计算!$Q$160*LN(10))*(MAX((LN(10^(逐级计算!$Q$160/10)-1)+逐级计算!$Q$160*(FD55-逐级计算!$P$160)*LN(10)/10),0)+LN(1+EXP(-ABS((LN(10^(逐级计算!$Q$160/10)-1)+逐级计算!$Q$160*(FD55-逐级计算!$P$160)*LN(10)/10))))))),"")</f>
        <v>13.7930365742088</v>
      </c>
      <c r="FF55">
        <f>IF(AND(ISNUMBER(FE55),逐级计算!$X$161&gt;-1),IF(逐级计算!$X$161=0,FE55+逐级计算!$C$161,FE55+逐级计算!$C$161-(10/(逐级计算!$Q$161*LN(10))*(MAX((LN(10^(逐级计算!$Q$161/10)-1)+逐级计算!$Q$161*(FE55-逐级计算!$P$161)*LN(10)/10),0)+LN(1+EXP(-ABS((LN(10^(逐级计算!$Q$161/10)-1)+逐级计算!$Q$161*(FE55-逐级计算!$P$161)*LN(10)/10))))))),"")</f>
        <v>13.7930365742088</v>
      </c>
      <c r="FG55">
        <f>IF(AND(ISNUMBER(FF55),逐级计算!$X$162&gt;-1),IF(逐级计算!$X$162=0,FF55+逐级计算!$C$162,FF55+逐级计算!$C$162-(10/(逐级计算!$Q$162*LN(10))*(MAX((LN(10^(逐级计算!$Q$162/10)-1)+逐级计算!$Q$162*(FF55-逐级计算!$P$162)*LN(10)/10),0)+LN(1+EXP(-ABS((LN(10^(逐级计算!$Q$162/10)-1)+逐级计算!$Q$162*(FF55-逐级计算!$P$162)*LN(10)/10))))))),"")</f>
        <v>13.7930365742088</v>
      </c>
      <c r="FH55">
        <f>IF(AND(ISNUMBER(FG55),逐级计算!$X$163&gt;-1),IF(逐级计算!$X$163=0,FG55+逐级计算!$C$163,FG55+逐级计算!$C$163-(10/(逐级计算!$Q$163*LN(10))*(MAX((LN(10^(逐级计算!$Q$163/10)-1)+逐级计算!$Q$163*(FG55-逐级计算!$P$163)*LN(10)/10),0)+LN(1+EXP(-ABS((LN(10^(逐级计算!$Q$163/10)-1)+逐级计算!$Q$163*(FG55-逐级计算!$P$163)*LN(10)/10))))))),"")</f>
        <v>13.7930365742088</v>
      </c>
      <c r="FI55">
        <f>IF(AND(ISNUMBER(FH55),逐级计算!$X$164&gt;-1),IF(逐级计算!$X$164=0,FH55+逐级计算!$C$164,FH55+逐级计算!$C$164-(10/(逐级计算!$Q$164*LN(10))*(MAX((LN(10^(逐级计算!$Q$164/10)-1)+逐级计算!$Q$164*(FH55-逐级计算!$P$164)*LN(10)/10),0)+LN(1+EXP(-ABS((LN(10^(逐级计算!$Q$164/10)-1)+逐级计算!$Q$164*(FH55-逐级计算!$P$164)*LN(10)/10))))))),"")</f>
        <v>13.7930365742088</v>
      </c>
      <c r="FJ55">
        <f>IF(AND(ISNUMBER(FI55),逐级计算!$X$165&gt;-1),IF(逐级计算!$X$165=0,FI55+逐级计算!$C$165,FI55+逐级计算!$C$165-(10/(逐级计算!$Q$165*LN(10))*(MAX((LN(10^(逐级计算!$Q$165/10)-1)+逐级计算!$Q$165*(FI55-逐级计算!$P$165)*LN(10)/10),0)+LN(1+EXP(-ABS((LN(10^(逐级计算!$Q$165/10)-1)+逐级计算!$Q$165*(FI55-逐级计算!$P$165)*LN(10)/10))))))),"")</f>
        <v>13.7930365742088</v>
      </c>
      <c r="FK55">
        <f>IF(AND(ISNUMBER(FJ55),逐级计算!$X$166&gt;-1),IF(逐级计算!$X$166=0,FJ55+逐级计算!$C$166,FJ55+逐级计算!$C$166-(10/(逐级计算!$Q$166*LN(10))*(MAX((LN(10^(逐级计算!$Q$166/10)-1)+逐级计算!$Q$166*(FJ55-逐级计算!$P$166)*LN(10)/10),0)+LN(1+EXP(-ABS((LN(10^(逐级计算!$Q$166/10)-1)+逐级计算!$Q$166*(FJ55-逐级计算!$P$166)*LN(10)/10))))))),"")</f>
        <v>13.7930365742088</v>
      </c>
      <c r="FL55">
        <f>IF(AND(ISNUMBER(FK55),逐级计算!$X$167&gt;-1),IF(逐级计算!$X$167=0,FK55+逐级计算!$C$167,FK55+逐级计算!$C$167-(10/(逐级计算!$Q$167*LN(10))*(MAX((LN(10^(逐级计算!$Q$167/10)-1)+逐级计算!$Q$167*(FK55-逐级计算!$P$167)*LN(10)/10),0)+LN(1+EXP(-ABS((LN(10^(逐级计算!$Q$167/10)-1)+逐级计算!$Q$167*(FK55-逐级计算!$P$167)*LN(10)/10))))))),"")</f>
        <v>13.7930365742088</v>
      </c>
      <c r="FM55">
        <f>IF(AND(ISNUMBER(FL55),逐级计算!$X$168&gt;-1),IF(逐级计算!$X$168=0,FL55+逐级计算!$C$168,FL55+逐级计算!$C$168-(10/(逐级计算!$Q$168*LN(10))*(MAX((LN(10^(逐级计算!$Q$168/10)-1)+逐级计算!$Q$168*(FL55-逐级计算!$P$168)*LN(10)/10),0)+LN(1+EXP(-ABS((LN(10^(逐级计算!$Q$168/10)-1)+逐级计算!$Q$168*(FL55-逐级计算!$P$168)*LN(10)/10))))))),"")</f>
        <v>13.7930365742088</v>
      </c>
      <c r="FN55">
        <f>IF(AND(ISNUMBER(FM55),逐级计算!$X$169&gt;-1),IF(逐级计算!$X$169=0,FM55+逐级计算!$C$169,FM55+逐级计算!$C$169-(10/(逐级计算!$Q$169*LN(10))*(MAX((LN(10^(逐级计算!$Q$169/10)-1)+逐级计算!$Q$169*(FM55-逐级计算!$P$169)*LN(10)/10),0)+LN(1+EXP(-ABS((LN(10^(逐级计算!$Q$169/10)-1)+逐级计算!$Q$169*(FM55-逐级计算!$P$169)*LN(10)/10))))))),"")</f>
        <v>13.7930365742088</v>
      </c>
      <c r="FO55">
        <f>IF(AND(ISNUMBER(FN55),逐级计算!$X$170&gt;-1),IF(逐级计算!$X$170=0,FN55+逐级计算!$C$170,FN55+逐级计算!$C$170-(10/(逐级计算!$Q$170*LN(10))*(MAX((LN(10^(逐级计算!$Q$170/10)-1)+逐级计算!$Q$170*(FN55-逐级计算!$P$170)*LN(10)/10),0)+LN(1+EXP(-ABS((LN(10^(逐级计算!$Q$170/10)-1)+逐级计算!$Q$170*(FN55-逐级计算!$P$170)*LN(10)/10))))))),"")</f>
        <v>13.7930365742088</v>
      </c>
      <c r="FP55">
        <f>IF(AND(ISNUMBER(FO55),逐级计算!$X$171&gt;-1),IF(逐级计算!$X$171=0,FO55+逐级计算!$C$171,FO55+逐级计算!$C$171-(10/(逐级计算!$Q$171*LN(10))*(MAX((LN(10^(逐级计算!$Q$171/10)-1)+逐级计算!$Q$171*(FO55-逐级计算!$P$171)*LN(10)/10),0)+LN(1+EXP(-ABS((LN(10^(逐级计算!$Q$171/10)-1)+逐级计算!$Q$171*(FO55-逐级计算!$P$171)*LN(10)/10))))))),"")</f>
        <v>13.7930365742088</v>
      </c>
      <c r="FQ55">
        <f>IF(AND(ISNUMBER(FP55),逐级计算!$X$172&gt;-1),IF(逐级计算!$X$172=0,FP55+逐级计算!$C$172,FP55+逐级计算!$C$172-(10/(逐级计算!$Q$172*LN(10))*(MAX((LN(10^(逐级计算!$Q$172/10)-1)+逐级计算!$Q$172*(FP55-逐级计算!$P$172)*LN(10)/10),0)+LN(1+EXP(-ABS((LN(10^(逐级计算!$Q$172/10)-1)+逐级计算!$Q$172*(FP55-逐级计算!$P$172)*LN(10)/10))))))),"")</f>
        <v>13.7930365742088</v>
      </c>
      <c r="FR55">
        <f>IF(AND(ISNUMBER(FQ55),逐级计算!$X$173&gt;-1),IF(逐级计算!$X$173=0,FQ55+逐级计算!$C$173,FQ55+逐级计算!$C$173-(10/(逐级计算!$Q$173*LN(10))*(MAX((LN(10^(逐级计算!$Q$173/10)-1)+逐级计算!$Q$173*(FQ55-逐级计算!$P$173)*LN(10)/10),0)+LN(1+EXP(-ABS((LN(10^(逐级计算!$Q$173/10)-1)+逐级计算!$Q$173*(FQ55-逐级计算!$P$173)*LN(10)/10))))))),"")</f>
        <v>13.7930365742088</v>
      </c>
      <c r="FS55">
        <f>IF(AND(ISNUMBER(FR55),逐级计算!$X$174&gt;-1),IF(逐级计算!$X$174=0,FR55+逐级计算!$C$174,FR55+逐级计算!$C$174-(10/(逐级计算!$Q$174*LN(10))*(MAX((LN(10^(逐级计算!$Q$174/10)-1)+逐级计算!$Q$174*(FR55-逐级计算!$P$174)*LN(10)/10),0)+LN(1+EXP(-ABS((LN(10^(逐级计算!$Q$174/10)-1)+逐级计算!$Q$174*(FR55-逐级计算!$P$174)*LN(10)/10))))))),"")</f>
        <v>13.7930365742088</v>
      </c>
      <c r="FT55">
        <f>IF(AND(ISNUMBER(FS55),逐级计算!$X$175&gt;-1),IF(逐级计算!$X$175=0,FS55+逐级计算!$C$175,FS55+逐级计算!$C$175-(10/(逐级计算!$Q$175*LN(10))*(MAX((LN(10^(逐级计算!$Q$175/10)-1)+逐级计算!$Q$175*(FS55-逐级计算!$P$175)*LN(10)/10),0)+LN(1+EXP(-ABS((LN(10^(逐级计算!$Q$175/10)-1)+逐级计算!$Q$175*(FS55-逐级计算!$P$175)*LN(10)/10))))))),"")</f>
        <v>13.7930365742088</v>
      </c>
      <c r="FU55">
        <f>IF(AND(ISNUMBER(FT55),逐级计算!$X$176&gt;-1),IF(逐级计算!$X$176=0,FT55+逐级计算!$C$176,FT55+逐级计算!$C$176-(10/(逐级计算!$Q$176*LN(10))*(MAX((LN(10^(逐级计算!$Q$176/10)-1)+逐级计算!$Q$176*(FT55-逐级计算!$P$176)*LN(10)/10),0)+LN(1+EXP(-ABS((LN(10^(逐级计算!$Q$176/10)-1)+逐级计算!$Q$176*(FT55-逐级计算!$P$176)*LN(10)/10))))))),"")</f>
        <v>13.7930365742088</v>
      </c>
      <c r="FV55">
        <f>IF(AND(ISNUMBER(FU55),逐级计算!$X$177&gt;-1),IF(逐级计算!$X$177=0,FU55+逐级计算!$C$177,FU55+逐级计算!$C$177-(10/(逐级计算!$Q$177*LN(10))*(MAX((LN(10^(逐级计算!$Q$177/10)-1)+逐级计算!$Q$177*(FU55-逐级计算!$P$177)*LN(10)/10),0)+LN(1+EXP(-ABS((LN(10^(逐级计算!$Q$177/10)-1)+逐级计算!$Q$177*(FU55-逐级计算!$P$177)*LN(10)/10))))))),"")</f>
        <v>13.7930365742088</v>
      </c>
      <c r="FW55">
        <f>IF(AND(ISNUMBER(FV55),逐级计算!$X$178&gt;-1),IF(逐级计算!$X$178=0,FV55+逐级计算!$C$178,FV55+逐级计算!$C$178-(10/(逐级计算!$Q$178*LN(10))*(MAX((LN(10^(逐级计算!$Q$178/10)-1)+逐级计算!$Q$178*(FV55-逐级计算!$P$178)*LN(10)/10),0)+LN(1+EXP(-ABS((LN(10^(逐级计算!$Q$178/10)-1)+逐级计算!$Q$178*(FV55-逐级计算!$P$178)*LN(10)/10))))))),"")</f>
        <v>13.7930365742088</v>
      </c>
      <c r="FX55">
        <f>IF(AND(ISNUMBER(FW55),逐级计算!$X$179&gt;-1),IF(逐级计算!$X$179=0,FW55+逐级计算!$C$179,FW55+逐级计算!$C$179-(10/(逐级计算!$Q$179*LN(10))*(MAX((LN(10^(逐级计算!$Q$179/10)-1)+逐级计算!$Q$179*(FW55-逐级计算!$P$179)*LN(10)/10),0)+LN(1+EXP(-ABS((LN(10^(逐级计算!$Q$179/10)-1)+逐级计算!$Q$179*(FW55-逐级计算!$P$179)*LN(10)/10))))))),"")</f>
        <v>13.7930365742088</v>
      </c>
      <c r="FY55">
        <f>IF(AND(ISNUMBER(FX55),逐级计算!$X$180&gt;-1),IF(逐级计算!$X$180=0,FX55+逐级计算!$C$180,FX55+逐级计算!$C$180-(10/(逐级计算!$Q$180*LN(10))*(MAX((LN(10^(逐级计算!$Q$180/10)-1)+逐级计算!$Q$180*(FX55-逐级计算!$P$180)*LN(10)/10),0)+LN(1+EXP(-ABS((LN(10^(逐级计算!$Q$180/10)-1)+逐级计算!$Q$180*(FX55-逐级计算!$P$180)*LN(10)/10))))))),"")</f>
        <v>13.7930365742088</v>
      </c>
      <c r="FZ55">
        <f>IF(AND(ISNUMBER(FY55),逐级计算!$X$181&gt;-1),IF(逐级计算!$X$181=0,FY55+逐级计算!$C$181,FY55+逐级计算!$C$181-(10/(逐级计算!$Q$181*LN(10))*(MAX((LN(10^(逐级计算!$Q$181/10)-1)+逐级计算!$Q$181*(FY55-逐级计算!$P$181)*LN(10)/10),0)+LN(1+EXP(-ABS((LN(10^(逐级计算!$Q$181/10)-1)+逐级计算!$Q$181*(FY55-逐级计算!$P$181)*LN(10)/10))))))),"")</f>
        <v>13.7930365742088</v>
      </c>
      <c r="GA55">
        <f>IF(AND(ISNUMBER(FZ55),逐级计算!$X$182&gt;-1),IF(逐级计算!$X$182=0,FZ55+逐级计算!$C$182,FZ55+逐级计算!$C$182-(10/(逐级计算!$Q$182*LN(10))*(MAX((LN(10^(逐级计算!$Q$182/10)-1)+逐级计算!$Q$182*(FZ55-逐级计算!$P$182)*LN(10)/10),0)+LN(1+EXP(-ABS((LN(10^(逐级计算!$Q$182/10)-1)+逐级计算!$Q$182*(FZ55-逐级计算!$P$182)*LN(10)/10))))))),"")</f>
        <v>13.7930365742088</v>
      </c>
      <c r="GB55">
        <f>IF(AND(ISNUMBER(GA55),逐级计算!$X$183&gt;-1),IF(逐级计算!$X$183=0,GA55+逐级计算!$C$183,GA55+逐级计算!$C$183-(10/(逐级计算!$Q$183*LN(10))*(MAX((LN(10^(逐级计算!$Q$183/10)-1)+逐级计算!$Q$183*(GA55-逐级计算!$P$183)*LN(10)/10),0)+LN(1+EXP(-ABS((LN(10^(逐级计算!$Q$183/10)-1)+逐级计算!$Q$183*(GA55-逐级计算!$P$183)*LN(10)/10))))))),"")</f>
        <v>13.7930365742088</v>
      </c>
      <c r="GC55">
        <f>IF(AND(ISNUMBER(GB55),逐级计算!$X$184&gt;-1),IF(逐级计算!$X$184=0,GB55+逐级计算!$C$184,GB55+逐级计算!$C$184-(10/(逐级计算!$Q$184*LN(10))*(MAX((LN(10^(逐级计算!$Q$184/10)-1)+逐级计算!$Q$184*(GB55-逐级计算!$P$184)*LN(10)/10),0)+LN(1+EXP(-ABS((LN(10^(逐级计算!$Q$184/10)-1)+逐级计算!$Q$184*(GB55-逐级计算!$P$184)*LN(10)/10))))))),"")</f>
        <v>13.7930365742088</v>
      </c>
      <c r="GD55">
        <f>IF(AND(ISNUMBER(GC55),逐级计算!$X$185&gt;-1),IF(逐级计算!$X$185=0,GC55+逐级计算!$C$185,GC55+逐级计算!$C$185-(10/(逐级计算!$Q$185*LN(10))*(MAX((LN(10^(逐级计算!$Q$185/10)-1)+逐级计算!$Q$185*(GC55-逐级计算!$P$185)*LN(10)/10),0)+LN(1+EXP(-ABS((LN(10^(逐级计算!$Q$185/10)-1)+逐级计算!$Q$185*(GC55-逐级计算!$P$185)*LN(10)/10))))))),"")</f>
        <v>13.7930365742088</v>
      </c>
      <c r="GE55">
        <f>IF(AND(ISNUMBER(GD55),逐级计算!$X$186&gt;-1),IF(逐级计算!$X$186=0,GD55+逐级计算!$C$186,GD55+逐级计算!$C$186-(10/(逐级计算!$Q$186*LN(10))*(MAX((LN(10^(逐级计算!$Q$186/10)-1)+逐级计算!$Q$186*(GD55-逐级计算!$P$186)*LN(10)/10),0)+LN(1+EXP(-ABS((LN(10^(逐级计算!$Q$186/10)-1)+逐级计算!$Q$186*(GD55-逐级计算!$P$186)*LN(10)/10))))))),"")</f>
        <v>13.7930365742088</v>
      </c>
      <c r="GF55">
        <f>IF(AND(ISNUMBER(GE55),逐级计算!$X$187&gt;-1),IF(逐级计算!$X$187=0,GE55+逐级计算!$C$187,GE55+逐级计算!$C$187-(10/(逐级计算!$Q$187*LN(10))*(MAX((LN(10^(逐级计算!$Q$187/10)-1)+逐级计算!$Q$187*(GE55-逐级计算!$P$187)*LN(10)/10),0)+LN(1+EXP(-ABS((LN(10^(逐级计算!$Q$187/10)-1)+逐级计算!$Q$187*(GE55-逐级计算!$P$187)*LN(10)/10))))))),"")</f>
        <v>13.7930365742088</v>
      </c>
      <c r="GG55">
        <f>IF(AND(ISNUMBER(GF55),逐级计算!$X$188&gt;-1),IF(逐级计算!$X$188=0,GF55+逐级计算!$C$188,GF55+逐级计算!$C$188-(10/(逐级计算!$Q$188*LN(10))*(MAX((LN(10^(逐级计算!$Q$188/10)-1)+逐级计算!$Q$188*(GF55-逐级计算!$P$188)*LN(10)/10),0)+LN(1+EXP(-ABS((LN(10^(逐级计算!$Q$188/10)-1)+逐级计算!$Q$188*(GF55-逐级计算!$P$188)*LN(10)/10))))))),"")</f>
        <v>13.7930365742088</v>
      </c>
      <c r="GH55">
        <f>IF(AND(ISNUMBER(GG55),逐级计算!$X$189&gt;-1),IF(逐级计算!$X$189=0,GG55+逐级计算!$C$189,GG55+逐级计算!$C$189-(10/(逐级计算!$Q$189*LN(10))*(MAX((LN(10^(逐级计算!$Q$189/10)-1)+逐级计算!$Q$189*(GG55-逐级计算!$P$189)*LN(10)/10),0)+LN(1+EXP(-ABS((LN(10^(逐级计算!$Q$189/10)-1)+逐级计算!$Q$189*(GG55-逐级计算!$P$189)*LN(10)/10))))))),"")</f>
        <v>13.7930365742088</v>
      </c>
      <c r="GI55">
        <f>IF(AND(ISNUMBER(GH55),逐级计算!$X$190&gt;-1),IF(逐级计算!$X$190=0,GH55+逐级计算!$C$190,GH55+逐级计算!$C$190-(10/(逐级计算!$Q$190*LN(10))*(MAX((LN(10^(逐级计算!$Q$190/10)-1)+逐级计算!$Q$190*(GH55-逐级计算!$P$190)*LN(10)/10),0)+LN(1+EXP(-ABS((LN(10^(逐级计算!$Q$190/10)-1)+逐级计算!$Q$190*(GH55-逐级计算!$P$190)*LN(10)/10))))))),"")</f>
        <v>13.7930365742088</v>
      </c>
      <c r="GJ55">
        <f>IF(AND(ISNUMBER(GI55),逐级计算!$X$191&gt;-1),IF(逐级计算!$X$191=0,GI55+逐级计算!$C$191,GI55+逐级计算!$C$191-(10/(逐级计算!$Q$191*LN(10))*(MAX((LN(10^(逐级计算!$Q$191/10)-1)+逐级计算!$Q$191*(GI55-逐级计算!$P$191)*LN(10)/10),0)+LN(1+EXP(-ABS((LN(10^(逐级计算!$Q$191/10)-1)+逐级计算!$Q$191*(GI55-逐级计算!$P$191)*LN(10)/10))))))),"")</f>
        <v>13.7930365742088</v>
      </c>
      <c r="GK55">
        <f>IF(AND(ISNUMBER(GJ55),逐级计算!$X$192&gt;-1),IF(逐级计算!$X$192=0,GJ55+逐级计算!$C$192,GJ55+逐级计算!$C$192-(10/(逐级计算!$Q$192*LN(10))*(MAX((LN(10^(逐级计算!$Q$192/10)-1)+逐级计算!$Q$192*(GJ55-逐级计算!$P$192)*LN(10)/10),0)+LN(1+EXP(-ABS((LN(10^(逐级计算!$Q$192/10)-1)+逐级计算!$Q$192*(GJ55-逐级计算!$P$192)*LN(10)/10))))))),"")</f>
        <v>13.7930365742088</v>
      </c>
      <c r="GL55">
        <f>IF(AND(ISNUMBER(GK55),逐级计算!$X$193&gt;-1),IF(逐级计算!$X$193=0,GK55+逐级计算!$C$193,GK55+逐级计算!$C$193-(10/(逐级计算!$Q$193*LN(10))*(MAX((LN(10^(逐级计算!$Q$193/10)-1)+逐级计算!$Q$193*(GK55-逐级计算!$P$193)*LN(10)/10),0)+LN(1+EXP(-ABS((LN(10^(逐级计算!$Q$193/10)-1)+逐级计算!$Q$193*(GK55-逐级计算!$P$193)*LN(10)/10))))))),"")</f>
        <v>13.7930365742088</v>
      </c>
      <c r="GM55">
        <f>IF(AND(ISNUMBER(GL55),逐级计算!$X$194&gt;-1),IF(逐级计算!$X$194=0,GL55+逐级计算!$C$194,GL55+逐级计算!$C$194-(10/(逐级计算!$Q$194*LN(10))*(MAX((LN(10^(逐级计算!$Q$194/10)-1)+逐级计算!$Q$194*(GL55-逐级计算!$P$194)*LN(10)/10),0)+LN(1+EXP(-ABS((LN(10^(逐级计算!$Q$194/10)-1)+逐级计算!$Q$194*(GL55-逐级计算!$P$194)*LN(10)/10))))))),"")</f>
        <v>13.7930365742088</v>
      </c>
      <c r="GN55">
        <f>IF(AND(ISNUMBER(GM55),逐级计算!$X$195&gt;-1),IF(逐级计算!$X$195=0,GM55+逐级计算!$C$195,GM55+逐级计算!$C$195-(10/(逐级计算!$Q$195*LN(10))*(MAX((LN(10^(逐级计算!$Q$195/10)-1)+逐级计算!$Q$195*(GM55-逐级计算!$P$195)*LN(10)/10),0)+LN(1+EXP(-ABS((LN(10^(逐级计算!$Q$195/10)-1)+逐级计算!$Q$195*(GM55-逐级计算!$P$195)*LN(10)/10))))))),"")</f>
        <v>13.7930365742088</v>
      </c>
      <c r="GO55">
        <f>IF(AND(ISNUMBER(GN55),逐级计算!$X$196&gt;-1),IF(逐级计算!$X$196=0,GN55+逐级计算!$C$196,GN55+逐级计算!$C$196-(10/(逐级计算!$Q$196*LN(10))*(MAX((LN(10^(逐级计算!$Q$196/10)-1)+逐级计算!$Q$196*(GN55-逐级计算!$P$196)*LN(10)/10),0)+LN(1+EXP(-ABS((LN(10^(逐级计算!$Q$196/10)-1)+逐级计算!$Q$196*(GN55-逐级计算!$P$196)*LN(10)/10))))))),"")</f>
        <v>13.7930365742088</v>
      </c>
      <c r="GP55">
        <f>IF(AND(ISNUMBER(GO55),逐级计算!$X$197&gt;-1),IF(逐级计算!$X$197=0,GO55+逐级计算!$C$197,GO55+逐级计算!$C$197-(10/(逐级计算!$Q$197*LN(10))*(MAX((LN(10^(逐级计算!$Q$197/10)-1)+逐级计算!$Q$197*(GO55-逐级计算!$P$197)*LN(10)/10),0)+LN(1+EXP(-ABS((LN(10^(逐级计算!$Q$197/10)-1)+逐级计算!$Q$197*(GO55-逐级计算!$P$197)*LN(10)/10))))))),"")</f>
        <v>13.7930365742088</v>
      </c>
      <c r="GQ55">
        <f>IF(AND(ISNUMBER(GP55),逐级计算!$X$198&gt;-1),IF(逐级计算!$X$198=0,GP55+逐级计算!$C$198,GP55+逐级计算!$C$198-(10/(逐级计算!$Q$198*LN(10))*(MAX((LN(10^(逐级计算!$Q$198/10)-1)+逐级计算!$Q$198*(GP55-逐级计算!$P$198)*LN(10)/10),0)+LN(1+EXP(-ABS((LN(10^(逐级计算!$Q$198/10)-1)+逐级计算!$Q$198*(GP55-逐级计算!$P$198)*LN(10)/10))))))),"")</f>
        <v>13.7930365742088</v>
      </c>
      <c r="GR55">
        <f>IF(AND(ISNUMBER(GQ55),逐级计算!$X$199&gt;-1),IF(逐级计算!$X$199=0,GQ55+逐级计算!$C$199,GQ55+逐级计算!$C$199-(10/(逐级计算!$Q$199*LN(10))*(MAX((LN(10^(逐级计算!$Q$199/10)-1)+逐级计算!$Q$199*(GQ55-逐级计算!$P$199)*LN(10)/10),0)+LN(1+EXP(-ABS((LN(10^(逐级计算!$Q$199/10)-1)+逐级计算!$Q$199*(GQ55-逐级计算!$P$199)*LN(10)/10))))))),"")</f>
        <v>13.7930365742088</v>
      </c>
      <c r="GS55">
        <f>IF(AND(ISNUMBER(GR55),逐级计算!$X$200&gt;-1),IF(逐级计算!$X$200=0,GR55+逐级计算!$C$200,GR55+逐级计算!$C$200-(10/(逐级计算!$Q$200*LN(10))*(MAX((LN(10^(逐级计算!$Q$200/10)-1)+逐级计算!$Q$200*(GR55-逐级计算!$P$200)*LN(10)/10),0)+LN(1+EXP(-ABS((LN(10^(逐级计算!$Q$200/10)-1)+逐级计算!$Q$200*(GR55-逐级计算!$P$200)*LN(10)/10))))))),"")</f>
        <v>13.7930365742088</v>
      </c>
      <c r="GT55">
        <f>IF(AND(ISNUMBER(GS55),逐级计算!$X$201&gt;-1),IF(逐级计算!$X$201=0,GS55+逐级计算!$C$201,GS55+逐级计算!$C$201-(10/(逐级计算!$Q$201*LN(10))*(MAX((LN(10^(逐级计算!$Q$201/10)-1)+逐级计算!$Q$201*(GS55-逐级计算!$P$201)*LN(10)/10),0)+LN(1+EXP(-ABS((LN(10^(逐级计算!$Q$201/10)-1)+逐级计算!$Q$201*(GS55-逐级计算!$P$201)*LN(10)/10))))))),"")</f>
        <v>13.7930365742088</v>
      </c>
      <c r="GU55">
        <f>IF(AND(ISNUMBER(GT55),逐级计算!$X$202&gt;-1),IF(逐级计算!$X$202=0,GT55+逐级计算!$C$202,GT55+逐级计算!$C$202-(10/(逐级计算!$Q$202*LN(10))*(MAX((LN(10^(逐级计算!$Q$202/10)-1)+逐级计算!$Q$202*(GT55-逐级计算!$P$202)*LN(10)/10),0)+LN(1+EXP(-ABS((LN(10^(逐级计算!$Q$202/10)-1)+逐级计算!$Q$202*(GT55-逐级计算!$P$202)*LN(10)/10))))))),"")</f>
        <v>13.7930365742088</v>
      </c>
      <c r="GV55">
        <f>IF(AND(ISNUMBER(GU55),逐级计算!$X$203&gt;-1),IF(逐级计算!$X$203=0,GU55+逐级计算!$C$203,GU55+逐级计算!$C$203-(10/(逐级计算!$Q$203*LN(10))*(MAX((LN(10^(逐级计算!$Q$203/10)-1)+逐级计算!$Q$203*(GU55-逐级计算!$P$203)*LN(10)/10),0)+LN(1+EXP(-ABS((LN(10^(逐级计算!$Q$203/10)-1)+逐级计算!$Q$203*(GU55-逐级计算!$P$203)*LN(10)/10))))))),"")</f>
        <v>13.7930365742088</v>
      </c>
      <c r="GW55">
        <f t="shared" si="2"/>
        <v>-5.20696342579086</v>
      </c>
    </row>
    <row r="56" spans="1:205">
      <c r="A56">
        <v>49</v>
      </c>
      <c r="B56">
        <f t="shared" si="1"/>
        <v>-5.20696342579123</v>
      </c>
      <c r="C56">
        <f t="shared" si="0"/>
        <v>-5.20696342579105</v>
      </c>
      <c r="D56">
        <f>IF(AND(ISNUMBER(C56),ISNUMBER(逐级计算!$E$203),ISNUMBER(GV56)),C56+逐级计算!$E$203-GV56,"")</f>
        <v>1.00000000000003</v>
      </c>
      <c r="E56">
        <f>IF(AND(ISNUMBER(C56),逐级计算!$X$4&gt;-1),IF(逐级计算!$X$4=0,C56+逐级计算!$C$4,C56+逐级计算!$C$4-(10/(逐级计算!$Q$4*LN(10))*(MAX((LN(10^(逐级计算!$Q$4/10)-1)+逐级计算!$Q$4*(C56-逐级计算!$P$4)*LN(10)/10),0)+LN(1+EXP(-ABS((LN(10^(逐级计算!$Q$4/10)-1)+逐级计算!$Q$4*(C56-逐级计算!$P$4)*LN(10)/10))))))),"")</f>
        <v>4.68053982928318</v>
      </c>
      <c r="F56">
        <f>IF(AND(ISNUMBER(E56),逐级计算!$X$5&gt;-1),IF(逐级计算!$X$5=0,E56+逐级计算!$C$5,E56+逐级计算!$C$5-(10/(逐级计算!$Q$5*LN(10))*(MAX((LN(10^(逐级计算!$Q$5/10)-1)+逐级计算!$Q$5*(E56-逐级计算!$P$5)*LN(10)/10),0)+LN(1+EXP(-ABS((LN(10^(逐级计算!$Q$5/10)-1)+逐级计算!$Q$5*(E56-逐级计算!$P$5)*LN(10)/10))))))),"")</f>
        <v>13.7930365742089</v>
      </c>
      <c r="G56">
        <f>IF(AND(ISNUMBER(F56),逐级计算!$X$6&gt;-1),IF(逐级计算!$X$6=0,F56+逐级计算!$C$6,F56+逐级计算!$C$6-(10/(逐级计算!$Q$6*LN(10))*(MAX((LN(10^(逐级计算!$Q$6/10)-1)+逐级计算!$Q$6*(F56-逐级计算!$P$6)*LN(10)/10),0)+LN(1+EXP(-ABS((LN(10^(逐级计算!$Q$6/10)-1)+逐级计算!$Q$6*(F56-逐级计算!$P$6)*LN(10)/10))))))),"")</f>
        <v>13.7930365742089</v>
      </c>
      <c r="H56">
        <f>IF(AND(ISNUMBER(G56),逐级计算!$X$7&gt;-1),IF(逐级计算!$X$7=0,G56+逐级计算!$C$7,G56+逐级计算!$C$7-(10/(逐级计算!$Q$7*LN(10))*(MAX((LN(10^(逐级计算!$Q$7/10)-1)+逐级计算!$Q$7*(G56-逐级计算!$P$7)*LN(10)/10),0)+LN(1+EXP(-ABS((LN(10^(逐级计算!$Q$7/10)-1)+逐级计算!$Q$7*(G56-逐级计算!$P$7)*LN(10)/10))))))),"")</f>
        <v>13.7930365742089</v>
      </c>
      <c r="I56">
        <f>IF(AND(ISNUMBER(H56),逐级计算!$X$8&gt;-1),IF(逐级计算!$X$8=0,H56+逐级计算!$C$8,H56+逐级计算!$C$8-(10/(逐级计算!$Q$8*LN(10))*(MAX((LN(10^(逐级计算!$Q$8/10)-1)+逐级计算!$Q$8*(H56-逐级计算!$P$8)*LN(10)/10),0)+LN(1+EXP(-ABS((LN(10^(逐级计算!$Q$8/10)-1)+逐级计算!$Q$8*(H56-逐级计算!$P$8)*LN(10)/10))))))),"")</f>
        <v>13.7930365742089</v>
      </c>
      <c r="J56">
        <f>IF(AND(ISNUMBER(I56),逐级计算!$X$9&gt;-1),IF(逐级计算!$X$9=0,I56+逐级计算!$C$9,I56+逐级计算!$C$9-(10/(逐级计算!$Q$9*LN(10))*(MAX((LN(10^(逐级计算!$Q$9/10)-1)+逐级计算!$Q$9*(I56-逐级计算!$P$9)*LN(10)/10),0)+LN(1+EXP(-ABS((LN(10^(逐级计算!$Q$9/10)-1)+逐级计算!$Q$9*(I56-逐级计算!$P$9)*LN(10)/10))))))),"")</f>
        <v>13.7930365742089</v>
      </c>
      <c r="K56">
        <f>IF(AND(ISNUMBER(J56),逐级计算!$X$10&gt;-1),IF(逐级计算!$X$10=0,J56+逐级计算!$C$10,J56+逐级计算!$C$10-(10/(逐级计算!$Q$10*LN(10))*(MAX((LN(10^(逐级计算!$Q$10/10)-1)+逐级计算!$Q$10*(J56-逐级计算!$P$10)*LN(10)/10),0)+LN(1+EXP(-ABS((LN(10^(逐级计算!$Q$10/10)-1)+逐级计算!$Q$10*(J56-逐级计算!$P$10)*LN(10)/10))))))),"")</f>
        <v>13.7930365742089</v>
      </c>
      <c r="L56">
        <f>IF(AND(ISNUMBER(K56),逐级计算!$X$11&gt;-1),IF(逐级计算!$X$11=0,K56+逐级计算!$C$11,K56+逐级计算!$C$11-(10/(逐级计算!$Q$11*LN(10))*(MAX((LN(10^(逐级计算!$Q$11/10)-1)+逐级计算!$Q$11*(K56-逐级计算!$P$11)*LN(10)/10),0)+LN(1+EXP(-ABS((LN(10^(逐级计算!$Q$11/10)-1)+逐级计算!$Q$11*(K56-逐级计算!$P$11)*LN(10)/10))))))),"")</f>
        <v>13.7930365742089</v>
      </c>
      <c r="M56">
        <f>IF(AND(ISNUMBER(L56),逐级计算!$X$12&gt;-1),IF(逐级计算!$X$12=0,L56+逐级计算!$C$12,L56+逐级计算!$C$12-(10/(逐级计算!$Q$12*LN(10))*(MAX((LN(10^(逐级计算!$Q$12/10)-1)+逐级计算!$Q$12*(L56-逐级计算!$P$12)*LN(10)/10),0)+LN(1+EXP(-ABS((LN(10^(逐级计算!$Q$12/10)-1)+逐级计算!$Q$12*(L56-逐级计算!$P$12)*LN(10)/10))))))),"")</f>
        <v>13.7930365742089</v>
      </c>
      <c r="N56">
        <f>IF(AND(ISNUMBER(M56),逐级计算!$X$13&gt;-1),IF(逐级计算!$X$13=0,M56+逐级计算!$C$13,M56+逐级计算!$C$13-(10/(逐级计算!$Q$13*LN(10))*(MAX((LN(10^(逐级计算!$Q$13/10)-1)+逐级计算!$Q$13*(M56-逐级计算!$P$13)*LN(10)/10),0)+LN(1+EXP(-ABS((LN(10^(逐级计算!$Q$13/10)-1)+逐级计算!$Q$13*(M56-逐级计算!$P$13)*LN(10)/10))))))),"")</f>
        <v>13.7930365742089</v>
      </c>
      <c r="O56">
        <f>IF(AND(ISNUMBER(N56),逐级计算!$X$14&gt;-1),IF(逐级计算!$X$14=0,N56+逐级计算!$C$14,N56+逐级计算!$C$14-(10/(逐级计算!$Q$14*LN(10))*(MAX((LN(10^(逐级计算!$Q$14/10)-1)+逐级计算!$Q$14*(N56-逐级计算!$P$14)*LN(10)/10),0)+LN(1+EXP(-ABS((LN(10^(逐级计算!$Q$14/10)-1)+逐级计算!$Q$14*(N56-逐级计算!$P$14)*LN(10)/10))))))),"")</f>
        <v>13.7930365742089</v>
      </c>
      <c r="P56">
        <f>IF(AND(ISNUMBER(O56),逐级计算!$X$15&gt;-1),IF(逐级计算!$X$15=0,O56+逐级计算!$C$15,O56+逐级计算!$C$15-(10/(逐级计算!$Q$15*LN(10))*(MAX((LN(10^(逐级计算!$Q$15/10)-1)+逐级计算!$Q$15*(O56-逐级计算!$P$15)*LN(10)/10),0)+LN(1+EXP(-ABS((LN(10^(逐级计算!$Q$15/10)-1)+逐级计算!$Q$15*(O56-逐级计算!$P$15)*LN(10)/10))))))),"")</f>
        <v>13.7930365742089</v>
      </c>
      <c r="Q56">
        <f>IF(AND(ISNUMBER(P56),逐级计算!$X$16&gt;-1),IF(逐级计算!$X$16=0,P56+逐级计算!$C$16,P56+逐级计算!$C$16-(10/(逐级计算!$Q$16*LN(10))*(MAX((LN(10^(逐级计算!$Q$16/10)-1)+逐级计算!$Q$16*(P56-逐级计算!$P$16)*LN(10)/10),0)+LN(1+EXP(-ABS((LN(10^(逐级计算!$Q$16/10)-1)+逐级计算!$Q$16*(P56-逐级计算!$P$16)*LN(10)/10))))))),"")</f>
        <v>13.7930365742089</v>
      </c>
      <c r="R56">
        <f>IF(AND(ISNUMBER(Q56),逐级计算!$X$17&gt;-1),IF(逐级计算!$X$17=0,Q56+逐级计算!$C$17,Q56+逐级计算!$C$17-(10/(逐级计算!$Q$17*LN(10))*(MAX((LN(10^(逐级计算!$Q$17/10)-1)+逐级计算!$Q$17*(Q56-逐级计算!$P$17)*LN(10)/10),0)+LN(1+EXP(-ABS((LN(10^(逐级计算!$Q$17/10)-1)+逐级计算!$Q$17*(Q56-逐级计算!$P$17)*LN(10)/10))))))),"")</f>
        <v>13.7930365742089</v>
      </c>
      <c r="S56">
        <f>IF(AND(ISNUMBER(R56),逐级计算!$X$18&gt;-1),IF(逐级计算!$X$18=0,R56+逐级计算!$C$18,R56+逐级计算!$C$18-(10/(逐级计算!$Q$18*LN(10))*(MAX((LN(10^(逐级计算!$Q$18/10)-1)+逐级计算!$Q$18*(R56-逐级计算!$P$18)*LN(10)/10),0)+LN(1+EXP(-ABS((LN(10^(逐级计算!$Q$18/10)-1)+逐级计算!$Q$18*(R56-逐级计算!$P$18)*LN(10)/10))))))),"")</f>
        <v>13.7930365742089</v>
      </c>
      <c r="T56">
        <f>IF(AND(ISNUMBER(S56),逐级计算!$X$19&gt;-1),IF(逐级计算!$X$19=0,S56+逐级计算!$C$19,S56+逐级计算!$C$19-(10/(逐级计算!$Q$19*LN(10))*(MAX((LN(10^(逐级计算!$Q$19/10)-1)+逐级计算!$Q$19*(S56-逐级计算!$P$19)*LN(10)/10),0)+LN(1+EXP(-ABS((LN(10^(逐级计算!$Q$19/10)-1)+逐级计算!$Q$19*(S56-逐级计算!$P$19)*LN(10)/10))))))),"")</f>
        <v>13.7930365742089</v>
      </c>
      <c r="U56">
        <f>IF(AND(ISNUMBER(T56),逐级计算!$X$20&gt;-1),IF(逐级计算!$X$20=0,T56+逐级计算!$C$20,T56+逐级计算!$C$20-(10/(逐级计算!$Q$20*LN(10))*(MAX((LN(10^(逐级计算!$Q$20/10)-1)+逐级计算!$Q$20*(T56-逐级计算!$P$20)*LN(10)/10),0)+LN(1+EXP(-ABS((LN(10^(逐级计算!$Q$20/10)-1)+逐级计算!$Q$20*(T56-逐级计算!$P$20)*LN(10)/10))))))),"")</f>
        <v>13.7930365742089</v>
      </c>
      <c r="V56">
        <f>IF(AND(ISNUMBER(U56),逐级计算!$X$21&gt;-1),IF(逐级计算!$X$21=0,U56+逐级计算!$C$21,U56+逐级计算!$C$21-(10/(逐级计算!$Q$21*LN(10))*(MAX((LN(10^(逐级计算!$Q$21/10)-1)+逐级计算!$Q$21*(U56-逐级计算!$P$21)*LN(10)/10),0)+LN(1+EXP(-ABS((LN(10^(逐级计算!$Q$21/10)-1)+逐级计算!$Q$21*(U56-逐级计算!$P$21)*LN(10)/10))))))),"")</f>
        <v>13.7930365742089</v>
      </c>
      <c r="W56">
        <f>IF(AND(ISNUMBER(V56),逐级计算!$X$22&gt;-1),IF(逐级计算!$X$22=0,V56+逐级计算!$C$22,V56+逐级计算!$C$22-(10/(逐级计算!$Q$22*LN(10))*(MAX((LN(10^(逐级计算!$Q$22/10)-1)+逐级计算!$Q$22*(V56-逐级计算!$P$22)*LN(10)/10),0)+LN(1+EXP(-ABS((LN(10^(逐级计算!$Q$22/10)-1)+逐级计算!$Q$22*(V56-逐级计算!$P$22)*LN(10)/10))))))),"")</f>
        <v>13.7930365742089</v>
      </c>
      <c r="X56">
        <f>IF(AND(ISNUMBER(W56),逐级计算!$X$23&gt;-1),IF(逐级计算!$X$23=0,W56+逐级计算!$C$23,W56+逐级计算!$C$23-(10/(逐级计算!$Q$23*LN(10))*(MAX((LN(10^(逐级计算!$Q$23/10)-1)+逐级计算!$Q$23*(W56-逐级计算!$P$23)*LN(10)/10),0)+LN(1+EXP(-ABS((LN(10^(逐级计算!$Q$23/10)-1)+逐级计算!$Q$23*(W56-逐级计算!$P$23)*LN(10)/10))))))),"")</f>
        <v>13.7930365742089</v>
      </c>
      <c r="Y56">
        <f>IF(AND(ISNUMBER(X56),逐级计算!$X$24&gt;-1),IF(逐级计算!$X$24=0,X56+逐级计算!$C$24,X56+逐级计算!$C$24-(10/(逐级计算!$Q$24*LN(10))*(MAX((LN(10^(逐级计算!$Q$24/10)-1)+逐级计算!$Q$24*(X56-逐级计算!$P$24)*LN(10)/10),0)+LN(1+EXP(-ABS((LN(10^(逐级计算!$Q$24/10)-1)+逐级计算!$Q$24*(X56-逐级计算!$P$24)*LN(10)/10))))))),"")</f>
        <v>13.7930365742089</v>
      </c>
      <c r="Z56">
        <f>IF(AND(ISNUMBER(Y56),逐级计算!$X$25&gt;-1),IF(逐级计算!$X$25=0,Y56+逐级计算!$C$25,Y56+逐级计算!$C$25-(10/(逐级计算!$Q$25*LN(10))*(MAX((LN(10^(逐级计算!$Q$25/10)-1)+逐级计算!$Q$25*(Y56-逐级计算!$P$25)*LN(10)/10),0)+LN(1+EXP(-ABS((LN(10^(逐级计算!$Q$25/10)-1)+逐级计算!$Q$25*(Y56-逐级计算!$P$25)*LN(10)/10))))))),"")</f>
        <v>13.7930365742089</v>
      </c>
      <c r="AA56">
        <f>IF(AND(ISNUMBER(Z56),逐级计算!$X$26&gt;-1),IF(逐级计算!$X$26=0,Z56+逐级计算!$C$26,Z56+逐级计算!$C$26-(10/(逐级计算!$Q$26*LN(10))*(MAX((LN(10^(逐级计算!$Q$26/10)-1)+逐级计算!$Q$26*(Z56-逐级计算!$P$26)*LN(10)/10),0)+LN(1+EXP(-ABS((LN(10^(逐级计算!$Q$26/10)-1)+逐级计算!$Q$26*(Z56-逐级计算!$P$26)*LN(10)/10))))))),"")</f>
        <v>13.7930365742089</v>
      </c>
      <c r="AB56">
        <f>IF(AND(ISNUMBER(AA56),逐级计算!$X$27&gt;-1),IF(逐级计算!$X$27=0,AA56+逐级计算!$C$27,AA56+逐级计算!$C$27-(10/(逐级计算!$Q$27*LN(10))*(MAX((LN(10^(逐级计算!$Q$27/10)-1)+逐级计算!$Q$27*(AA56-逐级计算!$P$27)*LN(10)/10),0)+LN(1+EXP(-ABS((LN(10^(逐级计算!$Q$27/10)-1)+逐级计算!$Q$27*(AA56-逐级计算!$P$27)*LN(10)/10))))))),"")</f>
        <v>13.7930365742089</v>
      </c>
      <c r="AC56">
        <f>IF(AND(ISNUMBER(AB56),逐级计算!$X$28&gt;-1),IF(逐级计算!$X$28=0,AB56+逐级计算!$C$28,AB56+逐级计算!$C$28-(10/(逐级计算!$Q$28*LN(10))*(MAX((LN(10^(逐级计算!$Q$28/10)-1)+逐级计算!$Q$28*(AB56-逐级计算!$P$28)*LN(10)/10),0)+LN(1+EXP(-ABS((LN(10^(逐级计算!$Q$28/10)-1)+逐级计算!$Q$28*(AB56-逐级计算!$P$28)*LN(10)/10))))))),"")</f>
        <v>13.7930365742089</v>
      </c>
      <c r="AD56">
        <f>IF(AND(ISNUMBER(AC56),逐级计算!$X$29&gt;-1),IF(逐级计算!$X$29=0,AC56+逐级计算!$C$29,AC56+逐级计算!$C$29-(10/(逐级计算!$Q$29*LN(10))*(MAX((LN(10^(逐级计算!$Q$29/10)-1)+逐级计算!$Q$29*(AC56-逐级计算!$P$29)*LN(10)/10),0)+LN(1+EXP(-ABS((LN(10^(逐级计算!$Q$29/10)-1)+逐级计算!$Q$29*(AC56-逐级计算!$P$29)*LN(10)/10))))))),"")</f>
        <v>13.7930365742089</v>
      </c>
      <c r="AE56">
        <f>IF(AND(ISNUMBER(AD56),逐级计算!$X$30&gt;-1),IF(逐级计算!$X$30=0,AD56+逐级计算!$C$30,AD56+逐级计算!$C$30-(10/(逐级计算!$Q$30*LN(10))*(MAX((LN(10^(逐级计算!$Q$30/10)-1)+逐级计算!$Q$30*(AD56-逐级计算!$P$30)*LN(10)/10),0)+LN(1+EXP(-ABS((LN(10^(逐级计算!$Q$30/10)-1)+逐级计算!$Q$30*(AD56-逐级计算!$P$30)*LN(10)/10))))))),"")</f>
        <v>13.7930365742089</v>
      </c>
      <c r="AF56">
        <f>IF(AND(ISNUMBER(AE56),逐级计算!$X$31&gt;-1),IF(逐级计算!$X$31=0,AE56+逐级计算!$C$31,AE56+逐级计算!$C$31-(10/(逐级计算!$Q$31*LN(10))*(MAX((LN(10^(逐级计算!$Q$31/10)-1)+逐级计算!$Q$31*(AE56-逐级计算!$P$31)*LN(10)/10),0)+LN(1+EXP(-ABS((LN(10^(逐级计算!$Q$31/10)-1)+逐级计算!$Q$31*(AE56-逐级计算!$P$31)*LN(10)/10))))))),"")</f>
        <v>13.7930365742089</v>
      </c>
      <c r="AG56">
        <f>IF(AND(ISNUMBER(AF56),逐级计算!$X$32&gt;-1),IF(逐级计算!$X$32=0,AF56+逐级计算!$C$32,AF56+逐级计算!$C$32-(10/(逐级计算!$Q$32*LN(10))*(MAX((LN(10^(逐级计算!$Q$32/10)-1)+逐级计算!$Q$32*(AF56-逐级计算!$P$32)*LN(10)/10),0)+LN(1+EXP(-ABS((LN(10^(逐级计算!$Q$32/10)-1)+逐级计算!$Q$32*(AF56-逐级计算!$P$32)*LN(10)/10))))))),"")</f>
        <v>13.7930365742089</v>
      </c>
      <c r="AH56">
        <f>IF(AND(ISNUMBER(AG56),逐级计算!$X$33&gt;-1),IF(逐级计算!$X$33=0,AG56+逐级计算!$C$33,AG56+逐级计算!$C$33-(10/(逐级计算!$Q$33*LN(10))*(MAX((LN(10^(逐级计算!$Q$33/10)-1)+逐级计算!$Q$33*(AG56-逐级计算!$P$33)*LN(10)/10),0)+LN(1+EXP(-ABS((LN(10^(逐级计算!$Q$33/10)-1)+逐级计算!$Q$33*(AG56-逐级计算!$P$33)*LN(10)/10))))))),"")</f>
        <v>13.7930365742089</v>
      </c>
      <c r="AI56">
        <f>IF(AND(ISNUMBER(AH56),逐级计算!$X$34&gt;-1),IF(逐级计算!$X$34=0,AH56+逐级计算!$C$34,AH56+逐级计算!$C$34-(10/(逐级计算!$Q$34*LN(10))*(MAX((LN(10^(逐级计算!$Q$34/10)-1)+逐级计算!$Q$34*(AH56-逐级计算!$P$34)*LN(10)/10),0)+LN(1+EXP(-ABS((LN(10^(逐级计算!$Q$34/10)-1)+逐级计算!$Q$34*(AH56-逐级计算!$P$34)*LN(10)/10))))))),"")</f>
        <v>13.7930365742089</v>
      </c>
      <c r="AJ56">
        <f>IF(AND(ISNUMBER(AI56),逐级计算!$X$35&gt;-1),IF(逐级计算!$X$35=0,AI56+逐级计算!$C$35,AI56+逐级计算!$C$35-(10/(逐级计算!$Q$35*LN(10))*(MAX((LN(10^(逐级计算!$Q$35/10)-1)+逐级计算!$Q$35*(AI56-逐级计算!$P$35)*LN(10)/10),0)+LN(1+EXP(-ABS((LN(10^(逐级计算!$Q$35/10)-1)+逐级计算!$Q$35*(AI56-逐级计算!$P$35)*LN(10)/10))))))),"")</f>
        <v>13.7930365742089</v>
      </c>
      <c r="AK56">
        <f>IF(AND(ISNUMBER(AJ56),逐级计算!$X$36&gt;-1),IF(逐级计算!$X$36=0,AJ56+逐级计算!$C$36,AJ56+逐级计算!$C$36-(10/(逐级计算!$Q$36*LN(10))*(MAX((LN(10^(逐级计算!$Q$36/10)-1)+逐级计算!$Q$36*(AJ56-逐级计算!$P$36)*LN(10)/10),0)+LN(1+EXP(-ABS((LN(10^(逐级计算!$Q$36/10)-1)+逐级计算!$Q$36*(AJ56-逐级计算!$P$36)*LN(10)/10))))))),"")</f>
        <v>13.7930365742089</v>
      </c>
      <c r="AL56">
        <f>IF(AND(ISNUMBER(AK56),逐级计算!$X$37&gt;-1),IF(逐级计算!$X$37=0,AK56+逐级计算!$C$37,AK56+逐级计算!$C$37-(10/(逐级计算!$Q$37*LN(10))*(MAX((LN(10^(逐级计算!$Q$37/10)-1)+逐级计算!$Q$37*(AK56-逐级计算!$P$37)*LN(10)/10),0)+LN(1+EXP(-ABS((LN(10^(逐级计算!$Q$37/10)-1)+逐级计算!$Q$37*(AK56-逐级计算!$P$37)*LN(10)/10))))))),"")</f>
        <v>13.7930365742089</v>
      </c>
      <c r="AM56">
        <f>IF(AND(ISNUMBER(AL56),逐级计算!$X$38&gt;-1),IF(逐级计算!$X$38=0,AL56+逐级计算!$C$38,AL56+逐级计算!$C$38-(10/(逐级计算!$Q$38*LN(10))*(MAX((LN(10^(逐级计算!$Q$38/10)-1)+逐级计算!$Q$38*(AL56-逐级计算!$P$38)*LN(10)/10),0)+LN(1+EXP(-ABS((LN(10^(逐级计算!$Q$38/10)-1)+逐级计算!$Q$38*(AL56-逐级计算!$P$38)*LN(10)/10))))))),"")</f>
        <v>13.7930365742089</v>
      </c>
      <c r="AN56">
        <f>IF(AND(ISNUMBER(AM56),逐级计算!$X$39&gt;-1),IF(逐级计算!$X$39=0,AM56+逐级计算!$C$39,AM56+逐级计算!$C$39-(10/(逐级计算!$Q$39*LN(10))*(MAX((LN(10^(逐级计算!$Q$39/10)-1)+逐级计算!$Q$39*(AM56-逐级计算!$P$39)*LN(10)/10),0)+LN(1+EXP(-ABS((LN(10^(逐级计算!$Q$39/10)-1)+逐级计算!$Q$39*(AM56-逐级计算!$P$39)*LN(10)/10))))))),"")</f>
        <v>13.7930365742089</v>
      </c>
      <c r="AO56">
        <f>IF(AND(ISNUMBER(AN56),逐级计算!$X$40&gt;-1),IF(逐级计算!$X$40=0,AN56+逐级计算!$C$40,AN56+逐级计算!$C$40-(10/(逐级计算!$Q$40*LN(10))*(MAX((LN(10^(逐级计算!$Q$40/10)-1)+逐级计算!$Q$40*(AN56-逐级计算!$P$40)*LN(10)/10),0)+LN(1+EXP(-ABS((LN(10^(逐级计算!$Q$40/10)-1)+逐级计算!$Q$40*(AN56-逐级计算!$P$40)*LN(10)/10))))))),"")</f>
        <v>13.7930365742089</v>
      </c>
      <c r="AP56">
        <f>IF(AND(ISNUMBER(AO56),逐级计算!$X$41&gt;-1),IF(逐级计算!$X$41=0,AO56+逐级计算!$C$41,AO56+逐级计算!$C$41-(10/(逐级计算!$Q$41*LN(10))*(MAX((LN(10^(逐级计算!$Q$41/10)-1)+逐级计算!$Q$41*(AO56-逐级计算!$P$41)*LN(10)/10),0)+LN(1+EXP(-ABS((LN(10^(逐级计算!$Q$41/10)-1)+逐级计算!$Q$41*(AO56-逐级计算!$P$41)*LN(10)/10))))))),"")</f>
        <v>13.7930365742089</v>
      </c>
      <c r="AQ56">
        <f>IF(AND(ISNUMBER(AP56),逐级计算!$X$42&gt;-1),IF(逐级计算!$X$42=0,AP56+逐级计算!$C$42,AP56+逐级计算!$C$42-(10/(逐级计算!$Q$42*LN(10))*(MAX((LN(10^(逐级计算!$Q$42/10)-1)+逐级计算!$Q$42*(AP56-逐级计算!$P$42)*LN(10)/10),0)+LN(1+EXP(-ABS((LN(10^(逐级计算!$Q$42/10)-1)+逐级计算!$Q$42*(AP56-逐级计算!$P$42)*LN(10)/10))))))),"")</f>
        <v>13.7930365742089</v>
      </c>
      <c r="AR56">
        <f>IF(AND(ISNUMBER(AQ56),逐级计算!$X$43&gt;-1),IF(逐级计算!$X$43=0,AQ56+逐级计算!$C$43,AQ56+逐级计算!$C$43-(10/(逐级计算!$Q$43*LN(10))*(MAX((LN(10^(逐级计算!$Q$43/10)-1)+逐级计算!$Q$43*(AQ56-逐级计算!$P$43)*LN(10)/10),0)+LN(1+EXP(-ABS((LN(10^(逐级计算!$Q$43/10)-1)+逐级计算!$Q$43*(AQ56-逐级计算!$P$43)*LN(10)/10))))))),"")</f>
        <v>13.7930365742089</v>
      </c>
      <c r="AS56">
        <f>IF(AND(ISNUMBER(AR56),逐级计算!$X$44&gt;-1),IF(逐级计算!$X$44=0,AR56+逐级计算!$C$44,AR56+逐级计算!$C$44-(10/(逐级计算!$Q$44*LN(10))*(MAX((LN(10^(逐级计算!$Q$44/10)-1)+逐级计算!$Q$44*(AR56-逐级计算!$P$44)*LN(10)/10),0)+LN(1+EXP(-ABS((LN(10^(逐级计算!$Q$44/10)-1)+逐级计算!$Q$44*(AR56-逐级计算!$P$44)*LN(10)/10))))))),"")</f>
        <v>13.7930365742089</v>
      </c>
      <c r="AT56">
        <f>IF(AND(ISNUMBER(AS56),逐级计算!$X$45&gt;-1),IF(逐级计算!$X$45=0,AS56+逐级计算!$C$45,AS56+逐级计算!$C$45-(10/(逐级计算!$Q$45*LN(10))*(MAX((LN(10^(逐级计算!$Q$45/10)-1)+逐级计算!$Q$45*(AS56-逐级计算!$P$45)*LN(10)/10),0)+LN(1+EXP(-ABS((LN(10^(逐级计算!$Q$45/10)-1)+逐级计算!$Q$45*(AS56-逐级计算!$P$45)*LN(10)/10))))))),"")</f>
        <v>13.7930365742089</v>
      </c>
      <c r="AU56">
        <f>IF(AND(ISNUMBER(AT56),逐级计算!$X$46&gt;-1),IF(逐级计算!$X$46=0,AT56+逐级计算!$C$46,AT56+逐级计算!$C$46-(10/(逐级计算!$Q$46*LN(10))*(MAX((LN(10^(逐级计算!$Q$46/10)-1)+逐级计算!$Q$46*(AT56-逐级计算!$P$46)*LN(10)/10),0)+LN(1+EXP(-ABS((LN(10^(逐级计算!$Q$46/10)-1)+逐级计算!$Q$46*(AT56-逐级计算!$P$46)*LN(10)/10))))))),"")</f>
        <v>13.7930365742089</v>
      </c>
      <c r="AV56">
        <f>IF(AND(ISNUMBER(AU56),逐级计算!$X$47&gt;-1),IF(逐级计算!$X$47=0,AU56+逐级计算!$C$47,AU56+逐级计算!$C$47-(10/(逐级计算!$Q$47*LN(10))*(MAX((LN(10^(逐级计算!$Q$47/10)-1)+逐级计算!$Q$47*(AU56-逐级计算!$P$47)*LN(10)/10),0)+LN(1+EXP(-ABS((LN(10^(逐级计算!$Q$47/10)-1)+逐级计算!$Q$47*(AU56-逐级计算!$P$47)*LN(10)/10))))))),"")</f>
        <v>13.7930365742089</v>
      </c>
      <c r="AW56">
        <f>IF(AND(ISNUMBER(AV56),逐级计算!$X$48&gt;-1),IF(逐级计算!$X$48=0,AV56+逐级计算!$C$48,AV56+逐级计算!$C$48-(10/(逐级计算!$Q$48*LN(10))*(MAX((LN(10^(逐级计算!$Q$48/10)-1)+逐级计算!$Q$48*(AV56-逐级计算!$P$48)*LN(10)/10),0)+LN(1+EXP(-ABS((LN(10^(逐级计算!$Q$48/10)-1)+逐级计算!$Q$48*(AV56-逐级计算!$P$48)*LN(10)/10))))))),"")</f>
        <v>13.7930365742089</v>
      </c>
      <c r="AX56">
        <f>IF(AND(ISNUMBER(AW56),逐级计算!$X$49&gt;-1),IF(逐级计算!$X$49=0,AW56+逐级计算!$C$49,AW56+逐级计算!$C$49-(10/(逐级计算!$Q$49*LN(10))*(MAX((LN(10^(逐级计算!$Q$49/10)-1)+逐级计算!$Q$49*(AW56-逐级计算!$P$49)*LN(10)/10),0)+LN(1+EXP(-ABS((LN(10^(逐级计算!$Q$49/10)-1)+逐级计算!$Q$49*(AW56-逐级计算!$P$49)*LN(10)/10))))))),"")</f>
        <v>13.7930365742089</v>
      </c>
      <c r="AY56">
        <f>IF(AND(ISNUMBER(AX56),逐级计算!$X$50&gt;-1),IF(逐级计算!$X$50=0,AX56+逐级计算!$C$50,AX56+逐级计算!$C$50-(10/(逐级计算!$Q$50*LN(10))*(MAX((LN(10^(逐级计算!$Q$50/10)-1)+逐级计算!$Q$50*(AX56-逐级计算!$P$50)*LN(10)/10),0)+LN(1+EXP(-ABS((LN(10^(逐级计算!$Q$50/10)-1)+逐级计算!$Q$50*(AX56-逐级计算!$P$50)*LN(10)/10))))))),"")</f>
        <v>13.7930365742089</v>
      </c>
      <c r="AZ56">
        <f>IF(AND(ISNUMBER(AY56),逐级计算!$X$51&gt;-1),IF(逐级计算!$X$51=0,AY56+逐级计算!$C$51,AY56+逐级计算!$C$51-(10/(逐级计算!$Q$51*LN(10))*(MAX((LN(10^(逐级计算!$Q$51/10)-1)+逐级计算!$Q$51*(AY56-逐级计算!$P$51)*LN(10)/10),0)+LN(1+EXP(-ABS((LN(10^(逐级计算!$Q$51/10)-1)+逐级计算!$Q$51*(AY56-逐级计算!$P$51)*LN(10)/10))))))),"")</f>
        <v>13.7930365742089</v>
      </c>
      <c r="BA56">
        <f>IF(AND(ISNUMBER(AZ56),逐级计算!$X$52&gt;-1),IF(逐级计算!$X$52=0,AZ56+逐级计算!$C$52,AZ56+逐级计算!$C$52-(10/(逐级计算!$Q$52*LN(10))*(MAX((LN(10^(逐级计算!$Q$52/10)-1)+逐级计算!$Q$52*(AZ56-逐级计算!$P$52)*LN(10)/10),0)+LN(1+EXP(-ABS((LN(10^(逐级计算!$Q$52/10)-1)+逐级计算!$Q$52*(AZ56-逐级计算!$P$52)*LN(10)/10))))))),"")</f>
        <v>13.7930365742089</v>
      </c>
      <c r="BB56">
        <f>IF(AND(ISNUMBER(BA56),逐级计算!$X$53&gt;-1),IF(逐级计算!$X$53=0,BA56+逐级计算!$C$53,BA56+逐级计算!$C$53-(10/(逐级计算!$Q$53*LN(10))*(MAX((LN(10^(逐级计算!$Q$53/10)-1)+逐级计算!$Q$53*(BA56-逐级计算!$P$53)*LN(10)/10),0)+LN(1+EXP(-ABS((LN(10^(逐级计算!$Q$53/10)-1)+逐级计算!$Q$53*(BA56-逐级计算!$P$53)*LN(10)/10))))))),"")</f>
        <v>13.7930365742089</v>
      </c>
      <c r="BC56">
        <f>IF(AND(ISNUMBER(BB56),逐级计算!$X$54&gt;-1),IF(逐级计算!$X$54=0,BB56+逐级计算!$C$54,BB56+逐级计算!$C$54-(10/(逐级计算!$Q$54*LN(10))*(MAX((LN(10^(逐级计算!$Q$54/10)-1)+逐级计算!$Q$54*(BB56-逐级计算!$P$54)*LN(10)/10),0)+LN(1+EXP(-ABS((LN(10^(逐级计算!$Q$54/10)-1)+逐级计算!$Q$54*(BB56-逐级计算!$P$54)*LN(10)/10))))))),"")</f>
        <v>13.7930365742089</v>
      </c>
      <c r="BD56">
        <f>IF(AND(ISNUMBER(BC56),逐级计算!$X$55&gt;-1),IF(逐级计算!$X$55=0,BC56+逐级计算!$C$55,BC56+逐级计算!$C$55-(10/(逐级计算!$Q$55*LN(10))*(MAX((LN(10^(逐级计算!$Q$55/10)-1)+逐级计算!$Q$55*(BC56-逐级计算!$P$55)*LN(10)/10),0)+LN(1+EXP(-ABS((LN(10^(逐级计算!$Q$55/10)-1)+逐级计算!$Q$55*(BC56-逐级计算!$P$55)*LN(10)/10))))))),"")</f>
        <v>13.7930365742089</v>
      </c>
      <c r="BE56">
        <f>IF(AND(ISNUMBER(BD56),逐级计算!$X$56&gt;-1),IF(逐级计算!$X$56=0,BD56+逐级计算!$C$56,BD56+逐级计算!$C$56-(10/(逐级计算!$Q$56*LN(10))*(MAX((LN(10^(逐级计算!$Q$56/10)-1)+逐级计算!$Q$56*(BD56-逐级计算!$P$56)*LN(10)/10),0)+LN(1+EXP(-ABS((LN(10^(逐级计算!$Q$56/10)-1)+逐级计算!$Q$56*(BD56-逐级计算!$P$56)*LN(10)/10))))))),"")</f>
        <v>13.7930365742089</v>
      </c>
      <c r="BF56">
        <f>IF(AND(ISNUMBER(BE56),逐级计算!$X$57&gt;-1),IF(逐级计算!$X$57=0,BE56+逐级计算!$C$57,BE56+逐级计算!$C$57-(10/(逐级计算!$Q$57*LN(10))*(MAX((LN(10^(逐级计算!$Q$57/10)-1)+逐级计算!$Q$57*(BE56-逐级计算!$P$57)*LN(10)/10),0)+LN(1+EXP(-ABS((LN(10^(逐级计算!$Q$57/10)-1)+逐级计算!$Q$57*(BE56-逐级计算!$P$57)*LN(10)/10))))))),"")</f>
        <v>13.7930365742089</v>
      </c>
      <c r="BG56">
        <f>IF(AND(ISNUMBER(BF56),逐级计算!$X$58&gt;-1),IF(逐级计算!$X$58=0,BF56+逐级计算!$C$58,BF56+逐级计算!$C$58-(10/(逐级计算!$Q$58*LN(10))*(MAX((LN(10^(逐级计算!$Q$58/10)-1)+逐级计算!$Q$58*(BF56-逐级计算!$P$58)*LN(10)/10),0)+LN(1+EXP(-ABS((LN(10^(逐级计算!$Q$58/10)-1)+逐级计算!$Q$58*(BF56-逐级计算!$P$58)*LN(10)/10))))))),"")</f>
        <v>13.7930365742089</v>
      </c>
      <c r="BH56">
        <f>IF(AND(ISNUMBER(BG56),逐级计算!$X$59&gt;-1),IF(逐级计算!$X$59=0,BG56+逐级计算!$C$59,BG56+逐级计算!$C$59-(10/(逐级计算!$Q$59*LN(10))*(MAX((LN(10^(逐级计算!$Q$59/10)-1)+逐级计算!$Q$59*(BG56-逐级计算!$P$59)*LN(10)/10),0)+LN(1+EXP(-ABS((LN(10^(逐级计算!$Q$59/10)-1)+逐级计算!$Q$59*(BG56-逐级计算!$P$59)*LN(10)/10))))))),"")</f>
        <v>13.7930365742089</v>
      </c>
      <c r="BI56">
        <f>IF(AND(ISNUMBER(BH56),逐级计算!$X$60&gt;-1),IF(逐级计算!$X$60=0,BH56+逐级计算!$C$60,BH56+逐级计算!$C$60-(10/(逐级计算!$Q$60*LN(10))*(MAX((LN(10^(逐级计算!$Q$60/10)-1)+逐级计算!$Q$60*(BH56-逐级计算!$P$60)*LN(10)/10),0)+LN(1+EXP(-ABS((LN(10^(逐级计算!$Q$60/10)-1)+逐级计算!$Q$60*(BH56-逐级计算!$P$60)*LN(10)/10))))))),"")</f>
        <v>13.7930365742089</v>
      </c>
      <c r="BJ56">
        <f>IF(AND(ISNUMBER(BI56),逐级计算!$X$61&gt;-1),IF(逐级计算!$X$61=0,BI56+逐级计算!$C$61,BI56+逐级计算!$C$61-(10/(逐级计算!$Q$61*LN(10))*(MAX((LN(10^(逐级计算!$Q$61/10)-1)+逐级计算!$Q$61*(BI56-逐级计算!$P$61)*LN(10)/10),0)+LN(1+EXP(-ABS((LN(10^(逐级计算!$Q$61/10)-1)+逐级计算!$Q$61*(BI56-逐级计算!$P$61)*LN(10)/10))))))),"")</f>
        <v>13.7930365742089</v>
      </c>
      <c r="BK56">
        <f>IF(AND(ISNUMBER(BJ56),逐级计算!$X$62&gt;-1),IF(逐级计算!$X$62=0,BJ56+逐级计算!$C$62,BJ56+逐级计算!$C$62-(10/(逐级计算!$Q$62*LN(10))*(MAX((LN(10^(逐级计算!$Q$62/10)-1)+逐级计算!$Q$62*(BJ56-逐级计算!$P$62)*LN(10)/10),0)+LN(1+EXP(-ABS((LN(10^(逐级计算!$Q$62/10)-1)+逐级计算!$Q$62*(BJ56-逐级计算!$P$62)*LN(10)/10))))))),"")</f>
        <v>13.7930365742089</v>
      </c>
      <c r="BL56">
        <f>IF(AND(ISNUMBER(BK56),逐级计算!$X$63&gt;-1),IF(逐级计算!$X$63=0,BK56+逐级计算!$C$63,BK56+逐级计算!$C$63-(10/(逐级计算!$Q$63*LN(10))*(MAX((LN(10^(逐级计算!$Q$63/10)-1)+逐级计算!$Q$63*(BK56-逐级计算!$P$63)*LN(10)/10),0)+LN(1+EXP(-ABS((LN(10^(逐级计算!$Q$63/10)-1)+逐级计算!$Q$63*(BK56-逐级计算!$P$63)*LN(10)/10))))))),"")</f>
        <v>13.7930365742089</v>
      </c>
      <c r="BM56">
        <f>IF(AND(ISNUMBER(BL56),逐级计算!$X$64&gt;-1),IF(逐级计算!$X$64=0,BL56+逐级计算!$C$64,BL56+逐级计算!$C$64-(10/(逐级计算!$Q$64*LN(10))*(MAX((LN(10^(逐级计算!$Q$64/10)-1)+逐级计算!$Q$64*(BL56-逐级计算!$P$64)*LN(10)/10),0)+LN(1+EXP(-ABS((LN(10^(逐级计算!$Q$64/10)-1)+逐级计算!$Q$64*(BL56-逐级计算!$P$64)*LN(10)/10))))))),"")</f>
        <v>13.7930365742089</v>
      </c>
      <c r="BN56">
        <f>IF(AND(ISNUMBER(BM56),逐级计算!$X$65&gt;-1),IF(逐级计算!$X$65=0,BM56+逐级计算!$C$65,BM56+逐级计算!$C$65-(10/(逐级计算!$Q$65*LN(10))*(MAX((LN(10^(逐级计算!$Q$65/10)-1)+逐级计算!$Q$65*(BM56-逐级计算!$P$65)*LN(10)/10),0)+LN(1+EXP(-ABS((LN(10^(逐级计算!$Q$65/10)-1)+逐级计算!$Q$65*(BM56-逐级计算!$P$65)*LN(10)/10))))))),"")</f>
        <v>13.7930365742089</v>
      </c>
      <c r="BO56">
        <f>IF(AND(ISNUMBER(BN56),逐级计算!$X$66&gt;-1),IF(逐级计算!$X$66=0,BN56+逐级计算!$C$66,BN56+逐级计算!$C$66-(10/(逐级计算!$Q$66*LN(10))*(MAX((LN(10^(逐级计算!$Q$66/10)-1)+逐级计算!$Q$66*(BN56-逐级计算!$P$66)*LN(10)/10),0)+LN(1+EXP(-ABS((LN(10^(逐级计算!$Q$66/10)-1)+逐级计算!$Q$66*(BN56-逐级计算!$P$66)*LN(10)/10))))))),"")</f>
        <v>13.7930365742089</v>
      </c>
      <c r="BP56">
        <f>IF(AND(ISNUMBER(BO56),逐级计算!$X$67&gt;-1),IF(逐级计算!$X$67=0,BO56+逐级计算!$C$67,BO56+逐级计算!$C$67-(10/(逐级计算!$Q$67*LN(10))*(MAX((LN(10^(逐级计算!$Q$67/10)-1)+逐级计算!$Q$67*(BO56-逐级计算!$P$67)*LN(10)/10),0)+LN(1+EXP(-ABS((LN(10^(逐级计算!$Q$67/10)-1)+逐级计算!$Q$67*(BO56-逐级计算!$P$67)*LN(10)/10))))))),"")</f>
        <v>13.7930365742089</v>
      </c>
      <c r="BQ56">
        <f>IF(AND(ISNUMBER(BP56),逐级计算!$X$68&gt;-1),IF(逐级计算!$X$68=0,BP56+逐级计算!$C$68,BP56+逐级计算!$C$68-(10/(逐级计算!$Q$68*LN(10))*(MAX((LN(10^(逐级计算!$Q$68/10)-1)+逐级计算!$Q$68*(BP56-逐级计算!$P$68)*LN(10)/10),0)+LN(1+EXP(-ABS((LN(10^(逐级计算!$Q$68/10)-1)+逐级计算!$Q$68*(BP56-逐级计算!$P$68)*LN(10)/10))))))),"")</f>
        <v>13.7930365742089</v>
      </c>
      <c r="BR56">
        <f>IF(AND(ISNUMBER(BQ56),逐级计算!$X$69&gt;-1),IF(逐级计算!$X$69=0,BQ56+逐级计算!$C$69,BQ56+逐级计算!$C$69-(10/(逐级计算!$Q$69*LN(10))*(MAX((LN(10^(逐级计算!$Q$69/10)-1)+逐级计算!$Q$69*(BQ56-逐级计算!$P$69)*LN(10)/10),0)+LN(1+EXP(-ABS((LN(10^(逐级计算!$Q$69/10)-1)+逐级计算!$Q$69*(BQ56-逐级计算!$P$69)*LN(10)/10))))))),"")</f>
        <v>13.7930365742089</v>
      </c>
      <c r="BS56">
        <f>IF(AND(ISNUMBER(BR56),逐级计算!$X$70&gt;-1),IF(逐级计算!$X$70=0,BR56+逐级计算!$C$70,BR56+逐级计算!$C$70-(10/(逐级计算!$Q$70*LN(10))*(MAX((LN(10^(逐级计算!$Q$70/10)-1)+逐级计算!$Q$70*(BR56-逐级计算!$P$70)*LN(10)/10),0)+LN(1+EXP(-ABS((LN(10^(逐级计算!$Q$70/10)-1)+逐级计算!$Q$70*(BR56-逐级计算!$P$70)*LN(10)/10))))))),"")</f>
        <v>13.7930365742089</v>
      </c>
      <c r="BT56">
        <f>IF(AND(ISNUMBER(BS56),逐级计算!$X$71&gt;-1),IF(逐级计算!$X$71=0,BS56+逐级计算!$C$71,BS56+逐级计算!$C$71-(10/(逐级计算!$Q$71*LN(10))*(MAX((LN(10^(逐级计算!$Q$71/10)-1)+逐级计算!$Q$71*(BS56-逐级计算!$P$71)*LN(10)/10),0)+LN(1+EXP(-ABS((LN(10^(逐级计算!$Q$71/10)-1)+逐级计算!$Q$71*(BS56-逐级计算!$P$71)*LN(10)/10))))))),"")</f>
        <v>13.7930365742089</v>
      </c>
      <c r="BU56">
        <f>IF(AND(ISNUMBER(BT56),逐级计算!$X$72&gt;-1),IF(逐级计算!$X$72=0,BT56+逐级计算!$C$72,BT56+逐级计算!$C$72-(10/(逐级计算!$Q$72*LN(10))*(MAX((LN(10^(逐级计算!$Q$72/10)-1)+逐级计算!$Q$72*(BT56-逐级计算!$P$72)*LN(10)/10),0)+LN(1+EXP(-ABS((LN(10^(逐级计算!$Q$72/10)-1)+逐级计算!$Q$72*(BT56-逐级计算!$P$72)*LN(10)/10))))))),"")</f>
        <v>13.7930365742089</v>
      </c>
      <c r="BV56">
        <f>IF(AND(ISNUMBER(BU56),逐级计算!$X$73&gt;-1),IF(逐级计算!$X$73=0,BU56+逐级计算!$C$73,BU56+逐级计算!$C$73-(10/(逐级计算!$Q$73*LN(10))*(MAX((LN(10^(逐级计算!$Q$73/10)-1)+逐级计算!$Q$73*(BU56-逐级计算!$P$73)*LN(10)/10),0)+LN(1+EXP(-ABS((LN(10^(逐级计算!$Q$73/10)-1)+逐级计算!$Q$73*(BU56-逐级计算!$P$73)*LN(10)/10))))))),"")</f>
        <v>13.7930365742089</v>
      </c>
      <c r="BW56">
        <f>IF(AND(ISNUMBER(BV56),逐级计算!$X$74&gt;-1),IF(逐级计算!$X$74=0,BV56+逐级计算!$C$74,BV56+逐级计算!$C$74-(10/(逐级计算!$Q$74*LN(10))*(MAX((LN(10^(逐级计算!$Q$74/10)-1)+逐级计算!$Q$74*(BV56-逐级计算!$P$74)*LN(10)/10),0)+LN(1+EXP(-ABS((LN(10^(逐级计算!$Q$74/10)-1)+逐级计算!$Q$74*(BV56-逐级计算!$P$74)*LN(10)/10))))))),"")</f>
        <v>13.7930365742089</v>
      </c>
      <c r="BX56">
        <f>IF(AND(ISNUMBER(BW56),逐级计算!$X$75&gt;-1),IF(逐级计算!$X$75=0,BW56+逐级计算!$C$75,BW56+逐级计算!$C$75-(10/(逐级计算!$Q$75*LN(10))*(MAX((LN(10^(逐级计算!$Q$75/10)-1)+逐级计算!$Q$75*(BW56-逐级计算!$P$75)*LN(10)/10),0)+LN(1+EXP(-ABS((LN(10^(逐级计算!$Q$75/10)-1)+逐级计算!$Q$75*(BW56-逐级计算!$P$75)*LN(10)/10))))))),"")</f>
        <v>13.7930365742089</v>
      </c>
      <c r="BY56">
        <f>IF(AND(ISNUMBER(BX56),逐级计算!$X$76&gt;-1),IF(逐级计算!$X$76=0,BX56+逐级计算!$C$76,BX56+逐级计算!$C$76-(10/(逐级计算!$Q$76*LN(10))*(MAX((LN(10^(逐级计算!$Q$76/10)-1)+逐级计算!$Q$76*(BX56-逐级计算!$P$76)*LN(10)/10),0)+LN(1+EXP(-ABS((LN(10^(逐级计算!$Q$76/10)-1)+逐级计算!$Q$76*(BX56-逐级计算!$P$76)*LN(10)/10))))))),"")</f>
        <v>13.7930365742089</v>
      </c>
      <c r="BZ56">
        <f>IF(AND(ISNUMBER(BY56),逐级计算!$X$77&gt;-1),IF(逐级计算!$X$77=0,BY56+逐级计算!$C$77,BY56+逐级计算!$C$77-(10/(逐级计算!$Q$77*LN(10))*(MAX((LN(10^(逐级计算!$Q$77/10)-1)+逐级计算!$Q$77*(BY56-逐级计算!$P$77)*LN(10)/10),0)+LN(1+EXP(-ABS((LN(10^(逐级计算!$Q$77/10)-1)+逐级计算!$Q$77*(BY56-逐级计算!$P$77)*LN(10)/10))))))),"")</f>
        <v>13.7930365742089</v>
      </c>
      <c r="CA56">
        <f>IF(AND(ISNUMBER(BZ56),逐级计算!$X$78&gt;-1),IF(逐级计算!$X$78=0,BZ56+逐级计算!$C$78,BZ56+逐级计算!$C$78-(10/(逐级计算!$Q$78*LN(10))*(MAX((LN(10^(逐级计算!$Q$78/10)-1)+逐级计算!$Q$78*(BZ56-逐级计算!$P$78)*LN(10)/10),0)+LN(1+EXP(-ABS((LN(10^(逐级计算!$Q$78/10)-1)+逐级计算!$Q$78*(BZ56-逐级计算!$P$78)*LN(10)/10))))))),"")</f>
        <v>13.7930365742089</v>
      </c>
      <c r="CB56">
        <f>IF(AND(ISNUMBER(CA56),逐级计算!$X$79&gt;-1),IF(逐级计算!$X$79=0,CA56+逐级计算!$C$79,CA56+逐级计算!$C$79-(10/(逐级计算!$Q$79*LN(10))*(MAX((LN(10^(逐级计算!$Q$79/10)-1)+逐级计算!$Q$79*(CA56-逐级计算!$P$79)*LN(10)/10),0)+LN(1+EXP(-ABS((LN(10^(逐级计算!$Q$79/10)-1)+逐级计算!$Q$79*(CA56-逐级计算!$P$79)*LN(10)/10))))))),"")</f>
        <v>13.7930365742089</v>
      </c>
      <c r="CC56">
        <f>IF(AND(ISNUMBER(CB56),逐级计算!$X$80&gt;-1),IF(逐级计算!$X$80=0,CB56+逐级计算!$C$80,CB56+逐级计算!$C$80-(10/(逐级计算!$Q$80*LN(10))*(MAX((LN(10^(逐级计算!$Q$80/10)-1)+逐级计算!$Q$80*(CB56-逐级计算!$P$80)*LN(10)/10),0)+LN(1+EXP(-ABS((LN(10^(逐级计算!$Q$80/10)-1)+逐级计算!$Q$80*(CB56-逐级计算!$P$80)*LN(10)/10))))))),"")</f>
        <v>13.7930365742089</v>
      </c>
      <c r="CD56">
        <f>IF(AND(ISNUMBER(CC56),逐级计算!$X$81&gt;-1),IF(逐级计算!$X$81=0,CC56+逐级计算!$C$81,CC56+逐级计算!$C$81-(10/(逐级计算!$Q$81*LN(10))*(MAX((LN(10^(逐级计算!$Q$81/10)-1)+逐级计算!$Q$81*(CC56-逐级计算!$P$81)*LN(10)/10),0)+LN(1+EXP(-ABS((LN(10^(逐级计算!$Q$81/10)-1)+逐级计算!$Q$81*(CC56-逐级计算!$P$81)*LN(10)/10))))))),"")</f>
        <v>13.7930365742089</v>
      </c>
      <c r="CE56">
        <f>IF(AND(ISNUMBER(CD56),逐级计算!$X$82&gt;-1),IF(逐级计算!$X$82=0,CD56+逐级计算!$C$82,CD56+逐级计算!$C$82-(10/(逐级计算!$Q$82*LN(10))*(MAX((LN(10^(逐级计算!$Q$82/10)-1)+逐级计算!$Q$82*(CD56-逐级计算!$P$82)*LN(10)/10),0)+LN(1+EXP(-ABS((LN(10^(逐级计算!$Q$82/10)-1)+逐级计算!$Q$82*(CD56-逐级计算!$P$82)*LN(10)/10))))))),"")</f>
        <v>13.7930365742089</v>
      </c>
      <c r="CF56">
        <f>IF(AND(ISNUMBER(CE56),逐级计算!$X$83&gt;-1),IF(逐级计算!$X$83=0,CE56+逐级计算!$C$83,CE56+逐级计算!$C$83-(10/(逐级计算!$Q$83*LN(10))*(MAX((LN(10^(逐级计算!$Q$83/10)-1)+逐级计算!$Q$83*(CE56-逐级计算!$P$83)*LN(10)/10),0)+LN(1+EXP(-ABS((LN(10^(逐级计算!$Q$83/10)-1)+逐级计算!$Q$83*(CE56-逐级计算!$P$83)*LN(10)/10))))))),"")</f>
        <v>13.7930365742089</v>
      </c>
      <c r="CG56">
        <f>IF(AND(ISNUMBER(CF56),逐级计算!$X$84&gt;-1),IF(逐级计算!$X$84=0,CF56+逐级计算!$C$84,CF56+逐级计算!$C$84-(10/(逐级计算!$Q$84*LN(10))*(MAX((LN(10^(逐级计算!$Q$84/10)-1)+逐级计算!$Q$84*(CF56-逐级计算!$P$84)*LN(10)/10),0)+LN(1+EXP(-ABS((LN(10^(逐级计算!$Q$84/10)-1)+逐级计算!$Q$84*(CF56-逐级计算!$P$84)*LN(10)/10))))))),"")</f>
        <v>13.7930365742089</v>
      </c>
      <c r="CH56">
        <f>IF(AND(ISNUMBER(CG56),逐级计算!$X$85&gt;-1),IF(逐级计算!$X$85=0,CG56+逐级计算!$C$85,CG56+逐级计算!$C$85-(10/(逐级计算!$Q$85*LN(10))*(MAX((LN(10^(逐级计算!$Q$85/10)-1)+逐级计算!$Q$85*(CG56-逐级计算!$P$85)*LN(10)/10),0)+LN(1+EXP(-ABS((LN(10^(逐级计算!$Q$85/10)-1)+逐级计算!$Q$85*(CG56-逐级计算!$P$85)*LN(10)/10))))))),"")</f>
        <v>13.7930365742089</v>
      </c>
      <c r="CI56">
        <f>IF(AND(ISNUMBER(CH56),逐级计算!$X$86&gt;-1),IF(逐级计算!$X$86=0,CH56+逐级计算!$C$86,CH56+逐级计算!$C$86-(10/(逐级计算!$Q$86*LN(10))*(MAX((LN(10^(逐级计算!$Q$86/10)-1)+逐级计算!$Q$86*(CH56-逐级计算!$P$86)*LN(10)/10),0)+LN(1+EXP(-ABS((LN(10^(逐级计算!$Q$86/10)-1)+逐级计算!$Q$86*(CH56-逐级计算!$P$86)*LN(10)/10))))))),"")</f>
        <v>13.7930365742089</v>
      </c>
      <c r="CJ56">
        <f>IF(AND(ISNUMBER(CI56),逐级计算!$X$87&gt;-1),IF(逐级计算!$X$87=0,CI56+逐级计算!$C$87,CI56+逐级计算!$C$87-(10/(逐级计算!$Q$87*LN(10))*(MAX((LN(10^(逐级计算!$Q$87/10)-1)+逐级计算!$Q$87*(CI56-逐级计算!$P$87)*LN(10)/10),0)+LN(1+EXP(-ABS((LN(10^(逐级计算!$Q$87/10)-1)+逐级计算!$Q$87*(CI56-逐级计算!$P$87)*LN(10)/10))))))),"")</f>
        <v>13.7930365742089</v>
      </c>
      <c r="CK56">
        <f>IF(AND(ISNUMBER(CJ56),逐级计算!$X$88&gt;-1),IF(逐级计算!$X$88=0,CJ56+逐级计算!$C$88,CJ56+逐级计算!$C$88-(10/(逐级计算!$Q$88*LN(10))*(MAX((LN(10^(逐级计算!$Q$88/10)-1)+逐级计算!$Q$88*(CJ56-逐级计算!$P$88)*LN(10)/10),0)+LN(1+EXP(-ABS((LN(10^(逐级计算!$Q$88/10)-1)+逐级计算!$Q$88*(CJ56-逐级计算!$P$88)*LN(10)/10))))))),"")</f>
        <v>13.7930365742089</v>
      </c>
      <c r="CL56">
        <f>IF(AND(ISNUMBER(CK56),逐级计算!$X$89&gt;-1),IF(逐级计算!$X$89=0,CK56+逐级计算!$C$89,CK56+逐级计算!$C$89-(10/(逐级计算!$Q$89*LN(10))*(MAX((LN(10^(逐级计算!$Q$89/10)-1)+逐级计算!$Q$89*(CK56-逐级计算!$P$89)*LN(10)/10),0)+LN(1+EXP(-ABS((LN(10^(逐级计算!$Q$89/10)-1)+逐级计算!$Q$89*(CK56-逐级计算!$P$89)*LN(10)/10))))))),"")</f>
        <v>13.7930365742089</v>
      </c>
      <c r="CM56">
        <f>IF(AND(ISNUMBER(CL56),逐级计算!$X$90&gt;-1),IF(逐级计算!$X$90=0,CL56+逐级计算!$C$90,CL56+逐级计算!$C$90-(10/(逐级计算!$Q$90*LN(10))*(MAX((LN(10^(逐级计算!$Q$90/10)-1)+逐级计算!$Q$90*(CL56-逐级计算!$P$90)*LN(10)/10),0)+LN(1+EXP(-ABS((LN(10^(逐级计算!$Q$90/10)-1)+逐级计算!$Q$90*(CL56-逐级计算!$P$90)*LN(10)/10))))))),"")</f>
        <v>13.7930365742089</v>
      </c>
      <c r="CN56">
        <f>IF(AND(ISNUMBER(CM56),逐级计算!$X$91&gt;-1),IF(逐级计算!$X$91=0,CM56+逐级计算!$C$91,CM56+逐级计算!$C$91-(10/(逐级计算!$Q$91*LN(10))*(MAX((LN(10^(逐级计算!$Q$91/10)-1)+逐级计算!$Q$91*(CM56-逐级计算!$P$91)*LN(10)/10),0)+LN(1+EXP(-ABS((LN(10^(逐级计算!$Q$91/10)-1)+逐级计算!$Q$91*(CM56-逐级计算!$P$91)*LN(10)/10))))))),"")</f>
        <v>13.7930365742089</v>
      </c>
      <c r="CO56">
        <f>IF(AND(ISNUMBER(CN56),逐级计算!$X$92&gt;-1),IF(逐级计算!$X$92=0,CN56+逐级计算!$C$92,CN56+逐级计算!$C$92-(10/(逐级计算!$Q$92*LN(10))*(MAX((LN(10^(逐级计算!$Q$92/10)-1)+逐级计算!$Q$92*(CN56-逐级计算!$P$92)*LN(10)/10),0)+LN(1+EXP(-ABS((LN(10^(逐级计算!$Q$92/10)-1)+逐级计算!$Q$92*(CN56-逐级计算!$P$92)*LN(10)/10))))))),"")</f>
        <v>13.7930365742089</v>
      </c>
      <c r="CP56">
        <f>IF(AND(ISNUMBER(CO56),逐级计算!$X$93&gt;-1),IF(逐级计算!$X$93=0,CO56+逐级计算!$C$93,CO56+逐级计算!$C$93-(10/(逐级计算!$Q$93*LN(10))*(MAX((LN(10^(逐级计算!$Q$93/10)-1)+逐级计算!$Q$93*(CO56-逐级计算!$P$93)*LN(10)/10),0)+LN(1+EXP(-ABS((LN(10^(逐级计算!$Q$93/10)-1)+逐级计算!$Q$93*(CO56-逐级计算!$P$93)*LN(10)/10))))))),"")</f>
        <v>13.7930365742089</v>
      </c>
      <c r="CQ56">
        <f>IF(AND(ISNUMBER(CP56),逐级计算!$X$94&gt;-1),IF(逐级计算!$X$94=0,CP56+逐级计算!$C$94,CP56+逐级计算!$C$94-(10/(逐级计算!$Q$94*LN(10))*(MAX((LN(10^(逐级计算!$Q$94/10)-1)+逐级计算!$Q$94*(CP56-逐级计算!$P$94)*LN(10)/10),0)+LN(1+EXP(-ABS((LN(10^(逐级计算!$Q$94/10)-1)+逐级计算!$Q$94*(CP56-逐级计算!$P$94)*LN(10)/10))))))),"")</f>
        <v>13.7930365742089</v>
      </c>
      <c r="CR56">
        <f>IF(AND(ISNUMBER(CQ56),逐级计算!$X$95&gt;-1),IF(逐级计算!$X$95=0,CQ56+逐级计算!$C$95,CQ56+逐级计算!$C$95-(10/(逐级计算!$Q$95*LN(10))*(MAX((LN(10^(逐级计算!$Q$95/10)-1)+逐级计算!$Q$95*(CQ56-逐级计算!$P$95)*LN(10)/10),0)+LN(1+EXP(-ABS((LN(10^(逐级计算!$Q$95/10)-1)+逐级计算!$Q$95*(CQ56-逐级计算!$P$95)*LN(10)/10))))))),"")</f>
        <v>13.7930365742089</v>
      </c>
      <c r="CS56">
        <f>IF(AND(ISNUMBER(CR56),逐级计算!$X$96&gt;-1),IF(逐级计算!$X$96=0,CR56+逐级计算!$C$96,CR56+逐级计算!$C$96-(10/(逐级计算!$Q$96*LN(10))*(MAX((LN(10^(逐级计算!$Q$96/10)-1)+逐级计算!$Q$96*(CR56-逐级计算!$P$96)*LN(10)/10),0)+LN(1+EXP(-ABS((LN(10^(逐级计算!$Q$96/10)-1)+逐级计算!$Q$96*(CR56-逐级计算!$P$96)*LN(10)/10))))))),"")</f>
        <v>13.7930365742089</v>
      </c>
      <c r="CT56">
        <f>IF(AND(ISNUMBER(CS56),逐级计算!$X$97&gt;-1),IF(逐级计算!$X$97=0,CS56+逐级计算!$C$97,CS56+逐级计算!$C$97-(10/(逐级计算!$Q$97*LN(10))*(MAX((LN(10^(逐级计算!$Q$97/10)-1)+逐级计算!$Q$97*(CS56-逐级计算!$P$97)*LN(10)/10),0)+LN(1+EXP(-ABS((LN(10^(逐级计算!$Q$97/10)-1)+逐级计算!$Q$97*(CS56-逐级计算!$P$97)*LN(10)/10))))))),"")</f>
        <v>13.7930365742089</v>
      </c>
      <c r="CU56">
        <f>IF(AND(ISNUMBER(CT56),逐级计算!$X$98&gt;-1),IF(逐级计算!$X$98=0,CT56+逐级计算!$C$98,CT56+逐级计算!$C$98-(10/(逐级计算!$Q$98*LN(10))*(MAX((LN(10^(逐级计算!$Q$98/10)-1)+逐级计算!$Q$98*(CT56-逐级计算!$P$98)*LN(10)/10),0)+LN(1+EXP(-ABS((LN(10^(逐级计算!$Q$98/10)-1)+逐级计算!$Q$98*(CT56-逐级计算!$P$98)*LN(10)/10))))))),"")</f>
        <v>13.7930365742089</v>
      </c>
      <c r="CV56">
        <f>IF(AND(ISNUMBER(CU56),逐级计算!$X$99&gt;-1),IF(逐级计算!$X$99=0,CU56+逐级计算!$C$99,CU56+逐级计算!$C$99-(10/(逐级计算!$Q$99*LN(10))*(MAX((LN(10^(逐级计算!$Q$99/10)-1)+逐级计算!$Q$99*(CU56-逐级计算!$P$99)*LN(10)/10),0)+LN(1+EXP(-ABS((LN(10^(逐级计算!$Q$99/10)-1)+逐级计算!$Q$99*(CU56-逐级计算!$P$99)*LN(10)/10))))))),"")</f>
        <v>13.7930365742089</v>
      </c>
      <c r="CW56">
        <f>IF(AND(ISNUMBER(CV56),逐级计算!$X$100&gt;-1),IF(逐级计算!$X$100=0,CV56+逐级计算!$C$100,CV56+逐级计算!$C$100-(10/(逐级计算!$Q$100*LN(10))*(MAX((LN(10^(逐级计算!$Q$100/10)-1)+逐级计算!$Q$100*(CV56-逐级计算!$P$100)*LN(10)/10),0)+LN(1+EXP(-ABS((LN(10^(逐级计算!$Q$100/10)-1)+逐级计算!$Q$100*(CV56-逐级计算!$P$100)*LN(10)/10))))))),"")</f>
        <v>13.7930365742089</v>
      </c>
      <c r="CX56">
        <f>IF(AND(ISNUMBER(CW56),逐级计算!$X$101&gt;-1),IF(逐级计算!$X$101=0,CW56+逐级计算!$C$101,CW56+逐级计算!$C$101-(10/(逐级计算!$Q$101*LN(10))*(MAX((LN(10^(逐级计算!$Q$101/10)-1)+逐级计算!$Q$101*(CW56-逐级计算!$P$101)*LN(10)/10),0)+LN(1+EXP(-ABS((LN(10^(逐级计算!$Q$101/10)-1)+逐级计算!$Q$101*(CW56-逐级计算!$P$101)*LN(10)/10))))))),"")</f>
        <v>13.7930365742089</v>
      </c>
      <c r="CY56">
        <f>IF(AND(ISNUMBER(CX56),逐级计算!$X$102&gt;-1),IF(逐级计算!$X$102=0,CX56+逐级计算!$C$102,CX56+逐级计算!$C$102-(10/(逐级计算!$Q$102*LN(10))*(MAX((LN(10^(逐级计算!$Q$102/10)-1)+逐级计算!$Q$102*(CX56-逐级计算!$P$102)*LN(10)/10),0)+LN(1+EXP(-ABS((LN(10^(逐级计算!$Q$102/10)-1)+逐级计算!$Q$102*(CX56-逐级计算!$P$102)*LN(10)/10))))))),"")</f>
        <v>13.7930365742089</v>
      </c>
      <c r="CZ56">
        <f>IF(AND(ISNUMBER(CY56),逐级计算!$X$103&gt;-1),IF(逐级计算!$X$103=0,CY56+逐级计算!$C$103,CY56+逐级计算!$C$103-(10/(逐级计算!$Q$103*LN(10))*(MAX((LN(10^(逐级计算!$Q$103/10)-1)+逐级计算!$Q$103*(CY56-逐级计算!$P$103)*LN(10)/10),0)+LN(1+EXP(-ABS((LN(10^(逐级计算!$Q$103/10)-1)+逐级计算!$Q$103*(CY56-逐级计算!$P$103)*LN(10)/10))))))),"")</f>
        <v>13.7930365742089</v>
      </c>
      <c r="DA56">
        <f>IF(AND(ISNUMBER(CZ56),逐级计算!$X$104&gt;-1),IF(逐级计算!$X$104=0,CZ56+逐级计算!$C$104,CZ56+逐级计算!$C$104-(10/(逐级计算!$Q$104*LN(10))*(MAX((LN(10^(逐级计算!$Q$104/10)-1)+逐级计算!$Q$104*(CZ56-逐级计算!$P$104)*LN(10)/10),0)+LN(1+EXP(-ABS((LN(10^(逐级计算!$Q$104/10)-1)+逐级计算!$Q$104*(CZ56-逐级计算!$P$104)*LN(10)/10))))))),"")</f>
        <v>13.7930365742089</v>
      </c>
      <c r="DB56">
        <f>IF(AND(ISNUMBER(DA56),逐级计算!$X$105&gt;-1),IF(逐级计算!$X$105=0,DA56+逐级计算!$C$105,DA56+逐级计算!$C$105-(10/(逐级计算!$Q$105*LN(10))*(MAX((LN(10^(逐级计算!$Q$105/10)-1)+逐级计算!$Q$105*(DA56-逐级计算!$P$105)*LN(10)/10),0)+LN(1+EXP(-ABS((LN(10^(逐级计算!$Q$105/10)-1)+逐级计算!$Q$105*(DA56-逐级计算!$P$105)*LN(10)/10))))))),"")</f>
        <v>13.7930365742089</v>
      </c>
      <c r="DC56">
        <f>IF(AND(ISNUMBER(DB56),逐级计算!$X$106&gt;-1),IF(逐级计算!$X$106=0,DB56+逐级计算!$C$106,DB56+逐级计算!$C$106-(10/(逐级计算!$Q$106*LN(10))*(MAX((LN(10^(逐级计算!$Q$106/10)-1)+逐级计算!$Q$106*(DB56-逐级计算!$P$106)*LN(10)/10),0)+LN(1+EXP(-ABS((LN(10^(逐级计算!$Q$106/10)-1)+逐级计算!$Q$106*(DB56-逐级计算!$P$106)*LN(10)/10))))))),"")</f>
        <v>13.7930365742089</v>
      </c>
      <c r="DD56">
        <f>IF(AND(ISNUMBER(DC56),逐级计算!$X$107&gt;-1),IF(逐级计算!$X$107=0,DC56+逐级计算!$C$107,DC56+逐级计算!$C$107-(10/(逐级计算!$Q$107*LN(10))*(MAX((LN(10^(逐级计算!$Q$107/10)-1)+逐级计算!$Q$107*(DC56-逐级计算!$P$107)*LN(10)/10),0)+LN(1+EXP(-ABS((LN(10^(逐级计算!$Q$107/10)-1)+逐级计算!$Q$107*(DC56-逐级计算!$P$107)*LN(10)/10))))))),"")</f>
        <v>13.7930365742089</v>
      </c>
      <c r="DE56">
        <f>IF(AND(ISNUMBER(DD56),逐级计算!$X$108&gt;-1),IF(逐级计算!$X$108=0,DD56+逐级计算!$C$108,DD56+逐级计算!$C$108-(10/(逐级计算!$Q$108*LN(10))*(MAX((LN(10^(逐级计算!$Q$108/10)-1)+逐级计算!$Q$108*(DD56-逐级计算!$P$108)*LN(10)/10),0)+LN(1+EXP(-ABS((LN(10^(逐级计算!$Q$108/10)-1)+逐级计算!$Q$108*(DD56-逐级计算!$P$108)*LN(10)/10))))))),"")</f>
        <v>13.7930365742089</v>
      </c>
      <c r="DF56">
        <f>IF(AND(ISNUMBER(DE56),逐级计算!$X$109&gt;-1),IF(逐级计算!$X$109=0,DE56+逐级计算!$C$109,DE56+逐级计算!$C$109-(10/(逐级计算!$Q$109*LN(10))*(MAX((LN(10^(逐级计算!$Q$109/10)-1)+逐级计算!$Q$109*(DE56-逐级计算!$P$109)*LN(10)/10),0)+LN(1+EXP(-ABS((LN(10^(逐级计算!$Q$109/10)-1)+逐级计算!$Q$109*(DE56-逐级计算!$P$109)*LN(10)/10))))))),"")</f>
        <v>13.7930365742089</v>
      </c>
      <c r="DG56">
        <f>IF(AND(ISNUMBER(DF56),逐级计算!$X$110&gt;-1),IF(逐级计算!$X$110=0,DF56+逐级计算!$C$110,DF56+逐级计算!$C$110-(10/(逐级计算!$Q$110*LN(10))*(MAX((LN(10^(逐级计算!$Q$110/10)-1)+逐级计算!$Q$110*(DF56-逐级计算!$P$110)*LN(10)/10),0)+LN(1+EXP(-ABS((LN(10^(逐级计算!$Q$110/10)-1)+逐级计算!$Q$110*(DF56-逐级计算!$P$110)*LN(10)/10))))))),"")</f>
        <v>13.7930365742089</v>
      </c>
      <c r="DH56">
        <f>IF(AND(ISNUMBER(DG56),逐级计算!$X$111&gt;-1),IF(逐级计算!$X$111=0,DG56+逐级计算!$C$111,DG56+逐级计算!$C$111-(10/(逐级计算!$Q$111*LN(10))*(MAX((LN(10^(逐级计算!$Q$111/10)-1)+逐级计算!$Q$111*(DG56-逐级计算!$P$111)*LN(10)/10),0)+LN(1+EXP(-ABS((LN(10^(逐级计算!$Q$111/10)-1)+逐级计算!$Q$111*(DG56-逐级计算!$P$111)*LN(10)/10))))))),"")</f>
        <v>13.7930365742089</v>
      </c>
      <c r="DI56">
        <f>IF(AND(ISNUMBER(DH56),逐级计算!$X$112&gt;-1),IF(逐级计算!$X$112=0,DH56+逐级计算!$C$112,DH56+逐级计算!$C$112-(10/(逐级计算!$Q$112*LN(10))*(MAX((LN(10^(逐级计算!$Q$112/10)-1)+逐级计算!$Q$112*(DH56-逐级计算!$P$112)*LN(10)/10),0)+LN(1+EXP(-ABS((LN(10^(逐级计算!$Q$112/10)-1)+逐级计算!$Q$112*(DH56-逐级计算!$P$112)*LN(10)/10))))))),"")</f>
        <v>13.7930365742089</v>
      </c>
      <c r="DJ56">
        <f>IF(AND(ISNUMBER(DI56),逐级计算!$X$113&gt;-1),IF(逐级计算!$X$113=0,DI56+逐级计算!$C$113,DI56+逐级计算!$C$113-(10/(逐级计算!$Q$113*LN(10))*(MAX((LN(10^(逐级计算!$Q$113/10)-1)+逐级计算!$Q$113*(DI56-逐级计算!$P$113)*LN(10)/10),0)+LN(1+EXP(-ABS((LN(10^(逐级计算!$Q$113/10)-1)+逐级计算!$Q$113*(DI56-逐级计算!$P$113)*LN(10)/10))))))),"")</f>
        <v>13.7930365742089</v>
      </c>
      <c r="DK56">
        <f>IF(AND(ISNUMBER(DJ56),逐级计算!$X$114&gt;-1),IF(逐级计算!$X$114=0,DJ56+逐级计算!$C$114,DJ56+逐级计算!$C$114-(10/(逐级计算!$Q$114*LN(10))*(MAX((LN(10^(逐级计算!$Q$114/10)-1)+逐级计算!$Q$114*(DJ56-逐级计算!$P$114)*LN(10)/10),0)+LN(1+EXP(-ABS((LN(10^(逐级计算!$Q$114/10)-1)+逐级计算!$Q$114*(DJ56-逐级计算!$P$114)*LN(10)/10))))))),"")</f>
        <v>13.7930365742089</v>
      </c>
      <c r="DL56">
        <f>IF(AND(ISNUMBER(DK56),逐级计算!$X$115&gt;-1),IF(逐级计算!$X$115=0,DK56+逐级计算!$C$115,DK56+逐级计算!$C$115-(10/(逐级计算!$Q$115*LN(10))*(MAX((LN(10^(逐级计算!$Q$115/10)-1)+逐级计算!$Q$115*(DK56-逐级计算!$P$115)*LN(10)/10),0)+LN(1+EXP(-ABS((LN(10^(逐级计算!$Q$115/10)-1)+逐级计算!$Q$115*(DK56-逐级计算!$P$115)*LN(10)/10))))))),"")</f>
        <v>13.7930365742089</v>
      </c>
      <c r="DM56">
        <f>IF(AND(ISNUMBER(DL56),逐级计算!$X$116&gt;-1),IF(逐级计算!$X$116=0,DL56+逐级计算!$C$116,DL56+逐级计算!$C$116-(10/(逐级计算!$Q$116*LN(10))*(MAX((LN(10^(逐级计算!$Q$116/10)-1)+逐级计算!$Q$116*(DL56-逐级计算!$P$116)*LN(10)/10),0)+LN(1+EXP(-ABS((LN(10^(逐级计算!$Q$116/10)-1)+逐级计算!$Q$116*(DL56-逐级计算!$P$116)*LN(10)/10))))))),"")</f>
        <v>13.7930365742089</v>
      </c>
      <c r="DN56">
        <f>IF(AND(ISNUMBER(DM56),逐级计算!$X$117&gt;-1),IF(逐级计算!$X$117=0,DM56+逐级计算!$C$117,DM56+逐级计算!$C$117-(10/(逐级计算!$Q$117*LN(10))*(MAX((LN(10^(逐级计算!$Q$117/10)-1)+逐级计算!$Q$117*(DM56-逐级计算!$P$117)*LN(10)/10),0)+LN(1+EXP(-ABS((LN(10^(逐级计算!$Q$117/10)-1)+逐级计算!$Q$117*(DM56-逐级计算!$P$117)*LN(10)/10))))))),"")</f>
        <v>13.7930365742089</v>
      </c>
      <c r="DO56">
        <f>IF(AND(ISNUMBER(DN56),逐级计算!$X$118&gt;-1),IF(逐级计算!$X$118=0,DN56+逐级计算!$C$118,DN56+逐级计算!$C$118-(10/(逐级计算!$Q$118*LN(10))*(MAX((LN(10^(逐级计算!$Q$118/10)-1)+逐级计算!$Q$118*(DN56-逐级计算!$P$118)*LN(10)/10),0)+LN(1+EXP(-ABS((LN(10^(逐级计算!$Q$118/10)-1)+逐级计算!$Q$118*(DN56-逐级计算!$P$118)*LN(10)/10))))))),"")</f>
        <v>13.7930365742089</v>
      </c>
      <c r="DP56">
        <f>IF(AND(ISNUMBER(DO56),逐级计算!$X$119&gt;-1),IF(逐级计算!$X$119=0,DO56+逐级计算!$C$119,DO56+逐级计算!$C$119-(10/(逐级计算!$Q$119*LN(10))*(MAX((LN(10^(逐级计算!$Q$119/10)-1)+逐级计算!$Q$119*(DO56-逐级计算!$P$119)*LN(10)/10),0)+LN(1+EXP(-ABS((LN(10^(逐级计算!$Q$119/10)-1)+逐级计算!$Q$119*(DO56-逐级计算!$P$119)*LN(10)/10))))))),"")</f>
        <v>13.7930365742089</v>
      </c>
      <c r="DQ56">
        <f>IF(AND(ISNUMBER(DP56),逐级计算!$X$120&gt;-1),IF(逐级计算!$X$120=0,DP56+逐级计算!$C$120,DP56+逐级计算!$C$120-(10/(逐级计算!$Q$120*LN(10))*(MAX((LN(10^(逐级计算!$Q$120/10)-1)+逐级计算!$Q$120*(DP56-逐级计算!$P$120)*LN(10)/10),0)+LN(1+EXP(-ABS((LN(10^(逐级计算!$Q$120/10)-1)+逐级计算!$Q$120*(DP56-逐级计算!$P$120)*LN(10)/10))))))),"")</f>
        <v>13.7930365742089</v>
      </c>
      <c r="DR56">
        <f>IF(AND(ISNUMBER(DQ56),逐级计算!$X$121&gt;-1),IF(逐级计算!$X$121=0,DQ56+逐级计算!$C$121,DQ56+逐级计算!$C$121-(10/(逐级计算!$Q$121*LN(10))*(MAX((LN(10^(逐级计算!$Q$121/10)-1)+逐级计算!$Q$121*(DQ56-逐级计算!$P$121)*LN(10)/10),0)+LN(1+EXP(-ABS((LN(10^(逐级计算!$Q$121/10)-1)+逐级计算!$Q$121*(DQ56-逐级计算!$P$121)*LN(10)/10))))))),"")</f>
        <v>13.7930365742089</v>
      </c>
      <c r="DS56">
        <f>IF(AND(ISNUMBER(DR56),逐级计算!$X$122&gt;-1),IF(逐级计算!$X$122=0,DR56+逐级计算!$C$122,DR56+逐级计算!$C$122-(10/(逐级计算!$Q$122*LN(10))*(MAX((LN(10^(逐级计算!$Q$122/10)-1)+逐级计算!$Q$122*(DR56-逐级计算!$P$122)*LN(10)/10),0)+LN(1+EXP(-ABS((LN(10^(逐级计算!$Q$122/10)-1)+逐级计算!$Q$122*(DR56-逐级计算!$P$122)*LN(10)/10))))))),"")</f>
        <v>13.7930365742089</v>
      </c>
      <c r="DT56">
        <f>IF(AND(ISNUMBER(DS56),逐级计算!$X$123&gt;-1),IF(逐级计算!$X$123=0,DS56+逐级计算!$C$123,DS56+逐级计算!$C$123-(10/(逐级计算!$Q$123*LN(10))*(MAX((LN(10^(逐级计算!$Q$123/10)-1)+逐级计算!$Q$123*(DS56-逐级计算!$P$123)*LN(10)/10),0)+LN(1+EXP(-ABS((LN(10^(逐级计算!$Q$123/10)-1)+逐级计算!$Q$123*(DS56-逐级计算!$P$123)*LN(10)/10))))))),"")</f>
        <v>13.7930365742089</v>
      </c>
      <c r="DU56">
        <f>IF(AND(ISNUMBER(DT56),逐级计算!$X$124&gt;-1),IF(逐级计算!$X$124=0,DT56+逐级计算!$C$124,DT56+逐级计算!$C$124-(10/(逐级计算!$Q$124*LN(10))*(MAX((LN(10^(逐级计算!$Q$124/10)-1)+逐级计算!$Q$124*(DT56-逐级计算!$P$124)*LN(10)/10),0)+LN(1+EXP(-ABS((LN(10^(逐级计算!$Q$124/10)-1)+逐级计算!$Q$124*(DT56-逐级计算!$P$124)*LN(10)/10))))))),"")</f>
        <v>13.7930365742089</v>
      </c>
      <c r="DV56">
        <f>IF(AND(ISNUMBER(DU56),逐级计算!$X$125&gt;-1),IF(逐级计算!$X$125=0,DU56+逐级计算!$C$125,DU56+逐级计算!$C$125-(10/(逐级计算!$Q$125*LN(10))*(MAX((LN(10^(逐级计算!$Q$125/10)-1)+逐级计算!$Q$125*(DU56-逐级计算!$P$125)*LN(10)/10),0)+LN(1+EXP(-ABS((LN(10^(逐级计算!$Q$125/10)-1)+逐级计算!$Q$125*(DU56-逐级计算!$P$125)*LN(10)/10))))))),"")</f>
        <v>13.7930365742089</v>
      </c>
      <c r="DW56">
        <f>IF(AND(ISNUMBER(DV56),逐级计算!$X$126&gt;-1),IF(逐级计算!$X$126=0,DV56+逐级计算!$C$126,DV56+逐级计算!$C$126-(10/(逐级计算!$Q$126*LN(10))*(MAX((LN(10^(逐级计算!$Q$126/10)-1)+逐级计算!$Q$126*(DV56-逐级计算!$P$126)*LN(10)/10),0)+LN(1+EXP(-ABS((LN(10^(逐级计算!$Q$126/10)-1)+逐级计算!$Q$126*(DV56-逐级计算!$P$126)*LN(10)/10))))))),"")</f>
        <v>13.7930365742089</v>
      </c>
      <c r="DX56">
        <f>IF(AND(ISNUMBER(DW56),逐级计算!$X$127&gt;-1),IF(逐级计算!$X$127=0,DW56+逐级计算!$C$127,DW56+逐级计算!$C$127-(10/(逐级计算!$Q$127*LN(10))*(MAX((LN(10^(逐级计算!$Q$127/10)-1)+逐级计算!$Q$127*(DW56-逐级计算!$P$127)*LN(10)/10),0)+LN(1+EXP(-ABS((LN(10^(逐级计算!$Q$127/10)-1)+逐级计算!$Q$127*(DW56-逐级计算!$P$127)*LN(10)/10))))))),"")</f>
        <v>13.7930365742089</v>
      </c>
      <c r="DY56">
        <f>IF(AND(ISNUMBER(DX56),逐级计算!$X$128&gt;-1),IF(逐级计算!$X$128=0,DX56+逐级计算!$C$128,DX56+逐级计算!$C$128-(10/(逐级计算!$Q$128*LN(10))*(MAX((LN(10^(逐级计算!$Q$128/10)-1)+逐级计算!$Q$128*(DX56-逐级计算!$P$128)*LN(10)/10),0)+LN(1+EXP(-ABS((LN(10^(逐级计算!$Q$128/10)-1)+逐级计算!$Q$128*(DX56-逐级计算!$P$128)*LN(10)/10))))))),"")</f>
        <v>13.7930365742089</v>
      </c>
      <c r="DZ56">
        <f>IF(AND(ISNUMBER(DY56),逐级计算!$X$129&gt;-1),IF(逐级计算!$X$129=0,DY56+逐级计算!$C$129,DY56+逐级计算!$C$129-(10/(逐级计算!$Q$129*LN(10))*(MAX((LN(10^(逐级计算!$Q$129/10)-1)+逐级计算!$Q$129*(DY56-逐级计算!$P$129)*LN(10)/10),0)+LN(1+EXP(-ABS((LN(10^(逐级计算!$Q$129/10)-1)+逐级计算!$Q$129*(DY56-逐级计算!$P$129)*LN(10)/10))))))),"")</f>
        <v>13.7930365742089</v>
      </c>
      <c r="EA56">
        <f>IF(AND(ISNUMBER(DZ56),逐级计算!$X$130&gt;-1),IF(逐级计算!$X$130=0,DZ56+逐级计算!$C$130,DZ56+逐级计算!$C$130-(10/(逐级计算!$Q$130*LN(10))*(MAX((LN(10^(逐级计算!$Q$130/10)-1)+逐级计算!$Q$130*(DZ56-逐级计算!$P$130)*LN(10)/10),0)+LN(1+EXP(-ABS((LN(10^(逐级计算!$Q$130/10)-1)+逐级计算!$Q$130*(DZ56-逐级计算!$P$130)*LN(10)/10))))))),"")</f>
        <v>13.7930365742089</v>
      </c>
      <c r="EB56">
        <f>IF(AND(ISNUMBER(EA56),逐级计算!$X$131&gt;-1),IF(逐级计算!$X$131=0,EA56+逐级计算!$C$131,EA56+逐级计算!$C$131-(10/(逐级计算!$Q$131*LN(10))*(MAX((LN(10^(逐级计算!$Q$131/10)-1)+逐级计算!$Q$131*(EA56-逐级计算!$P$131)*LN(10)/10),0)+LN(1+EXP(-ABS((LN(10^(逐级计算!$Q$131/10)-1)+逐级计算!$Q$131*(EA56-逐级计算!$P$131)*LN(10)/10))))))),"")</f>
        <v>13.7930365742089</v>
      </c>
      <c r="EC56">
        <f>IF(AND(ISNUMBER(EB56),逐级计算!$X$132&gt;-1),IF(逐级计算!$X$132=0,EB56+逐级计算!$C$132,EB56+逐级计算!$C$132-(10/(逐级计算!$Q$132*LN(10))*(MAX((LN(10^(逐级计算!$Q$132/10)-1)+逐级计算!$Q$132*(EB56-逐级计算!$P$132)*LN(10)/10),0)+LN(1+EXP(-ABS((LN(10^(逐级计算!$Q$132/10)-1)+逐级计算!$Q$132*(EB56-逐级计算!$P$132)*LN(10)/10))))))),"")</f>
        <v>13.7930365742089</v>
      </c>
      <c r="ED56">
        <f>IF(AND(ISNUMBER(EC56),逐级计算!$X$133&gt;-1),IF(逐级计算!$X$133=0,EC56+逐级计算!$C$133,EC56+逐级计算!$C$133-(10/(逐级计算!$Q$133*LN(10))*(MAX((LN(10^(逐级计算!$Q$133/10)-1)+逐级计算!$Q$133*(EC56-逐级计算!$P$133)*LN(10)/10),0)+LN(1+EXP(-ABS((LN(10^(逐级计算!$Q$133/10)-1)+逐级计算!$Q$133*(EC56-逐级计算!$P$133)*LN(10)/10))))))),"")</f>
        <v>13.7930365742089</v>
      </c>
      <c r="EE56">
        <f>IF(AND(ISNUMBER(ED56),逐级计算!$X$134&gt;-1),IF(逐级计算!$X$134=0,ED56+逐级计算!$C$134,ED56+逐级计算!$C$134-(10/(逐级计算!$Q$134*LN(10))*(MAX((LN(10^(逐级计算!$Q$134/10)-1)+逐级计算!$Q$134*(ED56-逐级计算!$P$134)*LN(10)/10),0)+LN(1+EXP(-ABS((LN(10^(逐级计算!$Q$134/10)-1)+逐级计算!$Q$134*(ED56-逐级计算!$P$134)*LN(10)/10))))))),"")</f>
        <v>13.7930365742089</v>
      </c>
      <c r="EF56">
        <f>IF(AND(ISNUMBER(EE56),逐级计算!$X$135&gt;-1),IF(逐级计算!$X$135=0,EE56+逐级计算!$C$135,EE56+逐级计算!$C$135-(10/(逐级计算!$Q$135*LN(10))*(MAX((LN(10^(逐级计算!$Q$135/10)-1)+逐级计算!$Q$135*(EE56-逐级计算!$P$135)*LN(10)/10),0)+LN(1+EXP(-ABS((LN(10^(逐级计算!$Q$135/10)-1)+逐级计算!$Q$135*(EE56-逐级计算!$P$135)*LN(10)/10))))))),"")</f>
        <v>13.7930365742089</v>
      </c>
      <c r="EG56">
        <f>IF(AND(ISNUMBER(EF56),逐级计算!$X$136&gt;-1),IF(逐级计算!$X$136=0,EF56+逐级计算!$C$136,EF56+逐级计算!$C$136-(10/(逐级计算!$Q$136*LN(10))*(MAX((LN(10^(逐级计算!$Q$136/10)-1)+逐级计算!$Q$136*(EF56-逐级计算!$P$136)*LN(10)/10),0)+LN(1+EXP(-ABS((LN(10^(逐级计算!$Q$136/10)-1)+逐级计算!$Q$136*(EF56-逐级计算!$P$136)*LN(10)/10))))))),"")</f>
        <v>13.7930365742089</v>
      </c>
      <c r="EH56">
        <f>IF(AND(ISNUMBER(EG56),逐级计算!$X$137&gt;-1),IF(逐级计算!$X$137=0,EG56+逐级计算!$C$137,EG56+逐级计算!$C$137-(10/(逐级计算!$Q$137*LN(10))*(MAX((LN(10^(逐级计算!$Q$137/10)-1)+逐级计算!$Q$137*(EG56-逐级计算!$P$137)*LN(10)/10),0)+LN(1+EXP(-ABS((LN(10^(逐级计算!$Q$137/10)-1)+逐级计算!$Q$137*(EG56-逐级计算!$P$137)*LN(10)/10))))))),"")</f>
        <v>13.7930365742089</v>
      </c>
      <c r="EI56">
        <f>IF(AND(ISNUMBER(EH56),逐级计算!$X$138&gt;-1),IF(逐级计算!$X$138=0,EH56+逐级计算!$C$138,EH56+逐级计算!$C$138-(10/(逐级计算!$Q$138*LN(10))*(MAX((LN(10^(逐级计算!$Q$138/10)-1)+逐级计算!$Q$138*(EH56-逐级计算!$P$138)*LN(10)/10),0)+LN(1+EXP(-ABS((LN(10^(逐级计算!$Q$138/10)-1)+逐级计算!$Q$138*(EH56-逐级计算!$P$138)*LN(10)/10))))))),"")</f>
        <v>13.7930365742089</v>
      </c>
      <c r="EJ56">
        <f>IF(AND(ISNUMBER(EI56),逐级计算!$X$139&gt;-1),IF(逐级计算!$X$139=0,EI56+逐级计算!$C$139,EI56+逐级计算!$C$139-(10/(逐级计算!$Q$139*LN(10))*(MAX((LN(10^(逐级计算!$Q$139/10)-1)+逐级计算!$Q$139*(EI56-逐级计算!$P$139)*LN(10)/10),0)+LN(1+EXP(-ABS((LN(10^(逐级计算!$Q$139/10)-1)+逐级计算!$Q$139*(EI56-逐级计算!$P$139)*LN(10)/10))))))),"")</f>
        <v>13.7930365742089</v>
      </c>
      <c r="EK56">
        <f>IF(AND(ISNUMBER(EJ56),逐级计算!$X$140&gt;-1),IF(逐级计算!$X$140=0,EJ56+逐级计算!$C$140,EJ56+逐级计算!$C$140-(10/(逐级计算!$Q$140*LN(10))*(MAX((LN(10^(逐级计算!$Q$140/10)-1)+逐级计算!$Q$140*(EJ56-逐级计算!$P$140)*LN(10)/10),0)+LN(1+EXP(-ABS((LN(10^(逐级计算!$Q$140/10)-1)+逐级计算!$Q$140*(EJ56-逐级计算!$P$140)*LN(10)/10))))))),"")</f>
        <v>13.7930365742089</v>
      </c>
      <c r="EL56">
        <f>IF(AND(ISNUMBER(EK56),逐级计算!$X$141&gt;-1),IF(逐级计算!$X$141=0,EK56+逐级计算!$C$141,EK56+逐级计算!$C$141-(10/(逐级计算!$Q$141*LN(10))*(MAX((LN(10^(逐级计算!$Q$141/10)-1)+逐级计算!$Q$141*(EK56-逐级计算!$P$141)*LN(10)/10),0)+LN(1+EXP(-ABS((LN(10^(逐级计算!$Q$141/10)-1)+逐级计算!$Q$141*(EK56-逐级计算!$P$141)*LN(10)/10))))))),"")</f>
        <v>13.7930365742089</v>
      </c>
      <c r="EM56">
        <f>IF(AND(ISNUMBER(EL56),逐级计算!$X$142&gt;-1),IF(逐级计算!$X$142=0,EL56+逐级计算!$C$142,EL56+逐级计算!$C$142-(10/(逐级计算!$Q$142*LN(10))*(MAX((LN(10^(逐级计算!$Q$142/10)-1)+逐级计算!$Q$142*(EL56-逐级计算!$P$142)*LN(10)/10),0)+LN(1+EXP(-ABS((LN(10^(逐级计算!$Q$142/10)-1)+逐级计算!$Q$142*(EL56-逐级计算!$P$142)*LN(10)/10))))))),"")</f>
        <v>13.7930365742089</v>
      </c>
      <c r="EN56">
        <f>IF(AND(ISNUMBER(EM56),逐级计算!$X$143&gt;-1),IF(逐级计算!$X$143=0,EM56+逐级计算!$C$143,EM56+逐级计算!$C$143-(10/(逐级计算!$Q$143*LN(10))*(MAX((LN(10^(逐级计算!$Q$143/10)-1)+逐级计算!$Q$143*(EM56-逐级计算!$P$143)*LN(10)/10),0)+LN(1+EXP(-ABS((LN(10^(逐级计算!$Q$143/10)-1)+逐级计算!$Q$143*(EM56-逐级计算!$P$143)*LN(10)/10))))))),"")</f>
        <v>13.7930365742089</v>
      </c>
      <c r="EO56">
        <f>IF(AND(ISNUMBER(EN56),逐级计算!$X$144&gt;-1),IF(逐级计算!$X$144=0,EN56+逐级计算!$C$144,EN56+逐级计算!$C$144-(10/(逐级计算!$Q$144*LN(10))*(MAX((LN(10^(逐级计算!$Q$144/10)-1)+逐级计算!$Q$144*(EN56-逐级计算!$P$144)*LN(10)/10),0)+LN(1+EXP(-ABS((LN(10^(逐级计算!$Q$144/10)-1)+逐级计算!$Q$144*(EN56-逐级计算!$P$144)*LN(10)/10))))))),"")</f>
        <v>13.7930365742089</v>
      </c>
      <c r="EP56">
        <f>IF(AND(ISNUMBER(EO56),逐级计算!$X$145&gt;-1),IF(逐级计算!$X$145=0,EO56+逐级计算!$C$145,EO56+逐级计算!$C$145-(10/(逐级计算!$Q$145*LN(10))*(MAX((LN(10^(逐级计算!$Q$145/10)-1)+逐级计算!$Q$145*(EO56-逐级计算!$P$145)*LN(10)/10),0)+LN(1+EXP(-ABS((LN(10^(逐级计算!$Q$145/10)-1)+逐级计算!$Q$145*(EO56-逐级计算!$P$145)*LN(10)/10))))))),"")</f>
        <v>13.7930365742089</v>
      </c>
      <c r="EQ56">
        <f>IF(AND(ISNUMBER(EP56),逐级计算!$X$146&gt;-1),IF(逐级计算!$X$146=0,EP56+逐级计算!$C$146,EP56+逐级计算!$C$146-(10/(逐级计算!$Q$146*LN(10))*(MAX((LN(10^(逐级计算!$Q$146/10)-1)+逐级计算!$Q$146*(EP56-逐级计算!$P$146)*LN(10)/10),0)+LN(1+EXP(-ABS((LN(10^(逐级计算!$Q$146/10)-1)+逐级计算!$Q$146*(EP56-逐级计算!$P$146)*LN(10)/10))))))),"")</f>
        <v>13.7930365742089</v>
      </c>
      <c r="ER56">
        <f>IF(AND(ISNUMBER(EQ56),逐级计算!$X$147&gt;-1),IF(逐级计算!$X$147=0,EQ56+逐级计算!$C$147,EQ56+逐级计算!$C$147-(10/(逐级计算!$Q$147*LN(10))*(MAX((LN(10^(逐级计算!$Q$147/10)-1)+逐级计算!$Q$147*(EQ56-逐级计算!$P$147)*LN(10)/10),0)+LN(1+EXP(-ABS((LN(10^(逐级计算!$Q$147/10)-1)+逐级计算!$Q$147*(EQ56-逐级计算!$P$147)*LN(10)/10))))))),"")</f>
        <v>13.7930365742089</v>
      </c>
      <c r="ES56">
        <f>IF(AND(ISNUMBER(ER56),逐级计算!$X$148&gt;-1),IF(逐级计算!$X$148=0,ER56+逐级计算!$C$148,ER56+逐级计算!$C$148-(10/(逐级计算!$Q$148*LN(10))*(MAX((LN(10^(逐级计算!$Q$148/10)-1)+逐级计算!$Q$148*(ER56-逐级计算!$P$148)*LN(10)/10),0)+LN(1+EXP(-ABS((LN(10^(逐级计算!$Q$148/10)-1)+逐级计算!$Q$148*(ER56-逐级计算!$P$148)*LN(10)/10))))))),"")</f>
        <v>13.7930365742089</v>
      </c>
      <c r="ET56">
        <f>IF(AND(ISNUMBER(ES56),逐级计算!$X$149&gt;-1),IF(逐级计算!$X$149=0,ES56+逐级计算!$C$149,ES56+逐级计算!$C$149-(10/(逐级计算!$Q$149*LN(10))*(MAX((LN(10^(逐级计算!$Q$149/10)-1)+逐级计算!$Q$149*(ES56-逐级计算!$P$149)*LN(10)/10),0)+LN(1+EXP(-ABS((LN(10^(逐级计算!$Q$149/10)-1)+逐级计算!$Q$149*(ES56-逐级计算!$P$149)*LN(10)/10))))))),"")</f>
        <v>13.7930365742089</v>
      </c>
      <c r="EU56">
        <f>IF(AND(ISNUMBER(ET56),逐级计算!$X$150&gt;-1),IF(逐级计算!$X$150=0,ET56+逐级计算!$C$150,ET56+逐级计算!$C$150-(10/(逐级计算!$Q$150*LN(10))*(MAX((LN(10^(逐级计算!$Q$150/10)-1)+逐级计算!$Q$150*(ET56-逐级计算!$P$150)*LN(10)/10),0)+LN(1+EXP(-ABS((LN(10^(逐级计算!$Q$150/10)-1)+逐级计算!$Q$150*(ET56-逐级计算!$P$150)*LN(10)/10))))))),"")</f>
        <v>13.7930365742089</v>
      </c>
      <c r="EV56">
        <f>IF(AND(ISNUMBER(EU56),逐级计算!$X$151&gt;-1),IF(逐级计算!$X$151=0,EU56+逐级计算!$C$151,EU56+逐级计算!$C$151-(10/(逐级计算!$Q$151*LN(10))*(MAX((LN(10^(逐级计算!$Q$151/10)-1)+逐级计算!$Q$151*(EU56-逐级计算!$P$151)*LN(10)/10),0)+LN(1+EXP(-ABS((LN(10^(逐级计算!$Q$151/10)-1)+逐级计算!$Q$151*(EU56-逐级计算!$P$151)*LN(10)/10))))))),"")</f>
        <v>13.7930365742089</v>
      </c>
      <c r="EW56">
        <f>IF(AND(ISNUMBER(EV56),逐级计算!$X$152&gt;-1),IF(逐级计算!$X$152=0,EV56+逐级计算!$C$152,EV56+逐级计算!$C$152-(10/(逐级计算!$Q$152*LN(10))*(MAX((LN(10^(逐级计算!$Q$152/10)-1)+逐级计算!$Q$152*(EV56-逐级计算!$P$152)*LN(10)/10),0)+LN(1+EXP(-ABS((LN(10^(逐级计算!$Q$152/10)-1)+逐级计算!$Q$152*(EV56-逐级计算!$P$152)*LN(10)/10))))))),"")</f>
        <v>13.7930365742089</v>
      </c>
      <c r="EX56">
        <f>IF(AND(ISNUMBER(EW56),逐级计算!$X$153&gt;-1),IF(逐级计算!$X$153=0,EW56+逐级计算!$C$153,EW56+逐级计算!$C$153-(10/(逐级计算!$Q$153*LN(10))*(MAX((LN(10^(逐级计算!$Q$153/10)-1)+逐级计算!$Q$153*(EW56-逐级计算!$P$153)*LN(10)/10),0)+LN(1+EXP(-ABS((LN(10^(逐级计算!$Q$153/10)-1)+逐级计算!$Q$153*(EW56-逐级计算!$P$153)*LN(10)/10))))))),"")</f>
        <v>13.7930365742089</v>
      </c>
      <c r="EY56">
        <f>IF(AND(ISNUMBER(EX56),逐级计算!$X$154&gt;-1),IF(逐级计算!$X$154=0,EX56+逐级计算!$C$154,EX56+逐级计算!$C$154-(10/(逐级计算!$Q$154*LN(10))*(MAX((LN(10^(逐级计算!$Q$154/10)-1)+逐级计算!$Q$154*(EX56-逐级计算!$P$154)*LN(10)/10),0)+LN(1+EXP(-ABS((LN(10^(逐级计算!$Q$154/10)-1)+逐级计算!$Q$154*(EX56-逐级计算!$P$154)*LN(10)/10))))))),"")</f>
        <v>13.7930365742089</v>
      </c>
      <c r="EZ56">
        <f>IF(AND(ISNUMBER(EY56),逐级计算!$X$155&gt;-1),IF(逐级计算!$X$155=0,EY56+逐级计算!$C$155,EY56+逐级计算!$C$155-(10/(逐级计算!$Q$155*LN(10))*(MAX((LN(10^(逐级计算!$Q$155/10)-1)+逐级计算!$Q$155*(EY56-逐级计算!$P$155)*LN(10)/10),0)+LN(1+EXP(-ABS((LN(10^(逐级计算!$Q$155/10)-1)+逐级计算!$Q$155*(EY56-逐级计算!$P$155)*LN(10)/10))))))),"")</f>
        <v>13.7930365742089</v>
      </c>
      <c r="FA56">
        <f>IF(AND(ISNUMBER(EZ56),逐级计算!$X$156&gt;-1),IF(逐级计算!$X$156=0,EZ56+逐级计算!$C$156,EZ56+逐级计算!$C$156-(10/(逐级计算!$Q$156*LN(10))*(MAX((LN(10^(逐级计算!$Q$156/10)-1)+逐级计算!$Q$156*(EZ56-逐级计算!$P$156)*LN(10)/10),0)+LN(1+EXP(-ABS((LN(10^(逐级计算!$Q$156/10)-1)+逐级计算!$Q$156*(EZ56-逐级计算!$P$156)*LN(10)/10))))))),"")</f>
        <v>13.7930365742089</v>
      </c>
      <c r="FB56">
        <f>IF(AND(ISNUMBER(FA56),逐级计算!$X$157&gt;-1),IF(逐级计算!$X$157=0,FA56+逐级计算!$C$157,FA56+逐级计算!$C$157-(10/(逐级计算!$Q$157*LN(10))*(MAX((LN(10^(逐级计算!$Q$157/10)-1)+逐级计算!$Q$157*(FA56-逐级计算!$P$157)*LN(10)/10),0)+LN(1+EXP(-ABS((LN(10^(逐级计算!$Q$157/10)-1)+逐级计算!$Q$157*(FA56-逐级计算!$P$157)*LN(10)/10))))))),"")</f>
        <v>13.7930365742089</v>
      </c>
      <c r="FC56">
        <f>IF(AND(ISNUMBER(FB56),逐级计算!$X$158&gt;-1),IF(逐级计算!$X$158=0,FB56+逐级计算!$C$158,FB56+逐级计算!$C$158-(10/(逐级计算!$Q$158*LN(10))*(MAX((LN(10^(逐级计算!$Q$158/10)-1)+逐级计算!$Q$158*(FB56-逐级计算!$P$158)*LN(10)/10),0)+LN(1+EXP(-ABS((LN(10^(逐级计算!$Q$158/10)-1)+逐级计算!$Q$158*(FB56-逐级计算!$P$158)*LN(10)/10))))))),"")</f>
        <v>13.7930365742089</v>
      </c>
      <c r="FD56">
        <f>IF(AND(ISNUMBER(FC56),逐级计算!$X$159&gt;-1),IF(逐级计算!$X$159=0,FC56+逐级计算!$C$159,FC56+逐级计算!$C$159-(10/(逐级计算!$Q$159*LN(10))*(MAX((LN(10^(逐级计算!$Q$159/10)-1)+逐级计算!$Q$159*(FC56-逐级计算!$P$159)*LN(10)/10),0)+LN(1+EXP(-ABS((LN(10^(逐级计算!$Q$159/10)-1)+逐级计算!$Q$159*(FC56-逐级计算!$P$159)*LN(10)/10))))))),"")</f>
        <v>13.7930365742089</v>
      </c>
      <c r="FE56">
        <f>IF(AND(ISNUMBER(FD56),逐级计算!$X$160&gt;-1),IF(逐级计算!$X$160=0,FD56+逐级计算!$C$160,FD56+逐级计算!$C$160-(10/(逐级计算!$Q$160*LN(10))*(MAX((LN(10^(逐级计算!$Q$160/10)-1)+逐级计算!$Q$160*(FD56-逐级计算!$P$160)*LN(10)/10),0)+LN(1+EXP(-ABS((LN(10^(逐级计算!$Q$160/10)-1)+逐级计算!$Q$160*(FD56-逐级计算!$P$160)*LN(10)/10))))))),"")</f>
        <v>13.7930365742089</v>
      </c>
      <c r="FF56">
        <f>IF(AND(ISNUMBER(FE56),逐级计算!$X$161&gt;-1),IF(逐级计算!$X$161=0,FE56+逐级计算!$C$161,FE56+逐级计算!$C$161-(10/(逐级计算!$Q$161*LN(10))*(MAX((LN(10^(逐级计算!$Q$161/10)-1)+逐级计算!$Q$161*(FE56-逐级计算!$P$161)*LN(10)/10),0)+LN(1+EXP(-ABS((LN(10^(逐级计算!$Q$161/10)-1)+逐级计算!$Q$161*(FE56-逐级计算!$P$161)*LN(10)/10))))))),"")</f>
        <v>13.7930365742089</v>
      </c>
      <c r="FG56">
        <f>IF(AND(ISNUMBER(FF56),逐级计算!$X$162&gt;-1),IF(逐级计算!$X$162=0,FF56+逐级计算!$C$162,FF56+逐级计算!$C$162-(10/(逐级计算!$Q$162*LN(10))*(MAX((LN(10^(逐级计算!$Q$162/10)-1)+逐级计算!$Q$162*(FF56-逐级计算!$P$162)*LN(10)/10),0)+LN(1+EXP(-ABS((LN(10^(逐级计算!$Q$162/10)-1)+逐级计算!$Q$162*(FF56-逐级计算!$P$162)*LN(10)/10))))))),"")</f>
        <v>13.7930365742089</v>
      </c>
      <c r="FH56">
        <f>IF(AND(ISNUMBER(FG56),逐级计算!$X$163&gt;-1),IF(逐级计算!$X$163=0,FG56+逐级计算!$C$163,FG56+逐级计算!$C$163-(10/(逐级计算!$Q$163*LN(10))*(MAX((LN(10^(逐级计算!$Q$163/10)-1)+逐级计算!$Q$163*(FG56-逐级计算!$P$163)*LN(10)/10),0)+LN(1+EXP(-ABS((LN(10^(逐级计算!$Q$163/10)-1)+逐级计算!$Q$163*(FG56-逐级计算!$P$163)*LN(10)/10))))))),"")</f>
        <v>13.7930365742089</v>
      </c>
      <c r="FI56">
        <f>IF(AND(ISNUMBER(FH56),逐级计算!$X$164&gt;-1),IF(逐级计算!$X$164=0,FH56+逐级计算!$C$164,FH56+逐级计算!$C$164-(10/(逐级计算!$Q$164*LN(10))*(MAX((LN(10^(逐级计算!$Q$164/10)-1)+逐级计算!$Q$164*(FH56-逐级计算!$P$164)*LN(10)/10),0)+LN(1+EXP(-ABS((LN(10^(逐级计算!$Q$164/10)-1)+逐级计算!$Q$164*(FH56-逐级计算!$P$164)*LN(10)/10))))))),"")</f>
        <v>13.7930365742089</v>
      </c>
      <c r="FJ56">
        <f>IF(AND(ISNUMBER(FI56),逐级计算!$X$165&gt;-1),IF(逐级计算!$X$165=0,FI56+逐级计算!$C$165,FI56+逐级计算!$C$165-(10/(逐级计算!$Q$165*LN(10))*(MAX((LN(10^(逐级计算!$Q$165/10)-1)+逐级计算!$Q$165*(FI56-逐级计算!$P$165)*LN(10)/10),0)+LN(1+EXP(-ABS((LN(10^(逐级计算!$Q$165/10)-1)+逐级计算!$Q$165*(FI56-逐级计算!$P$165)*LN(10)/10))))))),"")</f>
        <v>13.7930365742089</v>
      </c>
      <c r="FK56">
        <f>IF(AND(ISNUMBER(FJ56),逐级计算!$X$166&gt;-1),IF(逐级计算!$X$166=0,FJ56+逐级计算!$C$166,FJ56+逐级计算!$C$166-(10/(逐级计算!$Q$166*LN(10))*(MAX((LN(10^(逐级计算!$Q$166/10)-1)+逐级计算!$Q$166*(FJ56-逐级计算!$P$166)*LN(10)/10),0)+LN(1+EXP(-ABS((LN(10^(逐级计算!$Q$166/10)-1)+逐级计算!$Q$166*(FJ56-逐级计算!$P$166)*LN(10)/10))))))),"")</f>
        <v>13.7930365742089</v>
      </c>
      <c r="FL56">
        <f>IF(AND(ISNUMBER(FK56),逐级计算!$X$167&gt;-1),IF(逐级计算!$X$167=0,FK56+逐级计算!$C$167,FK56+逐级计算!$C$167-(10/(逐级计算!$Q$167*LN(10))*(MAX((LN(10^(逐级计算!$Q$167/10)-1)+逐级计算!$Q$167*(FK56-逐级计算!$P$167)*LN(10)/10),0)+LN(1+EXP(-ABS((LN(10^(逐级计算!$Q$167/10)-1)+逐级计算!$Q$167*(FK56-逐级计算!$P$167)*LN(10)/10))))))),"")</f>
        <v>13.7930365742089</v>
      </c>
      <c r="FM56">
        <f>IF(AND(ISNUMBER(FL56),逐级计算!$X$168&gt;-1),IF(逐级计算!$X$168=0,FL56+逐级计算!$C$168,FL56+逐级计算!$C$168-(10/(逐级计算!$Q$168*LN(10))*(MAX((LN(10^(逐级计算!$Q$168/10)-1)+逐级计算!$Q$168*(FL56-逐级计算!$P$168)*LN(10)/10),0)+LN(1+EXP(-ABS((LN(10^(逐级计算!$Q$168/10)-1)+逐级计算!$Q$168*(FL56-逐级计算!$P$168)*LN(10)/10))))))),"")</f>
        <v>13.7930365742089</v>
      </c>
      <c r="FN56">
        <f>IF(AND(ISNUMBER(FM56),逐级计算!$X$169&gt;-1),IF(逐级计算!$X$169=0,FM56+逐级计算!$C$169,FM56+逐级计算!$C$169-(10/(逐级计算!$Q$169*LN(10))*(MAX((LN(10^(逐级计算!$Q$169/10)-1)+逐级计算!$Q$169*(FM56-逐级计算!$P$169)*LN(10)/10),0)+LN(1+EXP(-ABS((LN(10^(逐级计算!$Q$169/10)-1)+逐级计算!$Q$169*(FM56-逐级计算!$P$169)*LN(10)/10))))))),"")</f>
        <v>13.7930365742089</v>
      </c>
      <c r="FO56">
        <f>IF(AND(ISNUMBER(FN56),逐级计算!$X$170&gt;-1),IF(逐级计算!$X$170=0,FN56+逐级计算!$C$170,FN56+逐级计算!$C$170-(10/(逐级计算!$Q$170*LN(10))*(MAX((LN(10^(逐级计算!$Q$170/10)-1)+逐级计算!$Q$170*(FN56-逐级计算!$P$170)*LN(10)/10),0)+LN(1+EXP(-ABS((LN(10^(逐级计算!$Q$170/10)-1)+逐级计算!$Q$170*(FN56-逐级计算!$P$170)*LN(10)/10))))))),"")</f>
        <v>13.7930365742089</v>
      </c>
      <c r="FP56">
        <f>IF(AND(ISNUMBER(FO56),逐级计算!$X$171&gt;-1),IF(逐级计算!$X$171=0,FO56+逐级计算!$C$171,FO56+逐级计算!$C$171-(10/(逐级计算!$Q$171*LN(10))*(MAX((LN(10^(逐级计算!$Q$171/10)-1)+逐级计算!$Q$171*(FO56-逐级计算!$P$171)*LN(10)/10),0)+LN(1+EXP(-ABS((LN(10^(逐级计算!$Q$171/10)-1)+逐级计算!$Q$171*(FO56-逐级计算!$P$171)*LN(10)/10))))))),"")</f>
        <v>13.7930365742089</v>
      </c>
      <c r="FQ56">
        <f>IF(AND(ISNUMBER(FP56),逐级计算!$X$172&gt;-1),IF(逐级计算!$X$172=0,FP56+逐级计算!$C$172,FP56+逐级计算!$C$172-(10/(逐级计算!$Q$172*LN(10))*(MAX((LN(10^(逐级计算!$Q$172/10)-1)+逐级计算!$Q$172*(FP56-逐级计算!$P$172)*LN(10)/10),0)+LN(1+EXP(-ABS((LN(10^(逐级计算!$Q$172/10)-1)+逐级计算!$Q$172*(FP56-逐级计算!$P$172)*LN(10)/10))))))),"")</f>
        <v>13.7930365742089</v>
      </c>
      <c r="FR56">
        <f>IF(AND(ISNUMBER(FQ56),逐级计算!$X$173&gt;-1),IF(逐级计算!$X$173=0,FQ56+逐级计算!$C$173,FQ56+逐级计算!$C$173-(10/(逐级计算!$Q$173*LN(10))*(MAX((LN(10^(逐级计算!$Q$173/10)-1)+逐级计算!$Q$173*(FQ56-逐级计算!$P$173)*LN(10)/10),0)+LN(1+EXP(-ABS((LN(10^(逐级计算!$Q$173/10)-1)+逐级计算!$Q$173*(FQ56-逐级计算!$P$173)*LN(10)/10))))))),"")</f>
        <v>13.7930365742089</v>
      </c>
      <c r="FS56">
        <f>IF(AND(ISNUMBER(FR56),逐级计算!$X$174&gt;-1),IF(逐级计算!$X$174=0,FR56+逐级计算!$C$174,FR56+逐级计算!$C$174-(10/(逐级计算!$Q$174*LN(10))*(MAX((LN(10^(逐级计算!$Q$174/10)-1)+逐级计算!$Q$174*(FR56-逐级计算!$P$174)*LN(10)/10),0)+LN(1+EXP(-ABS((LN(10^(逐级计算!$Q$174/10)-1)+逐级计算!$Q$174*(FR56-逐级计算!$P$174)*LN(10)/10))))))),"")</f>
        <v>13.7930365742089</v>
      </c>
      <c r="FT56">
        <f>IF(AND(ISNUMBER(FS56),逐级计算!$X$175&gt;-1),IF(逐级计算!$X$175=0,FS56+逐级计算!$C$175,FS56+逐级计算!$C$175-(10/(逐级计算!$Q$175*LN(10))*(MAX((LN(10^(逐级计算!$Q$175/10)-1)+逐级计算!$Q$175*(FS56-逐级计算!$P$175)*LN(10)/10),0)+LN(1+EXP(-ABS((LN(10^(逐级计算!$Q$175/10)-1)+逐级计算!$Q$175*(FS56-逐级计算!$P$175)*LN(10)/10))))))),"")</f>
        <v>13.7930365742089</v>
      </c>
      <c r="FU56">
        <f>IF(AND(ISNUMBER(FT56),逐级计算!$X$176&gt;-1),IF(逐级计算!$X$176=0,FT56+逐级计算!$C$176,FT56+逐级计算!$C$176-(10/(逐级计算!$Q$176*LN(10))*(MAX((LN(10^(逐级计算!$Q$176/10)-1)+逐级计算!$Q$176*(FT56-逐级计算!$P$176)*LN(10)/10),0)+LN(1+EXP(-ABS((LN(10^(逐级计算!$Q$176/10)-1)+逐级计算!$Q$176*(FT56-逐级计算!$P$176)*LN(10)/10))))))),"")</f>
        <v>13.7930365742089</v>
      </c>
      <c r="FV56">
        <f>IF(AND(ISNUMBER(FU56),逐级计算!$X$177&gt;-1),IF(逐级计算!$X$177=0,FU56+逐级计算!$C$177,FU56+逐级计算!$C$177-(10/(逐级计算!$Q$177*LN(10))*(MAX((LN(10^(逐级计算!$Q$177/10)-1)+逐级计算!$Q$177*(FU56-逐级计算!$P$177)*LN(10)/10),0)+LN(1+EXP(-ABS((LN(10^(逐级计算!$Q$177/10)-1)+逐级计算!$Q$177*(FU56-逐级计算!$P$177)*LN(10)/10))))))),"")</f>
        <v>13.7930365742089</v>
      </c>
      <c r="FW56">
        <f>IF(AND(ISNUMBER(FV56),逐级计算!$X$178&gt;-1),IF(逐级计算!$X$178=0,FV56+逐级计算!$C$178,FV56+逐级计算!$C$178-(10/(逐级计算!$Q$178*LN(10))*(MAX((LN(10^(逐级计算!$Q$178/10)-1)+逐级计算!$Q$178*(FV56-逐级计算!$P$178)*LN(10)/10),0)+LN(1+EXP(-ABS((LN(10^(逐级计算!$Q$178/10)-1)+逐级计算!$Q$178*(FV56-逐级计算!$P$178)*LN(10)/10))))))),"")</f>
        <v>13.7930365742089</v>
      </c>
      <c r="FX56">
        <f>IF(AND(ISNUMBER(FW56),逐级计算!$X$179&gt;-1),IF(逐级计算!$X$179=0,FW56+逐级计算!$C$179,FW56+逐级计算!$C$179-(10/(逐级计算!$Q$179*LN(10))*(MAX((LN(10^(逐级计算!$Q$179/10)-1)+逐级计算!$Q$179*(FW56-逐级计算!$P$179)*LN(10)/10),0)+LN(1+EXP(-ABS((LN(10^(逐级计算!$Q$179/10)-1)+逐级计算!$Q$179*(FW56-逐级计算!$P$179)*LN(10)/10))))))),"")</f>
        <v>13.7930365742089</v>
      </c>
      <c r="FY56">
        <f>IF(AND(ISNUMBER(FX56),逐级计算!$X$180&gt;-1),IF(逐级计算!$X$180=0,FX56+逐级计算!$C$180,FX56+逐级计算!$C$180-(10/(逐级计算!$Q$180*LN(10))*(MAX((LN(10^(逐级计算!$Q$180/10)-1)+逐级计算!$Q$180*(FX56-逐级计算!$P$180)*LN(10)/10),0)+LN(1+EXP(-ABS((LN(10^(逐级计算!$Q$180/10)-1)+逐级计算!$Q$180*(FX56-逐级计算!$P$180)*LN(10)/10))))))),"")</f>
        <v>13.7930365742089</v>
      </c>
      <c r="FZ56">
        <f>IF(AND(ISNUMBER(FY56),逐级计算!$X$181&gt;-1),IF(逐级计算!$X$181=0,FY56+逐级计算!$C$181,FY56+逐级计算!$C$181-(10/(逐级计算!$Q$181*LN(10))*(MAX((LN(10^(逐级计算!$Q$181/10)-1)+逐级计算!$Q$181*(FY56-逐级计算!$P$181)*LN(10)/10),0)+LN(1+EXP(-ABS((LN(10^(逐级计算!$Q$181/10)-1)+逐级计算!$Q$181*(FY56-逐级计算!$P$181)*LN(10)/10))))))),"")</f>
        <v>13.7930365742089</v>
      </c>
      <c r="GA56">
        <f>IF(AND(ISNUMBER(FZ56),逐级计算!$X$182&gt;-1),IF(逐级计算!$X$182=0,FZ56+逐级计算!$C$182,FZ56+逐级计算!$C$182-(10/(逐级计算!$Q$182*LN(10))*(MAX((LN(10^(逐级计算!$Q$182/10)-1)+逐级计算!$Q$182*(FZ56-逐级计算!$P$182)*LN(10)/10),0)+LN(1+EXP(-ABS((LN(10^(逐级计算!$Q$182/10)-1)+逐级计算!$Q$182*(FZ56-逐级计算!$P$182)*LN(10)/10))))))),"")</f>
        <v>13.7930365742089</v>
      </c>
      <c r="GB56">
        <f>IF(AND(ISNUMBER(GA56),逐级计算!$X$183&gt;-1),IF(逐级计算!$X$183=0,GA56+逐级计算!$C$183,GA56+逐级计算!$C$183-(10/(逐级计算!$Q$183*LN(10))*(MAX((LN(10^(逐级计算!$Q$183/10)-1)+逐级计算!$Q$183*(GA56-逐级计算!$P$183)*LN(10)/10),0)+LN(1+EXP(-ABS((LN(10^(逐级计算!$Q$183/10)-1)+逐级计算!$Q$183*(GA56-逐级计算!$P$183)*LN(10)/10))))))),"")</f>
        <v>13.7930365742089</v>
      </c>
      <c r="GC56">
        <f>IF(AND(ISNUMBER(GB56),逐级计算!$X$184&gt;-1),IF(逐级计算!$X$184=0,GB56+逐级计算!$C$184,GB56+逐级计算!$C$184-(10/(逐级计算!$Q$184*LN(10))*(MAX((LN(10^(逐级计算!$Q$184/10)-1)+逐级计算!$Q$184*(GB56-逐级计算!$P$184)*LN(10)/10),0)+LN(1+EXP(-ABS((LN(10^(逐级计算!$Q$184/10)-1)+逐级计算!$Q$184*(GB56-逐级计算!$P$184)*LN(10)/10))))))),"")</f>
        <v>13.7930365742089</v>
      </c>
      <c r="GD56">
        <f>IF(AND(ISNUMBER(GC56),逐级计算!$X$185&gt;-1),IF(逐级计算!$X$185=0,GC56+逐级计算!$C$185,GC56+逐级计算!$C$185-(10/(逐级计算!$Q$185*LN(10))*(MAX((LN(10^(逐级计算!$Q$185/10)-1)+逐级计算!$Q$185*(GC56-逐级计算!$P$185)*LN(10)/10),0)+LN(1+EXP(-ABS((LN(10^(逐级计算!$Q$185/10)-1)+逐级计算!$Q$185*(GC56-逐级计算!$P$185)*LN(10)/10))))))),"")</f>
        <v>13.7930365742089</v>
      </c>
      <c r="GE56">
        <f>IF(AND(ISNUMBER(GD56),逐级计算!$X$186&gt;-1),IF(逐级计算!$X$186=0,GD56+逐级计算!$C$186,GD56+逐级计算!$C$186-(10/(逐级计算!$Q$186*LN(10))*(MAX((LN(10^(逐级计算!$Q$186/10)-1)+逐级计算!$Q$186*(GD56-逐级计算!$P$186)*LN(10)/10),0)+LN(1+EXP(-ABS((LN(10^(逐级计算!$Q$186/10)-1)+逐级计算!$Q$186*(GD56-逐级计算!$P$186)*LN(10)/10))))))),"")</f>
        <v>13.7930365742089</v>
      </c>
      <c r="GF56">
        <f>IF(AND(ISNUMBER(GE56),逐级计算!$X$187&gt;-1),IF(逐级计算!$X$187=0,GE56+逐级计算!$C$187,GE56+逐级计算!$C$187-(10/(逐级计算!$Q$187*LN(10))*(MAX((LN(10^(逐级计算!$Q$187/10)-1)+逐级计算!$Q$187*(GE56-逐级计算!$P$187)*LN(10)/10),0)+LN(1+EXP(-ABS((LN(10^(逐级计算!$Q$187/10)-1)+逐级计算!$Q$187*(GE56-逐级计算!$P$187)*LN(10)/10))))))),"")</f>
        <v>13.7930365742089</v>
      </c>
      <c r="GG56">
        <f>IF(AND(ISNUMBER(GF56),逐级计算!$X$188&gt;-1),IF(逐级计算!$X$188=0,GF56+逐级计算!$C$188,GF56+逐级计算!$C$188-(10/(逐级计算!$Q$188*LN(10))*(MAX((LN(10^(逐级计算!$Q$188/10)-1)+逐级计算!$Q$188*(GF56-逐级计算!$P$188)*LN(10)/10),0)+LN(1+EXP(-ABS((LN(10^(逐级计算!$Q$188/10)-1)+逐级计算!$Q$188*(GF56-逐级计算!$P$188)*LN(10)/10))))))),"")</f>
        <v>13.7930365742089</v>
      </c>
      <c r="GH56">
        <f>IF(AND(ISNUMBER(GG56),逐级计算!$X$189&gt;-1),IF(逐级计算!$X$189=0,GG56+逐级计算!$C$189,GG56+逐级计算!$C$189-(10/(逐级计算!$Q$189*LN(10))*(MAX((LN(10^(逐级计算!$Q$189/10)-1)+逐级计算!$Q$189*(GG56-逐级计算!$P$189)*LN(10)/10),0)+LN(1+EXP(-ABS((LN(10^(逐级计算!$Q$189/10)-1)+逐级计算!$Q$189*(GG56-逐级计算!$P$189)*LN(10)/10))))))),"")</f>
        <v>13.7930365742089</v>
      </c>
      <c r="GI56">
        <f>IF(AND(ISNUMBER(GH56),逐级计算!$X$190&gt;-1),IF(逐级计算!$X$190=0,GH56+逐级计算!$C$190,GH56+逐级计算!$C$190-(10/(逐级计算!$Q$190*LN(10))*(MAX((LN(10^(逐级计算!$Q$190/10)-1)+逐级计算!$Q$190*(GH56-逐级计算!$P$190)*LN(10)/10),0)+LN(1+EXP(-ABS((LN(10^(逐级计算!$Q$190/10)-1)+逐级计算!$Q$190*(GH56-逐级计算!$P$190)*LN(10)/10))))))),"")</f>
        <v>13.7930365742089</v>
      </c>
      <c r="GJ56">
        <f>IF(AND(ISNUMBER(GI56),逐级计算!$X$191&gt;-1),IF(逐级计算!$X$191=0,GI56+逐级计算!$C$191,GI56+逐级计算!$C$191-(10/(逐级计算!$Q$191*LN(10))*(MAX((LN(10^(逐级计算!$Q$191/10)-1)+逐级计算!$Q$191*(GI56-逐级计算!$P$191)*LN(10)/10),0)+LN(1+EXP(-ABS((LN(10^(逐级计算!$Q$191/10)-1)+逐级计算!$Q$191*(GI56-逐级计算!$P$191)*LN(10)/10))))))),"")</f>
        <v>13.7930365742089</v>
      </c>
      <c r="GK56">
        <f>IF(AND(ISNUMBER(GJ56),逐级计算!$X$192&gt;-1),IF(逐级计算!$X$192=0,GJ56+逐级计算!$C$192,GJ56+逐级计算!$C$192-(10/(逐级计算!$Q$192*LN(10))*(MAX((LN(10^(逐级计算!$Q$192/10)-1)+逐级计算!$Q$192*(GJ56-逐级计算!$P$192)*LN(10)/10),0)+LN(1+EXP(-ABS((LN(10^(逐级计算!$Q$192/10)-1)+逐级计算!$Q$192*(GJ56-逐级计算!$P$192)*LN(10)/10))))))),"")</f>
        <v>13.7930365742089</v>
      </c>
      <c r="GL56">
        <f>IF(AND(ISNUMBER(GK56),逐级计算!$X$193&gt;-1),IF(逐级计算!$X$193=0,GK56+逐级计算!$C$193,GK56+逐级计算!$C$193-(10/(逐级计算!$Q$193*LN(10))*(MAX((LN(10^(逐级计算!$Q$193/10)-1)+逐级计算!$Q$193*(GK56-逐级计算!$P$193)*LN(10)/10),0)+LN(1+EXP(-ABS((LN(10^(逐级计算!$Q$193/10)-1)+逐级计算!$Q$193*(GK56-逐级计算!$P$193)*LN(10)/10))))))),"")</f>
        <v>13.7930365742089</v>
      </c>
      <c r="GM56">
        <f>IF(AND(ISNUMBER(GL56),逐级计算!$X$194&gt;-1),IF(逐级计算!$X$194=0,GL56+逐级计算!$C$194,GL56+逐级计算!$C$194-(10/(逐级计算!$Q$194*LN(10))*(MAX((LN(10^(逐级计算!$Q$194/10)-1)+逐级计算!$Q$194*(GL56-逐级计算!$P$194)*LN(10)/10),0)+LN(1+EXP(-ABS((LN(10^(逐级计算!$Q$194/10)-1)+逐级计算!$Q$194*(GL56-逐级计算!$P$194)*LN(10)/10))))))),"")</f>
        <v>13.7930365742089</v>
      </c>
      <c r="GN56">
        <f>IF(AND(ISNUMBER(GM56),逐级计算!$X$195&gt;-1),IF(逐级计算!$X$195=0,GM56+逐级计算!$C$195,GM56+逐级计算!$C$195-(10/(逐级计算!$Q$195*LN(10))*(MAX((LN(10^(逐级计算!$Q$195/10)-1)+逐级计算!$Q$195*(GM56-逐级计算!$P$195)*LN(10)/10),0)+LN(1+EXP(-ABS((LN(10^(逐级计算!$Q$195/10)-1)+逐级计算!$Q$195*(GM56-逐级计算!$P$195)*LN(10)/10))))))),"")</f>
        <v>13.7930365742089</v>
      </c>
      <c r="GO56">
        <f>IF(AND(ISNUMBER(GN56),逐级计算!$X$196&gt;-1),IF(逐级计算!$X$196=0,GN56+逐级计算!$C$196,GN56+逐级计算!$C$196-(10/(逐级计算!$Q$196*LN(10))*(MAX((LN(10^(逐级计算!$Q$196/10)-1)+逐级计算!$Q$196*(GN56-逐级计算!$P$196)*LN(10)/10),0)+LN(1+EXP(-ABS((LN(10^(逐级计算!$Q$196/10)-1)+逐级计算!$Q$196*(GN56-逐级计算!$P$196)*LN(10)/10))))))),"")</f>
        <v>13.7930365742089</v>
      </c>
      <c r="GP56">
        <f>IF(AND(ISNUMBER(GO56),逐级计算!$X$197&gt;-1),IF(逐级计算!$X$197=0,GO56+逐级计算!$C$197,GO56+逐级计算!$C$197-(10/(逐级计算!$Q$197*LN(10))*(MAX((LN(10^(逐级计算!$Q$197/10)-1)+逐级计算!$Q$197*(GO56-逐级计算!$P$197)*LN(10)/10),0)+LN(1+EXP(-ABS((LN(10^(逐级计算!$Q$197/10)-1)+逐级计算!$Q$197*(GO56-逐级计算!$P$197)*LN(10)/10))))))),"")</f>
        <v>13.7930365742089</v>
      </c>
      <c r="GQ56">
        <f>IF(AND(ISNUMBER(GP56),逐级计算!$X$198&gt;-1),IF(逐级计算!$X$198=0,GP56+逐级计算!$C$198,GP56+逐级计算!$C$198-(10/(逐级计算!$Q$198*LN(10))*(MAX((LN(10^(逐级计算!$Q$198/10)-1)+逐级计算!$Q$198*(GP56-逐级计算!$P$198)*LN(10)/10),0)+LN(1+EXP(-ABS((LN(10^(逐级计算!$Q$198/10)-1)+逐级计算!$Q$198*(GP56-逐级计算!$P$198)*LN(10)/10))))))),"")</f>
        <v>13.7930365742089</v>
      </c>
      <c r="GR56">
        <f>IF(AND(ISNUMBER(GQ56),逐级计算!$X$199&gt;-1),IF(逐级计算!$X$199=0,GQ56+逐级计算!$C$199,GQ56+逐级计算!$C$199-(10/(逐级计算!$Q$199*LN(10))*(MAX((LN(10^(逐级计算!$Q$199/10)-1)+逐级计算!$Q$199*(GQ56-逐级计算!$P$199)*LN(10)/10),0)+LN(1+EXP(-ABS((LN(10^(逐级计算!$Q$199/10)-1)+逐级计算!$Q$199*(GQ56-逐级计算!$P$199)*LN(10)/10))))))),"")</f>
        <v>13.7930365742089</v>
      </c>
      <c r="GS56">
        <f>IF(AND(ISNUMBER(GR56),逐级计算!$X$200&gt;-1),IF(逐级计算!$X$200=0,GR56+逐级计算!$C$200,GR56+逐级计算!$C$200-(10/(逐级计算!$Q$200*LN(10))*(MAX((LN(10^(逐级计算!$Q$200/10)-1)+逐级计算!$Q$200*(GR56-逐级计算!$P$200)*LN(10)/10),0)+LN(1+EXP(-ABS((LN(10^(逐级计算!$Q$200/10)-1)+逐级计算!$Q$200*(GR56-逐级计算!$P$200)*LN(10)/10))))))),"")</f>
        <v>13.7930365742089</v>
      </c>
      <c r="GT56">
        <f>IF(AND(ISNUMBER(GS56),逐级计算!$X$201&gt;-1),IF(逐级计算!$X$201=0,GS56+逐级计算!$C$201,GS56+逐级计算!$C$201-(10/(逐级计算!$Q$201*LN(10))*(MAX((LN(10^(逐级计算!$Q$201/10)-1)+逐级计算!$Q$201*(GS56-逐级计算!$P$201)*LN(10)/10),0)+LN(1+EXP(-ABS((LN(10^(逐级计算!$Q$201/10)-1)+逐级计算!$Q$201*(GS56-逐级计算!$P$201)*LN(10)/10))))))),"")</f>
        <v>13.7930365742089</v>
      </c>
      <c r="GU56">
        <f>IF(AND(ISNUMBER(GT56),逐级计算!$X$202&gt;-1),IF(逐级计算!$X$202=0,GT56+逐级计算!$C$202,GT56+逐级计算!$C$202-(10/(逐级计算!$Q$202*LN(10))*(MAX((LN(10^(逐级计算!$Q$202/10)-1)+逐级计算!$Q$202*(GT56-逐级计算!$P$202)*LN(10)/10),0)+LN(1+EXP(-ABS((LN(10^(逐级计算!$Q$202/10)-1)+逐级计算!$Q$202*(GT56-逐级计算!$P$202)*LN(10)/10))))))),"")</f>
        <v>13.7930365742089</v>
      </c>
      <c r="GV56">
        <f>IF(AND(ISNUMBER(GU56),逐级计算!$X$203&gt;-1),IF(逐级计算!$X$203=0,GU56+逐级计算!$C$203,GU56+逐级计算!$C$203-(10/(逐级计算!$Q$203*LN(10))*(MAX((LN(10^(逐级计算!$Q$203/10)-1)+逐级计算!$Q$203*(GU56-逐级计算!$P$203)*LN(10)/10),0)+LN(1+EXP(-ABS((LN(10^(逐级计算!$Q$203/10)-1)+逐级计算!$Q$203*(GU56-逐级计算!$P$203)*LN(10)/10))))))),"")</f>
        <v>13.7930365742089</v>
      </c>
      <c r="GW56">
        <f t="shared" si="2"/>
        <v>-5.20696342579086</v>
      </c>
    </row>
    <row r="57" spans="1:205">
      <c r="A57">
        <v>50</v>
      </c>
      <c r="B57">
        <f t="shared" si="1"/>
        <v>-5.20696342579123</v>
      </c>
      <c r="C57">
        <f t="shared" si="0"/>
        <v>-5.20696342579114</v>
      </c>
      <c r="D57">
        <f>IF(AND(ISNUMBER(C57),ISNUMBER(逐级计算!$E$203),ISNUMBER(GV57)),C57+逐级计算!$E$203-GV57,"")</f>
        <v>0.999999999999993</v>
      </c>
      <c r="E57">
        <f>IF(AND(ISNUMBER(C57),逐级计算!$X$4&gt;-1),IF(逐级计算!$X$4=0,C57+逐级计算!$C$4,C57+逐级计算!$C$4-(10/(逐级计算!$Q$4*LN(10))*(MAX((LN(10^(逐级计算!$Q$4/10)-1)+逐级计算!$Q$4*(C57-逐级计算!$P$4)*LN(10)/10),0)+LN(1+EXP(-ABS((LN(10^(逐级计算!$Q$4/10)-1)+逐级计算!$Q$4*(C57-逐级计算!$P$4)*LN(10)/10))))))),"")</f>
        <v>4.68053982928309</v>
      </c>
      <c r="F57">
        <f>IF(AND(ISNUMBER(E57),逐级计算!$X$5&gt;-1),IF(逐级计算!$X$5=0,E57+逐级计算!$C$5,E57+逐级计算!$C$5-(10/(逐级计算!$Q$5*LN(10))*(MAX((LN(10^(逐级计算!$Q$5/10)-1)+逐级计算!$Q$5*(E57-逐级计算!$P$5)*LN(10)/10),0)+LN(1+EXP(-ABS((LN(10^(逐级计算!$Q$5/10)-1)+逐级计算!$Q$5*(E57-逐级计算!$P$5)*LN(10)/10))))))),"")</f>
        <v>13.7930365742089</v>
      </c>
      <c r="G57">
        <f>IF(AND(ISNUMBER(F57),逐级计算!$X$6&gt;-1),IF(逐级计算!$X$6=0,F57+逐级计算!$C$6,F57+逐级计算!$C$6-(10/(逐级计算!$Q$6*LN(10))*(MAX((LN(10^(逐级计算!$Q$6/10)-1)+逐级计算!$Q$6*(F57-逐级计算!$P$6)*LN(10)/10),0)+LN(1+EXP(-ABS((LN(10^(逐级计算!$Q$6/10)-1)+逐级计算!$Q$6*(F57-逐级计算!$P$6)*LN(10)/10))))))),"")</f>
        <v>13.7930365742089</v>
      </c>
      <c r="H57">
        <f>IF(AND(ISNUMBER(G57),逐级计算!$X$7&gt;-1),IF(逐级计算!$X$7=0,G57+逐级计算!$C$7,G57+逐级计算!$C$7-(10/(逐级计算!$Q$7*LN(10))*(MAX((LN(10^(逐级计算!$Q$7/10)-1)+逐级计算!$Q$7*(G57-逐级计算!$P$7)*LN(10)/10),0)+LN(1+EXP(-ABS((LN(10^(逐级计算!$Q$7/10)-1)+逐级计算!$Q$7*(G57-逐级计算!$P$7)*LN(10)/10))))))),"")</f>
        <v>13.7930365742089</v>
      </c>
      <c r="I57">
        <f>IF(AND(ISNUMBER(H57),逐级计算!$X$8&gt;-1),IF(逐级计算!$X$8=0,H57+逐级计算!$C$8,H57+逐级计算!$C$8-(10/(逐级计算!$Q$8*LN(10))*(MAX((LN(10^(逐级计算!$Q$8/10)-1)+逐级计算!$Q$8*(H57-逐级计算!$P$8)*LN(10)/10),0)+LN(1+EXP(-ABS((LN(10^(逐级计算!$Q$8/10)-1)+逐级计算!$Q$8*(H57-逐级计算!$P$8)*LN(10)/10))))))),"")</f>
        <v>13.7930365742089</v>
      </c>
      <c r="J57">
        <f>IF(AND(ISNUMBER(I57),逐级计算!$X$9&gt;-1),IF(逐级计算!$X$9=0,I57+逐级计算!$C$9,I57+逐级计算!$C$9-(10/(逐级计算!$Q$9*LN(10))*(MAX((LN(10^(逐级计算!$Q$9/10)-1)+逐级计算!$Q$9*(I57-逐级计算!$P$9)*LN(10)/10),0)+LN(1+EXP(-ABS((LN(10^(逐级计算!$Q$9/10)-1)+逐级计算!$Q$9*(I57-逐级计算!$P$9)*LN(10)/10))))))),"")</f>
        <v>13.7930365742089</v>
      </c>
      <c r="K57">
        <f>IF(AND(ISNUMBER(J57),逐级计算!$X$10&gt;-1),IF(逐级计算!$X$10=0,J57+逐级计算!$C$10,J57+逐级计算!$C$10-(10/(逐级计算!$Q$10*LN(10))*(MAX((LN(10^(逐级计算!$Q$10/10)-1)+逐级计算!$Q$10*(J57-逐级计算!$P$10)*LN(10)/10),0)+LN(1+EXP(-ABS((LN(10^(逐级计算!$Q$10/10)-1)+逐级计算!$Q$10*(J57-逐级计算!$P$10)*LN(10)/10))))))),"")</f>
        <v>13.7930365742089</v>
      </c>
      <c r="L57">
        <f>IF(AND(ISNUMBER(K57),逐级计算!$X$11&gt;-1),IF(逐级计算!$X$11=0,K57+逐级计算!$C$11,K57+逐级计算!$C$11-(10/(逐级计算!$Q$11*LN(10))*(MAX((LN(10^(逐级计算!$Q$11/10)-1)+逐级计算!$Q$11*(K57-逐级计算!$P$11)*LN(10)/10),0)+LN(1+EXP(-ABS((LN(10^(逐级计算!$Q$11/10)-1)+逐级计算!$Q$11*(K57-逐级计算!$P$11)*LN(10)/10))))))),"")</f>
        <v>13.7930365742089</v>
      </c>
      <c r="M57">
        <f>IF(AND(ISNUMBER(L57),逐级计算!$X$12&gt;-1),IF(逐级计算!$X$12=0,L57+逐级计算!$C$12,L57+逐级计算!$C$12-(10/(逐级计算!$Q$12*LN(10))*(MAX((LN(10^(逐级计算!$Q$12/10)-1)+逐级计算!$Q$12*(L57-逐级计算!$P$12)*LN(10)/10),0)+LN(1+EXP(-ABS((LN(10^(逐级计算!$Q$12/10)-1)+逐级计算!$Q$12*(L57-逐级计算!$P$12)*LN(10)/10))))))),"")</f>
        <v>13.7930365742089</v>
      </c>
      <c r="N57">
        <f>IF(AND(ISNUMBER(M57),逐级计算!$X$13&gt;-1),IF(逐级计算!$X$13=0,M57+逐级计算!$C$13,M57+逐级计算!$C$13-(10/(逐级计算!$Q$13*LN(10))*(MAX((LN(10^(逐级计算!$Q$13/10)-1)+逐级计算!$Q$13*(M57-逐级计算!$P$13)*LN(10)/10),0)+LN(1+EXP(-ABS((LN(10^(逐级计算!$Q$13/10)-1)+逐级计算!$Q$13*(M57-逐级计算!$P$13)*LN(10)/10))))))),"")</f>
        <v>13.7930365742089</v>
      </c>
      <c r="O57">
        <f>IF(AND(ISNUMBER(N57),逐级计算!$X$14&gt;-1),IF(逐级计算!$X$14=0,N57+逐级计算!$C$14,N57+逐级计算!$C$14-(10/(逐级计算!$Q$14*LN(10))*(MAX((LN(10^(逐级计算!$Q$14/10)-1)+逐级计算!$Q$14*(N57-逐级计算!$P$14)*LN(10)/10),0)+LN(1+EXP(-ABS((LN(10^(逐级计算!$Q$14/10)-1)+逐级计算!$Q$14*(N57-逐级计算!$P$14)*LN(10)/10))))))),"")</f>
        <v>13.7930365742089</v>
      </c>
      <c r="P57">
        <f>IF(AND(ISNUMBER(O57),逐级计算!$X$15&gt;-1),IF(逐级计算!$X$15=0,O57+逐级计算!$C$15,O57+逐级计算!$C$15-(10/(逐级计算!$Q$15*LN(10))*(MAX((LN(10^(逐级计算!$Q$15/10)-1)+逐级计算!$Q$15*(O57-逐级计算!$P$15)*LN(10)/10),0)+LN(1+EXP(-ABS((LN(10^(逐级计算!$Q$15/10)-1)+逐级计算!$Q$15*(O57-逐级计算!$P$15)*LN(10)/10))))))),"")</f>
        <v>13.7930365742089</v>
      </c>
      <c r="Q57">
        <f>IF(AND(ISNUMBER(P57),逐级计算!$X$16&gt;-1),IF(逐级计算!$X$16=0,P57+逐级计算!$C$16,P57+逐级计算!$C$16-(10/(逐级计算!$Q$16*LN(10))*(MAX((LN(10^(逐级计算!$Q$16/10)-1)+逐级计算!$Q$16*(P57-逐级计算!$P$16)*LN(10)/10),0)+LN(1+EXP(-ABS((LN(10^(逐级计算!$Q$16/10)-1)+逐级计算!$Q$16*(P57-逐级计算!$P$16)*LN(10)/10))))))),"")</f>
        <v>13.7930365742089</v>
      </c>
      <c r="R57">
        <f>IF(AND(ISNUMBER(Q57),逐级计算!$X$17&gt;-1),IF(逐级计算!$X$17=0,Q57+逐级计算!$C$17,Q57+逐级计算!$C$17-(10/(逐级计算!$Q$17*LN(10))*(MAX((LN(10^(逐级计算!$Q$17/10)-1)+逐级计算!$Q$17*(Q57-逐级计算!$P$17)*LN(10)/10),0)+LN(1+EXP(-ABS((LN(10^(逐级计算!$Q$17/10)-1)+逐级计算!$Q$17*(Q57-逐级计算!$P$17)*LN(10)/10))))))),"")</f>
        <v>13.7930365742089</v>
      </c>
      <c r="S57">
        <f>IF(AND(ISNUMBER(R57),逐级计算!$X$18&gt;-1),IF(逐级计算!$X$18=0,R57+逐级计算!$C$18,R57+逐级计算!$C$18-(10/(逐级计算!$Q$18*LN(10))*(MAX((LN(10^(逐级计算!$Q$18/10)-1)+逐级计算!$Q$18*(R57-逐级计算!$P$18)*LN(10)/10),0)+LN(1+EXP(-ABS((LN(10^(逐级计算!$Q$18/10)-1)+逐级计算!$Q$18*(R57-逐级计算!$P$18)*LN(10)/10))))))),"")</f>
        <v>13.7930365742089</v>
      </c>
      <c r="T57">
        <f>IF(AND(ISNUMBER(S57),逐级计算!$X$19&gt;-1),IF(逐级计算!$X$19=0,S57+逐级计算!$C$19,S57+逐级计算!$C$19-(10/(逐级计算!$Q$19*LN(10))*(MAX((LN(10^(逐级计算!$Q$19/10)-1)+逐级计算!$Q$19*(S57-逐级计算!$P$19)*LN(10)/10),0)+LN(1+EXP(-ABS((LN(10^(逐级计算!$Q$19/10)-1)+逐级计算!$Q$19*(S57-逐级计算!$P$19)*LN(10)/10))))))),"")</f>
        <v>13.7930365742089</v>
      </c>
      <c r="U57">
        <f>IF(AND(ISNUMBER(T57),逐级计算!$X$20&gt;-1),IF(逐级计算!$X$20=0,T57+逐级计算!$C$20,T57+逐级计算!$C$20-(10/(逐级计算!$Q$20*LN(10))*(MAX((LN(10^(逐级计算!$Q$20/10)-1)+逐级计算!$Q$20*(T57-逐级计算!$P$20)*LN(10)/10),0)+LN(1+EXP(-ABS((LN(10^(逐级计算!$Q$20/10)-1)+逐级计算!$Q$20*(T57-逐级计算!$P$20)*LN(10)/10))))))),"")</f>
        <v>13.7930365742089</v>
      </c>
      <c r="V57">
        <f>IF(AND(ISNUMBER(U57),逐级计算!$X$21&gt;-1),IF(逐级计算!$X$21=0,U57+逐级计算!$C$21,U57+逐级计算!$C$21-(10/(逐级计算!$Q$21*LN(10))*(MAX((LN(10^(逐级计算!$Q$21/10)-1)+逐级计算!$Q$21*(U57-逐级计算!$P$21)*LN(10)/10),0)+LN(1+EXP(-ABS((LN(10^(逐级计算!$Q$21/10)-1)+逐级计算!$Q$21*(U57-逐级计算!$P$21)*LN(10)/10))))))),"")</f>
        <v>13.7930365742089</v>
      </c>
      <c r="W57">
        <f>IF(AND(ISNUMBER(V57),逐级计算!$X$22&gt;-1),IF(逐级计算!$X$22=0,V57+逐级计算!$C$22,V57+逐级计算!$C$22-(10/(逐级计算!$Q$22*LN(10))*(MAX((LN(10^(逐级计算!$Q$22/10)-1)+逐级计算!$Q$22*(V57-逐级计算!$P$22)*LN(10)/10),0)+LN(1+EXP(-ABS((LN(10^(逐级计算!$Q$22/10)-1)+逐级计算!$Q$22*(V57-逐级计算!$P$22)*LN(10)/10))))))),"")</f>
        <v>13.7930365742089</v>
      </c>
      <c r="X57">
        <f>IF(AND(ISNUMBER(W57),逐级计算!$X$23&gt;-1),IF(逐级计算!$X$23=0,W57+逐级计算!$C$23,W57+逐级计算!$C$23-(10/(逐级计算!$Q$23*LN(10))*(MAX((LN(10^(逐级计算!$Q$23/10)-1)+逐级计算!$Q$23*(W57-逐级计算!$P$23)*LN(10)/10),0)+LN(1+EXP(-ABS((LN(10^(逐级计算!$Q$23/10)-1)+逐级计算!$Q$23*(W57-逐级计算!$P$23)*LN(10)/10))))))),"")</f>
        <v>13.7930365742089</v>
      </c>
      <c r="Y57">
        <f>IF(AND(ISNUMBER(X57),逐级计算!$X$24&gt;-1),IF(逐级计算!$X$24=0,X57+逐级计算!$C$24,X57+逐级计算!$C$24-(10/(逐级计算!$Q$24*LN(10))*(MAX((LN(10^(逐级计算!$Q$24/10)-1)+逐级计算!$Q$24*(X57-逐级计算!$P$24)*LN(10)/10),0)+LN(1+EXP(-ABS((LN(10^(逐级计算!$Q$24/10)-1)+逐级计算!$Q$24*(X57-逐级计算!$P$24)*LN(10)/10))))))),"")</f>
        <v>13.7930365742089</v>
      </c>
      <c r="Z57">
        <f>IF(AND(ISNUMBER(Y57),逐级计算!$X$25&gt;-1),IF(逐级计算!$X$25=0,Y57+逐级计算!$C$25,Y57+逐级计算!$C$25-(10/(逐级计算!$Q$25*LN(10))*(MAX((LN(10^(逐级计算!$Q$25/10)-1)+逐级计算!$Q$25*(Y57-逐级计算!$P$25)*LN(10)/10),0)+LN(1+EXP(-ABS((LN(10^(逐级计算!$Q$25/10)-1)+逐级计算!$Q$25*(Y57-逐级计算!$P$25)*LN(10)/10))))))),"")</f>
        <v>13.7930365742089</v>
      </c>
      <c r="AA57">
        <f>IF(AND(ISNUMBER(Z57),逐级计算!$X$26&gt;-1),IF(逐级计算!$X$26=0,Z57+逐级计算!$C$26,Z57+逐级计算!$C$26-(10/(逐级计算!$Q$26*LN(10))*(MAX((LN(10^(逐级计算!$Q$26/10)-1)+逐级计算!$Q$26*(Z57-逐级计算!$P$26)*LN(10)/10),0)+LN(1+EXP(-ABS((LN(10^(逐级计算!$Q$26/10)-1)+逐级计算!$Q$26*(Z57-逐级计算!$P$26)*LN(10)/10))))))),"")</f>
        <v>13.7930365742089</v>
      </c>
      <c r="AB57">
        <f>IF(AND(ISNUMBER(AA57),逐级计算!$X$27&gt;-1),IF(逐级计算!$X$27=0,AA57+逐级计算!$C$27,AA57+逐级计算!$C$27-(10/(逐级计算!$Q$27*LN(10))*(MAX((LN(10^(逐级计算!$Q$27/10)-1)+逐级计算!$Q$27*(AA57-逐级计算!$P$27)*LN(10)/10),0)+LN(1+EXP(-ABS((LN(10^(逐级计算!$Q$27/10)-1)+逐级计算!$Q$27*(AA57-逐级计算!$P$27)*LN(10)/10))))))),"")</f>
        <v>13.7930365742089</v>
      </c>
      <c r="AC57">
        <f>IF(AND(ISNUMBER(AB57),逐级计算!$X$28&gt;-1),IF(逐级计算!$X$28=0,AB57+逐级计算!$C$28,AB57+逐级计算!$C$28-(10/(逐级计算!$Q$28*LN(10))*(MAX((LN(10^(逐级计算!$Q$28/10)-1)+逐级计算!$Q$28*(AB57-逐级计算!$P$28)*LN(10)/10),0)+LN(1+EXP(-ABS((LN(10^(逐级计算!$Q$28/10)-1)+逐级计算!$Q$28*(AB57-逐级计算!$P$28)*LN(10)/10))))))),"")</f>
        <v>13.7930365742089</v>
      </c>
      <c r="AD57">
        <f>IF(AND(ISNUMBER(AC57),逐级计算!$X$29&gt;-1),IF(逐级计算!$X$29=0,AC57+逐级计算!$C$29,AC57+逐级计算!$C$29-(10/(逐级计算!$Q$29*LN(10))*(MAX((LN(10^(逐级计算!$Q$29/10)-1)+逐级计算!$Q$29*(AC57-逐级计算!$P$29)*LN(10)/10),0)+LN(1+EXP(-ABS((LN(10^(逐级计算!$Q$29/10)-1)+逐级计算!$Q$29*(AC57-逐级计算!$P$29)*LN(10)/10))))))),"")</f>
        <v>13.7930365742089</v>
      </c>
      <c r="AE57">
        <f>IF(AND(ISNUMBER(AD57),逐级计算!$X$30&gt;-1),IF(逐级计算!$X$30=0,AD57+逐级计算!$C$30,AD57+逐级计算!$C$30-(10/(逐级计算!$Q$30*LN(10))*(MAX((LN(10^(逐级计算!$Q$30/10)-1)+逐级计算!$Q$30*(AD57-逐级计算!$P$30)*LN(10)/10),0)+LN(1+EXP(-ABS((LN(10^(逐级计算!$Q$30/10)-1)+逐级计算!$Q$30*(AD57-逐级计算!$P$30)*LN(10)/10))))))),"")</f>
        <v>13.7930365742089</v>
      </c>
      <c r="AF57">
        <f>IF(AND(ISNUMBER(AE57),逐级计算!$X$31&gt;-1),IF(逐级计算!$X$31=0,AE57+逐级计算!$C$31,AE57+逐级计算!$C$31-(10/(逐级计算!$Q$31*LN(10))*(MAX((LN(10^(逐级计算!$Q$31/10)-1)+逐级计算!$Q$31*(AE57-逐级计算!$P$31)*LN(10)/10),0)+LN(1+EXP(-ABS((LN(10^(逐级计算!$Q$31/10)-1)+逐级计算!$Q$31*(AE57-逐级计算!$P$31)*LN(10)/10))))))),"")</f>
        <v>13.7930365742089</v>
      </c>
      <c r="AG57">
        <f>IF(AND(ISNUMBER(AF57),逐级计算!$X$32&gt;-1),IF(逐级计算!$X$32=0,AF57+逐级计算!$C$32,AF57+逐级计算!$C$32-(10/(逐级计算!$Q$32*LN(10))*(MAX((LN(10^(逐级计算!$Q$32/10)-1)+逐级计算!$Q$32*(AF57-逐级计算!$P$32)*LN(10)/10),0)+LN(1+EXP(-ABS((LN(10^(逐级计算!$Q$32/10)-1)+逐级计算!$Q$32*(AF57-逐级计算!$P$32)*LN(10)/10))))))),"")</f>
        <v>13.7930365742089</v>
      </c>
      <c r="AH57">
        <f>IF(AND(ISNUMBER(AG57),逐级计算!$X$33&gt;-1),IF(逐级计算!$X$33=0,AG57+逐级计算!$C$33,AG57+逐级计算!$C$33-(10/(逐级计算!$Q$33*LN(10))*(MAX((LN(10^(逐级计算!$Q$33/10)-1)+逐级计算!$Q$33*(AG57-逐级计算!$P$33)*LN(10)/10),0)+LN(1+EXP(-ABS((LN(10^(逐级计算!$Q$33/10)-1)+逐级计算!$Q$33*(AG57-逐级计算!$P$33)*LN(10)/10))))))),"")</f>
        <v>13.7930365742089</v>
      </c>
      <c r="AI57">
        <f>IF(AND(ISNUMBER(AH57),逐级计算!$X$34&gt;-1),IF(逐级计算!$X$34=0,AH57+逐级计算!$C$34,AH57+逐级计算!$C$34-(10/(逐级计算!$Q$34*LN(10))*(MAX((LN(10^(逐级计算!$Q$34/10)-1)+逐级计算!$Q$34*(AH57-逐级计算!$P$34)*LN(10)/10),0)+LN(1+EXP(-ABS((LN(10^(逐级计算!$Q$34/10)-1)+逐级计算!$Q$34*(AH57-逐级计算!$P$34)*LN(10)/10))))))),"")</f>
        <v>13.7930365742089</v>
      </c>
      <c r="AJ57">
        <f>IF(AND(ISNUMBER(AI57),逐级计算!$X$35&gt;-1),IF(逐级计算!$X$35=0,AI57+逐级计算!$C$35,AI57+逐级计算!$C$35-(10/(逐级计算!$Q$35*LN(10))*(MAX((LN(10^(逐级计算!$Q$35/10)-1)+逐级计算!$Q$35*(AI57-逐级计算!$P$35)*LN(10)/10),0)+LN(1+EXP(-ABS((LN(10^(逐级计算!$Q$35/10)-1)+逐级计算!$Q$35*(AI57-逐级计算!$P$35)*LN(10)/10))))))),"")</f>
        <v>13.7930365742089</v>
      </c>
      <c r="AK57">
        <f>IF(AND(ISNUMBER(AJ57),逐级计算!$X$36&gt;-1),IF(逐级计算!$X$36=0,AJ57+逐级计算!$C$36,AJ57+逐级计算!$C$36-(10/(逐级计算!$Q$36*LN(10))*(MAX((LN(10^(逐级计算!$Q$36/10)-1)+逐级计算!$Q$36*(AJ57-逐级计算!$P$36)*LN(10)/10),0)+LN(1+EXP(-ABS((LN(10^(逐级计算!$Q$36/10)-1)+逐级计算!$Q$36*(AJ57-逐级计算!$P$36)*LN(10)/10))))))),"")</f>
        <v>13.7930365742089</v>
      </c>
      <c r="AL57">
        <f>IF(AND(ISNUMBER(AK57),逐级计算!$X$37&gt;-1),IF(逐级计算!$X$37=0,AK57+逐级计算!$C$37,AK57+逐级计算!$C$37-(10/(逐级计算!$Q$37*LN(10))*(MAX((LN(10^(逐级计算!$Q$37/10)-1)+逐级计算!$Q$37*(AK57-逐级计算!$P$37)*LN(10)/10),0)+LN(1+EXP(-ABS((LN(10^(逐级计算!$Q$37/10)-1)+逐级计算!$Q$37*(AK57-逐级计算!$P$37)*LN(10)/10))))))),"")</f>
        <v>13.7930365742089</v>
      </c>
      <c r="AM57">
        <f>IF(AND(ISNUMBER(AL57),逐级计算!$X$38&gt;-1),IF(逐级计算!$X$38=0,AL57+逐级计算!$C$38,AL57+逐级计算!$C$38-(10/(逐级计算!$Q$38*LN(10))*(MAX((LN(10^(逐级计算!$Q$38/10)-1)+逐级计算!$Q$38*(AL57-逐级计算!$P$38)*LN(10)/10),0)+LN(1+EXP(-ABS((LN(10^(逐级计算!$Q$38/10)-1)+逐级计算!$Q$38*(AL57-逐级计算!$P$38)*LN(10)/10))))))),"")</f>
        <v>13.7930365742089</v>
      </c>
      <c r="AN57">
        <f>IF(AND(ISNUMBER(AM57),逐级计算!$X$39&gt;-1),IF(逐级计算!$X$39=0,AM57+逐级计算!$C$39,AM57+逐级计算!$C$39-(10/(逐级计算!$Q$39*LN(10))*(MAX((LN(10^(逐级计算!$Q$39/10)-1)+逐级计算!$Q$39*(AM57-逐级计算!$P$39)*LN(10)/10),0)+LN(1+EXP(-ABS((LN(10^(逐级计算!$Q$39/10)-1)+逐级计算!$Q$39*(AM57-逐级计算!$P$39)*LN(10)/10))))))),"")</f>
        <v>13.7930365742089</v>
      </c>
      <c r="AO57">
        <f>IF(AND(ISNUMBER(AN57),逐级计算!$X$40&gt;-1),IF(逐级计算!$X$40=0,AN57+逐级计算!$C$40,AN57+逐级计算!$C$40-(10/(逐级计算!$Q$40*LN(10))*(MAX((LN(10^(逐级计算!$Q$40/10)-1)+逐级计算!$Q$40*(AN57-逐级计算!$P$40)*LN(10)/10),0)+LN(1+EXP(-ABS((LN(10^(逐级计算!$Q$40/10)-1)+逐级计算!$Q$40*(AN57-逐级计算!$P$40)*LN(10)/10))))))),"")</f>
        <v>13.7930365742089</v>
      </c>
      <c r="AP57">
        <f>IF(AND(ISNUMBER(AO57),逐级计算!$X$41&gt;-1),IF(逐级计算!$X$41=0,AO57+逐级计算!$C$41,AO57+逐级计算!$C$41-(10/(逐级计算!$Q$41*LN(10))*(MAX((LN(10^(逐级计算!$Q$41/10)-1)+逐级计算!$Q$41*(AO57-逐级计算!$P$41)*LN(10)/10),0)+LN(1+EXP(-ABS((LN(10^(逐级计算!$Q$41/10)-1)+逐级计算!$Q$41*(AO57-逐级计算!$P$41)*LN(10)/10))))))),"")</f>
        <v>13.7930365742089</v>
      </c>
      <c r="AQ57">
        <f>IF(AND(ISNUMBER(AP57),逐级计算!$X$42&gt;-1),IF(逐级计算!$X$42=0,AP57+逐级计算!$C$42,AP57+逐级计算!$C$42-(10/(逐级计算!$Q$42*LN(10))*(MAX((LN(10^(逐级计算!$Q$42/10)-1)+逐级计算!$Q$42*(AP57-逐级计算!$P$42)*LN(10)/10),0)+LN(1+EXP(-ABS((LN(10^(逐级计算!$Q$42/10)-1)+逐级计算!$Q$42*(AP57-逐级计算!$P$42)*LN(10)/10))))))),"")</f>
        <v>13.7930365742089</v>
      </c>
      <c r="AR57">
        <f>IF(AND(ISNUMBER(AQ57),逐级计算!$X$43&gt;-1),IF(逐级计算!$X$43=0,AQ57+逐级计算!$C$43,AQ57+逐级计算!$C$43-(10/(逐级计算!$Q$43*LN(10))*(MAX((LN(10^(逐级计算!$Q$43/10)-1)+逐级计算!$Q$43*(AQ57-逐级计算!$P$43)*LN(10)/10),0)+LN(1+EXP(-ABS((LN(10^(逐级计算!$Q$43/10)-1)+逐级计算!$Q$43*(AQ57-逐级计算!$P$43)*LN(10)/10))))))),"")</f>
        <v>13.7930365742089</v>
      </c>
      <c r="AS57">
        <f>IF(AND(ISNUMBER(AR57),逐级计算!$X$44&gt;-1),IF(逐级计算!$X$44=0,AR57+逐级计算!$C$44,AR57+逐级计算!$C$44-(10/(逐级计算!$Q$44*LN(10))*(MAX((LN(10^(逐级计算!$Q$44/10)-1)+逐级计算!$Q$44*(AR57-逐级计算!$P$44)*LN(10)/10),0)+LN(1+EXP(-ABS((LN(10^(逐级计算!$Q$44/10)-1)+逐级计算!$Q$44*(AR57-逐级计算!$P$44)*LN(10)/10))))))),"")</f>
        <v>13.7930365742089</v>
      </c>
      <c r="AT57">
        <f>IF(AND(ISNUMBER(AS57),逐级计算!$X$45&gt;-1),IF(逐级计算!$X$45=0,AS57+逐级计算!$C$45,AS57+逐级计算!$C$45-(10/(逐级计算!$Q$45*LN(10))*(MAX((LN(10^(逐级计算!$Q$45/10)-1)+逐级计算!$Q$45*(AS57-逐级计算!$P$45)*LN(10)/10),0)+LN(1+EXP(-ABS((LN(10^(逐级计算!$Q$45/10)-1)+逐级计算!$Q$45*(AS57-逐级计算!$P$45)*LN(10)/10))))))),"")</f>
        <v>13.7930365742089</v>
      </c>
      <c r="AU57">
        <f>IF(AND(ISNUMBER(AT57),逐级计算!$X$46&gt;-1),IF(逐级计算!$X$46=0,AT57+逐级计算!$C$46,AT57+逐级计算!$C$46-(10/(逐级计算!$Q$46*LN(10))*(MAX((LN(10^(逐级计算!$Q$46/10)-1)+逐级计算!$Q$46*(AT57-逐级计算!$P$46)*LN(10)/10),0)+LN(1+EXP(-ABS((LN(10^(逐级计算!$Q$46/10)-1)+逐级计算!$Q$46*(AT57-逐级计算!$P$46)*LN(10)/10))))))),"")</f>
        <v>13.7930365742089</v>
      </c>
      <c r="AV57">
        <f>IF(AND(ISNUMBER(AU57),逐级计算!$X$47&gt;-1),IF(逐级计算!$X$47=0,AU57+逐级计算!$C$47,AU57+逐级计算!$C$47-(10/(逐级计算!$Q$47*LN(10))*(MAX((LN(10^(逐级计算!$Q$47/10)-1)+逐级计算!$Q$47*(AU57-逐级计算!$P$47)*LN(10)/10),0)+LN(1+EXP(-ABS((LN(10^(逐级计算!$Q$47/10)-1)+逐级计算!$Q$47*(AU57-逐级计算!$P$47)*LN(10)/10))))))),"")</f>
        <v>13.7930365742089</v>
      </c>
      <c r="AW57">
        <f>IF(AND(ISNUMBER(AV57),逐级计算!$X$48&gt;-1),IF(逐级计算!$X$48=0,AV57+逐级计算!$C$48,AV57+逐级计算!$C$48-(10/(逐级计算!$Q$48*LN(10))*(MAX((LN(10^(逐级计算!$Q$48/10)-1)+逐级计算!$Q$48*(AV57-逐级计算!$P$48)*LN(10)/10),0)+LN(1+EXP(-ABS((LN(10^(逐级计算!$Q$48/10)-1)+逐级计算!$Q$48*(AV57-逐级计算!$P$48)*LN(10)/10))))))),"")</f>
        <v>13.7930365742089</v>
      </c>
      <c r="AX57">
        <f>IF(AND(ISNUMBER(AW57),逐级计算!$X$49&gt;-1),IF(逐级计算!$X$49=0,AW57+逐级计算!$C$49,AW57+逐级计算!$C$49-(10/(逐级计算!$Q$49*LN(10))*(MAX((LN(10^(逐级计算!$Q$49/10)-1)+逐级计算!$Q$49*(AW57-逐级计算!$P$49)*LN(10)/10),0)+LN(1+EXP(-ABS((LN(10^(逐级计算!$Q$49/10)-1)+逐级计算!$Q$49*(AW57-逐级计算!$P$49)*LN(10)/10))))))),"")</f>
        <v>13.7930365742089</v>
      </c>
      <c r="AY57">
        <f>IF(AND(ISNUMBER(AX57),逐级计算!$X$50&gt;-1),IF(逐级计算!$X$50=0,AX57+逐级计算!$C$50,AX57+逐级计算!$C$50-(10/(逐级计算!$Q$50*LN(10))*(MAX((LN(10^(逐级计算!$Q$50/10)-1)+逐级计算!$Q$50*(AX57-逐级计算!$P$50)*LN(10)/10),0)+LN(1+EXP(-ABS((LN(10^(逐级计算!$Q$50/10)-1)+逐级计算!$Q$50*(AX57-逐级计算!$P$50)*LN(10)/10))))))),"")</f>
        <v>13.7930365742089</v>
      </c>
      <c r="AZ57">
        <f>IF(AND(ISNUMBER(AY57),逐级计算!$X$51&gt;-1),IF(逐级计算!$X$51=0,AY57+逐级计算!$C$51,AY57+逐级计算!$C$51-(10/(逐级计算!$Q$51*LN(10))*(MAX((LN(10^(逐级计算!$Q$51/10)-1)+逐级计算!$Q$51*(AY57-逐级计算!$P$51)*LN(10)/10),0)+LN(1+EXP(-ABS((LN(10^(逐级计算!$Q$51/10)-1)+逐级计算!$Q$51*(AY57-逐级计算!$P$51)*LN(10)/10))))))),"")</f>
        <v>13.7930365742089</v>
      </c>
      <c r="BA57">
        <f>IF(AND(ISNUMBER(AZ57),逐级计算!$X$52&gt;-1),IF(逐级计算!$X$52=0,AZ57+逐级计算!$C$52,AZ57+逐级计算!$C$52-(10/(逐级计算!$Q$52*LN(10))*(MAX((LN(10^(逐级计算!$Q$52/10)-1)+逐级计算!$Q$52*(AZ57-逐级计算!$P$52)*LN(10)/10),0)+LN(1+EXP(-ABS((LN(10^(逐级计算!$Q$52/10)-1)+逐级计算!$Q$52*(AZ57-逐级计算!$P$52)*LN(10)/10))))))),"")</f>
        <v>13.7930365742089</v>
      </c>
      <c r="BB57">
        <f>IF(AND(ISNUMBER(BA57),逐级计算!$X$53&gt;-1),IF(逐级计算!$X$53=0,BA57+逐级计算!$C$53,BA57+逐级计算!$C$53-(10/(逐级计算!$Q$53*LN(10))*(MAX((LN(10^(逐级计算!$Q$53/10)-1)+逐级计算!$Q$53*(BA57-逐级计算!$P$53)*LN(10)/10),0)+LN(1+EXP(-ABS((LN(10^(逐级计算!$Q$53/10)-1)+逐级计算!$Q$53*(BA57-逐级计算!$P$53)*LN(10)/10))))))),"")</f>
        <v>13.7930365742089</v>
      </c>
      <c r="BC57">
        <f>IF(AND(ISNUMBER(BB57),逐级计算!$X$54&gt;-1),IF(逐级计算!$X$54=0,BB57+逐级计算!$C$54,BB57+逐级计算!$C$54-(10/(逐级计算!$Q$54*LN(10))*(MAX((LN(10^(逐级计算!$Q$54/10)-1)+逐级计算!$Q$54*(BB57-逐级计算!$P$54)*LN(10)/10),0)+LN(1+EXP(-ABS((LN(10^(逐级计算!$Q$54/10)-1)+逐级计算!$Q$54*(BB57-逐级计算!$P$54)*LN(10)/10))))))),"")</f>
        <v>13.7930365742089</v>
      </c>
      <c r="BD57">
        <f>IF(AND(ISNUMBER(BC57),逐级计算!$X$55&gt;-1),IF(逐级计算!$X$55=0,BC57+逐级计算!$C$55,BC57+逐级计算!$C$55-(10/(逐级计算!$Q$55*LN(10))*(MAX((LN(10^(逐级计算!$Q$55/10)-1)+逐级计算!$Q$55*(BC57-逐级计算!$P$55)*LN(10)/10),0)+LN(1+EXP(-ABS((LN(10^(逐级计算!$Q$55/10)-1)+逐级计算!$Q$55*(BC57-逐级计算!$P$55)*LN(10)/10))))))),"")</f>
        <v>13.7930365742089</v>
      </c>
      <c r="BE57">
        <f>IF(AND(ISNUMBER(BD57),逐级计算!$X$56&gt;-1),IF(逐级计算!$X$56=0,BD57+逐级计算!$C$56,BD57+逐级计算!$C$56-(10/(逐级计算!$Q$56*LN(10))*(MAX((LN(10^(逐级计算!$Q$56/10)-1)+逐级计算!$Q$56*(BD57-逐级计算!$P$56)*LN(10)/10),0)+LN(1+EXP(-ABS((LN(10^(逐级计算!$Q$56/10)-1)+逐级计算!$Q$56*(BD57-逐级计算!$P$56)*LN(10)/10))))))),"")</f>
        <v>13.7930365742089</v>
      </c>
      <c r="BF57">
        <f>IF(AND(ISNUMBER(BE57),逐级计算!$X$57&gt;-1),IF(逐级计算!$X$57=0,BE57+逐级计算!$C$57,BE57+逐级计算!$C$57-(10/(逐级计算!$Q$57*LN(10))*(MAX((LN(10^(逐级计算!$Q$57/10)-1)+逐级计算!$Q$57*(BE57-逐级计算!$P$57)*LN(10)/10),0)+LN(1+EXP(-ABS((LN(10^(逐级计算!$Q$57/10)-1)+逐级计算!$Q$57*(BE57-逐级计算!$P$57)*LN(10)/10))))))),"")</f>
        <v>13.7930365742089</v>
      </c>
      <c r="BG57">
        <f>IF(AND(ISNUMBER(BF57),逐级计算!$X$58&gt;-1),IF(逐级计算!$X$58=0,BF57+逐级计算!$C$58,BF57+逐级计算!$C$58-(10/(逐级计算!$Q$58*LN(10))*(MAX((LN(10^(逐级计算!$Q$58/10)-1)+逐级计算!$Q$58*(BF57-逐级计算!$P$58)*LN(10)/10),0)+LN(1+EXP(-ABS((LN(10^(逐级计算!$Q$58/10)-1)+逐级计算!$Q$58*(BF57-逐级计算!$P$58)*LN(10)/10))))))),"")</f>
        <v>13.7930365742089</v>
      </c>
      <c r="BH57">
        <f>IF(AND(ISNUMBER(BG57),逐级计算!$X$59&gt;-1),IF(逐级计算!$X$59=0,BG57+逐级计算!$C$59,BG57+逐级计算!$C$59-(10/(逐级计算!$Q$59*LN(10))*(MAX((LN(10^(逐级计算!$Q$59/10)-1)+逐级计算!$Q$59*(BG57-逐级计算!$P$59)*LN(10)/10),0)+LN(1+EXP(-ABS((LN(10^(逐级计算!$Q$59/10)-1)+逐级计算!$Q$59*(BG57-逐级计算!$P$59)*LN(10)/10))))))),"")</f>
        <v>13.7930365742089</v>
      </c>
      <c r="BI57">
        <f>IF(AND(ISNUMBER(BH57),逐级计算!$X$60&gt;-1),IF(逐级计算!$X$60=0,BH57+逐级计算!$C$60,BH57+逐级计算!$C$60-(10/(逐级计算!$Q$60*LN(10))*(MAX((LN(10^(逐级计算!$Q$60/10)-1)+逐级计算!$Q$60*(BH57-逐级计算!$P$60)*LN(10)/10),0)+LN(1+EXP(-ABS((LN(10^(逐级计算!$Q$60/10)-1)+逐级计算!$Q$60*(BH57-逐级计算!$P$60)*LN(10)/10))))))),"")</f>
        <v>13.7930365742089</v>
      </c>
      <c r="BJ57">
        <f>IF(AND(ISNUMBER(BI57),逐级计算!$X$61&gt;-1),IF(逐级计算!$X$61=0,BI57+逐级计算!$C$61,BI57+逐级计算!$C$61-(10/(逐级计算!$Q$61*LN(10))*(MAX((LN(10^(逐级计算!$Q$61/10)-1)+逐级计算!$Q$61*(BI57-逐级计算!$P$61)*LN(10)/10),0)+LN(1+EXP(-ABS((LN(10^(逐级计算!$Q$61/10)-1)+逐级计算!$Q$61*(BI57-逐级计算!$P$61)*LN(10)/10))))))),"")</f>
        <v>13.7930365742089</v>
      </c>
      <c r="BK57">
        <f>IF(AND(ISNUMBER(BJ57),逐级计算!$X$62&gt;-1),IF(逐级计算!$X$62=0,BJ57+逐级计算!$C$62,BJ57+逐级计算!$C$62-(10/(逐级计算!$Q$62*LN(10))*(MAX((LN(10^(逐级计算!$Q$62/10)-1)+逐级计算!$Q$62*(BJ57-逐级计算!$P$62)*LN(10)/10),0)+LN(1+EXP(-ABS((LN(10^(逐级计算!$Q$62/10)-1)+逐级计算!$Q$62*(BJ57-逐级计算!$P$62)*LN(10)/10))))))),"")</f>
        <v>13.7930365742089</v>
      </c>
      <c r="BL57">
        <f>IF(AND(ISNUMBER(BK57),逐级计算!$X$63&gt;-1),IF(逐级计算!$X$63=0,BK57+逐级计算!$C$63,BK57+逐级计算!$C$63-(10/(逐级计算!$Q$63*LN(10))*(MAX((LN(10^(逐级计算!$Q$63/10)-1)+逐级计算!$Q$63*(BK57-逐级计算!$P$63)*LN(10)/10),0)+LN(1+EXP(-ABS((LN(10^(逐级计算!$Q$63/10)-1)+逐级计算!$Q$63*(BK57-逐级计算!$P$63)*LN(10)/10))))))),"")</f>
        <v>13.7930365742089</v>
      </c>
      <c r="BM57">
        <f>IF(AND(ISNUMBER(BL57),逐级计算!$X$64&gt;-1),IF(逐级计算!$X$64=0,BL57+逐级计算!$C$64,BL57+逐级计算!$C$64-(10/(逐级计算!$Q$64*LN(10))*(MAX((LN(10^(逐级计算!$Q$64/10)-1)+逐级计算!$Q$64*(BL57-逐级计算!$P$64)*LN(10)/10),0)+LN(1+EXP(-ABS((LN(10^(逐级计算!$Q$64/10)-1)+逐级计算!$Q$64*(BL57-逐级计算!$P$64)*LN(10)/10))))))),"")</f>
        <v>13.7930365742089</v>
      </c>
      <c r="BN57">
        <f>IF(AND(ISNUMBER(BM57),逐级计算!$X$65&gt;-1),IF(逐级计算!$X$65=0,BM57+逐级计算!$C$65,BM57+逐级计算!$C$65-(10/(逐级计算!$Q$65*LN(10))*(MAX((LN(10^(逐级计算!$Q$65/10)-1)+逐级计算!$Q$65*(BM57-逐级计算!$P$65)*LN(10)/10),0)+LN(1+EXP(-ABS((LN(10^(逐级计算!$Q$65/10)-1)+逐级计算!$Q$65*(BM57-逐级计算!$P$65)*LN(10)/10))))))),"")</f>
        <v>13.7930365742089</v>
      </c>
      <c r="BO57">
        <f>IF(AND(ISNUMBER(BN57),逐级计算!$X$66&gt;-1),IF(逐级计算!$X$66=0,BN57+逐级计算!$C$66,BN57+逐级计算!$C$66-(10/(逐级计算!$Q$66*LN(10))*(MAX((LN(10^(逐级计算!$Q$66/10)-1)+逐级计算!$Q$66*(BN57-逐级计算!$P$66)*LN(10)/10),0)+LN(1+EXP(-ABS((LN(10^(逐级计算!$Q$66/10)-1)+逐级计算!$Q$66*(BN57-逐级计算!$P$66)*LN(10)/10))))))),"")</f>
        <v>13.7930365742089</v>
      </c>
      <c r="BP57">
        <f>IF(AND(ISNUMBER(BO57),逐级计算!$X$67&gt;-1),IF(逐级计算!$X$67=0,BO57+逐级计算!$C$67,BO57+逐级计算!$C$67-(10/(逐级计算!$Q$67*LN(10))*(MAX((LN(10^(逐级计算!$Q$67/10)-1)+逐级计算!$Q$67*(BO57-逐级计算!$P$67)*LN(10)/10),0)+LN(1+EXP(-ABS((LN(10^(逐级计算!$Q$67/10)-1)+逐级计算!$Q$67*(BO57-逐级计算!$P$67)*LN(10)/10))))))),"")</f>
        <v>13.7930365742089</v>
      </c>
      <c r="BQ57">
        <f>IF(AND(ISNUMBER(BP57),逐级计算!$X$68&gt;-1),IF(逐级计算!$X$68=0,BP57+逐级计算!$C$68,BP57+逐级计算!$C$68-(10/(逐级计算!$Q$68*LN(10))*(MAX((LN(10^(逐级计算!$Q$68/10)-1)+逐级计算!$Q$68*(BP57-逐级计算!$P$68)*LN(10)/10),0)+LN(1+EXP(-ABS((LN(10^(逐级计算!$Q$68/10)-1)+逐级计算!$Q$68*(BP57-逐级计算!$P$68)*LN(10)/10))))))),"")</f>
        <v>13.7930365742089</v>
      </c>
      <c r="BR57">
        <f>IF(AND(ISNUMBER(BQ57),逐级计算!$X$69&gt;-1),IF(逐级计算!$X$69=0,BQ57+逐级计算!$C$69,BQ57+逐级计算!$C$69-(10/(逐级计算!$Q$69*LN(10))*(MAX((LN(10^(逐级计算!$Q$69/10)-1)+逐级计算!$Q$69*(BQ57-逐级计算!$P$69)*LN(10)/10),0)+LN(1+EXP(-ABS((LN(10^(逐级计算!$Q$69/10)-1)+逐级计算!$Q$69*(BQ57-逐级计算!$P$69)*LN(10)/10))))))),"")</f>
        <v>13.7930365742089</v>
      </c>
      <c r="BS57">
        <f>IF(AND(ISNUMBER(BR57),逐级计算!$X$70&gt;-1),IF(逐级计算!$X$70=0,BR57+逐级计算!$C$70,BR57+逐级计算!$C$70-(10/(逐级计算!$Q$70*LN(10))*(MAX((LN(10^(逐级计算!$Q$70/10)-1)+逐级计算!$Q$70*(BR57-逐级计算!$P$70)*LN(10)/10),0)+LN(1+EXP(-ABS((LN(10^(逐级计算!$Q$70/10)-1)+逐级计算!$Q$70*(BR57-逐级计算!$P$70)*LN(10)/10))))))),"")</f>
        <v>13.7930365742089</v>
      </c>
      <c r="BT57">
        <f>IF(AND(ISNUMBER(BS57),逐级计算!$X$71&gt;-1),IF(逐级计算!$X$71=0,BS57+逐级计算!$C$71,BS57+逐级计算!$C$71-(10/(逐级计算!$Q$71*LN(10))*(MAX((LN(10^(逐级计算!$Q$71/10)-1)+逐级计算!$Q$71*(BS57-逐级计算!$P$71)*LN(10)/10),0)+LN(1+EXP(-ABS((LN(10^(逐级计算!$Q$71/10)-1)+逐级计算!$Q$71*(BS57-逐级计算!$P$71)*LN(10)/10))))))),"")</f>
        <v>13.7930365742089</v>
      </c>
      <c r="BU57">
        <f>IF(AND(ISNUMBER(BT57),逐级计算!$X$72&gt;-1),IF(逐级计算!$X$72=0,BT57+逐级计算!$C$72,BT57+逐级计算!$C$72-(10/(逐级计算!$Q$72*LN(10))*(MAX((LN(10^(逐级计算!$Q$72/10)-1)+逐级计算!$Q$72*(BT57-逐级计算!$P$72)*LN(10)/10),0)+LN(1+EXP(-ABS((LN(10^(逐级计算!$Q$72/10)-1)+逐级计算!$Q$72*(BT57-逐级计算!$P$72)*LN(10)/10))))))),"")</f>
        <v>13.7930365742089</v>
      </c>
      <c r="BV57">
        <f>IF(AND(ISNUMBER(BU57),逐级计算!$X$73&gt;-1),IF(逐级计算!$X$73=0,BU57+逐级计算!$C$73,BU57+逐级计算!$C$73-(10/(逐级计算!$Q$73*LN(10))*(MAX((LN(10^(逐级计算!$Q$73/10)-1)+逐级计算!$Q$73*(BU57-逐级计算!$P$73)*LN(10)/10),0)+LN(1+EXP(-ABS((LN(10^(逐级计算!$Q$73/10)-1)+逐级计算!$Q$73*(BU57-逐级计算!$P$73)*LN(10)/10))))))),"")</f>
        <v>13.7930365742089</v>
      </c>
      <c r="BW57">
        <f>IF(AND(ISNUMBER(BV57),逐级计算!$X$74&gt;-1),IF(逐级计算!$X$74=0,BV57+逐级计算!$C$74,BV57+逐级计算!$C$74-(10/(逐级计算!$Q$74*LN(10))*(MAX((LN(10^(逐级计算!$Q$74/10)-1)+逐级计算!$Q$74*(BV57-逐级计算!$P$74)*LN(10)/10),0)+LN(1+EXP(-ABS((LN(10^(逐级计算!$Q$74/10)-1)+逐级计算!$Q$74*(BV57-逐级计算!$P$74)*LN(10)/10))))))),"")</f>
        <v>13.7930365742089</v>
      </c>
      <c r="BX57">
        <f>IF(AND(ISNUMBER(BW57),逐级计算!$X$75&gt;-1),IF(逐级计算!$X$75=0,BW57+逐级计算!$C$75,BW57+逐级计算!$C$75-(10/(逐级计算!$Q$75*LN(10))*(MAX((LN(10^(逐级计算!$Q$75/10)-1)+逐级计算!$Q$75*(BW57-逐级计算!$P$75)*LN(10)/10),0)+LN(1+EXP(-ABS((LN(10^(逐级计算!$Q$75/10)-1)+逐级计算!$Q$75*(BW57-逐级计算!$P$75)*LN(10)/10))))))),"")</f>
        <v>13.7930365742089</v>
      </c>
      <c r="BY57">
        <f>IF(AND(ISNUMBER(BX57),逐级计算!$X$76&gt;-1),IF(逐级计算!$X$76=0,BX57+逐级计算!$C$76,BX57+逐级计算!$C$76-(10/(逐级计算!$Q$76*LN(10))*(MAX((LN(10^(逐级计算!$Q$76/10)-1)+逐级计算!$Q$76*(BX57-逐级计算!$P$76)*LN(10)/10),0)+LN(1+EXP(-ABS((LN(10^(逐级计算!$Q$76/10)-1)+逐级计算!$Q$76*(BX57-逐级计算!$P$76)*LN(10)/10))))))),"")</f>
        <v>13.7930365742089</v>
      </c>
      <c r="BZ57">
        <f>IF(AND(ISNUMBER(BY57),逐级计算!$X$77&gt;-1),IF(逐级计算!$X$77=0,BY57+逐级计算!$C$77,BY57+逐级计算!$C$77-(10/(逐级计算!$Q$77*LN(10))*(MAX((LN(10^(逐级计算!$Q$77/10)-1)+逐级计算!$Q$77*(BY57-逐级计算!$P$77)*LN(10)/10),0)+LN(1+EXP(-ABS((LN(10^(逐级计算!$Q$77/10)-1)+逐级计算!$Q$77*(BY57-逐级计算!$P$77)*LN(10)/10))))))),"")</f>
        <v>13.7930365742089</v>
      </c>
      <c r="CA57">
        <f>IF(AND(ISNUMBER(BZ57),逐级计算!$X$78&gt;-1),IF(逐级计算!$X$78=0,BZ57+逐级计算!$C$78,BZ57+逐级计算!$C$78-(10/(逐级计算!$Q$78*LN(10))*(MAX((LN(10^(逐级计算!$Q$78/10)-1)+逐级计算!$Q$78*(BZ57-逐级计算!$P$78)*LN(10)/10),0)+LN(1+EXP(-ABS((LN(10^(逐级计算!$Q$78/10)-1)+逐级计算!$Q$78*(BZ57-逐级计算!$P$78)*LN(10)/10))))))),"")</f>
        <v>13.7930365742089</v>
      </c>
      <c r="CB57">
        <f>IF(AND(ISNUMBER(CA57),逐级计算!$X$79&gt;-1),IF(逐级计算!$X$79=0,CA57+逐级计算!$C$79,CA57+逐级计算!$C$79-(10/(逐级计算!$Q$79*LN(10))*(MAX((LN(10^(逐级计算!$Q$79/10)-1)+逐级计算!$Q$79*(CA57-逐级计算!$P$79)*LN(10)/10),0)+LN(1+EXP(-ABS((LN(10^(逐级计算!$Q$79/10)-1)+逐级计算!$Q$79*(CA57-逐级计算!$P$79)*LN(10)/10))))))),"")</f>
        <v>13.7930365742089</v>
      </c>
      <c r="CC57">
        <f>IF(AND(ISNUMBER(CB57),逐级计算!$X$80&gt;-1),IF(逐级计算!$X$80=0,CB57+逐级计算!$C$80,CB57+逐级计算!$C$80-(10/(逐级计算!$Q$80*LN(10))*(MAX((LN(10^(逐级计算!$Q$80/10)-1)+逐级计算!$Q$80*(CB57-逐级计算!$P$80)*LN(10)/10),0)+LN(1+EXP(-ABS((LN(10^(逐级计算!$Q$80/10)-1)+逐级计算!$Q$80*(CB57-逐级计算!$P$80)*LN(10)/10))))))),"")</f>
        <v>13.7930365742089</v>
      </c>
      <c r="CD57">
        <f>IF(AND(ISNUMBER(CC57),逐级计算!$X$81&gt;-1),IF(逐级计算!$X$81=0,CC57+逐级计算!$C$81,CC57+逐级计算!$C$81-(10/(逐级计算!$Q$81*LN(10))*(MAX((LN(10^(逐级计算!$Q$81/10)-1)+逐级计算!$Q$81*(CC57-逐级计算!$P$81)*LN(10)/10),0)+LN(1+EXP(-ABS((LN(10^(逐级计算!$Q$81/10)-1)+逐级计算!$Q$81*(CC57-逐级计算!$P$81)*LN(10)/10))))))),"")</f>
        <v>13.7930365742089</v>
      </c>
      <c r="CE57">
        <f>IF(AND(ISNUMBER(CD57),逐级计算!$X$82&gt;-1),IF(逐级计算!$X$82=0,CD57+逐级计算!$C$82,CD57+逐级计算!$C$82-(10/(逐级计算!$Q$82*LN(10))*(MAX((LN(10^(逐级计算!$Q$82/10)-1)+逐级计算!$Q$82*(CD57-逐级计算!$P$82)*LN(10)/10),0)+LN(1+EXP(-ABS((LN(10^(逐级计算!$Q$82/10)-1)+逐级计算!$Q$82*(CD57-逐级计算!$P$82)*LN(10)/10))))))),"")</f>
        <v>13.7930365742089</v>
      </c>
      <c r="CF57">
        <f>IF(AND(ISNUMBER(CE57),逐级计算!$X$83&gt;-1),IF(逐级计算!$X$83=0,CE57+逐级计算!$C$83,CE57+逐级计算!$C$83-(10/(逐级计算!$Q$83*LN(10))*(MAX((LN(10^(逐级计算!$Q$83/10)-1)+逐级计算!$Q$83*(CE57-逐级计算!$P$83)*LN(10)/10),0)+LN(1+EXP(-ABS((LN(10^(逐级计算!$Q$83/10)-1)+逐级计算!$Q$83*(CE57-逐级计算!$P$83)*LN(10)/10))))))),"")</f>
        <v>13.7930365742089</v>
      </c>
      <c r="CG57">
        <f>IF(AND(ISNUMBER(CF57),逐级计算!$X$84&gt;-1),IF(逐级计算!$X$84=0,CF57+逐级计算!$C$84,CF57+逐级计算!$C$84-(10/(逐级计算!$Q$84*LN(10))*(MAX((LN(10^(逐级计算!$Q$84/10)-1)+逐级计算!$Q$84*(CF57-逐级计算!$P$84)*LN(10)/10),0)+LN(1+EXP(-ABS((LN(10^(逐级计算!$Q$84/10)-1)+逐级计算!$Q$84*(CF57-逐级计算!$P$84)*LN(10)/10))))))),"")</f>
        <v>13.7930365742089</v>
      </c>
      <c r="CH57">
        <f>IF(AND(ISNUMBER(CG57),逐级计算!$X$85&gt;-1),IF(逐级计算!$X$85=0,CG57+逐级计算!$C$85,CG57+逐级计算!$C$85-(10/(逐级计算!$Q$85*LN(10))*(MAX((LN(10^(逐级计算!$Q$85/10)-1)+逐级计算!$Q$85*(CG57-逐级计算!$P$85)*LN(10)/10),0)+LN(1+EXP(-ABS((LN(10^(逐级计算!$Q$85/10)-1)+逐级计算!$Q$85*(CG57-逐级计算!$P$85)*LN(10)/10))))))),"")</f>
        <v>13.7930365742089</v>
      </c>
      <c r="CI57">
        <f>IF(AND(ISNUMBER(CH57),逐级计算!$X$86&gt;-1),IF(逐级计算!$X$86=0,CH57+逐级计算!$C$86,CH57+逐级计算!$C$86-(10/(逐级计算!$Q$86*LN(10))*(MAX((LN(10^(逐级计算!$Q$86/10)-1)+逐级计算!$Q$86*(CH57-逐级计算!$P$86)*LN(10)/10),0)+LN(1+EXP(-ABS((LN(10^(逐级计算!$Q$86/10)-1)+逐级计算!$Q$86*(CH57-逐级计算!$P$86)*LN(10)/10))))))),"")</f>
        <v>13.7930365742089</v>
      </c>
      <c r="CJ57">
        <f>IF(AND(ISNUMBER(CI57),逐级计算!$X$87&gt;-1),IF(逐级计算!$X$87=0,CI57+逐级计算!$C$87,CI57+逐级计算!$C$87-(10/(逐级计算!$Q$87*LN(10))*(MAX((LN(10^(逐级计算!$Q$87/10)-1)+逐级计算!$Q$87*(CI57-逐级计算!$P$87)*LN(10)/10),0)+LN(1+EXP(-ABS((LN(10^(逐级计算!$Q$87/10)-1)+逐级计算!$Q$87*(CI57-逐级计算!$P$87)*LN(10)/10))))))),"")</f>
        <v>13.7930365742089</v>
      </c>
      <c r="CK57">
        <f>IF(AND(ISNUMBER(CJ57),逐级计算!$X$88&gt;-1),IF(逐级计算!$X$88=0,CJ57+逐级计算!$C$88,CJ57+逐级计算!$C$88-(10/(逐级计算!$Q$88*LN(10))*(MAX((LN(10^(逐级计算!$Q$88/10)-1)+逐级计算!$Q$88*(CJ57-逐级计算!$P$88)*LN(10)/10),0)+LN(1+EXP(-ABS((LN(10^(逐级计算!$Q$88/10)-1)+逐级计算!$Q$88*(CJ57-逐级计算!$P$88)*LN(10)/10))))))),"")</f>
        <v>13.7930365742089</v>
      </c>
      <c r="CL57">
        <f>IF(AND(ISNUMBER(CK57),逐级计算!$X$89&gt;-1),IF(逐级计算!$X$89=0,CK57+逐级计算!$C$89,CK57+逐级计算!$C$89-(10/(逐级计算!$Q$89*LN(10))*(MAX((LN(10^(逐级计算!$Q$89/10)-1)+逐级计算!$Q$89*(CK57-逐级计算!$P$89)*LN(10)/10),0)+LN(1+EXP(-ABS((LN(10^(逐级计算!$Q$89/10)-1)+逐级计算!$Q$89*(CK57-逐级计算!$P$89)*LN(10)/10))))))),"")</f>
        <v>13.7930365742089</v>
      </c>
      <c r="CM57">
        <f>IF(AND(ISNUMBER(CL57),逐级计算!$X$90&gt;-1),IF(逐级计算!$X$90=0,CL57+逐级计算!$C$90,CL57+逐级计算!$C$90-(10/(逐级计算!$Q$90*LN(10))*(MAX((LN(10^(逐级计算!$Q$90/10)-1)+逐级计算!$Q$90*(CL57-逐级计算!$P$90)*LN(10)/10),0)+LN(1+EXP(-ABS((LN(10^(逐级计算!$Q$90/10)-1)+逐级计算!$Q$90*(CL57-逐级计算!$P$90)*LN(10)/10))))))),"")</f>
        <v>13.7930365742089</v>
      </c>
      <c r="CN57">
        <f>IF(AND(ISNUMBER(CM57),逐级计算!$X$91&gt;-1),IF(逐级计算!$X$91=0,CM57+逐级计算!$C$91,CM57+逐级计算!$C$91-(10/(逐级计算!$Q$91*LN(10))*(MAX((LN(10^(逐级计算!$Q$91/10)-1)+逐级计算!$Q$91*(CM57-逐级计算!$P$91)*LN(10)/10),0)+LN(1+EXP(-ABS((LN(10^(逐级计算!$Q$91/10)-1)+逐级计算!$Q$91*(CM57-逐级计算!$P$91)*LN(10)/10))))))),"")</f>
        <v>13.7930365742089</v>
      </c>
      <c r="CO57">
        <f>IF(AND(ISNUMBER(CN57),逐级计算!$X$92&gt;-1),IF(逐级计算!$X$92=0,CN57+逐级计算!$C$92,CN57+逐级计算!$C$92-(10/(逐级计算!$Q$92*LN(10))*(MAX((LN(10^(逐级计算!$Q$92/10)-1)+逐级计算!$Q$92*(CN57-逐级计算!$P$92)*LN(10)/10),0)+LN(1+EXP(-ABS((LN(10^(逐级计算!$Q$92/10)-1)+逐级计算!$Q$92*(CN57-逐级计算!$P$92)*LN(10)/10))))))),"")</f>
        <v>13.7930365742089</v>
      </c>
      <c r="CP57">
        <f>IF(AND(ISNUMBER(CO57),逐级计算!$X$93&gt;-1),IF(逐级计算!$X$93=0,CO57+逐级计算!$C$93,CO57+逐级计算!$C$93-(10/(逐级计算!$Q$93*LN(10))*(MAX((LN(10^(逐级计算!$Q$93/10)-1)+逐级计算!$Q$93*(CO57-逐级计算!$P$93)*LN(10)/10),0)+LN(1+EXP(-ABS((LN(10^(逐级计算!$Q$93/10)-1)+逐级计算!$Q$93*(CO57-逐级计算!$P$93)*LN(10)/10))))))),"")</f>
        <v>13.7930365742089</v>
      </c>
      <c r="CQ57">
        <f>IF(AND(ISNUMBER(CP57),逐级计算!$X$94&gt;-1),IF(逐级计算!$X$94=0,CP57+逐级计算!$C$94,CP57+逐级计算!$C$94-(10/(逐级计算!$Q$94*LN(10))*(MAX((LN(10^(逐级计算!$Q$94/10)-1)+逐级计算!$Q$94*(CP57-逐级计算!$P$94)*LN(10)/10),0)+LN(1+EXP(-ABS((LN(10^(逐级计算!$Q$94/10)-1)+逐级计算!$Q$94*(CP57-逐级计算!$P$94)*LN(10)/10))))))),"")</f>
        <v>13.7930365742089</v>
      </c>
      <c r="CR57">
        <f>IF(AND(ISNUMBER(CQ57),逐级计算!$X$95&gt;-1),IF(逐级计算!$X$95=0,CQ57+逐级计算!$C$95,CQ57+逐级计算!$C$95-(10/(逐级计算!$Q$95*LN(10))*(MAX((LN(10^(逐级计算!$Q$95/10)-1)+逐级计算!$Q$95*(CQ57-逐级计算!$P$95)*LN(10)/10),0)+LN(1+EXP(-ABS((LN(10^(逐级计算!$Q$95/10)-1)+逐级计算!$Q$95*(CQ57-逐级计算!$P$95)*LN(10)/10))))))),"")</f>
        <v>13.7930365742089</v>
      </c>
      <c r="CS57">
        <f>IF(AND(ISNUMBER(CR57),逐级计算!$X$96&gt;-1),IF(逐级计算!$X$96=0,CR57+逐级计算!$C$96,CR57+逐级计算!$C$96-(10/(逐级计算!$Q$96*LN(10))*(MAX((LN(10^(逐级计算!$Q$96/10)-1)+逐级计算!$Q$96*(CR57-逐级计算!$P$96)*LN(10)/10),0)+LN(1+EXP(-ABS((LN(10^(逐级计算!$Q$96/10)-1)+逐级计算!$Q$96*(CR57-逐级计算!$P$96)*LN(10)/10))))))),"")</f>
        <v>13.7930365742089</v>
      </c>
      <c r="CT57">
        <f>IF(AND(ISNUMBER(CS57),逐级计算!$X$97&gt;-1),IF(逐级计算!$X$97=0,CS57+逐级计算!$C$97,CS57+逐级计算!$C$97-(10/(逐级计算!$Q$97*LN(10))*(MAX((LN(10^(逐级计算!$Q$97/10)-1)+逐级计算!$Q$97*(CS57-逐级计算!$P$97)*LN(10)/10),0)+LN(1+EXP(-ABS((LN(10^(逐级计算!$Q$97/10)-1)+逐级计算!$Q$97*(CS57-逐级计算!$P$97)*LN(10)/10))))))),"")</f>
        <v>13.7930365742089</v>
      </c>
      <c r="CU57">
        <f>IF(AND(ISNUMBER(CT57),逐级计算!$X$98&gt;-1),IF(逐级计算!$X$98=0,CT57+逐级计算!$C$98,CT57+逐级计算!$C$98-(10/(逐级计算!$Q$98*LN(10))*(MAX((LN(10^(逐级计算!$Q$98/10)-1)+逐级计算!$Q$98*(CT57-逐级计算!$P$98)*LN(10)/10),0)+LN(1+EXP(-ABS((LN(10^(逐级计算!$Q$98/10)-1)+逐级计算!$Q$98*(CT57-逐级计算!$P$98)*LN(10)/10))))))),"")</f>
        <v>13.7930365742089</v>
      </c>
      <c r="CV57">
        <f>IF(AND(ISNUMBER(CU57),逐级计算!$X$99&gt;-1),IF(逐级计算!$X$99=0,CU57+逐级计算!$C$99,CU57+逐级计算!$C$99-(10/(逐级计算!$Q$99*LN(10))*(MAX((LN(10^(逐级计算!$Q$99/10)-1)+逐级计算!$Q$99*(CU57-逐级计算!$P$99)*LN(10)/10),0)+LN(1+EXP(-ABS((LN(10^(逐级计算!$Q$99/10)-1)+逐级计算!$Q$99*(CU57-逐级计算!$P$99)*LN(10)/10))))))),"")</f>
        <v>13.7930365742089</v>
      </c>
      <c r="CW57">
        <f>IF(AND(ISNUMBER(CV57),逐级计算!$X$100&gt;-1),IF(逐级计算!$X$100=0,CV57+逐级计算!$C$100,CV57+逐级计算!$C$100-(10/(逐级计算!$Q$100*LN(10))*(MAX((LN(10^(逐级计算!$Q$100/10)-1)+逐级计算!$Q$100*(CV57-逐级计算!$P$100)*LN(10)/10),0)+LN(1+EXP(-ABS((LN(10^(逐级计算!$Q$100/10)-1)+逐级计算!$Q$100*(CV57-逐级计算!$P$100)*LN(10)/10))))))),"")</f>
        <v>13.7930365742089</v>
      </c>
      <c r="CX57">
        <f>IF(AND(ISNUMBER(CW57),逐级计算!$X$101&gt;-1),IF(逐级计算!$X$101=0,CW57+逐级计算!$C$101,CW57+逐级计算!$C$101-(10/(逐级计算!$Q$101*LN(10))*(MAX((LN(10^(逐级计算!$Q$101/10)-1)+逐级计算!$Q$101*(CW57-逐级计算!$P$101)*LN(10)/10),0)+LN(1+EXP(-ABS((LN(10^(逐级计算!$Q$101/10)-1)+逐级计算!$Q$101*(CW57-逐级计算!$P$101)*LN(10)/10))))))),"")</f>
        <v>13.7930365742089</v>
      </c>
      <c r="CY57">
        <f>IF(AND(ISNUMBER(CX57),逐级计算!$X$102&gt;-1),IF(逐级计算!$X$102=0,CX57+逐级计算!$C$102,CX57+逐级计算!$C$102-(10/(逐级计算!$Q$102*LN(10))*(MAX((LN(10^(逐级计算!$Q$102/10)-1)+逐级计算!$Q$102*(CX57-逐级计算!$P$102)*LN(10)/10),0)+LN(1+EXP(-ABS((LN(10^(逐级计算!$Q$102/10)-1)+逐级计算!$Q$102*(CX57-逐级计算!$P$102)*LN(10)/10))))))),"")</f>
        <v>13.7930365742089</v>
      </c>
      <c r="CZ57">
        <f>IF(AND(ISNUMBER(CY57),逐级计算!$X$103&gt;-1),IF(逐级计算!$X$103=0,CY57+逐级计算!$C$103,CY57+逐级计算!$C$103-(10/(逐级计算!$Q$103*LN(10))*(MAX((LN(10^(逐级计算!$Q$103/10)-1)+逐级计算!$Q$103*(CY57-逐级计算!$P$103)*LN(10)/10),0)+LN(1+EXP(-ABS((LN(10^(逐级计算!$Q$103/10)-1)+逐级计算!$Q$103*(CY57-逐级计算!$P$103)*LN(10)/10))))))),"")</f>
        <v>13.7930365742089</v>
      </c>
      <c r="DA57">
        <f>IF(AND(ISNUMBER(CZ57),逐级计算!$X$104&gt;-1),IF(逐级计算!$X$104=0,CZ57+逐级计算!$C$104,CZ57+逐级计算!$C$104-(10/(逐级计算!$Q$104*LN(10))*(MAX((LN(10^(逐级计算!$Q$104/10)-1)+逐级计算!$Q$104*(CZ57-逐级计算!$P$104)*LN(10)/10),0)+LN(1+EXP(-ABS((LN(10^(逐级计算!$Q$104/10)-1)+逐级计算!$Q$104*(CZ57-逐级计算!$P$104)*LN(10)/10))))))),"")</f>
        <v>13.7930365742089</v>
      </c>
      <c r="DB57">
        <f>IF(AND(ISNUMBER(DA57),逐级计算!$X$105&gt;-1),IF(逐级计算!$X$105=0,DA57+逐级计算!$C$105,DA57+逐级计算!$C$105-(10/(逐级计算!$Q$105*LN(10))*(MAX((LN(10^(逐级计算!$Q$105/10)-1)+逐级计算!$Q$105*(DA57-逐级计算!$P$105)*LN(10)/10),0)+LN(1+EXP(-ABS((LN(10^(逐级计算!$Q$105/10)-1)+逐级计算!$Q$105*(DA57-逐级计算!$P$105)*LN(10)/10))))))),"")</f>
        <v>13.7930365742089</v>
      </c>
      <c r="DC57">
        <f>IF(AND(ISNUMBER(DB57),逐级计算!$X$106&gt;-1),IF(逐级计算!$X$106=0,DB57+逐级计算!$C$106,DB57+逐级计算!$C$106-(10/(逐级计算!$Q$106*LN(10))*(MAX((LN(10^(逐级计算!$Q$106/10)-1)+逐级计算!$Q$106*(DB57-逐级计算!$P$106)*LN(10)/10),0)+LN(1+EXP(-ABS((LN(10^(逐级计算!$Q$106/10)-1)+逐级计算!$Q$106*(DB57-逐级计算!$P$106)*LN(10)/10))))))),"")</f>
        <v>13.7930365742089</v>
      </c>
      <c r="DD57">
        <f>IF(AND(ISNUMBER(DC57),逐级计算!$X$107&gt;-1),IF(逐级计算!$X$107=0,DC57+逐级计算!$C$107,DC57+逐级计算!$C$107-(10/(逐级计算!$Q$107*LN(10))*(MAX((LN(10^(逐级计算!$Q$107/10)-1)+逐级计算!$Q$107*(DC57-逐级计算!$P$107)*LN(10)/10),0)+LN(1+EXP(-ABS((LN(10^(逐级计算!$Q$107/10)-1)+逐级计算!$Q$107*(DC57-逐级计算!$P$107)*LN(10)/10))))))),"")</f>
        <v>13.7930365742089</v>
      </c>
      <c r="DE57">
        <f>IF(AND(ISNUMBER(DD57),逐级计算!$X$108&gt;-1),IF(逐级计算!$X$108=0,DD57+逐级计算!$C$108,DD57+逐级计算!$C$108-(10/(逐级计算!$Q$108*LN(10))*(MAX((LN(10^(逐级计算!$Q$108/10)-1)+逐级计算!$Q$108*(DD57-逐级计算!$P$108)*LN(10)/10),0)+LN(1+EXP(-ABS((LN(10^(逐级计算!$Q$108/10)-1)+逐级计算!$Q$108*(DD57-逐级计算!$P$108)*LN(10)/10))))))),"")</f>
        <v>13.7930365742089</v>
      </c>
      <c r="DF57">
        <f>IF(AND(ISNUMBER(DE57),逐级计算!$X$109&gt;-1),IF(逐级计算!$X$109=0,DE57+逐级计算!$C$109,DE57+逐级计算!$C$109-(10/(逐级计算!$Q$109*LN(10))*(MAX((LN(10^(逐级计算!$Q$109/10)-1)+逐级计算!$Q$109*(DE57-逐级计算!$P$109)*LN(10)/10),0)+LN(1+EXP(-ABS((LN(10^(逐级计算!$Q$109/10)-1)+逐级计算!$Q$109*(DE57-逐级计算!$P$109)*LN(10)/10))))))),"")</f>
        <v>13.7930365742089</v>
      </c>
      <c r="DG57">
        <f>IF(AND(ISNUMBER(DF57),逐级计算!$X$110&gt;-1),IF(逐级计算!$X$110=0,DF57+逐级计算!$C$110,DF57+逐级计算!$C$110-(10/(逐级计算!$Q$110*LN(10))*(MAX((LN(10^(逐级计算!$Q$110/10)-1)+逐级计算!$Q$110*(DF57-逐级计算!$P$110)*LN(10)/10),0)+LN(1+EXP(-ABS((LN(10^(逐级计算!$Q$110/10)-1)+逐级计算!$Q$110*(DF57-逐级计算!$P$110)*LN(10)/10))))))),"")</f>
        <v>13.7930365742089</v>
      </c>
      <c r="DH57">
        <f>IF(AND(ISNUMBER(DG57),逐级计算!$X$111&gt;-1),IF(逐级计算!$X$111=0,DG57+逐级计算!$C$111,DG57+逐级计算!$C$111-(10/(逐级计算!$Q$111*LN(10))*(MAX((LN(10^(逐级计算!$Q$111/10)-1)+逐级计算!$Q$111*(DG57-逐级计算!$P$111)*LN(10)/10),0)+LN(1+EXP(-ABS((LN(10^(逐级计算!$Q$111/10)-1)+逐级计算!$Q$111*(DG57-逐级计算!$P$111)*LN(10)/10))))))),"")</f>
        <v>13.7930365742089</v>
      </c>
      <c r="DI57">
        <f>IF(AND(ISNUMBER(DH57),逐级计算!$X$112&gt;-1),IF(逐级计算!$X$112=0,DH57+逐级计算!$C$112,DH57+逐级计算!$C$112-(10/(逐级计算!$Q$112*LN(10))*(MAX((LN(10^(逐级计算!$Q$112/10)-1)+逐级计算!$Q$112*(DH57-逐级计算!$P$112)*LN(10)/10),0)+LN(1+EXP(-ABS((LN(10^(逐级计算!$Q$112/10)-1)+逐级计算!$Q$112*(DH57-逐级计算!$P$112)*LN(10)/10))))))),"")</f>
        <v>13.7930365742089</v>
      </c>
      <c r="DJ57">
        <f>IF(AND(ISNUMBER(DI57),逐级计算!$X$113&gt;-1),IF(逐级计算!$X$113=0,DI57+逐级计算!$C$113,DI57+逐级计算!$C$113-(10/(逐级计算!$Q$113*LN(10))*(MAX((LN(10^(逐级计算!$Q$113/10)-1)+逐级计算!$Q$113*(DI57-逐级计算!$P$113)*LN(10)/10),0)+LN(1+EXP(-ABS((LN(10^(逐级计算!$Q$113/10)-1)+逐级计算!$Q$113*(DI57-逐级计算!$P$113)*LN(10)/10))))))),"")</f>
        <v>13.7930365742089</v>
      </c>
      <c r="DK57">
        <f>IF(AND(ISNUMBER(DJ57),逐级计算!$X$114&gt;-1),IF(逐级计算!$X$114=0,DJ57+逐级计算!$C$114,DJ57+逐级计算!$C$114-(10/(逐级计算!$Q$114*LN(10))*(MAX((LN(10^(逐级计算!$Q$114/10)-1)+逐级计算!$Q$114*(DJ57-逐级计算!$P$114)*LN(10)/10),0)+LN(1+EXP(-ABS((LN(10^(逐级计算!$Q$114/10)-1)+逐级计算!$Q$114*(DJ57-逐级计算!$P$114)*LN(10)/10))))))),"")</f>
        <v>13.7930365742089</v>
      </c>
      <c r="DL57">
        <f>IF(AND(ISNUMBER(DK57),逐级计算!$X$115&gt;-1),IF(逐级计算!$X$115=0,DK57+逐级计算!$C$115,DK57+逐级计算!$C$115-(10/(逐级计算!$Q$115*LN(10))*(MAX((LN(10^(逐级计算!$Q$115/10)-1)+逐级计算!$Q$115*(DK57-逐级计算!$P$115)*LN(10)/10),0)+LN(1+EXP(-ABS((LN(10^(逐级计算!$Q$115/10)-1)+逐级计算!$Q$115*(DK57-逐级计算!$P$115)*LN(10)/10))))))),"")</f>
        <v>13.7930365742089</v>
      </c>
      <c r="DM57">
        <f>IF(AND(ISNUMBER(DL57),逐级计算!$X$116&gt;-1),IF(逐级计算!$X$116=0,DL57+逐级计算!$C$116,DL57+逐级计算!$C$116-(10/(逐级计算!$Q$116*LN(10))*(MAX((LN(10^(逐级计算!$Q$116/10)-1)+逐级计算!$Q$116*(DL57-逐级计算!$P$116)*LN(10)/10),0)+LN(1+EXP(-ABS((LN(10^(逐级计算!$Q$116/10)-1)+逐级计算!$Q$116*(DL57-逐级计算!$P$116)*LN(10)/10))))))),"")</f>
        <v>13.7930365742089</v>
      </c>
      <c r="DN57">
        <f>IF(AND(ISNUMBER(DM57),逐级计算!$X$117&gt;-1),IF(逐级计算!$X$117=0,DM57+逐级计算!$C$117,DM57+逐级计算!$C$117-(10/(逐级计算!$Q$117*LN(10))*(MAX((LN(10^(逐级计算!$Q$117/10)-1)+逐级计算!$Q$117*(DM57-逐级计算!$P$117)*LN(10)/10),0)+LN(1+EXP(-ABS((LN(10^(逐级计算!$Q$117/10)-1)+逐级计算!$Q$117*(DM57-逐级计算!$P$117)*LN(10)/10))))))),"")</f>
        <v>13.7930365742089</v>
      </c>
      <c r="DO57">
        <f>IF(AND(ISNUMBER(DN57),逐级计算!$X$118&gt;-1),IF(逐级计算!$X$118=0,DN57+逐级计算!$C$118,DN57+逐级计算!$C$118-(10/(逐级计算!$Q$118*LN(10))*(MAX((LN(10^(逐级计算!$Q$118/10)-1)+逐级计算!$Q$118*(DN57-逐级计算!$P$118)*LN(10)/10),0)+LN(1+EXP(-ABS((LN(10^(逐级计算!$Q$118/10)-1)+逐级计算!$Q$118*(DN57-逐级计算!$P$118)*LN(10)/10))))))),"")</f>
        <v>13.7930365742089</v>
      </c>
      <c r="DP57">
        <f>IF(AND(ISNUMBER(DO57),逐级计算!$X$119&gt;-1),IF(逐级计算!$X$119=0,DO57+逐级计算!$C$119,DO57+逐级计算!$C$119-(10/(逐级计算!$Q$119*LN(10))*(MAX((LN(10^(逐级计算!$Q$119/10)-1)+逐级计算!$Q$119*(DO57-逐级计算!$P$119)*LN(10)/10),0)+LN(1+EXP(-ABS((LN(10^(逐级计算!$Q$119/10)-1)+逐级计算!$Q$119*(DO57-逐级计算!$P$119)*LN(10)/10))))))),"")</f>
        <v>13.7930365742089</v>
      </c>
      <c r="DQ57">
        <f>IF(AND(ISNUMBER(DP57),逐级计算!$X$120&gt;-1),IF(逐级计算!$X$120=0,DP57+逐级计算!$C$120,DP57+逐级计算!$C$120-(10/(逐级计算!$Q$120*LN(10))*(MAX((LN(10^(逐级计算!$Q$120/10)-1)+逐级计算!$Q$120*(DP57-逐级计算!$P$120)*LN(10)/10),0)+LN(1+EXP(-ABS((LN(10^(逐级计算!$Q$120/10)-1)+逐级计算!$Q$120*(DP57-逐级计算!$P$120)*LN(10)/10))))))),"")</f>
        <v>13.7930365742089</v>
      </c>
      <c r="DR57">
        <f>IF(AND(ISNUMBER(DQ57),逐级计算!$X$121&gt;-1),IF(逐级计算!$X$121=0,DQ57+逐级计算!$C$121,DQ57+逐级计算!$C$121-(10/(逐级计算!$Q$121*LN(10))*(MAX((LN(10^(逐级计算!$Q$121/10)-1)+逐级计算!$Q$121*(DQ57-逐级计算!$P$121)*LN(10)/10),0)+LN(1+EXP(-ABS((LN(10^(逐级计算!$Q$121/10)-1)+逐级计算!$Q$121*(DQ57-逐级计算!$P$121)*LN(10)/10))))))),"")</f>
        <v>13.7930365742089</v>
      </c>
      <c r="DS57">
        <f>IF(AND(ISNUMBER(DR57),逐级计算!$X$122&gt;-1),IF(逐级计算!$X$122=0,DR57+逐级计算!$C$122,DR57+逐级计算!$C$122-(10/(逐级计算!$Q$122*LN(10))*(MAX((LN(10^(逐级计算!$Q$122/10)-1)+逐级计算!$Q$122*(DR57-逐级计算!$P$122)*LN(10)/10),0)+LN(1+EXP(-ABS((LN(10^(逐级计算!$Q$122/10)-1)+逐级计算!$Q$122*(DR57-逐级计算!$P$122)*LN(10)/10))))))),"")</f>
        <v>13.7930365742089</v>
      </c>
      <c r="DT57">
        <f>IF(AND(ISNUMBER(DS57),逐级计算!$X$123&gt;-1),IF(逐级计算!$X$123=0,DS57+逐级计算!$C$123,DS57+逐级计算!$C$123-(10/(逐级计算!$Q$123*LN(10))*(MAX((LN(10^(逐级计算!$Q$123/10)-1)+逐级计算!$Q$123*(DS57-逐级计算!$P$123)*LN(10)/10),0)+LN(1+EXP(-ABS((LN(10^(逐级计算!$Q$123/10)-1)+逐级计算!$Q$123*(DS57-逐级计算!$P$123)*LN(10)/10))))))),"")</f>
        <v>13.7930365742089</v>
      </c>
      <c r="DU57">
        <f>IF(AND(ISNUMBER(DT57),逐级计算!$X$124&gt;-1),IF(逐级计算!$X$124=0,DT57+逐级计算!$C$124,DT57+逐级计算!$C$124-(10/(逐级计算!$Q$124*LN(10))*(MAX((LN(10^(逐级计算!$Q$124/10)-1)+逐级计算!$Q$124*(DT57-逐级计算!$P$124)*LN(10)/10),0)+LN(1+EXP(-ABS((LN(10^(逐级计算!$Q$124/10)-1)+逐级计算!$Q$124*(DT57-逐级计算!$P$124)*LN(10)/10))))))),"")</f>
        <v>13.7930365742089</v>
      </c>
      <c r="DV57">
        <f>IF(AND(ISNUMBER(DU57),逐级计算!$X$125&gt;-1),IF(逐级计算!$X$125=0,DU57+逐级计算!$C$125,DU57+逐级计算!$C$125-(10/(逐级计算!$Q$125*LN(10))*(MAX((LN(10^(逐级计算!$Q$125/10)-1)+逐级计算!$Q$125*(DU57-逐级计算!$P$125)*LN(10)/10),0)+LN(1+EXP(-ABS((LN(10^(逐级计算!$Q$125/10)-1)+逐级计算!$Q$125*(DU57-逐级计算!$P$125)*LN(10)/10))))))),"")</f>
        <v>13.7930365742089</v>
      </c>
      <c r="DW57">
        <f>IF(AND(ISNUMBER(DV57),逐级计算!$X$126&gt;-1),IF(逐级计算!$X$126=0,DV57+逐级计算!$C$126,DV57+逐级计算!$C$126-(10/(逐级计算!$Q$126*LN(10))*(MAX((LN(10^(逐级计算!$Q$126/10)-1)+逐级计算!$Q$126*(DV57-逐级计算!$P$126)*LN(10)/10),0)+LN(1+EXP(-ABS((LN(10^(逐级计算!$Q$126/10)-1)+逐级计算!$Q$126*(DV57-逐级计算!$P$126)*LN(10)/10))))))),"")</f>
        <v>13.7930365742089</v>
      </c>
      <c r="DX57">
        <f>IF(AND(ISNUMBER(DW57),逐级计算!$X$127&gt;-1),IF(逐级计算!$X$127=0,DW57+逐级计算!$C$127,DW57+逐级计算!$C$127-(10/(逐级计算!$Q$127*LN(10))*(MAX((LN(10^(逐级计算!$Q$127/10)-1)+逐级计算!$Q$127*(DW57-逐级计算!$P$127)*LN(10)/10),0)+LN(1+EXP(-ABS((LN(10^(逐级计算!$Q$127/10)-1)+逐级计算!$Q$127*(DW57-逐级计算!$P$127)*LN(10)/10))))))),"")</f>
        <v>13.7930365742089</v>
      </c>
      <c r="DY57">
        <f>IF(AND(ISNUMBER(DX57),逐级计算!$X$128&gt;-1),IF(逐级计算!$X$128=0,DX57+逐级计算!$C$128,DX57+逐级计算!$C$128-(10/(逐级计算!$Q$128*LN(10))*(MAX((LN(10^(逐级计算!$Q$128/10)-1)+逐级计算!$Q$128*(DX57-逐级计算!$P$128)*LN(10)/10),0)+LN(1+EXP(-ABS((LN(10^(逐级计算!$Q$128/10)-1)+逐级计算!$Q$128*(DX57-逐级计算!$P$128)*LN(10)/10))))))),"")</f>
        <v>13.7930365742089</v>
      </c>
      <c r="DZ57">
        <f>IF(AND(ISNUMBER(DY57),逐级计算!$X$129&gt;-1),IF(逐级计算!$X$129=0,DY57+逐级计算!$C$129,DY57+逐级计算!$C$129-(10/(逐级计算!$Q$129*LN(10))*(MAX((LN(10^(逐级计算!$Q$129/10)-1)+逐级计算!$Q$129*(DY57-逐级计算!$P$129)*LN(10)/10),0)+LN(1+EXP(-ABS((LN(10^(逐级计算!$Q$129/10)-1)+逐级计算!$Q$129*(DY57-逐级计算!$P$129)*LN(10)/10))))))),"")</f>
        <v>13.7930365742089</v>
      </c>
      <c r="EA57">
        <f>IF(AND(ISNUMBER(DZ57),逐级计算!$X$130&gt;-1),IF(逐级计算!$X$130=0,DZ57+逐级计算!$C$130,DZ57+逐级计算!$C$130-(10/(逐级计算!$Q$130*LN(10))*(MAX((LN(10^(逐级计算!$Q$130/10)-1)+逐级计算!$Q$130*(DZ57-逐级计算!$P$130)*LN(10)/10),0)+LN(1+EXP(-ABS((LN(10^(逐级计算!$Q$130/10)-1)+逐级计算!$Q$130*(DZ57-逐级计算!$P$130)*LN(10)/10))))))),"")</f>
        <v>13.7930365742089</v>
      </c>
      <c r="EB57">
        <f>IF(AND(ISNUMBER(EA57),逐级计算!$X$131&gt;-1),IF(逐级计算!$X$131=0,EA57+逐级计算!$C$131,EA57+逐级计算!$C$131-(10/(逐级计算!$Q$131*LN(10))*(MAX((LN(10^(逐级计算!$Q$131/10)-1)+逐级计算!$Q$131*(EA57-逐级计算!$P$131)*LN(10)/10),0)+LN(1+EXP(-ABS((LN(10^(逐级计算!$Q$131/10)-1)+逐级计算!$Q$131*(EA57-逐级计算!$P$131)*LN(10)/10))))))),"")</f>
        <v>13.7930365742089</v>
      </c>
      <c r="EC57">
        <f>IF(AND(ISNUMBER(EB57),逐级计算!$X$132&gt;-1),IF(逐级计算!$X$132=0,EB57+逐级计算!$C$132,EB57+逐级计算!$C$132-(10/(逐级计算!$Q$132*LN(10))*(MAX((LN(10^(逐级计算!$Q$132/10)-1)+逐级计算!$Q$132*(EB57-逐级计算!$P$132)*LN(10)/10),0)+LN(1+EXP(-ABS((LN(10^(逐级计算!$Q$132/10)-1)+逐级计算!$Q$132*(EB57-逐级计算!$P$132)*LN(10)/10))))))),"")</f>
        <v>13.7930365742089</v>
      </c>
      <c r="ED57">
        <f>IF(AND(ISNUMBER(EC57),逐级计算!$X$133&gt;-1),IF(逐级计算!$X$133=0,EC57+逐级计算!$C$133,EC57+逐级计算!$C$133-(10/(逐级计算!$Q$133*LN(10))*(MAX((LN(10^(逐级计算!$Q$133/10)-1)+逐级计算!$Q$133*(EC57-逐级计算!$P$133)*LN(10)/10),0)+LN(1+EXP(-ABS((LN(10^(逐级计算!$Q$133/10)-1)+逐级计算!$Q$133*(EC57-逐级计算!$P$133)*LN(10)/10))))))),"")</f>
        <v>13.7930365742089</v>
      </c>
      <c r="EE57">
        <f>IF(AND(ISNUMBER(ED57),逐级计算!$X$134&gt;-1),IF(逐级计算!$X$134=0,ED57+逐级计算!$C$134,ED57+逐级计算!$C$134-(10/(逐级计算!$Q$134*LN(10))*(MAX((LN(10^(逐级计算!$Q$134/10)-1)+逐级计算!$Q$134*(ED57-逐级计算!$P$134)*LN(10)/10),0)+LN(1+EXP(-ABS((LN(10^(逐级计算!$Q$134/10)-1)+逐级计算!$Q$134*(ED57-逐级计算!$P$134)*LN(10)/10))))))),"")</f>
        <v>13.7930365742089</v>
      </c>
      <c r="EF57">
        <f>IF(AND(ISNUMBER(EE57),逐级计算!$X$135&gt;-1),IF(逐级计算!$X$135=0,EE57+逐级计算!$C$135,EE57+逐级计算!$C$135-(10/(逐级计算!$Q$135*LN(10))*(MAX((LN(10^(逐级计算!$Q$135/10)-1)+逐级计算!$Q$135*(EE57-逐级计算!$P$135)*LN(10)/10),0)+LN(1+EXP(-ABS((LN(10^(逐级计算!$Q$135/10)-1)+逐级计算!$Q$135*(EE57-逐级计算!$P$135)*LN(10)/10))))))),"")</f>
        <v>13.7930365742089</v>
      </c>
      <c r="EG57">
        <f>IF(AND(ISNUMBER(EF57),逐级计算!$X$136&gt;-1),IF(逐级计算!$X$136=0,EF57+逐级计算!$C$136,EF57+逐级计算!$C$136-(10/(逐级计算!$Q$136*LN(10))*(MAX((LN(10^(逐级计算!$Q$136/10)-1)+逐级计算!$Q$136*(EF57-逐级计算!$P$136)*LN(10)/10),0)+LN(1+EXP(-ABS((LN(10^(逐级计算!$Q$136/10)-1)+逐级计算!$Q$136*(EF57-逐级计算!$P$136)*LN(10)/10))))))),"")</f>
        <v>13.7930365742089</v>
      </c>
      <c r="EH57">
        <f>IF(AND(ISNUMBER(EG57),逐级计算!$X$137&gt;-1),IF(逐级计算!$X$137=0,EG57+逐级计算!$C$137,EG57+逐级计算!$C$137-(10/(逐级计算!$Q$137*LN(10))*(MAX((LN(10^(逐级计算!$Q$137/10)-1)+逐级计算!$Q$137*(EG57-逐级计算!$P$137)*LN(10)/10),0)+LN(1+EXP(-ABS((LN(10^(逐级计算!$Q$137/10)-1)+逐级计算!$Q$137*(EG57-逐级计算!$P$137)*LN(10)/10))))))),"")</f>
        <v>13.7930365742089</v>
      </c>
      <c r="EI57">
        <f>IF(AND(ISNUMBER(EH57),逐级计算!$X$138&gt;-1),IF(逐级计算!$X$138=0,EH57+逐级计算!$C$138,EH57+逐级计算!$C$138-(10/(逐级计算!$Q$138*LN(10))*(MAX((LN(10^(逐级计算!$Q$138/10)-1)+逐级计算!$Q$138*(EH57-逐级计算!$P$138)*LN(10)/10),0)+LN(1+EXP(-ABS((LN(10^(逐级计算!$Q$138/10)-1)+逐级计算!$Q$138*(EH57-逐级计算!$P$138)*LN(10)/10))))))),"")</f>
        <v>13.7930365742089</v>
      </c>
      <c r="EJ57">
        <f>IF(AND(ISNUMBER(EI57),逐级计算!$X$139&gt;-1),IF(逐级计算!$X$139=0,EI57+逐级计算!$C$139,EI57+逐级计算!$C$139-(10/(逐级计算!$Q$139*LN(10))*(MAX((LN(10^(逐级计算!$Q$139/10)-1)+逐级计算!$Q$139*(EI57-逐级计算!$P$139)*LN(10)/10),0)+LN(1+EXP(-ABS((LN(10^(逐级计算!$Q$139/10)-1)+逐级计算!$Q$139*(EI57-逐级计算!$P$139)*LN(10)/10))))))),"")</f>
        <v>13.7930365742089</v>
      </c>
      <c r="EK57">
        <f>IF(AND(ISNUMBER(EJ57),逐级计算!$X$140&gt;-1),IF(逐级计算!$X$140=0,EJ57+逐级计算!$C$140,EJ57+逐级计算!$C$140-(10/(逐级计算!$Q$140*LN(10))*(MAX((LN(10^(逐级计算!$Q$140/10)-1)+逐级计算!$Q$140*(EJ57-逐级计算!$P$140)*LN(10)/10),0)+LN(1+EXP(-ABS((LN(10^(逐级计算!$Q$140/10)-1)+逐级计算!$Q$140*(EJ57-逐级计算!$P$140)*LN(10)/10))))))),"")</f>
        <v>13.7930365742089</v>
      </c>
      <c r="EL57">
        <f>IF(AND(ISNUMBER(EK57),逐级计算!$X$141&gt;-1),IF(逐级计算!$X$141=0,EK57+逐级计算!$C$141,EK57+逐级计算!$C$141-(10/(逐级计算!$Q$141*LN(10))*(MAX((LN(10^(逐级计算!$Q$141/10)-1)+逐级计算!$Q$141*(EK57-逐级计算!$P$141)*LN(10)/10),0)+LN(1+EXP(-ABS((LN(10^(逐级计算!$Q$141/10)-1)+逐级计算!$Q$141*(EK57-逐级计算!$P$141)*LN(10)/10))))))),"")</f>
        <v>13.7930365742089</v>
      </c>
      <c r="EM57">
        <f>IF(AND(ISNUMBER(EL57),逐级计算!$X$142&gt;-1),IF(逐级计算!$X$142=0,EL57+逐级计算!$C$142,EL57+逐级计算!$C$142-(10/(逐级计算!$Q$142*LN(10))*(MAX((LN(10^(逐级计算!$Q$142/10)-1)+逐级计算!$Q$142*(EL57-逐级计算!$P$142)*LN(10)/10),0)+LN(1+EXP(-ABS((LN(10^(逐级计算!$Q$142/10)-1)+逐级计算!$Q$142*(EL57-逐级计算!$P$142)*LN(10)/10))))))),"")</f>
        <v>13.7930365742089</v>
      </c>
      <c r="EN57">
        <f>IF(AND(ISNUMBER(EM57),逐级计算!$X$143&gt;-1),IF(逐级计算!$X$143=0,EM57+逐级计算!$C$143,EM57+逐级计算!$C$143-(10/(逐级计算!$Q$143*LN(10))*(MAX((LN(10^(逐级计算!$Q$143/10)-1)+逐级计算!$Q$143*(EM57-逐级计算!$P$143)*LN(10)/10),0)+LN(1+EXP(-ABS((LN(10^(逐级计算!$Q$143/10)-1)+逐级计算!$Q$143*(EM57-逐级计算!$P$143)*LN(10)/10))))))),"")</f>
        <v>13.7930365742089</v>
      </c>
      <c r="EO57">
        <f>IF(AND(ISNUMBER(EN57),逐级计算!$X$144&gt;-1),IF(逐级计算!$X$144=0,EN57+逐级计算!$C$144,EN57+逐级计算!$C$144-(10/(逐级计算!$Q$144*LN(10))*(MAX((LN(10^(逐级计算!$Q$144/10)-1)+逐级计算!$Q$144*(EN57-逐级计算!$P$144)*LN(10)/10),0)+LN(1+EXP(-ABS((LN(10^(逐级计算!$Q$144/10)-1)+逐级计算!$Q$144*(EN57-逐级计算!$P$144)*LN(10)/10))))))),"")</f>
        <v>13.7930365742089</v>
      </c>
      <c r="EP57">
        <f>IF(AND(ISNUMBER(EO57),逐级计算!$X$145&gt;-1),IF(逐级计算!$X$145=0,EO57+逐级计算!$C$145,EO57+逐级计算!$C$145-(10/(逐级计算!$Q$145*LN(10))*(MAX((LN(10^(逐级计算!$Q$145/10)-1)+逐级计算!$Q$145*(EO57-逐级计算!$P$145)*LN(10)/10),0)+LN(1+EXP(-ABS((LN(10^(逐级计算!$Q$145/10)-1)+逐级计算!$Q$145*(EO57-逐级计算!$P$145)*LN(10)/10))))))),"")</f>
        <v>13.7930365742089</v>
      </c>
      <c r="EQ57">
        <f>IF(AND(ISNUMBER(EP57),逐级计算!$X$146&gt;-1),IF(逐级计算!$X$146=0,EP57+逐级计算!$C$146,EP57+逐级计算!$C$146-(10/(逐级计算!$Q$146*LN(10))*(MAX((LN(10^(逐级计算!$Q$146/10)-1)+逐级计算!$Q$146*(EP57-逐级计算!$P$146)*LN(10)/10),0)+LN(1+EXP(-ABS((LN(10^(逐级计算!$Q$146/10)-1)+逐级计算!$Q$146*(EP57-逐级计算!$P$146)*LN(10)/10))))))),"")</f>
        <v>13.7930365742089</v>
      </c>
      <c r="ER57">
        <f>IF(AND(ISNUMBER(EQ57),逐级计算!$X$147&gt;-1),IF(逐级计算!$X$147=0,EQ57+逐级计算!$C$147,EQ57+逐级计算!$C$147-(10/(逐级计算!$Q$147*LN(10))*(MAX((LN(10^(逐级计算!$Q$147/10)-1)+逐级计算!$Q$147*(EQ57-逐级计算!$P$147)*LN(10)/10),0)+LN(1+EXP(-ABS((LN(10^(逐级计算!$Q$147/10)-1)+逐级计算!$Q$147*(EQ57-逐级计算!$P$147)*LN(10)/10))))))),"")</f>
        <v>13.7930365742089</v>
      </c>
      <c r="ES57">
        <f>IF(AND(ISNUMBER(ER57),逐级计算!$X$148&gt;-1),IF(逐级计算!$X$148=0,ER57+逐级计算!$C$148,ER57+逐级计算!$C$148-(10/(逐级计算!$Q$148*LN(10))*(MAX((LN(10^(逐级计算!$Q$148/10)-1)+逐级计算!$Q$148*(ER57-逐级计算!$P$148)*LN(10)/10),0)+LN(1+EXP(-ABS((LN(10^(逐级计算!$Q$148/10)-1)+逐级计算!$Q$148*(ER57-逐级计算!$P$148)*LN(10)/10))))))),"")</f>
        <v>13.7930365742089</v>
      </c>
      <c r="ET57">
        <f>IF(AND(ISNUMBER(ES57),逐级计算!$X$149&gt;-1),IF(逐级计算!$X$149=0,ES57+逐级计算!$C$149,ES57+逐级计算!$C$149-(10/(逐级计算!$Q$149*LN(10))*(MAX((LN(10^(逐级计算!$Q$149/10)-1)+逐级计算!$Q$149*(ES57-逐级计算!$P$149)*LN(10)/10),0)+LN(1+EXP(-ABS((LN(10^(逐级计算!$Q$149/10)-1)+逐级计算!$Q$149*(ES57-逐级计算!$P$149)*LN(10)/10))))))),"")</f>
        <v>13.7930365742089</v>
      </c>
      <c r="EU57">
        <f>IF(AND(ISNUMBER(ET57),逐级计算!$X$150&gt;-1),IF(逐级计算!$X$150=0,ET57+逐级计算!$C$150,ET57+逐级计算!$C$150-(10/(逐级计算!$Q$150*LN(10))*(MAX((LN(10^(逐级计算!$Q$150/10)-1)+逐级计算!$Q$150*(ET57-逐级计算!$P$150)*LN(10)/10),0)+LN(1+EXP(-ABS((LN(10^(逐级计算!$Q$150/10)-1)+逐级计算!$Q$150*(ET57-逐级计算!$P$150)*LN(10)/10))))))),"")</f>
        <v>13.7930365742089</v>
      </c>
      <c r="EV57">
        <f>IF(AND(ISNUMBER(EU57),逐级计算!$X$151&gt;-1),IF(逐级计算!$X$151=0,EU57+逐级计算!$C$151,EU57+逐级计算!$C$151-(10/(逐级计算!$Q$151*LN(10))*(MAX((LN(10^(逐级计算!$Q$151/10)-1)+逐级计算!$Q$151*(EU57-逐级计算!$P$151)*LN(10)/10),0)+LN(1+EXP(-ABS((LN(10^(逐级计算!$Q$151/10)-1)+逐级计算!$Q$151*(EU57-逐级计算!$P$151)*LN(10)/10))))))),"")</f>
        <v>13.7930365742089</v>
      </c>
      <c r="EW57">
        <f>IF(AND(ISNUMBER(EV57),逐级计算!$X$152&gt;-1),IF(逐级计算!$X$152=0,EV57+逐级计算!$C$152,EV57+逐级计算!$C$152-(10/(逐级计算!$Q$152*LN(10))*(MAX((LN(10^(逐级计算!$Q$152/10)-1)+逐级计算!$Q$152*(EV57-逐级计算!$P$152)*LN(10)/10),0)+LN(1+EXP(-ABS((LN(10^(逐级计算!$Q$152/10)-1)+逐级计算!$Q$152*(EV57-逐级计算!$P$152)*LN(10)/10))))))),"")</f>
        <v>13.7930365742089</v>
      </c>
      <c r="EX57">
        <f>IF(AND(ISNUMBER(EW57),逐级计算!$X$153&gt;-1),IF(逐级计算!$X$153=0,EW57+逐级计算!$C$153,EW57+逐级计算!$C$153-(10/(逐级计算!$Q$153*LN(10))*(MAX((LN(10^(逐级计算!$Q$153/10)-1)+逐级计算!$Q$153*(EW57-逐级计算!$P$153)*LN(10)/10),0)+LN(1+EXP(-ABS((LN(10^(逐级计算!$Q$153/10)-1)+逐级计算!$Q$153*(EW57-逐级计算!$P$153)*LN(10)/10))))))),"")</f>
        <v>13.7930365742089</v>
      </c>
      <c r="EY57">
        <f>IF(AND(ISNUMBER(EX57),逐级计算!$X$154&gt;-1),IF(逐级计算!$X$154=0,EX57+逐级计算!$C$154,EX57+逐级计算!$C$154-(10/(逐级计算!$Q$154*LN(10))*(MAX((LN(10^(逐级计算!$Q$154/10)-1)+逐级计算!$Q$154*(EX57-逐级计算!$P$154)*LN(10)/10),0)+LN(1+EXP(-ABS((LN(10^(逐级计算!$Q$154/10)-1)+逐级计算!$Q$154*(EX57-逐级计算!$P$154)*LN(10)/10))))))),"")</f>
        <v>13.7930365742089</v>
      </c>
      <c r="EZ57">
        <f>IF(AND(ISNUMBER(EY57),逐级计算!$X$155&gt;-1),IF(逐级计算!$X$155=0,EY57+逐级计算!$C$155,EY57+逐级计算!$C$155-(10/(逐级计算!$Q$155*LN(10))*(MAX((LN(10^(逐级计算!$Q$155/10)-1)+逐级计算!$Q$155*(EY57-逐级计算!$P$155)*LN(10)/10),0)+LN(1+EXP(-ABS((LN(10^(逐级计算!$Q$155/10)-1)+逐级计算!$Q$155*(EY57-逐级计算!$P$155)*LN(10)/10))))))),"")</f>
        <v>13.7930365742089</v>
      </c>
      <c r="FA57">
        <f>IF(AND(ISNUMBER(EZ57),逐级计算!$X$156&gt;-1),IF(逐级计算!$X$156=0,EZ57+逐级计算!$C$156,EZ57+逐级计算!$C$156-(10/(逐级计算!$Q$156*LN(10))*(MAX((LN(10^(逐级计算!$Q$156/10)-1)+逐级计算!$Q$156*(EZ57-逐级计算!$P$156)*LN(10)/10),0)+LN(1+EXP(-ABS((LN(10^(逐级计算!$Q$156/10)-1)+逐级计算!$Q$156*(EZ57-逐级计算!$P$156)*LN(10)/10))))))),"")</f>
        <v>13.7930365742089</v>
      </c>
      <c r="FB57">
        <f>IF(AND(ISNUMBER(FA57),逐级计算!$X$157&gt;-1),IF(逐级计算!$X$157=0,FA57+逐级计算!$C$157,FA57+逐级计算!$C$157-(10/(逐级计算!$Q$157*LN(10))*(MAX((LN(10^(逐级计算!$Q$157/10)-1)+逐级计算!$Q$157*(FA57-逐级计算!$P$157)*LN(10)/10),0)+LN(1+EXP(-ABS((LN(10^(逐级计算!$Q$157/10)-1)+逐级计算!$Q$157*(FA57-逐级计算!$P$157)*LN(10)/10))))))),"")</f>
        <v>13.7930365742089</v>
      </c>
      <c r="FC57">
        <f>IF(AND(ISNUMBER(FB57),逐级计算!$X$158&gt;-1),IF(逐级计算!$X$158=0,FB57+逐级计算!$C$158,FB57+逐级计算!$C$158-(10/(逐级计算!$Q$158*LN(10))*(MAX((LN(10^(逐级计算!$Q$158/10)-1)+逐级计算!$Q$158*(FB57-逐级计算!$P$158)*LN(10)/10),0)+LN(1+EXP(-ABS((LN(10^(逐级计算!$Q$158/10)-1)+逐级计算!$Q$158*(FB57-逐级计算!$P$158)*LN(10)/10))))))),"")</f>
        <v>13.7930365742089</v>
      </c>
      <c r="FD57">
        <f>IF(AND(ISNUMBER(FC57),逐级计算!$X$159&gt;-1),IF(逐级计算!$X$159=0,FC57+逐级计算!$C$159,FC57+逐级计算!$C$159-(10/(逐级计算!$Q$159*LN(10))*(MAX((LN(10^(逐级计算!$Q$159/10)-1)+逐级计算!$Q$159*(FC57-逐级计算!$P$159)*LN(10)/10),0)+LN(1+EXP(-ABS((LN(10^(逐级计算!$Q$159/10)-1)+逐级计算!$Q$159*(FC57-逐级计算!$P$159)*LN(10)/10))))))),"")</f>
        <v>13.7930365742089</v>
      </c>
      <c r="FE57">
        <f>IF(AND(ISNUMBER(FD57),逐级计算!$X$160&gt;-1),IF(逐级计算!$X$160=0,FD57+逐级计算!$C$160,FD57+逐级计算!$C$160-(10/(逐级计算!$Q$160*LN(10))*(MAX((LN(10^(逐级计算!$Q$160/10)-1)+逐级计算!$Q$160*(FD57-逐级计算!$P$160)*LN(10)/10),0)+LN(1+EXP(-ABS((LN(10^(逐级计算!$Q$160/10)-1)+逐级计算!$Q$160*(FD57-逐级计算!$P$160)*LN(10)/10))))))),"")</f>
        <v>13.7930365742089</v>
      </c>
      <c r="FF57">
        <f>IF(AND(ISNUMBER(FE57),逐级计算!$X$161&gt;-1),IF(逐级计算!$X$161=0,FE57+逐级计算!$C$161,FE57+逐级计算!$C$161-(10/(逐级计算!$Q$161*LN(10))*(MAX((LN(10^(逐级计算!$Q$161/10)-1)+逐级计算!$Q$161*(FE57-逐级计算!$P$161)*LN(10)/10),0)+LN(1+EXP(-ABS((LN(10^(逐级计算!$Q$161/10)-1)+逐级计算!$Q$161*(FE57-逐级计算!$P$161)*LN(10)/10))))))),"")</f>
        <v>13.7930365742089</v>
      </c>
      <c r="FG57">
        <f>IF(AND(ISNUMBER(FF57),逐级计算!$X$162&gt;-1),IF(逐级计算!$X$162=0,FF57+逐级计算!$C$162,FF57+逐级计算!$C$162-(10/(逐级计算!$Q$162*LN(10))*(MAX((LN(10^(逐级计算!$Q$162/10)-1)+逐级计算!$Q$162*(FF57-逐级计算!$P$162)*LN(10)/10),0)+LN(1+EXP(-ABS((LN(10^(逐级计算!$Q$162/10)-1)+逐级计算!$Q$162*(FF57-逐级计算!$P$162)*LN(10)/10))))))),"")</f>
        <v>13.7930365742089</v>
      </c>
      <c r="FH57">
        <f>IF(AND(ISNUMBER(FG57),逐级计算!$X$163&gt;-1),IF(逐级计算!$X$163=0,FG57+逐级计算!$C$163,FG57+逐级计算!$C$163-(10/(逐级计算!$Q$163*LN(10))*(MAX((LN(10^(逐级计算!$Q$163/10)-1)+逐级计算!$Q$163*(FG57-逐级计算!$P$163)*LN(10)/10),0)+LN(1+EXP(-ABS((LN(10^(逐级计算!$Q$163/10)-1)+逐级计算!$Q$163*(FG57-逐级计算!$P$163)*LN(10)/10))))))),"")</f>
        <v>13.7930365742089</v>
      </c>
      <c r="FI57">
        <f>IF(AND(ISNUMBER(FH57),逐级计算!$X$164&gt;-1),IF(逐级计算!$X$164=0,FH57+逐级计算!$C$164,FH57+逐级计算!$C$164-(10/(逐级计算!$Q$164*LN(10))*(MAX((LN(10^(逐级计算!$Q$164/10)-1)+逐级计算!$Q$164*(FH57-逐级计算!$P$164)*LN(10)/10),0)+LN(1+EXP(-ABS((LN(10^(逐级计算!$Q$164/10)-1)+逐级计算!$Q$164*(FH57-逐级计算!$P$164)*LN(10)/10))))))),"")</f>
        <v>13.7930365742089</v>
      </c>
      <c r="FJ57">
        <f>IF(AND(ISNUMBER(FI57),逐级计算!$X$165&gt;-1),IF(逐级计算!$X$165=0,FI57+逐级计算!$C$165,FI57+逐级计算!$C$165-(10/(逐级计算!$Q$165*LN(10))*(MAX((LN(10^(逐级计算!$Q$165/10)-1)+逐级计算!$Q$165*(FI57-逐级计算!$P$165)*LN(10)/10),0)+LN(1+EXP(-ABS((LN(10^(逐级计算!$Q$165/10)-1)+逐级计算!$Q$165*(FI57-逐级计算!$P$165)*LN(10)/10))))))),"")</f>
        <v>13.7930365742089</v>
      </c>
      <c r="FK57">
        <f>IF(AND(ISNUMBER(FJ57),逐级计算!$X$166&gt;-1),IF(逐级计算!$X$166=0,FJ57+逐级计算!$C$166,FJ57+逐级计算!$C$166-(10/(逐级计算!$Q$166*LN(10))*(MAX((LN(10^(逐级计算!$Q$166/10)-1)+逐级计算!$Q$166*(FJ57-逐级计算!$P$166)*LN(10)/10),0)+LN(1+EXP(-ABS((LN(10^(逐级计算!$Q$166/10)-1)+逐级计算!$Q$166*(FJ57-逐级计算!$P$166)*LN(10)/10))))))),"")</f>
        <v>13.7930365742089</v>
      </c>
      <c r="FL57">
        <f>IF(AND(ISNUMBER(FK57),逐级计算!$X$167&gt;-1),IF(逐级计算!$X$167=0,FK57+逐级计算!$C$167,FK57+逐级计算!$C$167-(10/(逐级计算!$Q$167*LN(10))*(MAX((LN(10^(逐级计算!$Q$167/10)-1)+逐级计算!$Q$167*(FK57-逐级计算!$P$167)*LN(10)/10),0)+LN(1+EXP(-ABS((LN(10^(逐级计算!$Q$167/10)-1)+逐级计算!$Q$167*(FK57-逐级计算!$P$167)*LN(10)/10))))))),"")</f>
        <v>13.7930365742089</v>
      </c>
      <c r="FM57">
        <f>IF(AND(ISNUMBER(FL57),逐级计算!$X$168&gt;-1),IF(逐级计算!$X$168=0,FL57+逐级计算!$C$168,FL57+逐级计算!$C$168-(10/(逐级计算!$Q$168*LN(10))*(MAX((LN(10^(逐级计算!$Q$168/10)-1)+逐级计算!$Q$168*(FL57-逐级计算!$P$168)*LN(10)/10),0)+LN(1+EXP(-ABS((LN(10^(逐级计算!$Q$168/10)-1)+逐级计算!$Q$168*(FL57-逐级计算!$P$168)*LN(10)/10))))))),"")</f>
        <v>13.7930365742089</v>
      </c>
      <c r="FN57">
        <f>IF(AND(ISNUMBER(FM57),逐级计算!$X$169&gt;-1),IF(逐级计算!$X$169=0,FM57+逐级计算!$C$169,FM57+逐级计算!$C$169-(10/(逐级计算!$Q$169*LN(10))*(MAX((LN(10^(逐级计算!$Q$169/10)-1)+逐级计算!$Q$169*(FM57-逐级计算!$P$169)*LN(10)/10),0)+LN(1+EXP(-ABS((LN(10^(逐级计算!$Q$169/10)-1)+逐级计算!$Q$169*(FM57-逐级计算!$P$169)*LN(10)/10))))))),"")</f>
        <v>13.7930365742089</v>
      </c>
      <c r="FO57">
        <f>IF(AND(ISNUMBER(FN57),逐级计算!$X$170&gt;-1),IF(逐级计算!$X$170=0,FN57+逐级计算!$C$170,FN57+逐级计算!$C$170-(10/(逐级计算!$Q$170*LN(10))*(MAX((LN(10^(逐级计算!$Q$170/10)-1)+逐级计算!$Q$170*(FN57-逐级计算!$P$170)*LN(10)/10),0)+LN(1+EXP(-ABS((LN(10^(逐级计算!$Q$170/10)-1)+逐级计算!$Q$170*(FN57-逐级计算!$P$170)*LN(10)/10))))))),"")</f>
        <v>13.7930365742089</v>
      </c>
      <c r="FP57">
        <f>IF(AND(ISNUMBER(FO57),逐级计算!$X$171&gt;-1),IF(逐级计算!$X$171=0,FO57+逐级计算!$C$171,FO57+逐级计算!$C$171-(10/(逐级计算!$Q$171*LN(10))*(MAX((LN(10^(逐级计算!$Q$171/10)-1)+逐级计算!$Q$171*(FO57-逐级计算!$P$171)*LN(10)/10),0)+LN(1+EXP(-ABS((LN(10^(逐级计算!$Q$171/10)-1)+逐级计算!$Q$171*(FO57-逐级计算!$P$171)*LN(10)/10))))))),"")</f>
        <v>13.7930365742089</v>
      </c>
      <c r="FQ57">
        <f>IF(AND(ISNUMBER(FP57),逐级计算!$X$172&gt;-1),IF(逐级计算!$X$172=0,FP57+逐级计算!$C$172,FP57+逐级计算!$C$172-(10/(逐级计算!$Q$172*LN(10))*(MAX((LN(10^(逐级计算!$Q$172/10)-1)+逐级计算!$Q$172*(FP57-逐级计算!$P$172)*LN(10)/10),0)+LN(1+EXP(-ABS((LN(10^(逐级计算!$Q$172/10)-1)+逐级计算!$Q$172*(FP57-逐级计算!$P$172)*LN(10)/10))))))),"")</f>
        <v>13.7930365742089</v>
      </c>
      <c r="FR57">
        <f>IF(AND(ISNUMBER(FQ57),逐级计算!$X$173&gt;-1),IF(逐级计算!$X$173=0,FQ57+逐级计算!$C$173,FQ57+逐级计算!$C$173-(10/(逐级计算!$Q$173*LN(10))*(MAX((LN(10^(逐级计算!$Q$173/10)-1)+逐级计算!$Q$173*(FQ57-逐级计算!$P$173)*LN(10)/10),0)+LN(1+EXP(-ABS((LN(10^(逐级计算!$Q$173/10)-1)+逐级计算!$Q$173*(FQ57-逐级计算!$P$173)*LN(10)/10))))))),"")</f>
        <v>13.7930365742089</v>
      </c>
      <c r="FS57">
        <f>IF(AND(ISNUMBER(FR57),逐级计算!$X$174&gt;-1),IF(逐级计算!$X$174=0,FR57+逐级计算!$C$174,FR57+逐级计算!$C$174-(10/(逐级计算!$Q$174*LN(10))*(MAX((LN(10^(逐级计算!$Q$174/10)-1)+逐级计算!$Q$174*(FR57-逐级计算!$P$174)*LN(10)/10),0)+LN(1+EXP(-ABS((LN(10^(逐级计算!$Q$174/10)-1)+逐级计算!$Q$174*(FR57-逐级计算!$P$174)*LN(10)/10))))))),"")</f>
        <v>13.7930365742089</v>
      </c>
      <c r="FT57">
        <f>IF(AND(ISNUMBER(FS57),逐级计算!$X$175&gt;-1),IF(逐级计算!$X$175=0,FS57+逐级计算!$C$175,FS57+逐级计算!$C$175-(10/(逐级计算!$Q$175*LN(10))*(MAX((LN(10^(逐级计算!$Q$175/10)-1)+逐级计算!$Q$175*(FS57-逐级计算!$P$175)*LN(10)/10),0)+LN(1+EXP(-ABS((LN(10^(逐级计算!$Q$175/10)-1)+逐级计算!$Q$175*(FS57-逐级计算!$P$175)*LN(10)/10))))))),"")</f>
        <v>13.7930365742089</v>
      </c>
      <c r="FU57">
        <f>IF(AND(ISNUMBER(FT57),逐级计算!$X$176&gt;-1),IF(逐级计算!$X$176=0,FT57+逐级计算!$C$176,FT57+逐级计算!$C$176-(10/(逐级计算!$Q$176*LN(10))*(MAX((LN(10^(逐级计算!$Q$176/10)-1)+逐级计算!$Q$176*(FT57-逐级计算!$P$176)*LN(10)/10),0)+LN(1+EXP(-ABS((LN(10^(逐级计算!$Q$176/10)-1)+逐级计算!$Q$176*(FT57-逐级计算!$P$176)*LN(10)/10))))))),"")</f>
        <v>13.7930365742089</v>
      </c>
      <c r="FV57">
        <f>IF(AND(ISNUMBER(FU57),逐级计算!$X$177&gt;-1),IF(逐级计算!$X$177=0,FU57+逐级计算!$C$177,FU57+逐级计算!$C$177-(10/(逐级计算!$Q$177*LN(10))*(MAX((LN(10^(逐级计算!$Q$177/10)-1)+逐级计算!$Q$177*(FU57-逐级计算!$P$177)*LN(10)/10),0)+LN(1+EXP(-ABS((LN(10^(逐级计算!$Q$177/10)-1)+逐级计算!$Q$177*(FU57-逐级计算!$P$177)*LN(10)/10))))))),"")</f>
        <v>13.7930365742089</v>
      </c>
      <c r="FW57">
        <f>IF(AND(ISNUMBER(FV57),逐级计算!$X$178&gt;-1),IF(逐级计算!$X$178=0,FV57+逐级计算!$C$178,FV57+逐级计算!$C$178-(10/(逐级计算!$Q$178*LN(10))*(MAX((LN(10^(逐级计算!$Q$178/10)-1)+逐级计算!$Q$178*(FV57-逐级计算!$P$178)*LN(10)/10),0)+LN(1+EXP(-ABS((LN(10^(逐级计算!$Q$178/10)-1)+逐级计算!$Q$178*(FV57-逐级计算!$P$178)*LN(10)/10))))))),"")</f>
        <v>13.7930365742089</v>
      </c>
      <c r="FX57">
        <f>IF(AND(ISNUMBER(FW57),逐级计算!$X$179&gt;-1),IF(逐级计算!$X$179=0,FW57+逐级计算!$C$179,FW57+逐级计算!$C$179-(10/(逐级计算!$Q$179*LN(10))*(MAX((LN(10^(逐级计算!$Q$179/10)-1)+逐级计算!$Q$179*(FW57-逐级计算!$P$179)*LN(10)/10),0)+LN(1+EXP(-ABS((LN(10^(逐级计算!$Q$179/10)-1)+逐级计算!$Q$179*(FW57-逐级计算!$P$179)*LN(10)/10))))))),"")</f>
        <v>13.7930365742089</v>
      </c>
      <c r="FY57">
        <f>IF(AND(ISNUMBER(FX57),逐级计算!$X$180&gt;-1),IF(逐级计算!$X$180=0,FX57+逐级计算!$C$180,FX57+逐级计算!$C$180-(10/(逐级计算!$Q$180*LN(10))*(MAX((LN(10^(逐级计算!$Q$180/10)-1)+逐级计算!$Q$180*(FX57-逐级计算!$P$180)*LN(10)/10),0)+LN(1+EXP(-ABS((LN(10^(逐级计算!$Q$180/10)-1)+逐级计算!$Q$180*(FX57-逐级计算!$P$180)*LN(10)/10))))))),"")</f>
        <v>13.7930365742089</v>
      </c>
      <c r="FZ57">
        <f>IF(AND(ISNUMBER(FY57),逐级计算!$X$181&gt;-1),IF(逐级计算!$X$181=0,FY57+逐级计算!$C$181,FY57+逐级计算!$C$181-(10/(逐级计算!$Q$181*LN(10))*(MAX((LN(10^(逐级计算!$Q$181/10)-1)+逐级计算!$Q$181*(FY57-逐级计算!$P$181)*LN(10)/10),0)+LN(1+EXP(-ABS((LN(10^(逐级计算!$Q$181/10)-1)+逐级计算!$Q$181*(FY57-逐级计算!$P$181)*LN(10)/10))))))),"")</f>
        <v>13.7930365742089</v>
      </c>
      <c r="GA57">
        <f>IF(AND(ISNUMBER(FZ57),逐级计算!$X$182&gt;-1),IF(逐级计算!$X$182=0,FZ57+逐级计算!$C$182,FZ57+逐级计算!$C$182-(10/(逐级计算!$Q$182*LN(10))*(MAX((LN(10^(逐级计算!$Q$182/10)-1)+逐级计算!$Q$182*(FZ57-逐级计算!$P$182)*LN(10)/10),0)+LN(1+EXP(-ABS((LN(10^(逐级计算!$Q$182/10)-1)+逐级计算!$Q$182*(FZ57-逐级计算!$P$182)*LN(10)/10))))))),"")</f>
        <v>13.7930365742089</v>
      </c>
      <c r="GB57">
        <f>IF(AND(ISNUMBER(GA57),逐级计算!$X$183&gt;-1),IF(逐级计算!$X$183=0,GA57+逐级计算!$C$183,GA57+逐级计算!$C$183-(10/(逐级计算!$Q$183*LN(10))*(MAX((LN(10^(逐级计算!$Q$183/10)-1)+逐级计算!$Q$183*(GA57-逐级计算!$P$183)*LN(10)/10),0)+LN(1+EXP(-ABS((LN(10^(逐级计算!$Q$183/10)-1)+逐级计算!$Q$183*(GA57-逐级计算!$P$183)*LN(10)/10))))))),"")</f>
        <v>13.7930365742089</v>
      </c>
      <c r="GC57">
        <f>IF(AND(ISNUMBER(GB57),逐级计算!$X$184&gt;-1),IF(逐级计算!$X$184=0,GB57+逐级计算!$C$184,GB57+逐级计算!$C$184-(10/(逐级计算!$Q$184*LN(10))*(MAX((LN(10^(逐级计算!$Q$184/10)-1)+逐级计算!$Q$184*(GB57-逐级计算!$P$184)*LN(10)/10),0)+LN(1+EXP(-ABS((LN(10^(逐级计算!$Q$184/10)-1)+逐级计算!$Q$184*(GB57-逐级计算!$P$184)*LN(10)/10))))))),"")</f>
        <v>13.7930365742089</v>
      </c>
      <c r="GD57">
        <f>IF(AND(ISNUMBER(GC57),逐级计算!$X$185&gt;-1),IF(逐级计算!$X$185=0,GC57+逐级计算!$C$185,GC57+逐级计算!$C$185-(10/(逐级计算!$Q$185*LN(10))*(MAX((LN(10^(逐级计算!$Q$185/10)-1)+逐级计算!$Q$185*(GC57-逐级计算!$P$185)*LN(10)/10),0)+LN(1+EXP(-ABS((LN(10^(逐级计算!$Q$185/10)-1)+逐级计算!$Q$185*(GC57-逐级计算!$P$185)*LN(10)/10))))))),"")</f>
        <v>13.7930365742089</v>
      </c>
      <c r="GE57">
        <f>IF(AND(ISNUMBER(GD57),逐级计算!$X$186&gt;-1),IF(逐级计算!$X$186=0,GD57+逐级计算!$C$186,GD57+逐级计算!$C$186-(10/(逐级计算!$Q$186*LN(10))*(MAX((LN(10^(逐级计算!$Q$186/10)-1)+逐级计算!$Q$186*(GD57-逐级计算!$P$186)*LN(10)/10),0)+LN(1+EXP(-ABS((LN(10^(逐级计算!$Q$186/10)-1)+逐级计算!$Q$186*(GD57-逐级计算!$P$186)*LN(10)/10))))))),"")</f>
        <v>13.7930365742089</v>
      </c>
      <c r="GF57">
        <f>IF(AND(ISNUMBER(GE57),逐级计算!$X$187&gt;-1),IF(逐级计算!$X$187=0,GE57+逐级计算!$C$187,GE57+逐级计算!$C$187-(10/(逐级计算!$Q$187*LN(10))*(MAX((LN(10^(逐级计算!$Q$187/10)-1)+逐级计算!$Q$187*(GE57-逐级计算!$P$187)*LN(10)/10),0)+LN(1+EXP(-ABS((LN(10^(逐级计算!$Q$187/10)-1)+逐级计算!$Q$187*(GE57-逐级计算!$P$187)*LN(10)/10))))))),"")</f>
        <v>13.7930365742089</v>
      </c>
      <c r="GG57">
        <f>IF(AND(ISNUMBER(GF57),逐级计算!$X$188&gt;-1),IF(逐级计算!$X$188=0,GF57+逐级计算!$C$188,GF57+逐级计算!$C$188-(10/(逐级计算!$Q$188*LN(10))*(MAX((LN(10^(逐级计算!$Q$188/10)-1)+逐级计算!$Q$188*(GF57-逐级计算!$P$188)*LN(10)/10),0)+LN(1+EXP(-ABS((LN(10^(逐级计算!$Q$188/10)-1)+逐级计算!$Q$188*(GF57-逐级计算!$P$188)*LN(10)/10))))))),"")</f>
        <v>13.7930365742089</v>
      </c>
      <c r="GH57">
        <f>IF(AND(ISNUMBER(GG57),逐级计算!$X$189&gt;-1),IF(逐级计算!$X$189=0,GG57+逐级计算!$C$189,GG57+逐级计算!$C$189-(10/(逐级计算!$Q$189*LN(10))*(MAX((LN(10^(逐级计算!$Q$189/10)-1)+逐级计算!$Q$189*(GG57-逐级计算!$P$189)*LN(10)/10),0)+LN(1+EXP(-ABS((LN(10^(逐级计算!$Q$189/10)-1)+逐级计算!$Q$189*(GG57-逐级计算!$P$189)*LN(10)/10))))))),"")</f>
        <v>13.7930365742089</v>
      </c>
      <c r="GI57">
        <f>IF(AND(ISNUMBER(GH57),逐级计算!$X$190&gt;-1),IF(逐级计算!$X$190=0,GH57+逐级计算!$C$190,GH57+逐级计算!$C$190-(10/(逐级计算!$Q$190*LN(10))*(MAX((LN(10^(逐级计算!$Q$190/10)-1)+逐级计算!$Q$190*(GH57-逐级计算!$P$190)*LN(10)/10),0)+LN(1+EXP(-ABS((LN(10^(逐级计算!$Q$190/10)-1)+逐级计算!$Q$190*(GH57-逐级计算!$P$190)*LN(10)/10))))))),"")</f>
        <v>13.7930365742089</v>
      </c>
      <c r="GJ57">
        <f>IF(AND(ISNUMBER(GI57),逐级计算!$X$191&gt;-1),IF(逐级计算!$X$191=0,GI57+逐级计算!$C$191,GI57+逐级计算!$C$191-(10/(逐级计算!$Q$191*LN(10))*(MAX((LN(10^(逐级计算!$Q$191/10)-1)+逐级计算!$Q$191*(GI57-逐级计算!$P$191)*LN(10)/10),0)+LN(1+EXP(-ABS((LN(10^(逐级计算!$Q$191/10)-1)+逐级计算!$Q$191*(GI57-逐级计算!$P$191)*LN(10)/10))))))),"")</f>
        <v>13.7930365742089</v>
      </c>
      <c r="GK57">
        <f>IF(AND(ISNUMBER(GJ57),逐级计算!$X$192&gt;-1),IF(逐级计算!$X$192=0,GJ57+逐级计算!$C$192,GJ57+逐级计算!$C$192-(10/(逐级计算!$Q$192*LN(10))*(MAX((LN(10^(逐级计算!$Q$192/10)-1)+逐级计算!$Q$192*(GJ57-逐级计算!$P$192)*LN(10)/10),0)+LN(1+EXP(-ABS((LN(10^(逐级计算!$Q$192/10)-1)+逐级计算!$Q$192*(GJ57-逐级计算!$P$192)*LN(10)/10))))))),"")</f>
        <v>13.7930365742089</v>
      </c>
      <c r="GL57">
        <f>IF(AND(ISNUMBER(GK57),逐级计算!$X$193&gt;-1),IF(逐级计算!$X$193=0,GK57+逐级计算!$C$193,GK57+逐级计算!$C$193-(10/(逐级计算!$Q$193*LN(10))*(MAX((LN(10^(逐级计算!$Q$193/10)-1)+逐级计算!$Q$193*(GK57-逐级计算!$P$193)*LN(10)/10),0)+LN(1+EXP(-ABS((LN(10^(逐级计算!$Q$193/10)-1)+逐级计算!$Q$193*(GK57-逐级计算!$P$193)*LN(10)/10))))))),"")</f>
        <v>13.7930365742089</v>
      </c>
      <c r="GM57">
        <f>IF(AND(ISNUMBER(GL57),逐级计算!$X$194&gt;-1),IF(逐级计算!$X$194=0,GL57+逐级计算!$C$194,GL57+逐级计算!$C$194-(10/(逐级计算!$Q$194*LN(10))*(MAX((LN(10^(逐级计算!$Q$194/10)-1)+逐级计算!$Q$194*(GL57-逐级计算!$P$194)*LN(10)/10),0)+LN(1+EXP(-ABS((LN(10^(逐级计算!$Q$194/10)-1)+逐级计算!$Q$194*(GL57-逐级计算!$P$194)*LN(10)/10))))))),"")</f>
        <v>13.7930365742089</v>
      </c>
      <c r="GN57">
        <f>IF(AND(ISNUMBER(GM57),逐级计算!$X$195&gt;-1),IF(逐级计算!$X$195=0,GM57+逐级计算!$C$195,GM57+逐级计算!$C$195-(10/(逐级计算!$Q$195*LN(10))*(MAX((LN(10^(逐级计算!$Q$195/10)-1)+逐级计算!$Q$195*(GM57-逐级计算!$P$195)*LN(10)/10),0)+LN(1+EXP(-ABS((LN(10^(逐级计算!$Q$195/10)-1)+逐级计算!$Q$195*(GM57-逐级计算!$P$195)*LN(10)/10))))))),"")</f>
        <v>13.7930365742089</v>
      </c>
      <c r="GO57">
        <f>IF(AND(ISNUMBER(GN57),逐级计算!$X$196&gt;-1),IF(逐级计算!$X$196=0,GN57+逐级计算!$C$196,GN57+逐级计算!$C$196-(10/(逐级计算!$Q$196*LN(10))*(MAX((LN(10^(逐级计算!$Q$196/10)-1)+逐级计算!$Q$196*(GN57-逐级计算!$P$196)*LN(10)/10),0)+LN(1+EXP(-ABS((LN(10^(逐级计算!$Q$196/10)-1)+逐级计算!$Q$196*(GN57-逐级计算!$P$196)*LN(10)/10))))))),"")</f>
        <v>13.7930365742089</v>
      </c>
      <c r="GP57">
        <f>IF(AND(ISNUMBER(GO57),逐级计算!$X$197&gt;-1),IF(逐级计算!$X$197=0,GO57+逐级计算!$C$197,GO57+逐级计算!$C$197-(10/(逐级计算!$Q$197*LN(10))*(MAX((LN(10^(逐级计算!$Q$197/10)-1)+逐级计算!$Q$197*(GO57-逐级计算!$P$197)*LN(10)/10),0)+LN(1+EXP(-ABS((LN(10^(逐级计算!$Q$197/10)-1)+逐级计算!$Q$197*(GO57-逐级计算!$P$197)*LN(10)/10))))))),"")</f>
        <v>13.7930365742089</v>
      </c>
      <c r="GQ57">
        <f>IF(AND(ISNUMBER(GP57),逐级计算!$X$198&gt;-1),IF(逐级计算!$X$198=0,GP57+逐级计算!$C$198,GP57+逐级计算!$C$198-(10/(逐级计算!$Q$198*LN(10))*(MAX((LN(10^(逐级计算!$Q$198/10)-1)+逐级计算!$Q$198*(GP57-逐级计算!$P$198)*LN(10)/10),0)+LN(1+EXP(-ABS((LN(10^(逐级计算!$Q$198/10)-1)+逐级计算!$Q$198*(GP57-逐级计算!$P$198)*LN(10)/10))))))),"")</f>
        <v>13.7930365742089</v>
      </c>
      <c r="GR57">
        <f>IF(AND(ISNUMBER(GQ57),逐级计算!$X$199&gt;-1),IF(逐级计算!$X$199=0,GQ57+逐级计算!$C$199,GQ57+逐级计算!$C$199-(10/(逐级计算!$Q$199*LN(10))*(MAX((LN(10^(逐级计算!$Q$199/10)-1)+逐级计算!$Q$199*(GQ57-逐级计算!$P$199)*LN(10)/10),0)+LN(1+EXP(-ABS((LN(10^(逐级计算!$Q$199/10)-1)+逐级计算!$Q$199*(GQ57-逐级计算!$P$199)*LN(10)/10))))))),"")</f>
        <v>13.7930365742089</v>
      </c>
      <c r="GS57">
        <f>IF(AND(ISNUMBER(GR57),逐级计算!$X$200&gt;-1),IF(逐级计算!$X$200=0,GR57+逐级计算!$C$200,GR57+逐级计算!$C$200-(10/(逐级计算!$Q$200*LN(10))*(MAX((LN(10^(逐级计算!$Q$200/10)-1)+逐级计算!$Q$200*(GR57-逐级计算!$P$200)*LN(10)/10),0)+LN(1+EXP(-ABS((LN(10^(逐级计算!$Q$200/10)-1)+逐级计算!$Q$200*(GR57-逐级计算!$P$200)*LN(10)/10))))))),"")</f>
        <v>13.7930365742089</v>
      </c>
      <c r="GT57">
        <f>IF(AND(ISNUMBER(GS57),逐级计算!$X$201&gt;-1),IF(逐级计算!$X$201=0,GS57+逐级计算!$C$201,GS57+逐级计算!$C$201-(10/(逐级计算!$Q$201*LN(10))*(MAX((LN(10^(逐级计算!$Q$201/10)-1)+逐级计算!$Q$201*(GS57-逐级计算!$P$201)*LN(10)/10),0)+LN(1+EXP(-ABS((LN(10^(逐级计算!$Q$201/10)-1)+逐级计算!$Q$201*(GS57-逐级计算!$P$201)*LN(10)/10))))))),"")</f>
        <v>13.7930365742089</v>
      </c>
      <c r="GU57">
        <f>IF(AND(ISNUMBER(GT57),逐级计算!$X$202&gt;-1),IF(逐级计算!$X$202=0,GT57+逐级计算!$C$202,GT57+逐级计算!$C$202-(10/(逐级计算!$Q$202*LN(10))*(MAX((LN(10^(逐级计算!$Q$202/10)-1)+逐级计算!$Q$202*(GT57-逐级计算!$P$202)*LN(10)/10),0)+LN(1+EXP(-ABS((LN(10^(逐级计算!$Q$202/10)-1)+逐级计算!$Q$202*(GT57-逐级计算!$P$202)*LN(10)/10))))))),"")</f>
        <v>13.7930365742089</v>
      </c>
      <c r="GV57">
        <f>IF(AND(ISNUMBER(GU57),逐级计算!$X$203&gt;-1),IF(逐级计算!$X$203=0,GU57+逐级计算!$C$203,GU57+逐级计算!$C$203-(10/(逐级计算!$Q$203*LN(10))*(MAX((LN(10^(逐级计算!$Q$203/10)-1)+逐级计算!$Q$203*(GU57-逐级计算!$P$203)*LN(10)/10),0)+LN(1+EXP(-ABS((LN(10^(逐级计算!$Q$203/10)-1)+逐级计算!$Q$203*(GU57-逐级计算!$P$203)*LN(10)/10))))))),"")</f>
        <v>13.7930365742089</v>
      </c>
      <c r="GW57">
        <f t="shared" si="2"/>
        <v>-5.20696342579105</v>
      </c>
    </row>
    <row r="58" spans="1:205">
      <c r="A58">
        <v>51</v>
      </c>
      <c r="B58">
        <f t="shared" si="1"/>
        <v>-5.20696342579114</v>
      </c>
      <c r="C58">
        <f t="shared" si="0"/>
        <v>-5.20696342579109</v>
      </c>
      <c r="D58">
        <f>IF(AND(ISNUMBER(C58),ISNUMBER(逐级计算!$E$203),ISNUMBER(GV58)),C58+逐级计算!$E$203-GV58,"")</f>
        <v>1.00000000000001</v>
      </c>
      <c r="E58">
        <f>IF(AND(ISNUMBER(C58),逐级计算!$X$4&gt;-1),IF(逐级计算!$X$4=0,C58+逐级计算!$C$4,C58+逐级计算!$C$4-(10/(逐级计算!$Q$4*LN(10))*(MAX((LN(10^(逐级计算!$Q$4/10)-1)+逐级计算!$Q$4*(C58-逐级计算!$P$4)*LN(10)/10),0)+LN(1+EXP(-ABS((LN(10^(逐级计算!$Q$4/10)-1)+逐级计算!$Q$4*(C58-逐级计算!$P$4)*LN(10)/10))))))),"")</f>
        <v>4.68053982928313</v>
      </c>
      <c r="F58">
        <f>IF(AND(ISNUMBER(E58),逐级计算!$X$5&gt;-1),IF(逐级计算!$X$5=0,E58+逐级计算!$C$5,E58+逐级计算!$C$5-(10/(逐级计算!$Q$5*LN(10))*(MAX((LN(10^(逐级计算!$Q$5/10)-1)+逐级计算!$Q$5*(E58-逐级计算!$P$5)*LN(10)/10),0)+LN(1+EXP(-ABS((LN(10^(逐级计算!$Q$5/10)-1)+逐级计算!$Q$5*(E58-逐级计算!$P$5)*LN(10)/10))))))),"")</f>
        <v>13.7930365742089</v>
      </c>
      <c r="G58">
        <f>IF(AND(ISNUMBER(F58),逐级计算!$X$6&gt;-1),IF(逐级计算!$X$6=0,F58+逐级计算!$C$6,F58+逐级计算!$C$6-(10/(逐级计算!$Q$6*LN(10))*(MAX((LN(10^(逐级计算!$Q$6/10)-1)+逐级计算!$Q$6*(F58-逐级计算!$P$6)*LN(10)/10),0)+LN(1+EXP(-ABS((LN(10^(逐级计算!$Q$6/10)-1)+逐级计算!$Q$6*(F58-逐级计算!$P$6)*LN(10)/10))))))),"")</f>
        <v>13.7930365742089</v>
      </c>
      <c r="H58">
        <f>IF(AND(ISNUMBER(G58),逐级计算!$X$7&gt;-1),IF(逐级计算!$X$7=0,G58+逐级计算!$C$7,G58+逐级计算!$C$7-(10/(逐级计算!$Q$7*LN(10))*(MAX((LN(10^(逐级计算!$Q$7/10)-1)+逐级计算!$Q$7*(G58-逐级计算!$P$7)*LN(10)/10),0)+LN(1+EXP(-ABS((LN(10^(逐级计算!$Q$7/10)-1)+逐级计算!$Q$7*(G58-逐级计算!$P$7)*LN(10)/10))))))),"")</f>
        <v>13.7930365742089</v>
      </c>
      <c r="I58">
        <f>IF(AND(ISNUMBER(H58),逐级计算!$X$8&gt;-1),IF(逐级计算!$X$8=0,H58+逐级计算!$C$8,H58+逐级计算!$C$8-(10/(逐级计算!$Q$8*LN(10))*(MAX((LN(10^(逐级计算!$Q$8/10)-1)+逐级计算!$Q$8*(H58-逐级计算!$P$8)*LN(10)/10),0)+LN(1+EXP(-ABS((LN(10^(逐级计算!$Q$8/10)-1)+逐级计算!$Q$8*(H58-逐级计算!$P$8)*LN(10)/10))))))),"")</f>
        <v>13.7930365742089</v>
      </c>
      <c r="J58">
        <f>IF(AND(ISNUMBER(I58),逐级计算!$X$9&gt;-1),IF(逐级计算!$X$9=0,I58+逐级计算!$C$9,I58+逐级计算!$C$9-(10/(逐级计算!$Q$9*LN(10))*(MAX((LN(10^(逐级计算!$Q$9/10)-1)+逐级计算!$Q$9*(I58-逐级计算!$P$9)*LN(10)/10),0)+LN(1+EXP(-ABS((LN(10^(逐级计算!$Q$9/10)-1)+逐级计算!$Q$9*(I58-逐级计算!$P$9)*LN(10)/10))))))),"")</f>
        <v>13.7930365742089</v>
      </c>
      <c r="K58">
        <f>IF(AND(ISNUMBER(J58),逐级计算!$X$10&gt;-1),IF(逐级计算!$X$10=0,J58+逐级计算!$C$10,J58+逐级计算!$C$10-(10/(逐级计算!$Q$10*LN(10))*(MAX((LN(10^(逐级计算!$Q$10/10)-1)+逐级计算!$Q$10*(J58-逐级计算!$P$10)*LN(10)/10),0)+LN(1+EXP(-ABS((LN(10^(逐级计算!$Q$10/10)-1)+逐级计算!$Q$10*(J58-逐级计算!$P$10)*LN(10)/10))))))),"")</f>
        <v>13.7930365742089</v>
      </c>
      <c r="L58">
        <f>IF(AND(ISNUMBER(K58),逐级计算!$X$11&gt;-1),IF(逐级计算!$X$11=0,K58+逐级计算!$C$11,K58+逐级计算!$C$11-(10/(逐级计算!$Q$11*LN(10))*(MAX((LN(10^(逐级计算!$Q$11/10)-1)+逐级计算!$Q$11*(K58-逐级计算!$P$11)*LN(10)/10),0)+LN(1+EXP(-ABS((LN(10^(逐级计算!$Q$11/10)-1)+逐级计算!$Q$11*(K58-逐级计算!$P$11)*LN(10)/10))))))),"")</f>
        <v>13.7930365742089</v>
      </c>
      <c r="M58">
        <f>IF(AND(ISNUMBER(L58),逐级计算!$X$12&gt;-1),IF(逐级计算!$X$12=0,L58+逐级计算!$C$12,L58+逐级计算!$C$12-(10/(逐级计算!$Q$12*LN(10))*(MAX((LN(10^(逐级计算!$Q$12/10)-1)+逐级计算!$Q$12*(L58-逐级计算!$P$12)*LN(10)/10),0)+LN(1+EXP(-ABS((LN(10^(逐级计算!$Q$12/10)-1)+逐级计算!$Q$12*(L58-逐级计算!$P$12)*LN(10)/10))))))),"")</f>
        <v>13.7930365742089</v>
      </c>
      <c r="N58">
        <f>IF(AND(ISNUMBER(M58),逐级计算!$X$13&gt;-1),IF(逐级计算!$X$13=0,M58+逐级计算!$C$13,M58+逐级计算!$C$13-(10/(逐级计算!$Q$13*LN(10))*(MAX((LN(10^(逐级计算!$Q$13/10)-1)+逐级计算!$Q$13*(M58-逐级计算!$P$13)*LN(10)/10),0)+LN(1+EXP(-ABS((LN(10^(逐级计算!$Q$13/10)-1)+逐级计算!$Q$13*(M58-逐级计算!$P$13)*LN(10)/10))))))),"")</f>
        <v>13.7930365742089</v>
      </c>
      <c r="O58">
        <f>IF(AND(ISNUMBER(N58),逐级计算!$X$14&gt;-1),IF(逐级计算!$X$14=0,N58+逐级计算!$C$14,N58+逐级计算!$C$14-(10/(逐级计算!$Q$14*LN(10))*(MAX((LN(10^(逐级计算!$Q$14/10)-1)+逐级计算!$Q$14*(N58-逐级计算!$P$14)*LN(10)/10),0)+LN(1+EXP(-ABS((LN(10^(逐级计算!$Q$14/10)-1)+逐级计算!$Q$14*(N58-逐级计算!$P$14)*LN(10)/10))))))),"")</f>
        <v>13.7930365742089</v>
      </c>
      <c r="P58">
        <f>IF(AND(ISNUMBER(O58),逐级计算!$X$15&gt;-1),IF(逐级计算!$X$15=0,O58+逐级计算!$C$15,O58+逐级计算!$C$15-(10/(逐级计算!$Q$15*LN(10))*(MAX((LN(10^(逐级计算!$Q$15/10)-1)+逐级计算!$Q$15*(O58-逐级计算!$P$15)*LN(10)/10),0)+LN(1+EXP(-ABS((LN(10^(逐级计算!$Q$15/10)-1)+逐级计算!$Q$15*(O58-逐级计算!$P$15)*LN(10)/10))))))),"")</f>
        <v>13.7930365742089</v>
      </c>
      <c r="Q58">
        <f>IF(AND(ISNUMBER(P58),逐级计算!$X$16&gt;-1),IF(逐级计算!$X$16=0,P58+逐级计算!$C$16,P58+逐级计算!$C$16-(10/(逐级计算!$Q$16*LN(10))*(MAX((LN(10^(逐级计算!$Q$16/10)-1)+逐级计算!$Q$16*(P58-逐级计算!$P$16)*LN(10)/10),0)+LN(1+EXP(-ABS((LN(10^(逐级计算!$Q$16/10)-1)+逐级计算!$Q$16*(P58-逐级计算!$P$16)*LN(10)/10))))))),"")</f>
        <v>13.7930365742089</v>
      </c>
      <c r="R58">
        <f>IF(AND(ISNUMBER(Q58),逐级计算!$X$17&gt;-1),IF(逐级计算!$X$17=0,Q58+逐级计算!$C$17,Q58+逐级计算!$C$17-(10/(逐级计算!$Q$17*LN(10))*(MAX((LN(10^(逐级计算!$Q$17/10)-1)+逐级计算!$Q$17*(Q58-逐级计算!$P$17)*LN(10)/10),0)+LN(1+EXP(-ABS((LN(10^(逐级计算!$Q$17/10)-1)+逐级计算!$Q$17*(Q58-逐级计算!$P$17)*LN(10)/10))))))),"")</f>
        <v>13.7930365742089</v>
      </c>
      <c r="S58">
        <f>IF(AND(ISNUMBER(R58),逐级计算!$X$18&gt;-1),IF(逐级计算!$X$18=0,R58+逐级计算!$C$18,R58+逐级计算!$C$18-(10/(逐级计算!$Q$18*LN(10))*(MAX((LN(10^(逐级计算!$Q$18/10)-1)+逐级计算!$Q$18*(R58-逐级计算!$P$18)*LN(10)/10),0)+LN(1+EXP(-ABS((LN(10^(逐级计算!$Q$18/10)-1)+逐级计算!$Q$18*(R58-逐级计算!$P$18)*LN(10)/10))))))),"")</f>
        <v>13.7930365742089</v>
      </c>
      <c r="T58">
        <f>IF(AND(ISNUMBER(S58),逐级计算!$X$19&gt;-1),IF(逐级计算!$X$19=0,S58+逐级计算!$C$19,S58+逐级计算!$C$19-(10/(逐级计算!$Q$19*LN(10))*(MAX((LN(10^(逐级计算!$Q$19/10)-1)+逐级计算!$Q$19*(S58-逐级计算!$P$19)*LN(10)/10),0)+LN(1+EXP(-ABS((LN(10^(逐级计算!$Q$19/10)-1)+逐级计算!$Q$19*(S58-逐级计算!$P$19)*LN(10)/10))))))),"")</f>
        <v>13.7930365742089</v>
      </c>
      <c r="U58">
        <f>IF(AND(ISNUMBER(T58),逐级计算!$X$20&gt;-1),IF(逐级计算!$X$20=0,T58+逐级计算!$C$20,T58+逐级计算!$C$20-(10/(逐级计算!$Q$20*LN(10))*(MAX((LN(10^(逐级计算!$Q$20/10)-1)+逐级计算!$Q$20*(T58-逐级计算!$P$20)*LN(10)/10),0)+LN(1+EXP(-ABS((LN(10^(逐级计算!$Q$20/10)-1)+逐级计算!$Q$20*(T58-逐级计算!$P$20)*LN(10)/10))))))),"")</f>
        <v>13.7930365742089</v>
      </c>
      <c r="V58">
        <f>IF(AND(ISNUMBER(U58),逐级计算!$X$21&gt;-1),IF(逐级计算!$X$21=0,U58+逐级计算!$C$21,U58+逐级计算!$C$21-(10/(逐级计算!$Q$21*LN(10))*(MAX((LN(10^(逐级计算!$Q$21/10)-1)+逐级计算!$Q$21*(U58-逐级计算!$P$21)*LN(10)/10),0)+LN(1+EXP(-ABS((LN(10^(逐级计算!$Q$21/10)-1)+逐级计算!$Q$21*(U58-逐级计算!$P$21)*LN(10)/10))))))),"")</f>
        <v>13.7930365742089</v>
      </c>
      <c r="W58">
        <f>IF(AND(ISNUMBER(V58),逐级计算!$X$22&gt;-1),IF(逐级计算!$X$22=0,V58+逐级计算!$C$22,V58+逐级计算!$C$22-(10/(逐级计算!$Q$22*LN(10))*(MAX((LN(10^(逐级计算!$Q$22/10)-1)+逐级计算!$Q$22*(V58-逐级计算!$P$22)*LN(10)/10),0)+LN(1+EXP(-ABS((LN(10^(逐级计算!$Q$22/10)-1)+逐级计算!$Q$22*(V58-逐级计算!$P$22)*LN(10)/10))))))),"")</f>
        <v>13.7930365742089</v>
      </c>
      <c r="X58">
        <f>IF(AND(ISNUMBER(W58),逐级计算!$X$23&gt;-1),IF(逐级计算!$X$23=0,W58+逐级计算!$C$23,W58+逐级计算!$C$23-(10/(逐级计算!$Q$23*LN(10))*(MAX((LN(10^(逐级计算!$Q$23/10)-1)+逐级计算!$Q$23*(W58-逐级计算!$P$23)*LN(10)/10),0)+LN(1+EXP(-ABS((LN(10^(逐级计算!$Q$23/10)-1)+逐级计算!$Q$23*(W58-逐级计算!$P$23)*LN(10)/10))))))),"")</f>
        <v>13.7930365742089</v>
      </c>
      <c r="Y58">
        <f>IF(AND(ISNUMBER(X58),逐级计算!$X$24&gt;-1),IF(逐级计算!$X$24=0,X58+逐级计算!$C$24,X58+逐级计算!$C$24-(10/(逐级计算!$Q$24*LN(10))*(MAX((LN(10^(逐级计算!$Q$24/10)-1)+逐级计算!$Q$24*(X58-逐级计算!$P$24)*LN(10)/10),0)+LN(1+EXP(-ABS((LN(10^(逐级计算!$Q$24/10)-1)+逐级计算!$Q$24*(X58-逐级计算!$P$24)*LN(10)/10))))))),"")</f>
        <v>13.7930365742089</v>
      </c>
      <c r="Z58">
        <f>IF(AND(ISNUMBER(Y58),逐级计算!$X$25&gt;-1),IF(逐级计算!$X$25=0,Y58+逐级计算!$C$25,Y58+逐级计算!$C$25-(10/(逐级计算!$Q$25*LN(10))*(MAX((LN(10^(逐级计算!$Q$25/10)-1)+逐级计算!$Q$25*(Y58-逐级计算!$P$25)*LN(10)/10),0)+LN(1+EXP(-ABS((LN(10^(逐级计算!$Q$25/10)-1)+逐级计算!$Q$25*(Y58-逐级计算!$P$25)*LN(10)/10))))))),"")</f>
        <v>13.7930365742089</v>
      </c>
      <c r="AA58">
        <f>IF(AND(ISNUMBER(Z58),逐级计算!$X$26&gt;-1),IF(逐级计算!$X$26=0,Z58+逐级计算!$C$26,Z58+逐级计算!$C$26-(10/(逐级计算!$Q$26*LN(10))*(MAX((LN(10^(逐级计算!$Q$26/10)-1)+逐级计算!$Q$26*(Z58-逐级计算!$P$26)*LN(10)/10),0)+LN(1+EXP(-ABS((LN(10^(逐级计算!$Q$26/10)-1)+逐级计算!$Q$26*(Z58-逐级计算!$P$26)*LN(10)/10))))))),"")</f>
        <v>13.7930365742089</v>
      </c>
      <c r="AB58">
        <f>IF(AND(ISNUMBER(AA58),逐级计算!$X$27&gt;-1),IF(逐级计算!$X$27=0,AA58+逐级计算!$C$27,AA58+逐级计算!$C$27-(10/(逐级计算!$Q$27*LN(10))*(MAX((LN(10^(逐级计算!$Q$27/10)-1)+逐级计算!$Q$27*(AA58-逐级计算!$P$27)*LN(10)/10),0)+LN(1+EXP(-ABS((LN(10^(逐级计算!$Q$27/10)-1)+逐级计算!$Q$27*(AA58-逐级计算!$P$27)*LN(10)/10))))))),"")</f>
        <v>13.7930365742089</v>
      </c>
      <c r="AC58">
        <f>IF(AND(ISNUMBER(AB58),逐级计算!$X$28&gt;-1),IF(逐级计算!$X$28=0,AB58+逐级计算!$C$28,AB58+逐级计算!$C$28-(10/(逐级计算!$Q$28*LN(10))*(MAX((LN(10^(逐级计算!$Q$28/10)-1)+逐级计算!$Q$28*(AB58-逐级计算!$P$28)*LN(10)/10),0)+LN(1+EXP(-ABS((LN(10^(逐级计算!$Q$28/10)-1)+逐级计算!$Q$28*(AB58-逐级计算!$P$28)*LN(10)/10))))))),"")</f>
        <v>13.7930365742089</v>
      </c>
      <c r="AD58">
        <f>IF(AND(ISNUMBER(AC58),逐级计算!$X$29&gt;-1),IF(逐级计算!$X$29=0,AC58+逐级计算!$C$29,AC58+逐级计算!$C$29-(10/(逐级计算!$Q$29*LN(10))*(MAX((LN(10^(逐级计算!$Q$29/10)-1)+逐级计算!$Q$29*(AC58-逐级计算!$P$29)*LN(10)/10),0)+LN(1+EXP(-ABS((LN(10^(逐级计算!$Q$29/10)-1)+逐级计算!$Q$29*(AC58-逐级计算!$P$29)*LN(10)/10))))))),"")</f>
        <v>13.7930365742089</v>
      </c>
      <c r="AE58">
        <f>IF(AND(ISNUMBER(AD58),逐级计算!$X$30&gt;-1),IF(逐级计算!$X$30=0,AD58+逐级计算!$C$30,AD58+逐级计算!$C$30-(10/(逐级计算!$Q$30*LN(10))*(MAX((LN(10^(逐级计算!$Q$30/10)-1)+逐级计算!$Q$30*(AD58-逐级计算!$P$30)*LN(10)/10),0)+LN(1+EXP(-ABS((LN(10^(逐级计算!$Q$30/10)-1)+逐级计算!$Q$30*(AD58-逐级计算!$P$30)*LN(10)/10))))))),"")</f>
        <v>13.7930365742089</v>
      </c>
      <c r="AF58">
        <f>IF(AND(ISNUMBER(AE58),逐级计算!$X$31&gt;-1),IF(逐级计算!$X$31=0,AE58+逐级计算!$C$31,AE58+逐级计算!$C$31-(10/(逐级计算!$Q$31*LN(10))*(MAX((LN(10^(逐级计算!$Q$31/10)-1)+逐级计算!$Q$31*(AE58-逐级计算!$P$31)*LN(10)/10),0)+LN(1+EXP(-ABS((LN(10^(逐级计算!$Q$31/10)-1)+逐级计算!$Q$31*(AE58-逐级计算!$P$31)*LN(10)/10))))))),"")</f>
        <v>13.7930365742089</v>
      </c>
      <c r="AG58">
        <f>IF(AND(ISNUMBER(AF58),逐级计算!$X$32&gt;-1),IF(逐级计算!$X$32=0,AF58+逐级计算!$C$32,AF58+逐级计算!$C$32-(10/(逐级计算!$Q$32*LN(10))*(MAX((LN(10^(逐级计算!$Q$32/10)-1)+逐级计算!$Q$32*(AF58-逐级计算!$P$32)*LN(10)/10),0)+LN(1+EXP(-ABS((LN(10^(逐级计算!$Q$32/10)-1)+逐级计算!$Q$32*(AF58-逐级计算!$P$32)*LN(10)/10))))))),"")</f>
        <v>13.7930365742089</v>
      </c>
      <c r="AH58">
        <f>IF(AND(ISNUMBER(AG58),逐级计算!$X$33&gt;-1),IF(逐级计算!$X$33=0,AG58+逐级计算!$C$33,AG58+逐级计算!$C$33-(10/(逐级计算!$Q$33*LN(10))*(MAX((LN(10^(逐级计算!$Q$33/10)-1)+逐级计算!$Q$33*(AG58-逐级计算!$P$33)*LN(10)/10),0)+LN(1+EXP(-ABS((LN(10^(逐级计算!$Q$33/10)-1)+逐级计算!$Q$33*(AG58-逐级计算!$P$33)*LN(10)/10))))))),"")</f>
        <v>13.7930365742089</v>
      </c>
      <c r="AI58">
        <f>IF(AND(ISNUMBER(AH58),逐级计算!$X$34&gt;-1),IF(逐级计算!$X$34=0,AH58+逐级计算!$C$34,AH58+逐级计算!$C$34-(10/(逐级计算!$Q$34*LN(10))*(MAX((LN(10^(逐级计算!$Q$34/10)-1)+逐级计算!$Q$34*(AH58-逐级计算!$P$34)*LN(10)/10),0)+LN(1+EXP(-ABS((LN(10^(逐级计算!$Q$34/10)-1)+逐级计算!$Q$34*(AH58-逐级计算!$P$34)*LN(10)/10))))))),"")</f>
        <v>13.7930365742089</v>
      </c>
      <c r="AJ58">
        <f>IF(AND(ISNUMBER(AI58),逐级计算!$X$35&gt;-1),IF(逐级计算!$X$35=0,AI58+逐级计算!$C$35,AI58+逐级计算!$C$35-(10/(逐级计算!$Q$35*LN(10))*(MAX((LN(10^(逐级计算!$Q$35/10)-1)+逐级计算!$Q$35*(AI58-逐级计算!$P$35)*LN(10)/10),0)+LN(1+EXP(-ABS((LN(10^(逐级计算!$Q$35/10)-1)+逐级计算!$Q$35*(AI58-逐级计算!$P$35)*LN(10)/10))))))),"")</f>
        <v>13.7930365742089</v>
      </c>
      <c r="AK58">
        <f>IF(AND(ISNUMBER(AJ58),逐级计算!$X$36&gt;-1),IF(逐级计算!$X$36=0,AJ58+逐级计算!$C$36,AJ58+逐级计算!$C$36-(10/(逐级计算!$Q$36*LN(10))*(MAX((LN(10^(逐级计算!$Q$36/10)-1)+逐级计算!$Q$36*(AJ58-逐级计算!$P$36)*LN(10)/10),0)+LN(1+EXP(-ABS((LN(10^(逐级计算!$Q$36/10)-1)+逐级计算!$Q$36*(AJ58-逐级计算!$P$36)*LN(10)/10))))))),"")</f>
        <v>13.7930365742089</v>
      </c>
      <c r="AL58">
        <f>IF(AND(ISNUMBER(AK58),逐级计算!$X$37&gt;-1),IF(逐级计算!$X$37=0,AK58+逐级计算!$C$37,AK58+逐级计算!$C$37-(10/(逐级计算!$Q$37*LN(10))*(MAX((LN(10^(逐级计算!$Q$37/10)-1)+逐级计算!$Q$37*(AK58-逐级计算!$P$37)*LN(10)/10),0)+LN(1+EXP(-ABS((LN(10^(逐级计算!$Q$37/10)-1)+逐级计算!$Q$37*(AK58-逐级计算!$P$37)*LN(10)/10))))))),"")</f>
        <v>13.7930365742089</v>
      </c>
      <c r="AM58">
        <f>IF(AND(ISNUMBER(AL58),逐级计算!$X$38&gt;-1),IF(逐级计算!$X$38=0,AL58+逐级计算!$C$38,AL58+逐级计算!$C$38-(10/(逐级计算!$Q$38*LN(10))*(MAX((LN(10^(逐级计算!$Q$38/10)-1)+逐级计算!$Q$38*(AL58-逐级计算!$P$38)*LN(10)/10),0)+LN(1+EXP(-ABS((LN(10^(逐级计算!$Q$38/10)-1)+逐级计算!$Q$38*(AL58-逐级计算!$P$38)*LN(10)/10))))))),"")</f>
        <v>13.7930365742089</v>
      </c>
      <c r="AN58">
        <f>IF(AND(ISNUMBER(AM58),逐级计算!$X$39&gt;-1),IF(逐级计算!$X$39=0,AM58+逐级计算!$C$39,AM58+逐级计算!$C$39-(10/(逐级计算!$Q$39*LN(10))*(MAX((LN(10^(逐级计算!$Q$39/10)-1)+逐级计算!$Q$39*(AM58-逐级计算!$P$39)*LN(10)/10),0)+LN(1+EXP(-ABS((LN(10^(逐级计算!$Q$39/10)-1)+逐级计算!$Q$39*(AM58-逐级计算!$P$39)*LN(10)/10))))))),"")</f>
        <v>13.7930365742089</v>
      </c>
      <c r="AO58">
        <f>IF(AND(ISNUMBER(AN58),逐级计算!$X$40&gt;-1),IF(逐级计算!$X$40=0,AN58+逐级计算!$C$40,AN58+逐级计算!$C$40-(10/(逐级计算!$Q$40*LN(10))*(MAX((LN(10^(逐级计算!$Q$40/10)-1)+逐级计算!$Q$40*(AN58-逐级计算!$P$40)*LN(10)/10),0)+LN(1+EXP(-ABS((LN(10^(逐级计算!$Q$40/10)-1)+逐级计算!$Q$40*(AN58-逐级计算!$P$40)*LN(10)/10))))))),"")</f>
        <v>13.7930365742089</v>
      </c>
      <c r="AP58">
        <f>IF(AND(ISNUMBER(AO58),逐级计算!$X$41&gt;-1),IF(逐级计算!$X$41=0,AO58+逐级计算!$C$41,AO58+逐级计算!$C$41-(10/(逐级计算!$Q$41*LN(10))*(MAX((LN(10^(逐级计算!$Q$41/10)-1)+逐级计算!$Q$41*(AO58-逐级计算!$P$41)*LN(10)/10),0)+LN(1+EXP(-ABS((LN(10^(逐级计算!$Q$41/10)-1)+逐级计算!$Q$41*(AO58-逐级计算!$P$41)*LN(10)/10))))))),"")</f>
        <v>13.7930365742089</v>
      </c>
      <c r="AQ58">
        <f>IF(AND(ISNUMBER(AP58),逐级计算!$X$42&gt;-1),IF(逐级计算!$X$42=0,AP58+逐级计算!$C$42,AP58+逐级计算!$C$42-(10/(逐级计算!$Q$42*LN(10))*(MAX((LN(10^(逐级计算!$Q$42/10)-1)+逐级计算!$Q$42*(AP58-逐级计算!$P$42)*LN(10)/10),0)+LN(1+EXP(-ABS((LN(10^(逐级计算!$Q$42/10)-1)+逐级计算!$Q$42*(AP58-逐级计算!$P$42)*LN(10)/10))))))),"")</f>
        <v>13.7930365742089</v>
      </c>
      <c r="AR58">
        <f>IF(AND(ISNUMBER(AQ58),逐级计算!$X$43&gt;-1),IF(逐级计算!$X$43=0,AQ58+逐级计算!$C$43,AQ58+逐级计算!$C$43-(10/(逐级计算!$Q$43*LN(10))*(MAX((LN(10^(逐级计算!$Q$43/10)-1)+逐级计算!$Q$43*(AQ58-逐级计算!$P$43)*LN(10)/10),0)+LN(1+EXP(-ABS((LN(10^(逐级计算!$Q$43/10)-1)+逐级计算!$Q$43*(AQ58-逐级计算!$P$43)*LN(10)/10))))))),"")</f>
        <v>13.7930365742089</v>
      </c>
      <c r="AS58">
        <f>IF(AND(ISNUMBER(AR58),逐级计算!$X$44&gt;-1),IF(逐级计算!$X$44=0,AR58+逐级计算!$C$44,AR58+逐级计算!$C$44-(10/(逐级计算!$Q$44*LN(10))*(MAX((LN(10^(逐级计算!$Q$44/10)-1)+逐级计算!$Q$44*(AR58-逐级计算!$P$44)*LN(10)/10),0)+LN(1+EXP(-ABS((LN(10^(逐级计算!$Q$44/10)-1)+逐级计算!$Q$44*(AR58-逐级计算!$P$44)*LN(10)/10))))))),"")</f>
        <v>13.7930365742089</v>
      </c>
      <c r="AT58">
        <f>IF(AND(ISNUMBER(AS58),逐级计算!$X$45&gt;-1),IF(逐级计算!$X$45=0,AS58+逐级计算!$C$45,AS58+逐级计算!$C$45-(10/(逐级计算!$Q$45*LN(10))*(MAX((LN(10^(逐级计算!$Q$45/10)-1)+逐级计算!$Q$45*(AS58-逐级计算!$P$45)*LN(10)/10),0)+LN(1+EXP(-ABS((LN(10^(逐级计算!$Q$45/10)-1)+逐级计算!$Q$45*(AS58-逐级计算!$P$45)*LN(10)/10))))))),"")</f>
        <v>13.7930365742089</v>
      </c>
      <c r="AU58">
        <f>IF(AND(ISNUMBER(AT58),逐级计算!$X$46&gt;-1),IF(逐级计算!$X$46=0,AT58+逐级计算!$C$46,AT58+逐级计算!$C$46-(10/(逐级计算!$Q$46*LN(10))*(MAX((LN(10^(逐级计算!$Q$46/10)-1)+逐级计算!$Q$46*(AT58-逐级计算!$P$46)*LN(10)/10),0)+LN(1+EXP(-ABS((LN(10^(逐级计算!$Q$46/10)-1)+逐级计算!$Q$46*(AT58-逐级计算!$P$46)*LN(10)/10))))))),"")</f>
        <v>13.7930365742089</v>
      </c>
      <c r="AV58">
        <f>IF(AND(ISNUMBER(AU58),逐级计算!$X$47&gt;-1),IF(逐级计算!$X$47=0,AU58+逐级计算!$C$47,AU58+逐级计算!$C$47-(10/(逐级计算!$Q$47*LN(10))*(MAX((LN(10^(逐级计算!$Q$47/10)-1)+逐级计算!$Q$47*(AU58-逐级计算!$P$47)*LN(10)/10),0)+LN(1+EXP(-ABS((LN(10^(逐级计算!$Q$47/10)-1)+逐级计算!$Q$47*(AU58-逐级计算!$P$47)*LN(10)/10))))))),"")</f>
        <v>13.7930365742089</v>
      </c>
      <c r="AW58">
        <f>IF(AND(ISNUMBER(AV58),逐级计算!$X$48&gt;-1),IF(逐级计算!$X$48=0,AV58+逐级计算!$C$48,AV58+逐级计算!$C$48-(10/(逐级计算!$Q$48*LN(10))*(MAX((LN(10^(逐级计算!$Q$48/10)-1)+逐级计算!$Q$48*(AV58-逐级计算!$P$48)*LN(10)/10),0)+LN(1+EXP(-ABS((LN(10^(逐级计算!$Q$48/10)-1)+逐级计算!$Q$48*(AV58-逐级计算!$P$48)*LN(10)/10))))))),"")</f>
        <v>13.7930365742089</v>
      </c>
      <c r="AX58">
        <f>IF(AND(ISNUMBER(AW58),逐级计算!$X$49&gt;-1),IF(逐级计算!$X$49=0,AW58+逐级计算!$C$49,AW58+逐级计算!$C$49-(10/(逐级计算!$Q$49*LN(10))*(MAX((LN(10^(逐级计算!$Q$49/10)-1)+逐级计算!$Q$49*(AW58-逐级计算!$P$49)*LN(10)/10),0)+LN(1+EXP(-ABS((LN(10^(逐级计算!$Q$49/10)-1)+逐级计算!$Q$49*(AW58-逐级计算!$P$49)*LN(10)/10))))))),"")</f>
        <v>13.7930365742089</v>
      </c>
      <c r="AY58">
        <f>IF(AND(ISNUMBER(AX58),逐级计算!$X$50&gt;-1),IF(逐级计算!$X$50=0,AX58+逐级计算!$C$50,AX58+逐级计算!$C$50-(10/(逐级计算!$Q$50*LN(10))*(MAX((LN(10^(逐级计算!$Q$50/10)-1)+逐级计算!$Q$50*(AX58-逐级计算!$P$50)*LN(10)/10),0)+LN(1+EXP(-ABS((LN(10^(逐级计算!$Q$50/10)-1)+逐级计算!$Q$50*(AX58-逐级计算!$P$50)*LN(10)/10))))))),"")</f>
        <v>13.7930365742089</v>
      </c>
      <c r="AZ58">
        <f>IF(AND(ISNUMBER(AY58),逐级计算!$X$51&gt;-1),IF(逐级计算!$X$51=0,AY58+逐级计算!$C$51,AY58+逐级计算!$C$51-(10/(逐级计算!$Q$51*LN(10))*(MAX((LN(10^(逐级计算!$Q$51/10)-1)+逐级计算!$Q$51*(AY58-逐级计算!$P$51)*LN(10)/10),0)+LN(1+EXP(-ABS((LN(10^(逐级计算!$Q$51/10)-1)+逐级计算!$Q$51*(AY58-逐级计算!$P$51)*LN(10)/10))))))),"")</f>
        <v>13.7930365742089</v>
      </c>
      <c r="BA58">
        <f>IF(AND(ISNUMBER(AZ58),逐级计算!$X$52&gt;-1),IF(逐级计算!$X$52=0,AZ58+逐级计算!$C$52,AZ58+逐级计算!$C$52-(10/(逐级计算!$Q$52*LN(10))*(MAX((LN(10^(逐级计算!$Q$52/10)-1)+逐级计算!$Q$52*(AZ58-逐级计算!$P$52)*LN(10)/10),0)+LN(1+EXP(-ABS((LN(10^(逐级计算!$Q$52/10)-1)+逐级计算!$Q$52*(AZ58-逐级计算!$P$52)*LN(10)/10))))))),"")</f>
        <v>13.7930365742089</v>
      </c>
      <c r="BB58">
        <f>IF(AND(ISNUMBER(BA58),逐级计算!$X$53&gt;-1),IF(逐级计算!$X$53=0,BA58+逐级计算!$C$53,BA58+逐级计算!$C$53-(10/(逐级计算!$Q$53*LN(10))*(MAX((LN(10^(逐级计算!$Q$53/10)-1)+逐级计算!$Q$53*(BA58-逐级计算!$P$53)*LN(10)/10),0)+LN(1+EXP(-ABS((LN(10^(逐级计算!$Q$53/10)-1)+逐级计算!$Q$53*(BA58-逐级计算!$P$53)*LN(10)/10))))))),"")</f>
        <v>13.7930365742089</v>
      </c>
      <c r="BC58">
        <f>IF(AND(ISNUMBER(BB58),逐级计算!$X$54&gt;-1),IF(逐级计算!$X$54=0,BB58+逐级计算!$C$54,BB58+逐级计算!$C$54-(10/(逐级计算!$Q$54*LN(10))*(MAX((LN(10^(逐级计算!$Q$54/10)-1)+逐级计算!$Q$54*(BB58-逐级计算!$P$54)*LN(10)/10),0)+LN(1+EXP(-ABS((LN(10^(逐级计算!$Q$54/10)-1)+逐级计算!$Q$54*(BB58-逐级计算!$P$54)*LN(10)/10))))))),"")</f>
        <v>13.7930365742089</v>
      </c>
      <c r="BD58">
        <f>IF(AND(ISNUMBER(BC58),逐级计算!$X$55&gt;-1),IF(逐级计算!$X$55=0,BC58+逐级计算!$C$55,BC58+逐级计算!$C$55-(10/(逐级计算!$Q$55*LN(10))*(MAX((LN(10^(逐级计算!$Q$55/10)-1)+逐级计算!$Q$55*(BC58-逐级计算!$P$55)*LN(10)/10),0)+LN(1+EXP(-ABS((LN(10^(逐级计算!$Q$55/10)-1)+逐级计算!$Q$55*(BC58-逐级计算!$P$55)*LN(10)/10))))))),"")</f>
        <v>13.7930365742089</v>
      </c>
      <c r="BE58">
        <f>IF(AND(ISNUMBER(BD58),逐级计算!$X$56&gt;-1),IF(逐级计算!$X$56=0,BD58+逐级计算!$C$56,BD58+逐级计算!$C$56-(10/(逐级计算!$Q$56*LN(10))*(MAX((LN(10^(逐级计算!$Q$56/10)-1)+逐级计算!$Q$56*(BD58-逐级计算!$P$56)*LN(10)/10),0)+LN(1+EXP(-ABS((LN(10^(逐级计算!$Q$56/10)-1)+逐级计算!$Q$56*(BD58-逐级计算!$P$56)*LN(10)/10))))))),"")</f>
        <v>13.7930365742089</v>
      </c>
      <c r="BF58">
        <f>IF(AND(ISNUMBER(BE58),逐级计算!$X$57&gt;-1),IF(逐级计算!$X$57=0,BE58+逐级计算!$C$57,BE58+逐级计算!$C$57-(10/(逐级计算!$Q$57*LN(10))*(MAX((LN(10^(逐级计算!$Q$57/10)-1)+逐级计算!$Q$57*(BE58-逐级计算!$P$57)*LN(10)/10),0)+LN(1+EXP(-ABS((LN(10^(逐级计算!$Q$57/10)-1)+逐级计算!$Q$57*(BE58-逐级计算!$P$57)*LN(10)/10))))))),"")</f>
        <v>13.7930365742089</v>
      </c>
      <c r="BG58">
        <f>IF(AND(ISNUMBER(BF58),逐级计算!$X$58&gt;-1),IF(逐级计算!$X$58=0,BF58+逐级计算!$C$58,BF58+逐级计算!$C$58-(10/(逐级计算!$Q$58*LN(10))*(MAX((LN(10^(逐级计算!$Q$58/10)-1)+逐级计算!$Q$58*(BF58-逐级计算!$P$58)*LN(10)/10),0)+LN(1+EXP(-ABS((LN(10^(逐级计算!$Q$58/10)-1)+逐级计算!$Q$58*(BF58-逐级计算!$P$58)*LN(10)/10))))))),"")</f>
        <v>13.7930365742089</v>
      </c>
      <c r="BH58">
        <f>IF(AND(ISNUMBER(BG58),逐级计算!$X$59&gt;-1),IF(逐级计算!$X$59=0,BG58+逐级计算!$C$59,BG58+逐级计算!$C$59-(10/(逐级计算!$Q$59*LN(10))*(MAX((LN(10^(逐级计算!$Q$59/10)-1)+逐级计算!$Q$59*(BG58-逐级计算!$P$59)*LN(10)/10),0)+LN(1+EXP(-ABS((LN(10^(逐级计算!$Q$59/10)-1)+逐级计算!$Q$59*(BG58-逐级计算!$P$59)*LN(10)/10))))))),"")</f>
        <v>13.7930365742089</v>
      </c>
      <c r="BI58">
        <f>IF(AND(ISNUMBER(BH58),逐级计算!$X$60&gt;-1),IF(逐级计算!$X$60=0,BH58+逐级计算!$C$60,BH58+逐级计算!$C$60-(10/(逐级计算!$Q$60*LN(10))*(MAX((LN(10^(逐级计算!$Q$60/10)-1)+逐级计算!$Q$60*(BH58-逐级计算!$P$60)*LN(10)/10),0)+LN(1+EXP(-ABS((LN(10^(逐级计算!$Q$60/10)-1)+逐级计算!$Q$60*(BH58-逐级计算!$P$60)*LN(10)/10))))))),"")</f>
        <v>13.7930365742089</v>
      </c>
      <c r="BJ58">
        <f>IF(AND(ISNUMBER(BI58),逐级计算!$X$61&gt;-1),IF(逐级计算!$X$61=0,BI58+逐级计算!$C$61,BI58+逐级计算!$C$61-(10/(逐级计算!$Q$61*LN(10))*(MAX((LN(10^(逐级计算!$Q$61/10)-1)+逐级计算!$Q$61*(BI58-逐级计算!$P$61)*LN(10)/10),0)+LN(1+EXP(-ABS((LN(10^(逐级计算!$Q$61/10)-1)+逐级计算!$Q$61*(BI58-逐级计算!$P$61)*LN(10)/10))))))),"")</f>
        <v>13.7930365742089</v>
      </c>
      <c r="BK58">
        <f>IF(AND(ISNUMBER(BJ58),逐级计算!$X$62&gt;-1),IF(逐级计算!$X$62=0,BJ58+逐级计算!$C$62,BJ58+逐级计算!$C$62-(10/(逐级计算!$Q$62*LN(10))*(MAX((LN(10^(逐级计算!$Q$62/10)-1)+逐级计算!$Q$62*(BJ58-逐级计算!$P$62)*LN(10)/10),0)+LN(1+EXP(-ABS((LN(10^(逐级计算!$Q$62/10)-1)+逐级计算!$Q$62*(BJ58-逐级计算!$P$62)*LN(10)/10))))))),"")</f>
        <v>13.7930365742089</v>
      </c>
      <c r="BL58">
        <f>IF(AND(ISNUMBER(BK58),逐级计算!$X$63&gt;-1),IF(逐级计算!$X$63=0,BK58+逐级计算!$C$63,BK58+逐级计算!$C$63-(10/(逐级计算!$Q$63*LN(10))*(MAX((LN(10^(逐级计算!$Q$63/10)-1)+逐级计算!$Q$63*(BK58-逐级计算!$P$63)*LN(10)/10),0)+LN(1+EXP(-ABS((LN(10^(逐级计算!$Q$63/10)-1)+逐级计算!$Q$63*(BK58-逐级计算!$P$63)*LN(10)/10))))))),"")</f>
        <v>13.7930365742089</v>
      </c>
      <c r="BM58">
        <f>IF(AND(ISNUMBER(BL58),逐级计算!$X$64&gt;-1),IF(逐级计算!$X$64=0,BL58+逐级计算!$C$64,BL58+逐级计算!$C$64-(10/(逐级计算!$Q$64*LN(10))*(MAX((LN(10^(逐级计算!$Q$64/10)-1)+逐级计算!$Q$64*(BL58-逐级计算!$P$64)*LN(10)/10),0)+LN(1+EXP(-ABS((LN(10^(逐级计算!$Q$64/10)-1)+逐级计算!$Q$64*(BL58-逐级计算!$P$64)*LN(10)/10))))))),"")</f>
        <v>13.7930365742089</v>
      </c>
      <c r="BN58">
        <f>IF(AND(ISNUMBER(BM58),逐级计算!$X$65&gt;-1),IF(逐级计算!$X$65=0,BM58+逐级计算!$C$65,BM58+逐级计算!$C$65-(10/(逐级计算!$Q$65*LN(10))*(MAX((LN(10^(逐级计算!$Q$65/10)-1)+逐级计算!$Q$65*(BM58-逐级计算!$P$65)*LN(10)/10),0)+LN(1+EXP(-ABS((LN(10^(逐级计算!$Q$65/10)-1)+逐级计算!$Q$65*(BM58-逐级计算!$P$65)*LN(10)/10))))))),"")</f>
        <v>13.7930365742089</v>
      </c>
      <c r="BO58">
        <f>IF(AND(ISNUMBER(BN58),逐级计算!$X$66&gt;-1),IF(逐级计算!$X$66=0,BN58+逐级计算!$C$66,BN58+逐级计算!$C$66-(10/(逐级计算!$Q$66*LN(10))*(MAX((LN(10^(逐级计算!$Q$66/10)-1)+逐级计算!$Q$66*(BN58-逐级计算!$P$66)*LN(10)/10),0)+LN(1+EXP(-ABS((LN(10^(逐级计算!$Q$66/10)-1)+逐级计算!$Q$66*(BN58-逐级计算!$P$66)*LN(10)/10))))))),"")</f>
        <v>13.7930365742089</v>
      </c>
      <c r="BP58">
        <f>IF(AND(ISNUMBER(BO58),逐级计算!$X$67&gt;-1),IF(逐级计算!$X$67=0,BO58+逐级计算!$C$67,BO58+逐级计算!$C$67-(10/(逐级计算!$Q$67*LN(10))*(MAX((LN(10^(逐级计算!$Q$67/10)-1)+逐级计算!$Q$67*(BO58-逐级计算!$P$67)*LN(10)/10),0)+LN(1+EXP(-ABS((LN(10^(逐级计算!$Q$67/10)-1)+逐级计算!$Q$67*(BO58-逐级计算!$P$67)*LN(10)/10))))))),"")</f>
        <v>13.7930365742089</v>
      </c>
      <c r="BQ58">
        <f>IF(AND(ISNUMBER(BP58),逐级计算!$X$68&gt;-1),IF(逐级计算!$X$68=0,BP58+逐级计算!$C$68,BP58+逐级计算!$C$68-(10/(逐级计算!$Q$68*LN(10))*(MAX((LN(10^(逐级计算!$Q$68/10)-1)+逐级计算!$Q$68*(BP58-逐级计算!$P$68)*LN(10)/10),0)+LN(1+EXP(-ABS((LN(10^(逐级计算!$Q$68/10)-1)+逐级计算!$Q$68*(BP58-逐级计算!$P$68)*LN(10)/10))))))),"")</f>
        <v>13.7930365742089</v>
      </c>
      <c r="BR58">
        <f>IF(AND(ISNUMBER(BQ58),逐级计算!$X$69&gt;-1),IF(逐级计算!$X$69=0,BQ58+逐级计算!$C$69,BQ58+逐级计算!$C$69-(10/(逐级计算!$Q$69*LN(10))*(MAX((LN(10^(逐级计算!$Q$69/10)-1)+逐级计算!$Q$69*(BQ58-逐级计算!$P$69)*LN(10)/10),0)+LN(1+EXP(-ABS((LN(10^(逐级计算!$Q$69/10)-1)+逐级计算!$Q$69*(BQ58-逐级计算!$P$69)*LN(10)/10))))))),"")</f>
        <v>13.7930365742089</v>
      </c>
      <c r="BS58">
        <f>IF(AND(ISNUMBER(BR58),逐级计算!$X$70&gt;-1),IF(逐级计算!$X$70=0,BR58+逐级计算!$C$70,BR58+逐级计算!$C$70-(10/(逐级计算!$Q$70*LN(10))*(MAX((LN(10^(逐级计算!$Q$70/10)-1)+逐级计算!$Q$70*(BR58-逐级计算!$P$70)*LN(10)/10),0)+LN(1+EXP(-ABS((LN(10^(逐级计算!$Q$70/10)-1)+逐级计算!$Q$70*(BR58-逐级计算!$P$70)*LN(10)/10))))))),"")</f>
        <v>13.7930365742089</v>
      </c>
      <c r="BT58">
        <f>IF(AND(ISNUMBER(BS58),逐级计算!$X$71&gt;-1),IF(逐级计算!$X$71=0,BS58+逐级计算!$C$71,BS58+逐级计算!$C$71-(10/(逐级计算!$Q$71*LN(10))*(MAX((LN(10^(逐级计算!$Q$71/10)-1)+逐级计算!$Q$71*(BS58-逐级计算!$P$71)*LN(10)/10),0)+LN(1+EXP(-ABS((LN(10^(逐级计算!$Q$71/10)-1)+逐级计算!$Q$71*(BS58-逐级计算!$P$71)*LN(10)/10))))))),"")</f>
        <v>13.7930365742089</v>
      </c>
      <c r="BU58">
        <f>IF(AND(ISNUMBER(BT58),逐级计算!$X$72&gt;-1),IF(逐级计算!$X$72=0,BT58+逐级计算!$C$72,BT58+逐级计算!$C$72-(10/(逐级计算!$Q$72*LN(10))*(MAX((LN(10^(逐级计算!$Q$72/10)-1)+逐级计算!$Q$72*(BT58-逐级计算!$P$72)*LN(10)/10),0)+LN(1+EXP(-ABS((LN(10^(逐级计算!$Q$72/10)-1)+逐级计算!$Q$72*(BT58-逐级计算!$P$72)*LN(10)/10))))))),"")</f>
        <v>13.7930365742089</v>
      </c>
      <c r="BV58">
        <f>IF(AND(ISNUMBER(BU58),逐级计算!$X$73&gt;-1),IF(逐级计算!$X$73=0,BU58+逐级计算!$C$73,BU58+逐级计算!$C$73-(10/(逐级计算!$Q$73*LN(10))*(MAX((LN(10^(逐级计算!$Q$73/10)-1)+逐级计算!$Q$73*(BU58-逐级计算!$P$73)*LN(10)/10),0)+LN(1+EXP(-ABS((LN(10^(逐级计算!$Q$73/10)-1)+逐级计算!$Q$73*(BU58-逐级计算!$P$73)*LN(10)/10))))))),"")</f>
        <v>13.7930365742089</v>
      </c>
      <c r="BW58">
        <f>IF(AND(ISNUMBER(BV58),逐级计算!$X$74&gt;-1),IF(逐级计算!$X$74=0,BV58+逐级计算!$C$74,BV58+逐级计算!$C$74-(10/(逐级计算!$Q$74*LN(10))*(MAX((LN(10^(逐级计算!$Q$74/10)-1)+逐级计算!$Q$74*(BV58-逐级计算!$P$74)*LN(10)/10),0)+LN(1+EXP(-ABS((LN(10^(逐级计算!$Q$74/10)-1)+逐级计算!$Q$74*(BV58-逐级计算!$P$74)*LN(10)/10))))))),"")</f>
        <v>13.7930365742089</v>
      </c>
      <c r="BX58">
        <f>IF(AND(ISNUMBER(BW58),逐级计算!$X$75&gt;-1),IF(逐级计算!$X$75=0,BW58+逐级计算!$C$75,BW58+逐级计算!$C$75-(10/(逐级计算!$Q$75*LN(10))*(MAX((LN(10^(逐级计算!$Q$75/10)-1)+逐级计算!$Q$75*(BW58-逐级计算!$P$75)*LN(10)/10),0)+LN(1+EXP(-ABS((LN(10^(逐级计算!$Q$75/10)-1)+逐级计算!$Q$75*(BW58-逐级计算!$P$75)*LN(10)/10))))))),"")</f>
        <v>13.7930365742089</v>
      </c>
      <c r="BY58">
        <f>IF(AND(ISNUMBER(BX58),逐级计算!$X$76&gt;-1),IF(逐级计算!$X$76=0,BX58+逐级计算!$C$76,BX58+逐级计算!$C$76-(10/(逐级计算!$Q$76*LN(10))*(MAX((LN(10^(逐级计算!$Q$76/10)-1)+逐级计算!$Q$76*(BX58-逐级计算!$P$76)*LN(10)/10),0)+LN(1+EXP(-ABS((LN(10^(逐级计算!$Q$76/10)-1)+逐级计算!$Q$76*(BX58-逐级计算!$P$76)*LN(10)/10))))))),"")</f>
        <v>13.7930365742089</v>
      </c>
      <c r="BZ58">
        <f>IF(AND(ISNUMBER(BY58),逐级计算!$X$77&gt;-1),IF(逐级计算!$X$77=0,BY58+逐级计算!$C$77,BY58+逐级计算!$C$77-(10/(逐级计算!$Q$77*LN(10))*(MAX((LN(10^(逐级计算!$Q$77/10)-1)+逐级计算!$Q$77*(BY58-逐级计算!$P$77)*LN(10)/10),0)+LN(1+EXP(-ABS((LN(10^(逐级计算!$Q$77/10)-1)+逐级计算!$Q$77*(BY58-逐级计算!$P$77)*LN(10)/10))))))),"")</f>
        <v>13.7930365742089</v>
      </c>
      <c r="CA58">
        <f>IF(AND(ISNUMBER(BZ58),逐级计算!$X$78&gt;-1),IF(逐级计算!$X$78=0,BZ58+逐级计算!$C$78,BZ58+逐级计算!$C$78-(10/(逐级计算!$Q$78*LN(10))*(MAX((LN(10^(逐级计算!$Q$78/10)-1)+逐级计算!$Q$78*(BZ58-逐级计算!$P$78)*LN(10)/10),0)+LN(1+EXP(-ABS((LN(10^(逐级计算!$Q$78/10)-1)+逐级计算!$Q$78*(BZ58-逐级计算!$P$78)*LN(10)/10))))))),"")</f>
        <v>13.7930365742089</v>
      </c>
      <c r="CB58">
        <f>IF(AND(ISNUMBER(CA58),逐级计算!$X$79&gt;-1),IF(逐级计算!$X$79=0,CA58+逐级计算!$C$79,CA58+逐级计算!$C$79-(10/(逐级计算!$Q$79*LN(10))*(MAX((LN(10^(逐级计算!$Q$79/10)-1)+逐级计算!$Q$79*(CA58-逐级计算!$P$79)*LN(10)/10),0)+LN(1+EXP(-ABS((LN(10^(逐级计算!$Q$79/10)-1)+逐级计算!$Q$79*(CA58-逐级计算!$P$79)*LN(10)/10))))))),"")</f>
        <v>13.7930365742089</v>
      </c>
      <c r="CC58">
        <f>IF(AND(ISNUMBER(CB58),逐级计算!$X$80&gt;-1),IF(逐级计算!$X$80=0,CB58+逐级计算!$C$80,CB58+逐级计算!$C$80-(10/(逐级计算!$Q$80*LN(10))*(MAX((LN(10^(逐级计算!$Q$80/10)-1)+逐级计算!$Q$80*(CB58-逐级计算!$P$80)*LN(10)/10),0)+LN(1+EXP(-ABS((LN(10^(逐级计算!$Q$80/10)-1)+逐级计算!$Q$80*(CB58-逐级计算!$P$80)*LN(10)/10))))))),"")</f>
        <v>13.7930365742089</v>
      </c>
      <c r="CD58">
        <f>IF(AND(ISNUMBER(CC58),逐级计算!$X$81&gt;-1),IF(逐级计算!$X$81=0,CC58+逐级计算!$C$81,CC58+逐级计算!$C$81-(10/(逐级计算!$Q$81*LN(10))*(MAX((LN(10^(逐级计算!$Q$81/10)-1)+逐级计算!$Q$81*(CC58-逐级计算!$P$81)*LN(10)/10),0)+LN(1+EXP(-ABS((LN(10^(逐级计算!$Q$81/10)-1)+逐级计算!$Q$81*(CC58-逐级计算!$P$81)*LN(10)/10))))))),"")</f>
        <v>13.7930365742089</v>
      </c>
      <c r="CE58">
        <f>IF(AND(ISNUMBER(CD58),逐级计算!$X$82&gt;-1),IF(逐级计算!$X$82=0,CD58+逐级计算!$C$82,CD58+逐级计算!$C$82-(10/(逐级计算!$Q$82*LN(10))*(MAX((LN(10^(逐级计算!$Q$82/10)-1)+逐级计算!$Q$82*(CD58-逐级计算!$P$82)*LN(10)/10),0)+LN(1+EXP(-ABS((LN(10^(逐级计算!$Q$82/10)-1)+逐级计算!$Q$82*(CD58-逐级计算!$P$82)*LN(10)/10))))))),"")</f>
        <v>13.7930365742089</v>
      </c>
      <c r="CF58">
        <f>IF(AND(ISNUMBER(CE58),逐级计算!$X$83&gt;-1),IF(逐级计算!$X$83=0,CE58+逐级计算!$C$83,CE58+逐级计算!$C$83-(10/(逐级计算!$Q$83*LN(10))*(MAX((LN(10^(逐级计算!$Q$83/10)-1)+逐级计算!$Q$83*(CE58-逐级计算!$P$83)*LN(10)/10),0)+LN(1+EXP(-ABS((LN(10^(逐级计算!$Q$83/10)-1)+逐级计算!$Q$83*(CE58-逐级计算!$P$83)*LN(10)/10))))))),"")</f>
        <v>13.7930365742089</v>
      </c>
      <c r="CG58">
        <f>IF(AND(ISNUMBER(CF58),逐级计算!$X$84&gt;-1),IF(逐级计算!$X$84=0,CF58+逐级计算!$C$84,CF58+逐级计算!$C$84-(10/(逐级计算!$Q$84*LN(10))*(MAX((LN(10^(逐级计算!$Q$84/10)-1)+逐级计算!$Q$84*(CF58-逐级计算!$P$84)*LN(10)/10),0)+LN(1+EXP(-ABS((LN(10^(逐级计算!$Q$84/10)-1)+逐级计算!$Q$84*(CF58-逐级计算!$P$84)*LN(10)/10))))))),"")</f>
        <v>13.7930365742089</v>
      </c>
      <c r="CH58">
        <f>IF(AND(ISNUMBER(CG58),逐级计算!$X$85&gt;-1),IF(逐级计算!$X$85=0,CG58+逐级计算!$C$85,CG58+逐级计算!$C$85-(10/(逐级计算!$Q$85*LN(10))*(MAX((LN(10^(逐级计算!$Q$85/10)-1)+逐级计算!$Q$85*(CG58-逐级计算!$P$85)*LN(10)/10),0)+LN(1+EXP(-ABS((LN(10^(逐级计算!$Q$85/10)-1)+逐级计算!$Q$85*(CG58-逐级计算!$P$85)*LN(10)/10))))))),"")</f>
        <v>13.7930365742089</v>
      </c>
      <c r="CI58">
        <f>IF(AND(ISNUMBER(CH58),逐级计算!$X$86&gt;-1),IF(逐级计算!$X$86=0,CH58+逐级计算!$C$86,CH58+逐级计算!$C$86-(10/(逐级计算!$Q$86*LN(10))*(MAX((LN(10^(逐级计算!$Q$86/10)-1)+逐级计算!$Q$86*(CH58-逐级计算!$P$86)*LN(10)/10),0)+LN(1+EXP(-ABS((LN(10^(逐级计算!$Q$86/10)-1)+逐级计算!$Q$86*(CH58-逐级计算!$P$86)*LN(10)/10))))))),"")</f>
        <v>13.7930365742089</v>
      </c>
      <c r="CJ58">
        <f>IF(AND(ISNUMBER(CI58),逐级计算!$X$87&gt;-1),IF(逐级计算!$X$87=0,CI58+逐级计算!$C$87,CI58+逐级计算!$C$87-(10/(逐级计算!$Q$87*LN(10))*(MAX((LN(10^(逐级计算!$Q$87/10)-1)+逐级计算!$Q$87*(CI58-逐级计算!$P$87)*LN(10)/10),0)+LN(1+EXP(-ABS((LN(10^(逐级计算!$Q$87/10)-1)+逐级计算!$Q$87*(CI58-逐级计算!$P$87)*LN(10)/10))))))),"")</f>
        <v>13.7930365742089</v>
      </c>
      <c r="CK58">
        <f>IF(AND(ISNUMBER(CJ58),逐级计算!$X$88&gt;-1),IF(逐级计算!$X$88=0,CJ58+逐级计算!$C$88,CJ58+逐级计算!$C$88-(10/(逐级计算!$Q$88*LN(10))*(MAX((LN(10^(逐级计算!$Q$88/10)-1)+逐级计算!$Q$88*(CJ58-逐级计算!$P$88)*LN(10)/10),0)+LN(1+EXP(-ABS((LN(10^(逐级计算!$Q$88/10)-1)+逐级计算!$Q$88*(CJ58-逐级计算!$P$88)*LN(10)/10))))))),"")</f>
        <v>13.7930365742089</v>
      </c>
      <c r="CL58">
        <f>IF(AND(ISNUMBER(CK58),逐级计算!$X$89&gt;-1),IF(逐级计算!$X$89=0,CK58+逐级计算!$C$89,CK58+逐级计算!$C$89-(10/(逐级计算!$Q$89*LN(10))*(MAX((LN(10^(逐级计算!$Q$89/10)-1)+逐级计算!$Q$89*(CK58-逐级计算!$P$89)*LN(10)/10),0)+LN(1+EXP(-ABS((LN(10^(逐级计算!$Q$89/10)-1)+逐级计算!$Q$89*(CK58-逐级计算!$P$89)*LN(10)/10))))))),"")</f>
        <v>13.7930365742089</v>
      </c>
      <c r="CM58">
        <f>IF(AND(ISNUMBER(CL58),逐级计算!$X$90&gt;-1),IF(逐级计算!$X$90=0,CL58+逐级计算!$C$90,CL58+逐级计算!$C$90-(10/(逐级计算!$Q$90*LN(10))*(MAX((LN(10^(逐级计算!$Q$90/10)-1)+逐级计算!$Q$90*(CL58-逐级计算!$P$90)*LN(10)/10),0)+LN(1+EXP(-ABS((LN(10^(逐级计算!$Q$90/10)-1)+逐级计算!$Q$90*(CL58-逐级计算!$P$90)*LN(10)/10))))))),"")</f>
        <v>13.7930365742089</v>
      </c>
      <c r="CN58">
        <f>IF(AND(ISNUMBER(CM58),逐级计算!$X$91&gt;-1),IF(逐级计算!$X$91=0,CM58+逐级计算!$C$91,CM58+逐级计算!$C$91-(10/(逐级计算!$Q$91*LN(10))*(MAX((LN(10^(逐级计算!$Q$91/10)-1)+逐级计算!$Q$91*(CM58-逐级计算!$P$91)*LN(10)/10),0)+LN(1+EXP(-ABS((LN(10^(逐级计算!$Q$91/10)-1)+逐级计算!$Q$91*(CM58-逐级计算!$P$91)*LN(10)/10))))))),"")</f>
        <v>13.7930365742089</v>
      </c>
      <c r="CO58">
        <f>IF(AND(ISNUMBER(CN58),逐级计算!$X$92&gt;-1),IF(逐级计算!$X$92=0,CN58+逐级计算!$C$92,CN58+逐级计算!$C$92-(10/(逐级计算!$Q$92*LN(10))*(MAX((LN(10^(逐级计算!$Q$92/10)-1)+逐级计算!$Q$92*(CN58-逐级计算!$P$92)*LN(10)/10),0)+LN(1+EXP(-ABS((LN(10^(逐级计算!$Q$92/10)-1)+逐级计算!$Q$92*(CN58-逐级计算!$P$92)*LN(10)/10))))))),"")</f>
        <v>13.7930365742089</v>
      </c>
      <c r="CP58">
        <f>IF(AND(ISNUMBER(CO58),逐级计算!$X$93&gt;-1),IF(逐级计算!$X$93=0,CO58+逐级计算!$C$93,CO58+逐级计算!$C$93-(10/(逐级计算!$Q$93*LN(10))*(MAX((LN(10^(逐级计算!$Q$93/10)-1)+逐级计算!$Q$93*(CO58-逐级计算!$P$93)*LN(10)/10),0)+LN(1+EXP(-ABS((LN(10^(逐级计算!$Q$93/10)-1)+逐级计算!$Q$93*(CO58-逐级计算!$P$93)*LN(10)/10))))))),"")</f>
        <v>13.7930365742089</v>
      </c>
      <c r="CQ58">
        <f>IF(AND(ISNUMBER(CP58),逐级计算!$X$94&gt;-1),IF(逐级计算!$X$94=0,CP58+逐级计算!$C$94,CP58+逐级计算!$C$94-(10/(逐级计算!$Q$94*LN(10))*(MAX((LN(10^(逐级计算!$Q$94/10)-1)+逐级计算!$Q$94*(CP58-逐级计算!$P$94)*LN(10)/10),0)+LN(1+EXP(-ABS((LN(10^(逐级计算!$Q$94/10)-1)+逐级计算!$Q$94*(CP58-逐级计算!$P$94)*LN(10)/10))))))),"")</f>
        <v>13.7930365742089</v>
      </c>
      <c r="CR58">
        <f>IF(AND(ISNUMBER(CQ58),逐级计算!$X$95&gt;-1),IF(逐级计算!$X$95=0,CQ58+逐级计算!$C$95,CQ58+逐级计算!$C$95-(10/(逐级计算!$Q$95*LN(10))*(MAX((LN(10^(逐级计算!$Q$95/10)-1)+逐级计算!$Q$95*(CQ58-逐级计算!$P$95)*LN(10)/10),0)+LN(1+EXP(-ABS((LN(10^(逐级计算!$Q$95/10)-1)+逐级计算!$Q$95*(CQ58-逐级计算!$P$95)*LN(10)/10))))))),"")</f>
        <v>13.7930365742089</v>
      </c>
      <c r="CS58">
        <f>IF(AND(ISNUMBER(CR58),逐级计算!$X$96&gt;-1),IF(逐级计算!$X$96=0,CR58+逐级计算!$C$96,CR58+逐级计算!$C$96-(10/(逐级计算!$Q$96*LN(10))*(MAX((LN(10^(逐级计算!$Q$96/10)-1)+逐级计算!$Q$96*(CR58-逐级计算!$P$96)*LN(10)/10),0)+LN(1+EXP(-ABS((LN(10^(逐级计算!$Q$96/10)-1)+逐级计算!$Q$96*(CR58-逐级计算!$P$96)*LN(10)/10))))))),"")</f>
        <v>13.7930365742089</v>
      </c>
      <c r="CT58">
        <f>IF(AND(ISNUMBER(CS58),逐级计算!$X$97&gt;-1),IF(逐级计算!$X$97=0,CS58+逐级计算!$C$97,CS58+逐级计算!$C$97-(10/(逐级计算!$Q$97*LN(10))*(MAX((LN(10^(逐级计算!$Q$97/10)-1)+逐级计算!$Q$97*(CS58-逐级计算!$P$97)*LN(10)/10),0)+LN(1+EXP(-ABS((LN(10^(逐级计算!$Q$97/10)-1)+逐级计算!$Q$97*(CS58-逐级计算!$P$97)*LN(10)/10))))))),"")</f>
        <v>13.7930365742089</v>
      </c>
      <c r="CU58">
        <f>IF(AND(ISNUMBER(CT58),逐级计算!$X$98&gt;-1),IF(逐级计算!$X$98=0,CT58+逐级计算!$C$98,CT58+逐级计算!$C$98-(10/(逐级计算!$Q$98*LN(10))*(MAX((LN(10^(逐级计算!$Q$98/10)-1)+逐级计算!$Q$98*(CT58-逐级计算!$P$98)*LN(10)/10),0)+LN(1+EXP(-ABS((LN(10^(逐级计算!$Q$98/10)-1)+逐级计算!$Q$98*(CT58-逐级计算!$P$98)*LN(10)/10))))))),"")</f>
        <v>13.7930365742089</v>
      </c>
      <c r="CV58">
        <f>IF(AND(ISNUMBER(CU58),逐级计算!$X$99&gt;-1),IF(逐级计算!$X$99=0,CU58+逐级计算!$C$99,CU58+逐级计算!$C$99-(10/(逐级计算!$Q$99*LN(10))*(MAX((LN(10^(逐级计算!$Q$99/10)-1)+逐级计算!$Q$99*(CU58-逐级计算!$P$99)*LN(10)/10),0)+LN(1+EXP(-ABS((LN(10^(逐级计算!$Q$99/10)-1)+逐级计算!$Q$99*(CU58-逐级计算!$P$99)*LN(10)/10))))))),"")</f>
        <v>13.7930365742089</v>
      </c>
      <c r="CW58">
        <f>IF(AND(ISNUMBER(CV58),逐级计算!$X$100&gt;-1),IF(逐级计算!$X$100=0,CV58+逐级计算!$C$100,CV58+逐级计算!$C$100-(10/(逐级计算!$Q$100*LN(10))*(MAX((LN(10^(逐级计算!$Q$100/10)-1)+逐级计算!$Q$100*(CV58-逐级计算!$P$100)*LN(10)/10),0)+LN(1+EXP(-ABS((LN(10^(逐级计算!$Q$100/10)-1)+逐级计算!$Q$100*(CV58-逐级计算!$P$100)*LN(10)/10))))))),"")</f>
        <v>13.7930365742089</v>
      </c>
      <c r="CX58">
        <f>IF(AND(ISNUMBER(CW58),逐级计算!$X$101&gt;-1),IF(逐级计算!$X$101=0,CW58+逐级计算!$C$101,CW58+逐级计算!$C$101-(10/(逐级计算!$Q$101*LN(10))*(MAX((LN(10^(逐级计算!$Q$101/10)-1)+逐级计算!$Q$101*(CW58-逐级计算!$P$101)*LN(10)/10),0)+LN(1+EXP(-ABS((LN(10^(逐级计算!$Q$101/10)-1)+逐级计算!$Q$101*(CW58-逐级计算!$P$101)*LN(10)/10))))))),"")</f>
        <v>13.7930365742089</v>
      </c>
      <c r="CY58">
        <f>IF(AND(ISNUMBER(CX58),逐级计算!$X$102&gt;-1),IF(逐级计算!$X$102=0,CX58+逐级计算!$C$102,CX58+逐级计算!$C$102-(10/(逐级计算!$Q$102*LN(10))*(MAX((LN(10^(逐级计算!$Q$102/10)-1)+逐级计算!$Q$102*(CX58-逐级计算!$P$102)*LN(10)/10),0)+LN(1+EXP(-ABS((LN(10^(逐级计算!$Q$102/10)-1)+逐级计算!$Q$102*(CX58-逐级计算!$P$102)*LN(10)/10))))))),"")</f>
        <v>13.7930365742089</v>
      </c>
      <c r="CZ58">
        <f>IF(AND(ISNUMBER(CY58),逐级计算!$X$103&gt;-1),IF(逐级计算!$X$103=0,CY58+逐级计算!$C$103,CY58+逐级计算!$C$103-(10/(逐级计算!$Q$103*LN(10))*(MAX((LN(10^(逐级计算!$Q$103/10)-1)+逐级计算!$Q$103*(CY58-逐级计算!$P$103)*LN(10)/10),0)+LN(1+EXP(-ABS((LN(10^(逐级计算!$Q$103/10)-1)+逐级计算!$Q$103*(CY58-逐级计算!$P$103)*LN(10)/10))))))),"")</f>
        <v>13.7930365742089</v>
      </c>
      <c r="DA58">
        <f>IF(AND(ISNUMBER(CZ58),逐级计算!$X$104&gt;-1),IF(逐级计算!$X$104=0,CZ58+逐级计算!$C$104,CZ58+逐级计算!$C$104-(10/(逐级计算!$Q$104*LN(10))*(MAX((LN(10^(逐级计算!$Q$104/10)-1)+逐级计算!$Q$104*(CZ58-逐级计算!$P$104)*LN(10)/10),0)+LN(1+EXP(-ABS((LN(10^(逐级计算!$Q$104/10)-1)+逐级计算!$Q$104*(CZ58-逐级计算!$P$104)*LN(10)/10))))))),"")</f>
        <v>13.7930365742089</v>
      </c>
      <c r="DB58">
        <f>IF(AND(ISNUMBER(DA58),逐级计算!$X$105&gt;-1),IF(逐级计算!$X$105=0,DA58+逐级计算!$C$105,DA58+逐级计算!$C$105-(10/(逐级计算!$Q$105*LN(10))*(MAX((LN(10^(逐级计算!$Q$105/10)-1)+逐级计算!$Q$105*(DA58-逐级计算!$P$105)*LN(10)/10),0)+LN(1+EXP(-ABS((LN(10^(逐级计算!$Q$105/10)-1)+逐级计算!$Q$105*(DA58-逐级计算!$P$105)*LN(10)/10))))))),"")</f>
        <v>13.7930365742089</v>
      </c>
      <c r="DC58">
        <f>IF(AND(ISNUMBER(DB58),逐级计算!$X$106&gt;-1),IF(逐级计算!$X$106=0,DB58+逐级计算!$C$106,DB58+逐级计算!$C$106-(10/(逐级计算!$Q$106*LN(10))*(MAX((LN(10^(逐级计算!$Q$106/10)-1)+逐级计算!$Q$106*(DB58-逐级计算!$P$106)*LN(10)/10),0)+LN(1+EXP(-ABS((LN(10^(逐级计算!$Q$106/10)-1)+逐级计算!$Q$106*(DB58-逐级计算!$P$106)*LN(10)/10))))))),"")</f>
        <v>13.7930365742089</v>
      </c>
      <c r="DD58">
        <f>IF(AND(ISNUMBER(DC58),逐级计算!$X$107&gt;-1),IF(逐级计算!$X$107=0,DC58+逐级计算!$C$107,DC58+逐级计算!$C$107-(10/(逐级计算!$Q$107*LN(10))*(MAX((LN(10^(逐级计算!$Q$107/10)-1)+逐级计算!$Q$107*(DC58-逐级计算!$P$107)*LN(10)/10),0)+LN(1+EXP(-ABS((LN(10^(逐级计算!$Q$107/10)-1)+逐级计算!$Q$107*(DC58-逐级计算!$P$107)*LN(10)/10))))))),"")</f>
        <v>13.7930365742089</v>
      </c>
      <c r="DE58">
        <f>IF(AND(ISNUMBER(DD58),逐级计算!$X$108&gt;-1),IF(逐级计算!$X$108=0,DD58+逐级计算!$C$108,DD58+逐级计算!$C$108-(10/(逐级计算!$Q$108*LN(10))*(MAX((LN(10^(逐级计算!$Q$108/10)-1)+逐级计算!$Q$108*(DD58-逐级计算!$P$108)*LN(10)/10),0)+LN(1+EXP(-ABS((LN(10^(逐级计算!$Q$108/10)-1)+逐级计算!$Q$108*(DD58-逐级计算!$P$108)*LN(10)/10))))))),"")</f>
        <v>13.7930365742089</v>
      </c>
      <c r="DF58">
        <f>IF(AND(ISNUMBER(DE58),逐级计算!$X$109&gt;-1),IF(逐级计算!$X$109=0,DE58+逐级计算!$C$109,DE58+逐级计算!$C$109-(10/(逐级计算!$Q$109*LN(10))*(MAX((LN(10^(逐级计算!$Q$109/10)-1)+逐级计算!$Q$109*(DE58-逐级计算!$P$109)*LN(10)/10),0)+LN(1+EXP(-ABS((LN(10^(逐级计算!$Q$109/10)-1)+逐级计算!$Q$109*(DE58-逐级计算!$P$109)*LN(10)/10))))))),"")</f>
        <v>13.7930365742089</v>
      </c>
      <c r="DG58">
        <f>IF(AND(ISNUMBER(DF58),逐级计算!$X$110&gt;-1),IF(逐级计算!$X$110=0,DF58+逐级计算!$C$110,DF58+逐级计算!$C$110-(10/(逐级计算!$Q$110*LN(10))*(MAX((LN(10^(逐级计算!$Q$110/10)-1)+逐级计算!$Q$110*(DF58-逐级计算!$P$110)*LN(10)/10),0)+LN(1+EXP(-ABS((LN(10^(逐级计算!$Q$110/10)-1)+逐级计算!$Q$110*(DF58-逐级计算!$P$110)*LN(10)/10))))))),"")</f>
        <v>13.7930365742089</v>
      </c>
      <c r="DH58">
        <f>IF(AND(ISNUMBER(DG58),逐级计算!$X$111&gt;-1),IF(逐级计算!$X$111=0,DG58+逐级计算!$C$111,DG58+逐级计算!$C$111-(10/(逐级计算!$Q$111*LN(10))*(MAX((LN(10^(逐级计算!$Q$111/10)-1)+逐级计算!$Q$111*(DG58-逐级计算!$P$111)*LN(10)/10),0)+LN(1+EXP(-ABS((LN(10^(逐级计算!$Q$111/10)-1)+逐级计算!$Q$111*(DG58-逐级计算!$P$111)*LN(10)/10))))))),"")</f>
        <v>13.7930365742089</v>
      </c>
      <c r="DI58">
        <f>IF(AND(ISNUMBER(DH58),逐级计算!$X$112&gt;-1),IF(逐级计算!$X$112=0,DH58+逐级计算!$C$112,DH58+逐级计算!$C$112-(10/(逐级计算!$Q$112*LN(10))*(MAX((LN(10^(逐级计算!$Q$112/10)-1)+逐级计算!$Q$112*(DH58-逐级计算!$P$112)*LN(10)/10),0)+LN(1+EXP(-ABS((LN(10^(逐级计算!$Q$112/10)-1)+逐级计算!$Q$112*(DH58-逐级计算!$P$112)*LN(10)/10))))))),"")</f>
        <v>13.7930365742089</v>
      </c>
      <c r="DJ58">
        <f>IF(AND(ISNUMBER(DI58),逐级计算!$X$113&gt;-1),IF(逐级计算!$X$113=0,DI58+逐级计算!$C$113,DI58+逐级计算!$C$113-(10/(逐级计算!$Q$113*LN(10))*(MAX((LN(10^(逐级计算!$Q$113/10)-1)+逐级计算!$Q$113*(DI58-逐级计算!$P$113)*LN(10)/10),0)+LN(1+EXP(-ABS((LN(10^(逐级计算!$Q$113/10)-1)+逐级计算!$Q$113*(DI58-逐级计算!$P$113)*LN(10)/10))))))),"")</f>
        <v>13.7930365742089</v>
      </c>
      <c r="DK58">
        <f>IF(AND(ISNUMBER(DJ58),逐级计算!$X$114&gt;-1),IF(逐级计算!$X$114=0,DJ58+逐级计算!$C$114,DJ58+逐级计算!$C$114-(10/(逐级计算!$Q$114*LN(10))*(MAX((LN(10^(逐级计算!$Q$114/10)-1)+逐级计算!$Q$114*(DJ58-逐级计算!$P$114)*LN(10)/10),0)+LN(1+EXP(-ABS((LN(10^(逐级计算!$Q$114/10)-1)+逐级计算!$Q$114*(DJ58-逐级计算!$P$114)*LN(10)/10))))))),"")</f>
        <v>13.7930365742089</v>
      </c>
      <c r="DL58">
        <f>IF(AND(ISNUMBER(DK58),逐级计算!$X$115&gt;-1),IF(逐级计算!$X$115=0,DK58+逐级计算!$C$115,DK58+逐级计算!$C$115-(10/(逐级计算!$Q$115*LN(10))*(MAX((LN(10^(逐级计算!$Q$115/10)-1)+逐级计算!$Q$115*(DK58-逐级计算!$P$115)*LN(10)/10),0)+LN(1+EXP(-ABS((LN(10^(逐级计算!$Q$115/10)-1)+逐级计算!$Q$115*(DK58-逐级计算!$P$115)*LN(10)/10))))))),"")</f>
        <v>13.7930365742089</v>
      </c>
      <c r="DM58">
        <f>IF(AND(ISNUMBER(DL58),逐级计算!$X$116&gt;-1),IF(逐级计算!$X$116=0,DL58+逐级计算!$C$116,DL58+逐级计算!$C$116-(10/(逐级计算!$Q$116*LN(10))*(MAX((LN(10^(逐级计算!$Q$116/10)-1)+逐级计算!$Q$116*(DL58-逐级计算!$P$116)*LN(10)/10),0)+LN(1+EXP(-ABS((LN(10^(逐级计算!$Q$116/10)-1)+逐级计算!$Q$116*(DL58-逐级计算!$P$116)*LN(10)/10))))))),"")</f>
        <v>13.7930365742089</v>
      </c>
      <c r="DN58">
        <f>IF(AND(ISNUMBER(DM58),逐级计算!$X$117&gt;-1),IF(逐级计算!$X$117=0,DM58+逐级计算!$C$117,DM58+逐级计算!$C$117-(10/(逐级计算!$Q$117*LN(10))*(MAX((LN(10^(逐级计算!$Q$117/10)-1)+逐级计算!$Q$117*(DM58-逐级计算!$P$117)*LN(10)/10),0)+LN(1+EXP(-ABS((LN(10^(逐级计算!$Q$117/10)-1)+逐级计算!$Q$117*(DM58-逐级计算!$P$117)*LN(10)/10))))))),"")</f>
        <v>13.7930365742089</v>
      </c>
      <c r="DO58">
        <f>IF(AND(ISNUMBER(DN58),逐级计算!$X$118&gt;-1),IF(逐级计算!$X$118=0,DN58+逐级计算!$C$118,DN58+逐级计算!$C$118-(10/(逐级计算!$Q$118*LN(10))*(MAX((LN(10^(逐级计算!$Q$118/10)-1)+逐级计算!$Q$118*(DN58-逐级计算!$P$118)*LN(10)/10),0)+LN(1+EXP(-ABS((LN(10^(逐级计算!$Q$118/10)-1)+逐级计算!$Q$118*(DN58-逐级计算!$P$118)*LN(10)/10))))))),"")</f>
        <v>13.7930365742089</v>
      </c>
      <c r="DP58">
        <f>IF(AND(ISNUMBER(DO58),逐级计算!$X$119&gt;-1),IF(逐级计算!$X$119=0,DO58+逐级计算!$C$119,DO58+逐级计算!$C$119-(10/(逐级计算!$Q$119*LN(10))*(MAX((LN(10^(逐级计算!$Q$119/10)-1)+逐级计算!$Q$119*(DO58-逐级计算!$P$119)*LN(10)/10),0)+LN(1+EXP(-ABS((LN(10^(逐级计算!$Q$119/10)-1)+逐级计算!$Q$119*(DO58-逐级计算!$P$119)*LN(10)/10))))))),"")</f>
        <v>13.7930365742089</v>
      </c>
      <c r="DQ58">
        <f>IF(AND(ISNUMBER(DP58),逐级计算!$X$120&gt;-1),IF(逐级计算!$X$120=0,DP58+逐级计算!$C$120,DP58+逐级计算!$C$120-(10/(逐级计算!$Q$120*LN(10))*(MAX((LN(10^(逐级计算!$Q$120/10)-1)+逐级计算!$Q$120*(DP58-逐级计算!$P$120)*LN(10)/10),0)+LN(1+EXP(-ABS((LN(10^(逐级计算!$Q$120/10)-1)+逐级计算!$Q$120*(DP58-逐级计算!$P$120)*LN(10)/10))))))),"")</f>
        <v>13.7930365742089</v>
      </c>
      <c r="DR58">
        <f>IF(AND(ISNUMBER(DQ58),逐级计算!$X$121&gt;-1),IF(逐级计算!$X$121=0,DQ58+逐级计算!$C$121,DQ58+逐级计算!$C$121-(10/(逐级计算!$Q$121*LN(10))*(MAX((LN(10^(逐级计算!$Q$121/10)-1)+逐级计算!$Q$121*(DQ58-逐级计算!$P$121)*LN(10)/10),0)+LN(1+EXP(-ABS((LN(10^(逐级计算!$Q$121/10)-1)+逐级计算!$Q$121*(DQ58-逐级计算!$P$121)*LN(10)/10))))))),"")</f>
        <v>13.7930365742089</v>
      </c>
      <c r="DS58">
        <f>IF(AND(ISNUMBER(DR58),逐级计算!$X$122&gt;-1),IF(逐级计算!$X$122=0,DR58+逐级计算!$C$122,DR58+逐级计算!$C$122-(10/(逐级计算!$Q$122*LN(10))*(MAX((LN(10^(逐级计算!$Q$122/10)-1)+逐级计算!$Q$122*(DR58-逐级计算!$P$122)*LN(10)/10),0)+LN(1+EXP(-ABS((LN(10^(逐级计算!$Q$122/10)-1)+逐级计算!$Q$122*(DR58-逐级计算!$P$122)*LN(10)/10))))))),"")</f>
        <v>13.7930365742089</v>
      </c>
      <c r="DT58">
        <f>IF(AND(ISNUMBER(DS58),逐级计算!$X$123&gt;-1),IF(逐级计算!$X$123=0,DS58+逐级计算!$C$123,DS58+逐级计算!$C$123-(10/(逐级计算!$Q$123*LN(10))*(MAX((LN(10^(逐级计算!$Q$123/10)-1)+逐级计算!$Q$123*(DS58-逐级计算!$P$123)*LN(10)/10),0)+LN(1+EXP(-ABS((LN(10^(逐级计算!$Q$123/10)-1)+逐级计算!$Q$123*(DS58-逐级计算!$P$123)*LN(10)/10))))))),"")</f>
        <v>13.7930365742089</v>
      </c>
      <c r="DU58">
        <f>IF(AND(ISNUMBER(DT58),逐级计算!$X$124&gt;-1),IF(逐级计算!$X$124=0,DT58+逐级计算!$C$124,DT58+逐级计算!$C$124-(10/(逐级计算!$Q$124*LN(10))*(MAX((LN(10^(逐级计算!$Q$124/10)-1)+逐级计算!$Q$124*(DT58-逐级计算!$P$124)*LN(10)/10),0)+LN(1+EXP(-ABS((LN(10^(逐级计算!$Q$124/10)-1)+逐级计算!$Q$124*(DT58-逐级计算!$P$124)*LN(10)/10))))))),"")</f>
        <v>13.7930365742089</v>
      </c>
      <c r="DV58">
        <f>IF(AND(ISNUMBER(DU58),逐级计算!$X$125&gt;-1),IF(逐级计算!$X$125=0,DU58+逐级计算!$C$125,DU58+逐级计算!$C$125-(10/(逐级计算!$Q$125*LN(10))*(MAX((LN(10^(逐级计算!$Q$125/10)-1)+逐级计算!$Q$125*(DU58-逐级计算!$P$125)*LN(10)/10),0)+LN(1+EXP(-ABS((LN(10^(逐级计算!$Q$125/10)-1)+逐级计算!$Q$125*(DU58-逐级计算!$P$125)*LN(10)/10))))))),"")</f>
        <v>13.7930365742089</v>
      </c>
      <c r="DW58">
        <f>IF(AND(ISNUMBER(DV58),逐级计算!$X$126&gt;-1),IF(逐级计算!$X$126=0,DV58+逐级计算!$C$126,DV58+逐级计算!$C$126-(10/(逐级计算!$Q$126*LN(10))*(MAX((LN(10^(逐级计算!$Q$126/10)-1)+逐级计算!$Q$126*(DV58-逐级计算!$P$126)*LN(10)/10),0)+LN(1+EXP(-ABS((LN(10^(逐级计算!$Q$126/10)-1)+逐级计算!$Q$126*(DV58-逐级计算!$P$126)*LN(10)/10))))))),"")</f>
        <v>13.7930365742089</v>
      </c>
      <c r="DX58">
        <f>IF(AND(ISNUMBER(DW58),逐级计算!$X$127&gt;-1),IF(逐级计算!$X$127=0,DW58+逐级计算!$C$127,DW58+逐级计算!$C$127-(10/(逐级计算!$Q$127*LN(10))*(MAX((LN(10^(逐级计算!$Q$127/10)-1)+逐级计算!$Q$127*(DW58-逐级计算!$P$127)*LN(10)/10),0)+LN(1+EXP(-ABS((LN(10^(逐级计算!$Q$127/10)-1)+逐级计算!$Q$127*(DW58-逐级计算!$P$127)*LN(10)/10))))))),"")</f>
        <v>13.7930365742089</v>
      </c>
      <c r="DY58">
        <f>IF(AND(ISNUMBER(DX58),逐级计算!$X$128&gt;-1),IF(逐级计算!$X$128=0,DX58+逐级计算!$C$128,DX58+逐级计算!$C$128-(10/(逐级计算!$Q$128*LN(10))*(MAX((LN(10^(逐级计算!$Q$128/10)-1)+逐级计算!$Q$128*(DX58-逐级计算!$P$128)*LN(10)/10),0)+LN(1+EXP(-ABS((LN(10^(逐级计算!$Q$128/10)-1)+逐级计算!$Q$128*(DX58-逐级计算!$P$128)*LN(10)/10))))))),"")</f>
        <v>13.7930365742089</v>
      </c>
      <c r="DZ58">
        <f>IF(AND(ISNUMBER(DY58),逐级计算!$X$129&gt;-1),IF(逐级计算!$X$129=0,DY58+逐级计算!$C$129,DY58+逐级计算!$C$129-(10/(逐级计算!$Q$129*LN(10))*(MAX((LN(10^(逐级计算!$Q$129/10)-1)+逐级计算!$Q$129*(DY58-逐级计算!$P$129)*LN(10)/10),0)+LN(1+EXP(-ABS((LN(10^(逐级计算!$Q$129/10)-1)+逐级计算!$Q$129*(DY58-逐级计算!$P$129)*LN(10)/10))))))),"")</f>
        <v>13.7930365742089</v>
      </c>
      <c r="EA58">
        <f>IF(AND(ISNUMBER(DZ58),逐级计算!$X$130&gt;-1),IF(逐级计算!$X$130=0,DZ58+逐级计算!$C$130,DZ58+逐级计算!$C$130-(10/(逐级计算!$Q$130*LN(10))*(MAX((LN(10^(逐级计算!$Q$130/10)-1)+逐级计算!$Q$130*(DZ58-逐级计算!$P$130)*LN(10)/10),0)+LN(1+EXP(-ABS((LN(10^(逐级计算!$Q$130/10)-1)+逐级计算!$Q$130*(DZ58-逐级计算!$P$130)*LN(10)/10))))))),"")</f>
        <v>13.7930365742089</v>
      </c>
      <c r="EB58">
        <f>IF(AND(ISNUMBER(EA58),逐级计算!$X$131&gt;-1),IF(逐级计算!$X$131=0,EA58+逐级计算!$C$131,EA58+逐级计算!$C$131-(10/(逐级计算!$Q$131*LN(10))*(MAX((LN(10^(逐级计算!$Q$131/10)-1)+逐级计算!$Q$131*(EA58-逐级计算!$P$131)*LN(10)/10),0)+LN(1+EXP(-ABS((LN(10^(逐级计算!$Q$131/10)-1)+逐级计算!$Q$131*(EA58-逐级计算!$P$131)*LN(10)/10))))))),"")</f>
        <v>13.7930365742089</v>
      </c>
      <c r="EC58">
        <f>IF(AND(ISNUMBER(EB58),逐级计算!$X$132&gt;-1),IF(逐级计算!$X$132=0,EB58+逐级计算!$C$132,EB58+逐级计算!$C$132-(10/(逐级计算!$Q$132*LN(10))*(MAX((LN(10^(逐级计算!$Q$132/10)-1)+逐级计算!$Q$132*(EB58-逐级计算!$P$132)*LN(10)/10),0)+LN(1+EXP(-ABS((LN(10^(逐级计算!$Q$132/10)-1)+逐级计算!$Q$132*(EB58-逐级计算!$P$132)*LN(10)/10))))))),"")</f>
        <v>13.7930365742089</v>
      </c>
      <c r="ED58">
        <f>IF(AND(ISNUMBER(EC58),逐级计算!$X$133&gt;-1),IF(逐级计算!$X$133=0,EC58+逐级计算!$C$133,EC58+逐级计算!$C$133-(10/(逐级计算!$Q$133*LN(10))*(MAX((LN(10^(逐级计算!$Q$133/10)-1)+逐级计算!$Q$133*(EC58-逐级计算!$P$133)*LN(10)/10),0)+LN(1+EXP(-ABS((LN(10^(逐级计算!$Q$133/10)-1)+逐级计算!$Q$133*(EC58-逐级计算!$P$133)*LN(10)/10))))))),"")</f>
        <v>13.7930365742089</v>
      </c>
      <c r="EE58">
        <f>IF(AND(ISNUMBER(ED58),逐级计算!$X$134&gt;-1),IF(逐级计算!$X$134=0,ED58+逐级计算!$C$134,ED58+逐级计算!$C$134-(10/(逐级计算!$Q$134*LN(10))*(MAX((LN(10^(逐级计算!$Q$134/10)-1)+逐级计算!$Q$134*(ED58-逐级计算!$P$134)*LN(10)/10),0)+LN(1+EXP(-ABS((LN(10^(逐级计算!$Q$134/10)-1)+逐级计算!$Q$134*(ED58-逐级计算!$P$134)*LN(10)/10))))))),"")</f>
        <v>13.7930365742089</v>
      </c>
      <c r="EF58">
        <f>IF(AND(ISNUMBER(EE58),逐级计算!$X$135&gt;-1),IF(逐级计算!$X$135=0,EE58+逐级计算!$C$135,EE58+逐级计算!$C$135-(10/(逐级计算!$Q$135*LN(10))*(MAX((LN(10^(逐级计算!$Q$135/10)-1)+逐级计算!$Q$135*(EE58-逐级计算!$P$135)*LN(10)/10),0)+LN(1+EXP(-ABS((LN(10^(逐级计算!$Q$135/10)-1)+逐级计算!$Q$135*(EE58-逐级计算!$P$135)*LN(10)/10))))))),"")</f>
        <v>13.7930365742089</v>
      </c>
      <c r="EG58">
        <f>IF(AND(ISNUMBER(EF58),逐级计算!$X$136&gt;-1),IF(逐级计算!$X$136=0,EF58+逐级计算!$C$136,EF58+逐级计算!$C$136-(10/(逐级计算!$Q$136*LN(10))*(MAX((LN(10^(逐级计算!$Q$136/10)-1)+逐级计算!$Q$136*(EF58-逐级计算!$P$136)*LN(10)/10),0)+LN(1+EXP(-ABS((LN(10^(逐级计算!$Q$136/10)-1)+逐级计算!$Q$136*(EF58-逐级计算!$P$136)*LN(10)/10))))))),"")</f>
        <v>13.7930365742089</v>
      </c>
      <c r="EH58">
        <f>IF(AND(ISNUMBER(EG58),逐级计算!$X$137&gt;-1),IF(逐级计算!$X$137=0,EG58+逐级计算!$C$137,EG58+逐级计算!$C$137-(10/(逐级计算!$Q$137*LN(10))*(MAX((LN(10^(逐级计算!$Q$137/10)-1)+逐级计算!$Q$137*(EG58-逐级计算!$P$137)*LN(10)/10),0)+LN(1+EXP(-ABS((LN(10^(逐级计算!$Q$137/10)-1)+逐级计算!$Q$137*(EG58-逐级计算!$P$137)*LN(10)/10))))))),"")</f>
        <v>13.7930365742089</v>
      </c>
      <c r="EI58">
        <f>IF(AND(ISNUMBER(EH58),逐级计算!$X$138&gt;-1),IF(逐级计算!$X$138=0,EH58+逐级计算!$C$138,EH58+逐级计算!$C$138-(10/(逐级计算!$Q$138*LN(10))*(MAX((LN(10^(逐级计算!$Q$138/10)-1)+逐级计算!$Q$138*(EH58-逐级计算!$P$138)*LN(10)/10),0)+LN(1+EXP(-ABS((LN(10^(逐级计算!$Q$138/10)-1)+逐级计算!$Q$138*(EH58-逐级计算!$P$138)*LN(10)/10))))))),"")</f>
        <v>13.7930365742089</v>
      </c>
      <c r="EJ58">
        <f>IF(AND(ISNUMBER(EI58),逐级计算!$X$139&gt;-1),IF(逐级计算!$X$139=0,EI58+逐级计算!$C$139,EI58+逐级计算!$C$139-(10/(逐级计算!$Q$139*LN(10))*(MAX((LN(10^(逐级计算!$Q$139/10)-1)+逐级计算!$Q$139*(EI58-逐级计算!$P$139)*LN(10)/10),0)+LN(1+EXP(-ABS((LN(10^(逐级计算!$Q$139/10)-1)+逐级计算!$Q$139*(EI58-逐级计算!$P$139)*LN(10)/10))))))),"")</f>
        <v>13.7930365742089</v>
      </c>
      <c r="EK58">
        <f>IF(AND(ISNUMBER(EJ58),逐级计算!$X$140&gt;-1),IF(逐级计算!$X$140=0,EJ58+逐级计算!$C$140,EJ58+逐级计算!$C$140-(10/(逐级计算!$Q$140*LN(10))*(MAX((LN(10^(逐级计算!$Q$140/10)-1)+逐级计算!$Q$140*(EJ58-逐级计算!$P$140)*LN(10)/10),0)+LN(1+EXP(-ABS((LN(10^(逐级计算!$Q$140/10)-1)+逐级计算!$Q$140*(EJ58-逐级计算!$P$140)*LN(10)/10))))))),"")</f>
        <v>13.7930365742089</v>
      </c>
      <c r="EL58">
        <f>IF(AND(ISNUMBER(EK58),逐级计算!$X$141&gt;-1),IF(逐级计算!$X$141=0,EK58+逐级计算!$C$141,EK58+逐级计算!$C$141-(10/(逐级计算!$Q$141*LN(10))*(MAX((LN(10^(逐级计算!$Q$141/10)-1)+逐级计算!$Q$141*(EK58-逐级计算!$P$141)*LN(10)/10),0)+LN(1+EXP(-ABS((LN(10^(逐级计算!$Q$141/10)-1)+逐级计算!$Q$141*(EK58-逐级计算!$P$141)*LN(10)/10))))))),"")</f>
        <v>13.7930365742089</v>
      </c>
      <c r="EM58">
        <f>IF(AND(ISNUMBER(EL58),逐级计算!$X$142&gt;-1),IF(逐级计算!$X$142=0,EL58+逐级计算!$C$142,EL58+逐级计算!$C$142-(10/(逐级计算!$Q$142*LN(10))*(MAX((LN(10^(逐级计算!$Q$142/10)-1)+逐级计算!$Q$142*(EL58-逐级计算!$P$142)*LN(10)/10),0)+LN(1+EXP(-ABS((LN(10^(逐级计算!$Q$142/10)-1)+逐级计算!$Q$142*(EL58-逐级计算!$P$142)*LN(10)/10))))))),"")</f>
        <v>13.7930365742089</v>
      </c>
      <c r="EN58">
        <f>IF(AND(ISNUMBER(EM58),逐级计算!$X$143&gt;-1),IF(逐级计算!$X$143=0,EM58+逐级计算!$C$143,EM58+逐级计算!$C$143-(10/(逐级计算!$Q$143*LN(10))*(MAX((LN(10^(逐级计算!$Q$143/10)-1)+逐级计算!$Q$143*(EM58-逐级计算!$P$143)*LN(10)/10),0)+LN(1+EXP(-ABS((LN(10^(逐级计算!$Q$143/10)-1)+逐级计算!$Q$143*(EM58-逐级计算!$P$143)*LN(10)/10))))))),"")</f>
        <v>13.7930365742089</v>
      </c>
      <c r="EO58">
        <f>IF(AND(ISNUMBER(EN58),逐级计算!$X$144&gt;-1),IF(逐级计算!$X$144=0,EN58+逐级计算!$C$144,EN58+逐级计算!$C$144-(10/(逐级计算!$Q$144*LN(10))*(MAX((LN(10^(逐级计算!$Q$144/10)-1)+逐级计算!$Q$144*(EN58-逐级计算!$P$144)*LN(10)/10),0)+LN(1+EXP(-ABS((LN(10^(逐级计算!$Q$144/10)-1)+逐级计算!$Q$144*(EN58-逐级计算!$P$144)*LN(10)/10))))))),"")</f>
        <v>13.7930365742089</v>
      </c>
      <c r="EP58">
        <f>IF(AND(ISNUMBER(EO58),逐级计算!$X$145&gt;-1),IF(逐级计算!$X$145=0,EO58+逐级计算!$C$145,EO58+逐级计算!$C$145-(10/(逐级计算!$Q$145*LN(10))*(MAX((LN(10^(逐级计算!$Q$145/10)-1)+逐级计算!$Q$145*(EO58-逐级计算!$P$145)*LN(10)/10),0)+LN(1+EXP(-ABS((LN(10^(逐级计算!$Q$145/10)-1)+逐级计算!$Q$145*(EO58-逐级计算!$P$145)*LN(10)/10))))))),"")</f>
        <v>13.7930365742089</v>
      </c>
      <c r="EQ58">
        <f>IF(AND(ISNUMBER(EP58),逐级计算!$X$146&gt;-1),IF(逐级计算!$X$146=0,EP58+逐级计算!$C$146,EP58+逐级计算!$C$146-(10/(逐级计算!$Q$146*LN(10))*(MAX((LN(10^(逐级计算!$Q$146/10)-1)+逐级计算!$Q$146*(EP58-逐级计算!$P$146)*LN(10)/10),0)+LN(1+EXP(-ABS((LN(10^(逐级计算!$Q$146/10)-1)+逐级计算!$Q$146*(EP58-逐级计算!$P$146)*LN(10)/10))))))),"")</f>
        <v>13.7930365742089</v>
      </c>
      <c r="ER58">
        <f>IF(AND(ISNUMBER(EQ58),逐级计算!$X$147&gt;-1),IF(逐级计算!$X$147=0,EQ58+逐级计算!$C$147,EQ58+逐级计算!$C$147-(10/(逐级计算!$Q$147*LN(10))*(MAX((LN(10^(逐级计算!$Q$147/10)-1)+逐级计算!$Q$147*(EQ58-逐级计算!$P$147)*LN(10)/10),0)+LN(1+EXP(-ABS((LN(10^(逐级计算!$Q$147/10)-1)+逐级计算!$Q$147*(EQ58-逐级计算!$P$147)*LN(10)/10))))))),"")</f>
        <v>13.7930365742089</v>
      </c>
      <c r="ES58">
        <f>IF(AND(ISNUMBER(ER58),逐级计算!$X$148&gt;-1),IF(逐级计算!$X$148=0,ER58+逐级计算!$C$148,ER58+逐级计算!$C$148-(10/(逐级计算!$Q$148*LN(10))*(MAX((LN(10^(逐级计算!$Q$148/10)-1)+逐级计算!$Q$148*(ER58-逐级计算!$P$148)*LN(10)/10),0)+LN(1+EXP(-ABS((LN(10^(逐级计算!$Q$148/10)-1)+逐级计算!$Q$148*(ER58-逐级计算!$P$148)*LN(10)/10))))))),"")</f>
        <v>13.7930365742089</v>
      </c>
      <c r="ET58">
        <f>IF(AND(ISNUMBER(ES58),逐级计算!$X$149&gt;-1),IF(逐级计算!$X$149=0,ES58+逐级计算!$C$149,ES58+逐级计算!$C$149-(10/(逐级计算!$Q$149*LN(10))*(MAX((LN(10^(逐级计算!$Q$149/10)-1)+逐级计算!$Q$149*(ES58-逐级计算!$P$149)*LN(10)/10),0)+LN(1+EXP(-ABS((LN(10^(逐级计算!$Q$149/10)-1)+逐级计算!$Q$149*(ES58-逐级计算!$P$149)*LN(10)/10))))))),"")</f>
        <v>13.7930365742089</v>
      </c>
      <c r="EU58">
        <f>IF(AND(ISNUMBER(ET58),逐级计算!$X$150&gt;-1),IF(逐级计算!$X$150=0,ET58+逐级计算!$C$150,ET58+逐级计算!$C$150-(10/(逐级计算!$Q$150*LN(10))*(MAX((LN(10^(逐级计算!$Q$150/10)-1)+逐级计算!$Q$150*(ET58-逐级计算!$P$150)*LN(10)/10),0)+LN(1+EXP(-ABS((LN(10^(逐级计算!$Q$150/10)-1)+逐级计算!$Q$150*(ET58-逐级计算!$P$150)*LN(10)/10))))))),"")</f>
        <v>13.7930365742089</v>
      </c>
      <c r="EV58">
        <f>IF(AND(ISNUMBER(EU58),逐级计算!$X$151&gt;-1),IF(逐级计算!$X$151=0,EU58+逐级计算!$C$151,EU58+逐级计算!$C$151-(10/(逐级计算!$Q$151*LN(10))*(MAX((LN(10^(逐级计算!$Q$151/10)-1)+逐级计算!$Q$151*(EU58-逐级计算!$P$151)*LN(10)/10),0)+LN(1+EXP(-ABS((LN(10^(逐级计算!$Q$151/10)-1)+逐级计算!$Q$151*(EU58-逐级计算!$P$151)*LN(10)/10))))))),"")</f>
        <v>13.7930365742089</v>
      </c>
      <c r="EW58">
        <f>IF(AND(ISNUMBER(EV58),逐级计算!$X$152&gt;-1),IF(逐级计算!$X$152=0,EV58+逐级计算!$C$152,EV58+逐级计算!$C$152-(10/(逐级计算!$Q$152*LN(10))*(MAX((LN(10^(逐级计算!$Q$152/10)-1)+逐级计算!$Q$152*(EV58-逐级计算!$P$152)*LN(10)/10),0)+LN(1+EXP(-ABS((LN(10^(逐级计算!$Q$152/10)-1)+逐级计算!$Q$152*(EV58-逐级计算!$P$152)*LN(10)/10))))))),"")</f>
        <v>13.7930365742089</v>
      </c>
      <c r="EX58">
        <f>IF(AND(ISNUMBER(EW58),逐级计算!$X$153&gt;-1),IF(逐级计算!$X$153=0,EW58+逐级计算!$C$153,EW58+逐级计算!$C$153-(10/(逐级计算!$Q$153*LN(10))*(MAX((LN(10^(逐级计算!$Q$153/10)-1)+逐级计算!$Q$153*(EW58-逐级计算!$P$153)*LN(10)/10),0)+LN(1+EXP(-ABS((LN(10^(逐级计算!$Q$153/10)-1)+逐级计算!$Q$153*(EW58-逐级计算!$P$153)*LN(10)/10))))))),"")</f>
        <v>13.7930365742089</v>
      </c>
      <c r="EY58">
        <f>IF(AND(ISNUMBER(EX58),逐级计算!$X$154&gt;-1),IF(逐级计算!$X$154=0,EX58+逐级计算!$C$154,EX58+逐级计算!$C$154-(10/(逐级计算!$Q$154*LN(10))*(MAX((LN(10^(逐级计算!$Q$154/10)-1)+逐级计算!$Q$154*(EX58-逐级计算!$P$154)*LN(10)/10),0)+LN(1+EXP(-ABS((LN(10^(逐级计算!$Q$154/10)-1)+逐级计算!$Q$154*(EX58-逐级计算!$P$154)*LN(10)/10))))))),"")</f>
        <v>13.7930365742089</v>
      </c>
      <c r="EZ58">
        <f>IF(AND(ISNUMBER(EY58),逐级计算!$X$155&gt;-1),IF(逐级计算!$X$155=0,EY58+逐级计算!$C$155,EY58+逐级计算!$C$155-(10/(逐级计算!$Q$155*LN(10))*(MAX((LN(10^(逐级计算!$Q$155/10)-1)+逐级计算!$Q$155*(EY58-逐级计算!$P$155)*LN(10)/10),0)+LN(1+EXP(-ABS((LN(10^(逐级计算!$Q$155/10)-1)+逐级计算!$Q$155*(EY58-逐级计算!$P$155)*LN(10)/10))))))),"")</f>
        <v>13.7930365742089</v>
      </c>
      <c r="FA58">
        <f>IF(AND(ISNUMBER(EZ58),逐级计算!$X$156&gt;-1),IF(逐级计算!$X$156=0,EZ58+逐级计算!$C$156,EZ58+逐级计算!$C$156-(10/(逐级计算!$Q$156*LN(10))*(MAX((LN(10^(逐级计算!$Q$156/10)-1)+逐级计算!$Q$156*(EZ58-逐级计算!$P$156)*LN(10)/10),0)+LN(1+EXP(-ABS((LN(10^(逐级计算!$Q$156/10)-1)+逐级计算!$Q$156*(EZ58-逐级计算!$P$156)*LN(10)/10))))))),"")</f>
        <v>13.7930365742089</v>
      </c>
      <c r="FB58">
        <f>IF(AND(ISNUMBER(FA58),逐级计算!$X$157&gt;-1),IF(逐级计算!$X$157=0,FA58+逐级计算!$C$157,FA58+逐级计算!$C$157-(10/(逐级计算!$Q$157*LN(10))*(MAX((LN(10^(逐级计算!$Q$157/10)-1)+逐级计算!$Q$157*(FA58-逐级计算!$P$157)*LN(10)/10),0)+LN(1+EXP(-ABS((LN(10^(逐级计算!$Q$157/10)-1)+逐级计算!$Q$157*(FA58-逐级计算!$P$157)*LN(10)/10))))))),"")</f>
        <v>13.7930365742089</v>
      </c>
      <c r="FC58">
        <f>IF(AND(ISNUMBER(FB58),逐级计算!$X$158&gt;-1),IF(逐级计算!$X$158=0,FB58+逐级计算!$C$158,FB58+逐级计算!$C$158-(10/(逐级计算!$Q$158*LN(10))*(MAX((LN(10^(逐级计算!$Q$158/10)-1)+逐级计算!$Q$158*(FB58-逐级计算!$P$158)*LN(10)/10),0)+LN(1+EXP(-ABS((LN(10^(逐级计算!$Q$158/10)-1)+逐级计算!$Q$158*(FB58-逐级计算!$P$158)*LN(10)/10))))))),"")</f>
        <v>13.7930365742089</v>
      </c>
      <c r="FD58">
        <f>IF(AND(ISNUMBER(FC58),逐级计算!$X$159&gt;-1),IF(逐级计算!$X$159=0,FC58+逐级计算!$C$159,FC58+逐级计算!$C$159-(10/(逐级计算!$Q$159*LN(10))*(MAX((LN(10^(逐级计算!$Q$159/10)-1)+逐级计算!$Q$159*(FC58-逐级计算!$P$159)*LN(10)/10),0)+LN(1+EXP(-ABS((LN(10^(逐级计算!$Q$159/10)-1)+逐级计算!$Q$159*(FC58-逐级计算!$P$159)*LN(10)/10))))))),"")</f>
        <v>13.7930365742089</v>
      </c>
      <c r="FE58">
        <f>IF(AND(ISNUMBER(FD58),逐级计算!$X$160&gt;-1),IF(逐级计算!$X$160=0,FD58+逐级计算!$C$160,FD58+逐级计算!$C$160-(10/(逐级计算!$Q$160*LN(10))*(MAX((LN(10^(逐级计算!$Q$160/10)-1)+逐级计算!$Q$160*(FD58-逐级计算!$P$160)*LN(10)/10),0)+LN(1+EXP(-ABS((LN(10^(逐级计算!$Q$160/10)-1)+逐级计算!$Q$160*(FD58-逐级计算!$P$160)*LN(10)/10))))))),"")</f>
        <v>13.7930365742089</v>
      </c>
      <c r="FF58">
        <f>IF(AND(ISNUMBER(FE58),逐级计算!$X$161&gt;-1),IF(逐级计算!$X$161=0,FE58+逐级计算!$C$161,FE58+逐级计算!$C$161-(10/(逐级计算!$Q$161*LN(10))*(MAX((LN(10^(逐级计算!$Q$161/10)-1)+逐级计算!$Q$161*(FE58-逐级计算!$P$161)*LN(10)/10),0)+LN(1+EXP(-ABS((LN(10^(逐级计算!$Q$161/10)-1)+逐级计算!$Q$161*(FE58-逐级计算!$P$161)*LN(10)/10))))))),"")</f>
        <v>13.7930365742089</v>
      </c>
      <c r="FG58">
        <f>IF(AND(ISNUMBER(FF58),逐级计算!$X$162&gt;-1),IF(逐级计算!$X$162=0,FF58+逐级计算!$C$162,FF58+逐级计算!$C$162-(10/(逐级计算!$Q$162*LN(10))*(MAX((LN(10^(逐级计算!$Q$162/10)-1)+逐级计算!$Q$162*(FF58-逐级计算!$P$162)*LN(10)/10),0)+LN(1+EXP(-ABS((LN(10^(逐级计算!$Q$162/10)-1)+逐级计算!$Q$162*(FF58-逐级计算!$P$162)*LN(10)/10))))))),"")</f>
        <v>13.7930365742089</v>
      </c>
      <c r="FH58">
        <f>IF(AND(ISNUMBER(FG58),逐级计算!$X$163&gt;-1),IF(逐级计算!$X$163=0,FG58+逐级计算!$C$163,FG58+逐级计算!$C$163-(10/(逐级计算!$Q$163*LN(10))*(MAX((LN(10^(逐级计算!$Q$163/10)-1)+逐级计算!$Q$163*(FG58-逐级计算!$P$163)*LN(10)/10),0)+LN(1+EXP(-ABS((LN(10^(逐级计算!$Q$163/10)-1)+逐级计算!$Q$163*(FG58-逐级计算!$P$163)*LN(10)/10))))))),"")</f>
        <v>13.7930365742089</v>
      </c>
      <c r="FI58">
        <f>IF(AND(ISNUMBER(FH58),逐级计算!$X$164&gt;-1),IF(逐级计算!$X$164=0,FH58+逐级计算!$C$164,FH58+逐级计算!$C$164-(10/(逐级计算!$Q$164*LN(10))*(MAX((LN(10^(逐级计算!$Q$164/10)-1)+逐级计算!$Q$164*(FH58-逐级计算!$P$164)*LN(10)/10),0)+LN(1+EXP(-ABS((LN(10^(逐级计算!$Q$164/10)-1)+逐级计算!$Q$164*(FH58-逐级计算!$P$164)*LN(10)/10))))))),"")</f>
        <v>13.7930365742089</v>
      </c>
      <c r="FJ58">
        <f>IF(AND(ISNUMBER(FI58),逐级计算!$X$165&gt;-1),IF(逐级计算!$X$165=0,FI58+逐级计算!$C$165,FI58+逐级计算!$C$165-(10/(逐级计算!$Q$165*LN(10))*(MAX((LN(10^(逐级计算!$Q$165/10)-1)+逐级计算!$Q$165*(FI58-逐级计算!$P$165)*LN(10)/10),0)+LN(1+EXP(-ABS((LN(10^(逐级计算!$Q$165/10)-1)+逐级计算!$Q$165*(FI58-逐级计算!$P$165)*LN(10)/10))))))),"")</f>
        <v>13.7930365742089</v>
      </c>
      <c r="FK58">
        <f>IF(AND(ISNUMBER(FJ58),逐级计算!$X$166&gt;-1),IF(逐级计算!$X$166=0,FJ58+逐级计算!$C$166,FJ58+逐级计算!$C$166-(10/(逐级计算!$Q$166*LN(10))*(MAX((LN(10^(逐级计算!$Q$166/10)-1)+逐级计算!$Q$166*(FJ58-逐级计算!$P$166)*LN(10)/10),0)+LN(1+EXP(-ABS((LN(10^(逐级计算!$Q$166/10)-1)+逐级计算!$Q$166*(FJ58-逐级计算!$P$166)*LN(10)/10))))))),"")</f>
        <v>13.7930365742089</v>
      </c>
      <c r="FL58">
        <f>IF(AND(ISNUMBER(FK58),逐级计算!$X$167&gt;-1),IF(逐级计算!$X$167=0,FK58+逐级计算!$C$167,FK58+逐级计算!$C$167-(10/(逐级计算!$Q$167*LN(10))*(MAX((LN(10^(逐级计算!$Q$167/10)-1)+逐级计算!$Q$167*(FK58-逐级计算!$P$167)*LN(10)/10),0)+LN(1+EXP(-ABS((LN(10^(逐级计算!$Q$167/10)-1)+逐级计算!$Q$167*(FK58-逐级计算!$P$167)*LN(10)/10))))))),"")</f>
        <v>13.7930365742089</v>
      </c>
      <c r="FM58">
        <f>IF(AND(ISNUMBER(FL58),逐级计算!$X$168&gt;-1),IF(逐级计算!$X$168=0,FL58+逐级计算!$C$168,FL58+逐级计算!$C$168-(10/(逐级计算!$Q$168*LN(10))*(MAX((LN(10^(逐级计算!$Q$168/10)-1)+逐级计算!$Q$168*(FL58-逐级计算!$P$168)*LN(10)/10),0)+LN(1+EXP(-ABS((LN(10^(逐级计算!$Q$168/10)-1)+逐级计算!$Q$168*(FL58-逐级计算!$P$168)*LN(10)/10))))))),"")</f>
        <v>13.7930365742089</v>
      </c>
      <c r="FN58">
        <f>IF(AND(ISNUMBER(FM58),逐级计算!$X$169&gt;-1),IF(逐级计算!$X$169=0,FM58+逐级计算!$C$169,FM58+逐级计算!$C$169-(10/(逐级计算!$Q$169*LN(10))*(MAX((LN(10^(逐级计算!$Q$169/10)-1)+逐级计算!$Q$169*(FM58-逐级计算!$P$169)*LN(10)/10),0)+LN(1+EXP(-ABS((LN(10^(逐级计算!$Q$169/10)-1)+逐级计算!$Q$169*(FM58-逐级计算!$P$169)*LN(10)/10))))))),"")</f>
        <v>13.7930365742089</v>
      </c>
      <c r="FO58">
        <f>IF(AND(ISNUMBER(FN58),逐级计算!$X$170&gt;-1),IF(逐级计算!$X$170=0,FN58+逐级计算!$C$170,FN58+逐级计算!$C$170-(10/(逐级计算!$Q$170*LN(10))*(MAX((LN(10^(逐级计算!$Q$170/10)-1)+逐级计算!$Q$170*(FN58-逐级计算!$P$170)*LN(10)/10),0)+LN(1+EXP(-ABS((LN(10^(逐级计算!$Q$170/10)-1)+逐级计算!$Q$170*(FN58-逐级计算!$P$170)*LN(10)/10))))))),"")</f>
        <v>13.7930365742089</v>
      </c>
      <c r="FP58">
        <f>IF(AND(ISNUMBER(FO58),逐级计算!$X$171&gt;-1),IF(逐级计算!$X$171=0,FO58+逐级计算!$C$171,FO58+逐级计算!$C$171-(10/(逐级计算!$Q$171*LN(10))*(MAX((LN(10^(逐级计算!$Q$171/10)-1)+逐级计算!$Q$171*(FO58-逐级计算!$P$171)*LN(10)/10),0)+LN(1+EXP(-ABS((LN(10^(逐级计算!$Q$171/10)-1)+逐级计算!$Q$171*(FO58-逐级计算!$P$171)*LN(10)/10))))))),"")</f>
        <v>13.7930365742089</v>
      </c>
      <c r="FQ58">
        <f>IF(AND(ISNUMBER(FP58),逐级计算!$X$172&gt;-1),IF(逐级计算!$X$172=0,FP58+逐级计算!$C$172,FP58+逐级计算!$C$172-(10/(逐级计算!$Q$172*LN(10))*(MAX((LN(10^(逐级计算!$Q$172/10)-1)+逐级计算!$Q$172*(FP58-逐级计算!$P$172)*LN(10)/10),0)+LN(1+EXP(-ABS((LN(10^(逐级计算!$Q$172/10)-1)+逐级计算!$Q$172*(FP58-逐级计算!$P$172)*LN(10)/10))))))),"")</f>
        <v>13.7930365742089</v>
      </c>
      <c r="FR58">
        <f>IF(AND(ISNUMBER(FQ58),逐级计算!$X$173&gt;-1),IF(逐级计算!$X$173=0,FQ58+逐级计算!$C$173,FQ58+逐级计算!$C$173-(10/(逐级计算!$Q$173*LN(10))*(MAX((LN(10^(逐级计算!$Q$173/10)-1)+逐级计算!$Q$173*(FQ58-逐级计算!$P$173)*LN(10)/10),0)+LN(1+EXP(-ABS((LN(10^(逐级计算!$Q$173/10)-1)+逐级计算!$Q$173*(FQ58-逐级计算!$P$173)*LN(10)/10))))))),"")</f>
        <v>13.7930365742089</v>
      </c>
      <c r="FS58">
        <f>IF(AND(ISNUMBER(FR58),逐级计算!$X$174&gt;-1),IF(逐级计算!$X$174=0,FR58+逐级计算!$C$174,FR58+逐级计算!$C$174-(10/(逐级计算!$Q$174*LN(10))*(MAX((LN(10^(逐级计算!$Q$174/10)-1)+逐级计算!$Q$174*(FR58-逐级计算!$P$174)*LN(10)/10),0)+LN(1+EXP(-ABS((LN(10^(逐级计算!$Q$174/10)-1)+逐级计算!$Q$174*(FR58-逐级计算!$P$174)*LN(10)/10))))))),"")</f>
        <v>13.7930365742089</v>
      </c>
      <c r="FT58">
        <f>IF(AND(ISNUMBER(FS58),逐级计算!$X$175&gt;-1),IF(逐级计算!$X$175=0,FS58+逐级计算!$C$175,FS58+逐级计算!$C$175-(10/(逐级计算!$Q$175*LN(10))*(MAX((LN(10^(逐级计算!$Q$175/10)-1)+逐级计算!$Q$175*(FS58-逐级计算!$P$175)*LN(10)/10),0)+LN(1+EXP(-ABS((LN(10^(逐级计算!$Q$175/10)-1)+逐级计算!$Q$175*(FS58-逐级计算!$P$175)*LN(10)/10))))))),"")</f>
        <v>13.7930365742089</v>
      </c>
      <c r="FU58">
        <f>IF(AND(ISNUMBER(FT58),逐级计算!$X$176&gt;-1),IF(逐级计算!$X$176=0,FT58+逐级计算!$C$176,FT58+逐级计算!$C$176-(10/(逐级计算!$Q$176*LN(10))*(MAX((LN(10^(逐级计算!$Q$176/10)-1)+逐级计算!$Q$176*(FT58-逐级计算!$P$176)*LN(10)/10),0)+LN(1+EXP(-ABS((LN(10^(逐级计算!$Q$176/10)-1)+逐级计算!$Q$176*(FT58-逐级计算!$P$176)*LN(10)/10))))))),"")</f>
        <v>13.7930365742089</v>
      </c>
      <c r="FV58">
        <f>IF(AND(ISNUMBER(FU58),逐级计算!$X$177&gt;-1),IF(逐级计算!$X$177=0,FU58+逐级计算!$C$177,FU58+逐级计算!$C$177-(10/(逐级计算!$Q$177*LN(10))*(MAX((LN(10^(逐级计算!$Q$177/10)-1)+逐级计算!$Q$177*(FU58-逐级计算!$P$177)*LN(10)/10),0)+LN(1+EXP(-ABS((LN(10^(逐级计算!$Q$177/10)-1)+逐级计算!$Q$177*(FU58-逐级计算!$P$177)*LN(10)/10))))))),"")</f>
        <v>13.7930365742089</v>
      </c>
      <c r="FW58">
        <f>IF(AND(ISNUMBER(FV58),逐级计算!$X$178&gt;-1),IF(逐级计算!$X$178=0,FV58+逐级计算!$C$178,FV58+逐级计算!$C$178-(10/(逐级计算!$Q$178*LN(10))*(MAX((LN(10^(逐级计算!$Q$178/10)-1)+逐级计算!$Q$178*(FV58-逐级计算!$P$178)*LN(10)/10),0)+LN(1+EXP(-ABS((LN(10^(逐级计算!$Q$178/10)-1)+逐级计算!$Q$178*(FV58-逐级计算!$P$178)*LN(10)/10))))))),"")</f>
        <v>13.7930365742089</v>
      </c>
      <c r="FX58">
        <f>IF(AND(ISNUMBER(FW58),逐级计算!$X$179&gt;-1),IF(逐级计算!$X$179=0,FW58+逐级计算!$C$179,FW58+逐级计算!$C$179-(10/(逐级计算!$Q$179*LN(10))*(MAX((LN(10^(逐级计算!$Q$179/10)-1)+逐级计算!$Q$179*(FW58-逐级计算!$P$179)*LN(10)/10),0)+LN(1+EXP(-ABS((LN(10^(逐级计算!$Q$179/10)-1)+逐级计算!$Q$179*(FW58-逐级计算!$P$179)*LN(10)/10))))))),"")</f>
        <v>13.7930365742089</v>
      </c>
      <c r="FY58">
        <f>IF(AND(ISNUMBER(FX58),逐级计算!$X$180&gt;-1),IF(逐级计算!$X$180=0,FX58+逐级计算!$C$180,FX58+逐级计算!$C$180-(10/(逐级计算!$Q$180*LN(10))*(MAX((LN(10^(逐级计算!$Q$180/10)-1)+逐级计算!$Q$180*(FX58-逐级计算!$P$180)*LN(10)/10),0)+LN(1+EXP(-ABS((LN(10^(逐级计算!$Q$180/10)-1)+逐级计算!$Q$180*(FX58-逐级计算!$P$180)*LN(10)/10))))))),"")</f>
        <v>13.7930365742089</v>
      </c>
      <c r="FZ58">
        <f>IF(AND(ISNUMBER(FY58),逐级计算!$X$181&gt;-1),IF(逐级计算!$X$181=0,FY58+逐级计算!$C$181,FY58+逐级计算!$C$181-(10/(逐级计算!$Q$181*LN(10))*(MAX((LN(10^(逐级计算!$Q$181/10)-1)+逐级计算!$Q$181*(FY58-逐级计算!$P$181)*LN(10)/10),0)+LN(1+EXP(-ABS((LN(10^(逐级计算!$Q$181/10)-1)+逐级计算!$Q$181*(FY58-逐级计算!$P$181)*LN(10)/10))))))),"")</f>
        <v>13.7930365742089</v>
      </c>
      <c r="GA58">
        <f>IF(AND(ISNUMBER(FZ58),逐级计算!$X$182&gt;-1),IF(逐级计算!$X$182=0,FZ58+逐级计算!$C$182,FZ58+逐级计算!$C$182-(10/(逐级计算!$Q$182*LN(10))*(MAX((LN(10^(逐级计算!$Q$182/10)-1)+逐级计算!$Q$182*(FZ58-逐级计算!$P$182)*LN(10)/10),0)+LN(1+EXP(-ABS((LN(10^(逐级计算!$Q$182/10)-1)+逐级计算!$Q$182*(FZ58-逐级计算!$P$182)*LN(10)/10))))))),"")</f>
        <v>13.7930365742089</v>
      </c>
      <c r="GB58">
        <f>IF(AND(ISNUMBER(GA58),逐级计算!$X$183&gt;-1),IF(逐级计算!$X$183=0,GA58+逐级计算!$C$183,GA58+逐级计算!$C$183-(10/(逐级计算!$Q$183*LN(10))*(MAX((LN(10^(逐级计算!$Q$183/10)-1)+逐级计算!$Q$183*(GA58-逐级计算!$P$183)*LN(10)/10),0)+LN(1+EXP(-ABS((LN(10^(逐级计算!$Q$183/10)-1)+逐级计算!$Q$183*(GA58-逐级计算!$P$183)*LN(10)/10))))))),"")</f>
        <v>13.7930365742089</v>
      </c>
      <c r="GC58">
        <f>IF(AND(ISNUMBER(GB58),逐级计算!$X$184&gt;-1),IF(逐级计算!$X$184=0,GB58+逐级计算!$C$184,GB58+逐级计算!$C$184-(10/(逐级计算!$Q$184*LN(10))*(MAX((LN(10^(逐级计算!$Q$184/10)-1)+逐级计算!$Q$184*(GB58-逐级计算!$P$184)*LN(10)/10),0)+LN(1+EXP(-ABS((LN(10^(逐级计算!$Q$184/10)-1)+逐级计算!$Q$184*(GB58-逐级计算!$P$184)*LN(10)/10))))))),"")</f>
        <v>13.7930365742089</v>
      </c>
      <c r="GD58">
        <f>IF(AND(ISNUMBER(GC58),逐级计算!$X$185&gt;-1),IF(逐级计算!$X$185=0,GC58+逐级计算!$C$185,GC58+逐级计算!$C$185-(10/(逐级计算!$Q$185*LN(10))*(MAX((LN(10^(逐级计算!$Q$185/10)-1)+逐级计算!$Q$185*(GC58-逐级计算!$P$185)*LN(10)/10),0)+LN(1+EXP(-ABS((LN(10^(逐级计算!$Q$185/10)-1)+逐级计算!$Q$185*(GC58-逐级计算!$P$185)*LN(10)/10))))))),"")</f>
        <v>13.7930365742089</v>
      </c>
      <c r="GE58">
        <f>IF(AND(ISNUMBER(GD58),逐级计算!$X$186&gt;-1),IF(逐级计算!$X$186=0,GD58+逐级计算!$C$186,GD58+逐级计算!$C$186-(10/(逐级计算!$Q$186*LN(10))*(MAX((LN(10^(逐级计算!$Q$186/10)-1)+逐级计算!$Q$186*(GD58-逐级计算!$P$186)*LN(10)/10),0)+LN(1+EXP(-ABS((LN(10^(逐级计算!$Q$186/10)-1)+逐级计算!$Q$186*(GD58-逐级计算!$P$186)*LN(10)/10))))))),"")</f>
        <v>13.7930365742089</v>
      </c>
      <c r="GF58">
        <f>IF(AND(ISNUMBER(GE58),逐级计算!$X$187&gt;-1),IF(逐级计算!$X$187=0,GE58+逐级计算!$C$187,GE58+逐级计算!$C$187-(10/(逐级计算!$Q$187*LN(10))*(MAX((LN(10^(逐级计算!$Q$187/10)-1)+逐级计算!$Q$187*(GE58-逐级计算!$P$187)*LN(10)/10),0)+LN(1+EXP(-ABS((LN(10^(逐级计算!$Q$187/10)-1)+逐级计算!$Q$187*(GE58-逐级计算!$P$187)*LN(10)/10))))))),"")</f>
        <v>13.7930365742089</v>
      </c>
      <c r="GG58">
        <f>IF(AND(ISNUMBER(GF58),逐级计算!$X$188&gt;-1),IF(逐级计算!$X$188=0,GF58+逐级计算!$C$188,GF58+逐级计算!$C$188-(10/(逐级计算!$Q$188*LN(10))*(MAX((LN(10^(逐级计算!$Q$188/10)-1)+逐级计算!$Q$188*(GF58-逐级计算!$P$188)*LN(10)/10),0)+LN(1+EXP(-ABS((LN(10^(逐级计算!$Q$188/10)-1)+逐级计算!$Q$188*(GF58-逐级计算!$P$188)*LN(10)/10))))))),"")</f>
        <v>13.7930365742089</v>
      </c>
      <c r="GH58">
        <f>IF(AND(ISNUMBER(GG58),逐级计算!$X$189&gt;-1),IF(逐级计算!$X$189=0,GG58+逐级计算!$C$189,GG58+逐级计算!$C$189-(10/(逐级计算!$Q$189*LN(10))*(MAX((LN(10^(逐级计算!$Q$189/10)-1)+逐级计算!$Q$189*(GG58-逐级计算!$P$189)*LN(10)/10),0)+LN(1+EXP(-ABS((LN(10^(逐级计算!$Q$189/10)-1)+逐级计算!$Q$189*(GG58-逐级计算!$P$189)*LN(10)/10))))))),"")</f>
        <v>13.7930365742089</v>
      </c>
      <c r="GI58">
        <f>IF(AND(ISNUMBER(GH58),逐级计算!$X$190&gt;-1),IF(逐级计算!$X$190=0,GH58+逐级计算!$C$190,GH58+逐级计算!$C$190-(10/(逐级计算!$Q$190*LN(10))*(MAX((LN(10^(逐级计算!$Q$190/10)-1)+逐级计算!$Q$190*(GH58-逐级计算!$P$190)*LN(10)/10),0)+LN(1+EXP(-ABS((LN(10^(逐级计算!$Q$190/10)-1)+逐级计算!$Q$190*(GH58-逐级计算!$P$190)*LN(10)/10))))))),"")</f>
        <v>13.7930365742089</v>
      </c>
      <c r="GJ58">
        <f>IF(AND(ISNUMBER(GI58),逐级计算!$X$191&gt;-1),IF(逐级计算!$X$191=0,GI58+逐级计算!$C$191,GI58+逐级计算!$C$191-(10/(逐级计算!$Q$191*LN(10))*(MAX((LN(10^(逐级计算!$Q$191/10)-1)+逐级计算!$Q$191*(GI58-逐级计算!$P$191)*LN(10)/10),0)+LN(1+EXP(-ABS((LN(10^(逐级计算!$Q$191/10)-1)+逐级计算!$Q$191*(GI58-逐级计算!$P$191)*LN(10)/10))))))),"")</f>
        <v>13.7930365742089</v>
      </c>
      <c r="GK58">
        <f>IF(AND(ISNUMBER(GJ58),逐级计算!$X$192&gt;-1),IF(逐级计算!$X$192=0,GJ58+逐级计算!$C$192,GJ58+逐级计算!$C$192-(10/(逐级计算!$Q$192*LN(10))*(MAX((LN(10^(逐级计算!$Q$192/10)-1)+逐级计算!$Q$192*(GJ58-逐级计算!$P$192)*LN(10)/10),0)+LN(1+EXP(-ABS((LN(10^(逐级计算!$Q$192/10)-1)+逐级计算!$Q$192*(GJ58-逐级计算!$P$192)*LN(10)/10))))))),"")</f>
        <v>13.7930365742089</v>
      </c>
      <c r="GL58">
        <f>IF(AND(ISNUMBER(GK58),逐级计算!$X$193&gt;-1),IF(逐级计算!$X$193=0,GK58+逐级计算!$C$193,GK58+逐级计算!$C$193-(10/(逐级计算!$Q$193*LN(10))*(MAX((LN(10^(逐级计算!$Q$193/10)-1)+逐级计算!$Q$193*(GK58-逐级计算!$P$193)*LN(10)/10),0)+LN(1+EXP(-ABS((LN(10^(逐级计算!$Q$193/10)-1)+逐级计算!$Q$193*(GK58-逐级计算!$P$193)*LN(10)/10))))))),"")</f>
        <v>13.7930365742089</v>
      </c>
      <c r="GM58">
        <f>IF(AND(ISNUMBER(GL58),逐级计算!$X$194&gt;-1),IF(逐级计算!$X$194=0,GL58+逐级计算!$C$194,GL58+逐级计算!$C$194-(10/(逐级计算!$Q$194*LN(10))*(MAX((LN(10^(逐级计算!$Q$194/10)-1)+逐级计算!$Q$194*(GL58-逐级计算!$P$194)*LN(10)/10),0)+LN(1+EXP(-ABS((LN(10^(逐级计算!$Q$194/10)-1)+逐级计算!$Q$194*(GL58-逐级计算!$P$194)*LN(10)/10))))))),"")</f>
        <v>13.7930365742089</v>
      </c>
      <c r="GN58">
        <f>IF(AND(ISNUMBER(GM58),逐级计算!$X$195&gt;-1),IF(逐级计算!$X$195=0,GM58+逐级计算!$C$195,GM58+逐级计算!$C$195-(10/(逐级计算!$Q$195*LN(10))*(MAX((LN(10^(逐级计算!$Q$195/10)-1)+逐级计算!$Q$195*(GM58-逐级计算!$P$195)*LN(10)/10),0)+LN(1+EXP(-ABS((LN(10^(逐级计算!$Q$195/10)-1)+逐级计算!$Q$195*(GM58-逐级计算!$P$195)*LN(10)/10))))))),"")</f>
        <v>13.7930365742089</v>
      </c>
      <c r="GO58">
        <f>IF(AND(ISNUMBER(GN58),逐级计算!$X$196&gt;-1),IF(逐级计算!$X$196=0,GN58+逐级计算!$C$196,GN58+逐级计算!$C$196-(10/(逐级计算!$Q$196*LN(10))*(MAX((LN(10^(逐级计算!$Q$196/10)-1)+逐级计算!$Q$196*(GN58-逐级计算!$P$196)*LN(10)/10),0)+LN(1+EXP(-ABS((LN(10^(逐级计算!$Q$196/10)-1)+逐级计算!$Q$196*(GN58-逐级计算!$P$196)*LN(10)/10))))))),"")</f>
        <v>13.7930365742089</v>
      </c>
      <c r="GP58">
        <f>IF(AND(ISNUMBER(GO58),逐级计算!$X$197&gt;-1),IF(逐级计算!$X$197=0,GO58+逐级计算!$C$197,GO58+逐级计算!$C$197-(10/(逐级计算!$Q$197*LN(10))*(MAX((LN(10^(逐级计算!$Q$197/10)-1)+逐级计算!$Q$197*(GO58-逐级计算!$P$197)*LN(10)/10),0)+LN(1+EXP(-ABS((LN(10^(逐级计算!$Q$197/10)-1)+逐级计算!$Q$197*(GO58-逐级计算!$P$197)*LN(10)/10))))))),"")</f>
        <v>13.7930365742089</v>
      </c>
      <c r="GQ58">
        <f>IF(AND(ISNUMBER(GP58),逐级计算!$X$198&gt;-1),IF(逐级计算!$X$198=0,GP58+逐级计算!$C$198,GP58+逐级计算!$C$198-(10/(逐级计算!$Q$198*LN(10))*(MAX((LN(10^(逐级计算!$Q$198/10)-1)+逐级计算!$Q$198*(GP58-逐级计算!$P$198)*LN(10)/10),0)+LN(1+EXP(-ABS((LN(10^(逐级计算!$Q$198/10)-1)+逐级计算!$Q$198*(GP58-逐级计算!$P$198)*LN(10)/10))))))),"")</f>
        <v>13.7930365742089</v>
      </c>
      <c r="GR58">
        <f>IF(AND(ISNUMBER(GQ58),逐级计算!$X$199&gt;-1),IF(逐级计算!$X$199=0,GQ58+逐级计算!$C$199,GQ58+逐级计算!$C$199-(10/(逐级计算!$Q$199*LN(10))*(MAX((LN(10^(逐级计算!$Q$199/10)-1)+逐级计算!$Q$199*(GQ58-逐级计算!$P$199)*LN(10)/10),0)+LN(1+EXP(-ABS((LN(10^(逐级计算!$Q$199/10)-1)+逐级计算!$Q$199*(GQ58-逐级计算!$P$199)*LN(10)/10))))))),"")</f>
        <v>13.7930365742089</v>
      </c>
      <c r="GS58">
        <f>IF(AND(ISNUMBER(GR58),逐级计算!$X$200&gt;-1),IF(逐级计算!$X$200=0,GR58+逐级计算!$C$200,GR58+逐级计算!$C$200-(10/(逐级计算!$Q$200*LN(10))*(MAX((LN(10^(逐级计算!$Q$200/10)-1)+逐级计算!$Q$200*(GR58-逐级计算!$P$200)*LN(10)/10),0)+LN(1+EXP(-ABS((LN(10^(逐级计算!$Q$200/10)-1)+逐级计算!$Q$200*(GR58-逐级计算!$P$200)*LN(10)/10))))))),"")</f>
        <v>13.7930365742089</v>
      </c>
      <c r="GT58">
        <f>IF(AND(ISNUMBER(GS58),逐级计算!$X$201&gt;-1),IF(逐级计算!$X$201=0,GS58+逐级计算!$C$201,GS58+逐级计算!$C$201-(10/(逐级计算!$Q$201*LN(10))*(MAX((LN(10^(逐级计算!$Q$201/10)-1)+逐级计算!$Q$201*(GS58-逐级计算!$P$201)*LN(10)/10),0)+LN(1+EXP(-ABS((LN(10^(逐级计算!$Q$201/10)-1)+逐级计算!$Q$201*(GS58-逐级计算!$P$201)*LN(10)/10))))))),"")</f>
        <v>13.7930365742089</v>
      </c>
      <c r="GU58">
        <f>IF(AND(ISNUMBER(GT58),逐级计算!$X$202&gt;-1),IF(逐级计算!$X$202=0,GT58+逐级计算!$C$202,GT58+逐级计算!$C$202-(10/(逐级计算!$Q$202*LN(10))*(MAX((LN(10^(逐级计算!$Q$202/10)-1)+逐级计算!$Q$202*(GT58-逐级计算!$P$202)*LN(10)/10),0)+LN(1+EXP(-ABS((LN(10^(逐级计算!$Q$202/10)-1)+逐级计算!$Q$202*(GT58-逐级计算!$P$202)*LN(10)/10))))))),"")</f>
        <v>13.7930365742089</v>
      </c>
      <c r="GV58">
        <f>IF(AND(ISNUMBER(GU58),逐级计算!$X$203&gt;-1),IF(逐级计算!$X$203=0,GU58+逐级计算!$C$203,GU58+逐级计算!$C$203-(10/(逐级计算!$Q$203*LN(10))*(MAX((LN(10^(逐级计算!$Q$203/10)-1)+逐级计算!$Q$203*(GU58-逐级计算!$P$203)*LN(10)/10),0)+LN(1+EXP(-ABS((LN(10^(逐级计算!$Q$203/10)-1)+逐级计算!$Q$203*(GU58-逐级计算!$P$203)*LN(10)/10))))))),"")</f>
        <v>13.7930365742089</v>
      </c>
      <c r="GW58">
        <f t="shared" si="2"/>
        <v>-5.20696342579105</v>
      </c>
    </row>
    <row r="59" spans="1:205">
      <c r="A59">
        <v>52</v>
      </c>
      <c r="B59">
        <f t="shared" si="1"/>
        <v>-5.20696342579114</v>
      </c>
      <c r="C59">
        <f t="shared" si="0"/>
        <v>-5.20696342579112</v>
      </c>
      <c r="D59">
        <f>IF(AND(ISNUMBER(C59),ISNUMBER(逐级计算!$E$203),ISNUMBER(GV59)),C59+逐级计算!$E$203-GV59,"")</f>
        <v>1.00000000000001</v>
      </c>
      <c r="E59">
        <f>IF(AND(ISNUMBER(C59),逐级计算!$X$4&gt;-1),IF(逐级计算!$X$4=0,C59+逐级计算!$C$4,C59+逐级计算!$C$4-(10/(逐级计算!$Q$4*LN(10))*(MAX((LN(10^(逐级计算!$Q$4/10)-1)+逐级计算!$Q$4*(C59-逐级计算!$P$4)*LN(10)/10),0)+LN(1+EXP(-ABS((LN(10^(逐级计算!$Q$4/10)-1)+逐级计算!$Q$4*(C59-逐级计算!$P$4)*LN(10)/10))))))),"")</f>
        <v>4.68053982928311</v>
      </c>
      <c r="F59">
        <f>IF(AND(ISNUMBER(E59),逐级计算!$X$5&gt;-1),IF(逐级计算!$X$5=0,E59+逐级计算!$C$5,E59+逐级计算!$C$5-(10/(逐级计算!$Q$5*LN(10))*(MAX((LN(10^(逐级计算!$Q$5/10)-1)+逐级计算!$Q$5*(E59-逐级计算!$P$5)*LN(10)/10),0)+LN(1+EXP(-ABS((LN(10^(逐级计算!$Q$5/10)-1)+逐级计算!$Q$5*(E59-逐级计算!$P$5)*LN(10)/10))))))),"")</f>
        <v>13.7930365742089</v>
      </c>
      <c r="G59">
        <f>IF(AND(ISNUMBER(F59),逐级计算!$X$6&gt;-1),IF(逐级计算!$X$6=0,F59+逐级计算!$C$6,F59+逐级计算!$C$6-(10/(逐级计算!$Q$6*LN(10))*(MAX((LN(10^(逐级计算!$Q$6/10)-1)+逐级计算!$Q$6*(F59-逐级计算!$P$6)*LN(10)/10),0)+LN(1+EXP(-ABS((LN(10^(逐级计算!$Q$6/10)-1)+逐级计算!$Q$6*(F59-逐级计算!$P$6)*LN(10)/10))))))),"")</f>
        <v>13.7930365742089</v>
      </c>
      <c r="H59">
        <f>IF(AND(ISNUMBER(G59),逐级计算!$X$7&gt;-1),IF(逐级计算!$X$7=0,G59+逐级计算!$C$7,G59+逐级计算!$C$7-(10/(逐级计算!$Q$7*LN(10))*(MAX((LN(10^(逐级计算!$Q$7/10)-1)+逐级计算!$Q$7*(G59-逐级计算!$P$7)*LN(10)/10),0)+LN(1+EXP(-ABS((LN(10^(逐级计算!$Q$7/10)-1)+逐级计算!$Q$7*(G59-逐级计算!$P$7)*LN(10)/10))))))),"")</f>
        <v>13.7930365742089</v>
      </c>
      <c r="I59">
        <f>IF(AND(ISNUMBER(H59),逐级计算!$X$8&gt;-1),IF(逐级计算!$X$8=0,H59+逐级计算!$C$8,H59+逐级计算!$C$8-(10/(逐级计算!$Q$8*LN(10))*(MAX((LN(10^(逐级计算!$Q$8/10)-1)+逐级计算!$Q$8*(H59-逐级计算!$P$8)*LN(10)/10),0)+LN(1+EXP(-ABS((LN(10^(逐级计算!$Q$8/10)-1)+逐级计算!$Q$8*(H59-逐级计算!$P$8)*LN(10)/10))))))),"")</f>
        <v>13.7930365742089</v>
      </c>
      <c r="J59">
        <f>IF(AND(ISNUMBER(I59),逐级计算!$X$9&gt;-1),IF(逐级计算!$X$9=0,I59+逐级计算!$C$9,I59+逐级计算!$C$9-(10/(逐级计算!$Q$9*LN(10))*(MAX((LN(10^(逐级计算!$Q$9/10)-1)+逐级计算!$Q$9*(I59-逐级计算!$P$9)*LN(10)/10),0)+LN(1+EXP(-ABS((LN(10^(逐级计算!$Q$9/10)-1)+逐级计算!$Q$9*(I59-逐级计算!$P$9)*LN(10)/10))))))),"")</f>
        <v>13.7930365742089</v>
      </c>
      <c r="K59">
        <f>IF(AND(ISNUMBER(J59),逐级计算!$X$10&gt;-1),IF(逐级计算!$X$10=0,J59+逐级计算!$C$10,J59+逐级计算!$C$10-(10/(逐级计算!$Q$10*LN(10))*(MAX((LN(10^(逐级计算!$Q$10/10)-1)+逐级计算!$Q$10*(J59-逐级计算!$P$10)*LN(10)/10),0)+LN(1+EXP(-ABS((LN(10^(逐级计算!$Q$10/10)-1)+逐级计算!$Q$10*(J59-逐级计算!$P$10)*LN(10)/10))))))),"")</f>
        <v>13.7930365742089</v>
      </c>
      <c r="L59">
        <f>IF(AND(ISNUMBER(K59),逐级计算!$X$11&gt;-1),IF(逐级计算!$X$11=0,K59+逐级计算!$C$11,K59+逐级计算!$C$11-(10/(逐级计算!$Q$11*LN(10))*(MAX((LN(10^(逐级计算!$Q$11/10)-1)+逐级计算!$Q$11*(K59-逐级计算!$P$11)*LN(10)/10),0)+LN(1+EXP(-ABS((LN(10^(逐级计算!$Q$11/10)-1)+逐级计算!$Q$11*(K59-逐级计算!$P$11)*LN(10)/10))))))),"")</f>
        <v>13.7930365742089</v>
      </c>
      <c r="M59">
        <f>IF(AND(ISNUMBER(L59),逐级计算!$X$12&gt;-1),IF(逐级计算!$X$12=0,L59+逐级计算!$C$12,L59+逐级计算!$C$12-(10/(逐级计算!$Q$12*LN(10))*(MAX((LN(10^(逐级计算!$Q$12/10)-1)+逐级计算!$Q$12*(L59-逐级计算!$P$12)*LN(10)/10),0)+LN(1+EXP(-ABS((LN(10^(逐级计算!$Q$12/10)-1)+逐级计算!$Q$12*(L59-逐级计算!$P$12)*LN(10)/10))))))),"")</f>
        <v>13.7930365742089</v>
      </c>
      <c r="N59">
        <f>IF(AND(ISNUMBER(M59),逐级计算!$X$13&gt;-1),IF(逐级计算!$X$13=0,M59+逐级计算!$C$13,M59+逐级计算!$C$13-(10/(逐级计算!$Q$13*LN(10))*(MAX((LN(10^(逐级计算!$Q$13/10)-1)+逐级计算!$Q$13*(M59-逐级计算!$P$13)*LN(10)/10),0)+LN(1+EXP(-ABS((LN(10^(逐级计算!$Q$13/10)-1)+逐级计算!$Q$13*(M59-逐级计算!$P$13)*LN(10)/10))))))),"")</f>
        <v>13.7930365742089</v>
      </c>
      <c r="O59">
        <f>IF(AND(ISNUMBER(N59),逐级计算!$X$14&gt;-1),IF(逐级计算!$X$14=0,N59+逐级计算!$C$14,N59+逐级计算!$C$14-(10/(逐级计算!$Q$14*LN(10))*(MAX((LN(10^(逐级计算!$Q$14/10)-1)+逐级计算!$Q$14*(N59-逐级计算!$P$14)*LN(10)/10),0)+LN(1+EXP(-ABS((LN(10^(逐级计算!$Q$14/10)-1)+逐级计算!$Q$14*(N59-逐级计算!$P$14)*LN(10)/10))))))),"")</f>
        <v>13.7930365742089</v>
      </c>
      <c r="P59">
        <f>IF(AND(ISNUMBER(O59),逐级计算!$X$15&gt;-1),IF(逐级计算!$X$15=0,O59+逐级计算!$C$15,O59+逐级计算!$C$15-(10/(逐级计算!$Q$15*LN(10))*(MAX((LN(10^(逐级计算!$Q$15/10)-1)+逐级计算!$Q$15*(O59-逐级计算!$P$15)*LN(10)/10),0)+LN(1+EXP(-ABS((LN(10^(逐级计算!$Q$15/10)-1)+逐级计算!$Q$15*(O59-逐级计算!$P$15)*LN(10)/10))))))),"")</f>
        <v>13.7930365742089</v>
      </c>
      <c r="Q59">
        <f>IF(AND(ISNUMBER(P59),逐级计算!$X$16&gt;-1),IF(逐级计算!$X$16=0,P59+逐级计算!$C$16,P59+逐级计算!$C$16-(10/(逐级计算!$Q$16*LN(10))*(MAX((LN(10^(逐级计算!$Q$16/10)-1)+逐级计算!$Q$16*(P59-逐级计算!$P$16)*LN(10)/10),0)+LN(1+EXP(-ABS((LN(10^(逐级计算!$Q$16/10)-1)+逐级计算!$Q$16*(P59-逐级计算!$P$16)*LN(10)/10))))))),"")</f>
        <v>13.7930365742089</v>
      </c>
      <c r="R59">
        <f>IF(AND(ISNUMBER(Q59),逐级计算!$X$17&gt;-1),IF(逐级计算!$X$17=0,Q59+逐级计算!$C$17,Q59+逐级计算!$C$17-(10/(逐级计算!$Q$17*LN(10))*(MAX((LN(10^(逐级计算!$Q$17/10)-1)+逐级计算!$Q$17*(Q59-逐级计算!$P$17)*LN(10)/10),0)+LN(1+EXP(-ABS((LN(10^(逐级计算!$Q$17/10)-1)+逐级计算!$Q$17*(Q59-逐级计算!$P$17)*LN(10)/10))))))),"")</f>
        <v>13.7930365742089</v>
      </c>
      <c r="S59">
        <f>IF(AND(ISNUMBER(R59),逐级计算!$X$18&gt;-1),IF(逐级计算!$X$18=0,R59+逐级计算!$C$18,R59+逐级计算!$C$18-(10/(逐级计算!$Q$18*LN(10))*(MAX((LN(10^(逐级计算!$Q$18/10)-1)+逐级计算!$Q$18*(R59-逐级计算!$P$18)*LN(10)/10),0)+LN(1+EXP(-ABS((LN(10^(逐级计算!$Q$18/10)-1)+逐级计算!$Q$18*(R59-逐级计算!$P$18)*LN(10)/10))))))),"")</f>
        <v>13.7930365742089</v>
      </c>
      <c r="T59">
        <f>IF(AND(ISNUMBER(S59),逐级计算!$X$19&gt;-1),IF(逐级计算!$X$19=0,S59+逐级计算!$C$19,S59+逐级计算!$C$19-(10/(逐级计算!$Q$19*LN(10))*(MAX((LN(10^(逐级计算!$Q$19/10)-1)+逐级计算!$Q$19*(S59-逐级计算!$P$19)*LN(10)/10),0)+LN(1+EXP(-ABS((LN(10^(逐级计算!$Q$19/10)-1)+逐级计算!$Q$19*(S59-逐级计算!$P$19)*LN(10)/10))))))),"")</f>
        <v>13.7930365742089</v>
      </c>
      <c r="U59">
        <f>IF(AND(ISNUMBER(T59),逐级计算!$X$20&gt;-1),IF(逐级计算!$X$20=0,T59+逐级计算!$C$20,T59+逐级计算!$C$20-(10/(逐级计算!$Q$20*LN(10))*(MAX((LN(10^(逐级计算!$Q$20/10)-1)+逐级计算!$Q$20*(T59-逐级计算!$P$20)*LN(10)/10),0)+LN(1+EXP(-ABS((LN(10^(逐级计算!$Q$20/10)-1)+逐级计算!$Q$20*(T59-逐级计算!$P$20)*LN(10)/10))))))),"")</f>
        <v>13.7930365742089</v>
      </c>
      <c r="V59">
        <f>IF(AND(ISNUMBER(U59),逐级计算!$X$21&gt;-1),IF(逐级计算!$X$21=0,U59+逐级计算!$C$21,U59+逐级计算!$C$21-(10/(逐级计算!$Q$21*LN(10))*(MAX((LN(10^(逐级计算!$Q$21/10)-1)+逐级计算!$Q$21*(U59-逐级计算!$P$21)*LN(10)/10),0)+LN(1+EXP(-ABS((LN(10^(逐级计算!$Q$21/10)-1)+逐级计算!$Q$21*(U59-逐级计算!$P$21)*LN(10)/10))))))),"")</f>
        <v>13.7930365742089</v>
      </c>
      <c r="W59">
        <f>IF(AND(ISNUMBER(V59),逐级计算!$X$22&gt;-1),IF(逐级计算!$X$22=0,V59+逐级计算!$C$22,V59+逐级计算!$C$22-(10/(逐级计算!$Q$22*LN(10))*(MAX((LN(10^(逐级计算!$Q$22/10)-1)+逐级计算!$Q$22*(V59-逐级计算!$P$22)*LN(10)/10),0)+LN(1+EXP(-ABS((LN(10^(逐级计算!$Q$22/10)-1)+逐级计算!$Q$22*(V59-逐级计算!$P$22)*LN(10)/10))))))),"")</f>
        <v>13.7930365742089</v>
      </c>
      <c r="X59">
        <f>IF(AND(ISNUMBER(W59),逐级计算!$X$23&gt;-1),IF(逐级计算!$X$23=0,W59+逐级计算!$C$23,W59+逐级计算!$C$23-(10/(逐级计算!$Q$23*LN(10))*(MAX((LN(10^(逐级计算!$Q$23/10)-1)+逐级计算!$Q$23*(W59-逐级计算!$P$23)*LN(10)/10),0)+LN(1+EXP(-ABS((LN(10^(逐级计算!$Q$23/10)-1)+逐级计算!$Q$23*(W59-逐级计算!$P$23)*LN(10)/10))))))),"")</f>
        <v>13.7930365742089</v>
      </c>
      <c r="Y59">
        <f>IF(AND(ISNUMBER(X59),逐级计算!$X$24&gt;-1),IF(逐级计算!$X$24=0,X59+逐级计算!$C$24,X59+逐级计算!$C$24-(10/(逐级计算!$Q$24*LN(10))*(MAX((LN(10^(逐级计算!$Q$24/10)-1)+逐级计算!$Q$24*(X59-逐级计算!$P$24)*LN(10)/10),0)+LN(1+EXP(-ABS((LN(10^(逐级计算!$Q$24/10)-1)+逐级计算!$Q$24*(X59-逐级计算!$P$24)*LN(10)/10))))))),"")</f>
        <v>13.7930365742089</v>
      </c>
      <c r="Z59">
        <f>IF(AND(ISNUMBER(Y59),逐级计算!$X$25&gt;-1),IF(逐级计算!$X$25=0,Y59+逐级计算!$C$25,Y59+逐级计算!$C$25-(10/(逐级计算!$Q$25*LN(10))*(MAX((LN(10^(逐级计算!$Q$25/10)-1)+逐级计算!$Q$25*(Y59-逐级计算!$P$25)*LN(10)/10),0)+LN(1+EXP(-ABS((LN(10^(逐级计算!$Q$25/10)-1)+逐级计算!$Q$25*(Y59-逐级计算!$P$25)*LN(10)/10))))))),"")</f>
        <v>13.7930365742089</v>
      </c>
      <c r="AA59">
        <f>IF(AND(ISNUMBER(Z59),逐级计算!$X$26&gt;-1),IF(逐级计算!$X$26=0,Z59+逐级计算!$C$26,Z59+逐级计算!$C$26-(10/(逐级计算!$Q$26*LN(10))*(MAX((LN(10^(逐级计算!$Q$26/10)-1)+逐级计算!$Q$26*(Z59-逐级计算!$P$26)*LN(10)/10),0)+LN(1+EXP(-ABS((LN(10^(逐级计算!$Q$26/10)-1)+逐级计算!$Q$26*(Z59-逐级计算!$P$26)*LN(10)/10))))))),"")</f>
        <v>13.7930365742089</v>
      </c>
      <c r="AB59">
        <f>IF(AND(ISNUMBER(AA59),逐级计算!$X$27&gt;-1),IF(逐级计算!$X$27=0,AA59+逐级计算!$C$27,AA59+逐级计算!$C$27-(10/(逐级计算!$Q$27*LN(10))*(MAX((LN(10^(逐级计算!$Q$27/10)-1)+逐级计算!$Q$27*(AA59-逐级计算!$P$27)*LN(10)/10),0)+LN(1+EXP(-ABS((LN(10^(逐级计算!$Q$27/10)-1)+逐级计算!$Q$27*(AA59-逐级计算!$P$27)*LN(10)/10))))))),"")</f>
        <v>13.7930365742089</v>
      </c>
      <c r="AC59">
        <f>IF(AND(ISNUMBER(AB59),逐级计算!$X$28&gt;-1),IF(逐级计算!$X$28=0,AB59+逐级计算!$C$28,AB59+逐级计算!$C$28-(10/(逐级计算!$Q$28*LN(10))*(MAX((LN(10^(逐级计算!$Q$28/10)-1)+逐级计算!$Q$28*(AB59-逐级计算!$P$28)*LN(10)/10),0)+LN(1+EXP(-ABS((LN(10^(逐级计算!$Q$28/10)-1)+逐级计算!$Q$28*(AB59-逐级计算!$P$28)*LN(10)/10))))))),"")</f>
        <v>13.7930365742089</v>
      </c>
      <c r="AD59">
        <f>IF(AND(ISNUMBER(AC59),逐级计算!$X$29&gt;-1),IF(逐级计算!$X$29=0,AC59+逐级计算!$C$29,AC59+逐级计算!$C$29-(10/(逐级计算!$Q$29*LN(10))*(MAX((LN(10^(逐级计算!$Q$29/10)-1)+逐级计算!$Q$29*(AC59-逐级计算!$P$29)*LN(10)/10),0)+LN(1+EXP(-ABS((LN(10^(逐级计算!$Q$29/10)-1)+逐级计算!$Q$29*(AC59-逐级计算!$P$29)*LN(10)/10))))))),"")</f>
        <v>13.7930365742089</v>
      </c>
      <c r="AE59">
        <f>IF(AND(ISNUMBER(AD59),逐级计算!$X$30&gt;-1),IF(逐级计算!$X$30=0,AD59+逐级计算!$C$30,AD59+逐级计算!$C$30-(10/(逐级计算!$Q$30*LN(10))*(MAX((LN(10^(逐级计算!$Q$30/10)-1)+逐级计算!$Q$30*(AD59-逐级计算!$P$30)*LN(10)/10),0)+LN(1+EXP(-ABS((LN(10^(逐级计算!$Q$30/10)-1)+逐级计算!$Q$30*(AD59-逐级计算!$P$30)*LN(10)/10))))))),"")</f>
        <v>13.7930365742089</v>
      </c>
      <c r="AF59">
        <f>IF(AND(ISNUMBER(AE59),逐级计算!$X$31&gt;-1),IF(逐级计算!$X$31=0,AE59+逐级计算!$C$31,AE59+逐级计算!$C$31-(10/(逐级计算!$Q$31*LN(10))*(MAX((LN(10^(逐级计算!$Q$31/10)-1)+逐级计算!$Q$31*(AE59-逐级计算!$P$31)*LN(10)/10),0)+LN(1+EXP(-ABS((LN(10^(逐级计算!$Q$31/10)-1)+逐级计算!$Q$31*(AE59-逐级计算!$P$31)*LN(10)/10))))))),"")</f>
        <v>13.7930365742089</v>
      </c>
      <c r="AG59">
        <f>IF(AND(ISNUMBER(AF59),逐级计算!$X$32&gt;-1),IF(逐级计算!$X$32=0,AF59+逐级计算!$C$32,AF59+逐级计算!$C$32-(10/(逐级计算!$Q$32*LN(10))*(MAX((LN(10^(逐级计算!$Q$32/10)-1)+逐级计算!$Q$32*(AF59-逐级计算!$P$32)*LN(10)/10),0)+LN(1+EXP(-ABS((LN(10^(逐级计算!$Q$32/10)-1)+逐级计算!$Q$32*(AF59-逐级计算!$P$32)*LN(10)/10))))))),"")</f>
        <v>13.7930365742089</v>
      </c>
      <c r="AH59">
        <f>IF(AND(ISNUMBER(AG59),逐级计算!$X$33&gt;-1),IF(逐级计算!$X$33=0,AG59+逐级计算!$C$33,AG59+逐级计算!$C$33-(10/(逐级计算!$Q$33*LN(10))*(MAX((LN(10^(逐级计算!$Q$33/10)-1)+逐级计算!$Q$33*(AG59-逐级计算!$P$33)*LN(10)/10),0)+LN(1+EXP(-ABS((LN(10^(逐级计算!$Q$33/10)-1)+逐级计算!$Q$33*(AG59-逐级计算!$P$33)*LN(10)/10))))))),"")</f>
        <v>13.7930365742089</v>
      </c>
      <c r="AI59">
        <f>IF(AND(ISNUMBER(AH59),逐级计算!$X$34&gt;-1),IF(逐级计算!$X$34=0,AH59+逐级计算!$C$34,AH59+逐级计算!$C$34-(10/(逐级计算!$Q$34*LN(10))*(MAX((LN(10^(逐级计算!$Q$34/10)-1)+逐级计算!$Q$34*(AH59-逐级计算!$P$34)*LN(10)/10),0)+LN(1+EXP(-ABS((LN(10^(逐级计算!$Q$34/10)-1)+逐级计算!$Q$34*(AH59-逐级计算!$P$34)*LN(10)/10))))))),"")</f>
        <v>13.7930365742089</v>
      </c>
      <c r="AJ59">
        <f>IF(AND(ISNUMBER(AI59),逐级计算!$X$35&gt;-1),IF(逐级计算!$X$35=0,AI59+逐级计算!$C$35,AI59+逐级计算!$C$35-(10/(逐级计算!$Q$35*LN(10))*(MAX((LN(10^(逐级计算!$Q$35/10)-1)+逐级计算!$Q$35*(AI59-逐级计算!$P$35)*LN(10)/10),0)+LN(1+EXP(-ABS((LN(10^(逐级计算!$Q$35/10)-1)+逐级计算!$Q$35*(AI59-逐级计算!$P$35)*LN(10)/10))))))),"")</f>
        <v>13.7930365742089</v>
      </c>
      <c r="AK59">
        <f>IF(AND(ISNUMBER(AJ59),逐级计算!$X$36&gt;-1),IF(逐级计算!$X$36=0,AJ59+逐级计算!$C$36,AJ59+逐级计算!$C$36-(10/(逐级计算!$Q$36*LN(10))*(MAX((LN(10^(逐级计算!$Q$36/10)-1)+逐级计算!$Q$36*(AJ59-逐级计算!$P$36)*LN(10)/10),0)+LN(1+EXP(-ABS((LN(10^(逐级计算!$Q$36/10)-1)+逐级计算!$Q$36*(AJ59-逐级计算!$P$36)*LN(10)/10))))))),"")</f>
        <v>13.7930365742089</v>
      </c>
      <c r="AL59">
        <f>IF(AND(ISNUMBER(AK59),逐级计算!$X$37&gt;-1),IF(逐级计算!$X$37=0,AK59+逐级计算!$C$37,AK59+逐级计算!$C$37-(10/(逐级计算!$Q$37*LN(10))*(MAX((LN(10^(逐级计算!$Q$37/10)-1)+逐级计算!$Q$37*(AK59-逐级计算!$P$37)*LN(10)/10),0)+LN(1+EXP(-ABS((LN(10^(逐级计算!$Q$37/10)-1)+逐级计算!$Q$37*(AK59-逐级计算!$P$37)*LN(10)/10))))))),"")</f>
        <v>13.7930365742089</v>
      </c>
      <c r="AM59">
        <f>IF(AND(ISNUMBER(AL59),逐级计算!$X$38&gt;-1),IF(逐级计算!$X$38=0,AL59+逐级计算!$C$38,AL59+逐级计算!$C$38-(10/(逐级计算!$Q$38*LN(10))*(MAX((LN(10^(逐级计算!$Q$38/10)-1)+逐级计算!$Q$38*(AL59-逐级计算!$P$38)*LN(10)/10),0)+LN(1+EXP(-ABS((LN(10^(逐级计算!$Q$38/10)-1)+逐级计算!$Q$38*(AL59-逐级计算!$P$38)*LN(10)/10))))))),"")</f>
        <v>13.7930365742089</v>
      </c>
      <c r="AN59">
        <f>IF(AND(ISNUMBER(AM59),逐级计算!$X$39&gt;-1),IF(逐级计算!$X$39=0,AM59+逐级计算!$C$39,AM59+逐级计算!$C$39-(10/(逐级计算!$Q$39*LN(10))*(MAX((LN(10^(逐级计算!$Q$39/10)-1)+逐级计算!$Q$39*(AM59-逐级计算!$P$39)*LN(10)/10),0)+LN(1+EXP(-ABS((LN(10^(逐级计算!$Q$39/10)-1)+逐级计算!$Q$39*(AM59-逐级计算!$P$39)*LN(10)/10))))))),"")</f>
        <v>13.7930365742089</v>
      </c>
      <c r="AO59">
        <f>IF(AND(ISNUMBER(AN59),逐级计算!$X$40&gt;-1),IF(逐级计算!$X$40=0,AN59+逐级计算!$C$40,AN59+逐级计算!$C$40-(10/(逐级计算!$Q$40*LN(10))*(MAX((LN(10^(逐级计算!$Q$40/10)-1)+逐级计算!$Q$40*(AN59-逐级计算!$P$40)*LN(10)/10),0)+LN(1+EXP(-ABS((LN(10^(逐级计算!$Q$40/10)-1)+逐级计算!$Q$40*(AN59-逐级计算!$P$40)*LN(10)/10))))))),"")</f>
        <v>13.7930365742089</v>
      </c>
      <c r="AP59">
        <f>IF(AND(ISNUMBER(AO59),逐级计算!$X$41&gt;-1),IF(逐级计算!$X$41=0,AO59+逐级计算!$C$41,AO59+逐级计算!$C$41-(10/(逐级计算!$Q$41*LN(10))*(MAX((LN(10^(逐级计算!$Q$41/10)-1)+逐级计算!$Q$41*(AO59-逐级计算!$P$41)*LN(10)/10),0)+LN(1+EXP(-ABS((LN(10^(逐级计算!$Q$41/10)-1)+逐级计算!$Q$41*(AO59-逐级计算!$P$41)*LN(10)/10))))))),"")</f>
        <v>13.7930365742089</v>
      </c>
      <c r="AQ59">
        <f>IF(AND(ISNUMBER(AP59),逐级计算!$X$42&gt;-1),IF(逐级计算!$X$42=0,AP59+逐级计算!$C$42,AP59+逐级计算!$C$42-(10/(逐级计算!$Q$42*LN(10))*(MAX((LN(10^(逐级计算!$Q$42/10)-1)+逐级计算!$Q$42*(AP59-逐级计算!$P$42)*LN(10)/10),0)+LN(1+EXP(-ABS((LN(10^(逐级计算!$Q$42/10)-1)+逐级计算!$Q$42*(AP59-逐级计算!$P$42)*LN(10)/10))))))),"")</f>
        <v>13.7930365742089</v>
      </c>
      <c r="AR59">
        <f>IF(AND(ISNUMBER(AQ59),逐级计算!$X$43&gt;-1),IF(逐级计算!$X$43=0,AQ59+逐级计算!$C$43,AQ59+逐级计算!$C$43-(10/(逐级计算!$Q$43*LN(10))*(MAX((LN(10^(逐级计算!$Q$43/10)-1)+逐级计算!$Q$43*(AQ59-逐级计算!$P$43)*LN(10)/10),0)+LN(1+EXP(-ABS((LN(10^(逐级计算!$Q$43/10)-1)+逐级计算!$Q$43*(AQ59-逐级计算!$P$43)*LN(10)/10))))))),"")</f>
        <v>13.7930365742089</v>
      </c>
      <c r="AS59">
        <f>IF(AND(ISNUMBER(AR59),逐级计算!$X$44&gt;-1),IF(逐级计算!$X$44=0,AR59+逐级计算!$C$44,AR59+逐级计算!$C$44-(10/(逐级计算!$Q$44*LN(10))*(MAX((LN(10^(逐级计算!$Q$44/10)-1)+逐级计算!$Q$44*(AR59-逐级计算!$P$44)*LN(10)/10),0)+LN(1+EXP(-ABS((LN(10^(逐级计算!$Q$44/10)-1)+逐级计算!$Q$44*(AR59-逐级计算!$P$44)*LN(10)/10))))))),"")</f>
        <v>13.7930365742089</v>
      </c>
      <c r="AT59">
        <f>IF(AND(ISNUMBER(AS59),逐级计算!$X$45&gt;-1),IF(逐级计算!$X$45=0,AS59+逐级计算!$C$45,AS59+逐级计算!$C$45-(10/(逐级计算!$Q$45*LN(10))*(MAX((LN(10^(逐级计算!$Q$45/10)-1)+逐级计算!$Q$45*(AS59-逐级计算!$P$45)*LN(10)/10),0)+LN(1+EXP(-ABS((LN(10^(逐级计算!$Q$45/10)-1)+逐级计算!$Q$45*(AS59-逐级计算!$P$45)*LN(10)/10))))))),"")</f>
        <v>13.7930365742089</v>
      </c>
      <c r="AU59">
        <f>IF(AND(ISNUMBER(AT59),逐级计算!$X$46&gt;-1),IF(逐级计算!$X$46=0,AT59+逐级计算!$C$46,AT59+逐级计算!$C$46-(10/(逐级计算!$Q$46*LN(10))*(MAX((LN(10^(逐级计算!$Q$46/10)-1)+逐级计算!$Q$46*(AT59-逐级计算!$P$46)*LN(10)/10),0)+LN(1+EXP(-ABS((LN(10^(逐级计算!$Q$46/10)-1)+逐级计算!$Q$46*(AT59-逐级计算!$P$46)*LN(10)/10))))))),"")</f>
        <v>13.7930365742089</v>
      </c>
      <c r="AV59">
        <f>IF(AND(ISNUMBER(AU59),逐级计算!$X$47&gt;-1),IF(逐级计算!$X$47=0,AU59+逐级计算!$C$47,AU59+逐级计算!$C$47-(10/(逐级计算!$Q$47*LN(10))*(MAX((LN(10^(逐级计算!$Q$47/10)-1)+逐级计算!$Q$47*(AU59-逐级计算!$P$47)*LN(10)/10),0)+LN(1+EXP(-ABS((LN(10^(逐级计算!$Q$47/10)-1)+逐级计算!$Q$47*(AU59-逐级计算!$P$47)*LN(10)/10))))))),"")</f>
        <v>13.7930365742089</v>
      </c>
      <c r="AW59">
        <f>IF(AND(ISNUMBER(AV59),逐级计算!$X$48&gt;-1),IF(逐级计算!$X$48=0,AV59+逐级计算!$C$48,AV59+逐级计算!$C$48-(10/(逐级计算!$Q$48*LN(10))*(MAX((LN(10^(逐级计算!$Q$48/10)-1)+逐级计算!$Q$48*(AV59-逐级计算!$P$48)*LN(10)/10),0)+LN(1+EXP(-ABS((LN(10^(逐级计算!$Q$48/10)-1)+逐级计算!$Q$48*(AV59-逐级计算!$P$48)*LN(10)/10))))))),"")</f>
        <v>13.7930365742089</v>
      </c>
      <c r="AX59">
        <f>IF(AND(ISNUMBER(AW59),逐级计算!$X$49&gt;-1),IF(逐级计算!$X$49=0,AW59+逐级计算!$C$49,AW59+逐级计算!$C$49-(10/(逐级计算!$Q$49*LN(10))*(MAX((LN(10^(逐级计算!$Q$49/10)-1)+逐级计算!$Q$49*(AW59-逐级计算!$P$49)*LN(10)/10),0)+LN(1+EXP(-ABS((LN(10^(逐级计算!$Q$49/10)-1)+逐级计算!$Q$49*(AW59-逐级计算!$P$49)*LN(10)/10))))))),"")</f>
        <v>13.7930365742089</v>
      </c>
      <c r="AY59">
        <f>IF(AND(ISNUMBER(AX59),逐级计算!$X$50&gt;-1),IF(逐级计算!$X$50=0,AX59+逐级计算!$C$50,AX59+逐级计算!$C$50-(10/(逐级计算!$Q$50*LN(10))*(MAX((LN(10^(逐级计算!$Q$50/10)-1)+逐级计算!$Q$50*(AX59-逐级计算!$P$50)*LN(10)/10),0)+LN(1+EXP(-ABS((LN(10^(逐级计算!$Q$50/10)-1)+逐级计算!$Q$50*(AX59-逐级计算!$P$50)*LN(10)/10))))))),"")</f>
        <v>13.7930365742089</v>
      </c>
      <c r="AZ59">
        <f>IF(AND(ISNUMBER(AY59),逐级计算!$X$51&gt;-1),IF(逐级计算!$X$51=0,AY59+逐级计算!$C$51,AY59+逐级计算!$C$51-(10/(逐级计算!$Q$51*LN(10))*(MAX((LN(10^(逐级计算!$Q$51/10)-1)+逐级计算!$Q$51*(AY59-逐级计算!$P$51)*LN(10)/10),0)+LN(1+EXP(-ABS((LN(10^(逐级计算!$Q$51/10)-1)+逐级计算!$Q$51*(AY59-逐级计算!$P$51)*LN(10)/10))))))),"")</f>
        <v>13.7930365742089</v>
      </c>
      <c r="BA59">
        <f>IF(AND(ISNUMBER(AZ59),逐级计算!$X$52&gt;-1),IF(逐级计算!$X$52=0,AZ59+逐级计算!$C$52,AZ59+逐级计算!$C$52-(10/(逐级计算!$Q$52*LN(10))*(MAX((LN(10^(逐级计算!$Q$52/10)-1)+逐级计算!$Q$52*(AZ59-逐级计算!$P$52)*LN(10)/10),0)+LN(1+EXP(-ABS((LN(10^(逐级计算!$Q$52/10)-1)+逐级计算!$Q$52*(AZ59-逐级计算!$P$52)*LN(10)/10))))))),"")</f>
        <v>13.7930365742089</v>
      </c>
      <c r="BB59">
        <f>IF(AND(ISNUMBER(BA59),逐级计算!$X$53&gt;-1),IF(逐级计算!$X$53=0,BA59+逐级计算!$C$53,BA59+逐级计算!$C$53-(10/(逐级计算!$Q$53*LN(10))*(MAX((LN(10^(逐级计算!$Q$53/10)-1)+逐级计算!$Q$53*(BA59-逐级计算!$P$53)*LN(10)/10),0)+LN(1+EXP(-ABS((LN(10^(逐级计算!$Q$53/10)-1)+逐级计算!$Q$53*(BA59-逐级计算!$P$53)*LN(10)/10))))))),"")</f>
        <v>13.7930365742089</v>
      </c>
      <c r="BC59">
        <f>IF(AND(ISNUMBER(BB59),逐级计算!$X$54&gt;-1),IF(逐级计算!$X$54=0,BB59+逐级计算!$C$54,BB59+逐级计算!$C$54-(10/(逐级计算!$Q$54*LN(10))*(MAX((LN(10^(逐级计算!$Q$54/10)-1)+逐级计算!$Q$54*(BB59-逐级计算!$P$54)*LN(10)/10),0)+LN(1+EXP(-ABS((LN(10^(逐级计算!$Q$54/10)-1)+逐级计算!$Q$54*(BB59-逐级计算!$P$54)*LN(10)/10))))))),"")</f>
        <v>13.7930365742089</v>
      </c>
      <c r="BD59">
        <f>IF(AND(ISNUMBER(BC59),逐级计算!$X$55&gt;-1),IF(逐级计算!$X$55=0,BC59+逐级计算!$C$55,BC59+逐级计算!$C$55-(10/(逐级计算!$Q$55*LN(10))*(MAX((LN(10^(逐级计算!$Q$55/10)-1)+逐级计算!$Q$55*(BC59-逐级计算!$P$55)*LN(10)/10),0)+LN(1+EXP(-ABS((LN(10^(逐级计算!$Q$55/10)-1)+逐级计算!$Q$55*(BC59-逐级计算!$P$55)*LN(10)/10))))))),"")</f>
        <v>13.7930365742089</v>
      </c>
      <c r="BE59">
        <f>IF(AND(ISNUMBER(BD59),逐级计算!$X$56&gt;-1),IF(逐级计算!$X$56=0,BD59+逐级计算!$C$56,BD59+逐级计算!$C$56-(10/(逐级计算!$Q$56*LN(10))*(MAX((LN(10^(逐级计算!$Q$56/10)-1)+逐级计算!$Q$56*(BD59-逐级计算!$P$56)*LN(10)/10),0)+LN(1+EXP(-ABS((LN(10^(逐级计算!$Q$56/10)-1)+逐级计算!$Q$56*(BD59-逐级计算!$P$56)*LN(10)/10))))))),"")</f>
        <v>13.7930365742089</v>
      </c>
      <c r="BF59">
        <f>IF(AND(ISNUMBER(BE59),逐级计算!$X$57&gt;-1),IF(逐级计算!$X$57=0,BE59+逐级计算!$C$57,BE59+逐级计算!$C$57-(10/(逐级计算!$Q$57*LN(10))*(MAX((LN(10^(逐级计算!$Q$57/10)-1)+逐级计算!$Q$57*(BE59-逐级计算!$P$57)*LN(10)/10),0)+LN(1+EXP(-ABS((LN(10^(逐级计算!$Q$57/10)-1)+逐级计算!$Q$57*(BE59-逐级计算!$P$57)*LN(10)/10))))))),"")</f>
        <v>13.7930365742089</v>
      </c>
      <c r="BG59">
        <f>IF(AND(ISNUMBER(BF59),逐级计算!$X$58&gt;-1),IF(逐级计算!$X$58=0,BF59+逐级计算!$C$58,BF59+逐级计算!$C$58-(10/(逐级计算!$Q$58*LN(10))*(MAX((LN(10^(逐级计算!$Q$58/10)-1)+逐级计算!$Q$58*(BF59-逐级计算!$P$58)*LN(10)/10),0)+LN(1+EXP(-ABS((LN(10^(逐级计算!$Q$58/10)-1)+逐级计算!$Q$58*(BF59-逐级计算!$P$58)*LN(10)/10))))))),"")</f>
        <v>13.7930365742089</v>
      </c>
      <c r="BH59">
        <f>IF(AND(ISNUMBER(BG59),逐级计算!$X$59&gt;-1),IF(逐级计算!$X$59=0,BG59+逐级计算!$C$59,BG59+逐级计算!$C$59-(10/(逐级计算!$Q$59*LN(10))*(MAX((LN(10^(逐级计算!$Q$59/10)-1)+逐级计算!$Q$59*(BG59-逐级计算!$P$59)*LN(10)/10),0)+LN(1+EXP(-ABS((LN(10^(逐级计算!$Q$59/10)-1)+逐级计算!$Q$59*(BG59-逐级计算!$P$59)*LN(10)/10))))))),"")</f>
        <v>13.7930365742089</v>
      </c>
      <c r="BI59">
        <f>IF(AND(ISNUMBER(BH59),逐级计算!$X$60&gt;-1),IF(逐级计算!$X$60=0,BH59+逐级计算!$C$60,BH59+逐级计算!$C$60-(10/(逐级计算!$Q$60*LN(10))*(MAX((LN(10^(逐级计算!$Q$60/10)-1)+逐级计算!$Q$60*(BH59-逐级计算!$P$60)*LN(10)/10),0)+LN(1+EXP(-ABS((LN(10^(逐级计算!$Q$60/10)-1)+逐级计算!$Q$60*(BH59-逐级计算!$P$60)*LN(10)/10))))))),"")</f>
        <v>13.7930365742089</v>
      </c>
      <c r="BJ59">
        <f>IF(AND(ISNUMBER(BI59),逐级计算!$X$61&gt;-1),IF(逐级计算!$X$61=0,BI59+逐级计算!$C$61,BI59+逐级计算!$C$61-(10/(逐级计算!$Q$61*LN(10))*(MAX((LN(10^(逐级计算!$Q$61/10)-1)+逐级计算!$Q$61*(BI59-逐级计算!$P$61)*LN(10)/10),0)+LN(1+EXP(-ABS((LN(10^(逐级计算!$Q$61/10)-1)+逐级计算!$Q$61*(BI59-逐级计算!$P$61)*LN(10)/10))))))),"")</f>
        <v>13.7930365742089</v>
      </c>
      <c r="BK59">
        <f>IF(AND(ISNUMBER(BJ59),逐级计算!$X$62&gt;-1),IF(逐级计算!$X$62=0,BJ59+逐级计算!$C$62,BJ59+逐级计算!$C$62-(10/(逐级计算!$Q$62*LN(10))*(MAX((LN(10^(逐级计算!$Q$62/10)-1)+逐级计算!$Q$62*(BJ59-逐级计算!$P$62)*LN(10)/10),0)+LN(1+EXP(-ABS((LN(10^(逐级计算!$Q$62/10)-1)+逐级计算!$Q$62*(BJ59-逐级计算!$P$62)*LN(10)/10))))))),"")</f>
        <v>13.7930365742089</v>
      </c>
      <c r="BL59">
        <f>IF(AND(ISNUMBER(BK59),逐级计算!$X$63&gt;-1),IF(逐级计算!$X$63=0,BK59+逐级计算!$C$63,BK59+逐级计算!$C$63-(10/(逐级计算!$Q$63*LN(10))*(MAX((LN(10^(逐级计算!$Q$63/10)-1)+逐级计算!$Q$63*(BK59-逐级计算!$P$63)*LN(10)/10),0)+LN(1+EXP(-ABS((LN(10^(逐级计算!$Q$63/10)-1)+逐级计算!$Q$63*(BK59-逐级计算!$P$63)*LN(10)/10))))))),"")</f>
        <v>13.7930365742089</v>
      </c>
      <c r="BM59">
        <f>IF(AND(ISNUMBER(BL59),逐级计算!$X$64&gt;-1),IF(逐级计算!$X$64=0,BL59+逐级计算!$C$64,BL59+逐级计算!$C$64-(10/(逐级计算!$Q$64*LN(10))*(MAX((LN(10^(逐级计算!$Q$64/10)-1)+逐级计算!$Q$64*(BL59-逐级计算!$P$64)*LN(10)/10),0)+LN(1+EXP(-ABS((LN(10^(逐级计算!$Q$64/10)-1)+逐级计算!$Q$64*(BL59-逐级计算!$P$64)*LN(10)/10))))))),"")</f>
        <v>13.7930365742089</v>
      </c>
      <c r="BN59">
        <f>IF(AND(ISNUMBER(BM59),逐级计算!$X$65&gt;-1),IF(逐级计算!$X$65=0,BM59+逐级计算!$C$65,BM59+逐级计算!$C$65-(10/(逐级计算!$Q$65*LN(10))*(MAX((LN(10^(逐级计算!$Q$65/10)-1)+逐级计算!$Q$65*(BM59-逐级计算!$P$65)*LN(10)/10),0)+LN(1+EXP(-ABS((LN(10^(逐级计算!$Q$65/10)-1)+逐级计算!$Q$65*(BM59-逐级计算!$P$65)*LN(10)/10))))))),"")</f>
        <v>13.7930365742089</v>
      </c>
      <c r="BO59">
        <f>IF(AND(ISNUMBER(BN59),逐级计算!$X$66&gt;-1),IF(逐级计算!$X$66=0,BN59+逐级计算!$C$66,BN59+逐级计算!$C$66-(10/(逐级计算!$Q$66*LN(10))*(MAX((LN(10^(逐级计算!$Q$66/10)-1)+逐级计算!$Q$66*(BN59-逐级计算!$P$66)*LN(10)/10),0)+LN(1+EXP(-ABS((LN(10^(逐级计算!$Q$66/10)-1)+逐级计算!$Q$66*(BN59-逐级计算!$P$66)*LN(10)/10))))))),"")</f>
        <v>13.7930365742089</v>
      </c>
      <c r="BP59">
        <f>IF(AND(ISNUMBER(BO59),逐级计算!$X$67&gt;-1),IF(逐级计算!$X$67=0,BO59+逐级计算!$C$67,BO59+逐级计算!$C$67-(10/(逐级计算!$Q$67*LN(10))*(MAX((LN(10^(逐级计算!$Q$67/10)-1)+逐级计算!$Q$67*(BO59-逐级计算!$P$67)*LN(10)/10),0)+LN(1+EXP(-ABS((LN(10^(逐级计算!$Q$67/10)-1)+逐级计算!$Q$67*(BO59-逐级计算!$P$67)*LN(10)/10))))))),"")</f>
        <v>13.7930365742089</v>
      </c>
      <c r="BQ59">
        <f>IF(AND(ISNUMBER(BP59),逐级计算!$X$68&gt;-1),IF(逐级计算!$X$68=0,BP59+逐级计算!$C$68,BP59+逐级计算!$C$68-(10/(逐级计算!$Q$68*LN(10))*(MAX((LN(10^(逐级计算!$Q$68/10)-1)+逐级计算!$Q$68*(BP59-逐级计算!$P$68)*LN(10)/10),0)+LN(1+EXP(-ABS((LN(10^(逐级计算!$Q$68/10)-1)+逐级计算!$Q$68*(BP59-逐级计算!$P$68)*LN(10)/10))))))),"")</f>
        <v>13.7930365742089</v>
      </c>
      <c r="BR59">
        <f>IF(AND(ISNUMBER(BQ59),逐级计算!$X$69&gt;-1),IF(逐级计算!$X$69=0,BQ59+逐级计算!$C$69,BQ59+逐级计算!$C$69-(10/(逐级计算!$Q$69*LN(10))*(MAX((LN(10^(逐级计算!$Q$69/10)-1)+逐级计算!$Q$69*(BQ59-逐级计算!$P$69)*LN(10)/10),0)+LN(1+EXP(-ABS((LN(10^(逐级计算!$Q$69/10)-1)+逐级计算!$Q$69*(BQ59-逐级计算!$P$69)*LN(10)/10))))))),"")</f>
        <v>13.7930365742089</v>
      </c>
      <c r="BS59">
        <f>IF(AND(ISNUMBER(BR59),逐级计算!$X$70&gt;-1),IF(逐级计算!$X$70=0,BR59+逐级计算!$C$70,BR59+逐级计算!$C$70-(10/(逐级计算!$Q$70*LN(10))*(MAX((LN(10^(逐级计算!$Q$70/10)-1)+逐级计算!$Q$70*(BR59-逐级计算!$P$70)*LN(10)/10),0)+LN(1+EXP(-ABS((LN(10^(逐级计算!$Q$70/10)-1)+逐级计算!$Q$70*(BR59-逐级计算!$P$70)*LN(10)/10))))))),"")</f>
        <v>13.7930365742089</v>
      </c>
      <c r="BT59">
        <f>IF(AND(ISNUMBER(BS59),逐级计算!$X$71&gt;-1),IF(逐级计算!$X$71=0,BS59+逐级计算!$C$71,BS59+逐级计算!$C$71-(10/(逐级计算!$Q$71*LN(10))*(MAX((LN(10^(逐级计算!$Q$71/10)-1)+逐级计算!$Q$71*(BS59-逐级计算!$P$71)*LN(10)/10),0)+LN(1+EXP(-ABS((LN(10^(逐级计算!$Q$71/10)-1)+逐级计算!$Q$71*(BS59-逐级计算!$P$71)*LN(10)/10))))))),"")</f>
        <v>13.7930365742089</v>
      </c>
      <c r="BU59">
        <f>IF(AND(ISNUMBER(BT59),逐级计算!$X$72&gt;-1),IF(逐级计算!$X$72=0,BT59+逐级计算!$C$72,BT59+逐级计算!$C$72-(10/(逐级计算!$Q$72*LN(10))*(MAX((LN(10^(逐级计算!$Q$72/10)-1)+逐级计算!$Q$72*(BT59-逐级计算!$P$72)*LN(10)/10),0)+LN(1+EXP(-ABS((LN(10^(逐级计算!$Q$72/10)-1)+逐级计算!$Q$72*(BT59-逐级计算!$P$72)*LN(10)/10))))))),"")</f>
        <v>13.7930365742089</v>
      </c>
      <c r="BV59">
        <f>IF(AND(ISNUMBER(BU59),逐级计算!$X$73&gt;-1),IF(逐级计算!$X$73=0,BU59+逐级计算!$C$73,BU59+逐级计算!$C$73-(10/(逐级计算!$Q$73*LN(10))*(MAX((LN(10^(逐级计算!$Q$73/10)-1)+逐级计算!$Q$73*(BU59-逐级计算!$P$73)*LN(10)/10),0)+LN(1+EXP(-ABS((LN(10^(逐级计算!$Q$73/10)-1)+逐级计算!$Q$73*(BU59-逐级计算!$P$73)*LN(10)/10))))))),"")</f>
        <v>13.7930365742089</v>
      </c>
      <c r="BW59">
        <f>IF(AND(ISNUMBER(BV59),逐级计算!$X$74&gt;-1),IF(逐级计算!$X$74=0,BV59+逐级计算!$C$74,BV59+逐级计算!$C$74-(10/(逐级计算!$Q$74*LN(10))*(MAX((LN(10^(逐级计算!$Q$74/10)-1)+逐级计算!$Q$74*(BV59-逐级计算!$P$74)*LN(10)/10),0)+LN(1+EXP(-ABS((LN(10^(逐级计算!$Q$74/10)-1)+逐级计算!$Q$74*(BV59-逐级计算!$P$74)*LN(10)/10))))))),"")</f>
        <v>13.7930365742089</v>
      </c>
      <c r="BX59">
        <f>IF(AND(ISNUMBER(BW59),逐级计算!$X$75&gt;-1),IF(逐级计算!$X$75=0,BW59+逐级计算!$C$75,BW59+逐级计算!$C$75-(10/(逐级计算!$Q$75*LN(10))*(MAX((LN(10^(逐级计算!$Q$75/10)-1)+逐级计算!$Q$75*(BW59-逐级计算!$P$75)*LN(10)/10),0)+LN(1+EXP(-ABS((LN(10^(逐级计算!$Q$75/10)-1)+逐级计算!$Q$75*(BW59-逐级计算!$P$75)*LN(10)/10))))))),"")</f>
        <v>13.7930365742089</v>
      </c>
      <c r="BY59">
        <f>IF(AND(ISNUMBER(BX59),逐级计算!$X$76&gt;-1),IF(逐级计算!$X$76=0,BX59+逐级计算!$C$76,BX59+逐级计算!$C$76-(10/(逐级计算!$Q$76*LN(10))*(MAX((LN(10^(逐级计算!$Q$76/10)-1)+逐级计算!$Q$76*(BX59-逐级计算!$P$76)*LN(10)/10),0)+LN(1+EXP(-ABS((LN(10^(逐级计算!$Q$76/10)-1)+逐级计算!$Q$76*(BX59-逐级计算!$P$76)*LN(10)/10))))))),"")</f>
        <v>13.7930365742089</v>
      </c>
      <c r="BZ59">
        <f>IF(AND(ISNUMBER(BY59),逐级计算!$X$77&gt;-1),IF(逐级计算!$X$77=0,BY59+逐级计算!$C$77,BY59+逐级计算!$C$77-(10/(逐级计算!$Q$77*LN(10))*(MAX((LN(10^(逐级计算!$Q$77/10)-1)+逐级计算!$Q$77*(BY59-逐级计算!$P$77)*LN(10)/10),0)+LN(1+EXP(-ABS((LN(10^(逐级计算!$Q$77/10)-1)+逐级计算!$Q$77*(BY59-逐级计算!$P$77)*LN(10)/10))))))),"")</f>
        <v>13.7930365742089</v>
      </c>
      <c r="CA59">
        <f>IF(AND(ISNUMBER(BZ59),逐级计算!$X$78&gt;-1),IF(逐级计算!$X$78=0,BZ59+逐级计算!$C$78,BZ59+逐级计算!$C$78-(10/(逐级计算!$Q$78*LN(10))*(MAX((LN(10^(逐级计算!$Q$78/10)-1)+逐级计算!$Q$78*(BZ59-逐级计算!$P$78)*LN(10)/10),0)+LN(1+EXP(-ABS((LN(10^(逐级计算!$Q$78/10)-1)+逐级计算!$Q$78*(BZ59-逐级计算!$P$78)*LN(10)/10))))))),"")</f>
        <v>13.7930365742089</v>
      </c>
      <c r="CB59">
        <f>IF(AND(ISNUMBER(CA59),逐级计算!$X$79&gt;-1),IF(逐级计算!$X$79=0,CA59+逐级计算!$C$79,CA59+逐级计算!$C$79-(10/(逐级计算!$Q$79*LN(10))*(MAX((LN(10^(逐级计算!$Q$79/10)-1)+逐级计算!$Q$79*(CA59-逐级计算!$P$79)*LN(10)/10),0)+LN(1+EXP(-ABS((LN(10^(逐级计算!$Q$79/10)-1)+逐级计算!$Q$79*(CA59-逐级计算!$P$79)*LN(10)/10))))))),"")</f>
        <v>13.7930365742089</v>
      </c>
      <c r="CC59">
        <f>IF(AND(ISNUMBER(CB59),逐级计算!$X$80&gt;-1),IF(逐级计算!$X$80=0,CB59+逐级计算!$C$80,CB59+逐级计算!$C$80-(10/(逐级计算!$Q$80*LN(10))*(MAX((LN(10^(逐级计算!$Q$80/10)-1)+逐级计算!$Q$80*(CB59-逐级计算!$P$80)*LN(10)/10),0)+LN(1+EXP(-ABS((LN(10^(逐级计算!$Q$80/10)-1)+逐级计算!$Q$80*(CB59-逐级计算!$P$80)*LN(10)/10))))))),"")</f>
        <v>13.7930365742089</v>
      </c>
      <c r="CD59">
        <f>IF(AND(ISNUMBER(CC59),逐级计算!$X$81&gt;-1),IF(逐级计算!$X$81=0,CC59+逐级计算!$C$81,CC59+逐级计算!$C$81-(10/(逐级计算!$Q$81*LN(10))*(MAX((LN(10^(逐级计算!$Q$81/10)-1)+逐级计算!$Q$81*(CC59-逐级计算!$P$81)*LN(10)/10),0)+LN(1+EXP(-ABS((LN(10^(逐级计算!$Q$81/10)-1)+逐级计算!$Q$81*(CC59-逐级计算!$P$81)*LN(10)/10))))))),"")</f>
        <v>13.7930365742089</v>
      </c>
      <c r="CE59">
        <f>IF(AND(ISNUMBER(CD59),逐级计算!$X$82&gt;-1),IF(逐级计算!$X$82=0,CD59+逐级计算!$C$82,CD59+逐级计算!$C$82-(10/(逐级计算!$Q$82*LN(10))*(MAX((LN(10^(逐级计算!$Q$82/10)-1)+逐级计算!$Q$82*(CD59-逐级计算!$P$82)*LN(10)/10),0)+LN(1+EXP(-ABS((LN(10^(逐级计算!$Q$82/10)-1)+逐级计算!$Q$82*(CD59-逐级计算!$P$82)*LN(10)/10))))))),"")</f>
        <v>13.7930365742089</v>
      </c>
      <c r="CF59">
        <f>IF(AND(ISNUMBER(CE59),逐级计算!$X$83&gt;-1),IF(逐级计算!$X$83=0,CE59+逐级计算!$C$83,CE59+逐级计算!$C$83-(10/(逐级计算!$Q$83*LN(10))*(MAX((LN(10^(逐级计算!$Q$83/10)-1)+逐级计算!$Q$83*(CE59-逐级计算!$P$83)*LN(10)/10),0)+LN(1+EXP(-ABS((LN(10^(逐级计算!$Q$83/10)-1)+逐级计算!$Q$83*(CE59-逐级计算!$P$83)*LN(10)/10))))))),"")</f>
        <v>13.7930365742089</v>
      </c>
      <c r="CG59">
        <f>IF(AND(ISNUMBER(CF59),逐级计算!$X$84&gt;-1),IF(逐级计算!$X$84=0,CF59+逐级计算!$C$84,CF59+逐级计算!$C$84-(10/(逐级计算!$Q$84*LN(10))*(MAX((LN(10^(逐级计算!$Q$84/10)-1)+逐级计算!$Q$84*(CF59-逐级计算!$P$84)*LN(10)/10),0)+LN(1+EXP(-ABS((LN(10^(逐级计算!$Q$84/10)-1)+逐级计算!$Q$84*(CF59-逐级计算!$P$84)*LN(10)/10))))))),"")</f>
        <v>13.7930365742089</v>
      </c>
      <c r="CH59">
        <f>IF(AND(ISNUMBER(CG59),逐级计算!$X$85&gt;-1),IF(逐级计算!$X$85=0,CG59+逐级计算!$C$85,CG59+逐级计算!$C$85-(10/(逐级计算!$Q$85*LN(10))*(MAX((LN(10^(逐级计算!$Q$85/10)-1)+逐级计算!$Q$85*(CG59-逐级计算!$P$85)*LN(10)/10),0)+LN(1+EXP(-ABS((LN(10^(逐级计算!$Q$85/10)-1)+逐级计算!$Q$85*(CG59-逐级计算!$P$85)*LN(10)/10))))))),"")</f>
        <v>13.7930365742089</v>
      </c>
      <c r="CI59">
        <f>IF(AND(ISNUMBER(CH59),逐级计算!$X$86&gt;-1),IF(逐级计算!$X$86=0,CH59+逐级计算!$C$86,CH59+逐级计算!$C$86-(10/(逐级计算!$Q$86*LN(10))*(MAX((LN(10^(逐级计算!$Q$86/10)-1)+逐级计算!$Q$86*(CH59-逐级计算!$P$86)*LN(10)/10),0)+LN(1+EXP(-ABS((LN(10^(逐级计算!$Q$86/10)-1)+逐级计算!$Q$86*(CH59-逐级计算!$P$86)*LN(10)/10))))))),"")</f>
        <v>13.7930365742089</v>
      </c>
      <c r="CJ59">
        <f>IF(AND(ISNUMBER(CI59),逐级计算!$X$87&gt;-1),IF(逐级计算!$X$87=0,CI59+逐级计算!$C$87,CI59+逐级计算!$C$87-(10/(逐级计算!$Q$87*LN(10))*(MAX((LN(10^(逐级计算!$Q$87/10)-1)+逐级计算!$Q$87*(CI59-逐级计算!$P$87)*LN(10)/10),0)+LN(1+EXP(-ABS((LN(10^(逐级计算!$Q$87/10)-1)+逐级计算!$Q$87*(CI59-逐级计算!$P$87)*LN(10)/10))))))),"")</f>
        <v>13.7930365742089</v>
      </c>
      <c r="CK59">
        <f>IF(AND(ISNUMBER(CJ59),逐级计算!$X$88&gt;-1),IF(逐级计算!$X$88=0,CJ59+逐级计算!$C$88,CJ59+逐级计算!$C$88-(10/(逐级计算!$Q$88*LN(10))*(MAX((LN(10^(逐级计算!$Q$88/10)-1)+逐级计算!$Q$88*(CJ59-逐级计算!$P$88)*LN(10)/10),0)+LN(1+EXP(-ABS((LN(10^(逐级计算!$Q$88/10)-1)+逐级计算!$Q$88*(CJ59-逐级计算!$P$88)*LN(10)/10))))))),"")</f>
        <v>13.7930365742089</v>
      </c>
      <c r="CL59">
        <f>IF(AND(ISNUMBER(CK59),逐级计算!$X$89&gt;-1),IF(逐级计算!$X$89=0,CK59+逐级计算!$C$89,CK59+逐级计算!$C$89-(10/(逐级计算!$Q$89*LN(10))*(MAX((LN(10^(逐级计算!$Q$89/10)-1)+逐级计算!$Q$89*(CK59-逐级计算!$P$89)*LN(10)/10),0)+LN(1+EXP(-ABS((LN(10^(逐级计算!$Q$89/10)-1)+逐级计算!$Q$89*(CK59-逐级计算!$P$89)*LN(10)/10))))))),"")</f>
        <v>13.7930365742089</v>
      </c>
      <c r="CM59">
        <f>IF(AND(ISNUMBER(CL59),逐级计算!$X$90&gt;-1),IF(逐级计算!$X$90=0,CL59+逐级计算!$C$90,CL59+逐级计算!$C$90-(10/(逐级计算!$Q$90*LN(10))*(MAX((LN(10^(逐级计算!$Q$90/10)-1)+逐级计算!$Q$90*(CL59-逐级计算!$P$90)*LN(10)/10),0)+LN(1+EXP(-ABS((LN(10^(逐级计算!$Q$90/10)-1)+逐级计算!$Q$90*(CL59-逐级计算!$P$90)*LN(10)/10))))))),"")</f>
        <v>13.7930365742089</v>
      </c>
      <c r="CN59">
        <f>IF(AND(ISNUMBER(CM59),逐级计算!$X$91&gt;-1),IF(逐级计算!$X$91=0,CM59+逐级计算!$C$91,CM59+逐级计算!$C$91-(10/(逐级计算!$Q$91*LN(10))*(MAX((LN(10^(逐级计算!$Q$91/10)-1)+逐级计算!$Q$91*(CM59-逐级计算!$P$91)*LN(10)/10),0)+LN(1+EXP(-ABS((LN(10^(逐级计算!$Q$91/10)-1)+逐级计算!$Q$91*(CM59-逐级计算!$P$91)*LN(10)/10))))))),"")</f>
        <v>13.7930365742089</v>
      </c>
      <c r="CO59">
        <f>IF(AND(ISNUMBER(CN59),逐级计算!$X$92&gt;-1),IF(逐级计算!$X$92=0,CN59+逐级计算!$C$92,CN59+逐级计算!$C$92-(10/(逐级计算!$Q$92*LN(10))*(MAX((LN(10^(逐级计算!$Q$92/10)-1)+逐级计算!$Q$92*(CN59-逐级计算!$P$92)*LN(10)/10),0)+LN(1+EXP(-ABS((LN(10^(逐级计算!$Q$92/10)-1)+逐级计算!$Q$92*(CN59-逐级计算!$P$92)*LN(10)/10))))))),"")</f>
        <v>13.7930365742089</v>
      </c>
      <c r="CP59">
        <f>IF(AND(ISNUMBER(CO59),逐级计算!$X$93&gt;-1),IF(逐级计算!$X$93=0,CO59+逐级计算!$C$93,CO59+逐级计算!$C$93-(10/(逐级计算!$Q$93*LN(10))*(MAX((LN(10^(逐级计算!$Q$93/10)-1)+逐级计算!$Q$93*(CO59-逐级计算!$P$93)*LN(10)/10),0)+LN(1+EXP(-ABS((LN(10^(逐级计算!$Q$93/10)-1)+逐级计算!$Q$93*(CO59-逐级计算!$P$93)*LN(10)/10))))))),"")</f>
        <v>13.7930365742089</v>
      </c>
      <c r="CQ59">
        <f>IF(AND(ISNUMBER(CP59),逐级计算!$X$94&gt;-1),IF(逐级计算!$X$94=0,CP59+逐级计算!$C$94,CP59+逐级计算!$C$94-(10/(逐级计算!$Q$94*LN(10))*(MAX((LN(10^(逐级计算!$Q$94/10)-1)+逐级计算!$Q$94*(CP59-逐级计算!$P$94)*LN(10)/10),0)+LN(1+EXP(-ABS((LN(10^(逐级计算!$Q$94/10)-1)+逐级计算!$Q$94*(CP59-逐级计算!$P$94)*LN(10)/10))))))),"")</f>
        <v>13.7930365742089</v>
      </c>
      <c r="CR59">
        <f>IF(AND(ISNUMBER(CQ59),逐级计算!$X$95&gt;-1),IF(逐级计算!$X$95=0,CQ59+逐级计算!$C$95,CQ59+逐级计算!$C$95-(10/(逐级计算!$Q$95*LN(10))*(MAX((LN(10^(逐级计算!$Q$95/10)-1)+逐级计算!$Q$95*(CQ59-逐级计算!$P$95)*LN(10)/10),0)+LN(1+EXP(-ABS((LN(10^(逐级计算!$Q$95/10)-1)+逐级计算!$Q$95*(CQ59-逐级计算!$P$95)*LN(10)/10))))))),"")</f>
        <v>13.7930365742089</v>
      </c>
      <c r="CS59">
        <f>IF(AND(ISNUMBER(CR59),逐级计算!$X$96&gt;-1),IF(逐级计算!$X$96=0,CR59+逐级计算!$C$96,CR59+逐级计算!$C$96-(10/(逐级计算!$Q$96*LN(10))*(MAX((LN(10^(逐级计算!$Q$96/10)-1)+逐级计算!$Q$96*(CR59-逐级计算!$P$96)*LN(10)/10),0)+LN(1+EXP(-ABS((LN(10^(逐级计算!$Q$96/10)-1)+逐级计算!$Q$96*(CR59-逐级计算!$P$96)*LN(10)/10))))))),"")</f>
        <v>13.7930365742089</v>
      </c>
      <c r="CT59">
        <f>IF(AND(ISNUMBER(CS59),逐级计算!$X$97&gt;-1),IF(逐级计算!$X$97=0,CS59+逐级计算!$C$97,CS59+逐级计算!$C$97-(10/(逐级计算!$Q$97*LN(10))*(MAX((LN(10^(逐级计算!$Q$97/10)-1)+逐级计算!$Q$97*(CS59-逐级计算!$P$97)*LN(10)/10),0)+LN(1+EXP(-ABS((LN(10^(逐级计算!$Q$97/10)-1)+逐级计算!$Q$97*(CS59-逐级计算!$P$97)*LN(10)/10))))))),"")</f>
        <v>13.7930365742089</v>
      </c>
      <c r="CU59">
        <f>IF(AND(ISNUMBER(CT59),逐级计算!$X$98&gt;-1),IF(逐级计算!$X$98=0,CT59+逐级计算!$C$98,CT59+逐级计算!$C$98-(10/(逐级计算!$Q$98*LN(10))*(MAX((LN(10^(逐级计算!$Q$98/10)-1)+逐级计算!$Q$98*(CT59-逐级计算!$P$98)*LN(10)/10),0)+LN(1+EXP(-ABS((LN(10^(逐级计算!$Q$98/10)-1)+逐级计算!$Q$98*(CT59-逐级计算!$P$98)*LN(10)/10))))))),"")</f>
        <v>13.7930365742089</v>
      </c>
      <c r="CV59">
        <f>IF(AND(ISNUMBER(CU59),逐级计算!$X$99&gt;-1),IF(逐级计算!$X$99=0,CU59+逐级计算!$C$99,CU59+逐级计算!$C$99-(10/(逐级计算!$Q$99*LN(10))*(MAX((LN(10^(逐级计算!$Q$99/10)-1)+逐级计算!$Q$99*(CU59-逐级计算!$P$99)*LN(10)/10),0)+LN(1+EXP(-ABS((LN(10^(逐级计算!$Q$99/10)-1)+逐级计算!$Q$99*(CU59-逐级计算!$P$99)*LN(10)/10))))))),"")</f>
        <v>13.7930365742089</v>
      </c>
      <c r="CW59">
        <f>IF(AND(ISNUMBER(CV59),逐级计算!$X$100&gt;-1),IF(逐级计算!$X$100=0,CV59+逐级计算!$C$100,CV59+逐级计算!$C$100-(10/(逐级计算!$Q$100*LN(10))*(MAX((LN(10^(逐级计算!$Q$100/10)-1)+逐级计算!$Q$100*(CV59-逐级计算!$P$100)*LN(10)/10),0)+LN(1+EXP(-ABS((LN(10^(逐级计算!$Q$100/10)-1)+逐级计算!$Q$100*(CV59-逐级计算!$P$100)*LN(10)/10))))))),"")</f>
        <v>13.7930365742089</v>
      </c>
      <c r="CX59">
        <f>IF(AND(ISNUMBER(CW59),逐级计算!$X$101&gt;-1),IF(逐级计算!$X$101=0,CW59+逐级计算!$C$101,CW59+逐级计算!$C$101-(10/(逐级计算!$Q$101*LN(10))*(MAX((LN(10^(逐级计算!$Q$101/10)-1)+逐级计算!$Q$101*(CW59-逐级计算!$P$101)*LN(10)/10),0)+LN(1+EXP(-ABS((LN(10^(逐级计算!$Q$101/10)-1)+逐级计算!$Q$101*(CW59-逐级计算!$P$101)*LN(10)/10))))))),"")</f>
        <v>13.7930365742089</v>
      </c>
      <c r="CY59">
        <f>IF(AND(ISNUMBER(CX59),逐级计算!$X$102&gt;-1),IF(逐级计算!$X$102=0,CX59+逐级计算!$C$102,CX59+逐级计算!$C$102-(10/(逐级计算!$Q$102*LN(10))*(MAX((LN(10^(逐级计算!$Q$102/10)-1)+逐级计算!$Q$102*(CX59-逐级计算!$P$102)*LN(10)/10),0)+LN(1+EXP(-ABS((LN(10^(逐级计算!$Q$102/10)-1)+逐级计算!$Q$102*(CX59-逐级计算!$P$102)*LN(10)/10))))))),"")</f>
        <v>13.7930365742089</v>
      </c>
      <c r="CZ59">
        <f>IF(AND(ISNUMBER(CY59),逐级计算!$X$103&gt;-1),IF(逐级计算!$X$103=0,CY59+逐级计算!$C$103,CY59+逐级计算!$C$103-(10/(逐级计算!$Q$103*LN(10))*(MAX((LN(10^(逐级计算!$Q$103/10)-1)+逐级计算!$Q$103*(CY59-逐级计算!$P$103)*LN(10)/10),0)+LN(1+EXP(-ABS((LN(10^(逐级计算!$Q$103/10)-1)+逐级计算!$Q$103*(CY59-逐级计算!$P$103)*LN(10)/10))))))),"")</f>
        <v>13.7930365742089</v>
      </c>
      <c r="DA59">
        <f>IF(AND(ISNUMBER(CZ59),逐级计算!$X$104&gt;-1),IF(逐级计算!$X$104=0,CZ59+逐级计算!$C$104,CZ59+逐级计算!$C$104-(10/(逐级计算!$Q$104*LN(10))*(MAX((LN(10^(逐级计算!$Q$104/10)-1)+逐级计算!$Q$104*(CZ59-逐级计算!$P$104)*LN(10)/10),0)+LN(1+EXP(-ABS((LN(10^(逐级计算!$Q$104/10)-1)+逐级计算!$Q$104*(CZ59-逐级计算!$P$104)*LN(10)/10))))))),"")</f>
        <v>13.7930365742089</v>
      </c>
      <c r="DB59">
        <f>IF(AND(ISNUMBER(DA59),逐级计算!$X$105&gt;-1),IF(逐级计算!$X$105=0,DA59+逐级计算!$C$105,DA59+逐级计算!$C$105-(10/(逐级计算!$Q$105*LN(10))*(MAX((LN(10^(逐级计算!$Q$105/10)-1)+逐级计算!$Q$105*(DA59-逐级计算!$P$105)*LN(10)/10),0)+LN(1+EXP(-ABS((LN(10^(逐级计算!$Q$105/10)-1)+逐级计算!$Q$105*(DA59-逐级计算!$P$105)*LN(10)/10))))))),"")</f>
        <v>13.7930365742089</v>
      </c>
      <c r="DC59">
        <f>IF(AND(ISNUMBER(DB59),逐级计算!$X$106&gt;-1),IF(逐级计算!$X$106=0,DB59+逐级计算!$C$106,DB59+逐级计算!$C$106-(10/(逐级计算!$Q$106*LN(10))*(MAX((LN(10^(逐级计算!$Q$106/10)-1)+逐级计算!$Q$106*(DB59-逐级计算!$P$106)*LN(10)/10),0)+LN(1+EXP(-ABS((LN(10^(逐级计算!$Q$106/10)-1)+逐级计算!$Q$106*(DB59-逐级计算!$P$106)*LN(10)/10))))))),"")</f>
        <v>13.7930365742089</v>
      </c>
      <c r="DD59">
        <f>IF(AND(ISNUMBER(DC59),逐级计算!$X$107&gt;-1),IF(逐级计算!$X$107=0,DC59+逐级计算!$C$107,DC59+逐级计算!$C$107-(10/(逐级计算!$Q$107*LN(10))*(MAX((LN(10^(逐级计算!$Q$107/10)-1)+逐级计算!$Q$107*(DC59-逐级计算!$P$107)*LN(10)/10),0)+LN(1+EXP(-ABS((LN(10^(逐级计算!$Q$107/10)-1)+逐级计算!$Q$107*(DC59-逐级计算!$P$107)*LN(10)/10))))))),"")</f>
        <v>13.7930365742089</v>
      </c>
      <c r="DE59">
        <f>IF(AND(ISNUMBER(DD59),逐级计算!$X$108&gt;-1),IF(逐级计算!$X$108=0,DD59+逐级计算!$C$108,DD59+逐级计算!$C$108-(10/(逐级计算!$Q$108*LN(10))*(MAX((LN(10^(逐级计算!$Q$108/10)-1)+逐级计算!$Q$108*(DD59-逐级计算!$P$108)*LN(10)/10),0)+LN(1+EXP(-ABS((LN(10^(逐级计算!$Q$108/10)-1)+逐级计算!$Q$108*(DD59-逐级计算!$P$108)*LN(10)/10))))))),"")</f>
        <v>13.7930365742089</v>
      </c>
      <c r="DF59">
        <f>IF(AND(ISNUMBER(DE59),逐级计算!$X$109&gt;-1),IF(逐级计算!$X$109=0,DE59+逐级计算!$C$109,DE59+逐级计算!$C$109-(10/(逐级计算!$Q$109*LN(10))*(MAX((LN(10^(逐级计算!$Q$109/10)-1)+逐级计算!$Q$109*(DE59-逐级计算!$P$109)*LN(10)/10),0)+LN(1+EXP(-ABS((LN(10^(逐级计算!$Q$109/10)-1)+逐级计算!$Q$109*(DE59-逐级计算!$P$109)*LN(10)/10))))))),"")</f>
        <v>13.7930365742089</v>
      </c>
      <c r="DG59">
        <f>IF(AND(ISNUMBER(DF59),逐级计算!$X$110&gt;-1),IF(逐级计算!$X$110=0,DF59+逐级计算!$C$110,DF59+逐级计算!$C$110-(10/(逐级计算!$Q$110*LN(10))*(MAX((LN(10^(逐级计算!$Q$110/10)-1)+逐级计算!$Q$110*(DF59-逐级计算!$P$110)*LN(10)/10),0)+LN(1+EXP(-ABS((LN(10^(逐级计算!$Q$110/10)-1)+逐级计算!$Q$110*(DF59-逐级计算!$P$110)*LN(10)/10))))))),"")</f>
        <v>13.7930365742089</v>
      </c>
      <c r="DH59">
        <f>IF(AND(ISNUMBER(DG59),逐级计算!$X$111&gt;-1),IF(逐级计算!$X$111=0,DG59+逐级计算!$C$111,DG59+逐级计算!$C$111-(10/(逐级计算!$Q$111*LN(10))*(MAX((LN(10^(逐级计算!$Q$111/10)-1)+逐级计算!$Q$111*(DG59-逐级计算!$P$111)*LN(10)/10),0)+LN(1+EXP(-ABS((LN(10^(逐级计算!$Q$111/10)-1)+逐级计算!$Q$111*(DG59-逐级计算!$P$111)*LN(10)/10))))))),"")</f>
        <v>13.7930365742089</v>
      </c>
      <c r="DI59">
        <f>IF(AND(ISNUMBER(DH59),逐级计算!$X$112&gt;-1),IF(逐级计算!$X$112=0,DH59+逐级计算!$C$112,DH59+逐级计算!$C$112-(10/(逐级计算!$Q$112*LN(10))*(MAX((LN(10^(逐级计算!$Q$112/10)-1)+逐级计算!$Q$112*(DH59-逐级计算!$P$112)*LN(10)/10),0)+LN(1+EXP(-ABS((LN(10^(逐级计算!$Q$112/10)-1)+逐级计算!$Q$112*(DH59-逐级计算!$P$112)*LN(10)/10))))))),"")</f>
        <v>13.7930365742089</v>
      </c>
      <c r="DJ59">
        <f>IF(AND(ISNUMBER(DI59),逐级计算!$X$113&gt;-1),IF(逐级计算!$X$113=0,DI59+逐级计算!$C$113,DI59+逐级计算!$C$113-(10/(逐级计算!$Q$113*LN(10))*(MAX((LN(10^(逐级计算!$Q$113/10)-1)+逐级计算!$Q$113*(DI59-逐级计算!$P$113)*LN(10)/10),0)+LN(1+EXP(-ABS((LN(10^(逐级计算!$Q$113/10)-1)+逐级计算!$Q$113*(DI59-逐级计算!$P$113)*LN(10)/10))))))),"")</f>
        <v>13.7930365742089</v>
      </c>
      <c r="DK59">
        <f>IF(AND(ISNUMBER(DJ59),逐级计算!$X$114&gt;-1),IF(逐级计算!$X$114=0,DJ59+逐级计算!$C$114,DJ59+逐级计算!$C$114-(10/(逐级计算!$Q$114*LN(10))*(MAX((LN(10^(逐级计算!$Q$114/10)-1)+逐级计算!$Q$114*(DJ59-逐级计算!$P$114)*LN(10)/10),0)+LN(1+EXP(-ABS((LN(10^(逐级计算!$Q$114/10)-1)+逐级计算!$Q$114*(DJ59-逐级计算!$P$114)*LN(10)/10))))))),"")</f>
        <v>13.7930365742089</v>
      </c>
      <c r="DL59">
        <f>IF(AND(ISNUMBER(DK59),逐级计算!$X$115&gt;-1),IF(逐级计算!$X$115=0,DK59+逐级计算!$C$115,DK59+逐级计算!$C$115-(10/(逐级计算!$Q$115*LN(10))*(MAX((LN(10^(逐级计算!$Q$115/10)-1)+逐级计算!$Q$115*(DK59-逐级计算!$P$115)*LN(10)/10),0)+LN(1+EXP(-ABS((LN(10^(逐级计算!$Q$115/10)-1)+逐级计算!$Q$115*(DK59-逐级计算!$P$115)*LN(10)/10))))))),"")</f>
        <v>13.7930365742089</v>
      </c>
      <c r="DM59">
        <f>IF(AND(ISNUMBER(DL59),逐级计算!$X$116&gt;-1),IF(逐级计算!$X$116=0,DL59+逐级计算!$C$116,DL59+逐级计算!$C$116-(10/(逐级计算!$Q$116*LN(10))*(MAX((LN(10^(逐级计算!$Q$116/10)-1)+逐级计算!$Q$116*(DL59-逐级计算!$P$116)*LN(10)/10),0)+LN(1+EXP(-ABS((LN(10^(逐级计算!$Q$116/10)-1)+逐级计算!$Q$116*(DL59-逐级计算!$P$116)*LN(10)/10))))))),"")</f>
        <v>13.7930365742089</v>
      </c>
      <c r="DN59">
        <f>IF(AND(ISNUMBER(DM59),逐级计算!$X$117&gt;-1),IF(逐级计算!$X$117=0,DM59+逐级计算!$C$117,DM59+逐级计算!$C$117-(10/(逐级计算!$Q$117*LN(10))*(MAX((LN(10^(逐级计算!$Q$117/10)-1)+逐级计算!$Q$117*(DM59-逐级计算!$P$117)*LN(10)/10),0)+LN(1+EXP(-ABS((LN(10^(逐级计算!$Q$117/10)-1)+逐级计算!$Q$117*(DM59-逐级计算!$P$117)*LN(10)/10))))))),"")</f>
        <v>13.7930365742089</v>
      </c>
      <c r="DO59">
        <f>IF(AND(ISNUMBER(DN59),逐级计算!$X$118&gt;-1),IF(逐级计算!$X$118=0,DN59+逐级计算!$C$118,DN59+逐级计算!$C$118-(10/(逐级计算!$Q$118*LN(10))*(MAX((LN(10^(逐级计算!$Q$118/10)-1)+逐级计算!$Q$118*(DN59-逐级计算!$P$118)*LN(10)/10),0)+LN(1+EXP(-ABS((LN(10^(逐级计算!$Q$118/10)-1)+逐级计算!$Q$118*(DN59-逐级计算!$P$118)*LN(10)/10))))))),"")</f>
        <v>13.7930365742089</v>
      </c>
      <c r="DP59">
        <f>IF(AND(ISNUMBER(DO59),逐级计算!$X$119&gt;-1),IF(逐级计算!$X$119=0,DO59+逐级计算!$C$119,DO59+逐级计算!$C$119-(10/(逐级计算!$Q$119*LN(10))*(MAX((LN(10^(逐级计算!$Q$119/10)-1)+逐级计算!$Q$119*(DO59-逐级计算!$P$119)*LN(10)/10),0)+LN(1+EXP(-ABS((LN(10^(逐级计算!$Q$119/10)-1)+逐级计算!$Q$119*(DO59-逐级计算!$P$119)*LN(10)/10))))))),"")</f>
        <v>13.7930365742089</v>
      </c>
      <c r="DQ59">
        <f>IF(AND(ISNUMBER(DP59),逐级计算!$X$120&gt;-1),IF(逐级计算!$X$120=0,DP59+逐级计算!$C$120,DP59+逐级计算!$C$120-(10/(逐级计算!$Q$120*LN(10))*(MAX((LN(10^(逐级计算!$Q$120/10)-1)+逐级计算!$Q$120*(DP59-逐级计算!$P$120)*LN(10)/10),0)+LN(1+EXP(-ABS((LN(10^(逐级计算!$Q$120/10)-1)+逐级计算!$Q$120*(DP59-逐级计算!$P$120)*LN(10)/10))))))),"")</f>
        <v>13.7930365742089</v>
      </c>
      <c r="DR59">
        <f>IF(AND(ISNUMBER(DQ59),逐级计算!$X$121&gt;-1),IF(逐级计算!$X$121=0,DQ59+逐级计算!$C$121,DQ59+逐级计算!$C$121-(10/(逐级计算!$Q$121*LN(10))*(MAX((LN(10^(逐级计算!$Q$121/10)-1)+逐级计算!$Q$121*(DQ59-逐级计算!$P$121)*LN(10)/10),0)+LN(1+EXP(-ABS((LN(10^(逐级计算!$Q$121/10)-1)+逐级计算!$Q$121*(DQ59-逐级计算!$P$121)*LN(10)/10))))))),"")</f>
        <v>13.7930365742089</v>
      </c>
      <c r="DS59">
        <f>IF(AND(ISNUMBER(DR59),逐级计算!$X$122&gt;-1),IF(逐级计算!$X$122=0,DR59+逐级计算!$C$122,DR59+逐级计算!$C$122-(10/(逐级计算!$Q$122*LN(10))*(MAX((LN(10^(逐级计算!$Q$122/10)-1)+逐级计算!$Q$122*(DR59-逐级计算!$P$122)*LN(10)/10),0)+LN(1+EXP(-ABS((LN(10^(逐级计算!$Q$122/10)-1)+逐级计算!$Q$122*(DR59-逐级计算!$P$122)*LN(10)/10))))))),"")</f>
        <v>13.7930365742089</v>
      </c>
      <c r="DT59">
        <f>IF(AND(ISNUMBER(DS59),逐级计算!$X$123&gt;-1),IF(逐级计算!$X$123=0,DS59+逐级计算!$C$123,DS59+逐级计算!$C$123-(10/(逐级计算!$Q$123*LN(10))*(MAX((LN(10^(逐级计算!$Q$123/10)-1)+逐级计算!$Q$123*(DS59-逐级计算!$P$123)*LN(10)/10),0)+LN(1+EXP(-ABS((LN(10^(逐级计算!$Q$123/10)-1)+逐级计算!$Q$123*(DS59-逐级计算!$P$123)*LN(10)/10))))))),"")</f>
        <v>13.7930365742089</v>
      </c>
      <c r="DU59">
        <f>IF(AND(ISNUMBER(DT59),逐级计算!$X$124&gt;-1),IF(逐级计算!$X$124=0,DT59+逐级计算!$C$124,DT59+逐级计算!$C$124-(10/(逐级计算!$Q$124*LN(10))*(MAX((LN(10^(逐级计算!$Q$124/10)-1)+逐级计算!$Q$124*(DT59-逐级计算!$P$124)*LN(10)/10),0)+LN(1+EXP(-ABS((LN(10^(逐级计算!$Q$124/10)-1)+逐级计算!$Q$124*(DT59-逐级计算!$P$124)*LN(10)/10))))))),"")</f>
        <v>13.7930365742089</v>
      </c>
      <c r="DV59">
        <f>IF(AND(ISNUMBER(DU59),逐级计算!$X$125&gt;-1),IF(逐级计算!$X$125=0,DU59+逐级计算!$C$125,DU59+逐级计算!$C$125-(10/(逐级计算!$Q$125*LN(10))*(MAX((LN(10^(逐级计算!$Q$125/10)-1)+逐级计算!$Q$125*(DU59-逐级计算!$P$125)*LN(10)/10),0)+LN(1+EXP(-ABS((LN(10^(逐级计算!$Q$125/10)-1)+逐级计算!$Q$125*(DU59-逐级计算!$P$125)*LN(10)/10))))))),"")</f>
        <v>13.7930365742089</v>
      </c>
      <c r="DW59">
        <f>IF(AND(ISNUMBER(DV59),逐级计算!$X$126&gt;-1),IF(逐级计算!$X$126=0,DV59+逐级计算!$C$126,DV59+逐级计算!$C$126-(10/(逐级计算!$Q$126*LN(10))*(MAX((LN(10^(逐级计算!$Q$126/10)-1)+逐级计算!$Q$126*(DV59-逐级计算!$P$126)*LN(10)/10),0)+LN(1+EXP(-ABS((LN(10^(逐级计算!$Q$126/10)-1)+逐级计算!$Q$126*(DV59-逐级计算!$P$126)*LN(10)/10))))))),"")</f>
        <v>13.7930365742089</v>
      </c>
      <c r="DX59">
        <f>IF(AND(ISNUMBER(DW59),逐级计算!$X$127&gt;-1),IF(逐级计算!$X$127=0,DW59+逐级计算!$C$127,DW59+逐级计算!$C$127-(10/(逐级计算!$Q$127*LN(10))*(MAX((LN(10^(逐级计算!$Q$127/10)-1)+逐级计算!$Q$127*(DW59-逐级计算!$P$127)*LN(10)/10),0)+LN(1+EXP(-ABS((LN(10^(逐级计算!$Q$127/10)-1)+逐级计算!$Q$127*(DW59-逐级计算!$P$127)*LN(10)/10))))))),"")</f>
        <v>13.7930365742089</v>
      </c>
      <c r="DY59">
        <f>IF(AND(ISNUMBER(DX59),逐级计算!$X$128&gt;-1),IF(逐级计算!$X$128=0,DX59+逐级计算!$C$128,DX59+逐级计算!$C$128-(10/(逐级计算!$Q$128*LN(10))*(MAX((LN(10^(逐级计算!$Q$128/10)-1)+逐级计算!$Q$128*(DX59-逐级计算!$P$128)*LN(10)/10),0)+LN(1+EXP(-ABS((LN(10^(逐级计算!$Q$128/10)-1)+逐级计算!$Q$128*(DX59-逐级计算!$P$128)*LN(10)/10))))))),"")</f>
        <v>13.7930365742089</v>
      </c>
      <c r="DZ59">
        <f>IF(AND(ISNUMBER(DY59),逐级计算!$X$129&gt;-1),IF(逐级计算!$X$129=0,DY59+逐级计算!$C$129,DY59+逐级计算!$C$129-(10/(逐级计算!$Q$129*LN(10))*(MAX((LN(10^(逐级计算!$Q$129/10)-1)+逐级计算!$Q$129*(DY59-逐级计算!$P$129)*LN(10)/10),0)+LN(1+EXP(-ABS((LN(10^(逐级计算!$Q$129/10)-1)+逐级计算!$Q$129*(DY59-逐级计算!$P$129)*LN(10)/10))))))),"")</f>
        <v>13.7930365742089</v>
      </c>
      <c r="EA59">
        <f>IF(AND(ISNUMBER(DZ59),逐级计算!$X$130&gt;-1),IF(逐级计算!$X$130=0,DZ59+逐级计算!$C$130,DZ59+逐级计算!$C$130-(10/(逐级计算!$Q$130*LN(10))*(MAX((LN(10^(逐级计算!$Q$130/10)-1)+逐级计算!$Q$130*(DZ59-逐级计算!$P$130)*LN(10)/10),0)+LN(1+EXP(-ABS((LN(10^(逐级计算!$Q$130/10)-1)+逐级计算!$Q$130*(DZ59-逐级计算!$P$130)*LN(10)/10))))))),"")</f>
        <v>13.7930365742089</v>
      </c>
      <c r="EB59">
        <f>IF(AND(ISNUMBER(EA59),逐级计算!$X$131&gt;-1),IF(逐级计算!$X$131=0,EA59+逐级计算!$C$131,EA59+逐级计算!$C$131-(10/(逐级计算!$Q$131*LN(10))*(MAX((LN(10^(逐级计算!$Q$131/10)-1)+逐级计算!$Q$131*(EA59-逐级计算!$P$131)*LN(10)/10),0)+LN(1+EXP(-ABS((LN(10^(逐级计算!$Q$131/10)-1)+逐级计算!$Q$131*(EA59-逐级计算!$P$131)*LN(10)/10))))))),"")</f>
        <v>13.7930365742089</v>
      </c>
      <c r="EC59">
        <f>IF(AND(ISNUMBER(EB59),逐级计算!$X$132&gt;-1),IF(逐级计算!$X$132=0,EB59+逐级计算!$C$132,EB59+逐级计算!$C$132-(10/(逐级计算!$Q$132*LN(10))*(MAX((LN(10^(逐级计算!$Q$132/10)-1)+逐级计算!$Q$132*(EB59-逐级计算!$P$132)*LN(10)/10),0)+LN(1+EXP(-ABS((LN(10^(逐级计算!$Q$132/10)-1)+逐级计算!$Q$132*(EB59-逐级计算!$P$132)*LN(10)/10))))))),"")</f>
        <v>13.7930365742089</v>
      </c>
      <c r="ED59">
        <f>IF(AND(ISNUMBER(EC59),逐级计算!$X$133&gt;-1),IF(逐级计算!$X$133=0,EC59+逐级计算!$C$133,EC59+逐级计算!$C$133-(10/(逐级计算!$Q$133*LN(10))*(MAX((LN(10^(逐级计算!$Q$133/10)-1)+逐级计算!$Q$133*(EC59-逐级计算!$P$133)*LN(10)/10),0)+LN(1+EXP(-ABS((LN(10^(逐级计算!$Q$133/10)-1)+逐级计算!$Q$133*(EC59-逐级计算!$P$133)*LN(10)/10))))))),"")</f>
        <v>13.7930365742089</v>
      </c>
      <c r="EE59">
        <f>IF(AND(ISNUMBER(ED59),逐级计算!$X$134&gt;-1),IF(逐级计算!$X$134=0,ED59+逐级计算!$C$134,ED59+逐级计算!$C$134-(10/(逐级计算!$Q$134*LN(10))*(MAX((LN(10^(逐级计算!$Q$134/10)-1)+逐级计算!$Q$134*(ED59-逐级计算!$P$134)*LN(10)/10),0)+LN(1+EXP(-ABS((LN(10^(逐级计算!$Q$134/10)-1)+逐级计算!$Q$134*(ED59-逐级计算!$P$134)*LN(10)/10))))))),"")</f>
        <v>13.7930365742089</v>
      </c>
      <c r="EF59">
        <f>IF(AND(ISNUMBER(EE59),逐级计算!$X$135&gt;-1),IF(逐级计算!$X$135=0,EE59+逐级计算!$C$135,EE59+逐级计算!$C$135-(10/(逐级计算!$Q$135*LN(10))*(MAX((LN(10^(逐级计算!$Q$135/10)-1)+逐级计算!$Q$135*(EE59-逐级计算!$P$135)*LN(10)/10),0)+LN(1+EXP(-ABS((LN(10^(逐级计算!$Q$135/10)-1)+逐级计算!$Q$135*(EE59-逐级计算!$P$135)*LN(10)/10))))))),"")</f>
        <v>13.7930365742089</v>
      </c>
      <c r="EG59">
        <f>IF(AND(ISNUMBER(EF59),逐级计算!$X$136&gt;-1),IF(逐级计算!$X$136=0,EF59+逐级计算!$C$136,EF59+逐级计算!$C$136-(10/(逐级计算!$Q$136*LN(10))*(MAX((LN(10^(逐级计算!$Q$136/10)-1)+逐级计算!$Q$136*(EF59-逐级计算!$P$136)*LN(10)/10),0)+LN(1+EXP(-ABS((LN(10^(逐级计算!$Q$136/10)-1)+逐级计算!$Q$136*(EF59-逐级计算!$P$136)*LN(10)/10))))))),"")</f>
        <v>13.7930365742089</v>
      </c>
      <c r="EH59">
        <f>IF(AND(ISNUMBER(EG59),逐级计算!$X$137&gt;-1),IF(逐级计算!$X$137=0,EG59+逐级计算!$C$137,EG59+逐级计算!$C$137-(10/(逐级计算!$Q$137*LN(10))*(MAX((LN(10^(逐级计算!$Q$137/10)-1)+逐级计算!$Q$137*(EG59-逐级计算!$P$137)*LN(10)/10),0)+LN(1+EXP(-ABS((LN(10^(逐级计算!$Q$137/10)-1)+逐级计算!$Q$137*(EG59-逐级计算!$P$137)*LN(10)/10))))))),"")</f>
        <v>13.7930365742089</v>
      </c>
      <c r="EI59">
        <f>IF(AND(ISNUMBER(EH59),逐级计算!$X$138&gt;-1),IF(逐级计算!$X$138=0,EH59+逐级计算!$C$138,EH59+逐级计算!$C$138-(10/(逐级计算!$Q$138*LN(10))*(MAX((LN(10^(逐级计算!$Q$138/10)-1)+逐级计算!$Q$138*(EH59-逐级计算!$P$138)*LN(10)/10),0)+LN(1+EXP(-ABS((LN(10^(逐级计算!$Q$138/10)-1)+逐级计算!$Q$138*(EH59-逐级计算!$P$138)*LN(10)/10))))))),"")</f>
        <v>13.7930365742089</v>
      </c>
      <c r="EJ59">
        <f>IF(AND(ISNUMBER(EI59),逐级计算!$X$139&gt;-1),IF(逐级计算!$X$139=0,EI59+逐级计算!$C$139,EI59+逐级计算!$C$139-(10/(逐级计算!$Q$139*LN(10))*(MAX((LN(10^(逐级计算!$Q$139/10)-1)+逐级计算!$Q$139*(EI59-逐级计算!$P$139)*LN(10)/10),0)+LN(1+EXP(-ABS((LN(10^(逐级计算!$Q$139/10)-1)+逐级计算!$Q$139*(EI59-逐级计算!$P$139)*LN(10)/10))))))),"")</f>
        <v>13.7930365742089</v>
      </c>
      <c r="EK59">
        <f>IF(AND(ISNUMBER(EJ59),逐级计算!$X$140&gt;-1),IF(逐级计算!$X$140=0,EJ59+逐级计算!$C$140,EJ59+逐级计算!$C$140-(10/(逐级计算!$Q$140*LN(10))*(MAX((LN(10^(逐级计算!$Q$140/10)-1)+逐级计算!$Q$140*(EJ59-逐级计算!$P$140)*LN(10)/10),0)+LN(1+EXP(-ABS((LN(10^(逐级计算!$Q$140/10)-1)+逐级计算!$Q$140*(EJ59-逐级计算!$P$140)*LN(10)/10))))))),"")</f>
        <v>13.7930365742089</v>
      </c>
      <c r="EL59">
        <f>IF(AND(ISNUMBER(EK59),逐级计算!$X$141&gt;-1),IF(逐级计算!$X$141=0,EK59+逐级计算!$C$141,EK59+逐级计算!$C$141-(10/(逐级计算!$Q$141*LN(10))*(MAX((LN(10^(逐级计算!$Q$141/10)-1)+逐级计算!$Q$141*(EK59-逐级计算!$P$141)*LN(10)/10),0)+LN(1+EXP(-ABS((LN(10^(逐级计算!$Q$141/10)-1)+逐级计算!$Q$141*(EK59-逐级计算!$P$141)*LN(10)/10))))))),"")</f>
        <v>13.7930365742089</v>
      </c>
      <c r="EM59">
        <f>IF(AND(ISNUMBER(EL59),逐级计算!$X$142&gt;-1),IF(逐级计算!$X$142=0,EL59+逐级计算!$C$142,EL59+逐级计算!$C$142-(10/(逐级计算!$Q$142*LN(10))*(MAX((LN(10^(逐级计算!$Q$142/10)-1)+逐级计算!$Q$142*(EL59-逐级计算!$P$142)*LN(10)/10),0)+LN(1+EXP(-ABS((LN(10^(逐级计算!$Q$142/10)-1)+逐级计算!$Q$142*(EL59-逐级计算!$P$142)*LN(10)/10))))))),"")</f>
        <v>13.7930365742089</v>
      </c>
      <c r="EN59">
        <f>IF(AND(ISNUMBER(EM59),逐级计算!$X$143&gt;-1),IF(逐级计算!$X$143=0,EM59+逐级计算!$C$143,EM59+逐级计算!$C$143-(10/(逐级计算!$Q$143*LN(10))*(MAX((LN(10^(逐级计算!$Q$143/10)-1)+逐级计算!$Q$143*(EM59-逐级计算!$P$143)*LN(10)/10),0)+LN(1+EXP(-ABS((LN(10^(逐级计算!$Q$143/10)-1)+逐级计算!$Q$143*(EM59-逐级计算!$P$143)*LN(10)/10))))))),"")</f>
        <v>13.7930365742089</v>
      </c>
      <c r="EO59">
        <f>IF(AND(ISNUMBER(EN59),逐级计算!$X$144&gt;-1),IF(逐级计算!$X$144=0,EN59+逐级计算!$C$144,EN59+逐级计算!$C$144-(10/(逐级计算!$Q$144*LN(10))*(MAX((LN(10^(逐级计算!$Q$144/10)-1)+逐级计算!$Q$144*(EN59-逐级计算!$P$144)*LN(10)/10),0)+LN(1+EXP(-ABS((LN(10^(逐级计算!$Q$144/10)-1)+逐级计算!$Q$144*(EN59-逐级计算!$P$144)*LN(10)/10))))))),"")</f>
        <v>13.7930365742089</v>
      </c>
      <c r="EP59">
        <f>IF(AND(ISNUMBER(EO59),逐级计算!$X$145&gt;-1),IF(逐级计算!$X$145=0,EO59+逐级计算!$C$145,EO59+逐级计算!$C$145-(10/(逐级计算!$Q$145*LN(10))*(MAX((LN(10^(逐级计算!$Q$145/10)-1)+逐级计算!$Q$145*(EO59-逐级计算!$P$145)*LN(10)/10),0)+LN(1+EXP(-ABS((LN(10^(逐级计算!$Q$145/10)-1)+逐级计算!$Q$145*(EO59-逐级计算!$P$145)*LN(10)/10))))))),"")</f>
        <v>13.7930365742089</v>
      </c>
      <c r="EQ59">
        <f>IF(AND(ISNUMBER(EP59),逐级计算!$X$146&gt;-1),IF(逐级计算!$X$146=0,EP59+逐级计算!$C$146,EP59+逐级计算!$C$146-(10/(逐级计算!$Q$146*LN(10))*(MAX((LN(10^(逐级计算!$Q$146/10)-1)+逐级计算!$Q$146*(EP59-逐级计算!$P$146)*LN(10)/10),0)+LN(1+EXP(-ABS((LN(10^(逐级计算!$Q$146/10)-1)+逐级计算!$Q$146*(EP59-逐级计算!$P$146)*LN(10)/10))))))),"")</f>
        <v>13.7930365742089</v>
      </c>
      <c r="ER59">
        <f>IF(AND(ISNUMBER(EQ59),逐级计算!$X$147&gt;-1),IF(逐级计算!$X$147=0,EQ59+逐级计算!$C$147,EQ59+逐级计算!$C$147-(10/(逐级计算!$Q$147*LN(10))*(MAX((LN(10^(逐级计算!$Q$147/10)-1)+逐级计算!$Q$147*(EQ59-逐级计算!$P$147)*LN(10)/10),0)+LN(1+EXP(-ABS((LN(10^(逐级计算!$Q$147/10)-1)+逐级计算!$Q$147*(EQ59-逐级计算!$P$147)*LN(10)/10))))))),"")</f>
        <v>13.7930365742089</v>
      </c>
      <c r="ES59">
        <f>IF(AND(ISNUMBER(ER59),逐级计算!$X$148&gt;-1),IF(逐级计算!$X$148=0,ER59+逐级计算!$C$148,ER59+逐级计算!$C$148-(10/(逐级计算!$Q$148*LN(10))*(MAX((LN(10^(逐级计算!$Q$148/10)-1)+逐级计算!$Q$148*(ER59-逐级计算!$P$148)*LN(10)/10),0)+LN(1+EXP(-ABS((LN(10^(逐级计算!$Q$148/10)-1)+逐级计算!$Q$148*(ER59-逐级计算!$P$148)*LN(10)/10))))))),"")</f>
        <v>13.7930365742089</v>
      </c>
      <c r="ET59">
        <f>IF(AND(ISNUMBER(ES59),逐级计算!$X$149&gt;-1),IF(逐级计算!$X$149=0,ES59+逐级计算!$C$149,ES59+逐级计算!$C$149-(10/(逐级计算!$Q$149*LN(10))*(MAX((LN(10^(逐级计算!$Q$149/10)-1)+逐级计算!$Q$149*(ES59-逐级计算!$P$149)*LN(10)/10),0)+LN(1+EXP(-ABS((LN(10^(逐级计算!$Q$149/10)-1)+逐级计算!$Q$149*(ES59-逐级计算!$P$149)*LN(10)/10))))))),"")</f>
        <v>13.7930365742089</v>
      </c>
      <c r="EU59">
        <f>IF(AND(ISNUMBER(ET59),逐级计算!$X$150&gt;-1),IF(逐级计算!$X$150=0,ET59+逐级计算!$C$150,ET59+逐级计算!$C$150-(10/(逐级计算!$Q$150*LN(10))*(MAX((LN(10^(逐级计算!$Q$150/10)-1)+逐级计算!$Q$150*(ET59-逐级计算!$P$150)*LN(10)/10),0)+LN(1+EXP(-ABS((LN(10^(逐级计算!$Q$150/10)-1)+逐级计算!$Q$150*(ET59-逐级计算!$P$150)*LN(10)/10))))))),"")</f>
        <v>13.7930365742089</v>
      </c>
      <c r="EV59">
        <f>IF(AND(ISNUMBER(EU59),逐级计算!$X$151&gt;-1),IF(逐级计算!$X$151=0,EU59+逐级计算!$C$151,EU59+逐级计算!$C$151-(10/(逐级计算!$Q$151*LN(10))*(MAX((LN(10^(逐级计算!$Q$151/10)-1)+逐级计算!$Q$151*(EU59-逐级计算!$P$151)*LN(10)/10),0)+LN(1+EXP(-ABS((LN(10^(逐级计算!$Q$151/10)-1)+逐级计算!$Q$151*(EU59-逐级计算!$P$151)*LN(10)/10))))))),"")</f>
        <v>13.7930365742089</v>
      </c>
      <c r="EW59">
        <f>IF(AND(ISNUMBER(EV59),逐级计算!$X$152&gt;-1),IF(逐级计算!$X$152=0,EV59+逐级计算!$C$152,EV59+逐级计算!$C$152-(10/(逐级计算!$Q$152*LN(10))*(MAX((LN(10^(逐级计算!$Q$152/10)-1)+逐级计算!$Q$152*(EV59-逐级计算!$P$152)*LN(10)/10),0)+LN(1+EXP(-ABS((LN(10^(逐级计算!$Q$152/10)-1)+逐级计算!$Q$152*(EV59-逐级计算!$P$152)*LN(10)/10))))))),"")</f>
        <v>13.7930365742089</v>
      </c>
      <c r="EX59">
        <f>IF(AND(ISNUMBER(EW59),逐级计算!$X$153&gt;-1),IF(逐级计算!$X$153=0,EW59+逐级计算!$C$153,EW59+逐级计算!$C$153-(10/(逐级计算!$Q$153*LN(10))*(MAX((LN(10^(逐级计算!$Q$153/10)-1)+逐级计算!$Q$153*(EW59-逐级计算!$P$153)*LN(10)/10),0)+LN(1+EXP(-ABS((LN(10^(逐级计算!$Q$153/10)-1)+逐级计算!$Q$153*(EW59-逐级计算!$P$153)*LN(10)/10))))))),"")</f>
        <v>13.7930365742089</v>
      </c>
      <c r="EY59">
        <f>IF(AND(ISNUMBER(EX59),逐级计算!$X$154&gt;-1),IF(逐级计算!$X$154=0,EX59+逐级计算!$C$154,EX59+逐级计算!$C$154-(10/(逐级计算!$Q$154*LN(10))*(MAX((LN(10^(逐级计算!$Q$154/10)-1)+逐级计算!$Q$154*(EX59-逐级计算!$P$154)*LN(10)/10),0)+LN(1+EXP(-ABS((LN(10^(逐级计算!$Q$154/10)-1)+逐级计算!$Q$154*(EX59-逐级计算!$P$154)*LN(10)/10))))))),"")</f>
        <v>13.7930365742089</v>
      </c>
      <c r="EZ59">
        <f>IF(AND(ISNUMBER(EY59),逐级计算!$X$155&gt;-1),IF(逐级计算!$X$155=0,EY59+逐级计算!$C$155,EY59+逐级计算!$C$155-(10/(逐级计算!$Q$155*LN(10))*(MAX((LN(10^(逐级计算!$Q$155/10)-1)+逐级计算!$Q$155*(EY59-逐级计算!$P$155)*LN(10)/10),0)+LN(1+EXP(-ABS((LN(10^(逐级计算!$Q$155/10)-1)+逐级计算!$Q$155*(EY59-逐级计算!$P$155)*LN(10)/10))))))),"")</f>
        <v>13.7930365742089</v>
      </c>
      <c r="FA59">
        <f>IF(AND(ISNUMBER(EZ59),逐级计算!$X$156&gt;-1),IF(逐级计算!$X$156=0,EZ59+逐级计算!$C$156,EZ59+逐级计算!$C$156-(10/(逐级计算!$Q$156*LN(10))*(MAX((LN(10^(逐级计算!$Q$156/10)-1)+逐级计算!$Q$156*(EZ59-逐级计算!$P$156)*LN(10)/10),0)+LN(1+EXP(-ABS((LN(10^(逐级计算!$Q$156/10)-1)+逐级计算!$Q$156*(EZ59-逐级计算!$P$156)*LN(10)/10))))))),"")</f>
        <v>13.7930365742089</v>
      </c>
      <c r="FB59">
        <f>IF(AND(ISNUMBER(FA59),逐级计算!$X$157&gt;-1),IF(逐级计算!$X$157=0,FA59+逐级计算!$C$157,FA59+逐级计算!$C$157-(10/(逐级计算!$Q$157*LN(10))*(MAX((LN(10^(逐级计算!$Q$157/10)-1)+逐级计算!$Q$157*(FA59-逐级计算!$P$157)*LN(10)/10),0)+LN(1+EXP(-ABS((LN(10^(逐级计算!$Q$157/10)-1)+逐级计算!$Q$157*(FA59-逐级计算!$P$157)*LN(10)/10))))))),"")</f>
        <v>13.7930365742089</v>
      </c>
      <c r="FC59">
        <f>IF(AND(ISNUMBER(FB59),逐级计算!$X$158&gt;-1),IF(逐级计算!$X$158=0,FB59+逐级计算!$C$158,FB59+逐级计算!$C$158-(10/(逐级计算!$Q$158*LN(10))*(MAX((LN(10^(逐级计算!$Q$158/10)-1)+逐级计算!$Q$158*(FB59-逐级计算!$P$158)*LN(10)/10),0)+LN(1+EXP(-ABS((LN(10^(逐级计算!$Q$158/10)-1)+逐级计算!$Q$158*(FB59-逐级计算!$P$158)*LN(10)/10))))))),"")</f>
        <v>13.7930365742089</v>
      </c>
      <c r="FD59">
        <f>IF(AND(ISNUMBER(FC59),逐级计算!$X$159&gt;-1),IF(逐级计算!$X$159=0,FC59+逐级计算!$C$159,FC59+逐级计算!$C$159-(10/(逐级计算!$Q$159*LN(10))*(MAX((LN(10^(逐级计算!$Q$159/10)-1)+逐级计算!$Q$159*(FC59-逐级计算!$P$159)*LN(10)/10),0)+LN(1+EXP(-ABS((LN(10^(逐级计算!$Q$159/10)-1)+逐级计算!$Q$159*(FC59-逐级计算!$P$159)*LN(10)/10))))))),"")</f>
        <v>13.7930365742089</v>
      </c>
      <c r="FE59">
        <f>IF(AND(ISNUMBER(FD59),逐级计算!$X$160&gt;-1),IF(逐级计算!$X$160=0,FD59+逐级计算!$C$160,FD59+逐级计算!$C$160-(10/(逐级计算!$Q$160*LN(10))*(MAX((LN(10^(逐级计算!$Q$160/10)-1)+逐级计算!$Q$160*(FD59-逐级计算!$P$160)*LN(10)/10),0)+LN(1+EXP(-ABS((LN(10^(逐级计算!$Q$160/10)-1)+逐级计算!$Q$160*(FD59-逐级计算!$P$160)*LN(10)/10))))))),"")</f>
        <v>13.7930365742089</v>
      </c>
      <c r="FF59">
        <f>IF(AND(ISNUMBER(FE59),逐级计算!$X$161&gt;-1),IF(逐级计算!$X$161=0,FE59+逐级计算!$C$161,FE59+逐级计算!$C$161-(10/(逐级计算!$Q$161*LN(10))*(MAX((LN(10^(逐级计算!$Q$161/10)-1)+逐级计算!$Q$161*(FE59-逐级计算!$P$161)*LN(10)/10),0)+LN(1+EXP(-ABS((LN(10^(逐级计算!$Q$161/10)-1)+逐级计算!$Q$161*(FE59-逐级计算!$P$161)*LN(10)/10))))))),"")</f>
        <v>13.7930365742089</v>
      </c>
      <c r="FG59">
        <f>IF(AND(ISNUMBER(FF59),逐级计算!$X$162&gt;-1),IF(逐级计算!$X$162=0,FF59+逐级计算!$C$162,FF59+逐级计算!$C$162-(10/(逐级计算!$Q$162*LN(10))*(MAX((LN(10^(逐级计算!$Q$162/10)-1)+逐级计算!$Q$162*(FF59-逐级计算!$P$162)*LN(10)/10),0)+LN(1+EXP(-ABS((LN(10^(逐级计算!$Q$162/10)-1)+逐级计算!$Q$162*(FF59-逐级计算!$P$162)*LN(10)/10))))))),"")</f>
        <v>13.7930365742089</v>
      </c>
      <c r="FH59">
        <f>IF(AND(ISNUMBER(FG59),逐级计算!$X$163&gt;-1),IF(逐级计算!$X$163=0,FG59+逐级计算!$C$163,FG59+逐级计算!$C$163-(10/(逐级计算!$Q$163*LN(10))*(MAX((LN(10^(逐级计算!$Q$163/10)-1)+逐级计算!$Q$163*(FG59-逐级计算!$P$163)*LN(10)/10),0)+LN(1+EXP(-ABS((LN(10^(逐级计算!$Q$163/10)-1)+逐级计算!$Q$163*(FG59-逐级计算!$P$163)*LN(10)/10))))))),"")</f>
        <v>13.7930365742089</v>
      </c>
      <c r="FI59">
        <f>IF(AND(ISNUMBER(FH59),逐级计算!$X$164&gt;-1),IF(逐级计算!$X$164=0,FH59+逐级计算!$C$164,FH59+逐级计算!$C$164-(10/(逐级计算!$Q$164*LN(10))*(MAX((LN(10^(逐级计算!$Q$164/10)-1)+逐级计算!$Q$164*(FH59-逐级计算!$P$164)*LN(10)/10),0)+LN(1+EXP(-ABS((LN(10^(逐级计算!$Q$164/10)-1)+逐级计算!$Q$164*(FH59-逐级计算!$P$164)*LN(10)/10))))))),"")</f>
        <v>13.7930365742089</v>
      </c>
      <c r="FJ59">
        <f>IF(AND(ISNUMBER(FI59),逐级计算!$X$165&gt;-1),IF(逐级计算!$X$165=0,FI59+逐级计算!$C$165,FI59+逐级计算!$C$165-(10/(逐级计算!$Q$165*LN(10))*(MAX((LN(10^(逐级计算!$Q$165/10)-1)+逐级计算!$Q$165*(FI59-逐级计算!$P$165)*LN(10)/10),0)+LN(1+EXP(-ABS((LN(10^(逐级计算!$Q$165/10)-1)+逐级计算!$Q$165*(FI59-逐级计算!$P$165)*LN(10)/10))))))),"")</f>
        <v>13.7930365742089</v>
      </c>
      <c r="FK59">
        <f>IF(AND(ISNUMBER(FJ59),逐级计算!$X$166&gt;-1),IF(逐级计算!$X$166=0,FJ59+逐级计算!$C$166,FJ59+逐级计算!$C$166-(10/(逐级计算!$Q$166*LN(10))*(MAX((LN(10^(逐级计算!$Q$166/10)-1)+逐级计算!$Q$166*(FJ59-逐级计算!$P$166)*LN(10)/10),0)+LN(1+EXP(-ABS((LN(10^(逐级计算!$Q$166/10)-1)+逐级计算!$Q$166*(FJ59-逐级计算!$P$166)*LN(10)/10))))))),"")</f>
        <v>13.7930365742089</v>
      </c>
      <c r="FL59">
        <f>IF(AND(ISNUMBER(FK59),逐级计算!$X$167&gt;-1),IF(逐级计算!$X$167=0,FK59+逐级计算!$C$167,FK59+逐级计算!$C$167-(10/(逐级计算!$Q$167*LN(10))*(MAX((LN(10^(逐级计算!$Q$167/10)-1)+逐级计算!$Q$167*(FK59-逐级计算!$P$167)*LN(10)/10),0)+LN(1+EXP(-ABS((LN(10^(逐级计算!$Q$167/10)-1)+逐级计算!$Q$167*(FK59-逐级计算!$P$167)*LN(10)/10))))))),"")</f>
        <v>13.7930365742089</v>
      </c>
      <c r="FM59">
        <f>IF(AND(ISNUMBER(FL59),逐级计算!$X$168&gt;-1),IF(逐级计算!$X$168=0,FL59+逐级计算!$C$168,FL59+逐级计算!$C$168-(10/(逐级计算!$Q$168*LN(10))*(MAX((LN(10^(逐级计算!$Q$168/10)-1)+逐级计算!$Q$168*(FL59-逐级计算!$P$168)*LN(10)/10),0)+LN(1+EXP(-ABS((LN(10^(逐级计算!$Q$168/10)-1)+逐级计算!$Q$168*(FL59-逐级计算!$P$168)*LN(10)/10))))))),"")</f>
        <v>13.7930365742089</v>
      </c>
      <c r="FN59">
        <f>IF(AND(ISNUMBER(FM59),逐级计算!$X$169&gt;-1),IF(逐级计算!$X$169=0,FM59+逐级计算!$C$169,FM59+逐级计算!$C$169-(10/(逐级计算!$Q$169*LN(10))*(MAX((LN(10^(逐级计算!$Q$169/10)-1)+逐级计算!$Q$169*(FM59-逐级计算!$P$169)*LN(10)/10),0)+LN(1+EXP(-ABS((LN(10^(逐级计算!$Q$169/10)-1)+逐级计算!$Q$169*(FM59-逐级计算!$P$169)*LN(10)/10))))))),"")</f>
        <v>13.7930365742089</v>
      </c>
      <c r="FO59">
        <f>IF(AND(ISNUMBER(FN59),逐级计算!$X$170&gt;-1),IF(逐级计算!$X$170=0,FN59+逐级计算!$C$170,FN59+逐级计算!$C$170-(10/(逐级计算!$Q$170*LN(10))*(MAX((LN(10^(逐级计算!$Q$170/10)-1)+逐级计算!$Q$170*(FN59-逐级计算!$P$170)*LN(10)/10),0)+LN(1+EXP(-ABS((LN(10^(逐级计算!$Q$170/10)-1)+逐级计算!$Q$170*(FN59-逐级计算!$P$170)*LN(10)/10))))))),"")</f>
        <v>13.7930365742089</v>
      </c>
      <c r="FP59">
        <f>IF(AND(ISNUMBER(FO59),逐级计算!$X$171&gt;-1),IF(逐级计算!$X$171=0,FO59+逐级计算!$C$171,FO59+逐级计算!$C$171-(10/(逐级计算!$Q$171*LN(10))*(MAX((LN(10^(逐级计算!$Q$171/10)-1)+逐级计算!$Q$171*(FO59-逐级计算!$P$171)*LN(10)/10),0)+LN(1+EXP(-ABS((LN(10^(逐级计算!$Q$171/10)-1)+逐级计算!$Q$171*(FO59-逐级计算!$P$171)*LN(10)/10))))))),"")</f>
        <v>13.7930365742089</v>
      </c>
      <c r="FQ59">
        <f>IF(AND(ISNUMBER(FP59),逐级计算!$X$172&gt;-1),IF(逐级计算!$X$172=0,FP59+逐级计算!$C$172,FP59+逐级计算!$C$172-(10/(逐级计算!$Q$172*LN(10))*(MAX((LN(10^(逐级计算!$Q$172/10)-1)+逐级计算!$Q$172*(FP59-逐级计算!$P$172)*LN(10)/10),0)+LN(1+EXP(-ABS((LN(10^(逐级计算!$Q$172/10)-1)+逐级计算!$Q$172*(FP59-逐级计算!$P$172)*LN(10)/10))))))),"")</f>
        <v>13.7930365742089</v>
      </c>
      <c r="FR59">
        <f>IF(AND(ISNUMBER(FQ59),逐级计算!$X$173&gt;-1),IF(逐级计算!$X$173=0,FQ59+逐级计算!$C$173,FQ59+逐级计算!$C$173-(10/(逐级计算!$Q$173*LN(10))*(MAX((LN(10^(逐级计算!$Q$173/10)-1)+逐级计算!$Q$173*(FQ59-逐级计算!$P$173)*LN(10)/10),0)+LN(1+EXP(-ABS((LN(10^(逐级计算!$Q$173/10)-1)+逐级计算!$Q$173*(FQ59-逐级计算!$P$173)*LN(10)/10))))))),"")</f>
        <v>13.7930365742089</v>
      </c>
      <c r="FS59">
        <f>IF(AND(ISNUMBER(FR59),逐级计算!$X$174&gt;-1),IF(逐级计算!$X$174=0,FR59+逐级计算!$C$174,FR59+逐级计算!$C$174-(10/(逐级计算!$Q$174*LN(10))*(MAX((LN(10^(逐级计算!$Q$174/10)-1)+逐级计算!$Q$174*(FR59-逐级计算!$P$174)*LN(10)/10),0)+LN(1+EXP(-ABS((LN(10^(逐级计算!$Q$174/10)-1)+逐级计算!$Q$174*(FR59-逐级计算!$P$174)*LN(10)/10))))))),"")</f>
        <v>13.7930365742089</v>
      </c>
      <c r="FT59">
        <f>IF(AND(ISNUMBER(FS59),逐级计算!$X$175&gt;-1),IF(逐级计算!$X$175=0,FS59+逐级计算!$C$175,FS59+逐级计算!$C$175-(10/(逐级计算!$Q$175*LN(10))*(MAX((LN(10^(逐级计算!$Q$175/10)-1)+逐级计算!$Q$175*(FS59-逐级计算!$P$175)*LN(10)/10),0)+LN(1+EXP(-ABS((LN(10^(逐级计算!$Q$175/10)-1)+逐级计算!$Q$175*(FS59-逐级计算!$P$175)*LN(10)/10))))))),"")</f>
        <v>13.7930365742089</v>
      </c>
      <c r="FU59">
        <f>IF(AND(ISNUMBER(FT59),逐级计算!$X$176&gt;-1),IF(逐级计算!$X$176=0,FT59+逐级计算!$C$176,FT59+逐级计算!$C$176-(10/(逐级计算!$Q$176*LN(10))*(MAX((LN(10^(逐级计算!$Q$176/10)-1)+逐级计算!$Q$176*(FT59-逐级计算!$P$176)*LN(10)/10),0)+LN(1+EXP(-ABS((LN(10^(逐级计算!$Q$176/10)-1)+逐级计算!$Q$176*(FT59-逐级计算!$P$176)*LN(10)/10))))))),"")</f>
        <v>13.7930365742089</v>
      </c>
      <c r="FV59">
        <f>IF(AND(ISNUMBER(FU59),逐级计算!$X$177&gt;-1),IF(逐级计算!$X$177=0,FU59+逐级计算!$C$177,FU59+逐级计算!$C$177-(10/(逐级计算!$Q$177*LN(10))*(MAX((LN(10^(逐级计算!$Q$177/10)-1)+逐级计算!$Q$177*(FU59-逐级计算!$P$177)*LN(10)/10),0)+LN(1+EXP(-ABS((LN(10^(逐级计算!$Q$177/10)-1)+逐级计算!$Q$177*(FU59-逐级计算!$P$177)*LN(10)/10))))))),"")</f>
        <v>13.7930365742089</v>
      </c>
      <c r="FW59">
        <f>IF(AND(ISNUMBER(FV59),逐级计算!$X$178&gt;-1),IF(逐级计算!$X$178=0,FV59+逐级计算!$C$178,FV59+逐级计算!$C$178-(10/(逐级计算!$Q$178*LN(10))*(MAX((LN(10^(逐级计算!$Q$178/10)-1)+逐级计算!$Q$178*(FV59-逐级计算!$P$178)*LN(10)/10),0)+LN(1+EXP(-ABS((LN(10^(逐级计算!$Q$178/10)-1)+逐级计算!$Q$178*(FV59-逐级计算!$P$178)*LN(10)/10))))))),"")</f>
        <v>13.7930365742089</v>
      </c>
      <c r="FX59">
        <f>IF(AND(ISNUMBER(FW59),逐级计算!$X$179&gt;-1),IF(逐级计算!$X$179=0,FW59+逐级计算!$C$179,FW59+逐级计算!$C$179-(10/(逐级计算!$Q$179*LN(10))*(MAX((LN(10^(逐级计算!$Q$179/10)-1)+逐级计算!$Q$179*(FW59-逐级计算!$P$179)*LN(10)/10),0)+LN(1+EXP(-ABS((LN(10^(逐级计算!$Q$179/10)-1)+逐级计算!$Q$179*(FW59-逐级计算!$P$179)*LN(10)/10))))))),"")</f>
        <v>13.7930365742089</v>
      </c>
      <c r="FY59">
        <f>IF(AND(ISNUMBER(FX59),逐级计算!$X$180&gt;-1),IF(逐级计算!$X$180=0,FX59+逐级计算!$C$180,FX59+逐级计算!$C$180-(10/(逐级计算!$Q$180*LN(10))*(MAX((LN(10^(逐级计算!$Q$180/10)-1)+逐级计算!$Q$180*(FX59-逐级计算!$P$180)*LN(10)/10),0)+LN(1+EXP(-ABS((LN(10^(逐级计算!$Q$180/10)-1)+逐级计算!$Q$180*(FX59-逐级计算!$P$180)*LN(10)/10))))))),"")</f>
        <v>13.7930365742089</v>
      </c>
      <c r="FZ59">
        <f>IF(AND(ISNUMBER(FY59),逐级计算!$X$181&gt;-1),IF(逐级计算!$X$181=0,FY59+逐级计算!$C$181,FY59+逐级计算!$C$181-(10/(逐级计算!$Q$181*LN(10))*(MAX((LN(10^(逐级计算!$Q$181/10)-1)+逐级计算!$Q$181*(FY59-逐级计算!$P$181)*LN(10)/10),0)+LN(1+EXP(-ABS((LN(10^(逐级计算!$Q$181/10)-1)+逐级计算!$Q$181*(FY59-逐级计算!$P$181)*LN(10)/10))))))),"")</f>
        <v>13.7930365742089</v>
      </c>
      <c r="GA59">
        <f>IF(AND(ISNUMBER(FZ59),逐级计算!$X$182&gt;-1),IF(逐级计算!$X$182=0,FZ59+逐级计算!$C$182,FZ59+逐级计算!$C$182-(10/(逐级计算!$Q$182*LN(10))*(MAX((LN(10^(逐级计算!$Q$182/10)-1)+逐级计算!$Q$182*(FZ59-逐级计算!$P$182)*LN(10)/10),0)+LN(1+EXP(-ABS((LN(10^(逐级计算!$Q$182/10)-1)+逐级计算!$Q$182*(FZ59-逐级计算!$P$182)*LN(10)/10))))))),"")</f>
        <v>13.7930365742089</v>
      </c>
      <c r="GB59">
        <f>IF(AND(ISNUMBER(GA59),逐级计算!$X$183&gt;-1),IF(逐级计算!$X$183=0,GA59+逐级计算!$C$183,GA59+逐级计算!$C$183-(10/(逐级计算!$Q$183*LN(10))*(MAX((LN(10^(逐级计算!$Q$183/10)-1)+逐级计算!$Q$183*(GA59-逐级计算!$P$183)*LN(10)/10),0)+LN(1+EXP(-ABS((LN(10^(逐级计算!$Q$183/10)-1)+逐级计算!$Q$183*(GA59-逐级计算!$P$183)*LN(10)/10))))))),"")</f>
        <v>13.7930365742089</v>
      </c>
      <c r="GC59">
        <f>IF(AND(ISNUMBER(GB59),逐级计算!$X$184&gt;-1),IF(逐级计算!$X$184=0,GB59+逐级计算!$C$184,GB59+逐级计算!$C$184-(10/(逐级计算!$Q$184*LN(10))*(MAX((LN(10^(逐级计算!$Q$184/10)-1)+逐级计算!$Q$184*(GB59-逐级计算!$P$184)*LN(10)/10),0)+LN(1+EXP(-ABS((LN(10^(逐级计算!$Q$184/10)-1)+逐级计算!$Q$184*(GB59-逐级计算!$P$184)*LN(10)/10))))))),"")</f>
        <v>13.7930365742089</v>
      </c>
      <c r="GD59">
        <f>IF(AND(ISNUMBER(GC59),逐级计算!$X$185&gt;-1),IF(逐级计算!$X$185=0,GC59+逐级计算!$C$185,GC59+逐级计算!$C$185-(10/(逐级计算!$Q$185*LN(10))*(MAX((LN(10^(逐级计算!$Q$185/10)-1)+逐级计算!$Q$185*(GC59-逐级计算!$P$185)*LN(10)/10),0)+LN(1+EXP(-ABS((LN(10^(逐级计算!$Q$185/10)-1)+逐级计算!$Q$185*(GC59-逐级计算!$P$185)*LN(10)/10))))))),"")</f>
        <v>13.7930365742089</v>
      </c>
      <c r="GE59">
        <f>IF(AND(ISNUMBER(GD59),逐级计算!$X$186&gt;-1),IF(逐级计算!$X$186=0,GD59+逐级计算!$C$186,GD59+逐级计算!$C$186-(10/(逐级计算!$Q$186*LN(10))*(MAX((LN(10^(逐级计算!$Q$186/10)-1)+逐级计算!$Q$186*(GD59-逐级计算!$P$186)*LN(10)/10),0)+LN(1+EXP(-ABS((LN(10^(逐级计算!$Q$186/10)-1)+逐级计算!$Q$186*(GD59-逐级计算!$P$186)*LN(10)/10))))))),"")</f>
        <v>13.7930365742089</v>
      </c>
      <c r="GF59">
        <f>IF(AND(ISNUMBER(GE59),逐级计算!$X$187&gt;-1),IF(逐级计算!$X$187=0,GE59+逐级计算!$C$187,GE59+逐级计算!$C$187-(10/(逐级计算!$Q$187*LN(10))*(MAX((LN(10^(逐级计算!$Q$187/10)-1)+逐级计算!$Q$187*(GE59-逐级计算!$P$187)*LN(10)/10),0)+LN(1+EXP(-ABS((LN(10^(逐级计算!$Q$187/10)-1)+逐级计算!$Q$187*(GE59-逐级计算!$P$187)*LN(10)/10))))))),"")</f>
        <v>13.7930365742089</v>
      </c>
      <c r="GG59">
        <f>IF(AND(ISNUMBER(GF59),逐级计算!$X$188&gt;-1),IF(逐级计算!$X$188=0,GF59+逐级计算!$C$188,GF59+逐级计算!$C$188-(10/(逐级计算!$Q$188*LN(10))*(MAX((LN(10^(逐级计算!$Q$188/10)-1)+逐级计算!$Q$188*(GF59-逐级计算!$P$188)*LN(10)/10),0)+LN(1+EXP(-ABS((LN(10^(逐级计算!$Q$188/10)-1)+逐级计算!$Q$188*(GF59-逐级计算!$P$188)*LN(10)/10))))))),"")</f>
        <v>13.7930365742089</v>
      </c>
      <c r="GH59">
        <f>IF(AND(ISNUMBER(GG59),逐级计算!$X$189&gt;-1),IF(逐级计算!$X$189=0,GG59+逐级计算!$C$189,GG59+逐级计算!$C$189-(10/(逐级计算!$Q$189*LN(10))*(MAX((LN(10^(逐级计算!$Q$189/10)-1)+逐级计算!$Q$189*(GG59-逐级计算!$P$189)*LN(10)/10),0)+LN(1+EXP(-ABS((LN(10^(逐级计算!$Q$189/10)-1)+逐级计算!$Q$189*(GG59-逐级计算!$P$189)*LN(10)/10))))))),"")</f>
        <v>13.7930365742089</v>
      </c>
      <c r="GI59">
        <f>IF(AND(ISNUMBER(GH59),逐级计算!$X$190&gt;-1),IF(逐级计算!$X$190=0,GH59+逐级计算!$C$190,GH59+逐级计算!$C$190-(10/(逐级计算!$Q$190*LN(10))*(MAX((LN(10^(逐级计算!$Q$190/10)-1)+逐级计算!$Q$190*(GH59-逐级计算!$P$190)*LN(10)/10),0)+LN(1+EXP(-ABS((LN(10^(逐级计算!$Q$190/10)-1)+逐级计算!$Q$190*(GH59-逐级计算!$P$190)*LN(10)/10))))))),"")</f>
        <v>13.7930365742089</v>
      </c>
      <c r="GJ59">
        <f>IF(AND(ISNUMBER(GI59),逐级计算!$X$191&gt;-1),IF(逐级计算!$X$191=0,GI59+逐级计算!$C$191,GI59+逐级计算!$C$191-(10/(逐级计算!$Q$191*LN(10))*(MAX((LN(10^(逐级计算!$Q$191/10)-1)+逐级计算!$Q$191*(GI59-逐级计算!$P$191)*LN(10)/10),0)+LN(1+EXP(-ABS((LN(10^(逐级计算!$Q$191/10)-1)+逐级计算!$Q$191*(GI59-逐级计算!$P$191)*LN(10)/10))))))),"")</f>
        <v>13.7930365742089</v>
      </c>
      <c r="GK59">
        <f>IF(AND(ISNUMBER(GJ59),逐级计算!$X$192&gt;-1),IF(逐级计算!$X$192=0,GJ59+逐级计算!$C$192,GJ59+逐级计算!$C$192-(10/(逐级计算!$Q$192*LN(10))*(MAX((LN(10^(逐级计算!$Q$192/10)-1)+逐级计算!$Q$192*(GJ59-逐级计算!$P$192)*LN(10)/10),0)+LN(1+EXP(-ABS((LN(10^(逐级计算!$Q$192/10)-1)+逐级计算!$Q$192*(GJ59-逐级计算!$P$192)*LN(10)/10))))))),"")</f>
        <v>13.7930365742089</v>
      </c>
      <c r="GL59">
        <f>IF(AND(ISNUMBER(GK59),逐级计算!$X$193&gt;-1),IF(逐级计算!$X$193=0,GK59+逐级计算!$C$193,GK59+逐级计算!$C$193-(10/(逐级计算!$Q$193*LN(10))*(MAX((LN(10^(逐级计算!$Q$193/10)-1)+逐级计算!$Q$193*(GK59-逐级计算!$P$193)*LN(10)/10),0)+LN(1+EXP(-ABS((LN(10^(逐级计算!$Q$193/10)-1)+逐级计算!$Q$193*(GK59-逐级计算!$P$193)*LN(10)/10))))))),"")</f>
        <v>13.7930365742089</v>
      </c>
      <c r="GM59">
        <f>IF(AND(ISNUMBER(GL59),逐级计算!$X$194&gt;-1),IF(逐级计算!$X$194=0,GL59+逐级计算!$C$194,GL59+逐级计算!$C$194-(10/(逐级计算!$Q$194*LN(10))*(MAX((LN(10^(逐级计算!$Q$194/10)-1)+逐级计算!$Q$194*(GL59-逐级计算!$P$194)*LN(10)/10),0)+LN(1+EXP(-ABS((LN(10^(逐级计算!$Q$194/10)-1)+逐级计算!$Q$194*(GL59-逐级计算!$P$194)*LN(10)/10))))))),"")</f>
        <v>13.7930365742089</v>
      </c>
      <c r="GN59">
        <f>IF(AND(ISNUMBER(GM59),逐级计算!$X$195&gt;-1),IF(逐级计算!$X$195=0,GM59+逐级计算!$C$195,GM59+逐级计算!$C$195-(10/(逐级计算!$Q$195*LN(10))*(MAX((LN(10^(逐级计算!$Q$195/10)-1)+逐级计算!$Q$195*(GM59-逐级计算!$P$195)*LN(10)/10),0)+LN(1+EXP(-ABS((LN(10^(逐级计算!$Q$195/10)-1)+逐级计算!$Q$195*(GM59-逐级计算!$P$195)*LN(10)/10))))))),"")</f>
        <v>13.7930365742089</v>
      </c>
      <c r="GO59">
        <f>IF(AND(ISNUMBER(GN59),逐级计算!$X$196&gt;-1),IF(逐级计算!$X$196=0,GN59+逐级计算!$C$196,GN59+逐级计算!$C$196-(10/(逐级计算!$Q$196*LN(10))*(MAX((LN(10^(逐级计算!$Q$196/10)-1)+逐级计算!$Q$196*(GN59-逐级计算!$P$196)*LN(10)/10),0)+LN(1+EXP(-ABS((LN(10^(逐级计算!$Q$196/10)-1)+逐级计算!$Q$196*(GN59-逐级计算!$P$196)*LN(10)/10))))))),"")</f>
        <v>13.7930365742089</v>
      </c>
      <c r="GP59">
        <f>IF(AND(ISNUMBER(GO59),逐级计算!$X$197&gt;-1),IF(逐级计算!$X$197=0,GO59+逐级计算!$C$197,GO59+逐级计算!$C$197-(10/(逐级计算!$Q$197*LN(10))*(MAX((LN(10^(逐级计算!$Q$197/10)-1)+逐级计算!$Q$197*(GO59-逐级计算!$P$197)*LN(10)/10),0)+LN(1+EXP(-ABS((LN(10^(逐级计算!$Q$197/10)-1)+逐级计算!$Q$197*(GO59-逐级计算!$P$197)*LN(10)/10))))))),"")</f>
        <v>13.7930365742089</v>
      </c>
      <c r="GQ59">
        <f>IF(AND(ISNUMBER(GP59),逐级计算!$X$198&gt;-1),IF(逐级计算!$X$198=0,GP59+逐级计算!$C$198,GP59+逐级计算!$C$198-(10/(逐级计算!$Q$198*LN(10))*(MAX((LN(10^(逐级计算!$Q$198/10)-1)+逐级计算!$Q$198*(GP59-逐级计算!$P$198)*LN(10)/10),0)+LN(1+EXP(-ABS((LN(10^(逐级计算!$Q$198/10)-1)+逐级计算!$Q$198*(GP59-逐级计算!$P$198)*LN(10)/10))))))),"")</f>
        <v>13.7930365742089</v>
      </c>
      <c r="GR59">
        <f>IF(AND(ISNUMBER(GQ59),逐级计算!$X$199&gt;-1),IF(逐级计算!$X$199=0,GQ59+逐级计算!$C$199,GQ59+逐级计算!$C$199-(10/(逐级计算!$Q$199*LN(10))*(MAX((LN(10^(逐级计算!$Q$199/10)-1)+逐级计算!$Q$199*(GQ59-逐级计算!$P$199)*LN(10)/10),0)+LN(1+EXP(-ABS((LN(10^(逐级计算!$Q$199/10)-1)+逐级计算!$Q$199*(GQ59-逐级计算!$P$199)*LN(10)/10))))))),"")</f>
        <v>13.7930365742089</v>
      </c>
      <c r="GS59">
        <f>IF(AND(ISNUMBER(GR59),逐级计算!$X$200&gt;-1),IF(逐级计算!$X$200=0,GR59+逐级计算!$C$200,GR59+逐级计算!$C$200-(10/(逐级计算!$Q$200*LN(10))*(MAX((LN(10^(逐级计算!$Q$200/10)-1)+逐级计算!$Q$200*(GR59-逐级计算!$P$200)*LN(10)/10),0)+LN(1+EXP(-ABS((LN(10^(逐级计算!$Q$200/10)-1)+逐级计算!$Q$200*(GR59-逐级计算!$P$200)*LN(10)/10))))))),"")</f>
        <v>13.7930365742089</v>
      </c>
      <c r="GT59">
        <f>IF(AND(ISNUMBER(GS59),逐级计算!$X$201&gt;-1),IF(逐级计算!$X$201=0,GS59+逐级计算!$C$201,GS59+逐级计算!$C$201-(10/(逐级计算!$Q$201*LN(10))*(MAX((LN(10^(逐级计算!$Q$201/10)-1)+逐级计算!$Q$201*(GS59-逐级计算!$P$201)*LN(10)/10),0)+LN(1+EXP(-ABS((LN(10^(逐级计算!$Q$201/10)-1)+逐级计算!$Q$201*(GS59-逐级计算!$P$201)*LN(10)/10))))))),"")</f>
        <v>13.7930365742089</v>
      </c>
      <c r="GU59">
        <f>IF(AND(ISNUMBER(GT59),逐级计算!$X$202&gt;-1),IF(逐级计算!$X$202=0,GT59+逐级计算!$C$202,GT59+逐级计算!$C$202-(10/(逐级计算!$Q$202*LN(10))*(MAX((LN(10^(逐级计算!$Q$202/10)-1)+逐级计算!$Q$202*(GT59-逐级计算!$P$202)*LN(10)/10),0)+LN(1+EXP(-ABS((LN(10^(逐级计算!$Q$202/10)-1)+逐级计算!$Q$202*(GT59-逐级计算!$P$202)*LN(10)/10))))))),"")</f>
        <v>13.7930365742089</v>
      </c>
      <c r="GV59">
        <f>IF(AND(ISNUMBER(GU59),逐级计算!$X$203&gt;-1),IF(逐级计算!$X$203=0,GU59+逐级计算!$C$203,GU59+逐级计算!$C$203-(10/(逐级计算!$Q$203*LN(10))*(MAX((LN(10^(逐级计算!$Q$203/10)-1)+逐级计算!$Q$203*(GU59-逐级计算!$P$203)*LN(10)/10),0)+LN(1+EXP(-ABS((LN(10^(逐级计算!$Q$203/10)-1)+逐级计算!$Q$203*(GU59-逐级计算!$P$203)*LN(10)/10))))))),"")</f>
        <v>13.7930365742089</v>
      </c>
      <c r="GW59">
        <f t="shared" si="2"/>
        <v>-5.20696342579109</v>
      </c>
    </row>
    <row r="60" spans="1:205">
      <c r="A60">
        <v>53</v>
      </c>
      <c r="B60">
        <f t="shared" si="1"/>
        <v>-5.20696342579114</v>
      </c>
      <c r="C60">
        <f t="shared" si="0"/>
        <v>-5.20696342579113</v>
      </c>
      <c r="D60">
        <f>IF(AND(ISNUMBER(C60),ISNUMBER(逐级计算!$E$203),ISNUMBER(GV60)),C60+逐级计算!$E$203-GV60,"")</f>
        <v>0.999999999999998</v>
      </c>
      <c r="E60">
        <f>IF(AND(ISNUMBER(C60),逐级计算!$X$4&gt;-1),IF(逐级计算!$X$4=0,C60+逐级计算!$C$4,C60+逐级计算!$C$4-(10/(逐级计算!$Q$4*LN(10))*(MAX((LN(10^(逐级计算!$Q$4/10)-1)+逐级计算!$Q$4*(C60-逐级计算!$P$4)*LN(10)/10),0)+LN(1+EXP(-ABS((LN(10^(逐级计算!$Q$4/10)-1)+逐级计算!$Q$4*(C60-逐级计算!$P$4)*LN(10)/10))))))),"")</f>
        <v>4.6805398292831</v>
      </c>
      <c r="F60">
        <f>IF(AND(ISNUMBER(E60),逐级计算!$X$5&gt;-1),IF(逐级计算!$X$5=0,E60+逐级计算!$C$5,E60+逐级计算!$C$5-(10/(逐级计算!$Q$5*LN(10))*(MAX((LN(10^(逐级计算!$Q$5/10)-1)+逐级计算!$Q$5*(E60-逐级计算!$P$5)*LN(10)/10),0)+LN(1+EXP(-ABS((LN(10^(逐级计算!$Q$5/10)-1)+逐级计算!$Q$5*(E60-逐级计算!$P$5)*LN(10)/10))))))),"")</f>
        <v>13.7930365742089</v>
      </c>
      <c r="G60">
        <f>IF(AND(ISNUMBER(F60),逐级计算!$X$6&gt;-1),IF(逐级计算!$X$6=0,F60+逐级计算!$C$6,F60+逐级计算!$C$6-(10/(逐级计算!$Q$6*LN(10))*(MAX((LN(10^(逐级计算!$Q$6/10)-1)+逐级计算!$Q$6*(F60-逐级计算!$P$6)*LN(10)/10),0)+LN(1+EXP(-ABS((LN(10^(逐级计算!$Q$6/10)-1)+逐级计算!$Q$6*(F60-逐级计算!$P$6)*LN(10)/10))))))),"")</f>
        <v>13.7930365742089</v>
      </c>
      <c r="H60">
        <f>IF(AND(ISNUMBER(G60),逐级计算!$X$7&gt;-1),IF(逐级计算!$X$7=0,G60+逐级计算!$C$7,G60+逐级计算!$C$7-(10/(逐级计算!$Q$7*LN(10))*(MAX((LN(10^(逐级计算!$Q$7/10)-1)+逐级计算!$Q$7*(G60-逐级计算!$P$7)*LN(10)/10),0)+LN(1+EXP(-ABS((LN(10^(逐级计算!$Q$7/10)-1)+逐级计算!$Q$7*(G60-逐级计算!$P$7)*LN(10)/10))))))),"")</f>
        <v>13.7930365742089</v>
      </c>
      <c r="I60">
        <f>IF(AND(ISNUMBER(H60),逐级计算!$X$8&gt;-1),IF(逐级计算!$X$8=0,H60+逐级计算!$C$8,H60+逐级计算!$C$8-(10/(逐级计算!$Q$8*LN(10))*(MAX((LN(10^(逐级计算!$Q$8/10)-1)+逐级计算!$Q$8*(H60-逐级计算!$P$8)*LN(10)/10),0)+LN(1+EXP(-ABS((LN(10^(逐级计算!$Q$8/10)-1)+逐级计算!$Q$8*(H60-逐级计算!$P$8)*LN(10)/10))))))),"")</f>
        <v>13.7930365742089</v>
      </c>
      <c r="J60">
        <f>IF(AND(ISNUMBER(I60),逐级计算!$X$9&gt;-1),IF(逐级计算!$X$9=0,I60+逐级计算!$C$9,I60+逐级计算!$C$9-(10/(逐级计算!$Q$9*LN(10))*(MAX((LN(10^(逐级计算!$Q$9/10)-1)+逐级计算!$Q$9*(I60-逐级计算!$P$9)*LN(10)/10),0)+LN(1+EXP(-ABS((LN(10^(逐级计算!$Q$9/10)-1)+逐级计算!$Q$9*(I60-逐级计算!$P$9)*LN(10)/10))))))),"")</f>
        <v>13.7930365742089</v>
      </c>
      <c r="K60">
        <f>IF(AND(ISNUMBER(J60),逐级计算!$X$10&gt;-1),IF(逐级计算!$X$10=0,J60+逐级计算!$C$10,J60+逐级计算!$C$10-(10/(逐级计算!$Q$10*LN(10))*(MAX((LN(10^(逐级计算!$Q$10/10)-1)+逐级计算!$Q$10*(J60-逐级计算!$P$10)*LN(10)/10),0)+LN(1+EXP(-ABS((LN(10^(逐级计算!$Q$10/10)-1)+逐级计算!$Q$10*(J60-逐级计算!$P$10)*LN(10)/10))))))),"")</f>
        <v>13.7930365742089</v>
      </c>
      <c r="L60">
        <f>IF(AND(ISNUMBER(K60),逐级计算!$X$11&gt;-1),IF(逐级计算!$X$11=0,K60+逐级计算!$C$11,K60+逐级计算!$C$11-(10/(逐级计算!$Q$11*LN(10))*(MAX((LN(10^(逐级计算!$Q$11/10)-1)+逐级计算!$Q$11*(K60-逐级计算!$P$11)*LN(10)/10),0)+LN(1+EXP(-ABS((LN(10^(逐级计算!$Q$11/10)-1)+逐级计算!$Q$11*(K60-逐级计算!$P$11)*LN(10)/10))))))),"")</f>
        <v>13.7930365742089</v>
      </c>
      <c r="M60">
        <f>IF(AND(ISNUMBER(L60),逐级计算!$X$12&gt;-1),IF(逐级计算!$X$12=0,L60+逐级计算!$C$12,L60+逐级计算!$C$12-(10/(逐级计算!$Q$12*LN(10))*(MAX((LN(10^(逐级计算!$Q$12/10)-1)+逐级计算!$Q$12*(L60-逐级计算!$P$12)*LN(10)/10),0)+LN(1+EXP(-ABS((LN(10^(逐级计算!$Q$12/10)-1)+逐级计算!$Q$12*(L60-逐级计算!$P$12)*LN(10)/10))))))),"")</f>
        <v>13.7930365742089</v>
      </c>
      <c r="N60">
        <f>IF(AND(ISNUMBER(M60),逐级计算!$X$13&gt;-1),IF(逐级计算!$X$13=0,M60+逐级计算!$C$13,M60+逐级计算!$C$13-(10/(逐级计算!$Q$13*LN(10))*(MAX((LN(10^(逐级计算!$Q$13/10)-1)+逐级计算!$Q$13*(M60-逐级计算!$P$13)*LN(10)/10),0)+LN(1+EXP(-ABS((LN(10^(逐级计算!$Q$13/10)-1)+逐级计算!$Q$13*(M60-逐级计算!$P$13)*LN(10)/10))))))),"")</f>
        <v>13.7930365742089</v>
      </c>
      <c r="O60">
        <f>IF(AND(ISNUMBER(N60),逐级计算!$X$14&gt;-1),IF(逐级计算!$X$14=0,N60+逐级计算!$C$14,N60+逐级计算!$C$14-(10/(逐级计算!$Q$14*LN(10))*(MAX((LN(10^(逐级计算!$Q$14/10)-1)+逐级计算!$Q$14*(N60-逐级计算!$P$14)*LN(10)/10),0)+LN(1+EXP(-ABS((LN(10^(逐级计算!$Q$14/10)-1)+逐级计算!$Q$14*(N60-逐级计算!$P$14)*LN(10)/10))))))),"")</f>
        <v>13.7930365742089</v>
      </c>
      <c r="P60">
        <f>IF(AND(ISNUMBER(O60),逐级计算!$X$15&gt;-1),IF(逐级计算!$X$15=0,O60+逐级计算!$C$15,O60+逐级计算!$C$15-(10/(逐级计算!$Q$15*LN(10))*(MAX((LN(10^(逐级计算!$Q$15/10)-1)+逐级计算!$Q$15*(O60-逐级计算!$P$15)*LN(10)/10),0)+LN(1+EXP(-ABS((LN(10^(逐级计算!$Q$15/10)-1)+逐级计算!$Q$15*(O60-逐级计算!$P$15)*LN(10)/10))))))),"")</f>
        <v>13.7930365742089</v>
      </c>
      <c r="Q60">
        <f>IF(AND(ISNUMBER(P60),逐级计算!$X$16&gt;-1),IF(逐级计算!$X$16=0,P60+逐级计算!$C$16,P60+逐级计算!$C$16-(10/(逐级计算!$Q$16*LN(10))*(MAX((LN(10^(逐级计算!$Q$16/10)-1)+逐级计算!$Q$16*(P60-逐级计算!$P$16)*LN(10)/10),0)+LN(1+EXP(-ABS((LN(10^(逐级计算!$Q$16/10)-1)+逐级计算!$Q$16*(P60-逐级计算!$P$16)*LN(10)/10))))))),"")</f>
        <v>13.7930365742089</v>
      </c>
      <c r="R60">
        <f>IF(AND(ISNUMBER(Q60),逐级计算!$X$17&gt;-1),IF(逐级计算!$X$17=0,Q60+逐级计算!$C$17,Q60+逐级计算!$C$17-(10/(逐级计算!$Q$17*LN(10))*(MAX((LN(10^(逐级计算!$Q$17/10)-1)+逐级计算!$Q$17*(Q60-逐级计算!$P$17)*LN(10)/10),0)+LN(1+EXP(-ABS((LN(10^(逐级计算!$Q$17/10)-1)+逐级计算!$Q$17*(Q60-逐级计算!$P$17)*LN(10)/10))))))),"")</f>
        <v>13.7930365742089</v>
      </c>
      <c r="S60">
        <f>IF(AND(ISNUMBER(R60),逐级计算!$X$18&gt;-1),IF(逐级计算!$X$18=0,R60+逐级计算!$C$18,R60+逐级计算!$C$18-(10/(逐级计算!$Q$18*LN(10))*(MAX((LN(10^(逐级计算!$Q$18/10)-1)+逐级计算!$Q$18*(R60-逐级计算!$P$18)*LN(10)/10),0)+LN(1+EXP(-ABS((LN(10^(逐级计算!$Q$18/10)-1)+逐级计算!$Q$18*(R60-逐级计算!$P$18)*LN(10)/10))))))),"")</f>
        <v>13.7930365742089</v>
      </c>
      <c r="T60">
        <f>IF(AND(ISNUMBER(S60),逐级计算!$X$19&gt;-1),IF(逐级计算!$X$19=0,S60+逐级计算!$C$19,S60+逐级计算!$C$19-(10/(逐级计算!$Q$19*LN(10))*(MAX((LN(10^(逐级计算!$Q$19/10)-1)+逐级计算!$Q$19*(S60-逐级计算!$P$19)*LN(10)/10),0)+LN(1+EXP(-ABS((LN(10^(逐级计算!$Q$19/10)-1)+逐级计算!$Q$19*(S60-逐级计算!$P$19)*LN(10)/10))))))),"")</f>
        <v>13.7930365742089</v>
      </c>
      <c r="U60">
        <f>IF(AND(ISNUMBER(T60),逐级计算!$X$20&gt;-1),IF(逐级计算!$X$20=0,T60+逐级计算!$C$20,T60+逐级计算!$C$20-(10/(逐级计算!$Q$20*LN(10))*(MAX((LN(10^(逐级计算!$Q$20/10)-1)+逐级计算!$Q$20*(T60-逐级计算!$P$20)*LN(10)/10),0)+LN(1+EXP(-ABS((LN(10^(逐级计算!$Q$20/10)-1)+逐级计算!$Q$20*(T60-逐级计算!$P$20)*LN(10)/10))))))),"")</f>
        <v>13.7930365742089</v>
      </c>
      <c r="V60">
        <f>IF(AND(ISNUMBER(U60),逐级计算!$X$21&gt;-1),IF(逐级计算!$X$21=0,U60+逐级计算!$C$21,U60+逐级计算!$C$21-(10/(逐级计算!$Q$21*LN(10))*(MAX((LN(10^(逐级计算!$Q$21/10)-1)+逐级计算!$Q$21*(U60-逐级计算!$P$21)*LN(10)/10),0)+LN(1+EXP(-ABS((LN(10^(逐级计算!$Q$21/10)-1)+逐级计算!$Q$21*(U60-逐级计算!$P$21)*LN(10)/10))))))),"")</f>
        <v>13.7930365742089</v>
      </c>
      <c r="W60">
        <f>IF(AND(ISNUMBER(V60),逐级计算!$X$22&gt;-1),IF(逐级计算!$X$22=0,V60+逐级计算!$C$22,V60+逐级计算!$C$22-(10/(逐级计算!$Q$22*LN(10))*(MAX((LN(10^(逐级计算!$Q$22/10)-1)+逐级计算!$Q$22*(V60-逐级计算!$P$22)*LN(10)/10),0)+LN(1+EXP(-ABS((LN(10^(逐级计算!$Q$22/10)-1)+逐级计算!$Q$22*(V60-逐级计算!$P$22)*LN(10)/10))))))),"")</f>
        <v>13.7930365742089</v>
      </c>
      <c r="X60">
        <f>IF(AND(ISNUMBER(W60),逐级计算!$X$23&gt;-1),IF(逐级计算!$X$23=0,W60+逐级计算!$C$23,W60+逐级计算!$C$23-(10/(逐级计算!$Q$23*LN(10))*(MAX((LN(10^(逐级计算!$Q$23/10)-1)+逐级计算!$Q$23*(W60-逐级计算!$P$23)*LN(10)/10),0)+LN(1+EXP(-ABS((LN(10^(逐级计算!$Q$23/10)-1)+逐级计算!$Q$23*(W60-逐级计算!$P$23)*LN(10)/10))))))),"")</f>
        <v>13.7930365742089</v>
      </c>
      <c r="Y60">
        <f>IF(AND(ISNUMBER(X60),逐级计算!$X$24&gt;-1),IF(逐级计算!$X$24=0,X60+逐级计算!$C$24,X60+逐级计算!$C$24-(10/(逐级计算!$Q$24*LN(10))*(MAX((LN(10^(逐级计算!$Q$24/10)-1)+逐级计算!$Q$24*(X60-逐级计算!$P$24)*LN(10)/10),0)+LN(1+EXP(-ABS((LN(10^(逐级计算!$Q$24/10)-1)+逐级计算!$Q$24*(X60-逐级计算!$P$24)*LN(10)/10))))))),"")</f>
        <v>13.7930365742089</v>
      </c>
      <c r="Z60">
        <f>IF(AND(ISNUMBER(Y60),逐级计算!$X$25&gt;-1),IF(逐级计算!$X$25=0,Y60+逐级计算!$C$25,Y60+逐级计算!$C$25-(10/(逐级计算!$Q$25*LN(10))*(MAX((LN(10^(逐级计算!$Q$25/10)-1)+逐级计算!$Q$25*(Y60-逐级计算!$P$25)*LN(10)/10),0)+LN(1+EXP(-ABS((LN(10^(逐级计算!$Q$25/10)-1)+逐级计算!$Q$25*(Y60-逐级计算!$P$25)*LN(10)/10))))))),"")</f>
        <v>13.7930365742089</v>
      </c>
      <c r="AA60">
        <f>IF(AND(ISNUMBER(Z60),逐级计算!$X$26&gt;-1),IF(逐级计算!$X$26=0,Z60+逐级计算!$C$26,Z60+逐级计算!$C$26-(10/(逐级计算!$Q$26*LN(10))*(MAX((LN(10^(逐级计算!$Q$26/10)-1)+逐级计算!$Q$26*(Z60-逐级计算!$P$26)*LN(10)/10),0)+LN(1+EXP(-ABS((LN(10^(逐级计算!$Q$26/10)-1)+逐级计算!$Q$26*(Z60-逐级计算!$P$26)*LN(10)/10))))))),"")</f>
        <v>13.7930365742089</v>
      </c>
      <c r="AB60">
        <f>IF(AND(ISNUMBER(AA60),逐级计算!$X$27&gt;-1),IF(逐级计算!$X$27=0,AA60+逐级计算!$C$27,AA60+逐级计算!$C$27-(10/(逐级计算!$Q$27*LN(10))*(MAX((LN(10^(逐级计算!$Q$27/10)-1)+逐级计算!$Q$27*(AA60-逐级计算!$P$27)*LN(10)/10),0)+LN(1+EXP(-ABS((LN(10^(逐级计算!$Q$27/10)-1)+逐级计算!$Q$27*(AA60-逐级计算!$P$27)*LN(10)/10))))))),"")</f>
        <v>13.7930365742089</v>
      </c>
      <c r="AC60">
        <f>IF(AND(ISNUMBER(AB60),逐级计算!$X$28&gt;-1),IF(逐级计算!$X$28=0,AB60+逐级计算!$C$28,AB60+逐级计算!$C$28-(10/(逐级计算!$Q$28*LN(10))*(MAX((LN(10^(逐级计算!$Q$28/10)-1)+逐级计算!$Q$28*(AB60-逐级计算!$P$28)*LN(10)/10),0)+LN(1+EXP(-ABS((LN(10^(逐级计算!$Q$28/10)-1)+逐级计算!$Q$28*(AB60-逐级计算!$P$28)*LN(10)/10))))))),"")</f>
        <v>13.7930365742089</v>
      </c>
      <c r="AD60">
        <f>IF(AND(ISNUMBER(AC60),逐级计算!$X$29&gt;-1),IF(逐级计算!$X$29=0,AC60+逐级计算!$C$29,AC60+逐级计算!$C$29-(10/(逐级计算!$Q$29*LN(10))*(MAX((LN(10^(逐级计算!$Q$29/10)-1)+逐级计算!$Q$29*(AC60-逐级计算!$P$29)*LN(10)/10),0)+LN(1+EXP(-ABS((LN(10^(逐级计算!$Q$29/10)-1)+逐级计算!$Q$29*(AC60-逐级计算!$P$29)*LN(10)/10))))))),"")</f>
        <v>13.7930365742089</v>
      </c>
      <c r="AE60">
        <f>IF(AND(ISNUMBER(AD60),逐级计算!$X$30&gt;-1),IF(逐级计算!$X$30=0,AD60+逐级计算!$C$30,AD60+逐级计算!$C$30-(10/(逐级计算!$Q$30*LN(10))*(MAX((LN(10^(逐级计算!$Q$30/10)-1)+逐级计算!$Q$30*(AD60-逐级计算!$P$30)*LN(10)/10),0)+LN(1+EXP(-ABS((LN(10^(逐级计算!$Q$30/10)-1)+逐级计算!$Q$30*(AD60-逐级计算!$P$30)*LN(10)/10))))))),"")</f>
        <v>13.7930365742089</v>
      </c>
      <c r="AF60">
        <f>IF(AND(ISNUMBER(AE60),逐级计算!$X$31&gt;-1),IF(逐级计算!$X$31=0,AE60+逐级计算!$C$31,AE60+逐级计算!$C$31-(10/(逐级计算!$Q$31*LN(10))*(MAX((LN(10^(逐级计算!$Q$31/10)-1)+逐级计算!$Q$31*(AE60-逐级计算!$P$31)*LN(10)/10),0)+LN(1+EXP(-ABS((LN(10^(逐级计算!$Q$31/10)-1)+逐级计算!$Q$31*(AE60-逐级计算!$P$31)*LN(10)/10))))))),"")</f>
        <v>13.7930365742089</v>
      </c>
      <c r="AG60">
        <f>IF(AND(ISNUMBER(AF60),逐级计算!$X$32&gt;-1),IF(逐级计算!$X$32=0,AF60+逐级计算!$C$32,AF60+逐级计算!$C$32-(10/(逐级计算!$Q$32*LN(10))*(MAX((LN(10^(逐级计算!$Q$32/10)-1)+逐级计算!$Q$32*(AF60-逐级计算!$P$32)*LN(10)/10),0)+LN(1+EXP(-ABS((LN(10^(逐级计算!$Q$32/10)-1)+逐级计算!$Q$32*(AF60-逐级计算!$P$32)*LN(10)/10))))))),"")</f>
        <v>13.7930365742089</v>
      </c>
      <c r="AH60">
        <f>IF(AND(ISNUMBER(AG60),逐级计算!$X$33&gt;-1),IF(逐级计算!$X$33=0,AG60+逐级计算!$C$33,AG60+逐级计算!$C$33-(10/(逐级计算!$Q$33*LN(10))*(MAX((LN(10^(逐级计算!$Q$33/10)-1)+逐级计算!$Q$33*(AG60-逐级计算!$P$33)*LN(10)/10),0)+LN(1+EXP(-ABS((LN(10^(逐级计算!$Q$33/10)-1)+逐级计算!$Q$33*(AG60-逐级计算!$P$33)*LN(10)/10))))))),"")</f>
        <v>13.7930365742089</v>
      </c>
      <c r="AI60">
        <f>IF(AND(ISNUMBER(AH60),逐级计算!$X$34&gt;-1),IF(逐级计算!$X$34=0,AH60+逐级计算!$C$34,AH60+逐级计算!$C$34-(10/(逐级计算!$Q$34*LN(10))*(MAX((LN(10^(逐级计算!$Q$34/10)-1)+逐级计算!$Q$34*(AH60-逐级计算!$P$34)*LN(10)/10),0)+LN(1+EXP(-ABS((LN(10^(逐级计算!$Q$34/10)-1)+逐级计算!$Q$34*(AH60-逐级计算!$P$34)*LN(10)/10))))))),"")</f>
        <v>13.7930365742089</v>
      </c>
      <c r="AJ60">
        <f>IF(AND(ISNUMBER(AI60),逐级计算!$X$35&gt;-1),IF(逐级计算!$X$35=0,AI60+逐级计算!$C$35,AI60+逐级计算!$C$35-(10/(逐级计算!$Q$35*LN(10))*(MAX((LN(10^(逐级计算!$Q$35/10)-1)+逐级计算!$Q$35*(AI60-逐级计算!$P$35)*LN(10)/10),0)+LN(1+EXP(-ABS((LN(10^(逐级计算!$Q$35/10)-1)+逐级计算!$Q$35*(AI60-逐级计算!$P$35)*LN(10)/10))))))),"")</f>
        <v>13.7930365742089</v>
      </c>
      <c r="AK60">
        <f>IF(AND(ISNUMBER(AJ60),逐级计算!$X$36&gt;-1),IF(逐级计算!$X$36=0,AJ60+逐级计算!$C$36,AJ60+逐级计算!$C$36-(10/(逐级计算!$Q$36*LN(10))*(MAX((LN(10^(逐级计算!$Q$36/10)-1)+逐级计算!$Q$36*(AJ60-逐级计算!$P$36)*LN(10)/10),0)+LN(1+EXP(-ABS((LN(10^(逐级计算!$Q$36/10)-1)+逐级计算!$Q$36*(AJ60-逐级计算!$P$36)*LN(10)/10))))))),"")</f>
        <v>13.7930365742089</v>
      </c>
      <c r="AL60">
        <f>IF(AND(ISNUMBER(AK60),逐级计算!$X$37&gt;-1),IF(逐级计算!$X$37=0,AK60+逐级计算!$C$37,AK60+逐级计算!$C$37-(10/(逐级计算!$Q$37*LN(10))*(MAX((LN(10^(逐级计算!$Q$37/10)-1)+逐级计算!$Q$37*(AK60-逐级计算!$P$37)*LN(10)/10),0)+LN(1+EXP(-ABS((LN(10^(逐级计算!$Q$37/10)-1)+逐级计算!$Q$37*(AK60-逐级计算!$P$37)*LN(10)/10))))))),"")</f>
        <v>13.7930365742089</v>
      </c>
      <c r="AM60">
        <f>IF(AND(ISNUMBER(AL60),逐级计算!$X$38&gt;-1),IF(逐级计算!$X$38=0,AL60+逐级计算!$C$38,AL60+逐级计算!$C$38-(10/(逐级计算!$Q$38*LN(10))*(MAX((LN(10^(逐级计算!$Q$38/10)-1)+逐级计算!$Q$38*(AL60-逐级计算!$P$38)*LN(10)/10),0)+LN(1+EXP(-ABS((LN(10^(逐级计算!$Q$38/10)-1)+逐级计算!$Q$38*(AL60-逐级计算!$P$38)*LN(10)/10))))))),"")</f>
        <v>13.7930365742089</v>
      </c>
      <c r="AN60">
        <f>IF(AND(ISNUMBER(AM60),逐级计算!$X$39&gt;-1),IF(逐级计算!$X$39=0,AM60+逐级计算!$C$39,AM60+逐级计算!$C$39-(10/(逐级计算!$Q$39*LN(10))*(MAX((LN(10^(逐级计算!$Q$39/10)-1)+逐级计算!$Q$39*(AM60-逐级计算!$P$39)*LN(10)/10),0)+LN(1+EXP(-ABS((LN(10^(逐级计算!$Q$39/10)-1)+逐级计算!$Q$39*(AM60-逐级计算!$P$39)*LN(10)/10))))))),"")</f>
        <v>13.7930365742089</v>
      </c>
      <c r="AO60">
        <f>IF(AND(ISNUMBER(AN60),逐级计算!$X$40&gt;-1),IF(逐级计算!$X$40=0,AN60+逐级计算!$C$40,AN60+逐级计算!$C$40-(10/(逐级计算!$Q$40*LN(10))*(MAX((LN(10^(逐级计算!$Q$40/10)-1)+逐级计算!$Q$40*(AN60-逐级计算!$P$40)*LN(10)/10),0)+LN(1+EXP(-ABS((LN(10^(逐级计算!$Q$40/10)-1)+逐级计算!$Q$40*(AN60-逐级计算!$P$40)*LN(10)/10))))))),"")</f>
        <v>13.7930365742089</v>
      </c>
      <c r="AP60">
        <f>IF(AND(ISNUMBER(AO60),逐级计算!$X$41&gt;-1),IF(逐级计算!$X$41=0,AO60+逐级计算!$C$41,AO60+逐级计算!$C$41-(10/(逐级计算!$Q$41*LN(10))*(MAX((LN(10^(逐级计算!$Q$41/10)-1)+逐级计算!$Q$41*(AO60-逐级计算!$P$41)*LN(10)/10),0)+LN(1+EXP(-ABS((LN(10^(逐级计算!$Q$41/10)-1)+逐级计算!$Q$41*(AO60-逐级计算!$P$41)*LN(10)/10))))))),"")</f>
        <v>13.7930365742089</v>
      </c>
      <c r="AQ60">
        <f>IF(AND(ISNUMBER(AP60),逐级计算!$X$42&gt;-1),IF(逐级计算!$X$42=0,AP60+逐级计算!$C$42,AP60+逐级计算!$C$42-(10/(逐级计算!$Q$42*LN(10))*(MAX((LN(10^(逐级计算!$Q$42/10)-1)+逐级计算!$Q$42*(AP60-逐级计算!$P$42)*LN(10)/10),0)+LN(1+EXP(-ABS((LN(10^(逐级计算!$Q$42/10)-1)+逐级计算!$Q$42*(AP60-逐级计算!$P$42)*LN(10)/10))))))),"")</f>
        <v>13.7930365742089</v>
      </c>
      <c r="AR60">
        <f>IF(AND(ISNUMBER(AQ60),逐级计算!$X$43&gt;-1),IF(逐级计算!$X$43=0,AQ60+逐级计算!$C$43,AQ60+逐级计算!$C$43-(10/(逐级计算!$Q$43*LN(10))*(MAX((LN(10^(逐级计算!$Q$43/10)-1)+逐级计算!$Q$43*(AQ60-逐级计算!$P$43)*LN(10)/10),0)+LN(1+EXP(-ABS((LN(10^(逐级计算!$Q$43/10)-1)+逐级计算!$Q$43*(AQ60-逐级计算!$P$43)*LN(10)/10))))))),"")</f>
        <v>13.7930365742089</v>
      </c>
      <c r="AS60">
        <f>IF(AND(ISNUMBER(AR60),逐级计算!$X$44&gt;-1),IF(逐级计算!$X$44=0,AR60+逐级计算!$C$44,AR60+逐级计算!$C$44-(10/(逐级计算!$Q$44*LN(10))*(MAX((LN(10^(逐级计算!$Q$44/10)-1)+逐级计算!$Q$44*(AR60-逐级计算!$P$44)*LN(10)/10),0)+LN(1+EXP(-ABS((LN(10^(逐级计算!$Q$44/10)-1)+逐级计算!$Q$44*(AR60-逐级计算!$P$44)*LN(10)/10))))))),"")</f>
        <v>13.7930365742089</v>
      </c>
      <c r="AT60">
        <f>IF(AND(ISNUMBER(AS60),逐级计算!$X$45&gt;-1),IF(逐级计算!$X$45=0,AS60+逐级计算!$C$45,AS60+逐级计算!$C$45-(10/(逐级计算!$Q$45*LN(10))*(MAX((LN(10^(逐级计算!$Q$45/10)-1)+逐级计算!$Q$45*(AS60-逐级计算!$P$45)*LN(10)/10),0)+LN(1+EXP(-ABS((LN(10^(逐级计算!$Q$45/10)-1)+逐级计算!$Q$45*(AS60-逐级计算!$P$45)*LN(10)/10))))))),"")</f>
        <v>13.7930365742089</v>
      </c>
      <c r="AU60">
        <f>IF(AND(ISNUMBER(AT60),逐级计算!$X$46&gt;-1),IF(逐级计算!$X$46=0,AT60+逐级计算!$C$46,AT60+逐级计算!$C$46-(10/(逐级计算!$Q$46*LN(10))*(MAX((LN(10^(逐级计算!$Q$46/10)-1)+逐级计算!$Q$46*(AT60-逐级计算!$P$46)*LN(10)/10),0)+LN(1+EXP(-ABS((LN(10^(逐级计算!$Q$46/10)-1)+逐级计算!$Q$46*(AT60-逐级计算!$P$46)*LN(10)/10))))))),"")</f>
        <v>13.7930365742089</v>
      </c>
      <c r="AV60">
        <f>IF(AND(ISNUMBER(AU60),逐级计算!$X$47&gt;-1),IF(逐级计算!$X$47=0,AU60+逐级计算!$C$47,AU60+逐级计算!$C$47-(10/(逐级计算!$Q$47*LN(10))*(MAX((LN(10^(逐级计算!$Q$47/10)-1)+逐级计算!$Q$47*(AU60-逐级计算!$P$47)*LN(10)/10),0)+LN(1+EXP(-ABS((LN(10^(逐级计算!$Q$47/10)-1)+逐级计算!$Q$47*(AU60-逐级计算!$P$47)*LN(10)/10))))))),"")</f>
        <v>13.7930365742089</v>
      </c>
      <c r="AW60">
        <f>IF(AND(ISNUMBER(AV60),逐级计算!$X$48&gt;-1),IF(逐级计算!$X$48=0,AV60+逐级计算!$C$48,AV60+逐级计算!$C$48-(10/(逐级计算!$Q$48*LN(10))*(MAX((LN(10^(逐级计算!$Q$48/10)-1)+逐级计算!$Q$48*(AV60-逐级计算!$P$48)*LN(10)/10),0)+LN(1+EXP(-ABS((LN(10^(逐级计算!$Q$48/10)-1)+逐级计算!$Q$48*(AV60-逐级计算!$P$48)*LN(10)/10))))))),"")</f>
        <v>13.7930365742089</v>
      </c>
      <c r="AX60">
        <f>IF(AND(ISNUMBER(AW60),逐级计算!$X$49&gt;-1),IF(逐级计算!$X$49=0,AW60+逐级计算!$C$49,AW60+逐级计算!$C$49-(10/(逐级计算!$Q$49*LN(10))*(MAX((LN(10^(逐级计算!$Q$49/10)-1)+逐级计算!$Q$49*(AW60-逐级计算!$P$49)*LN(10)/10),0)+LN(1+EXP(-ABS((LN(10^(逐级计算!$Q$49/10)-1)+逐级计算!$Q$49*(AW60-逐级计算!$P$49)*LN(10)/10))))))),"")</f>
        <v>13.7930365742089</v>
      </c>
      <c r="AY60">
        <f>IF(AND(ISNUMBER(AX60),逐级计算!$X$50&gt;-1),IF(逐级计算!$X$50=0,AX60+逐级计算!$C$50,AX60+逐级计算!$C$50-(10/(逐级计算!$Q$50*LN(10))*(MAX((LN(10^(逐级计算!$Q$50/10)-1)+逐级计算!$Q$50*(AX60-逐级计算!$P$50)*LN(10)/10),0)+LN(1+EXP(-ABS((LN(10^(逐级计算!$Q$50/10)-1)+逐级计算!$Q$50*(AX60-逐级计算!$P$50)*LN(10)/10))))))),"")</f>
        <v>13.7930365742089</v>
      </c>
      <c r="AZ60">
        <f>IF(AND(ISNUMBER(AY60),逐级计算!$X$51&gt;-1),IF(逐级计算!$X$51=0,AY60+逐级计算!$C$51,AY60+逐级计算!$C$51-(10/(逐级计算!$Q$51*LN(10))*(MAX((LN(10^(逐级计算!$Q$51/10)-1)+逐级计算!$Q$51*(AY60-逐级计算!$P$51)*LN(10)/10),0)+LN(1+EXP(-ABS((LN(10^(逐级计算!$Q$51/10)-1)+逐级计算!$Q$51*(AY60-逐级计算!$P$51)*LN(10)/10))))))),"")</f>
        <v>13.7930365742089</v>
      </c>
      <c r="BA60">
        <f>IF(AND(ISNUMBER(AZ60),逐级计算!$X$52&gt;-1),IF(逐级计算!$X$52=0,AZ60+逐级计算!$C$52,AZ60+逐级计算!$C$52-(10/(逐级计算!$Q$52*LN(10))*(MAX((LN(10^(逐级计算!$Q$52/10)-1)+逐级计算!$Q$52*(AZ60-逐级计算!$P$52)*LN(10)/10),0)+LN(1+EXP(-ABS((LN(10^(逐级计算!$Q$52/10)-1)+逐级计算!$Q$52*(AZ60-逐级计算!$P$52)*LN(10)/10))))))),"")</f>
        <v>13.7930365742089</v>
      </c>
      <c r="BB60">
        <f>IF(AND(ISNUMBER(BA60),逐级计算!$X$53&gt;-1),IF(逐级计算!$X$53=0,BA60+逐级计算!$C$53,BA60+逐级计算!$C$53-(10/(逐级计算!$Q$53*LN(10))*(MAX((LN(10^(逐级计算!$Q$53/10)-1)+逐级计算!$Q$53*(BA60-逐级计算!$P$53)*LN(10)/10),0)+LN(1+EXP(-ABS((LN(10^(逐级计算!$Q$53/10)-1)+逐级计算!$Q$53*(BA60-逐级计算!$P$53)*LN(10)/10))))))),"")</f>
        <v>13.7930365742089</v>
      </c>
      <c r="BC60">
        <f>IF(AND(ISNUMBER(BB60),逐级计算!$X$54&gt;-1),IF(逐级计算!$X$54=0,BB60+逐级计算!$C$54,BB60+逐级计算!$C$54-(10/(逐级计算!$Q$54*LN(10))*(MAX((LN(10^(逐级计算!$Q$54/10)-1)+逐级计算!$Q$54*(BB60-逐级计算!$P$54)*LN(10)/10),0)+LN(1+EXP(-ABS((LN(10^(逐级计算!$Q$54/10)-1)+逐级计算!$Q$54*(BB60-逐级计算!$P$54)*LN(10)/10))))))),"")</f>
        <v>13.7930365742089</v>
      </c>
      <c r="BD60">
        <f>IF(AND(ISNUMBER(BC60),逐级计算!$X$55&gt;-1),IF(逐级计算!$X$55=0,BC60+逐级计算!$C$55,BC60+逐级计算!$C$55-(10/(逐级计算!$Q$55*LN(10))*(MAX((LN(10^(逐级计算!$Q$55/10)-1)+逐级计算!$Q$55*(BC60-逐级计算!$P$55)*LN(10)/10),0)+LN(1+EXP(-ABS((LN(10^(逐级计算!$Q$55/10)-1)+逐级计算!$Q$55*(BC60-逐级计算!$P$55)*LN(10)/10))))))),"")</f>
        <v>13.7930365742089</v>
      </c>
      <c r="BE60">
        <f>IF(AND(ISNUMBER(BD60),逐级计算!$X$56&gt;-1),IF(逐级计算!$X$56=0,BD60+逐级计算!$C$56,BD60+逐级计算!$C$56-(10/(逐级计算!$Q$56*LN(10))*(MAX((LN(10^(逐级计算!$Q$56/10)-1)+逐级计算!$Q$56*(BD60-逐级计算!$P$56)*LN(10)/10),0)+LN(1+EXP(-ABS((LN(10^(逐级计算!$Q$56/10)-1)+逐级计算!$Q$56*(BD60-逐级计算!$P$56)*LN(10)/10))))))),"")</f>
        <v>13.7930365742089</v>
      </c>
      <c r="BF60">
        <f>IF(AND(ISNUMBER(BE60),逐级计算!$X$57&gt;-1),IF(逐级计算!$X$57=0,BE60+逐级计算!$C$57,BE60+逐级计算!$C$57-(10/(逐级计算!$Q$57*LN(10))*(MAX((LN(10^(逐级计算!$Q$57/10)-1)+逐级计算!$Q$57*(BE60-逐级计算!$P$57)*LN(10)/10),0)+LN(1+EXP(-ABS((LN(10^(逐级计算!$Q$57/10)-1)+逐级计算!$Q$57*(BE60-逐级计算!$P$57)*LN(10)/10))))))),"")</f>
        <v>13.7930365742089</v>
      </c>
      <c r="BG60">
        <f>IF(AND(ISNUMBER(BF60),逐级计算!$X$58&gt;-1),IF(逐级计算!$X$58=0,BF60+逐级计算!$C$58,BF60+逐级计算!$C$58-(10/(逐级计算!$Q$58*LN(10))*(MAX((LN(10^(逐级计算!$Q$58/10)-1)+逐级计算!$Q$58*(BF60-逐级计算!$P$58)*LN(10)/10),0)+LN(1+EXP(-ABS((LN(10^(逐级计算!$Q$58/10)-1)+逐级计算!$Q$58*(BF60-逐级计算!$P$58)*LN(10)/10))))))),"")</f>
        <v>13.7930365742089</v>
      </c>
      <c r="BH60">
        <f>IF(AND(ISNUMBER(BG60),逐级计算!$X$59&gt;-1),IF(逐级计算!$X$59=0,BG60+逐级计算!$C$59,BG60+逐级计算!$C$59-(10/(逐级计算!$Q$59*LN(10))*(MAX((LN(10^(逐级计算!$Q$59/10)-1)+逐级计算!$Q$59*(BG60-逐级计算!$P$59)*LN(10)/10),0)+LN(1+EXP(-ABS((LN(10^(逐级计算!$Q$59/10)-1)+逐级计算!$Q$59*(BG60-逐级计算!$P$59)*LN(10)/10))))))),"")</f>
        <v>13.7930365742089</v>
      </c>
      <c r="BI60">
        <f>IF(AND(ISNUMBER(BH60),逐级计算!$X$60&gt;-1),IF(逐级计算!$X$60=0,BH60+逐级计算!$C$60,BH60+逐级计算!$C$60-(10/(逐级计算!$Q$60*LN(10))*(MAX((LN(10^(逐级计算!$Q$60/10)-1)+逐级计算!$Q$60*(BH60-逐级计算!$P$60)*LN(10)/10),0)+LN(1+EXP(-ABS((LN(10^(逐级计算!$Q$60/10)-1)+逐级计算!$Q$60*(BH60-逐级计算!$P$60)*LN(10)/10))))))),"")</f>
        <v>13.7930365742089</v>
      </c>
      <c r="BJ60">
        <f>IF(AND(ISNUMBER(BI60),逐级计算!$X$61&gt;-1),IF(逐级计算!$X$61=0,BI60+逐级计算!$C$61,BI60+逐级计算!$C$61-(10/(逐级计算!$Q$61*LN(10))*(MAX((LN(10^(逐级计算!$Q$61/10)-1)+逐级计算!$Q$61*(BI60-逐级计算!$P$61)*LN(10)/10),0)+LN(1+EXP(-ABS((LN(10^(逐级计算!$Q$61/10)-1)+逐级计算!$Q$61*(BI60-逐级计算!$P$61)*LN(10)/10))))))),"")</f>
        <v>13.7930365742089</v>
      </c>
      <c r="BK60">
        <f>IF(AND(ISNUMBER(BJ60),逐级计算!$X$62&gt;-1),IF(逐级计算!$X$62=0,BJ60+逐级计算!$C$62,BJ60+逐级计算!$C$62-(10/(逐级计算!$Q$62*LN(10))*(MAX((LN(10^(逐级计算!$Q$62/10)-1)+逐级计算!$Q$62*(BJ60-逐级计算!$P$62)*LN(10)/10),0)+LN(1+EXP(-ABS((LN(10^(逐级计算!$Q$62/10)-1)+逐级计算!$Q$62*(BJ60-逐级计算!$P$62)*LN(10)/10))))))),"")</f>
        <v>13.7930365742089</v>
      </c>
      <c r="BL60">
        <f>IF(AND(ISNUMBER(BK60),逐级计算!$X$63&gt;-1),IF(逐级计算!$X$63=0,BK60+逐级计算!$C$63,BK60+逐级计算!$C$63-(10/(逐级计算!$Q$63*LN(10))*(MAX((LN(10^(逐级计算!$Q$63/10)-1)+逐级计算!$Q$63*(BK60-逐级计算!$P$63)*LN(10)/10),0)+LN(1+EXP(-ABS((LN(10^(逐级计算!$Q$63/10)-1)+逐级计算!$Q$63*(BK60-逐级计算!$P$63)*LN(10)/10))))))),"")</f>
        <v>13.7930365742089</v>
      </c>
      <c r="BM60">
        <f>IF(AND(ISNUMBER(BL60),逐级计算!$X$64&gt;-1),IF(逐级计算!$X$64=0,BL60+逐级计算!$C$64,BL60+逐级计算!$C$64-(10/(逐级计算!$Q$64*LN(10))*(MAX((LN(10^(逐级计算!$Q$64/10)-1)+逐级计算!$Q$64*(BL60-逐级计算!$P$64)*LN(10)/10),0)+LN(1+EXP(-ABS((LN(10^(逐级计算!$Q$64/10)-1)+逐级计算!$Q$64*(BL60-逐级计算!$P$64)*LN(10)/10))))))),"")</f>
        <v>13.7930365742089</v>
      </c>
      <c r="BN60">
        <f>IF(AND(ISNUMBER(BM60),逐级计算!$X$65&gt;-1),IF(逐级计算!$X$65=0,BM60+逐级计算!$C$65,BM60+逐级计算!$C$65-(10/(逐级计算!$Q$65*LN(10))*(MAX((LN(10^(逐级计算!$Q$65/10)-1)+逐级计算!$Q$65*(BM60-逐级计算!$P$65)*LN(10)/10),0)+LN(1+EXP(-ABS((LN(10^(逐级计算!$Q$65/10)-1)+逐级计算!$Q$65*(BM60-逐级计算!$P$65)*LN(10)/10))))))),"")</f>
        <v>13.7930365742089</v>
      </c>
      <c r="BO60">
        <f>IF(AND(ISNUMBER(BN60),逐级计算!$X$66&gt;-1),IF(逐级计算!$X$66=0,BN60+逐级计算!$C$66,BN60+逐级计算!$C$66-(10/(逐级计算!$Q$66*LN(10))*(MAX((LN(10^(逐级计算!$Q$66/10)-1)+逐级计算!$Q$66*(BN60-逐级计算!$P$66)*LN(10)/10),0)+LN(1+EXP(-ABS((LN(10^(逐级计算!$Q$66/10)-1)+逐级计算!$Q$66*(BN60-逐级计算!$P$66)*LN(10)/10))))))),"")</f>
        <v>13.7930365742089</v>
      </c>
      <c r="BP60">
        <f>IF(AND(ISNUMBER(BO60),逐级计算!$X$67&gt;-1),IF(逐级计算!$X$67=0,BO60+逐级计算!$C$67,BO60+逐级计算!$C$67-(10/(逐级计算!$Q$67*LN(10))*(MAX((LN(10^(逐级计算!$Q$67/10)-1)+逐级计算!$Q$67*(BO60-逐级计算!$P$67)*LN(10)/10),0)+LN(1+EXP(-ABS((LN(10^(逐级计算!$Q$67/10)-1)+逐级计算!$Q$67*(BO60-逐级计算!$P$67)*LN(10)/10))))))),"")</f>
        <v>13.7930365742089</v>
      </c>
      <c r="BQ60">
        <f>IF(AND(ISNUMBER(BP60),逐级计算!$X$68&gt;-1),IF(逐级计算!$X$68=0,BP60+逐级计算!$C$68,BP60+逐级计算!$C$68-(10/(逐级计算!$Q$68*LN(10))*(MAX((LN(10^(逐级计算!$Q$68/10)-1)+逐级计算!$Q$68*(BP60-逐级计算!$P$68)*LN(10)/10),0)+LN(1+EXP(-ABS((LN(10^(逐级计算!$Q$68/10)-1)+逐级计算!$Q$68*(BP60-逐级计算!$P$68)*LN(10)/10))))))),"")</f>
        <v>13.7930365742089</v>
      </c>
      <c r="BR60">
        <f>IF(AND(ISNUMBER(BQ60),逐级计算!$X$69&gt;-1),IF(逐级计算!$X$69=0,BQ60+逐级计算!$C$69,BQ60+逐级计算!$C$69-(10/(逐级计算!$Q$69*LN(10))*(MAX((LN(10^(逐级计算!$Q$69/10)-1)+逐级计算!$Q$69*(BQ60-逐级计算!$P$69)*LN(10)/10),0)+LN(1+EXP(-ABS((LN(10^(逐级计算!$Q$69/10)-1)+逐级计算!$Q$69*(BQ60-逐级计算!$P$69)*LN(10)/10))))))),"")</f>
        <v>13.7930365742089</v>
      </c>
      <c r="BS60">
        <f>IF(AND(ISNUMBER(BR60),逐级计算!$X$70&gt;-1),IF(逐级计算!$X$70=0,BR60+逐级计算!$C$70,BR60+逐级计算!$C$70-(10/(逐级计算!$Q$70*LN(10))*(MAX((LN(10^(逐级计算!$Q$70/10)-1)+逐级计算!$Q$70*(BR60-逐级计算!$P$70)*LN(10)/10),0)+LN(1+EXP(-ABS((LN(10^(逐级计算!$Q$70/10)-1)+逐级计算!$Q$70*(BR60-逐级计算!$P$70)*LN(10)/10))))))),"")</f>
        <v>13.7930365742089</v>
      </c>
      <c r="BT60">
        <f>IF(AND(ISNUMBER(BS60),逐级计算!$X$71&gt;-1),IF(逐级计算!$X$71=0,BS60+逐级计算!$C$71,BS60+逐级计算!$C$71-(10/(逐级计算!$Q$71*LN(10))*(MAX((LN(10^(逐级计算!$Q$71/10)-1)+逐级计算!$Q$71*(BS60-逐级计算!$P$71)*LN(10)/10),0)+LN(1+EXP(-ABS((LN(10^(逐级计算!$Q$71/10)-1)+逐级计算!$Q$71*(BS60-逐级计算!$P$71)*LN(10)/10))))))),"")</f>
        <v>13.7930365742089</v>
      </c>
      <c r="BU60">
        <f>IF(AND(ISNUMBER(BT60),逐级计算!$X$72&gt;-1),IF(逐级计算!$X$72=0,BT60+逐级计算!$C$72,BT60+逐级计算!$C$72-(10/(逐级计算!$Q$72*LN(10))*(MAX((LN(10^(逐级计算!$Q$72/10)-1)+逐级计算!$Q$72*(BT60-逐级计算!$P$72)*LN(10)/10),0)+LN(1+EXP(-ABS((LN(10^(逐级计算!$Q$72/10)-1)+逐级计算!$Q$72*(BT60-逐级计算!$P$72)*LN(10)/10))))))),"")</f>
        <v>13.7930365742089</v>
      </c>
      <c r="BV60">
        <f>IF(AND(ISNUMBER(BU60),逐级计算!$X$73&gt;-1),IF(逐级计算!$X$73=0,BU60+逐级计算!$C$73,BU60+逐级计算!$C$73-(10/(逐级计算!$Q$73*LN(10))*(MAX((LN(10^(逐级计算!$Q$73/10)-1)+逐级计算!$Q$73*(BU60-逐级计算!$P$73)*LN(10)/10),0)+LN(1+EXP(-ABS((LN(10^(逐级计算!$Q$73/10)-1)+逐级计算!$Q$73*(BU60-逐级计算!$P$73)*LN(10)/10))))))),"")</f>
        <v>13.7930365742089</v>
      </c>
      <c r="BW60">
        <f>IF(AND(ISNUMBER(BV60),逐级计算!$X$74&gt;-1),IF(逐级计算!$X$74=0,BV60+逐级计算!$C$74,BV60+逐级计算!$C$74-(10/(逐级计算!$Q$74*LN(10))*(MAX((LN(10^(逐级计算!$Q$74/10)-1)+逐级计算!$Q$74*(BV60-逐级计算!$P$74)*LN(10)/10),0)+LN(1+EXP(-ABS((LN(10^(逐级计算!$Q$74/10)-1)+逐级计算!$Q$74*(BV60-逐级计算!$P$74)*LN(10)/10))))))),"")</f>
        <v>13.7930365742089</v>
      </c>
      <c r="BX60">
        <f>IF(AND(ISNUMBER(BW60),逐级计算!$X$75&gt;-1),IF(逐级计算!$X$75=0,BW60+逐级计算!$C$75,BW60+逐级计算!$C$75-(10/(逐级计算!$Q$75*LN(10))*(MAX((LN(10^(逐级计算!$Q$75/10)-1)+逐级计算!$Q$75*(BW60-逐级计算!$P$75)*LN(10)/10),0)+LN(1+EXP(-ABS((LN(10^(逐级计算!$Q$75/10)-1)+逐级计算!$Q$75*(BW60-逐级计算!$P$75)*LN(10)/10))))))),"")</f>
        <v>13.7930365742089</v>
      </c>
      <c r="BY60">
        <f>IF(AND(ISNUMBER(BX60),逐级计算!$X$76&gt;-1),IF(逐级计算!$X$76=0,BX60+逐级计算!$C$76,BX60+逐级计算!$C$76-(10/(逐级计算!$Q$76*LN(10))*(MAX((LN(10^(逐级计算!$Q$76/10)-1)+逐级计算!$Q$76*(BX60-逐级计算!$P$76)*LN(10)/10),0)+LN(1+EXP(-ABS((LN(10^(逐级计算!$Q$76/10)-1)+逐级计算!$Q$76*(BX60-逐级计算!$P$76)*LN(10)/10))))))),"")</f>
        <v>13.7930365742089</v>
      </c>
      <c r="BZ60">
        <f>IF(AND(ISNUMBER(BY60),逐级计算!$X$77&gt;-1),IF(逐级计算!$X$77=0,BY60+逐级计算!$C$77,BY60+逐级计算!$C$77-(10/(逐级计算!$Q$77*LN(10))*(MAX((LN(10^(逐级计算!$Q$77/10)-1)+逐级计算!$Q$77*(BY60-逐级计算!$P$77)*LN(10)/10),0)+LN(1+EXP(-ABS((LN(10^(逐级计算!$Q$77/10)-1)+逐级计算!$Q$77*(BY60-逐级计算!$P$77)*LN(10)/10))))))),"")</f>
        <v>13.7930365742089</v>
      </c>
      <c r="CA60">
        <f>IF(AND(ISNUMBER(BZ60),逐级计算!$X$78&gt;-1),IF(逐级计算!$X$78=0,BZ60+逐级计算!$C$78,BZ60+逐级计算!$C$78-(10/(逐级计算!$Q$78*LN(10))*(MAX((LN(10^(逐级计算!$Q$78/10)-1)+逐级计算!$Q$78*(BZ60-逐级计算!$P$78)*LN(10)/10),0)+LN(1+EXP(-ABS((LN(10^(逐级计算!$Q$78/10)-1)+逐级计算!$Q$78*(BZ60-逐级计算!$P$78)*LN(10)/10))))))),"")</f>
        <v>13.7930365742089</v>
      </c>
      <c r="CB60">
        <f>IF(AND(ISNUMBER(CA60),逐级计算!$X$79&gt;-1),IF(逐级计算!$X$79=0,CA60+逐级计算!$C$79,CA60+逐级计算!$C$79-(10/(逐级计算!$Q$79*LN(10))*(MAX((LN(10^(逐级计算!$Q$79/10)-1)+逐级计算!$Q$79*(CA60-逐级计算!$P$79)*LN(10)/10),0)+LN(1+EXP(-ABS((LN(10^(逐级计算!$Q$79/10)-1)+逐级计算!$Q$79*(CA60-逐级计算!$P$79)*LN(10)/10))))))),"")</f>
        <v>13.7930365742089</v>
      </c>
      <c r="CC60">
        <f>IF(AND(ISNUMBER(CB60),逐级计算!$X$80&gt;-1),IF(逐级计算!$X$80=0,CB60+逐级计算!$C$80,CB60+逐级计算!$C$80-(10/(逐级计算!$Q$80*LN(10))*(MAX((LN(10^(逐级计算!$Q$80/10)-1)+逐级计算!$Q$80*(CB60-逐级计算!$P$80)*LN(10)/10),0)+LN(1+EXP(-ABS((LN(10^(逐级计算!$Q$80/10)-1)+逐级计算!$Q$80*(CB60-逐级计算!$P$80)*LN(10)/10))))))),"")</f>
        <v>13.7930365742089</v>
      </c>
      <c r="CD60">
        <f>IF(AND(ISNUMBER(CC60),逐级计算!$X$81&gt;-1),IF(逐级计算!$X$81=0,CC60+逐级计算!$C$81,CC60+逐级计算!$C$81-(10/(逐级计算!$Q$81*LN(10))*(MAX((LN(10^(逐级计算!$Q$81/10)-1)+逐级计算!$Q$81*(CC60-逐级计算!$P$81)*LN(10)/10),0)+LN(1+EXP(-ABS((LN(10^(逐级计算!$Q$81/10)-1)+逐级计算!$Q$81*(CC60-逐级计算!$P$81)*LN(10)/10))))))),"")</f>
        <v>13.7930365742089</v>
      </c>
      <c r="CE60">
        <f>IF(AND(ISNUMBER(CD60),逐级计算!$X$82&gt;-1),IF(逐级计算!$X$82=0,CD60+逐级计算!$C$82,CD60+逐级计算!$C$82-(10/(逐级计算!$Q$82*LN(10))*(MAX((LN(10^(逐级计算!$Q$82/10)-1)+逐级计算!$Q$82*(CD60-逐级计算!$P$82)*LN(10)/10),0)+LN(1+EXP(-ABS((LN(10^(逐级计算!$Q$82/10)-1)+逐级计算!$Q$82*(CD60-逐级计算!$P$82)*LN(10)/10))))))),"")</f>
        <v>13.7930365742089</v>
      </c>
      <c r="CF60">
        <f>IF(AND(ISNUMBER(CE60),逐级计算!$X$83&gt;-1),IF(逐级计算!$X$83=0,CE60+逐级计算!$C$83,CE60+逐级计算!$C$83-(10/(逐级计算!$Q$83*LN(10))*(MAX((LN(10^(逐级计算!$Q$83/10)-1)+逐级计算!$Q$83*(CE60-逐级计算!$P$83)*LN(10)/10),0)+LN(1+EXP(-ABS((LN(10^(逐级计算!$Q$83/10)-1)+逐级计算!$Q$83*(CE60-逐级计算!$P$83)*LN(10)/10))))))),"")</f>
        <v>13.7930365742089</v>
      </c>
      <c r="CG60">
        <f>IF(AND(ISNUMBER(CF60),逐级计算!$X$84&gt;-1),IF(逐级计算!$X$84=0,CF60+逐级计算!$C$84,CF60+逐级计算!$C$84-(10/(逐级计算!$Q$84*LN(10))*(MAX((LN(10^(逐级计算!$Q$84/10)-1)+逐级计算!$Q$84*(CF60-逐级计算!$P$84)*LN(10)/10),0)+LN(1+EXP(-ABS((LN(10^(逐级计算!$Q$84/10)-1)+逐级计算!$Q$84*(CF60-逐级计算!$P$84)*LN(10)/10))))))),"")</f>
        <v>13.7930365742089</v>
      </c>
      <c r="CH60">
        <f>IF(AND(ISNUMBER(CG60),逐级计算!$X$85&gt;-1),IF(逐级计算!$X$85=0,CG60+逐级计算!$C$85,CG60+逐级计算!$C$85-(10/(逐级计算!$Q$85*LN(10))*(MAX((LN(10^(逐级计算!$Q$85/10)-1)+逐级计算!$Q$85*(CG60-逐级计算!$P$85)*LN(10)/10),0)+LN(1+EXP(-ABS((LN(10^(逐级计算!$Q$85/10)-1)+逐级计算!$Q$85*(CG60-逐级计算!$P$85)*LN(10)/10))))))),"")</f>
        <v>13.7930365742089</v>
      </c>
      <c r="CI60">
        <f>IF(AND(ISNUMBER(CH60),逐级计算!$X$86&gt;-1),IF(逐级计算!$X$86=0,CH60+逐级计算!$C$86,CH60+逐级计算!$C$86-(10/(逐级计算!$Q$86*LN(10))*(MAX((LN(10^(逐级计算!$Q$86/10)-1)+逐级计算!$Q$86*(CH60-逐级计算!$P$86)*LN(10)/10),0)+LN(1+EXP(-ABS((LN(10^(逐级计算!$Q$86/10)-1)+逐级计算!$Q$86*(CH60-逐级计算!$P$86)*LN(10)/10))))))),"")</f>
        <v>13.7930365742089</v>
      </c>
      <c r="CJ60">
        <f>IF(AND(ISNUMBER(CI60),逐级计算!$X$87&gt;-1),IF(逐级计算!$X$87=0,CI60+逐级计算!$C$87,CI60+逐级计算!$C$87-(10/(逐级计算!$Q$87*LN(10))*(MAX((LN(10^(逐级计算!$Q$87/10)-1)+逐级计算!$Q$87*(CI60-逐级计算!$P$87)*LN(10)/10),0)+LN(1+EXP(-ABS((LN(10^(逐级计算!$Q$87/10)-1)+逐级计算!$Q$87*(CI60-逐级计算!$P$87)*LN(10)/10))))))),"")</f>
        <v>13.7930365742089</v>
      </c>
      <c r="CK60">
        <f>IF(AND(ISNUMBER(CJ60),逐级计算!$X$88&gt;-1),IF(逐级计算!$X$88=0,CJ60+逐级计算!$C$88,CJ60+逐级计算!$C$88-(10/(逐级计算!$Q$88*LN(10))*(MAX((LN(10^(逐级计算!$Q$88/10)-1)+逐级计算!$Q$88*(CJ60-逐级计算!$P$88)*LN(10)/10),0)+LN(1+EXP(-ABS((LN(10^(逐级计算!$Q$88/10)-1)+逐级计算!$Q$88*(CJ60-逐级计算!$P$88)*LN(10)/10))))))),"")</f>
        <v>13.7930365742089</v>
      </c>
      <c r="CL60">
        <f>IF(AND(ISNUMBER(CK60),逐级计算!$X$89&gt;-1),IF(逐级计算!$X$89=0,CK60+逐级计算!$C$89,CK60+逐级计算!$C$89-(10/(逐级计算!$Q$89*LN(10))*(MAX((LN(10^(逐级计算!$Q$89/10)-1)+逐级计算!$Q$89*(CK60-逐级计算!$P$89)*LN(10)/10),0)+LN(1+EXP(-ABS((LN(10^(逐级计算!$Q$89/10)-1)+逐级计算!$Q$89*(CK60-逐级计算!$P$89)*LN(10)/10))))))),"")</f>
        <v>13.7930365742089</v>
      </c>
      <c r="CM60">
        <f>IF(AND(ISNUMBER(CL60),逐级计算!$X$90&gt;-1),IF(逐级计算!$X$90=0,CL60+逐级计算!$C$90,CL60+逐级计算!$C$90-(10/(逐级计算!$Q$90*LN(10))*(MAX((LN(10^(逐级计算!$Q$90/10)-1)+逐级计算!$Q$90*(CL60-逐级计算!$P$90)*LN(10)/10),0)+LN(1+EXP(-ABS((LN(10^(逐级计算!$Q$90/10)-1)+逐级计算!$Q$90*(CL60-逐级计算!$P$90)*LN(10)/10))))))),"")</f>
        <v>13.7930365742089</v>
      </c>
      <c r="CN60">
        <f>IF(AND(ISNUMBER(CM60),逐级计算!$X$91&gt;-1),IF(逐级计算!$X$91=0,CM60+逐级计算!$C$91,CM60+逐级计算!$C$91-(10/(逐级计算!$Q$91*LN(10))*(MAX((LN(10^(逐级计算!$Q$91/10)-1)+逐级计算!$Q$91*(CM60-逐级计算!$P$91)*LN(10)/10),0)+LN(1+EXP(-ABS((LN(10^(逐级计算!$Q$91/10)-1)+逐级计算!$Q$91*(CM60-逐级计算!$P$91)*LN(10)/10))))))),"")</f>
        <v>13.7930365742089</v>
      </c>
      <c r="CO60">
        <f>IF(AND(ISNUMBER(CN60),逐级计算!$X$92&gt;-1),IF(逐级计算!$X$92=0,CN60+逐级计算!$C$92,CN60+逐级计算!$C$92-(10/(逐级计算!$Q$92*LN(10))*(MAX((LN(10^(逐级计算!$Q$92/10)-1)+逐级计算!$Q$92*(CN60-逐级计算!$P$92)*LN(10)/10),0)+LN(1+EXP(-ABS((LN(10^(逐级计算!$Q$92/10)-1)+逐级计算!$Q$92*(CN60-逐级计算!$P$92)*LN(10)/10))))))),"")</f>
        <v>13.7930365742089</v>
      </c>
      <c r="CP60">
        <f>IF(AND(ISNUMBER(CO60),逐级计算!$X$93&gt;-1),IF(逐级计算!$X$93=0,CO60+逐级计算!$C$93,CO60+逐级计算!$C$93-(10/(逐级计算!$Q$93*LN(10))*(MAX((LN(10^(逐级计算!$Q$93/10)-1)+逐级计算!$Q$93*(CO60-逐级计算!$P$93)*LN(10)/10),0)+LN(1+EXP(-ABS((LN(10^(逐级计算!$Q$93/10)-1)+逐级计算!$Q$93*(CO60-逐级计算!$P$93)*LN(10)/10))))))),"")</f>
        <v>13.7930365742089</v>
      </c>
      <c r="CQ60">
        <f>IF(AND(ISNUMBER(CP60),逐级计算!$X$94&gt;-1),IF(逐级计算!$X$94=0,CP60+逐级计算!$C$94,CP60+逐级计算!$C$94-(10/(逐级计算!$Q$94*LN(10))*(MAX((LN(10^(逐级计算!$Q$94/10)-1)+逐级计算!$Q$94*(CP60-逐级计算!$P$94)*LN(10)/10),0)+LN(1+EXP(-ABS((LN(10^(逐级计算!$Q$94/10)-1)+逐级计算!$Q$94*(CP60-逐级计算!$P$94)*LN(10)/10))))))),"")</f>
        <v>13.7930365742089</v>
      </c>
      <c r="CR60">
        <f>IF(AND(ISNUMBER(CQ60),逐级计算!$X$95&gt;-1),IF(逐级计算!$X$95=0,CQ60+逐级计算!$C$95,CQ60+逐级计算!$C$95-(10/(逐级计算!$Q$95*LN(10))*(MAX((LN(10^(逐级计算!$Q$95/10)-1)+逐级计算!$Q$95*(CQ60-逐级计算!$P$95)*LN(10)/10),0)+LN(1+EXP(-ABS((LN(10^(逐级计算!$Q$95/10)-1)+逐级计算!$Q$95*(CQ60-逐级计算!$P$95)*LN(10)/10))))))),"")</f>
        <v>13.7930365742089</v>
      </c>
      <c r="CS60">
        <f>IF(AND(ISNUMBER(CR60),逐级计算!$X$96&gt;-1),IF(逐级计算!$X$96=0,CR60+逐级计算!$C$96,CR60+逐级计算!$C$96-(10/(逐级计算!$Q$96*LN(10))*(MAX((LN(10^(逐级计算!$Q$96/10)-1)+逐级计算!$Q$96*(CR60-逐级计算!$P$96)*LN(10)/10),0)+LN(1+EXP(-ABS((LN(10^(逐级计算!$Q$96/10)-1)+逐级计算!$Q$96*(CR60-逐级计算!$P$96)*LN(10)/10))))))),"")</f>
        <v>13.7930365742089</v>
      </c>
      <c r="CT60">
        <f>IF(AND(ISNUMBER(CS60),逐级计算!$X$97&gt;-1),IF(逐级计算!$X$97=0,CS60+逐级计算!$C$97,CS60+逐级计算!$C$97-(10/(逐级计算!$Q$97*LN(10))*(MAX((LN(10^(逐级计算!$Q$97/10)-1)+逐级计算!$Q$97*(CS60-逐级计算!$P$97)*LN(10)/10),0)+LN(1+EXP(-ABS((LN(10^(逐级计算!$Q$97/10)-1)+逐级计算!$Q$97*(CS60-逐级计算!$P$97)*LN(10)/10))))))),"")</f>
        <v>13.7930365742089</v>
      </c>
      <c r="CU60">
        <f>IF(AND(ISNUMBER(CT60),逐级计算!$X$98&gt;-1),IF(逐级计算!$X$98=0,CT60+逐级计算!$C$98,CT60+逐级计算!$C$98-(10/(逐级计算!$Q$98*LN(10))*(MAX((LN(10^(逐级计算!$Q$98/10)-1)+逐级计算!$Q$98*(CT60-逐级计算!$P$98)*LN(10)/10),0)+LN(1+EXP(-ABS((LN(10^(逐级计算!$Q$98/10)-1)+逐级计算!$Q$98*(CT60-逐级计算!$P$98)*LN(10)/10))))))),"")</f>
        <v>13.7930365742089</v>
      </c>
      <c r="CV60">
        <f>IF(AND(ISNUMBER(CU60),逐级计算!$X$99&gt;-1),IF(逐级计算!$X$99=0,CU60+逐级计算!$C$99,CU60+逐级计算!$C$99-(10/(逐级计算!$Q$99*LN(10))*(MAX((LN(10^(逐级计算!$Q$99/10)-1)+逐级计算!$Q$99*(CU60-逐级计算!$P$99)*LN(10)/10),0)+LN(1+EXP(-ABS((LN(10^(逐级计算!$Q$99/10)-1)+逐级计算!$Q$99*(CU60-逐级计算!$P$99)*LN(10)/10))))))),"")</f>
        <v>13.7930365742089</v>
      </c>
      <c r="CW60">
        <f>IF(AND(ISNUMBER(CV60),逐级计算!$X$100&gt;-1),IF(逐级计算!$X$100=0,CV60+逐级计算!$C$100,CV60+逐级计算!$C$100-(10/(逐级计算!$Q$100*LN(10))*(MAX((LN(10^(逐级计算!$Q$100/10)-1)+逐级计算!$Q$100*(CV60-逐级计算!$P$100)*LN(10)/10),0)+LN(1+EXP(-ABS((LN(10^(逐级计算!$Q$100/10)-1)+逐级计算!$Q$100*(CV60-逐级计算!$P$100)*LN(10)/10))))))),"")</f>
        <v>13.7930365742089</v>
      </c>
      <c r="CX60">
        <f>IF(AND(ISNUMBER(CW60),逐级计算!$X$101&gt;-1),IF(逐级计算!$X$101=0,CW60+逐级计算!$C$101,CW60+逐级计算!$C$101-(10/(逐级计算!$Q$101*LN(10))*(MAX((LN(10^(逐级计算!$Q$101/10)-1)+逐级计算!$Q$101*(CW60-逐级计算!$P$101)*LN(10)/10),0)+LN(1+EXP(-ABS((LN(10^(逐级计算!$Q$101/10)-1)+逐级计算!$Q$101*(CW60-逐级计算!$P$101)*LN(10)/10))))))),"")</f>
        <v>13.7930365742089</v>
      </c>
      <c r="CY60">
        <f>IF(AND(ISNUMBER(CX60),逐级计算!$X$102&gt;-1),IF(逐级计算!$X$102=0,CX60+逐级计算!$C$102,CX60+逐级计算!$C$102-(10/(逐级计算!$Q$102*LN(10))*(MAX((LN(10^(逐级计算!$Q$102/10)-1)+逐级计算!$Q$102*(CX60-逐级计算!$P$102)*LN(10)/10),0)+LN(1+EXP(-ABS((LN(10^(逐级计算!$Q$102/10)-1)+逐级计算!$Q$102*(CX60-逐级计算!$P$102)*LN(10)/10))))))),"")</f>
        <v>13.7930365742089</v>
      </c>
      <c r="CZ60">
        <f>IF(AND(ISNUMBER(CY60),逐级计算!$X$103&gt;-1),IF(逐级计算!$X$103=0,CY60+逐级计算!$C$103,CY60+逐级计算!$C$103-(10/(逐级计算!$Q$103*LN(10))*(MAX((LN(10^(逐级计算!$Q$103/10)-1)+逐级计算!$Q$103*(CY60-逐级计算!$P$103)*LN(10)/10),0)+LN(1+EXP(-ABS((LN(10^(逐级计算!$Q$103/10)-1)+逐级计算!$Q$103*(CY60-逐级计算!$P$103)*LN(10)/10))))))),"")</f>
        <v>13.7930365742089</v>
      </c>
      <c r="DA60">
        <f>IF(AND(ISNUMBER(CZ60),逐级计算!$X$104&gt;-1),IF(逐级计算!$X$104=0,CZ60+逐级计算!$C$104,CZ60+逐级计算!$C$104-(10/(逐级计算!$Q$104*LN(10))*(MAX((LN(10^(逐级计算!$Q$104/10)-1)+逐级计算!$Q$104*(CZ60-逐级计算!$P$104)*LN(10)/10),0)+LN(1+EXP(-ABS((LN(10^(逐级计算!$Q$104/10)-1)+逐级计算!$Q$104*(CZ60-逐级计算!$P$104)*LN(10)/10))))))),"")</f>
        <v>13.7930365742089</v>
      </c>
      <c r="DB60">
        <f>IF(AND(ISNUMBER(DA60),逐级计算!$X$105&gt;-1),IF(逐级计算!$X$105=0,DA60+逐级计算!$C$105,DA60+逐级计算!$C$105-(10/(逐级计算!$Q$105*LN(10))*(MAX((LN(10^(逐级计算!$Q$105/10)-1)+逐级计算!$Q$105*(DA60-逐级计算!$P$105)*LN(10)/10),0)+LN(1+EXP(-ABS((LN(10^(逐级计算!$Q$105/10)-1)+逐级计算!$Q$105*(DA60-逐级计算!$P$105)*LN(10)/10))))))),"")</f>
        <v>13.7930365742089</v>
      </c>
      <c r="DC60">
        <f>IF(AND(ISNUMBER(DB60),逐级计算!$X$106&gt;-1),IF(逐级计算!$X$106=0,DB60+逐级计算!$C$106,DB60+逐级计算!$C$106-(10/(逐级计算!$Q$106*LN(10))*(MAX((LN(10^(逐级计算!$Q$106/10)-1)+逐级计算!$Q$106*(DB60-逐级计算!$P$106)*LN(10)/10),0)+LN(1+EXP(-ABS((LN(10^(逐级计算!$Q$106/10)-1)+逐级计算!$Q$106*(DB60-逐级计算!$P$106)*LN(10)/10))))))),"")</f>
        <v>13.7930365742089</v>
      </c>
      <c r="DD60">
        <f>IF(AND(ISNUMBER(DC60),逐级计算!$X$107&gt;-1),IF(逐级计算!$X$107=0,DC60+逐级计算!$C$107,DC60+逐级计算!$C$107-(10/(逐级计算!$Q$107*LN(10))*(MAX((LN(10^(逐级计算!$Q$107/10)-1)+逐级计算!$Q$107*(DC60-逐级计算!$P$107)*LN(10)/10),0)+LN(1+EXP(-ABS((LN(10^(逐级计算!$Q$107/10)-1)+逐级计算!$Q$107*(DC60-逐级计算!$P$107)*LN(10)/10))))))),"")</f>
        <v>13.7930365742089</v>
      </c>
      <c r="DE60">
        <f>IF(AND(ISNUMBER(DD60),逐级计算!$X$108&gt;-1),IF(逐级计算!$X$108=0,DD60+逐级计算!$C$108,DD60+逐级计算!$C$108-(10/(逐级计算!$Q$108*LN(10))*(MAX((LN(10^(逐级计算!$Q$108/10)-1)+逐级计算!$Q$108*(DD60-逐级计算!$P$108)*LN(10)/10),0)+LN(1+EXP(-ABS((LN(10^(逐级计算!$Q$108/10)-1)+逐级计算!$Q$108*(DD60-逐级计算!$P$108)*LN(10)/10))))))),"")</f>
        <v>13.7930365742089</v>
      </c>
      <c r="DF60">
        <f>IF(AND(ISNUMBER(DE60),逐级计算!$X$109&gt;-1),IF(逐级计算!$X$109=0,DE60+逐级计算!$C$109,DE60+逐级计算!$C$109-(10/(逐级计算!$Q$109*LN(10))*(MAX((LN(10^(逐级计算!$Q$109/10)-1)+逐级计算!$Q$109*(DE60-逐级计算!$P$109)*LN(10)/10),0)+LN(1+EXP(-ABS((LN(10^(逐级计算!$Q$109/10)-1)+逐级计算!$Q$109*(DE60-逐级计算!$P$109)*LN(10)/10))))))),"")</f>
        <v>13.7930365742089</v>
      </c>
      <c r="DG60">
        <f>IF(AND(ISNUMBER(DF60),逐级计算!$X$110&gt;-1),IF(逐级计算!$X$110=0,DF60+逐级计算!$C$110,DF60+逐级计算!$C$110-(10/(逐级计算!$Q$110*LN(10))*(MAX((LN(10^(逐级计算!$Q$110/10)-1)+逐级计算!$Q$110*(DF60-逐级计算!$P$110)*LN(10)/10),0)+LN(1+EXP(-ABS((LN(10^(逐级计算!$Q$110/10)-1)+逐级计算!$Q$110*(DF60-逐级计算!$P$110)*LN(10)/10))))))),"")</f>
        <v>13.7930365742089</v>
      </c>
      <c r="DH60">
        <f>IF(AND(ISNUMBER(DG60),逐级计算!$X$111&gt;-1),IF(逐级计算!$X$111=0,DG60+逐级计算!$C$111,DG60+逐级计算!$C$111-(10/(逐级计算!$Q$111*LN(10))*(MAX((LN(10^(逐级计算!$Q$111/10)-1)+逐级计算!$Q$111*(DG60-逐级计算!$P$111)*LN(10)/10),0)+LN(1+EXP(-ABS((LN(10^(逐级计算!$Q$111/10)-1)+逐级计算!$Q$111*(DG60-逐级计算!$P$111)*LN(10)/10))))))),"")</f>
        <v>13.7930365742089</v>
      </c>
      <c r="DI60">
        <f>IF(AND(ISNUMBER(DH60),逐级计算!$X$112&gt;-1),IF(逐级计算!$X$112=0,DH60+逐级计算!$C$112,DH60+逐级计算!$C$112-(10/(逐级计算!$Q$112*LN(10))*(MAX((LN(10^(逐级计算!$Q$112/10)-1)+逐级计算!$Q$112*(DH60-逐级计算!$P$112)*LN(10)/10),0)+LN(1+EXP(-ABS((LN(10^(逐级计算!$Q$112/10)-1)+逐级计算!$Q$112*(DH60-逐级计算!$P$112)*LN(10)/10))))))),"")</f>
        <v>13.7930365742089</v>
      </c>
      <c r="DJ60">
        <f>IF(AND(ISNUMBER(DI60),逐级计算!$X$113&gt;-1),IF(逐级计算!$X$113=0,DI60+逐级计算!$C$113,DI60+逐级计算!$C$113-(10/(逐级计算!$Q$113*LN(10))*(MAX((LN(10^(逐级计算!$Q$113/10)-1)+逐级计算!$Q$113*(DI60-逐级计算!$P$113)*LN(10)/10),0)+LN(1+EXP(-ABS((LN(10^(逐级计算!$Q$113/10)-1)+逐级计算!$Q$113*(DI60-逐级计算!$P$113)*LN(10)/10))))))),"")</f>
        <v>13.7930365742089</v>
      </c>
      <c r="DK60">
        <f>IF(AND(ISNUMBER(DJ60),逐级计算!$X$114&gt;-1),IF(逐级计算!$X$114=0,DJ60+逐级计算!$C$114,DJ60+逐级计算!$C$114-(10/(逐级计算!$Q$114*LN(10))*(MAX((LN(10^(逐级计算!$Q$114/10)-1)+逐级计算!$Q$114*(DJ60-逐级计算!$P$114)*LN(10)/10),0)+LN(1+EXP(-ABS((LN(10^(逐级计算!$Q$114/10)-1)+逐级计算!$Q$114*(DJ60-逐级计算!$P$114)*LN(10)/10))))))),"")</f>
        <v>13.7930365742089</v>
      </c>
      <c r="DL60">
        <f>IF(AND(ISNUMBER(DK60),逐级计算!$X$115&gt;-1),IF(逐级计算!$X$115=0,DK60+逐级计算!$C$115,DK60+逐级计算!$C$115-(10/(逐级计算!$Q$115*LN(10))*(MAX((LN(10^(逐级计算!$Q$115/10)-1)+逐级计算!$Q$115*(DK60-逐级计算!$P$115)*LN(10)/10),0)+LN(1+EXP(-ABS((LN(10^(逐级计算!$Q$115/10)-1)+逐级计算!$Q$115*(DK60-逐级计算!$P$115)*LN(10)/10))))))),"")</f>
        <v>13.7930365742089</v>
      </c>
      <c r="DM60">
        <f>IF(AND(ISNUMBER(DL60),逐级计算!$X$116&gt;-1),IF(逐级计算!$X$116=0,DL60+逐级计算!$C$116,DL60+逐级计算!$C$116-(10/(逐级计算!$Q$116*LN(10))*(MAX((LN(10^(逐级计算!$Q$116/10)-1)+逐级计算!$Q$116*(DL60-逐级计算!$P$116)*LN(10)/10),0)+LN(1+EXP(-ABS((LN(10^(逐级计算!$Q$116/10)-1)+逐级计算!$Q$116*(DL60-逐级计算!$P$116)*LN(10)/10))))))),"")</f>
        <v>13.7930365742089</v>
      </c>
      <c r="DN60">
        <f>IF(AND(ISNUMBER(DM60),逐级计算!$X$117&gt;-1),IF(逐级计算!$X$117=0,DM60+逐级计算!$C$117,DM60+逐级计算!$C$117-(10/(逐级计算!$Q$117*LN(10))*(MAX((LN(10^(逐级计算!$Q$117/10)-1)+逐级计算!$Q$117*(DM60-逐级计算!$P$117)*LN(10)/10),0)+LN(1+EXP(-ABS((LN(10^(逐级计算!$Q$117/10)-1)+逐级计算!$Q$117*(DM60-逐级计算!$P$117)*LN(10)/10))))))),"")</f>
        <v>13.7930365742089</v>
      </c>
      <c r="DO60">
        <f>IF(AND(ISNUMBER(DN60),逐级计算!$X$118&gt;-1),IF(逐级计算!$X$118=0,DN60+逐级计算!$C$118,DN60+逐级计算!$C$118-(10/(逐级计算!$Q$118*LN(10))*(MAX((LN(10^(逐级计算!$Q$118/10)-1)+逐级计算!$Q$118*(DN60-逐级计算!$P$118)*LN(10)/10),0)+LN(1+EXP(-ABS((LN(10^(逐级计算!$Q$118/10)-1)+逐级计算!$Q$118*(DN60-逐级计算!$P$118)*LN(10)/10))))))),"")</f>
        <v>13.7930365742089</v>
      </c>
      <c r="DP60">
        <f>IF(AND(ISNUMBER(DO60),逐级计算!$X$119&gt;-1),IF(逐级计算!$X$119=0,DO60+逐级计算!$C$119,DO60+逐级计算!$C$119-(10/(逐级计算!$Q$119*LN(10))*(MAX((LN(10^(逐级计算!$Q$119/10)-1)+逐级计算!$Q$119*(DO60-逐级计算!$P$119)*LN(10)/10),0)+LN(1+EXP(-ABS((LN(10^(逐级计算!$Q$119/10)-1)+逐级计算!$Q$119*(DO60-逐级计算!$P$119)*LN(10)/10))))))),"")</f>
        <v>13.7930365742089</v>
      </c>
      <c r="DQ60">
        <f>IF(AND(ISNUMBER(DP60),逐级计算!$X$120&gt;-1),IF(逐级计算!$X$120=0,DP60+逐级计算!$C$120,DP60+逐级计算!$C$120-(10/(逐级计算!$Q$120*LN(10))*(MAX((LN(10^(逐级计算!$Q$120/10)-1)+逐级计算!$Q$120*(DP60-逐级计算!$P$120)*LN(10)/10),0)+LN(1+EXP(-ABS((LN(10^(逐级计算!$Q$120/10)-1)+逐级计算!$Q$120*(DP60-逐级计算!$P$120)*LN(10)/10))))))),"")</f>
        <v>13.7930365742089</v>
      </c>
      <c r="DR60">
        <f>IF(AND(ISNUMBER(DQ60),逐级计算!$X$121&gt;-1),IF(逐级计算!$X$121=0,DQ60+逐级计算!$C$121,DQ60+逐级计算!$C$121-(10/(逐级计算!$Q$121*LN(10))*(MAX((LN(10^(逐级计算!$Q$121/10)-1)+逐级计算!$Q$121*(DQ60-逐级计算!$P$121)*LN(10)/10),0)+LN(1+EXP(-ABS((LN(10^(逐级计算!$Q$121/10)-1)+逐级计算!$Q$121*(DQ60-逐级计算!$P$121)*LN(10)/10))))))),"")</f>
        <v>13.7930365742089</v>
      </c>
      <c r="DS60">
        <f>IF(AND(ISNUMBER(DR60),逐级计算!$X$122&gt;-1),IF(逐级计算!$X$122=0,DR60+逐级计算!$C$122,DR60+逐级计算!$C$122-(10/(逐级计算!$Q$122*LN(10))*(MAX((LN(10^(逐级计算!$Q$122/10)-1)+逐级计算!$Q$122*(DR60-逐级计算!$P$122)*LN(10)/10),0)+LN(1+EXP(-ABS((LN(10^(逐级计算!$Q$122/10)-1)+逐级计算!$Q$122*(DR60-逐级计算!$P$122)*LN(10)/10))))))),"")</f>
        <v>13.7930365742089</v>
      </c>
      <c r="DT60">
        <f>IF(AND(ISNUMBER(DS60),逐级计算!$X$123&gt;-1),IF(逐级计算!$X$123=0,DS60+逐级计算!$C$123,DS60+逐级计算!$C$123-(10/(逐级计算!$Q$123*LN(10))*(MAX((LN(10^(逐级计算!$Q$123/10)-1)+逐级计算!$Q$123*(DS60-逐级计算!$P$123)*LN(10)/10),0)+LN(1+EXP(-ABS((LN(10^(逐级计算!$Q$123/10)-1)+逐级计算!$Q$123*(DS60-逐级计算!$P$123)*LN(10)/10))))))),"")</f>
        <v>13.7930365742089</v>
      </c>
      <c r="DU60">
        <f>IF(AND(ISNUMBER(DT60),逐级计算!$X$124&gt;-1),IF(逐级计算!$X$124=0,DT60+逐级计算!$C$124,DT60+逐级计算!$C$124-(10/(逐级计算!$Q$124*LN(10))*(MAX((LN(10^(逐级计算!$Q$124/10)-1)+逐级计算!$Q$124*(DT60-逐级计算!$P$124)*LN(10)/10),0)+LN(1+EXP(-ABS((LN(10^(逐级计算!$Q$124/10)-1)+逐级计算!$Q$124*(DT60-逐级计算!$P$124)*LN(10)/10))))))),"")</f>
        <v>13.7930365742089</v>
      </c>
      <c r="DV60">
        <f>IF(AND(ISNUMBER(DU60),逐级计算!$X$125&gt;-1),IF(逐级计算!$X$125=0,DU60+逐级计算!$C$125,DU60+逐级计算!$C$125-(10/(逐级计算!$Q$125*LN(10))*(MAX((LN(10^(逐级计算!$Q$125/10)-1)+逐级计算!$Q$125*(DU60-逐级计算!$P$125)*LN(10)/10),0)+LN(1+EXP(-ABS((LN(10^(逐级计算!$Q$125/10)-1)+逐级计算!$Q$125*(DU60-逐级计算!$P$125)*LN(10)/10))))))),"")</f>
        <v>13.7930365742089</v>
      </c>
      <c r="DW60">
        <f>IF(AND(ISNUMBER(DV60),逐级计算!$X$126&gt;-1),IF(逐级计算!$X$126=0,DV60+逐级计算!$C$126,DV60+逐级计算!$C$126-(10/(逐级计算!$Q$126*LN(10))*(MAX((LN(10^(逐级计算!$Q$126/10)-1)+逐级计算!$Q$126*(DV60-逐级计算!$P$126)*LN(10)/10),0)+LN(1+EXP(-ABS((LN(10^(逐级计算!$Q$126/10)-1)+逐级计算!$Q$126*(DV60-逐级计算!$P$126)*LN(10)/10))))))),"")</f>
        <v>13.7930365742089</v>
      </c>
      <c r="DX60">
        <f>IF(AND(ISNUMBER(DW60),逐级计算!$X$127&gt;-1),IF(逐级计算!$X$127=0,DW60+逐级计算!$C$127,DW60+逐级计算!$C$127-(10/(逐级计算!$Q$127*LN(10))*(MAX((LN(10^(逐级计算!$Q$127/10)-1)+逐级计算!$Q$127*(DW60-逐级计算!$P$127)*LN(10)/10),0)+LN(1+EXP(-ABS((LN(10^(逐级计算!$Q$127/10)-1)+逐级计算!$Q$127*(DW60-逐级计算!$P$127)*LN(10)/10))))))),"")</f>
        <v>13.7930365742089</v>
      </c>
      <c r="DY60">
        <f>IF(AND(ISNUMBER(DX60),逐级计算!$X$128&gt;-1),IF(逐级计算!$X$128=0,DX60+逐级计算!$C$128,DX60+逐级计算!$C$128-(10/(逐级计算!$Q$128*LN(10))*(MAX((LN(10^(逐级计算!$Q$128/10)-1)+逐级计算!$Q$128*(DX60-逐级计算!$P$128)*LN(10)/10),0)+LN(1+EXP(-ABS((LN(10^(逐级计算!$Q$128/10)-1)+逐级计算!$Q$128*(DX60-逐级计算!$P$128)*LN(10)/10))))))),"")</f>
        <v>13.7930365742089</v>
      </c>
      <c r="DZ60">
        <f>IF(AND(ISNUMBER(DY60),逐级计算!$X$129&gt;-1),IF(逐级计算!$X$129=0,DY60+逐级计算!$C$129,DY60+逐级计算!$C$129-(10/(逐级计算!$Q$129*LN(10))*(MAX((LN(10^(逐级计算!$Q$129/10)-1)+逐级计算!$Q$129*(DY60-逐级计算!$P$129)*LN(10)/10),0)+LN(1+EXP(-ABS((LN(10^(逐级计算!$Q$129/10)-1)+逐级计算!$Q$129*(DY60-逐级计算!$P$129)*LN(10)/10))))))),"")</f>
        <v>13.7930365742089</v>
      </c>
      <c r="EA60">
        <f>IF(AND(ISNUMBER(DZ60),逐级计算!$X$130&gt;-1),IF(逐级计算!$X$130=0,DZ60+逐级计算!$C$130,DZ60+逐级计算!$C$130-(10/(逐级计算!$Q$130*LN(10))*(MAX((LN(10^(逐级计算!$Q$130/10)-1)+逐级计算!$Q$130*(DZ60-逐级计算!$P$130)*LN(10)/10),0)+LN(1+EXP(-ABS((LN(10^(逐级计算!$Q$130/10)-1)+逐级计算!$Q$130*(DZ60-逐级计算!$P$130)*LN(10)/10))))))),"")</f>
        <v>13.7930365742089</v>
      </c>
      <c r="EB60">
        <f>IF(AND(ISNUMBER(EA60),逐级计算!$X$131&gt;-1),IF(逐级计算!$X$131=0,EA60+逐级计算!$C$131,EA60+逐级计算!$C$131-(10/(逐级计算!$Q$131*LN(10))*(MAX((LN(10^(逐级计算!$Q$131/10)-1)+逐级计算!$Q$131*(EA60-逐级计算!$P$131)*LN(10)/10),0)+LN(1+EXP(-ABS((LN(10^(逐级计算!$Q$131/10)-1)+逐级计算!$Q$131*(EA60-逐级计算!$P$131)*LN(10)/10))))))),"")</f>
        <v>13.7930365742089</v>
      </c>
      <c r="EC60">
        <f>IF(AND(ISNUMBER(EB60),逐级计算!$X$132&gt;-1),IF(逐级计算!$X$132=0,EB60+逐级计算!$C$132,EB60+逐级计算!$C$132-(10/(逐级计算!$Q$132*LN(10))*(MAX((LN(10^(逐级计算!$Q$132/10)-1)+逐级计算!$Q$132*(EB60-逐级计算!$P$132)*LN(10)/10),0)+LN(1+EXP(-ABS((LN(10^(逐级计算!$Q$132/10)-1)+逐级计算!$Q$132*(EB60-逐级计算!$P$132)*LN(10)/10))))))),"")</f>
        <v>13.7930365742089</v>
      </c>
      <c r="ED60">
        <f>IF(AND(ISNUMBER(EC60),逐级计算!$X$133&gt;-1),IF(逐级计算!$X$133=0,EC60+逐级计算!$C$133,EC60+逐级计算!$C$133-(10/(逐级计算!$Q$133*LN(10))*(MAX((LN(10^(逐级计算!$Q$133/10)-1)+逐级计算!$Q$133*(EC60-逐级计算!$P$133)*LN(10)/10),0)+LN(1+EXP(-ABS((LN(10^(逐级计算!$Q$133/10)-1)+逐级计算!$Q$133*(EC60-逐级计算!$P$133)*LN(10)/10))))))),"")</f>
        <v>13.7930365742089</v>
      </c>
      <c r="EE60">
        <f>IF(AND(ISNUMBER(ED60),逐级计算!$X$134&gt;-1),IF(逐级计算!$X$134=0,ED60+逐级计算!$C$134,ED60+逐级计算!$C$134-(10/(逐级计算!$Q$134*LN(10))*(MAX((LN(10^(逐级计算!$Q$134/10)-1)+逐级计算!$Q$134*(ED60-逐级计算!$P$134)*LN(10)/10),0)+LN(1+EXP(-ABS((LN(10^(逐级计算!$Q$134/10)-1)+逐级计算!$Q$134*(ED60-逐级计算!$P$134)*LN(10)/10))))))),"")</f>
        <v>13.7930365742089</v>
      </c>
      <c r="EF60">
        <f>IF(AND(ISNUMBER(EE60),逐级计算!$X$135&gt;-1),IF(逐级计算!$X$135=0,EE60+逐级计算!$C$135,EE60+逐级计算!$C$135-(10/(逐级计算!$Q$135*LN(10))*(MAX((LN(10^(逐级计算!$Q$135/10)-1)+逐级计算!$Q$135*(EE60-逐级计算!$P$135)*LN(10)/10),0)+LN(1+EXP(-ABS((LN(10^(逐级计算!$Q$135/10)-1)+逐级计算!$Q$135*(EE60-逐级计算!$P$135)*LN(10)/10))))))),"")</f>
        <v>13.7930365742089</v>
      </c>
      <c r="EG60">
        <f>IF(AND(ISNUMBER(EF60),逐级计算!$X$136&gt;-1),IF(逐级计算!$X$136=0,EF60+逐级计算!$C$136,EF60+逐级计算!$C$136-(10/(逐级计算!$Q$136*LN(10))*(MAX((LN(10^(逐级计算!$Q$136/10)-1)+逐级计算!$Q$136*(EF60-逐级计算!$P$136)*LN(10)/10),0)+LN(1+EXP(-ABS((LN(10^(逐级计算!$Q$136/10)-1)+逐级计算!$Q$136*(EF60-逐级计算!$P$136)*LN(10)/10))))))),"")</f>
        <v>13.7930365742089</v>
      </c>
      <c r="EH60">
        <f>IF(AND(ISNUMBER(EG60),逐级计算!$X$137&gt;-1),IF(逐级计算!$X$137=0,EG60+逐级计算!$C$137,EG60+逐级计算!$C$137-(10/(逐级计算!$Q$137*LN(10))*(MAX((LN(10^(逐级计算!$Q$137/10)-1)+逐级计算!$Q$137*(EG60-逐级计算!$P$137)*LN(10)/10),0)+LN(1+EXP(-ABS((LN(10^(逐级计算!$Q$137/10)-1)+逐级计算!$Q$137*(EG60-逐级计算!$P$137)*LN(10)/10))))))),"")</f>
        <v>13.7930365742089</v>
      </c>
      <c r="EI60">
        <f>IF(AND(ISNUMBER(EH60),逐级计算!$X$138&gt;-1),IF(逐级计算!$X$138=0,EH60+逐级计算!$C$138,EH60+逐级计算!$C$138-(10/(逐级计算!$Q$138*LN(10))*(MAX((LN(10^(逐级计算!$Q$138/10)-1)+逐级计算!$Q$138*(EH60-逐级计算!$P$138)*LN(10)/10),0)+LN(1+EXP(-ABS((LN(10^(逐级计算!$Q$138/10)-1)+逐级计算!$Q$138*(EH60-逐级计算!$P$138)*LN(10)/10))))))),"")</f>
        <v>13.7930365742089</v>
      </c>
      <c r="EJ60">
        <f>IF(AND(ISNUMBER(EI60),逐级计算!$X$139&gt;-1),IF(逐级计算!$X$139=0,EI60+逐级计算!$C$139,EI60+逐级计算!$C$139-(10/(逐级计算!$Q$139*LN(10))*(MAX((LN(10^(逐级计算!$Q$139/10)-1)+逐级计算!$Q$139*(EI60-逐级计算!$P$139)*LN(10)/10),0)+LN(1+EXP(-ABS((LN(10^(逐级计算!$Q$139/10)-1)+逐级计算!$Q$139*(EI60-逐级计算!$P$139)*LN(10)/10))))))),"")</f>
        <v>13.7930365742089</v>
      </c>
      <c r="EK60">
        <f>IF(AND(ISNUMBER(EJ60),逐级计算!$X$140&gt;-1),IF(逐级计算!$X$140=0,EJ60+逐级计算!$C$140,EJ60+逐级计算!$C$140-(10/(逐级计算!$Q$140*LN(10))*(MAX((LN(10^(逐级计算!$Q$140/10)-1)+逐级计算!$Q$140*(EJ60-逐级计算!$P$140)*LN(10)/10),0)+LN(1+EXP(-ABS((LN(10^(逐级计算!$Q$140/10)-1)+逐级计算!$Q$140*(EJ60-逐级计算!$P$140)*LN(10)/10))))))),"")</f>
        <v>13.7930365742089</v>
      </c>
      <c r="EL60">
        <f>IF(AND(ISNUMBER(EK60),逐级计算!$X$141&gt;-1),IF(逐级计算!$X$141=0,EK60+逐级计算!$C$141,EK60+逐级计算!$C$141-(10/(逐级计算!$Q$141*LN(10))*(MAX((LN(10^(逐级计算!$Q$141/10)-1)+逐级计算!$Q$141*(EK60-逐级计算!$P$141)*LN(10)/10),0)+LN(1+EXP(-ABS((LN(10^(逐级计算!$Q$141/10)-1)+逐级计算!$Q$141*(EK60-逐级计算!$P$141)*LN(10)/10))))))),"")</f>
        <v>13.7930365742089</v>
      </c>
      <c r="EM60">
        <f>IF(AND(ISNUMBER(EL60),逐级计算!$X$142&gt;-1),IF(逐级计算!$X$142=0,EL60+逐级计算!$C$142,EL60+逐级计算!$C$142-(10/(逐级计算!$Q$142*LN(10))*(MAX((LN(10^(逐级计算!$Q$142/10)-1)+逐级计算!$Q$142*(EL60-逐级计算!$P$142)*LN(10)/10),0)+LN(1+EXP(-ABS((LN(10^(逐级计算!$Q$142/10)-1)+逐级计算!$Q$142*(EL60-逐级计算!$P$142)*LN(10)/10))))))),"")</f>
        <v>13.7930365742089</v>
      </c>
      <c r="EN60">
        <f>IF(AND(ISNUMBER(EM60),逐级计算!$X$143&gt;-1),IF(逐级计算!$X$143=0,EM60+逐级计算!$C$143,EM60+逐级计算!$C$143-(10/(逐级计算!$Q$143*LN(10))*(MAX((LN(10^(逐级计算!$Q$143/10)-1)+逐级计算!$Q$143*(EM60-逐级计算!$P$143)*LN(10)/10),0)+LN(1+EXP(-ABS((LN(10^(逐级计算!$Q$143/10)-1)+逐级计算!$Q$143*(EM60-逐级计算!$P$143)*LN(10)/10))))))),"")</f>
        <v>13.7930365742089</v>
      </c>
      <c r="EO60">
        <f>IF(AND(ISNUMBER(EN60),逐级计算!$X$144&gt;-1),IF(逐级计算!$X$144=0,EN60+逐级计算!$C$144,EN60+逐级计算!$C$144-(10/(逐级计算!$Q$144*LN(10))*(MAX((LN(10^(逐级计算!$Q$144/10)-1)+逐级计算!$Q$144*(EN60-逐级计算!$P$144)*LN(10)/10),0)+LN(1+EXP(-ABS((LN(10^(逐级计算!$Q$144/10)-1)+逐级计算!$Q$144*(EN60-逐级计算!$P$144)*LN(10)/10))))))),"")</f>
        <v>13.7930365742089</v>
      </c>
      <c r="EP60">
        <f>IF(AND(ISNUMBER(EO60),逐级计算!$X$145&gt;-1),IF(逐级计算!$X$145=0,EO60+逐级计算!$C$145,EO60+逐级计算!$C$145-(10/(逐级计算!$Q$145*LN(10))*(MAX((LN(10^(逐级计算!$Q$145/10)-1)+逐级计算!$Q$145*(EO60-逐级计算!$P$145)*LN(10)/10),0)+LN(1+EXP(-ABS((LN(10^(逐级计算!$Q$145/10)-1)+逐级计算!$Q$145*(EO60-逐级计算!$P$145)*LN(10)/10))))))),"")</f>
        <v>13.7930365742089</v>
      </c>
      <c r="EQ60">
        <f>IF(AND(ISNUMBER(EP60),逐级计算!$X$146&gt;-1),IF(逐级计算!$X$146=0,EP60+逐级计算!$C$146,EP60+逐级计算!$C$146-(10/(逐级计算!$Q$146*LN(10))*(MAX((LN(10^(逐级计算!$Q$146/10)-1)+逐级计算!$Q$146*(EP60-逐级计算!$P$146)*LN(10)/10),0)+LN(1+EXP(-ABS((LN(10^(逐级计算!$Q$146/10)-1)+逐级计算!$Q$146*(EP60-逐级计算!$P$146)*LN(10)/10))))))),"")</f>
        <v>13.7930365742089</v>
      </c>
      <c r="ER60">
        <f>IF(AND(ISNUMBER(EQ60),逐级计算!$X$147&gt;-1),IF(逐级计算!$X$147=0,EQ60+逐级计算!$C$147,EQ60+逐级计算!$C$147-(10/(逐级计算!$Q$147*LN(10))*(MAX((LN(10^(逐级计算!$Q$147/10)-1)+逐级计算!$Q$147*(EQ60-逐级计算!$P$147)*LN(10)/10),0)+LN(1+EXP(-ABS((LN(10^(逐级计算!$Q$147/10)-1)+逐级计算!$Q$147*(EQ60-逐级计算!$P$147)*LN(10)/10))))))),"")</f>
        <v>13.7930365742089</v>
      </c>
      <c r="ES60">
        <f>IF(AND(ISNUMBER(ER60),逐级计算!$X$148&gt;-1),IF(逐级计算!$X$148=0,ER60+逐级计算!$C$148,ER60+逐级计算!$C$148-(10/(逐级计算!$Q$148*LN(10))*(MAX((LN(10^(逐级计算!$Q$148/10)-1)+逐级计算!$Q$148*(ER60-逐级计算!$P$148)*LN(10)/10),0)+LN(1+EXP(-ABS((LN(10^(逐级计算!$Q$148/10)-1)+逐级计算!$Q$148*(ER60-逐级计算!$P$148)*LN(10)/10))))))),"")</f>
        <v>13.7930365742089</v>
      </c>
      <c r="ET60">
        <f>IF(AND(ISNUMBER(ES60),逐级计算!$X$149&gt;-1),IF(逐级计算!$X$149=0,ES60+逐级计算!$C$149,ES60+逐级计算!$C$149-(10/(逐级计算!$Q$149*LN(10))*(MAX((LN(10^(逐级计算!$Q$149/10)-1)+逐级计算!$Q$149*(ES60-逐级计算!$P$149)*LN(10)/10),0)+LN(1+EXP(-ABS((LN(10^(逐级计算!$Q$149/10)-1)+逐级计算!$Q$149*(ES60-逐级计算!$P$149)*LN(10)/10))))))),"")</f>
        <v>13.7930365742089</v>
      </c>
      <c r="EU60">
        <f>IF(AND(ISNUMBER(ET60),逐级计算!$X$150&gt;-1),IF(逐级计算!$X$150=0,ET60+逐级计算!$C$150,ET60+逐级计算!$C$150-(10/(逐级计算!$Q$150*LN(10))*(MAX((LN(10^(逐级计算!$Q$150/10)-1)+逐级计算!$Q$150*(ET60-逐级计算!$P$150)*LN(10)/10),0)+LN(1+EXP(-ABS((LN(10^(逐级计算!$Q$150/10)-1)+逐级计算!$Q$150*(ET60-逐级计算!$P$150)*LN(10)/10))))))),"")</f>
        <v>13.7930365742089</v>
      </c>
      <c r="EV60">
        <f>IF(AND(ISNUMBER(EU60),逐级计算!$X$151&gt;-1),IF(逐级计算!$X$151=0,EU60+逐级计算!$C$151,EU60+逐级计算!$C$151-(10/(逐级计算!$Q$151*LN(10))*(MAX((LN(10^(逐级计算!$Q$151/10)-1)+逐级计算!$Q$151*(EU60-逐级计算!$P$151)*LN(10)/10),0)+LN(1+EXP(-ABS((LN(10^(逐级计算!$Q$151/10)-1)+逐级计算!$Q$151*(EU60-逐级计算!$P$151)*LN(10)/10))))))),"")</f>
        <v>13.7930365742089</v>
      </c>
      <c r="EW60">
        <f>IF(AND(ISNUMBER(EV60),逐级计算!$X$152&gt;-1),IF(逐级计算!$X$152=0,EV60+逐级计算!$C$152,EV60+逐级计算!$C$152-(10/(逐级计算!$Q$152*LN(10))*(MAX((LN(10^(逐级计算!$Q$152/10)-1)+逐级计算!$Q$152*(EV60-逐级计算!$P$152)*LN(10)/10),0)+LN(1+EXP(-ABS((LN(10^(逐级计算!$Q$152/10)-1)+逐级计算!$Q$152*(EV60-逐级计算!$P$152)*LN(10)/10))))))),"")</f>
        <v>13.7930365742089</v>
      </c>
      <c r="EX60">
        <f>IF(AND(ISNUMBER(EW60),逐级计算!$X$153&gt;-1),IF(逐级计算!$X$153=0,EW60+逐级计算!$C$153,EW60+逐级计算!$C$153-(10/(逐级计算!$Q$153*LN(10))*(MAX((LN(10^(逐级计算!$Q$153/10)-1)+逐级计算!$Q$153*(EW60-逐级计算!$P$153)*LN(10)/10),0)+LN(1+EXP(-ABS((LN(10^(逐级计算!$Q$153/10)-1)+逐级计算!$Q$153*(EW60-逐级计算!$P$153)*LN(10)/10))))))),"")</f>
        <v>13.7930365742089</v>
      </c>
      <c r="EY60">
        <f>IF(AND(ISNUMBER(EX60),逐级计算!$X$154&gt;-1),IF(逐级计算!$X$154=0,EX60+逐级计算!$C$154,EX60+逐级计算!$C$154-(10/(逐级计算!$Q$154*LN(10))*(MAX((LN(10^(逐级计算!$Q$154/10)-1)+逐级计算!$Q$154*(EX60-逐级计算!$P$154)*LN(10)/10),0)+LN(1+EXP(-ABS((LN(10^(逐级计算!$Q$154/10)-1)+逐级计算!$Q$154*(EX60-逐级计算!$P$154)*LN(10)/10))))))),"")</f>
        <v>13.7930365742089</v>
      </c>
      <c r="EZ60">
        <f>IF(AND(ISNUMBER(EY60),逐级计算!$X$155&gt;-1),IF(逐级计算!$X$155=0,EY60+逐级计算!$C$155,EY60+逐级计算!$C$155-(10/(逐级计算!$Q$155*LN(10))*(MAX((LN(10^(逐级计算!$Q$155/10)-1)+逐级计算!$Q$155*(EY60-逐级计算!$P$155)*LN(10)/10),0)+LN(1+EXP(-ABS((LN(10^(逐级计算!$Q$155/10)-1)+逐级计算!$Q$155*(EY60-逐级计算!$P$155)*LN(10)/10))))))),"")</f>
        <v>13.7930365742089</v>
      </c>
      <c r="FA60">
        <f>IF(AND(ISNUMBER(EZ60),逐级计算!$X$156&gt;-1),IF(逐级计算!$X$156=0,EZ60+逐级计算!$C$156,EZ60+逐级计算!$C$156-(10/(逐级计算!$Q$156*LN(10))*(MAX((LN(10^(逐级计算!$Q$156/10)-1)+逐级计算!$Q$156*(EZ60-逐级计算!$P$156)*LN(10)/10),0)+LN(1+EXP(-ABS((LN(10^(逐级计算!$Q$156/10)-1)+逐级计算!$Q$156*(EZ60-逐级计算!$P$156)*LN(10)/10))))))),"")</f>
        <v>13.7930365742089</v>
      </c>
      <c r="FB60">
        <f>IF(AND(ISNUMBER(FA60),逐级计算!$X$157&gt;-1),IF(逐级计算!$X$157=0,FA60+逐级计算!$C$157,FA60+逐级计算!$C$157-(10/(逐级计算!$Q$157*LN(10))*(MAX((LN(10^(逐级计算!$Q$157/10)-1)+逐级计算!$Q$157*(FA60-逐级计算!$P$157)*LN(10)/10),0)+LN(1+EXP(-ABS((LN(10^(逐级计算!$Q$157/10)-1)+逐级计算!$Q$157*(FA60-逐级计算!$P$157)*LN(10)/10))))))),"")</f>
        <v>13.7930365742089</v>
      </c>
      <c r="FC60">
        <f>IF(AND(ISNUMBER(FB60),逐级计算!$X$158&gt;-1),IF(逐级计算!$X$158=0,FB60+逐级计算!$C$158,FB60+逐级计算!$C$158-(10/(逐级计算!$Q$158*LN(10))*(MAX((LN(10^(逐级计算!$Q$158/10)-1)+逐级计算!$Q$158*(FB60-逐级计算!$P$158)*LN(10)/10),0)+LN(1+EXP(-ABS((LN(10^(逐级计算!$Q$158/10)-1)+逐级计算!$Q$158*(FB60-逐级计算!$P$158)*LN(10)/10))))))),"")</f>
        <v>13.7930365742089</v>
      </c>
      <c r="FD60">
        <f>IF(AND(ISNUMBER(FC60),逐级计算!$X$159&gt;-1),IF(逐级计算!$X$159=0,FC60+逐级计算!$C$159,FC60+逐级计算!$C$159-(10/(逐级计算!$Q$159*LN(10))*(MAX((LN(10^(逐级计算!$Q$159/10)-1)+逐级计算!$Q$159*(FC60-逐级计算!$P$159)*LN(10)/10),0)+LN(1+EXP(-ABS((LN(10^(逐级计算!$Q$159/10)-1)+逐级计算!$Q$159*(FC60-逐级计算!$P$159)*LN(10)/10))))))),"")</f>
        <v>13.7930365742089</v>
      </c>
      <c r="FE60">
        <f>IF(AND(ISNUMBER(FD60),逐级计算!$X$160&gt;-1),IF(逐级计算!$X$160=0,FD60+逐级计算!$C$160,FD60+逐级计算!$C$160-(10/(逐级计算!$Q$160*LN(10))*(MAX((LN(10^(逐级计算!$Q$160/10)-1)+逐级计算!$Q$160*(FD60-逐级计算!$P$160)*LN(10)/10),0)+LN(1+EXP(-ABS((LN(10^(逐级计算!$Q$160/10)-1)+逐级计算!$Q$160*(FD60-逐级计算!$P$160)*LN(10)/10))))))),"")</f>
        <v>13.7930365742089</v>
      </c>
      <c r="FF60">
        <f>IF(AND(ISNUMBER(FE60),逐级计算!$X$161&gt;-1),IF(逐级计算!$X$161=0,FE60+逐级计算!$C$161,FE60+逐级计算!$C$161-(10/(逐级计算!$Q$161*LN(10))*(MAX((LN(10^(逐级计算!$Q$161/10)-1)+逐级计算!$Q$161*(FE60-逐级计算!$P$161)*LN(10)/10),0)+LN(1+EXP(-ABS((LN(10^(逐级计算!$Q$161/10)-1)+逐级计算!$Q$161*(FE60-逐级计算!$P$161)*LN(10)/10))))))),"")</f>
        <v>13.7930365742089</v>
      </c>
      <c r="FG60">
        <f>IF(AND(ISNUMBER(FF60),逐级计算!$X$162&gt;-1),IF(逐级计算!$X$162=0,FF60+逐级计算!$C$162,FF60+逐级计算!$C$162-(10/(逐级计算!$Q$162*LN(10))*(MAX((LN(10^(逐级计算!$Q$162/10)-1)+逐级计算!$Q$162*(FF60-逐级计算!$P$162)*LN(10)/10),0)+LN(1+EXP(-ABS((LN(10^(逐级计算!$Q$162/10)-1)+逐级计算!$Q$162*(FF60-逐级计算!$P$162)*LN(10)/10))))))),"")</f>
        <v>13.7930365742089</v>
      </c>
      <c r="FH60">
        <f>IF(AND(ISNUMBER(FG60),逐级计算!$X$163&gt;-1),IF(逐级计算!$X$163=0,FG60+逐级计算!$C$163,FG60+逐级计算!$C$163-(10/(逐级计算!$Q$163*LN(10))*(MAX((LN(10^(逐级计算!$Q$163/10)-1)+逐级计算!$Q$163*(FG60-逐级计算!$P$163)*LN(10)/10),0)+LN(1+EXP(-ABS((LN(10^(逐级计算!$Q$163/10)-1)+逐级计算!$Q$163*(FG60-逐级计算!$P$163)*LN(10)/10))))))),"")</f>
        <v>13.7930365742089</v>
      </c>
      <c r="FI60">
        <f>IF(AND(ISNUMBER(FH60),逐级计算!$X$164&gt;-1),IF(逐级计算!$X$164=0,FH60+逐级计算!$C$164,FH60+逐级计算!$C$164-(10/(逐级计算!$Q$164*LN(10))*(MAX((LN(10^(逐级计算!$Q$164/10)-1)+逐级计算!$Q$164*(FH60-逐级计算!$P$164)*LN(10)/10),0)+LN(1+EXP(-ABS((LN(10^(逐级计算!$Q$164/10)-1)+逐级计算!$Q$164*(FH60-逐级计算!$P$164)*LN(10)/10))))))),"")</f>
        <v>13.7930365742089</v>
      </c>
      <c r="FJ60">
        <f>IF(AND(ISNUMBER(FI60),逐级计算!$X$165&gt;-1),IF(逐级计算!$X$165=0,FI60+逐级计算!$C$165,FI60+逐级计算!$C$165-(10/(逐级计算!$Q$165*LN(10))*(MAX((LN(10^(逐级计算!$Q$165/10)-1)+逐级计算!$Q$165*(FI60-逐级计算!$P$165)*LN(10)/10),0)+LN(1+EXP(-ABS((LN(10^(逐级计算!$Q$165/10)-1)+逐级计算!$Q$165*(FI60-逐级计算!$P$165)*LN(10)/10))))))),"")</f>
        <v>13.7930365742089</v>
      </c>
      <c r="FK60">
        <f>IF(AND(ISNUMBER(FJ60),逐级计算!$X$166&gt;-1),IF(逐级计算!$X$166=0,FJ60+逐级计算!$C$166,FJ60+逐级计算!$C$166-(10/(逐级计算!$Q$166*LN(10))*(MAX((LN(10^(逐级计算!$Q$166/10)-1)+逐级计算!$Q$166*(FJ60-逐级计算!$P$166)*LN(10)/10),0)+LN(1+EXP(-ABS((LN(10^(逐级计算!$Q$166/10)-1)+逐级计算!$Q$166*(FJ60-逐级计算!$P$166)*LN(10)/10))))))),"")</f>
        <v>13.7930365742089</v>
      </c>
      <c r="FL60">
        <f>IF(AND(ISNUMBER(FK60),逐级计算!$X$167&gt;-1),IF(逐级计算!$X$167=0,FK60+逐级计算!$C$167,FK60+逐级计算!$C$167-(10/(逐级计算!$Q$167*LN(10))*(MAX((LN(10^(逐级计算!$Q$167/10)-1)+逐级计算!$Q$167*(FK60-逐级计算!$P$167)*LN(10)/10),0)+LN(1+EXP(-ABS((LN(10^(逐级计算!$Q$167/10)-1)+逐级计算!$Q$167*(FK60-逐级计算!$P$167)*LN(10)/10))))))),"")</f>
        <v>13.7930365742089</v>
      </c>
      <c r="FM60">
        <f>IF(AND(ISNUMBER(FL60),逐级计算!$X$168&gt;-1),IF(逐级计算!$X$168=0,FL60+逐级计算!$C$168,FL60+逐级计算!$C$168-(10/(逐级计算!$Q$168*LN(10))*(MAX((LN(10^(逐级计算!$Q$168/10)-1)+逐级计算!$Q$168*(FL60-逐级计算!$P$168)*LN(10)/10),0)+LN(1+EXP(-ABS((LN(10^(逐级计算!$Q$168/10)-1)+逐级计算!$Q$168*(FL60-逐级计算!$P$168)*LN(10)/10))))))),"")</f>
        <v>13.7930365742089</v>
      </c>
      <c r="FN60">
        <f>IF(AND(ISNUMBER(FM60),逐级计算!$X$169&gt;-1),IF(逐级计算!$X$169=0,FM60+逐级计算!$C$169,FM60+逐级计算!$C$169-(10/(逐级计算!$Q$169*LN(10))*(MAX((LN(10^(逐级计算!$Q$169/10)-1)+逐级计算!$Q$169*(FM60-逐级计算!$P$169)*LN(10)/10),0)+LN(1+EXP(-ABS((LN(10^(逐级计算!$Q$169/10)-1)+逐级计算!$Q$169*(FM60-逐级计算!$P$169)*LN(10)/10))))))),"")</f>
        <v>13.7930365742089</v>
      </c>
      <c r="FO60">
        <f>IF(AND(ISNUMBER(FN60),逐级计算!$X$170&gt;-1),IF(逐级计算!$X$170=0,FN60+逐级计算!$C$170,FN60+逐级计算!$C$170-(10/(逐级计算!$Q$170*LN(10))*(MAX((LN(10^(逐级计算!$Q$170/10)-1)+逐级计算!$Q$170*(FN60-逐级计算!$P$170)*LN(10)/10),0)+LN(1+EXP(-ABS((LN(10^(逐级计算!$Q$170/10)-1)+逐级计算!$Q$170*(FN60-逐级计算!$P$170)*LN(10)/10))))))),"")</f>
        <v>13.7930365742089</v>
      </c>
      <c r="FP60">
        <f>IF(AND(ISNUMBER(FO60),逐级计算!$X$171&gt;-1),IF(逐级计算!$X$171=0,FO60+逐级计算!$C$171,FO60+逐级计算!$C$171-(10/(逐级计算!$Q$171*LN(10))*(MAX((LN(10^(逐级计算!$Q$171/10)-1)+逐级计算!$Q$171*(FO60-逐级计算!$P$171)*LN(10)/10),0)+LN(1+EXP(-ABS((LN(10^(逐级计算!$Q$171/10)-1)+逐级计算!$Q$171*(FO60-逐级计算!$P$171)*LN(10)/10))))))),"")</f>
        <v>13.7930365742089</v>
      </c>
      <c r="FQ60">
        <f>IF(AND(ISNUMBER(FP60),逐级计算!$X$172&gt;-1),IF(逐级计算!$X$172=0,FP60+逐级计算!$C$172,FP60+逐级计算!$C$172-(10/(逐级计算!$Q$172*LN(10))*(MAX((LN(10^(逐级计算!$Q$172/10)-1)+逐级计算!$Q$172*(FP60-逐级计算!$P$172)*LN(10)/10),0)+LN(1+EXP(-ABS((LN(10^(逐级计算!$Q$172/10)-1)+逐级计算!$Q$172*(FP60-逐级计算!$P$172)*LN(10)/10))))))),"")</f>
        <v>13.7930365742089</v>
      </c>
      <c r="FR60">
        <f>IF(AND(ISNUMBER(FQ60),逐级计算!$X$173&gt;-1),IF(逐级计算!$X$173=0,FQ60+逐级计算!$C$173,FQ60+逐级计算!$C$173-(10/(逐级计算!$Q$173*LN(10))*(MAX((LN(10^(逐级计算!$Q$173/10)-1)+逐级计算!$Q$173*(FQ60-逐级计算!$P$173)*LN(10)/10),0)+LN(1+EXP(-ABS((LN(10^(逐级计算!$Q$173/10)-1)+逐级计算!$Q$173*(FQ60-逐级计算!$P$173)*LN(10)/10))))))),"")</f>
        <v>13.7930365742089</v>
      </c>
      <c r="FS60">
        <f>IF(AND(ISNUMBER(FR60),逐级计算!$X$174&gt;-1),IF(逐级计算!$X$174=0,FR60+逐级计算!$C$174,FR60+逐级计算!$C$174-(10/(逐级计算!$Q$174*LN(10))*(MAX((LN(10^(逐级计算!$Q$174/10)-1)+逐级计算!$Q$174*(FR60-逐级计算!$P$174)*LN(10)/10),0)+LN(1+EXP(-ABS((LN(10^(逐级计算!$Q$174/10)-1)+逐级计算!$Q$174*(FR60-逐级计算!$P$174)*LN(10)/10))))))),"")</f>
        <v>13.7930365742089</v>
      </c>
      <c r="FT60">
        <f>IF(AND(ISNUMBER(FS60),逐级计算!$X$175&gt;-1),IF(逐级计算!$X$175=0,FS60+逐级计算!$C$175,FS60+逐级计算!$C$175-(10/(逐级计算!$Q$175*LN(10))*(MAX((LN(10^(逐级计算!$Q$175/10)-1)+逐级计算!$Q$175*(FS60-逐级计算!$P$175)*LN(10)/10),0)+LN(1+EXP(-ABS((LN(10^(逐级计算!$Q$175/10)-1)+逐级计算!$Q$175*(FS60-逐级计算!$P$175)*LN(10)/10))))))),"")</f>
        <v>13.7930365742089</v>
      </c>
      <c r="FU60">
        <f>IF(AND(ISNUMBER(FT60),逐级计算!$X$176&gt;-1),IF(逐级计算!$X$176=0,FT60+逐级计算!$C$176,FT60+逐级计算!$C$176-(10/(逐级计算!$Q$176*LN(10))*(MAX((LN(10^(逐级计算!$Q$176/10)-1)+逐级计算!$Q$176*(FT60-逐级计算!$P$176)*LN(10)/10),0)+LN(1+EXP(-ABS((LN(10^(逐级计算!$Q$176/10)-1)+逐级计算!$Q$176*(FT60-逐级计算!$P$176)*LN(10)/10))))))),"")</f>
        <v>13.7930365742089</v>
      </c>
      <c r="FV60">
        <f>IF(AND(ISNUMBER(FU60),逐级计算!$X$177&gt;-1),IF(逐级计算!$X$177=0,FU60+逐级计算!$C$177,FU60+逐级计算!$C$177-(10/(逐级计算!$Q$177*LN(10))*(MAX((LN(10^(逐级计算!$Q$177/10)-1)+逐级计算!$Q$177*(FU60-逐级计算!$P$177)*LN(10)/10),0)+LN(1+EXP(-ABS((LN(10^(逐级计算!$Q$177/10)-1)+逐级计算!$Q$177*(FU60-逐级计算!$P$177)*LN(10)/10))))))),"")</f>
        <v>13.7930365742089</v>
      </c>
      <c r="FW60">
        <f>IF(AND(ISNUMBER(FV60),逐级计算!$X$178&gt;-1),IF(逐级计算!$X$178=0,FV60+逐级计算!$C$178,FV60+逐级计算!$C$178-(10/(逐级计算!$Q$178*LN(10))*(MAX((LN(10^(逐级计算!$Q$178/10)-1)+逐级计算!$Q$178*(FV60-逐级计算!$P$178)*LN(10)/10),0)+LN(1+EXP(-ABS((LN(10^(逐级计算!$Q$178/10)-1)+逐级计算!$Q$178*(FV60-逐级计算!$P$178)*LN(10)/10))))))),"")</f>
        <v>13.7930365742089</v>
      </c>
      <c r="FX60">
        <f>IF(AND(ISNUMBER(FW60),逐级计算!$X$179&gt;-1),IF(逐级计算!$X$179=0,FW60+逐级计算!$C$179,FW60+逐级计算!$C$179-(10/(逐级计算!$Q$179*LN(10))*(MAX((LN(10^(逐级计算!$Q$179/10)-1)+逐级计算!$Q$179*(FW60-逐级计算!$P$179)*LN(10)/10),0)+LN(1+EXP(-ABS((LN(10^(逐级计算!$Q$179/10)-1)+逐级计算!$Q$179*(FW60-逐级计算!$P$179)*LN(10)/10))))))),"")</f>
        <v>13.7930365742089</v>
      </c>
      <c r="FY60">
        <f>IF(AND(ISNUMBER(FX60),逐级计算!$X$180&gt;-1),IF(逐级计算!$X$180=0,FX60+逐级计算!$C$180,FX60+逐级计算!$C$180-(10/(逐级计算!$Q$180*LN(10))*(MAX((LN(10^(逐级计算!$Q$180/10)-1)+逐级计算!$Q$180*(FX60-逐级计算!$P$180)*LN(10)/10),0)+LN(1+EXP(-ABS((LN(10^(逐级计算!$Q$180/10)-1)+逐级计算!$Q$180*(FX60-逐级计算!$P$180)*LN(10)/10))))))),"")</f>
        <v>13.7930365742089</v>
      </c>
      <c r="FZ60">
        <f>IF(AND(ISNUMBER(FY60),逐级计算!$X$181&gt;-1),IF(逐级计算!$X$181=0,FY60+逐级计算!$C$181,FY60+逐级计算!$C$181-(10/(逐级计算!$Q$181*LN(10))*(MAX((LN(10^(逐级计算!$Q$181/10)-1)+逐级计算!$Q$181*(FY60-逐级计算!$P$181)*LN(10)/10),0)+LN(1+EXP(-ABS((LN(10^(逐级计算!$Q$181/10)-1)+逐级计算!$Q$181*(FY60-逐级计算!$P$181)*LN(10)/10))))))),"")</f>
        <v>13.7930365742089</v>
      </c>
      <c r="GA60">
        <f>IF(AND(ISNUMBER(FZ60),逐级计算!$X$182&gt;-1),IF(逐级计算!$X$182=0,FZ60+逐级计算!$C$182,FZ60+逐级计算!$C$182-(10/(逐级计算!$Q$182*LN(10))*(MAX((LN(10^(逐级计算!$Q$182/10)-1)+逐级计算!$Q$182*(FZ60-逐级计算!$P$182)*LN(10)/10),0)+LN(1+EXP(-ABS((LN(10^(逐级计算!$Q$182/10)-1)+逐级计算!$Q$182*(FZ60-逐级计算!$P$182)*LN(10)/10))))))),"")</f>
        <v>13.7930365742089</v>
      </c>
      <c r="GB60">
        <f>IF(AND(ISNUMBER(GA60),逐级计算!$X$183&gt;-1),IF(逐级计算!$X$183=0,GA60+逐级计算!$C$183,GA60+逐级计算!$C$183-(10/(逐级计算!$Q$183*LN(10))*(MAX((LN(10^(逐级计算!$Q$183/10)-1)+逐级计算!$Q$183*(GA60-逐级计算!$P$183)*LN(10)/10),0)+LN(1+EXP(-ABS((LN(10^(逐级计算!$Q$183/10)-1)+逐级计算!$Q$183*(GA60-逐级计算!$P$183)*LN(10)/10))))))),"")</f>
        <v>13.7930365742089</v>
      </c>
      <c r="GC60">
        <f>IF(AND(ISNUMBER(GB60),逐级计算!$X$184&gt;-1),IF(逐级计算!$X$184=0,GB60+逐级计算!$C$184,GB60+逐级计算!$C$184-(10/(逐级计算!$Q$184*LN(10))*(MAX((LN(10^(逐级计算!$Q$184/10)-1)+逐级计算!$Q$184*(GB60-逐级计算!$P$184)*LN(10)/10),0)+LN(1+EXP(-ABS((LN(10^(逐级计算!$Q$184/10)-1)+逐级计算!$Q$184*(GB60-逐级计算!$P$184)*LN(10)/10))))))),"")</f>
        <v>13.7930365742089</v>
      </c>
      <c r="GD60">
        <f>IF(AND(ISNUMBER(GC60),逐级计算!$X$185&gt;-1),IF(逐级计算!$X$185=0,GC60+逐级计算!$C$185,GC60+逐级计算!$C$185-(10/(逐级计算!$Q$185*LN(10))*(MAX((LN(10^(逐级计算!$Q$185/10)-1)+逐级计算!$Q$185*(GC60-逐级计算!$P$185)*LN(10)/10),0)+LN(1+EXP(-ABS((LN(10^(逐级计算!$Q$185/10)-1)+逐级计算!$Q$185*(GC60-逐级计算!$P$185)*LN(10)/10))))))),"")</f>
        <v>13.7930365742089</v>
      </c>
      <c r="GE60">
        <f>IF(AND(ISNUMBER(GD60),逐级计算!$X$186&gt;-1),IF(逐级计算!$X$186=0,GD60+逐级计算!$C$186,GD60+逐级计算!$C$186-(10/(逐级计算!$Q$186*LN(10))*(MAX((LN(10^(逐级计算!$Q$186/10)-1)+逐级计算!$Q$186*(GD60-逐级计算!$P$186)*LN(10)/10),0)+LN(1+EXP(-ABS((LN(10^(逐级计算!$Q$186/10)-1)+逐级计算!$Q$186*(GD60-逐级计算!$P$186)*LN(10)/10))))))),"")</f>
        <v>13.7930365742089</v>
      </c>
      <c r="GF60">
        <f>IF(AND(ISNUMBER(GE60),逐级计算!$X$187&gt;-1),IF(逐级计算!$X$187=0,GE60+逐级计算!$C$187,GE60+逐级计算!$C$187-(10/(逐级计算!$Q$187*LN(10))*(MAX((LN(10^(逐级计算!$Q$187/10)-1)+逐级计算!$Q$187*(GE60-逐级计算!$P$187)*LN(10)/10),0)+LN(1+EXP(-ABS((LN(10^(逐级计算!$Q$187/10)-1)+逐级计算!$Q$187*(GE60-逐级计算!$P$187)*LN(10)/10))))))),"")</f>
        <v>13.7930365742089</v>
      </c>
      <c r="GG60">
        <f>IF(AND(ISNUMBER(GF60),逐级计算!$X$188&gt;-1),IF(逐级计算!$X$188=0,GF60+逐级计算!$C$188,GF60+逐级计算!$C$188-(10/(逐级计算!$Q$188*LN(10))*(MAX((LN(10^(逐级计算!$Q$188/10)-1)+逐级计算!$Q$188*(GF60-逐级计算!$P$188)*LN(10)/10),0)+LN(1+EXP(-ABS((LN(10^(逐级计算!$Q$188/10)-1)+逐级计算!$Q$188*(GF60-逐级计算!$P$188)*LN(10)/10))))))),"")</f>
        <v>13.7930365742089</v>
      </c>
      <c r="GH60">
        <f>IF(AND(ISNUMBER(GG60),逐级计算!$X$189&gt;-1),IF(逐级计算!$X$189=0,GG60+逐级计算!$C$189,GG60+逐级计算!$C$189-(10/(逐级计算!$Q$189*LN(10))*(MAX((LN(10^(逐级计算!$Q$189/10)-1)+逐级计算!$Q$189*(GG60-逐级计算!$P$189)*LN(10)/10),0)+LN(1+EXP(-ABS((LN(10^(逐级计算!$Q$189/10)-1)+逐级计算!$Q$189*(GG60-逐级计算!$P$189)*LN(10)/10))))))),"")</f>
        <v>13.7930365742089</v>
      </c>
      <c r="GI60">
        <f>IF(AND(ISNUMBER(GH60),逐级计算!$X$190&gt;-1),IF(逐级计算!$X$190=0,GH60+逐级计算!$C$190,GH60+逐级计算!$C$190-(10/(逐级计算!$Q$190*LN(10))*(MAX((LN(10^(逐级计算!$Q$190/10)-1)+逐级计算!$Q$190*(GH60-逐级计算!$P$190)*LN(10)/10),0)+LN(1+EXP(-ABS((LN(10^(逐级计算!$Q$190/10)-1)+逐级计算!$Q$190*(GH60-逐级计算!$P$190)*LN(10)/10))))))),"")</f>
        <v>13.7930365742089</v>
      </c>
      <c r="GJ60">
        <f>IF(AND(ISNUMBER(GI60),逐级计算!$X$191&gt;-1),IF(逐级计算!$X$191=0,GI60+逐级计算!$C$191,GI60+逐级计算!$C$191-(10/(逐级计算!$Q$191*LN(10))*(MAX((LN(10^(逐级计算!$Q$191/10)-1)+逐级计算!$Q$191*(GI60-逐级计算!$P$191)*LN(10)/10),0)+LN(1+EXP(-ABS((LN(10^(逐级计算!$Q$191/10)-1)+逐级计算!$Q$191*(GI60-逐级计算!$P$191)*LN(10)/10))))))),"")</f>
        <v>13.7930365742089</v>
      </c>
      <c r="GK60">
        <f>IF(AND(ISNUMBER(GJ60),逐级计算!$X$192&gt;-1),IF(逐级计算!$X$192=0,GJ60+逐级计算!$C$192,GJ60+逐级计算!$C$192-(10/(逐级计算!$Q$192*LN(10))*(MAX((LN(10^(逐级计算!$Q$192/10)-1)+逐级计算!$Q$192*(GJ60-逐级计算!$P$192)*LN(10)/10),0)+LN(1+EXP(-ABS((LN(10^(逐级计算!$Q$192/10)-1)+逐级计算!$Q$192*(GJ60-逐级计算!$P$192)*LN(10)/10))))))),"")</f>
        <v>13.7930365742089</v>
      </c>
      <c r="GL60">
        <f>IF(AND(ISNUMBER(GK60),逐级计算!$X$193&gt;-1),IF(逐级计算!$X$193=0,GK60+逐级计算!$C$193,GK60+逐级计算!$C$193-(10/(逐级计算!$Q$193*LN(10))*(MAX((LN(10^(逐级计算!$Q$193/10)-1)+逐级计算!$Q$193*(GK60-逐级计算!$P$193)*LN(10)/10),0)+LN(1+EXP(-ABS((LN(10^(逐级计算!$Q$193/10)-1)+逐级计算!$Q$193*(GK60-逐级计算!$P$193)*LN(10)/10))))))),"")</f>
        <v>13.7930365742089</v>
      </c>
      <c r="GM60">
        <f>IF(AND(ISNUMBER(GL60),逐级计算!$X$194&gt;-1),IF(逐级计算!$X$194=0,GL60+逐级计算!$C$194,GL60+逐级计算!$C$194-(10/(逐级计算!$Q$194*LN(10))*(MAX((LN(10^(逐级计算!$Q$194/10)-1)+逐级计算!$Q$194*(GL60-逐级计算!$P$194)*LN(10)/10),0)+LN(1+EXP(-ABS((LN(10^(逐级计算!$Q$194/10)-1)+逐级计算!$Q$194*(GL60-逐级计算!$P$194)*LN(10)/10))))))),"")</f>
        <v>13.7930365742089</v>
      </c>
      <c r="GN60">
        <f>IF(AND(ISNUMBER(GM60),逐级计算!$X$195&gt;-1),IF(逐级计算!$X$195=0,GM60+逐级计算!$C$195,GM60+逐级计算!$C$195-(10/(逐级计算!$Q$195*LN(10))*(MAX((LN(10^(逐级计算!$Q$195/10)-1)+逐级计算!$Q$195*(GM60-逐级计算!$P$195)*LN(10)/10),0)+LN(1+EXP(-ABS((LN(10^(逐级计算!$Q$195/10)-1)+逐级计算!$Q$195*(GM60-逐级计算!$P$195)*LN(10)/10))))))),"")</f>
        <v>13.7930365742089</v>
      </c>
      <c r="GO60">
        <f>IF(AND(ISNUMBER(GN60),逐级计算!$X$196&gt;-1),IF(逐级计算!$X$196=0,GN60+逐级计算!$C$196,GN60+逐级计算!$C$196-(10/(逐级计算!$Q$196*LN(10))*(MAX((LN(10^(逐级计算!$Q$196/10)-1)+逐级计算!$Q$196*(GN60-逐级计算!$P$196)*LN(10)/10),0)+LN(1+EXP(-ABS((LN(10^(逐级计算!$Q$196/10)-1)+逐级计算!$Q$196*(GN60-逐级计算!$P$196)*LN(10)/10))))))),"")</f>
        <v>13.7930365742089</v>
      </c>
      <c r="GP60">
        <f>IF(AND(ISNUMBER(GO60),逐级计算!$X$197&gt;-1),IF(逐级计算!$X$197=0,GO60+逐级计算!$C$197,GO60+逐级计算!$C$197-(10/(逐级计算!$Q$197*LN(10))*(MAX((LN(10^(逐级计算!$Q$197/10)-1)+逐级计算!$Q$197*(GO60-逐级计算!$P$197)*LN(10)/10),0)+LN(1+EXP(-ABS((LN(10^(逐级计算!$Q$197/10)-1)+逐级计算!$Q$197*(GO60-逐级计算!$P$197)*LN(10)/10))))))),"")</f>
        <v>13.7930365742089</v>
      </c>
      <c r="GQ60">
        <f>IF(AND(ISNUMBER(GP60),逐级计算!$X$198&gt;-1),IF(逐级计算!$X$198=0,GP60+逐级计算!$C$198,GP60+逐级计算!$C$198-(10/(逐级计算!$Q$198*LN(10))*(MAX((LN(10^(逐级计算!$Q$198/10)-1)+逐级计算!$Q$198*(GP60-逐级计算!$P$198)*LN(10)/10),0)+LN(1+EXP(-ABS((LN(10^(逐级计算!$Q$198/10)-1)+逐级计算!$Q$198*(GP60-逐级计算!$P$198)*LN(10)/10))))))),"")</f>
        <v>13.7930365742089</v>
      </c>
      <c r="GR60">
        <f>IF(AND(ISNUMBER(GQ60),逐级计算!$X$199&gt;-1),IF(逐级计算!$X$199=0,GQ60+逐级计算!$C$199,GQ60+逐级计算!$C$199-(10/(逐级计算!$Q$199*LN(10))*(MAX((LN(10^(逐级计算!$Q$199/10)-1)+逐级计算!$Q$199*(GQ60-逐级计算!$P$199)*LN(10)/10),0)+LN(1+EXP(-ABS((LN(10^(逐级计算!$Q$199/10)-1)+逐级计算!$Q$199*(GQ60-逐级计算!$P$199)*LN(10)/10))))))),"")</f>
        <v>13.7930365742089</v>
      </c>
      <c r="GS60">
        <f>IF(AND(ISNUMBER(GR60),逐级计算!$X$200&gt;-1),IF(逐级计算!$X$200=0,GR60+逐级计算!$C$200,GR60+逐级计算!$C$200-(10/(逐级计算!$Q$200*LN(10))*(MAX((LN(10^(逐级计算!$Q$200/10)-1)+逐级计算!$Q$200*(GR60-逐级计算!$P$200)*LN(10)/10),0)+LN(1+EXP(-ABS((LN(10^(逐级计算!$Q$200/10)-1)+逐级计算!$Q$200*(GR60-逐级计算!$P$200)*LN(10)/10))))))),"")</f>
        <v>13.7930365742089</v>
      </c>
      <c r="GT60">
        <f>IF(AND(ISNUMBER(GS60),逐级计算!$X$201&gt;-1),IF(逐级计算!$X$201=0,GS60+逐级计算!$C$201,GS60+逐级计算!$C$201-(10/(逐级计算!$Q$201*LN(10))*(MAX((LN(10^(逐级计算!$Q$201/10)-1)+逐级计算!$Q$201*(GS60-逐级计算!$P$201)*LN(10)/10),0)+LN(1+EXP(-ABS((LN(10^(逐级计算!$Q$201/10)-1)+逐级计算!$Q$201*(GS60-逐级计算!$P$201)*LN(10)/10))))))),"")</f>
        <v>13.7930365742089</v>
      </c>
      <c r="GU60">
        <f>IF(AND(ISNUMBER(GT60),逐级计算!$X$202&gt;-1),IF(逐级计算!$X$202=0,GT60+逐级计算!$C$202,GT60+逐级计算!$C$202-(10/(逐级计算!$Q$202*LN(10))*(MAX((LN(10^(逐级计算!$Q$202/10)-1)+逐级计算!$Q$202*(GT60-逐级计算!$P$202)*LN(10)/10),0)+LN(1+EXP(-ABS((LN(10^(逐级计算!$Q$202/10)-1)+逐级计算!$Q$202*(GT60-逐级计算!$P$202)*LN(10)/10))))))),"")</f>
        <v>13.7930365742089</v>
      </c>
      <c r="GV60">
        <f>IF(AND(ISNUMBER(GU60),逐级计算!$X$203&gt;-1),IF(逐级计算!$X$203=0,GU60+逐级计算!$C$203,GU60+逐级计算!$C$203-(10/(逐级计算!$Q$203*LN(10))*(MAX((LN(10^(逐级计算!$Q$203/10)-1)+逐级计算!$Q$203*(GU60-逐级计算!$P$203)*LN(10)/10),0)+LN(1+EXP(-ABS((LN(10^(逐级计算!$Q$203/10)-1)+逐级计算!$Q$203*(GU60-逐级计算!$P$203)*LN(10)/10))))))),"")</f>
        <v>13.7930365742089</v>
      </c>
      <c r="GW60">
        <f t="shared" si="2"/>
        <v>-5.20696342579112</v>
      </c>
    </row>
    <row r="61" spans="1:205">
      <c r="A61">
        <v>54</v>
      </c>
      <c r="B61">
        <f t="shared" si="1"/>
        <v>-5.20696342579113</v>
      </c>
      <c r="C61">
        <f t="shared" si="0"/>
        <v>-5.20696342579112</v>
      </c>
      <c r="D61">
        <f>IF(AND(ISNUMBER(C61),ISNUMBER(逐级计算!$E$203),ISNUMBER(GV61)),C61+逐级计算!$E$203-GV61,"")</f>
        <v>0.999999999999998</v>
      </c>
      <c r="E61">
        <f>IF(AND(ISNUMBER(C61),逐级计算!$X$4&gt;-1),IF(逐级计算!$X$4=0,C61+逐级计算!$C$4,C61+逐级计算!$C$4-(10/(逐级计算!$Q$4*LN(10))*(MAX((LN(10^(逐级计算!$Q$4/10)-1)+逐级计算!$Q$4*(C61-逐级计算!$P$4)*LN(10)/10),0)+LN(1+EXP(-ABS((LN(10^(逐级计算!$Q$4/10)-1)+逐级计算!$Q$4*(C61-逐级计算!$P$4)*LN(10)/10))))))),"")</f>
        <v>4.6805398292831</v>
      </c>
      <c r="F61">
        <f>IF(AND(ISNUMBER(E61),逐级计算!$X$5&gt;-1),IF(逐级计算!$X$5=0,E61+逐级计算!$C$5,E61+逐级计算!$C$5-(10/(逐级计算!$Q$5*LN(10))*(MAX((LN(10^(逐级计算!$Q$5/10)-1)+逐级计算!$Q$5*(E61-逐级计算!$P$5)*LN(10)/10),0)+LN(1+EXP(-ABS((LN(10^(逐级计算!$Q$5/10)-1)+逐级计算!$Q$5*(E61-逐级计算!$P$5)*LN(10)/10))))))),"")</f>
        <v>13.7930365742089</v>
      </c>
      <c r="G61">
        <f>IF(AND(ISNUMBER(F61),逐级计算!$X$6&gt;-1),IF(逐级计算!$X$6=0,F61+逐级计算!$C$6,F61+逐级计算!$C$6-(10/(逐级计算!$Q$6*LN(10))*(MAX((LN(10^(逐级计算!$Q$6/10)-1)+逐级计算!$Q$6*(F61-逐级计算!$P$6)*LN(10)/10),0)+LN(1+EXP(-ABS((LN(10^(逐级计算!$Q$6/10)-1)+逐级计算!$Q$6*(F61-逐级计算!$P$6)*LN(10)/10))))))),"")</f>
        <v>13.7930365742089</v>
      </c>
      <c r="H61">
        <f>IF(AND(ISNUMBER(G61),逐级计算!$X$7&gt;-1),IF(逐级计算!$X$7=0,G61+逐级计算!$C$7,G61+逐级计算!$C$7-(10/(逐级计算!$Q$7*LN(10))*(MAX((LN(10^(逐级计算!$Q$7/10)-1)+逐级计算!$Q$7*(G61-逐级计算!$P$7)*LN(10)/10),0)+LN(1+EXP(-ABS((LN(10^(逐级计算!$Q$7/10)-1)+逐级计算!$Q$7*(G61-逐级计算!$P$7)*LN(10)/10))))))),"")</f>
        <v>13.7930365742089</v>
      </c>
      <c r="I61">
        <f>IF(AND(ISNUMBER(H61),逐级计算!$X$8&gt;-1),IF(逐级计算!$X$8=0,H61+逐级计算!$C$8,H61+逐级计算!$C$8-(10/(逐级计算!$Q$8*LN(10))*(MAX((LN(10^(逐级计算!$Q$8/10)-1)+逐级计算!$Q$8*(H61-逐级计算!$P$8)*LN(10)/10),0)+LN(1+EXP(-ABS((LN(10^(逐级计算!$Q$8/10)-1)+逐级计算!$Q$8*(H61-逐级计算!$P$8)*LN(10)/10))))))),"")</f>
        <v>13.7930365742089</v>
      </c>
      <c r="J61">
        <f>IF(AND(ISNUMBER(I61),逐级计算!$X$9&gt;-1),IF(逐级计算!$X$9=0,I61+逐级计算!$C$9,I61+逐级计算!$C$9-(10/(逐级计算!$Q$9*LN(10))*(MAX((LN(10^(逐级计算!$Q$9/10)-1)+逐级计算!$Q$9*(I61-逐级计算!$P$9)*LN(10)/10),0)+LN(1+EXP(-ABS((LN(10^(逐级计算!$Q$9/10)-1)+逐级计算!$Q$9*(I61-逐级计算!$P$9)*LN(10)/10))))))),"")</f>
        <v>13.7930365742089</v>
      </c>
      <c r="K61">
        <f>IF(AND(ISNUMBER(J61),逐级计算!$X$10&gt;-1),IF(逐级计算!$X$10=0,J61+逐级计算!$C$10,J61+逐级计算!$C$10-(10/(逐级计算!$Q$10*LN(10))*(MAX((LN(10^(逐级计算!$Q$10/10)-1)+逐级计算!$Q$10*(J61-逐级计算!$P$10)*LN(10)/10),0)+LN(1+EXP(-ABS((LN(10^(逐级计算!$Q$10/10)-1)+逐级计算!$Q$10*(J61-逐级计算!$P$10)*LN(10)/10))))))),"")</f>
        <v>13.7930365742089</v>
      </c>
      <c r="L61">
        <f>IF(AND(ISNUMBER(K61),逐级计算!$X$11&gt;-1),IF(逐级计算!$X$11=0,K61+逐级计算!$C$11,K61+逐级计算!$C$11-(10/(逐级计算!$Q$11*LN(10))*(MAX((LN(10^(逐级计算!$Q$11/10)-1)+逐级计算!$Q$11*(K61-逐级计算!$P$11)*LN(10)/10),0)+LN(1+EXP(-ABS((LN(10^(逐级计算!$Q$11/10)-1)+逐级计算!$Q$11*(K61-逐级计算!$P$11)*LN(10)/10))))))),"")</f>
        <v>13.7930365742089</v>
      </c>
      <c r="M61">
        <f>IF(AND(ISNUMBER(L61),逐级计算!$X$12&gt;-1),IF(逐级计算!$X$12=0,L61+逐级计算!$C$12,L61+逐级计算!$C$12-(10/(逐级计算!$Q$12*LN(10))*(MAX((LN(10^(逐级计算!$Q$12/10)-1)+逐级计算!$Q$12*(L61-逐级计算!$P$12)*LN(10)/10),0)+LN(1+EXP(-ABS((LN(10^(逐级计算!$Q$12/10)-1)+逐级计算!$Q$12*(L61-逐级计算!$P$12)*LN(10)/10))))))),"")</f>
        <v>13.7930365742089</v>
      </c>
      <c r="N61">
        <f>IF(AND(ISNUMBER(M61),逐级计算!$X$13&gt;-1),IF(逐级计算!$X$13=0,M61+逐级计算!$C$13,M61+逐级计算!$C$13-(10/(逐级计算!$Q$13*LN(10))*(MAX((LN(10^(逐级计算!$Q$13/10)-1)+逐级计算!$Q$13*(M61-逐级计算!$P$13)*LN(10)/10),0)+LN(1+EXP(-ABS((LN(10^(逐级计算!$Q$13/10)-1)+逐级计算!$Q$13*(M61-逐级计算!$P$13)*LN(10)/10))))))),"")</f>
        <v>13.7930365742089</v>
      </c>
      <c r="O61">
        <f>IF(AND(ISNUMBER(N61),逐级计算!$X$14&gt;-1),IF(逐级计算!$X$14=0,N61+逐级计算!$C$14,N61+逐级计算!$C$14-(10/(逐级计算!$Q$14*LN(10))*(MAX((LN(10^(逐级计算!$Q$14/10)-1)+逐级计算!$Q$14*(N61-逐级计算!$P$14)*LN(10)/10),0)+LN(1+EXP(-ABS((LN(10^(逐级计算!$Q$14/10)-1)+逐级计算!$Q$14*(N61-逐级计算!$P$14)*LN(10)/10))))))),"")</f>
        <v>13.7930365742089</v>
      </c>
      <c r="P61">
        <f>IF(AND(ISNUMBER(O61),逐级计算!$X$15&gt;-1),IF(逐级计算!$X$15=0,O61+逐级计算!$C$15,O61+逐级计算!$C$15-(10/(逐级计算!$Q$15*LN(10))*(MAX((LN(10^(逐级计算!$Q$15/10)-1)+逐级计算!$Q$15*(O61-逐级计算!$P$15)*LN(10)/10),0)+LN(1+EXP(-ABS((LN(10^(逐级计算!$Q$15/10)-1)+逐级计算!$Q$15*(O61-逐级计算!$P$15)*LN(10)/10))))))),"")</f>
        <v>13.7930365742089</v>
      </c>
      <c r="Q61">
        <f>IF(AND(ISNUMBER(P61),逐级计算!$X$16&gt;-1),IF(逐级计算!$X$16=0,P61+逐级计算!$C$16,P61+逐级计算!$C$16-(10/(逐级计算!$Q$16*LN(10))*(MAX((LN(10^(逐级计算!$Q$16/10)-1)+逐级计算!$Q$16*(P61-逐级计算!$P$16)*LN(10)/10),0)+LN(1+EXP(-ABS((LN(10^(逐级计算!$Q$16/10)-1)+逐级计算!$Q$16*(P61-逐级计算!$P$16)*LN(10)/10))))))),"")</f>
        <v>13.7930365742089</v>
      </c>
      <c r="R61">
        <f>IF(AND(ISNUMBER(Q61),逐级计算!$X$17&gt;-1),IF(逐级计算!$X$17=0,Q61+逐级计算!$C$17,Q61+逐级计算!$C$17-(10/(逐级计算!$Q$17*LN(10))*(MAX((LN(10^(逐级计算!$Q$17/10)-1)+逐级计算!$Q$17*(Q61-逐级计算!$P$17)*LN(10)/10),0)+LN(1+EXP(-ABS((LN(10^(逐级计算!$Q$17/10)-1)+逐级计算!$Q$17*(Q61-逐级计算!$P$17)*LN(10)/10))))))),"")</f>
        <v>13.7930365742089</v>
      </c>
      <c r="S61">
        <f>IF(AND(ISNUMBER(R61),逐级计算!$X$18&gt;-1),IF(逐级计算!$X$18=0,R61+逐级计算!$C$18,R61+逐级计算!$C$18-(10/(逐级计算!$Q$18*LN(10))*(MAX((LN(10^(逐级计算!$Q$18/10)-1)+逐级计算!$Q$18*(R61-逐级计算!$P$18)*LN(10)/10),0)+LN(1+EXP(-ABS((LN(10^(逐级计算!$Q$18/10)-1)+逐级计算!$Q$18*(R61-逐级计算!$P$18)*LN(10)/10))))))),"")</f>
        <v>13.7930365742089</v>
      </c>
      <c r="T61">
        <f>IF(AND(ISNUMBER(S61),逐级计算!$X$19&gt;-1),IF(逐级计算!$X$19=0,S61+逐级计算!$C$19,S61+逐级计算!$C$19-(10/(逐级计算!$Q$19*LN(10))*(MAX((LN(10^(逐级计算!$Q$19/10)-1)+逐级计算!$Q$19*(S61-逐级计算!$P$19)*LN(10)/10),0)+LN(1+EXP(-ABS((LN(10^(逐级计算!$Q$19/10)-1)+逐级计算!$Q$19*(S61-逐级计算!$P$19)*LN(10)/10))))))),"")</f>
        <v>13.7930365742089</v>
      </c>
      <c r="U61">
        <f>IF(AND(ISNUMBER(T61),逐级计算!$X$20&gt;-1),IF(逐级计算!$X$20=0,T61+逐级计算!$C$20,T61+逐级计算!$C$20-(10/(逐级计算!$Q$20*LN(10))*(MAX((LN(10^(逐级计算!$Q$20/10)-1)+逐级计算!$Q$20*(T61-逐级计算!$P$20)*LN(10)/10),0)+LN(1+EXP(-ABS((LN(10^(逐级计算!$Q$20/10)-1)+逐级计算!$Q$20*(T61-逐级计算!$P$20)*LN(10)/10))))))),"")</f>
        <v>13.7930365742089</v>
      </c>
      <c r="V61">
        <f>IF(AND(ISNUMBER(U61),逐级计算!$X$21&gt;-1),IF(逐级计算!$X$21=0,U61+逐级计算!$C$21,U61+逐级计算!$C$21-(10/(逐级计算!$Q$21*LN(10))*(MAX((LN(10^(逐级计算!$Q$21/10)-1)+逐级计算!$Q$21*(U61-逐级计算!$P$21)*LN(10)/10),0)+LN(1+EXP(-ABS((LN(10^(逐级计算!$Q$21/10)-1)+逐级计算!$Q$21*(U61-逐级计算!$P$21)*LN(10)/10))))))),"")</f>
        <v>13.7930365742089</v>
      </c>
      <c r="W61">
        <f>IF(AND(ISNUMBER(V61),逐级计算!$X$22&gt;-1),IF(逐级计算!$X$22=0,V61+逐级计算!$C$22,V61+逐级计算!$C$22-(10/(逐级计算!$Q$22*LN(10))*(MAX((LN(10^(逐级计算!$Q$22/10)-1)+逐级计算!$Q$22*(V61-逐级计算!$P$22)*LN(10)/10),0)+LN(1+EXP(-ABS((LN(10^(逐级计算!$Q$22/10)-1)+逐级计算!$Q$22*(V61-逐级计算!$P$22)*LN(10)/10))))))),"")</f>
        <v>13.7930365742089</v>
      </c>
      <c r="X61">
        <f>IF(AND(ISNUMBER(W61),逐级计算!$X$23&gt;-1),IF(逐级计算!$X$23=0,W61+逐级计算!$C$23,W61+逐级计算!$C$23-(10/(逐级计算!$Q$23*LN(10))*(MAX((LN(10^(逐级计算!$Q$23/10)-1)+逐级计算!$Q$23*(W61-逐级计算!$P$23)*LN(10)/10),0)+LN(1+EXP(-ABS((LN(10^(逐级计算!$Q$23/10)-1)+逐级计算!$Q$23*(W61-逐级计算!$P$23)*LN(10)/10))))))),"")</f>
        <v>13.7930365742089</v>
      </c>
      <c r="Y61">
        <f>IF(AND(ISNUMBER(X61),逐级计算!$X$24&gt;-1),IF(逐级计算!$X$24=0,X61+逐级计算!$C$24,X61+逐级计算!$C$24-(10/(逐级计算!$Q$24*LN(10))*(MAX((LN(10^(逐级计算!$Q$24/10)-1)+逐级计算!$Q$24*(X61-逐级计算!$P$24)*LN(10)/10),0)+LN(1+EXP(-ABS((LN(10^(逐级计算!$Q$24/10)-1)+逐级计算!$Q$24*(X61-逐级计算!$P$24)*LN(10)/10))))))),"")</f>
        <v>13.7930365742089</v>
      </c>
      <c r="Z61">
        <f>IF(AND(ISNUMBER(Y61),逐级计算!$X$25&gt;-1),IF(逐级计算!$X$25=0,Y61+逐级计算!$C$25,Y61+逐级计算!$C$25-(10/(逐级计算!$Q$25*LN(10))*(MAX((LN(10^(逐级计算!$Q$25/10)-1)+逐级计算!$Q$25*(Y61-逐级计算!$P$25)*LN(10)/10),0)+LN(1+EXP(-ABS((LN(10^(逐级计算!$Q$25/10)-1)+逐级计算!$Q$25*(Y61-逐级计算!$P$25)*LN(10)/10))))))),"")</f>
        <v>13.7930365742089</v>
      </c>
      <c r="AA61">
        <f>IF(AND(ISNUMBER(Z61),逐级计算!$X$26&gt;-1),IF(逐级计算!$X$26=0,Z61+逐级计算!$C$26,Z61+逐级计算!$C$26-(10/(逐级计算!$Q$26*LN(10))*(MAX((LN(10^(逐级计算!$Q$26/10)-1)+逐级计算!$Q$26*(Z61-逐级计算!$P$26)*LN(10)/10),0)+LN(1+EXP(-ABS((LN(10^(逐级计算!$Q$26/10)-1)+逐级计算!$Q$26*(Z61-逐级计算!$P$26)*LN(10)/10))))))),"")</f>
        <v>13.7930365742089</v>
      </c>
      <c r="AB61">
        <f>IF(AND(ISNUMBER(AA61),逐级计算!$X$27&gt;-1),IF(逐级计算!$X$27=0,AA61+逐级计算!$C$27,AA61+逐级计算!$C$27-(10/(逐级计算!$Q$27*LN(10))*(MAX((LN(10^(逐级计算!$Q$27/10)-1)+逐级计算!$Q$27*(AA61-逐级计算!$P$27)*LN(10)/10),0)+LN(1+EXP(-ABS((LN(10^(逐级计算!$Q$27/10)-1)+逐级计算!$Q$27*(AA61-逐级计算!$P$27)*LN(10)/10))))))),"")</f>
        <v>13.7930365742089</v>
      </c>
      <c r="AC61">
        <f>IF(AND(ISNUMBER(AB61),逐级计算!$X$28&gt;-1),IF(逐级计算!$X$28=0,AB61+逐级计算!$C$28,AB61+逐级计算!$C$28-(10/(逐级计算!$Q$28*LN(10))*(MAX((LN(10^(逐级计算!$Q$28/10)-1)+逐级计算!$Q$28*(AB61-逐级计算!$P$28)*LN(10)/10),0)+LN(1+EXP(-ABS((LN(10^(逐级计算!$Q$28/10)-1)+逐级计算!$Q$28*(AB61-逐级计算!$P$28)*LN(10)/10))))))),"")</f>
        <v>13.7930365742089</v>
      </c>
      <c r="AD61">
        <f>IF(AND(ISNUMBER(AC61),逐级计算!$X$29&gt;-1),IF(逐级计算!$X$29=0,AC61+逐级计算!$C$29,AC61+逐级计算!$C$29-(10/(逐级计算!$Q$29*LN(10))*(MAX((LN(10^(逐级计算!$Q$29/10)-1)+逐级计算!$Q$29*(AC61-逐级计算!$P$29)*LN(10)/10),0)+LN(1+EXP(-ABS((LN(10^(逐级计算!$Q$29/10)-1)+逐级计算!$Q$29*(AC61-逐级计算!$P$29)*LN(10)/10))))))),"")</f>
        <v>13.7930365742089</v>
      </c>
      <c r="AE61">
        <f>IF(AND(ISNUMBER(AD61),逐级计算!$X$30&gt;-1),IF(逐级计算!$X$30=0,AD61+逐级计算!$C$30,AD61+逐级计算!$C$30-(10/(逐级计算!$Q$30*LN(10))*(MAX((LN(10^(逐级计算!$Q$30/10)-1)+逐级计算!$Q$30*(AD61-逐级计算!$P$30)*LN(10)/10),0)+LN(1+EXP(-ABS((LN(10^(逐级计算!$Q$30/10)-1)+逐级计算!$Q$30*(AD61-逐级计算!$P$30)*LN(10)/10))))))),"")</f>
        <v>13.7930365742089</v>
      </c>
      <c r="AF61">
        <f>IF(AND(ISNUMBER(AE61),逐级计算!$X$31&gt;-1),IF(逐级计算!$X$31=0,AE61+逐级计算!$C$31,AE61+逐级计算!$C$31-(10/(逐级计算!$Q$31*LN(10))*(MAX((LN(10^(逐级计算!$Q$31/10)-1)+逐级计算!$Q$31*(AE61-逐级计算!$P$31)*LN(10)/10),0)+LN(1+EXP(-ABS((LN(10^(逐级计算!$Q$31/10)-1)+逐级计算!$Q$31*(AE61-逐级计算!$P$31)*LN(10)/10))))))),"")</f>
        <v>13.7930365742089</v>
      </c>
      <c r="AG61">
        <f>IF(AND(ISNUMBER(AF61),逐级计算!$X$32&gt;-1),IF(逐级计算!$X$32=0,AF61+逐级计算!$C$32,AF61+逐级计算!$C$32-(10/(逐级计算!$Q$32*LN(10))*(MAX((LN(10^(逐级计算!$Q$32/10)-1)+逐级计算!$Q$32*(AF61-逐级计算!$P$32)*LN(10)/10),0)+LN(1+EXP(-ABS((LN(10^(逐级计算!$Q$32/10)-1)+逐级计算!$Q$32*(AF61-逐级计算!$P$32)*LN(10)/10))))))),"")</f>
        <v>13.7930365742089</v>
      </c>
      <c r="AH61">
        <f>IF(AND(ISNUMBER(AG61),逐级计算!$X$33&gt;-1),IF(逐级计算!$X$33=0,AG61+逐级计算!$C$33,AG61+逐级计算!$C$33-(10/(逐级计算!$Q$33*LN(10))*(MAX((LN(10^(逐级计算!$Q$33/10)-1)+逐级计算!$Q$33*(AG61-逐级计算!$P$33)*LN(10)/10),0)+LN(1+EXP(-ABS((LN(10^(逐级计算!$Q$33/10)-1)+逐级计算!$Q$33*(AG61-逐级计算!$P$33)*LN(10)/10))))))),"")</f>
        <v>13.7930365742089</v>
      </c>
      <c r="AI61">
        <f>IF(AND(ISNUMBER(AH61),逐级计算!$X$34&gt;-1),IF(逐级计算!$X$34=0,AH61+逐级计算!$C$34,AH61+逐级计算!$C$34-(10/(逐级计算!$Q$34*LN(10))*(MAX((LN(10^(逐级计算!$Q$34/10)-1)+逐级计算!$Q$34*(AH61-逐级计算!$P$34)*LN(10)/10),0)+LN(1+EXP(-ABS((LN(10^(逐级计算!$Q$34/10)-1)+逐级计算!$Q$34*(AH61-逐级计算!$P$34)*LN(10)/10))))))),"")</f>
        <v>13.7930365742089</v>
      </c>
      <c r="AJ61">
        <f>IF(AND(ISNUMBER(AI61),逐级计算!$X$35&gt;-1),IF(逐级计算!$X$35=0,AI61+逐级计算!$C$35,AI61+逐级计算!$C$35-(10/(逐级计算!$Q$35*LN(10))*(MAX((LN(10^(逐级计算!$Q$35/10)-1)+逐级计算!$Q$35*(AI61-逐级计算!$P$35)*LN(10)/10),0)+LN(1+EXP(-ABS((LN(10^(逐级计算!$Q$35/10)-1)+逐级计算!$Q$35*(AI61-逐级计算!$P$35)*LN(10)/10))))))),"")</f>
        <v>13.7930365742089</v>
      </c>
      <c r="AK61">
        <f>IF(AND(ISNUMBER(AJ61),逐级计算!$X$36&gt;-1),IF(逐级计算!$X$36=0,AJ61+逐级计算!$C$36,AJ61+逐级计算!$C$36-(10/(逐级计算!$Q$36*LN(10))*(MAX((LN(10^(逐级计算!$Q$36/10)-1)+逐级计算!$Q$36*(AJ61-逐级计算!$P$36)*LN(10)/10),0)+LN(1+EXP(-ABS((LN(10^(逐级计算!$Q$36/10)-1)+逐级计算!$Q$36*(AJ61-逐级计算!$P$36)*LN(10)/10))))))),"")</f>
        <v>13.7930365742089</v>
      </c>
      <c r="AL61">
        <f>IF(AND(ISNUMBER(AK61),逐级计算!$X$37&gt;-1),IF(逐级计算!$X$37=0,AK61+逐级计算!$C$37,AK61+逐级计算!$C$37-(10/(逐级计算!$Q$37*LN(10))*(MAX((LN(10^(逐级计算!$Q$37/10)-1)+逐级计算!$Q$37*(AK61-逐级计算!$P$37)*LN(10)/10),0)+LN(1+EXP(-ABS((LN(10^(逐级计算!$Q$37/10)-1)+逐级计算!$Q$37*(AK61-逐级计算!$P$37)*LN(10)/10))))))),"")</f>
        <v>13.7930365742089</v>
      </c>
      <c r="AM61">
        <f>IF(AND(ISNUMBER(AL61),逐级计算!$X$38&gt;-1),IF(逐级计算!$X$38=0,AL61+逐级计算!$C$38,AL61+逐级计算!$C$38-(10/(逐级计算!$Q$38*LN(10))*(MAX((LN(10^(逐级计算!$Q$38/10)-1)+逐级计算!$Q$38*(AL61-逐级计算!$P$38)*LN(10)/10),0)+LN(1+EXP(-ABS((LN(10^(逐级计算!$Q$38/10)-1)+逐级计算!$Q$38*(AL61-逐级计算!$P$38)*LN(10)/10))))))),"")</f>
        <v>13.7930365742089</v>
      </c>
      <c r="AN61">
        <f>IF(AND(ISNUMBER(AM61),逐级计算!$X$39&gt;-1),IF(逐级计算!$X$39=0,AM61+逐级计算!$C$39,AM61+逐级计算!$C$39-(10/(逐级计算!$Q$39*LN(10))*(MAX((LN(10^(逐级计算!$Q$39/10)-1)+逐级计算!$Q$39*(AM61-逐级计算!$P$39)*LN(10)/10),0)+LN(1+EXP(-ABS((LN(10^(逐级计算!$Q$39/10)-1)+逐级计算!$Q$39*(AM61-逐级计算!$P$39)*LN(10)/10))))))),"")</f>
        <v>13.7930365742089</v>
      </c>
      <c r="AO61">
        <f>IF(AND(ISNUMBER(AN61),逐级计算!$X$40&gt;-1),IF(逐级计算!$X$40=0,AN61+逐级计算!$C$40,AN61+逐级计算!$C$40-(10/(逐级计算!$Q$40*LN(10))*(MAX((LN(10^(逐级计算!$Q$40/10)-1)+逐级计算!$Q$40*(AN61-逐级计算!$P$40)*LN(10)/10),0)+LN(1+EXP(-ABS((LN(10^(逐级计算!$Q$40/10)-1)+逐级计算!$Q$40*(AN61-逐级计算!$P$40)*LN(10)/10))))))),"")</f>
        <v>13.7930365742089</v>
      </c>
      <c r="AP61">
        <f>IF(AND(ISNUMBER(AO61),逐级计算!$X$41&gt;-1),IF(逐级计算!$X$41=0,AO61+逐级计算!$C$41,AO61+逐级计算!$C$41-(10/(逐级计算!$Q$41*LN(10))*(MAX((LN(10^(逐级计算!$Q$41/10)-1)+逐级计算!$Q$41*(AO61-逐级计算!$P$41)*LN(10)/10),0)+LN(1+EXP(-ABS((LN(10^(逐级计算!$Q$41/10)-1)+逐级计算!$Q$41*(AO61-逐级计算!$P$41)*LN(10)/10))))))),"")</f>
        <v>13.7930365742089</v>
      </c>
      <c r="AQ61">
        <f>IF(AND(ISNUMBER(AP61),逐级计算!$X$42&gt;-1),IF(逐级计算!$X$42=0,AP61+逐级计算!$C$42,AP61+逐级计算!$C$42-(10/(逐级计算!$Q$42*LN(10))*(MAX((LN(10^(逐级计算!$Q$42/10)-1)+逐级计算!$Q$42*(AP61-逐级计算!$P$42)*LN(10)/10),0)+LN(1+EXP(-ABS((LN(10^(逐级计算!$Q$42/10)-1)+逐级计算!$Q$42*(AP61-逐级计算!$P$42)*LN(10)/10))))))),"")</f>
        <v>13.7930365742089</v>
      </c>
      <c r="AR61">
        <f>IF(AND(ISNUMBER(AQ61),逐级计算!$X$43&gt;-1),IF(逐级计算!$X$43=0,AQ61+逐级计算!$C$43,AQ61+逐级计算!$C$43-(10/(逐级计算!$Q$43*LN(10))*(MAX((LN(10^(逐级计算!$Q$43/10)-1)+逐级计算!$Q$43*(AQ61-逐级计算!$P$43)*LN(10)/10),0)+LN(1+EXP(-ABS((LN(10^(逐级计算!$Q$43/10)-1)+逐级计算!$Q$43*(AQ61-逐级计算!$P$43)*LN(10)/10))))))),"")</f>
        <v>13.7930365742089</v>
      </c>
      <c r="AS61">
        <f>IF(AND(ISNUMBER(AR61),逐级计算!$X$44&gt;-1),IF(逐级计算!$X$44=0,AR61+逐级计算!$C$44,AR61+逐级计算!$C$44-(10/(逐级计算!$Q$44*LN(10))*(MAX((LN(10^(逐级计算!$Q$44/10)-1)+逐级计算!$Q$44*(AR61-逐级计算!$P$44)*LN(10)/10),0)+LN(1+EXP(-ABS((LN(10^(逐级计算!$Q$44/10)-1)+逐级计算!$Q$44*(AR61-逐级计算!$P$44)*LN(10)/10))))))),"")</f>
        <v>13.7930365742089</v>
      </c>
      <c r="AT61">
        <f>IF(AND(ISNUMBER(AS61),逐级计算!$X$45&gt;-1),IF(逐级计算!$X$45=0,AS61+逐级计算!$C$45,AS61+逐级计算!$C$45-(10/(逐级计算!$Q$45*LN(10))*(MAX((LN(10^(逐级计算!$Q$45/10)-1)+逐级计算!$Q$45*(AS61-逐级计算!$P$45)*LN(10)/10),0)+LN(1+EXP(-ABS((LN(10^(逐级计算!$Q$45/10)-1)+逐级计算!$Q$45*(AS61-逐级计算!$P$45)*LN(10)/10))))))),"")</f>
        <v>13.7930365742089</v>
      </c>
      <c r="AU61">
        <f>IF(AND(ISNUMBER(AT61),逐级计算!$X$46&gt;-1),IF(逐级计算!$X$46=0,AT61+逐级计算!$C$46,AT61+逐级计算!$C$46-(10/(逐级计算!$Q$46*LN(10))*(MAX((LN(10^(逐级计算!$Q$46/10)-1)+逐级计算!$Q$46*(AT61-逐级计算!$P$46)*LN(10)/10),0)+LN(1+EXP(-ABS((LN(10^(逐级计算!$Q$46/10)-1)+逐级计算!$Q$46*(AT61-逐级计算!$P$46)*LN(10)/10))))))),"")</f>
        <v>13.7930365742089</v>
      </c>
      <c r="AV61">
        <f>IF(AND(ISNUMBER(AU61),逐级计算!$X$47&gt;-1),IF(逐级计算!$X$47=0,AU61+逐级计算!$C$47,AU61+逐级计算!$C$47-(10/(逐级计算!$Q$47*LN(10))*(MAX((LN(10^(逐级计算!$Q$47/10)-1)+逐级计算!$Q$47*(AU61-逐级计算!$P$47)*LN(10)/10),0)+LN(1+EXP(-ABS((LN(10^(逐级计算!$Q$47/10)-1)+逐级计算!$Q$47*(AU61-逐级计算!$P$47)*LN(10)/10))))))),"")</f>
        <v>13.7930365742089</v>
      </c>
      <c r="AW61">
        <f>IF(AND(ISNUMBER(AV61),逐级计算!$X$48&gt;-1),IF(逐级计算!$X$48=0,AV61+逐级计算!$C$48,AV61+逐级计算!$C$48-(10/(逐级计算!$Q$48*LN(10))*(MAX((LN(10^(逐级计算!$Q$48/10)-1)+逐级计算!$Q$48*(AV61-逐级计算!$P$48)*LN(10)/10),0)+LN(1+EXP(-ABS((LN(10^(逐级计算!$Q$48/10)-1)+逐级计算!$Q$48*(AV61-逐级计算!$P$48)*LN(10)/10))))))),"")</f>
        <v>13.7930365742089</v>
      </c>
      <c r="AX61">
        <f>IF(AND(ISNUMBER(AW61),逐级计算!$X$49&gt;-1),IF(逐级计算!$X$49=0,AW61+逐级计算!$C$49,AW61+逐级计算!$C$49-(10/(逐级计算!$Q$49*LN(10))*(MAX((LN(10^(逐级计算!$Q$49/10)-1)+逐级计算!$Q$49*(AW61-逐级计算!$P$49)*LN(10)/10),0)+LN(1+EXP(-ABS((LN(10^(逐级计算!$Q$49/10)-1)+逐级计算!$Q$49*(AW61-逐级计算!$P$49)*LN(10)/10))))))),"")</f>
        <v>13.7930365742089</v>
      </c>
      <c r="AY61">
        <f>IF(AND(ISNUMBER(AX61),逐级计算!$X$50&gt;-1),IF(逐级计算!$X$50=0,AX61+逐级计算!$C$50,AX61+逐级计算!$C$50-(10/(逐级计算!$Q$50*LN(10))*(MAX((LN(10^(逐级计算!$Q$50/10)-1)+逐级计算!$Q$50*(AX61-逐级计算!$P$50)*LN(10)/10),0)+LN(1+EXP(-ABS((LN(10^(逐级计算!$Q$50/10)-1)+逐级计算!$Q$50*(AX61-逐级计算!$P$50)*LN(10)/10))))))),"")</f>
        <v>13.7930365742089</v>
      </c>
      <c r="AZ61">
        <f>IF(AND(ISNUMBER(AY61),逐级计算!$X$51&gt;-1),IF(逐级计算!$X$51=0,AY61+逐级计算!$C$51,AY61+逐级计算!$C$51-(10/(逐级计算!$Q$51*LN(10))*(MAX((LN(10^(逐级计算!$Q$51/10)-1)+逐级计算!$Q$51*(AY61-逐级计算!$P$51)*LN(10)/10),0)+LN(1+EXP(-ABS((LN(10^(逐级计算!$Q$51/10)-1)+逐级计算!$Q$51*(AY61-逐级计算!$P$51)*LN(10)/10))))))),"")</f>
        <v>13.7930365742089</v>
      </c>
      <c r="BA61">
        <f>IF(AND(ISNUMBER(AZ61),逐级计算!$X$52&gt;-1),IF(逐级计算!$X$52=0,AZ61+逐级计算!$C$52,AZ61+逐级计算!$C$52-(10/(逐级计算!$Q$52*LN(10))*(MAX((LN(10^(逐级计算!$Q$52/10)-1)+逐级计算!$Q$52*(AZ61-逐级计算!$P$52)*LN(10)/10),0)+LN(1+EXP(-ABS((LN(10^(逐级计算!$Q$52/10)-1)+逐级计算!$Q$52*(AZ61-逐级计算!$P$52)*LN(10)/10))))))),"")</f>
        <v>13.7930365742089</v>
      </c>
      <c r="BB61">
        <f>IF(AND(ISNUMBER(BA61),逐级计算!$X$53&gt;-1),IF(逐级计算!$X$53=0,BA61+逐级计算!$C$53,BA61+逐级计算!$C$53-(10/(逐级计算!$Q$53*LN(10))*(MAX((LN(10^(逐级计算!$Q$53/10)-1)+逐级计算!$Q$53*(BA61-逐级计算!$P$53)*LN(10)/10),0)+LN(1+EXP(-ABS((LN(10^(逐级计算!$Q$53/10)-1)+逐级计算!$Q$53*(BA61-逐级计算!$P$53)*LN(10)/10))))))),"")</f>
        <v>13.7930365742089</v>
      </c>
      <c r="BC61">
        <f>IF(AND(ISNUMBER(BB61),逐级计算!$X$54&gt;-1),IF(逐级计算!$X$54=0,BB61+逐级计算!$C$54,BB61+逐级计算!$C$54-(10/(逐级计算!$Q$54*LN(10))*(MAX((LN(10^(逐级计算!$Q$54/10)-1)+逐级计算!$Q$54*(BB61-逐级计算!$P$54)*LN(10)/10),0)+LN(1+EXP(-ABS((LN(10^(逐级计算!$Q$54/10)-1)+逐级计算!$Q$54*(BB61-逐级计算!$P$54)*LN(10)/10))))))),"")</f>
        <v>13.7930365742089</v>
      </c>
      <c r="BD61">
        <f>IF(AND(ISNUMBER(BC61),逐级计算!$X$55&gt;-1),IF(逐级计算!$X$55=0,BC61+逐级计算!$C$55,BC61+逐级计算!$C$55-(10/(逐级计算!$Q$55*LN(10))*(MAX((LN(10^(逐级计算!$Q$55/10)-1)+逐级计算!$Q$55*(BC61-逐级计算!$P$55)*LN(10)/10),0)+LN(1+EXP(-ABS((LN(10^(逐级计算!$Q$55/10)-1)+逐级计算!$Q$55*(BC61-逐级计算!$P$55)*LN(10)/10))))))),"")</f>
        <v>13.7930365742089</v>
      </c>
      <c r="BE61">
        <f>IF(AND(ISNUMBER(BD61),逐级计算!$X$56&gt;-1),IF(逐级计算!$X$56=0,BD61+逐级计算!$C$56,BD61+逐级计算!$C$56-(10/(逐级计算!$Q$56*LN(10))*(MAX((LN(10^(逐级计算!$Q$56/10)-1)+逐级计算!$Q$56*(BD61-逐级计算!$P$56)*LN(10)/10),0)+LN(1+EXP(-ABS((LN(10^(逐级计算!$Q$56/10)-1)+逐级计算!$Q$56*(BD61-逐级计算!$P$56)*LN(10)/10))))))),"")</f>
        <v>13.7930365742089</v>
      </c>
      <c r="BF61">
        <f>IF(AND(ISNUMBER(BE61),逐级计算!$X$57&gt;-1),IF(逐级计算!$X$57=0,BE61+逐级计算!$C$57,BE61+逐级计算!$C$57-(10/(逐级计算!$Q$57*LN(10))*(MAX((LN(10^(逐级计算!$Q$57/10)-1)+逐级计算!$Q$57*(BE61-逐级计算!$P$57)*LN(10)/10),0)+LN(1+EXP(-ABS((LN(10^(逐级计算!$Q$57/10)-1)+逐级计算!$Q$57*(BE61-逐级计算!$P$57)*LN(10)/10))))))),"")</f>
        <v>13.7930365742089</v>
      </c>
      <c r="BG61">
        <f>IF(AND(ISNUMBER(BF61),逐级计算!$X$58&gt;-1),IF(逐级计算!$X$58=0,BF61+逐级计算!$C$58,BF61+逐级计算!$C$58-(10/(逐级计算!$Q$58*LN(10))*(MAX((LN(10^(逐级计算!$Q$58/10)-1)+逐级计算!$Q$58*(BF61-逐级计算!$P$58)*LN(10)/10),0)+LN(1+EXP(-ABS((LN(10^(逐级计算!$Q$58/10)-1)+逐级计算!$Q$58*(BF61-逐级计算!$P$58)*LN(10)/10))))))),"")</f>
        <v>13.7930365742089</v>
      </c>
      <c r="BH61">
        <f>IF(AND(ISNUMBER(BG61),逐级计算!$X$59&gt;-1),IF(逐级计算!$X$59=0,BG61+逐级计算!$C$59,BG61+逐级计算!$C$59-(10/(逐级计算!$Q$59*LN(10))*(MAX((LN(10^(逐级计算!$Q$59/10)-1)+逐级计算!$Q$59*(BG61-逐级计算!$P$59)*LN(10)/10),0)+LN(1+EXP(-ABS((LN(10^(逐级计算!$Q$59/10)-1)+逐级计算!$Q$59*(BG61-逐级计算!$P$59)*LN(10)/10))))))),"")</f>
        <v>13.7930365742089</v>
      </c>
      <c r="BI61">
        <f>IF(AND(ISNUMBER(BH61),逐级计算!$X$60&gt;-1),IF(逐级计算!$X$60=0,BH61+逐级计算!$C$60,BH61+逐级计算!$C$60-(10/(逐级计算!$Q$60*LN(10))*(MAX((LN(10^(逐级计算!$Q$60/10)-1)+逐级计算!$Q$60*(BH61-逐级计算!$P$60)*LN(10)/10),0)+LN(1+EXP(-ABS((LN(10^(逐级计算!$Q$60/10)-1)+逐级计算!$Q$60*(BH61-逐级计算!$P$60)*LN(10)/10))))))),"")</f>
        <v>13.7930365742089</v>
      </c>
      <c r="BJ61">
        <f>IF(AND(ISNUMBER(BI61),逐级计算!$X$61&gt;-1),IF(逐级计算!$X$61=0,BI61+逐级计算!$C$61,BI61+逐级计算!$C$61-(10/(逐级计算!$Q$61*LN(10))*(MAX((LN(10^(逐级计算!$Q$61/10)-1)+逐级计算!$Q$61*(BI61-逐级计算!$P$61)*LN(10)/10),0)+LN(1+EXP(-ABS((LN(10^(逐级计算!$Q$61/10)-1)+逐级计算!$Q$61*(BI61-逐级计算!$P$61)*LN(10)/10))))))),"")</f>
        <v>13.7930365742089</v>
      </c>
      <c r="BK61">
        <f>IF(AND(ISNUMBER(BJ61),逐级计算!$X$62&gt;-1),IF(逐级计算!$X$62=0,BJ61+逐级计算!$C$62,BJ61+逐级计算!$C$62-(10/(逐级计算!$Q$62*LN(10))*(MAX((LN(10^(逐级计算!$Q$62/10)-1)+逐级计算!$Q$62*(BJ61-逐级计算!$P$62)*LN(10)/10),0)+LN(1+EXP(-ABS((LN(10^(逐级计算!$Q$62/10)-1)+逐级计算!$Q$62*(BJ61-逐级计算!$P$62)*LN(10)/10))))))),"")</f>
        <v>13.7930365742089</v>
      </c>
      <c r="BL61">
        <f>IF(AND(ISNUMBER(BK61),逐级计算!$X$63&gt;-1),IF(逐级计算!$X$63=0,BK61+逐级计算!$C$63,BK61+逐级计算!$C$63-(10/(逐级计算!$Q$63*LN(10))*(MAX((LN(10^(逐级计算!$Q$63/10)-1)+逐级计算!$Q$63*(BK61-逐级计算!$P$63)*LN(10)/10),0)+LN(1+EXP(-ABS((LN(10^(逐级计算!$Q$63/10)-1)+逐级计算!$Q$63*(BK61-逐级计算!$P$63)*LN(10)/10))))))),"")</f>
        <v>13.7930365742089</v>
      </c>
      <c r="BM61">
        <f>IF(AND(ISNUMBER(BL61),逐级计算!$X$64&gt;-1),IF(逐级计算!$X$64=0,BL61+逐级计算!$C$64,BL61+逐级计算!$C$64-(10/(逐级计算!$Q$64*LN(10))*(MAX((LN(10^(逐级计算!$Q$64/10)-1)+逐级计算!$Q$64*(BL61-逐级计算!$P$64)*LN(10)/10),0)+LN(1+EXP(-ABS((LN(10^(逐级计算!$Q$64/10)-1)+逐级计算!$Q$64*(BL61-逐级计算!$P$64)*LN(10)/10))))))),"")</f>
        <v>13.7930365742089</v>
      </c>
      <c r="BN61">
        <f>IF(AND(ISNUMBER(BM61),逐级计算!$X$65&gt;-1),IF(逐级计算!$X$65=0,BM61+逐级计算!$C$65,BM61+逐级计算!$C$65-(10/(逐级计算!$Q$65*LN(10))*(MAX((LN(10^(逐级计算!$Q$65/10)-1)+逐级计算!$Q$65*(BM61-逐级计算!$P$65)*LN(10)/10),0)+LN(1+EXP(-ABS((LN(10^(逐级计算!$Q$65/10)-1)+逐级计算!$Q$65*(BM61-逐级计算!$P$65)*LN(10)/10))))))),"")</f>
        <v>13.7930365742089</v>
      </c>
      <c r="BO61">
        <f>IF(AND(ISNUMBER(BN61),逐级计算!$X$66&gt;-1),IF(逐级计算!$X$66=0,BN61+逐级计算!$C$66,BN61+逐级计算!$C$66-(10/(逐级计算!$Q$66*LN(10))*(MAX((LN(10^(逐级计算!$Q$66/10)-1)+逐级计算!$Q$66*(BN61-逐级计算!$P$66)*LN(10)/10),0)+LN(1+EXP(-ABS((LN(10^(逐级计算!$Q$66/10)-1)+逐级计算!$Q$66*(BN61-逐级计算!$P$66)*LN(10)/10))))))),"")</f>
        <v>13.7930365742089</v>
      </c>
      <c r="BP61">
        <f>IF(AND(ISNUMBER(BO61),逐级计算!$X$67&gt;-1),IF(逐级计算!$X$67=0,BO61+逐级计算!$C$67,BO61+逐级计算!$C$67-(10/(逐级计算!$Q$67*LN(10))*(MAX((LN(10^(逐级计算!$Q$67/10)-1)+逐级计算!$Q$67*(BO61-逐级计算!$P$67)*LN(10)/10),0)+LN(1+EXP(-ABS((LN(10^(逐级计算!$Q$67/10)-1)+逐级计算!$Q$67*(BO61-逐级计算!$P$67)*LN(10)/10))))))),"")</f>
        <v>13.7930365742089</v>
      </c>
      <c r="BQ61">
        <f>IF(AND(ISNUMBER(BP61),逐级计算!$X$68&gt;-1),IF(逐级计算!$X$68=0,BP61+逐级计算!$C$68,BP61+逐级计算!$C$68-(10/(逐级计算!$Q$68*LN(10))*(MAX((LN(10^(逐级计算!$Q$68/10)-1)+逐级计算!$Q$68*(BP61-逐级计算!$P$68)*LN(10)/10),0)+LN(1+EXP(-ABS((LN(10^(逐级计算!$Q$68/10)-1)+逐级计算!$Q$68*(BP61-逐级计算!$P$68)*LN(10)/10))))))),"")</f>
        <v>13.7930365742089</v>
      </c>
      <c r="BR61">
        <f>IF(AND(ISNUMBER(BQ61),逐级计算!$X$69&gt;-1),IF(逐级计算!$X$69=0,BQ61+逐级计算!$C$69,BQ61+逐级计算!$C$69-(10/(逐级计算!$Q$69*LN(10))*(MAX((LN(10^(逐级计算!$Q$69/10)-1)+逐级计算!$Q$69*(BQ61-逐级计算!$P$69)*LN(10)/10),0)+LN(1+EXP(-ABS((LN(10^(逐级计算!$Q$69/10)-1)+逐级计算!$Q$69*(BQ61-逐级计算!$P$69)*LN(10)/10))))))),"")</f>
        <v>13.7930365742089</v>
      </c>
      <c r="BS61">
        <f>IF(AND(ISNUMBER(BR61),逐级计算!$X$70&gt;-1),IF(逐级计算!$X$70=0,BR61+逐级计算!$C$70,BR61+逐级计算!$C$70-(10/(逐级计算!$Q$70*LN(10))*(MAX((LN(10^(逐级计算!$Q$70/10)-1)+逐级计算!$Q$70*(BR61-逐级计算!$P$70)*LN(10)/10),0)+LN(1+EXP(-ABS((LN(10^(逐级计算!$Q$70/10)-1)+逐级计算!$Q$70*(BR61-逐级计算!$P$70)*LN(10)/10))))))),"")</f>
        <v>13.7930365742089</v>
      </c>
      <c r="BT61">
        <f>IF(AND(ISNUMBER(BS61),逐级计算!$X$71&gt;-1),IF(逐级计算!$X$71=0,BS61+逐级计算!$C$71,BS61+逐级计算!$C$71-(10/(逐级计算!$Q$71*LN(10))*(MAX((LN(10^(逐级计算!$Q$71/10)-1)+逐级计算!$Q$71*(BS61-逐级计算!$P$71)*LN(10)/10),0)+LN(1+EXP(-ABS((LN(10^(逐级计算!$Q$71/10)-1)+逐级计算!$Q$71*(BS61-逐级计算!$P$71)*LN(10)/10))))))),"")</f>
        <v>13.7930365742089</v>
      </c>
      <c r="BU61">
        <f>IF(AND(ISNUMBER(BT61),逐级计算!$X$72&gt;-1),IF(逐级计算!$X$72=0,BT61+逐级计算!$C$72,BT61+逐级计算!$C$72-(10/(逐级计算!$Q$72*LN(10))*(MAX((LN(10^(逐级计算!$Q$72/10)-1)+逐级计算!$Q$72*(BT61-逐级计算!$P$72)*LN(10)/10),0)+LN(1+EXP(-ABS((LN(10^(逐级计算!$Q$72/10)-1)+逐级计算!$Q$72*(BT61-逐级计算!$P$72)*LN(10)/10))))))),"")</f>
        <v>13.7930365742089</v>
      </c>
      <c r="BV61">
        <f>IF(AND(ISNUMBER(BU61),逐级计算!$X$73&gt;-1),IF(逐级计算!$X$73=0,BU61+逐级计算!$C$73,BU61+逐级计算!$C$73-(10/(逐级计算!$Q$73*LN(10))*(MAX((LN(10^(逐级计算!$Q$73/10)-1)+逐级计算!$Q$73*(BU61-逐级计算!$P$73)*LN(10)/10),0)+LN(1+EXP(-ABS((LN(10^(逐级计算!$Q$73/10)-1)+逐级计算!$Q$73*(BU61-逐级计算!$P$73)*LN(10)/10))))))),"")</f>
        <v>13.7930365742089</v>
      </c>
      <c r="BW61">
        <f>IF(AND(ISNUMBER(BV61),逐级计算!$X$74&gt;-1),IF(逐级计算!$X$74=0,BV61+逐级计算!$C$74,BV61+逐级计算!$C$74-(10/(逐级计算!$Q$74*LN(10))*(MAX((LN(10^(逐级计算!$Q$74/10)-1)+逐级计算!$Q$74*(BV61-逐级计算!$P$74)*LN(10)/10),0)+LN(1+EXP(-ABS((LN(10^(逐级计算!$Q$74/10)-1)+逐级计算!$Q$74*(BV61-逐级计算!$P$74)*LN(10)/10))))))),"")</f>
        <v>13.7930365742089</v>
      </c>
      <c r="BX61">
        <f>IF(AND(ISNUMBER(BW61),逐级计算!$X$75&gt;-1),IF(逐级计算!$X$75=0,BW61+逐级计算!$C$75,BW61+逐级计算!$C$75-(10/(逐级计算!$Q$75*LN(10))*(MAX((LN(10^(逐级计算!$Q$75/10)-1)+逐级计算!$Q$75*(BW61-逐级计算!$P$75)*LN(10)/10),0)+LN(1+EXP(-ABS((LN(10^(逐级计算!$Q$75/10)-1)+逐级计算!$Q$75*(BW61-逐级计算!$P$75)*LN(10)/10))))))),"")</f>
        <v>13.7930365742089</v>
      </c>
      <c r="BY61">
        <f>IF(AND(ISNUMBER(BX61),逐级计算!$X$76&gt;-1),IF(逐级计算!$X$76=0,BX61+逐级计算!$C$76,BX61+逐级计算!$C$76-(10/(逐级计算!$Q$76*LN(10))*(MAX((LN(10^(逐级计算!$Q$76/10)-1)+逐级计算!$Q$76*(BX61-逐级计算!$P$76)*LN(10)/10),0)+LN(1+EXP(-ABS((LN(10^(逐级计算!$Q$76/10)-1)+逐级计算!$Q$76*(BX61-逐级计算!$P$76)*LN(10)/10))))))),"")</f>
        <v>13.7930365742089</v>
      </c>
      <c r="BZ61">
        <f>IF(AND(ISNUMBER(BY61),逐级计算!$X$77&gt;-1),IF(逐级计算!$X$77=0,BY61+逐级计算!$C$77,BY61+逐级计算!$C$77-(10/(逐级计算!$Q$77*LN(10))*(MAX((LN(10^(逐级计算!$Q$77/10)-1)+逐级计算!$Q$77*(BY61-逐级计算!$P$77)*LN(10)/10),0)+LN(1+EXP(-ABS((LN(10^(逐级计算!$Q$77/10)-1)+逐级计算!$Q$77*(BY61-逐级计算!$P$77)*LN(10)/10))))))),"")</f>
        <v>13.7930365742089</v>
      </c>
      <c r="CA61">
        <f>IF(AND(ISNUMBER(BZ61),逐级计算!$X$78&gt;-1),IF(逐级计算!$X$78=0,BZ61+逐级计算!$C$78,BZ61+逐级计算!$C$78-(10/(逐级计算!$Q$78*LN(10))*(MAX((LN(10^(逐级计算!$Q$78/10)-1)+逐级计算!$Q$78*(BZ61-逐级计算!$P$78)*LN(10)/10),0)+LN(1+EXP(-ABS((LN(10^(逐级计算!$Q$78/10)-1)+逐级计算!$Q$78*(BZ61-逐级计算!$P$78)*LN(10)/10))))))),"")</f>
        <v>13.7930365742089</v>
      </c>
      <c r="CB61">
        <f>IF(AND(ISNUMBER(CA61),逐级计算!$X$79&gt;-1),IF(逐级计算!$X$79=0,CA61+逐级计算!$C$79,CA61+逐级计算!$C$79-(10/(逐级计算!$Q$79*LN(10))*(MAX((LN(10^(逐级计算!$Q$79/10)-1)+逐级计算!$Q$79*(CA61-逐级计算!$P$79)*LN(10)/10),0)+LN(1+EXP(-ABS((LN(10^(逐级计算!$Q$79/10)-1)+逐级计算!$Q$79*(CA61-逐级计算!$P$79)*LN(10)/10))))))),"")</f>
        <v>13.7930365742089</v>
      </c>
      <c r="CC61">
        <f>IF(AND(ISNUMBER(CB61),逐级计算!$X$80&gt;-1),IF(逐级计算!$X$80=0,CB61+逐级计算!$C$80,CB61+逐级计算!$C$80-(10/(逐级计算!$Q$80*LN(10))*(MAX((LN(10^(逐级计算!$Q$80/10)-1)+逐级计算!$Q$80*(CB61-逐级计算!$P$80)*LN(10)/10),0)+LN(1+EXP(-ABS((LN(10^(逐级计算!$Q$80/10)-1)+逐级计算!$Q$80*(CB61-逐级计算!$P$80)*LN(10)/10))))))),"")</f>
        <v>13.7930365742089</v>
      </c>
      <c r="CD61">
        <f>IF(AND(ISNUMBER(CC61),逐级计算!$X$81&gt;-1),IF(逐级计算!$X$81=0,CC61+逐级计算!$C$81,CC61+逐级计算!$C$81-(10/(逐级计算!$Q$81*LN(10))*(MAX((LN(10^(逐级计算!$Q$81/10)-1)+逐级计算!$Q$81*(CC61-逐级计算!$P$81)*LN(10)/10),0)+LN(1+EXP(-ABS((LN(10^(逐级计算!$Q$81/10)-1)+逐级计算!$Q$81*(CC61-逐级计算!$P$81)*LN(10)/10))))))),"")</f>
        <v>13.7930365742089</v>
      </c>
      <c r="CE61">
        <f>IF(AND(ISNUMBER(CD61),逐级计算!$X$82&gt;-1),IF(逐级计算!$X$82=0,CD61+逐级计算!$C$82,CD61+逐级计算!$C$82-(10/(逐级计算!$Q$82*LN(10))*(MAX((LN(10^(逐级计算!$Q$82/10)-1)+逐级计算!$Q$82*(CD61-逐级计算!$P$82)*LN(10)/10),0)+LN(1+EXP(-ABS((LN(10^(逐级计算!$Q$82/10)-1)+逐级计算!$Q$82*(CD61-逐级计算!$P$82)*LN(10)/10))))))),"")</f>
        <v>13.7930365742089</v>
      </c>
      <c r="CF61">
        <f>IF(AND(ISNUMBER(CE61),逐级计算!$X$83&gt;-1),IF(逐级计算!$X$83=0,CE61+逐级计算!$C$83,CE61+逐级计算!$C$83-(10/(逐级计算!$Q$83*LN(10))*(MAX((LN(10^(逐级计算!$Q$83/10)-1)+逐级计算!$Q$83*(CE61-逐级计算!$P$83)*LN(10)/10),0)+LN(1+EXP(-ABS((LN(10^(逐级计算!$Q$83/10)-1)+逐级计算!$Q$83*(CE61-逐级计算!$P$83)*LN(10)/10))))))),"")</f>
        <v>13.7930365742089</v>
      </c>
      <c r="CG61">
        <f>IF(AND(ISNUMBER(CF61),逐级计算!$X$84&gt;-1),IF(逐级计算!$X$84=0,CF61+逐级计算!$C$84,CF61+逐级计算!$C$84-(10/(逐级计算!$Q$84*LN(10))*(MAX((LN(10^(逐级计算!$Q$84/10)-1)+逐级计算!$Q$84*(CF61-逐级计算!$P$84)*LN(10)/10),0)+LN(1+EXP(-ABS((LN(10^(逐级计算!$Q$84/10)-1)+逐级计算!$Q$84*(CF61-逐级计算!$P$84)*LN(10)/10))))))),"")</f>
        <v>13.7930365742089</v>
      </c>
      <c r="CH61">
        <f>IF(AND(ISNUMBER(CG61),逐级计算!$X$85&gt;-1),IF(逐级计算!$X$85=0,CG61+逐级计算!$C$85,CG61+逐级计算!$C$85-(10/(逐级计算!$Q$85*LN(10))*(MAX((LN(10^(逐级计算!$Q$85/10)-1)+逐级计算!$Q$85*(CG61-逐级计算!$P$85)*LN(10)/10),0)+LN(1+EXP(-ABS((LN(10^(逐级计算!$Q$85/10)-1)+逐级计算!$Q$85*(CG61-逐级计算!$P$85)*LN(10)/10))))))),"")</f>
        <v>13.7930365742089</v>
      </c>
      <c r="CI61">
        <f>IF(AND(ISNUMBER(CH61),逐级计算!$X$86&gt;-1),IF(逐级计算!$X$86=0,CH61+逐级计算!$C$86,CH61+逐级计算!$C$86-(10/(逐级计算!$Q$86*LN(10))*(MAX((LN(10^(逐级计算!$Q$86/10)-1)+逐级计算!$Q$86*(CH61-逐级计算!$P$86)*LN(10)/10),0)+LN(1+EXP(-ABS((LN(10^(逐级计算!$Q$86/10)-1)+逐级计算!$Q$86*(CH61-逐级计算!$P$86)*LN(10)/10))))))),"")</f>
        <v>13.7930365742089</v>
      </c>
      <c r="CJ61">
        <f>IF(AND(ISNUMBER(CI61),逐级计算!$X$87&gt;-1),IF(逐级计算!$X$87=0,CI61+逐级计算!$C$87,CI61+逐级计算!$C$87-(10/(逐级计算!$Q$87*LN(10))*(MAX((LN(10^(逐级计算!$Q$87/10)-1)+逐级计算!$Q$87*(CI61-逐级计算!$P$87)*LN(10)/10),0)+LN(1+EXP(-ABS((LN(10^(逐级计算!$Q$87/10)-1)+逐级计算!$Q$87*(CI61-逐级计算!$P$87)*LN(10)/10))))))),"")</f>
        <v>13.7930365742089</v>
      </c>
      <c r="CK61">
        <f>IF(AND(ISNUMBER(CJ61),逐级计算!$X$88&gt;-1),IF(逐级计算!$X$88=0,CJ61+逐级计算!$C$88,CJ61+逐级计算!$C$88-(10/(逐级计算!$Q$88*LN(10))*(MAX((LN(10^(逐级计算!$Q$88/10)-1)+逐级计算!$Q$88*(CJ61-逐级计算!$P$88)*LN(10)/10),0)+LN(1+EXP(-ABS((LN(10^(逐级计算!$Q$88/10)-1)+逐级计算!$Q$88*(CJ61-逐级计算!$P$88)*LN(10)/10))))))),"")</f>
        <v>13.7930365742089</v>
      </c>
      <c r="CL61">
        <f>IF(AND(ISNUMBER(CK61),逐级计算!$X$89&gt;-1),IF(逐级计算!$X$89=0,CK61+逐级计算!$C$89,CK61+逐级计算!$C$89-(10/(逐级计算!$Q$89*LN(10))*(MAX((LN(10^(逐级计算!$Q$89/10)-1)+逐级计算!$Q$89*(CK61-逐级计算!$P$89)*LN(10)/10),0)+LN(1+EXP(-ABS((LN(10^(逐级计算!$Q$89/10)-1)+逐级计算!$Q$89*(CK61-逐级计算!$P$89)*LN(10)/10))))))),"")</f>
        <v>13.7930365742089</v>
      </c>
      <c r="CM61">
        <f>IF(AND(ISNUMBER(CL61),逐级计算!$X$90&gt;-1),IF(逐级计算!$X$90=0,CL61+逐级计算!$C$90,CL61+逐级计算!$C$90-(10/(逐级计算!$Q$90*LN(10))*(MAX((LN(10^(逐级计算!$Q$90/10)-1)+逐级计算!$Q$90*(CL61-逐级计算!$P$90)*LN(10)/10),0)+LN(1+EXP(-ABS((LN(10^(逐级计算!$Q$90/10)-1)+逐级计算!$Q$90*(CL61-逐级计算!$P$90)*LN(10)/10))))))),"")</f>
        <v>13.7930365742089</v>
      </c>
      <c r="CN61">
        <f>IF(AND(ISNUMBER(CM61),逐级计算!$X$91&gt;-1),IF(逐级计算!$X$91=0,CM61+逐级计算!$C$91,CM61+逐级计算!$C$91-(10/(逐级计算!$Q$91*LN(10))*(MAX((LN(10^(逐级计算!$Q$91/10)-1)+逐级计算!$Q$91*(CM61-逐级计算!$P$91)*LN(10)/10),0)+LN(1+EXP(-ABS((LN(10^(逐级计算!$Q$91/10)-1)+逐级计算!$Q$91*(CM61-逐级计算!$P$91)*LN(10)/10))))))),"")</f>
        <v>13.7930365742089</v>
      </c>
      <c r="CO61">
        <f>IF(AND(ISNUMBER(CN61),逐级计算!$X$92&gt;-1),IF(逐级计算!$X$92=0,CN61+逐级计算!$C$92,CN61+逐级计算!$C$92-(10/(逐级计算!$Q$92*LN(10))*(MAX((LN(10^(逐级计算!$Q$92/10)-1)+逐级计算!$Q$92*(CN61-逐级计算!$P$92)*LN(10)/10),0)+LN(1+EXP(-ABS((LN(10^(逐级计算!$Q$92/10)-1)+逐级计算!$Q$92*(CN61-逐级计算!$P$92)*LN(10)/10))))))),"")</f>
        <v>13.7930365742089</v>
      </c>
      <c r="CP61">
        <f>IF(AND(ISNUMBER(CO61),逐级计算!$X$93&gt;-1),IF(逐级计算!$X$93=0,CO61+逐级计算!$C$93,CO61+逐级计算!$C$93-(10/(逐级计算!$Q$93*LN(10))*(MAX((LN(10^(逐级计算!$Q$93/10)-1)+逐级计算!$Q$93*(CO61-逐级计算!$P$93)*LN(10)/10),0)+LN(1+EXP(-ABS((LN(10^(逐级计算!$Q$93/10)-1)+逐级计算!$Q$93*(CO61-逐级计算!$P$93)*LN(10)/10))))))),"")</f>
        <v>13.7930365742089</v>
      </c>
      <c r="CQ61">
        <f>IF(AND(ISNUMBER(CP61),逐级计算!$X$94&gt;-1),IF(逐级计算!$X$94=0,CP61+逐级计算!$C$94,CP61+逐级计算!$C$94-(10/(逐级计算!$Q$94*LN(10))*(MAX((LN(10^(逐级计算!$Q$94/10)-1)+逐级计算!$Q$94*(CP61-逐级计算!$P$94)*LN(10)/10),0)+LN(1+EXP(-ABS((LN(10^(逐级计算!$Q$94/10)-1)+逐级计算!$Q$94*(CP61-逐级计算!$P$94)*LN(10)/10))))))),"")</f>
        <v>13.7930365742089</v>
      </c>
      <c r="CR61">
        <f>IF(AND(ISNUMBER(CQ61),逐级计算!$X$95&gt;-1),IF(逐级计算!$X$95=0,CQ61+逐级计算!$C$95,CQ61+逐级计算!$C$95-(10/(逐级计算!$Q$95*LN(10))*(MAX((LN(10^(逐级计算!$Q$95/10)-1)+逐级计算!$Q$95*(CQ61-逐级计算!$P$95)*LN(10)/10),0)+LN(1+EXP(-ABS((LN(10^(逐级计算!$Q$95/10)-1)+逐级计算!$Q$95*(CQ61-逐级计算!$P$95)*LN(10)/10))))))),"")</f>
        <v>13.7930365742089</v>
      </c>
      <c r="CS61">
        <f>IF(AND(ISNUMBER(CR61),逐级计算!$X$96&gt;-1),IF(逐级计算!$X$96=0,CR61+逐级计算!$C$96,CR61+逐级计算!$C$96-(10/(逐级计算!$Q$96*LN(10))*(MAX((LN(10^(逐级计算!$Q$96/10)-1)+逐级计算!$Q$96*(CR61-逐级计算!$P$96)*LN(10)/10),0)+LN(1+EXP(-ABS((LN(10^(逐级计算!$Q$96/10)-1)+逐级计算!$Q$96*(CR61-逐级计算!$P$96)*LN(10)/10))))))),"")</f>
        <v>13.7930365742089</v>
      </c>
      <c r="CT61">
        <f>IF(AND(ISNUMBER(CS61),逐级计算!$X$97&gt;-1),IF(逐级计算!$X$97=0,CS61+逐级计算!$C$97,CS61+逐级计算!$C$97-(10/(逐级计算!$Q$97*LN(10))*(MAX((LN(10^(逐级计算!$Q$97/10)-1)+逐级计算!$Q$97*(CS61-逐级计算!$P$97)*LN(10)/10),0)+LN(1+EXP(-ABS((LN(10^(逐级计算!$Q$97/10)-1)+逐级计算!$Q$97*(CS61-逐级计算!$P$97)*LN(10)/10))))))),"")</f>
        <v>13.7930365742089</v>
      </c>
      <c r="CU61">
        <f>IF(AND(ISNUMBER(CT61),逐级计算!$X$98&gt;-1),IF(逐级计算!$X$98=0,CT61+逐级计算!$C$98,CT61+逐级计算!$C$98-(10/(逐级计算!$Q$98*LN(10))*(MAX((LN(10^(逐级计算!$Q$98/10)-1)+逐级计算!$Q$98*(CT61-逐级计算!$P$98)*LN(10)/10),0)+LN(1+EXP(-ABS((LN(10^(逐级计算!$Q$98/10)-1)+逐级计算!$Q$98*(CT61-逐级计算!$P$98)*LN(10)/10))))))),"")</f>
        <v>13.7930365742089</v>
      </c>
      <c r="CV61">
        <f>IF(AND(ISNUMBER(CU61),逐级计算!$X$99&gt;-1),IF(逐级计算!$X$99=0,CU61+逐级计算!$C$99,CU61+逐级计算!$C$99-(10/(逐级计算!$Q$99*LN(10))*(MAX((LN(10^(逐级计算!$Q$99/10)-1)+逐级计算!$Q$99*(CU61-逐级计算!$P$99)*LN(10)/10),0)+LN(1+EXP(-ABS((LN(10^(逐级计算!$Q$99/10)-1)+逐级计算!$Q$99*(CU61-逐级计算!$P$99)*LN(10)/10))))))),"")</f>
        <v>13.7930365742089</v>
      </c>
      <c r="CW61">
        <f>IF(AND(ISNUMBER(CV61),逐级计算!$X$100&gt;-1),IF(逐级计算!$X$100=0,CV61+逐级计算!$C$100,CV61+逐级计算!$C$100-(10/(逐级计算!$Q$100*LN(10))*(MAX((LN(10^(逐级计算!$Q$100/10)-1)+逐级计算!$Q$100*(CV61-逐级计算!$P$100)*LN(10)/10),0)+LN(1+EXP(-ABS((LN(10^(逐级计算!$Q$100/10)-1)+逐级计算!$Q$100*(CV61-逐级计算!$P$100)*LN(10)/10))))))),"")</f>
        <v>13.7930365742089</v>
      </c>
      <c r="CX61">
        <f>IF(AND(ISNUMBER(CW61),逐级计算!$X$101&gt;-1),IF(逐级计算!$X$101=0,CW61+逐级计算!$C$101,CW61+逐级计算!$C$101-(10/(逐级计算!$Q$101*LN(10))*(MAX((LN(10^(逐级计算!$Q$101/10)-1)+逐级计算!$Q$101*(CW61-逐级计算!$P$101)*LN(10)/10),0)+LN(1+EXP(-ABS((LN(10^(逐级计算!$Q$101/10)-1)+逐级计算!$Q$101*(CW61-逐级计算!$P$101)*LN(10)/10))))))),"")</f>
        <v>13.7930365742089</v>
      </c>
      <c r="CY61">
        <f>IF(AND(ISNUMBER(CX61),逐级计算!$X$102&gt;-1),IF(逐级计算!$X$102=0,CX61+逐级计算!$C$102,CX61+逐级计算!$C$102-(10/(逐级计算!$Q$102*LN(10))*(MAX((LN(10^(逐级计算!$Q$102/10)-1)+逐级计算!$Q$102*(CX61-逐级计算!$P$102)*LN(10)/10),0)+LN(1+EXP(-ABS((LN(10^(逐级计算!$Q$102/10)-1)+逐级计算!$Q$102*(CX61-逐级计算!$P$102)*LN(10)/10))))))),"")</f>
        <v>13.7930365742089</v>
      </c>
      <c r="CZ61">
        <f>IF(AND(ISNUMBER(CY61),逐级计算!$X$103&gt;-1),IF(逐级计算!$X$103=0,CY61+逐级计算!$C$103,CY61+逐级计算!$C$103-(10/(逐级计算!$Q$103*LN(10))*(MAX((LN(10^(逐级计算!$Q$103/10)-1)+逐级计算!$Q$103*(CY61-逐级计算!$P$103)*LN(10)/10),0)+LN(1+EXP(-ABS((LN(10^(逐级计算!$Q$103/10)-1)+逐级计算!$Q$103*(CY61-逐级计算!$P$103)*LN(10)/10))))))),"")</f>
        <v>13.7930365742089</v>
      </c>
      <c r="DA61">
        <f>IF(AND(ISNUMBER(CZ61),逐级计算!$X$104&gt;-1),IF(逐级计算!$X$104=0,CZ61+逐级计算!$C$104,CZ61+逐级计算!$C$104-(10/(逐级计算!$Q$104*LN(10))*(MAX((LN(10^(逐级计算!$Q$104/10)-1)+逐级计算!$Q$104*(CZ61-逐级计算!$P$104)*LN(10)/10),0)+LN(1+EXP(-ABS((LN(10^(逐级计算!$Q$104/10)-1)+逐级计算!$Q$104*(CZ61-逐级计算!$P$104)*LN(10)/10))))))),"")</f>
        <v>13.7930365742089</v>
      </c>
      <c r="DB61">
        <f>IF(AND(ISNUMBER(DA61),逐级计算!$X$105&gt;-1),IF(逐级计算!$X$105=0,DA61+逐级计算!$C$105,DA61+逐级计算!$C$105-(10/(逐级计算!$Q$105*LN(10))*(MAX((LN(10^(逐级计算!$Q$105/10)-1)+逐级计算!$Q$105*(DA61-逐级计算!$P$105)*LN(10)/10),0)+LN(1+EXP(-ABS((LN(10^(逐级计算!$Q$105/10)-1)+逐级计算!$Q$105*(DA61-逐级计算!$P$105)*LN(10)/10))))))),"")</f>
        <v>13.7930365742089</v>
      </c>
      <c r="DC61">
        <f>IF(AND(ISNUMBER(DB61),逐级计算!$X$106&gt;-1),IF(逐级计算!$X$106=0,DB61+逐级计算!$C$106,DB61+逐级计算!$C$106-(10/(逐级计算!$Q$106*LN(10))*(MAX((LN(10^(逐级计算!$Q$106/10)-1)+逐级计算!$Q$106*(DB61-逐级计算!$P$106)*LN(10)/10),0)+LN(1+EXP(-ABS((LN(10^(逐级计算!$Q$106/10)-1)+逐级计算!$Q$106*(DB61-逐级计算!$P$106)*LN(10)/10))))))),"")</f>
        <v>13.7930365742089</v>
      </c>
      <c r="DD61">
        <f>IF(AND(ISNUMBER(DC61),逐级计算!$X$107&gt;-1),IF(逐级计算!$X$107=0,DC61+逐级计算!$C$107,DC61+逐级计算!$C$107-(10/(逐级计算!$Q$107*LN(10))*(MAX((LN(10^(逐级计算!$Q$107/10)-1)+逐级计算!$Q$107*(DC61-逐级计算!$P$107)*LN(10)/10),0)+LN(1+EXP(-ABS((LN(10^(逐级计算!$Q$107/10)-1)+逐级计算!$Q$107*(DC61-逐级计算!$P$107)*LN(10)/10))))))),"")</f>
        <v>13.7930365742089</v>
      </c>
      <c r="DE61">
        <f>IF(AND(ISNUMBER(DD61),逐级计算!$X$108&gt;-1),IF(逐级计算!$X$108=0,DD61+逐级计算!$C$108,DD61+逐级计算!$C$108-(10/(逐级计算!$Q$108*LN(10))*(MAX((LN(10^(逐级计算!$Q$108/10)-1)+逐级计算!$Q$108*(DD61-逐级计算!$P$108)*LN(10)/10),0)+LN(1+EXP(-ABS((LN(10^(逐级计算!$Q$108/10)-1)+逐级计算!$Q$108*(DD61-逐级计算!$P$108)*LN(10)/10))))))),"")</f>
        <v>13.7930365742089</v>
      </c>
      <c r="DF61">
        <f>IF(AND(ISNUMBER(DE61),逐级计算!$X$109&gt;-1),IF(逐级计算!$X$109=0,DE61+逐级计算!$C$109,DE61+逐级计算!$C$109-(10/(逐级计算!$Q$109*LN(10))*(MAX((LN(10^(逐级计算!$Q$109/10)-1)+逐级计算!$Q$109*(DE61-逐级计算!$P$109)*LN(10)/10),0)+LN(1+EXP(-ABS((LN(10^(逐级计算!$Q$109/10)-1)+逐级计算!$Q$109*(DE61-逐级计算!$P$109)*LN(10)/10))))))),"")</f>
        <v>13.7930365742089</v>
      </c>
      <c r="DG61">
        <f>IF(AND(ISNUMBER(DF61),逐级计算!$X$110&gt;-1),IF(逐级计算!$X$110=0,DF61+逐级计算!$C$110,DF61+逐级计算!$C$110-(10/(逐级计算!$Q$110*LN(10))*(MAX((LN(10^(逐级计算!$Q$110/10)-1)+逐级计算!$Q$110*(DF61-逐级计算!$P$110)*LN(10)/10),0)+LN(1+EXP(-ABS((LN(10^(逐级计算!$Q$110/10)-1)+逐级计算!$Q$110*(DF61-逐级计算!$P$110)*LN(10)/10))))))),"")</f>
        <v>13.7930365742089</v>
      </c>
      <c r="DH61">
        <f>IF(AND(ISNUMBER(DG61),逐级计算!$X$111&gt;-1),IF(逐级计算!$X$111=0,DG61+逐级计算!$C$111,DG61+逐级计算!$C$111-(10/(逐级计算!$Q$111*LN(10))*(MAX((LN(10^(逐级计算!$Q$111/10)-1)+逐级计算!$Q$111*(DG61-逐级计算!$P$111)*LN(10)/10),0)+LN(1+EXP(-ABS((LN(10^(逐级计算!$Q$111/10)-1)+逐级计算!$Q$111*(DG61-逐级计算!$P$111)*LN(10)/10))))))),"")</f>
        <v>13.7930365742089</v>
      </c>
      <c r="DI61">
        <f>IF(AND(ISNUMBER(DH61),逐级计算!$X$112&gt;-1),IF(逐级计算!$X$112=0,DH61+逐级计算!$C$112,DH61+逐级计算!$C$112-(10/(逐级计算!$Q$112*LN(10))*(MAX((LN(10^(逐级计算!$Q$112/10)-1)+逐级计算!$Q$112*(DH61-逐级计算!$P$112)*LN(10)/10),0)+LN(1+EXP(-ABS((LN(10^(逐级计算!$Q$112/10)-1)+逐级计算!$Q$112*(DH61-逐级计算!$P$112)*LN(10)/10))))))),"")</f>
        <v>13.7930365742089</v>
      </c>
      <c r="DJ61">
        <f>IF(AND(ISNUMBER(DI61),逐级计算!$X$113&gt;-1),IF(逐级计算!$X$113=0,DI61+逐级计算!$C$113,DI61+逐级计算!$C$113-(10/(逐级计算!$Q$113*LN(10))*(MAX((LN(10^(逐级计算!$Q$113/10)-1)+逐级计算!$Q$113*(DI61-逐级计算!$P$113)*LN(10)/10),0)+LN(1+EXP(-ABS((LN(10^(逐级计算!$Q$113/10)-1)+逐级计算!$Q$113*(DI61-逐级计算!$P$113)*LN(10)/10))))))),"")</f>
        <v>13.7930365742089</v>
      </c>
      <c r="DK61">
        <f>IF(AND(ISNUMBER(DJ61),逐级计算!$X$114&gt;-1),IF(逐级计算!$X$114=0,DJ61+逐级计算!$C$114,DJ61+逐级计算!$C$114-(10/(逐级计算!$Q$114*LN(10))*(MAX((LN(10^(逐级计算!$Q$114/10)-1)+逐级计算!$Q$114*(DJ61-逐级计算!$P$114)*LN(10)/10),0)+LN(1+EXP(-ABS((LN(10^(逐级计算!$Q$114/10)-1)+逐级计算!$Q$114*(DJ61-逐级计算!$P$114)*LN(10)/10))))))),"")</f>
        <v>13.7930365742089</v>
      </c>
      <c r="DL61">
        <f>IF(AND(ISNUMBER(DK61),逐级计算!$X$115&gt;-1),IF(逐级计算!$X$115=0,DK61+逐级计算!$C$115,DK61+逐级计算!$C$115-(10/(逐级计算!$Q$115*LN(10))*(MAX((LN(10^(逐级计算!$Q$115/10)-1)+逐级计算!$Q$115*(DK61-逐级计算!$P$115)*LN(10)/10),0)+LN(1+EXP(-ABS((LN(10^(逐级计算!$Q$115/10)-1)+逐级计算!$Q$115*(DK61-逐级计算!$P$115)*LN(10)/10))))))),"")</f>
        <v>13.7930365742089</v>
      </c>
      <c r="DM61">
        <f>IF(AND(ISNUMBER(DL61),逐级计算!$X$116&gt;-1),IF(逐级计算!$X$116=0,DL61+逐级计算!$C$116,DL61+逐级计算!$C$116-(10/(逐级计算!$Q$116*LN(10))*(MAX((LN(10^(逐级计算!$Q$116/10)-1)+逐级计算!$Q$116*(DL61-逐级计算!$P$116)*LN(10)/10),0)+LN(1+EXP(-ABS((LN(10^(逐级计算!$Q$116/10)-1)+逐级计算!$Q$116*(DL61-逐级计算!$P$116)*LN(10)/10))))))),"")</f>
        <v>13.7930365742089</v>
      </c>
      <c r="DN61">
        <f>IF(AND(ISNUMBER(DM61),逐级计算!$X$117&gt;-1),IF(逐级计算!$X$117=0,DM61+逐级计算!$C$117,DM61+逐级计算!$C$117-(10/(逐级计算!$Q$117*LN(10))*(MAX((LN(10^(逐级计算!$Q$117/10)-1)+逐级计算!$Q$117*(DM61-逐级计算!$P$117)*LN(10)/10),0)+LN(1+EXP(-ABS((LN(10^(逐级计算!$Q$117/10)-1)+逐级计算!$Q$117*(DM61-逐级计算!$P$117)*LN(10)/10))))))),"")</f>
        <v>13.7930365742089</v>
      </c>
      <c r="DO61">
        <f>IF(AND(ISNUMBER(DN61),逐级计算!$X$118&gt;-1),IF(逐级计算!$X$118=0,DN61+逐级计算!$C$118,DN61+逐级计算!$C$118-(10/(逐级计算!$Q$118*LN(10))*(MAX((LN(10^(逐级计算!$Q$118/10)-1)+逐级计算!$Q$118*(DN61-逐级计算!$P$118)*LN(10)/10),0)+LN(1+EXP(-ABS((LN(10^(逐级计算!$Q$118/10)-1)+逐级计算!$Q$118*(DN61-逐级计算!$P$118)*LN(10)/10))))))),"")</f>
        <v>13.7930365742089</v>
      </c>
      <c r="DP61">
        <f>IF(AND(ISNUMBER(DO61),逐级计算!$X$119&gt;-1),IF(逐级计算!$X$119=0,DO61+逐级计算!$C$119,DO61+逐级计算!$C$119-(10/(逐级计算!$Q$119*LN(10))*(MAX((LN(10^(逐级计算!$Q$119/10)-1)+逐级计算!$Q$119*(DO61-逐级计算!$P$119)*LN(10)/10),0)+LN(1+EXP(-ABS((LN(10^(逐级计算!$Q$119/10)-1)+逐级计算!$Q$119*(DO61-逐级计算!$P$119)*LN(10)/10))))))),"")</f>
        <v>13.7930365742089</v>
      </c>
      <c r="DQ61">
        <f>IF(AND(ISNUMBER(DP61),逐级计算!$X$120&gt;-1),IF(逐级计算!$X$120=0,DP61+逐级计算!$C$120,DP61+逐级计算!$C$120-(10/(逐级计算!$Q$120*LN(10))*(MAX((LN(10^(逐级计算!$Q$120/10)-1)+逐级计算!$Q$120*(DP61-逐级计算!$P$120)*LN(10)/10),0)+LN(1+EXP(-ABS((LN(10^(逐级计算!$Q$120/10)-1)+逐级计算!$Q$120*(DP61-逐级计算!$P$120)*LN(10)/10))))))),"")</f>
        <v>13.7930365742089</v>
      </c>
      <c r="DR61">
        <f>IF(AND(ISNUMBER(DQ61),逐级计算!$X$121&gt;-1),IF(逐级计算!$X$121=0,DQ61+逐级计算!$C$121,DQ61+逐级计算!$C$121-(10/(逐级计算!$Q$121*LN(10))*(MAX((LN(10^(逐级计算!$Q$121/10)-1)+逐级计算!$Q$121*(DQ61-逐级计算!$P$121)*LN(10)/10),0)+LN(1+EXP(-ABS((LN(10^(逐级计算!$Q$121/10)-1)+逐级计算!$Q$121*(DQ61-逐级计算!$P$121)*LN(10)/10))))))),"")</f>
        <v>13.7930365742089</v>
      </c>
      <c r="DS61">
        <f>IF(AND(ISNUMBER(DR61),逐级计算!$X$122&gt;-1),IF(逐级计算!$X$122=0,DR61+逐级计算!$C$122,DR61+逐级计算!$C$122-(10/(逐级计算!$Q$122*LN(10))*(MAX((LN(10^(逐级计算!$Q$122/10)-1)+逐级计算!$Q$122*(DR61-逐级计算!$P$122)*LN(10)/10),0)+LN(1+EXP(-ABS((LN(10^(逐级计算!$Q$122/10)-1)+逐级计算!$Q$122*(DR61-逐级计算!$P$122)*LN(10)/10))))))),"")</f>
        <v>13.7930365742089</v>
      </c>
      <c r="DT61">
        <f>IF(AND(ISNUMBER(DS61),逐级计算!$X$123&gt;-1),IF(逐级计算!$X$123=0,DS61+逐级计算!$C$123,DS61+逐级计算!$C$123-(10/(逐级计算!$Q$123*LN(10))*(MAX((LN(10^(逐级计算!$Q$123/10)-1)+逐级计算!$Q$123*(DS61-逐级计算!$P$123)*LN(10)/10),0)+LN(1+EXP(-ABS((LN(10^(逐级计算!$Q$123/10)-1)+逐级计算!$Q$123*(DS61-逐级计算!$P$123)*LN(10)/10))))))),"")</f>
        <v>13.7930365742089</v>
      </c>
      <c r="DU61">
        <f>IF(AND(ISNUMBER(DT61),逐级计算!$X$124&gt;-1),IF(逐级计算!$X$124=0,DT61+逐级计算!$C$124,DT61+逐级计算!$C$124-(10/(逐级计算!$Q$124*LN(10))*(MAX((LN(10^(逐级计算!$Q$124/10)-1)+逐级计算!$Q$124*(DT61-逐级计算!$P$124)*LN(10)/10),0)+LN(1+EXP(-ABS((LN(10^(逐级计算!$Q$124/10)-1)+逐级计算!$Q$124*(DT61-逐级计算!$P$124)*LN(10)/10))))))),"")</f>
        <v>13.7930365742089</v>
      </c>
      <c r="DV61">
        <f>IF(AND(ISNUMBER(DU61),逐级计算!$X$125&gt;-1),IF(逐级计算!$X$125=0,DU61+逐级计算!$C$125,DU61+逐级计算!$C$125-(10/(逐级计算!$Q$125*LN(10))*(MAX((LN(10^(逐级计算!$Q$125/10)-1)+逐级计算!$Q$125*(DU61-逐级计算!$P$125)*LN(10)/10),0)+LN(1+EXP(-ABS((LN(10^(逐级计算!$Q$125/10)-1)+逐级计算!$Q$125*(DU61-逐级计算!$P$125)*LN(10)/10))))))),"")</f>
        <v>13.7930365742089</v>
      </c>
      <c r="DW61">
        <f>IF(AND(ISNUMBER(DV61),逐级计算!$X$126&gt;-1),IF(逐级计算!$X$126=0,DV61+逐级计算!$C$126,DV61+逐级计算!$C$126-(10/(逐级计算!$Q$126*LN(10))*(MAX((LN(10^(逐级计算!$Q$126/10)-1)+逐级计算!$Q$126*(DV61-逐级计算!$P$126)*LN(10)/10),0)+LN(1+EXP(-ABS((LN(10^(逐级计算!$Q$126/10)-1)+逐级计算!$Q$126*(DV61-逐级计算!$P$126)*LN(10)/10))))))),"")</f>
        <v>13.7930365742089</v>
      </c>
      <c r="DX61">
        <f>IF(AND(ISNUMBER(DW61),逐级计算!$X$127&gt;-1),IF(逐级计算!$X$127=0,DW61+逐级计算!$C$127,DW61+逐级计算!$C$127-(10/(逐级计算!$Q$127*LN(10))*(MAX((LN(10^(逐级计算!$Q$127/10)-1)+逐级计算!$Q$127*(DW61-逐级计算!$P$127)*LN(10)/10),0)+LN(1+EXP(-ABS((LN(10^(逐级计算!$Q$127/10)-1)+逐级计算!$Q$127*(DW61-逐级计算!$P$127)*LN(10)/10))))))),"")</f>
        <v>13.7930365742089</v>
      </c>
      <c r="DY61">
        <f>IF(AND(ISNUMBER(DX61),逐级计算!$X$128&gt;-1),IF(逐级计算!$X$128=0,DX61+逐级计算!$C$128,DX61+逐级计算!$C$128-(10/(逐级计算!$Q$128*LN(10))*(MAX((LN(10^(逐级计算!$Q$128/10)-1)+逐级计算!$Q$128*(DX61-逐级计算!$P$128)*LN(10)/10),0)+LN(1+EXP(-ABS((LN(10^(逐级计算!$Q$128/10)-1)+逐级计算!$Q$128*(DX61-逐级计算!$P$128)*LN(10)/10))))))),"")</f>
        <v>13.7930365742089</v>
      </c>
      <c r="DZ61">
        <f>IF(AND(ISNUMBER(DY61),逐级计算!$X$129&gt;-1),IF(逐级计算!$X$129=0,DY61+逐级计算!$C$129,DY61+逐级计算!$C$129-(10/(逐级计算!$Q$129*LN(10))*(MAX((LN(10^(逐级计算!$Q$129/10)-1)+逐级计算!$Q$129*(DY61-逐级计算!$P$129)*LN(10)/10),0)+LN(1+EXP(-ABS((LN(10^(逐级计算!$Q$129/10)-1)+逐级计算!$Q$129*(DY61-逐级计算!$P$129)*LN(10)/10))))))),"")</f>
        <v>13.7930365742089</v>
      </c>
      <c r="EA61">
        <f>IF(AND(ISNUMBER(DZ61),逐级计算!$X$130&gt;-1),IF(逐级计算!$X$130=0,DZ61+逐级计算!$C$130,DZ61+逐级计算!$C$130-(10/(逐级计算!$Q$130*LN(10))*(MAX((LN(10^(逐级计算!$Q$130/10)-1)+逐级计算!$Q$130*(DZ61-逐级计算!$P$130)*LN(10)/10),0)+LN(1+EXP(-ABS((LN(10^(逐级计算!$Q$130/10)-1)+逐级计算!$Q$130*(DZ61-逐级计算!$P$130)*LN(10)/10))))))),"")</f>
        <v>13.7930365742089</v>
      </c>
      <c r="EB61">
        <f>IF(AND(ISNUMBER(EA61),逐级计算!$X$131&gt;-1),IF(逐级计算!$X$131=0,EA61+逐级计算!$C$131,EA61+逐级计算!$C$131-(10/(逐级计算!$Q$131*LN(10))*(MAX((LN(10^(逐级计算!$Q$131/10)-1)+逐级计算!$Q$131*(EA61-逐级计算!$P$131)*LN(10)/10),0)+LN(1+EXP(-ABS((LN(10^(逐级计算!$Q$131/10)-1)+逐级计算!$Q$131*(EA61-逐级计算!$P$131)*LN(10)/10))))))),"")</f>
        <v>13.7930365742089</v>
      </c>
      <c r="EC61">
        <f>IF(AND(ISNUMBER(EB61),逐级计算!$X$132&gt;-1),IF(逐级计算!$X$132=0,EB61+逐级计算!$C$132,EB61+逐级计算!$C$132-(10/(逐级计算!$Q$132*LN(10))*(MAX((LN(10^(逐级计算!$Q$132/10)-1)+逐级计算!$Q$132*(EB61-逐级计算!$P$132)*LN(10)/10),0)+LN(1+EXP(-ABS((LN(10^(逐级计算!$Q$132/10)-1)+逐级计算!$Q$132*(EB61-逐级计算!$P$132)*LN(10)/10))))))),"")</f>
        <v>13.7930365742089</v>
      </c>
      <c r="ED61">
        <f>IF(AND(ISNUMBER(EC61),逐级计算!$X$133&gt;-1),IF(逐级计算!$X$133=0,EC61+逐级计算!$C$133,EC61+逐级计算!$C$133-(10/(逐级计算!$Q$133*LN(10))*(MAX((LN(10^(逐级计算!$Q$133/10)-1)+逐级计算!$Q$133*(EC61-逐级计算!$P$133)*LN(10)/10),0)+LN(1+EXP(-ABS((LN(10^(逐级计算!$Q$133/10)-1)+逐级计算!$Q$133*(EC61-逐级计算!$P$133)*LN(10)/10))))))),"")</f>
        <v>13.7930365742089</v>
      </c>
      <c r="EE61">
        <f>IF(AND(ISNUMBER(ED61),逐级计算!$X$134&gt;-1),IF(逐级计算!$X$134=0,ED61+逐级计算!$C$134,ED61+逐级计算!$C$134-(10/(逐级计算!$Q$134*LN(10))*(MAX((LN(10^(逐级计算!$Q$134/10)-1)+逐级计算!$Q$134*(ED61-逐级计算!$P$134)*LN(10)/10),0)+LN(1+EXP(-ABS((LN(10^(逐级计算!$Q$134/10)-1)+逐级计算!$Q$134*(ED61-逐级计算!$P$134)*LN(10)/10))))))),"")</f>
        <v>13.7930365742089</v>
      </c>
      <c r="EF61">
        <f>IF(AND(ISNUMBER(EE61),逐级计算!$X$135&gt;-1),IF(逐级计算!$X$135=0,EE61+逐级计算!$C$135,EE61+逐级计算!$C$135-(10/(逐级计算!$Q$135*LN(10))*(MAX((LN(10^(逐级计算!$Q$135/10)-1)+逐级计算!$Q$135*(EE61-逐级计算!$P$135)*LN(10)/10),0)+LN(1+EXP(-ABS((LN(10^(逐级计算!$Q$135/10)-1)+逐级计算!$Q$135*(EE61-逐级计算!$P$135)*LN(10)/10))))))),"")</f>
        <v>13.7930365742089</v>
      </c>
      <c r="EG61">
        <f>IF(AND(ISNUMBER(EF61),逐级计算!$X$136&gt;-1),IF(逐级计算!$X$136=0,EF61+逐级计算!$C$136,EF61+逐级计算!$C$136-(10/(逐级计算!$Q$136*LN(10))*(MAX((LN(10^(逐级计算!$Q$136/10)-1)+逐级计算!$Q$136*(EF61-逐级计算!$P$136)*LN(10)/10),0)+LN(1+EXP(-ABS((LN(10^(逐级计算!$Q$136/10)-1)+逐级计算!$Q$136*(EF61-逐级计算!$P$136)*LN(10)/10))))))),"")</f>
        <v>13.7930365742089</v>
      </c>
      <c r="EH61">
        <f>IF(AND(ISNUMBER(EG61),逐级计算!$X$137&gt;-1),IF(逐级计算!$X$137=0,EG61+逐级计算!$C$137,EG61+逐级计算!$C$137-(10/(逐级计算!$Q$137*LN(10))*(MAX((LN(10^(逐级计算!$Q$137/10)-1)+逐级计算!$Q$137*(EG61-逐级计算!$P$137)*LN(10)/10),0)+LN(1+EXP(-ABS((LN(10^(逐级计算!$Q$137/10)-1)+逐级计算!$Q$137*(EG61-逐级计算!$P$137)*LN(10)/10))))))),"")</f>
        <v>13.7930365742089</v>
      </c>
      <c r="EI61">
        <f>IF(AND(ISNUMBER(EH61),逐级计算!$X$138&gt;-1),IF(逐级计算!$X$138=0,EH61+逐级计算!$C$138,EH61+逐级计算!$C$138-(10/(逐级计算!$Q$138*LN(10))*(MAX((LN(10^(逐级计算!$Q$138/10)-1)+逐级计算!$Q$138*(EH61-逐级计算!$P$138)*LN(10)/10),0)+LN(1+EXP(-ABS((LN(10^(逐级计算!$Q$138/10)-1)+逐级计算!$Q$138*(EH61-逐级计算!$P$138)*LN(10)/10))))))),"")</f>
        <v>13.7930365742089</v>
      </c>
      <c r="EJ61">
        <f>IF(AND(ISNUMBER(EI61),逐级计算!$X$139&gt;-1),IF(逐级计算!$X$139=0,EI61+逐级计算!$C$139,EI61+逐级计算!$C$139-(10/(逐级计算!$Q$139*LN(10))*(MAX((LN(10^(逐级计算!$Q$139/10)-1)+逐级计算!$Q$139*(EI61-逐级计算!$P$139)*LN(10)/10),0)+LN(1+EXP(-ABS((LN(10^(逐级计算!$Q$139/10)-1)+逐级计算!$Q$139*(EI61-逐级计算!$P$139)*LN(10)/10))))))),"")</f>
        <v>13.7930365742089</v>
      </c>
      <c r="EK61">
        <f>IF(AND(ISNUMBER(EJ61),逐级计算!$X$140&gt;-1),IF(逐级计算!$X$140=0,EJ61+逐级计算!$C$140,EJ61+逐级计算!$C$140-(10/(逐级计算!$Q$140*LN(10))*(MAX((LN(10^(逐级计算!$Q$140/10)-1)+逐级计算!$Q$140*(EJ61-逐级计算!$P$140)*LN(10)/10),0)+LN(1+EXP(-ABS((LN(10^(逐级计算!$Q$140/10)-1)+逐级计算!$Q$140*(EJ61-逐级计算!$P$140)*LN(10)/10))))))),"")</f>
        <v>13.7930365742089</v>
      </c>
      <c r="EL61">
        <f>IF(AND(ISNUMBER(EK61),逐级计算!$X$141&gt;-1),IF(逐级计算!$X$141=0,EK61+逐级计算!$C$141,EK61+逐级计算!$C$141-(10/(逐级计算!$Q$141*LN(10))*(MAX((LN(10^(逐级计算!$Q$141/10)-1)+逐级计算!$Q$141*(EK61-逐级计算!$P$141)*LN(10)/10),0)+LN(1+EXP(-ABS((LN(10^(逐级计算!$Q$141/10)-1)+逐级计算!$Q$141*(EK61-逐级计算!$P$141)*LN(10)/10))))))),"")</f>
        <v>13.7930365742089</v>
      </c>
      <c r="EM61">
        <f>IF(AND(ISNUMBER(EL61),逐级计算!$X$142&gt;-1),IF(逐级计算!$X$142=0,EL61+逐级计算!$C$142,EL61+逐级计算!$C$142-(10/(逐级计算!$Q$142*LN(10))*(MAX((LN(10^(逐级计算!$Q$142/10)-1)+逐级计算!$Q$142*(EL61-逐级计算!$P$142)*LN(10)/10),0)+LN(1+EXP(-ABS((LN(10^(逐级计算!$Q$142/10)-1)+逐级计算!$Q$142*(EL61-逐级计算!$P$142)*LN(10)/10))))))),"")</f>
        <v>13.7930365742089</v>
      </c>
      <c r="EN61">
        <f>IF(AND(ISNUMBER(EM61),逐级计算!$X$143&gt;-1),IF(逐级计算!$X$143=0,EM61+逐级计算!$C$143,EM61+逐级计算!$C$143-(10/(逐级计算!$Q$143*LN(10))*(MAX((LN(10^(逐级计算!$Q$143/10)-1)+逐级计算!$Q$143*(EM61-逐级计算!$P$143)*LN(10)/10),0)+LN(1+EXP(-ABS((LN(10^(逐级计算!$Q$143/10)-1)+逐级计算!$Q$143*(EM61-逐级计算!$P$143)*LN(10)/10))))))),"")</f>
        <v>13.7930365742089</v>
      </c>
      <c r="EO61">
        <f>IF(AND(ISNUMBER(EN61),逐级计算!$X$144&gt;-1),IF(逐级计算!$X$144=0,EN61+逐级计算!$C$144,EN61+逐级计算!$C$144-(10/(逐级计算!$Q$144*LN(10))*(MAX((LN(10^(逐级计算!$Q$144/10)-1)+逐级计算!$Q$144*(EN61-逐级计算!$P$144)*LN(10)/10),0)+LN(1+EXP(-ABS((LN(10^(逐级计算!$Q$144/10)-1)+逐级计算!$Q$144*(EN61-逐级计算!$P$144)*LN(10)/10))))))),"")</f>
        <v>13.7930365742089</v>
      </c>
      <c r="EP61">
        <f>IF(AND(ISNUMBER(EO61),逐级计算!$X$145&gt;-1),IF(逐级计算!$X$145=0,EO61+逐级计算!$C$145,EO61+逐级计算!$C$145-(10/(逐级计算!$Q$145*LN(10))*(MAX((LN(10^(逐级计算!$Q$145/10)-1)+逐级计算!$Q$145*(EO61-逐级计算!$P$145)*LN(10)/10),0)+LN(1+EXP(-ABS((LN(10^(逐级计算!$Q$145/10)-1)+逐级计算!$Q$145*(EO61-逐级计算!$P$145)*LN(10)/10))))))),"")</f>
        <v>13.7930365742089</v>
      </c>
      <c r="EQ61">
        <f>IF(AND(ISNUMBER(EP61),逐级计算!$X$146&gt;-1),IF(逐级计算!$X$146=0,EP61+逐级计算!$C$146,EP61+逐级计算!$C$146-(10/(逐级计算!$Q$146*LN(10))*(MAX((LN(10^(逐级计算!$Q$146/10)-1)+逐级计算!$Q$146*(EP61-逐级计算!$P$146)*LN(10)/10),0)+LN(1+EXP(-ABS((LN(10^(逐级计算!$Q$146/10)-1)+逐级计算!$Q$146*(EP61-逐级计算!$P$146)*LN(10)/10))))))),"")</f>
        <v>13.7930365742089</v>
      </c>
      <c r="ER61">
        <f>IF(AND(ISNUMBER(EQ61),逐级计算!$X$147&gt;-1),IF(逐级计算!$X$147=0,EQ61+逐级计算!$C$147,EQ61+逐级计算!$C$147-(10/(逐级计算!$Q$147*LN(10))*(MAX((LN(10^(逐级计算!$Q$147/10)-1)+逐级计算!$Q$147*(EQ61-逐级计算!$P$147)*LN(10)/10),0)+LN(1+EXP(-ABS((LN(10^(逐级计算!$Q$147/10)-1)+逐级计算!$Q$147*(EQ61-逐级计算!$P$147)*LN(10)/10))))))),"")</f>
        <v>13.7930365742089</v>
      </c>
      <c r="ES61">
        <f>IF(AND(ISNUMBER(ER61),逐级计算!$X$148&gt;-1),IF(逐级计算!$X$148=0,ER61+逐级计算!$C$148,ER61+逐级计算!$C$148-(10/(逐级计算!$Q$148*LN(10))*(MAX((LN(10^(逐级计算!$Q$148/10)-1)+逐级计算!$Q$148*(ER61-逐级计算!$P$148)*LN(10)/10),0)+LN(1+EXP(-ABS((LN(10^(逐级计算!$Q$148/10)-1)+逐级计算!$Q$148*(ER61-逐级计算!$P$148)*LN(10)/10))))))),"")</f>
        <v>13.7930365742089</v>
      </c>
      <c r="ET61">
        <f>IF(AND(ISNUMBER(ES61),逐级计算!$X$149&gt;-1),IF(逐级计算!$X$149=0,ES61+逐级计算!$C$149,ES61+逐级计算!$C$149-(10/(逐级计算!$Q$149*LN(10))*(MAX((LN(10^(逐级计算!$Q$149/10)-1)+逐级计算!$Q$149*(ES61-逐级计算!$P$149)*LN(10)/10),0)+LN(1+EXP(-ABS((LN(10^(逐级计算!$Q$149/10)-1)+逐级计算!$Q$149*(ES61-逐级计算!$P$149)*LN(10)/10))))))),"")</f>
        <v>13.7930365742089</v>
      </c>
      <c r="EU61">
        <f>IF(AND(ISNUMBER(ET61),逐级计算!$X$150&gt;-1),IF(逐级计算!$X$150=0,ET61+逐级计算!$C$150,ET61+逐级计算!$C$150-(10/(逐级计算!$Q$150*LN(10))*(MAX((LN(10^(逐级计算!$Q$150/10)-1)+逐级计算!$Q$150*(ET61-逐级计算!$P$150)*LN(10)/10),0)+LN(1+EXP(-ABS((LN(10^(逐级计算!$Q$150/10)-1)+逐级计算!$Q$150*(ET61-逐级计算!$P$150)*LN(10)/10))))))),"")</f>
        <v>13.7930365742089</v>
      </c>
      <c r="EV61">
        <f>IF(AND(ISNUMBER(EU61),逐级计算!$X$151&gt;-1),IF(逐级计算!$X$151=0,EU61+逐级计算!$C$151,EU61+逐级计算!$C$151-(10/(逐级计算!$Q$151*LN(10))*(MAX((LN(10^(逐级计算!$Q$151/10)-1)+逐级计算!$Q$151*(EU61-逐级计算!$P$151)*LN(10)/10),0)+LN(1+EXP(-ABS((LN(10^(逐级计算!$Q$151/10)-1)+逐级计算!$Q$151*(EU61-逐级计算!$P$151)*LN(10)/10))))))),"")</f>
        <v>13.7930365742089</v>
      </c>
      <c r="EW61">
        <f>IF(AND(ISNUMBER(EV61),逐级计算!$X$152&gt;-1),IF(逐级计算!$X$152=0,EV61+逐级计算!$C$152,EV61+逐级计算!$C$152-(10/(逐级计算!$Q$152*LN(10))*(MAX((LN(10^(逐级计算!$Q$152/10)-1)+逐级计算!$Q$152*(EV61-逐级计算!$P$152)*LN(10)/10),0)+LN(1+EXP(-ABS((LN(10^(逐级计算!$Q$152/10)-1)+逐级计算!$Q$152*(EV61-逐级计算!$P$152)*LN(10)/10))))))),"")</f>
        <v>13.7930365742089</v>
      </c>
      <c r="EX61">
        <f>IF(AND(ISNUMBER(EW61),逐级计算!$X$153&gt;-1),IF(逐级计算!$X$153=0,EW61+逐级计算!$C$153,EW61+逐级计算!$C$153-(10/(逐级计算!$Q$153*LN(10))*(MAX((LN(10^(逐级计算!$Q$153/10)-1)+逐级计算!$Q$153*(EW61-逐级计算!$P$153)*LN(10)/10),0)+LN(1+EXP(-ABS((LN(10^(逐级计算!$Q$153/10)-1)+逐级计算!$Q$153*(EW61-逐级计算!$P$153)*LN(10)/10))))))),"")</f>
        <v>13.7930365742089</v>
      </c>
      <c r="EY61">
        <f>IF(AND(ISNUMBER(EX61),逐级计算!$X$154&gt;-1),IF(逐级计算!$X$154=0,EX61+逐级计算!$C$154,EX61+逐级计算!$C$154-(10/(逐级计算!$Q$154*LN(10))*(MAX((LN(10^(逐级计算!$Q$154/10)-1)+逐级计算!$Q$154*(EX61-逐级计算!$P$154)*LN(10)/10),0)+LN(1+EXP(-ABS((LN(10^(逐级计算!$Q$154/10)-1)+逐级计算!$Q$154*(EX61-逐级计算!$P$154)*LN(10)/10))))))),"")</f>
        <v>13.7930365742089</v>
      </c>
      <c r="EZ61">
        <f>IF(AND(ISNUMBER(EY61),逐级计算!$X$155&gt;-1),IF(逐级计算!$X$155=0,EY61+逐级计算!$C$155,EY61+逐级计算!$C$155-(10/(逐级计算!$Q$155*LN(10))*(MAX((LN(10^(逐级计算!$Q$155/10)-1)+逐级计算!$Q$155*(EY61-逐级计算!$P$155)*LN(10)/10),0)+LN(1+EXP(-ABS((LN(10^(逐级计算!$Q$155/10)-1)+逐级计算!$Q$155*(EY61-逐级计算!$P$155)*LN(10)/10))))))),"")</f>
        <v>13.7930365742089</v>
      </c>
      <c r="FA61">
        <f>IF(AND(ISNUMBER(EZ61),逐级计算!$X$156&gt;-1),IF(逐级计算!$X$156=0,EZ61+逐级计算!$C$156,EZ61+逐级计算!$C$156-(10/(逐级计算!$Q$156*LN(10))*(MAX((LN(10^(逐级计算!$Q$156/10)-1)+逐级计算!$Q$156*(EZ61-逐级计算!$P$156)*LN(10)/10),0)+LN(1+EXP(-ABS((LN(10^(逐级计算!$Q$156/10)-1)+逐级计算!$Q$156*(EZ61-逐级计算!$P$156)*LN(10)/10))))))),"")</f>
        <v>13.7930365742089</v>
      </c>
      <c r="FB61">
        <f>IF(AND(ISNUMBER(FA61),逐级计算!$X$157&gt;-1),IF(逐级计算!$X$157=0,FA61+逐级计算!$C$157,FA61+逐级计算!$C$157-(10/(逐级计算!$Q$157*LN(10))*(MAX((LN(10^(逐级计算!$Q$157/10)-1)+逐级计算!$Q$157*(FA61-逐级计算!$P$157)*LN(10)/10),0)+LN(1+EXP(-ABS((LN(10^(逐级计算!$Q$157/10)-1)+逐级计算!$Q$157*(FA61-逐级计算!$P$157)*LN(10)/10))))))),"")</f>
        <v>13.7930365742089</v>
      </c>
      <c r="FC61">
        <f>IF(AND(ISNUMBER(FB61),逐级计算!$X$158&gt;-1),IF(逐级计算!$X$158=0,FB61+逐级计算!$C$158,FB61+逐级计算!$C$158-(10/(逐级计算!$Q$158*LN(10))*(MAX((LN(10^(逐级计算!$Q$158/10)-1)+逐级计算!$Q$158*(FB61-逐级计算!$P$158)*LN(10)/10),0)+LN(1+EXP(-ABS((LN(10^(逐级计算!$Q$158/10)-1)+逐级计算!$Q$158*(FB61-逐级计算!$P$158)*LN(10)/10))))))),"")</f>
        <v>13.7930365742089</v>
      </c>
      <c r="FD61">
        <f>IF(AND(ISNUMBER(FC61),逐级计算!$X$159&gt;-1),IF(逐级计算!$X$159=0,FC61+逐级计算!$C$159,FC61+逐级计算!$C$159-(10/(逐级计算!$Q$159*LN(10))*(MAX((LN(10^(逐级计算!$Q$159/10)-1)+逐级计算!$Q$159*(FC61-逐级计算!$P$159)*LN(10)/10),0)+LN(1+EXP(-ABS((LN(10^(逐级计算!$Q$159/10)-1)+逐级计算!$Q$159*(FC61-逐级计算!$P$159)*LN(10)/10))))))),"")</f>
        <v>13.7930365742089</v>
      </c>
      <c r="FE61">
        <f>IF(AND(ISNUMBER(FD61),逐级计算!$X$160&gt;-1),IF(逐级计算!$X$160=0,FD61+逐级计算!$C$160,FD61+逐级计算!$C$160-(10/(逐级计算!$Q$160*LN(10))*(MAX((LN(10^(逐级计算!$Q$160/10)-1)+逐级计算!$Q$160*(FD61-逐级计算!$P$160)*LN(10)/10),0)+LN(1+EXP(-ABS((LN(10^(逐级计算!$Q$160/10)-1)+逐级计算!$Q$160*(FD61-逐级计算!$P$160)*LN(10)/10))))))),"")</f>
        <v>13.7930365742089</v>
      </c>
      <c r="FF61">
        <f>IF(AND(ISNUMBER(FE61),逐级计算!$X$161&gt;-1),IF(逐级计算!$X$161=0,FE61+逐级计算!$C$161,FE61+逐级计算!$C$161-(10/(逐级计算!$Q$161*LN(10))*(MAX((LN(10^(逐级计算!$Q$161/10)-1)+逐级计算!$Q$161*(FE61-逐级计算!$P$161)*LN(10)/10),0)+LN(1+EXP(-ABS((LN(10^(逐级计算!$Q$161/10)-1)+逐级计算!$Q$161*(FE61-逐级计算!$P$161)*LN(10)/10))))))),"")</f>
        <v>13.7930365742089</v>
      </c>
      <c r="FG61">
        <f>IF(AND(ISNUMBER(FF61),逐级计算!$X$162&gt;-1),IF(逐级计算!$X$162=0,FF61+逐级计算!$C$162,FF61+逐级计算!$C$162-(10/(逐级计算!$Q$162*LN(10))*(MAX((LN(10^(逐级计算!$Q$162/10)-1)+逐级计算!$Q$162*(FF61-逐级计算!$P$162)*LN(10)/10),0)+LN(1+EXP(-ABS((LN(10^(逐级计算!$Q$162/10)-1)+逐级计算!$Q$162*(FF61-逐级计算!$P$162)*LN(10)/10))))))),"")</f>
        <v>13.7930365742089</v>
      </c>
      <c r="FH61">
        <f>IF(AND(ISNUMBER(FG61),逐级计算!$X$163&gt;-1),IF(逐级计算!$X$163=0,FG61+逐级计算!$C$163,FG61+逐级计算!$C$163-(10/(逐级计算!$Q$163*LN(10))*(MAX((LN(10^(逐级计算!$Q$163/10)-1)+逐级计算!$Q$163*(FG61-逐级计算!$P$163)*LN(10)/10),0)+LN(1+EXP(-ABS((LN(10^(逐级计算!$Q$163/10)-1)+逐级计算!$Q$163*(FG61-逐级计算!$P$163)*LN(10)/10))))))),"")</f>
        <v>13.7930365742089</v>
      </c>
      <c r="FI61">
        <f>IF(AND(ISNUMBER(FH61),逐级计算!$X$164&gt;-1),IF(逐级计算!$X$164=0,FH61+逐级计算!$C$164,FH61+逐级计算!$C$164-(10/(逐级计算!$Q$164*LN(10))*(MAX((LN(10^(逐级计算!$Q$164/10)-1)+逐级计算!$Q$164*(FH61-逐级计算!$P$164)*LN(10)/10),0)+LN(1+EXP(-ABS((LN(10^(逐级计算!$Q$164/10)-1)+逐级计算!$Q$164*(FH61-逐级计算!$P$164)*LN(10)/10))))))),"")</f>
        <v>13.7930365742089</v>
      </c>
      <c r="FJ61">
        <f>IF(AND(ISNUMBER(FI61),逐级计算!$X$165&gt;-1),IF(逐级计算!$X$165=0,FI61+逐级计算!$C$165,FI61+逐级计算!$C$165-(10/(逐级计算!$Q$165*LN(10))*(MAX((LN(10^(逐级计算!$Q$165/10)-1)+逐级计算!$Q$165*(FI61-逐级计算!$P$165)*LN(10)/10),0)+LN(1+EXP(-ABS((LN(10^(逐级计算!$Q$165/10)-1)+逐级计算!$Q$165*(FI61-逐级计算!$P$165)*LN(10)/10))))))),"")</f>
        <v>13.7930365742089</v>
      </c>
      <c r="FK61">
        <f>IF(AND(ISNUMBER(FJ61),逐级计算!$X$166&gt;-1),IF(逐级计算!$X$166=0,FJ61+逐级计算!$C$166,FJ61+逐级计算!$C$166-(10/(逐级计算!$Q$166*LN(10))*(MAX((LN(10^(逐级计算!$Q$166/10)-1)+逐级计算!$Q$166*(FJ61-逐级计算!$P$166)*LN(10)/10),0)+LN(1+EXP(-ABS((LN(10^(逐级计算!$Q$166/10)-1)+逐级计算!$Q$166*(FJ61-逐级计算!$P$166)*LN(10)/10))))))),"")</f>
        <v>13.7930365742089</v>
      </c>
      <c r="FL61">
        <f>IF(AND(ISNUMBER(FK61),逐级计算!$X$167&gt;-1),IF(逐级计算!$X$167=0,FK61+逐级计算!$C$167,FK61+逐级计算!$C$167-(10/(逐级计算!$Q$167*LN(10))*(MAX((LN(10^(逐级计算!$Q$167/10)-1)+逐级计算!$Q$167*(FK61-逐级计算!$P$167)*LN(10)/10),0)+LN(1+EXP(-ABS((LN(10^(逐级计算!$Q$167/10)-1)+逐级计算!$Q$167*(FK61-逐级计算!$P$167)*LN(10)/10))))))),"")</f>
        <v>13.7930365742089</v>
      </c>
      <c r="FM61">
        <f>IF(AND(ISNUMBER(FL61),逐级计算!$X$168&gt;-1),IF(逐级计算!$X$168=0,FL61+逐级计算!$C$168,FL61+逐级计算!$C$168-(10/(逐级计算!$Q$168*LN(10))*(MAX((LN(10^(逐级计算!$Q$168/10)-1)+逐级计算!$Q$168*(FL61-逐级计算!$P$168)*LN(10)/10),0)+LN(1+EXP(-ABS((LN(10^(逐级计算!$Q$168/10)-1)+逐级计算!$Q$168*(FL61-逐级计算!$P$168)*LN(10)/10))))))),"")</f>
        <v>13.7930365742089</v>
      </c>
      <c r="FN61">
        <f>IF(AND(ISNUMBER(FM61),逐级计算!$X$169&gt;-1),IF(逐级计算!$X$169=0,FM61+逐级计算!$C$169,FM61+逐级计算!$C$169-(10/(逐级计算!$Q$169*LN(10))*(MAX((LN(10^(逐级计算!$Q$169/10)-1)+逐级计算!$Q$169*(FM61-逐级计算!$P$169)*LN(10)/10),0)+LN(1+EXP(-ABS((LN(10^(逐级计算!$Q$169/10)-1)+逐级计算!$Q$169*(FM61-逐级计算!$P$169)*LN(10)/10))))))),"")</f>
        <v>13.7930365742089</v>
      </c>
      <c r="FO61">
        <f>IF(AND(ISNUMBER(FN61),逐级计算!$X$170&gt;-1),IF(逐级计算!$X$170=0,FN61+逐级计算!$C$170,FN61+逐级计算!$C$170-(10/(逐级计算!$Q$170*LN(10))*(MAX((LN(10^(逐级计算!$Q$170/10)-1)+逐级计算!$Q$170*(FN61-逐级计算!$P$170)*LN(10)/10),0)+LN(1+EXP(-ABS((LN(10^(逐级计算!$Q$170/10)-1)+逐级计算!$Q$170*(FN61-逐级计算!$P$170)*LN(10)/10))))))),"")</f>
        <v>13.7930365742089</v>
      </c>
      <c r="FP61">
        <f>IF(AND(ISNUMBER(FO61),逐级计算!$X$171&gt;-1),IF(逐级计算!$X$171=0,FO61+逐级计算!$C$171,FO61+逐级计算!$C$171-(10/(逐级计算!$Q$171*LN(10))*(MAX((LN(10^(逐级计算!$Q$171/10)-1)+逐级计算!$Q$171*(FO61-逐级计算!$P$171)*LN(10)/10),0)+LN(1+EXP(-ABS((LN(10^(逐级计算!$Q$171/10)-1)+逐级计算!$Q$171*(FO61-逐级计算!$P$171)*LN(10)/10))))))),"")</f>
        <v>13.7930365742089</v>
      </c>
      <c r="FQ61">
        <f>IF(AND(ISNUMBER(FP61),逐级计算!$X$172&gt;-1),IF(逐级计算!$X$172=0,FP61+逐级计算!$C$172,FP61+逐级计算!$C$172-(10/(逐级计算!$Q$172*LN(10))*(MAX((LN(10^(逐级计算!$Q$172/10)-1)+逐级计算!$Q$172*(FP61-逐级计算!$P$172)*LN(10)/10),0)+LN(1+EXP(-ABS((LN(10^(逐级计算!$Q$172/10)-1)+逐级计算!$Q$172*(FP61-逐级计算!$P$172)*LN(10)/10))))))),"")</f>
        <v>13.7930365742089</v>
      </c>
      <c r="FR61">
        <f>IF(AND(ISNUMBER(FQ61),逐级计算!$X$173&gt;-1),IF(逐级计算!$X$173=0,FQ61+逐级计算!$C$173,FQ61+逐级计算!$C$173-(10/(逐级计算!$Q$173*LN(10))*(MAX((LN(10^(逐级计算!$Q$173/10)-1)+逐级计算!$Q$173*(FQ61-逐级计算!$P$173)*LN(10)/10),0)+LN(1+EXP(-ABS((LN(10^(逐级计算!$Q$173/10)-1)+逐级计算!$Q$173*(FQ61-逐级计算!$P$173)*LN(10)/10))))))),"")</f>
        <v>13.7930365742089</v>
      </c>
      <c r="FS61">
        <f>IF(AND(ISNUMBER(FR61),逐级计算!$X$174&gt;-1),IF(逐级计算!$X$174=0,FR61+逐级计算!$C$174,FR61+逐级计算!$C$174-(10/(逐级计算!$Q$174*LN(10))*(MAX((LN(10^(逐级计算!$Q$174/10)-1)+逐级计算!$Q$174*(FR61-逐级计算!$P$174)*LN(10)/10),0)+LN(1+EXP(-ABS((LN(10^(逐级计算!$Q$174/10)-1)+逐级计算!$Q$174*(FR61-逐级计算!$P$174)*LN(10)/10))))))),"")</f>
        <v>13.7930365742089</v>
      </c>
      <c r="FT61">
        <f>IF(AND(ISNUMBER(FS61),逐级计算!$X$175&gt;-1),IF(逐级计算!$X$175=0,FS61+逐级计算!$C$175,FS61+逐级计算!$C$175-(10/(逐级计算!$Q$175*LN(10))*(MAX((LN(10^(逐级计算!$Q$175/10)-1)+逐级计算!$Q$175*(FS61-逐级计算!$P$175)*LN(10)/10),0)+LN(1+EXP(-ABS((LN(10^(逐级计算!$Q$175/10)-1)+逐级计算!$Q$175*(FS61-逐级计算!$P$175)*LN(10)/10))))))),"")</f>
        <v>13.7930365742089</v>
      </c>
      <c r="FU61">
        <f>IF(AND(ISNUMBER(FT61),逐级计算!$X$176&gt;-1),IF(逐级计算!$X$176=0,FT61+逐级计算!$C$176,FT61+逐级计算!$C$176-(10/(逐级计算!$Q$176*LN(10))*(MAX((LN(10^(逐级计算!$Q$176/10)-1)+逐级计算!$Q$176*(FT61-逐级计算!$P$176)*LN(10)/10),0)+LN(1+EXP(-ABS((LN(10^(逐级计算!$Q$176/10)-1)+逐级计算!$Q$176*(FT61-逐级计算!$P$176)*LN(10)/10))))))),"")</f>
        <v>13.7930365742089</v>
      </c>
      <c r="FV61">
        <f>IF(AND(ISNUMBER(FU61),逐级计算!$X$177&gt;-1),IF(逐级计算!$X$177=0,FU61+逐级计算!$C$177,FU61+逐级计算!$C$177-(10/(逐级计算!$Q$177*LN(10))*(MAX((LN(10^(逐级计算!$Q$177/10)-1)+逐级计算!$Q$177*(FU61-逐级计算!$P$177)*LN(10)/10),0)+LN(1+EXP(-ABS((LN(10^(逐级计算!$Q$177/10)-1)+逐级计算!$Q$177*(FU61-逐级计算!$P$177)*LN(10)/10))))))),"")</f>
        <v>13.7930365742089</v>
      </c>
      <c r="FW61">
        <f>IF(AND(ISNUMBER(FV61),逐级计算!$X$178&gt;-1),IF(逐级计算!$X$178=0,FV61+逐级计算!$C$178,FV61+逐级计算!$C$178-(10/(逐级计算!$Q$178*LN(10))*(MAX((LN(10^(逐级计算!$Q$178/10)-1)+逐级计算!$Q$178*(FV61-逐级计算!$P$178)*LN(10)/10),0)+LN(1+EXP(-ABS((LN(10^(逐级计算!$Q$178/10)-1)+逐级计算!$Q$178*(FV61-逐级计算!$P$178)*LN(10)/10))))))),"")</f>
        <v>13.7930365742089</v>
      </c>
      <c r="FX61">
        <f>IF(AND(ISNUMBER(FW61),逐级计算!$X$179&gt;-1),IF(逐级计算!$X$179=0,FW61+逐级计算!$C$179,FW61+逐级计算!$C$179-(10/(逐级计算!$Q$179*LN(10))*(MAX((LN(10^(逐级计算!$Q$179/10)-1)+逐级计算!$Q$179*(FW61-逐级计算!$P$179)*LN(10)/10),0)+LN(1+EXP(-ABS((LN(10^(逐级计算!$Q$179/10)-1)+逐级计算!$Q$179*(FW61-逐级计算!$P$179)*LN(10)/10))))))),"")</f>
        <v>13.7930365742089</v>
      </c>
      <c r="FY61">
        <f>IF(AND(ISNUMBER(FX61),逐级计算!$X$180&gt;-1),IF(逐级计算!$X$180=0,FX61+逐级计算!$C$180,FX61+逐级计算!$C$180-(10/(逐级计算!$Q$180*LN(10))*(MAX((LN(10^(逐级计算!$Q$180/10)-1)+逐级计算!$Q$180*(FX61-逐级计算!$P$180)*LN(10)/10),0)+LN(1+EXP(-ABS((LN(10^(逐级计算!$Q$180/10)-1)+逐级计算!$Q$180*(FX61-逐级计算!$P$180)*LN(10)/10))))))),"")</f>
        <v>13.7930365742089</v>
      </c>
      <c r="FZ61">
        <f>IF(AND(ISNUMBER(FY61),逐级计算!$X$181&gt;-1),IF(逐级计算!$X$181=0,FY61+逐级计算!$C$181,FY61+逐级计算!$C$181-(10/(逐级计算!$Q$181*LN(10))*(MAX((LN(10^(逐级计算!$Q$181/10)-1)+逐级计算!$Q$181*(FY61-逐级计算!$P$181)*LN(10)/10),0)+LN(1+EXP(-ABS((LN(10^(逐级计算!$Q$181/10)-1)+逐级计算!$Q$181*(FY61-逐级计算!$P$181)*LN(10)/10))))))),"")</f>
        <v>13.7930365742089</v>
      </c>
      <c r="GA61">
        <f>IF(AND(ISNUMBER(FZ61),逐级计算!$X$182&gt;-1),IF(逐级计算!$X$182=0,FZ61+逐级计算!$C$182,FZ61+逐级计算!$C$182-(10/(逐级计算!$Q$182*LN(10))*(MAX((LN(10^(逐级计算!$Q$182/10)-1)+逐级计算!$Q$182*(FZ61-逐级计算!$P$182)*LN(10)/10),0)+LN(1+EXP(-ABS((LN(10^(逐级计算!$Q$182/10)-1)+逐级计算!$Q$182*(FZ61-逐级计算!$P$182)*LN(10)/10))))))),"")</f>
        <v>13.7930365742089</v>
      </c>
      <c r="GB61">
        <f>IF(AND(ISNUMBER(GA61),逐级计算!$X$183&gt;-1),IF(逐级计算!$X$183=0,GA61+逐级计算!$C$183,GA61+逐级计算!$C$183-(10/(逐级计算!$Q$183*LN(10))*(MAX((LN(10^(逐级计算!$Q$183/10)-1)+逐级计算!$Q$183*(GA61-逐级计算!$P$183)*LN(10)/10),0)+LN(1+EXP(-ABS((LN(10^(逐级计算!$Q$183/10)-1)+逐级计算!$Q$183*(GA61-逐级计算!$P$183)*LN(10)/10))))))),"")</f>
        <v>13.7930365742089</v>
      </c>
      <c r="GC61">
        <f>IF(AND(ISNUMBER(GB61),逐级计算!$X$184&gt;-1),IF(逐级计算!$X$184=0,GB61+逐级计算!$C$184,GB61+逐级计算!$C$184-(10/(逐级计算!$Q$184*LN(10))*(MAX((LN(10^(逐级计算!$Q$184/10)-1)+逐级计算!$Q$184*(GB61-逐级计算!$P$184)*LN(10)/10),0)+LN(1+EXP(-ABS((LN(10^(逐级计算!$Q$184/10)-1)+逐级计算!$Q$184*(GB61-逐级计算!$P$184)*LN(10)/10))))))),"")</f>
        <v>13.7930365742089</v>
      </c>
      <c r="GD61">
        <f>IF(AND(ISNUMBER(GC61),逐级计算!$X$185&gt;-1),IF(逐级计算!$X$185=0,GC61+逐级计算!$C$185,GC61+逐级计算!$C$185-(10/(逐级计算!$Q$185*LN(10))*(MAX((LN(10^(逐级计算!$Q$185/10)-1)+逐级计算!$Q$185*(GC61-逐级计算!$P$185)*LN(10)/10),0)+LN(1+EXP(-ABS((LN(10^(逐级计算!$Q$185/10)-1)+逐级计算!$Q$185*(GC61-逐级计算!$P$185)*LN(10)/10))))))),"")</f>
        <v>13.7930365742089</v>
      </c>
      <c r="GE61">
        <f>IF(AND(ISNUMBER(GD61),逐级计算!$X$186&gt;-1),IF(逐级计算!$X$186=0,GD61+逐级计算!$C$186,GD61+逐级计算!$C$186-(10/(逐级计算!$Q$186*LN(10))*(MAX((LN(10^(逐级计算!$Q$186/10)-1)+逐级计算!$Q$186*(GD61-逐级计算!$P$186)*LN(10)/10),0)+LN(1+EXP(-ABS((LN(10^(逐级计算!$Q$186/10)-1)+逐级计算!$Q$186*(GD61-逐级计算!$P$186)*LN(10)/10))))))),"")</f>
        <v>13.7930365742089</v>
      </c>
      <c r="GF61">
        <f>IF(AND(ISNUMBER(GE61),逐级计算!$X$187&gt;-1),IF(逐级计算!$X$187=0,GE61+逐级计算!$C$187,GE61+逐级计算!$C$187-(10/(逐级计算!$Q$187*LN(10))*(MAX((LN(10^(逐级计算!$Q$187/10)-1)+逐级计算!$Q$187*(GE61-逐级计算!$P$187)*LN(10)/10),0)+LN(1+EXP(-ABS((LN(10^(逐级计算!$Q$187/10)-1)+逐级计算!$Q$187*(GE61-逐级计算!$P$187)*LN(10)/10))))))),"")</f>
        <v>13.7930365742089</v>
      </c>
      <c r="GG61">
        <f>IF(AND(ISNUMBER(GF61),逐级计算!$X$188&gt;-1),IF(逐级计算!$X$188=0,GF61+逐级计算!$C$188,GF61+逐级计算!$C$188-(10/(逐级计算!$Q$188*LN(10))*(MAX((LN(10^(逐级计算!$Q$188/10)-1)+逐级计算!$Q$188*(GF61-逐级计算!$P$188)*LN(10)/10),0)+LN(1+EXP(-ABS((LN(10^(逐级计算!$Q$188/10)-1)+逐级计算!$Q$188*(GF61-逐级计算!$P$188)*LN(10)/10))))))),"")</f>
        <v>13.7930365742089</v>
      </c>
      <c r="GH61">
        <f>IF(AND(ISNUMBER(GG61),逐级计算!$X$189&gt;-1),IF(逐级计算!$X$189=0,GG61+逐级计算!$C$189,GG61+逐级计算!$C$189-(10/(逐级计算!$Q$189*LN(10))*(MAX((LN(10^(逐级计算!$Q$189/10)-1)+逐级计算!$Q$189*(GG61-逐级计算!$P$189)*LN(10)/10),0)+LN(1+EXP(-ABS((LN(10^(逐级计算!$Q$189/10)-1)+逐级计算!$Q$189*(GG61-逐级计算!$P$189)*LN(10)/10))))))),"")</f>
        <v>13.7930365742089</v>
      </c>
      <c r="GI61">
        <f>IF(AND(ISNUMBER(GH61),逐级计算!$X$190&gt;-1),IF(逐级计算!$X$190=0,GH61+逐级计算!$C$190,GH61+逐级计算!$C$190-(10/(逐级计算!$Q$190*LN(10))*(MAX((LN(10^(逐级计算!$Q$190/10)-1)+逐级计算!$Q$190*(GH61-逐级计算!$P$190)*LN(10)/10),0)+LN(1+EXP(-ABS((LN(10^(逐级计算!$Q$190/10)-1)+逐级计算!$Q$190*(GH61-逐级计算!$P$190)*LN(10)/10))))))),"")</f>
        <v>13.7930365742089</v>
      </c>
      <c r="GJ61">
        <f>IF(AND(ISNUMBER(GI61),逐级计算!$X$191&gt;-1),IF(逐级计算!$X$191=0,GI61+逐级计算!$C$191,GI61+逐级计算!$C$191-(10/(逐级计算!$Q$191*LN(10))*(MAX((LN(10^(逐级计算!$Q$191/10)-1)+逐级计算!$Q$191*(GI61-逐级计算!$P$191)*LN(10)/10),0)+LN(1+EXP(-ABS((LN(10^(逐级计算!$Q$191/10)-1)+逐级计算!$Q$191*(GI61-逐级计算!$P$191)*LN(10)/10))))))),"")</f>
        <v>13.7930365742089</v>
      </c>
      <c r="GK61">
        <f>IF(AND(ISNUMBER(GJ61),逐级计算!$X$192&gt;-1),IF(逐级计算!$X$192=0,GJ61+逐级计算!$C$192,GJ61+逐级计算!$C$192-(10/(逐级计算!$Q$192*LN(10))*(MAX((LN(10^(逐级计算!$Q$192/10)-1)+逐级计算!$Q$192*(GJ61-逐级计算!$P$192)*LN(10)/10),0)+LN(1+EXP(-ABS((LN(10^(逐级计算!$Q$192/10)-1)+逐级计算!$Q$192*(GJ61-逐级计算!$P$192)*LN(10)/10))))))),"")</f>
        <v>13.7930365742089</v>
      </c>
      <c r="GL61">
        <f>IF(AND(ISNUMBER(GK61),逐级计算!$X$193&gt;-1),IF(逐级计算!$X$193=0,GK61+逐级计算!$C$193,GK61+逐级计算!$C$193-(10/(逐级计算!$Q$193*LN(10))*(MAX((LN(10^(逐级计算!$Q$193/10)-1)+逐级计算!$Q$193*(GK61-逐级计算!$P$193)*LN(10)/10),0)+LN(1+EXP(-ABS((LN(10^(逐级计算!$Q$193/10)-1)+逐级计算!$Q$193*(GK61-逐级计算!$P$193)*LN(10)/10))))))),"")</f>
        <v>13.7930365742089</v>
      </c>
      <c r="GM61">
        <f>IF(AND(ISNUMBER(GL61),逐级计算!$X$194&gt;-1),IF(逐级计算!$X$194=0,GL61+逐级计算!$C$194,GL61+逐级计算!$C$194-(10/(逐级计算!$Q$194*LN(10))*(MAX((LN(10^(逐级计算!$Q$194/10)-1)+逐级计算!$Q$194*(GL61-逐级计算!$P$194)*LN(10)/10),0)+LN(1+EXP(-ABS((LN(10^(逐级计算!$Q$194/10)-1)+逐级计算!$Q$194*(GL61-逐级计算!$P$194)*LN(10)/10))))))),"")</f>
        <v>13.7930365742089</v>
      </c>
      <c r="GN61">
        <f>IF(AND(ISNUMBER(GM61),逐级计算!$X$195&gt;-1),IF(逐级计算!$X$195=0,GM61+逐级计算!$C$195,GM61+逐级计算!$C$195-(10/(逐级计算!$Q$195*LN(10))*(MAX((LN(10^(逐级计算!$Q$195/10)-1)+逐级计算!$Q$195*(GM61-逐级计算!$P$195)*LN(10)/10),0)+LN(1+EXP(-ABS((LN(10^(逐级计算!$Q$195/10)-1)+逐级计算!$Q$195*(GM61-逐级计算!$P$195)*LN(10)/10))))))),"")</f>
        <v>13.7930365742089</v>
      </c>
      <c r="GO61">
        <f>IF(AND(ISNUMBER(GN61),逐级计算!$X$196&gt;-1),IF(逐级计算!$X$196=0,GN61+逐级计算!$C$196,GN61+逐级计算!$C$196-(10/(逐级计算!$Q$196*LN(10))*(MAX((LN(10^(逐级计算!$Q$196/10)-1)+逐级计算!$Q$196*(GN61-逐级计算!$P$196)*LN(10)/10),0)+LN(1+EXP(-ABS((LN(10^(逐级计算!$Q$196/10)-1)+逐级计算!$Q$196*(GN61-逐级计算!$P$196)*LN(10)/10))))))),"")</f>
        <v>13.7930365742089</v>
      </c>
      <c r="GP61">
        <f>IF(AND(ISNUMBER(GO61),逐级计算!$X$197&gt;-1),IF(逐级计算!$X$197=0,GO61+逐级计算!$C$197,GO61+逐级计算!$C$197-(10/(逐级计算!$Q$197*LN(10))*(MAX((LN(10^(逐级计算!$Q$197/10)-1)+逐级计算!$Q$197*(GO61-逐级计算!$P$197)*LN(10)/10),0)+LN(1+EXP(-ABS((LN(10^(逐级计算!$Q$197/10)-1)+逐级计算!$Q$197*(GO61-逐级计算!$P$197)*LN(10)/10))))))),"")</f>
        <v>13.7930365742089</v>
      </c>
      <c r="GQ61">
        <f>IF(AND(ISNUMBER(GP61),逐级计算!$X$198&gt;-1),IF(逐级计算!$X$198=0,GP61+逐级计算!$C$198,GP61+逐级计算!$C$198-(10/(逐级计算!$Q$198*LN(10))*(MAX((LN(10^(逐级计算!$Q$198/10)-1)+逐级计算!$Q$198*(GP61-逐级计算!$P$198)*LN(10)/10),0)+LN(1+EXP(-ABS((LN(10^(逐级计算!$Q$198/10)-1)+逐级计算!$Q$198*(GP61-逐级计算!$P$198)*LN(10)/10))))))),"")</f>
        <v>13.7930365742089</v>
      </c>
      <c r="GR61">
        <f>IF(AND(ISNUMBER(GQ61),逐级计算!$X$199&gt;-1),IF(逐级计算!$X$199=0,GQ61+逐级计算!$C$199,GQ61+逐级计算!$C$199-(10/(逐级计算!$Q$199*LN(10))*(MAX((LN(10^(逐级计算!$Q$199/10)-1)+逐级计算!$Q$199*(GQ61-逐级计算!$P$199)*LN(10)/10),0)+LN(1+EXP(-ABS((LN(10^(逐级计算!$Q$199/10)-1)+逐级计算!$Q$199*(GQ61-逐级计算!$P$199)*LN(10)/10))))))),"")</f>
        <v>13.7930365742089</v>
      </c>
      <c r="GS61">
        <f>IF(AND(ISNUMBER(GR61),逐级计算!$X$200&gt;-1),IF(逐级计算!$X$200=0,GR61+逐级计算!$C$200,GR61+逐级计算!$C$200-(10/(逐级计算!$Q$200*LN(10))*(MAX((LN(10^(逐级计算!$Q$200/10)-1)+逐级计算!$Q$200*(GR61-逐级计算!$P$200)*LN(10)/10),0)+LN(1+EXP(-ABS((LN(10^(逐级计算!$Q$200/10)-1)+逐级计算!$Q$200*(GR61-逐级计算!$P$200)*LN(10)/10))))))),"")</f>
        <v>13.7930365742089</v>
      </c>
      <c r="GT61">
        <f>IF(AND(ISNUMBER(GS61),逐级计算!$X$201&gt;-1),IF(逐级计算!$X$201=0,GS61+逐级计算!$C$201,GS61+逐级计算!$C$201-(10/(逐级计算!$Q$201*LN(10))*(MAX((LN(10^(逐级计算!$Q$201/10)-1)+逐级计算!$Q$201*(GS61-逐级计算!$P$201)*LN(10)/10),0)+LN(1+EXP(-ABS((LN(10^(逐级计算!$Q$201/10)-1)+逐级计算!$Q$201*(GS61-逐级计算!$P$201)*LN(10)/10))))))),"")</f>
        <v>13.7930365742089</v>
      </c>
      <c r="GU61">
        <f>IF(AND(ISNUMBER(GT61),逐级计算!$X$202&gt;-1),IF(逐级计算!$X$202=0,GT61+逐级计算!$C$202,GT61+逐级计算!$C$202-(10/(逐级计算!$Q$202*LN(10))*(MAX((LN(10^(逐级计算!$Q$202/10)-1)+逐级计算!$Q$202*(GT61-逐级计算!$P$202)*LN(10)/10),0)+LN(1+EXP(-ABS((LN(10^(逐级计算!$Q$202/10)-1)+逐级计算!$Q$202*(GT61-逐级计算!$P$202)*LN(10)/10))))))),"")</f>
        <v>13.7930365742089</v>
      </c>
      <c r="GV61">
        <f>IF(AND(ISNUMBER(GU61),逐级计算!$X$203&gt;-1),IF(逐级计算!$X$203=0,GU61+逐级计算!$C$203,GU61+逐级计算!$C$203-(10/(逐级计算!$Q$203*LN(10))*(MAX((LN(10^(逐级计算!$Q$203/10)-1)+逐级计算!$Q$203*(GU61-逐级计算!$P$203)*LN(10)/10),0)+LN(1+EXP(-ABS((LN(10^(逐级计算!$Q$203/10)-1)+逐级计算!$Q$203*(GU61-逐级计算!$P$203)*LN(10)/10))))))),"")</f>
        <v>13.7930365742089</v>
      </c>
      <c r="GW61">
        <f t="shared" si="2"/>
        <v>-5.20696342579112</v>
      </c>
    </row>
    <row r="62" spans="1:205">
      <c r="A62">
        <v>55</v>
      </c>
      <c r="B62">
        <f t="shared" si="1"/>
        <v>-5.20696342579112</v>
      </c>
      <c r="C62">
        <f t="shared" si="0"/>
        <v>-5.20696342579112</v>
      </c>
      <c r="D62">
        <f>IF(AND(ISNUMBER(C62),ISNUMBER(逐级计算!$E$203),ISNUMBER(GV62)),C62+逐级计算!$E$203-GV62,"")</f>
        <v>1</v>
      </c>
      <c r="E62">
        <f>IF(AND(ISNUMBER(C62),逐级计算!$X$4&gt;-1),IF(逐级计算!$X$4=0,C62+逐级计算!$C$4,C62+逐级计算!$C$4-(10/(逐级计算!$Q$4*LN(10))*(MAX((LN(10^(逐级计算!$Q$4/10)-1)+逐级计算!$Q$4*(C62-逐级计算!$P$4)*LN(10)/10),0)+LN(1+EXP(-ABS((LN(10^(逐级计算!$Q$4/10)-1)+逐级计算!$Q$4*(C62-逐级计算!$P$4)*LN(10)/10))))))),"")</f>
        <v>4.68053982928311</v>
      </c>
      <c r="F62">
        <f>IF(AND(ISNUMBER(E62),逐级计算!$X$5&gt;-1),IF(逐级计算!$X$5=0,E62+逐级计算!$C$5,E62+逐级计算!$C$5-(10/(逐级计算!$Q$5*LN(10))*(MAX((LN(10^(逐级计算!$Q$5/10)-1)+逐级计算!$Q$5*(E62-逐级计算!$P$5)*LN(10)/10),0)+LN(1+EXP(-ABS((LN(10^(逐级计算!$Q$5/10)-1)+逐级计算!$Q$5*(E62-逐级计算!$P$5)*LN(10)/10))))))),"")</f>
        <v>13.7930365742089</v>
      </c>
      <c r="G62">
        <f>IF(AND(ISNUMBER(F62),逐级计算!$X$6&gt;-1),IF(逐级计算!$X$6=0,F62+逐级计算!$C$6,F62+逐级计算!$C$6-(10/(逐级计算!$Q$6*LN(10))*(MAX((LN(10^(逐级计算!$Q$6/10)-1)+逐级计算!$Q$6*(F62-逐级计算!$P$6)*LN(10)/10),0)+LN(1+EXP(-ABS((LN(10^(逐级计算!$Q$6/10)-1)+逐级计算!$Q$6*(F62-逐级计算!$P$6)*LN(10)/10))))))),"")</f>
        <v>13.7930365742089</v>
      </c>
      <c r="H62">
        <f>IF(AND(ISNUMBER(G62),逐级计算!$X$7&gt;-1),IF(逐级计算!$X$7=0,G62+逐级计算!$C$7,G62+逐级计算!$C$7-(10/(逐级计算!$Q$7*LN(10))*(MAX((LN(10^(逐级计算!$Q$7/10)-1)+逐级计算!$Q$7*(G62-逐级计算!$P$7)*LN(10)/10),0)+LN(1+EXP(-ABS((LN(10^(逐级计算!$Q$7/10)-1)+逐级计算!$Q$7*(G62-逐级计算!$P$7)*LN(10)/10))))))),"")</f>
        <v>13.7930365742089</v>
      </c>
      <c r="I62">
        <f>IF(AND(ISNUMBER(H62),逐级计算!$X$8&gt;-1),IF(逐级计算!$X$8=0,H62+逐级计算!$C$8,H62+逐级计算!$C$8-(10/(逐级计算!$Q$8*LN(10))*(MAX((LN(10^(逐级计算!$Q$8/10)-1)+逐级计算!$Q$8*(H62-逐级计算!$P$8)*LN(10)/10),0)+LN(1+EXP(-ABS((LN(10^(逐级计算!$Q$8/10)-1)+逐级计算!$Q$8*(H62-逐级计算!$P$8)*LN(10)/10))))))),"")</f>
        <v>13.7930365742089</v>
      </c>
      <c r="J62">
        <f>IF(AND(ISNUMBER(I62),逐级计算!$X$9&gt;-1),IF(逐级计算!$X$9=0,I62+逐级计算!$C$9,I62+逐级计算!$C$9-(10/(逐级计算!$Q$9*LN(10))*(MAX((LN(10^(逐级计算!$Q$9/10)-1)+逐级计算!$Q$9*(I62-逐级计算!$P$9)*LN(10)/10),0)+LN(1+EXP(-ABS((LN(10^(逐级计算!$Q$9/10)-1)+逐级计算!$Q$9*(I62-逐级计算!$P$9)*LN(10)/10))))))),"")</f>
        <v>13.7930365742089</v>
      </c>
      <c r="K62">
        <f>IF(AND(ISNUMBER(J62),逐级计算!$X$10&gt;-1),IF(逐级计算!$X$10=0,J62+逐级计算!$C$10,J62+逐级计算!$C$10-(10/(逐级计算!$Q$10*LN(10))*(MAX((LN(10^(逐级计算!$Q$10/10)-1)+逐级计算!$Q$10*(J62-逐级计算!$P$10)*LN(10)/10),0)+LN(1+EXP(-ABS((LN(10^(逐级计算!$Q$10/10)-1)+逐级计算!$Q$10*(J62-逐级计算!$P$10)*LN(10)/10))))))),"")</f>
        <v>13.7930365742089</v>
      </c>
      <c r="L62">
        <f>IF(AND(ISNUMBER(K62),逐级计算!$X$11&gt;-1),IF(逐级计算!$X$11=0,K62+逐级计算!$C$11,K62+逐级计算!$C$11-(10/(逐级计算!$Q$11*LN(10))*(MAX((LN(10^(逐级计算!$Q$11/10)-1)+逐级计算!$Q$11*(K62-逐级计算!$P$11)*LN(10)/10),0)+LN(1+EXP(-ABS((LN(10^(逐级计算!$Q$11/10)-1)+逐级计算!$Q$11*(K62-逐级计算!$P$11)*LN(10)/10))))))),"")</f>
        <v>13.7930365742089</v>
      </c>
      <c r="M62">
        <f>IF(AND(ISNUMBER(L62),逐级计算!$X$12&gt;-1),IF(逐级计算!$X$12=0,L62+逐级计算!$C$12,L62+逐级计算!$C$12-(10/(逐级计算!$Q$12*LN(10))*(MAX((LN(10^(逐级计算!$Q$12/10)-1)+逐级计算!$Q$12*(L62-逐级计算!$P$12)*LN(10)/10),0)+LN(1+EXP(-ABS((LN(10^(逐级计算!$Q$12/10)-1)+逐级计算!$Q$12*(L62-逐级计算!$P$12)*LN(10)/10))))))),"")</f>
        <v>13.7930365742089</v>
      </c>
      <c r="N62">
        <f>IF(AND(ISNUMBER(M62),逐级计算!$X$13&gt;-1),IF(逐级计算!$X$13=0,M62+逐级计算!$C$13,M62+逐级计算!$C$13-(10/(逐级计算!$Q$13*LN(10))*(MAX((LN(10^(逐级计算!$Q$13/10)-1)+逐级计算!$Q$13*(M62-逐级计算!$P$13)*LN(10)/10),0)+LN(1+EXP(-ABS((LN(10^(逐级计算!$Q$13/10)-1)+逐级计算!$Q$13*(M62-逐级计算!$P$13)*LN(10)/10))))))),"")</f>
        <v>13.7930365742089</v>
      </c>
      <c r="O62">
        <f>IF(AND(ISNUMBER(N62),逐级计算!$X$14&gt;-1),IF(逐级计算!$X$14=0,N62+逐级计算!$C$14,N62+逐级计算!$C$14-(10/(逐级计算!$Q$14*LN(10))*(MAX((LN(10^(逐级计算!$Q$14/10)-1)+逐级计算!$Q$14*(N62-逐级计算!$P$14)*LN(10)/10),0)+LN(1+EXP(-ABS((LN(10^(逐级计算!$Q$14/10)-1)+逐级计算!$Q$14*(N62-逐级计算!$P$14)*LN(10)/10))))))),"")</f>
        <v>13.7930365742089</v>
      </c>
      <c r="P62">
        <f>IF(AND(ISNUMBER(O62),逐级计算!$X$15&gt;-1),IF(逐级计算!$X$15=0,O62+逐级计算!$C$15,O62+逐级计算!$C$15-(10/(逐级计算!$Q$15*LN(10))*(MAX((LN(10^(逐级计算!$Q$15/10)-1)+逐级计算!$Q$15*(O62-逐级计算!$P$15)*LN(10)/10),0)+LN(1+EXP(-ABS((LN(10^(逐级计算!$Q$15/10)-1)+逐级计算!$Q$15*(O62-逐级计算!$P$15)*LN(10)/10))))))),"")</f>
        <v>13.7930365742089</v>
      </c>
      <c r="Q62">
        <f>IF(AND(ISNUMBER(P62),逐级计算!$X$16&gt;-1),IF(逐级计算!$X$16=0,P62+逐级计算!$C$16,P62+逐级计算!$C$16-(10/(逐级计算!$Q$16*LN(10))*(MAX((LN(10^(逐级计算!$Q$16/10)-1)+逐级计算!$Q$16*(P62-逐级计算!$P$16)*LN(10)/10),0)+LN(1+EXP(-ABS((LN(10^(逐级计算!$Q$16/10)-1)+逐级计算!$Q$16*(P62-逐级计算!$P$16)*LN(10)/10))))))),"")</f>
        <v>13.7930365742089</v>
      </c>
      <c r="R62">
        <f>IF(AND(ISNUMBER(Q62),逐级计算!$X$17&gt;-1),IF(逐级计算!$X$17=0,Q62+逐级计算!$C$17,Q62+逐级计算!$C$17-(10/(逐级计算!$Q$17*LN(10))*(MAX((LN(10^(逐级计算!$Q$17/10)-1)+逐级计算!$Q$17*(Q62-逐级计算!$P$17)*LN(10)/10),0)+LN(1+EXP(-ABS((LN(10^(逐级计算!$Q$17/10)-1)+逐级计算!$Q$17*(Q62-逐级计算!$P$17)*LN(10)/10))))))),"")</f>
        <v>13.7930365742089</v>
      </c>
      <c r="S62">
        <f>IF(AND(ISNUMBER(R62),逐级计算!$X$18&gt;-1),IF(逐级计算!$X$18=0,R62+逐级计算!$C$18,R62+逐级计算!$C$18-(10/(逐级计算!$Q$18*LN(10))*(MAX((LN(10^(逐级计算!$Q$18/10)-1)+逐级计算!$Q$18*(R62-逐级计算!$P$18)*LN(10)/10),0)+LN(1+EXP(-ABS((LN(10^(逐级计算!$Q$18/10)-1)+逐级计算!$Q$18*(R62-逐级计算!$P$18)*LN(10)/10))))))),"")</f>
        <v>13.7930365742089</v>
      </c>
      <c r="T62">
        <f>IF(AND(ISNUMBER(S62),逐级计算!$X$19&gt;-1),IF(逐级计算!$X$19=0,S62+逐级计算!$C$19,S62+逐级计算!$C$19-(10/(逐级计算!$Q$19*LN(10))*(MAX((LN(10^(逐级计算!$Q$19/10)-1)+逐级计算!$Q$19*(S62-逐级计算!$P$19)*LN(10)/10),0)+LN(1+EXP(-ABS((LN(10^(逐级计算!$Q$19/10)-1)+逐级计算!$Q$19*(S62-逐级计算!$P$19)*LN(10)/10))))))),"")</f>
        <v>13.7930365742089</v>
      </c>
      <c r="U62">
        <f>IF(AND(ISNUMBER(T62),逐级计算!$X$20&gt;-1),IF(逐级计算!$X$20=0,T62+逐级计算!$C$20,T62+逐级计算!$C$20-(10/(逐级计算!$Q$20*LN(10))*(MAX((LN(10^(逐级计算!$Q$20/10)-1)+逐级计算!$Q$20*(T62-逐级计算!$P$20)*LN(10)/10),0)+LN(1+EXP(-ABS((LN(10^(逐级计算!$Q$20/10)-1)+逐级计算!$Q$20*(T62-逐级计算!$P$20)*LN(10)/10))))))),"")</f>
        <v>13.7930365742089</v>
      </c>
      <c r="V62">
        <f>IF(AND(ISNUMBER(U62),逐级计算!$X$21&gt;-1),IF(逐级计算!$X$21=0,U62+逐级计算!$C$21,U62+逐级计算!$C$21-(10/(逐级计算!$Q$21*LN(10))*(MAX((LN(10^(逐级计算!$Q$21/10)-1)+逐级计算!$Q$21*(U62-逐级计算!$P$21)*LN(10)/10),0)+LN(1+EXP(-ABS((LN(10^(逐级计算!$Q$21/10)-1)+逐级计算!$Q$21*(U62-逐级计算!$P$21)*LN(10)/10))))))),"")</f>
        <v>13.7930365742089</v>
      </c>
      <c r="W62">
        <f>IF(AND(ISNUMBER(V62),逐级计算!$X$22&gt;-1),IF(逐级计算!$X$22=0,V62+逐级计算!$C$22,V62+逐级计算!$C$22-(10/(逐级计算!$Q$22*LN(10))*(MAX((LN(10^(逐级计算!$Q$22/10)-1)+逐级计算!$Q$22*(V62-逐级计算!$P$22)*LN(10)/10),0)+LN(1+EXP(-ABS((LN(10^(逐级计算!$Q$22/10)-1)+逐级计算!$Q$22*(V62-逐级计算!$P$22)*LN(10)/10))))))),"")</f>
        <v>13.7930365742089</v>
      </c>
      <c r="X62">
        <f>IF(AND(ISNUMBER(W62),逐级计算!$X$23&gt;-1),IF(逐级计算!$X$23=0,W62+逐级计算!$C$23,W62+逐级计算!$C$23-(10/(逐级计算!$Q$23*LN(10))*(MAX((LN(10^(逐级计算!$Q$23/10)-1)+逐级计算!$Q$23*(W62-逐级计算!$P$23)*LN(10)/10),0)+LN(1+EXP(-ABS((LN(10^(逐级计算!$Q$23/10)-1)+逐级计算!$Q$23*(W62-逐级计算!$P$23)*LN(10)/10))))))),"")</f>
        <v>13.7930365742089</v>
      </c>
      <c r="Y62">
        <f>IF(AND(ISNUMBER(X62),逐级计算!$X$24&gt;-1),IF(逐级计算!$X$24=0,X62+逐级计算!$C$24,X62+逐级计算!$C$24-(10/(逐级计算!$Q$24*LN(10))*(MAX((LN(10^(逐级计算!$Q$24/10)-1)+逐级计算!$Q$24*(X62-逐级计算!$P$24)*LN(10)/10),0)+LN(1+EXP(-ABS((LN(10^(逐级计算!$Q$24/10)-1)+逐级计算!$Q$24*(X62-逐级计算!$P$24)*LN(10)/10))))))),"")</f>
        <v>13.7930365742089</v>
      </c>
      <c r="Z62">
        <f>IF(AND(ISNUMBER(Y62),逐级计算!$X$25&gt;-1),IF(逐级计算!$X$25=0,Y62+逐级计算!$C$25,Y62+逐级计算!$C$25-(10/(逐级计算!$Q$25*LN(10))*(MAX((LN(10^(逐级计算!$Q$25/10)-1)+逐级计算!$Q$25*(Y62-逐级计算!$P$25)*LN(10)/10),0)+LN(1+EXP(-ABS((LN(10^(逐级计算!$Q$25/10)-1)+逐级计算!$Q$25*(Y62-逐级计算!$P$25)*LN(10)/10))))))),"")</f>
        <v>13.7930365742089</v>
      </c>
      <c r="AA62">
        <f>IF(AND(ISNUMBER(Z62),逐级计算!$X$26&gt;-1),IF(逐级计算!$X$26=0,Z62+逐级计算!$C$26,Z62+逐级计算!$C$26-(10/(逐级计算!$Q$26*LN(10))*(MAX((LN(10^(逐级计算!$Q$26/10)-1)+逐级计算!$Q$26*(Z62-逐级计算!$P$26)*LN(10)/10),0)+LN(1+EXP(-ABS((LN(10^(逐级计算!$Q$26/10)-1)+逐级计算!$Q$26*(Z62-逐级计算!$P$26)*LN(10)/10))))))),"")</f>
        <v>13.7930365742089</v>
      </c>
      <c r="AB62">
        <f>IF(AND(ISNUMBER(AA62),逐级计算!$X$27&gt;-1),IF(逐级计算!$X$27=0,AA62+逐级计算!$C$27,AA62+逐级计算!$C$27-(10/(逐级计算!$Q$27*LN(10))*(MAX((LN(10^(逐级计算!$Q$27/10)-1)+逐级计算!$Q$27*(AA62-逐级计算!$P$27)*LN(10)/10),0)+LN(1+EXP(-ABS((LN(10^(逐级计算!$Q$27/10)-1)+逐级计算!$Q$27*(AA62-逐级计算!$P$27)*LN(10)/10))))))),"")</f>
        <v>13.7930365742089</v>
      </c>
      <c r="AC62">
        <f>IF(AND(ISNUMBER(AB62),逐级计算!$X$28&gt;-1),IF(逐级计算!$X$28=0,AB62+逐级计算!$C$28,AB62+逐级计算!$C$28-(10/(逐级计算!$Q$28*LN(10))*(MAX((LN(10^(逐级计算!$Q$28/10)-1)+逐级计算!$Q$28*(AB62-逐级计算!$P$28)*LN(10)/10),0)+LN(1+EXP(-ABS((LN(10^(逐级计算!$Q$28/10)-1)+逐级计算!$Q$28*(AB62-逐级计算!$P$28)*LN(10)/10))))))),"")</f>
        <v>13.7930365742089</v>
      </c>
      <c r="AD62">
        <f>IF(AND(ISNUMBER(AC62),逐级计算!$X$29&gt;-1),IF(逐级计算!$X$29=0,AC62+逐级计算!$C$29,AC62+逐级计算!$C$29-(10/(逐级计算!$Q$29*LN(10))*(MAX((LN(10^(逐级计算!$Q$29/10)-1)+逐级计算!$Q$29*(AC62-逐级计算!$P$29)*LN(10)/10),0)+LN(1+EXP(-ABS((LN(10^(逐级计算!$Q$29/10)-1)+逐级计算!$Q$29*(AC62-逐级计算!$P$29)*LN(10)/10))))))),"")</f>
        <v>13.7930365742089</v>
      </c>
      <c r="AE62">
        <f>IF(AND(ISNUMBER(AD62),逐级计算!$X$30&gt;-1),IF(逐级计算!$X$30=0,AD62+逐级计算!$C$30,AD62+逐级计算!$C$30-(10/(逐级计算!$Q$30*LN(10))*(MAX((LN(10^(逐级计算!$Q$30/10)-1)+逐级计算!$Q$30*(AD62-逐级计算!$P$30)*LN(10)/10),0)+LN(1+EXP(-ABS((LN(10^(逐级计算!$Q$30/10)-1)+逐级计算!$Q$30*(AD62-逐级计算!$P$30)*LN(10)/10))))))),"")</f>
        <v>13.7930365742089</v>
      </c>
      <c r="AF62">
        <f>IF(AND(ISNUMBER(AE62),逐级计算!$X$31&gt;-1),IF(逐级计算!$X$31=0,AE62+逐级计算!$C$31,AE62+逐级计算!$C$31-(10/(逐级计算!$Q$31*LN(10))*(MAX((LN(10^(逐级计算!$Q$31/10)-1)+逐级计算!$Q$31*(AE62-逐级计算!$P$31)*LN(10)/10),0)+LN(1+EXP(-ABS((LN(10^(逐级计算!$Q$31/10)-1)+逐级计算!$Q$31*(AE62-逐级计算!$P$31)*LN(10)/10))))))),"")</f>
        <v>13.7930365742089</v>
      </c>
      <c r="AG62">
        <f>IF(AND(ISNUMBER(AF62),逐级计算!$X$32&gt;-1),IF(逐级计算!$X$32=0,AF62+逐级计算!$C$32,AF62+逐级计算!$C$32-(10/(逐级计算!$Q$32*LN(10))*(MAX((LN(10^(逐级计算!$Q$32/10)-1)+逐级计算!$Q$32*(AF62-逐级计算!$P$32)*LN(10)/10),0)+LN(1+EXP(-ABS((LN(10^(逐级计算!$Q$32/10)-1)+逐级计算!$Q$32*(AF62-逐级计算!$P$32)*LN(10)/10))))))),"")</f>
        <v>13.7930365742089</v>
      </c>
      <c r="AH62">
        <f>IF(AND(ISNUMBER(AG62),逐级计算!$X$33&gt;-1),IF(逐级计算!$X$33=0,AG62+逐级计算!$C$33,AG62+逐级计算!$C$33-(10/(逐级计算!$Q$33*LN(10))*(MAX((LN(10^(逐级计算!$Q$33/10)-1)+逐级计算!$Q$33*(AG62-逐级计算!$P$33)*LN(10)/10),0)+LN(1+EXP(-ABS((LN(10^(逐级计算!$Q$33/10)-1)+逐级计算!$Q$33*(AG62-逐级计算!$P$33)*LN(10)/10))))))),"")</f>
        <v>13.7930365742089</v>
      </c>
      <c r="AI62">
        <f>IF(AND(ISNUMBER(AH62),逐级计算!$X$34&gt;-1),IF(逐级计算!$X$34=0,AH62+逐级计算!$C$34,AH62+逐级计算!$C$34-(10/(逐级计算!$Q$34*LN(10))*(MAX((LN(10^(逐级计算!$Q$34/10)-1)+逐级计算!$Q$34*(AH62-逐级计算!$P$34)*LN(10)/10),0)+LN(1+EXP(-ABS((LN(10^(逐级计算!$Q$34/10)-1)+逐级计算!$Q$34*(AH62-逐级计算!$P$34)*LN(10)/10))))))),"")</f>
        <v>13.7930365742089</v>
      </c>
      <c r="AJ62">
        <f>IF(AND(ISNUMBER(AI62),逐级计算!$X$35&gt;-1),IF(逐级计算!$X$35=0,AI62+逐级计算!$C$35,AI62+逐级计算!$C$35-(10/(逐级计算!$Q$35*LN(10))*(MAX((LN(10^(逐级计算!$Q$35/10)-1)+逐级计算!$Q$35*(AI62-逐级计算!$P$35)*LN(10)/10),0)+LN(1+EXP(-ABS((LN(10^(逐级计算!$Q$35/10)-1)+逐级计算!$Q$35*(AI62-逐级计算!$P$35)*LN(10)/10))))))),"")</f>
        <v>13.7930365742089</v>
      </c>
      <c r="AK62">
        <f>IF(AND(ISNUMBER(AJ62),逐级计算!$X$36&gt;-1),IF(逐级计算!$X$36=0,AJ62+逐级计算!$C$36,AJ62+逐级计算!$C$36-(10/(逐级计算!$Q$36*LN(10))*(MAX((LN(10^(逐级计算!$Q$36/10)-1)+逐级计算!$Q$36*(AJ62-逐级计算!$P$36)*LN(10)/10),0)+LN(1+EXP(-ABS((LN(10^(逐级计算!$Q$36/10)-1)+逐级计算!$Q$36*(AJ62-逐级计算!$P$36)*LN(10)/10))))))),"")</f>
        <v>13.7930365742089</v>
      </c>
      <c r="AL62">
        <f>IF(AND(ISNUMBER(AK62),逐级计算!$X$37&gt;-1),IF(逐级计算!$X$37=0,AK62+逐级计算!$C$37,AK62+逐级计算!$C$37-(10/(逐级计算!$Q$37*LN(10))*(MAX((LN(10^(逐级计算!$Q$37/10)-1)+逐级计算!$Q$37*(AK62-逐级计算!$P$37)*LN(10)/10),0)+LN(1+EXP(-ABS((LN(10^(逐级计算!$Q$37/10)-1)+逐级计算!$Q$37*(AK62-逐级计算!$P$37)*LN(10)/10))))))),"")</f>
        <v>13.7930365742089</v>
      </c>
      <c r="AM62">
        <f>IF(AND(ISNUMBER(AL62),逐级计算!$X$38&gt;-1),IF(逐级计算!$X$38=0,AL62+逐级计算!$C$38,AL62+逐级计算!$C$38-(10/(逐级计算!$Q$38*LN(10))*(MAX((LN(10^(逐级计算!$Q$38/10)-1)+逐级计算!$Q$38*(AL62-逐级计算!$P$38)*LN(10)/10),0)+LN(1+EXP(-ABS((LN(10^(逐级计算!$Q$38/10)-1)+逐级计算!$Q$38*(AL62-逐级计算!$P$38)*LN(10)/10))))))),"")</f>
        <v>13.7930365742089</v>
      </c>
      <c r="AN62">
        <f>IF(AND(ISNUMBER(AM62),逐级计算!$X$39&gt;-1),IF(逐级计算!$X$39=0,AM62+逐级计算!$C$39,AM62+逐级计算!$C$39-(10/(逐级计算!$Q$39*LN(10))*(MAX((LN(10^(逐级计算!$Q$39/10)-1)+逐级计算!$Q$39*(AM62-逐级计算!$P$39)*LN(10)/10),0)+LN(1+EXP(-ABS((LN(10^(逐级计算!$Q$39/10)-1)+逐级计算!$Q$39*(AM62-逐级计算!$P$39)*LN(10)/10))))))),"")</f>
        <v>13.7930365742089</v>
      </c>
      <c r="AO62">
        <f>IF(AND(ISNUMBER(AN62),逐级计算!$X$40&gt;-1),IF(逐级计算!$X$40=0,AN62+逐级计算!$C$40,AN62+逐级计算!$C$40-(10/(逐级计算!$Q$40*LN(10))*(MAX((LN(10^(逐级计算!$Q$40/10)-1)+逐级计算!$Q$40*(AN62-逐级计算!$P$40)*LN(10)/10),0)+LN(1+EXP(-ABS((LN(10^(逐级计算!$Q$40/10)-1)+逐级计算!$Q$40*(AN62-逐级计算!$P$40)*LN(10)/10))))))),"")</f>
        <v>13.7930365742089</v>
      </c>
      <c r="AP62">
        <f>IF(AND(ISNUMBER(AO62),逐级计算!$X$41&gt;-1),IF(逐级计算!$X$41=0,AO62+逐级计算!$C$41,AO62+逐级计算!$C$41-(10/(逐级计算!$Q$41*LN(10))*(MAX((LN(10^(逐级计算!$Q$41/10)-1)+逐级计算!$Q$41*(AO62-逐级计算!$P$41)*LN(10)/10),0)+LN(1+EXP(-ABS((LN(10^(逐级计算!$Q$41/10)-1)+逐级计算!$Q$41*(AO62-逐级计算!$P$41)*LN(10)/10))))))),"")</f>
        <v>13.7930365742089</v>
      </c>
      <c r="AQ62">
        <f>IF(AND(ISNUMBER(AP62),逐级计算!$X$42&gt;-1),IF(逐级计算!$X$42=0,AP62+逐级计算!$C$42,AP62+逐级计算!$C$42-(10/(逐级计算!$Q$42*LN(10))*(MAX((LN(10^(逐级计算!$Q$42/10)-1)+逐级计算!$Q$42*(AP62-逐级计算!$P$42)*LN(10)/10),0)+LN(1+EXP(-ABS((LN(10^(逐级计算!$Q$42/10)-1)+逐级计算!$Q$42*(AP62-逐级计算!$P$42)*LN(10)/10))))))),"")</f>
        <v>13.7930365742089</v>
      </c>
      <c r="AR62">
        <f>IF(AND(ISNUMBER(AQ62),逐级计算!$X$43&gt;-1),IF(逐级计算!$X$43=0,AQ62+逐级计算!$C$43,AQ62+逐级计算!$C$43-(10/(逐级计算!$Q$43*LN(10))*(MAX((LN(10^(逐级计算!$Q$43/10)-1)+逐级计算!$Q$43*(AQ62-逐级计算!$P$43)*LN(10)/10),0)+LN(1+EXP(-ABS((LN(10^(逐级计算!$Q$43/10)-1)+逐级计算!$Q$43*(AQ62-逐级计算!$P$43)*LN(10)/10))))))),"")</f>
        <v>13.7930365742089</v>
      </c>
      <c r="AS62">
        <f>IF(AND(ISNUMBER(AR62),逐级计算!$X$44&gt;-1),IF(逐级计算!$X$44=0,AR62+逐级计算!$C$44,AR62+逐级计算!$C$44-(10/(逐级计算!$Q$44*LN(10))*(MAX((LN(10^(逐级计算!$Q$44/10)-1)+逐级计算!$Q$44*(AR62-逐级计算!$P$44)*LN(10)/10),0)+LN(1+EXP(-ABS((LN(10^(逐级计算!$Q$44/10)-1)+逐级计算!$Q$44*(AR62-逐级计算!$P$44)*LN(10)/10))))))),"")</f>
        <v>13.7930365742089</v>
      </c>
      <c r="AT62">
        <f>IF(AND(ISNUMBER(AS62),逐级计算!$X$45&gt;-1),IF(逐级计算!$X$45=0,AS62+逐级计算!$C$45,AS62+逐级计算!$C$45-(10/(逐级计算!$Q$45*LN(10))*(MAX((LN(10^(逐级计算!$Q$45/10)-1)+逐级计算!$Q$45*(AS62-逐级计算!$P$45)*LN(10)/10),0)+LN(1+EXP(-ABS((LN(10^(逐级计算!$Q$45/10)-1)+逐级计算!$Q$45*(AS62-逐级计算!$P$45)*LN(10)/10))))))),"")</f>
        <v>13.7930365742089</v>
      </c>
      <c r="AU62">
        <f>IF(AND(ISNUMBER(AT62),逐级计算!$X$46&gt;-1),IF(逐级计算!$X$46=0,AT62+逐级计算!$C$46,AT62+逐级计算!$C$46-(10/(逐级计算!$Q$46*LN(10))*(MAX((LN(10^(逐级计算!$Q$46/10)-1)+逐级计算!$Q$46*(AT62-逐级计算!$P$46)*LN(10)/10),0)+LN(1+EXP(-ABS((LN(10^(逐级计算!$Q$46/10)-1)+逐级计算!$Q$46*(AT62-逐级计算!$P$46)*LN(10)/10))))))),"")</f>
        <v>13.7930365742089</v>
      </c>
      <c r="AV62">
        <f>IF(AND(ISNUMBER(AU62),逐级计算!$X$47&gt;-1),IF(逐级计算!$X$47=0,AU62+逐级计算!$C$47,AU62+逐级计算!$C$47-(10/(逐级计算!$Q$47*LN(10))*(MAX((LN(10^(逐级计算!$Q$47/10)-1)+逐级计算!$Q$47*(AU62-逐级计算!$P$47)*LN(10)/10),0)+LN(1+EXP(-ABS((LN(10^(逐级计算!$Q$47/10)-1)+逐级计算!$Q$47*(AU62-逐级计算!$P$47)*LN(10)/10))))))),"")</f>
        <v>13.7930365742089</v>
      </c>
      <c r="AW62">
        <f>IF(AND(ISNUMBER(AV62),逐级计算!$X$48&gt;-1),IF(逐级计算!$X$48=0,AV62+逐级计算!$C$48,AV62+逐级计算!$C$48-(10/(逐级计算!$Q$48*LN(10))*(MAX((LN(10^(逐级计算!$Q$48/10)-1)+逐级计算!$Q$48*(AV62-逐级计算!$P$48)*LN(10)/10),0)+LN(1+EXP(-ABS((LN(10^(逐级计算!$Q$48/10)-1)+逐级计算!$Q$48*(AV62-逐级计算!$P$48)*LN(10)/10))))))),"")</f>
        <v>13.7930365742089</v>
      </c>
      <c r="AX62">
        <f>IF(AND(ISNUMBER(AW62),逐级计算!$X$49&gt;-1),IF(逐级计算!$X$49=0,AW62+逐级计算!$C$49,AW62+逐级计算!$C$49-(10/(逐级计算!$Q$49*LN(10))*(MAX((LN(10^(逐级计算!$Q$49/10)-1)+逐级计算!$Q$49*(AW62-逐级计算!$P$49)*LN(10)/10),0)+LN(1+EXP(-ABS((LN(10^(逐级计算!$Q$49/10)-1)+逐级计算!$Q$49*(AW62-逐级计算!$P$49)*LN(10)/10))))))),"")</f>
        <v>13.7930365742089</v>
      </c>
      <c r="AY62">
        <f>IF(AND(ISNUMBER(AX62),逐级计算!$X$50&gt;-1),IF(逐级计算!$X$50=0,AX62+逐级计算!$C$50,AX62+逐级计算!$C$50-(10/(逐级计算!$Q$50*LN(10))*(MAX((LN(10^(逐级计算!$Q$50/10)-1)+逐级计算!$Q$50*(AX62-逐级计算!$P$50)*LN(10)/10),0)+LN(1+EXP(-ABS((LN(10^(逐级计算!$Q$50/10)-1)+逐级计算!$Q$50*(AX62-逐级计算!$P$50)*LN(10)/10))))))),"")</f>
        <v>13.7930365742089</v>
      </c>
      <c r="AZ62">
        <f>IF(AND(ISNUMBER(AY62),逐级计算!$X$51&gt;-1),IF(逐级计算!$X$51=0,AY62+逐级计算!$C$51,AY62+逐级计算!$C$51-(10/(逐级计算!$Q$51*LN(10))*(MAX((LN(10^(逐级计算!$Q$51/10)-1)+逐级计算!$Q$51*(AY62-逐级计算!$P$51)*LN(10)/10),0)+LN(1+EXP(-ABS((LN(10^(逐级计算!$Q$51/10)-1)+逐级计算!$Q$51*(AY62-逐级计算!$P$51)*LN(10)/10))))))),"")</f>
        <v>13.7930365742089</v>
      </c>
      <c r="BA62">
        <f>IF(AND(ISNUMBER(AZ62),逐级计算!$X$52&gt;-1),IF(逐级计算!$X$52=0,AZ62+逐级计算!$C$52,AZ62+逐级计算!$C$52-(10/(逐级计算!$Q$52*LN(10))*(MAX((LN(10^(逐级计算!$Q$52/10)-1)+逐级计算!$Q$52*(AZ62-逐级计算!$P$52)*LN(10)/10),0)+LN(1+EXP(-ABS((LN(10^(逐级计算!$Q$52/10)-1)+逐级计算!$Q$52*(AZ62-逐级计算!$P$52)*LN(10)/10))))))),"")</f>
        <v>13.7930365742089</v>
      </c>
      <c r="BB62">
        <f>IF(AND(ISNUMBER(BA62),逐级计算!$X$53&gt;-1),IF(逐级计算!$X$53=0,BA62+逐级计算!$C$53,BA62+逐级计算!$C$53-(10/(逐级计算!$Q$53*LN(10))*(MAX((LN(10^(逐级计算!$Q$53/10)-1)+逐级计算!$Q$53*(BA62-逐级计算!$P$53)*LN(10)/10),0)+LN(1+EXP(-ABS((LN(10^(逐级计算!$Q$53/10)-1)+逐级计算!$Q$53*(BA62-逐级计算!$P$53)*LN(10)/10))))))),"")</f>
        <v>13.7930365742089</v>
      </c>
      <c r="BC62">
        <f>IF(AND(ISNUMBER(BB62),逐级计算!$X$54&gt;-1),IF(逐级计算!$X$54=0,BB62+逐级计算!$C$54,BB62+逐级计算!$C$54-(10/(逐级计算!$Q$54*LN(10))*(MAX((LN(10^(逐级计算!$Q$54/10)-1)+逐级计算!$Q$54*(BB62-逐级计算!$P$54)*LN(10)/10),0)+LN(1+EXP(-ABS((LN(10^(逐级计算!$Q$54/10)-1)+逐级计算!$Q$54*(BB62-逐级计算!$P$54)*LN(10)/10))))))),"")</f>
        <v>13.7930365742089</v>
      </c>
      <c r="BD62">
        <f>IF(AND(ISNUMBER(BC62),逐级计算!$X$55&gt;-1),IF(逐级计算!$X$55=0,BC62+逐级计算!$C$55,BC62+逐级计算!$C$55-(10/(逐级计算!$Q$55*LN(10))*(MAX((LN(10^(逐级计算!$Q$55/10)-1)+逐级计算!$Q$55*(BC62-逐级计算!$P$55)*LN(10)/10),0)+LN(1+EXP(-ABS((LN(10^(逐级计算!$Q$55/10)-1)+逐级计算!$Q$55*(BC62-逐级计算!$P$55)*LN(10)/10))))))),"")</f>
        <v>13.7930365742089</v>
      </c>
      <c r="BE62">
        <f>IF(AND(ISNUMBER(BD62),逐级计算!$X$56&gt;-1),IF(逐级计算!$X$56=0,BD62+逐级计算!$C$56,BD62+逐级计算!$C$56-(10/(逐级计算!$Q$56*LN(10))*(MAX((LN(10^(逐级计算!$Q$56/10)-1)+逐级计算!$Q$56*(BD62-逐级计算!$P$56)*LN(10)/10),0)+LN(1+EXP(-ABS((LN(10^(逐级计算!$Q$56/10)-1)+逐级计算!$Q$56*(BD62-逐级计算!$P$56)*LN(10)/10))))))),"")</f>
        <v>13.7930365742089</v>
      </c>
      <c r="BF62">
        <f>IF(AND(ISNUMBER(BE62),逐级计算!$X$57&gt;-1),IF(逐级计算!$X$57=0,BE62+逐级计算!$C$57,BE62+逐级计算!$C$57-(10/(逐级计算!$Q$57*LN(10))*(MAX((LN(10^(逐级计算!$Q$57/10)-1)+逐级计算!$Q$57*(BE62-逐级计算!$P$57)*LN(10)/10),0)+LN(1+EXP(-ABS((LN(10^(逐级计算!$Q$57/10)-1)+逐级计算!$Q$57*(BE62-逐级计算!$P$57)*LN(10)/10))))))),"")</f>
        <v>13.7930365742089</v>
      </c>
      <c r="BG62">
        <f>IF(AND(ISNUMBER(BF62),逐级计算!$X$58&gt;-1),IF(逐级计算!$X$58=0,BF62+逐级计算!$C$58,BF62+逐级计算!$C$58-(10/(逐级计算!$Q$58*LN(10))*(MAX((LN(10^(逐级计算!$Q$58/10)-1)+逐级计算!$Q$58*(BF62-逐级计算!$P$58)*LN(10)/10),0)+LN(1+EXP(-ABS((LN(10^(逐级计算!$Q$58/10)-1)+逐级计算!$Q$58*(BF62-逐级计算!$P$58)*LN(10)/10))))))),"")</f>
        <v>13.7930365742089</v>
      </c>
      <c r="BH62">
        <f>IF(AND(ISNUMBER(BG62),逐级计算!$X$59&gt;-1),IF(逐级计算!$X$59=0,BG62+逐级计算!$C$59,BG62+逐级计算!$C$59-(10/(逐级计算!$Q$59*LN(10))*(MAX((LN(10^(逐级计算!$Q$59/10)-1)+逐级计算!$Q$59*(BG62-逐级计算!$P$59)*LN(10)/10),0)+LN(1+EXP(-ABS((LN(10^(逐级计算!$Q$59/10)-1)+逐级计算!$Q$59*(BG62-逐级计算!$P$59)*LN(10)/10))))))),"")</f>
        <v>13.7930365742089</v>
      </c>
      <c r="BI62">
        <f>IF(AND(ISNUMBER(BH62),逐级计算!$X$60&gt;-1),IF(逐级计算!$X$60=0,BH62+逐级计算!$C$60,BH62+逐级计算!$C$60-(10/(逐级计算!$Q$60*LN(10))*(MAX((LN(10^(逐级计算!$Q$60/10)-1)+逐级计算!$Q$60*(BH62-逐级计算!$P$60)*LN(10)/10),0)+LN(1+EXP(-ABS((LN(10^(逐级计算!$Q$60/10)-1)+逐级计算!$Q$60*(BH62-逐级计算!$P$60)*LN(10)/10))))))),"")</f>
        <v>13.7930365742089</v>
      </c>
      <c r="BJ62">
        <f>IF(AND(ISNUMBER(BI62),逐级计算!$X$61&gt;-1),IF(逐级计算!$X$61=0,BI62+逐级计算!$C$61,BI62+逐级计算!$C$61-(10/(逐级计算!$Q$61*LN(10))*(MAX((LN(10^(逐级计算!$Q$61/10)-1)+逐级计算!$Q$61*(BI62-逐级计算!$P$61)*LN(10)/10),0)+LN(1+EXP(-ABS((LN(10^(逐级计算!$Q$61/10)-1)+逐级计算!$Q$61*(BI62-逐级计算!$P$61)*LN(10)/10))))))),"")</f>
        <v>13.7930365742089</v>
      </c>
      <c r="BK62">
        <f>IF(AND(ISNUMBER(BJ62),逐级计算!$X$62&gt;-1),IF(逐级计算!$X$62=0,BJ62+逐级计算!$C$62,BJ62+逐级计算!$C$62-(10/(逐级计算!$Q$62*LN(10))*(MAX((LN(10^(逐级计算!$Q$62/10)-1)+逐级计算!$Q$62*(BJ62-逐级计算!$P$62)*LN(10)/10),0)+LN(1+EXP(-ABS((LN(10^(逐级计算!$Q$62/10)-1)+逐级计算!$Q$62*(BJ62-逐级计算!$P$62)*LN(10)/10))))))),"")</f>
        <v>13.7930365742089</v>
      </c>
      <c r="BL62">
        <f>IF(AND(ISNUMBER(BK62),逐级计算!$X$63&gt;-1),IF(逐级计算!$X$63=0,BK62+逐级计算!$C$63,BK62+逐级计算!$C$63-(10/(逐级计算!$Q$63*LN(10))*(MAX((LN(10^(逐级计算!$Q$63/10)-1)+逐级计算!$Q$63*(BK62-逐级计算!$P$63)*LN(10)/10),0)+LN(1+EXP(-ABS((LN(10^(逐级计算!$Q$63/10)-1)+逐级计算!$Q$63*(BK62-逐级计算!$P$63)*LN(10)/10))))))),"")</f>
        <v>13.7930365742089</v>
      </c>
      <c r="BM62">
        <f>IF(AND(ISNUMBER(BL62),逐级计算!$X$64&gt;-1),IF(逐级计算!$X$64=0,BL62+逐级计算!$C$64,BL62+逐级计算!$C$64-(10/(逐级计算!$Q$64*LN(10))*(MAX((LN(10^(逐级计算!$Q$64/10)-1)+逐级计算!$Q$64*(BL62-逐级计算!$P$64)*LN(10)/10),0)+LN(1+EXP(-ABS((LN(10^(逐级计算!$Q$64/10)-1)+逐级计算!$Q$64*(BL62-逐级计算!$P$64)*LN(10)/10))))))),"")</f>
        <v>13.7930365742089</v>
      </c>
      <c r="BN62">
        <f>IF(AND(ISNUMBER(BM62),逐级计算!$X$65&gt;-1),IF(逐级计算!$X$65=0,BM62+逐级计算!$C$65,BM62+逐级计算!$C$65-(10/(逐级计算!$Q$65*LN(10))*(MAX((LN(10^(逐级计算!$Q$65/10)-1)+逐级计算!$Q$65*(BM62-逐级计算!$P$65)*LN(10)/10),0)+LN(1+EXP(-ABS((LN(10^(逐级计算!$Q$65/10)-1)+逐级计算!$Q$65*(BM62-逐级计算!$P$65)*LN(10)/10))))))),"")</f>
        <v>13.7930365742089</v>
      </c>
      <c r="BO62">
        <f>IF(AND(ISNUMBER(BN62),逐级计算!$X$66&gt;-1),IF(逐级计算!$X$66=0,BN62+逐级计算!$C$66,BN62+逐级计算!$C$66-(10/(逐级计算!$Q$66*LN(10))*(MAX((LN(10^(逐级计算!$Q$66/10)-1)+逐级计算!$Q$66*(BN62-逐级计算!$P$66)*LN(10)/10),0)+LN(1+EXP(-ABS((LN(10^(逐级计算!$Q$66/10)-1)+逐级计算!$Q$66*(BN62-逐级计算!$P$66)*LN(10)/10))))))),"")</f>
        <v>13.7930365742089</v>
      </c>
      <c r="BP62">
        <f>IF(AND(ISNUMBER(BO62),逐级计算!$X$67&gt;-1),IF(逐级计算!$X$67=0,BO62+逐级计算!$C$67,BO62+逐级计算!$C$67-(10/(逐级计算!$Q$67*LN(10))*(MAX((LN(10^(逐级计算!$Q$67/10)-1)+逐级计算!$Q$67*(BO62-逐级计算!$P$67)*LN(10)/10),0)+LN(1+EXP(-ABS((LN(10^(逐级计算!$Q$67/10)-1)+逐级计算!$Q$67*(BO62-逐级计算!$P$67)*LN(10)/10))))))),"")</f>
        <v>13.7930365742089</v>
      </c>
      <c r="BQ62">
        <f>IF(AND(ISNUMBER(BP62),逐级计算!$X$68&gt;-1),IF(逐级计算!$X$68=0,BP62+逐级计算!$C$68,BP62+逐级计算!$C$68-(10/(逐级计算!$Q$68*LN(10))*(MAX((LN(10^(逐级计算!$Q$68/10)-1)+逐级计算!$Q$68*(BP62-逐级计算!$P$68)*LN(10)/10),0)+LN(1+EXP(-ABS((LN(10^(逐级计算!$Q$68/10)-1)+逐级计算!$Q$68*(BP62-逐级计算!$P$68)*LN(10)/10))))))),"")</f>
        <v>13.7930365742089</v>
      </c>
      <c r="BR62">
        <f>IF(AND(ISNUMBER(BQ62),逐级计算!$X$69&gt;-1),IF(逐级计算!$X$69=0,BQ62+逐级计算!$C$69,BQ62+逐级计算!$C$69-(10/(逐级计算!$Q$69*LN(10))*(MAX((LN(10^(逐级计算!$Q$69/10)-1)+逐级计算!$Q$69*(BQ62-逐级计算!$P$69)*LN(10)/10),0)+LN(1+EXP(-ABS((LN(10^(逐级计算!$Q$69/10)-1)+逐级计算!$Q$69*(BQ62-逐级计算!$P$69)*LN(10)/10))))))),"")</f>
        <v>13.7930365742089</v>
      </c>
      <c r="BS62">
        <f>IF(AND(ISNUMBER(BR62),逐级计算!$X$70&gt;-1),IF(逐级计算!$X$70=0,BR62+逐级计算!$C$70,BR62+逐级计算!$C$70-(10/(逐级计算!$Q$70*LN(10))*(MAX((LN(10^(逐级计算!$Q$70/10)-1)+逐级计算!$Q$70*(BR62-逐级计算!$P$70)*LN(10)/10),0)+LN(1+EXP(-ABS((LN(10^(逐级计算!$Q$70/10)-1)+逐级计算!$Q$70*(BR62-逐级计算!$P$70)*LN(10)/10))))))),"")</f>
        <v>13.7930365742089</v>
      </c>
      <c r="BT62">
        <f>IF(AND(ISNUMBER(BS62),逐级计算!$X$71&gt;-1),IF(逐级计算!$X$71=0,BS62+逐级计算!$C$71,BS62+逐级计算!$C$71-(10/(逐级计算!$Q$71*LN(10))*(MAX((LN(10^(逐级计算!$Q$71/10)-1)+逐级计算!$Q$71*(BS62-逐级计算!$P$71)*LN(10)/10),0)+LN(1+EXP(-ABS((LN(10^(逐级计算!$Q$71/10)-1)+逐级计算!$Q$71*(BS62-逐级计算!$P$71)*LN(10)/10))))))),"")</f>
        <v>13.7930365742089</v>
      </c>
      <c r="BU62">
        <f>IF(AND(ISNUMBER(BT62),逐级计算!$X$72&gt;-1),IF(逐级计算!$X$72=0,BT62+逐级计算!$C$72,BT62+逐级计算!$C$72-(10/(逐级计算!$Q$72*LN(10))*(MAX((LN(10^(逐级计算!$Q$72/10)-1)+逐级计算!$Q$72*(BT62-逐级计算!$P$72)*LN(10)/10),0)+LN(1+EXP(-ABS((LN(10^(逐级计算!$Q$72/10)-1)+逐级计算!$Q$72*(BT62-逐级计算!$P$72)*LN(10)/10))))))),"")</f>
        <v>13.7930365742089</v>
      </c>
      <c r="BV62">
        <f>IF(AND(ISNUMBER(BU62),逐级计算!$X$73&gt;-1),IF(逐级计算!$X$73=0,BU62+逐级计算!$C$73,BU62+逐级计算!$C$73-(10/(逐级计算!$Q$73*LN(10))*(MAX((LN(10^(逐级计算!$Q$73/10)-1)+逐级计算!$Q$73*(BU62-逐级计算!$P$73)*LN(10)/10),0)+LN(1+EXP(-ABS((LN(10^(逐级计算!$Q$73/10)-1)+逐级计算!$Q$73*(BU62-逐级计算!$P$73)*LN(10)/10))))))),"")</f>
        <v>13.7930365742089</v>
      </c>
      <c r="BW62">
        <f>IF(AND(ISNUMBER(BV62),逐级计算!$X$74&gt;-1),IF(逐级计算!$X$74=0,BV62+逐级计算!$C$74,BV62+逐级计算!$C$74-(10/(逐级计算!$Q$74*LN(10))*(MAX((LN(10^(逐级计算!$Q$74/10)-1)+逐级计算!$Q$74*(BV62-逐级计算!$P$74)*LN(10)/10),0)+LN(1+EXP(-ABS((LN(10^(逐级计算!$Q$74/10)-1)+逐级计算!$Q$74*(BV62-逐级计算!$P$74)*LN(10)/10))))))),"")</f>
        <v>13.7930365742089</v>
      </c>
      <c r="BX62">
        <f>IF(AND(ISNUMBER(BW62),逐级计算!$X$75&gt;-1),IF(逐级计算!$X$75=0,BW62+逐级计算!$C$75,BW62+逐级计算!$C$75-(10/(逐级计算!$Q$75*LN(10))*(MAX((LN(10^(逐级计算!$Q$75/10)-1)+逐级计算!$Q$75*(BW62-逐级计算!$P$75)*LN(10)/10),0)+LN(1+EXP(-ABS((LN(10^(逐级计算!$Q$75/10)-1)+逐级计算!$Q$75*(BW62-逐级计算!$P$75)*LN(10)/10))))))),"")</f>
        <v>13.7930365742089</v>
      </c>
      <c r="BY62">
        <f>IF(AND(ISNUMBER(BX62),逐级计算!$X$76&gt;-1),IF(逐级计算!$X$76=0,BX62+逐级计算!$C$76,BX62+逐级计算!$C$76-(10/(逐级计算!$Q$76*LN(10))*(MAX((LN(10^(逐级计算!$Q$76/10)-1)+逐级计算!$Q$76*(BX62-逐级计算!$P$76)*LN(10)/10),0)+LN(1+EXP(-ABS((LN(10^(逐级计算!$Q$76/10)-1)+逐级计算!$Q$76*(BX62-逐级计算!$P$76)*LN(10)/10))))))),"")</f>
        <v>13.7930365742089</v>
      </c>
      <c r="BZ62">
        <f>IF(AND(ISNUMBER(BY62),逐级计算!$X$77&gt;-1),IF(逐级计算!$X$77=0,BY62+逐级计算!$C$77,BY62+逐级计算!$C$77-(10/(逐级计算!$Q$77*LN(10))*(MAX((LN(10^(逐级计算!$Q$77/10)-1)+逐级计算!$Q$77*(BY62-逐级计算!$P$77)*LN(10)/10),0)+LN(1+EXP(-ABS((LN(10^(逐级计算!$Q$77/10)-1)+逐级计算!$Q$77*(BY62-逐级计算!$P$77)*LN(10)/10))))))),"")</f>
        <v>13.7930365742089</v>
      </c>
      <c r="CA62">
        <f>IF(AND(ISNUMBER(BZ62),逐级计算!$X$78&gt;-1),IF(逐级计算!$X$78=0,BZ62+逐级计算!$C$78,BZ62+逐级计算!$C$78-(10/(逐级计算!$Q$78*LN(10))*(MAX((LN(10^(逐级计算!$Q$78/10)-1)+逐级计算!$Q$78*(BZ62-逐级计算!$P$78)*LN(10)/10),0)+LN(1+EXP(-ABS((LN(10^(逐级计算!$Q$78/10)-1)+逐级计算!$Q$78*(BZ62-逐级计算!$P$78)*LN(10)/10))))))),"")</f>
        <v>13.7930365742089</v>
      </c>
      <c r="CB62">
        <f>IF(AND(ISNUMBER(CA62),逐级计算!$X$79&gt;-1),IF(逐级计算!$X$79=0,CA62+逐级计算!$C$79,CA62+逐级计算!$C$79-(10/(逐级计算!$Q$79*LN(10))*(MAX((LN(10^(逐级计算!$Q$79/10)-1)+逐级计算!$Q$79*(CA62-逐级计算!$P$79)*LN(10)/10),0)+LN(1+EXP(-ABS((LN(10^(逐级计算!$Q$79/10)-1)+逐级计算!$Q$79*(CA62-逐级计算!$P$79)*LN(10)/10))))))),"")</f>
        <v>13.7930365742089</v>
      </c>
      <c r="CC62">
        <f>IF(AND(ISNUMBER(CB62),逐级计算!$X$80&gt;-1),IF(逐级计算!$X$80=0,CB62+逐级计算!$C$80,CB62+逐级计算!$C$80-(10/(逐级计算!$Q$80*LN(10))*(MAX((LN(10^(逐级计算!$Q$80/10)-1)+逐级计算!$Q$80*(CB62-逐级计算!$P$80)*LN(10)/10),0)+LN(1+EXP(-ABS((LN(10^(逐级计算!$Q$80/10)-1)+逐级计算!$Q$80*(CB62-逐级计算!$P$80)*LN(10)/10))))))),"")</f>
        <v>13.7930365742089</v>
      </c>
      <c r="CD62">
        <f>IF(AND(ISNUMBER(CC62),逐级计算!$X$81&gt;-1),IF(逐级计算!$X$81=0,CC62+逐级计算!$C$81,CC62+逐级计算!$C$81-(10/(逐级计算!$Q$81*LN(10))*(MAX((LN(10^(逐级计算!$Q$81/10)-1)+逐级计算!$Q$81*(CC62-逐级计算!$P$81)*LN(10)/10),0)+LN(1+EXP(-ABS((LN(10^(逐级计算!$Q$81/10)-1)+逐级计算!$Q$81*(CC62-逐级计算!$P$81)*LN(10)/10))))))),"")</f>
        <v>13.7930365742089</v>
      </c>
      <c r="CE62">
        <f>IF(AND(ISNUMBER(CD62),逐级计算!$X$82&gt;-1),IF(逐级计算!$X$82=0,CD62+逐级计算!$C$82,CD62+逐级计算!$C$82-(10/(逐级计算!$Q$82*LN(10))*(MAX((LN(10^(逐级计算!$Q$82/10)-1)+逐级计算!$Q$82*(CD62-逐级计算!$P$82)*LN(10)/10),0)+LN(1+EXP(-ABS((LN(10^(逐级计算!$Q$82/10)-1)+逐级计算!$Q$82*(CD62-逐级计算!$P$82)*LN(10)/10))))))),"")</f>
        <v>13.7930365742089</v>
      </c>
      <c r="CF62">
        <f>IF(AND(ISNUMBER(CE62),逐级计算!$X$83&gt;-1),IF(逐级计算!$X$83=0,CE62+逐级计算!$C$83,CE62+逐级计算!$C$83-(10/(逐级计算!$Q$83*LN(10))*(MAX((LN(10^(逐级计算!$Q$83/10)-1)+逐级计算!$Q$83*(CE62-逐级计算!$P$83)*LN(10)/10),0)+LN(1+EXP(-ABS((LN(10^(逐级计算!$Q$83/10)-1)+逐级计算!$Q$83*(CE62-逐级计算!$P$83)*LN(10)/10))))))),"")</f>
        <v>13.7930365742089</v>
      </c>
      <c r="CG62">
        <f>IF(AND(ISNUMBER(CF62),逐级计算!$X$84&gt;-1),IF(逐级计算!$X$84=0,CF62+逐级计算!$C$84,CF62+逐级计算!$C$84-(10/(逐级计算!$Q$84*LN(10))*(MAX((LN(10^(逐级计算!$Q$84/10)-1)+逐级计算!$Q$84*(CF62-逐级计算!$P$84)*LN(10)/10),0)+LN(1+EXP(-ABS((LN(10^(逐级计算!$Q$84/10)-1)+逐级计算!$Q$84*(CF62-逐级计算!$P$84)*LN(10)/10))))))),"")</f>
        <v>13.7930365742089</v>
      </c>
      <c r="CH62">
        <f>IF(AND(ISNUMBER(CG62),逐级计算!$X$85&gt;-1),IF(逐级计算!$X$85=0,CG62+逐级计算!$C$85,CG62+逐级计算!$C$85-(10/(逐级计算!$Q$85*LN(10))*(MAX((LN(10^(逐级计算!$Q$85/10)-1)+逐级计算!$Q$85*(CG62-逐级计算!$P$85)*LN(10)/10),0)+LN(1+EXP(-ABS((LN(10^(逐级计算!$Q$85/10)-1)+逐级计算!$Q$85*(CG62-逐级计算!$P$85)*LN(10)/10))))))),"")</f>
        <v>13.7930365742089</v>
      </c>
      <c r="CI62">
        <f>IF(AND(ISNUMBER(CH62),逐级计算!$X$86&gt;-1),IF(逐级计算!$X$86=0,CH62+逐级计算!$C$86,CH62+逐级计算!$C$86-(10/(逐级计算!$Q$86*LN(10))*(MAX((LN(10^(逐级计算!$Q$86/10)-1)+逐级计算!$Q$86*(CH62-逐级计算!$P$86)*LN(10)/10),0)+LN(1+EXP(-ABS((LN(10^(逐级计算!$Q$86/10)-1)+逐级计算!$Q$86*(CH62-逐级计算!$P$86)*LN(10)/10))))))),"")</f>
        <v>13.7930365742089</v>
      </c>
      <c r="CJ62">
        <f>IF(AND(ISNUMBER(CI62),逐级计算!$X$87&gt;-1),IF(逐级计算!$X$87=0,CI62+逐级计算!$C$87,CI62+逐级计算!$C$87-(10/(逐级计算!$Q$87*LN(10))*(MAX((LN(10^(逐级计算!$Q$87/10)-1)+逐级计算!$Q$87*(CI62-逐级计算!$P$87)*LN(10)/10),0)+LN(1+EXP(-ABS((LN(10^(逐级计算!$Q$87/10)-1)+逐级计算!$Q$87*(CI62-逐级计算!$P$87)*LN(10)/10))))))),"")</f>
        <v>13.7930365742089</v>
      </c>
      <c r="CK62">
        <f>IF(AND(ISNUMBER(CJ62),逐级计算!$X$88&gt;-1),IF(逐级计算!$X$88=0,CJ62+逐级计算!$C$88,CJ62+逐级计算!$C$88-(10/(逐级计算!$Q$88*LN(10))*(MAX((LN(10^(逐级计算!$Q$88/10)-1)+逐级计算!$Q$88*(CJ62-逐级计算!$P$88)*LN(10)/10),0)+LN(1+EXP(-ABS((LN(10^(逐级计算!$Q$88/10)-1)+逐级计算!$Q$88*(CJ62-逐级计算!$P$88)*LN(10)/10))))))),"")</f>
        <v>13.7930365742089</v>
      </c>
      <c r="CL62">
        <f>IF(AND(ISNUMBER(CK62),逐级计算!$X$89&gt;-1),IF(逐级计算!$X$89=0,CK62+逐级计算!$C$89,CK62+逐级计算!$C$89-(10/(逐级计算!$Q$89*LN(10))*(MAX((LN(10^(逐级计算!$Q$89/10)-1)+逐级计算!$Q$89*(CK62-逐级计算!$P$89)*LN(10)/10),0)+LN(1+EXP(-ABS((LN(10^(逐级计算!$Q$89/10)-1)+逐级计算!$Q$89*(CK62-逐级计算!$P$89)*LN(10)/10))))))),"")</f>
        <v>13.7930365742089</v>
      </c>
      <c r="CM62">
        <f>IF(AND(ISNUMBER(CL62),逐级计算!$X$90&gt;-1),IF(逐级计算!$X$90=0,CL62+逐级计算!$C$90,CL62+逐级计算!$C$90-(10/(逐级计算!$Q$90*LN(10))*(MAX((LN(10^(逐级计算!$Q$90/10)-1)+逐级计算!$Q$90*(CL62-逐级计算!$P$90)*LN(10)/10),0)+LN(1+EXP(-ABS((LN(10^(逐级计算!$Q$90/10)-1)+逐级计算!$Q$90*(CL62-逐级计算!$P$90)*LN(10)/10))))))),"")</f>
        <v>13.7930365742089</v>
      </c>
      <c r="CN62">
        <f>IF(AND(ISNUMBER(CM62),逐级计算!$X$91&gt;-1),IF(逐级计算!$X$91=0,CM62+逐级计算!$C$91,CM62+逐级计算!$C$91-(10/(逐级计算!$Q$91*LN(10))*(MAX((LN(10^(逐级计算!$Q$91/10)-1)+逐级计算!$Q$91*(CM62-逐级计算!$P$91)*LN(10)/10),0)+LN(1+EXP(-ABS((LN(10^(逐级计算!$Q$91/10)-1)+逐级计算!$Q$91*(CM62-逐级计算!$P$91)*LN(10)/10))))))),"")</f>
        <v>13.7930365742089</v>
      </c>
      <c r="CO62">
        <f>IF(AND(ISNUMBER(CN62),逐级计算!$X$92&gt;-1),IF(逐级计算!$X$92=0,CN62+逐级计算!$C$92,CN62+逐级计算!$C$92-(10/(逐级计算!$Q$92*LN(10))*(MAX((LN(10^(逐级计算!$Q$92/10)-1)+逐级计算!$Q$92*(CN62-逐级计算!$P$92)*LN(10)/10),0)+LN(1+EXP(-ABS((LN(10^(逐级计算!$Q$92/10)-1)+逐级计算!$Q$92*(CN62-逐级计算!$P$92)*LN(10)/10))))))),"")</f>
        <v>13.7930365742089</v>
      </c>
      <c r="CP62">
        <f>IF(AND(ISNUMBER(CO62),逐级计算!$X$93&gt;-1),IF(逐级计算!$X$93=0,CO62+逐级计算!$C$93,CO62+逐级计算!$C$93-(10/(逐级计算!$Q$93*LN(10))*(MAX((LN(10^(逐级计算!$Q$93/10)-1)+逐级计算!$Q$93*(CO62-逐级计算!$P$93)*LN(10)/10),0)+LN(1+EXP(-ABS((LN(10^(逐级计算!$Q$93/10)-1)+逐级计算!$Q$93*(CO62-逐级计算!$P$93)*LN(10)/10))))))),"")</f>
        <v>13.7930365742089</v>
      </c>
      <c r="CQ62">
        <f>IF(AND(ISNUMBER(CP62),逐级计算!$X$94&gt;-1),IF(逐级计算!$X$94=0,CP62+逐级计算!$C$94,CP62+逐级计算!$C$94-(10/(逐级计算!$Q$94*LN(10))*(MAX((LN(10^(逐级计算!$Q$94/10)-1)+逐级计算!$Q$94*(CP62-逐级计算!$P$94)*LN(10)/10),0)+LN(1+EXP(-ABS((LN(10^(逐级计算!$Q$94/10)-1)+逐级计算!$Q$94*(CP62-逐级计算!$P$94)*LN(10)/10))))))),"")</f>
        <v>13.7930365742089</v>
      </c>
      <c r="CR62">
        <f>IF(AND(ISNUMBER(CQ62),逐级计算!$X$95&gt;-1),IF(逐级计算!$X$95=0,CQ62+逐级计算!$C$95,CQ62+逐级计算!$C$95-(10/(逐级计算!$Q$95*LN(10))*(MAX((LN(10^(逐级计算!$Q$95/10)-1)+逐级计算!$Q$95*(CQ62-逐级计算!$P$95)*LN(10)/10),0)+LN(1+EXP(-ABS((LN(10^(逐级计算!$Q$95/10)-1)+逐级计算!$Q$95*(CQ62-逐级计算!$P$95)*LN(10)/10))))))),"")</f>
        <v>13.7930365742089</v>
      </c>
      <c r="CS62">
        <f>IF(AND(ISNUMBER(CR62),逐级计算!$X$96&gt;-1),IF(逐级计算!$X$96=0,CR62+逐级计算!$C$96,CR62+逐级计算!$C$96-(10/(逐级计算!$Q$96*LN(10))*(MAX((LN(10^(逐级计算!$Q$96/10)-1)+逐级计算!$Q$96*(CR62-逐级计算!$P$96)*LN(10)/10),0)+LN(1+EXP(-ABS((LN(10^(逐级计算!$Q$96/10)-1)+逐级计算!$Q$96*(CR62-逐级计算!$P$96)*LN(10)/10))))))),"")</f>
        <v>13.7930365742089</v>
      </c>
      <c r="CT62">
        <f>IF(AND(ISNUMBER(CS62),逐级计算!$X$97&gt;-1),IF(逐级计算!$X$97=0,CS62+逐级计算!$C$97,CS62+逐级计算!$C$97-(10/(逐级计算!$Q$97*LN(10))*(MAX((LN(10^(逐级计算!$Q$97/10)-1)+逐级计算!$Q$97*(CS62-逐级计算!$P$97)*LN(10)/10),0)+LN(1+EXP(-ABS((LN(10^(逐级计算!$Q$97/10)-1)+逐级计算!$Q$97*(CS62-逐级计算!$P$97)*LN(10)/10))))))),"")</f>
        <v>13.7930365742089</v>
      </c>
      <c r="CU62">
        <f>IF(AND(ISNUMBER(CT62),逐级计算!$X$98&gt;-1),IF(逐级计算!$X$98=0,CT62+逐级计算!$C$98,CT62+逐级计算!$C$98-(10/(逐级计算!$Q$98*LN(10))*(MAX((LN(10^(逐级计算!$Q$98/10)-1)+逐级计算!$Q$98*(CT62-逐级计算!$P$98)*LN(10)/10),0)+LN(1+EXP(-ABS((LN(10^(逐级计算!$Q$98/10)-1)+逐级计算!$Q$98*(CT62-逐级计算!$P$98)*LN(10)/10))))))),"")</f>
        <v>13.7930365742089</v>
      </c>
      <c r="CV62">
        <f>IF(AND(ISNUMBER(CU62),逐级计算!$X$99&gt;-1),IF(逐级计算!$X$99=0,CU62+逐级计算!$C$99,CU62+逐级计算!$C$99-(10/(逐级计算!$Q$99*LN(10))*(MAX((LN(10^(逐级计算!$Q$99/10)-1)+逐级计算!$Q$99*(CU62-逐级计算!$P$99)*LN(10)/10),0)+LN(1+EXP(-ABS((LN(10^(逐级计算!$Q$99/10)-1)+逐级计算!$Q$99*(CU62-逐级计算!$P$99)*LN(10)/10))))))),"")</f>
        <v>13.7930365742089</v>
      </c>
      <c r="CW62">
        <f>IF(AND(ISNUMBER(CV62),逐级计算!$X$100&gt;-1),IF(逐级计算!$X$100=0,CV62+逐级计算!$C$100,CV62+逐级计算!$C$100-(10/(逐级计算!$Q$100*LN(10))*(MAX((LN(10^(逐级计算!$Q$100/10)-1)+逐级计算!$Q$100*(CV62-逐级计算!$P$100)*LN(10)/10),0)+LN(1+EXP(-ABS((LN(10^(逐级计算!$Q$100/10)-1)+逐级计算!$Q$100*(CV62-逐级计算!$P$100)*LN(10)/10))))))),"")</f>
        <v>13.7930365742089</v>
      </c>
      <c r="CX62">
        <f>IF(AND(ISNUMBER(CW62),逐级计算!$X$101&gt;-1),IF(逐级计算!$X$101=0,CW62+逐级计算!$C$101,CW62+逐级计算!$C$101-(10/(逐级计算!$Q$101*LN(10))*(MAX((LN(10^(逐级计算!$Q$101/10)-1)+逐级计算!$Q$101*(CW62-逐级计算!$P$101)*LN(10)/10),0)+LN(1+EXP(-ABS((LN(10^(逐级计算!$Q$101/10)-1)+逐级计算!$Q$101*(CW62-逐级计算!$P$101)*LN(10)/10))))))),"")</f>
        <v>13.7930365742089</v>
      </c>
      <c r="CY62">
        <f>IF(AND(ISNUMBER(CX62),逐级计算!$X$102&gt;-1),IF(逐级计算!$X$102=0,CX62+逐级计算!$C$102,CX62+逐级计算!$C$102-(10/(逐级计算!$Q$102*LN(10))*(MAX((LN(10^(逐级计算!$Q$102/10)-1)+逐级计算!$Q$102*(CX62-逐级计算!$P$102)*LN(10)/10),0)+LN(1+EXP(-ABS((LN(10^(逐级计算!$Q$102/10)-1)+逐级计算!$Q$102*(CX62-逐级计算!$P$102)*LN(10)/10))))))),"")</f>
        <v>13.7930365742089</v>
      </c>
      <c r="CZ62">
        <f>IF(AND(ISNUMBER(CY62),逐级计算!$X$103&gt;-1),IF(逐级计算!$X$103=0,CY62+逐级计算!$C$103,CY62+逐级计算!$C$103-(10/(逐级计算!$Q$103*LN(10))*(MAX((LN(10^(逐级计算!$Q$103/10)-1)+逐级计算!$Q$103*(CY62-逐级计算!$P$103)*LN(10)/10),0)+LN(1+EXP(-ABS((LN(10^(逐级计算!$Q$103/10)-1)+逐级计算!$Q$103*(CY62-逐级计算!$P$103)*LN(10)/10))))))),"")</f>
        <v>13.7930365742089</v>
      </c>
      <c r="DA62">
        <f>IF(AND(ISNUMBER(CZ62),逐级计算!$X$104&gt;-1),IF(逐级计算!$X$104=0,CZ62+逐级计算!$C$104,CZ62+逐级计算!$C$104-(10/(逐级计算!$Q$104*LN(10))*(MAX((LN(10^(逐级计算!$Q$104/10)-1)+逐级计算!$Q$104*(CZ62-逐级计算!$P$104)*LN(10)/10),0)+LN(1+EXP(-ABS((LN(10^(逐级计算!$Q$104/10)-1)+逐级计算!$Q$104*(CZ62-逐级计算!$P$104)*LN(10)/10))))))),"")</f>
        <v>13.7930365742089</v>
      </c>
      <c r="DB62">
        <f>IF(AND(ISNUMBER(DA62),逐级计算!$X$105&gt;-1),IF(逐级计算!$X$105=0,DA62+逐级计算!$C$105,DA62+逐级计算!$C$105-(10/(逐级计算!$Q$105*LN(10))*(MAX((LN(10^(逐级计算!$Q$105/10)-1)+逐级计算!$Q$105*(DA62-逐级计算!$P$105)*LN(10)/10),0)+LN(1+EXP(-ABS((LN(10^(逐级计算!$Q$105/10)-1)+逐级计算!$Q$105*(DA62-逐级计算!$P$105)*LN(10)/10))))))),"")</f>
        <v>13.7930365742089</v>
      </c>
      <c r="DC62">
        <f>IF(AND(ISNUMBER(DB62),逐级计算!$X$106&gt;-1),IF(逐级计算!$X$106=0,DB62+逐级计算!$C$106,DB62+逐级计算!$C$106-(10/(逐级计算!$Q$106*LN(10))*(MAX((LN(10^(逐级计算!$Q$106/10)-1)+逐级计算!$Q$106*(DB62-逐级计算!$P$106)*LN(10)/10),0)+LN(1+EXP(-ABS((LN(10^(逐级计算!$Q$106/10)-1)+逐级计算!$Q$106*(DB62-逐级计算!$P$106)*LN(10)/10))))))),"")</f>
        <v>13.7930365742089</v>
      </c>
      <c r="DD62">
        <f>IF(AND(ISNUMBER(DC62),逐级计算!$X$107&gt;-1),IF(逐级计算!$X$107=0,DC62+逐级计算!$C$107,DC62+逐级计算!$C$107-(10/(逐级计算!$Q$107*LN(10))*(MAX((LN(10^(逐级计算!$Q$107/10)-1)+逐级计算!$Q$107*(DC62-逐级计算!$P$107)*LN(10)/10),0)+LN(1+EXP(-ABS((LN(10^(逐级计算!$Q$107/10)-1)+逐级计算!$Q$107*(DC62-逐级计算!$P$107)*LN(10)/10))))))),"")</f>
        <v>13.7930365742089</v>
      </c>
      <c r="DE62">
        <f>IF(AND(ISNUMBER(DD62),逐级计算!$X$108&gt;-1),IF(逐级计算!$X$108=0,DD62+逐级计算!$C$108,DD62+逐级计算!$C$108-(10/(逐级计算!$Q$108*LN(10))*(MAX((LN(10^(逐级计算!$Q$108/10)-1)+逐级计算!$Q$108*(DD62-逐级计算!$P$108)*LN(10)/10),0)+LN(1+EXP(-ABS((LN(10^(逐级计算!$Q$108/10)-1)+逐级计算!$Q$108*(DD62-逐级计算!$P$108)*LN(10)/10))))))),"")</f>
        <v>13.7930365742089</v>
      </c>
      <c r="DF62">
        <f>IF(AND(ISNUMBER(DE62),逐级计算!$X$109&gt;-1),IF(逐级计算!$X$109=0,DE62+逐级计算!$C$109,DE62+逐级计算!$C$109-(10/(逐级计算!$Q$109*LN(10))*(MAX((LN(10^(逐级计算!$Q$109/10)-1)+逐级计算!$Q$109*(DE62-逐级计算!$P$109)*LN(10)/10),0)+LN(1+EXP(-ABS((LN(10^(逐级计算!$Q$109/10)-1)+逐级计算!$Q$109*(DE62-逐级计算!$P$109)*LN(10)/10))))))),"")</f>
        <v>13.7930365742089</v>
      </c>
      <c r="DG62">
        <f>IF(AND(ISNUMBER(DF62),逐级计算!$X$110&gt;-1),IF(逐级计算!$X$110=0,DF62+逐级计算!$C$110,DF62+逐级计算!$C$110-(10/(逐级计算!$Q$110*LN(10))*(MAX((LN(10^(逐级计算!$Q$110/10)-1)+逐级计算!$Q$110*(DF62-逐级计算!$P$110)*LN(10)/10),0)+LN(1+EXP(-ABS((LN(10^(逐级计算!$Q$110/10)-1)+逐级计算!$Q$110*(DF62-逐级计算!$P$110)*LN(10)/10))))))),"")</f>
        <v>13.7930365742089</v>
      </c>
      <c r="DH62">
        <f>IF(AND(ISNUMBER(DG62),逐级计算!$X$111&gt;-1),IF(逐级计算!$X$111=0,DG62+逐级计算!$C$111,DG62+逐级计算!$C$111-(10/(逐级计算!$Q$111*LN(10))*(MAX((LN(10^(逐级计算!$Q$111/10)-1)+逐级计算!$Q$111*(DG62-逐级计算!$P$111)*LN(10)/10),0)+LN(1+EXP(-ABS((LN(10^(逐级计算!$Q$111/10)-1)+逐级计算!$Q$111*(DG62-逐级计算!$P$111)*LN(10)/10))))))),"")</f>
        <v>13.7930365742089</v>
      </c>
      <c r="DI62">
        <f>IF(AND(ISNUMBER(DH62),逐级计算!$X$112&gt;-1),IF(逐级计算!$X$112=0,DH62+逐级计算!$C$112,DH62+逐级计算!$C$112-(10/(逐级计算!$Q$112*LN(10))*(MAX((LN(10^(逐级计算!$Q$112/10)-1)+逐级计算!$Q$112*(DH62-逐级计算!$P$112)*LN(10)/10),0)+LN(1+EXP(-ABS((LN(10^(逐级计算!$Q$112/10)-1)+逐级计算!$Q$112*(DH62-逐级计算!$P$112)*LN(10)/10))))))),"")</f>
        <v>13.7930365742089</v>
      </c>
      <c r="DJ62">
        <f>IF(AND(ISNUMBER(DI62),逐级计算!$X$113&gt;-1),IF(逐级计算!$X$113=0,DI62+逐级计算!$C$113,DI62+逐级计算!$C$113-(10/(逐级计算!$Q$113*LN(10))*(MAX((LN(10^(逐级计算!$Q$113/10)-1)+逐级计算!$Q$113*(DI62-逐级计算!$P$113)*LN(10)/10),0)+LN(1+EXP(-ABS((LN(10^(逐级计算!$Q$113/10)-1)+逐级计算!$Q$113*(DI62-逐级计算!$P$113)*LN(10)/10))))))),"")</f>
        <v>13.7930365742089</v>
      </c>
      <c r="DK62">
        <f>IF(AND(ISNUMBER(DJ62),逐级计算!$X$114&gt;-1),IF(逐级计算!$X$114=0,DJ62+逐级计算!$C$114,DJ62+逐级计算!$C$114-(10/(逐级计算!$Q$114*LN(10))*(MAX((LN(10^(逐级计算!$Q$114/10)-1)+逐级计算!$Q$114*(DJ62-逐级计算!$P$114)*LN(10)/10),0)+LN(1+EXP(-ABS((LN(10^(逐级计算!$Q$114/10)-1)+逐级计算!$Q$114*(DJ62-逐级计算!$P$114)*LN(10)/10))))))),"")</f>
        <v>13.7930365742089</v>
      </c>
      <c r="DL62">
        <f>IF(AND(ISNUMBER(DK62),逐级计算!$X$115&gt;-1),IF(逐级计算!$X$115=0,DK62+逐级计算!$C$115,DK62+逐级计算!$C$115-(10/(逐级计算!$Q$115*LN(10))*(MAX((LN(10^(逐级计算!$Q$115/10)-1)+逐级计算!$Q$115*(DK62-逐级计算!$P$115)*LN(10)/10),0)+LN(1+EXP(-ABS((LN(10^(逐级计算!$Q$115/10)-1)+逐级计算!$Q$115*(DK62-逐级计算!$P$115)*LN(10)/10))))))),"")</f>
        <v>13.7930365742089</v>
      </c>
      <c r="DM62">
        <f>IF(AND(ISNUMBER(DL62),逐级计算!$X$116&gt;-1),IF(逐级计算!$X$116=0,DL62+逐级计算!$C$116,DL62+逐级计算!$C$116-(10/(逐级计算!$Q$116*LN(10))*(MAX((LN(10^(逐级计算!$Q$116/10)-1)+逐级计算!$Q$116*(DL62-逐级计算!$P$116)*LN(10)/10),0)+LN(1+EXP(-ABS((LN(10^(逐级计算!$Q$116/10)-1)+逐级计算!$Q$116*(DL62-逐级计算!$P$116)*LN(10)/10))))))),"")</f>
        <v>13.7930365742089</v>
      </c>
      <c r="DN62">
        <f>IF(AND(ISNUMBER(DM62),逐级计算!$X$117&gt;-1),IF(逐级计算!$X$117=0,DM62+逐级计算!$C$117,DM62+逐级计算!$C$117-(10/(逐级计算!$Q$117*LN(10))*(MAX((LN(10^(逐级计算!$Q$117/10)-1)+逐级计算!$Q$117*(DM62-逐级计算!$P$117)*LN(10)/10),0)+LN(1+EXP(-ABS((LN(10^(逐级计算!$Q$117/10)-1)+逐级计算!$Q$117*(DM62-逐级计算!$P$117)*LN(10)/10))))))),"")</f>
        <v>13.7930365742089</v>
      </c>
      <c r="DO62">
        <f>IF(AND(ISNUMBER(DN62),逐级计算!$X$118&gt;-1),IF(逐级计算!$X$118=0,DN62+逐级计算!$C$118,DN62+逐级计算!$C$118-(10/(逐级计算!$Q$118*LN(10))*(MAX((LN(10^(逐级计算!$Q$118/10)-1)+逐级计算!$Q$118*(DN62-逐级计算!$P$118)*LN(10)/10),0)+LN(1+EXP(-ABS((LN(10^(逐级计算!$Q$118/10)-1)+逐级计算!$Q$118*(DN62-逐级计算!$P$118)*LN(10)/10))))))),"")</f>
        <v>13.7930365742089</v>
      </c>
      <c r="DP62">
        <f>IF(AND(ISNUMBER(DO62),逐级计算!$X$119&gt;-1),IF(逐级计算!$X$119=0,DO62+逐级计算!$C$119,DO62+逐级计算!$C$119-(10/(逐级计算!$Q$119*LN(10))*(MAX((LN(10^(逐级计算!$Q$119/10)-1)+逐级计算!$Q$119*(DO62-逐级计算!$P$119)*LN(10)/10),0)+LN(1+EXP(-ABS((LN(10^(逐级计算!$Q$119/10)-1)+逐级计算!$Q$119*(DO62-逐级计算!$P$119)*LN(10)/10))))))),"")</f>
        <v>13.7930365742089</v>
      </c>
      <c r="DQ62">
        <f>IF(AND(ISNUMBER(DP62),逐级计算!$X$120&gt;-1),IF(逐级计算!$X$120=0,DP62+逐级计算!$C$120,DP62+逐级计算!$C$120-(10/(逐级计算!$Q$120*LN(10))*(MAX((LN(10^(逐级计算!$Q$120/10)-1)+逐级计算!$Q$120*(DP62-逐级计算!$P$120)*LN(10)/10),0)+LN(1+EXP(-ABS((LN(10^(逐级计算!$Q$120/10)-1)+逐级计算!$Q$120*(DP62-逐级计算!$P$120)*LN(10)/10))))))),"")</f>
        <v>13.7930365742089</v>
      </c>
      <c r="DR62">
        <f>IF(AND(ISNUMBER(DQ62),逐级计算!$X$121&gt;-1),IF(逐级计算!$X$121=0,DQ62+逐级计算!$C$121,DQ62+逐级计算!$C$121-(10/(逐级计算!$Q$121*LN(10))*(MAX((LN(10^(逐级计算!$Q$121/10)-1)+逐级计算!$Q$121*(DQ62-逐级计算!$P$121)*LN(10)/10),0)+LN(1+EXP(-ABS((LN(10^(逐级计算!$Q$121/10)-1)+逐级计算!$Q$121*(DQ62-逐级计算!$P$121)*LN(10)/10))))))),"")</f>
        <v>13.7930365742089</v>
      </c>
      <c r="DS62">
        <f>IF(AND(ISNUMBER(DR62),逐级计算!$X$122&gt;-1),IF(逐级计算!$X$122=0,DR62+逐级计算!$C$122,DR62+逐级计算!$C$122-(10/(逐级计算!$Q$122*LN(10))*(MAX((LN(10^(逐级计算!$Q$122/10)-1)+逐级计算!$Q$122*(DR62-逐级计算!$P$122)*LN(10)/10),0)+LN(1+EXP(-ABS((LN(10^(逐级计算!$Q$122/10)-1)+逐级计算!$Q$122*(DR62-逐级计算!$P$122)*LN(10)/10))))))),"")</f>
        <v>13.7930365742089</v>
      </c>
      <c r="DT62">
        <f>IF(AND(ISNUMBER(DS62),逐级计算!$X$123&gt;-1),IF(逐级计算!$X$123=0,DS62+逐级计算!$C$123,DS62+逐级计算!$C$123-(10/(逐级计算!$Q$123*LN(10))*(MAX((LN(10^(逐级计算!$Q$123/10)-1)+逐级计算!$Q$123*(DS62-逐级计算!$P$123)*LN(10)/10),0)+LN(1+EXP(-ABS((LN(10^(逐级计算!$Q$123/10)-1)+逐级计算!$Q$123*(DS62-逐级计算!$P$123)*LN(10)/10))))))),"")</f>
        <v>13.7930365742089</v>
      </c>
      <c r="DU62">
        <f>IF(AND(ISNUMBER(DT62),逐级计算!$X$124&gt;-1),IF(逐级计算!$X$124=0,DT62+逐级计算!$C$124,DT62+逐级计算!$C$124-(10/(逐级计算!$Q$124*LN(10))*(MAX((LN(10^(逐级计算!$Q$124/10)-1)+逐级计算!$Q$124*(DT62-逐级计算!$P$124)*LN(10)/10),0)+LN(1+EXP(-ABS((LN(10^(逐级计算!$Q$124/10)-1)+逐级计算!$Q$124*(DT62-逐级计算!$P$124)*LN(10)/10))))))),"")</f>
        <v>13.7930365742089</v>
      </c>
      <c r="DV62">
        <f>IF(AND(ISNUMBER(DU62),逐级计算!$X$125&gt;-1),IF(逐级计算!$X$125=0,DU62+逐级计算!$C$125,DU62+逐级计算!$C$125-(10/(逐级计算!$Q$125*LN(10))*(MAX((LN(10^(逐级计算!$Q$125/10)-1)+逐级计算!$Q$125*(DU62-逐级计算!$P$125)*LN(10)/10),0)+LN(1+EXP(-ABS((LN(10^(逐级计算!$Q$125/10)-1)+逐级计算!$Q$125*(DU62-逐级计算!$P$125)*LN(10)/10))))))),"")</f>
        <v>13.7930365742089</v>
      </c>
      <c r="DW62">
        <f>IF(AND(ISNUMBER(DV62),逐级计算!$X$126&gt;-1),IF(逐级计算!$X$126=0,DV62+逐级计算!$C$126,DV62+逐级计算!$C$126-(10/(逐级计算!$Q$126*LN(10))*(MAX((LN(10^(逐级计算!$Q$126/10)-1)+逐级计算!$Q$126*(DV62-逐级计算!$P$126)*LN(10)/10),0)+LN(1+EXP(-ABS((LN(10^(逐级计算!$Q$126/10)-1)+逐级计算!$Q$126*(DV62-逐级计算!$P$126)*LN(10)/10))))))),"")</f>
        <v>13.7930365742089</v>
      </c>
      <c r="DX62">
        <f>IF(AND(ISNUMBER(DW62),逐级计算!$X$127&gt;-1),IF(逐级计算!$X$127=0,DW62+逐级计算!$C$127,DW62+逐级计算!$C$127-(10/(逐级计算!$Q$127*LN(10))*(MAX((LN(10^(逐级计算!$Q$127/10)-1)+逐级计算!$Q$127*(DW62-逐级计算!$P$127)*LN(10)/10),0)+LN(1+EXP(-ABS((LN(10^(逐级计算!$Q$127/10)-1)+逐级计算!$Q$127*(DW62-逐级计算!$P$127)*LN(10)/10))))))),"")</f>
        <v>13.7930365742089</v>
      </c>
      <c r="DY62">
        <f>IF(AND(ISNUMBER(DX62),逐级计算!$X$128&gt;-1),IF(逐级计算!$X$128=0,DX62+逐级计算!$C$128,DX62+逐级计算!$C$128-(10/(逐级计算!$Q$128*LN(10))*(MAX((LN(10^(逐级计算!$Q$128/10)-1)+逐级计算!$Q$128*(DX62-逐级计算!$P$128)*LN(10)/10),0)+LN(1+EXP(-ABS((LN(10^(逐级计算!$Q$128/10)-1)+逐级计算!$Q$128*(DX62-逐级计算!$P$128)*LN(10)/10))))))),"")</f>
        <v>13.7930365742089</v>
      </c>
      <c r="DZ62">
        <f>IF(AND(ISNUMBER(DY62),逐级计算!$X$129&gt;-1),IF(逐级计算!$X$129=0,DY62+逐级计算!$C$129,DY62+逐级计算!$C$129-(10/(逐级计算!$Q$129*LN(10))*(MAX((LN(10^(逐级计算!$Q$129/10)-1)+逐级计算!$Q$129*(DY62-逐级计算!$P$129)*LN(10)/10),0)+LN(1+EXP(-ABS((LN(10^(逐级计算!$Q$129/10)-1)+逐级计算!$Q$129*(DY62-逐级计算!$P$129)*LN(10)/10))))))),"")</f>
        <v>13.7930365742089</v>
      </c>
      <c r="EA62">
        <f>IF(AND(ISNUMBER(DZ62),逐级计算!$X$130&gt;-1),IF(逐级计算!$X$130=0,DZ62+逐级计算!$C$130,DZ62+逐级计算!$C$130-(10/(逐级计算!$Q$130*LN(10))*(MAX((LN(10^(逐级计算!$Q$130/10)-1)+逐级计算!$Q$130*(DZ62-逐级计算!$P$130)*LN(10)/10),0)+LN(1+EXP(-ABS((LN(10^(逐级计算!$Q$130/10)-1)+逐级计算!$Q$130*(DZ62-逐级计算!$P$130)*LN(10)/10))))))),"")</f>
        <v>13.7930365742089</v>
      </c>
      <c r="EB62">
        <f>IF(AND(ISNUMBER(EA62),逐级计算!$X$131&gt;-1),IF(逐级计算!$X$131=0,EA62+逐级计算!$C$131,EA62+逐级计算!$C$131-(10/(逐级计算!$Q$131*LN(10))*(MAX((LN(10^(逐级计算!$Q$131/10)-1)+逐级计算!$Q$131*(EA62-逐级计算!$P$131)*LN(10)/10),0)+LN(1+EXP(-ABS((LN(10^(逐级计算!$Q$131/10)-1)+逐级计算!$Q$131*(EA62-逐级计算!$P$131)*LN(10)/10))))))),"")</f>
        <v>13.7930365742089</v>
      </c>
      <c r="EC62">
        <f>IF(AND(ISNUMBER(EB62),逐级计算!$X$132&gt;-1),IF(逐级计算!$X$132=0,EB62+逐级计算!$C$132,EB62+逐级计算!$C$132-(10/(逐级计算!$Q$132*LN(10))*(MAX((LN(10^(逐级计算!$Q$132/10)-1)+逐级计算!$Q$132*(EB62-逐级计算!$P$132)*LN(10)/10),0)+LN(1+EXP(-ABS((LN(10^(逐级计算!$Q$132/10)-1)+逐级计算!$Q$132*(EB62-逐级计算!$P$132)*LN(10)/10))))))),"")</f>
        <v>13.7930365742089</v>
      </c>
      <c r="ED62">
        <f>IF(AND(ISNUMBER(EC62),逐级计算!$X$133&gt;-1),IF(逐级计算!$X$133=0,EC62+逐级计算!$C$133,EC62+逐级计算!$C$133-(10/(逐级计算!$Q$133*LN(10))*(MAX((LN(10^(逐级计算!$Q$133/10)-1)+逐级计算!$Q$133*(EC62-逐级计算!$P$133)*LN(10)/10),0)+LN(1+EXP(-ABS((LN(10^(逐级计算!$Q$133/10)-1)+逐级计算!$Q$133*(EC62-逐级计算!$P$133)*LN(10)/10))))))),"")</f>
        <v>13.7930365742089</v>
      </c>
      <c r="EE62">
        <f>IF(AND(ISNUMBER(ED62),逐级计算!$X$134&gt;-1),IF(逐级计算!$X$134=0,ED62+逐级计算!$C$134,ED62+逐级计算!$C$134-(10/(逐级计算!$Q$134*LN(10))*(MAX((LN(10^(逐级计算!$Q$134/10)-1)+逐级计算!$Q$134*(ED62-逐级计算!$P$134)*LN(10)/10),0)+LN(1+EXP(-ABS((LN(10^(逐级计算!$Q$134/10)-1)+逐级计算!$Q$134*(ED62-逐级计算!$P$134)*LN(10)/10))))))),"")</f>
        <v>13.7930365742089</v>
      </c>
      <c r="EF62">
        <f>IF(AND(ISNUMBER(EE62),逐级计算!$X$135&gt;-1),IF(逐级计算!$X$135=0,EE62+逐级计算!$C$135,EE62+逐级计算!$C$135-(10/(逐级计算!$Q$135*LN(10))*(MAX((LN(10^(逐级计算!$Q$135/10)-1)+逐级计算!$Q$135*(EE62-逐级计算!$P$135)*LN(10)/10),0)+LN(1+EXP(-ABS((LN(10^(逐级计算!$Q$135/10)-1)+逐级计算!$Q$135*(EE62-逐级计算!$P$135)*LN(10)/10))))))),"")</f>
        <v>13.7930365742089</v>
      </c>
      <c r="EG62">
        <f>IF(AND(ISNUMBER(EF62),逐级计算!$X$136&gt;-1),IF(逐级计算!$X$136=0,EF62+逐级计算!$C$136,EF62+逐级计算!$C$136-(10/(逐级计算!$Q$136*LN(10))*(MAX((LN(10^(逐级计算!$Q$136/10)-1)+逐级计算!$Q$136*(EF62-逐级计算!$P$136)*LN(10)/10),0)+LN(1+EXP(-ABS((LN(10^(逐级计算!$Q$136/10)-1)+逐级计算!$Q$136*(EF62-逐级计算!$P$136)*LN(10)/10))))))),"")</f>
        <v>13.7930365742089</v>
      </c>
      <c r="EH62">
        <f>IF(AND(ISNUMBER(EG62),逐级计算!$X$137&gt;-1),IF(逐级计算!$X$137=0,EG62+逐级计算!$C$137,EG62+逐级计算!$C$137-(10/(逐级计算!$Q$137*LN(10))*(MAX((LN(10^(逐级计算!$Q$137/10)-1)+逐级计算!$Q$137*(EG62-逐级计算!$P$137)*LN(10)/10),0)+LN(1+EXP(-ABS((LN(10^(逐级计算!$Q$137/10)-1)+逐级计算!$Q$137*(EG62-逐级计算!$P$137)*LN(10)/10))))))),"")</f>
        <v>13.7930365742089</v>
      </c>
      <c r="EI62">
        <f>IF(AND(ISNUMBER(EH62),逐级计算!$X$138&gt;-1),IF(逐级计算!$X$138=0,EH62+逐级计算!$C$138,EH62+逐级计算!$C$138-(10/(逐级计算!$Q$138*LN(10))*(MAX((LN(10^(逐级计算!$Q$138/10)-1)+逐级计算!$Q$138*(EH62-逐级计算!$P$138)*LN(10)/10),0)+LN(1+EXP(-ABS((LN(10^(逐级计算!$Q$138/10)-1)+逐级计算!$Q$138*(EH62-逐级计算!$P$138)*LN(10)/10))))))),"")</f>
        <v>13.7930365742089</v>
      </c>
      <c r="EJ62">
        <f>IF(AND(ISNUMBER(EI62),逐级计算!$X$139&gt;-1),IF(逐级计算!$X$139=0,EI62+逐级计算!$C$139,EI62+逐级计算!$C$139-(10/(逐级计算!$Q$139*LN(10))*(MAX((LN(10^(逐级计算!$Q$139/10)-1)+逐级计算!$Q$139*(EI62-逐级计算!$P$139)*LN(10)/10),0)+LN(1+EXP(-ABS((LN(10^(逐级计算!$Q$139/10)-1)+逐级计算!$Q$139*(EI62-逐级计算!$P$139)*LN(10)/10))))))),"")</f>
        <v>13.7930365742089</v>
      </c>
      <c r="EK62">
        <f>IF(AND(ISNUMBER(EJ62),逐级计算!$X$140&gt;-1),IF(逐级计算!$X$140=0,EJ62+逐级计算!$C$140,EJ62+逐级计算!$C$140-(10/(逐级计算!$Q$140*LN(10))*(MAX((LN(10^(逐级计算!$Q$140/10)-1)+逐级计算!$Q$140*(EJ62-逐级计算!$P$140)*LN(10)/10),0)+LN(1+EXP(-ABS((LN(10^(逐级计算!$Q$140/10)-1)+逐级计算!$Q$140*(EJ62-逐级计算!$P$140)*LN(10)/10))))))),"")</f>
        <v>13.7930365742089</v>
      </c>
      <c r="EL62">
        <f>IF(AND(ISNUMBER(EK62),逐级计算!$X$141&gt;-1),IF(逐级计算!$X$141=0,EK62+逐级计算!$C$141,EK62+逐级计算!$C$141-(10/(逐级计算!$Q$141*LN(10))*(MAX((LN(10^(逐级计算!$Q$141/10)-1)+逐级计算!$Q$141*(EK62-逐级计算!$P$141)*LN(10)/10),0)+LN(1+EXP(-ABS((LN(10^(逐级计算!$Q$141/10)-1)+逐级计算!$Q$141*(EK62-逐级计算!$P$141)*LN(10)/10))))))),"")</f>
        <v>13.7930365742089</v>
      </c>
      <c r="EM62">
        <f>IF(AND(ISNUMBER(EL62),逐级计算!$X$142&gt;-1),IF(逐级计算!$X$142=0,EL62+逐级计算!$C$142,EL62+逐级计算!$C$142-(10/(逐级计算!$Q$142*LN(10))*(MAX((LN(10^(逐级计算!$Q$142/10)-1)+逐级计算!$Q$142*(EL62-逐级计算!$P$142)*LN(10)/10),0)+LN(1+EXP(-ABS((LN(10^(逐级计算!$Q$142/10)-1)+逐级计算!$Q$142*(EL62-逐级计算!$P$142)*LN(10)/10))))))),"")</f>
        <v>13.7930365742089</v>
      </c>
      <c r="EN62">
        <f>IF(AND(ISNUMBER(EM62),逐级计算!$X$143&gt;-1),IF(逐级计算!$X$143=0,EM62+逐级计算!$C$143,EM62+逐级计算!$C$143-(10/(逐级计算!$Q$143*LN(10))*(MAX((LN(10^(逐级计算!$Q$143/10)-1)+逐级计算!$Q$143*(EM62-逐级计算!$P$143)*LN(10)/10),0)+LN(1+EXP(-ABS((LN(10^(逐级计算!$Q$143/10)-1)+逐级计算!$Q$143*(EM62-逐级计算!$P$143)*LN(10)/10))))))),"")</f>
        <v>13.7930365742089</v>
      </c>
      <c r="EO62">
        <f>IF(AND(ISNUMBER(EN62),逐级计算!$X$144&gt;-1),IF(逐级计算!$X$144=0,EN62+逐级计算!$C$144,EN62+逐级计算!$C$144-(10/(逐级计算!$Q$144*LN(10))*(MAX((LN(10^(逐级计算!$Q$144/10)-1)+逐级计算!$Q$144*(EN62-逐级计算!$P$144)*LN(10)/10),0)+LN(1+EXP(-ABS((LN(10^(逐级计算!$Q$144/10)-1)+逐级计算!$Q$144*(EN62-逐级计算!$P$144)*LN(10)/10))))))),"")</f>
        <v>13.7930365742089</v>
      </c>
      <c r="EP62">
        <f>IF(AND(ISNUMBER(EO62),逐级计算!$X$145&gt;-1),IF(逐级计算!$X$145=0,EO62+逐级计算!$C$145,EO62+逐级计算!$C$145-(10/(逐级计算!$Q$145*LN(10))*(MAX((LN(10^(逐级计算!$Q$145/10)-1)+逐级计算!$Q$145*(EO62-逐级计算!$P$145)*LN(10)/10),0)+LN(1+EXP(-ABS((LN(10^(逐级计算!$Q$145/10)-1)+逐级计算!$Q$145*(EO62-逐级计算!$P$145)*LN(10)/10))))))),"")</f>
        <v>13.7930365742089</v>
      </c>
      <c r="EQ62">
        <f>IF(AND(ISNUMBER(EP62),逐级计算!$X$146&gt;-1),IF(逐级计算!$X$146=0,EP62+逐级计算!$C$146,EP62+逐级计算!$C$146-(10/(逐级计算!$Q$146*LN(10))*(MAX((LN(10^(逐级计算!$Q$146/10)-1)+逐级计算!$Q$146*(EP62-逐级计算!$P$146)*LN(10)/10),0)+LN(1+EXP(-ABS((LN(10^(逐级计算!$Q$146/10)-1)+逐级计算!$Q$146*(EP62-逐级计算!$P$146)*LN(10)/10))))))),"")</f>
        <v>13.7930365742089</v>
      </c>
      <c r="ER62">
        <f>IF(AND(ISNUMBER(EQ62),逐级计算!$X$147&gt;-1),IF(逐级计算!$X$147=0,EQ62+逐级计算!$C$147,EQ62+逐级计算!$C$147-(10/(逐级计算!$Q$147*LN(10))*(MAX((LN(10^(逐级计算!$Q$147/10)-1)+逐级计算!$Q$147*(EQ62-逐级计算!$P$147)*LN(10)/10),0)+LN(1+EXP(-ABS((LN(10^(逐级计算!$Q$147/10)-1)+逐级计算!$Q$147*(EQ62-逐级计算!$P$147)*LN(10)/10))))))),"")</f>
        <v>13.7930365742089</v>
      </c>
      <c r="ES62">
        <f>IF(AND(ISNUMBER(ER62),逐级计算!$X$148&gt;-1),IF(逐级计算!$X$148=0,ER62+逐级计算!$C$148,ER62+逐级计算!$C$148-(10/(逐级计算!$Q$148*LN(10))*(MAX((LN(10^(逐级计算!$Q$148/10)-1)+逐级计算!$Q$148*(ER62-逐级计算!$P$148)*LN(10)/10),0)+LN(1+EXP(-ABS((LN(10^(逐级计算!$Q$148/10)-1)+逐级计算!$Q$148*(ER62-逐级计算!$P$148)*LN(10)/10))))))),"")</f>
        <v>13.7930365742089</v>
      </c>
      <c r="ET62">
        <f>IF(AND(ISNUMBER(ES62),逐级计算!$X$149&gt;-1),IF(逐级计算!$X$149=0,ES62+逐级计算!$C$149,ES62+逐级计算!$C$149-(10/(逐级计算!$Q$149*LN(10))*(MAX((LN(10^(逐级计算!$Q$149/10)-1)+逐级计算!$Q$149*(ES62-逐级计算!$P$149)*LN(10)/10),0)+LN(1+EXP(-ABS((LN(10^(逐级计算!$Q$149/10)-1)+逐级计算!$Q$149*(ES62-逐级计算!$P$149)*LN(10)/10))))))),"")</f>
        <v>13.7930365742089</v>
      </c>
      <c r="EU62">
        <f>IF(AND(ISNUMBER(ET62),逐级计算!$X$150&gt;-1),IF(逐级计算!$X$150=0,ET62+逐级计算!$C$150,ET62+逐级计算!$C$150-(10/(逐级计算!$Q$150*LN(10))*(MAX((LN(10^(逐级计算!$Q$150/10)-1)+逐级计算!$Q$150*(ET62-逐级计算!$P$150)*LN(10)/10),0)+LN(1+EXP(-ABS((LN(10^(逐级计算!$Q$150/10)-1)+逐级计算!$Q$150*(ET62-逐级计算!$P$150)*LN(10)/10))))))),"")</f>
        <v>13.7930365742089</v>
      </c>
      <c r="EV62">
        <f>IF(AND(ISNUMBER(EU62),逐级计算!$X$151&gt;-1),IF(逐级计算!$X$151=0,EU62+逐级计算!$C$151,EU62+逐级计算!$C$151-(10/(逐级计算!$Q$151*LN(10))*(MAX((LN(10^(逐级计算!$Q$151/10)-1)+逐级计算!$Q$151*(EU62-逐级计算!$P$151)*LN(10)/10),0)+LN(1+EXP(-ABS((LN(10^(逐级计算!$Q$151/10)-1)+逐级计算!$Q$151*(EU62-逐级计算!$P$151)*LN(10)/10))))))),"")</f>
        <v>13.7930365742089</v>
      </c>
      <c r="EW62">
        <f>IF(AND(ISNUMBER(EV62),逐级计算!$X$152&gt;-1),IF(逐级计算!$X$152=0,EV62+逐级计算!$C$152,EV62+逐级计算!$C$152-(10/(逐级计算!$Q$152*LN(10))*(MAX((LN(10^(逐级计算!$Q$152/10)-1)+逐级计算!$Q$152*(EV62-逐级计算!$P$152)*LN(10)/10),0)+LN(1+EXP(-ABS((LN(10^(逐级计算!$Q$152/10)-1)+逐级计算!$Q$152*(EV62-逐级计算!$P$152)*LN(10)/10))))))),"")</f>
        <v>13.7930365742089</v>
      </c>
      <c r="EX62">
        <f>IF(AND(ISNUMBER(EW62),逐级计算!$X$153&gt;-1),IF(逐级计算!$X$153=0,EW62+逐级计算!$C$153,EW62+逐级计算!$C$153-(10/(逐级计算!$Q$153*LN(10))*(MAX((LN(10^(逐级计算!$Q$153/10)-1)+逐级计算!$Q$153*(EW62-逐级计算!$P$153)*LN(10)/10),0)+LN(1+EXP(-ABS((LN(10^(逐级计算!$Q$153/10)-1)+逐级计算!$Q$153*(EW62-逐级计算!$P$153)*LN(10)/10))))))),"")</f>
        <v>13.7930365742089</v>
      </c>
      <c r="EY62">
        <f>IF(AND(ISNUMBER(EX62),逐级计算!$X$154&gt;-1),IF(逐级计算!$X$154=0,EX62+逐级计算!$C$154,EX62+逐级计算!$C$154-(10/(逐级计算!$Q$154*LN(10))*(MAX((LN(10^(逐级计算!$Q$154/10)-1)+逐级计算!$Q$154*(EX62-逐级计算!$P$154)*LN(10)/10),0)+LN(1+EXP(-ABS((LN(10^(逐级计算!$Q$154/10)-1)+逐级计算!$Q$154*(EX62-逐级计算!$P$154)*LN(10)/10))))))),"")</f>
        <v>13.7930365742089</v>
      </c>
      <c r="EZ62">
        <f>IF(AND(ISNUMBER(EY62),逐级计算!$X$155&gt;-1),IF(逐级计算!$X$155=0,EY62+逐级计算!$C$155,EY62+逐级计算!$C$155-(10/(逐级计算!$Q$155*LN(10))*(MAX((LN(10^(逐级计算!$Q$155/10)-1)+逐级计算!$Q$155*(EY62-逐级计算!$P$155)*LN(10)/10),0)+LN(1+EXP(-ABS((LN(10^(逐级计算!$Q$155/10)-1)+逐级计算!$Q$155*(EY62-逐级计算!$P$155)*LN(10)/10))))))),"")</f>
        <v>13.7930365742089</v>
      </c>
      <c r="FA62">
        <f>IF(AND(ISNUMBER(EZ62),逐级计算!$X$156&gt;-1),IF(逐级计算!$X$156=0,EZ62+逐级计算!$C$156,EZ62+逐级计算!$C$156-(10/(逐级计算!$Q$156*LN(10))*(MAX((LN(10^(逐级计算!$Q$156/10)-1)+逐级计算!$Q$156*(EZ62-逐级计算!$P$156)*LN(10)/10),0)+LN(1+EXP(-ABS((LN(10^(逐级计算!$Q$156/10)-1)+逐级计算!$Q$156*(EZ62-逐级计算!$P$156)*LN(10)/10))))))),"")</f>
        <v>13.7930365742089</v>
      </c>
      <c r="FB62">
        <f>IF(AND(ISNUMBER(FA62),逐级计算!$X$157&gt;-1),IF(逐级计算!$X$157=0,FA62+逐级计算!$C$157,FA62+逐级计算!$C$157-(10/(逐级计算!$Q$157*LN(10))*(MAX((LN(10^(逐级计算!$Q$157/10)-1)+逐级计算!$Q$157*(FA62-逐级计算!$P$157)*LN(10)/10),0)+LN(1+EXP(-ABS((LN(10^(逐级计算!$Q$157/10)-1)+逐级计算!$Q$157*(FA62-逐级计算!$P$157)*LN(10)/10))))))),"")</f>
        <v>13.7930365742089</v>
      </c>
      <c r="FC62">
        <f>IF(AND(ISNUMBER(FB62),逐级计算!$X$158&gt;-1),IF(逐级计算!$X$158=0,FB62+逐级计算!$C$158,FB62+逐级计算!$C$158-(10/(逐级计算!$Q$158*LN(10))*(MAX((LN(10^(逐级计算!$Q$158/10)-1)+逐级计算!$Q$158*(FB62-逐级计算!$P$158)*LN(10)/10),0)+LN(1+EXP(-ABS((LN(10^(逐级计算!$Q$158/10)-1)+逐级计算!$Q$158*(FB62-逐级计算!$P$158)*LN(10)/10))))))),"")</f>
        <v>13.7930365742089</v>
      </c>
      <c r="FD62">
        <f>IF(AND(ISNUMBER(FC62),逐级计算!$X$159&gt;-1),IF(逐级计算!$X$159=0,FC62+逐级计算!$C$159,FC62+逐级计算!$C$159-(10/(逐级计算!$Q$159*LN(10))*(MAX((LN(10^(逐级计算!$Q$159/10)-1)+逐级计算!$Q$159*(FC62-逐级计算!$P$159)*LN(10)/10),0)+LN(1+EXP(-ABS((LN(10^(逐级计算!$Q$159/10)-1)+逐级计算!$Q$159*(FC62-逐级计算!$P$159)*LN(10)/10))))))),"")</f>
        <v>13.7930365742089</v>
      </c>
      <c r="FE62">
        <f>IF(AND(ISNUMBER(FD62),逐级计算!$X$160&gt;-1),IF(逐级计算!$X$160=0,FD62+逐级计算!$C$160,FD62+逐级计算!$C$160-(10/(逐级计算!$Q$160*LN(10))*(MAX((LN(10^(逐级计算!$Q$160/10)-1)+逐级计算!$Q$160*(FD62-逐级计算!$P$160)*LN(10)/10),0)+LN(1+EXP(-ABS((LN(10^(逐级计算!$Q$160/10)-1)+逐级计算!$Q$160*(FD62-逐级计算!$P$160)*LN(10)/10))))))),"")</f>
        <v>13.7930365742089</v>
      </c>
      <c r="FF62">
        <f>IF(AND(ISNUMBER(FE62),逐级计算!$X$161&gt;-1),IF(逐级计算!$X$161=0,FE62+逐级计算!$C$161,FE62+逐级计算!$C$161-(10/(逐级计算!$Q$161*LN(10))*(MAX((LN(10^(逐级计算!$Q$161/10)-1)+逐级计算!$Q$161*(FE62-逐级计算!$P$161)*LN(10)/10),0)+LN(1+EXP(-ABS((LN(10^(逐级计算!$Q$161/10)-1)+逐级计算!$Q$161*(FE62-逐级计算!$P$161)*LN(10)/10))))))),"")</f>
        <v>13.7930365742089</v>
      </c>
      <c r="FG62">
        <f>IF(AND(ISNUMBER(FF62),逐级计算!$X$162&gt;-1),IF(逐级计算!$X$162=0,FF62+逐级计算!$C$162,FF62+逐级计算!$C$162-(10/(逐级计算!$Q$162*LN(10))*(MAX((LN(10^(逐级计算!$Q$162/10)-1)+逐级计算!$Q$162*(FF62-逐级计算!$P$162)*LN(10)/10),0)+LN(1+EXP(-ABS((LN(10^(逐级计算!$Q$162/10)-1)+逐级计算!$Q$162*(FF62-逐级计算!$P$162)*LN(10)/10))))))),"")</f>
        <v>13.7930365742089</v>
      </c>
      <c r="FH62">
        <f>IF(AND(ISNUMBER(FG62),逐级计算!$X$163&gt;-1),IF(逐级计算!$X$163=0,FG62+逐级计算!$C$163,FG62+逐级计算!$C$163-(10/(逐级计算!$Q$163*LN(10))*(MAX((LN(10^(逐级计算!$Q$163/10)-1)+逐级计算!$Q$163*(FG62-逐级计算!$P$163)*LN(10)/10),0)+LN(1+EXP(-ABS((LN(10^(逐级计算!$Q$163/10)-1)+逐级计算!$Q$163*(FG62-逐级计算!$P$163)*LN(10)/10))))))),"")</f>
        <v>13.7930365742089</v>
      </c>
      <c r="FI62">
        <f>IF(AND(ISNUMBER(FH62),逐级计算!$X$164&gt;-1),IF(逐级计算!$X$164=0,FH62+逐级计算!$C$164,FH62+逐级计算!$C$164-(10/(逐级计算!$Q$164*LN(10))*(MAX((LN(10^(逐级计算!$Q$164/10)-1)+逐级计算!$Q$164*(FH62-逐级计算!$P$164)*LN(10)/10),0)+LN(1+EXP(-ABS((LN(10^(逐级计算!$Q$164/10)-1)+逐级计算!$Q$164*(FH62-逐级计算!$P$164)*LN(10)/10))))))),"")</f>
        <v>13.7930365742089</v>
      </c>
      <c r="FJ62">
        <f>IF(AND(ISNUMBER(FI62),逐级计算!$X$165&gt;-1),IF(逐级计算!$X$165=0,FI62+逐级计算!$C$165,FI62+逐级计算!$C$165-(10/(逐级计算!$Q$165*LN(10))*(MAX((LN(10^(逐级计算!$Q$165/10)-1)+逐级计算!$Q$165*(FI62-逐级计算!$P$165)*LN(10)/10),0)+LN(1+EXP(-ABS((LN(10^(逐级计算!$Q$165/10)-1)+逐级计算!$Q$165*(FI62-逐级计算!$P$165)*LN(10)/10))))))),"")</f>
        <v>13.7930365742089</v>
      </c>
      <c r="FK62">
        <f>IF(AND(ISNUMBER(FJ62),逐级计算!$X$166&gt;-1),IF(逐级计算!$X$166=0,FJ62+逐级计算!$C$166,FJ62+逐级计算!$C$166-(10/(逐级计算!$Q$166*LN(10))*(MAX((LN(10^(逐级计算!$Q$166/10)-1)+逐级计算!$Q$166*(FJ62-逐级计算!$P$166)*LN(10)/10),0)+LN(1+EXP(-ABS((LN(10^(逐级计算!$Q$166/10)-1)+逐级计算!$Q$166*(FJ62-逐级计算!$P$166)*LN(10)/10))))))),"")</f>
        <v>13.7930365742089</v>
      </c>
      <c r="FL62">
        <f>IF(AND(ISNUMBER(FK62),逐级计算!$X$167&gt;-1),IF(逐级计算!$X$167=0,FK62+逐级计算!$C$167,FK62+逐级计算!$C$167-(10/(逐级计算!$Q$167*LN(10))*(MAX((LN(10^(逐级计算!$Q$167/10)-1)+逐级计算!$Q$167*(FK62-逐级计算!$P$167)*LN(10)/10),0)+LN(1+EXP(-ABS((LN(10^(逐级计算!$Q$167/10)-1)+逐级计算!$Q$167*(FK62-逐级计算!$P$167)*LN(10)/10))))))),"")</f>
        <v>13.7930365742089</v>
      </c>
      <c r="FM62">
        <f>IF(AND(ISNUMBER(FL62),逐级计算!$X$168&gt;-1),IF(逐级计算!$X$168=0,FL62+逐级计算!$C$168,FL62+逐级计算!$C$168-(10/(逐级计算!$Q$168*LN(10))*(MAX((LN(10^(逐级计算!$Q$168/10)-1)+逐级计算!$Q$168*(FL62-逐级计算!$P$168)*LN(10)/10),0)+LN(1+EXP(-ABS((LN(10^(逐级计算!$Q$168/10)-1)+逐级计算!$Q$168*(FL62-逐级计算!$P$168)*LN(10)/10))))))),"")</f>
        <v>13.7930365742089</v>
      </c>
      <c r="FN62">
        <f>IF(AND(ISNUMBER(FM62),逐级计算!$X$169&gt;-1),IF(逐级计算!$X$169=0,FM62+逐级计算!$C$169,FM62+逐级计算!$C$169-(10/(逐级计算!$Q$169*LN(10))*(MAX((LN(10^(逐级计算!$Q$169/10)-1)+逐级计算!$Q$169*(FM62-逐级计算!$P$169)*LN(10)/10),0)+LN(1+EXP(-ABS((LN(10^(逐级计算!$Q$169/10)-1)+逐级计算!$Q$169*(FM62-逐级计算!$P$169)*LN(10)/10))))))),"")</f>
        <v>13.7930365742089</v>
      </c>
      <c r="FO62">
        <f>IF(AND(ISNUMBER(FN62),逐级计算!$X$170&gt;-1),IF(逐级计算!$X$170=0,FN62+逐级计算!$C$170,FN62+逐级计算!$C$170-(10/(逐级计算!$Q$170*LN(10))*(MAX((LN(10^(逐级计算!$Q$170/10)-1)+逐级计算!$Q$170*(FN62-逐级计算!$P$170)*LN(10)/10),0)+LN(1+EXP(-ABS((LN(10^(逐级计算!$Q$170/10)-1)+逐级计算!$Q$170*(FN62-逐级计算!$P$170)*LN(10)/10))))))),"")</f>
        <v>13.7930365742089</v>
      </c>
      <c r="FP62">
        <f>IF(AND(ISNUMBER(FO62),逐级计算!$X$171&gt;-1),IF(逐级计算!$X$171=0,FO62+逐级计算!$C$171,FO62+逐级计算!$C$171-(10/(逐级计算!$Q$171*LN(10))*(MAX((LN(10^(逐级计算!$Q$171/10)-1)+逐级计算!$Q$171*(FO62-逐级计算!$P$171)*LN(10)/10),0)+LN(1+EXP(-ABS((LN(10^(逐级计算!$Q$171/10)-1)+逐级计算!$Q$171*(FO62-逐级计算!$P$171)*LN(10)/10))))))),"")</f>
        <v>13.7930365742089</v>
      </c>
      <c r="FQ62">
        <f>IF(AND(ISNUMBER(FP62),逐级计算!$X$172&gt;-1),IF(逐级计算!$X$172=0,FP62+逐级计算!$C$172,FP62+逐级计算!$C$172-(10/(逐级计算!$Q$172*LN(10))*(MAX((LN(10^(逐级计算!$Q$172/10)-1)+逐级计算!$Q$172*(FP62-逐级计算!$P$172)*LN(10)/10),0)+LN(1+EXP(-ABS((LN(10^(逐级计算!$Q$172/10)-1)+逐级计算!$Q$172*(FP62-逐级计算!$P$172)*LN(10)/10))))))),"")</f>
        <v>13.7930365742089</v>
      </c>
      <c r="FR62">
        <f>IF(AND(ISNUMBER(FQ62),逐级计算!$X$173&gt;-1),IF(逐级计算!$X$173=0,FQ62+逐级计算!$C$173,FQ62+逐级计算!$C$173-(10/(逐级计算!$Q$173*LN(10))*(MAX((LN(10^(逐级计算!$Q$173/10)-1)+逐级计算!$Q$173*(FQ62-逐级计算!$P$173)*LN(10)/10),0)+LN(1+EXP(-ABS((LN(10^(逐级计算!$Q$173/10)-1)+逐级计算!$Q$173*(FQ62-逐级计算!$P$173)*LN(10)/10))))))),"")</f>
        <v>13.7930365742089</v>
      </c>
      <c r="FS62">
        <f>IF(AND(ISNUMBER(FR62),逐级计算!$X$174&gt;-1),IF(逐级计算!$X$174=0,FR62+逐级计算!$C$174,FR62+逐级计算!$C$174-(10/(逐级计算!$Q$174*LN(10))*(MAX((LN(10^(逐级计算!$Q$174/10)-1)+逐级计算!$Q$174*(FR62-逐级计算!$P$174)*LN(10)/10),0)+LN(1+EXP(-ABS((LN(10^(逐级计算!$Q$174/10)-1)+逐级计算!$Q$174*(FR62-逐级计算!$P$174)*LN(10)/10))))))),"")</f>
        <v>13.7930365742089</v>
      </c>
      <c r="FT62">
        <f>IF(AND(ISNUMBER(FS62),逐级计算!$X$175&gt;-1),IF(逐级计算!$X$175=0,FS62+逐级计算!$C$175,FS62+逐级计算!$C$175-(10/(逐级计算!$Q$175*LN(10))*(MAX((LN(10^(逐级计算!$Q$175/10)-1)+逐级计算!$Q$175*(FS62-逐级计算!$P$175)*LN(10)/10),0)+LN(1+EXP(-ABS((LN(10^(逐级计算!$Q$175/10)-1)+逐级计算!$Q$175*(FS62-逐级计算!$P$175)*LN(10)/10))))))),"")</f>
        <v>13.7930365742089</v>
      </c>
      <c r="FU62">
        <f>IF(AND(ISNUMBER(FT62),逐级计算!$X$176&gt;-1),IF(逐级计算!$X$176=0,FT62+逐级计算!$C$176,FT62+逐级计算!$C$176-(10/(逐级计算!$Q$176*LN(10))*(MAX((LN(10^(逐级计算!$Q$176/10)-1)+逐级计算!$Q$176*(FT62-逐级计算!$P$176)*LN(10)/10),0)+LN(1+EXP(-ABS((LN(10^(逐级计算!$Q$176/10)-1)+逐级计算!$Q$176*(FT62-逐级计算!$P$176)*LN(10)/10))))))),"")</f>
        <v>13.7930365742089</v>
      </c>
      <c r="FV62">
        <f>IF(AND(ISNUMBER(FU62),逐级计算!$X$177&gt;-1),IF(逐级计算!$X$177=0,FU62+逐级计算!$C$177,FU62+逐级计算!$C$177-(10/(逐级计算!$Q$177*LN(10))*(MAX((LN(10^(逐级计算!$Q$177/10)-1)+逐级计算!$Q$177*(FU62-逐级计算!$P$177)*LN(10)/10),0)+LN(1+EXP(-ABS((LN(10^(逐级计算!$Q$177/10)-1)+逐级计算!$Q$177*(FU62-逐级计算!$P$177)*LN(10)/10))))))),"")</f>
        <v>13.7930365742089</v>
      </c>
      <c r="FW62">
        <f>IF(AND(ISNUMBER(FV62),逐级计算!$X$178&gt;-1),IF(逐级计算!$X$178=0,FV62+逐级计算!$C$178,FV62+逐级计算!$C$178-(10/(逐级计算!$Q$178*LN(10))*(MAX((LN(10^(逐级计算!$Q$178/10)-1)+逐级计算!$Q$178*(FV62-逐级计算!$P$178)*LN(10)/10),0)+LN(1+EXP(-ABS((LN(10^(逐级计算!$Q$178/10)-1)+逐级计算!$Q$178*(FV62-逐级计算!$P$178)*LN(10)/10))))))),"")</f>
        <v>13.7930365742089</v>
      </c>
      <c r="FX62">
        <f>IF(AND(ISNUMBER(FW62),逐级计算!$X$179&gt;-1),IF(逐级计算!$X$179=0,FW62+逐级计算!$C$179,FW62+逐级计算!$C$179-(10/(逐级计算!$Q$179*LN(10))*(MAX((LN(10^(逐级计算!$Q$179/10)-1)+逐级计算!$Q$179*(FW62-逐级计算!$P$179)*LN(10)/10),0)+LN(1+EXP(-ABS((LN(10^(逐级计算!$Q$179/10)-1)+逐级计算!$Q$179*(FW62-逐级计算!$P$179)*LN(10)/10))))))),"")</f>
        <v>13.7930365742089</v>
      </c>
      <c r="FY62">
        <f>IF(AND(ISNUMBER(FX62),逐级计算!$X$180&gt;-1),IF(逐级计算!$X$180=0,FX62+逐级计算!$C$180,FX62+逐级计算!$C$180-(10/(逐级计算!$Q$180*LN(10))*(MAX((LN(10^(逐级计算!$Q$180/10)-1)+逐级计算!$Q$180*(FX62-逐级计算!$P$180)*LN(10)/10),0)+LN(1+EXP(-ABS((LN(10^(逐级计算!$Q$180/10)-1)+逐级计算!$Q$180*(FX62-逐级计算!$P$180)*LN(10)/10))))))),"")</f>
        <v>13.7930365742089</v>
      </c>
      <c r="FZ62">
        <f>IF(AND(ISNUMBER(FY62),逐级计算!$X$181&gt;-1),IF(逐级计算!$X$181=0,FY62+逐级计算!$C$181,FY62+逐级计算!$C$181-(10/(逐级计算!$Q$181*LN(10))*(MAX((LN(10^(逐级计算!$Q$181/10)-1)+逐级计算!$Q$181*(FY62-逐级计算!$P$181)*LN(10)/10),0)+LN(1+EXP(-ABS((LN(10^(逐级计算!$Q$181/10)-1)+逐级计算!$Q$181*(FY62-逐级计算!$P$181)*LN(10)/10))))))),"")</f>
        <v>13.7930365742089</v>
      </c>
      <c r="GA62">
        <f>IF(AND(ISNUMBER(FZ62),逐级计算!$X$182&gt;-1),IF(逐级计算!$X$182=0,FZ62+逐级计算!$C$182,FZ62+逐级计算!$C$182-(10/(逐级计算!$Q$182*LN(10))*(MAX((LN(10^(逐级计算!$Q$182/10)-1)+逐级计算!$Q$182*(FZ62-逐级计算!$P$182)*LN(10)/10),0)+LN(1+EXP(-ABS((LN(10^(逐级计算!$Q$182/10)-1)+逐级计算!$Q$182*(FZ62-逐级计算!$P$182)*LN(10)/10))))))),"")</f>
        <v>13.7930365742089</v>
      </c>
      <c r="GB62">
        <f>IF(AND(ISNUMBER(GA62),逐级计算!$X$183&gt;-1),IF(逐级计算!$X$183=0,GA62+逐级计算!$C$183,GA62+逐级计算!$C$183-(10/(逐级计算!$Q$183*LN(10))*(MAX((LN(10^(逐级计算!$Q$183/10)-1)+逐级计算!$Q$183*(GA62-逐级计算!$P$183)*LN(10)/10),0)+LN(1+EXP(-ABS((LN(10^(逐级计算!$Q$183/10)-1)+逐级计算!$Q$183*(GA62-逐级计算!$P$183)*LN(10)/10))))))),"")</f>
        <v>13.7930365742089</v>
      </c>
      <c r="GC62">
        <f>IF(AND(ISNUMBER(GB62),逐级计算!$X$184&gt;-1),IF(逐级计算!$X$184=0,GB62+逐级计算!$C$184,GB62+逐级计算!$C$184-(10/(逐级计算!$Q$184*LN(10))*(MAX((LN(10^(逐级计算!$Q$184/10)-1)+逐级计算!$Q$184*(GB62-逐级计算!$P$184)*LN(10)/10),0)+LN(1+EXP(-ABS((LN(10^(逐级计算!$Q$184/10)-1)+逐级计算!$Q$184*(GB62-逐级计算!$P$184)*LN(10)/10))))))),"")</f>
        <v>13.7930365742089</v>
      </c>
      <c r="GD62">
        <f>IF(AND(ISNUMBER(GC62),逐级计算!$X$185&gt;-1),IF(逐级计算!$X$185=0,GC62+逐级计算!$C$185,GC62+逐级计算!$C$185-(10/(逐级计算!$Q$185*LN(10))*(MAX((LN(10^(逐级计算!$Q$185/10)-1)+逐级计算!$Q$185*(GC62-逐级计算!$P$185)*LN(10)/10),0)+LN(1+EXP(-ABS((LN(10^(逐级计算!$Q$185/10)-1)+逐级计算!$Q$185*(GC62-逐级计算!$P$185)*LN(10)/10))))))),"")</f>
        <v>13.7930365742089</v>
      </c>
      <c r="GE62">
        <f>IF(AND(ISNUMBER(GD62),逐级计算!$X$186&gt;-1),IF(逐级计算!$X$186=0,GD62+逐级计算!$C$186,GD62+逐级计算!$C$186-(10/(逐级计算!$Q$186*LN(10))*(MAX((LN(10^(逐级计算!$Q$186/10)-1)+逐级计算!$Q$186*(GD62-逐级计算!$P$186)*LN(10)/10),0)+LN(1+EXP(-ABS((LN(10^(逐级计算!$Q$186/10)-1)+逐级计算!$Q$186*(GD62-逐级计算!$P$186)*LN(10)/10))))))),"")</f>
        <v>13.7930365742089</v>
      </c>
      <c r="GF62">
        <f>IF(AND(ISNUMBER(GE62),逐级计算!$X$187&gt;-1),IF(逐级计算!$X$187=0,GE62+逐级计算!$C$187,GE62+逐级计算!$C$187-(10/(逐级计算!$Q$187*LN(10))*(MAX((LN(10^(逐级计算!$Q$187/10)-1)+逐级计算!$Q$187*(GE62-逐级计算!$P$187)*LN(10)/10),0)+LN(1+EXP(-ABS((LN(10^(逐级计算!$Q$187/10)-1)+逐级计算!$Q$187*(GE62-逐级计算!$P$187)*LN(10)/10))))))),"")</f>
        <v>13.7930365742089</v>
      </c>
      <c r="GG62">
        <f>IF(AND(ISNUMBER(GF62),逐级计算!$X$188&gt;-1),IF(逐级计算!$X$188=0,GF62+逐级计算!$C$188,GF62+逐级计算!$C$188-(10/(逐级计算!$Q$188*LN(10))*(MAX((LN(10^(逐级计算!$Q$188/10)-1)+逐级计算!$Q$188*(GF62-逐级计算!$P$188)*LN(10)/10),0)+LN(1+EXP(-ABS((LN(10^(逐级计算!$Q$188/10)-1)+逐级计算!$Q$188*(GF62-逐级计算!$P$188)*LN(10)/10))))))),"")</f>
        <v>13.7930365742089</v>
      </c>
      <c r="GH62">
        <f>IF(AND(ISNUMBER(GG62),逐级计算!$X$189&gt;-1),IF(逐级计算!$X$189=0,GG62+逐级计算!$C$189,GG62+逐级计算!$C$189-(10/(逐级计算!$Q$189*LN(10))*(MAX((LN(10^(逐级计算!$Q$189/10)-1)+逐级计算!$Q$189*(GG62-逐级计算!$P$189)*LN(10)/10),0)+LN(1+EXP(-ABS((LN(10^(逐级计算!$Q$189/10)-1)+逐级计算!$Q$189*(GG62-逐级计算!$P$189)*LN(10)/10))))))),"")</f>
        <v>13.7930365742089</v>
      </c>
      <c r="GI62">
        <f>IF(AND(ISNUMBER(GH62),逐级计算!$X$190&gt;-1),IF(逐级计算!$X$190=0,GH62+逐级计算!$C$190,GH62+逐级计算!$C$190-(10/(逐级计算!$Q$190*LN(10))*(MAX((LN(10^(逐级计算!$Q$190/10)-1)+逐级计算!$Q$190*(GH62-逐级计算!$P$190)*LN(10)/10),0)+LN(1+EXP(-ABS((LN(10^(逐级计算!$Q$190/10)-1)+逐级计算!$Q$190*(GH62-逐级计算!$P$190)*LN(10)/10))))))),"")</f>
        <v>13.7930365742089</v>
      </c>
      <c r="GJ62">
        <f>IF(AND(ISNUMBER(GI62),逐级计算!$X$191&gt;-1),IF(逐级计算!$X$191=0,GI62+逐级计算!$C$191,GI62+逐级计算!$C$191-(10/(逐级计算!$Q$191*LN(10))*(MAX((LN(10^(逐级计算!$Q$191/10)-1)+逐级计算!$Q$191*(GI62-逐级计算!$P$191)*LN(10)/10),0)+LN(1+EXP(-ABS((LN(10^(逐级计算!$Q$191/10)-1)+逐级计算!$Q$191*(GI62-逐级计算!$P$191)*LN(10)/10))))))),"")</f>
        <v>13.7930365742089</v>
      </c>
      <c r="GK62">
        <f>IF(AND(ISNUMBER(GJ62),逐级计算!$X$192&gt;-1),IF(逐级计算!$X$192=0,GJ62+逐级计算!$C$192,GJ62+逐级计算!$C$192-(10/(逐级计算!$Q$192*LN(10))*(MAX((LN(10^(逐级计算!$Q$192/10)-1)+逐级计算!$Q$192*(GJ62-逐级计算!$P$192)*LN(10)/10),0)+LN(1+EXP(-ABS((LN(10^(逐级计算!$Q$192/10)-1)+逐级计算!$Q$192*(GJ62-逐级计算!$P$192)*LN(10)/10))))))),"")</f>
        <v>13.7930365742089</v>
      </c>
      <c r="GL62">
        <f>IF(AND(ISNUMBER(GK62),逐级计算!$X$193&gt;-1),IF(逐级计算!$X$193=0,GK62+逐级计算!$C$193,GK62+逐级计算!$C$193-(10/(逐级计算!$Q$193*LN(10))*(MAX((LN(10^(逐级计算!$Q$193/10)-1)+逐级计算!$Q$193*(GK62-逐级计算!$P$193)*LN(10)/10),0)+LN(1+EXP(-ABS((LN(10^(逐级计算!$Q$193/10)-1)+逐级计算!$Q$193*(GK62-逐级计算!$P$193)*LN(10)/10))))))),"")</f>
        <v>13.7930365742089</v>
      </c>
      <c r="GM62">
        <f>IF(AND(ISNUMBER(GL62),逐级计算!$X$194&gt;-1),IF(逐级计算!$X$194=0,GL62+逐级计算!$C$194,GL62+逐级计算!$C$194-(10/(逐级计算!$Q$194*LN(10))*(MAX((LN(10^(逐级计算!$Q$194/10)-1)+逐级计算!$Q$194*(GL62-逐级计算!$P$194)*LN(10)/10),0)+LN(1+EXP(-ABS((LN(10^(逐级计算!$Q$194/10)-1)+逐级计算!$Q$194*(GL62-逐级计算!$P$194)*LN(10)/10))))))),"")</f>
        <v>13.7930365742089</v>
      </c>
      <c r="GN62">
        <f>IF(AND(ISNUMBER(GM62),逐级计算!$X$195&gt;-1),IF(逐级计算!$X$195=0,GM62+逐级计算!$C$195,GM62+逐级计算!$C$195-(10/(逐级计算!$Q$195*LN(10))*(MAX((LN(10^(逐级计算!$Q$195/10)-1)+逐级计算!$Q$195*(GM62-逐级计算!$P$195)*LN(10)/10),0)+LN(1+EXP(-ABS((LN(10^(逐级计算!$Q$195/10)-1)+逐级计算!$Q$195*(GM62-逐级计算!$P$195)*LN(10)/10))))))),"")</f>
        <v>13.7930365742089</v>
      </c>
      <c r="GO62">
        <f>IF(AND(ISNUMBER(GN62),逐级计算!$X$196&gt;-1),IF(逐级计算!$X$196=0,GN62+逐级计算!$C$196,GN62+逐级计算!$C$196-(10/(逐级计算!$Q$196*LN(10))*(MAX((LN(10^(逐级计算!$Q$196/10)-1)+逐级计算!$Q$196*(GN62-逐级计算!$P$196)*LN(10)/10),0)+LN(1+EXP(-ABS((LN(10^(逐级计算!$Q$196/10)-1)+逐级计算!$Q$196*(GN62-逐级计算!$P$196)*LN(10)/10))))))),"")</f>
        <v>13.7930365742089</v>
      </c>
      <c r="GP62">
        <f>IF(AND(ISNUMBER(GO62),逐级计算!$X$197&gt;-1),IF(逐级计算!$X$197=0,GO62+逐级计算!$C$197,GO62+逐级计算!$C$197-(10/(逐级计算!$Q$197*LN(10))*(MAX((LN(10^(逐级计算!$Q$197/10)-1)+逐级计算!$Q$197*(GO62-逐级计算!$P$197)*LN(10)/10),0)+LN(1+EXP(-ABS((LN(10^(逐级计算!$Q$197/10)-1)+逐级计算!$Q$197*(GO62-逐级计算!$P$197)*LN(10)/10))))))),"")</f>
        <v>13.7930365742089</v>
      </c>
      <c r="GQ62">
        <f>IF(AND(ISNUMBER(GP62),逐级计算!$X$198&gt;-1),IF(逐级计算!$X$198=0,GP62+逐级计算!$C$198,GP62+逐级计算!$C$198-(10/(逐级计算!$Q$198*LN(10))*(MAX((LN(10^(逐级计算!$Q$198/10)-1)+逐级计算!$Q$198*(GP62-逐级计算!$P$198)*LN(10)/10),0)+LN(1+EXP(-ABS((LN(10^(逐级计算!$Q$198/10)-1)+逐级计算!$Q$198*(GP62-逐级计算!$P$198)*LN(10)/10))))))),"")</f>
        <v>13.7930365742089</v>
      </c>
      <c r="GR62">
        <f>IF(AND(ISNUMBER(GQ62),逐级计算!$X$199&gt;-1),IF(逐级计算!$X$199=0,GQ62+逐级计算!$C$199,GQ62+逐级计算!$C$199-(10/(逐级计算!$Q$199*LN(10))*(MAX((LN(10^(逐级计算!$Q$199/10)-1)+逐级计算!$Q$199*(GQ62-逐级计算!$P$199)*LN(10)/10),0)+LN(1+EXP(-ABS((LN(10^(逐级计算!$Q$199/10)-1)+逐级计算!$Q$199*(GQ62-逐级计算!$P$199)*LN(10)/10))))))),"")</f>
        <v>13.7930365742089</v>
      </c>
      <c r="GS62">
        <f>IF(AND(ISNUMBER(GR62),逐级计算!$X$200&gt;-1),IF(逐级计算!$X$200=0,GR62+逐级计算!$C$200,GR62+逐级计算!$C$200-(10/(逐级计算!$Q$200*LN(10))*(MAX((LN(10^(逐级计算!$Q$200/10)-1)+逐级计算!$Q$200*(GR62-逐级计算!$P$200)*LN(10)/10),0)+LN(1+EXP(-ABS((LN(10^(逐级计算!$Q$200/10)-1)+逐级计算!$Q$200*(GR62-逐级计算!$P$200)*LN(10)/10))))))),"")</f>
        <v>13.7930365742089</v>
      </c>
      <c r="GT62">
        <f>IF(AND(ISNUMBER(GS62),逐级计算!$X$201&gt;-1),IF(逐级计算!$X$201=0,GS62+逐级计算!$C$201,GS62+逐级计算!$C$201-(10/(逐级计算!$Q$201*LN(10))*(MAX((LN(10^(逐级计算!$Q$201/10)-1)+逐级计算!$Q$201*(GS62-逐级计算!$P$201)*LN(10)/10),0)+LN(1+EXP(-ABS((LN(10^(逐级计算!$Q$201/10)-1)+逐级计算!$Q$201*(GS62-逐级计算!$P$201)*LN(10)/10))))))),"")</f>
        <v>13.7930365742089</v>
      </c>
      <c r="GU62">
        <f>IF(AND(ISNUMBER(GT62),逐级计算!$X$202&gt;-1),IF(逐级计算!$X$202=0,GT62+逐级计算!$C$202,GT62+逐级计算!$C$202-(10/(逐级计算!$Q$202*LN(10))*(MAX((LN(10^(逐级计算!$Q$202/10)-1)+逐级计算!$Q$202*(GT62-逐级计算!$P$202)*LN(10)/10),0)+LN(1+EXP(-ABS((LN(10^(逐级计算!$Q$202/10)-1)+逐级计算!$Q$202*(GT62-逐级计算!$P$202)*LN(10)/10))))))),"")</f>
        <v>13.7930365742089</v>
      </c>
      <c r="GV62">
        <f>IF(AND(ISNUMBER(GU62),逐级计算!$X$203&gt;-1),IF(逐级计算!$X$203=0,GU62+逐级计算!$C$203,GU62+逐级计算!$C$203-(10/(逐级计算!$Q$203*LN(10))*(MAX((LN(10^(逐级计算!$Q$203/10)-1)+逐级计算!$Q$203*(GU62-逐级计算!$P$203)*LN(10)/10),0)+LN(1+EXP(-ABS((LN(10^(逐级计算!$Q$203/10)-1)+逐级计算!$Q$203*(GU62-逐级计算!$P$203)*LN(10)/10))))))),"")</f>
        <v>13.7930365742089</v>
      </c>
      <c r="GW62">
        <f t="shared" si="2"/>
        <v>-5.20696342579112</v>
      </c>
    </row>
    <row r="63" spans="1:205">
      <c r="A63">
        <v>56</v>
      </c>
      <c r="B63">
        <f t="shared" si="1"/>
        <v>-5.20696342579112</v>
      </c>
      <c r="C63">
        <f t="shared" si="0"/>
        <v>-5.20696342579112</v>
      </c>
      <c r="D63">
        <f>IF(AND(ISNUMBER(C63),ISNUMBER(逐级计算!$E$203),ISNUMBER(GV63)),C63+逐级计算!$E$203-GV63,"")</f>
        <v>1</v>
      </c>
      <c r="E63">
        <f>IF(AND(ISNUMBER(C63),逐级计算!$X$4&gt;-1),IF(逐级计算!$X$4=0,C63+逐级计算!$C$4,C63+逐级计算!$C$4-(10/(逐级计算!$Q$4*LN(10))*(MAX((LN(10^(逐级计算!$Q$4/10)-1)+逐级计算!$Q$4*(C63-逐级计算!$P$4)*LN(10)/10),0)+LN(1+EXP(-ABS((LN(10^(逐级计算!$Q$4/10)-1)+逐级计算!$Q$4*(C63-逐级计算!$P$4)*LN(10)/10))))))),"")</f>
        <v>4.68053982928311</v>
      </c>
      <c r="F63">
        <f>IF(AND(ISNUMBER(E63),逐级计算!$X$5&gt;-1),IF(逐级计算!$X$5=0,E63+逐级计算!$C$5,E63+逐级计算!$C$5-(10/(逐级计算!$Q$5*LN(10))*(MAX((LN(10^(逐级计算!$Q$5/10)-1)+逐级计算!$Q$5*(E63-逐级计算!$P$5)*LN(10)/10),0)+LN(1+EXP(-ABS((LN(10^(逐级计算!$Q$5/10)-1)+逐级计算!$Q$5*(E63-逐级计算!$P$5)*LN(10)/10))))))),"")</f>
        <v>13.7930365742089</v>
      </c>
      <c r="G63">
        <f>IF(AND(ISNUMBER(F63),逐级计算!$X$6&gt;-1),IF(逐级计算!$X$6=0,F63+逐级计算!$C$6,F63+逐级计算!$C$6-(10/(逐级计算!$Q$6*LN(10))*(MAX((LN(10^(逐级计算!$Q$6/10)-1)+逐级计算!$Q$6*(F63-逐级计算!$P$6)*LN(10)/10),0)+LN(1+EXP(-ABS((LN(10^(逐级计算!$Q$6/10)-1)+逐级计算!$Q$6*(F63-逐级计算!$P$6)*LN(10)/10))))))),"")</f>
        <v>13.7930365742089</v>
      </c>
      <c r="H63">
        <f>IF(AND(ISNUMBER(G63),逐级计算!$X$7&gt;-1),IF(逐级计算!$X$7=0,G63+逐级计算!$C$7,G63+逐级计算!$C$7-(10/(逐级计算!$Q$7*LN(10))*(MAX((LN(10^(逐级计算!$Q$7/10)-1)+逐级计算!$Q$7*(G63-逐级计算!$P$7)*LN(10)/10),0)+LN(1+EXP(-ABS((LN(10^(逐级计算!$Q$7/10)-1)+逐级计算!$Q$7*(G63-逐级计算!$P$7)*LN(10)/10))))))),"")</f>
        <v>13.7930365742089</v>
      </c>
      <c r="I63">
        <f>IF(AND(ISNUMBER(H63),逐级计算!$X$8&gt;-1),IF(逐级计算!$X$8=0,H63+逐级计算!$C$8,H63+逐级计算!$C$8-(10/(逐级计算!$Q$8*LN(10))*(MAX((LN(10^(逐级计算!$Q$8/10)-1)+逐级计算!$Q$8*(H63-逐级计算!$P$8)*LN(10)/10),0)+LN(1+EXP(-ABS((LN(10^(逐级计算!$Q$8/10)-1)+逐级计算!$Q$8*(H63-逐级计算!$P$8)*LN(10)/10))))))),"")</f>
        <v>13.7930365742089</v>
      </c>
      <c r="J63">
        <f>IF(AND(ISNUMBER(I63),逐级计算!$X$9&gt;-1),IF(逐级计算!$X$9=0,I63+逐级计算!$C$9,I63+逐级计算!$C$9-(10/(逐级计算!$Q$9*LN(10))*(MAX((LN(10^(逐级计算!$Q$9/10)-1)+逐级计算!$Q$9*(I63-逐级计算!$P$9)*LN(10)/10),0)+LN(1+EXP(-ABS((LN(10^(逐级计算!$Q$9/10)-1)+逐级计算!$Q$9*(I63-逐级计算!$P$9)*LN(10)/10))))))),"")</f>
        <v>13.7930365742089</v>
      </c>
      <c r="K63">
        <f>IF(AND(ISNUMBER(J63),逐级计算!$X$10&gt;-1),IF(逐级计算!$X$10=0,J63+逐级计算!$C$10,J63+逐级计算!$C$10-(10/(逐级计算!$Q$10*LN(10))*(MAX((LN(10^(逐级计算!$Q$10/10)-1)+逐级计算!$Q$10*(J63-逐级计算!$P$10)*LN(10)/10),0)+LN(1+EXP(-ABS((LN(10^(逐级计算!$Q$10/10)-1)+逐级计算!$Q$10*(J63-逐级计算!$P$10)*LN(10)/10))))))),"")</f>
        <v>13.7930365742089</v>
      </c>
      <c r="L63">
        <f>IF(AND(ISNUMBER(K63),逐级计算!$X$11&gt;-1),IF(逐级计算!$X$11=0,K63+逐级计算!$C$11,K63+逐级计算!$C$11-(10/(逐级计算!$Q$11*LN(10))*(MAX((LN(10^(逐级计算!$Q$11/10)-1)+逐级计算!$Q$11*(K63-逐级计算!$P$11)*LN(10)/10),0)+LN(1+EXP(-ABS((LN(10^(逐级计算!$Q$11/10)-1)+逐级计算!$Q$11*(K63-逐级计算!$P$11)*LN(10)/10))))))),"")</f>
        <v>13.7930365742089</v>
      </c>
      <c r="M63">
        <f>IF(AND(ISNUMBER(L63),逐级计算!$X$12&gt;-1),IF(逐级计算!$X$12=0,L63+逐级计算!$C$12,L63+逐级计算!$C$12-(10/(逐级计算!$Q$12*LN(10))*(MAX((LN(10^(逐级计算!$Q$12/10)-1)+逐级计算!$Q$12*(L63-逐级计算!$P$12)*LN(10)/10),0)+LN(1+EXP(-ABS((LN(10^(逐级计算!$Q$12/10)-1)+逐级计算!$Q$12*(L63-逐级计算!$P$12)*LN(10)/10))))))),"")</f>
        <v>13.7930365742089</v>
      </c>
      <c r="N63">
        <f>IF(AND(ISNUMBER(M63),逐级计算!$X$13&gt;-1),IF(逐级计算!$X$13=0,M63+逐级计算!$C$13,M63+逐级计算!$C$13-(10/(逐级计算!$Q$13*LN(10))*(MAX((LN(10^(逐级计算!$Q$13/10)-1)+逐级计算!$Q$13*(M63-逐级计算!$P$13)*LN(10)/10),0)+LN(1+EXP(-ABS((LN(10^(逐级计算!$Q$13/10)-1)+逐级计算!$Q$13*(M63-逐级计算!$P$13)*LN(10)/10))))))),"")</f>
        <v>13.7930365742089</v>
      </c>
      <c r="O63">
        <f>IF(AND(ISNUMBER(N63),逐级计算!$X$14&gt;-1),IF(逐级计算!$X$14=0,N63+逐级计算!$C$14,N63+逐级计算!$C$14-(10/(逐级计算!$Q$14*LN(10))*(MAX((LN(10^(逐级计算!$Q$14/10)-1)+逐级计算!$Q$14*(N63-逐级计算!$P$14)*LN(10)/10),0)+LN(1+EXP(-ABS((LN(10^(逐级计算!$Q$14/10)-1)+逐级计算!$Q$14*(N63-逐级计算!$P$14)*LN(10)/10))))))),"")</f>
        <v>13.7930365742089</v>
      </c>
      <c r="P63">
        <f>IF(AND(ISNUMBER(O63),逐级计算!$X$15&gt;-1),IF(逐级计算!$X$15=0,O63+逐级计算!$C$15,O63+逐级计算!$C$15-(10/(逐级计算!$Q$15*LN(10))*(MAX((LN(10^(逐级计算!$Q$15/10)-1)+逐级计算!$Q$15*(O63-逐级计算!$P$15)*LN(10)/10),0)+LN(1+EXP(-ABS((LN(10^(逐级计算!$Q$15/10)-1)+逐级计算!$Q$15*(O63-逐级计算!$P$15)*LN(10)/10))))))),"")</f>
        <v>13.7930365742089</v>
      </c>
      <c r="Q63">
        <f>IF(AND(ISNUMBER(P63),逐级计算!$X$16&gt;-1),IF(逐级计算!$X$16=0,P63+逐级计算!$C$16,P63+逐级计算!$C$16-(10/(逐级计算!$Q$16*LN(10))*(MAX((LN(10^(逐级计算!$Q$16/10)-1)+逐级计算!$Q$16*(P63-逐级计算!$P$16)*LN(10)/10),0)+LN(1+EXP(-ABS((LN(10^(逐级计算!$Q$16/10)-1)+逐级计算!$Q$16*(P63-逐级计算!$P$16)*LN(10)/10))))))),"")</f>
        <v>13.7930365742089</v>
      </c>
      <c r="R63">
        <f>IF(AND(ISNUMBER(Q63),逐级计算!$X$17&gt;-1),IF(逐级计算!$X$17=0,Q63+逐级计算!$C$17,Q63+逐级计算!$C$17-(10/(逐级计算!$Q$17*LN(10))*(MAX((LN(10^(逐级计算!$Q$17/10)-1)+逐级计算!$Q$17*(Q63-逐级计算!$P$17)*LN(10)/10),0)+LN(1+EXP(-ABS((LN(10^(逐级计算!$Q$17/10)-1)+逐级计算!$Q$17*(Q63-逐级计算!$P$17)*LN(10)/10))))))),"")</f>
        <v>13.7930365742089</v>
      </c>
      <c r="S63">
        <f>IF(AND(ISNUMBER(R63),逐级计算!$X$18&gt;-1),IF(逐级计算!$X$18=0,R63+逐级计算!$C$18,R63+逐级计算!$C$18-(10/(逐级计算!$Q$18*LN(10))*(MAX((LN(10^(逐级计算!$Q$18/10)-1)+逐级计算!$Q$18*(R63-逐级计算!$P$18)*LN(10)/10),0)+LN(1+EXP(-ABS((LN(10^(逐级计算!$Q$18/10)-1)+逐级计算!$Q$18*(R63-逐级计算!$P$18)*LN(10)/10))))))),"")</f>
        <v>13.7930365742089</v>
      </c>
      <c r="T63">
        <f>IF(AND(ISNUMBER(S63),逐级计算!$X$19&gt;-1),IF(逐级计算!$X$19=0,S63+逐级计算!$C$19,S63+逐级计算!$C$19-(10/(逐级计算!$Q$19*LN(10))*(MAX((LN(10^(逐级计算!$Q$19/10)-1)+逐级计算!$Q$19*(S63-逐级计算!$P$19)*LN(10)/10),0)+LN(1+EXP(-ABS((LN(10^(逐级计算!$Q$19/10)-1)+逐级计算!$Q$19*(S63-逐级计算!$P$19)*LN(10)/10))))))),"")</f>
        <v>13.7930365742089</v>
      </c>
      <c r="U63">
        <f>IF(AND(ISNUMBER(T63),逐级计算!$X$20&gt;-1),IF(逐级计算!$X$20=0,T63+逐级计算!$C$20,T63+逐级计算!$C$20-(10/(逐级计算!$Q$20*LN(10))*(MAX((LN(10^(逐级计算!$Q$20/10)-1)+逐级计算!$Q$20*(T63-逐级计算!$P$20)*LN(10)/10),0)+LN(1+EXP(-ABS((LN(10^(逐级计算!$Q$20/10)-1)+逐级计算!$Q$20*(T63-逐级计算!$P$20)*LN(10)/10))))))),"")</f>
        <v>13.7930365742089</v>
      </c>
      <c r="V63">
        <f>IF(AND(ISNUMBER(U63),逐级计算!$X$21&gt;-1),IF(逐级计算!$X$21=0,U63+逐级计算!$C$21,U63+逐级计算!$C$21-(10/(逐级计算!$Q$21*LN(10))*(MAX((LN(10^(逐级计算!$Q$21/10)-1)+逐级计算!$Q$21*(U63-逐级计算!$P$21)*LN(10)/10),0)+LN(1+EXP(-ABS((LN(10^(逐级计算!$Q$21/10)-1)+逐级计算!$Q$21*(U63-逐级计算!$P$21)*LN(10)/10))))))),"")</f>
        <v>13.7930365742089</v>
      </c>
      <c r="W63">
        <f>IF(AND(ISNUMBER(V63),逐级计算!$X$22&gt;-1),IF(逐级计算!$X$22=0,V63+逐级计算!$C$22,V63+逐级计算!$C$22-(10/(逐级计算!$Q$22*LN(10))*(MAX((LN(10^(逐级计算!$Q$22/10)-1)+逐级计算!$Q$22*(V63-逐级计算!$P$22)*LN(10)/10),0)+LN(1+EXP(-ABS((LN(10^(逐级计算!$Q$22/10)-1)+逐级计算!$Q$22*(V63-逐级计算!$P$22)*LN(10)/10))))))),"")</f>
        <v>13.7930365742089</v>
      </c>
      <c r="X63">
        <f>IF(AND(ISNUMBER(W63),逐级计算!$X$23&gt;-1),IF(逐级计算!$X$23=0,W63+逐级计算!$C$23,W63+逐级计算!$C$23-(10/(逐级计算!$Q$23*LN(10))*(MAX((LN(10^(逐级计算!$Q$23/10)-1)+逐级计算!$Q$23*(W63-逐级计算!$P$23)*LN(10)/10),0)+LN(1+EXP(-ABS((LN(10^(逐级计算!$Q$23/10)-1)+逐级计算!$Q$23*(W63-逐级计算!$P$23)*LN(10)/10))))))),"")</f>
        <v>13.7930365742089</v>
      </c>
      <c r="Y63">
        <f>IF(AND(ISNUMBER(X63),逐级计算!$X$24&gt;-1),IF(逐级计算!$X$24=0,X63+逐级计算!$C$24,X63+逐级计算!$C$24-(10/(逐级计算!$Q$24*LN(10))*(MAX((LN(10^(逐级计算!$Q$24/10)-1)+逐级计算!$Q$24*(X63-逐级计算!$P$24)*LN(10)/10),0)+LN(1+EXP(-ABS((LN(10^(逐级计算!$Q$24/10)-1)+逐级计算!$Q$24*(X63-逐级计算!$P$24)*LN(10)/10))))))),"")</f>
        <v>13.7930365742089</v>
      </c>
      <c r="Z63">
        <f>IF(AND(ISNUMBER(Y63),逐级计算!$X$25&gt;-1),IF(逐级计算!$X$25=0,Y63+逐级计算!$C$25,Y63+逐级计算!$C$25-(10/(逐级计算!$Q$25*LN(10))*(MAX((LN(10^(逐级计算!$Q$25/10)-1)+逐级计算!$Q$25*(Y63-逐级计算!$P$25)*LN(10)/10),0)+LN(1+EXP(-ABS((LN(10^(逐级计算!$Q$25/10)-1)+逐级计算!$Q$25*(Y63-逐级计算!$P$25)*LN(10)/10))))))),"")</f>
        <v>13.7930365742089</v>
      </c>
      <c r="AA63">
        <f>IF(AND(ISNUMBER(Z63),逐级计算!$X$26&gt;-1),IF(逐级计算!$X$26=0,Z63+逐级计算!$C$26,Z63+逐级计算!$C$26-(10/(逐级计算!$Q$26*LN(10))*(MAX((LN(10^(逐级计算!$Q$26/10)-1)+逐级计算!$Q$26*(Z63-逐级计算!$P$26)*LN(10)/10),0)+LN(1+EXP(-ABS((LN(10^(逐级计算!$Q$26/10)-1)+逐级计算!$Q$26*(Z63-逐级计算!$P$26)*LN(10)/10))))))),"")</f>
        <v>13.7930365742089</v>
      </c>
      <c r="AB63">
        <f>IF(AND(ISNUMBER(AA63),逐级计算!$X$27&gt;-1),IF(逐级计算!$X$27=0,AA63+逐级计算!$C$27,AA63+逐级计算!$C$27-(10/(逐级计算!$Q$27*LN(10))*(MAX((LN(10^(逐级计算!$Q$27/10)-1)+逐级计算!$Q$27*(AA63-逐级计算!$P$27)*LN(10)/10),0)+LN(1+EXP(-ABS((LN(10^(逐级计算!$Q$27/10)-1)+逐级计算!$Q$27*(AA63-逐级计算!$P$27)*LN(10)/10))))))),"")</f>
        <v>13.7930365742089</v>
      </c>
      <c r="AC63">
        <f>IF(AND(ISNUMBER(AB63),逐级计算!$X$28&gt;-1),IF(逐级计算!$X$28=0,AB63+逐级计算!$C$28,AB63+逐级计算!$C$28-(10/(逐级计算!$Q$28*LN(10))*(MAX((LN(10^(逐级计算!$Q$28/10)-1)+逐级计算!$Q$28*(AB63-逐级计算!$P$28)*LN(10)/10),0)+LN(1+EXP(-ABS((LN(10^(逐级计算!$Q$28/10)-1)+逐级计算!$Q$28*(AB63-逐级计算!$P$28)*LN(10)/10))))))),"")</f>
        <v>13.7930365742089</v>
      </c>
      <c r="AD63">
        <f>IF(AND(ISNUMBER(AC63),逐级计算!$X$29&gt;-1),IF(逐级计算!$X$29=0,AC63+逐级计算!$C$29,AC63+逐级计算!$C$29-(10/(逐级计算!$Q$29*LN(10))*(MAX((LN(10^(逐级计算!$Q$29/10)-1)+逐级计算!$Q$29*(AC63-逐级计算!$P$29)*LN(10)/10),0)+LN(1+EXP(-ABS((LN(10^(逐级计算!$Q$29/10)-1)+逐级计算!$Q$29*(AC63-逐级计算!$P$29)*LN(10)/10))))))),"")</f>
        <v>13.7930365742089</v>
      </c>
      <c r="AE63">
        <f>IF(AND(ISNUMBER(AD63),逐级计算!$X$30&gt;-1),IF(逐级计算!$X$30=0,AD63+逐级计算!$C$30,AD63+逐级计算!$C$30-(10/(逐级计算!$Q$30*LN(10))*(MAX((LN(10^(逐级计算!$Q$30/10)-1)+逐级计算!$Q$30*(AD63-逐级计算!$P$30)*LN(10)/10),0)+LN(1+EXP(-ABS((LN(10^(逐级计算!$Q$30/10)-1)+逐级计算!$Q$30*(AD63-逐级计算!$P$30)*LN(10)/10))))))),"")</f>
        <v>13.7930365742089</v>
      </c>
      <c r="AF63">
        <f>IF(AND(ISNUMBER(AE63),逐级计算!$X$31&gt;-1),IF(逐级计算!$X$31=0,AE63+逐级计算!$C$31,AE63+逐级计算!$C$31-(10/(逐级计算!$Q$31*LN(10))*(MAX((LN(10^(逐级计算!$Q$31/10)-1)+逐级计算!$Q$31*(AE63-逐级计算!$P$31)*LN(10)/10),0)+LN(1+EXP(-ABS((LN(10^(逐级计算!$Q$31/10)-1)+逐级计算!$Q$31*(AE63-逐级计算!$P$31)*LN(10)/10))))))),"")</f>
        <v>13.7930365742089</v>
      </c>
      <c r="AG63">
        <f>IF(AND(ISNUMBER(AF63),逐级计算!$X$32&gt;-1),IF(逐级计算!$X$32=0,AF63+逐级计算!$C$32,AF63+逐级计算!$C$32-(10/(逐级计算!$Q$32*LN(10))*(MAX((LN(10^(逐级计算!$Q$32/10)-1)+逐级计算!$Q$32*(AF63-逐级计算!$P$32)*LN(10)/10),0)+LN(1+EXP(-ABS((LN(10^(逐级计算!$Q$32/10)-1)+逐级计算!$Q$32*(AF63-逐级计算!$P$32)*LN(10)/10))))))),"")</f>
        <v>13.7930365742089</v>
      </c>
      <c r="AH63">
        <f>IF(AND(ISNUMBER(AG63),逐级计算!$X$33&gt;-1),IF(逐级计算!$X$33=0,AG63+逐级计算!$C$33,AG63+逐级计算!$C$33-(10/(逐级计算!$Q$33*LN(10))*(MAX((LN(10^(逐级计算!$Q$33/10)-1)+逐级计算!$Q$33*(AG63-逐级计算!$P$33)*LN(10)/10),0)+LN(1+EXP(-ABS((LN(10^(逐级计算!$Q$33/10)-1)+逐级计算!$Q$33*(AG63-逐级计算!$P$33)*LN(10)/10))))))),"")</f>
        <v>13.7930365742089</v>
      </c>
      <c r="AI63">
        <f>IF(AND(ISNUMBER(AH63),逐级计算!$X$34&gt;-1),IF(逐级计算!$X$34=0,AH63+逐级计算!$C$34,AH63+逐级计算!$C$34-(10/(逐级计算!$Q$34*LN(10))*(MAX((LN(10^(逐级计算!$Q$34/10)-1)+逐级计算!$Q$34*(AH63-逐级计算!$P$34)*LN(10)/10),0)+LN(1+EXP(-ABS((LN(10^(逐级计算!$Q$34/10)-1)+逐级计算!$Q$34*(AH63-逐级计算!$P$34)*LN(10)/10))))))),"")</f>
        <v>13.7930365742089</v>
      </c>
      <c r="AJ63">
        <f>IF(AND(ISNUMBER(AI63),逐级计算!$X$35&gt;-1),IF(逐级计算!$X$35=0,AI63+逐级计算!$C$35,AI63+逐级计算!$C$35-(10/(逐级计算!$Q$35*LN(10))*(MAX((LN(10^(逐级计算!$Q$35/10)-1)+逐级计算!$Q$35*(AI63-逐级计算!$P$35)*LN(10)/10),0)+LN(1+EXP(-ABS((LN(10^(逐级计算!$Q$35/10)-1)+逐级计算!$Q$35*(AI63-逐级计算!$P$35)*LN(10)/10))))))),"")</f>
        <v>13.7930365742089</v>
      </c>
      <c r="AK63">
        <f>IF(AND(ISNUMBER(AJ63),逐级计算!$X$36&gt;-1),IF(逐级计算!$X$36=0,AJ63+逐级计算!$C$36,AJ63+逐级计算!$C$36-(10/(逐级计算!$Q$36*LN(10))*(MAX((LN(10^(逐级计算!$Q$36/10)-1)+逐级计算!$Q$36*(AJ63-逐级计算!$P$36)*LN(10)/10),0)+LN(1+EXP(-ABS((LN(10^(逐级计算!$Q$36/10)-1)+逐级计算!$Q$36*(AJ63-逐级计算!$P$36)*LN(10)/10))))))),"")</f>
        <v>13.7930365742089</v>
      </c>
      <c r="AL63">
        <f>IF(AND(ISNUMBER(AK63),逐级计算!$X$37&gt;-1),IF(逐级计算!$X$37=0,AK63+逐级计算!$C$37,AK63+逐级计算!$C$37-(10/(逐级计算!$Q$37*LN(10))*(MAX((LN(10^(逐级计算!$Q$37/10)-1)+逐级计算!$Q$37*(AK63-逐级计算!$P$37)*LN(10)/10),0)+LN(1+EXP(-ABS((LN(10^(逐级计算!$Q$37/10)-1)+逐级计算!$Q$37*(AK63-逐级计算!$P$37)*LN(10)/10))))))),"")</f>
        <v>13.7930365742089</v>
      </c>
      <c r="AM63">
        <f>IF(AND(ISNUMBER(AL63),逐级计算!$X$38&gt;-1),IF(逐级计算!$X$38=0,AL63+逐级计算!$C$38,AL63+逐级计算!$C$38-(10/(逐级计算!$Q$38*LN(10))*(MAX((LN(10^(逐级计算!$Q$38/10)-1)+逐级计算!$Q$38*(AL63-逐级计算!$P$38)*LN(10)/10),0)+LN(1+EXP(-ABS((LN(10^(逐级计算!$Q$38/10)-1)+逐级计算!$Q$38*(AL63-逐级计算!$P$38)*LN(10)/10))))))),"")</f>
        <v>13.7930365742089</v>
      </c>
      <c r="AN63">
        <f>IF(AND(ISNUMBER(AM63),逐级计算!$X$39&gt;-1),IF(逐级计算!$X$39=0,AM63+逐级计算!$C$39,AM63+逐级计算!$C$39-(10/(逐级计算!$Q$39*LN(10))*(MAX((LN(10^(逐级计算!$Q$39/10)-1)+逐级计算!$Q$39*(AM63-逐级计算!$P$39)*LN(10)/10),0)+LN(1+EXP(-ABS((LN(10^(逐级计算!$Q$39/10)-1)+逐级计算!$Q$39*(AM63-逐级计算!$P$39)*LN(10)/10))))))),"")</f>
        <v>13.7930365742089</v>
      </c>
      <c r="AO63">
        <f>IF(AND(ISNUMBER(AN63),逐级计算!$X$40&gt;-1),IF(逐级计算!$X$40=0,AN63+逐级计算!$C$40,AN63+逐级计算!$C$40-(10/(逐级计算!$Q$40*LN(10))*(MAX((LN(10^(逐级计算!$Q$40/10)-1)+逐级计算!$Q$40*(AN63-逐级计算!$P$40)*LN(10)/10),0)+LN(1+EXP(-ABS((LN(10^(逐级计算!$Q$40/10)-1)+逐级计算!$Q$40*(AN63-逐级计算!$P$40)*LN(10)/10))))))),"")</f>
        <v>13.7930365742089</v>
      </c>
      <c r="AP63">
        <f>IF(AND(ISNUMBER(AO63),逐级计算!$X$41&gt;-1),IF(逐级计算!$X$41=0,AO63+逐级计算!$C$41,AO63+逐级计算!$C$41-(10/(逐级计算!$Q$41*LN(10))*(MAX((LN(10^(逐级计算!$Q$41/10)-1)+逐级计算!$Q$41*(AO63-逐级计算!$P$41)*LN(10)/10),0)+LN(1+EXP(-ABS((LN(10^(逐级计算!$Q$41/10)-1)+逐级计算!$Q$41*(AO63-逐级计算!$P$41)*LN(10)/10))))))),"")</f>
        <v>13.7930365742089</v>
      </c>
      <c r="AQ63">
        <f>IF(AND(ISNUMBER(AP63),逐级计算!$X$42&gt;-1),IF(逐级计算!$X$42=0,AP63+逐级计算!$C$42,AP63+逐级计算!$C$42-(10/(逐级计算!$Q$42*LN(10))*(MAX((LN(10^(逐级计算!$Q$42/10)-1)+逐级计算!$Q$42*(AP63-逐级计算!$P$42)*LN(10)/10),0)+LN(1+EXP(-ABS((LN(10^(逐级计算!$Q$42/10)-1)+逐级计算!$Q$42*(AP63-逐级计算!$P$42)*LN(10)/10))))))),"")</f>
        <v>13.7930365742089</v>
      </c>
      <c r="AR63">
        <f>IF(AND(ISNUMBER(AQ63),逐级计算!$X$43&gt;-1),IF(逐级计算!$X$43=0,AQ63+逐级计算!$C$43,AQ63+逐级计算!$C$43-(10/(逐级计算!$Q$43*LN(10))*(MAX((LN(10^(逐级计算!$Q$43/10)-1)+逐级计算!$Q$43*(AQ63-逐级计算!$P$43)*LN(10)/10),0)+LN(1+EXP(-ABS((LN(10^(逐级计算!$Q$43/10)-1)+逐级计算!$Q$43*(AQ63-逐级计算!$P$43)*LN(10)/10))))))),"")</f>
        <v>13.7930365742089</v>
      </c>
      <c r="AS63">
        <f>IF(AND(ISNUMBER(AR63),逐级计算!$X$44&gt;-1),IF(逐级计算!$X$44=0,AR63+逐级计算!$C$44,AR63+逐级计算!$C$44-(10/(逐级计算!$Q$44*LN(10))*(MAX((LN(10^(逐级计算!$Q$44/10)-1)+逐级计算!$Q$44*(AR63-逐级计算!$P$44)*LN(10)/10),0)+LN(1+EXP(-ABS((LN(10^(逐级计算!$Q$44/10)-1)+逐级计算!$Q$44*(AR63-逐级计算!$P$44)*LN(10)/10))))))),"")</f>
        <v>13.7930365742089</v>
      </c>
      <c r="AT63">
        <f>IF(AND(ISNUMBER(AS63),逐级计算!$X$45&gt;-1),IF(逐级计算!$X$45=0,AS63+逐级计算!$C$45,AS63+逐级计算!$C$45-(10/(逐级计算!$Q$45*LN(10))*(MAX((LN(10^(逐级计算!$Q$45/10)-1)+逐级计算!$Q$45*(AS63-逐级计算!$P$45)*LN(10)/10),0)+LN(1+EXP(-ABS((LN(10^(逐级计算!$Q$45/10)-1)+逐级计算!$Q$45*(AS63-逐级计算!$P$45)*LN(10)/10))))))),"")</f>
        <v>13.7930365742089</v>
      </c>
      <c r="AU63">
        <f>IF(AND(ISNUMBER(AT63),逐级计算!$X$46&gt;-1),IF(逐级计算!$X$46=0,AT63+逐级计算!$C$46,AT63+逐级计算!$C$46-(10/(逐级计算!$Q$46*LN(10))*(MAX((LN(10^(逐级计算!$Q$46/10)-1)+逐级计算!$Q$46*(AT63-逐级计算!$P$46)*LN(10)/10),0)+LN(1+EXP(-ABS((LN(10^(逐级计算!$Q$46/10)-1)+逐级计算!$Q$46*(AT63-逐级计算!$P$46)*LN(10)/10))))))),"")</f>
        <v>13.7930365742089</v>
      </c>
      <c r="AV63">
        <f>IF(AND(ISNUMBER(AU63),逐级计算!$X$47&gt;-1),IF(逐级计算!$X$47=0,AU63+逐级计算!$C$47,AU63+逐级计算!$C$47-(10/(逐级计算!$Q$47*LN(10))*(MAX((LN(10^(逐级计算!$Q$47/10)-1)+逐级计算!$Q$47*(AU63-逐级计算!$P$47)*LN(10)/10),0)+LN(1+EXP(-ABS((LN(10^(逐级计算!$Q$47/10)-1)+逐级计算!$Q$47*(AU63-逐级计算!$P$47)*LN(10)/10))))))),"")</f>
        <v>13.7930365742089</v>
      </c>
      <c r="AW63">
        <f>IF(AND(ISNUMBER(AV63),逐级计算!$X$48&gt;-1),IF(逐级计算!$X$48=0,AV63+逐级计算!$C$48,AV63+逐级计算!$C$48-(10/(逐级计算!$Q$48*LN(10))*(MAX((LN(10^(逐级计算!$Q$48/10)-1)+逐级计算!$Q$48*(AV63-逐级计算!$P$48)*LN(10)/10),0)+LN(1+EXP(-ABS((LN(10^(逐级计算!$Q$48/10)-1)+逐级计算!$Q$48*(AV63-逐级计算!$P$48)*LN(10)/10))))))),"")</f>
        <v>13.7930365742089</v>
      </c>
      <c r="AX63">
        <f>IF(AND(ISNUMBER(AW63),逐级计算!$X$49&gt;-1),IF(逐级计算!$X$49=0,AW63+逐级计算!$C$49,AW63+逐级计算!$C$49-(10/(逐级计算!$Q$49*LN(10))*(MAX((LN(10^(逐级计算!$Q$49/10)-1)+逐级计算!$Q$49*(AW63-逐级计算!$P$49)*LN(10)/10),0)+LN(1+EXP(-ABS((LN(10^(逐级计算!$Q$49/10)-1)+逐级计算!$Q$49*(AW63-逐级计算!$P$49)*LN(10)/10))))))),"")</f>
        <v>13.7930365742089</v>
      </c>
      <c r="AY63">
        <f>IF(AND(ISNUMBER(AX63),逐级计算!$X$50&gt;-1),IF(逐级计算!$X$50=0,AX63+逐级计算!$C$50,AX63+逐级计算!$C$50-(10/(逐级计算!$Q$50*LN(10))*(MAX((LN(10^(逐级计算!$Q$50/10)-1)+逐级计算!$Q$50*(AX63-逐级计算!$P$50)*LN(10)/10),0)+LN(1+EXP(-ABS((LN(10^(逐级计算!$Q$50/10)-1)+逐级计算!$Q$50*(AX63-逐级计算!$P$50)*LN(10)/10))))))),"")</f>
        <v>13.7930365742089</v>
      </c>
      <c r="AZ63">
        <f>IF(AND(ISNUMBER(AY63),逐级计算!$X$51&gt;-1),IF(逐级计算!$X$51=0,AY63+逐级计算!$C$51,AY63+逐级计算!$C$51-(10/(逐级计算!$Q$51*LN(10))*(MAX((LN(10^(逐级计算!$Q$51/10)-1)+逐级计算!$Q$51*(AY63-逐级计算!$P$51)*LN(10)/10),0)+LN(1+EXP(-ABS((LN(10^(逐级计算!$Q$51/10)-1)+逐级计算!$Q$51*(AY63-逐级计算!$P$51)*LN(10)/10))))))),"")</f>
        <v>13.7930365742089</v>
      </c>
      <c r="BA63">
        <f>IF(AND(ISNUMBER(AZ63),逐级计算!$X$52&gt;-1),IF(逐级计算!$X$52=0,AZ63+逐级计算!$C$52,AZ63+逐级计算!$C$52-(10/(逐级计算!$Q$52*LN(10))*(MAX((LN(10^(逐级计算!$Q$52/10)-1)+逐级计算!$Q$52*(AZ63-逐级计算!$P$52)*LN(10)/10),0)+LN(1+EXP(-ABS((LN(10^(逐级计算!$Q$52/10)-1)+逐级计算!$Q$52*(AZ63-逐级计算!$P$52)*LN(10)/10))))))),"")</f>
        <v>13.7930365742089</v>
      </c>
      <c r="BB63">
        <f>IF(AND(ISNUMBER(BA63),逐级计算!$X$53&gt;-1),IF(逐级计算!$X$53=0,BA63+逐级计算!$C$53,BA63+逐级计算!$C$53-(10/(逐级计算!$Q$53*LN(10))*(MAX((LN(10^(逐级计算!$Q$53/10)-1)+逐级计算!$Q$53*(BA63-逐级计算!$P$53)*LN(10)/10),0)+LN(1+EXP(-ABS((LN(10^(逐级计算!$Q$53/10)-1)+逐级计算!$Q$53*(BA63-逐级计算!$P$53)*LN(10)/10))))))),"")</f>
        <v>13.7930365742089</v>
      </c>
      <c r="BC63">
        <f>IF(AND(ISNUMBER(BB63),逐级计算!$X$54&gt;-1),IF(逐级计算!$X$54=0,BB63+逐级计算!$C$54,BB63+逐级计算!$C$54-(10/(逐级计算!$Q$54*LN(10))*(MAX((LN(10^(逐级计算!$Q$54/10)-1)+逐级计算!$Q$54*(BB63-逐级计算!$P$54)*LN(10)/10),0)+LN(1+EXP(-ABS((LN(10^(逐级计算!$Q$54/10)-1)+逐级计算!$Q$54*(BB63-逐级计算!$P$54)*LN(10)/10))))))),"")</f>
        <v>13.7930365742089</v>
      </c>
      <c r="BD63">
        <f>IF(AND(ISNUMBER(BC63),逐级计算!$X$55&gt;-1),IF(逐级计算!$X$55=0,BC63+逐级计算!$C$55,BC63+逐级计算!$C$55-(10/(逐级计算!$Q$55*LN(10))*(MAX((LN(10^(逐级计算!$Q$55/10)-1)+逐级计算!$Q$55*(BC63-逐级计算!$P$55)*LN(10)/10),0)+LN(1+EXP(-ABS((LN(10^(逐级计算!$Q$55/10)-1)+逐级计算!$Q$55*(BC63-逐级计算!$P$55)*LN(10)/10))))))),"")</f>
        <v>13.7930365742089</v>
      </c>
      <c r="BE63">
        <f>IF(AND(ISNUMBER(BD63),逐级计算!$X$56&gt;-1),IF(逐级计算!$X$56=0,BD63+逐级计算!$C$56,BD63+逐级计算!$C$56-(10/(逐级计算!$Q$56*LN(10))*(MAX((LN(10^(逐级计算!$Q$56/10)-1)+逐级计算!$Q$56*(BD63-逐级计算!$P$56)*LN(10)/10),0)+LN(1+EXP(-ABS((LN(10^(逐级计算!$Q$56/10)-1)+逐级计算!$Q$56*(BD63-逐级计算!$P$56)*LN(10)/10))))))),"")</f>
        <v>13.7930365742089</v>
      </c>
      <c r="BF63">
        <f>IF(AND(ISNUMBER(BE63),逐级计算!$X$57&gt;-1),IF(逐级计算!$X$57=0,BE63+逐级计算!$C$57,BE63+逐级计算!$C$57-(10/(逐级计算!$Q$57*LN(10))*(MAX((LN(10^(逐级计算!$Q$57/10)-1)+逐级计算!$Q$57*(BE63-逐级计算!$P$57)*LN(10)/10),0)+LN(1+EXP(-ABS((LN(10^(逐级计算!$Q$57/10)-1)+逐级计算!$Q$57*(BE63-逐级计算!$P$57)*LN(10)/10))))))),"")</f>
        <v>13.7930365742089</v>
      </c>
      <c r="BG63">
        <f>IF(AND(ISNUMBER(BF63),逐级计算!$X$58&gt;-1),IF(逐级计算!$X$58=0,BF63+逐级计算!$C$58,BF63+逐级计算!$C$58-(10/(逐级计算!$Q$58*LN(10))*(MAX((LN(10^(逐级计算!$Q$58/10)-1)+逐级计算!$Q$58*(BF63-逐级计算!$P$58)*LN(10)/10),0)+LN(1+EXP(-ABS((LN(10^(逐级计算!$Q$58/10)-1)+逐级计算!$Q$58*(BF63-逐级计算!$P$58)*LN(10)/10))))))),"")</f>
        <v>13.7930365742089</v>
      </c>
      <c r="BH63">
        <f>IF(AND(ISNUMBER(BG63),逐级计算!$X$59&gt;-1),IF(逐级计算!$X$59=0,BG63+逐级计算!$C$59,BG63+逐级计算!$C$59-(10/(逐级计算!$Q$59*LN(10))*(MAX((LN(10^(逐级计算!$Q$59/10)-1)+逐级计算!$Q$59*(BG63-逐级计算!$P$59)*LN(10)/10),0)+LN(1+EXP(-ABS((LN(10^(逐级计算!$Q$59/10)-1)+逐级计算!$Q$59*(BG63-逐级计算!$P$59)*LN(10)/10))))))),"")</f>
        <v>13.7930365742089</v>
      </c>
      <c r="BI63">
        <f>IF(AND(ISNUMBER(BH63),逐级计算!$X$60&gt;-1),IF(逐级计算!$X$60=0,BH63+逐级计算!$C$60,BH63+逐级计算!$C$60-(10/(逐级计算!$Q$60*LN(10))*(MAX((LN(10^(逐级计算!$Q$60/10)-1)+逐级计算!$Q$60*(BH63-逐级计算!$P$60)*LN(10)/10),0)+LN(1+EXP(-ABS((LN(10^(逐级计算!$Q$60/10)-1)+逐级计算!$Q$60*(BH63-逐级计算!$P$60)*LN(10)/10))))))),"")</f>
        <v>13.7930365742089</v>
      </c>
      <c r="BJ63">
        <f>IF(AND(ISNUMBER(BI63),逐级计算!$X$61&gt;-1),IF(逐级计算!$X$61=0,BI63+逐级计算!$C$61,BI63+逐级计算!$C$61-(10/(逐级计算!$Q$61*LN(10))*(MAX((LN(10^(逐级计算!$Q$61/10)-1)+逐级计算!$Q$61*(BI63-逐级计算!$P$61)*LN(10)/10),0)+LN(1+EXP(-ABS((LN(10^(逐级计算!$Q$61/10)-1)+逐级计算!$Q$61*(BI63-逐级计算!$P$61)*LN(10)/10))))))),"")</f>
        <v>13.7930365742089</v>
      </c>
      <c r="BK63">
        <f>IF(AND(ISNUMBER(BJ63),逐级计算!$X$62&gt;-1),IF(逐级计算!$X$62=0,BJ63+逐级计算!$C$62,BJ63+逐级计算!$C$62-(10/(逐级计算!$Q$62*LN(10))*(MAX((LN(10^(逐级计算!$Q$62/10)-1)+逐级计算!$Q$62*(BJ63-逐级计算!$P$62)*LN(10)/10),0)+LN(1+EXP(-ABS((LN(10^(逐级计算!$Q$62/10)-1)+逐级计算!$Q$62*(BJ63-逐级计算!$P$62)*LN(10)/10))))))),"")</f>
        <v>13.7930365742089</v>
      </c>
      <c r="BL63">
        <f>IF(AND(ISNUMBER(BK63),逐级计算!$X$63&gt;-1),IF(逐级计算!$X$63=0,BK63+逐级计算!$C$63,BK63+逐级计算!$C$63-(10/(逐级计算!$Q$63*LN(10))*(MAX((LN(10^(逐级计算!$Q$63/10)-1)+逐级计算!$Q$63*(BK63-逐级计算!$P$63)*LN(10)/10),0)+LN(1+EXP(-ABS((LN(10^(逐级计算!$Q$63/10)-1)+逐级计算!$Q$63*(BK63-逐级计算!$P$63)*LN(10)/10))))))),"")</f>
        <v>13.7930365742089</v>
      </c>
      <c r="BM63">
        <f>IF(AND(ISNUMBER(BL63),逐级计算!$X$64&gt;-1),IF(逐级计算!$X$64=0,BL63+逐级计算!$C$64,BL63+逐级计算!$C$64-(10/(逐级计算!$Q$64*LN(10))*(MAX((LN(10^(逐级计算!$Q$64/10)-1)+逐级计算!$Q$64*(BL63-逐级计算!$P$64)*LN(10)/10),0)+LN(1+EXP(-ABS((LN(10^(逐级计算!$Q$64/10)-1)+逐级计算!$Q$64*(BL63-逐级计算!$P$64)*LN(10)/10))))))),"")</f>
        <v>13.7930365742089</v>
      </c>
      <c r="BN63">
        <f>IF(AND(ISNUMBER(BM63),逐级计算!$X$65&gt;-1),IF(逐级计算!$X$65=0,BM63+逐级计算!$C$65,BM63+逐级计算!$C$65-(10/(逐级计算!$Q$65*LN(10))*(MAX((LN(10^(逐级计算!$Q$65/10)-1)+逐级计算!$Q$65*(BM63-逐级计算!$P$65)*LN(10)/10),0)+LN(1+EXP(-ABS((LN(10^(逐级计算!$Q$65/10)-1)+逐级计算!$Q$65*(BM63-逐级计算!$P$65)*LN(10)/10))))))),"")</f>
        <v>13.7930365742089</v>
      </c>
      <c r="BO63">
        <f>IF(AND(ISNUMBER(BN63),逐级计算!$X$66&gt;-1),IF(逐级计算!$X$66=0,BN63+逐级计算!$C$66,BN63+逐级计算!$C$66-(10/(逐级计算!$Q$66*LN(10))*(MAX((LN(10^(逐级计算!$Q$66/10)-1)+逐级计算!$Q$66*(BN63-逐级计算!$P$66)*LN(10)/10),0)+LN(1+EXP(-ABS((LN(10^(逐级计算!$Q$66/10)-1)+逐级计算!$Q$66*(BN63-逐级计算!$P$66)*LN(10)/10))))))),"")</f>
        <v>13.7930365742089</v>
      </c>
      <c r="BP63">
        <f>IF(AND(ISNUMBER(BO63),逐级计算!$X$67&gt;-1),IF(逐级计算!$X$67=0,BO63+逐级计算!$C$67,BO63+逐级计算!$C$67-(10/(逐级计算!$Q$67*LN(10))*(MAX((LN(10^(逐级计算!$Q$67/10)-1)+逐级计算!$Q$67*(BO63-逐级计算!$P$67)*LN(10)/10),0)+LN(1+EXP(-ABS((LN(10^(逐级计算!$Q$67/10)-1)+逐级计算!$Q$67*(BO63-逐级计算!$P$67)*LN(10)/10))))))),"")</f>
        <v>13.7930365742089</v>
      </c>
      <c r="BQ63">
        <f>IF(AND(ISNUMBER(BP63),逐级计算!$X$68&gt;-1),IF(逐级计算!$X$68=0,BP63+逐级计算!$C$68,BP63+逐级计算!$C$68-(10/(逐级计算!$Q$68*LN(10))*(MAX((LN(10^(逐级计算!$Q$68/10)-1)+逐级计算!$Q$68*(BP63-逐级计算!$P$68)*LN(10)/10),0)+LN(1+EXP(-ABS((LN(10^(逐级计算!$Q$68/10)-1)+逐级计算!$Q$68*(BP63-逐级计算!$P$68)*LN(10)/10))))))),"")</f>
        <v>13.7930365742089</v>
      </c>
      <c r="BR63">
        <f>IF(AND(ISNUMBER(BQ63),逐级计算!$X$69&gt;-1),IF(逐级计算!$X$69=0,BQ63+逐级计算!$C$69,BQ63+逐级计算!$C$69-(10/(逐级计算!$Q$69*LN(10))*(MAX((LN(10^(逐级计算!$Q$69/10)-1)+逐级计算!$Q$69*(BQ63-逐级计算!$P$69)*LN(10)/10),0)+LN(1+EXP(-ABS((LN(10^(逐级计算!$Q$69/10)-1)+逐级计算!$Q$69*(BQ63-逐级计算!$P$69)*LN(10)/10))))))),"")</f>
        <v>13.7930365742089</v>
      </c>
      <c r="BS63">
        <f>IF(AND(ISNUMBER(BR63),逐级计算!$X$70&gt;-1),IF(逐级计算!$X$70=0,BR63+逐级计算!$C$70,BR63+逐级计算!$C$70-(10/(逐级计算!$Q$70*LN(10))*(MAX((LN(10^(逐级计算!$Q$70/10)-1)+逐级计算!$Q$70*(BR63-逐级计算!$P$70)*LN(10)/10),0)+LN(1+EXP(-ABS((LN(10^(逐级计算!$Q$70/10)-1)+逐级计算!$Q$70*(BR63-逐级计算!$P$70)*LN(10)/10))))))),"")</f>
        <v>13.7930365742089</v>
      </c>
      <c r="BT63">
        <f>IF(AND(ISNUMBER(BS63),逐级计算!$X$71&gt;-1),IF(逐级计算!$X$71=0,BS63+逐级计算!$C$71,BS63+逐级计算!$C$71-(10/(逐级计算!$Q$71*LN(10))*(MAX((LN(10^(逐级计算!$Q$71/10)-1)+逐级计算!$Q$71*(BS63-逐级计算!$P$71)*LN(10)/10),0)+LN(1+EXP(-ABS((LN(10^(逐级计算!$Q$71/10)-1)+逐级计算!$Q$71*(BS63-逐级计算!$P$71)*LN(10)/10))))))),"")</f>
        <v>13.7930365742089</v>
      </c>
      <c r="BU63">
        <f>IF(AND(ISNUMBER(BT63),逐级计算!$X$72&gt;-1),IF(逐级计算!$X$72=0,BT63+逐级计算!$C$72,BT63+逐级计算!$C$72-(10/(逐级计算!$Q$72*LN(10))*(MAX((LN(10^(逐级计算!$Q$72/10)-1)+逐级计算!$Q$72*(BT63-逐级计算!$P$72)*LN(10)/10),0)+LN(1+EXP(-ABS((LN(10^(逐级计算!$Q$72/10)-1)+逐级计算!$Q$72*(BT63-逐级计算!$P$72)*LN(10)/10))))))),"")</f>
        <v>13.7930365742089</v>
      </c>
      <c r="BV63">
        <f>IF(AND(ISNUMBER(BU63),逐级计算!$X$73&gt;-1),IF(逐级计算!$X$73=0,BU63+逐级计算!$C$73,BU63+逐级计算!$C$73-(10/(逐级计算!$Q$73*LN(10))*(MAX((LN(10^(逐级计算!$Q$73/10)-1)+逐级计算!$Q$73*(BU63-逐级计算!$P$73)*LN(10)/10),0)+LN(1+EXP(-ABS((LN(10^(逐级计算!$Q$73/10)-1)+逐级计算!$Q$73*(BU63-逐级计算!$P$73)*LN(10)/10))))))),"")</f>
        <v>13.7930365742089</v>
      </c>
      <c r="BW63">
        <f>IF(AND(ISNUMBER(BV63),逐级计算!$X$74&gt;-1),IF(逐级计算!$X$74=0,BV63+逐级计算!$C$74,BV63+逐级计算!$C$74-(10/(逐级计算!$Q$74*LN(10))*(MAX((LN(10^(逐级计算!$Q$74/10)-1)+逐级计算!$Q$74*(BV63-逐级计算!$P$74)*LN(10)/10),0)+LN(1+EXP(-ABS((LN(10^(逐级计算!$Q$74/10)-1)+逐级计算!$Q$74*(BV63-逐级计算!$P$74)*LN(10)/10))))))),"")</f>
        <v>13.7930365742089</v>
      </c>
      <c r="BX63">
        <f>IF(AND(ISNUMBER(BW63),逐级计算!$X$75&gt;-1),IF(逐级计算!$X$75=0,BW63+逐级计算!$C$75,BW63+逐级计算!$C$75-(10/(逐级计算!$Q$75*LN(10))*(MAX((LN(10^(逐级计算!$Q$75/10)-1)+逐级计算!$Q$75*(BW63-逐级计算!$P$75)*LN(10)/10),0)+LN(1+EXP(-ABS((LN(10^(逐级计算!$Q$75/10)-1)+逐级计算!$Q$75*(BW63-逐级计算!$P$75)*LN(10)/10))))))),"")</f>
        <v>13.7930365742089</v>
      </c>
      <c r="BY63">
        <f>IF(AND(ISNUMBER(BX63),逐级计算!$X$76&gt;-1),IF(逐级计算!$X$76=0,BX63+逐级计算!$C$76,BX63+逐级计算!$C$76-(10/(逐级计算!$Q$76*LN(10))*(MAX((LN(10^(逐级计算!$Q$76/10)-1)+逐级计算!$Q$76*(BX63-逐级计算!$P$76)*LN(10)/10),0)+LN(1+EXP(-ABS((LN(10^(逐级计算!$Q$76/10)-1)+逐级计算!$Q$76*(BX63-逐级计算!$P$76)*LN(10)/10))))))),"")</f>
        <v>13.7930365742089</v>
      </c>
      <c r="BZ63">
        <f>IF(AND(ISNUMBER(BY63),逐级计算!$X$77&gt;-1),IF(逐级计算!$X$77=0,BY63+逐级计算!$C$77,BY63+逐级计算!$C$77-(10/(逐级计算!$Q$77*LN(10))*(MAX((LN(10^(逐级计算!$Q$77/10)-1)+逐级计算!$Q$77*(BY63-逐级计算!$P$77)*LN(10)/10),0)+LN(1+EXP(-ABS((LN(10^(逐级计算!$Q$77/10)-1)+逐级计算!$Q$77*(BY63-逐级计算!$P$77)*LN(10)/10))))))),"")</f>
        <v>13.7930365742089</v>
      </c>
      <c r="CA63">
        <f>IF(AND(ISNUMBER(BZ63),逐级计算!$X$78&gt;-1),IF(逐级计算!$X$78=0,BZ63+逐级计算!$C$78,BZ63+逐级计算!$C$78-(10/(逐级计算!$Q$78*LN(10))*(MAX((LN(10^(逐级计算!$Q$78/10)-1)+逐级计算!$Q$78*(BZ63-逐级计算!$P$78)*LN(10)/10),0)+LN(1+EXP(-ABS((LN(10^(逐级计算!$Q$78/10)-1)+逐级计算!$Q$78*(BZ63-逐级计算!$P$78)*LN(10)/10))))))),"")</f>
        <v>13.7930365742089</v>
      </c>
      <c r="CB63">
        <f>IF(AND(ISNUMBER(CA63),逐级计算!$X$79&gt;-1),IF(逐级计算!$X$79=0,CA63+逐级计算!$C$79,CA63+逐级计算!$C$79-(10/(逐级计算!$Q$79*LN(10))*(MAX((LN(10^(逐级计算!$Q$79/10)-1)+逐级计算!$Q$79*(CA63-逐级计算!$P$79)*LN(10)/10),0)+LN(1+EXP(-ABS((LN(10^(逐级计算!$Q$79/10)-1)+逐级计算!$Q$79*(CA63-逐级计算!$P$79)*LN(10)/10))))))),"")</f>
        <v>13.7930365742089</v>
      </c>
      <c r="CC63">
        <f>IF(AND(ISNUMBER(CB63),逐级计算!$X$80&gt;-1),IF(逐级计算!$X$80=0,CB63+逐级计算!$C$80,CB63+逐级计算!$C$80-(10/(逐级计算!$Q$80*LN(10))*(MAX((LN(10^(逐级计算!$Q$80/10)-1)+逐级计算!$Q$80*(CB63-逐级计算!$P$80)*LN(10)/10),0)+LN(1+EXP(-ABS((LN(10^(逐级计算!$Q$80/10)-1)+逐级计算!$Q$80*(CB63-逐级计算!$P$80)*LN(10)/10))))))),"")</f>
        <v>13.7930365742089</v>
      </c>
      <c r="CD63">
        <f>IF(AND(ISNUMBER(CC63),逐级计算!$X$81&gt;-1),IF(逐级计算!$X$81=0,CC63+逐级计算!$C$81,CC63+逐级计算!$C$81-(10/(逐级计算!$Q$81*LN(10))*(MAX((LN(10^(逐级计算!$Q$81/10)-1)+逐级计算!$Q$81*(CC63-逐级计算!$P$81)*LN(10)/10),0)+LN(1+EXP(-ABS((LN(10^(逐级计算!$Q$81/10)-1)+逐级计算!$Q$81*(CC63-逐级计算!$P$81)*LN(10)/10))))))),"")</f>
        <v>13.7930365742089</v>
      </c>
      <c r="CE63">
        <f>IF(AND(ISNUMBER(CD63),逐级计算!$X$82&gt;-1),IF(逐级计算!$X$82=0,CD63+逐级计算!$C$82,CD63+逐级计算!$C$82-(10/(逐级计算!$Q$82*LN(10))*(MAX((LN(10^(逐级计算!$Q$82/10)-1)+逐级计算!$Q$82*(CD63-逐级计算!$P$82)*LN(10)/10),0)+LN(1+EXP(-ABS((LN(10^(逐级计算!$Q$82/10)-1)+逐级计算!$Q$82*(CD63-逐级计算!$P$82)*LN(10)/10))))))),"")</f>
        <v>13.7930365742089</v>
      </c>
      <c r="CF63">
        <f>IF(AND(ISNUMBER(CE63),逐级计算!$X$83&gt;-1),IF(逐级计算!$X$83=0,CE63+逐级计算!$C$83,CE63+逐级计算!$C$83-(10/(逐级计算!$Q$83*LN(10))*(MAX((LN(10^(逐级计算!$Q$83/10)-1)+逐级计算!$Q$83*(CE63-逐级计算!$P$83)*LN(10)/10),0)+LN(1+EXP(-ABS((LN(10^(逐级计算!$Q$83/10)-1)+逐级计算!$Q$83*(CE63-逐级计算!$P$83)*LN(10)/10))))))),"")</f>
        <v>13.7930365742089</v>
      </c>
      <c r="CG63">
        <f>IF(AND(ISNUMBER(CF63),逐级计算!$X$84&gt;-1),IF(逐级计算!$X$84=0,CF63+逐级计算!$C$84,CF63+逐级计算!$C$84-(10/(逐级计算!$Q$84*LN(10))*(MAX((LN(10^(逐级计算!$Q$84/10)-1)+逐级计算!$Q$84*(CF63-逐级计算!$P$84)*LN(10)/10),0)+LN(1+EXP(-ABS((LN(10^(逐级计算!$Q$84/10)-1)+逐级计算!$Q$84*(CF63-逐级计算!$P$84)*LN(10)/10))))))),"")</f>
        <v>13.7930365742089</v>
      </c>
      <c r="CH63">
        <f>IF(AND(ISNUMBER(CG63),逐级计算!$X$85&gt;-1),IF(逐级计算!$X$85=0,CG63+逐级计算!$C$85,CG63+逐级计算!$C$85-(10/(逐级计算!$Q$85*LN(10))*(MAX((LN(10^(逐级计算!$Q$85/10)-1)+逐级计算!$Q$85*(CG63-逐级计算!$P$85)*LN(10)/10),0)+LN(1+EXP(-ABS((LN(10^(逐级计算!$Q$85/10)-1)+逐级计算!$Q$85*(CG63-逐级计算!$P$85)*LN(10)/10))))))),"")</f>
        <v>13.7930365742089</v>
      </c>
      <c r="CI63">
        <f>IF(AND(ISNUMBER(CH63),逐级计算!$X$86&gt;-1),IF(逐级计算!$X$86=0,CH63+逐级计算!$C$86,CH63+逐级计算!$C$86-(10/(逐级计算!$Q$86*LN(10))*(MAX((LN(10^(逐级计算!$Q$86/10)-1)+逐级计算!$Q$86*(CH63-逐级计算!$P$86)*LN(10)/10),0)+LN(1+EXP(-ABS((LN(10^(逐级计算!$Q$86/10)-1)+逐级计算!$Q$86*(CH63-逐级计算!$P$86)*LN(10)/10))))))),"")</f>
        <v>13.7930365742089</v>
      </c>
      <c r="CJ63">
        <f>IF(AND(ISNUMBER(CI63),逐级计算!$X$87&gt;-1),IF(逐级计算!$X$87=0,CI63+逐级计算!$C$87,CI63+逐级计算!$C$87-(10/(逐级计算!$Q$87*LN(10))*(MAX((LN(10^(逐级计算!$Q$87/10)-1)+逐级计算!$Q$87*(CI63-逐级计算!$P$87)*LN(10)/10),0)+LN(1+EXP(-ABS((LN(10^(逐级计算!$Q$87/10)-1)+逐级计算!$Q$87*(CI63-逐级计算!$P$87)*LN(10)/10))))))),"")</f>
        <v>13.7930365742089</v>
      </c>
      <c r="CK63">
        <f>IF(AND(ISNUMBER(CJ63),逐级计算!$X$88&gt;-1),IF(逐级计算!$X$88=0,CJ63+逐级计算!$C$88,CJ63+逐级计算!$C$88-(10/(逐级计算!$Q$88*LN(10))*(MAX((LN(10^(逐级计算!$Q$88/10)-1)+逐级计算!$Q$88*(CJ63-逐级计算!$P$88)*LN(10)/10),0)+LN(1+EXP(-ABS((LN(10^(逐级计算!$Q$88/10)-1)+逐级计算!$Q$88*(CJ63-逐级计算!$P$88)*LN(10)/10))))))),"")</f>
        <v>13.7930365742089</v>
      </c>
      <c r="CL63">
        <f>IF(AND(ISNUMBER(CK63),逐级计算!$X$89&gt;-1),IF(逐级计算!$X$89=0,CK63+逐级计算!$C$89,CK63+逐级计算!$C$89-(10/(逐级计算!$Q$89*LN(10))*(MAX((LN(10^(逐级计算!$Q$89/10)-1)+逐级计算!$Q$89*(CK63-逐级计算!$P$89)*LN(10)/10),0)+LN(1+EXP(-ABS((LN(10^(逐级计算!$Q$89/10)-1)+逐级计算!$Q$89*(CK63-逐级计算!$P$89)*LN(10)/10))))))),"")</f>
        <v>13.7930365742089</v>
      </c>
      <c r="CM63">
        <f>IF(AND(ISNUMBER(CL63),逐级计算!$X$90&gt;-1),IF(逐级计算!$X$90=0,CL63+逐级计算!$C$90,CL63+逐级计算!$C$90-(10/(逐级计算!$Q$90*LN(10))*(MAX((LN(10^(逐级计算!$Q$90/10)-1)+逐级计算!$Q$90*(CL63-逐级计算!$P$90)*LN(10)/10),0)+LN(1+EXP(-ABS((LN(10^(逐级计算!$Q$90/10)-1)+逐级计算!$Q$90*(CL63-逐级计算!$P$90)*LN(10)/10))))))),"")</f>
        <v>13.7930365742089</v>
      </c>
      <c r="CN63">
        <f>IF(AND(ISNUMBER(CM63),逐级计算!$X$91&gt;-1),IF(逐级计算!$X$91=0,CM63+逐级计算!$C$91,CM63+逐级计算!$C$91-(10/(逐级计算!$Q$91*LN(10))*(MAX((LN(10^(逐级计算!$Q$91/10)-1)+逐级计算!$Q$91*(CM63-逐级计算!$P$91)*LN(10)/10),0)+LN(1+EXP(-ABS((LN(10^(逐级计算!$Q$91/10)-1)+逐级计算!$Q$91*(CM63-逐级计算!$P$91)*LN(10)/10))))))),"")</f>
        <v>13.7930365742089</v>
      </c>
      <c r="CO63">
        <f>IF(AND(ISNUMBER(CN63),逐级计算!$X$92&gt;-1),IF(逐级计算!$X$92=0,CN63+逐级计算!$C$92,CN63+逐级计算!$C$92-(10/(逐级计算!$Q$92*LN(10))*(MAX((LN(10^(逐级计算!$Q$92/10)-1)+逐级计算!$Q$92*(CN63-逐级计算!$P$92)*LN(10)/10),0)+LN(1+EXP(-ABS((LN(10^(逐级计算!$Q$92/10)-1)+逐级计算!$Q$92*(CN63-逐级计算!$P$92)*LN(10)/10))))))),"")</f>
        <v>13.7930365742089</v>
      </c>
      <c r="CP63">
        <f>IF(AND(ISNUMBER(CO63),逐级计算!$X$93&gt;-1),IF(逐级计算!$X$93=0,CO63+逐级计算!$C$93,CO63+逐级计算!$C$93-(10/(逐级计算!$Q$93*LN(10))*(MAX((LN(10^(逐级计算!$Q$93/10)-1)+逐级计算!$Q$93*(CO63-逐级计算!$P$93)*LN(10)/10),0)+LN(1+EXP(-ABS((LN(10^(逐级计算!$Q$93/10)-1)+逐级计算!$Q$93*(CO63-逐级计算!$P$93)*LN(10)/10))))))),"")</f>
        <v>13.7930365742089</v>
      </c>
      <c r="CQ63">
        <f>IF(AND(ISNUMBER(CP63),逐级计算!$X$94&gt;-1),IF(逐级计算!$X$94=0,CP63+逐级计算!$C$94,CP63+逐级计算!$C$94-(10/(逐级计算!$Q$94*LN(10))*(MAX((LN(10^(逐级计算!$Q$94/10)-1)+逐级计算!$Q$94*(CP63-逐级计算!$P$94)*LN(10)/10),0)+LN(1+EXP(-ABS((LN(10^(逐级计算!$Q$94/10)-1)+逐级计算!$Q$94*(CP63-逐级计算!$P$94)*LN(10)/10))))))),"")</f>
        <v>13.7930365742089</v>
      </c>
      <c r="CR63">
        <f>IF(AND(ISNUMBER(CQ63),逐级计算!$X$95&gt;-1),IF(逐级计算!$X$95=0,CQ63+逐级计算!$C$95,CQ63+逐级计算!$C$95-(10/(逐级计算!$Q$95*LN(10))*(MAX((LN(10^(逐级计算!$Q$95/10)-1)+逐级计算!$Q$95*(CQ63-逐级计算!$P$95)*LN(10)/10),0)+LN(1+EXP(-ABS((LN(10^(逐级计算!$Q$95/10)-1)+逐级计算!$Q$95*(CQ63-逐级计算!$P$95)*LN(10)/10))))))),"")</f>
        <v>13.7930365742089</v>
      </c>
      <c r="CS63">
        <f>IF(AND(ISNUMBER(CR63),逐级计算!$X$96&gt;-1),IF(逐级计算!$X$96=0,CR63+逐级计算!$C$96,CR63+逐级计算!$C$96-(10/(逐级计算!$Q$96*LN(10))*(MAX((LN(10^(逐级计算!$Q$96/10)-1)+逐级计算!$Q$96*(CR63-逐级计算!$P$96)*LN(10)/10),0)+LN(1+EXP(-ABS((LN(10^(逐级计算!$Q$96/10)-1)+逐级计算!$Q$96*(CR63-逐级计算!$P$96)*LN(10)/10))))))),"")</f>
        <v>13.7930365742089</v>
      </c>
      <c r="CT63">
        <f>IF(AND(ISNUMBER(CS63),逐级计算!$X$97&gt;-1),IF(逐级计算!$X$97=0,CS63+逐级计算!$C$97,CS63+逐级计算!$C$97-(10/(逐级计算!$Q$97*LN(10))*(MAX((LN(10^(逐级计算!$Q$97/10)-1)+逐级计算!$Q$97*(CS63-逐级计算!$P$97)*LN(10)/10),0)+LN(1+EXP(-ABS((LN(10^(逐级计算!$Q$97/10)-1)+逐级计算!$Q$97*(CS63-逐级计算!$P$97)*LN(10)/10))))))),"")</f>
        <v>13.7930365742089</v>
      </c>
      <c r="CU63">
        <f>IF(AND(ISNUMBER(CT63),逐级计算!$X$98&gt;-1),IF(逐级计算!$X$98=0,CT63+逐级计算!$C$98,CT63+逐级计算!$C$98-(10/(逐级计算!$Q$98*LN(10))*(MAX((LN(10^(逐级计算!$Q$98/10)-1)+逐级计算!$Q$98*(CT63-逐级计算!$P$98)*LN(10)/10),0)+LN(1+EXP(-ABS((LN(10^(逐级计算!$Q$98/10)-1)+逐级计算!$Q$98*(CT63-逐级计算!$P$98)*LN(10)/10))))))),"")</f>
        <v>13.7930365742089</v>
      </c>
      <c r="CV63">
        <f>IF(AND(ISNUMBER(CU63),逐级计算!$X$99&gt;-1),IF(逐级计算!$X$99=0,CU63+逐级计算!$C$99,CU63+逐级计算!$C$99-(10/(逐级计算!$Q$99*LN(10))*(MAX((LN(10^(逐级计算!$Q$99/10)-1)+逐级计算!$Q$99*(CU63-逐级计算!$P$99)*LN(10)/10),0)+LN(1+EXP(-ABS((LN(10^(逐级计算!$Q$99/10)-1)+逐级计算!$Q$99*(CU63-逐级计算!$P$99)*LN(10)/10))))))),"")</f>
        <v>13.7930365742089</v>
      </c>
      <c r="CW63">
        <f>IF(AND(ISNUMBER(CV63),逐级计算!$X$100&gt;-1),IF(逐级计算!$X$100=0,CV63+逐级计算!$C$100,CV63+逐级计算!$C$100-(10/(逐级计算!$Q$100*LN(10))*(MAX((LN(10^(逐级计算!$Q$100/10)-1)+逐级计算!$Q$100*(CV63-逐级计算!$P$100)*LN(10)/10),0)+LN(1+EXP(-ABS((LN(10^(逐级计算!$Q$100/10)-1)+逐级计算!$Q$100*(CV63-逐级计算!$P$100)*LN(10)/10))))))),"")</f>
        <v>13.7930365742089</v>
      </c>
      <c r="CX63">
        <f>IF(AND(ISNUMBER(CW63),逐级计算!$X$101&gt;-1),IF(逐级计算!$X$101=0,CW63+逐级计算!$C$101,CW63+逐级计算!$C$101-(10/(逐级计算!$Q$101*LN(10))*(MAX((LN(10^(逐级计算!$Q$101/10)-1)+逐级计算!$Q$101*(CW63-逐级计算!$P$101)*LN(10)/10),0)+LN(1+EXP(-ABS((LN(10^(逐级计算!$Q$101/10)-1)+逐级计算!$Q$101*(CW63-逐级计算!$P$101)*LN(10)/10))))))),"")</f>
        <v>13.7930365742089</v>
      </c>
      <c r="CY63">
        <f>IF(AND(ISNUMBER(CX63),逐级计算!$X$102&gt;-1),IF(逐级计算!$X$102=0,CX63+逐级计算!$C$102,CX63+逐级计算!$C$102-(10/(逐级计算!$Q$102*LN(10))*(MAX((LN(10^(逐级计算!$Q$102/10)-1)+逐级计算!$Q$102*(CX63-逐级计算!$P$102)*LN(10)/10),0)+LN(1+EXP(-ABS((LN(10^(逐级计算!$Q$102/10)-1)+逐级计算!$Q$102*(CX63-逐级计算!$P$102)*LN(10)/10))))))),"")</f>
        <v>13.7930365742089</v>
      </c>
      <c r="CZ63">
        <f>IF(AND(ISNUMBER(CY63),逐级计算!$X$103&gt;-1),IF(逐级计算!$X$103=0,CY63+逐级计算!$C$103,CY63+逐级计算!$C$103-(10/(逐级计算!$Q$103*LN(10))*(MAX((LN(10^(逐级计算!$Q$103/10)-1)+逐级计算!$Q$103*(CY63-逐级计算!$P$103)*LN(10)/10),0)+LN(1+EXP(-ABS((LN(10^(逐级计算!$Q$103/10)-1)+逐级计算!$Q$103*(CY63-逐级计算!$P$103)*LN(10)/10))))))),"")</f>
        <v>13.7930365742089</v>
      </c>
      <c r="DA63">
        <f>IF(AND(ISNUMBER(CZ63),逐级计算!$X$104&gt;-1),IF(逐级计算!$X$104=0,CZ63+逐级计算!$C$104,CZ63+逐级计算!$C$104-(10/(逐级计算!$Q$104*LN(10))*(MAX((LN(10^(逐级计算!$Q$104/10)-1)+逐级计算!$Q$104*(CZ63-逐级计算!$P$104)*LN(10)/10),0)+LN(1+EXP(-ABS((LN(10^(逐级计算!$Q$104/10)-1)+逐级计算!$Q$104*(CZ63-逐级计算!$P$104)*LN(10)/10))))))),"")</f>
        <v>13.7930365742089</v>
      </c>
      <c r="DB63">
        <f>IF(AND(ISNUMBER(DA63),逐级计算!$X$105&gt;-1),IF(逐级计算!$X$105=0,DA63+逐级计算!$C$105,DA63+逐级计算!$C$105-(10/(逐级计算!$Q$105*LN(10))*(MAX((LN(10^(逐级计算!$Q$105/10)-1)+逐级计算!$Q$105*(DA63-逐级计算!$P$105)*LN(10)/10),0)+LN(1+EXP(-ABS((LN(10^(逐级计算!$Q$105/10)-1)+逐级计算!$Q$105*(DA63-逐级计算!$P$105)*LN(10)/10))))))),"")</f>
        <v>13.7930365742089</v>
      </c>
      <c r="DC63">
        <f>IF(AND(ISNUMBER(DB63),逐级计算!$X$106&gt;-1),IF(逐级计算!$X$106=0,DB63+逐级计算!$C$106,DB63+逐级计算!$C$106-(10/(逐级计算!$Q$106*LN(10))*(MAX((LN(10^(逐级计算!$Q$106/10)-1)+逐级计算!$Q$106*(DB63-逐级计算!$P$106)*LN(10)/10),0)+LN(1+EXP(-ABS((LN(10^(逐级计算!$Q$106/10)-1)+逐级计算!$Q$106*(DB63-逐级计算!$P$106)*LN(10)/10))))))),"")</f>
        <v>13.7930365742089</v>
      </c>
      <c r="DD63">
        <f>IF(AND(ISNUMBER(DC63),逐级计算!$X$107&gt;-1),IF(逐级计算!$X$107=0,DC63+逐级计算!$C$107,DC63+逐级计算!$C$107-(10/(逐级计算!$Q$107*LN(10))*(MAX((LN(10^(逐级计算!$Q$107/10)-1)+逐级计算!$Q$107*(DC63-逐级计算!$P$107)*LN(10)/10),0)+LN(1+EXP(-ABS((LN(10^(逐级计算!$Q$107/10)-1)+逐级计算!$Q$107*(DC63-逐级计算!$P$107)*LN(10)/10))))))),"")</f>
        <v>13.7930365742089</v>
      </c>
      <c r="DE63">
        <f>IF(AND(ISNUMBER(DD63),逐级计算!$X$108&gt;-1),IF(逐级计算!$X$108=0,DD63+逐级计算!$C$108,DD63+逐级计算!$C$108-(10/(逐级计算!$Q$108*LN(10))*(MAX((LN(10^(逐级计算!$Q$108/10)-1)+逐级计算!$Q$108*(DD63-逐级计算!$P$108)*LN(10)/10),0)+LN(1+EXP(-ABS((LN(10^(逐级计算!$Q$108/10)-1)+逐级计算!$Q$108*(DD63-逐级计算!$P$108)*LN(10)/10))))))),"")</f>
        <v>13.7930365742089</v>
      </c>
      <c r="DF63">
        <f>IF(AND(ISNUMBER(DE63),逐级计算!$X$109&gt;-1),IF(逐级计算!$X$109=0,DE63+逐级计算!$C$109,DE63+逐级计算!$C$109-(10/(逐级计算!$Q$109*LN(10))*(MAX((LN(10^(逐级计算!$Q$109/10)-1)+逐级计算!$Q$109*(DE63-逐级计算!$P$109)*LN(10)/10),0)+LN(1+EXP(-ABS((LN(10^(逐级计算!$Q$109/10)-1)+逐级计算!$Q$109*(DE63-逐级计算!$P$109)*LN(10)/10))))))),"")</f>
        <v>13.7930365742089</v>
      </c>
      <c r="DG63">
        <f>IF(AND(ISNUMBER(DF63),逐级计算!$X$110&gt;-1),IF(逐级计算!$X$110=0,DF63+逐级计算!$C$110,DF63+逐级计算!$C$110-(10/(逐级计算!$Q$110*LN(10))*(MAX((LN(10^(逐级计算!$Q$110/10)-1)+逐级计算!$Q$110*(DF63-逐级计算!$P$110)*LN(10)/10),0)+LN(1+EXP(-ABS((LN(10^(逐级计算!$Q$110/10)-1)+逐级计算!$Q$110*(DF63-逐级计算!$P$110)*LN(10)/10))))))),"")</f>
        <v>13.7930365742089</v>
      </c>
      <c r="DH63">
        <f>IF(AND(ISNUMBER(DG63),逐级计算!$X$111&gt;-1),IF(逐级计算!$X$111=0,DG63+逐级计算!$C$111,DG63+逐级计算!$C$111-(10/(逐级计算!$Q$111*LN(10))*(MAX((LN(10^(逐级计算!$Q$111/10)-1)+逐级计算!$Q$111*(DG63-逐级计算!$P$111)*LN(10)/10),0)+LN(1+EXP(-ABS((LN(10^(逐级计算!$Q$111/10)-1)+逐级计算!$Q$111*(DG63-逐级计算!$P$111)*LN(10)/10))))))),"")</f>
        <v>13.7930365742089</v>
      </c>
      <c r="DI63">
        <f>IF(AND(ISNUMBER(DH63),逐级计算!$X$112&gt;-1),IF(逐级计算!$X$112=0,DH63+逐级计算!$C$112,DH63+逐级计算!$C$112-(10/(逐级计算!$Q$112*LN(10))*(MAX((LN(10^(逐级计算!$Q$112/10)-1)+逐级计算!$Q$112*(DH63-逐级计算!$P$112)*LN(10)/10),0)+LN(1+EXP(-ABS((LN(10^(逐级计算!$Q$112/10)-1)+逐级计算!$Q$112*(DH63-逐级计算!$P$112)*LN(10)/10))))))),"")</f>
        <v>13.7930365742089</v>
      </c>
      <c r="DJ63">
        <f>IF(AND(ISNUMBER(DI63),逐级计算!$X$113&gt;-1),IF(逐级计算!$X$113=0,DI63+逐级计算!$C$113,DI63+逐级计算!$C$113-(10/(逐级计算!$Q$113*LN(10))*(MAX((LN(10^(逐级计算!$Q$113/10)-1)+逐级计算!$Q$113*(DI63-逐级计算!$P$113)*LN(10)/10),0)+LN(1+EXP(-ABS((LN(10^(逐级计算!$Q$113/10)-1)+逐级计算!$Q$113*(DI63-逐级计算!$P$113)*LN(10)/10))))))),"")</f>
        <v>13.7930365742089</v>
      </c>
      <c r="DK63">
        <f>IF(AND(ISNUMBER(DJ63),逐级计算!$X$114&gt;-1),IF(逐级计算!$X$114=0,DJ63+逐级计算!$C$114,DJ63+逐级计算!$C$114-(10/(逐级计算!$Q$114*LN(10))*(MAX((LN(10^(逐级计算!$Q$114/10)-1)+逐级计算!$Q$114*(DJ63-逐级计算!$P$114)*LN(10)/10),0)+LN(1+EXP(-ABS((LN(10^(逐级计算!$Q$114/10)-1)+逐级计算!$Q$114*(DJ63-逐级计算!$P$114)*LN(10)/10))))))),"")</f>
        <v>13.7930365742089</v>
      </c>
      <c r="DL63">
        <f>IF(AND(ISNUMBER(DK63),逐级计算!$X$115&gt;-1),IF(逐级计算!$X$115=0,DK63+逐级计算!$C$115,DK63+逐级计算!$C$115-(10/(逐级计算!$Q$115*LN(10))*(MAX((LN(10^(逐级计算!$Q$115/10)-1)+逐级计算!$Q$115*(DK63-逐级计算!$P$115)*LN(10)/10),0)+LN(1+EXP(-ABS((LN(10^(逐级计算!$Q$115/10)-1)+逐级计算!$Q$115*(DK63-逐级计算!$P$115)*LN(10)/10))))))),"")</f>
        <v>13.7930365742089</v>
      </c>
      <c r="DM63">
        <f>IF(AND(ISNUMBER(DL63),逐级计算!$X$116&gt;-1),IF(逐级计算!$X$116=0,DL63+逐级计算!$C$116,DL63+逐级计算!$C$116-(10/(逐级计算!$Q$116*LN(10))*(MAX((LN(10^(逐级计算!$Q$116/10)-1)+逐级计算!$Q$116*(DL63-逐级计算!$P$116)*LN(10)/10),0)+LN(1+EXP(-ABS((LN(10^(逐级计算!$Q$116/10)-1)+逐级计算!$Q$116*(DL63-逐级计算!$P$116)*LN(10)/10))))))),"")</f>
        <v>13.7930365742089</v>
      </c>
      <c r="DN63">
        <f>IF(AND(ISNUMBER(DM63),逐级计算!$X$117&gt;-1),IF(逐级计算!$X$117=0,DM63+逐级计算!$C$117,DM63+逐级计算!$C$117-(10/(逐级计算!$Q$117*LN(10))*(MAX((LN(10^(逐级计算!$Q$117/10)-1)+逐级计算!$Q$117*(DM63-逐级计算!$P$117)*LN(10)/10),0)+LN(1+EXP(-ABS((LN(10^(逐级计算!$Q$117/10)-1)+逐级计算!$Q$117*(DM63-逐级计算!$P$117)*LN(10)/10))))))),"")</f>
        <v>13.7930365742089</v>
      </c>
      <c r="DO63">
        <f>IF(AND(ISNUMBER(DN63),逐级计算!$X$118&gt;-1),IF(逐级计算!$X$118=0,DN63+逐级计算!$C$118,DN63+逐级计算!$C$118-(10/(逐级计算!$Q$118*LN(10))*(MAX((LN(10^(逐级计算!$Q$118/10)-1)+逐级计算!$Q$118*(DN63-逐级计算!$P$118)*LN(10)/10),0)+LN(1+EXP(-ABS((LN(10^(逐级计算!$Q$118/10)-1)+逐级计算!$Q$118*(DN63-逐级计算!$P$118)*LN(10)/10))))))),"")</f>
        <v>13.7930365742089</v>
      </c>
      <c r="DP63">
        <f>IF(AND(ISNUMBER(DO63),逐级计算!$X$119&gt;-1),IF(逐级计算!$X$119=0,DO63+逐级计算!$C$119,DO63+逐级计算!$C$119-(10/(逐级计算!$Q$119*LN(10))*(MAX((LN(10^(逐级计算!$Q$119/10)-1)+逐级计算!$Q$119*(DO63-逐级计算!$P$119)*LN(10)/10),0)+LN(1+EXP(-ABS((LN(10^(逐级计算!$Q$119/10)-1)+逐级计算!$Q$119*(DO63-逐级计算!$P$119)*LN(10)/10))))))),"")</f>
        <v>13.7930365742089</v>
      </c>
      <c r="DQ63">
        <f>IF(AND(ISNUMBER(DP63),逐级计算!$X$120&gt;-1),IF(逐级计算!$X$120=0,DP63+逐级计算!$C$120,DP63+逐级计算!$C$120-(10/(逐级计算!$Q$120*LN(10))*(MAX((LN(10^(逐级计算!$Q$120/10)-1)+逐级计算!$Q$120*(DP63-逐级计算!$P$120)*LN(10)/10),0)+LN(1+EXP(-ABS((LN(10^(逐级计算!$Q$120/10)-1)+逐级计算!$Q$120*(DP63-逐级计算!$P$120)*LN(10)/10))))))),"")</f>
        <v>13.7930365742089</v>
      </c>
      <c r="DR63">
        <f>IF(AND(ISNUMBER(DQ63),逐级计算!$X$121&gt;-1),IF(逐级计算!$X$121=0,DQ63+逐级计算!$C$121,DQ63+逐级计算!$C$121-(10/(逐级计算!$Q$121*LN(10))*(MAX((LN(10^(逐级计算!$Q$121/10)-1)+逐级计算!$Q$121*(DQ63-逐级计算!$P$121)*LN(10)/10),0)+LN(1+EXP(-ABS((LN(10^(逐级计算!$Q$121/10)-1)+逐级计算!$Q$121*(DQ63-逐级计算!$P$121)*LN(10)/10))))))),"")</f>
        <v>13.7930365742089</v>
      </c>
      <c r="DS63">
        <f>IF(AND(ISNUMBER(DR63),逐级计算!$X$122&gt;-1),IF(逐级计算!$X$122=0,DR63+逐级计算!$C$122,DR63+逐级计算!$C$122-(10/(逐级计算!$Q$122*LN(10))*(MAX((LN(10^(逐级计算!$Q$122/10)-1)+逐级计算!$Q$122*(DR63-逐级计算!$P$122)*LN(10)/10),0)+LN(1+EXP(-ABS((LN(10^(逐级计算!$Q$122/10)-1)+逐级计算!$Q$122*(DR63-逐级计算!$P$122)*LN(10)/10))))))),"")</f>
        <v>13.7930365742089</v>
      </c>
      <c r="DT63">
        <f>IF(AND(ISNUMBER(DS63),逐级计算!$X$123&gt;-1),IF(逐级计算!$X$123=0,DS63+逐级计算!$C$123,DS63+逐级计算!$C$123-(10/(逐级计算!$Q$123*LN(10))*(MAX((LN(10^(逐级计算!$Q$123/10)-1)+逐级计算!$Q$123*(DS63-逐级计算!$P$123)*LN(10)/10),0)+LN(1+EXP(-ABS((LN(10^(逐级计算!$Q$123/10)-1)+逐级计算!$Q$123*(DS63-逐级计算!$P$123)*LN(10)/10))))))),"")</f>
        <v>13.7930365742089</v>
      </c>
      <c r="DU63">
        <f>IF(AND(ISNUMBER(DT63),逐级计算!$X$124&gt;-1),IF(逐级计算!$X$124=0,DT63+逐级计算!$C$124,DT63+逐级计算!$C$124-(10/(逐级计算!$Q$124*LN(10))*(MAX((LN(10^(逐级计算!$Q$124/10)-1)+逐级计算!$Q$124*(DT63-逐级计算!$P$124)*LN(10)/10),0)+LN(1+EXP(-ABS((LN(10^(逐级计算!$Q$124/10)-1)+逐级计算!$Q$124*(DT63-逐级计算!$P$124)*LN(10)/10))))))),"")</f>
        <v>13.7930365742089</v>
      </c>
      <c r="DV63">
        <f>IF(AND(ISNUMBER(DU63),逐级计算!$X$125&gt;-1),IF(逐级计算!$X$125=0,DU63+逐级计算!$C$125,DU63+逐级计算!$C$125-(10/(逐级计算!$Q$125*LN(10))*(MAX((LN(10^(逐级计算!$Q$125/10)-1)+逐级计算!$Q$125*(DU63-逐级计算!$P$125)*LN(10)/10),0)+LN(1+EXP(-ABS((LN(10^(逐级计算!$Q$125/10)-1)+逐级计算!$Q$125*(DU63-逐级计算!$P$125)*LN(10)/10))))))),"")</f>
        <v>13.7930365742089</v>
      </c>
      <c r="DW63">
        <f>IF(AND(ISNUMBER(DV63),逐级计算!$X$126&gt;-1),IF(逐级计算!$X$126=0,DV63+逐级计算!$C$126,DV63+逐级计算!$C$126-(10/(逐级计算!$Q$126*LN(10))*(MAX((LN(10^(逐级计算!$Q$126/10)-1)+逐级计算!$Q$126*(DV63-逐级计算!$P$126)*LN(10)/10),0)+LN(1+EXP(-ABS((LN(10^(逐级计算!$Q$126/10)-1)+逐级计算!$Q$126*(DV63-逐级计算!$P$126)*LN(10)/10))))))),"")</f>
        <v>13.7930365742089</v>
      </c>
      <c r="DX63">
        <f>IF(AND(ISNUMBER(DW63),逐级计算!$X$127&gt;-1),IF(逐级计算!$X$127=0,DW63+逐级计算!$C$127,DW63+逐级计算!$C$127-(10/(逐级计算!$Q$127*LN(10))*(MAX((LN(10^(逐级计算!$Q$127/10)-1)+逐级计算!$Q$127*(DW63-逐级计算!$P$127)*LN(10)/10),0)+LN(1+EXP(-ABS((LN(10^(逐级计算!$Q$127/10)-1)+逐级计算!$Q$127*(DW63-逐级计算!$P$127)*LN(10)/10))))))),"")</f>
        <v>13.7930365742089</v>
      </c>
      <c r="DY63">
        <f>IF(AND(ISNUMBER(DX63),逐级计算!$X$128&gt;-1),IF(逐级计算!$X$128=0,DX63+逐级计算!$C$128,DX63+逐级计算!$C$128-(10/(逐级计算!$Q$128*LN(10))*(MAX((LN(10^(逐级计算!$Q$128/10)-1)+逐级计算!$Q$128*(DX63-逐级计算!$P$128)*LN(10)/10),0)+LN(1+EXP(-ABS((LN(10^(逐级计算!$Q$128/10)-1)+逐级计算!$Q$128*(DX63-逐级计算!$P$128)*LN(10)/10))))))),"")</f>
        <v>13.7930365742089</v>
      </c>
      <c r="DZ63">
        <f>IF(AND(ISNUMBER(DY63),逐级计算!$X$129&gt;-1),IF(逐级计算!$X$129=0,DY63+逐级计算!$C$129,DY63+逐级计算!$C$129-(10/(逐级计算!$Q$129*LN(10))*(MAX((LN(10^(逐级计算!$Q$129/10)-1)+逐级计算!$Q$129*(DY63-逐级计算!$P$129)*LN(10)/10),0)+LN(1+EXP(-ABS((LN(10^(逐级计算!$Q$129/10)-1)+逐级计算!$Q$129*(DY63-逐级计算!$P$129)*LN(10)/10))))))),"")</f>
        <v>13.7930365742089</v>
      </c>
      <c r="EA63">
        <f>IF(AND(ISNUMBER(DZ63),逐级计算!$X$130&gt;-1),IF(逐级计算!$X$130=0,DZ63+逐级计算!$C$130,DZ63+逐级计算!$C$130-(10/(逐级计算!$Q$130*LN(10))*(MAX((LN(10^(逐级计算!$Q$130/10)-1)+逐级计算!$Q$130*(DZ63-逐级计算!$P$130)*LN(10)/10),0)+LN(1+EXP(-ABS((LN(10^(逐级计算!$Q$130/10)-1)+逐级计算!$Q$130*(DZ63-逐级计算!$P$130)*LN(10)/10))))))),"")</f>
        <v>13.7930365742089</v>
      </c>
      <c r="EB63">
        <f>IF(AND(ISNUMBER(EA63),逐级计算!$X$131&gt;-1),IF(逐级计算!$X$131=0,EA63+逐级计算!$C$131,EA63+逐级计算!$C$131-(10/(逐级计算!$Q$131*LN(10))*(MAX((LN(10^(逐级计算!$Q$131/10)-1)+逐级计算!$Q$131*(EA63-逐级计算!$P$131)*LN(10)/10),0)+LN(1+EXP(-ABS((LN(10^(逐级计算!$Q$131/10)-1)+逐级计算!$Q$131*(EA63-逐级计算!$P$131)*LN(10)/10))))))),"")</f>
        <v>13.7930365742089</v>
      </c>
      <c r="EC63">
        <f>IF(AND(ISNUMBER(EB63),逐级计算!$X$132&gt;-1),IF(逐级计算!$X$132=0,EB63+逐级计算!$C$132,EB63+逐级计算!$C$132-(10/(逐级计算!$Q$132*LN(10))*(MAX((LN(10^(逐级计算!$Q$132/10)-1)+逐级计算!$Q$132*(EB63-逐级计算!$P$132)*LN(10)/10),0)+LN(1+EXP(-ABS((LN(10^(逐级计算!$Q$132/10)-1)+逐级计算!$Q$132*(EB63-逐级计算!$P$132)*LN(10)/10))))))),"")</f>
        <v>13.7930365742089</v>
      </c>
      <c r="ED63">
        <f>IF(AND(ISNUMBER(EC63),逐级计算!$X$133&gt;-1),IF(逐级计算!$X$133=0,EC63+逐级计算!$C$133,EC63+逐级计算!$C$133-(10/(逐级计算!$Q$133*LN(10))*(MAX((LN(10^(逐级计算!$Q$133/10)-1)+逐级计算!$Q$133*(EC63-逐级计算!$P$133)*LN(10)/10),0)+LN(1+EXP(-ABS((LN(10^(逐级计算!$Q$133/10)-1)+逐级计算!$Q$133*(EC63-逐级计算!$P$133)*LN(10)/10))))))),"")</f>
        <v>13.7930365742089</v>
      </c>
      <c r="EE63">
        <f>IF(AND(ISNUMBER(ED63),逐级计算!$X$134&gt;-1),IF(逐级计算!$X$134=0,ED63+逐级计算!$C$134,ED63+逐级计算!$C$134-(10/(逐级计算!$Q$134*LN(10))*(MAX((LN(10^(逐级计算!$Q$134/10)-1)+逐级计算!$Q$134*(ED63-逐级计算!$P$134)*LN(10)/10),0)+LN(1+EXP(-ABS((LN(10^(逐级计算!$Q$134/10)-1)+逐级计算!$Q$134*(ED63-逐级计算!$P$134)*LN(10)/10))))))),"")</f>
        <v>13.7930365742089</v>
      </c>
      <c r="EF63">
        <f>IF(AND(ISNUMBER(EE63),逐级计算!$X$135&gt;-1),IF(逐级计算!$X$135=0,EE63+逐级计算!$C$135,EE63+逐级计算!$C$135-(10/(逐级计算!$Q$135*LN(10))*(MAX((LN(10^(逐级计算!$Q$135/10)-1)+逐级计算!$Q$135*(EE63-逐级计算!$P$135)*LN(10)/10),0)+LN(1+EXP(-ABS((LN(10^(逐级计算!$Q$135/10)-1)+逐级计算!$Q$135*(EE63-逐级计算!$P$135)*LN(10)/10))))))),"")</f>
        <v>13.7930365742089</v>
      </c>
      <c r="EG63">
        <f>IF(AND(ISNUMBER(EF63),逐级计算!$X$136&gt;-1),IF(逐级计算!$X$136=0,EF63+逐级计算!$C$136,EF63+逐级计算!$C$136-(10/(逐级计算!$Q$136*LN(10))*(MAX((LN(10^(逐级计算!$Q$136/10)-1)+逐级计算!$Q$136*(EF63-逐级计算!$P$136)*LN(10)/10),0)+LN(1+EXP(-ABS((LN(10^(逐级计算!$Q$136/10)-1)+逐级计算!$Q$136*(EF63-逐级计算!$P$136)*LN(10)/10))))))),"")</f>
        <v>13.7930365742089</v>
      </c>
      <c r="EH63">
        <f>IF(AND(ISNUMBER(EG63),逐级计算!$X$137&gt;-1),IF(逐级计算!$X$137=0,EG63+逐级计算!$C$137,EG63+逐级计算!$C$137-(10/(逐级计算!$Q$137*LN(10))*(MAX((LN(10^(逐级计算!$Q$137/10)-1)+逐级计算!$Q$137*(EG63-逐级计算!$P$137)*LN(10)/10),0)+LN(1+EXP(-ABS((LN(10^(逐级计算!$Q$137/10)-1)+逐级计算!$Q$137*(EG63-逐级计算!$P$137)*LN(10)/10))))))),"")</f>
        <v>13.7930365742089</v>
      </c>
      <c r="EI63">
        <f>IF(AND(ISNUMBER(EH63),逐级计算!$X$138&gt;-1),IF(逐级计算!$X$138=0,EH63+逐级计算!$C$138,EH63+逐级计算!$C$138-(10/(逐级计算!$Q$138*LN(10))*(MAX((LN(10^(逐级计算!$Q$138/10)-1)+逐级计算!$Q$138*(EH63-逐级计算!$P$138)*LN(10)/10),0)+LN(1+EXP(-ABS((LN(10^(逐级计算!$Q$138/10)-1)+逐级计算!$Q$138*(EH63-逐级计算!$P$138)*LN(10)/10))))))),"")</f>
        <v>13.7930365742089</v>
      </c>
      <c r="EJ63">
        <f>IF(AND(ISNUMBER(EI63),逐级计算!$X$139&gt;-1),IF(逐级计算!$X$139=0,EI63+逐级计算!$C$139,EI63+逐级计算!$C$139-(10/(逐级计算!$Q$139*LN(10))*(MAX((LN(10^(逐级计算!$Q$139/10)-1)+逐级计算!$Q$139*(EI63-逐级计算!$P$139)*LN(10)/10),0)+LN(1+EXP(-ABS((LN(10^(逐级计算!$Q$139/10)-1)+逐级计算!$Q$139*(EI63-逐级计算!$P$139)*LN(10)/10))))))),"")</f>
        <v>13.7930365742089</v>
      </c>
      <c r="EK63">
        <f>IF(AND(ISNUMBER(EJ63),逐级计算!$X$140&gt;-1),IF(逐级计算!$X$140=0,EJ63+逐级计算!$C$140,EJ63+逐级计算!$C$140-(10/(逐级计算!$Q$140*LN(10))*(MAX((LN(10^(逐级计算!$Q$140/10)-1)+逐级计算!$Q$140*(EJ63-逐级计算!$P$140)*LN(10)/10),0)+LN(1+EXP(-ABS((LN(10^(逐级计算!$Q$140/10)-1)+逐级计算!$Q$140*(EJ63-逐级计算!$P$140)*LN(10)/10))))))),"")</f>
        <v>13.7930365742089</v>
      </c>
      <c r="EL63">
        <f>IF(AND(ISNUMBER(EK63),逐级计算!$X$141&gt;-1),IF(逐级计算!$X$141=0,EK63+逐级计算!$C$141,EK63+逐级计算!$C$141-(10/(逐级计算!$Q$141*LN(10))*(MAX((LN(10^(逐级计算!$Q$141/10)-1)+逐级计算!$Q$141*(EK63-逐级计算!$P$141)*LN(10)/10),0)+LN(1+EXP(-ABS((LN(10^(逐级计算!$Q$141/10)-1)+逐级计算!$Q$141*(EK63-逐级计算!$P$141)*LN(10)/10))))))),"")</f>
        <v>13.7930365742089</v>
      </c>
      <c r="EM63">
        <f>IF(AND(ISNUMBER(EL63),逐级计算!$X$142&gt;-1),IF(逐级计算!$X$142=0,EL63+逐级计算!$C$142,EL63+逐级计算!$C$142-(10/(逐级计算!$Q$142*LN(10))*(MAX((LN(10^(逐级计算!$Q$142/10)-1)+逐级计算!$Q$142*(EL63-逐级计算!$P$142)*LN(10)/10),0)+LN(1+EXP(-ABS((LN(10^(逐级计算!$Q$142/10)-1)+逐级计算!$Q$142*(EL63-逐级计算!$P$142)*LN(10)/10))))))),"")</f>
        <v>13.7930365742089</v>
      </c>
      <c r="EN63">
        <f>IF(AND(ISNUMBER(EM63),逐级计算!$X$143&gt;-1),IF(逐级计算!$X$143=0,EM63+逐级计算!$C$143,EM63+逐级计算!$C$143-(10/(逐级计算!$Q$143*LN(10))*(MAX((LN(10^(逐级计算!$Q$143/10)-1)+逐级计算!$Q$143*(EM63-逐级计算!$P$143)*LN(10)/10),0)+LN(1+EXP(-ABS((LN(10^(逐级计算!$Q$143/10)-1)+逐级计算!$Q$143*(EM63-逐级计算!$P$143)*LN(10)/10))))))),"")</f>
        <v>13.7930365742089</v>
      </c>
      <c r="EO63">
        <f>IF(AND(ISNUMBER(EN63),逐级计算!$X$144&gt;-1),IF(逐级计算!$X$144=0,EN63+逐级计算!$C$144,EN63+逐级计算!$C$144-(10/(逐级计算!$Q$144*LN(10))*(MAX((LN(10^(逐级计算!$Q$144/10)-1)+逐级计算!$Q$144*(EN63-逐级计算!$P$144)*LN(10)/10),0)+LN(1+EXP(-ABS((LN(10^(逐级计算!$Q$144/10)-1)+逐级计算!$Q$144*(EN63-逐级计算!$P$144)*LN(10)/10))))))),"")</f>
        <v>13.7930365742089</v>
      </c>
      <c r="EP63">
        <f>IF(AND(ISNUMBER(EO63),逐级计算!$X$145&gt;-1),IF(逐级计算!$X$145=0,EO63+逐级计算!$C$145,EO63+逐级计算!$C$145-(10/(逐级计算!$Q$145*LN(10))*(MAX((LN(10^(逐级计算!$Q$145/10)-1)+逐级计算!$Q$145*(EO63-逐级计算!$P$145)*LN(10)/10),0)+LN(1+EXP(-ABS((LN(10^(逐级计算!$Q$145/10)-1)+逐级计算!$Q$145*(EO63-逐级计算!$P$145)*LN(10)/10))))))),"")</f>
        <v>13.7930365742089</v>
      </c>
      <c r="EQ63">
        <f>IF(AND(ISNUMBER(EP63),逐级计算!$X$146&gt;-1),IF(逐级计算!$X$146=0,EP63+逐级计算!$C$146,EP63+逐级计算!$C$146-(10/(逐级计算!$Q$146*LN(10))*(MAX((LN(10^(逐级计算!$Q$146/10)-1)+逐级计算!$Q$146*(EP63-逐级计算!$P$146)*LN(10)/10),0)+LN(1+EXP(-ABS((LN(10^(逐级计算!$Q$146/10)-1)+逐级计算!$Q$146*(EP63-逐级计算!$P$146)*LN(10)/10))))))),"")</f>
        <v>13.7930365742089</v>
      </c>
      <c r="ER63">
        <f>IF(AND(ISNUMBER(EQ63),逐级计算!$X$147&gt;-1),IF(逐级计算!$X$147=0,EQ63+逐级计算!$C$147,EQ63+逐级计算!$C$147-(10/(逐级计算!$Q$147*LN(10))*(MAX((LN(10^(逐级计算!$Q$147/10)-1)+逐级计算!$Q$147*(EQ63-逐级计算!$P$147)*LN(10)/10),0)+LN(1+EXP(-ABS((LN(10^(逐级计算!$Q$147/10)-1)+逐级计算!$Q$147*(EQ63-逐级计算!$P$147)*LN(10)/10))))))),"")</f>
        <v>13.7930365742089</v>
      </c>
      <c r="ES63">
        <f>IF(AND(ISNUMBER(ER63),逐级计算!$X$148&gt;-1),IF(逐级计算!$X$148=0,ER63+逐级计算!$C$148,ER63+逐级计算!$C$148-(10/(逐级计算!$Q$148*LN(10))*(MAX((LN(10^(逐级计算!$Q$148/10)-1)+逐级计算!$Q$148*(ER63-逐级计算!$P$148)*LN(10)/10),0)+LN(1+EXP(-ABS((LN(10^(逐级计算!$Q$148/10)-1)+逐级计算!$Q$148*(ER63-逐级计算!$P$148)*LN(10)/10))))))),"")</f>
        <v>13.7930365742089</v>
      </c>
      <c r="ET63">
        <f>IF(AND(ISNUMBER(ES63),逐级计算!$X$149&gt;-1),IF(逐级计算!$X$149=0,ES63+逐级计算!$C$149,ES63+逐级计算!$C$149-(10/(逐级计算!$Q$149*LN(10))*(MAX((LN(10^(逐级计算!$Q$149/10)-1)+逐级计算!$Q$149*(ES63-逐级计算!$P$149)*LN(10)/10),0)+LN(1+EXP(-ABS((LN(10^(逐级计算!$Q$149/10)-1)+逐级计算!$Q$149*(ES63-逐级计算!$P$149)*LN(10)/10))))))),"")</f>
        <v>13.7930365742089</v>
      </c>
      <c r="EU63">
        <f>IF(AND(ISNUMBER(ET63),逐级计算!$X$150&gt;-1),IF(逐级计算!$X$150=0,ET63+逐级计算!$C$150,ET63+逐级计算!$C$150-(10/(逐级计算!$Q$150*LN(10))*(MAX((LN(10^(逐级计算!$Q$150/10)-1)+逐级计算!$Q$150*(ET63-逐级计算!$P$150)*LN(10)/10),0)+LN(1+EXP(-ABS((LN(10^(逐级计算!$Q$150/10)-1)+逐级计算!$Q$150*(ET63-逐级计算!$P$150)*LN(10)/10))))))),"")</f>
        <v>13.7930365742089</v>
      </c>
      <c r="EV63">
        <f>IF(AND(ISNUMBER(EU63),逐级计算!$X$151&gt;-1),IF(逐级计算!$X$151=0,EU63+逐级计算!$C$151,EU63+逐级计算!$C$151-(10/(逐级计算!$Q$151*LN(10))*(MAX((LN(10^(逐级计算!$Q$151/10)-1)+逐级计算!$Q$151*(EU63-逐级计算!$P$151)*LN(10)/10),0)+LN(1+EXP(-ABS((LN(10^(逐级计算!$Q$151/10)-1)+逐级计算!$Q$151*(EU63-逐级计算!$P$151)*LN(10)/10))))))),"")</f>
        <v>13.7930365742089</v>
      </c>
      <c r="EW63">
        <f>IF(AND(ISNUMBER(EV63),逐级计算!$X$152&gt;-1),IF(逐级计算!$X$152=0,EV63+逐级计算!$C$152,EV63+逐级计算!$C$152-(10/(逐级计算!$Q$152*LN(10))*(MAX((LN(10^(逐级计算!$Q$152/10)-1)+逐级计算!$Q$152*(EV63-逐级计算!$P$152)*LN(10)/10),0)+LN(1+EXP(-ABS((LN(10^(逐级计算!$Q$152/10)-1)+逐级计算!$Q$152*(EV63-逐级计算!$P$152)*LN(10)/10))))))),"")</f>
        <v>13.7930365742089</v>
      </c>
      <c r="EX63">
        <f>IF(AND(ISNUMBER(EW63),逐级计算!$X$153&gt;-1),IF(逐级计算!$X$153=0,EW63+逐级计算!$C$153,EW63+逐级计算!$C$153-(10/(逐级计算!$Q$153*LN(10))*(MAX((LN(10^(逐级计算!$Q$153/10)-1)+逐级计算!$Q$153*(EW63-逐级计算!$P$153)*LN(10)/10),0)+LN(1+EXP(-ABS((LN(10^(逐级计算!$Q$153/10)-1)+逐级计算!$Q$153*(EW63-逐级计算!$P$153)*LN(10)/10))))))),"")</f>
        <v>13.7930365742089</v>
      </c>
      <c r="EY63">
        <f>IF(AND(ISNUMBER(EX63),逐级计算!$X$154&gt;-1),IF(逐级计算!$X$154=0,EX63+逐级计算!$C$154,EX63+逐级计算!$C$154-(10/(逐级计算!$Q$154*LN(10))*(MAX((LN(10^(逐级计算!$Q$154/10)-1)+逐级计算!$Q$154*(EX63-逐级计算!$P$154)*LN(10)/10),0)+LN(1+EXP(-ABS((LN(10^(逐级计算!$Q$154/10)-1)+逐级计算!$Q$154*(EX63-逐级计算!$P$154)*LN(10)/10))))))),"")</f>
        <v>13.7930365742089</v>
      </c>
      <c r="EZ63">
        <f>IF(AND(ISNUMBER(EY63),逐级计算!$X$155&gt;-1),IF(逐级计算!$X$155=0,EY63+逐级计算!$C$155,EY63+逐级计算!$C$155-(10/(逐级计算!$Q$155*LN(10))*(MAX((LN(10^(逐级计算!$Q$155/10)-1)+逐级计算!$Q$155*(EY63-逐级计算!$P$155)*LN(10)/10),0)+LN(1+EXP(-ABS((LN(10^(逐级计算!$Q$155/10)-1)+逐级计算!$Q$155*(EY63-逐级计算!$P$155)*LN(10)/10))))))),"")</f>
        <v>13.7930365742089</v>
      </c>
      <c r="FA63">
        <f>IF(AND(ISNUMBER(EZ63),逐级计算!$X$156&gt;-1),IF(逐级计算!$X$156=0,EZ63+逐级计算!$C$156,EZ63+逐级计算!$C$156-(10/(逐级计算!$Q$156*LN(10))*(MAX((LN(10^(逐级计算!$Q$156/10)-1)+逐级计算!$Q$156*(EZ63-逐级计算!$P$156)*LN(10)/10),0)+LN(1+EXP(-ABS((LN(10^(逐级计算!$Q$156/10)-1)+逐级计算!$Q$156*(EZ63-逐级计算!$P$156)*LN(10)/10))))))),"")</f>
        <v>13.7930365742089</v>
      </c>
      <c r="FB63">
        <f>IF(AND(ISNUMBER(FA63),逐级计算!$X$157&gt;-1),IF(逐级计算!$X$157=0,FA63+逐级计算!$C$157,FA63+逐级计算!$C$157-(10/(逐级计算!$Q$157*LN(10))*(MAX((LN(10^(逐级计算!$Q$157/10)-1)+逐级计算!$Q$157*(FA63-逐级计算!$P$157)*LN(10)/10),0)+LN(1+EXP(-ABS((LN(10^(逐级计算!$Q$157/10)-1)+逐级计算!$Q$157*(FA63-逐级计算!$P$157)*LN(10)/10))))))),"")</f>
        <v>13.7930365742089</v>
      </c>
      <c r="FC63">
        <f>IF(AND(ISNUMBER(FB63),逐级计算!$X$158&gt;-1),IF(逐级计算!$X$158=0,FB63+逐级计算!$C$158,FB63+逐级计算!$C$158-(10/(逐级计算!$Q$158*LN(10))*(MAX((LN(10^(逐级计算!$Q$158/10)-1)+逐级计算!$Q$158*(FB63-逐级计算!$P$158)*LN(10)/10),0)+LN(1+EXP(-ABS((LN(10^(逐级计算!$Q$158/10)-1)+逐级计算!$Q$158*(FB63-逐级计算!$P$158)*LN(10)/10))))))),"")</f>
        <v>13.7930365742089</v>
      </c>
      <c r="FD63">
        <f>IF(AND(ISNUMBER(FC63),逐级计算!$X$159&gt;-1),IF(逐级计算!$X$159=0,FC63+逐级计算!$C$159,FC63+逐级计算!$C$159-(10/(逐级计算!$Q$159*LN(10))*(MAX((LN(10^(逐级计算!$Q$159/10)-1)+逐级计算!$Q$159*(FC63-逐级计算!$P$159)*LN(10)/10),0)+LN(1+EXP(-ABS((LN(10^(逐级计算!$Q$159/10)-1)+逐级计算!$Q$159*(FC63-逐级计算!$P$159)*LN(10)/10))))))),"")</f>
        <v>13.7930365742089</v>
      </c>
      <c r="FE63">
        <f>IF(AND(ISNUMBER(FD63),逐级计算!$X$160&gt;-1),IF(逐级计算!$X$160=0,FD63+逐级计算!$C$160,FD63+逐级计算!$C$160-(10/(逐级计算!$Q$160*LN(10))*(MAX((LN(10^(逐级计算!$Q$160/10)-1)+逐级计算!$Q$160*(FD63-逐级计算!$P$160)*LN(10)/10),0)+LN(1+EXP(-ABS((LN(10^(逐级计算!$Q$160/10)-1)+逐级计算!$Q$160*(FD63-逐级计算!$P$160)*LN(10)/10))))))),"")</f>
        <v>13.7930365742089</v>
      </c>
      <c r="FF63">
        <f>IF(AND(ISNUMBER(FE63),逐级计算!$X$161&gt;-1),IF(逐级计算!$X$161=0,FE63+逐级计算!$C$161,FE63+逐级计算!$C$161-(10/(逐级计算!$Q$161*LN(10))*(MAX((LN(10^(逐级计算!$Q$161/10)-1)+逐级计算!$Q$161*(FE63-逐级计算!$P$161)*LN(10)/10),0)+LN(1+EXP(-ABS((LN(10^(逐级计算!$Q$161/10)-1)+逐级计算!$Q$161*(FE63-逐级计算!$P$161)*LN(10)/10))))))),"")</f>
        <v>13.7930365742089</v>
      </c>
      <c r="FG63">
        <f>IF(AND(ISNUMBER(FF63),逐级计算!$X$162&gt;-1),IF(逐级计算!$X$162=0,FF63+逐级计算!$C$162,FF63+逐级计算!$C$162-(10/(逐级计算!$Q$162*LN(10))*(MAX((LN(10^(逐级计算!$Q$162/10)-1)+逐级计算!$Q$162*(FF63-逐级计算!$P$162)*LN(10)/10),0)+LN(1+EXP(-ABS((LN(10^(逐级计算!$Q$162/10)-1)+逐级计算!$Q$162*(FF63-逐级计算!$P$162)*LN(10)/10))))))),"")</f>
        <v>13.7930365742089</v>
      </c>
      <c r="FH63">
        <f>IF(AND(ISNUMBER(FG63),逐级计算!$X$163&gt;-1),IF(逐级计算!$X$163=0,FG63+逐级计算!$C$163,FG63+逐级计算!$C$163-(10/(逐级计算!$Q$163*LN(10))*(MAX((LN(10^(逐级计算!$Q$163/10)-1)+逐级计算!$Q$163*(FG63-逐级计算!$P$163)*LN(10)/10),0)+LN(1+EXP(-ABS((LN(10^(逐级计算!$Q$163/10)-1)+逐级计算!$Q$163*(FG63-逐级计算!$P$163)*LN(10)/10))))))),"")</f>
        <v>13.7930365742089</v>
      </c>
      <c r="FI63">
        <f>IF(AND(ISNUMBER(FH63),逐级计算!$X$164&gt;-1),IF(逐级计算!$X$164=0,FH63+逐级计算!$C$164,FH63+逐级计算!$C$164-(10/(逐级计算!$Q$164*LN(10))*(MAX((LN(10^(逐级计算!$Q$164/10)-1)+逐级计算!$Q$164*(FH63-逐级计算!$P$164)*LN(10)/10),0)+LN(1+EXP(-ABS((LN(10^(逐级计算!$Q$164/10)-1)+逐级计算!$Q$164*(FH63-逐级计算!$P$164)*LN(10)/10))))))),"")</f>
        <v>13.7930365742089</v>
      </c>
      <c r="FJ63">
        <f>IF(AND(ISNUMBER(FI63),逐级计算!$X$165&gt;-1),IF(逐级计算!$X$165=0,FI63+逐级计算!$C$165,FI63+逐级计算!$C$165-(10/(逐级计算!$Q$165*LN(10))*(MAX((LN(10^(逐级计算!$Q$165/10)-1)+逐级计算!$Q$165*(FI63-逐级计算!$P$165)*LN(10)/10),0)+LN(1+EXP(-ABS((LN(10^(逐级计算!$Q$165/10)-1)+逐级计算!$Q$165*(FI63-逐级计算!$P$165)*LN(10)/10))))))),"")</f>
        <v>13.7930365742089</v>
      </c>
      <c r="FK63">
        <f>IF(AND(ISNUMBER(FJ63),逐级计算!$X$166&gt;-1),IF(逐级计算!$X$166=0,FJ63+逐级计算!$C$166,FJ63+逐级计算!$C$166-(10/(逐级计算!$Q$166*LN(10))*(MAX((LN(10^(逐级计算!$Q$166/10)-1)+逐级计算!$Q$166*(FJ63-逐级计算!$P$166)*LN(10)/10),0)+LN(1+EXP(-ABS((LN(10^(逐级计算!$Q$166/10)-1)+逐级计算!$Q$166*(FJ63-逐级计算!$P$166)*LN(10)/10))))))),"")</f>
        <v>13.7930365742089</v>
      </c>
      <c r="FL63">
        <f>IF(AND(ISNUMBER(FK63),逐级计算!$X$167&gt;-1),IF(逐级计算!$X$167=0,FK63+逐级计算!$C$167,FK63+逐级计算!$C$167-(10/(逐级计算!$Q$167*LN(10))*(MAX((LN(10^(逐级计算!$Q$167/10)-1)+逐级计算!$Q$167*(FK63-逐级计算!$P$167)*LN(10)/10),0)+LN(1+EXP(-ABS((LN(10^(逐级计算!$Q$167/10)-1)+逐级计算!$Q$167*(FK63-逐级计算!$P$167)*LN(10)/10))))))),"")</f>
        <v>13.7930365742089</v>
      </c>
      <c r="FM63">
        <f>IF(AND(ISNUMBER(FL63),逐级计算!$X$168&gt;-1),IF(逐级计算!$X$168=0,FL63+逐级计算!$C$168,FL63+逐级计算!$C$168-(10/(逐级计算!$Q$168*LN(10))*(MAX((LN(10^(逐级计算!$Q$168/10)-1)+逐级计算!$Q$168*(FL63-逐级计算!$P$168)*LN(10)/10),0)+LN(1+EXP(-ABS((LN(10^(逐级计算!$Q$168/10)-1)+逐级计算!$Q$168*(FL63-逐级计算!$P$168)*LN(10)/10))))))),"")</f>
        <v>13.7930365742089</v>
      </c>
      <c r="FN63">
        <f>IF(AND(ISNUMBER(FM63),逐级计算!$X$169&gt;-1),IF(逐级计算!$X$169=0,FM63+逐级计算!$C$169,FM63+逐级计算!$C$169-(10/(逐级计算!$Q$169*LN(10))*(MAX((LN(10^(逐级计算!$Q$169/10)-1)+逐级计算!$Q$169*(FM63-逐级计算!$P$169)*LN(10)/10),0)+LN(1+EXP(-ABS((LN(10^(逐级计算!$Q$169/10)-1)+逐级计算!$Q$169*(FM63-逐级计算!$P$169)*LN(10)/10))))))),"")</f>
        <v>13.7930365742089</v>
      </c>
      <c r="FO63">
        <f>IF(AND(ISNUMBER(FN63),逐级计算!$X$170&gt;-1),IF(逐级计算!$X$170=0,FN63+逐级计算!$C$170,FN63+逐级计算!$C$170-(10/(逐级计算!$Q$170*LN(10))*(MAX((LN(10^(逐级计算!$Q$170/10)-1)+逐级计算!$Q$170*(FN63-逐级计算!$P$170)*LN(10)/10),0)+LN(1+EXP(-ABS((LN(10^(逐级计算!$Q$170/10)-1)+逐级计算!$Q$170*(FN63-逐级计算!$P$170)*LN(10)/10))))))),"")</f>
        <v>13.7930365742089</v>
      </c>
      <c r="FP63">
        <f>IF(AND(ISNUMBER(FO63),逐级计算!$X$171&gt;-1),IF(逐级计算!$X$171=0,FO63+逐级计算!$C$171,FO63+逐级计算!$C$171-(10/(逐级计算!$Q$171*LN(10))*(MAX((LN(10^(逐级计算!$Q$171/10)-1)+逐级计算!$Q$171*(FO63-逐级计算!$P$171)*LN(10)/10),0)+LN(1+EXP(-ABS((LN(10^(逐级计算!$Q$171/10)-1)+逐级计算!$Q$171*(FO63-逐级计算!$P$171)*LN(10)/10))))))),"")</f>
        <v>13.7930365742089</v>
      </c>
      <c r="FQ63">
        <f>IF(AND(ISNUMBER(FP63),逐级计算!$X$172&gt;-1),IF(逐级计算!$X$172=0,FP63+逐级计算!$C$172,FP63+逐级计算!$C$172-(10/(逐级计算!$Q$172*LN(10))*(MAX((LN(10^(逐级计算!$Q$172/10)-1)+逐级计算!$Q$172*(FP63-逐级计算!$P$172)*LN(10)/10),0)+LN(1+EXP(-ABS((LN(10^(逐级计算!$Q$172/10)-1)+逐级计算!$Q$172*(FP63-逐级计算!$P$172)*LN(10)/10))))))),"")</f>
        <v>13.7930365742089</v>
      </c>
      <c r="FR63">
        <f>IF(AND(ISNUMBER(FQ63),逐级计算!$X$173&gt;-1),IF(逐级计算!$X$173=0,FQ63+逐级计算!$C$173,FQ63+逐级计算!$C$173-(10/(逐级计算!$Q$173*LN(10))*(MAX((LN(10^(逐级计算!$Q$173/10)-1)+逐级计算!$Q$173*(FQ63-逐级计算!$P$173)*LN(10)/10),0)+LN(1+EXP(-ABS((LN(10^(逐级计算!$Q$173/10)-1)+逐级计算!$Q$173*(FQ63-逐级计算!$P$173)*LN(10)/10))))))),"")</f>
        <v>13.7930365742089</v>
      </c>
      <c r="FS63">
        <f>IF(AND(ISNUMBER(FR63),逐级计算!$X$174&gt;-1),IF(逐级计算!$X$174=0,FR63+逐级计算!$C$174,FR63+逐级计算!$C$174-(10/(逐级计算!$Q$174*LN(10))*(MAX((LN(10^(逐级计算!$Q$174/10)-1)+逐级计算!$Q$174*(FR63-逐级计算!$P$174)*LN(10)/10),0)+LN(1+EXP(-ABS((LN(10^(逐级计算!$Q$174/10)-1)+逐级计算!$Q$174*(FR63-逐级计算!$P$174)*LN(10)/10))))))),"")</f>
        <v>13.7930365742089</v>
      </c>
      <c r="FT63">
        <f>IF(AND(ISNUMBER(FS63),逐级计算!$X$175&gt;-1),IF(逐级计算!$X$175=0,FS63+逐级计算!$C$175,FS63+逐级计算!$C$175-(10/(逐级计算!$Q$175*LN(10))*(MAX((LN(10^(逐级计算!$Q$175/10)-1)+逐级计算!$Q$175*(FS63-逐级计算!$P$175)*LN(10)/10),0)+LN(1+EXP(-ABS((LN(10^(逐级计算!$Q$175/10)-1)+逐级计算!$Q$175*(FS63-逐级计算!$P$175)*LN(10)/10))))))),"")</f>
        <v>13.7930365742089</v>
      </c>
      <c r="FU63">
        <f>IF(AND(ISNUMBER(FT63),逐级计算!$X$176&gt;-1),IF(逐级计算!$X$176=0,FT63+逐级计算!$C$176,FT63+逐级计算!$C$176-(10/(逐级计算!$Q$176*LN(10))*(MAX((LN(10^(逐级计算!$Q$176/10)-1)+逐级计算!$Q$176*(FT63-逐级计算!$P$176)*LN(10)/10),0)+LN(1+EXP(-ABS((LN(10^(逐级计算!$Q$176/10)-1)+逐级计算!$Q$176*(FT63-逐级计算!$P$176)*LN(10)/10))))))),"")</f>
        <v>13.7930365742089</v>
      </c>
      <c r="FV63">
        <f>IF(AND(ISNUMBER(FU63),逐级计算!$X$177&gt;-1),IF(逐级计算!$X$177=0,FU63+逐级计算!$C$177,FU63+逐级计算!$C$177-(10/(逐级计算!$Q$177*LN(10))*(MAX((LN(10^(逐级计算!$Q$177/10)-1)+逐级计算!$Q$177*(FU63-逐级计算!$P$177)*LN(10)/10),0)+LN(1+EXP(-ABS((LN(10^(逐级计算!$Q$177/10)-1)+逐级计算!$Q$177*(FU63-逐级计算!$P$177)*LN(10)/10))))))),"")</f>
        <v>13.7930365742089</v>
      </c>
      <c r="FW63">
        <f>IF(AND(ISNUMBER(FV63),逐级计算!$X$178&gt;-1),IF(逐级计算!$X$178=0,FV63+逐级计算!$C$178,FV63+逐级计算!$C$178-(10/(逐级计算!$Q$178*LN(10))*(MAX((LN(10^(逐级计算!$Q$178/10)-1)+逐级计算!$Q$178*(FV63-逐级计算!$P$178)*LN(10)/10),0)+LN(1+EXP(-ABS((LN(10^(逐级计算!$Q$178/10)-1)+逐级计算!$Q$178*(FV63-逐级计算!$P$178)*LN(10)/10))))))),"")</f>
        <v>13.7930365742089</v>
      </c>
      <c r="FX63">
        <f>IF(AND(ISNUMBER(FW63),逐级计算!$X$179&gt;-1),IF(逐级计算!$X$179=0,FW63+逐级计算!$C$179,FW63+逐级计算!$C$179-(10/(逐级计算!$Q$179*LN(10))*(MAX((LN(10^(逐级计算!$Q$179/10)-1)+逐级计算!$Q$179*(FW63-逐级计算!$P$179)*LN(10)/10),0)+LN(1+EXP(-ABS((LN(10^(逐级计算!$Q$179/10)-1)+逐级计算!$Q$179*(FW63-逐级计算!$P$179)*LN(10)/10))))))),"")</f>
        <v>13.7930365742089</v>
      </c>
      <c r="FY63">
        <f>IF(AND(ISNUMBER(FX63),逐级计算!$X$180&gt;-1),IF(逐级计算!$X$180=0,FX63+逐级计算!$C$180,FX63+逐级计算!$C$180-(10/(逐级计算!$Q$180*LN(10))*(MAX((LN(10^(逐级计算!$Q$180/10)-1)+逐级计算!$Q$180*(FX63-逐级计算!$P$180)*LN(10)/10),0)+LN(1+EXP(-ABS((LN(10^(逐级计算!$Q$180/10)-1)+逐级计算!$Q$180*(FX63-逐级计算!$P$180)*LN(10)/10))))))),"")</f>
        <v>13.7930365742089</v>
      </c>
      <c r="FZ63">
        <f>IF(AND(ISNUMBER(FY63),逐级计算!$X$181&gt;-1),IF(逐级计算!$X$181=0,FY63+逐级计算!$C$181,FY63+逐级计算!$C$181-(10/(逐级计算!$Q$181*LN(10))*(MAX((LN(10^(逐级计算!$Q$181/10)-1)+逐级计算!$Q$181*(FY63-逐级计算!$P$181)*LN(10)/10),0)+LN(1+EXP(-ABS((LN(10^(逐级计算!$Q$181/10)-1)+逐级计算!$Q$181*(FY63-逐级计算!$P$181)*LN(10)/10))))))),"")</f>
        <v>13.7930365742089</v>
      </c>
      <c r="GA63">
        <f>IF(AND(ISNUMBER(FZ63),逐级计算!$X$182&gt;-1),IF(逐级计算!$X$182=0,FZ63+逐级计算!$C$182,FZ63+逐级计算!$C$182-(10/(逐级计算!$Q$182*LN(10))*(MAX((LN(10^(逐级计算!$Q$182/10)-1)+逐级计算!$Q$182*(FZ63-逐级计算!$P$182)*LN(10)/10),0)+LN(1+EXP(-ABS((LN(10^(逐级计算!$Q$182/10)-1)+逐级计算!$Q$182*(FZ63-逐级计算!$P$182)*LN(10)/10))))))),"")</f>
        <v>13.7930365742089</v>
      </c>
      <c r="GB63">
        <f>IF(AND(ISNUMBER(GA63),逐级计算!$X$183&gt;-1),IF(逐级计算!$X$183=0,GA63+逐级计算!$C$183,GA63+逐级计算!$C$183-(10/(逐级计算!$Q$183*LN(10))*(MAX((LN(10^(逐级计算!$Q$183/10)-1)+逐级计算!$Q$183*(GA63-逐级计算!$P$183)*LN(10)/10),0)+LN(1+EXP(-ABS((LN(10^(逐级计算!$Q$183/10)-1)+逐级计算!$Q$183*(GA63-逐级计算!$P$183)*LN(10)/10))))))),"")</f>
        <v>13.7930365742089</v>
      </c>
      <c r="GC63">
        <f>IF(AND(ISNUMBER(GB63),逐级计算!$X$184&gt;-1),IF(逐级计算!$X$184=0,GB63+逐级计算!$C$184,GB63+逐级计算!$C$184-(10/(逐级计算!$Q$184*LN(10))*(MAX((LN(10^(逐级计算!$Q$184/10)-1)+逐级计算!$Q$184*(GB63-逐级计算!$P$184)*LN(10)/10),0)+LN(1+EXP(-ABS((LN(10^(逐级计算!$Q$184/10)-1)+逐级计算!$Q$184*(GB63-逐级计算!$P$184)*LN(10)/10))))))),"")</f>
        <v>13.7930365742089</v>
      </c>
      <c r="GD63">
        <f>IF(AND(ISNUMBER(GC63),逐级计算!$X$185&gt;-1),IF(逐级计算!$X$185=0,GC63+逐级计算!$C$185,GC63+逐级计算!$C$185-(10/(逐级计算!$Q$185*LN(10))*(MAX((LN(10^(逐级计算!$Q$185/10)-1)+逐级计算!$Q$185*(GC63-逐级计算!$P$185)*LN(10)/10),0)+LN(1+EXP(-ABS((LN(10^(逐级计算!$Q$185/10)-1)+逐级计算!$Q$185*(GC63-逐级计算!$P$185)*LN(10)/10))))))),"")</f>
        <v>13.7930365742089</v>
      </c>
      <c r="GE63">
        <f>IF(AND(ISNUMBER(GD63),逐级计算!$X$186&gt;-1),IF(逐级计算!$X$186=0,GD63+逐级计算!$C$186,GD63+逐级计算!$C$186-(10/(逐级计算!$Q$186*LN(10))*(MAX((LN(10^(逐级计算!$Q$186/10)-1)+逐级计算!$Q$186*(GD63-逐级计算!$P$186)*LN(10)/10),0)+LN(1+EXP(-ABS((LN(10^(逐级计算!$Q$186/10)-1)+逐级计算!$Q$186*(GD63-逐级计算!$P$186)*LN(10)/10))))))),"")</f>
        <v>13.7930365742089</v>
      </c>
      <c r="GF63">
        <f>IF(AND(ISNUMBER(GE63),逐级计算!$X$187&gt;-1),IF(逐级计算!$X$187=0,GE63+逐级计算!$C$187,GE63+逐级计算!$C$187-(10/(逐级计算!$Q$187*LN(10))*(MAX((LN(10^(逐级计算!$Q$187/10)-1)+逐级计算!$Q$187*(GE63-逐级计算!$P$187)*LN(10)/10),0)+LN(1+EXP(-ABS((LN(10^(逐级计算!$Q$187/10)-1)+逐级计算!$Q$187*(GE63-逐级计算!$P$187)*LN(10)/10))))))),"")</f>
        <v>13.7930365742089</v>
      </c>
      <c r="GG63">
        <f>IF(AND(ISNUMBER(GF63),逐级计算!$X$188&gt;-1),IF(逐级计算!$X$188=0,GF63+逐级计算!$C$188,GF63+逐级计算!$C$188-(10/(逐级计算!$Q$188*LN(10))*(MAX((LN(10^(逐级计算!$Q$188/10)-1)+逐级计算!$Q$188*(GF63-逐级计算!$P$188)*LN(10)/10),0)+LN(1+EXP(-ABS((LN(10^(逐级计算!$Q$188/10)-1)+逐级计算!$Q$188*(GF63-逐级计算!$P$188)*LN(10)/10))))))),"")</f>
        <v>13.7930365742089</v>
      </c>
      <c r="GH63">
        <f>IF(AND(ISNUMBER(GG63),逐级计算!$X$189&gt;-1),IF(逐级计算!$X$189=0,GG63+逐级计算!$C$189,GG63+逐级计算!$C$189-(10/(逐级计算!$Q$189*LN(10))*(MAX((LN(10^(逐级计算!$Q$189/10)-1)+逐级计算!$Q$189*(GG63-逐级计算!$P$189)*LN(10)/10),0)+LN(1+EXP(-ABS((LN(10^(逐级计算!$Q$189/10)-1)+逐级计算!$Q$189*(GG63-逐级计算!$P$189)*LN(10)/10))))))),"")</f>
        <v>13.7930365742089</v>
      </c>
      <c r="GI63">
        <f>IF(AND(ISNUMBER(GH63),逐级计算!$X$190&gt;-1),IF(逐级计算!$X$190=0,GH63+逐级计算!$C$190,GH63+逐级计算!$C$190-(10/(逐级计算!$Q$190*LN(10))*(MAX((LN(10^(逐级计算!$Q$190/10)-1)+逐级计算!$Q$190*(GH63-逐级计算!$P$190)*LN(10)/10),0)+LN(1+EXP(-ABS((LN(10^(逐级计算!$Q$190/10)-1)+逐级计算!$Q$190*(GH63-逐级计算!$P$190)*LN(10)/10))))))),"")</f>
        <v>13.7930365742089</v>
      </c>
      <c r="GJ63">
        <f>IF(AND(ISNUMBER(GI63),逐级计算!$X$191&gt;-1),IF(逐级计算!$X$191=0,GI63+逐级计算!$C$191,GI63+逐级计算!$C$191-(10/(逐级计算!$Q$191*LN(10))*(MAX((LN(10^(逐级计算!$Q$191/10)-1)+逐级计算!$Q$191*(GI63-逐级计算!$P$191)*LN(10)/10),0)+LN(1+EXP(-ABS((LN(10^(逐级计算!$Q$191/10)-1)+逐级计算!$Q$191*(GI63-逐级计算!$P$191)*LN(10)/10))))))),"")</f>
        <v>13.7930365742089</v>
      </c>
      <c r="GK63">
        <f>IF(AND(ISNUMBER(GJ63),逐级计算!$X$192&gt;-1),IF(逐级计算!$X$192=0,GJ63+逐级计算!$C$192,GJ63+逐级计算!$C$192-(10/(逐级计算!$Q$192*LN(10))*(MAX((LN(10^(逐级计算!$Q$192/10)-1)+逐级计算!$Q$192*(GJ63-逐级计算!$P$192)*LN(10)/10),0)+LN(1+EXP(-ABS((LN(10^(逐级计算!$Q$192/10)-1)+逐级计算!$Q$192*(GJ63-逐级计算!$P$192)*LN(10)/10))))))),"")</f>
        <v>13.7930365742089</v>
      </c>
      <c r="GL63">
        <f>IF(AND(ISNUMBER(GK63),逐级计算!$X$193&gt;-1),IF(逐级计算!$X$193=0,GK63+逐级计算!$C$193,GK63+逐级计算!$C$193-(10/(逐级计算!$Q$193*LN(10))*(MAX((LN(10^(逐级计算!$Q$193/10)-1)+逐级计算!$Q$193*(GK63-逐级计算!$P$193)*LN(10)/10),0)+LN(1+EXP(-ABS((LN(10^(逐级计算!$Q$193/10)-1)+逐级计算!$Q$193*(GK63-逐级计算!$P$193)*LN(10)/10))))))),"")</f>
        <v>13.7930365742089</v>
      </c>
      <c r="GM63">
        <f>IF(AND(ISNUMBER(GL63),逐级计算!$X$194&gt;-1),IF(逐级计算!$X$194=0,GL63+逐级计算!$C$194,GL63+逐级计算!$C$194-(10/(逐级计算!$Q$194*LN(10))*(MAX((LN(10^(逐级计算!$Q$194/10)-1)+逐级计算!$Q$194*(GL63-逐级计算!$P$194)*LN(10)/10),0)+LN(1+EXP(-ABS((LN(10^(逐级计算!$Q$194/10)-1)+逐级计算!$Q$194*(GL63-逐级计算!$P$194)*LN(10)/10))))))),"")</f>
        <v>13.7930365742089</v>
      </c>
      <c r="GN63">
        <f>IF(AND(ISNUMBER(GM63),逐级计算!$X$195&gt;-1),IF(逐级计算!$X$195=0,GM63+逐级计算!$C$195,GM63+逐级计算!$C$195-(10/(逐级计算!$Q$195*LN(10))*(MAX((LN(10^(逐级计算!$Q$195/10)-1)+逐级计算!$Q$195*(GM63-逐级计算!$P$195)*LN(10)/10),0)+LN(1+EXP(-ABS((LN(10^(逐级计算!$Q$195/10)-1)+逐级计算!$Q$195*(GM63-逐级计算!$P$195)*LN(10)/10))))))),"")</f>
        <v>13.7930365742089</v>
      </c>
      <c r="GO63">
        <f>IF(AND(ISNUMBER(GN63),逐级计算!$X$196&gt;-1),IF(逐级计算!$X$196=0,GN63+逐级计算!$C$196,GN63+逐级计算!$C$196-(10/(逐级计算!$Q$196*LN(10))*(MAX((LN(10^(逐级计算!$Q$196/10)-1)+逐级计算!$Q$196*(GN63-逐级计算!$P$196)*LN(10)/10),0)+LN(1+EXP(-ABS((LN(10^(逐级计算!$Q$196/10)-1)+逐级计算!$Q$196*(GN63-逐级计算!$P$196)*LN(10)/10))))))),"")</f>
        <v>13.7930365742089</v>
      </c>
      <c r="GP63">
        <f>IF(AND(ISNUMBER(GO63),逐级计算!$X$197&gt;-1),IF(逐级计算!$X$197=0,GO63+逐级计算!$C$197,GO63+逐级计算!$C$197-(10/(逐级计算!$Q$197*LN(10))*(MAX((LN(10^(逐级计算!$Q$197/10)-1)+逐级计算!$Q$197*(GO63-逐级计算!$P$197)*LN(10)/10),0)+LN(1+EXP(-ABS((LN(10^(逐级计算!$Q$197/10)-1)+逐级计算!$Q$197*(GO63-逐级计算!$P$197)*LN(10)/10))))))),"")</f>
        <v>13.7930365742089</v>
      </c>
      <c r="GQ63">
        <f>IF(AND(ISNUMBER(GP63),逐级计算!$X$198&gt;-1),IF(逐级计算!$X$198=0,GP63+逐级计算!$C$198,GP63+逐级计算!$C$198-(10/(逐级计算!$Q$198*LN(10))*(MAX((LN(10^(逐级计算!$Q$198/10)-1)+逐级计算!$Q$198*(GP63-逐级计算!$P$198)*LN(10)/10),0)+LN(1+EXP(-ABS((LN(10^(逐级计算!$Q$198/10)-1)+逐级计算!$Q$198*(GP63-逐级计算!$P$198)*LN(10)/10))))))),"")</f>
        <v>13.7930365742089</v>
      </c>
      <c r="GR63">
        <f>IF(AND(ISNUMBER(GQ63),逐级计算!$X$199&gt;-1),IF(逐级计算!$X$199=0,GQ63+逐级计算!$C$199,GQ63+逐级计算!$C$199-(10/(逐级计算!$Q$199*LN(10))*(MAX((LN(10^(逐级计算!$Q$199/10)-1)+逐级计算!$Q$199*(GQ63-逐级计算!$P$199)*LN(10)/10),0)+LN(1+EXP(-ABS((LN(10^(逐级计算!$Q$199/10)-1)+逐级计算!$Q$199*(GQ63-逐级计算!$P$199)*LN(10)/10))))))),"")</f>
        <v>13.7930365742089</v>
      </c>
      <c r="GS63">
        <f>IF(AND(ISNUMBER(GR63),逐级计算!$X$200&gt;-1),IF(逐级计算!$X$200=0,GR63+逐级计算!$C$200,GR63+逐级计算!$C$200-(10/(逐级计算!$Q$200*LN(10))*(MAX((LN(10^(逐级计算!$Q$200/10)-1)+逐级计算!$Q$200*(GR63-逐级计算!$P$200)*LN(10)/10),0)+LN(1+EXP(-ABS((LN(10^(逐级计算!$Q$200/10)-1)+逐级计算!$Q$200*(GR63-逐级计算!$P$200)*LN(10)/10))))))),"")</f>
        <v>13.7930365742089</v>
      </c>
      <c r="GT63">
        <f>IF(AND(ISNUMBER(GS63),逐级计算!$X$201&gt;-1),IF(逐级计算!$X$201=0,GS63+逐级计算!$C$201,GS63+逐级计算!$C$201-(10/(逐级计算!$Q$201*LN(10))*(MAX((LN(10^(逐级计算!$Q$201/10)-1)+逐级计算!$Q$201*(GS63-逐级计算!$P$201)*LN(10)/10),0)+LN(1+EXP(-ABS((LN(10^(逐级计算!$Q$201/10)-1)+逐级计算!$Q$201*(GS63-逐级计算!$P$201)*LN(10)/10))))))),"")</f>
        <v>13.7930365742089</v>
      </c>
      <c r="GU63">
        <f>IF(AND(ISNUMBER(GT63),逐级计算!$X$202&gt;-1),IF(逐级计算!$X$202=0,GT63+逐级计算!$C$202,GT63+逐级计算!$C$202-(10/(逐级计算!$Q$202*LN(10))*(MAX((LN(10^(逐级计算!$Q$202/10)-1)+逐级计算!$Q$202*(GT63-逐级计算!$P$202)*LN(10)/10),0)+LN(1+EXP(-ABS((LN(10^(逐级计算!$Q$202/10)-1)+逐级计算!$Q$202*(GT63-逐级计算!$P$202)*LN(10)/10))))))),"")</f>
        <v>13.7930365742089</v>
      </c>
      <c r="GV63">
        <f>IF(AND(ISNUMBER(GU63),逐级计算!$X$203&gt;-1),IF(逐级计算!$X$203=0,GU63+逐级计算!$C$203,GU63+逐级计算!$C$203-(10/(逐级计算!$Q$203*LN(10))*(MAX((LN(10^(逐级计算!$Q$203/10)-1)+逐级计算!$Q$203*(GU63-逐级计算!$P$203)*LN(10)/10),0)+LN(1+EXP(-ABS((LN(10^(逐级计算!$Q$203/10)-1)+逐级计算!$Q$203*(GU63-逐级计算!$P$203)*LN(10)/10))))))),"")</f>
        <v>13.7930365742089</v>
      </c>
      <c r="GW63">
        <f t="shared" si="2"/>
        <v>-5.20696342579112</v>
      </c>
    </row>
    <row r="64" spans="1:205">
      <c r="A64">
        <v>57</v>
      </c>
      <c r="B64">
        <f t="shared" si="1"/>
        <v>-5.20696342579112</v>
      </c>
      <c r="C64">
        <f t="shared" si="0"/>
        <v>-5.20696342579112</v>
      </c>
      <c r="D64">
        <f>IF(AND(ISNUMBER(C64),ISNUMBER(逐级计算!$E$203),ISNUMBER(GV64)),C64+逐级计算!$E$203-GV64,"")</f>
        <v>1.00000000000001</v>
      </c>
      <c r="E64">
        <f>IF(AND(ISNUMBER(C64),逐级计算!$X$4&gt;-1),IF(逐级计算!$X$4=0,C64+逐级计算!$C$4,C64+逐级计算!$C$4-(10/(逐级计算!$Q$4*LN(10))*(MAX((LN(10^(逐级计算!$Q$4/10)-1)+逐级计算!$Q$4*(C64-逐级计算!$P$4)*LN(10)/10),0)+LN(1+EXP(-ABS((LN(10^(逐级计算!$Q$4/10)-1)+逐级计算!$Q$4*(C64-逐级计算!$P$4)*LN(10)/10))))))),"")</f>
        <v>4.68053982928311</v>
      </c>
      <c r="F64">
        <f>IF(AND(ISNUMBER(E64),逐级计算!$X$5&gt;-1),IF(逐级计算!$X$5=0,E64+逐级计算!$C$5,E64+逐级计算!$C$5-(10/(逐级计算!$Q$5*LN(10))*(MAX((LN(10^(逐级计算!$Q$5/10)-1)+逐级计算!$Q$5*(E64-逐级计算!$P$5)*LN(10)/10),0)+LN(1+EXP(-ABS((LN(10^(逐级计算!$Q$5/10)-1)+逐级计算!$Q$5*(E64-逐级计算!$P$5)*LN(10)/10))))))),"")</f>
        <v>13.7930365742089</v>
      </c>
      <c r="G64">
        <f>IF(AND(ISNUMBER(F64),逐级计算!$X$6&gt;-1),IF(逐级计算!$X$6=0,F64+逐级计算!$C$6,F64+逐级计算!$C$6-(10/(逐级计算!$Q$6*LN(10))*(MAX((LN(10^(逐级计算!$Q$6/10)-1)+逐级计算!$Q$6*(F64-逐级计算!$P$6)*LN(10)/10),0)+LN(1+EXP(-ABS((LN(10^(逐级计算!$Q$6/10)-1)+逐级计算!$Q$6*(F64-逐级计算!$P$6)*LN(10)/10))))))),"")</f>
        <v>13.7930365742089</v>
      </c>
      <c r="H64">
        <f>IF(AND(ISNUMBER(G64),逐级计算!$X$7&gt;-1),IF(逐级计算!$X$7=0,G64+逐级计算!$C$7,G64+逐级计算!$C$7-(10/(逐级计算!$Q$7*LN(10))*(MAX((LN(10^(逐级计算!$Q$7/10)-1)+逐级计算!$Q$7*(G64-逐级计算!$P$7)*LN(10)/10),0)+LN(1+EXP(-ABS((LN(10^(逐级计算!$Q$7/10)-1)+逐级计算!$Q$7*(G64-逐级计算!$P$7)*LN(10)/10))))))),"")</f>
        <v>13.7930365742089</v>
      </c>
      <c r="I64">
        <f>IF(AND(ISNUMBER(H64),逐级计算!$X$8&gt;-1),IF(逐级计算!$X$8=0,H64+逐级计算!$C$8,H64+逐级计算!$C$8-(10/(逐级计算!$Q$8*LN(10))*(MAX((LN(10^(逐级计算!$Q$8/10)-1)+逐级计算!$Q$8*(H64-逐级计算!$P$8)*LN(10)/10),0)+LN(1+EXP(-ABS((LN(10^(逐级计算!$Q$8/10)-1)+逐级计算!$Q$8*(H64-逐级计算!$P$8)*LN(10)/10))))))),"")</f>
        <v>13.7930365742089</v>
      </c>
      <c r="J64">
        <f>IF(AND(ISNUMBER(I64),逐级计算!$X$9&gt;-1),IF(逐级计算!$X$9=0,I64+逐级计算!$C$9,I64+逐级计算!$C$9-(10/(逐级计算!$Q$9*LN(10))*(MAX((LN(10^(逐级计算!$Q$9/10)-1)+逐级计算!$Q$9*(I64-逐级计算!$P$9)*LN(10)/10),0)+LN(1+EXP(-ABS((LN(10^(逐级计算!$Q$9/10)-1)+逐级计算!$Q$9*(I64-逐级计算!$P$9)*LN(10)/10))))))),"")</f>
        <v>13.7930365742089</v>
      </c>
      <c r="K64">
        <f>IF(AND(ISNUMBER(J64),逐级计算!$X$10&gt;-1),IF(逐级计算!$X$10=0,J64+逐级计算!$C$10,J64+逐级计算!$C$10-(10/(逐级计算!$Q$10*LN(10))*(MAX((LN(10^(逐级计算!$Q$10/10)-1)+逐级计算!$Q$10*(J64-逐级计算!$P$10)*LN(10)/10),0)+LN(1+EXP(-ABS((LN(10^(逐级计算!$Q$10/10)-1)+逐级计算!$Q$10*(J64-逐级计算!$P$10)*LN(10)/10))))))),"")</f>
        <v>13.7930365742089</v>
      </c>
      <c r="L64">
        <f>IF(AND(ISNUMBER(K64),逐级计算!$X$11&gt;-1),IF(逐级计算!$X$11=0,K64+逐级计算!$C$11,K64+逐级计算!$C$11-(10/(逐级计算!$Q$11*LN(10))*(MAX((LN(10^(逐级计算!$Q$11/10)-1)+逐级计算!$Q$11*(K64-逐级计算!$P$11)*LN(10)/10),0)+LN(1+EXP(-ABS((LN(10^(逐级计算!$Q$11/10)-1)+逐级计算!$Q$11*(K64-逐级计算!$P$11)*LN(10)/10))))))),"")</f>
        <v>13.7930365742089</v>
      </c>
      <c r="M64">
        <f>IF(AND(ISNUMBER(L64),逐级计算!$X$12&gt;-1),IF(逐级计算!$X$12=0,L64+逐级计算!$C$12,L64+逐级计算!$C$12-(10/(逐级计算!$Q$12*LN(10))*(MAX((LN(10^(逐级计算!$Q$12/10)-1)+逐级计算!$Q$12*(L64-逐级计算!$P$12)*LN(10)/10),0)+LN(1+EXP(-ABS((LN(10^(逐级计算!$Q$12/10)-1)+逐级计算!$Q$12*(L64-逐级计算!$P$12)*LN(10)/10))))))),"")</f>
        <v>13.7930365742089</v>
      </c>
      <c r="N64">
        <f>IF(AND(ISNUMBER(M64),逐级计算!$X$13&gt;-1),IF(逐级计算!$X$13=0,M64+逐级计算!$C$13,M64+逐级计算!$C$13-(10/(逐级计算!$Q$13*LN(10))*(MAX((LN(10^(逐级计算!$Q$13/10)-1)+逐级计算!$Q$13*(M64-逐级计算!$P$13)*LN(10)/10),0)+LN(1+EXP(-ABS((LN(10^(逐级计算!$Q$13/10)-1)+逐级计算!$Q$13*(M64-逐级计算!$P$13)*LN(10)/10))))))),"")</f>
        <v>13.7930365742089</v>
      </c>
      <c r="O64">
        <f>IF(AND(ISNUMBER(N64),逐级计算!$X$14&gt;-1),IF(逐级计算!$X$14=0,N64+逐级计算!$C$14,N64+逐级计算!$C$14-(10/(逐级计算!$Q$14*LN(10))*(MAX((LN(10^(逐级计算!$Q$14/10)-1)+逐级计算!$Q$14*(N64-逐级计算!$P$14)*LN(10)/10),0)+LN(1+EXP(-ABS((LN(10^(逐级计算!$Q$14/10)-1)+逐级计算!$Q$14*(N64-逐级计算!$P$14)*LN(10)/10))))))),"")</f>
        <v>13.7930365742089</v>
      </c>
      <c r="P64">
        <f>IF(AND(ISNUMBER(O64),逐级计算!$X$15&gt;-1),IF(逐级计算!$X$15=0,O64+逐级计算!$C$15,O64+逐级计算!$C$15-(10/(逐级计算!$Q$15*LN(10))*(MAX((LN(10^(逐级计算!$Q$15/10)-1)+逐级计算!$Q$15*(O64-逐级计算!$P$15)*LN(10)/10),0)+LN(1+EXP(-ABS((LN(10^(逐级计算!$Q$15/10)-1)+逐级计算!$Q$15*(O64-逐级计算!$P$15)*LN(10)/10))))))),"")</f>
        <v>13.7930365742089</v>
      </c>
      <c r="Q64">
        <f>IF(AND(ISNUMBER(P64),逐级计算!$X$16&gt;-1),IF(逐级计算!$X$16=0,P64+逐级计算!$C$16,P64+逐级计算!$C$16-(10/(逐级计算!$Q$16*LN(10))*(MAX((LN(10^(逐级计算!$Q$16/10)-1)+逐级计算!$Q$16*(P64-逐级计算!$P$16)*LN(10)/10),0)+LN(1+EXP(-ABS((LN(10^(逐级计算!$Q$16/10)-1)+逐级计算!$Q$16*(P64-逐级计算!$P$16)*LN(10)/10))))))),"")</f>
        <v>13.7930365742089</v>
      </c>
      <c r="R64">
        <f>IF(AND(ISNUMBER(Q64),逐级计算!$X$17&gt;-1),IF(逐级计算!$X$17=0,Q64+逐级计算!$C$17,Q64+逐级计算!$C$17-(10/(逐级计算!$Q$17*LN(10))*(MAX((LN(10^(逐级计算!$Q$17/10)-1)+逐级计算!$Q$17*(Q64-逐级计算!$P$17)*LN(10)/10),0)+LN(1+EXP(-ABS((LN(10^(逐级计算!$Q$17/10)-1)+逐级计算!$Q$17*(Q64-逐级计算!$P$17)*LN(10)/10))))))),"")</f>
        <v>13.7930365742089</v>
      </c>
      <c r="S64">
        <f>IF(AND(ISNUMBER(R64),逐级计算!$X$18&gt;-1),IF(逐级计算!$X$18=0,R64+逐级计算!$C$18,R64+逐级计算!$C$18-(10/(逐级计算!$Q$18*LN(10))*(MAX((LN(10^(逐级计算!$Q$18/10)-1)+逐级计算!$Q$18*(R64-逐级计算!$P$18)*LN(10)/10),0)+LN(1+EXP(-ABS((LN(10^(逐级计算!$Q$18/10)-1)+逐级计算!$Q$18*(R64-逐级计算!$P$18)*LN(10)/10))))))),"")</f>
        <v>13.7930365742089</v>
      </c>
      <c r="T64">
        <f>IF(AND(ISNUMBER(S64),逐级计算!$X$19&gt;-1),IF(逐级计算!$X$19=0,S64+逐级计算!$C$19,S64+逐级计算!$C$19-(10/(逐级计算!$Q$19*LN(10))*(MAX((LN(10^(逐级计算!$Q$19/10)-1)+逐级计算!$Q$19*(S64-逐级计算!$P$19)*LN(10)/10),0)+LN(1+EXP(-ABS((LN(10^(逐级计算!$Q$19/10)-1)+逐级计算!$Q$19*(S64-逐级计算!$P$19)*LN(10)/10))))))),"")</f>
        <v>13.7930365742089</v>
      </c>
      <c r="U64">
        <f>IF(AND(ISNUMBER(T64),逐级计算!$X$20&gt;-1),IF(逐级计算!$X$20=0,T64+逐级计算!$C$20,T64+逐级计算!$C$20-(10/(逐级计算!$Q$20*LN(10))*(MAX((LN(10^(逐级计算!$Q$20/10)-1)+逐级计算!$Q$20*(T64-逐级计算!$P$20)*LN(10)/10),0)+LN(1+EXP(-ABS((LN(10^(逐级计算!$Q$20/10)-1)+逐级计算!$Q$20*(T64-逐级计算!$P$20)*LN(10)/10))))))),"")</f>
        <v>13.7930365742089</v>
      </c>
      <c r="V64">
        <f>IF(AND(ISNUMBER(U64),逐级计算!$X$21&gt;-1),IF(逐级计算!$X$21=0,U64+逐级计算!$C$21,U64+逐级计算!$C$21-(10/(逐级计算!$Q$21*LN(10))*(MAX((LN(10^(逐级计算!$Q$21/10)-1)+逐级计算!$Q$21*(U64-逐级计算!$P$21)*LN(10)/10),0)+LN(1+EXP(-ABS((LN(10^(逐级计算!$Q$21/10)-1)+逐级计算!$Q$21*(U64-逐级计算!$P$21)*LN(10)/10))))))),"")</f>
        <v>13.7930365742089</v>
      </c>
      <c r="W64">
        <f>IF(AND(ISNUMBER(V64),逐级计算!$X$22&gt;-1),IF(逐级计算!$X$22=0,V64+逐级计算!$C$22,V64+逐级计算!$C$22-(10/(逐级计算!$Q$22*LN(10))*(MAX((LN(10^(逐级计算!$Q$22/10)-1)+逐级计算!$Q$22*(V64-逐级计算!$P$22)*LN(10)/10),0)+LN(1+EXP(-ABS((LN(10^(逐级计算!$Q$22/10)-1)+逐级计算!$Q$22*(V64-逐级计算!$P$22)*LN(10)/10))))))),"")</f>
        <v>13.7930365742089</v>
      </c>
      <c r="X64">
        <f>IF(AND(ISNUMBER(W64),逐级计算!$X$23&gt;-1),IF(逐级计算!$X$23=0,W64+逐级计算!$C$23,W64+逐级计算!$C$23-(10/(逐级计算!$Q$23*LN(10))*(MAX((LN(10^(逐级计算!$Q$23/10)-1)+逐级计算!$Q$23*(W64-逐级计算!$P$23)*LN(10)/10),0)+LN(1+EXP(-ABS((LN(10^(逐级计算!$Q$23/10)-1)+逐级计算!$Q$23*(W64-逐级计算!$P$23)*LN(10)/10))))))),"")</f>
        <v>13.7930365742089</v>
      </c>
      <c r="Y64">
        <f>IF(AND(ISNUMBER(X64),逐级计算!$X$24&gt;-1),IF(逐级计算!$X$24=0,X64+逐级计算!$C$24,X64+逐级计算!$C$24-(10/(逐级计算!$Q$24*LN(10))*(MAX((LN(10^(逐级计算!$Q$24/10)-1)+逐级计算!$Q$24*(X64-逐级计算!$P$24)*LN(10)/10),0)+LN(1+EXP(-ABS((LN(10^(逐级计算!$Q$24/10)-1)+逐级计算!$Q$24*(X64-逐级计算!$P$24)*LN(10)/10))))))),"")</f>
        <v>13.7930365742089</v>
      </c>
      <c r="Z64">
        <f>IF(AND(ISNUMBER(Y64),逐级计算!$X$25&gt;-1),IF(逐级计算!$X$25=0,Y64+逐级计算!$C$25,Y64+逐级计算!$C$25-(10/(逐级计算!$Q$25*LN(10))*(MAX((LN(10^(逐级计算!$Q$25/10)-1)+逐级计算!$Q$25*(Y64-逐级计算!$P$25)*LN(10)/10),0)+LN(1+EXP(-ABS((LN(10^(逐级计算!$Q$25/10)-1)+逐级计算!$Q$25*(Y64-逐级计算!$P$25)*LN(10)/10))))))),"")</f>
        <v>13.7930365742089</v>
      </c>
      <c r="AA64">
        <f>IF(AND(ISNUMBER(Z64),逐级计算!$X$26&gt;-1),IF(逐级计算!$X$26=0,Z64+逐级计算!$C$26,Z64+逐级计算!$C$26-(10/(逐级计算!$Q$26*LN(10))*(MAX((LN(10^(逐级计算!$Q$26/10)-1)+逐级计算!$Q$26*(Z64-逐级计算!$P$26)*LN(10)/10),0)+LN(1+EXP(-ABS((LN(10^(逐级计算!$Q$26/10)-1)+逐级计算!$Q$26*(Z64-逐级计算!$P$26)*LN(10)/10))))))),"")</f>
        <v>13.7930365742089</v>
      </c>
      <c r="AB64">
        <f>IF(AND(ISNUMBER(AA64),逐级计算!$X$27&gt;-1),IF(逐级计算!$X$27=0,AA64+逐级计算!$C$27,AA64+逐级计算!$C$27-(10/(逐级计算!$Q$27*LN(10))*(MAX((LN(10^(逐级计算!$Q$27/10)-1)+逐级计算!$Q$27*(AA64-逐级计算!$P$27)*LN(10)/10),0)+LN(1+EXP(-ABS((LN(10^(逐级计算!$Q$27/10)-1)+逐级计算!$Q$27*(AA64-逐级计算!$P$27)*LN(10)/10))))))),"")</f>
        <v>13.7930365742089</v>
      </c>
      <c r="AC64">
        <f>IF(AND(ISNUMBER(AB64),逐级计算!$X$28&gt;-1),IF(逐级计算!$X$28=0,AB64+逐级计算!$C$28,AB64+逐级计算!$C$28-(10/(逐级计算!$Q$28*LN(10))*(MAX((LN(10^(逐级计算!$Q$28/10)-1)+逐级计算!$Q$28*(AB64-逐级计算!$P$28)*LN(10)/10),0)+LN(1+EXP(-ABS((LN(10^(逐级计算!$Q$28/10)-1)+逐级计算!$Q$28*(AB64-逐级计算!$P$28)*LN(10)/10))))))),"")</f>
        <v>13.7930365742089</v>
      </c>
      <c r="AD64">
        <f>IF(AND(ISNUMBER(AC64),逐级计算!$X$29&gt;-1),IF(逐级计算!$X$29=0,AC64+逐级计算!$C$29,AC64+逐级计算!$C$29-(10/(逐级计算!$Q$29*LN(10))*(MAX((LN(10^(逐级计算!$Q$29/10)-1)+逐级计算!$Q$29*(AC64-逐级计算!$P$29)*LN(10)/10),0)+LN(1+EXP(-ABS((LN(10^(逐级计算!$Q$29/10)-1)+逐级计算!$Q$29*(AC64-逐级计算!$P$29)*LN(10)/10))))))),"")</f>
        <v>13.7930365742089</v>
      </c>
      <c r="AE64">
        <f>IF(AND(ISNUMBER(AD64),逐级计算!$X$30&gt;-1),IF(逐级计算!$X$30=0,AD64+逐级计算!$C$30,AD64+逐级计算!$C$30-(10/(逐级计算!$Q$30*LN(10))*(MAX((LN(10^(逐级计算!$Q$30/10)-1)+逐级计算!$Q$30*(AD64-逐级计算!$P$30)*LN(10)/10),0)+LN(1+EXP(-ABS((LN(10^(逐级计算!$Q$30/10)-1)+逐级计算!$Q$30*(AD64-逐级计算!$P$30)*LN(10)/10))))))),"")</f>
        <v>13.7930365742089</v>
      </c>
      <c r="AF64">
        <f>IF(AND(ISNUMBER(AE64),逐级计算!$X$31&gt;-1),IF(逐级计算!$X$31=0,AE64+逐级计算!$C$31,AE64+逐级计算!$C$31-(10/(逐级计算!$Q$31*LN(10))*(MAX((LN(10^(逐级计算!$Q$31/10)-1)+逐级计算!$Q$31*(AE64-逐级计算!$P$31)*LN(10)/10),0)+LN(1+EXP(-ABS((LN(10^(逐级计算!$Q$31/10)-1)+逐级计算!$Q$31*(AE64-逐级计算!$P$31)*LN(10)/10))))))),"")</f>
        <v>13.7930365742089</v>
      </c>
      <c r="AG64">
        <f>IF(AND(ISNUMBER(AF64),逐级计算!$X$32&gt;-1),IF(逐级计算!$X$32=0,AF64+逐级计算!$C$32,AF64+逐级计算!$C$32-(10/(逐级计算!$Q$32*LN(10))*(MAX((LN(10^(逐级计算!$Q$32/10)-1)+逐级计算!$Q$32*(AF64-逐级计算!$P$32)*LN(10)/10),0)+LN(1+EXP(-ABS((LN(10^(逐级计算!$Q$32/10)-1)+逐级计算!$Q$32*(AF64-逐级计算!$P$32)*LN(10)/10))))))),"")</f>
        <v>13.7930365742089</v>
      </c>
      <c r="AH64">
        <f>IF(AND(ISNUMBER(AG64),逐级计算!$X$33&gt;-1),IF(逐级计算!$X$33=0,AG64+逐级计算!$C$33,AG64+逐级计算!$C$33-(10/(逐级计算!$Q$33*LN(10))*(MAX((LN(10^(逐级计算!$Q$33/10)-1)+逐级计算!$Q$33*(AG64-逐级计算!$P$33)*LN(10)/10),0)+LN(1+EXP(-ABS((LN(10^(逐级计算!$Q$33/10)-1)+逐级计算!$Q$33*(AG64-逐级计算!$P$33)*LN(10)/10))))))),"")</f>
        <v>13.7930365742089</v>
      </c>
      <c r="AI64">
        <f>IF(AND(ISNUMBER(AH64),逐级计算!$X$34&gt;-1),IF(逐级计算!$X$34=0,AH64+逐级计算!$C$34,AH64+逐级计算!$C$34-(10/(逐级计算!$Q$34*LN(10))*(MAX((LN(10^(逐级计算!$Q$34/10)-1)+逐级计算!$Q$34*(AH64-逐级计算!$P$34)*LN(10)/10),0)+LN(1+EXP(-ABS((LN(10^(逐级计算!$Q$34/10)-1)+逐级计算!$Q$34*(AH64-逐级计算!$P$34)*LN(10)/10))))))),"")</f>
        <v>13.7930365742089</v>
      </c>
      <c r="AJ64">
        <f>IF(AND(ISNUMBER(AI64),逐级计算!$X$35&gt;-1),IF(逐级计算!$X$35=0,AI64+逐级计算!$C$35,AI64+逐级计算!$C$35-(10/(逐级计算!$Q$35*LN(10))*(MAX((LN(10^(逐级计算!$Q$35/10)-1)+逐级计算!$Q$35*(AI64-逐级计算!$P$35)*LN(10)/10),0)+LN(1+EXP(-ABS((LN(10^(逐级计算!$Q$35/10)-1)+逐级计算!$Q$35*(AI64-逐级计算!$P$35)*LN(10)/10))))))),"")</f>
        <v>13.7930365742089</v>
      </c>
      <c r="AK64">
        <f>IF(AND(ISNUMBER(AJ64),逐级计算!$X$36&gt;-1),IF(逐级计算!$X$36=0,AJ64+逐级计算!$C$36,AJ64+逐级计算!$C$36-(10/(逐级计算!$Q$36*LN(10))*(MAX((LN(10^(逐级计算!$Q$36/10)-1)+逐级计算!$Q$36*(AJ64-逐级计算!$P$36)*LN(10)/10),0)+LN(1+EXP(-ABS((LN(10^(逐级计算!$Q$36/10)-1)+逐级计算!$Q$36*(AJ64-逐级计算!$P$36)*LN(10)/10))))))),"")</f>
        <v>13.7930365742089</v>
      </c>
      <c r="AL64">
        <f>IF(AND(ISNUMBER(AK64),逐级计算!$X$37&gt;-1),IF(逐级计算!$X$37=0,AK64+逐级计算!$C$37,AK64+逐级计算!$C$37-(10/(逐级计算!$Q$37*LN(10))*(MAX((LN(10^(逐级计算!$Q$37/10)-1)+逐级计算!$Q$37*(AK64-逐级计算!$P$37)*LN(10)/10),0)+LN(1+EXP(-ABS((LN(10^(逐级计算!$Q$37/10)-1)+逐级计算!$Q$37*(AK64-逐级计算!$P$37)*LN(10)/10))))))),"")</f>
        <v>13.7930365742089</v>
      </c>
      <c r="AM64">
        <f>IF(AND(ISNUMBER(AL64),逐级计算!$X$38&gt;-1),IF(逐级计算!$X$38=0,AL64+逐级计算!$C$38,AL64+逐级计算!$C$38-(10/(逐级计算!$Q$38*LN(10))*(MAX((LN(10^(逐级计算!$Q$38/10)-1)+逐级计算!$Q$38*(AL64-逐级计算!$P$38)*LN(10)/10),0)+LN(1+EXP(-ABS((LN(10^(逐级计算!$Q$38/10)-1)+逐级计算!$Q$38*(AL64-逐级计算!$P$38)*LN(10)/10))))))),"")</f>
        <v>13.7930365742089</v>
      </c>
      <c r="AN64">
        <f>IF(AND(ISNUMBER(AM64),逐级计算!$X$39&gt;-1),IF(逐级计算!$X$39=0,AM64+逐级计算!$C$39,AM64+逐级计算!$C$39-(10/(逐级计算!$Q$39*LN(10))*(MAX((LN(10^(逐级计算!$Q$39/10)-1)+逐级计算!$Q$39*(AM64-逐级计算!$P$39)*LN(10)/10),0)+LN(1+EXP(-ABS((LN(10^(逐级计算!$Q$39/10)-1)+逐级计算!$Q$39*(AM64-逐级计算!$P$39)*LN(10)/10))))))),"")</f>
        <v>13.7930365742089</v>
      </c>
      <c r="AO64">
        <f>IF(AND(ISNUMBER(AN64),逐级计算!$X$40&gt;-1),IF(逐级计算!$X$40=0,AN64+逐级计算!$C$40,AN64+逐级计算!$C$40-(10/(逐级计算!$Q$40*LN(10))*(MAX((LN(10^(逐级计算!$Q$40/10)-1)+逐级计算!$Q$40*(AN64-逐级计算!$P$40)*LN(10)/10),0)+LN(1+EXP(-ABS((LN(10^(逐级计算!$Q$40/10)-1)+逐级计算!$Q$40*(AN64-逐级计算!$P$40)*LN(10)/10))))))),"")</f>
        <v>13.7930365742089</v>
      </c>
      <c r="AP64">
        <f>IF(AND(ISNUMBER(AO64),逐级计算!$X$41&gt;-1),IF(逐级计算!$X$41=0,AO64+逐级计算!$C$41,AO64+逐级计算!$C$41-(10/(逐级计算!$Q$41*LN(10))*(MAX((LN(10^(逐级计算!$Q$41/10)-1)+逐级计算!$Q$41*(AO64-逐级计算!$P$41)*LN(10)/10),0)+LN(1+EXP(-ABS((LN(10^(逐级计算!$Q$41/10)-1)+逐级计算!$Q$41*(AO64-逐级计算!$P$41)*LN(10)/10))))))),"")</f>
        <v>13.7930365742089</v>
      </c>
      <c r="AQ64">
        <f>IF(AND(ISNUMBER(AP64),逐级计算!$X$42&gt;-1),IF(逐级计算!$X$42=0,AP64+逐级计算!$C$42,AP64+逐级计算!$C$42-(10/(逐级计算!$Q$42*LN(10))*(MAX((LN(10^(逐级计算!$Q$42/10)-1)+逐级计算!$Q$42*(AP64-逐级计算!$P$42)*LN(10)/10),0)+LN(1+EXP(-ABS((LN(10^(逐级计算!$Q$42/10)-1)+逐级计算!$Q$42*(AP64-逐级计算!$P$42)*LN(10)/10))))))),"")</f>
        <v>13.7930365742089</v>
      </c>
      <c r="AR64">
        <f>IF(AND(ISNUMBER(AQ64),逐级计算!$X$43&gt;-1),IF(逐级计算!$X$43=0,AQ64+逐级计算!$C$43,AQ64+逐级计算!$C$43-(10/(逐级计算!$Q$43*LN(10))*(MAX((LN(10^(逐级计算!$Q$43/10)-1)+逐级计算!$Q$43*(AQ64-逐级计算!$P$43)*LN(10)/10),0)+LN(1+EXP(-ABS((LN(10^(逐级计算!$Q$43/10)-1)+逐级计算!$Q$43*(AQ64-逐级计算!$P$43)*LN(10)/10))))))),"")</f>
        <v>13.7930365742089</v>
      </c>
      <c r="AS64">
        <f>IF(AND(ISNUMBER(AR64),逐级计算!$X$44&gt;-1),IF(逐级计算!$X$44=0,AR64+逐级计算!$C$44,AR64+逐级计算!$C$44-(10/(逐级计算!$Q$44*LN(10))*(MAX((LN(10^(逐级计算!$Q$44/10)-1)+逐级计算!$Q$44*(AR64-逐级计算!$P$44)*LN(10)/10),0)+LN(1+EXP(-ABS((LN(10^(逐级计算!$Q$44/10)-1)+逐级计算!$Q$44*(AR64-逐级计算!$P$44)*LN(10)/10))))))),"")</f>
        <v>13.7930365742089</v>
      </c>
      <c r="AT64">
        <f>IF(AND(ISNUMBER(AS64),逐级计算!$X$45&gt;-1),IF(逐级计算!$X$45=0,AS64+逐级计算!$C$45,AS64+逐级计算!$C$45-(10/(逐级计算!$Q$45*LN(10))*(MAX((LN(10^(逐级计算!$Q$45/10)-1)+逐级计算!$Q$45*(AS64-逐级计算!$P$45)*LN(10)/10),0)+LN(1+EXP(-ABS((LN(10^(逐级计算!$Q$45/10)-1)+逐级计算!$Q$45*(AS64-逐级计算!$P$45)*LN(10)/10))))))),"")</f>
        <v>13.7930365742089</v>
      </c>
      <c r="AU64">
        <f>IF(AND(ISNUMBER(AT64),逐级计算!$X$46&gt;-1),IF(逐级计算!$X$46=0,AT64+逐级计算!$C$46,AT64+逐级计算!$C$46-(10/(逐级计算!$Q$46*LN(10))*(MAX((LN(10^(逐级计算!$Q$46/10)-1)+逐级计算!$Q$46*(AT64-逐级计算!$P$46)*LN(10)/10),0)+LN(1+EXP(-ABS((LN(10^(逐级计算!$Q$46/10)-1)+逐级计算!$Q$46*(AT64-逐级计算!$P$46)*LN(10)/10))))))),"")</f>
        <v>13.7930365742089</v>
      </c>
      <c r="AV64">
        <f>IF(AND(ISNUMBER(AU64),逐级计算!$X$47&gt;-1),IF(逐级计算!$X$47=0,AU64+逐级计算!$C$47,AU64+逐级计算!$C$47-(10/(逐级计算!$Q$47*LN(10))*(MAX((LN(10^(逐级计算!$Q$47/10)-1)+逐级计算!$Q$47*(AU64-逐级计算!$P$47)*LN(10)/10),0)+LN(1+EXP(-ABS((LN(10^(逐级计算!$Q$47/10)-1)+逐级计算!$Q$47*(AU64-逐级计算!$P$47)*LN(10)/10))))))),"")</f>
        <v>13.7930365742089</v>
      </c>
      <c r="AW64">
        <f>IF(AND(ISNUMBER(AV64),逐级计算!$X$48&gt;-1),IF(逐级计算!$X$48=0,AV64+逐级计算!$C$48,AV64+逐级计算!$C$48-(10/(逐级计算!$Q$48*LN(10))*(MAX((LN(10^(逐级计算!$Q$48/10)-1)+逐级计算!$Q$48*(AV64-逐级计算!$P$48)*LN(10)/10),0)+LN(1+EXP(-ABS((LN(10^(逐级计算!$Q$48/10)-1)+逐级计算!$Q$48*(AV64-逐级计算!$P$48)*LN(10)/10))))))),"")</f>
        <v>13.7930365742089</v>
      </c>
      <c r="AX64">
        <f>IF(AND(ISNUMBER(AW64),逐级计算!$X$49&gt;-1),IF(逐级计算!$X$49=0,AW64+逐级计算!$C$49,AW64+逐级计算!$C$49-(10/(逐级计算!$Q$49*LN(10))*(MAX((LN(10^(逐级计算!$Q$49/10)-1)+逐级计算!$Q$49*(AW64-逐级计算!$P$49)*LN(10)/10),0)+LN(1+EXP(-ABS((LN(10^(逐级计算!$Q$49/10)-1)+逐级计算!$Q$49*(AW64-逐级计算!$P$49)*LN(10)/10))))))),"")</f>
        <v>13.7930365742089</v>
      </c>
      <c r="AY64">
        <f>IF(AND(ISNUMBER(AX64),逐级计算!$X$50&gt;-1),IF(逐级计算!$X$50=0,AX64+逐级计算!$C$50,AX64+逐级计算!$C$50-(10/(逐级计算!$Q$50*LN(10))*(MAX((LN(10^(逐级计算!$Q$50/10)-1)+逐级计算!$Q$50*(AX64-逐级计算!$P$50)*LN(10)/10),0)+LN(1+EXP(-ABS((LN(10^(逐级计算!$Q$50/10)-1)+逐级计算!$Q$50*(AX64-逐级计算!$P$50)*LN(10)/10))))))),"")</f>
        <v>13.7930365742089</v>
      </c>
      <c r="AZ64">
        <f>IF(AND(ISNUMBER(AY64),逐级计算!$X$51&gt;-1),IF(逐级计算!$X$51=0,AY64+逐级计算!$C$51,AY64+逐级计算!$C$51-(10/(逐级计算!$Q$51*LN(10))*(MAX((LN(10^(逐级计算!$Q$51/10)-1)+逐级计算!$Q$51*(AY64-逐级计算!$P$51)*LN(10)/10),0)+LN(1+EXP(-ABS((LN(10^(逐级计算!$Q$51/10)-1)+逐级计算!$Q$51*(AY64-逐级计算!$P$51)*LN(10)/10))))))),"")</f>
        <v>13.7930365742089</v>
      </c>
      <c r="BA64">
        <f>IF(AND(ISNUMBER(AZ64),逐级计算!$X$52&gt;-1),IF(逐级计算!$X$52=0,AZ64+逐级计算!$C$52,AZ64+逐级计算!$C$52-(10/(逐级计算!$Q$52*LN(10))*(MAX((LN(10^(逐级计算!$Q$52/10)-1)+逐级计算!$Q$52*(AZ64-逐级计算!$P$52)*LN(10)/10),0)+LN(1+EXP(-ABS((LN(10^(逐级计算!$Q$52/10)-1)+逐级计算!$Q$52*(AZ64-逐级计算!$P$52)*LN(10)/10))))))),"")</f>
        <v>13.7930365742089</v>
      </c>
      <c r="BB64">
        <f>IF(AND(ISNUMBER(BA64),逐级计算!$X$53&gt;-1),IF(逐级计算!$X$53=0,BA64+逐级计算!$C$53,BA64+逐级计算!$C$53-(10/(逐级计算!$Q$53*LN(10))*(MAX((LN(10^(逐级计算!$Q$53/10)-1)+逐级计算!$Q$53*(BA64-逐级计算!$P$53)*LN(10)/10),0)+LN(1+EXP(-ABS((LN(10^(逐级计算!$Q$53/10)-1)+逐级计算!$Q$53*(BA64-逐级计算!$P$53)*LN(10)/10))))))),"")</f>
        <v>13.7930365742089</v>
      </c>
      <c r="BC64">
        <f>IF(AND(ISNUMBER(BB64),逐级计算!$X$54&gt;-1),IF(逐级计算!$X$54=0,BB64+逐级计算!$C$54,BB64+逐级计算!$C$54-(10/(逐级计算!$Q$54*LN(10))*(MAX((LN(10^(逐级计算!$Q$54/10)-1)+逐级计算!$Q$54*(BB64-逐级计算!$P$54)*LN(10)/10),0)+LN(1+EXP(-ABS((LN(10^(逐级计算!$Q$54/10)-1)+逐级计算!$Q$54*(BB64-逐级计算!$P$54)*LN(10)/10))))))),"")</f>
        <v>13.7930365742089</v>
      </c>
      <c r="BD64">
        <f>IF(AND(ISNUMBER(BC64),逐级计算!$X$55&gt;-1),IF(逐级计算!$X$55=0,BC64+逐级计算!$C$55,BC64+逐级计算!$C$55-(10/(逐级计算!$Q$55*LN(10))*(MAX((LN(10^(逐级计算!$Q$55/10)-1)+逐级计算!$Q$55*(BC64-逐级计算!$P$55)*LN(10)/10),0)+LN(1+EXP(-ABS((LN(10^(逐级计算!$Q$55/10)-1)+逐级计算!$Q$55*(BC64-逐级计算!$P$55)*LN(10)/10))))))),"")</f>
        <v>13.7930365742089</v>
      </c>
      <c r="BE64">
        <f>IF(AND(ISNUMBER(BD64),逐级计算!$X$56&gt;-1),IF(逐级计算!$X$56=0,BD64+逐级计算!$C$56,BD64+逐级计算!$C$56-(10/(逐级计算!$Q$56*LN(10))*(MAX((LN(10^(逐级计算!$Q$56/10)-1)+逐级计算!$Q$56*(BD64-逐级计算!$P$56)*LN(10)/10),0)+LN(1+EXP(-ABS((LN(10^(逐级计算!$Q$56/10)-1)+逐级计算!$Q$56*(BD64-逐级计算!$P$56)*LN(10)/10))))))),"")</f>
        <v>13.7930365742089</v>
      </c>
      <c r="BF64">
        <f>IF(AND(ISNUMBER(BE64),逐级计算!$X$57&gt;-1),IF(逐级计算!$X$57=0,BE64+逐级计算!$C$57,BE64+逐级计算!$C$57-(10/(逐级计算!$Q$57*LN(10))*(MAX((LN(10^(逐级计算!$Q$57/10)-1)+逐级计算!$Q$57*(BE64-逐级计算!$P$57)*LN(10)/10),0)+LN(1+EXP(-ABS((LN(10^(逐级计算!$Q$57/10)-1)+逐级计算!$Q$57*(BE64-逐级计算!$P$57)*LN(10)/10))))))),"")</f>
        <v>13.7930365742089</v>
      </c>
      <c r="BG64">
        <f>IF(AND(ISNUMBER(BF64),逐级计算!$X$58&gt;-1),IF(逐级计算!$X$58=0,BF64+逐级计算!$C$58,BF64+逐级计算!$C$58-(10/(逐级计算!$Q$58*LN(10))*(MAX((LN(10^(逐级计算!$Q$58/10)-1)+逐级计算!$Q$58*(BF64-逐级计算!$P$58)*LN(10)/10),0)+LN(1+EXP(-ABS((LN(10^(逐级计算!$Q$58/10)-1)+逐级计算!$Q$58*(BF64-逐级计算!$P$58)*LN(10)/10))))))),"")</f>
        <v>13.7930365742089</v>
      </c>
      <c r="BH64">
        <f>IF(AND(ISNUMBER(BG64),逐级计算!$X$59&gt;-1),IF(逐级计算!$X$59=0,BG64+逐级计算!$C$59,BG64+逐级计算!$C$59-(10/(逐级计算!$Q$59*LN(10))*(MAX((LN(10^(逐级计算!$Q$59/10)-1)+逐级计算!$Q$59*(BG64-逐级计算!$P$59)*LN(10)/10),0)+LN(1+EXP(-ABS((LN(10^(逐级计算!$Q$59/10)-1)+逐级计算!$Q$59*(BG64-逐级计算!$P$59)*LN(10)/10))))))),"")</f>
        <v>13.7930365742089</v>
      </c>
      <c r="BI64">
        <f>IF(AND(ISNUMBER(BH64),逐级计算!$X$60&gt;-1),IF(逐级计算!$X$60=0,BH64+逐级计算!$C$60,BH64+逐级计算!$C$60-(10/(逐级计算!$Q$60*LN(10))*(MAX((LN(10^(逐级计算!$Q$60/10)-1)+逐级计算!$Q$60*(BH64-逐级计算!$P$60)*LN(10)/10),0)+LN(1+EXP(-ABS((LN(10^(逐级计算!$Q$60/10)-1)+逐级计算!$Q$60*(BH64-逐级计算!$P$60)*LN(10)/10))))))),"")</f>
        <v>13.7930365742089</v>
      </c>
      <c r="BJ64">
        <f>IF(AND(ISNUMBER(BI64),逐级计算!$X$61&gt;-1),IF(逐级计算!$X$61=0,BI64+逐级计算!$C$61,BI64+逐级计算!$C$61-(10/(逐级计算!$Q$61*LN(10))*(MAX((LN(10^(逐级计算!$Q$61/10)-1)+逐级计算!$Q$61*(BI64-逐级计算!$P$61)*LN(10)/10),0)+LN(1+EXP(-ABS((LN(10^(逐级计算!$Q$61/10)-1)+逐级计算!$Q$61*(BI64-逐级计算!$P$61)*LN(10)/10))))))),"")</f>
        <v>13.7930365742089</v>
      </c>
      <c r="BK64">
        <f>IF(AND(ISNUMBER(BJ64),逐级计算!$X$62&gt;-1),IF(逐级计算!$X$62=0,BJ64+逐级计算!$C$62,BJ64+逐级计算!$C$62-(10/(逐级计算!$Q$62*LN(10))*(MAX((LN(10^(逐级计算!$Q$62/10)-1)+逐级计算!$Q$62*(BJ64-逐级计算!$P$62)*LN(10)/10),0)+LN(1+EXP(-ABS((LN(10^(逐级计算!$Q$62/10)-1)+逐级计算!$Q$62*(BJ64-逐级计算!$P$62)*LN(10)/10))))))),"")</f>
        <v>13.7930365742089</v>
      </c>
      <c r="BL64">
        <f>IF(AND(ISNUMBER(BK64),逐级计算!$X$63&gt;-1),IF(逐级计算!$X$63=0,BK64+逐级计算!$C$63,BK64+逐级计算!$C$63-(10/(逐级计算!$Q$63*LN(10))*(MAX((LN(10^(逐级计算!$Q$63/10)-1)+逐级计算!$Q$63*(BK64-逐级计算!$P$63)*LN(10)/10),0)+LN(1+EXP(-ABS((LN(10^(逐级计算!$Q$63/10)-1)+逐级计算!$Q$63*(BK64-逐级计算!$P$63)*LN(10)/10))))))),"")</f>
        <v>13.7930365742089</v>
      </c>
      <c r="BM64">
        <f>IF(AND(ISNUMBER(BL64),逐级计算!$X$64&gt;-1),IF(逐级计算!$X$64=0,BL64+逐级计算!$C$64,BL64+逐级计算!$C$64-(10/(逐级计算!$Q$64*LN(10))*(MAX((LN(10^(逐级计算!$Q$64/10)-1)+逐级计算!$Q$64*(BL64-逐级计算!$P$64)*LN(10)/10),0)+LN(1+EXP(-ABS((LN(10^(逐级计算!$Q$64/10)-1)+逐级计算!$Q$64*(BL64-逐级计算!$P$64)*LN(10)/10))))))),"")</f>
        <v>13.7930365742089</v>
      </c>
      <c r="BN64">
        <f>IF(AND(ISNUMBER(BM64),逐级计算!$X$65&gt;-1),IF(逐级计算!$X$65=0,BM64+逐级计算!$C$65,BM64+逐级计算!$C$65-(10/(逐级计算!$Q$65*LN(10))*(MAX((LN(10^(逐级计算!$Q$65/10)-1)+逐级计算!$Q$65*(BM64-逐级计算!$P$65)*LN(10)/10),0)+LN(1+EXP(-ABS((LN(10^(逐级计算!$Q$65/10)-1)+逐级计算!$Q$65*(BM64-逐级计算!$P$65)*LN(10)/10))))))),"")</f>
        <v>13.7930365742089</v>
      </c>
      <c r="BO64">
        <f>IF(AND(ISNUMBER(BN64),逐级计算!$X$66&gt;-1),IF(逐级计算!$X$66=0,BN64+逐级计算!$C$66,BN64+逐级计算!$C$66-(10/(逐级计算!$Q$66*LN(10))*(MAX((LN(10^(逐级计算!$Q$66/10)-1)+逐级计算!$Q$66*(BN64-逐级计算!$P$66)*LN(10)/10),0)+LN(1+EXP(-ABS((LN(10^(逐级计算!$Q$66/10)-1)+逐级计算!$Q$66*(BN64-逐级计算!$P$66)*LN(10)/10))))))),"")</f>
        <v>13.7930365742089</v>
      </c>
      <c r="BP64">
        <f>IF(AND(ISNUMBER(BO64),逐级计算!$X$67&gt;-1),IF(逐级计算!$X$67=0,BO64+逐级计算!$C$67,BO64+逐级计算!$C$67-(10/(逐级计算!$Q$67*LN(10))*(MAX((LN(10^(逐级计算!$Q$67/10)-1)+逐级计算!$Q$67*(BO64-逐级计算!$P$67)*LN(10)/10),0)+LN(1+EXP(-ABS((LN(10^(逐级计算!$Q$67/10)-1)+逐级计算!$Q$67*(BO64-逐级计算!$P$67)*LN(10)/10))))))),"")</f>
        <v>13.7930365742089</v>
      </c>
      <c r="BQ64">
        <f>IF(AND(ISNUMBER(BP64),逐级计算!$X$68&gt;-1),IF(逐级计算!$X$68=0,BP64+逐级计算!$C$68,BP64+逐级计算!$C$68-(10/(逐级计算!$Q$68*LN(10))*(MAX((LN(10^(逐级计算!$Q$68/10)-1)+逐级计算!$Q$68*(BP64-逐级计算!$P$68)*LN(10)/10),0)+LN(1+EXP(-ABS((LN(10^(逐级计算!$Q$68/10)-1)+逐级计算!$Q$68*(BP64-逐级计算!$P$68)*LN(10)/10))))))),"")</f>
        <v>13.7930365742089</v>
      </c>
      <c r="BR64">
        <f>IF(AND(ISNUMBER(BQ64),逐级计算!$X$69&gt;-1),IF(逐级计算!$X$69=0,BQ64+逐级计算!$C$69,BQ64+逐级计算!$C$69-(10/(逐级计算!$Q$69*LN(10))*(MAX((LN(10^(逐级计算!$Q$69/10)-1)+逐级计算!$Q$69*(BQ64-逐级计算!$P$69)*LN(10)/10),0)+LN(1+EXP(-ABS((LN(10^(逐级计算!$Q$69/10)-1)+逐级计算!$Q$69*(BQ64-逐级计算!$P$69)*LN(10)/10))))))),"")</f>
        <v>13.7930365742089</v>
      </c>
      <c r="BS64">
        <f>IF(AND(ISNUMBER(BR64),逐级计算!$X$70&gt;-1),IF(逐级计算!$X$70=0,BR64+逐级计算!$C$70,BR64+逐级计算!$C$70-(10/(逐级计算!$Q$70*LN(10))*(MAX((LN(10^(逐级计算!$Q$70/10)-1)+逐级计算!$Q$70*(BR64-逐级计算!$P$70)*LN(10)/10),0)+LN(1+EXP(-ABS((LN(10^(逐级计算!$Q$70/10)-1)+逐级计算!$Q$70*(BR64-逐级计算!$P$70)*LN(10)/10))))))),"")</f>
        <v>13.7930365742089</v>
      </c>
      <c r="BT64">
        <f>IF(AND(ISNUMBER(BS64),逐级计算!$X$71&gt;-1),IF(逐级计算!$X$71=0,BS64+逐级计算!$C$71,BS64+逐级计算!$C$71-(10/(逐级计算!$Q$71*LN(10))*(MAX((LN(10^(逐级计算!$Q$71/10)-1)+逐级计算!$Q$71*(BS64-逐级计算!$P$71)*LN(10)/10),0)+LN(1+EXP(-ABS((LN(10^(逐级计算!$Q$71/10)-1)+逐级计算!$Q$71*(BS64-逐级计算!$P$71)*LN(10)/10))))))),"")</f>
        <v>13.7930365742089</v>
      </c>
      <c r="BU64">
        <f>IF(AND(ISNUMBER(BT64),逐级计算!$X$72&gt;-1),IF(逐级计算!$X$72=0,BT64+逐级计算!$C$72,BT64+逐级计算!$C$72-(10/(逐级计算!$Q$72*LN(10))*(MAX((LN(10^(逐级计算!$Q$72/10)-1)+逐级计算!$Q$72*(BT64-逐级计算!$P$72)*LN(10)/10),0)+LN(1+EXP(-ABS((LN(10^(逐级计算!$Q$72/10)-1)+逐级计算!$Q$72*(BT64-逐级计算!$P$72)*LN(10)/10))))))),"")</f>
        <v>13.7930365742089</v>
      </c>
      <c r="BV64">
        <f>IF(AND(ISNUMBER(BU64),逐级计算!$X$73&gt;-1),IF(逐级计算!$X$73=0,BU64+逐级计算!$C$73,BU64+逐级计算!$C$73-(10/(逐级计算!$Q$73*LN(10))*(MAX((LN(10^(逐级计算!$Q$73/10)-1)+逐级计算!$Q$73*(BU64-逐级计算!$P$73)*LN(10)/10),0)+LN(1+EXP(-ABS((LN(10^(逐级计算!$Q$73/10)-1)+逐级计算!$Q$73*(BU64-逐级计算!$P$73)*LN(10)/10))))))),"")</f>
        <v>13.7930365742089</v>
      </c>
      <c r="BW64">
        <f>IF(AND(ISNUMBER(BV64),逐级计算!$X$74&gt;-1),IF(逐级计算!$X$74=0,BV64+逐级计算!$C$74,BV64+逐级计算!$C$74-(10/(逐级计算!$Q$74*LN(10))*(MAX((LN(10^(逐级计算!$Q$74/10)-1)+逐级计算!$Q$74*(BV64-逐级计算!$P$74)*LN(10)/10),0)+LN(1+EXP(-ABS((LN(10^(逐级计算!$Q$74/10)-1)+逐级计算!$Q$74*(BV64-逐级计算!$P$74)*LN(10)/10))))))),"")</f>
        <v>13.7930365742089</v>
      </c>
      <c r="BX64">
        <f>IF(AND(ISNUMBER(BW64),逐级计算!$X$75&gt;-1),IF(逐级计算!$X$75=0,BW64+逐级计算!$C$75,BW64+逐级计算!$C$75-(10/(逐级计算!$Q$75*LN(10))*(MAX((LN(10^(逐级计算!$Q$75/10)-1)+逐级计算!$Q$75*(BW64-逐级计算!$P$75)*LN(10)/10),0)+LN(1+EXP(-ABS((LN(10^(逐级计算!$Q$75/10)-1)+逐级计算!$Q$75*(BW64-逐级计算!$P$75)*LN(10)/10))))))),"")</f>
        <v>13.7930365742089</v>
      </c>
      <c r="BY64">
        <f>IF(AND(ISNUMBER(BX64),逐级计算!$X$76&gt;-1),IF(逐级计算!$X$76=0,BX64+逐级计算!$C$76,BX64+逐级计算!$C$76-(10/(逐级计算!$Q$76*LN(10))*(MAX((LN(10^(逐级计算!$Q$76/10)-1)+逐级计算!$Q$76*(BX64-逐级计算!$P$76)*LN(10)/10),0)+LN(1+EXP(-ABS((LN(10^(逐级计算!$Q$76/10)-1)+逐级计算!$Q$76*(BX64-逐级计算!$P$76)*LN(10)/10))))))),"")</f>
        <v>13.7930365742089</v>
      </c>
      <c r="BZ64">
        <f>IF(AND(ISNUMBER(BY64),逐级计算!$X$77&gt;-1),IF(逐级计算!$X$77=0,BY64+逐级计算!$C$77,BY64+逐级计算!$C$77-(10/(逐级计算!$Q$77*LN(10))*(MAX((LN(10^(逐级计算!$Q$77/10)-1)+逐级计算!$Q$77*(BY64-逐级计算!$P$77)*LN(10)/10),0)+LN(1+EXP(-ABS((LN(10^(逐级计算!$Q$77/10)-1)+逐级计算!$Q$77*(BY64-逐级计算!$P$77)*LN(10)/10))))))),"")</f>
        <v>13.7930365742089</v>
      </c>
      <c r="CA64">
        <f>IF(AND(ISNUMBER(BZ64),逐级计算!$X$78&gt;-1),IF(逐级计算!$X$78=0,BZ64+逐级计算!$C$78,BZ64+逐级计算!$C$78-(10/(逐级计算!$Q$78*LN(10))*(MAX((LN(10^(逐级计算!$Q$78/10)-1)+逐级计算!$Q$78*(BZ64-逐级计算!$P$78)*LN(10)/10),0)+LN(1+EXP(-ABS((LN(10^(逐级计算!$Q$78/10)-1)+逐级计算!$Q$78*(BZ64-逐级计算!$P$78)*LN(10)/10))))))),"")</f>
        <v>13.7930365742089</v>
      </c>
      <c r="CB64">
        <f>IF(AND(ISNUMBER(CA64),逐级计算!$X$79&gt;-1),IF(逐级计算!$X$79=0,CA64+逐级计算!$C$79,CA64+逐级计算!$C$79-(10/(逐级计算!$Q$79*LN(10))*(MAX((LN(10^(逐级计算!$Q$79/10)-1)+逐级计算!$Q$79*(CA64-逐级计算!$P$79)*LN(10)/10),0)+LN(1+EXP(-ABS((LN(10^(逐级计算!$Q$79/10)-1)+逐级计算!$Q$79*(CA64-逐级计算!$P$79)*LN(10)/10))))))),"")</f>
        <v>13.7930365742089</v>
      </c>
      <c r="CC64">
        <f>IF(AND(ISNUMBER(CB64),逐级计算!$X$80&gt;-1),IF(逐级计算!$X$80=0,CB64+逐级计算!$C$80,CB64+逐级计算!$C$80-(10/(逐级计算!$Q$80*LN(10))*(MAX((LN(10^(逐级计算!$Q$80/10)-1)+逐级计算!$Q$80*(CB64-逐级计算!$P$80)*LN(10)/10),0)+LN(1+EXP(-ABS((LN(10^(逐级计算!$Q$80/10)-1)+逐级计算!$Q$80*(CB64-逐级计算!$P$80)*LN(10)/10))))))),"")</f>
        <v>13.7930365742089</v>
      </c>
      <c r="CD64">
        <f>IF(AND(ISNUMBER(CC64),逐级计算!$X$81&gt;-1),IF(逐级计算!$X$81=0,CC64+逐级计算!$C$81,CC64+逐级计算!$C$81-(10/(逐级计算!$Q$81*LN(10))*(MAX((LN(10^(逐级计算!$Q$81/10)-1)+逐级计算!$Q$81*(CC64-逐级计算!$P$81)*LN(10)/10),0)+LN(1+EXP(-ABS((LN(10^(逐级计算!$Q$81/10)-1)+逐级计算!$Q$81*(CC64-逐级计算!$P$81)*LN(10)/10))))))),"")</f>
        <v>13.7930365742089</v>
      </c>
      <c r="CE64">
        <f>IF(AND(ISNUMBER(CD64),逐级计算!$X$82&gt;-1),IF(逐级计算!$X$82=0,CD64+逐级计算!$C$82,CD64+逐级计算!$C$82-(10/(逐级计算!$Q$82*LN(10))*(MAX((LN(10^(逐级计算!$Q$82/10)-1)+逐级计算!$Q$82*(CD64-逐级计算!$P$82)*LN(10)/10),0)+LN(1+EXP(-ABS((LN(10^(逐级计算!$Q$82/10)-1)+逐级计算!$Q$82*(CD64-逐级计算!$P$82)*LN(10)/10))))))),"")</f>
        <v>13.7930365742089</v>
      </c>
      <c r="CF64">
        <f>IF(AND(ISNUMBER(CE64),逐级计算!$X$83&gt;-1),IF(逐级计算!$X$83=0,CE64+逐级计算!$C$83,CE64+逐级计算!$C$83-(10/(逐级计算!$Q$83*LN(10))*(MAX((LN(10^(逐级计算!$Q$83/10)-1)+逐级计算!$Q$83*(CE64-逐级计算!$P$83)*LN(10)/10),0)+LN(1+EXP(-ABS((LN(10^(逐级计算!$Q$83/10)-1)+逐级计算!$Q$83*(CE64-逐级计算!$P$83)*LN(10)/10))))))),"")</f>
        <v>13.7930365742089</v>
      </c>
      <c r="CG64">
        <f>IF(AND(ISNUMBER(CF64),逐级计算!$X$84&gt;-1),IF(逐级计算!$X$84=0,CF64+逐级计算!$C$84,CF64+逐级计算!$C$84-(10/(逐级计算!$Q$84*LN(10))*(MAX((LN(10^(逐级计算!$Q$84/10)-1)+逐级计算!$Q$84*(CF64-逐级计算!$P$84)*LN(10)/10),0)+LN(1+EXP(-ABS((LN(10^(逐级计算!$Q$84/10)-1)+逐级计算!$Q$84*(CF64-逐级计算!$P$84)*LN(10)/10))))))),"")</f>
        <v>13.7930365742089</v>
      </c>
      <c r="CH64">
        <f>IF(AND(ISNUMBER(CG64),逐级计算!$X$85&gt;-1),IF(逐级计算!$X$85=0,CG64+逐级计算!$C$85,CG64+逐级计算!$C$85-(10/(逐级计算!$Q$85*LN(10))*(MAX((LN(10^(逐级计算!$Q$85/10)-1)+逐级计算!$Q$85*(CG64-逐级计算!$P$85)*LN(10)/10),0)+LN(1+EXP(-ABS((LN(10^(逐级计算!$Q$85/10)-1)+逐级计算!$Q$85*(CG64-逐级计算!$P$85)*LN(10)/10))))))),"")</f>
        <v>13.7930365742089</v>
      </c>
      <c r="CI64">
        <f>IF(AND(ISNUMBER(CH64),逐级计算!$X$86&gt;-1),IF(逐级计算!$X$86=0,CH64+逐级计算!$C$86,CH64+逐级计算!$C$86-(10/(逐级计算!$Q$86*LN(10))*(MAX((LN(10^(逐级计算!$Q$86/10)-1)+逐级计算!$Q$86*(CH64-逐级计算!$P$86)*LN(10)/10),0)+LN(1+EXP(-ABS((LN(10^(逐级计算!$Q$86/10)-1)+逐级计算!$Q$86*(CH64-逐级计算!$P$86)*LN(10)/10))))))),"")</f>
        <v>13.7930365742089</v>
      </c>
      <c r="CJ64">
        <f>IF(AND(ISNUMBER(CI64),逐级计算!$X$87&gt;-1),IF(逐级计算!$X$87=0,CI64+逐级计算!$C$87,CI64+逐级计算!$C$87-(10/(逐级计算!$Q$87*LN(10))*(MAX((LN(10^(逐级计算!$Q$87/10)-1)+逐级计算!$Q$87*(CI64-逐级计算!$P$87)*LN(10)/10),0)+LN(1+EXP(-ABS((LN(10^(逐级计算!$Q$87/10)-1)+逐级计算!$Q$87*(CI64-逐级计算!$P$87)*LN(10)/10))))))),"")</f>
        <v>13.7930365742089</v>
      </c>
      <c r="CK64">
        <f>IF(AND(ISNUMBER(CJ64),逐级计算!$X$88&gt;-1),IF(逐级计算!$X$88=0,CJ64+逐级计算!$C$88,CJ64+逐级计算!$C$88-(10/(逐级计算!$Q$88*LN(10))*(MAX((LN(10^(逐级计算!$Q$88/10)-1)+逐级计算!$Q$88*(CJ64-逐级计算!$P$88)*LN(10)/10),0)+LN(1+EXP(-ABS((LN(10^(逐级计算!$Q$88/10)-1)+逐级计算!$Q$88*(CJ64-逐级计算!$P$88)*LN(10)/10))))))),"")</f>
        <v>13.7930365742089</v>
      </c>
      <c r="CL64">
        <f>IF(AND(ISNUMBER(CK64),逐级计算!$X$89&gt;-1),IF(逐级计算!$X$89=0,CK64+逐级计算!$C$89,CK64+逐级计算!$C$89-(10/(逐级计算!$Q$89*LN(10))*(MAX((LN(10^(逐级计算!$Q$89/10)-1)+逐级计算!$Q$89*(CK64-逐级计算!$P$89)*LN(10)/10),0)+LN(1+EXP(-ABS((LN(10^(逐级计算!$Q$89/10)-1)+逐级计算!$Q$89*(CK64-逐级计算!$P$89)*LN(10)/10))))))),"")</f>
        <v>13.7930365742089</v>
      </c>
      <c r="CM64">
        <f>IF(AND(ISNUMBER(CL64),逐级计算!$X$90&gt;-1),IF(逐级计算!$X$90=0,CL64+逐级计算!$C$90,CL64+逐级计算!$C$90-(10/(逐级计算!$Q$90*LN(10))*(MAX((LN(10^(逐级计算!$Q$90/10)-1)+逐级计算!$Q$90*(CL64-逐级计算!$P$90)*LN(10)/10),0)+LN(1+EXP(-ABS((LN(10^(逐级计算!$Q$90/10)-1)+逐级计算!$Q$90*(CL64-逐级计算!$P$90)*LN(10)/10))))))),"")</f>
        <v>13.7930365742089</v>
      </c>
      <c r="CN64">
        <f>IF(AND(ISNUMBER(CM64),逐级计算!$X$91&gt;-1),IF(逐级计算!$X$91=0,CM64+逐级计算!$C$91,CM64+逐级计算!$C$91-(10/(逐级计算!$Q$91*LN(10))*(MAX((LN(10^(逐级计算!$Q$91/10)-1)+逐级计算!$Q$91*(CM64-逐级计算!$P$91)*LN(10)/10),0)+LN(1+EXP(-ABS((LN(10^(逐级计算!$Q$91/10)-1)+逐级计算!$Q$91*(CM64-逐级计算!$P$91)*LN(10)/10))))))),"")</f>
        <v>13.7930365742089</v>
      </c>
      <c r="CO64">
        <f>IF(AND(ISNUMBER(CN64),逐级计算!$X$92&gt;-1),IF(逐级计算!$X$92=0,CN64+逐级计算!$C$92,CN64+逐级计算!$C$92-(10/(逐级计算!$Q$92*LN(10))*(MAX((LN(10^(逐级计算!$Q$92/10)-1)+逐级计算!$Q$92*(CN64-逐级计算!$P$92)*LN(10)/10),0)+LN(1+EXP(-ABS((LN(10^(逐级计算!$Q$92/10)-1)+逐级计算!$Q$92*(CN64-逐级计算!$P$92)*LN(10)/10))))))),"")</f>
        <v>13.7930365742089</v>
      </c>
      <c r="CP64">
        <f>IF(AND(ISNUMBER(CO64),逐级计算!$X$93&gt;-1),IF(逐级计算!$X$93=0,CO64+逐级计算!$C$93,CO64+逐级计算!$C$93-(10/(逐级计算!$Q$93*LN(10))*(MAX((LN(10^(逐级计算!$Q$93/10)-1)+逐级计算!$Q$93*(CO64-逐级计算!$P$93)*LN(10)/10),0)+LN(1+EXP(-ABS((LN(10^(逐级计算!$Q$93/10)-1)+逐级计算!$Q$93*(CO64-逐级计算!$P$93)*LN(10)/10))))))),"")</f>
        <v>13.7930365742089</v>
      </c>
      <c r="CQ64">
        <f>IF(AND(ISNUMBER(CP64),逐级计算!$X$94&gt;-1),IF(逐级计算!$X$94=0,CP64+逐级计算!$C$94,CP64+逐级计算!$C$94-(10/(逐级计算!$Q$94*LN(10))*(MAX((LN(10^(逐级计算!$Q$94/10)-1)+逐级计算!$Q$94*(CP64-逐级计算!$P$94)*LN(10)/10),0)+LN(1+EXP(-ABS((LN(10^(逐级计算!$Q$94/10)-1)+逐级计算!$Q$94*(CP64-逐级计算!$P$94)*LN(10)/10))))))),"")</f>
        <v>13.7930365742089</v>
      </c>
      <c r="CR64">
        <f>IF(AND(ISNUMBER(CQ64),逐级计算!$X$95&gt;-1),IF(逐级计算!$X$95=0,CQ64+逐级计算!$C$95,CQ64+逐级计算!$C$95-(10/(逐级计算!$Q$95*LN(10))*(MAX((LN(10^(逐级计算!$Q$95/10)-1)+逐级计算!$Q$95*(CQ64-逐级计算!$P$95)*LN(10)/10),0)+LN(1+EXP(-ABS((LN(10^(逐级计算!$Q$95/10)-1)+逐级计算!$Q$95*(CQ64-逐级计算!$P$95)*LN(10)/10))))))),"")</f>
        <v>13.7930365742089</v>
      </c>
      <c r="CS64">
        <f>IF(AND(ISNUMBER(CR64),逐级计算!$X$96&gt;-1),IF(逐级计算!$X$96=0,CR64+逐级计算!$C$96,CR64+逐级计算!$C$96-(10/(逐级计算!$Q$96*LN(10))*(MAX((LN(10^(逐级计算!$Q$96/10)-1)+逐级计算!$Q$96*(CR64-逐级计算!$P$96)*LN(10)/10),0)+LN(1+EXP(-ABS((LN(10^(逐级计算!$Q$96/10)-1)+逐级计算!$Q$96*(CR64-逐级计算!$P$96)*LN(10)/10))))))),"")</f>
        <v>13.7930365742089</v>
      </c>
      <c r="CT64">
        <f>IF(AND(ISNUMBER(CS64),逐级计算!$X$97&gt;-1),IF(逐级计算!$X$97=0,CS64+逐级计算!$C$97,CS64+逐级计算!$C$97-(10/(逐级计算!$Q$97*LN(10))*(MAX((LN(10^(逐级计算!$Q$97/10)-1)+逐级计算!$Q$97*(CS64-逐级计算!$P$97)*LN(10)/10),0)+LN(1+EXP(-ABS((LN(10^(逐级计算!$Q$97/10)-1)+逐级计算!$Q$97*(CS64-逐级计算!$P$97)*LN(10)/10))))))),"")</f>
        <v>13.7930365742089</v>
      </c>
      <c r="CU64">
        <f>IF(AND(ISNUMBER(CT64),逐级计算!$X$98&gt;-1),IF(逐级计算!$X$98=0,CT64+逐级计算!$C$98,CT64+逐级计算!$C$98-(10/(逐级计算!$Q$98*LN(10))*(MAX((LN(10^(逐级计算!$Q$98/10)-1)+逐级计算!$Q$98*(CT64-逐级计算!$P$98)*LN(10)/10),0)+LN(1+EXP(-ABS((LN(10^(逐级计算!$Q$98/10)-1)+逐级计算!$Q$98*(CT64-逐级计算!$P$98)*LN(10)/10))))))),"")</f>
        <v>13.7930365742089</v>
      </c>
      <c r="CV64">
        <f>IF(AND(ISNUMBER(CU64),逐级计算!$X$99&gt;-1),IF(逐级计算!$X$99=0,CU64+逐级计算!$C$99,CU64+逐级计算!$C$99-(10/(逐级计算!$Q$99*LN(10))*(MAX((LN(10^(逐级计算!$Q$99/10)-1)+逐级计算!$Q$99*(CU64-逐级计算!$P$99)*LN(10)/10),0)+LN(1+EXP(-ABS((LN(10^(逐级计算!$Q$99/10)-1)+逐级计算!$Q$99*(CU64-逐级计算!$P$99)*LN(10)/10))))))),"")</f>
        <v>13.7930365742089</v>
      </c>
      <c r="CW64">
        <f>IF(AND(ISNUMBER(CV64),逐级计算!$X$100&gt;-1),IF(逐级计算!$X$100=0,CV64+逐级计算!$C$100,CV64+逐级计算!$C$100-(10/(逐级计算!$Q$100*LN(10))*(MAX((LN(10^(逐级计算!$Q$100/10)-1)+逐级计算!$Q$100*(CV64-逐级计算!$P$100)*LN(10)/10),0)+LN(1+EXP(-ABS((LN(10^(逐级计算!$Q$100/10)-1)+逐级计算!$Q$100*(CV64-逐级计算!$P$100)*LN(10)/10))))))),"")</f>
        <v>13.7930365742089</v>
      </c>
      <c r="CX64">
        <f>IF(AND(ISNUMBER(CW64),逐级计算!$X$101&gt;-1),IF(逐级计算!$X$101=0,CW64+逐级计算!$C$101,CW64+逐级计算!$C$101-(10/(逐级计算!$Q$101*LN(10))*(MAX((LN(10^(逐级计算!$Q$101/10)-1)+逐级计算!$Q$101*(CW64-逐级计算!$P$101)*LN(10)/10),0)+LN(1+EXP(-ABS((LN(10^(逐级计算!$Q$101/10)-1)+逐级计算!$Q$101*(CW64-逐级计算!$P$101)*LN(10)/10))))))),"")</f>
        <v>13.7930365742089</v>
      </c>
      <c r="CY64">
        <f>IF(AND(ISNUMBER(CX64),逐级计算!$X$102&gt;-1),IF(逐级计算!$X$102=0,CX64+逐级计算!$C$102,CX64+逐级计算!$C$102-(10/(逐级计算!$Q$102*LN(10))*(MAX((LN(10^(逐级计算!$Q$102/10)-1)+逐级计算!$Q$102*(CX64-逐级计算!$P$102)*LN(10)/10),0)+LN(1+EXP(-ABS((LN(10^(逐级计算!$Q$102/10)-1)+逐级计算!$Q$102*(CX64-逐级计算!$P$102)*LN(10)/10))))))),"")</f>
        <v>13.7930365742089</v>
      </c>
      <c r="CZ64">
        <f>IF(AND(ISNUMBER(CY64),逐级计算!$X$103&gt;-1),IF(逐级计算!$X$103=0,CY64+逐级计算!$C$103,CY64+逐级计算!$C$103-(10/(逐级计算!$Q$103*LN(10))*(MAX((LN(10^(逐级计算!$Q$103/10)-1)+逐级计算!$Q$103*(CY64-逐级计算!$P$103)*LN(10)/10),0)+LN(1+EXP(-ABS((LN(10^(逐级计算!$Q$103/10)-1)+逐级计算!$Q$103*(CY64-逐级计算!$P$103)*LN(10)/10))))))),"")</f>
        <v>13.7930365742089</v>
      </c>
      <c r="DA64">
        <f>IF(AND(ISNUMBER(CZ64),逐级计算!$X$104&gt;-1),IF(逐级计算!$X$104=0,CZ64+逐级计算!$C$104,CZ64+逐级计算!$C$104-(10/(逐级计算!$Q$104*LN(10))*(MAX((LN(10^(逐级计算!$Q$104/10)-1)+逐级计算!$Q$104*(CZ64-逐级计算!$P$104)*LN(10)/10),0)+LN(1+EXP(-ABS((LN(10^(逐级计算!$Q$104/10)-1)+逐级计算!$Q$104*(CZ64-逐级计算!$P$104)*LN(10)/10))))))),"")</f>
        <v>13.7930365742089</v>
      </c>
      <c r="DB64">
        <f>IF(AND(ISNUMBER(DA64),逐级计算!$X$105&gt;-1),IF(逐级计算!$X$105=0,DA64+逐级计算!$C$105,DA64+逐级计算!$C$105-(10/(逐级计算!$Q$105*LN(10))*(MAX((LN(10^(逐级计算!$Q$105/10)-1)+逐级计算!$Q$105*(DA64-逐级计算!$P$105)*LN(10)/10),0)+LN(1+EXP(-ABS((LN(10^(逐级计算!$Q$105/10)-1)+逐级计算!$Q$105*(DA64-逐级计算!$P$105)*LN(10)/10))))))),"")</f>
        <v>13.7930365742089</v>
      </c>
      <c r="DC64">
        <f>IF(AND(ISNUMBER(DB64),逐级计算!$X$106&gt;-1),IF(逐级计算!$X$106=0,DB64+逐级计算!$C$106,DB64+逐级计算!$C$106-(10/(逐级计算!$Q$106*LN(10))*(MAX((LN(10^(逐级计算!$Q$106/10)-1)+逐级计算!$Q$106*(DB64-逐级计算!$P$106)*LN(10)/10),0)+LN(1+EXP(-ABS((LN(10^(逐级计算!$Q$106/10)-1)+逐级计算!$Q$106*(DB64-逐级计算!$P$106)*LN(10)/10))))))),"")</f>
        <v>13.7930365742089</v>
      </c>
      <c r="DD64">
        <f>IF(AND(ISNUMBER(DC64),逐级计算!$X$107&gt;-1),IF(逐级计算!$X$107=0,DC64+逐级计算!$C$107,DC64+逐级计算!$C$107-(10/(逐级计算!$Q$107*LN(10))*(MAX((LN(10^(逐级计算!$Q$107/10)-1)+逐级计算!$Q$107*(DC64-逐级计算!$P$107)*LN(10)/10),0)+LN(1+EXP(-ABS((LN(10^(逐级计算!$Q$107/10)-1)+逐级计算!$Q$107*(DC64-逐级计算!$P$107)*LN(10)/10))))))),"")</f>
        <v>13.7930365742089</v>
      </c>
      <c r="DE64">
        <f>IF(AND(ISNUMBER(DD64),逐级计算!$X$108&gt;-1),IF(逐级计算!$X$108=0,DD64+逐级计算!$C$108,DD64+逐级计算!$C$108-(10/(逐级计算!$Q$108*LN(10))*(MAX((LN(10^(逐级计算!$Q$108/10)-1)+逐级计算!$Q$108*(DD64-逐级计算!$P$108)*LN(10)/10),0)+LN(1+EXP(-ABS((LN(10^(逐级计算!$Q$108/10)-1)+逐级计算!$Q$108*(DD64-逐级计算!$P$108)*LN(10)/10))))))),"")</f>
        <v>13.7930365742089</v>
      </c>
      <c r="DF64">
        <f>IF(AND(ISNUMBER(DE64),逐级计算!$X$109&gt;-1),IF(逐级计算!$X$109=0,DE64+逐级计算!$C$109,DE64+逐级计算!$C$109-(10/(逐级计算!$Q$109*LN(10))*(MAX((LN(10^(逐级计算!$Q$109/10)-1)+逐级计算!$Q$109*(DE64-逐级计算!$P$109)*LN(10)/10),0)+LN(1+EXP(-ABS((LN(10^(逐级计算!$Q$109/10)-1)+逐级计算!$Q$109*(DE64-逐级计算!$P$109)*LN(10)/10))))))),"")</f>
        <v>13.7930365742089</v>
      </c>
      <c r="DG64">
        <f>IF(AND(ISNUMBER(DF64),逐级计算!$X$110&gt;-1),IF(逐级计算!$X$110=0,DF64+逐级计算!$C$110,DF64+逐级计算!$C$110-(10/(逐级计算!$Q$110*LN(10))*(MAX((LN(10^(逐级计算!$Q$110/10)-1)+逐级计算!$Q$110*(DF64-逐级计算!$P$110)*LN(10)/10),0)+LN(1+EXP(-ABS((LN(10^(逐级计算!$Q$110/10)-1)+逐级计算!$Q$110*(DF64-逐级计算!$P$110)*LN(10)/10))))))),"")</f>
        <v>13.7930365742089</v>
      </c>
      <c r="DH64">
        <f>IF(AND(ISNUMBER(DG64),逐级计算!$X$111&gt;-1),IF(逐级计算!$X$111=0,DG64+逐级计算!$C$111,DG64+逐级计算!$C$111-(10/(逐级计算!$Q$111*LN(10))*(MAX((LN(10^(逐级计算!$Q$111/10)-1)+逐级计算!$Q$111*(DG64-逐级计算!$P$111)*LN(10)/10),0)+LN(1+EXP(-ABS((LN(10^(逐级计算!$Q$111/10)-1)+逐级计算!$Q$111*(DG64-逐级计算!$P$111)*LN(10)/10))))))),"")</f>
        <v>13.7930365742089</v>
      </c>
      <c r="DI64">
        <f>IF(AND(ISNUMBER(DH64),逐级计算!$X$112&gt;-1),IF(逐级计算!$X$112=0,DH64+逐级计算!$C$112,DH64+逐级计算!$C$112-(10/(逐级计算!$Q$112*LN(10))*(MAX((LN(10^(逐级计算!$Q$112/10)-1)+逐级计算!$Q$112*(DH64-逐级计算!$P$112)*LN(10)/10),0)+LN(1+EXP(-ABS((LN(10^(逐级计算!$Q$112/10)-1)+逐级计算!$Q$112*(DH64-逐级计算!$P$112)*LN(10)/10))))))),"")</f>
        <v>13.7930365742089</v>
      </c>
      <c r="DJ64">
        <f>IF(AND(ISNUMBER(DI64),逐级计算!$X$113&gt;-1),IF(逐级计算!$X$113=0,DI64+逐级计算!$C$113,DI64+逐级计算!$C$113-(10/(逐级计算!$Q$113*LN(10))*(MAX((LN(10^(逐级计算!$Q$113/10)-1)+逐级计算!$Q$113*(DI64-逐级计算!$P$113)*LN(10)/10),0)+LN(1+EXP(-ABS((LN(10^(逐级计算!$Q$113/10)-1)+逐级计算!$Q$113*(DI64-逐级计算!$P$113)*LN(10)/10))))))),"")</f>
        <v>13.7930365742089</v>
      </c>
      <c r="DK64">
        <f>IF(AND(ISNUMBER(DJ64),逐级计算!$X$114&gt;-1),IF(逐级计算!$X$114=0,DJ64+逐级计算!$C$114,DJ64+逐级计算!$C$114-(10/(逐级计算!$Q$114*LN(10))*(MAX((LN(10^(逐级计算!$Q$114/10)-1)+逐级计算!$Q$114*(DJ64-逐级计算!$P$114)*LN(10)/10),0)+LN(1+EXP(-ABS((LN(10^(逐级计算!$Q$114/10)-1)+逐级计算!$Q$114*(DJ64-逐级计算!$P$114)*LN(10)/10))))))),"")</f>
        <v>13.7930365742089</v>
      </c>
      <c r="DL64">
        <f>IF(AND(ISNUMBER(DK64),逐级计算!$X$115&gt;-1),IF(逐级计算!$X$115=0,DK64+逐级计算!$C$115,DK64+逐级计算!$C$115-(10/(逐级计算!$Q$115*LN(10))*(MAX((LN(10^(逐级计算!$Q$115/10)-1)+逐级计算!$Q$115*(DK64-逐级计算!$P$115)*LN(10)/10),0)+LN(1+EXP(-ABS((LN(10^(逐级计算!$Q$115/10)-1)+逐级计算!$Q$115*(DK64-逐级计算!$P$115)*LN(10)/10))))))),"")</f>
        <v>13.7930365742089</v>
      </c>
      <c r="DM64">
        <f>IF(AND(ISNUMBER(DL64),逐级计算!$X$116&gt;-1),IF(逐级计算!$X$116=0,DL64+逐级计算!$C$116,DL64+逐级计算!$C$116-(10/(逐级计算!$Q$116*LN(10))*(MAX((LN(10^(逐级计算!$Q$116/10)-1)+逐级计算!$Q$116*(DL64-逐级计算!$P$116)*LN(10)/10),0)+LN(1+EXP(-ABS((LN(10^(逐级计算!$Q$116/10)-1)+逐级计算!$Q$116*(DL64-逐级计算!$P$116)*LN(10)/10))))))),"")</f>
        <v>13.7930365742089</v>
      </c>
      <c r="DN64">
        <f>IF(AND(ISNUMBER(DM64),逐级计算!$X$117&gt;-1),IF(逐级计算!$X$117=0,DM64+逐级计算!$C$117,DM64+逐级计算!$C$117-(10/(逐级计算!$Q$117*LN(10))*(MAX((LN(10^(逐级计算!$Q$117/10)-1)+逐级计算!$Q$117*(DM64-逐级计算!$P$117)*LN(10)/10),0)+LN(1+EXP(-ABS((LN(10^(逐级计算!$Q$117/10)-1)+逐级计算!$Q$117*(DM64-逐级计算!$P$117)*LN(10)/10))))))),"")</f>
        <v>13.7930365742089</v>
      </c>
      <c r="DO64">
        <f>IF(AND(ISNUMBER(DN64),逐级计算!$X$118&gt;-1),IF(逐级计算!$X$118=0,DN64+逐级计算!$C$118,DN64+逐级计算!$C$118-(10/(逐级计算!$Q$118*LN(10))*(MAX((LN(10^(逐级计算!$Q$118/10)-1)+逐级计算!$Q$118*(DN64-逐级计算!$P$118)*LN(10)/10),0)+LN(1+EXP(-ABS((LN(10^(逐级计算!$Q$118/10)-1)+逐级计算!$Q$118*(DN64-逐级计算!$P$118)*LN(10)/10))))))),"")</f>
        <v>13.7930365742089</v>
      </c>
      <c r="DP64">
        <f>IF(AND(ISNUMBER(DO64),逐级计算!$X$119&gt;-1),IF(逐级计算!$X$119=0,DO64+逐级计算!$C$119,DO64+逐级计算!$C$119-(10/(逐级计算!$Q$119*LN(10))*(MAX((LN(10^(逐级计算!$Q$119/10)-1)+逐级计算!$Q$119*(DO64-逐级计算!$P$119)*LN(10)/10),0)+LN(1+EXP(-ABS((LN(10^(逐级计算!$Q$119/10)-1)+逐级计算!$Q$119*(DO64-逐级计算!$P$119)*LN(10)/10))))))),"")</f>
        <v>13.7930365742089</v>
      </c>
      <c r="DQ64">
        <f>IF(AND(ISNUMBER(DP64),逐级计算!$X$120&gt;-1),IF(逐级计算!$X$120=0,DP64+逐级计算!$C$120,DP64+逐级计算!$C$120-(10/(逐级计算!$Q$120*LN(10))*(MAX((LN(10^(逐级计算!$Q$120/10)-1)+逐级计算!$Q$120*(DP64-逐级计算!$P$120)*LN(10)/10),0)+LN(1+EXP(-ABS((LN(10^(逐级计算!$Q$120/10)-1)+逐级计算!$Q$120*(DP64-逐级计算!$P$120)*LN(10)/10))))))),"")</f>
        <v>13.7930365742089</v>
      </c>
      <c r="DR64">
        <f>IF(AND(ISNUMBER(DQ64),逐级计算!$X$121&gt;-1),IF(逐级计算!$X$121=0,DQ64+逐级计算!$C$121,DQ64+逐级计算!$C$121-(10/(逐级计算!$Q$121*LN(10))*(MAX((LN(10^(逐级计算!$Q$121/10)-1)+逐级计算!$Q$121*(DQ64-逐级计算!$P$121)*LN(10)/10),0)+LN(1+EXP(-ABS((LN(10^(逐级计算!$Q$121/10)-1)+逐级计算!$Q$121*(DQ64-逐级计算!$P$121)*LN(10)/10))))))),"")</f>
        <v>13.7930365742089</v>
      </c>
      <c r="DS64">
        <f>IF(AND(ISNUMBER(DR64),逐级计算!$X$122&gt;-1),IF(逐级计算!$X$122=0,DR64+逐级计算!$C$122,DR64+逐级计算!$C$122-(10/(逐级计算!$Q$122*LN(10))*(MAX((LN(10^(逐级计算!$Q$122/10)-1)+逐级计算!$Q$122*(DR64-逐级计算!$P$122)*LN(10)/10),0)+LN(1+EXP(-ABS((LN(10^(逐级计算!$Q$122/10)-1)+逐级计算!$Q$122*(DR64-逐级计算!$P$122)*LN(10)/10))))))),"")</f>
        <v>13.7930365742089</v>
      </c>
      <c r="DT64">
        <f>IF(AND(ISNUMBER(DS64),逐级计算!$X$123&gt;-1),IF(逐级计算!$X$123=0,DS64+逐级计算!$C$123,DS64+逐级计算!$C$123-(10/(逐级计算!$Q$123*LN(10))*(MAX((LN(10^(逐级计算!$Q$123/10)-1)+逐级计算!$Q$123*(DS64-逐级计算!$P$123)*LN(10)/10),0)+LN(1+EXP(-ABS((LN(10^(逐级计算!$Q$123/10)-1)+逐级计算!$Q$123*(DS64-逐级计算!$P$123)*LN(10)/10))))))),"")</f>
        <v>13.7930365742089</v>
      </c>
      <c r="DU64">
        <f>IF(AND(ISNUMBER(DT64),逐级计算!$X$124&gt;-1),IF(逐级计算!$X$124=0,DT64+逐级计算!$C$124,DT64+逐级计算!$C$124-(10/(逐级计算!$Q$124*LN(10))*(MAX((LN(10^(逐级计算!$Q$124/10)-1)+逐级计算!$Q$124*(DT64-逐级计算!$P$124)*LN(10)/10),0)+LN(1+EXP(-ABS((LN(10^(逐级计算!$Q$124/10)-1)+逐级计算!$Q$124*(DT64-逐级计算!$P$124)*LN(10)/10))))))),"")</f>
        <v>13.7930365742089</v>
      </c>
      <c r="DV64">
        <f>IF(AND(ISNUMBER(DU64),逐级计算!$X$125&gt;-1),IF(逐级计算!$X$125=0,DU64+逐级计算!$C$125,DU64+逐级计算!$C$125-(10/(逐级计算!$Q$125*LN(10))*(MAX((LN(10^(逐级计算!$Q$125/10)-1)+逐级计算!$Q$125*(DU64-逐级计算!$P$125)*LN(10)/10),0)+LN(1+EXP(-ABS((LN(10^(逐级计算!$Q$125/10)-1)+逐级计算!$Q$125*(DU64-逐级计算!$P$125)*LN(10)/10))))))),"")</f>
        <v>13.7930365742089</v>
      </c>
      <c r="DW64">
        <f>IF(AND(ISNUMBER(DV64),逐级计算!$X$126&gt;-1),IF(逐级计算!$X$126=0,DV64+逐级计算!$C$126,DV64+逐级计算!$C$126-(10/(逐级计算!$Q$126*LN(10))*(MAX((LN(10^(逐级计算!$Q$126/10)-1)+逐级计算!$Q$126*(DV64-逐级计算!$P$126)*LN(10)/10),0)+LN(1+EXP(-ABS((LN(10^(逐级计算!$Q$126/10)-1)+逐级计算!$Q$126*(DV64-逐级计算!$P$126)*LN(10)/10))))))),"")</f>
        <v>13.7930365742089</v>
      </c>
      <c r="DX64">
        <f>IF(AND(ISNUMBER(DW64),逐级计算!$X$127&gt;-1),IF(逐级计算!$X$127=0,DW64+逐级计算!$C$127,DW64+逐级计算!$C$127-(10/(逐级计算!$Q$127*LN(10))*(MAX((LN(10^(逐级计算!$Q$127/10)-1)+逐级计算!$Q$127*(DW64-逐级计算!$P$127)*LN(10)/10),0)+LN(1+EXP(-ABS((LN(10^(逐级计算!$Q$127/10)-1)+逐级计算!$Q$127*(DW64-逐级计算!$P$127)*LN(10)/10))))))),"")</f>
        <v>13.7930365742089</v>
      </c>
      <c r="DY64">
        <f>IF(AND(ISNUMBER(DX64),逐级计算!$X$128&gt;-1),IF(逐级计算!$X$128=0,DX64+逐级计算!$C$128,DX64+逐级计算!$C$128-(10/(逐级计算!$Q$128*LN(10))*(MAX((LN(10^(逐级计算!$Q$128/10)-1)+逐级计算!$Q$128*(DX64-逐级计算!$P$128)*LN(10)/10),0)+LN(1+EXP(-ABS((LN(10^(逐级计算!$Q$128/10)-1)+逐级计算!$Q$128*(DX64-逐级计算!$P$128)*LN(10)/10))))))),"")</f>
        <v>13.7930365742089</v>
      </c>
      <c r="DZ64">
        <f>IF(AND(ISNUMBER(DY64),逐级计算!$X$129&gt;-1),IF(逐级计算!$X$129=0,DY64+逐级计算!$C$129,DY64+逐级计算!$C$129-(10/(逐级计算!$Q$129*LN(10))*(MAX((LN(10^(逐级计算!$Q$129/10)-1)+逐级计算!$Q$129*(DY64-逐级计算!$P$129)*LN(10)/10),0)+LN(1+EXP(-ABS((LN(10^(逐级计算!$Q$129/10)-1)+逐级计算!$Q$129*(DY64-逐级计算!$P$129)*LN(10)/10))))))),"")</f>
        <v>13.7930365742089</v>
      </c>
      <c r="EA64">
        <f>IF(AND(ISNUMBER(DZ64),逐级计算!$X$130&gt;-1),IF(逐级计算!$X$130=0,DZ64+逐级计算!$C$130,DZ64+逐级计算!$C$130-(10/(逐级计算!$Q$130*LN(10))*(MAX((LN(10^(逐级计算!$Q$130/10)-1)+逐级计算!$Q$130*(DZ64-逐级计算!$P$130)*LN(10)/10),0)+LN(1+EXP(-ABS((LN(10^(逐级计算!$Q$130/10)-1)+逐级计算!$Q$130*(DZ64-逐级计算!$P$130)*LN(10)/10))))))),"")</f>
        <v>13.7930365742089</v>
      </c>
      <c r="EB64">
        <f>IF(AND(ISNUMBER(EA64),逐级计算!$X$131&gt;-1),IF(逐级计算!$X$131=0,EA64+逐级计算!$C$131,EA64+逐级计算!$C$131-(10/(逐级计算!$Q$131*LN(10))*(MAX((LN(10^(逐级计算!$Q$131/10)-1)+逐级计算!$Q$131*(EA64-逐级计算!$P$131)*LN(10)/10),0)+LN(1+EXP(-ABS((LN(10^(逐级计算!$Q$131/10)-1)+逐级计算!$Q$131*(EA64-逐级计算!$P$131)*LN(10)/10))))))),"")</f>
        <v>13.7930365742089</v>
      </c>
      <c r="EC64">
        <f>IF(AND(ISNUMBER(EB64),逐级计算!$X$132&gt;-1),IF(逐级计算!$X$132=0,EB64+逐级计算!$C$132,EB64+逐级计算!$C$132-(10/(逐级计算!$Q$132*LN(10))*(MAX((LN(10^(逐级计算!$Q$132/10)-1)+逐级计算!$Q$132*(EB64-逐级计算!$P$132)*LN(10)/10),0)+LN(1+EXP(-ABS((LN(10^(逐级计算!$Q$132/10)-1)+逐级计算!$Q$132*(EB64-逐级计算!$P$132)*LN(10)/10))))))),"")</f>
        <v>13.7930365742089</v>
      </c>
      <c r="ED64">
        <f>IF(AND(ISNUMBER(EC64),逐级计算!$X$133&gt;-1),IF(逐级计算!$X$133=0,EC64+逐级计算!$C$133,EC64+逐级计算!$C$133-(10/(逐级计算!$Q$133*LN(10))*(MAX((LN(10^(逐级计算!$Q$133/10)-1)+逐级计算!$Q$133*(EC64-逐级计算!$P$133)*LN(10)/10),0)+LN(1+EXP(-ABS((LN(10^(逐级计算!$Q$133/10)-1)+逐级计算!$Q$133*(EC64-逐级计算!$P$133)*LN(10)/10))))))),"")</f>
        <v>13.7930365742089</v>
      </c>
      <c r="EE64">
        <f>IF(AND(ISNUMBER(ED64),逐级计算!$X$134&gt;-1),IF(逐级计算!$X$134=0,ED64+逐级计算!$C$134,ED64+逐级计算!$C$134-(10/(逐级计算!$Q$134*LN(10))*(MAX((LN(10^(逐级计算!$Q$134/10)-1)+逐级计算!$Q$134*(ED64-逐级计算!$P$134)*LN(10)/10),0)+LN(1+EXP(-ABS((LN(10^(逐级计算!$Q$134/10)-1)+逐级计算!$Q$134*(ED64-逐级计算!$P$134)*LN(10)/10))))))),"")</f>
        <v>13.7930365742089</v>
      </c>
      <c r="EF64">
        <f>IF(AND(ISNUMBER(EE64),逐级计算!$X$135&gt;-1),IF(逐级计算!$X$135=0,EE64+逐级计算!$C$135,EE64+逐级计算!$C$135-(10/(逐级计算!$Q$135*LN(10))*(MAX((LN(10^(逐级计算!$Q$135/10)-1)+逐级计算!$Q$135*(EE64-逐级计算!$P$135)*LN(10)/10),0)+LN(1+EXP(-ABS((LN(10^(逐级计算!$Q$135/10)-1)+逐级计算!$Q$135*(EE64-逐级计算!$P$135)*LN(10)/10))))))),"")</f>
        <v>13.7930365742089</v>
      </c>
      <c r="EG64">
        <f>IF(AND(ISNUMBER(EF64),逐级计算!$X$136&gt;-1),IF(逐级计算!$X$136=0,EF64+逐级计算!$C$136,EF64+逐级计算!$C$136-(10/(逐级计算!$Q$136*LN(10))*(MAX((LN(10^(逐级计算!$Q$136/10)-1)+逐级计算!$Q$136*(EF64-逐级计算!$P$136)*LN(10)/10),0)+LN(1+EXP(-ABS((LN(10^(逐级计算!$Q$136/10)-1)+逐级计算!$Q$136*(EF64-逐级计算!$P$136)*LN(10)/10))))))),"")</f>
        <v>13.7930365742089</v>
      </c>
      <c r="EH64">
        <f>IF(AND(ISNUMBER(EG64),逐级计算!$X$137&gt;-1),IF(逐级计算!$X$137=0,EG64+逐级计算!$C$137,EG64+逐级计算!$C$137-(10/(逐级计算!$Q$137*LN(10))*(MAX((LN(10^(逐级计算!$Q$137/10)-1)+逐级计算!$Q$137*(EG64-逐级计算!$P$137)*LN(10)/10),0)+LN(1+EXP(-ABS((LN(10^(逐级计算!$Q$137/10)-1)+逐级计算!$Q$137*(EG64-逐级计算!$P$137)*LN(10)/10))))))),"")</f>
        <v>13.7930365742089</v>
      </c>
      <c r="EI64">
        <f>IF(AND(ISNUMBER(EH64),逐级计算!$X$138&gt;-1),IF(逐级计算!$X$138=0,EH64+逐级计算!$C$138,EH64+逐级计算!$C$138-(10/(逐级计算!$Q$138*LN(10))*(MAX((LN(10^(逐级计算!$Q$138/10)-1)+逐级计算!$Q$138*(EH64-逐级计算!$P$138)*LN(10)/10),0)+LN(1+EXP(-ABS((LN(10^(逐级计算!$Q$138/10)-1)+逐级计算!$Q$138*(EH64-逐级计算!$P$138)*LN(10)/10))))))),"")</f>
        <v>13.7930365742089</v>
      </c>
      <c r="EJ64">
        <f>IF(AND(ISNUMBER(EI64),逐级计算!$X$139&gt;-1),IF(逐级计算!$X$139=0,EI64+逐级计算!$C$139,EI64+逐级计算!$C$139-(10/(逐级计算!$Q$139*LN(10))*(MAX((LN(10^(逐级计算!$Q$139/10)-1)+逐级计算!$Q$139*(EI64-逐级计算!$P$139)*LN(10)/10),0)+LN(1+EXP(-ABS((LN(10^(逐级计算!$Q$139/10)-1)+逐级计算!$Q$139*(EI64-逐级计算!$P$139)*LN(10)/10))))))),"")</f>
        <v>13.7930365742089</v>
      </c>
      <c r="EK64">
        <f>IF(AND(ISNUMBER(EJ64),逐级计算!$X$140&gt;-1),IF(逐级计算!$X$140=0,EJ64+逐级计算!$C$140,EJ64+逐级计算!$C$140-(10/(逐级计算!$Q$140*LN(10))*(MAX((LN(10^(逐级计算!$Q$140/10)-1)+逐级计算!$Q$140*(EJ64-逐级计算!$P$140)*LN(10)/10),0)+LN(1+EXP(-ABS((LN(10^(逐级计算!$Q$140/10)-1)+逐级计算!$Q$140*(EJ64-逐级计算!$P$140)*LN(10)/10))))))),"")</f>
        <v>13.7930365742089</v>
      </c>
      <c r="EL64">
        <f>IF(AND(ISNUMBER(EK64),逐级计算!$X$141&gt;-1),IF(逐级计算!$X$141=0,EK64+逐级计算!$C$141,EK64+逐级计算!$C$141-(10/(逐级计算!$Q$141*LN(10))*(MAX((LN(10^(逐级计算!$Q$141/10)-1)+逐级计算!$Q$141*(EK64-逐级计算!$P$141)*LN(10)/10),0)+LN(1+EXP(-ABS((LN(10^(逐级计算!$Q$141/10)-1)+逐级计算!$Q$141*(EK64-逐级计算!$P$141)*LN(10)/10))))))),"")</f>
        <v>13.7930365742089</v>
      </c>
      <c r="EM64">
        <f>IF(AND(ISNUMBER(EL64),逐级计算!$X$142&gt;-1),IF(逐级计算!$X$142=0,EL64+逐级计算!$C$142,EL64+逐级计算!$C$142-(10/(逐级计算!$Q$142*LN(10))*(MAX((LN(10^(逐级计算!$Q$142/10)-1)+逐级计算!$Q$142*(EL64-逐级计算!$P$142)*LN(10)/10),0)+LN(1+EXP(-ABS((LN(10^(逐级计算!$Q$142/10)-1)+逐级计算!$Q$142*(EL64-逐级计算!$P$142)*LN(10)/10))))))),"")</f>
        <v>13.7930365742089</v>
      </c>
      <c r="EN64">
        <f>IF(AND(ISNUMBER(EM64),逐级计算!$X$143&gt;-1),IF(逐级计算!$X$143=0,EM64+逐级计算!$C$143,EM64+逐级计算!$C$143-(10/(逐级计算!$Q$143*LN(10))*(MAX((LN(10^(逐级计算!$Q$143/10)-1)+逐级计算!$Q$143*(EM64-逐级计算!$P$143)*LN(10)/10),0)+LN(1+EXP(-ABS((LN(10^(逐级计算!$Q$143/10)-1)+逐级计算!$Q$143*(EM64-逐级计算!$P$143)*LN(10)/10))))))),"")</f>
        <v>13.7930365742089</v>
      </c>
      <c r="EO64">
        <f>IF(AND(ISNUMBER(EN64),逐级计算!$X$144&gt;-1),IF(逐级计算!$X$144=0,EN64+逐级计算!$C$144,EN64+逐级计算!$C$144-(10/(逐级计算!$Q$144*LN(10))*(MAX((LN(10^(逐级计算!$Q$144/10)-1)+逐级计算!$Q$144*(EN64-逐级计算!$P$144)*LN(10)/10),0)+LN(1+EXP(-ABS((LN(10^(逐级计算!$Q$144/10)-1)+逐级计算!$Q$144*(EN64-逐级计算!$P$144)*LN(10)/10))))))),"")</f>
        <v>13.7930365742089</v>
      </c>
      <c r="EP64">
        <f>IF(AND(ISNUMBER(EO64),逐级计算!$X$145&gt;-1),IF(逐级计算!$X$145=0,EO64+逐级计算!$C$145,EO64+逐级计算!$C$145-(10/(逐级计算!$Q$145*LN(10))*(MAX((LN(10^(逐级计算!$Q$145/10)-1)+逐级计算!$Q$145*(EO64-逐级计算!$P$145)*LN(10)/10),0)+LN(1+EXP(-ABS((LN(10^(逐级计算!$Q$145/10)-1)+逐级计算!$Q$145*(EO64-逐级计算!$P$145)*LN(10)/10))))))),"")</f>
        <v>13.7930365742089</v>
      </c>
      <c r="EQ64">
        <f>IF(AND(ISNUMBER(EP64),逐级计算!$X$146&gt;-1),IF(逐级计算!$X$146=0,EP64+逐级计算!$C$146,EP64+逐级计算!$C$146-(10/(逐级计算!$Q$146*LN(10))*(MAX((LN(10^(逐级计算!$Q$146/10)-1)+逐级计算!$Q$146*(EP64-逐级计算!$P$146)*LN(10)/10),0)+LN(1+EXP(-ABS((LN(10^(逐级计算!$Q$146/10)-1)+逐级计算!$Q$146*(EP64-逐级计算!$P$146)*LN(10)/10))))))),"")</f>
        <v>13.7930365742089</v>
      </c>
      <c r="ER64">
        <f>IF(AND(ISNUMBER(EQ64),逐级计算!$X$147&gt;-1),IF(逐级计算!$X$147=0,EQ64+逐级计算!$C$147,EQ64+逐级计算!$C$147-(10/(逐级计算!$Q$147*LN(10))*(MAX((LN(10^(逐级计算!$Q$147/10)-1)+逐级计算!$Q$147*(EQ64-逐级计算!$P$147)*LN(10)/10),0)+LN(1+EXP(-ABS((LN(10^(逐级计算!$Q$147/10)-1)+逐级计算!$Q$147*(EQ64-逐级计算!$P$147)*LN(10)/10))))))),"")</f>
        <v>13.7930365742089</v>
      </c>
      <c r="ES64">
        <f>IF(AND(ISNUMBER(ER64),逐级计算!$X$148&gt;-1),IF(逐级计算!$X$148=0,ER64+逐级计算!$C$148,ER64+逐级计算!$C$148-(10/(逐级计算!$Q$148*LN(10))*(MAX((LN(10^(逐级计算!$Q$148/10)-1)+逐级计算!$Q$148*(ER64-逐级计算!$P$148)*LN(10)/10),0)+LN(1+EXP(-ABS((LN(10^(逐级计算!$Q$148/10)-1)+逐级计算!$Q$148*(ER64-逐级计算!$P$148)*LN(10)/10))))))),"")</f>
        <v>13.7930365742089</v>
      </c>
      <c r="ET64">
        <f>IF(AND(ISNUMBER(ES64),逐级计算!$X$149&gt;-1),IF(逐级计算!$X$149=0,ES64+逐级计算!$C$149,ES64+逐级计算!$C$149-(10/(逐级计算!$Q$149*LN(10))*(MAX((LN(10^(逐级计算!$Q$149/10)-1)+逐级计算!$Q$149*(ES64-逐级计算!$P$149)*LN(10)/10),0)+LN(1+EXP(-ABS((LN(10^(逐级计算!$Q$149/10)-1)+逐级计算!$Q$149*(ES64-逐级计算!$P$149)*LN(10)/10))))))),"")</f>
        <v>13.7930365742089</v>
      </c>
      <c r="EU64">
        <f>IF(AND(ISNUMBER(ET64),逐级计算!$X$150&gt;-1),IF(逐级计算!$X$150=0,ET64+逐级计算!$C$150,ET64+逐级计算!$C$150-(10/(逐级计算!$Q$150*LN(10))*(MAX((LN(10^(逐级计算!$Q$150/10)-1)+逐级计算!$Q$150*(ET64-逐级计算!$P$150)*LN(10)/10),0)+LN(1+EXP(-ABS((LN(10^(逐级计算!$Q$150/10)-1)+逐级计算!$Q$150*(ET64-逐级计算!$P$150)*LN(10)/10))))))),"")</f>
        <v>13.7930365742089</v>
      </c>
      <c r="EV64">
        <f>IF(AND(ISNUMBER(EU64),逐级计算!$X$151&gt;-1),IF(逐级计算!$X$151=0,EU64+逐级计算!$C$151,EU64+逐级计算!$C$151-(10/(逐级计算!$Q$151*LN(10))*(MAX((LN(10^(逐级计算!$Q$151/10)-1)+逐级计算!$Q$151*(EU64-逐级计算!$P$151)*LN(10)/10),0)+LN(1+EXP(-ABS((LN(10^(逐级计算!$Q$151/10)-1)+逐级计算!$Q$151*(EU64-逐级计算!$P$151)*LN(10)/10))))))),"")</f>
        <v>13.7930365742089</v>
      </c>
      <c r="EW64">
        <f>IF(AND(ISNUMBER(EV64),逐级计算!$X$152&gt;-1),IF(逐级计算!$X$152=0,EV64+逐级计算!$C$152,EV64+逐级计算!$C$152-(10/(逐级计算!$Q$152*LN(10))*(MAX((LN(10^(逐级计算!$Q$152/10)-1)+逐级计算!$Q$152*(EV64-逐级计算!$P$152)*LN(10)/10),0)+LN(1+EXP(-ABS((LN(10^(逐级计算!$Q$152/10)-1)+逐级计算!$Q$152*(EV64-逐级计算!$P$152)*LN(10)/10))))))),"")</f>
        <v>13.7930365742089</v>
      </c>
      <c r="EX64">
        <f>IF(AND(ISNUMBER(EW64),逐级计算!$X$153&gt;-1),IF(逐级计算!$X$153=0,EW64+逐级计算!$C$153,EW64+逐级计算!$C$153-(10/(逐级计算!$Q$153*LN(10))*(MAX((LN(10^(逐级计算!$Q$153/10)-1)+逐级计算!$Q$153*(EW64-逐级计算!$P$153)*LN(10)/10),0)+LN(1+EXP(-ABS((LN(10^(逐级计算!$Q$153/10)-1)+逐级计算!$Q$153*(EW64-逐级计算!$P$153)*LN(10)/10))))))),"")</f>
        <v>13.7930365742089</v>
      </c>
      <c r="EY64">
        <f>IF(AND(ISNUMBER(EX64),逐级计算!$X$154&gt;-1),IF(逐级计算!$X$154=0,EX64+逐级计算!$C$154,EX64+逐级计算!$C$154-(10/(逐级计算!$Q$154*LN(10))*(MAX((LN(10^(逐级计算!$Q$154/10)-1)+逐级计算!$Q$154*(EX64-逐级计算!$P$154)*LN(10)/10),0)+LN(1+EXP(-ABS((LN(10^(逐级计算!$Q$154/10)-1)+逐级计算!$Q$154*(EX64-逐级计算!$P$154)*LN(10)/10))))))),"")</f>
        <v>13.7930365742089</v>
      </c>
      <c r="EZ64">
        <f>IF(AND(ISNUMBER(EY64),逐级计算!$X$155&gt;-1),IF(逐级计算!$X$155=0,EY64+逐级计算!$C$155,EY64+逐级计算!$C$155-(10/(逐级计算!$Q$155*LN(10))*(MAX((LN(10^(逐级计算!$Q$155/10)-1)+逐级计算!$Q$155*(EY64-逐级计算!$P$155)*LN(10)/10),0)+LN(1+EXP(-ABS((LN(10^(逐级计算!$Q$155/10)-1)+逐级计算!$Q$155*(EY64-逐级计算!$P$155)*LN(10)/10))))))),"")</f>
        <v>13.7930365742089</v>
      </c>
      <c r="FA64">
        <f>IF(AND(ISNUMBER(EZ64),逐级计算!$X$156&gt;-1),IF(逐级计算!$X$156=0,EZ64+逐级计算!$C$156,EZ64+逐级计算!$C$156-(10/(逐级计算!$Q$156*LN(10))*(MAX((LN(10^(逐级计算!$Q$156/10)-1)+逐级计算!$Q$156*(EZ64-逐级计算!$P$156)*LN(10)/10),0)+LN(1+EXP(-ABS((LN(10^(逐级计算!$Q$156/10)-1)+逐级计算!$Q$156*(EZ64-逐级计算!$P$156)*LN(10)/10))))))),"")</f>
        <v>13.7930365742089</v>
      </c>
      <c r="FB64">
        <f>IF(AND(ISNUMBER(FA64),逐级计算!$X$157&gt;-1),IF(逐级计算!$X$157=0,FA64+逐级计算!$C$157,FA64+逐级计算!$C$157-(10/(逐级计算!$Q$157*LN(10))*(MAX((LN(10^(逐级计算!$Q$157/10)-1)+逐级计算!$Q$157*(FA64-逐级计算!$P$157)*LN(10)/10),0)+LN(1+EXP(-ABS((LN(10^(逐级计算!$Q$157/10)-1)+逐级计算!$Q$157*(FA64-逐级计算!$P$157)*LN(10)/10))))))),"")</f>
        <v>13.7930365742089</v>
      </c>
      <c r="FC64">
        <f>IF(AND(ISNUMBER(FB64),逐级计算!$X$158&gt;-1),IF(逐级计算!$X$158=0,FB64+逐级计算!$C$158,FB64+逐级计算!$C$158-(10/(逐级计算!$Q$158*LN(10))*(MAX((LN(10^(逐级计算!$Q$158/10)-1)+逐级计算!$Q$158*(FB64-逐级计算!$P$158)*LN(10)/10),0)+LN(1+EXP(-ABS((LN(10^(逐级计算!$Q$158/10)-1)+逐级计算!$Q$158*(FB64-逐级计算!$P$158)*LN(10)/10))))))),"")</f>
        <v>13.7930365742089</v>
      </c>
      <c r="FD64">
        <f>IF(AND(ISNUMBER(FC64),逐级计算!$X$159&gt;-1),IF(逐级计算!$X$159=0,FC64+逐级计算!$C$159,FC64+逐级计算!$C$159-(10/(逐级计算!$Q$159*LN(10))*(MAX((LN(10^(逐级计算!$Q$159/10)-1)+逐级计算!$Q$159*(FC64-逐级计算!$P$159)*LN(10)/10),0)+LN(1+EXP(-ABS((LN(10^(逐级计算!$Q$159/10)-1)+逐级计算!$Q$159*(FC64-逐级计算!$P$159)*LN(10)/10))))))),"")</f>
        <v>13.7930365742089</v>
      </c>
      <c r="FE64">
        <f>IF(AND(ISNUMBER(FD64),逐级计算!$X$160&gt;-1),IF(逐级计算!$X$160=0,FD64+逐级计算!$C$160,FD64+逐级计算!$C$160-(10/(逐级计算!$Q$160*LN(10))*(MAX((LN(10^(逐级计算!$Q$160/10)-1)+逐级计算!$Q$160*(FD64-逐级计算!$P$160)*LN(10)/10),0)+LN(1+EXP(-ABS((LN(10^(逐级计算!$Q$160/10)-1)+逐级计算!$Q$160*(FD64-逐级计算!$P$160)*LN(10)/10))))))),"")</f>
        <v>13.7930365742089</v>
      </c>
      <c r="FF64">
        <f>IF(AND(ISNUMBER(FE64),逐级计算!$X$161&gt;-1),IF(逐级计算!$X$161=0,FE64+逐级计算!$C$161,FE64+逐级计算!$C$161-(10/(逐级计算!$Q$161*LN(10))*(MAX((LN(10^(逐级计算!$Q$161/10)-1)+逐级计算!$Q$161*(FE64-逐级计算!$P$161)*LN(10)/10),0)+LN(1+EXP(-ABS((LN(10^(逐级计算!$Q$161/10)-1)+逐级计算!$Q$161*(FE64-逐级计算!$P$161)*LN(10)/10))))))),"")</f>
        <v>13.7930365742089</v>
      </c>
      <c r="FG64">
        <f>IF(AND(ISNUMBER(FF64),逐级计算!$X$162&gt;-1),IF(逐级计算!$X$162=0,FF64+逐级计算!$C$162,FF64+逐级计算!$C$162-(10/(逐级计算!$Q$162*LN(10))*(MAX((LN(10^(逐级计算!$Q$162/10)-1)+逐级计算!$Q$162*(FF64-逐级计算!$P$162)*LN(10)/10),0)+LN(1+EXP(-ABS((LN(10^(逐级计算!$Q$162/10)-1)+逐级计算!$Q$162*(FF64-逐级计算!$P$162)*LN(10)/10))))))),"")</f>
        <v>13.7930365742089</v>
      </c>
      <c r="FH64">
        <f>IF(AND(ISNUMBER(FG64),逐级计算!$X$163&gt;-1),IF(逐级计算!$X$163=0,FG64+逐级计算!$C$163,FG64+逐级计算!$C$163-(10/(逐级计算!$Q$163*LN(10))*(MAX((LN(10^(逐级计算!$Q$163/10)-1)+逐级计算!$Q$163*(FG64-逐级计算!$P$163)*LN(10)/10),0)+LN(1+EXP(-ABS((LN(10^(逐级计算!$Q$163/10)-1)+逐级计算!$Q$163*(FG64-逐级计算!$P$163)*LN(10)/10))))))),"")</f>
        <v>13.7930365742089</v>
      </c>
      <c r="FI64">
        <f>IF(AND(ISNUMBER(FH64),逐级计算!$X$164&gt;-1),IF(逐级计算!$X$164=0,FH64+逐级计算!$C$164,FH64+逐级计算!$C$164-(10/(逐级计算!$Q$164*LN(10))*(MAX((LN(10^(逐级计算!$Q$164/10)-1)+逐级计算!$Q$164*(FH64-逐级计算!$P$164)*LN(10)/10),0)+LN(1+EXP(-ABS((LN(10^(逐级计算!$Q$164/10)-1)+逐级计算!$Q$164*(FH64-逐级计算!$P$164)*LN(10)/10))))))),"")</f>
        <v>13.7930365742089</v>
      </c>
      <c r="FJ64">
        <f>IF(AND(ISNUMBER(FI64),逐级计算!$X$165&gt;-1),IF(逐级计算!$X$165=0,FI64+逐级计算!$C$165,FI64+逐级计算!$C$165-(10/(逐级计算!$Q$165*LN(10))*(MAX((LN(10^(逐级计算!$Q$165/10)-1)+逐级计算!$Q$165*(FI64-逐级计算!$P$165)*LN(10)/10),0)+LN(1+EXP(-ABS((LN(10^(逐级计算!$Q$165/10)-1)+逐级计算!$Q$165*(FI64-逐级计算!$P$165)*LN(10)/10))))))),"")</f>
        <v>13.7930365742089</v>
      </c>
      <c r="FK64">
        <f>IF(AND(ISNUMBER(FJ64),逐级计算!$X$166&gt;-1),IF(逐级计算!$X$166=0,FJ64+逐级计算!$C$166,FJ64+逐级计算!$C$166-(10/(逐级计算!$Q$166*LN(10))*(MAX((LN(10^(逐级计算!$Q$166/10)-1)+逐级计算!$Q$166*(FJ64-逐级计算!$P$166)*LN(10)/10),0)+LN(1+EXP(-ABS((LN(10^(逐级计算!$Q$166/10)-1)+逐级计算!$Q$166*(FJ64-逐级计算!$P$166)*LN(10)/10))))))),"")</f>
        <v>13.7930365742089</v>
      </c>
      <c r="FL64">
        <f>IF(AND(ISNUMBER(FK64),逐级计算!$X$167&gt;-1),IF(逐级计算!$X$167=0,FK64+逐级计算!$C$167,FK64+逐级计算!$C$167-(10/(逐级计算!$Q$167*LN(10))*(MAX((LN(10^(逐级计算!$Q$167/10)-1)+逐级计算!$Q$167*(FK64-逐级计算!$P$167)*LN(10)/10),0)+LN(1+EXP(-ABS((LN(10^(逐级计算!$Q$167/10)-1)+逐级计算!$Q$167*(FK64-逐级计算!$P$167)*LN(10)/10))))))),"")</f>
        <v>13.7930365742089</v>
      </c>
      <c r="FM64">
        <f>IF(AND(ISNUMBER(FL64),逐级计算!$X$168&gt;-1),IF(逐级计算!$X$168=0,FL64+逐级计算!$C$168,FL64+逐级计算!$C$168-(10/(逐级计算!$Q$168*LN(10))*(MAX((LN(10^(逐级计算!$Q$168/10)-1)+逐级计算!$Q$168*(FL64-逐级计算!$P$168)*LN(10)/10),0)+LN(1+EXP(-ABS((LN(10^(逐级计算!$Q$168/10)-1)+逐级计算!$Q$168*(FL64-逐级计算!$P$168)*LN(10)/10))))))),"")</f>
        <v>13.7930365742089</v>
      </c>
      <c r="FN64">
        <f>IF(AND(ISNUMBER(FM64),逐级计算!$X$169&gt;-1),IF(逐级计算!$X$169=0,FM64+逐级计算!$C$169,FM64+逐级计算!$C$169-(10/(逐级计算!$Q$169*LN(10))*(MAX((LN(10^(逐级计算!$Q$169/10)-1)+逐级计算!$Q$169*(FM64-逐级计算!$P$169)*LN(10)/10),0)+LN(1+EXP(-ABS((LN(10^(逐级计算!$Q$169/10)-1)+逐级计算!$Q$169*(FM64-逐级计算!$P$169)*LN(10)/10))))))),"")</f>
        <v>13.7930365742089</v>
      </c>
      <c r="FO64">
        <f>IF(AND(ISNUMBER(FN64),逐级计算!$X$170&gt;-1),IF(逐级计算!$X$170=0,FN64+逐级计算!$C$170,FN64+逐级计算!$C$170-(10/(逐级计算!$Q$170*LN(10))*(MAX((LN(10^(逐级计算!$Q$170/10)-1)+逐级计算!$Q$170*(FN64-逐级计算!$P$170)*LN(10)/10),0)+LN(1+EXP(-ABS((LN(10^(逐级计算!$Q$170/10)-1)+逐级计算!$Q$170*(FN64-逐级计算!$P$170)*LN(10)/10))))))),"")</f>
        <v>13.7930365742089</v>
      </c>
      <c r="FP64">
        <f>IF(AND(ISNUMBER(FO64),逐级计算!$X$171&gt;-1),IF(逐级计算!$X$171=0,FO64+逐级计算!$C$171,FO64+逐级计算!$C$171-(10/(逐级计算!$Q$171*LN(10))*(MAX((LN(10^(逐级计算!$Q$171/10)-1)+逐级计算!$Q$171*(FO64-逐级计算!$P$171)*LN(10)/10),0)+LN(1+EXP(-ABS((LN(10^(逐级计算!$Q$171/10)-1)+逐级计算!$Q$171*(FO64-逐级计算!$P$171)*LN(10)/10))))))),"")</f>
        <v>13.7930365742089</v>
      </c>
      <c r="FQ64">
        <f>IF(AND(ISNUMBER(FP64),逐级计算!$X$172&gt;-1),IF(逐级计算!$X$172=0,FP64+逐级计算!$C$172,FP64+逐级计算!$C$172-(10/(逐级计算!$Q$172*LN(10))*(MAX((LN(10^(逐级计算!$Q$172/10)-1)+逐级计算!$Q$172*(FP64-逐级计算!$P$172)*LN(10)/10),0)+LN(1+EXP(-ABS((LN(10^(逐级计算!$Q$172/10)-1)+逐级计算!$Q$172*(FP64-逐级计算!$P$172)*LN(10)/10))))))),"")</f>
        <v>13.7930365742089</v>
      </c>
      <c r="FR64">
        <f>IF(AND(ISNUMBER(FQ64),逐级计算!$X$173&gt;-1),IF(逐级计算!$X$173=0,FQ64+逐级计算!$C$173,FQ64+逐级计算!$C$173-(10/(逐级计算!$Q$173*LN(10))*(MAX((LN(10^(逐级计算!$Q$173/10)-1)+逐级计算!$Q$173*(FQ64-逐级计算!$P$173)*LN(10)/10),0)+LN(1+EXP(-ABS((LN(10^(逐级计算!$Q$173/10)-1)+逐级计算!$Q$173*(FQ64-逐级计算!$P$173)*LN(10)/10))))))),"")</f>
        <v>13.7930365742089</v>
      </c>
      <c r="FS64">
        <f>IF(AND(ISNUMBER(FR64),逐级计算!$X$174&gt;-1),IF(逐级计算!$X$174=0,FR64+逐级计算!$C$174,FR64+逐级计算!$C$174-(10/(逐级计算!$Q$174*LN(10))*(MAX((LN(10^(逐级计算!$Q$174/10)-1)+逐级计算!$Q$174*(FR64-逐级计算!$P$174)*LN(10)/10),0)+LN(1+EXP(-ABS((LN(10^(逐级计算!$Q$174/10)-1)+逐级计算!$Q$174*(FR64-逐级计算!$P$174)*LN(10)/10))))))),"")</f>
        <v>13.7930365742089</v>
      </c>
      <c r="FT64">
        <f>IF(AND(ISNUMBER(FS64),逐级计算!$X$175&gt;-1),IF(逐级计算!$X$175=0,FS64+逐级计算!$C$175,FS64+逐级计算!$C$175-(10/(逐级计算!$Q$175*LN(10))*(MAX((LN(10^(逐级计算!$Q$175/10)-1)+逐级计算!$Q$175*(FS64-逐级计算!$P$175)*LN(10)/10),0)+LN(1+EXP(-ABS((LN(10^(逐级计算!$Q$175/10)-1)+逐级计算!$Q$175*(FS64-逐级计算!$P$175)*LN(10)/10))))))),"")</f>
        <v>13.7930365742089</v>
      </c>
      <c r="FU64">
        <f>IF(AND(ISNUMBER(FT64),逐级计算!$X$176&gt;-1),IF(逐级计算!$X$176=0,FT64+逐级计算!$C$176,FT64+逐级计算!$C$176-(10/(逐级计算!$Q$176*LN(10))*(MAX((LN(10^(逐级计算!$Q$176/10)-1)+逐级计算!$Q$176*(FT64-逐级计算!$P$176)*LN(10)/10),0)+LN(1+EXP(-ABS((LN(10^(逐级计算!$Q$176/10)-1)+逐级计算!$Q$176*(FT64-逐级计算!$P$176)*LN(10)/10))))))),"")</f>
        <v>13.7930365742089</v>
      </c>
      <c r="FV64">
        <f>IF(AND(ISNUMBER(FU64),逐级计算!$X$177&gt;-1),IF(逐级计算!$X$177=0,FU64+逐级计算!$C$177,FU64+逐级计算!$C$177-(10/(逐级计算!$Q$177*LN(10))*(MAX((LN(10^(逐级计算!$Q$177/10)-1)+逐级计算!$Q$177*(FU64-逐级计算!$P$177)*LN(10)/10),0)+LN(1+EXP(-ABS((LN(10^(逐级计算!$Q$177/10)-1)+逐级计算!$Q$177*(FU64-逐级计算!$P$177)*LN(10)/10))))))),"")</f>
        <v>13.7930365742089</v>
      </c>
      <c r="FW64">
        <f>IF(AND(ISNUMBER(FV64),逐级计算!$X$178&gt;-1),IF(逐级计算!$X$178=0,FV64+逐级计算!$C$178,FV64+逐级计算!$C$178-(10/(逐级计算!$Q$178*LN(10))*(MAX((LN(10^(逐级计算!$Q$178/10)-1)+逐级计算!$Q$178*(FV64-逐级计算!$P$178)*LN(10)/10),0)+LN(1+EXP(-ABS((LN(10^(逐级计算!$Q$178/10)-1)+逐级计算!$Q$178*(FV64-逐级计算!$P$178)*LN(10)/10))))))),"")</f>
        <v>13.7930365742089</v>
      </c>
      <c r="FX64">
        <f>IF(AND(ISNUMBER(FW64),逐级计算!$X$179&gt;-1),IF(逐级计算!$X$179=0,FW64+逐级计算!$C$179,FW64+逐级计算!$C$179-(10/(逐级计算!$Q$179*LN(10))*(MAX((LN(10^(逐级计算!$Q$179/10)-1)+逐级计算!$Q$179*(FW64-逐级计算!$P$179)*LN(10)/10),0)+LN(1+EXP(-ABS((LN(10^(逐级计算!$Q$179/10)-1)+逐级计算!$Q$179*(FW64-逐级计算!$P$179)*LN(10)/10))))))),"")</f>
        <v>13.7930365742089</v>
      </c>
      <c r="FY64">
        <f>IF(AND(ISNUMBER(FX64),逐级计算!$X$180&gt;-1),IF(逐级计算!$X$180=0,FX64+逐级计算!$C$180,FX64+逐级计算!$C$180-(10/(逐级计算!$Q$180*LN(10))*(MAX((LN(10^(逐级计算!$Q$180/10)-1)+逐级计算!$Q$180*(FX64-逐级计算!$P$180)*LN(10)/10),0)+LN(1+EXP(-ABS((LN(10^(逐级计算!$Q$180/10)-1)+逐级计算!$Q$180*(FX64-逐级计算!$P$180)*LN(10)/10))))))),"")</f>
        <v>13.7930365742089</v>
      </c>
      <c r="FZ64">
        <f>IF(AND(ISNUMBER(FY64),逐级计算!$X$181&gt;-1),IF(逐级计算!$X$181=0,FY64+逐级计算!$C$181,FY64+逐级计算!$C$181-(10/(逐级计算!$Q$181*LN(10))*(MAX((LN(10^(逐级计算!$Q$181/10)-1)+逐级计算!$Q$181*(FY64-逐级计算!$P$181)*LN(10)/10),0)+LN(1+EXP(-ABS((LN(10^(逐级计算!$Q$181/10)-1)+逐级计算!$Q$181*(FY64-逐级计算!$P$181)*LN(10)/10))))))),"")</f>
        <v>13.7930365742089</v>
      </c>
      <c r="GA64">
        <f>IF(AND(ISNUMBER(FZ64),逐级计算!$X$182&gt;-1),IF(逐级计算!$X$182=0,FZ64+逐级计算!$C$182,FZ64+逐级计算!$C$182-(10/(逐级计算!$Q$182*LN(10))*(MAX((LN(10^(逐级计算!$Q$182/10)-1)+逐级计算!$Q$182*(FZ64-逐级计算!$P$182)*LN(10)/10),0)+LN(1+EXP(-ABS((LN(10^(逐级计算!$Q$182/10)-1)+逐级计算!$Q$182*(FZ64-逐级计算!$P$182)*LN(10)/10))))))),"")</f>
        <v>13.7930365742089</v>
      </c>
      <c r="GB64">
        <f>IF(AND(ISNUMBER(GA64),逐级计算!$X$183&gt;-1),IF(逐级计算!$X$183=0,GA64+逐级计算!$C$183,GA64+逐级计算!$C$183-(10/(逐级计算!$Q$183*LN(10))*(MAX((LN(10^(逐级计算!$Q$183/10)-1)+逐级计算!$Q$183*(GA64-逐级计算!$P$183)*LN(10)/10),0)+LN(1+EXP(-ABS((LN(10^(逐级计算!$Q$183/10)-1)+逐级计算!$Q$183*(GA64-逐级计算!$P$183)*LN(10)/10))))))),"")</f>
        <v>13.7930365742089</v>
      </c>
      <c r="GC64">
        <f>IF(AND(ISNUMBER(GB64),逐级计算!$X$184&gt;-1),IF(逐级计算!$X$184=0,GB64+逐级计算!$C$184,GB64+逐级计算!$C$184-(10/(逐级计算!$Q$184*LN(10))*(MAX((LN(10^(逐级计算!$Q$184/10)-1)+逐级计算!$Q$184*(GB64-逐级计算!$P$184)*LN(10)/10),0)+LN(1+EXP(-ABS((LN(10^(逐级计算!$Q$184/10)-1)+逐级计算!$Q$184*(GB64-逐级计算!$P$184)*LN(10)/10))))))),"")</f>
        <v>13.7930365742089</v>
      </c>
      <c r="GD64">
        <f>IF(AND(ISNUMBER(GC64),逐级计算!$X$185&gt;-1),IF(逐级计算!$X$185=0,GC64+逐级计算!$C$185,GC64+逐级计算!$C$185-(10/(逐级计算!$Q$185*LN(10))*(MAX((LN(10^(逐级计算!$Q$185/10)-1)+逐级计算!$Q$185*(GC64-逐级计算!$P$185)*LN(10)/10),0)+LN(1+EXP(-ABS((LN(10^(逐级计算!$Q$185/10)-1)+逐级计算!$Q$185*(GC64-逐级计算!$P$185)*LN(10)/10))))))),"")</f>
        <v>13.7930365742089</v>
      </c>
      <c r="GE64">
        <f>IF(AND(ISNUMBER(GD64),逐级计算!$X$186&gt;-1),IF(逐级计算!$X$186=0,GD64+逐级计算!$C$186,GD64+逐级计算!$C$186-(10/(逐级计算!$Q$186*LN(10))*(MAX((LN(10^(逐级计算!$Q$186/10)-1)+逐级计算!$Q$186*(GD64-逐级计算!$P$186)*LN(10)/10),0)+LN(1+EXP(-ABS((LN(10^(逐级计算!$Q$186/10)-1)+逐级计算!$Q$186*(GD64-逐级计算!$P$186)*LN(10)/10))))))),"")</f>
        <v>13.7930365742089</v>
      </c>
      <c r="GF64">
        <f>IF(AND(ISNUMBER(GE64),逐级计算!$X$187&gt;-1),IF(逐级计算!$X$187=0,GE64+逐级计算!$C$187,GE64+逐级计算!$C$187-(10/(逐级计算!$Q$187*LN(10))*(MAX((LN(10^(逐级计算!$Q$187/10)-1)+逐级计算!$Q$187*(GE64-逐级计算!$P$187)*LN(10)/10),0)+LN(1+EXP(-ABS((LN(10^(逐级计算!$Q$187/10)-1)+逐级计算!$Q$187*(GE64-逐级计算!$P$187)*LN(10)/10))))))),"")</f>
        <v>13.7930365742089</v>
      </c>
      <c r="GG64">
        <f>IF(AND(ISNUMBER(GF64),逐级计算!$X$188&gt;-1),IF(逐级计算!$X$188=0,GF64+逐级计算!$C$188,GF64+逐级计算!$C$188-(10/(逐级计算!$Q$188*LN(10))*(MAX((LN(10^(逐级计算!$Q$188/10)-1)+逐级计算!$Q$188*(GF64-逐级计算!$P$188)*LN(10)/10),0)+LN(1+EXP(-ABS((LN(10^(逐级计算!$Q$188/10)-1)+逐级计算!$Q$188*(GF64-逐级计算!$P$188)*LN(10)/10))))))),"")</f>
        <v>13.7930365742089</v>
      </c>
      <c r="GH64">
        <f>IF(AND(ISNUMBER(GG64),逐级计算!$X$189&gt;-1),IF(逐级计算!$X$189=0,GG64+逐级计算!$C$189,GG64+逐级计算!$C$189-(10/(逐级计算!$Q$189*LN(10))*(MAX((LN(10^(逐级计算!$Q$189/10)-1)+逐级计算!$Q$189*(GG64-逐级计算!$P$189)*LN(10)/10),0)+LN(1+EXP(-ABS((LN(10^(逐级计算!$Q$189/10)-1)+逐级计算!$Q$189*(GG64-逐级计算!$P$189)*LN(10)/10))))))),"")</f>
        <v>13.7930365742089</v>
      </c>
      <c r="GI64">
        <f>IF(AND(ISNUMBER(GH64),逐级计算!$X$190&gt;-1),IF(逐级计算!$X$190=0,GH64+逐级计算!$C$190,GH64+逐级计算!$C$190-(10/(逐级计算!$Q$190*LN(10))*(MAX((LN(10^(逐级计算!$Q$190/10)-1)+逐级计算!$Q$190*(GH64-逐级计算!$P$190)*LN(10)/10),0)+LN(1+EXP(-ABS((LN(10^(逐级计算!$Q$190/10)-1)+逐级计算!$Q$190*(GH64-逐级计算!$P$190)*LN(10)/10))))))),"")</f>
        <v>13.7930365742089</v>
      </c>
      <c r="GJ64">
        <f>IF(AND(ISNUMBER(GI64),逐级计算!$X$191&gt;-1),IF(逐级计算!$X$191=0,GI64+逐级计算!$C$191,GI64+逐级计算!$C$191-(10/(逐级计算!$Q$191*LN(10))*(MAX((LN(10^(逐级计算!$Q$191/10)-1)+逐级计算!$Q$191*(GI64-逐级计算!$P$191)*LN(10)/10),0)+LN(1+EXP(-ABS((LN(10^(逐级计算!$Q$191/10)-1)+逐级计算!$Q$191*(GI64-逐级计算!$P$191)*LN(10)/10))))))),"")</f>
        <v>13.7930365742089</v>
      </c>
      <c r="GK64">
        <f>IF(AND(ISNUMBER(GJ64),逐级计算!$X$192&gt;-1),IF(逐级计算!$X$192=0,GJ64+逐级计算!$C$192,GJ64+逐级计算!$C$192-(10/(逐级计算!$Q$192*LN(10))*(MAX((LN(10^(逐级计算!$Q$192/10)-1)+逐级计算!$Q$192*(GJ64-逐级计算!$P$192)*LN(10)/10),0)+LN(1+EXP(-ABS((LN(10^(逐级计算!$Q$192/10)-1)+逐级计算!$Q$192*(GJ64-逐级计算!$P$192)*LN(10)/10))))))),"")</f>
        <v>13.7930365742089</v>
      </c>
      <c r="GL64">
        <f>IF(AND(ISNUMBER(GK64),逐级计算!$X$193&gt;-1),IF(逐级计算!$X$193=0,GK64+逐级计算!$C$193,GK64+逐级计算!$C$193-(10/(逐级计算!$Q$193*LN(10))*(MAX((LN(10^(逐级计算!$Q$193/10)-1)+逐级计算!$Q$193*(GK64-逐级计算!$P$193)*LN(10)/10),0)+LN(1+EXP(-ABS((LN(10^(逐级计算!$Q$193/10)-1)+逐级计算!$Q$193*(GK64-逐级计算!$P$193)*LN(10)/10))))))),"")</f>
        <v>13.7930365742089</v>
      </c>
      <c r="GM64">
        <f>IF(AND(ISNUMBER(GL64),逐级计算!$X$194&gt;-1),IF(逐级计算!$X$194=0,GL64+逐级计算!$C$194,GL64+逐级计算!$C$194-(10/(逐级计算!$Q$194*LN(10))*(MAX((LN(10^(逐级计算!$Q$194/10)-1)+逐级计算!$Q$194*(GL64-逐级计算!$P$194)*LN(10)/10),0)+LN(1+EXP(-ABS((LN(10^(逐级计算!$Q$194/10)-1)+逐级计算!$Q$194*(GL64-逐级计算!$P$194)*LN(10)/10))))))),"")</f>
        <v>13.7930365742089</v>
      </c>
      <c r="GN64">
        <f>IF(AND(ISNUMBER(GM64),逐级计算!$X$195&gt;-1),IF(逐级计算!$X$195=0,GM64+逐级计算!$C$195,GM64+逐级计算!$C$195-(10/(逐级计算!$Q$195*LN(10))*(MAX((LN(10^(逐级计算!$Q$195/10)-1)+逐级计算!$Q$195*(GM64-逐级计算!$P$195)*LN(10)/10),0)+LN(1+EXP(-ABS((LN(10^(逐级计算!$Q$195/10)-1)+逐级计算!$Q$195*(GM64-逐级计算!$P$195)*LN(10)/10))))))),"")</f>
        <v>13.7930365742089</v>
      </c>
      <c r="GO64">
        <f>IF(AND(ISNUMBER(GN64),逐级计算!$X$196&gt;-1),IF(逐级计算!$X$196=0,GN64+逐级计算!$C$196,GN64+逐级计算!$C$196-(10/(逐级计算!$Q$196*LN(10))*(MAX((LN(10^(逐级计算!$Q$196/10)-1)+逐级计算!$Q$196*(GN64-逐级计算!$P$196)*LN(10)/10),0)+LN(1+EXP(-ABS((LN(10^(逐级计算!$Q$196/10)-1)+逐级计算!$Q$196*(GN64-逐级计算!$P$196)*LN(10)/10))))))),"")</f>
        <v>13.7930365742089</v>
      </c>
      <c r="GP64">
        <f>IF(AND(ISNUMBER(GO64),逐级计算!$X$197&gt;-1),IF(逐级计算!$X$197=0,GO64+逐级计算!$C$197,GO64+逐级计算!$C$197-(10/(逐级计算!$Q$197*LN(10))*(MAX((LN(10^(逐级计算!$Q$197/10)-1)+逐级计算!$Q$197*(GO64-逐级计算!$P$197)*LN(10)/10),0)+LN(1+EXP(-ABS((LN(10^(逐级计算!$Q$197/10)-1)+逐级计算!$Q$197*(GO64-逐级计算!$P$197)*LN(10)/10))))))),"")</f>
        <v>13.7930365742089</v>
      </c>
      <c r="GQ64">
        <f>IF(AND(ISNUMBER(GP64),逐级计算!$X$198&gt;-1),IF(逐级计算!$X$198=0,GP64+逐级计算!$C$198,GP64+逐级计算!$C$198-(10/(逐级计算!$Q$198*LN(10))*(MAX((LN(10^(逐级计算!$Q$198/10)-1)+逐级计算!$Q$198*(GP64-逐级计算!$P$198)*LN(10)/10),0)+LN(1+EXP(-ABS((LN(10^(逐级计算!$Q$198/10)-1)+逐级计算!$Q$198*(GP64-逐级计算!$P$198)*LN(10)/10))))))),"")</f>
        <v>13.7930365742089</v>
      </c>
      <c r="GR64">
        <f>IF(AND(ISNUMBER(GQ64),逐级计算!$X$199&gt;-1),IF(逐级计算!$X$199=0,GQ64+逐级计算!$C$199,GQ64+逐级计算!$C$199-(10/(逐级计算!$Q$199*LN(10))*(MAX((LN(10^(逐级计算!$Q$199/10)-1)+逐级计算!$Q$199*(GQ64-逐级计算!$P$199)*LN(10)/10),0)+LN(1+EXP(-ABS((LN(10^(逐级计算!$Q$199/10)-1)+逐级计算!$Q$199*(GQ64-逐级计算!$P$199)*LN(10)/10))))))),"")</f>
        <v>13.7930365742089</v>
      </c>
      <c r="GS64">
        <f>IF(AND(ISNUMBER(GR64),逐级计算!$X$200&gt;-1),IF(逐级计算!$X$200=0,GR64+逐级计算!$C$200,GR64+逐级计算!$C$200-(10/(逐级计算!$Q$200*LN(10))*(MAX((LN(10^(逐级计算!$Q$200/10)-1)+逐级计算!$Q$200*(GR64-逐级计算!$P$200)*LN(10)/10),0)+LN(1+EXP(-ABS((LN(10^(逐级计算!$Q$200/10)-1)+逐级计算!$Q$200*(GR64-逐级计算!$P$200)*LN(10)/10))))))),"")</f>
        <v>13.7930365742089</v>
      </c>
      <c r="GT64">
        <f>IF(AND(ISNUMBER(GS64),逐级计算!$X$201&gt;-1),IF(逐级计算!$X$201=0,GS64+逐级计算!$C$201,GS64+逐级计算!$C$201-(10/(逐级计算!$Q$201*LN(10))*(MAX((LN(10^(逐级计算!$Q$201/10)-1)+逐级计算!$Q$201*(GS64-逐级计算!$P$201)*LN(10)/10),0)+LN(1+EXP(-ABS((LN(10^(逐级计算!$Q$201/10)-1)+逐级计算!$Q$201*(GS64-逐级计算!$P$201)*LN(10)/10))))))),"")</f>
        <v>13.7930365742089</v>
      </c>
      <c r="GU64">
        <f>IF(AND(ISNUMBER(GT64),逐级计算!$X$202&gt;-1),IF(逐级计算!$X$202=0,GT64+逐级计算!$C$202,GT64+逐级计算!$C$202-(10/(逐级计算!$Q$202*LN(10))*(MAX((LN(10^(逐级计算!$Q$202/10)-1)+逐级计算!$Q$202*(GT64-逐级计算!$P$202)*LN(10)/10),0)+LN(1+EXP(-ABS((LN(10^(逐级计算!$Q$202/10)-1)+逐级计算!$Q$202*(GT64-逐级计算!$P$202)*LN(10)/10))))))),"")</f>
        <v>13.7930365742089</v>
      </c>
      <c r="GV64">
        <f>IF(AND(ISNUMBER(GU64),逐级计算!$X$203&gt;-1),IF(逐级计算!$X$203=0,GU64+逐级计算!$C$203,GU64+逐级计算!$C$203-(10/(逐级计算!$Q$203*LN(10))*(MAX((LN(10^(逐级计算!$Q$203/10)-1)+逐级计算!$Q$203*(GU64-逐级计算!$P$203)*LN(10)/10),0)+LN(1+EXP(-ABS((LN(10^(逐级计算!$Q$203/10)-1)+逐级计算!$Q$203*(GU64-逐级计算!$P$203)*LN(10)/10))))))),"")</f>
        <v>13.7930365742089</v>
      </c>
      <c r="GW64">
        <f t="shared" si="2"/>
        <v>-5.20696342579112</v>
      </c>
    </row>
    <row r="65" spans="1:205">
      <c r="A65">
        <v>58</v>
      </c>
      <c r="B65">
        <f t="shared" si="1"/>
        <v>-5.20696342579112</v>
      </c>
      <c r="C65">
        <f t="shared" si="0"/>
        <v>-5.20696342579112</v>
      </c>
      <c r="D65">
        <f>IF(AND(ISNUMBER(C65),ISNUMBER(逐级计算!$E$203),ISNUMBER(GV65)),C65+逐级计算!$E$203-GV65,"")</f>
        <v>1</v>
      </c>
      <c r="E65">
        <f>IF(AND(ISNUMBER(C65),逐级计算!$X$4&gt;-1),IF(逐级计算!$X$4=0,C65+逐级计算!$C$4,C65+逐级计算!$C$4-(10/(逐级计算!$Q$4*LN(10))*(MAX((LN(10^(逐级计算!$Q$4/10)-1)+逐级计算!$Q$4*(C65-逐级计算!$P$4)*LN(10)/10),0)+LN(1+EXP(-ABS((LN(10^(逐级计算!$Q$4/10)-1)+逐级计算!$Q$4*(C65-逐级计算!$P$4)*LN(10)/10))))))),"")</f>
        <v>4.68053982928311</v>
      </c>
      <c r="F65">
        <f>IF(AND(ISNUMBER(E65),逐级计算!$X$5&gt;-1),IF(逐级计算!$X$5=0,E65+逐级计算!$C$5,E65+逐级计算!$C$5-(10/(逐级计算!$Q$5*LN(10))*(MAX((LN(10^(逐级计算!$Q$5/10)-1)+逐级计算!$Q$5*(E65-逐级计算!$P$5)*LN(10)/10),0)+LN(1+EXP(-ABS((LN(10^(逐级计算!$Q$5/10)-1)+逐级计算!$Q$5*(E65-逐级计算!$P$5)*LN(10)/10))))))),"")</f>
        <v>13.7930365742089</v>
      </c>
      <c r="G65">
        <f>IF(AND(ISNUMBER(F65),逐级计算!$X$6&gt;-1),IF(逐级计算!$X$6=0,F65+逐级计算!$C$6,F65+逐级计算!$C$6-(10/(逐级计算!$Q$6*LN(10))*(MAX((LN(10^(逐级计算!$Q$6/10)-1)+逐级计算!$Q$6*(F65-逐级计算!$P$6)*LN(10)/10),0)+LN(1+EXP(-ABS((LN(10^(逐级计算!$Q$6/10)-1)+逐级计算!$Q$6*(F65-逐级计算!$P$6)*LN(10)/10))))))),"")</f>
        <v>13.7930365742089</v>
      </c>
      <c r="H65">
        <f>IF(AND(ISNUMBER(G65),逐级计算!$X$7&gt;-1),IF(逐级计算!$X$7=0,G65+逐级计算!$C$7,G65+逐级计算!$C$7-(10/(逐级计算!$Q$7*LN(10))*(MAX((LN(10^(逐级计算!$Q$7/10)-1)+逐级计算!$Q$7*(G65-逐级计算!$P$7)*LN(10)/10),0)+LN(1+EXP(-ABS((LN(10^(逐级计算!$Q$7/10)-1)+逐级计算!$Q$7*(G65-逐级计算!$P$7)*LN(10)/10))))))),"")</f>
        <v>13.7930365742089</v>
      </c>
      <c r="I65">
        <f>IF(AND(ISNUMBER(H65),逐级计算!$X$8&gt;-1),IF(逐级计算!$X$8=0,H65+逐级计算!$C$8,H65+逐级计算!$C$8-(10/(逐级计算!$Q$8*LN(10))*(MAX((LN(10^(逐级计算!$Q$8/10)-1)+逐级计算!$Q$8*(H65-逐级计算!$P$8)*LN(10)/10),0)+LN(1+EXP(-ABS((LN(10^(逐级计算!$Q$8/10)-1)+逐级计算!$Q$8*(H65-逐级计算!$P$8)*LN(10)/10))))))),"")</f>
        <v>13.7930365742089</v>
      </c>
      <c r="J65">
        <f>IF(AND(ISNUMBER(I65),逐级计算!$X$9&gt;-1),IF(逐级计算!$X$9=0,I65+逐级计算!$C$9,I65+逐级计算!$C$9-(10/(逐级计算!$Q$9*LN(10))*(MAX((LN(10^(逐级计算!$Q$9/10)-1)+逐级计算!$Q$9*(I65-逐级计算!$P$9)*LN(10)/10),0)+LN(1+EXP(-ABS((LN(10^(逐级计算!$Q$9/10)-1)+逐级计算!$Q$9*(I65-逐级计算!$P$9)*LN(10)/10))))))),"")</f>
        <v>13.7930365742089</v>
      </c>
      <c r="K65">
        <f>IF(AND(ISNUMBER(J65),逐级计算!$X$10&gt;-1),IF(逐级计算!$X$10=0,J65+逐级计算!$C$10,J65+逐级计算!$C$10-(10/(逐级计算!$Q$10*LN(10))*(MAX((LN(10^(逐级计算!$Q$10/10)-1)+逐级计算!$Q$10*(J65-逐级计算!$P$10)*LN(10)/10),0)+LN(1+EXP(-ABS((LN(10^(逐级计算!$Q$10/10)-1)+逐级计算!$Q$10*(J65-逐级计算!$P$10)*LN(10)/10))))))),"")</f>
        <v>13.7930365742089</v>
      </c>
      <c r="L65">
        <f>IF(AND(ISNUMBER(K65),逐级计算!$X$11&gt;-1),IF(逐级计算!$X$11=0,K65+逐级计算!$C$11,K65+逐级计算!$C$11-(10/(逐级计算!$Q$11*LN(10))*(MAX((LN(10^(逐级计算!$Q$11/10)-1)+逐级计算!$Q$11*(K65-逐级计算!$P$11)*LN(10)/10),0)+LN(1+EXP(-ABS((LN(10^(逐级计算!$Q$11/10)-1)+逐级计算!$Q$11*(K65-逐级计算!$P$11)*LN(10)/10))))))),"")</f>
        <v>13.7930365742089</v>
      </c>
      <c r="M65">
        <f>IF(AND(ISNUMBER(L65),逐级计算!$X$12&gt;-1),IF(逐级计算!$X$12=0,L65+逐级计算!$C$12,L65+逐级计算!$C$12-(10/(逐级计算!$Q$12*LN(10))*(MAX((LN(10^(逐级计算!$Q$12/10)-1)+逐级计算!$Q$12*(L65-逐级计算!$P$12)*LN(10)/10),0)+LN(1+EXP(-ABS((LN(10^(逐级计算!$Q$12/10)-1)+逐级计算!$Q$12*(L65-逐级计算!$P$12)*LN(10)/10))))))),"")</f>
        <v>13.7930365742089</v>
      </c>
      <c r="N65">
        <f>IF(AND(ISNUMBER(M65),逐级计算!$X$13&gt;-1),IF(逐级计算!$X$13=0,M65+逐级计算!$C$13,M65+逐级计算!$C$13-(10/(逐级计算!$Q$13*LN(10))*(MAX((LN(10^(逐级计算!$Q$13/10)-1)+逐级计算!$Q$13*(M65-逐级计算!$P$13)*LN(10)/10),0)+LN(1+EXP(-ABS((LN(10^(逐级计算!$Q$13/10)-1)+逐级计算!$Q$13*(M65-逐级计算!$P$13)*LN(10)/10))))))),"")</f>
        <v>13.7930365742089</v>
      </c>
      <c r="O65">
        <f>IF(AND(ISNUMBER(N65),逐级计算!$X$14&gt;-1),IF(逐级计算!$X$14=0,N65+逐级计算!$C$14,N65+逐级计算!$C$14-(10/(逐级计算!$Q$14*LN(10))*(MAX((LN(10^(逐级计算!$Q$14/10)-1)+逐级计算!$Q$14*(N65-逐级计算!$P$14)*LN(10)/10),0)+LN(1+EXP(-ABS((LN(10^(逐级计算!$Q$14/10)-1)+逐级计算!$Q$14*(N65-逐级计算!$P$14)*LN(10)/10))))))),"")</f>
        <v>13.7930365742089</v>
      </c>
      <c r="P65">
        <f>IF(AND(ISNUMBER(O65),逐级计算!$X$15&gt;-1),IF(逐级计算!$X$15=0,O65+逐级计算!$C$15,O65+逐级计算!$C$15-(10/(逐级计算!$Q$15*LN(10))*(MAX((LN(10^(逐级计算!$Q$15/10)-1)+逐级计算!$Q$15*(O65-逐级计算!$P$15)*LN(10)/10),0)+LN(1+EXP(-ABS((LN(10^(逐级计算!$Q$15/10)-1)+逐级计算!$Q$15*(O65-逐级计算!$P$15)*LN(10)/10))))))),"")</f>
        <v>13.7930365742089</v>
      </c>
      <c r="Q65">
        <f>IF(AND(ISNUMBER(P65),逐级计算!$X$16&gt;-1),IF(逐级计算!$X$16=0,P65+逐级计算!$C$16,P65+逐级计算!$C$16-(10/(逐级计算!$Q$16*LN(10))*(MAX((LN(10^(逐级计算!$Q$16/10)-1)+逐级计算!$Q$16*(P65-逐级计算!$P$16)*LN(10)/10),0)+LN(1+EXP(-ABS((LN(10^(逐级计算!$Q$16/10)-1)+逐级计算!$Q$16*(P65-逐级计算!$P$16)*LN(10)/10))))))),"")</f>
        <v>13.7930365742089</v>
      </c>
      <c r="R65">
        <f>IF(AND(ISNUMBER(Q65),逐级计算!$X$17&gt;-1),IF(逐级计算!$X$17=0,Q65+逐级计算!$C$17,Q65+逐级计算!$C$17-(10/(逐级计算!$Q$17*LN(10))*(MAX((LN(10^(逐级计算!$Q$17/10)-1)+逐级计算!$Q$17*(Q65-逐级计算!$P$17)*LN(10)/10),0)+LN(1+EXP(-ABS((LN(10^(逐级计算!$Q$17/10)-1)+逐级计算!$Q$17*(Q65-逐级计算!$P$17)*LN(10)/10))))))),"")</f>
        <v>13.7930365742089</v>
      </c>
      <c r="S65">
        <f>IF(AND(ISNUMBER(R65),逐级计算!$X$18&gt;-1),IF(逐级计算!$X$18=0,R65+逐级计算!$C$18,R65+逐级计算!$C$18-(10/(逐级计算!$Q$18*LN(10))*(MAX((LN(10^(逐级计算!$Q$18/10)-1)+逐级计算!$Q$18*(R65-逐级计算!$P$18)*LN(10)/10),0)+LN(1+EXP(-ABS((LN(10^(逐级计算!$Q$18/10)-1)+逐级计算!$Q$18*(R65-逐级计算!$P$18)*LN(10)/10))))))),"")</f>
        <v>13.7930365742089</v>
      </c>
      <c r="T65">
        <f>IF(AND(ISNUMBER(S65),逐级计算!$X$19&gt;-1),IF(逐级计算!$X$19=0,S65+逐级计算!$C$19,S65+逐级计算!$C$19-(10/(逐级计算!$Q$19*LN(10))*(MAX((LN(10^(逐级计算!$Q$19/10)-1)+逐级计算!$Q$19*(S65-逐级计算!$P$19)*LN(10)/10),0)+LN(1+EXP(-ABS((LN(10^(逐级计算!$Q$19/10)-1)+逐级计算!$Q$19*(S65-逐级计算!$P$19)*LN(10)/10))))))),"")</f>
        <v>13.7930365742089</v>
      </c>
      <c r="U65">
        <f>IF(AND(ISNUMBER(T65),逐级计算!$X$20&gt;-1),IF(逐级计算!$X$20=0,T65+逐级计算!$C$20,T65+逐级计算!$C$20-(10/(逐级计算!$Q$20*LN(10))*(MAX((LN(10^(逐级计算!$Q$20/10)-1)+逐级计算!$Q$20*(T65-逐级计算!$P$20)*LN(10)/10),0)+LN(1+EXP(-ABS((LN(10^(逐级计算!$Q$20/10)-1)+逐级计算!$Q$20*(T65-逐级计算!$P$20)*LN(10)/10))))))),"")</f>
        <v>13.7930365742089</v>
      </c>
      <c r="V65">
        <f>IF(AND(ISNUMBER(U65),逐级计算!$X$21&gt;-1),IF(逐级计算!$X$21=0,U65+逐级计算!$C$21,U65+逐级计算!$C$21-(10/(逐级计算!$Q$21*LN(10))*(MAX((LN(10^(逐级计算!$Q$21/10)-1)+逐级计算!$Q$21*(U65-逐级计算!$P$21)*LN(10)/10),0)+LN(1+EXP(-ABS((LN(10^(逐级计算!$Q$21/10)-1)+逐级计算!$Q$21*(U65-逐级计算!$P$21)*LN(10)/10))))))),"")</f>
        <v>13.7930365742089</v>
      </c>
      <c r="W65">
        <f>IF(AND(ISNUMBER(V65),逐级计算!$X$22&gt;-1),IF(逐级计算!$X$22=0,V65+逐级计算!$C$22,V65+逐级计算!$C$22-(10/(逐级计算!$Q$22*LN(10))*(MAX((LN(10^(逐级计算!$Q$22/10)-1)+逐级计算!$Q$22*(V65-逐级计算!$P$22)*LN(10)/10),0)+LN(1+EXP(-ABS((LN(10^(逐级计算!$Q$22/10)-1)+逐级计算!$Q$22*(V65-逐级计算!$P$22)*LN(10)/10))))))),"")</f>
        <v>13.7930365742089</v>
      </c>
      <c r="X65">
        <f>IF(AND(ISNUMBER(W65),逐级计算!$X$23&gt;-1),IF(逐级计算!$X$23=0,W65+逐级计算!$C$23,W65+逐级计算!$C$23-(10/(逐级计算!$Q$23*LN(10))*(MAX((LN(10^(逐级计算!$Q$23/10)-1)+逐级计算!$Q$23*(W65-逐级计算!$P$23)*LN(10)/10),0)+LN(1+EXP(-ABS((LN(10^(逐级计算!$Q$23/10)-1)+逐级计算!$Q$23*(W65-逐级计算!$P$23)*LN(10)/10))))))),"")</f>
        <v>13.7930365742089</v>
      </c>
      <c r="Y65">
        <f>IF(AND(ISNUMBER(X65),逐级计算!$X$24&gt;-1),IF(逐级计算!$X$24=0,X65+逐级计算!$C$24,X65+逐级计算!$C$24-(10/(逐级计算!$Q$24*LN(10))*(MAX((LN(10^(逐级计算!$Q$24/10)-1)+逐级计算!$Q$24*(X65-逐级计算!$P$24)*LN(10)/10),0)+LN(1+EXP(-ABS((LN(10^(逐级计算!$Q$24/10)-1)+逐级计算!$Q$24*(X65-逐级计算!$P$24)*LN(10)/10))))))),"")</f>
        <v>13.7930365742089</v>
      </c>
      <c r="Z65">
        <f>IF(AND(ISNUMBER(Y65),逐级计算!$X$25&gt;-1),IF(逐级计算!$X$25=0,Y65+逐级计算!$C$25,Y65+逐级计算!$C$25-(10/(逐级计算!$Q$25*LN(10))*(MAX((LN(10^(逐级计算!$Q$25/10)-1)+逐级计算!$Q$25*(Y65-逐级计算!$P$25)*LN(10)/10),0)+LN(1+EXP(-ABS((LN(10^(逐级计算!$Q$25/10)-1)+逐级计算!$Q$25*(Y65-逐级计算!$P$25)*LN(10)/10))))))),"")</f>
        <v>13.7930365742089</v>
      </c>
      <c r="AA65">
        <f>IF(AND(ISNUMBER(Z65),逐级计算!$X$26&gt;-1),IF(逐级计算!$X$26=0,Z65+逐级计算!$C$26,Z65+逐级计算!$C$26-(10/(逐级计算!$Q$26*LN(10))*(MAX((LN(10^(逐级计算!$Q$26/10)-1)+逐级计算!$Q$26*(Z65-逐级计算!$P$26)*LN(10)/10),0)+LN(1+EXP(-ABS((LN(10^(逐级计算!$Q$26/10)-1)+逐级计算!$Q$26*(Z65-逐级计算!$P$26)*LN(10)/10))))))),"")</f>
        <v>13.7930365742089</v>
      </c>
      <c r="AB65">
        <f>IF(AND(ISNUMBER(AA65),逐级计算!$X$27&gt;-1),IF(逐级计算!$X$27=0,AA65+逐级计算!$C$27,AA65+逐级计算!$C$27-(10/(逐级计算!$Q$27*LN(10))*(MAX((LN(10^(逐级计算!$Q$27/10)-1)+逐级计算!$Q$27*(AA65-逐级计算!$P$27)*LN(10)/10),0)+LN(1+EXP(-ABS((LN(10^(逐级计算!$Q$27/10)-1)+逐级计算!$Q$27*(AA65-逐级计算!$P$27)*LN(10)/10))))))),"")</f>
        <v>13.7930365742089</v>
      </c>
      <c r="AC65">
        <f>IF(AND(ISNUMBER(AB65),逐级计算!$X$28&gt;-1),IF(逐级计算!$X$28=0,AB65+逐级计算!$C$28,AB65+逐级计算!$C$28-(10/(逐级计算!$Q$28*LN(10))*(MAX((LN(10^(逐级计算!$Q$28/10)-1)+逐级计算!$Q$28*(AB65-逐级计算!$P$28)*LN(10)/10),0)+LN(1+EXP(-ABS((LN(10^(逐级计算!$Q$28/10)-1)+逐级计算!$Q$28*(AB65-逐级计算!$P$28)*LN(10)/10))))))),"")</f>
        <v>13.7930365742089</v>
      </c>
      <c r="AD65">
        <f>IF(AND(ISNUMBER(AC65),逐级计算!$X$29&gt;-1),IF(逐级计算!$X$29=0,AC65+逐级计算!$C$29,AC65+逐级计算!$C$29-(10/(逐级计算!$Q$29*LN(10))*(MAX((LN(10^(逐级计算!$Q$29/10)-1)+逐级计算!$Q$29*(AC65-逐级计算!$P$29)*LN(10)/10),0)+LN(1+EXP(-ABS((LN(10^(逐级计算!$Q$29/10)-1)+逐级计算!$Q$29*(AC65-逐级计算!$P$29)*LN(10)/10))))))),"")</f>
        <v>13.7930365742089</v>
      </c>
      <c r="AE65">
        <f>IF(AND(ISNUMBER(AD65),逐级计算!$X$30&gt;-1),IF(逐级计算!$X$30=0,AD65+逐级计算!$C$30,AD65+逐级计算!$C$30-(10/(逐级计算!$Q$30*LN(10))*(MAX((LN(10^(逐级计算!$Q$30/10)-1)+逐级计算!$Q$30*(AD65-逐级计算!$P$30)*LN(10)/10),0)+LN(1+EXP(-ABS((LN(10^(逐级计算!$Q$30/10)-1)+逐级计算!$Q$30*(AD65-逐级计算!$P$30)*LN(10)/10))))))),"")</f>
        <v>13.7930365742089</v>
      </c>
      <c r="AF65">
        <f>IF(AND(ISNUMBER(AE65),逐级计算!$X$31&gt;-1),IF(逐级计算!$X$31=0,AE65+逐级计算!$C$31,AE65+逐级计算!$C$31-(10/(逐级计算!$Q$31*LN(10))*(MAX((LN(10^(逐级计算!$Q$31/10)-1)+逐级计算!$Q$31*(AE65-逐级计算!$P$31)*LN(10)/10),0)+LN(1+EXP(-ABS((LN(10^(逐级计算!$Q$31/10)-1)+逐级计算!$Q$31*(AE65-逐级计算!$P$31)*LN(10)/10))))))),"")</f>
        <v>13.7930365742089</v>
      </c>
      <c r="AG65">
        <f>IF(AND(ISNUMBER(AF65),逐级计算!$X$32&gt;-1),IF(逐级计算!$X$32=0,AF65+逐级计算!$C$32,AF65+逐级计算!$C$32-(10/(逐级计算!$Q$32*LN(10))*(MAX((LN(10^(逐级计算!$Q$32/10)-1)+逐级计算!$Q$32*(AF65-逐级计算!$P$32)*LN(10)/10),0)+LN(1+EXP(-ABS((LN(10^(逐级计算!$Q$32/10)-1)+逐级计算!$Q$32*(AF65-逐级计算!$P$32)*LN(10)/10))))))),"")</f>
        <v>13.7930365742089</v>
      </c>
      <c r="AH65">
        <f>IF(AND(ISNUMBER(AG65),逐级计算!$X$33&gt;-1),IF(逐级计算!$X$33=0,AG65+逐级计算!$C$33,AG65+逐级计算!$C$33-(10/(逐级计算!$Q$33*LN(10))*(MAX((LN(10^(逐级计算!$Q$33/10)-1)+逐级计算!$Q$33*(AG65-逐级计算!$P$33)*LN(10)/10),0)+LN(1+EXP(-ABS((LN(10^(逐级计算!$Q$33/10)-1)+逐级计算!$Q$33*(AG65-逐级计算!$P$33)*LN(10)/10))))))),"")</f>
        <v>13.7930365742089</v>
      </c>
      <c r="AI65">
        <f>IF(AND(ISNUMBER(AH65),逐级计算!$X$34&gt;-1),IF(逐级计算!$X$34=0,AH65+逐级计算!$C$34,AH65+逐级计算!$C$34-(10/(逐级计算!$Q$34*LN(10))*(MAX((LN(10^(逐级计算!$Q$34/10)-1)+逐级计算!$Q$34*(AH65-逐级计算!$P$34)*LN(10)/10),0)+LN(1+EXP(-ABS((LN(10^(逐级计算!$Q$34/10)-1)+逐级计算!$Q$34*(AH65-逐级计算!$P$34)*LN(10)/10))))))),"")</f>
        <v>13.7930365742089</v>
      </c>
      <c r="AJ65">
        <f>IF(AND(ISNUMBER(AI65),逐级计算!$X$35&gt;-1),IF(逐级计算!$X$35=0,AI65+逐级计算!$C$35,AI65+逐级计算!$C$35-(10/(逐级计算!$Q$35*LN(10))*(MAX((LN(10^(逐级计算!$Q$35/10)-1)+逐级计算!$Q$35*(AI65-逐级计算!$P$35)*LN(10)/10),0)+LN(1+EXP(-ABS((LN(10^(逐级计算!$Q$35/10)-1)+逐级计算!$Q$35*(AI65-逐级计算!$P$35)*LN(10)/10))))))),"")</f>
        <v>13.7930365742089</v>
      </c>
      <c r="AK65">
        <f>IF(AND(ISNUMBER(AJ65),逐级计算!$X$36&gt;-1),IF(逐级计算!$X$36=0,AJ65+逐级计算!$C$36,AJ65+逐级计算!$C$36-(10/(逐级计算!$Q$36*LN(10))*(MAX((LN(10^(逐级计算!$Q$36/10)-1)+逐级计算!$Q$36*(AJ65-逐级计算!$P$36)*LN(10)/10),0)+LN(1+EXP(-ABS((LN(10^(逐级计算!$Q$36/10)-1)+逐级计算!$Q$36*(AJ65-逐级计算!$P$36)*LN(10)/10))))))),"")</f>
        <v>13.7930365742089</v>
      </c>
      <c r="AL65">
        <f>IF(AND(ISNUMBER(AK65),逐级计算!$X$37&gt;-1),IF(逐级计算!$X$37=0,AK65+逐级计算!$C$37,AK65+逐级计算!$C$37-(10/(逐级计算!$Q$37*LN(10))*(MAX((LN(10^(逐级计算!$Q$37/10)-1)+逐级计算!$Q$37*(AK65-逐级计算!$P$37)*LN(10)/10),0)+LN(1+EXP(-ABS((LN(10^(逐级计算!$Q$37/10)-1)+逐级计算!$Q$37*(AK65-逐级计算!$P$37)*LN(10)/10))))))),"")</f>
        <v>13.7930365742089</v>
      </c>
      <c r="AM65">
        <f>IF(AND(ISNUMBER(AL65),逐级计算!$X$38&gt;-1),IF(逐级计算!$X$38=0,AL65+逐级计算!$C$38,AL65+逐级计算!$C$38-(10/(逐级计算!$Q$38*LN(10))*(MAX((LN(10^(逐级计算!$Q$38/10)-1)+逐级计算!$Q$38*(AL65-逐级计算!$P$38)*LN(10)/10),0)+LN(1+EXP(-ABS((LN(10^(逐级计算!$Q$38/10)-1)+逐级计算!$Q$38*(AL65-逐级计算!$P$38)*LN(10)/10))))))),"")</f>
        <v>13.7930365742089</v>
      </c>
      <c r="AN65">
        <f>IF(AND(ISNUMBER(AM65),逐级计算!$X$39&gt;-1),IF(逐级计算!$X$39=0,AM65+逐级计算!$C$39,AM65+逐级计算!$C$39-(10/(逐级计算!$Q$39*LN(10))*(MAX((LN(10^(逐级计算!$Q$39/10)-1)+逐级计算!$Q$39*(AM65-逐级计算!$P$39)*LN(10)/10),0)+LN(1+EXP(-ABS((LN(10^(逐级计算!$Q$39/10)-1)+逐级计算!$Q$39*(AM65-逐级计算!$P$39)*LN(10)/10))))))),"")</f>
        <v>13.7930365742089</v>
      </c>
      <c r="AO65">
        <f>IF(AND(ISNUMBER(AN65),逐级计算!$X$40&gt;-1),IF(逐级计算!$X$40=0,AN65+逐级计算!$C$40,AN65+逐级计算!$C$40-(10/(逐级计算!$Q$40*LN(10))*(MAX((LN(10^(逐级计算!$Q$40/10)-1)+逐级计算!$Q$40*(AN65-逐级计算!$P$40)*LN(10)/10),0)+LN(1+EXP(-ABS((LN(10^(逐级计算!$Q$40/10)-1)+逐级计算!$Q$40*(AN65-逐级计算!$P$40)*LN(10)/10))))))),"")</f>
        <v>13.7930365742089</v>
      </c>
      <c r="AP65">
        <f>IF(AND(ISNUMBER(AO65),逐级计算!$X$41&gt;-1),IF(逐级计算!$X$41=0,AO65+逐级计算!$C$41,AO65+逐级计算!$C$41-(10/(逐级计算!$Q$41*LN(10))*(MAX((LN(10^(逐级计算!$Q$41/10)-1)+逐级计算!$Q$41*(AO65-逐级计算!$P$41)*LN(10)/10),0)+LN(1+EXP(-ABS((LN(10^(逐级计算!$Q$41/10)-1)+逐级计算!$Q$41*(AO65-逐级计算!$P$41)*LN(10)/10))))))),"")</f>
        <v>13.7930365742089</v>
      </c>
      <c r="AQ65">
        <f>IF(AND(ISNUMBER(AP65),逐级计算!$X$42&gt;-1),IF(逐级计算!$X$42=0,AP65+逐级计算!$C$42,AP65+逐级计算!$C$42-(10/(逐级计算!$Q$42*LN(10))*(MAX((LN(10^(逐级计算!$Q$42/10)-1)+逐级计算!$Q$42*(AP65-逐级计算!$P$42)*LN(10)/10),0)+LN(1+EXP(-ABS((LN(10^(逐级计算!$Q$42/10)-1)+逐级计算!$Q$42*(AP65-逐级计算!$P$42)*LN(10)/10))))))),"")</f>
        <v>13.7930365742089</v>
      </c>
      <c r="AR65">
        <f>IF(AND(ISNUMBER(AQ65),逐级计算!$X$43&gt;-1),IF(逐级计算!$X$43=0,AQ65+逐级计算!$C$43,AQ65+逐级计算!$C$43-(10/(逐级计算!$Q$43*LN(10))*(MAX((LN(10^(逐级计算!$Q$43/10)-1)+逐级计算!$Q$43*(AQ65-逐级计算!$P$43)*LN(10)/10),0)+LN(1+EXP(-ABS((LN(10^(逐级计算!$Q$43/10)-1)+逐级计算!$Q$43*(AQ65-逐级计算!$P$43)*LN(10)/10))))))),"")</f>
        <v>13.7930365742089</v>
      </c>
      <c r="AS65">
        <f>IF(AND(ISNUMBER(AR65),逐级计算!$X$44&gt;-1),IF(逐级计算!$X$44=0,AR65+逐级计算!$C$44,AR65+逐级计算!$C$44-(10/(逐级计算!$Q$44*LN(10))*(MAX((LN(10^(逐级计算!$Q$44/10)-1)+逐级计算!$Q$44*(AR65-逐级计算!$P$44)*LN(10)/10),0)+LN(1+EXP(-ABS((LN(10^(逐级计算!$Q$44/10)-1)+逐级计算!$Q$44*(AR65-逐级计算!$P$44)*LN(10)/10))))))),"")</f>
        <v>13.7930365742089</v>
      </c>
      <c r="AT65">
        <f>IF(AND(ISNUMBER(AS65),逐级计算!$X$45&gt;-1),IF(逐级计算!$X$45=0,AS65+逐级计算!$C$45,AS65+逐级计算!$C$45-(10/(逐级计算!$Q$45*LN(10))*(MAX((LN(10^(逐级计算!$Q$45/10)-1)+逐级计算!$Q$45*(AS65-逐级计算!$P$45)*LN(10)/10),0)+LN(1+EXP(-ABS((LN(10^(逐级计算!$Q$45/10)-1)+逐级计算!$Q$45*(AS65-逐级计算!$P$45)*LN(10)/10))))))),"")</f>
        <v>13.7930365742089</v>
      </c>
      <c r="AU65">
        <f>IF(AND(ISNUMBER(AT65),逐级计算!$X$46&gt;-1),IF(逐级计算!$X$46=0,AT65+逐级计算!$C$46,AT65+逐级计算!$C$46-(10/(逐级计算!$Q$46*LN(10))*(MAX((LN(10^(逐级计算!$Q$46/10)-1)+逐级计算!$Q$46*(AT65-逐级计算!$P$46)*LN(10)/10),0)+LN(1+EXP(-ABS((LN(10^(逐级计算!$Q$46/10)-1)+逐级计算!$Q$46*(AT65-逐级计算!$P$46)*LN(10)/10))))))),"")</f>
        <v>13.7930365742089</v>
      </c>
      <c r="AV65">
        <f>IF(AND(ISNUMBER(AU65),逐级计算!$X$47&gt;-1),IF(逐级计算!$X$47=0,AU65+逐级计算!$C$47,AU65+逐级计算!$C$47-(10/(逐级计算!$Q$47*LN(10))*(MAX((LN(10^(逐级计算!$Q$47/10)-1)+逐级计算!$Q$47*(AU65-逐级计算!$P$47)*LN(10)/10),0)+LN(1+EXP(-ABS((LN(10^(逐级计算!$Q$47/10)-1)+逐级计算!$Q$47*(AU65-逐级计算!$P$47)*LN(10)/10))))))),"")</f>
        <v>13.7930365742089</v>
      </c>
      <c r="AW65">
        <f>IF(AND(ISNUMBER(AV65),逐级计算!$X$48&gt;-1),IF(逐级计算!$X$48=0,AV65+逐级计算!$C$48,AV65+逐级计算!$C$48-(10/(逐级计算!$Q$48*LN(10))*(MAX((LN(10^(逐级计算!$Q$48/10)-1)+逐级计算!$Q$48*(AV65-逐级计算!$P$48)*LN(10)/10),0)+LN(1+EXP(-ABS((LN(10^(逐级计算!$Q$48/10)-1)+逐级计算!$Q$48*(AV65-逐级计算!$P$48)*LN(10)/10))))))),"")</f>
        <v>13.7930365742089</v>
      </c>
      <c r="AX65">
        <f>IF(AND(ISNUMBER(AW65),逐级计算!$X$49&gt;-1),IF(逐级计算!$X$49=0,AW65+逐级计算!$C$49,AW65+逐级计算!$C$49-(10/(逐级计算!$Q$49*LN(10))*(MAX((LN(10^(逐级计算!$Q$49/10)-1)+逐级计算!$Q$49*(AW65-逐级计算!$P$49)*LN(10)/10),0)+LN(1+EXP(-ABS((LN(10^(逐级计算!$Q$49/10)-1)+逐级计算!$Q$49*(AW65-逐级计算!$P$49)*LN(10)/10))))))),"")</f>
        <v>13.7930365742089</v>
      </c>
      <c r="AY65">
        <f>IF(AND(ISNUMBER(AX65),逐级计算!$X$50&gt;-1),IF(逐级计算!$X$50=0,AX65+逐级计算!$C$50,AX65+逐级计算!$C$50-(10/(逐级计算!$Q$50*LN(10))*(MAX((LN(10^(逐级计算!$Q$50/10)-1)+逐级计算!$Q$50*(AX65-逐级计算!$P$50)*LN(10)/10),0)+LN(1+EXP(-ABS((LN(10^(逐级计算!$Q$50/10)-1)+逐级计算!$Q$50*(AX65-逐级计算!$P$50)*LN(10)/10))))))),"")</f>
        <v>13.7930365742089</v>
      </c>
      <c r="AZ65">
        <f>IF(AND(ISNUMBER(AY65),逐级计算!$X$51&gt;-1),IF(逐级计算!$X$51=0,AY65+逐级计算!$C$51,AY65+逐级计算!$C$51-(10/(逐级计算!$Q$51*LN(10))*(MAX((LN(10^(逐级计算!$Q$51/10)-1)+逐级计算!$Q$51*(AY65-逐级计算!$P$51)*LN(10)/10),0)+LN(1+EXP(-ABS((LN(10^(逐级计算!$Q$51/10)-1)+逐级计算!$Q$51*(AY65-逐级计算!$P$51)*LN(10)/10))))))),"")</f>
        <v>13.7930365742089</v>
      </c>
      <c r="BA65">
        <f>IF(AND(ISNUMBER(AZ65),逐级计算!$X$52&gt;-1),IF(逐级计算!$X$52=0,AZ65+逐级计算!$C$52,AZ65+逐级计算!$C$52-(10/(逐级计算!$Q$52*LN(10))*(MAX((LN(10^(逐级计算!$Q$52/10)-1)+逐级计算!$Q$52*(AZ65-逐级计算!$P$52)*LN(10)/10),0)+LN(1+EXP(-ABS((LN(10^(逐级计算!$Q$52/10)-1)+逐级计算!$Q$52*(AZ65-逐级计算!$P$52)*LN(10)/10))))))),"")</f>
        <v>13.7930365742089</v>
      </c>
      <c r="BB65">
        <f>IF(AND(ISNUMBER(BA65),逐级计算!$X$53&gt;-1),IF(逐级计算!$X$53=0,BA65+逐级计算!$C$53,BA65+逐级计算!$C$53-(10/(逐级计算!$Q$53*LN(10))*(MAX((LN(10^(逐级计算!$Q$53/10)-1)+逐级计算!$Q$53*(BA65-逐级计算!$P$53)*LN(10)/10),0)+LN(1+EXP(-ABS((LN(10^(逐级计算!$Q$53/10)-1)+逐级计算!$Q$53*(BA65-逐级计算!$P$53)*LN(10)/10))))))),"")</f>
        <v>13.7930365742089</v>
      </c>
      <c r="BC65">
        <f>IF(AND(ISNUMBER(BB65),逐级计算!$X$54&gt;-1),IF(逐级计算!$X$54=0,BB65+逐级计算!$C$54,BB65+逐级计算!$C$54-(10/(逐级计算!$Q$54*LN(10))*(MAX((LN(10^(逐级计算!$Q$54/10)-1)+逐级计算!$Q$54*(BB65-逐级计算!$P$54)*LN(10)/10),0)+LN(1+EXP(-ABS((LN(10^(逐级计算!$Q$54/10)-1)+逐级计算!$Q$54*(BB65-逐级计算!$P$54)*LN(10)/10))))))),"")</f>
        <v>13.7930365742089</v>
      </c>
      <c r="BD65">
        <f>IF(AND(ISNUMBER(BC65),逐级计算!$X$55&gt;-1),IF(逐级计算!$X$55=0,BC65+逐级计算!$C$55,BC65+逐级计算!$C$55-(10/(逐级计算!$Q$55*LN(10))*(MAX((LN(10^(逐级计算!$Q$55/10)-1)+逐级计算!$Q$55*(BC65-逐级计算!$P$55)*LN(10)/10),0)+LN(1+EXP(-ABS((LN(10^(逐级计算!$Q$55/10)-1)+逐级计算!$Q$55*(BC65-逐级计算!$P$55)*LN(10)/10))))))),"")</f>
        <v>13.7930365742089</v>
      </c>
      <c r="BE65">
        <f>IF(AND(ISNUMBER(BD65),逐级计算!$X$56&gt;-1),IF(逐级计算!$X$56=0,BD65+逐级计算!$C$56,BD65+逐级计算!$C$56-(10/(逐级计算!$Q$56*LN(10))*(MAX((LN(10^(逐级计算!$Q$56/10)-1)+逐级计算!$Q$56*(BD65-逐级计算!$P$56)*LN(10)/10),0)+LN(1+EXP(-ABS((LN(10^(逐级计算!$Q$56/10)-1)+逐级计算!$Q$56*(BD65-逐级计算!$P$56)*LN(10)/10))))))),"")</f>
        <v>13.7930365742089</v>
      </c>
      <c r="BF65">
        <f>IF(AND(ISNUMBER(BE65),逐级计算!$X$57&gt;-1),IF(逐级计算!$X$57=0,BE65+逐级计算!$C$57,BE65+逐级计算!$C$57-(10/(逐级计算!$Q$57*LN(10))*(MAX((LN(10^(逐级计算!$Q$57/10)-1)+逐级计算!$Q$57*(BE65-逐级计算!$P$57)*LN(10)/10),0)+LN(1+EXP(-ABS((LN(10^(逐级计算!$Q$57/10)-1)+逐级计算!$Q$57*(BE65-逐级计算!$P$57)*LN(10)/10))))))),"")</f>
        <v>13.7930365742089</v>
      </c>
      <c r="BG65">
        <f>IF(AND(ISNUMBER(BF65),逐级计算!$X$58&gt;-1),IF(逐级计算!$X$58=0,BF65+逐级计算!$C$58,BF65+逐级计算!$C$58-(10/(逐级计算!$Q$58*LN(10))*(MAX((LN(10^(逐级计算!$Q$58/10)-1)+逐级计算!$Q$58*(BF65-逐级计算!$P$58)*LN(10)/10),0)+LN(1+EXP(-ABS((LN(10^(逐级计算!$Q$58/10)-1)+逐级计算!$Q$58*(BF65-逐级计算!$P$58)*LN(10)/10))))))),"")</f>
        <v>13.7930365742089</v>
      </c>
      <c r="BH65">
        <f>IF(AND(ISNUMBER(BG65),逐级计算!$X$59&gt;-1),IF(逐级计算!$X$59=0,BG65+逐级计算!$C$59,BG65+逐级计算!$C$59-(10/(逐级计算!$Q$59*LN(10))*(MAX((LN(10^(逐级计算!$Q$59/10)-1)+逐级计算!$Q$59*(BG65-逐级计算!$P$59)*LN(10)/10),0)+LN(1+EXP(-ABS((LN(10^(逐级计算!$Q$59/10)-1)+逐级计算!$Q$59*(BG65-逐级计算!$P$59)*LN(10)/10))))))),"")</f>
        <v>13.7930365742089</v>
      </c>
      <c r="BI65">
        <f>IF(AND(ISNUMBER(BH65),逐级计算!$X$60&gt;-1),IF(逐级计算!$X$60=0,BH65+逐级计算!$C$60,BH65+逐级计算!$C$60-(10/(逐级计算!$Q$60*LN(10))*(MAX((LN(10^(逐级计算!$Q$60/10)-1)+逐级计算!$Q$60*(BH65-逐级计算!$P$60)*LN(10)/10),0)+LN(1+EXP(-ABS((LN(10^(逐级计算!$Q$60/10)-1)+逐级计算!$Q$60*(BH65-逐级计算!$P$60)*LN(10)/10))))))),"")</f>
        <v>13.7930365742089</v>
      </c>
      <c r="BJ65">
        <f>IF(AND(ISNUMBER(BI65),逐级计算!$X$61&gt;-1),IF(逐级计算!$X$61=0,BI65+逐级计算!$C$61,BI65+逐级计算!$C$61-(10/(逐级计算!$Q$61*LN(10))*(MAX((LN(10^(逐级计算!$Q$61/10)-1)+逐级计算!$Q$61*(BI65-逐级计算!$P$61)*LN(10)/10),0)+LN(1+EXP(-ABS((LN(10^(逐级计算!$Q$61/10)-1)+逐级计算!$Q$61*(BI65-逐级计算!$P$61)*LN(10)/10))))))),"")</f>
        <v>13.7930365742089</v>
      </c>
      <c r="BK65">
        <f>IF(AND(ISNUMBER(BJ65),逐级计算!$X$62&gt;-1),IF(逐级计算!$X$62=0,BJ65+逐级计算!$C$62,BJ65+逐级计算!$C$62-(10/(逐级计算!$Q$62*LN(10))*(MAX((LN(10^(逐级计算!$Q$62/10)-1)+逐级计算!$Q$62*(BJ65-逐级计算!$P$62)*LN(10)/10),0)+LN(1+EXP(-ABS((LN(10^(逐级计算!$Q$62/10)-1)+逐级计算!$Q$62*(BJ65-逐级计算!$P$62)*LN(10)/10))))))),"")</f>
        <v>13.7930365742089</v>
      </c>
      <c r="BL65">
        <f>IF(AND(ISNUMBER(BK65),逐级计算!$X$63&gt;-1),IF(逐级计算!$X$63=0,BK65+逐级计算!$C$63,BK65+逐级计算!$C$63-(10/(逐级计算!$Q$63*LN(10))*(MAX((LN(10^(逐级计算!$Q$63/10)-1)+逐级计算!$Q$63*(BK65-逐级计算!$P$63)*LN(10)/10),0)+LN(1+EXP(-ABS((LN(10^(逐级计算!$Q$63/10)-1)+逐级计算!$Q$63*(BK65-逐级计算!$P$63)*LN(10)/10))))))),"")</f>
        <v>13.7930365742089</v>
      </c>
      <c r="BM65">
        <f>IF(AND(ISNUMBER(BL65),逐级计算!$X$64&gt;-1),IF(逐级计算!$X$64=0,BL65+逐级计算!$C$64,BL65+逐级计算!$C$64-(10/(逐级计算!$Q$64*LN(10))*(MAX((LN(10^(逐级计算!$Q$64/10)-1)+逐级计算!$Q$64*(BL65-逐级计算!$P$64)*LN(10)/10),0)+LN(1+EXP(-ABS((LN(10^(逐级计算!$Q$64/10)-1)+逐级计算!$Q$64*(BL65-逐级计算!$P$64)*LN(10)/10))))))),"")</f>
        <v>13.7930365742089</v>
      </c>
      <c r="BN65">
        <f>IF(AND(ISNUMBER(BM65),逐级计算!$X$65&gt;-1),IF(逐级计算!$X$65=0,BM65+逐级计算!$C$65,BM65+逐级计算!$C$65-(10/(逐级计算!$Q$65*LN(10))*(MAX((LN(10^(逐级计算!$Q$65/10)-1)+逐级计算!$Q$65*(BM65-逐级计算!$P$65)*LN(10)/10),0)+LN(1+EXP(-ABS((LN(10^(逐级计算!$Q$65/10)-1)+逐级计算!$Q$65*(BM65-逐级计算!$P$65)*LN(10)/10))))))),"")</f>
        <v>13.7930365742089</v>
      </c>
      <c r="BO65">
        <f>IF(AND(ISNUMBER(BN65),逐级计算!$X$66&gt;-1),IF(逐级计算!$X$66=0,BN65+逐级计算!$C$66,BN65+逐级计算!$C$66-(10/(逐级计算!$Q$66*LN(10))*(MAX((LN(10^(逐级计算!$Q$66/10)-1)+逐级计算!$Q$66*(BN65-逐级计算!$P$66)*LN(10)/10),0)+LN(1+EXP(-ABS((LN(10^(逐级计算!$Q$66/10)-1)+逐级计算!$Q$66*(BN65-逐级计算!$P$66)*LN(10)/10))))))),"")</f>
        <v>13.7930365742089</v>
      </c>
      <c r="BP65">
        <f>IF(AND(ISNUMBER(BO65),逐级计算!$X$67&gt;-1),IF(逐级计算!$X$67=0,BO65+逐级计算!$C$67,BO65+逐级计算!$C$67-(10/(逐级计算!$Q$67*LN(10))*(MAX((LN(10^(逐级计算!$Q$67/10)-1)+逐级计算!$Q$67*(BO65-逐级计算!$P$67)*LN(10)/10),0)+LN(1+EXP(-ABS((LN(10^(逐级计算!$Q$67/10)-1)+逐级计算!$Q$67*(BO65-逐级计算!$P$67)*LN(10)/10))))))),"")</f>
        <v>13.7930365742089</v>
      </c>
      <c r="BQ65">
        <f>IF(AND(ISNUMBER(BP65),逐级计算!$X$68&gt;-1),IF(逐级计算!$X$68=0,BP65+逐级计算!$C$68,BP65+逐级计算!$C$68-(10/(逐级计算!$Q$68*LN(10))*(MAX((LN(10^(逐级计算!$Q$68/10)-1)+逐级计算!$Q$68*(BP65-逐级计算!$P$68)*LN(10)/10),0)+LN(1+EXP(-ABS((LN(10^(逐级计算!$Q$68/10)-1)+逐级计算!$Q$68*(BP65-逐级计算!$P$68)*LN(10)/10))))))),"")</f>
        <v>13.7930365742089</v>
      </c>
      <c r="BR65">
        <f>IF(AND(ISNUMBER(BQ65),逐级计算!$X$69&gt;-1),IF(逐级计算!$X$69=0,BQ65+逐级计算!$C$69,BQ65+逐级计算!$C$69-(10/(逐级计算!$Q$69*LN(10))*(MAX((LN(10^(逐级计算!$Q$69/10)-1)+逐级计算!$Q$69*(BQ65-逐级计算!$P$69)*LN(10)/10),0)+LN(1+EXP(-ABS((LN(10^(逐级计算!$Q$69/10)-1)+逐级计算!$Q$69*(BQ65-逐级计算!$P$69)*LN(10)/10))))))),"")</f>
        <v>13.7930365742089</v>
      </c>
      <c r="BS65">
        <f>IF(AND(ISNUMBER(BR65),逐级计算!$X$70&gt;-1),IF(逐级计算!$X$70=0,BR65+逐级计算!$C$70,BR65+逐级计算!$C$70-(10/(逐级计算!$Q$70*LN(10))*(MAX((LN(10^(逐级计算!$Q$70/10)-1)+逐级计算!$Q$70*(BR65-逐级计算!$P$70)*LN(10)/10),0)+LN(1+EXP(-ABS((LN(10^(逐级计算!$Q$70/10)-1)+逐级计算!$Q$70*(BR65-逐级计算!$P$70)*LN(10)/10))))))),"")</f>
        <v>13.7930365742089</v>
      </c>
      <c r="BT65">
        <f>IF(AND(ISNUMBER(BS65),逐级计算!$X$71&gt;-1),IF(逐级计算!$X$71=0,BS65+逐级计算!$C$71,BS65+逐级计算!$C$71-(10/(逐级计算!$Q$71*LN(10))*(MAX((LN(10^(逐级计算!$Q$71/10)-1)+逐级计算!$Q$71*(BS65-逐级计算!$P$71)*LN(10)/10),0)+LN(1+EXP(-ABS((LN(10^(逐级计算!$Q$71/10)-1)+逐级计算!$Q$71*(BS65-逐级计算!$P$71)*LN(10)/10))))))),"")</f>
        <v>13.7930365742089</v>
      </c>
      <c r="BU65">
        <f>IF(AND(ISNUMBER(BT65),逐级计算!$X$72&gt;-1),IF(逐级计算!$X$72=0,BT65+逐级计算!$C$72,BT65+逐级计算!$C$72-(10/(逐级计算!$Q$72*LN(10))*(MAX((LN(10^(逐级计算!$Q$72/10)-1)+逐级计算!$Q$72*(BT65-逐级计算!$P$72)*LN(10)/10),0)+LN(1+EXP(-ABS((LN(10^(逐级计算!$Q$72/10)-1)+逐级计算!$Q$72*(BT65-逐级计算!$P$72)*LN(10)/10))))))),"")</f>
        <v>13.7930365742089</v>
      </c>
      <c r="BV65">
        <f>IF(AND(ISNUMBER(BU65),逐级计算!$X$73&gt;-1),IF(逐级计算!$X$73=0,BU65+逐级计算!$C$73,BU65+逐级计算!$C$73-(10/(逐级计算!$Q$73*LN(10))*(MAX((LN(10^(逐级计算!$Q$73/10)-1)+逐级计算!$Q$73*(BU65-逐级计算!$P$73)*LN(10)/10),0)+LN(1+EXP(-ABS((LN(10^(逐级计算!$Q$73/10)-1)+逐级计算!$Q$73*(BU65-逐级计算!$P$73)*LN(10)/10))))))),"")</f>
        <v>13.7930365742089</v>
      </c>
      <c r="BW65">
        <f>IF(AND(ISNUMBER(BV65),逐级计算!$X$74&gt;-1),IF(逐级计算!$X$74=0,BV65+逐级计算!$C$74,BV65+逐级计算!$C$74-(10/(逐级计算!$Q$74*LN(10))*(MAX((LN(10^(逐级计算!$Q$74/10)-1)+逐级计算!$Q$74*(BV65-逐级计算!$P$74)*LN(10)/10),0)+LN(1+EXP(-ABS((LN(10^(逐级计算!$Q$74/10)-1)+逐级计算!$Q$74*(BV65-逐级计算!$P$74)*LN(10)/10))))))),"")</f>
        <v>13.7930365742089</v>
      </c>
      <c r="BX65">
        <f>IF(AND(ISNUMBER(BW65),逐级计算!$X$75&gt;-1),IF(逐级计算!$X$75=0,BW65+逐级计算!$C$75,BW65+逐级计算!$C$75-(10/(逐级计算!$Q$75*LN(10))*(MAX((LN(10^(逐级计算!$Q$75/10)-1)+逐级计算!$Q$75*(BW65-逐级计算!$P$75)*LN(10)/10),0)+LN(1+EXP(-ABS((LN(10^(逐级计算!$Q$75/10)-1)+逐级计算!$Q$75*(BW65-逐级计算!$P$75)*LN(10)/10))))))),"")</f>
        <v>13.7930365742089</v>
      </c>
      <c r="BY65">
        <f>IF(AND(ISNUMBER(BX65),逐级计算!$X$76&gt;-1),IF(逐级计算!$X$76=0,BX65+逐级计算!$C$76,BX65+逐级计算!$C$76-(10/(逐级计算!$Q$76*LN(10))*(MAX((LN(10^(逐级计算!$Q$76/10)-1)+逐级计算!$Q$76*(BX65-逐级计算!$P$76)*LN(10)/10),0)+LN(1+EXP(-ABS((LN(10^(逐级计算!$Q$76/10)-1)+逐级计算!$Q$76*(BX65-逐级计算!$P$76)*LN(10)/10))))))),"")</f>
        <v>13.7930365742089</v>
      </c>
      <c r="BZ65">
        <f>IF(AND(ISNUMBER(BY65),逐级计算!$X$77&gt;-1),IF(逐级计算!$X$77=0,BY65+逐级计算!$C$77,BY65+逐级计算!$C$77-(10/(逐级计算!$Q$77*LN(10))*(MAX((LN(10^(逐级计算!$Q$77/10)-1)+逐级计算!$Q$77*(BY65-逐级计算!$P$77)*LN(10)/10),0)+LN(1+EXP(-ABS((LN(10^(逐级计算!$Q$77/10)-1)+逐级计算!$Q$77*(BY65-逐级计算!$P$77)*LN(10)/10))))))),"")</f>
        <v>13.7930365742089</v>
      </c>
      <c r="CA65">
        <f>IF(AND(ISNUMBER(BZ65),逐级计算!$X$78&gt;-1),IF(逐级计算!$X$78=0,BZ65+逐级计算!$C$78,BZ65+逐级计算!$C$78-(10/(逐级计算!$Q$78*LN(10))*(MAX((LN(10^(逐级计算!$Q$78/10)-1)+逐级计算!$Q$78*(BZ65-逐级计算!$P$78)*LN(10)/10),0)+LN(1+EXP(-ABS((LN(10^(逐级计算!$Q$78/10)-1)+逐级计算!$Q$78*(BZ65-逐级计算!$P$78)*LN(10)/10))))))),"")</f>
        <v>13.7930365742089</v>
      </c>
      <c r="CB65">
        <f>IF(AND(ISNUMBER(CA65),逐级计算!$X$79&gt;-1),IF(逐级计算!$X$79=0,CA65+逐级计算!$C$79,CA65+逐级计算!$C$79-(10/(逐级计算!$Q$79*LN(10))*(MAX((LN(10^(逐级计算!$Q$79/10)-1)+逐级计算!$Q$79*(CA65-逐级计算!$P$79)*LN(10)/10),0)+LN(1+EXP(-ABS((LN(10^(逐级计算!$Q$79/10)-1)+逐级计算!$Q$79*(CA65-逐级计算!$P$79)*LN(10)/10))))))),"")</f>
        <v>13.7930365742089</v>
      </c>
      <c r="CC65">
        <f>IF(AND(ISNUMBER(CB65),逐级计算!$X$80&gt;-1),IF(逐级计算!$X$80=0,CB65+逐级计算!$C$80,CB65+逐级计算!$C$80-(10/(逐级计算!$Q$80*LN(10))*(MAX((LN(10^(逐级计算!$Q$80/10)-1)+逐级计算!$Q$80*(CB65-逐级计算!$P$80)*LN(10)/10),0)+LN(1+EXP(-ABS((LN(10^(逐级计算!$Q$80/10)-1)+逐级计算!$Q$80*(CB65-逐级计算!$P$80)*LN(10)/10))))))),"")</f>
        <v>13.7930365742089</v>
      </c>
      <c r="CD65">
        <f>IF(AND(ISNUMBER(CC65),逐级计算!$X$81&gt;-1),IF(逐级计算!$X$81=0,CC65+逐级计算!$C$81,CC65+逐级计算!$C$81-(10/(逐级计算!$Q$81*LN(10))*(MAX((LN(10^(逐级计算!$Q$81/10)-1)+逐级计算!$Q$81*(CC65-逐级计算!$P$81)*LN(10)/10),0)+LN(1+EXP(-ABS((LN(10^(逐级计算!$Q$81/10)-1)+逐级计算!$Q$81*(CC65-逐级计算!$P$81)*LN(10)/10))))))),"")</f>
        <v>13.7930365742089</v>
      </c>
      <c r="CE65">
        <f>IF(AND(ISNUMBER(CD65),逐级计算!$X$82&gt;-1),IF(逐级计算!$X$82=0,CD65+逐级计算!$C$82,CD65+逐级计算!$C$82-(10/(逐级计算!$Q$82*LN(10))*(MAX((LN(10^(逐级计算!$Q$82/10)-1)+逐级计算!$Q$82*(CD65-逐级计算!$P$82)*LN(10)/10),0)+LN(1+EXP(-ABS((LN(10^(逐级计算!$Q$82/10)-1)+逐级计算!$Q$82*(CD65-逐级计算!$P$82)*LN(10)/10))))))),"")</f>
        <v>13.7930365742089</v>
      </c>
      <c r="CF65">
        <f>IF(AND(ISNUMBER(CE65),逐级计算!$X$83&gt;-1),IF(逐级计算!$X$83=0,CE65+逐级计算!$C$83,CE65+逐级计算!$C$83-(10/(逐级计算!$Q$83*LN(10))*(MAX((LN(10^(逐级计算!$Q$83/10)-1)+逐级计算!$Q$83*(CE65-逐级计算!$P$83)*LN(10)/10),0)+LN(1+EXP(-ABS((LN(10^(逐级计算!$Q$83/10)-1)+逐级计算!$Q$83*(CE65-逐级计算!$P$83)*LN(10)/10))))))),"")</f>
        <v>13.7930365742089</v>
      </c>
      <c r="CG65">
        <f>IF(AND(ISNUMBER(CF65),逐级计算!$X$84&gt;-1),IF(逐级计算!$X$84=0,CF65+逐级计算!$C$84,CF65+逐级计算!$C$84-(10/(逐级计算!$Q$84*LN(10))*(MAX((LN(10^(逐级计算!$Q$84/10)-1)+逐级计算!$Q$84*(CF65-逐级计算!$P$84)*LN(10)/10),0)+LN(1+EXP(-ABS((LN(10^(逐级计算!$Q$84/10)-1)+逐级计算!$Q$84*(CF65-逐级计算!$P$84)*LN(10)/10))))))),"")</f>
        <v>13.7930365742089</v>
      </c>
      <c r="CH65">
        <f>IF(AND(ISNUMBER(CG65),逐级计算!$X$85&gt;-1),IF(逐级计算!$X$85=0,CG65+逐级计算!$C$85,CG65+逐级计算!$C$85-(10/(逐级计算!$Q$85*LN(10))*(MAX((LN(10^(逐级计算!$Q$85/10)-1)+逐级计算!$Q$85*(CG65-逐级计算!$P$85)*LN(10)/10),0)+LN(1+EXP(-ABS((LN(10^(逐级计算!$Q$85/10)-1)+逐级计算!$Q$85*(CG65-逐级计算!$P$85)*LN(10)/10))))))),"")</f>
        <v>13.7930365742089</v>
      </c>
      <c r="CI65">
        <f>IF(AND(ISNUMBER(CH65),逐级计算!$X$86&gt;-1),IF(逐级计算!$X$86=0,CH65+逐级计算!$C$86,CH65+逐级计算!$C$86-(10/(逐级计算!$Q$86*LN(10))*(MAX((LN(10^(逐级计算!$Q$86/10)-1)+逐级计算!$Q$86*(CH65-逐级计算!$P$86)*LN(10)/10),0)+LN(1+EXP(-ABS((LN(10^(逐级计算!$Q$86/10)-1)+逐级计算!$Q$86*(CH65-逐级计算!$P$86)*LN(10)/10))))))),"")</f>
        <v>13.7930365742089</v>
      </c>
      <c r="CJ65">
        <f>IF(AND(ISNUMBER(CI65),逐级计算!$X$87&gt;-1),IF(逐级计算!$X$87=0,CI65+逐级计算!$C$87,CI65+逐级计算!$C$87-(10/(逐级计算!$Q$87*LN(10))*(MAX((LN(10^(逐级计算!$Q$87/10)-1)+逐级计算!$Q$87*(CI65-逐级计算!$P$87)*LN(10)/10),0)+LN(1+EXP(-ABS((LN(10^(逐级计算!$Q$87/10)-1)+逐级计算!$Q$87*(CI65-逐级计算!$P$87)*LN(10)/10))))))),"")</f>
        <v>13.7930365742089</v>
      </c>
      <c r="CK65">
        <f>IF(AND(ISNUMBER(CJ65),逐级计算!$X$88&gt;-1),IF(逐级计算!$X$88=0,CJ65+逐级计算!$C$88,CJ65+逐级计算!$C$88-(10/(逐级计算!$Q$88*LN(10))*(MAX((LN(10^(逐级计算!$Q$88/10)-1)+逐级计算!$Q$88*(CJ65-逐级计算!$P$88)*LN(10)/10),0)+LN(1+EXP(-ABS((LN(10^(逐级计算!$Q$88/10)-1)+逐级计算!$Q$88*(CJ65-逐级计算!$P$88)*LN(10)/10))))))),"")</f>
        <v>13.7930365742089</v>
      </c>
      <c r="CL65">
        <f>IF(AND(ISNUMBER(CK65),逐级计算!$X$89&gt;-1),IF(逐级计算!$X$89=0,CK65+逐级计算!$C$89,CK65+逐级计算!$C$89-(10/(逐级计算!$Q$89*LN(10))*(MAX((LN(10^(逐级计算!$Q$89/10)-1)+逐级计算!$Q$89*(CK65-逐级计算!$P$89)*LN(10)/10),0)+LN(1+EXP(-ABS((LN(10^(逐级计算!$Q$89/10)-1)+逐级计算!$Q$89*(CK65-逐级计算!$P$89)*LN(10)/10))))))),"")</f>
        <v>13.7930365742089</v>
      </c>
      <c r="CM65">
        <f>IF(AND(ISNUMBER(CL65),逐级计算!$X$90&gt;-1),IF(逐级计算!$X$90=0,CL65+逐级计算!$C$90,CL65+逐级计算!$C$90-(10/(逐级计算!$Q$90*LN(10))*(MAX((LN(10^(逐级计算!$Q$90/10)-1)+逐级计算!$Q$90*(CL65-逐级计算!$P$90)*LN(10)/10),0)+LN(1+EXP(-ABS((LN(10^(逐级计算!$Q$90/10)-1)+逐级计算!$Q$90*(CL65-逐级计算!$P$90)*LN(10)/10))))))),"")</f>
        <v>13.7930365742089</v>
      </c>
      <c r="CN65">
        <f>IF(AND(ISNUMBER(CM65),逐级计算!$X$91&gt;-1),IF(逐级计算!$X$91=0,CM65+逐级计算!$C$91,CM65+逐级计算!$C$91-(10/(逐级计算!$Q$91*LN(10))*(MAX((LN(10^(逐级计算!$Q$91/10)-1)+逐级计算!$Q$91*(CM65-逐级计算!$P$91)*LN(10)/10),0)+LN(1+EXP(-ABS((LN(10^(逐级计算!$Q$91/10)-1)+逐级计算!$Q$91*(CM65-逐级计算!$P$91)*LN(10)/10))))))),"")</f>
        <v>13.7930365742089</v>
      </c>
      <c r="CO65">
        <f>IF(AND(ISNUMBER(CN65),逐级计算!$X$92&gt;-1),IF(逐级计算!$X$92=0,CN65+逐级计算!$C$92,CN65+逐级计算!$C$92-(10/(逐级计算!$Q$92*LN(10))*(MAX((LN(10^(逐级计算!$Q$92/10)-1)+逐级计算!$Q$92*(CN65-逐级计算!$P$92)*LN(10)/10),0)+LN(1+EXP(-ABS((LN(10^(逐级计算!$Q$92/10)-1)+逐级计算!$Q$92*(CN65-逐级计算!$P$92)*LN(10)/10))))))),"")</f>
        <v>13.7930365742089</v>
      </c>
      <c r="CP65">
        <f>IF(AND(ISNUMBER(CO65),逐级计算!$X$93&gt;-1),IF(逐级计算!$X$93=0,CO65+逐级计算!$C$93,CO65+逐级计算!$C$93-(10/(逐级计算!$Q$93*LN(10))*(MAX((LN(10^(逐级计算!$Q$93/10)-1)+逐级计算!$Q$93*(CO65-逐级计算!$P$93)*LN(10)/10),0)+LN(1+EXP(-ABS((LN(10^(逐级计算!$Q$93/10)-1)+逐级计算!$Q$93*(CO65-逐级计算!$P$93)*LN(10)/10))))))),"")</f>
        <v>13.7930365742089</v>
      </c>
      <c r="CQ65">
        <f>IF(AND(ISNUMBER(CP65),逐级计算!$X$94&gt;-1),IF(逐级计算!$X$94=0,CP65+逐级计算!$C$94,CP65+逐级计算!$C$94-(10/(逐级计算!$Q$94*LN(10))*(MAX((LN(10^(逐级计算!$Q$94/10)-1)+逐级计算!$Q$94*(CP65-逐级计算!$P$94)*LN(10)/10),0)+LN(1+EXP(-ABS((LN(10^(逐级计算!$Q$94/10)-1)+逐级计算!$Q$94*(CP65-逐级计算!$P$94)*LN(10)/10))))))),"")</f>
        <v>13.7930365742089</v>
      </c>
      <c r="CR65">
        <f>IF(AND(ISNUMBER(CQ65),逐级计算!$X$95&gt;-1),IF(逐级计算!$X$95=0,CQ65+逐级计算!$C$95,CQ65+逐级计算!$C$95-(10/(逐级计算!$Q$95*LN(10))*(MAX((LN(10^(逐级计算!$Q$95/10)-1)+逐级计算!$Q$95*(CQ65-逐级计算!$P$95)*LN(10)/10),0)+LN(1+EXP(-ABS((LN(10^(逐级计算!$Q$95/10)-1)+逐级计算!$Q$95*(CQ65-逐级计算!$P$95)*LN(10)/10))))))),"")</f>
        <v>13.7930365742089</v>
      </c>
      <c r="CS65">
        <f>IF(AND(ISNUMBER(CR65),逐级计算!$X$96&gt;-1),IF(逐级计算!$X$96=0,CR65+逐级计算!$C$96,CR65+逐级计算!$C$96-(10/(逐级计算!$Q$96*LN(10))*(MAX((LN(10^(逐级计算!$Q$96/10)-1)+逐级计算!$Q$96*(CR65-逐级计算!$P$96)*LN(10)/10),0)+LN(1+EXP(-ABS((LN(10^(逐级计算!$Q$96/10)-1)+逐级计算!$Q$96*(CR65-逐级计算!$P$96)*LN(10)/10))))))),"")</f>
        <v>13.7930365742089</v>
      </c>
      <c r="CT65">
        <f>IF(AND(ISNUMBER(CS65),逐级计算!$X$97&gt;-1),IF(逐级计算!$X$97=0,CS65+逐级计算!$C$97,CS65+逐级计算!$C$97-(10/(逐级计算!$Q$97*LN(10))*(MAX((LN(10^(逐级计算!$Q$97/10)-1)+逐级计算!$Q$97*(CS65-逐级计算!$P$97)*LN(10)/10),0)+LN(1+EXP(-ABS((LN(10^(逐级计算!$Q$97/10)-1)+逐级计算!$Q$97*(CS65-逐级计算!$P$97)*LN(10)/10))))))),"")</f>
        <v>13.7930365742089</v>
      </c>
      <c r="CU65">
        <f>IF(AND(ISNUMBER(CT65),逐级计算!$X$98&gt;-1),IF(逐级计算!$X$98=0,CT65+逐级计算!$C$98,CT65+逐级计算!$C$98-(10/(逐级计算!$Q$98*LN(10))*(MAX((LN(10^(逐级计算!$Q$98/10)-1)+逐级计算!$Q$98*(CT65-逐级计算!$P$98)*LN(10)/10),0)+LN(1+EXP(-ABS((LN(10^(逐级计算!$Q$98/10)-1)+逐级计算!$Q$98*(CT65-逐级计算!$P$98)*LN(10)/10))))))),"")</f>
        <v>13.7930365742089</v>
      </c>
      <c r="CV65">
        <f>IF(AND(ISNUMBER(CU65),逐级计算!$X$99&gt;-1),IF(逐级计算!$X$99=0,CU65+逐级计算!$C$99,CU65+逐级计算!$C$99-(10/(逐级计算!$Q$99*LN(10))*(MAX((LN(10^(逐级计算!$Q$99/10)-1)+逐级计算!$Q$99*(CU65-逐级计算!$P$99)*LN(10)/10),0)+LN(1+EXP(-ABS((LN(10^(逐级计算!$Q$99/10)-1)+逐级计算!$Q$99*(CU65-逐级计算!$P$99)*LN(10)/10))))))),"")</f>
        <v>13.7930365742089</v>
      </c>
      <c r="CW65">
        <f>IF(AND(ISNUMBER(CV65),逐级计算!$X$100&gt;-1),IF(逐级计算!$X$100=0,CV65+逐级计算!$C$100,CV65+逐级计算!$C$100-(10/(逐级计算!$Q$100*LN(10))*(MAX((LN(10^(逐级计算!$Q$100/10)-1)+逐级计算!$Q$100*(CV65-逐级计算!$P$100)*LN(10)/10),0)+LN(1+EXP(-ABS((LN(10^(逐级计算!$Q$100/10)-1)+逐级计算!$Q$100*(CV65-逐级计算!$P$100)*LN(10)/10))))))),"")</f>
        <v>13.7930365742089</v>
      </c>
      <c r="CX65">
        <f>IF(AND(ISNUMBER(CW65),逐级计算!$X$101&gt;-1),IF(逐级计算!$X$101=0,CW65+逐级计算!$C$101,CW65+逐级计算!$C$101-(10/(逐级计算!$Q$101*LN(10))*(MAX((LN(10^(逐级计算!$Q$101/10)-1)+逐级计算!$Q$101*(CW65-逐级计算!$P$101)*LN(10)/10),0)+LN(1+EXP(-ABS((LN(10^(逐级计算!$Q$101/10)-1)+逐级计算!$Q$101*(CW65-逐级计算!$P$101)*LN(10)/10))))))),"")</f>
        <v>13.7930365742089</v>
      </c>
      <c r="CY65">
        <f>IF(AND(ISNUMBER(CX65),逐级计算!$X$102&gt;-1),IF(逐级计算!$X$102=0,CX65+逐级计算!$C$102,CX65+逐级计算!$C$102-(10/(逐级计算!$Q$102*LN(10))*(MAX((LN(10^(逐级计算!$Q$102/10)-1)+逐级计算!$Q$102*(CX65-逐级计算!$P$102)*LN(10)/10),0)+LN(1+EXP(-ABS((LN(10^(逐级计算!$Q$102/10)-1)+逐级计算!$Q$102*(CX65-逐级计算!$P$102)*LN(10)/10))))))),"")</f>
        <v>13.7930365742089</v>
      </c>
      <c r="CZ65">
        <f>IF(AND(ISNUMBER(CY65),逐级计算!$X$103&gt;-1),IF(逐级计算!$X$103=0,CY65+逐级计算!$C$103,CY65+逐级计算!$C$103-(10/(逐级计算!$Q$103*LN(10))*(MAX((LN(10^(逐级计算!$Q$103/10)-1)+逐级计算!$Q$103*(CY65-逐级计算!$P$103)*LN(10)/10),0)+LN(1+EXP(-ABS((LN(10^(逐级计算!$Q$103/10)-1)+逐级计算!$Q$103*(CY65-逐级计算!$P$103)*LN(10)/10))))))),"")</f>
        <v>13.7930365742089</v>
      </c>
      <c r="DA65">
        <f>IF(AND(ISNUMBER(CZ65),逐级计算!$X$104&gt;-1),IF(逐级计算!$X$104=0,CZ65+逐级计算!$C$104,CZ65+逐级计算!$C$104-(10/(逐级计算!$Q$104*LN(10))*(MAX((LN(10^(逐级计算!$Q$104/10)-1)+逐级计算!$Q$104*(CZ65-逐级计算!$P$104)*LN(10)/10),0)+LN(1+EXP(-ABS((LN(10^(逐级计算!$Q$104/10)-1)+逐级计算!$Q$104*(CZ65-逐级计算!$P$104)*LN(10)/10))))))),"")</f>
        <v>13.7930365742089</v>
      </c>
      <c r="DB65">
        <f>IF(AND(ISNUMBER(DA65),逐级计算!$X$105&gt;-1),IF(逐级计算!$X$105=0,DA65+逐级计算!$C$105,DA65+逐级计算!$C$105-(10/(逐级计算!$Q$105*LN(10))*(MAX((LN(10^(逐级计算!$Q$105/10)-1)+逐级计算!$Q$105*(DA65-逐级计算!$P$105)*LN(10)/10),0)+LN(1+EXP(-ABS((LN(10^(逐级计算!$Q$105/10)-1)+逐级计算!$Q$105*(DA65-逐级计算!$P$105)*LN(10)/10))))))),"")</f>
        <v>13.7930365742089</v>
      </c>
      <c r="DC65">
        <f>IF(AND(ISNUMBER(DB65),逐级计算!$X$106&gt;-1),IF(逐级计算!$X$106=0,DB65+逐级计算!$C$106,DB65+逐级计算!$C$106-(10/(逐级计算!$Q$106*LN(10))*(MAX((LN(10^(逐级计算!$Q$106/10)-1)+逐级计算!$Q$106*(DB65-逐级计算!$P$106)*LN(10)/10),0)+LN(1+EXP(-ABS((LN(10^(逐级计算!$Q$106/10)-1)+逐级计算!$Q$106*(DB65-逐级计算!$P$106)*LN(10)/10))))))),"")</f>
        <v>13.7930365742089</v>
      </c>
      <c r="DD65">
        <f>IF(AND(ISNUMBER(DC65),逐级计算!$X$107&gt;-1),IF(逐级计算!$X$107=0,DC65+逐级计算!$C$107,DC65+逐级计算!$C$107-(10/(逐级计算!$Q$107*LN(10))*(MAX((LN(10^(逐级计算!$Q$107/10)-1)+逐级计算!$Q$107*(DC65-逐级计算!$P$107)*LN(10)/10),0)+LN(1+EXP(-ABS((LN(10^(逐级计算!$Q$107/10)-1)+逐级计算!$Q$107*(DC65-逐级计算!$P$107)*LN(10)/10))))))),"")</f>
        <v>13.7930365742089</v>
      </c>
      <c r="DE65">
        <f>IF(AND(ISNUMBER(DD65),逐级计算!$X$108&gt;-1),IF(逐级计算!$X$108=0,DD65+逐级计算!$C$108,DD65+逐级计算!$C$108-(10/(逐级计算!$Q$108*LN(10))*(MAX((LN(10^(逐级计算!$Q$108/10)-1)+逐级计算!$Q$108*(DD65-逐级计算!$P$108)*LN(10)/10),0)+LN(1+EXP(-ABS((LN(10^(逐级计算!$Q$108/10)-1)+逐级计算!$Q$108*(DD65-逐级计算!$P$108)*LN(10)/10))))))),"")</f>
        <v>13.7930365742089</v>
      </c>
      <c r="DF65">
        <f>IF(AND(ISNUMBER(DE65),逐级计算!$X$109&gt;-1),IF(逐级计算!$X$109=0,DE65+逐级计算!$C$109,DE65+逐级计算!$C$109-(10/(逐级计算!$Q$109*LN(10))*(MAX((LN(10^(逐级计算!$Q$109/10)-1)+逐级计算!$Q$109*(DE65-逐级计算!$P$109)*LN(10)/10),0)+LN(1+EXP(-ABS((LN(10^(逐级计算!$Q$109/10)-1)+逐级计算!$Q$109*(DE65-逐级计算!$P$109)*LN(10)/10))))))),"")</f>
        <v>13.7930365742089</v>
      </c>
      <c r="DG65">
        <f>IF(AND(ISNUMBER(DF65),逐级计算!$X$110&gt;-1),IF(逐级计算!$X$110=0,DF65+逐级计算!$C$110,DF65+逐级计算!$C$110-(10/(逐级计算!$Q$110*LN(10))*(MAX((LN(10^(逐级计算!$Q$110/10)-1)+逐级计算!$Q$110*(DF65-逐级计算!$P$110)*LN(10)/10),0)+LN(1+EXP(-ABS((LN(10^(逐级计算!$Q$110/10)-1)+逐级计算!$Q$110*(DF65-逐级计算!$P$110)*LN(10)/10))))))),"")</f>
        <v>13.7930365742089</v>
      </c>
      <c r="DH65">
        <f>IF(AND(ISNUMBER(DG65),逐级计算!$X$111&gt;-1),IF(逐级计算!$X$111=0,DG65+逐级计算!$C$111,DG65+逐级计算!$C$111-(10/(逐级计算!$Q$111*LN(10))*(MAX((LN(10^(逐级计算!$Q$111/10)-1)+逐级计算!$Q$111*(DG65-逐级计算!$P$111)*LN(10)/10),0)+LN(1+EXP(-ABS((LN(10^(逐级计算!$Q$111/10)-1)+逐级计算!$Q$111*(DG65-逐级计算!$P$111)*LN(10)/10))))))),"")</f>
        <v>13.7930365742089</v>
      </c>
      <c r="DI65">
        <f>IF(AND(ISNUMBER(DH65),逐级计算!$X$112&gt;-1),IF(逐级计算!$X$112=0,DH65+逐级计算!$C$112,DH65+逐级计算!$C$112-(10/(逐级计算!$Q$112*LN(10))*(MAX((LN(10^(逐级计算!$Q$112/10)-1)+逐级计算!$Q$112*(DH65-逐级计算!$P$112)*LN(10)/10),0)+LN(1+EXP(-ABS((LN(10^(逐级计算!$Q$112/10)-1)+逐级计算!$Q$112*(DH65-逐级计算!$P$112)*LN(10)/10))))))),"")</f>
        <v>13.7930365742089</v>
      </c>
      <c r="DJ65">
        <f>IF(AND(ISNUMBER(DI65),逐级计算!$X$113&gt;-1),IF(逐级计算!$X$113=0,DI65+逐级计算!$C$113,DI65+逐级计算!$C$113-(10/(逐级计算!$Q$113*LN(10))*(MAX((LN(10^(逐级计算!$Q$113/10)-1)+逐级计算!$Q$113*(DI65-逐级计算!$P$113)*LN(10)/10),0)+LN(1+EXP(-ABS((LN(10^(逐级计算!$Q$113/10)-1)+逐级计算!$Q$113*(DI65-逐级计算!$P$113)*LN(10)/10))))))),"")</f>
        <v>13.7930365742089</v>
      </c>
      <c r="DK65">
        <f>IF(AND(ISNUMBER(DJ65),逐级计算!$X$114&gt;-1),IF(逐级计算!$X$114=0,DJ65+逐级计算!$C$114,DJ65+逐级计算!$C$114-(10/(逐级计算!$Q$114*LN(10))*(MAX((LN(10^(逐级计算!$Q$114/10)-1)+逐级计算!$Q$114*(DJ65-逐级计算!$P$114)*LN(10)/10),0)+LN(1+EXP(-ABS((LN(10^(逐级计算!$Q$114/10)-1)+逐级计算!$Q$114*(DJ65-逐级计算!$P$114)*LN(10)/10))))))),"")</f>
        <v>13.7930365742089</v>
      </c>
      <c r="DL65">
        <f>IF(AND(ISNUMBER(DK65),逐级计算!$X$115&gt;-1),IF(逐级计算!$X$115=0,DK65+逐级计算!$C$115,DK65+逐级计算!$C$115-(10/(逐级计算!$Q$115*LN(10))*(MAX((LN(10^(逐级计算!$Q$115/10)-1)+逐级计算!$Q$115*(DK65-逐级计算!$P$115)*LN(10)/10),0)+LN(1+EXP(-ABS((LN(10^(逐级计算!$Q$115/10)-1)+逐级计算!$Q$115*(DK65-逐级计算!$P$115)*LN(10)/10))))))),"")</f>
        <v>13.7930365742089</v>
      </c>
      <c r="DM65">
        <f>IF(AND(ISNUMBER(DL65),逐级计算!$X$116&gt;-1),IF(逐级计算!$X$116=0,DL65+逐级计算!$C$116,DL65+逐级计算!$C$116-(10/(逐级计算!$Q$116*LN(10))*(MAX((LN(10^(逐级计算!$Q$116/10)-1)+逐级计算!$Q$116*(DL65-逐级计算!$P$116)*LN(10)/10),0)+LN(1+EXP(-ABS((LN(10^(逐级计算!$Q$116/10)-1)+逐级计算!$Q$116*(DL65-逐级计算!$P$116)*LN(10)/10))))))),"")</f>
        <v>13.7930365742089</v>
      </c>
      <c r="DN65">
        <f>IF(AND(ISNUMBER(DM65),逐级计算!$X$117&gt;-1),IF(逐级计算!$X$117=0,DM65+逐级计算!$C$117,DM65+逐级计算!$C$117-(10/(逐级计算!$Q$117*LN(10))*(MAX((LN(10^(逐级计算!$Q$117/10)-1)+逐级计算!$Q$117*(DM65-逐级计算!$P$117)*LN(10)/10),0)+LN(1+EXP(-ABS((LN(10^(逐级计算!$Q$117/10)-1)+逐级计算!$Q$117*(DM65-逐级计算!$P$117)*LN(10)/10))))))),"")</f>
        <v>13.7930365742089</v>
      </c>
      <c r="DO65">
        <f>IF(AND(ISNUMBER(DN65),逐级计算!$X$118&gt;-1),IF(逐级计算!$X$118=0,DN65+逐级计算!$C$118,DN65+逐级计算!$C$118-(10/(逐级计算!$Q$118*LN(10))*(MAX((LN(10^(逐级计算!$Q$118/10)-1)+逐级计算!$Q$118*(DN65-逐级计算!$P$118)*LN(10)/10),0)+LN(1+EXP(-ABS((LN(10^(逐级计算!$Q$118/10)-1)+逐级计算!$Q$118*(DN65-逐级计算!$P$118)*LN(10)/10))))))),"")</f>
        <v>13.7930365742089</v>
      </c>
      <c r="DP65">
        <f>IF(AND(ISNUMBER(DO65),逐级计算!$X$119&gt;-1),IF(逐级计算!$X$119=0,DO65+逐级计算!$C$119,DO65+逐级计算!$C$119-(10/(逐级计算!$Q$119*LN(10))*(MAX((LN(10^(逐级计算!$Q$119/10)-1)+逐级计算!$Q$119*(DO65-逐级计算!$P$119)*LN(10)/10),0)+LN(1+EXP(-ABS((LN(10^(逐级计算!$Q$119/10)-1)+逐级计算!$Q$119*(DO65-逐级计算!$P$119)*LN(10)/10))))))),"")</f>
        <v>13.7930365742089</v>
      </c>
      <c r="DQ65">
        <f>IF(AND(ISNUMBER(DP65),逐级计算!$X$120&gt;-1),IF(逐级计算!$X$120=0,DP65+逐级计算!$C$120,DP65+逐级计算!$C$120-(10/(逐级计算!$Q$120*LN(10))*(MAX((LN(10^(逐级计算!$Q$120/10)-1)+逐级计算!$Q$120*(DP65-逐级计算!$P$120)*LN(10)/10),0)+LN(1+EXP(-ABS((LN(10^(逐级计算!$Q$120/10)-1)+逐级计算!$Q$120*(DP65-逐级计算!$P$120)*LN(10)/10))))))),"")</f>
        <v>13.7930365742089</v>
      </c>
      <c r="DR65">
        <f>IF(AND(ISNUMBER(DQ65),逐级计算!$X$121&gt;-1),IF(逐级计算!$X$121=0,DQ65+逐级计算!$C$121,DQ65+逐级计算!$C$121-(10/(逐级计算!$Q$121*LN(10))*(MAX((LN(10^(逐级计算!$Q$121/10)-1)+逐级计算!$Q$121*(DQ65-逐级计算!$P$121)*LN(10)/10),0)+LN(1+EXP(-ABS((LN(10^(逐级计算!$Q$121/10)-1)+逐级计算!$Q$121*(DQ65-逐级计算!$P$121)*LN(10)/10))))))),"")</f>
        <v>13.7930365742089</v>
      </c>
      <c r="DS65">
        <f>IF(AND(ISNUMBER(DR65),逐级计算!$X$122&gt;-1),IF(逐级计算!$X$122=0,DR65+逐级计算!$C$122,DR65+逐级计算!$C$122-(10/(逐级计算!$Q$122*LN(10))*(MAX((LN(10^(逐级计算!$Q$122/10)-1)+逐级计算!$Q$122*(DR65-逐级计算!$P$122)*LN(10)/10),0)+LN(1+EXP(-ABS((LN(10^(逐级计算!$Q$122/10)-1)+逐级计算!$Q$122*(DR65-逐级计算!$P$122)*LN(10)/10))))))),"")</f>
        <v>13.7930365742089</v>
      </c>
      <c r="DT65">
        <f>IF(AND(ISNUMBER(DS65),逐级计算!$X$123&gt;-1),IF(逐级计算!$X$123=0,DS65+逐级计算!$C$123,DS65+逐级计算!$C$123-(10/(逐级计算!$Q$123*LN(10))*(MAX((LN(10^(逐级计算!$Q$123/10)-1)+逐级计算!$Q$123*(DS65-逐级计算!$P$123)*LN(10)/10),0)+LN(1+EXP(-ABS((LN(10^(逐级计算!$Q$123/10)-1)+逐级计算!$Q$123*(DS65-逐级计算!$P$123)*LN(10)/10))))))),"")</f>
        <v>13.7930365742089</v>
      </c>
      <c r="DU65">
        <f>IF(AND(ISNUMBER(DT65),逐级计算!$X$124&gt;-1),IF(逐级计算!$X$124=0,DT65+逐级计算!$C$124,DT65+逐级计算!$C$124-(10/(逐级计算!$Q$124*LN(10))*(MAX((LN(10^(逐级计算!$Q$124/10)-1)+逐级计算!$Q$124*(DT65-逐级计算!$P$124)*LN(10)/10),0)+LN(1+EXP(-ABS((LN(10^(逐级计算!$Q$124/10)-1)+逐级计算!$Q$124*(DT65-逐级计算!$P$124)*LN(10)/10))))))),"")</f>
        <v>13.7930365742089</v>
      </c>
      <c r="DV65">
        <f>IF(AND(ISNUMBER(DU65),逐级计算!$X$125&gt;-1),IF(逐级计算!$X$125=0,DU65+逐级计算!$C$125,DU65+逐级计算!$C$125-(10/(逐级计算!$Q$125*LN(10))*(MAX((LN(10^(逐级计算!$Q$125/10)-1)+逐级计算!$Q$125*(DU65-逐级计算!$P$125)*LN(10)/10),0)+LN(1+EXP(-ABS((LN(10^(逐级计算!$Q$125/10)-1)+逐级计算!$Q$125*(DU65-逐级计算!$P$125)*LN(10)/10))))))),"")</f>
        <v>13.7930365742089</v>
      </c>
      <c r="DW65">
        <f>IF(AND(ISNUMBER(DV65),逐级计算!$X$126&gt;-1),IF(逐级计算!$X$126=0,DV65+逐级计算!$C$126,DV65+逐级计算!$C$126-(10/(逐级计算!$Q$126*LN(10))*(MAX((LN(10^(逐级计算!$Q$126/10)-1)+逐级计算!$Q$126*(DV65-逐级计算!$P$126)*LN(10)/10),0)+LN(1+EXP(-ABS((LN(10^(逐级计算!$Q$126/10)-1)+逐级计算!$Q$126*(DV65-逐级计算!$P$126)*LN(10)/10))))))),"")</f>
        <v>13.7930365742089</v>
      </c>
      <c r="DX65">
        <f>IF(AND(ISNUMBER(DW65),逐级计算!$X$127&gt;-1),IF(逐级计算!$X$127=0,DW65+逐级计算!$C$127,DW65+逐级计算!$C$127-(10/(逐级计算!$Q$127*LN(10))*(MAX((LN(10^(逐级计算!$Q$127/10)-1)+逐级计算!$Q$127*(DW65-逐级计算!$P$127)*LN(10)/10),0)+LN(1+EXP(-ABS((LN(10^(逐级计算!$Q$127/10)-1)+逐级计算!$Q$127*(DW65-逐级计算!$P$127)*LN(10)/10))))))),"")</f>
        <v>13.7930365742089</v>
      </c>
      <c r="DY65">
        <f>IF(AND(ISNUMBER(DX65),逐级计算!$X$128&gt;-1),IF(逐级计算!$X$128=0,DX65+逐级计算!$C$128,DX65+逐级计算!$C$128-(10/(逐级计算!$Q$128*LN(10))*(MAX((LN(10^(逐级计算!$Q$128/10)-1)+逐级计算!$Q$128*(DX65-逐级计算!$P$128)*LN(10)/10),0)+LN(1+EXP(-ABS((LN(10^(逐级计算!$Q$128/10)-1)+逐级计算!$Q$128*(DX65-逐级计算!$P$128)*LN(10)/10))))))),"")</f>
        <v>13.7930365742089</v>
      </c>
      <c r="DZ65">
        <f>IF(AND(ISNUMBER(DY65),逐级计算!$X$129&gt;-1),IF(逐级计算!$X$129=0,DY65+逐级计算!$C$129,DY65+逐级计算!$C$129-(10/(逐级计算!$Q$129*LN(10))*(MAX((LN(10^(逐级计算!$Q$129/10)-1)+逐级计算!$Q$129*(DY65-逐级计算!$P$129)*LN(10)/10),0)+LN(1+EXP(-ABS((LN(10^(逐级计算!$Q$129/10)-1)+逐级计算!$Q$129*(DY65-逐级计算!$P$129)*LN(10)/10))))))),"")</f>
        <v>13.7930365742089</v>
      </c>
      <c r="EA65">
        <f>IF(AND(ISNUMBER(DZ65),逐级计算!$X$130&gt;-1),IF(逐级计算!$X$130=0,DZ65+逐级计算!$C$130,DZ65+逐级计算!$C$130-(10/(逐级计算!$Q$130*LN(10))*(MAX((LN(10^(逐级计算!$Q$130/10)-1)+逐级计算!$Q$130*(DZ65-逐级计算!$P$130)*LN(10)/10),0)+LN(1+EXP(-ABS((LN(10^(逐级计算!$Q$130/10)-1)+逐级计算!$Q$130*(DZ65-逐级计算!$P$130)*LN(10)/10))))))),"")</f>
        <v>13.7930365742089</v>
      </c>
      <c r="EB65">
        <f>IF(AND(ISNUMBER(EA65),逐级计算!$X$131&gt;-1),IF(逐级计算!$X$131=0,EA65+逐级计算!$C$131,EA65+逐级计算!$C$131-(10/(逐级计算!$Q$131*LN(10))*(MAX((LN(10^(逐级计算!$Q$131/10)-1)+逐级计算!$Q$131*(EA65-逐级计算!$P$131)*LN(10)/10),0)+LN(1+EXP(-ABS((LN(10^(逐级计算!$Q$131/10)-1)+逐级计算!$Q$131*(EA65-逐级计算!$P$131)*LN(10)/10))))))),"")</f>
        <v>13.7930365742089</v>
      </c>
      <c r="EC65">
        <f>IF(AND(ISNUMBER(EB65),逐级计算!$X$132&gt;-1),IF(逐级计算!$X$132=0,EB65+逐级计算!$C$132,EB65+逐级计算!$C$132-(10/(逐级计算!$Q$132*LN(10))*(MAX((LN(10^(逐级计算!$Q$132/10)-1)+逐级计算!$Q$132*(EB65-逐级计算!$P$132)*LN(10)/10),0)+LN(1+EXP(-ABS((LN(10^(逐级计算!$Q$132/10)-1)+逐级计算!$Q$132*(EB65-逐级计算!$P$132)*LN(10)/10))))))),"")</f>
        <v>13.7930365742089</v>
      </c>
      <c r="ED65">
        <f>IF(AND(ISNUMBER(EC65),逐级计算!$X$133&gt;-1),IF(逐级计算!$X$133=0,EC65+逐级计算!$C$133,EC65+逐级计算!$C$133-(10/(逐级计算!$Q$133*LN(10))*(MAX((LN(10^(逐级计算!$Q$133/10)-1)+逐级计算!$Q$133*(EC65-逐级计算!$P$133)*LN(10)/10),0)+LN(1+EXP(-ABS((LN(10^(逐级计算!$Q$133/10)-1)+逐级计算!$Q$133*(EC65-逐级计算!$P$133)*LN(10)/10))))))),"")</f>
        <v>13.7930365742089</v>
      </c>
      <c r="EE65">
        <f>IF(AND(ISNUMBER(ED65),逐级计算!$X$134&gt;-1),IF(逐级计算!$X$134=0,ED65+逐级计算!$C$134,ED65+逐级计算!$C$134-(10/(逐级计算!$Q$134*LN(10))*(MAX((LN(10^(逐级计算!$Q$134/10)-1)+逐级计算!$Q$134*(ED65-逐级计算!$P$134)*LN(10)/10),0)+LN(1+EXP(-ABS((LN(10^(逐级计算!$Q$134/10)-1)+逐级计算!$Q$134*(ED65-逐级计算!$P$134)*LN(10)/10))))))),"")</f>
        <v>13.7930365742089</v>
      </c>
      <c r="EF65">
        <f>IF(AND(ISNUMBER(EE65),逐级计算!$X$135&gt;-1),IF(逐级计算!$X$135=0,EE65+逐级计算!$C$135,EE65+逐级计算!$C$135-(10/(逐级计算!$Q$135*LN(10))*(MAX((LN(10^(逐级计算!$Q$135/10)-1)+逐级计算!$Q$135*(EE65-逐级计算!$P$135)*LN(10)/10),0)+LN(1+EXP(-ABS((LN(10^(逐级计算!$Q$135/10)-1)+逐级计算!$Q$135*(EE65-逐级计算!$P$135)*LN(10)/10))))))),"")</f>
        <v>13.7930365742089</v>
      </c>
      <c r="EG65">
        <f>IF(AND(ISNUMBER(EF65),逐级计算!$X$136&gt;-1),IF(逐级计算!$X$136=0,EF65+逐级计算!$C$136,EF65+逐级计算!$C$136-(10/(逐级计算!$Q$136*LN(10))*(MAX((LN(10^(逐级计算!$Q$136/10)-1)+逐级计算!$Q$136*(EF65-逐级计算!$P$136)*LN(10)/10),0)+LN(1+EXP(-ABS((LN(10^(逐级计算!$Q$136/10)-1)+逐级计算!$Q$136*(EF65-逐级计算!$P$136)*LN(10)/10))))))),"")</f>
        <v>13.7930365742089</v>
      </c>
      <c r="EH65">
        <f>IF(AND(ISNUMBER(EG65),逐级计算!$X$137&gt;-1),IF(逐级计算!$X$137=0,EG65+逐级计算!$C$137,EG65+逐级计算!$C$137-(10/(逐级计算!$Q$137*LN(10))*(MAX((LN(10^(逐级计算!$Q$137/10)-1)+逐级计算!$Q$137*(EG65-逐级计算!$P$137)*LN(10)/10),0)+LN(1+EXP(-ABS((LN(10^(逐级计算!$Q$137/10)-1)+逐级计算!$Q$137*(EG65-逐级计算!$P$137)*LN(10)/10))))))),"")</f>
        <v>13.7930365742089</v>
      </c>
      <c r="EI65">
        <f>IF(AND(ISNUMBER(EH65),逐级计算!$X$138&gt;-1),IF(逐级计算!$X$138=0,EH65+逐级计算!$C$138,EH65+逐级计算!$C$138-(10/(逐级计算!$Q$138*LN(10))*(MAX((LN(10^(逐级计算!$Q$138/10)-1)+逐级计算!$Q$138*(EH65-逐级计算!$P$138)*LN(10)/10),0)+LN(1+EXP(-ABS((LN(10^(逐级计算!$Q$138/10)-1)+逐级计算!$Q$138*(EH65-逐级计算!$P$138)*LN(10)/10))))))),"")</f>
        <v>13.7930365742089</v>
      </c>
      <c r="EJ65">
        <f>IF(AND(ISNUMBER(EI65),逐级计算!$X$139&gt;-1),IF(逐级计算!$X$139=0,EI65+逐级计算!$C$139,EI65+逐级计算!$C$139-(10/(逐级计算!$Q$139*LN(10))*(MAX((LN(10^(逐级计算!$Q$139/10)-1)+逐级计算!$Q$139*(EI65-逐级计算!$P$139)*LN(10)/10),0)+LN(1+EXP(-ABS((LN(10^(逐级计算!$Q$139/10)-1)+逐级计算!$Q$139*(EI65-逐级计算!$P$139)*LN(10)/10))))))),"")</f>
        <v>13.7930365742089</v>
      </c>
      <c r="EK65">
        <f>IF(AND(ISNUMBER(EJ65),逐级计算!$X$140&gt;-1),IF(逐级计算!$X$140=0,EJ65+逐级计算!$C$140,EJ65+逐级计算!$C$140-(10/(逐级计算!$Q$140*LN(10))*(MAX((LN(10^(逐级计算!$Q$140/10)-1)+逐级计算!$Q$140*(EJ65-逐级计算!$P$140)*LN(10)/10),0)+LN(1+EXP(-ABS((LN(10^(逐级计算!$Q$140/10)-1)+逐级计算!$Q$140*(EJ65-逐级计算!$P$140)*LN(10)/10))))))),"")</f>
        <v>13.7930365742089</v>
      </c>
      <c r="EL65">
        <f>IF(AND(ISNUMBER(EK65),逐级计算!$X$141&gt;-1),IF(逐级计算!$X$141=0,EK65+逐级计算!$C$141,EK65+逐级计算!$C$141-(10/(逐级计算!$Q$141*LN(10))*(MAX((LN(10^(逐级计算!$Q$141/10)-1)+逐级计算!$Q$141*(EK65-逐级计算!$P$141)*LN(10)/10),0)+LN(1+EXP(-ABS((LN(10^(逐级计算!$Q$141/10)-1)+逐级计算!$Q$141*(EK65-逐级计算!$P$141)*LN(10)/10))))))),"")</f>
        <v>13.7930365742089</v>
      </c>
      <c r="EM65">
        <f>IF(AND(ISNUMBER(EL65),逐级计算!$X$142&gt;-1),IF(逐级计算!$X$142=0,EL65+逐级计算!$C$142,EL65+逐级计算!$C$142-(10/(逐级计算!$Q$142*LN(10))*(MAX((LN(10^(逐级计算!$Q$142/10)-1)+逐级计算!$Q$142*(EL65-逐级计算!$P$142)*LN(10)/10),0)+LN(1+EXP(-ABS((LN(10^(逐级计算!$Q$142/10)-1)+逐级计算!$Q$142*(EL65-逐级计算!$P$142)*LN(10)/10))))))),"")</f>
        <v>13.7930365742089</v>
      </c>
      <c r="EN65">
        <f>IF(AND(ISNUMBER(EM65),逐级计算!$X$143&gt;-1),IF(逐级计算!$X$143=0,EM65+逐级计算!$C$143,EM65+逐级计算!$C$143-(10/(逐级计算!$Q$143*LN(10))*(MAX((LN(10^(逐级计算!$Q$143/10)-1)+逐级计算!$Q$143*(EM65-逐级计算!$P$143)*LN(10)/10),0)+LN(1+EXP(-ABS((LN(10^(逐级计算!$Q$143/10)-1)+逐级计算!$Q$143*(EM65-逐级计算!$P$143)*LN(10)/10))))))),"")</f>
        <v>13.7930365742089</v>
      </c>
      <c r="EO65">
        <f>IF(AND(ISNUMBER(EN65),逐级计算!$X$144&gt;-1),IF(逐级计算!$X$144=0,EN65+逐级计算!$C$144,EN65+逐级计算!$C$144-(10/(逐级计算!$Q$144*LN(10))*(MAX((LN(10^(逐级计算!$Q$144/10)-1)+逐级计算!$Q$144*(EN65-逐级计算!$P$144)*LN(10)/10),0)+LN(1+EXP(-ABS((LN(10^(逐级计算!$Q$144/10)-1)+逐级计算!$Q$144*(EN65-逐级计算!$P$144)*LN(10)/10))))))),"")</f>
        <v>13.7930365742089</v>
      </c>
      <c r="EP65">
        <f>IF(AND(ISNUMBER(EO65),逐级计算!$X$145&gt;-1),IF(逐级计算!$X$145=0,EO65+逐级计算!$C$145,EO65+逐级计算!$C$145-(10/(逐级计算!$Q$145*LN(10))*(MAX((LN(10^(逐级计算!$Q$145/10)-1)+逐级计算!$Q$145*(EO65-逐级计算!$P$145)*LN(10)/10),0)+LN(1+EXP(-ABS((LN(10^(逐级计算!$Q$145/10)-1)+逐级计算!$Q$145*(EO65-逐级计算!$P$145)*LN(10)/10))))))),"")</f>
        <v>13.7930365742089</v>
      </c>
      <c r="EQ65">
        <f>IF(AND(ISNUMBER(EP65),逐级计算!$X$146&gt;-1),IF(逐级计算!$X$146=0,EP65+逐级计算!$C$146,EP65+逐级计算!$C$146-(10/(逐级计算!$Q$146*LN(10))*(MAX((LN(10^(逐级计算!$Q$146/10)-1)+逐级计算!$Q$146*(EP65-逐级计算!$P$146)*LN(10)/10),0)+LN(1+EXP(-ABS((LN(10^(逐级计算!$Q$146/10)-1)+逐级计算!$Q$146*(EP65-逐级计算!$P$146)*LN(10)/10))))))),"")</f>
        <v>13.7930365742089</v>
      </c>
      <c r="ER65">
        <f>IF(AND(ISNUMBER(EQ65),逐级计算!$X$147&gt;-1),IF(逐级计算!$X$147=0,EQ65+逐级计算!$C$147,EQ65+逐级计算!$C$147-(10/(逐级计算!$Q$147*LN(10))*(MAX((LN(10^(逐级计算!$Q$147/10)-1)+逐级计算!$Q$147*(EQ65-逐级计算!$P$147)*LN(10)/10),0)+LN(1+EXP(-ABS((LN(10^(逐级计算!$Q$147/10)-1)+逐级计算!$Q$147*(EQ65-逐级计算!$P$147)*LN(10)/10))))))),"")</f>
        <v>13.7930365742089</v>
      </c>
      <c r="ES65">
        <f>IF(AND(ISNUMBER(ER65),逐级计算!$X$148&gt;-1),IF(逐级计算!$X$148=0,ER65+逐级计算!$C$148,ER65+逐级计算!$C$148-(10/(逐级计算!$Q$148*LN(10))*(MAX((LN(10^(逐级计算!$Q$148/10)-1)+逐级计算!$Q$148*(ER65-逐级计算!$P$148)*LN(10)/10),0)+LN(1+EXP(-ABS((LN(10^(逐级计算!$Q$148/10)-1)+逐级计算!$Q$148*(ER65-逐级计算!$P$148)*LN(10)/10))))))),"")</f>
        <v>13.7930365742089</v>
      </c>
      <c r="ET65">
        <f>IF(AND(ISNUMBER(ES65),逐级计算!$X$149&gt;-1),IF(逐级计算!$X$149=0,ES65+逐级计算!$C$149,ES65+逐级计算!$C$149-(10/(逐级计算!$Q$149*LN(10))*(MAX((LN(10^(逐级计算!$Q$149/10)-1)+逐级计算!$Q$149*(ES65-逐级计算!$P$149)*LN(10)/10),0)+LN(1+EXP(-ABS((LN(10^(逐级计算!$Q$149/10)-1)+逐级计算!$Q$149*(ES65-逐级计算!$P$149)*LN(10)/10))))))),"")</f>
        <v>13.7930365742089</v>
      </c>
      <c r="EU65">
        <f>IF(AND(ISNUMBER(ET65),逐级计算!$X$150&gt;-1),IF(逐级计算!$X$150=0,ET65+逐级计算!$C$150,ET65+逐级计算!$C$150-(10/(逐级计算!$Q$150*LN(10))*(MAX((LN(10^(逐级计算!$Q$150/10)-1)+逐级计算!$Q$150*(ET65-逐级计算!$P$150)*LN(10)/10),0)+LN(1+EXP(-ABS((LN(10^(逐级计算!$Q$150/10)-1)+逐级计算!$Q$150*(ET65-逐级计算!$P$150)*LN(10)/10))))))),"")</f>
        <v>13.7930365742089</v>
      </c>
      <c r="EV65">
        <f>IF(AND(ISNUMBER(EU65),逐级计算!$X$151&gt;-1),IF(逐级计算!$X$151=0,EU65+逐级计算!$C$151,EU65+逐级计算!$C$151-(10/(逐级计算!$Q$151*LN(10))*(MAX((LN(10^(逐级计算!$Q$151/10)-1)+逐级计算!$Q$151*(EU65-逐级计算!$P$151)*LN(10)/10),0)+LN(1+EXP(-ABS((LN(10^(逐级计算!$Q$151/10)-1)+逐级计算!$Q$151*(EU65-逐级计算!$P$151)*LN(10)/10))))))),"")</f>
        <v>13.7930365742089</v>
      </c>
      <c r="EW65">
        <f>IF(AND(ISNUMBER(EV65),逐级计算!$X$152&gt;-1),IF(逐级计算!$X$152=0,EV65+逐级计算!$C$152,EV65+逐级计算!$C$152-(10/(逐级计算!$Q$152*LN(10))*(MAX((LN(10^(逐级计算!$Q$152/10)-1)+逐级计算!$Q$152*(EV65-逐级计算!$P$152)*LN(10)/10),0)+LN(1+EXP(-ABS((LN(10^(逐级计算!$Q$152/10)-1)+逐级计算!$Q$152*(EV65-逐级计算!$P$152)*LN(10)/10))))))),"")</f>
        <v>13.7930365742089</v>
      </c>
      <c r="EX65">
        <f>IF(AND(ISNUMBER(EW65),逐级计算!$X$153&gt;-1),IF(逐级计算!$X$153=0,EW65+逐级计算!$C$153,EW65+逐级计算!$C$153-(10/(逐级计算!$Q$153*LN(10))*(MAX((LN(10^(逐级计算!$Q$153/10)-1)+逐级计算!$Q$153*(EW65-逐级计算!$P$153)*LN(10)/10),0)+LN(1+EXP(-ABS((LN(10^(逐级计算!$Q$153/10)-1)+逐级计算!$Q$153*(EW65-逐级计算!$P$153)*LN(10)/10))))))),"")</f>
        <v>13.7930365742089</v>
      </c>
      <c r="EY65">
        <f>IF(AND(ISNUMBER(EX65),逐级计算!$X$154&gt;-1),IF(逐级计算!$X$154=0,EX65+逐级计算!$C$154,EX65+逐级计算!$C$154-(10/(逐级计算!$Q$154*LN(10))*(MAX((LN(10^(逐级计算!$Q$154/10)-1)+逐级计算!$Q$154*(EX65-逐级计算!$P$154)*LN(10)/10),0)+LN(1+EXP(-ABS((LN(10^(逐级计算!$Q$154/10)-1)+逐级计算!$Q$154*(EX65-逐级计算!$P$154)*LN(10)/10))))))),"")</f>
        <v>13.7930365742089</v>
      </c>
      <c r="EZ65">
        <f>IF(AND(ISNUMBER(EY65),逐级计算!$X$155&gt;-1),IF(逐级计算!$X$155=0,EY65+逐级计算!$C$155,EY65+逐级计算!$C$155-(10/(逐级计算!$Q$155*LN(10))*(MAX((LN(10^(逐级计算!$Q$155/10)-1)+逐级计算!$Q$155*(EY65-逐级计算!$P$155)*LN(10)/10),0)+LN(1+EXP(-ABS((LN(10^(逐级计算!$Q$155/10)-1)+逐级计算!$Q$155*(EY65-逐级计算!$P$155)*LN(10)/10))))))),"")</f>
        <v>13.7930365742089</v>
      </c>
      <c r="FA65">
        <f>IF(AND(ISNUMBER(EZ65),逐级计算!$X$156&gt;-1),IF(逐级计算!$X$156=0,EZ65+逐级计算!$C$156,EZ65+逐级计算!$C$156-(10/(逐级计算!$Q$156*LN(10))*(MAX((LN(10^(逐级计算!$Q$156/10)-1)+逐级计算!$Q$156*(EZ65-逐级计算!$P$156)*LN(10)/10),0)+LN(1+EXP(-ABS((LN(10^(逐级计算!$Q$156/10)-1)+逐级计算!$Q$156*(EZ65-逐级计算!$P$156)*LN(10)/10))))))),"")</f>
        <v>13.7930365742089</v>
      </c>
      <c r="FB65">
        <f>IF(AND(ISNUMBER(FA65),逐级计算!$X$157&gt;-1),IF(逐级计算!$X$157=0,FA65+逐级计算!$C$157,FA65+逐级计算!$C$157-(10/(逐级计算!$Q$157*LN(10))*(MAX((LN(10^(逐级计算!$Q$157/10)-1)+逐级计算!$Q$157*(FA65-逐级计算!$P$157)*LN(10)/10),0)+LN(1+EXP(-ABS((LN(10^(逐级计算!$Q$157/10)-1)+逐级计算!$Q$157*(FA65-逐级计算!$P$157)*LN(10)/10))))))),"")</f>
        <v>13.7930365742089</v>
      </c>
      <c r="FC65">
        <f>IF(AND(ISNUMBER(FB65),逐级计算!$X$158&gt;-1),IF(逐级计算!$X$158=0,FB65+逐级计算!$C$158,FB65+逐级计算!$C$158-(10/(逐级计算!$Q$158*LN(10))*(MAX((LN(10^(逐级计算!$Q$158/10)-1)+逐级计算!$Q$158*(FB65-逐级计算!$P$158)*LN(10)/10),0)+LN(1+EXP(-ABS((LN(10^(逐级计算!$Q$158/10)-1)+逐级计算!$Q$158*(FB65-逐级计算!$P$158)*LN(10)/10))))))),"")</f>
        <v>13.7930365742089</v>
      </c>
      <c r="FD65">
        <f>IF(AND(ISNUMBER(FC65),逐级计算!$X$159&gt;-1),IF(逐级计算!$X$159=0,FC65+逐级计算!$C$159,FC65+逐级计算!$C$159-(10/(逐级计算!$Q$159*LN(10))*(MAX((LN(10^(逐级计算!$Q$159/10)-1)+逐级计算!$Q$159*(FC65-逐级计算!$P$159)*LN(10)/10),0)+LN(1+EXP(-ABS((LN(10^(逐级计算!$Q$159/10)-1)+逐级计算!$Q$159*(FC65-逐级计算!$P$159)*LN(10)/10))))))),"")</f>
        <v>13.7930365742089</v>
      </c>
      <c r="FE65">
        <f>IF(AND(ISNUMBER(FD65),逐级计算!$X$160&gt;-1),IF(逐级计算!$X$160=0,FD65+逐级计算!$C$160,FD65+逐级计算!$C$160-(10/(逐级计算!$Q$160*LN(10))*(MAX((LN(10^(逐级计算!$Q$160/10)-1)+逐级计算!$Q$160*(FD65-逐级计算!$P$160)*LN(10)/10),0)+LN(1+EXP(-ABS((LN(10^(逐级计算!$Q$160/10)-1)+逐级计算!$Q$160*(FD65-逐级计算!$P$160)*LN(10)/10))))))),"")</f>
        <v>13.7930365742089</v>
      </c>
      <c r="FF65">
        <f>IF(AND(ISNUMBER(FE65),逐级计算!$X$161&gt;-1),IF(逐级计算!$X$161=0,FE65+逐级计算!$C$161,FE65+逐级计算!$C$161-(10/(逐级计算!$Q$161*LN(10))*(MAX((LN(10^(逐级计算!$Q$161/10)-1)+逐级计算!$Q$161*(FE65-逐级计算!$P$161)*LN(10)/10),0)+LN(1+EXP(-ABS((LN(10^(逐级计算!$Q$161/10)-1)+逐级计算!$Q$161*(FE65-逐级计算!$P$161)*LN(10)/10))))))),"")</f>
        <v>13.7930365742089</v>
      </c>
      <c r="FG65">
        <f>IF(AND(ISNUMBER(FF65),逐级计算!$X$162&gt;-1),IF(逐级计算!$X$162=0,FF65+逐级计算!$C$162,FF65+逐级计算!$C$162-(10/(逐级计算!$Q$162*LN(10))*(MAX((LN(10^(逐级计算!$Q$162/10)-1)+逐级计算!$Q$162*(FF65-逐级计算!$P$162)*LN(10)/10),0)+LN(1+EXP(-ABS((LN(10^(逐级计算!$Q$162/10)-1)+逐级计算!$Q$162*(FF65-逐级计算!$P$162)*LN(10)/10))))))),"")</f>
        <v>13.7930365742089</v>
      </c>
      <c r="FH65">
        <f>IF(AND(ISNUMBER(FG65),逐级计算!$X$163&gt;-1),IF(逐级计算!$X$163=0,FG65+逐级计算!$C$163,FG65+逐级计算!$C$163-(10/(逐级计算!$Q$163*LN(10))*(MAX((LN(10^(逐级计算!$Q$163/10)-1)+逐级计算!$Q$163*(FG65-逐级计算!$P$163)*LN(10)/10),0)+LN(1+EXP(-ABS((LN(10^(逐级计算!$Q$163/10)-1)+逐级计算!$Q$163*(FG65-逐级计算!$P$163)*LN(10)/10))))))),"")</f>
        <v>13.7930365742089</v>
      </c>
      <c r="FI65">
        <f>IF(AND(ISNUMBER(FH65),逐级计算!$X$164&gt;-1),IF(逐级计算!$X$164=0,FH65+逐级计算!$C$164,FH65+逐级计算!$C$164-(10/(逐级计算!$Q$164*LN(10))*(MAX((LN(10^(逐级计算!$Q$164/10)-1)+逐级计算!$Q$164*(FH65-逐级计算!$P$164)*LN(10)/10),0)+LN(1+EXP(-ABS((LN(10^(逐级计算!$Q$164/10)-1)+逐级计算!$Q$164*(FH65-逐级计算!$P$164)*LN(10)/10))))))),"")</f>
        <v>13.7930365742089</v>
      </c>
      <c r="FJ65">
        <f>IF(AND(ISNUMBER(FI65),逐级计算!$X$165&gt;-1),IF(逐级计算!$X$165=0,FI65+逐级计算!$C$165,FI65+逐级计算!$C$165-(10/(逐级计算!$Q$165*LN(10))*(MAX((LN(10^(逐级计算!$Q$165/10)-1)+逐级计算!$Q$165*(FI65-逐级计算!$P$165)*LN(10)/10),0)+LN(1+EXP(-ABS((LN(10^(逐级计算!$Q$165/10)-1)+逐级计算!$Q$165*(FI65-逐级计算!$P$165)*LN(10)/10))))))),"")</f>
        <v>13.7930365742089</v>
      </c>
      <c r="FK65">
        <f>IF(AND(ISNUMBER(FJ65),逐级计算!$X$166&gt;-1),IF(逐级计算!$X$166=0,FJ65+逐级计算!$C$166,FJ65+逐级计算!$C$166-(10/(逐级计算!$Q$166*LN(10))*(MAX((LN(10^(逐级计算!$Q$166/10)-1)+逐级计算!$Q$166*(FJ65-逐级计算!$P$166)*LN(10)/10),0)+LN(1+EXP(-ABS((LN(10^(逐级计算!$Q$166/10)-1)+逐级计算!$Q$166*(FJ65-逐级计算!$P$166)*LN(10)/10))))))),"")</f>
        <v>13.7930365742089</v>
      </c>
      <c r="FL65">
        <f>IF(AND(ISNUMBER(FK65),逐级计算!$X$167&gt;-1),IF(逐级计算!$X$167=0,FK65+逐级计算!$C$167,FK65+逐级计算!$C$167-(10/(逐级计算!$Q$167*LN(10))*(MAX((LN(10^(逐级计算!$Q$167/10)-1)+逐级计算!$Q$167*(FK65-逐级计算!$P$167)*LN(10)/10),0)+LN(1+EXP(-ABS((LN(10^(逐级计算!$Q$167/10)-1)+逐级计算!$Q$167*(FK65-逐级计算!$P$167)*LN(10)/10))))))),"")</f>
        <v>13.7930365742089</v>
      </c>
      <c r="FM65">
        <f>IF(AND(ISNUMBER(FL65),逐级计算!$X$168&gt;-1),IF(逐级计算!$X$168=0,FL65+逐级计算!$C$168,FL65+逐级计算!$C$168-(10/(逐级计算!$Q$168*LN(10))*(MAX((LN(10^(逐级计算!$Q$168/10)-1)+逐级计算!$Q$168*(FL65-逐级计算!$P$168)*LN(10)/10),0)+LN(1+EXP(-ABS((LN(10^(逐级计算!$Q$168/10)-1)+逐级计算!$Q$168*(FL65-逐级计算!$P$168)*LN(10)/10))))))),"")</f>
        <v>13.7930365742089</v>
      </c>
      <c r="FN65">
        <f>IF(AND(ISNUMBER(FM65),逐级计算!$X$169&gt;-1),IF(逐级计算!$X$169=0,FM65+逐级计算!$C$169,FM65+逐级计算!$C$169-(10/(逐级计算!$Q$169*LN(10))*(MAX((LN(10^(逐级计算!$Q$169/10)-1)+逐级计算!$Q$169*(FM65-逐级计算!$P$169)*LN(10)/10),0)+LN(1+EXP(-ABS((LN(10^(逐级计算!$Q$169/10)-1)+逐级计算!$Q$169*(FM65-逐级计算!$P$169)*LN(10)/10))))))),"")</f>
        <v>13.7930365742089</v>
      </c>
      <c r="FO65">
        <f>IF(AND(ISNUMBER(FN65),逐级计算!$X$170&gt;-1),IF(逐级计算!$X$170=0,FN65+逐级计算!$C$170,FN65+逐级计算!$C$170-(10/(逐级计算!$Q$170*LN(10))*(MAX((LN(10^(逐级计算!$Q$170/10)-1)+逐级计算!$Q$170*(FN65-逐级计算!$P$170)*LN(10)/10),0)+LN(1+EXP(-ABS((LN(10^(逐级计算!$Q$170/10)-1)+逐级计算!$Q$170*(FN65-逐级计算!$P$170)*LN(10)/10))))))),"")</f>
        <v>13.7930365742089</v>
      </c>
      <c r="FP65">
        <f>IF(AND(ISNUMBER(FO65),逐级计算!$X$171&gt;-1),IF(逐级计算!$X$171=0,FO65+逐级计算!$C$171,FO65+逐级计算!$C$171-(10/(逐级计算!$Q$171*LN(10))*(MAX((LN(10^(逐级计算!$Q$171/10)-1)+逐级计算!$Q$171*(FO65-逐级计算!$P$171)*LN(10)/10),0)+LN(1+EXP(-ABS((LN(10^(逐级计算!$Q$171/10)-1)+逐级计算!$Q$171*(FO65-逐级计算!$P$171)*LN(10)/10))))))),"")</f>
        <v>13.7930365742089</v>
      </c>
      <c r="FQ65">
        <f>IF(AND(ISNUMBER(FP65),逐级计算!$X$172&gt;-1),IF(逐级计算!$X$172=0,FP65+逐级计算!$C$172,FP65+逐级计算!$C$172-(10/(逐级计算!$Q$172*LN(10))*(MAX((LN(10^(逐级计算!$Q$172/10)-1)+逐级计算!$Q$172*(FP65-逐级计算!$P$172)*LN(10)/10),0)+LN(1+EXP(-ABS((LN(10^(逐级计算!$Q$172/10)-1)+逐级计算!$Q$172*(FP65-逐级计算!$P$172)*LN(10)/10))))))),"")</f>
        <v>13.7930365742089</v>
      </c>
      <c r="FR65">
        <f>IF(AND(ISNUMBER(FQ65),逐级计算!$X$173&gt;-1),IF(逐级计算!$X$173=0,FQ65+逐级计算!$C$173,FQ65+逐级计算!$C$173-(10/(逐级计算!$Q$173*LN(10))*(MAX((LN(10^(逐级计算!$Q$173/10)-1)+逐级计算!$Q$173*(FQ65-逐级计算!$P$173)*LN(10)/10),0)+LN(1+EXP(-ABS((LN(10^(逐级计算!$Q$173/10)-1)+逐级计算!$Q$173*(FQ65-逐级计算!$P$173)*LN(10)/10))))))),"")</f>
        <v>13.7930365742089</v>
      </c>
      <c r="FS65">
        <f>IF(AND(ISNUMBER(FR65),逐级计算!$X$174&gt;-1),IF(逐级计算!$X$174=0,FR65+逐级计算!$C$174,FR65+逐级计算!$C$174-(10/(逐级计算!$Q$174*LN(10))*(MAX((LN(10^(逐级计算!$Q$174/10)-1)+逐级计算!$Q$174*(FR65-逐级计算!$P$174)*LN(10)/10),0)+LN(1+EXP(-ABS((LN(10^(逐级计算!$Q$174/10)-1)+逐级计算!$Q$174*(FR65-逐级计算!$P$174)*LN(10)/10))))))),"")</f>
        <v>13.7930365742089</v>
      </c>
      <c r="FT65">
        <f>IF(AND(ISNUMBER(FS65),逐级计算!$X$175&gt;-1),IF(逐级计算!$X$175=0,FS65+逐级计算!$C$175,FS65+逐级计算!$C$175-(10/(逐级计算!$Q$175*LN(10))*(MAX((LN(10^(逐级计算!$Q$175/10)-1)+逐级计算!$Q$175*(FS65-逐级计算!$P$175)*LN(10)/10),0)+LN(1+EXP(-ABS((LN(10^(逐级计算!$Q$175/10)-1)+逐级计算!$Q$175*(FS65-逐级计算!$P$175)*LN(10)/10))))))),"")</f>
        <v>13.7930365742089</v>
      </c>
      <c r="FU65">
        <f>IF(AND(ISNUMBER(FT65),逐级计算!$X$176&gt;-1),IF(逐级计算!$X$176=0,FT65+逐级计算!$C$176,FT65+逐级计算!$C$176-(10/(逐级计算!$Q$176*LN(10))*(MAX((LN(10^(逐级计算!$Q$176/10)-1)+逐级计算!$Q$176*(FT65-逐级计算!$P$176)*LN(10)/10),0)+LN(1+EXP(-ABS((LN(10^(逐级计算!$Q$176/10)-1)+逐级计算!$Q$176*(FT65-逐级计算!$P$176)*LN(10)/10))))))),"")</f>
        <v>13.7930365742089</v>
      </c>
      <c r="FV65">
        <f>IF(AND(ISNUMBER(FU65),逐级计算!$X$177&gt;-1),IF(逐级计算!$X$177=0,FU65+逐级计算!$C$177,FU65+逐级计算!$C$177-(10/(逐级计算!$Q$177*LN(10))*(MAX((LN(10^(逐级计算!$Q$177/10)-1)+逐级计算!$Q$177*(FU65-逐级计算!$P$177)*LN(10)/10),0)+LN(1+EXP(-ABS((LN(10^(逐级计算!$Q$177/10)-1)+逐级计算!$Q$177*(FU65-逐级计算!$P$177)*LN(10)/10))))))),"")</f>
        <v>13.7930365742089</v>
      </c>
      <c r="FW65">
        <f>IF(AND(ISNUMBER(FV65),逐级计算!$X$178&gt;-1),IF(逐级计算!$X$178=0,FV65+逐级计算!$C$178,FV65+逐级计算!$C$178-(10/(逐级计算!$Q$178*LN(10))*(MAX((LN(10^(逐级计算!$Q$178/10)-1)+逐级计算!$Q$178*(FV65-逐级计算!$P$178)*LN(10)/10),0)+LN(1+EXP(-ABS((LN(10^(逐级计算!$Q$178/10)-1)+逐级计算!$Q$178*(FV65-逐级计算!$P$178)*LN(10)/10))))))),"")</f>
        <v>13.7930365742089</v>
      </c>
      <c r="FX65">
        <f>IF(AND(ISNUMBER(FW65),逐级计算!$X$179&gt;-1),IF(逐级计算!$X$179=0,FW65+逐级计算!$C$179,FW65+逐级计算!$C$179-(10/(逐级计算!$Q$179*LN(10))*(MAX((LN(10^(逐级计算!$Q$179/10)-1)+逐级计算!$Q$179*(FW65-逐级计算!$P$179)*LN(10)/10),0)+LN(1+EXP(-ABS((LN(10^(逐级计算!$Q$179/10)-1)+逐级计算!$Q$179*(FW65-逐级计算!$P$179)*LN(10)/10))))))),"")</f>
        <v>13.7930365742089</v>
      </c>
      <c r="FY65">
        <f>IF(AND(ISNUMBER(FX65),逐级计算!$X$180&gt;-1),IF(逐级计算!$X$180=0,FX65+逐级计算!$C$180,FX65+逐级计算!$C$180-(10/(逐级计算!$Q$180*LN(10))*(MAX((LN(10^(逐级计算!$Q$180/10)-1)+逐级计算!$Q$180*(FX65-逐级计算!$P$180)*LN(10)/10),0)+LN(1+EXP(-ABS((LN(10^(逐级计算!$Q$180/10)-1)+逐级计算!$Q$180*(FX65-逐级计算!$P$180)*LN(10)/10))))))),"")</f>
        <v>13.7930365742089</v>
      </c>
      <c r="FZ65">
        <f>IF(AND(ISNUMBER(FY65),逐级计算!$X$181&gt;-1),IF(逐级计算!$X$181=0,FY65+逐级计算!$C$181,FY65+逐级计算!$C$181-(10/(逐级计算!$Q$181*LN(10))*(MAX((LN(10^(逐级计算!$Q$181/10)-1)+逐级计算!$Q$181*(FY65-逐级计算!$P$181)*LN(10)/10),0)+LN(1+EXP(-ABS((LN(10^(逐级计算!$Q$181/10)-1)+逐级计算!$Q$181*(FY65-逐级计算!$P$181)*LN(10)/10))))))),"")</f>
        <v>13.7930365742089</v>
      </c>
      <c r="GA65">
        <f>IF(AND(ISNUMBER(FZ65),逐级计算!$X$182&gt;-1),IF(逐级计算!$X$182=0,FZ65+逐级计算!$C$182,FZ65+逐级计算!$C$182-(10/(逐级计算!$Q$182*LN(10))*(MAX((LN(10^(逐级计算!$Q$182/10)-1)+逐级计算!$Q$182*(FZ65-逐级计算!$P$182)*LN(10)/10),0)+LN(1+EXP(-ABS((LN(10^(逐级计算!$Q$182/10)-1)+逐级计算!$Q$182*(FZ65-逐级计算!$P$182)*LN(10)/10))))))),"")</f>
        <v>13.7930365742089</v>
      </c>
      <c r="GB65">
        <f>IF(AND(ISNUMBER(GA65),逐级计算!$X$183&gt;-1),IF(逐级计算!$X$183=0,GA65+逐级计算!$C$183,GA65+逐级计算!$C$183-(10/(逐级计算!$Q$183*LN(10))*(MAX((LN(10^(逐级计算!$Q$183/10)-1)+逐级计算!$Q$183*(GA65-逐级计算!$P$183)*LN(10)/10),0)+LN(1+EXP(-ABS((LN(10^(逐级计算!$Q$183/10)-1)+逐级计算!$Q$183*(GA65-逐级计算!$P$183)*LN(10)/10))))))),"")</f>
        <v>13.7930365742089</v>
      </c>
      <c r="GC65">
        <f>IF(AND(ISNUMBER(GB65),逐级计算!$X$184&gt;-1),IF(逐级计算!$X$184=0,GB65+逐级计算!$C$184,GB65+逐级计算!$C$184-(10/(逐级计算!$Q$184*LN(10))*(MAX((LN(10^(逐级计算!$Q$184/10)-1)+逐级计算!$Q$184*(GB65-逐级计算!$P$184)*LN(10)/10),0)+LN(1+EXP(-ABS((LN(10^(逐级计算!$Q$184/10)-1)+逐级计算!$Q$184*(GB65-逐级计算!$P$184)*LN(10)/10))))))),"")</f>
        <v>13.7930365742089</v>
      </c>
      <c r="GD65">
        <f>IF(AND(ISNUMBER(GC65),逐级计算!$X$185&gt;-1),IF(逐级计算!$X$185=0,GC65+逐级计算!$C$185,GC65+逐级计算!$C$185-(10/(逐级计算!$Q$185*LN(10))*(MAX((LN(10^(逐级计算!$Q$185/10)-1)+逐级计算!$Q$185*(GC65-逐级计算!$P$185)*LN(10)/10),0)+LN(1+EXP(-ABS((LN(10^(逐级计算!$Q$185/10)-1)+逐级计算!$Q$185*(GC65-逐级计算!$P$185)*LN(10)/10))))))),"")</f>
        <v>13.7930365742089</v>
      </c>
      <c r="GE65">
        <f>IF(AND(ISNUMBER(GD65),逐级计算!$X$186&gt;-1),IF(逐级计算!$X$186=0,GD65+逐级计算!$C$186,GD65+逐级计算!$C$186-(10/(逐级计算!$Q$186*LN(10))*(MAX((LN(10^(逐级计算!$Q$186/10)-1)+逐级计算!$Q$186*(GD65-逐级计算!$P$186)*LN(10)/10),0)+LN(1+EXP(-ABS((LN(10^(逐级计算!$Q$186/10)-1)+逐级计算!$Q$186*(GD65-逐级计算!$P$186)*LN(10)/10))))))),"")</f>
        <v>13.7930365742089</v>
      </c>
      <c r="GF65">
        <f>IF(AND(ISNUMBER(GE65),逐级计算!$X$187&gt;-1),IF(逐级计算!$X$187=0,GE65+逐级计算!$C$187,GE65+逐级计算!$C$187-(10/(逐级计算!$Q$187*LN(10))*(MAX((LN(10^(逐级计算!$Q$187/10)-1)+逐级计算!$Q$187*(GE65-逐级计算!$P$187)*LN(10)/10),0)+LN(1+EXP(-ABS((LN(10^(逐级计算!$Q$187/10)-1)+逐级计算!$Q$187*(GE65-逐级计算!$P$187)*LN(10)/10))))))),"")</f>
        <v>13.7930365742089</v>
      </c>
      <c r="GG65">
        <f>IF(AND(ISNUMBER(GF65),逐级计算!$X$188&gt;-1),IF(逐级计算!$X$188=0,GF65+逐级计算!$C$188,GF65+逐级计算!$C$188-(10/(逐级计算!$Q$188*LN(10))*(MAX((LN(10^(逐级计算!$Q$188/10)-1)+逐级计算!$Q$188*(GF65-逐级计算!$P$188)*LN(10)/10),0)+LN(1+EXP(-ABS((LN(10^(逐级计算!$Q$188/10)-1)+逐级计算!$Q$188*(GF65-逐级计算!$P$188)*LN(10)/10))))))),"")</f>
        <v>13.7930365742089</v>
      </c>
      <c r="GH65">
        <f>IF(AND(ISNUMBER(GG65),逐级计算!$X$189&gt;-1),IF(逐级计算!$X$189=0,GG65+逐级计算!$C$189,GG65+逐级计算!$C$189-(10/(逐级计算!$Q$189*LN(10))*(MAX((LN(10^(逐级计算!$Q$189/10)-1)+逐级计算!$Q$189*(GG65-逐级计算!$P$189)*LN(10)/10),0)+LN(1+EXP(-ABS((LN(10^(逐级计算!$Q$189/10)-1)+逐级计算!$Q$189*(GG65-逐级计算!$P$189)*LN(10)/10))))))),"")</f>
        <v>13.7930365742089</v>
      </c>
      <c r="GI65">
        <f>IF(AND(ISNUMBER(GH65),逐级计算!$X$190&gt;-1),IF(逐级计算!$X$190=0,GH65+逐级计算!$C$190,GH65+逐级计算!$C$190-(10/(逐级计算!$Q$190*LN(10))*(MAX((LN(10^(逐级计算!$Q$190/10)-1)+逐级计算!$Q$190*(GH65-逐级计算!$P$190)*LN(10)/10),0)+LN(1+EXP(-ABS((LN(10^(逐级计算!$Q$190/10)-1)+逐级计算!$Q$190*(GH65-逐级计算!$P$190)*LN(10)/10))))))),"")</f>
        <v>13.7930365742089</v>
      </c>
      <c r="GJ65">
        <f>IF(AND(ISNUMBER(GI65),逐级计算!$X$191&gt;-1),IF(逐级计算!$X$191=0,GI65+逐级计算!$C$191,GI65+逐级计算!$C$191-(10/(逐级计算!$Q$191*LN(10))*(MAX((LN(10^(逐级计算!$Q$191/10)-1)+逐级计算!$Q$191*(GI65-逐级计算!$P$191)*LN(10)/10),0)+LN(1+EXP(-ABS((LN(10^(逐级计算!$Q$191/10)-1)+逐级计算!$Q$191*(GI65-逐级计算!$P$191)*LN(10)/10))))))),"")</f>
        <v>13.7930365742089</v>
      </c>
      <c r="GK65">
        <f>IF(AND(ISNUMBER(GJ65),逐级计算!$X$192&gt;-1),IF(逐级计算!$X$192=0,GJ65+逐级计算!$C$192,GJ65+逐级计算!$C$192-(10/(逐级计算!$Q$192*LN(10))*(MAX((LN(10^(逐级计算!$Q$192/10)-1)+逐级计算!$Q$192*(GJ65-逐级计算!$P$192)*LN(10)/10),0)+LN(1+EXP(-ABS((LN(10^(逐级计算!$Q$192/10)-1)+逐级计算!$Q$192*(GJ65-逐级计算!$P$192)*LN(10)/10))))))),"")</f>
        <v>13.7930365742089</v>
      </c>
      <c r="GL65">
        <f>IF(AND(ISNUMBER(GK65),逐级计算!$X$193&gt;-1),IF(逐级计算!$X$193=0,GK65+逐级计算!$C$193,GK65+逐级计算!$C$193-(10/(逐级计算!$Q$193*LN(10))*(MAX((LN(10^(逐级计算!$Q$193/10)-1)+逐级计算!$Q$193*(GK65-逐级计算!$P$193)*LN(10)/10),0)+LN(1+EXP(-ABS((LN(10^(逐级计算!$Q$193/10)-1)+逐级计算!$Q$193*(GK65-逐级计算!$P$193)*LN(10)/10))))))),"")</f>
        <v>13.7930365742089</v>
      </c>
      <c r="GM65">
        <f>IF(AND(ISNUMBER(GL65),逐级计算!$X$194&gt;-1),IF(逐级计算!$X$194=0,GL65+逐级计算!$C$194,GL65+逐级计算!$C$194-(10/(逐级计算!$Q$194*LN(10))*(MAX((LN(10^(逐级计算!$Q$194/10)-1)+逐级计算!$Q$194*(GL65-逐级计算!$P$194)*LN(10)/10),0)+LN(1+EXP(-ABS((LN(10^(逐级计算!$Q$194/10)-1)+逐级计算!$Q$194*(GL65-逐级计算!$P$194)*LN(10)/10))))))),"")</f>
        <v>13.7930365742089</v>
      </c>
      <c r="GN65">
        <f>IF(AND(ISNUMBER(GM65),逐级计算!$X$195&gt;-1),IF(逐级计算!$X$195=0,GM65+逐级计算!$C$195,GM65+逐级计算!$C$195-(10/(逐级计算!$Q$195*LN(10))*(MAX((LN(10^(逐级计算!$Q$195/10)-1)+逐级计算!$Q$195*(GM65-逐级计算!$P$195)*LN(10)/10),0)+LN(1+EXP(-ABS((LN(10^(逐级计算!$Q$195/10)-1)+逐级计算!$Q$195*(GM65-逐级计算!$P$195)*LN(10)/10))))))),"")</f>
        <v>13.7930365742089</v>
      </c>
      <c r="GO65">
        <f>IF(AND(ISNUMBER(GN65),逐级计算!$X$196&gt;-1),IF(逐级计算!$X$196=0,GN65+逐级计算!$C$196,GN65+逐级计算!$C$196-(10/(逐级计算!$Q$196*LN(10))*(MAX((LN(10^(逐级计算!$Q$196/10)-1)+逐级计算!$Q$196*(GN65-逐级计算!$P$196)*LN(10)/10),0)+LN(1+EXP(-ABS((LN(10^(逐级计算!$Q$196/10)-1)+逐级计算!$Q$196*(GN65-逐级计算!$P$196)*LN(10)/10))))))),"")</f>
        <v>13.7930365742089</v>
      </c>
      <c r="GP65">
        <f>IF(AND(ISNUMBER(GO65),逐级计算!$X$197&gt;-1),IF(逐级计算!$X$197=0,GO65+逐级计算!$C$197,GO65+逐级计算!$C$197-(10/(逐级计算!$Q$197*LN(10))*(MAX((LN(10^(逐级计算!$Q$197/10)-1)+逐级计算!$Q$197*(GO65-逐级计算!$P$197)*LN(10)/10),0)+LN(1+EXP(-ABS((LN(10^(逐级计算!$Q$197/10)-1)+逐级计算!$Q$197*(GO65-逐级计算!$P$197)*LN(10)/10))))))),"")</f>
        <v>13.7930365742089</v>
      </c>
      <c r="GQ65">
        <f>IF(AND(ISNUMBER(GP65),逐级计算!$X$198&gt;-1),IF(逐级计算!$X$198=0,GP65+逐级计算!$C$198,GP65+逐级计算!$C$198-(10/(逐级计算!$Q$198*LN(10))*(MAX((LN(10^(逐级计算!$Q$198/10)-1)+逐级计算!$Q$198*(GP65-逐级计算!$P$198)*LN(10)/10),0)+LN(1+EXP(-ABS((LN(10^(逐级计算!$Q$198/10)-1)+逐级计算!$Q$198*(GP65-逐级计算!$P$198)*LN(10)/10))))))),"")</f>
        <v>13.7930365742089</v>
      </c>
      <c r="GR65">
        <f>IF(AND(ISNUMBER(GQ65),逐级计算!$X$199&gt;-1),IF(逐级计算!$X$199=0,GQ65+逐级计算!$C$199,GQ65+逐级计算!$C$199-(10/(逐级计算!$Q$199*LN(10))*(MAX((LN(10^(逐级计算!$Q$199/10)-1)+逐级计算!$Q$199*(GQ65-逐级计算!$P$199)*LN(10)/10),0)+LN(1+EXP(-ABS((LN(10^(逐级计算!$Q$199/10)-1)+逐级计算!$Q$199*(GQ65-逐级计算!$P$199)*LN(10)/10))))))),"")</f>
        <v>13.7930365742089</v>
      </c>
      <c r="GS65">
        <f>IF(AND(ISNUMBER(GR65),逐级计算!$X$200&gt;-1),IF(逐级计算!$X$200=0,GR65+逐级计算!$C$200,GR65+逐级计算!$C$200-(10/(逐级计算!$Q$200*LN(10))*(MAX((LN(10^(逐级计算!$Q$200/10)-1)+逐级计算!$Q$200*(GR65-逐级计算!$P$200)*LN(10)/10),0)+LN(1+EXP(-ABS((LN(10^(逐级计算!$Q$200/10)-1)+逐级计算!$Q$200*(GR65-逐级计算!$P$200)*LN(10)/10))))))),"")</f>
        <v>13.7930365742089</v>
      </c>
      <c r="GT65">
        <f>IF(AND(ISNUMBER(GS65),逐级计算!$X$201&gt;-1),IF(逐级计算!$X$201=0,GS65+逐级计算!$C$201,GS65+逐级计算!$C$201-(10/(逐级计算!$Q$201*LN(10))*(MAX((LN(10^(逐级计算!$Q$201/10)-1)+逐级计算!$Q$201*(GS65-逐级计算!$P$201)*LN(10)/10),0)+LN(1+EXP(-ABS((LN(10^(逐级计算!$Q$201/10)-1)+逐级计算!$Q$201*(GS65-逐级计算!$P$201)*LN(10)/10))))))),"")</f>
        <v>13.7930365742089</v>
      </c>
      <c r="GU65">
        <f>IF(AND(ISNUMBER(GT65),逐级计算!$X$202&gt;-1),IF(逐级计算!$X$202=0,GT65+逐级计算!$C$202,GT65+逐级计算!$C$202-(10/(逐级计算!$Q$202*LN(10))*(MAX((LN(10^(逐级计算!$Q$202/10)-1)+逐级计算!$Q$202*(GT65-逐级计算!$P$202)*LN(10)/10),0)+LN(1+EXP(-ABS((LN(10^(逐级计算!$Q$202/10)-1)+逐级计算!$Q$202*(GT65-逐级计算!$P$202)*LN(10)/10))))))),"")</f>
        <v>13.7930365742089</v>
      </c>
      <c r="GV65">
        <f>IF(AND(ISNUMBER(GU65),逐级计算!$X$203&gt;-1),IF(逐级计算!$X$203=0,GU65+逐级计算!$C$203,GU65+逐级计算!$C$203-(10/(逐级计算!$Q$203*LN(10))*(MAX((LN(10^(逐级计算!$Q$203/10)-1)+逐级计算!$Q$203*(GU65-逐级计算!$P$203)*LN(10)/10),0)+LN(1+EXP(-ABS((LN(10^(逐级计算!$Q$203/10)-1)+逐级计算!$Q$203*(GU65-逐级计算!$P$203)*LN(10)/10))))))),"")</f>
        <v>13.7930365742089</v>
      </c>
      <c r="GW65">
        <f t="shared" si="2"/>
        <v>-5.20696342579112</v>
      </c>
    </row>
    <row r="66" spans="1:205">
      <c r="A66">
        <v>59</v>
      </c>
      <c r="B66">
        <f t="shared" si="1"/>
        <v>-5.20696342579112</v>
      </c>
      <c r="C66">
        <f t="shared" si="0"/>
        <v>-5.20696342579112</v>
      </c>
      <c r="D66">
        <f>IF(AND(ISNUMBER(C66),ISNUMBER(逐级计算!$E$203),ISNUMBER(GV66)),C66+逐级计算!$E$203-GV66,"")</f>
        <v>1</v>
      </c>
      <c r="E66">
        <f>IF(AND(ISNUMBER(C66),逐级计算!$X$4&gt;-1),IF(逐级计算!$X$4=0,C66+逐级计算!$C$4,C66+逐级计算!$C$4-(10/(逐级计算!$Q$4*LN(10))*(MAX((LN(10^(逐级计算!$Q$4/10)-1)+逐级计算!$Q$4*(C66-逐级计算!$P$4)*LN(10)/10),0)+LN(1+EXP(-ABS((LN(10^(逐级计算!$Q$4/10)-1)+逐级计算!$Q$4*(C66-逐级计算!$P$4)*LN(10)/10))))))),"")</f>
        <v>4.68053982928311</v>
      </c>
      <c r="F66">
        <f>IF(AND(ISNUMBER(E66),逐级计算!$X$5&gt;-1),IF(逐级计算!$X$5=0,E66+逐级计算!$C$5,E66+逐级计算!$C$5-(10/(逐级计算!$Q$5*LN(10))*(MAX((LN(10^(逐级计算!$Q$5/10)-1)+逐级计算!$Q$5*(E66-逐级计算!$P$5)*LN(10)/10),0)+LN(1+EXP(-ABS((LN(10^(逐级计算!$Q$5/10)-1)+逐级计算!$Q$5*(E66-逐级计算!$P$5)*LN(10)/10))))))),"")</f>
        <v>13.7930365742089</v>
      </c>
      <c r="G66">
        <f>IF(AND(ISNUMBER(F66),逐级计算!$X$6&gt;-1),IF(逐级计算!$X$6=0,F66+逐级计算!$C$6,F66+逐级计算!$C$6-(10/(逐级计算!$Q$6*LN(10))*(MAX((LN(10^(逐级计算!$Q$6/10)-1)+逐级计算!$Q$6*(F66-逐级计算!$P$6)*LN(10)/10),0)+LN(1+EXP(-ABS((LN(10^(逐级计算!$Q$6/10)-1)+逐级计算!$Q$6*(F66-逐级计算!$P$6)*LN(10)/10))))))),"")</f>
        <v>13.7930365742089</v>
      </c>
      <c r="H66">
        <f>IF(AND(ISNUMBER(G66),逐级计算!$X$7&gt;-1),IF(逐级计算!$X$7=0,G66+逐级计算!$C$7,G66+逐级计算!$C$7-(10/(逐级计算!$Q$7*LN(10))*(MAX((LN(10^(逐级计算!$Q$7/10)-1)+逐级计算!$Q$7*(G66-逐级计算!$P$7)*LN(10)/10),0)+LN(1+EXP(-ABS((LN(10^(逐级计算!$Q$7/10)-1)+逐级计算!$Q$7*(G66-逐级计算!$P$7)*LN(10)/10))))))),"")</f>
        <v>13.7930365742089</v>
      </c>
      <c r="I66">
        <f>IF(AND(ISNUMBER(H66),逐级计算!$X$8&gt;-1),IF(逐级计算!$X$8=0,H66+逐级计算!$C$8,H66+逐级计算!$C$8-(10/(逐级计算!$Q$8*LN(10))*(MAX((LN(10^(逐级计算!$Q$8/10)-1)+逐级计算!$Q$8*(H66-逐级计算!$P$8)*LN(10)/10),0)+LN(1+EXP(-ABS((LN(10^(逐级计算!$Q$8/10)-1)+逐级计算!$Q$8*(H66-逐级计算!$P$8)*LN(10)/10))))))),"")</f>
        <v>13.7930365742089</v>
      </c>
      <c r="J66">
        <f>IF(AND(ISNUMBER(I66),逐级计算!$X$9&gt;-1),IF(逐级计算!$X$9=0,I66+逐级计算!$C$9,I66+逐级计算!$C$9-(10/(逐级计算!$Q$9*LN(10))*(MAX((LN(10^(逐级计算!$Q$9/10)-1)+逐级计算!$Q$9*(I66-逐级计算!$P$9)*LN(10)/10),0)+LN(1+EXP(-ABS((LN(10^(逐级计算!$Q$9/10)-1)+逐级计算!$Q$9*(I66-逐级计算!$P$9)*LN(10)/10))))))),"")</f>
        <v>13.7930365742089</v>
      </c>
      <c r="K66">
        <f>IF(AND(ISNUMBER(J66),逐级计算!$X$10&gt;-1),IF(逐级计算!$X$10=0,J66+逐级计算!$C$10,J66+逐级计算!$C$10-(10/(逐级计算!$Q$10*LN(10))*(MAX((LN(10^(逐级计算!$Q$10/10)-1)+逐级计算!$Q$10*(J66-逐级计算!$P$10)*LN(10)/10),0)+LN(1+EXP(-ABS((LN(10^(逐级计算!$Q$10/10)-1)+逐级计算!$Q$10*(J66-逐级计算!$P$10)*LN(10)/10))))))),"")</f>
        <v>13.7930365742089</v>
      </c>
      <c r="L66">
        <f>IF(AND(ISNUMBER(K66),逐级计算!$X$11&gt;-1),IF(逐级计算!$X$11=0,K66+逐级计算!$C$11,K66+逐级计算!$C$11-(10/(逐级计算!$Q$11*LN(10))*(MAX((LN(10^(逐级计算!$Q$11/10)-1)+逐级计算!$Q$11*(K66-逐级计算!$P$11)*LN(10)/10),0)+LN(1+EXP(-ABS((LN(10^(逐级计算!$Q$11/10)-1)+逐级计算!$Q$11*(K66-逐级计算!$P$11)*LN(10)/10))))))),"")</f>
        <v>13.7930365742089</v>
      </c>
      <c r="M66">
        <f>IF(AND(ISNUMBER(L66),逐级计算!$X$12&gt;-1),IF(逐级计算!$X$12=0,L66+逐级计算!$C$12,L66+逐级计算!$C$12-(10/(逐级计算!$Q$12*LN(10))*(MAX((LN(10^(逐级计算!$Q$12/10)-1)+逐级计算!$Q$12*(L66-逐级计算!$P$12)*LN(10)/10),0)+LN(1+EXP(-ABS((LN(10^(逐级计算!$Q$12/10)-1)+逐级计算!$Q$12*(L66-逐级计算!$P$12)*LN(10)/10))))))),"")</f>
        <v>13.7930365742089</v>
      </c>
      <c r="N66">
        <f>IF(AND(ISNUMBER(M66),逐级计算!$X$13&gt;-1),IF(逐级计算!$X$13=0,M66+逐级计算!$C$13,M66+逐级计算!$C$13-(10/(逐级计算!$Q$13*LN(10))*(MAX((LN(10^(逐级计算!$Q$13/10)-1)+逐级计算!$Q$13*(M66-逐级计算!$P$13)*LN(10)/10),0)+LN(1+EXP(-ABS((LN(10^(逐级计算!$Q$13/10)-1)+逐级计算!$Q$13*(M66-逐级计算!$P$13)*LN(10)/10))))))),"")</f>
        <v>13.7930365742089</v>
      </c>
      <c r="O66">
        <f>IF(AND(ISNUMBER(N66),逐级计算!$X$14&gt;-1),IF(逐级计算!$X$14=0,N66+逐级计算!$C$14,N66+逐级计算!$C$14-(10/(逐级计算!$Q$14*LN(10))*(MAX((LN(10^(逐级计算!$Q$14/10)-1)+逐级计算!$Q$14*(N66-逐级计算!$P$14)*LN(10)/10),0)+LN(1+EXP(-ABS((LN(10^(逐级计算!$Q$14/10)-1)+逐级计算!$Q$14*(N66-逐级计算!$P$14)*LN(10)/10))))))),"")</f>
        <v>13.7930365742089</v>
      </c>
      <c r="P66">
        <f>IF(AND(ISNUMBER(O66),逐级计算!$X$15&gt;-1),IF(逐级计算!$X$15=0,O66+逐级计算!$C$15,O66+逐级计算!$C$15-(10/(逐级计算!$Q$15*LN(10))*(MAX((LN(10^(逐级计算!$Q$15/10)-1)+逐级计算!$Q$15*(O66-逐级计算!$P$15)*LN(10)/10),0)+LN(1+EXP(-ABS((LN(10^(逐级计算!$Q$15/10)-1)+逐级计算!$Q$15*(O66-逐级计算!$P$15)*LN(10)/10))))))),"")</f>
        <v>13.7930365742089</v>
      </c>
      <c r="Q66">
        <f>IF(AND(ISNUMBER(P66),逐级计算!$X$16&gt;-1),IF(逐级计算!$X$16=0,P66+逐级计算!$C$16,P66+逐级计算!$C$16-(10/(逐级计算!$Q$16*LN(10))*(MAX((LN(10^(逐级计算!$Q$16/10)-1)+逐级计算!$Q$16*(P66-逐级计算!$P$16)*LN(10)/10),0)+LN(1+EXP(-ABS((LN(10^(逐级计算!$Q$16/10)-1)+逐级计算!$Q$16*(P66-逐级计算!$P$16)*LN(10)/10))))))),"")</f>
        <v>13.7930365742089</v>
      </c>
      <c r="R66">
        <f>IF(AND(ISNUMBER(Q66),逐级计算!$X$17&gt;-1),IF(逐级计算!$X$17=0,Q66+逐级计算!$C$17,Q66+逐级计算!$C$17-(10/(逐级计算!$Q$17*LN(10))*(MAX((LN(10^(逐级计算!$Q$17/10)-1)+逐级计算!$Q$17*(Q66-逐级计算!$P$17)*LN(10)/10),0)+LN(1+EXP(-ABS((LN(10^(逐级计算!$Q$17/10)-1)+逐级计算!$Q$17*(Q66-逐级计算!$P$17)*LN(10)/10))))))),"")</f>
        <v>13.7930365742089</v>
      </c>
      <c r="S66">
        <f>IF(AND(ISNUMBER(R66),逐级计算!$X$18&gt;-1),IF(逐级计算!$X$18=0,R66+逐级计算!$C$18,R66+逐级计算!$C$18-(10/(逐级计算!$Q$18*LN(10))*(MAX((LN(10^(逐级计算!$Q$18/10)-1)+逐级计算!$Q$18*(R66-逐级计算!$P$18)*LN(10)/10),0)+LN(1+EXP(-ABS((LN(10^(逐级计算!$Q$18/10)-1)+逐级计算!$Q$18*(R66-逐级计算!$P$18)*LN(10)/10))))))),"")</f>
        <v>13.7930365742089</v>
      </c>
      <c r="T66">
        <f>IF(AND(ISNUMBER(S66),逐级计算!$X$19&gt;-1),IF(逐级计算!$X$19=0,S66+逐级计算!$C$19,S66+逐级计算!$C$19-(10/(逐级计算!$Q$19*LN(10))*(MAX((LN(10^(逐级计算!$Q$19/10)-1)+逐级计算!$Q$19*(S66-逐级计算!$P$19)*LN(10)/10),0)+LN(1+EXP(-ABS((LN(10^(逐级计算!$Q$19/10)-1)+逐级计算!$Q$19*(S66-逐级计算!$P$19)*LN(10)/10))))))),"")</f>
        <v>13.7930365742089</v>
      </c>
      <c r="U66">
        <f>IF(AND(ISNUMBER(T66),逐级计算!$X$20&gt;-1),IF(逐级计算!$X$20=0,T66+逐级计算!$C$20,T66+逐级计算!$C$20-(10/(逐级计算!$Q$20*LN(10))*(MAX((LN(10^(逐级计算!$Q$20/10)-1)+逐级计算!$Q$20*(T66-逐级计算!$P$20)*LN(10)/10),0)+LN(1+EXP(-ABS((LN(10^(逐级计算!$Q$20/10)-1)+逐级计算!$Q$20*(T66-逐级计算!$P$20)*LN(10)/10))))))),"")</f>
        <v>13.7930365742089</v>
      </c>
      <c r="V66">
        <f>IF(AND(ISNUMBER(U66),逐级计算!$X$21&gt;-1),IF(逐级计算!$X$21=0,U66+逐级计算!$C$21,U66+逐级计算!$C$21-(10/(逐级计算!$Q$21*LN(10))*(MAX((LN(10^(逐级计算!$Q$21/10)-1)+逐级计算!$Q$21*(U66-逐级计算!$P$21)*LN(10)/10),0)+LN(1+EXP(-ABS((LN(10^(逐级计算!$Q$21/10)-1)+逐级计算!$Q$21*(U66-逐级计算!$P$21)*LN(10)/10))))))),"")</f>
        <v>13.7930365742089</v>
      </c>
      <c r="W66">
        <f>IF(AND(ISNUMBER(V66),逐级计算!$X$22&gt;-1),IF(逐级计算!$X$22=0,V66+逐级计算!$C$22,V66+逐级计算!$C$22-(10/(逐级计算!$Q$22*LN(10))*(MAX((LN(10^(逐级计算!$Q$22/10)-1)+逐级计算!$Q$22*(V66-逐级计算!$P$22)*LN(10)/10),0)+LN(1+EXP(-ABS((LN(10^(逐级计算!$Q$22/10)-1)+逐级计算!$Q$22*(V66-逐级计算!$P$22)*LN(10)/10))))))),"")</f>
        <v>13.7930365742089</v>
      </c>
      <c r="X66">
        <f>IF(AND(ISNUMBER(W66),逐级计算!$X$23&gt;-1),IF(逐级计算!$X$23=0,W66+逐级计算!$C$23,W66+逐级计算!$C$23-(10/(逐级计算!$Q$23*LN(10))*(MAX((LN(10^(逐级计算!$Q$23/10)-1)+逐级计算!$Q$23*(W66-逐级计算!$P$23)*LN(10)/10),0)+LN(1+EXP(-ABS((LN(10^(逐级计算!$Q$23/10)-1)+逐级计算!$Q$23*(W66-逐级计算!$P$23)*LN(10)/10))))))),"")</f>
        <v>13.7930365742089</v>
      </c>
      <c r="Y66">
        <f>IF(AND(ISNUMBER(X66),逐级计算!$X$24&gt;-1),IF(逐级计算!$X$24=0,X66+逐级计算!$C$24,X66+逐级计算!$C$24-(10/(逐级计算!$Q$24*LN(10))*(MAX((LN(10^(逐级计算!$Q$24/10)-1)+逐级计算!$Q$24*(X66-逐级计算!$P$24)*LN(10)/10),0)+LN(1+EXP(-ABS((LN(10^(逐级计算!$Q$24/10)-1)+逐级计算!$Q$24*(X66-逐级计算!$P$24)*LN(10)/10))))))),"")</f>
        <v>13.7930365742089</v>
      </c>
      <c r="Z66">
        <f>IF(AND(ISNUMBER(Y66),逐级计算!$X$25&gt;-1),IF(逐级计算!$X$25=0,Y66+逐级计算!$C$25,Y66+逐级计算!$C$25-(10/(逐级计算!$Q$25*LN(10))*(MAX((LN(10^(逐级计算!$Q$25/10)-1)+逐级计算!$Q$25*(Y66-逐级计算!$P$25)*LN(10)/10),0)+LN(1+EXP(-ABS((LN(10^(逐级计算!$Q$25/10)-1)+逐级计算!$Q$25*(Y66-逐级计算!$P$25)*LN(10)/10))))))),"")</f>
        <v>13.7930365742089</v>
      </c>
      <c r="AA66">
        <f>IF(AND(ISNUMBER(Z66),逐级计算!$X$26&gt;-1),IF(逐级计算!$X$26=0,Z66+逐级计算!$C$26,Z66+逐级计算!$C$26-(10/(逐级计算!$Q$26*LN(10))*(MAX((LN(10^(逐级计算!$Q$26/10)-1)+逐级计算!$Q$26*(Z66-逐级计算!$P$26)*LN(10)/10),0)+LN(1+EXP(-ABS((LN(10^(逐级计算!$Q$26/10)-1)+逐级计算!$Q$26*(Z66-逐级计算!$P$26)*LN(10)/10))))))),"")</f>
        <v>13.7930365742089</v>
      </c>
      <c r="AB66">
        <f>IF(AND(ISNUMBER(AA66),逐级计算!$X$27&gt;-1),IF(逐级计算!$X$27=0,AA66+逐级计算!$C$27,AA66+逐级计算!$C$27-(10/(逐级计算!$Q$27*LN(10))*(MAX((LN(10^(逐级计算!$Q$27/10)-1)+逐级计算!$Q$27*(AA66-逐级计算!$P$27)*LN(10)/10),0)+LN(1+EXP(-ABS((LN(10^(逐级计算!$Q$27/10)-1)+逐级计算!$Q$27*(AA66-逐级计算!$P$27)*LN(10)/10))))))),"")</f>
        <v>13.7930365742089</v>
      </c>
      <c r="AC66">
        <f>IF(AND(ISNUMBER(AB66),逐级计算!$X$28&gt;-1),IF(逐级计算!$X$28=0,AB66+逐级计算!$C$28,AB66+逐级计算!$C$28-(10/(逐级计算!$Q$28*LN(10))*(MAX((LN(10^(逐级计算!$Q$28/10)-1)+逐级计算!$Q$28*(AB66-逐级计算!$P$28)*LN(10)/10),0)+LN(1+EXP(-ABS((LN(10^(逐级计算!$Q$28/10)-1)+逐级计算!$Q$28*(AB66-逐级计算!$P$28)*LN(10)/10))))))),"")</f>
        <v>13.7930365742089</v>
      </c>
      <c r="AD66">
        <f>IF(AND(ISNUMBER(AC66),逐级计算!$X$29&gt;-1),IF(逐级计算!$X$29=0,AC66+逐级计算!$C$29,AC66+逐级计算!$C$29-(10/(逐级计算!$Q$29*LN(10))*(MAX((LN(10^(逐级计算!$Q$29/10)-1)+逐级计算!$Q$29*(AC66-逐级计算!$P$29)*LN(10)/10),0)+LN(1+EXP(-ABS((LN(10^(逐级计算!$Q$29/10)-1)+逐级计算!$Q$29*(AC66-逐级计算!$P$29)*LN(10)/10))))))),"")</f>
        <v>13.7930365742089</v>
      </c>
      <c r="AE66">
        <f>IF(AND(ISNUMBER(AD66),逐级计算!$X$30&gt;-1),IF(逐级计算!$X$30=0,AD66+逐级计算!$C$30,AD66+逐级计算!$C$30-(10/(逐级计算!$Q$30*LN(10))*(MAX((LN(10^(逐级计算!$Q$30/10)-1)+逐级计算!$Q$30*(AD66-逐级计算!$P$30)*LN(10)/10),0)+LN(1+EXP(-ABS((LN(10^(逐级计算!$Q$30/10)-1)+逐级计算!$Q$30*(AD66-逐级计算!$P$30)*LN(10)/10))))))),"")</f>
        <v>13.7930365742089</v>
      </c>
      <c r="AF66">
        <f>IF(AND(ISNUMBER(AE66),逐级计算!$X$31&gt;-1),IF(逐级计算!$X$31=0,AE66+逐级计算!$C$31,AE66+逐级计算!$C$31-(10/(逐级计算!$Q$31*LN(10))*(MAX((LN(10^(逐级计算!$Q$31/10)-1)+逐级计算!$Q$31*(AE66-逐级计算!$P$31)*LN(10)/10),0)+LN(1+EXP(-ABS((LN(10^(逐级计算!$Q$31/10)-1)+逐级计算!$Q$31*(AE66-逐级计算!$P$31)*LN(10)/10))))))),"")</f>
        <v>13.7930365742089</v>
      </c>
      <c r="AG66">
        <f>IF(AND(ISNUMBER(AF66),逐级计算!$X$32&gt;-1),IF(逐级计算!$X$32=0,AF66+逐级计算!$C$32,AF66+逐级计算!$C$32-(10/(逐级计算!$Q$32*LN(10))*(MAX((LN(10^(逐级计算!$Q$32/10)-1)+逐级计算!$Q$32*(AF66-逐级计算!$P$32)*LN(10)/10),0)+LN(1+EXP(-ABS((LN(10^(逐级计算!$Q$32/10)-1)+逐级计算!$Q$32*(AF66-逐级计算!$P$32)*LN(10)/10))))))),"")</f>
        <v>13.7930365742089</v>
      </c>
      <c r="AH66">
        <f>IF(AND(ISNUMBER(AG66),逐级计算!$X$33&gt;-1),IF(逐级计算!$X$33=0,AG66+逐级计算!$C$33,AG66+逐级计算!$C$33-(10/(逐级计算!$Q$33*LN(10))*(MAX((LN(10^(逐级计算!$Q$33/10)-1)+逐级计算!$Q$33*(AG66-逐级计算!$P$33)*LN(10)/10),0)+LN(1+EXP(-ABS((LN(10^(逐级计算!$Q$33/10)-1)+逐级计算!$Q$33*(AG66-逐级计算!$P$33)*LN(10)/10))))))),"")</f>
        <v>13.7930365742089</v>
      </c>
      <c r="AI66">
        <f>IF(AND(ISNUMBER(AH66),逐级计算!$X$34&gt;-1),IF(逐级计算!$X$34=0,AH66+逐级计算!$C$34,AH66+逐级计算!$C$34-(10/(逐级计算!$Q$34*LN(10))*(MAX((LN(10^(逐级计算!$Q$34/10)-1)+逐级计算!$Q$34*(AH66-逐级计算!$P$34)*LN(10)/10),0)+LN(1+EXP(-ABS((LN(10^(逐级计算!$Q$34/10)-1)+逐级计算!$Q$34*(AH66-逐级计算!$P$34)*LN(10)/10))))))),"")</f>
        <v>13.7930365742089</v>
      </c>
      <c r="AJ66">
        <f>IF(AND(ISNUMBER(AI66),逐级计算!$X$35&gt;-1),IF(逐级计算!$X$35=0,AI66+逐级计算!$C$35,AI66+逐级计算!$C$35-(10/(逐级计算!$Q$35*LN(10))*(MAX((LN(10^(逐级计算!$Q$35/10)-1)+逐级计算!$Q$35*(AI66-逐级计算!$P$35)*LN(10)/10),0)+LN(1+EXP(-ABS((LN(10^(逐级计算!$Q$35/10)-1)+逐级计算!$Q$35*(AI66-逐级计算!$P$35)*LN(10)/10))))))),"")</f>
        <v>13.7930365742089</v>
      </c>
      <c r="AK66">
        <f>IF(AND(ISNUMBER(AJ66),逐级计算!$X$36&gt;-1),IF(逐级计算!$X$36=0,AJ66+逐级计算!$C$36,AJ66+逐级计算!$C$36-(10/(逐级计算!$Q$36*LN(10))*(MAX((LN(10^(逐级计算!$Q$36/10)-1)+逐级计算!$Q$36*(AJ66-逐级计算!$P$36)*LN(10)/10),0)+LN(1+EXP(-ABS((LN(10^(逐级计算!$Q$36/10)-1)+逐级计算!$Q$36*(AJ66-逐级计算!$P$36)*LN(10)/10))))))),"")</f>
        <v>13.7930365742089</v>
      </c>
      <c r="AL66">
        <f>IF(AND(ISNUMBER(AK66),逐级计算!$X$37&gt;-1),IF(逐级计算!$X$37=0,AK66+逐级计算!$C$37,AK66+逐级计算!$C$37-(10/(逐级计算!$Q$37*LN(10))*(MAX((LN(10^(逐级计算!$Q$37/10)-1)+逐级计算!$Q$37*(AK66-逐级计算!$P$37)*LN(10)/10),0)+LN(1+EXP(-ABS((LN(10^(逐级计算!$Q$37/10)-1)+逐级计算!$Q$37*(AK66-逐级计算!$P$37)*LN(10)/10))))))),"")</f>
        <v>13.7930365742089</v>
      </c>
      <c r="AM66">
        <f>IF(AND(ISNUMBER(AL66),逐级计算!$X$38&gt;-1),IF(逐级计算!$X$38=0,AL66+逐级计算!$C$38,AL66+逐级计算!$C$38-(10/(逐级计算!$Q$38*LN(10))*(MAX((LN(10^(逐级计算!$Q$38/10)-1)+逐级计算!$Q$38*(AL66-逐级计算!$P$38)*LN(10)/10),0)+LN(1+EXP(-ABS((LN(10^(逐级计算!$Q$38/10)-1)+逐级计算!$Q$38*(AL66-逐级计算!$P$38)*LN(10)/10))))))),"")</f>
        <v>13.7930365742089</v>
      </c>
      <c r="AN66">
        <f>IF(AND(ISNUMBER(AM66),逐级计算!$X$39&gt;-1),IF(逐级计算!$X$39=0,AM66+逐级计算!$C$39,AM66+逐级计算!$C$39-(10/(逐级计算!$Q$39*LN(10))*(MAX((LN(10^(逐级计算!$Q$39/10)-1)+逐级计算!$Q$39*(AM66-逐级计算!$P$39)*LN(10)/10),0)+LN(1+EXP(-ABS((LN(10^(逐级计算!$Q$39/10)-1)+逐级计算!$Q$39*(AM66-逐级计算!$P$39)*LN(10)/10))))))),"")</f>
        <v>13.7930365742089</v>
      </c>
      <c r="AO66">
        <f>IF(AND(ISNUMBER(AN66),逐级计算!$X$40&gt;-1),IF(逐级计算!$X$40=0,AN66+逐级计算!$C$40,AN66+逐级计算!$C$40-(10/(逐级计算!$Q$40*LN(10))*(MAX((LN(10^(逐级计算!$Q$40/10)-1)+逐级计算!$Q$40*(AN66-逐级计算!$P$40)*LN(10)/10),0)+LN(1+EXP(-ABS((LN(10^(逐级计算!$Q$40/10)-1)+逐级计算!$Q$40*(AN66-逐级计算!$P$40)*LN(10)/10))))))),"")</f>
        <v>13.7930365742089</v>
      </c>
      <c r="AP66">
        <f>IF(AND(ISNUMBER(AO66),逐级计算!$X$41&gt;-1),IF(逐级计算!$X$41=0,AO66+逐级计算!$C$41,AO66+逐级计算!$C$41-(10/(逐级计算!$Q$41*LN(10))*(MAX((LN(10^(逐级计算!$Q$41/10)-1)+逐级计算!$Q$41*(AO66-逐级计算!$P$41)*LN(10)/10),0)+LN(1+EXP(-ABS((LN(10^(逐级计算!$Q$41/10)-1)+逐级计算!$Q$41*(AO66-逐级计算!$P$41)*LN(10)/10))))))),"")</f>
        <v>13.7930365742089</v>
      </c>
      <c r="AQ66">
        <f>IF(AND(ISNUMBER(AP66),逐级计算!$X$42&gt;-1),IF(逐级计算!$X$42=0,AP66+逐级计算!$C$42,AP66+逐级计算!$C$42-(10/(逐级计算!$Q$42*LN(10))*(MAX((LN(10^(逐级计算!$Q$42/10)-1)+逐级计算!$Q$42*(AP66-逐级计算!$P$42)*LN(10)/10),0)+LN(1+EXP(-ABS((LN(10^(逐级计算!$Q$42/10)-1)+逐级计算!$Q$42*(AP66-逐级计算!$P$42)*LN(10)/10))))))),"")</f>
        <v>13.7930365742089</v>
      </c>
      <c r="AR66">
        <f>IF(AND(ISNUMBER(AQ66),逐级计算!$X$43&gt;-1),IF(逐级计算!$X$43=0,AQ66+逐级计算!$C$43,AQ66+逐级计算!$C$43-(10/(逐级计算!$Q$43*LN(10))*(MAX((LN(10^(逐级计算!$Q$43/10)-1)+逐级计算!$Q$43*(AQ66-逐级计算!$P$43)*LN(10)/10),0)+LN(1+EXP(-ABS((LN(10^(逐级计算!$Q$43/10)-1)+逐级计算!$Q$43*(AQ66-逐级计算!$P$43)*LN(10)/10))))))),"")</f>
        <v>13.7930365742089</v>
      </c>
      <c r="AS66">
        <f>IF(AND(ISNUMBER(AR66),逐级计算!$X$44&gt;-1),IF(逐级计算!$X$44=0,AR66+逐级计算!$C$44,AR66+逐级计算!$C$44-(10/(逐级计算!$Q$44*LN(10))*(MAX((LN(10^(逐级计算!$Q$44/10)-1)+逐级计算!$Q$44*(AR66-逐级计算!$P$44)*LN(10)/10),0)+LN(1+EXP(-ABS((LN(10^(逐级计算!$Q$44/10)-1)+逐级计算!$Q$44*(AR66-逐级计算!$P$44)*LN(10)/10))))))),"")</f>
        <v>13.7930365742089</v>
      </c>
      <c r="AT66">
        <f>IF(AND(ISNUMBER(AS66),逐级计算!$X$45&gt;-1),IF(逐级计算!$X$45=0,AS66+逐级计算!$C$45,AS66+逐级计算!$C$45-(10/(逐级计算!$Q$45*LN(10))*(MAX((LN(10^(逐级计算!$Q$45/10)-1)+逐级计算!$Q$45*(AS66-逐级计算!$P$45)*LN(10)/10),0)+LN(1+EXP(-ABS((LN(10^(逐级计算!$Q$45/10)-1)+逐级计算!$Q$45*(AS66-逐级计算!$P$45)*LN(10)/10))))))),"")</f>
        <v>13.7930365742089</v>
      </c>
      <c r="AU66">
        <f>IF(AND(ISNUMBER(AT66),逐级计算!$X$46&gt;-1),IF(逐级计算!$X$46=0,AT66+逐级计算!$C$46,AT66+逐级计算!$C$46-(10/(逐级计算!$Q$46*LN(10))*(MAX((LN(10^(逐级计算!$Q$46/10)-1)+逐级计算!$Q$46*(AT66-逐级计算!$P$46)*LN(10)/10),0)+LN(1+EXP(-ABS((LN(10^(逐级计算!$Q$46/10)-1)+逐级计算!$Q$46*(AT66-逐级计算!$P$46)*LN(10)/10))))))),"")</f>
        <v>13.7930365742089</v>
      </c>
      <c r="AV66">
        <f>IF(AND(ISNUMBER(AU66),逐级计算!$X$47&gt;-1),IF(逐级计算!$X$47=0,AU66+逐级计算!$C$47,AU66+逐级计算!$C$47-(10/(逐级计算!$Q$47*LN(10))*(MAX((LN(10^(逐级计算!$Q$47/10)-1)+逐级计算!$Q$47*(AU66-逐级计算!$P$47)*LN(10)/10),0)+LN(1+EXP(-ABS((LN(10^(逐级计算!$Q$47/10)-1)+逐级计算!$Q$47*(AU66-逐级计算!$P$47)*LN(10)/10))))))),"")</f>
        <v>13.7930365742089</v>
      </c>
      <c r="AW66">
        <f>IF(AND(ISNUMBER(AV66),逐级计算!$X$48&gt;-1),IF(逐级计算!$X$48=0,AV66+逐级计算!$C$48,AV66+逐级计算!$C$48-(10/(逐级计算!$Q$48*LN(10))*(MAX((LN(10^(逐级计算!$Q$48/10)-1)+逐级计算!$Q$48*(AV66-逐级计算!$P$48)*LN(10)/10),0)+LN(1+EXP(-ABS((LN(10^(逐级计算!$Q$48/10)-1)+逐级计算!$Q$48*(AV66-逐级计算!$P$48)*LN(10)/10))))))),"")</f>
        <v>13.7930365742089</v>
      </c>
      <c r="AX66">
        <f>IF(AND(ISNUMBER(AW66),逐级计算!$X$49&gt;-1),IF(逐级计算!$X$49=0,AW66+逐级计算!$C$49,AW66+逐级计算!$C$49-(10/(逐级计算!$Q$49*LN(10))*(MAX((LN(10^(逐级计算!$Q$49/10)-1)+逐级计算!$Q$49*(AW66-逐级计算!$P$49)*LN(10)/10),0)+LN(1+EXP(-ABS((LN(10^(逐级计算!$Q$49/10)-1)+逐级计算!$Q$49*(AW66-逐级计算!$P$49)*LN(10)/10))))))),"")</f>
        <v>13.7930365742089</v>
      </c>
      <c r="AY66">
        <f>IF(AND(ISNUMBER(AX66),逐级计算!$X$50&gt;-1),IF(逐级计算!$X$50=0,AX66+逐级计算!$C$50,AX66+逐级计算!$C$50-(10/(逐级计算!$Q$50*LN(10))*(MAX((LN(10^(逐级计算!$Q$50/10)-1)+逐级计算!$Q$50*(AX66-逐级计算!$P$50)*LN(10)/10),0)+LN(1+EXP(-ABS((LN(10^(逐级计算!$Q$50/10)-1)+逐级计算!$Q$50*(AX66-逐级计算!$P$50)*LN(10)/10))))))),"")</f>
        <v>13.7930365742089</v>
      </c>
      <c r="AZ66">
        <f>IF(AND(ISNUMBER(AY66),逐级计算!$X$51&gt;-1),IF(逐级计算!$X$51=0,AY66+逐级计算!$C$51,AY66+逐级计算!$C$51-(10/(逐级计算!$Q$51*LN(10))*(MAX((LN(10^(逐级计算!$Q$51/10)-1)+逐级计算!$Q$51*(AY66-逐级计算!$P$51)*LN(10)/10),0)+LN(1+EXP(-ABS((LN(10^(逐级计算!$Q$51/10)-1)+逐级计算!$Q$51*(AY66-逐级计算!$P$51)*LN(10)/10))))))),"")</f>
        <v>13.7930365742089</v>
      </c>
      <c r="BA66">
        <f>IF(AND(ISNUMBER(AZ66),逐级计算!$X$52&gt;-1),IF(逐级计算!$X$52=0,AZ66+逐级计算!$C$52,AZ66+逐级计算!$C$52-(10/(逐级计算!$Q$52*LN(10))*(MAX((LN(10^(逐级计算!$Q$52/10)-1)+逐级计算!$Q$52*(AZ66-逐级计算!$P$52)*LN(10)/10),0)+LN(1+EXP(-ABS((LN(10^(逐级计算!$Q$52/10)-1)+逐级计算!$Q$52*(AZ66-逐级计算!$P$52)*LN(10)/10))))))),"")</f>
        <v>13.7930365742089</v>
      </c>
      <c r="BB66">
        <f>IF(AND(ISNUMBER(BA66),逐级计算!$X$53&gt;-1),IF(逐级计算!$X$53=0,BA66+逐级计算!$C$53,BA66+逐级计算!$C$53-(10/(逐级计算!$Q$53*LN(10))*(MAX((LN(10^(逐级计算!$Q$53/10)-1)+逐级计算!$Q$53*(BA66-逐级计算!$P$53)*LN(10)/10),0)+LN(1+EXP(-ABS((LN(10^(逐级计算!$Q$53/10)-1)+逐级计算!$Q$53*(BA66-逐级计算!$P$53)*LN(10)/10))))))),"")</f>
        <v>13.7930365742089</v>
      </c>
      <c r="BC66">
        <f>IF(AND(ISNUMBER(BB66),逐级计算!$X$54&gt;-1),IF(逐级计算!$X$54=0,BB66+逐级计算!$C$54,BB66+逐级计算!$C$54-(10/(逐级计算!$Q$54*LN(10))*(MAX((LN(10^(逐级计算!$Q$54/10)-1)+逐级计算!$Q$54*(BB66-逐级计算!$P$54)*LN(10)/10),0)+LN(1+EXP(-ABS((LN(10^(逐级计算!$Q$54/10)-1)+逐级计算!$Q$54*(BB66-逐级计算!$P$54)*LN(10)/10))))))),"")</f>
        <v>13.7930365742089</v>
      </c>
      <c r="BD66">
        <f>IF(AND(ISNUMBER(BC66),逐级计算!$X$55&gt;-1),IF(逐级计算!$X$55=0,BC66+逐级计算!$C$55,BC66+逐级计算!$C$55-(10/(逐级计算!$Q$55*LN(10))*(MAX((LN(10^(逐级计算!$Q$55/10)-1)+逐级计算!$Q$55*(BC66-逐级计算!$P$55)*LN(10)/10),0)+LN(1+EXP(-ABS((LN(10^(逐级计算!$Q$55/10)-1)+逐级计算!$Q$55*(BC66-逐级计算!$P$55)*LN(10)/10))))))),"")</f>
        <v>13.7930365742089</v>
      </c>
      <c r="BE66">
        <f>IF(AND(ISNUMBER(BD66),逐级计算!$X$56&gt;-1),IF(逐级计算!$X$56=0,BD66+逐级计算!$C$56,BD66+逐级计算!$C$56-(10/(逐级计算!$Q$56*LN(10))*(MAX((LN(10^(逐级计算!$Q$56/10)-1)+逐级计算!$Q$56*(BD66-逐级计算!$P$56)*LN(10)/10),0)+LN(1+EXP(-ABS((LN(10^(逐级计算!$Q$56/10)-1)+逐级计算!$Q$56*(BD66-逐级计算!$P$56)*LN(10)/10))))))),"")</f>
        <v>13.7930365742089</v>
      </c>
      <c r="BF66">
        <f>IF(AND(ISNUMBER(BE66),逐级计算!$X$57&gt;-1),IF(逐级计算!$X$57=0,BE66+逐级计算!$C$57,BE66+逐级计算!$C$57-(10/(逐级计算!$Q$57*LN(10))*(MAX((LN(10^(逐级计算!$Q$57/10)-1)+逐级计算!$Q$57*(BE66-逐级计算!$P$57)*LN(10)/10),0)+LN(1+EXP(-ABS((LN(10^(逐级计算!$Q$57/10)-1)+逐级计算!$Q$57*(BE66-逐级计算!$P$57)*LN(10)/10))))))),"")</f>
        <v>13.7930365742089</v>
      </c>
      <c r="BG66">
        <f>IF(AND(ISNUMBER(BF66),逐级计算!$X$58&gt;-1),IF(逐级计算!$X$58=0,BF66+逐级计算!$C$58,BF66+逐级计算!$C$58-(10/(逐级计算!$Q$58*LN(10))*(MAX((LN(10^(逐级计算!$Q$58/10)-1)+逐级计算!$Q$58*(BF66-逐级计算!$P$58)*LN(10)/10),0)+LN(1+EXP(-ABS((LN(10^(逐级计算!$Q$58/10)-1)+逐级计算!$Q$58*(BF66-逐级计算!$P$58)*LN(10)/10))))))),"")</f>
        <v>13.7930365742089</v>
      </c>
      <c r="BH66">
        <f>IF(AND(ISNUMBER(BG66),逐级计算!$X$59&gt;-1),IF(逐级计算!$X$59=0,BG66+逐级计算!$C$59,BG66+逐级计算!$C$59-(10/(逐级计算!$Q$59*LN(10))*(MAX((LN(10^(逐级计算!$Q$59/10)-1)+逐级计算!$Q$59*(BG66-逐级计算!$P$59)*LN(10)/10),0)+LN(1+EXP(-ABS((LN(10^(逐级计算!$Q$59/10)-1)+逐级计算!$Q$59*(BG66-逐级计算!$P$59)*LN(10)/10))))))),"")</f>
        <v>13.7930365742089</v>
      </c>
      <c r="BI66">
        <f>IF(AND(ISNUMBER(BH66),逐级计算!$X$60&gt;-1),IF(逐级计算!$X$60=0,BH66+逐级计算!$C$60,BH66+逐级计算!$C$60-(10/(逐级计算!$Q$60*LN(10))*(MAX((LN(10^(逐级计算!$Q$60/10)-1)+逐级计算!$Q$60*(BH66-逐级计算!$P$60)*LN(10)/10),0)+LN(1+EXP(-ABS((LN(10^(逐级计算!$Q$60/10)-1)+逐级计算!$Q$60*(BH66-逐级计算!$P$60)*LN(10)/10))))))),"")</f>
        <v>13.7930365742089</v>
      </c>
      <c r="BJ66">
        <f>IF(AND(ISNUMBER(BI66),逐级计算!$X$61&gt;-1),IF(逐级计算!$X$61=0,BI66+逐级计算!$C$61,BI66+逐级计算!$C$61-(10/(逐级计算!$Q$61*LN(10))*(MAX((LN(10^(逐级计算!$Q$61/10)-1)+逐级计算!$Q$61*(BI66-逐级计算!$P$61)*LN(10)/10),0)+LN(1+EXP(-ABS((LN(10^(逐级计算!$Q$61/10)-1)+逐级计算!$Q$61*(BI66-逐级计算!$P$61)*LN(10)/10))))))),"")</f>
        <v>13.7930365742089</v>
      </c>
      <c r="BK66">
        <f>IF(AND(ISNUMBER(BJ66),逐级计算!$X$62&gt;-1),IF(逐级计算!$X$62=0,BJ66+逐级计算!$C$62,BJ66+逐级计算!$C$62-(10/(逐级计算!$Q$62*LN(10))*(MAX((LN(10^(逐级计算!$Q$62/10)-1)+逐级计算!$Q$62*(BJ66-逐级计算!$P$62)*LN(10)/10),0)+LN(1+EXP(-ABS((LN(10^(逐级计算!$Q$62/10)-1)+逐级计算!$Q$62*(BJ66-逐级计算!$P$62)*LN(10)/10))))))),"")</f>
        <v>13.7930365742089</v>
      </c>
      <c r="BL66">
        <f>IF(AND(ISNUMBER(BK66),逐级计算!$X$63&gt;-1),IF(逐级计算!$X$63=0,BK66+逐级计算!$C$63,BK66+逐级计算!$C$63-(10/(逐级计算!$Q$63*LN(10))*(MAX((LN(10^(逐级计算!$Q$63/10)-1)+逐级计算!$Q$63*(BK66-逐级计算!$P$63)*LN(10)/10),0)+LN(1+EXP(-ABS((LN(10^(逐级计算!$Q$63/10)-1)+逐级计算!$Q$63*(BK66-逐级计算!$P$63)*LN(10)/10))))))),"")</f>
        <v>13.7930365742089</v>
      </c>
      <c r="BM66">
        <f>IF(AND(ISNUMBER(BL66),逐级计算!$X$64&gt;-1),IF(逐级计算!$X$64=0,BL66+逐级计算!$C$64,BL66+逐级计算!$C$64-(10/(逐级计算!$Q$64*LN(10))*(MAX((LN(10^(逐级计算!$Q$64/10)-1)+逐级计算!$Q$64*(BL66-逐级计算!$P$64)*LN(10)/10),0)+LN(1+EXP(-ABS((LN(10^(逐级计算!$Q$64/10)-1)+逐级计算!$Q$64*(BL66-逐级计算!$P$64)*LN(10)/10))))))),"")</f>
        <v>13.7930365742089</v>
      </c>
      <c r="BN66">
        <f>IF(AND(ISNUMBER(BM66),逐级计算!$X$65&gt;-1),IF(逐级计算!$X$65=0,BM66+逐级计算!$C$65,BM66+逐级计算!$C$65-(10/(逐级计算!$Q$65*LN(10))*(MAX((LN(10^(逐级计算!$Q$65/10)-1)+逐级计算!$Q$65*(BM66-逐级计算!$P$65)*LN(10)/10),0)+LN(1+EXP(-ABS((LN(10^(逐级计算!$Q$65/10)-1)+逐级计算!$Q$65*(BM66-逐级计算!$P$65)*LN(10)/10))))))),"")</f>
        <v>13.7930365742089</v>
      </c>
      <c r="BO66">
        <f>IF(AND(ISNUMBER(BN66),逐级计算!$X$66&gt;-1),IF(逐级计算!$X$66=0,BN66+逐级计算!$C$66,BN66+逐级计算!$C$66-(10/(逐级计算!$Q$66*LN(10))*(MAX((LN(10^(逐级计算!$Q$66/10)-1)+逐级计算!$Q$66*(BN66-逐级计算!$P$66)*LN(10)/10),0)+LN(1+EXP(-ABS((LN(10^(逐级计算!$Q$66/10)-1)+逐级计算!$Q$66*(BN66-逐级计算!$P$66)*LN(10)/10))))))),"")</f>
        <v>13.7930365742089</v>
      </c>
      <c r="BP66">
        <f>IF(AND(ISNUMBER(BO66),逐级计算!$X$67&gt;-1),IF(逐级计算!$X$67=0,BO66+逐级计算!$C$67,BO66+逐级计算!$C$67-(10/(逐级计算!$Q$67*LN(10))*(MAX((LN(10^(逐级计算!$Q$67/10)-1)+逐级计算!$Q$67*(BO66-逐级计算!$P$67)*LN(10)/10),0)+LN(1+EXP(-ABS((LN(10^(逐级计算!$Q$67/10)-1)+逐级计算!$Q$67*(BO66-逐级计算!$P$67)*LN(10)/10))))))),"")</f>
        <v>13.7930365742089</v>
      </c>
      <c r="BQ66">
        <f>IF(AND(ISNUMBER(BP66),逐级计算!$X$68&gt;-1),IF(逐级计算!$X$68=0,BP66+逐级计算!$C$68,BP66+逐级计算!$C$68-(10/(逐级计算!$Q$68*LN(10))*(MAX((LN(10^(逐级计算!$Q$68/10)-1)+逐级计算!$Q$68*(BP66-逐级计算!$P$68)*LN(10)/10),0)+LN(1+EXP(-ABS((LN(10^(逐级计算!$Q$68/10)-1)+逐级计算!$Q$68*(BP66-逐级计算!$P$68)*LN(10)/10))))))),"")</f>
        <v>13.7930365742089</v>
      </c>
      <c r="BR66">
        <f>IF(AND(ISNUMBER(BQ66),逐级计算!$X$69&gt;-1),IF(逐级计算!$X$69=0,BQ66+逐级计算!$C$69,BQ66+逐级计算!$C$69-(10/(逐级计算!$Q$69*LN(10))*(MAX((LN(10^(逐级计算!$Q$69/10)-1)+逐级计算!$Q$69*(BQ66-逐级计算!$P$69)*LN(10)/10),0)+LN(1+EXP(-ABS((LN(10^(逐级计算!$Q$69/10)-1)+逐级计算!$Q$69*(BQ66-逐级计算!$P$69)*LN(10)/10))))))),"")</f>
        <v>13.7930365742089</v>
      </c>
      <c r="BS66">
        <f>IF(AND(ISNUMBER(BR66),逐级计算!$X$70&gt;-1),IF(逐级计算!$X$70=0,BR66+逐级计算!$C$70,BR66+逐级计算!$C$70-(10/(逐级计算!$Q$70*LN(10))*(MAX((LN(10^(逐级计算!$Q$70/10)-1)+逐级计算!$Q$70*(BR66-逐级计算!$P$70)*LN(10)/10),0)+LN(1+EXP(-ABS((LN(10^(逐级计算!$Q$70/10)-1)+逐级计算!$Q$70*(BR66-逐级计算!$P$70)*LN(10)/10))))))),"")</f>
        <v>13.7930365742089</v>
      </c>
      <c r="BT66">
        <f>IF(AND(ISNUMBER(BS66),逐级计算!$X$71&gt;-1),IF(逐级计算!$X$71=0,BS66+逐级计算!$C$71,BS66+逐级计算!$C$71-(10/(逐级计算!$Q$71*LN(10))*(MAX((LN(10^(逐级计算!$Q$71/10)-1)+逐级计算!$Q$71*(BS66-逐级计算!$P$71)*LN(10)/10),0)+LN(1+EXP(-ABS((LN(10^(逐级计算!$Q$71/10)-1)+逐级计算!$Q$71*(BS66-逐级计算!$P$71)*LN(10)/10))))))),"")</f>
        <v>13.7930365742089</v>
      </c>
      <c r="BU66">
        <f>IF(AND(ISNUMBER(BT66),逐级计算!$X$72&gt;-1),IF(逐级计算!$X$72=0,BT66+逐级计算!$C$72,BT66+逐级计算!$C$72-(10/(逐级计算!$Q$72*LN(10))*(MAX((LN(10^(逐级计算!$Q$72/10)-1)+逐级计算!$Q$72*(BT66-逐级计算!$P$72)*LN(10)/10),0)+LN(1+EXP(-ABS((LN(10^(逐级计算!$Q$72/10)-1)+逐级计算!$Q$72*(BT66-逐级计算!$P$72)*LN(10)/10))))))),"")</f>
        <v>13.7930365742089</v>
      </c>
      <c r="BV66">
        <f>IF(AND(ISNUMBER(BU66),逐级计算!$X$73&gt;-1),IF(逐级计算!$X$73=0,BU66+逐级计算!$C$73,BU66+逐级计算!$C$73-(10/(逐级计算!$Q$73*LN(10))*(MAX((LN(10^(逐级计算!$Q$73/10)-1)+逐级计算!$Q$73*(BU66-逐级计算!$P$73)*LN(10)/10),0)+LN(1+EXP(-ABS((LN(10^(逐级计算!$Q$73/10)-1)+逐级计算!$Q$73*(BU66-逐级计算!$P$73)*LN(10)/10))))))),"")</f>
        <v>13.7930365742089</v>
      </c>
      <c r="BW66">
        <f>IF(AND(ISNUMBER(BV66),逐级计算!$X$74&gt;-1),IF(逐级计算!$X$74=0,BV66+逐级计算!$C$74,BV66+逐级计算!$C$74-(10/(逐级计算!$Q$74*LN(10))*(MAX((LN(10^(逐级计算!$Q$74/10)-1)+逐级计算!$Q$74*(BV66-逐级计算!$P$74)*LN(10)/10),0)+LN(1+EXP(-ABS((LN(10^(逐级计算!$Q$74/10)-1)+逐级计算!$Q$74*(BV66-逐级计算!$P$74)*LN(10)/10))))))),"")</f>
        <v>13.7930365742089</v>
      </c>
      <c r="BX66">
        <f>IF(AND(ISNUMBER(BW66),逐级计算!$X$75&gt;-1),IF(逐级计算!$X$75=0,BW66+逐级计算!$C$75,BW66+逐级计算!$C$75-(10/(逐级计算!$Q$75*LN(10))*(MAX((LN(10^(逐级计算!$Q$75/10)-1)+逐级计算!$Q$75*(BW66-逐级计算!$P$75)*LN(10)/10),0)+LN(1+EXP(-ABS((LN(10^(逐级计算!$Q$75/10)-1)+逐级计算!$Q$75*(BW66-逐级计算!$P$75)*LN(10)/10))))))),"")</f>
        <v>13.7930365742089</v>
      </c>
      <c r="BY66">
        <f>IF(AND(ISNUMBER(BX66),逐级计算!$X$76&gt;-1),IF(逐级计算!$X$76=0,BX66+逐级计算!$C$76,BX66+逐级计算!$C$76-(10/(逐级计算!$Q$76*LN(10))*(MAX((LN(10^(逐级计算!$Q$76/10)-1)+逐级计算!$Q$76*(BX66-逐级计算!$P$76)*LN(10)/10),0)+LN(1+EXP(-ABS((LN(10^(逐级计算!$Q$76/10)-1)+逐级计算!$Q$76*(BX66-逐级计算!$P$76)*LN(10)/10))))))),"")</f>
        <v>13.7930365742089</v>
      </c>
      <c r="BZ66">
        <f>IF(AND(ISNUMBER(BY66),逐级计算!$X$77&gt;-1),IF(逐级计算!$X$77=0,BY66+逐级计算!$C$77,BY66+逐级计算!$C$77-(10/(逐级计算!$Q$77*LN(10))*(MAX((LN(10^(逐级计算!$Q$77/10)-1)+逐级计算!$Q$77*(BY66-逐级计算!$P$77)*LN(10)/10),0)+LN(1+EXP(-ABS((LN(10^(逐级计算!$Q$77/10)-1)+逐级计算!$Q$77*(BY66-逐级计算!$P$77)*LN(10)/10))))))),"")</f>
        <v>13.7930365742089</v>
      </c>
      <c r="CA66">
        <f>IF(AND(ISNUMBER(BZ66),逐级计算!$X$78&gt;-1),IF(逐级计算!$X$78=0,BZ66+逐级计算!$C$78,BZ66+逐级计算!$C$78-(10/(逐级计算!$Q$78*LN(10))*(MAX((LN(10^(逐级计算!$Q$78/10)-1)+逐级计算!$Q$78*(BZ66-逐级计算!$P$78)*LN(10)/10),0)+LN(1+EXP(-ABS((LN(10^(逐级计算!$Q$78/10)-1)+逐级计算!$Q$78*(BZ66-逐级计算!$P$78)*LN(10)/10))))))),"")</f>
        <v>13.7930365742089</v>
      </c>
      <c r="CB66">
        <f>IF(AND(ISNUMBER(CA66),逐级计算!$X$79&gt;-1),IF(逐级计算!$X$79=0,CA66+逐级计算!$C$79,CA66+逐级计算!$C$79-(10/(逐级计算!$Q$79*LN(10))*(MAX((LN(10^(逐级计算!$Q$79/10)-1)+逐级计算!$Q$79*(CA66-逐级计算!$P$79)*LN(10)/10),0)+LN(1+EXP(-ABS((LN(10^(逐级计算!$Q$79/10)-1)+逐级计算!$Q$79*(CA66-逐级计算!$P$79)*LN(10)/10))))))),"")</f>
        <v>13.7930365742089</v>
      </c>
      <c r="CC66">
        <f>IF(AND(ISNUMBER(CB66),逐级计算!$X$80&gt;-1),IF(逐级计算!$X$80=0,CB66+逐级计算!$C$80,CB66+逐级计算!$C$80-(10/(逐级计算!$Q$80*LN(10))*(MAX((LN(10^(逐级计算!$Q$80/10)-1)+逐级计算!$Q$80*(CB66-逐级计算!$P$80)*LN(10)/10),0)+LN(1+EXP(-ABS((LN(10^(逐级计算!$Q$80/10)-1)+逐级计算!$Q$80*(CB66-逐级计算!$P$80)*LN(10)/10))))))),"")</f>
        <v>13.7930365742089</v>
      </c>
      <c r="CD66">
        <f>IF(AND(ISNUMBER(CC66),逐级计算!$X$81&gt;-1),IF(逐级计算!$X$81=0,CC66+逐级计算!$C$81,CC66+逐级计算!$C$81-(10/(逐级计算!$Q$81*LN(10))*(MAX((LN(10^(逐级计算!$Q$81/10)-1)+逐级计算!$Q$81*(CC66-逐级计算!$P$81)*LN(10)/10),0)+LN(1+EXP(-ABS((LN(10^(逐级计算!$Q$81/10)-1)+逐级计算!$Q$81*(CC66-逐级计算!$P$81)*LN(10)/10))))))),"")</f>
        <v>13.7930365742089</v>
      </c>
      <c r="CE66">
        <f>IF(AND(ISNUMBER(CD66),逐级计算!$X$82&gt;-1),IF(逐级计算!$X$82=0,CD66+逐级计算!$C$82,CD66+逐级计算!$C$82-(10/(逐级计算!$Q$82*LN(10))*(MAX((LN(10^(逐级计算!$Q$82/10)-1)+逐级计算!$Q$82*(CD66-逐级计算!$P$82)*LN(10)/10),0)+LN(1+EXP(-ABS((LN(10^(逐级计算!$Q$82/10)-1)+逐级计算!$Q$82*(CD66-逐级计算!$P$82)*LN(10)/10))))))),"")</f>
        <v>13.7930365742089</v>
      </c>
      <c r="CF66">
        <f>IF(AND(ISNUMBER(CE66),逐级计算!$X$83&gt;-1),IF(逐级计算!$X$83=0,CE66+逐级计算!$C$83,CE66+逐级计算!$C$83-(10/(逐级计算!$Q$83*LN(10))*(MAX((LN(10^(逐级计算!$Q$83/10)-1)+逐级计算!$Q$83*(CE66-逐级计算!$P$83)*LN(10)/10),0)+LN(1+EXP(-ABS((LN(10^(逐级计算!$Q$83/10)-1)+逐级计算!$Q$83*(CE66-逐级计算!$P$83)*LN(10)/10))))))),"")</f>
        <v>13.7930365742089</v>
      </c>
      <c r="CG66">
        <f>IF(AND(ISNUMBER(CF66),逐级计算!$X$84&gt;-1),IF(逐级计算!$X$84=0,CF66+逐级计算!$C$84,CF66+逐级计算!$C$84-(10/(逐级计算!$Q$84*LN(10))*(MAX((LN(10^(逐级计算!$Q$84/10)-1)+逐级计算!$Q$84*(CF66-逐级计算!$P$84)*LN(10)/10),0)+LN(1+EXP(-ABS((LN(10^(逐级计算!$Q$84/10)-1)+逐级计算!$Q$84*(CF66-逐级计算!$P$84)*LN(10)/10))))))),"")</f>
        <v>13.7930365742089</v>
      </c>
      <c r="CH66">
        <f>IF(AND(ISNUMBER(CG66),逐级计算!$X$85&gt;-1),IF(逐级计算!$X$85=0,CG66+逐级计算!$C$85,CG66+逐级计算!$C$85-(10/(逐级计算!$Q$85*LN(10))*(MAX((LN(10^(逐级计算!$Q$85/10)-1)+逐级计算!$Q$85*(CG66-逐级计算!$P$85)*LN(10)/10),0)+LN(1+EXP(-ABS((LN(10^(逐级计算!$Q$85/10)-1)+逐级计算!$Q$85*(CG66-逐级计算!$P$85)*LN(10)/10))))))),"")</f>
        <v>13.7930365742089</v>
      </c>
      <c r="CI66">
        <f>IF(AND(ISNUMBER(CH66),逐级计算!$X$86&gt;-1),IF(逐级计算!$X$86=0,CH66+逐级计算!$C$86,CH66+逐级计算!$C$86-(10/(逐级计算!$Q$86*LN(10))*(MAX((LN(10^(逐级计算!$Q$86/10)-1)+逐级计算!$Q$86*(CH66-逐级计算!$P$86)*LN(10)/10),0)+LN(1+EXP(-ABS((LN(10^(逐级计算!$Q$86/10)-1)+逐级计算!$Q$86*(CH66-逐级计算!$P$86)*LN(10)/10))))))),"")</f>
        <v>13.7930365742089</v>
      </c>
      <c r="CJ66">
        <f>IF(AND(ISNUMBER(CI66),逐级计算!$X$87&gt;-1),IF(逐级计算!$X$87=0,CI66+逐级计算!$C$87,CI66+逐级计算!$C$87-(10/(逐级计算!$Q$87*LN(10))*(MAX((LN(10^(逐级计算!$Q$87/10)-1)+逐级计算!$Q$87*(CI66-逐级计算!$P$87)*LN(10)/10),0)+LN(1+EXP(-ABS((LN(10^(逐级计算!$Q$87/10)-1)+逐级计算!$Q$87*(CI66-逐级计算!$P$87)*LN(10)/10))))))),"")</f>
        <v>13.7930365742089</v>
      </c>
      <c r="CK66">
        <f>IF(AND(ISNUMBER(CJ66),逐级计算!$X$88&gt;-1),IF(逐级计算!$X$88=0,CJ66+逐级计算!$C$88,CJ66+逐级计算!$C$88-(10/(逐级计算!$Q$88*LN(10))*(MAX((LN(10^(逐级计算!$Q$88/10)-1)+逐级计算!$Q$88*(CJ66-逐级计算!$P$88)*LN(10)/10),0)+LN(1+EXP(-ABS((LN(10^(逐级计算!$Q$88/10)-1)+逐级计算!$Q$88*(CJ66-逐级计算!$P$88)*LN(10)/10))))))),"")</f>
        <v>13.7930365742089</v>
      </c>
      <c r="CL66">
        <f>IF(AND(ISNUMBER(CK66),逐级计算!$X$89&gt;-1),IF(逐级计算!$X$89=0,CK66+逐级计算!$C$89,CK66+逐级计算!$C$89-(10/(逐级计算!$Q$89*LN(10))*(MAX((LN(10^(逐级计算!$Q$89/10)-1)+逐级计算!$Q$89*(CK66-逐级计算!$P$89)*LN(10)/10),0)+LN(1+EXP(-ABS((LN(10^(逐级计算!$Q$89/10)-1)+逐级计算!$Q$89*(CK66-逐级计算!$P$89)*LN(10)/10))))))),"")</f>
        <v>13.7930365742089</v>
      </c>
      <c r="CM66">
        <f>IF(AND(ISNUMBER(CL66),逐级计算!$X$90&gt;-1),IF(逐级计算!$X$90=0,CL66+逐级计算!$C$90,CL66+逐级计算!$C$90-(10/(逐级计算!$Q$90*LN(10))*(MAX((LN(10^(逐级计算!$Q$90/10)-1)+逐级计算!$Q$90*(CL66-逐级计算!$P$90)*LN(10)/10),0)+LN(1+EXP(-ABS((LN(10^(逐级计算!$Q$90/10)-1)+逐级计算!$Q$90*(CL66-逐级计算!$P$90)*LN(10)/10))))))),"")</f>
        <v>13.7930365742089</v>
      </c>
      <c r="CN66">
        <f>IF(AND(ISNUMBER(CM66),逐级计算!$X$91&gt;-1),IF(逐级计算!$X$91=0,CM66+逐级计算!$C$91,CM66+逐级计算!$C$91-(10/(逐级计算!$Q$91*LN(10))*(MAX((LN(10^(逐级计算!$Q$91/10)-1)+逐级计算!$Q$91*(CM66-逐级计算!$P$91)*LN(10)/10),0)+LN(1+EXP(-ABS((LN(10^(逐级计算!$Q$91/10)-1)+逐级计算!$Q$91*(CM66-逐级计算!$P$91)*LN(10)/10))))))),"")</f>
        <v>13.7930365742089</v>
      </c>
      <c r="CO66">
        <f>IF(AND(ISNUMBER(CN66),逐级计算!$X$92&gt;-1),IF(逐级计算!$X$92=0,CN66+逐级计算!$C$92,CN66+逐级计算!$C$92-(10/(逐级计算!$Q$92*LN(10))*(MAX((LN(10^(逐级计算!$Q$92/10)-1)+逐级计算!$Q$92*(CN66-逐级计算!$P$92)*LN(10)/10),0)+LN(1+EXP(-ABS((LN(10^(逐级计算!$Q$92/10)-1)+逐级计算!$Q$92*(CN66-逐级计算!$P$92)*LN(10)/10))))))),"")</f>
        <v>13.7930365742089</v>
      </c>
      <c r="CP66">
        <f>IF(AND(ISNUMBER(CO66),逐级计算!$X$93&gt;-1),IF(逐级计算!$X$93=0,CO66+逐级计算!$C$93,CO66+逐级计算!$C$93-(10/(逐级计算!$Q$93*LN(10))*(MAX((LN(10^(逐级计算!$Q$93/10)-1)+逐级计算!$Q$93*(CO66-逐级计算!$P$93)*LN(10)/10),0)+LN(1+EXP(-ABS((LN(10^(逐级计算!$Q$93/10)-1)+逐级计算!$Q$93*(CO66-逐级计算!$P$93)*LN(10)/10))))))),"")</f>
        <v>13.7930365742089</v>
      </c>
      <c r="CQ66">
        <f>IF(AND(ISNUMBER(CP66),逐级计算!$X$94&gt;-1),IF(逐级计算!$X$94=0,CP66+逐级计算!$C$94,CP66+逐级计算!$C$94-(10/(逐级计算!$Q$94*LN(10))*(MAX((LN(10^(逐级计算!$Q$94/10)-1)+逐级计算!$Q$94*(CP66-逐级计算!$P$94)*LN(10)/10),0)+LN(1+EXP(-ABS((LN(10^(逐级计算!$Q$94/10)-1)+逐级计算!$Q$94*(CP66-逐级计算!$P$94)*LN(10)/10))))))),"")</f>
        <v>13.7930365742089</v>
      </c>
      <c r="CR66">
        <f>IF(AND(ISNUMBER(CQ66),逐级计算!$X$95&gt;-1),IF(逐级计算!$X$95=0,CQ66+逐级计算!$C$95,CQ66+逐级计算!$C$95-(10/(逐级计算!$Q$95*LN(10))*(MAX((LN(10^(逐级计算!$Q$95/10)-1)+逐级计算!$Q$95*(CQ66-逐级计算!$P$95)*LN(10)/10),0)+LN(1+EXP(-ABS((LN(10^(逐级计算!$Q$95/10)-1)+逐级计算!$Q$95*(CQ66-逐级计算!$P$95)*LN(10)/10))))))),"")</f>
        <v>13.7930365742089</v>
      </c>
      <c r="CS66">
        <f>IF(AND(ISNUMBER(CR66),逐级计算!$X$96&gt;-1),IF(逐级计算!$X$96=0,CR66+逐级计算!$C$96,CR66+逐级计算!$C$96-(10/(逐级计算!$Q$96*LN(10))*(MAX((LN(10^(逐级计算!$Q$96/10)-1)+逐级计算!$Q$96*(CR66-逐级计算!$P$96)*LN(10)/10),0)+LN(1+EXP(-ABS((LN(10^(逐级计算!$Q$96/10)-1)+逐级计算!$Q$96*(CR66-逐级计算!$P$96)*LN(10)/10))))))),"")</f>
        <v>13.7930365742089</v>
      </c>
      <c r="CT66">
        <f>IF(AND(ISNUMBER(CS66),逐级计算!$X$97&gt;-1),IF(逐级计算!$X$97=0,CS66+逐级计算!$C$97,CS66+逐级计算!$C$97-(10/(逐级计算!$Q$97*LN(10))*(MAX((LN(10^(逐级计算!$Q$97/10)-1)+逐级计算!$Q$97*(CS66-逐级计算!$P$97)*LN(10)/10),0)+LN(1+EXP(-ABS((LN(10^(逐级计算!$Q$97/10)-1)+逐级计算!$Q$97*(CS66-逐级计算!$P$97)*LN(10)/10))))))),"")</f>
        <v>13.7930365742089</v>
      </c>
      <c r="CU66">
        <f>IF(AND(ISNUMBER(CT66),逐级计算!$X$98&gt;-1),IF(逐级计算!$X$98=0,CT66+逐级计算!$C$98,CT66+逐级计算!$C$98-(10/(逐级计算!$Q$98*LN(10))*(MAX((LN(10^(逐级计算!$Q$98/10)-1)+逐级计算!$Q$98*(CT66-逐级计算!$P$98)*LN(10)/10),0)+LN(1+EXP(-ABS((LN(10^(逐级计算!$Q$98/10)-1)+逐级计算!$Q$98*(CT66-逐级计算!$P$98)*LN(10)/10))))))),"")</f>
        <v>13.7930365742089</v>
      </c>
      <c r="CV66">
        <f>IF(AND(ISNUMBER(CU66),逐级计算!$X$99&gt;-1),IF(逐级计算!$X$99=0,CU66+逐级计算!$C$99,CU66+逐级计算!$C$99-(10/(逐级计算!$Q$99*LN(10))*(MAX((LN(10^(逐级计算!$Q$99/10)-1)+逐级计算!$Q$99*(CU66-逐级计算!$P$99)*LN(10)/10),0)+LN(1+EXP(-ABS((LN(10^(逐级计算!$Q$99/10)-1)+逐级计算!$Q$99*(CU66-逐级计算!$P$99)*LN(10)/10))))))),"")</f>
        <v>13.7930365742089</v>
      </c>
      <c r="CW66">
        <f>IF(AND(ISNUMBER(CV66),逐级计算!$X$100&gt;-1),IF(逐级计算!$X$100=0,CV66+逐级计算!$C$100,CV66+逐级计算!$C$100-(10/(逐级计算!$Q$100*LN(10))*(MAX((LN(10^(逐级计算!$Q$100/10)-1)+逐级计算!$Q$100*(CV66-逐级计算!$P$100)*LN(10)/10),0)+LN(1+EXP(-ABS((LN(10^(逐级计算!$Q$100/10)-1)+逐级计算!$Q$100*(CV66-逐级计算!$P$100)*LN(10)/10))))))),"")</f>
        <v>13.7930365742089</v>
      </c>
      <c r="CX66">
        <f>IF(AND(ISNUMBER(CW66),逐级计算!$X$101&gt;-1),IF(逐级计算!$X$101=0,CW66+逐级计算!$C$101,CW66+逐级计算!$C$101-(10/(逐级计算!$Q$101*LN(10))*(MAX((LN(10^(逐级计算!$Q$101/10)-1)+逐级计算!$Q$101*(CW66-逐级计算!$P$101)*LN(10)/10),0)+LN(1+EXP(-ABS((LN(10^(逐级计算!$Q$101/10)-1)+逐级计算!$Q$101*(CW66-逐级计算!$P$101)*LN(10)/10))))))),"")</f>
        <v>13.7930365742089</v>
      </c>
      <c r="CY66">
        <f>IF(AND(ISNUMBER(CX66),逐级计算!$X$102&gt;-1),IF(逐级计算!$X$102=0,CX66+逐级计算!$C$102,CX66+逐级计算!$C$102-(10/(逐级计算!$Q$102*LN(10))*(MAX((LN(10^(逐级计算!$Q$102/10)-1)+逐级计算!$Q$102*(CX66-逐级计算!$P$102)*LN(10)/10),0)+LN(1+EXP(-ABS((LN(10^(逐级计算!$Q$102/10)-1)+逐级计算!$Q$102*(CX66-逐级计算!$P$102)*LN(10)/10))))))),"")</f>
        <v>13.7930365742089</v>
      </c>
      <c r="CZ66">
        <f>IF(AND(ISNUMBER(CY66),逐级计算!$X$103&gt;-1),IF(逐级计算!$X$103=0,CY66+逐级计算!$C$103,CY66+逐级计算!$C$103-(10/(逐级计算!$Q$103*LN(10))*(MAX((LN(10^(逐级计算!$Q$103/10)-1)+逐级计算!$Q$103*(CY66-逐级计算!$P$103)*LN(10)/10),0)+LN(1+EXP(-ABS((LN(10^(逐级计算!$Q$103/10)-1)+逐级计算!$Q$103*(CY66-逐级计算!$P$103)*LN(10)/10))))))),"")</f>
        <v>13.7930365742089</v>
      </c>
      <c r="DA66">
        <f>IF(AND(ISNUMBER(CZ66),逐级计算!$X$104&gt;-1),IF(逐级计算!$X$104=0,CZ66+逐级计算!$C$104,CZ66+逐级计算!$C$104-(10/(逐级计算!$Q$104*LN(10))*(MAX((LN(10^(逐级计算!$Q$104/10)-1)+逐级计算!$Q$104*(CZ66-逐级计算!$P$104)*LN(10)/10),0)+LN(1+EXP(-ABS((LN(10^(逐级计算!$Q$104/10)-1)+逐级计算!$Q$104*(CZ66-逐级计算!$P$104)*LN(10)/10))))))),"")</f>
        <v>13.7930365742089</v>
      </c>
      <c r="DB66">
        <f>IF(AND(ISNUMBER(DA66),逐级计算!$X$105&gt;-1),IF(逐级计算!$X$105=0,DA66+逐级计算!$C$105,DA66+逐级计算!$C$105-(10/(逐级计算!$Q$105*LN(10))*(MAX((LN(10^(逐级计算!$Q$105/10)-1)+逐级计算!$Q$105*(DA66-逐级计算!$P$105)*LN(10)/10),0)+LN(1+EXP(-ABS((LN(10^(逐级计算!$Q$105/10)-1)+逐级计算!$Q$105*(DA66-逐级计算!$P$105)*LN(10)/10))))))),"")</f>
        <v>13.7930365742089</v>
      </c>
      <c r="DC66">
        <f>IF(AND(ISNUMBER(DB66),逐级计算!$X$106&gt;-1),IF(逐级计算!$X$106=0,DB66+逐级计算!$C$106,DB66+逐级计算!$C$106-(10/(逐级计算!$Q$106*LN(10))*(MAX((LN(10^(逐级计算!$Q$106/10)-1)+逐级计算!$Q$106*(DB66-逐级计算!$P$106)*LN(10)/10),0)+LN(1+EXP(-ABS((LN(10^(逐级计算!$Q$106/10)-1)+逐级计算!$Q$106*(DB66-逐级计算!$P$106)*LN(10)/10))))))),"")</f>
        <v>13.7930365742089</v>
      </c>
      <c r="DD66">
        <f>IF(AND(ISNUMBER(DC66),逐级计算!$X$107&gt;-1),IF(逐级计算!$X$107=0,DC66+逐级计算!$C$107,DC66+逐级计算!$C$107-(10/(逐级计算!$Q$107*LN(10))*(MAX((LN(10^(逐级计算!$Q$107/10)-1)+逐级计算!$Q$107*(DC66-逐级计算!$P$107)*LN(10)/10),0)+LN(1+EXP(-ABS((LN(10^(逐级计算!$Q$107/10)-1)+逐级计算!$Q$107*(DC66-逐级计算!$P$107)*LN(10)/10))))))),"")</f>
        <v>13.7930365742089</v>
      </c>
      <c r="DE66">
        <f>IF(AND(ISNUMBER(DD66),逐级计算!$X$108&gt;-1),IF(逐级计算!$X$108=0,DD66+逐级计算!$C$108,DD66+逐级计算!$C$108-(10/(逐级计算!$Q$108*LN(10))*(MAX((LN(10^(逐级计算!$Q$108/10)-1)+逐级计算!$Q$108*(DD66-逐级计算!$P$108)*LN(10)/10),0)+LN(1+EXP(-ABS((LN(10^(逐级计算!$Q$108/10)-1)+逐级计算!$Q$108*(DD66-逐级计算!$P$108)*LN(10)/10))))))),"")</f>
        <v>13.7930365742089</v>
      </c>
      <c r="DF66">
        <f>IF(AND(ISNUMBER(DE66),逐级计算!$X$109&gt;-1),IF(逐级计算!$X$109=0,DE66+逐级计算!$C$109,DE66+逐级计算!$C$109-(10/(逐级计算!$Q$109*LN(10))*(MAX((LN(10^(逐级计算!$Q$109/10)-1)+逐级计算!$Q$109*(DE66-逐级计算!$P$109)*LN(10)/10),0)+LN(1+EXP(-ABS((LN(10^(逐级计算!$Q$109/10)-1)+逐级计算!$Q$109*(DE66-逐级计算!$P$109)*LN(10)/10))))))),"")</f>
        <v>13.7930365742089</v>
      </c>
      <c r="DG66">
        <f>IF(AND(ISNUMBER(DF66),逐级计算!$X$110&gt;-1),IF(逐级计算!$X$110=0,DF66+逐级计算!$C$110,DF66+逐级计算!$C$110-(10/(逐级计算!$Q$110*LN(10))*(MAX((LN(10^(逐级计算!$Q$110/10)-1)+逐级计算!$Q$110*(DF66-逐级计算!$P$110)*LN(10)/10),0)+LN(1+EXP(-ABS((LN(10^(逐级计算!$Q$110/10)-1)+逐级计算!$Q$110*(DF66-逐级计算!$P$110)*LN(10)/10))))))),"")</f>
        <v>13.7930365742089</v>
      </c>
      <c r="DH66">
        <f>IF(AND(ISNUMBER(DG66),逐级计算!$X$111&gt;-1),IF(逐级计算!$X$111=0,DG66+逐级计算!$C$111,DG66+逐级计算!$C$111-(10/(逐级计算!$Q$111*LN(10))*(MAX((LN(10^(逐级计算!$Q$111/10)-1)+逐级计算!$Q$111*(DG66-逐级计算!$P$111)*LN(10)/10),0)+LN(1+EXP(-ABS((LN(10^(逐级计算!$Q$111/10)-1)+逐级计算!$Q$111*(DG66-逐级计算!$P$111)*LN(10)/10))))))),"")</f>
        <v>13.7930365742089</v>
      </c>
      <c r="DI66">
        <f>IF(AND(ISNUMBER(DH66),逐级计算!$X$112&gt;-1),IF(逐级计算!$X$112=0,DH66+逐级计算!$C$112,DH66+逐级计算!$C$112-(10/(逐级计算!$Q$112*LN(10))*(MAX((LN(10^(逐级计算!$Q$112/10)-1)+逐级计算!$Q$112*(DH66-逐级计算!$P$112)*LN(10)/10),0)+LN(1+EXP(-ABS((LN(10^(逐级计算!$Q$112/10)-1)+逐级计算!$Q$112*(DH66-逐级计算!$P$112)*LN(10)/10))))))),"")</f>
        <v>13.7930365742089</v>
      </c>
      <c r="DJ66">
        <f>IF(AND(ISNUMBER(DI66),逐级计算!$X$113&gt;-1),IF(逐级计算!$X$113=0,DI66+逐级计算!$C$113,DI66+逐级计算!$C$113-(10/(逐级计算!$Q$113*LN(10))*(MAX((LN(10^(逐级计算!$Q$113/10)-1)+逐级计算!$Q$113*(DI66-逐级计算!$P$113)*LN(10)/10),0)+LN(1+EXP(-ABS((LN(10^(逐级计算!$Q$113/10)-1)+逐级计算!$Q$113*(DI66-逐级计算!$P$113)*LN(10)/10))))))),"")</f>
        <v>13.7930365742089</v>
      </c>
      <c r="DK66">
        <f>IF(AND(ISNUMBER(DJ66),逐级计算!$X$114&gt;-1),IF(逐级计算!$X$114=0,DJ66+逐级计算!$C$114,DJ66+逐级计算!$C$114-(10/(逐级计算!$Q$114*LN(10))*(MAX((LN(10^(逐级计算!$Q$114/10)-1)+逐级计算!$Q$114*(DJ66-逐级计算!$P$114)*LN(10)/10),0)+LN(1+EXP(-ABS((LN(10^(逐级计算!$Q$114/10)-1)+逐级计算!$Q$114*(DJ66-逐级计算!$P$114)*LN(10)/10))))))),"")</f>
        <v>13.7930365742089</v>
      </c>
      <c r="DL66">
        <f>IF(AND(ISNUMBER(DK66),逐级计算!$X$115&gt;-1),IF(逐级计算!$X$115=0,DK66+逐级计算!$C$115,DK66+逐级计算!$C$115-(10/(逐级计算!$Q$115*LN(10))*(MAX((LN(10^(逐级计算!$Q$115/10)-1)+逐级计算!$Q$115*(DK66-逐级计算!$P$115)*LN(10)/10),0)+LN(1+EXP(-ABS((LN(10^(逐级计算!$Q$115/10)-1)+逐级计算!$Q$115*(DK66-逐级计算!$P$115)*LN(10)/10))))))),"")</f>
        <v>13.7930365742089</v>
      </c>
      <c r="DM66">
        <f>IF(AND(ISNUMBER(DL66),逐级计算!$X$116&gt;-1),IF(逐级计算!$X$116=0,DL66+逐级计算!$C$116,DL66+逐级计算!$C$116-(10/(逐级计算!$Q$116*LN(10))*(MAX((LN(10^(逐级计算!$Q$116/10)-1)+逐级计算!$Q$116*(DL66-逐级计算!$P$116)*LN(10)/10),0)+LN(1+EXP(-ABS((LN(10^(逐级计算!$Q$116/10)-1)+逐级计算!$Q$116*(DL66-逐级计算!$P$116)*LN(10)/10))))))),"")</f>
        <v>13.7930365742089</v>
      </c>
      <c r="DN66">
        <f>IF(AND(ISNUMBER(DM66),逐级计算!$X$117&gt;-1),IF(逐级计算!$X$117=0,DM66+逐级计算!$C$117,DM66+逐级计算!$C$117-(10/(逐级计算!$Q$117*LN(10))*(MAX((LN(10^(逐级计算!$Q$117/10)-1)+逐级计算!$Q$117*(DM66-逐级计算!$P$117)*LN(10)/10),0)+LN(1+EXP(-ABS((LN(10^(逐级计算!$Q$117/10)-1)+逐级计算!$Q$117*(DM66-逐级计算!$P$117)*LN(10)/10))))))),"")</f>
        <v>13.7930365742089</v>
      </c>
      <c r="DO66">
        <f>IF(AND(ISNUMBER(DN66),逐级计算!$X$118&gt;-1),IF(逐级计算!$X$118=0,DN66+逐级计算!$C$118,DN66+逐级计算!$C$118-(10/(逐级计算!$Q$118*LN(10))*(MAX((LN(10^(逐级计算!$Q$118/10)-1)+逐级计算!$Q$118*(DN66-逐级计算!$P$118)*LN(10)/10),0)+LN(1+EXP(-ABS((LN(10^(逐级计算!$Q$118/10)-1)+逐级计算!$Q$118*(DN66-逐级计算!$P$118)*LN(10)/10))))))),"")</f>
        <v>13.7930365742089</v>
      </c>
      <c r="DP66">
        <f>IF(AND(ISNUMBER(DO66),逐级计算!$X$119&gt;-1),IF(逐级计算!$X$119=0,DO66+逐级计算!$C$119,DO66+逐级计算!$C$119-(10/(逐级计算!$Q$119*LN(10))*(MAX((LN(10^(逐级计算!$Q$119/10)-1)+逐级计算!$Q$119*(DO66-逐级计算!$P$119)*LN(10)/10),0)+LN(1+EXP(-ABS((LN(10^(逐级计算!$Q$119/10)-1)+逐级计算!$Q$119*(DO66-逐级计算!$P$119)*LN(10)/10))))))),"")</f>
        <v>13.7930365742089</v>
      </c>
      <c r="DQ66">
        <f>IF(AND(ISNUMBER(DP66),逐级计算!$X$120&gt;-1),IF(逐级计算!$X$120=0,DP66+逐级计算!$C$120,DP66+逐级计算!$C$120-(10/(逐级计算!$Q$120*LN(10))*(MAX((LN(10^(逐级计算!$Q$120/10)-1)+逐级计算!$Q$120*(DP66-逐级计算!$P$120)*LN(10)/10),0)+LN(1+EXP(-ABS((LN(10^(逐级计算!$Q$120/10)-1)+逐级计算!$Q$120*(DP66-逐级计算!$P$120)*LN(10)/10))))))),"")</f>
        <v>13.7930365742089</v>
      </c>
      <c r="DR66">
        <f>IF(AND(ISNUMBER(DQ66),逐级计算!$X$121&gt;-1),IF(逐级计算!$X$121=0,DQ66+逐级计算!$C$121,DQ66+逐级计算!$C$121-(10/(逐级计算!$Q$121*LN(10))*(MAX((LN(10^(逐级计算!$Q$121/10)-1)+逐级计算!$Q$121*(DQ66-逐级计算!$P$121)*LN(10)/10),0)+LN(1+EXP(-ABS((LN(10^(逐级计算!$Q$121/10)-1)+逐级计算!$Q$121*(DQ66-逐级计算!$P$121)*LN(10)/10))))))),"")</f>
        <v>13.7930365742089</v>
      </c>
      <c r="DS66">
        <f>IF(AND(ISNUMBER(DR66),逐级计算!$X$122&gt;-1),IF(逐级计算!$X$122=0,DR66+逐级计算!$C$122,DR66+逐级计算!$C$122-(10/(逐级计算!$Q$122*LN(10))*(MAX((LN(10^(逐级计算!$Q$122/10)-1)+逐级计算!$Q$122*(DR66-逐级计算!$P$122)*LN(10)/10),0)+LN(1+EXP(-ABS((LN(10^(逐级计算!$Q$122/10)-1)+逐级计算!$Q$122*(DR66-逐级计算!$P$122)*LN(10)/10))))))),"")</f>
        <v>13.7930365742089</v>
      </c>
      <c r="DT66">
        <f>IF(AND(ISNUMBER(DS66),逐级计算!$X$123&gt;-1),IF(逐级计算!$X$123=0,DS66+逐级计算!$C$123,DS66+逐级计算!$C$123-(10/(逐级计算!$Q$123*LN(10))*(MAX((LN(10^(逐级计算!$Q$123/10)-1)+逐级计算!$Q$123*(DS66-逐级计算!$P$123)*LN(10)/10),0)+LN(1+EXP(-ABS((LN(10^(逐级计算!$Q$123/10)-1)+逐级计算!$Q$123*(DS66-逐级计算!$P$123)*LN(10)/10))))))),"")</f>
        <v>13.7930365742089</v>
      </c>
      <c r="DU66">
        <f>IF(AND(ISNUMBER(DT66),逐级计算!$X$124&gt;-1),IF(逐级计算!$X$124=0,DT66+逐级计算!$C$124,DT66+逐级计算!$C$124-(10/(逐级计算!$Q$124*LN(10))*(MAX((LN(10^(逐级计算!$Q$124/10)-1)+逐级计算!$Q$124*(DT66-逐级计算!$P$124)*LN(10)/10),0)+LN(1+EXP(-ABS((LN(10^(逐级计算!$Q$124/10)-1)+逐级计算!$Q$124*(DT66-逐级计算!$P$124)*LN(10)/10))))))),"")</f>
        <v>13.7930365742089</v>
      </c>
      <c r="DV66">
        <f>IF(AND(ISNUMBER(DU66),逐级计算!$X$125&gt;-1),IF(逐级计算!$X$125=0,DU66+逐级计算!$C$125,DU66+逐级计算!$C$125-(10/(逐级计算!$Q$125*LN(10))*(MAX((LN(10^(逐级计算!$Q$125/10)-1)+逐级计算!$Q$125*(DU66-逐级计算!$P$125)*LN(10)/10),0)+LN(1+EXP(-ABS((LN(10^(逐级计算!$Q$125/10)-1)+逐级计算!$Q$125*(DU66-逐级计算!$P$125)*LN(10)/10))))))),"")</f>
        <v>13.7930365742089</v>
      </c>
      <c r="DW66">
        <f>IF(AND(ISNUMBER(DV66),逐级计算!$X$126&gt;-1),IF(逐级计算!$X$126=0,DV66+逐级计算!$C$126,DV66+逐级计算!$C$126-(10/(逐级计算!$Q$126*LN(10))*(MAX((LN(10^(逐级计算!$Q$126/10)-1)+逐级计算!$Q$126*(DV66-逐级计算!$P$126)*LN(10)/10),0)+LN(1+EXP(-ABS((LN(10^(逐级计算!$Q$126/10)-1)+逐级计算!$Q$126*(DV66-逐级计算!$P$126)*LN(10)/10))))))),"")</f>
        <v>13.7930365742089</v>
      </c>
      <c r="DX66">
        <f>IF(AND(ISNUMBER(DW66),逐级计算!$X$127&gt;-1),IF(逐级计算!$X$127=0,DW66+逐级计算!$C$127,DW66+逐级计算!$C$127-(10/(逐级计算!$Q$127*LN(10))*(MAX((LN(10^(逐级计算!$Q$127/10)-1)+逐级计算!$Q$127*(DW66-逐级计算!$P$127)*LN(10)/10),0)+LN(1+EXP(-ABS((LN(10^(逐级计算!$Q$127/10)-1)+逐级计算!$Q$127*(DW66-逐级计算!$P$127)*LN(10)/10))))))),"")</f>
        <v>13.7930365742089</v>
      </c>
      <c r="DY66">
        <f>IF(AND(ISNUMBER(DX66),逐级计算!$X$128&gt;-1),IF(逐级计算!$X$128=0,DX66+逐级计算!$C$128,DX66+逐级计算!$C$128-(10/(逐级计算!$Q$128*LN(10))*(MAX((LN(10^(逐级计算!$Q$128/10)-1)+逐级计算!$Q$128*(DX66-逐级计算!$P$128)*LN(10)/10),0)+LN(1+EXP(-ABS((LN(10^(逐级计算!$Q$128/10)-1)+逐级计算!$Q$128*(DX66-逐级计算!$P$128)*LN(10)/10))))))),"")</f>
        <v>13.7930365742089</v>
      </c>
      <c r="DZ66">
        <f>IF(AND(ISNUMBER(DY66),逐级计算!$X$129&gt;-1),IF(逐级计算!$X$129=0,DY66+逐级计算!$C$129,DY66+逐级计算!$C$129-(10/(逐级计算!$Q$129*LN(10))*(MAX((LN(10^(逐级计算!$Q$129/10)-1)+逐级计算!$Q$129*(DY66-逐级计算!$P$129)*LN(10)/10),0)+LN(1+EXP(-ABS((LN(10^(逐级计算!$Q$129/10)-1)+逐级计算!$Q$129*(DY66-逐级计算!$P$129)*LN(10)/10))))))),"")</f>
        <v>13.7930365742089</v>
      </c>
      <c r="EA66">
        <f>IF(AND(ISNUMBER(DZ66),逐级计算!$X$130&gt;-1),IF(逐级计算!$X$130=0,DZ66+逐级计算!$C$130,DZ66+逐级计算!$C$130-(10/(逐级计算!$Q$130*LN(10))*(MAX((LN(10^(逐级计算!$Q$130/10)-1)+逐级计算!$Q$130*(DZ66-逐级计算!$P$130)*LN(10)/10),0)+LN(1+EXP(-ABS((LN(10^(逐级计算!$Q$130/10)-1)+逐级计算!$Q$130*(DZ66-逐级计算!$P$130)*LN(10)/10))))))),"")</f>
        <v>13.7930365742089</v>
      </c>
      <c r="EB66">
        <f>IF(AND(ISNUMBER(EA66),逐级计算!$X$131&gt;-1),IF(逐级计算!$X$131=0,EA66+逐级计算!$C$131,EA66+逐级计算!$C$131-(10/(逐级计算!$Q$131*LN(10))*(MAX((LN(10^(逐级计算!$Q$131/10)-1)+逐级计算!$Q$131*(EA66-逐级计算!$P$131)*LN(10)/10),0)+LN(1+EXP(-ABS((LN(10^(逐级计算!$Q$131/10)-1)+逐级计算!$Q$131*(EA66-逐级计算!$P$131)*LN(10)/10))))))),"")</f>
        <v>13.7930365742089</v>
      </c>
      <c r="EC66">
        <f>IF(AND(ISNUMBER(EB66),逐级计算!$X$132&gt;-1),IF(逐级计算!$X$132=0,EB66+逐级计算!$C$132,EB66+逐级计算!$C$132-(10/(逐级计算!$Q$132*LN(10))*(MAX((LN(10^(逐级计算!$Q$132/10)-1)+逐级计算!$Q$132*(EB66-逐级计算!$P$132)*LN(10)/10),0)+LN(1+EXP(-ABS((LN(10^(逐级计算!$Q$132/10)-1)+逐级计算!$Q$132*(EB66-逐级计算!$P$132)*LN(10)/10))))))),"")</f>
        <v>13.7930365742089</v>
      </c>
      <c r="ED66">
        <f>IF(AND(ISNUMBER(EC66),逐级计算!$X$133&gt;-1),IF(逐级计算!$X$133=0,EC66+逐级计算!$C$133,EC66+逐级计算!$C$133-(10/(逐级计算!$Q$133*LN(10))*(MAX((LN(10^(逐级计算!$Q$133/10)-1)+逐级计算!$Q$133*(EC66-逐级计算!$P$133)*LN(10)/10),0)+LN(1+EXP(-ABS((LN(10^(逐级计算!$Q$133/10)-1)+逐级计算!$Q$133*(EC66-逐级计算!$P$133)*LN(10)/10))))))),"")</f>
        <v>13.7930365742089</v>
      </c>
      <c r="EE66">
        <f>IF(AND(ISNUMBER(ED66),逐级计算!$X$134&gt;-1),IF(逐级计算!$X$134=0,ED66+逐级计算!$C$134,ED66+逐级计算!$C$134-(10/(逐级计算!$Q$134*LN(10))*(MAX((LN(10^(逐级计算!$Q$134/10)-1)+逐级计算!$Q$134*(ED66-逐级计算!$P$134)*LN(10)/10),0)+LN(1+EXP(-ABS((LN(10^(逐级计算!$Q$134/10)-1)+逐级计算!$Q$134*(ED66-逐级计算!$P$134)*LN(10)/10))))))),"")</f>
        <v>13.7930365742089</v>
      </c>
      <c r="EF66">
        <f>IF(AND(ISNUMBER(EE66),逐级计算!$X$135&gt;-1),IF(逐级计算!$X$135=0,EE66+逐级计算!$C$135,EE66+逐级计算!$C$135-(10/(逐级计算!$Q$135*LN(10))*(MAX((LN(10^(逐级计算!$Q$135/10)-1)+逐级计算!$Q$135*(EE66-逐级计算!$P$135)*LN(10)/10),0)+LN(1+EXP(-ABS((LN(10^(逐级计算!$Q$135/10)-1)+逐级计算!$Q$135*(EE66-逐级计算!$P$135)*LN(10)/10))))))),"")</f>
        <v>13.7930365742089</v>
      </c>
      <c r="EG66">
        <f>IF(AND(ISNUMBER(EF66),逐级计算!$X$136&gt;-1),IF(逐级计算!$X$136=0,EF66+逐级计算!$C$136,EF66+逐级计算!$C$136-(10/(逐级计算!$Q$136*LN(10))*(MAX((LN(10^(逐级计算!$Q$136/10)-1)+逐级计算!$Q$136*(EF66-逐级计算!$P$136)*LN(10)/10),0)+LN(1+EXP(-ABS((LN(10^(逐级计算!$Q$136/10)-1)+逐级计算!$Q$136*(EF66-逐级计算!$P$136)*LN(10)/10))))))),"")</f>
        <v>13.7930365742089</v>
      </c>
      <c r="EH66">
        <f>IF(AND(ISNUMBER(EG66),逐级计算!$X$137&gt;-1),IF(逐级计算!$X$137=0,EG66+逐级计算!$C$137,EG66+逐级计算!$C$137-(10/(逐级计算!$Q$137*LN(10))*(MAX((LN(10^(逐级计算!$Q$137/10)-1)+逐级计算!$Q$137*(EG66-逐级计算!$P$137)*LN(10)/10),0)+LN(1+EXP(-ABS((LN(10^(逐级计算!$Q$137/10)-1)+逐级计算!$Q$137*(EG66-逐级计算!$P$137)*LN(10)/10))))))),"")</f>
        <v>13.7930365742089</v>
      </c>
      <c r="EI66">
        <f>IF(AND(ISNUMBER(EH66),逐级计算!$X$138&gt;-1),IF(逐级计算!$X$138=0,EH66+逐级计算!$C$138,EH66+逐级计算!$C$138-(10/(逐级计算!$Q$138*LN(10))*(MAX((LN(10^(逐级计算!$Q$138/10)-1)+逐级计算!$Q$138*(EH66-逐级计算!$P$138)*LN(10)/10),0)+LN(1+EXP(-ABS((LN(10^(逐级计算!$Q$138/10)-1)+逐级计算!$Q$138*(EH66-逐级计算!$P$138)*LN(10)/10))))))),"")</f>
        <v>13.7930365742089</v>
      </c>
      <c r="EJ66">
        <f>IF(AND(ISNUMBER(EI66),逐级计算!$X$139&gt;-1),IF(逐级计算!$X$139=0,EI66+逐级计算!$C$139,EI66+逐级计算!$C$139-(10/(逐级计算!$Q$139*LN(10))*(MAX((LN(10^(逐级计算!$Q$139/10)-1)+逐级计算!$Q$139*(EI66-逐级计算!$P$139)*LN(10)/10),0)+LN(1+EXP(-ABS((LN(10^(逐级计算!$Q$139/10)-1)+逐级计算!$Q$139*(EI66-逐级计算!$P$139)*LN(10)/10))))))),"")</f>
        <v>13.7930365742089</v>
      </c>
      <c r="EK66">
        <f>IF(AND(ISNUMBER(EJ66),逐级计算!$X$140&gt;-1),IF(逐级计算!$X$140=0,EJ66+逐级计算!$C$140,EJ66+逐级计算!$C$140-(10/(逐级计算!$Q$140*LN(10))*(MAX((LN(10^(逐级计算!$Q$140/10)-1)+逐级计算!$Q$140*(EJ66-逐级计算!$P$140)*LN(10)/10),0)+LN(1+EXP(-ABS((LN(10^(逐级计算!$Q$140/10)-1)+逐级计算!$Q$140*(EJ66-逐级计算!$P$140)*LN(10)/10))))))),"")</f>
        <v>13.7930365742089</v>
      </c>
      <c r="EL66">
        <f>IF(AND(ISNUMBER(EK66),逐级计算!$X$141&gt;-1),IF(逐级计算!$X$141=0,EK66+逐级计算!$C$141,EK66+逐级计算!$C$141-(10/(逐级计算!$Q$141*LN(10))*(MAX((LN(10^(逐级计算!$Q$141/10)-1)+逐级计算!$Q$141*(EK66-逐级计算!$P$141)*LN(10)/10),0)+LN(1+EXP(-ABS((LN(10^(逐级计算!$Q$141/10)-1)+逐级计算!$Q$141*(EK66-逐级计算!$P$141)*LN(10)/10))))))),"")</f>
        <v>13.7930365742089</v>
      </c>
      <c r="EM66">
        <f>IF(AND(ISNUMBER(EL66),逐级计算!$X$142&gt;-1),IF(逐级计算!$X$142=0,EL66+逐级计算!$C$142,EL66+逐级计算!$C$142-(10/(逐级计算!$Q$142*LN(10))*(MAX((LN(10^(逐级计算!$Q$142/10)-1)+逐级计算!$Q$142*(EL66-逐级计算!$P$142)*LN(10)/10),0)+LN(1+EXP(-ABS((LN(10^(逐级计算!$Q$142/10)-1)+逐级计算!$Q$142*(EL66-逐级计算!$P$142)*LN(10)/10))))))),"")</f>
        <v>13.7930365742089</v>
      </c>
      <c r="EN66">
        <f>IF(AND(ISNUMBER(EM66),逐级计算!$X$143&gt;-1),IF(逐级计算!$X$143=0,EM66+逐级计算!$C$143,EM66+逐级计算!$C$143-(10/(逐级计算!$Q$143*LN(10))*(MAX((LN(10^(逐级计算!$Q$143/10)-1)+逐级计算!$Q$143*(EM66-逐级计算!$P$143)*LN(10)/10),0)+LN(1+EXP(-ABS((LN(10^(逐级计算!$Q$143/10)-1)+逐级计算!$Q$143*(EM66-逐级计算!$P$143)*LN(10)/10))))))),"")</f>
        <v>13.7930365742089</v>
      </c>
      <c r="EO66">
        <f>IF(AND(ISNUMBER(EN66),逐级计算!$X$144&gt;-1),IF(逐级计算!$X$144=0,EN66+逐级计算!$C$144,EN66+逐级计算!$C$144-(10/(逐级计算!$Q$144*LN(10))*(MAX((LN(10^(逐级计算!$Q$144/10)-1)+逐级计算!$Q$144*(EN66-逐级计算!$P$144)*LN(10)/10),0)+LN(1+EXP(-ABS((LN(10^(逐级计算!$Q$144/10)-1)+逐级计算!$Q$144*(EN66-逐级计算!$P$144)*LN(10)/10))))))),"")</f>
        <v>13.7930365742089</v>
      </c>
      <c r="EP66">
        <f>IF(AND(ISNUMBER(EO66),逐级计算!$X$145&gt;-1),IF(逐级计算!$X$145=0,EO66+逐级计算!$C$145,EO66+逐级计算!$C$145-(10/(逐级计算!$Q$145*LN(10))*(MAX((LN(10^(逐级计算!$Q$145/10)-1)+逐级计算!$Q$145*(EO66-逐级计算!$P$145)*LN(10)/10),0)+LN(1+EXP(-ABS((LN(10^(逐级计算!$Q$145/10)-1)+逐级计算!$Q$145*(EO66-逐级计算!$P$145)*LN(10)/10))))))),"")</f>
        <v>13.7930365742089</v>
      </c>
      <c r="EQ66">
        <f>IF(AND(ISNUMBER(EP66),逐级计算!$X$146&gt;-1),IF(逐级计算!$X$146=0,EP66+逐级计算!$C$146,EP66+逐级计算!$C$146-(10/(逐级计算!$Q$146*LN(10))*(MAX((LN(10^(逐级计算!$Q$146/10)-1)+逐级计算!$Q$146*(EP66-逐级计算!$P$146)*LN(10)/10),0)+LN(1+EXP(-ABS((LN(10^(逐级计算!$Q$146/10)-1)+逐级计算!$Q$146*(EP66-逐级计算!$P$146)*LN(10)/10))))))),"")</f>
        <v>13.7930365742089</v>
      </c>
      <c r="ER66">
        <f>IF(AND(ISNUMBER(EQ66),逐级计算!$X$147&gt;-1),IF(逐级计算!$X$147=0,EQ66+逐级计算!$C$147,EQ66+逐级计算!$C$147-(10/(逐级计算!$Q$147*LN(10))*(MAX((LN(10^(逐级计算!$Q$147/10)-1)+逐级计算!$Q$147*(EQ66-逐级计算!$P$147)*LN(10)/10),0)+LN(1+EXP(-ABS((LN(10^(逐级计算!$Q$147/10)-1)+逐级计算!$Q$147*(EQ66-逐级计算!$P$147)*LN(10)/10))))))),"")</f>
        <v>13.7930365742089</v>
      </c>
      <c r="ES66">
        <f>IF(AND(ISNUMBER(ER66),逐级计算!$X$148&gt;-1),IF(逐级计算!$X$148=0,ER66+逐级计算!$C$148,ER66+逐级计算!$C$148-(10/(逐级计算!$Q$148*LN(10))*(MAX((LN(10^(逐级计算!$Q$148/10)-1)+逐级计算!$Q$148*(ER66-逐级计算!$P$148)*LN(10)/10),0)+LN(1+EXP(-ABS((LN(10^(逐级计算!$Q$148/10)-1)+逐级计算!$Q$148*(ER66-逐级计算!$P$148)*LN(10)/10))))))),"")</f>
        <v>13.7930365742089</v>
      </c>
      <c r="ET66">
        <f>IF(AND(ISNUMBER(ES66),逐级计算!$X$149&gt;-1),IF(逐级计算!$X$149=0,ES66+逐级计算!$C$149,ES66+逐级计算!$C$149-(10/(逐级计算!$Q$149*LN(10))*(MAX((LN(10^(逐级计算!$Q$149/10)-1)+逐级计算!$Q$149*(ES66-逐级计算!$P$149)*LN(10)/10),0)+LN(1+EXP(-ABS((LN(10^(逐级计算!$Q$149/10)-1)+逐级计算!$Q$149*(ES66-逐级计算!$P$149)*LN(10)/10))))))),"")</f>
        <v>13.7930365742089</v>
      </c>
      <c r="EU66">
        <f>IF(AND(ISNUMBER(ET66),逐级计算!$X$150&gt;-1),IF(逐级计算!$X$150=0,ET66+逐级计算!$C$150,ET66+逐级计算!$C$150-(10/(逐级计算!$Q$150*LN(10))*(MAX((LN(10^(逐级计算!$Q$150/10)-1)+逐级计算!$Q$150*(ET66-逐级计算!$P$150)*LN(10)/10),0)+LN(1+EXP(-ABS((LN(10^(逐级计算!$Q$150/10)-1)+逐级计算!$Q$150*(ET66-逐级计算!$P$150)*LN(10)/10))))))),"")</f>
        <v>13.7930365742089</v>
      </c>
      <c r="EV66">
        <f>IF(AND(ISNUMBER(EU66),逐级计算!$X$151&gt;-1),IF(逐级计算!$X$151=0,EU66+逐级计算!$C$151,EU66+逐级计算!$C$151-(10/(逐级计算!$Q$151*LN(10))*(MAX((LN(10^(逐级计算!$Q$151/10)-1)+逐级计算!$Q$151*(EU66-逐级计算!$P$151)*LN(10)/10),0)+LN(1+EXP(-ABS((LN(10^(逐级计算!$Q$151/10)-1)+逐级计算!$Q$151*(EU66-逐级计算!$P$151)*LN(10)/10))))))),"")</f>
        <v>13.7930365742089</v>
      </c>
      <c r="EW66">
        <f>IF(AND(ISNUMBER(EV66),逐级计算!$X$152&gt;-1),IF(逐级计算!$X$152=0,EV66+逐级计算!$C$152,EV66+逐级计算!$C$152-(10/(逐级计算!$Q$152*LN(10))*(MAX((LN(10^(逐级计算!$Q$152/10)-1)+逐级计算!$Q$152*(EV66-逐级计算!$P$152)*LN(10)/10),0)+LN(1+EXP(-ABS((LN(10^(逐级计算!$Q$152/10)-1)+逐级计算!$Q$152*(EV66-逐级计算!$P$152)*LN(10)/10))))))),"")</f>
        <v>13.7930365742089</v>
      </c>
      <c r="EX66">
        <f>IF(AND(ISNUMBER(EW66),逐级计算!$X$153&gt;-1),IF(逐级计算!$X$153=0,EW66+逐级计算!$C$153,EW66+逐级计算!$C$153-(10/(逐级计算!$Q$153*LN(10))*(MAX((LN(10^(逐级计算!$Q$153/10)-1)+逐级计算!$Q$153*(EW66-逐级计算!$P$153)*LN(10)/10),0)+LN(1+EXP(-ABS((LN(10^(逐级计算!$Q$153/10)-1)+逐级计算!$Q$153*(EW66-逐级计算!$P$153)*LN(10)/10))))))),"")</f>
        <v>13.7930365742089</v>
      </c>
      <c r="EY66">
        <f>IF(AND(ISNUMBER(EX66),逐级计算!$X$154&gt;-1),IF(逐级计算!$X$154=0,EX66+逐级计算!$C$154,EX66+逐级计算!$C$154-(10/(逐级计算!$Q$154*LN(10))*(MAX((LN(10^(逐级计算!$Q$154/10)-1)+逐级计算!$Q$154*(EX66-逐级计算!$P$154)*LN(10)/10),0)+LN(1+EXP(-ABS((LN(10^(逐级计算!$Q$154/10)-1)+逐级计算!$Q$154*(EX66-逐级计算!$P$154)*LN(10)/10))))))),"")</f>
        <v>13.7930365742089</v>
      </c>
      <c r="EZ66">
        <f>IF(AND(ISNUMBER(EY66),逐级计算!$X$155&gt;-1),IF(逐级计算!$X$155=0,EY66+逐级计算!$C$155,EY66+逐级计算!$C$155-(10/(逐级计算!$Q$155*LN(10))*(MAX((LN(10^(逐级计算!$Q$155/10)-1)+逐级计算!$Q$155*(EY66-逐级计算!$P$155)*LN(10)/10),0)+LN(1+EXP(-ABS((LN(10^(逐级计算!$Q$155/10)-1)+逐级计算!$Q$155*(EY66-逐级计算!$P$155)*LN(10)/10))))))),"")</f>
        <v>13.7930365742089</v>
      </c>
      <c r="FA66">
        <f>IF(AND(ISNUMBER(EZ66),逐级计算!$X$156&gt;-1),IF(逐级计算!$X$156=0,EZ66+逐级计算!$C$156,EZ66+逐级计算!$C$156-(10/(逐级计算!$Q$156*LN(10))*(MAX((LN(10^(逐级计算!$Q$156/10)-1)+逐级计算!$Q$156*(EZ66-逐级计算!$P$156)*LN(10)/10),0)+LN(1+EXP(-ABS((LN(10^(逐级计算!$Q$156/10)-1)+逐级计算!$Q$156*(EZ66-逐级计算!$P$156)*LN(10)/10))))))),"")</f>
        <v>13.7930365742089</v>
      </c>
      <c r="FB66">
        <f>IF(AND(ISNUMBER(FA66),逐级计算!$X$157&gt;-1),IF(逐级计算!$X$157=0,FA66+逐级计算!$C$157,FA66+逐级计算!$C$157-(10/(逐级计算!$Q$157*LN(10))*(MAX((LN(10^(逐级计算!$Q$157/10)-1)+逐级计算!$Q$157*(FA66-逐级计算!$P$157)*LN(10)/10),0)+LN(1+EXP(-ABS((LN(10^(逐级计算!$Q$157/10)-1)+逐级计算!$Q$157*(FA66-逐级计算!$P$157)*LN(10)/10))))))),"")</f>
        <v>13.7930365742089</v>
      </c>
      <c r="FC66">
        <f>IF(AND(ISNUMBER(FB66),逐级计算!$X$158&gt;-1),IF(逐级计算!$X$158=0,FB66+逐级计算!$C$158,FB66+逐级计算!$C$158-(10/(逐级计算!$Q$158*LN(10))*(MAX((LN(10^(逐级计算!$Q$158/10)-1)+逐级计算!$Q$158*(FB66-逐级计算!$P$158)*LN(10)/10),0)+LN(1+EXP(-ABS((LN(10^(逐级计算!$Q$158/10)-1)+逐级计算!$Q$158*(FB66-逐级计算!$P$158)*LN(10)/10))))))),"")</f>
        <v>13.7930365742089</v>
      </c>
      <c r="FD66">
        <f>IF(AND(ISNUMBER(FC66),逐级计算!$X$159&gt;-1),IF(逐级计算!$X$159=0,FC66+逐级计算!$C$159,FC66+逐级计算!$C$159-(10/(逐级计算!$Q$159*LN(10))*(MAX((LN(10^(逐级计算!$Q$159/10)-1)+逐级计算!$Q$159*(FC66-逐级计算!$P$159)*LN(10)/10),0)+LN(1+EXP(-ABS((LN(10^(逐级计算!$Q$159/10)-1)+逐级计算!$Q$159*(FC66-逐级计算!$P$159)*LN(10)/10))))))),"")</f>
        <v>13.7930365742089</v>
      </c>
      <c r="FE66">
        <f>IF(AND(ISNUMBER(FD66),逐级计算!$X$160&gt;-1),IF(逐级计算!$X$160=0,FD66+逐级计算!$C$160,FD66+逐级计算!$C$160-(10/(逐级计算!$Q$160*LN(10))*(MAX((LN(10^(逐级计算!$Q$160/10)-1)+逐级计算!$Q$160*(FD66-逐级计算!$P$160)*LN(10)/10),0)+LN(1+EXP(-ABS((LN(10^(逐级计算!$Q$160/10)-1)+逐级计算!$Q$160*(FD66-逐级计算!$P$160)*LN(10)/10))))))),"")</f>
        <v>13.7930365742089</v>
      </c>
      <c r="FF66">
        <f>IF(AND(ISNUMBER(FE66),逐级计算!$X$161&gt;-1),IF(逐级计算!$X$161=0,FE66+逐级计算!$C$161,FE66+逐级计算!$C$161-(10/(逐级计算!$Q$161*LN(10))*(MAX((LN(10^(逐级计算!$Q$161/10)-1)+逐级计算!$Q$161*(FE66-逐级计算!$P$161)*LN(10)/10),0)+LN(1+EXP(-ABS((LN(10^(逐级计算!$Q$161/10)-1)+逐级计算!$Q$161*(FE66-逐级计算!$P$161)*LN(10)/10))))))),"")</f>
        <v>13.7930365742089</v>
      </c>
      <c r="FG66">
        <f>IF(AND(ISNUMBER(FF66),逐级计算!$X$162&gt;-1),IF(逐级计算!$X$162=0,FF66+逐级计算!$C$162,FF66+逐级计算!$C$162-(10/(逐级计算!$Q$162*LN(10))*(MAX((LN(10^(逐级计算!$Q$162/10)-1)+逐级计算!$Q$162*(FF66-逐级计算!$P$162)*LN(10)/10),0)+LN(1+EXP(-ABS((LN(10^(逐级计算!$Q$162/10)-1)+逐级计算!$Q$162*(FF66-逐级计算!$P$162)*LN(10)/10))))))),"")</f>
        <v>13.7930365742089</v>
      </c>
      <c r="FH66">
        <f>IF(AND(ISNUMBER(FG66),逐级计算!$X$163&gt;-1),IF(逐级计算!$X$163=0,FG66+逐级计算!$C$163,FG66+逐级计算!$C$163-(10/(逐级计算!$Q$163*LN(10))*(MAX((LN(10^(逐级计算!$Q$163/10)-1)+逐级计算!$Q$163*(FG66-逐级计算!$P$163)*LN(10)/10),0)+LN(1+EXP(-ABS((LN(10^(逐级计算!$Q$163/10)-1)+逐级计算!$Q$163*(FG66-逐级计算!$P$163)*LN(10)/10))))))),"")</f>
        <v>13.7930365742089</v>
      </c>
      <c r="FI66">
        <f>IF(AND(ISNUMBER(FH66),逐级计算!$X$164&gt;-1),IF(逐级计算!$X$164=0,FH66+逐级计算!$C$164,FH66+逐级计算!$C$164-(10/(逐级计算!$Q$164*LN(10))*(MAX((LN(10^(逐级计算!$Q$164/10)-1)+逐级计算!$Q$164*(FH66-逐级计算!$P$164)*LN(10)/10),0)+LN(1+EXP(-ABS((LN(10^(逐级计算!$Q$164/10)-1)+逐级计算!$Q$164*(FH66-逐级计算!$P$164)*LN(10)/10))))))),"")</f>
        <v>13.7930365742089</v>
      </c>
      <c r="FJ66">
        <f>IF(AND(ISNUMBER(FI66),逐级计算!$X$165&gt;-1),IF(逐级计算!$X$165=0,FI66+逐级计算!$C$165,FI66+逐级计算!$C$165-(10/(逐级计算!$Q$165*LN(10))*(MAX((LN(10^(逐级计算!$Q$165/10)-1)+逐级计算!$Q$165*(FI66-逐级计算!$P$165)*LN(10)/10),0)+LN(1+EXP(-ABS((LN(10^(逐级计算!$Q$165/10)-1)+逐级计算!$Q$165*(FI66-逐级计算!$P$165)*LN(10)/10))))))),"")</f>
        <v>13.7930365742089</v>
      </c>
      <c r="FK66">
        <f>IF(AND(ISNUMBER(FJ66),逐级计算!$X$166&gt;-1),IF(逐级计算!$X$166=0,FJ66+逐级计算!$C$166,FJ66+逐级计算!$C$166-(10/(逐级计算!$Q$166*LN(10))*(MAX((LN(10^(逐级计算!$Q$166/10)-1)+逐级计算!$Q$166*(FJ66-逐级计算!$P$166)*LN(10)/10),0)+LN(1+EXP(-ABS((LN(10^(逐级计算!$Q$166/10)-1)+逐级计算!$Q$166*(FJ66-逐级计算!$P$166)*LN(10)/10))))))),"")</f>
        <v>13.7930365742089</v>
      </c>
      <c r="FL66">
        <f>IF(AND(ISNUMBER(FK66),逐级计算!$X$167&gt;-1),IF(逐级计算!$X$167=0,FK66+逐级计算!$C$167,FK66+逐级计算!$C$167-(10/(逐级计算!$Q$167*LN(10))*(MAX((LN(10^(逐级计算!$Q$167/10)-1)+逐级计算!$Q$167*(FK66-逐级计算!$P$167)*LN(10)/10),0)+LN(1+EXP(-ABS((LN(10^(逐级计算!$Q$167/10)-1)+逐级计算!$Q$167*(FK66-逐级计算!$P$167)*LN(10)/10))))))),"")</f>
        <v>13.7930365742089</v>
      </c>
      <c r="FM66">
        <f>IF(AND(ISNUMBER(FL66),逐级计算!$X$168&gt;-1),IF(逐级计算!$X$168=0,FL66+逐级计算!$C$168,FL66+逐级计算!$C$168-(10/(逐级计算!$Q$168*LN(10))*(MAX((LN(10^(逐级计算!$Q$168/10)-1)+逐级计算!$Q$168*(FL66-逐级计算!$P$168)*LN(10)/10),0)+LN(1+EXP(-ABS((LN(10^(逐级计算!$Q$168/10)-1)+逐级计算!$Q$168*(FL66-逐级计算!$P$168)*LN(10)/10))))))),"")</f>
        <v>13.7930365742089</v>
      </c>
      <c r="FN66">
        <f>IF(AND(ISNUMBER(FM66),逐级计算!$X$169&gt;-1),IF(逐级计算!$X$169=0,FM66+逐级计算!$C$169,FM66+逐级计算!$C$169-(10/(逐级计算!$Q$169*LN(10))*(MAX((LN(10^(逐级计算!$Q$169/10)-1)+逐级计算!$Q$169*(FM66-逐级计算!$P$169)*LN(10)/10),0)+LN(1+EXP(-ABS((LN(10^(逐级计算!$Q$169/10)-1)+逐级计算!$Q$169*(FM66-逐级计算!$P$169)*LN(10)/10))))))),"")</f>
        <v>13.7930365742089</v>
      </c>
      <c r="FO66">
        <f>IF(AND(ISNUMBER(FN66),逐级计算!$X$170&gt;-1),IF(逐级计算!$X$170=0,FN66+逐级计算!$C$170,FN66+逐级计算!$C$170-(10/(逐级计算!$Q$170*LN(10))*(MAX((LN(10^(逐级计算!$Q$170/10)-1)+逐级计算!$Q$170*(FN66-逐级计算!$P$170)*LN(10)/10),0)+LN(1+EXP(-ABS((LN(10^(逐级计算!$Q$170/10)-1)+逐级计算!$Q$170*(FN66-逐级计算!$P$170)*LN(10)/10))))))),"")</f>
        <v>13.7930365742089</v>
      </c>
      <c r="FP66">
        <f>IF(AND(ISNUMBER(FO66),逐级计算!$X$171&gt;-1),IF(逐级计算!$X$171=0,FO66+逐级计算!$C$171,FO66+逐级计算!$C$171-(10/(逐级计算!$Q$171*LN(10))*(MAX((LN(10^(逐级计算!$Q$171/10)-1)+逐级计算!$Q$171*(FO66-逐级计算!$P$171)*LN(10)/10),0)+LN(1+EXP(-ABS((LN(10^(逐级计算!$Q$171/10)-1)+逐级计算!$Q$171*(FO66-逐级计算!$P$171)*LN(10)/10))))))),"")</f>
        <v>13.7930365742089</v>
      </c>
      <c r="FQ66">
        <f>IF(AND(ISNUMBER(FP66),逐级计算!$X$172&gt;-1),IF(逐级计算!$X$172=0,FP66+逐级计算!$C$172,FP66+逐级计算!$C$172-(10/(逐级计算!$Q$172*LN(10))*(MAX((LN(10^(逐级计算!$Q$172/10)-1)+逐级计算!$Q$172*(FP66-逐级计算!$P$172)*LN(10)/10),0)+LN(1+EXP(-ABS((LN(10^(逐级计算!$Q$172/10)-1)+逐级计算!$Q$172*(FP66-逐级计算!$P$172)*LN(10)/10))))))),"")</f>
        <v>13.7930365742089</v>
      </c>
      <c r="FR66">
        <f>IF(AND(ISNUMBER(FQ66),逐级计算!$X$173&gt;-1),IF(逐级计算!$X$173=0,FQ66+逐级计算!$C$173,FQ66+逐级计算!$C$173-(10/(逐级计算!$Q$173*LN(10))*(MAX((LN(10^(逐级计算!$Q$173/10)-1)+逐级计算!$Q$173*(FQ66-逐级计算!$P$173)*LN(10)/10),0)+LN(1+EXP(-ABS((LN(10^(逐级计算!$Q$173/10)-1)+逐级计算!$Q$173*(FQ66-逐级计算!$P$173)*LN(10)/10))))))),"")</f>
        <v>13.7930365742089</v>
      </c>
      <c r="FS66">
        <f>IF(AND(ISNUMBER(FR66),逐级计算!$X$174&gt;-1),IF(逐级计算!$X$174=0,FR66+逐级计算!$C$174,FR66+逐级计算!$C$174-(10/(逐级计算!$Q$174*LN(10))*(MAX((LN(10^(逐级计算!$Q$174/10)-1)+逐级计算!$Q$174*(FR66-逐级计算!$P$174)*LN(10)/10),0)+LN(1+EXP(-ABS((LN(10^(逐级计算!$Q$174/10)-1)+逐级计算!$Q$174*(FR66-逐级计算!$P$174)*LN(10)/10))))))),"")</f>
        <v>13.7930365742089</v>
      </c>
      <c r="FT66">
        <f>IF(AND(ISNUMBER(FS66),逐级计算!$X$175&gt;-1),IF(逐级计算!$X$175=0,FS66+逐级计算!$C$175,FS66+逐级计算!$C$175-(10/(逐级计算!$Q$175*LN(10))*(MAX((LN(10^(逐级计算!$Q$175/10)-1)+逐级计算!$Q$175*(FS66-逐级计算!$P$175)*LN(10)/10),0)+LN(1+EXP(-ABS((LN(10^(逐级计算!$Q$175/10)-1)+逐级计算!$Q$175*(FS66-逐级计算!$P$175)*LN(10)/10))))))),"")</f>
        <v>13.7930365742089</v>
      </c>
      <c r="FU66">
        <f>IF(AND(ISNUMBER(FT66),逐级计算!$X$176&gt;-1),IF(逐级计算!$X$176=0,FT66+逐级计算!$C$176,FT66+逐级计算!$C$176-(10/(逐级计算!$Q$176*LN(10))*(MAX((LN(10^(逐级计算!$Q$176/10)-1)+逐级计算!$Q$176*(FT66-逐级计算!$P$176)*LN(10)/10),0)+LN(1+EXP(-ABS((LN(10^(逐级计算!$Q$176/10)-1)+逐级计算!$Q$176*(FT66-逐级计算!$P$176)*LN(10)/10))))))),"")</f>
        <v>13.7930365742089</v>
      </c>
      <c r="FV66">
        <f>IF(AND(ISNUMBER(FU66),逐级计算!$X$177&gt;-1),IF(逐级计算!$X$177=0,FU66+逐级计算!$C$177,FU66+逐级计算!$C$177-(10/(逐级计算!$Q$177*LN(10))*(MAX((LN(10^(逐级计算!$Q$177/10)-1)+逐级计算!$Q$177*(FU66-逐级计算!$P$177)*LN(10)/10),0)+LN(1+EXP(-ABS((LN(10^(逐级计算!$Q$177/10)-1)+逐级计算!$Q$177*(FU66-逐级计算!$P$177)*LN(10)/10))))))),"")</f>
        <v>13.7930365742089</v>
      </c>
      <c r="FW66">
        <f>IF(AND(ISNUMBER(FV66),逐级计算!$X$178&gt;-1),IF(逐级计算!$X$178=0,FV66+逐级计算!$C$178,FV66+逐级计算!$C$178-(10/(逐级计算!$Q$178*LN(10))*(MAX((LN(10^(逐级计算!$Q$178/10)-1)+逐级计算!$Q$178*(FV66-逐级计算!$P$178)*LN(10)/10),0)+LN(1+EXP(-ABS((LN(10^(逐级计算!$Q$178/10)-1)+逐级计算!$Q$178*(FV66-逐级计算!$P$178)*LN(10)/10))))))),"")</f>
        <v>13.7930365742089</v>
      </c>
      <c r="FX66">
        <f>IF(AND(ISNUMBER(FW66),逐级计算!$X$179&gt;-1),IF(逐级计算!$X$179=0,FW66+逐级计算!$C$179,FW66+逐级计算!$C$179-(10/(逐级计算!$Q$179*LN(10))*(MAX((LN(10^(逐级计算!$Q$179/10)-1)+逐级计算!$Q$179*(FW66-逐级计算!$P$179)*LN(10)/10),0)+LN(1+EXP(-ABS((LN(10^(逐级计算!$Q$179/10)-1)+逐级计算!$Q$179*(FW66-逐级计算!$P$179)*LN(10)/10))))))),"")</f>
        <v>13.7930365742089</v>
      </c>
      <c r="FY66">
        <f>IF(AND(ISNUMBER(FX66),逐级计算!$X$180&gt;-1),IF(逐级计算!$X$180=0,FX66+逐级计算!$C$180,FX66+逐级计算!$C$180-(10/(逐级计算!$Q$180*LN(10))*(MAX((LN(10^(逐级计算!$Q$180/10)-1)+逐级计算!$Q$180*(FX66-逐级计算!$P$180)*LN(10)/10),0)+LN(1+EXP(-ABS((LN(10^(逐级计算!$Q$180/10)-1)+逐级计算!$Q$180*(FX66-逐级计算!$P$180)*LN(10)/10))))))),"")</f>
        <v>13.7930365742089</v>
      </c>
      <c r="FZ66">
        <f>IF(AND(ISNUMBER(FY66),逐级计算!$X$181&gt;-1),IF(逐级计算!$X$181=0,FY66+逐级计算!$C$181,FY66+逐级计算!$C$181-(10/(逐级计算!$Q$181*LN(10))*(MAX((LN(10^(逐级计算!$Q$181/10)-1)+逐级计算!$Q$181*(FY66-逐级计算!$P$181)*LN(10)/10),0)+LN(1+EXP(-ABS((LN(10^(逐级计算!$Q$181/10)-1)+逐级计算!$Q$181*(FY66-逐级计算!$P$181)*LN(10)/10))))))),"")</f>
        <v>13.7930365742089</v>
      </c>
      <c r="GA66">
        <f>IF(AND(ISNUMBER(FZ66),逐级计算!$X$182&gt;-1),IF(逐级计算!$X$182=0,FZ66+逐级计算!$C$182,FZ66+逐级计算!$C$182-(10/(逐级计算!$Q$182*LN(10))*(MAX((LN(10^(逐级计算!$Q$182/10)-1)+逐级计算!$Q$182*(FZ66-逐级计算!$P$182)*LN(10)/10),0)+LN(1+EXP(-ABS((LN(10^(逐级计算!$Q$182/10)-1)+逐级计算!$Q$182*(FZ66-逐级计算!$P$182)*LN(10)/10))))))),"")</f>
        <v>13.7930365742089</v>
      </c>
      <c r="GB66">
        <f>IF(AND(ISNUMBER(GA66),逐级计算!$X$183&gt;-1),IF(逐级计算!$X$183=0,GA66+逐级计算!$C$183,GA66+逐级计算!$C$183-(10/(逐级计算!$Q$183*LN(10))*(MAX((LN(10^(逐级计算!$Q$183/10)-1)+逐级计算!$Q$183*(GA66-逐级计算!$P$183)*LN(10)/10),0)+LN(1+EXP(-ABS((LN(10^(逐级计算!$Q$183/10)-1)+逐级计算!$Q$183*(GA66-逐级计算!$P$183)*LN(10)/10))))))),"")</f>
        <v>13.7930365742089</v>
      </c>
      <c r="GC66">
        <f>IF(AND(ISNUMBER(GB66),逐级计算!$X$184&gt;-1),IF(逐级计算!$X$184=0,GB66+逐级计算!$C$184,GB66+逐级计算!$C$184-(10/(逐级计算!$Q$184*LN(10))*(MAX((LN(10^(逐级计算!$Q$184/10)-1)+逐级计算!$Q$184*(GB66-逐级计算!$P$184)*LN(10)/10),0)+LN(1+EXP(-ABS((LN(10^(逐级计算!$Q$184/10)-1)+逐级计算!$Q$184*(GB66-逐级计算!$P$184)*LN(10)/10))))))),"")</f>
        <v>13.7930365742089</v>
      </c>
      <c r="GD66">
        <f>IF(AND(ISNUMBER(GC66),逐级计算!$X$185&gt;-1),IF(逐级计算!$X$185=0,GC66+逐级计算!$C$185,GC66+逐级计算!$C$185-(10/(逐级计算!$Q$185*LN(10))*(MAX((LN(10^(逐级计算!$Q$185/10)-1)+逐级计算!$Q$185*(GC66-逐级计算!$P$185)*LN(10)/10),0)+LN(1+EXP(-ABS((LN(10^(逐级计算!$Q$185/10)-1)+逐级计算!$Q$185*(GC66-逐级计算!$P$185)*LN(10)/10))))))),"")</f>
        <v>13.7930365742089</v>
      </c>
      <c r="GE66">
        <f>IF(AND(ISNUMBER(GD66),逐级计算!$X$186&gt;-1),IF(逐级计算!$X$186=0,GD66+逐级计算!$C$186,GD66+逐级计算!$C$186-(10/(逐级计算!$Q$186*LN(10))*(MAX((LN(10^(逐级计算!$Q$186/10)-1)+逐级计算!$Q$186*(GD66-逐级计算!$P$186)*LN(10)/10),0)+LN(1+EXP(-ABS((LN(10^(逐级计算!$Q$186/10)-1)+逐级计算!$Q$186*(GD66-逐级计算!$P$186)*LN(10)/10))))))),"")</f>
        <v>13.7930365742089</v>
      </c>
      <c r="GF66">
        <f>IF(AND(ISNUMBER(GE66),逐级计算!$X$187&gt;-1),IF(逐级计算!$X$187=0,GE66+逐级计算!$C$187,GE66+逐级计算!$C$187-(10/(逐级计算!$Q$187*LN(10))*(MAX((LN(10^(逐级计算!$Q$187/10)-1)+逐级计算!$Q$187*(GE66-逐级计算!$P$187)*LN(10)/10),0)+LN(1+EXP(-ABS((LN(10^(逐级计算!$Q$187/10)-1)+逐级计算!$Q$187*(GE66-逐级计算!$P$187)*LN(10)/10))))))),"")</f>
        <v>13.7930365742089</v>
      </c>
      <c r="GG66">
        <f>IF(AND(ISNUMBER(GF66),逐级计算!$X$188&gt;-1),IF(逐级计算!$X$188=0,GF66+逐级计算!$C$188,GF66+逐级计算!$C$188-(10/(逐级计算!$Q$188*LN(10))*(MAX((LN(10^(逐级计算!$Q$188/10)-1)+逐级计算!$Q$188*(GF66-逐级计算!$P$188)*LN(10)/10),0)+LN(1+EXP(-ABS((LN(10^(逐级计算!$Q$188/10)-1)+逐级计算!$Q$188*(GF66-逐级计算!$P$188)*LN(10)/10))))))),"")</f>
        <v>13.7930365742089</v>
      </c>
      <c r="GH66">
        <f>IF(AND(ISNUMBER(GG66),逐级计算!$X$189&gt;-1),IF(逐级计算!$X$189=0,GG66+逐级计算!$C$189,GG66+逐级计算!$C$189-(10/(逐级计算!$Q$189*LN(10))*(MAX((LN(10^(逐级计算!$Q$189/10)-1)+逐级计算!$Q$189*(GG66-逐级计算!$P$189)*LN(10)/10),0)+LN(1+EXP(-ABS((LN(10^(逐级计算!$Q$189/10)-1)+逐级计算!$Q$189*(GG66-逐级计算!$P$189)*LN(10)/10))))))),"")</f>
        <v>13.7930365742089</v>
      </c>
      <c r="GI66">
        <f>IF(AND(ISNUMBER(GH66),逐级计算!$X$190&gt;-1),IF(逐级计算!$X$190=0,GH66+逐级计算!$C$190,GH66+逐级计算!$C$190-(10/(逐级计算!$Q$190*LN(10))*(MAX((LN(10^(逐级计算!$Q$190/10)-1)+逐级计算!$Q$190*(GH66-逐级计算!$P$190)*LN(10)/10),0)+LN(1+EXP(-ABS((LN(10^(逐级计算!$Q$190/10)-1)+逐级计算!$Q$190*(GH66-逐级计算!$P$190)*LN(10)/10))))))),"")</f>
        <v>13.7930365742089</v>
      </c>
      <c r="GJ66">
        <f>IF(AND(ISNUMBER(GI66),逐级计算!$X$191&gt;-1),IF(逐级计算!$X$191=0,GI66+逐级计算!$C$191,GI66+逐级计算!$C$191-(10/(逐级计算!$Q$191*LN(10))*(MAX((LN(10^(逐级计算!$Q$191/10)-1)+逐级计算!$Q$191*(GI66-逐级计算!$P$191)*LN(10)/10),0)+LN(1+EXP(-ABS((LN(10^(逐级计算!$Q$191/10)-1)+逐级计算!$Q$191*(GI66-逐级计算!$P$191)*LN(10)/10))))))),"")</f>
        <v>13.7930365742089</v>
      </c>
      <c r="GK66">
        <f>IF(AND(ISNUMBER(GJ66),逐级计算!$X$192&gt;-1),IF(逐级计算!$X$192=0,GJ66+逐级计算!$C$192,GJ66+逐级计算!$C$192-(10/(逐级计算!$Q$192*LN(10))*(MAX((LN(10^(逐级计算!$Q$192/10)-1)+逐级计算!$Q$192*(GJ66-逐级计算!$P$192)*LN(10)/10),0)+LN(1+EXP(-ABS((LN(10^(逐级计算!$Q$192/10)-1)+逐级计算!$Q$192*(GJ66-逐级计算!$P$192)*LN(10)/10))))))),"")</f>
        <v>13.7930365742089</v>
      </c>
      <c r="GL66">
        <f>IF(AND(ISNUMBER(GK66),逐级计算!$X$193&gt;-1),IF(逐级计算!$X$193=0,GK66+逐级计算!$C$193,GK66+逐级计算!$C$193-(10/(逐级计算!$Q$193*LN(10))*(MAX((LN(10^(逐级计算!$Q$193/10)-1)+逐级计算!$Q$193*(GK66-逐级计算!$P$193)*LN(10)/10),0)+LN(1+EXP(-ABS((LN(10^(逐级计算!$Q$193/10)-1)+逐级计算!$Q$193*(GK66-逐级计算!$P$193)*LN(10)/10))))))),"")</f>
        <v>13.7930365742089</v>
      </c>
      <c r="GM66">
        <f>IF(AND(ISNUMBER(GL66),逐级计算!$X$194&gt;-1),IF(逐级计算!$X$194=0,GL66+逐级计算!$C$194,GL66+逐级计算!$C$194-(10/(逐级计算!$Q$194*LN(10))*(MAX((LN(10^(逐级计算!$Q$194/10)-1)+逐级计算!$Q$194*(GL66-逐级计算!$P$194)*LN(10)/10),0)+LN(1+EXP(-ABS((LN(10^(逐级计算!$Q$194/10)-1)+逐级计算!$Q$194*(GL66-逐级计算!$P$194)*LN(10)/10))))))),"")</f>
        <v>13.7930365742089</v>
      </c>
      <c r="GN66">
        <f>IF(AND(ISNUMBER(GM66),逐级计算!$X$195&gt;-1),IF(逐级计算!$X$195=0,GM66+逐级计算!$C$195,GM66+逐级计算!$C$195-(10/(逐级计算!$Q$195*LN(10))*(MAX((LN(10^(逐级计算!$Q$195/10)-1)+逐级计算!$Q$195*(GM66-逐级计算!$P$195)*LN(10)/10),0)+LN(1+EXP(-ABS((LN(10^(逐级计算!$Q$195/10)-1)+逐级计算!$Q$195*(GM66-逐级计算!$P$195)*LN(10)/10))))))),"")</f>
        <v>13.7930365742089</v>
      </c>
      <c r="GO66">
        <f>IF(AND(ISNUMBER(GN66),逐级计算!$X$196&gt;-1),IF(逐级计算!$X$196=0,GN66+逐级计算!$C$196,GN66+逐级计算!$C$196-(10/(逐级计算!$Q$196*LN(10))*(MAX((LN(10^(逐级计算!$Q$196/10)-1)+逐级计算!$Q$196*(GN66-逐级计算!$P$196)*LN(10)/10),0)+LN(1+EXP(-ABS((LN(10^(逐级计算!$Q$196/10)-1)+逐级计算!$Q$196*(GN66-逐级计算!$P$196)*LN(10)/10))))))),"")</f>
        <v>13.7930365742089</v>
      </c>
      <c r="GP66">
        <f>IF(AND(ISNUMBER(GO66),逐级计算!$X$197&gt;-1),IF(逐级计算!$X$197=0,GO66+逐级计算!$C$197,GO66+逐级计算!$C$197-(10/(逐级计算!$Q$197*LN(10))*(MAX((LN(10^(逐级计算!$Q$197/10)-1)+逐级计算!$Q$197*(GO66-逐级计算!$P$197)*LN(10)/10),0)+LN(1+EXP(-ABS((LN(10^(逐级计算!$Q$197/10)-1)+逐级计算!$Q$197*(GO66-逐级计算!$P$197)*LN(10)/10))))))),"")</f>
        <v>13.7930365742089</v>
      </c>
      <c r="GQ66">
        <f>IF(AND(ISNUMBER(GP66),逐级计算!$X$198&gt;-1),IF(逐级计算!$X$198=0,GP66+逐级计算!$C$198,GP66+逐级计算!$C$198-(10/(逐级计算!$Q$198*LN(10))*(MAX((LN(10^(逐级计算!$Q$198/10)-1)+逐级计算!$Q$198*(GP66-逐级计算!$P$198)*LN(10)/10),0)+LN(1+EXP(-ABS((LN(10^(逐级计算!$Q$198/10)-1)+逐级计算!$Q$198*(GP66-逐级计算!$P$198)*LN(10)/10))))))),"")</f>
        <v>13.7930365742089</v>
      </c>
      <c r="GR66">
        <f>IF(AND(ISNUMBER(GQ66),逐级计算!$X$199&gt;-1),IF(逐级计算!$X$199=0,GQ66+逐级计算!$C$199,GQ66+逐级计算!$C$199-(10/(逐级计算!$Q$199*LN(10))*(MAX((LN(10^(逐级计算!$Q$199/10)-1)+逐级计算!$Q$199*(GQ66-逐级计算!$P$199)*LN(10)/10),0)+LN(1+EXP(-ABS((LN(10^(逐级计算!$Q$199/10)-1)+逐级计算!$Q$199*(GQ66-逐级计算!$P$199)*LN(10)/10))))))),"")</f>
        <v>13.7930365742089</v>
      </c>
      <c r="GS66">
        <f>IF(AND(ISNUMBER(GR66),逐级计算!$X$200&gt;-1),IF(逐级计算!$X$200=0,GR66+逐级计算!$C$200,GR66+逐级计算!$C$200-(10/(逐级计算!$Q$200*LN(10))*(MAX((LN(10^(逐级计算!$Q$200/10)-1)+逐级计算!$Q$200*(GR66-逐级计算!$P$200)*LN(10)/10),0)+LN(1+EXP(-ABS((LN(10^(逐级计算!$Q$200/10)-1)+逐级计算!$Q$200*(GR66-逐级计算!$P$200)*LN(10)/10))))))),"")</f>
        <v>13.7930365742089</v>
      </c>
      <c r="GT66">
        <f>IF(AND(ISNUMBER(GS66),逐级计算!$X$201&gt;-1),IF(逐级计算!$X$201=0,GS66+逐级计算!$C$201,GS66+逐级计算!$C$201-(10/(逐级计算!$Q$201*LN(10))*(MAX((LN(10^(逐级计算!$Q$201/10)-1)+逐级计算!$Q$201*(GS66-逐级计算!$P$201)*LN(10)/10),0)+LN(1+EXP(-ABS((LN(10^(逐级计算!$Q$201/10)-1)+逐级计算!$Q$201*(GS66-逐级计算!$P$201)*LN(10)/10))))))),"")</f>
        <v>13.7930365742089</v>
      </c>
      <c r="GU66">
        <f>IF(AND(ISNUMBER(GT66),逐级计算!$X$202&gt;-1),IF(逐级计算!$X$202=0,GT66+逐级计算!$C$202,GT66+逐级计算!$C$202-(10/(逐级计算!$Q$202*LN(10))*(MAX((LN(10^(逐级计算!$Q$202/10)-1)+逐级计算!$Q$202*(GT66-逐级计算!$P$202)*LN(10)/10),0)+LN(1+EXP(-ABS((LN(10^(逐级计算!$Q$202/10)-1)+逐级计算!$Q$202*(GT66-逐级计算!$P$202)*LN(10)/10))))))),"")</f>
        <v>13.7930365742089</v>
      </c>
      <c r="GV66">
        <f>IF(AND(ISNUMBER(GU66),逐级计算!$X$203&gt;-1),IF(逐级计算!$X$203=0,GU66+逐级计算!$C$203,GU66+逐级计算!$C$203-(10/(逐级计算!$Q$203*LN(10))*(MAX((LN(10^(逐级计算!$Q$203/10)-1)+逐级计算!$Q$203*(GU66-逐级计算!$P$203)*LN(10)/10),0)+LN(1+EXP(-ABS((LN(10^(逐级计算!$Q$203/10)-1)+逐级计算!$Q$203*(GU66-逐级计算!$P$203)*LN(10)/10))))))),"")</f>
        <v>13.7930365742089</v>
      </c>
      <c r="GW66">
        <f t="shared" si="2"/>
        <v>-5.20696342579112</v>
      </c>
    </row>
    <row r="67" spans="1:205">
      <c r="A67">
        <v>60</v>
      </c>
      <c r="B67">
        <f t="shared" si="1"/>
        <v>-5.20696342579112</v>
      </c>
      <c r="C67">
        <f t="shared" si="0"/>
        <v>-5.20696342579112</v>
      </c>
      <c r="D67">
        <f>IF(AND(ISNUMBER(C67),ISNUMBER(逐级计算!$E$203),ISNUMBER(GV67)),C67+逐级计算!$E$203-GV67,"")</f>
        <v>1</v>
      </c>
      <c r="E67">
        <f>IF(AND(ISNUMBER(C67),逐级计算!$X$4&gt;-1),IF(逐级计算!$X$4=0,C67+逐级计算!$C$4,C67+逐级计算!$C$4-(10/(逐级计算!$Q$4*LN(10))*(MAX((LN(10^(逐级计算!$Q$4/10)-1)+逐级计算!$Q$4*(C67-逐级计算!$P$4)*LN(10)/10),0)+LN(1+EXP(-ABS((LN(10^(逐级计算!$Q$4/10)-1)+逐级计算!$Q$4*(C67-逐级计算!$P$4)*LN(10)/10))))))),"")</f>
        <v>4.68053982928311</v>
      </c>
      <c r="F67">
        <f>IF(AND(ISNUMBER(E67),逐级计算!$X$5&gt;-1),IF(逐级计算!$X$5=0,E67+逐级计算!$C$5,E67+逐级计算!$C$5-(10/(逐级计算!$Q$5*LN(10))*(MAX((LN(10^(逐级计算!$Q$5/10)-1)+逐级计算!$Q$5*(E67-逐级计算!$P$5)*LN(10)/10),0)+LN(1+EXP(-ABS((LN(10^(逐级计算!$Q$5/10)-1)+逐级计算!$Q$5*(E67-逐级计算!$P$5)*LN(10)/10))))))),"")</f>
        <v>13.7930365742089</v>
      </c>
      <c r="G67">
        <f>IF(AND(ISNUMBER(F67),逐级计算!$X$6&gt;-1),IF(逐级计算!$X$6=0,F67+逐级计算!$C$6,F67+逐级计算!$C$6-(10/(逐级计算!$Q$6*LN(10))*(MAX((LN(10^(逐级计算!$Q$6/10)-1)+逐级计算!$Q$6*(F67-逐级计算!$P$6)*LN(10)/10),0)+LN(1+EXP(-ABS((LN(10^(逐级计算!$Q$6/10)-1)+逐级计算!$Q$6*(F67-逐级计算!$P$6)*LN(10)/10))))))),"")</f>
        <v>13.7930365742089</v>
      </c>
      <c r="H67">
        <f>IF(AND(ISNUMBER(G67),逐级计算!$X$7&gt;-1),IF(逐级计算!$X$7=0,G67+逐级计算!$C$7,G67+逐级计算!$C$7-(10/(逐级计算!$Q$7*LN(10))*(MAX((LN(10^(逐级计算!$Q$7/10)-1)+逐级计算!$Q$7*(G67-逐级计算!$P$7)*LN(10)/10),0)+LN(1+EXP(-ABS((LN(10^(逐级计算!$Q$7/10)-1)+逐级计算!$Q$7*(G67-逐级计算!$P$7)*LN(10)/10))))))),"")</f>
        <v>13.7930365742089</v>
      </c>
      <c r="I67">
        <f>IF(AND(ISNUMBER(H67),逐级计算!$X$8&gt;-1),IF(逐级计算!$X$8=0,H67+逐级计算!$C$8,H67+逐级计算!$C$8-(10/(逐级计算!$Q$8*LN(10))*(MAX((LN(10^(逐级计算!$Q$8/10)-1)+逐级计算!$Q$8*(H67-逐级计算!$P$8)*LN(10)/10),0)+LN(1+EXP(-ABS((LN(10^(逐级计算!$Q$8/10)-1)+逐级计算!$Q$8*(H67-逐级计算!$P$8)*LN(10)/10))))))),"")</f>
        <v>13.7930365742089</v>
      </c>
      <c r="J67">
        <f>IF(AND(ISNUMBER(I67),逐级计算!$X$9&gt;-1),IF(逐级计算!$X$9=0,I67+逐级计算!$C$9,I67+逐级计算!$C$9-(10/(逐级计算!$Q$9*LN(10))*(MAX((LN(10^(逐级计算!$Q$9/10)-1)+逐级计算!$Q$9*(I67-逐级计算!$P$9)*LN(10)/10),0)+LN(1+EXP(-ABS((LN(10^(逐级计算!$Q$9/10)-1)+逐级计算!$Q$9*(I67-逐级计算!$P$9)*LN(10)/10))))))),"")</f>
        <v>13.7930365742089</v>
      </c>
      <c r="K67">
        <f>IF(AND(ISNUMBER(J67),逐级计算!$X$10&gt;-1),IF(逐级计算!$X$10=0,J67+逐级计算!$C$10,J67+逐级计算!$C$10-(10/(逐级计算!$Q$10*LN(10))*(MAX((LN(10^(逐级计算!$Q$10/10)-1)+逐级计算!$Q$10*(J67-逐级计算!$P$10)*LN(10)/10),0)+LN(1+EXP(-ABS((LN(10^(逐级计算!$Q$10/10)-1)+逐级计算!$Q$10*(J67-逐级计算!$P$10)*LN(10)/10))))))),"")</f>
        <v>13.7930365742089</v>
      </c>
      <c r="L67">
        <f>IF(AND(ISNUMBER(K67),逐级计算!$X$11&gt;-1),IF(逐级计算!$X$11=0,K67+逐级计算!$C$11,K67+逐级计算!$C$11-(10/(逐级计算!$Q$11*LN(10))*(MAX((LN(10^(逐级计算!$Q$11/10)-1)+逐级计算!$Q$11*(K67-逐级计算!$P$11)*LN(10)/10),0)+LN(1+EXP(-ABS((LN(10^(逐级计算!$Q$11/10)-1)+逐级计算!$Q$11*(K67-逐级计算!$P$11)*LN(10)/10))))))),"")</f>
        <v>13.7930365742089</v>
      </c>
      <c r="M67">
        <f>IF(AND(ISNUMBER(L67),逐级计算!$X$12&gt;-1),IF(逐级计算!$X$12=0,L67+逐级计算!$C$12,L67+逐级计算!$C$12-(10/(逐级计算!$Q$12*LN(10))*(MAX((LN(10^(逐级计算!$Q$12/10)-1)+逐级计算!$Q$12*(L67-逐级计算!$P$12)*LN(10)/10),0)+LN(1+EXP(-ABS((LN(10^(逐级计算!$Q$12/10)-1)+逐级计算!$Q$12*(L67-逐级计算!$P$12)*LN(10)/10))))))),"")</f>
        <v>13.7930365742089</v>
      </c>
      <c r="N67">
        <f>IF(AND(ISNUMBER(M67),逐级计算!$X$13&gt;-1),IF(逐级计算!$X$13=0,M67+逐级计算!$C$13,M67+逐级计算!$C$13-(10/(逐级计算!$Q$13*LN(10))*(MAX((LN(10^(逐级计算!$Q$13/10)-1)+逐级计算!$Q$13*(M67-逐级计算!$P$13)*LN(10)/10),0)+LN(1+EXP(-ABS((LN(10^(逐级计算!$Q$13/10)-1)+逐级计算!$Q$13*(M67-逐级计算!$P$13)*LN(10)/10))))))),"")</f>
        <v>13.7930365742089</v>
      </c>
      <c r="O67">
        <f>IF(AND(ISNUMBER(N67),逐级计算!$X$14&gt;-1),IF(逐级计算!$X$14=0,N67+逐级计算!$C$14,N67+逐级计算!$C$14-(10/(逐级计算!$Q$14*LN(10))*(MAX((LN(10^(逐级计算!$Q$14/10)-1)+逐级计算!$Q$14*(N67-逐级计算!$P$14)*LN(10)/10),0)+LN(1+EXP(-ABS((LN(10^(逐级计算!$Q$14/10)-1)+逐级计算!$Q$14*(N67-逐级计算!$P$14)*LN(10)/10))))))),"")</f>
        <v>13.7930365742089</v>
      </c>
      <c r="P67">
        <f>IF(AND(ISNUMBER(O67),逐级计算!$X$15&gt;-1),IF(逐级计算!$X$15=0,O67+逐级计算!$C$15,O67+逐级计算!$C$15-(10/(逐级计算!$Q$15*LN(10))*(MAX((LN(10^(逐级计算!$Q$15/10)-1)+逐级计算!$Q$15*(O67-逐级计算!$P$15)*LN(10)/10),0)+LN(1+EXP(-ABS((LN(10^(逐级计算!$Q$15/10)-1)+逐级计算!$Q$15*(O67-逐级计算!$P$15)*LN(10)/10))))))),"")</f>
        <v>13.7930365742089</v>
      </c>
      <c r="Q67">
        <f>IF(AND(ISNUMBER(P67),逐级计算!$X$16&gt;-1),IF(逐级计算!$X$16=0,P67+逐级计算!$C$16,P67+逐级计算!$C$16-(10/(逐级计算!$Q$16*LN(10))*(MAX((LN(10^(逐级计算!$Q$16/10)-1)+逐级计算!$Q$16*(P67-逐级计算!$P$16)*LN(10)/10),0)+LN(1+EXP(-ABS((LN(10^(逐级计算!$Q$16/10)-1)+逐级计算!$Q$16*(P67-逐级计算!$P$16)*LN(10)/10))))))),"")</f>
        <v>13.7930365742089</v>
      </c>
      <c r="R67">
        <f>IF(AND(ISNUMBER(Q67),逐级计算!$X$17&gt;-1),IF(逐级计算!$X$17=0,Q67+逐级计算!$C$17,Q67+逐级计算!$C$17-(10/(逐级计算!$Q$17*LN(10))*(MAX((LN(10^(逐级计算!$Q$17/10)-1)+逐级计算!$Q$17*(Q67-逐级计算!$P$17)*LN(10)/10),0)+LN(1+EXP(-ABS((LN(10^(逐级计算!$Q$17/10)-1)+逐级计算!$Q$17*(Q67-逐级计算!$P$17)*LN(10)/10))))))),"")</f>
        <v>13.7930365742089</v>
      </c>
      <c r="S67">
        <f>IF(AND(ISNUMBER(R67),逐级计算!$X$18&gt;-1),IF(逐级计算!$X$18=0,R67+逐级计算!$C$18,R67+逐级计算!$C$18-(10/(逐级计算!$Q$18*LN(10))*(MAX((LN(10^(逐级计算!$Q$18/10)-1)+逐级计算!$Q$18*(R67-逐级计算!$P$18)*LN(10)/10),0)+LN(1+EXP(-ABS((LN(10^(逐级计算!$Q$18/10)-1)+逐级计算!$Q$18*(R67-逐级计算!$P$18)*LN(10)/10))))))),"")</f>
        <v>13.7930365742089</v>
      </c>
      <c r="T67">
        <f>IF(AND(ISNUMBER(S67),逐级计算!$X$19&gt;-1),IF(逐级计算!$X$19=0,S67+逐级计算!$C$19,S67+逐级计算!$C$19-(10/(逐级计算!$Q$19*LN(10))*(MAX((LN(10^(逐级计算!$Q$19/10)-1)+逐级计算!$Q$19*(S67-逐级计算!$P$19)*LN(10)/10),0)+LN(1+EXP(-ABS((LN(10^(逐级计算!$Q$19/10)-1)+逐级计算!$Q$19*(S67-逐级计算!$P$19)*LN(10)/10))))))),"")</f>
        <v>13.7930365742089</v>
      </c>
      <c r="U67">
        <f>IF(AND(ISNUMBER(T67),逐级计算!$X$20&gt;-1),IF(逐级计算!$X$20=0,T67+逐级计算!$C$20,T67+逐级计算!$C$20-(10/(逐级计算!$Q$20*LN(10))*(MAX((LN(10^(逐级计算!$Q$20/10)-1)+逐级计算!$Q$20*(T67-逐级计算!$P$20)*LN(10)/10),0)+LN(1+EXP(-ABS((LN(10^(逐级计算!$Q$20/10)-1)+逐级计算!$Q$20*(T67-逐级计算!$P$20)*LN(10)/10))))))),"")</f>
        <v>13.7930365742089</v>
      </c>
      <c r="V67">
        <f>IF(AND(ISNUMBER(U67),逐级计算!$X$21&gt;-1),IF(逐级计算!$X$21=0,U67+逐级计算!$C$21,U67+逐级计算!$C$21-(10/(逐级计算!$Q$21*LN(10))*(MAX((LN(10^(逐级计算!$Q$21/10)-1)+逐级计算!$Q$21*(U67-逐级计算!$P$21)*LN(10)/10),0)+LN(1+EXP(-ABS((LN(10^(逐级计算!$Q$21/10)-1)+逐级计算!$Q$21*(U67-逐级计算!$P$21)*LN(10)/10))))))),"")</f>
        <v>13.7930365742089</v>
      </c>
      <c r="W67">
        <f>IF(AND(ISNUMBER(V67),逐级计算!$X$22&gt;-1),IF(逐级计算!$X$22=0,V67+逐级计算!$C$22,V67+逐级计算!$C$22-(10/(逐级计算!$Q$22*LN(10))*(MAX((LN(10^(逐级计算!$Q$22/10)-1)+逐级计算!$Q$22*(V67-逐级计算!$P$22)*LN(10)/10),0)+LN(1+EXP(-ABS((LN(10^(逐级计算!$Q$22/10)-1)+逐级计算!$Q$22*(V67-逐级计算!$P$22)*LN(10)/10))))))),"")</f>
        <v>13.7930365742089</v>
      </c>
      <c r="X67">
        <f>IF(AND(ISNUMBER(W67),逐级计算!$X$23&gt;-1),IF(逐级计算!$X$23=0,W67+逐级计算!$C$23,W67+逐级计算!$C$23-(10/(逐级计算!$Q$23*LN(10))*(MAX((LN(10^(逐级计算!$Q$23/10)-1)+逐级计算!$Q$23*(W67-逐级计算!$P$23)*LN(10)/10),0)+LN(1+EXP(-ABS((LN(10^(逐级计算!$Q$23/10)-1)+逐级计算!$Q$23*(W67-逐级计算!$P$23)*LN(10)/10))))))),"")</f>
        <v>13.7930365742089</v>
      </c>
      <c r="Y67">
        <f>IF(AND(ISNUMBER(X67),逐级计算!$X$24&gt;-1),IF(逐级计算!$X$24=0,X67+逐级计算!$C$24,X67+逐级计算!$C$24-(10/(逐级计算!$Q$24*LN(10))*(MAX((LN(10^(逐级计算!$Q$24/10)-1)+逐级计算!$Q$24*(X67-逐级计算!$P$24)*LN(10)/10),0)+LN(1+EXP(-ABS((LN(10^(逐级计算!$Q$24/10)-1)+逐级计算!$Q$24*(X67-逐级计算!$P$24)*LN(10)/10))))))),"")</f>
        <v>13.7930365742089</v>
      </c>
      <c r="Z67">
        <f>IF(AND(ISNUMBER(Y67),逐级计算!$X$25&gt;-1),IF(逐级计算!$X$25=0,Y67+逐级计算!$C$25,Y67+逐级计算!$C$25-(10/(逐级计算!$Q$25*LN(10))*(MAX((LN(10^(逐级计算!$Q$25/10)-1)+逐级计算!$Q$25*(Y67-逐级计算!$P$25)*LN(10)/10),0)+LN(1+EXP(-ABS((LN(10^(逐级计算!$Q$25/10)-1)+逐级计算!$Q$25*(Y67-逐级计算!$P$25)*LN(10)/10))))))),"")</f>
        <v>13.7930365742089</v>
      </c>
      <c r="AA67">
        <f>IF(AND(ISNUMBER(Z67),逐级计算!$X$26&gt;-1),IF(逐级计算!$X$26=0,Z67+逐级计算!$C$26,Z67+逐级计算!$C$26-(10/(逐级计算!$Q$26*LN(10))*(MAX((LN(10^(逐级计算!$Q$26/10)-1)+逐级计算!$Q$26*(Z67-逐级计算!$P$26)*LN(10)/10),0)+LN(1+EXP(-ABS((LN(10^(逐级计算!$Q$26/10)-1)+逐级计算!$Q$26*(Z67-逐级计算!$P$26)*LN(10)/10))))))),"")</f>
        <v>13.7930365742089</v>
      </c>
      <c r="AB67">
        <f>IF(AND(ISNUMBER(AA67),逐级计算!$X$27&gt;-1),IF(逐级计算!$X$27=0,AA67+逐级计算!$C$27,AA67+逐级计算!$C$27-(10/(逐级计算!$Q$27*LN(10))*(MAX((LN(10^(逐级计算!$Q$27/10)-1)+逐级计算!$Q$27*(AA67-逐级计算!$P$27)*LN(10)/10),0)+LN(1+EXP(-ABS((LN(10^(逐级计算!$Q$27/10)-1)+逐级计算!$Q$27*(AA67-逐级计算!$P$27)*LN(10)/10))))))),"")</f>
        <v>13.7930365742089</v>
      </c>
      <c r="AC67">
        <f>IF(AND(ISNUMBER(AB67),逐级计算!$X$28&gt;-1),IF(逐级计算!$X$28=0,AB67+逐级计算!$C$28,AB67+逐级计算!$C$28-(10/(逐级计算!$Q$28*LN(10))*(MAX((LN(10^(逐级计算!$Q$28/10)-1)+逐级计算!$Q$28*(AB67-逐级计算!$P$28)*LN(10)/10),0)+LN(1+EXP(-ABS((LN(10^(逐级计算!$Q$28/10)-1)+逐级计算!$Q$28*(AB67-逐级计算!$P$28)*LN(10)/10))))))),"")</f>
        <v>13.7930365742089</v>
      </c>
      <c r="AD67">
        <f>IF(AND(ISNUMBER(AC67),逐级计算!$X$29&gt;-1),IF(逐级计算!$X$29=0,AC67+逐级计算!$C$29,AC67+逐级计算!$C$29-(10/(逐级计算!$Q$29*LN(10))*(MAX((LN(10^(逐级计算!$Q$29/10)-1)+逐级计算!$Q$29*(AC67-逐级计算!$P$29)*LN(10)/10),0)+LN(1+EXP(-ABS((LN(10^(逐级计算!$Q$29/10)-1)+逐级计算!$Q$29*(AC67-逐级计算!$P$29)*LN(10)/10))))))),"")</f>
        <v>13.7930365742089</v>
      </c>
      <c r="AE67">
        <f>IF(AND(ISNUMBER(AD67),逐级计算!$X$30&gt;-1),IF(逐级计算!$X$30=0,AD67+逐级计算!$C$30,AD67+逐级计算!$C$30-(10/(逐级计算!$Q$30*LN(10))*(MAX((LN(10^(逐级计算!$Q$30/10)-1)+逐级计算!$Q$30*(AD67-逐级计算!$P$30)*LN(10)/10),0)+LN(1+EXP(-ABS((LN(10^(逐级计算!$Q$30/10)-1)+逐级计算!$Q$30*(AD67-逐级计算!$P$30)*LN(10)/10))))))),"")</f>
        <v>13.7930365742089</v>
      </c>
      <c r="AF67">
        <f>IF(AND(ISNUMBER(AE67),逐级计算!$X$31&gt;-1),IF(逐级计算!$X$31=0,AE67+逐级计算!$C$31,AE67+逐级计算!$C$31-(10/(逐级计算!$Q$31*LN(10))*(MAX((LN(10^(逐级计算!$Q$31/10)-1)+逐级计算!$Q$31*(AE67-逐级计算!$P$31)*LN(10)/10),0)+LN(1+EXP(-ABS((LN(10^(逐级计算!$Q$31/10)-1)+逐级计算!$Q$31*(AE67-逐级计算!$P$31)*LN(10)/10))))))),"")</f>
        <v>13.7930365742089</v>
      </c>
      <c r="AG67">
        <f>IF(AND(ISNUMBER(AF67),逐级计算!$X$32&gt;-1),IF(逐级计算!$X$32=0,AF67+逐级计算!$C$32,AF67+逐级计算!$C$32-(10/(逐级计算!$Q$32*LN(10))*(MAX((LN(10^(逐级计算!$Q$32/10)-1)+逐级计算!$Q$32*(AF67-逐级计算!$P$32)*LN(10)/10),0)+LN(1+EXP(-ABS((LN(10^(逐级计算!$Q$32/10)-1)+逐级计算!$Q$32*(AF67-逐级计算!$P$32)*LN(10)/10))))))),"")</f>
        <v>13.7930365742089</v>
      </c>
      <c r="AH67">
        <f>IF(AND(ISNUMBER(AG67),逐级计算!$X$33&gt;-1),IF(逐级计算!$X$33=0,AG67+逐级计算!$C$33,AG67+逐级计算!$C$33-(10/(逐级计算!$Q$33*LN(10))*(MAX((LN(10^(逐级计算!$Q$33/10)-1)+逐级计算!$Q$33*(AG67-逐级计算!$P$33)*LN(10)/10),0)+LN(1+EXP(-ABS((LN(10^(逐级计算!$Q$33/10)-1)+逐级计算!$Q$33*(AG67-逐级计算!$P$33)*LN(10)/10))))))),"")</f>
        <v>13.7930365742089</v>
      </c>
      <c r="AI67">
        <f>IF(AND(ISNUMBER(AH67),逐级计算!$X$34&gt;-1),IF(逐级计算!$X$34=0,AH67+逐级计算!$C$34,AH67+逐级计算!$C$34-(10/(逐级计算!$Q$34*LN(10))*(MAX((LN(10^(逐级计算!$Q$34/10)-1)+逐级计算!$Q$34*(AH67-逐级计算!$P$34)*LN(10)/10),0)+LN(1+EXP(-ABS((LN(10^(逐级计算!$Q$34/10)-1)+逐级计算!$Q$34*(AH67-逐级计算!$P$34)*LN(10)/10))))))),"")</f>
        <v>13.7930365742089</v>
      </c>
      <c r="AJ67">
        <f>IF(AND(ISNUMBER(AI67),逐级计算!$X$35&gt;-1),IF(逐级计算!$X$35=0,AI67+逐级计算!$C$35,AI67+逐级计算!$C$35-(10/(逐级计算!$Q$35*LN(10))*(MAX((LN(10^(逐级计算!$Q$35/10)-1)+逐级计算!$Q$35*(AI67-逐级计算!$P$35)*LN(10)/10),0)+LN(1+EXP(-ABS((LN(10^(逐级计算!$Q$35/10)-1)+逐级计算!$Q$35*(AI67-逐级计算!$P$35)*LN(10)/10))))))),"")</f>
        <v>13.7930365742089</v>
      </c>
      <c r="AK67">
        <f>IF(AND(ISNUMBER(AJ67),逐级计算!$X$36&gt;-1),IF(逐级计算!$X$36=0,AJ67+逐级计算!$C$36,AJ67+逐级计算!$C$36-(10/(逐级计算!$Q$36*LN(10))*(MAX((LN(10^(逐级计算!$Q$36/10)-1)+逐级计算!$Q$36*(AJ67-逐级计算!$P$36)*LN(10)/10),0)+LN(1+EXP(-ABS((LN(10^(逐级计算!$Q$36/10)-1)+逐级计算!$Q$36*(AJ67-逐级计算!$P$36)*LN(10)/10))))))),"")</f>
        <v>13.7930365742089</v>
      </c>
      <c r="AL67">
        <f>IF(AND(ISNUMBER(AK67),逐级计算!$X$37&gt;-1),IF(逐级计算!$X$37=0,AK67+逐级计算!$C$37,AK67+逐级计算!$C$37-(10/(逐级计算!$Q$37*LN(10))*(MAX((LN(10^(逐级计算!$Q$37/10)-1)+逐级计算!$Q$37*(AK67-逐级计算!$P$37)*LN(10)/10),0)+LN(1+EXP(-ABS((LN(10^(逐级计算!$Q$37/10)-1)+逐级计算!$Q$37*(AK67-逐级计算!$P$37)*LN(10)/10))))))),"")</f>
        <v>13.7930365742089</v>
      </c>
      <c r="AM67">
        <f>IF(AND(ISNUMBER(AL67),逐级计算!$X$38&gt;-1),IF(逐级计算!$X$38=0,AL67+逐级计算!$C$38,AL67+逐级计算!$C$38-(10/(逐级计算!$Q$38*LN(10))*(MAX((LN(10^(逐级计算!$Q$38/10)-1)+逐级计算!$Q$38*(AL67-逐级计算!$P$38)*LN(10)/10),0)+LN(1+EXP(-ABS((LN(10^(逐级计算!$Q$38/10)-1)+逐级计算!$Q$38*(AL67-逐级计算!$P$38)*LN(10)/10))))))),"")</f>
        <v>13.7930365742089</v>
      </c>
      <c r="AN67">
        <f>IF(AND(ISNUMBER(AM67),逐级计算!$X$39&gt;-1),IF(逐级计算!$X$39=0,AM67+逐级计算!$C$39,AM67+逐级计算!$C$39-(10/(逐级计算!$Q$39*LN(10))*(MAX((LN(10^(逐级计算!$Q$39/10)-1)+逐级计算!$Q$39*(AM67-逐级计算!$P$39)*LN(10)/10),0)+LN(1+EXP(-ABS((LN(10^(逐级计算!$Q$39/10)-1)+逐级计算!$Q$39*(AM67-逐级计算!$P$39)*LN(10)/10))))))),"")</f>
        <v>13.7930365742089</v>
      </c>
      <c r="AO67">
        <f>IF(AND(ISNUMBER(AN67),逐级计算!$X$40&gt;-1),IF(逐级计算!$X$40=0,AN67+逐级计算!$C$40,AN67+逐级计算!$C$40-(10/(逐级计算!$Q$40*LN(10))*(MAX((LN(10^(逐级计算!$Q$40/10)-1)+逐级计算!$Q$40*(AN67-逐级计算!$P$40)*LN(10)/10),0)+LN(1+EXP(-ABS((LN(10^(逐级计算!$Q$40/10)-1)+逐级计算!$Q$40*(AN67-逐级计算!$P$40)*LN(10)/10))))))),"")</f>
        <v>13.7930365742089</v>
      </c>
      <c r="AP67">
        <f>IF(AND(ISNUMBER(AO67),逐级计算!$X$41&gt;-1),IF(逐级计算!$X$41=0,AO67+逐级计算!$C$41,AO67+逐级计算!$C$41-(10/(逐级计算!$Q$41*LN(10))*(MAX((LN(10^(逐级计算!$Q$41/10)-1)+逐级计算!$Q$41*(AO67-逐级计算!$P$41)*LN(10)/10),0)+LN(1+EXP(-ABS((LN(10^(逐级计算!$Q$41/10)-1)+逐级计算!$Q$41*(AO67-逐级计算!$P$41)*LN(10)/10))))))),"")</f>
        <v>13.7930365742089</v>
      </c>
      <c r="AQ67">
        <f>IF(AND(ISNUMBER(AP67),逐级计算!$X$42&gt;-1),IF(逐级计算!$X$42=0,AP67+逐级计算!$C$42,AP67+逐级计算!$C$42-(10/(逐级计算!$Q$42*LN(10))*(MAX((LN(10^(逐级计算!$Q$42/10)-1)+逐级计算!$Q$42*(AP67-逐级计算!$P$42)*LN(10)/10),0)+LN(1+EXP(-ABS((LN(10^(逐级计算!$Q$42/10)-1)+逐级计算!$Q$42*(AP67-逐级计算!$P$42)*LN(10)/10))))))),"")</f>
        <v>13.7930365742089</v>
      </c>
      <c r="AR67">
        <f>IF(AND(ISNUMBER(AQ67),逐级计算!$X$43&gt;-1),IF(逐级计算!$X$43=0,AQ67+逐级计算!$C$43,AQ67+逐级计算!$C$43-(10/(逐级计算!$Q$43*LN(10))*(MAX((LN(10^(逐级计算!$Q$43/10)-1)+逐级计算!$Q$43*(AQ67-逐级计算!$P$43)*LN(10)/10),0)+LN(1+EXP(-ABS((LN(10^(逐级计算!$Q$43/10)-1)+逐级计算!$Q$43*(AQ67-逐级计算!$P$43)*LN(10)/10))))))),"")</f>
        <v>13.7930365742089</v>
      </c>
      <c r="AS67">
        <f>IF(AND(ISNUMBER(AR67),逐级计算!$X$44&gt;-1),IF(逐级计算!$X$44=0,AR67+逐级计算!$C$44,AR67+逐级计算!$C$44-(10/(逐级计算!$Q$44*LN(10))*(MAX((LN(10^(逐级计算!$Q$44/10)-1)+逐级计算!$Q$44*(AR67-逐级计算!$P$44)*LN(10)/10),0)+LN(1+EXP(-ABS((LN(10^(逐级计算!$Q$44/10)-1)+逐级计算!$Q$44*(AR67-逐级计算!$P$44)*LN(10)/10))))))),"")</f>
        <v>13.7930365742089</v>
      </c>
      <c r="AT67">
        <f>IF(AND(ISNUMBER(AS67),逐级计算!$X$45&gt;-1),IF(逐级计算!$X$45=0,AS67+逐级计算!$C$45,AS67+逐级计算!$C$45-(10/(逐级计算!$Q$45*LN(10))*(MAX((LN(10^(逐级计算!$Q$45/10)-1)+逐级计算!$Q$45*(AS67-逐级计算!$P$45)*LN(10)/10),0)+LN(1+EXP(-ABS((LN(10^(逐级计算!$Q$45/10)-1)+逐级计算!$Q$45*(AS67-逐级计算!$P$45)*LN(10)/10))))))),"")</f>
        <v>13.7930365742089</v>
      </c>
      <c r="AU67">
        <f>IF(AND(ISNUMBER(AT67),逐级计算!$X$46&gt;-1),IF(逐级计算!$X$46=0,AT67+逐级计算!$C$46,AT67+逐级计算!$C$46-(10/(逐级计算!$Q$46*LN(10))*(MAX((LN(10^(逐级计算!$Q$46/10)-1)+逐级计算!$Q$46*(AT67-逐级计算!$P$46)*LN(10)/10),0)+LN(1+EXP(-ABS((LN(10^(逐级计算!$Q$46/10)-1)+逐级计算!$Q$46*(AT67-逐级计算!$P$46)*LN(10)/10))))))),"")</f>
        <v>13.7930365742089</v>
      </c>
      <c r="AV67">
        <f>IF(AND(ISNUMBER(AU67),逐级计算!$X$47&gt;-1),IF(逐级计算!$X$47=0,AU67+逐级计算!$C$47,AU67+逐级计算!$C$47-(10/(逐级计算!$Q$47*LN(10))*(MAX((LN(10^(逐级计算!$Q$47/10)-1)+逐级计算!$Q$47*(AU67-逐级计算!$P$47)*LN(10)/10),0)+LN(1+EXP(-ABS((LN(10^(逐级计算!$Q$47/10)-1)+逐级计算!$Q$47*(AU67-逐级计算!$P$47)*LN(10)/10))))))),"")</f>
        <v>13.7930365742089</v>
      </c>
      <c r="AW67">
        <f>IF(AND(ISNUMBER(AV67),逐级计算!$X$48&gt;-1),IF(逐级计算!$X$48=0,AV67+逐级计算!$C$48,AV67+逐级计算!$C$48-(10/(逐级计算!$Q$48*LN(10))*(MAX((LN(10^(逐级计算!$Q$48/10)-1)+逐级计算!$Q$48*(AV67-逐级计算!$P$48)*LN(10)/10),0)+LN(1+EXP(-ABS((LN(10^(逐级计算!$Q$48/10)-1)+逐级计算!$Q$48*(AV67-逐级计算!$P$48)*LN(10)/10))))))),"")</f>
        <v>13.7930365742089</v>
      </c>
      <c r="AX67">
        <f>IF(AND(ISNUMBER(AW67),逐级计算!$X$49&gt;-1),IF(逐级计算!$X$49=0,AW67+逐级计算!$C$49,AW67+逐级计算!$C$49-(10/(逐级计算!$Q$49*LN(10))*(MAX((LN(10^(逐级计算!$Q$49/10)-1)+逐级计算!$Q$49*(AW67-逐级计算!$P$49)*LN(10)/10),0)+LN(1+EXP(-ABS((LN(10^(逐级计算!$Q$49/10)-1)+逐级计算!$Q$49*(AW67-逐级计算!$P$49)*LN(10)/10))))))),"")</f>
        <v>13.7930365742089</v>
      </c>
      <c r="AY67">
        <f>IF(AND(ISNUMBER(AX67),逐级计算!$X$50&gt;-1),IF(逐级计算!$X$50=0,AX67+逐级计算!$C$50,AX67+逐级计算!$C$50-(10/(逐级计算!$Q$50*LN(10))*(MAX((LN(10^(逐级计算!$Q$50/10)-1)+逐级计算!$Q$50*(AX67-逐级计算!$P$50)*LN(10)/10),0)+LN(1+EXP(-ABS((LN(10^(逐级计算!$Q$50/10)-1)+逐级计算!$Q$50*(AX67-逐级计算!$P$50)*LN(10)/10))))))),"")</f>
        <v>13.7930365742089</v>
      </c>
      <c r="AZ67">
        <f>IF(AND(ISNUMBER(AY67),逐级计算!$X$51&gt;-1),IF(逐级计算!$X$51=0,AY67+逐级计算!$C$51,AY67+逐级计算!$C$51-(10/(逐级计算!$Q$51*LN(10))*(MAX((LN(10^(逐级计算!$Q$51/10)-1)+逐级计算!$Q$51*(AY67-逐级计算!$P$51)*LN(10)/10),0)+LN(1+EXP(-ABS((LN(10^(逐级计算!$Q$51/10)-1)+逐级计算!$Q$51*(AY67-逐级计算!$P$51)*LN(10)/10))))))),"")</f>
        <v>13.7930365742089</v>
      </c>
      <c r="BA67">
        <f>IF(AND(ISNUMBER(AZ67),逐级计算!$X$52&gt;-1),IF(逐级计算!$X$52=0,AZ67+逐级计算!$C$52,AZ67+逐级计算!$C$52-(10/(逐级计算!$Q$52*LN(10))*(MAX((LN(10^(逐级计算!$Q$52/10)-1)+逐级计算!$Q$52*(AZ67-逐级计算!$P$52)*LN(10)/10),0)+LN(1+EXP(-ABS((LN(10^(逐级计算!$Q$52/10)-1)+逐级计算!$Q$52*(AZ67-逐级计算!$P$52)*LN(10)/10))))))),"")</f>
        <v>13.7930365742089</v>
      </c>
      <c r="BB67">
        <f>IF(AND(ISNUMBER(BA67),逐级计算!$X$53&gt;-1),IF(逐级计算!$X$53=0,BA67+逐级计算!$C$53,BA67+逐级计算!$C$53-(10/(逐级计算!$Q$53*LN(10))*(MAX((LN(10^(逐级计算!$Q$53/10)-1)+逐级计算!$Q$53*(BA67-逐级计算!$P$53)*LN(10)/10),0)+LN(1+EXP(-ABS((LN(10^(逐级计算!$Q$53/10)-1)+逐级计算!$Q$53*(BA67-逐级计算!$P$53)*LN(10)/10))))))),"")</f>
        <v>13.7930365742089</v>
      </c>
      <c r="BC67">
        <f>IF(AND(ISNUMBER(BB67),逐级计算!$X$54&gt;-1),IF(逐级计算!$X$54=0,BB67+逐级计算!$C$54,BB67+逐级计算!$C$54-(10/(逐级计算!$Q$54*LN(10))*(MAX((LN(10^(逐级计算!$Q$54/10)-1)+逐级计算!$Q$54*(BB67-逐级计算!$P$54)*LN(10)/10),0)+LN(1+EXP(-ABS((LN(10^(逐级计算!$Q$54/10)-1)+逐级计算!$Q$54*(BB67-逐级计算!$P$54)*LN(10)/10))))))),"")</f>
        <v>13.7930365742089</v>
      </c>
      <c r="BD67">
        <f>IF(AND(ISNUMBER(BC67),逐级计算!$X$55&gt;-1),IF(逐级计算!$X$55=0,BC67+逐级计算!$C$55,BC67+逐级计算!$C$55-(10/(逐级计算!$Q$55*LN(10))*(MAX((LN(10^(逐级计算!$Q$55/10)-1)+逐级计算!$Q$55*(BC67-逐级计算!$P$55)*LN(10)/10),0)+LN(1+EXP(-ABS((LN(10^(逐级计算!$Q$55/10)-1)+逐级计算!$Q$55*(BC67-逐级计算!$P$55)*LN(10)/10))))))),"")</f>
        <v>13.7930365742089</v>
      </c>
      <c r="BE67">
        <f>IF(AND(ISNUMBER(BD67),逐级计算!$X$56&gt;-1),IF(逐级计算!$X$56=0,BD67+逐级计算!$C$56,BD67+逐级计算!$C$56-(10/(逐级计算!$Q$56*LN(10))*(MAX((LN(10^(逐级计算!$Q$56/10)-1)+逐级计算!$Q$56*(BD67-逐级计算!$P$56)*LN(10)/10),0)+LN(1+EXP(-ABS((LN(10^(逐级计算!$Q$56/10)-1)+逐级计算!$Q$56*(BD67-逐级计算!$P$56)*LN(10)/10))))))),"")</f>
        <v>13.7930365742089</v>
      </c>
      <c r="BF67">
        <f>IF(AND(ISNUMBER(BE67),逐级计算!$X$57&gt;-1),IF(逐级计算!$X$57=0,BE67+逐级计算!$C$57,BE67+逐级计算!$C$57-(10/(逐级计算!$Q$57*LN(10))*(MAX((LN(10^(逐级计算!$Q$57/10)-1)+逐级计算!$Q$57*(BE67-逐级计算!$P$57)*LN(10)/10),0)+LN(1+EXP(-ABS((LN(10^(逐级计算!$Q$57/10)-1)+逐级计算!$Q$57*(BE67-逐级计算!$P$57)*LN(10)/10))))))),"")</f>
        <v>13.7930365742089</v>
      </c>
      <c r="BG67">
        <f>IF(AND(ISNUMBER(BF67),逐级计算!$X$58&gt;-1),IF(逐级计算!$X$58=0,BF67+逐级计算!$C$58,BF67+逐级计算!$C$58-(10/(逐级计算!$Q$58*LN(10))*(MAX((LN(10^(逐级计算!$Q$58/10)-1)+逐级计算!$Q$58*(BF67-逐级计算!$P$58)*LN(10)/10),0)+LN(1+EXP(-ABS((LN(10^(逐级计算!$Q$58/10)-1)+逐级计算!$Q$58*(BF67-逐级计算!$P$58)*LN(10)/10))))))),"")</f>
        <v>13.7930365742089</v>
      </c>
      <c r="BH67">
        <f>IF(AND(ISNUMBER(BG67),逐级计算!$X$59&gt;-1),IF(逐级计算!$X$59=0,BG67+逐级计算!$C$59,BG67+逐级计算!$C$59-(10/(逐级计算!$Q$59*LN(10))*(MAX((LN(10^(逐级计算!$Q$59/10)-1)+逐级计算!$Q$59*(BG67-逐级计算!$P$59)*LN(10)/10),0)+LN(1+EXP(-ABS((LN(10^(逐级计算!$Q$59/10)-1)+逐级计算!$Q$59*(BG67-逐级计算!$P$59)*LN(10)/10))))))),"")</f>
        <v>13.7930365742089</v>
      </c>
      <c r="BI67">
        <f>IF(AND(ISNUMBER(BH67),逐级计算!$X$60&gt;-1),IF(逐级计算!$X$60=0,BH67+逐级计算!$C$60,BH67+逐级计算!$C$60-(10/(逐级计算!$Q$60*LN(10))*(MAX((LN(10^(逐级计算!$Q$60/10)-1)+逐级计算!$Q$60*(BH67-逐级计算!$P$60)*LN(10)/10),0)+LN(1+EXP(-ABS((LN(10^(逐级计算!$Q$60/10)-1)+逐级计算!$Q$60*(BH67-逐级计算!$P$60)*LN(10)/10))))))),"")</f>
        <v>13.7930365742089</v>
      </c>
      <c r="BJ67">
        <f>IF(AND(ISNUMBER(BI67),逐级计算!$X$61&gt;-1),IF(逐级计算!$X$61=0,BI67+逐级计算!$C$61,BI67+逐级计算!$C$61-(10/(逐级计算!$Q$61*LN(10))*(MAX((LN(10^(逐级计算!$Q$61/10)-1)+逐级计算!$Q$61*(BI67-逐级计算!$P$61)*LN(10)/10),0)+LN(1+EXP(-ABS((LN(10^(逐级计算!$Q$61/10)-1)+逐级计算!$Q$61*(BI67-逐级计算!$P$61)*LN(10)/10))))))),"")</f>
        <v>13.7930365742089</v>
      </c>
      <c r="BK67">
        <f>IF(AND(ISNUMBER(BJ67),逐级计算!$X$62&gt;-1),IF(逐级计算!$X$62=0,BJ67+逐级计算!$C$62,BJ67+逐级计算!$C$62-(10/(逐级计算!$Q$62*LN(10))*(MAX((LN(10^(逐级计算!$Q$62/10)-1)+逐级计算!$Q$62*(BJ67-逐级计算!$P$62)*LN(10)/10),0)+LN(1+EXP(-ABS((LN(10^(逐级计算!$Q$62/10)-1)+逐级计算!$Q$62*(BJ67-逐级计算!$P$62)*LN(10)/10))))))),"")</f>
        <v>13.7930365742089</v>
      </c>
      <c r="BL67">
        <f>IF(AND(ISNUMBER(BK67),逐级计算!$X$63&gt;-1),IF(逐级计算!$X$63=0,BK67+逐级计算!$C$63,BK67+逐级计算!$C$63-(10/(逐级计算!$Q$63*LN(10))*(MAX((LN(10^(逐级计算!$Q$63/10)-1)+逐级计算!$Q$63*(BK67-逐级计算!$P$63)*LN(10)/10),0)+LN(1+EXP(-ABS((LN(10^(逐级计算!$Q$63/10)-1)+逐级计算!$Q$63*(BK67-逐级计算!$P$63)*LN(10)/10))))))),"")</f>
        <v>13.7930365742089</v>
      </c>
      <c r="BM67">
        <f>IF(AND(ISNUMBER(BL67),逐级计算!$X$64&gt;-1),IF(逐级计算!$X$64=0,BL67+逐级计算!$C$64,BL67+逐级计算!$C$64-(10/(逐级计算!$Q$64*LN(10))*(MAX((LN(10^(逐级计算!$Q$64/10)-1)+逐级计算!$Q$64*(BL67-逐级计算!$P$64)*LN(10)/10),0)+LN(1+EXP(-ABS((LN(10^(逐级计算!$Q$64/10)-1)+逐级计算!$Q$64*(BL67-逐级计算!$P$64)*LN(10)/10))))))),"")</f>
        <v>13.7930365742089</v>
      </c>
      <c r="BN67">
        <f>IF(AND(ISNUMBER(BM67),逐级计算!$X$65&gt;-1),IF(逐级计算!$X$65=0,BM67+逐级计算!$C$65,BM67+逐级计算!$C$65-(10/(逐级计算!$Q$65*LN(10))*(MAX((LN(10^(逐级计算!$Q$65/10)-1)+逐级计算!$Q$65*(BM67-逐级计算!$P$65)*LN(10)/10),0)+LN(1+EXP(-ABS((LN(10^(逐级计算!$Q$65/10)-1)+逐级计算!$Q$65*(BM67-逐级计算!$P$65)*LN(10)/10))))))),"")</f>
        <v>13.7930365742089</v>
      </c>
      <c r="BO67">
        <f>IF(AND(ISNUMBER(BN67),逐级计算!$X$66&gt;-1),IF(逐级计算!$X$66=0,BN67+逐级计算!$C$66,BN67+逐级计算!$C$66-(10/(逐级计算!$Q$66*LN(10))*(MAX((LN(10^(逐级计算!$Q$66/10)-1)+逐级计算!$Q$66*(BN67-逐级计算!$P$66)*LN(10)/10),0)+LN(1+EXP(-ABS((LN(10^(逐级计算!$Q$66/10)-1)+逐级计算!$Q$66*(BN67-逐级计算!$P$66)*LN(10)/10))))))),"")</f>
        <v>13.7930365742089</v>
      </c>
      <c r="BP67">
        <f>IF(AND(ISNUMBER(BO67),逐级计算!$X$67&gt;-1),IF(逐级计算!$X$67=0,BO67+逐级计算!$C$67,BO67+逐级计算!$C$67-(10/(逐级计算!$Q$67*LN(10))*(MAX((LN(10^(逐级计算!$Q$67/10)-1)+逐级计算!$Q$67*(BO67-逐级计算!$P$67)*LN(10)/10),0)+LN(1+EXP(-ABS((LN(10^(逐级计算!$Q$67/10)-1)+逐级计算!$Q$67*(BO67-逐级计算!$P$67)*LN(10)/10))))))),"")</f>
        <v>13.7930365742089</v>
      </c>
      <c r="BQ67">
        <f>IF(AND(ISNUMBER(BP67),逐级计算!$X$68&gt;-1),IF(逐级计算!$X$68=0,BP67+逐级计算!$C$68,BP67+逐级计算!$C$68-(10/(逐级计算!$Q$68*LN(10))*(MAX((LN(10^(逐级计算!$Q$68/10)-1)+逐级计算!$Q$68*(BP67-逐级计算!$P$68)*LN(10)/10),0)+LN(1+EXP(-ABS((LN(10^(逐级计算!$Q$68/10)-1)+逐级计算!$Q$68*(BP67-逐级计算!$P$68)*LN(10)/10))))))),"")</f>
        <v>13.7930365742089</v>
      </c>
      <c r="BR67">
        <f>IF(AND(ISNUMBER(BQ67),逐级计算!$X$69&gt;-1),IF(逐级计算!$X$69=0,BQ67+逐级计算!$C$69,BQ67+逐级计算!$C$69-(10/(逐级计算!$Q$69*LN(10))*(MAX((LN(10^(逐级计算!$Q$69/10)-1)+逐级计算!$Q$69*(BQ67-逐级计算!$P$69)*LN(10)/10),0)+LN(1+EXP(-ABS((LN(10^(逐级计算!$Q$69/10)-1)+逐级计算!$Q$69*(BQ67-逐级计算!$P$69)*LN(10)/10))))))),"")</f>
        <v>13.7930365742089</v>
      </c>
      <c r="BS67">
        <f>IF(AND(ISNUMBER(BR67),逐级计算!$X$70&gt;-1),IF(逐级计算!$X$70=0,BR67+逐级计算!$C$70,BR67+逐级计算!$C$70-(10/(逐级计算!$Q$70*LN(10))*(MAX((LN(10^(逐级计算!$Q$70/10)-1)+逐级计算!$Q$70*(BR67-逐级计算!$P$70)*LN(10)/10),0)+LN(1+EXP(-ABS((LN(10^(逐级计算!$Q$70/10)-1)+逐级计算!$Q$70*(BR67-逐级计算!$P$70)*LN(10)/10))))))),"")</f>
        <v>13.7930365742089</v>
      </c>
      <c r="BT67">
        <f>IF(AND(ISNUMBER(BS67),逐级计算!$X$71&gt;-1),IF(逐级计算!$X$71=0,BS67+逐级计算!$C$71,BS67+逐级计算!$C$71-(10/(逐级计算!$Q$71*LN(10))*(MAX((LN(10^(逐级计算!$Q$71/10)-1)+逐级计算!$Q$71*(BS67-逐级计算!$P$71)*LN(10)/10),0)+LN(1+EXP(-ABS((LN(10^(逐级计算!$Q$71/10)-1)+逐级计算!$Q$71*(BS67-逐级计算!$P$71)*LN(10)/10))))))),"")</f>
        <v>13.7930365742089</v>
      </c>
      <c r="BU67">
        <f>IF(AND(ISNUMBER(BT67),逐级计算!$X$72&gt;-1),IF(逐级计算!$X$72=0,BT67+逐级计算!$C$72,BT67+逐级计算!$C$72-(10/(逐级计算!$Q$72*LN(10))*(MAX((LN(10^(逐级计算!$Q$72/10)-1)+逐级计算!$Q$72*(BT67-逐级计算!$P$72)*LN(10)/10),0)+LN(1+EXP(-ABS((LN(10^(逐级计算!$Q$72/10)-1)+逐级计算!$Q$72*(BT67-逐级计算!$P$72)*LN(10)/10))))))),"")</f>
        <v>13.7930365742089</v>
      </c>
      <c r="BV67">
        <f>IF(AND(ISNUMBER(BU67),逐级计算!$X$73&gt;-1),IF(逐级计算!$X$73=0,BU67+逐级计算!$C$73,BU67+逐级计算!$C$73-(10/(逐级计算!$Q$73*LN(10))*(MAX((LN(10^(逐级计算!$Q$73/10)-1)+逐级计算!$Q$73*(BU67-逐级计算!$P$73)*LN(10)/10),0)+LN(1+EXP(-ABS((LN(10^(逐级计算!$Q$73/10)-1)+逐级计算!$Q$73*(BU67-逐级计算!$P$73)*LN(10)/10))))))),"")</f>
        <v>13.7930365742089</v>
      </c>
      <c r="BW67">
        <f>IF(AND(ISNUMBER(BV67),逐级计算!$X$74&gt;-1),IF(逐级计算!$X$74=0,BV67+逐级计算!$C$74,BV67+逐级计算!$C$74-(10/(逐级计算!$Q$74*LN(10))*(MAX((LN(10^(逐级计算!$Q$74/10)-1)+逐级计算!$Q$74*(BV67-逐级计算!$P$74)*LN(10)/10),0)+LN(1+EXP(-ABS((LN(10^(逐级计算!$Q$74/10)-1)+逐级计算!$Q$74*(BV67-逐级计算!$P$74)*LN(10)/10))))))),"")</f>
        <v>13.7930365742089</v>
      </c>
      <c r="BX67">
        <f>IF(AND(ISNUMBER(BW67),逐级计算!$X$75&gt;-1),IF(逐级计算!$X$75=0,BW67+逐级计算!$C$75,BW67+逐级计算!$C$75-(10/(逐级计算!$Q$75*LN(10))*(MAX((LN(10^(逐级计算!$Q$75/10)-1)+逐级计算!$Q$75*(BW67-逐级计算!$P$75)*LN(10)/10),0)+LN(1+EXP(-ABS((LN(10^(逐级计算!$Q$75/10)-1)+逐级计算!$Q$75*(BW67-逐级计算!$P$75)*LN(10)/10))))))),"")</f>
        <v>13.7930365742089</v>
      </c>
      <c r="BY67">
        <f>IF(AND(ISNUMBER(BX67),逐级计算!$X$76&gt;-1),IF(逐级计算!$X$76=0,BX67+逐级计算!$C$76,BX67+逐级计算!$C$76-(10/(逐级计算!$Q$76*LN(10))*(MAX((LN(10^(逐级计算!$Q$76/10)-1)+逐级计算!$Q$76*(BX67-逐级计算!$P$76)*LN(10)/10),0)+LN(1+EXP(-ABS((LN(10^(逐级计算!$Q$76/10)-1)+逐级计算!$Q$76*(BX67-逐级计算!$P$76)*LN(10)/10))))))),"")</f>
        <v>13.7930365742089</v>
      </c>
      <c r="BZ67">
        <f>IF(AND(ISNUMBER(BY67),逐级计算!$X$77&gt;-1),IF(逐级计算!$X$77=0,BY67+逐级计算!$C$77,BY67+逐级计算!$C$77-(10/(逐级计算!$Q$77*LN(10))*(MAX((LN(10^(逐级计算!$Q$77/10)-1)+逐级计算!$Q$77*(BY67-逐级计算!$P$77)*LN(10)/10),0)+LN(1+EXP(-ABS((LN(10^(逐级计算!$Q$77/10)-1)+逐级计算!$Q$77*(BY67-逐级计算!$P$77)*LN(10)/10))))))),"")</f>
        <v>13.7930365742089</v>
      </c>
      <c r="CA67">
        <f>IF(AND(ISNUMBER(BZ67),逐级计算!$X$78&gt;-1),IF(逐级计算!$X$78=0,BZ67+逐级计算!$C$78,BZ67+逐级计算!$C$78-(10/(逐级计算!$Q$78*LN(10))*(MAX((LN(10^(逐级计算!$Q$78/10)-1)+逐级计算!$Q$78*(BZ67-逐级计算!$P$78)*LN(10)/10),0)+LN(1+EXP(-ABS((LN(10^(逐级计算!$Q$78/10)-1)+逐级计算!$Q$78*(BZ67-逐级计算!$P$78)*LN(10)/10))))))),"")</f>
        <v>13.7930365742089</v>
      </c>
      <c r="CB67">
        <f>IF(AND(ISNUMBER(CA67),逐级计算!$X$79&gt;-1),IF(逐级计算!$X$79=0,CA67+逐级计算!$C$79,CA67+逐级计算!$C$79-(10/(逐级计算!$Q$79*LN(10))*(MAX((LN(10^(逐级计算!$Q$79/10)-1)+逐级计算!$Q$79*(CA67-逐级计算!$P$79)*LN(10)/10),0)+LN(1+EXP(-ABS((LN(10^(逐级计算!$Q$79/10)-1)+逐级计算!$Q$79*(CA67-逐级计算!$P$79)*LN(10)/10))))))),"")</f>
        <v>13.7930365742089</v>
      </c>
      <c r="CC67">
        <f>IF(AND(ISNUMBER(CB67),逐级计算!$X$80&gt;-1),IF(逐级计算!$X$80=0,CB67+逐级计算!$C$80,CB67+逐级计算!$C$80-(10/(逐级计算!$Q$80*LN(10))*(MAX((LN(10^(逐级计算!$Q$80/10)-1)+逐级计算!$Q$80*(CB67-逐级计算!$P$80)*LN(10)/10),0)+LN(1+EXP(-ABS((LN(10^(逐级计算!$Q$80/10)-1)+逐级计算!$Q$80*(CB67-逐级计算!$P$80)*LN(10)/10))))))),"")</f>
        <v>13.7930365742089</v>
      </c>
      <c r="CD67">
        <f>IF(AND(ISNUMBER(CC67),逐级计算!$X$81&gt;-1),IF(逐级计算!$X$81=0,CC67+逐级计算!$C$81,CC67+逐级计算!$C$81-(10/(逐级计算!$Q$81*LN(10))*(MAX((LN(10^(逐级计算!$Q$81/10)-1)+逐级计算!$Q$81*(CC67-逐级计算!$P$81)*LN(10)/10),0)+LN(1+EXP(-ABS((LN(10^(逐级计算!$Q$81/10)-1)+逐级计算!$Q$81*(CC67-逐级计算!$P$81)*LN(10)/10))))))),"")</f>
        <v>13.7930365742089</v>
      </c>
      <c r="CE67">
        <f>IF(AND(ISNUMBER(CD67),逐级计算!$X$82&gt;-1),IF(逐级计算!$X$82=0,CD67+逐级计算!$C$82,CD67+逐级计算!$C$82-(10/(逐级计算!$Q$82*LN(10))*(MAX((LN(10^(逐级计算!$Q$82/10)-1)+逐级计算!$Q$82*(CD67-逐级计算!$P$82)*LN(10)/10),0)+LN(1+EXP(-ABS((LN(10^(逐级计算!$Q$82/10)-1)+逐级计算!$Q$82*(CD67-逐级计算!$P$82)*LN(10)/10))))))),"")</f>
        <v>13.7930365742089</v>
      </c>
      <c r="CF67">
        <f>IF(AND(ISNUMBER(CE67),逐级计算!$X$83&gt;-1),IF(逐级计算!$X$83=0,CE67+逐级计算!$C$83,CE67+逐级计算!$C$83-(10/(逐级计算!$Q$83*LN(10))*(MAX((LN(10^(逐级计算!$Q$83/10)-1)+逐级计算!$Q$83*(CE67-逐级计算!$P$83)*LN(10)/10),0)+LN(1+EXP(-ABS((LN(10^(逐级计算!$Q$83/10)-1)+逐级计算!$Q$83*(CE67-逐级计算!$P$83)*LN(10)/10))))))),"")</f>
        <v>13.7930365742089</v>
      </c>
      <c r="CG67">
        <f>IF(AND(ISNUMBER(CF67),逐级计算!$X$84&gt;-1),IF(逐级计算!$X$84=0,CF67+逐级计算!$C$84,CF67+逐级计算!$C$84-(10/(逐级计算!$Q$84*LN(10))*(MAX((LN(10^(逐级计算!$Q$84/10)-1)+逐级计算!$Q$84*(CF67-逐级计算!$P$84)*LN(10)/10),0)+LN(1+EXP(-ABS((LN(10^(逐级计算!$Q$84/10)-1)+逐级计算!$Q$84*(CF67-逐级计算!$P$84)*LN(10)/10))))))),"")</f>
        <v>13.7930365742089</v>
      </c>
      <c r="CH67">
        <f>IF(AND(ISNUMBER(CG67),逐级计算!$X$85&gt;-1),IF(逐级计算!$X$85=0,CG67+逐级计算!$C$85,CG67+逐级计算!$C$85-(10/(逐级计算!$Q$85*LN(10))*(MAX((LN(10^(逐级计算!$Q$85/10)-1)+逐级计算!$Q$85*(CG67-逐级计算!$P$85)*LN(10)/10),0)+LN(1+EXP(-ABS((LN(10^(逐级计算!$Q$85/10)-1)+逐级计算!$Q$85*(CG67-逐级计算!$P$85)*LN(10)/10))))))),"")</f>
        <v>13.7930365742089</v>
      </c>
      <c r="CI67">
        <f>IF(AND(ISNUMBER(CH67),逐级计算!$X$86&gt;-1),IF(逐级计算!$X$86=0,CH67+逐级计算!$C$86,CH67+逐级计算!$C$86-(10/(逐级计算!$Q$86*LN(10))*(MAX((LN(10^(逐级计算!$Q$86/10)-1)+逐级计算!$Q$86*(CH67-逐级计算!$P$86)*LN(10)/10),0)+LN(1+EXP(-ABS((LN(10^(逐级计算!$Q$86/10)-1)+逐级计算!$Q$86*(CH67-逐级计算!$P$86)*LN(10)/10))))))),"")</f>
        <v>13.7930365742089</v>
      </c>
      <c r="CJ67">
        <f>IF(AND(ISNUMBER(CI67),逐级计算!$X$87&gt;-1),IF(逐级计算!$X$87=0,CI67+逐级计算!$C$87,CI67+逐级计算!$C$87-(10/(逐级计算!$Q$87*LN(10))*(MAX((LN(10^(逐级计算!$Q$87/10)-1)+逐级计算!$Q$87*(CI67-逐级计算!$P$87)*LN(10)/10),0)+LN(1+EXP(-ABS((LN(10^(逐级计算!$Q$87/10)-1)+逐级计算!$Q$87*(CI67-逐级计算!$P$87)*LN(10)/10))))))),"")</f>
        <v>13.7930365742089</v>
      </c>
      <c r="CK67">
        <f>IF(AND(ISNUMBER(CJ67),逐级计算!$X$88&gt;-1),IF(逐级计算!$X$88=0,CJ67+逐级计算!$C$88,CJ67+逐级计算!$C$88-(10/(逐级计算!$Q$88*LN(10))*(MAX((LN(10^(逐级计算!$Q$88/10)-1)+逐级计算!$Q$88*(CJ67-逐级计算!$P$88)*LN(10)/10),0)+LN(1+EXP(-ABS((LN(10^(逐级计算!$Q$88/10)-1)+逐级计算!$Q$88*(CJ67-逐级计算!$P$88)*LN(10)/10))))))),"")</f>
        <v>13.7930365742089</v>
      </c>
      <c r="CL67">
        <f>IF(AND(ISNUMBER(CK67),逐级计算!$X$89&gt;-1),IF(逐级计算!$X$89=0,CK67+逐级计算!$C$89,CK67+逐级计算!$C$89-(10/(逐级计算!$Q$89*LN(10))*(MAX((LN(10^(逐级计算!$Q$89/10)-1)+逐级计算!$Q$89*(CK67-逐级计算!$P$89)*LN(10)/10),0)+LN(1+EXP(-ABS((LN(10^(逐级计算!$Q$89/10)-1)+逐级计算!$Q$89*(CK67-逐级计算!$P$89)*LN(10)/10))))))),"")</f>
        <v>13.7930365742089</v>
      </c>
      <c r="CM67">
        <f>IF(AND(ISNUMBER(CL67),逐级计算!$X$90&gt;-1),IF(逐级计算!$X$90=0,CL67+逐级计算!$C$90,CL67+逐级计算!$C$90-(10/(逐级计算!$Q$90*LN(10))*(MAX((LN(10^(逐级计算!$Q$90/10)-1)+逐级计算!$Q$90*(CL67-逐级计算!$P$90)*LN(10)/10),0)+LN(1+EXP(-ABS((LN(10^(逐级计算!$Q$90/10)-1)+逐级计算!$Q$90*(CL67-逐级计算!$P$90)*LN(10)/10))))))),"")</f>
        <v>13.7930365742089</v>
      </c>
      <c r="CN67">
        <f>IF(AND(ISNUMBER(CM67),逐级计算!$X$91&gt;-1),IF(逐级计算!$X$91=0,CM67+逐级计算!$C$91,CM67+逐级计算!$C$91-(10/(逐级计算!$Q$91*LN(10))*(MAX((LN(10^(逐级计算!$Q$91/10)-1)+逐级计算!$Q$91*(CM67-逐级计算!$P$91)*LN(10)/10),0)+LN(1+EXP(-ABS((LN(10^(逐级计算!$Q$91/10)-1)+逐级计算!$Q$91*(CM67-逐级计算!$P$91)*LN(10)/10))))))),"")</f>
        <v>13.7930365742089</v>
      </c>
      <c r="CO67">
        <f>IF(AND(ISNUMBER(CN67),逐级计算!$X$92&gt;-1),IF(逐级计算!$X$92=0,CN67+逐级计算!$C$92,CN67+逐级计算!$C$92-(10/(逐级计算!$Q$92*LN(10))*(MAX((LN(10^(逐级计算!$Q$92/10)-1)+逐级计算!$Q$92*(CN67-逐级计算!$P$92)*LN(10)/10),0)+LN(1+EXP(-ABS((LN(10^(逐级计算!$Q$92/10)-1)+逐级计算!$Q$92*(CN67-逐级计算!$P$92)*LN(10)/10))))))),"")</f>
        <v>13.7930365742089</v>
      </c>
      <c r="CP67">
        <f>IF(AND(ISNUMBER(CO67),逐级计算!$X$93&gt;-1),IF(逐级计算!$X$93=0,CO67+逐级计算!$C$93,CO67+逐级计算!$C$93-(10/(逐级计算!$Q$93*LN(10))*(MAX((LN(10^(逐级计算!$Q$93/10)-1)+逐级计算!$Q$93*(CO67-逐级计算!$P$93)*LN(10)/10),0)+LN(1+EXP(-ABS((LN(10^(逐级计算!$Q$93/10)-1)+逐级计算!$Q$93*(CO67-逐级计算!$P$93)*LN(10)/10))))))),"")</f>
        <v>13.7930365742089</v>
      </c>
      <c r="CQ67">
        <f>IF(AND(ISNUMBER(CP67),逐级计算!$X$94&gt;-1),IF(逐级计算!$X$94=0,CP67+逐级计算!$C$94,CP67+逐级计算!$C$94-(10/(逐级计算!$Q$94*LN(10))*(MAX((LN(10^(逐级计算!$Q$94/10)-1)+逐级计算!$Q$94*(CP67-逐级计算!$P$94)*LN(10)/10),0)+LN(1+EXP(-ABS((LN(10^(逐级计算!$Q$94/10)-1)+逐级计算!$Q$94*(CP67-逐级计算!$P$94)*LN(10)/10))))))),"")</f>
        <v>13.7930365742089</v>
      </c>
      <c r="CR67">
        <f>IF(AND(ISNUMBER(CQ67),逐级计算!$X$95&gt;-1),IF(逐级计算!$X$95=0,CQ67+逐级计算!$C$95,CQ67+逐级计算!$C$95-(10/(逐级计算!$Q$95*LN(10))*(MAX((LN(10^(逐级计算!$Q$95/10)-1)+逐级计算!$Q$95*(CQ67-逐级计算!$P$95)*LN(10)/10),0)+LN(1+EXP(-ABS((LN(10^(逐级计算!$Q$95/10)-1)+逐级计算!$Q$95*(CQ67-逐级计算!$P$95)*LN(10)/10))))))),"")</f>
        <v>13.7930365742089</v>
      </c>
      <c r="CS67">
        <f>IF(AND(ISNUMBER(CR67),逐级计算!$X$96&gt;-1),IF(逐级计算!$X$96=0,CR67+逐级计算!$C$96,CR67+逐级计算!$C$96-(10/(逐级计算!$Q$96*LN(10))*(MAX((LN(10^(逐级计算!$Q$96/10)-1)+逐级计算!$Q$96*(CR67-逐级计算!$P$96)*LN(10)/10),0)+LN(1+EXP(-ABS((LN(10^(逐级计算!$Q$96/10)-1)+逐级计算!$Q$96*(CR67-逐级计算!$P$96)*LN(10)/10))))))),"")</f>
        <v>13.7930365742089</v>
      </c>
      <c r="CT67">
        <f>IF(AND(ISNUMBER(CS67),逐级计算!$X$97&gt;-1),IF(逐级计算!$X$97=0,CS67+逐级计算!$C$97,CS67+逐级计算!$C$97-(10/(逐级计算!$Q$97*LN(10))*(MAX((LN(10^(逐级计算!$Q$97/10)-1)+逐级计算!$Q$97*(CS67-逐级计算!$P$97)*LN(10)/10),0)+LN(1+EXP(-ABS((LN(10^(逐级计算!$Q$97/10)-1)+逐级计算!$Q$97*(CS67-逐级计算!$P$97)*LN(10)/10))))))),"")</f>
        <v>13.7930365742089</v>
      </c>
      <c r="CU67">
        <f>IF(AND(ISNUMBER(CT67),逐级计算!$X$98&gt;-1),IF(逐级计算!$X$98=0,CT67+逐级计算!$C$98,CT67+逐级计算!$C$98-(10/(逐级计算!$Q$98*LN(10))*(MAX((LN(10^(逐级计算!$Q$98/10)-1)+逐级计算!$Q$98*(CT67-逐级计算!$P$98)*LN(10)/10),0)+LN(1+EXP(-ABS((LN(10^(逐级计算!$Q$98/10)-1)+逐级计算!$Q$98*(CT67-逐级计算!$P$98)*LN(10)/10))))))),"")</f>
        <v>13.7930365742089</v>
      </c>
      <c r="CV67">
        <f>IF(AND(ISNUMBER(CU67),逐级计算!$X$99&gt;-1),IF(逐级计算!$X$99=0,CU67+逐级计算!$C$99,CU67+逐级计算!$C$99-(10/(逐级计算!$Q$99*LN(10))*(MAX((LN(10^(逐级计算!$Q$99/10)-1)+逐级计算!$Q$99*(CU67-逐级计算!$P$99)*LN(10)/10),0)+LN(1+EXP(-ABS((LN(10^(逐级计算!$Q$99/10)-1)+逐级计算!$Q$99*(CU67-逐级计算!$P$99)*LN(10)/10))))))),"")</f>
        <v>13.7930365742089</v>
      </c>
      <c r="CW67">
        <f>IF(AND(ISNUMBER(CV67),逐级计算!$X$100&gt;-1),IF(逐级计算!$X$100=0,CV67+逐级计算!$C$100,CV67+逐级计算!$C$100-(10/(逐级计算!$Q$100*LN(10))*(MAX((LN(10^(逐级计算!$Q$100/10)-1)+逐级计算!$Q$100*(CV67-逐级计算!$P$100)*LN(10)/10),0)+LN(1+EXP(-ABS((LN(10^(逐级计算!$Q$100/10)-1)+逐级计算!$Q$100*(CV67-逐级计算!$P$100)*LN(10)/10))))))),"")</f>
        <v>13.7930365742089</v>
      </c>
      <c r="CX67">
        <f>IF(AND(ISNUMBER(CW67),逐级计算!$X$101&gt;-1),IF(逐级计算!$X$101=0,CW67+逐级计算!$C$101,CW67+逐级计算!$C$101-(10/(逐级计算!$Q$101*LN(10))*(MAX((LN(10^(逐级计算!$Q$101/10)-1)+逐级计算!$Q$101*(CW67-逐级计算!$P$101)*LN(10)/10),0)+LN(1+EXP(-ABS((LN(10^(逐级计算!$Q$101/10)-1)+逐级计算!$Q$101*(CW67-逐级计算!$P$101)*LN(10)/10))))))),"")</f>
        <v>13.7930365742089</v>
      </c>
      <c r="CY67">
        <f>IF(AND(ISNUMBER(CX67),逐级计算!$X$102&gt;-1),IF(逐级计算!$X$102=0,CX67+逐级计算!$C$102,CX67+逐级计算!$C$102-(10/(逐级计算!$Q$102*LN(10))*(MAX((LN(10^(逐级计算!$Q$102/10)-1)+逐级计算!$Q$102*(CX67-逐级计算!$P$102)*LN(10)/10),0)+LN(1+EXP(-ABS((LN(10^(逐级计算!$Q$102/10)-1)+逐级计算!$Q$102*(CX67-逐级计算!$P$102)*LN(10)/10))))))),"")</f>
        <v>13.7930365742089</v>
      </c>
      <c r="CZ67">
        <f>IF(AND(ISNUMBER(CY67),逐级计算!$X$103&gt;-1),IF(逐级计算!$X$103=0,CY67+逐级计算!$C$103,CY67+逐级计算!$C$103-(10/(逐级计算!$Q$103*LN(10))*(MAX((LN(10^(逐级计算!$Q$103/10)-1)+逐级计算!$Q$103*(CY67-逐级计算!$P$103)*LN(10)/10),0)+LN(1+EXP(-ABS((LN(10^(逐级计算!$Q$103/10)-1)+逐级计算!$Q$103*(CY67-逐级计算!$P$103)*LN(10)/10))))))),"")</f>
        <v>13.7930365742089</v>
      </c>
      <c r="DA67">
        <f>IF(AND(ISNUMBER(CZ67),逐级计算!$X$104&gt;-1),IF(逐级计算!$X$104=0,CZ67+逐级计算!$C$104,CZ67+逐级计算!$C$104-(10/(逐级计算!$Q$104*LN(10))*(MAX((LN(10^(逐级计算!$Q$104/10)-1)+逐级计算!$Q$104*(CZ67-逐级计算!$P$104)*LN(10)/10),0)+LN(1+EXP(-ABS((LN(10^(逐级计算!$Q$104/10)-1)+逐级计算!$Q$104*(CZ67-逐级计算!$P$104)*LN(10)/10))))))),"")</f>
        <v>13.7930365742089</v>
      </c>
      <c r="DB67">
        <f>IF(AND(ISNUMBER(DA67),逐级计算!$X$105&gt;-1),IF(逐级计算!$X$105=0,DA67+逐级计算!$C$105,DA67+逐级计算!$C$105-(10/(逐级计算!$Q$105*LN(10))*(MAX((LN(10^(逐级计算!$Q$105/10)-1)+逐级计算!$Q$105*(DA67-逐级计算!$P$105)*LN(10)/10),0)+LN(1+EXP(-ABS((LN(10^(逐级计算!$Q$105/10)-1)+逐级计算!$Q$105*(DA67-逐级计算!$P$105)*LN(10)/10))))))),"")</f>
        <v>13.7930365742089</v>
      </c>
      <c r="DC67">
        <f>IF(AND(ISNUMBER(DB67),逐级计算!$X$106&gt;-1),IF(逐级计算!$X$106=0,DB67+逐级计算!$C$106,DB67+逐级计算!$C$106-(10/(逐级计算!$Q$106*LN(10))*(MAX((LN(10^(逐级计算!$Q$106/10)-1)+逐级计算!$Q$106*(DB67-逐级计算!$P$106)*LN(10)/10),0)+LN(1+EXP(-ABS((LN(10^(逐级计算!$Q$106/10)-1)+逐级计算!$Q$106*(DB67-逐级计算!$P$106)*LN(10)/10))))))),"")</f>
        <v>13.7930365742089</v>
      </c>
      <c r="DD67">
        <f>IF(AND(ISNUMBER(DC67),逐级计算!$X$107&gt;-1),IF(逐级计算!$X$107=0,DC67+逐级计算!$C$107,DC67+逐级计算!$C$107-(10/(逐级计算!$Q$107*LN(10))*(MAX((LN(10^(逐级计算!$Q$107/10)-1)+逐级计算!$Q$107*(DC67-逐级计算!$P$107)*LN(10)/10),0)+LN(1+EXP(-ABS((LN(10^(逐级计算!$Q$107/10)-1)+逐级计算!$Q$107*(DC67-逐级计算!$P$107)*LN(10)/10))))))),"")</f>
        <v>13.7930365742089</v>
      </c>
      <c r="DE67">
        <f>IF(AND(ISNUMBER(DD67),逐级计算!$X$108&gt;-1),IF(逐级计算!$X$108=0,DD67+逐级计算!$C$108,DD67+逐级计算!$C$108-(10/(逐级计算!$Q$108*LN(10))*(MAX((LN(10^(逐级计算!$Q$108/10)-1)+逐级计算!$Q$108*(DD67-逐级计算!$P$108)*LN(10)/10),0)+LN(1+EXP(-ABS((LN(10^(逐级计算!$Q$108/10)-1)+逐级计算!$Q$108*(DD67-逐级计算!$P$108)*LN(10)/10))))))),"")</f>
        <v>13.7930365742089</v>
      </c>
      <c r="DF67">
        <f>IF(AND(ISNUMBER(DE67),逐级计算!$X$109&gt;-1),IF(逐级计算!$X$109=0,DE67+逐级计算!$C$109,DE67+逐级计算!$C$109-(10/(逐级计算!$Q$109*LN(10))*(MAX((LN(10^(逐级计算!$Q$109/10)-1)+逐级计算!$Q$109*(DE67-逐级计算!$P$109)*LN(10)/10),0)+LN(1+EXP(-ABS((LN(10^(逐级计算!$Q$109/10)-1)+逐级计算!$Q$109*(DE67-逐级计算!$P$109)*LN(10)/10))))))),"")</f>
        <v>13.7930365742089</v>
      </c>
      <c r="DG67">
        <f>IF(AND(ISNUMBER(DF67),逐级计算!$X$110&gt;-1),IF(逐级计算!$X$110=0,DF67+逐级计算!$C$110,DF67+逐级计算!$C$110-(10/(逐级计算!$Q$110*LN(10))*(MAX((LN(10^(逐级计算!$Q$110/10)-1)+逐级计算!$Q$110*(DF67-逐级计算!$P$110)*LN(10)/10),0)+LN(1+EXP(-ABS((LN(10^(逐级计算!$Q$110/10)-1)+逐级计算!$Q$110*(DF67-逐级计算!$P$110)*LN(10)/10))))))),"")</f>
        <v>13.7930365742089</v>
      </c>
      <c r="DH67">
        <f>IF(AND(ISNUMBER(DG67),逐级计算!$X$111&gt;-1),IF(逐级计算!$X$111=0,DG67+逐级计算!$C$111,DG67+逐级计算!$C$111-(10/(逐级计算!$Q$111*LN(10))*(MAX((LN(10^(逐级计算!$Q$111/10)-1)+逐级计算!$Q$111*(DG67-逐级计算!$P$111)*LN(10)/10),0)+LN(1+EXP(-ABS((LN(10^(逐级计算!$Q$111/10)-1)+逐级计算!$Q$111*(DG67-逐级计算!$P$111)*LN(10)/10))))))),"")</f>
        <v>13.7930365742089</v>
      </c>
      <c r="DI67">
        <f>IF(AND(ISNUMBER(DH67),逐级计算!$X$112&gt;-1),IF(逐级计算!$X$112=0,DH67+逐级计算!$C$112,DH67+逐级计算!$C$112-(10/(逐级计算!$Q$112*LN(10))*(MAX((LN(10^(逐级计算!$Q$112/10)-1)+逐级计算!$Q$112*(DH67-逐级计算!$P$112)*LN(10)/10),0)+LN(1+EXP(-ABS((LN(10^(逐级计算!$Q$112/10)-1)+逐级计算!$Q$112*(DH67-逐级计算!$P$112)*LN(10)/10))))))),"")</f>
        <v>13.7930365742089</v>
      </c>
      <c r="DJ67">
        <f>IF(AND(ISNUMBER(DI67),逐级计算!$X$113&gt;-1),IF(逐级计算!$X$113=0,DI67+逐级计算!$C$113,DI67+逐级计算!$C$113-(10/(逐级计算!$Q$113*LN(10))*(MAX((LN(10^(逐级计算!$Q$113/10)-1)+逐级计算!$Q$113*(DI67-逐级计算!$P$113)*LN(10)/10),0)+LN(1+EXP(-ABS((LN(10^(逐级计算!$Q$113/10)-1)+逐级计算!$Q$113*(DI67-逐级计算!$P$113)*LN(10)/10))))))),"")</f>
        <v>13.7930365742089</v>
      </c>
      <c r="DK67">
        <f>IF(AND(ISNUMBER(DJ67),逐级计算!$X$114&gt;-1),IF(逐级计算!$X$114=0,DJ67+逐级计算!$C$114,DJ67+逐级计算!$C$114-(10/(逐级计算!$Q$114*LN(10))*(MAX((LN(10^(逐级计算!$Q$114/10)-1)+逐级计算!$Q$114*(DJ67-逐级计算!$P$114)*LN(10)/10),0)+LN(1+EXP(-ABS((LN(10^(逐级计算!$Q$114/10)-1)+逐级计算!$Q$114*(DJ67-逐级计算!$P$114)*LN(10)/10))))))),"")</f>
        <v>13.7930365742089</v>
      </c>
      <c r="DL67">
        <f>IF(AND(ISNUMBER(DK67),逐级计算!$X$115&gt;-1),IF(逐级计算!$X$115=0,DK67+逐级计算!$C$115,DK67+逐级计算!$C$115-(10/(逐级计算!$Q$115*LN(10))*(MAX((LN(10^(逐级计算!$Q$115/10)-1)+逐级计算!$Q$115*(DK67-逐级计算!$P$115)*LN(10)/10),0)+LN(1+EXP(-ABS((LN(10^(逐级计算!$Q$115/10)-1)+逐级计算!$Q$115*(DK67-逐级计算!$P$115)*LN(10)/10))))))),"")</f>
        <v>13.7930365742089</v>
      </c>
      <c r="DM67">
        <f>IF(AND(ISNUMBER(DL67),逐级计算!$X$116&gt;-1),IF(逐级计算!$X$116=0,DL67+逐级计算!$C$116,DL67+逐级计算!$C$116-(10/(逐级计算!$Q$116*LN(10))*(MAX((LN(10^(逐级计算!$Q$116/10)-1)+逐级计算!$Q$116*(DL67-逐级计算!$P$116)*LN(10)/10),0)+LN(1+EXP(-ABS((LN(10^(逐级计算!$Q$116/10)-1)+逐级计算!$Q$116*(DL67-逐级计算!$P$116)*LN(10)/10))))))),"")</f>
        <v>13.7930365742089</v>
      </c>
      <c r="DN67">
        <f>IF(AND(ISNUMBER(DM67),逐级计算!$X$117&gt;-1),IF(逐级计算!$X$117=0,DM67+逐级计算!$C$117,DM67+逐级计算!$C$117-(10/(逐级计算!$Q$117*LN(10))*(MAX((LN(10^(逐级计算!$Q$117/10)-1)+逐级计算!$Q$117*(DM67-逐级计算!$P$117)*LN(10)/10),0)+LN(1+EXP(-ABS((LN(10^(逐级计算!$Q$117/10)-1)+逐级计算!$Q$117*(DM67-逐级计算!$P$117)*LN(10)/10))))))),"")</f>
        <v>13.7930365742089</v>
      </c>
      <c r="DO67">
        <f>IF(AND(ISNUMBER(DN67),逐级计算!$X$118&gt;-1),IF(逐级计算!$X$118=0,DN67+逐级计算!$C$118,DN67+逐级计算!$C$118-(10/(逐级计算!$Q$118*LN(10))*(MAX((LN(10^(逐级计算!$Q$118/10)-1)+逐级计算!$Q$118*(DN67-逐级计算!$P$118)*LN(10)/10),0)+LN(1+EXP(-ABS((LN(10^(逐级计算!$Q$118/10)-1)+逐级计算!$Q$118*(DN67-逐级计算!$P$118)*LN(10)/10))))))),"")</f>
        <v>13.7930365742089</v>
      </c>
      <c r="DP67">
        <f>IF(AND(ISNUMBER(DO67),逐级计算!$X$119&gt;-1),IF(逐级计算!$X$119=0,DO67+逐级计算!$C$119,DO67+逐级计算!$C$119-(10/(逐级计算!$Q$119*LN(10))*(MAX((LN(10^(逐级计算!$Q$119/10)-1)+逐级计算!$Q$119*(DO67-逐级计算!$P$119)*LN(10)/10),0)+LN(1+EXP(-ABS((LN(10^(逐级计算!$Q$119/10)-1)+逐级计算!$Q$119*(DO67-逐级计算!$P$119)*LN(10)/10))))))),"")</f>
        <v>13.7930365742089</v>
      </c>
      <c r="DQ67">
        <f>IF(AND(ISNUMBER(DP67),逐级计算!$X$120&gt;-1),IF(逐级计算!$X$120=0,DP67+逐级计算!$C$120,DP67+逐级计算!$C$120-(10/(逐级计算!$Q$120*LN(10))*(MAX((LN(10^(逐级计算!$Q$120/10)-1)+逐级计算!$Q$120*(DP67-逐级计算!$P$120)*LN(10)/10),0)+LN(1+EXP(-ABS((LN(10^(逐级计算!$Q$120/10)-1)+逐级计算!$Q$120*(DP67-逐级计算!$P$120)*LN(10)/10))))))),"")</f>
        <v>13.7930365742089</v>
      </c>
      <c r="DR67">
        <f>IF(AND(ISNUMBER(DQ67),逐级计算!$X$121&gt;-1),IF(逐级计算!$X$121=0,DQ67+逐级计算!$C$121,DQ67+逐级计算!$C$121-(10/(逐级计算!$Q$121*LN(10))*(MAX((LN(10^(逐级计算!$Q$121/10)-1)+逐级计算!$Q$121*(DQ67-逐级计算!$P$121)*LN(10)/10),0)+LN(1+EXP(-ABS((LN(10^(逐级计算!$Q$121/10)-1)+逐级计算!$Q$121*(DQ67-逐级计算!$P$121)*LN(10)/10))))))),"")</f>
        <v>13.7930365742089</v>
      </c>
      <c r="DS67">
        <f>IF(AND(ISNUMBER(DR67),逐级计算!$X$122&gt;-1),IF(逐级计算!$X$122=0,DR67+逐级计算!$C$122,DR67+逐级计算!$C$122-(10/(逐级计算!$Q$122*LN(10))*(MAX((LN(10^(逐级计算!$Q$122/10)-1)+逐级计算!$Q$122*(DR67-逐级计算!$P$122)*LN(10)/10),0)+LN(1+EXP(-ABS((LN(10^(逐级计算!$Q$122/10)-1)+逐级计算!$Q$122*(DR67-逐级计算!$P$122)*LN(10)/10))))))),"")</f>
        <v>13.7930365742089</v>
      </c>
      <c r="DT67">
        <f>IF(AND(ISNUMBER(DS67),逐级计算!$X$123&gt;-1),IF(逐级计算!$X$123=0,DS67+逐级计算!$C$123,DS67+逐级计算!$C$123-(10/(逐级计算!$Q$123*LN(10))*(MAX((LN(10^(逐级计算!$Q$123/10)-1)+逐级计算!$Q$123*(DS67-逐级计算!$P$123)*LN(10)/10),0)+LN(1+EXP(-ABS((LN(10^(逐级计算!$Q$123/10)-1)+逐级计算!$Q$123*(DS67-逐级计算!$P$123)*LN(10)/10))))))),"")</f>
        <v>13.7930365742089</v>
      </c>
      <c r="DU67">
        <f>IF(AND(ISNUMBER(DT67),逐级计算!$X$124&gt;-1),IF(逐级计算!$X$124=0,DT67+逐级计算!$C$124,DT67+逐级计算!$C$124-(10/(逐级计算!$Q$124*LN(10))*(MAX((LN(10^(逐级计算!$Q$124/10)-1)+逐级计算!$Q$124*(DT67-逐级计算!$P$124)*LN(10)/10),0)+LN(1+EXP(-ABS((LN(10^(逐级计算!$Q$124/10)-1)+逐级计算!$Q$124*(DT67-逐级计算!$P$124)*LN(10)/10))))))),"")</f>
        <v>13.7930365742089</v>
      </c>
      <c r="DV67">
        <f>IF(AND(ISNUMBER(DU67),逐级计算!$X$125&gt;-1),IF(逐级计算!$X$125=0,DU67+逐级计算!$C$125,DU67+逐级计算!$C$125-(10/(逐级计算!$Q$125*LN(10))*(MAX((LN(10^(逐级计算!$Q$125/10)-1)+逐级计算!$Q$125*(DU67-逐级计算!$P$125)*LN(10)/10),0)+LN(1+EXP(-ABS((LN(10^(逐级计算!$Q$125/10)-1)+逐级计算!$Q$125*(DU67-逐级计算!$P$125)*LN(10)/10))))))),"")</f>
        <v>13.7930365742089</v>
      </c>
      <c r="DW67">
        <f>IF(AND(ISNUMBER(DV67),逐级计算!$X$126&gt;-1),IF(逐级计算!$X$126=0,DV67+逐级计算!$C$126,DV67+逐级计算!$C$126-(10/(逐级计算!$Q$126*LN(10))*(MAX((LN(10^(逐级计算!$Q$126/10)-1)+逐级计算!$Q$126*(DV67-逐级计算!$P$126)*LN(10)/10),0)+LN(1+EXP(-ABS((LN(10^(逐级计算!$Q$126/10)-1)+逐级计算!$Q$126*(DV67-逐级计算!$P$126)*LN(10)/10))))))),"")</f>
        <v>13.7930365742089</v>
      </c>
      <c r="DX67">
        <f>IF(AND(ISNUMBER(DW67),逐级计算!$X$127&gt;-1),IF(逐级计算!$X$127=0,DW67+逐级计算!$C$127,DW67+逐级计算!$C$127-(10/(逐级计算!$Q$127*LN(10))*(MAX((LN(10^(逐级计算!$Q$127/10)-1)+逐级计算!$Q$127*(DW67-逐级计算!$P$127)*LN(10)/10),0)+LN(1+EXP(-ABS((LN(10^(逐级计算!$Q$127/10)-1)+逐级计算!$Q$127*(DW67-逐级计算!$P$127)*LN(10)/10))))))),"")</f>
        <v>13.7930365742089</v>
      </c>
      <c r="DY67">
        <f>IF(AND(ISNUMBER(DX67),逐级计算!$X$128&gt;-1),IF(逐级计算!$X$128=0,DX67+逐级计算!$C$128,DX67+逐级计算!$C$128-(10/(逐级计算!$Q$128*LN(10))*(MAX((LN(10^(逐级计算!$Q$128/10)-1)+逐级计算!$Q$128*(DX67-逐级计算!$P$128)*LN(10)/10),0)+LN(1+EXP(-ABS((LN(10^(逐级计算!$Q$128/10)-1)+逐级计算!$Q$128*(DX67-逐级计算!$P$128)*LN(10)/10))))))),"")</f>
        <v>13.7930365742089</v>
      </c>
      <c r="DZ67">
        <f>IF(AND(ISNUMBER(DY67),逐级计算!$X$129&gt;-1),IF(逐级计算!$X$129=0,DY67+逐级计算!$C$129,DY67+逐级计算!$C$129-(10/(逐级计算!$Q$129*LN(10))*(MAX((LN(10^(逐级计算!$Q$129/10)-1)+逐级计算!$Q$129*(DY67-逐级计算!$P$129)*LN(10)/10),0)+LN(1+EXP(-ABS((LN(10^(逐级计算!$Q$129/10)-1)+逐级计算!$Q$129*(DY67-逐级计算!$P$129)*LN(10)/10))))))),"")</f>
        <v>13.7930365742089</v>
      </c>
      <c r="EA67">
        <f>IF(AND(ISNUMBER(DZ67),逐级计算!$X$130&gt;-1),IF(逐级计算!$X$130=0,DZ67+逐级计算!$C$130,DZ67+逐级计算!$C$130-(10/(逐级计算!$Q$130*LN(10))*(MAX((LN(10^(逐级计算!$Q$130/10)-1)+逐级计算!$Q$130*(DZ67-逐级计算!$P$130)*LN(10)/10),0)+LN(1+EXP(-ABS((LN(10^(逐级计算!$Q$130/10)-1)+逐级计算!$Q$130*(DZ67-逐级计算!$P$130)*LN(10)/10))))))),"")</f>
        <v>13.7930365742089</v>
      </c>
      <c r="EB67">
        <f>IF(AND(ISNUMBER(EA67),逐级计算!$X$131&gt;-1),IF(逐级计算!$X$131=0,EA67+逐级计算!$C$131,EA67+逐级计算!$C$131-(10/(逐级计算!$Q$131*LN(10))*(MAX((LN(10^(逐级计算!$Q$131/10)-1)+逐级计算!$Q$131*(EA67-逐级计算!$P$131)*LN(10)/10),0)+LN(1+EXP(-ABS((LN(10^(逐级计算!$Q$131/10)-1)+逐级计算!$Q$131*(EA67-逐级计算!$P$131)*LN(10)/10))))))),"")</f>
        <v>13.7930365742089</v>
      </c>
      <c r="EC67">
        <f>IF(AND(ISNUMBER(EB67),逐级计算!$X$132&gt;-1),IF(逐级计算!$X$132=0,EB67+逐级计算!$C$132,EB67+逐级计算!$C$132-(10/(逐级计算!$Q$132*LN(10))*(MAX((LN(10^(逐级计算!$Q$132/10)-1)+逐级计算!$Q$132*(EB67-逐级计算!$P$132)*LN(10)/10),0)+LN(1+EXP(-ABS((LN(10^(逐级计算!$Q$132/10)-1)+逐级计算!$Q$132*(EB67-逐级计算!$P$132)*LN(10)/10))))))),"")</f>
        <v>13.7930365742089</v>
      </c>
      <c r="ED67">
        <f>IF(AND(ISNUMBER(EC67),逐级计算!$X$133&gt;-1),IF(逐级计算!$X$133=0,EC67+逐级计算!$C$133,EC67+逐级计算!$C$133-(10/(逐级计算!$Q$133*LN(10))*(MAX((LN(10^(逐级计算!$Q$133/10)-1)+逐级计算!$Q$133*(EC67-逐级计算!$P$133)*LN(10)/10),0)+LN(1+EXP(-ABS((LN(10^(逐级计算!$Q$133/10)-1)+逐级计算!$Q$133*(EC67-逐级计算!$P$133)*LN(10)/10))))))),"")</f>
        <v>13.7930365742089</v>
      </c>
      <c r="EE67">
        <f>IF(AND(ISNUMBER(ED67),逐级计算!$X$134&gt;-1),IF(逐级计算!$X$134=0,ED67+逐级计算!$C$134,ED67+逐级计算!$C$134-(10/(逐级计算!$Q$134*LN(10))*(MAX((LN(10^(逐级计算!$Q$134/10)-1)+逐级计算!$Q$134*(ED67-逐级计算!$P$134)*LN(10)/10),0)+LN(1+EXP(-ABS((LN(10^(逐级计算!$Q$134/10)-1)+逐级计算!$Q$134*(ED67-逐级计算!$P$134)*LN(10)/10))))))),"")</f>
        <v>13.7930365742089</v>
      </c>
      <c r="EF67">
        <f>IF(AND(ISNUMBER(EE67),逐级计算!$X$135&gt;-1),IF(逐级计算!$X$135=0,EE67+逐级计算!$C$135,EE67+逐级计算!$C$135-(10/(逐级计算!$Q$135*LN(10))*(MAX((LN(10^(逐级计算!$Q$135/10)-1)+逐级计算!$Q$135*(EE67-逐级计算!$P$135)*LN(10)/10),0)+LN(1+EXP(-ABS((LN(10^(逐级计算!$Q$135/10)-1)+逐级计算!$Q$135*(EE67-逐级计算!$P$135)*LN(10)/10))))))),"")</f>
        <v>13.7930365742089</v>
      </c>
      <c r="EG67">
        <f>IF(AND(ISNUMBER(EF67),逐级计算!$X$136&gt;-1),IF(逐级计算!$X$136=0,EF67+逐级计算!$C$136,EF67+逐级计算!$C$136-(10/(逐级计算!$Q$136*LN(10))*(MAX((LN(10^(逐级计算!$Q$136/10)-1)+逐级计算!$Q$136*(EF67-逐级计算!$P$136)*LN(10)/10),0)+LN(1+EXP(-ABS((LN(10^(逐级计算!$Q$136/10)-1)+逐级计算!$Q$136*(EF67-逐级计算!$P$136)*LN(10)/10))))))),"")</f>
        <v>13.7930365742089</v>
      </c>
      <c r="EH67">
        <f>IF(AND(ISNUMBER(EG67),逐级计算!$X$137&gt;-1),IF(逐级计算!$X$137=0,EG67+逐级计算!$C$137,EG67+逐级计算!$C$137-(10/(逐级计算!$Q$137*LN(10))*(MAX((LN(10^(逐级计算!$Q$137/10)-1)+逐级计算!$Q$137*(EG67-逐级计算!$P$137)*LN(10)/10),0)+LN(1+EXP(-ABS((LN(10^(逐级计算!$Q$137/10)-1)+逐级计算!$Q$137*(EG67-逐级计算!$P$137)*LN(10)/10))))))),"")</f>
        <v>13.7930365742089</v>
      </c>
      <c r="EI67">
        <f>IF(AND(ISNUMBER(EH67),逐级计算!$X$138&gt;-1),IF(逐级计算!$X$138=0,EH67+逐级计算!$C$138,EH67+逐级计算!$C$138-(10/(逐级计算!$Q$138*LN(10))*(MAX((LN(10^(逐级计算!$Q$138/10)-1)+逐级计算!$Q$138*(EH67-逐级计算!$P$138)*LN(10)/10),0)+LN(1+EXP(-ABS((LN(10^(逐级计算!$Q$138/10)-1)+逐级计算!$Q$138*(EH67-逐级计算!$P$138)*LN(10)/10))))))),"")</f>
        <v>13.7930365742089</v>
      </c>
      <c r="EJ67">
        <f>IF(AND(ISNUMBER(EI67),逐级计算!$X$139&gt;-1),IF(逐级计算!$X$139=0,EI67+逐级计算!$C$139,EI67+逐级计算!$C$139-(10/(逐级计算!$Q$139*LN(10))*(MAX((LN(10^(逐级计算!$Q$139/10)-1)+逐级计算!$Q$139*(EI67-逐级计算!$P$139)*LN(10)/10),0)+LN(1+EXP(-ABS((LN(10^(逐级计算!$Q$139/10)-1)+逐级计算!$Q$139*(EI67-逐级计算!$P$139)*LN(10)/10))))))),"")</f>
        <v>13.7930365742089</v>
      </c>
      <c r="EK67">
        <f>IF(AND(ISNUMBER(EJ67),逐级计算!$X$140&gt;-1),IF(逐级计算!$X$140=0,EJ67+逐级计算!$C$140,EJ67+逐级计算!$C$140-(10/(逐级计算!$Q$140*LN(10))*(MAX((LN(10^(逐级计算!$Q$140/10)-1)+逐级计算!$Q$140*(EJ67-逐级计算!$P$140)*LN(10)/10),0)+LN(1+EXP(-ABS((LN(10^(逐级计算!$Q$140/10)-1)+逐级计算!$Q$140*(EJ67-逐级计算!$P$140)*LN(10)/10))))))),"")</f>
        <v>13.7930365742089</v>
      </c>
      <c r="EL67">
        <f>IF(AND(ISNUMBER(EK67),逐级计算!$X$141&gt;-1),IF(逐级计算!$X$141=0,EK67+逐级计算!$C$141,EK67+逐级计算!$C$141-(10/(逐级计算!$Q$141*LN(10))*(MAX((LN(10^(逐级计算!$Q$141/10)-1)+逐级计算!$Q$141*(EK67-逐级计算!$P$141)*LN(10)/10),0)+LN(1+EXP(-ABS((LN(10^(逐级计算!$Q$141/10)-1)+逐级计算!$Q$141*(EK67-逐级计算!$P$141)*LN(10)/10))))))),"")</f>
        <v>13.7930365742089</v>
      </c>
      <c r="EM67">
        <f>IF(AND(ISNUMBER(EL67),逐级计算!$X$142&gt;-1),IF(逐级计算!$X$142=0,EL67+逐级计算!$C$142,EL67+逐级计算!$C$142-(10/(逐级计算!$Q$142*LN(10))*(MAX((LN(10^(逐级计算!$Q$142/10)-1)+逐级计算!$Q$142*(EL67-逐级计算!$P$142)*LN(10)/10),0)+LN(1+EXP(-ABS((LN(10^(逐级计算!$Q$142/10)-1)+逐级计算!$Q$142*(EL67-逐级计算!$P$142)*LN(10)/10))))))),"")</f>
        <v>13.7930365742089</v>
      </c>
      <c r="EN67">
        <f>IF(AND(ISNUMBER(EM67),逐级计算!$X$143&gt;-1),IF(逐级计算!$X$143=0,EM67+逐级计算!$C$143,EM67+逐级计算!$C$143-(10/(逐级计算!$Q$143*LN(10))*(MAX((LN(10^(逐级计算!$Q$143/10)-1)+逐级计算!$Q$143*(EM67-逐级计算!$P$143)*LN(10)/10),0)+LN(1+EXP(-ABS((LN(10^(逐级计算!$Q$143/10)-1)+逐级计算!$Q$143*(EM67-逐级计算!$P$143)*LN(10)/10))))))),"")</f>
        <v>13.7930365742089</v>
      </c>
      <c r="EO67">
        <f>IF(AND(ISNUMBER(EN67),逐级计算!$X$144&gt;-1),IF(逐级计算!$X$144=0,EN67+逐级计算!$C$144,EN67+逐级计算!$C$144-(10/(逐级计算!$Q$144*LN(10))*(MAX((LN(10^(逐级计算!$Q$144/10)-1)+逐级计算!$Q$144*(EN67-逐级计算!$P$144)*LN(10)/10),0)+LN(1+EXP(-ABS((LN(10^(逐级计算!$Q$144/10)-1)+逐级计算!$Q$144*(EN67-逐级计算!$P$144)*LN(10)/10))))))),"")</f>
        <v>13.7930365742089</v>
      </c>
      <c r="EP67">
        <f>IF(AND(ISNUMBER(EO67),逐级计算!$X$145&gt;-1),IF(逐级计算!$X$145=0,EO67+逐级计算!$C$145,EO67+逐级计算!$C$145-(10/(逐级计算!$Q$145*LN(10))*(MAX((LN(10^(逐级计算!$Q$145/10)-1)+逐级计算!$Q$145*(EO67-逐级计算!$P$145)*LN(10)/10),0)+LN(1+EXP(-ABS((LN(10^(逐级计算!$Q$145/10)-1)+逐级计算!$Q$145*(EO67-逐级计算!$P$145)*LN(10)/10))))))),"")</f>
        <v>13.7930365742089</v>
      </c>
      <c r="EQ67">
        <f>IF(AND(ISNUMBER(EP67),逐级计算!$X$146&gt;-1),IF(逐级计算!$X$146=0,EP67+逐级计算!$C$146,EP67+逐级计算!$C$146-(10/(逐级计算!$Q$146*LN(10))*(MAX((LN(10^(逐级计算!$Q$146/10)-1)+逐级计算!$Q$146*(EP67-逐级计算!$P$146)*LN(10)/10),0)+LN(1+EXP(-ABS((LN(10^(逐级计算!$Q$146/10)-1)+逐级计算!$Q$146*(EP67-逐级计算!$P$146)*LN(10)/10))))))),"")</f>
        <v>13.7930365742089</v>
      </c>
      <c r="ER67">
        <f>IF(AND(ISNUMBER(EQ67),逐级计算!$X$147&gt;-1),IF(逐级计算!$X$147=0,EQ67+逐级计算!$C$147,EQ67+逐级计算!$C$147-(10/(逐级计算!$Q$147*LN(10))*(MAX((LN(10^(逐级计算!$Q$147/10)-1)+逐级计算!$Q$147*(EQ67-逐级计算!$P$147)*LN(10)/10),0)+LN(1+EXP(-ABS((LN(10^(逐级计算!$Q$147/10)-1)+逐级计算!$Q$147*(EQ67-逐级计算!$P$147)*LN(10)/10))))))),"")</f>
        <v>13.7930365742089</v>
      </c>
      <c r="ES67">
        <f>IF(AND(ISNUMBER(ER67),逐级计算!$X$148&gt;-1),IF(逐级计算!$X$148=0,ER67+逐级计算!$C$148,ER67+逐级计算!$C$148-(10/(逐级计算!$Q$148*LN(10))*(MAX((LN(10^(逐级计算!$Q$148/10)-1)+逐级计算!$Q$148*(ER67-逐级计算!$P$148)*LN(10)/10),0)+LN(1+EXP(-ABS((LN(10^(逐级计算!$Q$148/10)-1)+逐级计算!$Q$148*(ER67-逐级计算!$P$148)*LN(10)/10))))))),"")</f>
        <v>13.7930365742089</v>
      </c>
      <c r="ET67">
        <f>IF(AND(ISNUMBER(ES67),逐级计算!$X$149&gt;-1),IF(逐级计算!$X$149=0,ES67+逐级计算!$C$149,ES67+逐级计算!$C$149-(10/(逐级计算!$Q$149*LN(10))*(MAX((LN(10^(逐级计算!$Q$149/10)-1)+逐级计算!$Q$149*(ES67-逐级计算!$P$149)*LN(10)/10),0)+LN(1+EXP(-ABS((LN(10^(逐级计算!$Q$149/10)-1)+逐级计算!$Q$149*(ES67-逐级计算!$P$149)*LN(10)/10))))))),"")</f>
        <v>13.7930365742089</v>
      </c>
      <c r="EU67">
        <f>IF(AND(ISNUMBER(ET67),逐级计算!$X$150&gt;-1),IF(逐级计算!$X$150=0,ET67+逐级计算!$C$150,ET67+逐级计算!$C$150-(10/(逐级计算!$Q$150*LN(10))*(MAX((LN(10^(逐级计算!$Q$150/10)-1)+逐级计算!$Q$150*(ET67-逐级计算!$P$150)*LN(10)/10),0)+LN(1+EXP(-ABS((LN(10^(逐级计算!$Q$150/10)-1)+逐级计算!$Q$150*(ET67-逐级计算!$P$150)*LN(10)/10))))))),"")</f>
        <v>13.7930365742089</v>
      </c>
      <c r="EV67">
        <f>IF(AND(ISNUMBER(EU67),逐级计算!$X$151&gt;-1),IF(逐级计算!$X$151=0,EU67+逐级计算!$C$151,EU67+逐级计算!$C$151-(10/(逐级计算!$Q$151*LN(10))*(MAX((LN(10^(逐级计算!$Q$151/10)-1)+逐级计算!$Q$151*(EU67-逐级计算!$P$151)*LN(10)/10),0)+LN(1+EXP(-ABS((LN(10^(逐级计算!$Q$151/10)-1)+逐级计算!$Q$151*(EU67-逐级计算!$P$151)*LN(10)/10))))))),"")</f>
        <v>13.7930365742089</v>
      </c>
      <c r="EW67">
        <f>IF(AND(ISNUMBER(EV67),逐级计算!$X$152&gt;-1),IF(逐级计算!$X$152=0,EV67+逐级计算!$C$152,EV67+逐级计算!$C$152-(10/(逐级计算!$Q$152*LN(10))*(MAX((LN(10^(逐级计算!$Q$152/10)-1)+逐级计算!$Q$152*(EV67-逐级计算!$P$152)*LN(10)/10),0)+LN(1+EXP(-ABS((LN(10^(逐级计算!$Q$152/10)-1)+逐级计算!$Q$152*(EV67-逐级计算!$P$152)*LN(10)/10))))))),"")</f>
        <v>13.7930365742089</v>
      </c>
      <c r="EX67">
        <f>IF(AND(ISNUMBER(EW67),逐级计算!$X$153&gt;-1),IF(逐级计算!$X$153=0,EW67+逐级计算!$C$153,EW67+逐级计算!$C$153-(10/(逐级计算!$Q$153*LN(10))*(MAX((LN(10^(逐级计算!$Q$153/10)-1)+逐级计算!$Q$153*(EW67-逐级计算!$P$153)*LN(10)/10),0)+LN(1+EXP(-ABS((LN(10^(逐级计算!$Q$153/10)-1)+逐级计算!$Q$153*(EW67-逐级计算!$P$153)*LN(10)/10))))))),"")</f>
        <v>13.7930365742089</v>
      </c>
      <c r="EY67">
        <f>IF(AND(ISNUMBER(EX67),逐级计算!$X$154&gt;-1),IF(逐级计算!$X$154=0,EX67+逐级计算!$C$154,EX67+逐级计算!$C$154-(10/(逐级计算!$Q$154*LN(10))*(MAX((LN(10^(逐级计算!$Q$154/10)-1)+逐级计算!$Q$154*(EX67-逐级计算!$P$154)*LN(10)/10),0)+LN(1+EXP(-ABS((LN(10^(逐级计算!$Q$154/10)-1)+逐级计算!$Q$154*(EX67-逐级计算!$P$154)*LN(10)/10))))))),"")</f>
        <v>13.7930365742089</v>
      </c>
      <c r="EZ67">
        <f>IF(AND(ISNUMBER(EY67),逐级计算!$X$155&gt;-1),IF(逐级计算!$X$155=0,EY67+逐级计算!$C$155,EY67+逐级计算!$C$155-(10/(逐级计算!$Q$155*LN(10))*(MAX((LN(10^(逐级计算!$Q$155/10)-1)+逐级计算!$Q$155*(EY67-逐级计算!$P$155)*LN(10)/10),0)+LN(1+EXP(-ABS((LN(10^(逐级计算!$Q$155/10)-1)+逐级计算!$Q$155*(EY67-逐级计算!$P$155)*LN(10)/10))))))),"")</f>
        <v>13.7930365742089</v>
      </c>
      <c r="FA67">
        <f>IF(AND(ISNUMBER(EZ67),逐级计算!$X$156&gt;-1),IF(逐级计算!$X$156=0,EZ67+逐级计算!$C$156,EZ67+逐级计算!$C$156-(10/(逐级计算!$Q$156*LN(10))*(MAX((LN(10^(逐级计算!$Q$156/10)-1)+逐级计算!$Q$156*(EZ67-逐级计算!$P$156)*LN(10)/10),0)+LN(1+EXP(-ABS((LN(10^(逐级计算!$Q$156/10)-1)+逐级计算!$Q$156*(EZ67-逐级计算!$P$156)*LN(10)/10))))))),"")</f>
        <v>13.7930365742089</v>
      </c>
      <c r="FB67">
        <f>IF(AND(ISNUMBER(FA67),逐级计算!$X$157&gt;-1),IF(逐级计算!$X$157=0,FA67+逐级计算!$C$157,FA67+逐级计算!$C$157-(10/(逐级计算!$Q$157*LN(10))*(MAX((LN(10^(逐级计算!$Q$157/10)-1)+逐级计算!$Q$157*(FA67-逐级计算!$P$157)*LN(10)/10),0)+LN(1+EXP(-ABS((LN(10^(逐级计算!$Q$157/10)-1)+逐级计算!$Q$157*(FA67-逐级计算!$P$157)*LN(10)/10))))))),"")</f>
        <v>13.7930365742089</v>
      </c>
      <c r="FC67">
        <f>IF(AND(ISNUMBER(FB67),逐级计算!$X$158&gt;-1),IF(逐级计算!$X$158=0,FB67+逐级计算!$C$158,FB67+逐级计算!$C$158-(10/(逐级计算!$Q$158*LN(10))*(MAX((LN(10^(逐级计算!$Q$158/10)-1)+逐级计算!$Q$158*(FB67-逐级计算!$P$158)*LN(10)/10),0)+LN(1+EXP(-ABS((LN(10^(逐级计算!$Q$158/10)-1)+逐级计算!$Q$158*(FB67-逐级计算!$P$158)*LN(10)/10))))))),"")</f>
        <v>13.7930365742089</v>
      </c>
      <c r="FD67">
        <f>IF(AND(ISNUMBER(FC67),逐级计算!$X$159&gt;-1),IF(逐级计算!$X$159=0,FC67+逐级计算!$C$159,FC67+逐级计算!$C$159-(10/(逐级计算!$Q$159*LN(10))*(MAX((LN(10^(逐级计算!$Q$159/10)-1)+逐级计算!$Q$159*(FC67-逐级计算!$P$159)*LN(10)/10),0)+LN(1+EXP(-ABS((LN(10^(逐级计算!$Q$159/10)-1)+逐级计算!$Q$159*(FC67-逐级计算!$P$159)*LN(10)/10))))))),"")</f>
        <v>13.7930365742089</v>
      </c>
      <c r="FE67">
        <f>IF(AND(ISNUMBER(FD67),逐级计算!$X$160&gt;-1),IF(逐级计算!$X$160=0,FD67+逐级计算!$C$160,FD67+逐级计算!$C$160-(10/(逐级计算!$Q$160*LN(10))*(MAX((LN(10^(逐级计算!$Q$160/10)-1)+逐级计算!$Q$160*(FD67-逐级计算!$P$160)*LN(10)/10),0)+LN(1+EXP(-ABS((LN(10^(逐级计算!$Q$160/10)-1)+逐级计算!$Q$160*(FD67-逐级计算!$P$160)*LN(10)/10))))))),"")</f>
        <v>13.7930365742089</v>
      </c>
      <c r="FF67">
        <f>IF(AND(ISNUMBER(FE67),逐级计算!$X$161&gt;-1),IF(逐级计算!$X$161=0,FE67+逐级计算!$C$161,FE67+逐级计算!$C$161-(10/(逐级计算!$Q$161*LN(10))*(MAX((LN(10^(逐级计算!$Q$161/10)-1)+逐级计算!$Q$161*(FE67-逐级计算!$P$161)*LN(10)/10),0)+LN(1+EXP(-ABS((LN(10^(逐级计算!$Q$161/10)-1)+逐级计算!$Q$161*(FE67-逐级计算!$P$161)*LN(10)/10))))))),"")</f>
        <v>13.7930365742089</v>
      </c>
      <c r="FG67">
        <f>IF(AND(ISNUMBER(FF67),逐级计算!$X$162&gt;-1),IF(逐级计算!$X$162=0,FF67+逐级计算!$C$162,FF67+逐级计算!$C$162-(10/(逐级计算!$Q$162*LN(10))*(MAX((LN(10^(逐级计算!$Q$162/10)-1)+逐级计算!$Q$162*(FF67-逐级计算!$P$162)*LN(10)/10),0)+LN(1+EXP(-ABS((LN(10^(逐级计算!$Q$162/10)-1)+逐级计算!$Q$162*(FF67-逐级计算!$P$162)*LN(10)/10))))))),"")</f>
        <v>13.7930365742089</v>
      </c>
      <c r="FH67">
        <f>IF(AND(ISNUMBER(FG67),逐级计算!$X$163&gt;-1),IF(逐级计算!$X$163=0,FG67+逐级计算!$C$163,FG67+逐级计算!$C$163-(10/(逐级计算!$Q$163*LN(10))*(MAX((LN(10^(逐级计算!$Q$163/10)-1)+逐级计算!$Q$163*(FG67-逐级计算!$P$163)*LN(10)/10),0)+LN(1+EXP(-ABS((LN(10^(逐级计算!$Q$163/10)-1)+逐级计算!$Q$163*(FG67-逐级计算!$P$163)*LN(10)/10))))))),"")</f>
        <v>13.7930365742089</v>
      </c>
      <c r="FI67">
        <f>IF(AND(ISNUMBER(FH67),逐级计算!$X$164&gt;-1),IF(逐级计算!$X$164=0,FH67+逐级计算!$C$164,FH67+逐级计算!$C$164-(10/(逐级计算!$Q$164*LN(10))*(MAX((LN(10^(逐级计算!$Q$164/10)-1)+逐级计算!$Q$164*(FH67-逐级计算!$P$164)*LN(10)/10),0)+LN(1+EXP(-ABS((LN(10^(逐级计算!$Q$164/10)-1)+逐级计算!$Q$164*(FH67-逐级计算!$P$164)*LN(10)/10))))))),"")</f>
        <v>13.7930365742089</v>
      </c>
      <c r="FJ67">
        <f>IF(AND(ISNUMBER(FI67),逐级计算!$X$165&gt;-1),IF(逐级计算!$X$165=0,FI67+逐级计算!$C$165,FI67+逐级计算!$C$165-(10/(逐级计算!$Q$165*LN(10))*(MAX((LN(10^(逐级计算!$Q$165/10)-1)+逐级计算!$Q$165*(FI67-逐级计算!$P$165)*LN(10)/10),0)+LN(1+EXP(-ABS((LN(10^(逐级计算!$Q$165/10)-1)+逐级计算!$Q$165*(FI67-逐级计算!$P$165)*LN(10)/10))))))),"")</f>
        <v>13.7930365742089</v>
      </c>
      <c r="FK67">
        <f>IF(AND(ISNUMBER(FJ67),逐级计算!$X$166&gt;-1),IF(逐级计算!$X$166=0,FJ67+逐级计算!$C$166,FJ67+逐级计算!$C$166-(10/(逐级计算!$Q$166*LN(10))*(MAX((LN(10^(逐级计算!$Q$166/10)-1)+逐级计算!$Q$166*(FJ67-逐级计算!$P$166)*LN(10)/10),0)+LN(1+EXP(-ABS((LN(10^(逐级计算!$Q$166/10)-1)+逐级计算!$Q$166*(FJ67-逐级计算!$P$166)*LN(10)/10))))))),"")</f>
        <v>13.7930365742089</v>
      </c>
      <c r="FL67">
        <f>IF(AND(ISNUMBER(FK67),逐级计算!$X$167&gt;-1),IF(逐级计算!$X$167=0,FK67+逐级计算!$C$167,FK67+逐级计算!$C$167-(10/(逐级计算!$Q$167*LN(10))*(MAX((LN(10^(逐级计算!$Q$167/10)-1)+逐级计算!$Q$167*(FK67-逐级计算!$P$167)*LN(10)/10),0)+LN(1+EXP(-ABS((LN(10^(逐级计算!$Q$167/10)-1)+逐级计算!$Q$167*(FK67-逐级计算!$P$167)*LN(10)/10))))))),"")</f>
        <v>13.7930365742089</v>
      </c>
      <c r="FM67">
        <f>IF(AND(ISNUMBER(FL67),逐级计算!$X$168&gt;-1),IF(逐级计算!$X$168=0,FL67+逐级计算!$C$168,FL67+逐级计算!$C$168-(10/(逐级计算!$Q$168*LN(10))*(MAX((LN(10^(逐级计算!$Q$168/10)-1)+逐级计算!$Q$168*(FL67-逐级计算!$P$168)*LN(10)/10),0)+LN(1+EXP(-ABS((LN(10^(逐级计算!$Q$168/10)-1)+逐级计算!$Q$168*(FL67-逐级计算!$P$168)*LN(10)/10))))))),"")</f>
        <v>13.7930365742089</v>
      </c>
      <c r="FN67">
        <f>IF(AND(ISNUMBER(FM67),逐级计算!$X$169&gt;-1),IF(逐级计算!$X$169=0,FM67+逐级计算!$C$169,FM67+逐级计算!$C$169-(10/(逐级计算!$Q$169*LN(10))*(MAX((LN(10^(逐级计算!$Q$169/10)-1)+逐级计算!$Q$169*(FM67-逐级计算!$P$169)*LN(10)/10),0)+LN(1+EXP(-ABS((LN(10^(逐级计算!$Q$169/10)-1)+逐级计算!$Q$169*(FM67-逐级计算!$P$169)*LN(10)/10))))))),"")</f>
        <v>13.7930365742089</v>
      </c>
      <c r="FO67">
        <f>IF(AND(ISNUMBER(FN67),逐级计算!$X$170&gt;-1),IF(逐级计算!$X$170=0,FN67+逐级计算!$C$170,FN67+逐级计算!$C$170-(10/(逐级计算!$Q$170*LN(10))*(MAX((LN(10^(逐级计算!$Q$170/10)-1)+逐级计算!$Q$170*(FN67-逐级计算!$P$170)*LN(10)/10),0)+LN(1+EXP(-ABS((LN(10^(逐级计算!$Q$170/10)-1)+逐级计算!$Q$170*(FN67-逐级计算!$P$170)*LN(10)/10))))))),"")</f>
        <v>13.7930365742089</v>
      </c>
      <c r="FP67">
        <f>IF(AND(ISNUMBER(FO67),逐级计算!$X$171&gt;-1),IF(逐级计算!$X$171=0,FO67+逐级计算!$C$171,FO67+逐级计算!$C$171-(10/(逐级计算!$Q$171*LN(10))*(MAX((LN(10^(逐级计算!$Q$171/10)-1)+逐级计算!$Q$171*(FO67-逐级计算!$P$171)*LN(10)/10),0)+LN(1+EXP(-ABS((LN(10^(逐级计算!$Q$171/10)-1)+逐级计算!$Q$171*(FO67-逐级计算!$P$171)*LN(10)/10))))))),"")</f>
        <v>13.7930365742089</v>
      </c>
      <c r="FQ67">
        <f>IF(AND(ISNUMBER(FP67),逐级计算!$X$172&gt;-1),IF(逐级计算!$X$172=0,FP67+逐级计算!$C$172,FP67+逐级计算!$C$172-(10/(逐级计算!$Q$172*LN(10))*(MAX((LN(10^(逐级计算!$Q$172/10)-1)+逐级计算!$Q$172*(FP67-逐级计算!$P$172)*LN(10)/10),0)+LN(1+EXP(-ABS((LN(10^(逐级计算!$Q$172/10)-1)+逐级计算!$Q$172*(FP67-逐级计算!$P$172)*LN(10)/10))))))),"")</f>
        <v>13.7930365742089</v>
      </c>
      <c r="FR67">
        <f>IF(AND(ISNUMBER(FQ67),逐级计算!$X$173&gt;-1),IF(逐级计算!$X$173=0,FQ67+逐级计算!$C$173,FQ67+逐级计算!$C$173-(10/(逐级计算!$Q$173*LN(10))*(MAX((LN(10^(逐级计算!$Q$173/10)-1)+逐级计算!$Q$173*(FQ67-逐级计算!$P$173)*LN(10)/10),0)+LN(1+EXP(-ABS((LN(10^(逐级计算!$Q$173/10)-1)+逐级计算!$Q$173*(FQ67-逐级计算!$P$173)*LN(10)/10))))))),"")</f>
        <v>13.7930365742089</v>
      </c>
      <c r="FS67">
        <f>IF(AND(ISNUMBER(FR67),逐级计算!$X$174&gt;-1),IF(逐级计算!$X$174=0,FR67+逐级计算!$C$174,FR67+逐级计算!$C$174-(10/(逐级计算!$Q$174*LN(10))*(MAX((LN(10^(逐级计算!$Q$174/10)-1)+逐级计算!$Q$174*(FR67-逐级计算!$P$174)*LN(10)/10),0)+LN(1+EXP(-ABS((LN(10^(逐级计算!$Q$174/10)-1)+逐级计算!$Q$174*(FR67-逐级计算!$P$174)*LN(10)/10))))))),"")</f>
        <v>13.7930365742089</v>
      </c>
      <c r="FT67">
        <f>IF(AND(ISNUMBER(FS67),逐级计算!$X$175&gt;-1),IF(逐级计算!$X$175=0,FS67+逐级计算!$C$175,FS67+逐级计算!$C$175-(10/(逐级计算!$Q$175*LN(10))*(MAX((LN(10^(逐级计算!$Q$175/10)-1)+逐级计算!$Q$175*(FS67-逐级计算!$P$175)*LN(10)/10),0)+LN(1+EXP(-ABS((LN(10^(逐级计算!$Q$175/10)-1)+逐级计算!$Q$175*(FS67-逐级计算!$P$175)*LN(10)/10))))))),"")</f>
        <v>13.7930365742089</v>
      </c>
      <c r="FU67">
        <f>IF(AND(ISNUMBER(FT67),逐级计算!$X$176&gt;-1),IF(逐级计算!$X$176=0,FT67+逐级计算!$C$176,FT67+逐级计算!$C$176-(10/(逐级计算!$Q$176*LN(10))*(MAX((LN(10^(逐级计算!$Q$176/10)-1)+逐级计算!$Q$176*(FT67-逐级计算!$P$176)*LN(10)/10),0)+LN(1+EXP(-ABS((LN(10^(逐级计算!$Q$176/10)-1)+逐级计算!$Q$176*(FT67-逐级计算!$P$176)*LN(10)/10))))))),"")</f>
        <v>13.7930365742089</v>
      </c>
      <c r="FV67">
        <f>IF(AND(ISNUMBER(FU67),逐级计算!$X$177&gt;-1),IF(逐级计算!$X$177=0,FU67+逐级计算!$C$177,FU67+逐级计算!$C$177-(10/(逐级计算!$Q$177*LN(10))*(MAX((LN(10^(逐级计算!$Q$177/10)-1)+逐级计算!$Q$177*(FU67-逐级计算!$P$177)*LN(10)/10),0)+LN(1+EXP(-ABS((LN(10^(逐级计算!$Q$177/10)-1)+逐级计算!$Q$177*(FU67-逐级计算!$P$177)*LN(10)/10))))))),"")</f>
        <v>13.7930365742089</v>
      </c>
      <c r="FW67">
        <f>IF(AND(ISNUMBER(FV67),逐级计算!$X$178&gt;-1),IF(逐级计算!$X$178=0,FV67+逐级计算!$C$178,FV67+逐级计算!$C$178-(10/(逐级计算!$Q$178*LN(10))*(MAX((LN(10^(逐级计算!$Q$178/10)-1)+逐级计算!$Q$178*(FV67-逐级计算!$P$178)*LN(10)/10),0)+LN(1+EXP(-ABS((LN(10^(逐级计算!$Q$178/10)-1)+逐级计算!$Q$178*(FV67-逐级计算!$P$178)*LN(10)/10))))))),"")</f>
        <v>13.7930365742089</v>
      </c>
      <c r="FX67">
        <f>IF(AND(ISNUMBER(FW67),逐级计算!$X$179&gt;-1),IF(逐级计算!$X$179=0,FW67+逐级计算!$C$179,FW67+逐级计算!$C$179-(10/(逐级计算!$Q$179*LN(10))*(MAX((LN(10^(逐级计算!$Q$179/10)-1)+逐级计算!$Q$179*(FW67-逐级计算!$P$179)*LN(10)/10),0)+LN(1+EXP(-ABS((LN(10^(逐级计算!$Q$179/10)-1)+逐级计算!$Q$179*(FW67-逐级计算!$P$179)*LN(10)/10))))))),"")</f>
        <v>13.7930365742089</v>
      </c>
      <c r="FY67">
        <f>IF(AND(ISNUMBER(FX67),逐级计算!$X$180&gt;-1),IF(逐级计算!$X$180=0,FX67+逐级计算!$C$180,FX67+逐级计算!$C$180-(10/(逐级计算!$Q$180*LN(10))*(MAX((LN(10^(逐级计算!$Q$180/10)-1)+逐级计算!$Q$180*(FX67-逐级计算!$P$180)*LN(10)/10),0)+LN(1+EXP(-ABS((LN(10^(逐级计算!$Q$180/10)-1)+逐级计算!$Q$180*(FX67-逐级计算!$P$180)*LN(10)/10))))))),"")</f>
        <v>13.7930365742089</v>
      </c>
      <c r="FZ67">
        <f>IF(AND(ISNUMBER(FY67),逐级计算!$X$181&gt;-1),IF(逐级计算!$X$181=0,FY67+逐级计算!$C$181,FY67+逐级计算!$C$181-(10/(逐级计算!$Q$181*LN(10))*(MAX((LN(10^(逐级计算!$Q$181/10)-1)+逐级计算!$Q$181*(FY67-逐级计算!$P$181)*LN(10)/10),0)+LN(1+EXP(-ABS((LN(10^(逐级计算!$Q$181/10)-1)+逐级计算!$Q$181*(FY67-逐级计算!$P$181)*LN(10)/10))))))),"")</f>
        <v>13.7930365742089</v>
      </c>
      <c r="GA67">
        <f>IF(AND(ISNUMBER(FZ67),逐级计算!$X$182&gt;-1),IF(逐级计算!$X$182=0,FZ67+逐级计算!$C$182,FZ67+逐级计算!$C$182-(10/(逐级计算!$Q$182*LN(10))*(MAX((LN(10^(逐级计算!$Q$182/10)-1)+逐级计算!$Q$182*(FZ67-逐级计算!$P$182)*LN(10)/10),0)+LN(1+EXP(-ABS((LN(10^(逐级计算!$Q$182/10)-1)+逐级计算!$Q$182*(FZ67-逐级计算!$P$182)*LN(10)/10))))))),"")</f>
        <v>13.7930365742089</v>
      </c>
      <c r="GB67">
        <f>IF(AND(ISNUMBER(GA67),逐级计算!$X$183&gt;-1),IF(逐级计算!$X$183=0,GA67+逐级计算!$C$183,GA67+逐级计算!$C$183-(10/(逐级计算!$Q$183*LN(10))*(MAX((LN(10^(逐级计算!$Q$183/10)-1)+逐级计算!$Q$183*(GA67-逐级计算!$P$183)*LN(10)/10),0)+LN(1+EXP(-ABS((LN(10^(逐级计算!$Q$183/10)-1)+逐级计算!$Q$183*(GA67-逐级计算!$P$183)*LN(10)/10))))))),"")</f>
        <v>13.7930365742089</v>
      </c>
      <c r="GC67">
        <f>IF(AND(ISNUMBER(GB67),逐级计算!$X$184&gt;-1),IF(逐级计算!$X$184=0,GB67+逐级计算!$C$184,GB67+逐级计算!$C$184-(10/(逐级计算!$Q$184*LN(10))*(MAX((LN(10^(逐级计算!$Q$184/10)-1)+逐级计算!$Q$184*(GB67-逐级计算!$P$184)*LN(10)/10),0)+LN(1+EXP(-ABS((LN(10^(逐级计算!$Q$184/10)-1)+逐级计算!$Q$184*(GB67-逐级计算!$P$184)*LN(10)/10))))))),"")</f>
        <v>13.7930365742089</v>
      </c>
      <c r="GD67">
        <f>IF(AND(ISNUMBER(GC67),逐级计算!$X$185&gt;-1),IF(逐级计算!$X$185=0,GC67+逐级计算!$C$185,GC67+逐级计算!$C$185-(10/(逐级计算!$Q$185*LN(10))*(MAX((LN(10^(逐级计算!$Q$185/10)-1)+逐级计算!$Q$185*(GC67-逐级计算!$P$185)*LN(10)/10),0)+LN(1+EXP(-ABS((LN(10^(逐级计算!$Q$185/10)-1)+逐级计算!$Q$185*(GC67-逐级计算!$P$185)*LN(10)/10))))))),"")</f>
        <v>13.7930365742089</v>
      </c>
      <c r="GE67">
        <f>IF(AND(ISNUMBER(GD67),逐级计算!$X$186&gt;-1),IF(逐级计算!$X$186=0,GD67+逐级计算!$C$186,GD67+逐级计算!$C$186-(10/(逐级计算!$Q$186*LN(10))*(MAX((LN(10^(逐级计算!$Q$186/10)-1)+逐级计算!$Q$186*(GD67-逐级计算!$P$186)*LN(10)/10),0)+LN(1+EXP(-ABS((LN(10^(逐级计算!$Q$186/10)-1)+逐级计算!$Q$186*(GD67-逐级计算!$P$186)*LN(10)/10))))))),"")</f>
        <v>13.7930365742089</v>
      </c>
      <c r="GF67">
        <f>IF(AND(ISNUMBER(GE67),逐级计算!$X$187&gt;-1),IF(逐级计算!$X$187=0,GE67+逐级计算!$C$187,GE67+逐级计算!$C$187-(10/(逐级计算!$Q$187*LN(10))*(MAX((LN(10^(逐级计算!$Q$187/10)-1)+逐级计算!$Q$187*(GE67-逐级计算!$P$187)*LN(10)/10),0)+LN(1+EXP(-ABS((LN(10^(逐级计算!$Q$187/10)-1)+逐级计算!$Q$187*(GE67-逐级计算!$P$187)*LN(10)/10))))))),"")</f>
        <v>13.7930365742089</v>
      </c>
      <c r="GG67">
        <f>IF(AND(ISNUMBER(GF67),逐级计算!$X$188&gt;-1),IF(逐级计算!$X$188=0,GF67+逐级计算!$C$188,GF67+逐级计算!$C$188-(10/(逐级计算!$Q$188*LN(10))*(MAX((LN(10^(逐级计算!$Q$188/10)-1)+逐级计算!$Q$188*(GF67-逐级计算!$P$188)*LN(10)/10),0)+LN(1+EXP(-ABS((LN(10^(逐级计算!$Q$188/10)-1)+逐级计算!$Q$188*(GF67-逐级计算!$P$188)*LN(10)/10))))))),"")</f>
        <v>13.7930365742089</v>
      </c>
      <c r="GH67">
        <f>IF(AND(ISNUMBER(GG67),逐级计算!$X$189&gt;-1),IF(逐级计算!$X$189=0,GG67+逐级计算!$C$189,GG67+逐级计算!$C$189-(10/(逐级计算!$Q$189*LN(10))*(MAX((LN(10^(逐级计算!$Q$189/10)-1)+逐级计算!$Q$189*(GG67-逐级计算!$P$189)*LN(10)/10),0)+LN(1+EXP(-ABS((LN(10^(逐级计算!$Q$189/10)-1)+逐级计算!$Q$189*(GG67-逐级计算!$P$189)*LN(10)/10))))))),"")</f>
        <v>13.7930365742089</v>
      </c>
      <c r="GI67">
        <f>IF(AND(ISNUMBER(GH67),逐级计算!$X$190&gt;-1),IF(逐级计算!$X$190=0,GH67+逐级计算!$C$190,GH67+逐级计算!$C$190-(10/(逐级计算!$Q$190*LN(10))*(MAX((LN(10^(逐级计算!$Q$190/10)-1)+逐级计算!$Q$190*(GH67-逐级计算!$P$190)*LN(10)/10),0)+LN(1+EXP(-ABS((LN(10^(逐级计算!$Q$190/10)-1)+逐级计算!$Q$190*(GH67-逐级计算!$P$190)*LN(10)/10))))))),"")</f>
        <v>13.7930365742089</v>
      </c>
      <c r="GJ67">
        <f>IF(AND(ISNUMBER(GI67),逐级计算!$X$191&gt;-1),IF(逐级计算!$X$191=0,GI67+逐级计算!$C$191,GI67+逐级计算!$C$191-(10/(逐级计算!$Q$191*LN(10))*(MAX((LN(10^(逐级计算!$Q$191/10)-1)+逐级计算!$Q$191*(GI67-逐级计算!$P$191)*LN(10)/10),0)+LN(1+EXP(-ABS((LN(10^(逐级计算!$Q$191/10)-1)+逐级计算!$Q$191*(GI67-逐级计算!$P$191)*LN(10)/10))))))),"")</f>
        <v>13.7930365742089</v>
      </c>
      <c r="GK67">
        <f>IF(AND(ISNUMBER(GJ67),逐级计算!$X$192&gt;-1),IF(逐级计算!$X$192=0,GJ67+逐级计算!$C$192,GJ67+逐级计算!$C$192-(10/(逐级计算!$Q$192*LN(10))*(MAX((LN(10^(逐级计算!$Q$192/10)-1)+逐级计算!$Q$192*(GJ67-逐级计算!$P$192)*LN(10)/10),0)+LN(1+EXP(-ABS((LN(10^(逐级计算!$Q$192/10)-1)+逐级计算!$Q$192*(GJ67-逐级计算!$P$192)*LN(10)/10))))))),"")</f>
        <v>13.7930365742089</v>
      </c>
      <c r="GL67">
        <f>IF(AND(ISNUMBER(GK67),逐级计算!$X$193&gt;-1),IF(逐级计算!$X$193=0,GK67+逐级计算!$C$193,GK67+逐级计算!$C$193-(10/(逐级计算!$Q$193*LN(10))*(MAX((LN(10^(逐级计算!$Q$193/10)-1)+逐级计算!$Q$193*(GK67-逐级计算!$P$193)*LN(10)/10),0)+LN(1+EXP(-ABS((LN(10^(逐级计算!$Q$193/10)-1)+逐级计算!$Q$193*(GK67-逐级计算!$P$193)*LN(10)/10))))))),"")</f>
        <v>13.7930365742089</v>
      </c>
      <c r="GM67">
        <f>IF(AND(ISNUMBER(GL67),逐级计算!$X$194&gt;-1),IF(逐级计算!$X$194=0,GL67+逐级计算!$C$194,GL67+逐级计算!$C$194-(10/(逐级计算!$Q$194*LN(10))*(MAX((LN(10^(逐级计算!$Q$194/10)-1)+逐级计算!$Q$194*(GL67-逐级计算!$P$194)*LN(10)/10),0)+LN(1+EXP(-ABS((LN(10^(逐级计算!$Q$194/10)-1)+逐级计算!$Q$194*(GL67-逐级计算!$P$194)*LN(10)/10))))))),"")</f>
        <v>13.7930365742089</v>
      </c>
      <c r="GN67">
        <f>IF(AND(ISNUMBER(GM67),逐级计算!$X$195&gt;-1),IF(逐级计算!$X$195=0,GM67+逐级计算!$C$195,GM67+逐级计算!$C$195-(10/(逐级计算!$Q$195*LN(10))*(MAX((LN(10^(逐级计算!$Q$195/10)-1)+逐级计算!$Q$195*(GM67-逐级计算!$P$195)*LN(10)/10),0)+LN(1+EXP(-ABS((LN(10^(逐级计算!$Q$195/10)-1)+逐级计算!$Q$195*(GM67-逐级计算!$P$195)*LN(10)/10))))))),"")</f>
        <v>13.7930365742089</v>
      </c>
      <c r="GO67">
        <f>IF(AND(ISNUMBER(GN67),逐级计算!$X$196&gt;-1),IF(逐级计算!$X$196=0,GN67+逐级计算!$C$196,GN67+逐级计算!$C$196-(10/(逐级计算!$Q$196*LN(10))*(MAX((LN(10^(逐级计算!$Q$196/10)-1)+逐级计算!$Q$196*(GN67-逐级计算!$P$196)*LN(10)/10),0)+LN(1+EXP(-ABS((LN(10^(逐级计算!$Q$196/10)-1)+逐级计算!$Q$196*(GN67-逐级计算!$P$196)*LN(10)/10))))))),"")</f>
        <v>13.7930365742089</v>
      </c>
      <c r="GP67">
        <f>IF(AND(ISNUMBER(GO67),逐级计算!$X$197&gt;-1),IF(逐级计算!$X$197=0,GO67+逐级计算!$C$197,GO67+逐级计算!$C$197-(10/(逐级计算!$Q$197*LN(10))*(MAX((LN(10^(逐级计算!$Q$197/10)-1)+逐级计算!$Q$197*(GO67-逐级计算!$P$197)*LN(10)/10),0)+LN(1+EXP(-ABS((LN(10^(逐级计算!$Q$197/10)-1)+逐级计算!$Q$197*(GO67-逐级计算!$P$197)*LN(10)/10))))))),"")</f>
        <v>13.7930365742089</v>
      </c>
      <c r="GQ67">
        <f>IF(AND(ISNUMBER(GP67),逐级计算!$X$198&gt;-1),IF(逐级计算!$X$198=0,GP67+逐级计算!$C$198,GP67+逐级计算!$C$198-(10/(逐级计算!$Q$198*LN(10))*(MAX((LN(10^(逐级计算!$Q$198/10)-1)+逐级计算!$Q$198*(GP67-逐级计算!$P$198)*LN(10)/10),0)+LN(1+EXP(-ABS((LN(10^(逐级计算!$Q$198/10)-1)+逐级计算!$Q$198*(GP67-逐级计算!$P$198)*LN(10)/10))))))),"")</f>
        <v>13.7930365742089</v>
      </c>
      <c r="GR67">
        <f>IF(AND(ISNUMBER(GQ67),逐级计算!$X$199&gt;-1),IF(逐级计算!$X$199=0,GQ67+逐级计算!$C$199,GQ67+逐级计算!$C$199-(10/(逐级计算!$Q$199*LN(10))*(MAX((LN(10^(逐级计算!$Q$199/10)-1)+逐级计算!$Q$199*(GQ67-逐级计算!$P$199)*LN(10)/10),0)+LN(1+EXP(-ABS((LN(10^(逐级计算!$Q$199/10)-1)+逐级计算!$Q$199*(GQ67-逐级计算!$P$199)*LN(10)/10))))))),"")</f>
        <v>13.7930365742089</v>
      </c>
      <c r="GS67">
        <f>IF(AND(ISNUMBER(GR67),逐级计算!$X$200&gt;-1),IF(逐级计算!$X$200=0,GR67+逐级计算!$C$200,GR67+逐级计算!$C$200-(10/(逐级计算!$Q$200*LN(10))*(MAX((LN(10^(逐级计算!$Q$200/10)-1)+逐级计算!$Q$200*(GR67-逐级计算!$P$200)*LN(10)/10),0)+LN(1+EXP(-ABS((LN(10^(逐级计算!$Q$200/10)-1)+逐级计算!$Q$200*(GR67-逐级计算!$P$200)*LN(10)/10))))))),"")</f>
        <v>13.7930365742089</v>
      </c>
      <c r="GT67">
        <f>IF(AND(ISNUMBER(GS67),逐级计算!$X$201&gt;-1),IF(逐级计算!$X$201=0,GS67+逐级计算!$C$201,GS67+逐级计算!$C$201-(10/(逐级计算!$Q$201*LN(10))*(MAX((LN(10^(逐级计算!$Q$201/10)-1)+逐级计算!$Q$201*(GS67-逐级计算!$P$201)*LN(10)/10),0)+LN(1+EXP(-ABS((LN(10^(逐级计算!$Q$201/10)-1)+逐级计算!$Q$201*(GS67-逐级计算!$P$201)*LN(10)/10))))))),"")</f>
        <v>13.7930365742089</v>
      </c>
      <c r="GU67">
        <f>IF(AND(ISNUMBER(GT67),逐级计算!$X$202&gt;-1),IF(逐级计算!$X$202=0,GT67+逐级计算!$C$202,GT67+逐级计算!$C$202-(10/(逐级计算!$Q$202*LN(10))*(MAX((LN(10^(逐级计算!$Q$202/10)-1)+逐级计算!$Q$202*(GT67-逐级计算!$P$202)*LN(10)/10),0)+LN(1+EXP(-ABS((LN(10^(逐级计算!$Q$202/10)-1)+逐级计算!$Q$202*(GT67-逐级计算!$P$202)*LN(10)/10))))))),"")</f>
        <v>13.7930365742089</v>
      </c>
      <c r="GV67">
        <f>IF(AND(ISNUMBER(GU67),逐级计算!$X$203&gt;-1),IF(逐级计算!$X$203=0,GU67+逐级计算!$C$203,GU67+逐级计算!$C$203-(10/(逐级计算!$Q$203*LN(10))*(MAX((LN(10^(逐级计算!$Q$203/10)-1)+逐级计算!$Q$203*(GU67-逐级计算!$P$203)*LN(10)/10),0)+LN(1+EXP(-ABS((LN(10^(逐级计算!$Q$203/10)-1)+逐级计算!$Q$203*(GU67-逐级计算!$P$203)*LN(10)/10))))))),"")</f>
        <v>13.7930365742089</v>
      </c>
      <c r="GW67">
        <f t="shared" si="2"/>
        <v>-5.20696342579112</v>
      </c>
    </row>
    <row r="68" spans="1:205">
      <c r="A68">
        <v>61</v>
      </c>
      <c r="B68">
        <f t="shared" si="1"/>
        <v>-5.20696342579112</v>
      </c>
      <c r="C68">
        <f t="shared" si="0"/>
        <v>-5.20696342579112</v>
      </c>
      <c r="D68">
        <f>IF(AND(ISNUMBER(C68),ISNUMBER(逐级计算!$E$203),ISNUMBER(GV68)),C68+逐级计算!$E$203-GV68,"")</f>
        <v>1</v>
      </c>
      <c r="E68">
        <f>IF(AND(ISNUMBER(C68),逐级计算!$X$4&gt;-1),IF(逐级计算!$X$4=0,C68+逐级计算!$C$4,C68+逐级计算!$C$4-(10/(逐级计算!$Q$4*LN(10))*(MAX((LN(10^(逐级计算!$Q$4/10)-1)+逐级计算!$Q$4*(C68-逐级计算!$P$4)*LN(10)/10),0)+LN(1+EXP(-ABS((LN(10^(逐级计算!$Q$4/10)-1)+逐级计算!$Q$4*(C68-逐级计算!$P$4)*LN(10)/10))))))),"")</f>
        <v>4.68053982928311</v>
      </c>
      <c r="F68">
        <f>IF(AND(ISNUMBER(E68),逐级计算!$X$5&gt;-1),IF(逐级计算!$X$5=0,E68+逐级计算!$C$5,E68+逐级计算!$C$5-(10/(逐级计算!$Q$5*LN(10))*(MAX((LN(10^(逐级计算!$Q$5/10)-1)+逐级计算!$Q$5*(E68-逐级计算!$P$5)*LN(10)/10),0)+LN(1+EXP(-ABS((LN(10^(逐级计算!$Q$5/10)-1)+逐级计算!$Q$5*(E68-逐级计算!$P$5)*LN(10)/10))))))),"")</f>
        <v>13.7930365742089</v>
      </c>
      <c r="G68">
        <f>IF(AND(ISNUMBER(F68),逐级计算!$X$6&gt;-1),IF(逐级计算!$X$6=0,F68+逐级计算!$C$6,F68+逐级计算!$C$6-(10/(逐级计算!$Q$6*LN(10))*(MAX((LN(10^(逐级计算!$Q$6/10)-1)+逐级计算!$Q$6*(F68-逐级计算!$P$6)*LN(10)/10),0)+LN(1+EXP(-ABS((LN(10^(逐级计算!$Q$6/10)-1)+逐级计算!$Q$6*(F68-逐级计算!$P$6)*LN(10)/10))))))),"")</f>
        <v>13.7930365742089</v>
      </c>
      <c r="H68">
        <f>IF(AND(ISNUMBER(G68),逐级计算!$X$7&gt;-1),IF(逐级计算!$X$7=0,G68+逐级计算!$C$7,G68+逐级计算!$C$7-(10/(逐级计算!$Q$7*LN(10))*(MAX((LN(10^(逐级计算!$Q$7/10)-1)+逐级计算!$Q$7*(G68-逐级计算!$P$7)*LN(10)/10),0)+LN(1+EXP(-ABS((LN(10^(逐级计算!$Q$7/10)-1)+逐级计算!$Q$7*(G68-逐级计算!$P$7)*LN(10)/10))))))),"")</f>
        <v>13.7930365742089</v>
      </c>
      <c r="I68">
        <f>IF(AND(ISNUMBER(H68),逐级计算!$X$8&gt;-1),IF(逐级计算!$X$8=0,H68+逐级计算!$C$8,H68+逐级计算!$C$8-(10/(逐级计算!$Q$8*LN(10))*(MAX((LN(10^(逐级计算!$Q$8/10)-1)+逐级计算!$Q$8*(H68-逐级计算!$P$8)*LN(10)/10),0)+LN(1+EXP(-ABS((LN(10^(逐级计算!$Q$8/10)-1)+逐级计算!$Q$8*(H68-逐级计算!$P$8)*LN(10)/10))))))),"")</f>
        <v>13.7930365742089</v>
      </c>
      <c r="J68">
        <f>IF(AND(ISNUMBER(I68),逐级计算!$X$9&gt;-1),IF(逐级计算!$X$9=0,I68+逐级计算!$C$9,I68+逐级计算!$C$9-(10/(逐级计算!$Q$9*LN(10))*(MAX((LN(10^(逐级计算!$Q$9/10)-1)+逐级计算!$Q$9*(I68-逐级计算!$P$9)*LN(10)/10),0)+LN(1+EXP(-ABS((LN(10^(逐级计算!$Q$9/10)-1)+逐级计算!$Q$9*(I68-逐级计算!$P$9)*LN(10)/10))))))),"")</f>
        <v>13.7930365742089</v>
      </c>
      <c r="K68">
        <f>IF(AND(ISNUMBER(J68),逐级计算!$X$10&gt;-1),IF(逐级计算!$X$10=0,J68+逐级计算!$C$10,J68+逐级计算!$C$10-(10/(逐级计算!$Q$10*LN(10))*(MAX((LN(10^(逐级计算!$Q$10/10)-1)+逐级计算!$Q$10*(J68-逐级计算!$P$10)*LN(10)/10),0)+LN(1+EXP(-ABS((LN(10^(逐级计算!$Q$10/10)-1)+逐级计算!$Q$10*(J68-逐级计算!$P$10)*LN(10)/10))))))),"")</f>
        <v>13.7930365742089</v>
      </c>
      <c r="L68">
        <f>IF(AND(ISNUMBER(K68),逐级计算!$X$11&gt;-1),IF(逐级计算!$X$11=0,K68+逐级计算!$C$11,K68+逐级计算!$C$11-(10/(逐级计算!$Q$11*LN(10))*(MAX((LN(10^(逐级计算!$Q$11/10)-1)+逐级计算!$Q$11*(K68-逐级计算!$P$11)*LN(10)/10),0)+LN(1+EXP(-ABS((LN(10^(逐级计算!$Q$11/10)-1)+逐级计算!$Q$11*(K68-逐级计算!$P$11)*LN(10)/10))))))),"")</f>
        <v>13.7930365742089</v>
      </c>
      <c r="M68">
        <f>IF(AND(ISNUMBER(L68),逐级计算!$X$12&gt;-1),IF(逐级计算!$X$12=0,L68+逐级计算!$C$12,L68+逐级计算!$C$12-(10/(逐级计算!$Q$12*LN(10))*(MAX((LN(10^(逐级计算!$Q$12/10)-1)+逐级计算!$Q$12*(L68-逐级计算!$P$12)*LN(10)/10),0)+LN(1+EXP(-ABS((LN(10^(逐级计算!$Q$12/10)-1)+逐级计算!$Q$12*(L68-逐级计算!$P$12)*LN(10)/10))))))),"")</f>
        <v>13.7930365742089</v>
      </c>
      <c r="N68">
        <f>IF(AND(ISNUMBER(M68),逐级计算!$X$13&gt;-1),IF(逐级计算!$X$13=0,M68+逐级计算!$C$13,M68+逐级计算!$C$13-(10/(逐级计算!$Q$13*LN(10))*(MAX((LN(10^(逐级计算!$Q$13/10)-1)+逐级计算!$Q$13*(M68-逐级计算!$P$13)*LN(10)/10),0)+LN(1+EXP(-ABS((LN(10^(逐级计算!$Q$13/10)-1)+逐级计算!$Q$13*(M68-逐级计算!$P$13)*LN(10)/10))))))),"")</f>
        <v>13.7930365742089</v>
      </c>
      <c r="O68">
        <f>IF(AND(ISNUMBER(N68),逐级计算!$X$14&gt;-1),IF(逐级计算!$X$14=0,N68+逐级计算!$C$14,N68+逐级计算!$C$14-(10/(逐级计算!$Q$14*LN(10))*(MAX((LN(10^(逐级计算!$Q$14/10)-1)+逐级计算!$Q$14*(N68-逐级计算!$P$14)*LN(10)/10),0)+LN(1+EXP(-ABS((LN(10^(逐级计算!$Q$14/10)-1)+逐级计算!$Q$14*(N68-逐级计算!$P$14)*LN(10)/10))))))),"")</f>
        <v>13.7930365742089</v>
      </c>
      <c r="P68">
        <f>IF(AND(ISNUMBER(O68),逐级计算!$X$15&gt;-1),IF(逐级计算!$X$15=0,O68+逐级计算!$C$15,O68+逐级计算!$C$15-(10/(逐级计算!$Q$15*LN(10))*(MAX((LN(10^(逐级计算!$Q$15/10)-1)+逐级计算!$Q$15*(O68-逐级计算!$P$15)*LN(10)/10),0)+LN(1+EXP(-ABS((LN(10^(逐级计算!$Q$15/10)-1)+逐级计算!$Q$15*(O68-逐级计算!$P$15)*LN(10)/10))))))),"")</f>
        <v>13.7930365742089</v>
      </c>
      <c r="Q68">
        <f>IF(AND(ISNUMBER(P68),逐级计算!$X$16&gt;-1),IF(逐级计算!$X$16=0,P68+逐级计算!$C$16,P68+逐级计算!$C$16-(10/(逐级计算!$Q$16*LN(10))*(MAX((LN(10^(逐级计算!$Q$16/10)-1)+逐级计算!$Q$16*(P68-逐级计算!$P$16)*LN(10)/10),0)+LN(1+EXP(-ABS((LN(10^(逐级计算!$Q$16/10)-1)+逐级计算!$Q$16*(P68-逐级计算!$P$16)*LN(10)/10))))))),"")</f>
        <v>13.7930365742089</v>
      </c>
      <c r="R68">
        <f>IF(AND(ISNUMBER(Q68),逐级计算!$X$17&gt;-1),IF(逐级计算!$X$17=0,Q68+逐级计算!$C$17,Q68+逐级计算!$C$17-(10/(逐级计算!$Q$17*LN(10))*(MAX((LN(10^(逐级计算!$Q$17/10)-1)+逐级计算!$Q$17*(Q68-逐级计算!$P$17)*LN(10)/10),0)+LN(1+EXP(-ABS((LN(10^(逐级计算!$Q$17/10)-1)+逐级计算!$Q$17*(Q68-逐级计算!$P$17)*LN(10)/10))))))),"")</f>
        <v>13.7930365742089</v>
      </c>
      <c r="S68">
        <f>IF(AND(ISNUMBER(R68),逐级计算!$X$18&gt;-1),IF(逐级计算!$X$18=0,R68+逐级计算!$C$18,R68+逐级计算!$C$18-(10/(逐级计算!$Q$18*LN(10))*(MAX((LN(10^(逐级计算!$Q$18/10)-1)+逐级计算!$Q$18*(R68-逐级计算!$P$18)*LN(10)/10),0)+LN(1+EXP(-ABS((LN(10^(逐级计算!$Q$18/10)-1)+逐级计算!$Q$18*(R68-逐级计算!$P$18)*LN(10)/10))))))),"")</f>
        <v>13.7930365742089</v>
      </c>
      <c r="T68">
        <f>IF(AND(ISNUMBER(S68),逐级计算!$X$19&gt;-1),IF(逐级计算!$X$19=0,S68+逐级计算!$C$19,S68+逐级计算!$C$19-(10/(逐级计算!$Q$19*LN(10))*(MAX((LN(10^(逐级计算!$Q$19/10)-1)+逐级计算!$Q$19*(S68-逐级计算!$P$19)*LN(10)/10),0)+LN(1+EXP(-ABS((LN(10^(逐级计算!$Q$19/10)-1)+逐级计算!$Q$19*(S68-逐级计算!$P$19)*LN(10)/10))))))),"")</f>
        <v>13.7930365742089</v>
      </c>
      <c r="U68">
        <f>IF(AND(ISNUMBER(T68),逐级计算!$X$20&gt;-1),IF(逐级计算!$X$20=0,T68+逐级计算!$C$20,T68+逐级计算!$C$20-(10/(逐级计算!$Q$20*LN(10))*(MAX((LN(10^(逐级计算!$Q$20/10)-1)+逐级计算!$Q$20*(T68-逐级计算!$P$20)*LN(10)/10),0)+LN(1+EXP(-ABS((LN(10^(逐级计算!$Q$20/10)-1)+逐级计算!$Q$20*(T68-逐级计算!$P$20)*LN(10)/10))))))),"")</f>
        <v>13.7930365742089</v>
      </c>
      <c r="V68">
        <f>IF(AND(ISNUMBER(U68),逐级计算!$X$21&gt;-1),IF(逐级计算!$X$21=0,U68+逐级计算!$C$21,U68+逐级计算!$C$21-(10/(逐级计算!$Q$21*LN(10))*(MAX((LN(10^(逐级计算!$Q$21/10)-1)+逐级计算!$Q$21*(U68-逐级计算!$P$21)*LN(10)/10),0)+LN(1+EXP(-ABS((LN(10^(逐级计算!$Q$21/10)-1)+逐级计算!$Q$21*(U68-逐级计算!$P$21)*LN(10)/10))))))),"")</f>
        <v>13.7930365742089</v>
      </c>
      <c r="W68">
        <f>IF(AND(ISNUMBER(V68),逐级计算!$X$22&gt;-1),IF(逐级计算!$X$22=0,V68+逐级计算!$C$22,V68+逐级计算!$C$22-(10/(逐级计算!$Q$22*LN(10))*(MAX((LN(10^(逐级计算!$Q$22/10)-1)+逐级计算!$Q$22*(V68-逐级计算!$P$22)*LN(10)/10),0)+LN(1+EXP(-ABS((LN(10^(逐级计算!$Q$22/10)-1)+逐级计算!$Q$22*(V68-逐级计算!$P$22)*LN(10)/10))))))),"")</f>
        <v>13.7930365742089</v>
      </c>
      <c r="X68">
        <f>IF(AND(ISNUMBER(W68),逐级计算!$X$23&gt;-1),IF(逐级计算!$X$23=0,W68+逐级计算!$C$23,W68+逐级计算!$C$23-(10/(逐级计算!$Q$23*LN(10))*(MAX((LN(10^(逐级计算!$Q$23/10)-1)+逐级计算!$Q$23*(W68-逐级计算!$P$23)*LN(10)/10),0)+LN(1+EXP(-ABS((LN(10^(逐级计算!$Q$23/10)-1)+逐级计算!$Q$23*(W68-逐级计算!$P$23)*LN(10)/10))))))),"")</f>
        <v>13.7930365742089</v>
      </c>
      <c r="Y68">
        <f>IF(AND(ISNUMBER(X68),逐级计算!$X$24&gt;-1),IF(逐级计算!$X$24=0,X68+逐级计算!$C$24,X68+逐级计算!$C$24-(10/(逐级计算!$Q$24*LN(10))*(MAX((LN(10^(逐级计算!$Q$24/10)-1)+逐级计算!$Q$24*(X68-逐级计算!$P$24)*LN(10)/10),0)+LN(1+EXP(-ABS((LN(10^(逐级计算!$Q$24/10)-1)+逐级计算!$Q$24*(X68-逐级计算!$P$24)*LN(10)/10))))))),"")</f>
        <v>13.7930365742089</v>
      </c>
      <c r="Z68">
        <f>IF(AND(ISNUMBER(Y68),逐级计算!$X$25&gt;-1),IF(逐级计算!$X$25=0,Y68+逐级计算!$C$25,Y68+逐级计算!$C$25-(10/(逐级计算!$Q$25*LN(10))*(MAX((LN(10^(逐级计算!$Q$25/10)-1)+逐级计算!$Q$25*(Y68-逐级计算!$P$25)*LN(10)/10),0)+LN(1+EXP(-ABS((LN(10^(逐级计算!$Q$25/10)-1)+逐级计算!$Q$25*(Y68-逐级计算!$P$25)*LN(10)/10))))))),"")</f>
        <v>13.7930365742089</v>
      </c>
      <c r="AA68">
        <f>IF(AND(ISNUMBER(Z68),逐级计算!$X$26&gt;-1),IF(逐级计算!$X$26=0,Z68+逐级计算!$C$26,Z68+逐级计算!$C$26-(10/(逐级计算!$Q$26*LN(10))*(MAX((LN(10^(逐级计算!$Q$26/10)-1)+逐级计算!$Q$26*(Z68-逐级计算!$P$26)*LN(10)/10),0)+LN(1+EXP(-ABS((LN(10^(逐级计算!$Q$26/10)-1)+逐级计算!$Q$26*(Z68-逐级计算!$P$26)*LN(10)/10))))))),"")</f>
        <v>13.7930365742089</v>
      </c>
      <c r="AB68">
        <f>IF(AND(ISNUMBER(AA68),逐级计算!$X$27&gt;-1),IF(逐级计算!$X$27=0,AA68+逐级计算!$C$27,AA68+逐级计算!$C$27-(10/(逐级计算!$Q$27*LN(10))*(MAX((LN(10^(逐级计算!$Q$27/10)-1)+逐级计算!$Q$27*(AA68-逐级计算!$P$27)*LN(10)/10),0)+LN(1+EXP(-ABS((LN(10^(逐级计算!$Q$27/10)-1)+逐级计算!$Q$27*(AA68-逐级计算!$P$27)*LN(10)/10))))))),"")</f>
        <v>13.7930365742089</v>
      </c>
      <c r="AC68">
        <f>IF(AND(ISNUMBER(AB68),逐级计算!$X$28&gt;-1),IF(逐级计算!$X$28=0,AB68+逐级计算!$C$28,AB68+逐级计算!$C$28-(10/(逐级计算!$Q$28*LN(10))*(MAX((LN(10^(逐级计算!$Q$28/10)-1)+逐级计算!$Q$28*(AB68-逐级计算!$P$28)*LN(10)/10),0)+LN(1+EXP(-ABS((LN(10^(逐级计算!$Q$28/10)-1)+逐级计算!$Q$28*(AB68-逐级计算!$P$28)*LN(10)/10))))))),"")</f>
        <v>13.7930365742089</v>
      </c>
      <c r="AD68">
        <f>IF(AND(ISNUMBER(AC68),逐级计算!$X$29&gt;-1),IF(逐级计算!$X$29=0,AC68+逐级计算!$C$29,AC68+逐级计算!$C$29-(10/(逐级计算!$Q$29*LN(10))*(MAX((LN(10^(逐级计算!$Q$29/10)-1)+逐级计算!$Q$29*(AC68-逐级计算!$P$29)*LN(10)/10),0)+LN(1+EXP(-ABS((LN(10^(逐级计算!$Q$29/10)-1)+逐级计算!$Q$29*(AC68-逐级计算!$P$29)*LN(10)/10))))))),"")</f>
        <v>13.7930365742089</v>
      </c>
      <c r="AE68">
        <f>IF(AND(ISNUMBER(AD68),逐级计算!$X$30&gt;-1),IF(逐级计算!$X$30=0,AD68+逐级计算!$C$30,AD68+逐级计算!$C$30-(10/(逐级计算!$Q$30*LN(10))*(MAX((LN(10^(逐级计算!$Q$30/10)-1)+逐级计算!$Q$30*(AD68-逐级计算!$P$30)*LN(10)/10),0)+LN(1+EXP(-ABS((LN(10^(逐级计算!$Q$30/10)-1)+逐级计算!$Q$30*(AD68-逐级计算!$P$30)*LN(10)/10))))))),"")</f>
        <v>13.7930365742089</v>
      </c>
      <c r="AF68">
        <f>IF(AND(ISNUMBER(AE68),逐级计算!$X$31&gt;-1),IF(逐级计算!$X$31=0,AE68+逐级计算!$C$31,AE68+逐级计算!$C$31-(10/(逐级计算!$Q$31*LN(10))*(MAX((LN(10^(逐级计算!$Q$31/10)-1)+逐级计算!$Q$31*(AE68-逐级计算!$P$31)*LN(10)/10),0)+LN(1+EXP(-ABS((LN(10^(逐级计算!$Q$31/10)-1)+逐级计算!$Q$31*(AE68-逐级计算!$P$31)*LN(10)/10))))))),"")</f>
        <v>13.7930365742089</v>
      </c>
      <c r="AG68">
        <f>IF(AND(ISNUMBER(AF68),逐级计算!$X$32&gt;-1),IF(逐级计算!$X$32=0,AF68+逐级计算!$C$32,AF68+逐级计算!$C$32-(10/(逐级计算!$Q$32*LN(10))*(MAX((LN(10^(逐级计算!$Q$32/10)-1)+逐级计算!$Q$32*(AF68-逐级计算!$P$32)*LN(10)/10),0)+LN(1+EXP(-ABS((LN(10^(逐级计算!$Q$32/10)-1)+逐级计算!$Q$32*(AF68-逐级计算!$P$32)*LN(10)/10))))))),"")</f>
        <v>13.7930365742089</v>
      </c>
      <c r="AH68">
        <f>IF(AND(ISNUMBER(AG68),逐级计算!$X$33&gt;-1),IF(逐级计算!$X$33=0,AG68+逐级计算!$C$33,AG68+逐级计算!$C$33-(10/(逐级计算!$Q$33*LN(10))*(MAX((LN(10^(逐级计算!$Q$33/10)-1)+逐级计算!$Q$33*(AG68-逐级计算!$P$33)*LN(10)/10),0)+LN(1+EXP(-ABS((LN(10^(逐级计算!$Q$33/10)-1)+逐级计算!$Q$33*(AG68-逐级计算!$P$33)*LN(10)/10))))))),"")</f>
        <v>13.7930365742089</v>
      </c>
      <c r="AI68">
        <f>IF(AND(ISNUMBER(AH68),逐级计算!$X$34&gt;-1),IF(逐级计算!$X$34=0,AH68+逐级计算!$C$34,AH68+逐级计算!$C$34-(10/(逐级计算!$Q$34*LN(10))*(MAX((LN(10^(逐级计算!$Q$34/10)-1)+逐级计算!$Q$34*(AH68-逐级计算!$P$34)*LN(10)/10),0)+LN(1+EXP(-ABS((LN(10^(逐级计算!$Q$34/10)-1)+逐级计算!$Q$34*(AH68-逐级计算!$P$34)*LN(10)/10))))))),"")</f>
        <v>13.7930365742089</v>
      </c>
      <c r="AJ68">
        <f>IF(AND(ISNUMBER(AI68),逐级计算!$X$35&gt;-1),IF(逐级计算!$X$35=0,AI68+逐级计算!$C$35,AI68+逐级计算!$C$35-(10/(逐级计算!$Q$35*LN(10))*(MAX((LN(10^(逐级计算!$Q$35/10)-1)+逐级计算!$Q$35*(AI68-逐级计算!$P$35)*LN(10)/10),0)+LN(1+EXP(-ABS((LN(10^(逐级计算!$Q$35/10)-1)+逐级计算!$Q$35*(AI68-逐级计算!$P$35)*LN(10)/10))))))),"")</f>
        <v>13.7930365742089</v>
      </c>
      <c r="AK68">
        <f>IF(AND(ISNUMBER(AJ68),逐级计算!$X$36&gt;-1),IF(逐级计算!$X$36=0,AJ68+逐级计算!$C$36,AJ68+逐级计算!$C$36-(10/(逐级计算!$Q$36*LN(10))*(MAX((LN(10^(逐级计算!$Q$36/10)-1)+逐级计算!$Q$36*(AJ68-逐级计算!$P$36)*LN(10)/10),0)+LN(1+EXP(-ABS((LN(10^(逐级计算!$Q$36/10)-1)+逐级计算!$Q$36*(AJ68-逐级计算!$P$36)*LN(10)/10))))))),"")</f>
        <v>13.7930365742089</v>
      </c>
      <c r="AL68">
        <f>IF(AND(ISNUMBER(AK68),逐级计算!$X$37&gt;-1),IF(逐级计算!$X$37=0,AK68+逐级计算!$C$37,AK68+逐级计算!$C$37-(10/(逐级计算!$Q$37*LN(10))*(MAX((LN(10^(逐级计算!$Q$37/10)-1)+逐级计算!$Q$37*(AK68-逐级计算!$P$37)*LN(10)/10),0)+LN(1+EXP(-ABS((LN(10^(逐级计算!$Q$37/10)-1)+逐级计算!$Q$37*(AK68-逐级计算!$P$37)*LN(10)/10))))))),"")</f>
        <v>13.7930365742089</v>
      </c>
      <c r="AM68">
        <f>IF(AND(ISNUMBER(AL68),逐级计算!$X$38&gt;-1),IF(逐级计算!$X$38=0,AL68+逐级计算!$C$38,AL68+逐级计算!$C$38-(10/(逐级计算!$Q$38*LN(10))*(MAX((LN(10^(逐级计算!$Q$38/10)-1)+逐级计算!$Q$38*(AL68-逐级计算!$P$38)*LN(10)/10),0)+LN(1+EXP(-ABS((LN(10^(逐级计算!$Q$38/10)-1)+逐级计算!$Q$38*(AL68-逐级计算!$P$38)*LN(10)/10))))))),"")</f>
        <v>13.7930365742089</v>
      </c>
      <c r="AN68">
        <f>IF(AND(ISNUMBER(AM68),逐级计算!$X$39&gt;-1),IF(逐级计算!$X$39=0,AM68+逐级计算!$C$39,AM68+逐级计算!$C$39-(10/(逐级计算!$Q$39*LN(10))*(MAX((LN(10^(逐级计算!$Q$39/10)-1)+逐级计算!$Q$39*(AM68-逐级计算!$P$39)*LN(10)/10),0)+LN(1+EXP(-ABS((LN(10^(逐级计算!$Q$39/10)-1)+逐级计算!$Q$39*(AM68-逐级计算!$P$39)*LN(10)/10))))))),"")</f>
        <v>13.7930365742089</v>
      </c>
      <c r="AO68">
        <f>IF(AND(ISNUMBER(AN68),逐级计算!$X$40&gt;-1),IF(逐级计算!$X$40=0,AN68+逐级计算!$C$40,AN68+逐级计算!$C$40-(10/(逐级计算!$Q$40*LN(10))*(MAX((LN(10^(逐级计算!$Q$40/10)-1)+逐级计算!$Q$40*(AN68-逐级计算!$P$40)*LN(10)/10),0)+LN(1+EXP(-ABS((LN(10^(逐级计算!$Q$40/10)-1)+逐级计算!$Q$40*(AN68-逐级计算!$P$40)*LN(10)/10))))))),"")</f>
        <v>13.7930365742089</v>
      </c>
      <c r="AP68">
        <f>IF(AND(ISNUMBER(AO68),逐级计算!$X$41&gt;-1),IF(逐级计算!$X$41=0,AO68+逐级计算!$C$41,AO68+逐级计算!$C$41-(10/(逐级计算!$Q$41*LN(10))*(MAX((LN(10^(逐级计算!$Q$41/10)-1)+逐级计算!$Q$41*(AO68-逐级计算!$P$41)*LN(10)/10),0)+LN(1+EXP(-ABS((LN(10^(逐级计算!$Q$41/10)-1)+逐级计算!$Q$41*(AO68-逐级计算!$P$41)*LN(10)/10))))))),"")</f>
        <v>13.7930365742089</v>
      </c>
      <c r="AQ68">
        <f>IF(AND(ISNUMBER(AP68),逐级计算!$X$42&gt;-1),IF(逐级计算!$X$42=0,AP68+逐级计算!$C$42,AP68+逐级计算!$C$42-(10/(逐级计算!$Q$42*LN(10))*(MAX((LN(10^(逐级计算!$Q$42/10)-1)+逐级计算!$Q$42*(AP68-逐级计算!$P$42)*LN(10)/10),0)+LN(1+EXP(-ABS((LN(10^(逐级计算!$Q$42/10)-1)+逐级计算!$Q$42*(AP68-逐级计算!$P$42)*LN(10)/10))))))),"")</f>
        <v>13.7930365742089</v>
      </c>
      <c r="AR68">
        <f>IF(AND(ISNUMBER(AQ68),逐级计算!$X$43&gt;-1),IF(逐级计算!$X$43=0,AQ68+逐级计算!$C$43,AQ68+逐级计算!$C$43-(10/(逐级计算!$Q$43*LN(10))*(MAX((LN(10^(逐级计算!$Q$43/10)-1)+逐级计算!$Q$43*(AQ68-逐级计算!$P$43)*LN(10)/10),0)+LN(1+EXP(-ABS((LN(10^(逐级计算!$Q$43/10)-1)+逐级计算!$Q$43*(AQ68-逐级计算!$P$43)*LN(10)/10))))))),"")</f>
        <v>13.7930365742089</v>
      </c>
      <c r="AS68">
        <f>IF(AND(ISNUMBER(AR68),逐级计算!$X$44&gt;-1),IF(逐级计算!$X$44=0,AR68+逐级计算!$C$44,AR68+逐级计算!$C$44-(10/(逐级计算!$Q$44*LN(10))*(MAX((LN(10^(逐级计算!$Q$44/10)-1)+逐级计算!$Q$44*(AR68-逐级计算!$P$44)*LN(10)/10),0)+LN(1+EXP(-ABS((LN(10^(逐级计算!$Q$44/10)-1)+逐级计算!$Q$44*(AR68-逐级计算!$P$44)*LN(10)/10))))))),"")</f>
        <v>13.7930365742089</v>
      </c>
      <c r="AT68">
        <f>IF(AND(ISNUMBER(AS68),逐级计算!$X$45&gt;-1),IF(逐级计算!$X$45=0,AS68+逐级计算!$C$45,AS68+逐级计算!$C$45-(10/(逐级计算!$Q$45*LN(10))*(MAX((LN(10^(逐级计算!$Q$45/10)-1)+逐级计算!$Q$45*(AS68-逐级计算!$P$45)*LN(10)/10),0)+LN(1+EXP(-ABS((LN(10^(逐级计算!$Q$45/10)-1)+逐级计算!$Q$45*(AS68-逐级计算!$P$45)*LN(10)/10))))))),"")</f>
        <v>13.7930365742089</v>
      </c>
      <c r="AU68">
        <f>IF(AND(ISNUMBER(AT68),逐级计算!$X$46&gt;-1),IF(逐级计算!$X$46=0,AT68+逐级计算!$C$46,AT68+逐级计算!$C$46-(10/(逐级计算!$Q$46*LN(10))*(MAX((LN(10^(逐级计算!$Q$46/10)-1)+逐级计算!$Q$46*(AT68-逐级计算!$P$46)*LN(10)/10),0)+LN(1+EXP(-ABS((LN(10^(逐级计算!$Q$46/10)-1)+逐级计算!$Q$46*(AT68-逐级计算!$P$46)*LN(10)/10))))))),"")</f>
        <v>13.7930365742089</v>
      </c>
      <c r="AV68">
        <f>IF(AND(ISNUMBER(AU68),逐级计算!$X$47&gt;-1),IF(逐级计算!$X$47=0,AU68+逐级计算!$C$47,AU68+逐级计算!$C$47-(10/(逐级计算!$Q$47*LN(10))*(MAX((LN(10^(逐级计算!$Q$47/10)-1)+逐级计算!$Q$47*(AU68-逐级计算!$P$47)*LN(10)/10),0)+LN(1+EXP(-ABS((LN(10^(逐级计算!$Q$47/10)-1)+逐级计算!$Q$47*(AU68-逐级计算!$P$47)*LN(10)/10))))))),"")</f>
        <v>13.7930365742089</v>
      </c>
      <c r="AW68">
        <f>IF(AND(ISNUMBER(AV68),逐级计算!$X$48&gt;-1),IF(逐级计算!$X$48=0,AV68+逐级计算!$C$48,AV68+逐级计算!$C$48-(10/(逐级计算!$Q$48*LN(10))*(MAX((LN(10^(逐级计算!$Q$48/10)-1)+逐级计算!$Q$48*(AV68-逐级计算!$P$48)*LN(10)/10),0)+LN(1+EXP(-ABS((LN(10^(逐级计算!$Q$48/10)-1)+逐级计算!$Q$48*(AV68-逐级计算!$P$48)*LN(10)/10))))))),"")</f>
        <v>13.7930365742089</v>
      </c>
      <c r="AX68">
        <f>IF(AND(ISNUMBER(AW68),逐级计算!$X$49&gt;-1),IF(逐级计算!$X$49=0,AW68+逐级计算!$C$49,AW68+逐级计算!$C$49-(10/(逐级计算!$Q$49*LN(10))*(MAX((LN(10^(逐级计算!$Q$49/10)-1)+逐级计算!$Q$49*(AW68-逐级计算!$P$49)*LN(10)/10),0)+LN(1+EXP(-ABS((LN(10^(逐级计算!$Q$49/10)-1)+逐级计算!$Q$49*(AW68-逐级计算!$P$49)*LN(10)/10))))))),"")</f>
        <v>13.7930365742089</v>
      </c>
      <c r="AY68">
        <f>IF(AND(ISNUMBER(AX68),逐级计算!$X$50&gt;-1),IF(逐级计算!$X$50=0,AX68+逐级计算!$C$50,AX68+逐级计算!$C$50-(10/(逐级计算!$Q$50*LN(10))*(MAX((LN(10^(逐级计算!$Q$50/10)-1)+逐级计算!$Q$50*(AX68-逐级计算!$P$50)*LN(10)/10),0)+LN(1+EXP(-ABS((LN(10^(逐级计算!$Q$50/10)-1)+逐级计算!$Q$50*(AX68-逐级计算!$P$50)*LN(10)/10))))))),"")</f>
        <v>13.7930365742089</v>
      </c>
      <c r="AZ68">
        <f>IF(AND(ISNUMBER(AY68),逐级计算!$X$51&gt;-1),IF(逐级计算!$X$51=0,AY68+逐级计算!$C$51,AY68+逐级计算!$C$51-(10/(逐级计算!$Q$51*LN(10))*(MAX((LN(10^(逐级计算!$Q$51/10)-1)+逐级计算!$Q$51*(AY68-逐级计算!$P$51)*LN(10)/10),0)+LN(1+EXP(-ABS((LN(10^(逐级计算!$Q$51/10)-1)+逐级计算!$Q$51*(AY68-逐级计算!$P$51)*LN(10)/10))))))),"")</f>
        <v>13.7930365742089</v>
      </c>
      <c r="BA68">
        <f>IF(AND(ISNUMBER(AZ68),逐级计算!$X$52&gt;-1),IF(逐级计算!$X$52=0,AZ68+逐级计算!$C$52,AZ68+逐级计算!$C$52-(10/(逐级计算!$Q$52*LN(10))*(MAX((LN(10^(逐级计算!$Q$52/10)-1)+逐级计算!$Q$52*(AZ68-逐级计算!$P$52)*LN(10)/10),0)+LN(1+EXP(-ABS((LN(10^(逐级计算!$Q$52/10)-1)+逐级计算!$Q$52*(AZ68-逐级计算!$P$52)*LN(10)/10))))))),"")</f>
        <v>13.7930365742089</v>
      </c>
      <c r="BB68">
        <f>IF(AND(ISNUMBER(BA68),逐级计算!$X$53&gt;-1),IF(逐级计算!$X$53=0,BA68+逐级计算!$C$53,BA68+逐级计算!$C$53-(10/(逐级计算!$Q$53*LN(10))*(MAX((LN(10^(逐级计算!$Q$53/10)-1)+逐级计算!$Q$53*(BA68-逐级计算!$P$53)*LN(10)/10),0)+LN(1+EXP(-ABS((LN(10^(逐级计算!$Q$53/10)-1)+逐级计算!$Q$53*(BA68-逐级计算!$P$53)*LN(10)/10))))))),"")</f>
        <v>13.7930365742089</v>
      </c>
      <c r="BC68">
        <f>IF(AND(ISNUMBER(BB68),逐级计算!$X$54&gt;-1),IF(逐级计算!$X$54=0,BB68+逐级计算!$C$54,BB68+逐级计算!$C$54-(10/(逐级计算!$Q$54*LN(10))*(MAX((LN(10^(逐级计算!$Q$54/10)-1)+逐级计算!$Q$54*(BB68-逐级计算!$P$54)*LN(10)/10),0)+LN(1+EXP(-ABS((LN(10^(逐级计算!$Q$54/10)-1)+逐级计算!$Q$54*(BB68-逐级计算!$P$54)*LN(10)/10))))))),"")</f>
        <v>13.7930365742089</v>
      </c>
      <c r="BD68">
        <f>IF(AND(ISNUMBER(BC68),逐级计算!$X$55&gt;-1),IF(逐级计算!$X$55=0,BC68+逐级计算!$C$55,BC68+逐级计算!$C$55-(10/(逐级计算!$Q$55*LN(10))*(MAX((LN(10^(逐级计算!$Q$55/10)-1)+逐级计算!$Q$55*(BC68-逐级计算!$P$55)*LN(10)/10),0)+LN(1+EXP(-ABS((LN(10^(逐级计算!$Q$55/10)-1)+逐级计算!$Q$55*(BC68-逐级计算!$P$55)*LN(10)/10))))))),"")</f>
        <v>13.7930365742089</v>
      </c>
      <c r="BE68">
        <f>IF(AND(ISNUMBER(BD68),逐级计算!$X$56&gt;-1),IF(逐级计算!$X$56=0,BD68+逐级计算!$C$56,BD68+逐级计算!$C$56-(10/(逐级计算!$Q$56*LN(10))*(MAX((LN(10^(逐级计算!$Q$56/10)-1)+逐级计算!$Q$56*(BD68-逐级计算!$P$56)*LN(10)/10),0)+LN(1+EXP(-ABS((LN(10^(逐级计算!$Q$56/10)-1)+逐级计算!$Q$56*(BD68-逐级计算!$P$56)*LN(10)/10))))))),"")</f>
        <v>13.7930365742089</v>
      </c>
      <c r="BF68">
        <f>IF(AND(ISNUMBER(BE68),逐级计算!$X$57&gt;-1),IF(逐级计算!$X$57=0,BE68+逐级计算!$C$57,BE68+逐级计算!$C$57-(10/(逐级计算!$Q$57*LN(10))*(MAX((LN(10^(逐级计算!$Q$57/10)-1)+逐级计算!$Q$57*(BE68-逐级计算!$P$57)*LN(10)/10),0)+LN(1+EXP(-ABS((LN(10^(逐级计算!$Q$57/10)-1)+逐级计算!$Q$57*(BE68-逐级计算!$P$57)*LN(10)/10))))))),"")</f>
        <v>13.7930365742089</v>
      </c>
      <c r="BG68">
        <f>IF(AND(ISNUMBER(BF68),逐级计算!$X$58&gt;-1),IF(逐级计算!$X$58=0,BF68+逐级计算!$C$58,BF68+逐级计算!$C$58-(10/(逐级计算!$Q$58*LN(10))*(MAX((LN(10^(逐级计算!$Q$58/10)-1)+逐级计算!$Q$58*(BF68-逐级计算!$P$58)*LN(10)/10),0)+LN(1+EXP(-ABS((LN(10^(逐级计算!$Q$58/10)-1)+逐级计算!$Q$58*(BF68-逐级计算!$P$58)*LN(10)/10))))))),"")</f>
        <v>13.7930365742089</v>
      </c>
      <c r="BH68">
        <f>IF(AND(ISNUMBER(BG68),逐级计算!$X$59&gt;-1),IF(逐级计算!$X$59=0,BG68+逐级计算!$C$59,BG68+逐级计算!$C$59-(10/(逐级计算!$Q$59*LN(10))*(MAX((LN(10^(逐级计算!$Q$59/10)-1)+逐级计算!$Q$59*(BG68-逐级计算!$P$59)*LN(10)/10),0)+LN(1+EXP(-ABS((LN(10^(逐级计算!$Q$59/10)-1)+逐级计算!$Q$59*(BG68-逐级计算!$P$59)*LN(10)/10))))))),"")</f>
        <v>13.7930365742089</v>
      </c>
      <c r="BI68">
        <f>IF(AND(ISNUMBER(BH68),逐级计算!$X$60&gt;-1),IF(逐级计算!$X$60=0,BH68+逐级计算!$C$60,BH68+逐级计算!$C$60-(10/(逐级计算!$Q$60*LN(10))*(MAX((LN(10^(逐级计算!$Q$60/10)-1)+逐级计算!$Q$60*(BH68-逐级计算!$P$60)*LN(10)/10),0)+LN(1+EXP(-ABS((LN(10^(逐级计算!$Q$60/10)-1)+逐级计算!$Q$60*(BH68-逐级计算!$P$60)*LN(10)/10))))))),"")</f>
        <v>13.7930365742089</v>
      </c>
      <c r="BJ68">
        <f>IF(AND(ISNUMBER(BI68),逐级计算!$X$61&gt;-1),IF(逐级计算!$X$61=0,BI68+逐级计算!$C$61,BI68+逐级计算!$C$61-(10/(逐级计算!$Q$61*LN(10))*(MAX((LN(10^(逐级计算!$Q$61/10)-1)+逐级计算!$Q$61*(BI68-逐级计算!$P$61)*LN(10)/10),0)+LN(1+EXP(-ABS((LN(10^(逐级计算!$Q$61/10)-1)+逐级计算!$Q$61*(BI68-逐级计算!$P$61)*LN(10)/10))))))),"")</f>
        <v>13.7930365742089</v>
      </c>
      <c r="BK68">
        <f>IF(AND(ISNUMBER(BJ68),逐级计算!$X$62&gt;-1),IF(逐级计算!$X$62=0,BJ68+逐级计算!$C$62,BJ68+逐级计算!$C$62-(10/(逐级计算!$Q$62*LN(10))*(MAX((LN(10^(逐级计算!$Q$62/10)-1)+逐级计算!$Q$62*(BJ68-逐级计算!$P$62)*LN(10)/10),0)+LN(1+EXP(-ABS((LN(10^(逐级计算!$Q$62/10)-1)+逐级计算!$Q$62*(BJ68-逐级计算!$P$62)*LN(10)/10))))))),"")</f>
        <v>13.7930365742089</v>
      </c>
      <c r="BL68">
        <f>IF(AND(ISNUMBER(BK68),逐级计算!$X$63&gt;-1),IF(逐级计算!$X$63=0,BK68+逐级计算!$C$63,BK68+逐级计算!$C$63-(10/(逐级计算!$Q$63*LN(10))*(MAX((LN(10^(逐级计算!$Q$63/10)-1)+逐级计算!$Q$63*(BK68-逐级计算!$P$63)*LN(10)/10),0)+LN(1+EXP(-ABS((LN(10^(逐级计算!$Q$63/10)-1)+逐级计算!$Q$63*(BK68-逐级计算!$P$63)*LN(10)/10))))))),"")</f>
        <v>13.7930365742089</v>
      </c>
      <c r="BM68">
        <f>IF(AND(ISNUMBER(BL68),逐级计算!$X$64&gt;-1),IF(逐级计算!$X$64=0,BL68+逐级计算!$C$64,BL68+逐级计算!$C$64-(10/(逐级计算!$Q$64*LN(10))*(MAX((LN(10^(逐级计算!$Q$64/10)-1)+逐级计算!$Q$64*(BL68-逐级计算!$P$64)*LN(10)/10),0)+LN(1+EXP(-ABS((LN(10^(逐级计算!$Q$64/10)-1)+逐级计算!$Q$64*(BL68-逐级计算!$P$64)*LN(10)/10))))))),"")</f>
        <v>13.7930365742089</v>
      </c>
      <c r="BN68">
        <f>IF(AND(ISNUMBER(BM68),逐级计算!$X$65&gt;-1),IF(逐级计算!$X$65=0,BM68+逐级计算!$C$65,BM68+逐级计算!$C$65-(10/(逐级计算!$Q$65*LN(10))*(MAX((LN(10^(逐级计算!$Q$65/10)-1)+逐级计算!$Q$65*(BM68-逐级计算!$P$65)*LN(10)/10),0)+LN(1+EXP(-ABS((LN(10^(逐级计算!$Q$65/10)-1)+逐级计算!$Q$65*(BM68-逐级计算!$P$65)*LN(10)/10))))))),"")</f>
        <v>13.7930365742089</v>
      </c>
      <c r="BO68">
        <f>IF(AND(ISNUMBER(BN68),逐级计算!$X$66&gt;-1),IF(逐级计算!$X$66=0,BN68+逐级计算!$C$66,BN68+逐级计算!$C$66-(10/(逐级计算!$Q$66*LN(10))*(MAX((LN(10^(逐级计算!$Q$66/10)-1)+逐级计算!$Q$66*(BN68-逐级计算!$P$66)*LN(10)/10),0)+LN(1+EXP(-ABS((LN(10^(逐级计算!$Q$66/10)-1)+逐级计算!$Q$66*(BN68-逐级计算!$P$66)*LN(10)/10))))))),"")</f>
        <v>13.7930365742089</v>
      </c>
      <c r="BP68">
        <f>IF(AND(ISNUMBER(BO68),逐级计算!$X$67&gt;-1),IF(逐级计算!$X$67=0,BO68+逐级计算!$C$67,BO68+逐级计算!$C$67-(10/(逐级计算!$Q$67*LN(10))*(MAX((LN(10^(逐级计算!$Q$67/10)-1)+逐级计算!$Q$67*(BO68-逐级计算!$P$67)*LN(10)/10),0)+LN(1+EXP(-ABS((LN(10^(逐级计算!$Q$67/10)-1)+逐级计算!$Q$67*(BO68-逐级计算!$P$67)*LN(10)/10))))))),"")</f>
        <v>13.7930365742089</v>
      </c>
      <c r="BQ68">
        <f>IF(AND(ISNUMBER(BP68),逐级计算!$X$68&gt;-1),IF(逐级计算!$X$68=0,BP68+逐级计算!$C$68,BP68+逐级计算!$C$68-(10/(逐级计算!$Q$68*LN(10))*(MAX((LN(10^(逐级计算!$Q$68/10)-1)+逐级计算!$Q$68*(BP68-逐级计算!$P$68)*LN(10)/10),0)+LN(1+EXP(-ABS((LN(10^(逐级计算!$Q$68/10)-1)+逐级计算!$Q$68*(BP68-逐级计算!$P$68)*LN(10)/10))))))),"")</f>
        <v>13.7930365742089</v>
      </c>
      <c r="BR68">
        <f>IF(AND(ISNUMBER(BQ68),逐级计算!$X$69&gt;-1),IF(逐级计算!$X$69=0,BQ68+逐级计算!$C$69,BQ68+逐级计算!$C$69-(10/(逐级计算!$Q$69*LN(10))*(MAX((LN(10^(逐级计算!$Q$69/10)-1)+逐级计算!$Q$69*(BQ68-逐级计算!$P$69)*LN(10)/10),0)+LN(1+EXP(-ABS((LN(10^(逐级计算!$Q$69/10)-1)+逐级计算!$Q$69*(BQ68-逐级计算!$P$69)*LN(10)/10))))))),"")</f>
        <v>13.7930365742089</v>
      </c>
      <c r="BS68">
        <f>IF(AND(ISNUMBER(BR68),逐级计算!$X$70&gt;-1),IF(逐级计算!$X$70=0,BR68+逐级计算!$C$70,BR68+逐级计算!$C$70-(10/(逐级计算!$Q$70*LN(10))*(MAX((LN(10^(逐级计算!$Q$70/10)-1)+逐级计算!$Q$70*(BR68-逐级计算!$P$70)*LN(10)/10),0)+LN(1+EXP(-ABS((LN(10^(逐级计算!$Q$70/10)-1)+逐级计算!$Q$70*(BR68-逐级计算!$P$70)*LN(10)/10))))))),"")</f>
        <v>13.7930365742089</v>
      </c>
      <c r="BT68">
        <f>IF(AND(ISNUMBER(BS68),逐级计算!$X$71&gt;-1),IF(逐级计算!$X$71=0,BS68+逐级计算!$C$71,BS68+逐级计算!$C$71-(10/(逐级计算!$Q$71*LN(10))*(MAX((LN(10^(逐级计算!$Q$71/10)-1)+逐级计算!$Q$71*(BS68-逐级计算!$P$71)*LN(10)/10),0)+LN(1+EXP(-ABS((LN(10^(逐级计算!$Q$71/10)-1)+逐级计算!$Q$71*(BS68-逐级计算!$P$71)*LN(10)/10))))))),"")</f>
        <v>13.7930365742089</v>
      </c>
      <c r="BU68">
        <f>IF(AND(ISNUMBER(BT68),逐级计算!$X$72&gt;-1),IF(逐级计算!$X$72=0,BT68+逐级计算!$C$72,BT68+逐级计算!$C$72-(10/(逐级计算!$Q$72*LN(10))*(MAX((LN(10^(逐级计算!$Q$72/10)-1)+逐级计算!$Q$72*(BT68-逐级计算!$P$72)*LN(10)/10),0)+LN(1+EXP(-ABS((LN(10^(逐级计算!$Q$72/10)-1)+逐级计算!$Q$72*(BT68-逐级计算!$P$72)*LN(10)/10))))))),"")</f>
        <v>13.7930365742089</v>
      </c>
      <c r="BV68">
        <f>IF(AND(ISNUMBER(BU68),逐级计算!$X$73&gt;-1),IF(逐级计算!$X$73=0,BU68+逐级计算!$C$73,BU68+逐级计算!$C$73-(10/(逐级计算!$Q$73*LN(10))*(MAX((LN(10^(逐级计算!$Q$73/10)-1)+逐级计算!$Q$73*(BU68-逐级计算!$P$73)*LN(10)/10),0)+LN(1+EXP(-ABS((LN(10^(逐级计算!$Q$73/10)-1)+逐级计算!$Q$73*(BU68-逐级计算!$P$73)*LN(10)/10))))))),"")</f>
        <v>13.7930365742089</v>
      </c>
      <c r="BW68">
        <f>IF(AND(ISNUMBER(BV68),逐级计算!$X$74&gt;-1),IF(逐级计算!$X$74=0,BV68+逐级计算!$C$74,BV68+逐级计算!$C$74-(10/(逐级计算!$Q$74*LN(10))*(MAX((LN(10^(逐级计算!$Q$74/10)-1)+逐级计算!$Q$74*(BV68-逐级计算!$P$74)*LN(10)/10),0)+LN(1+EXP(-ABS((LN(10^(逐级计算!$Q$74/10)-1)+逐级计算!$Q$74*(BV68-逐级计算!$P$74)*LN(10)/10))))))),"")</f>
        <v>13.7930365742089</v>
      </c>
      <c r="BX68">
        <f>IF(AND(ISNUMBER(BW68),逐级计算!$X$75&gt;-1),IF(逐级计算!$X$75=0,BW68+逐级计算!$C$75,BW68+逐级计算!$C$75-(10/(逐级计算!$Q$75*LN(10))*(MAX((LN(10^(逐级计算!$Q$75/10)-1)+逐级计算!$Q$75*(BW68-逐级计算!$P$75)*LN(10)/10),0)+LN(1+EXP(-ABS((LN(10^(逐级计算!$Q$75/10)-1)+逐级计算!$Q$75*(BW68-逐级计算!$P$75)*LN(10)/10))))))),"")</f>
        <v>13.7930365742089</v>
      </c>
      <c r="BY68">
        <f>IF(AND(ISNUMBER(BX68),逐级计算!$X$76&gt;-1),IF(逐级计算!$X$76=0,BX68+逐级计算!$C$76,BX68+逐级计算!$C$76-(10/(逐级计算!$Q$76*LN(10))*(MAX((LN(10^(逐级计算!$Q$76/10)-1)+逐级计算!$Q$76*(BX68-逐级计算!$P$76)*LN(10)/10),0)+LN(1+EXP(-ABS((LN(10^(逐级计算!$Q$76/10)-1)+逐级计算!$Q$76*(BX68-逐级计算!$P$76)*LN(10)/10))))))),"")</f>
        <v>13.7930365742089</v>
      </c>
      <c r="BZ68">
        <f>IF(AND(ISNUMBER(BY68),逐级计算!$X$77&gt;-1),IF(逐级计算!$X$77=0,BY68+逐级计算!$C$77,BY68+逐级计算!$C$77-(10/(逐级计算!$Q$77*LN(10))*(MAX((LN(10^(逐级计算!$Q$77/10)-1)+逐级计算!$Q$77*(BY68-逐级计算!$P$77)*LN(10)/10),0)+LN(1+EXP(-ABS((LN(10^(逐级计算!$Q$77/10)-1)+逐级计算!$Q$77*(BY68-逐级计算!$P$77)*LN(10)/10))))))),"")</f>
        <v>13.7930365742089</v>
      </c>
      <c r="CA68">
        <f>IF(AND(ISNUMBER(BZ68),逐级计算!$X$78&gt;-1),IF(逐级计算!$X$78=0,BZ68+逐级计算!$C$78,BZ68+逐级计算!$C$78-(10/(逐级计算!$Q$78*LN(10))*(MAX((LN(10^(逐级计算!$Q$78/10)-1)+逐级计算!$Q$78*(BZ68-逐级计算!$P$78)*LN(10)/10),0)+LN(1+EXP(-ABS((LN(10^(逐级计算!$Q$78/10)-1)+逐级计算!$Q$78*(BZ68-逐级计算!$P$78)*LN(10)/10))))))),"")</f>
        <v>13.7930365742089</v>
      </c>
      <c r="CB68">
        <f>IF(AND(ISNUMBER(CA68),逐级计算!$X$79&gt;-1),IF(逐级计算!$X$79=0,CA68+逐级计算!$C$79,CA68+逐级计算!$C$79-(10/(逐级计算!$Q$79*LN(10))*(MAX((LN(10^(逐级计算!$Q$79/10)-1)+逐级计算!$Q$79*(CA68-逐级计算!$P$79)*LN(10)/10),0)+LN(1+EXP(-ABS((LN(10^(逐级计算!$Q$79/10)-1)+逐级计算!$Q$79*(CA68-逐级计算!$P$79)*LN(10)/10))))))),"")</f>
        <v>13.7930365742089</v>
      </c>
      <c r="CC68">
        <f>IF(AND(ISNUMBER(CB68),逐级计算!$X$80&gt;-1),IF(逐级计算!$X$80=0,CB68+逐级计算!$C$80,CB68+逐级计算!$C$80-(10/(逐级计算!$Q$80*LN(10))*(MAX((LN(10^(逐级计算!$Q$80/10)-1)+逐级计算!$Q$80*(CB68-逐级计算!$P$80)*LN(10)/10),0)+LN(1+EXP(-ABS((LN(10^(逐级计算!$Q$80/10)-1)+逐级计算!$Q$80*(CB68-逐级计算!$P$80)*LN(10)/10))))))),"")</f>
        <v>13.7930365742089</v>
      </c>
      <c r="CD68">
        <f>IF(AND(ISNUMBER(CC68),逐级计算!$X$81&gt;-1),IF(逐级计算!$X$81=0,CC68+逐级计算!$C$81,CC68+逐级计算!$C$81-(10/(逐级计算!$Q$81*LN(10))*(MAX((LN(10^(逐级计算!$Q$81/10)-1)+逐级计算!$Q$81*(CC68-逐级计算!$P$81)*LN(10)/10),0)+LN(1+EXP(-ABS((LN(10^(逐级计算!$Q$81/10)-1)+逐级计算!$Q$81*(CC68-逐级计算!$P$81)*LN(10)/10))))))),"")</f>
        <v>13.7930365742089</v>
      </c>
      <c r="CE68">
        <f>IF(AND(ISNUMBER(CD68),逐级计算!$X$82&gt;-1),IF(逐级计算!$X$82=0,CD68+逐级计算!$C$82,CD68+逐级计算!$C$82-(10/(逐级计算!$Q$82*LN(10))*(MAX((LN(10^(逐级计算!$Q$82/10)-1)+逐级计算!$Q$82*(CD68-逐级计算!$P$82)*LN(10)/10),0)+LN(1+EXP(-ABS((LN(10^(逐级计算!$Q$82/10)-1)+逐级计算!$Q$82*(CD68-逐级计算!$P$82)*LN(10)/10))))))),"")</f>
        <v>13.7930365742089</v>
      </c>
      <c r="CF68">
        <f>IF(AND(ISNUMBER(CE68),逐级计算!$X$83&gt;-1),IF(逐级计算!$X$83=0,CE68+逐级计算!$C$83,CE68+逐级计算!$C$83-(10/(逐级计算!$Q$83*LN(10))*(MAX((LN(10^(逐级计算!$Q$83/10)-1)+逐级计算!$Q$83*(CE68-逐级计算!$P$83)*LN(10)/10),0)+LN(1+EXP(-ABS((LN(10^(逐级计算!$Q$83/10)-1)+逐级计算!$Q$83*(CE68-逐级计算!$P$83)*LN(10)/10))))))),"")</f>
        <v>13.7930365742089</v>
      </c>
      <c r="CG68">
        <f>IF(AND(ISNUMBER(CF68),逐级计算!$X$84&gt;-1),IF(逐级计算!$X$84=0,CF68+逐级计算!$C$84,CF68+逐级计算!$C$84-(10/(逐级计算!$Q$84*LN(10))*(MAX((LN(10^(逐级计算!$Q$84/10)-1)+逐级计算!$Q$84*(CF68-逐级计算!$P$84)*LN(10)/10),0)+LN(1+EXP(-ABS((LN(10^(逐级计算!$Q$84/10)-1)+逐级计算!$Q$84*(CF68-逐级计算!$P$84)*LN(10)/10))))))),"")</f>
        <v>13.7930365742089</v>
      </c>
      <c r="CH68">
        <f>IF(AND(ISNUMBER(CG68),逐级计算!$X$85&gt;-1),IF(逐级计算!$X$85=0,CG68+逐级计算!$C$85,CG68+逐级计算!$C$85-(10/(逐级计算!$Q$85*LN(10))*(MAX((LN(10^(逐级计算!$Q$85/10)-1)+逐级计算!$Q$85*(CG68-逐级计算!$P$85)*LN(10)/10),0)+LN(1+EXP(-ABS((LN(10^(逐级计算!$Q$85/10)-1)+逐级计算!$Q$85*(CG68-逐级计算!$P$85)*LN(10)/10))))))),"")</f>
        <v>13.7930365742089</v>
      </c>
      <c r="CI68">
        <f>IF(AND(ISNUMBER(CH68),逐级计算!$X$86&gt;-1),IF(逐级计算!$X$86=0,CH68+逐级计算!$C$86,CH68+逐级计算!$C$86-(10/(逐级计算!$Q$86*LN(10))*(MAX((LN(10^(逐级计算!$Q$86/10)-1)+逐级计算!$Q$86*(CH68-逐级计算!$P$86)*LN(10)/10),0)+LN(1+EXP(-ABS((LN(10^(逐级计算!$Q$86/10)-1)+逐级计算!$Q$86*(CH68-逐级计算!$P$86)*LN(10)/10))))))),"")</f>
        <v>13.7930365742089</v>
      </c>
      <c r="CJ68">
        <f>IF(AND(ISNUMBER(CI68),逐级计算!$X$87&gt;-1),IF(逐级计算!$X$87=0,CI68+逐级计算!$C$87,CI68+逐级计算!$C$87-(10/(逐级计算!$Q$87*LN(10))*(MAX((LN(10^(逐级计算!$Q$87/10)-1)+逐级计算!$Q$87*(CI68-逐级计算!$P$87)*LN(10)/10),0)+LN(1+EXP(-ABS((LN(10^(逐级计算!$Q$87/10)-1)+逐级计算!$Q$87*(CI68-逐级计算!$P$87)*LN(10)/10))))))),"")</f>
        <v>13.7930365742089</v>
      </c>
      <c r="CK68">
        <f>IF(AND(ISNUMBER(CJ68),逐级计算!$X$88&gt;-1),IF(逐级计算!$X$88=0,CJ68+逐级计算!$C$88,CJ68+逐级计算!$C$88-(10/(逐级计算!$Q$88*LN(10))*(MAX((LN(10^(逐级计算!$Q$88/10)-1)+逐级计算!$Q$88*(CJ68-逐级计算!$P$88)*LN(10)/10),0)+LN(1+EXP(-ABS((LN(10^(逐级计算!$Q$88/10)-1)+逐级计算!$Q$88*(CJ68-逐级计算!$P$88)*LN(10)/10))))))),"")</f>
        <v>13.7930365742089</v>
      </c>
      <c r="CL68">
        <f>IF(AND(ISNUMBER(CK68),逐级计算!$X$89&gt;-1),IF(逐级计算!$X$89=0,CK68+逐级计算!$C$89,CK68+逐级计算!$C$89-(10/(逐级计算!$Q$89*LN(10))*(MAX((LN(10^(逐级计算!$Q$89/10)-1)+逐级计算!$Q$89*(CK68-逐级计算!$P$89)*LN(10)/10),0)+LN(1+EXP(-ABS((LN(10^(逐级计算!$Q$89/10)-1)+逐级计算!$Q$89*(CK68-逐级计算!$P$89)*LN(10)/10))))))),"")</f>
        <v>13.7930365742089</v>
      </c>
      <c r="CM68">
        <f>IF(AND(ISNUMBER(CL68),逐级计算!$X$90&gt;-1),IF(逐级计算!$X$90=0,CL68+逐级计算!$C$90,CL68+逐级计算!$C$90-(10/(逐级计算!$Q$90*LN(10))*(MAX((LN(10^(逐级计算!$Q$90/10)-1)+逐级计算!$Q$90*(CL68-逐级计算!$P$90)*LN(10)/10),0)+LN(1+EXP(-ABS((LN(10^(逐级计算!$Q$90/10)-1)+逐级计算!$Q$90*(CL68-逐级计算!$P$90)*LN(10)/10))))))),"")</f>
        <v>13.7930365742089</v>
      </c>
      <c r="CN68">
        <f>IF(AND(ISNUMBER(CM68),逐级计算!$X$91&gt;-1),IF(逐级计算!$X$91=0,CM68+逐级计算!$C$91,CM68+逐级计算!$C$91-(10/(逐级计算!$Q$91*LN(10))*(MAX((LN(10^(逐级计算!$Q$91/10)-1)+逐级计算!$Q$91*(CM68-逐级计算!$P$91)*LN(10)/10),0)+LN(1+EXP(-ABS((LN(10^(逐级计算!$Q$91/10)-1)+逐级计算!$Q$91*(CM68-逐级计算!$P$91)*LN(10)/10))))))),"")</f>
        <v>13.7930365742089</v>
      </c>
      <c r="CO68">
        <f>IF(AND(ISNUMBER(CN68),逐级计算!$X$92&gt;-1),IF(逐级计算!$X$92=0,CN68+逐级计算!$C$92,CN68+逐级计算!$C$92-(10/(逐级计算!$Q$92*LN(10))*(MAX((LN(10^(逐级计算!$Q$92/10)-1)+逐级计算!$Q$92*(CN68-逐级计算!$P$92)*LN(10)/10),0)+LN(1+EXP(-ABS((LN(10^(逐级计算!$Q$92/10)-1)+逐级计算!$Q$92*(CN68-逐级计算!$P$92)*LN(10)/10))))))),"")</f>
        <v>13.7930365742089</v>
      </c>
      <c r="CP68">
        <f>IF(AND(ISNUMBER(CO68),逐级计算!$X$93&gt;-1),IF(逐级计算!$X$93=0,CO68+逐级计算!$C$93,CO68+逐级计算!$C$93-(10/(逐级计算!$Q$93*LN(10))*(MAX((LN(10^(逐级计算!$Q$93/10)-1)+逐级计算!$Q$93*(CO68-逐级计算!$P$93)*LN(10)/10),0)+LN(1+EXP(-ABS((LN(10^(逐级计算!$Q$93/10)-1)+逐级计算!$Q$93*(CO68-逐级计算!$P$93)*LN(10)/10))))))),"")</f>
        <v>13.7930365742089</v>
      </c>
      <c r="CQ68">
        <f>IF(AND(ISNUMBER(CP68),逐级计算!$X$94&gt;-1),IF(逐级计算!$X$94=0,CP68+逐级计算!$C$94,CP68+逐级计算!$C$94-(10/(逐级计算!$Q$94*LN(10))*(MAX((LN(10^(逐级计算!$Q$94/10)-1)+逐级计算!$Q$94*(CP68-逐级计算!$P$94)*LN(10)/10),0)+LN(1+EXP(-ABS((LN(10^(逐级计算!$Q$94/10)-1)+逐级计算!$Q$94*(CP68-逐级计算!$P$94)*LN(10)/10))))))),"")</f>
        <v>13.7930365742089</v>
      </c>
      <c r="CR68">
        <f>IF(AND(ISNUMBER(CQ68),逐级计算!$X$95&gt;-1),IF(逐级计算!$X$95=0,CQ68+逐级计算!$C$95,CQ68+逐级计算!$C$95-(10/(逐级计算!$Q$95*LN(10))*(MAX((LN(10^(逐级计算!$Q$95/10)-1)+逐级计算!$Q$95*(CQ68-逐级计算!$P$95)*LN(10)/10),0)+LN(1+EXP(-ABS((LN(10^(逐级计算!$Q$95/10)-1)+逐级计算!$Q$95*(CQ68-逐级计算!$P$95)*LN(10)/10))))))),"")</f>
        <v>13.7930365742089</v>
      </c>
      <c r="CS68">
        <f>IF(AND(ISNUMBER(CR68),逐级计算!$X$96&gt;-1),IF(逐级计算!$X$96=0,CR68+逐级计算!$C$96,CR68+逐级计算!$C$96-(10/(逐级计算!$Q$96*LN(10))*(MAX((LN(10^(逐级计算!$Q$96/10)-1)+逐级计算!$Q$96*(CR68-逐级计算!$P$96)*LN(10)/10),0)+LN(1+EXP(-ABS((LN(10^(逐级计算!$Q$96/10)-1)+逐级计算!$Q$96*(CR68-逐级计算!$P$96)*LN(10)/10))))))),"")</f>
        <v>13.7930365742089</v>
      </c>
      <c r="CT68">
        <f>IF(AND(ISNUMBER(CS68),逐级计算!$X$97&gt;-1),IF(逐级计算!$X$97=0,CS68+逐级计算!$C$97,CS68+逐级计算!$C$97-(10/(逐级计算!$Q$97*LN(10))*(MAX((LN(10^(逐级计算!$Q$97/10)-1)+逐级计算!$Q$97*(CS68-逐级计算!$P$97)*LN(10)/10),0)+LN(1+EXP(-ABS((LN(10^(逐级计算!$Q$97/10)-1)+逐级计算!$Q$97*(CS68-逐级计算!$P$97)*LN(10)/10))))))),"")</f>
        <v>13.7930365742089</v>
      </c>
      <c r="CU68">
        <f>IF(AND(ISNUMBER(CT68),逐级计算!$X$98&gt;-1),IF(逐级计算!$X$98=0,CT68+逐级计算!$C$98,CT68+逐级计算!$C$98-(10/(逐级计算!$Q$98*LN(10))*(MAX((LN(10^(逐级计算!$Q$98/10)-1)+逐级计算!$Q$98*(CT68-逐级计算!$P$98)*LN(10)/10),0)+LN(1+EXP(-ABS((LN(10^(逐级计算!$Q$98/10)-1)+逐级计算!$Q$98*(CT68-逐级计算!$P$98)*LN(10)/10))))))),"")</f>
        <v>13.7930365742089</v>
      </c>
      <c r="CV68">
        <f>IF(AND(ISNUMBER(CU68),逐级计算!$X$99&gt;-1),IF(逐级计算!$X$99=0,CU68+逐级计算!$C$99,CU68+逐级计算!$C$99-(10/(逐级计算!$Q$99*LN(10))*(MAX((LN(10^(逐级计算!$Q$99/10)-1)+逐级计算!$Q$99*(CU68-逐级计算!$P$99)*LN(10)/10),0)+LN(1+EXP(-ABS((LN(10^(逐级计算!$Q$99/10)-1)+逐级计算!$Q$99*(CU68-逐级计算!$P$99)*LN(10)/10))))))),"")</f>
        <v>13.7930365742089</v>
      </c>
      <c r="CW68">
        <f>IF(AND(ISNUMBER(CV68),逐级计算!$X$100&gt;-1),IF(逐级计算!$X$100=0,CV68+逐级计算!$C$100,CV68+逐级计算!$C$100-(10/(逐级计算!$Q$100*LN(10))*(MAX((LN(10^(逐级计算!$Q$100/10)-1)+逐级计算!$Q$100*(CV68-逐级计算!$P$100)*LN(10)/10),0)+LN(1+EXP(-ABS((LN(10^(逐级计算!$Q$100/10)-1)+逐级计算!$Q$100*(CV68-逐级计算!$P$100)*LN(10)/10))))))),"")</f>
        <v>13.7930365742089</v>
      </c>
      <c r="CX68">
        <f>IF(AND(ISNUMBER(CW68),逐级计算!$X$101&gt;-1),IF(逐级计算!$X$101=0,CW68+逐级计算!$C$101,CW68+逐级计算!$C$101-(10/(逐级计算!$Q$101*LN(10))*(MAX((LN(10^(逐级计算!$Q$101/10)-1)+逐级计算!$Q$101*(CW68-逐级计算!$P$101)*LN(10)/10),0)+LN(1+EXP(-ABS((LN(10^(逐级计算!$Q$101/10)-1)+逐级计算!$Q$101*(CW68-逐级计算!$P$101)*LN(10)/10))))))),"")</f>
        <v>13.7930365742089</v>
      </c>
      <c r="CY68">
        <f>IF(AND(ISNUMBER(CX68),逐级计算!$X$102&gt;-1),IF(逐级计算!$X$102=0,CX68+逐级计算!$C$102,CX68+逐级计算!$C$102-(10/(逐级计算!$Q$102*LN(10))*(MAX((LN(10^(逐级计算!$Q$102/10)-1)+逐级计算!$Q$102*(CX68-逐级计算!$P$102)*LN(10)/10),0)+LN(1+EXP(-ABS((LN(10^(逐级计算!$Q$102/10)-1)+逐级计算!$Q$102*(CX68-逐级计算!$P$102)*LN(10)/10))))))),"")</f>
        <v>13.7930365742089</v>
      </c>
      <c r="CZ68">
        <f>IF(AND(ISNUMBER(CY68),逐级计算!$X$103&gt;-1),IF(逐级计算!$X$103=0,CY68+逐级计算!$C$103,CY68+逐级计算!$C$103-(10/(逐级计算!$Q$103*LN(10))*(MAX((LN(10^(逐级计算!$Q$103/10)-1)+逐级计算!$Q$103*(CY68-逐级计算!$P$103)*LN(10)/10),0)+LN(1+EXP(-ABS((LN(10^(逐级计算!$Q$103/10)-1)+逐级计算!$Q$103*(CY68-逐级计算!$P$103)*LN(10)/10))))))),"")</f>
        <v>13.7930365742089</v>
      </c>
      <c r="DA68">
        <f>IF(AND(ISNUMBER(CZ68),逐级计算!$X$104&gt;-1),IF(逐级计算!$X$104=0,CZ68+逐级计算!$C$104,CZ68+逐级计算!$C$104-(10/(逐级计算!$Q$104*LN(10))*(MAX((LN(10^(逐级计算!$Q$104/10)-1)+逐级计算!$Q$104*(CZ68-逐级计算!$P$104)*LN(10)/10),0)+LN(1+EXP(-ABS((LN(10^(逐级计算!$Q$104/10)-1)+逐级计算!$Q$104*(CZ68-逐级计算!$P$104)*LN(10)/10))))))),"")</f>
        <v>13.7930365742089</v>
      </c>
      <c r="DB68">
        <f>IF(AND(ISNUMBER(DA68),逐级计算!$X$105&gt;-1),IF(逐级计算!$X$105=0,DA68+逐级计算!$C$105,DA68+逐级计算!$C$105-(10/(逐级计算!$Q$105*LN(10))*(MAX((LN(10^(逐级计算!$Q$105/10)-1)+逐级计算!$Q$105*(DA68-逐级计算!$P$105)*LN(10)/10),0)+LN(1+EXP(-ABS((LN(10^(逐级计算!$Q$105/10)-1)+逐级计算!$Q$105*(DA68-逐级计算!$P$105)*LN(10)/10))))))),"")</f>
        <v>13.7930365742089</v>
      </c>
      <c r="DC68">
        <f>IF(AND(ISNUMBER(DB68),逐级计算!$X$106&gt;-1),IF(逐级计算!$X$106=0,DB68+逐级计算!$C$106,DB68+逐级计算!$C$106-(10/(逐级计算!$Q$106*LN(10))*(MAX((LN(10^(逐级计算!$Q$106/10)-1)+逐级计算!$Q$106*(DB68-逐级计算!$P$106)*LN(10)/10),0)+LN(1+EXP(-ABS((LN(10^(逐级计算!$Q$106/10)-1)+逐级计算!$Q$106*(DB68-逐级计算!$P$106)*LN(10)/10))))))),"")</f>
        <v>13.7930365742089</v>
      </c>
      <c r="DD68">
        <f>IF(AND(ISNUMBER(DC68),逐级计算!$X$107&gt;-1),IF(逐级计算!$X$107=0,DC68+逐级计算!$C$107,DC68+逐级计算!$C$107-(10/(逐级计算!$Q$107*LN(10))*(MAX((LN(10^(逐级计算!$Q$107/10)-1)+逐级计算!$Q$107*(DC68-逐级计算!$P$107)*LN(10)/10),0)+LN(1+EXP(-ABS((LN(10^(逐级计算!$Q$107/10)-1)+逐级计算!$Q$107*(DC68-逐级计算!$P$107)*LN(10)/10))))))),"")</f>
        <v>13.7930365742089</v>
      </c>
      <c r="DE68">
        <f>IF(AND(ISNUMBER(DD68),逐级计算!$X$108&gt;-1),IF(逐级计算!$X$108=0,DD68+逐级计算!$C$108,DD68+逐级计算!$C$108-(10/(逐级计算!$Q$108*LN(10))*(MAX((LN(10^(逐级计算!$Q$108/10)-1)+逐级计算!$Q$108*(DD68-逐级计算!$P$108)*LN(10)/10),0)+LN(1+EXP(-ABS((LN(10^(逐级计算!$Q$108/10)-1)+逐级计算!$Q$108*(DD68-逐级计算!$P$108)*LN(10)/10))))))),"")</f>
        <v>13.7930365742089</v>
      </c>
      <c r="DF68">
        <f>IF(AND(ISNUMBER(DE68),逐级计算!$X$109&gt;-1),IF(逐级计算!$X$109=0,DE68+逐级计算!$C$109,DE68+逐级计算!$C$109-(10/(逐级计算!$Q$109*LN(10))*(MAX((LN(10^(逐级计算!$Q$109/10)-1)+逐级计算!$Q$109*(DE68-逐级计算!$P$109)*LN(10)/10),0)+LN(1+EXP(-ABS((LN(10^(逐级计算!$Q$109/10)-1)+逐级计算!$Q$109*(DE68-逐级计算!$P$109)*LN(10)/10))))))),"")</f>
        <v>13.7930365742089</v>
      </c>
      <c r="DG68">
        <f>IF(AND(ISNUMBER(DF68),逐级计算!$X$110&gt;-1),IF(逐级计算!$X$110=0,DF68+逐级计算!$C$110,DF68+逐级计算!$C$110-(10/(逐级计算!$Q$110*LN(10))*(MAX((LN(10^(逐级计算!$Q$110/10)-1)+逐级计算!$Q$110*(DF68-逐级计算!$P$110)*LN(10)/10),0)+LN(1+EXP(-ABS((LN(10^(逐级计算!$Q$110/10)-1)+逐级计算!$Q$110*(DF68-逐级计算!$P$110)*LN(10)/10))))))),"")</f>
        <v>13.7930365742089</v>
      </c>
      <c r="DH68">
        <f>IF(AND(ISNUMBER(DG68),逐级计算!$X$111&gt;-1),IF(逐级计算!$X$111=0,DG68+逐级计算!$C$111,DG68+逐级计算!$C$111-(10/(逐级计算!$Q$111*LN(10))*(MAX((LN(10^(逐级计算!$Q$111/10)-1)+逐级计算!$Q$111*(DG68-逐级计算!$P$111)*LN(10)/10),0)+LN(1+EXP(-ABS((LN(10^(逐级计算!$Q$111/10)-1)+逐级计算!$Q$111*(DG68-逐级计算!$P$111)*LN(10)/10))))))),"")</f>
        <v>13.7930365742089</v>
      </c>
      <c r="DI68">
        <f>IF(AND(ISNUMBER(DH68),逐级计算!$X$112&gt;-1),IF(逐级计算!$X$112=0,DH68+逐级计算!$C$112,DH68+逐级计算!$C$112-(10/(逐级计算!$Q$112*LN(10))*(MAX((LN(10^(逐级计算!$Q$112/10)-1)+逐级计算!$Q$112*(DH68-逐级计算!$P$112)*LN(10)/10),0)+LN(1+EXP(-ABS((LN(10^(逐级计算!$Q$112/10)-1)+逐级计算!$Q$112*(DH68-逐级计算!$P$112)*LN(10)/10))))))),"")</f>
        <v>13.7930365742089</v>
      </c>
      <c r="DJ68">
        <f>IF(AND(ISNUMBER(DI68),逐级计算!$X$113&gt;-1),IF(逐级计算!$X$113=0,DI68+逐级计算!$C$113,DI68+逐级计算!$C$113-(10/(逐级计算!$Q$113*LN(10))*(MAX((LN(10^(逐级计算!$Q$113/10)-1)+逐级计算!$Q$113*(DI68-逐级计算!$P$113)*LN(10)/10),0)+LN(1+EXP(-ABS((LN(10^(逐级计算!$Q$113/10)-1)+逐级计算!$Q$113*(DI68-逐级计算!$P$113)*LN(10)/10))))))),"")</f>
        <v>13.7930365742089</v>
      </c>
      <c r="DK68">
        <f>IF(AND(ISNUMBER(DJ68),逐级计算!$X$114&gt;-1),IF(逐级计算!$X$114=0,DJ68+逐级计算!$C$114,DJ68+逐级计算!$C$114-(10/(逐级计算!$Q$114*LN(10))*(MAX((LN(10^(逐级计算!$Q$114/10)-1)+逐级计算!$Q$114*(DJ68-逐级计算!$P$114)*LN(10)/10),0)+LN(1+EXP(-ABS((LN(10^(逐级计算!$Q$114/10)-1)+逐级计算!$Q$114*(DJ68-逐级计算!$P$114)*LN(10)/10))))))),"")</f>
        <v>13.7930365742089</v>
      </c>
      <c r="DL68">
        <f>IF(AND(ISNUMBER(DK68),逐级计算!$X$115&gt;-1),IF(逐级计算!$X$115=0,DK68+逐级计算!$C$115,DK68+逐级计算!$C$115-(10/(逐级计算!$Q$115*LN(10))*(MAX((LN(10^(逐级计算!$Q$115/10)-1)+逐级计算!$Q$115*(DK68-逐级计算!$P$115)*LN(10)/10),0)+LN(1+EXP(-ABS((LN(10^(逐级计算!$Q$115/10)-1)+逐级计算!$Q$115*(DK68-逐级计算!$P$115)*LN(10)/10))))))),"")</f>
        <v>13.7930365742089</v>
      </c>
      <c r="DM68">
        <f>IF(AND(ISNUMBER(DL68),逐级计算!$X$116&gt;-1),IF(逐级计算!$X$116=0,DL68+逐级计算!$C$116,DL68+逐级计算!$C$116-(10/(逐级计算!$Q$116*LN(10))*(MAX((LN(10^(逐级计算!$Q$116/10)-1)+逐级计算!$Q$116*(DL68-逐级计算!$P$116)*LN(10)/10),0)+LN(1+EXP(-ABS((LN(10^(逐级计算!$Q$116/10)-1)+逐级计算!$Q$116*(DL68-逐级计算!$P$116)*LN(10)/10))))))),"")</f>
        <v>13.7930365742089</v>
      </c>
      <c r="DN68">
        <f>IF(AND(ISNUMBER(DM68),逐级计算!$X$117&gt;-1),IF(逐级计算!$X$117=0,DM68+逐级计算!$C$117,DM68+逐级计算!$C$117-(10/(逐级计算!$Q$117*LN(10))*(MAX((LN(10^(逐级计算!$Q$117/10)-1)+逐级计算!$Q$117*(DM68-逐级计算!$P$117)*LN(10)/10),0)+LN(1+EXP(-ABS((LN(10^(逐级计算!$Q$117/10)-1)+逐级计算!$Q$117*(DM68-逐级计算!$P$117)*LN(10)/10))))))),"")</f>
        <v>13.7930365742089</v>
      </c>
      <c r="DO68">
        <f>IF(AND(ISNUMBER(DN68),逐级计算!$X$118&gt;-1),IF(逐级计算!$X$118=0,DN68+逐级计算!$C$118,DN68+逐级计算!$C$118-(10/(逐级计算!$Q$118*LN(10))*(MAX((LN(10^(逐级计算!$Q$118/10)-1)+逐级计算!$Q$118*(DN68-逐级计算!$P$118)*LN(10)/10),0)+LN(1+EXP(-ABS((LN(10^(逐级计算!$Q$118/10)-1)+逐级计算!$Q$118*(DN68-逐级计算!$P$118)*LN(10)/10))))))),"")</f>
        <v>13.7930365742089</v>
      </c>
      <c r="DP68">
        <f>IF(AND(ISNUMBER(DO68),逐级计算!$X$119&gt;-1),IF(逐级计算!$X$119=0,DO68+逐级计算!$C$119,DO68+逐级计算!$C$119-(10/(逐级计算!$Q$119*LN(10))*(MAX((LN(10^(逐级计算!$Q$119/10)-1)+逐级计算!$Q$119*(DO68-逐级计算!$P$119)*LN(10)/10),0)+LN(1+EXP(-ABS((LN(10^(逐级计算!$Q$119/10)-1)+逐级计算!$Q$119*(DO68-逐级计算!$P$119)*LN(10)/10))))))),"")</f>
        <v>13.7930365742089</v>
      </c>
      <c r="DQ68">
        <f>IF(AND(ISNUMBER(DP68),逐级计算!$X$120&gt;-1),IF(逐级计算!$X$120=0,DP68+逐级计算!$C$120,DP68+逐级计算!$C$120-(10/(逐级计算!$Q$120*LN(10))*(MAX((LN(10^(逐级计算!$Q$120/10)-1)+逐级计算!$Q$120*(DP68-逐级计算!$P$120)*LN(10)/10),0)+LN(1+EXP(-ABS((LN(10^(逐级计算!$Q$120/10)-1)+逐级计算!$Q$120*(DP68-逐级计算!$P$120)*LN(10)/10))))))),"")</f>
        <v>13.7930365742089</v>
      </c>
      <c r="DR68">
        <f>IF(AND(ISNUMBER(DQ68),逐级计算!$X$121&gt;-1),IF(逐级计算!$X$121=0,DQ68+逐级计算!$C$121,DQ68+逐级计算!$C$121-(10/(逐级计算!$Q$121*LN(10))*(MAX((LN(10^(逐级计算!$Q$121/10)-1)+逐级计算!$Q$121*(DQ68-逐级计算!$P$121)*LN(10)/10),0)+LN(1+EXP(-ABS((LN(10^(逐级计算!$Q$121/10)-1)+逐级计算!$Q$121*(DQ68-逐级计算!$P$121)*LN(10)/10))))))),"")</f>
        <v>13.7930365742089</v>
      </c>
      <c r="DS68">
        <f>IF(AND(ISNUMBER(DR68),逐级计算!$X$122&gt;-1),IF(逐级计算!$X$122=0,DR68+逐级计算!$C$122,DR68+逐级计算!$C$122-(10/(逐级计算!$Q$122*LN(10))*(MAX((LN(10^(逐级计算!$Q$122/10)-1)+逐级计算!$Q$122*(DR68-逐级计算!$P$122)*LN(10)/10),0)+LN(1+EXP(-ABS((LN(10^(逐级计算!$Q$122/10)-1)+逐级计算!$Q$122*(DR68-逐级计算!$P$122)*LN(10)/10))))))),"")</f>
        <v>13.7930365742089</v>
      </c>
      <c r="DT68">
        <f>IF(AND(ISNUMBER(DS68),逐级计算!$X$123&gt;-1),IF(逐级计算!$X$123=0,DS68+逐级计算!$C$123,DS68+逐级计算!$C$123-(10/(逐级计算!$Q$123*LN(10))*(MAX((LN(10^(逐级计算!$Q$123/10)-1)+逐级计算!$Q$123*(DS68-逐级计算!$P$123)*LN(10)/10),0)+LN(1+EXP(-ABS((LN(10^(逐级计算!$Q$123/10)-1)+逐级计算!$Q$123*(DS68-逐级计算!$P$123)*LN(10)/10))))))),"")</f>
        <v>13.7930365742089</v>
      </c>
      <c r="DU68">
        <f>IF(AND(ISNUMBER(DT68),逐级计算!$X$124&gt;-1),IF(逐级计算!$X$124=0,DT68+逐级计算!$C$124,DT68+逐级计算!$C$124-(10/(逐级计算!$Q$124*LN(10))*(MAX((LN(10^(逐级计算!$Q$124/10)-1)+逐级计算!$Q$124*(DT68-逐级计算!$P$124)*LN(10)/10),0)+LN(1+EXP(-ABS((LN(10^(逐级计算!$Q$124/10)-1)+逐级计算!$Q$124*(DT68-逐级计算!$P$124)*LN(10)/10))))))),"")</f>
        <v>13.7930365742089</v>
      </c>
      <c r="DV68">
        <f>IF(AND(ISNUMBER(DU68),逐级计算!$X$125&gt;-1),IF(逐级计算!$X$125=0,DU68+逐级计算!$C$125,DU68+逐级计算!$C$125-(10/(逐级计算!$Q$125*LN(10))*(MAX((LN(10^(逐级计算!$Q$125/10)-1)+逐级计算!$Q$125*(DU68-逐级计算!$P$125)*LN(10)/10),0)+LN(1+EXP(-ABS((LN(10^(逐级计算!$Q$125/10)-1)+逐级计算!$Q$125*(DU68-逐级计算!$P$125)*LN(10)/10))))))),"")</f>
        <v>13.7930365742089</v>
      </c>
      <c r="DW68">
        <f>IF(AND(ISNUMBER(DV68),逐级计算!$X$126&gt;-1),IF(逐级计算!$X$126=0,DV68+逐级计算!$C$126,DV68+逐级计算!$C$126-(10/(逐级计算!$Q$126*LN(10))*(MAX((LN(10^(逐级计算!$Q$126/10)-1)+逐级计算!$Q$126*(DV68-逐级计算!$P$126)*LN(10)/10),0)+LN(1+EXP(-ABS((LN(10^(逐级计算!$Q$126/10)-1)+逐级计算!$Q$126*(DV68-逐级计算!$P$126)*LN(10)/10))))))),"")</f>
        <v>13.7930365742089</v>
      </c>
      <c r="DX68">
        <f>IF(AND(ISNUMBER(DW68),逐级计算!$X$127&gt;-1),IF(逐级计算!$X$127=0,DW68+逐级计算!$C$127,DW68+逐级计算!$C$127-(10/(逐级计算!$Q$127*LN(10))*(MAX((LN(10^(逐级计算!$Q$127/10)-1)+逐级计算!$Q$127*(DW68-逐级计算!$P$127)*LN(10)/10),0)+LN(1+EXP(-ABS((LN(10^(逐级计算!$Q$127/10)-1)+逐级计算!$Q$127*(DW68-逐级计算!$P$127)*LN(10)/10))))))),"")</f>
        <v>13.7930365742089</v>
      </c>
      <c r="DY68">
        <f>IF(AND(ISNUMBER(DX68),逐级计算!$X$128&gt;-1),IF(逐级计算!$X$128=0,DX68+逐级计算!$C$128,DX68+逐级计算!$C$128-(10/(逐级计算!$Q$128*LN(10))*(MAX((LN(10^(逐级计算!$Q$128/10)-1)+逐级计算!$Q$128*(DX68-逐级计算!$P$128)*LN(10)/10),0)+LN(1+EXP(-ABS((LN(10^(逐级计算!$Q$128/10)-1)+逐级计算!$Q$128*(DX68-逐级计算!$P$128)*LN(10)/10))))))),"")</f>
        <v>13.7930365742089</v>
      </c>
      <c r="DZ68">
        <f>IF(AND(ISNUMBER(DY68),逐级计算!$X$129&gt;-1),IF(逐级计算!$X$129=0,DY68+逐级计算!$C$129,DY68+逐级计算!$C$129-(10/(逐级计算!$Q$129*LN(10))*(MAX((LN(10^(逐级计算!$Q$129/10)-1)+逐级计算!$Q$129*(DY68-逐级计算!$P$129)*LN(10)/10),0)+LN(1+EXP(-ABS((LN(10^(逐级计算!$Q$129/10)-1)+逐级计算!$Q$129*(DY68-逐级计算!$P$129)*LN(10)/10))))))),"")</f>
        <v>13.7930365742089</v>
      </c>
      <c r="EA68">
        <f>IF(AND(ISNUMBER(DZ68),逐级计算!$X$130&gt;-1),IF(逐级计算!$X$130=0,DZ68+逐级计算!$C$130,DZ68+逐级计算!$C$130-(10/(逐级计算!$Q$130*LN(10))*(MAX((LN(10^(逐级计算!$Q$130/10)-1)+逐级计算!$Q$130*(DZ68-逐级计算!$P$130)*LN(10)/10),0)+LN(1+EXP(-ABS((LN(10^(逐级计算!$Q$130/10)-1)+逐级计算!$Q$130*(DZ68-逐级计算!$P$130)*LN(10)/10))))))),"")</f>
        <v>13.7930365742089</v>
      </c>
      <c r="EB68">
        <f>IF(AND(ISNUMBER(EA68),逐级计算!$X$131&gt;-1),IF(逐级计算!$X$131=0,EA68+逐级计算!$C$131,EA68+逐级计算!$C$131-(10/(逐级计算!$Q$131*LN(10))*(MAX((LN(10^(逐级计算!$Q$131/10)-1)+逐级计算!$Q$131*(EA68-逐级计算!$P$131)*LN(10)/10),0)+LN(1+EXP(-ABS((LN(10^(逐级计算!$Q$131/10)-1)+逐级计算!$Q$131*(EA68-逐级计算!$P$131)*LN(10)/10))))))),"")</f>
        <v>13.7930365742089</v>
      </c>
      <c r="EC68">
        <f>IF(AND(ISNUMBER(EB68),逐级计算!$X$132&gt;-1),IF(逐级计算!$X$132=0,EB68+逐级计算!$C$132,EB68+逐级计算!$C$132-(10/(逐级计算!$Q$132*LN(10))*(MAX((LN(10^(逐级计算!$Q$132/10)-1)+逐级计算!$Q$132*(EB68-逐级计算!$P$132)*LN(10)/10),0)+LN(1+EXP(-ABS((LN(10^(逐级计算!$Q$132/10)-1)+逐级计算!$Q$132*(EB68-逐级计算!$P$132)*LN(10)/10))))))),"")</f>
        <v>13.7930365742089</v>
      </c>
      <c r="ED68">
        <f>IF(AND(ISNUMBER(EC68),逐级计算!$X$133&gt;-1),IF(逐级计算!$X$133=0,EC68+逐级计算!$C$133,EC68+逐级计算!$C$133-(10/(逐级计算!$Q$133*LN(10))*(MAX((LN(10^(逐级计算!$Q$133/10)-1)+逐级计算!$Q$133*(EC68-逐级计算!$P$133)*LN(10)/10),0)+LN(1+EXP(-ABS((LN(10^(逐级计算!$Q$133/10)-1)+逐级计算!$Q$133*(EC68-逐级计算!$P$133)*LN(10)/10))))))),"")</f>
        <v>13.7930365742089</v>
      </c>
      <c r="EE68">
        <f>IF(AND(ISNUMBER(ED68),逐级计算!$X$134&gt;-1),IF(逐级计算!$X$134=0,ED68+逐级计算!$C$134,ED68+逐级计算!$C$134-(10/(逐级计算!$Q$134*LN(10))*(MAX((LN(10^(逐级计算!$Q$134/10)-1)+逐级计算!$Q$134*(ED68-逐级计算!$P$134)*LN(10)/10),0)+LN(1+EXP(-ABS((LN(10^(逐级计算!$Q$134/10)-1)+逐级计算!$Q$134*(ED68-逐级计算!$P$134)*LN(10)/10))))))),"")</f>
        <v>13.7930365742089</v>
      </c>
      <c r="EF68">
        <f>IF(AND(ISNUMBER(EE68),逐级计算!$X$135&gt;-1),IF(逐级计算!$X$135=0,EE68+逐级计算!$C$135,EE68+逐级计算!$C$135-(10/(逐级计算!$Q$135*LN(10))*(MAX((LN(10^(逐级计算!$Q$135/10)-1)+逐级计算!$Q$135*(EE68-逐级计算!$P$135)*LN(10)/10),0)+LN(1+EXP(-ABS((LN(10^(逐级计算!$Q$135/10)-1)+逐级计算!$Q$135*(EE68-逐级计算!$P$135)*LN(10)/10))))))),"")</f>
        <v>13.7930365742089</v>
      </c>
      <c r="EG68">
        <f>IF(AND(ISNUMBER(EF68),逐级计算!$X$136&gt;-1),IF(逐级计算!$X$136=0,EF68+逐级计算!$C$136,EF68+逐级计算!$C$136-(10/(逐级计算!$Q$136*LN(10))*(MAX((LN(10^(逐级计算!$Q$136/10)-1)+逐级计算!$Q$136*(EF68-逐级计算!$P$136)*LN(10)/10),0)+LN(1+EXP(-ABS((LN(10^(逐级计算!$Q$136/10)-1)+逐级计算!$Q$136*(EF68-逐级计算!$P$136)*LN(10)/10))))))),"")</f>
        <v>13.7930365742089</v>
      </c>
      <c r="EH68">
        <f>IF(AND(ISNUMBER(EG68),逐级计算!$X$137&gt;-1),IF(逐级计算!$X$137=0,EG68+逐级计算!$C$137,EG68+逐级计算!$C$137-(10/(逐级计算!$Q$137*LN(10))*(MAX((LN(10^(逐级计算!$Q$137/10)-1)+逐级计算!$Q$137*(EG68-逐级计算!$P$137)*LN(10)/10),0)+LN(1+EXP(-ABS((LN(10^(逐级计算!$Q$137/10)-1)+逐级计算!$Q$137*(EG68-逐级计算!$P$137)*LN(10)/10))))))),"")</f>
        <v>13.7930365742089</v>
      </c>
      <c r="EI68">
        <f>IF(AND(ISNUMBER(EH68),逐级计算!$X$138&gt;-1),IF(逐级计算!$X$138=0,EH68+逐级计算!$C$138,EH68+逐级计算!$C$138-(10/(逐级计算!$Q$138*LN(10))*(MAX((LN(10^(逐级计算!$Q$138/10)-1)+逐级计算!$Q$138*(EH68-逐级计算!$P$138)*LN(10)/10),0)+LN(1+EXP(-ABS((LN(10^(逐级计算!$Q$138/10)-1)+逐级计算!$Q$138*(EH68-逐级计算!$P$138)*LN(10)/10))))))),"")</f>
        <v>13.7930365742089</v>
      </c>
      <c r="EJ68">
        <f>IF(AND(ISNUMBER(EI68),逐级计算!$X$139&gt;-1),IF(逐级计算!$X$139=0,EI68+逐级计算!$C$139,EI68+逐级计算!$C$139-(10/(逐级计算!$Q$139*LN(10))*(MAX((LN(10^(逐级计算!$Q$139/10)-1)+逐级计算!$Q$139*(EI68-逐级计算!$P$139)*LN(10)/10),0)+LN(1+EXP(-ABS((LN(10^(逐级计算!$Q$139/10)-1)+逐级计算!$Q$139*(EI68-逐级计算!$P$139)*LN(10)/10))))))),"")</f>
        <v>13.7930365742089</v>
      </c>
      <c r="EK68">
        <f>IF(AND(ISNUMBER(EJ68),逐级计算!$X$140&gt;-1),IF(逐级计算!$X$140=0,EJ68+逐级计算!$C$140,EJ68+逐级计算!$C$140-(10/(逐级计算!$Q$140*LN(10))*(MAX((LN(10^(逐级计算!$Q$140/10)-1)+逐级计算!$Q$140*(EJ68-逐级计算!$P$140)*LN(10)/10),0)+LN(1+EXP(-ABS((LN(10^(逐级计算!$Q$140/10)-1)+逐级计算!$Q$140*(EJ68-逐级计算!$P$140)*LN(10)/10))))))),"")</f>
        <v>13.7930365742089</v>
      </c>
      <c r="EL68">
        <f>IF(AND(ISNUMBER(EK68),逐级计算!$X$141&gt;-1),IF(逐级计算!$X$141=0,EK68+逐级计算!$C$141,EK68+逐级计算!$C$141-(10/(逐级计算!$Q$141*LN(10))*(MAX((LN(10^(逐级计算!$Q$141/10)-1)+逐级计算!$Q$141*(EK68-逐级计算!$P$141)*LN(10)/10),0)+LN(1+EXP(-ABS((LN(10^(逐级计算!$Q$141/10)-1)+逐级计算!$Q$141*(EK68-逐级计算!$P$141)*LN(10)/10))))))),"")</f>
        <v>13.7930365742089</v>
      </c>
      <c r="EM68">
        <f>IF(AND(ISNUMBER(EL68),逐级计算!$X$142&gt;-1),IF(逐级计算!$X$142=0,EL68+逐级计算!$C$142,EL68+逐级计算!$C$142-(10/(逐级计算!$Q$142*LN(10))*(MAX((LN(10^(逐级计算!$Q$142/10)-1)+逐级计算!$Q$142*(EL68-逐级计算!$P$142)*LN(10)/10),0)+LN(1+EXP(-ABS((LN(10^(逐级计算!$Q$142/10)-1)+逐级计算!$Q$142*(EL68-逐级计算!$P$142)*LN(10)/10))))))),"")</f>
        <v>13.7930365742089</v>
      </c>
      <c r="EN68">
        <f>IF(AND(ISNUMBER(EM68),逐级计算!$X$143&gt;-1),IF(逐级计算!$X$143=0,EM68+逐级计算!$C$143,EM68+逐级计算!$C$143-(10/(逐级计算!$Q$143*LN(10))*(MAX((LN(10^(逐级计算!$Q$143/10)-1)+逐级计算!$Q$143*(EM68-逐级计算!$P$143)*LN(10)/10),0)+LN(1+EXP(-ABS((LN(10^(逐级计算!$Q$143/10)-1)+逐级计算!$Q$143*(EM68-逐级计算!$P$143)*LN(10)/10))))))),"")</f>
        <v>13.7930365742089</v>
      </c>
      <c r="EO68">
        <f>IF(AND(ISNUMBER(EN68),逐级计算!$X$144&gt;-1),IF(逐级计算!$X$144=0,EN68+逐级计算!$C$144,EN68+逐级计算!$C$144-(10/(逐级计算!$Q$144*LN(10))*(MAX((LN(10^(逐级计算!$Q$144/10)-1)+逐级计算!$Q$144*(EN68-逐级计算!$P$144)*LN(10)/10),0)+LN(1+EXP(-ABS((LN(10^(逐级计算!$Q$144/10)-1)+逐级计算!$Q$144*(EN68-逐级计算!$P$144)*LN(10)/10))))))),"")</f>
        <v>13.7930365742089</v>
      </c>
      <c r="EP68">
        <f>IF(AND(ISNUMBER(EO68),逐级计算!$X$145&gt;-1),IF(逐级计算!$X$145=0,EO68+逐级计算!$C$145,EO68+逐级计算!$C$145-(10/(逐级计算!$Q$145*LN(10))*(MAX((LN(10^(逐级计算!$Q$145/10)-1)+逐级计算!$Q$145*(EO68-逐级计算!$P$145)*LN(10)/10),0)+LN(1+EXP(-ABS((LN(10^(逐级计算!$Q$145/10)-1)+逐级计算!$Q$145*(EO68-逐级计算!$P$145)*LN(10)/10))))))),"")</f>
        <v>13.7930365742089</v>
      </c>
      <c r="EQ68">
        <f>IF(AND(ISNUMBER(EP68),逐级计算!$X$146&gt;-1),IF(逐级计算!$X$146=0,EP68+逐级计算!$C$146,EP68+逐级计算!$C$146-(10/(逐级计算!$Q$146*LN(10))*(MAX((LN(10^(逐级计算!$Q$146/10)-1)+逐级计算!$Q$146*(EP68-逐级计算!$P$146)*LN(10)/10),0)+LN(1+EXP(-ABS((LN(10^(逐级计算!$Q$146/10)-1)+逐级计算!$Q$146*(EP68-逐级计算!$P$146)*LN(10)/10))))))),"")</f>
        <v>13.7930365742089</v>
      </c>
      <c r="ER68">
        <f>IF(AND(ISNUMBER(EQ68),逐级计算!$X$147&gt;-1),IF(逐级计算!$X$147=0,EQ68+逐级计算!$C$147,EQ68+逐级计算!$C$147-(10/(逐级计算!$Q$147*LN(10))*(MAX((LN(10^(逐级计算!$Q$147/10)-1)+逐级计算!$Q$147*(EQ68-逐级计算!$P$147)*LN(10)/10),0)+LN(1+EXP(-ABS((LN(10^(逐级计算!$Q$147/10)-1)+逐级计算!$Q$147*(EQ68-逐级计算!$P$147)*LN(10)/10))))))),"")</f>
        <v>13.7930365742089</v>
      </c>
      <c r="ES68">
        <f>IF(AND(ISNUMBER(ER68),逐级计算!$X$148&gt;-1),IF(逐级计算!$X$148=0,ER68+逐级计算!$C$148,ER68+逐级计算!$C$148-(10/(逐级计算!$Q$148*LN(10))*(MAX((LN(10^(逐级计算!$Q$148/10)-1)+逐级计算!$Q$148*(ER68-逐级计算!$P$148)*LN(10)/10),0)+LN(1+EXP(-ABS((LN(10^(逐级计算!$Q$148/10)-1)+逐级计算!$Q$148*(ER68-逐级计算!$P$148)*LN(10)/10))))))),"")</f>
        <v>13.7930365742089</v>
      </c>
      <c r="ET68">
        <f>IF(AND(ISNUMBER(ES68),逐级计算!$X$149&gt;-1),IF(逐级计算!$X$149=0,ES68+逐级计算!$C$149,ES68+逐级计算!$C$149-(10/(逐级计算!$Q$149*LN(10))*(MAX((LN(10^(逐级计算!$Q$149/10)-1)+逐级计算!$Q$149*(ES68-逐级计算!$P$149)*LN(10)/10),0)+LN(1+EXP(-ABS((LN(10^(逐级计算!$Q$149/10)-1)+逐级计算!$Q$149*(ES68-逐级计算!$P$149)*LN(10)/10))))))),"")</f>
        <v>13.7930365742089</v>
      </c>
      <c r="EU68">
        <f>IF(AND(ISNUMBER(ET68),逐级计算!$X$150&gt;-1),IF(逐级计算!$X$150=0,ET68+逐级计算!$C$150,ET68+逐级计算!$C$150-(10/(逐级计算!$Q$150*LN(10))*(MAX((LN(10^(逐级计算!$Q$150/10)-1)+逐级计算!$Q$150*(ET68-逐级计算!$P$150)*LN(10)/10),0)+LN(1+EXP(-ABS((LN(10^(逐级计算!$Q$150/10)-1)+逐级计算!$Q$150*(ET68-逐级计算!$P$150)*LN(10)/10))))))),"")</f>
        <v>13.7930365742089</v>
      </c>
      <c r="EV68">
        <f>IF(AND(ISNUMBER(EU68),逐级计算!$X$151&gt;-1),IF(逐级计算!$X$151=0,EU68+逐级计算!$C$151,EU68+逐级计算!$C$151-(10/(逐级计算!$Q$151*LN(10))*(MAX((LN(10^(逐级计算!$Q$151/10)-1)+逐级计算!$Q$151*(EU68-逐级计算!$P$151)*LN(10)/10),0)+LN(1+EXP(-ABS((LN(10^(逐级计算!$Q$151/10)-1)+逐级计算!$Q$151*(EU68-逐级计算!$P$151)*LN(10)/10))))))),"")</f>
        <v>13.7930365742089</v>
      </c>
      <c r="EW68">
        <f>IF(AND(ISNUMBER(EV68),逐级计算!$X$152&gt;-1),IF(逐级计算!$X$152=0,EV68+逐级计算!$C$152,EV68+逐级计算!$C$152-(10/(逐级计算!$Q$152*LN(10))*(MAX((LN(10^(逐级计算!$Q$152/10)-1)+逐级计算!$Q$152*(EV68-逐级计算!$P$152)*LN(10)/10),0)+LN(1+EXP(-ABS((LN(10^(逐级计算!$Q$152/10)-1)+逐级计算!$Q$152*(EV68-逐级计算!$P$152)*LN(10)/10))))))),"")</f>
        <v>13.7930365742089</v>
      </c>
      <c r="EX68">
        <f>IF(AND(ISNUMBER(EW68),逐级计算!$X$153&gt;-1),IF(逐级计算!$X$153=0,EW68+逐级计算!$C$153,EW68+逐级计算!$C$153-(10/(逐级计算!$Q$153*LN(10))*(MAX((LN(10^(逐级计算!$Q$153/10)-1)+逐级计算!$Q$153*(EW68-逐级计算!$P$153)*LN(10)/10),0)+LN(1+EXP(-ABS((LN(10^(逐级计算!$Q$153/10)-1)+逐级计算!$Q$153*(EW68-逐级计算!$P$153)*LN(10)/10))))))),"")</f>
        <v>13.7930365742089</v>
      </c>
      <c r="EY68">
        <f>IF(AND(ISNUMBER(EX68),逐级计算!$X$154&gt;-1),IF(逐级计算!$X$154=0,EX68+逐级计算!$C$154,EX68+逐级计算!$C$154-(10/(逐级计算!$Q$154*LN(10))*(MAX((LN(10^(逐级计算!$Q$154/10)-1)+逐级计算!$Q$154*(EX68-逐级计算!$P$154)*LN(10)/10),0)+LN(1+EXP(-ABS((LN(10^(逐级计算!$Q$154/10)-1)+逐级计算!$Q$154*(EX68-逐级计算!$P$154)*LN(10)/10))))))),"")</f>
        <v>13.7930365742089</v>
      </c>
      <c r="EZ68">
        <f>IF(AND(ISNUMBER(EY68),逐级计算!$X$155&gt;-1),IF(逐级计算!$X$155=0,EY68+逐级计算!$C$155,EY68+逐级计算!$C$155-(10/(逐级计算!$Q$155*LN(10))*(MAX((LN(10^(逐级计算!$Q$155/10)-1)+逐级计算!$Q$155*(EY68-逐级计算!$P$155)*LN(10)/10),0)+LN(1+EXP(-ABS((LN(10^(逐级计算!$Q$155/10)-1)+逐级计算!$Q$155*(EY68-逐级计算!$P$155)*LN(10)/10))))))),"")</f>
        <v>13.7930365742089</v>
      </c>
      <c r="FA68">
        <f>IF(AND(ISNUMBER(EZ68),逐级计算!$X$156&gt;-1),IF(逐级计算!$X$156=0,EZ68+逐级计算!$C$156,EZ68+逐级计算!$C$156-(10/(逐级计算!$Q$156*LN(10))*(MAX((LN(10^(逐级计算!$Q$156/10)-1)+逐级计算!$Q$156*(EZ68-逐级计算!$P$156)*LN(10)/10),0)+LN(1+EXP(-ABS((LN(10^(逐级计算!$Q$156/10)-1)+逐级计算!$Q$156*(EZ68-逐级计算!$P$156)*LN(10)/10))))))),"")</f>
        <v>13.7930365742089</v>
      </c>
      <c r="FB68">
        <f>IF(AND(ISNUMBER(FA68),逐级计算!$X$157&gt;-1),IF(逐级计算!$X$157=0,FA68+逐级计算!$C$157,FA68+逐级计算!$C$157-(10/(逐级计算!$Q$157*LN(10))*(MAX((LN(10^(逐级计算!$Q$157/10)-1)+逐级计算!$Q$157*(FA68-逐级计算!$P$157)*LN(10)/10),0)+LN(1+EXP(-ABS((LN(10^(逐级计算!$Q$157/10)-1)+逐级计算!$Q$157*(FA68-逐级计算!$P$157)*LN(10)/10))))))),"")</f>
        <v>13.7930365742089</v>
      </c>
      <c r="FC68">
        <f>IF(AND(ISNUMBER(FB68),逐级计算!$X$158&gt;-1),IF(逐级计算!$X$158=0,FB68+逐级计算!$C$158,FB68+逐级计算!$C$158-(10/(逐级计算!$Q$158*LN(10))*(MAX((LN(10^(逐级计算!$Q$158/10)-1)+逐级计算!$Q$158*(FB68-逐级计算!$P$158)*LN(10)/10),0)+LN(1+EXP(-ABS((LN(10^(逐级计算!$Q$158/10)-1)+逐级计算!$Q$158*(FB68-逐级计算!$P$158)*LN(10)/10))))))),"")</f>
        <v>13.7930365742089</v>
      </c>
      <c r="FD68">
        <f>IF(AND(ISNUMBER(FC68),逐级计算!$X$159&gt;-1),IF(逐级计算!$X$159=0,FC68+逐级计算!$C$159,FC68+逐级计算!$C$159-(10/(逐级计算!$Q$159*LN(10))*(MAX((LN(10^(逐级计算!$Q$159/10)-1)+逐级计算!$Q$159*(FC68-逐级计算!$P$159)*LN(10)/10),0)+LN(1+EXP(-ABS((LN(10^(逐级计算!$Q$159/10)-1)+逐级计算!$Q$159*(FC68-逐级计算!$P$159)*LN(10)/10))))))),"")</f>
        <v>13.7930365742089</v>
      </c>
      <c r="FE68">
        <f>IF(AND(ISNUMBER(FD68),逐级计算!$X$160&gt;-1),IF(逐级计算!$X$160=0,FD68+逐级计算!$C$160,FD68+逐级计算!$C$160-(10/(逐级计算!$Q$160*LN(10))*(MAX((LN(10^(逐级计算!$Q$160/10)-1)+逐级计算!$Q$160*(FD68-逐级计算!$P$160)*LN(10)/10),0)+LN(1+EXP(-ABS((LN(10^(逐级计算!$Q$160/10)-1)+逐级计算!$Q$160*(FD68-逐级计算!$P$160)*LN(10)/10))))))),"")</f>
        <v>13.7930365742089</v>
      </c>
      <c r="FF68">
        <f>IF(AND(ISNUMBER(FE68),逐级计算!$X$161&gt;-1),IF(逐级计算!$X$161=0,FE68+逐级计算!$C$161,FE68+逐级计算!$C$161-(10/(逐级计算!$Q$161*LN(10))*(MAX((LN(10^(逐级计算!$Q$161/10)-1)+逐级计算!$Q$161*(FE68-逐级计算!$P$161)*LN(10)/10),0)+LN(1+EXP(-ABS((LN(10^(逐级计算!$Q$161/10)-1)+逐级计算!$Q$161*(FE68-逐级计算!$P$161)*LN(10)/10))))))),"")</f>
        <v>13.7930365742089</v>
      </c>
      <c r="FG68">
        <f>IF(AND(ISNUMBER(FF68),逐级计算!$X$162&gt;-1),IF(逐级计算!$X$162=0,FF68+逐级计算!$C$162,FF68+逐级计算!$C$162-(10/(逐级计算!$Q$162*LN(10))*(MAX((LN(10^(逐级计算!$Q$162/10)-1)+逐级计算!$Q$162*(FF68-逐级计算!$P$162)*LN(10)/10),0)+LN(1+EXP(-ABS((LN(10^(逐级计算!$Q$162/10)-1)+逐级计算!$Q$162*(FF68-逐级计算!$P$162)*LN(10)/10))))))),"")</f>
        <v>13.7930365742089</v>
      </c>
      <c r="FH68">
        <f>IF(AND(ISNUMBER(FG68),逐级计算!$X$163&gt;-1),IF(逐级计算!$X$163=0,FG68+逐级计算!$C$163,FG68+逐级计算!$C$163-(10/(逐级计算!$Q$163*LN(10))*(MAX((LN(10^(逐级计算!$Q$163/10)-1)+逐级计算!$Q$163*(FG68-逐级计算!$P$163)*LN(10)/10),0)+LN(1+EXP(-ABS((LN(10^(逐级计算!$Q$163/10)-1)+逐级计算!$Q$163*(FG68-逐级计算!$P$163)*LN(10)/10))))))),"")</f>
        <v>13.7930365742089</v>
      </c>
      <c r="FI68">
        <f>IF(AND(ISNUMBER(FH68),逐级计算!$X$164&gt;-1),IF(逐级计算!$X$164=0,FH68+逐级计算!$C$164,FH68+逐级计算!$C$164-(10/(逐级计算!$Q$164*LN(10))*(MAX((LN(10^(逐级计算!$Q$164/10)-1)+逐级计算!$Q$164*(FH68-逐级计算!$P$164)*LN(10)/10),0)+LN(1+EXP(-ABS((LN(10^(逐级计算!$Q$164/10)-1)+逐级计算!$Q$164*(FH68-逐级计算!$P$164)*LN(10)/10))))))),"")</f>
        <v>13.7930365742089</v>
      </c>
      <c r="FJ68">
        <f>IF(AND(ISNUMBER(FI68),逐级计算!$X$165&gt;-1),IF(逐级计算!$X$165=0,FI68+逐级计算!$C$165,FI68+逐级计算!$C$165-(10/(逐级计算!$Q$165*LN(10))*(MAX((LN(10^(逐级计算!$Q$165/10)-1)+逐级计算!$Q$165*(FI68-逐级计算!$P$165)*LN(10)/10),0)+LN(1+EXP(-ABS((LN(10^(逐级计算!$Q$165/10)-1)+逐级计算!$Q$165*(FI68-逐级计算!$P$165)*LN(10)/10))))))),"")</f>
        <v>13.7930365742089</v>
      </c>
      <c r="FK68">
        <f>IF(AND(ISNUMBER(FJ68),逐级计算!$X$166&gt;-1),IF(逐级计算!$X$166=0,FJ68+逐级计算!$C$166,FJ68+逐级计算!$C$166-(10/(逐级计算!$Q$166*LN(10))*(MAX((LN(10^(逐级计算!$Q$166/10)-1)+逐级计算!$Q$166*(FJ68-逐级计算!$P$166)*LN(10)/10),0)+LN(1+EXP(-ABS((LN(10^(逐级计算!$Q$166/10)-1)+逐级计算!$Q$166*(FJ68-逐级计算!$P$166)*LN(10)/10))))))),"")</f>
        <v>13.7930365742089</v>
      </c>
      <c r="FL68">
        <f>IF(AND(ISNUMBER(FK68),逐级计算!$X$167&gt;-1),IF(逐级计算!$X$167=0,FK68+逐级计算!$C$167,FK68+逐级计算!$C$167-(10/(逐级计算!$Q$167*LN(10))*(MAX((LN(10^(逐级计算!$Q$167/10)-1)+逐级计算!$Q$167*(FK68-逐级计算!$P$167)*LN(10)/10),0)+LN(1+EXP(-ABS((LN(10^(逐级计算!$Q$167/10)-1)+逐级计算!$Q$167*(FK68-逐级计算!$P$167)*LN(10)/10))))))),"")</f>
        <v>13.7930365742089</v>
      </c>
      <c r="FM68">
        <f>IF(AND(ISNUMBER(FL68),逐级计算!$X$168&gt;-1),IF(逐级计算!$X$168=0,FL68+逐级计算!$C$168,FL68+逐级计算!$C$168-(10/(逐级计算!$Q$168*LN(10))*(MAX((LN(10^(逐级计算!$Q$168/10)-1)+逐级计算!$Q$168*(FL68-逐级计算!$P$168)*LN(10)/10),0)+LN(1+EXP(-ABS((LN(10^(逐级计算!$Q$168/10)-1)+逐级计算!$Q$168*(FL68-逐级计算!$P$168)*LN(10)/10))))))),"")</f>
        <v>13.7930365742089</v>
      </c>
      <c r="FN68">
        <f>IF(AND(ISNUMBER(FM68),逐级计算!$X$169&gt;-1),IF(逐级计算!$X$169=0,FM68+逐级计算!$C$169,FM68+逐级计算!$C$169-(10/(逐级计算!$Q$169*LN(10))*(MAX((LN(10^(逐级计算!$Q$169/10)-1)+逐级计算!$Q$169*(FM68-逐级计算!$P$169)*LN(10)/10),0)+LN(1+EXP(-ABS((LN(10^(逐级计算!$Q$169/10)-1)+逐级计算!$Q$169*(FM68-逐级计算!$P$169)*LN(10)/10))))))),"")</f>
        <v>13.7930365742089</v>
      </c>
      <c r="FO68">
        <f>IF(AND(ISNUMBER(FN68),逐级计算!$X$170&gt;-1),IF(逐级计算!$X$170=0,FN68+逐级计算!$C$170,FN68+逐级计算!$C$170-(10/(逐级计算!$Q$170*LN(10))*(MAX((LN(10^(逐级计算!$Q$170/10)-1)+逐级计算!$Q$170*(FN68-逐级计算!$P$170)*LN(10)/10),0)+LN(1+EXP(-ABS((LN(10^(逐级计算!$Q$170/10)-1)+逐级计算!$Q$170*(FN68-逐级计算!$P$170)*LN(10)/10))))))),"")</f>
        <v>13.7930365742089</v>
      </c>
      <c r="FP68">
        <f>IF(AND(ISNUMBER(FO68),逐级计算!$X$171&gt;-1),IF(逐级计算!$X$171=0,FO68+逐级计算!$C$171,FO68+逐级计算!$C$171-(10/(逐级计算!$Q$171*LN(10))*(MAX((LN(10^(逐级计算!$Q$171/10)-1)+逐级计算!$Q$171*(FO68-逐级计算!$P$171)*LN(10)/10),0)+LN(1+EXP(-ABS((LN(10^(逐级计算!$Q$171/10)-1)+逐级计算!$Q$171*(FO68-逐级计算!$P$171)*LN(10)/10))))))),"")</f>
        <v>13.7930365742089</v>
      </c>
      <c r="FQ68">
        <f>IF(AND(ISNUMBER(FP68),逐级计算!$X$172&gt;-1),IF(逐级计算!$X$172=0,FP68+逐级计算!$C$172,FP68+逐级计算!$C$172-(10/(逐级计算!$Q$172*LN(10))*(MAX((LN(10^(逐级计算!$Q$172/10)-1)+逐级计算!$Q$172*(FP68-逐级计算!$P$172)*LN(10)/10),0)+LN(1+EXP(-ABS((LN(10^(逐级计算!$Q$172/10)-1)+逐级计算!$Q$172*(FP68-逐级计算!$P$172)*LN(10)/10))))))),"")</f>
        <v>13.7930365742089</v>
      </c>
      <c r="FR68">
        <f>IF(AND(ISNUMBER(FQ68),逐级计算!$X$173&gt;-1),IF(逐级计算!$X$173=0,FQ68+逐级计算!$C$173,FQ68+逐级计算!$C$173-(10/(逐级计算!$Q$173*LN(10))*(MAX((LN(10^(逐级计算!$Q$173/10)-1)+逐级计算!$Q$173*(FQ68-逐级计算!$P$173)*LN(10)/10),0)+LN(1+EXP(-ABS((LN(10^(逐级计算!$Q$173/10)-1)+逐级计算!$Q$173*(FQ68-逐级计算!$P$173)*LN(10)/10))))))),"")</f>
        <v>13.7930365742089</v>
      </c>
      <c r="FS68">
        <f>IF(AND(ISNUMBER(FR68),逐级计算!$X$174&gt;-1),IF(逐级计算!$X$174=0,FR68+逐级计算!$C$174,FR68+逐级计算!$C$174-(10/(逐级计算!$Q$174*LN(10))*(MAX((LN(10^(逐级计算!$Q$174/10)-1)+逐级计算!$Q$174*(FR68-逐级计算!$P$174)*LN(10)/10),0)+LN(1+EXP(-ABS((LN(10^(逐级计算!$Q$174/10)-1)+逐级计算!$Q$174*(FR68-逐级计算!$P$174)*LN(10)/10))))))),"")</f>
        <v>13.7930365742089</v>
      </c>
      <c r="FT68">
        <f>IF(AND(ISNUMBER(FS68),逐级计算!$X$175&gt;-1),IF(逐级计算!$X$175=0,FS68+逐级计算!$C$175,FS68+逐级计算!$C$175-(10/(逐级计算!$Q$175*LN(10))*(MAX((LN(10^(逐级计算!$Q$175/10)-1)+逐级计算!$Q$175*(FS68-逐级计算!$P$175)*LN(10)/10),0)+LN(1+EXP(-ABS((LN(10^(逐级计算!$Q$175/10)-1)+逐级计算!$Q$175*(FS68-逐级计算!$P$175)*LN(10)/10))))))),"")</f>
        <v>13.7930365742089</v>
      </c>
      <c r="FU68">
        <f>IF(AND(ISNUMBER(FT68),逐级计算!$X$176&gt;-1),IF(逐级计算!$X$176=0,FT68+逐级计算!$C$176,FT68+逐级计算!$C$176-(10/(逐级计算!$Q$176*LN(10))*(MAX((LN(10^(逐级计算!$Q$176/10)-1)+逐级计算!$Q$176*(FT68-逐级计算!$P$176)*LN(10)/10),0)+LN(1+EXP(-ABS((LN(10^(逐级计算!$Q$176/10)-1)+逐级计算!$Q$176*(FT68-逐级计算!$P$176)*LN(10)/10))))))),"")</f>
        <v>13.7930365742089</v>
      </c>
      <c r="FV68">
        <f>IF(AND(ISNUMBER(FU68),逐级计算!$X$177&gt;-1),IF(逐级计算!$X$177=0,FU68+逐级计算!$C$177,FU68+逐级计算!$C$177-(10/(逐级计算!$Q$177*LN(10))*(MAX((LN(10^(逐级计算!$Q$177/10)-1)+逐级计算!$Q$177*(FU68-逐级计算!$P$177)*LN(10)/10),0)+LN(1+EXP(-ABS((LN(10^(逐级计算!$Q$177/10)-1)+逐级计算!$Q$177*(FU68-逐级计算!$P$177)*LN(10)/10))))))),"")</f>
        <v>13.7930365742089</v>
      </c>
      <c r="FW68">
        <f>IF(AND(ISNUMBER(FV68),逐级计算!$X$178&gt;-1),IF(逐级计算!$X$178=0,FV68+逐级计算!$C$178,FV68+逐级计算!$C$178-(10/(逐级计算!$Q$178*LN(10))*(MAX((LN(10^(逐级计算!$Q$178/10)-1)+逐级计算!$Q$178*(FV68-逐级计算!$P$178)*LN(10)/10),0)+LN(1+EXP(-ABS((LN(10^(逐级计算!$Q$178/10)-1)+逐级计算!$Q$178*(FV68-逐级计算!$P$178)*LN(10)/10))))))),"")</f>
        <v>13.7930365742089</v>
      </c>
      <c r="FX68">
        <f>IF(AND(ISNUMBER(FW68),逐级计算!$X$179&gt;-1),IF(逐级计算!$X$179=0,FW68+逐级计算!$C$179,FW68+逐级计算!$C$179-(10/(逐级计算!$Q$179*LN(10))*(MAX((LN(10^(逐级计算!$Q$179/10)-1)+逐级计算!$Q$179*(FW68-逐级计算!$P$179)*LN(10)/10),0)+LN(1+EXP(-ABS((LN(10^(逐级计算!$Q$179/10)-1)+逐级计算!$Q$179*(FW68-逐级计算!$P$179)*LN(10)/10))))))),"")</f>
        <v>13.7930365742089</v>
      </c>
      <c r="FY68">
        <f>IF(AND(ISNUMBER(FX68),逐级计算!$X$180&gt;-1),IF(逐级计算!$X$180=0,FX68+逐级计算!$C$180,FX68+逐级计算!$C$180-(10/(逐级计算!$Q$180*LN(10))*(MAX((LN(10^(逐级计算!$Q$180/10)-1)+逐级计算!$Q$180*(FX68-逐级计算!$P$180)*LN(10)/10),0)+LN(1+EXP(-ABS((LN(10^(逐级计算!$Q$180/10)-1)+逐级计算!$Q$180*(FX68-逐级计算!$P$180)*LN(10)/10))))))),"")</f>
        <v>13.7930365742089</v>
      </c>
      <c r="FZ68">
        <f>IF(AND(ISNUMBER(FY68),逐级计算!$X$181&gt;-1),IF(逐级计算!$X$181=0,FY68+逐级计算!$C$181,FY68+逐级计算!$C$181-(10/(逐级计算!$Q$181*LN(10))*(MAX((LN(10^(逐级计算!$Q$181/10)-1)+逐级计算!$Q$181*(FY68-逐级计算!$P$181)*LN(10)/10),0)+LN(1+EXP(-ABS((LN(10^(逐级计算!$Q$181/10)-1)+逐级计算!$Q$181*(FY68-逐级计算!$P$181)*LN(10)/10))))))),"")</f>
        <v>13.7930365742089</v>
      </c>
      <c r="GA68">
        <f>IF(AND(ISNUMBER(FZ68),逐级计算!$X$182&gt;-1),IF(逐级计算!$X$182=0,FZ68+逐级计算!$C$182,FZ68+逐级计算!$C$182-(10/(逐级计算!$Q$182*LN(10))*(MAX((LN(10^(逐级计算!$Q$182/10)-1)+逐级计算!$Q$182*(FZ68-逐级计算!$P$182)*LN(10)/10),0)+LN(1+EXP(-ABS((LN(10^(逐级计算!$Q$182/10)-1)+逐级计算!$Q$182*(FZ68-逐级计算!$P$182)*LN(10)/10))))))),"")</f>
        <v>13.7930365742089</v>
      </c>
      <c r="GB68">
        <f>IF(AND(ISNUMBER(GA68),逐级计算!$X$183&gt;-1),IF(逐级计算!$X$183=0,GA68+逐级计算!$C$183,GA68+逐级计算!$C$183-(10/(逐级计算!$Q$183*LN(10))*(MAX((LN(10^(逐级计算!$Q$183/10)-1)+逐级计算!$Q$183*(GA68-逐级计算!$P$183)*LN(10)/10),0)+LN(1+EXP(-ABS((LN(10^(逐级计算!$Q$183/10)-1)+逐级计算!$Q$183*(GA68-逐级计算!$P$183)*LN(10)/10))))))),"")</f>
        <v>13.7930365742089</v>
      </c>
      <c r="GC68">
        <f>IF(AND(ISNUMBER(GB68),逐级计算!$X$184&gt;-1),IF(逐级计算!$X$184=0,GB68+逐级计算!$C$184,GB68+逐级计算!$C$184-(10/(逐级计算!$Q$184*LN(10))*(MAX((LN(10^(逐级计算!$Q$184/10)-1)+逐级计算!$Q$184*(GB68-逐级计算!$P$184)*LN(10)/10),0)+LN(1+EXP(-ABS((LN(10^(逐级计算!$Q$184/10)-1)+逐级计算!$Q$184*(GB68-逐级计算!$P$184)*LN(10)/10))))))),"")</f>
        <v>13.7930365742089</v>
      </c>
      <c r="GD68">
        <f>IF(AND(ISNUMBER(GC68),逐级计算!$X$185&gt;-1),IF(逐级计算!$X$185=0,GC68+逐级计算!$C$185,GC68+逐级计算!$C$185-(10/(逐级计算!$Q$185*LN(10))*(MAX((LN(10^(逐级计算!$Q$185/10)-1)+逐级计算!$Q$185*(GC68-逐级计算!$P$185)*LN(10)/10),0)+LN(1+EXP(-ABS((LN(10^(逐级计算!$Q$185/10)-1)+逐级计算!$Q$185*(GC68-逐级计算!$P$185)*LN(10)/10))))))),"")</f>
        <v>13.7930365742089</v>
      </c>
      <c r="GE68">
        <f>IF(AND(ISNUMBER(GD68),逐级计算!$X$186&gt;-1),IF(逐级计算!$X$186=0,GD68+逐级计算!$C$186,GD68+逐级计算!$C$186-(10/(逐级计算!$Q$186*LN(10))*(MAX((LN(10^(逐级计算!$Q$186/10)-1)+逐级计算!$Q$186*(GD68-逐级计算!$P$186)*LN(10)/10),0)+LN(1+EXP(-ABS((LN(10^(逐级计算!$Q$186/10)-1)+逐级计算!$Q$186*(GD68-逐级计算!$P$186)*LN(10)/10))))))),"")</f>
        <v>13.7930365742089</v>
      </c>
      <c r="GF68">
        <f>IF(AND(ISNUMBER(GE68),逐级计算!$X$187&gt;-1),IF(逐级计算!$X$187=0,GE68+逐级计算!$C$187,GE68+逐级计算!$C$187-(10/(逐级计算!$Q$187*LN(10))*(MAX((LN(10^(逐级计算!$Q$187/10)-1)+逐级计算!$Q$187*(GE68-逐级计算!$P$187)*LN(10)/10),0)+LN(1+EXP(-ABS((LN(10^(逐级计算!$Q$187/10)-1)+逐级计算!$Q$187*(GE68-逐级计算!$P$187)*LN(10)/10))))))),"")</f>
        <v>13.7930365742089</v>
      </c>
      <c r="GG68">
        <f>IF(AND(ISNUMBER(GF68),逐级计算!$X$188&gt;-1),IF(逐级计算!$X$188=0,GF68+逐级计算!$C$188,GF68+逐级计算!$C$188-(10/(逐级计算!$Q$188*LN(10))*(MAX((LN(10^(逐级计算!$Q$188/10)-1)+逐级计算!$Q$188*(GF68-逐级计算!$P$188)*LN(10)/10),0)+LN(1+EXP(-ABS((LN(10^(逐级计算!$Q$188/10)-1)+逐级计算!$Q$188*(GF68-逐级计算!$P$188)*LN(10)/10))))))),"")</f>
        <v>13.7930365742089</v>
      </c>
      <c r="GH68">
        <f>IF(AND(ISNUMBER(GG68),逐级计算!$X$189&gt;-1),IF(逐级计算!$X$189=0,GG68+逐级计算!$C$189,GG68+逐级计算!$C$189-(10/(逐级计算!$Q$189*LN(10))*(MAX((LN(10^(逐级计算!$Q$189/10)-1)+逐级计算!$Q$189*(GG68-逐级计算!$P$189)*LN(10)/10),0)+LN(1+EXP(-ABS((LN(10^(逐级计算!$Q$189/10)-1)+逐级计算!$Q$189*(GG68-逐级计算!$P$189)*LN(10)/10))))))),"")</f>
        <v>13.7930365742089</v>
      </c>
      <c r="GI68">
        <f>IF(AND(ISNUMBER(GH68),逐级计算!$X$190&gt;-1),IF(逐级计算!$X$190=0,GH68+逐级计算!$C$190,GH68+逐级计算!$C$190-(10/(逐级计算!$Q$190*LN(10))*(MAX((LN(10^(逐级计算!$Q$190/10)-1)+逐级计算!$Q$190*(GH68-逐级计算!$P$190)*LN(10)/10),0)+LN(1+EXP(-ABS((LN(10^(逐级计算!$Q$190/10)-1)+逐级计算!$Q$190*(GH68-逐级计算!$P$190)*LN(10)/10))))))),"")</f>
        <v>13.7930365742089</v>
      </c>
      <c r="GJ68">
        <f>IF(AND(ISNUMBER(GI68),逐级计算!$X$191&gt;-1),IF(逐级计算!$X$191=0,GI68+逐级计算!$C$191,GI68+逐级计算!$C$191-(10/(逐级计算!$Q$191*LN(10))*(MAX((LN(10^(逐级计算!$Q$191/10)-1)+逐级计算!$Q$191*(GI68-逐级计算!$P$191)*LN(10)/10),0)+LN(1+EXP(-ABS((LN(10^(逐级计算!$Q$191/10)-1)+逐级计算!$Q$191*(GI68-逐级计算!$P$191)*LN(10)/10))))))),"")</f>
        <v>13.7930365742089</v>
      </c>
      <c r="GK68">
        <f>IF(AND(ISNUMBER(GJ68),逐级计算!$X$192&gt;-1),IF(逐级计算!$X$192=0,GJ68+逐级计算!$C$192,GJ68+逐级计算!$C$192-(10/(逐级计算!$Q$192*LN(10))*(MAX((LN(10^(逐级计算!$Q$192/10)-1)+逐级计算!$Q$192*(GJ68-逐级计算!$P$192)*LN(10)/10),0)+LN(1+EXP(-ABS((LN(10^(逐级计算!$Q$192/10)-1)+逐级计算!$Q$192*(GJ68-逐级计算!$P$192)*LN(10)/10))))))),"")</f>
        <v>13.7930365742089</v>
      </c>
      <c r="GL68">
        <f>IF(AND(ISNUMBER(GK68),逐级计算!$X$193&gt;-1),IF(逐级计算!$X$193=0,GK68+逐级计算!$C$193,GK68+逐级计算!$C$193-(10/(逐级计算!$Q$193*LN(10))*(MAX((LN(10^(逐级计算!$Q$193/10)-1)+逐级计算!$Q$193*(GK68-逐级计算!$P$193)*LN(10)/10),0)+LN(1+EXP(-ABS((LN(10^(逐级计算!$Q$193/10)-1)+逐级计算!$Q$193*(GK68-逐级计算!$P$193)*LN(10)/10))))))),"")</f>
        <v>13.7930365742089</v>
      </c>
      <c r="GM68">
        <f>IF(AND(ISNUMBER(GL68),逐级计算!$X$194&gt;-1),IF(逐级计算!$X$194=0,GL68+逐级计算!$C$194,GL68+逐级计算!$C$194-(10/(逐级计算!$Q$194*LN(10))*(MAX((LN(10^(逐级计算!$Q$194/10)-1)+逐级计算!$Q$194*(GL68-逐级计算!$P$194)*LN(10)/10),0)+LN(1+EXP(-ABS((LN(10^(逐级计算!$Q$194/10)-1)+逐级计算!$Q$194*(GL68-逐级计算!$P$194)*LN(10)/10))))))),"")</f>
        <v>13.7930365742089</v>
      </c>
      <c r="GN68">
        <f>IF(AND(ISNUMBER(GM68),逐级计算!$X$195&gt;-1),IF(逐级计算!$X$195=0,GM68+逐级计算!$C$195,GM68+逐级计算!$C$195-(10/(逐级计算!$Q$195*LN(10))*(MAX((LN(10^(逐级计算!$Q$195/10)-1)+逐级计算!$Q$195*(GM68-逐级计算!$P$195)*LN(10)/10),0)+LN(1+EXP(-ABS((LN(10^(逐级计算!$Q$195/10)-1)+逐级计算!$Q$195*(GM68-逐级计算!$P$195)*LN(10)/10))))))),"")</f>
        <v>13.7930365742089</v>
      </c>
      <c r="GO68">
        <f>IF(AND(ISNUMBER(GN68),逐级计算!$X$196&gt;-1),IF(逐级计算!$X$196=0,GN68+逐级计算!$C$196,GN68+逐级计算!$C$196-(10/(逐级计算!$Q$196*LN(10))*(MAX((LN(10^(逐级计算!$Q$196/10)-1)+逐级计算!$Q$196*(GN68-逐级计算!$P$196)*LN(10)/10),0)+LN(1+EXP(-ABS((LN(10^(逐级计算!$Q$196/10)-1)+逐级计算!$Q$196*(GN68-逐级计算!$P$196)*LN(10)/10))))))),"")</f>
        <v>13.7930365742089</v>
      </c>
      <c r="GP68">
        <f>IF(AND(ISNUMBER(GO68),逐级计算!$X$197&gt;-1),IF(逐级计算!$X$197=0,GO68+逐级计算!$C$197,GO68+逐级计算!$C$197-(10/(逐级计算!$Q$197*LN(10))*(MAX((LN(10^(逐级计算!$Q$197/10)-1)+逐级计算!$Q$197*(GO68-逐级计算!$P$197)*LN(10)/10),0)+LN(1+EXP(-ABS((LN(10^(逐级计算!$Q$197/10)-1)+逐级计算!$Q$197*(GO68-逐级计算!$P$197)*LN(10)/10))))))),"")</f>
        <v>13.7930365742089</v>
      </c>
      <c r="GQ68">
        <f>IF(AND(ISNUMBER(GP68),逐级计算!$X$198&gt;-1),IF(逐级计算!$X$198=0,GP68+逐级计算!$C$198,GP68+逐级计算!$C$198-(10/(逐级计算!$Q$198*LN(10))*(MAX((LN(10^(逐级计算!$Q$198/10)-1)+逐级计算!$Q$198*(GP68-逐级计算!$P$198)*LN(10)/10),0)+LN(1+EXP(-ABS((LN(10^(逐级计算!$Q$198/10)-1)+逐级计算!$Q$198*(GP68-逐级计算!$P$198)*LN(10)/10))))))),"")</f>
        <v>13.7930365742089</v>
      </c>
      <c r="GR68">
        <f>IF(AND(ISNUMBER(GQ68),逐级计算!$X$199&gt;-1),IF(逐级计算!$X$199=0,GQ68+逐级计算!$C$199,GQ68+逐级计算!$C$199-(10/(逐级计算!$Q$199*LN(10))*(MAX((LN(10^(逐级计算!$Q$199/10)-1)+逐级计算!$Q$199*(GQ68-逐级计算!$P$199)*LN(10)/10),0)+LN(1+EXP(-ABS((LN(10^(逐级计算!$Q$199/10)-1)+逐级计算!$Q$199*(GQ68-逐级计算!$P$199)*LN(10)/10))))))),"")</f>
        <v>13.7930365742089</v>
      </c>
      <c r="GS68">
        <f>IF(AND(ISNUMBER(GR68),逐级计算!$X$200&gt;-1),IF(逐级计算!$X$200=0,GR68+逐级计算!$C$200,GR68+逐级计算!$C$200-(10/(逐级计算!$Q$200*LN(10))*(MAX((LN(10^(逐级计算!$Q$200/10)-1)+逐级计算!$Q$200*(GR68-逐级计算!$P$200)*LN(10)/10),0)+LN(1+EXP(-ABS((LN(10^(逐级计算!$Q$200/10)-1)+逐级计算!$Q$200*(GR68-逐级计算!$P$200)*LN(10)/10))))))),"")</f>
        <v>13.7930365742089</v>
      </c>
      <c r="GT68">
        <f>IF(AND(ISNUMBER(GS68),逐级计算!$X$201&gt;-1),IF(逐级计算!$X$201=0,GS68+逐级计算!$C$201,GS68+逐级计算!$C$201-(10/(逐级计算!$Q$201*LN(10))*(MAX((LN(10^(逐级计算!$Q$201/10)-1)+逐级计算!$Q$201*(GS68-逐级计算!$P$201)*LN(10)/10),0)+LN(1+EXP(-ABS((LN(10^(逐级计算!$Q$201/10)-1)+逐级计算!$Q$201*(GS68-逐级计算!$P$201)*LN(10)/10))))))),"")</f>
        <v>13.7930365742089</v>
      </c>
      <c r="GU68">
        <f>IF(AND(ISNUMBER(GT68),逐级计算!$X$202&gt;-1),IF(逐级计算!$X$202=0,GT68+逐级计算!$C$202,GT68+逐级计算!$C$202-(10/(逐级计算!$Q$202*LN(10))*(MAX((LN(10^(逐级计算!$Q$202/10)-1)+逐级计算!$Q$202*(GT68-逐级计算!$P$202)*LN(10)/10),0)+LN(1+EXP(-ABS((LN(10^(逐级计算!$Q$202/10)-1)+逐级计算!$Q$202*(GT68-逐级计算!$P$202)*LN(10)/10))))))),"")</f>
        <v>13.7930365742089</v>
      </c>
      <c r="GV68">
        <f>IF(AND(ISNUMBER(GU68),逐级计算!$X$203&gt;-1),IF(逐级计算!$X$203=0,GU68+逐级计算!$C$203,GU68+逐级计算!$C$203-(10/(逐级计算!$Q$203*LN(10))*(MAX((LN(10^(逐级计算!$Q$203/10)-1)+逐级计算!$Q$203*(GU68-逐级计算!$P$203)*LN(10)/10),0)+LN(1+EXP(-ABS((LN(10^(逐级计算!$Q$203/10)-1)+逐级计算!$Q$203*(GU68-逐级计算!$P$203)*LN(10)/10))))))),"")</f>
        <v>13.7930365742089</v>
      </c>
      <c r="GW68">
        <f t="shared" si="2"/>
        <v>-5.20696342579112</v>
      </c>
    </row>
    <row r="69" spans="1:205">
      <c r="A69">
        <v>62</v>
      </c>
      <c r="B69">
        <f t="shared" si="1"/>
        <v>-5.20696342579112</v>
      </c>
      <c r="C69">
        <f t="shared" si="0"/>
        <v>-5.20696342579112</v>
      </c>
      <c r="D69">
        <f>IF(AND(ISNUMBER(C69),ISNUMBER(逐级计算!$E$203),ISNUMBER(GV69)),C69+逐级计算!$E$203-GV69,"")</f>
        <v>1</v>
      </c>
      <c r="E69">
        <f>IF(AND(ISNUMBER(C69),逐级计算!$X$4&gt;-1),IF(逐级计算!$X$4=0,C69+逐级计算!$C$4,C69+逐级计算!$C$4-(10/(逐级计算!$Q$4*LN(10))*(MAX((LN(10^(逐级计算!$Q$4/10)-1)+逐级计算!$Q$4*(C69-逐级计算!$P$4)*LN(10)/10),0)+LN(1+EXP(-ABS((LN(10^(逐级计算!$Q$4/10)-1)+逐级计算!$Q$4*(C69-逐级计算!$P$4)*LN(10)/10))))))),"")</f>
        <v>4.68053982928311</v>
      </c>
      <c r="F69">
        <f>IF(AND(ISNUMBER(E69),逐级计算!$X$5&gt;-1),IF(逐级计算!$X$5=0,E69+逐级计算!$C$5,E69+逐级计算!$C$5-(10/(逐级计算!$Q$5*LN(10))*(MAX((LN(10^(逐级计算!$Q$5/10)-1)+逐级计算!$Q$5*(E69-逐级计算!$P$5)*LN(10)/10),0)+LN(1+EXP(-ABS((LN(10^(逐级计算!$Q$5/10)-1)+逐级计算!$Q$5*(E69-逐级计算!$P$5)*LN(10)/10))))))),"")</f>
        <v>13.7930365742089</v>
      </c>
      <c r="G69">
        <f>IF(AND(ISNUMBER(F69),逐级计算!$X$6&gt;-1),IF(逐级计算!$X$6=0,F69+逐级计算!$C$6,F69+逐级计算!$C$6-(10/(逐级计算!$Q$6*LN(10))*(MAX((LN(10^(逐级计算!$Q$6/10)-1)+逐级计算!$Q$6*(F69-逐级计算!$P$6)*LN(10)/10),0)+LN(1+EXP(-ABS((LN(10^(逐级计算!$Q$6/10)-1)+逐级计算!$Q$6*(F69-逐级计算!$P$6)*LN(10)/10))))))),"")</f>
        <v>13.7930365742089</v>
      </c>
      <c r="H69">
        <f>IF(AND(ISNUMBER(G69),逐级计算!$X$7&gt;-1),IF(逐级计算!$X$7=0,G69+逐级计算!$C$7,G69+逐级计算!$C$7-(10/(逐级计算!$Q$7*LN(10))*(MAX((LN(10^(逐级计算!$Q$7/10)-1)+逐级计算!$Q$7*(G69-逐级计算!$P$7)*LN(10)/10),0)+LN(1+EXP(-ABS((LN(10^(逐级计算!$Q$7/10)-1)+逐级计算!$Q$7*(G69-逐级计算!$P$7)*LN(10)/10))))))),"")</f>
        <v>13.7930365742089</v>
      </c>
      <c r="I69">
        <f>IF(AND(ISNUMBER(H69),逐级计算!$X$8&gt;-1),IF(逐级计算!$X$8=0,H69+逐级计算!$C$8,H69+逐级计算!$C$8-(10/(逐级计算!$Q$8*LN(10))*(MAX((LN(10^(逐级计算!$Q$8/10)-1)+逐级计算!$Q$8*(H69-逐级计算!$P$8)*LN(10)/10),0)+LN(1+EXP(-ABS((LN(10^(逐级计算!$Q$8/10)-1)+逐级计算!$Q$8*(H69-逐级计算!$P$8)*LN(10)/10))))))),"")</f>
        <v>13.7930365742089</v>
      </c>
      <c r="J69">
        <f>IF(AND(ISNUMBER(I69),逐级计算!$X$9&gt;-1),IF(逐级计算!$X$9=0,I69+逐级计算!$C$9,I69+逐级计算!$C$9-(10/(逐级计算!$Q$9*LN(10))*(MAX((LN(10^(逐级计算!$Q$9/10)-1)+逐级计算!$Q$9*(I69-逐级计算!$P$9)*LN(10)/10),0)+LN(1+EXP(-ABS((LN(10^(逐级计算!$Q$9/10)-1)+逐级计算!$Q$9*(I69-逐级计算!$P$9)*LN(10)/10))))))),"")</f>
        <v>13.7930365742089</v>
      </c>
      <c r="K69">
        <f>IF(AND(ISNUMBER(J69),逐级计算!$X$10&gt;-1),IF(逐级计算!$X$10=0,J69+逐级计算!$C$10,J69+逐级计算!$C$10-(10/(逐级计算!$Q$10*LN(10))*(MAX((LN(10^(逐级计算!$Q$10/10)-1)+逐级计算!$Q$10*(J69-逐级计算!$P$10)*LN(10)/10),0)+LN(1+EXP(-ABS((LN(10^(逐级计算!$Q$10/10)-1)+逐级计算!$Q$10*(J69-逐级计算!$P$10)*LN(10)/10))))))),"")</f>
        <v>13.7930365742089</v>
      </c>
      <c r="L69">
        <f>IF(AND(ISNUMBER(K69),逐级计算!$X$11&gt;-1),IF(逐级计算!$X$11=0,K69+逐级计算!$C$11,K69+逐级计算!$C$11-(10/(逐级计算!$Q$11*LN(10))*(MAX((LN(10^(逐级计算!$Q$11/10)-1)+逐级计算!$Q$11*(K69-逐级计算!$P$11)*LN(10)/10),0)+LN(1+EXP(-ABS((LN(10^(逐级计算!$Q$11/10)-1)+逐级计算!$Q$11*(K69-逐级计算!$P$11)*LN(10)/10))))))),"")</f>
        <v>13.7930365742089</v>
      </c>
      <c r="M69">
        <f>IF(AND(ISNUMBER(L69),逐级计算!$X$12&gt;-1),IF(逐级计算!$X$12=0,L69+逐级计算!$C$12,L69+逐级计算!$C$12-(10/(逐级计算!$Q$12*LN(10))*(MAX((LN(10^(逐级计算!$Q$12/10)-1)+逐级计算!$Q$12*(L69-逐级计算!$P$12)*LN(10)/10),0)+LN(1+EXP(-ABS((LN(10^(逐级计算!$Q$12/10)-1)+逐级计算!$Q$12*(L69-逐级计算!$P$12)*LN(10)/10))))))),"")</f>
        <v>13.7930365742089</v>
      </c>
      <c r="N69">
        <f>IF(AND(ISNUMBER(M69),逐级计算!$X$13&gt;-1),IF(逐级计算!$X$13=0,M69+逐级计算!$C$13,M69+逐级计算!$C$13-(10/(逐级计算!$Q$13*LN(10))*(MAX((LN(10^(逐级计算!$Q$13/10)-1)+逐级计算!$Q$13*(M69-逐级计算!$P$13)*LN(10)/10),0)+LN(1+EXP(-ABS((LN(10^(逐级计算!$Q$13/10)-1)+逐级计算!$Q$13*(M69-逐级计算!$P$13)*LN(10)/10))))))),"")</f>
        <v>13.7930365742089</v>
      </c>
      <c r="O69">
        <f>IF(AND(ISNUMBER(N69),逐级计算!$X$14&gt;-1),IF(逐级计算!$X$14=0,N69+逐级计算!$C$14,N69+逐级计算!$C$14-(10/(逐级计算!$Q$14*LN(10))*(MAX((LN(10^(逐级计算!$Q$14/10)-1)+逐级计算!$Q$14*(N69-逐级计算!$P$14)*LN(10)/10),0)+LN(1+EXP(-ABS((LN(10^(逐级计算!$Q$14/10)-1)+逐级计算!$Q$14*(N69-逐级计算!$P$14)*LN(10)/10))))))),"")</f>
        <v>13.7930365742089</v>
      </c>
      <c r="P69">
        <f>IF(AND(ISNUMBER(O69),逐级计算!$X$15&gt;-1),IF(逐级计算!$X$15=0,O69+逐级计算!$C$15,O69+逐级计算!$C$15-(10/(逐级计算!$Q$15*LN(10))*(MAX((LN(10^(逐级计算!$Q$15/10)-1)+逐级计算!$Q$15*(O69-逐级计算!$P$15)*LN(10)/10),0)+LN(1+EXP(-ABS((LN(10^(逐级计算!$Q$15/10)-1)+逐级计算!$Q$15*(O69-逐级计算!$P$15)*LN(10)/10))))))),"")</f>
        <v>13.7930365742089</v>
      </c>
      <c r="Q69">
        <f>IF(AND(ISNUMBER(P69),逐级计算!$X$16&gt;-1),IF(逐级计算!$X$16=0,P69+逐级计算!$C$16,P69+逐级计算!$C$16-(10/(逐级计算!$Q$16*LN(10))*(MAX((LN(10^(逐级计算!$Q$16/10)-1)+逐级计算!$Q$16*(P69-逐级计算!$P$16)*LN(10)/10),0)+LN(1+EXP(-ABS((LN(10^(逐级计算!$Q$16/10)-1)+逐级计算!$Q$16*(P69-逐级计算!$P$16)*LN(10)/10))))))),"")</f>
        <v>13.7930365742089</v>
      </c>
      <c r="R69">
        <f>IF(AND(ISNUMBER(Q69),逐级计算!$X$17&gt;-1),IF(逐级计算!$X$17=0,Q69+逐级计算!$C$17,Q69+逐级计算!$C$17-(10/(逐级计算!$Q$17*LN(10))*(MAX((LN(10^(逐级计算!$Q$17/10)-1)+逐级计算!$Q$17*(Q69-逐级计算!$P$17)*LN(10)/10),0)+LN(1+EXP(-ABS((LN(10^(逐级计算!$Q$17/10)-1)+逐级计算!$Q$17*(Q69-逐级计算!$P$17)*LN(10)/10))))))),"")</f>
        <v>13.7930365742089</v>
      </c>
      <c r="S69">
        <f>IF(AND(ISNUMBER(R69),逐级计算!$X$18&gt;-1),IF(逐级计算!$X$18=0,R69+逐级计算!$C$18,R69+逐级计算!$C$18-(10/(逐级计算!$Q$18*LN(10))*(MAX((LN(10^(逐级计算!$Q$18/10)-1)+逐级计算!$Q$18*(R69-逐级计算!$P$18)*LN(10)/10),0)+LN(1+EXP(-ABS((LN(10^(逐级计算!$Q$18/10)-1)+逐级计算!$Q$18*(R69-逐级计算!$P$18)*LN(10)/10))))))),"")</f>
        <v>13.7930365742089</v>
      </c>
      <c r="T69">
        <f>IF(AND(ISNUMBER(S69),逐级计算!$X$19&gt;-1),IF(逐级计算!$X$19=0,S69+逐级计算!$C$19,S69+逐级计算!$C$19-(10/(逐级计算!$Q$19*LN(10))*(MAX((LN(10^(逐级计算!$Q$19/10)-1)+逐级计算!$Q$19*(S69-逐级计算!$P$19)*LN(10)/10),0)+LN(1+EXP(-ABS((LN(10^(逐级计算!$Q$19/10)-1)+逐级计算!$Q$19*(S69-逐级计算!$P$19)*LN(10)/10))))))),"")</f>
        <v>13.7930365742089</v>
      </c>
      <c r="U69">
        <f>IF(AND(ISNUMBER(T69),逐级计算!$X$20&gt;-1),IF(逐级计算!$X$20=0,T69+逐级计算!$C$20,T69+逐级计算!$C$20-(10/(逐级计算!$Q$20*LN(10))*(MAX((LN(10^(逐级计算!$Q$20/10)-1)+逐级计算!$Q$20*(T69-逐级计算!$P$20)*LN(10)/10),0)+LN(1+EXP(-ABS((LN(10^(逐级计算!$Q$20/10)-1)+逐级计算!$Q$20*(T69-逐级计算!$P$20)*LN(10)/10))))))),"")</f>
        <v>13.7930365742089</v>
      </c>
      <c r="V69">
        <f>IF(AND(ISNUMBER(U69),逐级计算!$X$21&gt;-1),IF(逐级计算!$X$21=0,U69+逐级计算!$C$21,U69+逐级计算!$C$21-(10/(逐级计算!$Q$21*LN(10))*(MAX((LN(10^(逐级计算!$Q$21/10)-1)+逐级计算!$Q$21*(U69-逐级计算!$P$21)*LN(10)/10),0)+LN(1+EXP(-ABS((LN(10^(逐级计算!$Q$21/10)-1)+逐级计算!$Q$21*(U69-逐级计算!$P$21)*LN(10)/10))))))),"")</f>
        <v>13.7930365742089</v>
      </c>
      <c r="W69">
        <f>IF(AND(ISNUMBER(V69),逐级计算!$X$22&gt;-1),IF(逐级计算!$X$22=0,V69+逐级计算!$C$22,V69+逐级计算!$C$22-(10/(逐级计算!$Q$22*LN(10))*(MAX((LN(10^(逐级计算!$Q$22/10)-1)+逐级计算!$Q$22*(V69-逐级计算!$P$22)*LN(10)/10),0)+LN(1+EXP(-ABS((LN(10^(逐级计算!$Q$22/10)-1)+逐级计算!$Q$22*(V69-逐级计算!$P$22)*LN(10)/10))))))),"")</f>
        <v>13.7930365742089</v>
      </c>
      <c r="X69">
        <f>IF(AND(ISNUMBER(W69),逐级计算!$X$23&gt;-1),IF(逐级计算!$X$23=0,W69+逐级计算!$C$23,W69+逐级计算!$C$23-(10/(逐级计算!$Q$23*LN(10))*(MAX((LN(10^(逐级计算!$Q$23/10)-1)+逐级计算!$Q$23*(W69-逐级计算!$P$23)*LN(10)/10),0)+LN(1+EXP(-ABS((LN(10^(逐级计算!$Q$23/10)-1)+逐级计算!$Q$23*(W69-逐级计算!$P$23)*LN(10)/10))))))),"")</f>
        <v>13.7930365742089</v>
      </c>
      <c r="Y69">
        <f>IF(AND(ISNUMBER(X69),逐级计算!$X$24&gt;-1),IF(逐级计算!$X$24=0,X69+逐级计算!$C$24,X69+逐级计算!$C$24-(10/(逐级计算!$Q$24*LN(10))*(MAX((LN(10^(逐级计算!$Q$24/10)-1)+逐级计算!$Q$24*(X69-逐级计算!$P$24)*LN(10)/10),0)+LN(1+EXP(-ABS((LN(10^(逐级计算!$Q$24/10)-1)+逐级计算!$Q$24*(X69-逐级计算!$P$24)*LN(10)/10))))))),"")</f>
        <v>13.7930365742089</v>
      </c>
      <c r="Z69">
        <f>IF(AND(ISNUMBER(Y69),逐级计算!$X$25&gt;-1),IF(逐级计算!$X$25=0,Y69+逐级计算!$C$25,Y69+逐级计算!$C$25-(10/(逐级计算!$Q$25*LN(10))*(MAX((LN(10^(逐级计算!$Q$25/10)-1)+逐级计算!$Q$25*(Y69-逐级计算!$P$25)*LN(10)/10),0)+LN(1+EXP(-ABS((LN(10^(逐级计算!$Q$25/10)-1)+逐级计算!$Q$25*(Y69-逐级计算!$P$25)*LN(10)/10))))))),"")</f>
        <v>13.7930365742089</v>
      </c>
      <c r="AA69">
        <f>IF(AND(ISNUMBER(Z69),逐级计算!$X$26&gt;-1),IF(逐级计算!$X$26=0,Z69+逐级计算!$C$26,Z69+逐级计算!$C$26-(10/(逐级计算!$Q$26*LN(10))*(MAX((LN(10^(逐级计算!$Q$26/10)-1)+逐级计算!$Q$26*(Z69-逐级计算!$P$26)*LN(10)/10),0)+LN(1+EXP(-ABS((LN(10^(逐级计算!$Q$26/10)-1)+逐级计算!$Q$26*(Z69-逐级计算!$P$26)*LN(10)/10))))))),"")</f>
        <v>13.7930365742089</v>
      </c>
      <c r="AB69">
        <f>IF(AND(ISNUMBER(AA69),逐级计算!$X$27&gt;-1),IF(逐级计算!$X$27=0,AA69+逐级计算!$C$27,AA69+逐级计算!$C$27-(10/(逐级计算!$Q$27*LN(10))*(MAX((LN(10^(逐级计算!$Q$27/10)-1)+逐级计算!$Q$27*(AA69-逐级计算!$P$27)*LN(10)/10),0)+LN(1+EXP(-ABS((LN(10^(逐级计算!$Q$27/10)-1)+逐级计算!$Q$27*(AA69-逐级计算!$P$27)*LN(10)/10))))))),"")</f>
        <v>13.7930365742089</v>
      </c>
      <c r="AC69">
        <f>IF(AND(ISNUMBER(AB69),逐级计算!$X$28&gt;-1),IF(逐级计算!$X$28=0,AB69+逐级计算!$C$28,AB69+逐级计算!$C$28-(10/(逐级计算!$Q$28*LN(10))*(MAX((LN(10^(逐级计算!$Q$28/10)-1)+逐级计算!$Q$28*(AB69-逐级计算!$P$28)*LN(10)/10),0)+LN(1+EXP(-ABS((LN(10^(逐级计算!$Q$28/10)-1)+逐级计算!$Q$28*(AB69-逐级计算!$P$28)*LN(10)/10))))))),"")</f>
        <v>13.7930365742089</v>
      </c>
      <c r="AD69">
        <f>IF(AND(ISNUMBER(AC69),逐级计算!$X$29&gt;-1),IF(逐级计算!$X$29=0,AC69+逐级计算!$C$29,AC69+逐级计算!$C$29-(10/(逐级计算!$Q$29*LN(10))*(MAX((LN(10^(逐级计算!$Q$29/10)-1)+逐级计算!$Q$29*(AC69-逐级计算!$P$29)*LN(10)/10),0)+LN(1+EXP(-ABS((LN(10^(逐级计算!$Q$29/10)-1)+逐级计算!$Q$29*(AC69-逐级计算!$P$29)*LN(10)/10))))))),"")</f>
        <v>13.7930365742089</v>
      </c>
      <c r="AE69">
        <f>IF(AND(ISNUMBER(AD69),逐级计算!$X$30&gt;-1),IF(逐级计算!$X$30=0,AD69+逐级计算!$C$30,AD69+逐级计算!$C$30-(10/(逐级计算!$Q$30*LN(10))*(MAX((LN(10^(逐级计算!$Q$30/10)-1)+逐级计算!$Q$30*(AD69-逐级计算!$P$30)*LN(10)/10),0)+LN(1+EXP(-ABS((LN(10^(逐级计算!$Q$30/10)-1)+逐级计算!$Q$30*(AD69-逐级计算!$P$30)*LN(10)/10))))))),"")</f>
        <v>13.7930365742089</v>
      </c>
      <c r="AF69">
        <f>IF(AND(ISNUMBER(AE69),逐级计算!$X$31&gt;-1),IF(逐级计算!$X$31=0,AE69+逐级计算!$C$31,AE69+逐级计算!$C$31-(10/(逐级计算!$Q$31*LN(10))*(MAX((LN(10^(逐级计算!$Q$31/10)-1)+逐级计算!$Q$31*(AE69-逐级计算!$P$31)*LN(10)/10),0)+LN(1+EXP(-ABS((LN(10^(逐级计算!$Q$31/10)-1)+逐级计算!$Q$31*(AE69-逐级计算!$P$31)*LN(10)/10))))))),"")</f>
        <v>13.7930365742089</v>
      </c>
      <c r="AG69">
        <f>IF(AND(ISNUMBER(AF69),逐级计算!$X$32&gt;-1),IF(逐级计算!$X$32=0,AF69+逐级计算!$C$32,AF69+逐级计算!$C$32-(10/(逐级计算!$Q$32*LN(10))*(MAX((LN(10^(逐级计算!$Q$32/10)-1)+逐级计算!$Q$32*(AF69-逐级计算!$P$32)*LN(10)/10),0)+LN(1+EXP(-ABS((LN(10^(逐级计算!$Q$32/10)-1)+逐级计算!$Q$32*(AF69-逐级计算!$P$32)*LN(10)/10))))))),"")</f>
        <v>13.7930365742089</v>
      </c>
      <c r="AH69">
        <f>IF(AND(ISNUMBER(AG69),逐级计算!$X$33&gt;-1),IF(逐级计算!$X$33=0,AG69+逐级计算!$C$33,AG69+逐级计算!$C$33-(10/(逐级计算!$Q$33*LN(10))*(MAX((LN(10^(逐级计算!$Q$33/10)-1)+逐级计算!$Q$33*(AG69-逐级计算!$P$33)*LN(10)/10),0)+LN(1+EXP(-ABS((LN(10^(逐级计算!$Q$33/10)-1)+逐级计算!$Q$33*(AG69-逐级计算!$P$33)*LN(10)/10))))))),"")</f>
        <v>13.7930365742089</v>
      </c>
      <c r="AI69">
        <f>IF(AND(ISNUMBER(AH69),逐级计算!$X$34&gt;-1),IF(逐级计算!$X$34=0,AH69+逐级计算!$C$34,AH69+逐级计算!$C$34-(10/(逐级计算!$Q$34*LN(10))*(MAX((LN(10^(逐级计算!$Q$34/10)-1)+逐级计算!$Q$34*(AH69-逐级计算!$P$34)*LN(10)/10),0)+LN(1+EXP(-ABS((LN(10^(逐级计算!$Q$34/10)-1)+逐级计算!$Q$34*(AH69-逐级计算!$P$34)*LN(10)/10))))))),"")</f>
        <v>13.7930365742089</v>
      </c>
      <c r="AJ69">
        <f>IF(AND(ISNUMBER(AI69),逐级计算!$X$35&gt;-1),IF(逐级计算!$X$35=0,AI69+逐级计算!$C$35,AI69+逐级计算!$C$35-(10/(逐级计算!$Q$35*LN(10))*(MAX((LN(10^(逐级计算!$Q$35/10)-1)+逐级计算!$Q$35*(AI69-逐级计算!$P$35)*LN(10)/10),0)+LN(1+EXP(-ABS((LN(10^(逐级计算!$Q$35/10)-1)+逐级计算!$Q$35*(AI69-逐级计算!$P$35)*LN(10)/10))))))),"")</f>
        <v>13.7930365742089</v>
      </c>
      <c r="AK69">
        <f>IF(AND(ISNUMBER(AJ69),逐级计算!$X$36&gt;-1),IF(逐级计算!$X$36=0,AJ69+逐级计算!$C$36,AJ69+逐级计算!$C$36-(10/(逐级计算!$Q$36*LN(10))*(MAX((LN(10^(逐级计算!$Q$36/10)-1)+逐级计算!$Q$36*(AJ69-逐级计算!$P$36)*LN(10)/10),0)+LN(1+EXP(-ABS((LN(10^(逐级计算!$Q$36/10)-1)+逐级计算!$Q$36*(AJ69-逐级计算!$P$36)*LN(10)/10))))))),"")</f>
        <v>13.7930365742089</v>
      </c>
      <c r="AL69">
        <f>IF(AND(ISNUMBER(AK69),逐级计算!$X$37&gt;-1),IF(逐级计算!$X$37=0,AK69+逐级计算!$C$37,AK69+逐级计算!$C$37-(10/(逐级计算!$Q$37*LN(10))*(MAX((LN(10^(逐级计算!$Q$37/10)-1)+逐级计算!$Q$37*(AK69-逐级计算!$P$37)*LN(10)/10),0)+LN(1+EXP(-ABS((LN(10^(逐级计算!$Q$37/10)-1)+逐级计算!$Q$37*(AK69-逐级计算!$P$37)*LN(10)/10))))))),"")</f>
        <v>13.7930365742089</v>
      </c>
      <c r="AM69">
        <f>IF(AND(ISNUMBER(AL69),逐级计算!$X$38&gt;-1),IF(逐级计算!$X$38=0,AL69+逐级计算!$C$38,AL69+逐级计算!$C$38-(10/(逐级计算!$Q$38*LN(10))*(MAX((LN(10^(逐级计算!$Q$38/10)-1)+逐级计算!$Q$38*(AL69-逐级计算!$P$38)*LN(10)/10),0)+LN(1+EXP(-ABS((LN(10^(逐级计算!$Q$38/10)-1)+逐级计算!$Q$38*(AL69-逐级计算!$P$38)*LN(10)/10))))))),"")</f>
        <v>13.7930365742089</v>
      </c>
      <c r="AN69">
        <f>IF(AND(ISNUMBER(AM69),逐级计算!$X$39&gt;-1),IF(逐级计算!$X$39=0,AM69+逐级计算!$C$39,AM69+逐级计算!$C$39-(10/(逐级计算!$Q$39*LN(10))*(MAX((LN(10^(逐级计算!$Q$39/10)-1)+逐级计算!$Q$39*(AM69-逐级计算!$P$39)*LN(10)/10),0)+LN(1+EXP(-ABS((LN(10^(逐级计算!$Q$39/10)-1)+逐级计算!$Q$39*(AM69-逐级计算!$P$39)*LN(10)/10))))))),"")</f>
        <v>13.7930365742089</v>
      </c>
      <c r="AO69">
        <f>IF(AND(ISNUMBER(AN69),逐级计算!$X$40&gt;-1),IF(逐级计算!$X$40=0,AN69+逐级计算!$C$40,AN69+逐级计算!$C$40-(10/(逐级计算!$Q$40*LN(10))*(MAX((LN(10^(逐级计算!$Q$40/10)-1)+逐级计算!$Q$40*(AN69-逐级计算!$P$40)*LN(10)/10),0)+LN(1+EXP(-ABS((LN(10^(逐级计算!$Q$40/10)-1)+逐级计算!$Q$40*(AN69-逐级计算!$P$40)*LN(10)/10))))))),"")</f>
        <v>13.7930365742089</v>
      </c>
      <c r="AP69">
        <f>IF(AND(ISNUMBER(AO69),逐级计算!$X$41&gt;-1),IF(逐级计算!$X$41=0,AO69+逐级计算!$C$41,AO69+逐级计算!$C$41-(10/(逐级计算!$Q$41*LN(10))*(MAX((LN(10^(逐级计算!$Q$41/10)-1)+逐级计算!$Q$41*(AO69-逐级计算!$P$41)*LN(10)/10),0)+LN(1+EXP(-ABS((LN(10^(逐级计算!$Q$41/10)-1)+逐级计算!$Q$41*(AO69-逐级计算!$P$41)*LN(10)/10))))))),"")</f>
        <v>13.7930365742089</v>
      </c>
      <c r="AQ69">
        <f>IF(AND(ISNUMBER(AP69),逐级计算!$X$42&gt;-1),IF(逐级计算!$X$42=0,AP69+逐级计算!$C$42,AP69+逐级计算!$C$42-(10/(逐级计算!$Q$42*LN(10))*(MAX((LN(10^(逐级计算!$Q$42/10)-1)+逐级计算!$Q$42*(AP69-逐级计算!$P$42)*LN(10)/10),0)+LN(1+EXP(-ABS((LN(10^(逐级计算!$Q$42/10)-1)+逐级计算!$Q$42*(AP69-逐级计算!$P$42)*LN(10)/10))))))),"")</f>
        <v>13.7930365742089</v>
      </c>
      <c r="AR69">
        <f>IF(AND(ISNUMBER(AQ69),逐级计算!$X$43&gt;-1),IF(逐级计算!$X$43=0,AQ69+逐级计算!$C$43,AQ69+逐级计算!$C$43-(10/(逐级计算!$Q$43*LN(10))*(MAX((LN(10^(逐级计算!$Q$43/10)-1)+逐级计算!$Q$43*(AQ69-逐级计算!$P$43)*LN(10)/10),0)+LN(1+EXP(-ABS((LN(10^(逐级计算!$Q$43/10)-1)+逐级计算!$Q$43*(AQ69-逐级计算!$P$43)*LN(10)/10))))))),"")</f>
        <v>13.7930365742089</v>
      </c>
      <c r="AS69">
        <f>IF(AND(ISNUMBER(AR69),逐级计算!$X$44&gt;-1),IF(逐级计算!$X$44=0,AR69+逐级计算!$C$44,AR69+逐级计算!$C$44-(10/(逐级计算!$Q$44*LN(10))*(MAX((LN(10^(逐级计算!$Q$44/10)-1)+逐级计算!$Q$44*(AR69-逐级计算!$P$44)*LN(10)/10),0)+LN(1+EXP(-ABS((LN(10^(逐级计算!$Q$44/10)-1)+逐级计算!$Q$44*(AR69-逐级计算!$P$44)*LN(10)/10))))))),"")</f>
        <v>13.7930365742089</v>
      </c>
      <c r="AT69">
        <f>IF(AND(ISNUMBER(AS69),逐级计算!$X$45&gt;-1),IF(逐级计算!$X$45=0,AS69+逐级计算!$C$45,AS69+逐级计算!$C$45-(10/(逐级计算!$Q$45*LN(10))*(MAX((LN(10^(逐级计算!$Q$45/10)-1)+逐级计算!$Q$45*(AS69-逐级计算!$P$45)*LN(10)/10),0)+LN(1+EXP(-ABS((LN(10^(逐级计算!$Q$45/10)-1)+逐级计算!$Q$45*(AS69-逐级计算!$P$45)*LN(10)/10))))))),"")</f>
        <v>13.7930365742089</v>
      </c>
      <c r="AU69">
        <f>IF(AND(ISNUMBER(AT69),逐级计算!$X$46&gt;-1),IF(逐级计算!$X$46=0,AT69+逐级计算!$C$46,AT69+逐级计算!$C$46-(10/(逐级计算!$Q$46*LN(10))*(MAX((LN(10^(逐级计算!$Q$46/10)-1)+逐级计算!$Q$46*(AT69-逐级计算!$P$46)*LN(10)/10),0)+LN(1+EXP(-ABS((LN(10^(逐级计算!$Q$46/10)-1)+逐级计算!$Q$46*(AT69-逐级计算!$P$46)*LN(10)/10))))))),"")</f>
        <v>13.7930365742089</v>
      </c>
      <c r="AV69">
        <f>IF(AND(ISNUMBER(AU69),逐级计算!$X$47&gt;-1),IF(逐级计算!$X$47=0,AU69+逐级计算!$C$47,AU69+逐级计算!$C$47-(10/(逐级计算!$Q$47*LN(10))*(MAX((LN(10^(逐级计算!$Q$47/10)-1)+逐级计算!$Q$47*(AU69-逐级计算!$P$47)*LN(10)/10),0)+LN(1+EXP(-ABS((LN(10^(逐级计算!$Q$47/10)-1)+逐级计算!$Q$47*(AU69-逐级计算!$P$47)*LN(10)/10))))))),"")</f>
        <v>13.7930365742089</v>
      </c>
      <c r="AW69">
        <f>IF(AND(ISNUMBER(AV69),逐级计算!$X$48&gt;-1),IF(逐级计算!$X$48=0,AV69+逐级计算!$C$48,AV69+逐级计算!$C$48-(10/(逐级计算!$Q$48*LN(10))*(MAX((LN(10^(逐级计算!$Q$48/10)-1)+逐级计算!$Q$48*(AV69-逐级计算!$P$48)*LN(10)/10),0)+LN(1+EXP(-ABS((LN(10^(逐级计算!$Q$48/10)-1)+逐级计算!$Q$48*(AV69-逐级计算!$P$48)*LN(10)/10))))))),"")</f>
        <v>13.7930365742089</v>
      </c>
      <c r="AX69">
        <f>IF(AND(ISNUMBER(AW69),逐级计算!$X$49&gt;-1),IF(逐级计算!$X$49=0,AW69+逐级计算!$C$49,AW69+逐级计算!$C$49-(10/(逐级计算!$Q$49*LN(10))*(MAX((LN(10^(逐级计算!$Q$49/10)-1)+逐级计算!$Q$49*(AW69-逐级计算!$P$49)*LN(10)/10),0)+LN(1+EXP(-ABS((LN(10^(逐级计算!$Q$49/10)-1)+逐级计算!$Q$49*(AW69-逐级计算!$P$49)*LN(10)/10))))))),"")</f>
        <v>13.7930365742089</v>
      </c>
      <c r="AY69">
        <f>IF(AND(ISNUMBER(AX69),逐级计算!$X$50&gt;-1),IF(逐级计算!$X$50=0,AX69+逐级计算!$C$50,AX69+逐级计算!$C$50-(10/(逐级计算!$Q$50*LN(10))*(MAX((LN(10^(逐级计算!$Q$50/10)-1)+逐级计算!$Q$50*(AX69-逐级计算!$P$50)*LN(10)/10),0)+LN(1+EXP(-ABS((LN(10^(逐级计算!$Q$50/10)-1)+逐级计算!$Q$50*(AX69-逐级计算!$P$50)*LN(10)/10))))))),"")</f>
        <v>13.7930365742089</v>
      </c>
      <c r="AZ69">
        <f>IF(AND(ISNUMBER(AY69),逐级计算!$X$51&gt;-1),IF(逐级计算!$X$51=0,AY69+逐级计算!$C$51,AY69+逐级计算!$C$51-(10/(逐级计算!$Q$51*LN(10))*(MAX((LN(10^(逐级计算!$Q$51/10)-1)+逐级计算!$Q$51*(AY69-逐级计算!$P$51)*LN(10)/10),0)+LN(1+EXP(-ABS((LN(10^(逐级计算!$Q$51/10)-1)+逐级计算!$Q$51*(AY69-逐级计算!$P$51)*LN(10)/10))))))),"")</f>
        <v>13.7930365742089</v>
      </c>
      <c r="BA69">
        <f>IF(AND(ISNUMBER(AZ69),逐级计算!$X$52&gt;-1),IF(逐级计算!$X$52=0,AZ69+逐级计算!$C$52,AZ69+逐级计算!$C$52-(10/(逐级计算!$Q$52*LN(10))*(MAX((LN(10^(逐级计算!$Q$52/10)-1)+逐级计算!$Q$52*(AZ69-逐级计算!$P$52)*LN(10)/10),0)+LN(1+EXP(-ABS((LN(10^(逐级计算!$Q$52/10)-1)+逐级计算!$Q$52*(AZ69-逐级计算!$P$52)*LN(10)/10))))))),"")</f>
        <v>13.7930365742089</v>
      </c>
      <c r="BB69">
        <f>IF(AND(ISNUMBER(BA69),逐级计算!$X$53&gt;-1),IF(逐级计算!$X$53=0,BA69+逐级计算!$C$53,BA69+逐级计算!$C$53-(10/(逐级计算!$Q$53*LN(10))*(MAX((LN(10^(逐级计算!$Q$53/10)-1)+逐级计算!$Q$53*(BA69-逐级计算!$P$53)*LN(10)/10),0)+LN(1+EXP(-ABS((LN(10^(逐级计算!$Q$53/10)-1)+逐级计算!$Q$53*(BA69-逐级计算!$P$53)*LN(10)/10))))))),"")</f>
        <v>13.7930365742089</v>
      </c>
      <c r="BC69">
        <f>IF(AND(ISNUMBER(BB69),逐级计算!$X$54&gt;-1),IF(逐级计算!$X$54=0,BB69+逐级计算!$C$54,BB69+逐级计算!$C$54-(10/(逐级计算!$Q$54*LN(10))*(MAX((LN(10^(逐级计算!$Q$54/10)-1)+逐级计算!$Q$54*(BB69-逐级计算!$P$54)*LN(10)/10),0)+LN(1+EXP(-ABS((LN(10^(逐级计算!$Q$54/10)-1)+逐级计算!$Q$54*(BB69-逐级计算!$P$54)*LN(10)/10))))))),"")</f>
        <v>13.7930365742089</v>
      </c>
      <c r="BD69">
        <f>IF(AND(ISNUMBER(BC69),逐级计算!$X$55&gt;-1),IF(逐级计算!$X$55=0,BC69+逐级计算!$C$55,BC69+逐级计算!$C$55-(10/(逐级计算!$Q$55*LN(10))*(MAX((LN(10^(逐级计算!$Q$55/10)-1)+逐级计算!$Q$55*(BC69-逐级计算!$P$55)*LN(10)/10),0)+LN(1+EXP(-ABS((LN(10^(逐级计算!$Q$55/10)-1)+逐级计算!$Q$55*(BC69-逐级计算!$P$55)*LN(10)/10))))))),"")</f>
        <v>13.7930365742089</v>
      </c>
      <c r="BE69">
        <f>IF(AND(ISNUMBER(BD69),逐级计算!$X$56&gt;-1),IF(逐级计算!$X$56=0,BD69+逐级计算!$C$56,BD69+逐级计算!$C$56-(10/(逐级计算!$Q$56*LN(10))*(MAX((LN(10^(逐级计算!$Q$56/10)-1)+逐级计算!$Q$56*(BD69-逐级计算!$P$56)*LN(10)/10),0)+LN(1+EXP(-ABS((LN(10^(逐级计算!$Q$56/10)-1)+逐级计算!$Q$56*(BD69-逐级计算!$P$56)*LN(10)/10))))))),"")</f>
        <v>13.7930365742089</v>
      </c>
      <c r="BF69">
        <f>IF(AND(ISNUMBER(BE69),逐级计算!$X$57&gt;-1),IF(逐级计算!$X$57=0,BE69+逐级计算!$C$57,BE69+逐级计算!$C$57-(10/(逐级计算!$Q$57*LN(10))*(MAX((LN(10^(逐级计算!$Q$57/10)-1)+逐级计算!$Q$57*(BE69-逐级计算!$P$57)*LN(10)/10),0)+LN(1+EXP(-ABS((LN(10^(逐级计算!$Q$57/10)-1)+逐级计算!$Q$57*(BE69-逐级计算!$P$57)*LN(10)/10))))))),"")</f>
        <v>13.7930365742089</v>
      </c>
      <c r="BG69">
        <f>IF(AND(ISNUMBER(BF69),逐级计算!$X$58&gt;-1),IF(逐级计算!$X$58=0,BF69+逐级计算!$C$58,BF69+逐级计算!$C$58-(10/(逐级计算!$Q$58*LN(10))*(MAX((LN(10^(逐级计算!$Q$58/10)-1)+逐级计算!$Q$58*(BF69-逐级计算!$P$58)*LN(10)/10),0)+LN(1+EXP(-ABS((LN(10^(逐级计算!$Q$58/10)-1)+逐级计算!$Q$58*(BF69-逐级计算!$P$58)*LN(10)/10))))))),"")</f>
        <v>13.7930365742089</v>
      </c>
      <c r="BH69">
        <f>IF(AND(ISNUMBER(BG69),逐级计算!$X$59&gt;-1),IF(逐级计算!$X$59=0,BG69+逐级计算!$C$59,BG69+逐级计算!$C$59-(10/(逐级计算!$Q$59*LN(10))*(MAX((LN(10^(逐级计算!$Q$59/10)-1)+逐级计算!$Q$59*(BG69-逐级计算!$P$59)*LN(10)/10),0)+LN(1+EXP(-ABS((LN(10^(逐级计算!$Q$59/10)-1)+逐级计算!$Q$59*(BG69-逐级计算!$P$59)*LN(10)/10))))))),"")</f>
        <v>13.7930365742089</v>
      </c>
      <c r="BI69">
        <f>IF(AND(ISNUMBER(BH69),逐级计算!$X$60&gt;-1),IF(逐级计算!$X$60=0,BH69+逐级计算!$C$60,BH69+逐级计算!$C$60-(10/(逐级计算!$Q$60*LN(10))*(MAX((LN(10^(逐级计算!$Q$60/10)-1)+逐级计算!$Q$60*(BH69-逐级计算!$P$60)*LN(10)/10),0)+LN(1+EXP(-ABS((LN(10^(逐级计算!$Q$60/10)-1)+逐级计算!$Q$60*(BH69-逐级计算!$P$60)*LN(10)/10))))))),"")</f>
        <v>13.7930365742089</v>
      </c>
      <c r="BJ69">
        <f>IF(AND(ISNUMBER(BI69),逐级计算!$X$61&gt;-1),IF(逐级计算!$X$61=0,BI69+逐级计算!$C$61,BI69+逐级计算!$C$61-(10/(逐级计算!$Q$61*LN(10))*(MAX((LN(10^(逐级计算!$Q$61/10)-1)+逐级计算!$Q$61*(BI69-逐级计算!$P$61)*LN(10)/10),0)+LN(1+EXP(-ABS((LN(10^(逐级计算!$Q$61/10)-1)+逐级计算!$Q$61*(BI69-逐级计算!$P$61)*LN(10)/10))))))),"")</f>
        <v>13.7930365742089</v>
      </c>
      <c r="BK69">
        <f>IF(AND(ISNUMBER(BJ69),逐级计算!$X$62&gt;-1),IF(逐级计算!$X$62=0,BJ69+逐级计算!$C$62,BJ69+逐级计算!$C$62-(10/(逐级计算!$Q$62*LN(10))*(MAX((LN(10^(逐级计算!$Q$62/10)-1)+逐级计算!$Q$62*(BJ69-逐级计算!$P$62)*LN(10)/10),0)+LN(1+EXP(-ABS((LN(10^(逐级计算!$Q$62/10)-1)+逐级计算!$Q$62*(BJ69-逐级计算!$P$62)*LN(10)/10))))))),"")</f>
        <v>13.7930365742089</v>
      </c>
      <c r="BL69">
        <f>IF(AND(ISNUMBER(BK69),逐级计算!$X$63&gt;-1),IF(逐级计算!$X$63=0,BK69+逐级计算!$C$63,BK69+逐级计算!$C$63-(10/(逐级计算!$Q$63*LN(10))*(MAX((LN(10^(逐级计算!$Q$63/10)-1)+逐级计算!$Q$63*(BK69-逐级计算!$P$63)*LN(10)/10),0)+LN(1+EXP(-ABS((LN(10^(逐级计算!$Q$63/10)-1)+逐级计算!$Q$63*(BK69-逐级计算!$P$63)*LN(10)/10))))))),"")</f>
        <v>13.7930365742089</v>
      </c>
      <c r="BM69">
        <f>IF(AND(ISNUMBER(BL69),逐级计算!$X$64&gt;-1),IF(逐级计算!$X$64=0,BL69+逐级计算!$C$64,BL69+逐级计算!$C$64-(10/(逐级计算!$Q$64*LN(10))*(MAX((LN(10^(逐级计算!$Q$64/10)-1)+逐级计算!$Q$64*(BL69-逐级计算!$P$64)*LN(10)/10),0)+LN(1+EXP(-ABS((LN(10^(逐级计算!$Q$64/10)-1)+逐级计算!$Q$64*(BL69-逐级计算!$P$64)*LN(10)/10))))))),"")</f>
        <v>13.7930365742089</v>
      </c>
      <c r="BN69">
        <f>IF(AND(ISNUMBER(BM69),逐级计算!$X$65&gt;-1),IF(逐级计算!$X$65=0,BM69+逐级计算!$C$65,BM69+逐级计算!$C$65-(10/(逐级计算!$Q$65*LN(10))*(MAX((LN(10^(逐级计算!$Q$65/10)-1)+逐级计算!$Q$65*(BM69-逐级计算!$P$65)*LN(10)/10),0)+LN(1+EXP(-ABS((LN(10^(逐级计算!$Q$65/10)-1)+逐级计算!$Q$65*(BM69-逐级计算!$P$65)*LN(10)/10))))))),"")</f>
        <v>13.7930365742089</v>
      </c>
      <c r="BO69">
        <f>IF(AND(ISNUMBER(BN69),逐级计算!$X$66&gt;-1),IF(逐级计算!$X$66=0,BN69+逐级计算!$C$66,BN69+逐级计算!$C$66-(10/(逐级计算!$Q$66*LN(10))*(MAX((LN(10^(逐级计算!$Q$66/10)-1)+逐级计算!$Q$66*(BN69-逐级计算!$P$66)*LN(10)/10),0)+LN(1+EXP(-ABS((LN(10^(逐级计算!$Q$66/10)-1)+逐级计算!$Q$66*(BN69-逐级计算!$P$66)*LN(10)/10))))))),"")</f>
        <v>13.7930365742089</v>
      </c>
      <c r="BP69">
        <f>IF(AND(ISNUMBER(BO69),逐级计算!$X$67&gt;-1),IF(逐级计算!$X$67=0,BO69+逐级计算!$C$67,BO69+逐级计算!$C$67-(10/(逐级计算!$Q$67*LN(10))*(MAX((LN(10^(逐级计算!$Q$67/10)-1)+逐级计算!$Q$67*(BO69-逐级计算!$P$67)*LN(10)/10),0)+LN(1+EXP(-ABS((LN(10^(逐级计算!$Q$67/10)-1)+逐级计算!$Q$67*(BO69-逐级计算!$P$67)*LN(10)/10))))))),"")</f>
        <v>13.7930365742089</v>
      </c>
      <c r="BQ69">
        <f>IF(AND(ISNUMBER(BP69),逐级计算!$X$68&gt;-1),IF(逐级计算!$X$68=0,BP69+逐级计算!$C$68,BP69+逐级计算!$C$68-(10/(逐级计算!$Q$68*LN(10))*(MAX((LN(10^(逐级计算!$Q$68/10)-1)+逐级计算!$Q$68*(BP69-逐级计算!$P$68)*LN(10)/10),0)+LN(1+EXP(-ABS((LN(10^(逐级计算!$Q$68/10)-1)+逐级计算!$Q$68*(BP69-逐级计算!$P$68)*LN(10)/10))))))),"")</f>
        <v>13.7930365742089</v>
      </c>
      <c r="BR69">
        <f>IF(AND(ISNUMBER(BQ69),逐级计算!$X$69&gt;-1),IF(逐级计算!$X$69=0,BQ69+逐级计算!$C$69,BQ69+逐级计算!$C$69-(10/(逐级计算!$Q$69*LN(10))*(MAX((LN(10^(逐级计算!$Q$69/10)-1)+逐级计算!$Q$69*(BQ69-逐级计算!$P$69)*LN(10)/10),0)+LN(1+EXP(-ABS((LN(10^(逐级计算!$Q$69/10)-1)+逐级计算!$Q$69*(BQ69-逐级计算!$P$69)*LN(10)/10))))))),"")</f>
        <v>13.7930365742089</v>
      </c>
      <c r="BS69">
        <f>IF(AND(ISNUMBER(BR69),逐级计算!$X$70&gt;-1),IF(逐级计算!$X$70=0,BR69+逐级计算!$C$70,BR69+逐级计算!$C$70-(10/(逐级计算!$Q$70*LN(10))*(MAX((LN(10^(逐级计算!$Q$70/10)-1)+逐级计算!$Q$70*(BR69-逐级计算!$P$70)*LN(10)/10),0)+LN(1+EXP(-ABS((LN(10^(逐级计算!$Q$70/10)-1)+逐级计算!$Q$70*(BR69-逐级计算!$P$70)*LN(10)/10))))))),"")</f>
        <v>13.7930365742089</v>
      </c>
      <c r="BT69">
        <f>IF(AND(ISNUMBER(BS69),逐级计算!$X$71&gt;-1),IF(逐级计算!$X$71=0,BS69+逐级计算!$C$71,BS69+逐级计算!$C$71-(10/(逐级计算!$Q$71*LN(10))*(MAX((LN(10^(逐级计算!$Q$71/10)-1)+逐级计算!$Q$71*(BS69-逐级计算!$P$71)*LN(10)/10),0)+LN(1+EXP(-ABS((LN(10^(逐级计算!$Q$71/10)-1)+逐级计算!$Q$71*(BS69-逐级计算!$P$71)*LN(10)/10))))))),"")</f>
        <v>13.7930365742089</v>
      </c>
      <c r="BU69">
        <f>IF(AND(ISNUMBER(BT69),逐级计算!$X$72&gt;-1),IF(逐级计算!$X$72=0,BT69+逐级计算!$C$72,BT69+逐级计算!$C$72-(10/(逐级计算!$Q$72*LN(10))*(MAX((LN(10^(逐级计算!$Q$72/10)-1)+逐级计算!$Q$72*(BT69-逐级计算!$P$72)*LN(10)/10),0)+LN(1+EXP(-ABS((LN(10^(逐级计算!$Q$72/10)-1)+逐级计算!$Q$72*(BT69-逐级计算!$P$72)*LN(10)/10))))))),"")</f>
        <v>13.7930365742089</v>
      </c>
      <c r="BV69">
        <f>IF(AND(ISNUMBER(BU69),逐级计算!$X$73&gt;-1),IF(逐级计算!$X$73=0,BU69+逐级计算!$C$73,BU69+逐级计算!$C$73-(10/(逐级计算!$Q$73*LN(10))*(MAX((LN(10^(逐级计算!$Q$73/10)-1)+逐级计算!$Q$73*(BU69-逐级计算!$P$73)*LN(10)/10),0)+LN(1+EXP(-ABS((LN(10^(逐级计算!$Q$73/10)-1)+逐级计算!$Q$73*(BU69-逐级计算!$P$73)*LN(10)/10))))))),"")</f>
        <v>13.7930365742089</v>
      </c>
      <c r="BW69">
        <f>IF(AND(ISNUMBER(BV69),逐级计算!$X$74&gt;-1),IF(逐级计算!$X$74=0,BV69+逐级计算!$C$74,BV69+逐级计算!$C$74-(10/(逐级计算!$Q$74*LN(10))*(MAX((LN(10^(逐级计算!$Q$74/10)-1)+逐级计算!$Q$74*(BV69-逐级计算!$P$74)*LN(10)/10),0)+LN(1+EXP(-ABS((LN(10^(逐级计算!$Q$74/10)-1)+逐级计算!$Q$74*(BV69-逐级计算!$P$74)*LN(10)/10))))))),"")</f>
        <v>13.7930365742089</v>
      </c>
      <c r="BX69">
        <f>IF(AND(ISNUMBER(BW69),逐级计算!$X$75&gt;-1),IF(逐级计算!$X$75=0,BW69+逐级计算!$C$75,BW69+逐级计算!$C$75-(10/(逐级计算!$Q$75*LN(10))*(MAX((LN(10^(逐级计算!$Q$75/10)-1)+逐级计算!$Q$75*(BW69-逐级计算!$P$75)*LN(10)/10),0)+LN(1+EXP(-ABS((LN(10^(逐级计算!$Q$75/10)-1)+逐级计算!$Q$75*(BW69-逐级计算!$P$75)*LN(10)/10))))))),"")</f>
        <v>13.7930365742089</v>
      </c>
      <c r="BY69">
        <f>IF(AND(ISNUMBER(BX69),逐级计算!$X$76&gt;-1),IF(逐级计算!$X$76=0,BX69+逐级计算!$C$76,BX69+逐级计算!$C$76-(10/(逐级计算!$Q$76*LN(10))*(MAX((LN(10^(逐级计算!$Q$76/10)-1)+逐级计算!$Q$76*(BX69-逐级计算!$P$76)*LN(10)/10),0)+LN(1+EXP(-ABS((LN(10^(逐级计算!$Q$76/10)-1)+逐级计算!$Q$76*(BX69-逐级计算!$P$76)*LN(10)/10))))))),"")</f>
        <v>13.7930365742089</v>
      </c>
      <c r="BZ69">
        <f>IF(AND(ISNUMBER(BY69),逐级计算!$X$77&gt;-1),IF(逐级计算!$X$77=0,BY69+逐级计算!$C$77,BY69+逐级计算!$C$77-(10/(逐级计算!$Q$77*LN(10))*(MAX((LN(10^(逐级计算!$Q$77/10)-1)+逐级计算!$Q$77*(BY69-逐级计算!$P$77)*LN(10)/10),0)+LN(1+EXP(-ABS((LN(10^(逐级计算!$Q$77/10)-1)+逐级计算!$Q$77*(BY69-逐级计算!$P$77)*LN(10)/10))))))),"")</f>
        <v>13.7930365742089</v>
      </c>
      <c r="CA69">
        <f>IF(AND(ISNUMBER(BZ69),逐级计算!$X$78&gt;-1),IF(逐级计算!$X$78=0,BZ69+逐级计算!$C$78,BZ69+逐级计算!$C$78-(10/(逐级计算!$Q$78*LN(10))*(MAX((LN(10^(逐级计算!$Q$78/10)-1)+逐级计算!$Q$78*(BZ69-逐级计算!$P$78)*LN(10)/10),0)+LN(1+EXP(-ABS((LN(10^(逐级计算!$Q$78/10)-1)+逐级计算!$Q$78*(BZ69-逐级计算!$P$78)*LN(10)/10))))))),"")</f>
        <v>13.7930365742089</v>
      </c>
      <c r="CB69">
        <f>IF(AND(ISNUMBER(CA69),逐级计算!$X$79&gt;-1),IF(逐级计算!$X$79=0,CA69+逐级计算!$C$79,CA69+逐级计算!$C$79-(10/(逐级计算!$Q$79*LN(10))*(MAX((LN(10^(逐级计算!$Q$79/10)-1)+逐级计算!$Q$79*(CA69-逐级计算!$P$79)*LN(10)/10),0)+LN(1+EXP(-ABS((LN(10^(逐级计算!$Q$79/10)-1)+逐级计算!$Q$79*(CA69-逐级计算!$P$79)*LN(10)/10))))))),"")</f>
        <v>13.7930365742089</v>
      </c>
      <c r="CC69">
        <f>IF(AND(ISNUMBER(CB69),逐级计算!$X$80&gt;-1),IF(逐级计算!$X$80=0,CB69+逐级计算!$C$80,CB69+逐级计算!$C$80-(10/(逐级计算!$Q$80*LN(10))*(MAX((LN(10^(逐级计算!$Q$80/10)-1)+逐级计算!$Q$80*(CB69-逐级计算!$P$80)*LN(10)/10),0)+LN(1+EXP(-ABS((LN(10^(逐级计算!$Q$80/10)-1)+逐级计算!$Q$80*(CB69-逐级计算!$P$80)*LN(10)/10))))))),"")</f>
        <v>13.7930365742089</v>
      </c>
      <c r="CD69">
        <f>IF(AND(ISNUMBER(CC69),逐级计算!$X$81&gt;-1),IF(逐级计算!$X$81=0,CC69+逐级计算!$C$81,CC69+逐级计算!$C$81-(10/(逐级计算!$Q$81*LN(10))*(MAX((LN(10^(逐级计算!$Q$81/10)-1)+逐级计算!$Q$81*(CC69-逐级计算!$P$81)*LN(10)/10),0)+LN(1+EXP(-ABS((LN(10^(逐级计算!$Q$81/10)-1)+逐级计算!$Q$81*(CC69-逐级计算!$P$81)*LN(10)/10))))))),"")</f>
        <v>13.7930365742089</v>
      </c>
      <c r="CE69">
        <f>IF(AND(ISNUMBER(CD69),逐级计算!$X$82&gt;-1),IF(逐级计算!$X$82=0,CD69+逐级计算!$C$82,CD69+逐级计算!$C$82-(10/(逐级计算!$Q$82*LN(10))*(MAX((LN(10^(逐级计算!$Q$82/10)-1)+逐级计算!$Q$82*(CD69-逐级计算!$P$82)*LN(10)/10),0)+LN(1+EXP(-ABS((LN(10^(逐级计算!$Q$82/10)-1)+逐级计算!$Q$82*(CD69-逐级计算!$P$82)*LN(10)/10))))))),"")</f>
        <v>13.7930365742089</v>
      </c>
      <c r="CF69">
        <f>IF(AND(ISNUMBER(CE69),逐级计算!$X$83&gt;-1),IF(逐级计算!$X$83=0,CE69+逐级计算!$C$83,CE69+逐级计算!$C$83-(10/(逐级计算!$Q$83*LN(10))*(MAX((LN(10^(逐级计算!$Q$83/10)-1)+逐级计算!$Q$83*(CE69-逐级计算!$P$83)*LN(10)/10),0)+LN(1+EXP(-ABS((LN(10^(逐级计算!$Q$83/10)-1)+逐级计算!$Q$83*(CE69-逐级计算!$P$83)*LN(10)/10))))))),"")</f>
        <v>13.7930365742089</v>
      </c>
      <c r="CG69">
        <f>IF(AND(ISNUMBER(CF69),逐级计算!$X$84&gt;-1),IF(逐级计算!$X$84=0,CF69+逐级计算!$C$84,CF69+逐级计算!$C$84-(10/(逐级计算!$Q$84*LN(10))*(MAX((LN(10^(逐级计算!$Q$84/10)-1)+逐级计算!$Q$84*(CF69-逐级计算!$P$84)*LN(10)/10),0)+LN(1+EXP(-ABS((LN(10^(逐级计算!$Q$84/10)-1)+逐级计算!$Q$84*(CF69-逐级计算!$P$84)*LN(10)/10))))))),"")</f>
        <v>13.7930365742089</v>
      </c>
      <c r="CH69">
        <f>IF(AND(ISNUMBER(CG69),逐级计算!$X$85&gt;-1),IF(逐级计算!$X$85=0,CG69+逐级计算!$C$85,CG69+逐级计算!$C$85-(10/(逐级计算!$Q$85*LN(10))*(MAX((LN(10^(逐级计算!$Q$85/10)-1)+逐级计算!$Q$85*(CG69-逐级计算!$P$85)*LN(10)/10),0)+LN(1+EXP(-ABS((LN(10^(逐级计算!$Q$85/10)-1)+逐级计算!$Q$85*(CG69-逐级计算!$P$85)*LN(10)/10))))))),"")</f>
        <v>13.7930365742089</v>
      </c>
      <c r="CI69">
        <f>IF(AND(ISNUMBER(CH69),逐级计算!$X$86&gt;-1),IF(逐级计算!$X$86=0,CH69+逐级计算!$C$86,CH69+逐级计算!$C$86-(10/(逐级计算!$Q$86*LN(10))*(MAX((LN(10^(逐级计算!$Q$86/10)-1)+逐级计算!$Q$86*(CH69-逐级计算!$P$86)*LN(10)/10),0)+LN(1+EXP(-ABS((LN(10^(逐级计算!$Q$86/10)-1)+逐级计算!$Q$86*(CH69-逐级计算!$P$86)*LN(10)/10))))))),"")</f>
        <v>13.7930365742089</v>
      </c>
      <c r="CJ69">
        <f>IF(AND(ISNUMBER(CI69),逐级计算!$X$87&gt;-1),IF(逐级计算!$X$87=0,CI69+逐级计算!$C$87,CI69+逐级计算!$C$87-(10/(逐级计算!$Q$87*LN(10))*(MAX((LN(10^(逐级计算!$Q$87/10)-1)+逐级计算!$Q$87*(CI69-逐级计算!$P$87)*LN(10)/10),0)+LN(1+EXP(-ABS((LN(10^(逐级计算!$Q$87/10)-1)+逐级计算!$Q$87*(CI69-逐级计算!$P$87)*LN(10)/10))))))),"")</f>
        <v>13.7930365742089</v>
      </c>
      <c r="CK69">
        <f>IF(AND(ISNUMBER(CJ69),逐级计算!$X$88&gt;-1),IF(逐级计算!$X$88=0,CJ69+逐级计算!$C$88,CJ69+逐级计算!$C$88-(10/(逐级计算!$Q$88*LN(10))*(MAX((LN(10^(逐级计算!$Q$88/10)-1)+逐级计算!$Q$88*(CJ69-逐级计算!$P$88)*LN(10)/10),0)+LN(1+EXP(-ABS((LN(10^(逐级计算!$Q$88/10)-1)+逐级计算!$Q$88*(CJ69-逐级计算!$P$88)*LN(10)/10))))))),"")</f>
        <v>13.7930365742089</v>
      </c>
      <c r="CL69">
        <f>IF(AND(ISNUMBER(CK69),逐级计算!$X$89&gt;-1),IF(逐级计算!$X$89=0,CK69+逐级计算!$C$89,CK69+逐级计算!$C$89-(10/(逐级计算!$Q$89*LN(10))*(MAX((LN(10^(逐级计算!$Q$89/10)-1)+逐级计算!$Q$89*(CK69-逐级计算!$P$89)*LN(10)/10),0)+LN(1+EXP(-ABS((LN(10^(逐级计算!$Q$89/10)-1)+逐级计算!$Q$89*(CK69-逐级计算!$P$89)*LN(10)/10))))))),"")</f>
        <v>13.7930365742089</v>
      </c>
      <c r="CM69">
        <f>IF(AND(ISNUMBER(CL69),逐级计算!$X$90&gt;-1),IF(逐级计算!$X$90=0,CL69+逐级计算!$C$90,CL69+逐级计算!$C$90-(10/(逐级计算!$Q$90*LN(10))*(MAX((LN(10^(逐级计算!$Q$90/10)-1)+逐级计算!$Q$90*(CL69-逐级计算!$P$90)*LN(10)/10),0)+LN(1+EXP(-ABS((LN(10^(逐级计算!$Q$90/10)-1)+逐级计算!$Q$90*(CL69-逐级计算!$P$90)*LN(10)/10))))))),"")</f>
        <v>13.7930365742089</v>
      </c>
      <c r="CN69">
        <f>IF(AND(ISNUMBER(CM69),逐级计算!$X$91&gt;-1),IF(逐级计算!$X$91=0,CM69+逐级计算!$C$91,CM69+逐级计算!$C$91-(10/(逐级计算!$Q$91*LN(10))*(MAX((LN(10^(逐级计算!$Q$91/10)-1)+逐级计算!$Q$91*(CM69-逐级计算!$P$91)*LN(10)/10),0)+LN(1+EXP(-ABS((LN(10^(逐级计算!$Q$91/10)-1)+逐级计算!$Q$91*(CM69-逐级计算!$P$91)*LN(10)/10))))))),"")</f>
        <v>13.7930365742089</v>
      </c>
      <c r="CO69">
        <f>IF(AND(ISNUMBER(CN69),逐级计算!$X$92&gt;-1),IF(逐级计算!$X$92=0,CN69+逐级计算!$C$92,CN69+逐级计算!$C$92-(10/(逐级计算!$Q$92*LN(10))*(MAX((LN(10^(逐级计算!$Q$92/10)-1)+逐级计算!$Q$92*(CN69-逐级计算!$P$92)*LN(10)/10),0)+LN(1+EXP(-ABS((LN(10^(逐级计算!$Q$92/10)-1)+逐级计算!$Q$92*(CN69-逐级计算!$P$92)*LN(10)/10))))))),"")</f>
        <v>13.7930365742089</v>
      </c>
      <c r="CP69">
        <f>IF(AND(ISNUMBER(CO69),逐级计算!$X$93&gt;-1),IF(逐级计算!$X$93=0,CO69+逐级计算!$C$93,CO69+逐级计算!$C$93-(10/(逐级计算!$Q$93*LN(10))*(MAX((LN(10^(逐级计算!$Q$93/10)-1)+逐级计算!$Q$93*(CO69-逐级计算!$P$93)*LN(10)/10),0)+LN(1+EXP(-ABS((LN(10^(逐级计算!$Q$93/10)-1)+逐级计算!$Q$93*(CO69-逐级计算!$P$93)*LN(10)/10))))))),"")</f>
        <v>13.7930365742089</v>
      </c>
      <c r="CQ69">
        <f>IF(AND(ISNUMBER(CP69),逐级计算!$X$94&gt;-1),IF(逐级计算!$X$94=0,CP69+逐级计算!$C$94,CP69+逐级计算!$C$94-(10/(逐级计算!$Q$94*LN(10))*(MAX((LN(10^(逐级计算!$Q$94/10)-1)+逐级计算!$Q$94*(CP69-逐级计算!$P$94)*LN(10)/10),0)+LN(1+EXP(-ABS((LN(10^(逐级计算!$Q$94/10)-1)+逐级计算!$Q$94*(CP69-逐级计算!$P$94)*LN(10)/10))))))),"")</f>
        <v>13.7930365742089</v>
      </c>
      <c r="CR69">
        <f>IF(AND(ISNUMBER(CQ69),逐级计算!$X$95&gt;-1),IF(逐级计算!$X$95=0,CQ69+逐级计算!$C$95,CQ69+逐级计算!$C$95-(10/(逐级计算!$Q$95*LN(10))*(MAX((LN(10^(逐级计算!$Q$95/10)-1)+逐级计算!$Q$95*(CQ69-逐级计算!$P$95)*LN(10)/10),0)+LN(1+EXP(-ABS((LN(10^(逐级计算!$Q$95/10)-1)+逐级计算!$Q$95*(CQ69-逐级计算!$P$95)*LN(10)/10))))))),"")</f>
        <v>13.7930365742089</v>
      </c>
      <c r="CS69">
        <f>IF(AND(ISNUMBER(CR69),逐级计算!$X$96&gt;-1),IF(逐级计算!$X$96=0,CR69+逐级计算!$C$96,CR69+逐级计算!$C$96-(10/(逐级计算!$Q$96*LN(10))*(MAX((LN(10^(逐级计算!$Q$96/10)-1)+逐级计算!$Q$96*(CR69-逐级计算!$P$96)*LN(10)/10),0)+LN(1+EXP(-ABS((LN(10^(逐级计算!$Q$96/10)-1)+逐级计算!$Q$96*(CR69-逐级计算!$P$96)*LN(10)/10))))))),"")</f>
        <v>13.7930365742089</v>
      </c>
      <c r="CT69">
        <f>IF(AND(ISNUMBER(CS69),逐级计算!$X$97&gt;-1),IF(逐级计算!$X$97=0,CS69+逐级计算!$C$97,CS69+逐级计算!$C$97-(10/(逐级计算!$Q$97*LN(10))*(MAX((LN(10^(逐级计算!$Q$97/10)-1)+逐级计算!$Q$97*(CS69-逐级计算!$P$97)*LN(10)/10),0)+LN(1+EXP(-ABS((LN(10^(逐级计算!$Q$97/10)-1)+逐级计算!$Q$97*(CS69-逐级计算!$P$97)*LN(10)/10))))))),"")</f>
        <v>13.7930365742089</v>
      </c>
      <c r="CU69">
        <f>IF(AND(ISNUMBER(CT69),逐级计算!$X$98&gt;-1),IF(逐级计算!$X$98=0,CT69+逐级计算!$C$98,CT69+逐级计算!$C$98-(10/(逐级计算!$Q$98*LN(10))*(MAX((LN(10^(逐级计算!$Q$98/10)-1)+逐级计算!$Q$98*(CT69-逐级计算!$P$98)*LN(10)/10),0)+LN(1+EXP(-ABS((LN(10^(逐级计算!$Q$98/10)-1)+逐级计算!$Q$98*(CT69-逐级计算!$P$98)*LN(10)/10))))))),"")</f>
        <v>13.7930365742089</v>
      </c>
      <c r="CV69">
        <f>IF(AND(ISNUMBER(CU69),逐级计算!$X$99&gt;-1),IF(逐级计算!$X$99=0,CU69+逐级计算!$C$99,CU69+逐级计算!$C$99-(10/(逐级计算!$Q$99*LN(10))*(MAX((LN(10^(逐级计算!$Q$99/10)-1)+逐级计算!$Q$99*(CU69-逐级计算!$P$99)*LN(10)/10),0)+LN(1+EXP(-ABS((LN(10^(逐级计算!$Q$99/10)-1)+逐级计算!$Q$99*(CU69-逐级计算!$P$99)*LN(10)/10))))))),"")</f>
        <v>13.7930365742089</v>
      </c>
      <c r="CW69">
        <f>IF(AND(ISNUMBER(CV69),逐级计算!$X$100&gt;-1),IF(逐级计算!$X$100=0,CV69+逐级计算!$C$100,CV69+逐级计算!$C$100-(10/(逐级计算!$Q$100*LN(10))*(MAX((LN(10^(逐级计算!$Q$100/10)-1)+逐级计算!$Q$100*(CV69-逐级计算!$P$100)*LN(10)/10),0)+LN(1+EXP(-ABS((LN(10^(逐级计算!$Q$100/10)-1)+逐级计算!$Q$100*(CV69-逐级计算!$P$100)*LN(10)/10))))))),"")</f>
        <v>13.7930365742089</v>
      </c>
      <c r="CX69">
        <f>IF(AND(ISNUMBER(CW69),逐级计算!$X$101&gt;-1),IF(逐级计算!$X$101=0,CW69+逐级计算!$C$101,CW69+逐级计算!$C$101-(10/(逐级计算!$Q$101*LN(10))*(MAX((LN(10^(逐级计算!$Q$101/10)-1)+逐级计算!$Q$101*(CW69-逐级计算!$P$101)*LN(10)/10),0)+LN(1+EXP(-ABS((LN(10^(逐级计算!$Q$101/10)-1)+逐级计算!$Q$101*(CW69-逐级计算!$P$101)*LN(10)/10))))))),"")</f>
        <v>13.7930365742089</v>
      </c>
      <c r="CY69">
        <f>IF(AND(ISNUMBER(CX69),逐级计算!$X$102&gt;-1),IF(逐级计算!$X$102=0,CX69+逐级计算!$C$102,CX69+逐级计算!$C$102-(10/(逐级计算!$Q$102*LN(10))*(MAX((LN(10^(逐级计算!$Q$102/10)-1)+逐级计算!$Q$102*(CX69-逐级计算!$P$102)*LN(10)/10),0)+LN(1+EXP(-ABS((LN(10^(逐级计算!$Q$102/10)-1)+逐级计算!$Q$102*(CX69-逐级计算!$P$102)*LN(10)/10))))))),"")</f>
        <v>13.7930365742089</v>
      </c>
      <c r="CZ69">
        <f>IF(AND(ISNUMBER(CY69),逐级计算!$X$103&gt;-1),IF(逐级计算!$X$103=0,CY69+逐级计算!$C$103,CY69+逐级计算!$C$103-(10/(逐级计算!$Q$103*LN(10))*(MAX((LN(10^(逐级计算!$Q$103/10)-1)+逐级计算!$Q$103*(CY69-逐级计算!$P$103)*LN(10)/10),0)+LN(1+EXP(-ABS((LN(10^(逐级计算!$Q$103/10)-1)+逐级计算!$Q$103*(CY69-逐级计算!$P$103)*LN(10)/10))))))),"")</f>
        <v>13.7930365742089</v>
      </c>
      <c r="DA69">
        <f>IF(AND(ISNUMBER(CZ69),逐级计算!$X$104&gt;-1),IF(逐级计算!$X$104=0,CZ69+逐级计算!$C$104,CZ69+逐级计算!$C$104-(10/(逐级计算!$Q$104*LN(10))*(MAX((LN(10^(逐级计算!$Q$104/10)-1)+逐级计算!$Q$104*(CZ69-逐级计算!$P$104)*LN(10)/10),0)+LN(1+EXP(-ABS((LN(10^(逐级计算!$Q$104/10)-1)+逐级计算!$Q$104*(CZ69-逐级计算!$P$104)*LN(10)/10))))))),"")</f>
        <v>13.7930365742089</v>
      </c>
      <c r="DB69">
        <f>IF(AND(ISNUMBER(DA69),逐级计算!$X$105&gt;-1),IF(逐级计算!$X$105=0,DA69+逐级计算!$C$105,DA69+逐级计算!$C$105-(10/(逐级计算!$Q$105*LN(10))*(MAX((LN(10^(逐级计算!$Q$105/10)-1)+逐级计算!$Q$105*(DA69-逐级计算!$P$105)*LN(10)/10),0)+LN(1+EXP(-ABS((LN(10^(逐级计算!$Q$105/10)-1)+逐级计算!$Q$105*(DA69-逐级计算!$P$105)*LN(10)/10))))))),"")</f>
        <v>13.7930365742089</v>
      </c>
      <c r="DC69">
        <f>IF(AND(ISNUMBER(DB69),逐级计算!$X$106&gt;-1),IF(逐级计算!$X$106=0,DB69+逐级计算!$C$106,DB69+逐级计算!$C$106-(10/(逐级计算!$Q$106*LN(10))*(MAX((LN(10^(逐级计算!$Q$106/10)-1)+逐级计算!$Q$106*(DB69-逐级计算!$P$106)*LN(10)/10),0)+LN(1+EXP(-ABS((LN(10^(逐级计算!$Q$106/10)-1)+逐级计算!$Q$106*(DB69-逐级计算!$P$106)*LN(10)/10))))))),"")</f>
        <v>13.7930365742089</v>
      </c>
      <c r="DD69">
        <f>IF(AND(ISNUMBER(DC69),逐级计算!$X$107&gt;-1),IF(逐级计算!$X$107=0,DC69+逐级计算!$C$107,DC69+逐级计算!$C$107-(10/(逐级计算!$Q$107*LN(10))*(MAX((LN(10^(逐级计算!$Q$107/10)-1)+逐级计算!$Q$107*(DC69-逐级计算!$P$107)*LN(10)/10),0)+LN(1+EXP(-ABS((LN(10^(逐级计算!$Q$107/10)-1)+逐级计算!$Q$107*(DC69-逐级计算!$P$107)*LN(10)/10))))))),"")</f>
        <v>13.7930365742089</v>
      </c>
      <c r="DE69">
        <f>IF(AND(ISNUMBER(DD69),逐级计算!$X$108&gt;-1),IF(逐级计算!$X$108=0,DD69+逐级计算!$C$108,DD69+逐级计算!$C$108-(10/(逐级计算!$Q$108*LN(10))*(MAX((LN(10^(逐级计算!$Q$108/10)-1)+逐级计算!$Q$108*(DD69-逐级计算!$P$108)*LN(10)/10),0)+LN(1+EXP(-ABS((LN(10^(逐级计算!$Q$108/10)-1)+逐级计算!$Q$108*(DD69-逐级计算!$P$108)*LN(10)/10))))))),"")</f>
        <v>13.7930365742089</v>
      </c>
      <c r="DF69">
        <f>IF(AND(ISNUMBER(DE69),逐级计算!$X$109&gt;-1),IF(逐级计算!$X$109=0,DE69+逐级计算!$C$109,DE69+逐级计算!$C$109-(10/(逐级计算!$Q$109*LN(10))*(MAX((LN(10^(逐级计算!$Q$109/10)-1)+逐级计算!$Q$109*(DE69-逐级计算!$P$109)*LN(10)/10),0)+LN(1+EXP(-ABS((LN(10^(逐级计算!$Q$109/10)-1)+逐级计算!$Q$109*(DE69-逐级计算!$P$109)*LN(10)/10))))))),"")</f>
        <v>13.7930365742089</v>
      </c>
      <c r="DG69">
        <f>IF(AND(ISNUMBER(DF69),逐级计算!$X$110&gt;-1),IF(逐级计算!$X$110=0,DF69+逐级计算!$C$110,DF69+逐级计算!$C$110-(10/(逐级计算!$Q$110*LN(10))*(MAX((LN(10^(逐级计算!$Q$110/10)-1)+逐级计算!$Q$110*(DF69-逐级计算!$P$110)*LN(10)/10),0)+LN(1+EXP(-ABS((LN(10^(逐级计算!$Q$110/10)-1)+逐级计算!$Q$110*(DF69-逐级计算!$P$110)*LN(10)/10))))))),"")</f>
        <v>13.7930365742089</v>
      </c>
      <c r="DH69">
        <f>IF(AND(ISNUMBER(DG69),逐级计算!$X$111&gt;-1),IF(逐级计算!$X$111=0,DG69+逐级计算!$C$111,DG69+逐级计算!$C$111-(10/(逐级计算!$Q$111*LN(10))*(MAX((LN(10^(逐级计算!$Q$111/10)-1)+逐级计算!$Q$111*(DG69-逐级计算!$P$111)*LN(10)/10),0)+LN(1+EXP(-ABS((LN(10^(逐级计算!$Q$111/10)-1)+逐级计算!$Q$111*(DG69-逐级计算!$P$111)*LN(10)/10))))))),"")</f>
        <v>13.7930365742089</v>
      </c>
      <c r="DI69">
        <f>IF(AND(ISNUMBER(DH69),逐级计算!$X$112&gt;-1),IF(逐级计算!$X$112=0,DH69+逐级计算!$C$112,DH69+逐级计算!$C$112-(10/(逐级计算!$Q$112*LN(10))*(MAX((LN(10^(逐级计算!$Q$112/10)-1)+逐级计算!$Q$112*(DH69-逐级计算!$P$112)*LN(10)/10),0)+LN(1+EXP(-ABS((LN(10^(逐级计算!$Q$112/10)-1)+逐级计算!$Q$112*(DH69-逐级计算!$P$112)*LN(10)/10))))))),"")</f>
        <v>13.7930365742089</v>
      </c>
      <c r="DJ69">
        <f>IF(AND(ISNUMBER(DI69),逐级计算!$X$113&gt;-1),IF(逐级计算!$X$113=0,DI69+逐级计算!$C$113,DI69+逐级计算!$C$113-(10/(逐级计算!$Q$113*LN(10))*(MAX((LN(10^(逐级计算!$Q$113/10)-1)+逐级计算!$Q$113*(DI69-逐级计算!$P$113)*LN(10)/10),0)+LN(1+EXP(-ABS((LN(10^(逐级计算!$Q$113/10)-1)+逐级计算!$Q$113*(DI69-逐级计算!$P$113)*LN(10)/10))))))),"")</f>
        <v>13.7930365742089</v>
      </c>
      <c r="DK69">
        <f>IF(AND(ISNUMBER(DJ69),逐级计算!$X$114&gt;-1),IF(逐级计算!$X$114=0,DJ69+逐级计算!$C$114,DJ69+逐级计算!$C$114-(10/(逐级计算!$Q$114*LN(10))*(MAX((LN(10^(逐级计算!$Q$114/10)-1)+逐级计算!$Q$114*(DJ69-逐级计算!$P$114)*LN(10)/10),0)+LN(1+EXP(-ABS((LN(10^(逐级计算!$Q$114/10)-1)+逐级计算!$Q$114*(DJ69-逐级计算!$P$114)*LN(10)/10))))))),"")</f>
        <v>13.7930365742089</v>
      </c>
      <c r="DL69">
        <f>IF(AND(ISNUMBER(DK69),逐级计算!$X$115&gt;-1),IF(逐级计算!$X$115=0,DK69+逐级计算!$C$115,DK69+逐级计算!$C$115-(10/(逐级计算!$Q$115*LN(10))*(MAX((LN(10^(逐级计算!$Q$115/10)-1)+逐级计算!$Q$115*(DK69-逐级计算!$P$115)*LN(10)/10),0)+LN(1+EXP(-ABS((LN(10^(逐级计算!$Q$115/10)-1)+逐级计算!$Q$115*(DK69-逐级计算!$P$115)*LN(10)/10))))))),"")</f>
        <v>13.7930365742089</v>
      </c>
      <c r="DM69">
        <f>IF(AND(ISNUMBER(DL69),逐级计算!$X$116&gt;-1),IF(逐级计算!$X$116=0,DL69+逐级计算!$C$116,DL69+逐级计算!$C$116-(10/(逐级计算!$Q$116*LN(10))*(MAX((LN(10^(逐级计算!$Q$116/10)-1)+逐级计算!$Q$116*(DL69-逐级计算!$P$116)*LN(10)/10),0)+LN(1+EXP(-ABS((LN(10^(逐级计算!$Q$116/10)-1)+逐级计算!$Q$116*(DL69-逐级计算!$P$116)*LN(10)/10))))))),"")</f>
        <v>13.7930365742089</v>
      </c>
      <c r="DN69">
        <f>IF(AND(ISNUMBER(DM69),逐级计算!$X$117&gt;-1),IF(逐级计算!$X$117=0,DM69+逐级计算!$C$117,DM69+逐级计算!$C$117-(10/(逐级计算!$Q$117*LN(10))*(MAX((LN(10^(逐级计算!$Q$117/10)-1)+逐级计算!$Q$117*(DM69-逐级计算!$P$117)*LN(10)/10),0)+LN(1+EXP(-ABS((LN(10^(逐级计算!$Q$117/10)-1)+逐级计算!$Q$117*(DM69-逐级计算!$P$117)*LN(10)/10))))))),"")</f>
        <v>13.7930365742089</v>
      </c>
      <c r="DO69">
        <f>IF(AND(ISNUMBER(DN69),逐级计算!$X$118&gt;-1),IF(逐级计算!$X$118=0,DN69+逐级计算!$C$118,DN69+逐级计算!$C$118-(10/(逐级计算!$Q$118*LN(10))*(MAX((LN(10^(逐级计算!$Q$118/10)-1)+逐级计算!$Q$118*(DN69-逐级计算!$P$118)*LN(10)/10),0)+LN(1+EXP(-ABS((LN(10^(逐级计算!$Q$118/10)-1)+逐级计算!$Q$118*(DN69-逐级计算!$P$118)*LN(10)/10))))))),"")</f>
        <v>13.7930365742089</v>
      </c>
      <c r="DP69">
        <f>IF(AND(ISNUMBER(DO69),逐级计算!$X$119&gt;-1),IF(逐级计算!$X$119=0,DO69+逐级计算!$C$119,DO69+逐级计算!$C$119-(10/(逐级计算!$Q$119*LN(10))*(MAX((LN(10^(逐级计算!$Q$119/10)-1)+逐级计算!$Q$119*(DO69-逐级计算!$P$119)*LN(10)/10),0)+LN(1+EXP(-ABS((LN(10^(逐级计算!$Q$119/10)-1)+逐级计算!$Q$119*(DO69-逐级计算!$P$119)*LN(10)/10))))))),"")</f>
        <v>13.7930365742089</v>
      </c>
      <c r="DQ69">
        <f>IF(AND(ISNUMBER(DP69),逐级计算!$X$120&gt;-1),IF(逐级计算!$X$120=0,DP69+逐级计算!$C$120,DP69+逐级计算!$C$120-(10/(逐级计算!$Q$120*LN(10))*(MAX((LN(10^(逐级计算!$Q$120/10)-1)+逐级计算!$Q$120*(DP69-逐级计算!$P$120)*LN(10)/10),0)+LN(1+EXP(-ABS((LN(10^(逐级计算!$Q$120/10)-1)+逐级计算!$Q$120*(DP69-逐级计算!$P$120)*LN(10)/10))))))),"")</f>
        <v>13.7930365742089</v>
      </c>
      <c r="DR69">
        <f>IF(AND(ISNUMBER(DQ69),逐级计算!$X$121&gt;-1),IF(逐级计算!$X$121=0,DQ69+逐级计算!$C$121,DQ69+逐级计算!$C$121-(10/(逐级计算!$Q$121*LN(10))*(MAX((LN(10^(逐级计算!$Q$121/10)-1)+逐级计算!$Q$121*(DQ69-逐级计算!$P$121)*LN(10)/10),0)+LN(1+EXP(-ABS((LN(10^(逐级计算!$Q$121/10)-1)+逐级计算!$Q$121*(DQ69-逐级计算!$P$121)*LN(10)/10))))))),"")</f>
        <v>13.7930365742089</v>
      </c>
      <c r="DS69">
        <f>IF(AND(ISNUMBER(DR69),逐级计算!$X$122&gt;-1),IF(逐级计算!$X$122=0,DR69+逐级计算!$C$122,DR69+逐级计算!$C$122-(10/(逐级计算!$Q$122*LN(10))*(MAX((LN(10^(逐级计算!$Q$122/10)-1)+逐级计算!$Q$122*(DR69-逐级计算!$P$122)*LN(10)/10),0)+LN(1+EXP(-ABS((LN(10^(逐级计算!$Q$122/10)-1)+逐级计算!$Q$122*(DR69-逐级计算!$P$122)*LN(10)/10))))))),"")</f>
        <v>13.7930365742089</v>
      </c>
      <c r="DT69">
        <f>IF(AND(ISNUMBER(DS69),逐级计算!$X$123&gt;-1),IF(逐级计算!$X$123=0,DS69+逐级计算!$C$123,DS69+逐级计算!$C$123-(10/(逐级计算!$Q$123*LN(10))*(MAX((LN(10^(逐级计算!$Q$123/10)-1)+逐级计算!$Q$123*(DS69-逐级计算!$P$123)*LN(10)/10),0)+LN(1+EXP(-ABS((LN(10^(逐级计算!$Q$123/10)-1)+逐级计算!$Q$123*(DS69-逐级计算!$P$123)*LN(10)/10))))))),"")</f>
        <v>13.7930365742089</v>
      </c>
      <c r="DU69">
        <f>IF(AND(ISNUMBER(DT69),逐级计算!$X$124&gt;-1),IF(逐级计算!$X$124=0,DT69+逐级计算!$C$124,DT69+逐级计算!$C$124-(10/(逐级计算!$Q$124*LN(10))*(MAX((LN(10^(逐级计算!$Q$124/10)-1)+逐级计算!$Q$124*(DT69-逐级计算!$P$124)*LN(10)/10),0)+LN(1+EXP(-ABS((LN(10^(逐级计算!$Q$124/10)-1)+逐级计算!$Q$124*(DT69-逐级计算!$P$124)*LN(10)/10))))))),"")</f>
        <v>13.7930365742089</v>
      </c>
      <c r="DV69">
        <f>IF(AND(ISNUMBER(DU69),逐级计算!$X$125&gt;-1),IF(逐级计算!$X$125=0,DU69+逐级计算!$C$125,DU69+逐级计算!$C$125-(10/(逐级计算!$Q$125*LN(10))*(MAX((LN(10^(逐级计算!$Q$125/10)-1)+逐级计算!$Q$125*(DU69-逐级计算!$P$125)*LN(10)/10),0)+LN(1+EXP(-ABS((LN(10^(逐级计算!$Q$125/10)-1)+逐级计算!$Q$125*(DU69-逐级计算!$P$125)*LN(10)/10))))))),"")</f>
        <v>13.7930365742089</v>
      </c>
      <c r="DW69">
        <f>IF(AND(ISNUMBER(DV69),逐级计算!$X$126&gt;-1),IF(逐级计算!$X$126=0,DV69+逐级计算!$C$126,DV69+逐级计算!$C$126-(10/(逐级计算!$Q$126*LN(10))*(MAX((LN(10^(逐级计算!$Q$126/10)-1)+逐级计算!$Q$126*(DV69-逐级计算!$P$126)*LN(10)/10),0)+LN(1+EXP(-ABS((LN(10^(逐级计算!$Q$126/10)-1)+逐级计算!$Q$126*(DV69-逐级计算!$P$126)*LN(10)/10))))))),"")</f>
        <v>13.7930365742089</v>
      </c>
      <c r="DX69">
        <f>IF(AND(ISNUMBER(DW69),逐级计算!$X$127&gt;-1),IF(逐级计算!$X$127=0,DW69+逐级计算!$C$127,DW69+逐级计算!$C$127-(10/(逐级计算!$Q$127*LN(10))*(MAX((LN(10^(逐级计算!$Q$127/10)-1)+逐级计算!$Q$127*(DW69-逐级计算!$P$127)*LN(10)/10),0)+LN(1+EXP(-ABS((LN(10^(逐级计算!$Q$127/10)-1)+逐级计算!$Q$127*(DW69-逐级计算!$P$127)*LN(10)/10))))))),"")</f>
        <v>13.7930365742089</v>
      </c>
      <c r="DY69">
        <f>IF(AND(ISNUMBER(DX69),逐级计算!$X$128&gt;-1),IF(逐级计算!$X$128=0,DX69+逐级计算!$C$128,DX69+逐级计算!$C$128-(10/(逐级计算!$Q$128*LN(10))*(MAX((LN(10^(逐级计算!$Q$128/10)-1)+逐级计算!$Q$128*(DX69-逐级计算!$P$128)*LN(10)/10),0)+LN(1+EXP(-ABS((LN(10^(逐级计算!$Q$128/10)-1)+逐级计算!$Q$128*(DX69-逐级计算!$P$128)*LN(10)/10))))))),"")</f>
        <v>13.7930365742089</v>
      </c>
      <c r="DZ69">
        <f>IF(AND(ISNUMBER(DY69),逐级计算!$X$129&gt;-1),IF(逐级计算!$X$129=0,DY69+逐级计算!$C$129,DY69+逐级计算!$C$129-(10/(逐级计算!$Q$129*LN(10))*(MAX((LN(10^(逐级计算!$Q$129/10)-1)+逐级计算!$Q$129*(DY69-逐级计算!$P$129)*LN(10)/10),0)+LN(1+EXP(-ABS((LN(10^(逐级计算!$Q$129/10)-1)+逐级计算!$Q$129*(DY69-逐级计算!$P$129)*LN(10)/10))))))),"")</f>
        <v>13.7930365742089</v>
      </c>
      <c r="EA69">
        <f>IF(AND(ISNUMBER(DZ69),逐级计算!$X$130&gt;-1),IF(逐级计算!$X$130=0,DZ69+逐级计算!$C$130,DZ69+逐级计算!$C$130-(10/(逐级计算!$Q$130*LN(10))*(MAX((LN(10^(逐级计算!$Q$130/10)-1)+逐级计算!$Q$130*(DZ69-逐级计算!$P$130)*LN(10)/10),0)+LN(1+EXP(-ABS((LN(10^(逐级计算!$Q$130/10)-1)+逐级计算!$Q$130*(DZ69-逐级计算!$P$130)*LN(10)/10))))))),"")</f>
        <v>13.7930365742089</v>
      </c>
      <c r="EB69">
        <f>IF(AND(ISNUMBER(EA69),逐级计算!$X$131&gt;-1),IF(逐级计算!$X$131=0,EA69+逐级计算!$C$131,EA69+逐级计算!$C$131-(10/(逐级计算!$Q$131*LN(10))*(MAX((LN(10^(逐级计算!$Q$131/10)-1)+逐级计算!$Q$131*(EA69-逐级计算!$P$131)*LN(10)/10),0)+LN(1+EXP(-ABS((LN(10^(逐级计算!$Q$131/10)-1)+逐级计算!$Q$131*(EA69-逐级计算!$P$131)*LN(10)/10))))))),"")</f>
        <v>13.7930365742089</v>
      </c>
      <c r="EC69">
        <f>IF(AND(ISNUMBER(EB69),逐级计算!$X$132&gt;-1),IF(逐级计算!$X$132=0,EB69+逐级计算!$C$132,EB69+逐级计算!$C$132-(10/(逐级计算!$Q$132*LN(10))*(MAX((LN(10^(逐级计算!$Q$132/10)-1)+逐级计算!$Q$132*(EB69-逐级计算!$P$132)*LN(10)/10),0)+LN(1+EXP(-ABS((LN(10^(逐级计算!$Q$132/10)-1)+逐级计算!$Q$132*(EB69-逐级计算!$P$132)*LN(10)/10))))))),"")</f>
        <v>13.7930365742089</v>
      </c>
      <c r="ED69">
        <f>IF(AND(ISNUMBER(EC69),逐级计算!$X$133&gt;-1),IF(逐级计算!$X$133=0,EC69+逐级计算!$C$133,EC69+逐级计算!$C$133-(10/(逐级计算!$Q$133*LN(10))*(MAX((LN(10^(逐级计算!$Q$133/10)-1)+逐级计算!$Q$133*(EC69-逐级计算!$P$133)*LN(10)/10),0)+LN(1+EXP(-ABS((LN(10^(逐级计算!$Q$133/10)-1)+逐级计算!$Q$133*(EC69-逐级计算!$P$133)*LN(10)/10))))))),"")</f>
        <v>13.7930365742089</v>
      </c>
      <c r="EE69">
        <f>IF(AND(ISNUMBER(ED69),逐级计算!$X$134&gt;-1),IF(逐级计算!$X$134=0,ED69+逐级计算!$C$134,ED69+逐级计算!$C$134-(10/(逐级计算!$Q$134*LN(10))*(MAX((LN(10^(逐级计算!$Q$134/10)-1)+逐级计算!$Q$134*(ED69-逐级计算!$P$134)*LN(10)/10),0)+LN(1+EXP(-ABS((LN(10^(逐级计算!$Q$134/10)-1)+逐级计算!$Q$134*(ED69-逐级计算!$P$134)*LN(10)/10))))))),"")</f>
        <v>13.7930365742089</v>
      </c>
      <c r="EF69">
        <f>IF(AND(ISNUMBER(EE69),逐级计算!$X$135&gt;-1),IF(逐级计算!$X$135=0,EE69+逐级计算!$C$135,EE69+逐级计算!$C$135-(10/(逐级计算!$Q$135*LN(10))*(MAX((LN(10^(逐级计算!$Q$135/10)-1)+逐级计算!$Q$135*(EE69-逐级计算!$P$135)*LN(10)/10),0)+LN(1+EXP(-ABS((LN(10^(逐级计算!$Q$135/10)-1)+逐级计算!$Q$135*(EE69-逐级计算!$P$135)*LN(10)/10))))))),"")</f>
        <v>13.7930365742089</v>
      </c>
      <c r="EG69">
        <f>IF(AND(ISNUMBER(EF69),逐级计算!$X$136&gt;-1),IF(逐级计算!$X$136=0,EF69+逐级计算!$C$136,EF69+逐级计算!$C$136-(10/(逐级计算!$Q$136*LN(10))*(MAX((LN(10^(逐级计算!$Q$136/10)-1)+逐级计算!$Q$136*(EF69-逐级计算!$P$136)*LN(10)/10),0)+LN(1+EXP(-ABS((LN(10^(逐级计算!$Q$136/10)-1)+逐级计算!$Q$136*(EF69-逐级计算!$P$136)*LN(10)/10))))))),"")</f>
        <v>13.7930365742089</v>
      </c>
      <c r="EH69">
        <f>IF(AND(ISNUMBER(EG69),逐级计算!$X$137&gt;-1),IF(逐级计算!$X$137=0,EG69+逐级计算!$C$137,EG69+逐级计算!$C$137-(10/(逐级计算!$Q$137*LN(10))*(MAX((LN(10^(逐级计算!$Q$137/10)-1)+逐级计算!$Q$137*(EG69-逐级计算!$P$137)*LN(10)/10),0)+LN(1+EXP(-ABS((LN(10^(逐级计算!$Q$137/10)-1)+逐级计算!$Q$137*(EG69-逐级计算!$P$137)*LN(10)/10))))))),"")</f>
        <v>13.7930365742089</v>
      </c>
      <c r="EI69">
        <f>IF(AND(ISNUMBER(EH69),逐级计算!$X$138&gt;-1),IF(逐级计算!$X$138=0,EH69+逐级计算!$C$138,EH69+逐级计算!$C$138-(10/(逐级计算!$Q$138*LN(10))*(MAX((LN(10^(逐级计算!$Q$138/10)-1)+逐级计算!$Q$138*(EH69-逐级计算!$P$138)*LN(10)/10),0)+LN(1+EXP(-ABS((LN(10^(逐级计算!$Q$138/10)-1)+逐级计算!$Q$138*(EH69-逐级计算!$P$138)*LN(10)/10))))))),"")</f>
        <v>13.7930365742089</v>
      </c>
      <c r="EJ69">
        <f>IF(AND(ISNUMBER(EI69),逐级计算!$X$139&gt;-1),IF(逐级计算!$X$139=0,EI69+逐级计算!$C$139,EI69+逐级计算!$C$139-(10/(逐级计算!$Q$139*LN(10))*(MAX((LN(10^(逐级计算!$Q$139/10)-1)+逐级计算!$Q$139*(EI69-逐级计算!$P$139)*LN(10)/10),0)+LN(1+EXP(-ABS((LN(10^(逐级计算!$Q$139/10)-1)+逐级计算!$Q$139*(EI69-逐级计算!$P$139)*LN(10)/10))))))),"")</f>
        <v>13.7930365742089</v>
      </c>
      <c r="EK69">
        <f>IF(AND(ISNUMBER(EJ69),逐级计算!$X$140&gt;-1),IF(逐级计算!$X$140=0,EJ69+逐级计算!$C$140,EJ69+逐级计算!$C$140-(10/(逐级计算!$Q$140*LN(10))*(MAX((LN(10^(逐级计算!$Q$140/10)-1)+逐级计算!$Q$140*(EJ69-逐级计算!$P$140)*LN(10)/10),0)+LN(1+EXP(-ABS((LN(10^(逐级计算!$Q$140/10)-1)+逐级计算!$Q$140*(EJ69-逐级计算!$P$140)*LN(10)/10))))))),"")</f>
        <v>13.7930365742089</v>
      </c>
      <c r="EL69">
        <f>IF(AND(ISNUMBER(EK69),逐级计算!$X$141&gt;-1),IF(逐级计算!$X$141=0,EK69+逐级计算!$C$141,EK69+逐级计算!$C$141-(10/(逐级计算!$Q$141*LN(10))*(MAX((LN(10^(逐级计算!$Q$141/10)-1)+逐级计算!$Q$141*(EK69-逐级计算!$P$141)*LN(10)/10),0)+LN(1+EXP(-ABS((LN(10^(逐级计算!$Q$141/10)-1)+逐级计算!$Q$141*(EK69-逐级计算!$P$141)*LN(10)/10))))))),"")</f>
        <v>13.7930365742089</v>
      </c>
      <c r="EM69">
        <f>IF(AND(ISNUMBER(EL69),逐级计算!$X$142&gt;-1),IF(逐级计算!$X$142=0,EL69+逐级计算!$C$142,EL69+逐级计算!$C$142-(10/(逐级计算!$Q$142*LN(10))*(MAX((LN(10^(逐级计算!$Q$142/10)-1)+逐级计算!$Q$142*(EL69-逐级计算!$P$142)*LN(10)/10),0)+LN(1+EXP(-ABS((LN(10^(逐级计算!$Q$142/10)-1)+逐级计算!$Q$142*(EL69-逐级计算!$P$142)*LN(10)/10))))))),"")</f>
        <v>13.7930365742089</v>
      </c>
      <c r="EN69">
        <f>IF(AND(ISNUMBER(EM69),逐级计算!$X$143&gt;-1),IF(逐级计算!$X$143=0,EM69+逐级计算!$C$143,EM69+逐级计算!$C$143-(10/(逐级计算!$Q$143*LN(10))*(MAX((LN(10^(逐级计算!$Q$143/10)-1)+逐级计算!$Q$143*(EM69-逐级计算!$P$143)*LN(10)/10),0)+LN(1+EXP(-ABS((LN(10^(逐级计算!$Q$143/10)-1)+逐级计算!$Q$143*(EM69-逐级计算!$P$143)*LN(10)/10))))))),"")</f>
        <v>13.7930365742089</v>
      </c>
      <c r="EO69">
        <f>IF(AND(ISNUMBER(EN69),逐级计算!$X$144&gt;-1),IF(逐级计算!$X$144=0,EN69+逐级计算!$C$144,EN69+逐级计算!$C$144-(10/(逐级计算!$Q$144*LN(10))*(MAX((LN(10^(逐级计算!$Q$144/10)-1)+逐级计算!$Q$144*(EN69-逐级计算!$P$144)*LN(10)/10),0)+LN(1+EXP(-ABS((LN(10^(逐级计算!$Q$144/10)-1)+逐级计算!$Q$144*(EN69-逐级计算!$P$144)*LN(10)/10))))))),"")</f>
        <v>13.7930365742089</v>
      </c>
      <c r="EP69">
        <f>IF(AND(ISNUMBER(EO69),逐级计算!$X$145&gt;-1),IF(逐级计算!$X$145=0,EO69+逐级计算!$C$145,EO69+逐级计算!$C$145-(10/(逐级计算!$Q$145*LN(10))*(MAX((LN(10^(逐级计算!$Q$145/10)-1)+逐级计算!$Q$145*(EO69-逐级计算!$P$145)*LN(10)/10),0)+LN(1+EXP(-ABS((LN(10^(逐级计算!$Q$145/10)-1)+逐级计算!$Q$145*(EO69-逐级计算!$P$145)*LN(10)/10))))))),"")</f>
        <v>13.7930365742089</v>
      </c>
      <c r="EQ69">
        <f>IF(AND(ISNUMBER(EP69),逐级计算!$X$146&gt;-1),IF(逐级计算!$X$146=0,EP69+逐级计算!$C$146,EP69+逐级计算!$C$146-(10/(逐级计算!$Q$146*LN(10))*(MAX((LN(10^(逐级计算!$Q$146/10)-1)+逐级计算!$Q$146*(EP69-逐级计算!$P$146)*LN(10)/10),0)+LN(1+EXP(-ABS((LN(10^(逐级计算!$Q$146/10)-1)+逐级计算!$Q$146*(EP69-逐级计算!$P$146)*LN(10)/10))))))),"")</f>
        <v>13.7930365742089</v>
      </c>
      <c r="ER69">
        <f>IF(AND(ISNUMBER(EQ69),逐级计算!$X$147&gt;-1),IF(逐级计算!$X$147=0,EQ69+逐级计算!$C$147,EQ69+逐级计算!$C$147-(10/(逐级计算!$Q$147*LN(10))*(MAX((LN(10^(逐级计算!$Q$147/10)-1)+逐级计算!$Q$147*(EQ69-逐级计算!$P$147)*LN(10)/10),0)+LN(1+EXP(-ABS((LN(10^(逐级计算!$Q$147/10)-1)+逐级计算!$Q$147*(EQ69-逐级计算!$P$147)*LN(10)/10))))))),"")</f>
        <v>13.7930365742089</v>
      </c>
      <c r="ES69">
        <f>IF(AND(ISNUMBER(ER69),逐级计算!$X$148&gt;-1),IF(逐级计算!$X$148=0,ER69+逐级计算!$C$148,ER69+逐级计算!$C$148-(10/(逐级计算!$Q$148*LN(10))*(MAX((LN(10^(逐级计算!$Q$148/10)-1)+逐级计算!$Q$148*(ER69-逐级计算!$P$148)*LN(10)/10),0)+LN(1+EXP(-ABS((LN(10^(逐级计算!$Q$148/10)-1)+逐级计算!$Q$148*(ER69-逐级计算!$P$148)*LN(10)/10))))))),"")</f>
        <v>13.7930365742089</v>
      </c>
      <c r="ET69">
        <f>IF(AND(ISNUMBER(ES69),逐级计算!$X$149&gt;-1),IF(逐级计算!$X$149=0,ES69+逐级计算!$C$149,ES69+逐级计算!$C$149-(10/(逐级计算!$Q$149*LN(10))*(MAX((LN(10^(逐级计算!$Q$149/10)-1)+逐级计算!$Q$149*(ES69-逐级计算!$P$149)*LN(10)/10),0)+LN(1+EXP(-ABS((LN(10^(逐级计算!$Q$149/10)-1)+逐级计算!$Q$149*(ES69-逐级计算!$P$149)*LN(10)/10))))))),"")</f>
        <v>13.7930365742089</v>
      </c>
      <c r="EU69">
        <f>IF(AND(ISNUMBER(ET69),逐级计算!$X$150&gt;-1),IF(逐级计算!$X$150=0,ET69+逐级计算!$C$150,ET69+逐级计算!$C$150-(10/(逐级计算!$Q$150*LN(10))*(MAX((LN(10^(逐级计算!$Q$150/10)-1)+逐级计算!$Q$150*(ET69-逐级计算!$P$150)*LN(10)/10),0)+LN(1+EXP(-ABS((LN(10^(逐级计算!$Q$150/10)-1)+逐级计算!$Q$150*(ET69-逐级计算!$P$150)*LN(10)/10))))))),"")</f>
        <v>13.7930365742089</v>
      </c>
      <c r="EV69">
        <f>IF(AND(ISNUMBER(EU69),逐级计算!$X$151&gt;-1),IF(逐级计算!$X$151=0,EU69+逐级计算!$C$151,EU69+逐级计算!$C$151-(10/(逐级计算!$Q$151*LN(10))*(MAX((LN(10^(逐级计算!$Q$151/10)-1)+逐级计算!$Q$151*(EU69-逐级计算!$P$151)*LN(10)/10),0)+LN(1+EXP(-ABS((LN(10^(逐级计算!$Q$151/10)-1)+逐级计算!$Q$151*(EU69-逐级计算!$P$151)*LN(10)/10))))))),"")</f>
        <v>13.7930365742089</v>
      </c>
      <c r="EW69">
        <f>IF(AND(ISNUMBER(EV69),逐级计算!$X$152&gt;-1),IF(逐级计算!$X$152=0,EV69+逐级计算!$C$152,EV69+逐级计算!$C$152-(10/(逐级计算!$Q$152*LN(10))*(MAX((LN(10^(逐级计算!$Q$152/10)-1)+逐级计算!$Q$152*(EV69-逐级计算!$P$152)*LN(10)/10),0)+LN(1+EXP(-ABS((LN(10^(逐级计算!$Q$152/10)-1)+逐级计算!$Q$152*(EV69-逐级计算!$P$152)*LN(10)/10))))))),"")</f>
        <v>13.7930365742089</v>
      </c>
      <c r="EX69">
        <f>IF(AND(ISNUMBER(EW69),逐级计算!$X$153&gt;-1),IF(逐级计算!$X$153=0,EW69+逐级计算!$C$153,EW69+逐级计算!$C$153-(10/(逐级计算!$Q$153*LN(10))*(MAX((LN(10^(逐级计算!$Q$153/10)-1)+逐级计算!$Q$153*(EW69-逐级计算!$P$153)*LN(10)/10),0)+LN(1+EXP(-ABS((LN(10^(逐级计算!$Q$153/10)-1)+逐级计算!$Q$153*(EW69-逐级计算!$P$153)*LN(10)/10))))))),"")</f>
        <v>13.7930365742089</v>
      </c>
      <c r="EY69">
        <f>IF(AND(ISNUMBER(EX69),逐级计算!$X$154&gt;-1),IF(逐级计算!$X$154=0,EX69+逐级计算!$C$154,EX69+逐级计算!$C$154-(10/(逐级计算!$Q$154*LN(10))*(MAX((LN(10^(逐级计算!$Q$154/10)-1)+逐级计算!$Q$154*(EX69-逐级计算!$P$154)*LN(10)/10),0)+LN(1+EXP(-ABS((LN(10^(逐级计算!$Q$154/10)-1)+逐级计算!$Q$154*(EX69-逐级计算!$P$154)*LN(10)/10))))))),"")</f>
        <v>13.7930365742089</v>
      </c>
      <c r="EZ69">
        <f>IF(AND(ISNUMBER(EY69),逐级计算!$X$155&gt;-1),IF(逐级计算!$X$155=0,EY69+逐级计算!$C$155,EY69+逐级计算!$C$155-(10/(逐级计算!$Q$155*LN(10))*(MAX((LN(10^(逐级计算!$Q$155/10)-1)+逐级计算!$Q$155*(EY69-逐级计算!$P$155)*LN(10)/10),0)+LN(1+EXP(-ABS((LN(10^(逐级计算!$Q$155/10)-1)+逐级计算!$Q$155*(EY69-逐级计算!$P$155)*LN(10)/10))))))),"")</f>
        <v>13.7930365742089</v>
      </c>
      <c r="FA69">
        <f>IF(AND(ISNUMBER(EZ69),逐级计算!$X$156&gt;-1),IF(逐级计算!$X$156=0,EZ69+逐级计算!$C$156,EZ69+逐级计算!$C$156-(10/(逐级计算!$Q$156*LN(10))*(MAX((LN(10^(逐级计算!$Q$156/10)-1)+逐级计算!$Q$156*(EZ69-逐级计算!$P$156)*LN(10)/10),0)+LN(1+EXP(-ABS((LN(10^(逐级计算!$Q$156/10)-1)+逐级计算!$Q$156*(EZ69-逐级计算!$P$156)*LN(10)/10))))))),"")</f>
        <v>13.7930365742089</v>
      </c>
      <c r="FB69">
        <f>IF(AND(ISNUMBER(FA69),逐级计算!$X$157&gt;-1),IF(逐级计算!$X$157=0,FA69+逐级计算!$C$157,FA69+逐级计算!$C$157-(10/(逐级计算!$Q$157*LN(10))*(MAX((LN(10^(逐级计算!$Q$157/10)-1)+逐级计算!$Q$157*(FA69-逐级计算!$P$157)*LN(10)/10),0)+LN(1+EXP(-ABS((LN(10^(逐级计算!$Q$157/10)-1)+逐级计算!$Q$157*(FA69-逐级计算!$P$157)*LN(10)/10))))))),"")</f>
        <v>13.7930365742089</v>
      </c>
      <c r="FC69">
        <f>IF(AND(ISNUMBER(FB69),逐级计算!$X$158&gt;-1),IF(逐级计算!$X$158=0,FB69+逐级计算!$C$158,FB69+逐级计算!$C$158-(10/(逐级计算!$Q$158*LN(10))*(MAX((LN(10^(逐级计算!$Q$158/10)-1)+逐级计算!$Q$158*(FB69-逐级计算!$P$158)*LN(10)/10),0)+LN(1+EXP(-ABS((LN(10^(逐级计算!$Q$158/10)-1)+逐级计算!$Q$158*(FB69-逐级计算!$P$158)*LN(10)/10))))))),"")</f>
        <v>13.7930365742089</v>
      </c>
      <c r="FD69">
        <f>IF(AND(ISNUMBER(FC69),逐级计算!$X$159&gt;-1),IF(逐级计算!$X$159=0,FC69+逐级计算!$C$159,FC69+逐级计算!$C$159-(10/(逐级计算!$Q$159*LN(10))*(MAX((LN(10^(逐级计算!$Q$159/10)-1)+逐级计算!$Q$159*(FC69-逐级计算!$P$159)*LN(10)/10),0)+LN(1+EXP(-ABS((LN(10^(逐级计算!$Q$159/10)-1)+逐级计算!$Q$159*(FC69-逐级计算!$P$159)*LN(10)/10))))))),"")</f>
        <v>13.7930365742089</v>
      </c>
      <c r="FE69">
        <f>IF(AND(ISNUMBER(FD69),逐级计算!$X$160&gt;-1),IF(逐级计算!$X$160=0,FD69+逐级计算!$C$160,FD69+逐级计算!$C$160-(10/(逐级计算!$Q$160*LN(10))*(MAX((LN(10^(逐级计算!$Q$160/10)-1)+逐级计算!$Q$160*(FD69-逐级计算!$P$160)*LN(10)/10),0)+LN(1+EXP(-ABS((LN(10^(逐级计算!$Q$160/10)-1)+逐级计算!$Q$160*(FD69-逐级计算!$P$160)*LN(10)/10))))))),"")</f>
        <v>13.7930365742089</v>
      </c>
      <c r="FF69">
        <f>IF(AND(ISNUMBER(FE69),逐级计算!$X$161&gt;-1),IF(逐级计算!$X$161=0,FE69+逐级计算!$C$161,FE69+逐级计算!$C$161-(10/(逐级计算!$Q$161*LN(10))*(MAX((LN(10^(逐级计算!$Q$161/10)-1)+逐级计算!$Q$161*(FE69-逐级计算!$P$161)*LN(10)/10),0)+LN(1+EXP(-ABS((LN(10^(逐级计算!$Q$161/10)-1)+逐级计算!$Q$161*(FE69-逐级计算!$P$161)*LN(10)/10))))))),"")</f>
        <v>13.7930365742089</v>
      </c>
      <c r="FG69">
        <f>IF(AND(ISNUMBER(FF69),逐级计算!$X$162&gt;-1),IF(逐级计算!$X$162=0,FF69+逐级计算!$C$162,FF69+逐级计算!$C$162-(10/(逐级计算!$Q$162*LN(10))*(MAX((LN(10^(逐级计算!$Q$162/10)-1)+逐级计算!$Q$162*(FF69-逐级计算!$P$162)*LN(10)/10),0)+LN(1+EXP(-ABS((LN(10^(逐级计算!$Q$162/10)-1)+逐级计算!$Q$162*(FF69-逐级计算!$P$162)*LN(10)/10))))))),"")</f>
        <v>13.7930365742089</v>
      </c>
      <c r="FH69">
        <f>IF(AND(ISNUMBER(FG69),逐级计算!$X$163&gt;-1),IF(逐级计算!$X$163=0,FG69+逐级计算!$C$163,FG69+逐级计算!$C$163-(10/(逐级计算!$Q$163*LN(10))*(MAX((LN(10^(逐级计算!$Q$163/10)-1)+逐级计算!$Q$163*(FG69-逐级计算!$P$163)*LN(10)/10),0)+LN(1+EXP(-ABS((LN(10^(逐级计算!$Q$163/10)-1)+逐级计算!$Q$163*(FG69-逐级计算!$P$163)*LN(10)/10))))))),"")</f>
        <v>13.7930365742089</v>
      </c>
      <c r="FI69">
        <f>IF(AND(ISNUMBER(FH69),逐级计算!$X$164&gt;-1),IF(逐级计算!$X$164=0,FH69+逐级计算!$C$164,FH69+逐级计算!$C$164-(10/(逐级计算!$Q$164*LN(10))*(MAX((LN(10^(逐级计算!$Q$164/10)-1)+逐级计算!$Q$164*(FH69-逐级计算!$P$164)*LN(10)/10),0)+LN(1+EXP(-ABS((LN(10^(逐级计算!$Q$164/10)-1)+逐级计算!$Q$164*(FH69-逐级计算!$P$164)*LN(10)/10))))))),"")</f>
        <v>13.7930365742089</v>
      </c>
      <c r="FJ69">
        <f>IF(AND(ISNUMBER(FI69),逐级计算!$X$165&gt;-1),IF(逐级计算!$X$165=0,FI69+逐级计算!$C$165,FI69+逐级计算!$C$165-(10/(逐级计算!$Q$165*LN(10))*(MAX((LN(10^(逐级计算!$Q$165/10)-1)+逐级计算!$Q$165*(FI69-逐级计算!$P$165)*LN(10)/10),0)+LN(1+EXP(-ABS((LN(10^(逐级计算!$Q$165/10)-1)+逐级计算!$Q$165*(FI69-逐级计算!$P$165)*LN(10)/10))))))),"")</f>
        <v>13.7930365742089</v>
      </c>
      <c r="FK69">
        <f>IF(AND(ISNUMBER(FJ69),逐级计算!$X$166&gt;-1),IF(逐级计算!$X$166=0,FJ69+逐级计算!$C$166,FJ69+逐级计算!$C$166-(10/(逐级计算!$Q$166*LN(10))*(MAX((LN(10^(逐级计算!$Q$166/10)-1)+逐级计算!$Q$166*(FJ69-逐级计算!$P$166)*LN(10)/10),0)+LN(1+EXP(-ABS((LN(10^(逐级计算!$Q$166/10)-1)+逐级计算!$Q$166*(FJ69-逐级计算!$P$166)*LN(10)/10))))))),"")</f>
        <v>13.7930365742089</v>
      </c>
      <c r="FL69">
        <f>IF(AND(ISNUMBER(FK69),逐级计算!$X$167&gt;-1),IF(逐级计算!$X$167=0,FK69+逐级计算!$C$167,FK69+逐级计算!$C$167-(10/(逐级计算!$Q$167*LN(10))*(MAX((LN(10^(逐级计算!$Q$167/10)-1)+逐级计算!$Q$167*(FK69-逐级计算!$P$167)*LN(10)/10),0)+LN(1+EXP(-ABS((LN(10^(逐级计算!$Q$167/10)-1)+逐级计算!$Q$167*(FK69-逐级计算!$P$167)*LN(10)/10))))))),"")</f>
        <v>13.7930365742089</v>
      </c>
      <c r="FM69">
        <f>IF(AND(ISNUMBER(FL69),逐级计算!$X$168&gt;-1),IF(逐级计算!$X$168=0,FL69+逐级计算!$C$168,FL69+逐级计算!$C$168-(10/(逐级计算!$Q$168*LN(10))*(MAX((LN(10^(逐级计算!$Q$168/10)-1)+逐级计算!$Q$168*(FL69-逐级计算!$P$168)*LN(10)/10),0)+LN(1+EXP(-ABS((LN(10^(逐级计算!$Q$168/10)-1)+逐级计算!$Q$168*(FL69-逐级计算!$P$168)*LN(10)/10))))))),"")</f>
        <v>13.7930365742089</v>
      </c>
      <c r="FN69">
        <f>IF(AND(ISNUMBER(FM69),逐级计算!$X$169&gt;-1),IF(逐级计算!$X$169=0,FM69+逐级计算!$C$169,FM69+逐级计算!$C$169-(10/(逐级计算!$Q$169*LN(10))*(MAX((LN(10^(逐级计算!$Q$169/10)-1)+逐级计算!$Q$169*(FM69-逐级计算!$P$169)*LN(10)/10),0)+LN(1+EXP(-ABS((LN(10^(逐级计算!$Q$169/10)-1)+逐级计算!$Q$169*(FM69-逐级计算!$P$169)*LN(10)/10))))))),"")</f>
        <v>13.7930365742089</v>
      </c>
      <c r="FO69">
        <f>IF(AND(ISNUMBER(FN69),逐级计算!$X$170&gt;-1),IF(逐级计算!$X$170=0,FN69+逐级计算!$C$170,FN69+逐级计算!$C$170-(10/(逐级计算!$Q$170*LN(10))*(MAX((LN(10^(逐级计算!$Q$170/10)-1)+逐级计算!$Q$170*(FN69-逐级计算!$P$170)*LN(10)/10),0)+LN(1+EXP(-ABS((LN(10^(逐级计算!$Q$170/10)-1)+逐级计算!$Q$170*(FN69-逐级计算!$P$170)*LN(10)/10))))))),"")</f>
        <v>13.7930365742089</v>
      </c>
      <c r="FP69">
        <f>IF(AND(ISNUMBER(FO69),逐级计算!$X$171&gt;-1),IF(逐级计算!$X$171=0,FO69+逐级计算!$C$171,FO69+逐级计算!$C$171-(10/(逐级计算!$Q$171*LN(10))*(MAX((LN(10^(逐级计算!$Q$171/10)-1)+逐级计算!$Q$171*(FO69-逐级计算!$P$171)*LN(10)/10),0)+LN(1+EXP(-ABS((LN(10^(逐级计算!$Q$171/10)-1)+逐级计算!$Q$171*(FO69-逐级计算!$P$171)*LN(10)/10))))))),"")</f>
        <v>13.7930365742089</v>
      </c>
      <c r="FQ69">
        <f>IF(AND(ISNUMBER(FP69),逐级计算!$X$172&gt;-1),IF(逐级计算!$X$172=0,FP69+逐级计算!$C$172,FP69+逐级计算!$C$172-(10/(逐级计算!$Q$172*LN(10))*(MAX((LN(10^(逐级计算!$Q$172/10)-1)+逐级计算!$Q$172*(FP69-逐级计算!$P$172)*LN(10)/10),0)+LN(1+EXP(-ABS((LN(10^(逐级计算!$Q$172/10)-1)+逐级计算!$Q$172*(FP69-逐级计算!$P$172)*LN(10)/10))))))),"")</f>
        <v>13.7930365742089</v>
      </c>
      <c r="FR69">
        <f>IF(AND(ISNUMBER(FQ69),逐级计算!$X$173&gt;-1),IF(逐级计算!$X$173=0,FQ69+逐级计算!$C$173,FQ69+逐级计算!$C$173-(10/(逐级计算!$Q$173*LN(10))*(MAX((LN(10^(逐级计算!$Q$173/10)-1)+逐级计算!$Q$173*(FQ69-逐级计算!$P$173)*LN(10)/10),0)+LN(1+EXP(-ABS((LN(10^(逐级计算!$Q$173/10)-1)+逐级计算!$Q$173*(FQ69-逐级计算!$P$173)*LN(10)/10))))))),"")</f>
        <v>13.7930365742089</v>
      </c>
      <c r="FS69">
        <f>IF(AND(ISNUMBER(FR69),逐级计算!$X$174&gt;-1),IF(逐级计算!$X$174=0,FR69+逐级计算!$C$174,FR69+逐级计算!$C$174-(10/(逐级计算!$Q$174*LN(10))*(MAX((LN(10^(逐级计算!$Q$174/10)-1)+逐级计算!$Q$174*(FR69-逐级计算!$P$174)*LN(10)/10),0)+LN(1+EXP(-ABS((LN(10^(逐级计算!$Q$174/10)-1)+逐级计算!$Q$174*(FR69-逐级计算!$P$174)*LN(10)/10))))))),"")</f>
        <v>13.7930365742089</v>
      </c>
      <c r="FT69">
        <f>IF(AND(ISNUMBER(FS69),逐级计算!$X$175&gt;-1),IF(逐级计算!$X$175=0,FS69+逐级计算!$C$175,FS69+逐级计算!$C$175-(10/(逐级计算!$Q$175*LN(10))*(MAX((LN(10^(逐级计算!$Q$175/10)-1)+逐级计算!$Q$175*(FS69-逐级计算!$P$175)*LN(10)/10),0)+LN(1+EXP(-ABS((LN(10^(逐级计算!$Q$175/10)-1)+逐级计算!$Q$175*(FS69-逐级计算!$P$175)*LN(10)/10))))))),"")</f>
        <v>13.7930365742089</v>
      </c>
      <c r="FU69">
        <f>IF(AND(ISNUMBER(FT69),逐级计算!$X$176&gt;-1),IF(逐级计算!$X$176=0,FT69+逐级计算!$C$176,FT69+逐级计算!$C$176-(10/(逐级计算!$Q$176*LN(10))*(MAX((LN(10^(逐级计算!$Q$176/10)-1)+逐级计算!$Q$176*(FT69-逐级计算!$P$176)*LN(10)/10),0)+LN(1+EXP(-ABS((LN(10^(逐级计算!$Q$176/10)-1)+逐级计算!$Q$176*(FT69-逐级计算!$P$176)*LN(10)/10))))))),"")</f>
        <v>13.7930365742089</v>
      </c>
      <c r="FV69">
        <f>IF(AND(ISNUMBER(FU69),逐级计算!$X$177&gt;-1),IF(逐级计算!$X$177=0,FU69+逐级计算!$C$177,FU69+逐级计算!$C$177-(10/(逐级计算!$Q$177*LN(10))*(MAX((LN(10^(逐级计算!$Q$177/10)-1)+逐级计算!$Q$177*(FU69-逐级计算!$P$177)*LN(10)/10),0)+LN(1+EXP(-ABS((LN(10^(逐级计算!$Q$177/10)-1)+逐级计算!$Q$177*(FU69-逐级计算!$P$177)*LN(10)/10))))))),"")</f>
        <v>13.7930365742089</v>
      </c>
      <c r="FW69">
        <f>IF(AND(ISNUMBER(FV69),逐级计算!$X$178&gt;-1),IF(逐级计算!$X$178=0,FV69+逐级计算!$C$178,FV69+逐级计算!$C$178-(10/(逐级计算!$Q$178*LN(10))*(MAX((LN(10^(逐级计算!$Q$178/10)-1)+逐级计算!$Q$178*(FV69-逐级计算!$P$178)*LN(10)/10),0)+LN(1+EXP(-ABS((LN(10^(逐级计算!$Q$178/10)-1)+逐级计算!$Q$178*(FV69-逐级计算!$P$178)*LN(10)/10))))))),"")</f>
        <v>13.7930365742089</v>
      </c>
      <c r="FX69">
        <f>IF(AND(ISNUMBER(FW69),逐级计算!$X$179&gt;-1),IF(逐级计算!$X$179=0,FW69+逐级计算!$C$179,FW69+逐级计算!$C$179-(10/(逐级计算!$Q$179*LN(10))*(MAX((LN(10^(逐级计算!$Q$179/10)-1)+逐级计算!$Q$179*(FW69-逐级计算!$P$179)*LN(10)/10),0)+LN(1+EXP(-ABS((LN(10^(逐级计算!$Q$179/10)-1)+逐级计算!$Q$179*(FW69-逐级计算!$P$179)*LN(10)/10))))))),"")</f>
        <v>13.7930365742089</v>
      </c>
      <c r="FY69">
        <f>IF(AND(ISNUMBER(FX69),逐级计算!$X$180&gt;-1),IF(逐级计算!$X$180=0,FX69+逐级计算!$C$180,FX69+逐级计算!$C$180-(10/(逐级计算!$Q$180*LN(10))*(MAX((LN(10^(逐级计算!$Q$180/10)-1)+逐级计算!$Q$180*(FX69-逐级计算!$P$180)*LN(10)/10),0)+LN(1+EXP(-ABS((LN(10^(逐级计算!$Q$180/10)-1)+逐级计算!$Q$180*(FX69-逐级计算!$P$180)*LN(10)/10))))))),"")</f>
        <v>13.7930365742089</v>
      </c>
      <c r="FZ69">
        <f>IF(AND(ISNUMBER(FY69),逐级计算!$X$181&gt;-1),IF(逐级计算!$X$181=0,FY69+逐级计算!$C$181,FY69+逐级计算!$C$181-(10/(逐级计算!$Q$181*LN(10))*(MAX((LN(10^(逐级计算!$Q$181/10)-1)+逐级计算!$Q$181*(FY69-逐级计算!$P$181)*LN(10)/10),0)+LN(1+EXP(-ABS((LN(10^(逐级计算!$Q$181/10)-1)+逐级计算!$Q$181*(FY69-逐级计算!$P$181)*LN(10)/10))))))),"")</f>
        <v>13.7930365742089</v>
      </c>
      <c r="GA69">
        <f>IF(AND(ISNUMBER(FZ69),逐级计算!$X$182&gt;-1),IF(逐级计算!$X$182=0,FZ69+逐级计算!$C$182,FZ69+逐级计算!$C$182-(10/(逐级计算!$Q$182*LN(10))*(MAX((LN(10^(逐级计算!$Q$182/10)-1)+逐级计算!$Q$182*(FZ69-逐级计算!$P$182)*LN(10)/10),0)+LN(1+EXP(-ABS((LN(10^(逐级计算!$Q$182/10)-1)+逐级计算!$Q$182*(FZ69-逐级计算!$P$182)*LN(10)/10))))))),"")</f>
        <v>13.7930365742089</v>
      </c>
      <c r="GB69">
        <f>IF(AND(ISNUMBER(GA69),逐级计算!$X$183&gt;-1),IF(逐级计算!$X$183=0,GA69+逐级计算!$C$183,GA69+逐级计算!$C$183-(10/(逐级计算!$Q$183*LN(10))*(MAX((LN(10^(逐级计算!$Q$183/10)-1)+逐级计算!$Q$183*(GA69-逐级计算!$P$183)*LN(10)/10),0)+LN(1+EXP(-ABS((LN(10^(逐级计算!$Q$183/10)-1)+逐级计算!$Q$183*(GA69-逐级计算!$P$183)*LN(10)/10))))))),"")</f>
        <v>13.7930365742089</v>
      </c>
      <c r="GC69">
        <f>IF(AND(ISNUMBER(GB69),逐级计算!$X$184&gt;-1),IF(逐级计算!$X$184=0,GB69+逐级计算!$C$184,GB69+逐级计算!$C$184-(10/(逐级计算!$Q$184*LN(10))*(MAX((LN(10^(逐级计算!$Q$184/10)-1)+逐级计算!$Q$184*(GB69-逐级计算!$P$184)*LN(10)/10),0)+LN(1+EXP(-ABS((LN(10^(逐级计算!$Q$184/10)-1)+逐级计算!$Q$184*(GB69-逐级计算!$P$184)*LN(10)/10))))))),"")</f>
        <v>13.7930365742089</v>
      </c>
      <c r="GD69">
        <f>IF(AND(ISNUMBER(GC69),逐级计算!$X$185&gt;-1),IF(逐级计算!$X$185=0,GC69+逐级计算!$C$185,GC69+逐级计算!$C$185-(10/(逐级计算!$Q$185*LN(10))*(MAX((LN(10^(逐级计算!$Q$185/10)-1)+逐级计算!$Q$185*(GC69-逐级计算!$P$185)*LN(10)/10),0)+LN(1+EXP(-ABS((LN(10^(逐级计算!$Q$185/10)-1)+逐级计算!$Q$185*(GC69-逐级计算!$P$185)*LN(10)/10))))))),"")</f>
        <v>13.7930365742089</v>
      </c>
      <c r="GE69">
        <f>IF(AND(ISNUMBER(GD69),逐级计算!$X$186&gt;-1),IF(逐级计算!$X$186=0,GD69+逐级计算!$C$186,GD69+逐级计算!$C$186-(10/(逐级计算!$Q$186*LN(10))*(MAX((LN(10^(逐级计算!$Q$186/10)-1)+逐级计算!$Q$186*(GD69-逐级计算!$P$186)*LN(10)/10),0)+LN(1+EXP(-ABS((LN(10^(逐级计算!$Q$186/10)-1)+逐级计算!$Q$186*(GD69-逐级计算!$P$186)*LN(10)/10))))))),"")</f>
        <v>13.7930365742089</v>
      </c>
      <c r="GF69">
        <f>IF(AND(ISNUMBER(GE69),逐级计算!$X$187&gt;-1),IF(逐级计算!$X$187=0,GE69+逐级计算!$C$187,GE69+逐级计算!$C$187-(10/(逐级计算!$Q$187*LN(10))*(MAX((LN(10^(逐级计算!$Q$187/10)-1)+逐级计算!$Q$187*(GE69-逐级计算!$P$187)*LN(10)/10),0)+LN(1+EXP(-ABS((LN(10^(逐级计算!$Q$187/10)-1)+逐级计算!$Q$187*(GE69-逐级计算!$P$187)*LN(10)/10))))))),"")</f>
        <v>13.7930365742089</v>
      </c>
      <c r="GG69">
        <f>IF(AND(ISNUMBER(GF69),逐级计算!$X$188&gt;-1),IF(逐级计算!$X$188=0,GF69+逐级计算!$C$188,GF69+逐级计算!$C$188-(10/(逐级计算!$Q$188*LN(10))*(MAX((LN(10^(逐级计算!$Q$188/10)-1)+逐级计算!$Q$188*(GF69-逐级计算!$P$188)*LN(10)/10),0)+LN(1+EXP(-ABS((LN(10^(逐级计算!$Q$188/10)-1)+逐级计算!$Q$188*(GF69-逐级计算!$P$188)*LN(10)/10))))))),"")</f>
        <v>13.7930365742089</v>
      </c>
      <c r="GH69">
        <f>IF(AND(ISNUMBER(GG69),逐级计算!$X$189&gt;-1),IF(逐级计算!$X$189=0,GG69+逐级计算!$C$189,GG69+逐级计算!$C$189-(10/(逐级计算!$Q$189*LN(10))*(MAX((LN(10^(逐级计算!$Q$189/10)-1)+逐级计算!$Q$189*(GG69-逐级计算!$P$189)*LN(10)/10),0)+LN(1+EXP(-ABS((LN(10^(逐级计算!$Q$189/10)-1)+逐级计算!$Q$189*(GG69-逐级计算!$P$189)*LN(10)/10))))))),"")</f>
        <v>13.7930365742089</v>
      </c>
      <c r="GI69">
        <f>IF(AND(ISNUMBER(GH69),逐级计算!$X$190&gt;-1),IF(逐级计算!$X$190=0,GH69+逐级计算!$C$190,GH69+逐级计算!$C$190-(10/(逐级计算!$Q$190*LN(10))*(MAX((LN(10^(逐级计算!$Q$190/10)-1)+逐级计算!$Q$190*(GH69-逐级计算!$P$190)*LN(10)/10),0)+LN(1+EXP(-ABS((LN(10^(逐级计算!$Q$190/10)-1)+逐级计算!$Q$190*(GH69-逐级计算!$P$190)*LN(10)/10))))))),"")</f>
        <v>13.7930365742089</v>
      </c>
      <c r="GJ69">
        <f>IF(AND(ISNUMBER(GI69),逐级计算!$X$191&gt;-1),IF(逐级计算!$X$191=0,GI69+逐级计算!$C$191,GI69+逐级计算!$C$191-(10/(逐级计算!$Q$191*LN(10))*(MAX((LN(10^(逐级计算!$Q$191/10)-1)+逐级计算!$Q$191*(GI69-逐级计算!$P$191)*LN(10)/10),0)+LN(1+EXP(-ABS((LN(10^(逐级计算!$Q$191/10)-1)+逐级计算!$Q$191*(GI69-逐级计算!$P$191)*LN(10)/10))))))),"")</f>
        <v>13.7930365742089</v>
      </c>
      <c r="GK69">
        <f>IF(AND(ISNUMBER(GJ69),逐级计算!$X$192&gt;-1),IF(逐级计算!$X$192=0,GJ69+逐级计算!$C$192,GJ69+逐级计算!$C$192-(10/(逐级计算!$Q$192*LN(10))*(MAX((LN(10^(逐级计算!$Q$192/10)-1)+逐级计算!$Q$192*(GJ69-逐级计算!$P$192)*LN(10)/10),0)+LN(1+EXP(-ABS((LN(10^(逐级计算!$Q$192/10)-1)+逐级计算!$Q$192*(GJ69-逐级计算!$P$192)*LN(10)/10))))))),"")</f>
        <v>13.7930365742089</v>
      </c>
      <c r="GL69">
        <f>IF(AND(ISNUMBER(GK69),逐级计算!$X$193&gt;-1),IF(逐级计算!$X$193=0,GK69+逐级计算!$C$193,GK69+逐级计算!$C$193-(10/(逐级计算!$Q$193*LN(10))*(MAX((LN(10^(逐级计算!$Q$193/10)-1)+逐级计算!$Q$193*(GK69-逐级计算!$P$193)*LN(10)/10),0)+LN(1+EXP(-ABS((LN(10^(逐级计算!$Q$193/10)-1)+逐级计算!$Q$193*(GK69-逐级计算!$P$193)*LN(10)/10))))))),"")</f>
        <v>13.7930365742089</v>
      </c>
      <c r="GM69">
        <f>IF(AND(ISNUMBER(GL69),逐级计算!$X$194&gt;-1),IF(逐级计算!$X$194=0,GL69+逐级计算!$C$194,GL69+逐级计算!$C$194-(10/(逐级计算!$Q$194*LN(10))*(MAX((LN(10^(逐级计算!$Q$194/10)-1)+逐级计算!$Q$194*(GL69-逐级计算!$P$194)*LN(10)/10),0)+LN(1+EXP(-ABS((LN(10^(逐级计算!$Q$194/10)-1)+逐级计算!$Q$194*(GL69-逐级计算!$P$194)*LN(10)/10))))))),"")</f>
        <v>13.7930365742089</v>
      </c>
      <c r="GN69">
        <f>IF(AND(ISNUMBER(GM69),逐级计算!$X$195&gt;-1),IF(逐级计算!$X$195=0,GM69+逐级计算!$C$195,GM69+逐级计算!$C$195-(10/(逐级计算!$Q$195*LN(10))*(MAX((LN(10^(逐级计算!$Q$195/10)-1)+逐级计算!$Q$195*(GM69-逐级计算!$P$195)*LN(10)/10),0)+LN(1+EXP(-ABS((LN(10^(逐级计算!$Q$195/10)-1)+逐级计算!$Q$195*(GM69-逐级计算!$P$195)*LN(10)/10))))))),"")</f>
        <v>13.7930365742089</v>
      </c>
      <c r="GO69">
        <f>IF(AND(ISNUMBER(GN69),逐级计算!$X$196&gt;-1),IF(逐级计算!$X$196=0,GN69+逐级计算!$C$196,GN69+逐级计算!$C$196-(10/(逐级计算!$Q$196*LN(10))*(MAX((LN(10^(逐级计算!$Q$196/10)-1)+逐级计算!$Q$196*(GN69-逐级计算!$P$196)*LN(10)/10),0)+LN(1+EXP(-ABS((LN(10^(逐级计算!$Q$196/10)-1)+逐级计算!$Q$196*(GN69-逐级计算!$P$196)*LN(10)/10))))))),"")</f>
        <v>13.7930365742089</v>
      </c>
      <c r="GP69">
        <f>IF(AND(ISNUMBER(GO69),逐级计算!$X$197&gt;-1),IF(逐级计算!$X$197=0,GO69+逐级计算!$C$197,GO69+逐级计算!$C$197-(10/(逐级计算!$Q$197*LN(10))*(MAX((LN(10^(逐级计算!$Q$197/10)-1)+逐级计算!$Q$197*(GO69-逐级计算!$P$197)*LN(10)/10),0)+LN(1+EXP(-ABS((LN(10^(逐级计算!$Q$197/10)-1)+逐级计算!$Q$197*(GO69-逐级计算!$P$197)*LN(10)/10))))))),"")</f>
        <v>13.7930365742089</v>
      </c>
      <c r="GQ69">
        <f>IF(AND(ISNUMBER(GP69),逐级计算!$X$198&gt;-1),IF(逐级计算!$X$198=0,GP69+逐级计算!$C$198,GP69+逐级计算!$C$198-(10/(逐级计算!$Q$198*LN(10))*(MAX((LN(10^(逐级计算!$Q$198/10)-1)+逐级计算!$Q$198*(GP69-逐级计算!$P$198)*LN(10)/10),0)+LN(1+EXP(-ABS((LN(10^(逐级计算!$Q$198/10)-1)+逐级计算!$Q$198*(GP69-逐级计算!$P$198)*LN(10)/10))))))),"")</f>
        <v>13.7930365742089</v>
      </c>
      <c r="GR69">
        <f>IF(AND(ISNUMBER(GQ69),逐级计算!$X$199&gt;-1),IF(逐级计算!$X$199=0,GQ69+逐级计算!$C$199,GQ69+逐级计算!$C$199-(10/(逐级计算!$Q$199*LN(10))*(MAX((LN(10^(逐级计算!$Q$199/10)-1)+逐级计算!$Q$199*(GQ69-逐级计算!$P$199)*LN(10)/10),0)+LN(1+EXP(-ABS((LN(10^(逐级计算!$Q$199/10)-1)+逐级计算!$Q$199*(GQ69-逐级计算!$P$199)*LN(10)/10))))))),"")</f>
        <v>13.7930365742089</v>
      </c>
      <c r="GS69">
        <f>IF(AND(ISNUMBER(GR69),逐级计算!$X$200&gt;-1),IF(逐级计算!$X$200=0,GR69+逐级计算!$C$200,GR69+逐级计算!$C$200-(10/(逐级计算!$Q$200*LN(10))*(MAX((LN(10^(逐级计算!$Q$200/10)-1)+逐级计算!$Q$200*(GR69-逐级计算!$P$200)*LN(10)/10),0)+LN(1+EXP(-ABS((LN(10^(逐级计算!$Q$200/10)-1)+逐级计算!$Q$200*(GR69-逐级计算!$P$200)*LN(10)/10))))))),"")</f>
        <v>13.7930365742089</v>
      </c>
      <c r="GT69">
        <f>IF(AND(ISNUMBER(GS69),逐级计算!$X$201&gt;-1),IF(逐级计算!$X$201=0,GS69+逐级计算!$C$201,GS69+逐级计算!$C$201-(10/(逐级计算!$Q$201*LN(10))*(MAX((LN(10^(逐级计算!$Q$201/10)-1)+逐级计算!$Q$201*(GS69-逐级计算!$P$201)*LN(10)/10),0)+LN(1+EXP(-ABS((LN(10^(逐级计算!$Q$201/10)-1)+逐级计算!$Q$201*(GS69-逐级计算!$P$201)*LN(10)/10))))))),"")</f>
        <v>13.7930365742089</v>
      </c>
      <c r="GU69">
        <f>IF(AND(ISNUMBER(GT69),逐级计算!$X$202&gt;-1),IF(逐级计算!$X$202=0,GT69+逐级计算!$C$202,GT69+逐级计算!$C$202-(10/(逐级计算!$Q$202*LN(10))*(MAX((LN(10^(逐级计算!$Q$202/10)-1)+逐级计算!$Q$202*(GT69-逐级计算!$P$202)*LN(10)/10),0)+LN(1+EXP(-ABS((LN(10^(逐级计算!$Q$202/10)-1)+逐级计算!$Q$202*(GT69-逐级计算!$P$202)*LN(10)/10))))))),"")</f>
        <v>13.7930365742089</v>
      </c>
      <c r="GV69">
        <f>IF(AND(ISNUMBER(GU69),逐级计算!$X$203&gt;-1),IF(逐级计算!$X$203=0,GU69+逐级计算!$C$203,GU69+逐级计算!$C$203-(10/(逐级计算!$Q$203*LN(10))*(MAX((LN(10^(逐级计算!$Q$203/10)-1)+逐级计算!$Q$203*(GU69-逐级计算!$P$203)*LN(10)/10),0)+LN(1+EXP(-ABS((LN(10^(逐级计算!$Q$203/10)-1)+逐级计算!$Q$203*(GU69-逐级计算!$P$203)*LN(10)/10))))))),"")</f>
        <v>13.7930365742089</v>
      </c>
      <c r="GW69">
        <f t="shared" si="2"/>
        <v>-5.20696342579112</v>
      </c>
    </row>
    <row r="70" spans="1:205">
      <c r="A70">
        <v>63</v>
      </c>
      <c r="B70">
        <f t="shared" si="1"/>
        <v>-5.20696342579112</v>
      </c>
      <c r="C70">
        <f t="shared" si="0"/>
        <v>-5.20696342579112</v>
      </c>
      <c r="D70">
        <f>IF(AND(ISNUMBER(C70),ISNUMBER(逐级计算!$E$203),ISNUMBER(GV70)),C70+逐级计算!$E$203-GV70,"")</f>
        <v>1</v>
      </c>
      <c r="E70">
        <f>IF(AND(ISNUMBER(C70),逐级计算!$X$4&gt;-1),IF(逐级计算!$X$4=0,C70+逐级计算!$C$4,C70+逐级计算!$C$4-(10/(逐级计算!$Q$4*LN(10))*(MAX((LN(10^(逐级计算!$Q$4/10)-1)+逐级计算!$Q$4*(C70-逐级计算!$P$4)*LN(10)/10),0)+LN(1+EXP(-ABS((LN(10^(逐级计算!$Q$4/10)-1)+逐级计算!$Q$4*(C70-逐级计算!$P$4)*LN(10)/10))))))),"")</f>
        <v>4.68053982928311</v>
      </c>
      <c r="F70">
        <f>IF(AND(ISNUMBER(E70),逐级计算!$X$5&gt;-1),IF(逐级计算!$X$5=0,E70+逐级计算!$C$5,E70+逐级计算!$C$5-(10/(逐级计算!$Q$5*LN(10))*(MAX((LN(10^(逐级计算!$Q$5/10)-1)+逐级计算!$Q$5*(E70-逐级计算!$P$5)*LN(10)/10),0)+LN(1+EXP(-ABS((LN(10^(逐级计算!$Q$5/10)-1)+逐级计算!$Q$5*(E70-逐级计算!$P$5)*LN(10)/10))))))),"")</f>
        <v>13.7930365742089</v>
      </c>
      <c r="G70">
        <f>IF(AND(ISNUMBER(F70),逐级计算!$X$6&gt;-1),IF(逐级计算!$X$6=0,F70+逐级计算!$C$6,F70+逐级计算!$C$6-(10/(逐级计算!$Q$6*LN(10))*(MAX((LN(10^(逐级计算!$Q$6/10)-1)+逐级计算!$Q$6*(F70-逐级计算!$P$6)*LN(10)/10),0)+LN(1+EXP(-ABS((LN(10^(逐级计算!$Q$6/10)-1)+逐级计算!$Q$6*(F70-逐级计算!$P$6)*LN(10)/10))))))),"")</f>
        <v>13.7930365742089</v>
      </c>
      <c r="H70">
        <f>IF(AND(ISNUMBER(G70),逐级计算!$X$7&gt;-1),IF(逐级计算!$X$7=0,G70+逐级计算!$C$7,G70+逐级计算!$C$7-(10/(逐级计算!$Q$7*LN(10))*(MAX((LN(10^(逐级计算!$Q$7/10)-1)+逐级计算!$Q$7*(G70-逐级计算!$P$7)*LN(10)/10),0)+LN(1+EXP(-ABS((LN(10^(逐级计算!$Q$7/10)-1)+逐级计算!$Q$7*(G70-逐级计算!$P$7)*LN(10)/10))))))),"")</f>
        <v>13.7930365742089</v>
      </c>
      <c r="I70">
        <f>IF(AND(ISNUMBER(H70),逐级计算!$X$8&gt;-1),IF(逐级计算!$X$8=0,H70+逐级计算!$C$8,H70+逐级计算!$C$8-(10/(逐级计算!$Q$8*LN(10))*(MAX((LN(10^(逐级计算!$Q$8/10)-1)+逐级计算!$Q$8*(H70-逐级计算!$P$8)*LN(10)/10),0)+LN(1+EXP(-ABS((LN(10^(逐级计算!$Q$8/10)-1)+逐级计算!$Q$8*(H70-逐级计算!$P$8)*LN(10)/10))))))),"")</f>
        <v>13.7930365742089</v>
      </c>
      <c r="J70">
        <f>IF(AND(ISNUMBER(I70),逐级计算!$X$9&gt;-1),IF(逐级计算!$X$9=0,I70+逐级计算!$C$9,I70+逐级计算!$C$9-(10/(逐级计算!$Q$9*LN(10))*(MAX((LN(10^(逐级计算!$Q$9/10)-1)+逐级计算!$Q$9*(I70-逐级计算!$P$9)*LN(10)/10),0)+LN(1+EXP(-ABS((LN(10^(逐级计算!$Q$9/10)-1)+逐级计算!$Q$9*(I70-逐级计算!$P$9)*LN(10)/10))))))),"")</f>
        <v>13.7930365742089</v>
      </c>
      <c r="K70">
        <f>IF(AND(ISNUMBER(J70),逐级计算!$X$10&gt;-1),IF(逐级计算!$X$10=0,J70+逐级计算!$C$10,J70+逐级计算!$C$10-(10/(逐级计算!$Q$10*LN(10))*(MAX((LN(10^(逐级计算!$Q$10/10)-1)+逐级计算!$Q$10*(J70-逐级计算!$P$10)*LN(10)/10),0)+LN(1+EXP(-ABS((LN(10^(逐级计算!$Q$10/10)-1)+逐级计算!$Q$10*(J70-逐级计算!$P$10)*LN(10)/10))))))),"")</f>
        <v>13.7930365742089</v>
      </c>
      <c r="L70">
        <f>IF(AND(ISNUMBER(K70),逐级计算!$X$11&gt;-1),IF(逐级计算!$X$11=0,K70+逐级计算!$C$11,K70+逐级计算!$C$11-(10/(逐级计算!$Q$11*LN(10))*(MAX((LN(10^(逐级计算!$Q$11/10)-1)+逐级计算!$Q$11*(K70-逐级计算!$P$11)*LN(10)/10),0)+LN(1+EXP(-ABS((LN(10^(逐级计算!$Q$11/10)-1)+逐级计算!$Q$11*(K70-逐级计算!$P$11)*LN(10)/10))))))),"")</f>
        <v>13.7930365742089</v>
      </c>
      <c r="M70">
        <f>IF(AND(ISNUMBER(L70),逐级计算!$X$12&gt;-1),IF(逐级计算!$X$12=0,L70+逐级计算!$C$12,L70+逐级计算!$C$12-(10/(逐级计算!$Q$12*LN(10))*(MAX((LN(10^(逐级计算!$Q$12/10)-1)+逐级计算!$Q$12*(L70-逐级计算!$P$12)*LN(10)/10),0)+LN(1+EXP(-ABS((LN(10^(逐级计算!$Q$12/10)-1)+逐级计算!$Q$12*(L70-逐级计算!$P$12)*LN(10)/10))))))),"")</f>
        <v>13.7930365742089</v>
      </c>
      <c r="N70">
        <f>IF(AND(ISNUMBER(M70),逐级计算!$X$13&gt;-1),IF(逐级计算!$X$13=0,M70+逐级计算!$C$13,M70+逐级计算!$C$13-(10/(逐级计算!$Q$13*LN(10))*(MAX((LN(10^(逐级计算!$Q$13/10)-1)+逐级计算!$Q$13*(M70-逐级计算!$P$13)*LN(10)/10),0)+LN(1+EXP(-ABS((LN(10^(逐级计算!$Q$13/10)-1)+逐级计算!$Q$13*(M70-逐级计算!$P$13)*LN(10)/10))))))),"")</f>
        <v>13.7930365742089</v>
      </c>
      <c r="O70">
        <f>IF(AND(ISNUMBER(N70),逐级计算!$X$14&gt;-1),IF(逐级计算!$X$14=0,N70+逐级计算!$C$14,N70+逐级计算!$C$14-(10/(逐级计算!$Q$14*LN(10))*(MAX((LN(10^(逐级计算!$Q$14/10)-1)+逐级计算!$Q$14*(N70-逐级计算!$P$14)*LN(10)/10),0)+LN(1+EXP(-ABS((LN(10^(逐级计算!$Q$14/10)-1)+逐级计算!$Q$14*(N70-逐级计算!$P$14)*LN(10)/10))))))),"")</f>
        <v>13.7930365742089</v>
      </c>
      <c r="P70">
        <f>IF(AND(ISNUMBER(O70),逐级计算!$X$15&gt;-1),IF(逐级计算!$X$15=0,O70+逐级计算!$C$15,O70+逐级计算!$C$15-(10/(逐级计算!$Q$15*LN(10))*(MAX((LN(10^(逐级计算!$Q$15/10)-1)+逐级计算!$Q$15*(O70-逐级计算!$P$15)*LN(10)/10),0)+LN(1+EXP(-ABS((LN(10^(逐级计算!$Q$15/10)-1)+逐级计算!$Q$15*(O70-逐级计算!$P$15)*LN(10)/10))))))),"")</f>
        <v>13.7930365742089</v>
      </c>
      <c r="Q70">
        <f>IF(AND(ISNUMBER(P70),逐级计算!$X$16&gt;-1),IF(逐级计算!$X$16=0,P70+逐级计算!$C$16,P70+逐级计算!$C$16-(10/(逐级计算!$Q$16*LN(10))*(MAX((LN(10^(逐级计算!$Q$16/10)-1)+逐级计算!$Q$16*(P70-逐级计算!$P$16)*LN(10)/10),0)+LN(1+EXP(-ABS((LN(10^(逐级计算!$Q$16/10)-1)+逐级计算!$Q$16*(P70-逐级计算!$P$16)*LN(10)/10))))))),"")</f>
        <v>13.7930365742089</v>
      </c>
      <c r="R70">
        <f>IF(AND(ISNUMBER(Q70),逐级计算!$X$17&gt;-1),IF(逐级计算!$X$17=0,Q70+逐级计算!$C$17,Q70+逐级计算!$C$17-(10/(逐级计算!$Q$17*LN(10))*(MAX((LN(10^(逐级计算!$Q$17/10)-1)+逐级计算!$Q$17*(Q70-逐级计算!$P$17)*LN(10)/10),0)+LN(1+EXP(-ABS((LN(10^(逐级计算!$Q$17/10)-1)+逐级计算!$Q$17*(Q70-逐级计算!$P$17)*LN(10)/10))))))),"")</f>
        <v>13.7930365742089</v>
      </c>
      <c r="S70">
        <f>IF(AND(ISNUMBER(R70),逐级计算!$X$18&gt;-1),IF(逐级计算!$X$18=0,R70+逐级计算!$C$18,R70+逐级计算!$C$18-(10/(逐级计算!$Q$18*LN(10))*(MAX((LN(10^(逐级计算!$Q$18/10)-1)+逐级计算!$Q$18*(R70-逐级计算!$P$18)*LN(10)/10),0)+LN(1+EXP(-ABS((LN(10^(逐级计算!$Q$18/10)-1)+逐级计算!$Q$18*(R70-逐级计算!$P$18)*LN(10)/10))))))),"")</f>
        <v>13.7930365742089</v>
      </c>
      <c r="T70">
        <f>IF(AND(ISNUMBER(S70),逐级计算!$X$19&gt;-1),IF(逐级计算!$X$19=0,S70+逐级计算!$C$19,S70+逐级计算!$C$19-(10/(逐级计算!$Q$19*LN(10))*(MAX((LN(10^(逐级计算!$Q$19/10)-1)+逐级计算!$Q$19*(S70-逐级计算!$P$19)*LN(10)/10),0)+LN(1+EXP(-ABS((LN(10^(逐级计算!$Q$19/10)-1)+逐级计算!$Q$19*(S70-逐级计算!$P$19)*LN(10)/10))))))),"")</f>
        <v>13.7930365742089</v>
      </c>
      <c r="U70">
        <f>IF(AND(ISNUMBER(T70),逐级计算!$X$20&gt;-1),IF(逐级计算!$X$20=0,T70+逐级计算!$C$20,T70+逐级计算!$C$20-(10/(逐级计算!$Q$20*LN(10))*(MAX((LN(10^(逐级计算!$Q$20/10)-1)+逐级计算!$Q$20*(T70-逐级计算!$P$20)*LN(10)/10),0)+LN(1+EXP(-ABS((LN(10^(逐级计算!$Q$20/10)-1)+逐级计算!$Q$20*(T70-逐级计算!$P$20)*LN(10)/10))))))),"")</f>
        <v>13.7930365742089</v>
      </c>
      <c r="V70">
        <f>IF(AND(ISNUMBER(U70),逐级计算!$X$21&gt;-1),IF(逐级计算!$X$21=0,U70+逐级计算!$C$21,U70+逐级计算!$C$21-(10/(逐级计算!$Q$21*LN(10))*(MAX((LN(10^(逐级计算!$Q$21/10)-1)+逐级计算!$Q$21*(U70-逐级计算!$P$21)*LN(10)/10),0)+LN(1+EXP(-ABS((LN(10^(逐级计算!$Q$21/10)-1)+逐级计算!$Q$21*(U70-逐级计算!$P$21)*LN(10)/10))))))),"")</f>
        <v>13.7930365742089</v>
      </c>
      <c r="W70">
        <f>IF(AND(ISNUMBER(V70),逐级计算!$X$22&gt;-1),IF(逐级计算!$X$22=0,V70+逐级计算!$C$22,V70+逐级计算!$C$22-(10/(逐级计算!$Q$22*LN(10))*(MAX((LN(10^(逐级计算!$Q$22/10)-1)+逐级计算!$Q$22*(V70-逐级计算!$P$22)*LN(10)/10),0)+LN(1+EXP(-ABS((LN(10^(逐级计算!$Q$22/10)-1)+逐级计算!$Q$22*(V70-逐级计算!$P$22)*LN(10)/10))))))),"")</f>
        <v>13.7930365742089</v>
      </c>
      <c r="X70">
        <f>IF(AND(ISNUMBER(W70),逐级计算!$X$23&gt;-1),IF(逐级计算!$X$23=0,W70+逐级计算!$C$23,W70+逐级计算!$C$23-(10/(逐级计算!$Q$23*LN(10))*(MAX((LN(10^(逐级计算!$Q$23/10)-1)+逐级计算!$Q$23*(W70-逐级计算!$P$23)*LN(10)/10),0)+LN(1+EXP(-ABS((LN(10^(逐级计算!$Q$23/10)-1)+逐级计算!$Q$23*(W70-逐级计算!$P$23)*LN(10)/10))))))),"")</f>
        <v>13.7930365742089</v>
      </c>
      <c r="Y70">
        <f>IF(AND(ISNUMBER(X70),逐级计算!$X$24&gt;-1),IF(逐级计算!$X$24=0,X70+逐级计算!$C$24,X70+逐级计算!$C$24-(10/(逐级计算!$Q$24*LN(10))*(MAX((LN(10^(逐级计算!$Q$24/10)-1)+逐级计算!$Q$24*(X70-逐级计算!$P$24)*LN(10)/10),0)+LN(1+EXP(-ABS((LN(10^(逐级计算!$Q$24/10)-1)+逐级计算!$Q$24*(X70-逐级计算!$P$24)*LN(10)/10))))))),"")</f>
        <v>13.7930365742089</v>
      </c>
      <c r="Z70">
        <f>IF(AND(ISNUMBER(Y70),逐级计算!$X$25&gt;-1),IF(逐级计算!$X$25=0,Y70+逐级计算!$C$25,Y70+逐级计算!$C$25-(10/(逐级计算!$Q$25*LN(10))*(MAX((LN(10^(逐级计算!$Q$25/10)-1)+逐级计算!$Q$25*(Y70-逐级计算!$P$25)*LN(10)/10),0)+LN(1+EXP(-ABS((LN(10^(逐级计算!$Q$25/10)-1)+逐级计算!$Q$25*(Y70-逐级计算!$P$25)*LN(10)/10))))))),"")</f>
        <v>13.7930365742089</v>
      </c>
      <c r="AA70">
        <f>IF(AND(ISNUMBER(Z70),逐级计算!$X$26&gt;-1),IF(逐级计算!$X$26=0,Z70+逐级计算!$C$26,Z70+逐级计算!$C$26-(10/(逐级计算!$Q$26*LN(10))*(MAX((LN(10^(逐级计算!$Q$26/10)-1)+逐级计算!$Q$26*(Z70-逐级计算!$P$26)*LN(10)/10),0)+LN(1+EXP(-ABS((LN(10^(逐级计算!$Q$26/10)-1)+逐级计算!$Q$26*(Z70-逐级计算!$P$26)*LN(10)/10))))))),"")</f>
        <v>13.7930365742089</v>
      </c>
      <c r="AB70">
        <f>IF(AND(ISNUMBER(AA70),逐级计算!$X$27&gt;-1),IF(逐级计算!$X$27=0,AA70+逐级计算!$C$27,AA70+逐级计算!$C$27-(10/(逐级计算!$Q$27*LN(10))*(MAX((LN(10^(逐级计算!$Q$27/10)-1)+逐级计算!$Q$27*(AA70-逐级计算!$P$27)*LN(10)/10),0)+LN(1+EXP(-ABS((LN(10^(逐级计算!$Q$27/10)-1)+逐级计算!$Q$27*(AA70-逐级计算!$P$27)*LN(10)/10))))))),"")</f>
        <v>13.7930365742089</v>
      </c>
      <c r="AC70">
        <f>IF(AND(ISNUMBER(AB70),逐级计算!$X$28&gt;-1),IF(逐级计算!$X$28=0,AB70+逐级计算!$C$28,AB70+逐级计算!$C$28-(10/(逐级计算!$Q$28*LN(10))*(MAX((LN(10^(逐级计算!$Q$28/10)-1)+逐级计算!$Q$28*(AB70-逐级计算!$P$28)*LN(10)/10),0)+LN(1+EXP(-ABS((LN(10^(逐级计算!$Q$28/10)-1)+逐级计算!$Q$28*(AB70-逐级计算!$P$28)*LN(10)/10))))))),"")</f>
        <v>13.7930365742089</v>
      </c>
      <c r="AD70">
        <f>IF(AND(ISNUMBER(AC70),逐级计算!$X$29&gt;-1),IF(逐级计算!$X$29=0,AC70+逐级计算!$C$29,AC70+逐级计算!$C$29-(10/(逐级计算!$Q$29*LN(10))*(MAX((LN(10^(逐级计算!$Q$29/10)-1)+逐级计算!$Q$29*(AC70-逐级计算!$P$29)*LN(10)/10),0)+LN(1+EXP(-ABS((LN(10^(逐级计算!$Q$29/10)-1)+逐级计算!$Q$29*(AC70-逐级计算!$P$29)*LN(10)/10))))))),"")</f>
        <v>13.7930365742089</v>
      </c>
      <c r="AE70">
        <f>IF(AND(ISNUMBER(AD70),逐级计算!$X$30&gt;-1),IF(逐级计算!$X$30=0,AD70+逐级计算!$C$30,AD70+逐级计算!$C$30-(10/(逐级计算!$Q$30*LN(10))*(MAX((LN(10^(逐级计算!$Q$30/10)-1)+逐级计算!$Q$30*(AD70-逐级计算!$P$30)*LN(10)/10),0)+LN(1+EXP(-ABS((LN(10^(逐级计算!$Q$30/10)-1)+逐级计算!$Q$30*(AD70-逐级计算!$P$30)*LN(10)/10))))))),"")</f>
        <v>13.7930365742089</v>
      </c>
      <c r="AF70">
        <f>IF(AND(ISNUMBER(AE70),逐级计算!$X$31&gt;-1),IF(逐级计算!$X$31=0,AE70+逐级计算!$C$31,AE70+逐级计算!$C$31-(10/(逐级计算!$Q$31*LN(10))*(MAX((LN(10^(逐级计算!$Q$31/10)-1)+逐级计算!$Q$31*(AE70-逐级计算!$P$31)*LN(10)/10),0)+LN(1+EXP(-ABS((LN(10^(逐级计算!$Q$31/10)-1)+逐级计算!$Q$31*(AE70-逐级计算!$P$31)*LN(10)/10))))))),"")</f>
        <v>13.7930365742089</v>
      </c>
      <c r="AG70">
        <f>IF(AND(ISNUMBER(AF70),逐级计算!$X$32&gt;-1),IF(逐级计算!$X$32=0,AF70+逐级计算!$C$32,AF70+逐级计算!$C$32-(10/(逐级计算!$Q$32*LN(10))*(MAX((LN(10^(逐级计算!$Q$32/10)-1)+逐级计算!$Q$32*(AF70-逐级计算!$P$32)*LN(10)/10),0)+LN(1+EXP(-ABS((LN(10^(逐级计算!$Q$32/10)-1)+逐级计算!$Q$32*(AF70-逐级计算!$P$32)*LN(10)/10))))))),"")</f>
        <v>13.7930365742089</v>
      </c>
      <c r="AH70">
        <f>IF(AND(ISNUMBER(AG70),逐级计算!$X$33&gt;-1),IF(逐级计算!$X$33=0,AG70+逐级计算!$C$33,AG70+逐级计算!$C$33-(10/(逐级计算!$Q$33*LN(10))*(MAX((LN(10^(逐级计算!$Q$33/10)-1)+逐级计算!$Q$33*(AG70-逐级计算!$P$33)*LN(10)/10),0)+LN(1+EXP(-ABS((LN(10^(逐级计算!$Q$33/10)-1)+逐级计算!$Q$33*(AG70-逐级计算!$P$33)*LN(10)/10))))))),"")</f>
        <v>13.7930365742089</v>
      </c>
      <c r="AI70">
        <f>IF(AND(ISNUMBER(AH70),逐级计算!$X$34&gt;-1),IF(逐级计算!$X$34=0,AH70+逐级计算!$C$34,AH70+逐级计算!$C$34-(10/(逐级计算!$Q$34*LN(10))*(MAX((LN(10^(逐级计算!$Q$34/10)-1)+逐级计算!$Q$34*(AH70-逐级计算!$P$34)*LN(10)/10),0)+LN(1+EXP(-ABS((LN(10^(逐级计算!$Q$34/10)-1)+逐级计算!$Q$34*(AH70-逐级计算!$P$34)*LN(10)/10))))))),"")</f>
        <v>13.7930365742089</v>
      </c>
      <c r="AJ70">
        <f>IF(AND(ISNUMBER(AI70),逐级计算!$X$35&gt;-1),IF(逐级计算!$X$35=0,AI70+逐级计算!$C$35,AI70+逐级计算!$C$35-(10/(逐级计算!$Q$35*LN(10))*(MAX((LN(10^(逐级计算!$Q$35/10)-1)+逐级计算!$Q$35*(AI70-逐级计算!$P$35)*LN(10)/10),0)+LN(1+EXP(-ABS((LN(10^(逐级计算!$Q$35/10)-1)+逐级计算!$Q$35*(AI70-逐级计算!$P$35)*LN(10)/10))))))),"")</f>
        <v>13.7930365742089</v>
      </c>
      <c r="AK70">
        <f>IF(AND(ISNUMBER(AJ70),逐级计算!$X$36&gt;-1),IF(逐级计算!$X$36=0,AJ70+逐级计算!$C$36,AJ70+逐级计算!$C$36-(10/(逐级计算!$Q$36*LN(10))*(MAX((LN(10^(逐级计算!$Q$36/10)-1)+逐级计算!$Q$36*(AJ70-逐级计算!$P$36)*LN(10)/10),0)+LN(1+EXP(-ABS((LN(10^(逐级计算!$Q$36/10)-1)+逐级计算!$Q$36*(AJ70-逐级计算!$P$36)*LN(10)/10))))))),"")</f>
        <v>13.7930365742089</v>
      </c>
      <c r="AL70">
        <f>IF(AND(ISNUMBER(AK70),逐级计算!$X$37&gt;-1),IF(逐级计算!$X$37=0,AK70+逐级计算!$C$37,AK70+逐级计算!$C$37-(10/(逐级计算!$Q$37*LN(10))*(MAX((LN(10^(逐级计算!$Q$37/10)-1)+逐级计算!$Q$37*(AK70-逐级计算!$P$37)*LN(10)/10),0)+LN(1+EXP(-ABS((LN(10^(逐级计算!$Q$37/10)-1)+逐级计算!$Q$37*(AK70-逐级计算!$P$37)*LN(10)/10))))))),"")</f>
        <v>13.7930365742089</v>
      </c>
      <c r="AM70">
        <f>IF(AND(ISNUMBER(AL70),逐级计算!$X$38&gt;-1),IF(逐级计算!$X$38=0,AL70+逐级计算!$C$38,AL70+逐级计算!$C$38-(10/(逐级计算!$Q$38*LN(10))*(MAX((LN(10^(逐级计算!$Q$38/10)-1)+逐级计算!$Q$38*(AL70-逐级计算!$P$38)*LN(10)/10),0)+LN(1+EXP(-ABS((LN(10^(逐级计算!$Q$38/10)-1)+逐级计算!$Q$38*(AL70-逐级计算!$P$38)*LN(10)/10))))))),"")</f>
        <v>13.7930365742089</v>
      </c>
      <c r="AN70">
        <f>IF(AND(ISNUMBER(AM70),逐级计算!$X$39&gt;-1),IF(逐级计算!$X$39=0,AM70+逐级计算!$C$39,AM70+逐级计算!$C$39-(10/(逐级计算!$Q$39*LN(10))*(MAX((LN(10^(逐级计算!$Q$39/10)-1)+逐级计算!$Q$39*(AM70-逐级计算!$P$39)*LN(10)/10),0)+LN(1+EXP(-ABS((LN(10^(逐级计算!$Q$39/10)-1)+逐级计算!$Q$39*(AM70-逐级计算!$P$39)*LN(10)/10))))))),"")</f>
        <v>13.7930365742089</v>
      </c>
      <c r="AO70">
        <f>IF(AND(ISNUMBER(AN70),逐级计算!$X$40&gt;-1),IF(逐级计算!$X$40=0,AN70+逐级计算!$C$40,AN70+逐级计算!$C$40-(10/(逐级计算!$Q$40*LN(10))*(MAX((LN(10^(逐级计算!$Q$40/10)-1)+逐级计算!$Q$40*(AN70-逐级计算!$P$40)*LN(10)/10),0)+LN(1+EXP(-ABS((LN(10^(逐级计算!$Q$40/10)-1)+逐级计算!$Q$40*(AN70-逐级计算!$P$40)*LN(10)/10))))))),"")</f>
        <v>13.7930365742089</v>
      </c>
      <c r="AP70">
        <f>IF(AND(ISNUMBER(AO70),逐级计算!$X$41&gt;-1),IF(逐级计算!$X$41=0,AO70+逐级计算!$C$41,AO70+逐级计算!$C$41-(10/(逐级计算!$Q$41*LN(10))*(MAX((LN(10^(逐级计算!$Q$41/10)-1)+逐级计算!$Q$41*(AO70-逐级计算!$P$41)*LN(10)/10),0)+LN(1+EXP(-ABS((LN(10^(逐级计算!$Q$41/10)-1)+逐级计算!$Q$41*(AO70-逐级计算!$P$41)*LN(10)/10))))))),"")</f>
        <v>13.7930365742089</v>
      </c>
      <c r="AQ70">
        <f>IF(AND(ISNUMBER(AP70),逐级计算!$X$42&gt;-1),IF(逐级计算!$X$42=0,AP70+逐级计算!$C$42,AP70+逐级计算!$C$42-(10/(逐级计算!$Q$42*LN(10))*(MAX((LN(10^(逐级计算!$Q$42/10)-1)+逐级计算!$Q$42*(AP70-逐级计算!$P$42)*LN(10)/10),0)+LN(1+EXP(-ABS((LN(10^(逐级计算!$Q$42/10)-1)+逐级计算!$Q$42*(AP70-逐级计算!$P$42)*LN(10)/10))))))),"")</f>
        <v>13.7930365742089</v>
      </c>
      <c r="AR70">
        <f>IF(AND(ISNUMBER(AQ70),逐级计算!$X$43&gt;-1),IF(逐级计算!$X$43=0,AQ70+逐级计算!$C$43,AQ70+逐级计算!$C$43-(10/(逐级计算!$Q$43*LN(10))*(MAX((LN(10^(逐级计算!$Q$43/10)-1)+逐级计算!$Q$43*(AQ70-逐级计算!$P$43)*LN(10)/10),0)+LN(1+EXP(-ABS((LN(10^(逐级计算!$Q$43/10)-1)+逐级计算!$Q$43*(AQ70-逐级计算!$P$43)*LN(10)/10))))))),"")</f>
        <v>13.7930365742089</v>
      </c>
      <c r="AS70">
        <f>IF(AND(ISNUMBER(AR70),逐级计算!$X$44&gt;-1),IF(逐级计算!$X$44=0,AR70+逐级计算!$C$44,AR70+逐级计算!$C$44-(10/(逐级计算!$Q$44*LN(10))*(MAX((LN(10^(逐级计算!$Q$44/10)-1)+逐级计算!$Q$44*(AR70-逐级计算!$P$44)*LN(10)/10),0)+LN(1+EXP(-ABS((LN(10^(逐级计算!$Q$44/10)-1)+逐级计算!$Q$44*(AR70-逐级计算!$P$44)*LN(10)/10))))))),"")</f>
        <v>13.7930365742089</v>
      </c>
      <c r="AT70">
        <f>IF(AND(ISNUMBER(AS70),逐级计算!$X$45&gt;-1),IF(逐级计算!$X$45=0,AS70+逐级计算!$C$45,AS70+逐级计算!$C$45-(10/(逐级计算!$Q$45*LN(10))*(MAX((LN(10^(逐级计算!$Q$45/10)-1)+逐级计算!$Q$45*(AS70-逐级计算!$P$45)*LN(10)/10),0)+LN(1+EXP(-ABS((LN(10^(逐级计算!$Q$45/10)-1)+逐级计算!$Q$45*(AS70-逐级计算!$P$45)*LN(10)/10))))))),"")</f>
        <v>13.7930365742089</v>
      </c>
      <c r="AU70">
        <f>IF(AND(ISNUMBER(AT70),逐级计算!$X$46&gt;-1),IF(逐级计算!$X$46=0,AT70+逐级计算!$C$46,AT70+逐级计算!$C$46-(10/(逐级计算!$Q$46*LN(10))*(MAX((LN(10^(逐级计算!$Q$46/10)-1)+逐级计算!$Q$46*(AT70-逐级计算!$P$46)*LN(10)/10),0)+LN(1+EXP(-ABS((LN(10^(逐级计算!$Q$46/10)-1)+逐级计算!$Q$46*(AT70-逐级计算!$P$46)*LN(10)/10))))))),"")</f>
        <v>13.7930365742089</v>
      </c>
      <c r="AV70">
        <f>IF(AND(ISNUMBER(AU70),逐级计算!$X$47&gt;-1),IF(逐级计算!$X$47=0,AU70+逐级计算!$C$47,AU70+逐级计算!$C$47-(10/(逐级计算!$Q$47*LN(10))*(MAX((LN(10^(逐级计算!$Q$47/10)-1)+逐级计算!$Q$47*(AU70-逐级计算!$P$47)*LN(10)/10),0)+LN(1+EXP(-ABS((LN(10^(逐级计算!$Q$47/10)-1)+逐级计算!$Q$47*(AU70-逐级计算!$P$47)*LN(10)/10))))))),"")</f>
        <v>13.7930365742089</v>
      </c>
      <c r="AW70">
        <f>IF(AND(ISNUMBER(AV70),逐级计算!$X$48&gt;-1),IF(逐级计算!$X$48=0,AV70+逐级计算!$C$48,AV70+逐级计算!$C$48-(10/(逐级计算!$Q$48*LN(10))*(MAX((LN(10^(逐级计算!$Q$48/10)-1)+逐级计算!$Q$48*(AV70-逐级计算!$P$48)*LN(10)/10),0)+LN(1+EXP(-ABS((LN(10^(逐级计算!$Q$48/10)-1)+逐级计算!$Q$48*(AV70-逐级计算!$P$48)*LN(10)/10))))))),"")</f>
        <v>13.7930365742089</v>
      </c>
      <c r="AX70">
        <f>IF(AND(ISNUMBER(AW70),逐级计算!$X$49&gt;-1),IF(逐级计算!$X$49=0,AW70+逐级计算!$C$49,AW70+逐级计算!$C$49-(10/(逐级计算!$Q$49*LN(10))*(MAX((LN(10^(逐级计算!$Q$49/10)-1)+逐级计算!$Q$49*(AW70-逐级计算!$P$49)*LN(10)/10),0)+LN(1+EXP(-ABS((LN(10^(逐级计算!$Q$49/10)-1)+逐级计算!$Q$49*(AW70-逐级计算!$P$49)*LN(10)/10))))))),"")</f>
        <v>13.7930365742089</v>
      </c>
      <c r="AY70">
        <f>IF(AND(ISNUMBER(AX70),逐级计算!$X$50&gt;-1),IF(逐级计算!$X$50=0,AX70+逐级计算!$C$50,AX70+逐级计算!$C$50-(10/(逐级计算!$Q$50*LN(10))*(MAX((LN(10^(逐级计算!$Q$50/10)-1)+逐级计算!$Q$50*(AX70-逐级计算!$P$50)*LN(10)/10),0)+LN(1+EXP(-ABS((LN(10^(逐级计算!$Q$50/10)-1)+逐级计算!$Q$50*(AX70-逐级计算!$P$50)*LN(10)/10))))))),"")</f>
        <v>13.7930365742089</v>
      </c>
      <c r="AZ70">
        <f>IF(AND(ISNUMBER(AY70),逐级计算!$X$51&gt;-1),IF(逐级计算!$X$51=0,AY70+逐级计算!$C$51,AY70+逐级计算!$C$51-(10/(逐级计算!$Q$51*LN(10))*(MAX((LN(10^(逐级计算!$Q$51/10)-1)+逐级计算!$Q$51*(AY70-逐级计算!$P$51)*LN(10)/10),0)+LN(1+EXP(-ABS((LN(10^(逐级计算!$Q$51/10)-1)+逐级计算!$Q$51*(AY70-逐级计算!$P$51)*LN(10)/10))))))),"")</f>
        <v>13.7930365742089</v>
      </c>
      <c r="BA70">
        <f>IF(AND(ISNUMBER(AZ70),逐级计算!$X$52&gt;-1),IF(逐级计算!$X$52=0,AZ70+逐级计算!$C$52,AZ70+逐级计算!$C$52-(10/(逐级计算!$Q$52*LN(10))*(MAX((LN(10^(逐级计算!$Q$52/10)-1)+逐级计算!$Q$52*(AZ70-逐级计算!$P$52)*LN(10)/10),0)+LN(1+EXP(-ABS((LN(10^(逐级计算!$Q$52/10)-1)+逐级计算!$Q$52*(AZ70-逐级计算!$P$52)*LN(10)/10))))))),"")</f>
        <v>13.7930365742089</v>
      </c>
      <c r="BB70">
        <f>IF(AND(ISNUMBER(BA70),逐级计算!$X$53&gt;-1),IF(逐级计算!$X$53=0,BA70+逐级计算!$C$53,BA70+逐级计算!$C$53-(10/(逐级计算!$Q$53*LN(10))*(MAX((LN(10^(逐级计算!$Q$53/10)-1)+逐级计算!$Q$53*(BA70-逐级计算!$P$53)*LN(10)/10),0)+LN(1+EXP(-ABS((LN(10^(逐级计算!$Q$53/10)-1)+逐级计算!$Q$53*(BA70-逐级计算!$P$53)*LN(10)/10))))))),"")</f>
        <v>13.7930365742089</v>
      </c>
      <c r="BC70">
        <f>IF(AND(ISNUMBER(BB70),逐级计算!$X$54&gt;-1),IF(逐级计算!$X$54=0,BB70+逐级计算!$C$54,BB70+逐级计算!$C$54-(10/(逐级计算!$Q$54*LN(10))*(MAX((LN(10^(逐级计算!$Q$54/10)-1)+逐级计算!$Q$54*(BB70-逐级计算!$P$54)*LN(10)/10),0)+LN(1+EXP(-ABS((LN(10^(逐级计算!$Q$54/10)-1)+逐级计算!$Q$54*(BB70-逐级计算!$P$54)*LN(10)/10))))))),"")</f>
        <v>13.7930365742089</v>
      </c>
      <c r="BD70">
        <f>IF(AND(ISNUMBER(BC70),逐级计算!$X$55&gt;-1),IF(逐级计算!$X$55=0,BC70+逐级计算!$C$55,BC70+逐级计算!$C$55-(10/(逐级计算!$Q$55*LN(10))*(MAX((LN(10^(逐级计算!$Q$55/10)-1)+逐级计算!$Q$55*(BC70-逐级计算!$P$55)*LN(10)/10),0)+LN(1+EXP(-ABS((LN(10^(逐级计算!$Q$55/10)-1)+逐级计算!$Q$55*(BC70-逐级计算!$P$55)*LN(10)/10))))))),"")</f>
        <v>13.7930365742089</v>
      </c>
      <c r="BE70">
        <f>IF(AND(ISNUMBER(BD70),逐级计算!$X$56&gt;-1),IF(逐级计算!$X$56=0,BD70+逐级计算!$C$56,BD70+逐级计算!$C$56-(10/(逐级计算!$Q$56*LN(10))*(MAX((LN(10^(逐级计算!$Q$56/10)-1)+逐级计算!$Q$56*(BD70-逐级计算!$P$56)*LN(10)/10),0)+LN(1+EXP(-ABS((LN(10^(逐级计算!$Q$56/10)-1)+逐级计算!$Q$56*(BD70-逐级计算!$P$56)*LN(10)/10))))))),"")</f>
        <v>13.7930365742089</v>
      </c>
      <c r="BF70">
        <f>IF(AND(ISNUMBER(BE70),逐级计算!$X$57&gt;-1),IF(逐级计算!$X$57=0,BE70+逐级计算!$C$57,BE70+逐级计算!$C$57-(10/(逐级计算!$Q$57*LN(10))*(MAX((LN(10^(逐级计算!$Q$57/10)-1)+逐级计算!$Q$57*(BE70-逐级计算!$P$57)*LN(10)/10),0)+LN(1+EXP(-ABS((LN(10^(逐级计算!$Q$57/10)-1)+逐级计算!$Q$57*(BE70-逐级计算!$P$57)*LN(10)/10))))))),"")</f>
        <v>13.7930365742089</v>
      </c>
      <c r="BG70">
        <f>IF(AND(ISNUMBER(BF70),逐级计算!$X$58&gt;-1),IF(逐级计算!$X$58=0,BF70+逐级计算!$C$58,BF70+逐级计算!$C$58-(10/(逐级计算!$Q$58*LN(10))*(MAX((LN(10^(逐级计算!$Q$58/10)-1)+逐级计算!$Q$58*(BF70-逐级计算!$P$58)*LN(10)/10),0)+LN(1+EXP(-ABS((LN(10^(逐级计算!$Q$58/10)-1)+逐级计算!$Q$58*(BF70-逐级计算!$P$58)*LN(10)/10))))))),"")</f>
        <v>13.7930365742089</v>
      </c>
      <c r="BH70">
        <f>IF(AND(ISNUMBER(BG70),逐级计算!$X$59&gt;-1),IF(逐级计算!$X$59=0,BG70+逐级计算!$C$59,BG70+逐级计算!$C$59-(10/(逐级计算!$Q$59*LN(10))*(MAX((LN(10^(逐级计算!$Q$59/10)-1)+逐级计算!$Q$59*(BG70-逐级计算!$P$59)*LN(10)/10),0)+LN(1+EXP(-ABS((LN(10^(逐级计算!$Q$59/10)-1)+逐级计算!$Q$59*(BG70-逐级计算!$P$59)*LN(10)/10))))))),"")</f>
        <v>13.7930365742089</v>
      </c>
      <c r="BI70">
        <f>IF(AND(ISNUMBER(BH70),逐级计算!$X$60&gt;-1),IF(逐级计算!$X$60=0,BH70+逐级计算!$C$60,BH70+逐级计算!$C$60-(10/(逐级计算!$Q$60*LN(10))*(MAX((LN(10^(逐级计算!$Q$60/10)-1)+逐级计算!$Q$60*(BH70-逐级计算!$P$60)*LN(10)/10),0)+LN(1+EXP(-ABS((LN(10^(逐级计算!$Q$60/10)-1)+逐级计算!$Q$60*(BH70-逐级计算!$P$60)*LN(10)/10))))))),"")</f>
        <v>13.7930365742089</v>
      </c>
      <c r="BJ70">
        <f>IF(AND(ISNUMBER(BI70),逐级计算!$X$61&gt;-1),IF(逐级计算!$X$61=0,BI70+逐级计算!$C$61,BI70+逐级计算!$C$61-(10/(逐级计算!$Q$61*LN(10))*(MAX((LN(10^(逐级计算!$Q$61/10)-1)+逐级计算!$Q$61*(BI70-逐级计算!$P$61)*LN(10)/10),0)+LN(1+EXP(-ABS((LN(10^(逐级计算!$Q$61/10)-1)+逐级计算!$Q$61*(BI70-逐级计算!$P$61)*LN(10)/10))))))),"")</f>
        <v>13.7930365742089</v>
      </c>
      <c r="BK70">
        <f>IF(AND(ISNUMBER(BJ70),逐级计算!$X$62&gt;-1),IF(逐级计算!$X$62=0,BJ70+逐级计算!$C$62,BJ70+逐级计算!$C$62-(10/(逐级计算!$Q$62*LN(10))*(MAX((LN(10^(逐级计算!$Q$62/10)-1)+逐级计算!$Q$62*(BJ70-逐级计算!$P$62)*LN(10)/10),0)+LN(1+EXP(-ABS((LN(10^(逐级计算!$Q$62/10)-1)+逐级计算!$Q$62*(BJ70-逐级计算!$P$62)*LN(10)/10))))))),"")</f>
        <v>13.7930365742089</v>
      </c>
      <c r="BL70">
        <f>IF(AND(ISNUMBER(BK70),逐级计算!$X$63&gt;-1),IF(逐级计算!$X$63=0,BK70+逐级计算!$C$63,BK70+逐级计算!$C$63-(10/(逐级计算!$Q$63*LN(10))*(MAX((LN(10^(逐级计算!$Q$63/10)-1)+逐级计算!$Q$63*(BK70-逐级计算!$P$63)*LN(10)/10),0)+LN(1+EXP(-ABS((LN(10^(逐级计算!$Q$63/10)-1)+逐级计算!$Q$63*(BK70-逐级计算!$P$63)*LN(10)/10))))))),"")</f>
        <v>13.7930365742089</v>
      </c>
      <c r="BM70">
        <f>IF(AND(ISNUMBER(BL70),逐级计算!$X$64&gt;-1),IF(逐级计算!$X$64=0,BL70+逐级计算!$C$64,BL70+逐级计算!$C$64-(10/(逐级计算!$Q$64*LN(10))*(MAX((LN(10^(逐级计算!$Q$64/10)-1)+逐级计算!$Q$64*(BL70-逐级计算!$P$64)*LN(10)/10),0)+LN(1+EXP(-ABS((LN(10^(逐级计算!$Q$64/10)-1)+逐级计算!$Q$64*(BL70-逐级计算!$P$64)*LN(10)/10))))))),"")</f>
        <v>13.7930365742089</v>
      </c>
      <c r="BN70">
        <f>IF(AND(ISNUMBER(BM70),逐级计算!$X$65&gt;-1),IF(逐级计算!$X$65=0,BM70+逐级计算!$C$65,BM70+逐级计算!$C$65-(10/(逐级计算!$Q$65*LN(10))*(MAX((LN(10^(逐级计算!$Q$65/10)-1)+逐级计算!$Q$65*(BM70-逐级计算!$P$65)*LN(10)/10),0)+LN(1+EXP(-ABS((LN(10^(逐级计算!$Q$65/10)-1)+逐级计算!$Q$65*(BM70-逐级计算!$P$65)*LN(10)/10))))))),"")</f>
        <v>13.7930365742089</v>
      </c>
      <c r="BO70">
        <f>IF(AND(ISNUMBER(BN70),逐级计算!$X$66&gt;-1),IF(逐级计算!$X$66=0,BN70+逐级计算!$C$66,BN70+逐级计算!$C$66-(10/(逐级计算!$Q$66*LN(10))*(MAX((LN(10^(逐级计算!$Q$66/10)-1)+逐级计算!$Q$66*(BN70-逐级计算!$P$66)*LN(10)/10),0)+LN(1+EXP(-ABS((LN(10^(逐级计算!$Q$66/10)-1)+逐级计算!$Q$66*(BN70-逐级计算!$P$66)*LN(10)/10))))))),"")</f>
        <v>13.7930365742089</v>
      </c>
      <c r="BP70">
        <f>IF(AND(ISNUMBER(BO70),逐级计算!$X$67&gt;-1),IF(逐级计算!$X$67=0,BO70+逐级计算!$C$67,BO70+逐级计算!$C$67-(10/(逐级计算!$Q$67*LN(10))*(MAX((LN(10^(逐级计算!$Q$67/10)-1)+逐级计算!$Q$67*(BO70-逐级计算!$P$67)*LN(10)/10),0)+LN(1+EXP(-ABS((LN(10^(逐级计算!$Q$67/10)-1)+逐级计算!$Q$67*(BO70-逐级计算!$P$67)*LN(10)/10))))))),"")</f>
        <v>13.7930365742089</v>
      </c>
      <c r="BQ70">
        <f>IF(AND(ISNUMBER(BP70),逐级计算!$X$68&gt;-1),IF(逐级计算!$X$68=0,BP70+逐级计算!$C$68,BP70+逐级计算!$C$68-(10/(逐级计算!$Q$68*LN(10))*(MAX((LN(10^(逐级计算!$Q$68/10)-1)+逐级计算!$Q$68*(BP70-逐级计算!$P$68)*LN(10)/10),0)+LN(1+EXP(-ABS((LN(10^(逐级计算!$Q$68/10)-1)+逐级计算!$Q$68*(BP70-逐级计算!$P$68)*LN(10)/10))))))),"")</f>
        <v>13.7930365742089</v>
      </c>
      <c r="BR70">
        <f>IF(AND(ISNUMBER(BQ70),逐级计算!$X$69&gt;-1),IF(逐级计算!$X$69=0,BQ70+逐级计算!$C$69,BQ70+逐级计算!$C$69-(10/(逐级计算!$Q$69*LN(10))*(MAX((LN(10^(逐级计算!$Q$69/10)-1)+逐级计算!$Q$69*(BQ70-逐级计算!$P$69)*LN(10)/10),0)+LN(1+EXP(-ABS((LN(10^(逐级计算!$Q$69/10)-1)+逐级计算!$Q$69*(BQ70-逐级计算!$P$69)*LN(10)/10))))))),"")</f>
        <v>13.7930365742089</v>
      </c>
      <c r="BS70">
        <f>IF(AND(ISNUMBER(BR70),逐级计算!$X$70&gt;-1),IF(逐级计算!$X$70=0,BR70+逐级计算!$C$70,BR70+逐级计算!$C$70-(10/(逐级计算!$Q$70*LN(10))*(MAX((LN(10^(逐级计算!$Q$70/10)-1)+逐级计算!$Q$70*(BR70-逐级计算!$P$70)*LN(10)/10),0)+LN(1+EXP(-ABS((LN(10^(逐级计算!$Q$70/10)-1)+逐级计算!$Q$70*(BR70-逐级计算!$P$70)*LN(10)/10))))))),"")</f>
        <v>13.7930365742089</v>
      </c>
      <c r="BT70">
        <f>IF(AND(ISNUMBER(BS70),逐级计算!$X$71&gt;-1),IF(逐级计算!$X$71=0,BS70+逐级计算!$C$71,BS70+逐级计算!$C$71-(10/(逐级计算!$Q$71*LN(10))*(MAX((LN(10^(逐级计算!$Q$71/10)-1)+逐级计算!$Q$71*(BS70-逐级计算!$P$71)*LN(10)/10),0)+LN(1+EXP(-ABS((LN(10^(逐级计算!$Q$71/10)-1)+逐级计算!$Q$71*(BS70-逐级计算!$P$71)*LN(10)/10))))))),"")</f>
        <v>13.7930365742089</v>
      </c>
      <c r="BU70">
        <f>IF(AND(ISNUMBER(BT70),逐级计算!$X$72&gt;-1),IF(逐级计算!$X$72=0,BT70+逐级计算!$C$72,BT70+逐级计算!$C$72-(10/(逐级计算!$Q$72*LN(10))*(MAX((LN(10^(逐级计算!$Q$72/10)-1)+逐级计算!$Q$72*(BT70-逐级计算!$P$72)*LN(10)/10),0)+LN(1+EXP(-ABS((LN(10^(逐级计算!$Q$72/10)-1)+逐级计算!$Q$72*(BT70-逐级计算!$P$72)*LN(10)/10))))))),"")</f>
        <v>13.7930365742089</v>
      </c>
      <c r="BV70">
        <f>IF(AND(ISNUMBER(BU70),逐级计算!$X$73&gt;-1),IF(逐级计算!$X$73=0,BU70+逐级计算!$C$73,BU70+逐级计算!$C$73-(10/(逐级计算!$Q$73*LN(10))*(MAX((LN(10^(逐级计算!$Q$73/10)-1)+逐级计算!$Q$73*(BU70-逐级计算!$P$73)*LN(10)/10),0)+LN(1+EXP(-ABS((LN(10^(逐级计算!$Q$73/10)-1)+逐级计算!$Q$73*(BU70-逐级计算!$P$73)*LN(10)/10))))))),"")</f>
        <v>13.7930365742089</v>
      </c>
      <c r="BW70">
        <f>IF(AND(ISNUMBER(BV70),逐级计算!$X$74&gt;-1),IF(逐级计算!$X$74=0,BV70+逐级计算!$C$74,BV70+逐级计算!$C$74-(10/(逐级计算!$Q$74*LN(10))*(MAX((LN(10^(逐级计算!$Q$74/10)-1)+逐级计算!$Q$74*(BV70-逐级计算!$P$74)*LN(10)/10),0)+LN(1+EXP(-ABS((LN(10^(逐级计算!$Q$74/10)-1)+逐级计算!$Q$74*(BV70-逐级计算!$P$74)*LN(10)/10))))))),"")</f>
        <v>13.7930365742089</v>
      </c>
      <c r="BX70">
        <f>IF(AND(ISNUMBER(BW70),逐级计算!$X$75&gt;-1),IF(逐级计算!$X$75=0,BW70+逐级计算!$C$75,BW70+逐级计算!$C$75-(10/(逐级计算!$Q$75*LN(10))*(MAX((LN(10^(逐级计算!$Q$75/10)-1)+逐级计算!$Q$75*(BW70-逐级计算!$P$75)*LN(10)/10),0)+LN(1+EXP(-ABS((LN(10^(逐级计算!$Q$75/10)-1)+逐级计算!$Q$75*(BW70-逐级计算!$P$75)*LN(10)/10))))))),"")</f>
        <v>13.7930365742089</v>
      </c>
      <c r="BY70">
        <f>IF(AND(ISNUMBER(BX70),逐级计算!$X$76&gt;-1),IF(逐级计算!$X$76=0,BX70+逐级计算!$C$76,BX70+逐级计算!$C$76-(10/(逐级计算!$Q$76*LN(10))*(MAX((LN(10^(逐级计算!$Q$76/10)-1)+逐级计算!$Q$76*(BX70-逐级计算!$P$76)*LN(10)/10),0)+LN(1+EXP(-ABS((LN(10^(逐级计算!$Q$76/10)-1)+逐级计算!$Q$76*(BX70-逐级计算!$P$76)*LN(10)/10))))))),"")</f>
        <v>13.7930365742089</v>
      </c>
      <c r="BZ70">
        <f>IF(AND(ISNUMBER(BY70),逐级计算!$X$77&gt;-1),IF(逐级计算!$X$77=0,BY70+逐级计算!$C$77,BY70+逐级计算!$C$77-(10/(逐级计算!$Q$77*LN(10))*(MAX((LN(10^(逐级计算!$Q$77/10)-1)+逐级计算!$Q$77*(BY70-逐级计算!$P$77)*LN(10)/10),0)+LN(1+EXP(-ABS((LN(10^(逐级计算!$Q$77/10)-1)+逐级计算!$Q$77*(BY70-逐级计算!$P$77)*LN(10)/10))))))),"")</f>
        <v>13.7930365742089</v>
      </c>
      <c r="CA70">
        <f>IF(AND(ISNUMBER(BZ70),逐级计算!$X$78&gt;-1),IF(逐级计算!$X$78=0,BZ70+逐级计算!$C$78,BZ70+逐级计算!$C$78-(10/(逐级计算!$Q$78*LN(10))*(MAX((LN(10^(逐级计算!$Q$78/10)-1)+逐级计算!$Q$78*(BZ70-逐级计算!$P$78)*LN(10)/10),0)+LN(1+EXP(-ABS((LN(10^(逐级计算!$Q$78/10)-1)+逐级计算!$Q$78*(BZ70-逐级计算!$P$78)*LN(10)/10))))))),"")</f>
        <v>13.7930365742089</v>
      </c>
      <c r="CB70">
        <f>IF(AND(ISNUMBER(CA70),逐级计算!$X$79&gt;-1),IF(逐级计算!$X$79=0,CA70+逐级计算!$C$79,CA70+逐级计算!$C$79-(10/(逐级计算!$Q$79*LN(10))*(MAX((LN(10^(逐级计算!$Q$79/10)-1)+逐级计算!$Q$79*(CA70-逐级计算!$P$79)*LN(10)/10),0)+LN(1+EXP(-ABS((LN(10^(逐级计算!$Q$79/10)-1)+逐级计算!$Q$79*(CA70-逐级计算!$P$79)*LN(10)/10))))))),"")</f>
        <v>13.7930365742089</v>
      </c>
      <c r="CC70">
        <f>IF(AND(ISNUMBER(CB70),逐级计算!$X$80&gt;-1),IF(逐级计算!$X$80=0,CB70+逐级计算!$C$80,CB70+逐级计算!$C$80-(10/(逐级计算!$Q$80*LN(10))*(MAX((LN(10^(逐级计算!$Q$80/10)-1)+逐级计算!$Q$80*(CB70-逐级计算!$P$80)*LN(10)/10),0)+LN(1+EXP(-ABS((LN(10^(逐级计算!$Q$80/10)-1)+逐级计算!$Q$80*(CB70-逐级计算!$P$80)*LN(10)/10))))))),"")</f>
        <v>13.7930365742089</v>
      </c>
      <c r="CD70">
        <f>IF(AND(ISNUMBER(CC70),逐级计算!$X$81&gt;-1),IF(逐级计算!$X$81=0,CC70+逐级计算!$C$81,CC70+逐级计算!$C$81-(10/(逐级计算!$Q$81*LN(10))*(MAX((LN(10^(逐级计算!$Q$81/10)-1)+逐级计算!$Q$81*(CC70-逐级计算!$P$81)*LN(10)/10),0)+LN(1+EXP(-ABS((LN(10^(逐级计算!$Q$81/10)-1)+逐级计算!$Q$81*(CC70-逐级计算!$P$81)*LN(10)/10))))))),"")</f>
        <v>13.7930365742089</v>
      </c>
      <c r="CE70">
        <f>IF(AND(ISNUMBER(CD70),逐级计算!$X$82&gt;-1),IF(逐级计算!$X$82=0,CD70+逐级计算!$C$82,CD70+逐级计算!$C$82-(10/(逐级计算!$Q$82*LN(10))*(MAX((LN(10^(逐级计算!$Q$82/10)-1)+逐级计算!$Q$82*(CD70-逐级计算!$P$82)*LN(10)/10),0)+LN(1+EXP(-ABS((LN(10^(逐级计算!$Q$82/10)-1)+逐级计算!$Q$82*(CD70-逐级计算!$P$82)*LN(10)/10))))))),"")</f>
        <v>13.7930365742089</v>
      </c>
      <c r="CF70">
        <f>IF(AND(ISNUMBER(CE70),逐级计算!$X$83&gt;-1),IF(逐级计算!$X$83=0,CE70+逐级计算!$C$83,CE70+逐级计算!$C$83-(10/(逐级计算!$Q$83*LN(10))*(MAX((LN(10^(逐级计算!$Q$83/10)-1)+逐级计算!$Q$83*(CE70-逐级计算!$P$83)*LN(10)/10),0)+LN(1+EXP(-ABS((LN(10^(逐级计算!$Q$83/10)-1)+逐级计算!$Q$83*(CE70-逐级计算!$P$83)*LN(10)/10))))))),"")</f>
        <v>13.7930365742089</v>
      </c>
      <c r="CG70">
        <f>IF(AND(ISNUMBER(CF70),逐级计算!$X$84&gt;-1),IF(逐级计算!$X$84=0,CF70+逐级计算!$C$84,CF70+逐级计算!$C$84-(10/(逐级计算!$Q$84*LN(10))*(MAX((LN(10^(逐级计算!$Q$84/10)-1)+逐级计算!$Q$84*(CF70-逐级计算!$P$84)*LN(10)/10),0)+LN(1+EXP(-ABS((LN(10^(逐级计算!$Q$84/10)-1)+逐级计算!$Q$84*(CF70-逐级计算!$P$84)*LN(10)/10))))))),"")</f>
        <v>13.7930365742089</v>
      </c>
      <c r="CH70">
        <f>IF(AND(ISNUMBER(CG70),逐级计算!$X$85&gt;-1),IF(逐级计算!$X$85=0,CG70+逐级计算!$C$85,CG70+逐级计算!$C$85-(10/(逐级计算!$Q$85*LN(10))*(MAX((LN(10^(逐级计算!$Q$85/10)-1)+逐级计算!$Q$85*(CG70-逐级计算!$P$85)*LN(10)/10),0)+LN(1+EXP(-ABS((LN(10^(逐级计算!$Q$85/10)-1)+逐级计算!$Q$85*(CG70-逐级计算!$P$85)*LN(10)/10))))))),"")</f>
        <v>13.7930365742089</v>
      </c>
      <c r="CI70">
        <f>IF(AND(ISNUMBER(CH70),逐级计算!$X$86&gt;-1),IF(逐级计算!$X$86=0,CH70+逐级计算!$C$86,CH70+逐级计算!$C$86-(10/(逐级计算!$Q$86*LN(10))*(MAX((LN(10^(逐级计算!$Q$86/10)-1)+逐级计算!$Q$86*(CH70-逐级计算!$P$86)*LN(10)/10),0)+LN(1+EXP(-ABS((LN(10^(逐级计算!$Q$86/10)-1)+逐级计算!$Q$86*(CH70-逐级计算!$P$86)*LN(10)/10))))))),"")</f>
        <v>13.7930365742089</v>
      </c>
      <c r="CJ70">
        <f>IF(AND(ISNUMBER(CI70),逐级计算!$X$87&gt;-1),IF(逐级计算!$X$87=0,CI70+逐级计算!$C$87,CI70+逐级计算!$C$87-(10/(逐级计算!$Q$87*LN(10))*(MAX((LN(10^(逐级计算!$Q$87/10)-1)+逐级计算!$Q$87*(CI70-逐级计算!$P$87)*LN(10)/10),0)+LN(1+EXP(-ABS((LN(10^(逐级计算!$Q$87/10)-1)+逐级计算!$Q$87*(CI70-逐级计算!$P$87)*LN(10)/10))))))),"")</f>
        <v>13.7930365742089</v>
      </c>
      <c r="CK70">
        <f>IF(AND(ISNUMBER(CJ70),逐级计算!$X$88&gt;-1),IF(逐级计算!$X$88=0,CJ70+逐级计算!$C$88,CJ70+逐级计算!$C$88-(10/(逐级计算!$Q$88*LN(10))*(MAX((LN(10^(逐级计算!$Q$88/10)-1)+逐级计算!$Q$88*(CJ70-逐级计算!$P$88)*LN(10)/10),0)+LN(1+EXP(-ABS((LN(10^(逐级计算!$Q$88/10)-1)+逐级计算!$Q$88*(CJ70-逐级计算!$P$88)*LN(10)/10))))))),"")</f>
        <v>13.7930365742089</v>
      </c>
      <c r="CL70">
        <f>IF(AND(ISNUMBER(CK70),逐级计算!$X$89&gt;-1),IF(逐级计算!$X$89=0,CK70+逐级计算!$C$89,CK70+逐级计算!$C$89-(10/(逐级计算!$Q$89*LN(10))*(MAX((LN(10^(逐级计算!$Q$89/10)-1)+逐级计算!$Q$89*(CK70-逐级计算!$P$89)*LN(10)/10),0)+LN(1+EXP(-ABS((LN(10^(逐级计算!$Q$89/10)-1)+逐级计算!$Q$89*(CK70-逐级计算!$P$89)*LN(10)/10))))))),"")</f>
        <v>13.7930365742089</v>
      </c>
      <c r="CM70">
        <f>IF(AND(ISNUMBER(CL70),逐级计算!$X$90&gt;-1),IF(逐级计算!$X$90=0,CL70+逐级计算!$C$90,CL70+逐级计算!$C$90-(10/(逐级计算!$Q$90*LN(10))*(MAX((LN(10^(逐级计算!$Q$90/10)-1)+逐级计算!$Q$90*(CL70-逐级计算!$P$90)*LN(10)/10),0)+LN(1+EXP(-ABS((LN(10^(逐级计算!$Q$90/10)-1)+逐级计算!$Q$90*(CL70-逐级计算!$P$90)*LN(10)/10))))))),"")</f>
        <v>13.7930365742089</v>
      </c>
      <c r="CN70">
        <f>IF(AND(ISNUMBER(CM70),逐级计算!$X$91&gt;-1),IF(逐级计算!$X$91=0,CM70+逐级计算!$C$91,CM70+逐级计算!$C$91-(10/(逐级计算!$Q$91*LN(10))*(MAX((LN(10^(逐级计算!$Q$91/10)-1)+逐级计算!$Q$91*(CM70-逐级计算!$P$91)*LN(10)/10),0)+LN(1+EXP(-ABS((LN(10^(逐级计算!$Q$91/10)-1)+逐级计算!$Q$91*(CM70-逐级计算!$P$91)*LN(10)/10))))))),"")</f>
        <v>13.7930365742089</v>
      </c>
      <c r="CO70">
        <f>IF(AND(ISNUMBER(CN70),逐级计算!$X$92&gt;-1),IF(逐级计算!$X$92=0,CN70+逐级计算!$C$92,CN70+逐级计算!$C$92-(10/(逐级计算!$Q$92*LN(10))*(MAX((LN(10^(逐级计算!$Q$92/10)-1)+逐级计算!$Q$92*(CN70-逐级计算!$P$92)*LN(10)/10),0)+LN(1+EXP(-ABS((LN(10^(逐级计算!$Q$92/10)-1)+逐级计算!$Q$92*(CN70-逐级计算!$P$92)*LN(10)/10))))))),"")</f>
        <v>13.7930365742089</v>
      </c>
      <c r="CP70">
        <f>IF(AND(ISNUMBER(CO70),逐级计算!$X$93&gt;-1),IF(逐级计算!$X$93=0,CO70+逐级计算!$C$93,CO70+逐级计算!$C$93-(10/(逐级计算!$Q$93*LN(10))*(MAX((LN(10^(逐级计算!$Q$93/10)-1)+逐级计算!$Q$93*(CO70-逐级计算!$P$93)*LN(10)/10),0)+LN(1+EXP(-ABS((LN(10^(逐级计算!$Q$93/10)-1)+逐级计算!$Q$93*(CO70-逐级计算!$P$93)*LN(10)/10))))))),"")</f>
        <v>13.7930365742089</v>
      </c>
      <c r="CQ70">
        <f>IF(AND(ISNUMBER(CP70),逐级计算!$X$94&gt;-1),IF(逐级计算!$X$94=0,CP70+逐级计算!$C$94,CP70+逐级计算!$C$94-(10/(逐级计算!$Q$94*LN(10))*(MAX((LN(10^(逐级计算!$Q$94/10)-1)+逐级计算!$Q$94*(CP70-逐级计算!$P$94)*LN(10)/10),0)+LN(1+EXP(-ABS((LN(10^(逐级计算!$Q$94/10)-1)+逐级计算!$Q$94*(CP70-逐级计算!$P$94)*LN(10)/10))))))),"")</f>
        <v>13.7930365742089</v>
      </c>
      <c r="CR70">
        <f>IF(AND(ISNUMBER(CQ70),逐级计算!$X$95&gt;-1),IF(逐级计算!$X$95=0,CQ70+逐级计算!$C$95,CQ70+逐级计算!$C$95-(10/(逐级计算!$Q$95*LN(10))*(MAX((LN(10^(逐级计算!$Q$95/10)-1)+逐级计算!$Q$95*(CQ70-逐级计算!$P$95)*LN(10)/10),0)+LN(1+EXP(-ABS((LN(10^(逐级计算!$Q$95/10)-1)+逐级计算!$Q$95*(CQ70-逐级计算!$P$95)*LN(10)/10))))))),"")</f>
        <v>13.7930365742089</v>
      </c>
      <c r="CS70">
        <f>IF(AND(ISNUMBER(CR70),逐级计算!$X$96&gt;-1),IF(逐级计算!$X$96=0,CR70+逐级计算!$C$96,CR70+逐级计算!$C$96-(10/(逐级计算!$Q$96*LN(10))*(MAX((LN(10^(逐级计算!$Q$96/10)-1)+逐级计算!$Q$96*(CR70-逐级计算!$P$96)*LN(10)/10),0)+LN(1+EXP(-ABS((LN(10^(逐级计算!$Q$96/10)-1)+逐级计算!$Q$96*(CR70-逐级计算!$P$96)*LN(10)/10))))))),"")</f>
        <v>13.7930365742089</v>
      </c>
      <c r="CT70">
        <f>IF(AND(ISNUMBER(CS70),逐级计算!$X$97&gt;-1),IF(逐级计算!$X$97=0,CS70+逐级计算!$C$97,CS70+逐级计算!$C$97-(10/(逐级计算!$Q$97*LN(10))*(MAX((LN(10^(逐级计算!$Q$97/10)-1)+逐级计算!$Q$97*(CS70-逐级计算!$P$97)*LN(10)/10),0)+LN(1+EXP(-ABS((LN(10^(逐级计算!$Q$97/10)-1)+逐级计算!$Q$97*(CS70-逐级计算!$P$97)*LN(10)/10))))))),"")</f>
        <v>13.7930365742089</v>
      </c>
      <c r="CU70">
        <f>IF(AND(ISNUMBER(CT70),逐级计算!$X$98&gt;-1),IF(逐级计算!$X$98=0,CT70+逐级计算!$C$98,CT70+逐级计算!$C$98-(10/(逐级计算!$Q$98*LN(10))*(MAX((LN(10^(逐级计算!$Q$98/10)-1)+逐级计算!$Q$98*(CT70-逐级计算!$P$98)*LN(10)/10),0)+LN(1+EXP(-ABS((LN(10^(逐级计算!$Q$98/10)-1)+逐级计算!$Q$98*(CT70-逐级计算!$P$98)*LN(10)/10))))))),"")</f>
        <v>13.7930365742089</v>
      </c>
      <c r="CV70">
        <f>IF(AND(ISNUMBER(CU70),逐级计算!$X$99&gt;-1),IF(逐级计算!$X$99=0,CU70+逐级计算!$C$99,CU70+逐级计算!$C$99-(10/(逐级计算!$Q$99*LN(10))*(MAX((LN(10^(逐级计算!$Q$99/10)-1)+逐级计算!$Q$99*(CU70-逐级计算!$P$99)*LN(10)/10),0)+LN(1+EXP(-ABS((LN(10^(逐级计算!$Q$99/10)-1)+逐级计算!$Q$99*(CU70-逐级计算!$P$99)*LN(10)/10))))))),"")</f>
        <v>13.7930365742089</v>
      </c>
      <c r="CW70">
        <f>IF(AND(ISNUMBER(CV70),逐级计算!$X$100&gt;-1),IF(逐级计算!$X$100=0,CV70+逐级计算!$C$100,CV70+逐级计算!$C$100-(10/(逐级计算!$Q$100*LN(10))*(MAX((LN(10^(逐级计算!$Q$100/10)-1)+逐级计算!$Q$100*(CV70-逐级计算!$P$100)*LN(10)/10),0)+LN(1+EXP(-ABS((LN(10^(逐级计算!$Q$100/10)-1)+逐级计算!$Q$100*(CV70-逐级计算!$P$100)*LN(10)/10))))))),"")</f>
        <v>13.7930365742089</v>
      </c>
      <c r="CX70">
        <f>IF(AND(ISNUMBER(CW70),逐级计算!$X$101&gt;-1),IF(逐级计算!$X$101=0,CW70+逐级计算!$C$101,CW70+逐级计算!$C$101-(10/(逐级计算!$Q$101*LN(10))*(MAX((LN(10^(逐级计算!$Q$101/10)-1)+逐级计算!$Q$101*(CW70-逐级计算!$P$101)*LN(10)/10),0)+LN(1+EXP(-ABS((LN(10^(逐级计算!$Q$101/10)-1)+逐级计算!$Q$101*(CW70-逐级计算!$P$101)*LN(10)/10))))))),"")</f>
        <v>13.7930365742089</v>
      </c>
      <c r="CY70">
        <f>IF(AND(ISNUMBER(CX70),逐级计算!$X$102&gt;-1),IF(逐级计算!$X$102=0,CX70+逐级计算!$C$102,CX70+逐级计算!$C$102-(10/(逐级计算!$Q$102*LN(10))*(MAX((LN(10^(逐级计算!$Q$102/10)-1)+逐级计算!$Q$102*(CX70-逐级计算!$P$102)*LN(10)/10),0)+LN(1+EXP(-ABS((LN(10^(逐级计算!$Q$102/10)-1)+逐级计算!$Q$102*(CX70-逐级计算!$P$102)*LN(10)/10))))))),"")</f>
        <v>13.7930365742089</v>
      </c>
      <c r="CZ70">
        <f>IF(AND(ISNUMBER(CY70),逐级计算!$X$103&gt;-1),IF(逐级计算!$X$103=0,CY70+逐级计算!$C$103,CY70+逐级计算!$C$103-(10/(逐级计算!$Q$103*LN(10))*(MAX((LN(10^(逐级计算!$Q$103/10)-1)+逐级计算!$Q$103*(CY70-逐级计算!$P$103)*LN(10)/10),0)+LN(1+EXP(-ABS((LN(10^(逐级计算!$Q$103/10)-1)+逐级计算!$Q$103*(CY70-逐级计算!$P$103)*LN(10)/10))))))),"")</f>
        <v>13.7930365742089</v>
      </c>
      <c r="DA70">
        <f>IF(AND(ISNUMBER(CZ70),逐级计算!$X$104&gt;-1),IF(逐级计算!$X$104=0,CZ70+逐级计算!$C$104,CZ70+逐级计算!$C$104-(10/(逐级计算!$Q$104*LN(10))*(MAX((LN(10^(逐级计算!$Q$104/10)-1)+逐级计算!$Q$104*(CZ70-逐级计算!$P$104)*LN(10)/10),0)+LN(1+EXP(-ABS((LN(10^(逐级计算!$Q$104/10)-1)+逐级计算!$Q$104*(CZ70-逐级计算!$P$104)*LN(10)/10))))))),"")</f>
        <v>13.7930365742089</v>
      </c>
      <c r="DB70">
        <f>IF(AND(ISNUMBER(DA70),逐级计算!$X$105&gt;-1),IF(逐级计算!$X$105=0,DA70+逐级计算!$C$105,DA70+逐级计算!$C$105-(10/(逐级计算!$Q$105*LN(10))*(MAX((LN(10^(逐级计算!$Q$105/10)-1)+逐级计算!$Q$105*(DA70-逐级计算!$P$105)*LN(10)/10),0)+LN(1+EXP(-ABS((LN(10^(逐级计算!$Q$105/10)-1)+逐级计算!$Q$105*(DA70-逐级计算!$P$105)*LN(10)/10))))))),"")</f>
        <v>13.7930365742089</v>
      </c>
      <c r="DC70">
        <f>IF(AND(ISNUMBER(DB70),逐级计算!$X$106&gt;-1),IF(逐级计算!$X$106=0,DB70+逐级计算!$C$106,DB70+逐级计算!$C$106-(10/(逐级计算!$Q$106*LN(10))*(MAX((LN(10^(逐级计算!$Q$106/10)-1)+逐级计算!$Q$106*(DB70-逐级计算!$P$106)*LN(10)/10),0)+LN(1+EXP(-ABS((LN(10^(逐级计算!$Q$106/10)-1)+逐级计算!$Q$106*(DB70-逐级计算!$P$106)*LN(10)/10))))))),"")</f>
        <v>13.7930365742089</v>
      </c>
      <c r="DD70">
        <f>IF(AND(ISNUMBER(DC70),逐级计算!$X$107&gt;-1),IF(逐级计算!$X$107=0,DC70+逐级计算!$C$107,DC70+逐级计算!$C$107-(10/(逐级计算!$Q$107*LN(10))*(MAX((LN(10^(逐级计算!$Q$107/10)-1)+逐级计算!$Q$107*(DC70-逐级计算!$P$107)*LN(10)/10),0)+LN(1+EXP(-ABS((LN(10^(逐级计算!$Q$107/10)-1)+逐级计算!$Q$107*(DC70-逐级计算!$P$107)*LN(10)/10))))))),"")</f>
        <v>13.7930365742089</v>
      </c>
      <c r="DE70">
        <f>IF(AND(ISNUMBER(DD70),逐级计算!$X$108&gt;-1),IF(逐级计算!$X$108=0,DD70+逐级计算!$C$108,DD70+逐级计算!$C$108-(10/(逐级计算!$Q$108*LN(10))*(MAX((LN(10^(逐级计算!$Q$108/10)-1)+逐级计算!$Q$108*(DD70-逐级计算!$P$108)*LN(10)/10),0)+LN(1+EXP(-ABS((LN(10^(逐级计算!$Q$108/10)-1)+逐级计算!$Q$108*(DD70-逐级计算!$P$108)*LN(10)/10))))))),"")</f>
        <v>13.7930365742089</v>
      </c>
      <c r="DF70">
        <f>IF(AND(ISNUMBER(DE70),逐级计算!$X$109&gt;-1),IF(逐级计算!$X$109=0,DE70+逐级计算!$C$109,DE70+逐级计算!$C$109-(10/(逐级计算!$Q$109*LN(10))*(MAX((LN(10^(逐级计算!$Q$109/10)-1)+逐级计算!$Q$109*(DE70-逐级计算!$P$109)*LN(10)/10),0)+LN(1+EXP(-ABS((LN(10^(逐级计算!$Q$109/10)-1)+逐级计算!$Q$109*(DE70-逐级计算!$P$109)*LN(10)/10))))))),"")</f>
        <v>13.7930365742089</v>
      </c>
      <c r="DG70">
        <f>IF(AND(ISNUMBER(DF70),逐级计算!$X$110&gt;-1),IF(逐级计算!$X$110=0,DF70+逐级计算!$C$110,DF70+逐级计算!$C$110-(10/(逐级计算!$Q$110*LN(10))*(MAX((LN(10^(逐级计算!$Q$110/10)-1)+逐级计算!$Q$110*(DF70-逐级计算!$P$110)*LN(10)/10),0)+LN(1+EXP(-ABS((LN(10^(逐级计算!$Q$110/10)-1)+逐级计算!$Q$110*(DF70-逐级计算!$P$110)*LN(10)/10))))))),"")</f>
        <v>13.7930365742089</v>
      </c>
      <c r="DH70">
        <f>IF(AND(ISNUMBER(DG70),逐级计算!$X$111&gt;-1),IF(逐级计算!$X$111=0,DG70+逐级计算!$C$111,DG70+逐级计算!$C$111-(10/(逐级计算!$Q$111*LN(10))*(MAX((LN(10^(逐级计算!$Q$111/10)-1)+逐级计算!$Q$111*(DG70-逐级计算!$P$111)*LN(10)/10),0)+LN(1+EXP(-ABS((LN(10^(逐级计算!$Q$111/10)-1)+逐级计算!$Q$111*(DG70-逐级计算!$P$111)*LN(10)/10))))))),"")</f>
        <v>13.7930365742089</v>
      </c>
      <c r="DI70">
        <f>IF(AND(ISNUMBER(DH70),逐级计算!$X$112&gt;-1),IF(逐级计算!$X$112=0,DH70+逐级计算!$C$112,DH70+逐级计算!$C$112-(10/(逐级计算!$Q$112*LN(10))*(MAX((LN(10^(逐级计算!$Q$112/10)-1)+逐级计算!$Q$112*(DH70-逐级计算!$P$112)*LN(10)/10),0)+LN(1+EXP(-ABS((LN(10^(逐级计算!$Q$112/10)-1)+逐级计算!$Q$112*(DH70-逐级计算!$P$112)*LN(10)/10))))))),"")</f>
        <v>13.7930365742089</v>
      </c>
      <c r="DJ70">
        <f>IF(AND(ISNUMBER(DI70),逐级计算!$X$113&gt;-1),IF(逐级计算!$X$113=0,DI70+逐级计算!$C$113,DI70+逐级计算!$C$113-(10/(逐级计算!$Q$113*LN(10))*(MAX((LN(10^(逐级计算!$Q$113/10)-1)+逐级计算!$Q$113*(DI70-逐级计算!$P$113)*LN(10)/10),0)+LN(1+EXP(-ABS((LN(10^(逐级计算!$Q$113/10)-1)+逐级计算!$Q$113*(DI70-逐级计算!$P$113)*LN(10)/10))))))),"")</f>
        <v>13.7930365742089</v>
      </c>
      <c r="DK70">
        <f>IF(AND(ISNUMBER(DJ70),逐级计算!$X$114&gt;-1),IF(逐级计算!$X$114=0,DJ70+逐级计算!$C$114,DJ70+逐级计算!$C$114-(10/(逐级计算!$Q$114*LN(10))*(MAX((LN(10^(逐级计算!$Q$114/10)-1)+逐级计算!$Q$114*(DJ70-逐级计算!$P$114)*LN(10)/10),0)+LN(1+EXP(-ABS((LN(10^(逐级计算!$Q$114/10)-1)+逐级计算!$Q$114*(DJ70-逐级计算!$P$114)*LN(10)/10))))))),"")</f>
        <v>13.7930365742089</v>
      </c>
      <c r="DL70">
        <f>IF(AND(ISNUMBER(DK70),逐级计算!$X$115&gt;-1),IF(逐级计算!$X$115=0,DK70+逐级计算!$C$115,DK70+逐级计算!$C$115-(10/(逐级计算!$Q$115*LN(10))*(MAX((LN(10^(逐级计算!$Q$115/10)-1)+逐级计算!$Q$115*(DK70-逐级计算!$P$115)*LN(10)/10),0)+LN(1+EXP(-ABS((LN(10^(逐级计算!$Q$115/10)-1)+逐级计算!$Q$115*(DK70-逐级计算!$P$115)*LN(10)/10))))))),"")</f>
        <v>13.7930365742089</v>
      </c>
      <c r="DM70">
        <f>IF(AND(ISNUMBER(DL70),逐级计算!$X$116&gt;-1),IF(逐级计算!$X$116=0,DL70+逐级计算!$C$116,DL70+逐级计算!$C$116-(10/(逐级计算!$Q$116*LN(10))*(MAX((LN(10^(逐级计算!$Q$116/10)-1)+逐级计算!$Q$116*(DL70-逐级计算!$P$116)*LN(10)/10),0)+LN(1+EXP(-ABS((LN(10^(逐级计算!$Q$116/10)-1)+逐级计算!$Q$116*(DL70-逐级计算!$P$116)*LN(10)/10))))))),"")</f>
        <v>13.7930365742089</v>
      </c>
      <c r="DN70">
        <f>IF(AND(ISNUMBER(DM70),逐级计算!$X$117&gt;-1),IF(逐级计算!$X$117=0,DM70+逐级计算!$C$117,DM70+逐级计算!$C$117-(10/(逐级计算!$Q$117*LN(10))*(MAX((LN(10^(逐级计算!$Q$117/10)-1)+逐级计算!$Q$117*(DM70-逐级计算!$P$117)*LN(10)/10),0)+LN(1+EXP(-ABS((LN(10^(逐级计算!$Q$117/10)-1)+逐级计算!$Q$117*(DM70-逐级计算!$P$117)*LN(10)/10))))))),"")</f>
        <v>13.7930365742089</v>
      </c>
      <c r="DO70">
        <f>IF(AND(ISNUMBER(DN70),逐级计算!$X$118&gt;-1),IF(逐级计算!$X$118=0,DN70+逐级计算!$C$118,DN70+逐级计算!$C$118-(10/(逐级计算!$Q$118*LN(10))*(MAX((LN(10^(逐级计算!$Q$118/10)-1)+逐级计算!$Q$118*(DN70-逐级计算!$P$118)*LN(10)/10),0)+LN(1+EXP(-ABS((LN(10^(逐级计算!$Q$118/10)-1)+逐级计算!$Q$118*(DN70-逐级计算!$P$118)*LN(10)/10))))))),"")</f>
        <v>13.7930365742089</v>
      </c>
      <c r="DP70">
        <f>IF(AND(ISNUMBER(DO70),逐级计算!$X$119&gt;-1),IF(逐级计算!$X$119=0,DO70+逐级计算!$C$119,DO70+逐级计算!$C$119-(10/(逐级计算!$Q$119*LN(10))*(MAX((LN(10^(逐级计算!$Q$119/10)-1)+逐级计算!$Q$119*(DO70-逐级计算!$P$119)*LN(10)/10),0)+LN(1+EXP(-ABS((LN(10^(逐级计算!$Q$119/10)-1)+逐级计算!$Q$119*(DO70-逐级计算!$P$119)*LN(10)/10))))))),"")</f>
        <v>13.7930365742089</v>
      </c>
      <c r="DQ70">
        <f>IF(AND(ISNUMBER(DP70),逐级计算!$X$120&gt;-1),IF(逐级计算!$X$120=0,DP70+逐级计算!$C$120,DP70+逐级计算!$C$120-(10/(逐级计算!$Q$120*LN(10))*(MAX((LN(10^(逐级计算!$Q$120/10)-1)+逐级计算!$Q$120*(DP70-逐级计算!$P$120)*LN(10)/10),0)+LN(1+EXP(-ABS((LN(10^(逐级计算!$Q$120/10)-1)+逐级计算!$Q$120*(DP70-逐级计算!$P$120)*LN(10)/10))))))),"")</f>
        <v>13.7930365742089</v>
      </c>
      <c r="DR70">
        <f>IF(AND(ISNUMBER(DQ70),逐级计算!$X$121&gt;-1),IF(逐级计算!$X$121=0,DQ70+逐级计算!$C$121,DQ70+逐级计算!$C$121-(10/(逐级计算!$Q$121*LN(10))*(MAX((LN(10^(逐级计算!$Q$121/10)-1)+逐级计算!$Q$121*(DQ70-逐级计算!$P$121)*LN(10)/10),0)+LN(1+EXP(-ABS((LN(10^(逐级计算!$Q$121/10)-1)+逐级计算!$Q$121*(DQ70-逐级计算!$P$121)*LN(10)/10))))))),"")</f>
        <v>13.7930365742089</v>
      </c>
      <c r="DS70">
        <f>IF(AND(ISNUMBER(DR70),逐级计算!$X$122&gt;-1),IF(逐级计算!$X$122=0,DR70+逐级计算!$C$122,DR70+逐级计算!$C$122-(10/(逐级计算!$Q$122*LN(10))*(MAX((LN(10^(逐级计算!$Q$122/10)-1)+逐级计算!$Q$122*(DR70-逐级计算!$P$122)*LN(10)/10),0)+LN(1+EXP(-ABS((LN(10^(逐级计算!$Q$122/10)-1)+逐级计算!$Q$122*(DR70-逐级计算!$P$122)*LN(10)/10))))))),"")</f>
        <v>13.7930365742089</v>
      </c>
      <c r="DT70">
        <f>IF(AND(ISNUMBER(DS70),逐级计算!$X$123&gt;-1),IF(逐级计算!$X$123=0,DS70+逐级计算!$C$123,DS70+逐级计算!$C$123-(10/(逐级计算!$Q$123*LN(10))*(MAX((LN(10^(逐级计算!$Q$123/10)-1)+逐级计算!$Q$123*(DS70-逐级计算!$P$123)*LN(10)/10),0)+LN(1+EXP(-ABS((LN(10^(逐级计算!$Q$123/10)-1)+逐级计算!$Q$123*(DS70-逐级计算!$P$123)*LN(10)/10))))))),"")</f>
        <v>13.7930365742089</v>
      </c>
      <c r="DU70">
        <f>IF(AND(ISNUMBER(DT70),逐级计算!$X$124&gt;-1),IF(逐级计算!$X$124=0,DT70+逐级计算!$C$124,DT70+逐级计算!$C$124-(10/(逐级计算!$Q$124*LN(10))*(MAX((LN(10^(逐级计算!$Q$124/10)-1)+逐级计算!$Q$124*(DT70-逐级计算!$P$124)*LN(10)/10),0)+LN(1+EXP(-ABS((LN(10^(逐级计算!$Q$124/10)-1)+逐级计算!$Q$124*(DT70-逐级计算!$P$124)*LN(10)/10))))))),"")</f>
        <v>13.7930365742089</v>
      </c>
      <c r="DV70">
        <f>IF(AND(ISNUMBER(DU70),逐级计算!$X$125&gt;-1),IF(逐级计算!$X$125=0,DU70+逐级计算!$C$125,DU70+逐级计算!$C$125-(10/(逐级计算!$Q$125*LN(10))*(MAX((LN(10^(逐级计算!$Q$125/10)-1)+逐级计算!$Q$125*(DU70-逐级计算!$P$125)*LN(10)/10),0)+LN(1+EXP(-ABS((LN(10^(逐级计算!$Q$125/10)-1)+逐级计算!$Q$125*(DU70-逐级计算!$P$125)*LN(10)/10))))))),"")</f>
        <v>13.7930365742089</v>
      </c>
      <c r="DW70">
        <f>IF(AND(ISNUMBER(DV70),逐级计算!$X$126&gt;-1),IF(逐级计算!$X$126=0,DV70+逐级计算!$C$126,DV70+逐级计算!$C$126-(10/(逐级计算!$Q$126*LN(10))*(MAX((LN(10^(逐级计算!$Q$126/10)-1)+逐级计算!$Q$126*(DV70-逐级计算!$P$126)*LN(10)/10),0)+LN(1+EXP(-ABS((LN(10^(逐级计算!$Q$126/10)-1)+逐级计算!$Q$126*(DV70-逐级计算!$P$126)*LN(10)/10))))))),"")</f>
        <v>13.7930365742089</v>
      </c>
      <c r="DX70">
        <f>IF(AND(ISNUMBER(DW70),逐级计算!$X$127&gt;-1),IF(逐级计算!$X$127=0,DW70+逐级计算!$C$127,DW70+逐级计算!$C$127-(10/(逐级计算!$Q$127*LN(10))*(MAX((LN(10^(逐级计算!$Q$127/10)-1)+逐级计算!$Q$127*(DW70-逐级计算!$P$127)*LN(10)/10),0)+LN(1+EXP(-ABS((LN(10^(逐级计算!$Q$127/10)-1)+逐级计算!$Q$127*(DW70-逐级计算!$P$127)*LN(10)/10))))))),"")</f>
        <v>13.7930365742089</v>
      </c>
      <c r="DY70">
        <f>IF(AND(ISNUMBER(DX70),逐级计算!$X$128&gt;-1),IF(逐级计算!$X$128=0,DX70+逐级计算!$C$128,DX70+逐级计算!$C$128-(10/(逐级计算!$Q$128*LN(10))*(MAX((LN(10^(逐级计算!$Q$128/10)-1)+逐级计算!$Q$128*(DX70-逐级计算!$P$128)*LN(10)/10),0)+LN(1+EXP(-ABS((LN(10^(逐级计算!$Q$128/10)-1)+逐级计算!$Q$128*(DX70-逐级计算!$P$128)*LN(10)/10))))))),"")</f>
        <v>13.7930365742089</v>
      </c>
      <c r="DZ70">
        <f>IF(AND(ISNUMBER(DY70),逐级计算!$X$129&gt;-1),IF(逐级计算!$X$129=0,DY70+逐级计算!$C$129,DY70+逐级计算!$C$129-(10/(逐级计算!$Q$129*LN(10))*(MAX((LN(10^(逐级计算!$Q$129/10)-1)+逐级计算!$Q$129*(DY70-逐级计算!$P$129)*LN(10)/10),0)+LN(1+EXP(-ABS((LN(10^(逐级计算!$Q$129/10)-1)+逐级计算!$Q$129*(DY70-逐级计算!$P$129)*LN(10)/10))))))),"")</f>
        <v>13.7930365742089</v>
      </c>
      <c r="EA70">
        <f>IF(AND(ISNUMBER(DZ70),逐级计算!$X$130&gt;-1),IF(逐级计算!$X$130=0,DZ70+逐级计算!$C$130,DZ70+逐级计算!$C$130-(10/(逐级计算!$Q$130*LN(10))*(MAX((LN(10^(逐级计算!$Q$130/10)-1)+逐级计算!$Q$130*(DZ70-逐级计算!$P$130)*LN(10)/10),0)+LN(1+EXP(-ABS((LN(10^(逐级计算!$Q$130/10)-1)+逐级计算!$Q$130*(DZ70-逐级计算!$P$130)*LN(10)/10))))))),"")</f>
        <v>13.7930365742089</v>
      </c>
      <c r="EB70">
        <f>IF(AND(ISNUMBER(EA70),逐级计算!$X$131&gt;-1),IF(逐级计算!$X$131=0,EA70+逐级计算!$C$131,EA70+逐级计算!$C$131-(10/(逐级计算!$Q$131*LN(10))*(MAX((LN(10^(逐级计算!$Q$131/10)-1)+逐级计算!$Q$131*(EA70-逐级计算!$P$131)*LN(10)/10),0)+LN(1+EXP(-ABS((LN(10^(逐级计算!$Q$131/10)-1)+逐级计算!$Q$131*(EA70-逐级计算!$P$131)*LN(10)/10))))))),"")</f>
        <v>13.7930365742089</v>
      </c>
      <c r="EC70">
        <f>IF(AND(ISNUMBER(EB70),逐级计算!$X$132&gt;-1),IF(逐级计算!$X$132=0,EB70+逐级计算!$C$132,EB70+逐级计算!$C$132-(10/(逐级计算!$Q$132*LN(10))*(MAX((LN(10^(逐级计算!$Q$132/10)-1)+逐级计算!$Q$132*(EB70-逐级计算!$P$132)*LN(10)/10),0)+LN(1+EXP(-ABS((LN(10^(逐级计算!$Q$132/10)-1)+逐级计算!$Q$132*(EB70-逐级计算!$P$132)*LN(10)/10))))))),"")</f>
        <v>13.7930365742089</v>
      </c>
      <c r="ED70">
        <f>IF(AND(ISNUMBER(EC70),逐级计算!$X$133&gt;-1),IF(逐级计算!$X$133=0,EC70+逐级计算!$C$133,EC70+逐级计算!$C$133-(10/(逐级计算!$Q$133*LN(10))*(MAX((LN(10^(逐级计算!$Q$133/10)-1)+逐级计算!$Q$133*(EC70-逐级计算!$P$133)*LN(10)/10),0)+LN(1+EXP(-ABS((LN(10^(逐级计算!$Q$133/10)-1)+逐级计算!$Q$133*(EC70-逐级计算!$P$133)*LN(10)/10))))))),"")</f>
        <v>13.7930365742089</v>
      </c>
      <c r="EE70">
        <f>IF(AND(ISNUMBER(ED70),逐级计算!$X$134&gt;-1),IF(逐级计算!$X$134=0,ED70+逐级计算!$C$134,ED70+逐级计算!$C$134-(10/(逐级计算!$Q$134*LN(10))*(MAX((LN(10^(逐级计算!$Q$134/10)-1)+逐级计算!$Q$134*(ED70-逐级计算!$P$134)*LN(10)/10),0)+LN(1+EXP(-ABS((LN(10^(逐级计算!$Q$134/10)-1)+逐级计算!$Q$134*(ED70-逐级计算!$P$134)*LN(10)/10))))))),"")</f>
        <v>13.7930365742089</v>
      </c>
      <c r="EF70">
        <f>IF(AND(ISNUMBER(EE70),逐级计算!$X$135&gt;-1),IF(逐级计算!$X$135=0,EE70+逐级计算!$C$135,EE70+逐级计算!$C$135-(10/(逐级计算!$Q$135*LN(10))*(MAX((LN(10^(逐级计算!$Q$135/10)-1)+逐级计算!$Q$135*(EE70-逐级计算!$P$135)*LN(10)/10),0)+LN(1+EXP(-ABS((LN(10^(逐级计算!$Q$135/10)-1)+逐级计算!$Q$135*(EE70-逐级计算!$P$135)*LN(10)/10))))))),"")</f>
        <v>13.7930365742089</v>
      </c>
      <c r="EG70">
        <f>IF(AND(ISNUMBER(EF70),逐级计算!$X$136&gt;-1),IF(逐级计算!$X$136=0,EF70+逐级计算!$C$136,EF70+逐级计算!$C$136-(10/(逐级计算!$Q$136*LN(10))*(MAX((LN(10^(逐级计算!$Q$136/10)-1)+逐级计算!$Q$136*(EF70-逐级计算!$P$136)*LN(10)/10),0)+LN(1+EXP(-ABS((LN(10^(逐级计算!$Q$136/10)-1)+逐级计算!$Q$136*(EF70-逐级计算!$P$136)*LN(10)/10))))))),"")</f>
        <v>13.7930365742089</v>
      </c>
      <c r="EH70">
        <f>IF(AND(ISNUMBER(EG70),逐级计算!$X$137&gt;-1),IF(逐级计算!$X$137=0,EG70+逐级计算!$C$137,EG70+逐级计算!$C$137-(10/(逐级计算!$Q$137*LN(10))*(MAX((LN(10^(逐级计算!$Q$137/10)-1)+逐级计算!$Q$137*(EG70-逐级计算!$P$137)*LN(10)/10),0)+LN(1+EXP(-ABS((LN(10^(逐级计算!$Q$137/10)-1)+逐级计算!$Q$137*(EG70-逐级计算!$P$137)*LN(10)/10))))))),"")</f>
        <v>13.7930365742089</v>
      </c>
      <c r="EI70">
        <f>IF(AND(ISNUMBER(EH70),逐级计算!$X$138&gt;-1),IF(逐级计算!$X$138=0,EH70+逐级计算!$C$138,EH70+逐级计算!$C$138-(10/(逐级计算!$Q$138*LN(10))*(MAX((LN(10^(逐级计算!$Q$138/10)-1)+逐级计算!$Q$138*(EH70-逐级计算!$P$138)*LN(10)/10),0)+LN(1+EXP(-ABS((LN(10^(逐级计算!$Q$138/10)-1)+逐级计算!$Q$138*(EH70-逐级计算!$P$138)*LN(10)/10))))))),"")</f>
        <v>13.7930365742089</v>
      </c>
      <c r="EJ70">
        <f>IF(AND(ISNUMBER(EI70),逐级计算!$X$139&gt;-1),IF(逐级计算!$X$139=0,EI70+逐级计算!$C$139,EI70+逐级计算!$C$139-(10/(逐级计算!$Q$139*LN(10))*(MAX((LN(10^(逐级计算!$Q$139/10)-1)+逐级计算!$Q$139*(EI70-逐级计算!$P$139)*LN(10)/10),0)+LN(1+EXP(-ABS((LN(10^(逐级计算!$Q$139/10)-1)+逐级计算!$Q$139*(EI70-逐级计算!$P$139)*LN(10)/10))))))),"")</f>
        <v>13.7930365742089</v>
      </c>
      <c r="EK70">
        <f>IF(AND(ISNUMBER(EJ70),逐级计算!$X$140&gt;-1),IF(逐级计算!$X$140=0,EJ70+逐级计算!$C$140,EJ70+逐级计算!$C$140-(10/(逐级计算!$Q$140*LN(10))*(MAX((LN(10^(逐级计算!$Q$140/10)-1)+逐级计算!$Q$140*(EJ70-逐级计算!$P$140)*LN(10)/10),0)+LN(1+EXP(-ABS((LN(10^(逐级计算!$Q$140/10)-1)+逐级计算!$Q$140*(EJ70-逐级计算!$P$140)*LN(10)/10))))))),"")</f>
        <v>13.7930365742089</v>
      </c>
      <c r="EL70">
        <f>IF(AND(ISNUMBER(EK70),逐级计算!$X$141&gt;-1),IF(逐级计算!$X$141=0,EK70+逐级计算!$C$141,EK70+逐级计算!$C$141-(10/(逐级计算!$Q$141*LN(10))*(MAX((LN(10^(逐级计算!$Q$141/10)-1)+逐级计算!$Q$141*(EK70-逐级计算!$P$141)*LN(10)/10),0)+LN(1+EXP(-ABS((LN(10^(逐级计算!$Q$141/10)-1)+逐级计算!$Q$141*(EK70-逐级计算!$P$141)*LN(10)/10))))))),"")</f>
        <v>13.7930365742089</v>
      </c>
      <c r="EM70">
        <f>IF(AND(ISNUMBER(EL70),逐级计算!$X$142&gt;-1),IF(逐级计算!$X$142=0,EL70+逐级计算!$C$142,EL70+逐级计算!$C$142-(10/(逐级计算!$Q$142*LN(10))*(MAX((LN(10^(逐级计算!$Q$142/10)-1)+逐级计算!$Q$142*(EL70-逐级计算!$P$142)*LN(10)/10),0)+LN(1+EXP(-ABS((LN(10^(逐级计算!$Q$142/10)-1)+逐级计算!$Q$142*(EL70-逐级计算!$P$142)*LN(10)/10))))))),"")</f>
        <v>13.7930365742089</v>
      </c>
      <c r="EN70">
        <f>IF(AND(ISNUMBER(EM70),逐级计算!$X$143&gt;-1),IF(逐级计算!$X$143=0,EM70+逐级计算!$C$143,EM70+逐级计算!$C$143-(10/(逐级计算!$Q$143*LN(10))*(MAX((LN(10^(逐级计算!$Q$143/10)-1)+逐级计算!$Q$143*(EM70-逐级计算!$P$143)*LN(10)/10),0)+LN(1+EXP(-ABS((LN(10^(逐级计算!$Q$143/10)-1)+逐级计算!$Q$143*(EM70-逐级计算!$P$143)*LN(10)/10))))))),"")</f>
        <v>13.7930365742089</v>
      </c>
      <c r="EO70">
        <f>IF(AND(ISNUMBER(EN70),逐级计算!$X$144&gt;-1),IF(逐级计算!$X$144=0,EN70+逐级计算!$C$144,EN70+逐级计算!$C$144-(10/(逐级计算!$Q$144*LN(10))*(MAX((LN(10^(逐级计算!$Q$144/10)-1)+逐级计算!$Q$144*(EN70-逐级计算!$P$144)*LN(10)/10),0)+LN(1+EXP(-ABS((LN(10^(逐级计算!$Q$144/10)-1)+逐级计算!$Q$144*(EN70-逐级计算!$P$144)*LN(10)/10))))))),"")</f>
        <v>13.7930365742089</v>
      </c>
      <c r="EP70">
        <f>IF(AND(ISNUMBER(EO70),逐级计算!$X$145&gt;-1),IF(逐级计算!$X$145=0,EO70+逐级计算!$C$145,EO70+逐级计算!$C$145-(10/(逐级计算!$Q$145*LN(10))*(MAX((LN(10^(逐级计算!$Q$145/10)-1)+逐级计算!$Q$145*(EO70-逐级计算!$P$145)*LN(10)/10),0)+LN(1+EXP(-ABS((LN(10^(逐级计算!$Q$145/10)-1)+逐级计算!$Q$145*(EO70-逐级计算!$P$145)*LN(10)/10))))))),"")</f>
        <v>13.7930365742089</v>
      </c>
      <c r="EQ70">
        <f>IF(AND(ISNUMBER(EP70),逐级计算!$X$146&gt;-1),IF(逐级计算!$X$146=0,EP70+逐级计算!$C$146,EP70+逐级计算!$C$146-(10/(逐级计算!$Q$146*LN(10))*(MAX((LN(10^(逐级计算!$Q$146/10)-1)+逐级计算!$Q$146*(EP70-逐级计算!$P$146)*LN(10)/10),0)+LN(1+EXP(-ABS((LN(10^(逐级计算!$Q$146/10)-1)+逐级计算!$Q$146*(EP70-逐级计算!$P$146)*LN(10)/10))))))),"")</f>
        <v>13.7930365742089</v>
      </c>
      <c r="ER70">
        <f>IF(AND(ISNUMBER(EQ70),逐级计算!$X$147&gt;-1),IF(逐级计算!$X$147=0,EQ70+逐级计算!$C$147,EQ70+逐级计算!$C$147-(10/(逐级计算!$Q$147*LN(10))*(MAX((LN(10^(逐级计算!$Q$147/10)-1)+逐级计算!$Q$147*(EQ70-逐级计算!$P$147)*LN(10)/10),0)+LN(1+EXP(-ABS((LN(10^(逐级计算!$Q$147/10)-1)+逐级计算!$Q$147*(EQ70-逐级计算!$P$147)*LN(10)/10))))))),"")</f>
        <v>13.7930365742089</v>
      </c>
      <c r="ES70">
        <f>IF(AND(ISNUMBER(ER70),逐级计算!$X$148&gt;-1),IF(逐级计算!$X$148=0,ER70+逐级计算!$C$148,ER70+逐级计算!$C$148-(10/(逐级计算!$Q$148*LN(10))*(MAX((LN(10^(逐级计算!$Q$148/10)-1)+逐级计算!$Q$148*(ER70-逐级计算!$P$148)*LN(10)/10),0)+LN(1+EXP(-ABS((LN(10^(逐级计算!$Q$148/10)-1)+逐级计算!$Q$148*(ER70-逐级计算!$P$148)*LN(10)/10))))))),"")</f>
        <v>13.7930365742089</v>
      </c>
      <c r="ET70">
        <f>IF(AND(ISNUMBER(ES70),逐级计算!$X$149&gt;-1),IF(逐级计算!$X$149=0,ES70+逐级计算!$C$149,ES70+逐级计算!$C$149-(10/(逐级计算!$Q$149*LN(10))*(MAX((LN(10^(逐级计算!$Q$149/10)-1)+逐级计算!$Q$149*(ES70-逐级计算!$P$149)*LN(10)/10),0)+LN(1+EXP(-ABS((LN(10^(逐级计算!$Q$149/10)-1)+逐级计算!$Q$149*(ES70-逐级计算!$P$149)*LN(10)/10))))))),"")</f>
        <v>13.7930365742089</v>
      </c>
      <c r="EU70">
        <f>IF(AND(ISNUMBER(ET70),逐级计算!$X$150&gt;-1),IF(逐级计算!$X$150=0,ET70+逐级计算!$C$150,ET70+逐级计算!$C$150-(10/(逐级计算!$Q$150*LN(10))*(MAX((LN(10^(逐级计算!$Q$150/10)-1)+逐级计算!$Q$150*(ET70-逐级计算!$P$150)*LN(10)/10),0)+LN(1+EXP(-ABS((LN(10^(逐级计算!$Q$150/10)-1)+逐级计算!$Q$150*(ET70-逐级计算!$P$150)*LN(10)/10))))))),"")</f>
        <v>13.7930365742089</v>
      </c>
      <c r="EV70">
        <f>IF(AND(ISNUMBER(EU70),逐级计算!$X$151&gt;-1),IF(逐级计算!$X$151=0,EU70+逐级计算!$C$151,EU70+逐级计算!$C$151-(10/(逐级计算!$Q$151*LN(10))*(MAX((LN(10^(逐级计算!$Q$151/10)-1)+逐级计算!$Q$151*(EU70-逐级计算!$P$151)*LN(10)/10),0)+LN(1+EXP(-ABS((LN(10^(逐级计算!$Q$151/10)-1)+逐级计算!$Q$151*(EU70-逐级计算!$P$151)*LN(10)/10))))))),"")</f>
        <v>13.7930365742089</v>
      </c>
      <c r="EW70">
        <f>IF(AND(ISNUMBER(EV70),逐级计算!$X$152&gt;-1),IF(逐级计算!$X$152=0,EV70+逐级计算!$C$152,EV70+逐级计算!$C$152-(10/(逐级计算!$Q$152*LN(10))*(MAX((LN(10^(逐级计算!$Q$152/10)-1)+逐级计算!$Q$152*(EV70-逐级计算!$P$152)*LN(10)/10),0)+LN(1+EXP(-ABS((LN(10^(逐级计算!$Q$152/10)-1)+逐级计算!$Q$152*(EV70-逐级计算!$P$152)*LN(10)/10))))))),"")</f>
        <v>13.7930365742089</v>
      </c>
      <c r="EX70">
        <f>IF(AND(ISNUMBER(EW70),逐级计算!$X$153&gt;-1),IF(逐级计算!$X$153=0,EW70+逐级计算!$C$153,EW70+逐级计算!$C$153-(10/(逐级计算!$Q$153*LN(10))*(MAX((LN(10^(逐级计算!$Q$153/10)-1)+逐级计算!$Q$153*(EW70-逐级计算!$P$153)*LN(10)/10),0)+LN(1+EXP(-ABS((LN(10^(逐级计算!$Q$153/10)-1)+逐级计算!$Q$153*(EW70-逐级计算!$P$153)*LN(10)/10))))))),"")</f>
        <v>13.7930365742089</v>
      </c>
      <c r="EY70">
        <f>IF(AND(ISNUMBER(EX70),逐级计算!$X$154&gt;-1),IF(逐级计算!$X$154=0,EX70+逐级计算!$C$154,EX70+逐级计算!$C$154-(10/(逐级计算!$Q$154*LN(10))*(MAX((LN(10^(逐级计算!$Q$154/10)-1)+逐级计算!$Q$154*(EX70-逐级计算!$P$154)*LN(10)/10),0)+LN(1+EXP(-ABS((LN(10^(逐级计算!$Q$154/10)-1)+逐级计算!$Q$154*(EX70-逐级计算!$P$154)*LN(10)/10))))))),"")</f>
        <v>13.7930365742089</v>
      </c>
      <c r="EZ70">
        <f>IF(AND(ISNUMBER(EY70),逐级计算!$X$155&gt;-1),IF(逐级计算!$X$155=0,EY70+逐级计算!$C$155,EY70+逐级计算!$C$155-(10/(逐级计算!$Q$155*LN(10))*(MAX((LN(10^(逐级计算!$Q$155/10)-1)+逐级计算!$Q$155*(EY70-逐级计算!$P$155)*LN(10)/10),0)+LN(1+EXP(-ABS((LN(10^(逐级计算!$Q$155/10)-1)+逐级计算!$Q$155*(EY70-逐级计算!$P$155)*LN(10)/10))))))),"")</f>
        <v>13.7930365742089</v>
      </c>
      <c r="FA70">
        <f>IF(AND(ISNUMBER(EZ70),逐级计算!$X$156&gt;-1),IF(逐级计算!$X$156=0,EZ70+逐级计算!$C$156,EZ70+逐级计算!$C$156-(10/(逐级计算!$Q$156*LN(10))*(MAX((LN(10^(逐级计算!$Q$156/10)-1)+逐级计算!$Q$156*(EZ70-逐级计算!$P$156)*LN(10)/10),0)+LN(1+EXP(-ABS((LN(10^(逐级计算!$Q$156/10)-1)+逐级计算!$Q$156*(EZ70-逐级计算!$P$156)*LN(10)/10))))))),"")</f>
        <v>13.7930365742089</v>
      </c>
      <c r="FB70">
        <f>IF(AND(ISNUMBER(FA70),逐级计算!$X$157&gt;-1),IF(逐级计算!$X$157=0,FA70+逐级计算!$C$157,FA70+逐级计算!$C$157-(10/(逐级计算!$Q$157*LN(10))*(MAX((LN(10^(逐级计算!$Q$157/10)-1)+逐级计算!$Q$157*(FA70-逐级计算!$P$157)*LN(10)/10),0)+LN(1+EXP(-ABS((LN(10^(逐级计算!$Q$157/10)-1)+逐级计算!$Q$157*(FA70-逐级计算!$P$157)*LN(10)/10))))))),"")</f>
        <v>13.7930365742089</v>
      </c>
      <c r="FC70">
        <f>IF(AND(ISNUMBER(FB70),逐级计算!$X$158&gt;-1),IF(逐级计算!$X$158=0,FB70+逐级计算!$C$158,FB70+逐级计算!$C$158-(10/(逐级计算!$Q$158*LN(10))*(MAX((LN(10^(逐级计算!$Q$158/10)-1)+逐级计算!$Q$158*(FB70-逐级计算!$P$158)*LN(10)/10),0)+LN(1+EXP(-ABS((LN(10^(逐级计算!$Q$158/10)-1)+逐级计算!$Q$158*(FB70-逐级计算!$P$158)*LN(10)/10))))))),"")</f>
        <v>13.7930365742089</v>
      </c>
      <c r="FD70">
        <f>IF(AND(ISNUMBER(FC70),逐级计算!$X$159&gt;-1),IF(逐级计算!$X$159=0,FC70+逐级计算!$C$159,FC70+逐级计算!$C$159-(10/(逐级计算!$Q$159*LN(10))*(MAX((LN(10^(逐级计算!$Q$159/10)-1)+逐级计算!$Q$159*(FC70-逐级计算!$P$159)*LN(10)/10),0)+LN(1+EXP(-ABS((LN(10^(逐级计算!$Q$159/10)-1)+逐级计算!$Q$159*(FC70-逐级计算!$P$159)*LN(10)/10))))))),"")</f>
        <v>13.7930365742089</v>
      </c>
      <c r="FE70">
        <f>IF(AND(ISNUMBER(FD70),逐级计算!$X$160&gt;-1),IF(逐级计算!$X$160=0,FD70+逐级计算!$C$160,FD70+逐级计算!$C$160-(10/(逐级计算!$Q$160*LN(10))*(MAX((LN(10^(逐级计算!$Q$160/10)-1)+逐级计算!$Q$160*(FD70-逐级计算!$P$160)*LN(10)/10),0)+LN(1+EXP(-ABS((LN(10^(逐级计算!$Q$160/10)-1)+逐级计算!$Q$160*(FD70-逐级计算!$P$160)*LN(10)/10))))))),"")</f>
        <v>13.7930365742089</v>
      </c>
      <c r="FF70">
        <f>IF(AND(ISNUMBER(FE70),逐级计算!$X$161&gt;-1),IF(逐级计算!$X$161=0,FE70+逐级计算!$C$161,FE70+逐级计算!$C$161-(10/(逐级计算!$Q$161*LN(10))*(MAX((LN(10^(逐级计算!$Q$161/10)-1)+逐级计算!$Q$161*(FE70-逐级计算!$P$161)*LN(10)/10),0)+LN(1+EXP(-ABS((LN(10^(逐级计算!$Q$161/10)-1)+逐级计算!$Q$161*(FE70-逐级计算!$P$161)*LN(10)/10))))))),"")</f>
        <v>13.7930365742089</v>
      </c>
      <c r="FG70">
        <f>IF(AND(ISNUMBER(FF70),逐级计算!$X$162&gt;-1),IF(逐级计算!$X$162=0,FF70+逐级计算!$C$162,FF70+逐级计算!$C$162-(10/(逐级计算!$Q$162*LN(10))*(MAX((LN(10^(逐级计算!$Q$162/10)-1)+逐级计算!$Q$162*(FF70-逐级计算!$P$162)*LN(10)/10),0)+LN(1+EXP(-ABS((LN(10^(逐级计算!$Q$162/10)-1)+逐级计算!$Q$162*(FF70-逐级计算!$P$162)*LN(10)/10))))))),"")</f>
        <v>13.7930365742089</v>
      </c>
      <c r="FH70">
        <f>IF(AND(ISNUMBER(FG70),逐级计算!$X$163&gt;-1),IF(逐级计算!$X$163=0,FG70+逐级计算!$C$163,FG70+逐级计算!$C$163-(10/(逐级计算!$Q$163*LN(10))*(MAX((LN(10^(逐级计算!$Q$163/10)-1)+逐级计算!$Q$163*(FG70-逐级计算!$P$163)*LN(10)/10),0)+LN(1+EXP(-ABS((LN(10^(逐级计算!$Q$163/10)-1)+逐级计算!$Q$163*(FG70-逐级计算!$P$163)*LN(10)/10))))))),"")</f>
        <v>13.7930365742089</v>
      </c>
      <c r="FI70">
        <f>IF(AND(ISNUMBER(FH70),逐级计算!$X$164&gt;-1),IF(逐级计算!$X$164=0,FH70+逐级计算!$C$164,FH70+逐级计算!$C$164-(10/(逐级计算!$Q$164*LN(10))*(MAX((LN(10^(逐级计算!$Q$164/10)-1)+逐级计算!$Q$164*(FH70-逐级计算!$P$164)*LN(10)/10),0)+LN(1+EXP(-ABS((LN(10^(逐级计算!$Q$164/10)-1)+逐级计算!$Q$164*(FH70-逐级计算!$P$164)*LN(10)/10))))))),"")</f>
        <v>13.7930365742089</v>
      </c>
      <c r="FJ70">
        <f>IF(AND(ISNUMBER(FI70),逐级计算!$X$165&gt;-1),IF(逐级计算!$X$165=0,FI70+逐级计算!$C$165,FI70+逐级计算!$C$165-(10/(逐级计算!$Q$165*LN(10))*(MAX((LN(10^(逐级计算!$Q$165/10)-1)+逐级计算!$Q$165*(FI70-逐级计算!$P$165)*LN(10)/10),0)+LN(1+EXP(-ABS((LN(10^(逐级计算!$Q$165/10)-1)+逐级计算!$Q$165*(FI70-逐级计算!$P$165)*LN(10)/10))))))),"")</f>
        <v>13.7930365742089</v>
      </c>
      <c r="FK70">
        <f>IF(AND(ISNUMBER(FJ70),逐级计算!$X$166&gt;-1),IF(逐级计算!$X$166=0,FJ70+逐级计算!$C$166,FJ70+逐级计算!$C$166-(10/(逐级计算!$Q$166*LN(10))*(MAX((LN(10^(逐级计算!$Q$166/10)-1)+逐级计算!$Q$166*(FJ70-逐级计算!$P$166)*LN(10)/10),0)+LN(1+EXP(-ABS((LN(10^(逐级计算!$Q$166/10)-1)+逐级计算!$Q$166*(FJ70-逐级计算!$P$166)*LN(10)/10))))))),"")</f>
        <v>13.7930365742089</v>
      </c>
      <c r="FL70">
        <f>IF(AND(ISNUMBER(FK70),逐级计算!$X$167&gt;-1),IF(逐级计算!$X$167=0,FK70+逐级计算!$C$167,FK70+逐级计算!$C$167-(10/(逐级计算!$Q$167*LN(10))*(MAX((LN(10^(逐级计算!$Q$167/10)-1)+逐级计算!$Q$167*(FK70-逐级计算!$P$167)*LN(10)/10),0)+LN(1+EXP(-ABS((LN(10^(逐级计算!$Q$167/10)-1)+逐级计算!$Q$167*(FK70-逐级计算!$P$167)*LN(10)/10))))))),"")</f>
        <v>13.7930365742089</v>
      </c>
      <c r="FM70">
        <f>IF(AND(ISNUMBER(FL70),逐级计算!$X$168&gt;-1),IF(逐级计算!$X$168=0,FL70+逐级计算!$C$168,FL70+逐级计算!$C$168-(10/(逐级计算!$Q$168*LN(10))*(MAX((LN(10^(逐级计算!$Q$168/10)-1)+逐级计算!$Q$168*(FL70-逐级计算!$P$168)*LN(10)/10),0)+LN(1+EXP(-ABS((LN(10^(逐级计算!$Q$168/10)-1)+逐级计算!$Q$168*(FL70-逐级计算!$P$168)*LN(10)/10))))))),"")</f>
        <v>13.7930365742089</v>
      </c>
      <c r="FN70">
        <f>IF(AND(ISNUMBER(FM70),逐级计算!$X$169&gt;-1),IF(逐级计算!$X$169=0,FM70+逐级计算!$C$169,FM70+逐级计算!$C$169-(10/(逐级计算!$Q$169*LN(10))*(MAX((LN(10^(逐级计算!$Q$169/10)-1)+逐级计算!$Q$169*(FM70-逐级计算!$P$169)*LN(10)/10),0)+LN(1+EXP(-ABS((LN(10^(逐级计算!$Q$169/10)-1)+逐级计算!$Q$169*(FM70-逐级计算!$P$169)*LN(10)/10))))))),"")</f>
        <v>13.7930365742089</v>
      </c>
      <c r="FO70">
        <f>IF(AND(ISNUMBER(FN70),逐级计算!$X$170&gt;-1),IF(逐级计算!$X$170=0,FN70+逐级计算!$C$170,FN70+逐级计算!$C$170-(10/(逐级计算!$Q$170*LN(10))*(MAX((LN(10^(逐级计算!$Q$170/10)-1)+逐级计算!$Q$170*(FN70-逐级计算!$P$170)*LN(10)/10),0)+LN(1+EXP(-ABS((LN(10^(逐级计算!$Q$170/10)-1)+逐级计算!$Q$170*(FN70-逐级计算!$P$170)*LN(10)/10))))))),"")</f>
        <v>13.7930365742089</v>
      </c>
      <c r="FP70">
        <f>IF(AND(ISNUMBER(FO70),逐级计算!$X$171&gt;-1),IF(逐级计算!$X$171=0,FO70+逐级计算!$C$171,FO70+逐级计算!$C$171-(10/(逐级计算!$Q$171*LN(10))*(MAX((LN(10^(逐级计算!$Q$171/10)-1)+逐级计算!$Q$171*(FO70-逐级计算!$P$171)*LN(10)/10),0)+LN(1+EXP(-ABS((LN(10^(逐级计算!$Q$171/10)-1)+逐级计算!$Q$171*(FO70-逐级计算!$P$171)*LN(10)/10))))))),"")</f>
        <v>13.7930365742089</v>
      </c>
      <c r="FQ70">
        <f>IF(AND(ISNUMBER(FP70),逐级计算!$X$172&gt;-1),IF(逐级计算!$X$172=0,FP70+逐级计算!$C$172,FP70+逐级计算!$C$172-(10/(逐级计算!$Q$172*LN(10))*(MAX((LN(10^(逐级计算!$Q$172/10)-1)+逐级计算!$Q$172*(FP70-逐级计算!$P$172)*LN(10)/10),0)+LN(1+EXP(-ABS((LN(10^(逐级计算!$Q$172/10)-1)+逐级计算!$Q$172*(FP70-逐级计算!$P$172)*LN(10)/10))))))),"")</f>
        <v>13.7930365742089</v>
      </c>
      <c r="FR70">
        <f>IF(AND(ISNUMBER(FQ70),逐级计算!$X$173&gt;-1),IF(逐级计算!$X$173=0,FQ70+逐级计算!$C$173,FQ70+逐级计算!$C$173-(10/(逐级计算!$Q$173*LN(10))*(MAX((LN(10^(逐级计算!$Q$173/10)-1)+逐级计算!$Q$173*(FQ70-逐级计算!$P$173)*LN(10)/10),0)+LN(1+EXP(-ABS((LN(10^(逐级计算!$Q$173/10)-1)+逐级计算!$Q$173*(FQ70-逐级计算!$P$173)*LN(10)/10))))))),"")</f>
        <v>13.7930365742089</v>
      </c>
      <c r="FS70">
        <f>IF(AND(ISNUMBER(FR70),逐级计算!$X$174&gt;-1),IF(逐级计算!$X$174=0,FR70+逐级计算!$C$174,FR70+逐级计算!$C$174-(10/(逐级计算!$Q$174*LN(10))*(MAX((LN(10^(逐级计算!$Q$174/10)-1)+逐级计算!$Q$174*(FR70-逐级计算!$P$174)*LN(10)/10),0)+LN(1+EXP(-ABS((LN(10^(逐级计算!$Q$174/10)-1)+逐级计算!$Q$174*(FR70-逐级计算!$P$174)*LN(10)/10))))))),"")</f>
        <v>13.7930365742089</v>
      </c>
      <c r="FT70">
        <f>IF(AND(ISNUMBER(FS70),逐级计算!$X$175&gt;-1),IF(逐级计算!$X$175=0,FS70+逐级计算!$C$175,FS70+逐级计算!$C$175-(10/(逐级计算!$Q$175*LN(10))*(MAX((LN(10^(逐级计算!$Q$175/10)-1)+逐级计算!$Q$175*(FS70-逐级计算!$P$175)*LN(10)/10),0)+LN(1+EXP(-ABS((LN(10^(逐级计算!$Q$175/10)-1)+逐级计算!$Q$175*(FS70-逐级计算!$P$175)*LN(10)/10))))))),"")</f>
        <v>13.7930365742089</v>
      </c>
      <c r="FU70">
        <f>IF(AND(ISNUMBER(FT70),逐级计算!$X$176&gt;-1),IF(逐级计算!$X$176=0,FT70+逐级计算!$C$176,FT70+逐级计算!$C$176-(10/(逐级计算!$Q$176*LN(10))*(MAX((LN(10^(逐级计算!$Q$176/10)-1)+逐级计算!$Q$176*(FT70-逐级计算!$P$176)*LN(10)/10),0)+LN(1+EXP(-ABS((LN(10^(逐级计算!$Q$176/10)-1)+逐级计算!$Q$176*(FT70-逐级计算!$P$176)*LN(10)/10))))))),"")</f>
        <v>13.7930365742089</v>
      </c>
      <c r="FV70">
        <f>IF(AND(ISNUMBER(FU70),逐级计算!$X$177&gt;-1),IF(逐级计算!$X$177=0,FU70+逐级计算!$C$177,FU70+逐级计算!$C$177-(10/(逐级计算!$Q$177*LN(10))*(MAX((LN(10^(逐级计算!$Q$177/10)-1)+逐级计算!$Q$177*(FU70-逐级计算!$P$177)*LN(10)/10),0)+LN(1+EXP(-ABS((LN(10^(逐级计算!$Q$177/10)-1)+逐级计算!$Q$177*(FU70-逐级计算!$P$177)*LN(10)/10))))))),"")</f>
        <v>13.7930365742089</v>
      </c>
      <c r="FW70">
        <f>IF(AND(ISNUMBER(FV70),逐级计算!$X$178&gt;-1),IF(逐级计算!$X$178=0,FV70+逐级计算!$C$178,FV70+逐级计算!$C$178-(10/(逐级计算!$Q$178*LN(10))*(MAX((LN(10^(逐级计算!$Q$178/10)-1)+逐级计算!$Q$178*(FV70-逐级计算!$P$178)*LN(10)/10),0)+LN(1+EXP(-ABS((LN(10^(逐级计算!$Q$178/10)-1)+逐级计算!$Q$178*(FV70-逐级计算!$P$178)*LN(10)/10))))))),"")</f>
        <v>13.7930365742089</v>
      </c>
      <c r="FX70">
        <f>IF(AND(ISNUMBER(FW70),逐级计算!$X$179&gt;-1),IF(逐级计算!$X$179=0,FW70+逐级计算!$C$179,FW70+逐级计算!$C$179-(10/(逐级计算!$Q$179*LN(10))*(MAX((LN(10^(逐级计算!$Q$179/10)-1)+逐级计算!$Q$179*(FW70-逐级计算!$P$179)*LN(10)/10),0)+LN(1+EXP(-ABS((LN(10^(逐级计算!$Q$179/10)-1)+逐级计算!$Q$179*(FW70-逐级计算!$P$179)*LN(10)/10))))))),"")</f>
        <v>13.7930365742089</v>
      </c>
      <c r="FY70">
        <f>IF(AND(ISNUMBER(FX70),逐级计算!$X$180&gt;-1),IF(逐级计算!$X$180=0,FX70+逐级计算!$C$180,FX70+逐级计算!$C$180-(10/(逐级计算!$Q$180*LN(10))*(MAX((LN(10^(逐级计算!$Q$180/10)-1)+逐级计算!$Q$180*(FX70-逐级计算!$P$180)*LN(10)/10),0)+LN(1+EXP(-ABS((LN(10^(逐级计算!$Q$180/10)-1)+逐级计算!$Q$180*(FX70-逐级计算!$P$180)*LN(10)/10))))))),"")</f>
        <v>13.7930365742089</v>
      </c>
      <c r="FZ70">
        <f>IF(AND(ISNUMBER(FY70),逐级计算!$X$181&gt;-1),IF(逐级计算!$X$181=0,FY70+逐级计算!$C$181,FY70+逐级计算!$C$181-(10/(逐级计算!$Q$181*LN(10))*(MAX((LN(10^(逐级计算!$Q$181/10)-1)+逐级计算!$Q$181*(FY70-逐级计算!$P$181)*LN(10)/10),0)+LN(1+EXP(-ABS((LN(10^(逐级计算!$Q$181/10)-1)+逐级计算!$Q$181*(FY70-逐级计算!$P$181)*LN(10)/10))))))),"")</f>
        <v>13.7930365742089</v>
      </c>
      <c r="GA70">
        <f>IF(AND(ISNUMBER(FZ70),逐级计算!$X$182&gt;-1),IF(逐级计算!$X$182=0,FZ70+逐级计算!$C$182,FZ70+逐级计算!$C$182-(10/(逐级计算!$Q$182*LN(10))*(MAX((LN(10^(逐级计算!$Q$182/10)-1)+逐级计算!$Q$182*(FZ70-逐级计算!$P$182)*LN(10)/10),0)+LN(1+EXP(-ABS((LN(10^(逐级计算!$Q$182/10)-1)+逐级计算!$Q$182*(FZ70-逐级计算!$P$182)*LN(10)/10))))))),"")</f>
        <v>13.7930365742089</v>
      </c>
      <c r="GB70">
        <f>IF(AND(ISNUMBER(GA70),逐级计算!$X$183&gt;-1),IF(逐级计算!$X$183=0,GA70+逐级计算!$C$183,GA70+逐级计算!$C$183-(10/(逐级计算!$Q$183*LN(10))*(MAX((LN(10^(逐级计算!$Q$183/10)-1)+逐级计算!$Q$183*(GA70-逐级计算!$P$183)*LN(10)/10),0)+LN(1+EXP(-ABS((LN(10^(逐级计算!$Q$183/10)-1)+逐级计算!$Q$183*(GA70-逐级计算!$P$183)*LN(10)/10))))))),"")</f>
        <v>13.7930365742089</v>
      </c>
      <c r="GC70">
        <f>IF(AND(ISNUMBER(GB70),逐级计算!$X$184&gt;-1),IF(逐级计算!$X$184=0,GB70+逐级计算!$C$184,GB70+逐级计算!$C$184-(10/(逐级计算!$Q$184*LN(10))*(MAX((LN(10^(逐级计算!$Q$184/10)-1)+逐级计算!$Q$184*(GB70-逐级计算!$P$184)*LN(10)/10),0)+LN(1+EXP(-ABS((LN(10^(逐级计算!$Q$184/10)-1)+逐级计算!$Q$184*(GB70-逐级计算!$P$184)*LN(10)/10))))))),"")</f>
        <v>13.7930365742089</v>
      </c>
      <c r="GD70">
        <f>IF(AND(ISNUMBER(GC70),逐级计算!$X$185&gt;-1),IF(逐级计算!$X$185=0,GC70+逐级计算!$C$185,GC70+逐级计算!$C$185-(10/(逐级计算!$Q$185*LN(10))*(MAX((LN(10^(逐级计算!$Q$185/10)-1)+逐级计算!$Q$185*(GC70-逐级计算!$P$185)*LN(10)/10),0)+LN(1+EXP(-ABS((LN(10^(逐级计算!$Q$185/10)-1)+逐级计算!$Q$185*(GC70-逐级计算!$P$185)*LN(10)/10))))))),"")</f>
        <v>13.7930365742089</v>
      </c>
      <c r="GE70">
        <f>IF(AND(ISNUMBER(GD70),逐级计算!$X$186&gt;-1),IF(逐级计算!$X$186=0,GD70+逐级计算!$C$186,GD70+逐级计算!$C$186-(10/(逐级计算!$Q$186*LN(10))*(MAX((LN(10^(逐级计算!$Q$186/10)-1)+逐级计算!$Q$186*(GD70-逐级计算!$P$186)*LN(10)/10),0)+LN(1+EXP(-ABS((LN(10^(逐级计算!$Q$186/10)-1)+逐级计算!$Q$186*(GD70-逐级计算!$P$186)*LN(10)/10))))))),"")</f>
        <v>13.7930365742089</v>
      </c>
      <c r="GF70">
        <f>IF(AND(ISNUMBER(GE70),逐级计算!$X$187&gt;-1),IF(逐级计算!$X$187=0,GE70+逐级计算!$C$187,GE70+逐级计算!$C$187-(10/(逐级计算!$Q$187*LN(10))*(MAX((LN(10^(逐级计算!$Q$187/10)-1)+逐级计算!$Q$187*(GE70-逐级计算!$P$187)*LN(10)/10),0)+LN(1+EXP(-ABS((LN(10^(逐级计算!$Q$187/10)-1)+逐级计算!$Q$187*(GE70-逐级计算!$P$187)*LN(10)/10))))))),"")</f>
        <v>13.7930365742089</v>
      </c>
      <c r="GG70">
        <f>IF(AND(ISNUMBER(GF70),逐级计算!$X$188&gt;-1),IF(逐级计算!$X$188=0,GF70+逐级计算!$C$188,GF70+逐级计算!$C$188-(10/(逐级计算!$Q$188*LN(10))*(MAX((LN(10^(逐级计算!$Q$188/10)-1)+逐级计算!$Q$188*(GF70-逐级计算!$P$188)*LN(10)/10),0)+LN(1+EXP(-ABS((LN(10^(逐级计算!$Q$188/10)-1)+逐级计算!$Q$188*(GF70-逐级计算!$P$188)*LN(10)/10))))))),"")</f>
        <v>13.7930365742089</v>
      </c>
      <c r="GH70">
        <f>IF(AND(ISNUMBER(GG70),逐级计算!$X$189&gt;-1),IF(逐级计算!$X$189=0,GG70+逐级计算!$C$189,GG70+逐级计算!$C$189-(10/(逐级计算!$Q$189*LN(10))*(MAX((LN(10^(逐级计算!$Q$189/10)-1)+逐级计算!$Q$189*(GG70-逐级计算!$P$189)*LN(10)/10),0)+LN(1+EXP(-ABS((LN(10^(逐级计算!$Q$189/10)-1)+逐级计算!$Q$189*(GG70-逐级计算!$P$189)*LN(10)/10))))))),"")</f>
        <v>13.7930365742089</v>
      </c>
      <c r="GI70">
        <f>IF(AND(ISNUMBER(GH70),逐级计算!$X$190&gt;-1),IF(逐级计算!$X$190=0,GH70+逐级计算!$C$190,GH70+逐级计算!$C$190-(10/(逐级计算!$Q$190*LN(10))*(MAX((LN(10^(逐级计算!$Q$190/10)-1)+逐级计算!$Q$190*(GH70-逐级计算!$P$190)*LN(10)/10),0)+LN(1+EXP(-ABS((LN(10^(逐级计算!$Q$190/10)-1)+逐级计算!$Q$190*(GH70-逐级计算!$P$190)*LN(10)/10))))))),"")</f>
        <v>13.7930365742089</v>
      </c>
      <c r="GJ70">
        <f>IF(AND(ISNUMBER(GI70),逐级计算!$X$191&gt;-1),IF(逐级计算!$X$191=0,GI70+逐级计算!$C$191,GI70+逐级计算!$C$191-(10/(逐级计算!$Q$191*LN(10))*(MAX((LN(10^(逐级计算!$Q$191/10)-1)+逐级计算!$Q$191*(GI70-逐级计算!$P$191)*LN(10)/10),0)+LN(1+EXP(-ABS((LN(10^(逐级计算!$Q$191/10)-1)+逐级计算!$Q$191*(GI70-逐级计算!$P$191)*LN(10)/10))))))),"")</f>
        <v>13.7930365742089</v>
      </c>
      <c r="GK70">
        <f>IF(AND(ISNUMBER(GJ70),逐级计算!$X$192&gt;-1),IF(逐级计算!$X$192=0,GJ70+逐级计算!$C$192,GJ70+逐级计算!$C$192-(10/(逐级计算!$Q$192*LN(10))*(MAX((LN(10^(逐级计算!$Q$192/10)-1)+逐级计算!$Q$192*(GJ70-逐级计算!$P$192)*LN(10)/10),0)+LN(1+EXP(-ABS((LN(10^(逐级计算!$Q$192/10)-1)+逐级计算!$Q$192*(GJ70-逐级计算!$P$192)*LN(10)/10))))))),"")</f>
        <v>13.7930365742089</v>
      </c>
      <c r="GL70">
        <f>IF(AND(ISNUMBER(GK70),逐级计算!$X$193&gt;-1),IF(逐级计算!$X$193=0,GK70+逐级计算!$C$193,GK70+逐级计算!$C$193-(10/(逐级计算!$Q$193*LN(10))*(MAX((LN(10^(逐级计算!$Q$193/10)-1)+逐级计算!$Q$193*(GK70-逐级计算!$P$193)*LN(10)/10),0)+LN(1+EXP(-ABS((LN(10^(逐级计算!$Q$193/10)-1)+逐级计算!$Q$193*(GK70-逐级计算!$P$193)*LN(10)/10))))))),"")</f>
        <v>13.7930365742089</v>
      </c>
      <c r="GM70">
        <f>IF(AND(ISNUMBER(GL70),逐级计算!$X$194&gt;-1),IF(逐级计算!$X$194=0,GL70+逐级计算!$C$194,GL70+逐级计算!$C$194-(10/(逐级计算!$Q$194*LN(10))*(MAX((LN(10^(逐级计算!$Q$194/10)-1)+逐级计算!$Q$194*(GL70-逐级计算!$P$194)*LN(10)/10),0)+LN(1+EXP(-ABS((LN(10^(逐级计算!$Q$194/10)-1)+逐级计算!$Q$194*(GL70-逐级计算!$P$194)*LN(10)/10))))))),"")</f>
        <v>13.7930365742089</v>
      </c>
      <c r="GN70">
        <f>IF(AND(ISNUMBER(GM70),逐级计算!$X$195&gt;-1),IF(逐级计算!$X$195=0,GM70+逐级计算!$C$195,GM70+逐级计算!$C$195-(10/(逐级计算!$Q$195*LN(10))*(MAX((LN(10^(逐级计算!$Q$195/10)-1)+逐级计算!$Q$195*(GM70-逐级计算!$P$195)*LN(10)/10),0)+LN(1+EXP(-ABS((LN(10^(逐级计算!$Q$195/10)-1)+逐级计算!$Q$195*(GM70-逐级计算!$P$195)*LN(10)/10))))))),"")</f>
        <v>13.7930365742089</v>
      </c>
      <c r="GO70">
        <f>IF(AND(ISNUMBER(GN70),逐级计算!$X$196&gt;-1),IF(逐级计算!$X$196=0,GN70+逐级计算!$C$196,GN70+逐级计算!$C$196-(10/(逐级计算!$Q$196*LN(10))*(MAX((LN(10^(逐级计算!$Q$196/10)-1)+逐级计算!$Q$196*(GN70-逐级计算!$P$196)*LN(10)/10),0)+LN(1+EXP(-ABS((LN(10^(逐级计算!$Q$196/10)-1)+逐级计算!$Q$196*(GN70-逐级计算!$P$196)*LN(10)/10))))))),"")</f>
        <v>13.7930365742089</v>
      </c>
      <c r="GP70">
        <f>IF(AND(ISNUMBER(GO70),逐级计算!$X$197&gt;-1),IF(逐级计算!$X$197=0,GO70+逐级计算!$C$197,GO70+逐级计算!$C$197-(10/(逐级计算!$Q$197*LN(10))*(MAX((LN(10^(逐级计算!$Q$197/10)-1)+逐级计算!$Q$197*(GO70-逐级计算!$P$197)*LN(10)/10),0)+LN(1+EXP(-ABS((LN(10^(逐级计算!$Q$197/10)-1)+逐级计算!$Q$197*(GO70-逐级计算!$P$197)*LN(10)/10))))))),"")</f>
        <v>13.7930365742089</v>
      </c>
      <c r="GQ70">
        <f>IF(AND(ISNUMBER(GP70),逐级计算!$X$198&gt;-1),IF(逐级计算!$X$198=0,GP70+逐级计算!$C$198,GP70+逐级计算!$C$198-(10/(逐级计算!$Q$198*LN(10))*(MAX((LN(10^(逐级计算!$Q$198/10)-1)+逐级计算!$Q$198*(GP70-逐级计算!$P$198)*LN(10)/10),0)+LN(1+EXP(-ABS((LN(10^(逐级计算!$Q$198/10)-1)+逐级计算!$Q$198*(GP70-逐级计算!$P$198)*LN(10)/10))))))),"")</f>
        <v>13.7930365742089</v>
      </c>
      <c r="GR70">
        <f>IF(AND(ISNUMBER(GQ70),逐级计算!$X$199&gt;-1),IF(逐级计算!$X$199=0,GQ70+逐级计算!$C$199,GQ70+逐级计算!$C$199-(10/(逐级计算!$Q$199*LN(10))*(MAX((LN(10^(逐级计算!$Q$199/10)-1)+逐级计算!$Q$199*(GQ70-逐级计算!$P$199)*LN(10)/10),0)+LN(1+EXP(-ABS((LN(10^(逐级计算!$Q$199/10)-1)+逐级计算!$Q$199*(GQ70-逐级计算!$P$199)*LN(10)/10))))))),"")</f>
        <v>13.7930365742089</v>
      </c>
      <c r="GS70">
        <f>IF(AND(ISNUMBER(GR70),逐级计算!$X$200&gt;-1),IF(逐级计算!$X$200=0,GR70+逐级计算!$C$200,GR70+逐级计算!$C$200-(10/(逐级计算!$Q$200*LN(10))*(MAX((LN(10^(逐级计算!$Q$200/10)-1)+逐级计算!$Q$200*(GR70-逐级计算!$P$200)*LN(10)/10),0)+LN(1+EXP(-ABS((LN(10^(逐级计算!$Q$200/10)-1)+逐级计算!$Q$200*(GR70-逐级计算!$P$200)*LN(10)/10))))))),"")</f>
        <v>13.7930365742089</v>
      </c>
      <c r="GT70">
        <f>IF(AND(ISNUMBER(GS70),逐级计算!$X$201&gt;-1),IF(逐级计算!$X$201=0,GS70+逐级计算!$C$201,GS70+逐级计算!$C$201-(10/(逐级计算!$Q$201*LN(10))*(MAX((LN(10^(逐级计算!$Q$201/10)-1)+逐级计算!$Q$201*(GS70-逐级计算!$P$201)*LN(10)/10),0)+LN(1+EXP(-ABS((LN(10^(逐级计算!$Q$201/10)-1)+逐级计算!$Q$201*(GS70-逐级计算!$P$201)*LN(10)/10))))))),"")</f>
        <v>13.7930365742089</v>
      </c>
      <c r="GU70">
        <f>IF(AND(ISNUMBER(GT70),逐级计算!$X$202&gt;-1),IF(逐级计算!$X$202=0,GT70+逐级计算!$C$202,GT70+逐级计算!$C$202-(10/(逐级计算!$Q$202*LN(10))*(MAX((LN(10^(逐级计算!$Q$202/10)-1)+逐级计算!$Q$202*(GT70-逐级计算!$P$202)*LN(10)/10),0)+LN(1+EXP(-ABS((LN(10^(逐级计算!$Q$202/10)-1)+逐级计算!$Q$202*(GT70-逐级计算!$P$202)*LN(10)/10))))))),"")</f>
        <v>13.7930365742089</v>
      </c>
      <c r="GV70">
        <f>IF(AND(ISNUMBER(GU70),逐级计算!$X$203&gt;-1),IF(逐级计算!$X$203=0,GU70+逐级计算!$C$203,GU70+逐级计算!$C$203-(10/(逐级计算!$Q$203*LN(10))*(MAX((LN(10^(逐级计算!$Q$203/10)-1)+逐级计算!$Q$203*(GU70-逐级计算!$P$203)*LN(10)/10),0)+LN(1+EXP(-ABS((LN(10^(逐级计算!$Q$203/10)-1)+逐级计算!$Q$203*(GU70-逐级计算!$P$203)*LN(10)/10))))))),"")</f>
        <v>13.7930365742089</v>
      </c>
      <c r="GW70">
        <f t="shared" si="2"/>
        <v>-5.20696342579112</v>
      </c>
    </row>
    <row r="71" spans="1:205">
      <c r="A71">
        <v>64</v>
      </c>
      <c r="B71">
        <f t="shared" si="1"/>
        <v>-5.20696342579112</v>
      </c>
      <c r="C71">
        <f t="shared" si="0"/>
        <v>-5.20696342579112</v>
      </c>
      <c r="D71">
        <f>IF(AND(ISNUMBER(C71),ISNUMBER(逐级计算!$E$203),ISNUMBER(GV71)),C71+逐级计算!$E$203-GV71,"")</f>
        <v>1</v>
      </c>
      <c r="E71">
        <f>IF(AND(ISNUMBER(C71),逐级计算!$X$4&gt;-1),IF(逐级计算!$X$4=0,C71+逐级计算!$C$4,C71+逐级计算!$C$4-(10/(逐级计算!$Q$4*LN(10))*(MAX((LN(10^(逐级计算!$Q$4/10)-1)+逐级计算!$Q$4*(C71-逐级计算!$P$4)*LN(10)/10),0)+LN(1+EXP(-ABS((LN(10^(逐级计算!$Q$4/10)-1)+逐级计算!$Q$4*(C71-逐级计算!$P$4)*LN(10)/10))))))),"")</f>
        <v>4.68053982928311</v>
      </c>
      <c r="F71">
        <f>IF(AND(ISNUMBER(E71),逐级计算!$X$5&gt;-1),IF(逐级计算!$X$5=0,E71+逐级计算!$C$5,E71+逐级计算!$C$5-(10/(逐级计算!$Q$5*LN(10))*(MAX((LN(10^(逐级计算!$Q$5/10)-1)+逐级计算!$Q$5*(E71-逐级计算!$P$5)*LN(10)/10),0)+LN(1+EXP(-ABS((LN(10^(逐级计算!$Q$5/10)-1)+逐级计算!$Q$5*(E71-逐级计算!$P$5)*LN(10)/10))))))),"")</f>
        <v>13.7930365742089</v>
      </c>
      <c r="G71">
        <f>IF(AND(ISNUMBER(F71),逐级计算!$X$6&gt;-1),IF(逐级计算!$X$6=0,F71+逐级计算!$C$6,F71+逐级计算!$C$6-(10/(逐级计算!$Q$6*LN(10))*(MAX((LN(10^(逐级计算!$Q$6/10)-1)+逐级计算!$Q$6*(F71-逐级计算!$P$6)*LN(10)/10),0)+LN(1+EXP(-ABS((LN(10^(逐级计算!$Q$6/10)-1)+逐级计算!$Q$6*(F71-逐级计算!$P$6)*LN(10)/10))))))),"")</f>
        <v>13.7930365742089</v>
      </c>
      <c r="H71">
        <f>IF(AND(ISNUMBER(G71),逐级计算!$X$7&gt;-1),IF(逐级计算!$X$7=0,G71+逐级计算!$C$7,G71+逐级计算!$C$7-(10/(逐级计算!$Q$7*LN(10))*(MAX((LN(10^(逐级计算!$Q$7/10)-1)+逐级计算!$Q$7*(G71-逐级计算!$P$7)*LN(10)/10),0)+LN(1+EXP(-ABS((LN(10^(逐级计算!$Q$7/10)-1)+逐级计算!$Q$7*(G71-逐级计算!$P$7)*LN(10)/10))))))),"")</f>
        <v>13.7930365742089</v>
      </c>
      <c r="I71">
        <f>IF(AND(ISNUMBER(H71),逐级计算!$X$8&gt;-1),IF(逐级计算!$X$8=0,H71+逐级计算!$C$8,H71+逐级计算!$C$8-(10/(逐级计算!$Q$8*LN(10))*(MAX((LN(10^(逐级计算!$Q$8/10)-1)+逐级计算!$Q$8*(H71-逐级计算!$P$8)*LN(10)/10),0)+LN(1+EXP(-ABS((LN(10^(逐级计算!$Q$8/10)-1)+逐级计算!$Q$8*(H71-逐级计算!$P$8)*LN(10)/10))))))),"")</f>
        <v>13.7930365742089</v>
      </c>
      <c r="J71">
        <f>IF(AND(ISNUMBER(I71),逐级计算!$X$9&gt;-1),IF(逐级计算!$X$9=0,I71+逐级计算!$C$9,I71+逐级计算!$C$9-(10/(逐级计算!$Q$9*LN(10))*(MAX((LN(10^(逐级计算!$Q$9/10)-1)+逐级计算!$Q$9*(I71-逐级计算!$P$9)*LN(10)/10),0)+LN(1+EXP(-ABS((LN(10^(逐级计算!$Q$9/10)-1)+逐级计算!$Q$9*(I71-逐级计算!$P$9)*LN(10)/10))))))),"")</f>
        <v>13.7930365742089</v>
      </c>
      <c r="K71">
        <f>IF(AND(ISNUMBER(J71),逐级计算!$X$10&gt;-1),IF(逐级计算!$X$10=0,J71+逐级计算!$C$10,J71+逐级计算!$C$10-(10/(逐级计算!$Q$10*LN(10))*(MAX((LN(10^(逐级计算!$Q$10/10)-1)+逐级计算!$Q$10*(J71-逐级计算!$P$10)*LN(10)/10),0)+LN(1+EXP(-ABS((LN(10^(逐级计算!$Q$10/10)-1)+逐级计算!$Q$10*(J71-逐级计算!$P$10)*LN(10)/10))))))),"")</f>
        <v>13.7930365742089</v>
      </c>
      <c r="L71">
        <f>IF(AND(ISNUMBER(K71),逐级计算!$X$11&gt;-1),IF(逐级计算!$X$11=0,K71+逐级计算!$C$11,K71+逐级计算!$C$11-(10/(逐级计算!$Q$11*LN(10))*(MAX((LN(10^(逐级计算!$Q$11/10)-1)+逐级计算!$Q$11*(K71-逐级计算!$P$11)*LN(10)/10),0)+LN(1+EXP(-ABS((LN(10^(逐级计算!$Q$11/10)-1)+逐级计算!$Q$11*(K71-逐级计算!$P$11)*LN(10)/10))))))),"")</f>
        <v>13.7930365742089</v>
      </c>
      <c r="M71">
        <f>IF(AND(ISNUMBER(L71),逐级计算!$X$12&gt;-1),IF(逐级计算!$X$12=0,L71+逐级计算!$C$12,L71+逐级计算!$C$12-(10/(逐级计算!$Q$12*LN(10))*(MAX((LN(10^(逐级计算!$Q$12/10)-1)+逐级计算!$Q$12*(L71-逐级计算!$P$12)*LN(10)/10),0)+LN(1+EXP(-ABS((LN(10^(逐级计算!$Q$12/10)-1)+逐级计算!$Q$12*(L71-逐级计算!$P$12)*LN(10)/10))))))),"")</f>
        <v>13.7930365742089</v>
      </c>
      <c r="N71">
        <f>IF(AND(ISNUMBER(M71),逐级计算!$X$13&gt;-1),IF(逐级计算!$X$13=0,M71+逐级计算!$C$13,M71+逐级计算!$C$13-(10/(逐级计算!$Q$13*LN(10))*(MAX((LN(10^(逐级计算!$Q$13/10)-1)+逐级计算!$Q$13*(M71-逐级计算!$P$13)*LN(10)/10),0)+LN(1+EXP(-ABS((LN(10^(逐级计算!$Q$13/10)-1)+逐级计算!$Q$13*(M71-逐级计算!$P$13)*LN(10)/10))))))),"")</f>
        <v>13.7930365742089</v>
      </c>
      <c r="O71">
        <f>IF(AND(ISNUMBER(N71),逐级计算!$X$14&gt;-1),IF(逐级计算!$X$14=0,N71+逐级计算!$C$14,N71+逐级计算!$C$14-(10/(逐级计算!$Q$14*LN(10))*(MAX((LN(10^(逐级计算!$Q$14/10)-1)+逐级计算!$Q$14*(N71-逐级计算!$P$14)*LN(10)/10),0)+LN(1+EXP(-ABS((LN(10^(逐级计算!$Q$14/10)-1)+逐级计算!$Q$14*(N71-逐级计算!$P$14)*LN(10)/10))))))),"")</f>
        <v>13.7930365742089</v>
      </c>
      <c r="P71">
        <f>IF(AND(ISNUMBER(O71),逐级计算!$X$15&gt;-1),IF(逐级计算!$X$15=0,O71+逐级计算!$C$15,O71+逐级计算!$C$15-(10/(逐级计算!$Q$15*LN(10))*(MAX((LN(10^(逐级计算!$Q$15/10)-1)+逐级计算!$Q$15*(O71-逐级计算!$P$15)*LN(10)/10),0)+LN(1+EXP(-ABS((LN(10^(逐级计算!$Q$15/10)-1)+逐级计算!$Q$15*(O71-逐级计算!$P$15)*LN(10)/10))))))),"")</f>
        <v>13.7930365742089</v>
      </c>
      <c r="Q71">
        <f>IF(AND(ISNUMBER(P71),逐级计算!$X$16&gt;-1),IF(逐级计算!$X$16=0,P71+逐级计算!$C$16,P71+逐级计算!$C$16-(10/(逐级计算!$Q$16*LN(10))*(MAX((LN(10^(逐级计算!$Q$16/10)-1)+逐级计算!$Q$16*(P71-逐级计算!$P$16)*LN(10)/10),0)+LN(1+EXP(-ABS((LN(10^(逐级计算!$Q$16/10)-1)+逐级计算!$Q$16*(P71-逐级计算!$P$16)*LN(10)/10))))))),"")</f>
        <v>13.7930365742089</v>
      </c>
      <c r="R71">
        <f>IF(AND(ISNUMBER(Q71),逐级计算!$X$17&gt;-1),IF(逐级计算!$X$17=0,Q71+逐级计算!$C$17,Q71+逐级计算!$C$17-(10/(逐级计算!$Q$17*LN(10))*(MAX((LN(10^(逐级计算!$Q$17/10)-1)+逐级计算!$Q$17*(Q71-逐级计算!$P$17)*LN(10)/10),0)+LN(1+EXP(-ABS((LN(10^(逐级计算!$Q$17/10)-1)+逐级计算!$Q$17*(Q71-逐级计算!$P$17)*LN(10)/10))))))),"")</f>
        <v>13.7930365742089</v>
      </c>
      <c r="S71">
        <f>IF(AND(ISNUMBER(R71),逐级计算!$X$18&gt;-1),IF(逐级计算!$X$18=0,R71+逐级计算!$C$18,R71+逐级计算!$C$18-(10/(逐级计算!$Q$18*LN(10))*(MAX((LN(10^(逐级计算!$Q$18/10)-1)+逐级计算!$Q$18*(R71-逐级计算!$P$18)*LN(10)/10),0)+LN(1+EXP(-ABS((LN(10^(逐级计算!$Q$18/10)-1)+逐级计算!$Q$18*(R71-逐级计算!$P$18)*LN(10)/10))))))),"")</f>
        <v>13.7930365742089</v>
      </c>
      <c r="T71">
        <f>IF(AND(ISNUMBER(S71),逐级计算!$X$19&gt;-1),IF(逐级计算!$X$19=0,S71+逐级计算!$C$19,S71+逐级计算!$C$19-(10/(逐级计算!$Q$19*LN(10))*(MAX((LN(10^(逐级计算!$Q$19/10)-1)+逐级计算!$Q$19*(S71-逐级计算!$P$19)*LN(10)/10),0)+LN(1+EXP(-ABS((LN(10^(逐级计算!$Q$19/10)-1)+逐级计算!$Q$19*(S71-逐级计算!$P$19)*LN(10)/10))))))),"")</f>
        <v>13.7930365742089</v>
      </c>
      <c r="U71">
        <f>IF(AND(ISNUMBER(T71),逐级计算!$X$20&gt;-1),IF(逐级计算!$X$20=0,T71+逐级计算!$C$20,T71+逐级计算!$C$20-(10/(逐级计算!$Q$20*LN(10))*(MAX((LN(10^(逐级计算!$Q$20/10)-1)+逐级计算!$Q$20*(T71-逐级计算!$P$20)*LN(10)/10),0)+LN(1+EXP(-ABS((LN(10^(逐级计算!$Q$20/10)-1)+逐级计算!$Q$20*(T71-逐级计算!$P$20)*LN(10)/10))))))),"")</f>
        <v>13.7930365742089</v>
      </c>
      <c r="V71">
        <f>IF(AND(ISNUMBER(U71),逐级计算!$X$21&gt;-1),IF(逐级计算!$X$21=0,U71+逐级计算!$C$21,U71+逐级计算!$C$21-(10/(逐级计算!$Q$21*LN(10))*(MAX((LN(10^(逐级计算!$Q$21/10)-1)+逐级计算!$Q$21*(U71-逐级计算!$P$21)*LN(10)/10),0)+LN(1+EXP(-ABS((LN(10^(逐级计算!$Q$21/10)-1)+逐级计算!$Q$21*(U71-逐级计算!$P$21)*LN(10)/10))))))),"")</f>
        <v>13.7930365742089</v>
      </c>
      <c r="W71">
        <f>IF(AND(ISNUMBER(V71),逐级计算!$X$22&gt;-1),IF(逐级计算!$X$22=0,V71+逐级计算!$C$22,V71+逐级计算!$C$22-(10/(逐级计算!$Q$22*LN(10))*(MAX((LN(10^(逐级计算!$Q$22/10)-1)+逐级计算!$Q$22*(V71-逐级计算!$P$22)*LN(10)/10),0)+LN(1+EXP(-ABS((LN(10^(逐级计算!$Q$22/10)-1)+逐级计算!$Q$22*(V71-逐级计算!$P$22)*LN(10)/10))))))),"")</f>
        <v>13.7930365742089</v>
      </c>
      <c r="X71">
        <f>IF(AND(ISNUMBER(W71),逐级计算!$X$23&gt;-1),IF(逐级计算!$X$23=0,W71+逐级计算!$C$23,W71+逐级计算!$C$23-(10/(逐级计算!$Q$23*LN(10))*(MAX((LN(10^(逐级计算!$Q$23/10)-1)+逐级计算!$Q$23*(W71-逐级计算!$P$23)*LN(10)/10),0)+LN(1+EXP(-ABS((LN(10^(逐级计算!$Q$23/10)-1)+逐级计算!$Q$23*(W71-逐级计算!$P$23)*LN(10)/10))))))),"")</f>
        <v>13.7930365742089</v>
      </c>
      <c r="Y71">
        <f>IF(AND(ISNUMBER(X71),逐级计算!$X$24&gt;-1),IF(逐级计算!$X$24=0,X71+逐级计算!$C$24,X71+逐级计算!$C$24-(10/(逐级计算!$Q$24*LN(10))*(MAX((LN(10^(逐级计算!$Q$24/10)-1)+逐级计算!$Q$24*(X71-逐级计算!$P$24)*LN(10)/10),0)+LN(1+EXP(-ABS((LN(10^(逐级计算!$Q$24/10)-1)+逐级计算!$Q$24*(X71-逐级计算!$P$24)*LN(10)/10))))))),"")</f>
        <v>13.7930365742089</v>
      </c>
      <c r="Z71">
        <f>IF(AND(ISNUMBER(Y71),逐级计算!$X$25&gt;-1),IF(逐级计算!$X$25=0,Y71+逐级计算!$C$25,Y71+逐级计算!$C$25-(10/(逐级计算!$Q$25*LN(10))*(MAX((LN(10^(逐级计算!$Q$25/10)-1)+逐级计算!$Q$25*(Y71-逐级计算!$P$25)*LN(10)/10),0)+LN(1+EXP(-ABS((LN(10^(逐级计算!$Q$25/10)-1)+逐级计算!$Q$25*(Y71-逐级计算!$P$25)*LN(10)/10))))))),"")</f>
        <v>13.7930365742089</v>
      </c>
      <c r="AA71">
        <f>IF(AND(ISNUMBER(Z71),逐级计算!$X$26&gt;-1),IF(逐级计算!$X$26=0,Z71+逐级计算!$C$26,Z71+逐级计算!$C$26-(10/(逐级计算!$Q$26*LN(10))*(MAX((LN(10^(逐级计算!$Q$26/10)-1)+逐级计算!$Q$26*(Z71-逐级计算!$P$26)*LN(10)/10),0)+LN(1+EXP(-ABS((LN(10^(逐级计算!$Q$26/10)-1)+逐级计算!$Q$26*(Z71-逐级计算!$P$26)*LN(10)/10))))))),"")</f>
        <v>13.7930365742089</v>
      </c>
      <c r="AB71">
        <f>IF(AND(ISNUMBER(AA71),逐级计算!$X$27&gt;-1),IF(逐级计算!$X$27=0,AA71+逐级计算!$C$27,AA71+逐级计算!$C$27-(10/(逐级计算!$Q$27*LN(10))*(MAX((LN(10^(逐级计算!$Q$27/10)-1)+逐级计算!$Q$27*(AA71-逐级计算!$P$27)*LN(10)/10),0)+LN(1+EXP(-ABS((LN(10^(逐级计算!$Q$27/10)-1)+逐级计算!$Q$27*(AA71-逐级计算!$P$27)*LN(10)/10))))))),"")</f>
        <v>13.7930365742089</v>
      </c>
      <c r="AC71">
        <f>IF(AND(ISNUMBER(AB71),逐级计算!$X$28&gt;-1),IF(逐级计算!$X$28=0,AB71+逐级计算!$C$28,AB71+逐级计算!$C$28-(10/(逐级计算!$Q$28*LN(10))*(MAX((LN(10^(逐级计算!$Q$28/10)-1)+逐级计算!$Q$28*(AB71-逐级计算!$P$28)*LN(10)/10),0)+LN(1+EXP(-ABS((LN(10^(逐级计算!$Q$28/10)-1)+逐级计算!$Q$28*(AB71-逐级计算!$P$28)*LN(10)/10))))))),"")</f>
        <v>13.7930365742089</v>
      </c>
      <c r="AD71">
        <f>IF(AND(ISNUMBER(AC71),逐级计算!$X$29&gt;-1),IF(逐级计算!$X$29=0,AC71+逐级计算!$C$29,AC71+逐级计算!$C$29-(10/(逐级计算!$Q$29*LN(10))*(MAX((LN(10^(逐级计算!$Q$29/10)-1)+逐级计算!$Q$29*(AC71-逐级计算!$P$29)*LN(10)/10),0)+LN(1+EXP(-ABS((LN(10^(逐级计算!$Q$29/10)-1)+逐级计算!$Q$29*(AC71-逐级计算!$P$29)*LN(10)/10))))))),"")</f>
        <v>13.7930365742089</v>
      </c>
      <c r="AE71">
        <f>IF(AND(ISNUMBER(AD71),逐级计算!$X$30&gt;-1),IF(逐级计算!$X$30=0,AD71+逐级计算!$C$30,AD71+逐级计算!$C$30-(10/(逐级计算!$Q$30*LN(10))*(MAX((LN(10^(逐级计算!$Q$30/10)-1)+逐级计算!$Q$30*(AD71-逐级计算!$P$30)*LN(10)/10),0)+LN(1+EXP(-ABS((LN(10^(逐级计算!$Q$30/10)-1)+逐级计算!$Q$30*(AD71-逐级计算!$P$30)*LN(10)/10))))))),"")</f>
        <v>13.7930365742089</v>
      </c>
      <c r="AF71">
        <f>IF(AND(ISNUMBER(AE71),逐级计算!$X$31&gt;-1),IF(逐级计算!$X$31=0,AE71+逐级计算!$C$31,AE71+逐级计算!$C$31-(10/(逐级计算!$Q$31*LN(10))*(MAX((LN(10^(逐级计算!$Q$31/10)-1)+逐级计算!$Q$31*(AE71-逐级计算!$P$31)*LN(10)/10),0)+LN(1+EXP(-ABS((LN(10^(逐级计算!$Q$31/10)-1)+逐级计算!$Q$31*(AE71-逐级计算!$P$31)*LN(10)/10))))))),"")</f>
        <v>13.7930365742089</v>
      </c>
      <c r="AG71">
        <f>IF(AND(ISNUMBER(AF71),逐级计算!$X$32&gt;-1),IF(逐级计算!$X$32=0,AF71+逐级计算!$C$32,AF71+逐级计算!$C$32-(10/(逐级计算!$Q$32*LN(10))*(MAX((LN(10^(逐级计算!$Q$32/10)-1)+逐级计算!$Q$32*(AF71-逐级计算!$P$32)*LN(10)/10),0)+LN(1+EXP(-ABS((LN(10^(逐级计算!$Q$32/10)-1)+逐级计算!$Q$32*(AF71-逐级计算!$P$32)*LN(10)/10))))))),"")</f>
        <v>13.7930365742089</v>
      </c>
      <c r="AH71">
        <f>IF(AND(ISNUMBER(AG71),逐级计算!$X$33&gt;-1),IF(逐级计算!$X$33=0,AG71+逐级计算!$C$33,AG71+逐级计算!$C$33-(10/(逐级计算!$Q$33*LN(10))*(MAX((LN(10^(逐级计算!$Q$33/10)-1)+逐级计算!$Q$33*(AG71-逐级计算!$P$33)*LN(10)/10),0)+LN(1+EXP(-ABS((LN(10^(逐级计算!$Q$33/10)-1)+逐级计算!$Q$33*(AG71-逐级计算!$P$33)*LN(10)/10))))))),"")</f>
        <v>13.7930365742089</v>
      </c>
      <c r="AI71">
        <f>IF(AND(ISNUMBER(AH71),逐级计算!$X$34&gt;-1),IF(逐级计算!$X$34=0,AH71+逐级计算!$C$34,AH71+逐级计算!$C$34-(10/(逐级计算!$Q$34*LN(10))*(MAX((LN(10^(逐级计算!$Q$34/10)-1)+逐级计算!$Q$34*(AH71-逐级计算!$P$34)*LN(10)/10),0)+LN(1+EXP(-ABS((LN(10^(逐级计算!$Q$34/10)-1)+逐级计算!$Q$34*(AH71-逐级计算!$P$34)*LN(10)/10))))))),"")</f>
        <v>13.7930365742089</v>
      </c>
      <c r="AJ71">
        <f>IF(AND(ISNUMBER(AI71),逐级计算!$X$35&gt;-1),IF(逐级计算!$X$35=0,AI71+逐级计算!$C$35,AI71+逐级计算!$C$35-(10/(逐级计算!$Q$35*LN(10))*(MAX((LN(10^(逐级计算!$Q$35/10)-1)+逐级计算!$Q$35*(AI71-逐级计算!$P$35)*LN(10)/10),0)+LN(1+EXP(-ABS((LN(10^(逐级计算!$Q$35/10)-1)+逐级计算!$Q$35*(AI71-逐级计算!$P$35)*LN(10)/10))))))),"")</f>
        <v>13.7930365742089</v>
      </c>
      <c r="AK71">
        <f>IF(AND(ISNUMBER(AJ71),逐级计算!$X$36&gt;-1),IF(逐级计算!$X$36=0,AJ71+逐级计算!$C$36,AJ71+逐级计算!$C$36-(10/(逐级计算!$Q$36*LN(10))*(MAX((LN(10^(逐级计算!$Q$36/10)-1)+逐级计算!$Q$36*(AJ71-逐级计算!$P$36)*LN(10)/10),0)+LN(1+EXP(-ABS((LN(10^(逐级计算!$Q$36/10)-1)+逐级计算!$Q$36*(AJ71-逐级计算!$P$36)*LN(10)/10))))))),"")</f>
        <v>13.7930365742089</v>
      </c>
      <c r="AL71">
        <f>IF(AND(ISNUMBER(AK71),逐级计算!$X$37&gt;-1),IF(逐级计算!$X$37=0,AK71+逐级计算!$C$37,AK71+逐级计算!$C$37-(10/(逐级计算!$Q$37*LN(10))*(MAX((LN(10^(逐级计算!$Q$37/10)-1)+逐级计算!$Q$37*(AK71-逐级计算!$P$37)*LN(10)/10),0)+LN(1+EXP(-ABS((LN(10^(逐级计算!$Q$37/10)-1)+逐级计算!$Q$37*(AK71-逐级计算!$P$37)*LN(10)/10))))))),"")</f>
        <v>13.7930365742089</v>
      </c>
      <c r="AM71">
        <f>IF(AND(ISNUMBER(AL71),逐级计算!$X$38&gt;-1),IF(逐级计算!$X$38=0,AL71+逐级计算!$C$38,AL71+逐级计算!$C$38-(10/(逐级计算!$Q$38*LN(10))*(MAX((LN(10^(逐级计算!$Q$38/10)-1)+逐级计算!$Q$38*(AL71-逐级计算!$P$38)*LN(10)/10),0)+LN(1+EXP(-ABS((LN(10^(逐级计算!$Q$38/10)-1)+逐级计算!$Q$38*(AL71-逐级计算!$P$38)*LN(10)/10))))))),"")</f>
        <v>13.7930365742089</v>
      </c>
      <c r="AN71">
        <f>IF(AND(ISNUMBER(AM71),逐级计算!$X$39&gt;-1),IF(逐级计算!$X$39=0,AM71+逐级计算!$C$39,AM71+逐级计算!$C$39-(10/(逐级计算!$Q$39*LN(10))*(MAX((LN(10^(逐级计算!$Q$39/10)-1)+逐级计算!$Q$39*(AM71-逐级计算!$P$39)*LN(10)/10),0)+LN(1+EXP(-ABS((LN(10^(逐级计算!$Q$39/10)-1)+逐级计算!$Q$39*(AM71-逐级计算!$P$39)*LN(10)/10))))))),"")</f>
        <v>13.7930365742089</v>
      </c>
      <c r="AO71">
        <f>IF(AND(ISNUMBER(AN71),逐级计算!$X$40&gt;-1),IF(逐级计算!$X$40=0,AN71+逐级计算!$C$40,AN71+逐级计算!$C$40-(10/(逐级计算!$Q$40*LN(10))*(MAX((LN(10^(逐级计算!$Q$40/10)-1)+逐级计算!$Q$40*(AN71-逐级计算!$P$40)*LN(10)/10),0)+LN(1+EXP(-ABS((LN(10^(逐级计算!$Q$40/10)-1)+逐级计算!$Q$40*(AN71-逐级计算!$P$40)*LN(10)/10))))))),"")</f>
        <v>13.7930365742089</v>
      </c>
      <c r="AP71">
        <f>IF(AND(ISNUMBER(AO71),逐级计算!$X$41&gt;-1),IF(逐级计算!$X$41=0,AO71+逐级计算!$C$41,AO71+逐级计算!$C$41-(10/(逐级计算!$Q$41*LN(10))*(MAX((LN(10^(逐级计算!$Q$41/10)-1)+逐级计算!$Q$41*(AO71-逐级计算!$P$41)*LN(10)/10),0)+LN(1+EXP(-ABS((LN(10^(逐级计算!$Q$41/10)-1)+逐级计算!$Q$41*(AO71-逐级计算!$P$41)*LN(10)/10))))))),"")</f>
        <v>13.7930365742089</v>
      </c>
      <c r="AQ71">
        <f>IF(AND(ISNUMBER(AP71),逐级计算!$X$42&gt;-1),IF(逐级计算!$X$42=0,AP71+逐级计算!$C$42,AP71+逐级计算!$C$42-(10/(逐级计算!$Q$42*LN(10))*(MAX((LN(10^(逐级计算!$Q$42/10)-1)+逐级计算!$Q$42*(AP71-逐级计算!$P$42)*LN(10)/10),0)+LN(1+EXP(-ABS((LN(10^(逐级计算!$Q$42/10)-1)+逐级计算!$Q$42*(AP71-逐级计算!$P$42)*LN(10)/10))))))),"")</f>
        <v>13.7930365742089</v>
      </c>
      <c r="AR71">
        <f>IF(AND(ISNUMBER(AQ71),逐级计算!$X$43&gt;-1),IF(逐级计算!$X$43=0,AQ71+逐级计算!$C$43,AQ71+逐级计算!$C$43-(10/(逐级计算!$Q$43*LN(10))*(MAX((LN(10^(逐级计算!$Q$43/10)-1)+逐级计算!$Q$43*(AQ71-逐级计算!$P$43)*LN(10)/10),0)+LN(1+EXP(-ABS((LN(10^(逐级计算!$Q$43/10)-1)+逐级计算!$Q$43*(AQ71-逐级计算!$P$43)*LN(10)/10))))))),"")</f>
        <v>13.7930365742089</v>
      </c>
      <c r="AS71">
        <f>IF(AND(ISNUMBER(AR71),逐级计算!$X$44&gt;-1),IF(逐级计算!$X$44=0,AR71+逐级计算!$C$44,AR71+逐级计算!$C$44-(10/(逐级计算!$Q$44*LN(10))*(MAX((LN(10^(逐级计算!$Q$44/10)-1)+逐级计算!$Q$44*(AR71-逐级计算!$P$44)*LN(10)/10),0)+LN(1+EXP(-ABS((LN(10^(逐级计算!$Q$44/10)-1)+逐级计算!$Q$44*(AR71-逐级计算!$P$44)*LN(10)/10))))))),"")</f>
        <v>13.7930365742089</v>
      </c>
      <c r="AT71">
        <f>IF(AND(ISNUMBER(AS71),逐级计算!$X$45&gt;-1),IF(逐级计算!$X$45=0,AS71+逐级计算!$C$45,AS71+逐级计算!$C$45-(10/(逐级计算!$Q$45*LN(10))*(MAX((LN(10^(逐级计算!$Q$45/10)-1)+逐级计算!$Q$45*(AS71-逐级计算!$P$45)*LN(10)/10),0)+LN(1+EXP(-ABS((LN(10^(逐级计算!$Q$45/10)-1)+逐级计算!$Q$45*(AS71-逐级计算!$P$45)*LN(10)/10))))))),"")</f>
        <v>13.7930365742089</v>
      </c>
      <c r="AU71">
        <f>IF(AND(ISNUMBER(AT71),逐级计算!$X$46&gt;-1),IF(逐级计算!$X$46=0,AT71+逐级计算!$C$46,AT71+逐级计算!$C$46-(10/(逐级计算!$Q$46*LN(10))*(MAX((LN(10^(逐级计算!$Q$46/10)-1)+逐级计算!$Q$46*(AT71-逐级计算!$P$46)*LN(10)/10),0)+LN(1+EXP(-ABS((LN(10^(逐级计算!$Q$46/10)-1)+逐级计算!$Q$46*(AT71-逐级计算!$P$46)*LN(10)/10))))))),"")</f>
        <v>13.7930365742089</v>
      </c>
      <c r="AV71">
        <f>IF(AND(ISNUMBER(AU71),逐级计算!$X$47&gt;-1),IF(逐级计算!$X$47=0,AU71+逐级计算!$C$47,AU71+逐级计算!$C$47-(10/(逐级计算!$Q$47*LN(10))*(MAX((LN(10^(逐级计算!$Q$47/10)-1)+逐级计算!$Q$47*(AU71-逐级计算!$P$47)*LN(10)/10),0)+LN(1+EXP(-ABS((LN(10^(逐级计算!$Q$47/10)-1)+逐级计算!$Q$47*(AU71-逐级计算!$P$47)*LN(10)/10))))))),"")</f>
        <v>13.7930365742089</v>
      </c>
      <c r="AW71">
        <f>IF(AND(ISNUMBER(AV71),逐级计算!$X$48&gt;-1),IF(逐级计算!$X$48=0,AV71+逐级计算!$C$48,AV71+逐级计算!$C$48-(10/(逐级计算!$Q$48*LN(10))*(MAX((LN(10^(逐级计算!$Q$48/10)-1)+逐级计算!$Q$48*(AV71-逐级计算!$P$48)*LN(10)/10),0)+LN(1+EXP(-ABS((LN(10^(逐级计算!$Q$48/10)-1)+逐级计算!$Q$48*(AV71-逐级计算!$P$48)*LN(10)/10))))))),"")</f>
        <v>13.7930365742089</v>
      </c>
      <c r="AX71">
        <f>IF(AND(ISNUMBER(AW71),逐级计算!$X$49&gt;-1),IF(逐级计算!$X$49=0,AW71+逐级计算!$C$49,AW71+逐级计算!$C$49-(10/(逐级计算!$Q$49*LN(10))*(MAX((LN(10^(逐级计算!$Q$49/10)-1)+逐级计算!$Q$49*(AW71-逐级计算!$P$49)*LN(10)/10),0)+LN(1+EXP(-ABS((LN(10^(逐级计算!$Q$49/10)-1)+逐级计算!$Q$49*(AW71-逐级计算!$P$49)*LN(10)/10))))))),"")</f>
        <v>13.7930365742089</v>
      </c>
      <c r="AY71">
        <f>IF(AND(ISNUMBER(AX71),逐级计算!$X$50&gt;-1),IF(逐级计算!$X$50=0,AX71+逐级计算!$C$50,AX71+逐级计算!$C$50-(10/(逐级计算!$Q$50*LN(10))*(MAX((LN(10^(逐级计算!$Q$50/10)-1)+逐级计算!$Q$50*(AX71-逐级计算!$P$50)*LN(10)/10),0)+LN(1+EXP(-ABS((LN(10^(逐级计算!$Q$50/10)-1)+逐级计算!$Q$50*(AX71-逐级计算!$P$50)*LN(10)/10))))))),"")</f>
        <v>13.7930365742089</v>
      </c>
      <c r="AZ71">
        <f>IF(AND(ISNUMBER(AY71),逐级计算!$X$51&gt;-1),IF(逐级计算!$X$51=0,AY71+逐级计算!$C$51,AY71+逐级计算!$C$51-(10/(逐级计算!$Q$51*LN(10))*(MAX((LN(10^(逐级计算!$Q$51/10)-1)+逐级计算!$Q$51*(AY71-逐级计算!$P$51)*LN(10)/10),0)+LN(1+EXP(-ABS((LN(10^(逐级计算!$Q$51/10)-1)+逐级计算!$Q$51*(AY71-逐级计算!$P$51)*LN(10)/10))))))),"")</f>
        <v>13.7930365742089</v>
      </c>
      <c r="BA71">
        <f>IF(AND(ISNUMBER(AZ71),逐级计算!$X$52&gt;-1),IF(逐级计算!$X$52=0,AZ71+逐级计算!$C$52,AZ71+逐级计算!$C$52-(10/(逐级计算!$Q$52*LN(10))*(MAX((LN(10^(逐级计算!$Q$52/10)-1)+逐级计算!$Q$52*(AZ71-逐级计算!$P$52)*LN(10)/10),0)+LN(1+EXP(-ABS((LN(10^(逐级计算!$Q$52/10)-1)+逐级计算!$Q$52*(AZ71-逐级计算!$P$52)*LN(10)/10))))))),"")</f>
        <v>13.7930365742089</v>
      </c>
      <c r="BB71">
        <f>IF(AND(ISNUMBER(BA71),逐级计算!$X$53&gt;-1),IF(逐级计算!$X$53=0,BA71+逐级计算!$C$53,BA71+逐级计算!$C$53-(10/(逐级计算!$Q$53*LN(10))*(MAX((LN(10^(逐级计算!$Q$53/10)-1)+逐级计算!$Q$53*(BA71-逐级计算!$P$53)*LN(10)/10),0)+LN(1+EXP(-ABS((LN(10^(逐级计算!$Q$53/10)-1)+逐级计算!$Q$53*(BA71-逐级计算!$P$53)*LN(10)/10))))))),"")</f>
        <v>13.7930365742089</v>
      </c>
      <c r="BC71">
        <f>IF(AND(ISNUMBER(BB71),逐级计算!$X$54&gt;-1),IF(逐级计算!$X$54=0,BB71+逐级计算!$C$54,BB71+逐级计算!$C$54-(10/(逐级计算!$Q$54*LN(10))*(MAX((LN(10^(逐级计算!$Q$54/10)-1)+逐级计算!$Q$54*(BB71-逐级计算!$P$54)*LN(10)/10),0)+LN(1+EXP(-ABS((LN(10^(逐级计算!$Q$54/10)-1)+逐级计算!$Q$54*(BB71-逐级计算!$P$54)*LN(10)/10))))))),"")</f>
        <v>13.7930365742089</v>
      </c>
      <c r="BD71">
        <f>IF(AND(ISNUMBER(BC71),逐级计算!$X$55&gt;-1),IF(逐级计算!$X$55=0,BC71+逐级计算!$C$55,BC71+逐级计算!$C$55-(10/(逐级计算!$Q$55*LN(10))*(MAX((LN(10^(逐级计算!$Q$55/10)-1)+逐级计算!$Q$55*(BC71-逐级计算!$P$55)*LN(10)/10),0)+LN(1+EXP(-ABS((LN(10^(逐级计算!$Q$55/10)-1)+逐级计算!$Q$55*(BC71-逐级计算!$P$55)*LN(10)/10))))))),"")</f>
        <v>13.7930365742089</v>
      </c>
      <c r="BE71">
        <f>IF(AND(ISNUMBER(BD71),逐级计算!$X$56&gt;-1),IF(逐级计算!$X$56=0,BD71+逐级计算!$C$56,BD71+逐级计算!$C$56-(10/(逐级计算!$Q$56*LN(10))*(MAX((LN(10^(逐级计算!$Q$56/10)-1)+逐级计算!$Q$56*(BD71-逐级计算!$P$56)*LN(10)/10),0)+LN(1+EXP(-ABS((LN(10^(逐级计算!$Q$56/10)-1)+逐级计算!$Q$56*(BD71-逐级计算!$P$56)*LN(10)/10))))))),"")</f>
        <v>13.7930365742089</v>
      </c>
      <c r="BF71">
        <f>IF(AND(ISNUMBER(BE71),逐级计算!$X$57&gt;-1),IF(逐级计算!$X$57=0,BE71+逐级计算!$C$57,BE71+逐级计算!$C$57-(10/(逐级计算!$Q$57*LN(10))*(MAX((LN(10^(逐级计算!$Q$57/10)-1)+逐级计算!$Q$57*(BE71-逐级计算!$P$57)*LN(10)/10),0)+LN(1+EXP(-ABS((LN(10^(逐级计算!$Q$57/10)-1)+逐级计算!$Q$57*(BE71-逐级计算!$P$57)*LN(10)/10))))))),"")</f>
        <v>13.7930365742089</v>
      </c>
      <c r="BG71">
        <f>IF(AND(ISNUMBER(BF71),逐级计算!$X$58&gt;-1),IF(逐级计算!$X$58=0,BF71+逐级计算!$C$58,BF71+逐级计算!$C$58-(10/(逐级计算!$Q$58*LN(10))*(MAX((LN(10^(逐级计算!$Q$58/10)-1)+逐级计算!$Q$58*(BF71-逐级计算!$P$58)*LN(10)/10),0)+LN(1+EXP(-ABS((LN(10^(逐级计算!$Q$58/10)-1)+逐级计算!$Q$58*(BF71-逐级计算!$P$58)*LN(10)/10))))))),"")</f>
        <v>13.7930365742089</v>
      </c>
      <c r="BH71">
        <f>IF(AND(ISNUMBER(BG71),逐级计算!$X$59&gt;-1),IF(逐级计算!$X$59=0,BG71+逐级计算!$C$59,BG71+逐级计算!$C$59-(10/(逐级计算!$Q$59*LN(10))*(MAX((LN(10^(逐级计算!$Q$59/10)-1)+逐级计算!$Q$59*(BG71-逐级计算!$P$59)*LN(10)/10),0)+LN(1+EXP(-ABS((LN(10^(逐级计算!$Q$59/10)-1)+逐级计算!$Q$59*(BG71-逐级计算!$P$59)*LN(10)/10))))))),"")</f>
        <v>13.7930365742089</v>
      </c>
      <c r="BI71">
        <f>IF(AND(ISNUMBER(BH71),逐级计算!$X$60&gt;-1),IF(逐级计算!$X$60=0,BH71+逐级计算!$C$60,BH71+逐级计算!$C$60-(10/(逐级计算!$Q$60*LN(10))*(MAX((LN(10^(逐级计算!$Q$60/10)-1)+逐级计算!$Q$60*(BH71-逐级计算!$P$60)*LN(10)/10),0)+LN(1+EXP(-ABS((LN(10^(逐级计算!$Q$60/10)-1)+逐级计算!$Q$60*(BH71-逐级计算!$P$60)*LN(10)/10))))))),"")</f>
        <v>13.7930365742089</v>
      </c>
      <c r="BJ71">
        <f>IF(AND(ISNUMBER(BI71),逐级计算!$X$61&gt;-1),IF(逐级计算!$X$61=0,BI71+逐级计算!$C$61,BI71+逐级计算!$C$61-(10/(逐级计算!$Q$61*LN(10))*(MAX((LN(10^(逐级计算!$Q$61/10)-1)+逐级计算!$Q$61*(BI71-逐级计算!$P$61)*LN(10)/10),0)+LN(1+EXP(-ABS((LN(10^(逐级计算!$Q$61/10)-1)+逐级计算!$Q$61*(BI71-逐级计算!$P$61)*LN(10)/10))))))),"")</f>
        <v>13.7930365742089</v>
      </c>
      <c r="BK71">
        <f>IF(AND(ISNUMBER(BJ71),逐级计算!$X$62&gt;-1),IF(逐级计算!$X$62=0,BJ71+逐级计算!$C$62,BJ71+逐级计算!$C$62-(10/(逐级计算!$Q$62*LN(10))*(MAX((LN(10^(逐级计算!$Q$62/10)-1)+逐级计算!$Q$62*(BJ71-逐级计算!$P$62)*LN(10)/10),0)+LN(1+EXP(-ABS((LN(10^(逐级计算!$Q$62/10)-1)+逐级计算!$Q$62*(BJ71-逐级计算!$P$62)*LN(10)/10))))))),"")</f>
        <v>13.7930365742089</v>
      </c>
      <c r="BL71">
        <f>IF(AND(ISNUMBER(BK71),逐级计算!$X$63&gt;-1),IF(逐级计算!$X$63=0,BK71+逐级计算!$C$63,BK71+逐级计算!$C$63-(10/(逐级计算!$Q$63*LN(10))*(MAX((LN(10^(逐级计算!$Q$63/10)-1)+逐级计算!$Q$63*(BK71-逐级计算!$P$63)*LN(10)/10),0)+LN(1+EXP(-ABS((LN(10^(逐级计算!$Q$63/10)-1)+逐级计算!$Q$63*(BK71-逐级计算!$P$63)*LN(10)/10))))))),"")</f>
        <v>13.7930365742089</v>
      </c>
      <c r="BM71">
        <f>IF(AND(ISNUMBER(BL71),逐级计算!$X$64&gt;-1),IF(逐级计算!$X$64=0,BL71+逐级计算!$C$64,BL71+逐级计算!$C$64-(10/(逐级计算!$Q$64*LN(10))*(MAX((LN(10^(逐级计算!$Q$64/10)-1)+逐级计算!$Q$64*(BL71-逐级计算!$P$64)*LN(10)/10),0)+LN(1+EXP(-ABS((LN(10^(逐级计算!$Q$64/10)-1)+逐级计算!$Q$64*(BL71-逐级计算!$P$64)*LN(10)/10))))))),"")</f>
        <v>13.7930365742089</v>
      </c>
      <c r="BN71">
        <f>IF(AND(ISNUMBER(BM71),逐级计算!$X$65&gt;-1),IF(逐级计算!$X$65=0,BM71+逐级计算!$C$65,BM71+逐级计算!$C$65-(10/(逐级计算!$Q$65*LN(10))*(MAX((LN(10^(逐级计算!$Q$65/10)-1)+逐级计算!$Q$65*(BM71-逐级计算!$P$65)*LN(10)/10),0)+LN(1+EXP(-ABS((LN(10^(逐级计算!$Q$65/10)-1)+逐级计算!$Q$65*(BM71-逐级计算!$P$65)*LN(10)/10))))))),"")</f>
        <v>13.7930365742089</v>
      </c>
      <c r="BO71">
        <f>IF(AND(ISNUMBER(BN71),逐级计算!$X$66&gt;-1),IF(逐级计算!$X$66=0,BN71+逐级计算!$C$66,BN71+逐级计算!$C$66-(10/(逐级计算!$Q$66*LN(10))*(MAX((LN(10^(逐级计算!$Q$66/10)-1)+逐级计算!$Q$66*(BN71-逐级计算!$P$66)*LN(10)/10),0)+LN(1+EXP(-ABS((LN(10^(逐级计算!$Q$66/10)-1)+逐级计算!$Q$66*(BN71-逐级计算!$P$66)*LN(10)/10))))))),"")</f>
        <v>13.7930365742089</v>
      </c>
      <c r="BP71">
        <f>IF(AND(ISNUMBER(BO71),逐级计算!$X$67&gt;-1),IF(逐级计算!$X$67=0,BO71+逐级计算!$C$67,BO71+逐级计算!$C$67-(10/(逐级计算!$Q$67*LN(10))*(MAX((LN(10^(逐级计算!$Q$67/10)-1)+逐级计算!$Q$67*(BO71-逐级计算!$P$67)*LN(10)/10),0)+LN(1+EXP(-ABS((LN(10^(逐级计算!$Q$67/10)-1)+逐级计算!$Q$67*(BO71-逐级计算!$P$67)*LN(10)/10))))))),"")</f>
        <v>13.7930365742089</v>
      </c>
      <c r="BQ71">
        <f>IF(AND(ISNUMBER(BP71),逐级计算!$X$68&gt;-1),IF(逐级计算!$X$68=0,BP71+逐级计算!$C$68,BP71+逐级计算!$C$68-(10/(逐级计算!$Q$68*LN(10))*(MAX((LN(10^(逐级计算!$Q$68/10)-1)+逐级计算!$Q$68*(BP71-逐级计算!$P$68)*LN(10)/10),0)+LN(1+EXP(-ABS((LN(10^(逐级计算!$Q$68/10)-1)+逐级计算!$Q$68*(BP71-逐级计算!$P$68)*LN(10)/10))))))),"")</f>
        <v>13.7930365742089</v>
      </c>
      <c r="BR71">
        <f>IF(AND(ISNUMBER(BQ71),逐级计算!$X$69&gt;-1),IF(逐级计算!$X$69=0,BQ71+逐级计算!$C$69,BQ71+逐级计算!$C$69-(10/(逐级计算!$Q$69*LN(10))*(MAX((LN(10^(逐级计算!$Q$69/10)-1)+逐级计算!$Q$69*(BQ71-逐级计算!$P$69)*LN(10)/10),0)+LN(1+EXP(-ABS((LN(10^(逐级计算!$Q$69/10)-1)+逐级计算!$Q$69*(BQ71-逐级计算!$P$69)*LN(10)/10))))))),"")</f>
        <v>13.7930365742089</v>
      </c>
      <c r="BS71">
        <f>IF(AND(ISNUMBER(BR71),逐级计算!$X$70&gt;-1),IF(逐级计算!$X$70=0,BR71+逐级计算!$C$70,BR71+逐级计算!$C$70-(10/(逐级计算!$Q$70*LN(10))*(MAX((LN(10^(逐级计算!$Q$70/10)-1)+逐级计算!$Q$70*(BR71-逐级计算!$P$70)*LN(10)/10),0)+LN(1+EXP(-ABS((LN(10^(逐级计算!$Q$70/10)-1)+逐级计算!$Q$70*(BR71-逐级计算!$P$70)*LN(10)/10))))))),"")</f>
        <v>13.7930365742089</v>
      </c>
      <c r="BT71">
        <f>IF(AND(ISNUMBER(BS71),逐级计算!$X$71&gt;-1),IF(逐级计算!$X$71=0,BS71+逐级计算!$C$71,BS71+逐级计算!$C$71-(10/(逐级计算!$Q$71*LN(10))*(MAX((LN(10^(逐级计算!$Q$71/10)-1)+逐级计算!$Q$71*(BS71-逐级计算!$P$71)*LN(10)/10),0)+LN(1+EXP(-ABS((LN(10^(逐级计算!$Q$71/10)-1)+逐级计算!$Q$71*(BS71-逐级计算!$P$71)*LN(10)/10))))))),"")</f>
        <v>13.7930365742089</v>
      </c>
      <c r="BU71">
        <f>IF(AND(ISNUMBER(BT71),逐级计算!$X$72&gt;-1),IF(逐级计算!$X$72=0,BT71+逐级计算!$C$72,BT71+逐级计算!$C$72-(10/(逐级计算!$Q$72*LN(10))*(MAX((LN(10^(逐级计算!$Q$72/10)-1)+逐级计算!$Q$72*(BT71-逐级计算!$P$72)*LN(10)/10),0)+LN(1+EXP(-ABS((LN(10^(逐级计算!$Q$72/10)-1)+逐级计算!$Q$72*(BT71-逐级计算!$P$72)*LN(10)/10))))))),"")</f>
        <v>13.7930365742089</v>
      </c>
      <c r="BV71">
        <f>IF(AND(ISNUMBER(BU71),逐级计算!$X$73&gt;-1),IF(逐级计算!$X$73=0,BU71+逐级计算!$C$73,BU71+逐级计算!$C$73-(10/(逐级计算!$Q$73*LN(10))*(MAX((LN(10^(逐级计算!$Q$73/10)-1)+逐级计算!$Q$73*(BU71-逐级计算!$P$73)*LN(10)/10),0)+LN(1+EXP(-ABS((LN(10^(逐级计算!$Q$73/10)-1)+逐级计算!$Q$73*(BU71-逐级计算!$P$73)*LN(10)/10))))))),"")</f>
        <v>13.7930365742089</v>
      </c>
      <c r="BW71">
        <f>IF(AND(ISNUMBER(BV71),逐级计算!$X$74&gt;-1),IF(逐级计算!$X$74=0,BV71+逐级计算!$C$74,BV71+逐级计算!$C$74-(10/(逐级计算!$Q$74*LN(10))*(MAX((LN(10^(逐级计算!$Q$74/10)-1)+逐级计算!$Q$74*(BV71-逐级计算!$P$74)*LN(10)/10),0)+LN(1+EXP(-ABS((LN(10^(逐级计算!$Q$74/10)-1)+逐级计算!$Q$74*(BV71-逐级计算!$P$74)*LN(10)/10))))))),"")</f>
        <v>13.7930365742089</v>
      </c>
      <c r="BX71">
        <f>IF(AND(ISNUMBER(BW71),逐级计算!$X$75&gt;-1),IF(逐级计算!$X$75=0,BW71+逐级计算!$C$75,BW71+逐级计算!$C$75-(10/(逐级计算!$Q$75*LN(10))*(MAX((LN(10^(逐级计算!$Q$75/10)-1)+逐级计算!$Q$75*(BW71-逐级计算!$P$75)*LN(10)/10),0)+LN(1+EXP(-ABS((LN(10^(逐级计算!$Q$75/10)-1)+逐级计算!$Q$75*(BW71-逐级计算!$P$75)*LN(10)/10))))))),"")</f>
        <v>13.7930365742089</v>
      </c>
      <c r="BY71">
        <f>IF(AND(ISNUMBER(BX71),逐级计算!$X$76&gt;-1),IF(逐级计算!$X$76=0,BX71+逐级计算!$C$76,BX71+逐级计算!$C$76-(10/(逐级计算!$Q$76*LN(10))*(MAX((LN(10^(逐级计算!$Q$76/10)-1)+逐级计算!$Q$76*(BX71-逐级计算!$P$76)*LN(10)/10),0)+LN(1+EXP(-ABS((LN(10^(逐级计算!$Q$76/10)-1)+逐级计算!$Q$76*(BX71-逐级计算!$P$76)*LN(10)/10))))))),"")</f>
        <v>13.7930365742089</v>
      </c>
      <c r="BZ71">
        <f>IF(AND(ISNUMBER(BY71),逐级计算!$X$77&gt;-1),IF(逐级计算!$X$77=0,BY71+逐级计算!$C$77,BY71+逐级计算!$C$77-(10/(逐级计算!$Q$77*LN(10))*(MAX((LN(10^(逐级计算!$Q$77/10)-1)+逐级计算!$Q$77*(BY71-逐级计算!$P$77)*LN(10)/10),0)+LN(1+EXP(-ABS((LN(10^(逐级计算!$Q$77/10)-1)+逐级计算!$Q$77*(BY71-逐级计算!$P$77)*LN(10)/10))))))),"")</f>
        <v>13.7930365742089</v>
      </c>
      <c r="CA71">
        <f>IF(AND(ISNUMBER(BZ71),逐级计算!$X$78&gt;-1),IF(逐级计算!$X$78=0,BZ71+逐级计算!$C$78,BZ71+逐级计算!$C$78-(10/(逐级计算!$Q$78*LN(10))*(MAX((LN(10^(逐级计算!$Q$78/10)-1)+逐级计算!$Q$78*(BZ71-逐级计算!$P$78)*LN(10)/10),0)+LN(1+EXP(-ABS((LN(10^(逐级计算!$Q$78/10)-1)+逐级计算!$Q$78*(BZ71-逐级计算!$P$78)*LN(10)/10))))))),"")</f>
        <v>13.7930365742089</v>
      </c>
      <c r="CB71">
        <f>IF(AND(ISNUMBER(CA71),逐级计算!$X$79&gt;-1),IF(逐级计算!$X$79=0,CA71+逐级计算!$C$79,CA71+逐级计算!$C$79-(10/(逐级计算!$Q$79*LN(10))*(MAX((LN(10^(逐级计算!$Q$79/10)-1)+逐级计算!$Q$79*(CA71-逐级计算!$P$79)*LN(10)/10),0)+LN(1+EXP(-ABS((LN(10^(逐级计算!$Q$79/10)-1)+逐级计算!$Q$79*(CA71-逐级计算!$P$79)*LN(10)/10))))))),"")</f>
        <v>13.7930365742089</v>
      </c>
      <c r="CC71">
        <f>IF(AND(ISNUMBER(CB71),逐级计算!$X$80&gt;-1),IF(逐级计算!$X$80=0,CB71+逐级计算!$C$80,CB71+逐级计算!$C$80-(10/(逐级计算!$Q$80*LN(10))*(MAX((LN(10^(逐级计算!$Q$80/10)-1)+逐级计算!$Q$80*(CB71-逐级计算!$P$80)*LN(10)/10),0)+LN(1+EXP(-ABS((LN(10^(逐级计算!$Q$80/10)-1)+逐级计算!$Q$80*(CB71-逐级计算!$P$80)*LN(10)/10))))))),"")</f>
        <v>13.7930365742089</v>
      </c>
      <c r="CD71">
        <f>IF(AND(ISNUMBER(CC71),逐级计算!$X$81&gt;-1),IF(逐级计算!$X$81=0,CC71+逐级计算!$C$81,CC71+逐级计算!$C$81-(10/(逐级计算!$Q$81*LN(10))*(MAX((LN(10^(逐级计算!$Q$81/10)-1)+逐级计算!$Q$81*(CC71-逐级计算!$P$81)*LN(10)/10),0)+LN(1+EXP(-ABS((LN(10^(逐级计算!$Q$81/10)-1)+逐级计算!$Q$81*(CC71-逐级计算!$P$81)*LN(10)/10))))))),"")</f>
        <v>13.7930365742089</v>
      </c>
      <c r="CE71">
        <f>IF(AND(ISNUMBER(CD71),逐级计算!$X$82&gt;-1),IF(逐级计算!$X$82=0,CD71+逐级计算!$C$82,CD71+逐级计算!$C$82-(10/(逐级计算!$Q$82*LN(10))*(MAX((LN(10^(逐级计算!$Q$82/10)-1)+逐级计算!$Q$82*(CD71-逐级计算!$P$82)*LN(10)/10),0)+LN(1+EXP(-ABS((LN(10^(逐级计算!$Q$82/10)-1)+逐级计算!$Q$82*(CD71-逐级计算!$P$82)*LN(10)/10))))))),"")</f>
        <v>13.7930365742089</v>
      </c>
      <c r="CF71">
        <f>IF(AND(ISNUMBER(CE71),逐级计算!$X$83&gt;-1),IF(逐级计算!$X$83=0,CE71+逐级计算!$C$83,CE71+逐级计算!$C$83-(10/(逐级计算!$Q$83*LN(10))*(MAX((LN(10^(逐级计算!$Q$83/10)-1)+逐级计算!$Q$83*(CE71-逐级计算!$P$83)*LN(10)/10),0)+LN(1+EXP(-ABS((LN(10^(逐级计算!$Q$83/10)-1)+逐级计算!$Q$83*(CE71-逐级计算!$P$83)*LN(10)/10))))))),"")</f>
        <v>13.7930365742089</v>
      </c>
      <c r="CG71">
        <f>IF(AND(ISNUMBER(CF71),逐级计算!$X$84&gt;-1),IF(逐级计算!$X$84=0,CF71+逐级计算!$C$84,CF71+逐级计算!$C$84-(10/(逐级计算!$Q$84*LN(10))*(MAX((LN(10^(逐级计算!$Q$84/10)-1)+逐级计算!$Q$84*(CF71-逐级计算!$P$84)*LN(10)/10),0)+LN(1+EXP(-ABS((LN(10^(逐级计算!$Q$84/10)-1)+逐级计算!$Q$84*(CF71-逐级计算!$P$84)*LN(10)/10))))))),"")</f>
        <v>13.7930365742089</v>
      </c>
      <c r="CH71">
        <f>IF(AND(ISNUMBER(CG71),逐级计算!$X$85&gt;-1),IF(逐级计算!$X$85=0,CG71+逐级计算!$C$85,CG71+逐级计算!$C$85-(10/(逐级计算!$Q$85*LN(10))*(MAX((LN(10^(逐级计算!$Q$85/10)-1)+逐级计算!$Q$85*(CG71-逐级计算!$P$85)*LN(10)/10),0)+LN(1+EXP(-ABS((LN(10^(逐级计算!$Q$85/10)-1)+逐级计算!$Q$85*(CG71-逐级计算!$P$85)*LN(10)/10))))))),"")</f>
        <v>13.7930365742089</v>
      </c>
      <c r="CI71">
        <f>IF(AND(ISNUMBER(CH71),逐级计算!$X$86&gt;-1),IF(逐级计算!$X$86=0,CH71+逐级计算!$C$86,CH71+逐级计算!$C$86-(10/(逐级计算!$Q$86*LN(10))*(MAX((LN(10^(逐级计算!$Q$86/10)-1)+逐级计算!$Q$86*(CH71-逐级计算!$P$86)*LN(10)/10),0)+LN(1+EXP(-ABS((LN(10^(逐级计算!$Q$86/10)-1)+逐级计算!$Q$86*(CH71-逐级计算!$P$86)*LN(10)/10))))))),"")</f>
        <v>13.7930365742089</v>
      </c>
      <c r="CJ71">
        <f>IF(AND(ISNUMBER(CI71),逐级计算!$X$87&gt;-1),IF(逐级计算!$X$87=0,CI71+逐级计算!$C$87,CI71+逐级计算!$C$87-(10/(逐级计算!$Q$87*LN(10))*(MAX((LN(10^(逐级计算!$Q$87/10)-1)+逐级计算!$Q$87*(CI71-逐级计算!$P$87)*LN(10)/10),0)+LN(1+EXP(-ABS((LN(10^(逐级计算!$Q$87/10)-1)+逐级计算!$Q$87*(CI71-逐级计算!$P$87)*LN(10)/10))))))),"")</f>
        <v>13.7930365742089</v>
      </c>
      <c r="CK71">
        <f>IF(AND(ISNUMBER(CJ71),逐级计算!$X$88&gt;-1),IF(逐级计算!$X$88=0,CJ71+逐级计算!$C$88,CJ71+逐级计算!$C$88-(10/(逐级计算!$Q$88*LN(10))*(MAX((LN(10^(逐级计算!$Q$88/10)-1)+逐级计算!$Q$88*(CJ71-逐级计算!$P$88)*LN(10)/10),0)+LN(1+EXP(-ABS((LN(10^(逐级计算!$Q$88/10)-1)+逐级计算!$Q$88*(CJ71-逐级计算!$P$88)*LN(10)/10))))))),"")</f>
        <v>13.7930365742089</v>
      </c>
      <c r="CL71">
        <f>IF(AND(ISNUMBER(CK71),逐级计算!$X$89&gt;-1),IF(逐级计算!$X$89=0,CK71+逐级计算!$C$89,CK71+逐级计算!$C$89-(10/(逐级计算!$Q$89*LN(10))*(MAX((LN(10^(逐级计算!$Q$89/10)-1)+逐级计算!$Q$89*(CK71-逐级计算!$P$89)*LN(10)/10),0)+LN(1+EXP(-ABS((LN(10^(逐级计算!$Q$89/10)-1)+逐级计算!$Q$89*(CK71-逐级计算!$P$89)*LN(10)/10))))))),"")</f>
        <v>13.7930365742089</v>
      </c>
      <c r="CM71">
        <f>IF(AND(ISNUMBER(CL71),逐级计算!$X$90&gt;-1),IF(逐级计算!$X$90=0,CL71+逐级计算!$C$90,CL71+逐级计算!$C$90-(10/(逐级计算!$Q$90*LN(10))*(MAX((LN(10^(逐级计算!$Q$90/10)-1)+逐级计算!$Q$90*(CL71-逐级计算!$P$90)*LN(10)/10),0)+LN(1+EXP(-ABS((LN(10^(逐级计算!$Q$90/10)-1)+逐级计算!$Q$90*(CL71-逐级计算!$P$90)*LN(10)/10))))))),"")</f>
        <v>13.7930365742089</v>
      </c>
      <c r="CN71">
        <f>IF(AND(ISNUMBER(CM71),逐级计算!$X$91&gt;-1),IF(逐级计算!$X$91=0,CM71+逐级计算!$C$91,CM71+逐级计算!$C$91-(10/(逐级计算!$Q$91*LN(10))*(MAX((LN(10^(逐级计算!$Q$91/10)-1)+逐级计算!$Q$91*(CM71-逐级计算!$P$91)*LN(10)/10),0)+LN(1+EXP(-ABS((LN(10^(逐级计算!$Q$91/10)-1)+逐级计算!$Q$91*(CM71-逐级计算!$P$91)*LN(10)/10))))))),"")</f>
        <v>13.7930365742089</v>
      </c>
      <c r="CO71">
        <f>IF(AND(ISNUMBER(CN71),逐级计算!$X$92&gt;-1),IF(逐级计算!$X$92=0,CN71+逐级计算!$C$92,CN71+逐级计算!$C$92-(10/(逐级计算!$Q$92*LN(10))*(MAX((LN(10^(逐级计算!$Q$92/10)-1)+逐级计算!$Q$92*(CN71-逐级计算!$P$92)*LN(10)/10),0)+LN(1+EXP(-ABS((LN(10^(逐级计算!$Q$92/10)-1)+逐级计算!$Q$92*(CN71-逐级计算!$P$92)*LN(10)/10))))))),"")</f>
        <v>13.7930365742089</v>
      </c>
      <c r="CP71">
        <f>IF(AND(ISNUMBER(CO71),逐级计算!$X$93&gt;-1),IF(逐级计算!$X$93=0,CO71+逐级计算!$C$93,CO71+逐级计算!$C$93-(10/(逐级计算!$Q$93*LN(10))*(MAX((LN(10^(逐级计算!$Q$93/10)-1)+逐级计算!$Q$93*(CO71-逐级计算!$P$93)*LN(10)/10),0)+LN(1+EXP(-ABS((LN(10^(逐级计算!$Q$93/10)-1)+逐级计算!$Q$93*(CO71-逐级计算!$P$93)*LN(10)/10))))))),"")</f>
        <v>13.7930365742089</v>
      </c>
      <c r="CQ71">
        <f>IF(AND(ISNUMBER(CP71),逐级计算!$X$94&gt;-1),IF(逐级计算!$X$94=0,CP71+逐级计算!$C$94,CP71+逐级计算!$C$94-(10/(逐级计算!$Q$94*LN(10))*(MAX((LN(10^(逐级计算!$Q$94/10)-1)+逐级计算!$Q$94*(CP71-逐级计算!$P$94)*LN(10)/10),0)+LN(1+EXP(-ABS((LN(10^(逐级计算!$Q$94/10)-1)+逐级计算!$Q$94*(CP71-逐级计算!$P$94)*LN(10)/10))))))),"")</f>
        <v>13.7930365742089</v>
      </c>
      <c r="CR71">
        <f>IF(AND(ISNUMBER(CQ71),逐级计算!$X$95&gt;-1),IF(逐级计算!$X$95=0,CQ71+逐级计算!$C$95,CQ71+逐级计算!$C$95-(10/(逐级计算!$Q$95*LN(10))*(MAX((LN(10^(逐级计算!$Q$95/10)-1)+逐级计算!$Q$95*(CQ71-逐级计算!$P$95)*LN(10)/10),0)+LN(1+EXP(-ABS((LN(10^(逐级计算!$Q$95/10)-1)+逐级计算!$Q$95*(CQ71-逐级计算!$P$95)*LN(10)/10))))))),"")</f>
        <v>13.7930365742089</v>
      </c>
      <c r="CS71">
        <f>IF(AND(ISNUMBER(CR71),逐级计算!$X$96&gt;-1),IF(逐级计算!$X$96=0,CR71+逐级计算!$C$96,CR71+逐级计算!$C$96-(10/(逐级计算!$Q$96*LN(10))*(MAX((LN(10^(逐级计算!$Q$96/10)-1)+逐级计算!$Q$96*(CR71-逐级计算!$P$96)*LN(10)/10),0)+LN(1+EXP(-ABS((LN(10^(逐级计算!$Q$96/10)-1)+逐级计算!$Q$96*(CR71-逐级计算!$P$96)*LN(10)/10))))))),"")</f>
        <v>13.7930365742089</v>
      </c>
      <c r="CT71">
        <f>IF(AND(ISNUMBER(CS71),逐级计算!$X$97&gt;-1),IF(逐级计算!$X$97=0,CS71+逐级计算!$C$97,CS71+逐级计算!$C$97-(10/(逐级计算!$Q$97*LN(10))*(MAX((LN(10^(逐级计算!$Q$97/10)-1)+逐级计算!$Q$97*(CS71-逐级计算!$P$97)*LN(10)/10),0)+LN(1+EXP(-ABS((LN(10^(逐级计算!$Q$97/10)-1)+逐级计算!$Q$97*(CS71-逐级计算!$P$97)*LN(10)/10))))))),"")</f>
        <v>13.7930365742089</v>
      </c>
      <c r="CU71">
        <f>IF(AND(ISNUMBER(CT71),逐级计算!$X$98&gt;-1),IF(逐级计算!$X$98=0,CT71+逐级计算!$C$98,CT71+逐级计算!$C$98-(10/(逐级计算!$Q$98*LN(10))*(MAX((LN(10^(逐级计算!$Q$98/10)-1)+逐级计算!$Q$98*(CT71-逐级计算!$P$98)*LN(10)/10),0)+LN(1+EXP(-ABS((LN(10^(逐级计算!$Q$98/10)-1)+逐级计算!$Q$98*(CT71-逐级计算!$P$98)*LN(10)/10))))))),"")</f>
        <v>13.7930365742089</v>
      </c>
      <c r="CV71">
        <f>IF(AND(ISNUMBER(CU71),逐级计算!$X$99&gt;-1),IF(逐级计算!$X$99=0,CU71+逐级计算!$C$99,CU71+逐级计算!$C$99-(10/(逐级计算!$Q$99*LN(10))*(MAX((LN(10^(逐级计算!$Q$99/10)-1)+逐级计算!$Q$99*(CU71-逐级计算!$P$99)*LN(10)/10),0)+LN(1+EXP(-ABS((LN(10^(逐级计算!$Q$99/10)-1)+逐级计算!$Q$99*(CU71-逐级计算!$P$99)*LN(10)/10))))))),"")</f>
        <v>13.7930365742089</v>
      </c>
      <c r="CW71">
        <f>IF(AND(ISNUMBER(CV71),逐级计算!$X$100&gt;-1),IF(逐级计算!$X$100=0,CV71+逐级计算!$C$100,CV71+逐级计算!$C$100-(10/(逐级计算!$Q$100*LN(10))*(MAX((LN(10^(逐级计算!$Q$100/10)-1)+逐级计算!$Q$100*(CV71-逐级计算!$P$100)*LN(10)/10),0)+LN(1+EXP(-ABS((LN(10^(逐级计算!$Q$100/10)-1)+逐级计算!$Q$100*(CV71-逐级计算!$P$100)*LN(10)/10))))))),"")</f>
        <v>13.7930365742089</v>
      </c>
      <c r="CX71">
        <f>IF(AND(ISNUMBER(CW71),逐级计算!$X$101&gt;-1),IF(逐级计算!$X$101=0,CW71+逐级计算!$C$101,CW71+逐级计算!$C$101-(10/(逐级计算!$Q$101*LN(10))*(MAX((LN(10^(逐级计算!$Q$101/10)-1)+逐级计算!$Q$101*(CW71-逐级计算!$P$101)*LN(10)/10),0)+LN(1+EXP(-ABS((LN(10^(逐级计算!$Q$101/10)-1)+逐级计算!$Q$101*(CW71-逐级计算!$P$101)*LN(10)/10))))))),"")</f>
        <v>13.7930365742089</v>
      </c>
      <c r="CY71">
        <f>IF(AND(ISNUMBER(CX71),逐级计算!$X$102&gt;-1),IF(逐级计算!$X$102=0,CX71+逐级计算!$C$102,CX71+逐级计算!$C$102-(10/(逐级计算!$Q$102*LN(10))*(MAX((LN(10^(逐级计算!$Q$102/10)-1)+逐级计算!$Q$102*(CX71-逐级计算!$P$102)*LN(10)/10),0)+LN(1+EXP(-ABS((LN(10^(逐级计算!$Q$102/10)-1)+逐级计算!$Q$102*(CX71-逐级计算!$P$102)*LN(10)/10))))))),"")</f>
        <v>13.7930365742089</v>
      </c>
      <c r="CZ71">
        <f>IF(AND(ISNUMBER(CY71),逐级计算!$X$103&gt;-1),IF(逐级计算!$X$103=0,CY71+逐级计算!$C$103,CY71+逐级计算!$C$103-(10/(逐级计算!$Q$103*LN(10))*(MAX((LN(10^(逐级计算!$Q$103/10)-1)+逐级计算!$Q$103*(CY71-逐级计算!$P$103)*LN(10)/10),0)+LN(1+EXP(-ABS((LN(10^(逐级计算!$Q$103/10)-1)+逐级计算!$Q$103*(CY71-逐级计算!$P$103)*LN(10)/10))))))),"")</f>
        <v>13.7930365742089</v>
      </c>
      <c r="DA71">
        <f>IF(AND(ISNUMBER(CZ71),逐级计算!$X$104&gt;-1),IF(逐级计算!$X$104=0,CZ71+逐级计算!$C$104,CZ71+逐级计算!$C$104-(10/(逐级计算!$Q$104*LN(10))*(MAX((LN(10^(逐级计算!$Q$104/10)-1)+逐级计算!$Q$104*(CZ71-逐级计算!$P$104)*LN(10)/10),0)+LN(1+EXP(-ABS((LN(10^(逐级计算!$Q$104/10)-1)+逐级计算!$Q$104*(CZ71-逐级计算!$P$104)*LN(10)/10))))))),"")</f>
        <v>13.7930365742089</v>
      </c>
      <c r="DB71">
        <f>IF(AND(ISNUMBER(DA71),逐级计算!$X$105&gt;-1),IF(逐级计算!$X$105=0,DA71+逐级计算!$C$105,DA71+逐级计算!$C$105-(10/(逐级计算!$Q$105*LN(10))*(MAX((LN(10^(逐级计算!$Q$105/10)-1)+逐级计算!$Q$105*(DA71-逐级计算!$P$105)*LN(10)/10),0)+LN(1+EXP(-ABS((LN(10^(逐级计算!$Q$105/10)-1)+逐级计算!$Q$105*(DA71-逐级计算!$P$105)*LN(10)/10))))))),"")</f>
        <v>13.7930365742089</v>
      </c>
      <c r="DC71">
        <f>IF(AND(ISNUMBER(DB71),逐级计算!$X$106&gt;-1),IF(逐级计算!$X$106=0,DB71+逐级计算!$C$106,DB71+逐级计算!$C$106-(10/(逐级计算!$Q$106*LN(10))*(MAX((LN(10^(逐级计算!$Q$106/10)-1)+逐级计算!$Q$106*(DB71-逐级计算!$P$106)*LN(10)/10),0)+LN(1+EXP(-ABS((LN(10^(逐级计算!$Q$106/10)-1)+逐级计算!$Q$106*(DB71-逐级计算!$P$106)*LN(10)/10))))))),"")</f>
        <v>13.7930365742089</v>
      </c>
      <c r="DD71">
        <f>IF(AND(ISNUMBER(DC71),逐级计算!$X$107&gt;-1),IF(逐级计算!$X$107=0,DC71+逐级计算!$C$107,DC71+逐级计算!$C$107-(10/(逐级计算!$Q$107*LN(10))*(MAX((LN(10^(逐级计算!$Q$107/10)-1)+逐级计算!$Q$107*(DC71-逐级计算!$P$107)*LN(10)/10),0)+LN(1+EXP(-ABS((LN(10^(逐级计算!$Q$107/10)-1)+逐级计算!$Q$107*(DC71-逐级计算!$P$107)*LN(10)/10))))))),"")</f>
        <v>13.7930365742089</v>
      </c>
      <c r="DE71">
        <f>IF(AND(ISNUMBER(DD71),逐级计算!$X$108&gt;-1),IF(逐级计算!$X$108=0,DD71+逐级计算!$C$108,DD71+逐级计算!$C$108-(10/(逐级计算!$Q$108*LN(10))*(MAX((LN(10^(逐级计算!$Q$108/10)-1)+逐级计算!$Q$108*(DD71-逐级计算!$P$108)*LN(10)/10),0)+LN(1+EXP(-ABS((LN(10^(逐级计算!$Q$108/10)-1)+逐级计算!$Q$108*(DD71-逐级计算!$P$108)*LN(10)/10))))))),"")</f>
        <v>13.7930365742089</v>
      </c>
      <c r="DF71">
        <f>IF(AND(ISNUMBER(DE71),逐级计算!$X$109&gt;-1),IF(逐级计算!$X$109=0,DE71+逐级计算!$C$109,DE71+逐级计算!$C$109-(10/(逐级计算!$Q$109*LN(10))*(MAX((LN(10^(逐级计算!$Q$109/10)-1)+逐级计算!$Q$109*(DE71-逐级计算!$P$109)*LN(10)/10),0)+LN(1+EXP(-ABS((LN(10^(逐级计算!$Q$109/10)-1)+逐级计算!$Q$109*(DE71-逐级计算!$P$109)*LN(10)/10))))))),"")</f>
        <v>13.7930365742089</v>
      </c>
      <c r="DG71">
        <f>IF(AND(ISNUMBER(DF71),逐级计算!$X$110&gt;-1),IF(逐级计算!$X$110=0,DF71+逐级计算!$C$110,DF71+逐级计算!$C$110-(10/(逐级计算!$Q$110*LN(10))*(MAX((LN(10^(逐级计算!$Q$110/10)-1)+逐级计算!$Q$110*(DF71-逐级计算!$P$110)*LN(10)/10),0)+LN(1+EXP(-ABS((LN(10^(逐级计算!$Q$110/10)-1)+逐级计算!$Q$110*(DF71-逐级计算!$P$110)*LN(10)/10))))))),"")</f>
        <v>13.7930365742089</v>
      </c>
      <c r="DH71">
        <f>IF(AND(ISNUMBER(DG71),逐级计算!$X$111&gt;-1),IF(逐级计算!$X$111=0,DG71+逐级计算!$C$111,DG71+逐级计算!$C$111-(10/(逐级计算!$Q$111*LN(10))*(MAX((LN(10^(逐级计算!$Q$111/10)-1)+逐级计算!$Q$111*(DG71-逐级计算!$P$111)*LN(10)/10),0)+LN(1+EXP(-ABS((LN(10^(逐级计算!$Q$111/10)-1)+逐级计算!$Q$111*(DG71-逐级计算!$P$111)*LN(10)/10))))))),"")</f>
        <v>13.7930365742089</v>
      </c>
      <c r="DI71">
        <f>IF(AND(ISNUMBER(DH71),逐级计算!$X$112&gt;-1),IF(逐级计算!$X$112=0,DH71+逐级计算!$C$112,DH71+逐级计算!$C$112-(10/(逐级计算!$Q$112*LN(10))*(MAX((LN(10^(逐级计算!$Q$112/10)-1)+逐级计算!$Q$112*(DH71-逐级计算!$P$112)*LN(10)/10),0)+LN(1+EXP(-ABS((LN(10^(逐级计算!$Q$112/10)-1)+逐级计算!$Q$112*(DH71-逐级计算!$P$112)*LN(10)/10))))))),"")</f>
        <v>13.7930365742089</v>
      </c>
      <c r="DJ71">
        <f>IF(AND(ISNUMBER(DI71),逐级计算!$X$113&gt;-1),IF(逐级计算!$X$113=0,DI71+逐级计算!$C$113,DI71+逐级计算!$C$113-(10/(逐级计算!$Q$113*LN(10))*(MAX((LN(10^(逐级计算!$Q$113/10)-1)+逐级计算!$Q$113*(DI71-逐级计算!$P$113)*LN(10)/10),0)+LN(1+EXP(-ABS((LN(10^(逐级计算!$Q$113/10)-1)+逐级计算!$Q$113*(DI71-逐级计算!$P$113)*LN(10)/10))))))),"")</f>
        <v>13.7930365742089</v>
      </c>
      <c r="DK71">
        <f>IF(AND(ISNUMBER(DJ71),逐级计算!$X$114&gt;-1),IF(逐级计算!$X$114=0,DJ71+逐级计算!$C$114,DJ71+逐级计算!$C$114-(10/(逐级计算!$Q$114*LN(10))*(MAX((LN(10^(逐级计算!$Q$114/10)-1)+逐级计算!$Q$114*(DJ71-逐级计算!$P$114)*LN(10)/10),0)+LN(1+EXP(-ABS((LN(10^(逐级计算!$Q$114/10)-1)+逐级计算!$Q$114*(DJ71-逐级计算!$P$114)*LN(10)/10))))))),"")</f>
        <v>13.7930365742089</v>
      </c>
      <c r="DL71">
        <f>IF(AND(ISNUMBER(DK71),逐级计算!$X$115&gt;-1),IF(逐级计算!$X$115=0,DK71+逐级计算!$C$115,DK71+逐级计算!$C$115-(10/(逐级计算!$Q$115*LN(10))*(MAX((LN(10^(逐级计算!$Q$115/10)-1)+逐级计算!$Q$115*(DK71-逐级计算!$P$115)*LN(10)/10),0)+LN(1+EXP(-ABS((LN(10^(逐级计算!$Q$115/10)-1)+逐级计算!$Q$115*(DK71-逐级计算!$P$115)*LN(10)/10))))))),"")</f>
        <v>13.7930365742089</v>
      </c>
      <c r="DM71">
        <f>IF(AND(ISNUMBER(DL71),逐级计算!$X$116&gt;-1),IF(逐级计算!$X$116=0,DL71+逐级计算!$C$116,DL71+逐级计算!$C$116-(10/(逐级计算!$Q$116*LN(10))*(MAX((LN(10^(逐级计算!$Q$116/10)-1)+逐级计算!$Q$116*(DL71-逐级计算!$P$116)*LN(10)/10),0)+LN(1+EXP(-ABS((LN(10^(逐级计算!$Q$116/10)-1)+逐级计算!$Q$116*(DL71-逐级计算!$P$116)*LN(10)/10))))))),"")</f>
        <v>13.7930365742089</v>
      </c>
      <c r="DN71">
        <f>IF(AND(ISNUMBER(DM71),逐级计算!$X$117&gt;-1),IF(逐级计算!$X$117=0,DM71+逐级计算!$C$117,DM71+逐级计算!$C$117-(10/(逐级计算!$Q$117*LN(10))*(MAX((LN(10^(逐级计算!$Q$117/10)-1)+逐级计算!$Q$117*(DM71-逐级计算!$P$117)*LN(10)/10),0)+LN(1+EXP(-ABS((LN(10^(逐级计算!$Q$117/10)-1)+逐级计算!$Q$117*(DM71-逐级计算!$P$117)*LN(10)/10))))))),"")</f>
        <v>13.7930365742089</v>
      </c>
      <c r="DO71">
        <f>IF(AND(ISNUMBER(DN71),逐级计算!$X$118&gt;-1),IF(逐级计算!$X$118=0,DN71+逐级计算!$C$118,DN71+逐级计算!$C$118-(10/(逐级计算!$Q$118*LN(10))*(MAX((LN(10^(逐级计算!$Q$118/10)-1)+逐级计算!$Q$118*(DN71-逐级计算!$P$118)*LN(10)/10),0)+LN(1+EXP(-ABS((LN(10^(逐级计算!$Q$118/10)-1)+逐级计算!$Q$118*(DN71-逐级计算!$P$118)*LN(10)/10))))))),"")</f>
        <v>13.7930365742089</v>
      </c>
      <c r="DP71">
        <f>IF(AND(ISNUMBER(DO71),逐级计算!$X$119&gt;-1),IF(逐级计算!$X$119=0,DO71+逐级计算!$C$119,DO71+逐级计算!$C$119-(10/(逐级计算!$Q$119*LN(10))*(MAX((LN(10^(逐级计算!$Q$119/10)-1)+逐级计算!$Q$119*(DO71-逐级计算!$P$119)*LN(10)/10),0)+LN(1+EXP(-ABS((LN(10^(逐级计算!$Q$119/10)-1)+逐级计算!$Q$119*(DO71-逐级计算!$P$119)*LN(10)/10))))))),"")</f>
        <v>13.7930365742089</v>
      </c>
      <c r="DQ71">
        <f>IF(AND(ISNUMBER(DP71),逐级计算!$X$120&gt;-1),IF(逐级计算!$X$120=0,DP71+逐级计算!$C$120,DP71+逐级计算!$C$120-(10/(逐级计算!$Q$120*LN(10))*(MAX((LN(10^(逐级计算!$Q$120/10)-1)+逐级计算!$Q$120*(DP71-逐级计算!$P$120)*LN(10)/10),0)+LN(1+EXP(-ABS((LN(10^(逐级计算!$Q$120/10)-1)+逐级计算!$Q$120*(DP71-逐级计算!$P$120)*LN(10)/10))))))),"")</f>
        <v>13.7930365742089</v>
      </c>
      <c r="DR71">
        <f>IF(AND(ISNUMBER(DQ71),逐级计算!$X$121&gt;-1),IF(逐级计算!$X$121=0,DQ71+逐级计算!$C$121,DQ71+逐级计算!$C$121-(10/(逐级计算!$Q$121*LN(10))*(MAX((LN(10^(逐级计算!$Q$121/10)-1)+逐级计算!$Q$121*(DQ71-逐级计算!$P$121)*LN(10)/10),0)+LN(1+EXP(-ABS((LN(10^(逐级计算!$Q$121/10)-1)+逐级计算!$Q$121*(DQ71-逐级计算!$P$121)*LN(10)/10))))))),"")</f>
        <v>13.7930365742089</v>
      </c>
      <c r="DS71">
        <f>IF(AND(ISNUMBER(DR71),逐级计算!$X$122&gt;-1),IF(逐级计算!$X$122=0,DR71+逐级计算!$C$122,DR71+逐级计算!$C$122-(10/(逐级计算!$Q$122*LN(10))*(MAX((LN(10^(逐级计算!$Q$122/10)-1)+逐级计算!$Q$122*(DR71-逐级计算!$P$122)*LN(10)/10),0)+LN(1+EXP(-ABS((LN(10^(逐级计算!$Q$122/10)-1)+逐级计算!$Q$122*(DR71-逐级计算!$P$122)*LN(10)/10))))))),"")</f>
        <v>13.7930365742089</v>
      </c>
      <c r="DT71">
        <f>IF(AND(ISNUMBER(DS71),逐级计算!$X$123&gt;-1),IF(逐级计算!$X$123=0,DS71+逐级计算!$C$123,DS71+逐级计算!$C$123-(10/(逐级计算!$Q$123*LN(10))*(MAX((LN(10^(逐级计算!$Q$123/10)-1)+逐级计算!$Q$123*(DS71-逐级计算!$P$123)*LN(10)/10),0)+LN(1+EXP(-ABS((LN(10^(逐级计算!$Q$123/10)-1)+逐级计算!$Q$123*(DS71-逐级计算!$P$123)*LN(10)/10))))))),"")</f>
        <v>13.7930365742089</v>
      </c>
      <c r="DU71">
        <f>IF(AND(ISNUMBER(DT71),逐级计算!$X$124&gt;-1),IF(逐级计算!$X$124=0,DT71+逐级计算!$C$124,DT71+逐级计算!$C$124-(10/(逐级计算!$Q$124*LN(10))*(MAX((LN(10^(逐级计算!$Q$124/10)-1)+逐级计算!$Q$124*(DT71-逐级计算!$P$124)*LN(10)/10),0)+LN(1+EXP(-ABS((LN(10^(逐级计算!$Q$124/10)-1)+逐级计算!$Q$124*(DT71-逐级计算!$P$124)*LN(10)/10))))))),"")</f>
        <v>13.7930365742089</v>
      </c>
      <c r="DV71">
        <f>IF(AND(ISNUMBER(DU71),逐级计算!$X$125&gt;-1),IF(逐级计算!$X$125=0,DU71+逐级计算!$C$125,DU71+逐级计算!$C$125-(10/(逐级计算!$Q$125*LN(10))*(MAX((LN(10^(逐级计算!$Q$125/10)-1)+逐级计算!$Q$125*(DU71-逐级计算!$P$125)*LN(10)/10),0)+LN(1+EXP(-ABS((LN(10^(逐级计算!$Q$125/10)-1)+逐级计算!$Q$125*(DU71-逐级计算!$P$125)*LN(10)/10))))))),"")</f>
        <v>13.7930365742089</v>
      </c>
      <c r="DW71">
        <f>IF(AND(ISNUMBER(DV71),逐级计算!$X$126&gt;-1),IF(逐级计算!$X$126=0,DV71+逐级计算!$C$126,DV71+逐级计算!$C$126-(10/(逐级计算!$Q$126*LN(10))*(MAX((LN(10^(逐级计算!$Q$126/10)-1)+逐级计算!$Q$126*(DV71-逐级计算!$P$126)*LN(10)/10),0)+LN(1+EXP(-ABS((LN(10^(逐级计算!$Q$126/10)-1)+逐级计算!$Q$126*(DV71-逐级计算!$P$126)*LN(10)/10))))))),"")</f>
        <v>13.7930365742089</v>
      </c>
      <c r="DX71">
        <f>IF(AND(ISNUMBER(DW71),逐级计算!$X$127&gt;-1),IF(逐级计算!$X$127=0,DW71+逐级计算!$C$127,DW71+逐级计算!$C$127-(10/(逐级计算!$Q$127*LN(10))*(MAX((LN(10^(逐级计算!$Q$127/10)-1)+逐级计算!$Q$127*(DW71-逐级计算!$P$127)*LN(10)/10),0)+LN(1+EXP(-ABS((LN(10^(逐级计算!$Q$127/10)-1)+逐级计算!$Q$127*(DW71-逐级计算!$P$127)*LN(10)/10))))))),"")</f>
        <v>13.7930365742089</v>
      </c>
      <c r="DY71">
        <f>IF(AND(ISNUMBER(DX71),逐级计算!$X$128&gt;-1),IF(逐级计算!$X$128=0,DX71+逐级计算!$C$128,DX71+逐级计算!$C$128-(10/(逐级计算!$Q$128*LN(10))*(MAX((LN(10^(逐级计算!$Q$128/10)-1)+逐级计算!$Q$128*(DX71-逐级计算!$P$128)*LN(10)/10),0)+LN(1+EXP(-ABS((LN(10^(逐级计算!$Q$128/10)-1)+逐级计算!$Q$128*(DX71-逐级计算!$P$128)*LN(10)/10))))))),"")</f>
        <v>13.7930365742089</v>
      </c>
      <c r="DZ71">
        <f>IF(AND(ISNUMBER(DY71),逐级计算!$X$129&gt;-1),IF(逐级计算!$X$129=0,DY71+逐级计算!$C$129,DY71+逐级计算!$C$129-(10/(逐级计算!$Q$129*LN(10))*(MAX((LN(10^(逐级计算!$Q$129/10)-1)+逐级计算!$Q$129*(DY71-逐级计算!$P$129)*LN(10)/10),0)+LN(1+EXP(-ABS((LN(10^(逐级计算!$Q$129/10)-1)+逐级计算!$Q$129*(DY71-逐级计算!$P$129)*LN(10)/10))))))),"")</f>
        <v>13.7930365742089</v>
      </c>
      <c r="EA71">
        <f>IF(AND(ISNUMBER(DZ71),逐级计算!$X$130&gt;-1),IF(逐级计算!$X$130=0,DZ71+逐级计算!$C$130,DZ71+逐级计算!$C$130-(10/(逐级计算!$Q$130*LN(10))*(MAX((LN(10^(逐级计算!$Q$130/10)-1)+逐级计算!$Q$130*(DZ71-逐级计算!$P$130)*LN(10)/10),0)+LN(1+EXP(-ABS((LN(10^(逐级计算!$Q$130/10)-1)+逐级计算!$Q$130*(DZ71-逐级计算!$P$130)*LN(10)/10))))))),"")</f>
        <v>13.7930365742089</v>
      </c>
      <c r="EB71">
        <f>IF(AND(ISNUMBER(EA71),逐级计算!$X$131&gt;-1),IF(逐级计算!$X$131=0,EA71+逐级计算!$C$131,EA71+逐级计算!$C$131-(10/(逐级计算!$Q$131*LN(10))*(MAX((LN(10^(逐级计算!$Q$131/10)-1)+逐级计算!$Q$131*(EA71-逐级计算!$P$131)*LN(10)/10),0)+LN(1+EXP(-ABS((LN(10^(逐级计算!$Q$131/10)-1)+逐级计算!$Q$131*(EA71-逐级计算!$P$131)*LN(10)/10))))))),"")</f>
        <v>13.7930365742089</v>
      </c>
      <c r="EC71">
        <f>IF(AND(ISNUMBER(EB71),逐级计算!$X$132&gt;-1),IF(逐级计算!$X$132=0,EB71+逐级计算!$C$132,EB71+逐级计算!$C$132-(10/(逐级计算!$Q$132*LN(10))*(MAX((LN(10^(逐级计算!$Q$132/10)-1)+逐级计算!$Q$132*(EB71-逐级计算!$P$132)*LN(10)/10),0)+LN(1+EXP(-ABS((LN(10^(逐级计算!$Q$132/10)-1)+逐级计算!$Q$132*(EB71-逐级计算!$P$132)*LN(10)/10))))))),"")</f>
        <v>13.7930365742089</v>
      </c>
      <c r="ED71">
        <f>IF(AND(ISNUMBER(EC71),逐级计算!$X$133&gt;-1),IF(逐级计算!$X$133=0,EC71+逐级计算!$C$133,EC71+逐级计算!$C$133-(10/(逐级计算!$Q$133*LN(10))*(MAX((LN(10^(逐级计算!$Q$133/10)-1)+逐级计算!$Q$133*(EC71-逐级计算!$P$133)*LN(10)/10),0)+LN(1+EXP(-ABS((LN(10^(逐级计算!$Q$133/10)-1)+逐级计算!$Q$133*(EC71-逐级计算!$P$133)*LN(10)/10))))))),"")</f>
        <v>13.7930365742089</v>
      </c>
      <c r="EE71">
        <f>IF(AND(ISNUMBER(ED71),逐级计算!$X$134&gt;-1),IF(逐级计算!$X$134=0,ED71+逐级计算!$C$134,ED71+逐级计算!$C$134-(10/(逐级计算!$Q$134*LN(10))*(MAX((LN(10^(逐级计算!$Q$134/10)-1)+逐级计算!$Q$134*(ED71-逐级计算!$P$134)*LN(10)/10),0)+LN(1+EXP(-ABS((LN(10^(逐级计算!$Q$134/10)-1)+逐级计算!$Q$134*(ED71-逐级计算!$P$134)*LN(10)/10))))))),"")</f>
        <v>13.7930365742089</v>
      </c>
      <c r="EF71">
        <f>IF(AND(ISNUMBER(EE71),逐级计算!$X$135&gt;-1),IF(逐级计算!$X$135=0,EE71+逐级计算!$C$135,EE71+逐级计算!$C$135-(10/(逐级计算!$Q$135*LN(10))*(MAX((LN(10^(逐级计算!$Q$135/10)-1)+逐级计算!$Q$135*(EE71-逐级计算!$P$135)*LN(10)/10),0)+LN(1+EXP(-ABS((LN(10^(逐级计算!$Q$135/10)-1)+逐级计算!$Q$135*(EE71-逐级计算!$P$135)*LN(10)/10))))))),"")</f>
        <v>13.7930365742089</v>
      </c>
      <c r="EG71">
        <f>IF(AND(ISNUMBER(EF71),逐级计算!$X$136&gt;-1),IF(逐级计算!$X$136=0,EF71+逐级计算!$C$136,EF71+逐级计算!$C$136-(10/(逐级计算!$Q$136*LN(10))*(MAX((LN(10^(逐级计算!$Q$136/10)-1)+逐级计算!$Q$136*(EF71-逐级计算!$P$136)*LN(10)/10),0)+LN(1+EXP(-ABS((LN(10^(逐级计算!$Q$136/10)-1)+逐级计算!$Q$136*(EF71-逐级计算!$P$136)*LN(10)/10))))))),"")</f>
        <v>13.7930365742089</v>
      </c>
      <c r="EH71">
        <f>IF(AND(ISNUMBER(EG71),逐级计算!$X$137&gt;-1),IF(逐级计算!$X$137=0,EG71+逐级计算!$C$137,EG71+逐级计算!$C$137-(10/(逐级计算!$Q$137*LN(10))*(MAX((LN(10^(逐级计算!$Q$137/10)-1)+逐级计算!$Q$137*(EG71-逐级计算!$P$137)*LN(10)/10),0)+LN(1+EXP(-ABS((LN(10^(逐级计算!$Q$137/10)-1)+逐级计算!$Q$137*(EG71-逐级计算!$P$137)*LN(10)/10))))))),"")</f>
        <v>13.7930365742089</v>
      </c>
      <c r="EI71">
        <f>IF(AND(ISNUMBER(EH71),逐级计算!$X$138&gt;-1),IF(逐级计算!$X$138=0,EH71+逐级计算!$C$138,EH71+逐级计算!$C$138-(10/(逐级计算!$Q$138*LN(10))*(MAX((LN(10^(逐级计算!$Q$138/10)-1)+逐级计算!$Q$138*(EH71-逐级计算!$P$138)*LN(10)/10),0)+LN(1+EXP(-ABS((LN(10^(逐级计算!$Q$138/10)-1)+逐级计算!$Q$138*(EH71-逐级计算!$P$138)*LN(10)/10))))))),"")</f>
        <v>13.7930365742089</v>
      </c>
      <c r="EJ71">
        <f>IF(AND(ISNUMBER(EI71),逐级计算!$X$139&gt;-1),IF(逐级计算!$X$139=0,EI71+逐级计算!$C$139,EI71+逐级计算!$C$139-(10/(逐级计算!$Q$139*LN(10))*(MAX((LN(10^(逐级计算!$Q$139/10)-1)+逐级计算!$Q$139*(EI71-逐级计算!$P$139)*LN(10)/10),0)+LN(1+EXP(-ABS((LN(10^(逐级计算!$Q$139/10)-1)+逐级计算!$Q$139*(EI71-逐级计算!$P$139)*LN(10)/10))))))),"")</f>
        <v>13.7930365742089</v>
      </c>
      <c r="EK71">
        <f>IF(AND(ISNUMBER(EJ71),逐级计算!$X$140&gt;-1),IF(逐级计算!$X$140=0,EJ71+逐级计算!$C$140,EJ71+逐级计算!$C$140-(10/(逐级计算!$Q$140*LN(10))*(MAX((LN(10^(逐级计算!$Q$140/10)-1)+逐级计算!$Q$140*(EJ71-逐级计算!$P$140)*LN(10)/10),0)+LN(1+EXP(-ABS((LN(10^(逐级计算!$Q$140/10)-1)+逐级计算!$Q$140*(EJ71-逐级计算!$P$140)*LN(10)/10))))))),"")</f>
        <v>13.7930365742089</v>
      </c>
      <c r="EL71">
        <f>IF(AND(ISNUMBER(EK71),逐级计算!$X$141&gt;-1),IF(逐级计算!$X$141=0,EK71+逐级计算!$C$141,EK71+逐级计算!$C$141-(10/(逐级计算!$Q$141*LN(10))*(MAX((LN(10^(逐级计算!$Q$141/10)-1)+逐级计算!$Q$141*(EK71-逐级计算!$P$141)*LN(10)/10),0)+LN(1+EXP(-ABS((LN(10^(逐级计算!$Q$141/10)-1)+逐级计算!$Q$141*(EK71-逐级计算!$P$141)*LN(10)/10))))))),"")</f>
        <v>13.7930365742089</v>
      </c>
      <c r="EM71">
        <f>IF(AND(ISNUMBER(EL71),逐级计算!$X$142&gt;-1),IF(逐级计算!$X$142=0,EL71+逐级计算!$C$142,EL71+逐级计算!$C$142-(10/(逐级计算!$Q$142*LN(10))*(MAX((LN(10^(逐级计算!$Q$142/10)-1)+逐级计算!$Q$142*(EL71-逐级计算!$P$142)*LN(10)/10),0)+LN(1+EXP(-ABS((LN(10^(逐级计算!$Q$142/10)-1)+逐级计算!$Q$142*(EL71-逐级计算!$P$142)*LN(10)/10))))))),"")</f>
        <v>13.7930365742089</v>
      </c>
      <c r="EN71">
        <f>IF(AND(ISNUMBER(EM71),逐级计算!$X$143&gt;-1),IF(逐级计算!$X$143=0,EM71+逐级计算!$C$143,EM71+逐级计算!$C$143-(10/(逐级计算!$Q$143*LN(10))*(MAX((LN(10^(逐级计算!$Q$143/10)-1)+逐级计算!$Q$143*(EM71-逐级计算!$P$143)*LN(10)/10),0)+LN(1+EXP(-ABS((LN(10^(逐级计算!$Q$143/10)-1)+逐级计算!$Q$143*(EM71-逐级计算!$P$143)*LN(10)/10))))))),"")</f>
        <v>13.7930365742089</v>
      </c>
      <c r="EO71">
        <f>IF(AND(ISNUMBER(EN71),逐级计算!$X$144&gt;-1),IF(逐级计算!$X$144=0,EN71+逐级计算!$C$144,EN71+逐级计算!$C$144-(10/(逐级计算!$Q$144*LN(10))*(MAX((LN(10^(逐级计算!$Q$144/10)-1)+逐级计算!$Q$144*(EN71-逐级计算!$P$144)*LN(10)/10),0)+LN(1+EXP(-ABS((LN(10^(逐级计算!$Q$144/10)-1)+逐级计算!$Q$144*(EN71-逐级计算!$P$144)*LN(10)/10))))))),"")</f>
        <v>13.7930365742089</v>
      </c>
      <c r="EP71">
        <f>IF(AND(ISNUMBER(EO71),逐级计算!$X$145&gt;-1),IF(逐级计算!$X$145=0,EO71+逐级计算!$C$145,EO71+逐级计算!$C$145-(10/(逐级计算!$Q$145*LN(10))*(MAX((LN(10^(逐级计算!$Q$145/10)-1)+逐级计算!$Q$145*(EO71-逐级计算!$P$145)*LN(10)/10),0)+LN(1+EXP(-ABS((LN(10^(逐级计算!$Q$145/10)-1)+逐级计算!$Q$145*(EO71-逐级计算!$P$145)*LN(10)/10))))))),"")</f>
        <v>13.7930365742089</v>
      </c>
      <c r="EQ71">
        <f>IF(AND(ISNUMBER(EP71),逐级计算!$X$146&gt;-1),IF(逐级计算!$X$146=0,EP71+逐级计算!$C$146,EP71+逐级计算!$C$146-(10/(逐级计算!$Q$146*LN(10))*(MAX((LN(10^(逐级计算!$Q$146/10)-1)+逐级计算!$Q$146*(EP71-逐级计算!$P$146)*LN(10)/10),0)+LN(1+EXP(-ABS((LN(10^(逐级计算!$Q$146/10)-1)+逐级计算!$Q$146*(EP71-逐级计算!$P$146)*LN(10)/10))))))),"")</f>
        <v>13.7930365742089</v>
      </c>
      <c r="ER71">
        <f>IF(AND(ISNUMBER(EQ71),逐级计算!$X$147&gt;-1),IF(逐级计算!$X$147=0,EQ71+逐级计算!$C$147,EQ71+逐级计算!$C$147-(10/(逐级计算!$Q$147*LN(10))*(MAX((LN(10^(逐级计算!$Q$147/10)-1)+逐级计算!$Q$147*(EQ71-逐级计算!$P$147)*LN(10)/10),0)+LN(1+EXP(-ABS((LN(10^(逐级计算!$Q$147/10)-1)+逐级计算!$Q$147*(EQ71-逐级计算!$P$147)*LN(10)/10))))))),"")</f>
        <v>13.7930365742089</v>
      </c>
      <c r="ES71">
        <f>IF(AND(ISNUMBER(ER71),逐级计算!$X$148&gt;-1),IF(逐级计算!$X$148=0,ER71+逐级计算!$C$148,ER71+逐级计算!$C$148-(10/(逐级计算!$Q$148*LN(10))*(MAX((LN(10^(逐级计算!$Q$148/10)-1)+逐级计算!$Q$148*(ER71-逐级计算!$P$148)*LN(10)/10),0)+LN(1+EXP(-ABS((LN(10^(逐级计算!$Q$148/10)-1)+逐级计算!$Q$148*(ER71-逐级计算!$P$148)*LN(10)/10))))))),"")</f>
        <v>13.7930365742089</v>
      </c>
      <c r="ET71">
        <f>IF(AND(ISNUMBER(ES71),逐级计算!$X$149&gt;-1),IF(逐级计算!$X$149=0,ES71+逐级计算!$C$149,ES71+逐级计算!$C$149-(10/(逐级计算!$Q$149*LN(10))*(MAX((LN(10^(逐级计算!$Q$149/10)-1)+逐级计算!$Q$149*(ES71-逐级计算!$P$149)*LN(10)/10),0)+LN(1+EXP(-ABS((LN(10^(逐级计算!$Q$149/10)-1)+逐级计算!$Q$149*(ES71-逐级计算!$P$149)*LN(10)/10))))))),"")</f>
        <v>13.7930365742089</v>
      </c>
      <c r="EU71">
        <f>IF(AND(ISNUMBER(ET71),逐级计算!$X$150&gt;-1),IF(逐级计算!$X$150=0,ET71+逐级计算!$C$150,ET71+逐级计算!$C$150-(10/(逐级计算!$Q$150*LN(10))*(MAX((LN(10^(逐级计算!$Q$150/10)-1)+逐级计算!$Q$150*(ET71-逐级计算!$P$150)*LN(10)/10),0)+LN(1+EXP(-ABS((LN(10^(逐级计算!$Q$150/10)-1)+逐级计算!$Q$150*(ET71-逐级计算!$P$150)*LN(10)/10))))))),"")</f>
        <v>13.7930365742089</v>
      </c>
      <c r="EV71">
        <f>IF(AND(ISNUMBER(EU71),逐级计算!$X$151&gt;-1),IF(逐级计算!$X$151=0,EU71+逐级计算!$C$151,EU71+逐级计算!$C$151-(10/(逐级计算!$Q$151*LN(10))*(MAX((LN(10^(逐级计算!$Q$151/10)-1)+逐级计算!$Q$151*(EU71-逐级计算!$P$151)*LN(10)/10),0)+LN(1+EXP(-ABS((LN(10^(逐级计算!$Q$151/10)-1)+逐级计算!$Q$151*(EU71-逐级计算!$P$151)*LN(10)/10))))))),"")</f>
        <v>13.7930365742089</v>
      </c>
      <c r="EW71">
        <f>IF(AND(ISNUMBER(EV71),逐级计算!$X$152&gt;-1),IF(逐级计算!$X$152=0,EV71+逐级计算!$C$152,EV71+逐级计算!$C$152-(10/(逐级计算!$Q$152*LN(10))*(MAX((LN(10^(逐级计算!$Q$152/10)-1)+逐级计算!$Q$152*(EV71-逐级计算!$P$152)*LN(10)/10),0)+LN(1+EXP(-ABS((LN(10^(逐级计算!$Q$152/10)-1)+逐级计算!$Q$152*(EV71-逐级计算!$P$152)*LN(10)/10))))))),"")</f>
        <v>13.7930365742089</v>
      </c>
      <c r="EX71">
        <f>IF(AND(ISNUMBER(EW71),逐级计算!$X$153&gt;-1),IF(逐级计算!$X$153=0,EW71+逐级计算!$C$153,EW71+逐级计算!$C$153-(10/(逐级计算!$Q$153*LN(10))*(MAX((LN(10^(逐级计算!$Q$153/10)-1)+逐级计算!$Q$153*(EW71-逐级计算!$P$153)*LN(10)/10),0)+LN(1+EXP(-ABS((LN(10^(逐级计算!$Q$153/10)-1)+逐级计算!$Q$153*(EW71-逐级计算!$P$153)*LN(10)/10))))))),"")</f>
        <v>13.7930365742089</v>
      </c>
      <c r="EY71">
        <f>IF(AND(ISNUMBER(EX71),逐级计算!$X$154&gt;-1),IF(逐级计算!$X$154=0,EX71+逐级计算!$C$154,EX71+逐级计算!$C$154-(10/(逐级计算!$Q$154*LN(10))*(MAX((LN(10^(逐级计算!$Q$154/10)-1)+逐级计算!$Q$154*(EX71-逐级计算!$P$154)*LN(10)/10),0)+LN(1+EXP(-ABS((LN(10^(逐级计算!$Q$154/10)-1)+逐级计算!$Q$154*(EX71-逐级计算!$P$154)*LN(10)/10))))))),"")</f>
        <v>13.7930365742089</v>
      </c>
      <c r="EZ71">
        <f>IF(AND(ISNUMBER(EY71),逐级计算!$X$155&gt;-1),IF(逐级计算!$X$155=0,EY71+逐级计算!$C$155,EY71+逐级计算!$C$155-(10/(逐级计算!$Q$155*LN(10))*(MAX((LN(10^(逐级计算!$Q$155/10)-1)+逐级计算!$Q$155*(EY71-逐级计算!$P$155)*LN(10)/10),0)+LN(1+EXP(-ABS((LN(10^(逐级计算!$Q$155/10)-1)+逐级计算!$Q$155*(EY71-逐级计算!$P$155)*LN(10)/10))))))),"")</f>
        <v>13.7930365742089</v>
      </c>
      <c r="FA71">
        <f>IF(AND(ISNUMBER(EZ71),逐级计算!$X$156&gt;-1),IF(逐级计算!$X$156=0,EZ71+逐级计算!$C$156,EZ71+逐级计算!$C$156-(10/(逐级计算!$Q$156*LN(10))*(MAX((LN(10^(逐级计算!$Q$156/10)-1)+逐级计算!$Q$156*(EZ71-逐级计算!$P$156)*LN(10)/10),0)+LN(1+EXP(-ABS((LN(10^(逐级计算!$Q$156/10)-1)+逐级计算!$Q$156*(EZ71-逐级计算!$P$156)*LN(10)/10))))))),"")</f>
        <v>13.7930365742089</v>
      </c>
      <c r="FB71">
        <f>IF(AND(ISNUMBER(FA71),逐级计算!$X$157&gt;-1),IF(逐级计算!$X$157=0,FA71+逐级计算!$C$157,FA71+逐级计算!$C$157-(10/(逐级计算!$Q$157*LN(10))*(MAX((LN(10^(逐级计算!$Q$157/10)-1)+逐级计算!$Q$157*(FA71-逐级计算!$P$157)*LN(10)/10),0)+LN(1+EXP(-ABS((LN(10^(逐级计算!$Q$157/10)-1)+逐级计算!$Q$157*(FA71-逐级计算!$P$157)*LN(10)/10))))))),"")</f>
        <v>13.7930365742089</v>
      </c>
      <c r="FC71">
        <f>IF(AND(ISNUMBER(FB71),逐级计算!$X$158&gt;-1),IF(逐级计算!$X$158=0,FB71+逐级计算!$C$158,FB71+逐级计算!$C$158-(10/(逐级计算!$Q$158*LN(10))*(MAX((LN(10^(逐级计算!$Q$158/10)-1)+逐级计算!$Q$158*(FB71-逐级计算!$P$158)*LN(10)/10),0)+LN(1+EXP(-ABS((LN(10^(逐级计算!$Q$158/10)-1)+逐级计算!$Q$158*(FB71-逐级计算!$P$158)*LN(10)/10))))))),"")</f>
        <v>13.7930365742089</v>
      </c>
      <c r="FD71">
        <f>IF(AND(ISNUMBER(FC71),逐级计算!$X$159&gt;-1),IF(逐级计算!$X$159=0,FC71+逐级计算!$C$159,FC71+逐级计算!$C$159-(10/(逐级计算!$Q$159*LN(10))*(MAX((LN(10^(逐级计算!$Q$159/10)-1)+逐级计算!$Q$159*(FC71-逐级计算!$P$159)*LN(10)/10),0)+LN(1+EXP(-ABS((LN(10^(逐级计算!$Q$159/10)-1)+逐级计算!$Q$159*(FC71-逐级计算!$P$159)*LN(10)/10))))))),"")</f>
        <v>13.7930365742089</v>
      </c>
      <c r="FE71">
        <f>IF(AND(ISNUMBER(FD71),逐级计算!$X$160&gt;-1),IF(逐级计算!$X$160=0,FD71+逐级计算!$C$160,FD71+逐级计算!$C$160-(10/(逐级计算!$Q$160*LN(10))*(MAX((LN(10^(逐级计算!$Q$160/10)-1)+逐级计算!$Q$160*(FD71-逐级计算!$P$160)*LN(10)/10),0)+LN(1+EXP(-ABS((LN(10^(逐级计算!$Q$160/10)-1)+逐级计算!$Q$160*(FD71-逐级计算!$P$160)*LN(10)/10))))))),"")</f>
        <v>13.7930365742089</v>
      </c>
      <c r="FF71">
        <f>IF(AND(ISNUMBER(FE71),逐级计算!$X$161&gt;-1),IF(逐级计算!$X$161=0,FE71+逐级计算!$C$161,FE71+逐级计算!$C$161-(10/(逐级计算!$Q$161*LN(10))*(MAX((LN(10^(逐级计算!$Q$161/10)-1)+逐级计算!$Q$161*(FE71-逐级计算!$P$161)*LN(10)/10),0)+LN(1+EXP(-ABS((LN(10^(逐级计算!$Q$161/10)-1)+逐级计算!$Q$161*(FE71-逐级计算!$P$161)*LN(10)/10))))))),"")</f>
        <v>13.7930365742089</v>
      </c>
      <c r="FG71">
        <f>IF(AND(ISNUMBER(FF71),逐级计算!$X$162&gt;-1),IF(逐级计算!$X$162=0,FF71+逐级计算!$C$162,FF71+逐级计算!$C$162-(10/(逐级计算!$Q$162*LN(10))*(MAX((LN(10^(逐级计算!$Q$162/10)-1)+逐级计算!$Q$162*(FF71-逐级计算!$P$162)*LN(10)/10),0)+LN(1+EXP(-ABS((LN(10^(逐级计算!$Q$162/10)-1)+逐级计算!$Q$162*(FF71-逐级计算!$P$162)*LN(10)/10))))))),"")</f>
        <v>13.7930365742089</v>
      </c>
      <c r="FH71">
        <f>IF(AND(ISNUMBER(FG71),逐级计算!$X$163&gt;-1),IF(逐级计算!$X$163=0,FG71+逐级计算!$C$163,FG71+逐级计算!$C$163-(10/(逐级计算!$Q$163*LN(10))*(MAX((LN(10^(逐级计算!$Q$163/10)-1)+逐级计算!$Q$163*(FG71-逐级计算!$P$163)*LN(10)/10),0)+LN(1+EXP(-ABS((LN(10^(逐级计算!$Q$163/10)-1)+逐级计算!$Q$163*(FG71-逐级计算!$P$163)*LN(10)/10))))))),"")</f>
        <v>13.7930365742089</v>
      </c>
      <c r="FI71">
        <f>IF(AND(ISNUMBER(FH71),逐级计算!$X$164&gt;-1),IF(逐级计算!$X$164=0,FH71+逐级计算!$C$164,FH71+逐级计算!$C$164-(10/(逐级计算!$Q$164*LN(10))*(MAX((LN(10^(逐级计算!$Q$164/10)-1)+逐级计算!$Q$164*(FH71-逐级计算!$P$164)*LN(10)/10),0)+LN(1+EXP(-ABS((LN(10^(逐级计算!$Q$164/10)-1)+逐级计算!$Q$164*(FH71-逐级计算!$P$164)*LN(10)/10))))))),"")</f>
        <v>13.7930365742089</v>
      </c>
      <c r="FJ71">
        <f>IF(AND(ISNUMBER(FI71),逐级计算!$X$165&gt;-1),IF(逐级计算!$X$165=0,FI71+逐级计算!$C$165,FI71+逐级计算!$C$165-(10/(逐级计算!$Q$165*LN(10))*(MAX((LN(10^(逐级计算!$Q$165/10)-1)+逐级计算!$Q$165*(FI71-逐级计算!$P$165)*LN(10)/10),0)+LN(1+EXP(-ABS((LN(10^(逐级计算!$Q$165/10)-1)+逐级计算!$Q$165*(FI71-逐级计算!$P$165)*LN(10)/10))))))),"")</f>
        <v>13.7930365742089</v>
      </c>
      <c r="FK71">
        <f>IF(AND(ISNUMBER(FJ71),逐级计算!$X$166&gt;-1),IF(逐级计算!$X$166=0,FJ71+逐级计算!$C$166,FJ71+逐级计算!$C$166-(10/(逐级计算!$Q$166*LN(10))*(MAX((LN(10^(逐级计算!$Q$166/10)-1)+逐级计算!$Q$166*(FJ71-逐级计算!$P$166)*LN(10)/10),0)+LN(1+EXP(-ABS((LN(10^(逐级计算!$Q$166/10)-1)+逐级计算!$Q$166*(FJ71-逐级计算!$P$166)*LN(10)/10))))))),"")</f>
        <v>13.7930365742089</v>
      </c>
      <c r="FL71">
        <f>IF(AND(ISNUMBER(FK71),逐级计算!$X$167&gt;-1),IF(逐级计算!$X$167=0,FK71+逐级计算!$C$167,FK71+逐级计算!$C$167-(10/(逐级计算!$Q$167*LN(10))*(MAX((LN(10^(逐级计算!$Q$167/10)-1)+逐级计算!$Q$167*(FK71-逐级计算!$P$167)*LN(10)/10),0)+LN(1+EXP(-ABS((LN(10^(逐级计算!$Q$167/10)-1)+逐级计算!$Q$167*(FK71-逐级计算!$P$167)*LN(10)/10))))))),"")</f>
        <v>13.7930365742089</v>
      </c>
      <c r="FM71">
        <f>IF(AND(ISNUMBER(FL71),逐级计算!$X$168&gt;-1),IF(逐级计算!$X$168=0,FL71+逐级计算!$C$168,FL71+逐级计算!$C$168-(10/(逐级计算!$Q$168*LN(10))*(MAX((LN(10^(逐级计算!$Q$168/10)-1)+逐级计算!$Q$168*(FL71-逐级计算!$P$168)*LN(10)/10),0)+LN(1+EXP(-ABS((LN(10^(逐级计算!$Q$168/10)-1)+逐级计算!$Q$168*(FL71-逐级计算!$P$168)*LN(10)/10))))))),"")</f>
        <v>13.7930365742089</v>
      </c>
      <c r="FN71">
        <f>IF(AND(ISNUMBER(FM71),逐级计算!$X$169&gt;-1),IF(逐级计算!$X$169=0,FM71+逐级计算!$C$169,FM71+逐级计算!$C$169-(10/(逐级计算!$Q$169*LN(10))*(MAX((LN(10^(逐级计算!$Q$169/10)-1)+逐级计算!$Q$169*(FM71-逐级计算!$P$169)*LN(10)/10),0)+LN(1+EXP(-ABS((LN(10^(逐级计算!$Q$169/10)-1)+逐级计算!$Q$169*(FM71-逐级计算!$P$169)*LN(10)/10))))))),"")</f>
        <v>13.7930365742089</v>
      </c>
      <c r="FO71">
        <f>IF(AND(ISNUMBER(FN71),逐级计算!$X$170&gt;-1),IF(逐级计算!$X$170=0,FN71+逐级计算!$C$170,FN71+逐级计算!$C$170-(10/(逐级计算!$Q$170*LN(10))*(MAX((LN(10^(逐级计算!$Q$170/10)-1)+逐级计算!$Q$170*(FN71-逐级计算!$P$170)*LN(10)/10),0)+LN(1+EXP(-ABS((LN(10^(逐级计算!$Q$170/10)-1)+逐级计算!$Q$170*(FN71-逐级计算!$P$170)*LN(10)/10))))))),"")</f>
        <v>13.7930365742089</v>
      </c>
      <c r="FP71">
        <f>IF(AND(ISNUMBER(FO71),逐级计算!$X$171&gt;-1),IF(逐级计算!$X$171=0,FO71+逐级计算!$C$171,FO71+逐级计算!$C$171-(10/(逐级计算!$Q$171*LN(10))*(MAX((LN(10^(逐级计算!$Q$171/10)-1)+逐级计算!$Q$171*(FO71-逐级计算!$P$171)*LN(10)/10),0)+LN(1+EXP(-ABS((LN(10^(逐级计算!$Q$171/10)-1)+逐级计算!$Q$171*(FO71-逐级计算!$P$171)*LN(10)/10))))))),"")</f>
        <v>13.7930365742089</v>
      </c>
      <c r="FQ71">
        <f>IF(AND(ISNUMBER(FP71),逐级计算!$X$172&gt;-1),IF(逐级计算!$X$172=0,FP71+逐级计算!$C$172,FP71+逐级计算!$C$172-(10/(逐级计算!$Q$172*LN(10))*(MAX((LN(10^(逐级计算!$Q$172/10)-1)+逐级计算!$Q$172*(FP71-逐级计算!$P$172)*LN(10)/10),0)+LN(1+EXP(-ABS((LN(10^(逐级计算!$Q$172/10)-1)+逐级计算!$Q$172*(FP71-逐级计算!$P$172)*LN(10)/10))))))),"")</f>
        <v>13.7930365742089</v>
      </c>
      <c r="FR71">
        <f>IF(AND(ISNUMBER(FQ71),逐级计算!$X$173&gt;-1),IF(逐级计算!$X$173=0,FQ71+逐级计算!$C$173,FQ71+逐级计算!$C$173-(10/(逐级计算!$Q$173*LN(10))*(MAX((LN(10^(逐级计算!$Q$173/10)-1)+逐级计算!$Q$173*(FQ71-逐级计算!$P$173)*LN(10)/10),0)+LN(1+EXP(-ABS((LN(10^(逐级计算!$Q$173/10)-1)+逐级计算!$Q$173*(FQ71-逐级计算!$P$173)*LN(10)/10))))))),"")</f>
        <v>13.7930365742089</v>
      </c>
      <c r="FS71">
        <f>IF(AND(ISNUMBER(FR71),逐级计算!$X$174&gt;-1),IF(逐级计算!$X$174=0,FR71+逐级计算!$C$174,FR71+逐级计算!$C$174-(10/(逐级计算!$Q$174*LN(10))*(MAX((LN(10^(逐级计算!$Q$174/10)-1)+逐级计算!$Q$174*(FR71-逐级计算!$P$174)*LN(10)/10),0)+LN(1+EXP(-ABS((LN(10^(逐级计算!$Q$174/10)-1)+逐级计算!$Q$174*(FR71-逐级计算!$P$174)*LN(10)/10))))))),"")</f>
        <v>13.7930365742089</v>
      </c>
      <c r="FT71">
        <f>IF(AND(ISNUMBER(FS71),逐级计算!$X$175&gt;-1),IF(逐级计算!$X$175=0,FS71+逐级计算!$C$175,FS71+逐级计算!$C$175-(10/(逐级计算!$Q$175*LN(10))*(MAX((LN(10^(逐级计算!$Q$175/10)-1)+逐级计算!$Q$175*(FS71-逐级计算!$P$175)*LN(10)/10),0)+LN(1+EXP(-ABS((LN(10^(逐级计算!$Q$175/10)-1)+逐级计算!$Q$175*(FS71-逐级计算!$P$175)*LN(10)/10))))))),"")</f>
        <v>13.7930365742089</v>
      </c>
      <c r="FU71">
        <f>IF(AND(ISNUMBER(FT71),逐级计算!$X$176&gt;-1),IF(逐级计算!$X$176=0,FT71+逐级计算!$C$176,FT71+逐级计算!$C$176-(10/(逐级计算!$Q$176*LN(10))*(MAX((LN(10^(逐级计算!$Q$176/10)-1)+逐级计算!$Q$176*(FT71-逐级计算!$P$176)*LN(10)/10),0)+LN(1+EXP(-ABS((LN(10^(逐级计算!$Q$176/10)-1)+逐级计算!$Q$176*(FT71-逐级计算!$P$176)*LN(10)/10))))))),"")</f>
        <v>13.7930365742089</v>
      </c>
      <c r="FV71">
        <f>IF(AND(ISNUMBER(FU71),逐级计算!$X$177&gt;-1),IF(逐级计算!$X$177=0,FU71+逐级计算!$C$177,FU71+逐级计算!$C$177-(10/(逐级计算!$Q$177*LN(10))*(MAX((LN(10^(逐级计算!$Q$177/10)-1)+逐级计算!$Q$177*(FU71-逐级计算!$P$177)*LN(10)/10),0)+LN(1+EXP(-ABS((LN(10^(逐级计算!$Q$177/10)-1)+逐级计算!$Q$177*(FU71-逐级计算!$P$177)*LN(10)/10))))))),"")</f>
        <v>13.7930365742089</v>
      </c>
      <c r="FW71">
        <f>IF(AND(ISNUMBER(FV71),逐级计算!$X$178&gt;-1),IF(逐级计算!$X$178=0,FV71+逐级计算!$C$178,FV71+逐级计算!$C$178-(10/(逐级计算!$Q$178*LN(10))*(MAX((LN(10^(逐级计算!$Q$178/10)-1)+逐级计算!$Q$178*(FV71-逐级计算!$P$178)*LN(10)/10),0)+LN(1+EXP(-ABS((LN(10^(逐级计算!$Q$178/10)-1)+逐级计算!$Q$178*(FV71-逐级计算!$P$178)*LN(10)/10))))))),"")</f>
        <v>13.7930365742089</v>
      </c>
      <c r="FX71">
        <f>IF(AND(ISNUMBER(FW71),逐级计算!$X$179&gt;-1),IF(逐级计算!$X$179=0,FW71+逐级计算!$C$179,FW71+逐级计算!$C$179-(10/(逐级计算!$Q$179*LN(10))*(MAX((LN(10^(逐级计算!$Q$179/10)-1)+逐级计算!$Q$179*(FW71-逐级计算!$P$179)*LN(10)/10),0)+LN(1+EXP(-ABS((LN(10^(逐级计算!$Q$179/10)-1)+逐级计算!$Q$179*(FW71-逐级计算!$P$179)*LN(10)/10))))))),"")</f>
        <v>13.7930365742089</v>
      </c>
      <c r="FY71">
        <f>IF(AND(ISNUMBER(FX71),逐级计算!$X$180&gt;-1),IF(逐级计算!$X$180=0,FX71+逐级计算!$C$180,FX71+逐级计算!$C$180-(10/(逐级计算!$Q$180*LN(10))*(MAX((LN(10^(逐级计算!$Q$180/10)-1)+逐级计算!$Q$180*(FX71-逐级计算!$P$180)*LN(10)/10),0)+LN(1+EXP(-ABS((LN(10^(逐级计算!$Q$180/10)-1)+逐级计算!$Q$180*(FX71-逐级计算!$P$180)*LN(10)/10))))))),"")</f>
        <v>13.7930365742089</v>
      </c>
      <c r="FZ71">
        <f>IF(AND(ISNUMBER(FY71),逐级计算!$X$181&gt;-1),IF(逐级计算!$X$181=0,FY71+逐级计算!$C$181,FY71+逐级计算!$C$181-(10/(逐级计算!$Q$181*LN(10))*(MAX((LN(10^(逐级计算!$Q$181/10)-1)+逐级计算!$Q$181*(FY71-逐级计算!$P$181)*LN(10)/10),0)+LN(1+EXP(-ABS((LN(10^(逐级计算!$Q$181/10)-1)+逐级计算!$Q$181*(FY71-逐级计算!$P$181)*LN(10)/10))))))),"")</f>
        <v>13.7930365742089</v>
      </c>
      <c r="GA71">
        <f>IF(AND(ISNUMBER(FZ71),逐级计算!$X$182&gt;-1),IF(逐级计算!$X$182=0,FZ71+逐级计算!$C$182,FZ71+逐级计算!$C$182-(10/(逐级计算!$Q$182*LN(10))*(MAX((LN(10^(逐级计算!$Q$182/10)-1)+逐级计算!$Q$182*(FZ71-逐级计算!$P$182)*LN(10)/10),0)+LN(1+EXP(-ABS((LN(10^(逐级计算!$Q$182/10)-1)+逐级计算!$Q$182*(FZ71-逐级计算!$P$182)*LN(10)/10))))))),"")</f>
        <v>13.7930365742089</v>
      </c>
      <c r="GB71">
        <f>IF(AND(ISNUMBER(GA71),逐级计算!$X$183&gt;-1),IF(逐级计算!$X$183=0,GA71+逐级计算!$C$183,GA71+逐级计算!$C$183-(10/(逐级计算!$Q$183*LN(10))*(MAX((LN(10^(逐级计算!$Q$183/10)-1)+逐级计算!$Q$183*(GA71-逐级计算!$P$183)*LN(10)/10),0)+LN(1+EXP(-ABS((LN(10^(逐级计算!$Q$183/10)-1)+逐级计算!$Q$183*(GA71-逐级计算!$P$183)*LN(10)/10))))))),"")</f>
        <v>13.7930365742089</v>
      </c>
      <c r="GC71">
        <f>IF(AND(ISNUMBER(GB71),逐级计算!$X$184&gt;-1),IF(逐级计算!$X$184=0,GB71+逐级计算!$C$184,GB71+逐级计算!$C$184-(10/(逐级计算!$Q$184*LN(10))*(MAX((LN(10^(逐级计算!$Q$184/10)-1)+逐级计算!$Q$184*(GB71-逐级计算!$P$184)*LN(10)/10),0)+LN(1+EXP(-ABS((LN(10^(逐级计算!$Q$184/10)-1)+逐级计算!$Q$184*(GB71-逐级计算!$P$184)*LN(10)/10))))))),"")</f>
        <v>13.7930365742089</v>
      </c>
      <c r="GD71">
        <f>IF(AND(ISNUMBER(GC71),逐级计算!$X$185&gt;-1),IF(逐级计算!$X$185=0,GC71+逐级计算!$C$185,GC71+逐级计算!$C$185-(10/(逐级计算!$Q$185*LN(10))*(MAX((LN(10^(逐级计算!$Q$185/10)-1)+逐级计算!$Q$185*(GC71-逐级计算!$P$185)*LN(10)/10),0)+LN(1+EXP(-ABS((LN(10^(逐级计算!$Q$185/10)-1)+逐级计算!$Q$185*(GC71-逐级计算!$P$185)*LN(10)/10))))))),"")</f>
        <v>13.7930365742089</v>
      </c>
      <c r="GE71">
        <f>IF(AND(ISNUMBER(GD71),逐级计算!$X$186&gt;-1),IF(逐级计算!$X$186=0,GD71+逐级计算!$C$186,GD71+逐级计算!$C$186-(10/(逐级计算!$Q$186*LN(10))*(MAX((LN(10^(逐级计算!$Q$186/10)-1)+逐级计算!$Q$186*(GD71-逐级计算!$P$186)*LN(10)/10),0)+LN(1+EXP(-ABS((LN(10^(逐级计算!$Q$186/10)-1)+逐级计算!$Q$186*(GD71-逐级计算!$P$186)*LN(10)/10))))))),"")</f>
        <v>13.7930365742089</v>
      </c>
      <c r="GF71">
        <f>IF(AND(ISNUMBER(GE71),逐级计算!$X$187&gt;-1),IF(逐级计算!$X$187=0,GE71+逐级计算!$C$187,GE71+逐级计算!$C$187-(10/(逐级计算!$Q$187*LN(10))*(MAX((LN(10^(逐级计算!$Q$187/10)-1)+逐级计算!$Q$187*(GE71-逐级计算!$P$187)*LN(10)/10),0)+LN(1+EXP(-ABS((LN(10^(逐级计算!$Q$187/10)-1)+逐级计算!$Q$187*(GE71-逐级计算!$P$187)*LN(10)/10))))))),"")</f>
        <v>13.7930365742089</v>
      </c>
      <c r="GG71">
        <f>IF(AND(ISNUMBER(GF71),逐级计算!$X$188&gt;-1),IF(逐级计算!$X$188=0,GF71+逐级计算!$C$188,GF71+逐级计算!$C$188-(10/(逐级计算!$Q$188*LN(10))*(MAX((LN(10^(逐级计算!$Q$188/10)-1)+逐级计算!$Q$188*(GF71-逐级计算!$P$188)*LN(10)/10),0)+LN(1+EXP(-ABS((LN(10^(逐级计算!$Q$188/10)-1)+逐级计算!$Q$188*(GF71-逐级计算!$P$188)*LN(10)/10))))))),"")</f>
        <v>13.7930365742089</v>
      </c>
      <c r="GH71">
        <f>IF(AND(ISNUMBER(GG71),逐级计算!$X$189&gt;-1),IF(逐级计算!$X$189=0,GG71+逐级计算!$C$189,GG71+逐级计算!$C$189-(10/(逐级计算!$Q$189*LN(10))*(MAX((LN(10^(逐级计算!$Q$189/10)-1)+逐级计算!$Q$189*(GG71-逐级计算!$P$189)*LN(10)/10),0)+LN(1+EXP(-ABS((LN(10^(逐级计算!$Q$189/10)-1)+逐级计算!$Q$189*(GG71-逐级计算!$P$189)*LN(10)/10))))))),"")</f>
        <v>13.7930365742089</v>
      </c>
      <c r="GI71">
        <f>IF(AND(ISNUMBER(GH71),逐级计算!$X$190&gt;-1),IF(逐级计算!$X$190=0,GH71+逐级计算!$C$190,GH71+逐级计算!$C$190-(10/(逐级计算!$Q$190*LN(10))*(MAX((LN(10^(逐级计算!$Q$190/10)-1)+逐级计算!$Q$190*(GH71-逐级计算!$P$190)*LN(10)/10),0)+LN(1+EXP(-ABS((LN(10^(逐级计算!$Q$190/10)-1)+逐级计算!$Q$190*(GH71-逐级计算!$P$190)*LN(10)/10))))))),"")</f>
        <v>13.7930365742089</v>
      </c>
      <c r="GJ71">
        <f>IF(AND(ISNUMBER(GI71),逐级计算!$X$191&gt;-1),IF(逐级计算!$X$191=0,GI71+逐级计算!$C$191,GI71+逐级计算!$C$191-(10/(逐级计算!$Q$191*LN(10))*(MAX((LN(10^(逐级计算!$Q$191/10)-1)+逐级计算!$Q$191*(GI71-逐级计算!$P$191)*LN(10)/10),0)+LN(1+EXP(-ABS((LN(10^(逐级计算!$Q$191/10)-1)+逐级计算!$Q$191*(GI71-逐级计算!$P$191)*LN(10)/10))))))),"")</f>
        <v>13.7930365742089</v>
      </c>
      <c r="GK71">
        <f>IF(AND(ISNUMBER(GJ71),逐级计算!$X$192&gt;-1),IF(逐级计算!$X$192=0,GJ71+逐级计算!$C$192,GJ71+逐级计算!$C$192-(10/(逐级计算!$Q$192*LN(10))*(MAX((LN(10^(逐级计算!$Q$192/10)-1)+逐级计算!$Q$192*(GJ71-逐级计算!$P$192)*LN(10)/10),0)+LN(1+EXP(-ABS((LN(10^(逐级计算!$Q$192/10)-1)+逐级计算!$Q$192*(GJ71-逐级计算!$P$192)*LN(10)/10))))))),"")</f>
        <v>13.7930365742089</v>
      </c>
      <c r="GL71">
        <f>IF(AND(ISNUMBER(GK71),逐级计算!$X$193&gt;-1),IF(逐级计算!$X$193=0,GK71+逐级计算!$C$193,GK71+逐级计算!$C$193-(10/(逐级计算!$Q$193*LN(10))*(MAX((LN(10^(逐级计算!$Q$193/10)-1)+逐级计算!$Q$193*(GK71-逐级计算!$P$193)*LN(10)/10),0)+LN(1+EXP(-ABS((LN(10^(逐级计算!$Q$193/10)-1)+逐级计算!$Q$193*(GK71-逐级计算!$P$193)*LN(10)/10))))))),"")</f>
        <v>13.7930365742089</v>
      </c>
      <c r="GM71">
        <f>IF(AND(ISNUMBER(GL71),逐级计算!$X$194&gt;-1),IF(逐级计算!$X$194=0,GL71+逐级计算!$C$194,GL71+逐级计算!$C$194-(10/(逐级计算!$Q$194*LN(10))*(MAX((LN(10^(逐级计算!$Q$194/10)-1)+逐级计算!$Q$194*(GL71-逐级计算!$P$194)*LN(10)/10),0)+LN(1+EXP(-ABS((LN(10^(逐级计算!$Q$194/10)-1)+逐级计算!$Q$194*(GL71-逐级计算!$P$194)*LN(10)/10))))))),"")</f>
        <v>13.7930365742089</v>
      </c>
      <c r="GN71">
        <f>IF(AND(ISNUMBER(GM71),逐级计算!$X$195&gt;-1),IF(逐级计算!$X$195=0,GM71+逐级计算!$C$195,GM71+逐级计算!$C$195-(10/(逐级计算!$Q$195*LN(10))*(MAX((LN(10^(逐级计算!$Q$195/10)-1)+逐级计算!$Q$195*(GM71-逐级计算!$P$195)*LN(10)/10),0)+LN(1+EXP(-ABS((LN(10^(逐级计算!$Q$195/10)-1)+逐级计算!$Q$195*(GM71-逐级计算!$P$195)*LN(10)/10))))))),"")</f>
        <v>13.7930365742089</v>
      </c>
      <c r="GO71">
        <f>IF(AND(ISNUMBER(GN71),逐级计算!$X$196&gt;-1),IF(逐级计算!$X$196=0,GN71+逐级计算!$C$196,GN71+逐级计算!$C$196-(10/(逐级计算!$Q$196*LN(10))*(MAX((LN(10^(逐级计算!$Q$196/10)-1)+逐级计算!$Q$196*(GN71-逐级计算!$P$196)*LN(10)/10),0)+LN(1+EXP(-ABS((LN(10^(逐级计算!$Q$196/10)-1)+逐级计算!$Q$196*(GN71-逐级计算!$P$196)*LN(10)/10))))))),"")</f>
        <v>13.7930365742089</v>
      </c>
      <c r="GP71">
        <f>IF(AND(ISNUMBER(GO71),逐级计算!$X$197&gt;-1),IF(逐级计算!$X$197=0,GO71+逐级计算!$C$197,GO71+逐级计算!$C$197-(10/(逐级计算!$Q$197*LN(10))*(MAX((LN(10^(逐级计算!$Q$197/10)-1)+逐级计算!$Q$197*(GO71-逐级计算!$P$197)*LN(10)/10),0)+LN(1+EXP(-ABS((LN(10^(逐级计算!$Q$197/10)-1)+逐级计算!$Q$197*(GO71-逐级计算!$P$197)*LN(10)/10))))))),"")</f>
        <v>13.7930365742089</v>
      </c>
      <c r="GQ71">
        <f>IF(AND(ISNUMBER(GP71),逐级计算!$X$198&gt;-1),IF(逐级计算!$X$198=0,GP71+逐级计算!$C$198,GP71+逐级计算!$C$198-(10/(逐级计算!$Q$198*LN(10))*(MAX((LN(10^(逐级计算!$Q$198/10)-1)+逐级计算!$Q$198*(GP71-逐级计算!$P$198)*LN(10)/10),0)+LN(1+EXP(-ABS((LN(10^(逐级计算!$Q$198/10)-1)+逐级计算!$Q$198*(GP71-逐级计算!$P$198)*LN(10)/10))))))),"")</f>
        <v>13.7930365742089</v>
      </c>
      <c r="GR71">
        <f>IF(AND(ISNUMBER(GQ71),逐级计算!$X$199&gt;-1),IF(逐级计算!$X$199=0,GQ71+逐级计算!$C$199,GQ71+逐级计算!$C$199-(10/(逐级计算!$Q$199*LN(10))*(MAX((LN(10^(逐级计算!$Q$199/10)-1)+逐级计算!$Q$199*(GQ71-逐级计算!$P$199)*LN(10)/10),0)+LN(1+EXP(-ABS((LN(10^(逐级计算!$Q$199/10)-1)+逐级计算!$Q$199*(GQ71-逐级计算!$P$199)*LN(10)/10))))))),"")</f>
        <v>13.7930365742089</v>
      </c>
      <c r="GS71">
        <f>IF(AND(ISNUMBER(GR71),逐级计算!$X$200&gt;-1),IF(逐级计算!$X$200=0,GR71+逐级计算!$C$200,GR71+逐级计算!$C$200-(10/(逐级计算!$Q$200*LN(10))*(MAX((LN(10^(逐级计算!$Q$200/10)-1)+逐级计算!$Q$200*(GR71-逐级计算!$P$200)*LN(10)/10),0)+LN(1+EXP(-ABS((LN(10^(逐级计算!$Q$200/10)-1)+逐级计算!$Q$200*(GR71-逐级计算!$P$200)*LN(10)/10))))))),"")</f>
        <v>13.7930365742089</v>
      </c>
      <c r="GT71">
        <f>IF(AND(ISNUMBER(GS71),逐级计算!$X$201&gt;-1),IF(逐级计算!$X$201=0,GS71+逐级计算!$C$201,GS71+逐级计算!$C$201-(10/(逐级计算!$Q$201*LN(10))*(MAX((LN(10^(逐级计算!$Q$201/10)-1)+逐级计算!$Q$201*(GS71-逐级计算!$P$201)*LN(10)/10),0)+LN(1+EXP(-ABS((LN(10^(逐级计算!$Q$201/10)-1)+逐级计算!$Q$201*(GS71-逐级计算!$P$201)*LN(10)/10))))))),"")</f>
        <v>13.7930365742089</v>
      </c>
      <c r="GU71">
        <f>IF(AND(ISNUMBER(GT71),逐级计算!$X$202&gt;-1),IF(逐级计算!$X$202=0,GT71+逐级计算!$C$202,GT71+逐级计算!$C$202-(10/(逐级计算!$Q$202*LN(10))*(MAX((LN(10^(逐级计算!$Q$202/10)-1)+逐级计算!$Q$202*(GT71-逐级计算!$P$202)*LN(10)/10),0)+LN(1+EXP(-ABS((LN(10^(逐级计算!$Q$202/10)-1)+逐级计算!$Q$202*(GT71-逐级计算!$P$202)*LN(10)/10))))))),"")</f>
        <v>13.7930365742089</v>
      </c>
      <c r="GV71">
        <f>IF(AND(ISNUMBER(GU71),逐级计算!$X$203&gt;-1),IF(逐级计算!$X$203=0,GU71+逐级计算!$C$203,GU71+逐级计算!$C$203-(10/(逐级计算!$Q$203*LN(10))*(MAX((LN(10^(逐级计算!$Q$203/10)-1)+逐级计算!$Q$203*(GU71-逐级计算!$P$203)*LN(10)/10),0)+LN(1+EXP(-ABS((LN(10^(逐级计算!$Q$203/10)-1)+逐级计算!$Q$203*(GU71-逐级计算!$P$203)*LN(10)/10))))))),"")</f>
        <v>13.7930365742089</v>
      </c>
      <c r="GW71">
        <f t="shared" si="2"/>
        <v>-5.20696342579112</v>
      </c>
    </row>
    <row r="72" spans="1:205">
      <c r="A72">
        <v>65</v>
      </c>
      <c r="B72">
        <f t="shared" si="1"/>
        <v>-5.20696342579112</v>
      </c>
      <c r="C72">
        <f t="shared" ref="C72:C87" si="3">IF(AND(ISNUMBER(B72),ISNUMBER(GW72)),(B72+GW72)/2,"")</f>
        <v>-5.20696342579112</v>
      </c>
      <c r="D72">
        <f>IF(AND(ISNUMBER(C72),ISNUMBER(逐级计算!$E$203),ISNUMBER(GV72)),C72+逐级计算!$E$203-GV72,"")</f>
        <v>1</v>
      </c>
      <c r="E72">
        <f>IF(AND(ISNUMBER(C72),逐级计算!$X$4&gt;-1),IF(逐级计算!$X$4=0,C72+逐级计算!$C$4,C72+逐级计算!$C$4-(10/(逐级计算!$Q$4*LN(10))*(MAX((LN(10^(逐级计算!$Q$4/10)-1)+逐级计算!$Q$4*(C72-逐级计算!$P$4)*LN(10)/10),0)+LN(1+EXP(-ABS((LN(10^(逐级计算!$Q$4/10)-1)+逐级计算!$Q$4*(C72-逐级计算!$P$4)*LN(10)/10))))))),"")</f>
        <v>4.68053982928311</v>
      </c>
      <c r="F72">
        <f>IF(AND(ISNUMBER(E72),逐级计算!$X$5&gt;-1),IF(逐级计算!$X$5=0,E72+逐级计算!$C$5,E72+逐级计算!$C$5-(10/(逐级计算!$Q$5*LN(10))*(MAX((LN(10^(逐级计算!$Q$5/10)-1)+逐级计算!$Q$5*(E72-逐级计算!$P$5)*LN(10)/10),0)+LN(1+EXP(-ABS((LN(10^(逐级计算!$Q$5/10)-1)+逐级计算!$Q$5*(E72-逐级计算!$P$5)*LN(10)/10))))))),"")</f>
        <v>13.7930365742089</v>
      </c>
      <c r="G72">
        <f>IF(AND(ISNUMBER(F72),逐级计算!$X$6&gt;-1),IF(逐级计算!$X$6=0,F72+逐级计算!$C$6,F72+逐级计算!$C$6-(10/(逐级计算!$Q$6*LN(10))*(MAX((LN(10^(逐级计算!$Q$6/10)-1)+逐级计算!$Q$6*(F72-逐级计算!$P$6)*LN(10)/10),0)+LN(1+EXP(-ABS((LN(10^(逐级计算!$Q$6/10)-1)+逐级计算!$Q$6*(F72-逐级计算!$P$6)*LN(10)/10))))))),"")</f>
        <v>13.7930365742089</v>
      </c>
      <c r="H72">
        <f>IF(AND(ISNUMBER(G72),逐级计算!$X$7&gt;-1),IF(逐级计算!$X$7=0,G72+逐级计算!$C$7,G72+逐级计算!$C$7-(10/(逐级计算!$Q$7*LN(10))*(MAX((LN(10^(逐级计算!$Q$7/10)-1)+逐级计算!$Q$7*(G72-逐级计算!$P$7)*LN(10)/10),0)+LN(1+EXP(-ABS((LN(10^(逐级计算!$Q$7/10)-1)+逐级计算!$Q$7*(G72-逐级计算!$P$7)*LN(10)/10))))))),"")</f>
        <v>13.7930365742089</v>
      </c>
      <c r="I72">
        <f>IF(AND(ISNUMBER(H72),逐级计算!$X$8&gt;-1),IF(逐级计算!$X$8=0,H72+逐级计算!$C$8,H72+逐级计算!$C$8-(10/(逐级计算!$Q$8*LN(10))*(MAX((LN(10^(逐级计算!$Q$8/10)-1)+逐级计算!$Q$8*(H72-逐级计算!$P$8)*LN(10)/10),0)+LN(1+EXP(-ABS((LN(10^(逐级计算!$Q$8/10)-1)+逐级计算!$Q$8*(H72-逐级计算!$P$8)*LN(10)/10))))))),"")</f>
        <v>13.7930365742089</v>
      </c>
      <c r="J72">
        <f>IF(AND(ISNUMBER(I72),逐级计算!$X$9&gt;-1),IF(逐级计算!$X$9=0,I72+逐级计算!$C$9,I72+逐级计算!$C$9-(10/(逐级计算!$Q$9*LN(10))*(MAX((LN(10^(逐级计算!$Q$9/10)-1)+逐级计算!$Q$9*(I72-逐级计算!$P$9)*LN(10)/10),0)+LN(1+EXP(-ABS((LN(10^(逐级计算!$Q$9/10)-1)+逐级计算!$Q$9*(I72-逐级计算!$P$9)*LN(10)/10))))))),"")</f>
        <v>13.7930365742089</v>
      </c>
      <c r="K72">
        <f>IF(AND(ISNUMBER(J72),逐级计算!$X$10&gt;-1),IF(逐级计算!$X$10=0,J72+逐级计算!$C$10,J72+逐级计算!$C$10-(10/(逐级计算!$Q$10*LN(10))*(MAX((LN(10^(逐级计算!$Q$10/10)-1)+逐级计算!$Q$10*(J72-逐级计算!$P$10)*LN(10)/10),0)+LN(1+EXP(-ABS((LN(10^(逐级计算!$Q$10/10)-1)+逐级计算!$Q$10*(J72-逐级计算!$P$10)*LN(10)/10))))))),"")</f>
        <v>13.7930365742089</v>
      </c>
      <c r="L72">
        <f>IF(AND(ISNUMBER(K72),逐级计算!$X$11&gt;-1),IF(逐级计算!$X$11=0,K72+逐级计算!$C$11,K72+逐级计算!$C$11-(10/(逐级计算!$Q$11*LN(10))*(MAX((LN(10^(逐级计算!$Q$11/10)-1)+逐级计算!$Q$11*(K72-逐级计算!$P$11)*LN(10)/10),0)+LN(1+EXP(-ABS((LN(10^(逐级计算!$Q$11/10)-1)+逐级计算!$Q$11*(K72-逐级计算!$P$11)*LN(10)/10))))))),"")</f>
        <v>13.7930365742089</v>
      </c>
      <c r="M72">
        <f>IF(AND(ISNUMBER(L72),逐级计算!$X$12&gt;-1),IF(逐级计算!$X$12=0,L72+逐级计算!$C$12,L72+逐级计算!$C$12-(10/(逐级计算!$Q$12*LN(10))*(MAX((LN(10^(逐级计算!$Q$12/10)-1)+逐级计算!$Q$12*(L72-逐级计算!$P$12)*LN(10)/10),0)+LN(1+EXP(-ABS((LN(10^(逐级计算!$Q$12/10)-1)+逐级计算!$Q$12*(L72-逐级计算!$P$12)*LN(10)/10))))))),"")</f>
        <v>13.7930365742089</v>
      </c>
      <c r="N72">
        <f>IF(AND(ISNUMBER(M72),逐级计算!$X$13&gt;-1),IF(逐级计算!$X$13=0,M72+逐级计算!$C$13,M72+逐级计算!$C$13-(10/(逐级计算!$Q$13*LN(10))*(MAX((LN(10^(逐级计算!$Q$13/10)-1)+逐级计算!$Q$13*(M72-逐级计算!$P$13)*LN(10)/10),0)+LN(1+EXP(-ABS((LN(10^(逐级计算!$Q$13/10)-1)+逐级计算!$Q$13*(M72-逐级计算!$P$13)*LN(10)/10))))))),"")</f>
        <v>13.7930365742089</v>
      </c>
      <c r="O72">
        <f>IF(AND(ISNUMBER(N72),逐级计算!$X$14&gt;-1),IF(逐级计算!$X$14=0,N72+逐级计算!$C$14,N72+逐级计算!$C$14-(10/(逐级计算!$Q$14*LN(10))*(MAX((LN(10^(逐级计算!$Q$14/10)-1)+逐级计算!$Q$14*(N72-逐级计算!$P$14)*LN(10)/10),0)+LN(1+EXP(-ABS((LN(10^(逐级计算!$Q$14/10)-1)+逐级计算!$Q$14*(N72-逐级计算!$P$14)*LN(10)/10))))))),"")</f>
        <v>13.7930365742089</v>
      </c>
      <c r="P72">
        <f>IF(AND(ISNUMBER(O72),逐级计算!$X$15&gt;-1),IF(逐级计算!$X$15=0,O72+逐级计算!$C$15,O72+逐级计算!$C$15-(10/(逐级计算!$Q$15*LN(10))*(MAX((LN(10^(逐级计算!$Q$15/10)-1)+逐级计算!$Q$15*(O72-逐级计算!$P$15)*LN(10)/10),0)+LN(1+EXP(-ABS((LN(10^(逐级计算!$Q$15/10)-1)+逐级计算!$Q$15*(O72-逐级计算!$P$15)*LN(10)/10))))))),"")</f>
        <v>13.7930365742089</v>
      </c>
      <c r="Q72">
        <f>IF(AND(ISNUMBER(P72),逐级计算!$X$16&gt;-1),IF(逐级计算!$X$16=0,P72+逐级计算!$C$16,P72+逐级计算!$C$16-(10/(逐级计算!$Q$16*LN(10))*(MAX((LN(10^(逐级计算!$Q$16/10)-1)+逐级计算!$Q$16*(P72-逐级计算!$P$16)*LN(10)/10),0)+LN(1+EXP(-ABS((LN(10^(逐级计算!$Q$16/10)-1)+逐级计算!$Q$16*(P72-逐级计算!$P$16)*LN(10)/10))))))),"")</f>
        <v>13.7930365742089</v>
      </c>
      <c r="R72">
        <f>IF(AND(ISNUMBER(Q72),逐级计算!$X$17&gt;-1),IF(逐级计算!$X$17=0,Q72+逐级计算!$C$17,Q72+逐级计算!$C$17-(10/(逐级计算!$Q$17*LN(10))*(MAX((LN(10^(逐级计算!$Q$17/10)-1)+逐级计算!$Q$17*(Q72-逐级计算!$P$17)*LN(10)/10),0)+LN(1+EXP(-ABS((LN(10^(逐级计算!$Q$17/10)-1)+逐级计算!$Q$17*(Q72-逐级计算!$P$17)*LN(10)/10))))))),"")</f>
        <v>13.7930365742089</v>
      </c>
      <c r="S72">
        <f>IF(AND(ISNUMBER(R72),逐级计算!$X$18&gt;-1),IF(逐级计算!$X$18=0,R72+逐级计算!$C$18,R72+逐级计算!$C$18-(10/(逐级计算!$Q$18*LN(10))*(MAX((LN(10^(逐级计算!$Q$18/10)-1)+逐级计算!$Q$18*(R72-逐级计算!$P$18)*LN(10)/10),0)+LN(1+EXP(-ABS((LN(10^(逐级计算!$Q$18/10)-1)+逐级计算!$Q$18*(R72-逐级计算!$P$18)*LN(10)/10))))))),"")</f>
        <v>13.7930365742089</v>
      </c>
      <c r="T72">
        <f>IF(AND(ISNUMBER(S72),逐级计算!$X$19&gt;-1),IF(逐级计算!$X$19=0,S72+逐级计算!$C$19,S72+逐级计算!$C$19-(10/(逐级计算!$Q$19*LN(10))*(MAX((LN(10^(逐级计算!$Q$19/10)-1)+逐级计算!$Q$19*(S72-逐级计算!$P$19)*LN(10)/10),0)+LN(1+EXP(-ABS((LN(10^(逐级计算!$Q$19/10)-1)+逐级计算!$Q$19*(S72-逐级计算!$P$19)*LN(10)/10))))))),"")</f>
        <v>13.7930365742089</v>
      </c>
      <c r="U72">
        <f>IF(AND(ISNUMBER(T72),逐级计算!$X$20&gt;-1),IF(逐级计算!$X$20=0,T72+逐级计算!$C$20,T72+逐级计算!$C$20-(10/(逐级计算!$Q$20*LN(10))*(MAX((LN(10^(逐级计算!$Q$20/10)-1)+逐级计算!$Q$20*(T72-逐级计算!$P$20)*LN(10)/10),0)+LN(1+EXP(-ABS((LN(10^(逐级计算!$Q$20/10)-1)+逐级计算!$Q$20*(T72-逐级计算!$P$20)*LN(10)/10))))))),"")</f>
        <v>13.7930365742089</v>
      </c>
      <c r="V72">
        <f>IF(AND(ISNUMBER(U72),逐级计算!$X$21&gt;-1),IF(逐级计算!$X$21=0,U72+逐级计算!$C$21,U72+逐级计算!$C$21-(10/(逐级计算!$Q$21*LN(10))*(MAX((LN(10^(逐级计算!$Q$21/10)-1)+逐级计算!$Q$21*(U72-逐级计算!$P$21)*LN(10)/10),0)+LN(1+EXP(-ABS((LN(10^(逐级计算!$Q$21/10)-1)+逐级计算!$Q$21*(U72-逐级计算!$P$21)*LN(10)/10))))))),"")</f>
        <v>13.7930365742089</v>
      </c>
      <c r="W72">
        <f>IF(AND(ISNUMBER(V72),逐级计算!$X$22&gt;-1),IF(逐级计算!$X$22=0,V72+逐级计算!$C$22,V72+逐级计算!$C$22-(10/(逐级计算!$Q$22*LN(10))*(MAX((LN(10^(逐级计算!$Q$22/10)-1)+逐级计算!$Q$22*(V72-逐级计算!$P$22)*LN(10)/10),0)+LN(1+EXP(-ABS((LN(10^(逐级计算!$Q$22/10)-1)+逐级计算!$Q$22*(V72-逐级计算!$P$22)*LN(10)/10))))))),"")</f>
        <v>13.7930365742089</v>
      </c>
      <c r="X72">
        <f>IF(AND(ISNUMBER(W72),逐级计算!$X$23&gt;-1),IF(逐级计算!$X$23=0,W72+逐级计算!$C$23,W72+逐级计算!$C$23-(10/(逐级计算!$Q$23*LN(10))*(MAX((LN(10^(逐级计算!$Q$23/10)-1)+逐级计算!$Q$23*(W72-逐级计算!$P$23)*LN(10)/10),0)+LN(1+EXP(-ABS((LN(10^(逐级计算!$Q$23/10)-1)+逐级计算!$Q$23*(W72-逐级计算!$P$23)*LN(10)/10))))))),"")</f>
        <v>13.7930365742089</v>
      </c>
      <c r="Y72">
        <f>IF(AND(ISNUMBER(X72),逐级计算!$X$24&gt;-1),IF(逐级计算!$X$24=0,X72+逐级计算!$C$24,X72+逐级计算!$C$24-(10/(逐级计算!$Q$24*LN(10))*(MAX((LN(10^(逐级计算!$Q$24/10)-1)+逐级计算!$Q$24*(X72-逐级计算!$P$24)*LN(10)/10),0)+LN(1+EXP(-ABS((LN(10^(逐级计算!$Q$24/10)-1)+逐级计算!$Q$24*(X72-逐级计算!$P$24)*LN(10)/10))))))),"")</f>
        <v>13.7930365742089</v>
      </c>
      <c r="Z72">
        <f>IF(AND(ISNUMBER(Y72),逐级计算!$X$25&gt;-1),IF(逐级计算!$X$25=0,Y72+逐级计算!$C$25,Y72+逐级计算!$C$25-(10/(逐级计算!$Q$25*LN(10))*(MAX((LN(10^(逐级计算!$Q$25/10)-1)+逐级计算!$Q$25*(Y72-逐级计算!$P$25)*LN(10)/10),0)+LN(1+EXP(-ABS((LN(10^(逐级计算!$Q$25/10)-1)+逐级计算!$Q$25*(Y72-逐级计算!$P$25)*LN(10)/10))))))),"")</f>
        <v>13.7930365742089</v>
      </c>
      <c r="AA72">
        <f>IF(AND(ISNUMBER(Z72),逐级计算!$X$26&gt;-1),IF(逐级计算!$X$26=0,Z72+逐级计算!$C$26,Z72+逐级计算!$C$26-(10/(逐级计算!$Q$26*LN(10))*(MAX((LN(10^(逐级计算!$Q$26/10)-1)+逐级计算!$Q$26*(Z72-逐级计算!$P$26)*LN(10)/10),0)+LN(1+EXP(-ABS((LN(10^(逐级计算!$Q$26/10)-1)+逐级计算!$Q$26*(Z72-逐级计算!$P$26)*LN(10)/10))))))),"")</f>
        <v>13.7930365742089</v>
      </c>
      <c r="AB72">
        <f>IF(AND(ISNUMBER(AA72),逐级计算!$X$27&gt;-1),IF(逐级计算!$X$27=0,AA72+逐级计算!$C$27,AA72+逐级计算!$C$27-(10/(逐级计算!$Q$27*LN(10))*(MAX((LN(10^(逐级计算!$Q$27/10)-1)+逐级计算!$Q$27*(AA72-逐级计算!$P$27)*LN(10)/10),0)+LN(1+EXP(-ABS((LN(10^(逐级计算!$Q$27/10)-1)+逐级计算!$Q$27*(AA72-逐级计算!$P$27)*LN(10)/10))))))),"")</f>
        <v>13.7930365742089</v>
      </c>
      <c r="AC72">
        <f>IF(AND(ISNUMBER(AB72),逐级计算!$X$28&gt;-1),IF(逐级计算!$X$28=0,AB72+逐级计算!$C$28,AB72+逐级计算!$C$28-(10/(逐级计算!$Q$28*LN(10))*(MAX((LN(10^(逐级计算!$Q$28/10)-1)+逐级计算!$Q$28*(AB72-逐级计算!$P$28)*LN(10)/10),0)+LN(1+EXP(-ABS((LN(10^(逐级计算!$Q$28/10)-1)+逐级计算!$Q$28*(AB72-逐级计算!$P$28)*LN(10)/10))))))),"")</f>
        <v>13.7930365742089</v>
      </c>
      <c r="AD72">
        <f>IF(AND(ISNUMBER(AC72),逐级计算!$X$29&gt;-1),IF(逐级计算!$X$29=0,AC72+逐级计算!$C$29,AC72+逐级计算!$C$29-(10/(逐级计算!$Q$29*LN(10))*(MAX((LN(10^(逐级计算!$Q$29/10)-1)+逐级计算!$Q$29*(AC72-逐级计算!$P$29)*LN(10)/10),0)+LN(1+EXP(-ABS((LN(10^(逐级计算!$Q$29/10)-1)+逐级计算!$Q$29*(AC72-逐级计算!$P$29)*LN(10)/10))))))),"")</f>
        <v>13.7930365742089</v>
      </c>
      <c r="AE72">
        <f>IF(AND(ISNUMBER(AD72),逐级计算!$X$30&gt;-1),IF(逐级计算!$X$30=0,AD72+逐级计算!$C$30,AD72+逐级计算!$C$30-(10/(逐级计算!$Q$30*LN(10))*(MAX((LN(10^(逐级计算!$Q$30/10)-1)+逐级计算!$Q$30*(AD72-逐级计算!$P$30)*LN(10)/10),0)+LN(1+EXP(-ABS((LN(10^(逐级计算!$Q$30/10)-1)+逐级计算!$Q$30*(AD72-逐级计算!$P$30)*LN(10)/10))))))),"")</f>
        <v>13.7930365742089</v>
      </c>
      <c r="AF72">
        <f>IF(AND(ISNUMBER(AE72),逐级计算!$X$31&gt;-1),IF(逐级计算!$X$31=0,AE72+逐级计算!$C$31,AE72+逐级计算!$C$31-(10/(逐级计算!$Q$31*LN(10))*(MAX((LN(10^(逐级计算!$Q$31/10)-1)+逐级计算!$Q$31*(AE72-逐级计算!$P$31)*LN(10)/10),0)+LN(1+EXP(-ABS((LN(10^(逐级计算!$Q$31/10)-1)+逐级计算!$Q$31*(AE72-逐级计算!$P$31)*LN(10)/10))))))),"")</f>
        <v>13.7930365742089</v>
      </c>
      <c r="AG72">
        <f>IF(AND(ISNUMBER(AF72),逐级计算!$X$32&gt;-1),IF(逐级计算!$X$32=0,AF72+逐级计算!$C$32,AF72+逐级计算!$C$32-(10/(逐级计算!$Q$32*LN(10))*(MAX((LN(10^(逐级计算!$Q$32/10)-1)+逐级计算!$Q$32*(AF72-逐级计算!$P$32)*LN(10)/10),0)+LN(1+EXP(-ABS((LN(10^(逐级计算!$Q$32/10)-1)+逐级计算!$Q$32*(AF72-逐级计算!$P$32)*LN(10)/10))))))),"")</f>
        <v>13.7930365742089</v>
      </c>
      <c r="AH72">
        <f>IF(AND(ISNUMBER(AG72),逐级计算!$X$33&gt;-1),IF(逐级计算!$X$33=0,AG72+逐级计算!$C$33,AG72+逐级计算!$C$33-(10/(逐级计算!$Q$33*LN(10))*(MAX((LN(10^(逐级计算!$Q$33/10)-1)+逐级计算!$Q$33*(AG72-逐级计算!$P$33)*LN(10)/10),0)+LN(1+EXP(-ABS((LN(10^(逐级计算!$Q$33/10)-1)+逐级计算!$Q$33*(AG72-逐级计算!$P$33)*LN(10)/10))))))),"")</f>
        <v>13.7930365742089</v>
      </c>
      <c r="AI72">
        <f>IF(AND(ISNUMBER(AH72),逐级计算!$X$34&gt;-1),IF(逐级计算!$X$34=0,AH72+逐级计算!$C$34,AH72+逐级计算!$C$34-(10/(逐级计算!$Q$34*LN(10))*(MAX((LN(10^(逐级计算!$Q$34/10)-1)+逐级计算!$Q$34*(AH72-逐级计算!$P$34)*LN(10)/10),0)+LN(1+EXP(-ABS((LN(10^(逐级计算!$Q$34/10)-1)+逐级计算!$Q$34*(AH72-逐级计算!$P$34)*LN(10)/10))))))),"")</f>
        <v>13.7930365742089</v>
      </c>
      <c r="AJ72">
        <f>IF(AND(ISNUMBER(AI72),逐级计算!$X$35&gt;-1),IF(逐级计算!$X$35=0,AI72+逐级计算!$C$35,AI72+逐级计算!$C$35-(10/(逐级计算!$Q$35*LN(10))*(MAX((LN(10^(逐级计算!$Q$35/10)-1)+逐级计算!$Q$35*(AI72-逐级计算!$P$35)*LN(10)/10),0)+LN(1+EXP(-ABS((LN(10^(逐级计算!$Q$35/10)-1)+逐级计算!$Q$35*(AI72-逐级计算!$P$35)*LN(10)/10))))))),"")</f>
        <v>13.7930365742089</v>
      </c>
      <c r="AK72">
        <f>IF(AND(ISNUMBER(AJ72),逐级计算!$X$36&gt;-1),IF(逐级计算!$X$36=0,AJ72+逐级计算!$C$36,AJ72+逐级计算!$C$36-(10/(逐级计算!$Q$36*LN(10))*(MAX((LN(10^(逐级计算!$Q$36/10)-1)+逐级计算!$Q$36*(AJ72-逐级计算!$P$36)*LN(10)/10),0)+LN(1+EXP(-ABS((LN(10^(逐级计算!$Q$36/10)-1)+逐级计算!$Q$36*(AJ72-逐级计算!$P$36)*LN(10)/10))))))),"")</f>
        <v>13.7930365742089</v>
      </c>
      <c r="AL72">
        <f>IF(AND(ISNUMBER(AK72),逐级计算!$X$37&gt;-1),IF(逐级计算!$X$37=0,AK72+逐级计算!$C$37,AK72+逐级计算!$C$37-(10/(逐级计算!$Q$37*LN(10))*(MAX((LN(10^(逐级计算!$Q$37/10)-1)+逐级计算!$Q$37*(AK72-逐级计算!$P$37)*LN(10)/10),0)+LN(1+EXP(-ABS((LN(10^(逐级计算!$Q$37/10)-1)+逐级计算!$Q$37*(AK72-逐级计算!$P$37)*LN(10)/10))))))),"")</f>
        <v>13.7930365742089</v>
      </c>
      <c r="AM72">
        <f>IF(AND(ISNUMBER(AL72),逐级计算!$X$38&gt;-1),IF(逐级计算!$X$38=0,AL72+逐级计算!$C$38,AL72+逐级计算!$C$38-(10/(逐级计算!$Q$38*LN(10))*(MAX((LN(10^(逐级计算!$Q$38/10)-1)+逐级计算!$Q$38*(AL72-逐级计算!$P$38)*LN(10)/10),0)+LN(1+EXP(-ABS((LN(10^(逐级计算!$Q$38/10)-1)+逐级计算!$Q$38*(AL72-逐级计算!$P$38)*LN(10)/10))))))),"")</f>
        <v>13.7930365742089</v>
      </c>
      <c r="AN72">
        <f>IF(AND(ISNUMBER(AM72),逐级计算!$X$39&gt;-1),IF(逐级计算!$X$39=0,AM72+逐级计算!$C$39,AM72+逐级计算!$C$39-(10/(逐级计算!$Q$39*LN(10))*(MAX((LN(10^(逐级计算!$Q$39/10)-1)+逐级计算!$Q$39*(AM72-逐级计算!$P$39)*LN(10)/10),0)+LN(1+EXP(-ABS((LN(10^(逐级计算!$Q$39/10)-1)+逐级计算!$Q$39*(AM72-逐级计算!$P$39)*LN(10)/10))))))),"")</f>
        <v>13.7930365742089</v>
      </c>
      <c r="AO72">
        <f>IF(AND(ISNUMBER(AN72),逐级计算!$X$40&gt;-1),IF(逐级计算!$X$40=0,AN72+逐级计算!$C$40,AN72+逐级计算!$C$40-(10/(逐级计算!$Q$40*LN(10))*(MAX((LN(10^(逐级计算!$Q$40/10)-1)+逐级计算!$Q$40*(AN72-逐级计算!$P$40)*LN(10)/10),0)+LN(1+EXP(-ABS((LN(10^(逐级计算!$Q$40/10)-1)+逐级计算!$Q$40*(AN72-逐级计算!$P$40)*LN(10)/10))))))),"")</f>
        <v>13.7930365742089</v>
      </c>
      <c r="AP72">
        <f>IF(AND(ISNUMBER(AO72),逐级计算!$X$41&gt;-1),IF(逐级计算!$X$41=0,AO72+逐级计算!$C$41,AO72+逐级计算!$C$41-(10/(逐级计算!$Q$41*LN(10))*(MAX((LN(10^(逐级计算!$Q$41/10)-1)+逐级计算!$Q$41*(AO72-逐级计算!$P$41)*LN(10)/10),0)+LN(1+EXP(-ABS((LN(10^(逐级计算!$Q$41/10)-1)+逐级计算!$Q$41*(AO72-逐级计算!$P$41)*LN(10)/10))))))),"")</f>
        <v>13.7930365742089</v>
      </c>
      <c r="AQ72">
        <f>IF(AND(ISNUMBER(AP72),逐级计算!$X$42&gt;-1),IF(逐级计算!$X$42=0,AP72+逐级计算!$C$42,AP72+逐级计算!$C$42-(10/(逐级计算!$Q$42*LN(10))*(MAX((LN(10^(逐级计算!$Q$42/10)-1)+逐级计算!$Q$42*(AP72-逐级计算!$P$42)*LN(10)/10),0)+LN(1+EXP(-ABS((LN(10^(逐级计算!$Q$42/10)-1)+逐级计算!$Q$42*(AP72-逐级计算!$P$42)*LN(10)/10))))))),"")</f>
        <v>13.7930365742089</v>
      </c>
      <c r="AR72">
        <f>IF(AND(ISNUMBER(AQ72),逐级计算!$X$43&gt;-1),IF(逐级计算!$X$43=0,AQ72+逐级计算!$C$43,AQ72+逐级计算!$C$43-(10/(逐级计算!$Q$43*LN(10))*(MAX((LN(10^(逐级计算!$Q$43/10)-1)+逐级计算!$Q$43*(AQ72-逐级计算!$P$43)*LN(10)/10),0)+LN(1+EXP(-ABS((LN(10^(逐级计算!$Q$43/10)-1)+逐级计算!$Q$43*(AQ72-逐级计算!$P$43)*LN(10)/10))))))),"")</f>
        <v>13.7930365742089</v>
      </c>
      <c r="AS72">
        <f>IF(AND(ISNUMBER(AR72),逐级计算!$X$44&gt;-1),IF(逐级计算!$X$44=0,AR72+逐级计算!$C$44,AR72+逐级计算!$C$44-(10/(逐级计算!$Q$44*LN(10))*(MAX((LN(10^(逐级计算!$Q$44/10)-1)+逐级计算!$Q$44*(AR72-逐级计算!$P$44)*LN(10)/10),0)+LN(1+EXP(-ABS((LN(10^(逐级计算!$Q$44/10)-1)+逐级计算!$Q$44*(AR72-逐级计算!$P$44)*LN(10)/10))))))),"")</f>
        <v>13.7930365742089</v>
      </c>
      <c r="AT72">
        <f>IF(AND(ISNUMBER(AS72),逐级计算!$X$45&gt;-1),IF(逐级计算!$X$45=0,AS72+逐级计算!$C$45,AS72+逐级计算!$C$45-(10/(逐级计算!$Q$45*LN(10))*(MAX((LN(10^(逐级计算!$Q$45/10)-1)+逐级计算!$Q$45*(AS72-逐级计算!$P$45)*LN(10)/10),0)+LN(1+EXP(-ABS((LN(10^(逐级计算!$Q$45/10)-1)+逐级计算!$Q$45*(AS72-逐级计算!$P$45)*LN(10)/10))))))),"")</f>
        <v>13.7930365742089</v>
      </c>
      <c r="AU72">
        <f>IF(AND(ISNUMBER(AT72),逐级计算!$X$46&gt;-1),IF(逐级计算!$X$46=0,AT72+逐级计算!$C$46,AT72+逐级计算!$C$46-(10/(逐级计算!$Q$46*LN(10))*(MAX((LN(10^(逐级计算!$Q$46/10)-1)+逐级计算!$Q$46*(AT72-逐级计算!$P$46)*LN(10)/10),0)+LN(1+EXP(-ABS((LN(10^(逐级计算!$Q$46/10)-1)+逐级计算!$Q$46*(AT72-逐级计算!$P$46)*LN(10)/10))))))),"")</f>
        <v>13.7930365742089</v>
      </c>
      <c r="AV72">
        <f>IF(AND(ISNUMBER(AU72),逐级计算!$X$47&gt;-1),IF(逐级计算!$X$47=0,AU72+逐级计算!$C$47,AU72+逐级计算!$C$47-(10/(逐级计算!$Q$47*LN(10))*(MAX((LN(10^(逐级计算!$Q$47/10)-1)+逐级计算!$Q$47*(AU72-逐级计算!$P$47)*LN(10)/10),0)+LN(1+EXP(-ABS((LN(10^(逐级计算!$Q$47/10)-1)+逐级计算!$Q$47*(AU72-逐级计算!$P$47)*LN(10)/10))))))),"")</f>
        <v>13.7930365742089</v>
      </c>
      <c r="AW72">
        <f>IF(AND(ISNUMBER(AV72),逐级计算!$X$48&gt;-1),IF(逐级计算!$X$48=0,AV72+逐级计算!$C$48,AV72+逐级计算!$C$48-(10/(逐级计算!$Q$48*LN(10))*(MAX((LN(10^(逐级计算!$Q$48/10)-1)+逐级计算!$Q$48*(AV72-逐级计算!$P$48)*LN(10)/10),0)+LN(1+EXP(-ABS((LN(10^(逐级计算!$Q$48/10)-1)+逐级计算!$Q$48*(AV72-逐级计算!$P$48)*LN(10)/10))))))),"")</f>
        <v>13.7930365742089</v>
      </c>
      <c r="AX72">
        <f>IF(AND(ISNUMBER(AW72),逐级计算!$X$49&gt;-1),IF(逐级计算!$X$49=0,AW72+逐级计算!$C$49,AW72+逐级计算!$C$49-(10/(逐级计算!$Q$49*LN(10))*(MAX((LN(10^(逐级计算!$Q$49/10)-1)+逐级计算!$Q$49*(AW72-逐级计算!$P$49)*LN(10)/10),0)+LN(1+EXP(-ABS((LN(10^(逐级计算!$Q$49/10)-1)+逐级计算!$Q$49*(AW72-逐级计算!$P$49)*LN(10)/10))))))),"")</f>
        <v>13.7930365742089</v>
      </c>
      <c r="AY72">
        <f>IF(AND(ISNUMBER(AX72),逐级计算!$X$50&gt;-1),IF(逐级计算!$X$50=0,AX72+逐级计算!$C$50,AX72+逐级计算!$C$50-(10/(逐级计算!$Q$50*LN(10))*(MAX((LN(10^(逐级计算!$Q$50/10)-1)+逐级计算!$Q$50*(AX72-逐级计算!$P$50)*LN(10)/10),0)+LN(1+EXP(-ABS((LN(10^(逐级计算!$Q$50/10)-1)+逐级计算!$Q$50*(AX72-逐级计算!$P$50)*LN(10)/10))))))),"")</f>
        <v>13.7930365742089</v>
      </c>
      <c r="AZ72">
        <f>IF(AND(ISNUMBER(AY72),逐级计算!$X$51&gt;-1),IF(逐级计算!$X$51=0,AY72+逐级计算!$C$51,AY72+逐级计算!$C$51-(10/(逐级计算!$Q$51*LN(10))*(MAX((LN(10^(逐级计算!$Q$51/10)-1)+逐级计算!$Q$51*(AY72-逐级计算!$P$51)*LN(10)/10),0)+LN(1+EXP(-ABS((LN(10^(逐级计算!$Q$51/10)-1)+逐级计算!$Q$51*(AY72-逐级计算!$P$51)*LN(10)/10))))))),"")</f>
        <v>13.7930365742089</v>
      </c>
      <c r="BA72">
        <f>IF(AND(ISNUMBER(AZ72),逐级计算!$X$52&gt;-1),IF(逐级计算!$X$52=0,AZ72+逐级计算!$C$52,AZ72+逐级计算!$C$52-(10/(逐级计算!$Q$52*LN(10))*(MAX((LN(10^(逐级计算!$Q$52/10)-1)+逐级计算!$Q$52*(AZ72-逐级计算!$P$52)*LN(10)/10),0)+LN(1+EXP(-ABS((LN(10^(逐级计算!$Q$52/10)-1)+逐级计算!$Q$52*(AZ72-逐级计算!$P$52)*LN(10)/10))))))),"")</f>
        <v>13.7930365742089</v>
      </c>
      <c r="BB72">
        <f>IF(AND(ISNUMBER(BA72),逐级计算!$X$53&gt;-1),IF(逐级计算!$X$53=0,BA72+逐级计算!$C$53,BA72+逐级计算!$C$53-(10/(逐级计算!$Q$53*LN(10))*(MAX((LN(10^(逐级计算!$Q$53/10)-1)+逐级计算!$Q$53*(BA72-逐级计算!$P$53)*LN(10)/10),0)+LN(1+EXP(-ABS((LN(10^(逐级计算!$Q$53/10)-1)+逐级计算!$Q$53*(BA72-逐级计算!$P$53)*LN(10)/10))))))),"")</f>
        <v>13.7930365742089</v>
      </c>
      <c r="BC72">
        <f>IF(AND(ISNUMBER(BB72),逐级计算!$X$54&gt;-1),IF(逐级计算!$X$54=0,BB72+逐级计算!$C$54,BB72+逐级计算!$C$54-(10/(逐级计算!$Q$54*LN(10))*(MAX((LN(10^(逐级计算!$Q$54/10)-1)+逐级计算!$Q$54*(BB72-逐级计算!$P$54)*LN(10)/10),0)+LN(1+EXP(-ABS((LN(10^(逐级计算!$Q$54/10)-1)+逐级计算!$Q$54*(BB72-逐级计算!$P$54)*LN(10)/10))))))),"")</f>
        <v>13.7930365742089</v>
      </c>
      <c r="BD72">
        <f>IF(AND(ISNUMBER(BC72),逐级计算!$X$55&gt;-1),IF(逐级计算!$X$55=0,BC72+逐级计算!$C$55,BC72+逐级计算!$C$55-(10/(逐级计算!$Q$55*LN(10))*(MAX((LN(10^(逐级计算!$Q$55/10)-1)+逐级计算!$Q$55*(BC72-逐级计算!$P$55)*LN(10)/10),0)+LN(1+EXP(-ABS((LN(10^(逐级计算!$Q$55/10)-1)+逐级计算!$Q$55*(BC72-逐级计算!$P$55)*LN(10)/10))))))),"")</f>
        <v>13.7930365742089</v>
      </c>
      <c r="BE72">
        <f>IF(AND(ISNUMBER(BD72),逐级计算!$X$56&gt;-1),IF(逐级计算!$X$56=0,BD72+逐级计算!$C$56,BD72+逐级计算!$C$56-(10/(逐级计算!$Q$56*LN(10))*(MAX((LN(10^(逐级计算!$Q$56/10)-1)+逐级计算!$Q$56*(BD72-逐级计算!$P$56)*LN(10)/10),0)+LN(1+EXP(-ABS((LN(10^(逐级计算!$Q$56/10)-1)+逐级计算!$Q$56*(BD72-逐级计算!$P$56)*LN(10)/10))))))),"")</f>
        <v>13.7930365742089</v>
      </c>
      <c r="BF72">
        <f>IF(AND(ISNUMBER(BE72),逐级计算!$X$57&gt;-1),IF(逐级计算!$X$57=0,BE72+逐级计算!$C$57,BE72+逐级计算!$C$57-(10/(逐级计算!$Q$57*LN(10))*(MAX((LN(10^(逐级计算!$Q$57/10)-1)+逐级计算!$Q$57*(BE72-逐级计算!$P$57)*LN(10)/10),0)+LN(1+EXP(-ABS((LN(10^(逐级计算!$Q$57/10)-1)+逐级计算!$Q$57*(BE72-逐级计算!$P$57)*LN(10)/10))))))),"")</f>
        <v>13.7930365742089</v>
      </c>
      <c r="BG72">
        <f>IF(AND(ISNUMBER(BF72),逐级计算!$X$58&gt;-1),IF(逐级计算!$X$58=0,BF72+逐级计算!$C$58,BF72+逐级计算!$C$58-(10/(逐级计算!$Q$58*LN(10))*(MAX((LN(10^(逐级计算!$Q$58/10)-1)+逐级计算!$Q$58*(BF72-逐级计算!$P$58)*LN(10)/10),0)+LN(1+EXP(-ABS((LN(10^(逐级计算!$Q$58/10)-1)+逐级计算!$Q$58*(BF72-逐级计算!$P$58)*LN(10)/10))))))),"")</f>
        <v>13.7930365742089</v>
      </c>
      <c r="BH72">
        <f>IF(AND(ISNUMBER(BG72),逐级计算!$X$59&gt;-1),IF(逐级计算!$X$59=0,BG72+逐级计算!$C$59,BG72+逐级计算!$C$59-(10/(逐级计算!$Q$59*LN(10))*(MAX((LN(10^(逐级计算!$Q$59/10)-1)+逐级计算!$Q$59*(BG72-逐级计算!$P$59)*LN(10)/10),0)+LN(1+EXP(-ABS((LN(10^(逐级计算!$Q$59/10)-1)+逐级计算!$Q$59*(BG72-逐级计算!$P$59)*LN(10)/10))))))),"")</f>
        <v>13.7930365742089</v>
      </c>
      <c r="BI72">
        <f>IF(AND(ISNUMBER(BH72),逐级计算!$X$60&gt;-1),IF(逐级计算!$X$60=0,BH72+逐级计算!$C$60,BH72+逐级计算!$C$60-(10/(逐级计算!$Q$60*LN(10))*(MAX((LN(10^(逐级计算!$Q$60/10)-1)+逐级计算!$Q$60*(BH72-逐级计算!$P$60)*LN(10)/10),0)+LN(1+EXP(-ABS((LN(10^(逐级计算!$Q$60/10)-1)+逐级计算!$Q$60*(BH72-逐级计算!$P$60)*LN(10)/10))))))),"")</f>
        <v>13.7930365742089</v>
      </c>
      <c r="BJ72">
        <f>IF(AND(ISNUMBER(BI72),逐级计算!$X$61&gt;-1),IF(逐级计算!$X$61=0,BI72+逐级计算!$C$61,BI72+逐级计算!$C$61-(10/(逐级计算!$Q$61*LN(10))*(MAX((LN(10^(逐级计算!$Q$61/10)-1)+逐级计算!$Q$61*(BI72-逐级计算!$P$61)*LN(10)/10),0)+LN(1+EXP(-ABS((LN(10^(逐级计算!$Q$61/10)-1)+逐级计算!$Q$61*(BI72-逐级计算!$P$61)*LN(10)/10))))))),"")</f>
        <v>13.7930365742089</v>
      </c>
      <c r="BK72">
        <f>IF(AND(ISNUMBER(BJ72),逐级计算!$X$62&gt;-1),IF(逐级计算!$X$62=0,BJ72+逐级计算!$C$62,BJ72+逐级计算!$C$62-(10/(逐级计算!$Q$62*LN(10))*(MAX((LN(10^(逐级计算!$Q$62/10)-1)+逐级计算!$Q$62*(BJ72-逐级计算!$P$62)*LN(10)/10),0)+LN(1+EXP(-ABS((LN(10^(逐级计算!$Q$62/10)-1)+逐级计算!$Q$62*(BJ72-逐级计算!$P$62)*LN(10)/10))))))),"")</f>
        <v>13.7930365742089</v>
      </c>
      <c r="BL72">
        <f>IF(AND(ISNUMBER(BK72),逐级计算!$X$63&gt;-1),IF(逐级计算!$X$63=0,BK72+逐级计算!$C$63,BK72+逐级计算!$C$63-(10/(逐级计算!$Q$63*LN(10))*(MAX((LN(10^(逐级计算!$Q$63/10)-1)+逐级计算!$Q$63*(BK72-逐级计算!$P$63)*LN(10)/10),0)+LN(1+EXP(-ABS((LN(10^(逐级计算!$Q$63/10)-1)+逐级计算!$Q$63*(BK72-逐级计算!$P$63)*LN(10)/10))))))),"")</f>
        <v>13.7930365742089</v>
      </c>
      <c r="BM72">
        <f>IF(AND(ISNUMBER(BL72),逐级计算!$X$64&gt;-1),IF(逐级计算!$X$64=0,BL72+逐级计算!$C$64,BL72+逐级计算!$C$64-(10/(逐级计算!$Q$64*LN(10))*(MAX((LN(10^(逐级计算!$Q$64/10)-1)+逐级计算!$Q$64*(BL72-逐级计算!$P$64)*LN(10)/10),0)+LN(1+EXP(-ABS((LN(10^(逐级计算!$Q$64/10)-1)+逐级计算!$Q$64*(BL72-逐级计算!$P$64)*LN(10)/10))))))),"")</f>
        <v>13.7930365742089</v>
      </c>
      <c r="BN72">
        <f>IF(AND(ISNUMBER(BM72),逐级计算!$X$65&gt;-1),IF(逐级计算!$X$65=0,BM72+逐级计算!$C$65,BM72+逐级计算!$C$65-(10/(逐级计算!$Q$65*LN(10))*(MAX((LN(10^(逐级计算!$Q$65/10)-1)+逐级计算!$Q$65*(BM72-逐级计算!$P$65)*LN(10)/10),0)+LN(1+EXP(-ABS((LN(10^(逐级计算!$Q$65/10)-1)+逐级计算!$Q$65*(BM72-逐级计算!$P$65)*LN(10)/10))))))),"")</f>
        <v>13.7930365742089</v>
      </c>
      <c r="BO72">
        <f>IF(AND(ISNUMBER(BN72),逐级计算!$X$66&gt;-1),IF(逐级计算!$X$66=0,BN72+逐级计算!$C$66,BN72+逐级计算!$C$66-(10/(逐级计算!$Q$66*LN(10))*(MAX((LN(10^(逐级计算!$Q$66/10)-1)+逐级计算!$Q$66*(BN72-逐级计算!$P$66)*LN(10)/10),0)+LN(1+EXP(-ABS((LN(10^(逐级计算!$Q$66/10)-1)+逐级计算!$Q$66*(BN72-逐级计算!$P$66)*LN(10)/10))))))),"")</f>
        <v>13.7930365742089</v>
      </c>
      <c r="BP72">
        <f>IF(AND(ISNUMBER(BO72),逐级计算!$X$67&gt;-1),IF(逐级计算!$X$67=0,BO72+逐级计算!$C$67,BO72+逐级计算!$C$67-(10/(逐级计算!$Q$67*LN(10))*(MAX((LN(10^(逐级计算!$Q$67/10)-1)+逐级计算!$Q$67*(BO72-逐级计算!$P$67)*LN(10)/10),0)+LN(1+EXP(-ABS((LN(10^(逐级计算!$Q$67/10)-1)+逐级计算!$Q$67*(BO72-逐级计算!$P$67)*LN(10)/10))))))),"")</f>
        <v>13.7930365742089</v>
      </c>
      <c r="BQ72">
        <f>IF(AND(ISNUMBER(BP72),逐级计算!$X$68&gt;-1),IF(逐级计算!$X$68=0,BP72+逐级计算!$C$68,BP72+逐级计算!$C$68-(10/(逐级计算!$Q$68*LN(10))*(MAX((LN(10^(逐级计算!$Q$68/10)-1)+逐级计算!$Q$68*(BP72-逐级计算!$P$68)*LN(10)/10),0)+LN(1+EXP(-ABS((LN(10^(逐级计算!$Q$68/10)-1)+逐级计算!$Q$68*(BP72-逐级计算!$P$68)*LN(10)/10))))))),"")</f>
        <v>13.7930365742089</v>
      </c>
      <c r="BR72">
        <f>IF(AND(ISNUMBER(BQ72),逐级计算!$X$69&gt;-1),IF(逐级计算!$X$69=0,BQ72+逐级计算!$C$69,BQ72+逐级计算!$C$69-(10/(逐级计算!$Q$69*LN(10))*(MAX((LN(10^(逐级计算!$Q$69/10)-1)+逐级计算!$Q$69*(BQ72-逐级计算!$P$69)*LN(10)/10),0)+LN(1+EXP(-ABS((LN(10^(逐级计算!$Q$69/10)-1)+逐级计算!$Q$69*(BQ72-逐级计算!$P$69)*LN(10)/10))))))),"")</f>
        <v>13.7930365742089</v>
      </c>
      <c r="BS72">
        <f>IF(AND(ISNUMBER(BR72),逐级计算!$X$70&gt;-1),IF(逐级计算!$X$70=0,BR72+逐级计算!$C$70,BR72+逐级计算!$C$70-(10/(逐级计算!$Q$70*LN(10))*(MAX((LN(10^(逐级计算!$Q$70/10)-1)+逐级计算!$Q$70*(BR72-逐级计算!$P$70)*LN(10)/10),0)+LN(1+EXP(-ABS((LN(10^(逐级计算!$Q$70/10)-1)+逐级计算!$Q$70*(BR72-逐级计算!$P$70)*LN(10)/10))))))),"")</f>
        <v>13.7930365742089</v>
      </c>
      <c r="BT72">
        <f>IF(AND(ISNUMBER(BS72),逐级计算!$X$71&gt;-1),IF(逐级计算!$X$71=0,BS72+逐级计算!$C$71,BS72+逐级计算!$C$71-(10/(逐级计算!$Q$71*LN(10))*(MAX((LN(10^(逐级计算!$Q$71/10)-1)+逐级计算!$Q$71*(BS72-逐级计算!$P$71)*LN(10)/10),0)+LN(1+EXP(-ABS((LN(10^(逐级计算!$Q$71/10)-1)+逐级计算!$Q$71*(BS72-逐级计算!$P$71)*LN(10)/10))))))),"")</f>
        <v>13.7930365742089</v>
      </c>
      <c r="BU72">
        <f>IF(AND(ISNUMBER(BT72),逐级计算!$X$72&gt;-1),IF(逐级计算!$X$72=0,BT72+逐级计算!$C$72,BT72+逐级计算!$C$72-(10/(逐级计算!$Q$72*LN(10))*(MAX((LN(10^(逐级计算!$Q$72/10)-1)+逐级计算!$Q$72*(BT72-逐级计算!$P$72)*LN(10)/10),0)+LN(1+EXP(-ABS((LN(10^(逐级计算!$Q$72/10)-1)+逐级计算!$Q$72*(BT72-逐级计算!$P$72)*LN(10)/10))))))),"")</f>
        <v>13.7930365742089</v>
      </c>
      <c r="BV72">
        <f>IF(AND(ISNUMBER(BU72),逐级计算!$X$73&gt;-1),IF(逐级计算!$X$73=0,BU72+逐级计算!$C$73,BU72+逐级计算!$C$73-(10/(逐级计算!$Q$73*LN(10))*(MAX((LN(10^(逐级计算!$Q$73/10)-1)+逐级计算!$Q$73*(BU72-逐级计算!$P$73)*LN(10)/10),0)+LN(1+EXP(-ABS((LN(10^(逐级计算!$Q$73/10)-1)+逐级计算!$Q$73*(BU72-逐级计算!$P$73)*LN(10)/10))))))),"")</f>
        <v>13.7930365742089</v>
      </c>
      <c r="BW72">
        <f>IF(AND(ISNUMBER(BV72),逐级计算!$X$74&gt;-1),IF(逐级计算!$X$74=0,BV72+逐级计算!$C$74,BV72+逐级计算!$C$74-(10/(逐级计算!$Q$74*LN(10))*(MAX((LN(10^(逐级计算!$Q$74/10)-1)+逐级计算!$Q$74*(BV72-逐级计算!$P$74)*LN(10)/10),0)+LN(1+EXP(-ABS((LN(10^(逐级计算!$Q$74/10)-1)+逐级计算!$Q$74*(BV72-逐级计算!$P$74)*LN(10)/10))))))),"")</f>
        <v>13.7930365742089</v>
      </c>
      <c r="BX72">
        <f>IF(AND(ISNUMBER(BW72),逐级计算!$X$75&gt;-1),IF(逐级计算!$X$75=0,BW72+逐级计算!$C$75,BW72+逐级计算!$C$75-(10/(逐级计算!$Q$75*LN(10))*(MAX((LN(10^(逐级计算!$Q$75/10)-1)+逐级计算!$Q$75*(BW72-逐级计算!$P$75)*LN(10)/10),0)+LN(1+EXP(-ABS((LN(10^(逐级计算!$Q$75/10)-1)+逐级计算!$Q$75*(BW72-逐级计算!$P$75)*LN(10)/10))))))),"")</f>
        <v>13.7930365742089</v>
      </c>
      <c r="BY72">
        <f>IF(AND(ISNUMBER(BX72),逐级计算!$X$76&gt;-1),IF(逐级计算!$X$76=0,BX72+逐级计算!$C$76,BX72+逐级计算!$C$76-(10/(逐级计算!$Q$76*LN(10))*(MAX((LN(10^(逐级计算!$Q$76/10)-1)+逐级计算!$Q$76*(BX72-逐级计算!$P$76)*LN(10)/10),0)+LN(1+EXP(-ABS((LN(10^(逐级计算!$Q$76/10)-1)+逐级计算!$Q$76*(BX72-逐级计算!$P$76)*LN(10)/10))))))),"")</f>
        <v>13.7930365742089</v>
      </c>
      <c r="BZ72">
        <f>IF(AND(ISNUMBER(BY72),逐级计算!$X$77&gt;-1),IF(逐级计算!$X$77=0,BY72+逐级计算!$C$77,BY72+逐级计算!$C$77-(10/(逐级计算!$Q$77*LN(10))*(MAX((LN(10^(逐级计算!$Q$77/10)-1)+逐级计算!$Q$77*(BY72-逐级计算!$P$77)*LN(10)/10),0)+LN(1+EXP(-ABS((LN(10^(逐级计算!$Q$77/10)-1)+逐级计算!$Q$77*(BY72-逐级计算!$P$77)*LN(10)/10))))))),"")</f>
        <v>13.7930365742089</v>
      </c>
      <c r="CA72">
        <f>IF(AND(ISNUMBER(BZ72),逐级计算!$X$78&gt;-1),IF(逐级计算!$X$78=0,BZ72+逐级计算!$C$78,BZ72+逐级计算!$C$78-(10/(逐级计算!$Q$78*LN(10))*(MAX((LN(10^(逐级计算!$Q$78/10)-1)+逐级计算!$Q$78*(BZ72-逐级计算!$P$78)*LN(10)/10),0)+LN(1+EXP(-ABS((LN(10^(逐级计算!$Q$78/10)-1)+逐级计算!$Q$78*(BZ72-逐级计算!$P$78)*LN(10)/10))))))),"")</f>
        <v>13.7930365742089</v>
      </c>
      <c r="CB72">
        <f>IF(AND(ISNUMBER(CA72),逐级计算!$X$79&gt;-1),IF(逐级计算!$X$79=0,CA72+逐级计算!$C$79,CA72+逐级计算!$C$79-(10/(逐级计算!$Q$79*LN(10))*(MAX((LN(10^(逐级计算!$Q$79/10)-1)+逐级计算!$Q$79*(CA72-逐级计算!$P$79)*LN(10)/10),0)+LN(1+EXP(-ABS((LN(10^(逐级计算!$Q$79/10)-1)+逐级计算!$Q$79*(CA72-逐级计算!$P$79)*LN(10)/10))))))),"")</f>
        <v>13.7930365742089</v>
      </c>
      <c r="CC72">
        <f>IF(AND(ISNUMBER(CB72),逐级计算!$X$80&gt;-1),IF(逐级计算!$X$80=0,CB72+逐级计算!$C$80,CB72+逐级计算!$C$80-(10/(逐级计算!$Q$80*LN(10))*(MAX((LN(10^(逐级计算!$Q$80/10)-1)+逐级计算!$Q$80*(CB72-逐级计算!$P$80)*LN(10)/10),0)+LN(1+EXP(-ABS((LN(10^(逐级计算!$Q$80/10)-1)+逐级计算!$Q$80*(CB72-逐级计算!$P$80)*LN(10)/10))))))),"")</f>
        <v>13.7930365742089</v>
      </c>
      <c r="CD72">
        <f>IF(AND(ISNUMBER(CC72),逐级计算!$X$81&gt;-1),IF(逐级计算!$X$81=0,CC72+逐级计算!$C$81,CC72+逐级计算!$C$81-(10/(逐级计算!$Q$81*LN(10))*(MAX((LN(10^(逐级计算!$Q$81/10)-1)+逐级计算!$Q$81*(CC72-逐级计算!$P$81)*LN(10)/10),0)+LN(1+EXP(-ABS((LN(10^(逐级计算!$Q$81/10)-1)+逐级计算!$Q$81*(CC72-逐级计算!$P$81)*LN(10)/10))))))),"")</f>
        <v>13.7930365742089</v>
      </c>
      <c r="CE72">
        <f>IF(AND(ISNUMBER(CD72),逐级计算!$X$82&gt;-1),IF(逐级计算!$X$82=0,CD72+逐级计算!$C$82,CD72+逐级计算!$C$82-(10/(逐级计算!$Q$82*LN(10))*(MAX((LN(10^(逐级计算!$Q$82/10)-1)+逐级计算!$Q$82*(CD72-逐级计算!$P$82)*LN(10)/10),0)+LN(1+EXP(-ABS((LN(10^(逐级计算!$Q$82/10)-1)+逐级计算!$Q$82*(CD72-逐级计算!$P$82)*LN(10)/10))))))),"")</f>
        <v>13.7930365742089</v>
      </c>
      <c r="CF72">
        <f>IF(AND(ISNUMBER(CE72),逐级计算!$X$83&gt;-1),IF(逐级计算!$X$83=0,CE72+逐级计算!$C$83,CE72+逐级计算!$C$83-(10/(逐级计算!$Q$83*LN(10))*(MAX((LN(10^(逐级计算!$Q$83/10)-1)+逐级计算!$Q$83*(CE72-逐级计算!$P$83)*LN(10)/10),0)+LN(1+EXP(-ABS((LN(10^(逐级计算!$Q$83/10)-1)+逐级计算!$Q$83*(CE72-逐级计算!$P$83)*LN(10)/10))))))),"")</f>
        <v>13.7930365742089</v>
      </c>
      <c r="CG72">
        <f>IF(AND(ISNUMBER(CF72),逐级计算!$X$84&gt;-1),IF(逐级计算!$X$84=0,CF72+逐级计算!$C$84,CF72+逐级计算!$C$84-(10/(逐级计算!$Q$84*LN(10))*(MAX((LN(10^(逐级计算!$Q$84/10)-1)+逐级计算!$Q$84*(CF72-逐级计算!$P$84)*LN(10)/10),0)+LN(1+EXP(-ABS((LN(10^(逐级计算!$Q$84/10)-1)+逐级计算!$Q$84*(CF72-逐级计算!$P$84)*LN(10)/10))))))),"")</f>
        <v>13.7930365742089</v>
      </c>
      <c r="CH72">
        <f>IF(AND(ISNUMBER(CG72),逐级计算!$X$85&gt;-1),IF(逐级计算!$X$85=0,CG72+逐级计算!$C$85,CG72+逐级计算!$C$85-(10/(逐级计算!$Q$85*LN(10))*(MAX((LN(10^(逐级计算!$Q$85/10)-1)+逐级计算!$Q$85*(CG72-逐级计算!$P$85)*LN(10)/10),0)+LN(1+EXP(-ABS((LN(10^(逐级计算!$Q$85/10)-1)+逐级计算!$Q$85*(CG72-逐级计算!$P$85)*LN(10)/10))))))),"")</f>
        <v>13.7930365742089</v>
      </c>
      <c r="CI72">
        <f>IF(AND(ISNUMBER(CH72),逐级计算!$X$86&gt;-1),IF(逐级计算!$X$86=0,CH72+逐级计算!$C$86,CH72+逐级计算!$C$86-(10/(逐级计算!$Q$86*LN(10))*(MAX((LN(10^(逐级计算!$Q$86/10)-1)+逐级计算!$Q$86*(CH72-逐级计算!$P$86)*LN(10)/10),0)+LN(1+EXP(-ABS((LN(10^(逐级计算!$Q$86/10)-1)+逐级计算!$Q$86*(CH72-逐级计算!$P$86)*LN(10)/10))))))),"")</f>
        <v>13.7930365742089</v>
      </c>
      <c r="CJ72">
        <f>IF(AND(ISNUMBER(CI72),逐级计算!$X$87&gt;-1),IF(逐级计算!$X$87=0,CI72+逐级计算!$C$87,CI72+逐级计算!$C$87-(10/(逐级计算!$Q$87*LN(10))*(MAX((LN(10^(逐级计算!$Q$87/10)-1)+逐级计算!$Q$87*(CI72-逐级计算!$P$87)*LN(10)/10),0)+LN(1+EXP(-ABS((LN(10^(逐级计算!$Q$87/10)-1)+逐级计算!$Q$87*(CI72-逐级计算!$P$87)*LN(10)/10))))))),"")</f>
        <v>13.7930365742089</v>
      </c>
      <c r="CK72">
        <f>IF(AND(ISNUMBER(CJ72),逐级计算!$X$88&gt;-1),IF(逐级计算!$X$88=0,CJ72+逐级计算!$C$88,CJ72+逐级计算!$C$88-(10/(逐级计算!$Q$88*LN(10))*(MAX((LN(10^(逐级计算!$Q$88/10)-1)+逐级计算!$Q$88*(CJ72-逐级计算!$P$88)*LN(10)/10),0)+LN(1+EXP(-ABS((LN(10^(逐级计算!$Q$88/10)-1)+逐级计算!$Q$88*(CJ72-逐级计算!$P$88)*LN(10)/10))))))),"")</f>
        <v>13.7930365742089</v>
      </c>
      <c r="CL72">
        <f>IF(AND(ISNUMBER(CK72),逐级计算!$X$89&gt;-1),IF(逐级计算!$X$89=0,CK72+逐级计算!$C$89,CK72+逐级计算!$C$89-(10/(逐级计算!$Q$89*LN(10))*(MAX((LN(10^(逐级计算!$Q$89/10)-1)+逐级计算!$Q$89*(CK72-逐级计算!$P$89)*LN(10)/10),0)+LN(1+EXP(-ABS((LN(10^(逐级计算!$Q$89/10)-1)+逐级计算!$Q$89*(CK72-逐级计算!$P$89)*LN(10)/10))))))),"")</f>
        <v>13.7930365742089</v>
      </c>
      <c r="CM72">
        <f>IF(AND(ISNUMBER(CL72),逐级计算!$X$90&gt;-1),IF(逐级计算!$X$90=0,CL72+逐级计算!$C$90,CL72+逐级计算!$C$90-(10/(逐级计算!$Q$90*LN(10))*(MAX((LN(10^(逐级计算!$Q$90/10)-1)+逐级计算!$Q$90*(CL72-逐级计算!$P$90)*LN(10)/10),0)+LN(1+EXP(-ABS((LN(10^(逐级计算!$Q$90/10)-1)+逐级计算!$Q$90*(CL72-逐级计算!$P$90)*LN(10)/10))))))),"")</f>
        <v>13.7930365742089</v>
      </c>
      <c r="CN72">
        <f>IF(AND(ISNUMBER(CM72),逐级计算!$X$91&gt;-1),IF(逐级计算!$X$91=0,CM72+逐级计算!$C$91,CM72+逐级计算!$C$91-(10/(逐级计算!$Q$91*LN(10))*(MAX((LN(10^(逐级计算!$Q$91/10)-1)+逐级计算!$Q$91*(CM72-逐级计算!$P$91)*LN(10)/10),0)+LN(1+EXP(-ABS((LN(10^(逐级计算!$Q$91/10)-1)+逐级计算!$Q$91*(CM72-逐级计算!$P$91)*LN(10)/10))))))),"")</f>
        <v>13.7930365742089</v>
      </c>
      <c r="CO72">
        <f>IF(AND(ISNUMBER(CN72),逐级计算!$X$92&gt;-1),IF(逐级计算!$X$92=0,CN72+逐级计算!$C$92,CN72+逐级计算!$C$92-(10/(逐级计算!$Q$92*LN(10))*(MAX((LN(10^(逐级计算!$Q$92/10)-1)+逐级计算!$Q$92*(CN72-逐级计算!$P$92)*LN(10)/10),0)+LN(1+EXP(-ABS((LN(10^(逐级计算!$Q$92/10)-1)+逐级计算!$Q$92*(CN72-逐级计算!$P$92)*LN(10)/10))))))),"")</f>
        <v>13.7930365742089</v>
      </c>
      <c r="CP72">
        <f>IF(AND(ISNUMBER(CO72),逐级计算!$X$93&gt;-1),IF(逐级计算!$X$93=0,CO72+逐级计算!$C$93,CO72+逐级计算!$C$93-(10/(逐级计算!$Q$93*LN(10))*(MAX((LN(10^(逐级计算!$Q$93/10)-1)+逐级计算!$Q$93*(CO72-逐级计算!$P$93)*LN(10)/10),0)+LN(1+EXP(-ABS((LN(10^(逐级计算!$Q$93/10)-1)+逐级计算!$Q$93*(CO72-逐级计算!$P$93)*LN(10)/10))))))),"")</f>
        <v>13.7930365742089</v>
      </c>
      <c r="CQ72">
        <f>IF(AND(ISNUMBER(CP72),逐级计算!$X$94&gt;-1),IF(逐级计算!$X$94=0,CP72+逐级计算!$C$94,CP72+逐级计算!$C$94-(10/(逐级计算!$Q$94*LN(10))*(MAX((LN(10^(逐级计算!$Q$94/10)-1)+逐级计算!$Q$94*(CP72-逐级计算!$P$94)*LN(10)/10),0)+LN(1+EXP(-ABS((LN(10^(逐级计算!$Q$94/10)-1)+逐级计算!$Q$94*(CP72-逐级计算!$P$94)*LN(10)/10))))))),"")</f>
        <v>13.7930365742089</v>
      </c>
      <c r="CR72">
        <f>IF(AND(ISNUMBER(CQ72),逐级计算!$X$95&gt;-1),IF(逐级计算!$X$95=0,CQ72+逐级计算!$C$95,CQ72+逐级计算!$C$95-(10/(逐级计算!$Q$95*LN(10))*(MAX((LN(10^(逐级计算!$Q$95/10)-1)+逐级计算!$Q$95*(CQ72-逐级计算!$P$95)*LN(10)/10),0)+LN(1+EXP(-ABS((LN(10^(逐级计算!$Q$95/10)-1)+逐级计算!$Q$95*(CQ72-逐级计算!$P$95)*LN(10)/10))))))),"")</f>
        <v>13.7930365742089</v>
      </c>
      <c r="CS72">
        <f>IF(AND(ISNUMBER(CR72),逐级计算!$X$96&gt;-1),IF(逐级计算!$X$96=0,CR72+逐级计算!$C$96,CR72+逐级计算!$C$96-(10/(逐级计算!$Q$96*LN(10))*(MAX((LN(10^(逐级计算!$Q$96/10)-1)+逐级计算!$Q$96*(CR72-逐级计算!$P$96)*LN(10)/10),0)+LN(1+EXP(-ABS((LN(10^(逐级计算!$Q$96/10)-1)+逐级计算!$Q$96*(CR72-逐级计算!$P$96)*LN(10)/10))))))),"")</f>
        <v>13.7930365742089</v>
      </c>
      <c r="CT72">
        <f>IF(AND(ISNUMBER(CS72),逐级计算!$X$97&gt;-1),IF(逐级计算!$X$97=0,CS72+逐级计算!$C$97,CS72+逐级计算!$C$97-(10/(逐级计算!$Q$97*LN(10))*(MAX((LN(10^(逐级计算!$Q$97/10)-1)+逐级计算!$Q$97*(CS72-逐级计算!$P$97)*LN(10)/10),0)+LN(1+EXP(-ABS((LN(10^(逐级计算!$Q$97/10)-1)+逐级计算!$Q$97*(CS72-逐级计算!$P$97)*LN(10)/10))))))),"")</f>
        <v>13.7930365742089</v>
      </c>
      <c r="CU72">
        <f>IF(AND(ISNUMBER(CT72),逐级计算!$X$98&gt;-1),IF(逐级计算!$X$98=0,CT72+逐级计算!$C$98,CT72+逐级计算!$C$98-(10/(逐级计算!$Q$98*LN(10))*(MAX((LN(10^(逐级计算!$Q$98/10)-1)+逐级计算!$Q$98*(CT72-逐级计算!$P$98)*LN(10)/10),0)+LN(1+EXP(-ABS((LN(10^(逐级计算!$Q$98/10)-1)+逐级计算!$Q$98*(CT72-逐级计算!$P$98)*LN(10)/10))))))),"")</f>
        <v>13.7930365742089</v>
      </c>
      <c r="CV72">
        <f>IF(AND(ISNUMBER(CU72),逐级计算!$X$99&gt;-1),IF(逐级计算!$X$99=0,CU72+逐级计算!$C$99,CU72+逐级计算!$C$99-(10/(逐级计算!$Q$99*LN(10))*(MAX((LN(10^(逐级计算!$Q$99/10)-1)+逐级计算!$Q$99*(CU72-逐级计算!$P$99)*LN(10)/10),0)+LN(1+EXP(-ABS((LN(10^(逐级计算!$Q$99/10)-1)+逐级计算!$Q$99*(CU72-逐级计算!$P$99)*LN(10)/10))))))),"")</f>
        <v>13.7930365742089</v>
      </c>
      <c r="CW72">
        <f>IF(AND(ISNUMBER(CV72),逐级计算!$X$100&gt;-1),IF(逐级计算!$X$100=0,CV72+逐级计算!$C$100,CV72+逐级计算!$C$100-(10/(逐级计算!$Q$100*LN(10))*(MAX((LN(10^(逐级计算!$Q$100/10)-1)+逐级计算!$Q$100*(CV72-逐级计算!$P$100)*LN(10)/10),0)+LN(1+EXP(-ABS((LN(10^(逐级计算!$Q$100/10)-1)+逐级计算!$Q$100*(CV72-逐级计算!$P$100)*LN(10)/10))))))),"")</f>
        <v>13.7930365742089</v>
      </c>
      <c r="CX72">
        <f>IF(AND(ISNUMBER(CW72),逐级计算!$X$101&gt;-1),IF(逐级计算!$X$101=0,CW72+逐级计算!$C$101,CW72+逐级计算!$C$101-(10/(逐级计算!$Q$101*LN(10))*(MAX((LN(10^(逐级计算!$Q$101/10)-1)+逐级计算!$Q$101*(CW72-逐级计算!$P$101)*LN(10)/10),0)+LN(1+EXP(-ABS((LN(10^(逐级计算!$Q$101/10)-1)+逐级计算!$Q$101*(CW72-逐级计算!$P$101)*LN(10)/10))))))),"")</f>
        <v>13.7930365742089</v>
      </c>
      <c r="CY72">
        <f>IF(AND(ISNUMBER(CX72),逐级计算!$X$102&gt;-1),IF(逐级计算!$X$102=0,CX72+逐级计算!$C$102,CX72+逐级计算!$C$102-(10/(逐级计算!$Q$102*LN(10))*(MAX((LN(10^(逐级计算!$Q$102/10)-1)+逐级计算!$Q$102*(CX72-逐级计算!$P$102)*LN(10)/10),0)+LN(1+EXP(-ABS((LN(10^(逐级计算!$Q$102/10)-1)+逐级计算!$Q$102*(CX72-逐级计算!$P$102)*LN(10)/10))))))),"")</f>
        <v>13.7930365742089</v>
      </c>
      <c r="CZ72">
        <f>IF(AND(ISNUMBER(CY72),逐级计算!$X$103&gt;-1),IF(逐级计算!$X$103=0,CY72+逐级计算!$C$103,CY72+逐级计算!$C$103-(10/(逐级计算!$Q$103*LN(10))*(MAX((LN(10^(逐级计算!$Q$103/10)-1)+逐级计算!$Q$103*(CY72-逐级计算!$P$103)*LN(10)/10),0)+LN(1+EXP(-ABS((LN(10^(逐级计算!$Q$103/10)-1)+逐级计算!$Q$103*(CY72-逐级计算!$P$103)*LN(10)/10))))))),"")</f>
        <v>13.7930365742089</v>
      </c>
      <c r="DA72">
        <f>IF(AND(ISNUMBER(CZ72),逐级计算!$X$104&gt;-1),IF(逐级计算!$X$104=0,CZ72+逐级计算!$C$104,CZ72+逐级计算!$C$104-(10/(逐级计算!$Q$104*LN(10))*(MAX((LN(10^(逐级计算!$Q$104/10)-1)+逐级计算!$Q$104*(CZ72-逐级计算!$P$104)*LN(10)/10),0)+LN(1+EXP(-ABS((LN(10^(逐级计算!$Q$104/10)-1)+逐级计算!$Q$104*(CZ72-逐级计算!$P$104)*LN(10)/10))))))),"")</f>
        <v>13.7930365742089</v>
      </c>
      <c r="DB72">
        <f>IF(AND(ISNUMBER(DA72),逐级计算!$X$105&gt;-1),IF(逐级计算!$X$105=0,DA72+逐级计算!$C$105,DA72+逐级计算!$C$105-(10/(逐级计算!$Q$105*LN(10))*(MAX((LN(10^(逐级计算!$Q$105/10)-1)+逐级计算!$Q$105*(DA72-逐级计算!$P$105)*LN(10)/10),0)+LN(1+EXP(-ABS((LN(10^(逐级计算!$Q$105/10)-1)+逐级计算!$Q$105*(DA72-逐级计算!$P$105)*LN(10)/10))))))),"")</f>
        <v>13.7930365742089</v>
      </c>
      <c r="DC72">
        <f>IF(AND(ISNUMBER(DB72),逐级计算!$X$106&gt;-1),IF(逐级计算!$X$106=0,DB72+逐级计算!$C$106,DB72+逐级计算!$C$106-(10/(逐级计算!$Q$106*LN(10))*(MAX((LN(10^(逐级计算!$Q$106/10)-1)+逐级计算!$Q$106*(DB72-逐级计算!$P$106)*LN(10)/10),0)+LN(1+EXP(-ABS((LN(10^(逐级计算!$Q$106/10)-1)+逐级计算!$Q$106*(DB72-逐级计算!$P$106)*LN(10)/10))))))),"")</f>
        <v>13.7930365742089</v>
      </c>
      <c r="DD72">
        <f>IF(AND(ISNUMBER(DC72),逐级计算!$X$107&gt;-1),IF(逐级计算!$X$107=0,DC72+逐级计算!$C$107,DC72+逐级计算!$C$107-(10/(逐级计算!$Q$107*LN(10))*(MAX((LN(10^(逐级计算!$Q$107/10)-1)+逐级计算!$Q$107*(DC72-逐级计算!$P$107)*LN(10)/10),0)+LN(1+EXP(-ABS((LN(10^(逐级计算!$Q$107/10)-1)+逐级计算!$Q$107*(DC72-逐级计算!$P$107)*LN(10)/10))))))),"")</f>
        <v>13.7930365742089</v>
      </c>
      <c r="DE72">
        <f>IF(AND(ISNUMBER(DD72),逐级计算!$X$108&gt;-1),IF(逐级计算!$X$108=0,DD72+逐级计算!$C$108,DD72+逐级计算!$C$108-(10/(逐级计算!$Q$108*LN(10))*(MAX((LN(10^(逐级计算!$Q$108/10)-1)+逐级计算!$Q$108*(DD72-逐级计算!$P$108)*LN(10)/10),0)+LN(1+EXP(-ABS((LN(10^(逐级计算!$Q$108/10)-1)+逐级计算!$Q$108*(DD72-逐级计算!$P$108)*LN(10)/10))))))),"")</f>
        <v>13.7930365742089</v>
      </c>
      <c r="DF72">
        <f>IF(AND(ISNUMBER(DE72),逐级计算!$X$109&gt;-1),IF(逐级计算!$X$109=0,DE72+逐级计算!$C$109,DE72+逐级计算!$C$109-(10/(逐级计算!$Q$109*LN(10))*(MAX((LN(10^(逐级计算!$Q$109/10)-1)+逐级计算!$Q$109*(DE72-逐级计算!$P$109)*LN(10)/10),0)+LN(1+EXP(-ABS((LN(10^(逐级计算!$Q$109/10)-1)+逐级计算!$Q$109*(DE72-逐级计算!$P$109)*LN(10)/10))))))),"")</f>
        <v>13.7930365742089</v>
      </c>
      <c r="DG72">
        <f>IF(AND(ISNUMBER(DF72),逐级计算!$X$110&gt;-1),IF(逐级计算!$X$110=0,DF72+逐级计算!$C$110,DF72+逐级计算!$C$110-(10/(逐级计算!$Q$110*LN(10))*(MAX((LN(10^(逐级计算!$Q$110/10)-1)+逐级计算!$Q$110*(DF72-逐级计算!$P$110)*LN(10)/10),0)+LN(1+EXP(-ABS((LN(10^(逐级计算!$Q$110/10)-1)+逐级计算!$Q$110*(DF72-逐级计算!$P$110)*LN(10)/10))))))),"")</f>
        <v>13.7930365742089</v>
      </c>
      <c r="DH72">
        <f>IF(AND(ISNUMBER(DG72),逐级计算!$X$111&gt;-1),IF(逐级计算!$X$111=0,DG72+逐级计算!$C$111,DG72+逐级计算!$C$111-(10/(逐级计算!$Q$111*LN(10))*(MAX((LN(10^(逐级计算!$Q$111/10)-1)+逐级计算!$Q$111*(DG72-逐级计算!$P$111)*LN(10)/10),0)+LN(1+EXP(-ABS((LN(10^(逐级计算!$Q$111/10)-1)+逐级计算!$Q$111*(DG72-逐级计算!$P$111)*LN(10)/10))))))),"")</f>
        <v>13.7930365742089</v>
      </c>
      <c r="DI72">
        <f>IF(AND(ISNUMBER(DH72),逐级计算!$X$112&gt;-1),IF(逐级计算!$X$112=0,DH72+逐级计算!$C$112,DH72+逐级计算!$C$112-(10/(逐级计算!$Q$112*LN(10))*(MAX((LN(10^(逐级计算!$Q$112/10)-1)+逐级计算!$Q$112*(DH72-逐级计算!$P$112)*LN(10)/10),0)+LN(1+EXP(-ABS((LN(10^(逐级计算!$Q$112/10)-1)+逐级计算!$Q$112*(DH72-逐级计算!$P$112)*LN(10)/10))))))),"")</f>
        <v>13.7930365742089</v>
      </c>
      <c r="DJ72">
        <f>IF(AND(ISNUMBER(DI72),逐级计算!$X$113&gt;-1),IF(逐级计算!$X$113=0,DI72+逐级计算!$C$113,DI72+逐级计算!$C$113-(10/(逐级计算!$Q$113*LN(10))*(MAX((LN(10^(逐级计算!$Q$113/10)-1)+逐级计算!$Q$113*(DI72-逐级计算!$P$113)*LN(10)/10),0)+LN(1+EXP(-ABS((LN(10^(逐级计算!$Q$113/10)-1)+逐级计算!$Q$113*(DI72-逐级计算!$P$113)*LN(10)/10))))))),"")</f>
        <v>13.7930365742089</v>
      </c>
      <c r="DK72">
        <f>IF(AND(ISNUMBER(DJ72),逐级计算!$X$114&gt;-1),IF(逐级计算!$X$114=0,DJ72+逐级计算!$C$114,DJ72+逐级计算!$C$114-(10/(逐级计算!$Q$114*LN(10))*(MAX((LN(10^(逐级计算!$Q$114/10)-1)+逐级计算!$Q$114*(DJ72-逐级计算!$P$114)*LN(10)/10),0)+LN(1+EXP(-ABS((LN(10^(逐级计算!$Q$114/10)-1)+逐级计算!$Q$114*(DJ72-逐级计算!$P$114)*LN(10)/10))))))),"")</f>
        <v>13.7930365742089</v>
      </c>
      <c r="DL72">
        <f>IF(AND(ISNUMBER(DK72),逐级计算!$X$115&gt;-1),IF(逐级计算!$X$115=0,DK72+逐级计算!$C$115,DK72+逐级计算!$C$115-(10/(逐级计算!$Q$115*LN(10))*(MAX((LN(10^(逐级计算!$Q$115/10)-1)+逐级计算!$Q$115*(DK72-逐级计算!$P$115)*LN(10)/10),0)+LN(1+EXP(-ABS((LN(10^(逐级计算!$Q$115/10)-1)+逐级计算!$Q$115*(DK72-逐级计算!$P$115)*LN(10)/10))))))),"")</f>
        <v>13.7930365742089</v>
      </c>
      <c r="DM72">
        <f>IF(AND(ISNUMBER(DL72),逐级计算!$X$116&gt;-1),IF(逐级计算!$X$116=0,DL72+逐级计算!$C$116,DL72+逐级计算!$C$116-(10/(逐级计算!$Q$116*LN(10))*(MAX((LN(10^(逐级计算!$Q$116/10)-1)+逐级计算!$Q$116*(DL72-逐级计算!$P$116)*LN(10)/10),0)+LN(1+EXP(-ABS((LN(10^(逐级计算!$Q$116/10)-1)+逐级计算!$Q$116*(DL72-逐级计算!$P$116)*LN(10)/10))))))),"")</f>
        <v>13.7930365742089</v>
      </c>
      <c r="DN72">
        <f>IF(AND(ISNUMBER(DM72),逐级计算!$X$117&gt;-1),IF(逐级计算!$X$117=0,DM72+逐级计算!$C$117,DM72+逐级计算!$C$117-(10/(逐级计算!$Q$117*LN(10))*(MAX((LN(10^(逐级计算!$Q$117/10)-1)+逐级计算!$Q$117*(DM72-逐级计算!$P$117)*LN(10)/10),0)+LN(1+EXP(-ABS((LN(10^(逐级计算!$Q$117/10)-1)+逐级计算!$Q$117*(DM72-逐级计算!$P$117)*LN(10)/10))))))),"")</f>
        <v>13.7930365742089</v>
      </c>
      <c r="DO72">
        <f>IF(AND(ISNUMBER(DN72),逐级计算!$X$118&gt;-1),IF(逐级计算!$X$118=0,DN72+逐级计算!$C$118,DN72+逐级计算!$C$118-(10/(逐级计算!$Q$118*LN(10))*(MAX((LN(10^(逐级计算!$Q$118/10)-1)+逐级计算!$Q$118*(DN72-逐级计算!$P$118)*LN(10)/10),0)+LN(1+EXP(-ABS((LN(10^(逐级计算!$Q$118/10)-1)+逐级计算!$Q$118*(DN72-逐级计算!$P$118)*LN(10)/10))))))),"")</f>
        <v>13.7930365742089</v>
      </c>
      <c r="DP72">
        <f>IF(AND(ISNUMBER(DO72),逐级计算!$X$119&gt;-1),IF(逐级计算!$X$119=0,DO72+逐级计算!$C$119,DO72+逐级计算!$C$119-(10/(逐级计算!$Q$119*LN(10))*(MAX((LN(10^(逐级计算!$Q$119/10)-1)+逐级计算!$Q$119*(DO72-逐级计算!$P$119)*LN(10)/10),0)+LN(1+EXP(-ABS((LN(10^(逐级计算!$Q$119/10)-1)+逐级计算!$Q$119*(DO72-逐级计算!$P$119)*LN(10)/10))))))),"")</f>
        <v>13.7930365742089</v>
      </c>
      <c r="DQ72">
        <f>IF(AND(ISNUMBER(DP72),逐级计算!$X$120&gt;-1),IF(逐级计算!$X$120=0,DP72+逐级计算!$C$120,DP72+逐级计算!$C$120-(10/(逐级计算!$Q$120*LN(10))*(MAX((LN(10^(逐级计算!$Q$120/10)-1)+逐级计算!$Q$120*(DP72-逐级计算!$P$120)*LN(10)/10),0)+LN(1+EXP(-ABS((LN(10^(逐级计算!$Q$120/10)-1)+逐级计算!$Q$120*(DP72-逐级计算!$P$120)*LN(10)/10))))))),"")</f>
        <v>13.7930365742089</v>
      </c>
      <c r="DR72">
        <f>IF(AND(ISNUMBER(DQ72),逐级计算!$X$121&gt;-1),IF(逐级计算!$X$121=0,DQ72+逐级计算!$C$121,DQ72+逐级计算!$C$121-(10/(逐级计算!$Q$121*LN(10))*(MAX((LN(10^(逐级计算!$Q$121/10)-1)+逐级计算!$Q$121*(DQ72-逐级计算!$P$121)*LN(10)/10),0)+LN(1+EXP(-ABS((LN(10^(逐级计算!$Q$121/10)-1)+逐级计算!$Q$121*(DQ72-逐级计算!$P$121)*LN(10)/10))))))),"")</f>
        <v>13.7930365742089</v>
      </c>
      <c r="DS72">
        <f>IF(AND(ISNUMBER(DR72),逐级计算!$X$122&gt;-1),IF(逐级计算!$X$122=0,DR72+逐级计算!$C$122,DR72+逐级计算!$C$122-(10/(逐级计算!$Q$122*LN(10))*(MAX((LN(10^(逐级计算!$Q$122/10)-1)+逐级计算!$Q$122*(DR72-逐级计算!$P$122)*LN(10)/10),0)+LN(1+EXP(-ABS((LN(10^(逐级计算!$Q$122/10)-1)+逐级计算!$Q$122*(DR72-逐级计算!$P$122)*LN(10)/10))))))),"")</f>
        <v>13.7930365742089</v>
      </c>
      <c r="DT72">
        <f>IF(AND(ISNUMBER(DS72),逐级计算!$X$123&gt;-1),IF(逐级计算!$X$123=0,DS72+逐级计算!$C$123,DS72+逐级计算!$C$123-(10/(逐级计算!$Q$123*LN(10))*(MAX((LN(10^(逐级计算!$Q$123/10)-1)+逐级计算!$Q$123*(DS72-逐级计算!$P$123)*LN(10)/10),0)+LN(1+EXP(-ABS((LN(10^(逐级计算!$Q$123/10)-1)+逐级计算!$Q$123*(DS72-逐级计算!$P$123)*LN(10)/10))))))),"")</f>
        <v>13.7930365742089</v>
      </c>
      <c r="DU72">
        <f>IF(AND(ISNUMBER(DT72),逐级计算!$X$124&gt;-1),IF(逐级计算!$X$124=0,DT72+逐级计算!$C$124,DT72+逐级计算!$C$124-(10/(逐级计算!$Q$124*LN(10))*(MAX((LN(10^(逐级计算!$Q$124/10)-1)+逐级计算!$Q$124*(DT72-逐级计算!$P$124)*LN(10)/10),0)+LN(1+EXP(-ABS((LN(10^(逐级计算!$Q$124/10)-1)+逐级计算!$Q$124*(DT72-逐级计算!$P$124)*LN(10)/10))))))),"")</f>
        <v>13.7930365742089</v>
      </c>
      <c r="DV72">
        <f>IF(AND(ISNUMBER(DU72),逐级计算!$X$125&gt;-1),IF(逐级计算!$X$125=0,DU72+逐级计算!$C$125,DU72+逐级计算!$C$125-(10/(逐级计算!$Q$125*LN(10))*(MAX((LN(10^(逐级计算!$Q$125/10)-1)+逐级计算!$Q$125*(DU72-逐级计算!$P$125)*LN(10)/10),0)+LN(1+EXP(-ABS((LN(10^(逐级计算!$Q$125/10)-1)+逐级计算!$Q$125*(DU72-逐级计算!$P$125)*LN(10)/10))))))),"")</f>
        <v>13.7930365742089</v>
      </c>
      <c r="DW72">
        <f>IF(AND(ISNUMBER(DV72),逐级计算!$X$126&gt;-1),IF(逐级计算!$X$126=0,DV72+逐级计算!$C$126,DV72+逐级计算!$C$126-(10/(逐级计算!$Q$126*LN(10))*(MAX((LN(10^(逐级计算!$Q$126/10)-1)+逐级计算!$Q$126*(DV72-逐级计算!$P$126)*LN(10)/10),0)+LN(1+EXP(-ABS((LN(10^(逐级计算!$Q$126/10)-1)+逐级计算!$Q$126*(DV72-逐级计算!$P$126)*LN(10)/10))))))),"")</f>
        <v>13.7930365742089</v>
      </c>
      <c r="DX72">
        <f>IF(AND(ISNUMBER(DW72),逐级计算!$X$127&gt;-1),IF(逐级计算!$X$127=0,DW72+逐级计算!$C$127,DW72+逐级计算!$C$127-(10/(逐级计算!$Q$127*LN(10))*(MAX((LN(10^(逐级计算!$Q$127/10)-1)+逐级计算!$Q$127*(DW72-逐级计算!$P$127)*LN(10)/10),0)+LN(1+EXP(-ABS((LN(10^(逐级计算!$Q$127/10)-1)+逐级计算!$Q$127*(DW72-逐级计算!$P$127)*LN(10)/10))))))),"")</f>
        <v>13.7930365742089</v>
      </c>
      <c r="DY72">
        <f>IF(AND(ISNUMBER(DX72),逐级计算!$X$128&gt;-1),IF(逐级计算!$X$128=0,DX72+逐级计算!$C$128,DX72+逐级计算!$C$128-(10/(逐级计算!$Q$128*LN(10))*(MAX((LN(10^(逐级计算!$Q$128/10)-1)+逐级计算!$Q$128*(DX72-逐级计算!$P$128)*LN(10)/10),0)+LN(1+EXP(-ABS((LN(10^(逐级计算!$Q$128/10)-1)+逐级计算!$Q$128*(DX72-逐级计算!$P$128)*LN(10)/10))))))),"")</f>
        <v>13.7930365742089</v>
      </c>
      <c r="DZ72">
        <f>IF(AND(ISNUMBER(DY72),逐级计算!$X$129&gt;-1),IF(逐级计算!$X$129=0,DY72+逐级计算!$C$129,DY72+逐级计算!$C$129-(10/(逐级计算!$Q$129*LN(10))*(MAX((LN(10^(逐级计算!$Q$129/10)-1)+逐级计算!$Q$129*(DY72-逐级计算!$P$129)*LN(10)/10),0)+LN(1+EXP(-ABS((LN(10^(逐级计算!$Q$129/10)-1)+逐级计算!$Q$129*(DY72-逐级计算!$P$129)*LN(10)/10))))))),"")</f>
        <v>13.7930365742089</v>
      </c>
      <c r="EA72">
        <f>IF(AND(ISNUMBER(DZ72),逐级计算!$X$130&gt;-1),IF(逐级计算!$X$130=0,DZ72+逐级计算!$C$130,DZ72+逐级计算!$C$130-(10/(逐级计算!$Q$130*LN(10))*(MAX((LN(10^(逐级计算!$Q$130/10)-1)+逐级计算!$Q$130*(DZ72-逐级计算!$P$130)*LN(10)/10),0)+LN(1+EXP(-ABS((LN(10^(逐级计算!$Q$130/10)-1)+逐级计算!$Q$130*(DZ72-逐级计算!$P$130)*LN(10)/10))))))),"")</f>
        <v>13.7930365742089</v>
      </c>
      <c r="EB72">
        <f>IF(AND(ISNUMBER(EA72),逐级计算!$X$131&gt;-1),IF(逐级计算!$X$131=0,EA72+逐级计算!$C$131,EA72+逐级计算!$C$131-(10/(逐级计算!$Q$131*LN(10))*(MAX((LN(10^(逐级计算!$Q$131/10)-1)+逐级计算!$Q$131*(EA72-逐级计算!$P$131)*LN(10)/10),0)+LN(1+EXP(-ABS((LN(10^(逐级计算!$Q$131/10)-1)+逐级计算!$Q$131*(EA72-逐级计算!$P$131)*LN(10)/10))))))),"")</f>
        <v>13.7930365742089</v>
      </c>
      <c r="EC72">
        <f>IF(AND(ISNUMBER(EB72),逐级计算!$X$132&gt;-1),IF(逐级计算!$X$132=0,EB72+逐级计算!$C$132,EB72+逐级计算!$C$132-(10/(逐级计算!$Q$132*LN(10))*(MAX((LN(10^(逐级计算!$Q$132/10)-1)+逐级计算!$Q$132*(EB72-逐级计算!$P$132)*LN(10)/10),0)+LN(1+EXP(-ABS((LN(10^(逐级计算!$Q$132/10)-1)+逐级计算!$Q$132*(EB72-逐级计算!$P$132)*LN(10)/10))))))),"")</f>
        <v>13.7930365742089</v>
      </c>
      <c r="ED72">
        <f>IF(AND(ISNUMBER(EC72),逐级计算!$X$133&gt;-1),IF(逐级计算!$X$133=0,EC72+逐级计算!$C$133,EC72+逐级计算!$C$133-(10/(逐级计算!$Q$133*LN(10))*(MAX((LN(10^(逐级计算!$Q$133/10)-1)+逐级计算!$Q$133*(EC72-逐级计算!$P$133)*LN(10)/10),0)+LN(1+EXP(-ABS((LN(10^(逐级计算!$Q$133/10)-1)+逐级计算!$Q$133*(EC72-逐级计算!$P$133)*LN(10)/10))))))),"")</f>
        <v>13.7930365742089</v>
      </c>
      <c r="EE72">
        <f>IF(AND(ISNUMBER(ED72),逐级计算!$X$134&gt;-1),IF(逐级计算!$X$134=0,ED72+逐级计算!$C$134,ED72+逐级计算!$C$134-(10/(逐级计算!$Q$134*LN(10))*(MAX((LN(10^(逐级计算!$Q$134/10)-1)+逐级计算!$Q$134*(ED72-逐级计算!$P$134)*LN(10)/10),0)+LN(1+EXP(-ABS((LN(10^(逐级计算!$Q$134/10)-1)+逐级计算!$Q$134*(ED72-逐级计算!$P$134)*LN(10)/10))))))),"")</f>
        <v>13.7930365742089</v>
      </c>
      <c r="EF72">
        <f>IF(AND(ISNUMBER(EE72),逐级计算!$X$135&gt;-1),IF(逐级计算!$X$135=0,EE72+逐级计算!$C$135,EE72+逐级计算!$C$135-(10/(逐级计算!$Q$135*LN(10))*(MAX((LN(10^(逐级计算!$Q$135/10)-1)+逐级计算!$Q$135*(EE72-逐级计算!$P$135)*LN(10)/10),0)+LN(1+EXP(-ABS((LN(10^(逐级计算!$Q$135/10)-1)+逐级计算!$Q$135*(EE72-逐级计算!$P$135)*LN(10)/10))))))),"")</f>
        <v>13.7930365742089</v>
      </c>
      <c r="EG72">
        <f>IF(AND(ISNUMBER(EF72),逐级计算!$X$136&gt;-1),IF(逐级计算!$X$136=0,EF72+逐级计算!$C$136,EF72+逐级计算!$C$136-(10/(逐级计算!$Q$136*LN(10))*(MAX((LN(10^(逐级计算!$Q$136/10)-1)+逐级计算!$Q$136*(EF72-逐级计算!$P$136)*LN(10)/10),0)+LN(1+EXP(-ABS((LN(10^(逐级计算!$Q$136/10)-1)+逐级计算!$Q$136*(EF72-逐级计算!$P$136)*LN(10)/10))))))),"")</f>
        <v>13.7930365742089</v>
      </c>
      <c r="EH72">
        <f>IF(AND(ISNUMBER(EG72),逐级计算!$X$137&gt;-1),IF(逐级计算!$X$137=0,EG72+逐级计算!$C$137,EG72+逐级计算!$C$137-(10/(逐级计算!$Q$137*LN(10))*(MAX((LN(10^(逐级计算!$Q$137/10)-1)+逐级计算!$Q$137*(EG72-逐级计算!$P$137)*LN(10)/10),0)+LN(1+EXP(-ABS((LN(10^(逐级计算!$Q$137/10)-1)+逐级计算!$Q$137*(EG72-逐级计算!$P$137)*LN(10)/10))))))),"")</f>
        <v>13.7930365742089</v>
      </c>
      <c r="EI72">
        <f>IF(AND(ISNUMBER(EH72),逐级计算!$X$138&gt;-1),IF(逐级计算!$X$138=0,EH72+逐级计算!$C$138,EH72+逐级计算!$C$138-(10/(逐级计算!$Q$138*LN(10))*(MAX((LN(10^(逐级计算!$Q$138/10)-1)+逐级计算!$Q$138*(EH72-逐级计算!$P$138)*LN(10)/10),0)+LN(1+EXP(-ABS((LN(10^(逐级计算!$Q$138/10)-1)+逐级计算!$Q$138*(EH72-逐级计算!$P$138)*LN(10)/10))))))),"")</f>
        <v>13.7930365742089</v>
      </c>
      <c r="EJ72">
        <f>IF(AND(ISNUMBER(EI72),逐级计算!$X$139&gt;-1),IF(逐级计算!$X$139=0,EI72+逐级计算!$C$139,EI72+逐级计算!$C$139-(10/(逐级计算!$Q$139*LN(10))*(MAX((LN(10^(逐级计算!$Q$139/10)-1)+逐级计算!$Q$139*(EI72-逐级计算!$P$139)*LN(10)/10),0)+LN(1+EXP(-ABS((LN(10^(逐级计算!$Q$139/10)-1)+逐级计算!$Q$139*(EI72-逐级计算!$P$139)*LN(10)/10))))))),"")</f>
        <v>13.7930365742089</v>
      </c>
      <c r="EK72">
        <f>IF(AND(ISNUMBER(EJ72),逐级计算!$X$140&gt;-1),IF(逐级计算!$X$140=0,EJ72+逐级计算!$C$140,EJ72+逐级计算!$C$140-(10/(逐级计算!$Q$140*LN(10))*(MAX((LN(10^(逐级计算!$Q$140/10)-1)+逐级计算!$Q$140*(EJ72-逐级计算!$P$140)*LN(10)/10),0)+LN(1+EXP(-ABS((LN(10^(逐级计算!$Q$140/10)-1)+逐级计算!$Q$140*(EJ72-逐级计算!$P$140)*LN(10)/10))))))),"")</f>
        <v>13.7930365742089</v>
      </c>
      <c r="EL72">
        <f>IF(AND(ISNUMBER(EK72),逐级计算!$X$141&gt;-1),IF(逐级计算!$X$141=0,EK72+逐级计算!$C$141,EK72+逐级计算!$C$141-(10/(逐级计算!$Q$141*LN(10))*(MAX((LN(10^(逐级计算!$Q$141/10)-1)+逐级计算!$Q$141*(EK72-逐级计算!$P$141)*LN(10)/10),0)+LN(1+EXP(-ABS((LN(10^(逐级计算!$Q$141/10)-1)+逐级计算!$Q$141*(EK72-逐级计算!$P$141)*LN(10)/10))))))),"")</f>
        <v>13.7930365742089</v>
      </c>
      <c r="EM72">
        <f>IF(AND(ISNUMBER(EL72),逐级计算!$X$142&gt;-1),IF(逐级计算!$X$142=0,EL72+逐级计算!$C$142,EL72+逐级计算!$C$142-(10/(逐级计算!$Q$142*LN(10))*(MAX((LN(10^(逐级计算!$Q$142/10)-1)+逐级计算!$Q$142*(EL72-逐级计算!$P$142)*LN(10)/10),0)+LN(1+EXP(-ABS((LN(10^(逐级计算!$Q$142/10)-1)+逐级计算!$Q$142*(EL72-逐级计算!$P$142)*LN(10)/10))))))),"")</f>
        <v>13.7930365742089</v>
      </c>
      <c r="EN72">
        <f>IF(AND(ISNUMBER(EM72),逐级计算!$X$143&gt;-1),IF(逐级计算!$X$143=0,EM72+逐级计算!$C$143,EM72+逐级计算!$C$143-(10/(逐级计算!$Q$143*LN(10))*(MAX((LN(10^(逐级计算!$Q$143/10)-1)+逐级计算!$Q$143*(EM72-逐级计算!$P$143)*LN(10)/10),0)+LN(1+EXP(-ABS((LN(10^(逐级计算!$Q$143/10)-1)+逐级计算!$Q$143*(EM72-逐级计算!$P$143)*LN(10)/10))))))),"")</f>
        <v>13.7930365742089</v>
      </c>
      <c r="EO72">
        <f>IF(AND(ISNUMBER(EN72),逐级计算!$X$144&gt;-1),IF(逐级计算!$X$144=0,EN72+逐级计算!$C$144,EN72+逐级计算!$C$144-(10/(逐级计算!$Q$144*LN(10))*(MAX((LN(10^(逐级计算!$Q$144/10)-1)+逐级计算!$Q$144*(EN72-逐级计算!$P$144)*LN(10)/10),0)+LN(1+EXP(-ABS((LN(10^(逐级计算!$Q$144/10)-1)+逐级计算!$Q$144*(EN72-逐级计算!$P$144)*LN(10)/10))))))),"")</f>
        <v>13.7930365742089</v>
      </c>
      <c r="EP72">
        <f>IF(AND(ISNUMBER(EO72),逐级计算!$X$145&gt;-1),IF(逐级计算!$X$145=0,EO72+逐级计算!$C$145,EO72+逐级计算!$C$145-(10/(逐级计算!$Q$145*LN(10))*(MAX((LN(10^(逐级计算!$Q$145/10)-1)+逐级计算!$Q$145*(EO72-逐级计算!$P$145)*LN(10)/10),0)+LN(1+EXP(-ABS((LN(10^(逐级计算!$Q$145/10)-1)+逐级计算!$Q$145*(EO72-逐级计算!$P$145)*LN(10)/10))))))),"")</f>
        <v>13.7930365742089</v>
      </c>
      <c r="EQ72">
        <f>IF(AND(ISNUMBER(EP72),逐级计算!$X$146&gt;-1),IF(逐级计算!$X$146=0,EP72+逐级计算!$C$146,EP72+逐级计算!$C$146-(10/(逐级计算!$Q$146*LN(10))*(MAX((LN(10^(逐级计算!$Q$146/10)-1)+逐级计算!$Q$146*(EP72-逐级计算!$P$146)*LN(10)/10),0)+LN(1+EXP(-ABS((LN(10^(逐级计算!$Q$146/10)-1)+逐级计算!$Q$146*(EP72-逐级计算!$P$146)*LN(10)/10))))))),"")</f>
        <v>13.7930365742089</v>
      </c>
      <c r="ER72">
        <f>IF(AND(ISNUMBER(EQ72),逐级计算!$X$147&gt;-1),IF(逐级计算!$X$147=0,EQ72+逐级计算!$C$147,EQ72+逐级计算!$C$147-(10/(逐级计算!$Q$147*LN(10))*(MAX((LN(10^(逐级计算!$Q$147/10)-1)+逐级计算!$Q$147*(EQ72-逐级计算!$P$147)*LN(10)/10),0)+LN(1+EXP(-ABS((LN(10^(逐级计算!$Q$147/10)-1)+逐级计算!$Q$147*(EQ72-逐级计算!$P$147)*LN(10)/10))))))),"")</f>
        <v>13.7930365742089</v>
      </c>
      <c r="ES72">
        <f>IF(AND(ISNUMBER(ER72),逐级计算!$X$148&gt;-1),IF(逐级计算!$X$148=0,ER72+逐级计算!$C$148,ER72+逐级计算!$C$148-(10/(逐级计算!$Q$148*LN(10))*(MAX((LN(10^(逐级计算!$Q$148/10)-1)+逐级计算!$Q$148*(ER72-逐级计算!$P$148)*LN(10)/10),0)+LN(1+EXP(-ABS((LN(10^(逐级计算!$Q$148/10)-1)+逐级计算!$Q$148*(ER72-逐级计算!$P$148)*LN(10)/10))))))),"")</f>
        <v>13.7930365742089</v>
      </c>
      <c r="ET72">
        <f>IF(AND(ISNUMBER(ES72),逐级计算!$X$149&gt;-1),IF(逐级计算!$X$149=0,ES72+逐级计算!$C$149,ES72+逐级计算!$C$149-(10/(逐级计算!$Q$149*LN(10))*(MAX((LN(10^(逐级计算!$Q$149/10)-1)+逐级计算!$Q$149*(ES72-逐级计算!$P$149)*LN(10)/10),0)+LN(1+EXP(-ABS((LN(10^(逐级计算!$Q$149/10)-1)+逐级计算!$Q$149*(ES72-逐级计算!$P$149)*LN(10)/10))))))),"")</f>
        <v>13.7930365742089</v>
      </c>
      <c r="EU72">
        <f>IF(AND(ISNUMBER(ET72),逐级计算!$X$150&gt;-1),IF(逐级计算!$X$150=0,ET72+逐级计算!$C$150,ET72+逐级计算!$C$150-(10/(逐级计算!$Q$150*LN(10))*(MAX((LN(10^(逐级计算!$Q$150/10)-1)+逐级计算!$Q$150*(ET72-逐级计算!$P$150)*LN(10)/10),0)+LN(1+EXP(-ABS((LN(10^(逐级计算!$Q$150/10)-1)+逐级计算!$Q$150*(ET72-逐级计算!$P$150)*LN(10)/10))))))),"")</f>
        <v>13.7930365742089</v>
      </c>
      <c r="EV72">
        <f>IF(AND(ISNUMBER(EU72),逐级计算!$X$151&gt;-1),IF(逐级计算!$X$151=0,EU72+逐级计算!$C$151,EU72+逐级计算!$C$151-(10/(逐级计算!$Q$151*LN(10))*(MAX((LN(10^(逐级计算!$Q$151/10)-1)+逐级计算!$Q$151*(EU72-逐级计算!$P$151)*LN(10)/10),0)+LN(1+EXP(-ABS((LN(10^(逐级计算!$Q$151/10)-1)+逐级计算!$Q$151*(EU72-逐级计算!$P$151)*LN(10)/10))))))),"")</f>
        <v>13.7930365742089</v>
      </c>
      <c r="EW72">
        <f>IF(AND(ISNUMBER(EV72),逐级计算!$X$152&gt;-1),IF(逐级计算!$X$152=0,EV72+逐级计算!$C$152,EV72+逐级计算!$C$152-(10/(逐级计算!$Q$152*LN(10))*(MAX((LN(10^(逐级计算!$Q$152/10)-1)+逐级计算!$Q$152*(EV72-逐级计算!$P$152)*LN(10)/10),0)+LN(1+EXP(-ABS((LN(10^(逐级计算!$Q$152/10)-1)+逐级计算!$Q$152*(EV72-逐级计算!$P$152)*LN(10)/10))))))),"")</f>
        <v>13.7930365742089</v>
      </c>
      <c r="EX72">
        <f>IF(AND(ISNUMBER(EW72),逐级计算!$X$153&gt;-1),IF(逐级计算!$X$153=0,EW72+逐级计算!$C$153,EW72+逐级计算!$C$153-(10/(逐级计算!$Q$153*LN(10))*(MAX((LN(10^(逐级计算!$Q$153/10)-1)+逐级计算!$Q$153*(EW72-逐级计算!$P$153)*LN(10)/10),0)+LN(1+EXP(-ABS((LN(10^(逐级计算!$Q$153/10)-1)+逐级计算!$Q$153*(EW72-逐级计算!$P$153)*LN(10)/10))))))),"")</f>
        <v>13.7930365742089</v>
      </c>
      <c r="EY72">
        <f>IF(AND(ISNUMBER(EX72),逐级计算!$X$154&gt;-1),IF(逐级计算!$X$154=0,EX72+逐级计算!$C$154,EX72+逐级计算!$C$154-(10/(逐级计算!$Q$154*LN(10))*(MAX((LN(10^(逐级计算!$Q$154/10)-1)+逐级计算!$Q$154*(EX72-逐级计算!$P$154)*LN(10)/10),0)+LN(1+EXP(-ABS((LN(10^(逐级计算!$Q$154/10)-1)+逐级计算!$Q$154*(EX72-逐级计算!$P$154)*LN(10)/10))))))),"")</f>
        <v>13.7930365742089</v>
      </c>
      <c r="EZ72">
        <f>IF(AND(ISNUMBER(EY72),逐级计算!$X$155&gt;-1),IF(逐级计算!$X$155=0,EY72+逐级计算!$C$155,EY72+逐级计算!$C$155-(10/(逐级计算!$Q$155*LN(10))*(MAX((LN(10^(逐级计算!$Q$155/10)-1)+逐级计算!$Q$155*(EY72-逐级计算!$P$155)*LN(10)/10),0)+LN(1+EXP(-ABS((LN(10^(逐级计算!$Q$155/10)-1)+逐级计算!$Q$155*(EY72-逐级计算!$P$155)*LN(10)/10))))))),"")</f>
        <v>13.7930365742089</v>
      </c>
      <c r="FA72">
        <f>IF(AND(ISNUMBER(EZ72),逐级计算!$X$156&gt;-1),IF(逐级计算!$X$156=0,EZ72+逐级计算!$C$156,EZ72+逐级计算!$C$156-(10/(逐级计算!$Q$156*LN(10))*(MAX((LN(10^(逐级计算!$Q$156/10)-1)+逐级计算!$Q$156*(EZ72-逐级计算!$P$156)*LN(10)/10),0)+LN(1+EXP(-ABS((LN(10^(逐级计算!$Q$156/10)-1)+逐级计算!$Q$156*(EZ72-逐级计算!$P$156)*LN(10)/10))))))),"")</f>
        <v>13.7930365742089</v>
      </c>
      <c r="FB72">
        <f>IF(AND(ISNUMBER(FA72),逐级计算!$X$157&gt;-1),IF(逐级计算!$X$157=0,FA72+逐级计算!$C$157,FA72+逐级计算!$C$157-(10/(逐级计算!$Q$157*LN(10))*(MAX((LN(10^(逐级计算!$Q$157/10)-1)+逐级计算!$Q$157*(FA72-逐级计算!$P$157)*LN(10)/10),0)+LN(1+EXP(-ABS((LN(10^(逐级计算!$Q$157/10)-1)+逐级计算!$Q$157*(FA72-逐级计算!$P$157)*LN(10)/10))))))),"")</f>
        <v>13.7930365742089</v>
      </c>
      <c r="FC72">
        <f>IF(AND(ISNUMBER(FB72),逐级计算!$X$158&gt;-1),IF(逐级计算!$X$158=0,FB72+逐级计算!$C$158,FB72+逐级计算!$C$158-(10/(逐级计算!$Q$158*LN(10))*(MAX((LN(10^(逐级计算!$Q$158/10)-1)+逐级计算!$Q$158*(FB72-逐级计算!$P$158)*LN(10)/10),0)+LN(1+EXP(-ABS((LN(10^(逐级计算!$Q$158/10)-1)+逐级计算!$Q$158*(FB72-逐级计算!$P$158)*LN(10)/10))))))),"")</f>
        <v>13.7930365742089</v>
      </c>
      <c r="FD72">
        <f>IF(AND(ISNUMBER(FC72),逐级计算!$X$159&gt;-1),IF(逐级计算!$X$159=0,FC72+逐级计算!$C$159,FC72+逐级计算!$C$159-(10/(逐级计算!$Q$159*LN(10))*(MAX((LN(10^(逐级计算!$Q$159/10)-1)+逐级计算!$Q$159*(FC72-逐级计算!$P$159)*LN(10)/10),0)+LN(1+EXP(-ABS((LN(10^(逐级计算!$Q$159/10)-1)+逐级计算!$Q$159*(FC72-逐级计算!$P$159)*LN(10)/10))))))),"")</f>
        <v>13.7930365742089</v>
      </c>
      <c r="FE72">
        <f>IF(AND(ISNUMBER(FD72),逐级计算!$X$160&gt;-1),IF(逐级计算!$X$160=0,FD72+逐级计算!$C$160,FD72+逐级计算!$C$160-(10/(逐级计算!$Q$160*LN(10))*(MAX((LN(10^(逐级计算!$Q$160/10)-1)+逐级计算!$Q$160*(FD72-逐级计算!$P$160)*LN(10)/10),0)+LN(1+EXP(-ABS((LN(10^(逐级计算!$Q$160/10)-1)+逐级计算!$Q$160*(FD72-逐级计算!$P$160)*LN(10)/10))))))),"")</f>
        <v>13.7930365742089</v>
      </c>
      <c r="FF72">
        <f>IF(AND(ISNUMBER(FE72),逐级计算!$X$161&gt;-1),IF(逐级计算!$X$161=0,FE72+逐级计算!$C$161,FE72+逐级计算!$C$161-(10/(逐级计算!$Q$161*LN(10))*(MAX((LN(10^(逐级计算!$Q$161/10)-1)+逐级计算!$Q$161*(FE72-逐级计算!$P$161)*LN(10)/10),0)+LN(1+EXP(-ABS((LN(10^(逐级计算!$Q$161/10)-1)+逐级计算!$Q$161*(FE72-逐级计算!$P$161)*LN(10)/10))))))),"")</f>
        <v>13.7930365742089</v>
      </c>
      <c r="FG72">
        <f>IF(AND(ISNUMBER(FF72),逐级计算!$X$162&gt;-1),IF(逐级计算!$X$162=0,FF72+逐级计算!$C$162,FF72+逐级计算!$C$162-(10/(逐级计算!$Q$162*LN(10))*(MAX((LN(10^(逐级计算!$Q$162/10)-1)+逐级计算!$Q$162*(FF72-逐级计算!$P$162)*LN(10)/10),0)+LN(1+EXP(-ABS((LN(10^(逐级计算!$Q$162/10)-1)+逐级计算!$Q$162*(FF72-逐级计算!$P$162)*LN(10)/10))))))),"")</f>
        <v>13.7930365742089</v>
      </c>
      <c r="FH72">
        <f>IF(AND(ISNUMBER(FG72),逐级计算!$X$163&gt;-1),IF(逐级计算!$X$163=0,FG72+逐级计算!$C$163,FG72+逐级计算!$C$163-(10/(逐级计算!$Q$163*LN(10))*(MAX((LN(10^(逐级计算!$Q$163/10)-1)+逐级计算!$Q$163*(FG72-逐级计算!$P$163)*LN(10)/10),0)+LN(1+EXP(-ABS((LN(10^(逐级计算!$Q$163/10)-1)+逐级计算!$Q$163*(FG72-逐级计算!$P$163)*LN(10)/10))))))),"")</f>
        <v>13.7930365742089</v>
      </c>
      <c r="FI72">
        <f>IF(AND(ISNUMBER(FH72),逐级计算!$X$164&gt;-1),IF(逐级计算!$X$164=0,FH72+逐级计算!$C$164,FH72+逐级计算!$C$164-(10/(逐级计算!$Q$164*LN(10))*(MAX((LN(10^(逐级计算!$Q$164/10)-1)+逐级计算!$Q$164*(FH72-逐级计算!$P$164)*LN(10)/10),0)+LN(1+EXP(-ABS((LN(10^(逐级计算!$Q$164/10)-1)+逐级计算!$Q$164*(FH72-逐级计算!$P$164)*LN(10)/10))))))),"")</f>
        <v>13.7930365742089</v>
      </c>
      <c r="FJ72">
        <f>IF(AND(ISNUMBER(FI72),逐级计算!$X$165&gt;-1),IF(逐级计算!$X$165=0,FI72+逐级计算!$C$165,FI72+逐级计算!$C$165-(10/(逐级计算!$Q$165*LN(10))*(MAX((LN(10^(逐级计算!$Q$165/10)-1)+逐级计算!$Q$165*(FI72-逐级计算!$P$165)*LN(10)/10),0)+LN(1+EXP(-ABS((LN(10^(逐级计算!$Q$165/10)-1)+逐级计算!$Q$165*(FI72-逐级计算!$P$165)*LN(10)/10))))))),"")</f>
        <v>13.7930365742089</v>
      </c>
      <c r="FK72">
        <f>IF(AND(ISNUMBER(FJ72),逐级计算!$X$166&gt;-1),IF(逐级计算!$X$166=0,FJ72+逐级计算!$C$166,FJ72+逐级计算!$C$166-(10/(逐级计算!$Q$166*LN(10))*(MAX((LN(10^(逐级计算!$Q$166/10)-1)+逐级计算!$Q$166*(FJ72-逐级计算!$P$166)*LN(10)/10),0)+LN(1+EXP(-ABS((LN(10^(逐级计算!$Q$166/10)-1)+逐级计算!$Q$166*(FJ72-逐级计算!$P$166)*LN(10)/10))))))),"")</f>
        <v>13.7930365742089</v>
      </c>
      <c r="FL72">
        <f>IF(AND(ISNUMBER(FK72),逐级计算!$X$167&gt;-1),IF(逐级计算!$X$167=0,FK72+逐级计算!$C$167,FK72+逐级计算!$C$167-(10/(逐级计算!$Q$167*LN(10))*(MAX((LN(10^(逐级计算!$Q$167/10)-1)+逐级计算!$Q$167*(FK72-逐级计算!$P$167)*LN(10)/10),0)+LN(1+EXP(-ABS((LN(10^(逐级计算!$Q$167/10)-1)+逐级计算!$Q$167*(FK72-逐级计算!$P$167)*LN(10)/10))))))),"")</f>
        <v>13.7930365742089</v>
      </c>
      <c r="FM72">
        <f>IF(AND(ISNUMBER(FL72),逐级计算!$X$168&gt;-1),IF(逐级计算!$X$168=0,FL72+逐级计算!$C$168,FL72+逐级计算!$C$168-(10/(逐级计算!$Q$168*LN(10))*(MAX((LN(10^(逐级计算!$Q$168/10)-1)+逐级计算!$Q$168*(FL72-逐级计算!$P$168)*LN(10)/10),0)+LN(1+EXP(-ABS((LN(10^(逐级计算!$Q$168/10)-1)+逐级计算!$Q$168*(FL72-逐级计算!$P$168)*LN(10)/10))))))),"")</f>
        <v>13.7930365742089</v>
      </c>
      <c r="FN72">
        <f>IF(AND(ISNUMBER(FM72),逐级计算!$X$169&gt;-1),IF(逐级计算!$X$169=0,FM72+逐级计算!$C$169,FM72+逐级计算!$C$169-(10/(逐级计算!$Q$169*LN(10))*(MAX((LN(10^(逐级计算!$Q$169/10)-1)+逐级计算!$Q$169*(FM72-逐级计算!$P$169)*LN(10)/10),0)+LN(1+EXP(-ABS((LN(10^(逐级计算!$Q$169/10)-1)+逐级计算!$Q$169*(FM72-逐级计算!$P$169)*LN(10)/10))))))),"")</f>
        <v>13.7930365742089</v>
      </c>
      <c r="FO72">
        <f>IF(AND(ISNUMBER(FN72),逐级计算!$X$170&gt;-1),IF(逐级计算!$X$170=0,FN72+逐级计算!$C$170,FN72+逐级计算!$C$170-(10/(逐级计算!$Q$170*LN(10))*(MAX((LN(10^(逐级计算!$Q$170/10)-1)+逐级计算!$Q$170*(FN72-逐级计算!$P$170)*LN(10)/10),0)+LN(1+EXP(-ABS((LN(10^(逐级计算!$Q$170/10)-1)+逐级计算!$Q$170*(FN72-逐级计算!$P$170)*LN(10)/10))))))),"")</f>
        <v>13.7930365742089</v>
      </c>
      <c r="FP72">
        <f>IF(AND(ISNUMBER(FO72),逐级计算!$X$171&gt;-1),IF(逐级计算!$X$171=0,FO72+逐级计算!$C$171,FO72+逐级计算!$C$171-(10/(逐级计算!$Q$171*LN(10))*(MAX((LN(10^(逐级计算!$Q$171/10)-1)+逐级计算!$Q$171*(FO72-逐级计算!$P$171)*LN(10)/10),0)+LN(1+EXP(-ABS((LN(10^(逐级计算!$Q$171/10)-1)+逐级计算!$Q$171*(FO72-逐级计算!$P$171)*LN(10)/10))))))),"")</f>
        <v>13.7930365742089</v>
      </c>
      <c r="FQ72">
        <f>IF(AND(ISNUMBER(FP72),逐级计算!$X$172&gt;-1),IF(逐级计算!$X$172=0,FP72+逐级计算!$C$172,FP72+逐级计算!$C$172-(10/(逐级计算!$Q$172*LN(10))*(MAX((LN(10^(逐级计算!$Q$172/10)-1)+逐级计算!$Q$172*(FP72-逐级计算!$P$172)*LN(10)/10),0)+LN(1+EXP(-ABS((LN(10^(逐级计算!$Q$172/10)-1)+逐级计算!$Q$172*(FP72-逐级计算!$P$172)*LN(10)/10))))))),"")</f>
        <v>13.7930365742089</v>
      </c>
      <c r="FR72">
        <f>IF(AND(ISNUMBER(FQ72),逐级计算!$X$173&gt;-1),IF(逐级计算!$X$173=0,FQ72+逐级计算!$C$173,FQ72+逐级计算!$C$173-(10/(逐级计算!$Q$173*LN(10))*(MAX((LN(10^(逐级计算!$Q$173/10)-1)+逐级计算!$Q$173*(FQ72-逐级计算!$P$173)*LN(10)/10),0)+LN(1+EXP(-ABS((LN(10^(逐级计算!$Q$173/10)-1)+逐级计算!$Q$173*(FQ72-逐级计算!$P$173)*LN(10)/10))))))),"")</f>
        <v>13.7930365742089</v>
      </c>
      <c r="FS72">
        <f>IF(AND(ISNUMBER(FR72),逐级计算!$X$174&gt;-1),IF(逐级计算!$X$174=0,FR72+逐级计算!$C$174,FR72+逐级计算!$C$174-(10/(逐级计算!$Q$174*LN(10))*(MAX((LN(10^(逐级计算!$Q$174/10)-1)+逐级计算!$Q$174*(FR72-逐级计算!$P$174)*LN(10)/10),0)+LN(1+EXP(-ABS((LN(10^(逐级计算!$Q$174/10)-1)+逐级计算!$Q$174*(FR72-逐级计算!$P$174)*LN(10)/10))))))),"")</f>
        <v>13.7930365742089</v>
      </c>
      <c r="FT72">
        <f>IF(AND(ISNUMBER(FS72),逐级计算!$X$175&gt;-1),IF(逐级计算!$X$175=0,FS72+逐级计算!$C$175,FS72+逐级计算!$C$175-(10/(逐级计算!$Q$175*LN(10))*(MAX((LN(10^(逐级计算!$Q$175/10)-1)+逐级计算!$Q$175*(FS72-逐级计算!$P$175)*LN(10)/10),0)+LN(1+EXP(-ABS((LN(10^(逐级计算!$Q$175/10)-1)+逐级计算!$Q$175*(FS72-逐级计算!$P$175)*LN(10)/10))))))),"")</f>
        <v>13.7930365742089</v>
      </c>
      <c r="FU72">
        <f>IF(AND(ISNUMBER(FT72),逐级计算!$X$176&gt;-1),IF(逐级计算!$X$176=0,FT72+逐级计算!$C$176,FT72+逐级计算!$C$176-(10/(逐级计算!$Q$176*LN(10))*(MAX((LN(10^(逐级计算!$Q$176/10)-1)+逐级计算!$Q$176*(FT72-逐级计算!$P$176)*LN(10)/10),0)+LN(1+EXP(-ABS((LN(10^(逐级计算!$Q$176/10)-1)+逐级计算!$Q$176*(FT72-逐级计算!$P$176)*LN(10)/10))))))),"")</f>
        <v>13.7930365742089</v>
      </c>
      <c r="FV72">
        <f>IF(AND(ISNUMBER(FU72),逐级计算!$X$177&gt;-1),IF(逐级计算!$X$177=0,FU72+逐级计算!$C$177,FU72+逐级计算!$C$177-(10/(逐级计算!$Q$177*LN(10))*(MAX((LN(10^(逐级计算!$Q$177/10)-1)+逐级计算!$Q$177*(FU72-逐级计算!$P$177)*LN(10)/10),0)+LN(1+EXP(-ABS((LN(10^(逐级计算!$Q$177/10)-1)+逐级计算!$Q$177*(FU72-逐级计算!$P$177)*LN(10)/10))))))),"")</f>
        <v>13.7930365742089</v>
      </c>
      <c r="FW72">
        <f>IF(AND(ISNUMBER(FV72),逐级计算!$X$178&gt;-1),IF(逐级计算!$X$178=0,FV72+逐级计算!$C$178,FV72+逐级计算!$C$178-(10/(逐级计算!$Q$178*LN(10))*(MAX((LN(10^(逐级计算!$Q$178/10)-1)+逐级计算!$Q$178*(FV72-逐级计算!$P$178)*LN(10)/10),0)+LN(1+EXP(-ABS((LN(10^(逐级计算!$Q$178/10)-1)+逐级计算!$Q$178*(FV72-逐级计算!$P$178)*LN(10)/10))))))),"")</f>
        <v>13.7930365742089</v>
      </c>
      <c r="FX72">
        <f>IF(AND(ISNUMBER(FW72),逐级计算!$X$179&gt;-1),IF(逐级计算!$X$179=0,FW72+逐级计算!$C$179,FW72+逐级计算!$C$179-(10/(逐级计算!$Q$179*LN(10))*(MAX((LN(10^(逐级计算!$Q$179/10)-1)+逐级计算!$Q$179*(FW72-逐级计算!$P$179)*LN(10)/10),0)+LN(1+EXP(-ABS((LN(10^(逐级计算!$Q$179/10)-1)+逐级计算!$Q$179*(FW72-逐级计算!$P$179)*LN(10)/10))))))),"")</f>
        <v>13.7930365742089</v>
      </c>
      <c r="FY72">
        <f>IF(AND(ISNUMBER(FX72),逐级计算!$X$180&gt;-1),IF(逐级计算!$X$180=0,FX72+逐级计算!$C$180,FX72+逐级计算!$C$180-(10/(逐级计算!$Q$180*LN(10))*(MAX((LN(10^(逐级计算!$Q$180/10)-1)+逐级计算!$Q$180*(FX72-逐级计算!$P$180)*LN(10)/10),0)+LN(1+EXP(-ABS((LN(10^(逐级计算!$Q$180/10)-1)+逐级计算!$Q$180*(FX72-逐级计算!$P$180)*LN(10)/10))))))),"")</f>
        <v>13.7930365742089</v>
      </c>
      <c r="FZ72">
        <f>IF(AND(ISNUMBER(FY72),逐级计算!$X$181&gt;-1),IF(逐级计算!$X$181=0,FY72+逐级计算!$C$181,FY72+逐级计算!$C$181-(10/(逐级计算!$Q$181*LN(10))*(MAX((LN(10^(逐级计算!$Q$181/10)-1)+逐级计算!$Q$181*(FY72-逐级计算!$P$181)*LN(10)/10),0)+LN(1+EXP(-ABS((LN(10^(逐级计算!$Q$181/10)-1)+逐级计算!$Q$181*(FY72-逐级计算!$P$181)*LN(10)/10))))))),"")</f>
        <v>13.7930365742089</v>
      </c>
      <c r="GA72">
        <f>IF(AND(ISNUMBER(FZ72),逐级计算!$X$182&gt;-1),IF(逐级计算!$X$182=0,FZ72+逐级计算!$C$182,FZ72+逐级计算!$C$182-(10/(逐级计算!$Q$182*LN(10))*(MAX((LN(10^(逐级计算!$Q$182/10)-1)+逐级计算!$Q$182*(FZ72-逐级计算!$P$182)*LN(10)/10),0)+LN(1+EXP(-ABS((LN(10^(逐级计算!$Q$182/10)-1)+逐级计算!$Q$182*(FZ72-逐级计算!$P$182)*LN(10)/10))))))),"")</f>
        <v>13.7930365742089</v>
      </c>
      <c r="GB72">
        <f>IF(AND(ISNUMBER(GA72),逐级计算!$X$183&gt;-1),IF(逐级计算!$X$183=0,GA72+逐级计算!$C$183,GA72+逐级计算!$C$183-(10/(逐级计算!$Q$183*LN(10))*(MAX((LN(10^(逐级计算!$Q$183/10)-1)+逐级计算!$Q$183*(GA72-逐级计算!$P$183)*LN(10)/10),0)+LN(1+EXP(-ABS((LN(10^(逐级计算!$Q$183/10)-1)+逐级计算!$Q$183*(GA72-逐级计算!$P$183)*LN(10)/10))))))),"")</f>
        <v>13.7930365742089</v>
      </c>
      <c r="GC72">
        <f>IF(AND(ISNUMBER(GB72),逐级计算!$X$184&gt;-1),IF(逐级计算!$X$184=0,GB72+逐级计算!$C$184,GB72+逐级计算!$C$184-(10/(逐级计算!$Q$184*LN(10))*(MAX((LN(10^(逐级计算!$Q$184/10)-1)+逐级计算!$Q$184*(GB72-逐级计算!$P$184)*LN(10)/10),0)+LN(1+EXP(-ABS((LN(10^(逐级计算!$Q$184/10)-1)+逐级计算!$Q$184*(GB72-逐级计算!$P$184)*LN(10)/10))))))),"")</f>
        <v>13.7930365742089</v>
      </c>
      <c r="GD72">
        <f>IF(AND(ISNUMBER(GC72),逐级计算!$X$185&gt;-1),IF(逐级计算!$X$185=0,GC72+逐级计算!$C$185,GC72+逐级计算!$C$185-(10/(逐级计算!$Q$185*LN(10))*(MAX((LN(10^(逐级计算!$Q$185/10)-1)+逐级计算!$Q$185*(GC72-逐级计算!$P$185)*LN(10)/10),0)+LN(1+EXP(-ABS((LN(10^(逐级计算!$Q$185/10)-1)+逐级计算!$Q$185*(GC72-逐级计算!$P$185)*LN(10)/10))))))),"")</f>
        <v>13.7930365742089</v>
      </c>
      <c r="GE72">
        <f>IF(AND(ISNUMBER(GD72),逐级计算!$X$186&gt;-1),IF(逐级计算!$X$186=0,GD72+逐级计算!$C$186,GD72+逐级计算!$C$186-(10/(逐级计算!$Q$186*LN(10))*(MAX((LN(10^(逐级计算!$Q$186/10)-1)+逐级计算!$Q$186*(GD72-逐级计算!$P$186)*LN(10)/10),0)+LN(1+EXP(-ABS((LN(10^(逐级计算!$Q$186/10)-1)+逐级计算!$Q$186*(GD72-逐级计算!$P$186)*LN(10)/10))))))),"")</f>
        <v>13.7930365742089</v>
      </c>
      <c r="GF72">
        <f>IF(AND(ISNUMBER(GE72),逐级计算!$X$187&gt;-1),IF(逐级计算!$X$187=0,GE72+逐级计算!$C$187,GE72+逐级计算!$C$187-(10/(逐级计算!$Q$187*LN(10))*(MAX((LN(10^(逐级计算!$Q$187/10)-1)+逐级计算!$Q$187*(GE72-逐级计算!$P$187)*LN(10)/10),0)+LN(1+EXP(-ABS((LN(10^(逐级计算!$Q$187/10)-1)+逐级计算!$Q$187*(GE72-逐级计算!$P$187)*LN(10)/10))))))),"")</f>
        <v>13.7930365742089</v>
      </c>
      <c r="GG72">
        <f>IF(AND(ISNUMBER(GF72),逐级计算!$X$188&gt;-1),IF(逐级计算!$X$188=0,GF72+逐级计算!$C$188,GF72+逐级计算!$C$188-(10/(逐级计算!$Q$188*LN(10))*(MAX((LN(10^(逐级计算!$Q$188/10)-1)+逐级计算!$Q$188*(GF72-逐级计算!$P$188)*LN(10)/10),0)+LN(1+EXP(-ABS((LN(10^(逐级计算!$Q$188/10)-1)+逐级计算!$Q$188*(GF72-逐级计算!$P$188)*LN(10)/10))))))),"")</f>
        <v>13.7930365742089</v>
      </c>
      <c r="GH72">
        <f>IF(AND(ISNUMBER(GG72),逐级计算!$X$189&gt;-1),IF(逐级计算!$X$189=0,GG72+逐级计算!$C$189,GG72+逐级计算!$C$189-(10/(逐级计算!$Q$189*LN(10))*(MAX((LN(10^(逐级计算!$Q$189/10)-1)+逐级计算!$Q$189*(GG72-逐级计算!$P$189)*LN(10)/10),0)+LN(1+EXP(-ABS((LN(10^(逐级计算!$Q$189/10)-1)+逐级计算!$Q$189*(GG72-逐级计算!$P$189)*LN(10)/10))))))),"")</f>
        <v>13.7930365742089</v>
      </c>
      <c r="GI72">
        <f>IF(AND(ISNUMBER(GH72),逐级计算!$X$190&gt;-1),IF(逐级计算!$X$190=0,GH72+逐级计算!$C$190,GH72+逐级计算!$C$190-(10/(逐级计算!$Q$190*LN(10))*(MAX((LN(10^(逐级计算!$Q$190/10)-1)+逐级计算!$Q$190*(GH72-逐级计算!$P$190)*LN(10)/10),0)+LN(1+EXP(-ABS((LN(10^(逐级计算!$Q$190/10)-1)+逐级计算!$Q$190*(GH72-逐级计算!$P$190)*LN(10)/10))))))),"")</f>
        <v>13.7930365742089</v>
      </c>
      <c r="GJ72">
        <f>IF(AND(ISNUMBER(GI72),逐级计算!$X$191&gt;-1),IF(逐级计算!$X$191=0,GI72+逐级计算!$C$191,GI72+逐级计算!$C$191-(10/(逐级计算!$Q$191*LN(10))*(MAX((LN(10^(逐级计算!$Q$191/10)-1)+逐级计算!$Q$191*(GI72-逐级计算!$P$191)*LN(10)/10),0)+LN(1+EXP(-ABS((LN(10^(逐级计算!$Q$191/10)-1)+逐级计算!$Q$191*(GI72-逐级计算!$P$191)*LN(10)/10))))))),"")</f>
        <v>13.7930365742089</v>
      </c>
      <c r="GK72">
        <f>IF(AND(ISNUMBER(GJ72),逐级计算!$X$192&gt;-1),IF(逐级计算!$X$192=0,GJ72+逐级计算!$C$192,GJ72+逐级计算!$C$192-(10/(逐级计算!$Q$192*LN(10))*(MAX((LN(10^(逐级计算!$Q$192/10)-1)+逐级计算!$Q$192*(GJ72-逐级计算!$P$192)*LN(10)/10),0)+LN(1+EXP(-ABS((LN(10^(逐级计算!$Q$192/10)-1)+逐级计算!$Q$192*(GJ72-逐级计算!$P$192)*LN(10)/10))))))),"")</f>
        <v>13.7930365742089</v>
      </c>
      <c r="GL72">
        <f>IF(AND(ISNUMBER(GK72),逐级计算!$X$193&gt;-1),IF(逐级计算!$X$193=0,GK72+逐级计算!$C$193,GK72+逐级计算!$C$193-(10/(逐级计算!$Q$193*LN(10))*(MAX((LN(10^(逐级计算!$Q$193/10)-1)+逐级计算!$Q$193*(GK72-逐级计算!$P$193)*LN(10)/10),0)+LN(1+EXP(-ABS((LN(10^(逐级计算!$Q$193/10)-1)+逐级计算!$Q$193*(GK72-逐级计算!$P$193)*LN(10)/10))))))),"")</f>
        <v>13.7930365742089</v>
      </c>
      <c r="GM72">
        <f>IF(AND(ISNUMBER(GL72),逐级计算!$X$194&gt;-1),IF(逐级计算!$X$194=0,GL72+逐级计算!$C$194,GL72+逐级计算!$C$194-(10/(逐级计算!$Q$194*LN(10))*(MAX((LN(10^(逐级计算!$Q$194/10)-1)+逐级计算!$Q$194*(GL72-逐级计算!$P$194)*LN(10)/10),0)+LN(1+EXP(-ABS((LN(10^(逐级计算!$Q$194/10)-1)+逐级计算!$Q$194*(GL72-逐级计算!$P$194)*LN(10)/10))))))),"")</f>
        <v>13.7930365742089</v>
      </c>
      <c r="GN72">
        <f>IF(AND(ISNUMBER(GM72),逐级计算!$X$195&gt;-1),IF(逐级计算!$X$195=0,GM72+逐级计算!$C$195,GM72+逐级计算!$C$195-(10/(逐级计算!$Q$195*LN(10))*(MAX((LN(10^(逐级计算!$Q$195/10)-1)+逐级计算!$Q$195*(GM72-逐级计算!$P$195)*LN(10)/10),0)+LN(1+EXP(-ABS((LN(10^(逐级计算!$Q$195/10)-1)+逐级计算!$Q$195*(GM72-逐级计算!$P$195)*LN(10)/10))))))),"")</f>
        <v>13.7930365742089</v>
      </c>
      <c r="GO72">
        <f>IF(AND(ISNUMBER(GN72),逐级计算!$X$196&gt;-1),IF(逐级计算!$X$196=0,GN72+逐级计算!$C$196,GN72+逐级计算!$C$196-(10/(逐级计算!$Q$196*LN(10))*(MAX((LN(10^(逐级计算!$Q$196/10)-1)+逐级计算!$Q$196*(GN72-逐级计算!$P$196)*LN(10)/10),0)+LN(1+EXP(-ABS((LN(10^(逐级计算!$Q$196/10)-1)+逐级计算!$Q$196*(GN72-逐级计算!$P$196)*LN(10)/10))))))),"")</f>
        <v>13.7930365742089</v>
      </c>
      <c r="GP72">
        <f>IF(AND(ISNUMBER(GO72),逐级计算!$X$197&gt;-1),IF(逐级计算!$X$197=0,GO72+逐级计算!$C$197,GO72+逐级计算!$C$197-(10/(逐级计算!$Q$197*LN(10))*(MAX((LN(10^(逐级计算!$Q$197/10)-1)+逐级计算!$Q$197*(GO72-逐级计算!$P$197)*LN(10)/10),0)+LN(1+EXP(-ABS((LN(10^(逐级计算!$Q$197/10)-1)+逐级计算!$Q$197*(GO72-逐级计算!$P$197)*LN(10)/10))))))),"")</f>
        <v>13.7930365742089</v>
      </c>
      <c r="GQ72">
        <f>IF(AND(ISNUMBER(GP72),逐级计算!$X$198&gt;-1),IF(逐级计算!$X$198=0,GP72+逐级计算!$C$198,GP72+逐级计算!$C$198-(10/(逐级计算!$Q$198*LN(10))*(MAX((LN(10^(逐级计算!$Q$198/10)-1)+逐级计算!$Q$198*(GP72-逐级计算!$P$198)*LN(10)/10),0)+LN(1+EXP(-ABS((LN(10^(逐级计算!$Q$198/10)-1)+逐级计算!$Q$198*(GP72-逐级计算!$P$198)*LN(10)/10))))))),"")</f>
        <v>13.7930365742089</v>
      </c>
      <c r="GR72">
        <f>IF(AND(ISNUMBER(GQ72),逐级计算!$X$199&gt;-1),IF(逐级计算!$X$199=0,GQ72+逐级计算!$C$199,GQ72+逐级计算!$C$199-(10/(逐级计算!$Q$199*LN(10))*(MAX((LN(10^(逐级计算!$Q$199/10)-1)+逐级计算!$Q$199*(GQ72-逐级计算!$P$199)*LN(10)/10),0)+LN(1+EXP(-ABS((LN(10^(逐级计算!$Q$199/10)-1)+逐级计算!$Q$199*(GQ72-逐级计算!$P$199)*LN(10)/10))))))),"")</f>
        <v>13.7930365742089</v>
      </c>
      <c r="GS72">
        <f>IF(AND(ISNUMBER(GR72),逐级计算!$X$200&gt;-1),IF(逐级计算!$X$200=0,GR72+逐级计算!$C$200,GR72+逐级计算!$C$200-(10/(逐级计算!$Q$200*LN(10))*(MAX((LN(10^(逐级计算!$Q$200/10)-1)+逐级计算!$Q$200*(GR72-逐级计算!$P$200)*LN(10)/10),0)+LN(1+EXP(-ABS((LN(10^(逐级计算!$Q$200/10)-1)+逐级计算!$Q$200*(GR72-逐级计算!$P$200)*LN(10)/10))))))),"")</f>
        <v>13.7930365742089</v>
      </c>
      <c r="GT72">
        <f>IF(AND(ISNUMBER(GS72),逐级计算!$X$201&gt;-1),IF(逐级计算!$X$201=0,GS72+逐级计算!$C$201,GS72+逐级计算!$C$201-(10/(逐级计算!$Q$201*LN(10))*(MAX((LN(10^(逐级计算!$Q$201/10)-1)+逐级计算!$Q$201*(GS72-逐级计算!$P$201)*LN(10)/10),0)+LN(1+EXP(-ABS((LN(10^(逐级计算!$Q$201/10)-1)+逐级计算!$Q$201*(GS72-逐级计算!$P$201)*LN(10)/10))))))),"")</f>
        <v>13.7930365742089</v>
      </c>
      <c r="GU72">
        <f>IF(AND(ISNUMBER(GT72),逐级计算!$X$202&gt;-1),IF(逐级计算!$X$202=0,GT72+逐级计算!$C$202,GT72+逐级计算!$C$202-(10/(逐级计算!$Q$202*LN(10))*(MAX((LN(10^(逐级计算!$Q$202/10)-1)+逐级计算!$Q$202*(GT72-逐级计算!$P$202)*LN(10)/10),0)+LN(1+EXP(-ABS((LN(10^(逐级计算!$Q$202/10)-1)+逐级计算!$Q$202*(GT72-逐级计算!$P$202)*LN(10)/10))))))),"")</f>
        <v>13.7930365742089</v>
      </c>
      <c r="GV72">
        <f>IF(AND(ISNUMBER(GU72),逐级计算!$X$203&gt;-1),IF(逐级计算!$X$203=0,GU72+逐级计算!$C$203,GU72+逐级计算!$C$203-(10/(逐级计算!$Q$203*LN(10))*(MAX((LN(10^(逐级计算!$Q$203/10)-1)+逐级计算!$Q$203*(GU72-逐级计算!$P$203)*LN(10)/10),0)+LN(1+EXP(-ABS((LN(10^(逐级计算!$Q$203/10)-1)+逐级计算!$Q$203*(GU72-逐级计算!$P$203)*LN(10)/10))))))),"")</f>
        <v>13.7930365742089</v>
      </c>
      <c r="GW72">
        <f t="shared" si="2"/>
        <v>-5.20696342579112</v>
      </c>
    </row>
    <row r="73" spans="1:205">
      <c r="A73">
        <v>66</v>
      </c>
      <c r="B73">
        <f t="shared" ref="B73:B87" si="4">IF(ISNUMBER(D72),IF(D72&gt;1,B72,C72),"")</f>
        <v>-5.20696342579112</v>
      </c>
      <c r="C73">
        <f t="shared" si="3"/>
        <v>-5.20696342579112</v>
      </c>
      <c r="D73">
        <f>IF(AND(ISNUMBER(C73),ISNUMBER(逐级计算!$E$203),ISNUMBER(GV73)),C73+逐级计算!$E$203-GV73,"")</f>
        <v>1</v>
      </c>
      <c r="E73">
        <f>IF(AND(ISNUMBER(C73),逐级计算!$X$4&gt;-1),IF(逐级计算!$X$4=0,C73+逐级计算!$C$4,C73+逐级计算!$C$4-(10/(逐级计算!$Q$4*LN(10))*(MAX((LN(10^(逐级计算!$Q$4/10)-1)+逐级计算!$Q$4*(C73-逐级计算!$P$4)*LN(10)/10),0)+LN(1+EXP(-ABS((LN(10^(逐级计算!$Q$4/10)-1)+逐级计算!$Q$4*(C73-逐级计算!$P$4)*LN(10)/10))))))),"")</f>
        <v>4.68053982928311</v>
      </c>
      <c r="F73">
        <f>IF(AND(ISNUMBER(E73),逐级计算!$X$5&gt;-1),IF(逐级计算!$X$5=0,E73+逐级计算!$C$5,E73+逐级计算!$C$5-(10/(逐级计算!$Q$5*LN(10))*(MAX((LN(10^(逐级计算!$Q$5/10)-1)+逐级计算!$Q$5*(E73-逐级计算!$P$5)*LN(10)/10),0)+LN(1+EXP(-ABS((LN(10^(逐级计算!$Q$5/10)-1)+逐级计算!$Q$5*(E73-逐级计算!$P$5)*LN(10)/10))))))),"")</f>
        <v>13.7930365742089</v>
      </c>
      <c r="G73">
        <f>IF(AND(ISNUMBER(F73),逐级计算!$X$6&gt;-1),IF(逐级计算!$X$6=0,F73+逐级计算!$C$6,F73+逐级计算!$C$6-(10/(逐级计算!$Q$6*LN(10))*(MAX((LN(10^(逐级计算!$Q$6/10)-1)+逐级计算!$Q$6*(F73-逐级计算!$P$6)*LN(10)/10),0)+LN(1+EXP(-ABS((LN(10^(逐级计算!$Q$6/10)-1)+逐级计算!$Q$6*(F73-逐级计算!$P$6)*LN(10)/10))))))),"")</f>
        <v>13.7930365742089</v>
      </c>
      <c r="H73">
        <f>IF(AND(ISNUMBER(G73),逐级计算!$X$7&gt;-1),IF(逐级计算!$X$7=0,G73+逐级计算!$C$7,G73+逐级计算!$C$7-(10/(逐级计算!$Q$7*LN(10))*(MAX((LN(10^(逐级计算!$Q$7/10)-1)+逐级计算!$Q$7*(G73-逐级计算!$P$7)*LN(10)/10),0)+LN(1+EXP(-ABS((LN(10^(逐级计算!$Q$7/10)-1)+逐级计算!$Q$7*(G73-逐级计算!$P$7)*LN(10)/10))))))),"")</f>
        <v>13.7930365742089</v>
      </c>
      <c r="I73">
        <f>IF(AND(ISNUMBER(H73),逐级计算!$X$8&gt;-1),IF(逐级计算!$X$8=0,H73+逐级计算!$C$8,H73+逐级计算!$C$8-(10/(逐级计算!$Q$8*LN(10))*(MAX((LN(10^(逐级计算!$Q$8/10)-1)+逐级计算!$Q$8*(H73-逐级计算!$P$8)*LN(10)/10),0)+LN(1+EXP(-ABS((LN(10^(逐级计算!$Q$8/10)-1)+逐级计算!$Q$8*(H73-逐级计算!$P$8)*LN(10)/10))))))),"")</f>
        <v>13.7930365742089</v>
      </c>
      <c r="J73">
        <f>IF(AND(ISNUMBER(I73),逐级计算!$X$9&gt;-1),IF(逐级计算!$X$9=0,I73+逐级计算!$C$9,I73+逐级计算!$C$9-(10/(逐级计算!$Q$9*LN(10))*(MAX((LN(10^(逐级计算!$Q$9/10)-1)+逐级计算!$Q$9*(I73-逐级计算!$P$9)*LN(10)/10),0)+LN(1+EXP(-ABS((LN(10^(逐级计算!$Q$9/10)-1)+逐级计算!$Q$9*(I73-逐级计算!$P$9)*LN(10)/10))))))),"")</f>
        <v>13.7930365742089</v>
      </c>
      <c r="K73">
        <f>IF(AND(ISNUMBER(J73),逐级计算!$X$10&gt;-1),IF(逐级计算!$X$10=0,J73+逐级计算!$C$10,J73+逐级计算!$C$10-(10/(逐级计算!$Q$10*LN(10))*(MAX((LN(10^(逐级计算!$Q$10/10)-1)+逐级计算!$Q$10*(J73-逐级计算!$P$10)*LN(10)/10),0)+LN(1+EXP(-ABS((LN(10^(逐级计算!$Q$10/10)-1)+逐级计算!$Q$10*(J73-逐级计算!$P$10)*LN(10)/10))))))),"")</f>
        <v>13.7930365742089</v>
      </c>
      <c r="L73">
        <f>IF(AND(ISNUMBER(K73),逐级计算!$X$11&gt;-1),IF(逐级计算!$X$11=0,K73+逐级计算!$C$11,K73+逐级计算!$C$11-(10/(逐级计算!$Q$11*LN(10))*(MAX((LN(10^(逐级计算!$Q$11/10)-1)+逐级计算!$Q$11*(K73-逐级计算!$P$11)*LN(10)/10),0)+LN(1+EXP(-ABS((LN(10^(逐级计算!$Q$11/10)-1)+逐级计算!$Q$11*(K73-逐级计算!$P$11)*LN(10)/10))))))),"")</f>
        <v>13.7930365742089</v>
      </c>
      <c r="M73">
        <f>IF(AND(ISNUMBER(L73),逐级计算!$X$12&gt;-1),IF(逐级计算!$X$12=0,L73+逐级计算!$C$12,L73+逐级计算!$C$12-(10/(逐级计算!$Q$12*LN(10))*(MAX((LN(10^(逐级计算!$Q$12/10)-1)+逐级计算!$Q$12*(L73-逐级计算!$P$12)*LN(10)/10),0)+LN(1+EXP(-ABS((LN(10^(逐级计算!$Q$12/10)-1)+逐级计算!$Q$12*(L73-逐级计算!$P$12)*LN(10)/10))))))),"")</f>
        <v>13.7930365742089</v>
      </c>
      <c r="N73">
        <f>IF(AND(ISNUMBER(M73),逐级计算!$X$13&gt;-1),IF(逐级计算!$X$13=0,M73+逐级计算!$C$13,M73+逐级计算!$C$13-(10/(逐级计算!$Q$13*LN(10))*(MAX((LN(10^(逐级计算!$Q$13/10)-1)+逐级计算!$Q$13*(M73-逐级计算!$P$13)*LN(10)/10),0)+LN(1+EXP(-ABS((LN(10^(逐级计算!$Q$13/10)-1)+逐级计算!$Q$13*(M73-逐级计算!$P$13)*LN(10)/10))))))),"")</f>
        <v>13.7930365742089</v>
      </c>
      <c r="O73">
        <f>IF(AND(ISNUMBER(N73),逐级计算!$X$14&gt;-1),IF(逐级计算!$X$14=0,N73+逐级计算!$C$14,N73+逐级计算!$C$14-(10/(逐级计算!$Q$14*LN(10))*(MAX((LN(10^(逐级计算!$Q$14/10)-1)+逐级计算!$Q$14*(N73-逐级计算!$P$14)*LN(10)/10),0)+LN(1+EXP(-ABS((LN(10^(逐级计算!$Q$14/10)-1)+逐级计算!$Q$14*(N73-逐级计算!$P$14)*LN(10)/10))))))),"")</f>
        <v>13.7930365742089</v>
      </c>
      <c r="P73">
        <f>IF(AND(ISNUMBER(O73),逐级计算!$X$15&gt;-1),IF(逐级计算!$X$15=0,O73+逐级计算!$C$15,O73+逐级计算!$C$15-(10/(逐级计算!$Q$15*LN(10))*(MAX((LN(10^(逐级计算!$Q$15/10)-1)+逐级计算!$Q$15*(O73-逐级计算!$P$15)*LN(10)/10),0)+LN(1+EXP(-ABS((LN(10^(逐级计算!$Q$15/10)-1)+逐级计算!$Q$15*(O73-逐级计算!$P$15)*LN(10)/10))))))),"")</f>
        <v>13.7930365742089</v>
      </c>
      <c r="Q73">
        <f>IF(AND(ISNUMBER(P73),逐级计算!$X$16&gt;-1),IF(逐级计算!$X$16=0,P73+逐级计算!$C$16,P73+逐级计算!$C$16-(10/(逐级计算!$Q$16*LN(10))*(MAX((LN(10^(逐级计算!$Q$16/10)-1)+逐级计算!$Q$16*(P73-逐级计算!$P$16)*LN(10)/10),0)+LN(1+EXP(-ABS((LN(10^(逐级计算!$Q$16/10)-1)+逐级计算!$Q$16*(P73-逐级计算!$P$16)*LN(10)/10))))))),"")</f>
        <v>13.7930365742089</v>
      </c>
      <c r="R73">
        <f>IF(AND(ISNUMBER(Q73),逐级计算!$X$17&gt;-1),IF(逐级计算!$X$17=0,Q73+逐级计算!$C$17,Q73+逐级计算!$C$17-(10/(逐级计算!$Q$17*LN(10))*(MAX((LN(10^(逐级计算!$Q$17/10)-1)+逐级计算!$Q$17*(Q73-逐级计算!$P$17)*LN(10)/10),0)+LN(1+EXP(-ABS((LN(10^(逐级计算!$Q$17/10)-1)+逐级计算!$Q$17*(Q73-逐级计算!$P$17)*LN(10)/10))))))),"")</f>
        <v>13.7930365742089</v>
      </c>
      <c r="S73">
        <f>IF(AND(ISNUMBER(R73),逐级计算!$X$18&gt;-1),IF(逐级计算!$X$18=0,R73+逐级计算!$C$18,R73+逐级计算!$C$18-(10/(逐级计算!$Q$18*LN(10))*(MAX((LN(10^(逐级计算!$Q$18/10)-1)+逐级计算!$Q$18*(R73-逐级计算!$P$18)*LN(10)/10),0)+LN(1+EXP(-ABS((LN(10^(逐级计算!$Q$18/10)-1)+逐级计算!$Q$18*(R73-逐级计算!$P$18)*LN(10)/10))))))),"")</f>
        <v>13.7930365742089</v>
      </c>
      <c r="T73">
        <f>IF(AND(ISNUMBER(S73),逐级计算!$X$19&gt;-1),IF(逐级计算!$X$19=0,S73+逐级计算!$C$19,S73+逐级计算!$C$19-(10/(逐级计算!$Q$19*LN(10))*(MAX((LN(10^(逐级计算!$Q$19/10)-1)+逐级计算!$Q$19*(S73-逐级计算!$P$19)*LN(10)/10),0)+LN(1+EXP(-ABS((LN(10^(逐级计算!$Q$19/10)-1)+逐级计算!$Q$19*(S73-逐级计算!$P$19)*LN(10)/10))))))),"")</f>
        <v>13.7930365742089</v>
      </c>
      <c r="U73">
        <f>IF(AND(ISNUMBER(T73),逐级计算!$X$20&gt;-1),IF(逐级计算!$X$20=0,T73+逐级计算!$C$20,T73+逐级计算!$C$20-(10/(逐级计算!$Q$20*LN(10))*(MAX((LN(10^(逐级计算!$Q$20/10)-1)+逐级计算!$Q$20*(T73-逐级计算!$P$20)*LN(10)/10),0)+LN(1+EXP(-ABS((LN(10^(逐级计算!$Q$20/10)-1)+逐级计算!$Q$20*(T73-逐级计算!$P$20)*LN(10)/10))))))),"")</f>
        <v>13.7930365742089</v>
      </c>
      <c r="V73">
        <f>IF(AND(ISNUMBER(U73),逐级计算!$X$21&gt;-1),IF(逐级计算!$X$21=0,U73+逐级计算!$C$21,U73+逐级计算!$C$21-(10/(逐级计算!$Q$21*LN(10))*(MAX((LN(10^(逐级计算!$Q$21/10)-1)+逐级计算!$Q$21*(U73-逐级计算!$P$21)*LN(10)/10),0)+LN(1+EXP(-ABS((LN(10^(逐级计算!$Q$21/10)-1)+逐级计算!$Q$21*(U73-逐级计算!$P$21)*LN(10)/10))))))),"")</f>
        <v>13.7930365742089</v>
      </c>
      <c r="W73">
        <f>IF(AND(ISNUMBER(V73),逐级计算!$X$22&gt;-1),IF(逐级计算!$X$22=0,V73+逐级计算!$C$22,V73+逐级计算!$C$22-(10/(逐级计算!$Q$22*LN(10))*(MAX((LN(10^(逐级计算!$Q$22/10)-1)+逐级计算!$Q$22*(V73-逐级计算!$P$22)*LN(10)/10),0)+LN(1+EXP(-ABS((LN(10^(逐级计算!$Q$22/10)-1)+逐级计算!$Q$22*(V73-逐级计算!$P$22)*LN(10)/10))))))),"")</f>
        <v>13.7930365742089</v>
      </c>
      <c r="X73">
        <f>IF(AND(ISNUMBER(W73),逐级计算!$X$23&gt;-1),IF(逐级计算!$X$23=0,W73+逐级计算!$C$23,W73+逐级计算!$C$23-(10/(逐级计算!$Q$23*LN(10))*(MAX((LN(10^(逐级计算!$Q$23/10)-1)+逐级计算!$Q$23*(W73-逐级计算!$P$23)*LN(10)/10),0)+LN(1+EXP(-ABS((LN(10^(逐级计算!$Q$23/10)-1)+逐级计算!$Q$23*(W73-逐级计算!$P$23)*LN(10)/10))))))),"")</f>
        <v>13.7930365742089</v>
      </c>
      <c r="Y73">
        <f>IF(AND(ISNUMBER(X73),逐级计算!$X$24&gt;-1),IF(逐级计算!$X$24=0,X73+逐级计算!$C$24,X73+逐级计算!$C$24-(10/(逐级计算!$Q$24*LN(10))*(MAX((LN(10^(逐级计算!$Q$24/10)-1)+逐级计算!$Q$24*(X73-逐级计算!$P$24)*LN(10)/10),0)+LN(1+EXP(-ABS((LN(10^(逐级计算!$Q$24/10)-1)+逐级计算!$Q$24*(X73-逐级计算!$P$24)*LN(10)/10))))))),"")</f>
        <v>13.7930365742089</v>
      </c>
      <c r="Z73">
        <f>IF(AND(ISNUMBER(Y73),逐级计算!$X$25&gt;-1),IF(逐级计算!$X$25=0,Y73+逐级计算!$C$25,Y73+逐级计算!$C$25-(10/(逐级计算!$Q$25*LN(10))*(MAX((LN(10^(逐级计算!$Q$25/10)-1)+逐级计算!$Q$25*(Y73-逐级计算!$P$25)*LN(10)/10),0)+LN(1+EXP(-ABS((LN(10^(逐级计算!$Q$25/10)-1)+逐级计算!$Q$25*(Y73-逐级计算!$P$25)*LN(10)/10))))))),"")</f>
        <v>13.7930365742089</v>
      </c>
      <c r="AA73">
        <f>IF(AND(ISNUMBER(Z73),逐级计算!$X$26&gt;-1),IF(逐级计算!$X$26=0,Z73+逐级计算!$C$26,Z73+逐级计算!$C$26-(10/(逐级计算!$Q$26*LN(10))*(MAX((LN(10^(逐级计算!$Q$26/10)-1)+逐级计算!$Q$26*(Z73-逐级计算!$P$26)*LN(10)/10),0)+LN(1+EXP(-ABS((LN(10^(逐级计算!$Q$26/10)-1)+逐级计算!$Q$26*(Z73-逐级计算!$P$26)*LN(10)/10))))))),"")</f>
        <v>13.7930365742089</v>
      </c>
      <c r="AB73">
        <f>IF(AND(ISNUMBER(AA73),逐级计算!$X$27&gt;-1),IF(逐级计算!$X$27=0,AA73+逐级计算!$C$27,AA73+逐级计算!$C$27-(10/(逐级计算!$Q$27*LN(10))*(MAX((LN(10^(逐级计算!$Q$27/10)-1)+逐级计算!$Q$27*(AA73-逐级计算!$P$27)*LN(10)/10),0)+LN(1+EXP(-ABS((LN(10^(逐级计算!$Q$27/10)-1)+逐级计算!$Q$27*(AA73-逐级计算!$P$27)*LN(10)/10))))))),"")</f>
        <v>13.7930365742089</v>
      </c>
      <c r="AC73">
        <f>IF(AND(ISNUMBER(AB73),逐级计算!$X$28&gt;-1),IF(逐级计算!$X$28=0,AB73+逐级计算!$C$28,AB73+逐级计算!$C$28-(10/(逐级计算!$Q$28*LN(10))*(MAX((LN(10^(逐级计算!$Q$28/10)-1)+逐级计算!$Q$28*(AB73-逐级计算!$P$28)*LN(10)/10),0)+LN(1+EXP(-ABS((LN(10^(逐级计算!$Q$28/10)-1)+逐级计算!$Q$28*(AB73-逐级计算!$P$28)*LN(10)/10))))))),"")</f>
        <v>13.7930365742089</v>
      </c>
      <c r="AD73">
        <f>IF(AND(ISNUMBER(AC73),逐级计算!$X$29&gt;-1),IF(逐级计算!$X$29=0,AC73+逐级计算!$C$29,AC73+逐级计算!$C$29-(10/(逐级计算!$Q$29*LN(10))*(MAX((LN(10^(逐级计算!$Q$29/10)-1)+逐级计算!$Q$29*(AC73-逐级计算!$P$29)*LN(10)/10),0)+LN(1+EXP(-ABS((LN(10^(逐级计算!$Q$29/10)-1)+逐级计算!$Q$29*(AC73-逐级计算!$P$29)*LN(10)/10))))))),"")</f>
        <v>13.7930365742089</v>
      </c>
      <c r="AE73">
        <f>IF(AND(ISNUMBER(AD73),逐级计算!$X$30&gt;-1),IF(逐级计算!$X$30=0,AD73+逐级计算!$C$30,AD73+逐级计算!$C$30-(10/(逐级计算!$Q$30*LN(10))*(MAX((LN(10^(逐级计算!$Q$30/10)-1)+逐级计算!$Q$30*(AD73-逐级计算!$P$30)*LN(10)/10),0)+LN(1+EXP(-ABS((LN(10^(逐级计算!$Q$30/10)-1)+逐级计算!$Q$30*(AD73-逐级计算!$P$30)*LN(10)/10))))))),"")</f>
        <v>13.7930365742089</v>
      </c>
      <c r="AF73">
        <f>IF(AND(ISNUMBER(AE73),逐级计算!$X$31&gt;-1),IF(逐级计算!$X$31=0,AE73+逐级计算!$C$31,AE73+逐级计算!$C$31-(10/(逐级计算!$Q$31*LN(10))*(MAX((LN(10^(逐级计算!$Q$31/10)-1)+逐级计算!$Q$31*(AE73-逐级计算!$P$31)*LN(10)/10),0)+LN(1+EXP(-ABS((LN(10^(逐级计算!$Q$31/10)-1)+逐级计算!$Q$31*(AE73-逐级计算!$P$31)*LN(10)/10))))))),"")</f>
        <v>13.7930365742089</v>
      </c>
      <c r="AG73">
        <f>IF(AND(ISNUMBER(AF73),逐级计算!$X$32&gt;-1),IF(逐级计算!$X$32=0,AF73+逐级计算!$C$32,AF73+逐级计算!$C$32-(10/(逐级计算!$Q$32*LN(10))*(MAX((LN(10^(逐级计算!$Q$32/10)-1)+逐级计算!$Q$32*(AF73-逐级计算!$P$32)*LN(10)/10),0)+LN(1+EXP(-ABS((LN(10^(逐级计算!$Q$32/10)-1)+逐级计算!$Q$32*(AF73-逐级计算!$P$32)*LN(10)/10))))))),"")</f>
        <v>13.7930365742089</v>
      </c>
      <c r="AH73">
        <f>IF(AND(ISNUMBER(AG73),逐级计算!$X$33&gt;-1),IF(逐级计算!$X$33=0,AG73+逐级计算!$C$33,AG73+逐级计算!$C$33-(10/(逐级计算!$Q$33*LN(10))*(MAX((LN(10^(逐级计算!$Q$33/10)-1)+逐级计算!$Q$33*(AG73-逐级计算!$P$33)*LN(10)/10),0)+LN(1+EXP(-ABS((LN(10^(逐级计算!$Q$33/10)-1)+逐级计算!$Q$33*(AG73-逐级计算!$P$33)*LN(10)/10))))))),"")</f>
        <v>13.7930365742089</v>
      </c>
      <c r="AI73">
        <f>IF(AND(ISNUMBER(AH73),逐级计算!$X$34&gt;-1),IF(逐级计算!$X$34=0,AH73+逐级计算!$C$34,AH73+逐级计算!$C$34-(10/(逐级计算!$Q$34*LN(10))*(MAX((LN(10^(逐级计算!$Q$34/10)-1)+逐级计算!$Q$34*(AH73-逐级计算!$P$34)*LN(10)/10),0)+LN(1+EXP(-ABS((LN(10^(逐级计算!$Q$34/10)-1)+逐级计算!$Q$34*(AH73-逐级计算!$P$34)*LN(10)/10))))))),"")</f>
        <v>13.7930365742089</v>
      </c>
      <c r="AJ73">
        <f>IF(AND(ISNUMBER(AI73),逐级计算!$X$35&gt;-1),IF(逐级计算!$X$35=0,AI73+逐级计算!$C$35,AI73+逐级计算!$C$35-(10/(逐级计算!$Q$35*LN(10))*(MAX((LN(10^(逐级计算!$Q$35/10)-1)+逐级计算!$Q$35*(AI73-逐级计算!$P$35)*LN(10)/10),0)+LN(1+EXP(-ABS((LN(10^(逐级计算!$Q$35/10)-1)+逐级计算!$Q$35*(AI73-逐级计算!$P$35)*LN(10)/10))))))),"")</f>
        <v>13.7930365742089</v>
      </c>
      <c r="AK73">
        <f>IF(AND(ISNUMBER(AJ73),逐级计算!$X$36&gt;-1),IF(逐级计算!$X$36=0,AJ73+逐级计算!$C$36,AJ73+逐级计算!$C$36-(10/(逐级计算!$Q$36*LN(10))*(MAX((LN(10^(逐级计算!$Q$36/10)-1)+逐级计算!$Q$36*(AJ73-逐级计算!$P$36)*LN(10)/10),0)+LN(1+EXP(-ABS((LN(10^(逐级计算!$Q$36/10)-1)+逐级计算!$Q$36*(AJ73-逐级计算!$P$36)*LN(10)/10))))))),"")</f>
        <v>13.7930365742089</v>
      </c>
      <c r="AL73">
        <f>IF(AND(ISNUMBER(AK73),逐级计算!$X$37&gt;-1),IF(逐级计算!$X$37=0,AK73+逐级计算!$C$37,AK73+逐级计算!$C$37-(10/(逐级计算!$Q$37*LN(10))*(MAX((LN(10^(逐级计算!$Q$37/10)-1)+逐级计算!$Q$37*(AK73-逐级计算!$P$37)*LN(10)/10),0)+LN(1+EXP(-ABS((LN(10^(逐级计算!$Q$37/10)-1)+逐级计算!$Q$37*(AK73-逐级计算!$P$37)*LN(10)/10))))))),"")</f>
        <v>13.7930365742089</v>
      </c>
      <c r="AM73">
        <f>IF(AND(ISNUMBER(AL73),逐级计算!$X$38&gt;-1),IF(逐级计算!$X$38=0,AL73+逐级计算!$C$38,AL73+逐级计算!$C$38-(10/(逐级计算!$Q$38*LN(10))*(MAX((LN(10^(逐级计算!$Q$38/10)-1)+逐级计算!$Q$38*(AL73-逐级计算!$P$38)*LN(10)/10),0)+LN(1+EXP(-ABS((LN(10^(逐级计算!$Q$38/10)-1)+逐级计算!$Q$38*(AL73-逐级计算!$P$38)*LN(10)/10))))))),"")</f>
        <v>13.7930365742089</v>
      </c>
      <c r="AN73">
        <f>IF(AND(ISNUMBER(AM73),逐级计算!$X$39&gt;-1),IF(逐级计算!$X$39=0,AM73+逐级计算!$C$39,AM73+逐级计算!$C$39-(10/(逐级计算!$Q$39*LN(10))*(MAX((LN(10^(逐级计算!$Q$39/10)-1)+逐级计算!$Q$39*(AM73-逐级计算!$P$39)*LN(10)/10),0)+LN(1+EXP(-ABS((LN(10^(逐级计算!$Q$39/10)-1)+逐级计算!$Q$39*(AM73-逐级计算!$P$39)*LN(10)/10))))))),"")</f>
        <v>13.7930365742089</v>
      </c>
      <c r="AO73">
        <f>IF(AND(ISNUMBER(AN73),逐级计算!$X$40&gt;-1),IF(逐级计算!$X$40=0,AN73+逐级计算!$C$40,AN73+逐级计算!$C$40-(10/(逐级计算!$Q$40*LN(10))*(MAX((LN(10^(逐级计算!$Q$40/10)-1)+逐级计算!$Q$40*(AN73-逐级计算!$P$40)*LN(10)/10),0)+LN(1+EXP(-ABS((LN(10^(逐级计算!$Q$40/10)-1)+逐级计算!$Q$40*(AN73-逐级计算!$P$40)*LN(10)/10))))))),"")</f>
        <v>13.7930365742089</v>
      </c>
      <c r="AP73">
        <f>IF(AND(ISNUMBER(AO73),逐级计算!$X$41&gt;-1),IF(逐级计算!$X$41=0,AO73+逐级计算!$C$41,AO73+逐级计算!$C$41-(10/(逐级计算!$Q$41*LN(10))*(MAX((LN(10^(逐级计算!$Q$41/10)-1)+逐级计算!$Q$41*(AO73-逐级计算!$P$41)*LN(10)/10),0)+LN(1+EXP(-ABS((LN(10^(逐级计算!$Q$41/10)-1)+逐级计算!$Q$41*(AO73-逐级计算!$P$41)*LN(10)/10))))))),"")</f>
        <v>13.7930365742089</v>
      </c>
      <c r="AQ73">
        <f>IF(AND(ISNUMBER(AP73),逐级计算!$X$42&gt;-1),IF(逐级计算!$X$42=0,AP73+逐级计算!$C$42,AP73+逐级计算!$C$42-(10/(逐级计算!$Q$42*LN(10))*(MAX((LN(10^(逐级计算!$Q$42/10)-1)+逐级计算!$Q$42*(AP73-逐级计算!$P$42)*LN(10)/10),0)+LN(1+EXP(-ABS((LN(10^(逐级计算!$Q$42/10)-1)+逐级计算!$Q$42*(AP73-逐级计算!$P$42)*LN(10)/10))))))),"")</f>
        <v>13.7930365742089</v>
      </c>
      <c r="AR73">
        <f>IF(AND(ISNUMBER(AQ73),逐级计算!$X$43&gt;-1),IF(逐级计算!$X$43=0,AQ73+逐级计算!$C$43,AQ73+逐级计算!$C$43-(10/(逐级计算!$Q$43*LN(10))*(MAX((LN(10^(逐级计算!$Q$43/10)-1)+逐级计算!$Q$43*(AQ73-逐级计算!$P$43)*LN(10)/10),0)+LN(1+EXP(-ABS((LN(10^(逐级计算!$Q$43/10)-1)+逐级计算!$Q$43*(AQ73-逐级计算!$P$43)*LN(10)/10))))))),"")</f>
        <v>13.7930365742089</v>
      </c>
      <c r="AS73">
        <f>IF(AND(ISNUMBER(AR73),逐级计算!$X$44&gt;-1),IF(逐级计算!$X$44=0,AR73+逐级计算!$C$44,AR73+逐级计算!$C$44-(10/(逐级计算!$Q$44*LN(10))*(MAX((LN(10^(逐级计算!$Q$44/10)-1)+逐级计算!$Q$44*(AR73-逐级计算!$P$44)*LN(10)/10),0)+LN(1+EXP(-ABS((LN(10^(逐级计算!$Q$44/10)-1)+逐级计算!$Q$44*(AR73-逐级计算!$P$44)*LN(10)/10))))))),"")</f>
        <v>13.7930365742089</v>
      </c>
      <c r="AT73">
        <f>IF(AND(ISNUMBER(AS73),逐级计算!$X$45&gt;-1),IF(逐级计算!$X$45=0,AS73+逐级计算!$C$45,AS73+逐级计算!$C$45-(10/(逐级计算!$Q$45*LN(10))*(MAX((LN(10^(逐级计算!$Q$45/10)-1)+逐级计算!$Q$45*(AS73-逐级计算!$P$45)*LN(10)/10),0)+LN(1+EXP(-ABS((LN(10^(逐级计算!$Q$45/10)-1)+逐级计算!$Q$45*(AS73-逐级计算!$P$45)*LN(10)/10))))))),"")</f>
        <v>13.7930365742089</v>
      </c>
      <c r="AU73">
        <f>IF(AND(ISNUMBER(AT73),逐级计算!$X$46&gt;-1),IF(逐级计算!$X$46=0,AT73+逐级计算!$C$46,AT73+逐级计算!$C$46-(10/(逐级计算!$Q$46*LN(10))*(MAX((LN(10^(逐级计算!$Q$46/10)-1)+逐级计算!$Q$46*(AT73-逐级计算!$P$46)*LN(10)/10),0)+LN(1+EXP(-ABS((LN(10^(逐级计算!$Q$46/10)-1)+逐级计算!$Q$46*(AT73-逐级计算!$P$46)*LN(10)/10))))))),"")</f>
        <v>13.7930365742089</v>
      </c>
      <c r="AV73">
        <f>IF(AND(ISNUMBER(AU73),逐级计算!$X$47&gt;-1),IF(逐级计算!$X$47=0,AU73+逐级计算!$C$47,AU73+逐级计算!$C$47-(10/(逐级计算!$Q$47*LN(10))*(MAX((LN(10^(逐级计算!$Q$47/10)-1)+逐级计算!$Q$47*(AU73-逐级计算!$P$47)*LN(10)/10),0)+LN(1+EXP(-ABS((LN(10^(逐级计算!$Q$47/10)-1)+逐级计算!$Q$47*(AU73-逐级计算!$P$47)*LN(10)/10))))))),"")</f>
        <v>13.7930365742089</v>
      </c>
      <c r="AW73">
        <f>IF(AND(ISNUMBER(AV73),逐级计算!$X$48&gt;-1),IF(逐级计算!$X$48=0,AV73+逐级计算!$C$48,AV73+逐级计算!$C$48-(10/(逐级计算!$Q$48*LN(10))*(MAX((LN(10^(逐级计算!$Q$48/10)-1)+逐级计算!$Q$48*(AV73-逐级计算!$P$48)*LN(10)/10),0)+LN(1+EXP(-ABS((LN(10^(逐级计算!$Q$48/10)-1)+逐级计算!$Q$48*(AV73-逐级计算!$P$48)*LN(10)/10))))))),"")</f>
        <v>13.7930365742089</v>
      </c>
      <c r="AX73">
        <f>IF(AND(ISNUMBER(AW73),逐级计算!$X$49&gt;-1),IF(逐级计算!$X$49=0,AW73+逐级计算!$C$49,AW73+逐级计算!$C$49-(10/(逐级计算!$Q$49*LN(10))*(MAX((LN(10^(逐级计算!$Q$49/10)-1)+逐级计算!$Q$49*(AW73-逐级计算!$P$49)*LN(10)/10),0)+LN(1+EXP(-ABS((LN(10^(逐级计算!$Q$49/10)-1)+逐级计算!$Q$49*(AW73-逐级计算!$P$49)*LN(10)/10))))))),"")</f>
        <v>13.7930365742089</v>
      </c>
      <c r="AY73">
        <f>IF(AND(ISNUMBER(AX73),逐级计算!$X$50&gt;-1),IF(逐级计算!$X$50=0,AX73+逐级计算!$C$50,AX73+逐级计算!$C$50-(10/(逐级计算!$Q$50*LN(10))*(MAX((LN(10^(逐级计算!$Q$50/10)-1)+逐级计算!$Q$50*(AX73-逐级计算!$P$50)*LN(10)/10),0)+LN(1+EXP(-ABS((LN(10^(逐级计算!$Q$50/10)-1)+逐级计算!$Q$50*(AX73-逐级计算!$P$50)*LN(10)/10))))))),"")</f>
        <v>13.7930365742089</v>
      </c>
      <c r="AZ73">
        <f>IF(AND(ISNUMBER(AY73),逐级计算!$X$51&gt;-1),IF(逐级计算!$X$51=0,AY73+逐级计算!$C$51,AY73+逐级计算!$C$51-(10/(逐级计算!$Q$51*LN(10))*(MAX((LN(10^(逐级计算!$Q$51/10)-1)+逐级计算!$Q$51*(AY73-逐级计算!$P$51)*LN(10)/10),0)+LN(1+EXP(-ABS((LN(10^(逐级计算!$Q$51/10)-1)+逐级计算!$Q$51*(AY73-逐级计算!$P$51)*LN(10)/10))))))),"")</f>
        <v>13.7930365742089</v>
      </c>
      <c r="BA73">
        <f>IF(AND(ISNUMBER(AZ73),逐级计算!$X$52&gt;-1),IF(逐级计算!$X$52=0,AZ73+逐级计算!$C$52,AZ73+逐级计算!$C$52-(10/(逐级计算!$Q$52*LN(10))*(MAX((LN(10^(逐级计算!$Q$52/10)-1)+逐级计算!$Q$52*(AZ73-逐级计算!$P$52)*LN(10)/10),0)+LN(1+EXP(-ABS((LN(10^(逐级计算!$Q$52/10)-1)+逐级计算!$Q$52*(AZ73-逐级计算!$P$52)*LN(10)/10))))))),"")</f>
        <v>13.7930365742089</v>
      </c>
      <c r="BB73">
        <f>IF(AND(ISNUMBER(BA73),逐级计算!$X$53&gt;-1),IF(逐级计算!$X$53=0,BA73+逐级计算!$C$53,BA73+逐级计算!$C$53-(10/(逐级计算!$Q$53*LN(10))*(MAX((LN(10^(逐级计算!$Q$53/10)-1)+逐级计算!$Q$53*(BA73-逐级计算!$P$53)*LN(10)/10),0)+LN(1+EXP(-ABS((LN(10^(逐级计算!$Q$53/10)-1)+逐级计算!$Q$53*(BA73-逐级计算!$P$53)*LN(10)/10))))))),"")</f>
        <v>13.7930365742089</v>
      </c>
      <c r="BC73">
        <f>IF(AND(ISNUMBER(BB73),逐级计算!$X$54&gt;-1),IF(逐级计算!$X$54=0,BB73+逐级计算!$C$54,BB73+逐级计算!$C$54-(10/(逐级计算!$Q$54*LN(10))*(MAX((LN(10^(逐级计算!$Q$54/10)-1)+逐级计算!$Q$54*(BB73-逐级计算!$P$54)*LN(10)/10),0)+LN(1+EXP(-ABS((LN(10^(逐级计算!$Q$54/10)-1)+逐级计算!$Q$54*(BB73-逐级计算!$P$54)*LN(10)/10))))))),"")</f>
        <v>13.7930365742089</v>
      </c>
      <c r="BD73">
        <f>IF(AND(ISNUMBER(BC73),逐级计算!$X$55&gt;-1),IF(逐级计算!$X$55=0,BC73+逐级计算!$C$55,BC73+逐级计算!$C$55-(10/(逐级计算!$Q$55*LN(10))*(MAX((LN(10^(逐级计算!$Q$55/10)-1)+逐级计算!$Q$55*(BC73-逐级计算!$P$55)*LN(10)/10),0)+LN(1+EXP(-ABS((LN(10^(逐级计算!$Q$55/10)-1)+逐级计算!$Q$55*(BC73-逐级计算!$P$55)*LN(10)/10))))))),"")</f>
        <v>13.7930365742089</v>
      </c>
      <c r="BE73">
        <f>IF(AND(ISNUMBER(BD73),逐级计算!$X$56&gt;-1),IF(逐级计算!$X$56=0,BD73+逐级计算!$C$56,BD73+逐级计算!$C$56-(10/(逐级计算!$Q$56*LN(10))*(MAX((LN(10^(逐级计算!$Q$56/10)-1)+逐级计算!$Q$56*(BD73-逐级计算!$P$56)*LN(10)/10),0)+LN(1+EXP(-ABS((LN(10^(逐级计算!$Q$56/10)-1)+逐级计算!$Q$56*(BD73-逐级计算!$P$56)*LN(10)/10))))))),"")</f>
        <v>13.7930365742089</v>
      </c>
      <c r="BF73">
        <f>IF(AND(ISNUMBER(BE73),逐级计算!$X$57&gt;-1),IF(逐级计算!$X$57=0,BE73+逐级计算!$C$57,BE73+逐级计算!$C$57-(10/(逐级计算!$Q$57*LN(10))*(MAX((LN(10^(逐级计算!$Q$57/10)-1)+逐级计算!$Q$57*(BE73-逐级计算!$P$57)*LN(10)/10),0)+LN(1+EXP(-ABS((LN(10^(逐级计算!$Q$57/10)-1)+逐级计算!$Q$57*(BE73-逐级计算!$P$57)*LN(10)/10))))))),"")</f>
        <v>13.7930365742089</v>
      </c>
      <c r="BG73">
        <f>IF(AND(ISNUMBER(BF73),逐级计算!$X$58&gt;-1),IF(逐级计算!$X$58=0,BF73+逐级计算!$C$58,BF73+逐级计算!$C$58-(10/(逐级计算!$Q$58*LN(10))*(MAX((LN(10^(逐级计算!$Q$58/10)-1)+逐级计算!$Q$58*(BF73-逐级计算!$P$58)*LN(10)/10),0)+LN(1+EXP(-ABS((LN(10^(逐级计算!$Q$58/10)-1)+逐级计算!$Q$58*(BF73-逐级计算!$P$58)*LN(10)/10))))))),"")</f>
        <v>13.7930365742089</v>
      </c>
      <c r="BH73">
        <f>IF(AND(ISNUMBER(BG73),逐级计算!$X$59&gt;-1),IF(逐级计算!$X$59=0,BG73+逐级计算!$C$59,BG73+逐级计算!$C$59-(10/(逐级计算!$Q$59*LN(10))*(MAX((LN(10^(逐级计算!$Q$59/10)-1)+逐级计算!$Q$59*(BG73-逐级计算!$P$59)*LN(10)/10),0)+LN(1+EXP(-ABS((LN(10^(逐级计算!$Q$59/10)-1)+逐级计算!$Q$59*(BG73-逐级计算!$P$59)*LN(10)/10))))))),"")</f>
        <v>13.7930365742089</v>
      </c>
      <c r="BI73">
        <f>IF(AND(ISNUMBER(BH73),逐级计算!$X$60&gt;-1),IF(逐级计算!$X$60=0,BH73+逐级计算!$C$60,BH73+逐级计算!$C$60-(10/(逐级计算!$Q$60*LN(10))*(MAX((LN(10^(逐级计算!$Q$60/10)-1)+逐级计算!$Q$60*(BH73-逐级计算!$P$60)*LN(10)/10),0)+LN(1+EXP(-ABS((LN(10^(逐级计算!$Q$60/10)-1)+逐级计算!$Q$60*(BH73-逐级计算!$P$60)*LN(10)/10))))))),"")</f>
        <v>13.7930365742089</v>
      </c>
      <c r="BJ73">
        <f>IF(AND(ISNUMBER(BI73),逐级计算!$X$61&gt;-1),IF(逐级计算!$X$61=0,BI73+逐级计算!$C$61,BI73+逐级计算!$C$61-(10/(逐级计算!$Q$61*LN(10))*(MAX((LN(10^(逐级计算!$Q$61/10)-1)+逐级计算!$Q$61*(BI73-逐级计算!$P$61)*LN(10)/10),0)+LN(1+EXP(-ABS((LN(10^(逐级计算!$Q$61/10)-1)+逐级计算!$Q$61*(BI73-逐级计算!$P$61)*LN(10)/10))))))),"")</f>
        <v>13.7930365742089</v>
      </c>
      <c r="BK73">
        <f>IF(AND(ISNUMBER(BJ73),逐级计算!$X$62&gt;-1),IF(逐级计算!$X$62=0,BJ73+逐级计算!$C$62,BJ73+逐级计算!$C$62-(10/(逐级计算!$Q$62*LN(10))*(MAX((LN(10^(逐级计算!$Q$62/10)-1)+逐级计算!$Q$62*(BJ73-逐级计算!$P$62)*LN(10)/10),0)+LN(1+EXP(-ABS((LN(10^(逐级计算!$Q$62/10)-1)+逐级计算!$Q$62*(BJ73-逐级计算!$P$62)*LN(10)/10))))))),"")</f>
        <v>13.7930365742089</v>
      </c>
      <c r="BL73">
        <f>IF(AND(ISNUMBER(BK73),逐级计算!$X$63&gt;-1),IF(逐级计算!$X$63=0,BK73+逐级计算!$C$63,BK73+逐级计算!$C$63-(10/(逐级计算!$Q$63*LN(10))*(MAX((LN(10^(逐级计算!$Q$63/10)-1)+逐级计算!$Q$63*(BK73-逐级计算!$P$63)*LN(10)/10),0)+LN(1+EXP(-ABS((LN(10^(逐级计算!$Q$63/10)-1)+逐级计算!$Q$63*(BK73-逐级计算!$P$63)*LN(10)/10))))))),"")</f>
        <v>13.7930365742089</v>
      </c>
      <c r="BM73">
        <f>IF(AND(ISNUMBER(BL73),逐级计算!$X$64&gt;-1),IF(逐级计算!$X$64=0,BL73+逐级计算!$C$64,BL73+逐级计算!$C$64-(10/(逐级计算!$Q$64*LN(10))*(MAX((LN(10^(逐级计算!$Q$64/10)-1)+逐级计算!$Q$64*(BL73-逐级计算!$P$64)*LN(10)/10),0)+LN(1+EXP(-ABS((LN(10^(逐级计算!$Q$64/10)-1)+逐级计算!$Q$64*(BL73-逐级计算!$P$64)*LN(10)/10))))))),"")</f>
        <v>13.7930365742089</v>
      </c>
      <c r="BN73">
        <f>IF(AND(ISNUMBER(BM73),逐级计算!$X$65&gt;-1),IF(逐级计算!$X$65=0,BM73+逐级计算!$C$65,BM73+逐级计算!$C$65-(10/(逐级计算!$Q$65*LN(10))*(MAX((LN(10^(逐级计算!$Q$65/10)-1)+逐级计算!$Q$65*(BM73-逐级计算!$P$65)*LN(10)/10),0)+LN(1+EXP(-ABS((LN(10^(逐级计算!$Q$65/10)-1)+逐级计算!$Q$65*(BM73-逐级计算!$P$65)*LN(10)/10))))))),"")</f>
        <v>13.7930365742089</v>
      </c>
      <c r="BO73">
        <f>IF(AND(ISNUMBER(BN73),逐级计算!$X$66&gt;-1),IF(逐级计算!$X$66=0,BN73+逐级计算!$C$66,BN73+逐级计算!$C$66-(10/(逐级计算!$Q$66*LN(10))*(MAX((LN(10^(逐级计算!$Q$66/10)-1)+逐级计算!$Q$66*(BN73-逐级计算!$P$66)*LN(10)/10),0)+LN(1+EXP(-ABS((LN(10^(逐级计算!$Q$66/10)-1)+逐级计算!$Q$66*(BN73-逐级计算!$P$66)*LN(10)/10))))))),"")</f>
        <v>13.7930365742089</v>
      </c>
      <c r="BP73">
        <f>IF(AND(ISNUMBER(BO73),逐级计算!$X$67&gt;-1),IF(逐级计算!$X$67=0,BO73+逐级计算!$C$67,BO73+逐级计算!$C$67-(10/(逐级计算!$Q$67*LN(10))*(MAX((LN(10^(逐级计算!$Q$67/10)-1)+逐级计算!$Q$67*(BO73-逐级计算!$P$67)*LN(10)/10),0)+LN(1+EXP(-ABS((LN(10^(逐级计算!$Q$67/10)-1)+逐级计算!$Q$67*(BO73-逐级计算!$P$67)*LN(10)/10))))))),"")</f>
        <v>13.7930365742089</v>
      </c>
      <c r="BQ73">
        <f>IF(AND(ISNUMBER(BP73),逐级计算!$X$68&gt;-1),IF(逐级计算!$X$68=0,BP73+逐级计算!$C$68,BP73+逐级计算!$C$68-(10/(逐级计算!$Q$68*LN(10))*(MAX((LN(10^(逐级计算!$Q$68/10)-1)+逐级计算!$Q$68*(BP73-逐级计算!$P$68)*LN(10)/10),0)+LN(1+EXP(-ABS((LN(10^(逐级计算!$Q$68/10)-1)+逐级计算!$Q$68*(BP73-逐级计算!$P$68)*LN(10)/10))))))),"")</f>
        <v>13.7930365742089</v>
      </c>
      <c r="BR73">
        <f>IF(AND(ISNUMBER(BQ73),逐级计算!$X$69&gt;-1),IF(逐级计算!$X$69=0,BQ73+逐级计算!$C$69,BQ73+逐级计算!$C$69-(10/(逐级计算!$Q$69*LN(10))*(MAX((LN(10^(逐级计算!$Q$69/10)-1)+逐级计算!$Q$69*(BQ73-逐级计算!$P$69)*LN(10)/10),0)+LN(1+EXP(-ABS((LN(10^(逐级计算!$Q$69/10)-1)+逐级计算!$Q$69*(BQ73-逐级计算!$P$69)*LN(10)/10))))))),"")</f>
        <v>13.7930365742089</v>
      </c>
      <c r="BS73">
        <f>IF(AND(ISNUMBER(BR73),逐级计算!$X$70&gt;-1),IF(逐级计算!$X$70=0,BR73+逐级计算!$C$70,BR73+逐级计算!$C$70-(10/(逐级计算!$Q$70*LN(10))*(MAX((LN(10^(逐级计算!$Q$70/10)-1)+逐级计算!$Q$70*(BR73-逐级计算!$P$70)*LN(10)/10),0)+LN(1+EXP(-ABS((LN(10^(逐级计算!$Q$70/10)-1)+逐级计算!$Q$70*(BR73-逐级计算!$P$70)*LN(10)/10))))))),"")</f>
        <v>13.7930365742089</v>
      </c>
      <c r="BT73">
        <f>IF(AND(ISNUMBER(BS73),逐级计算!$X$71&gt;-1),IF(逐级计算!$X$71=0,BS73+逐级计算!$C$71,BS73+逐级计算!$C$71-(10/(逐级计算!$Q$71*LN(10))*(MAX((LN(10^(逐级计算!$Q$71/10)-1)+逐级计算!$Q$71*(BS73-逐级计算!$P$71)*LN(10)/10),0)+LN(1+EXP(-ABS((LN(10^(逐级计算!$Q$71/10)-1)+逐级计算!$Q$71*(BS73-逐级计算!$P$71)*LN(10)/10))))))),"")</f>
        <v>13.7930365742089</v>
      </c>
      <c r="BU73">
        <f>IF(AND(ISNUMBER(BT73),逐级计算!$X$72&gt;-1),IF(逐级计算!$X$72=0,BT73+逐级计算!$C$72,BT73+逐级计算!$C$72-(10/(逐级计算!$Q$72*LN(10))*(MAX((LN(10^(逐级计算!$Q$72/10)-1)+逐级计算!$Q$72*(BT73-逐级计算!$P$72)*LN(10)/10),0)+LN(1+EXP(-ABS((LN(10^(逐级计算!$Q$72/10)-1)+逐级计算!$Q$72*(BT73-逐级计算!$P$72)*LN(10)/10))))))),"")</f>
        <v>13.7930365742089</v>
      </c>
      <c r="BV73">
        <f>IF(AND(ISNUMBER(BU73),逐级计算!$X$73&gt;-1),IF(逐级计算!$X$73=0,BU73+逐级计算!$C$73,BU73+逐级计算!$C$73-(10/(逐级计算!$Q$73*LN(10))*(MAX((LN(10^(逐级计算!$Q$73/10)-1)+逐级计算!$Q$73*(BU73-逐级计算!$P$73)*LN(10)/10),0)+LN(1+EXP(-ABS((LN(10^(逐级计算!$Q$73/10)-1)+逐级计算!$Q$73*(BU73-逐级计算!$P$73)*LN(10)/10))))))),"")</f>
        <v>13.7930365742089</v>
      </c>
      <c r="BW73">
        <f>IF(AND(ISNUMBER(BV73),逐级计算!$X$74&gt;-1),IF(逐级计算!$X$74=0,BV73+逐级计算!$C$74,BV73+逐级计算!$C$74-(10/(逐级计算!$Q$74*LN(10))*(MAX((LN(10^(逐级计算!$Q$74/10)-1)+逐级计算!$Q$74*(BV73-逐级计算!$P$74)*LN(10)/10),0)+LN(1+EXP(-ABS((LN(10^(逐级计算!$Q$74/10)-1)+逐级计算!$Q$74*(BV73-逐级计算!$P$74)*LN(10)/10))))))),"")</f>
        <v>13.7930365742089</v>
      </c>
      <c r="BX73">
        <f>IF(AND(ISNUMBER(BW73),逐级计算!$X$75&gt;-1),IF(逐级计算!$X$75=0,BW73+逐级计算!$C$75,BW73+逐级计算!$C$75-(10/(逐级计算!$Q$75*LN(10))*(MAX((LN(10^(逐级计算!$Q$75/10)-1)+逐级计算!$Q$75*(BW73-逐级计算!$P$75)*LN(10)/10),0)+LN(1+EXP(-ABS((LN(10^(逐级计算!$Q$75/10)-1)+逐级计算!$Q$75*(BW73-逐级计算!$P$75)*LN(10)/10))))))),"")</f>
        <v>13.7930365742089</v>
      </c>
      <c r="BY73">
        <f>IF(AND(ISNUMBER(BX73),逐级计算!$X$76&gt;-1),IF(逐级计算!$X$76=0,BX73+逐级计算!$C$76,BX73+逐级计算!$C$76-(10/(逐级计算!$Q$76*LN(10))*(MAX((LN(10^(逐级计算!$Q$76/10)-1)+逐级计算!$Q$76*(BX73-逐级计算!$P$76)*LN(10)/10),0)+LN(1+EXP(-ABS((LN(10^(逐级计算!$Q$76/10)-1)+逐级计算!$Q$76*(BX73-逐级计算!$P$76)*LN(10)/10))))))),"")</f>
        <v>13.7930365742089</v>
      </c>
      <c r="BZ73">
        <f>IF(AND(ISNUMBER(BY73),逐级计算!$X$77&gt;-1),IF(逐级计算!$X$77=0,BY73+逐级计算!$C$77,BY73+逐级计算!$C$77-(10/(逐级计算!$Q$77*LN(10))*(MAX((LN(10^(逐级计算!$Q$77/10)-1)+逐级计算!$Q$77*(BY73-逐级计算!$P$77)*LN(10)/10),0)+LN(1+EXP(-ABS((LN(10^(逐级计算!$Q$77/10)-1)+逐级计算!$Q$77*(BY73-逐级计算!$P$77)*LN(10)/10))))))),"")</f>
        <v>13.7930365742089</v>
      </c>
      <c r="CA73">
        <f>IF(AND(ISNUMBER(BZ73),逐级计算!$X$78&gt;-1),IF(逐级计算!$X$78=0,BZ73+逐级计算!$C$78,BZ73+逐级计算!$C$78-(10/(逐级计算!$Q$78*LN(10))*(MAX((LN(10^(逐级计算!$Q$78/10)-1)+逐级计算!$Q$78*(BZ73-逐级计算!$P$78)*LN(10)/10),0)+LN(1+EXP(-ABS((LN(10^(逐级计算!$Q$78/10)-1)+逐级计算!$Q$78*(BZ73-逐级计算!$P$78)*LN(10)/10))))))),"")</f>
        <v>13.7930365742089</v>
      </c>
      <c r="CB73">
        <f>IF(AND(ISNUMBER(CA73),逐级计算!$X$79&gt;-1),IF(逐级计算!$X$79=0,CA73+逐级计算!$C$79,CA73+逐级计算!$C$79-(10/(逐级计算!$Q$79*LN(10))*(MAX((LN(10^(逐级计算!$Q$79/10)-1)+逐级计算!$Q$79*(CA73-逐级计算!$P$79)*LN(10)/10),0)+LN(1+EXP(-ABS((LN(10^(逐级计算!$Q$79/10)-1)+逐级计算!$Q$79*(CA73-逐级计算!$P$79)*LN(10)/10))))))),"")</f>
        <v>13.7930365742089</v>
      </c>
      <c r="CC73">
        <f>IF(AND(ISNUMBER(CB73),逐级计算!$X$80&gt;-1),IF(逐级计算!$X$80=0,CB73+逐级计算!$C$80,CB73+逐级计算!$C$80-(10/(逐级计算!$Q$80*LN(10))*(MAX((LN(10^(逐级计算!$Q$80/10)-1)+逐级计算!$Q$80*(CB73-逐级计算!$P$80)*LN(10)/10),0)+LN(1+EXP(-ABS((LN(10^(逐级计算!$Q$80/10)-1)+逐级计算!$Q$80*(CB73-逐级计算!$P$80)*LN(10)/10))))))),"")</f>
        <v>13.7930365742089</v>
      </c>
      <c r="CD73">
        <f>IF(AND(ISNUMBER(CC73),逐级计算!$X$81&gt;-1),IF(逐级计算!$X$81=0,CC73+逐级计算!$C$81,CC73+逐级计算!$C$81-(10/(逐级计算!$Q$81*LN(10))*(MAX((LN(10^(逐级计算!$Q$81/10)-1)+逐级计算!$Q$81*(CC73-逐级计算!$P$81)*LN(10)/10),0)+LN(1+EXP(-ABS((LN(10^(逐级计算!$Q$81/10)-1)+逐级计算!$Q$81*(CC73-逐级计算!$P$81)*LN(10)/10))))))),"")</f>
        <v>13.7930365742089</v>
      </c>
      <c r="CE73">
        <f>IF(AND(ISNUMBER(CD73),逐级计算!$X$82&gt;-1),IF(逐级计算!$X$82=0,CD73+逐级计算!$C$82,CD73+逐级计算!$C$82-(10/(逐级计算!$Q$82*LN(10))*(MAX((LN(10^(逐级计算!$Q$82/10)-1)+逐级计算!$Q$82*(CD73-逐级计算!$P$82)*LN(10)/10),0)+LN(1+EXP(-ABS((LN(10^(逐级计算!$Q$82/10)-1)+逐级计算!$Q$82*(CD73-逐级计算!$P$82)*LN(10)/10))))))),"")</f>
        <v>13.7930365742089</v>
      </c>
      <c r="CF73">
        <f>IF(AND(ISNUMBER(CE73),逐级计算!$X$83&gt;-1),IF(逐级计算!$X$83=0,CE73+逐级计算!$C$83,CE73+逐级计算!$C$83-(10/(逐级计算!$Q$83*LN(10))*(MAX((LN(10^(逐级计算!$Q$83/10)-1)+逐级计算!$Q$83*(CE73-逐级计算!$P$83)*LN(10)/10),0)+LN(1+EXP(-ABS((LN(10^(逐级计算!$Q$83/10)-1)+逐级计算!$Q$83*(CE73-逐级计算!$P$83)*LN(10)/10))))))),"")</f>
        <v>13.7930365742089</v>
      </c>
      <c r="CG73">
        <f>IF(AND(ISNUMBER(CF73),逐级计算!$X$84&gt;-1),IF(逐级计算!$X$84=0,CF73+逐级计算!$C$84,CF73+逐级计算!$C$84-(10/(逐级计算!$Q$84*LN(10))*(MAX((LN(10^(逐级计算!$Q$84/10)-1)+逐级计算!$Q$84*(CF73-逐级计算!$P$84)*LN(10)/10),0)+LN(1+EXP(-ABS((LN(10^(逐级计算!$Q$84/10)-1)+逐级计算!$Q$84*(CF73-逐级计算!$P$84)*LN(10)/10))))))),"")</f>
        <v>13.7930365742089</v>
      </c>
      <c r="CH73">
        <f>IF(AND(ISNUMBER(CG73),逐级计算!$X$85&gt;-1),IF(逐级计算!$X$85=0,CG73+逐级计算!$C$85,CG73+逐级计算!$C$85-(10/(逐级计算!$Q$85*LN(10))*(MAX((LN(10^(逐级计算!$Q$85/10)-1)+逐级计算!$Q$85*(CG73-逐级计算!$P$85)*LN(10)/10),0)+LN(1+EXP(-ABS((LN(10^(逐级计算!$Q$85/10)-1)+逐级计算!$Q$85*(CG73-逐级计算!$P$85)*LN(10)/10))))))),"")</f>
        <v>13.7930365742089</v>
      </c>
      <c r="CI73">
        <f>IF(AND(ISNUMBER(CH73),逐级计算!$X$86&gt;-1),IF(逐级计算!$X$86=0,CH73+逐级计算!$C$86,CH73+逐级计算!$C$86-(10/(逐级计算!$Q$86*LN(10))*(MAX((LN(10^(逐级计算!$Q$86/10)-1)+逐级计算!$Q$86*(CH73-逐级计算!$P$86)*LN(10)/10),0)+LN(1+EXP(-ABS((LN(10^(逐级计算!$Q$86/10)-1)+逐级计算!$Q$86*(CH73-逐级计算!$P$86)*LN(10)/10))))))),"")</f>
        <v>13.7930365742089</v>
      </c>
      <c r="CJ73">
        <f>IF(AND(ISNUMBER(CI73),逐级计算!$X$87&gt;-1),IF(逐级计算!$X$87=0,CI73+逐级计算!$C$87,CI73+逐级计算!$C$87-(10/(逐级计算!$Q$87*LN(10))*(MAX((LN(10^(逐级计算!$Q$87/10)-1)+逐级计算!$Q$87*(CI73-逐级计算!$P$87)*LN(10)/10),0)+LN(1+EXP(-ABS((LN(10^(逐级计算!$Q$87/10)-1)+逐级计算!$Q$87*(CI73-逐级计算!$P$87)*LN(10)/10))))))),"")</f>
        <v>13.7930365742089</v>
      </c>
      <c r="CK73">
        <f>IF(AND(ISNUMBER(CJ73),逐级计算!$X$88&gt;-1),IF(逐级计算!$X$88=0,CJ73+逐级计算!$C$88,CJ73+逐级计算!$C$88-(10/(逐级计算!$Q$88*LN(10))*(MAX((LN(10^(逐级计算!$Q$88/10)-1)+逐级计算!$Q$88*(CJ73-逐级计算!$P$88)*LN(10)/10),0)+LN(1+EXP(-ABS((LN(10^(逐级计算!$Q$88/10)-1)+逐级计算!$Q$88*(CJ73-逐级计算!$P$88)*LN(10)/10))))))),"")</f>
        <v>13.7930365742089</v>
      </c>
      <c r="CL73">
        <f>IF(AND(ISNUMBER(CK73),逐级计算!$X$89&gt;-1),IF(逐级计算!$X$89=0,CK73+逐级计算!$C$89,CK73+逐级计算!$C$89-(10/(逐级计算!$Q$89*LN(10))*(MAX((LN(10^(逐级计算!$Q$89/10)-1)+逐级计算!$Q$89*(CK73-逐级计算!$P$89)*LN(10)/10),0)+LN(1+EXP(-ABS((LN(10^(逐级计算!$Q$89/10)-1)+逐级计算!$Q$89*(CK73-逐级计算!$P$89)*LN(10)/10))))))),"")</f>
        <v>13.7930365742089</v>
      </c>
      <c r="CM73">
        <f>IF(AND(ISNUMBER(CL73),逐级计算!$X$90&gt;-1),IF(逐级计算!$X$90=0,CL73+逐级计算!$C$90,CL73+逐级计算!$C$90-(10/(逐级计算!$Q$90*LN(10))*(MAX((LN(10^(逐级计算!$Q$90/10)-1)+逐级计算!$Q$90*(CL73-逐级计算!$P$90)*LN(10)/10),0)+LN(1+EXP(-ABS((LN(10^(逐级计算!$Q$90/10)-1)+逐级计算!$Q$90*(CL73-逐级计算!$P$90)*LN(10)/10))))))),"")</f>
        <v>13.7930365742089</v>
      </c>
      <c r="CN73">
        <f>IF(AND(ISNUMBER(CM73),逐级计算!$X$91&gt;-1),IF(逐级计算!$X$91=0,CM73+逐级计算!$C$91,CM73+逐级计算!$C$91-(10/(逐级计算!$Q$91*LN(10))*(MAX((LN(10^(逐级计算!$Q$91/10)-1)+逐级计算!$Q$91*(CM73-逐级计算!$P$91)*LN(10)/10),0)+LN(1+EXP(-ABS((LN(10^(逐级计算!$Q$91/10)-1)+逐级计算!$Q$91*(CM73-逐级计算!$P$91)*LN(10)/10))))))),"")</f>
        <v>13.7930365742089</v>
      </c>
      <c r="CO73">
        <f>IF(AND(ISNUMBER(CN73),逐级计算!$X$92&gt;-1),IF(逐级计算!$X$92=0,CN73+逐级计算!$C$92,CN73+逐级计算!$C$92-(10/(逐级计算!$Q$92*LN(10))*(MAX((LN(10^(逐级计算!$Q$92/10)-1)+逐级计算!$Q$92*(CN73-逐级计算!$P$92)*LN(10)/10),0)+LN(1+EXP(-ABS((LN(10^(逐级计算!$Q$92/10)-1)+逐级计算!$Q$92*(CN73-逐级计算!$P$92)*LN(10)/10))))))),"")</f>
        <v>13.7930365742089</v>
      </c>
      <c r="CP73">
        <f>IF(AND(ISNUMBER(CO73),逐级计算!$X$93&gt;-1),IF(逐级计算!$X$93=0,CO73+逐级计算!$C$93,CO73+逐级计算!$C$93-(10/(逐级计算!$Q$93*LN(10))*(MAX((LN(10^(逐级计算!$Q$93/10)-1)+逐级计算!$Q$93*(CO73-逐级计算!$P$93)*LN(10)/10),0)+LN(1+EXP(-ABS((LN(10^(逐级计算!$Q$93/10)-1)+逐级计算!$Q$93*(CO73-逐级计算!$P$93)*LN(10)/10))))))),"")</f>
        <v>13.7930365742089</v>
      </c>
      <c r="CQ73">
        <f>IF(AND(ISNUMBER(CP73),逐级计算!$X$94&gt;-1),IF(逐级计算!$X$94=0,CP73+逐级计算!$C$94,CP73+逐级计算!$C$94-(10/(逐级计算!$Q$94*LN(10))*(MAX((LN(10^(逐级计算!$Q$94/10)-1)+逐级计算!$Q$94*(CP73-逐级计算!$P$94)*LN(10)/10),0)+LN(1+EXP(-ABS((LN(10^(逐级计算!$Q$94/10)-1)+逐级计算!$Q$94*(CP73-逐级计算!$P$94)*LN(10)/10))))))),"")</f>
        <v>13.7930365742089</v>
      </c>
      <c r="CR73">
        <f>IF(AND(ISNUMBER(CQ73),逐级计算!$X$95&gt;-1),IF(逐级计算!$X$95=0,CQ73+逐级计算!$C$95,CQ73+逐级计算!$C$95-(10/(逐级计算!$Q$95*LN(10))*(MAX((LN(10^(逐级计算!$Q$95/10)-1)+逐级计算!$Q$95*(CQ73-逐级计算!$P$95)*LN(10)/10),0)+LN(1+EXP(-ABS((LN(10^(逐级计算!$Q$95/10)-1)+逐级计算!$Q$95*(CQ73-逐级计算!$P$95)*LN(10)/10))))))),"")</f>
        <v>13.7930365742089</v>
      </c>
      <c r="CS73">
        <f>IF(AND(ISNUMBER(CR73),逐级计算!$X$96&gt;-1),IF(逐级计算!$X$96=0,CR73+逐级计算!$C$96,CR73+逐级计算!$C$96-(10/(逐级计算!$Q$96*LN(10))*(MAX((LN(10^(逐级计算!$Q$96/10)-1)+逐级计算!$Q$96*(CR73-逐级计算!$P$96)*LN(10)/10),0)+LN(1+EXP(-ABS((LN(10^(逐级计算!$Q$96/10)-1)+逐级计算!$Q$96*(CR73-逐级计算!$P$96)*LN(10)/10))))))),"")</f>
        <v>13.7930365742089</v>
      </c>
      <c r="CT73">
        <f>IF(AND(ISNUMBER(CS73),逐级计算!$X$97&gt;-1),IF(逐级计算!$X$97=0,CS73+逐级计算!$C$97,CS73+逐级计算!$C$97-(10/(逐级计算!$Q$97*LN(10))*(MAX((LN(10^(逐级计算!$Q$97/10)-1)+逐级计算!$Q$97*(CS73-逐级计算!$P$97)*LN(10)/10),0)+LN(1+EXP(-ABS((LN(10^(逐级计算!$Q$97/10)-1)+逐级计算!$Q$97*(CS73-逐级计算!$P$97)*LN(10)/10))))))),"")</f>
        <v>13.7930365742089</v>
      </c>
      <c r="CU73">
        <f>IF(AND(ISNUMBER(CT73),逐级计算!$X$98&gt;-1),IF(逐级计算!$X$98=0,CT73+逐级计算!$C$98,CT73+逐级计算!$C$98-(10/(逐级计算!$Q$98*LN(10))*(MAX((LN(10^(逐级计算!$Q$98/10)-1)+逐级计算!$Q$98*(CT73-逐级计算!$P$98)*LN(10)/10),0)+LN(1+EXP(-ABS((LN(10^(逐级计算!$Q$98/10)-1)+逐级计算!$Q$98*(CT73-逐级计算!$P$98)*LN(10)/10))))))),"")</f>
        <v>13.7930365742089</v>
      </c>
      <c r="CV73">
        <f>IF(AND(ISNUMBER(CU73),逐级计算!$X$99&gt;-1),IF(逐级计算!$X$99=0,CU73+逐级计算!$C$99,CU73+逐级计算!$C$99-(10/(逐级计算!$Q$99*LN(10))*(MAX((LN(10^(逐级计算!$Q$99/10)-1)+逐级计算!$Q$99*(CU73-逐级计算!$P$99)*LN(10)/10),0)+LN(1+EXP(-ABS((LN(10^(逐级计算!$Q$99/10)-1)+逐级计算!$Q$99*(CU73-逐级计算!$P$99)*LN(10)/10))))))),"")</f>
        <v>13.7930365742089</v>
      </c>
      <c r="CW73">
        <f>IF(AND(ISNUMBER(CV73),逐级计算!$X$100&gt;-1),IF(逐级计算!$X$100=0,CV73+逐级计算!$C$100,CV73+逐级计算!$C$100-(10/(逐级计算!$Q$100*LN(10))*(MAX((LN(10^(逐级计算!$Q$100/10)-1)+逐级计算!$Q$100*(CV73-逐级计算!$P$100)*LN(10)/10),0)+LN(1+EXP(-ABS((LN(10^(逐级计算!$Q$100/10)-1)+逐级计算!$Q$100*(CV73-逐级计算!$P$100)*LN(10)/10))))))),"")</f>
        <v>13.7930365742089</v>
      </c>
      <c r="CX73">
        <f>IF(AND(ISNUMBER(CW73),逐级计算!$X$101&gt;-1),IF(逐级计算!$X$101=0,CW73+逐级计算!$C$101,CW73+逐级计算!$C$101-(10/(逐级计算!$Q$101*LN(10))*(MAX((LN(10^(逐级计算!$Q$101/10)-1)+逐级计算!$Q$101*(CW73-逐级计算!$P$101)*LN(10)/10),0)+LN(1+EXP(-ABS((LN(10^(逐级计算!$Q$101/10)-1)+逐级计算!$Q$101*(CW73-逐级计算!$P$101)*LN(10)/10))))))),"")</f>
        <v>13.7930365742089</v>
      </c>
      <c r="CY73">
        <f>IF(AND(ISNUMBER(CX73),逐级计算!$X$102&gt;-1),IF(逐级计算!$X$102=0,CX73+逐级计算!$C$102,CX73+逐级计算!$C$102-(10/(逐级计算!$Q$102*LN(10))*(MAX((LN(10^(逐级计算!$Q$102/10)-1)+逐级计算!$Q$102*(CX73-逐级计算!$P$102)*LN(10)/10),0)+LN(1+EXP(-ABS((LN(10^(逐级计算!$Q$102/10)-1)+逐级计算!$Q$102*(CX73-逐级计算!$P$102)*LN(10)/10))))))),"")</f>
        <v>13.7930365742089</v>
      </c>
      <c r="CZ73">
        <f>IF(AND(ISNUMBER(CY73),逐级计算!$X$103&gt;-1),IF(逐级计算!$X$103=0,CY73+逐级计算!$C$103,CY73+逐级计算!$C$103-(10/(逐级计算!$Q$103*LN(10))*(MAX((LN(10^(逐级计算!$Q$103/10)-1)+逐级计算!$Q$103*(CY73-逐级计算!$P$103)*LN(10)/10),0)+LN(1+EXP(-ABS((LN(10^(逐级计算!$Q$103/10)-1)+逐级计算!$Q$103*(CY73-逐级计算!$P$103)*LN(10)/10))))))),"")</f>
        <v>13.7930365742089</v>
      </c>
      <c r="DA73">
        <f>IF(AND(ISNUMBER(CZ73),逐级计算!$X$104&gt;-1),IF(逐级计算!$X$104=0,CZ73+逐级计算!$C$104,CZ73+逐级计算!$C$104-(10/(逐级计算!$Q$104*LN(10))*(MAX((LN(10^(逐级计算!$Q$104/10)-1)+逐级计算!$Q$104*(CZ73-逐级计算!$P$104)*LN(10)/10),0)+LN(1+EXP(-ABS((LN(10^(逐级计算!$Q$104/10)-1)+逐级计算!$Q$104*(CZ73-逐级计算!$P$104)*LN(10)/10))))))),"")</f>
        <v>13.7930365742089</v>
      </c>
      <c r="DB73">
        <f>IF(AND(ISNUMBER(DA73),逐级计算!$X$105&gt;-1),IF(逐级计算!$X$105=0,DA73+逐级计算!$C$105,DA73+逐级计算!$C$105-(10/(逐级计算!$Q$105*LN(10))*(MAX((LN(10^(逐级计算!$Q$105/10)-1)+逐级计算!$Q$105*(DA73-逐级计算!$P$105)*LN(10)/10),0)+LN(1+EXP(-ABS((LN(10^(逐级计算!$Q$105/10)-1)+逐级计算!$Q$105*(DA73-逐级计算!$P$105)*LN(10)/10))))))),"")</f>
        <v>13.7930365742089</v>
      </c>
      <c r="DC73">
        <f>IF(AND(ISNUMBER(DB73),逐级计算!$X$106&gt;-1),IF(逐级计算!$X$106=0,DB73+逐级计算!$C$106,DB73+逐级计算!$C$106-(10/(逐级计算!$Q$106*LN(10))*(MAX((LN(10^(逐级计算!$Q$106/10)-1)+逐级计算!$Q$106*(DB73-逐级计算!$P$106)*LN(10)/10),0)+LN(1+EXP(-ABS((LN(10^(逐级计算!$Q$106/10)-1)+逐级计算!$Q$106*(DB73-逐级计算!$P$106)*LN(10)/10))))))),"")</f>
        <v>13.7930365742089</v>
      </c>
      <c r="DD73">
        <f>IF(AND(ISNUMBER(DC73),逐级计算!$X$107&gt;-1),IF(逐级计算!$X$107=0,DC73+逐级计算!$C$107,DC73+逐级计算!$C$107-(10/(逐级计算!$Q$107*LN(10))*(MAX((LN(10^(逐级计算!$Q$107/10)-1)+逐级计算!$Q$107*(DC73-逐级计算!$P$107)*LN(10)/10),0)+LN(1+EXP(-ABS((LN(10^(逐级计算!$Q$107/10)-1)+逐级计算!$Q$107*(DC73-逐级计算!$P$107)*LN(10)/10))))))),"")</f>
        <v>13.7930365742089</v>
      </c>
      <c r="DE73">
        <f>IF(AND(ISNUMBER(DD73),逐级计算!$X$108&gt;-1),IF(逐级计算!$X$108=0,DD73+逐级计算!$C$108,DD73+逐级计算!$C$108-(10/(逐级计算!$Q$108*LN(10))*(MAX((LN(10^(逐级计算!$Q$108/10)-1)+逐级计算!$Q$108*(DD73-逐级计算!$P$108)*LN(10)/10),0)+LN(1+EXP(-ABS((LN(10^(逐级计算!$Q$108/10)-1)+逐级计算!$Q$108*(DD73-逐级计算!$P$108)*LN(10)/10))))))),"")</f>
        <v>13.7930365742089</v>
      </c>
      <c r="DF73">
        <f>IF(AND(ISNUMBER(DE73),逐级计算!$X$109&gt;-1),IF(逐级计算!$X$109=0,DE73+逐级计算!$C$109,DE73+逐级计算!$C$109-(10/(逐级计算!$Q$109*LN(10))*(MAX((LN(10^(逐级计算!$Q$109/10)-1)+逐级计算!$Q$109*(DE73-逐级计算!$P$109)*LN(10)/10),0)+LN(1+EXP(-ABS((LN(10^(逐级计算!$Q$109/10)-1)+逐级计算!$Q$109*(DE73-逐级计算!$P$109)*LN(10)/10))))))),"")</f>
        <v>13.7930365742089</v>
      </c>
      <c r="DG73">
        <f>IF(AND(ISNUMBER(DF73),逐级计算!$X$110&gt;-1),IF(逐级计算!$X$110=0,DF73+逐级计算!$C$110,DF73+逐级计算!$C$110-(10/(逐级计算!$Q$110*LN(10))*(MAX((LN(10^(逐级计算!$Q$110/10)-1)+逐级计算!$Q$110*(DF73-逐级计算!$P$110)*LN(10)/10),0)+LN(1+EXP(-ABS((LN(10^(逐级计算!$Q$110/10)-1)+逐级计算!$Q$110*(DF73-逐级计算!$P$110)*LN(10)/10))))))),"")</f>
        <v>13.7930365742089</v>
      </c>
      <c r="DH73">
        <f>IF(AND(ISNUMBER(DG73),逐级计算!$X$111&gt;-1),IF(逐级计算!$X$111=0,DG73+逐级计算!$C$111,DG73+逐级计算!$C$111-(10/(逐级计算!$Q$111*LN(10))*(MAX((LN(10^(逐级计算!$Q$111/10)-1)+逐级计算!$Q$111*(DG73-逐级计算!$P$111)*LN(10)/10),0)+LN(1+EXP(-ABS((LN(10^(逐级计算!$Q$111/10)-1)+逐级计算!$Q$111*(DG73-逐级计算!$P$111)*LN(10)/10))))))),"")</f>
        <v>13.7930365742089</v>
      </c>
      <c r="DI73">
        <f>IF(AND(ISNUMBER(DH73),逐级计算!$X$112&gt;-1),IF(逐级计算!$X$112=0,DH73+逐级计算!$C$112,DH73+逐级计算!$C$112-(10/(逐级计算!$Q$112*LN(10))*(MAX((LN(10^(逐级计算!$Q$112/10)-1)+逐级计算!$Q$112*(DH73-逐级计算!$P$112)*LN(10)/10),0)+LN(1+EXP(-ABS((LN(10^(逐级计算!$Q$112/10)-1)+逐级计算!$Q$112*(DH73-逐级计算!$P$112)*LN(10)/10))))))),"")</f>
        <v>13.7930365742089</v>
      </c>
      <c r="DJ73">
        <f>IF(AND(ISNUMBER(DI73),逐级计算!$X$113&gt;-1),IF(逐级计算!$X$113=0,DI73+逐级计算!$C$113,DI73+逐级计算!$C$113-(10/(逐级计算!$Q$113*LN(10))*(MAX((LN(10^(逐级计算!$Q$113/10)-1)+逐级计算!$Q$113*(DI73-逐级计算!$P$113)*LN(10)/10),0)+LN(1+EXP(-ABS((LN(10^(逐级计算!$Q$113/10)-1)+逐级计算!$Q$113*(DI73-逐级计算!$P$113)*LN(10)/10))))))),"")</f>
        <v>13.7930365742089</v>
      </c>
      <c r="DK73">
        <f>IF(AND(ISNUMBER(DJ73),逐级计算!$X$114&gt;-1),IF(逐级计算!$X$114=0,DJ73+逐级计算!$C$114,DJ73+逐级计算!$C$114-(10/(逐级计算!$Q$114*LN(10))*(MAX((LN(10^(逐级计算!$Q$114/10)-1)+逐级计算!$Q$114*(DJ73-逐级计算!$P$114)*LN(10)/10),0)+LN(1+EXP(-ABS((LN(10^(逐级计算!$Q$114/10)-1)+逐级计算!$Q$114*(DJ73-逐级计算!$P$114)*LN(10)/10))))))),"")</f>
        <v>13.7930365742089</v>
      </c>
      <c r="DL73">
        <f>IF(AND(ISNUMBER(DK73),逐级计算!$X$115&gt;-1),IF(逐级计算!$X$115=0,DK73+逐级计算!$C$115,DK73+逐级计算!$C$115-(10/(逐级计算!$Q$115*LN(10))*(MAX((LN(10^(逐级计算!$Q$115/10)-1)+逐级计算!$Q$115*(DK73-逐级计算!$P$115)*LN(10)/10),0)+LN(1+EXP(-ABS((LN(10^(逐级计算!$Q$115/10)-1)+逐级计算!$Q$115*(DK73-逐级计算!$P$115)*LN(10)/10))))))),"")</f>
        <v>13.7930365742089</v>
      </c>
      <c r="DM73">
        <f>IF(AND(ISNUMBER(DL73),逐级计算!$X$116&gt;-1),IF(逐级计算!$X$116=0,DL73+逐级计算!$C$116,DL73+逐级计算!$C$116-(10/(逐级计算!$Q$116*LN(10))*(MAX((LN(10^(逐级计算!$Q$116/10)-1)+逐级计算!$Q$116*(DL73-逐级计算!$P$116)*LN(10)/10),0)+LN(1+EXP(-ABS((LN(10^(逐级计算!$Q$116/10)-1)+逐级计算!$Q$116*(DL73-逐级计算!$P$116)*LN(10)/10))))))),"")</f>
        <v>13.7930365742089</v>
      </c>
      <c r="DN73">
        <f>IF(AND(ISNUMBER(DM73),逐级计算!$X$117&gt;-1),IF(逐级计算!$X$117=0,DM73+逐级计算!$C$117,DM73+逐级计算!$C$117-(10/(逐级计算!$Q$117*LN(10))*(MAX((LN(10^(逐级计算!$Q$117/10)-1)+逐级计算!$Q$117*(DM73-逐级计算!$P$117)*LN(10)/10),0)+LN(1+EXP(-ABS((LN(10^(逐级计算!$Q$117/10)-1)+逐级计算!$Q$117*(DM73-逐级计算!$P$117)*LN(10)/10))))))),"")</f>
        <v>13.7930365742089</v>
      </c>
      <c r="DO73">
        <f>IF(AND(ISNUMBER(DN73),逐级计算!$X$118&gt;-1),IF(逐级计算!$X$118=0,DN73+逐级计算!$C$118,DN73+逐级计算!$C$118-(10/(逐级计算!$Q$118*LN(10))*(MAX((LN(10^(逐级计算!$Q$118/10)-1)+逐级计算!$Q$118*(DN73-逐级计算!$P$118)*LN(10)/10),0)+LN(1+EXP(-ABS((LN(10^(逐级计算!$Q$118/10)-1)+逐级计算!$Q$118*(DN73-逐级计算!$P$118)*LN(10)/10))))))),"")</f>
        <v>13.7930365742089</v>
      </c>
      <c r="DP73">
        <f>IF(AND(ISNUMBER(DO73),逐级计算!$X$119&gt;-1),IF(逐级计算!$X$119=0,DO73+逐级计算!$C$119,DO73+逐级计算!$C$119-(10/(逐级计算!$Q$119*LN(10))*(MAX((LN(10^(逐级计算!$Q$119/10)-1)+逐级计算!$Q$119*(DO73-逐级计算!$P$119)*LN(10)/10),0)+LN(1+EXP(-ABS((LN(10^(逐级计算!$Q$119/10)-1)+逐级计算!$Q$119*(DO73-逐级计算!$P$119)*LN(10)/10))))))),"")</f>
        <v>13.7930365742089</v>
      </c>
      <c r="DQ73">
        <f>IF(AND(ISNUMBER(DP73),逐级计算!$X$120&gt;-1),IF(逐级计算!$X$120=0,DP73+逐级计算!$C$120,DP73+逐级计算!$C$120-(10/(逐级计算!$Q$120*LN(10))*(MAX((LN(10^(逐级计算!$Q$120/10)-1)+逐级计算!$Q$120*(DP73-逐级计算!$P$120)*LN(10)/10),0)+LN(1+EXP(-ABS((LN(10^(逐级计算!$Q$120/10)-1)+逐级计算!$Q$120*(DP73-逐级计算!$P$120)*LN(10)/10))))))),"")</f>
        <v>13.7930365742089</v>
      </c>
      <c r="DR73">
        <f>IF(AND(ISNUMBER(DQ73),逐级计算!$X$121&gt;-1),IF(逐级计算!$X$121=0,DQ73+逐级计算!$C$121,DQ73+逐级计算!$C$121-(10/(逐级计算!$Q$121*LN(10))*(MAX((LN(10^(逐级计算!$Q$121/10)-1)+逐级计算!$Q$121*(DQ73-逐级计算!$P$121)*LN(10)/10),0)+LN(1+EXP(-ABS((LN(10^(逐级计算!$Q$121/10)-1)+逐级计算!$Q$121*(DQ73-逐级计算!$P$121)*LN(10)/10))))))),"")</f>
        <v>13.7930365742089</v>
      </c>
      <c r="DS73">
        <f>IF(AND(ISNUMBER(DR73),逐级计算!$X$122&gt;-1),IF(逐级计算!$X$122=0,DR73+逐级计算!$C$122,DR73+逐级计算!$C$122-(10/(逐级计算!$Q$122*LN(10))*(MAX((LN(10^(逐级计算!$Q$122/10)-1)+逐级计算!$Q$122*(DR73-逐级计算!$P$122)*LN(10)/10),0)+LN(1+EXP(-ABS((LN(10^(逐级计算!$Q$122/10)-1)+逐级计算!$Q$122*(DR73-逐级计算!$P$122)*LN(10)/10))))))),"")</f>
        <v>13.7930365742089</v>
      </c>
      <c r="DT73">
        <f>IF(AND(ISNUMBER(DS73),逐级计算!$X$123&gt;-1),IF(逐级计算!$X$123=0,DS73+逐级计算!$C$123,DS73+逐级计算!$C$123-(10/(逐级计算!$Q$123*LN(10))*(MAX((LN(10^(逐级计算!$Q$123/10)-1)+逐级计算!$Q$123*(DS73-逐级计算!$P$123)*LN(10)/10),0)+LN(1+EXP(-ABS((LN(10^(逐级计算!$Q$123/10)-1)+逐级计算!$Q$123*(DS73-逐级计算!$P$123)*LN(10)/10))))))),"")</f>
        <v>13.7930365742089</v>
      </c>
      <c r="DU73">
        <f>IF(AND(ISNUMBER(DT73),逐级计算!$X$124&gt;-1),IF(逐级计算!$X$124=0,DT73+逐级计算!$C$124,DT73+逐级计算!$C$124-(10/(逐级计算!$Q$124*LN(10))*(MAX((LN(10^(逐级计算!$Q$124/10)-1)+逐级计算!$Q$124*(DT73-逐级计算!$P$124)*LN(10)/10),0)+LN(1+EXP(-ABS((LN(10^(逐级计算!$Q$124/10)-1)+逐级计算!$Q$124*(DT73-逐级计算!$P$124)*LN(10)/10))))))),"")</f>
        <v>13.7930365742089</v>
      </c>
      <c r="DV73">
        <f>IF(AND(ISNUMBER(DU73),逐级计算!$X$125&gt;-1),IF(逐级计算!$X$125=0,DU73+逐级计算!$C$125,DU73+逐级计算!$C$125-(10/(逐级计算!$Q$125*LN(10))*(MAX((LN(10^(逐级计算!$Q$125/10)-1)+逐级计算!$Q$125*(DU73-逐级计算!$P$125)*LN(10)/10),0)+LN(1+EXP(-ABS((LN(10^(逐级计算!$Q$125/10)-1)+逐级计算!$Q$125*(DU73-逐级计算!$P$125)*LN(10)/10))))))),"")</f>
        <v>13.7930365742089</v>
      </c>
      <c r="DW73">
        <f>IF(AND(ISNUMBER(DV73),逐级计算!$X$126&gt;-1),IF(逐级计算!$X$126=0,DV73+逐级计算!$C$126,DV73+逐级计算!$C$126-(10/(逐级计算!$Q$126*LN(10))*(MAX((LN(10^(逐级计算!$Q$126/10)-1)+逐级计算!$Q$126*(DV73-逐级计算!$P$126)*LN(10)/10),0)+LN(1+EXP(-ABS((LN(10^(逐级计算!$Q$126/10)-1)+逐级计算!$Q$126*(DV73-逐级计算!$P$126)*LN(10)/10))))))),"")</f>
        <v>13.7930365742089</v>
      </c>
      <c r="DX73">
        <f>IF(AND(ISNUMBER(DW73),逐级计算!$X$127&gt;-1),IF(逐级计算!$X$127=0,DW73+逐级计算!$C$127,DW73+逐级计算!$C$127-(10/(逐级计算!$Q$127*LN(10))*(MAX((LN(10^(逐级计算!$Q$127/10)-1)+逐级计算!$Q$127*(DW73-逐级计算!$P$127)*LN(10)/10),0)+LN(1+EXP(-ABS((LN(10^(逐级计算!$Q$127/10)-1)+逐级计算!$Q$127*(DW73-逐级计算!$P$127)*LN(10)/10))))))),"")</f>
        <v>13.7930365742089</v>
      </c>
      <c r="DY73">
        <f>IF(AND(ISNUMBER(DX73),逐级计算!$X$128&gt;-1),IF(逐级计算!$X$128=0,DX73+逐级计算!$C$128,DX73+逐级计算!$C$128-(10/(逐级计算!$Q$128*LN(10))*(MAX((LN(10^(逐级计算!$Q$128/10)-1)+逐级计算!$Q$128*(DX73-逐级计算!$P$128)*LN(10)/10),0)+LN(1+EXP(-ABS((LN(10^(逐级计算!$Q$128/10)-1)+逐级计算!$Q$128*(DX73-逐级计算!$P$128)*LN(10)/10))))))),"")</f>
        <v>13.7930365742089</v>
      </c>
      <c r="DZ73">
        <f>IF(AND(ISNUMBER(DY73),逐级计算!$X$129&gt;-1),IF(逐级计算!$X$129=0,DY73+逐级计算!$C$129,DY73+逐级计算!$C$129-(10/(逐级计算!$Q$129*LN(10))*(MAX((LN(10^(逐级计算!$Q$129/10)-1)+逐级计算!$Q$129*(DY73-逐级计算!$P$129)*LN(10)/10),0)+LN(1+EXP(-ABS((LN(10^(逐级计算!$Q$129/10)-1)+逐级计算!$Q$129*(DY73-逐级计算!$P$129)*LN(10)/10))))))),"")</f>
        <v>13.7930365742089</v>
      </c>
      <c r="EA73">
        <f>IF(AND(ISNUMBER(DZ73),逐级计算!$X$130&gt;-1),IF(逐级计算!$X$130=0,DZ73+逐级计算!$C$130,DZ73+逐级计算!$C$130-(10/(逐级计算!$Q$130*LN(10))*(MAX((LN(10^(逐级计算!$Q$130/10)-1)+逐级计算!$Q$130*(DZ73-逐级计算!$P$130)*LN(10)/10),0)+LN(1+EXP(-ABS((LN(10^(逐级计算!$Q$130/10)-1)+逐级计算!$Q$130*(DZ73-逐级计算!$P$130)*LN(10)/10))))))),"")</f>
        <v>13.7930365742089</v>
      </c>
      <c r="EB73">
        <f>IF(AND(ISNUMBER(EA73),逐级计算!$X$131&gt;-1),IF(逐级计算!$X$131=0,EA73+逐级计算!$C$131,EA73+逐级计算!$C$131-(10/(逐级计算!$Q$131*LN(10))*(MAX((LN(10^(逐级计算!$Q$131/10)-1)+逐级计算!$Q$131*(EA73-逐级计算!$P$131)*LN(10)/10),0)+LN(1+EXP(-ABS((LN(10^(逐级计算!$Q$131/10)-1)+逐级计算!$Q$131*(EA73-逐级计算!$P$131)*LN(10)/10))))))),"")</f>
        <v>13.7930365742089</v>
      </c>
      <c r="EC73">
        <f>IF(AND(ISNUMBER(EB73),逐级计算!$X$132&gt;-1),IF(逐级计算!$X$132=0,EB73+逐级计算!$C$132,EB73+逐级计算!$C$132-(10/(逐级计算!$Q$132*LN(10))*(MAX((LN(10^(逐级计算!$Q$132/10)-1)+逐级计算!$Q$132*(EB73-逐级计算!$P$132)*LN(10)/10),0)+LN(1+EXP(-ABS((LN(10^(逐级计算!$Q$132/10)-1)+逐级计算!$Q$132*(EB73-逐级计算!$P$132)*LN(10)/10))))))),"")</f>
        <v>13.7930365742089</v>
      </c>
      <c r="ED73">
        <f>IF(AND(ISNUMBER(EC73),逐级计算!$X$133&gt;-1),IF(逐级计算!$X$133=0,EC73+逐级计算!$C$133,EC73+逐级计算!$C$133-(10/(逐级计算!$Q$133*LN(10))*(MAX((LN(10^(逐级计算!$Q$133/10)-1)+逐级计算!$Q$133*(EC73-逐级计算!$P$133)*LN(10)/10),0)+LN(1+EXP(-ABS((LN(10^(逐级计算!$Q$133/10)-1)+逐级计算!$Q$133*(EC73-逐级计算!$P$133)*LN(10)/10))))))),"")</f>
        <v>13.7930365742089</v>
      </c>
      <c r="EE73">
        <f>IF(AND(ISNUMBER(ED73),逐级计算!$X$134&gt;-1),IF(逐级计算!$X$134=0,ED73+逐级计算!$C$134,ED73+逐级计算!$C$134-(10/(逐级计算!$Q$134*LN(10))*(MAX((LN(10^(逐级计算!$Q$134/10)-1)+逐级计算!$Q$134*(ED73-逐级计算!$P$134)*LN(10)/10),0)+LN(1+EXP(-ABS((LN(10^(逐级计算!$Q$134/10)-1)+逐级计算!$Q$134*(ED73-逐级计算!$P$134)*LN(10)/10))))))),"")</f>
        <v>13.7930365742089</v>
      </c>
      <c r="EF73">
        <f>IF(AND(ISNUMBER(EE73),逐级计算!$X$135&gt;-1),IF(逐级计算!$X$135=0,EE73+逐级计算!$C$135,EE73+逐级计算!$C$135-(10/(逐级计算!$Q$135*LN(10))*(MAX((LN(10^(逐级计算!$Q$135/10)-1)+逐级计算!$Q$135*(EE73-逐级计算!$P$135)*LN(10)/10),0)+LN(1+EXP(-ABS((LN(10^(逐级计算!$Q$135/10)-1)+逐级计算!$Q$135*(EE73-逐级计算!$P$135)*LN(10)/10))))))),"")</f>
        <v>13.7930365742089</v>
      </c>
      <c r="EG73">
        <f>IF(AND(ISNUMBER(EF73),逐级计算!$X$136&gt;-1),IF(逐级计算!$X$136=0,EF73+逐级计算!$C$136,EF73+逐级计算!$C$136-(10/(逐级计算!$Q$136*LN(10))*(MAX((LN(10^(逐级计算!$Q$136/10)-1)+逐级计算!$Q$136*(EF73-逐级计算!$P$136)*LN(10)/10),0)+LN(1+EXP(-ABS((LN(10^(逐级计算!$Q$136/10)-1)+逐级计算!$Q$136*(EF73-逐级计算!$P$136)*LN(10)/10))))))),"")</f>
        <v>13.7930365742089</v>
      </c>
      <c r="EH73">
        <f>IF(AND(ISNUMBER(EG73),逐级计算!$X$137&gt;-1),IF(逐级计算!$X$137=0,EG73+逐级计算!$C$137,EG73+逐级计算!$C$137-(10/(逐级计算!$Q$137*LN(10))*(MAX((LN(10^(逐级计算!$Q$137/10)-1)+逐级计算!$Q$137*(EG73-逐级计算!$P$137)*LN(10)/10),0)+LN(1+EXP(-ABS((LN(10^(逐级计算!$Q$137/10)-1)+逐级计算!$Q$137*(EG73-逐级计算!$P$137)*LN(10)/10))))))),"")</f>
        <v>13.7930365742089</v>
      </c>
      <c r="EI73">
        <f>IF(AND(ISNUMBER(EH73),逐级计算!$X$138&gt;-1),IF(逐级计算!$X$138=0,EH73+逐级计算!$C$138,EH73+逐级计算!$C$138-(10/(逐级计算!$Q$138*LN(10))*(MAX((LN(10^(逐级计算!$Q$138/10)-1)+逐级计算!$Q$138*(EH73-逐级计算!$P$138)*LN(10)/10),0)+LN(1+EXP(-ABS((LN(10^(逐级计算!$Q$138/10)-1)+逐级计算!$Q$138*(EH73-逐级计算!$P$138)*LN(10)/10))))))),"")</f>
        <v>13.7930365742089</v>
      </c>
      <c r="EJ73">
        <f>IF(AND(ISNUMBER(EI73),逐级计算!$X$139&gt;-1),IF(逐级计算!$X$139=0,EI73+逐级计算!$C$139,EI73+逐级计算!$C$139-(10/(逐级计算!$Q$139*LN(10))*(MAX((LN(10^(逐级计算!$Q$139/10)-1)+逐级计算!$Q$139*(EI73-逐级计算!$P$139)*LN(10)/10),0)+LN(1+EXP(-ABS((LN(10^(逐级计算!$Q$139/10)-1)+逐级计算!$Q$139*(EI73-逐级计算!$P$139)*LN(10)/10))))))),"")</f>
        <v>13.7930365742089</v>
      </c>
      <c r="EK73">
        <f>IF(AND(ISNUMBER(EJ73),逐级计算!$X$140&gt;-1),IF(逐级计算!$X$140=0,EJ73+逐级计算!$C$140,EJ73+逐级计算!$C$140-(10/(逐级计算!$Q$140*LN(10))*(MAX((LN(10^(逐级计算!$Q$140/10)-1)+逐级计算!$Q$140*(EJ73-逐级计算!$P$140)*LN(10)/10),0)+LN(1+EXP(-ABS((LN(10^(逐级计算!$Q$140/10)-1)+逐级计算!$Q$140*(EJ73-逐级计算!$P$140)*LN(10)/10))))))),"")</f>
        <v>13.7930365742089</v>
      </c>
      <c r="EL73">
        <f>IF(AND(ISNUMBER(EK73),逐级计算!$X$141&gt;-1),IF(逐级计算!$X$141=0,EK73+逐级计算!$C$141,EK73+逐级计算!$C$141-(10/(逐级计算!$Q$141*LN(10))*(MAX((LN(10^(逐级计算!$Q$141/10)-1)+逐级计算!$Q$141*(EK73-逐级计算!$P$141)*LN(10)/10),0)+LN(1+EXP(-ABS((LN(10^(逐级计算!$Q$141/10)-1)+逐级计算!$Q$141*(EK73-逐级计算!$P$141)*LN(10)/10))))))),"")</f>
        <v>13.7930365742089</v>
      </c>
      <c r="EM73">
        <f>IF(AND(ISNUMBER(EL73),逐级计算!$X$142&gt;-1),IF(逐级计算!$X$142=0,EL73+逐级计算!$C$142,EL73+逐级计算!$C$142-(10/(逐级计算!$Q$142*LN(10))*(MAX((LN(10^(逐级计算!$Q$142/10)-1)+逐级计算!$Q$142*(EL73-逐级计算!$P$142)*LN(10)/10),0)+LN(1+EXP(-ABS((LN(10^(逐级计算!$Q$142/10)-1)+逐级计算!$Q$142*(EL73-逐级计算!$P$142)*LN(10)/10))))))),"")</f>
        <v>13.7930365742089</v>
      </c>
      <c r="EN73">
        <f>IF(AND(ISNUMBER(EM73),逐级计算!$X$143&gt;-1),IF(逐级计算!$X$143=0,EM73+逐级计算!$C$143,EM73+逐级计算!$C$143-(10/(逐级计算!$Q$143*LN(10))*(MAX((LN(10^(逐级计算!$Q$143/10)-1)+逐级计算!$Q$143*(EM73-逐级计算!$P$143)*LN(10)/10),0)+LN(1+EXP(-ABS((LN(10^(逐级计算!$Q$143/10)-1)+逐级计算!$Q$143*(EM73-逐级计算!$P$143)*LN(10)/10))))))),"")</f>
        <v>13.7930365742089</v>
      </c>
      <c r="EO73">
        <f>IF(AND(ISNUMBER(EN73),逐级计算!$X$144&gt;-1),IF(逐级计算!$X$144=0,EN73+逐级计算!$C$144,EN73+逐级计算!$C$144-(10/(逐级计算!$Q$144*LN(10))*(MAX((LN(10^(逐级计算!$Q$144/10)-1)+逐级计算!$Q$144*(EN73-逐级计算!$P$144)*LN(10)/10),0)+LN(1+EXP(-ABS((LN(10^(逐级计算!$Q$144/10)-1)+逐级计算!$Q$144*(EN73-逐级计算!$P$144)*LN(10)/10))))))),"")</f>
        <v>13.7930365742089</v>
      </c>
      <c r="EP73">
        <f>IF(AND(ISNUMBER(EO73),逐级计算!$X$145&gt;-1),IF(逐级计算!$X$145=0,EO73+逐级计算!$C$145,EO73+逐级计算!$C$145-(10/(逐级计算!$Q$145*LN(10))*(MAX((LN(10^(逐级计算!$Q$145/10)-1)+逐级计算!$Q$145*(EO73-逐级计算!$P$145)*LN(10)/10),0)+LN(1+EXP(-ABS((LN(10^(逐级计算!$Q$145/10)-1)+逐级计算!$Q$145*(EO73-逐级计算!$P$145)*LN(10)/10))))))),"")</f>
        <v>13.7930365742089</v>
      </c>
      <c r="EQ73">
        <f>IF(AND(ISNUMBER(EP73),逐级计算!$X$146&gt;-1),IF(逐级计算!$X$146=0,EP73+逐级计算!$C$146,EP73+逐级计算!$C$146-(10/(逐级计算!$Q$146*LN(10))*(MAX((LN(10^(逐级计算!$Q$146/10)-1)+逐级计算!$Q$146*(EP73-逐级计算!$P$146)*LN(10)/10),0)+LN(1+EXP(-ABS((LN(10^(逐级计算!$Q$146/10)-1)+逐级计算!$Q$146*(EP73-逐级计算!$P$146)*LN(10)/10))))))),"")</f>
        <v>13.7930365742089</v>
      </c>
      <c r="ER73">
        <f>IF(AND(ISNUMBER(EQ73),逐级计算!$X$147&gt;-1),IF(逐级计算!$X$147=0,EQ73+逐级计算!$C$147,EQ73+逐级计算!$C$147-(10/(逐级计算!$Q$147*LN(10))*(MAX((LN(10^(逐级计算!$Q$147/10)-1)+逐级计算!$Q$147*(EQ73-逐级计算!$P$147)*LN(10)/10),0)+LN(1+EXP(-ABS((LN(10^(逐级计算!$Q$147/10)-1)+逐级计算!$Q$147*(EQ73-逐级计算!$P$147)*LN(10)/10))))))),"")</f>
        <v>13.7930365742089</v>
      </c>
      <c r="ES73">
        <f>IF(AND(ISNUMBER(ER73),逐级计算!$X$148&gt;-1),IF(逐级计算!$X$148=0,ER73+逐级计算!$C$148,ER73+逐级计算!$C$148-(10/(逐级计算!$Q$148*LN(10))*(MAX((LN(10^(逐级计算!$Q$148/10)-1)+逐级计算!$Q$148*(ER73-逐级计算!$P$148)*LN(10)/10),0)+LN(1+EXP(-ABS((LN(10^(逐级计算!$Q$148/10)-1)+逐级计算!$Q$148*(ER73-逐级计算!$P$148)*LN(10)/10))))))),"")</f>
        <v>13.7930365742089</v>
      </c>
      <c r="ET73">
        <f>IF(AND(ISNUMBER(ES73),逐级计算!$X$149&gt;-1),IF(逐级计算!$X$149=0,ES73+逐级计算!$C$149,ES73+逐级计算!$C$149-(10/(逐级计算!$Q$149*LN(10))*(MAX((LN(10^(逐级计算!$Q$149/10)-1)+逐级计算!$Q$149*(ES73-逐级计算!$P$149)*LN(10)/10),0)+LN(1+EXP(-ABS((LN(10^(逐级计算!$Q$149/10)-1)+逐级计算!$Q$149*(ES73-逐级计算!$P$149)*LN(10)/10))))))),"")</f>
        <v>13.7930365742089</v>
      </c>
      <c r="EU73">
        <f>IF(AND(ISNUMBER(ET73),逐级计算!$X$150&gt;-1),IF(逐级计算!$X$150=0,ET73+逐级计算!$C$150,ET73+逐级计算!$C$150-(10/(逐级计算!$Q$150*LN(10))*(MAX((LN(10^(逐级计算!$Q$150/10)-1)+逐级计算!$Q$150*(ET73-逐级计算!$P$150)*LN(10)/10),0)+LN(1+EXP(-ABS((LN(10^(逐级计算!$Q$150/10)-1)+逐级计算!$Q$150*(ET73-逐级计算!$P$150)*LN(10)/10))))))),"")</f>
        <v>13.7930365742089</v>
      </c>
      <c r="EV73">
        <f>IF(AND(ISNUMBER(EU73),逐级计算!$X$151&gt;-1),IF(逐级计算!$X$151=0,EU73+逐级计算!$C$151,EU73+逐级计算!$C$151-(10/(逐级计算!$Q$151*LN(10))*(MAX((LN(10^(逐级计算!$Q$151/10)-1)+逐级计算!$Q$151*(EU73-逐级计算!$P$151)*LN(10)/10),0)+LN(1+EXP(-ABS((LN(10^(逐级计算!$Q$151/10)-1)+逐级计算!$Q$151*(EU73-逐级计算!$P$151)*LN(10)/10))))))),"")</f>
        <v>13.7930365742089</v>
      </c>
      <c r="EW73">
        <f>IF(AND(ISNUMBER(EV73),逐级计算!$X$152&gt;-1),IF(逐级计算!$X$152=0,EV73+逐级计算!$C$152,EV73+逐级计算!$C$152-(10/(逐级计算!$Q$152*LN(10))*(MAX((LN(10^(逐级计算!$Q$152/10)-1)+逐级计算!$Q$152*(EV73-逐级计算!$P$152)*LN(10)/10),0)+LN(1+EXP(-ABS((LN(10^(逐级计算!$Q$152/10)-1)+逐级计算!$Q$152*(EV73-逐级计算!$P$152)*LN(10)/10))))))),"")</f>
        <v>13.7930365742089</v>
      </c>
      <c r="EX73">
        <f>IF(AND(ISNUMBER(EW73),逐级计算!$X$153&gt;-1),IF(逐级计算!$X$153=0,EW73+逐级计算!$C$153,EW73+逐级计算!$C$153-(10/(逐级计算!$Q$153*LN(10))*(MAX((LN(10^(逐级计算!$Q$153/10)-1)+逐级计算!$Q$153*(EW73-逐级计算!$P$153)*LN(10)/10),0)+LN(1+EXP(-ABS((LN(10^(逐级计算!$Q$153/10)-1)+逐级计算!$Q$153*(EW73-逐级计算!$P$153)*LN(10)/10))))))),"")</f>
        <v>13.7930365742089</v>
      </c>
      <c r="EY73">
        <f>IF(AND(ISNUMBER(EX73),逐级计算!$X$154&gt;-1),IF(逐级计算!$X$154=0,EX73+逐级计算!$C$154,EX73+逐级计算!$C$154-(10/(逐级计算!$Q$154*LN(10))*(MAX((LN(10^(逐级计算!$Q$154/10)-1)+逐级计算!$Q$154*(EX73-逐级计算!$P$154)*LN(10)/10),0)+LN(1+EXP(-ABS((LN(10^(逐级计算!$Q$154/10)-1)+逐级计算!$Q$154*(EX73-逐级计算!$P$154)*LN(10)/10))))))),"")</f>
        <v>13.7930365742089</v>
      </c>
      <c r="EZ73">
        <f>IF(AND(ISNUMBER(EY73),逐级计算!$X$155&gt;-1),IF(逐级计算!$X$155=0,EY73+逐级计算!$C$155,EY73+逐级计算!$C$155-(10/(逐级计算!$Q$155*LN(10))*(MAX((LN(10^(逐级计算!$Q$155/10)-1)+逐级计算!$Q$155*(EY73-逐级计算!$P$155)*LN(10)/10),0)+LN(1+EXP(-ABS((LN(10^(逐级计算!$Q$155/10)-1)+逐级计算!$Q$155*(EY73-逐级计算!$P$155)*LN(10)/10))))))),"")</f>
        <v>13.7930365742089</v>
      </c>
      <c r="FA73">
        <f>IF(AND(ISNUMBER(EZ73),逐级计算!$X$156&gt;-1),IF(逐级计算!$X$156=0,EZ73+逐级计算!$C$156,EZ73+逐级计算!$C$156-(10/(逐级计算!$Q$156*LN(10))*(MAX((LN(10^(逐级计算!$Q$156/10)-1)+逐级计算!$Q$156*(EZ73-逐级计算!$P$156)*LN(10)/10),0)+LN(1+EXP(-ABS((LN(10^(逐级计算!$Q$156/10)-1)+逐级计算!$Q$156*(EZ73-逐级计算!$P$156)*LN(10)/10))))))),"")</f>
        <v>13.7930365742089</v>
      </c>
      <c r="FB73">
        <f>IF(AND(ISNUMBER(FA73),逐级计算!$X$157&gt;-1),IF(逐级计算!$X$157=0,FA73+逐级计算!$C$157,FA73+逐级计算!$C$157-(10/(逐级计算!$Q$157*LN(10))*(MAX((LN(10^(逐级计算!$Q$157/10)-1)+逐级计算!$Q$157*(FA73-逐级计算!$P$157)*LN(10)/10),0)+LN(1+EXP(-ABS((LN(10^(逐级计算!$Q$157/10)-1)+逐级计算!$Q$157*(FA73-逐级计算!$P$157)*LN(10)/10))))))),"")</f>
        <v>13.7930365742089</v>
      </c>
      <c r="FC73">
        <f>IF(AND(ISNUMBER(FB73),逐级计算!$X$158&gt;-1),IF(逐级计算!$X$158=0,FB73+逐级计算!$C$158,FB73+逐级计算!$C$158-(10/(逐级计算!$Q$158*LN(10))*(MAX((LN(10^(逐级计算!$Q$158/10)-1)+逐级计算!$Q$158*(FB73-逐级计算!$P$158)*LN(10)/10),0)+LN(1+EXP(-ABS((LN(10^(逐级计算!$Q$158/10)-1)+逐级计算!$Q$158*(FB73-逐级计算!$P$158)*LN(10)/10))))))),"")</f>
        <v>13.7930365742089</v>
      </c>
      <c r="FD73">
        <f>IF(AND(ISNUMBER(FC73),逐级计算!$X$159&gt;-1),IF(逐级计算!$X$159=0,FC73+逐级计算!$C$159,FC73+逐级计算!$C$159-(10/(逐级计算!$Q$159*LN(10))*(MAX((LN(10^(逐级计算!$Q$159/10)-1)+逐级计算!$Q$159*(FC73-逐级计算!$P$159)*LN(10)/10),0)+LN(1+EXP(-ABS((LN(10^(逐级计算!$Q$159/10)-1)+逐级计算!$Q$159*(FC73-逐级计算!$P$159)*LN(10)/10))))))),"")</f>
        <v>13.7930365742089</v>
      </c>
      <c r="FE73">
        <f>IF(AND(ISNUMBER(FD73),逐级计算!$X$160&gt;-1),IF(逐级计算!$X$160=0,FD73+逐级计算!$C$160,FD73+逐级计算!$C$160-(10/(逐级计算!$Q$160*LN(10))*(MAX((LN(10^(逐级计算!$Q$160/10)-1)+逐级计算!$Q$160*(FD73-逐级计算!$P$160)*LN(10)/10),0)+LN(1+EXP(-ABS((LN(10^(逐级计算!$Q$160/10)-1)+逐级计算!$Q$160*(FD73-逐级计算!$P$160)*LN(10)/10))))))),"")</f>
        <v>13.7930365742089</v>
      </c>
      <c r="FF73">
        <f>IF(AND(ISNUMBER(FE73),逐级计算!$X$161&gt;-1),IF(逐级计算!$X$161=0,FE73+逐级计算!$C$161,FE73+逐级计算!$C$161-(10/(逐级计算!$Q$161*LN(10))*(MAX((LN(10^(逐级计算!$Q$161/10)-1)+逐级计算!$Q$161*(FE73-逐级计算!$P$161)*LN(10)/10),0)+LN(1+EXP(-ABS((LN(10^(逐级计算!$Q$161/10)-1)+逐级计算!$Q$161*(FE73-逐级计算!$P$161)*LN(10)/10))))))),"")</f>
        <v>13.7930365742089</v>
      </c>
      <c r="FG73">
        <f>IF(AND(ISNUMBER(FF73),逐级计算!$X$162&gt;-1),IF(逐级计算!$X$162=0,FF73+逐级计算!$C$162,FF73+逐级计算!$C$162-(10/(逐级计算!$Q$162*LN(10))*(MAX((LN(10^(逐级计算!$Q$162/10)-1)+逐级计算!$Q$162*(FF73-逐级计算!$P$162)*LN(10)/10),0)+LN(1+EXP(-ABS((LN(10^(逐级计算!$Q$162/10)-1)+逐级计算!$Q$162*(FF73-逐级计算!$P$162)*LN(10)/10))))))),"")</f>
        <v>13.7930365742089</v>
      </c>
      <c r="FH73">
        <f>IF(AND(ISNUMBER(FG73),逐级计算!$X$163&gt;-1),IF(逐级计算!$X$163=0,FG73+逐级计算!$C$163,FG73+逐级计算!$C$163-(10/(逐级计算!$Q$163*LN(10))*(MAX((LN(10^(逐级计算!$Q$163/10)-1)+逐级计算!$Q$163*(FG73-逐级计算!$P$163)*LN(10)/10),0)+LN(1+EXP(-ABS((LN(10^(逐级计算!$Q$163/10)-1)+逐级计算!$Q$163*(FG73-逐级计算!$P$163)*LN(10)/10))))))),"")</f>
        <v>13.7930365742089</v>
      </c>
      <c r="FI73">
        <f>IF(AND(ISNUMBER(FH73),逐级计算!$X$164&gt;-1),IF(逐级计算!$X$164=0,FH73+逐级计算!$C$164,FH73+逐级计算!$C$164-(10/(逐级计算!$Q$164*LN(10))*(MAX((LN(10^(逐级计算!$Q$164/10)-1)+逐级计算!$Q$164*(FH73-逐级计算!$P$164)*LN(10)/10),0)+LN(1+EXP(-ABS((LN(10^(逐级计算!$Q$164/10)-1)+逐级计算!$Q$164*(FH73-逐级计算!$P$164)*LN(10)/10))))))),"")</f>
        <v>13.7930365742089</v>
      </c>
      <c r="FJ73">
        <f>IF(AND(ISNUMBER(FI73),逐级计算!$X$165&gt;-1),IF(逐级计算!$X$165=0,FI73+逐级计算!$C$165,FI73+逐级计算!$C$165-(10/(逐级计算!$Q$165*LN(10))*(MAX((LN(10^(逐级计算!$Q$165/10)-1)+逐级计算!$Q$165*(FI73-逐级计算!$P$165)*LN(10)/10),0)+LN(1+EXP(-ABS((LN(10^(逐级计算!$Q$165/10)-1)+逐级计算!$Q$165*(FI73-逐级计算!$P$165)*LN(10)/10))))))),"")</f>
        <v>13.7930365742089</v>
      </c>
      <c r="FK73">
        <f>IF(AND(ISNUMBER(FJ73),逐级计算!$X$166&gt;-1),IF(逐级计算!$X$166=0,FJ73+逐级计算!$C$166,FJ73+逐级计算!$C$166-(10/(逐级计算!$Q$166*LN(10))*(MAX((LN(10^(逐级计算!$Q$166/10)-1)+逐级计算!$Q$166*(FJ73-逐级计算!$P$166)*LN(10)/10),0)+LN(1+EXP(-ABS((LN(10^(逐级计算!$Q$166/10)-1)+逐级计算!$Q$166*(FJ73-逐级计算!$P$166)*LN(10)/10))))))),"")</f>
        <v>13.7930365742089</v>
      </c>
      <c r="FL73">
        <f>IF(AND(ISNUMBER(FK73),逐级计算!$X$167&gt;-1),IF(逐级计算!$X$167=0,FK73+逐级计算!$C$167,FK73+逐级计算!$C$167-(10/(逐级计算!$Q$167*LN(10))*(MAX((LN(10^(逐级计算!$Q$167/10)-1)+逐级计算!$Q$167*(FK73-逐级计算!$P$167)*LN(10)/10),0)+LN(1+EXP(-ABS((LN(10^(逐级计算!$Q$167/10)-1)+逐级计算!$Q$167*(FK73-逐级计算!$P$167)*LN(10)/10))))))),"")</f>
        <v>13.7930365742089</v>
      </c>
      <c r="FM73">
        <f>IF(AND(ISNUMBER(FL73),逐级计算!$X$168&gt;-1),IF(逐级计算!$X$168=0,FL73+逐级计算!$C$168,FL73+逐级计算!$C$168-(10/(逐级计算!$Q$168*LN(10))*(MAX((LN(10^(逐级计算!$Q$168/10)-1)+逐级计算!$Q$168*(FL73-逐级计算!$P$168)*LN(10)/10),0)+LN(1+EXP(-ABS((LN(10^(逐级计算!$Q$168/10)-1)+逐级计算!$Q$168*(FL73-逐级计算!$P$168)*LN(10)/10))))))),"")</f>
        <v>13.7930365742089</v>
      </c>
      <c r="FN73">
        <f>IF(AND(ISNUMBER(FM73),逐级计算!$X$169&gt;-1),IF(逐级计算!$X$169=0,FM73+逐级计算!$C$169,FM73+逐级计算!$C$169-(10/(逐级计算!$Q$169*LN(10))*(MAX((LN(10^(逐级计算!$Q$169/10)-1)+逐级计算!$Q$169*(FM73-逐级计算!$P$169)*LN(10)/10),0)+LN(1+EXP(-ABS((LN(10^(逐级计算!$Q$169/10)-1)+逐级计算!$Q$169*(FM73-逐级计算!$P$169)*LN(10)/10))))))),"")</f>
        <v>13.7930365742089</v>
      </c>
      <c r="FO73">
        <f>IF(AND(ISNUMBER(FN73),逐级计算!$X$170&gt;-1),IF(逐级计算!$X$170=0,FN73+逐级计算!$C$170,FN73+逐级计算!$C$170-(10/(逐级计算!$Q$170*LN(10))*(MAX((LN(10^(逐级计算!$Q$170/10)-1)+逐级计算!$Q$170*(FN73-逐级计算!$P$170)*LN(10)/10),0)+LN(1+EXP(-ABS((LN(10^(逐级计算!$Q$170/10)-1)+逐级计算!$Q$170*(FN73-逐级计算!$P$170)*LN(10)/10))))))),"")</f>
        <v>13.7930365742089</v>
      </c>
      <c r="FP73">
        <f>IF(AND(ISNUMBER(FO73),逐级计算!$X$171&gt;-1),IF(逐级计算!$X$171=0,FO73+逐级计算!$C$171,FO73+逐级计算!$C$171-(10/(逐级计算!$Q$171*LN(10))*(MAX((LN(10^(逐级计算!$Q$171/10)-1)+逐级计算!$Q$171*(FO73-逐级计算!$P$171)*LN(10)/10),0)+LN(1+EXP(-ABS((LN(10^(逐级计算!$Q$171/10)-1)+逐级计算!$Q$171*(FO73-逐级计算!$P$171)*LN(10)/10))))))),"")</f>
        <v>13.7930365742089</v>
      </c>
      <c r="FQ73">
        <f>IF(AND(ISNUMBER(FP73),逐级计算!$X$172&gt;-1),IF(逐级计算!$X$172=0,FP73+逐级计算!$C$172,FP73+逐级计算!$C$172-(10/(逐级计算!$Q$172*LN(10))*(MAX((LN(10^(逐级计算!$Q$172/10)-1)+逐级计算!$Q$172*(FP73-逐级计算!$P$172)*LN(10)/10),0)+LN(1+EXP(-ABS((LN(10^(逐级计算!$Q$172/10)-1)+逐级计算!$Q$172*(FP73-逐级计算!$P$172)*LN(10)/10))))))),"")</f>
        <v>13.7930365742089</v>
      </c>
      <c r="FR73">
        <f>IF(AND(ISNUMBER(FQ73),逐级计算!$X$173&gt;-1),IF(逐级计算!$X$173=0,FQ73+逐级计算!$C$173,FQ73+逐级计算!$C$173-(10/(逐级计算!$Q$173*LN(10))*(MAX((LN(10^(逐级计算!$Q$173/10)-1)+逐级计算!$Q$173*(FQ73-逐级计算!$P$173)*LN(10)/10),0)+LN(1+EXP(-ABS((LN(10^(逐级计算!$Q$173/10)-1)+逐级计算!$Q$173*(FQ73-逐级计算!$P$173)*LN(10)/10))))))),"")</f>
        <v>13.7930365742089</v>
      </c>
      <c r="FS73">
        <f>IF(AND(ISNUMBER(FR73),逐级计算!$X$174&gt;-1),IF(逐级计算!$X$174=0,FR73+逐级计算!$C$174,FR73+逐级计算!$C$174-(10/(逐级计算!$Q$174*LN(10))*(MAX((LN(10^(逐级计算!$Q$174/10)-1)+逐级计算!$Q$174*(FR73-逐级计算!$P$174)*LN(10)/10),0)+LN(1+EXP(-ABS((LN(10^(逐级计算!$Q$174/10)-1)+逐级计算!$Q$174*(FR73-逐级计算!$P$174)*LN(10)/10))))))),"")</f>
        <v>13.7930365742089</v>
      </c>
      <c r="FT73">
        <f>IF(AND(ISNUMBER(FS73),逐级计算!$X$175&gt;-1),IF(逐级计算!$X$175=0,FS73+逐级计算!$C$175,FS73+逐级计算!$C$175-(10/(逐级计算!$Q$175*LN(10))*(MAX((LN(10^(逐级计算!$Q$175/10)-1)+逐级计算!$Q$175*(FS73-逐级计算!$P$175)*LN(10)/10),0)+LN(1+EXP(-ABS((LN(10^(逐级计算!$Q$175/10)-1)+逐级计算!$Q$175*(FS73-逐级计算!$P$175)*LN(10)/10))))))),"")</f>
        <v>13.7930365742089</v>
      </c>
      <c r="FU73">
        <f>IF(AND(ISNUMBER(FT73),逐级计算!$X$176&gt;-1),IF(逐级计算!$X$176=0,FT73+逐级计算!$C$176,FT73+逐级计算!$C$176-(10/(逐级计算!$Q$176*LN(10))*(MAX((LN(10^(逐级计算!$Q$176/10)-1)+逐级计算!$Q$176*(FT73-逐级计算!$P$176)*LN(10)/10),0)+LN(1+EXP(-ABS((LN(10^(逐级计算!$Q$176/10)-1)+逐级计算!$Q$176*(FT73-逐级计算!$P$176)*LN(10)/10))))))),"")</f>
        <v>13.7930365742089</v>
      </c>
      <c r="FV73">
        <f>IF(AND(ISNUMBER(FU73),逐级计算!$X$177&gt;-1),IF(逐级计算!$X$177=0,FU73+逐级计算!$C$177,FU73+逐级计算!$C$177-(10/(逐级计算!$Q$177*LN(10))*(MAX((LN(10^(逐级计算!$Q$177/10)-1)+逐级计算!$Q$177*(FU73-逐级计算!$P$177)*LN(10)/10),0)+LN(1+EXP(-ABS((LN(10^(逐级计算!$Q$177/10)-1)+逐级计算!$Q$177*(FU73-逐级计算!$P$177)*LN(10)/10))))))),"")</f>
        <v>13.7930365742089</v>
      </c>
      <c r="FW73">
        <f>IF(AND(ISNUMBER(FV73),逐级计算!$X$178&gt;-1),IF(逐级计算!$X$178=0,FV73+逐级计算!$C$178,FV73+逐级计算!$C$178-(10/(逐级计算!$Q$178*LN(10))*(MAX((LN(10^(逐级计算!$Q$178/10)-1)+逐级计算!$Q$178*(FV73-逐级计算!$P$178)*LN(10)/10),0)+LN(1+EXP(-ABS((LN(10^(逐级计算!$Q$178/10)-1)+逐级计算!$Q$178*(FV73-逐级计算!$P$178)*LN(10)/10))))))),"")</f>
        <v>13.7930365742089</v>
      </c>
      <c r="FX73">
        <f>IF(AND(ISNUMBER(FW73),逐级计算!$X$179&gt;-1),IF(逐级计算!$X$179=0,FW73+逐级计算!$C$179,FW73+逐级计算!$C$179-(10/(逐级计算!$Q$179*LN(10))*(MAX((LN(10^(逐级计算!$Q$179/10)-1)+逐级计算!$Q$179*(FW73-逐级计算!$P$179)*LN(10)/10),0)+LN(1+EXP(-ABS((LN(10^(逐级计算!$Q$179/10)-1)+逐级计算!$Q$179*(FW73-逐级计算!$P$179)*LN(10)/10))))))),"")</f>
        <v>13.7930365742089</v>
      </c>
      <c r="FY73">
        <f>IF(AND(ISNUMBER(FX73),逐级计算!$X$180&gt;-1),IF(逐级计算!$X$180=0,FX73+逐级计算!$C$180,FX73+逐级计算!$C$180-(10/(逐级计算!$Q$180*LN(10))*(MAX((LN(10^(逐级计算!$Q$180/10)-1)+逐级计算!$Q$180*(FX73-逐级计算!$P$180)*LN(10)/10),0)+LN(1+EXP(-ABS((LN(10^(逐级计算!$Q$180/10)-1)+逐级计算!$Q$180*(FX73-逐级计算!$P$180)*LN(10)/10))))))),"")</f>
        <v>13.7930365742089</v>
      </c>
      <c r="FZ73">
        <f>IF(AND(ISNUMBER(FY73),逐级计算!$X$181&gt;-1),IF(逐级计算!$X$181=0,FY73+逐级计算!$C$181,FY73+逐级计算!$C$181-(10/(逐级计算!$Q$181*LN(10))*(MAX((LN(10^(逐级计算!$Q$181/10)-1)+逐级计算!$Q$181*(FY73-逐级计算!$P$181)*LN(10)/10),0)+LN(1+EXP(-ABS((LN(10^(逐级计算!$Q$181/10)-1)+逐级计算!$Q$181*(FY73-逐级计算!$P$181)*LN(10)/10))))))),"")</f>
        <v>13.7930365742089</v>
      </c>
      <c r="GA73">
        <f>IF(AND(ISNUMBER(FZ73),逐级计算!$X$182&gt;-1),IF(逐级计算!$X$182=0,FZ73+逐级计算!$C$182,FZ73+逐级计算!$C$182-(10/(逐级计算!$Q$182*LN(10))*(MAX((LN(10^(逐级计算!$Q$182/10)-1)+逐级计算!$Q$182*(FZ73-逐级计算!$P$182)*LN(10)/10),0)+LN(1+EXP(-ABS((LN(10^(逐级计算!$Q$182/10)-1)+逐级计算!$Q$182*(FZ73-逐级计算!$P$182)*LN(10)/10))))))),"")</f>
        <v>13.7930365742089</v>
      </c>
      <c r="GB73">
        <f>IF(AND(ISNUMBER(GA73),逐级计算!$X$183&gt;-1),IF(逐级计算!$X$183=0,GA73+逐级计算!$C$183,GA73+逐级计算!$C$183-(10/(逐级计算!$Q$183*LN(10))*(MAX((LN(10^(逐级计算!$Q$183/10)-1)+逐级计算!$Q$183*(GA73-逐级计算!$P$183)*LN(10)/10),0)+LN(1+EXP(-ABS((LN(10^(逐级计算!$Q$183/10)-1)+逐级计算!$Q$183*(GA73-逐级计算!$P$183)*LN(10)/10))))))),"")</f>
        <v>13.7930365742089</v>
      </c>
      <c r="GC73">
        <f>IF(AND(ISNUMBER(GB73),逐级计算!$X$184&gt;-1),IF(逐级计算!$X$184=0,GB73+逐级计算!$C$184,GB73+逐级计算!$C$184-(10/(逐级计算!$Q$184*LN(10))*(MAX((LN(10^(逐级计算!$Q$184/10)-1)+逐级计算!$Q$184*(GB73-逐级计算!$P$184)*LN(10)/10),0)+LN(1+EXP(-ABS((LN(10^(逐级计算!$Q$184/10)-1)+逐级计算!$Q$184*(GB73-逐级计算!$P$184)*LN(10)/10))))))),"")</f>
        <v>13.7930365742089</v>
      </c>
      <c r="GD73">
        <f>IF(AND(ISNUMBER(GC73),逐级计算!$X$185&gt;-1),IF(逐级计算!$X$185=0,GC73+逐级计算!$C$185,GC73+逐级计算!$C$185-(10/(逐级计算!$Q$185*LN(10))*(MAX((LN(10^(逐级计算!$Q$185/10)-1)+逐级计算!$Q$185*(GC73-逐级计算!$P$185)*LN(10)/10),0)+LN(1+EXP(-ABS((LN(10^(逐级计算!$Q$185/10)-1)+逐级计算!$Q$185*(GC73-逐级计算!$P$185)*LN(10)/10))))))),"")</f>
        <v>13.7930365742089</v>
      </c>
      <c r="GE73">
        <f>IF(AND(ISNUMBER(GD73),逐级计算!$X$186&gt;-1),IF(逐级计算!$X$186=0,GD73+逐级计算!$C$186,GD73+逐级计算!$C$186-(10/(逐级计算!$Q$186*LN(10))*(MAX((LN(10^(逐级计算!$Q$186/10)-1)+逐级计算!$Q$186*(GD73-逐级计算!$P$186)*LN(10)/10),0)+LN(1+EXP(-ABS((LN(10^(逐级计算!$Q$186/10)-1)+逐级计算!$Q$186*(GD73-逐级计算!$P$186)*LN(10)/10))))))),"")</f>
        <v>13.7930365742089</v>
      </c>
      <c r="GF73">
        <f>IF(AND(ISNUMBER(GE73),逐级计算!$X$187&gt;-1),IF(逐级计算!$X$187=0,GE73+逐级计算!$C$187,GE73+逐级计算!$C$187-(10/(逐级计算!$Q$187*LN(10))*(MAX((LN(10^(逐级计算!$Q$187/10)-1)+逐级计算!$Q$187*(GE73-逐级计算!$P$187)*LN(10)/10),0)+LN(1+EXP(-ABS((LN(10^(逐级计算!$Q$187/10)-1)+逐级计算!$Q$187*(GE73-逐级计算!$P$187)*LN(10)/10))))))),"")</f>
        <v>13.7930365742089</v>
      </c>
      <c r="GG73">
        <f>IF(AND(ISNUMBER(GF73),逐级计算!$X$188&gt;-1),IF(逐级计算!$X$188=0,GF73+逐级计算!$C$188,GF73+逐级计算!$C$188-(10/(逐级计算!$Q$188*LN(10))*(MAX((LN(10^(逐级计算!$Q$188/10)-1)+逐级计算!$Q$188*(GF73-逐级计算!$P$188)*LN(10)/10),0)+LN(1+EXP(-ABS((LN(10^(逐级计算!$Q$188/10)-1)+逐级计算!$Q$188*(GF73-逐级计算!$P$188)*LN(10)/10))))))),"")</f>
        <v>13.7930365742089</v>
      </c>
      <c r="GH73">
        <f>IF(AND(ISNUMBER(GG73),逐级计算!$X$189&gt;-1),IF(逐级计算!$X$189=0,GG73+逐级计算!$C$189,GG73+逐级计算!$C$189-(10/(逐级计算!$Q$189*LN(10))*(MAX((LN(10^(逐级计算!$Q$189/10)-1)+逐级计算!$Q$189*(GG73-逐级计算!$P$189)*LN(10)/10),0)+LN(1+EXP(-ABS((LN(10^(逐级计算!$Q$189/10)-1)+逐级计算!$Q$189*(GG73-逐级计算!$P$189)*LN(10)/10))))))),"")</f>
        <v>13.7930365742089</v>
      </c>
      <c r="GI73">
        <f>IF(AND(ISNUMBER(GH73),逐级计算!$X$190&gt;-1),IF(逐级计算!$X$190=0,GH73+逐级计算!$C$190,GH73+逐级计算!$C$190-(10/(逐级计算!$Q$190*LN(10))*(MAX((LN(10^(逐级计算!$Q$190/10)-1)+逐级计算!$Q$190*(GH73-逐级计算!$P$190)*LN(10)/10),0)+LN(1+EXP(-ABS((LN(10^(逐级计算!$Q$190/10)-1)+逐级计算!$Q$190*(GH73-逐级计算!$P$190)*LN(10)/10))))))),"")</f>
        <v>13.7930365742089</v>
      </c>
      <c r="GJ73">
        <f>IF(AND(ISNUMBER(GI73),逐级计算!$X$191&gt;-1),IF(逐级计算!$X$191=0,GI73+逐级计算!$C$191,GI73+逐级计算!$C$191-(10/(逐级计算!$Q$191*LN(10))*(MAX((LN(10^(逐级计算!$Q$191/10)-1)+逐级计算!$Q$191*(GI73-逐级计算!$P$191)*LN(10)/10),0)+LN(1+EXP(-ABS((LN(10^(逐级计算!$Q$191/10)-1)+逐级计算!$Q$191*(GI73-逐级计算!$P$191)*LN(10)/10))))))),"")</f>
        <v>13.7930365742089</v>
      </c>
      <c r="GK73">
        <f>IF(AND(ISNUMBER(GJ73),逐级计算!$X$192&gt;-1),IF(逐级计算!$X$192=0,GJ73+逐级计算!$C$192,GJ73+逐级计算!$C$192-(10/(逐级计算!$Q$192*LN(10))*(MAX((LN(10^(逐级计算!$Q$192/10)-1)+逐级计算!$Q$192*(GJ73-逐级计算!$P$192)*LN(10)/10),0)+LN(1+EXP(-ABS((LN(10^(逐级计算!$Q$192/10)-1)+逐级计算!$Q$192*(GJ73-逐级计算!$P$192)*LN(10)/10))))))),"")</f>
        <v>13.7930365742089</v>
      </c>
      <c r="GL73">
        <f>IF(AND(ISNUMBER(GK73),逐级计算!$X$193&gt;-1),IF(逐级计算!$X$193=0,GK73+逐级计算!$C$193,GK73+逐级计算!$C$193-(10/(逐级计算!$Q$193*LN(10))*(MAX((LN(10^(逐级计算!$Q$193/10)-1)+逐级计算!$Q$193*(GK73-逐级计算!$P$193)*LN(10)/10),0)+LN(1+EXP(-ABS((LN(10^(逐级计算!$Q$193/10)-1)+逐级计算!$Q$193*(GK73-逐级计算!$P$193)*LN(10)/10))))))),"")</f>
        <v>13.7930365742089</v>
      </c>
      <c r="GM73">
        <f>IF(AND(ISNUMBER(GL73),逐级计算!$X$194&gt;-1),IF(逐级计算!$X$194=0,GL73+逐级计算!$C$194,GL73+逐级计算!$C$194-(10/(逐级计算!$Q$194*LN(10))*(MAX((LN(10^(逐级计算!$Q$194/10)-1)+逐级计算!$Q$194*(GL73-逐级计算!$P$194)*LN(10)/10),0)+LN(1+EXP(-ABS((LN(10^(逐级计算!$Q$194/10)-1)+逐级计算!$Q$194*(GL73-逐级计算!$P$194)*LN(10)/10))))))),"")</f>
        <v>13.7930365742089</v>
      </c>
      <c r="GN73">
        <f>IF(AND(ISNUMBER(GM73),逐级计算!$X$195&gt;-1),IF(逐级计算!$X$195=0,GM73+逐级计算!$C$195,GM73+逐级计算!$C$195-(10/(逐级计算!$Q$195*LN(10))*(MAX((LN(10^(逐级计算!$Q$195/10)-1)+逐级计算!$Q$195*(GM73-逐级计算!$P$195)*LN(10)/10),0)+LN(1+EXP(-ABS((LN(10^(逐级计算!$Q$195/10)-1)+逐级计算!$Q$195*(GM73-逐级计算!$P$195)*LN(10)/10))))))),"")</f>
        <v>13.7930365742089</v>
      </c>
      <c r="GO73">
        <f>IF(AND(ISNUMBER(GN73),逐级计算!$X$196&gt;-1),IF(逐级计算!$X$196=0,GN73+逐级计算!$C$196,GN73+逐级计算!$C$196-(10/(逐级计算!$Q$196*LN(10))*(MAX((LN(10^(逐级计算!$Q$196/10)-1)+逐级计算!$Q$196*(GN73-逐级计算!$P$196)*LN(10)/10),0)+LN(1+EXP(-ABS((LN(10^(逐级计算!$Q$196/10)-1)+逐级计算!$Q$196*(GN73-逐级计算!$P$196)*LN(10)/10))))))),"")</f>
        <v>13.7930365742089</v>
      </c>
      <c r="GP73">
        <f>IF(AND(ISNUMBER(GO73),逐级计算!$X$197&gt;-1),IF(逐级计算!$X$197=0,GO73+逐级计算!$C$197,GO73+逐级计算!$C$197-(10/(逐级计算!$Q$197*LN(10))*(MAX((LN(10^(逐级计算!$Q$197/10)-1)+逐级计算!$Q$197*(GO73-逐级计算!$P$197)*LN(10)/10),0)+LN(1+EXP(-ABS((LN(10^(逐级计算!$Q$197/10)-1)+逐级计算!$Q$197*(GO73-逐级计算!$P$197)*LN(10)/10))))))),"")</f>
        <v>13.7930365742089</v>
      </c>
      <c r="GQ73">
        <f>IF(AND(ISNUMBER(GP73),逐级计算!$X$198&gt;-1),IF(逐级计算!$X$198=0,GP73+逐级计算!$C$198,GP73+逐级计算!$C$198-(10/(逐级计算!$Q$198*LN(10))*(MAX((LN(10^(逐级计算!$Q$198/10)-1)+逐级计算!$Q$198*(GP73-逐级计算!$P$198)*LN(10)/10),0)+LN(1+EXP(-ABS((LN(10^(逐级计算!$Q$198/10)-1)+逐级计算!$Q$198*(GP73-逐级计算!$P$198)*LN(10)/10))))))),"")</f>
        <v>13.7930365742089</v>
      </c>
      <c r="GR73">
        <f>IF(AND(ISNUMBER(GQ73),逐级计算!$X$199&gt;-1),IF(逐级计算!$X$199=0,GQ73+逐级计算!$C$199,GQ73+逐级计算!$C$199-(10/(逐级计算!$Q$199*LN(10))*(MAX((LN(10^(逐级计算!$Q$199/10)-1)+逐级计算!$Q$199*(GQ73-逐级计算!$P$199)*LN(10)/10),0)+LN(1+EXP(-ABS((LN(10^(逐级计算!$Q$199/10)-1)+逐级计算!$Q$199*(GQ73-逐级计算!$P$199)*LN(10)/10))))))),"")</f>
        <v>13.7930365742089</v>
      </c>
      <c r="GS73">
        <f>IF(AND(ISNUMBER(GR73),逐级计算!$X$200&gt;-1),IF(逐级计算!$X$200=0,GR73+逐级计算!$C$200,GR73+逐级计算!$C$200-(10/(逐级计算!$Q$200*LN(10))*(MAX((LN(10^(逐级计算!$Q$200/10)-1)+逐级计算!$Q$200*(GR73-逐级计算!$P$200)*LN(10)/10),0)+LN(1+EXP(-ABS((LN(10^(逐级计算!$Q$200/10)-1)+逐级计算!$Q$200*(GR73-逐级计算!$P$200)*LN(10)/10))))))),"")</f>
        <v>13.7930365742089</v>
      </c>
      <c r="GT73">
        <f>IF(AND(ISNUMBER(GS73),逐级计算!$X$201&gt;-1),IF(逐级计算!$X$201=0,GS73+逐级计算!$C$201,GS73+逐级计算!$C$201-(10/(逐级计算!$Q$201*LN(10))*(MAX((LN(10^(逐级计算!$Q$201/10)-1)+逐级计算!$Q$201*(GS73-逐级计算!$P$201)*LN(10)/10),0)+LN(1+EXP(-ABS((LN(10^(逐级计算!$Q$201/10)-1)+逐级计算!$Q$201*(GS73-逐级计算!$P$201)*LN(10)/10))))))),"")</f>
        <v>13.7930365742089</v>
      </c>
      <c r="GU73">
        <f>IF(AND(ISNUMBER(GT73),逐级计算!$X$202&gt;-1),IF(逐级计算!$X$202=0,GT73+逐级计算!$C$202,GT73+逐级计算!$C$202-(10/(逐级计算!$Q$202*LN(10))*(MAX((LN(10^(逐级计算!$Q$202/10)-1)+逐级计算!$Q$202*(GT73-逐级计算!$P$202)*LN(10)/10),0)+LN(1+EXP(-ABS((LN(10^(逐级计算!$Q$202/10)-1)+逐级计算!$Q$202*(GT73-逐级计算!$P$202)*LN(10)/10))))))),"")</f>
        <v>13.7930365742089</v>
      </c>
      <c r="GV73">
        <f>IF(AND(ISNUMBER(GU73),逐级计算!$X$203&gt;-1),IF(逐级计算!$X$203=0,GU73+逐级计算!$C$203,GU73+逐级计算!$C$203-(10/(逐级计算!$Q$203*LN(10))*(MAX((LN(10^(逐级计算!$Q$203/10)-1)+逐级计算!$Q$203*(GU73-逐级计算!$P$203)*LN(10)/10),0)+LN(1+EXP(-ABS((LN(10^(逐级计算!$Q$203/10)-1)+逐级计算!$Q$203*(GU73-逐级计算!$P$203)*LN(10)/10))))))),"")</f>
        <v>13.7930365742089</v>
      </c>
      <c r="GW73">
        <f t="shared" ref="GW73:GW87" si="5">IF(ISNUMBER(D72),IF(D72&gt;1,C72,GW72),"")</f>
        <v>-5.20696342579112</v>
      </c>
    </row>
    <row r="74" spans="1:205">
      <c r="A74">
        <v>67</v>
      </c>
      <c r="B74">
        <f t="shared" si="4"/>
        <v>-5.20696342579112</v>
      </c>
      <c r="C74">
        <f t="shared" si="3"/>
        <v>-5.20696342579112</v>
      </c>
      <c r="D74">
        <f>IF(AND(ISNUMBER(C74),ISNUMBER(逐级计算!$E$203),ISNUMBER(GV74)),C74+逐级计算!$E$203-GV74,"")</f>
        <v>1</v>
      </c>
      <c r="E74">
        <f>IF(AND(ISNUMBER(C74),逐级计算!$X$4&gt;-1),IF(逐级计算!$X$4=0,C74+逐级计算!$C$4,C74+逐级计算!$C$4-(10/(逐级计算!$Q$4*LN(10))*(MAX((LN(10^(逐级计算!$Q$4/10)-1)+逐级计算!$Q$4*(C74-逐级计算!$P$4)*LN(10)/10),0)+LN(1+EXP(-ABS((LN(10^(逐级计算!$Q$4/10)-1)+逐级计算!$Q$4*(C74-逐级计算!$P$4)*LN(10)/10))))))),"")</f>
        <v>4.68053982928311</v>
      </c>
      <c r="F74">
        <f>IF(AND(ISNUMBER(E74),逐级计算!$X$5&gt;-1),IF(逐级计算!$X$5=0,E74+逐级计算!$C$5,E74+逐级计算!$C$5-(10/(逐级计算!$Q$5*LN(10))*(MAX((LN(10^(逐级计算!$Q$5/10)-1)+逐级计算!$Q$5*(E74-逐级计算!$P$5)*LN(10)/10),0)+LN(1+EXP(-ABS((LN(10^(逐级计算!$Q$5/10)-1)+逐级计算!$Q$5*(E74-逐级计算!$P$5)*LN(10)/10))))))),"")</f>
        <v>13.7930365742089</v>
      </c>
      <c r="G74">
        <f>IF(AND(ISNUMBER(F74),逐级计算!$X$6&gt;-1),IF(逐级计算!$X$6=0,F74+逐级计算!$C$6,F74+逐级计算!$C$6-(10/(逐级计算!$Q$6*LN(10))*(MAX((LN(10^(逐级计算!$Q$6/10)-1)+逐级计算!$Q$6*(F74-逐级计算!$P$6)*LN(10)/10),0)+LN(1+EXP(-ABS((LN(10^(逐级计算!$Q$6/10)-1)+逐级计算!$Q$6*(F74-逐级计算!$P$6)*LN(10)/10))))))),"")</f>
        <v>13.7930365742089</v>
      </c>
      <c r="H74">
        <f>IF(AND(ISNUMBER(G74),逐级计算!$X$7&gt;-1),IF(逐级计算!$X$7=0,G74+逐级计算!$C$7,G74+逐级计算!$C$7-(10/(逐级计算!$Q$7*LN(10))*(MAX((LN(10^(逐级计算!$Q$7/10)-1)+逐级计算!$Q$7*(G74-逐级计算!$P$7)*LN(10)/10),0)+LN(1+EXP(-ABS((LN(10^(逐级计算!$Q$7/10)-1)+逐级计算!$Q$7*(G74-逐级计算!$P$7)*LN(10)/10))))))),"")</f>
        <v>13.7930365742089</v>
      </c>
      <c r="I74">
        <f>IF(AND(ISNUMBER(H74),逐级计算!$X$8&gt;-1),IF(逐级计算!$X$8=0,H74+逐级计算!$C$8,H74+逐级计算!$C$8-(10/(逐级计算!$Q$8*LN(10))*(MAX((LN(10^(逐级计算!$Q$8/10)-1)+逐级计算!$Q$8*(H74-逐级计算!$P$8)*LN(10)/10),0)+LN(1+EXP(-ABS((LN(10^(逐级计算!$Q$8/10)-1)+逐级计算!$Q$8*(H74-逐级计算!$P$8)*LN(10)/10))))))),"")</f>
        <v>13.7930365742089</v>
      </c>
      <c r="J74">
        <f>IF(AND(ISNUMBER(I74),逐级计算!$X$9&gt;-1),IF(逐级计算!$X$9=0,I74+逐级计算!$C$9,I74+逐级计算!$C$9-(10/(逐级计算!$Q$9*LN(10))*(MAX((LN(10^(逐级计算!$Q$9/10)-1)+逐级计算!$Q$9*(I74-逐级计算!$P$9)*LN(10)/10),0)+LN(1+EXP(-ABS((LN(10^(逐级计算!$Q$9/10)-1)+逐级计算!$Q$9*(I74-逐级计算!$P$9)*LN(10)/10))))))),"")</f>
        <v>13.7930365742089</v>
      </c>
      <c r="K74">
        <f>IF(AND(ISNUMBER(J74),逐级计算!$X$10&gt;-1),IF(逐级计算!$X$10=0,J74+逐级计算!$C$10,J74+逐级计算!$C$10-(10/(逐级计算!$Q$10*LN(10))*(MAX((LN(10^(逐级计算!$Q$10/10)-1)+逐级计算!$Q$10*(J74-逐级计算!$P$10)*LN(10)/10),0)+LN(1+EXP(-ABS((LN(10^(逐级计算!$Q$10/10)-1)+逐级计算!$Q$10*(J74-逐级计算!$P$10)*LN(10)/10))))))),"")</f>
        <v>13.7930365742089</v>
      </c>
      <c r="L74">
        <f>IF(AND(ISNUMBER(K74),逐级计算!$X$11&gt;-1),IF(逐级计算!$X$11=0,K74+逐级计算!$C$11,K74+逐级计算!$C$11-(10/(逐级计算!$Q$11*LN(10))*(MAX((LN(10^(逐级计算!$Q$11/10)-1)+逐级计算!$Q$11*(K74-逐级计算!$P$11)*LN(10)/10),0)+LN(1+EXP(-ABS((LN(10^(逐级计算!$Q$11/10)-1)+逐级计算!$Q$11*(K74-逐级计算!$P$11)*LN(10)/10))))))),"")</f>
        <v>13.7930365742089</v>
      </c>
      <c r="M74">
        <f>IF(AND(ISNUMBER(L74),逐级计算!$X$12&gt;-1),IF(逐级计算!$X$12=0,L74+逐级计算!$C$12,L74+逐级计算!$C$12-(10/(逐级计算!$Q$12*LN(10))*(MAX((LN(10^(逐级计算!$Q$12/10)-1)+逐级计算!$Q$12*(L74-逐级计算!$P$12)*LN(10)/10),0)+LN(1+EXP(-ABS((LN(10^(逐级计算!$Q$12/10)-1)+逐级计算!$Q$12*(L74-逐级计算!$P$12)*LN(10)/10))))))),"")</f>
        <v>13.7930365742089</v>
      </c>
      <c r="N74">
        <f>IF(AND(ISNUMBER(M74),逐级计算!$X$13&gt;-1),IF(逐级计算!$X$13=0,M74+逐级计算!$C$13,M74+逐级计算!$C$13-(10/(逐级计算!$Q$13*LN(10))*(MAX((LN(10^(逐级计算!$Q$13/10)-1)+逐级计算!$Q$13*(M74-逐级计算!$P$13)*LN(10)/10),0)+LN(1+EXP(-ABS((LN(10^(逐级计算!$Q$13/10)-1)+逐级计算!$Q$13*(M74-逐级计算!$P$13)*LN(10)/10))))))),"")</f>
        <v>13.7930365742089</v>
      </c>
      <c r="O74">
        <f>IF(AND(ISNUMBER(N74),逐级计算!$X$14&gt;-1),IF(逐级计算!$X$14=0,N74+逐级计算!$C$14,N74+逐级计算!$C$14-(10/(逐级计算!$Q$14*LN(10))*(MAX((LN(10^(逐级计算!$Q$14/10)-1)+逐级计算!$Q$14*(N74-逐级计算!$P$14)*LN(10)/10),0)+LN(1+EXP(-ABS((LN(10^(逐级计算!$Q$14/10)-1)+逐级计算!$Q$14*(N74-逐级计算!$P$14)*LN(10)/10))))))),"")</f>
        <v>13.7930365742089</v>
      </c>
      <c r="P74">
        <f>IF(AND(ISNUMBER(O74),逐级计算!$X$15&gt;-1),IF(逐级计算!$X$15=0,O74+逐级计算!$C$15,O74+逐级计算!$C$15-(10/(逐级计算!$Q$15*LN(10))*(MAX((LN(10^(逐级计算!$Q$15/10)-1)+逐级计算!$Q$15*(O74-逐级计算!$P$15)*LN(10)/10),0)+LN(1+EXP(-ABS((LN(10^(逐级计算!$Q$15/10)-1)+逐级计算!$Q$15*(O74-逐级计算!$P$15)*LN(10)/10))))))),"")</f>
        <v>13.7930365742089</v>
      </c>
      <c r="Q74">
        <f>IF(AND(ISNUMBER(P74),逐级计算!$X$16&gt;-1),IF(逐级计算!$X$16=0,P74+逐级计算!$C$16,P74+逐级计算!$C$16-(10/(逐级计算!$Q$16*LN(10))*(MAX((LN(10^(逐级计算!$Q$16/10)-1)+逐级计算!$Q$16*(P74-逐级计算!$P$16)*LN(10)/10),0)+LN(1+EXP(-ABS((LN(10^(逐级计算!$Q$16/10)-1)+逐级计算!$Q$16*(P74-逐级计算!$P$16)*LN(10)/10))))))),"")</f>
        <v>13.7930365742089</v>
      </c>
      <c r="R74">
        <f>IF(AND(ISNUMBER(Q74),逐级计算!$X$17&gt;-1),IF(逐级计算!$X$17=0,Q74+逐级计算!$C$17,Q74+逐级计算!$C$17-(10/(逐级计算!$Q$17*LN(10))*(MAX((LN(10^(逐级计算!$Q$17/10)-1)+逐级计算!$Q$17*(Q74-逐级计算!$P$17)*LN(10)/10),0)+LN(1+EXP(-ABS((LN(10^(逐级计算!$Q$17/10)-1)+逐级计算!$Q$17*(Q74-逐级计算!$P$17)*LN(10)/10))))))),"")</f>
        <v>13.7930365742089</v>
      </c>
      <c r="S74">
        <f>IF(AND(ISNUMBER(R74),逐级计算!$X$18&gt;-1),IF(逐级计算!$X$18=0,R74+逐级计算!$C$18,R74+逐级计算!$C$18-(10/(逐级计算!$Q$18*LN(10))*(MAX((LN(10^(逐级计算!$Q$18/10)-1)+逐级计算!$Q$18*(R74-逐级计算!$P$18)*LN(10)/10),0)+LN(1+EXP(-ABS((LN(10^(逐级计算!$Q$18/10)-1)+逐级计算!$Q$18*(R74-逐级计算!$P$18)*LN(10)/10))))))),"")</f>
        <v>13.7930365742089</v>
      </c>
      <c r="T74">
        <f>IF(AND(ISNUMBER(S74),逐级计算!$X$19&gt;-1),IF(逐级计算!$X$19=0,S74+逐级计算!$C$19,S74+逐级计算!$C$19-(10/(逐级计算!$Q$19*LN(10))*(MAX((LN(10^(逐级计算!$Q$19/10)-1)+逐级计算!$Q$19*(S74-逐级计算!$P$19)*LN(10)/10),0)+LN(1+EXP(-ABS((LN(10^(逐级计算!$Q$19/10)-1)+逐级计算!$Q$19*(S74-逐级计算!$P$19)*LN(10)/10))))))),"")</f>
        <v>13.7930365742089</v>
      </c>
      <c r="U74">
        <f>IF(AND(ISNUMBER(T74),逐级计算!$X$20&gt;-1),IF(逐级计算!$X$20=0,T74+逐级计算!$C$20,T74+逐级计算!$C$20-(10/(逐级计算!$Q$20*LN(10))*(MAX((LN(10^(逐级计算!$Q$20/10)-1)+逐级计算!$Q$20*(T74-逐级计算!$P$20)*LN(10)/10),0)+LN(1+EXP(-ABS((LN(10^(逐级计算!$Q$20/10)-1)+逐级计算!$Q$20*(T74-逐级计算!$P$20)*LN(10)/10))))))),"")</f>
        <v>13.7930365742089</v>
      </c>
      <c r="V74">
        <f>IF(AND(ISNUMBER(U74),逐级计算!$X$21&gt;-1),IF(逐级计算!$X$21=0,U74+逐级计算!$C$21,U74+逐级计算!$C$21-(10/(逐级计算!$Q$21*LN(10))*(MAX((LN(10^(逐级计算!$Q$21/10)-1)+逐级计算!$Q$21*(U74-逐级计算!$P$21)*LN(10)/10),0)+LN(1+EXP(-ABS((LN(10^(逐级计算!$Q$21/10)-1)+逐级计算!$Q$21*(U74-逐级计算!$P$21)*LN(10)/10))))))),"")</f>
        <v>13.7930365742089</v>
      </c>
      <c r="W74">
        <f>IF(AND(ISNUMBER(V74),逐级计算!$X$22&gt;-1),IF(逐级计算!$X$22=0,V74+逐级计算!$C$22,V74+逐级计算!$C$22-(10/(逐级计算!$Q$22*LN(10))*(MAX((LN(10^(逐级计算!$Q$22/10)-1)+逐级计算!$Q$22*(V74-逐级计算!$P$22)*LN(10)/10),0)+LN(1+EXP(-ABS((LN(10^(逐级计算!$Q$22/10)-1)+逐级计算!$Q$22*(V74-逐级计算!$P$22)*LN(10)/10))))))),"")</f>
        <v>13.7930365742089</v>
      </c>
      <c r="X74">
        <f>IF(AND(ISNUMBER(W74),逐级计算!$X$23&gt;-1),IF(逐级计算!$X$23=0,W74+逐级计算!$C$23,W74+逐级计算!$C$23-(10/(逐级计算!$Q$23*LN(10))*(MAX((LN(10^(逐级计算!$Q$23/10)-1)+逐级计算!$Q$23*(W74-逐级计算!$P$23)*LN(10)/10),0)+LN(1+EXP(-ABS((LN(10^(逐级计算!$Q$23/10)-1)+逐级计算!$Q$23*(W74-逐级计算!$P$23)*LN(10)/10))))))),"")</f>
        <v>13.7930365742089</v>
      </c>
      <c r="Y74">
        <f>IF(AND(ISNUMBER(X74),逐级计算!$X$24&gt;-1),IF(逐级计算!$X$24=0,X74+逐级计算!$C$24,X74+逐级计算!$C$24-(10/(逐级计算!$Q$24*LN(10))*(MAX((LN(10^(逐级计算!$Q$24/10)-1)+逐级计算!$Q$24*(X74-逐级计算!$P$24)*LN(10)/10),0)+LN(1+EXP(-ABS((LN(10^(逐级计算!$Q$24/10)-1)+逐级计算!$Q$24*(X74-逐级计算!$P$24)*LN(10)/10))))))),"")</f>
        <v>13.7930365742089</v>
      </c>
      <c r="Z74">
        <f>IF(AND(ISNUMBER(Y74),逐级计算!$X$25&gt;-1),IF(逐级计算!$X$25=0,Y74+逐级计算!$C$25,Y74+逐级计算!$C$25-(10/(逐级计算!$Q$25*LN(10))*(MAX((LN(10^(逐级计算!$Q$25/10)-1)+逐级计算!$Q$25*(Y74-逐级计算!$P$25)*LN(10)/10),0)+LN(1+EXP(-ABS((LN(10^(逐级计算!$Q$25/10)-1)+逐级计算!$Q$25*(Y74-逐级计算!$P$25)*LN(10)/10))))))),"")</f>
        <v>13.7930365742089</v>
      </c>
      <c r="AA74">
        <f>IF(AND(ISNUMBER(Z74),逐级计算!$X$26&gt;-1),IF(逐级计算!$X$26=0,Z74+逐级计算!$C$26,Z74+逐级计算!$C$26-(10/(逐级计算!$Q$26*LN(10))*(MAX((LN(10^(逐级计算!$Q$26/10)-1)+逐级计算!$Q$26*(Z74-逐级计算!$P$26)*LN(10)/10),0)+LN(1+EXP(-ABS((LN(10^(逐级计算!$Q$26/10)-1)+逐级计算!$Q$26*(Z74-逐级计算!$P$26)*LN(10)/10))))))),"")</f>
        <v>13.7930365742089</v>
      </c>
      <c r="AB74">
        <f>IF(AND(ISNUMBER(AA74),逐级计算!$X$27&gt;-1),IF(逐级计算!$X$27=0,AA74+逐级计算!$C$27,AA74+逐级计算!$C$27-(10/(逐级计算!$Q$27*LN(10))*(MAX((LN(10^(逐级计算!$Q$27/10)-1)+逐级计算!$Q$27*(AA74-逐级计算!$P$27)*LN(10)/10),0)+LN(1+EXP(-ABS((LN(10^(逐级计算!$Q$27/10)-1)+逐级计算!$Q$27*(AA74-逐级计算!$P$27)*LN(10)/10))))))),"")</f>
        <v>13.7930365742089</v>
      </c>
      <c r="AC74">
        <f>IF(AND(ISNUMBER(AB74),逐级计算!$X$28&gt;-1),IF(逐级计算!$X$28=0,AB74+逐级计算!$C$28,AB74+逐级计算!$C$28-(10/(逐级计算!$Q$28*LN(10))*(MAX((LN(10^(逐级计算!$Q$28/10)-1)+逐级计算!$Q$28*(AB74-逐级计算!$P$28)*LN(10)/10),0)+LN(1+EXP(-ABS((LN(10^(逐级计算!$Q$28/10)-1)+逐级计算!$Q$28*(AB74-逐级计算!$P$28)*LN(10)/10))))))),"")</f>
        <v>13.7930365742089</v>
      </c>
      <c r="AD74">
        <f>IF(AND(ISNUMBER(AC74),逐级计算!$X$29&gt;-1),IF(逐级计算!$X$29=0,AC74+逐级计算!$C$29,AC74+逐级计算!$C$29-(10/(逐级计算!$Q$29*LN(10))*(MAX((LN(10^(逐级计算!$Q$29/10)-1)+逐级计算!$Q$29*(AC74-逐级计算!$P$29)*LN(10)/10),0)+LN(1+EXP(-ABS((LN(10^(逐级计算!$Q$29/10)-1)+逐级计算!$Q$29*(AC74-逐级计算!$P$29)*LN(10)/10))))))),"")</f>
        <v>13.7930365742089</v>
      </c>
      <c r="AE74">
        <f>IF(AND(ISNUMBER(AD74),逐级计算!$X$30&gt;-1),IF(逐级计算!$X$30=0,AD74+逐级计算!$C$30,AD74+逐级计算!$C$30-(10/(逐级计算!$Q$30*LN(10))*(MAX((LN(10^(逐级计算!$Q$30/10)-1)+逐级计算!$Q$30*(AD74-逐级计算!$P$30)*LN(10)/10),0)+LN(1+EXP(-ABS((LN(10^(逐级计算!$Q$30/10)-1)+逐级计算!$Q$30*(AD74-逐级计算!$P$30)*LN(10)/10))))))),"")</f>
        <v>13.7930365742089</v>
      </c>
      <c r="AF74">
        <f>IF(AND(ISNUMBER(AE74),逐级计算!$X$31&gt;-1),IF(逐级计算!$X$31=0,AE74+逐级计算!$C$31,AE74+逐级计算!$C$31-(10/(逐级计算!$Q$31*LN(10))*(MAX((LN(10^(逐级计算!$Q$31/10)-1)+逐级计算!$Q$31*(AE74-逐级计算!$P$31)*LN(10)/10),0)+LN(1+EXP(-ABS((LN(10^(逐级计算!$Q$31/10)-1)+逐级计算!$Q$31*(AE74-逐级计算!$P$31)*LN(10)/10))))))),"")</f>
        <v>13.7930365742089</v>
      </c>
      <c r="AG74">
        <f>IF(AND(ISNUMBER(AF74),逐级计算!$X$32&gt;-1),IF(逐级计算!$X$32=0,AF74+逐级计算!$C$32,AF74+逐级计算!$C$32-(10/(逐级计算!$Q$32*LN(10))*(MAX((LN(10^(逐级计算!$Q$32/10)-1)+逐级计算!$Q$32*(AF74-逐级计算!$P$32)*LN(10)/10),0)+LN(1+EXP(-ABS((LN(10^(逐级计算!$Q$32/10)-1)+逐级计算!$Q$32*(AF74-逐级计算!$P$32)*LN(10)/10))))))),"")</f>
        <v>13.7930365742089</v>
      </c>
      <c r="AH74">
        <f>IF(AND(ISNUMBER(AG74),逐级计算!$X$33&gt;-1),IF(逐级计算!$X$33=0,AG74+逐级计算!$C$33,AG74+逐级计算!$C$33-(10/(逐级计算!$Q$33*LN(10))*(MAX((LN(10^(逐级计算!$Q$33/10)-1)+逐级计算!$Q$33*(AG74-逐级计算!$P$33)*LN(10)/10),0)+LN(1+EXP(-ABS((LN(10^(逐级计算!$Q$33/10)-1)+逐级计算!$Q$33*(AG74-逐级计算!$P$33)*LN(10)/10))))))),"")</f>
        <v>13.7930365742089</v>
      </c>
      <c r="AI74">
        <f>IF(AND(ISNUMBER(AH74),逐级计算!$X$34&gt;-1),IF(逐级计算!$X$34=0,AH74+逐级计算!$C$34,AH74+逐级计算!$C$34-(10/(逐级计算!$Q$34*LN(10))*(MAX((LN(10^(逐级计算!$Q$34/10)-1)+逐级计算!$Q$34*(AH74-逐级计算!$P$34)*LN(10)/10),0)+LN(1+EXP(-ABS((LN(10^(逐级计算!$Q$34/10)-1)+逐级计算!$Q$34*(AH74-逐级计算!$P$34)*LN(10)/10))))))),"")</f>
        <v>13.7930365742089</v>
      </c>
      <c r="AJ74">
        <f>IF(AND(ISNUMBER(AI74),逐级计算!$X$35&gt;-1),IF(逐级计算!$X$35=0,AI74+逐级计算!$C$35,AI74+逐级计算!$C$35-(10/(逐级计算!$Q$35*LN(10))*(MAX((LN(10^(逐级计算!$Q$35/10)-1)+逐级计算!$Q$35*(AI74-逐级计算!$P$35)*LN(10)/10),0)+LN(1+EXP(-ABS((LN(10^(逐级计算!$Q$35/10)-1)+逐级计算!$Q$35*(AI74-逐级计算!$P$35)*LN(10)/10))))))),"")</f>
        <v>13.7930365742089</v>
      </c>
      <c r="AK74">
        <f>IF(AND(ISNUMBER(AJ74),逐级计算!$X$36&gt;-1),IF(逐级计算!$X$36=0,AJ74+逐级计算!$C$36,AJ74+逐级计算!$C$36-(10/(逐级计算!$Q$36*LN(10))*(MAX((LN(10^(逐级计算!$Q$36/10)-1)+逐级计算!$Q$36*(AJ74-逐级计算!$P$36)*LN(10)/10),0)+LN(1+EXP(-ABS((LN(10^(逐级计算!$Q$36/10)-1)+逐级计算!$Q$36*(AJ74-逐级计算!$P$36)*LN(10)/10))))))),"")</f>
        <v>13.7930365742089</v>
      </c>
      <c r="AL74">
        <f>IF(AND(ISNUMBER(AK74),逐级计算!$X$37&gt;-1),IF(逐级计算!$X$37=0,AK74+逐级计算!$C$37,AK74+逐级计算!$C$37-(10/(逐级计算!$Q$37*LN(10))*(MAX((LN(10^(逐级计算!$Q$37/10)-1)+逐级计算!$Q$37*(AK74-逐级计算!$P$37)*LN(10)/10),0)+LN(1+EXP(-ABS((LN(10^(逐级计算!$Q$37/10)-1)+逐级计算!$Q$37*(AK74-逐级计算!$P$37)*LN(10)/10))))))),"")</f>
        <v>13.7930365742089</v>
      </c>
      <c r="AM74">
        <f>IF(AND(ISNUMBER(AL74),逐级计算!$X$38&gt;-1),IF(逐级计算!$X$38=0,AL74+逐级计算!$C$38,AL74+逐级计算!$C$38-(10/(逐级计算!$Q$38*LN(10))*(MAX((LN(10^(逐级计算!$Q$38/10)-1)+逐级计算!$Q$38*(AL74-逐级计算!$P$38)*LN(10)/10),0)+LN(1+EXP(-ABS((LN(10^(逐级计算!$Q$38/10)-1)+逐级计算!$Q$38*(AL74-逐级计算!$P$38)*LN(10)/10))))))),"")</f>
        <v>13.7930365742089</v>
      </c>
      <c r="AN74">
        <f>IF(AND(ISNUMBER(AM74),逐级计算!$X$39&gt;-1),IF(逐级计算!$X$39=0,AM74+逐级计算!$C$39,AM74+逐级计算!$C$39-(10/(逐级计算!$Q$39*LN(10))*(MAX((LN(10^(逐级计算!$Q$39/10)-1)+逐级计算!$Q$39*(AM74-逐级计算!$P$39)*LN(10)/10),0)+LN(1+EXP(-ABS((LN(10^(逐级计算!$Q$39/10)-1)+逐级计算!$Q$39*(AM74-逐级计算!$P$39)*LN(10)/10))))))),"")</f>
        <v>13.7930365742089</v>
      </c>
      <c r="AO74">
        <f>IF(AND(ISNUMBER(AN74),逐级计算!$X$40&gt;-1),IF(逐级计算!$X$40=0,AN74+逐级计算!$C$40,AN74+逐级计算!$C$40-(10/(逐级计算!$Q$40*LN(10))*(MAX((LN(10^(逐级计算!$Q$40/10)-1)+逐级计算!$Q$40*(AN74-逐级计算!$P$40)*LN(10)/10),0)+LN(1+EXP(-ABS((LN(10^(逐级计算!$Q$40/10)-1)+逐级计算!$Q$40*(AN74-逐级计算!$P$40)*LN(10)/10))))))),"")</f>
        <v>13.7930365742089</v>
      </c>
      <c r="AP74">
        <f>IF(AND(ISNUMBER(AO74),逐级计算!$X$41&gt;-1),IF(逐级计算!$X$41=0,AO74+逐级计算!$C$41,AO74+逐级计算!$C$41-(10/(逐级计算!$Q$41*LN(10))*(MAX((LN(10^(逐级计算!$Q$41/10)-1)+逐级计算!$Q$41*(AO74-逐级计算!$P$41)*LN(10)/10),0)+LN(1+EXP(-ABS((LN(10^(逐级计算!$Q$41/10)-1)+逐级计算!$Q$41*(AO74-逐级计算!$P$41)*LN(10)/10))))))),"")</f>
        <v>13.7930365742089</v>
      </c>
      <c r="AQ74">
        <f>IF(AND(ISNUMBER(AP74),逐级计算!$X$42&gt;-1),IF(逐级计算!$X$42=0,AP74+逐级计算!$C$42,AP74+逐级计算!$C$42-(10/(逐级计算!$Q$42*LN(10))*(MAX((LN(10^(逐级计算!$Q$42/10)-1)+逐级计算!$Q$42*(AP74-逐级计算!$P$42)*LN(10)/10),0)+LN(1+EXP(-ABS((LN(10^(逐级计算!$Q$42/10)-1)+逐级计算!$Q$42*(AP74-逐级计算!$P$42)*LN(10)/10))))))),"")</f>
        <v>13.7930365742089</v>
      </c>
      <c r="AR74">
        <f>IF(AND(ISNUMBER(AQ74),逐级计算!$X$43&gt;-1),IF(逐级计算!$X$43=0,AQ74+逐级计算!$C$43,AQ74+逐级计算!$C$43-(10/(逐级计算!$Q$43*LN(10))*(MAX((LN(10^(逐级计算!$Q$43/10)-1)+逐级计算!$Q$43*(AQ74-逐级计算!$P$43)*LN(10)/10),0)+LN(1+EXP(-ABS((LN(10^(逐级计算!$Q$43/10)-1)+逐级计算!$Q$43*(AQ74-逐级计算!$P$43)*LN(10)/10))))))),"")</f>
        <v>13.7930365742089</v>
      </c>
      <c r="AS74">
        <f>IF(AND(ISNUMBER(AR74),逐级计算!$X$44&gt;-1),IF(逐级计算!$X$44=0,AR74+逐级计算!$C$44,AR74+逐级计算!$C$44-(10/(逐级计算!$Q$44*LN(10))*(MAX((LN(10^(逐级计算!$Q$44/10)-1)+逐级计算!$Q$44*(AR74-逐级计算!$P$44)*LN(10)/10),0)+LN(1+EXP(-ABS((LN(10^(逐级计算!$Q$44/10)-1)+逐级计算!$Q$44*(AR74-逐级计算!$P$44)*LN(10)/10))))))),"")</f>
        <v>13.7930365742089</v>
      </c>
      <c r="AT74">
        <f>IF(AND(ISNUMBER(AS74),逐级计算!$X$45&gt;-1),IF(逐级计算!$X$45=0,AS74+逐级计算!$C$45,AS74+逐级计算!$C$45-(10/(逐级计算!$Q$45*LN(10))*(MAX((LN(10^(逐级计算!$Q$45/10)-1)+逐级计算!$Q$45*(AS74-逐级计算!$P$45)*LN(10)/10),0)+LN(1+EXP(-ABS((LN(10^(逐级计算!$Q$45/10)-1)+逐级计算!$Q$45*(AS74-逐级计算!$P$45)*LN(10)/10))))))),"")</f>
        <v>13.7930365742089</v>
      </c>
      <c r="AU74">
        <f>IF(AND(ISNUMBER(AT74),逐级计算!$X$46&gt;-1),IF(逐级计算!$X$46=0,AT74+逐级计算!$C$46,AT74+逐级计算!$C$46-(10/(逐级计算!$Q$46*LN(10))*(MAX((LN(10^(逐级计算!$Q$46/10)-1)+逐级计算!$Q$46*(AT74-逐级计算!$P$46)*LN(10)/10),0)+LN(1+EXP(-ABS((LN(10^(逐级计算!$Q$46/10)-1)+逐级计算!$Q$46*(AT74-逐级计算!$P$46)*LN(10)/10))))))),"")</f>
        <v>13.7930365742089</v>
      </c>
      <c r="AV74">
        <f>IF(AND(ISNUMBER(AU74),逐级计算!$X$47&gt;-1),IF(逐级计算!$X$47=0,AU74+逐级计算!$C$47,AU74+逐级计算!$C$47-(10/(逐级计算!$Q$47*LN(10))*(MAX((LN(10^(逐级计算!$Q$47/10)-1)+逐级计算!$Q$47*(AU74-逐级计算!$P$47)*LN(10)/10),0)+LN(1+EXP(-ABS((LN(10^(逐级计算!$Q$47/10)-1)+逐级计算!$Q$47*(AU74-逐级计算!$P$47)*LN(10)/10))))))),"")</f>
        <v>13.7930365742089</v>
      </c>
      <c r="AW74">
        <f>IF(AND(ISNUMBER(AV74),逐级计算!$X$48&gt;-1),IF(逐级计算!$X$48=0,AV74+逐级计算!$C$48,AV74+逐级计算!$C$48-(10/(逐级计算!$Q$48*LN(10))*(MAX((LN(10^(逐级计算!$Q$48/10)-1)+逐级计算!$Q$48*(AV74-逐级计算!$P$48)*LN(10)/10),0)+LN(1+EXP(-ABS((LN(10^(逐级计算!$Q$48/10)-1)+逐级计算!$Q$48*(AV74-逐级计算!$P$48)*LN(10)/10))))))),"")</f>
        <v>13.7930365742089</v>
      </c>
      <c r="AX74">
        <f>IF(AND(ISNUMBER(AW74),逐级计算!$X$49&gt;-1),IF(逐级计算!$X$49=0,AW74+逐级计算!$C$49,AW74+逐级计算!$C$49-(10/(逐级计算!$Q$49*LN(10))*(MAX((LN(10^(逐级计算!$Q$49/10)-1)+逐级计算!$Q$49*(AW74-逐级计算!$P$49)*LN(10)/10),0)+LN(1+EXP(-ABS((LN(10^(逐级计算!$Q$49/10)-1)+逐级计算!$Q$49*(AW74-逐级计算!$P$49)*LN(10)/10))))))),"")</f>
        <v>13.7930365742089</v>
      </c>
      <c r="AY74">
        <f>IF(AND(ISNUMBER(AX74),逐级计算!$X$50&gt;-1),IF(逐级计算!$X$50=0,AX74+逐级计算!$C$50,AX74+逐级计算!$C$50-(10/(逐级计算!$Q$50*LN(10))*(MAX((LN(10^(逐级计算!$Q$50/10)-1)+逐级计算!$Q$50*(AX74-逐级计算!$P$50)*LN(10)/10),0)+LN(1+EXP(-ABS((LN(10^(逐级计算!$Q$50/10)-1)+逐级计算!$Q$50*(AX74-逐级计算!$P$50)*LN(10)/10))))))),"")</f>
        <v>13.7930365742089</v>
      </c>
      <c r="AZ74">
        <f>IF(AND(ISNUMBER(AY74),逐级计算!$X$51&gt;-1),IF(逐级计算!$X$51=0,AY74+逐级计算!$C$51,AY74+逐级计算!$C$51-(10/(逐级计算!$Q$51*LN(10))*(MAX((LN(10^(逐级计算!$Q$51/10)-1)+逐级计算!$Q$51*(AY74-逐级计算!$P$51)*LN(10)/10),0)+LN(1+EXP(-ABS((LN(10^(逐级计算!$Q$51/10)-1)+逐级计算!$Q$51*(AY74-逐级计算!$P$51)*LN(10)/10))))))),"")</f>
        <v>13.7930365742089</v>
      </c>
      <c r="BA74">
        <f>IF(AND(ISNUMBER(AZ74),逐级计算!$X$52&gt;-1),IF(逐级计算!$X$52=0,AZ74+逐级计算!$C$52,AZ74+逐级计算!$C$52-(10/(逐级计算!$Q$52*LN(10))*(MAX((LN(10^(逐级计算!$Q$52/10)-1)+逐级计算!$Q$52*(AZ74-逐级计算!$P$52)*LN(10)/10),0)+LN(1+EXP(-ABS((LN(10^(逐级计算!$Q$52/10)-1)+逐级计算!$Q$52*(AZ74-逐级计算!$P$52)*LN(10)/10))))))),"")</f>
        <v>13.7930365742089</v>
      </c>
      <c r="BB74">
        <f>IF(AND(ISNUMBER(BA74),逐级计算!$X$53&gt;-1),IF(逐级计算!$X$53=0,BA74+逐级计算!$C$53,BA74+逐级计算!$C$53-(10/(逐级计算!$Q$53*LN(10))*(MAX((LN(10^(逐级计算!$Q$53/10)-1)+逐级计算!$Q$53*(BA74-逐级计算!$P$53)*LN(10)/10),0)+LN(1+EXP(-ABS((LN(10^(逐级计算!$Q$53/10)-1)+逐级计算!$Q$53*(BA74-逐级计算!$P$53)*LN(10)/10))))))),"")</f>
        <v>13.7930365742089</v>
      </c>
      <c r="BC74">
        <f>IF(AND(ISNUMBER(BB74),逐级计算!$X$54&gt;-1),IF(逐级计算!$X$54=0,BB74+逐级计算!$C$54,BB74+逐级计算!$C$54-(10/(逐级计算!$Q$54*LN(10))*(MAX((LN(10^(逐级计算!$Q$54/10)-1)+逐级计算!$Q$54*(BB74-逐级计算!$P$54)*LN(10)/10),0)+LN(1+EXP(-ABS((LN(10^(逐级计算!$Q$54/10)-1)+逐级计算!$Q$54*(BB74-逐级计算!$P$54)*LN(10)/10))))))),"")</f>
        <v>13.7930365742089</v>
      </c>
      <c r="BD74">
        <f>IF(AND(ISNUMBER(BC74),逐级计算!$X$55&gt;-1),IF(逐级计算!$X$55=0,BC74+逐级计算!$C$55,BC74+逐级计算!$C$55-(10/(逐级计算!$Q$55*LN(10))*(MAX((LN(10^(逐级计算!$Q$55/10)-1)+逐级计算!$Q$55*(BC74-逐级计算!$P$55)*LN(10)/10),0)+LN(1+EXP(-ABS((LN(10^(逐级计算!$Q$55/10)-1)+逐级计算!$Q$55*(BC74-逐级计算!$P$55)*LN(10)/10))))))),"")</f>
        <v>13.7930365742089</v>
      </c>
      <c r="BE74">
        <f>IF(AND(ISNUMBER(BD74),逐级计算!$X$56&gt;-1),IF(逐级计算!$X$56=0,BD74+逐级计算!$C$56,BD74+逐级计算!$C$56-(10/(逐级计算!$Q$56*LN(10))*(MAX((LN(10^(逐级计算!$Q$56/10)-1)+逐级计算!$Q$56*(BD74-逐级计算!$P$56)*LN(10)/10),0)+LN(1+EXP(-ABS((LN(10^(逐级计算!$Q$56/10)-1)+逐级计算!$Q$56*(BD74-逐级计算!$P$56)*LN(10)/10))))))),"")</f>
        <v>13.7930365742089</v>
      </c>
      <c r="BF74">
        <f>IF(AND(ISNUMBER(BE74),逐级计算!$X$57&gt;-1),IF(逐级计算!$X$57=0,BE74+逐级计算!$C$57,BE74+逐级计算!$C$57-(10/(逐级计算!$Q$57*LN(10))*(MAX((LN(10^(逐级计算!$Q$57/10)-1)+逐级计算!$Q$57*(BE74-逐级计算!$P$57)*LN(10)/10),0)+LN(1+EXP(-ABS((LN(10^(逐级计算!$Q$57/10)-1)+逐级计算!$Q$57*(BE74-逐级计算!$P$57)*LN(10)/10))))))),"")</f>
        <v>13.7930365742089</v>
      </c>
      <c r="BG74">
        <f>IF(AND(ISNUMBER(BF74),逐级计算!$X$58&gt;-1),IF(逐级计算!$X$58=0,BF74+逐级计算!$C$58,BF74+逐级计算!$C$58-(10/(逐级计算!$Q$58*LN(10))*(MAX((LN(10^(逐级计算!$Q$58/10)-1)+逐级计算!$Q$58*(BF74-逐级计算!$P$58)*LN(10)/10),0)+LN(1+EXP(-ABS((LN(10^(逐级计算!$Q$58/10)-1)+逐级计算!$Q$58*(BF74-逐级计算!$P$58)*LN(10)/10))))))),"")</f>
        <v>13.7930365742089</v>
      </c>
      <c r="BH74">
        <f>IF(AND(ISNUMBER(BG74),逐级计算!$X$59&gt;-1),IF(逐级计算!$X$59=0,BG74+逐级计算!$C$59,BG74+逐级计算!$C$59-(10/(逐级计算!$Q$59*LN(10))*(MAX((LN(10^(逐级计算!$Q$59/10)-1)+逐级计算!$Q$59*(BG74-逐级计算!$P$59)*LN(10)/10),0)+LN(1+EXP(-ABS((LN(10^(逐级计算!$Q$59/10)-1)+逐级计算!$Q$59*(BG74-逐级计算!$P$59)*LN(10)/10))))))),"")</f>
        <v>13.7930365742089</v>
      </c>
      <c r="BI74">
        <f>IF(AND(ISNUMBER(BH74),逐级计算!$X$60&gt;-1),IF(逐级计算!$X$60=0,BH74+逐级计算!$C$60,BH74+逐级计算!$C$60-(10/(逐级计算!$Q$60*LN(10))*(MAX((LN(10^(逐级计算!$Q$60/10)-1)+逐级计算!$Q$60*(BH74-逐级计算!$P$60)*LN(10)/10),0)+LN(1+EXP(-ABS((LN(10^(逐级计算!$Q$60/10)-1)+逐级计算!$Q$60*(BH74-逐级计算!$P$60)*LN(10)/10))))))),"")</f>
        <v>13.7930365742089</v>
      </c>
      <c r="BJ74">
        <f>IF(AND(ISNUMBER(BI74),逐级计算!$X$61&gt;-1),IF(逐级计算!$X$61=0,BI74+逐级计算!$C$61,BI74+逐级计算!$C$61-(10/(逐级计算!$Q$61*LN(10))*(MAX((LN(10^(逐级计算!$Q$61/10)-1)+逐级计算!$Q$61*(BI74-逐级计算!$P$61)*LN(10)/10),0)+LN(1+EXP(-ABS((LN(10^(逐级计算!$Q$61/10)-1)+逐级计算!$Q$61*(BI74-逐级计算!$P$61)*LN(10)/10))))))),"")</f>
        <v>13.7930365742089</v>
      </c>
      <c r="BK74">
        <f>IF(AND(ISNUMBER(BJ74),逐级计算!$X$62&gt;-1),IF(逐级计算!$X$62=0,BJ74+逐级计算!$C$62,BJ74+逐级计算!$C$62-(10/(逐级计算!$Q$62*LN(10))*(MAX((LN(10^(逐级计算!$Q$62/10)-1)+逐级计算!$Q$62*(BJ74-逐级计算!$P$62)*LN(10)/10),0)+LN(1+EXP(-ABS((LN(10^(逐级计算!$Q$62/10)-1)+逐级计算!$Q$62*(BJ74-逐级计算!$P$62)*LN(10)/10))))))),"")</f>
        <v>13.7930365742089</v>
      </c>
      <c r="BL74">
        <f>IF(AND(ISNUMBER(BK74),逐级计算!$X$63&gt;-1),IF(逐级计算!$X$63=0,BK74+逐级计算!$C$63,BK74+逐级计算!$C$63-(10/(逐级计算!$Q$63*LN(10))*(MAX((LN(10^(逐级计算!$Q$63/10)-1)+逐级计算!$Q$63*(BK74-逐级计算!$P$63)*LN(10)/10),0)+LN(1+EXP(-ABS((LN(10^(逐级计算!$Q$63/10)-1)+逐级计算!$Q$63*(BK74-逐级计算!$P$63)*LN(10)/10))))))),"")</f>
        <v>13.7930365742089</v>
      </c>
      <c r="BM74">
        <f>IF(AND(ISNUMBER(BL74),逐级计算!$X$64&gt;-1),IF(逐级计算!$X$64=0,BL74+逐级计算!$C$64,BL74+逐级计算!$C$64-(10/(逐级计算!$Q$64*LN(10))*(MAX((LN(10^(逐级计算!$Q$64/10)-1)+逐级计算!$Q$64*(BL74-逐级计算!$P$64)*LN(10)/10),0)+LN(1+EXP(-ABS((LN(10^(逐级计算!$Q$64/10)-1)+逐级计算!$Q$64*(BL74-逐级计算!$P$64)*LN(10)/10))))))),"")</f>
        <v>13.7930365742089</v>
      </c>
      <c r="BN74">
        <f>IF(AND(ISNUMBER(BM74),逐级计算!$X$65&gt;-1),IF(逐级计算!$X$65=0,BM74+逐级计算!$C$65,BM74+逐级计算!$C$65-(10/(逐级计算!$Q$65*LN(10))*(MAX((LN(10^(逐级计算!$Q$65/10)-1)+逐级计算!$Q$65*(BM74-逐级计算!$P$65)*LN(10)/10),0)+LN(1+EXP(-ABS((LN(10^(逐级计算!$Q$65/10)-1)+逐级计算!$Q$65*(BM74-逐级计算!$P$65)*LN(10)/10))))))),"")</f>
        <v>13.7930365742089</v>
      </c>
      <c r="BO74">
        <f>IF(AND(ISNUMBER(BN74),逐级计算!$X$66&gt;-1),IF(逐级计算!$X$66=0,BN74+逐级计算!$C$66,BN74+逐级计算!$C$66-(10/(逐级计算!$Q$66*LN(10))*(MAX((LN(10^(逐级计算!$Q$66/10)-1)+逐级计算!$Q$66*(BN74-逐级计算!$P$66)*LN(10)/10),0)+LN(1+EXP(-ABS((LN(10^(逐级计算!$Q$66/10)-1)+逐级计算!$Q$66*(BN74-逐级计算!$P$66)*LN(10)/10))))))),"")</f>
        <v>13.7930365742089</v>
      </c>
      <c r="BP74">
        <f>IF(AND(ISNUMBER(BO74),逐级计算!$X$67&gt;-1),IF(逐级计算!$X$67=0,BO74+逐级计算!$C$67,BO74+逐级计算!$C$67-(10/(逐级计算!$Q$67*LN(10))*(MAX((LN(10^(逐级计算!$Q$67/10)-1)+逐级计算!$Q$67*(BO74-逐级计算!$P$67)*LN(10)/10),0)+LN(1+EXP(-ABS((LN(10^(逐级计算!$Q$67/10)-1)+逐级计算!$Q$67*(BO74-逐级计算!$P$67)*LN(10)/10))))))),"")</f>
        <v>13.7930365742089</v>
      </c>
      <c r="BQ74">
        <f>IF(AND(ISNUMBER(BP74),逐级计算!$X$68&gt;-1),IF(逐级计算!$X$68=0,BP74+逐级计算!$C$68,BP74+逐级计算!$C$68-(10/(逐级计算!$Q$68*LN(10))*(MAX((LN(10^(逐级计算!$Q$68/10)-1)+逐级计算!$Q$68*(BP74-逐级计算!$P$68)*LN(10)/10),0)+LN(1+EXP(-ABS((LN(10^(逐级计算!$Q$68/10)-1)+逐级计算!$Q$68*(BP74-逐级计算!$P$68)*LN(10)/10))))))),"")</f>
        <v>13.7930365742089</v>
      </c>
      <c r="BR74">
        <f>IF(AND(ISNUMBER(BQ74),逐级计算!$X$69&gt;-1),IF(逐级计算!$X$69=0,BQ74+逐级计算!$C$69,BQ74+逐级计算!$C$69-(10/(逐级计算!$Q$69*LN(10))*(MAX((LN(10^(逐级计算!$Q$69/10)-1)+逐级计算!$Q$69*(BQ74-逐级计算!$P$69)*LN(10)/10),0)+LN(1+EXP(-ABS((LN(10^(逐级计算!$Q$69/10)-1)+逐级计算!$Q$69*(BQ74-逐级计算!$P$69)*LN(10)/10))))))),"")</f>
        <v>13.7930365742089</v>
      </c>
      <c r="BS74">
        <f>IF(AND(ISNUMBER(BR74),逐级计算!$X$70&gt;-1),IF(逐级计算!$X$70=0,BR74+逐级计算!$C$70,BR74+逐级计算!$C$70-(10/(逐级计算!$Q$70*LN(10))*(MAX((LN(10^(逐级计算!$Q$70/10)-1)+逐级计算!$Q$70*(BR74-逐级计算!$P$70)*LN(10)/10),0)+LN(1+EXP(-ABS((LN(10^(逐级计算!$Q$70/10)-1)+逐级计算!$Q$70*(BR74-逐级计算!$P$70)*LN(10)/10))))))),"")</f>
        <v>13.7930365742089</v>
      </c>
      <c r="BT74">
        <f>IF(AND(ISNUMBER(BS74),逐级计算!$X$71&gt;-1),IF(逐级计算!$X$71=0,BS74+逐级计算!$C$71,BS74+逐级计算!$C$71-(10/(逐级计算!$Q$71*LN(10))*(MAX((LN(10^(逐级计算!$Q$71/10)-1)+逐级计算!$Q$71*(BS74-逐级计算!$P$71)*LN(10)/10),0)+LN(1+EXP(-ABS((LN(10^(逐级计算!$Q$71/10)-1)+逐级计算!$Q$71*(BS74-逐级计算!$P$71)*LN(10)/10))))))),"")</f>
        <v>13.7930365742089</v>
      </c>
      <c r="BU74">
        <f>IF(AND(ISNUMBER(BT74),逐级计算!$X$72&gt;-1),IF(逐级计算!$X$72=0,BT74+逐级计算!$C$72,BT74+逐级计算!$C$72-(10/(逐级计算!$Q$72*LN(10))*(MAX((LN(10^(逐级计算!$Q$72/10)-1)+逐级计算!$Q$72*(BT74-逐级计算!$P$72)*LN(10)/10),0)+LN(1+EXP(-ABS((LN(10^(逐级计算!$Q$72/10)-1)+逐级计算!$Q$72*(BT74-逐级计算!$P$72)*LN(10)/10))))))),"")</f>
        <v>13.7930365742089</v>
      </c>
      <c r="BV74">
        <f>IF(AND(ISNUMBER(BU74),逐级计算!$X$73&gt;-1),IF(逐级计算!$X$73=0,BU74+逐级计算!$C$73,BU74+逐级计算!$C$73-(10/(逐级计算!$Q$73*LN(10))*(MAX((LN(10^(逐级计算!$Q$73/10)-1)+逐级计算!$Q$73*(BU74-逐级计算!$P$73)*LN(10)/10),0)+LN(1+EXP(-ABS((LN(10^(逐级计算!$Q$73/10)-1)+逐级计算!$Q$73*(BU74-逐级计算!$P$73)*LN(10)/10))))))),"")</f>
        <v>13.7930365742089</v>
      </c>
      <c r="BW74">
        <f>IF(AND(ISNUMBER(BV74),逐级计算!$X$74&gt;-1),IF(逐级计算!$X$74=0,BV74+逐级计算!$C$74,BV74+逐级计算!$C$74-(10/(逐级计算!$Q$74*LN(10))*(MAX((LN(10^(逐级计算!$Q$74/10)-1)+逐级计算!$Q$74*(BV74-逐级计算!$P$74)*LN(10)/10),0)+LN(1+EXP(-ABS((LN(10^(逐级计算!$Q$74/10)-1)+逐级计算!$Q$74*(BV74-逐级计算!$P$74)*LN(10)/10))))))),"")</f>
        <v>13.7930365742089</v>
      </c>
      <c r="BX74">
        <f>IF(AND(ISNUMBER(BW74),逐级计算!$X$75&gt;-1),IF(逐级计算!$X$75=0,BW74+逐级计算!$C$75,BW74+逐级计算!$C$75-(10/(逐级计算!$Q$75*LN(10))*(MAX((LN(10^(逐级计算!$Q$75/10)-1)+逐级计算!$Q$75*(BW74-逐级计算!$P$75)*LN(10)/10),0)+LN(1+EXP(-ABS((LN(10^(逐级计算!$Q$75/10)-1)+逐级计算!$Q$75*(BW74-逐级计算!$P$75)*LN(10)/10))))))),"")</f>
        <v>13.7930365742089</v>
      </c>
      <c r="BY74">
        <f>IF(AND(ISNUMBER(BX74),逐级计算!$X$76&gt;-1),IF(逐级计算!$X$76=0,BX74+逐级计算!$C$76,BX74+逐级计算!$C$76-(10/(逐级计算!$Q$76*LN(10))*(MAX((LN(10^(逐级计算!$Q$76/10)-1)+逐级计算!$Q$76*(BX74-逐级计算!$P$76)*LN(10)/10),0)+LN(1+EXP(-ABS((LN(10^(逐级计算!$Q$76/10)-1)+逐级计算!$Q$76*(BX74-逐级计算!$P$76)*LN(10)/10))))))),"")</f>
        <v>13.7930365742089</v>
      </c>
      <c r="BZ74">
        <f>IF(AND(ISNUMBER(BY74),逐级计算!$X$77&gt;-1),IF(逐级计算!$X$77=0,BY74+逐级计算!$C$77,BY74+逐级计算!$C$77-(10/(逐级计算!$Q$77*LN(10))*(MAX((LN(10^(逐级计算!$Q$77/10)-1)+逐级计算!$Q$77*(BY74-逐级计算!$P$77)*LN(10)/10),0)+LN(1+EXP(-ABS((LN(10^(逐级计算!$Q$77/10)-1)+逐级计算!$Q$77*(BY74-逐级计算!$P$77)*LN(10)/10))))))),"")</f>
        <v>13.7930365742089</v>
      </c>
      <c r="CA74">
        <f>IF(AND(ISNUMBER(BZ74),逐级计算!$X$78&gt;-1),IF(逐级计算!$X$78=0,BZ74+逐级计算!$C$78,BZ74+逐级计算!$C$78-(10/(逐级计算!$Q$78*LN(10))*(MAX((LN(10^(逐级计算!$Q$78/10)-1)+逐级计算!$Q$78*(BZ74-逐级计算!$P$78)*LN(10)/10),0)+LN(1+EXP(-ABS((LN(10^(逐级计算!$Q$78/10)-1)+逐级计算!$Q$78*(BZ74-逐级计算!$P$78)*LN(10)/10))))))),"")</f>
        <v>13.7930365742089</v>
      </c>
      <c r="CB74">
        <f>IF(AND(ISNUMBER(CA74),逐级计算!$X$79&gt;-1),IF(逐级计算!$X$79=0,CA74+逐级计算!$C$79,CA74+逐级计算!$C$79-(10/(逐级计算!$Q$79*LN(10))*(MAX((LN(10^(逐级计算!$Q$79/10)-1)+逐级计算!$Q$79*(CA74-逐级计算!$P$79)*LN(10)/10),0)+LN(1+EXP(-ABS((LN(10^(逐级计算!$Q$79/10)-1)+逐级计算!$Q$79*(CA74-逐级计算!$P$79)*LN(10)/10))))))),"")</f>
        <v>13.7930365742089</v>
      </c>
      <c r="CC74">
        <f>IF(AND(ISNUMBER(CB74),逐级计算!$X$80&gt;-1),IF(逐级计算!$X$80=0,CB74+逐级计算!$C$80,CB74+逐级计算!$C$80-(10/(逐级计算!$Q$80*LN(10))*(MAX((LN(10^(逐级计算!$Q$80/10)-1)+逐级计算!$Q$80*(CB74-逐级计算!$P$80)*LN(10)/10),0)+LN(1+EXP(-ABS((LN(10^(逐级计算!$Q$80/10)-1)+逐级计算!$Q$80*(CB74-逐级计算!$P$80)*LN(10)/10))))))),"")</f>
        <v>13.7930365742089</v>
      </c>
      <c r="CD74">
        <f>IF(AND(ISNUMBER(CC74),逐级计算!$X$81&gt;-1),IF(逐级计算!$X$81=0,CC74+逐级计算!$C$81,CC74+逐级计算!$C$81-(10/(逐级计算!$Q$81*LN(10))*(MAX((LN(10^(逐级计算!$Q$81/10)-1)+逐级计算!$Q$81*(CC74-逐级计算!$P$81)*LN(10)/10),0)+LN(1+EXP(-ABS((LN(10^(逐级计算!$Q$81/10)-1)+逐级计算!$Q$81*(CC74-逐级计算!$P$81)*LN(10)/10))))))),"")</f>
        <v>13.7930365742089</v>
      </c>
      <c r="CE74">
        <f>IF(AND(ISNUMBER(CD74),逐级计算!$X$82&gt;-1),IF(逐级计算!$X$82=0,CD74+逐级计算!$C$82,CD74+逐级计算!$C$82-(10/(逐级计算!$Q$82*LN(10))*(MAX((LN(10^(逐级计算!$Q$82/10)-1)+逐级计算!$Q$82*(CD74-逐级计算!$P$82)*LN(10)/10),0)+LN(1+EXP(-ABS((LN(10^(逐级计算!$Q$82/10)-1)+逐级计算!$Q$82*(CD74-逐级计算!$P$82)*LN(10)/10))))))),"")</f>
        <v>13.7930365742089</v>
      </c>
      <c r="CF74">
        <f>IF(AND(ISNUMBER(CE74),逐级计算!$X$83&gt;-1),IF(逐级计算!$X$83=0,CE74+逐级计算!$C$83,CE74+逐级计算!$C$83-(10/(逐级计算!$Q$83*LN(10))*(MAX((LN(10^(逐级计算!$Q$83/10)-1)+逐级计算!$Q$83*(CE74-逐级计算!$P$83)*LN(10)/10),0)+LN(1+EXP(-ABS((LN(10^(逐级计算!$Q$83/10)-1)+逐级计算!$Q$83*(CE74-逐级计算!$P$83)*LN(10)/10))))))),"")</f>
        <v>13.7930365742089</v>
      </c>
      <c r="CG74">
        <f>IF(AND(ISNUMBER(CF74),逐级计算!$X$84&gt;-1),IF(逐级计算!$X$84=0,CF74+逐级计算!$C$84,CF74+逐级计算!$C$84-(10/(逐级计算!$Q$84*LN(10))*(MAX((LN(10^(逐级计算!$Q$84/10)-1)+逐级计算!$Q$84*(CF74-逐级计算!$P$84)*LN(10)/10),0)+LN(1+EXP(-ABS((LN(10^(逐级计算!$Q$84/10)-1)+逐级计算!$Q$84*(CF74-逐级计算!$P$84)*LN(10)/10))))))),"")</f>
        <v>13.7930365742089</v>
      </c>
      <c r="CH74">
        <f>IF(AND(ISNUMBER(CG74),逐级计算!$X$85&gt;-1),IF(逐级计算!$X$85=0,CG74+逐级计算!$C$85,CG74+逐级计算!$C$85-(10/(逐级计算!$Q$85*LN(10))*(MAX((LN(10^(逐级计算!$Q$85/10)-1)+逐级计算!$Q$85*(CG74-逐级计算!$P$85)*LN(10)/10),0)+LN(1+EXP(-ABS((LN(10^(逐级计算!$Q$85/10)-1)+逐级计算!$Q$85*(CG74-逐级计算!$P$85)*LN(10)/10))))))),"")</f>
        <v>13.7930365742089</v>
      </c>
      <c r="CI74">
        <f>IF(AND(ISNUMBER(CH74),逐级计算!$X$86&gt;-1),IF(逐级计算!$X$86=0,CH74+逐级计算!$C$86,CH74+逐级计算!$C$86-(10/(逐级计算!$Q$86*LN(10))*(MAX((LN(10^(逐级计算!$Q$86/10)-1)+逐级计算!$Q$86*(CH74-逐级计算!$P$86)*LN(10)/10),0)+LN(1+EXP(-ABS((LN(10^(逐级计算!$Q$86/10)-1)+逐级计算!$Q$86*(CH74-逐级计算!$P$86)*LN(10)/10))))))),"")</f>
        <v>13.7930365742089</v>
      </c>
      <c r="CJ74">
        <f>IF(AND(ISNUMBER(CI74),逐级计算!$X$87&gt;-1),IF(逐级计算!$X$87=0,CI74+逐级计算!$C$87,CI74+逐级计算!$C$87-(10/(逐级计算!$Q$87*LN(10))*(MAX((LN(10^(逐级计算!$Q$87/10)-1)+逐级计算!$Q$87*(CI74-逐级计算!$P$87)*LN(10)/10),0)+LN(1+EXP(-ABS((LN(10^(逐级计算!$Q$87/10)-1)+逐级计算!$Q$87*(CI74-逐级计算!$P$87)*LN(10)/10))))))),"")</f>
        <v>13.7930365742089</v>
      </c>
      <c r="CK74">
        <f>IF(AND(ISNUMBER(CJ74),逐级计算!$X$88&gt;-1),IF(逐级计算!$X$88=0,CJ74+逐级计算!$C$88,CJ74+逐级计算!$C$88-(10/(逐级计算!$Q$88*LN(10))*(MAX((LN(10^(逐级计算!$Q$88/10)-1)+逐级计算!$Q$88*(CJ74-逐级计算!$P$88)*LN(10)/10),0)+LN(1+EXP(-ABS((LN(10^(逐级计算!$Q$88/10)-1)+逐级计算!$Q$88*(CJ74-逐级计算!$P$88)*LN(10)/10))))))),"")</f>
        <v>13.7930365742089</v>
      </c>
      <c r="CL74">
        <f>IF(AND(ISNUMBER(CK74),逐级计算!$X$89&gt;-1),IF(逐级计算!$X$89=0,CK74+逐级计算!$C$89,CK74+逐级计算!$C$89-(10/(逐级计算!$Q$89*LN(10))*(MAX((LN(10^(逐级计算!$Q$89/10)-1)+逐级计算!$Q$89*(CK74-逐级计算!$P$89)*LN(10)/10),0)+LN(1+EXP(-ABS((LN(10^(逐级计算!$Q$89/10)-1)+逐级计算!$Q$89*(CK74-逐级计算!$P$89)*LN(10)/10))))))),"")</f>
        <v>13.7930365742089</v>
      </c>
      <c r="CM74">
        <f>IF(AND(ISNUMBER(CL74),逐级计算!$X$90&gt;-1),IF(逐级计算!$X$90=0,CL74+逐级计算!$C$90,CL74+逐级计算!$C$90-(10/(逐级计算!$Q$90*LN(10))*(MAX((LN(10^(逐级计算!$Q$90/10)-1)+逐级计算!$Q$90*(CL74-逐级计算!$P$90)*LN(10)/10),0)+LN(1+EXP(-ABS((LN(10^(逐级计算!$Q$90/10)-1)+逐级计算!$Q$90*(CL74-逐级计算!$P$90)*LN(10)/10))))))),"")</f>
        <v>13.7930365742089</v>
      </c>
      <c r="CN74">
        <f>IF(AND(ISNUMBER(CM74),逐级计算!$X$91&gt;-1),IF(逐级计算!$X$91=0,CM74+逐级计算!$C$91,CM74+逐级计算!$C$91-(10/(逐级计算!$Q$91*LN(10))*(MAX((LN(10^(逐级计算!$Q$91/10)-1)+逐级计算!$Q$91*(CM74-逐级计算!$P$91)*LN(10)/10),0)+LN(1+EXP(-ABS((LN(10^(逐级计算!$Q$91/10)-1)+逐级计算!$Q$91*(CM74-逐级计算!$P$91)*LN(10)/10))))))),"")</f>
        <v>13.7930365742089</v>
      </c>
      <c r="CO74">
        <f>IF(AND(ISNUMBER(CN74),逐级计算!$X$92&gt;-1),IF(逐级计算!$X$92=0,CN74+逐级计算!$C$92,CN74+逐级计算!$C$92-(10/(逐级计算!$Q$92*LN(10))*(MAX((LN(10^(逐级计算!$Q$92/10)-1)+逐级计算!$Q$92*(CN74-逐级计算!$P$92)*LN(10)/10),0)+LN(1+EXP(-ABS((LN(10^(逐级计算!$Q$92/10)-1)+逐级计算!$Q$92*(CN74-逐级计算!$P$92)*LN(10)/10))))))),"")</f>
        <v>13.7930365742089</v>
      </c>
      <c r="CP74">
        <f>IF(AND(ISNUMBER(CO74),逐级计算!$X$93&gt;-1),IF(逐级计算!$X$93=0,CO74+逐级计算!$C$93,CO74+逐级计算!$C$93-(10/(逐级计算!$Q$93*LN(10))*(MAX((LN(10^(逐级计算!$Q$93/10)-1)+逐级计算!$Q$93*(CO74-逐级计算!$P$93)*LN(10)/10),0)+LN(1+EXP(-ABS((LN(10^(逐级计算!$Q$93/10)-1)+逐级计算!$Q$93*(CO74-逐级计算!$P$93)*LN(10)/10))))))),"")</f>
        <v>13.7930365742089</v>
      </c>
      <c r="CQ74">
        <f>IF(AND(ISNUMBER(CP74),逐级计算!$X$94&gt;-1),IF(逐级计算!$X$94=0,CP74+逐级计算!$C$94,CP74+逐级计算!$C$94-(10/(逐级计算!$Q$94*LN(10))*(MAX((LN(10^(逐级计算!$Q$94/10)-1)+逐级计算!$Q$94*(CP74-逐级计算!$P$94)*LN(10)/10),0)+LN(1+EXP(-ABS((LN(10^(逐级计算!$Q$94/10)-1)+逐级计算!$Q$94*(CP74-逐级计算!$P$94)*LN(10)/10))))))),"")</f>
        <v>13.7930365742089</v>
      </c>
      <c r="CR74">
        <f>IF(AND(ISNUMBER(CQ74),逐级计算!$X$95&gt;-1),IF(逐级计算!$X$95=0,CQ74+逐级计算!$C$95,CQ74+逐级计算!$C$95-(10/(逐级计算!$Q$95*LN(10))*(MAX((LN(10^(逐级计算!$Q$95/10)-1)+逐级计算!$Q$95*(CQ74-逐级计算!$P$95)*LN(10)/10),0)+LN(1+EXP(-ABS((LN(10^(逐级计算!$Q$95/10)-1)+逐级计算!$Q$95*(CQ74-逐级计算!$P$95)*LN(10)/10))))))),"")</f>
        <v>13.7930365742089</v>
      </c>
      <c r="CS74">
        <f>IF(AND(ISNUMBER(CR74),逐级计算!$X$96&gt;-1),IF(逐级计算!$X$96=0,CR74+逐级计算!$C$96,CR74+逐级计算!$C$96-(10/(逐级计算!$Q$96*LN(10))*(MAX((LN(10^(逐级计算!$Q$96/10)-1)+逐级计算!$Q$96*(CR74-逐级计算!$P$96)*LN(10)/10),0)+LN(1+EXP(-ABS((LN(10^(逐级计算!$Q$96/10)-1)+逐级计算!$Q$96*(CR74-逐级计算!$P$96)*LN(10)/10))))))),"")</f>
        <v>13.7930365742089</v>
      </c>
      <c r="CT74">
        <f>IF(AND(ISNUMBER(CS74),逐级计算!$X$97&gt;-1),IF(逐级计算!$X$97=0,CS74+逐级计算!$C$97,CS74+逐级计算!$C$97-(10/(逐级计算!$Q$97*LN(10))*(MAX((LN(10^(逐级计算!$Q$97/10)-1)+逐级计算!$Q$97*(CS74-逐级计算!$P$97)*LN(10)/10),0)+LN(1+EXP(-ABS((LN(10^(逐级计算!$Q$97/10)-1)+逐级计算!$Q$97*(CS74-逐级计算!$P$97)*LN(10)/10))))))),"")</f>
        <v>13.7930365742089</v>
      </c>
      <c r="CU74">
        <f>IF(AND(ISNUMBER(CT74),逐级计算!$X$98&gt;-1),IF(逐级计算!$X$98=0,CT74+逐级计算!$C$98,CT74+逐级计算!$C$98-(10/(逐级计算!$Q$98*LN(10))*(MAX((LN(10^(逐级计算!$Q$98/10)-1)+逐级计算!$Q$98*(CT74-逐级计算!$P$98)*LN(10)/10),0)+LN(1+EXP(-ABS((LN(10^(逐级计算!$Q$98/10)-1)+逐级计算!$Q$98*(CT74-逐级计算!$P$98)*LN(10)/10))))))),"")</f>
        <v>13.7930365742089</v>
      </c>
      <c r="CV74">
        <f>IF(AND(ISNUMBER(CU74),逐级计算!$X$99&gt;-1),IF(逐级计算!$X$99=0,CU74+逐级计算!$C$99,CU74+逐级计算!$C$99-(10/(逐级计算!$Q$99*LN(10))*(MAX((LN(10^(逐级计算!$Q$99/10)-1)+逐级计算!$Q$99*(CU74-逐级计算!$P$99)*LN(10)/10),0)+LN(1+EXP(-ABS((LN(10^(逐级计算!$Q$99/10)-1)+逐级计算!$Q$99*(CU74-逐级计算!$P$99)*LN(10)/10))))))),"")</f>
        <v>13.7930365742089</v>
      </c>
      <c r="CW74">
        <f>IF(AND(ISNUMBER(CV74),逐级计算!$X$100&gt;-1),IF(逐级计算!$X$100=0,CV74+逐级计算!$C$100,CV74+逐级计算!$C$100-(10/(逐级计算!$Q$100*LN(10))*(MAX((LN(10^(逐级计算!$Q$100/10)-1)+逐级计算!$Q$100*(CV74-逐级计算!$P$100)*LN(10)/10),0)+LN(1+EXP(-ABS((LN(10^(逐级计算!$Q$100/10)-1)+逐级计算!$Q$100*(CV74-逐级计算!$P$100)*LN(10)/10))))))),"")</f>
        <v>13.7930365742089</v>
      </c>
      <c r="CX74">
        <f>IF(AND(ISNUMBER(CW74),逐级计算!$X$101&gt;-1),IF(逐级计算!$X$101=0,CW74+逐级计算!$C$101,CW74+逐级计算!$C$101-(10/(逐级计算!$Q$101*LN(10))*(MAX((LN(10^(逐级计算!$Q$101/10)-1)+逐级计算!$Q$101*(CW74-逐级计算!$P$101)*LN(10)/10),0)+LN(1+EXP(-ABS((LN(10^(逐级计算!$Q$101/10)-1)+逐级计算!$Q$101*(CW74-逐级计算!$P$101)*LN(10)/10))))))),"")</f>
        <v>13.7930365742089</v>
      </c>
      <c r="CY74">
        <f>IF(AND(ISNUMBER(CX74),逐级计算!$X$102&gt;-1),IF(逐级计算!$X$102=0,CX74+逐级计算!$C$102,CX74+逐级计算!$C$102-(10/(逐级计算!$Q$102*LN(10))*(MAX((LN(10^(逐级计算!$Q$102/10)-1)+逐级计算!$Q$102*(CX74-逐级计算!$P$102)*LN(10)/10),0)+LN(1+EXP(-ABS((LN(10^(逐级计算!$Q$102/10)-1)+逐级计算!$Q$102*(CX74-逐级计算!$P$102)*LN(10)/10))))))),"")</f>
        <v>13.7930365742089</v>
      </c>
      <c r="CZ74">
        <f>IF(AND(ISNUMBER(CY74),逐级计算!$X$103&gt;-1),IF(逐级计算!$X$103=0,CY74+逐级计算!$C$103,CY74+逐级计算!$C$103-(10/(逐级计算!$Q$103*LN(10))*(MAX((LN(10^(逐级计算!$Q$103/10)-1)+逐级计算!$Q$103*(CY74-逐级计算!$P$103)*LN(10)/10),0)+LN(1+EXP(-ABS((LN(10^(逐级计算!$Q$103/10)-1)+逐级计算!$Q$103*(CY74-逐级计算!$P$103)*LN(10)/10))))))),"")</f>
        <v>13.7930365742089</v>
      </c>
      <c r="DA74">
        <f>IF(AND(ISNUMBER(CZ74),逐级计算!$X$104&gt;-1),IF(逐级计算!$X$104=0,CZ74+逐级计算!$C$104,CZ74+逐级计算!$C$104-(10/(逐级计算!$Q$104*LN(10))*(MAX((LN(10^(逐级计算!$Q$104/10)-1)+逐级计算!$Q$104*(CZ74-逐级计算!$P$104)*LN(10)/10),0)+LN(1+EXP(-ABS((LN(10^(逐级计算!$Q$104/10)-1)+逐级计算!$Q$104*(CZ74-逐级计算!$P$104)*LN(10)/10))))))),"")</f>
        <v>13.7930365742089</v>
      </c>
      <c r="DB74">
        <f>IF(AND(ISNUMBER(DA74),逐级计算!$X$105&gt;-1),IF(逐级计算!$X$105=0,DA74+逐级计算!$C$105,DA74+逐级计算!$C$105-(10/(逐级计算!$Q$105*LN(10))*(MAX((LN(10^(逐级计算!$Q$105/10)-1)+逐级计算!$Q$105*(DA74-逐级计算!$P$105)*LN(10)/10),0)+LN(1+EXP(-ABS((LN(10^(逐级计算!$Q$105/10)-1)+逐级计算!$Q$105*(DA74-逐级计算!$P$105)*LN(10)/10))))))),"")</f>
        <v>13.7930365742089</v>
      </c>
      <c r="DC74">
        <f>IF(AND(ISNUMBER(DB74),逐级计算!$X$106&gt;-1),IF(逐级计算!$X$106=0,DB74+逐级计算!$C$106,DB74+逐级计算!$C$106-(10/(逐级计算!$Q$106*LN(10))*(MAX((LN(10^(逐级计算!$Q$106/10)-1)+逐级计算!$Q$106*(DB74-逐级计算!$P$106)*LN(10)/10),0)+LN(1+EXP(-ABS((LN(10^(逐级计算!$Q$106/10)-1)+逐级计算!$Q$106*(DB74-逐级计算!$P$106)*LN(10)/10))))))),"")</f>
        <v>13.7930365742089</v>
      </c>
      <c r="DD74">
        <f>IF(AND(ISNUMBER(DC74),逐级计算!$X$107&gt;-1),IF(逐级计算!$X$107=0,DC74+逐级计算!$C$107,DC74+逐级计算!$C$107-(10/(逐级计算!$Q$107*LN(10))*(MAX((LN(10^(逐级计算!$Q$107/10)-1)+逐级计算!$Q$107*(DC74-逐级计算!$P$107)*LN(10)/10),0)+LN(1+EXP(-ABS((LN(10^(逐级计算!$Q$107/10)-1)+逐级计算!$Q$107*(DC74-逐级计算!$P$107)*LN(10)/10))))))),"")</f>
        <v>13.7930365742089</v>
      </c>
      <c r="DE74">
        <f>IF(AND(ISNUMBER(DD74),逐级计算!$X$108&gt;-1),IF(逐级计算!$X$108=0,DD74+逐级计算!$C$108,DD74+逐级计算!$C$108-(10/(逐级计算!$Q$108*LN(10))*(MAX((LN(10^(逐级计算!$Q$108/10)-1)+逐级计算!$Q$108*(DD74-逐级计算!$P$108)*LN(10)/10),0)+LN(1+EXP(-ABS((LN(10^(逐级计算!$Q$108/10)-1)+逐级计算!$Q$108*(DD74-逐级计算!$P$108)*LN(10)/10))))))),"")</f>
        <v>13.7930365742089</v>
      </c>
      <c r="DF74">
        <f>IF(AND(ISNUMBER(DE74),逐级计算!$X$109&gt;-1),IF(逐级计算!$X$109=0,DE74+逐级计算!$C$109,DE74+逐级计算!$C$109-(10/(逐级计算!$Q$109*LN(10))*(MAX((LN(10^(逐级计算!$Q$109/10)-1)+逐级计算!$Q$109*(DE74-逐级计算!$P$109)*LN(10)/10),0)+LN(1+EXP(-ABS((LN(10^(逐级计算!$Q$109/10)-1)+逐级计算!$Q$109*(DE74-逐级计算!$P$109)*LN(10)/10))))))),"")</f>
        <v>13.7930365742089</v>
      </c>
      <c r="DG74">
        <f>IF(AND(ISNUMBER(DF74),逐级计算!$X$110&gt;-1),IF(逐级计算!$X$110=0,DF74+逐级计算!$C$110,DF74+逐级计算!$C$110-(10/(逐级计算!$Q$110*LN(10))*(MAX((LN(10^(逐级计算!$Q$110/10)-1)+逐级计算!$Q$110*(DF74-逐级计算!$P$110)*LN(10)/10),0)+LN(1+EXP(-ABS((LN(10^(逐级计算!$Q$110/10)-1)+逐级计算!$Q$110*(DF74-逐级计算!$P$110)*LN(10)/10))))))),"")</f>
        <v>13.7930365742089</v>
      </c>
      <c r="DH74">
        <f>IF(AND(ISNUMBER(DG74),逐级计算!$X$111&gt;-1),IF(逐级计算!$X$111=0,DG74+逐级计算!$C$111,DG74+逐级计算!$C$111-(10/(逐级计算!$Q$111*LN(10))*(MAX((LN(10^(逐级计算!$Q$111/10)-1)+逐级计算!$Q$111*(DG74-逐级计算!$P$111)*LN(10)/10),0)+LN(1+EXP(-ABS((LN(10^(逐级计算!$Q$111/10)-1)+逐级计算!$Q$111*(DG74-逐级计算!$P$111)*LN(10)/10))))))),"")</f>
        <v>13.7930365742089</v>
      </c>
      <c r="DI74">
        <f>IF(AND(ISNUMBER(DH74),逐级计算!$X$112&gt;-1),IF(逐级计算!$X$112=0,DH74+逐级计算!$C$112,DH74+逐级计算!$C$112-(10/(逐级计算!$Q$112*LN(10))*(MAX((LN(10^(逐级计算!$Q$112/10)-1)+逐级计算!$Q$112*(DH74-逐级计算!$P$112)*LN(10)/10),0)+LN(1+EXP(-ABS((LN(10^(逐级计算!$Q$112/10)-1)+逐级计算!$Q$112*(DH74-逐级计算!$P$112)*LN(10)/10))))))),"")</f>
        <v>13.7930365742089</v>
      </c>
      <c r="DJ74">
        <f>IF(AND(ISNUMBER(DI74),逐级计算!$X$113&gt;-1),IF(逐级计算!$X$113=0,DI74+逐级计算!$C$113,DI74+逐级计算!$C$113-(10/(逐级计算!$Q$113*LN(10))*(MAX((LN(10^(逐级计算!$Q$113/10)-1)+逐级计算!$Q$113*(DI74-逐级计算!$P$113)*LN(10)/10),0)+LN(1+EXP(-ABS((LN(10^(逐级计算!$Q$113/10)-1)+逐级计算!$Q$113*(DI74-逐级计算!$P$113)*LN(10)/10))))))),"")</f>
        <v>13.7930365742089</v>
      </c>
      <c r="DK74">
        <f>IF(AND(ISNUMBER(DJ74),逐级计算!$X$114&gt;-1),IF(逐级计算!$X$114=0,DJ74+逐级计算!$C$114,DJ74+逐级计算!$C$114-(10/(逐级计算!$Q$114*LN(10))*(MAX((LN(10^(逐级计算!$Q$114/10)-1)+逐级计算!$Q$114*(DJ74-逐级计算!$P$114)*LN(10)/10),0)+LN(1+EXP(-ABS((LN(10^(逐级计算!$Q$114/10)-1)+逐级计算!$Q$114*(DJ74-逐级计算!$P$114)*LN(10)/10))))))),"")</f>
        <v>13.7930365742089</v>
      </c>
      <c r="DL74">
        <f>IF(AND(ISNUMBER(DK74),逐级计算!$X$115&gt;-1),IF(逐级计算!$X$115=0,DK74+逐级计算!$C$115,DK74+逐级计算!$C$115-(10/(逐级计算!$Q$115*LN(10))*(MAX((LN(10^(逐级计算!$Q$115/10)-1)+逐级计算!$Q$115*(DK74-逐级计算!$P$115)*LN(10)/10),0)+LN(1+EXP(-ABS((LN(10^(逐级计算!$Q$115/10)-1)+逐级计算!$Q$115*(DK74-逐级计算!$P$115)*LN(10)/10))))))),"")</f>
        <v>13.7930365742089</v>
      </c>
      <c r="DM74">
        <f>IF(AND(ISNUMBER(DL74),逐级计算!$X$116&gt;-1),IF(逐级计算!$X$116=0,DL74+逐级计算!$C$116,DL74+逐级计算!$C$116-(10/(逐级计算!$Q$116*LN(10))*(MAX((LN(10^(逐级计算!$Q$116/10)-1)+逐级计算!$Q$116*(DL74-逐级计算!$P$116)*LN(10)/10),0)+LN(1+EXP(-ABS((LN(10^(逐级计算!$Q$116/10)-1)+逐级计算!$Q$116*(DL74-逐级计算!$P$116)*LN(10)/10))))))),"")</f>
        <v>13.7930365742089</v>
      </c>
      <c r="DN74">
        <f>IF(AND(ISNUMBER(DM74),逐级计算!$X$117&gt;-1),IF(逐级计算!$X$117=0,DM74+逐级计算!$C$117,DM74+逐级计算!$C$117-(10/(逐级计算!$Q$117*LN(10))*(MAX((LN(10^(逐级计算!$Q$117/10)-1)+逐级计算!$Q$117*(DM74-逐级计算!$P$117)*LN(10)/10),0)+LN(1+EXP(-ABS((LN(10^(逐级计算!$Q$117/10)-1)+逐级计算!$Q$117*(DM74-逐级计算!$P$117)*LN(10)/10))))))),"")</f>
        <v>13.7930365742089</v>
      </c>
      <c r="DO74">
        <f>IF(AND(ISNUMBER(DN74),逐级计算!$X$118&gt;-1),IF(逐级计算!$X$118=0,DN74+逐级计算!$C$118,DN74+逐级计算!$C$118-(10/(逐级计算!$Q$118*LN(10))*(MAX((LN(10^(逐级计算!$Q$118/10)-1)+逐级计算!$Q$118*(DN74-逐级计算!$P$118)*LN(10)/10),0)+LN(1+EXP(-ABS((LN(10^(逐级计算!$Q$118/10)-1)+逐级计算!$Q$118*(DN74-逐级计算!$P$118)*LN(10)/10))))))),"")</f>
        <v>13.7930365742089</v>
      </c>
      <c r="DP74">
        <f>IF(AND(ISNUMBER(DO74),逐级计算!$X$119&gt;-1),IF(逐级计算!$X$119=0,DO74+逐级计算!$C$119,DO74+逐级计算!$C$119-(10/(逐级计算!$Q$119*LN(10))*(MAX((LN(10^(逐级计算!$Q$119/10)-1)+逐级计算!$Q$119*(DO74-逐级计算!$P$119)*LN(10)/10),0)+LN(1+EXP(-ABS((LN(10^(逐级计算!$Q$119/10)-1)+逐级计算!$Q$119*(DO74-逐级计算!$P$119)*LN(10)/10))))))),"")</f>
        <v>13.7930365742089</v>
      </c>
      <c r="DQ74">
        <f>IF(AND(ISNUMBER(DP74),逐级计算!$X$120&gt;-1),IF(逐级计算!$X$120=0,DP74+逐级计算!$C$120,DP74+逐级计算!$C$120-(10/(逐级计算!$Q$120*LN(10))*(MAX((LN(10^(逐级计算!$Q$120/10)-1)+逐级计算!$Q$120*(DP74-逐级计算!$P$120)*LN(10)/10),0)+LN(1+EXP(-ABS((LN(10^(逐级计算!$Q$120/10)-1)+逐级计算!$Q$120*(DP74-逐级计算!$P$120)*LN(10)/10))))))),"")</f>
        <v>13.7930365742089</v>
      </c>
      <c r="DR74">
        <f>IF(AND(ISNUMBER(DQ74),逐级计算!$X$121&gt;-1),IF(逐级计算!$X$121=0,DQ74+逐级计算!$C$121,DQ74+逐级计算!$C$121-(10/(逐级计算!$Q$121*LN(10))*(MAX((LN(10^(逐级计算!$Q$121/10)-1)+逐级计算!$Q$121*(DQ74-逐级计算!$P$121)*LN(10)/10),0)+LN(1+EXP(-ABS((LN(10^(逐级计算!$Q$121/10)-1)+逐级计算!$Q$121*(DQ74-逐级计算!$P$121)*LN(10)/10))))))),"")</f>
        <v>13.7930365742089</v>
      </c>
      <c r="DS74">
        <f>IF(AND(ISNUMBER(DR74),逐级计算!$X$122&gt;-1),IF(逐级计算!$X$122=0,DR74+逐级计算!$C$122,DR74+逐级计算!$C$122-(10/(逐级计算!$Q$122*LN(10))*(MAX((LN(10^(逐级计算!$Q$122/10)-1)+逐级计算!$Q$122*(DR74-逐级计算!$P$122)*LN(10)/10),0)+LN(1+EXP(-ABS((LN(10^(逐级计算!$Q$122/10)-1)+逐级计算!$Q$122*(DR74-逐级计算!$P$122)*LN(10)/10))))))),"")</f>
        <v>13.7930365742089</v>
      </c>
      <c r="DT74">
        <f>IF(AND(ISNUMBER(DS74),逐级计算!$X$123&gt;-1),IF(逐级计算!$X$123=0,DS74+逐级计算!$C$123,DS74+逐级计算!$C$123-(10/(逐级计算!$Q$123*LN(10))*(MAX((LN(10^(逐级计算!$Q$123/10)-1)+逐级计算!$Q$123*(DS74-逐级计算!$P$123)*LN(10)/10),0)+LN(1+EXP(-ABS((LN(10^(逐级计算!$Q$123/10)-1)+逐级计算!$Q$123*(DS74-逐级计算!$P$123)*LN(10)/10))))))),"")</f>
        <v>13.7930365742089</v>
      </c>
      <c r="DU74">
        <f>IF(AND(ISNUMBER(DT74),逐级计算!$X$124&gt;-1),IF(逐级计算!$X$124=0,DT74+逐级计算!$C$124,DT74+逐级计算!$C$124-(10/(逐级计算!$Q$124*LN(10))*(MAX((LN(10^(逐级计算!$Q$124/10)-1)+逐级计算!$Q$124*(DT74-逐级计算!$P$124)*LN(10)/10),0)+LN(1+EXP(-ABS((LN(10^(逐级计算!$Q$124/10)-1)+逐级计算!$Q$124*(DT74-逐级计算!$P$124)*LN(10)/10))))))),"")</f>
        <v>13.7930365742089</v>
      </c>
      <c r="DV74">
        <f>IF(AND(ISNUMBER(DU74),逐级计算!$X$125&gt;-1),IF(逐级计算!$X$125=0,DU74+逐级计算!$C$125,DU74+逐级计算!$C$125-(10/(逐级计算!$Q$125*LN(10))*(MAX((LN(10^(逐级计算!$Q$125/10)-1)+逐级计算!$Q$125*(DU74-逐级计算!$P$125)*LN(10)/10),0)+LN(1+EXP(-ABS((LN(10^(逐级计算!$Q$125/10)-1)+逐级计算!$Q$125*(DU74-逐级计算!$P$125)*LN(10)/10))))))),"")</f>
        <v>13.7930365742089</v>
      </c>
      <c r="DW74">
        <f>IF(AND(ISNUMBER(DV74),逐级计算!$X$126&gt;-1),IF(逐级计算!$X$126=0,DV74+逐级计算!$C$126,DV74+逐级计算!$C$126-(10/(逐级计算!$Q$126*LN(10))*(MAX((LN(10^(逐级计算!$Q$126/10)-1)+逐级计算!$Q$126*(DV74-逐级计算!$P$126)*LN(10)/10),0)+LN(1+EXP(-ABS((LN(10^(逐级计算!$Q$126/10)-1)+逐级计算!$Q$126*(DV74-逐级计算!$P$126)*LN(10)/10))))))),"")</f>
        <v>13.7930365742089</v>
      </c>
      <c r="DX74">
        <f>IF(AND(ISNUMBER(DW74),逐级计算!$X$127&gt;-1),IF(逐级计算!$X$127=0,DW74+逐级计算!$C$127,DW74+逐级计算!$C$127-(10/(逐级计算!$Q$127*LN(10))*(MAX((LN(10^(逐级计算!$Q$127/10)-1)+逐级计算!$Q$127*(DW74-逐级计算!$P$127)*LN(10)/10),0)+LN(1+EXP(-ABS((LN(10^(逐级计算!$Q$127/10)-1)+逐级计算!$Q$127*(DW74-逐级计算!$P$127)*LN(10)/10))))))),"")</f>
        <v>13.7930365742089</v>
      </c>
      <c r="DY74">
        <f>IF(AND(ISNUMBER(DX74),逐级计算!$X$128&gt;-1),IF(逐级计算!$X$128=0,DX74+逐级计算!$C$128,DX74+逐级计算!$C$128-(10/(逐级计算!$Q$128*LN(10))*(MAX((LN(10^(逐级计算!$Q$128/10)-1)+逐级计算!$Q$128*(DX74-逐级计算!$P$128)*LN(10)/10),0)+LN(1+EXP(-ABS((LN(10^(逐级计算!$Q$128/10)-1)+逐级计算!$Q$128*(DX74-逐级计算!$P$128)*LN(10)/10))))))),"")</f>
        <v>13.7930365742089</v>
      </c>
      <c r="DZ74">
        <f>IF(AND(ISNUMBER(DY74),逐级计算!$X$129&gt;-1),IF(逐级计算!$X$129=0,DY74+逐级计算!$C$129,DY74+逐级计算!$C$129-(10/(逐级计算!$Q$129*LN(10))*(MAX((LN(10^(逐级计算!$Q$129/10)-1)+逐级计算!$Q$129*(DY74-逐级计算!$P$129)*LN(10)/10),0)+LN(1+EXP(-ABS((LN(10^(逐级计算!$Q$129/10)-1)+逐级计算!$Q$129*(DY74-逐级计算!$P$129)*LN(10)/10))))))),"")</f>
        <v>13.7930365742089</v>
      </c>
      <c r="EA74">
        <f>IF(AND(ISNUMBER(DZ74),逐级计算!$X$130&gt;-1),IF(逐级计算!$X$130=0,DZ74+逐级计算!$C$130,DZ74+逐级计算!$C$130-(10/(逐级计算!$Q$130*LN(10))*(MAX((LN(10^(逐级计算!$Q$130/10)-1)+逐级计算!$Q$130*(DZ74-逐级计算!$P$130)*LN(10)/10),0)+LN(1+EXP(-ABS((LN(10^(逐级计算!$Q$130/10)-1)+逐级计算!$Q$130*(DZ74-逐级计算!$P$130)*LN(10)/10))))))),"")</f>
        <v>13.7930365742089</v>
      </c>
      <c r="EB74">
        <f>IF(AND(ISNUMBER(EA74),逐级计算!$X$131&gt;-1),IF(逐级计算!$X$131=0,EA74+逐级计算!$C$131,EA74+逐级计算!$C$131-(10/(逐级计算!$Q$131*LN(10))*(MAX((LN(10^(逐级计算!$Q$131/10)-1)+逐级计算!$Q$131*(EA74-逐级计算!$P$131)*LN(10)/10),0)+LN(1+EXP(-ABS((LN(10^(逐级计算!$Q$131/10)-1)+逐级计算!$Q$131*(EA74-逐级计算!$P$131)*LN(10)/10))))))),"")</f>
        <v>13.7930365742089</v>
      </c>
      <c r="EC74">
        <f>IF(AND(ISNUMBER(EB74),逐级计算!$X$132&gt;-1),IF(逐级计算!$X$132=0,EB74+逐级计算!$C$132,EB74+逐级计算!$C$132-(10/(逐级计算!$Q$132*LN(10))*(MAX((LN(10^(逐级计算!$Q$132/10)-1)+逐级计算!$Q$132*(EB74-逐级计算!$P$132)*LN(10)/10),0)+LN(1+EXP(-ABS((LN(10^(逐级计算!$Q$132/10)-1)+逐级计算!$Q$132*(EB74-逐级计算!$P$132)*LN(10)/10))))))),"")</f>
        <v>13.7930365742089</v>
      </c>
      <c r="ED74">
        <f>IF(AND(ISNUMBER(EC74),逐级计算!$X$133&gt;-1),IF(逐级计算!$X$133=0,EC74+逐级计算!$C$133,EC74+逐级计算!$C$133-(10/(逐级计算!$Q$133*LN(10))*(MAX((LN(10^(逐级计算!$Q$133/10)-1)+逐级计算!$Q$133*(EC74-逐级计算!$P$133)*LN(10)/10),0)+LN(1+EXP(-ABS((LN(10^(逐级计算!$Q$133/10)-1)+逐级计算!$Q$133*(EC74-逐级计算!$P$133)*LN(10)/10))))))),"")</f>
        <v>13.7930365742089</v>
      </c>
      <c r="EE74">
        <f>IF(AND(ISNUMBER(ED74),逐级计算!$X$134&gt;-1),IF(逐级计算!$X$134=0,ED74+逐级计算!$C$134,ED74+逐级计算!$C$134-(10/(逐级计算!$Q$134*LN(10))*(MAX((LN(10^(逐级计算!$Q$134/10)-1)+逐级计算!$Q$134*(ED74-逐级计算!$P$134)*LN(10)/10),0)+LN(1+EXP(-ABS((LN(10^(逐级计算!$Q$134/10)-1)+逐级计算!$Q$134*(ED74-逐级计算!$P$134)*LN(10)/10))))))),"")</f>
        <v>13.7930365742089</v>
      </c>
      <c r="EF74">
        <f>IF(AND(ISNUMBER(EE74),逐级计算!$X$135&gt;-1),IF(逐级计算!$X$135=0,EE74+逐级计算!$C$135,EE74+逐级计算!$C$135-(10/(逐级计算!$Q$135*LN(10))*(MAX((LN(10^(逐级计算!$Q$135/10)-1)+逐级计算!$Q$135*(EE74-逐级计算!$P$135)*LN(10)/10),0)+LN(1+EXP(-ABS((LN(10^(逐级计算!$Q$135/10)-1)+逐级计算!$Q$135*(EE74-逐级计算!$P$135)*LN(10)/10))))))),"")</f>
        <v>13.7930365742089</v>
      </c>
      <c r="EG74">
        <f>IF(AND(ISNUMBER(EF74),逐级计算!$X$136&gt;-1),IF(逐级计算!$X$136=0,EF74+逐级计算!$C$136,EF74+逐级计算!$C$136-(10/(逐级计算!$Q$136*LN(10))*(MAX((LN(10^(逐级计算!$Q$136/10)-1)+逐级计算!$Q$136*(EF74-逐级计算!$P$136)*LN(10)/10),0)+LN(1+EXP(-ABS((LN(10^(逐级计算!$Q$136/10)-1)+逐级计算!$Q$136*(EF74-逐级计算!$P$136)*LN(10)/10))))))),"")</f>
        <v>13.7930365742089</v>
      </c>
      <c r="EH74">
        <f>IF(AND(ISNUMBER(EG74),逐级计算!$X$137&gt;-1),IF(逐级计算!$X$137=0,EG74+逐级计算!$C$137,EG74+逐级计算!$C$137-(10/(逐级计算!$Q$137*LN(10))*(MAX((LN(10^(逐级计算!$Q$137/10)-1)+逐级计算!$Q$137*(EG74-逐级计算!$P$137)*LN(10)/10),0)+LN(1+EXP(-ABS((LN(10^(逐级计算!$Q$137/10)-1)+逐级计算!$Q$137*(EG74-逐级计算!$P$137)*LN(10)/10))))))),"")</f>
        <v>13.7930365742089</v>
      </c>
      <c r="EI74">
        <f>IF(AND(ISNUMBER(EH74),逐级计算!$X$138&gt;-1),IF(逐级计算!$X$138=0,EH74+逐级计算!$C$138,EH74+逐级计算!$C$138-(10/(逐级计算!$Q$138*LN(10))*(MAX((LN(10^(逐级计算!$Q$138/10)-1)+逐级计算!$Q$138*(EH74-逐级计算!$P$138)*LN(10)/10),0)+LN(1+EXP(-ABS((LN(10^(逐级计算!$Q$138/10)-1)+逐级计算!$Q$138*(EH74-逐级计算!$P$138)*LN(10)/10))))))),"")</f>
        <v>13.7930365742089</v>
      </c>
      <c r="EJ74">
        <f>IF(AND(ISNUMBER(EI74),逐级计算!$X$139&gt;-1),IF(逐级计算!$X$139=0,EI74+逐级计算!$C$139,EI74+逐级计算!$C$139-(10/(逐级计算!$Q$139*LN(10))*(MAX((LN(10^(逐级计算!$Q$139/10)-1)+逐级计算!$Q$139*(EI74-逐级计算!$P$139)*LN(10)/10),0)+LN(1+EXP(-ABS((LN(10^(逐级计算!$Q$139/10)-1)+逐级计算!$Q$139*(EI74-逐级计算!$P$139)*LN(10)/10))))))),"")</f>
        <v>13.7930365742089</v>
      </c>
      <c r="EK74">
        <f>IF(AND(ISNUMBER(EJ74),逐级计算!$X$140&gt;-1),IF(逐级计算!$X$140=0,EJ74+逐级计算!$C$140,EJ74+逐级计算!$C$140-(10/(逐级计算!$Q$140*LN(10))*(MAX((LN(10^(逐级计算!$Q$140/10)-1)+逐级计算!$Q$140*(EJ74-逐级计算!$P$140)*LN(10)/10),0)+LN(1+EXP(-ABS((LN(10^(逐级计算!$Q$140/10)-1)+逐级计算!$Q$140*(EJ74-逐级计算!$P$140)*LN(10)/10))))))),"")</f>
        <v>13.7930365742089</v>
      </c>
      <c r="EL74">
        <f>IF(AND(ISNUMBER(EK74),逐级计算!$X$141&gt;-1),IF(逐级计算!$X$141=0,EK74+逐级计算!$C$141,EK74+逐级计算!$C$141-(10/(逐级计算!$Q$141*LN(10))*(MAX((LN(10^(逐级计算!$Q$141/10)-1)+逐级计算!$Q$141*(EK74-逐级计算!$P$141)*LN(10)/10),0)+LN(1+EXP(-ABS((LN(10^(逐级计算!$Q$141/10)-1)+逐级计算!$Q$141*(EK74-逐级计算!$P$141)*LN(10)/10))))))),"")</f>
        <v>13.7930365742089</v>
      </c>
      <c r="EM74">
        <f>IF(AND(ISNUMBER(EL74),逐级计算!$X$142&gt;-1),IF(逐级计算!$X$142=0,EL74+逐级计算!$C$142,EL74+逐级计算!$C$142-(10/(逐级计算!$Q$142*LN(10))*(MAX((LN(10^(逐级计算!$Q$142/10)-1)+逐级计算!$Q$142*(EL74-逐级计算!$P$142)*LN(10)/10),0)+LN(1+EXP(-ABS((LN(10^(逐级计算!$Q$142/10)-1)+逐级计算!$Q$142*(EL74-逐级计算!$P$142)*LN(10)/10))))))),"")</f>
        <v>13.7930365742089</v>
      </c>
      <c r="EN74">
        <f>IF(AND(ISNUMBER(EM74),逐级计算!$X$143&gt;-1),IF(逐级计算!$X$143=0,EM74+逐级计算!$C$143,EM74+逐级计算!$C$143-(10/(逐级计算!$Q$143*LN(10))*(MAX((LN(10^(逐级计算!$Q$143/10)-1)+逐级计算!$Q$143*(EM74-逐级计算!$P$143)*LN(10)/10),0)+LN(1+EXP(-ABS((LN(10^(逐级计算!$Q$143/10)-1)+逐级计算!$Q$143*(EM74-逐级计算!$P$143)*LN(10)/10))))))),"")</f>
        <v>13.7930365742089</v>
      </c>
      <c r="EO74">
        <f>IF(AND(ISNUMBER(EN74),逐级计算!$X$144&gt;-1),IF(逐级计算!$X$144=0,EN74+逐级计算!$C$144,EN74+逐级计算!$C$144-(10/(逐级计算!$Q$144*LN(10))*(MAX((LN(10^(逐级计算!$Q$144/10)-1)+逐级计算!$Q$144*(EN74-逐级计算!$P$144)*LN(10)/10),0)+LN(1+EXP(-ABS((LN(10^(逐级计算!$Q$144/10)-1)+逐级计算!$Q$144*(EN74-逐级计算!$P$144)*LN(10)/10))))))),"")</f>
        <v>13.7930365742089</v>
      </c>
      <c r="EP74">
        <f>IF(AND(ISNUMBER(EO74),逐级计算!$X$145&gt;-1),IF(逐级计算!$X$145=0,EO74+逐级计算!$C$145,EO74+逐级计算!$C$145-(10/(逐级计算!$Q$145*LN(10))*(MAX((LN(10^(逐级计算!$Q$145/10)-1)+逐级计算!$Q$145*(EO74-逐级计算!$P$145)*LN(10)/10),0)+LN(1+EXP(-ABS((LN(10^(逐级计算!$Q$145/10)-1)+逐级计算!$Q$145*(EO74-逐级计算!$P$145)*LN(10)/10))))))),"")</f>
        <v>13.7930365742089</v>
      </c>
      <c r="EQ74">
        <f>IF(AND(ISNUMBER(EP74),逐级计算!$X$146&gt;-1),IF(逐级计算!$X$146=0,EP74+逐级计算!$C$146,EP74+逐级计算!$C$146-(10/(逐级计算!$Q$146*LN(10))*(MAX((LN(10^(逐级计算!$Q$146/10)-1)+逐级计算!$Q$146*(EP74-逐级计算!$P$146)*LN(10)/10),0)+LN(1+EXP(-ABS((LN(10^(逐级计算!$Q$146/10)-1)+逐级计算!$Q$146*(EP74-逐级计算!$P$146)*LN(10)/10))))))),"")</f>
        <v>13.7930365742089</v>
      </c>
      <c r="ER74">
        <f>IF(AND(ISNUMBER(EQ74),逐级计算!$X$147&gt;-1),IF(逐级计算!$X$147=0,EQ74+逐级计算!$C$147,EQ74+逐级计算!$C$147-(10/(逐级计算!$Q$147*LN(10))*(MAX((LN(10^(逐级计算!$Q$147/10)-1)+逐级计算!$Q$147*(EQ74-逐级计算!$P$147)*LN(10)/10),0)+LN(1+EXP(-ABS((LN(10^(逐级计算!$Q$147/10)-1)+逐级计算!$Q$147*(EQ74-逐级计算!$P$147)*LN(10)/10))))))),"")</f>
        <v>13.7930365742089</v>
      </c>
      <c r="ES74">
        <f>IF(AND(ISNUMBER(ER74),逐级计算!$X$148&gt;-1),IF(逐级计算!$X$148=0,ER74+逐级计算!$C$148,ER74+逐级计算!$C$148-(10/(逐级计算!$Q$148*LN(10))*(MAX((LN(10^(逐级计算!$Q$148/10)-1)+逐级计算!$Q$148*(ER74-逐级计算!$P$148)*LN(10)/10),0)+LN(1+EXP(-ABS((LN(10^(逐级计算!$Q$148/10)-1)+逐级计算!$Q$148*(ER74-逐级计算!$P$148)*LN(10)/10))))))),"")</f>
        <v>13.7930365742089</v>
      </c>
      <c r="ET74">
        <f>IF(AND(ISNUMBER(ES74),逐级计算!$X$149&gt;-1),IF(逐级计算!$X$149=0,ES74+逐级计算!$C$149,ES74+逐级计算!$C$149-(10/(逐级计算!$Q$149*LN(10))*(MAX((LN(10^(逐级计算!$Q$149/10)-1)+逐级计算!$Q$149*(ES74-逐级计算!$P$149)*LN(10)/10),0)+LN(1+EXP(-ABS((LN(10^(逐级计算!$Q$149/10)-1)+逐级计算!$Q$149*(ES74-逐级计算!$P$149)*LN(10)/10))))))),"")</f>
        <v>13.7930365742089</v>
      </c>
      <c r="EU74">
        <f>IF(AND(ISNUMBER(ET74),逐级计算!$X$150&gt;-1),IF(逐级计算!$X$150=0,ET74+逐级计算!$C$150,ET74+逐级计算!$C$150-(10/(逐级计算!$Q$150*LN(10))*(MAX((LN(10^(逐级计算!$Q$150/10)-1)+逐级计算!$Q$150*(ET74-逐级计算!$P$150)*LN(10)/10),0)+LN(1+EXP(-ABS((LN(10^(逐级计算!$Q$150/10)-1)+逐级计算!$Q$150*(ET74-逐级计算!$P$150)*LN(10)/10))))))),"")</f>
        <v>13.7930365742089</v>
      </c>
      <c r="EV74">
        <f>IF(AND(ISNUMBER(EU74),逐级计算!$X$151&gt;-1),IF(逐级计算!$X$151=0,EU74+逐级计算!$C$151,EU74+逐级计算!$C$151-(10/(逐级计算!$Q$151*LN(10))*(MAX((LN(10^(逐级计算!$Q$151/10)-1)+逐级计算!$Q$151*(EU74-逐级计算!$P$151)*LN(10)/10),0)+LN(1+EXP(-ABS((LN(10^(逐级计算!$Q$151/10)-1)+逐级计算!$Q$151*(EU74-逐级计算!$P$151)*LN(10)/10))))))),"")</f>
        <v>13.7930365742089</v>
      </c>
      <c r="EW74">
        <f>IF(AND(ISNUMBER(EV74),逐级计算!$X$152&gt;-1),IF(逐级计算!$X$152=0,EV74+逐级计算!$C$152,EV74+逐级计算!$C$152-(10/(逐级计算!$Q$152*LN(10))*(MAX((LN(10^(逐级计算!$Q$152/10)-1)+逐级计算!$Q$152*(EV74-逐级计算!$P$152)*LN(10)/10),0)+LN(1+EXP(-ABS((LN(10^(逐级计算!$Q$152/10)-1)+逐级计算!$Q$152*(EV74-逐级计算!$P$152)*LN(10)/10))))))),"")</f>
        <v>13.7930365742089</v>
      </c>
      <c r="EX74">
        <f>IF(AND(ISNUMBER(EW74),逐级计算!$X$153&gt;-1),IF(逐级计算!$X$153=0,EW74+逐级计算!$C$153,EW74+逐级计算!$C$153-(10/(逐级计算!$Q$153*LN(10))*(MAX((LN(10^(逐级计算!$Q$153/10)-1)+逐级计算!$Q$153*(EW74-逐级计算!$P$153)*LN(10)/10),0)+LN(1+EXP(-ABS((LN(10^(逐级计算!$Q$153/10)-1)+逐级计算!$Q$153*(EW74-逐级计算!$P$153)*LN(10)/10))))))),"")</f>
        <v>13.7930365742089</v>
      </c>
      <c r="EY74">
        <f>IF(AND(ISNUMBER(EX74),逐级计算!$X$154&gt;-1),IF(逐级计算!$X$154=0,EX74+逐级计算!$C$154,EX74+逐级计算!$C$154-(10/(逐级计算!$Q$154*LN(10))*(MAX((LN(10^(逐级计算!$Q$154/10)-1)+逐级计算!$Q$154*(EX74-逐级计算!$P$154)*LN(10)/10),0)+LN(1+EXP(-ABS((LN(10^(逐级计算!$Q$154/10)-1)+逐级计算!$Q$154*(EX74-逐级计算!$P$154)*LN(10)/10))))))),"")</f>
        <v>13.7930365742089</v>
      </c>
      <c r="EZ74">
        <f>IF(AND(ISNUMBER(EY74),逐级计算!$X$155&gt;-1),IF(逐级计算!$X$155=0,EY74+逐级计算!$C$155,EY74+逐级计算!$C$155-(10/(逐级计算!$Q$155*LN(10))*(MAX((LN(10^(逐级计算!$Q$155/10)-1)+逐级计算!$Q$155*(EY74-逐级计算!$P$155)*LN(10)/10),0)+LN(1+EXP(-ABS((LN(10^(逐级计算!$Q$155/10)-1)+逐级计算!$Q$155*(EY74-逐级计算!$P$155)*LN(10)/10))))))),"")</f>
        <v>13.7930365742089</v>
      </c>
      <c r="FA74">
        <f>IF(AND(ISNUMBER(EZ74),逐级计算!$X$156&gt;-1),IF(逐级计算!$X$156=0,EZ74+逐级计算!$C$156,EZ74+逐级计算!$C$156-(10/(逐级计算!$Q$156*LN(10))*(MAX((LN(10^(逐级计算!$Q$156/10)-1)+逐级计算!$Q$156*(EZ74-逐级计算!$P$156)*LN(10)/10),0)+LN(1+EXP(-ABS((LN(10^(逐级计算!$Q$156/10)-1)+逐级计算!$Q$156*(EZ74-逐级计算!$P$156)*LN(10)/10))))))),"")</f>
        <v>13.7930365742089</v>
      </c>
      <c r="FB74">
        <f>IF(AND(ISNUMBER(FA74),逐级计算!$X$157&gt;-1),IF(逐级计算!$X$157=0,FA74+逐级计算!$C$157,FA74+逐级计算!$C$157-(10/(逐级计算!$Q$157*LN(10))*(MAX((LN(10^(逐级计算!$Q$157/10)-1)+逐级计算!$Q$157*(FA74-逐级计算!$P$157)*LN(10)/10),0)+LN(1+EXP(-ABS((LN(10^(逐级计算!$Q$157/10)-1)+逐级计算!$Q$157*(FA74-逐级计算!$P$157)*LN(10)/10))))))),"")</f>
        <v>13.7930365742089</v>
      </c>
      <c r="FC74">
        <f>IF(AND(ISNUMBER(FB74),逐级计算!$X$158&gt;-1),IF(逐级计算!$X$158=0,FB74+逐级计算!$C$158,FB74+逐级计算!$C$158-(10/(逐级计算!$Q$158*LN(10))*(MAX((LN(10^(逐级计算!$Q$158/10)-1)+逐级计算!$Q$158*(FB74-逐级计算!$P$158)*LN(10)/10),0)+LN(1+EXP(-ABS((LN(10^(逐级计算!$Q$158/10)-1)+逐级计算!$Q$158*(FB74-逐级计算!$P$158)*LN(10)/10))))))),"")</f>
        <v>13.7930365742089</v>
      </c>
      <c r="FD74">
        <f>IF(AND(ISNUMBER(FC74),逐级计算!$X$159&gt;-1),IF(逐级计算!$X$159=0,FC74+逐级计算!$C$159,FC74+逐级计算!$C$159-(10/(逐级计算!$Q$159*LN(10))*(MAX((LN(10^(逐级计算!$Q$159/10)-1)+逐级计算!$Q$159*(FC74-逐级计算!$P$159)*LN(10)/10),0)+LN(1+EXP(-ABS((LN(10^(逐级计算!$Q$159/10)-1)+逐级计算!$Q$159*(FC74-逐级计算!$P$159)*LN(10)/10))))))),"")</f>
        <v>13.7930365742089</v>
      </c>
      <c r="FE74">
        <f>IF(AND(ISNUMBER(FD74),逐级计算!$X$160&gt;-1),IF(逐级计算!$X$160=0,FD74+逐级计算!$C$160,FD74+逐级计算!$C$160-(10/(逐级计算!$Q$160*LN(10))*(MAX((LN(10^(逐级计算!$Q$160/10)-1)+逐级计算!$Q$160*(FD74-逐级计算!$P$160)*LN(10)/10),0)+LN(1+EXP(-ABS((LN(10^(逐级计算!$Q$160/10)-1)+逐级计算!$Q$160*(FD74-逐级计算!$P$160)*LN(10)/10))))))),"")</f>
        <v>13.7930365742089</v>
      </c>
      <c r="FF74">
        <f>IF(AND(ISNUMBER(FE74),逐级计算!$X$161&gt;-1),IF(逐级计算!$X$161=0,FE74+逐级计算!$C$161,FE74+逐级计算!$C$161-(10/(逐级计算!$Q$161*LN(10))*(MAX((LN(10^(逐级计算!$Q$161/10)-1)+逐级计算!$Q$161*(FE74-逐级计算!$P$161)*LN(10)/10),0)+LN(1+EXP(-ABS((LN(10^(逐级计算!$Q$161/10)-1)+逐级计算!$Q$161*(FE74-逐级计算!$P$161)*LN(10)/10))))))),"")</f>
        <v>13.7930365742089</v>
      </c>
      <c r="FG74">
        <f>IF(AND(ISNUMBER(FF74),逐级计算!$X$162&gt;-1),IF(逐级计算!$X$162=0,FF74+逐级计算!$C$162,FF74+逐级计算!$C$162-(10/(逐级计算!$Q$162*LN(10))*(MAX((LN(10^(逐级计算!$Q$162/10)-1)+逐级计算!$Q$162*(FF74-逐级计算!$P$162)*LN(10)/10),0)+LN(1+EXP(-ABS((LN(10^(逐级计算!$Q$162/10)-1)+逐级计算!$Q$162*(FF74-逐级计算!$P$162)*LN(10)/10))))))),"")</f>
        <v>13.7930365742089</v>
      </c>
      <c r="FH74">
        <f>IF(AND(ISNUMBER(FG74),逐级计算!$X$163&gt;-1),IF(逐级计算!$X$163=0,FG74+逐级计算!$C$163,FG74+逐级计算!$C$163-(10/(逐级计算!$Q$163*LN(10))*(MAX((LN(10^(逐级计算!$Q$163/10)-1)+逐级计算!$Q$163*(FG74-逐级计算!$P$163)*LN(10)/10),0)+LN(1+EXP(-ABS((LN(10^(逐级计算!$Q$163/10)-1)+逐级计算!$Q$163*(FG74-逐级计算!$P$163)*LN(10)/10))))))),"")</f>
        <v>13.7930365742089</v>
      </c>
      <c r="FI74">
        <f>IF(AND(ISNUMBER(FH74),逐级计算!$X$164&gt;-1),IF(逐级计算!$X$164=0,FH74+逐级计算!$C$164,FH74+逐级计算!$C$164-(10/(逐级计算!$Q$164*LN(10))*(MAX((LN(10^(逐级计算!$Q$164/10)-1)+逐级计算!$Q$164*(FH74-逐级计算!$P$164)*LN(10)/10),0)+LN(1+EXP(-ABS((LN(10^(逐级计算!$Q$164/10)-1)+逐级计算!$Q$164*(FH74-逐级计算!$P$164)*LN(10)/10))))))),"")</f>
        <v>13.7930365742089</v>
      </c>
      <c r="FJ74">
        <f>IF(AND(ISNUMBER(FI74),逐级计算!$X$165&gt;-1),IF(逐级计算!$X$165=0,FI74+逐级计算!$C$165,FI74+逐级计算!$C$165-(10/(逐级计算!$Q$165*LN(10))*(MAX((LN(10^(逐级计算!$Q$165/10)-1)+逐级计算!$Q$165*(FI74-逐级计算!$P$165)*LN(10)/10),0)+LN(1+EXP(-ABS((LN(10^(逐级计算!$Q$165/10)-1)+逐级计算!$Q$165*(FI74-逐级计算!$P$165)*LN(10)/10))))))),"")</f>
        <v>13.7930365742089</v>
      </c>
      <c r="FK74">
        <f>IF(AND(ISNUMBER(FJ74),逐级计算!$X$166&gt;-1),IF(逐级计算!$X$166=0,FJ74+逐级计算!$C$166,FJ74+逐级计算!$C$166-(10/(逐级计算!$Q$166*LN(10))*(MAX((LN(10^(逐级计算!$Q$166/10)-1)+逐级计算!$Q$166*(FJ74-逐级计算!$P$166)*LN(10)/10),0)+LN(1+EXP(-ABS((LN(10^(逐级计算!$Q$166/10)-1)+逐级计算!$Q$166*(FJ74-逐级计算!$P$166)*LN(10)/10))))))),"")</f>
        <v>13.7930365742089</v>
      </c>
      <c r="FL74">
        <f>IF(AND(ISNUMBER(FK74),逐级计算!$X$167&gt;-1),IF(逐级计算!$X$167=0,FK74+逐级计算!$C$167,FK74+逐级计算!$C$167-(10/(逐级计算!$Q$167*LN(10))*(MAX((LN(10^(逐级计算!$Q$167/10)-1)+逐级计算!$Q$167*(FK74-逐级计算!$P$167)*LN(10)/10),0)+LN(1+EXP(-ABS((LN(10^(逐级计算!$Q$167/10)-1)+逐级计算!$Q$167*(FK74-逐级计算!$P$167)*LN(10)/10))))))),"")</f>
        <v>13.7930365742089</v>
      </c>
      <c r="FM74">
        <f>IF(AND(ISNUMBER(FL74),逐级计算!$X$168&gt;-1),IF(逐级计算!$X$168=0,FL74+逐级计算!$C$168,FL74+逐级计算!$C$168-(10/(逐级计算!$Q$168*LN(10))*(MAX((LN(10^(逐级计算!$Q$168/10)-1)+逐级计算!$Q$168*(FL74-逐级计算!$P$168)*LN(10)/10),0)+LN(1+EXP(-ABS((LN(10^(逐级计算!$Q$168/10)-1)+逐级计算!$Q$168*(FL74-逐级计算!$P$168)*LN(10)/10))))))),"")</f>
        <v>13.7930365742089</v>
      </c>
      <c r="FN74">
        <f>IF(AND(ISNUMBER(FM74),逐级计算!$X$169&gt;-1),IF(逐级计算!$X$169=0,FM74+逐级计算!$C$169,FM74+逐级计算!$C$169-(10/(逐级计算!$Q$169*LN(10))*(MAX((LN(10^(逐级计算!$Q$169/10)-1)+逐级计算!$Q$169*(FM74-逐级计算!$P$169)*LN(10)/10),0)+LN(1+EXP(-ABS((LN(10^(逐级计算!$Q$169/10)-1)+逐级计算!$Q$169*(FM74-逐级计算!$P$169)*LN(10)/10))))))),"")</f>
        <v>13.7930365742089</v>
      </c>
      <c r="FO74">
        <f>IF(AND(ISNUMBER(FN74),逐级计算!$X$170&gt;-1),IF(逐级计算!$X$170=0,FN74+逐级计算!$C$170,FN74+逐级计算!$C$170-(10/(逐级计算!$Q$170*LN(10))*(MAX((LN(10^(逐级计算!$Q$170/10)-1)+逐级计算!$Q$170*(FN74-逐级计算!$P$170)*LN(10)/10),0)+LN(1+EXP(-ABS((LN(10^(逐级计算!$Q$170/10)-1)+逐级计算!$Q$170*(FN74-逐级计算!$P$170)*LN(10)/10))))))),"")</f>
        <v>13.7930365742089</v>
      </c>
      <c r="FP74">
        <f>IF(AND(ISNUMBER(FO74),逐级计算!$X$171&gt;-1),IF(逐级计算!$X$171=0,FO74+逐级计算!$C$171,FO74+逐级计算!$C$171-(10/(逐级计算!$Q$171*LN(10))*(MAX((LN(10^(逐级计算!$Q$171/10)-1)+逐级计算!$Q$171*(FO74-逐级计算!$P$171)*LN(10)/10),0)+LN(1+EXP(-ABS((LN(10^(逐级计算!$Q$171/10)-1)+逐级计算!$Q$171*(FO74-逐级计算!$P$171)*LN(10)/10))))))),"")</f>
        <v>13.7930365742089</v>
      </c>
      <c r="FQ74">
        <f>IF(AND(ISNUMBER(FP74),逐级计算!$X$172&gt;-1),IF(逐级计算!$X$172=0,FP74+逐级计算!$C$172,FP74+逐级计算!$C$172-(10/(逐级计算!$Q$172*LN(10))*(MAX((LN(10^(逐级计算!$Q$172/10)-1)+逐级计算!$Q$172*(FP74-逐级计算!$P$172)*LN(10)/10),0)+LN(1+EXP(-ABS((LN(10^(逐级计算!$Q$172/10)-1)+逐级计算!$Q$172*(FP74-逐级计算!$P$172)*LN(10)/10))))))),"")</f>
        <v>13.7930365742089</v>
      </c>
      <c r="FR74">
        <f>IF(AND(ISNUMBER(FQ74),逐级计算!$X$173&gt;-1),IF(逐级计算!$X$173=0,FQ74+逐级计算!$C$173,FQ74+逐级计算!$C$173-(10/(逐级计算!$Q$173*LN(10))*(MAX((LN(10^(逐级计算!$Q$173/10)-1)+逐级计算!$Q$173*(FQ74-逐级计算!$P$173)*LN(10)/10),0)+LN(1+EXP(-ABS((LN(10^(逐级计算!$Q$173/10)-1)+逐级计算!$Q$173*(FQ74-逐级计算!$P$173)*LN(10)/10))))))),"")</f>
        <v>13.7930365742089</v>
      </c>
      <c r="FS74">
        <f>IF(AND(ISNUMBER(FR74),逐级计算!$X$174&gt;-1),IF(逐级计算!$X$174=0,FR74+逐级计算!$C$174,FR74+逐级计算!$C$174-(10/(逐级计算!$Q$174*LN(10))*(MAX((LN(10^(逐级计算!$Q$174/10)-1)+逐级计算!$Q$174*(FR74-逐级计算!$P$174)*LN(10)/10),0)+LN(1+EXP(-ABS((LN(10^(逐级计算!$Q$174/10)-1)+逐级计算!$Q$174*(FR74-逐级计算!$P$174)*LN(10)/10))))))),"")</f>
        <v>13.7930365742089</v>
      </c>
      <c r="FT74">
        <f>IF(AND(ISNUMBER(FS74),逐级计算!$X$175&gt;-1),IF(逐级计算!$X$175=0,FS74+逐级计算!$C$175,FS74+逐级计算!$C$175-(10/(逐级计算!$Q$175*LN(10))*(MAX((LN(10^(逐级计算!$Q$175/10)-1)+逐级计算!$Q$175*(FS74-逐级计算!$P$175)*LN(10)/10),0)+LN(1+EXP(-ABS((LN(10^(逐级计算!$Q$175/10)-1)+逐级计算!$Q$175*(FS74-逐级计算!$P$175)*LN(10)/10))))))),"")</f>
        <v>13.7930365742089</v>
      </c>
      <c r="FU74">
        <f>IF(AND(ISNUMBER(FT74),逐级计算!$X$176&gt;-1),IF(逐级计算!$X$176=0,FT74+逐级计算!$C$176,FT74+逐级计算!$C$176-(10/(逐级计算!$Q$176*LN(10))*(MAX((LN(10^(逐级计算!$Q$176/10)-1)+逐级计算!$Q$176*(FT74-逐级计算!$P$176)*LN(10)/10),0)+LN(1+EXP(-ABS((LN(10^(逐级计算!$Q$176/10)-1)+逐级计算!$Q$176*(FT74-逐级计算!$P$176)*LN(10)/10))))))),"")</f>
        <v>13.7930365742089</v>
      </c>
      <c r="FV74">
        <f>IF(AND(ISNUMBER(FU74),逐级计算!$X$177&gt;-1),IF(逐级计算!$X$177=0,FU74+逐级计算!$C$177,FU74+逐级计算!$C$177-(10/(逐级计算!$Q$177*LN(10))*(MAX((LN(10^(逐级计算!$Q$177/10)-1)+逐级计算!$Q$177*(FU74-逐级计算!$P$177)*LN(10)/10),0)+LN(1+EXP(-ABS((LN(10^(逐级计算!$Q$177/10)-1)+逐级计算!$Q$177*(FU74-逐级计算!$P$177)*LN(10)/10))))))),"")</f>
        <v>13.7930365742089</v>
      </c>
      <c r="FW74">
        <f>IF(AND(ISNUMBER(FV74),逐级计算!$X$178&gt;-1),IF(逐级计算!$X$178=0,FV74+逐级计算!$C$178,FV74+逐级计算!$C$178-(10/(逐级计算!$Q$178*LN(10))*(MAX((LN(10^(逐级计算!$Q$178/10)-1)+逐级计算!$Q$178*(FV74-逐级计算!$P$178)*LN(10)/10),0)+LN(1+EXP(-ABS((LN(10^(逐级计算!$Q$178/10)-1)+逐级计算!$Q$178*(FV74-逐级计算!$P$178)*LN(10)/10))))))),"")</f>
        <v>13.7930365742089</v>
      </c>
      <c r="FX74">
        <f>IF(AND(ISNUMBER(FW74),逐级计算!$X$179&gt;-1),IF(逐级计算!$X$179=0,FW74+逐级计算!$C$179,FW74+逐级计算!$C$179-(10/(逐级计算!$Q$179*LN(10))*(MAX((LN(10^(逐级计算!$Q$179/10)-1)+逐级计算!$Q$179*(FW74-逐级计算!$P$179)*LN(10)/10),0)+LN(1+EXP(-ABS((LN(10^(逐级计算!$Q$179/10)-1)+逐级计算!$Q$179*(FW74-逐级计算!$P$179)*LN(10)/10))))))),"")</f>
        <v>13.7930365742089</v>
      </c>
      <c r="FY74">
        <f>IF(AND(ISNUMBER(FX74),逐级计算!$X$180&gt;-1),IF(逐级计算!$X$180=0,FX74+逐级计算!$C$180,FX74+逐级计算!$C$180-(10/(逐级计算!$Q$180*LN(10))*(MAX((LN(10^(逐级计算!$Q$180/10)-1)+逐级计算!$Q$180*(FX74-逐级计算!$P$180)*LN(10)/10),0)+LN(1+EXP(-ABS((LN(10^(逐级计算!$Q$180/10)-1)+逐级计算!$Q$180*(FX74-逐级计算!$P$180)*LN(10)/10))))))),"")</f>
        <v>13.7930365742089</v>
      </c>
      <c r="FZ74">
        <f>IF(AND(ISNUMBER(FY74),逐级计算!$X$181&gt;-1),IF(逐级计算!$X$181=0,FY74+逐级计算!$C$181,FY74+逐级计算!$C$181-(10/(逐级计算!$Q$181*LN(10))*(MAX((LN(10^(逐级计算!$Q$181/10)-1)+逐级计算!$Q$181*(FY74-逐级计算!$P$181)*LN(10)/10),0)+LN(1+EXP(-ABS((LN(10^(逐级计算!$Q$181/10)-1)+逐级计算!$Q$181*(FY74-逐级计算!$P$181)*LN(10)/10))))))),"")</f>
        <v>13.7930365742089</v>
      </c>
      <c r="GA74">
        <f>IF(AND(ISNUMBER(FZ74),逐级计算!$X$182&gt;-1),IF(逐级计算!$X$182=0,FZ74+逐级计算!$C$182,FZ74+逐级计算!$C$182-(10/(逐级计算!$Q$182*LN(10))*(MAX((LN(10^(逐级计算!$Q$182/10)-1)+逐级计算!$Q$182*(FZ74-逐级计算!$P$182)*LN(10)/10),0)+LN(1+EXP(-ABS((LN(10^(逐级计算!$Q$182/10)-1)+逐级计算!$Q$182*(FZ74-逐级计算!$P$182)*LN(10)/10))))))),"")</f>
        <v>13.7930365742089</v>
      </c>
      <c r="GB74">
        <f>IF(AND(ISNUMBER(GA74),逐级计算!$X$183&gt;-1),IF(逐级计算!$X$183=0,GA74+逐级计算!$C$183,GA74+逐级计算!$C$183-(10/(逐级计算!$Q$183*LN(10))*(MAX((LN(10^(逐级计算!$Q$183/10)-1)+逐级计算!$Q$183*(GA74-逐级计算!$P$183)*LN(10)/10),0)+LN(1+EXP(-ABS((LN(10^(逐级计算!$Q$183/10)-1)+逐级计算!$Q$183*(GA74-逐级计算!$P$183)*LN(10)/10))))))),"")</f>
        <v>13.7930365742089</v>
      </c>
      <c r="GC74">
        <f>IF(AND(ISNUMBER(GB74),逐级计算!$X$184&gt;-1),IF(逐级计算!$X$184=0,GB74+逐级计算!$C$184,GB74+逐级计算!$C$184-(10/(逐级计算!$Q$184*LN(10))*(MAX((LN(10^(逐级计算!$Q$184/10)-1)+逐级计算!$Q$184*(GB74-逐级计算!$P$184)*LN(10)/10),0)+LN(1+EXP(-ABS((LN(10^(逐级计算!$Q$184/10)-1)+逐级计算!$Q$184*(GB74-逐级计算!$P$184)*LN(10)/10))))))),"")</f>
        <v>13.7930365742089</v>
      </c>
      <c r="GD74">
        <f>IF(AND(ISNUMBER(GC74),逐级计算!$X$185&gt;-1),IF(逐级计算!$X$185=0,GC74+逐级计算!$C$185,GC74+逐级计算!$C$185-(10/(逐级计算!$Q$185*LN(10))*(MAX((LN(10^(逐级计算!$Q$185/10)-1)+逐级计算!$Q$185*(GC74-逐级计算!$P$185)*LN(10)/10),0)+LN(1+EXP(-ABS((LN(10^(逐级计算!$Q$185/10)-1)+逐级计算!$Q$185*(GC74-逐级计算!$P$185)*LN(10)/10))))))),"")</f>
        <v>13.7930365742089</v>
      </c>
      <c r="GE74">
        <f>IF(AND(ISNUMBER(GD74),逐级计算!$X$186&gt;-1),IF(逐级计算!$X$186=0,GD74+逐级计算!$C$186,GD74+逐级计算!$C$186-(10/(逐级计算!$Q$186*LN(10))*(MAX((LN(10^(逐级计算!$Q$186/10)-1)+逐级计算!$Q$186*(GD74-逐级计算!$P$186)*LN(10)/10),0)+LN(1+EXP(-ABS((LN(10^(逐级计算!$Q$186/10)-1)+逐级计算!$Q$186*(GD74-逐级计算!$P$186)*LN(10)/10))))))),"")</f>
        <v>13.7930365742089</v>
      </c>
      <c r="GF74">
        <f>IF(AND(ISNUMBER(GE74),逐级计算!$X$187&gt;-1),IF(逐级计算!$X$187=0,GE74+逐级计算!$C$187,GE74+逐级计算!$C$187-(10/(逐级计算!$Q$187*LN(10))*(MAX((LN(10^(逐级计算!$Q$187/10)-1)+逐级计算!$Q$187*(GE74-逐级计算!$P$187)*LN(10)/10),0)+LN(1+EXP(-ABS((LN(10^(逐级计算!$Q$187/10)-1)+逐级计算!$Q$187*(GE74-逐级计算!$P$187)*LN(10)/10))))))),"")</f>
        <v>13.7930365742089</v>
      </c>
      <c r="GG74">
        <f>IF(AND(ISNUMBER(GF74),逐级计算!$X$188&gt;-1),IF(逐级计算!$X$188=0,GF74+逐级计算!$C$188,GF74+逐级计算!$C$188-(10/(逐级计算!$Q$188*LN(10))*(MAX((LN(10^(逐级计算!$Q$188/10)-1)+逐级计算!$Q$188*(GF74-逐级计算!$P$188)*LN(10)/10),0)+LN(1+EXP(-ABS((LN(10^(逐级计算!$Q$188/10)-1)+逐级计算!$Q$188*(GF74-逐级计算!$P$188)*LN(10)/10))))))),"")</f>
        <v>13.7930365742089</v>
      </c>
      <c r="GH74">
        <f>IF(AND(ISNUMBER(GG74),逐级计算!$X$189&gt;-1),IF(逐级计算!$X$189=0,GG74+逐级计算!$C$189,GG74+逐级计算!$C$189-(10/(逐级计算!$Q$189*LN(10))*(MAX((LN(10^(逐级计算!$Q$189/10)-1)+逐级计算!$Q$189*(GG74-逐级计算!$P$189)*LN(10)/10),0)+LN(1+EXP(-ABS((LN(10^(逐级计算!$Q$189/10)-1)+逐级计算!$Q$189*(GG74-逐级计算!$P$189)*LN(10)/10))))))),"")</f>
        <v>13.7930365742089</v>
      </c>
      <c r="GI74">
        <f>IF(AND(ISNUMBER(GH74),逐级计算!$X$190&gt;-1),IF(逐级计算!$X$190=0,GH74+逐级计算!$C$190,GH74+逐级计算!$C$190-(10/(逐级计算!$Q$190*LN(10))*(MAX((LN(10^(逐级计算!$Q$190/10)-1)+逐级计算!$Q$190*(GH74-逐级计算!$P$190)*LN(10)/10),0)+LN(1+EXP(-ABS((LN(10^(逐级计算!$Q$190/10)-1)+逐级计算!$Q$190*(GH74-逐级计算!$P$190)*LN(10)/10))))))),"")</f>
        <v>13.7930365742089</v>
      </c>
      <c r="GJ74">
        <f>IF(AND(ISNUMBER(GI74),逐级计算!$X$191&gt;-1),IF(逐级计算!$X$191=0,GI74+逐级计算!$C$191,GI74+逐级计算!$C$191-(10/(逐级计算!$Q$191*LN(10))*(MAX((LN(10^(逐级计算!$Q$191/10)-1)+逐级计算!$Q$191*(GI74-逐级计算!$P$191)*LN(10)/10),0)+LN(1+EXP(-ABS((LN(10^(逐级计算!$Q$191/10)-1)+逐级计算!$Q$191*(GI74-逐级计算!$P$191)*LN(10)/10))))))),"")</f>
        <v>13.7930365742089</v>
      </c>
      <c r="GK74">
        <f>IF(AND(ISNUMBER(GJ74),逐级计算!$X$192&gt;-1),IF(逐级计算!$X$192=0,GJ74+逐级计算!$C$192,GJ74+逐级计算!$C$192-(10/(逐级计算!$Q$192*LN(10))*(MAX((LN(10^(逐级计算!$Q$192/10)-1)+逐级计算!$Q$192*(GJ74-逐级计算!$P$192)*LN(10)/10),0)+LN(1+EXP(-ABS((LN(10^(逐级计算!$Q$192/10)-1)+逐级计算!$Q$192*(GJ74-逐级计算!$P$192)*LN(10)/10))))))),"")</f>
        <v>13.7930365742089</v>
      </c>
      <c r="GL74">
        <f>IF(AND(ISNUMBER(GK74),逐级计算!$X$193&gt;-1),IF(逐级计算!$X$193=0,GK74+逐级计算!$C$193,GK74+逐级计算!$C$193-(10/(逐级计算!$Q$193*LN(10))*(MAX((LN(10^(逐级计算!$Q$193/10)-1)+逐级计算!$Q$193*(GK74-逐级计算!$P$193)*LN(10)/10),0)+LN(1+EXP(-ABS((LN(10^(逐级计算!$Q$193/10)-1)+逐级计算!$Q$193*(GK74-逐级计算!$P$193)*LN(10)/10))))))),"")</f>
        <v>13.7930365742089</v>
      </c>
      <c r="GM74">
        <f>IF(AND(ISNUMBER(GL74),逐级计算!$X$194&gt;-1),IF(逐级计算!$X$194=0,GL74+逐级计算!$C$194,GL74+逐级计算!$C$194-(10/(逐级计算!$Q$194*LN(10))*(MAX((LN(10^(逐级计算!$Q$194/10)-1)+逐级计算!$Q$194*(GL74-逐级计算!$P$194)*LN(10)/10),0)+LN(1+EXP(-ABS((LN(10^(逐级计算!$Q$194/10)-1)+逐级计算!$Q$194*(GL74-逐级计算!$P$194)*LN(10)/10))))))),"")</f>
        <v>13.7930365742089</v>
      </c>
      <c r="GN74">
        <f>IF(AND(ISNUMBER(GM74),逐级计算!$X$195&gt;-1),IF(逐级计算!$X$195=0,GM74+逐级计算!$C$195,GM74+逐级计算!$C$195-(10/(逐级计算!$Q$195*LN(10))*(MAX((LN(10^(逐级计算!$Q$195/10)-1)+逐级计算!$Q$195*(GM74-逐级计算!$P$195)*LN(10)/10),0)+LN(1+EXP(-ABS((LN(10^(逐级计算!$Q$195/10)-1)+逐级计算!$Q$195*(GM74-逐级计算!$P$195)*LN(10)/10))))))),"")</f>
        <v>13.7930365742089</v>
      </c>
      <c r="GO74">
        <f>IF(AND(ISNUMBER(GN74),逐级计算!$X$196&gt;-1),IF(逐级计算!$X$196=0,GN74+逐级计算!$C$196,GN74+逐级计算!$C$196-(10/(逐级计算!$Q$196*LN(10))*(MAX((LN(10^(逐级计算!$Q$196/10)-1)+逐级计算!$Q$196*(GN74-逐级计算!$P$196)*LN(10)/10),0)+LN(1+EXP(-ABS((LN(10^(逐级计算!$Q$196/10)-1)+逐级计算!$Q$196*(GN74-逐级计算!$P$196)*LN(10)/10))))))),"")</f>
        <v>13.7930365742089</v>
      </c>
      <c r="GP74">
        <f>IF(AND(ISNUMBER(GO74),逐级计算!$X$197&gt;-1),IF(逐级计算!$X$197=0,GO74+逐级计算!$C$197,GO74+逐级计算!$C$197-(10/(逐级计算!$Q$197*LN(10))*(MAX((LN(10^(逐级计算!$Q$197/10)-1)+逐级计算!$Q$197*(GO74-逐级计算!$P$197)*LN(10)/10),0)+LN(1+EXP(-ABS((LN(10^(逐级计算!$Q$197/10)-1)+逐级计算!$Q$197*(GO74-逐级计算!$P$197)*LN(10)/10))))))),"")</f>
        <v>13.7930365742089</v>
      </c>
      <c r="GQ74">
        <f>IF(AND(ISNUMBER(GP74),逐级计算!$X$198&gt;-1),IF(逐级计算!$X$198=0,GP74+逐级计算!$C$198,GP74+逐级计算!$C$198-(10/(逐级计算!$Q$198*LN(10))*(MAX((LN(10^(逐级计算!$Q$198/10)-1)+逐级计算!$Q$198*(GP74-逐级计算!$P$198)*LN(10)/10),0)+LN(1+EXP(-ABS((LN(10^(逐级计算!$Q$198/10)-1)+逐级计算!$Q$198*(GP74-逐级计算!$P$198)*LN(10)/10))))))),"")</f>
        <v>13.7930365742089</v>
      </c>
      <c r="GR74">
        <f>IF(AND(ISNUMBER(GQ74),逐级计算!$X$199&gt;-1),IF(逐级计算!$X$199=0,GQ74+逐级计算!$C$199,GQ74+逐级计算!$C$199-(10/(逐级计算!$Q$199*LN(10))*(MAX((LN(10^(逐级计算!$Q$199/10)-1)+逐级计算!$Q$199*(GQ74-逐级计算!$P$199)*LN(10)/10),0)+LN(1+EXP(-ABS((LN(10^(逐级计算!$Q$199/10)-1)+逐级计算!$Q$199*(GQ74-逐级计算!$P$199)*LN(10)/10))))))),"")</f>
        <v>13.7930365742089</v>
      </c>
      <c r="GS74">
        <f>IF(AND(ISNUMBER(GR74),逐级计算!$X$200&gt;-1),IF(逐级计算!$X$200=0,GR74+逐级计算!$C$200,GR74+逐级计算!$C$200-(10/(逐级计算!$Q$200*LN(10))*(MAX((LN(10^(逐级计算!$Q$200/10)-1)+逐级计算!$Q$200*(GR74-逐级计算!$P$200)*LN(10)/10),0)+LN(1+EXP(-ABS((LN(10^(逐级计算!$Q$200/10)-1)+逐级计算!$Q$200*(GR74-逐级计算!$P$200)*LN(10)/10))))))),"")</f>
        <v>13.7930365742089</v>
      </c>
      <c r="GT74">
        <f>IF(AND(ISNUMBER(GS74),逐级计算!$X$201&gt;-1),IF(逐级计算!$X$201=0,GS74+逐级计算!$C$201,GS74+逐级计算!$C$201-(10/(逐级计算!$Q$201*LN(10))*(MAX((LN(10^(逐级计算!$Q$201/10)-1)+逐级计算!$Q$201*(GS74-逐级计算!$P$201)*LN(10)/10),0)+LN(1+EXP(-ABS((LN(10^(逐级计算!$Q$201/10)-1)+逐级计算!$Q$201*(GS74-逐级计算!$P$201)*LN(10)/10))))))),"")</f>
        <v>13.7930365742089</v>
      </c>
      <c r="GU74">
        <f>IF(AND(ISNUMBER(GT74),逐级计算!$X$202&gt;-1),IF(逐级计算!$X$202=0,GT74+逐级计算!$C$202,GT74+逐级计算!$C$202-(10/(逐级计算!$Q$202*LN(10))*(MAX((LN(10^(逐级计算!$Q$202/10)-1)+逐级计算!$Q$202*(GT74-逐级计算!$P$202)*LN(10)/10),0)+LN(1+EXP(-ABS((LN(10^(逐级计算!$Q$202/10)-1)+逐级计算!$Q$202*(GT74-逐级计算!$P$202)*LN(10)/10))))))),"")</f>
        <v>13.7930365742089</v>
      </c>
      <c r="GV74">
        <f>IF(AND(ISNUMBER(GU74),逐级计算!$X$203&gt;-1),IF(逐级计算!$X$203=0,GU74+逐级计算!$C$203,GU74+逐级计算!$C$203-(10/(逐级计算!$Q$203*LN(10))*(MAX((LN(10^(逐级计算!$Q$203/10)-1)+逐级计算!$Q$203*(GU74-逐级计算!$P$203)*LN(10)/10),0)+LN(1+EXP(-ABS((LN(10^(逐级计算!$Q$203/10)-1)+逐级计算!$Q$203*(GU74-逐级计算!$P$203)*LN(10)/10))))))),"")</f>
        <v>13.7930365742089</v>
      </c>
      <c r="GW74">
        <f t="shared" si="5"/>
        <v>-5.20696342579112</v>
      </c>
    </row>
    <row r="75" spans="1:205">
      <c r="A75">
        <v>68</v>
      </c>
      <c r="B75">
        <f t="shared" si="4"/>
        <v>-5.20696342579112</v>
      </c>
      <c r="C75">
        <f t="shared" si="3"/>
        <v>-5.20696342579112</v>
      </c>
      <c r="D75">
        <f>IF(AND(ISNUMBER(C75),ISNUMBER(逐级计算!$E$203),ISNUMBER(GV75)),C75+逐级计算!$E$203-GV75,"")</f>
        <v>1</v>
      </c>
      <c r="E75">
        <f>IF(AND(ISNUMBER(C75),逐级计算!$X$4&gt;-1),IF(逐级计算!$X$4=0,C75+逐级计算!$C$4,C75+逐级计算!$C$4-(10/(逐级计算!$Q$4*LN(10))*(MAX((LN(10^(逐级计算!$Q$4/10)-1)+逐级计算!$Q$4*(C75-逐级计算!$P$4)*LN(10)/10),0)+LN(1+EXP(-ABS((LN(10^(逐级计算!$Q$4/10)-1)+逐级计算!$Q$4*(C75-逐级计算!$P$4)*LN(10)/10))))))),"")</f>
        <v>4.68053982928311</v>
      </c>
      <c r="F75">
        <f>IF(AND(ISNUMBER(E75),逐级计算!$X$5&gt;-1),IF(逐级计算!$X$5=0,E75+逐级计算!$C$5,E75+逐级计算!$C$5-(10/(逐级计算!$Q$5*LN(10))*(MAX((LN(10^(逐级计算!$Q$5/10)-1)+逐级计算!$Q$5*(E75-逐级计算!$P$5)*LN(10)/10),0)+LN(1+EXP(-ABS((LN(10^(逐级计算!$Q$5/10)-1)+逐级计算!$Q$5*(E75-逐级计算!$P$5)*LN(10)/10))))))),"")</f>
        <v>13.7930365742089</v>
      </c>
      <c r="G75">
        <f>IF(AND(ISNUMBER(F75),逐级计算!$X$6&gt;-1),IF(逐级计算!$X$6=0,F75+逐级计算!$C$6,F75+逐级计算!$C$6-(10/(逐级计算!$Q$6*LN(10))*(MAX((LN(10^(逐级计算!$Q$6/10)-1)+逐级计算!$Q$6*(F75-逐级计算!$P$6)*LN(10)/10),0)+LN(1+EXP(-ABS((LN(10^(逐级计算!$Q$6/10)-1)+逐级计算!$Q$6*(F75-逐级计算!$P$6)*LN(10)/10))))))),"")</f>
        <v>13.7930365742089</v>
      </c>
      <c r="H75">
        <f>IF(AND(ISNUMBER(G75),逐级计算!$X$7&gt;-1),IF(逐级计算!$X$7=0,G75+逐级计算!$C$7,G75+逐级计算!$C$7-(10/(逐级计算!$Q$7*LN(10))*(MAX((LN(10^(逐级计算!$Q$7/10)-1)+逐级计算!$Q$7*(G75-逐级计算!$P$7)*LN(10)/10),0)+LN(1+EXP(-ABS((LN(10^(逐级计算!$Q$7/10)-1)+逐级计算!$Q$7*(G75-逐级计算!$P$7)*LN(10)/10))))))),"")</f>
        <v>13.7930365742089</v>
      </c>
      <c r="I75">
        <f>IF(AND(ISNUMBER(H75),逐级计算!$X$8&gt;-1),IF(逐级计算!$X$8=0,H75+逐级计算!$C$8,H75+逐级计算!$C$8-(10/(逐级计算!$Q$8*LN(10))*(MAX((LN(10^(逐级计算!$Q$8/10)-1)+逐级计算!$Q$8*(H75-逐级计算!$P$8)*LN(10)/10),0)+LN(1+EXP(-ABS((LN(10^(逐级计算!$Q$8/10)-1)+逐级计算!$Q$8*(H75-逐级计算!$P$8)*LN(10)/10))))))),"")</f>
        <v>13.7930365742089</v>
      </c>
      <c r="J75">
        <f>IF(AND(ISNUMBER(I75),逐级计算!$X$9&gt;-1),IF(逐级计算!$X$9=0,I75+逐级计算!$C$9,I75+逐级计算!$C$9-(10/(逐级计算!$Q$9*LN(10))*(MAX((LN(10^(逐级计算!$Q$9/10)-1)+逐级计算!$Q$9*(I75-逐级计算!$P$9)*LN(10)/10),0)+LN(1+EXP(-ABS((LN(10^(逐级计算!$Q$9/10)-1)+逐级计算!$Q$9*(I75-逐级计算!$P$9)*LN(10)/10))))))),"")</f>
        <v>13.7930365742089</v>
      </c>
      <c r="K75">
        <f>IF(AND(ISNUMBER(J75),逐级计算!$X$10&gt;-1),IF(逐级计算!$X$10=0,J75+逐级计算!$C$10,J75+逐级计算!$C$10-(10/(逐级计算!$Q$10*LN(10))*(MAX((LN(10^(逐级计算!$Q$10/10)-1)+逐级计算!$Q$10*(J75-逐级计算!$P$10)*LN(10)/10),0)+LN(1+EXP(-ABS((LN(10^(逐级计算!$Q$10/10)-1)+逐级计算!$Q$10*(J75-逐级计算!$P$10)*LN(10)/10))))))),"")</f>
        <v>13.7930365742089</v>
      </c>
      <c r="L75">
        <f>IF(AND(ISNUMBER(K75),逐级计算!$X$11&gt;-1),IF(逐级计算!$X$11=0,K75+逐级计算!$C$11,K75+逐级计算!$C$11-(10/(逐级计算!$Q$11*LN(10))*(MAX((LN(10^(逐级计算!$Q$11/10)-1)+逐级计算!$Q$11*(K75-逐级计算!$P$11)*LN(10)/10),0)+LN(1+EXP(-ABS((LN(10^(逐级计算!$Q$11/10)-1)+逐级计算!$Q$11*(K75-逐级计算!$P$11)*LN(10)/10))))))),"")</f>
        <v>13.7930365742089</v>
      </c>
      <c r="M75">
        <f>IF(AND(ISNUMBER(L75),逐级计算!$X$12&gt;-1),IF(逐级计算!$X$12=0,L75+逐级计算!$C$12,L75+逐级计算!$C$12-(10/(逐级计算!$Q$12*LN(10))*(MAX((LN(10^(逐级计算!$Q$12/10)-1)+逐级计算!$Q$12*(L75-逐级计算!$P$12)*LN(10)/10),0)+LN(1+EXP(-ABS((LN(10^(逐级计算!$Q$12/10)-1)+逐级计算!$Q$12*(L75-逐级计算!$P$12)*LN(10)/10))))))),"")</f>
        <v>13.7930365742089</v>
      </c>
      <c r="N75">
        <f>IF(AND(ISNUMBER(M75),逐级计算!$X$13&gt;-1),IF(逐级计算!$X$13=0,M75+逐级计算!$C$13,M75+逐级计算!$C$13-(10/(逐级计算!$Q$13*LN(10))*(MAX((LN(10^(逐级计算!$Q$13/10)-1)+逐级计算!$Q$13*(M75-逐级计算!$P$13)*LN(10)/10),0)+LN(1+EXP(-ABS((LN(10^(逐级计算!$Q$13/10)-1)+逐级计算!$Q$13*(M75-逐级计算!$P$13)*LN(10)/10))))))),"")</f>
        <v>13.7930365742089</v>
      </c>
      <c r="O75">
        <f>IF(AND(ISNUMBER(N75),逐级计算!$X$14&gt;-1),IF(逐级计算!$X$14=0,N75+逐级计算!$C$14,N75+逐级计算!$C$14-(10/(逐级计算!$Q$14*LN(10))*(MAX((LN(10^(逐级计算!$Q$14/10)-1)+逐级计算!$Q$14*(N75-逐级计算!$P$14)*LN(10)/10),0)+LN(1+EXP(-ABS((LN(10^(逐级计算!$Q$14/10)-1)+逐级计算!$Q$14*(N75-逐级计算!$P$14)*LN(10)/10))))))),"")</f>
        <v>13.7930365742089</v>
      </c>
      <c r="P75">
        <f>IF(AND(ISNUMBER(O75),逐级计算!$X$15&gt;-1),IF(逐级计算!$X$15=0,O75+逐级计算!$C$15,O75+逐级计算!$C$15-(10/(逐级计算!$Q$15*LN(10))*(MAX((LN(10^(逐级计算!$Q$15/10)-1)+逐级计算!$Q$15*(O75-逐级计算!$P$15)*LN(10)/10),0)+LN(1+EXP(-ABS((LN(10^(逐级计算!$Q$15/10)-1)+逐级计算!$Q$15*(O75-逐级计算!$P$15)*LN(10)/10))))))),"")</f>
        <v>13.7930365742089</v>
      </c>
      <c r="Q75">
        <f>IF(AND(ISNUMBER(P75),逐级计算!$X$16&gt;-1),IF(逐级计算!$X$16=0,P75+逐级计算!$C$16,P75+逐级计算!$C$16-(10/(逐级计算!$Q$16*LN(10))*(MAX((LN(10^(逐级计算!$Q$16/10)-1)+逐级计算!$Q$16*(P75-逐级计算!$P$16)*LN(10)/10),0)+LN(1+EXP(-ABS((LN(10^(逐级计算!$Q$16/10)-1)+逐级计算!$Q$16*(P75-逐级计算!$P$16)*LN(10)/10))))))),"")</f>
        <v>13.7930365742089</v>
      </c>
      <c r="R75">
        <f>IF(AND(ISNUMBER(Q75),逐级计算!$X$17&gt;-1),IF(逐级计算!$X$17=0,Q75+逐级计算!$C$17,Q75+逐级计算!$C$17-(10/(逐级计算!$Q$17*LN(10))*(MAX((LN(10^(逐级计算!$Q$17/10)-1)+逐级计算!$Q$17*(Q75-逐级计算!$P$17)*LN(10)/10),0)+LN(1+EXP(-ABS((LN(10^(逐级计算!$Q$17/10)-1)+逐级计算!$Q$17*(Q75-逐级计算!$P$17)*LN(10)/10))))))),"")</f>
        <v>13.7930365742089</v>
      </c>
      <c r="S75">
        <f>IF(AND(ISNUMBER(R75),逐级计算!$X$18&gt;-1),IF(逐级计算!$X$18=0,R75+逐级计算!$C$18,R75+逐级计算!$C$18-(10/(逐级计算!$Q$18*LN(10))*(MAX((LN(10^(逐级计算!$Q$18/10)-1)+逐级计算!$Q$18*(R75-逐级计算!$P$18)*LN(10)/10),0)+LN(1+EXP(-ABS((LN(10^(逐级计算!$Q$18/10)-1)+逐级计算!$Q$18*(R75-逐级计算!$P$18)*LN(10)/10))))))),"")</f>
        <v>13.7930365742089</v>
      </c>
      <c r="T75">
        <f>IF(AND(ISNUMBER(S75),逐级计算!$X$19&gt;-1),IF(逐级计算!$X$19=0,S75+逐级计算!$C$19,S75+逐级计算!$C$19-(10/(逐级计算!$Q$19*LN(10))*(MAX((LN(10^(逐级计算!$Q$19/10)-1)+逐级计算!$Q$19*(S75-逐级计算!$P$19)*LN(10)/10),0)+LN(1+EXP(-ABS((LN(10^(逐级计算!$Q$19/10)-1)+逐级计算!$Q$19*(S75-逐级计算!$P$19)*LN(10)/10))))))),"")</f>
        <v>13.7930365742089</v>
      </c>
      <c r="U75">
        <f>IF(AND(ISNUMBER(T75),逐级计算!$X$20&gt;-1),IF(逐级计算!$X$20=0,T75+逐级计算!$C$20,T75+逐级计算!$C$20-(10/(逐级计算!$Q$20*LN(10))*(MAX((LN(10^(逐级计算!$Q$20/10)-1)+逐级计算!$Q$20*(T75-逐级计算!$P$20)*LN(10)/10),0)+LN(1+EXP(-ABS((LN(10^(逐级计算!$Q$20/10)-1)+逐级计算!$Q$20*(T75-逐级计算!$P$20)*LN(10)/10))))))),"")</f>
        <v>13.7930365742089</v>
      </c>
      <c r="V75">
        <f>IF(AND(ISNUMBER(U75),逐级计算!$X$21&gt;-1),IF(逐级计算!$X$21=0,U75+逐级计算!$C$21,U75+逐级计算!$C$21-(10/(逐级计算!$Q$21*LN(10))*(MAX((LN(10^(逐级计算!$Q$21/10)-1)+逐级计算!$Q$21*(U75-逐级计算!$P$21)*LN(10)/10),0)+LN(1+EXP(-ABS((LN(10^(逐级计算!$Q$21/10)-1)+逐级计算!$Q$21*(U75-逐级计算!$P$21)*LN(10)/10))))))),"")</f>
        <v>13.7930365742089</v>
      </c>
      <c r="W75">
        <f>IF(AND(ISNUMBER(V75),逐级计算!$X$22&gt;-1),IF(逐级计算!$X$22=0,V75+逐级计算!$C$22,V75+逐级计算!$C$22-(10/(逐级计算!$Q$22*LN(10))*(MAX((LN(10^(逐级计算!$Q$22/10)-1)+逐级计算!$Q$22*(V75-逐级计算!$P$22)*LN(10)/10),0)+LN(1+EXP(-ABS((LN(10^(逐级计算!$Q$22/10)-1)+逐级计算!$Q$22*(V75-逐级计算!$P$22)*LN(10)/10))))))),"")</f>
        <v>13.7930365742089</v>
      </c>
      <c r="X75">
        <f>IF(AND(ISNUMBER(W75),逐级计算!$X$23&gt;-1),IF(逐级计算!$X$23=0,W75+逐级计算!$C$23,W75+逐级计算!$C$23-(10/(逐级计算!$Q$23*LN(10))*(MAX((LN(10^(逐级计算!$Q$23/10)-1)+逐级计算!$Q$23*(W75-逐级计算!$P$23)*LN(10)/10),0)+LN(1+EXP(-ABS((LN(10^(逐级计算!$Q$23/10)-1)+逐级计算!$Q$23*(W75-逐级计算!$P$23)*LN(10)/10))))))),"")</f>
        <v>13.7930365742089</v>
      </c>
      <c r="Y75">
        <f>IF(AND(ISNUMBER(X75),逐级计算!$X$24&gt;-1),IF(逐级计算!$X$24=0,X75+逐级计算!$C$24,X75+逐级计算!$C$24-(10/(逐级计算!$Q$24*LN(10))*(MAX((LN(10^(逐级计算!$Q$24/10)-1)+逐级计算!$Q$24*(X75-逐级计算!$P$24)*LN(10)/10),0)+LN(1+EXP(-ABS((LN(10^(逐级计算!$Q$24/10)-1)+逐级计算!$Q$24*(X75-逐级计算!$P$24)*LN(10)/10))))))),"")</f>
        <v>13.7930365742089</v>
      </c>
      <c r="Z75">
        <f>IF(AND(ISNUMBER(Y75),逐级计算!$X$25&gt;-1),IF(逐级计算!$X$25=0,Y75+逐级计算!$C$25,Y75+逐级计算!$C$25-(10/(逐级计算!$Q$25*LN(10))*(MAX((LN(10^(逐级计算!$Q$25/10)-1)+逐级计算!$Q$25*(Y75-逐级计算!$P$25)*LN(10)/10),0)+LN(1+EXP(-ABS((LN(10^(逐级计算!$Q$25/10)-1)+逐级计算!$Q$25*(Y75-逐级计算!$P$25)*LN(10)/10))))))),"")</f>
        <v>13.7930365742089</v>
      </c>
      <c r="AA75">
        <f>IF(AND(ISNUMBER(Z75),逐级计算!$X$26&gt;-1),IF(逐级计算!$X$26=0,Z75+逐级计算!$C$26,Z75+逐级计算!$C$26-(10/(逐级计算!$Q$26*LN(10))*(MAX((LN(10^(逐级计算!$Q$26/10)-1)+逐级计算!$Q$26*(Z75-逐级计算!$P$26)*LN(10)/10),0)+LN(1+EXP(-ABS((LN(10^(逐级计算!$Q$26/10)-1)+逐级计算!$Q$26*(Z75-逐级计算!$P$26)*LN(10)/10))))))),"")</f>
        <v>13.7930365742089</v>
      </c>
      <c r="AB75">
        <f>IF(AND(ISNUMBER(AA75),逐级计算!$X$27&gt;-1),IF(逐级计算!$X$27=0,AA75+逐级计算!$C$27,AA75+逐级计算!$C$27-(10/(逐级计算!$Q$27*LN(10))*(MAX((LN(10^(逐级计算!$Q$27/10)-1)+逐级计算!$Q$27*(AA75-逐级计算!$P$27)*LN(10)/10),0)+LN(1+EXP(-ABS((LN(10^(逐级计算!$Q$27/10)-1)+逐级计算!$Q$27*(AA75-逐级计算!$P$27)*LN(10)/10))))))),"")</f>
        <v>13.7930365742089</v>
      </c>
      <c r="AC75">
        <f>IF(AND(ISNUMBER(AB75),逐级计算!$X$28&gt;-1),IF(逐级计算!$X$28=0,AB75+逐级计算!$C$28,AB75+逐级计算!$C$28-(10/(逐级计算!$Q$28*LN(10))*(MAX((LN(10^(逐级计算!$Q$28/10)-1)+逐级计算!$Q$28*(AB75-逐级计算!$P$28)*LN(10)/10),0)+LN(1+EXP(-ABS((LN(10^(逐级计算!$Q$28/10)-1)+逐级计算!$Q$28*(AB75-逐级计算!$P$28)*LN(10)/10))))))),"")</f>
        <v>13.7930365742089</v>
      </c>
      <c r="AD75">
        <f>IF(AND(ISNUMBER(AC75),逐级计算!$X$29&gt;-1),IF(逐级计算!$X$29=0,AC75+逐级计算!$C$29,AC75+逐级计算!$C$29-(10/(逐级计算!$Q$29*LN(10))*(MAX((LN(10^(逐级计算!$Q$29/10)-1)+逐级计算!$Q$29*(AC75-逐级计算!$P$29)*LN(10)/10),0)+LN(1+EXP(-ABS((LN(10^(逐级计算!$Q$29/10)-1)+逐级计算!$Q$29*(AC75-逐级计算!$P$29)*LN(10)/10))))))),"")</f>
        <v>13.7930365742089</v>
      </c>
      <c r="AE75">
        <f>IF(AND(ISNUMBER(AD75),逐级计算!$X$30&gt;-1),IF(逐级计算!$X$30=0,AD75+逐级计算!$C$30,AD75+逐级计算!$C$30-(10/(逐级计算!$Q$30*LN(10))*(MAX((LN(10^(逐级计算!$Q$30/10)-1)+逐级计算!$Q$30*(AD75-逐级计算!$P$30)*LN(10)/10),0)+LN(1+EXP(-ABS((LN(10^(逐级计算!$Q$30/10)-1)+逐级计算!$Q$30*(AD75-逐级计算!$P$30)*LN(10)/10))))))),"")</f>
        <v>13.7930365742089</v>
      </c>
      <c r="AF75">
        <f>IF(AND(ISNUMBER(AE75),逐级计算!$X$31&gt;-1),IF(逐级计算!$X$31=0,AE75+逐级计算!$C$31,AE75+逐级计算!$C$31-(10/(逐级计算!$Q$31*LN(10))*(MAX((LN(10^(逐级计算!$Q$31/10)-1)+逐级计算!$Q$31*(AE75-逐级计算!$P$31)*LN(10)/10),0)+LN(1+EXP(-ABS((LN(10^(逐级计算!$Q$31/10)-1)+逐级计算!$Q$31*(AE75-逐级计算!$P$31)*LN(10)/10))))))),"")</f>
        <v>13.7930365742089</v>
      </c>
      <c r="AG75">
        <f>IF(AND(ISNUMBER(AF75),逐级计算!$X$32&gt;-1),IF(逐级计算!$X$32=0,AF75+逐级计算!$C$32,AF75+逐级计算!$C$32-(10/(逐级计算!$Q$32*LN(10))*(MAX((LN(10^(逐级计算!$Q$32/10)-1)+逐级计算!$Q$32*(AF75-逐级计算!$P$32)*LN(10)/10),0)+LN(1+EXP(-ABS((LN(10^(逐级计算!$Q$32/10)-1)+逐级计算!$Q$32*(AF75-逐级计算!$P$32)*LN(10)/10))))))),"")</f>
        <v>13.7930365742089</v>
      </c>
      <c r="AH75">
        <f>IF(AND(ISNUMBER(AG75),逐级计算!$X$33&gt;-1),IF(逐级计算!$X$33=0,AG75+逐级计算!$C$33,AG75+逐级计算!$C$33-(10/(逐级计算!$Q$33*LN(10))*(MAX((LN(10^(逐级计算!$Q$33/10)-1)+逐级计算!$Q$33*(AG75-逐级计算!$P$33)*LN(10)/10),0)+LN(1+EXP(-ABS((LN(10^(逐级计算!$Q$33/10)-1)+逐级计算!$Q$33*(AG75-逐级计算!$P$33)*LN(10)/10))))))),"")</f>
        <v>13.7930365742089</v>
      </c>
      <c r="AI75">
        <f>IF(AND(ISNUMBER(AH75),逐级计算!$X$34&gt;-1),IF(逐级计算!$X$34=0,AH75+逐级计算!$C$34,AH75+逐级计算!$C$34-(10/(逐级计算!$Q$34*LN(10))*(MAX((LN(10^(逐级计算!$Q$34/10)-1)+逐级计算!$Q$34*(AH75-逐级计算!$P$34)*LN(10)/10),0)+LN(1+EXP(-ABS((LN(10^(逐级计算!$Q$34/10)-1)+逐级计算!$Q$34*(AH75-逐级计算!$P$34)*LN(10)/10))))))),"")</f>
        <v>13.7930365742089</v>
      </c>
      <c r="AJ75">
        <f>IF(AND(ISNUMBER(AI75),逐级计算!$X$35&gt;-1),IF(逐级计算!$X$35=0,AI75+逐级计算!$C$35,AI75+逐级计算!$C$35-(10/(逐级计算!$Q$35*LN(10))*(MAX((LN(10^(逐级计算!$Q$35/10)-1)+逐级计算!$Q$35*(AI75-逐级计算!$P$35)*LN(10)/10),0)+LN(1+EXP(-ABS((LN(10^(逐级计算!$Q$35/10)-1)+逐级计算!$Q$35*(AI75-逐级计算!$P$35)*LN(10)/10))))))),"")</f>
        <v>13.7930365742089</v>
      </c>
      <c r="AK75">
        <f>IF(AND(ISNUMBER(AJ75),逐级计算!$X$36&gt;-1),IF(逐级计算!$X$36=0,AJ75+逐级计算!$C$36,AJ75+逐级计算!$C$36-(10/(逐级计算!$Q$36*LN(10))*(MAX((LN(10^(逐级计算!$Q$36/10)-1)+逐级计算!$Q$36*(AJ75-逐级计算!$P$36)*LN(10)/10),0)+LN(1+EXP(-ABS((LN(10^(逐级计算!$Q$36/10)-1)+逐级计算!$Q$36*(AJ75-逐级计算!$P$36)*LN(10)/10))))))),"")</f>
        <v>13.7930365742089</v>
      </c>
      <c r="AL75">
        <f>IF(AND(ISNUMBER(AK75),逐级计算!$X$37&gt;-1),IF(逐级计算!$X$37=0,AK75+逐级计算!$C$37,AK75+逐级计算!$C$37-(10/(逐级计算!$Q$37*LN(10))*(MAX((LN(10^(逐级计算!$Q$37/10)-1)+逐级计算!$Q$37*(AK75-逐级计算!$P$37)*LN(10)/10),0)+LN(1+EXP(-ABS((LN(10^(逐级计算!$Q$37/10)-1)+逐级计算!$Q$37*(AK75-逐级计算!$P$37)*LN(10)/10))))))),"")</f>
        <v>13.7930365742089</v>
      </c>
      <c r="AM75">
        <f>IF(AND(ISNUMBER(AL75),逐级计算!$X$38&gt;-1),IF(逐级计算!$X$38=0,AL75+逐级计算!$C$38,AL75+逐级计算!$C$38-(10/(逐级计算!$Q$38*LN(10))*(MAX((LN(10^(逐级计算!$Q$38/10)-1)+逐级计算!$Q$38*(AL75-逐级计算!$P$38)*LN(10)/10),0)+LN(1+EXP(-ABS((LN(10^(逐级计算!$Q$38/10)-1)+逐级计算!$Q$38*(AL75-逐级计算!$P$38)*LN(10)/10))))))),"")</f>
        <v>13.7930365742089</v>
      </c>
      <c r="AN75">
        <f>IF(AND(ISNUMBER(AM75),逐级计算!$X$39&gt;-1),IF(逐级计算!$X$39=0,AM75+逐级计算!$C$39,AM75+逐级计算!$C$39-(10/(逐级计算!$Q$39*LN(10))*(MAX((LN(10^(逐级计算!$Q$39/10)-1)+逐级计算!$Q$39*(AM75-逐级计算!$P$39)*LN(10)/10),0)+LN(1+EXP(-ABS((LN(10^(逐级计算!$Q$39/10)-1)+逐级计算!$Q$39*(AM75-逐级计算!$P$39)*LN(10)/10))))))),"")</f>
        <v>13.7930365742089</v>
      </c>
      <c r="AO75">
        <f>IF(AND(ISNUMBER(AN75),逐级计算!$X$40&gt;-1),IF(逐级计算!$X$40=0,AN75+逐级计算!$C$40,AN75+逐级计算!$C$40-(10/(逐级计算!$Q$40*LN(10))*(MAX((LN(10^(逐级计算!$Q$40/10)-1)+逐级计算!$Q$40*(AN75-逐级计算!$P$40)*LN(10)/10),0)+LN(1+EXP(-ABS((LN(10^(逐级计算!$Q$40/10)-1)+逐级计算!$Q$40*(AN75-逐级计算!$P$40)*LN(10)/10))))))),"")</f>
        <v>13.7930365742089</v>
      </c>
      <c r="AP75">
        <f>IF(AND(ISNUMBER(AO75),逐级计算!$X$41&gt;-1),IF(逐级计算!$X$41=0,AO75+逐级计算!$C$41,AO75+逐级计算!$C$41-(10/(逐级计算!$Q$41*LN(10))*(MAX((LN(10^(逐级计算!$Q$41/10)-1)+逐级计算!$Q$41*(AO75-逐级计算!$P$41)*LN(10)/10),0)+LN(1+EXP(-ABS((LN(10^(逐级计算!$Q$41/10)-1)+逐级计算!$Q$41*(AO75-逐级计算!$P$41)*LN(10)/10))))))),"")</f>
        <v>13.7930365742089</v>
      </c>
      <c r="AQ75">
        <f>IF(AND(ISNUMBER(AP75),逐级计算!$X$42&gt;-1),IF(逐级计算!$X$42=0,AP75+逐级计算!$C$42,AP75+逐级计算!$C$42-(10/(逐级计算!$Q$42*LN(10))*(MAX((LN(10^(逐级计算!$Q$42/10)-1)+逐级计算!$Q$42*(AP75-逐级计算!$P$42)*LN(10)/10),0)+LN(1+EXP(-ABS((LN(10^(逐级计算!$Q$42/10)-1)+逐级计算!$Q$42*(AP75-逐级计算!$P$42)*LN(10)/10))))))),"")</f>
        <v>13.7930365742089</v>
      </c>
      <c r="AR75">
        <f>IF(AND(ISNUMBER(AQ75),逐级计算!$X$43&gt;-1),IF(逐级计算!$X$43=0,AQ75+逐级计算!$C$43,AQ75+逐级计算!$C$43-(10/(逐级计算!$Q$43*LN(10))*(MAX((LN(10^(逐级计算!$Q$43/10)-1)+逐级计算!$Q$43*(AQ75-逐级计算!$P$43)*LN(10)/10),0)+LN(1+EXP(-ABS((LN(10^(逐级计算!$Q$43/10)-1)+逐级计算!$Q$43*(AQ75-逐级计算!$P$43)*LN(10)/10))))))),"")</f>
        <v>13.7930365742089</v>
      </c>
      <c r="AS75">
        <f>IF(AND(ISNUMBER(AR75),逐级计算!$X$44&gt;-1),IF(逐级计算!$X$44=0,AR75+逐级计算!$C$44,AR75+逐级计算!$C$44-(10/(逐级计算!$Q$44*LN(10))*(MAX((LN(10^(逐级计算!$Q$44/10)-1)+逐级计算!$Q$44*(AR75-逐级计算!$P$44)*LN(10)/10),0)+LN(1+EXP(-ABS((LN(10^(逐级计算!$Q$44/10)-1)+逐级计算!$Q$44*(AR75-逐级计算!$P$44)*LN(10)/10))))))),"")</f>
        <v>13.7930365742089</v>
      </c>
      <c r="AT75">
        <f>IF(AND(ISNUMBER(AS75),逐级计算!$X$45&gt;-1),IF(逐级计算!$X$45=0,AS75+逐级计算!$C$45,AS75+逐级计算!$C$45-(10/(逐级计算!$Q$45*LN(10))*(MAX((LN(10^(逐级计算!$Q$45/10)-1)+逐级计算!$Q$45*(AS75-逐级计算!$P$45)*LN(10)/10),0)+LN(1+EXP(-ABS((LN(10^(逐级计算!$Q$45/10)-1)+逐级计算!$Q$45*(AS75-逐级计算!$P$45)*LN(10)/10))))))),"")</f>
        <v>13.7930365742089</v>
      </c>
      <c r="AU75">
        <f>IF(AND(ISNUMBER(AT75),逐级计算!$X$46&gt;-1),IF(逐级计算!$X$46=0,AT75+逐级计算!$C$46,AT75+逐级计算!$C$46-(10/(逐级计算!$Q$46*LN(10))*(MAX((LN(10^(逐级计算!$Q$46/10)-1)+逐级计算!$Q$46*(AT75-逐级计算!$P$46)*LN(10)/10),0)+LN(1+EXP(-ABS((LN(10^(逐级计算!$Q$46/10)-1)+逐级计算!$Q$46*(AT75-逐级计算!$P$46)*LN(10)/10))))))),"")</f>
        <v>13.7930365742089</v>
      </c>
      <c r="AV75">
        <f>IF(AND(ISNUMBER(AU75),逐级计算!$X$47&gt;-1),IF(逐级计算!$X$47=0,AU75+逐级计算!$C$47,AU75+逐级计算!$C$47-(10/(逐级计算!$Q$47*LN(10))*(MAX((LN(10^(逐级计算!$Q$47/10)-1)+逐级计算!$Q$47*(AU75-逐级计算!$P$47)*LN(10)/10),0)+LN(1+EXP(-ABS((LN(10^(逐级计算!$Q$47/10)-1)+逐级计算!$Q$47*(AU75-逐级计算!$P$47)*LN(10)/10))))))),"")</f>
        <v>13.7930365742089</v>
      </c>
      <c r="AW75">
        <f>IF(AND(ISNUMBER(AV75),逐级计算!$X$48&gt;-1),IF(逐级计算!$X$48=0,AV75+逐级计算!$C$48,AV75+逐级计算!$C$48-(10/(逐级计算!$Q$48*LN(10))*(MAX((LN(10^(逐级计算!$Q$48/10)-1)+逐级计算!$Q$48*(AV75-逐级计算!$P$48)*LN(10)/10),0)+LN(1+EXP(-ABS((LN(10^(逐级计算!$Q$48/10)-1)+逐级计算!$Q$48*(AV75-逐级计算!$P$48)*LN(10)/10))))))),"")</f>
        <v>13.7930365742089</v>
      </c>
      <c r="AX75">
        <f>IF(AND(ISNUMBER(AW75),逐级计算!$X$49&gt;-1),IF(逐级计算!$X$49=0,AW75+逐级计算!$C$49,AW75+逐级计算!$C$49-(10/(逐级计算!$Q$49*LN(10))*(MAX((LN(10^(逐级计算!$Q$49/10)-1)+逐级计算!$Q$49*(AW75-逐级计算!$P$49)*LN(10)/10),0)+LN(1+EXP(-ABS((LN(10^(逐级计算!$Q$49/10)-1)+逐级计算!$Q$49*(AW75-逐级计算!$P$49)*LN(10)/10))))))),"")</f>
        <v>13.7930365742089</v>
      </c>
      <c r="AY75">
        <f>IF(AND(ISNUMBER(AX75),逐级计算!$X$50&gt;-1),IF(逐级计算!$X$50=0,AX75+逐级计算!$C$50,AX75+逐级计算!$C$50-(10/(逐级计算!$Q$50*LN(10))*(MAX((LN(10^(逐级计算!$Q$50/10)-1)+逐级计算!$Q$50*(AX75-逐级计算!$P$50)*LN(10)/10),0)+LN(1+EXP(-ABS((LN(10^(逐级计算!$Q$50/10)-1)+逐级计算!$Q$50*(AX75-逐级计算!$P$50)*LN(10)/10))))))),"")</f>
        <v>13.7930365742089</v>
      </c>
      <c r="AZ75">
        <f>IF(AND(ISNUMBER(AY75),逐级计算!$X$51&gt;-1),IF(逐级计算!$X$51=0,AY75+逐级计算!$C$51,AY75+逐级计算!$C$51-(10/(逐级计算!$Q$51*LN(10))*(MAX((LN(10^(逐级计算!$Q$51/10)-1)+逐级计算!$Q$51*(AY75-逐级计算!$P$51)*LN(10)/10),0)+LN(1+EXP(-ABS((LN(10^(逐级计算!$Q$51/10)-1)+逐级计算!$Q$51*(AY75-逐级计算!$P$51)*LN(10)/10))))))),"")</f>
        <v>13.7930365742089</v>
      </c>
      <c r="BA75">
        <f>IF(AND(ISNUMBER(AZ75),逐级计算!$X$52&gt;-1),IF(逐级计算!$X$52=0,AZ75+逐级计算!$C$52,AZ75+逐级计算!$C$52-(10/(逐级计算!$Q$52*LN(10))*(MAX((LN(10^(逐级计算!$Q$52/10)-1)+逐级计算!$Q$52*(AZ75-逐级计算!$P$52)*LN(10)/10),0)+LN(1+EXP(-ABS((LN(10^(逐级计算!$Q$52/10)-1)+逐级计算!$Q$52*(AZ75-逐级计算!$P$52)*LN(10)/10))))))),"")</f>
        <v>13.7930365742089</v>
      </c>
      <c r="BB75">
        <f>IF(AND(ISNUMBER(BA75),逐级计算!$X$53&gt;-1),IF(逐级计算!$X$53=0,BA75+逐级计算!$C$53,BA75+逐级计算!$C$53-(10/(逐级计算!$Q$53*LN(10))*(MAX((LN(10^(逐级计算!$Q$53/10)-1)+逐级计算!$Q$53*(BA75-逐级计算!$P$53)*LN(10)/10),0)+LN(1+EXP(-ABS((LN(10^(逐级计算!$Q$53/10)-1)+逐级计算!$Q$53*(BA75-逐级计算!$P$53)*LN(10)/10))))))),"")</f>
        <v>13.7930365742089</v>
      </c>
      <c r="BC75">
        <f>IF(AND(ISNUMBER(BB75),逐级计算!$X$54&gt;-1),IF(逐级计算!$X$54=0,BB75+逐级计算!$C$54,BB75+逐级计算!$C$54-(10/(逐级计算!$Q$54*LN(10))*(MAX((LN(10^(逐级计算!$Q$54/10)-1)+逐级计算!$Q$54*(BB75-逐级计算!$P$54)*LN(10)/10),0)+LN(1+EXP(-ABS((LN(10^(逐级计算!$Q$54/10)-1)+逐级计算!$Q$54*(BB75-逐级计算!$P$54)*LN(10)/10))))))),"")</f>
        <v>13.7930365742089</v>
      </c>
      <c r="BD75">
        <f>IF(AND(ISNUMBER(BC75),逐级计算!$X$55&gt;-1),IF(逐级计算!$X$55=0,BC75+逐级计算!$C$55,BC75+逐级计算!$C$55-(10/(逐级计算!$Q$55*LN(10))*(MAX((LN(10^(逐级计算!$Q$55/10)-1)+逐级计算!$Q$55*(BC75-逐级计算!$P$55)*LN(10)/10),0)+LN(1+EXP(-ABS((LN(10^(逐级计算!$Q$55/10)-1)+逐级计算!$Q$55*(BC75-逐级计算!$P$55)*LN(10)/10))))))),"")</f>
        <v>13.7930365742089</v>
      </c>
      <c r="BE75">
        <f>IF(AND(ISNUMBER(BD75),逐级计算!$X$56&gt;-1),IF(逐级计算!$X$56=0,BD75+逐级计算!$C$56,BD75+逐级计算!$C$56-(10/(逐级计算!$Q$56*LN(10))*(MAX((LN(10^(逐级计算!$Q$56/10)-1)+逐级计算!$Q$56*(BD75-逐级计算!$P$56)*LN(10)/10),0)+LN(1+EXP(-ABS((LN(10^(逐级计算!$Q$56/10)-1)+逐级计算!$Q$56*(BD75-逐级计算!$P$56)*LN(10)/10))))))),"")</f>
        <v>13.7930365742089</v>
      </c>
      <c r="BF75">
        <f>IF(AND(ISNUMBER(BE75),逐级计算!$X$57&gt;-1),IF(逐级计算!$X$57=0,BE75+逐级计算!$C$57,BE75+逐级计算!$C$57-(10/(逐级计算!$Q$57*LN(10))*(MAX((LN(10^(逐级计算!$Q$57/10)-1)+逐级计算!$Q$57*(BE75-逐级计算!$P$57)*LN(10)/10),0)+LN(1+EXP(-ABS((LN(10^(逐级计算!$Q$57/10)-1)+逐级计算!$Q$57*(BE75-逐级计算!$P$57)*LN(10)/10))))))),"")</f>
        <v>13.7930365742089</v>
      </c>
      <c r="BG75">
        <f>IF(AND(ISNUMBER(BF75),逐级计算!$X$58&gt;-1),IF(逐级计算!$X$58=0,BF75+逐级计算!$C$58,BF75+逐级计算!$C$58-(10/(逐级计算!$Q$58*LN(10))*(MAX((LN(10^(逐级计算!$Q$58/10)-1)+逐级计算!$Q$58*(BF75-逐级计算!$P$58)*LN(10)/10),0)+LN(1+EXP(-ABS((LN(10^(逐级计算!$Q$58/10)-1)+逐级计算!$Q$58*(BF75-逐级计算!$P$58)*LN(10)/10))))))),"")</f>
        <v>13.7930365742089</v>
      </c>
      <c r="BH75">
        <f>IF(AND(ISNUMBER(BG75),逐级计算!$X$59&gt;-1),IF(逐级计算!$X$59=0,BG75+逐级计算!$C$59,BG75+逐级计算!$C$59-(10/(逐级计算!$Q$59*LN(10))*(MAX((LN(10^(逐级计算!$Q$59/10)-1)+逐级计算!$Q$59*(BG75-逐级计算!$P$59)*LN(10)/10),0)+LN(1+EXP(-ABS((LN(10^(逐级计算!$Q$59/10)-1)+逐级计算!$Q$59*(BG75-逐级计算!$P$59)*LN(10)/10))))))),"")</f>
        <v>13.7930365742089</v>
      </c>
      <c r="BI75">
        <f>IF(AND(ISNUMBER(BH75),逐级计算!$X$60&gt;-1),IF(逐级计算!$X$60=0,BH75+逐级计算!$C$60,BH75+逐级计算!$C$60-(10/(逐级计算!$Q$60*LN(10))*(MAX((LN(10^(逐级计算!$Q$60/10)-1)+逐级计算!$Q$60*(BH75-逐级计算!$P$60)*LN(10)/10),0)+LN(1+EXP(-ABS((LN(10^(逐级计算!$Q$60/10)-1)+逐级计算!$Q$60*(BH75-逐级计算!$P$60)*LN(10)/10))))))),"")</f>
        <v>13.7930365742089</v>
      </c>
      <c r="BJ75">
        <f>IF(AND(ISNUMBER(BI75),逐级计算!$X$61&gt;-1),IF(逐级计算!$X$61=0,BI75+逐级计算!$C$61,BI75+逐级计算!$C$61-(10/(逐级计算!$Q$61*LN(10))*(MAX((LN(10^(逐级计算!$Q$61/10)-1)+逐级计算!$Q$61*(BI75-逐级计算!$P$61)*LN(10)/10),0)+LN(1+EXP(-ABS((LN(10^(逐级计算!$Q$61/10)-1)+逐级计算!$Q$61*(BI75-逐级计算!$P$61)*LN(10)/10))))))),"")</f>
        <v>13.7930365742089</v>
      </c>
      <c r="BK75">
        <f>IF(AND(ISNUMBER(BJ75),逐级计算!$X$62&gt;-1),IF(逐级计算!$X$62=0,BJ75+逐级计算!$C$62,BJ75+逐级计算!$C$62-(10/(逐级计算!$Q$62*LN(10))*(MAX((LN(10^(逐级计算!$Q$62/10)-1)+逐级计算!$Q$62*(BJ75-逐级计算!$P$62)*LN(10)/10),0)+LN(1+EXP(-ABS((LN(10^(逐级计算!$Q$62/10)-1)+逐级计算!$Q$62*(BJ75-逐级计算!$P$62)*LN(10)/10))))))),"")</f>
        <v>13.7930365742089</v>
      </c>
      <c r="BL75">
        <f>IF(AND(ISNUMBER(BK75),逐级计算!$X$63&gt;-1),IF(逐级计算!$X$63=0,BK75+逐级计算!$C$63,BK75+逐级计算!$C$63-(10/(逐级计算!$Q$63*LN(10))*(MAX((LN(10^(逐级计算!$Q$63/10)-1)+逐级计算!$Q$63*(BK75-逐级计算!$P$63)*LN(10)/10),0)+LN(1+EXP(-ABS((LN(10^(逐级计算!$Q$63/10)-1)+逐级计算!$Q$63*(BK75-逐级计算!$P$63)*LN(10)/10))))))),"")</f>
        <v>13.7930365742089</v>
      </c>
      <c r="BM75">
        <f>IF(AND(ISNUMBER(BL75),逐级计算!$X$64&gt;-1),IF(逐级计算!$X$64=0,BL75+逐级计算!$C$64,BL75+逐级计算!$C$64-(10/(逐级计算!$Q$64*LN(10))*(MAX((LN(10^(逐级计算!$Q$64/10)-1)+逐级计算!$Q$64*(BL75-逐级计算!$P$64)*LN(10)/10),0)+LN(1+EXP(-ABS((LN(10^(逐级计算!$Q$64/10)-1)+逐级计算!$Q$64*(BL75-逐级计算!$P$64)*LN(10)/10))))))),"")</f>
        <v>13.7930365742089</v>
      </c>
      <c r="BN75">
        <f>IF(AND(ISNUMBER(BM75),逐级计算!$X$65&gt;-1),IF(逐级计算!$X$65=0,BM75+逐级计算!$C$65,BM75+逐级计算!$C$65-(10/(逐级计算!$Q$65*LN(10))*(MAX((LN(10^(逐级计算!$Q$65/10)-1)+逐级计算!$Q$65*(BM75-逐级计算!$P$65)*LN(10)/10),0)+LN(1+EXP(-ABS((LN(10^(逐级计算!$Q$65/10)-1)+逐级计算!$Q$65*(BM75-逐级计算!$P$65)*LN(10)/10))))))),"")</f>
        <v>13.7930365742089</v>
      </c>
      <c r="BO75">
        <f>IF(AND(ISNUMBER(BN75),逐级计算!$X$66&gt;-1),IF(逐级计算!$X$66=0,BN75+逐级计算!$C$66,BN75+逐级计算!$C$66-(10/(逐级计算!$Q$66*LN(10))*(MAX((LN(10^(逐级计算!$Q$66/10)-1)+逐级计算!$Q$66*(BN75-逐级计算!$P$66)*LN(10)/10),0)+LN(1+EXP(-ABS((LN(10^(逐级计算!$Q$66/10)-1)+逐级计算!$Q$66*(BN75-逐级计算!$P$66)*LN(10)/10))))))),"")</f>
        <v>13.7930365742089</v>
      </c>
      <c r="BP75">
        <f>IF(AND(ISNUMBER(BO75),逐级计算!$X$67&gt;-1),IF(逐级计算!$X$67=0,BO75+逐级计算!$C$67,BO75+逐级计算!$C$67-(10/(逐级计算!$Q$67*LN(10))*(MAX((LN(10^(逐级计算!$Q$67/10)-1)+逐级计算!$Q$67*(BO75-逐级计算!$P$67)*LN(10)/10),0)+LN(1+EXP(-ABS((LN(10^(逐级计算!$Q$67/10)-1)+逐级计算!$Q$67*(BO75-逐级计算!$P$67)*LN(10)/10))))))),"")</f>
        <v>13.7930365742089</v>
      </c>
      <c r="BQ75">
        <f>IF(AND(ISNUMBER(BP75),逐级计算!$X$68&gt;-1),IF(逐级计算!$X$68=0,BP75+逐级计算!$C$68,BP75+逐级计算!$C$68-(10/(逐级计算!$Q$68*LN(10))*(MAX((LN(10^(逐级计算!$Q$68/10)-1)+逐级计算!$Q$68*(BP75-逐级计算!$P$68)*LN(10)/10),0)+LN(1+EXP(-ABS((LN(10^(逐级计算!$Q$68/10)-1)+逐级计算!$Q$68*(BP75-逐级计算!$P$68)*LN(10)/10))))))),"")</f>
        <v>13.7930365742089</v>
      </c>
      <c r="BR75">
        <f>IF(AND(ISNUMBER(BQ75),逐级计算!$X$69&gt;-1),IF(逐级计算!$X$69=0,BQ75+逐级计算!$C$69,BQ75+逐级计算!$C$69-(10/(逐级计算!$Q$69*LN(10))*(MAX((LN(10^(逐级计算!$Q$69/10)-1)+逐级计算!$Q$69*(BQ75-逐级计算!$P$69)*LN(10)/10),0)+LN(1+EXP(-ABS((LN(10^(逐级计算!$Q$69/10)-1)+逐级计算!$Q$69*(BQ75-逐级计算!$P$69)*LN(10)/10))))))),"")</f>
        <v>13.7930365742089</v>
      </c>
      <c r="BS75">
        <f>IF(AND(ISNUMBER(BR75),逐级计算!$X$70&gt;-1),IF(逐级计算!$X$70=0,BR75+逐级计算!$C$70,BR75+逐级计算!$C$70-(10/(逐级计算!$Q$70*LN(10))*(MAX((LN(10^(逐级计算!$Q$70/10)-1)+逐级计算!$Q$70*(BR75-逐级计算!$P$70)*LN(10)/10),0)+LN(1+EXP(-ABS((LN(10^(逐级计算!$Q$70/10)-1)+逐级计算!$Q$70*(BR75-逐级计算!$P$70)*LN(10)/10))))))),"")</f>
        <v>13.7930365742089</v>
      </c>
      <c r="BT75">
        <f>IF(AND(ISNUMBER(BS75),逐级计算!$X$71&gt;-1),IF(逐级计算!$X$71=0,BS75+逐级计算!$C$71,BS75+逐级计算!$C$71-(10/(逐级计算!$Q$71*LN(10))*(MAX((LN(10^(逐级计算!$Q$71/10)-1)+逐级计算!$Q$71*(BS75-逐级计算!$P$71)*LN(10)/10),0)+LN(1+EXP(-ABS((LN(10^(逐级计算!$Q$71/10)-1)+逐级计算!$Q$71*(BS75-逐级计算!$P$71)*LN(10)/10))))))),"")</f>
        <v>13.7930365742089</v>
      </c>
      <c r="BU75">
        <f>IF(AND(ISNUMBER(BT75),逐级计算!$X$72&gt;-1),IF(逐级计算!$X$72=0,BT75+逐级计算!$C$72,BT75+逐级计算!$C$72-(10/(逐级计算!$Q$72*LN(10))*(MAX((LN(10^(逐级计算!$Q$72/10)-1)+逐级计算!$Q$72*(BT75-逐级计算!$P$72)*LN(10)/10),0)+LN(1+EXP(-ABS((LN(10^(逐级计算!$Q$72/10)-1)+逐级计算!$Q$72*(BT75-逐级计算!$P$72)*LN(10)/10))))))),"")</f>
        <v>13.7930365742089</v>
      </c>
      <c r="BV75">
        <f>IF(AND(ISNUMBER(BU75),逐级计算!$X$73&gt;-1),IF(逐级计算!$X$73=0,BU75+逐级计算!$C$73,BU75+逐级计算!$C$73-(10/(逐级计算!$Q$73*LN(10))*(MAX((LN(10^(逐级计算!$Q$73/10)-1)+逐级计算!$Q$73*(BU75-逐级计算!$P$73)*LN(10)/10),0)+LN(1+EXP(-ABS((LN(10^(逐级计算!$Q$73/10)-1)+逐级计算!$Q$73*(BU75-逐级计算!$P$73)*LN(10)/10))))))),"")</f>
        <v>13.7930365742089</v>
      </c>
      <c r="BW75">
        <f>IF(AND(ISNUMBER(BV75),逐级计算!$X$74&gt;-1),IF(逐级计算!$X$74=0,BV75+逐级计算!$C$74,BV75+逐级计算!$C$74-(10/(逐级计算!$Q$74*LN(10))*(MAX((LN(10^(逐级计算!$Q$74/10)-1)+逐级计算!$Q$74*(BV75-逐级计算!$P$74)*LN(10)/10),0)+LN(1+EXP(-ABS((LN(10^(逐级计算!$Q$74/10)-1)+逐级计算!$Q$74*(BV75-逐级计算!$P$74)*LN(10)/10))))))),"")</f>
        <v>13.7930365742089</v>
      </c>
      <c r="BX75">
        <f>IF(AND(ISNUMBER(BW75),逐级计算!$X$75&gt;-1),IF(逐级计算!$X$75=0,BW75+逐级计算!$C$75,BW75+逐级计算!$C$75-(10/(逐级计算!$Q$75*LN(10))*(MAX((LN(10^(逐级计算!$Q$75/10)-1)+逐级计算!$Q$75*(BW75-逐级计算!$P$75)*LN(10)/10),0)+LN(1+EXP(-ABS((LN(10^(逐级计算!$Q$75/10)-1)+逐级计算!$Q$75*(BW75-逐级计算!$P$75)*LN(10)/10))))))),"")</f>
        <v>13.7930365742089</v>
      </c>
      <c r="BY75">
        <f>IF(AND(ISNUMBER(BX75),逐级计算!$X$76&gt;-1),IF(逐级计算!$X$76=0,BX75+逐级计算!$C$76,BX75+逐级计算!$C$76-(10/(逐级计算!$Q$76*LN(10))*(MAX((LN(10^(逐级计算!$Q$76/10)-1)+逐级计算!$Q$76*(BX75-逐级计算!$P$76)*LN(10)/10),0)+LN(1+EXP(-ABS((LN(10^(逐级计算!$Q$76/10)-1)+逐级计算!$Q$76*(BX75-逐级计算!$P$76)*LN(10)/10))))))),"")</f>
        <v>13.7930365742089</v>
      </c>
      <c r="BZ75">
        <f>IF(AND(ISNUMBER(BY75),逐级计算!$X$77&gt;-1),IF(逐级计算!$X$77=0,BY75+逐级计算!$C$77,BY75+逐级计算!$C$77-(10/(逐级计算!$Q$77*LN(10))*(MAX((LN(10^(逐级计算!$Q$77/10)-1)+逐级计算!$Q$77*(BY75-逐级计算!$P$77)*LN(10)/10),0)+LN(1+EXP(-ABS((LN(10^(逐级计算!$Q$77/10)-1)+逐级计算!$Q$77*(BY75-逐级计算!$P$77)*LN(10)/10))))))),"")</f>
        <v>13.7930365742089</v>
      </c>
      <c r="CA75">
        <f>IF(AND(ISNUMBER(BZ75),逐级计算!$X$78&gt;-1),IF(逐级计算!$X$78=0,BZ75+逐级计算!$C$78,BZ75+逐级计算!$C$78-(10/(逐级计算!$Q$78*LN(10))*(MAX((LN(10^(逐级计算!$Q$78/10)-1)+逐级计算!$Q$78*(BZ75-逐级计算!$P$78)*LN(10)/10),0)+LN(1+EXP(-ABS((LN(10^(逐级计算!$Q$78/10)-1)+逐级计算!$Q$78*(BZ75-逐级计算!$P$78)*LN(10)/10))))))),"")</f>
        <v>13.7930365742089</v>
      </c>
      <c r="CB75">
        <f>IF(AND(ISNUMBER(CA75),逐级计算!$X$79&gt;-1),IF(逐级计算!$X$79=0,CA75+逐级计算!$C$79,CA75+逐级计算!$C$79-(10/(逐级计算!$Q$79*LN(10))*(MAX((LN(10^(逐级计算!$Q$79/10)-1)+逐级计算!$Q$79*(CA75-逐级计算!$P$79)*LN(10)/10),0)+LN(1+EXP(-ABS((LN(10^(逐级计算!$Q$79/10)-1)+逐级计算!$Q$79*(CA75-逐级计算!$P$79)*LN(10)/10))))))),"")</f>
        <v>13.7930365742089</v>
      </c>
      <c r="CC75">
        <f>IF(AND(ISNUMBER(CB75),逐级计算!$X$80&gt;-1),IF(逐级计算!$X$80=0,CB75+逐级计算!$C$80,CB75+逐级计算!$C$80-(10/(逐级计算!$Q$80*LN(10))*(MAX((LN(10^(逐级计算!$Q$80/10)-1)+逐级计算!$Q$80*(CB75-逐级计算!$P$80)*LN(10)/10),0)+LN(1+EXP(-ABS((LN(10^(逐级计算!$Q$80/10)-1)+逐级计算!$Q$80*(CB75-逐级计算!$P$80)*LN(10)/10))))))),"")</f>
        <v>13.7930365742089</v>
      </c>
      <c r="CD75">
        <f>IF(AND(ISNUMBER(CC75),逐级计算!$X$81&gt;-1),IF(逐级计算!$X$81=0,CC75+逐级计算!$C$81,CC75+逐级计算!$C$81-(10/(逐级计算!$Q$81*LN(10))*(MAX((LN(10^(逐级计算!$Q$81/10)-1)+逐级计算!$Q$81*(CC75-逐级计算!$P$81)*LN(10)/10),0)+LN(1+EXP(-ABS((LN(10^(逐级计算!$Q$81/10)-1)+逐级计算!$Q$81*(CC75-逐级计算!$P$81)*LN(10)/10))))))),"")</f>
        <v>13.7930365742089</v>
      </c>
      <c r="CE75">
        <f>IF(AND(ISNUMBER(CD75),逐级计算!$X$82&gt;-1),IF(逐级计算!$X$82=0,CD75+逐级计算!$C$82,CD75+逐级计算!$C$82-(10/(逐级计算!$Q$82*LN(10))*(MAX((LN(10^(逐级计算!$Q$82/10)-1)+逐级计算!$Q$82*(CD75-逐级计算!$P$82)*LN(10)/10),0)+LN(1+EXP(-ABS((LN(10^(逐级计算!$Q$82/10)-1)+逐级计算!$Q$82*(CD75-逐级计算!$P$82)*LN(10)/10))))))),"")</f>
        <v>13.7930365742089</v>
      </c>
      <c r="CF75">
        <f>IF(AND(ISNUMBER(CE75),逐级计算!$X$83&gt;-1),IF(逐级计算!$X$83=0,CE75+逐级计算!$C$83,CE75+逐级计算!$C$83-(10/(逐级计算!$Q$83*LN(10))*(MAX((LN(10^(逐级计算!$Q$83/10)-1)+逐级计算!$Q$83*(CE75-逐级计算!$P$83)*LN(10)/10),0)+LN(1+EXP(-ABS((LN(10^(逐级计算!$Q$83/10)-1)+逐级计算!$Q$83*(CE75-逐级计算!$P$83)*LN(10)/10))))))),"")</f>
        <v>13.7930365742089</v>
      </c>
      <c r="CG75">
        <f>IF(AND(ISNUMBER(CF75),逐级计算!$X$84&gt;-1),IF(逐级计算!$X$84=0,CF75+逐级计算!$C$84,CF75+逐级计算!$C$84-(10/(逐级计算!$Q$84*LN(10))*(MAX((LN(10^(逐级计算!$Q$84/10)-1)+逐级计算!$Q$84*(CF75-逐级计算!$P$84)*LN(10)/10),0)+LN(1+EXP(-ABS((LN(10^(逐级计算!$Q$84/10)-1)+逐级计算!$Q$84*(CF75-逐级计算!$P$84)*LN(10)/10))))))),"")</f>
        <v>13.7930365742089</v>
      </c>
      <c r="CH75">
        <f>IF(AND(ISNUMBER(CG75),逐级计算!$X$85&gt;-1),IF(逐级计算!$X$85=0,CG75+逐级计算!$C$85,CG75+逐级计算!$C$85-(10/(逐级计算!$Q$85*LN(10))*(MAX((LN(10^(逐级计算!$Q$85/10)-1)+逐级计算!$Q$85*(CG75-逐级计算!$P$85)*LN(10)/10),0)+LN(1+EXP(-ABS((LN(10^(逐级计算!$Q$85/10)-1)+逐级计算!$Q$85*(CG75-逐级计算!$P$85)*LN(10)/10))))))),"")</f>
        <v>13.7930365742089</v>
      </c>
      <c r="CI75">
        <f>IF(AND(ISNUMBER(CH75),逐级计算!$X$86&gt;-1),IF(逐级计算!$X$86=0,CH75+逐级计算!$C$86,CH75+逐级计算!$C$86-(10/(逐级计算!$Q$86*LN(10))*(MAX((LN(10^(逐级计算!$Q$86/10)-1)+逐级计算!$Q$86*(CH75-逐级计算!$P$86)*LN(10)/10),0)+LN(1+EXP(-ABS((LN(10^(逐级计算!$Q$86/10)-1)+逐级计算!$Q$86*(CH75-逐级计算!$P$86)*LN(10)/10))))))),"")</f>
        <v>13.7930365742089</v>
      </c>
      <c r="CJ75">
        <f>IF(AND(ISNUMBER(CI75),逐级计算!$X$87&gt;-1),IF(逐级计算!$X$87=0,CI75+逐级计算!$C$87,CI75+逐级计算!$C$87-(10/(逐级计算!$Q$87*LN(10))*(MAX((LN(10^(逐级计算!$Q$87/10)-1)+逐级计算!$Q$87*(CI75-逐级计算!$P$87)*LN(10)/10),0)+LN(1+EXP(-ABS((LN(10^(逐级计算!$Q$87/10)-1)+逐级计算!$Q$87*(CI75-逐级计算!$P$87)*LN(10)/10))))))),"")</f>
        <v>13.7930365742089</v>
      </c>
      <c r="CK75">
        <f>IF(AND(ISNUMBER(CJ75),逐级计算!$X$88&gt;-1),IF(逐级计算!$X$88=0,CJ75+逐级计算!$C$88,CJ75+逐级计算!$C$88-(10/(逐级计算!$Q$88*LN(10))*(MAX((LN(10^(逐级计算!$Q$88/10)-1)+逐级计算!$Q$88*(CJ75-逐级计算!$P$88)*LN(10)/10),0)+LN(1+EXP(-ABS((LN(10^(逐级计算!$Q$88/10)-1)+逐级计算!$Q$88*(CJ75-逐级计算!$P$88)*LN(10)/10))))))),"")</f>
        <v>13.7930365742089</v>
      </c>
      <c r="CL75">
        <f>IF(AND(ISNUMBER(CK75),逐级计算!$X$89&gt;-1),IF(逐级计算!$X$89=0,CK75+逐级计算!$C$89,CK75+逐级计算!$C$89-(10/(逐级计算!$Q$89*LN(10))*(MAX((LN(10^(逐级计算!$Q$89/10)-1)+逐级计算!$Q$89*(CK75-逐级计算!$P$89)*LN(10)/10),0)+LN(1+EXP(-ABS((LN(10^(逐级计算!$Q$89/10)-1)+逐级计算!$Q$89*(CK75-逐级计算!$P$89)*LN(10)/10))))))),"")</f>
        <v>13.7930365742089</v>
      </c>
      <c r="CM75">
        <f>IF(AND(ISNUMBER(CL75),逐级计算!$X$90&gt;-1),IF(逐级计算!$X$90=0,CL75+逐级计算!$C$90,CL75+逐级计算!$C$90-(10/(逐级计算!$Q$90*LN(10))*(MAX((LN(10^(逐级计算!$Q$90/10)-1)+逐级计算!$Q$90*(CL75-逐级计算!$P$90)*LN(10)/10),0)+LN(1+EXP(-ABS((LN(10^(逐级计算!$Q$90/10)-1)+逐级计算!$Q$90*(CL75-逐级计算!$P$90)*LN(10)/10))))))),"")</f>
        <v>13.7930365742089</v>
      </c>
      <c r="CN75">
        <f>IF(AND(ISNUMBER(CM75),逐级计算!$X$91&gt;-1),IF(逐级计算!$X$91=0,CM75+逐级计算!$C$91,CM75+逐级计算!$C$91-(10/(逐级计算!$Q$91*LN(10))*(MAX((LN(10^(逐级计算!$Q$91/10)-1)+逐级计算!$Q$91*(CM75-逐级计算!$P$91)*LN(10)/10),0)+LN(1+EXP(-ABS((LN(10^(逐级计算!$Q$91/10)-1)+逐级计算!$Q$91*(CM75-逐级计算!$P$91)*LN(10)/10))))))),"")</f>
        <v>13.7930365742089</v>
      </c>
      <c r="CO75">
        <f>IF(AND(ISNUMBER(CN75),逐级计算!$X$92&gt;-1),IF(逐级计算!$X$92=0,CN75+逐级计算!$C$92,CN75+逐级计算!$C$92-(10/(逐级计算!$Q$92*LN(10))*(MAX((LN(10^(逐级计算!$Q$92/10)-1)+逐级计算!$Q$92*(CN75-逐级计算!$P$92)*LN(10)/10),0)+LN(1+EXP(-ABS((LN(10^(逐级计算!$Q$92/10)-1)+逐级计算!$Q$92*(CN75-逐级计算!$P$92)*LN(10)/10))))))),"")</f>
        <v>13.7930365742089</v>
      </c>
      <c r="CP75">
        <f>IF(AND(ISNUMBER(CO75),逐级计算!$X$93&gt;-1),IF(逐级计算!$X$93=0,CO75+逐级计算!$C$93,CO75+逐级计算!$C$93-(10/(逐级计算!$Q$93*LN(10))*(MAX((LN(10^(逐级计算!$Q$93/10)-1)+逐级计算!$Q$93*(CO75-逐级计算!$P$93)*LN(10)/10),0)+LN(1+EXP(-ABS((LN(10^(逐级计算!$Q$93/10)-1)+逐级计算!$Q$93*(CO75-逐级计算!$P$93)*LN(10)/10))))))),"")</f>
        <v>13.7930365742089</v>
      </c>
      <c r="CQ75">
        <f>IF(AND(ISNUMBER(CP75),逐级计算!$X$94&gt;-1),IF(逐级计算!$X$94=0,CP75+逐级计算!$C$94,CP75+逐级计算!$C$94-(10/(逐级计算!$Q$94*LN(10))*(MAX((LN(10^(逐级计算!$Q$94/10)-1)+逐级计算!$Q$94*(CP75-逐级计算!$P$94)*LN(10)/10),0)+LN(1+EXP(-ABS((LN(10^(逐级计算!$Q$94/10)-1)+逐级计算!$Q$94*(CP75-逐级计算!$P$94)*LN(10)/10))))))),"")</f>
        <v>13.7930365742089</v>
      </c>
      <c r="CR75">
        <f>IF(AND(ISNUMBER(CQ75),逐级计算!$X$95&gt;-1),IF(逐级计算!$X$95=0,CQ75+逐级计算!$C$95,CQ75+逐级计算!$C$95-(10/(逐级计算!$Q$95*LN(10))*(MAX((LN(10^(逐级计算!$Q$95/10)-1)+逐级计算!$Q$95*(CQ75-逐级计算!$P$95)*LN(10)/10),0)+LN(1+EXP(-ABS((LN(10^(逐级计算!$Q$95/10)-1)+逐级计算!$Q$95*(CQ75-逐级计算!$P$95)*LN(10)/10))))))),"")</f>
        <v>13.7930365742089</v>
      </c>
      <c r="CS75">
        <f>IF(AND(ISNUMBER(CR75),逐级计算!$X$96&gt;-1),IF(逐级计算!$X$96=0,CR75+逐级计算!$C$96,CR75+逐级计算!$C$96-(10/(逐级计算!$Q$96*LN(10))*(MAX((LN(10^(逐级计算!$Q$96/10)-1)+逐级计算!$Q$96*(CR75-逐级计算!$P$96)*LN(10)/10),0)+LN(1+EXP(-ABS((LN(10^(逐级计算!$Q$96/10)-1)+逐级计算!$Q$96*(CR75-逐级计算!$P$96)*LN(10)/10))))))),"")</f>
        <v>13.7930365742089</v>
      </c>
      <c r="CT75">
        <f>IF(AND(ISNUMBER(CS75),逐级计算!$X$97&gt;-1),IF(逐级计算!$X$97=0,CS75+逐级计算!$C$97,CS75+逐级计算!$C$97-(10/(逐级计算!$Q$97*LN(10))*(MAX((LN(10^(逐级计算!$Q$97/10)-1)+逐级计算!$Q$97*(CS75-逐级计算!$P$97)*LN(10)/10),0)+LN(1+EXP(-ABS((LN(10^(逐级计算!$Q$97/10)-1)+逐级计算!$Q$97*(CS75-逐级计算!$P$97)*LN(10)/10))))))),"")</f>
        <v>13.7930365742089</v>
      </c>
      <c r="CU75">
        <f>IF(AND(ISNUMBER(CT75),逐级计算!$X$98&gt;-1),IF(逐级计算!$X$98=0,CT75+逐级计算!$C$98,CT75+逐级计算!$C$98-(10/(逐级计算!$Q$98*LN(10))*(MAX((LN(10^(逐级计算!$Q$98/10)-1)+逐级计算!$Q$98*(CT75-逐级计算!$P$98)*LN(10)/10),0)+LN(1+EXP(-ABS((LN(10^(逐级计算!$Q$98/10)-1)+逐级计算!$Q$98*(CT75-逐级计算!$P$98)*LN(10)/10))))))),"")</f>
        <v>13.7930365742089</v>
      </c>
      <c r="CV75">
        <f>IF(AND(ISNUMBER(CU75),逐级计算!$X$99&gt;-1),IF(逐级计算!$X$99=0,CU75+逐级计算!$C$99,CU75+逐级计算!$C$99-(10/(逐级计算!$Q$99*LN(10))*(MAX((LN(10^(逐级计算!$Q$99/10)-1)+逐级计算!$Q$99*(CU75-逐级计算!$P$99)*LN(10)/10),0)+LN(1+EXP(-ABS((LN(10^(逐级计算!$Q$99/10)-1)+逐级计算!$Q$99*(CU75-逐级计算!$P$99)*LN(10)/10))))))),"")</f>
        <v>13.7930365742089</v>
      </c>
      <c r="CW75">
        <f>IF(AND(ISNUMBER(CV75),逐级计算!$X$100&gt;-1),IF(逐级计算!$X$100=0,CV75+逐级计算!$C$100,CV75+逐级计算!$C$100-(10/(逐级计算!$Q$100*LN(10))*(MAX((LN(10^(逐级计算!$Q$100/10)-1)+逐级计算!$Q$100*(CV75-逐级计算!$P$100)*LN(10)/10),0)+LN(1+EXP(-ABS((LN(10^(逐级计算!$Q$100/10)-1)+逐级计算!$Q$100*(CV75-逐级计算!$P$100)*LN(10)/10))))))),"")</f>
        <v>13.7930365742089</v>
      </c>
      <c r="CX75">
        <f>IF(AND(ISNUMBER(CW75),逐级计算!$X$101&gt;-1),IF(逐级计算!$X$101=0,CW75+逐级计算!$C$101,CW75+逐级计算!$C$101-(10/(逐级计算!$Q$101*LN(10))*(MAX((LN(10^(逐级计算!$Q$101/10)-1)+逐级计算!$Q$101*(CW75-逐级计算!$P$101)*LN(10)/10),0)+LN(1+EXP(-ABS((LN(10^(逐级计算!$Q$101/10)-1)+逐级计算!$Q$101*(CW75-逐级计算!$P$101)*LN(10)/10))))))),"")</f>
        <v>13.7930365742089</v>
      </c>
      <c r="CY75">
        <f>IF(AND(ISNUMBER(CX75),逐级计算!$X$102&gt;-1),IF(逐级计算!$X$102=0,CX75+逐级计算!$C$102,CX75+逐级计算!$C$102-(10/(逐级计算!$Q$102*LN(10))*(MAX((LN(10^(逐级计算!$Q$102/10)-1)+逐级计算!$Q$102*(CX75-逐级计算!$P$102)*LN(10)/10),0)+LN(1+EXP(-ABS((LN(10^(逐级计算!$Q$102/10)-1)+逐级计算!$Q$102*(CX75-逐级计算!$P$102)*LN(10)/10))))))),"")</f>
        <v>13.7930365742089</v>
      </c>
      <c r="CZ75">
        <f>IF(AND(ISNUMBER(CY75),逐级计算!$X$103&gt;-1),IF(逐级计算!$X$103=0,CY75+逐级计算!$C$103,CY75+逐级计算!$C$103-(10/(逐级计算!$Q$103*LN(10))*(MAX((LN(10^(逐级计算!$Q$103/10)-1)+逐级计算!$Q$103*(CY75-逐级计算!$P$103)*LN(10)/10),0)+LN(1+EXP(-ABS((LN(10^(逐级计算!$Q$103/10)-1)+逐级计算!$Q$103*(CY75-逐级计算!$P$103)*LN(10)/10))))))),"")</f>
        <v>13.7930365742089</v>
      </c>
      <c r="DA75">
        <f>IF(AND(ISNUMBER(CZ75),逐级计算!$X$104&gt;-1),IF(逐级计算!$X$104=0,CZ75+逐级计算!$C$104,CZ75+逐级计算!$C$104-(10/(逐级计算!$Q$104*LN(10))*(MAX((LN(10^(逐级计算!$Q$104/10)-1)+逐级计算!$Q$104*(CZ75-逐级计算!$P$104)*LN(10)/10),0)+LN(1+EXP(-ABS((LN(10^(逐级计算!$Q$104/10)-1)+逐级计算!$Q$104*(CZ75-逐级计算!$P$104)*LN(10)/10))))))),"")</f>
        <v>13.7930365742089</v>
      </c>
      <c r="DB75">
        <f>IF(AND(ISNUMBER(DA75),逐级计算!$X$105&gt;-1),IF(逐级计算!$X$105=0,DA75+逐级计算!$C$105,DA75+逐级计算!$C$105-(10/(逐级计算!$Q$105*LN(10))*(MAX((LN(10^(逐级计算!$Q$105/10)-1)+逐级计算!$Q$105*(DA75-逐级计算!$P$105)*LN(10)/10),0)+LN(1+EXP(-ABS((LN(10^(逐级计算!$Q$105/10)-1)+逐级计算!$Q$105*(DA75-逐级计算!$P$105)*LN(10)/10))))))),"")</f>
        <v>13.7930365742089</v>
      </c>
      <c r="DC75">
        <f>IF(AND(ISNUMBER(DB75),逐级计算!$X$106&gt;-1),IF(逐级计算!$X$106=0,DB75+逐级计算!$C$106,DB75+逐级计算!$C$106-(10/(逐级计算!$Q$106*LN(10))*(MAX((LN(10^(逐级计算!$Q$106/10)-1)+逐级计算!$Q$106*(DB75-逐级计算!$P$106)*LN(10)/10),0)+LN(1+EXP(-ABS((LN(10^(逐级计算!$Q$106/10)-1)+逐级计算!$Q$106*(DB75-逐级计算!$P$106)*LN(10)/10))))))),"")</f>
        <v>13.7930365742089</v>
      </c>
      <c r="DD75">
        <f>IF(AND(ISNUMBER(DC75),逐级计算!$X$107&gt;-1),IF(逐级计算!$X$107=0,DC75+逐级计算!$C$107,DC75+逐级计算!$C$107-(10/(逐级计算!$Q$107*LN(10))*(MAX((LN(10^(逐级计算!$Q$107/10)-1)+逐级计算!$Q$107*(DC75-逐级计算!$P$107)*LN(10)/10),0)+LN(1+EXP(-ABS((LN(10^(逐级计算!$Q$107/10)-1)+逐级计算!$Q$107*(DC75-逐级计算!$P$107)*LN(10)/10))))))),"")</f>
        <v>13.7930365742089</v>
      </c>
      <c r="DE75">
        <f>IF(AND(ISNUMBER(DD75),逐级计算!$X$108&gt;-1),IF(逐级计算!$X$108=0,DD75+逐级计算!$C$108,DD75+逐级计算!$C$108-(10/(逐级计算!$Q$108*LN(10))*(MAX((LN(10^(逐级计算!$Q$108/10)-1)+逐级计算!$Q$108*(DD75-逐级计算!$P$108)*LN(10)/10),0)+LN(1+EXP(-ABS((LN(10^(逐级计算!$Q$108/10)-1)+逐级计算!$Q$108*(DD75-逐级计算!$P$108)*LN(10)/10))))))),"")</f>
        <v>13.7930365742089</v>
      </c>
      <c r="DF75">
        <f>IF(AND(ISNUMBER(DE75),逐级计算!$X$109&gt;-1),IF(逐级计算!$X$109=0,DE75+逐级计算!$C$109,DE75+逐级计算!$C$109-(10/(逐级计算!$Q$109*LN(10))*(MAX((LN(10^(逐级计算!$Q$109/10)-1)+逐级计算!$Q$109*(DE75-逐级计算!$P$109)*LN(10)/10),0)+LN(1+EXP(-ABS((LN(10^(逐级计算!$Q$109/10)-1)+逐级计算!$Q$109*(DE75-逐级计算!$P$109)*LN(10)/10))))))),"")</f>
        <v>13.7930365742089</v>
      </c>
      <c r="DG75">
        <f>IF(AND(ISNUMBER(DF75),逐级计算!$X$110&gt;-1),IF(逐级计算!$X$110=0,DF75+逐级计算!$C$110,DF75+逐级计算!$C$110-(10/(逐级计算!$Q$110*LN(10))*(MAX((LN(10^(逐级计算!$Q$110/10)-1)+逐级计算!$Q$110*(DF75-逐级计算!$P$110)*LN(10)/10),0)+LN(1+EXP(-ABS((LN(10^(逐级计算!$Q$110/10)-1)+逐级计算!$Q$110*(DF75-逐级计算!$P$110)*LN(10)/10))))))),"")</f>
        <v>13.7930365742089</v>
      </c>
      <c r="DH75">
        <f>IF(AND(ISNUMBER(DG75),逐级计算!$X$111&gt;-1),IF(逐级计算!$X$111=0,DG75+逐级计算!$C$111,DG75+逐级计算!$C$111-(10/(逐级计算!$Q$111*LN(10))*(MAX((LN(10^(逐级计算!$Q$111/10)-1)+逐级计算!$Q$111*(DG75-逐级计算!$P$111)*LN(10)/10),0)+LN(1+EXP(-ABS((LN(10^(逐级计算!$Q$111/10)-1)+逐级计算!$Q$111*(DG75-逐级计算!$P$111)*LN(10)/10))))))),"")</f>
        <v>13.7930365742089</v>
      </c>
      <c r="DI75">
        <f>IF(AND(ISNUMBER(DH75),逐级计算!$X$112&gt;-1),IF(逐级计算!$X$112=0,DH75+逐级计算!$C$112,DH75+逐级计算!$C$112-(10/(逐级计算!$Q$112*LN(10))*(MAX((LN(10^(逐级计算!$Q$112/10)-1)+逐级计算!$Q$112*(DH75-逐级计算!$P$112)*LN(10)/10),0)+LN(1+EXP(-ABS((LN(10^(逐级计算!$Q$112/10)-1)+逐级计算!$Q$112*(DH75-逐级计算!$P$112)*LN(10)/10))))))),"")</f>
        <v>13.7930365742089</v>
      </c>
      <c r="DJ75">
        <f>IF(AND(ISNUMBER(DI75),逐级计算!$X$113&gt;-1),IF(逐级计算!$X$113=0,DI75+逐级计算!$C$113,DI75+逐级计算!$C$113-(10/(逐级计算!$Q$113*LN(10))*(MAX((LN(10^(逐级计算!$Q$113/10)-1)+逐级计算!$Q$113*(DI75-逐级计算!$P$113)*LN(10)/10),0)+LN(1+EXP(-ABS((LN(10^(逐级计算!$Q$113/10)-1)+逐级计算!$Q$113*(DI75-逐级计算!$P$113)*LN(10)/10))))))),"")</f>
        <v>13.7930365742089</v>
      </c>
      <c r="DK75">
        <f>IF(AND(ISNUMBER(DJ75),逐级计算!$X$114&gt;-1),IF(逐级计算!$X$114=0,DJ75+逐级计算!$C$114,DJ75+逐级计算!$C$114-(10/(逐级计算!$Q$114*LN(10))*(MAX((LN(10^(逐级计算!$Q$114/10)-1)+逐级计算!$Q$114*(DJ75-逐级计算!$P$114)*LN(10)/10),0)+LN(1+EXP(-ABS((LN(10^(逐级计算!$Q$114/10)-1)+逐级计算!$Q$114*(DJ75-逐级计算!$P$114)*LN(10)/10))))))),"")</f>
        <v>13.7930365742089</v>
      </c>
      <c r="DL75">
        <f>IF(AND(ISNUMBER(DK75),逐级计算!$X$115&gt;-1),IF(逐级计算!$X$115=0,DK75+逐级计算!$C$115,DK75+逐级计算!$C$115-(10/(逐级计算!$Q$115*LN(10))*(MAX((LN(10^(逐级计算!$Q$115/10)-1)+逐级计算!$Q$115*(DK75-逐级计算!$P$115)*LN(10)/10),0)+LN(1+EXP(-ABS((LN(10^(逐级计算!$Q$115/10)-1)+逐级计算!$Q$115*(DK75-逐级计算!$P$115)*LN(10)/10))))))),"")</f>
        <v>13.7930365742089</v>
      </c>
      <c r="DM75">
        <f>IF(AND(ISNUMBER(DL75),逐级计算!$X$116&gt;-1),IF(逐级计算!$X$116=0,DL75+逐级计算!$C$116,DL75+逐级计算!$C$116-(10/(逐级计算!$Q$116*LN(10))*(MAX((LN(10^(逐级计算!$Q$116/10)-1)+逐级计算!$Q$116*(DL75-逐级计算!$P$116)*LN(10)/10),0)+LN(1+EXP(-ABS((LN(10^(逐级计算!$Q$116/10)-1)+逐级计算!$Q$116*(DL75-逐级计算!$P$116)*LN(10)/10))))))),"")</f>
        <v>13.7930365742089</v>
      </c>
      <c r="DN75">
        <f>IF(AND(ISNUMBER(DM75),逐级计算!$X$117&gt;-1),IF(逐级计算!$X$117=0,DM75+逐级计算!$C$117,DM75+逐级计算!$C$117-(10/(逐级计算!$Q$117*LN(10))*(MAX((LN(10^(逐级计算!$Q$117/10)-1)+逐级计算!$Q$117*(DM75-逐级计算!$P$117)*LN(10)/10),0)+LN(1+EXP(-ABS((LN(10^(逐级计算!$Q$117/10)-1)+逐级计算!$Q$117*(DM75-逐级计算!$P$117)*LN(10)/10))))))),"")</f>
        <v>13.7930365742089</v>
      </c>
      <c r="DO75">
        <f>IF(AND(ISNUMBER(DN75),逐级计算!$X$118&gt;-1),IF(逐级计算!$X$118=0,DN75+逐级计算!$C$118,DN75+逐级计算!$C$118-(10/(逐级计算!$Q$118*LN(10))*(MAX((LN(10^(逐级计算!$Q$118/10)-1)+逐级计算!$Q$118*(DN75-逐级计算!$P$118)*LN(10)/10),0)+LN(1+EXP(-ABS((LN(10^(逐级计算!$Q$118/10)-1)+逐级计算!$Q$118*(DN75-逐级计算!$P$118)*LN(10)/10))))))),"")</f>
        <v>13.7930365742089</v>
      </c>
      <c r="DP75">
        <f>IF(AND(ISNUMBER(DO75),逐级计算!$X$119&gt;-1),IF(逐级计算!$X$119=0,DO75+逐级计算!$C$119,DO75+逐级计算!$C$119-(10/(逐级计算!$Q$119*LN(10))*(MAX((LN(10^(逐级计算!$Q$119/10)-1)+逐级计算!$Q$119*(DO75-逐级计算!$P$119)*LN(10)/10),0)+LN(1+EXP(-ABS((LN(10^(逐级计算!$Q$119/10)-1)+逐级计算!$Q$119*(DO75-逐级计算!$P$119)*LN(10)/10))))))),"")</f>
        <v>13.7930365742089</v>
      </c>
      <c r="DQ75">
        <f>IF(AND(ISNUMBER(DP75),逐级计算!$X$120&gt;-1),IF(逐级计算!$X$120=0,DP75+逐级计算!$C$120,DP75+逐级计算!$C$120-(10/(逐级计算!$Q$120*LN(10))*(MAX((LN(10^(逐级计算!$Q$120/10)-1)+逐级计算!$Q$120*(DP75-逐级计算!$P$120)*LN(10)/10),0)+LN(1+EXP(-ABS((LN(10^(逐级计算!$Q$120/10)-1)+逐级计算!$Q$120*(DP75-逐级计算!$P$120)*LN(10)/10))))))),"")</f>
        <v>13.7930365742089</v>
      </c>
      <c r="DR75">
        <f>IF(AND(ISNUMBER(DQ75),逐级计算!$X$121&gt;-1),IF(逐级计算!$X$121=0,DQ75+逐级计算!$C$121,DQ75+逐级计算!$C$121-(10/(逐级计算!$Q$121*LN(10))*(MAX((LN(10^(逐级计算!$Q$121/10)-1)+逐级计算!$Q$121*(DQ75-逐级计算!$P$121)*LN(10)/10),0)+LN(1+EXP(-ABS((LN(10^(逐级计算!$Q$121/10)-1)+逐级计算!$Q$121*(DQ75-逐级计算!$P$121)*LN(10)/10))))))),"")</f>
        <v>13.7930365742089</v>
      </c>
      <c r="DS75">
        <f>IF(AND(ISNUMBER(DR75),逐级计算!$X$122&gt;-1),IF(逐级计算!$X$122=0,DR75+逐级计算!$C$122,DR75+逐级计算!$C$122-(10/(逐级计算!$Q$122*LN(10))*(MAX((LN(10^(逐级计算!$Q$122/10)-1)+逐级计算!$Q$122*(DR75-逐级计算!$P$122)*LN(10)/10),0)+LN(1+EXP(-ABS((LN(10^(逐级计算!$Q$122/10)-1)+逐级计算!$Q$122*(DR75-逐级计算!$P$122)*LN(10)/10))))))),"")</f>
        <v>13.7930365742089</v>
      </c>
      <c r="DT75">
        <f>IF(AND(ISNUMBER(DS75),逐级计算!$X$123&gt;-1),IF(逐级计算!$X$123=0,DS75+逐级计算!$C$123,DS75+逐级计算!$C$123-(10/(逐级计算!$Q$123*LN(10))*(MAX((LN(10^(逐级计算!$Q$123/10)-1)+逐级计算!$Q$123*(DS75-逐级计算!$P$123)*LN(10)/10),0)+LN(1+EXP(-ABS((LN(10^(逐级计算!$Q$123/10)-1)+逐级计算!$Q$123*(DS75-逐级计算!$P$123)*LN(10)/10))))))),"")</f>
        <v>13.7930365742089</v>
      </c>
      <c r="DU75">
        <f>IF(AND(ISNUMBER(DT75),逐级计算!$X$124&gt;-1),IF(逐级计算!$X$124=0,DT75+逐级计算!$C$124,DT75+逐级计算!$C$124-(10/(逐级计算!$Q$124*LN(10))*(MAX((LN(10^(逐级计算!$Q$124/10)-1)+逐级计算!$Q$124*(DT75-逐级计算!$P$124)*LN(10)/10),0)+LN(1+EXP(-ABS((LN(10^(逐级计算!$Q$124/10)-1)+逐级计算!$Q$124*(DT75-逐级计算!$P$124)*LN(10)/10))))))),"")</f>
        <v>13.7930365742089</v>
      </c>
      <c r="DV75">
        <f>IF(AND(ISNUMBER(DU75),逐级计算!$X$125&gt;-1),IF(逐级计算!$X$125=0,DU75+逐级计算!$C$125,DU75+逐级计算!$C$125-(10/(逐级计算!$Q$125*LN(10))*(MAX((LN(10^(逐级计算!$Q$125/10)-1)+逐级计算!$Q$125*(DU75-逐级计算!$P$125)*LN(10)/10),0)+LN(1+EXP(-ABS((LN(10^(逐级计算!$Q$125/10)-1)+逐级计算!$Q$125*(DU75-逐级计算!$P$125)*LN(10)/10))))))),"")</f>
        <v>13.7930365742089</v>
      </c>
      <c r="DW75">
        <f>IF(AND(ISNUMBER(DV75),逐级计算!$X$126&gt;-1),IF(逐级计算!$X$126=0,DV75+逐级计算!$C$126,DV75+逐级计算!$C$126-(10/(逐级计算!$Q$126*LN(10))*(MAX((LN(10^(逐级计算!$Q$126/10)-1)+逐级计算!$Q$126*(DV75-逐级计算!$P$126)*LN(10)/10),0)+LN(1+EXP(-ABS((LN(10^(逐级计算!$Q$126/10)-1)+逐级计算!$Q$126*(DV75-逐级计算!$P$126)*LN(10)/10))))))),"")</f>
        <v>13.7930365742089</v>
      </c>
      <c r="DX75">
        <f>IF(AND(ISNUMBER(DW75),逐级计算!$X$127&gt;-1),IF(逐级计算!$X$127=0,DW75+逐级计算!$C$127,DW75+逐级计算!$C$127-(10/(逐级计算!$Q$127*LN(10))*(MAX((LN(10^(逐级计算!$Q$127/10)-1)+逐级计算!$Q$127*(DW75-逐级计算!$P$127)*LN(10)/10),0)+LN(1+EXP(-ABS((LN(10^(逐级计算!$Q$127/10)-1)+逐级计算!$Q$127*(DW75-逐级计算!$P$127)*LN(10)/10))))))),"")</f>
        <v>13.7930365742089</v>
      </c>
      <c r="DY75">
        <f>IF(AND(ISNUMBER(DX75),逐级计算!$X$128&gt;-1),IF(逐级计算!$X$128=0,DX75+逐级计算!$C$128,DX75+逐级计算!$C$128-(10/(逐级计算!$Q$128*LN(10))*(MAX((LN(10^(逐级计算!$Q$128/10)-1)+逐级计算!$Q$128*(DX75-逐级计算!$P$128)*LN(10)/10),0)+LN(1+EXP(-ABS((LN(10^(逐级计算!$Q$128/10)-1)+逐级计算!$Q$128*(DX75-逐级计算!$P$128)*LN(10)/10))))))),"")</f>
        <v>13.7930365742089</v>
      </c>
      <c r="DZ75">
        <f>IF(AND(ISNUMBER(DY75),逐级计算!$X$129&gt;-1),IF(逐级计算!$X$129=0,DY75+逐级计算!$C$129,DY75+逐级计算!$C$129-(10/(逐级计算!$Q$129*LN(10))*(MAX((LN(10^(逐级计算!$Q$129/10)-1)+逐级计算!$Q$129*(DY75-逐级计算!$P$129)*LN(10)/10),0)+LN(1+EXP(-ABS((LN(10^(逐级计算!$Q$129/10)-1)+逐级计算!$Q$129*(DY75-逐级计算!$P$129)*LN(10)/10))))))),"")</f>
        <v>13.7930365742089</v>
      </c>
      <c r="EA75">
        <f>IF(AND(ISNUMBER(DZ75),逐级计算!$X$130&gt;-1),IF(逐级计算!$X$130=0,DZ75+逐级计算!$C$130,DZ75+逐级计算!$C$130-(10/(逐级计算!$Q$130*LN(10))*(MAX((LN(10^(逐级计算!$Q$130/10)-1)+逐级计算!$Q$130*(DZ75-逐级计算!$P$130)*LN(10)/10),0)+LN(1+EXP(-ABS((LN(10^(逐级计算!$Q$130/10)-1)+逐级计算!$Q$130*(DZ75-逐级计算!$P$130)*LN(10)/10))))))),"")</f>
        <v>13.7930365742089</v>
      </c>
      <c r="EB75">
        <f>IF(AND(ISNUMBER(EA75),逐级计算!$X$131&gt;-1),IF(逐级计算!$X$131=0,EA75+逐级计算!$C$131,EA75+逐级计算!$C$131-(10/(逐级计算!$Q$131*LN(10))*(MAX((LN(10^(逐级计算!$Q$131/10)-1)+逐级计算!$Q$131*(EA75-逐级计算!$P$131)*LN(10)/10),0)+LN(1+EXP(-ABS((LN(10^(逐级计算!$Q$131/10)-1)+逐级计算!$Q$131*(EA75-逐级计算!$P$131)*LN(10)/10))))))),"")</f>
        <v>13.7930365742089</v>
      </c>
      <c r="EC75">
        <f>IF(AND(ISNUMBER(EB75),逐级计算!$X$132&gt;-1),IF(逐级计算!$X$132=0,EB75+逐级计算!$C$132,EB75+逐级计算!$C$132-(10/(逐级计算!$Q$132*LN(10))*(MAX((LN(10^(逐级计算!$Q$132/10)-1)+逐级计算!$Q$132*(EB75-逐级计算!$P$132)*LN(10)/10),0)+LN(1+EXP(-ABS((LN(10^(逐级计算!$Q$132/10)-1)+逐级计算!$Q$132*(EB75-逐级计算!$P$132)*LN(10)/10))))))),"")</f>
        <v>13.7930365742089</v>
      </c>
      <c r="ED75">
        <f>IF(AND(ISNUMBER(EC75),逐级计算!$X$133&gt;-1),IF(逐级计算!$X$133=0,EC75+逐级计算!$C$133,EC75+逐级计算!$C$133-(10/(逐级计算!$Q$133*LN(10))*(MAX((LN(10^(逐级计算!$Q$133/10)-1)+逐级计算!$Q$133*(EC75-逐级计算!$P$133)*LN(10)/10),0)+LN(1+EXP(-ABS((LN(10^(逐级计算!$Q$133/10)-1)+逐级计算!$Q$133*(EC75-逐级计算!$P$133)*LN(10)/10))))))),"")</f>
        <v>13.7930365742089</v>
      </c>
      <c r="EE75">
        <f>IF(AND(ISNUMBER(ED75),逐级计算!$X$134&gt;-1),IF(逐级计算!$X$134=0,ED75+逐级计算!$C$134,ED75+逐级计算!$C$134-(10/(逐级计算!$Q$134*LN(10))*(MAX((LN(10^(逐级计算!$Q$134/10)-1)+逐级计算!$Q$134*(ED75-逐级计算!$P$134)*LN(10)/10),0)+LN(1+EXP(-ABS((LN(10^(逐级计算!$Q$134/10)-1)+逐级计算!$Q$134*(ED75-逐级计算!$P$134)*LN(10)/10))))))),"")</f>
        <v>13.7930365742089</v>
      </c>
      <c r="EF75">
        <f>IF(AND(ISNUMBER(EE75),逐级计算!$X$135&gt;-1),IF(逐级计算!$X$135=0,EE75+逐级计算!$C$135,EE75+逐级计算!$C$135-(10/(逐级计算!$Q$135*LN(10))*(MAX((LN(10^(逐级计算!$Q$135/10)-1)+逐级计算!$Q$135*(EE75-逐级计算!$P$135)*LN(10)/10),0)+LN(1+EXP(-ABS((LN(10^(逐级计算!$Q$135/10)-1)+逐级计算!$Q$135*(EE75-逐级计算!$P$135)*LN(10)/10))))))),"")</f>
        <v>13.7930365742089</v>
      </c>
      <c r="EG75">
        <f>IF(AND(ISNUMBER(EF75),逐级计算!$X$136&gt;-1),IF(逐级计算!$X$136=0,EF75+逐级计算!$C$136,EF75+逐级计算!$C$136-(10/(逐级计算!$Q$136*LN(10))*(MAX((LN(10^(逐级计算!$Q$136/10)-1)+逐级计算!$Q$136*(EF75-逐级计算!$P$136)*LN(10)/10),0)+LN(1+EXP(-ABS((LN(10^(逐级计算!$Q$136/10)-1)+逐级计算!$Q$136*(EF75-逐级计算!$P$136)*LN(10)/10))))))),"")</f>
        <v>13.7930365742089</v>
      </c>
      <c r="EH75">
        <f>IF(AND(ISNUMBER(EG75),逐级计算!$X$137&gt;-1),IF(逐级计算!$X$137=0,EG75+逐级计算!$C$137,EG75+逐级计算!$C$137-(10/(逐级计算!$Q$137*LN(10))*(MAX((LN(10^(逐级计算!$Q$137/10)-1)+逐级计算!$Q$137*(EG75-逐级计算!$P$137)*LN(10)/10),0)+LN(1+EXP(-ABS((LN(10^(逐级计算!$Q$137/10)-1)+逐级计算!$Q$137*(EG75-逐级计算!$P$137)*LN(10)/10))))))),"")</f>
        <v>13.7930365742089</v>
      </c>
      <c r="EI75">
        <f>IF(AND(ISNUMBER(EH75),逐级计算!$X$138&gt;-1),IF(逐级计算!$X$138=0,EH75+逐级计算!$C$138,EH75+逐级计算!$C$138-(10/(逐级计算!$Q$138*LN(10))*(MAX((LN(10^(逐级计算!$Q$138/10)-1)+逐级计算!$Q$138*(EH75-逐级计算!$P$138)*LN(10)/10),0)+LN(1+EXP(-ABS((LN(10^(逐级计算!$Q$138/10)-1)+逐级计算!$Q$138*(EH75-逐级计算!$P$138)*LN(10)/10))))))),"")</f>
        <v>13.7930365742089</v>
      </c>
      <c r="EJ75">
        <f>IF(AND(ISNUMBER(EI75),逐级计算!$X$139&gt;-1),IF(逐级计算!$X$139=0,EI75+逐级计算!$C$139,EI75+逐级计算!$C$139-(10/(逐级计算!$Q$139*LN(10))*(MAX((LN(10^(逐级计算!$Q$139/10)-1)+逐级计算!$Q$139*(EI75-逐级计算!$P$139)*LN(10)/10),0)+LN(1+EXP(-ABS((LN(10^(逐级计算!$Q$139/10)-1)+逐级计算!$Q$139*(EI75-逐级计算!$P$139)*LN(10)/10))))))),"")</f>
        <v>13.7930365742089</v>
      </c>
      <c r="EK75">
        <f>IF(AND(ISNUMBER(EJ75),逐级计算!$X$140&gt;-1),IF(逐级计算!$X$140=0,EJ75+逐级计算!$C$140,EJ75+逐级计算!$C$140-(10/(逐级计算!$Q$140*LN(10))*(MAX((LN(10^(逐级计算!$Q$140/10)-1)+逐级计算!$Q$140*(EJ75-逐级计算!$P$140)*LN(10)/10),0)+LN(1+EXP(-ABS((LN(10^(逐级计算!$Q$140/10)-1)+逐级计算!$Q$140*(EJ75-逐级计算!$P$140)*LN(10)/10))))))),"")</f>
        <v>13.7930365742089</v>
      </c>
      <c r="EL75">
        <f>IF(AND(ISNUMBER(EK75),逐级计算!$X$141&gt;-1),IF(逐级计算!$X$141=0,EK75+逐级计算!$C$141,EK75+逐级计算!$C$141-(10/(逐级计算!$Q$141*LN(10))*(MAX((LN(10^(逐级计算!$Q$141/10)-1)+逐级计算!$Q$141*(EK75-逐级计算!$P$141)*LN(10)/10),0)+LN(1+EXP(-ABS((LN(10^(逐级计算!$Q$141/10)-1)+逐级计算!$Q$141*(EK75-逐级计算!$P$141)*LN(10)/10))))))),"")</f>
        <v>13.7930365742089</v>
      </c>
      <c r="EM75">
        <f>IF(AND(ISNUMBER(EL75),逐级计算!$X$142&gt;-1),IF(逐级计算!$X$142=0,EL75+逐级计算!$C$142,EL75+逐级计算!$C$142-(10/(逐级计算!$Q$142*LN(10))*(MAX((LN(10^(逐级计算!$Q$142/10)-1)+逐级计算!$Q$142*(EL75-逐级计算!$P$142)*LN(10)/10),0)+LN(1+EXP(-ABS((LN(10^(逐级计算!$Q$142/10)-1)+逐级计算!$Q$142*(EL75-逐级计算!$P$142)*LN(10)/10))))))),"")</f>
        <v>13.7930365742089</v>
      </c>
      <c r="EN75">
        <f>IF(AND(ISNUMBER(EM75),逐级计算!$X$143&gt;-1),IF(逐级计算!$X$143=0,EM75+逐级计算!$C$143,EM75+逐级计算!$C$143-(10/(逐级计算!$Q$143*LN(10))*(MAX((LN(10^(逐级计算!$Q$143/10)-1)+逐级计算!$Q$143*(EM75-逐级计算!$P$143)*LN(10)/10),0)+LN(1+EXP(-ABS((LN(10^(逐级计算!$Q$143/10)-1)+逐级计算!$Q$143*(EM75-逐级计算!$P$143)*LN(10)/10))))))),"")</f>
        <v>13.7930365742089</v>
      </c>
      <c r="EO75">
        <f>IF(AND(ISNUMBER(EN75),逐级计算!$X$144&gt;-1),IF(逐级计算!$X$144=0,EN75+逐级计算!$C$144,EN75+逐级计算!$C$144-(10/(逐级计算!$Q$144*LN(10))*(MAX((LN(10^(逐级计算!$Q$144/10)-1)+逐级计算!$Q$144*(EN75-逐级计算!$P$144)*LN(10)/10),0)+LN(1+EXP(-ABS((LN(10^(逐级计算!$Q$144/10)-1)+逐级计算!$Q$144*(EN75-逐级计算!$P$144)*LN(10)/10))))))),"")</f>
        <v>13.7930365742089</v>
      </c>
      <c r="EP75">
        <f>IF(AND(ISNUMBER(EO75),逐级计算!$X$145&gt;-1),IF(逐级计算!$X$145=0,EO75+逐级计算!$C$145,EO75+逐级计算!$C$145-(10/(逐级计算!$Q$145*LN(10))*(MAX((LN(10^(逐级计算!$Q$145/10)-1)+逐级计算!$Q$145*(EO75-逐级计算!$P$145)*LN(10)/10),0)+LN(1+EXP(-ABS((LN(10^(逐级计算!$Q$145/10)-1)+逐级计算!$Q$145*(EO75-逐级计算!$P$145)*LN(10)/10))))))),"")</f>
        <v>13.7930365742089</v>
      </c>
      <c r="EQ75">
        <f>IF(AND(ISNUMBER(EP75),逐级计算!$X$146&gt;-1),IF(逐级计算!$X$146=0,EP75+逐级计算!$C$146,EP75+逐级计算!$C$146-(10/(逐级计算!$Q$146*LN(10))*(MAX((LN(10^(逐级计算!$Q$146/10)-1)+逐级计算!$Q$146*(EP75-逐级计算!$P$146)*LN(10)/10),0)+LN(1+EXP(-ABS((LN(10^(逐级计算!$Q$146/10)-1)+逐级计算!$Q$146*(EP75-逐级计算!$P$146)*LN(10)/10))))))),"")</f>
        <v>13.7930365742089</v>
      </c>
      <c r="ER75">
        <f>IF(AND(ISNUMBER(EQ75),逐级计算!$X$147&gt;-1),IF(逐级计算!$X$147=0,EQ75+逐级计算!$C$147,EQ75+逐级计算!$C$147-(10/(逐级计算!$Q$147*LN(10))*(MAX((LN(10^(逐级计算!$Q$147/10)-1)+逐级计算!$Q$147*(EQ75-逐级计算!$P$147)*LN(10)/10),0)+LN(1+EXP(-ABS((LN(10^(逐级计算!$Q$147/10)-1)+逐级计算!$Q$147*(EQ75-逐级计算!$P$147)*LN(10)/10))))))),"")</f>
        <v>13.7930365742089</v>
      </c>
      <c r="ES75">
        <f>IF(AND(ISNUMBER(ER75),逐级计算!$X$148&gt;-1),IF(逐级计算!$X$148=0,ER75+逐级计算!$C$148,ER75+逐级计算!$C$148-(10/(逐级计算!$Q$148*LN(10))*(MAX((LN(10^(逐级计算!$Q$148/10)-1)+逐级计算!$Q$148*(ER75-逐级计算!$P$148)*LN(10)/10),0)+LN(1+EXP(-ABS((LN(10^(逐级计算!$Q$148/10)-1)+逐级计算!$Q$148*(ER75-逐级计算!$P$148)*LN(10)/10))))))),"")</f>
        <v>13.7930365742089</v>
      </c>
      <c r="ET75">
        <f>IF(AND(ISNUMBER(ES75),逐级计算!$X$149&gt;-1),IF(逐级计算!$X$149=0,ES75+逐级计算!$C$149,ES75+逐级计算!$C$149-(10/(逐级计算!$Q$149*LN(10))*(MAX((LN(10^(逐级计算!$Q$149/10)-1)+逐级计算!$Q$149*(ES75-逐级计算!$P$149)*LN(10)/10),0)+LN(1+EXP(-ABS((LN(10^(逐级计算!$Q$149/10)-1)+逐级计算!$Q$149*(ES75-逐级计算!$P$149)*LN(10)/10))))))),"")</f>
        <v>13.7930365742089</v>
      </c>
      <c r="EU75">
        <f>IF(AND(ISNUMBER(ET75),逐级计算!$X$150&gt;-1),IF(逐级计算!$X$150=0,ET75+逐级计算!$C$150,ET75+逐级计算!$C$150-(10/(逐级计算!$Q$150*LN(10))*(MAX((LN(10^(逐级计算!$Q$150/10)-1)+逐级计算!$Q$150*(ET75-逐级计算!$P$150)*LN(10)/10),0)+LN(1+EXP(-ABS((LN(10^(逐级计算!$Q$150/10)-1)+逐级计算!$Q$150*(ET75-逐级计算!$P$150)*LN(10)/10))))))),"")</f>
        <v>13.7930365742089</v>
      </c>
      <c r="EV75">
        <f>IF(AND(ISNUMBER(EU75),逐级计算!$X$151&gt;-1),IF(逐级计算!$X$151=0,EU75+逐级计算!$C$151,EU75+逐级计算!$C$151-(10/(逐级计算!$Q$151*LN(10))*(MAX((LN(10^(逐级计算!$Q$151/10)-1)+逐级计算!$Q$151*(EU75-逐级计算!$P$151)*LN(10)/10),0)+LN(1+EXP(-ABS((LN(10^(逐级计算!$Q$151/10)-1)+逐级计算!$Q$151*(EU75-逐级计算!$P$151)*LN(10)/10))))))),"")</f>
        <v>13.7930365742089</v>
      </c>
      <c r="EW75">
        <f>IF(AND(ISNUMBER(EV75),逐级计算!$X$152&gt;-1),IF(逐级计算!$X$152=0,EV75+逐级计算!$C$152,EV75+逐级计算!$C$152-(10/(逐级计算!$Q$152*LN(10))*(MAX((LN(10^(逐级计算!$Q$152/10)-1)+逐级计算!$Q$152*(EV75-逐级计算!$P$152)*LN(10)/10),0)+LN(1+EXP(-ABS((LN(10^(逐级计算!$Q$152/10)-1)+逐级计算!$Q$152*(EV75-逐级计算!$P$152)*LN(10)/10))))))),"")</f>
        <v>13.7930365742089</v>
      </c>
      <c r="EX75">
        <f>IF(AND(ISNUMBER(EW75),逐级计算!$X$153&gt;-1),IF(逐级计算!$X$153=0,EW75+逐级计算!$C$153,EW75+逐级计算!$C$153-(10/(逐级计算!$Q$153*LN(10))*(MAX((LN(10^(逐级计算!$Q$153/10)-1)+逐级计算!$Q$153*(EW75-逐级计算!$P$153)*LN(10)/10),0)+LN(1+EXP(-ABS((LN(10^(逐级计算!$Q$153/10)-1)+逐级计算!$Q$153*(EW75-逐级计算!$P$153)*LN(10)/10))))))),"")</f>
        <v>13.7930365742089</v>
      </c>
      <c r="EY75">
        <f>IF(AND(ISNUMBER(EX75),逐级计算!$X$154&gt;-1),IF(逐级计算!$X$154=0,EX75+逐级计算!$C$154,EX75+逐级计算!$C$154-(10/(逐级计算!$Q$154*LN(10))*(MAX((LN(10^(逐级计算!$Q$154/10)-1)+逐级计算!$Q$154*(EX75-逐级计算!$P$154)*LN(10)/10),0)+LN(1+EXP(-ABS((LN(10^(逐级计算!$Q$154/10)-1)+逐级计算!$Q$154*(EX75-逐级计算!$P$154)*LN(10)/10))))))),"")</f>
        <v>13.7930365742089</v>
      </c>
      <c r="EZ75">
        <f>IF(AND(ISNUMBER(EY75),逐级计算!$X$155&gt;-1),IF(逐级计算!$X$155=0,EY75+逐级计算!$C$155,EY75+逐级计算!$C$155-(10/(逐级计算!$Q$155*LN(10))*(MAX((LN(10^(逐级计算!$Q$155/10)-1)+逐级计算!$Q$155*(EY75-逐级计算!$P$155)*LN(10)/10),0)+LN(1+EXP(-ABS((LN(10^(逐级计算!$Q$155/10)-1)+逐级计算!$Q$155*(EY75-逐级计算!$P$155)*LN(10)/10))))))),"")</f>
        <v>13.7930365742089</v>
      </c>
      <c r="FA75">
        <f>IF(AND(ISNUMBER(EZ75),逐级计算!$X$156&gt;-1),IF(逐级计算!$X$156=0,EZ75+逐级计算!$C$156,EZ75+逐级计算!$C$156-(10/(逐级计算!$Q$156*LN(10))*(MAX((LN(10^(逐级计算!$Q$156/10)-1)+逐级计算!$Q$156*(EZ75-逐级计算!$P$156)*LN(10)/10),0)+LN(1+EXP(-ABS((LN(10^(逐级计算!$Q$156/10)-1)+逐级计算!$Q$156*(EZ75-逐级计算!$P$156)*LN(10)/10))))))),"")</f>
        <v>13.7930365742089</v>
      </c>
      <c r="FB75">
        <f>IF(AND(ISNUMBER(FA75),逐级计算!$X$157&gt;-1),IF(逐级计算!$X$157=0,FA75+逐级计算!$C$157,FA75+逐级计算!$C$157-(10/(逐级计算!$Q$157*LN(10))*(MAX((LN(10^(逐级计算!$Q$157/10)-1)+逐级计算!$Q$157*(FA75-逐级计算!$P$157)*LN(10)/10),0)+LN(1+EXP(-ABS((LN(10^(逐级计算!$Q$157/10)-1)+逐级计算!$Q$157*(FA75-逐级计算!$P$157)*LN(10)/10))))))),"")</f>
        <v>13.7930365742089</v>
      </c>
      <c r="FC75">
        <f>IF(AND(ISNUMBER(FB75),逐级计算!$X$158&gt;-1),IF(逐级计算!$X$158=0,FB75+逐级计算!$C$158,FB75+逐级计算!$C$158-(10/(逐级计算!$Q$158*LN(10))*(MAX((LN(10^(逐级计算!$Q$158/10)-1)+逐级计算!$Q$158*(FB75-逐级计算!$P$158)*LN(10)/10),0)+LN(1+EXP(-ABS((LN(10^(逐级计算!$Q$158/10)-1)+逐级计算!$Q$158*(FB75-逐级计算!$P$158)*LN(10)/10))))))),"")</f>
        <v>13.7930365742089</v>
      </c>
      <c r="FD75">
        <f>IF(AND(ISNUMBER(FC75),逐级计算!$X$159&gt;-1),IF(逐级计算!$X$159=0,FC75+逐级计算!$C$159,FC75+逐级计算!$C$159-(10/(逐级计算!$Q$159*LN(10))*(MAX((LN(10^(逐级计算!$Q$159/10)-1)+逐级计算!$Q$159*(FC75-逐级计算!$P$159)*LN(10)/10),0)+LN(1+EXP(-ABS((LN(10^(逐级计算!$Q$159/10)-1)+逐级计算!$Q$159*(FC75-逐级计算!$P$159)*LN(10)/10))))))),"")</f>
        <v>13.7930365742089</v>
      </c>
      <c r="FE75">
        <f>IF(AND(ISNUMBER(FD75),逐级计算!$X$160&gt;-1),IF(逐级计算!$X$160=0,FD75+逐级计算!$C$160,FD75+逐级计算!$C$160-(10/(逐级计算!$Q$160*LN(10))*(MAX((LN(10^(逐级计算!$Q$160/10)-1)+逐级计算!$Q$160*(FD75-逐级计算!$P$160)*LN(10)/10),0)+LN(1+EXP(-ABS((LN(10^(逐级计算!$Q$160/10)-1)+逐级计算!$Q$160*(FD75-逐级计算!$P$160)*LN(10)/10))))))),"")</f>
        <v>13.7930365742089</v>
      </c>
      <c r="FF75">
        <f>IF(AND(ISNUMBER(FE75),逐级计算!$X$161&gt;-1),IF(逐级计算!$X$161=0,FE75+逐级计算!$C$161,FE75+逐级计算!$C$161-(10/(逐级计算!$Q$161*LN(10))*(MAX((LN(10^(逐级计算!$Q$161/10)-1)+逐级计算!$Q$161*(FE75-逐级计算!$P$161)*LN(10)/10),0)+LN(1+EXP(-ABS((LN(10^(逐级计算!$Q$161/10)-1)+逐级计算!$Q$161*(FE75-逐级计算!$P$161)*LN(10)/10))))))),"")</f>
        <v>13.7930365742089</v>
      </c>
      <c r="FG75">
        <f>IF(AND(ISNUMBER(FF75),逐级计算!$X$162&gt;-1),IF(逐级计算!$X$162=0,FF75+逐级计算!$C$162,FF75+逐级计算!$C$162-(10/(逐级计算!$Q$162*LN(10))*(MAX((LN(10^(逐级计算!$Q$162/10)-1)+逐级计算!$Q$162*(FF75-逐级计算!$P$162)*LN(10)/10),0)+LN(1+EXP(-ABS((LN(10^(逐级计算!$Q$162/10)-1)+逐级计算!$Q$162*(FF75-逐级计算!$P$162)*LN(10)/10))))))),"")</f>
        <v>13.7930365742089</v>
      </c>
      <c r="FH75">
        <f>IF(AND(ISNUMBER(FG75),逐级计算!$X$163&gt;-1),IF(逐级计算!$X$163=0,FG75+逐级计算!$C$163,FG75+逐级计算!$C$163-(10/(逐级计算!$Q$163*LN(10))*(MAX((LN(10^(逐级计算!$Q$163/10)-1)+逐级计算!$Q$163*(FG75-逐级计算!$P$163)*LN(10)/10),0)+LN(1+EXP(-ABS((LN(10^(逐级计算!$Q$163/10)-1)+逐级计算!$Q$163*(FG75-逐级计算!$P$163)*LN(10)/10))))))),"")</f>
        <v>13.7930365742089</v>
      </c>
      <c r="FI75">
        <f>IF(AND(ISNUMBER(FH75),逐级计算!$X$164&gt;-1),IF(逐级计算!$X$164=0,FH75+逐级计算!$C$164,FH75+逐级计算!$C$164-(10/(逐级计算!$Q$164*LN(10))*(MAX((LN(10^(逐级计算!$Q$164/10)-1)+逐级计算!$Q$164*(FH75-逐级计算!$P$164)*LN(10)/10),0)+LN(1+EXP(-ABS((LN(10^(逐级计算!$Q$164/10)-1)+逐级计算!$Q$164*(FH75-逐级计算!$P$164)*LN(10)/10))))))),"")</f>
        <v>13.7930365742089</v>
      </c>
      <c r="FJ75">
        <f>IF(AND(ISNUMBER(FI75),逐级计算!$X$165&gt;-1),IF(逐级计算!$X$165=0,FI75+逐级计算!$C$165,FI75+逐级计算!$C$165-(10/(逐级计算!$Q$165*LN(10))*(MAX((LN(10^(逐级计算!$Q$165/10)-1)+逐级计算!$Q$165*(FI75-逐级计算!$P$165)*LN(10)/10),0)+LN(1+EXP(-ABS((LN(10^(逐级计算!$Q$165/10)-1)+逐级计算!$Q$165*(FI75-逐级计算!$P$165)*LN(10)/10))))))),"")</f>
        <v>13.7930365742089</v>
      </c>
      <c r="FK75">
        <f>IF(AND(ISNUMBER(FJ75),逐级计算!$X$166&gt;-1),IF(逐级计算!$X$166=0,FJ75+逐级计算!$C$166,FJ75+逐级计算!$C$166-(10/(逐级计算!$Q$166*LN(10))*(MAX((LN(10^(逐级计算!$Q$166/10)-1)+逐级计算!$Q$166*(FJ75-逐级计算!$P$166)*LN(10)/10),0)+LN(1+EXP(-ABS((LN(10^(逐级计算!$Q$166/10)-1)+逐级计算!$Q$166*(FJ75-逐级计算!$P$166)*LN(10)/10))))))),"")</f>
        <v>13.7930365742089</v>
      </c>
      <c r="FL75">
        <f>IF(AND(ISNUMBER(FK75),逐级计算!$X$167&gt;-1),IF(逐级计算!$X$167=0,FK75+逐级计算!$C$167,FK75+逐级计算!$C$167-(10/(逐级计算!$Q$167*LN(10))*(MAX((LN(10^(逐级计算!$Q$167/10)-1)+逐级计算!$Q$167*(FK75-逐级计算!$P$167)*LN(10)/10),0)+LN(1+EXP(-ABS((LN(10^(逐级计算!$Q$167/10)-1)+逐级计算!$Q$167*(FK75-逐级计算!$P$167)*LN(10)/10))))))),"")</f>
        <v>13.7930365742089</v>
      </c>
      <c r="FM75">
        <f>IF(AND(ISNUMBER(FL75),逐级计算!$X$168&gt;-1),IF(逐级计算!$X$168=0,FL75+逐级计算!$C$168,FL75+逐级计算!$C$168-(10/(逐级计算!$Q$168*LN(10))*(MAX((LN(10^(逐级计算!$Q$168/10)-1)+逐级计算!$Q$168*(FL75-逐级计算!$P$168)*LN(10)/10),0)+LN(1+EXP(-ABS((LN(10^(逐级计算!$Q$168/10)-1)+逐级计算!$Q$168*(FL75-逐级计算!$P$168)*LN(10)/10))))))),"")</f>
        <v>13.7930365742089</v>
      </c>
      <c r="FN75">
        <f>IF(AND(ISNUMBER(FM75),逐级计算!$X$169&gt;-1),IF(逐级计算!$X$169=0,FM75+逐级计算!$C$169,FM75+逐级计算!$C$169-(10/(逐级计算!$Q$169*LN(10))*(MAX((LN(10^(逐级计算!$Q$169/10)-1)+逐级计算!$Q$169*(FM75-逐级计算!$P$169)*LN(10)/10),0)+LN(1+EXP(-ABS((LN(10^(逐级计算!$Q$169/10)-1)+逐级计算!$Q$169*(FM75-逐级计算!$P$169)*LN(10)/10))))))),"")</f>
        <v>13.7930365742089</v>
      </c>
      <c r="FO75">
        <f>IF(AND(ISNUMBER(FN75),逐级计算!$X$170&gt;-1),IF(逐级计算!$X$170=0,FN75+逐级计算!$C$170,FN75+逐级计算!$C$170-(10/(逐级计算!$Q$170*LN(10))*(MAX((LN(10^(逐级计算!$Q$170/10)-1)+逐级计算!$Q$170*(FN75-逐级计算!$P$170)*LN(10)/10),0)+LN(1+EXP(-ABS((LN(10^(逐级计算!$Q$170/10)-1)+逐级计算!$Q$170*(FN75-逐级计算!$P$170)*LN(10)/10))))))),"")</f>
        <v>13.7930365742089</v>
      </c>
      <c r="FP75">
        <f>IF(AND(ISNUMBER(FO75),逐级计算!$X$171&gt;-1),IF(逐级计算!$X$171=0,FO75+逐级计算!$C$171,FO75+逐级计算!$C$171-(10/(逐级计算!$Q$171*LN(10))*(MAX((LN(10^(逐级计算!$Q$171/10)-1)+逐级计算!$Q$171*(FO75-逐级计算!$P$171)*LN(10)/10),0)+LN(1+EXP(-ABS((LN(10^(逐级计算!$Q$171/10)-1)+逐级计算!$Q$171*(FO75-逐级计算!$P$171)*LN(10)/10))))))),"")</f>
        <v>13.7930365742089</v>
      </c>
      <c r="FQ75">
        <f>IF(AND(ISNUMBER(FP75),逐级计算!$X$172&gt;-1),IF(逐级计算!$X$172=0,FP75+逐级计算!$C$172,FP75+逐级计算!$C$172-(10/(逐级计算!$Q$172*LN(10))*(MAX((LN(10^(逐级计算!$Q$172/10)-1)+逐级计算!$Q$172*(FP75-逐级计算!$P$172)*LN(10)/10),0)+LN(1+EXP(-ABS((LN(10^(逐级计算!$Q$172/10)-1)+逐级计算!$Q$172*(FP75-逐级计算!$P$172)*LN(10)/10))))))),"")</f>
        <v>13.7930365742089</v>
      </c>
      <c r="FR75">
        <f>IF(AND(ISNUMBER(FQ75),逐级计算!$X$173&gt;-1),IF(逐级计算!$X$173=0,FQ75+逐级计算!$C$173,FQ75+逐级计算!$C$173-(10/(逐级计算!$Q$173*LN(10))*(MAX((LN(10^(逐级计算!$Q$173/10)-1)+逐级计算!$Q$173*(FQ75-逐级计算!$P$173)*LN(10)/10),0)+LN(1+EXP(-ABS((LN(10^(逐级计算!$Q$173/10)-1)+逐级计算!$Q$173*(FQ75-逐级计算!$P$173)*LN(10)/10))))))),"")</f>
        <v>13.7930365742089</v>
      </c>
      <c r="FS75">
        <f>IF(AND(ISNUMBER(FR75),逐级计算!$X$174&gt;-1),IF(逐级计算!$X$174=0,FR75+逐级计算!$C$174,FR75+逐级计算!$C$174-(10/(逐级计算!$Q$174*LN(10))*(MAX((LN(10^(逐级计算!$Q$174/10)-1)+逐级计算!$Q$174*(FR75-逐级计算!$P$174)*LN(10)/10),0)+LN(1+EXP(-ABS((LN(10^(逐级计算!$Q$174/10)-1)+逐级计算!$Q$174*(FR75-逐级计算!$P$174)*LN(10)/10))))))),"")</f>
        <v>13.7930365742089</v>
      </c>
      <c r="FT75">
        <f>IF(AND(ISNUMBER(FS75),逐级计算!$X$175&gt;-1),IF(逐级计算!$X$175=0,FS75+逐级计算!$C$175,FS75+逐级计算!$C$175-(10/(逐级计算!$Q$175*LN(10))*(MAX((LN(10^(逐级计算!$Q$175/10)-1)+逐级计算!$Q$175*(FS75-逐级计算!$P$175)*LN(10)/10),0)+LN(1+EXP(-ABS((LN(10^(逐级计算!$Q$175/10)-1)+逐级计算!$Q$175*(FS75-逐级计算!$P$175)*LN(10)/10))))))),"")</f>
        <v>13.7930365742089</v>
      </c>
      <c r="FU75">
        <f>IF(AND(ISNUMBER(FT75),逐级计算!$X$176&gt;-1),IF(逐级计算!$X$176=0,FT75+逐级计算!$C$176,FT75+逐级计算!$C$176-(10/(逐级计算!$Q$176*LN(10))*(MAX((LN(10^(逐级计算!$Q$176/10)-1)+逐级计算!$Q$176*(FT75-逐级计算!$P$176)*LN(10)/10),0)+LN(1+EXP(-ABS((LN(10^(逐级计算!$Q$176/10)-1)+逐级计算!$Q$176*(FT75-逐级计算!$P$176)*LN(10)/10))))))),"")</f>
        <v>13.7930365742089</v>
      </c>
      <c r="FV75">
        <f>IF(AND(ISNUMBER(FU75),逐级计算!$X$177&gt;-1),IF(逐级计算!$X$177=0,FU75+逐级计算!$C$177,FU75+逐级计算!$C$177-(10/(逐级计算!$Q$177*LN(10))*(MAX((LN(10^(逐级计算!$Q$177/10)-1)+逐级计算!$Q$177*(FU75-逐级计算!$P$177)*LN(10)/10),0)+LN(1+EXP(-ABS((LN(10^(逐级计算!$Q$177/10)-1)+逐级计算!$Q$177*(FU75-逐级计算!$P$177)*LN(10)/10))))))),"")</f>
        <v>13.7930365742089</v>
      </c>
      <c r="FW75">
        <f>IF(AND(ISNUMBER(FV75),逐级计算!$X$178&gt;-1),IF(逐级计算!$X$178=0,FV75+逐级计算!$C$178,FV75+逐级计算!$C$178-(10/(逐级计算!$Q$178*LN(10))*(MAX((LN(10^(逐级计算!$Q$178/10)-1)+逐级计算!$Q$178*(FV75-逐级计算!$P$178)*LN(10)/10),0)+LN(1+EXP(-ABS((LN(10^(逐级计算!$Q$178/10)-1)+逐级计算!$Q$178*(FV75-逐级计算!$P$178)*LN(10)/10))))))),"")</f>
        <v>13.7930365742089</v>
      </c>
      <c r="FX75">
        <f>IF(AND(ISNUMBER(FW75),逐级计算!$X$179&gt;-1),IF(逐级计算!$X$179=0,FW75+逐级计算!$C$179,FW75+逐级计算!$C$179-(10/(逐级计算!$Q$179*LN(10))*(MAX((LN(10^(逐级计算!$Q$179/10)-1)+逐级计算!$Q$179*(FW75-逐级计算!$P$179)*LN(10)/10),0)+LN(1+EXP(-ABS((LN(10^(逐级计算!$Q$179/10)-1)+逐级计算!$Q$179*(FW75-逐级计算!$P$179)*LN(10)/10))))))),"")</f>
        <v>13.7930365742089</v>
      </c>
      <c r="FY75">
        <f>IF(AND(ISNUMBER(FX75),逐级计算!$X$180&gt;-1),IF(逐级计算!$X$180=0,FX75+逐级计算!$C$180,FX75+逐级计算!$C$180-(10/(逐级计算!$Q$180*LN(10))*(MAX((LN(10^(逐级计算!$Q$180/10)-1)+逐级计算!$Q$180*(FX75-逐级计算!$P$180)*LN(10)/10),0)+LN(1+EXP(-ABS((LN(10^(逐级计算!$Q$180/10)-1)+逐级计算!$Q$180*(FX75-逐级计算!$P$180)*LN(10)/10))))))),"")</f>
        <v>13.7930365742089</v>
      </c>
      <c r="FZ75">
        <f>IF(AND(ISNUMBER(FY75),逐级计算!$X$181&gt;-1),IF(逐级计算!$X$181=0,FY75+逐级计算!$C$181,FY75+逐级计算!$C$181-(10/(逐级计算!$Q$181*LN(10))*(MAX((LN(10^(逐级计算!$Q$181/10)-1)+逐级计算!$Q$181*(FY75-逐级计算!$P$181)*LN(10)/10),0)+LN(1+EXP(-ABS((LN(10^(逐级计算!$Q$181/10)-1)+逐级计算!$Q$181*(FY75-逐级计算!$P$181)*LN(10)/10))))))),"")</f>
        <v>13.7930365742089</v>
      </c>
      <c r="GA75">
        <f>IF(AND(ISNUMBER(FZ75),逐级计算!$X$182&gt;-1),IF(逐级计算!$X$182=0,FZ75+逐级计算!$C$182,FZ75+逐级计算!$C$182-(10/(逐级计算!$Q$182*LN(10))*(MAX((LN(10^(逐级计算!$Q$182/10)-1)+逐级计算!$Q$182*(FZ75-逐级计算!$P$182)*LN(10)/10),0)+LN(1+EXP(-ABS((LN(10^(逐级计算!$Q$182/10)-1)+逐级计算!$Q$182*(FZ75-逐级计算!$P$182)*LN(10)/10))))))),"")</f>
        <v>13.7930365742089</v>
      </c>
      <c r="GB75">
        <f>IF(AND(ISNUMBER(GA75),逐级计算!$X$183&gt;-1),IF(逐级计算!$X$183=0,GA75+逐级计算!$C$183,GA75+逐级计算!$C$183-(10/(逐级计算!$Q$183*LN(10))*(MAX((LN(10^(逐级计算!$Q$183/10)-1)+逐级计算!$Q$183*(GA75-逐级计算!$P$183)*LN(10)/10),0)+LN(1+EXP(-ABS((LN(10^(逐级计算!$Q$183/10)-1)+逐级计算!$Q$183*(GA75-逐级计算!$P$183)*LN(10)/10))))))),"")</f>
        <v>13.7930365742089</v>
      </c>
      <c r="GC75">
        <f>IF(AND(ISNUMBER(GB75),逐级计算!$X$184&gt;-1),IF(逐级计算!$X$184=0,GB75+逐级计算!$C$184,GB75+逐级计算!$C$184-(10/(逐级计算!$Q$184*LN(10))*(MAX((LN(10^(逐级计算!$Q$184/10)-1)+逐级计算!$Q$184*(GB75-逐级计算!$P$184)*LN(10)/10),0)+LN(1+EXP(-ABS((LN(10^(逐级计算!$Q$184/10)-1)+逐级计算!$Q$184*(GB75-逐级计算!$P$184)*LN(10)/10))))))),"")</f>
        <v>13.7930365742089</v>
      </c>
      <c r="GD75">
        <f>IF(AND(ISNUMBER(GC75),逐级计算!$X$185&gt;-1),IF(逐级计算!$X$185=0,GC75+逐级计算!$C$185,GC75+逐级计算!$C$185-(10/(逐级计算!$Q$185*LN(10))*(MAX((LN(10^(逐级计算!$Q$185/10)-1)+逐级计算!$Q$185*(GC75-逐级计算!$P$185)*LN(10)/10),0)+LN(1+EXP(-ABS((LN(10^(逐级计算!$Q$185/10)-1)+逐级计算!$Q$185*(GC75-逐级计算!$P$185)*LN(10)/10))))))),"")</f>
        <v>13.7930365742089</v>
      </c>
      <c r="GE75">
        <f>IF(AND(ISNUMBER(GD75),逐级计算!$X$186&gt;-1),IF(逐级计算!$X$186=0,GD75+逐级计算!$C$186,GD75+逐级计算!$C$186-(10/(逐级计算!$Q$186*LN(10))*(MAX((LN(10^(逐级计算!$Q$186/10)-1)+逐级计算!$Q$186*(GD75-逐级计算!$P$186)*LN(10)/10),0)+LN(1+EXP(-ABS((LN(10^(逐级计算!$Q$186/10)-1)+逐级计算!$Q$186*(GD75-逐级计算!$P$186)*LN(10)/10))))))),"")</f>
        <v>13.7930365742089</v>
      </c>
      <c r="GF75">
        <f>IF(AND(ISNUMBER(GE75),逐级计算!$X$187&gt;-1),IF(逐级计算!$X$187=0,GE75+逐级计算!$C$187,GE75+逐级计算!$C$187-(10/(逐级计算!$Q$187*LN(10))*(MAX((LN(10^(逐级计算!$Q$187/10)-1)+逐级计算!$Q$187*(GE75-逐级计算!$P$187)*LN(10)/10),0)+LN(1+EXP(-ABS((LN(10^(逐级计算!$Q$187/10)-1)+逐级计算!$Q$187*(GE75-逐级计算!$P$187)*LN(10)/10))))))),"")</f>
        <v>13.7930365742089</v>
      </c>
      <c r="GG75">
        <f>IF(AND(ISNUMBER(GF75),逐级计算!$X$188&gt;-1),IF(逐级计算!$X$188=0,GF75+逐级计算!$C$188,GF75+逐级计算!$C$188-(10/(逐级计算!$Q$188*LN(10))*(MAX((LN(10^(逐级计算!$Q$188/10)-1)+逐级计算!$Q$188*(GF75-逐级计算!$P$188)*LN(10)/10),0)+LN(1+EXP(-ABS((LN(10^(逐级计算!$Q$188/10)-1)+逐级计算!$Q$188*(GF75-逐级计算!$P$188)*LN(10)/10))))))),"")</f>
        <v>13.7930365742089</v>
      </c>
      <c r="GH75">
        <f>IF(AND(ISNUMBER(GG75),逐级计算!$X$189&gt;-1),IF(逐级计算!$X$189=0,GG75+逐级计算!$C$189,GG75+逐级计算!$C$189-(10/(逐级计算!$Q$189*LN(10))*(MAX((LN(10^(逐级计算!$Q$189/10)-1)+逐级计算!$Q$189*(GG75-逐级计算!$P$189)*LN(10)/10),0)+LN(1+EXP(-ABS((LN(10^(逐级计算!$Q$189/10)-1)+逐级计算!$Q$189*(GG75-逐级计算!$P$189)*LN(10)/10))))))),"")</f>
        <v>13.7930365742089</v>
      </c>
      <c r="GI75">
        <f>IF(AND(ISNUMBER(GH75),逐级计算!$X$190&gt;-1),IF(逐级计算!$X$190=0,GH75+逐级计算!$C$190,GH75+逐级计算!$C$190-(10/(逐级计算!$Q$190*LN(10))*(MAX((LN(10^(逐级计算!$Q$190/10)-1)+逐级计算!$Q$190*(GH75-逐级计算!$P$190)*LN(10)/10),0)+LN(1+EXP(-ABS((LN(10^(逐级计算!$Q$190/10)-1)+逐级计算!$Q$190*(GH75-逐级计算!$P$190)*LN(10)/10))))))),"")</f>
        <v>13.7930365742089</v>
      </c>
      <c r="GJ75">
        <f>IF(AND(ISNUMBER(GI75),逐级计算!$X$191&gt;-1),IF(逐级计算!$X$191=0,GI75+逐级计算!$C$191,GI75+逐级计算!$C$191-(10/(逐级计算!$Q$191*LN(10))*(MAX((LN(10^(逐级计算!$Q$191/10)-1)+逐级计算!$Q$191*(GI75-逐级计算!$P$191)*LN(10)/10),0)+LN(1+EXP(-ABS((LN(10^(逐级计算!$Q$191/10)-1)+逐级计算!$Q$191*(GI75-逐级计算!$P$191)*LN(10)/10))))))),"")</f>
        <v>13.7930365742089</v>
      </c>
      <c r="GK75">
        <f>IF(AND(ISNUMBER(GJ75),逐级计算!$X$192&gt;-1),IF(逐级计算!$X$192=0,GJ75+逐级计算!$C$192,GJ75+逐级计算!$C$192-(10/(逐级计算!$Q$192*LN(10))*(MAX((LN(10^(逐级计算!$Q$192/10)-1)+逐级计算!$Q$192*(GJ75-逐级计算!$P$192)*LN(10)/10),0)+LN(1+EXP(-ABS((LN(10^(逐级计算!$Q$192/10)-1)+逐级计算!$Q$192*(GJ75-逐级计算!$P$192)*LN(10)/10))))))),"")</f>
        <v>13.7930365742089</v>
      </c>
      <c r="GL75">
        <f>IF(AND(ISNUMBER(GK75),逐级计算!$X$193&gt;-1),IF(逐级计算!$X$193=0,GK75+逐级计算!$C$193,GK75+逐级计算!$C$193-(10/(逐级计算!$Q$193*LN(10))*(MAX((LN(10^(逐级计算!$Q$193/10)-1)+逐级计算!$Q$193*(GK75-逐级计算!$P$193)*LN(10)/10),0)+LN(1+EXP(-ABS((LN(10^(逐级计算!$Q$193/10)-1)+逐级计算!$Q$193*(GK75-逐级计算!$P$193)*LN(10)/10))))))),"")</f>
        <v>13.7930365742089</v>
      </c>
      <c r="GM75">
        <f>IF(AND(ISNUMBER(GL75),逐级计算!$X$194&gt;-1),IF(逐级计算!$X$194=0,GL75+逐级计算!$C$194,GL75+逐级计算!$C$194-(10/(逐级计算!$Q$194*LN(10))*(MAX((LN(10^(逐级计算!$Q$194/10)-1)+逐级计算!$Q$194*(GL75-逐级计算!$P$194)*LN(10)/10),0)+LN(1+EXP(-ABS((LN(10^(逐级计算!$Q$194/10)-1)+逐级计算!$Q$194*(GL75-逐级计算!$P$194)*LN(10)/10))))))),"")</f>
        <v>13.7930365742089</v>
      </c>
      <c r="GN75">
        <f>IF(AND(ISNUMBER(GM75),逐级计算!$X$195&gt;-1),IF(逐级计算!$X$195=0,GM75+逐级计算!$C$195,GM75+逐级计算!$C$195-(10/(逐级计算!$Q$195*LN(10))*(MAX((LN(10^(逐级计算!$Q$195/10)-1)+逐级计算!$Q$195*(GM75-逐级计算!$P$195)*LN(10)/10),0)+LN(1+EXP(-ABS((LN(10^(逐级计算!$Q$195/10)-1)+逐级计算!$Q$195*(GM75-逐级计算!$P$195)*LN(10)/10))))))),"")</f>
        <v>13.7930365742089</v>
      </c>
      <c r="GO75">
        <f>IF(AND(ISNUMBER(GN75),逐级计算!$X$196&gt;-1),IF(逐级计算!$X$196=0,GN75+逐级计算!$C$196,GN75+逐级计算!$C$196-(10/(逐级计算!$Q$196*LN(10))*(MAX((LN(10^(逐级计算!$Q$196/10)-1)+逐级计算!$Q$196*(GN75-逐级计算!$P$196)*LN(10)/10),0)+LN(1+EXP(-ABS((LN(10^(逐级计算!$Q$196/10)-1)+逐级计算!$Q$196*(GN75-逐级计算!$P$196)*LN(10)/10))))))),"")</f>
        <v>13.7930365742089</v>
      </c>
      <c r="GP75">
        <f>IF(AND(ISNUMBER(GO75),逐级计算!$X$197&gt;-1),IF(逐级计算!$X$197=0,GO75+逐级计算!$C$197,GO75+逐级计算!$C$197-(10/(逐级计算!$Q$197*LN(10))*(MAX((LN(10^(逐级计算!$Q$197/10)-1)+逐级计算!$Q$197*(GO75-逐级计算!$P$197)*LN(10)/10),0)+LN(1+EXP(-ABS((LN(10^(逐级计算!$Q$197/10)-1)+逐级计算!$Q$197*(GO75-逐级计算!$P$197)*LN(10)/10))))))),"")</f>
        <v>13.7930365742089</v>
      </c>
      <c r="GQ75">
        <f>IF(AND(ISNUMBER(GP75),逐级计算!$X$198&gt;-1),IF(逐级计算!$X$198=0,GP75+逐级计算!$C$198,GP75+逐级计算!$C$198-(10/(逐级计算!$Q$198*LN(10))*(MAX((LN(10^(逐级计算!$Q$198/10)-1)+逐级计算!$Q$198*(GP75-逐级计算!$P$198)*LN(10)/10),0)+LN(1+EXP(-ABS((LN(10^(逐级计算!$Q$198/10)-1)+逐级计算!$Q$198*(GP75-逐级计算!$P$198)*LN(10)/10))))))),"")</f>
        <v>13.7930365742089</v>
      </c>
      <c r="GR75">
        <f>IF(AND(ISNUMBER(GQ75),逐级计算!$X$199&gt;-1),IF(逐级计算!$X$199=0,GQ75+逐级计算!$C$199,GQ75+逐级计算!$C$199-(10/(逐级计算!$Q$199*LN(10))*(MAX((LN(10^(逐级计算!$Q$199/10)-1)+逐级计算!$Q$199*(GQ75-逐级计算!$P$199)*LN(10)/10),0)+LN(1+EXP(-ABS((LN(10^(逐级计算!$Q$199/10)-1)+逐级计算!$Q$199*(GQ75-逐级计算!$P$199)*LN(10)/10))))))),"")</f>
        <v>13.7930365742089</v>
      </c>
      <c r="GS75">
        <f>IF(AND(ISNUMBER(GR75),逐级计算!$X$200&gt;-1),IF(逐级计算!$X$200=0,GR75+逐级计算!$C$200,GR75+逐级计算!$C$200-(10/(逐级计算!$Q$200*LN(10))*(MAX((LN(10^(逐级计算!$Q$200/10)-1)+逐级计算!$Q$200*(GR75-逐级计算!$P$200)*LN(10)/10),0)+LN(1+EXP(-ABS((LN(10^(逐级计算!$Q$200/10)-1)+逐级计算!$Q$200*(GR75-逐级计算!$P$200)*LN(10)/10))))))),"")</f>
        <v>13.7930365742089</v>
      </c>
      <c r="GT75">
        <f>IF(AND(ISNUMBER(GS75),逐级计算!$X$201&gt;-1),IF(逐级计算!$X$201=0,GS75+逐级计算!$C$201,GS75+逐级计算!$C$201-(10/(逐级计算!$Q$201*LN(10))*(MAX((LN(10^(逐级计算!$Q$201/10)-1)+逐级计算!$Q$201*(GS75-逐级计算!$P$201)*LN(10)/10),0)+LN(1+EXP(-ABS((LN(10^(逐级计算!$Q$201/10)-1)+逐级计算!$Q$201*(GS75-逐级计算!$P$201)*LN(10)/10))))))),"")</f>
        <v>13.7930365742089</v>
      </c>
      <c r="GU75">
        <f>IF(AND(ISNUMBER(GT75),逐级计算!$X$202&gt;-1),IF(逐级计算!$X$202=0,GT75+逐级计算!$C$202,GT75+逐级计算!$C$202-(10/(逐级计算!$Q$202*LN(10))*(MAX((LN(10^(逐级计算!$Q$202/10)-1)+逐级计算!$Q$202*(GT75-逐级计算!$P$202)*LN(10)/10),0)+LN(1+EXP(-ABS((LN(10^(逐级计算!$Q$202/10)-1)+逐级计算!$Q$202*(GT75-逐级计算!$P$202)*LN(10)/10))))))),"")</f>
        <v>13.7930365742089</v>
      </c>
      <c r="GV75">
        <f>IF(AND(ISNUMBER(GU75),逐级计算!$X$203&gt;-1),IF(逐级计算!$X$203=0,GU75+逐级计算!$C$203,GU75+逐级计算!$C$203-(10/(逐级计算!$Q$203*LN(10))*(MAX((LN(10^(逐级计算!$Q$203/10)-1)+逐级计算!$Q$203*(GU75-逐级计算!$P$203)*LN(10)/10),0)+LN(1+EXP(-ABS((LN(10^(逐级计算!$Q$203/10)-1)+逐级计算!$Q$203*(GU75-逐级计算!$P$203)*LN(10)/10))))))),"")</f>
        <v>13.7930365742089</v>
      </c>
      <c r="GW75">
        <f t="shared" si="5"/>
        <v>-5.20696342579112</v>
      </c>
    </row>
    <row r="76" spans="1:205">
      <c r="A76">
        <v>69</v>
      </c>
      <c r="B76">
        <f t="shared" si="4"/>
        <v>-5.20696342579112</v>
      </c>
      <c r="C76">
        <f t="shared" si="3"/>
        <v>-5.20696342579112</v>
      </c>
      <c r="D76">
        <f>IF(AND(ISNUMBER(C76),ISNUMBER(逐级计算!$E$203),ISNUMBER(GV76)),C76+逐级计算!$E$203-GV76,"")</f>
        <v>1</v>
      </c>
      <c r="E76">
        <f>IF(AND(ISNUMBER(C76),逐级计算!$X$4&gt;-1),IF(逐级计算!$X$4=0,C76+逐级计算!$C$4,C76+逐级计算!$C$4-(10/(逐级计算!$Q$4*LN(10))*(MAX((LN(10^(逐级计算!$Q$4/10)-1)+逐级计算!$Q$4*(C76-逐级计算!$P$4)*LN(10)/10),0)+LN(1+EXP(-ABS((LN(10^(逐级计算!$Q$4/10)-1)+逐级计算!$Q$4*(C76-逐级计算!$P$4)*LN(10)/10))))))),"")</f>
        <v>4.68053982928311</v>
      </c>
      <c r="F76">
        <f>IF(AND(ISNUMBER(E76),逐级计算!$X$5&gt;-1),IF(逐级计算!$X$5=0,E76+逐级计算!$C$5,E76+逐级计算!$C$5-(10/(逐级计算!$Q$5*LN(10))*(MAX((LN(10^(逐级计算!$Q$5/10)-1)+逐级计算!$Q$5*(E76-逐级计算!$P$5)*LN(10)/10),0)+LN(1+EXP(-ABS((LN(10^(逐级计算!$Q$5/10)-1)+逐级计算!$Q$5*(E76-逐级计算!$P$5)*LN(10)/10))))))),"")</f>
        <v>13.7930365742089</v>
      </c>
      <c r="G76">
        <f>IF(AND(ISNUMBER(F76),逐级计算!$X$6&gt;-1),IF(逐级计算!$X$6=0,F76+逐级计算!$C$6,F76+逐级计算!$C$6-(10/(逐级计算!$Q$6*LN(10))*(MAX((LN(10^(逐级计算!$Q$6/10)-1)+逐级计算!$Q$6*(F76-逐级计算!$P$6)*LN(10)/10),0)+LN(1+EXP(-ABS((LN(10^(逐级计算!$Q$6/10)-1)+逐级计算!$Q$6*(F76-逐级计算!$P$6)*LN(10)/10))))))),"")</f>
        <v>13.7930365742089</v>
      </c>
      <c r="H76">
        <f>IF(AND(ISNUMBER(G76),逐级计算!$X$7&gt;-1),IF(逐级计算!$X$7=0,G76+逐级计算!$C$7,G76+逐级计算!$C$7-(10/(逐级计算!$Q$7*LN(10))*(MAX((LN(10^(逐级计算!$Q$7/10)-1)+逐级计算!$Q$7*(G76-逐级计算!$P$7)*LN(10)/10),0)+LN(1+EXP(-ABS((LN(10^(逐级计算!$Q$7/10)-1)+逐级计算!$Q$7*(G76-逐级计算!$P$7)*LN(10)/10))))))),"")</f>
        <v>13.7930365742089</v>
      </c>
      <c r="I76">
        <f>IF(AND(ISNUMBER(H76),逐级计算!$X$8&gt;-1),IF(逐级计算!$X$8=0,H76+逐级计算!$C$8,H76+逐级计算!$C$8-(10/(逐级计算!$Q$8*LN(10))*(MAX((LN(10^(逐级计算!$Q$8/10)-1)+逐级计算!$Q$8*(H76-逐级计算!$P$8)*LN(10)/10),0)+LN(1+EXP(-ABS((LN(10^(逐级计算!$Q$8/10)-1)+逐级计算!$Q$8*(H76-逐级计算!$P$8)*LN(10)/10))))))),"")</f>
        <v>13.7930365742089</v>
      </c>
      <c r="J76">
        <f>IF(AND(ISNUMBER(I76),逐级计算!$X$9&gt;-1),IF(逐级计算!$X$9=0,I76+逐级计算!$C$9,I76+逐级计算!$C$9-(10/(逐级计算!$Q$9*LN(10))*(MAX((LN(10^(逐级计算!$Q$9/10)-1)+逐级计算!$Q$9*(I76-逐级计算!$P$9)*LN(10)/10),0)+LN(1+EXP(-ABS((LN(10^(逐级计算!$Q$9/10)-1)+逐级计算!$Q$9*(I76-逐级计算!$P$9)*LN(10)/10))))))),"")</f>
        <v>13.7930365742089</v>
      </c>
      <c r="K76">
        <f>IF(AND(ISNUMBER(J76),逐级计算!$X$10&gt;-1),IF(逐级计算!$X$10=0,J76+逐级计算!$C$10,J76+逐级计算!$C$10-(10/(逐级计算!$Q$10*LN(10))*(MAX((LN(10^(逐级计算!$Q$10/10)-1)+逐级计算!$Q$10*(J76-逐级计算!$P$10)*LN(10)/10),0)+LN(1+EXP(-ABS((LN(10^(逐级计算!$Q$10/10)-1)+逐级计算!$Q$10*(J76-逐级计算!$P$10)*LN(10)/10))))))),"")</f>
        <v>13.7930365742089</v>
      </c>
      <c r="L76">
        <f>IF(AND(ISNUMBER(K76),逐级计算!$X$11&gt;-1),IF(逐级计算!$X$11=0,K76+逐级计算!$C$11,K76+逐级计算!$C$11-(10/(逐级计算!$Q$11*LN(10))*(MAX((LN(10^(逐级计算!$Q$11/10)-1)+逐级计算!$Q$11*(K76-逐级计算!$P$11)*LN(10)/10),0)+LN(1+EXP(-ABS((LN(10^(逐级计算!$Q$11/10)-1)+逐级计算!$Q$11*(K76-逐级计算!$P$11)*LN(10)/10))))))),"")</f>
        <v>13.7930365742089</v>
      </c>
      <c r="M76">
        <f>IF(AND(ISNUMBER(L76),逐级计算!$X$12&gt;-1),IF(逐级计算!$X$12=0,L76+逐级计算!$C$12,L76+逐级计算!$C$12-(10/(逐级计算!$Q$12*LN(10))*(MAX((LN(10^(逐级计算!$Q$12/10)-1)+逐级计算!$Q$12*(L76-逐级计算!$P$12)*LN(10)/10),0)+LN(1+EXP(-ABS((LN(10^(逐级计算!$Q$12/10)-1)+逐级计算!$Q$12*(L76-逐级计算!$P$12)*LN(10)/10))))))),"")</f>
        <v>13.7930365742089</v>
      </c>
      <c r="N76">
        <f>IF(AND(ISNUMBER(M76),逐级计算!$X$13&gt;-1),IF(逐级计算!$X$13=0,M76+逐级计算!$C$13,M76+逐级计算!$C$13-(10/(逐级计算!$Q$13*LN(10))*(MAX((LN(10^(逐级计算!$Q$13/10)-1)+逐级计算!$Q$13*(M76-逐级计算!$P$13)*LN(10)/10),0)+LN(1+EXP(-ABS((LN(10^(逐级计算!$Q$13/10)-1)+逐级计算!$Q$13*(M76-逐级计算!$P$13)*LN(10)/10))))))),"")</f>
        <v>13.7930365742089</v>
      </c>
      <c r="O76">
        <f>IF(AND(ISNUMBER(N76),逐级计算!$X$14&gt;-1),IF(逐级计算!$X$14=0,N76+逐级计算!$C$14,N76+逐级计算!$C$14-(10/(逐级计算!$Q$14*LN(10))*(MAX((LN(10^(逐级计算!$Q$14/10)-1)+逐级计算!$Q$14*(N76-逐级计算!$P$14)*LN(10)/10),0)+LN(1+EXP(-ABS((LN(10^(逐级计算!$Q$14/10)-1)+逐级计算!$Q$14*(N76-逐级计算!$P$14)*LN(10)/10))))))),"")</f>
        <v>13.7930365742089</v>
      </c>
      <c r="P76">
        <f>IF(AND(ISNUMBER(O76),逐级计算!$X$15&gt;-1),IF(逐级计算!$X$15=0,O76+逐级计算!$C$15,O76+逐级计算!$C$15-(10/(逐级计算!$Q$15*LN(10))*(MAX((LN(10^(逐级计算!$Q$15/10)-1)+逐级计算!$Q$15*(O76-逐级计算!$P$15)*LN(10)/10),0)+LN(1+EXP(-ABS((LN(10^(逐级计算!$Q$15/10)-1)+逐级计算!$Q$15*(O76-逐级计算!$P$15)*LN(10)/10))))))),"")</f>
        <v>13.7930365742089</v>
      </c>
      <c r="Q76">
        <f>IF(AND(ISNUMBER(P76),逐级计算!$X$16&gt;-1),IF(逐级计算!$X$16=0,P76+逐级计算!$C$16,P76+逐级计算!$C$16-(10/(逐级计算!$Q$16*LN(10))*(MAX((LN(10^(逐级计算!$Q$16/10)-1)+逐级计算!$Q$16*(P76-逐级计算!$P$16)*LN(10)/10),0)+LN(1+EXP(-ABS((LN(10^(逐级计算!$Q$16/10)-1)+逐级计算!$Q$16*(P76-逐级计算!$P$16)*LN(10)/10))))))),"")</f>
        <v>13.7930365742089</v>
      </c>
      <c r="R76">
        <f>IF(AND(ISNUMBER(Q76),逐级计算!$X$17&gt;-1),IF(逐级计算!$X$17=0,Q76+逐级计算!$C$17,Q76+逐级计算!$C$17-(10/(逐级计算!$Q$17*LN(10))*(MAX((LN(10^(逐级计算!$Q$17/10)-1)+逐级计算!$Q$17*(Q76-逐级计算!$P$17)*LN(10)/10),0)+LN(1+EXP(-ABS((LN(10^(逐级计算!$Q$17/10)-1)+逐级计算!$Q$17*(Q76-逐级计算!$P$17)*LN(10)/10))))))),"")</f>
        <v>13.7930365742089</v>
      </c>
      <c r="S76">
        <f>IF(AND(ISNUMBER(R76),逐级计算!$X$18&gt;-1),IF(逐级计算!$X$18=0,R76+逐级计算!$C$18,R76+逐级计算!$C$18-(10/(逐级计算!$Q$18*LN(10))*(MAX((LN(10^(逐级计算!$Q$18/10)-1)+逐级计算!$Q$18*(R76-逐级计算!$P$18)*LN(10)/10),0)+LN(1+EXP(-ABS((LN(10^(逐级计算!$Q$18/10)-1)+逐级计算!$Q$18*(R76-逐级计算!$P$18)*LN(10)/10))))))),"")</f>
        <v>13.7930365742089</v>
      </c>
      <c r="T76">
        <f>IF(AND(ISNUMBER(S76),逐级计算!$X$19&gt;-1),IF(逐级计算!$X$19=0,S76+逐级计算!$C$19,S76+逐级计算!$C$19-(10/(逐级计算!$Q$19*LN(10))*(MAX((LN(10^(逐级计算!$Q$19/10)-1)+逐级计算!$Q$19*(S76-逐级计算!$P$19)*LN(10)/10),0)+LN(1+EXP(-ABS((LN(10^(逐级计算!$Q$19/10)-1)+逐级计算!$Q$19*(S76-逐级计算!$P$19)*LN(10)/10))))))),"")</f>
        <v>13.7930365742089</v>
      </c>
      <c r="U76">
        <f>IF(AND(ISNUMBER(T76),逐级计算!$X$20&gt;-1),IF(逐级计算!$X$20=0,T76+逐级计算!$C$20,T76+逐级计算!$C$20-(10/(逐级计算!$Q$20*LN(10))*(MAX((LN(10^(逐级计算!$Q$20/10)-1)+逐级计算!$Q$20*(T76-逐级计算!$P$20)*LN(10)/10),0)+LN(1+EXP(-ABS((LN(10^(逐级计算!$Q$20/10)-1)+逐级计算!$Q$20*(T76-逐级计算!$P$20)*LN(10)/10))))))),"")</f>
        <v>13.7930365742089</v>
      </c>
      <c r="V76">
        <f>IF(AND(ISNUMBER(U76),逐级计算!$X$21&gt;-1),IF(逐级计算!$X$21=0,U76+逐级计算!$C$21,U76+逐级计算!$C$21-(10/(逐级计算!$Q$21*LN(10))*(MAX((LN(10^(逐级计算!$Q$21/10)-1)+逐级计算!$Q$21*(U76-逐级计算!$P$21)*LN(10)/10),0)+LN(1+EXP(-ABS((LN(10^(逐级计算!$Q$21/10)-1)+逐级计算!$Q$21*(U76-逐级计算!$P$21)*LN(10)/10))))))),"")</f>
        <v>13.7930365742089</v>
      </c>
      <c r="W76">
        <f>IF(AND(ISNUMBER(V76),逐级计算!$X$22&gt;-1),IF(逐级计算!$X$22=0,V76+逐级计算!$C$22,V76+逐级计算!$C$22-(10/(逐级计算!$Q$22*LN(10))*(MAX((LN(10^(逐级计算!$Q$22/10)-1)+逐级计算!$Q$22*(V76-逐级计算!$P$22)*LN(10)/10),0)+LN(1+EXP(-ABS((LN(10^(逐级计算!$Q$22/10)-1)+逐级计算!$Q$22*(V76-逐级计算!$P$22)*LN(10)/10))))))),"")</f>
        <v>13.7930365742089</v>
      </c>
      <c r="X76">
        <f>IF(AND(ISNUMBER(W76),逐级计算!$X$23&gt;-1),IF(逐级计算!$X$23=0,W76+逐级计算!$C$23,W76+逐级计算!$C$23-(10/(逐级计算!$Q$23*LN(10))*(MAX((LN(10^(逐级计算!$Q$23/10)-1)+逐级计算!$Q$23*(W76-逐级计算!$P$23)*LN(10)/10),0)+LN(1+EXP(-ABS((LN(10^(逐级计算!$Q$23/10)-1)+逐级计算!$Q$23*(W76-逐级计算!$P$23)*LN(10)/10))))))),"")</f>
        <v>13.7930365742089</v>
      </c>
      <c r="Y76">
        <f>IF(AND(ISNUMBER(X76),逐级计算!$X$24&gt;-1),IF(逐级计算!$X$24=0,X76+逐级计算!$C$24,X76+逐级计算!$C$24-(10/(逐级计算!$Q$24*LN(10))*(MAX((LN(10^(逐级计算!$Q$24/10)-1)+逐级计算!$Q$24*(X76-逐级计算!$P$24)*LN(10)/10),0)+LN(1+EXP(-ABS((LN(10^(逐级计算!$Q$24/10)-1)+逐级计算!$Q$24*(X76-逐级计算!$P$24)*LN(10)/10))))))),"")</f>
        <v>13.7930365742089</v>
      </c>
      <c r="Z76">
        <f>IF(AND(ISNUMBER(Y76),逐级计算!$X$25&gt;-1),IF(逐级计算!$X$25=0,Y76+逐级计算!$C$25,Y76+逐级计算!$C$25-(10/(逐级计算!$Q$25*LN(10))*(MAX((LN(10^(逐级计算!$Q$25/10)-1)+逐级计算!$Q$25*(Y76-逐级计算!$P$25)*LN(10)/10),0)+LN(1+EXP(-ABS((LN(10^(逐级计算!$Q$25/10)-1)+逐级计算!$Q$25*(Y76-逐级计算!$P$25)*LN(10)/10))))))),"")</f>
        <v>13.7930365742089</v>
      </c>
      <c r="AA76">
        <f>IF(AND(ISNUMBER(Z76),逐级计算!$X$26&gt;-1),IF(逐级计算!$X$26=0,Z76+逐级计算!$C$26,Z76+逐级计算!$C$26-(10/(逐级计算!$Q$26*LN(10))*(MAX((LN(10^(逐级计算!$Q$26/10)-1)+逐级计算!$Q$26*(Z76-逐级计算!$P$26)*LN(10)/10),0)+LN(1+EXP(-ABS((LN(10^(逐级计算!$Q$26/10)-1)+逐级计算!$Q$26*(Z76-逐级计算!$P$26)*LN(10)/10))))))),"")</f>
        <v>13.7930365742089</v>
      </c>
      <c r="AB76">
        <f>IF(AND(ISNUMBER(AA76),逐级计算!$X$27&gt;-1),IF(逐级计算!$X$27=0,AA76+逐级计算!$C$27,AA76+逐级计算!$C$27-(10/(逐级计算!$Q$27*LN(10))*(MAX((LN(10^(逐级计算!$Q$27/10)-1)+逐级计算!$Q$27*(AA76-逐级计算!$P$27)*LN(10)/10),0)+LN(1+EXP(-ABS((LN(10^(逐级计算!$Q$27/10)-1)+逐级计算!$Q$27*(AA76-逐级计算!$P$27)*LN(10)/10))))))),"")</f>
        <v>13.7930365742089</v>
      </c>
      <c r="AC76">
        <f>IF(AND(ISNUMBER(AB76),逐级计算!$X$28&gt;-1),IF(逐级计算!$X$28=0,AB76+逐级计算!$C$28,AB76+逐级计算!$C$28-(10/(逐级计算!$Q$28*LN(10))*(MAX((LN(10^(逐级计算!$Q$28/10)-1)+逐级计算!$Q$28*(AB76-逐级计算!$P$28)*LN(10)/10),0)+LN(1+EXP(-ABS((LN(10^(逐级计算!$Q$28/10)-1)+逐级计算!$Q$28*(AB76-逐级计算!$P$28)*LN(10)/10))))))),"")</f>
        <v>13.7930365742089</v>
      </c>
      <c r="AD76">
        <f>IF(AND(ISNUMBER(AC76),逐级计算!$X$29&gt;-1),IF(逐级计算!$X$29=0,AC76+逐级计算!$C$29,AC76+逐级计算!$C$29-(10/(逐级计算!$Q$29*LN(10))*(MAX((LN(10^(逐级计算!$Q$29/10)-1)+逐级计算!$Q$29*(AC76-逐级计算!$P$29)*LN(10)/10),0)+LN(1+EXP(-ABS((LN(10^(逐级计算!$Q$29/10)-1)+逐级计算!$Q$29*(AC76-逐级计算!$P$29)*LN(10)/10))))))),"")</f>
        <v>13.7930365742089</v>
      </c>
      <c r="AE76">
        <f>IF(AND(ISNUMBER(AD76),逐级计算!$X$30&gt;-1),IF(逐级计算!$X$30=0,AD76+逐级计算!$C$30,AD76+逐级计算!$C$30-(10/(逐级计算!$Q$30*LN(10))*(MAX((LN(10^(逐级计算!$Q$30/10)-1)+逐级计算!$Q$30*(AD76-逐级计算!$P$30)*LN(10)/10),0)+LN(1+EXP(-ABS((LN(10^(逐级计算!$Q$30/10)-1)+逐级计算!$Q$30*(AD76-逐级计算!$P$30)*LN(10)/10))))))),"")</f>
        <v>13.7930365742089</v>
      </c>
      <c r="AF76">
        <f>IF(AND(ISNUMBER(AE76),逐级计算!$X$31&gt;-1),IF(逐级计算!$X$31=0,AE76+逐级计算!$C$31,AE76+逐级计算!$C$31-(10/(逐级计算!$Q$31*LN(10))*(MAX((LN(10^(逐级计算!$Q$31/10)-1)+逐级计算!$Q$31*(AE76-逐级计算!$P$31)*LN(10)/10),0)+LN(1+EXP(-ABS((LN(10^(逐级计算!$Q$31/10)-1)+逐级计算!$Q$31*(AE76-逐级计算!$P$31)*LN(10)/10))))))),"")</f>
        <v>13.7930365742089</v>
      </c>
      <c r="AG76">
        <f>IF(AND(ISNUMBER(AF76),逐级计算!$X$32&gt;-1),IF(逐级计算!$X$32=0,AF76+逐级计算!$C$32,AF76+逐级计算!$C$32-(10/(逐级计算!$Q$32*LN(10))*(MAX((LN(10^(逐级计算!$Q$32/10)-1)+逐级计算!$Q$32*(AF76-逐级计算!$P$32)*LN(10)/10),0)+LN(1+EXP(-ABS((LN(10^(逐级计算!$Q$32/10)-1)+逐级计算!$Q$32*(AF76-逐级计算!$P$32)*LN(10)/10))))))),"")</f>
        <v>13.7930365742089</v>
      </c>
      <c r="AH76">
        <f>IF(AND(ISNUMBER(AG76),逐级计算!$X$33&gt;-1),IF(逐级计算!$X$33=0,AG76+逐级计算!$C$33,AG76+逐级计算!$C$33-(10/(逐级计算!$Q$33*LN(10))*(MAX((LN(10^(逐级计算!$Q$33/10)-1)+逐级计算!$Q$33*(AG76-逐级计算!$P$33)*LN(10)/10),0)+LN(1+EXP(-ABS((LN(10^(逐级计算!$Q$33/10)-1)+逐级计算!$Q$33*(AG76-逐级计算!$P$33)*LN(10)/10))))))),"")</f>
        <v>13.7930365742089</v>
      </c>
      <c r="AI76">
        <f>IF(AND(ISNUMBER(AH76),逐级计算!$X$34&gt;-1),IF(逐级计算!$X$34=0,AH76+逐级计算!$C$34,AH76+逐级计算!$C$34-(10/(逐级计算!$Q$34*LN(10))*(MAX((LN(10^(逐级计算!$Q$34/10)-1)+逐级计算!$Q$34*(AH76-逐级计算!$P$34)*LN(10)/10),0)+LN(1+EXP(-ABS((LN(10^(逐级计算!$Q$34/10)-1)+逐级计算!$Q$34*(AH76-逐级计算!$P$34)*LN(10)/10))))))),"")</f>
        <v>13.7930365742089</v>
      </c>
      <c r="AJ76">
        <f>IF(AND(ISNUMBER(AI76),逐级计算!$X$35&gt;-1),IF(逐级计算!$X$35=0,AI76+逐级计算!$C$35,AI76+逐级计算!$C$35-(10/(逐级计算!$Q$35*LN(10))*(MAX((LN(10^(逐级计算!$Q$35/10)-1)+逐级计算!$Q$35*(AI76-逐级计算!$P$35)*LN(10)/10),0)+LN(1+EXP(-ABS((LN(10^(逐级计算!$Q$35/10)-1)+逐级计算!$Q$35*(AI76-逐级计算!$P$35)*LN(10)/10))))))),"")</f>
        <v>13.7930365742089</v>
      </c>
      <c r="AK76">
        <f>IF(AND(ISNUMBER(AJ76),逐级计算!$X$36&gt;-1),IF(逐级计算!$X$36=0,AJ76+逐级计算!$C$36,AJ76+逐级计算!$C$36-(10/(逐级计算!$Q$36*LN(10))*(MAX((LN(10^(逐级计算!$Q$36/10)-1)+逐级计算!$Q$36*(AJ76-逐级计算!$P$36)*LN(10)/10),0)+LN(1+EXP(-ABS((LN(10^(逐级计算!$Q$36/10)-1)+逐级计算!$Q$36*(AJ76-逐级计算!$P$36)*LN(10)/10))))))),"")</f>
        <v>13.7930365742089</v>
      </c>
      <c r="AL76">
        <f>IF(AND(ISNUMBER(AK76),逐级计算!$X$37&gt;-1),IF(逐级计算!$X$37=0,AK76+逐级计算!$C$37,AK76+逐级计算!$C$37-(10/(逐级计算!$Q$37*LN(10))*(MAX((LN(10^(逐级计算!$Q$37/10)-1)+逐级计算!$Q$37*(AK76-逐级计算!$P$37)*LN(10)/10),0)+LN(1+EXP(-ABS((LN(10^(逐级计算!$Q$37/10)-1)+逐级计算!$Q$37*(AK76-逐级计算!$P$37)*LN(10)/10))))))),"")</f>
        <v>13.7930365742089</v>
      </c>
      <c r="AM76">
        <f>IF(AND(ISNUMBER(AL76),逐级计算!$X$38&gt;-1),IF(逐级计算!$X$38=0,AL76+逐级计算!$C$38,AL76+逐级计算!$C$38-(10/(逐级计算!$Q$38*LN(10))*(MAX((LN(10^(逐级计算!$Q$38/10)-1)+逐级计算!$Q$38*(AL76-逐级计算!$P$38)*LN(10)/10),0)+LN(1+EXP(-ABS((LN(10^(逐级计算!$Q$38/10)-1)+逐级计算!$Q$38*(AL76-逐级计算!$P$38)*LN(10)/10))))))),"")</f>
        <v>13.7930365742089</v>
      </c>
      <c r="AN76">
        <f>IF(AND(ISNUMBER(AM76),逐级计算!$X$39&gt;-1),IF(逐级计算!$X$39=0,AM76+逐级计算!$C$39,AM76+逐级计算!$C$39-(10/(逐级计算!$Q$39*LN(10))*(MAX((LN(10^(逐级计算!$Q$39/10)-1)+逐级计算!$Q$39*(AM76-逐级计算!$P$39)*LN(10)/10),0)+LN(1+EXP(-ABS((LN(10^(逐级计算!$Q$39/10)-1)+逐级计算!$Q$39*(AM76-逐级计算!$P$39)*LN(10)/10))))))),"")</f>
        <v>13.7930365742089</v>
      </c>
      <c r="AO76">
        <f>IF(AND(ISNUMBER(AN76),逐级计算!$X$40&gt;-1),IF(逐级计算!$X$40=0,AN76+逐级计算!$C$40,AN76+逐级计算!$C$40-(10/(逐级计算!$Q$40*LN(10))*(MAX((LN(10^(逐级计算!$Q$40/10)-1)+逐级计算!$Q$40*(AN76-逐级计算!$P$40)*LN(10)/10),0)+LN(1+EXP(-ABS((LN(10^(逐级计算!$Q$40/10)-1)+逐级计算!$Q$40*(AN76-逐级计算!$P$40)*LN(10)/10))))))),"")</f>
        <v>13.7930365742089</v>
      </c>
      <c r="AP76">
        <f>IF(AND(ISNUMBER(AO76),逐级计算!$X$41&gt;-1),IF(逐级计算!$X$41=0,AO76+逐级计算!$C$41,AO76+逐级计算!$C$41-(10/(逐级计算!$Q$41*LN(10))*(MAX((LN(10^(逐级计算!$Q$41/10)-1)+逐级计算!$Q$41*(AO76-逐级计算!$P$41)*LN(10)/10),0)+LN(1+EXP(-ABS((LN(10^(逐级计算!$Q$41/10)-1)+逐级计算!$Q$41*(AO76-逐级计算!$P$41)*LN(10)/10))))))),"")</f>
        <v>13.7930365742089</v>
      </c>
      <c r="AQ76">
        <f>IF(AND(ISNUMBER(AP76),逐级计算!$X$42&gt;-1),IF(逐级计算!$X$42=0,AP76+逐级计算!$C$42,AP76+逐级计算!$C$42-(10/(逐级计算!$Q$42*LN(10))*(MAX((LN(10^(逐级计算!$Q$42/10)-1)+逐级计算!$Q$42*(AP76-逐级计算!$P$42)*LN(10)/10),0)+LN(1+EXP(-ABS((LN(10^(逐级计算!$Q$42/10)-1)+逐级计算!$Q$42*(AP76-逐级计算!$P$42)*LN(10)/10))))))),"")</f>
        <v>13.7930365742089</v>
      </c>
      <c r="AR76">
        <f>IF(AND(ISNUMBER(AQ76),逐级计算!$X$43&gt;-1),IF(逐级计算!$X$43=0,AQ76+逐级计算!$C$43,AQ76+逐级计算!$C$43-(10/(逐级计算!$Q$43*LN(10))*(MAX((LN(10^(逐级计算!$Q$43/10)-1)+逐级计算!$Q$43*(AQ76-逐级计算!$P$43)*LN(10)/10),0)+LN(1+EXP(-ABS((LN(10^(逐级计算!$Q$43/10)-1)+逐级计算!$Q$43*(AQ76-逐级计算!$P$43)*LN(10)/10))))))),"")</f>
        <v>13.7930365742089</v>
      </c>
      <c r="AS76">
        <f>IF(AND(ISNUMBER(AR76),逐级计算!$X$44&gt;-1),IF(逐级计算!$X$44=0,AR76+逐级计算!$C$44,AR76+逐级计算!$C$44-(10/(逐级计算!$Q$44*LN(10))*(MAX((LN(10^(逐级计算!$Q$44/10)-1)+逐级计算!$Q$44*(AR76-逐级计算!$P$44)*LN(10)/10),0)+LN(1+EXP(-ABS((LN(10^(逐级计算!$Q$44/10)-1)+逐级计算!$Q$44*(AR76-逐级计算!$P$44)*LN(10)/10))))))),"")</f>
        <v>13.7930365742089</v>
      </c>
      <c r="AT76">
        <f>IF(AND(ISNUMBER(AS76),逐级计算!$X$45&gt;-1),IF(逐级计算!$X$45=0,AS76+逐级计算!$C$45,AS76+逐级计算!$C$45-(10/(逐级计算!$Q$45*LN(10))*(MAX((LN(10^(逐级计算!$Q$45/10)-1)+逐级计算!$Q$45*(AS76-逐级计算!$P$45)*LN(10)/10),0)+LN(1+EXP(-ABS((LN(10^(逐级计算!$Q$45/10)-1)+逐级计算!$Q$45*(AS76-逐级计算!$P$45)*LN(10)/10))))))),"")</f>
        <v>13.7930365742089</v>
      </c>
      <c r="AU76">
        <f>IF(AND(ISNUMBER(AT76),逐级计算!$X$46&gt;-1),IF(逐级计算!$X$46=0,AT76+逐级计算!$C$46,AT76+逐级计算!$C$46-(10/(逐级计算!$Q$46*LN(10))*(MAX((LN(10^(逐级计算!$Q$46/10)-1)+逐级计算!$Q$46*(AT76-逐级计算!$P$46)*LN(10)/10),0)+LN(1+EXP(-ABS((LN(10^(逐级计算!$Q$46/10)-1)+逐级计算!$Q$46*(AT76-逐级计算!$P$46)*LN(10)/10))))))),"")</f>
        <v>13.7930365742089</v>
      </c>
      <c r="AV76">
        <f>IF(AND(ISNUMBER(AU76),逐级计算!$X$47&gt;-1),IF(逐级计算!$X$47=0,AU76+逐级计算!$C$47,AU76+逐级计算!$C$47-(10/(逐级计算!$Q$47*LN(10))*(MAX((LN(10^(逐级计算!$Q$47/10)-1)+逐级计算!$Q$47*(AU76-逐级计算!$P$47)*LN(10)/10),0)+LN(1+EXP(-ABS((LN(10^(逐级计算!$Q$47/10)-1)+逐级计算!$Q$47*(AU76-逐级计算!$P$47)*LN(10)/10))))))),"")</f>
        <v>13.7930365742089</v>
      </c>
      <c r="AW76">
        <f>IF(AND(ISNUMBER(AV76),逐级计算!$X$48&gt;-1),IF(逐级计算!$X$48=0,AV76+逐级计算!$C$48,AV76+逐级计算!$C$48-(10/(逐级计算!$Q$48*LN(10))*(MAX((LN(10^(逐级计算!$Q$48/10)-1)+逐级计算!$Q$48*(AV76-逐级计算!$P$48)*LN(10)/10),0)+LN(1+EXP(-ABS((LN(10^(逐级计算!$Q$48/10)-1)+逐级计算!$Q$48*(AV76-逐级计算!$P$48)*LN(10)/10))))))),"")</f>
        <v>13.7930365742089</v>
      </c>
      <c r="AX76">
        <f>IF(AND(ISNUMBER(AW76),逐级计算!$X$49&gt;-1),IF(逐级计算!$X$49=0,AW76+逐级计算!$C$49,AW76+逐级计算!$C$49-(10/(逐级计算!$Q$49*LN(10))*(MAX((LN(10^(逐级计算!$Q$49/10)-1)+逐级计算!$Q$49*(AW76-逐级计算!$P$49)*LN(10)/10),0)+LN(1+EXP(-ABS((LN(10^(逐级计算!$Q$49/10)-1)+逐级计算!$Q$49*(AW76-逐级计算!$P$49)*LN(10)/10))))))),"")</f>
        <v>13.7930365742089</v>
      </c>
      <c r="AY76">
        <f>IF(AND(ISNUMBER(AX76),逐级计算!$X$50&gt;-1),IF(逐级计算!$X$50=0,AX76+逐级计算!$C$50,AX76+逐级计算!$C$50-(10/(逐级计算!$Q$50*LN(10))*(MAX((LN(10^(逐级计算!$Q$50/10)-1)+逐级计算!$Q$50*(AX76-逐级计算!$P$50)*LN(10)/10),0)+LN(1+EXP(-ABS((LN(10^(逐级计算!$Q$50/10)-1)+逐级计算!$Q$50*(AX76-逐级计算!$P$50)*LN(10)/10))))))),"")</f>
        <v>13.7930365742089</v>
      </c>
      <c r="AZ76">
        <f>IF(AND(ISNUMBER(AY76),逐级计算!$X$51&gt;-1),IF(逐级计算!$X$51=0,AY76+逐级计算!$C$51,AY76+逐级计算!$C$51-(10/(逐级计算!$Q$51*LN(10))*(MAX((LN(10^(逐级计算!$Q$51/10)-1)+逐级计算!$Q$51*(AY76-逐级计算!$P$51)*LN(10)/10),0)+LN(1+EXP(-ABS((LN(10^(逐级计算!$Q$51/10)-1)+逐级计算!$Q$51*(AY76-逐级计算!$P$51)*LN(10)/10))))))),"")</f>
        <v>13.7930365742089</v>
      </c>
      <c r="BA76">
        <f>IF(AND(ISNUMBER(AZ76),逐级计算!$X$52&gt;-1),IF(逐级计算!$X$52=0,AZ76+逐级计算!$C$52,AZ76+逐级计算!$C$52-(10/(逐级计算!$Q$52*LN(10))*(MAX((LN(10^(逐级计算!$Q$52/10)-1)+逐级计算!$Q$52*(AZ76-逐级计算!$P$52)*LN(10)/10),0)+LN(1+EXP(-ABS((LN(10^(逐级计算!$Q$52/10)-1)+逐级计算!$Q$52*(AZ76-逐级计算!$P$52)*LN(10)/10))))))),"")</f>
        <v>13.7930365742089</v>
      </c>
      <c r="BB76">
        <f>IF(AND(ISNUMBER(BA76),逐级计算!$X$53&gt;-1),IF(逐级计算!$X$53=0,BA76+逐级计算!$C$53,BA76+逐级计算!$C$53-(10/(逐级计算!$Q$53*LN(10))*(MAX((LN(10^(逐级计算!$Q$53/10)-1)+逐级计算!$Q$53*(BA76-逐级计算!$P$53)*LN(10)/10),0)+LN(1+EXP(-ABS((LN(10^(逐级计算!$Q$53/10)-1)+逐级计算!$Q$53*(BA76-逐级计算!$P$53)*LN(10)/10))))))),"")</f>
        <v>13.7930365742089</v>
      </c>
      <c r="BC76">
        <f>IF(AND(ISNUMBER(BB76),逐级计算!$X$54&gt;-1),IF(逐级计算!$X$54=0,BB76+逐级计算!$C$54,BB76+逐级计算!$C$54-(10/(逐级计算!$Q$54*LN(10))*(MAX((LN(10^(逐级计算!$Q$54/10)-1)+逐级计算!$Q$54*(BB76-逐级计算!$P$54)*LN(10)/10),0)+LN(1+EXP(-ABS((LN(10^(逐级计算!$Q$54/10)-1)+逐级计算!$Q$54*(BB76-逐级计算!$P$54)*LN(10)/10))))))),"")</f>
        <v>13.7930365742089</v>
      </c>
      <c r="BD76">
        <f>IF(AND(ISNUMBER(BC76),逐级计算!$X$55&gt;-1),IF(逐级计算!$X$55=0,BC76+逐级计算!$C$55,BC76+逐级计算!$C$55-(10/(逐级计算!$Q$55*LN(10))*(MAX((LN(10^(逐级计算!$Q$55/10)-1)+逐级计算!$Q$55*(BC76-逐级计算!$P$55)*LN(10)/10),0)+LN(1+EXP(-ABS((LN(10^(逐级计算!$Q$55/10)-1)+逐级计算!$Q$55*(BC76-逐级计算!$P$55)*LN(10)/10))))))),"")</f>
        <v>13.7930365742089</v>
      </c>
      <c r="BE76">
        <f>IF(AND(ISNUMBER(BD76),逐级计算!$X$56&gt;-1),IF(逐级计算!$X$56=0,BD76+逐级计算!$C$56,BD76+逐级计算!$C$56-(10/(逐级计算!$Q$56*LN(10))*(MAX((LN(10^(逐级计算!$Q$56/10)-1)+逐级计算!$Q$56*(BD76-逐级计算!$P$56)*LN(10)/10),0)+LN(1+EXP(-ABS((LN(10^(逐级计算!$Q$56/10)-1)+逐级计算!$Q$56*(BD76-逐级计算!$P$56)*LN(10)/10))))))),"")</f>
        <v>13.7930365742089</v>
      </c>
      <c r="BF76">
        <f>IF(AND(ISNUMBER(BE76),逐级计算!$X$57&gt;-1),IF(逐级计算!$X$57=0,BE76+逐级计算!$C$57,BE76+逐级计算!$C$57-(10/(逐级计算!$Q$57*LN(10))*(MAX((LN(10^(逐级计算!$Q$57/10)-1)+逐级计算!$Q$57*(BE76-逐级计算!$P$57)*LN(10)/10),0)+LN(1+EXP(-ABS((LN(10^(逐级计算!$Q$57/10)-1)+逐级计算!$Q$57*(BE76-逐级计算!$P$57)*LN(10)/10))))))),"")</f>
        <v>13.7930365742089</v>
      </c>
      <c r="BG76">
        <f>IF(AND(ISNUMBER(BF76),逐级计算!$X$58&gt;-1),IF(逐级计算!$X$58=0,BF76+逐级计算!$C$58,BF76+逐级计算!$C$58-(10/(逐级计算!$Q$58*LN(10))*(MAX((LN(10^(逐级计算!$Q$58/10)-1)+逐级计算!$Q$58*(BF76-逐级计算!$P$58)*LN(10)/10),0)+LN(1+EXP(-ABS((LN(10^(逐级计算!$Q$58/10)-1)+逐级计算!$Q$58*(BF76-逐级计算!$P$58)*LN(10)/10))))))),"")</f>
        <v>13.7930365742089</v>
      </c>
      <c r="BH76">
        <f>IF(AND(ISNUMBER(BG76),逐级计算!$X$59&gt;-1),IF(逐级计算!$X$59=0,BG76+逐级计算!$C$59,BG76+逐级计算!$C$59-(10/(逐级计算!$Q$59*LN(10))*(MAX((LN(10^(逐级计算!$Q$59/10)-1)+逐级计算!$Q$59*(BG76-逐级计算!$P$59)*LN(10)/10),0)+LN(1+EXP(-ABS((LN(10^(逐级计算!$Q$59/10)-1)+逐级计算!$Q$59*(BG76-逐级计算!$P$59)*LN(10)/10))))))),"")</f>
        <v>13.7930365742089</v>
      </c>
      <c r="BI76">
        <f>IF(AND(ISNUMBER(BH76),逐级计算!$X$60&gt;-1),IF(逐级计算!$X$60=0,BH76+逐级计算!$C$60,BH76+逐级计算!$C$60-(10/(逐级计算!$Q$60*LN(10))*(MAX((LN(10^(逐级计算!$Q$60/10)-1)+逐级计算!$Q$60*(BH76-逐级计算!$P$60)*LN(10)/10),0)+LN(1+EXP(-ABS((LN(10^(逐级计算!$Q$60/10)-1)+逐级计算!$Q$60*(BH76-逐级计算!$P$60)*LN(10)/10))))))),"")</f>
        <v>13.7930365742089</v>
      </c>
      <c r="BJ76">
        <f>IF(AND(ISNUMBER(BI76),逐级计算!$X$61&gt;-1),IF(逐级计算!$X$61=0,BI76+逐级计算!$C$61,BI76+逐级计算!$C$61-(10/(逐级计算!$Q$61*LN(10))*(MAX((LN(10^(逐级计算!$Q$61/10)-1)+逐级计算!$Q$61*(BI76-逐级计算!$P$61)*LN(10)/10),0)+LN(1+EXP(-ABS((LN(10^(逐级计算!$Q$61/10)-1)+逐级计算!$Q$61*(BI76-逐级计算!$P$61)*LN(10)/10))))))),"")</f>
        <v>13.7930365742089</v>
      </c>
      <c r="BK76">
        <f>IF(AND(ISNUMBER(BJ76),逐级计算!$X$62&gt;-1),IF(逐级计算!$X$62=0,BJ76+逐级计算!$C$62,BJ76+逐级计算!$C$62-(10/(逐级计算!$Q$62*LN(10))*(MAX((LN(10^(逐级计算!$Q$62/10)-1)+逐级计算!$Q$62*(BJ76-逐级计算!$P$62)*LN(10)/10),0)+LN(1+EXP(-ABS((LN(10^(逐级计算!$Q$62/10)-1)+逐级计算!$Q$62*(BJ76-逐级计算!$P$62)*LN(10)/10))))))),"")</f>
        <v>13.7930365742089</v>
      </c>
      <c r="BL76">
        <f>IF(AND(ISNUMBER(BK76),逐级计算!$X$63&gt;-1),IF(逐级计算!$X$63=0,BK76+逐级计算!$C$63,BK76+逐级计算!$C$63-(10/(逐级计算!$Q$63*LN(10))*(MAX((LN(10^(逐级计算!$Q$63/10)-1)+逐级计算!$Q$63*(BK76-逐级计算!$P$63)*LN(10)/10),0)+LN(1+EXP(-ABS((LN(10^(逐级计算!$Q$63/10)-1)+逐级计算!$Q$63*(BK76-逐级计算!$P$63)*LN(10)/10))))))),"")</f>
        <v>13.7930365742089</v>
      </c>
      <c r="BM76">
        <f>IF(AND(ISNUMBER(BL76),逐级计算!$X$64&gt;-1),IF(逐级计算!$X$64=0,BL76+逐级计算!$C$64,BL76+逐级计算!$C$64-(10/(逐级计算!$Q$64*LN(10))*(MAX((LN(10^(逐级计算!$Q$64/10)-1)+逐级计算!$Q$64*(BL76-逐级计算!$P$64)*LN(10)/10),0)+LN(1+EXP(-ABS((LN(10^(逐级计算!$Q$64/10)-1)+逐级计算!$Q$64*(BL76-逐级计算!$P$64)*LN(10)/10))))))),"")</f>
        <v>13.7930365742089</v>
      </c>
      <c r="BN76">
        <f>IF(AND(ISNUMBER(BM76),逐级计算!$X$65&gt;-1),IF(逐级计算!$X$65=0,BM76+逐级计算!$C$65,BM76+逐级计算!$C$65-(10/(逐级计算!$Q$65*LN(10))*(MAX((LN(10^(逐级计算!$Q$65/10)-1)+逐级计算!$Q$65*(BM76-逐级计算!$P$65)*LN(10)/10),0)+LN(1+EXP(-ABS((LN(10^(逐级计算!$Q$65/10)-1)+逐级计算!$Q$65*(BM76-逐级计算!$P$65)*LN(10)/10))))))),"")</f>
        <v>13.7930365742089</v>
      </c>
      <c r="BO76">
        <f>IF(AND(ISNUMBER(BN76),逐级计算!$X$66&gt;-1),IF(逐级计算!$X$66=0,BN76+逐级计算!$C$66,BN76+逐级计算!$C$66-(10/(逐级计算!$Q$66*LN(10))*(MAX((LN(10^(逐级计算!$Q$66/10)-1)+逐级计算!$Q$66*(BN76-逐级计算!$P$66)*LN(10)/10),0)+LN(1+EXP(-ABS((LN(10^(逐级计算!$Q$66/10)-1)+逐级计算!$Q$66*(BN76-逐级计算!$P$66)*LN(10)/10))))))),"")</f>
        <v>13.7930365742089</v>
      </c>
      <c r="BP76">
        <f>IF(AND(ISNUMBER(BO76),逐级计算!$X$67&gt;-1),IF(逐级计算!$X$67=0,BO76+逐级计算!$C$67,BO76+逐级计算!$C$67-(10/(逐级计算!$Q$67*LN(10))*(MAX((LN(10^(逐级计算!$Q$67/10)-1)+逐级计算!$Q$67*(BO76-逐级计算!$P$67)*LN(10)/10),0)+LN(1+EXP(-ABS((LN(10^(逐级计算!$Q$67/10)-1)+逐级计算!$Q$67*(BO76-逐级计算!$P$67)*LN(10)/10))))))),"")</f>
        <v>13.7930365742089</v>
      </c>
      <c r="BQ76">
        <f>IF(AND(ISNUMBER(BP76),逐级计算!$X$68&gt;-1),IF(逐级计算!$X$68=0,BP76+逐级计算!$C$68,BP76+逐级计算!$C$68-(10/(逐级计算!$Q$68*LN(10))*(MAX((LN(10^(逐级计算!$Q$68/10)-1)+逐级计算!$Q$68*(BP76-逐级计算!$P$68)*LN(10)/10),0)+LN(1+EXP(-ABS((LN(10^(逐级计算!$Q$68/10)-1)+逐级计算!$Q$68*(BP76-逐级计算!$P$68)*LN(10)/10))))))),"")</f>
        <v>13.7930365742089</v>
      </c>
      <c r="BR76">
        <f>IF(AND(ISNUMBER(BQ76),逐级计算!$X$69&gt;-1),IF(逐级计算!$X$69=0,BQ76+逐级计算!$C$69,BQ76+逐级计算!$C$69-(10/(逐级计算!$Q$69*LN(10))*(MAX((LN(10^(逐级计算!$Q$69/10)-1)+逐级计算!$Q$69*(BQ76-逐级计算!$P$69)*LN(10)/10),0)+LN(1+EXP(-ABS((LN(10^(逐级计算!$Q$69/10)-1)+逐级计算!$Q$69*(BQ76-逐级计算!$P$69)*LN(10)/10))))))),"")</f>
        <v>13.7930365742089</v>
      </c>
      <c r="BS76">
        <f>IF(AND(ISNUMBER(BR76),逐级计算!$X$70&gt;-1),IF(逐级计算!$X$70=0,BR76+逐级计算!$C$70,BR76+逐级计算!$C$70-(10/(逐级计算!$Q$70*LN(10))*(MAX((LN(10^(逐级计算!$Q$70/10)-1)+逐级计算!$Q$70*(BR76-逐级计算!$P$70)*LN(10)/10),0)+LN(1+EXP(-ABS((LN(10^(逐级计算!$Q$70/10)-1)+逐级计算!$Q$70*(BR76-逐级计算!$P$70)*LN(10)/10))))))),"")</f>
        <v>13.7930365742089</v>
      </c>
      <c r="BT76">
        <f>IF(AND(ISNUMBER(BS76),逐级计算!$X$71&gt;-1),IF(逐级计算!$X$71=0,BS76+逐级计算!$C$71,BS76+逐级计算!$C$71-(10/(逐级计算!$Q$71*LN(10))*(MAX((LN(10^(逐级计算!$Q$71/10)-1)+逐级计算!$Q$71*(BS76-逐级计算!$P$71)*LN(10)/10),0)+LN(1+EXP(-ABS((LN(10^(逐级计算!$Q$71/10)-1)+逐级计算!$Q$71*(BS76-逐级计算!$P$71)*LN(10)/10))))))),"")</f>
        <v>13.7930365742089</v>
      </c>
      <c r="BU76">
        <f>IF(AND(ISNUMBER(BT76),逐级计算!$X$72&gt;-1),IF(逐级计算!$X$72=0,BT76+逐级计算!$C$72,BT76+逐级计算!$C$72-(10/(逐级计算!$Q$72*LN(10))*(MAX((LN(10^(逐级计算!$Q$72/10)-1)+逐级计算!$Q$72*(BT76-逐级计算!$P$72)*LN(10)/10),0)+LN(1+EXP(-ABS((LN(10^(逐级计算!$Q$72/10)-1)+逐级计算!$Q$72*(BT76-逐级计算!$P$72)*LN(10)/10))))))),"")</f>
        <v>13.7930365742089</v>
      </c>
      <c r="BV76">
        <f>IF(AND(ISNUMBER(BU76),逐级计算!$X$73&gt;-1),IF(逐级计算!$X$73=0,BU76+逐级计算!$C$73,BU76+逐级计算!$C$73-(10/(逐级计算!$Q$73*LN(10))*(MAX((LN(10^(逐级计算!$Q$73/10)-1)+逐级计算!$Q$73*(BU76-逐级计算!$P$73)*LN(10)/10),0)+LN(1+EXP(-ABS((LN(10^(逐级计算!$Q$73/10)-1)+逐级计算!$Q$73*(BU76-逐级计算!$P$73)*LN(10)/10))))))),"")</f>
        <v>13.7930365742089</v>
      </c>
      <c r="BW76">
        <f>IF(AND(ISNUMBER(BV76),逐级计算!$X$74&gt;-1),IF(逐级计算!$X$74=0,BV76+逐级计算!$C$74,BV76+逐级计算!$C$74-(10/(逐级计算!$Q$74*LN(10))*(MAX((LN(10^(逐级计算!$Q$74/10)-1)+逐级计算!$Q$74*(BV76-逐级计算!$P$74)*LN(10)/10),0)+LN(1+EXP(-ABS((LN(10^(逐级计算!$Q$74/10)-1)+逐级计算!$Q$74*(BV76-逐级计算!$P$74)*LN(10)/10))))))),"")</f>
        <v>13.7930365742089</v>
      </c>
      <c r="BX76">
        <f>IF(AND(ISNUMBER(BW76),逐级计算!$X$75&gt;-1),IF(逐级计算!$X$75=0,BW76+逐级计算!$C$75,BW76+逐级计算!$C$75-(10/(逐级计算!$Q$75*LN(10))*(MAX((LN(10^(逐级计算!$Q$75/10)-1)+逐级计算!$Q$75*(BW76-逐级计算!$P$75)*LN(10)/10),0)+LN(1+EXP(-ABS((LN(10^(逐级计算!$Q$75/10)-1)+逐级计算!$Q$75*(BW76-逐级计算!$P$75)*LN(10)/10))))))),"")</f>
        <v>13.7930365742089</v>
      </c>
      <c r="BY76">
        <f>IF(AND(ISNUMBER(BX76),逐级计算!$X$76&gt;-1),IF(逐级计算!$X$76=0,BX76+逐级计算!$C$76,BX76+逐级计算!$C$76-(10/(逐级计算!$Q$76*LN(10))*(MAX((LN(10^(逐级计算!$Q$76/10)-1)+逐级计算!$Q$76*(BX76-逐级计算!$P$76)*LN(10)/10),0)+LN(1+EXP(-ABS((LN(10^(逐级计算!$Q$76/10)-1)+逐级计算!$Q$76*(BX76-逐级计算!$P$76)*LN(10)/10))))))),"")</f>
        <v>13.7930365742089</v>
      </c>
      <c r="BZ76">
        <f>IF(AND(ISNUMBER(BY76),逐级计算!$X$77&gt;-1),IF(逐级计算!$X$77=0,BY76+逐级计算!$C$77,BY76+逐级计算!$C$77-(10/(逐级计算!$Q$77*LN(10))*(MAX((LN(10^(逐级计算!$Q$77/10)-1)+逐级计算!$Q$77*(BY76-逐级计算!$P$77)*LN(10)/10),0)+LN(1+EXP(-ABS((LN(10^(逐级计算!$Q$77/10)-1)+逐级计算!$Q$77*(BY76-逐级计算!$P$77)*LN(10)/10))))))),"")</f>
        <v>13.7930365742089</v>
      </c>
      <c r="CA76">
        <f>IF(AND(ISNUMBER(BZ76),逐级计算!$X$78&gt;-1),IF(逐级计算!$X$78=0,BZ76+逐级计算!$C$78,BZ76+逐级计算!$C$78-(10/(逐级计算!$Q$78*LN(10))*(MAX((LN(10^(逐级计算!$Q$78/10)-1)+逐级计算!$Q$78*(BZ76-逐级计算!$P$78)*LN(10)/10),0)+LN(1+EXP(-ABS((LN(10^(逐级计算!$Q$78/10)-1)+逐级计算!$Q$78*(BZ76-逐级计算!$P$78)*LN(10)/10))))))),"")</f>
        <v>13.7930365742089</v>
      </c>
      <c r="CB76">
        <f>IF(AND(ISNUMBER(CA76),逐级计算!$X$79&gt;-1),IF(逐级计算!$X$79=0,CA76+逐级计算!$C$79,CA76+逐级计算!$C$79-(10/(逐级计算!$Q$79*LN(10))*(MAX((LN(10^(逐级计算!$Q$79/10)-1)+逐级计算!$Q$79*(CA76-逐级计算!$P$79)*LN(10)/10),0)+LN(1+EXP(-ABS((LN(10^(逐级计算!$Q$79/10)-1)+逐级计算!$Q$79*(CA76-逐级计算!$P$79)*LN(10)/10))))))),"")</f>
        <v>13.7930365742089</v>
      </c>
      <c r="CC76">
        <f>IF(AND(ISNUMBER(CB76),逐级计算!$X$80&gt;-1),IF(逐级计算!$X$80=0,CB76+逐级计算!$C$80,CB76+逐级计算!$C$80-(10/(逐级计算!$Q$80*LN(10))*(MAX((LN(10^(逐级计算!$Q$80/10)-1)+逐级计算!$Q$80*(CB76-逐级计算!$P$80)*LN(10)/10),0)+LN(1+EXP(-ABS((LN(10^(逐级计算!$Q$80/10)-1)+逐级计算!$Q$80*(CB76-逐级计算!$P$80)*LN(10)/10))))))),"")</f>
        <v>13.7930365742089</v>
      </c>
      <c r="CD76">
        <f>IF(AND(ISNUMBER(CC76),逐级计算!$X$81&gt;-1),IF(逐级计算!$X$81=0,CC76+逐级计算!$C$81,CC76+逐级计算!$C$81-(10/(逐级计算!$Q$81*LN(10))*(MAX((LN(10^(逐级计算!$Q$81/10)-1)+逐级计算!$Q$81*(CC76-逐级计算!$P$81)*LN(10)/10),0)+LN(1+EXP(-ABS((LN(10^(逐级计算!$Q$81/10)-1)+逐级计算!$Q$81*(CC76-逐级计算!$P$81)*LN(10)/10))))))),"")</f>
        <v>13.7930365742089</v>
      </c>
      <c r="CE76">
        <f>IF(AND(ISNUMBER(CD76),逐级计算!$X$82&gt;-1),IF(逐级计算!$X$82=0,CD76+逐级计算!$C$82,CD76+逐级计算!$C$82-(10/(逐级计算!$Q$82*LN(10))*(MAX((LN(10^(逐级计算!$Q$82/10)-1)+逐级计算!$Q$82*(CD76-逐级计算!$P$82)*LN(10)/10),0)+LN(1+EXP(-ABS((LN(10^(逐级计算!$Q$82/10)-1)+逐级计算!$Q$82*(CD76-逐级计算!$P$82)*LN(10)/10))))))),"")</f>
        <v>13.7930365742089</v>
      </c>
      <c r="CF76">
        <f>IF(AND(ISNUMBER(CE76),逐级计算!$X$83&gt;-1),IF(逐级计算!$X$83=0,CE76+逐级计算!$C$83,CE76+逐级计算!$C$83-(10/(逐级计算!$Q$83*LN(10))*(MAX((LN(10^(逐级计算!$Q$83/10)-1)+逐级计算!$Q$83*(CE76-逐级计算!$P$83)*LN(10)/10),0)+LN(1+EXP(-ABS((LN(10^(逐级计算!$Q$83/10)-1)+逐级计算!$Q$83*(CE76-逐级计算!$P$83)*LN(10)/10))))))),"")</f>
        <v>13.7930365742089</v>
      </c>
      <c r="CG76">
        <f>IF(AND(ISNUMBER(CF76),逐级计算!$X$84&gt;-1),IF(逐级计算!$X$84=0,CF76+逐级计算!$C$84,CF76+逐级计算!$C$84-(10/(逐级计算!$Q$84*LN(10))*(MAX((LN(10^(逐级计算!$Q$84/10)-1)+逐级计算!$Q$84*(CF76-逐级计算!$P$84)*LN(10)/10),0)+LN(1+EXP(-ABS((LN(10^(逐级计算!$Q$84/10)-1)+逐级计算!$Q$84*(CF76-逐级计算!$P$84)*LN(10)/10))))))),"")</f>
        <v>13.7930365742089</v>
      </c>
      <c r="CH76">
        <f>IF(AND(ISNUMBER(CG76),逐级计算!$X$85&gt;-1),IF(逐级计算!$X$85=0,CG76+逐级计算!$C$85,CG76+逐级计算!$C$85-(10/(逐级计算!$Q$85*LN(10))*(MAX((LN(10^(逐级计算!$Q$85/10)-1)+逐级计算!$Q$85*(CG76-逐级计算!$P$85)*LN(10)/10),0)+LN(1+EXP(-ABS((LN(10^(逐级计算!$Q$85/10)-1)+逐级计算!$Q$85*(CG76-逐级计算!$P$85)*LN(10)/10))))))),"")</f>
        <v>13.7930365742089</v>
      </c>
      <c r="CI76">
        <f>IF(AND(ISNUMBER(CH76),逐级计算!$X$86&gt;-1),IF(逐级计算!$X$86=0,CH76+逐级计算!$C$86,CH76+逐级计算!$C$86-(10/(逐级计算!$Q$86*LN(10))*(MAX((LN(10^(逐级计算!$Q$86/10)-1)+逐级计算!$Q$86*(CH76-逐级计算!$P$86)*LN(10)/10),0)+LN(1+EXP(-ABS((LN(10^(逐级计算!$Q$86/10)-1)+逐级计算!$Q$86*(CH76-逐级计算!$P$86)*LN(10)/10))))))),"")</f>
        <v>13.7930365742089</v>
      </c>
      <c r="CJ76">
        <f>IF(AND(ISNUMBER(CI76),逐级计算!$X$87&gt;-1),IF(逐级计算!$X$87=0,CI76+逐级计算!$C$87,CI76+逐级计算!$C$87-(10/(逐级计算!$Q$87*LN(10))*(MAX((LN(10^(逐级计算!$Q$87/10)-1)+逐级计算!$Q$87*(CI76-逐级计算!$P$87)*LN(10)/10),0)+LN(1+EXP(-ABS((LN(10^(逐级计算!$Q$87/10)-1)+逐级计算!$Q$87*(CI76-逐级计算!$P$87)*LN(10)/10))))))),"")</f>
        <v>13.7930365742089</v>
      </c>
      <c r="CK76">
        <f>IF(AND(ISNUMBER(CJ76),逐级计算!$X$88&gt;-1),IF(逐级计算!$X$88=0,CJ76+逐级计算!$C$88,CJ76+逐级计算!$C$88-(10/(逐级计算!$Q$88*LN(10))*(MAX((LN(10^(逐级计算!$Q$88/10)-1)+逐级计算!$Q$88*(CJ76-逐级计算!$P$88)*LN(10)/10),0)+LN(1+EXP(-ABS((LN(10^(逐级计算!$Q$88/10)-1)+逐级计算!$Q$88*(CJ76-逐级计算!$P$88)*LN(10)/10))))))),"")</f>
        <v>13.7930365742089</v>
      </c>
      <c r="CL76">
        <f>IF(AND(ISNUMBER(CK76),逐级计算!$X$89&gt;-1),IF(逐级计算!$X$89=0,CK76+逐级计算!$C$89,CK76+逐级计算!$C$89-(10/(逐级计算!$Q$89*LN(10))*(MAX((LN(10^(逐级计算!$Q$89/10)-1)+逐级计算!$Q$89*(CK76-逐级计算!$P$89)*LN(10)/10),0)+LN(1+EXP(-ABS((LN(10^(逐级计算!$Q$89/10)-1)+逐级计算!$Q$89*(CK76-逐级计算!$P$89)*LN(10)/10))))))),"")</f>
        <v>13.7930365742089</v>
      </c>
      <c r="CM76">
        <f>IF(AND(ISNUMBER(CL76),逐级计算!$X$90&gt;-1),IF(逐级计算!$X$90=0,CL76+逐级计算!$C$90,CL76+逐级计算!$C$90-(10/(逐级计算!$Q$90*LN(10))*(MAX((LN(10^(逐级计算!$Q$90/10)-1)+逐级计算!$Q$90*(CL76-逐级计算!$P$90)*LN(10)/10),0)+LN(1+EXP(-ABS((LN(10^(逐级计算!$Q$90/10)-1)+逐级计算!$Q$90*(CL76-逐级计算!$P$90)*LN(10)/10))))))),"")</f>
        <v>13.7930365742089</v>
      </c>
      <c r="CN76">
        <f>IF(AND(ISNUMBER(CM76),逐级计算!$X$91&gt;-1),IF(逐级计算!$X$91=0,CM76+逐级计算!$C$91,CM76+逐级计算!$C$91-(10/(逐级计算!$Q$91*LN(10))*(MAX((LN(10^(逐级计算!$Q$91/10)-1)+逐级计算!$Q$91*(CM76-逐级计算!$P$91)*LN(10)/10),0)+LN(1+EXP(-ABS((LN(10^(逐级计算!$Q$91/10)-1)+逐级计算!$Q$91*(CM76-逐级计算!$P$91)*LN(10)/10))))))),"")</f>
        <v>13.7930365742089</v>
      </c>
      <c r="CO76">
        <f>IF(AND(ISNUMBER(CN76),逐级计算!$X$92&gt;-1),IF(逐级计算!$X$92=0,CN76+逐级计算!$C$92,CN76+逐级计算!$C$92-(10/(逐级计算!$Q$92*LN(10))*(MAX((LN(10^(逐级计算!$Q$92/10)-1)+逐级计算!$Q$92*(CN76-逐级计算!$P$92)*LN(10)/10),0)+LN(1+EXP(-ABS((LN(10^(逐级计算!$Q$92/10)-1)+逐级计算!$Q$92*(CN76-逐级计算!$P$92)*LN(10)/10))))))),"")</f>
        <v>13.7930365742089</v>
      </c>
      <c r="CP76">
        <f>IF(AND(ISNUMBER(CO76),逐级计算!$X$93&gt;-1),IF(逐级计算!$X$93=0,CO76+逐级计算!$C$93,CO76+逐级计算!$C$93-(10/(逐级计算!$Q$93*LN(10))*(MAX((LN(10^(逐级计算!$Q$93/10)-1)+逐级计算!$Q$93*(CO76-逐级计算!$P$93)*LN(10)/10),0)+LN(1+EXP(-ABS((LN(10^(逐级计算!$Q$93/10)-1)+逐级计算!$Q$93*(CO76-逐级计算!$P$93)*LN(10)/10))))))),"")</f>
        <v>13.7930365742089</v>
      </c>
      <c r="CQ76">
        <f>IF(AND(ISNUMBER(CP76),逐级计算!$X$94&gt;-1),IF(逐级计算!$X$94=0,CP76+逐级计算!$C$94,CP76+逐级计算!$C$94-(10/(逐级计算!$Q$94*LN(10))*(MAX((LN(10^(逐级计算!$Q$94/10)-1)+逐级计算!$Q$94*(CP76-逐级计算!$P$94)*LN(10)/10),0)+LN(1+EXP(-ABS((LN(10^(逐级计算!$Q$94/10)-1)+逐级计算!$Q$94*(CP76-逐级计算!$P$94)*LN(10)/10))))))),"")</f>
        <v>13.7930365742089</v>
      </c>
      <c r="CR76">
        <f>IF(AND(ISNUMBER(CQ76),逐级计算!$X$95&gt;-1),IF(逐级计算!$X$95=0,CQ76+逐级计算!$C$95,CQ76+逐级计算!$C$95-(10/(逐级计算!$Q$95*LN(10))*(MAX((LN(10^(逐级计算!$Q$95/10)-1)+逐级计算!$Q$95*(CQ76-逐级计算!$P$95)*LN(10)/10),0)+LN(1+EXP(-ABS((LN(10^(逐级计算!$Q$95/10)-1)+逐级计算!$Q$95*(CQ76-逐级计算!$P$95)*LN(10)/10))))))),"")</f>
        <v>13.7930365742089</v>
      </c>
      <c r="CS76">
        <f>IF(AND(ISNUMBER(CR76),逐级计算!$X$96&gt;-1),IF(逐级计算!$X$96=0,CR76+逐级计算!$C$96,CR76+逐级计算!$C$96-(10/(逐级计算!$Q$96*LN(10))*(MAX((LN(10^(逐级计算!$Q$96/10)-1)+逐级计算!$Q$96*(CR76-逐级计算!$P$96)*LN(10)/10),0)+LN(1+EXP(-ABS((LN(10^(逐级计算!$Q$96/10)-1)+逐级计算!$Q$96*(CR76-逐级计算!$P$96)*LN(10)/10))))))),"")</f>
        <v>13.7930365742089</v>
      </c>
      <c r="CT76">
        <f>IF(AND(ISNUMBER(CS76),逐级计算!$X$97&gt;-1),IF(逐级计算!$X$97=0,CS76+逐级计算!$C$97,CS76+逐级计算!$C$97-(10/(逐级计算!$Q$97*LN(10))*(MAX((LN(10^(逐级计算!$Q$97/10)-1)+逐级计算!$Q$97*(CS76-逐级计算!$P$97)*LN(10)/10),0)+LN(1+EXP(-ABS((LN(10^(逐级计算!$Q$97/10)-1)+逐级计算!$Q$97*(CS76-逐级计算!$P$97)*LN(10)/10))))))),"")</f>
        <v>13.7930365742089</v>
      </c>
      <c r="CU76">
        <f>IF(AND(ISNUMBER(CT76),逐级计算!$X$98&gt;-1),IF(逐级计算!$X$98=0,CT76+逐级计算!$C$98,CT76+逐级计算!$C$98-(10/(逐级计算!$Q$98*LN(10))*(MAX((LN(10^(逐级计算!$Q$98/10)-1)+逐级计算!$Q$98*(CT76-逐级计算!$P$98)*LN(10)/10),0)+LN(1+EXP(-ABS((LN(10^(逐级计算!$Q$98/10)-1)+逐级计算!$Q$98*(CT76-逐级计算!$P$98)*LN(10)/10))))))),"")</f>
        <v>13.7930365742089</v>
      </c>
      <c r="CV76">
        <f>IF(AND(ISNUMBER(CU76),逐级计算!$X$99&gt;-1),IF(逐级计算!$X$99=0,CU76+逐级计算!$C$99,CU76+逐级计算!$C$99-(10/(逐级计算!$Q$99*LN(10))*(MAX((LN(10^(逐级计算!$Q$99/10)-1)+逐级计算!$Q$99*(CU76-逐级计算!$P$99)*LN(10)/10),0)+LN(1+EXP(-ABS((LN(10^(逐级计算!$Q$99/10)-1)+逐级计算!$Q$99*(CU76-逐级计算!$P$99)*LN(10)/10))))))),"")</f>
        <v>13.7930365742089</v>
      </c>
      <c r="CW76">
        <f>IF(AND(ISNUMBER(CV76),逐级计算!$X$100&gt;-1),IF(逐级计算!$X$100=0,CV76+逐级计算!$C$100,CV76+逐级计算!$C$100-(10/(逐级计算!$Q$100*LN(10))*(MAX((LN(10^(逐级计算!$Q$100/10)-1)+逐级计算!$Q$100*(CV76-逐级计算!$P$100)*LN(10)/10),0)+LN(1+EXP(-ABS((LN(10^(逐级计算!$Q$100/10)-1)+逐级计算!$Q$100*(CV76-逐级计算!$P$100)*LN(10)/10))))))),"")</f>
        <v>13.7930365742089</v>
      </c>
      <c r="CX76">
        <f>IF(AND(ISNUMBER(CW76),逐级计算!$X$101&gt;-1),IF(逐级计算!$X$101=0,CW76+逐级计算!$C$101,CW76+逐级计算!$C$101-(10/(逐级计算!$Q$101*LN(10))*(MAX((LN(10^(逐级计算!$Q$101/10)-1)+逐级计算!$Q$101*(CW76-逐级计算!$P$101)*LN(10)/10),0)+LN(1+EXP(-ABS((LN(10^(逐级计算!$Q$101/10)-1)+逐级计算!$Q$101*(CW76-逐级计算!$P$101)*LN(10)/10))))))),"")</f>
        <v>13.7930365742089</v>
      </c>
      <c r="CY76">
        <f>IF(AND(ISNUMBER(CX76),逐级计算!$X$102&gt;-1),IF(逐级计算!$X$102=0,CX76+逐级计算!$C$102,CX76+逐级计算!$C$102-(10/(逐级计算!$Q$102*LN(10))*(MAX((LN(10^(逐级计算!$Q$102/10)-1)+逐级计算!$Q$102*(CX76-逐级计算!$P$102)*LN(10)/10),0)+LN(1+EXP(-ABS((LN(10^(逐级计算!$Q$102/10)-1)+逐级计算!$Q$102*(CX76-逐级计算!$P$102)*LN(10)/10))))))),"")</f>
        <v>13.7930365742089</v>
      </c>
      <c r="CZ76">
        <f>IF(AND(ISNUMBER(CY76),逐级计算!$X$103&gt;-1),IF(逐级计算!$X$103=0,CY76+逐级计算!$C$103,CY76+逐级计算!$C$103-(10/(逐级计算!$Q$103*LN(10))*(MAX((LN(10^(逐级计算!$Q$103/10)-1)+逐级计算!$Q$103*(CY76-逐级计算!$P$103)*LN(10)/10),0)+LN(1+EXP(-ABS((LN(10^(逐级计算!$Q$103/10)-1)+逐级计算!$Q$103*(CY76-逐级计算!$P$103)*LN(10)/10))))))),"")</f>
        <v>13.7930365742089</v>
      </c>
      <c r="DA76">
        <f>IF(AND(ISNUMBER(CZ76),逐级计算!$X$104&gt;-1),IF(逐级计算!$X$104=0,CZ76+逐级计算!$C$104,CZ76+逐级计算!$C$104-(10/(逐级计算!$Q$104*LN(10))*(MAX((LN(10^(逐级计算!$Q$104/10)-1)+逐级计算!$Q$104*(CZ76-逐级计算!$P$104)*LN(10)/10),0)+LN(1+EXP(-ABS((LN(10^(逐级计算!$Q$104/10)-1)+逐级计算!$Q$104*(CZ76-逐级计算!$P$104)*LN(10)/10))))))),"")</f>
        <v>13.7930365742089</v>
      </c>
      <c r="DB76">
        <f>IF(AND(ISNUMBER(DA76),逐级计算!$X$105&gt;-1),IF(逐级计算!$X$105=0,DA76+逐级计算!$C$105,DA76+逐级计算!$C$105-(10/(逐级计算!$Q$105*LN(10))*(MAX((LN(10^(逐级计算!$Q$105/10)-1)+逐级计算!$Q$105*(DA76-逐级计算!$P$105)*LN(10)/10),0)+LN(1+EXP(-ABS((LN(10^(逐级计算!$Q$105/10)-1)+逐级计算!$Q$105*(DA76-逐级计算!$P$105)*LN(10)/10))))))),"")</f>
        <v>13.7930365742089</v>
      </c>
      <c r="DC76">
        <f>IF(AND(ISNUMBER(DB76),逐级计算!$X$106&gt;-1),IF(逐级计算!$X$106=0,DB76+逐级计算!$C$106,DB76+逐级计算!$C$106-(10/(逐级计算!$Q$106*LN(10))*(MAX((LN(10^(逐级计算!$Q$106/10)-1)+逐级计算!$Q$106*(DB76-逐级计算!$P$106)*LN(10)/10),0)+LN(1+EXP(-ABS((LN(10^(逐级计算!$Q$106/10)-1)+逐级计算!$Q$106*(DB76-逐级计算!$P$106)*LN(10)/10))))))),"")</f>
        <v>13.7930365742089</v>
      </c>
      <c r="DD76">
        <f>IF(AND(ISNUMBER(DC76),逐级计算!$X$107&gt;-1),IF(逐级计算!$X$107=0,DC76+逐级计算!$C$107,DC76+逐级计算!$C$107-(10/(逐级计算!$Q$107*LN(10))*(MAX((LN(10^(逐级计算!$Q$107/10)-1)+逐级计算!$Q$107*(DC76-逐级计算!$P$107)*LN(10)/10),0)+LN(1+EXP(-ABS((LN(10^(逐级计算!$Q$107/10)-1)+逐级计算!$Q$107*(DC76-逐级计算!$P$107)*LN(10)/10))))))),"")</f>
        <v>13.7930365742089</v>
      </c>
      <c r="DE76">
        <f>IF(AND(ISNUMBER(DD76),逐级计算!$X$108&gt;-1),IF(逐级计算!$X$108=0,DD76+逐级计算!$C$108,DD76+逐级计算!$C$108-(10/(逐级计算!$Q$108*LN(10))*(MAX((LN(10^(逐级计算!$Q$108/10)-1)+逐级计算!$Q$108*(DD76-逐级计算!$P$108)*LN(10)/10),0)+LN(1+EXP(-ABS((LN(10^(逐级计算!$Q$108/10)-1)+逐级计算!$Q$108*(DD76-逐级计算!$P$108)*LN(10)/10))))))),"")</f>
        <v>13.7930365742089</v>
      </c>
      <c r="DF76">
        <f>IF(AND(ISNUMBER(DE76),逐级计算!$X$109&gt;-1),IF(逐级计算!$X$109=0,DE76+逐级计算!$C$109,DE76+逐级计算!$C$109-(10/(逐级计算!$Q$109*LN(10))*(MAX((LN(10^(逐级计算!$Q$109/10)-1)+逐级计算!$Q$109*(DE76-逐级计算!$P$109)*LN(10)/10),0)+LN(1+EXP(-ABS((LN(10^(逐级计算!$Q$109/10)-1)+逐级计算!$Q$109*(DE76-逐级计算!$P$109)*LN(10)/10))))))),"")</f>
        <v>13.7930365742089</v>
      </c>
      <c r="DG76">
        <f>IF(AND(ISNUMBER(DF76),逐级计算!$X$110&gt;-1),IF(逐级计算!$X$110=0,DF76+逐级计算!$C$110,DF76+逐级计算!$C$110-(10/(逐级计算!$Q$110*LN(10))*(MAX((LN(10^(逐级计算!$Q$110/10)-1)+逐级计算!$Q$110*(DF76-逐级计算!$P$110)*LN(10)/10),0)+LN(1+EXP(-ABS((LN(10^(逐级计算!$Q$110/10)-1)+逐级计算!$Q$110*(DF76-逐级计算!$P$110)*LN(10)/10))))))),"")</f>
        <v>13.7930365742089</v>
      </c>
      <c r="DH76">
        <f>IF(AND(ISNUMBER(DG76),逐级计算!$X$111&gt;-1),IF(逐级计算!$X$111=0,DG76+逐级计算!$C$111,DG76+逐级计算!$C$111-(10/(逐级计算!$Q$111*LN(10))*(MAX((LN(10^(逐级计算!$Q$111/10)-1)+逐级计算!$Q$111*(DG76-逐级计算!$P$111)*LN(10)/10),0)+LN(1+EXP(-ABS((LN(10^(逐级计算!$Q$111/10)-1)+逐级计算!$Q$111*(DG76-逐级计算!$P$111)*LN(10)/10))))))),"")</f>
        <v>13.7930365742089</v>
      </c>
      <c r="DI76">
        <f>IF(AND(ISNUMBER(DH76),逐级计算!$X$112&gt;-1),IF(逐级计算!$X$112=0,DH76+逐级计算!$C$112,DH76+逐级计算!$C$112-(10/(逐级计算!$Q$112*LN(10))*(MAX((LN(10^(逐级计算!$Q$112/10)-1)+逐级计算!$Q$112*(DH76-逐级计算!$P$112)*LN(10)/10),0)+LN(1+EXP(-ABS((LN(10^(逐级计算!$Q$112/10)-1)+逐级计算!$Q$112*(DH76-逐级计算!$P$112)*LN(10)/10))))))),"")</f>
        <v>13.7930365742089</v>
      </c>
      <c r="DJ76">
        <f>IF(AND(ISNUMBER(DI76),逐级计算!$X$113&gt;-1),IF(逐级计算!$X$113=0,DI76+逐级计算!$C$113,DI76+逐级计算!$C$113-(10/(逐级计算!$Q$113*LN(10))*(MAX((LN(10^(逐级计算!$Q$113/10)-1)+逐级计算!$Q$113*(DI76-逐级计算!$P$113)*LN(10)/10),0)+LN(1+EXP(-ABS((LN(10^(逐级计算!$Q$113/10)-1)+逐级计算!$Q$113*(DI76-逐级计算!$P$113)*LN(10)/10))))))),"")</f>
        <v>13.7930365742089</v>
      </c>
      <c r="DK76">
        <f>IF(AND(ISNUMBER(DJ76),逐级计算!$X$114&gt;-1),IF(逐级计算!$X$114=0,DJ76+逐级计算!$C$114,DJ76+逐级计算!$C$114-(10/(逐级计算!$Q$114*LN(10))*(MAX((LN(10^(逐级计算!$Q$114/10)-1)+逐级计算!$Q$114*(DJ76-逐级计算!$P$114)*LN(10)/10),0)+LN(1+EXP(-ABS((LN(10^(逐级计算!$Q$114/10)-1)+逐级计算!$Q$114*(DJ76-逐级计算!$P$114)*LN(10)/10))))))),"")</f>
        <v>13.7930365742089</v>
      </c>
      <c r="DL76">
        <f>IF(AND(ISNUMBER(DK76),逐级计算!$X$115&gt;-1),IF(逐级计算!$X$115=0,DK76+逐级计算!$C$115,DK76+逐级计算!$C$115-(10/(逐级计算!$Q$115*LN(10))*(MAX((LN(10^(逐级计算!$Q$115/10)-1)+逐级计算!$Q$115*(DK76-逐级计算!$P$115)*LN(10)/10),0)+LN(1+EXP(-ABS((LN(10^(逐级计算!$Q$115/10)-1)+逐级计算!$Q$115*(DK76-逐级计算!$P$115)*LN(10)/10))))))),"")</f>
        <v>13.7930365742089</v>
      </c>
      <c r="DM76">
        <f>IF(AND(ISNUMBER(DL76),逐级计算!$X$116&gt;-1),IF(逐级计算!$X$116=0,DL76+逐级计算!$C$116,DL76+逐级计算!$C$116-(10/(逐级计算!$Q$116*LN(10))*(MAX((LN(10^(逐级计算!$Q$116/10)-1)+逐级计算!$Q$116*(DL76-逐级计算!$P$116)*LN(10)/10),0)+LN(1+EXP(-ABS((LN(10^(逐级计算!$Q$116/10)-1)+逐级计算!$Q$116*(DL76-逐级计算!$P$116)*LN(10)/10))))))),"")</f>
        <v>13.7930365742089</v>
      </c>
      <c r="DN76">
        <f>IF(AND(ISNUMBER(DM76),逐级计算!$X$117&gt;-1),IF(逐级计算!$X$117=0,DM76+逐级计算!$C$117,DM76+逐级计算!$C$117-(10/(逐级计算!$Q$117*LN(10))*(MAX((LN(10^(逐级计算!$Q$117/10)-1)+逐级计算!$Q$117*(DM76-逐级计算!$P$117)*LN(10)/10),0)+LN(1+EXP(-ABS((LN(10^(逐级计算!$Q$117/10)-1)+逐级计算!$Q$117*(DM76-逐级计算!$P$117)*LN(10)/10))))))),"")</f>
        <v>13.7930365742089</v>
      </c>
      <c r="DO76">
        <f>IF(AND(ISNUMBER(DN76),逐级计算!$X$118&gt;-1),IF(逐级计算!$X$118=0,DN76+逐级计算!$C$118,DN76+逐级计算!$C$118-(10/(逐级计算!$Q$118*LN(10))*(MAX((LN(10^(逐级计算!$Q$118/10)-1)+逐级计算!$Q$118*(DN76-逐级计算!$P$118)*LN(10)/10),0)+LN(1+EXP(-ABS((LN(10^(逐级计算!$Q$118/10)-1)+逐级计算!$Q$118*(DN76-逐级计算!$P$118)*LN(10)/10))))))),"")</f>
        <v>13.7930365742089</v>
      </c>
      <c r="DP76">
        <f>IF(AND(ISNUMBER(DO76),逐级计算!$X$119&gt;-1),IF(逐级计算!$X$119=0,DO76+逐级计算!$C$119,DO76+逐级计算!$C$119-(10/(逐级计算!$Q$119*LN(10))*(MAX((LN(10^(逐级计算!$Q$119/10)-1)+逐级计算!$Q$119*(DO76-逐级计算!$P$119)*LN(10)/10),0)+LN(1+EXP(-ABS((LN(10^(逐级计算!$Q$119/10)-1)+逐级计算!$Q$119*(DO76-逐级计算!$P$119)*LN(10)/10))))))),"")</f>
        <v>13.7930365742089</v>
      </c>
      <c r="DQ76">
        <f>IF(AND(ISNUMBER(DP76),逐级计算!$X$120&gt;-1),IF(逐级计算!$X$120=0,DP76+逐级计算!$C$120,DP76+逐级计算!$C$120-(10/(逐级计算!$Q$120*LN(10))*(MAX((LN(10^(逐级计算!$Q$120/10)-1)+逐级计算!$Q$120*(DP76-逐级计算!$P$120)*LN(10)/10),0)+LN(1+EXP(-ABS((LN(10^(逐级计算!$Q$120/10)-1)+逐级计算!$Q$120*(DP76-逐级计算!$P$120)*LN(10)/10))))))),"")</f>
        <v>13.7930365742089</v>
      </c>
      <c r="DR76">
        <f>IF(AND(ISNUMBER(DQ76),逐级计算!$X$121&gt;-1),IF(逐级计算!$X$121=0,DQ76+逐级计算!$C$121,DQ76+逐级计算!$C$121-(10/(逐级计算!$Q$121*LN(10))*(MAX((LN(10^(逐级计算!$Q$121/10)-1)+逐级计算!$Q$121*(DQ76-逐级计算!$P$121)*LN(10)/10),0)+LN(1+EXP(-ABS((LN(10^(逐级计算!$Q$121/10)-1)+逐级计算!$Q$121*(DQ76-逐级计算!$P$121)*LN(10)/10))))))),"")</f>
        <v>13.7930365742089</v>
      </c>
      <c r="DS76">
        <f>IF(AND(ISNUMBER(DR76),逐级计算!$X$122&gt;-1),IF(逐级计算!$X$122=0,DR76+逐级计算!$C$122,DR76+逐级计算!$C$122-(10/(逐级计算!$Q$122*LN(10))*(MAX((LN(10^(逐级计算!$Q$122/10)-1)+逐级计算!$Q$122*(DR76-逐级计算!$P$122)*LN(10)/10),0)+LN(1+EXP(-ABS((LN(10^(逐级计算!$Q$122/10)-1)+逐级计算!$Q$122*(DR76-逐级计算!$P$122)*LN(10)/10))))))),"")</f>
        <v>13.7930365742089</v>
      </c>
      <c r="DT76">
        <f>IF(AND(ISNUMBER(DS76),逐级计算!$X$123&gt;-1),IF(逐级计算!$X$123=0,DS76+逐级计算!$C$123,DS76+逐级计算!$C$123-(10/(逐级计算!$Q$123*LN(10))*(MAX((LN(10^(逐级计算!$Q$123/10)-1)+逐级计算!$Q$123*(DS76-逐级计算!$P$123)*LN(10)/10),0)+LN(1+EXP(-ABS((LN(10^(逐级计算!$Q$123/10)-1)+逐级计算!$Q$123*(DS76-逐级计算!$P$123)*LN(10)/10))))))),"")</f>
        <v>13.7930365742089</v>
      </c>
      <c r="DU76">
        <f>IF(AND(ISNUMBER(DT76),逐级计算!$X$124&gt;-1),IF(逐级计算!$X$124=0,DT76+逐级计算!$C$124,DT76+逐级计算!$C$124-(10/(逐级计算!$Q$124*LN(10))*(MAX((LN(10^(逐级计算!$Q$124/10)-1)+逐级计算!$Q$124*(DT76-逐级计算!$P$124)*LN(10)/10),0)+LN(1+EXP(-ABS((LN(10^(逐级计算!$Q$124/10)-1)+逐级计算!$Q$124*(DT76-逐级计算!$P$124)*LN(10)/10))))))),"")</f>
        <v>13.7930365742089</v>
      </c>
      <c r="DV76">
        <f>IF(AND(ISNUMBER(DU76),逐级计算!$X$125&gt;-1),IF(逐级计算!$X$125=0,DU76+逐级计算!$C$125,DU76+逐级计算!$C$125-(10/(逐级计算!$Q$125*LN(10))*(MAX((LN(10^(逐级计算!$Q$125/10)-1)+逐级计算!$Q$125*(DU76-逐级计算!$P$125)*LN(10)/10),0)+LN(1+EXP(-ABS((LN(10^(逐级计算!$Q$125/10)-1)+逐级计算!$Q$125*(DU76-逐级计算!$P$125)*LN(10)/10))))))),"")</f>
        <v>13.7930365742089</v>
      </c>
      <c r="DW76">
        <f>IF(AND(ISNUMBER(DV76),逐级计算!$X$126&gt;-1),IF(逐级计算!$X$126=0,DV76+逐级计算!$C$126,DV76+逐级计算!$C$126-(10/(逐级计算!$Q$126*LN(10))*(MAX((LN(10^(逐级计算!$Q$126/10)-1)+逐级计算!$Q$126*(DV76-逐级计算!$P$126)*LN(10)/10),0)+LN(1+EXP(-ABS((LN(10^(逐级计算!$Q$126/10)-1)+逐级计算!$Q$126*(DV76-逐级计算!$P$126)*LN(10)/10))))))),"")</f>
        <v>13.7930365742089</v>
      </c>
      <c r="DX76">
        <f>IF(AND(ISNUMBER(DW76),逐级计算!$X$127&gt;-1),IF(逐级计算!$X$127=0,DW76+逐级计算!$C$127,DW76+逐级计算!$C$127-(10/(逐级计算!$Q$127*LN(10))*(MAX((LN(10^(逐级计算!$Q$127/10)-1)+逐级计算!$Q$127*(DW76-逐级计算!$P$127)*LN(10)/10),0)+LN(1+EXP(-ABS((LN(10^(逐级计算!$Q$127/10)-1)+逐级计算!$Q$127*(DW76-逐级计算!$P$127)*LN(10)/10))))))),"")</f>
        <v>13.7930365742089</v>
      </c>
      <c r="DY76">
        <f>IF(AND(ISNUMBER(DX76),逐级计算!$X$128&gt;-1),IF(逐级计算!$X$128=0,DX76+逐级计算!$C$128,DX76+逐级计算!$C$128-(10/(逐级计算!$Q$128*LN(10))*(MAX((LN(10^(逐级计算!$Q$128/10)-1)+逐级计算!$Q$128*(DX76-逐级计算!$P$128)*LN(10)/10),0)+LN(1+EXP(-ABS((LN(10^(逐级计算!$Q$128/10)-1)+逐级计算!$Q$128*(DX76-逐级计算!$P$128)*LN(10)/10))))))),"")</f>
        <v>13.7930365742089</v>
      </c>
      <c r="DZ76">
        <f>IF(AND(ISNUMBER(DY76),逐级计算!$X$129&gt;-1),IF(逐级计算!$X$129=0,DY76+逐级计算!$C$129,DY76+逐级计算!$C$129-(10/(逐级计算!$Q$129*LN(10))*(MAX((LN(10^(逐级计算!$Q$129/10)-1)+逐级计算!$Q$129*(DY76-逐级计算!$P$129)*LN(10)/10),0)+LN(1+EXP(-ABS((LN(10^(逐级计算!$Q$129/10)-1)+逐级计算!$Q$129*(DY76-逐级计算!$P$129)*LN(10)/10))))))),"")</f>
        <v>13.7930365742089</v>
      </c>
      <c r="EA76">
        <f>IF(AND(ISNUMBER(DZ76),逐级计算!$X$130&gt;-1),IF(逐级计算!$X$130=0,DZ76+逐级计算!$C$130,DZ76+逐级计算!$C$130-(10/(逐级计算!$Q$130*LN(10))*(MAX((LN(10^(逐级计算!$Q$130/10)-1)+逐级计算!$Q$130*(DZ76-逐级计算!$P$130)*LN(10)/10),0)+LN(1+EXP(-ABS((LN(10^(逐级计算!$Q$130/10)-1)+逐级计算!$Q$130*(DZ76-逐级计算!$P$130)*LN(10)/10))))))),"")</f>
        <v>13.7930365742089</v>
      </c>
      <c r="EB76">
        <f>IF(AND(ISNUMBER(EA76),逐级计算!$X$131&gt;-1),IF(逐级计算!$X$131=0,EA76+逐级计算!$C$131,EA76+逐级计算!$C$131-(10/(逐级计算!$Q$131*LN(10))*(MAX((LN(10^(逐级计算!$Q$131/10)-1)+逐级计算!$Q$131*(EA76-逐级计算!$P$131)*LN(10)/10),0)+LN(1+EXP(-ABS((LN(10^(逐级计算!$Q$131/10)-1)+逐级计算!$Q$131*(EA76-逐级计算!$P$131)*LN(10)/10))))))),"")</f>
        <v>13.7930365742089</v>
      </c>
      <c r="EC76">
        <f>IF(AND(ISNUMBER(EB76),逐级计算!$X$132&gt;-1),IF(逐级计算!$X$132=0,EB76+逐级计算!$C$132,EB76+逐级计算!$C$132-(10/(逐级计算!$Q$132*LN(10))*(MAX((LN(10^(逐级计算!$Q$132/10)-1)+逐级计算!$Q$132*(EB76-逐级计算!$P$132)*LN(10)/10),0)+LN(1+EXP(-ABS((LN(10^(逐级计算!$Q$132/10)-1)+逐级计算!$Q$132*(EB76-逐级计算!$P$132)*LN(10)/10))))))),"")</f>
        <v>13.7930365742089</v>
      </c>
      <c r="ED76">
        <f>IF(AND(ISNUMBER(EC76),逐级计算!$X$133&gt;-1),IF(逐级计算!$X$133=0,EC76+逐级计算!$C$133,EC76+逐级计算!$C$133-(10/(逐级计算!$Q$133*LN(10))*(MAX((LN(10^(逐级计算!$Q$133/10)-1)+逐级计算!$Q$133*(EC76-逐级计算!$P$133)*LN(10)/10),0)+LN(1+EXP(-ABS((LN(10^(逐级计算!$Q$133/10)-1)+逐级计算!$Q$133*(EC76-逐级计算!$P$133)*LN(10)/10))))))),"")</f>
        <v>13.7930365742089</v>
      </c>
      <c r="EE76">
        <f>IF(AND(ISNUMBER(ED76),逐级计算!$X$134&gt;-1),IF(逐级计算!$X$134=0,ED76+逐级计算!$C$134,ED76+逐级计算!$C$134-(10/(逐级计算!$Q$134*LN(10))*(MAX((LN(10^(逐级计算!$Q$134/10)-1)+逐级计算!$Q$134*(ED76-逐级计算!$P$134)*LN(10)/10),0)+LN(1+EXP(-ABS((LN(10^(逐级计算!$Q$134/10)-1)+逐级计算!$Q$134*(ED76-逐级计算!$P$134)*LN(10)/10))))))),"")</f>
        <v>13.7930365742089</v>
      </c>
      <c r="EF76">
        <f>IF(AND(ISNUMBER(EE76),逐级计算!$X$135&gt;-1),IF(逐级计算!$X$135=0,EE76+逐级计算!$C$135,EE76+逐级计算!$C$135-(10/(逐级计算!$Q$135*LN(10))*(MAX((LN(10^(逐级计算!$Q$135/10)-1)+逐级计算!$Q$135*(EE76-逐级计算!$P$135)*LN(10)/10),0)+LN(1+EXP(-ABS((LN(10^(逐级计算!$Q$135/10)-1)+逐级计算!$Q$135*(EE76-逐级计算!$P$135)*LN(10)/10))))))),"")</f>
        <v>13.7930365742089</v>
      </c>
      <c r="EG76">
        <f>IF(AND(ISNUMBER(EF76),逐级计算!$X$136&gt;-1),IF(逐级计算!$X$136=0,EF76+逐级计算!$C$136,EF76+逐级计算!$C$136-(10/(逐级计算!$Q$136*LN(10))*(MAX((LN(10^(逐级计算!$Q$136/10)-1)+逐级计算!$Q$136*(EF76-逐级计算!$P$136)*LN(10)/10),0)+LN(1+EXP(-ABS((LN(10^(逐级计算!$Q$136/10)-1)+逐级计算!$Q$136*(EF76-逐级计算!$P$136)*LN(10)/10))))))),"")</f>
        <v>13.7930365742089</v>
      </c>
      <c r="EH76">
        <f>IF(AND(ISNUMBER(EG76),逐级计算!$X$137&gt;-1),IF(逐级计算!$X$137=0,EG76+逐级计算!$C$137,EG76+逐级计算!$C$137-(10/(逐级计算!$Q$137*LN(10))*(MAX((LN(10^(逐级计算!$Q$137/10)-1)+逐级计算!$Q$137*(EG76-逐级计算!$P$137)*LN(10)/10),0)+LN(1+EXP(-ABS((LN(10^(逐级计算!$Q$137/10)-1)+逐级计算!$Q$137*(EG76-逐级计算!$P$137)*LN(10)/10))))))),"")</f>
        <v>13.7930365742089</v>
      </c>
      <c r="EI76">
        <f>IF(AND(ISNUMBER(EH76),逐级计算!$X$138&gt;-1),IF(逐级计算!$X$138=0,EH76+逐级计算!$C$138,EH76+逐级计算!$C$138-(10/(逐级计算!$Q$138*LN(10))*(MAX((LN(10^(逐级计算!$Q$138/10)-1)+逐级计算!$Q$138*(EH76-逐级计算!$P$138)*LN(10)/10),0)+LN(1+EXP(-ABS((LN(10^(逐级计算!$Q$138/10)-1)+逐级计算!$Q$138*(EH76-逐级计算!$P$138)*LN(10)/10))))))),"")</f>
        <v>13.7930365742089</v>
      </c>
      <c r="EJ76">
        <f>IF(AND(ISNUMBER(EI76),逐级计算!$X$139&gt;-1),IF(逐级计算!$X$139=0,EI76+逐级计算!$C$139,EI76+逐级计算!$C$139-(10/(逐级计算!$Q$139*LN(10))*(MAX((LN(10^(逐级计算!$Q$139/10)-1)+逐级计算!$Q$139*(EI76-逐级计算!$P$139)*LN(10)/10),0)+LN(1+EXP(-ABS((LN(10^(逐级计算!$Q$139/10)-1)+逐级计算!$Q$139*(EI76-逐级计算!$P$139)*LN(10)/10))))))),"")</f>
        <v>13.7930365742089</v>
      </c>
      <c r="EK76">
        <f>IF(AND(ISNUMBER(EJ76),逐级计算!$X$140&gt;-1),IF(逐级计算!$X$140=0,EJ76+逐级计算!$C$140,EJ76+逐级计算!$C$140-(10/(逐级计算!$Q$140*LN(10))*(MAX((LN(10^(逐级计算!$Q$140/10)-1)+逐级计算!$Q$140*(EJ76-逐级计算!$P$140)*LN(10)/10),0)+LN(1+EXP(-ABS((LN(10^(逐级计算!$Q$140/10)-1)+逐级计算!$Q$140*(EJ76-逐级计算!$P$140)*LN(10)/10))))))),"")</f>
        <v>13.7930365742089</v>
      </c>
      <c r="EL76">
        <f>IF(AND(ISNUMBER(EK76),逐级计算!$X$141&gt;-1),IF(逐级计算!$X$141=0,EK76+逐级计算!$C$141,EK76+逐级计算!$C$141-(10/(逐级计算!$Q$141*LN(10))*(MAX((LN(10^(逐级计算!$Q$141/10)-1)+逐级计算!$Q$141*(EK76-逐级计算!$P$141)*LN(10)/10),0)+LN(1+EXP(-ABS((LN(10^(逐级计算!$Q$141/10)-1)+逐级计算!$Q$141*(EK76-逐级计算!$P$141)*LN(10)/10))))))),"")</f>
        <v>13.7930365742089</v>
      </c>
      <c r="EM76">
        <f>IF(AND(ISNUMBER(EL76),逐级计算!$X$142&gt;-1),IF(逐级计算!$X$142=0,EL76+逐级计算!$C$142,EL76+逐级计算!$C$142-(10/(逐级计算!$Q$142*LN(10))*(MAX((LN(10^(逐级计算!$Q$142/10)-1)+逐级计算!$Q$142*(EL76-逐级计算!$P$142)*LN(10)/10),0)+LN(1+EXP(-ABS((LN(10^(逐级计算!$Q$142/10)-1)+逐级计算!$Q$142*(EL76-逐级计算!$P$142)*LN(10)/10))))))),"")</f>
        <v>13.7930365742089</v>
      </c>
      <c r="EN76">
        <f>IF(AND(ISNUMBER(EM76),逐级计算!$X$143&gt;-1),IF(逐级计算!$X$143=0,EM76+逐级计算!$C$143,EM76+逐级计算!$C$143-(10/(逐级计算!$Q$143*LN(10))*(MAX((LN(10^(逐级计算!$Q$143/10)-1)+逐级计算!$Q$143*(EM76-逐级计算!$P$143)*LN(10)/10),0)+LN(1+EXP(-ABS((LN(10^(逐级计算!$Q$143/10)-1)+逐级计算!$Q$143*(EM76-逐级计算!$P$143)*LN(10)/10))))))),"")</f>
        <v>13.7930365742089</v>
      </c>
      <c r="EO76">
        <f>IF(AND(ISNUMBER(EN76),逐级计算!$X$144&gt;-1),IF(逐级计算!$X$144=0,EN76+逐级计算!$C$144,EN76+逐级计算!$C$144-(10/(逐级计算!$Q$144*LN(10))*(MAX((LN(10^(逐级计算!$Q$144/10)-1)+逐级计算!$Q$144*(EN76-逐级计算!$P$144)*LN(10)/10),0)+LN(1+EXP(-ABS((LN(10^(逐级计算!$Q$144/10)-1)+逐级计算!$Q$144*(EN76-逐级计算!$P$144)*LN(10)/10))))))),"")</f>
        <v>13.7930365742089</v>
      </c>
      <c r="EP76">
        <f>IF(AND(ISNUMBER(EO76),逐级计算!$X$145&gt;-1),IF(逐级计算!$X$145=0,EO76+逐级计算!$C$145,EO76+逐级计算!$C$145-(10/(逐级计算!$Q$145*LN(10))*(MAX((LN(10^(逐级计算!$Q$145/10)-1)+逐级计算!$Q$145*(EO76-逐级计算!$P$145)*LN(10)/10),0)+LN(1+EXP(-ABS((LN(10^(逐级计算!$Q$145/10)-1)+逐级计算!$Q$145*(EO76-逐级计算!$P$145)*LN(10)/10))))))),"")</f>
        <v>13.7930365742089</v>
      </c>
      <c r="EQ76">
        <f>IF(AND(ISNUMBER(EP76),逐级计算!$X$146&gt;-1),IF(逐级计算!$X$146=0,EP76+逐级计算!$C$146,EP76+逐级计算!$C$146-(10/(逐级计算!$Q$146*LN(10))*(MAX((LN(10^(逐级计算!$Q$146/10)-1)+逐级计算!$Q$146*(EP76-逐级计算!$P$146)*LN(10)/10),0)+LN(1+EXP(-ABS((LN(10^(逐级计算!$Q$146/10)-1)+逐级计算!$Q$146*(EP76-逐级计算!$P$146)*LN(10)/10))))))),"")</f>
        <v>13.7930365742089</v>
      </c>
      <c r="ER76">
        <f>IF(AND(ISNUMBER(EQ76),逐级计算!$X$147&gt;-1),IF(逐级计算!$X$147=0,EQ76+逐级计算!$C$147,EQ76+逐级计算!$C$147-(10/(逐级计算!$Q$147*LN(10))*(MAX((LN(10^(逐级计算!$Q$147/10)-1)+逐级计算!$Q$147*(EQ76-逐级计算!$P$147)*LN(10)/10),0)+LN(1+EXP(-ABS((LN(10^(逐级计算!$Q$147/10)-1)+逐级计算!$Q$147*(EQ76-逐级计算!$P$147)*LN(10)/10))))))),"")</f>
        <v>13.7930365742089</v>
      </c>
      <c r="ES76">
        <f>IF(AND(ISNUMBER(ER76),逐级计算!$X$148&gt;-1),IF(逐级计算!$X$148=0,ER76+逐级计算!$C$148,ER76+逐级计算!$C$148-(10/(逐级计算!$Q$148*LN(10))*(MAX((LN(10^(逐级计算!$Q$148/10)-1)+逐级计算!$Q$148*(ER76-逐级计算!$P$148)*LN(10)/10),0)+LN(1+EXP(-ABS((LN(10^(逐级计算!$Q$148/10)-1)+逐级计算!$Q$148*(ER76-逐级计算!$P$148)*LN(10)/10))))))),"")</f>
        <v>13.7930365742089</v>
      </c>
      <c r="ET76">
        <f>IF(AND(ISNUMBER(ES76),逐级计算!$X$149&gt;-1),IF(逐级计算!$X$149=0,ES76+逐级计算!$C$149,ES76+逐级计算!$C$149-(10/(逐级计算!$Q$149*LN(10))*(MAX((LN(10^(逐级计算!$Q$149/10)-1)+逐级计算!$Q$149*(ES76-逐级计算!$P$149)*LN(10)/10),0)+LN(1+EXP(-ABS((LN(10^(逐级计算!$Q$149/10)-1)+逐级计算!$Q$149*(ES76-逐级计算!$P$149)*LN(10)/10))))))),"")</f>
        <v>13.7930365742089</v>
      </c>
      <c r="EU76">
        <f>IF(AND(ISNUMBER(ET76),逐级计算!$X$150&gt;-1),IF(逐级计算!$X$150=0,ET76+逐级计算!$C$150,ET76+逐级计算!$C$150-(10/(逐级计算!$Q$150*LN(10))*(MAX((LN(10^(逐级计算!$Q$150/10)-1)+逐级计算!$Q$150*(ET76-逐级计算!$P$150)*LN(10)/10),0)+LN(1+EXP(-ABS((LN(10^(逐级计算!$Q$150/10)-1)+逐级计算!$Q$150*(ET76-逐级计算!$P$150)*LN(10)/10))))))),"")</f>
        <v>13.7930365742089</v>
      </c>
      <c r="EV76">
        <f>IF(AND(ISNUMBER(EU76),逐级计算!$X$151&gt;-1),IF(逐级计算!$X$151=0,EU76+逐级计算!$C$151,EU76+逐级计算!$C$151-(10/(逐级计算!$Q$151*LN(10))*(MAX((LN(10^(逐级计算!$Q$151/10)-1)+逐级计算!$Q$151*(EU76-逐级计算!$P$151)*LN(10)/10),0)+LN(1+EXP(-ABS((LN(10^(逐级计算!$Q$151/10)-1)+逐级计算!$Q$151*(EU76-逐级计算!$P$151)*LN(10)/10))))))),"")</f>
        <v>13.7930365742089</v>
      </c>
      <c r="EW76">
        <f>IF(AND(ISNUMBER(EV76),逐级计算!$X$152&gt;-1),IF(逐级计算!$X$152=0,EV76+逐级计算!$C$152,EV76+逐级计算!$C$152-(10/(逐级计算!$Q$152*LN(10))*(MAX((LN(10^(逐级计算!$Q$152/10)-1)+逐级计算!$Q$152*(EV76-逐级计算!$P$152)*LN(10)/10),0)+LN(1+EXP(-ABS((LN(10^(逐级计算!$Q$152/10)-1)+逐级计算!$Q$152*(EV76-逐级计算!$P$152)*LN(10)/10))))))),"")</f>
        <v>13.7930365742089</v>
      </c>
      <c r="EX76">
        <f>IF(AND(ISNUMBER(EW76),逐级计算!$X$153&gt;-1),IF(逐级计算!$X$153=0,EW76+逐级计算!$C$153,EW76+逐级计算!$C$153-(10/(逐级计算!$Q$153*LN(10))*(MAX((LN(10^(逐级计算!$Q$153/10)-1)+逐级计算!$Q$153*(EW76-逐级计算!$P$153)*LN(10)/10),0)+LN(1+EXP(-ABS((LN(10^(逐级计算!$Q$153/10)-1)+逐级计算!$Q$153*(EW76-逐级计算!$P$153)*LN(10)/10))))))),"")</f>
        <v>13.7930365742089</v>
      </c>
      <c r="EY76">
        <f>IF(AND(ISNUMBER(EX76),逐级计算!$X$154&gt;-1),IF(逐级计算!$X$154=0,EX76+逐级计算!$C$154,EX76+逐级计算!$C$154-(10/(逐级计算!$Q$154*LN(10))*(MAX((LN(10^(逐级计算!$Q$154/10)-1)+逐级计算!$Q$154*(EX76-逐级计算!$P$154)*LN(10)/10),0)+LN(1+EXP(-ABS((LN(10^(逐级计算!$Q$154/10)-1)+逐级计算!$Q$154*(EX76-逐级计算!$P$154)*LN(10)/10))))))),"")</f>
        <v>13.7930365742089</v>
      </c>
      <c r="EZ76">
        <f>IF(AND(ISNUMBER(EY76),逐级计算!$X$155&gt;-1),IF(逐级计算!$X$155=0,EY76+逐级计算!$C$155,EY76+逐级计算!$C$155-(10/(逐级计算!$Q$155*LN(10))*(MAX((LN(10^(逐级计算!$Q$155/10)-1)+逐级计算!$Q$155*(EY76-逐级计算!$P$155)*LN(10)/10),0)+LN(1+EXP(-ABS((LN(10^(逐级计算!$Q$155/10)-1)+逐级计算!$Q$155*(EY76-逐级计算!$P$155)*LN(10)/10))))))),"")</f>
        <v>13.7930365742089</v>
      </c>
      <c r="FA76">
        <f>IF(AND(ISNUMBER(EZ76),逐级计算!$X$156&gt;-1),IF(逐级计算!$X$156=0,EZ76+逐级计算!$C$156,EZ76+逐级计算!$C$156-(10/(逐级计算!$Q$156*LN(10))*(MAX((LN(10^(逐级计算!$Q$156/10)-1)+逐级计算!$Q$156*(EZ76-逐级计算!$P$156)*LN(10)/10),0)+LN(1+EXP(-ABS((LN(10^(逐级计算!$Q$156/10)-1)+逐级计算!$Q$156*(EZ76-逐级计算!$P$156)*LN(10)/10))))))),"")</f>
        <v>13.7930365742089</v>
      </c>
      <c r="FB76">
        <f>IF(AND(ISNUMBER(FA76),逐级计算!$X$157&gt;-1),IF(逐级计算!$X$157=0,FA76+逐级计算!$C$157,FA76+逐级计算!$C$157-(10/(逐级计算!$Q$157*LN(10))*(MAX((LN(10^(逐级计算!$Q$157/10)-1)+逐级计算!$Q$157*(FA76-逐级计算!$P$157)*LN(10)/10),0)+LN(1+EXP(-ABS((LN(10^(逐级计算!$Q$157/10)-1)+逐级计算!$Q$157*(FA76-逐级计算!$P$157)*LN(10)/10))))))),"")</f>
        <v>13.7930365742089</v>
      </c>
      <c r="FC76">
        <f>IF(AND(ISNUMBER(FB76),逐级计算!$X$158&gt;-1),IF(逐级计算!$X$158=0,FB76+逐级计算!$C$158,FB76+逐级计算!$C$158-(10/(逐级计算!$Q$158*LN(10))*(MAX((LN(10^(逐级计算!$Q$158/10)-1)+逐级计算!$Q$158*(FB76-逐级计算!$P$158)*LN(10)/10),0)+LN(1+EXP(-ABS((LN(10^(逐级计算!$Q$158/10)-1)+逐级计算!$Q$158*(FB76-逐级计算!$P$158)*LN(10)/10))))))),"")</f>
        <v>13.7930365742089</v>
      </c>
      <c r="FD76">
        <f>IF(AND(ISNUMBER(FC76),逐级计算!$X$159&gt;-1),IF(逐级计算!$X$159=0,FC76+逐级计算!$C$159,FC76+逐级计算!$C$159-(10/(逐级计算!$Q$159*LN(10))*(MAX((LN(10^(逐级计算!$Q$159/10)-1)+逐级计算!$Q$159*(FC76-逐级计算!$P$159)*LN(10)/10),0)+LN(1+EXP(-ABS((LN(10^(逐级计算!$Q$159/10)-1)+逐级计算!$Q$159*(FC76-逐级计算!$P$159)*LN(10)/10))))))),"")</f>
        <v>13.7930365742089</v>
      </c>
      <c r="FE76">
        <f>IF(AND(ISNUMBER(FD76),逐级计算!$X$160&gt;-1),IF(逐级计算!$X$160=0,FD76+逐级计算!$C$160,FD76+逐级计算!$C$160-(10/(逐级计算!$Q$160*LN(10))*(MAX((LN(10^(逐级计算!$Q$160/10)-1)+逐级计算!$Q$160*(FD76-逐级计算!$P$160)*LN(10)/10),0)+LN(1+EXP(-ABS((LN(10^(逐级计算!$Q$160/10)-1)+逐级计算!$Q$160*(FD76-逐级计算!$P$160)*LN(10)/10))))))),"")</f>
        <v>13.7930365742089</v>
      </c>
      <c r="FF76">
        <f>IF(AND(ISNUMBER(FE76),逐级计算!$X$161&gt;-1),IF(逐级计算!$X$161=0,FE76+逐级计算!$C$161,FE76+逐级计算!$C$161-(10/(逐级计算!$Q$161*LN(10))*(MAX((LN(10^(逐级计算!$Q$161/10)-1)+逐级计算!$Q$161*(FE76-逐级计算!$P$161)*LN(10)/10),0)+LN(1+EXP(-ABS((LN(10^(逐级计算!$Q$161/10)-1)+逐级计算!$Q$161*(FE76-逐级计算!$P$161)*LN(10)/10))))))),"")</f>
        <v>13.7930365742089</v>
      </c>
      <c r="FG76">
        <f>IF(AND(ISNUMBER(FF76),逐级计算!$X$162&gt;-1),IF(逐级计算!$X$162=0,FF76+逐级计算!$C$162,FF76+逐级计算!$C$162-(10/(逐级计算!$Q$162*LN(10))*(MAX((LN(10^(逐级计算!$Q$162/10)-1)+逐级计算!$Q$162*(FF76-逐级计算!$P$162)*LN(10)/10),0)+LN(1+EXP(-ABS((LN(10^(逐级计算!$Q$162/10)-1)+逐级计算!$Q$162*(FF76-逐级计算!$P$162)*LN(10)/10))))))),"")</f>
        <v>13.7930365742089</v>
      </c>
      <c r="FH76">
        <f>IF(AND(ISNUMBER(FG76),逐级计算!$X$163&gt;-1),IF(逐级计算!$X$163=0,FG76+逐级计算!$C$163,FG76+逐级计算!$C$163-(10/(逐级计算!$Q$163*LN(10))*(MAX((LN(10^(逐级计算!$Q$163/10)-1)+逐级计算!$Q$163*(FG76-逐级计算!$P$163)*LN(10)/10),0)+LN(1+EXP(-ABS((LN(10^(逐级计算!$Q$163/10)-1)+逐级计算!$Q$163*(FG76-逐级计算!$P$163)*LN(10)/10))))))),"")</f>
        <v>13.7930365742089</v>
      </c>
      <c r="FI76">
        <f>IF(AND(ISNUMBER(FH76),逐级计算!$X$164&gt;-1),IF(逐级计算!$X$164=0,FH76+逐级计算!$C$164,FH76+逐级计算!$C$164-(10/(逐级计算!$Q$164*LN(10))*(MAX((LN(10^(逐级计算!$Q$164/10)-1)+逐级计算!$Q$164*(FH76-逐级计算!$P$164)*LN(10)/10),0)+LN(1+EXP(-ABS((LN(10^(逐级计算!$Q$164/10)-1)+逐级计算!$Q$164*(FH76-逐级计算!$P$164)*LN(10)/10))))))),"")</f>
        <v>13.7930365742089</v>
      </c>
      <c r="FJ76">
        <f>IF(AND(ISNUMBER(FI76),逐级计算!$X$165&gt;-1),IF(逐级计算!$X$165=0,FI76+逐级计算!$C$165,FI76+逐级计算!$C$165-(10/(逐级计算!$Q$165*LN(10))*(MAX((LN(10^(逐级计算!$Q$165/10)-1)+逐级计算!$Q$165*(FI76-逐级计算!$P$165)*LN(10)/10),0)+LN(1+EXP(-ABS((LN(10^(逐级计算!$Q$165/10)-1)+逐级计算!$Q$165*(FI76-逐级计算!$P$165)*LN(10)/10))))))),"")</f>
        <v>13.7930365742089</v>
      </c>
      <c r="FK76">
        <f>IF(AND(ISNUMBER(FJ76),逐级计算!$X$166&gt;-1),IF(逐级计算!$X$166=0,FJ76+逐级计算!$C$166,FJ76+逐级计算!$C$166-(10/(逐级计算!$Q$166*LN(10))*(MAX((LN(10^(逐级计算!$Q$166/10)-1)+逐级计算!$Q$166*(FJ76-逐级计算!$P$166)*LN(10)/10),0)+LN(1+EXP(-ABS((LN(10^(逐级计算!$Q$166/10)-1)+逐级计算!$Q$166*(FJ76-逐级计算!$P$166)*LN(10)/10))))))),"")</f>
        <v>13.7930365742089</v>
      </c>
      <c r="FL76">
        <f>IF(AND(ISNUMBER(FK76),逐级计算!$X$167&gt;-1),IF(逐级计算!$X$167=0,FK76+逐级计算!$C$167,FK76+逐级计算!$C$167-(10/(逐级计算!$Q$167*LN(10))*(MAX((LN(10^(逐级计算!$Q$167/10)-1)+逐级计算!$Q$167*(FK76-逐级计算!$P$167)*LN(10)/10),0)+LN(1+EXP(-ABS((LN(10^(逐级计算!$Q$167/10)-1)+逐级计算!$Q$167*(FK76-逐级计算!$P$167)*LN(10)/10))))))),"")</f>
        <v>13.7930365742089</v>
      </c>
      <c r="FM76">
        <f>IF(AND(ISNUMBER(FL76),逐级计算!$X$168&gt;-1),IF(逐级计算!$X$168=0,FL76+逐级计算!$C$168,FL76+逐级计算!$C$168-(10/(逐级计算!$Q$168*LN(10))*(MAX((LN(10^(逐级计算!$Q$168/10)-1)+逐级计算!$Q$168*(FL76-逐级计算!$P$168)*LN(10)/10),0)+LN(1+EXP(-ABS((LN(10^(逐级计算!$Q$168/10)-1)+逐级计算!$Q$168*(FL76-逐级计算!$P$168)*LN(10)/10))))))),"")</f>
        <v>13.7930365742089</v>
      </c>
      <c r="FN76">
        <f>IF(AND(ISNUMBER(FM76),逐级计算!$X$169&gt;-1),IF(逐级计算!$X$169=0,FM76+逐级计算!$C$169,FM76+逐级计算!$C$169-(10/(逐级计算!$Q$169*LN(10))*(MAX((LN(10^(逐级计算!$Q$169/10)-1)+逐级计算!$Q$169*(FM76-逐级计算!$P$169)*LN(10)/10),0)+LN(1+EXP(-ABS((LN(10^(逐级计算!$Q$169/10)-1)+逐级计算!$Q$169*(FM76-逐级计算!$P$169)*LN(10)/10))))))),"")</f>
        <v>13.7930365742089</v>
      </c>
      <c r="FO76">
        <f>IF(AND(ISNUMBER(FN76),逐级计算!$X$170&gt;-1),IF(逐级计算!$X$170=0,FN76+逐级计算!$C$170,FN76+逐级计算!$C$170-(10/(逐级计算!$Q$170*LN(10))*(MAX((LN(10^(逐级计算!$Q$170/10)-1)+逐级计算!$Q$170*(FN76-逐级计算!$P$170)*LN(10)/10),0)+LN(1+EXP(-ABS((LN(10^(逐级计算!$Q$170/10)-1)+逐级计算!$Q$170*(FN76-逐级计算!$P$170)*LN(10)/10))))))),"")</f>
        <v>13.7930365742089</v>
      </c>
      <c r="FP76">
        <f>IF(AND(ISNUMBER(FO76),逐级计算!$X$171&gt;-1),IF(逐级计算!$X$171=0,FO76+逐级计算!$C$171,FO76+逐级计算!$C$171-(10/(逐级计算!$Q$171*LN(10))*(MAX((LN(10^(逐级计算!$Q$171/10)-1)+逐级计算!$Q$171*(FO76-逐级计算!$P$171)*LN(10)/10),0)+LN(1+EXP(-ABS((LN(10^(逐级计算!$Q$171/10)-1)+逐级计算!$Q$171*(FO76-逐级计算!$P$171)*LN(10)/10))))))),"")</f>
        <v>13.7930365742089</v>
      </c>
      <c r="FQ76">
        <f>IF(AND(ISNUMBER(FP76),逐级计算!$X$172&gt;-1),IF(逐级计算!$X$172=0,FP76+逐级计算!$C$172,FP76+逐级计算!$C$172-(10/(逐级计算!$Q$172*LN(10))*(MAX((LN(10^(逐级计算!$Q$172/10)-1)+逐级计算!$Q$172*(FP76-逐级计算!$P$172)*LN(10)/10),0)+LN(1+EXP(-ABS((LN(10^(逐级计算!$Q$172/10)-1)+逐级计算!$Q$172*(FP76-逐级计算!$P$172)*LN(10)/10))))))),"")</f>
        <v>13.7930365742089</v>
      </c>
      <c r="FR76">
        <f>IF(AND(ISNUMBER(FQ76),逐级计算!$X$173&gt;-1),IF(逐级计算!$X$173=0,FQ76+逐级计算!$C$173,FQ76+逐级计算!$C$173-(10/(逐级计算!$Q$173*LN(10))*(MAX((LN(10^(逐级计算!$Q$173/10)-1)+逐级计算!$Q$173*(FQ76-逐级计算!$P$173)*LN(10)/10),0)+LN(1+EXP(-ABS((LN(10^(逐级计算!$Q$173/10)-1)+逐级计算!$Q$173*(FQ76-逐级计算!$P$173)*LN(10)/10))))))),"")</f>
        <v>13.7930365742089</v>
      </c>
      <c r="FS76">
        <f>IF(AND(ISNUMBER(FR76),逐级计算!$X$174&gt;-1),IF(逐级计算!$X$174=0,FR76+逐级计算!$C$174,FR76+逐级计算!$C$174-(10/(逐级计算!$Q$174*LN(10))*(MAX((LN(10^(逐级计算!$Q$174/10)-1)+逐级计算!$Q$174*(FR76-逐级计算!$P$174)*LN(10)/10),0)+LN(1+EXP(-ABS((LN(10^(逐级计算!$Q$174/10)-1)+逐级计算!$Q$174*(FR76-逐级计算!$P$174)*LN(10)/10))))))),"")</f>
        <v>13.7930365742089</v>
      </c>
      <c r="FT76">
        <f>IF(AND(ISNUMBER(FS76),逐级计算!$X$175&gt;-1),IF(逐级计算!$X$175=0,FS76+逐级计算!$C$175,FS76+逐级计算!$C$175-(10/(逐级计算!$Q$175*LN(10))*(MAX((LN(10^(逐级计算!$Q$175/10)-1)+逐级计算!$Q$175*(FS76-逐级计算!$P$175)*LN(10)/10),0)+LN(1+EXP(-ABS((LN(10^(逐级计算!$Q$175/10)-1)+逐级计算!$Q$175*(FS76-逐级计算!$P$175)*LN(10)/10))))))),"")</f>
        <v>13.7930365742089</v>
      </c>
      <c r="FU76">
        <f>IF(AND(ISNUMBER(FT76),逐级计算!$X$176&gt;-1),IF(逐级计算!$X$176=0,FT76+逐级计算!$C$176,FT76+逐级计算!$C$176-(10/(逐级计算!$Q$176*LN(10))*(MAX((LN(10^(逐级计算!$Q$176/10)-1)+逐级计算!$Q$176*(FT76-逐级计算!$P$176)*LN(10)/10),0)+LN(1+EXP(-ABS((LN(10^(逐级计算!$Q$176/10)-1)+逐级计算!$Q$176*(FT76-逐级计算!$P$176)*LN(10)/10))))))),"")</f>
        <v>13.7930365742089</v>
      </c>
      <c r="FV76">
        <f>IF(AND(ISNUMBER(FU76),逐级计算!$X$177&gt;-1),IF(逐级计算!$X$177=0,FU76+逐级计算!$C$177,FU76+逐级计算!$C$177-(10/(逐级计算!$Q$177*LN(10))*(MAX((LN(10^(逐级计算!$Q$177/10)-1)+逐级计算!$Q$177*(FU76-逐级计算!$P$177)*LN(10)/10),0)+LN(1+EXP(-ABS((LN(10^(逐级计算!$Q$177/10)-1)+逐级计算!$Q$177*(FU76-逐级计算!$P$177)*LN(10)/10))))))),"")</f>
        <v>13.7930365742089</v>
      </c>
      <c r="FW76">
        <f>IF(AND(ISNUMBER(FV76),逐级计算!$X$178&gt;-1),IF(逐级计算!$X$178=0,FV76+逐级计算!$C$178,FV76+逐级计算!$C$178-(10/(逐级计算!$Q$178*LN(10))*(MAX((LN(10^(逐级计算!$Q$178/10)-1)+逐级计算!$Q$178*(FV76-逐级计算!$P$178)*LN(10)/10),0)+LN(1+EXP(-ABS((LN(10^(逐级计算!$Q$178/10)-1)+逐级计算!$Q$178*(FV76-逐级计算!$P$178)*LN(10)/10))))))),"")</f>
        <v>13.7930365742089</v>
      </c>
      <c r="FX76">
        <f>IF(AND(ISNUMBER(FW76),逐级计算!$X$179&gt;-1),IF(逐级计算!$X$179=0,FW76+逐级计算!$C$179,FW76+逐级计算!$C$179-(10/(逐级计算!$Q$179*LN(10))*(MAX((LN(10^(逐级计算!$Q$179/10)-1)+逐级计算!$Q$179*(FW76-逐级计算!$P$179)*LN(10)/10),0)+LN(1+EXP(-ABS((LN(10^(逐级计算!$Q$179/10)-1)+逐级计算!$Q$179*(FW76-逐级计算!$P$179)*LN(10)/10))))))),"")</f>
        <v>13.7930365742089</v>
      </c>
      <c r="FY76">
        <f>IF(AND(ISNUMBER(FX76),逐级计算!$X$180&gt;-1),IF(逐级计算!$X$180=0,FX76+逐级计算!$C$180,FX76+逐级计算!$C$180-(10/(逐级计算!$Q$180*LN(10))*(MAX((LN(10^(逐级计算!$Q$180/10)-1)+逐级计算!$Q$180*(FX76-逐级计算!$P$180)*LN(10)/10),0)+LN(1+EXP(-ABS((LN(10^(逐级计算!$Q$180/10)-1)+逐级计算!$Q$180*(FX76-逐级计算!$P$180)*LN(10)/10))))))),"")</f>
        <v>13.7930365742089</v>
      </c>
      <c r="FZ76">
        <f>IF(AND(ISNUMBER(FY76),逐级计算!$X$181&gt;-1),IF(逐级计算!$X$181=0,FY76+逐级计算!$C$181,FY76+逐级计算!$C$181-(10/(逐级计算!$Q$181*LN(10))*(MAX((LN(10^(逐级计算!$Q$181/10)-1)+逐级计算!$Q$181*(FY76-逐级计算!$P$181)*LN(10)/10),0)+LN(1+EXP(-ABS((LN(10^(逐级计算!$Q$181/10)-1)+逐级计算!$Q$181*(FY76-逐级计算!$P$181)*LN(10)/10))))))),"")</f>
        <v>13.7930365742089</v>
      </c>
      <c r="GA76">
        <f>IF(AND(ISNUMBER(FZ76),逐级计算!$X$182&gt;-1),IF(逐级计算!$X$182=0,FZ76+逐级计算!$C$182,FZ76+逐级计算!$C$182-(10/(逐级计算!$Q$182*LN(10))*(MAX((LN(10^(逐级计算!$Q$182/10)-1)+逐级计算!$Q$182*(FZ76-逐级计算!$P$182)*LN(10)/10),0)+LN(1+EXP(-ABS((LN(10^(逐级计算!$Q$182/10)-1)+逐级计算!$Q$182*(FZ76-逐级计算!$P$182)*LN(10)/10))))))),"")</f>
        <v>13.7930365742089</v>
      </c>
      <c r="GB76">
        <f>IF(AND(ISNUMBER(GA76),逐级计算!$X$183&gt;-1),IF(逐级计算!$X$183=0,GA76+逐级计算!$C$183,GA76+逐级计算!$C$183-(10/(逐级计算!$Q$183*LN(10))*(MAX((LN(10^(逐级计算!$Q$183/10)-1)+逐级计算!$Q$183*(GA76-逐级计算!$P$183)*LN(10)/10),0)+LN(1+EXP(-ABS((LN(10^(逐级计算!$Q$183/10)-1)+逐级计算!$Q$183*(GA76-逐级计算!$P$183)*LN(10)/10))))))),"")</f>
        <v>13.7930365742089</v>
      </c>
      <c r="GC76">
        <f>IF(AND(ISNUMBER(GB76),逐级计算!$X$184&gt;-1),IF(逐级计算!$X$184=0,GB76+逐级计算!$C$184,GB76+逐级计算!$C$184-(10/(逐级计算!$Q$184*LN(10))*(MAX((LN(10^(逐级计算!$Q$184/10)-1)+逐级计算!$Q$184*(GB76-逐级计算!$P$184)*LN(10)/10),0)+LN(1+EXP(-ABS((LN(10^(逐级计算!$Q$184/10)-1)+逐级计算!$Q$184*(GB76-逐级计算!$P$184)*LN(10)/10))))))),"")</f>
        <v>13.7930365742089</v>
      </c>
      <c r="GD76">
        <f>IF(AND(ISNUMBER(GC76),逐级计算!$X$185&gt;-1),IF(逐级计算!$X$185=0,GC76+逐级计算!$C$185,GC76+逐级计算!$C$185-(10/(逐级计算!$Q$185*LN(10))*(MAX((LN(10^(逐级计算!$Q$185/10)-1)+逐级计算!$Q$185*(GC76-逐级计算!$P$185)*LN(10)/10),0)+LN(1+EXP(-ABS((LN(10^(逐级计算!$Q$185/10)-1)+逐级计算!$Q$185*(GC76-逐级计算!$P$185)*LN(10)/10))))))),"")</f>
        <v>13.7930365742089</v>
      </c>
      <c r="GE76">
        <f>IF(AND(ISNUMBER(GD76),逐级计算!$X$186&gt;-1),IF(逐级计算!$X$186=0,GD76+逐级计算!$C$186,GD76+逐级计算!$C$186-(10/(逐级计算!$Q$186*LN(10))*(MAX((LN(10^(逐级计算!$Q$186/10)-1)+逐级计算!$Q$186*(GD76-逐级计算!$P$186)*LN(10)/10),0)+LN(1+EXP(-ABS((LN(10^(逐级计算!$Q$186/10)-1)+逐级计算!$Q$186*(GD76-逐级计算!$P$186)*LN(10)/10))))))),"")</f>
        <v>13.7930365742089</v>
      </c>
      <c r="GF76">
        <f>IF(AND(ISNUMBER(GE76),逐级计算!$X$187&gt;-1),IF(逐级计算!$X$187=0,GE76+逐级计算!$C$187,GE76+逐级计算!$C$187-(10/(逐级计算!$Q$187*LN(10))*(MAX((LN(10^(逐级计算!$Q$187/10)-1)+逐级计算!$Q$187*(GE76-逐级计算!$P$187)*LN(10)/10),0)+LN(1+EXP(-ABS((LN(10^(逐级计算!$Q$187/10)-1)+逐级计算!$Q$187*(GE76-逐级计算!$P$187)*LN(10)/10))))))),"")</f>
        <v>13.7930365742089</v>
      </c>
      <c r="GG76">
        <f>IF(AND(ISNUMBER(GF76),逐级计算!$X$188&gt;-1),IF(逐级计算!$X$188=0,GF76+逐级计算!$C$188,GF76+逐级计算!$C$188-(10/(逐级计算!$Q$188*LN(10))*(MAX((LN(10^(逐级计算!$Q$188/10)-1)+逐级计算!$Q$188*(GF76-逐级计算!$P$188)*LN(10)/10),0)+LN(1+EXP(-ABS((LN(10^(逐级计算!$Q$188/10)-1)+逐级计算!$Q$188*(GF76-逐级计算!$P$188)*LN(10)/10))))))),"")</f>
        <v>13.7930365742089</v>
      </c>
      <c r="GH76">
        <f>IF(AND(ISNUMBER(GG76),逐级计算!$X$189&gt;-1),IF(逐级计算!$X$189=0,GG76+逐级计算!$C$189,GG76+逐级计算!$C$189-(10/(逐级计算!$Q$189*LN(10))*(MAX((LN(10^(逐级计算!$Q$189/10)-1)+逐级计算!$Q$189*(GG76-逐级计算!$P$189)*LN(10)/10),0)+LN(1+EXP(-ABS((LN(10^(逐级计算!$Q$189/10)-1)+逐级计算!$Q$189*(GG76-逐级计算!$P$189)*LN(10)/10))))))),"")</f>
        <v>13.7930365742089</v>
      </c>
      <c r="GI76">
        <f>IF(AND(ISNUMBER(GH76),逐级计算!$X$190&gt;-1),IF(逐级计算!$X$190=0,GH76+逐级计算!$C$190,GH76+逐级计算!$C$190-(10/(逐级计算!$Q$190*LN(10))*(MAX((LN(10^(逐级计算!$Q$190/10)-1)+逐级计算!$Q$190*(GH76-逐级计算!$P$190)*LN(10)/10),0)+LN(1+EXP(-ABS((LN(10^(逐级计算!$Q$190/10)-1)+逐级计算!$Q$190*(GH76-逐级计算!$P$190)*LN(10)/10))))))),"")</f>
        <v>13.7930365742089</v>
      </c>
      <c r="GJ76">
        <f>IF(AND(ISNUMBER(GI76),逐级计算!$X$191&gt;-1),IF(逐级计算!$X$191=0,GI76+逐级计算!$C$191,GI76+逐级计算!$C$191-(10/(逐级计算!$Q$191*LN(10))*(MAX((LN(10^(逐级计算!$Q$191/10)-1)+逐级计算!$Q$191*(GI76-逐级计算!$P$191)*LN(10)/10),0)+LN(1+EXP(-ABS((LN(10^(逐级计算!$Q$191/10)-1)+逐级计算!$Q$191*(GI76-逐级计算!$P$191)*LN(10)/10))))))),"")</f>
        <v>13.7930365742089</v>
      </c>
      <c r="GK76">
        <f>IF(AND(ISNUMBER(GJ76),逐级计算!$X$192&gt;-1),IF(逐级计算!$X$192=0,GJ76+逐级计算!$C$192,GJ76+逐级计算!$C$192-(10/(逐级计算!$Q$192*LN(10))*(MAX((LN(10^(逐级计算!$Q$192/10)-1)+逐级计算!$Q$192*(GJ76-逐级计算!$P$192)*LN(10)/10),0)+LN(1+EXP(-ABS((LN(10^(逐级计算!$Q$192/10)-1)+逐级计算!$Q$192*(GJ76-逐级计算!$P$192)*LN(10)/10))))))),"")</f>
        <v>13.7930365742089</v>
      </c>
      <c r="GL76">
        <f>IF(AND(ISNUMBER(GK76),逐级计算!$X$193&gt;-1),IF(逐级计算!$X$193=0,GK76+逐级计算!$C$193,GK76+逐级计算!$C$193-(10/(逐级计算!$Q$193*LN(10))*(MAX((LN(10^(逐级计算!$Q$193/10)-1)+逐级计算!$Q$193*(GK76-逐级计算!$P$193)*LN(10)/10),0)+LN(1+EXP(-ABS((LN(10^(逐级计算!$Q$193/10)-1)+逐级计算!$Q$193*(GK76-逐级计算!$P$193)*LN(10)/10))))))),"")</f>
        <v>13.7930365742089</v>
      </c>
      <c r="GM76">
        <f>IF(AND(ISNUMBER(GL76),逐级计算!$X$194&gt;-1),IF(逐级计算!$X$194=0,GL76+逐级计算!$C$194,GL76+逐级计算!$C$194-(10/(逐级计算!$Q$194*LN(10))*(MAX((LN(10^(逐级计算!$Q$194/10)-1)+逐级计算!$Q$194*(GL76-逐级计算!$P$194)*LN(10)/10),0)+LN(1+EXP(-ABS((LN(10^(逐级计算!$Q$194/10)-1)+逐级计算!$Q$194*(GL76-逐级计算!$P$194)*LN(10)/10))))))),"")</f>
        <v>13.7930365742089</v>
      </c>
      <c r="GN76">
        <f>IF(AND(ISNUMBER(GM76),逐级计算!$X$195&gt;-1),IF(逐级计算!$X$195=0,GM76+逐级计算!$C$195,GM76+逐级计算!$C$195-(10/(逐级计算!$Q$195*LN(10))*(MAX((LN(10^(逐级计算!$Q$195/10)-1)+逐级计算!$Q$195*(GM76-逐级计算!$P$195)*LN(10)/10),0)+LN(1+EXP(-ABS((LN(10^(逐级计算!$Q$195/10)-1)+逐级计算!$Q$195*(GM76-逐级计算!$P$195)*LN(10)/10))))))),"")</f>
        <v>13.7930365742089</v>
      </c>
      <c r="GO76">
        <f>IF(AND(ISNUMBER(GN76),逐级计算!$X$196&gt;-1),IF(逐级计算!$X$196=0,GN76+逐级计算!$C$196,GN76+逐级计算!$C$196-(10/(逐级计算!$Q$196*LN(10))*(MAX((LN(10^(逐级计算!$Q$196/10)-1)+逐级计算!$Q$196*(GN76-逐级计算!$P$196)*LN(10)/10),0)+LN(1+EXP(-ABS((LN(10^(逐级计算!$Q$196/10)-1)+逐级计算!$Q$196*(GN76-逐级计算!$P$196)*LN(10)/10))))))),"")</f>
        <v>13.7930365742089</v>
      </c>
      <c r="GP76">
        <f>IF(AND(ISNUMBER(GO76),逐级计算!$X$197&gt;-1),IF(逐级计算!$X$197=0,GO76+逐级计算!$C$197,GO76+逐级计算!$C$197-(10/(逐级计算!$Q$197*LN(10))*(MAX((LN(10^(逐级计算!$Q$197/10)-1)+逐级计算!$Q$197*(GO76-逐级计算!$P$197)*LN(10)/10),0)+LN(1+EXP(-ABS((LN(10^(逐级计算!$Q$197/10)-1)+逐级计算!$Q$197*(GO76-逐级计算!$P$197)*LN(10)/10))))))),"")</f>
        <v>13.7930365742089</v>
      </c>
      <c r="GQ76">
        <f>IF(AND(ISNUMBER(GP76),逐级计算!$X$198&gt;-1),IF(逐级计算!$X$198=0,GP76+逐级计算!$C$198,GP76+逐级计算!$C$198-(10/(逐级计算!$Q$198*LN(10))*(MAX((LN(10^(逐级计算!$Q$198/10)-1)+逐级计算!$Q$198*(GP76-逐级计算!$P$198)*LN(10)/10),0)+LN(1+EXP(-ABS((LN(10^(逐级计算!$Q$198/10)-1)+逐级计算!$Q$198*(GP76-逐级计算!$P$198)*LN(10)/10))))))),"")</f>
        <v>13.7930365742089</v>
      </c>
      <c r="GR76">
        <f>IF(AND(ISNUMBER(GQ76),逐级计算!$X$199&gt;-1),IF(逐级计算!$X$199=0,GQ76+逐级计算!$C$199,GQ76+逐级计算!$C$199-(10/(逐级计算!$Q$199*LN(10))*(MAX((LN(10^(逐级计算!$Q$199/10)-1)+逐级计算!$Q$199*(GQ76-逐级计算!$P$199)*LN(10)/10),0)+LN(1+EXP(-ABS((LN(10^(逐级计算!$Q$199/10)-1)+逐级计算!$Q$199*(GQ76-逐级计算!$P$199)*LN(10)/10))))))),"")</f>
        <v>13.7930365742089</v>
      </c>
      <c r="GS76">
        <f>IF(AND(ISNUMBER(GR76),逐级计算!$X$200&gt;-1),IF(逐级计算!$X$200=0,GR76+逐级计算!$C$200,GR76+逐级计算!$C$200-(10/(逐级计算!$Q$200*LN(10))*(MAX((LN(10^(逐级计算!$Q$200/10)-1)+逐级计算!$Q$200*(GR76-逐级计算!$P$200)*LN(10)/10),0)+LN(1+EXP(-ABS((LN(10^(逐级计算!$Q$200/10)-1)+逐级计算!$Q$200*(GR76-逐级计算!$P$200)*LN(10)/10))))))),"")</f>
        <v>13.7930365742089</v>
      </c>
      <c r="GT76">
        <f>IF(AND(ISNUMBER(GS76),逐级计算!$X$201&gt;-1),IF(逐级计算!$X$201=0,GS76+逐级计算!$C$201,GS76+逐级计算!$C$201-(10/(逐级计算!$Q$201*LN(10))*(MAX((LN(10^(逐级计算!$Q$201/10)-1)+逐级计算!$Q$201*(GS76-逐级计算!$P$201)*LN(10)/10),0)+LN(1+EXP(-ABS((LN(10^(逐级计算!$Q$201/10)-1)+逐级计算!$Q$201*(GS76-逐级计算!$P$201)*LN(10)/10))))))),"")</f>
        <v>13.7930365742089</v>
      </c>
      <c r="GU76">
        <f>IF(AND(ISNUMBER(GT76),逐级计算!$X$202&gt;-1),IF(逐级计算!$X$202=0,GT76+逐级计算!$C$202,GT76+逐级计算!$C$202-(10/(逐级计算!$Q$202*LN(10))*(MAX((LN(10^(逐级计算!$Q$202/10)-1)+逐级计算!$Q$202*(GT76-逐级计算!$P$202)*LN(10)/10),0)+LN(1+EXP(-ABS((LN(10^(逐级计算!$Q$202/10)-1)+逐级计算!$Q$202*(GT76-逐级计算!$P$202)*LN(10)/10))))))),"")</f>
        <v>13.7930365742089</v>
      </c>
      <c r="GV76">
        <f>IF(AND(ISNUMBER(GU76),逐级计算!$X$203&gt;-1),IF(逐级计算!$X$203=0,GU76+逐级计算!$C$203,GU76+逐级计算!$C$203-(10/(逐级计算!$Q$203*LN(10))*(MAX((LN(10^(逐级计算!$Q$203/10)-1)+逐级计算!$Q$203*(GU76-逐级计算!$P$203)*LN(10)/10),0)+LN(1+EXP(-ABS((LN(10^(逐级计算!$Q$203/10)-1)+逐级计算!$Q$203*(GU76-逐级计算!$P$203)*LN(10)/10))))))),"")</f>
        <v>13.7930365742089</v>
      </c>
      <c r="GW76">
        <f t="shared" si="5"/>
        <v>-5.20696342579112</v>
      </c>
    </row>
    <row r="77" spans="1:205">
      <c r="A77">
        <v>70</v>
      </c>
      <c r="B77">
        <f t="shared" si="4"/>
        <v>-5.20696342579112</v>
      </c>
      <c r="C77">
        <f t="shared" si="3"/>
        <v>-5.20696342579112</v>
      </c>
      <c r="D77">
        <f>IF(AND(ISNUMBER(C77),ISNUMBER(逐级计算!$E$203),ISNUMBER(GV77)),C77+逐级计算!$E$203-GV77,"")</f>
        <v>1</v>
      </c>
      <c r="E77">
        <f>IF(AND(ISNUMBER(C77),逐级计算!$X$4&gt;-1),IF(逐级计算!$X$4=0,C77+逐级计算!$C$4,C77+逐级计算!$C$4-(10/(逐级计算!$Q$4*LN(10))*(MAX((LN(10^(逐级计算!$Q$4/10)-1)+逐级计算!$Q$4*(C77-逐级计算!$P$4)*LN(10)/10),0)+LN(1+EXP(-ABS((LN(10^(逐级计算!$Q$4/10)-1)+逐级计算!$Q$4*(C77-逐级计算!$P$4)*LN(10)/10))))))),"")</f>
        <v>4.68053982928311</v>
      </c>
      <c r="F77">
        <f>IF(AND(ISNUMBER(E77),逐级计算!$X$5&gt;-1),IF(逐级计算!$X$5=0,E77+逐级计算!$C$5,E77+逐级计算!$C$5-(10/(逐级计算!$Q$5*LN(10))*(MAX((LN(10^(逐级计算!$Q$5/10)-1)+逐级计算!$Q$5*(E77-逐级计算!$P$5)*LN(10)/10),0)+LN(1+EXP(-ABS((LN(10^(逐级计算!$Q$5/10)-1)+逐级计算!$Q$5*(E77-逐级计算!$P$5)*LN(10)/10))))))),"")</f>
        <v>13.7930365742089</v>
      </c>
      <c r="G77">
        <f>IF(AND(ISNUMBER(F77),逐级计算!$X$6&gt;-1),IF(逐级计算!$X$6=0,F77+逐级计算!$C$6,F77+逐级计算!$C$6-(10/(逐级计算!$Q$6*LN(10))*(MAX((LN(10^(逐级计算!$Q$6/10)-1)+逐级计算!$Q$6*(F77-逐级计算!$P$6)*LN(10)/10),0)+LN(1+EXP(-ABS((LN(10^(逐级计算!$Q$6/10)-1)+逐级计算!$Q$6*(F77-逐级计算!$P$6)*LN(10)/10))))))),"")</f>
        <v>13.7930365742089</v>
      </c>
      <c r="H77">
        <f>IF(AND(ISNUMBER(G77),逐级计算!$X$7&gt;-1),IF(逐级计算!$X$7=0,G77+逐级计算!$C$7,G77+逐级计算!$C$7-(10/(逐级计算!$Q$7*LN(10))*(MAX((LN(10^(逐级计算!$Q$7/10)-1)+逐级计算!$Q$7*(G77-逐级计算!$P$7)*LN(10)/10),0)+LN(1+EXP(-ABS((LN(10^(逐级计算!$Q$7/10)-1)+逐级计算!$Q$7*(G77-逐级计算!$P$7)*LN(10)/10))))))),"")</f>
        <v>13.7930365742089</v>
      </c>
      <c r="I77">
        <f>IF(AND(ISNUMBER(H77),逐级计算!$X$8&gt;-1),IF(逐级计算!$X$8=0,H77+逐级计算!$C$8,H77+逐级计算!$C$8-(10/(逐级计算!$Q$8*LN(10))*(MAX((LN(10^(逐级计算!$Q$8/10)-1)+逐级计算!$Q$8*(H77-逐级计算!$P$8)*LN(10)/10),0)+LN(1+EXP(-ABS((LN(10^(逐级计算!$Q$8/10)-1)+逐级计算!$Q$8*(H77-逐级计算!$P$8)*LN(10)/10))))))),"")</f>
        <v>13.7930365742089</v>
      </c>
      <c r="J77">
        <f>IF(AND(ISNUMBER(I77),逐级计算!$X$9&gt;-1),IF(逐级计算!$X$9=0,I77+逐级计算!$C$9,I77+逐级计算!$C$9-(10/(逐级计算!$Q$9*LN(10))*(MAX((LN(10^(逐级计算!$Q$9/10)-1)+逐级计算!$Q$9*(I77-逐级计算!$P$9)*LN(10)/10),0)+LN(1+EXP(-ABS((LN(10^(逐级计算!$Q$9/10)-1)+逐级计算!$Q$9*(I77-逐级计算!$P$9)*LN(10)/10))))))),"")</f>
        <v>13.7930365742089</v>
      </c>
      <c r="K77">
        <f>IF(AND(ISNUMBER(J77),逐级计算!$X$10&gt;-1),IF(逐级计算!$X$10=0,J77+逐级计算!$C$10,J77+逐级计算!$C$10-(10/(逐级计算!$Q$10*LN(10))*(MAX((LN(10^(逐级计算!$Q$10/10)-1)+逐级计算!$Q$10*(J77-逐级计算!$P$10)*LN(10)/10),0)+LN(1+EXP(-ABS((LN(10^(逐级计算!$Q$10/10)-1)+逐级计算!$Q$10*(J77-逐级计算!$P$10)*LN(10)/10))))))),"")</f>
        <v>13.7930365742089</v>
      </c>
      <c r="L77">
        <f>IF(AND(ISNUMBER(K77),逐级计算!$X$11&gt;-1),IF(逐级计算!$X$11=0,K77+逐级计算!$C$11,K77+逐级计算!$C$11-(10/(逐级计算!$Q$11*LN(10))*(MAX((LN(10^(逐级计算!$Q$11/10)-1)+逐级计算!$Q$11*(K77-逐级计算!$P$11)*LN(10)/10),0)+LN(1+EXP(-ABS((LN(10^(逐级计算!$Q$11/10)-1)+逐级计算!$Q$11*(K77-逐级计算!$P$11)*LN(10)/10))))))),"")</f>
        <v>13.7930365742089</v>
      </c>
      <c r="M77">
        <f>IF(AND(ISNUMBER(L77),逐级计算!$X$12&gt;-1),IF(逐级计算!$X$12=0,L77+逐级计算!$C$12,L77+逐级计算!$C$12-(10/(逐级计算!$Q$12*LN(10))*(MAX((LN(10^(逐级计算!$Q$12/10)-1)+逐级计算!$Q$12*(L77-逐级计算!$P$12)*LN(10)/10),0)+LN(1+EXP(-ABS((LN(10^(逐级计算!$Q$12/10)-1)+逐级计算!$Q$12*(L77-逐级计算!$P$12)*LN(10)/10))))))),"")</f>
        <v>13.7930365742089</v>
      </c>
      <c r="N77">
        <f>IF(AND(ISNUMBER(M77),逐级计算!$X$13&gt;-1),IF(逐级计算!$X$13=0,M77+逐级计算!$C$13,M77+逐级计算!$C$13-(10/(逐级计算!$Q$13*LN(10))*(MAX((LN(10^(逐级计算!$Q$13/10)-1)+逐级计算!$Q$13*(M77-逐级计算!$P$13)*LN(10)/10),0)+LN(1+EXP(-ABS((LN(10^(逐级计算!$Q$13/10)-1)+逐级计算!$Q$13*(M77-逐级计算!$P$13)*LN(10)/10))))))),"")</f>
        <v>13.7930365742089</v>
      </c>
      <c r="O77">
        <f>IF(AND(ISNUMBER(N77),逐级计算!$X$14&gt;-1),IF(逐级计算!$X$14=0,N77+逐级计算!$C$14,N77+逐级计算!$C$14-(10/(逐级计算!$Q$14*LN(10))*(MAX((LN(10^(逐级计算!$Q$14/10)-1)+逐级计算!$Q$14*(N77-逐级计算!$P$14)*LN(10)/10),0)+LN(1+EXP(-ABS((LN(10^(逐级计算!$Q$14/10)-1)+逐级计算!$Q$14*(N77-逐级计算!$P$14)*LN(10)/10))))))),"")</f>
        <v>13.7930365742089</v>
      </c>
      <c r="P77">
        <f>IF(AND(ISNUMBER(O77),逐级计算!$X$15&gt;-1),IF(逐级计算!$X$15=0,O77+逐级计算!$C$15,O77+逐级计算!$C$15-(10/(逐级计算!$Q$15*LN(10))*(MAX((LN(10^(逐级计算!$Q$15/10)-1)+逐级计算!$Q$15*(O77-逐级计算!$P$15)*LN(10)/10),0)+LN(1+EXP(-ABS((LN(10^(逐级计算!$Q$15/10)-1)+逐级计算!$Q$15*(O77-逐级计算!$P$15)*LN(10)/10))))))),"")</f>
        <v>13.7930365742089</v>
      </c>
      <c r="Q77">
        <f>IF(AND(ISNUMBER(P77),逐级计算!$X$16&gt;-1),IF(逐级计算!$X$16=0,P77+逐级计算!$C$16,P77+逐级计算!$C$16-(10/(逐级计算!$Q$16*LN(10))*(MAX((LN(10^(逐级计算!$Q$16/10)-1)+逐级计算!$Q$16*(P77-逐级计算!$P$16)*LN(10)/10),0)+LN(1+EXP(-ABS((LN(10^(逐级计算!$Q$16/10)-1)+逐级计算!$Q$16*(P77-逐级计算!$P$16)*LN(10)/10))))))),"")</f>
        <v>13.7930365742089</v>
      </c>
      <c r="R77">
        <f>IF(AND(ISNUMBER(Q77),逐级计算!$X$17&gt;-1),IF(逐级计算!$X$17=0,Q77+逐级计算!$C$17,Q77+逐级计算!$C$17-(10/(逐级计算!$Q$17*LN(10))*(MAX((LN(10^(逐级计算!$Q$17/10)-1)+逐级计算!$Q$17*(Q77-逐级计算!$P$17)*LN(10)/10),0)+LN(1+EXP(-ABS((LN(10^(逐级计算!$Q$17/10)-1)+逐级计算!$Q$17*(Q77-逐级计算!$P$17)*LN(10)/10))))))),"")</f>
        <v>13.7930365742089</v>
      </c>
      <c r="S77">
        <f>IF(AND(ISNUMBER(R77),逐级计算!$X$18&gt;-1),IF(逐级计算!$X$18=0,R77+逐级计算!$C$18,R77+逐级计算!$C$18-(10/(逐级计算!$Q$18*LN(10))*(MAX((LN(10^(逐级计算!$Q$18/10)-1)+逐级计算!$Q$18*(R77-逐级计算!$P$18)*LN(10)/10),0)+LN(1+EXP(-ABS((LN(10^(逐级计算!$Q$18/10)-1)+逐级计算!$Q$18*(R77-逐级计算!$P$18)*LN(10)/10))))))),"")</f>
        <v>13.7930365742089</v>
      </c>
      <c r="T77">
        <f>IF(AND(ISNUMBER(S77),逐级计算!$X$19&gt;-1),IF(逐级计算!$X$19=0,S77+逐级计算!$C$19,S77+逐级计算!$C$19-(10/(逐级计算!$Q$19*LN(10))*(MAX((LN(10^(逐级计算!$Q$19/10)-1)+逐级计算!$Q$19*(S77-逐级计算!$P$19)*LN(10)/10),0)+LN(1+EXP(-ABS((LN(10^(逐级计算!$Q$19/10)-1)+逐级计算!$Q$19*(S77-逐级计算!$P$19)*LN(10)/10))))))),"")</f>
        <v>13.7930365742089</v>
      </c>
      <c r="U77">
        <f>IF(AND(ISNUMBER(T77),逐级计算!$X$20&gt;-1),IF(逐级计算!$X$20=0,T77+逐级计算!$C$20,T77+逐级计算!$C$20-(10/(逐级计算!$Q$20*LN(10))*(MAX((LN(10^(逐级计算!$Q$20/10)-1)+逐级计算!$Q$20*(T77-逐级计算!$P$20)*LN(10)/10),0)+LN(1+EXP(-ABS((LN(10^(逐级计算!$Q$20/10)-1)+逐级计算!$Q$20*(T77-逐级计算!$P$20)*LN(10)/10))))))),"")</f>
        <v>13.7930365742089</v>
      </c>
      <c r="V77">
        <f>IF(AND(ISNUMBER(U77),逐级计算!$X$21&gt;-1),IF(逐级计算!$X$21=0,U77+逐级计算!$C$21,U77+逐级计算!$C$21-(10/(逐级计算!$Q$21*LN(10))*(MAX((LN(10^(逐级计算!$Q$21/10)-1)+逐级计算!$Q$21*(U77-逐级计算!$P$21)*LN(10)/10),0)+LN(1+EXP(-ABS((LN(10^(逐级计算!$Q$21/10)-1)+逐级计算!$Q$21*(U77-逐级计算!$P$21)*LN(10)/10))))))),"")</f>
        <v>13.7930365742089</v>
      </c>
      <c r="W77">
        <f>IF(AND(ISNUMBER(V77),逐级计算!$X$22&gt;-1),IF(逐级计算!$X$22=0,V77+逐级计算!$C$22,V77+逐级计算!$C$22-(10/(逐级计算!$Q$22*LN(10))*(MAX((LN(10^(逐级计算!$Q$22/10)-1)+逐级计算!$Q$22*(V77-逐级计算!$P$22)*LN(10)/10),0)+LN(1+EXP(-ABS((LN(10^(逐级计算!$Q$22/10)-1)+逐级计算!$Q$22*(V77-逐级计算!$P$22)*LN(10)/10))))))),"")</f>
        <v>13.7930365742089</v>
      </c>
      <c r="X77">
        <f>IF(AND(ISNUMBER(W77),逐级计算!$X$23&gt;-1),IF(逐级计算!$X$23=0,W77+逐级计算!$C$23,W77+逐级计算!$C$23-(10/(逐级计算!$Q$23*LN(10))*(MAX((LN(10^(逐级计算!$Q$23/10)-1)+逐级计算!$Q$23*(W77-逐级计算!$P$23)*LN(10)/10),0)+LN(1+EXP(-ABS((LN(10^(逐级计算!$Q$23/10)-1)+逐级计算!$Q$23*(W77-逐级计算!$P$23)*LN(10)/10))))))),"")</f>
        <v>13.7930365742089</v>
      </c>
      <c r="Y77">
        <f>IF(AND(ISNUMBER(X77),逐级计算!$X$24&gt;-1),IF(逐级计算!$X$24=0,X77+逐级计算!$C$24,X77+逐级计算!$C$24-(10/(逐级计算!$Q$24*LN(10))*(MAX((LN(10^(逐级计算!$Q$24/10)-1)+逐级计算!$Q$24*(X77-逐级计算!$P$24)*LN(10)/10),0)+LN(1+EXP(-ABS((LN(10^(逐级计算!$Q$24/10)-1)+逐级计算!$Q$24*(X77-逐级计算!$P$24)*LN(10)/10))))))),"")</f>
        <v>13.7930365742089</v>
      </c>
      <c r="Z77">
        <f>IF(AND(ISNUMBER(Y77),逐级计算!$X$25&gt;-1),IF(逐级计算!$X$25=0,Y77+逐级计算!$C$25,Y77+逐级计算!$C$25-(10/(逐级计算!$Q$25*LN(10))*(MAX((LN(10^(逐级计算!$Q$25/10)-1)+逐级计算!$Q$25*(Y77-逐级计算!$P$25)*LN(10)/10),0)+LN(1+EXP(-ABS((LN(10^(逐级计算!$Q$25/10)-1)+逐级计算!$Q$25*(Y77-逐级计算!$P$25)*LN(10)/10))))))),"")</f>
        <v>13.7930365742089</v>
      </c>
      <c r="AA77">
        <f>IF(AND(ISNUMBER(Z77),逐级计算!$X$26&gt;-1),IF(逐级计算!$X$26=0,Z77+逐级计算!$C$26,Z77+逐级计算!$C$26-(10/(逐级计算!$Q$26*LN(10))*(MAX((LN(10^(逐级计算!$Q$26/10)-1)+逐级计算!$Q$26*(Z77-逐级计算!$P$26)*LN(10)/10),0)+LN(1+EXP(-ABS((LN(10^(逐级计算!$Q$26/10)-1)+逐级计算!$Q$26*(Z77-逐级计算!$P$26)*LN(10)/10))))))),"")</f>
        <v>13.7930365742089</v>
      </c>
      <c r="AB77">
        <f>IF(AND(ISNUMBER(AA77),逐级计算!$X$27&gt;-1),IF(逐级计算!$X$27=0,AA77+逐级计算!$C$27,AA77+逐级计算!$C$27-(10/(逐级计算!$Q$27*LN(10))*(MAX((LN(10^(逐级计算!$Q$27/10)-1)+逐级计算!$Q$27*(AA77-逐级计算!$P$27)*LN(10)/10),0)+LN(1+EXP(-ABS((LN(10^(逐级计算!$Q$27/10)-1)+逐级计算!$Q$27*(AA77-逐级计算!$P$27)*LN(10)/10))))))),"")</f>
        <v>13.7930365742089</v>
      </c>
      <c r="AC77">
        <f>IF(AND(ISNUMBER(AB77),逐级计算!$X$28&gt;-1),IF(逐级计算!$X$28=0,AB77+逐级计算!$C$28,AB77+逐级计算!$C$28-(10/(逐级计算!$Q$28*LN(10))*(MAX((LN(10^(逐级计算!$Q$28/10)-1)+逐级计算!$Q$28*(AB77-逐级计算!$P$28)*LN(10)/10),0)+LN(1+EXP(-ABS((LN(10^(逐级计算!$Q$28/10)-1)+逐级计算!$Q$28*(AB77-逐级计算!$P$28)*LN(10)/10))))))),"")</f>
        <v>13.7930365742089</v>
      </c>
      <c r="AD77">
        <f>IF(AND(ISNUMBER(AC77),逐级计算!$X$29&gt;-1),IF(逐级计算!$X$29=0,AC77+逐级计算!$C$29,AC77+逐级计算!$C$29-(10/(逐级计算!$Q$29*LN(10))*(MAX((LN(10^(逐级计算!$Q$29/10)-1)+逐级计算!$Q$29*(AC77-逐级计算!$P$29)*LN(10)/10),0)+LN(1+EXP(-ABS((LN(10^(逐级计算!$Q$29/10)-1)+逐级计算!$Q$29*(AC77-逐级计算!$P$29)*LN(10)/10))))))),"")</f>
        <v>13.7930365742089</v>
      </c>
      <c r="AE77">
        <f>IF(AND(ISNUMBER(AD77),逐级计算!$X$30&gt;-1),IF(逐级计算!$X$30=0,AD77+逐级计算!$C$30,AD77+逐级计算!$C$30-(10/(逐级计算!$Q$30*LN(10))*(MAX((LN(10^(逐级计算!$Q$30/10)-1)+逐级计算!$Q$30*(AD77-逐级计算!$P$30)*LN(10)/10),0)+LN(1+EXP(-ABS((LN(10^(逐级计算!$Q$30/10)-1)+逐级计算!$Q$30*(AD77-逐级计算!$P$30)*LN(10)/10))))))),"")</f>
        <v>13.7930365742089</v>
      </c>
      <c r="AF77">
        <f>IF(AND(ISNUMBER(AE77),逐级计算!$X$31&gt;-1),IF(逐级计算!$X$31=0,AE77+逐级计算!$C$31,AE77+逐级计算!$C$31-(10/(逐级计算!$Q$31*LN(10))*(MAX((LN(10^(逐级计算!$Q$31/10)-1)+逐级计算!$Q$31*(AE77-逐级计算!$P$31)*LN(10)/10),0)+LN(1+EXP(-ABS((LN(10^(逐级计算!$Q$31/10)-1)+逐级计算!$Q$31*(AE77-逐级计算!$P$31)*LN(10)/10))))))),"")</f>
        <v>13.7930365742089</v>
      </c>
      <c r="AG77">
        <f>IF(AND(ISNUMBER(AF77),逐级计算!$X$32&gt;-1),IF(逐级计算!$X$32=0,AF77+逐级计算!$C$32,AF77+逐级计算!$C$32-(10/(逐级计算!$Q$32*LN(10))*(MAX((LN(10^(逐级计算!$Q$32/10)-1)+逐级计算!$Q$32*(AF77-逐级计算!$P$32)*LN(10)/10),0)+LN(1+EXP(-ABS((LN(10^(逐级计算!$Q$32/10)-1)+逐级计算!$Q$32*(AF77-逐级计算!$P$32)*LN(10)/10))))))),"")</f>
        <v>13.7930365742089</v>
      </c>
      <c r="AH77">
        <f>IF(AND(ISNUMBER(AG77),逐级计算!$X$33&gt;-1),IF(逐级计算!$X$33=0,AG77+逐级计算!$C$33,AG77+逐级计算!$C$33-(10/(逐级计算!$Q$33*LN(10))*(MAX((LN(10^(逐级计算!$Q$33/10)-1)+逐级计算!$Q$33*(AG77-逐级计算!$P$33)*LN(10)/10),0)+LN(1+EXP(-ABS((LN(10^(逐级计算!$Q$33/10)-1)+逐级计算!$Q$33*(AG77-逐级计算!$P$33)*LN(10)/10))))))),"")</f>
        <v>13.7930365742089</v>
      </c>
      <c r="AI77">
        <f>IF(AND(ISNUMBER(AH77),逐级计算!$X$34&gt;-1),IF(逐级计算!$X$34=0,AH77+逐级计算!$C$34,AH77+逐级计算!$C$34-(10/(逐级计算!$Q$34*LN(10))*(MAX((LN(10^(逐级计算!$Q$34/10)-1)+逐级计算!$Q$34*(AH77-逐级计算!$P$34)*LN(10)/10),0)+LN(1+EXP(-ABS((LN(10^(逐级计算!$Q$34/10)-1)+逐级计算!$Q$34*(AH77-逐级计算!$P$34)*LN(10)/10))))))),"")</f>
        <v>13.7930365742089</v>
      </c>
      <c r="AJ77">
        <f>IF(AND(ISNUMBER(AI77),逐级计算!$X$35&gt;-1),IF(逐级计算!$X$35=0,AI77+逐级计算!$C$35,AI77+逐级计算!$C$35-(10/(逐级计算!$Q$35*LN(10))*(MAX((LN(10^(逐级计算!$Q$35/10)-1)+逐级计算!$Q$35*(AI77-逐级计算!$P$35)*LN(10)/10),0)+LN(1+EXP(-ABS((LN(10^(逐级计算!$Q$35/10)-1)+逐级计算!$Q$35*(AI77-逐级计算!$P$35)*LN(10)/10))))))),"")</f>
        <v>13.7930365742089</v>
      </c>
      <c r="AK77">
        <f>IF(AND(ISNUMBER(AJ77),逐级计算!$X$36&gt;-1),IF(逐级计算!$X$36=0,AJ77+逐级计算!$C$36,AJ77+逐级计算!$C$36-(10/(逐级计算!$Q$36*LN(10))*(MAX((LN(10^(逐级计算!$Q$36/10)-1)+逐级计算!$Q$36*(AJ77-逐级计算!$P$36)*LN(10)/10),0)+LN(1+EXP(-ABS((LN(10^(逐级计算!$Q$36/10)-1)+逐级计算!$Q$36*(AJ77-逐级计算!$P$36)*LN(10)/10))))))),"")</f>
        <v>13.7930365742089</v>
      </c>
      <c r="AL77">
        <f>IF(AND(ISNUMBER(AK77),逐级计算!$X$37&gt;-1),IF(逐级计算!$X$37=0,AK77+逐级计算!$C$37,AK77+逐级计算!$C$37-(10/(逐级计算!$Q$37*LN(10))*(MAX((LN(10^(逐级计算!$Q$37/10)-1)+逐级计算!$Q$37*(AK77-逐级计算!$P$37)*LN(10)/10),0)+LN(1+EXP(-ABS((LN(10^(逐级计算!$Q$37/10)-1)+逐级计算!$Q$37*(AK77-逐级计算!$P$37)*LN(10)/10))))))),"")</f>
        <v>13.7930365742089</v>
      </c>
      <c r="AM77">
        <f>IF(AND(ISNUMBER(AL77),逐级计算!$X$38&gt;-1),IF(逐级计算!$X$38=0,AL77+逐级计算!$C$38,AL77+逐级计算!$C$38-(10/(逐级计算!$Q$38*LN(10))*(MAX((LN(10^(逐级计算!$Q$38/10)-1)+逐级计算!$Q$38*(AL77-逐级计算!$P$38)*LN(10)/10),0)+LN(1+EXP(-ABS((LN(10^(逐级计算!$Q$38/10)-1)+逐级计算!$Q$38*(AL77-逐级计算!$P$38)*LN(10)/10))))))),"")</f>
        <v>13.7930365742089</v>
      </c>
      <c r="AN77">
        <f>IF(AND(ISNUMBER(AM77),逐级计算!$X$39&gt;-1),IF(逐级计算!$X$39=0,AM77+逐级计算!$C$39,AM77+逐级计算!$C$39-(10/(逐级计算!$Q$39*LN(10))*(MAX((LN(10^(逐级计算!$Q$39/10)-1)+逐级计算!$Q$39*(AM77-逐级计算!$P$39)*LN(10)/10),0)+LN(1+EXP(-ABS((LN(10^(逐级计算!$Q$39/10)-1)+逐级计算!$Q$39*(AM77-逐级计算!$P$39)*LN(10)/10))))))),"")</f>
        <v>13.7930365742089</v>
      </c>
      <c r="AO77">
        <f>IF(AND(ISNUMBER(AN77),逐级计算!$X$40&gt;-1),IF(逐级计算!$X$40=0,AN77+逐级计算!$C$40,AN77+逐级计算!$C$40-(10/(逐级计算!$Q$40*LN(10))*(MAX((LN(10^(逐级计算!$Q$40/10)-1)+逐级计算!$Q$40*(AN77-逐级计算!$P$40)*LN(10)/10),0)+LN(1+EXP(-ABS((LN(10^(逐级计算!$Q$40/10)-1)+逐级计算!$Q$40*(AN77-逐级计算!$P$40)*LN(10)/10))))))),"")</f>
        <v>13.7930365742089</v>
      </c>
      <c r="AP77">
        <f>IF(AND(ISNUMBER(AO77),逐级计算!$X$41&gt;-1),IF(逐级计算!$X$41=0,AO77+逐级计算!$C$41,AO77+逐级计算!$C$41-(10/(逐级计算!$Q$41*LN(10))*(MAX((LN(10^(逐级计算!$Q$41/10)-1)+逐级计算!$Q$41*(AO77-逐级计算!$P$41)*LN(10)/10),0)+LN(1+EXP(-ABS((LN(10^(逐级计算!$Q$41/10)-1)+逐级计算!$Q$41*(AO77-逐级计算!$P$41)*LN(10)/10))))))),"")</f>
        <v>13.7930365742089</v>
      </c>
      <c r="AQ77">
        <f>IF(AND(ISNUMBER(AP77),逐级计算!$X$42&gt;-1),IF(逐级计算!$X$42=0,AP77+逐级计算!$C$42,AP77+逐级计算!$C$42-(10/(逐级计算!$Q$42*LN(10))*(MAX((LN(10^(逐级计算!$Q$42/10)-1)+逐级计算!$Q$42*(AP77-逐级计算!$P$42)*LN(10)/10),0)+LN(1+EXP(-ABS((LN(10^(逐级计算!$Q$42/10)-1)+逐级计算!$Q$42*(AP77-逐级计算!$P$42)*LN(10)/10))))))),"")</f>
        <v>13.7930365742089</v>
      </c>
      <c r="AR77">
        <f>IF(AND(ISNUMBER(AQ77),逐级计算!$X$43&gt;-1),IF(逐级计算!$X$43=0,AQ77+逐级计算!$C$43,AQ77+逐级计算!$C$43-(10/(逐级计算!$Q$43*LN(10))*(MAX((LN(10^(逐级计算!$Q$43/10)-1)+逐级计算!$Q$43*(AQ77-逐级计算!$P$43)*LN(10)/10),0)+LN(1+EXP(-ABS((LN(10^(逐级计算!$Q$43/10)-1)+逐级计算!$Q$43*(AQ77-逐级计算!$P$43)*LN(10)/10))))))),"")</f>
        <v>13.7930365742089</v>
      </c>
      <c r="AS77">
        <f>IF(AND(ISNUMBER(AR77),逐级计算!$X$44&gt;-1),IF(逐级计算!$X$44=0,AR77+逐级计算!$C$44,AR77+逐级计算!$C$44-(10/(逐级计算!$Q$44*LN(10))*(MAX((LN(10^(逐级计算!$Q$44/10)-1)+逐级计算!$Q$44*(AR77-逐级计算!$P$44)*LN(10)/10),0)+LN(1+EXP(-ABS((LN(10^(逐级计算!$Q$44/10)-1)+逐级计算!$Q$44*(AR77-逐级计算!$P$44)*LN(10)/10))))))),"")</f>
        <v>13.7930365742089</v>
      </c>
      <c r="AT77">
        <f>IF(AND(ISNUMBER(AS77),逐级计算!$X$45&gt;-1),IF(逐级计算!$X$45=0,AS77+逐级计算!$C$45,AS77+逐级计算!$C$45-(10/(逐级计算!$Q$45*LN(10))*(MAX((LN(10^(逐级计算!$Q$45/10)-1)+逐级计算!$Q$45*(AS77-逐级计算!$P$45)*LN(10)/10),0)+LN(1+EXP(-ABS((LN(10^(逐级计算!$Q$45/10)-1)+逐级计算!$Q$45*(AS77-逐级计算!$P$45)*LN(10)/10))))))),"")</f>
        <v>13.7930365742089</v>
      </c>
      <c r="AU77">
        <f>IF(AND(ISNUMBER(AT77),逐级计算!$X$46&gt;-1),IF(逐级计算!$X$46=0,AT77+逐级计算!$C$46,AT77+逐级计算!$C$46-(10/(逐级计算!$Q$46*LN(10))*(MAX((LN(10^(逐级计算!$Q$46/10)-1)+逐级计算!$Q$46*(AT77-逐级计算!$P$46)*LN(10)/10),0)+LN(1+EXP(-ABS((LN(10^(逐级计算!$Q$46/10)-1)+逐级计算!$Q$46*(AT77-逐级计算!$P$46)*LN(10)/10))))))),"")</f>
        <v>13.7930365742089</v>
      </c>
      <c r="AV77">
        <f>IF(AND(ISNUMBER(AU77),逐级计算!$X$47&gt;-1),IF(逐级计算!$X$47=0,AU77+逐级计算!$C$47,AU77+逐级计算!$C$47-(10/(逐级计算!$Q$47*LN(10))*(MAX((LN(10^(逐级计算!$Q$47/10)-1)+逐级计算!$Q$47*(AU77-逐级计算!$P$47)*LN(10)/10),0)+LN(1+EXP(-ABS((LN(10^(逐级计算!$Q$47/10)-1)+逐级计算!$Q$47*(AU77-逐级计算!$P$47)*LN(10)/10))))))),"")</f>
        <v>13.7930365742089</v>
      </c>
      <c r="AW77">
        <f>IF(AND(ISNUMBER(AV77),逐级计算!$X$48&gt;-1),IF(逐级计算!$X$48=0,AV77+逐级计算!$C$48,AV77+逐级计算!$C$48-(10/(逐级计算!$Q$48*LN(10))*(MAX((LN(10^(逐级计算!$Q$48/10)-1)+逐级计算!$Q$48*(AV77-逐级计算!$P$48)*LN(10)/10),0)+LN(1+EXP(-ABS((LN(10^(逐级计算!$Q$48/10)-1)+逐级计算!$Q$48*(AV77-逐级计算!$P$48)*LN(10)/10))))))),"")</f>
        <v>13.7930365742089</v>
      </c>
      <c r="AX77">
        <f>IF(AND(ISNUMBER(AW77),逐级计算!$X$49&gt;-1),IF(逐级计算!$X$49=0,AW77+逐级计算!$C$49,AW77+逐级计算!$C$49-(10/(逐级计算!$Q$49*LN(10))*(MAX((LN(10^(逐级计算!$Q$49/10)-1)+逐级计算!$Q$49*(AW77-逐级计算!$P$49)*LN(10)/10),0)+LN(1+EXP(-ABS((LN(10^(逐级计算!$Q$49/10)-1)+逐级计算!$Q$49*(AW77-逐级计算!$P$49)*LN(10)/10))))))),"")</f>
        <v>13.7930365742089</v>
      </c>
      <c r="AY77">
        <f>IF(AND(ISNUMBER(AX77),逐级计算!$X$50&gt;-1),IF(逐级计算!$X$50=0,AX77+逐级计算!$C$50,AX77+逐级计算!$C$50-(10/(逐级计算!$Q$50*LN(10))*(MAX((LN(10^(逐级计算!$Q$50/10)-1)+逐级计算!$Q$50*(AX77-逐级计算!$P$50)*LN(10)/10),0)+LN(1+EXP(-ABS((LN(10^(逐级计算!$Q$50/10)-1)+逐级计算!$Q$50*(AX77-逐级计算!$P$50)*LN(10)/10))))))),"")</f>
        <v>13.7930365742089</v>
      </c>
      <c r="AZ77">
        <f>IF(AND(ISNUMBER(AY77),逐级计算!$X$51&gt;-1),IF(逐级计算!$X$51=0,AY77+逐级计算!$C$51,AY77+逐级计算!$C$51-(10/(逐级计算!$Q$51*LN(10))*(MAX((LN(10^(逐级计算!$Q$51/10)-1)+逐级计算!$Q$51*(AY77-逐级计算!$P$51)*LN(10)/10),0)+LN(1+EXP(-ABS((LN(10^(逐级计算!$Q$51/10)-1)+逐级计算!$Q$51*(AY77-逐级计算!$P$51)*LN(10)/10))))))),"")</f>
        <v>13.7930365742089</v>
      </c>
      <c r="BA77">
        <f>IF(AND(ISNUMBER(AZ77),逐级计算!$X$52&gt;-1),IF(逐级计算!$X$52=0,AZ77+逐级计算!$C$52,AZ77+逐级计算!$C$52-(10/(逐级计算!$Q$52*LN(10))*(MAX((LN(10^(逐级计算!$Q$52/10)-1)+逐级计算!$Q$52*(AZ77-逐级计算!$P$52)*LN(10)/10),0)+LN(1+EXP(-ABS((LN(10^(逐级计算!$Q$52/10)-1)+逐级计算!$Q$52*(AZ77-逐级计算!$P$52)*LN(10)/10))))))),"")</f>
        <v>13.7930365742089</v>
      </c>
      <c r="BB77">
        <f>IF(AND(ISNUMBER(BA77),逐级计算!$X$53&gt;-1),IF(逐级计算!$X$53=0,BA77+逐级计算!$C$53,BA77+逐级计算!$C$53-(10/(逐级计算!$Q$53*LN(10))*(MAX((LN(10^(逐级计算!$Q$53/10)-1)+逐级计算!$Q$53*(BA77-逐级计算!$P$53)*LN(10)/10),0)+LN(1+EXP(-ABS((LN(10^(逐级计算!$Q$53/10)-1)+逐级计算!$Q$53*(BA77-逐级计算!$P$53)*LN(10)/10))))))),"")</f>
        <v>13.7930365742089</v>
      </c>
      <c r="BC77">
        <f>IF(AND(ISNUMBER(BB77),逐级计算!$X$54&gt;-1),IF(逐级计算!$X$54=0,BB77+逐级计算!$C$54,BB77+逐级计算!$C$54-(10/(逐级计算!$Q$54*LN(10))*(MAX((LN(10^(逐级计算!$Q$54/10)-1)+逐级计算!$Q$54*(BB77-逐级计算!$P$54)*LN(10)/10),0)+LN(1+EXP(-ABS((LN(10^(逐级计算!$Q$54/10)-1)+逐级计算!$Q$54*(BB77-逐级计算!$P$54)*LN(10)/10))))))),"")</f>
        <v>13.7930365742089</v>
      </c>
      <c r="BD77">
        <f>IF(AND(ISNUMBER(BC77),逐级计算!$X$55&gt;-1),IF(逐级计算!$X$55=0,BC77+逐级计算!$C$55,BC77+逐级计算!$C$55-(10/(逐级计算!$Q$55*LN(10))*(MAX((LN(10^(逐级计算!$Q$55/10)-1)+逐级计算!$Q$55*(BC77-逐级计算!$P$55)*LN(10)/10),0)+LN(1+EXP(-ABS((LN(10^(逐级计算!$Q$55/10)-1)+逐级计算!$Q$55*(BC77-逐级计算!$P$55)*LN(10)/10))))))),"")</f>
        <v>13.7930365742089</v>
      </c>
      <c r="BE77">
        <f>IF(AND(ISNUMBER(BD77),逐级计算!$X$56&gt;-1),IF(逐级计算!$X$56=0,BD77+逐级计算!$C$56,BD77+逐级计算!$C$56-(10/(逐级计算!$Q$56*LN(10))*(MAX((LN(10^(逐级计算!$Q$56/10)-1)+逐级计算!$Q$56*(BD77-逐级计算!$P$56)*LN(10)/10),0)+LN(1+EXP(-ABS((LN(10^(逐级计算!$Q$56/10)-1)+逐级计算!$Q$56*(BD77-逐级计算!$P$56)*LN(10)/10))))))),"")</f>
        <v>13.7930365742089</v>
      </c>
      <c r="BF77">
        <f>IF(AND(ISNUMBER(BE77),逐级计算!$X$57&gt;-1),IF(逐级计算!$X$57=0,BE77+逐级计算!$C$57,BE77+逐级计算!$C$57-(10/(逐级计算!$Q$57*LN(10))*(MAX((LN(10^(逐级计算!$Q$57/10)-1)+逐级计算!$Q$57*(BE77-逐级计算!$P$57)*LN(10)/10),0)+LN(1+EXP(-ABS((LN(10^(逐级计算!$Q$57/10)-1)+逐级计算!$Q$57*(BE77-逐级计算!$P$57)*LN(10)/10))))))),"")</f>
        <v>13.7930365742089</v>
      </c>
      <c r="BG77">
        <f>IF(AND(ISNUMBER(BF77),逐级计算!$X$58&gt;-1),IF(逐级计算!$X$58=0,BF77+逐级计算!$C$58,BF77+逐级计算!$C$58-(10/(逐级计算!$Q$58*LN(10))*(MAX((LN(10^(逐级计算!$Q$58/10)-1)+逐级计算!$Q$58*(BF77-逐级计算!$P$58)*LN(10)/10),0)+LN(1+EXP(-ABS((LN(10^(逐级计算!$Q$58/10)-1)+逐级计算!$Q$58*(BF77-逐级计算!$P$58)*LN(10)/10))))))),"")</f>
        <v>13.7930365742089</v>
      </c>
      <c r="BH77">
        <f>IF(AND(ISNUMBER(BG77),逐级计算!$X$59&gt;-1),IF(逐级计算!$X$59=0,BG77+逐级计算!$C$59,BG77+逐级计算!$C$59-(10/(逐级计算!$Q$59*LN(10))*(MAX((LN(10^(逐级计算!$Q$59/10)-1)+逐级计算!$Q$59*(BG77-逐级计算!$P$59)*LN(10)/10),0)+LN(1+EXP(-ABS((LN(10^(逐级计算!$Q$59/10)-1)+逐级计算!$Q$59*(BG77-逐级计算!$P$59)*LN(10)/10))))))),"")</f>
        <v>13.7930365742089</v>
      </c>
      <c r="BI77">
        <f>IF(AND(ISNUMBER(BH77),逐级计算!$X$60&gt;-1),IF(逐级计算!$X$60=0,BH77+逐级计算!$C$60,BH77+逐级计算!$C$60-(10/(逐级计算!$Q$60*LN(10))*(MAX((LN(10^(逐级计算!$Q$60/10)-1)+逐级计算!$Q$60*(BH77-逐级计算!$P$60)*LN(10)/10),0)+LN(1+EXP(-ABS((LN(10^(逐级计算!$Q$60/10)-1)+逐级计算!$Q$60*(BH77-逐级计算!$P$60)*LN(10)/10))))))),"")</f>
        <v>13.7930365742089</v>
      </c>
      <c r="BJ77">
        <f>IF(AND(ISNUMBER(BI77),逐级计算!$X$61&gt;-1),IF(逐级计算!$X$61=0,BI77+逐级计算!$C$61,BI77+逐级计算!$C$61-(10/(逐级计算!$Q$61*LN(10))*(MAX((LN(10^(逐级计算!$Q$61/10)-1)+逐级计算!$Q$61*(BI77-逐级计算!$P$61)*LN(10)/10),0)+LN(1+EXP(-ABS((LN(10^(逐级计算!$Q$61/10)-1)+逐级计算!$Q$61*(BI77-逐级计算!$P$61)*LN(10)/10))))))),"")</f>
        <v>13.7930365742089</v>
      </c>
      <c r="BK77">
        <f>IF(AND(ISNUMBER(BJ77),逐级计算!$X$62&gt;-1),IF(逐级计算!$X$62=0,BJ77+逐级计算!$C$62,BJ77+逐级计算!$C$62-(10/(逐级计算!$Q$62*LN(10))*(MAX((LN(10^(逐级计算!$Q$62/10)-1)+逐级计算!$Q$62*(BJ77-逐级计算!$P$62)*LN(10)/10),0)+LN(1+EXP(-ABS((LN(10^(逐级计算!$Q$62/10)-1)+逐级计算!$Q$62*(BJ77-逐级计算!$P$62)*LN(10)/10))))))),"")</f>
        <v>13.7930365742089</v>
      </c>
      <c r="BL77">
        <f>IF(AND(ISNUMBER(BK77),逐级计算!$X$63&gt;-1),IF(逐级计算!$X$63=0,BK77+逐级计算!$C$63,BK77+逐级计算!$C$63-(10/(逐级计算!$Q$63*LN(10))*(MAX((LN(10^(逐级计算!$Q$63/10)-1)+逐级计算!$Q$63*(BK77-逐级计算!$P$63)*LN(10)/10),0)+LN(1+EXP(-ABS((LN(10^(逐级计算!$Q$63/10)-1)+逐级计算!$Q$63*(BK77-逐级计算!$P$63)*LN(10)/10))))))),"")</f>
        <v>13.7930365742089</v>
      </c>
      <c r="BM77">
        <f>IF(AND(ISNUMBER(BL77),逐级计算!$X$64&gt;-1),IF(逐级计算!$X$64=0,BL77+逐级计算!$C$64,BL77+逐级计算!$C$64-(10/(逐级计算!$Q$64*LN(10))*(MAX((LN(10^(逐级计算!$Q$64/10)-1)+逐级计算!$Q$64*(BL77-逐级计算!$P$64)*LN(10)/10),0)+LN(1+EXP(-ABS((LN(10^(逐级计算!$Q$64/10)-1)+逐级计算!$Q$64*(BL77-逐级计算!$P$64)*LN(10)/10))))))),"")</f>
        <v>13.7930365742089</v>
      </c>
      <c r="BN77">
        <f>IF(AND(ISNUMBER(BM77),逐级计算!$X$65&gt;-1),IF(逐级计算!$X$65=0,BM77+逐级计算!$C$65,BM77+逐级计算!$C$65-(10/(逐级计算!$Q$65*LN(10))*(MAX((LN(10^(逐级计算!$Q$65/10)-1)+逐级计算!$Q$65*(BM77-逐级计算!$P$65)*LN(10)/10),0)+LN(1+EXP(-ABS((LN(10^(逐级计算!$Q$65/10)-1)+逐级计算!$Q$65*(BM77-逐级计算!$P$65)*LN(10)/10))))))),"")</f>
        <v>13.7930365742089</v>
      </c>
      <c r="BO77">
        <f>IF(AND(ISNUMBER(BN77),逐级计算!$X$66&gt;-1),IF(逐级计算!$X$66=0,BN77+逐级计算!$C$66,BN77+逐级计算!$C$66-(10/(逐级计算!$Q$66*LN(10))*(MAX((LN(10^(逐级计算!$Q$66/10)-1)+逐级计算!$Q$66*(BN77-逐级计算!$P$66)*LN(10)/10),0)+LN(1+EXP(-ABS((LN(10^(逐级计算!$Q$66/10)-1)+逐级计算!$Q$66*(BN77-逐级计算!$P$66)*LN(10)/10))))))),"")</f>
        <v>13.7930365742089</v>
      </c>
      <c r="BP77">
        <f>IF(AND(ISNUMBER(BO77),逐级计算!$X$67&gt;-1),IF(逐级计算!$X$67=0,BO77+逐级计算!$C$67,BO77+逐级计算!$C$67-(10/(逐级计算!$Q$67*LN(10))*(MAX((LN(10^(逐级计算!$Q$67/10)-1)+逐级计算!$Q$67*(BO77-逐级计算!$P$67)*LN(10)/10),0)+LN(1+EXP(-ABS((LN(10^(逐级计算!$Q$67/10)-1)+逐级计算!$Q$67*(BO77-逐级计算!$P$67)*LN(10)/10))))))),"")</f>
        <v>13.7930365742089</v>
      </c>
      <c r="BQ77">
        <f>IF(AND(ISNUMBER(BP77),逐级计算!$X$68&gt;-1),IF(逐级计算!$X$68=0,BP77+逐级计算!$C$68,BP77+逐级计算!$C$68-(10/(逐级计算!$Q$68*LN(10))*(MAX((LN(10^(逐级计算!$Q$68/10)-1)+逐级计算!$Q$68*(BP77-逐级计算!$P$68)*LN(10)/10),0)+LN(1+EXP(-ABS((LN(10^(逐级计算!$Q$68/10)-1)+逐级计算!$Q$68*(BP77-逐级计算!$P$68)*LN(10)/10))))))),"")</f>
        <v>13.7930365742089</v>
      </c>
      <c r="BR77">
        <f>IF(AND(ISNUMBER(BQ77),逐级计算!$X$69&gt;-1),IF(逐级计算!$X$69=0,BQ77+逐级计算!$C$69,BQ77+逐级计算!$C$69-(10/(逐级计算!$Q$69*LN(10))*(MAX((LN(10^(逐级计算!$Q$69/10)-1)+逐级计算!$Q$69*(BQ77-逐级计算!$P$69)*LN(10)/10),0)+LN(1+EXP(-ABS((LN(10^(逐级计算!$Q$69/10)-1)+逐级计算!$Q$69*(BQ77-逐级计算!$P$69)*LN(10)/10))))))),"")</f>
        <v>13.7930365742089</v>
      </c>
      <c r="BS77">
        <f>IF(AND(ISNUMBER(BR77),逐级计算!$X$70&gt;-1),IF(逐级计算!$X$70=0,BR77+逐级计算!$C$70,BR77+逐级计算!$C$70-(10/(逐级计算!$Q$70*LN(10))*(MAX((LN(10^(逐级计算!$Q$70/10)-1)+逐级计算!$Q$70*(BR77-逐级计算!$P$70)*LN(10)/10),0)+LN(1+EXP(-ABS((LN(10^(逐级计算!$Q$70/10)-1)+逐级计算!$Q$70*(BR77-逐级计算!$P$70)*LN(10)/10))))))),"")</f>
        <v>13.7930365742089</v>
      </c>
      <c r="BT77">
        <f>IF(AND(ISNUMBER(BS77),逐级计算!$X$71&gt;-1),IF(逐级计算!$X$71=0,BS77+逐级计算!$C$71,BS77+逐级计算!$C$71-(10/(逐级计算!$Q$71*LN(10))*(MAX((LN(10^(逐级计算!$Q$71/10)-1)+逐级计算!$Q$71*(BS77-逐级计算!$P$71)*LN(10)/10),0)+LN(1+EXP(-ABS((LN(10^(逐级计算!$Q$71/10)-1)+逐级计算!$Q$71*(BS77-逐级计算!$P$71)*LN(10)/10))))))),"")</f>
        <v>13.7930365742089</v>
      </c>
      <c r="BU77">
        <f>IF(AND(ISNUMBER(BT77),逐级计算!$X$72&gt;-1),IF(逐级计算!$X$72=0,BT77+逐级计算!$C$72,BT77+逐级计算!$C$72-(10/(逐级计算!$Q$72*LN(10))*(MAX((LN(10^(逐级计算!$Q$72/10)-1)+逐级计算!$Q$72*(BT77-逐级计算!$P$72)*LN(10)/10),0)+LN(1+EXP(-ABS((LN(10^(逐级计算!$Q$72/10)-1)+逐级计算!$Q$72*(BT77-逐级计算!$P$72)*LN(10)/10))))))),"")</f>
        <v>13.7930365742089</v>
      </c>
      <c r="BV77">
        <f>IF(AND(ISNUMBER(BU77),逐级计算!$X$73&gt;-1),IF(逐级计算!$X$73=0,BU77+逐级计算!$C$73,BU77+逐级计算!$C$73-(10/(逐级计算!$Q$73*LN(10))*(MAX((LN(10^(逐级计算!$Q$73/10)-1)+逐级计算!$Q$73*(BU77-逐级计算!$P$73)*LN(10)/10),0)+LN(1+EXP(-ABS((LN(10^(逐级计算!$Q$73/10)-1)+逐级计算!$Q$73*(BU77-逐级计算!$P$73)*LN(10)/10))))))),"")</f>
        <v>13.7930365742089</v>
      </c>
      <c r="BW77">
        <f>IF(AND(ISNUMBER(BV77),逐级计算!$X$74&gt;-1),IF(逐级计算!$X$74=0,BV77+逐级计算!$C$74,BV77+逐级计算!$C$74-(10/(逐级计算!$Q$74*LN(10))*(MAX((LN(10^(逐级计算!$Q$74/10)-1)+逐级计算!$Q$74*(BV77-逐级计算!$P$74)*LN(10)/10),0)+LN(1+EXP(-ABS((LN(10^(逐级计算!$Q$74/10)-1)+逐级计算!$Q$74*(BV77-逐级计算!$P$74)*LN(10)/10))))))),"")</f>
        <v>13.7930365742089</v>
      </c>
      <c r="BX77">
        <f>IF(AND(ISNUMBER(BW77),逐级计算!$X$75&gt;-1),IF(逐级计算!$X$75=0,BW77+逐级计算!$C$75,BW77+逐级计算!$C$75-(10/(逐级计算!$Q$75*LN(10))*(MAX((LN(10^(逐级计算!$Q$75/10)-1)+逐级计算!$Q$75*(BW77-逐级计算!$P$75)*LN(10)/10),0)+LN(1+EXP(-ABS((LN(10^(逐级计算!$Q$75/10)-1)+逐级计算!$Q$75*(BW77-逐级计算!$P$75)*LN(10)/10))))))),"")</f>
        <v>13.7930365742089</v>
      </c>
      <c r="BY77">
        <f>IF(AND(ISNUMBER(BX77),逐级计算!$X$76&gt;-1),IF(逐级计算!$X$76=0,BX77+逐级计算!$C$76,BX77+逐级计算!$C$76-(10/(逐级计算!$Q$76*LN(10))*(MAX((LN(10^(逐级计算!$Q$76/10)-1)+逐级计算!$Q$76*(BX77-逐级计算!$P$76)*LN(10)/10),0)+LN(1+EXP(-ABS((LN(10^(逐级计算!$Q$76/10)-1)+逐级计算!$Q$76*(BX77-逐级计算!$P$76)*LN(10)/10))))))),"")</f>
        <v>13.7930365742089</v>
      </c>
      <c r="BZ77">
        <f>IF(AND(ISNUMBER(BY77),逐级计算!$X$77&gt;-1),IF(逐级计算!$X$77=0,BY77+逐级计算!$C$77,BY77+逐级计算!$C$77-(10/(逐级计算!$Q$77*LN(10))*(MAX((LN(10^(逐级计算!$Q$77/10)-1)+逐级计算!$Q$77*(BY77-逐级计算!$P$77)*LN(10)/10),0)+LN(1+EXP(-ABS((LN(10^(逐级计算!$Q$77/10)-1)+逐级计算!$Q$77*(BY77-逐级计算!$P$77)*LN(10)/10))))))),"")</f>
        <v>13.7930365742089</v>
      </c>
      <c r="CA77">
        <f>IF(AND(ISNUMBER(BZ77),逐级计算!$X$78&gt;-1),IF(逐级计算!$X$78=0,BZ77+逐级计算!$C$78,BZ77+逐级计算!$C$78-(10/(逐级计算!$Q$78*LN(10))*(MAX((LN(10^(逐级计算!$Q$78/10)-1)+逐级计算!$Q$78*(BZ77-逐级计算!$P$78)*LN(10)/10),0)+LN(1+EXP(-ABS((LN(10^(逐级计算!$Q$78/10)-1)+逐级计算!$Q$78*(BZ77-逐级计算!$P$78)*LN(10)/10))))))),"")</f>
        <v>13.7930365742089</v>
      </c>
      <c r="CB77">
        <f>IF(AND(ISNUMBER(CA77),逐级计算!$X$79&gt;-1),IF(逐级计算!$X$79=0,CA77+逐级计算!$C$79,CA77+逐级计算!$C$79-(10/(逐级计算!$Q$79*LN(10))*(MAX((LN(10^(逐级计算!$Q$79/10)-1)+逐级计算!$Q$79*(CA77-逐级计算!$P$79)*LN(10)/10),0)+LN(1+EXP(-ABS((LN(10^(逐级计算!$Q$79/10)-1)+逐级计算!$Q$79*(CA77-逐级计算!$P$79)*LN(10)/10))))))),"")</f>
        <v>13.7930365742089</v>
      </c>
      <c r="CC77">
        <f>IF(AND(ISNUMBER(CB77),逐级计算!$X$80&gt;-1),IF(逐级计算!$X$80=0,CB77+逐级计算!$C$80,CB77+逐级计算!$C$80-(10/(逐级计算!$Q$80*LN(10))*(MAX((LN(10^(逐级计算!$Q$80/10)-1)+逐级计算!$Q$80*(CB77-逐级计算!$P$80)*LN(10)/10),0)+LN(1+EXP(-ABS((LN(10^(逐级计算!$Q$80/10)-1)+逐级计算!$Q$80*(CB77-逐级计算!$P$80)*LN(10)/10))))))),"")</f>
        <v>13.7930365742089</v>
      </c>
      <c r="CD77">
        <f>IF(AND(ISNUMBER(CC77),逐级计算!$X$81&gt;-1),IF(逐级计算!$X$81=0,CC77+逐级计算!$C$81,CC77+逐级计算!$C$81-(10/(逐级计算!$Q$81*LN(10))*(MAX((LN(10^(逐级计算!$Q$81/10)-1)+逐级计算!$Q$81*(CC77-逐级计算!$P$81)*LN(10)/10),0)+LN(1+EXP(-ABS((LN(10^(逐级计算!$Q$81/10)-1)+逐级计算!$Q$81*(CC77-逐级计算!$P$81)*LN(10)/10))))))),"")</f>
        <v>13.7930365742089</v>
      </c>
      <c r="CE77">
        <f>IF(AND(ISNUMBER(CD77),逐级计算!$X$82&gt;-1),IF(逐级计算!$X$82=0,CD77+逐级计算!$C$82,CD77+逐级计算!$C$82-(10/(逐级计算!$Q$82*LN(10))*(MAX((LN(10^(逐级计算!$Q$82/10)-1)+逐级计算!$Q$82*(CD77-逐级计算!$P$82)*LN(10)/10),0)+LN(1+EXP(-ABS((LN(10^(逐级计算!$Q$82/10)-1)+逐级计算!$Q$82*(CD77-逐级计算!$P$82)*LN(10)/10))))))),"")</f>
        <v>13.7930365742089</v>
      </c>
      <c r="CF77">
        <f>IF(AND(ISNUMBER(CE77),逐级计算!$X$83&gt;-1),IF(逐级计算!$X$83=0,CE77+逐级计算!$C$83,CE77+逐级计算!$C$83-(10/(逐级计算!$Q$83*LN(10))*(MAX((LN(10^(逐级计算!$Q$83/10)-1)+逐级计算!$Q$83*(CE77-逐级计算!$P$83)*LN(10)/10),0)+LN(1+EXP(-ABS((LN(10^(逐级计算!$Q$83/10)-1)+逐级计算!$Q$83*(CE77-逐级计算!$P$83)*LN(10)/10))))))),"")</f>
        <v>13.7930365742089</v>
      </c>
      <c r="CG77">
        <f>IF(AND(ISNUMBER(CF77),逐级计算!$X$84&gt;-1),IF(逐级计算!$X$84=0,CF77+逐级计算!$C$84,CF77+逐级计算!$C$84-(10/(逐级计算!$Q$84*LN(10))*(MAX((LN(10^(逐级计算!$Q$84/10)-1)+逐级计算!$Q$84*(CF77-逐级计算!$P$84)*LN(10)/10),0)+LN(1+EXP(-ABS((LN(10^(逐级计算!$Q$84/10)-1)+逐级计算!$Q$84*(CF77-逐级计算!$P$84)*LN(10)/10))))))),"")</f>
        <v>13.7930365742089</v>
      </c>
      <c r="CH77">
        <f>IF(AND(ISNUMBER(CG77),逐级计算!$X$85&gt;-1),IF(逐级计算!$X$85=0,CG77+逐级计算!$C$85,CG77+逐级计算!$C$85-(10/(逐级计算!$Q$85*LN(10))*(MAX((LN(10^(逐级计算!$Q$85/10)-1)+逐级计算!$Q$85*(CG77-逐级计算!$P$85)*LN(10)/10),0)+LN(1+EXP(-ABS((LN(10^(逐级计算!$Q$85/10)-1)+逐级计算!$Q$85*(CG77-逐级计算!$P$85)*LN(10)/10))))))),"")</f>
        <v>13.7930365742089</v>
      </c>
      <c r="CI77">
        <f>IF(AND(ISNUMBER(CH77),逐级计算!$X$86&gt;-1),IF(逐级计算!$X$86=0,CH77+逐级计算!$C$86,CH77+逐级计算!$C$86-(10/(逐级计算!$Q$86*LN(10))*(MAX((LN(10^(逐级计算!$Q$86/10)-1)+逐级计算!$Q$86*(CH77-逐级计算!$P$86)*LN(10)/10),0)+LN(1+EXP(-ABS((LN(10^(逐级计算!$Q$86/10)-1)+逐级计算!$Q$86*(CH77-逐级计算!$P$86)*LN(10)/10))))))),"")</f>
        <v>13.7930365742089</v>
      </c>
      <c r="CJ77">
        <f>IF(AND(ISNUMBER(CI77),逐级计算!$X$87&gt;-1),IF(逐级计算!$X$87=0,CI77+逐级计算!$C$87,CI77+逐级计算!$C$87-(10/(逐级计算!$Q$87*LN(10))*(MAX((LN(10^(逐级计算!$Q$87/10)-1)+逐级计算!$Q$87*(CI77-逐级计算!$P$87)*LN(10)/10),0)+LN(1+EXP(-ABS((LN(10^(逐级计算!$Q$87/10)-1)+逐级计算!$Q$87*(CI77-逐级计算!$P$87)*LN(10)/10))))))),"")</f>
        <v>13.7930365742089</v>
      </c>
      <c r="CK77">
        <f>IF(AND(ISNUMBER(CJ77),逐级计算!$X$88&gt;-1),IF(逐级计算!$X$88=0,CJ77+逐级计算!$C$88,CJ77+逐级计算!$C$88-(10/(逐级计算!$Q$88*LN(10))*(MAX((LN(10^(逐级计算!$Q$88/10)-1)+逐级计算!$Q$88*(CJ77-逐级计算!$P$88)*LN(10)/10),0)+LN(1+EXP(-ABS((LN(10^(逐级计算!$Q$88/10)-1)+逐级计算!$Q$88*(CJ77-逐级计算!$P$88)*LN(10)/10))))))),"")</f>
        <v>13.7930365742089</v>
      </c>
      <c r="CL77">
        <f>IF(AND(ISNUMBER(CK77),逐级计算!$X$89&gt;-1),IF(逐级计算!$X$89=0,CK77+逐级计算!$C$89,CK77+逐级计算!$C$89-(10/(逐级计算!$Q$89*LN(10))*(MAX((LN(10^(逐级计算!$Q$89/10)-1)+逐级计算!$Q$89*(CK77-逐级计算!$P$89)*LN(10)/10),0)+LN(1+EXP(-ABS((LN(10^(逐级计算!$Q$89/10)-1)+逐级计算!$Q$89*(CK77-逐级计算!$P$89)*LN(10)/10))))))),"")</f>
        <v>13.7930365742089</v>
      </c>
      <c r="CM77">
        <f>IF(AND(ISNUMBER(CL77),逐级计算!$X$90&gt;-1),IF(逐级计算!$X$90=0,CL77+逐级计算!$C$90,CL77+逐级计算!$C$90-(10/(逐级计算!$Q$90*LN(10))*(MAX((LN(10^(逐级计算!$Q$90/10)-1)+逐级计算!$Q$90*(CL77-逐级计算!$P$90)*LN(10)/10),0)+LN(1+EXP(-ABS((LN(10^(逐级计算!$Q$90/10)-1)+逐级计算!$Q$90*(CL77-逐级计算!$P$90)*LN(10)/10))))))),"")</f>
        <v>13.7930365742089</v>
      </c>
      <c r="CN77">
        <f>IF(AND(ISNUMBER(CM77),逐级计算!$X$91&gt;-1),IF(逐级计算!$X$91=0,CM77+逐级计算!$C$91,CM77+逐级计算!$C$91-(10/(逐级计算!$Q$91*LN(10))*(MAX((LN(10^(逐级计算!$Q$91/10)-1)+逐级计算!$Q$91*(CM77-逐级计算!$P$91)*LN(10)/10),0)+LN(1+EXP(-ABS((LN(10^(逐级计算!$Q$91/10)-1)+逐级计算!$Q$91*(CM77-逐级计算!$P$91)*LN(10)/10))))))),"")</f>
        <v>13.7930365742089</v>
      </c>
      <c r="CO77">
        <f>IF(AND(ISNUMBER(CN77),逐级计算!$X$92&gt;-1),IF(逐级计算!$X$92=0,CN77+逐级计算!$C$92,CN77+逐级计算!$C$92-(10/(逐级计算!$Q$92*LN(10))*(MAX((LN(10^(逐级计算!$Q$92/10)-1)+逐级计算!$Q$92*(CN77-逐级计算!$P$92)*LN(10)/10),0)+LN(1+EXP(-ABS((LN(10^(逐级计算!$Q$92/10)-1)+逐级计算!$Q$92*(CN77-逐级计算!$P$92)*LN(10)/10))))))),"")</f>
        <v>13.7930365742089</v>
      </c>
      <c r="CP77">
        <f>IF(AND(ISNUMBER(CO77),逐级计算!$X$93&gt;-1),IF(逐级计算!$X$93=0,CO77+逐级计算!$C$93,CO77+逐级计算!$C$93-(10/(逐级计算!$Q$93*LN(10))*(MAX((LN(10^(逐级计算!$Q$93/10)-1)+逐级计算!$Q$93*(CO77-逐级计算!$P$93)*LN(10)/10),0)+LN(1+EXP(-ABS((LN(10^(逐级计算!$Q$93/10)-1)+逐级计算!$Q$93*(CO77-逐级计算!$P$93)*LN(10)/10))))))),"")</f>
        <v>13.7930365742089</v>
      </c>
      <c r="CQ77">
        <f>IF(AND(ISNUMBER(CP77),逐级计算!$X$94&gt;-1),IF(逐级计算!$X$94=0,CP77+逐级计算!$C$94,CP77+逐级计算!$C$94-(10/(逐级计算!$Q$94*LN(10))*(MAX((LN(10^(逐级计算!$Q$94/10)-1)+逐级计算!$Q$94*(CP77-逐级计算!$P$94)*LN(10)/10),0)+LN(1+EXP(-ABS((LN(10^(逐级计算!$Q$94/10)-1)+逐级计算!$Q$94*(CP77-逐级计算!$P$94)*LN(10)/10))))))),"")</f>
        <v>13.7930365742089</v>
      </c>
      <c r="CR77">
        <f>IF(AND(ISNUMBER(CQ77),逐级计算!$X$95&gt;-1),IF(逐级计算!$X$95=0,CQ77+逐级计算!$C$95,CQ77+逐级计算!$C$95-(10/(逐级计算!$Q$95*LN(10))*(MAX((LN(10^(逐级计算!$Q$95/10)-1)+逐级计算!$Q$95*(CQ77-逐级计算!$P$95)*LN(10)/10),0)+LN(1+EXP(-ABS((LN(10^(逐级计算!$Q$95/10)-1)+逐级计算!$Q$95*(CQ77-逐级计算!$P$95)*LN(10)/10))))))),"")</f>
        <v>13.7930365742089</v>
      </c>
      <c r="CS77">
        <f>IF(AND(ISNUMBER(CR77),逐级计算!$X$96&gt;-1),IF(逐级计算!$X$96=0,CR77+逐级计算!$C$96,CR77+逐级计算!$C$96-(10/(逐级计算!$Q$96*LN(10))*(MAX((LN(10^(逐级计算!$Q$96/10)-1)+逐级计算!$Q$96*(CR77-逐级计算!$P$96)*LN(10)/10),0)+LN(1+EXP(-ABS((LN(10^(逐级计算!$Q$96/10)-1)+逐级计算!$Q$96*(CR77-逐级计算!$P$96)*LN(10)/10))))))),"")</f>
        <v>13.7930365742089</v>
      </c>
      <c r="CT77">
        <f>IF(AND(ISNUMBER(CS77),逐级计算!$X$97&gt;-1),IF(逐级计算!$X$97=0,CS77+逐级计算!$C$97,CS77+逐级计算!$C$97-(10/(逐级计算!$Q$97*LN(10))*(MAX((LN(10^(逐级计算!$Q$97/10)-1)+逐级计算!$Q$97*(CS77-逐级计算!$P$97)*LN(10)/10),0)+LN(1+EXP(-ABS((LN(10^(逐级计算!$Q$97/10)-1)+逐级计算!$Q$97*(CS77-逐级计算!$P$97)*LN(10)/10))))))),"")</f>
        <v>13.7930365742089</v>
      </c>
      <c r="CU77">
        <f>IF(AND(ISNUMBER(CT77),逐级计算!$X$98&gt;-1),IF(逐级计算!$X$98=0,CT77+逐级计算!$C$98,CT77+逐级计算!$C$98-(10/(逐级计算!$Q$98*LN(10))*(MAX((LN(10^(逐级计算!$Q$98/10)-1)+逐级计算!$Q$98*(CT77-逐级计算!$P$98)*LN(10)/10),0)+LN(1+EXP(-ABS((LN(10^(逐级计算!$Q$98/10)-1)+逐级计算!$Q$98*(CT77-逐级计算!$P$98)*LN(10)/10))))))),"")</f>
        <v>13.7930365742089</v>
      </c>
      <c r="CV77">
        <f>IF(AND(ISNUMBER(CU77),逐级计算!$X$99&gt;-1),IF(逐级计算!$X$99=0,CU77+逐级计算!$C$99,CU77+逐级计算!$C$99-(10/(逐级计算!$Q$99*LN(10))*(MAX((LN(10^(逐级计算!$Q$99/10)-1)+逐级计算!$Q$99*(CU77-逐级计算!$P$99)*LN(10)/10),0)+LN(1+EXP(-ABS((LN(10^(逐级计算!$Q$99/10)-1)+逐级计算!$Q$99*(CU77-逐级计算!$P$99)*LN(10)/10))))))),"")</f>
        <v>13.7930365742089</v>
      </c>
      <c r="CW77">
        <f>IF(AND(ISNUMBER(CV77),逐级计算!$X$100&gt;-1),IF(逐级计算!$X$100=0,CV77+逐级计算!$C$100,CV77+逐级计算!$C$100-(10/(逐级计算!$Q$100*LN(10))*(MAX((LN(10^(逐级计算!$Q$100/10)-1)+逐级计算!$Q$100*(CV77-逐级计算!$P$100)*LN(10)/10),0)+LN(1+EXP(-ABS((LN(10^(逐级计算!$Q$100/10)-1)+逐级计算!$Q$100*(CV77-逐级计算!$P$100)*LN(10)/10))))))),"")</f>
        <v>13.7930365742089</v>
      </c>
      <c r="CX77">
        <f>IF(AND(ISNUMBER(CW77),逐级计算!$X$101&gt;-1),IF(逐级计算!$X$101=0,CW77+逐级计算!$C$101,CW77+逐级计算!$C$101-(10/(逐级计算!$Q$101*LN(10))*(MAX((LN(10^(逐级计算!$Q$101/10)-1)+逐级计算!$Q$101*(CW77-逐级计算!$P$101)*LN(10)/10),0)+LN(1+EXP(-ABS((LN(10^(逐级计算!$Q$101/10)-1)+逐级计算!$Q$101*(CW77-逐级计算!$P$101)*LN(10)/10))))))),"")</f>
        <v>13.7930365742089</v>
      </c>
      <c r="CY77">
        <f>IF(AND(ISNUMBER(CX77),逐级计算!$X$102&gt;-1),IF(逐级计算!$X$102=0,CX77+逐级计算!$C$102,CX77+逐级计算!$C$102-(10/(逐级计算!$Q$102*LN(10))*(MAX((LN(10^(逐级计算!$Q$102/10)-1)+逐级计算!$Q$102*(CX77-逐级计算!$P$102)*LN(10)/10),0)+LN(1+EXP(-ABS((LN(10^(逐级计算!$Q$102/10)-1)+逐级计算!$Q$102*(CX77-逐级计算!$P$102)*LN(10)/10))))))),"")</f>
        <v>13.7930365742089</v>
      </c>
      <c r="CZ77">
        <f>IF(AND(ISNUMBER(CY77),逐级计算!$X$103&gt;-1),IF(逐级计算!$X$103=0,CY77+逐级计算!$C$103,CY77+逐级计算!$C$103-(10/(逐级计算!$Q$103*LN(10))*(MAX((LN(10^(逐级计算!$Q$103/10)-1)+逐级计算!$Q$103*(CY77-逐级计算!$P$103)*LN(10)/10),0)+LN(1+EXP(-ABS((LN(10^(逐级计算!$Q$103/10)-1)+逐级计算!$Q$103*(CY77-逐级计算!$P$103)*LN(10)/10))))))),"")</f>
        <v>13.7930365742089</v>
      </c>
      <c r="DA77">
        <f>IF(AND(ISNUMBER(CZ77),逐级计算!$X$104&gt;-1),IF(逐级计算!$X$104=0,CZ77+逐级计算!$C$104,CZ77+逐级计算!$C$104-(10/(逐级计算!$Q$104*LN(10))*(MAX((LN(10^(逐级计算!$Q$104/10)-1)+逐级计算!$Q$104*(CZ77-逐级计算!$P$104)*LN(10)/10),0)+LN(1+EXP(-ABS((LN(10^(逐级计算!$Q$104/10)-1)+逐级计算!$Q$104*(CZ77-逐级计算!$P$104)*LN(10)/10))))))),"")</f>
        <v>13.7930365742089</v>
      </c>
      <c r="DB77">
        <f>IF(AND(ISNUMBER(DA77),逐级计算!$X$105&gt;-1),IF(逐级计算!$X$105=0,DA77+逐级计算!$C$105,DA77+逐级计算!$C$105-(10/(逐级计算!$Q$105*LN(10))*(MAX((LN(10^(逐级计算!$Q$105/10)-1)+逐级计算!$Q$105*(DA77-逐级计算!$P$105)*LN(10)/10),0)+LN(1+EXP(-ABS((LN(10^(逐级计算!$Q$105/10)-1)+逐级计算!$Q$105*(DA77-逐级计算!$P$105)*LN(10)/10))))))),"")</f>
        <v>13.7930365742089</v>
      </c>
      <c r="DC77">
        <f>IF(AND(ISNUMBER(DB77),逐级计算!$X$106&gt;-1),IF(逐级计算!$X$106=0,DB77+逐级计算!$C$106,DB77+逐级计算!$C$106-(10/(逐级计算!$Q$106*LN(10))*(MAX((LN(10^(逐级计算!$Q$106/10)-1)+逐级计算!$Q$106*(DB77-逐级计算!$P$106)*LN(10)/10),0)+LN(1+EXP(-ABS((LN(10^(逐级计算!$Q$106/10)-1)+逐级计算!$Q$106*(DB77-逐级计算!$P$106)*LN(10)/10))))))),"")</f>
        <v>13.7930365742089</v>
      </c>
      <c r="DD77">
        <f>IF(AND(ISNUMBER(DC77),逐级计算!$X$107&gt;-1),IF(逐级计算!$X$107=0,DC77+逐级计算!$C$107,DC77+逐级计算!$C$107-(10/(逐级计算!$Q$107*LN(10))*(MAX((LN(10^(逐级计算!$Q$107/10)-1)+逐级计算!$Q$107*(DC77-逐级计算!$P$107)*LN(10)/10),0)+LN(1+EXP(-ABS((LN(10^(逐级计算!$Q$107/10)-1)+逐级计算!$Q$107*(DC77-逐级计算!$P$107)*LN(10)/10))))))),"")</f>
        <v>13.7930365742089</v>
      </c>
      <c r="DE77">
        <f>IF(AND(ISNUMBER(DD77),逐级计算!$X$108&gt;-1),IF(逐级计算!$X$108=0,DD77+逐级计算!$C$108,DD77+逐级计算!$C$108-(10/(逐级计算!$Q$108*LN(10))*(MAX((LN(10^(逐级计算!$Q$108/10)-1)+逐级计算!$Q$108*(DD77-逐级计算!$P$108)*LN(10)/10),0)+LN(1+EXP(-ABS((LN(10^(逐级计算!$Q$108/10)-1)+逐级计算!$Q$108*(DD77-逐级计算!$P$108)*LN(10)/10))))))),"")</f>
        <v>13.7930365742089</v>
      </c>
      <c r="DF77">
        <f>IF(AND(ISNUMBER(DE77),逐级计算!$X$109&gt;-1),IF(逐级计算!$X$109=0,DE77+逐级计算!$C$109,DE77+逐级计算!$C$109-(10/(逐级计算!$Q$109*LN(10))*(MAX((LN(10^(逐级计算!$Q$109/10)-1)+逐级计算!$Q$109*(DE77-逐级计算!$P$109)*LN(10)/10),0)+LN(1+EXP(-ABS((LN(10^(逐级计算!$Q$109/10)-1)+逐级计算!$Q$109*(DE77-逐级计算!$P$109)*LN(10)/10))))))),"")</f>
        <v>13.7930365742089</v>
      </c>
      <c r="DG77">
        <f>IF(AND(ISNUMBER(DF77),逐级计算!$X$110&gt;-1),IF(逐级计算!$X$110=0,DF77+逐级计算!$C$110,DF77+逐级计算!$C$110-(10/(逐级计算!$Q$110*LN(10))*(MAX((LN(10^(逐级计算!$Q$110/10)-1)+逐级计算!$Q$110*(DF77-逐级计算!$P$110)*LN(10)/10),0)+LN(1+EXP(-ABS((LN(10^(逐级计算!$Q$110/10)-1)+逐级计算!$Q$110*(DF77-逐级计算!$P$110)*LN(10)/10))))))),"")</f>
        <v>13.7930365742089</v>
      </c>
      <c r="DH77">
        <f>IF(AND(ISNUMBER(DG77),逐级计算!$X$111&gt;-1),IF(逐级计算!$X$111=0,DG77+逐级计算!$C$111,DG77+逐级计算!$C$111-(10/(逐级计算!$Q$111*LN(10))*(MAX((LN(10^(逐级计算!$Q$111/10)-1)+逐级计算!$Q$111*(DG77-逐级计算!$P$111)*LN(10)/10),0)+LN(1+EXP(-ABS((LN(10^(逐级计算!$Q$111/10)-1)+逐级计算!$Q$111*(DG77-逐级计算!$P$111)*LN(10)/10))))))),"")</f>
        <v>13.7930365742089</v>
      </c>
      <c r="DI77">
        <f>IF(AND(ISNUMBER(DH77),逐级计算!$X$112&gt;-1),IF(逐级计算!$X$112=0,DH77+逐级计算!$C$112,DH77+逐级计算!$C$112-(10/(逐级计算!$Q$112*LN(10))*(MAX((LN(10^(逐级计算!$Q$112/10)-1)+逐级计算!$Q$112*(DH77-逐级计算!$P$112)*LN(10)/10),0)+LN(1+EXP(-ABS((LN(10^(逐级计算!$Q$112/10)-1)+逐级计算!$Q$112*(DH77-逐级计算!$P$112)*LN(10)/10))))))),"")</f>
        <v>13.7930365742089</v>
      </c>
      <c r="DJ77">
        <f>IF(AND(ISNUMBER(DI77),逐级计算!$X$113&gt;-1),IF(逐级计算!$X$113=0,DI77+逐级计算!$C$113,DI77+逐级计算!$C$113-(10/(逐级计算!$Q$113*LN(10))*(MAX((LN(10^(逐级计算!$Q$113/10)-1)+逐级计算!$Q$113*(DI77-逐级计算!$P$113)*LN(10)/10),0)+LN(1+EXP(-ABS((LN(10^(逐级计算!$Q$113/10)-1)+逐级计算!$Q$113*(DI77-逐级计算!$P$113)*LN(10)/10))))))),"")</f>
        <v>13.7930365742089</v>
      </c>
      <c r="DK77">
        <f>IF(AND(ISNUMBER(DJ77),逐级计算!$X$114&gt;-1),IF(逐级计算!$X$114=0,DJ77+逐级计算!$C$114,DJ77+逐级计算!$C$114-(10/(逐级计算!$Q$114*LN(10))*(MAX((LN(10^(逐级计算!$Q$114/10)-1)+逐级计算!$Q$114*(DJ77-逐级计算!$P$114)*LN(10)/10),0)+LN(1+EXP(-ABS((LN(10^(逐级计算!$Q$114/10)-1)+逐级计算!$Q$114*(DJ77-逐级计算!$P$114)*LN(10)/10))))))),"")</f>
        <v>13.7930365742089</v>
      </c>
      <c r="DL77">
        <f>IF(AND(ISNUMBER(DK77),逐级计算!$X$115&gt;-1),IF(逐级计算!$X$115=0,DK77+逐级计算!$C$115,DK77+逐级计算!$C$115-(10/(逐级计算!$Q$115*LN(10))*(MAX((LN(10^(逐级计算!$Q$115/10)-1)+逐级计算!$Q$115*(DK77-逐级计算!$P$115)*LN(10)/10),0)+LN(1+EXP(-ABS((LN(10^(逐级计算!$Q$115/10)-1)+逐级计算!$Q$115*(DK77-逐级计算!$P$115)*LN(10)/10))))))),"")</f>
        <v>13.7930365742089</v>
      </c>
      <c r="DM77">
        <f>IF(AND(ISNUMBER(DL77),逐级计算!$X$116&gt;-1),IF(逐级计算!$X$116=0,DL77+逐级计算!$C$116,DL77+逐级计算!$C$116-(10/(逐级计算!$Q$116*LN(10))*(MAX((LN(10^(逐级计算!$Q$116/10)-1)+逐级计算!$Q$116*(DL77-逐级计算!$P$116)*LN(10)/10),0)+LN(1+EXP(-ABS((LN(10^(逐级计算!$Q$116/10)-1)+逐级计算!$Q$116*(DL77-逐级计算!$P$116)*LN(10)/10))))))),"")</f>
        <v>13.7930365742089</v>
      </c>
      <c r="DN77">
        <f>IF(AND(ISNUMBER(DM77),逐级计算!$X$117&gt;-1),IF(逐级计算!$X$117=0,DM77+逐级计算!$C$117,DM77+逐级计算!$C$117-(10/(逐级计算!$Q$117*LN(10))*(MAX((LN(10^(逐级计算!$Q$117/10)-1)+逐级计算!$Q$117*(DM77-逐级计算!$P$117)*LN(10)/10),0)+LN(1+EXP(-ABS((LN(10^(逐级计算!$Q$117/10)-1)+逐级计算!$Q$117*(DM77-逐级计算!$P$117)*LN(10)/10))))))),"")</f>
        <v>13.7930365742089</v>
      </c>
      <c r="DO77">
        <f>IF(AND(ISNUMBER(DN77),逐级计算!$X$118&gt;-1),IF(逐级计算!$X$118=0,DN77+逐级计算!$C$118,DN77+逐级计算!$C$118-(10/(逐级计算!$Q$118*LN(10))*(MAX((LN(10^(逐级计算!$Q$118/10)-1)+逐级计算!$Q$118*(DN77-逐级计算!$P$118)*LN(10)/10),0)+LN(1+EXP(-ABS((LN(10^(逐级计算!$Q$118/10)-1)+逐级计算!$Q$118*(DN77-逐级计算!$P$118)*LN(10)/10))))))),"")</f>
        <v>13.7930365742089</v>
      </c>
      <c r="DP77">
        <f>IF(AND(ISNUMBER(DO77),逐级计算!$X$119&gt;-1),IF(逐级计算!$X$119=0,DO77+逐级计算!$C$119,DO77+逐级计算!$C$119-(10/(逐级计算!$Q$119*LN(10))*(MAX((LN(10^(逐级计算!$Q$119/10)-1)+逐级计算!$Q$119*(DO77-逐级计算!$P$119)*LN(10)/10),0)+LN(1+EXP(-ABS((LN(10^(逐级计算!$Q$119/10)-1)+逐级计算!$Q$119*(DO77-逐级计算!$P$119)*LN(10)/10))))))),"")</f>
        <v>13.7930365742089</v>
      </c>
      <c r="DQ77">
        <f>IF(AND(ISNUMBER(DP77),逐级计算!$X$120&gt;-1),IF(逐级计算!$X$120=0,DP77+逐级计算!$C$120,DP77+逐级计算!$C$120-(10/(逐级计算!$Q$120*LN(10))*(MAX((LN(10^(逐级计算!$Q$120/10)-1)+逐级计算!$Q$120*(DP77-逐级计算!$P$120)*LN(10)/10),0)+LN(1+EXP(-ABS((LN(10^(逐级计算!$Q$120/10)-1)+逐级计算!$Q$120*(DP77-逐级计算!$P$120)*LN(10)/10))))))),"")</f>
        <v>13.7930365742089</v>
      </c>
      <c r="DR77">
        <f>IF(AND(ISNUMBER(DQ77),逐级计算!$X$121&gt;-1),IF(逐级计算!$X$121=0,DQ77+逐级计算!$C$121,DQ77+逐级计算!$C$121-(10/(逐级计算!$Q$121*LN(10))*(MAX((LN(10^(逐级计算!$Q$121/10)-1)+逐级计算!$Q$121*(DQ77-逐级计算!$P$121)*LN(10)/10),0)+LN(1+EXP(-ABS((LN(10^(逐级计算!$Q$121/10)-1)+逐级计算!$Q$121*(DQ77-逐级计算!$P$121)*LN(10)/10))))))),"")</f>
        <v>13.7930365742089</v>
      </c>
      <c r="DS77">
        <f>IF(AND(ISNUMBER(DR77),逐级计算!$X$122&gt;-1),IF(逐级计算!$X$122=0,DR77+逐级计算!$C$122,DR77+逐级计算!$C$122-(10/(逐级计算!$Q$122*LN(10))*(MAX((LN(10^(逐级计算!$Q$122/10)-1)+逐级计算!$Q$122*(DR77-逐级计算!$P$122)*LN(10)/10),0)+LN(1+EXP(-ABS((LN(10^(逐级计算!$Q$122/10)-1)+逐级计算!$Q$122*(DR77-逐级计算!$P$122)*LN(10)/10))))))),"")</f>
        <v>13.7930365742089</v>
      </c>
      <c r="DT77">
        <f>IF(AND(ISNUMBER(DS77),逐级计算!$X$123&gt;-1),IF(逐级计算!$X$123=0,DS77+逐级计算!$C$123,DS77+逐级计算!$C$123-(10/(逐级计算!$Q$123*LN(10))*(MAX((LN(10^(逐级计算!$Q$123/10)-1)+逐级计算!$Q$123*(DS77-逐级计算!$P$123)*LN(10)/10),0)+LN(1+EXP(-ABS((LN(10^(逐级计算!$Q$123/10)-1)+逐级计算!$Q$123*(DS77-逐级计算!$P$123)*LN(10)/10))))))),"")</f>
        <v>13.7930365742089</v>
      </c>
      <c r="DU77">
        <f>IF(AND(ISNUMBER(DT77),逐级计算!$X$124&gt;-1),IF(逐级计算!$X$124=0,DT77+逐级计算!$C$124,DT77+逐级计算!$C$124-(10/(逐级计算!$Q$124*LN(10))*(MAX((LN(10^(逐级计算!$Q$124/10)-1)+逐级计算!$Q$124*(DT77-逐级计算!$P$124)*LN(10)/10),0)+LN(1+EXP(-ABS((LN(10^(逐级计算!$Q$124/10)-1)+逐级计算!$Q$124*(DT77-逐级计算!$P$124)*LN(10)/10))))))),"")</f>
        <v>13.7930365742089</v>
      </c>
      <c r="DV77">
        <f>IF(AND(ISNUMBER(DU77),逐级计算!$X$125&gt;-1),IF(逐级计算!$X$125=0,DU77+逐级计算!$C$125,DU77+逐级计算!$C$125-(10/(逐级计算!$Q$125*LN(10))*(MAX((LN(10^(逐级计算!$Q$125/10)-1)+逐级计算!$Q$125*(DU77-逐级计算!$P$125)*LN(10)/10),0)+LN(1+EXP(-ABS((LN(10^(逐级计算!$Q$125/10)-1)+逐级计算!$Q$125*(DU77-逐级计算!$P$125)*LN(10)/10))))))),"")</f>
        <v>13.7930365742089</v>
      </c>
      <c r="DW77">
        <f>IF(AND(ISNUMBER(DV77),逐级计算!$X$126&gt;-1),IF(逐级计算!$X$126=0,DV77+逐级计算!$C$126,DV77+逐级计算!$C$126-(10/(逐级计算!$Q$126*LN(10))*(MAX((LN(10^(逐级计算!$Q$126/10)-1)+逐级计算!$Q$126*(DV77-逐级计算!$P$126)*LN(10)/10),0)+LN(1+EXP(-ABS((LN(10^(逐级计算!$Q$126/10)-1)+逐级计算!$Q$126*(DV77-逐级计算!$P$126)*LN(10)/10))))))),"")</f>
        <v>13.7930365742089</v>
      </c>
      <c r="DX77">
        <f>IF(AND(ISNUMBER(DW77),逐级计算!$X$127&gt;-1),IF(逐级计算!$X$127=0,DW77+逐级计算!$C$127,DW77+逐级计算!$C$127-(10/(逐级计算!$Q$127*LN(10))*(MAX((LN(10^(逐级计算!$Q$127/10)-1)+逐级计算!$Q$127*(DW77-逐级计算!$P$127)*LN(10)/10),0)+LN(1+EXP(-ABS((LN(10^(逐级计算!$Q$127/10)-1)+逐级计算!$Q$127*(DW77-逐级计算!$P$127)*LN(10)/10))))))),"")</f>
        <v>13.7930365742089</v>
      </c>
      <c r="DY77">
        <f>IF(AND(ISNUMBER(DX77),逐级计算!$X$128&gt;-1),IF(逐级计算!$X$128=0,DX77+逐级计算!$C$128,DX77+逐级计算!$C$128-(10/(逐级计算!$Q$128*LN(10))*(MAX((LN(10^(逐级计算!$Q$128/10)-1)+逐级计算!$Q$128*(DX77-逐级计算!$P$128)*LN(10)/10),0)+LN(1+EXP(-ABS((LN(10^(逐级计算!$Q$128/10)-1)+逐级计算!$Q$128*(DX77-逐级计算!$P$128)*LN(10)/10))))))),"")</f>
        <v>13.7930365742089</v>
      </c>
      <c r="DZ77">
        <f>IF(AND(ISNUMBER(DY77),逐级计算!$X$129&gt;-1),IF(逐级计算!$X$129=0,DY77+逐级计算!$C$129,DY77+逐级计算!$C$129-(10/(逐级计算!$Q$129*LN(10))*(MAX((LN(10^(逐级计算!$Q$129/10)-1)+逐级计算!$Q$129*(DY77-逐级计算!$P$129)*LN(10)/10),0)+LN(1+EXP(-ABS((LN(10^(逐级计算!$Q$129/10)-1)+逐级计算!$Q$129*(DY77-逐级计算!$P$129)*LN(10)/10))))))),"")</f>
        <v>13.7930365742089</v>
      </c>
      <c r="EA77">
        <f>IF(AND(ISNUMBER(DZ77),逐级计算!$X$130&gt;-1),IF(逐级计算!$X$130=0,DZ77+逐级计算!$C$130,DZ77+逐级计算!$C$130-(10/(逐级计算!$Q$130*LN(10))*(MAX((LN(10^(逐级计算!$Q$130/10)-1)+逐级计算!$Q$130*(DZ77-逐级计算!$P$130)*LN(10)/10),0)+LN(1+EXP(-ABS((LN(10^(逐级计算!$Q$130/10)-1)+逐级计算!$Q$130*(DZ77-逐级计算!$P$130)*LN(10)/10))))))),"")</f>
        <v>13.7930365742089</v>
      </c>
      <c r="EB77">
        <f>IF(AND(ISNUMBER(EA77),逐级计算!$X$131&gt;-1),IF(逐级计算!$X$131=0,EA77+逐级计算!$C$131,EA77+逐级计算!$C$131-(10/(逐级计算!$Q$131*LN(10))*(MAX((LN(10^(逐级计算!$Q$131/10)-1)+逐级计算!$Q$131*(EA77-逐级计算!$P$131)*LN(10)/10),0)+LN(1+EXP(-ABS((LN(10^(逐级计算!$Q$131/10)-1)+逐级计算!$Q$131*(EA77-逐级计算!$P$131)*LN(10)/10))))))),"")</f>
        <v>13.7930365742089</v>
      </c>
      <c r="EC77">
        <f>IF(AND(ISNUMBER(EB77),逐级计算!$X$132&gt;-1),IF(逐级计算!$X$132=0,EB77+逐级计算!$C$132,EB77+逐级计算!$C$132-(10/(逐级计算!$Q$132*LN(10))*(MAX((LN(10^(逐级计算!$Q$132/10)-1)+逐级计算!$Q$132*(EB77-逐级计算!$P$132)*LN(10)/10),0)+LN(1+EXP(-ABS((LN(10^(逐级计算!$Q$132/10)-1)+逐级计算!$Q$132*(EB77-逐级计算!$P$132)*LN(10)/10))))))),"")</f>
        <v>13.7930365742089</v>
      </c>
      <c r="ED77">
        <f>IF(AND(ISNUMBER(EC77),逐级计算!$X$133&gt;-1),IF(逐级计算!$X$133=0,EC77+逐级计算!$C$133,EC77+逐级计算!$C$133-(10/(逐级计算!$Q$133*LN(10))*(MAX((LN(10^(逐级计算!$Q$133/10)-1)+逐级计算!$Q$133*(EC77-逐级计算!$P$133)*LN(10)/10),0)+LN(1+EXP(-ABS((LN(10^(逐级计算!$Q$133/10)-1)+逐级计算!$Q$133*(EC77-逐级计算!$P$133)*LN(10)/10))))))),"")</f>
        <v>13.7930365742089</v>
      </c>
      <c r="EE77">
        <f>IF(AND(ISNUMBER(ED77),逐级计算!$X$134&gt;-1),IF(逐级计算!$X$134=0,ED77+逐级计算!$C$134,ED77+逐级计算!$C$134-(10/(逐级计算!$Q$134*LN(10))*(MAX((LN(10^(逐级计算!$Q$134/10)-1)+逐级计算!$Q$134*(ED77-逐级计算!$P$134)*LN(10)/10),0)+LN(1+EXP(-ABS((LN(10^(逐级计算!$Q$134/10)-1)+逐级计算!$Q$134*(ED77-逐级计算!$P$134)*LN(10)/10))))))),"")</f>
        <v>13.7930365742089</v>
      </c>
      <c r="EF77">
        <f>IF(AND(ISNUMBER(EE77),逐级计算!$X$135&gt;-1),IF(逐级计算!$X$135=0,EE77+逐级计算!$C$135,EE77+逐级计算!$C$135-(10/(逐级计算!$Q$135*LN(10))*(MAX((LN(10^(逐级计算!$Q$135/10)-1)+逐级计算!$Q$135*(EE77-逐级计算!$P$135)*LN(10)/10),0)+LN(1+EXP(-ABS((LN(10^(逐级计算!$Q$135/10)-1)+逐级计算!$Q$135*(EE77-逐级计算!$P$135)*LN(10)/10))))))),"")</f>
        <v>13.7930365742089</v>
      </c>
      <c r="EG77">
        <f>IF(AND(ISNUMBER(EF77),逐级计算!$X$136&gt;-1),IF(逐级计算!$X$136=0,EF77+逐级计算!$C$136,EF77+逐级计算!$C$136-(10/(逐级计算!$Q$136*LN(10))*(MAX((LN(10^(逐级计算!$Q$136/10)-1)+逐级计算!$Q$136*(EF77-逐级计算!$P$136)*LN(10)/10),0)+LN(1+EXP(-ABS((LN(10^(逐级计算!$Q$136/10)-1)+逐级计算!$Q$136*(EF77-逐级计算!$P$136)*LN(10)/10))))))),"")</f>
        <v>13.7930365742089</v>
      </c>
      <c r="EH77">
        <f>IF(AND(ISNUMBER(EG77),逐级计算!$X$137&gt;-1),IF(逐级计算!$X$137=0,EG77+逐级计算!$C$137,EG77+逐级计算!$C$137-(10/(逐级计算!$Q$137*LN(10))*(MAX((LN(10^(逐级计算!$Q$137/10)-1)+逐级计算!$Q$137*(EG77-逐级计算!$P$137)*LN(10)/10),0)+LN(1+EXP(-ABS((LN(10^(逐级计算!$Q$137/10)-1)+逐级计算!$Q$137*(EG77-逐级计算!$P$137)*LN(10)/10))))))),"")</f>
        <v>13.7930365742089</v>
      </c>
      <c r="EI77">
        <f>IF(AND(ISNUMBER(EH77),逐级计算!$X$138&gt;-1),IF(逐级计算!$X$138=0,EH77+逐级计算!$C$138,EH77+逐级计算!$C$138-(10/(逐级计算!$Q$138*LN(10))*(MAX((LN(10^(逐级计算!$Q$138/10)-1)+逐级计算!$Q$138*(EH77-逐级计算!$P$138)*LN(10)/10),0)+LN(1+EXP(-ABS((LN(10^(逐级计算!$Q$138/10)-1)+逐级计算!$Q$138*(EH77-逐级计算!$P$138)*LN(10)/10))))))),"")</f>
        <v>13.7930365742089</v>
      </c>
      <c r="EJ77">
        <f>IF(AND(ISNUMBER(EI77),逐级计算!$X$139&gt;-1),IF(逐级计算!$X$139=0,EI77+逐级计算!$C$139,EI77+逐级计算!$C$139-(10/(逐级计算!$Q$139*LN(10))*(MAX((LN(10^(逐级计算!$Q$139/10)-1)+逐级计算!$Q$139*(EI77-逐级计算!$P$139)*LN(10)/10),0)+LN(1+EXP(-ABS((LN(10^(逐级计算!$Q$139/10)-1)+逐级计算!$Q$139*(EI77-逐级计算!$P$139)*LN(10)/10))))))),"")</f>
        <v>13.7930365742089</v>
      </c>
      <c r="EK77">
        <f>IF(AND(ISNUMBER(EJ77),逐级计算!$X$140&gt;-1),IF(逐级计算!$X$140=0,EJ77+逐级计算!$C$140,EJ77+逐级计算!$C$140-(10/(逐级计算!$Q$140*LN(10))*(MAX((LN(10^(逐级计算!$Q$140/10)-1)+逐级计算!$Q$140*(EJ77-逐级计算!$P$140)*LN(10)/10),0)+LN(1+EXP(-ABS((LN(10^(逐级计算!$Q$140/10)-1)+逐级计算!$Q$140*(EJ77-逐级计算!$P$140)*LN(10)/10))))))),"")</f>
        <v>13.7930365742089</v>
      </c>
      <c r="EL77">
        <f>IF(AND(ISNUMBER(EK77),逐级计算!$X$141&gt;-1),IF(逐级计算!$X$141=0,EK77+逐级计算!$C$141,EK77+逐级计算!$C$141-(10/(逐级计算!$Q$141*LN(10))*(MAX((LN(10^(逐级计算!$Q$141/10)-1)+逐级计算!$Q$141*(EK77-逐级计算!$P$141)*LN(10)/10),0)+LN(1+EXP(-ABS((LN(10^(逐级计算!$Q$141/10)-1)+逐级计算!$Q$141*(EK77-逐级计算!$P$141)*LN(10)/10))))))),"")</f>
        <v>13.7930365742089</v>
      </c>
      <c r="EM77">
        <f>IF(AND(ISNUMBER(EL77),逐级计算!$X$142&gt;-1),IF(逐级计算!$X$142=0,EL77+逐级计算!$C$142,EL77+逐级计算!$C$142-(10/(逐级计算!$Q$142*LN(10))*(MAX((LN(10^(逐级计算!$Q$142/10)-1)+逐级计算!$Q$142*(EL77-逐级计算!$P$142)*LN(10)/10),0)+LN(1+EXP(-ABS((LN(10^(逐级计算!$Q$142/10)-1)+逐级计算!$Q$142*(EL77-逐级计算!$P$142)*LN(10)/10))))))),"")</f>
        <v>13.7930365742089</v>
      </c>
      <c r="EN77">
        <f>IF(AND(ISNUMBER(EM77),逐级计算!$X$143&gt;-1),IF(逐级计算!$X$143=0,EM77+逐级计算!$C$143,EM77+逐级计算!$C$143-(10/(逐级计算!$Q$143*LN(10))*(MAX((LN(10^(逐级计算!$Q$143/10)-1)+逐级计算!$Q$143*(EM77-逐级计算!$P$143)*LN(10)/10),0)+LN(1+EXP(-ABS((LN(10^(逐级计算!$Q$143/10)-1)+逐级计算!$Q$143*(EM77-逐级计算!$P$143)*LN(10)/10))))))),"")</f>
        <v>13.7930365742089</v>
      </c>
      <c r="EO77">
        <f>IF(AND(ISNUMBER(EN77),逐级计算!$X$144&gt;-1),IF(逐级计算!$X$144=0,EN77+逐级计算!$C$144,EN77+逐级计算!$C$144-(10/(逐级计算!$Q$144*LN(10))*(MAX((LN(10^(逐级计算!$Q$144/10)-1)+逐级计算!$Q$144*(EN77-逐级计算!$P$144)*LN(10)/10),0)+LN(1+EXP(-ABS((LN(10^(逐级计算!$Q$144/10)-1)+逐级计算!$Q$144*(EN77-逐级计算!$P$144)*LN(10)/10))))))),"")</f>
        <v>13.7930365742089</v>
      </c>
      <c r="EP77">
        <f>IF(AND(ISNUMBER(EO77),逐级计算!$X$145&gt;-1),IF(逐级计算!$X$145=0,EO77+逐级计算!$C$145,EO77+逐级计算!$C$145-(10/(逐级计算!$Q$145*LN(10))*(MAX((LN(10^(逐级计算!$Q$145/10)-1)+逐级计算!$Q$145*(EO77-逐级计算!$P$145)*LN(10)/10),0)+LN(1+EXP(-ABS((LN(10^(逐级计算!$Q$145/10)-1)+逐级计算!$Q$145*(EO77-逐级计算!$P$145)*LN(10)/10))))))),"")</f>
        <v>13.7930365742089</v>
      </c>
      <c r="EQ77">
        <f>IF(AND(ISNUMBER(EP77),逐级计算!$X$146&gt;-1),IF(逐级计算!$X$146=0,EP77+逐级计算!$C$146,EP77+逐级计算!$C$146-(10/(逐级计算!$Q$146*LN(10))*(MAX((LN(10^(逐级计算!$Q$146/10)-1)+逐级计算!$Q$146*(EP77-逐级计算!$P$146)*LN(10)/10),0)+LN(1+EXP(-ABS((LN(10^(逐级计算!$Q$146/10)-1)+逐级计算!$Q$146*(EP77-逐级计算!$P$146)*LN(10)/10))))))),"")</f>
        <v>13.7930365742089</v>
      </c>
      <c r="ER77">
        <f>IF(AND(ISNUMBER(EQ77),逐级计算!$X$147&gt;-1),IF(逐级计算!$X$147=0,EQ77+逐级计算!$C$147,EQ77+逐级计算!$C$147-(10/(逐级计算!$Q$147*LN(10))*(MAX((LN(10^(逐级计算!$Q$147/10)-1)+逐级计算!$Q$147*(EQ77-逐级计算!$P$147)*LN(10)/10),0)+LN(1+EXP(-ABS((LN(10^(逐级计算!$Q$147/10)-1)+逐级计算!$Q$147*(EQ77-逐级计算!$P$147)*LN(10)/10))))))),"")</f>
        <v>13.7930365742089</v>
      </c>
      <c r="ES77">
        <f>IF(AND(ISNUMBER(ER77),逐级计算!$X$148&gt;-1),IF(逐级计算!$X$148=0,ER77+逐级计算!$C$148,ER77+逐级计算!$C$148-(10/(逐级计算!$Q$148*LN(10))*(MAX((LN(10^(逐级计算!$Q$148/10)-1)+逐级计算!$Q$148*(ER77-逐级计算!$P$148)*LN(10)/10),0)+LN(1+EXP(-ABS((LN(10^(逐级计算!$Q$148/10)-1)+逐级计算!$Q$148*(ER77-逐级计算!$P$148)*LN(10)/10))))))),"")</f>
        <v>13.7930365742089</v>
      </c>
      <c r="ET77">
        <f>IF(AND(ISNUMBER(ES77),逐级计算!$X$149&gt;-1),IF(逐级计算!$X$149=0,ES77+逐级计算!$C$149,ES77+逐级计算!$C$149-(10/(逐级计算!$Q$149*LN(10))*(MAX((LN(10^(逐级计算!$Q$149/10)-1)+逐级计算!$Q$149*(ES77-逐级计算!$P$149)*LN(10)/10),0)+LN(1+EXP(-ABS((LN(10^(逐级计算!$Q$149/10)-1)+逐级计算!$Q$149*(ES77-逐级计算!$P$149)*LN(10)/10))))))),"")</f>
        <v>13.7930365742089</v>
      </c>
      <c r="EU77">
        <f>IF(AND(ISNUMBER(ET77),逐级计算!$X$150&gt;-1),IF(逐级计算!$X$150=0,ET77+逐级计算!$C$150,ET77+逐级计算!$C$150-(10/(逐级计算!$Q$150*LN(10))*(MAX((LN(10^(逐级计算!$Q$150/10)-1)+逐级计算!$Q$150*(ET77-逐级计算!$P$150)*LN(10)/10),0)+LN(1+EXP(-ABS((LN(10^(逐级计算!$Q$150/10)-1)+逐级计算!$Q$150*(ET77-逐级计算!$P$150)*LN(10)/10))))))),"")</f>
        <v>13.7930365742089</v>
      </c>
      <c r="EV77">
        <f>IF(AND(ISNUMBER(EU77),逐级计算!$X$151&gt;-1),IF(逐级计算!$X$151=0,EU77+逐级计算!$C$151,EU77+逐级计算!$C$151-(10/(逐级计算!$Q$151*LN(10))*(MAX((LN(10^(逐级计算!$Q$151/10)-1)+逐级计算!$Q$151*(EU77-逐级计算!$P$151)*LN(10)/10),0)+LN(1+EXP(-ABS((LN(10^(逐级计算!$Q$151/10)-1)+逐级计算!$Q$151*(EU77-逐级计算!$P$151)*LN(10)/10))))))),"")</f>
        <v>13.7930365742089</v>
      </c>
      <c r="EW77">
        <f>IF(AND(ISNUMBER(EV77),逐级计算!$X$152&gt;-1),IF(逐级计算!$X$152=0,EV77+逐级计算!$C$152,EV77+逐级计算!$C$152-(10/(逐级计算!$Q$152*LN(10))*(MAX((LN(10^(逐级计算!$Q$152/10)-1)+逐级计算!$Q$152*(EV77-逐级计算!$P$152)*LN(10)/10),0)+LN(1+EXP(-ABS((LN(10^(逐级计算!$Q$152/10)-1)+逐级计算!$Q$152*(EV77-逐级计算!$P$152)*LN(10)/10))))))),"")</f>
        <v>13.7930365742089</v>
      </c>
      <c r="EX77">
        <f>IF(AND(ISNUMBER(EW77),逐级计算!$X$153&gt;-1),IF(逐级计算!$X$153=0,EW77+逐级计算!$C$153,EW77+逐级计算!$C$153-(10/(逐级计算!$Q$153*LN(10))*(MAX((LN(10^(逐级计算!$Q$153/10)-1)+逐级计算!$Q$153*(EW77-逐级计算!$P$153)*LN(10)/10),0)+LN(1+EXP(-ABS((LN(10^(逐级计算!$Q$153/10)-1)+逐级计算!$Q$153*(EW77-逐级计算!$P$153)*LN(10)/10))))))),"")</f>
        <v>13.7930365742089</v>
      </c>
      <c r="EY77">
        <f>IF(AND(ISNUMBER(EX77),逐级计算!$X$154&gt;-1),IF(逐级计算!$X$154=0,EX77+逐级计算!$C$154,EX77+逐级计算!$C$154-(10/(逐级计算!$Q$154*LN(10))*(MAX((LN(10^(逐级计算!$Q$154/10)-1)+逐级计算!$Q$154*(EX77-逐级计算!$P$154)*LN(10)/10),0)+LN(1+EXP(-ABS((LN(10^(逐级计算!$Q$154/10)-1)+逐级计算!$Q$154*(EX77-逐级计算!$P$154)*LN(10)/10))))))),"")</f>
        <v>13.7930365742089</v>
      </c>
      <c r="EZ77">
        <f>IF(AND(ISNUMBER(EY77),逐级计算!$X$155&gt;-1),IF(逐级计算!$X$155=0,EY77+逐级计算!$C$155,EY77+逐级计算!$C$155-(10/(逐级计算!$Q$155*LN(10))*(MAX((LN(10^(逐级计算!$Q$155/10)-1)+逐级计算!$Q$155*(EY77-逐级计算!$P$155)*LN(10)/10),0)+LN(1+EXP(-ABS((LN(10^(逐级计算!$Q$155/10)-1)+逐级计算!$Q$155*(EY77-逐级计算!$P$155)*LN(10)/10))))))),"")</f>
        <v>13.7930365742089</v>
      </c>
      <c r="FA77">
        <f>IF(AND(ISNUMBER(EZ77),逐级计算!$X$156&gt;-1),IF(逐级计算!$X$156=0,EZ77+逐级计算!$C$156,EZ77+逐级计算!$C$156-(10/(逐级计算!$Q$156*LN(10))*(MAX((LN(10^(逐级计算!$Q$156/10)-1)+逐级计算!$Q$156*(EZ77-逐级计算!$P$156)*LN(10)/10),0)+LN(1+EXP(-ABS((LN(10^(逐级计算!$Q$156/10)-1)+逐级计算!$Q$156*(EZ77-逐级计算!$P$156)*LN(10)/10))))))),"")</f>
        <v>13.7930365742089</v>
      </c>
      <c r="FB77">
        <f>IF(AND(ISNUMBER(FA77),逐级计算!$X$157&gt;-1),IF(逐级计算!$X$157=0,FA77+逐级计算!$C$157,FA77+逐级计算!$C$157-(10/(逐级计算!$Q$157*LN(10))*(MAX((LN(10^(逐级计算!$Q$157/10)-1)+逐级计算!$Q$157*(FA77-逐级计算!$P$157)*LN(10)/10),0)+LN(1+EXP(-ABS((LN(10^(逐级计算!$Q$157/10)-1)+逐级计算!$Q$157*(FA77-逐级计算!$P$157)*LN(10)/10))))))),"")</f>
        <v>13.7930365742089</v>
      </c>
      <c r="FC77">
        <f>IF(AND(ISNUMBER(FB77),逐级计算!$X$158&gt;-1),IF(逐级计算!$X$158=0,FB77+逐级计算!$C$158,FB77+逐级计算!$C$158-(10/(逐级计算!$Q$158*LN(10))*(MAX((LN(10^(逐级计算!$Q$158/10)-1)+逐级计算!$Q$158*(FB77-逐级计算!$P$158)*LN(10)/10),0)+LN(1+EXP(-ABS((LN(10^(逐级计算!$Q$158/10)-1)+逐级计算!$Q$158*(FB77-逐级计算!$P$158)*LN(10)/10))))))),"")</f>
        <v>13.7930365742089</v>
      </c>
      <c r="FD77">
        <f>IF(AND(ISNUMBER(FC77),逐级计算!$X$159&gt;-1),IF(逐级计算!$X$159=0,FC77+逐级计算!$C$159,FC77+逐级计算!$C$159-(10/(逐级计算!$Q$159*LN(10))*(MAX((LN(10^(逐级计算!$Q$159/10)-1)+逐级计算!$Q$159*(FC77-逐级计算!$P$159)*LN(10)/10),0)+LN(1+EXP(-ABS((LN(10^(逐级计算!$Q$159/10)-1)+逐级计算!$Q$159*(FC77-逐级计算!$P$159)*LN(10)/10))))))),"")</f>
        <v>13.7930365742089</v>
      </c>
      <c r="FE77">
        <f>IF(AND(ISNUMBER(FD77),逐级计算!$X$160&gt;-1),IF(逐级计算!$X$160=0,FD77+逐级计算!$C$160,FD77+逐级计算!$C$160-(10/(逐级计算!$Q$160*LN(10))*(MAX((LN(10^(逐级计算!$Q$160/10)-1)+逐级计算!$Q$160*(FD77-逐级计算!$P$160)*LN(10)/10),0)+LN(1+EXP(-ABS((LN(10^(逐级计算!$Q$160/10)-1)+逐级计算!$Q$160*(FD77-逐级计算!$P$160)*LN(10)/10))))))),"")</f>
        <v>13.7930365742089</v>
      </c>
      <c r="FF77">
        <f>IF(AND(ISNUMBER(FE77),逐级计算!$X$161&gt;-1),IF(逐级计算!$X$161=0,FE77+逐级计算!$C$161,FE77+逐级计算!$C$161-(10/(逐级计算!$Q$161*LN(10))*(MAX((LN(10^(逐级计算!$Q$161/10)-1)+逐级计算!$Q$161*(FE77-逐级计算!$P$161)*LN(10)/10),0)+LN(1+EXP(-ABS((LN(10^(逐级计算!$Q$161/10)-1)+逐级计算!$Q$161*(FE77-逐级计算!$P$161)*LN(10)/10))))))),"")</f>
        <v>13.7930365742089</v>
      </c>
      <c r="FG77">
        <f>IF(AND(ISNUMBER(FF77),逐级计算!$X$162&gt;-1),IF(逐级计算!$X$162=0,FF77+逐级计算!$C$162,FF77+逐级计算!$C$162-(10/(逐级计算!$Q$162*LN(10))*(MAX((LN(10^(逐级计算!$Q$162/10)-1)+逐级计算!$Q$162*(FF77-逐级计算!$P$162)*LN(10)/10),0)+LN(1+EXP(-ABS((LN(10^(逐级计算!$Q$162/10)-1)+逐级计算!$Q$162*(FF77-逐级计算!$P$162)*LN(10)/10))))))),"")</f>
        <v>13.7930365742089</v>
      </c>
      <c r="FH77">
        <f>IF(AND(ISNUMBER(FG77),逐级计算!$X$163&gt;-1),IF(逐级计算!$X$163=0,FG77+逐级计算!$C$163,FG77+逐级计算!$C$163-(10/(逐级计算!$Q$163*LN(10))*(MAX((LN(10^(逐级计算!$Q$163/10)-1)+逐级计算!$Q$163*(FG77-逐级计算!$P$163)*LN(10)/10),0)+LN(1+EXP(-ABS((LN(10^(逐级计算!$Q$163/10)-1)+逐级计算!$Q$163*(FG77-逐级计算!$P$163)*LN(10)/10))))))),"")</f>
        <v>13.7930365742089</v>
      </c>
      <c r="FI77">
        <f>IF(AND(ISNUMBER(FH77),逐级计算!$X$164&gt;-1),IF(逐级计算!$X$164=0,FH77+逐级计算!$C$164,FH77+逐级计算!$C$164-(10/(逐级计算!$Q$164*LN(10))*(MAX((LN(10^(逐级计算!$Q$164/10)-1)+逐级计算!$Q$164*(FH77-逐级计算!$P$164)*LN(10)/10),0)+LN(1+EXP(-ABS((LN(10^(逐级计算!$Q$164/10)-1)+逐级计算!$Q$164*(FH77-逐级计算!$P$164)*LN(10)/10))))))),"")</f>
        <v>13.7930365742089</v>
      </c>
      <c r="FJ77">
        <f>IF(AND(ISNUMBER(FI77),逐级计算!$X$165&gt;-1),IF(逐级计算!$X$165=0,FI77+逐级计算!$C$165,FI77+逐级计算!$C$165-(10/(逐级计算!$Q$165*LN(10))*(MAX((LN(10^(逐级计算!$Q$165/10)-1)+逐级计算!$Q$165*(FI77-逐级计算!$P$165)*LN(10)/10),0)+LN(1+EXP(-ABS((LN(10^(逐级计算!$Q$165/10)-1)+逐级计算!$Q$165*(FI77-逐级计算!$P$165)*LN(10)/10))))))),"")</f>
        <v>13.7930365742089</v>
      </c>
      <c r="FK77">
        <f>IF(AND(ISNUMBER(FJ77),逐级计算!$X$166&gt;-1),IF(逐级计算!$X$166=0,FJ77+逐级计算!$C$166,FJ77+逐级计算!$C$166-(10/(逐级计算!$Q$166*LN(10))*(MAX((LN(10^(逐级计算!$Q$166/10)-1)+逐级计算!$Q$166*(FJ77-逐级计算!$P$166)*LN(10)/10),0)+LN(1+EXP(-ABS((LN(10^(逐级计算!$Q$166/10)-1)+逐级计算!$Q$166*(FJ77-逐级计算!$P$166)*LN(10)/10))))))),"")</f>
        <v>13.7930365742089</v>
      </c>
      <c r="FL77">
        <f>IF(AND(ISNUMBER(FK77),逐级计算!$X$167&gt;-1),IF(逐级计算!$X$167=0,FK77+逐级计算!$C$167,FK77+逐级计算!$C$167-(10/(逐级计算!$Q$167*LN(10))*(MAX((LN(10^(逐级计算!$Q$167/10)-1)+逐级计算!$Q$167*(FK77-逐级计算!$P$167)*LN(10)/10),0)+LN(1+EXP(-ABS((LN(10^(逐级计算!$Q$167/10)-1)+逐级计算!$Q$167*(FK77-逐级计算!$P$167)*LN(10)/10))))))),"")</f>
        <v>13.7930365742089</v>
      </c>
      <c r="FM77">
        <f>IF(AND(ISNUMBER(FL77),逐级计算!$X$168&gt;-1),IF(逐级计算!$X$168=0,FL77+逐级计算!$C$168,FL77+逐级计算!$C$168-(10/(逐级计算!$Q$168*LN(10))*(MAX((LN(10^(逐级计算!$Q$168/10)-1)+逐级计算!$Q$168*(FL77-逐级计算!$P$168)*LN(10)/10),0)+LN(1+EXP(-ABS((LN(10^(逐级计算!$Q$168/10)-1)+逐级计算!$Q$168*(FL77-逐级计算!$P$168)*LN(10)/10))))))),"")</f>
        <v>13.7930365742089</v>
      </c>
      <c r="FN77">
        <f>IF(AND(ISNUMBER(FM77),逐级计算!$X$169&gt;-1),IF(逐级计算!$X$169=0,FM77+逐级计算!$C$169,FM77+逐级计算!$C$169-(10/(逐级计算!$Q$169*LN(10))*(MAX((LN(10^(逐级计算!$Q$169/10)-1)+逐级计算!$Q$169*(FM77-逐级计算!$P$169)*LN(10)/10),0)+LN(1+EXP(-ABS((LN(10^(逐级计算!$Q$169/10)-1)+逐级计算!$Q$169*(FM77-逐级计算!$P$169)*LN(10)/10))))))),"")</f>
        <v>13.7930365742089</v>
      </c>
      <c r="FO77">
        <f>IF(AND(ISNUMBER(FN77),逐级计算!$X$170&gt;-1),IF(逐级计算!$X$170=0,FN77+逐级计算!$C$170,FN77+逐级计算!$C$170-(10/(逐级计算!$Q$170*LN(10))*(MAX((LN(10^(逐级计算!$Q$170/10)-1)+逐级计算!$Q$170*(FN77-逐级计算!$P$170)*LN(10)/10),0)+LN(1+EXP(-ABS((LN(10^(逐级计算!$Q$170/10)-1)+逐级计算!$Q$170*(FN77-逐级计算!$P$170)*LN(10)/10))))))),"")</f>
        <v>13.7930365742089</v>
      </c>
      <c r="FP77">
        <f>IF(AND(ISNUMBER(FO77),逐级计算!$X$171&gt;-1),IF(逐级计算!$X$171=0,FO77+逐级计算!$C$171,FO77+逐级计算!$C$171-(10/(逐级计算!$Q$171*LN(10))*(MAX((LN(10^(逐级计算!$Q$171/10)-1)+逐级计算!$Q$171*(FO77-逐级计算!$P$171)*LN(10)/10),0)+LN(1+EXP(-ABS((LN(10^(逐级计算!$Q$171/10)-1)+逐级计算!$Q$171*(FO77-逐级计算!$P$171)*LN(10)/10))))))),"")</f>
        <v>13.7930365742089</v>
      </c>
      <c r="FQ77">
        <f>IF(AND(ISNUMBER(FP77),逐级计算!$X$172&gt;-1),IF(逐级计算!$X$172=0,FP77+逐级计算!$C$172,FP77+逐级计算!$C$172-(10/(逐级计算!$Q$172*LN(10))*(MAX((LN(10^(逐级计算!$Q$172/10)-1)+逐级计算!$Q$172*(FP77-逐级计算!$P$172)*LN(10)/10),0)+LN(1+EXP(-ABS((LN(10^(逐级计算!$Q$172/10)-1)+逐级计算!$Q$172*(FP77-逐级计算!$P$172)*LN(10)/10))))))),"")</f>
        <v>13.7930365742089</v>
      </c>
      <c r="FR77">
        <f>IF(AND(ISNUMBER(FQ77),逐级计算!$X$173&gt;-1),IF(逐级计算!$X$173=0,FQ77+逐级计算!$C$173,FQ77+逐级计算!$C$173-(10/(逐级计算!$Q$173*LN(10))*(MAX((LN(10^(逐级计算!$Q$173/10)-1)+逐级计算!$Q$173*(FQ77-逐级计算!$P$173)*LN(10)/10),0)+LN(1+EXP(-ABS((LN(10^(逐级计算!$Q$173/10)-1)+逐级计算!$Q$173*(FQ77-逐级计算!$P$173)*LN(10)/10))))))),"")</f>
        <v>13.7930365742089</v>
      </c>
      <c r="FS77">
        <f>IF(AND(ISNUMBER(FR77),逐级计算!$X$174&gt;-1),IF(逐级计算!$X$174=0,FR77+逐级计算!$C$174,FR77+逐级计算!$C$174-(10/(逐级计算!$Q$174*LN(10))*(MAX((LN(10^(逐级计算!$Q$174/10)-1)+逐级计算!$Q$174*(FR77-逐级计算!$P$174)*LN(10)/10),0)+LN(1+EXP(-ABS((LN(10^(逐级计算!$Q$174/10)-1)+逐级计算!$Q$174*(FR77-逐级计算!$P$174)*LN(10)/10))))))),"")</f>
        <v>13.7930365742089</v>
      </c>
      <c r="FT77">
        <f>IF(AND(ISNUMBER(FS77),逐级计算!$X$175&gt;-1),IF(逐级计算!$X$175=0,FS77+逐级计算!$C$175,FS77+逐级计算!$C$175-(10/(逐级计算!$Q$175*LN(10))*(MAX((LN(10^(逐级计算!$Q$175/10)-1)+逐级计算!$Q$175*(FS77-逐级计算!$P$175)*LN(10)/10),0)+LN(1+EXP(-ABS((LN(10^(逐级计算!$Q$175/10)-1)+逐级计算!$Q$175*(FS77-逐级计算!$P$175)*LN(10)/10))))))),"")</f>
        <v>13.7930365742089</v>
      </c>
      <c r="FU77">
        <f>IF(AND(ISNUMBER(FT77),逐级计算!$X$176&gt;-1),IF(逐级计算!$X$176=0,FT77+逐级计算!$C$176,FT77+逐级计算!$C$176-(10/(逐级计算!$Q$176*LN(10))*(MAX((LN(10^(逐级计算!$Q$176/10)-1)+逐级计算!$Q$176*(FT77-逐级计算!$P$176)*LN(10)/10),0)+LN(1+EXP(-ABS((LN(10^(逐级计算!$Q$176/10)-1)+逐级计算!$Q$176*(FT77-逐级计算!$P$176)*LN(10)/10))))))),"")</f>
        <v>13.7930365742089</v>
      </c>
      <c r="FV77">
        <f>IF(AND(ISNUMBER(FU77),逐级计算!$X$177&gt;-1),IF(逐级计算!$X$177=0,FU77+逐级计算!$C$177,FU77+逐级计算!$C$177-(10/(逐级计算!$Q$177*LN(10))*(MAX((LN(10^(逐级计算!$Q$177/10)-1)+逐级计算!$Q$177*(FU77-逐级计算!$P$177)*LN(10)/10),0)+LN(1+EXP(-ABS((LN(10^(逐级计算!$Q$177/10)-1)+逐级计算!$Q$177*(FU77-逐级计算!$P$177)*LN(10)/10))))))),"")</f>
        <v>13.7930365742089</v>
      </c>
      <c r="FW77">
        <f>IF(AND(ISNUMBER(FV77),逐级计算!$X$178&gt;-1),IF(逐级计算!$X$178=0,FV77+逐级计算!$C$178,FV77+逐级计算!$C$178-(10/(逐级计算!$Q$178*LN(10))*(MAX((LN(10^(逐级计算!$Q$178/10)-1)+逐级计算!$Q$178*(FV77-逐级计算!$P$178)*LN(10)/10),0)+LN(1+EXP(-ABS((LN(10^(逐级计算!$Q$178/10)-1)+逐级计算!$Q$178*(FV77-逐级计算!$P$178)*LN(10)/10))))))),"")</f>
        <v>13.7930365742089</v>
      </c>
      <c r="FX77">
        <f>IF(AND(ISNUMBER(FW77),逐级计算!$X$179&gt;-1),IF(逐级计算!$X$179=0,FW77+逐级计算!$C$179,FW77+逐级计算!$C$179-(10/(逐级计算!$Q$179*LN(10))*(MAX((LN(10^(逐级计算!$Q$179/10)-1)+逐级计算!$Q$179*(FW77-逐级计算!$P$179)*LN(10)/10),0)+LN(1+EXP(-ABS((LN(10^(逐级计算!$Q$179/10)-1)+逐级计算!$Q$179*(FW77-逐级计算!$P$179)*LN(10)/10))))))),"")</f>
        <v>13.7930365742089</v>
      </c>
      <c r="FY77">
        <f>IF(AND(ISNUMBER(FX77),逐级计算!$X$180&gt;-1),IF(逐级计算!$X$180=0,FX77+逐级计算!$C$180,FX77+逐级计算!$C$180-(10/(逐级计算!$Q$180*LN(10))*(MAX((LN(10^(逐级计算!$Q$180/10)-1)+逐级计算!$Q$180*(FX77-逐级计算!$P$180)*LN(10)/10),0)+LN(1+EXP(-ABS((LN(10^(逐级计算!$Q$180/10)-1)+逐级计算!$Q$180*(FX77-逐级计算!$P$180)*LN(10)/10))))))),"")</f>
        <v>13.7930365742089</v>
      </c>
      <c r="FZ77">
        <f>IF(AND(ISNUMBER(FY77),逐级计算!$X$181&gt;-1),IF(逐级计算!$X$181=0,FY77+逐级计算!$C$181,FY77+逐级计算!$C$181-(10/(逐级计算!$Q$181*LN(10))*(MAX((LN(10^(逐级计算!$Q$181/10)-1)+逐级计算!$Q$181*(FY77-逐级计算!$P$181)*LN(10)/10),0)+LN(1+EXP(-ABS((LN(10^(逐级计算!$Q$181/10)-1)+逐级计算!$Q$181*(FY77-逐级计算!$P$181)*LN(10)/10))))))),"")</f>
        <v>13.7930365742089</v>
      </c>
      <c r="GA77">
        <f>IF(AND(ISNUMBER(FZ77),逐级计算!$X$182&gt;-1),IF(逐级计算!$X$182=0,FZ77+逐级计算!$C$182,FZ77+逐级计算!$C$182-(10/(逐级计算!$Q$182*LN(10))*(MAX((LN(10^(逐级计算!$Q$182/10)-1)+逐级计算!$Q$182*(FZ77-逐级计算!$P$182)*LN(10)/10),0)+LN(1+EXP(-ABS((LN(10^(逐级计算!$Q$182/10)-1)+逐级计算!$Q$182*(FZ77-逐级计算!$P$182)*LN(10)/10))))))),"")</f>
        <v>13.7930365742089</v>
      </c>
      <c r="GB77">
        <f>IF(AND(ISNUMBER(GA77),逐级计算!$X$183&gt;-1),IF(逐级计算!$X$183=0,GA77+逐级计算!$C$183,GA77+逐级计算!$C$183-(10/(逐级计算!$Q$183*LN(10))*(MAX((LN(10^(逐级计算!$Q$183/10)-1)+逐级计算!$Q$183*(GA77-逐级计算!$P$183)*LN(10)/10),0)+LN(1+EXP(-ABS((LN(10^(逐级计算!$Q$183/10)-1)+逐级计算!$Q$183*(GA77-逐级计算!$P$183)*LN(10)/10))))))),"")</f>
        <v>13.7930365742089</v>
      </c>
      <c r="GC77">
        <f>IF(AND(ISNUMBER(GB77),逐级计算!$X$184&gt;-1),IF(逐级计算!$X$184=0,GB77+逐级计算!$C$184,GB77+逐级计算!$C$184-(10/(逐级计算!$Q$184*LN(10))*(MAX((LN(10^(逐级计算!$Q$184/10)-1)+逐级计算!$Q$184*(GB77-逐级计算!$P$184)*LN(10)/10),0)+LN(1+EXP(-ABS((LN(10^(逐级计算!$Q$184/10)-1)+逐级计算!$Q$184*(GB77-逐级计算!$P$184)*LN(10)/10))))))),"")</f>
        <v>13.7930365742089</v>
      </c>
      <c r="GD77">
        <f>IF(AND(ISNUMBER(GC77),逐级计算!$X$185&gt;-1),IF(逐级计算!$X$185=0,GC77+逐级计算!$C$185,GC77+逐级计算!$C$185-(10/(逐级计算!$Q$185*LN(10))*(MAX((LN(10^(逐级计算!$Q$185/10)-1)+逐级计算!$Q$185*(GC77-逐级计算!$P$185)*LN(10)/10),0)+LN(1+EXP(-ABS((LN(10^(逐级计算!$Q$185/10)-1)+逐级计算!$Q$185*(GC77-逐级计算!$P$185)*LN(10)/10))))))),"")</f>
        <v>13.7930365742089</v>
      </c>
      <c r="GE77">
        <f>IF(AND(ISNUMBER(GD77),逐级计算!$X$186&gt;-1),IF(逐级计算!$X$186=0,GD77+逐级计算!$C$186,GD77+逐级计算!$C$186-(10/(逐级计算!$Q$186*LN(10))*(MAX((LN(10^(逐级计算!$Q$186/10)-1)+逐级计算!$Q$186*(GD77-逐级计算!$P$186)*LN(10)/10),0)+LN(1+EXP(-ABS((LN(10^(逐级计算!$Q$186/10)-1)+逐级计算!$Q$186*(GD77-逐级计算!$P$186)*LN(10)/10))))))),"")</f>
        <v>13.7930365742089</v>
      </c>
      <c r="GF77">
        <f>IF(AND(ISNUMBER(GE77),逐级计算!$X$187&gt;-1),IF(逐级计算!$X$187=0,GE77+逐级计算!$C$187,GE77+逐级计算!$C$187-(10/(逐级计算!$Q$187*LN(10))*(MAX((LN(10^(逐级计算!$Q$187/10)-1)+逐级计算!$Q$187*(GE77-逐级计算!$P$187)*LN(10)/10),0)+LN(1+EXP(-ABS((LN(10^(逐级计算!$Q$187/10)-1)+逐级计算!$Q$187*(GE77-逐级计算!$P$187)*LN(10)/10))))))),"")</f>
        <v>13.7930365742089</v>
      </c>
      <c r="GG77">
        <f>IF(AND(ISNUMBER(GF77),逐级计算!$X$188&gt;-1),IF(逐级计算!$X$188=0,GF77+逐级计算!$C$188,GF77+逐级计算!$C$188-(10/(逐级计算!$Q$188*LN(10))*(MAX((LN(10^(逐级计算!$Q$188/10)-1)+逐级计算!$Q$188*(GF77-逐级计算!$P$188)*LN(10)/10),0)+LN(1+EXP(-ABS((LN(10^(逐级计算!$Q$188/10)-1)+逐级计算!$Q$188*(GF77-逐级计算!$P$188)*LN(10)/10))))))),"")</f>
        <v>13.7930365742089</v>
      </c>
      <c r="GH77">
        <f>IF(AND(ISNUMBER(GG77),逐级计算!$X$189&gt;-1),IF(逐级计算!$X$189=0,GG77+逐级计算!$C$189,GG77+逐级计算!$C$189-(10/(逐级计算!$Q$189*LN(10))*(MAX((LN(10^(逐级计算!$Q$189/10)-1)+逐级计算!$Q$189*(GG77-逐级计算!$P$189)*LN(10)/10),0)+LN(1+EXP(-ABS((LN(10^(逐级计算!$Q$189/10)-1)+逐级计算!$Q$189*(GG77-逐级计算!$P$189)*LN(10)/10))))))),"")</f>
        <v>13.7930365742089</v>
      </c>
      <c r="GI77">
        <f>IF(AND(ISNUMBER(GH77),逐级计算!$X$190&gt;-1),IF(逐级计算!$X$190=0,GH77+逐级计算!$C$190,GH77+逐级计算!$C$190-(10/(逐级计算!$Q$190*LN(10))*(MAX((LN(10^(逐级计算!$Q$190/10)-1)+逐级计算!$Q$190*(GH77-逐级计算!$P$190)*LN(10)/10),0)+LN(1+EXP(-ABS((LN(10^(逐级计算!$Q$190/10)-1)+逐级计算!$Q$190*(GH77-逐级计算!$P$190)*LN(10)/10))))))),"")</f>
        <v>13.7930365742089</v>
      </c>
      <c r="GJ77">
        <f>IF(AND(ISNUMBER(GI77),逐级计算!$X$191&gt;-1),IF(逐级计算!$X$191=0,GI77+逐级计算!$C$191,GI77+逐级计算!$C$191-(10/(逐级计算!$Q$191*LN(10))*(MAX((LN(10^(逐级计算!$Q$191/10)-1)+逐级计算!$Q$191*(GI77-逐级计算!$P$191)*LN(10)/10),0)+LN(1+EXP(-ABS((LN(10^(逐级计算!$Q$191/10)-1)+逐级计算!$Q$191*(GI77-逐级计算!$P$191)*LN(10)/10))))))),"")</f>
        <v>13.7930365742089</v>
      </c>
      <c r="GK77">
        <f>IF(AND(ISNUMBER(GJ77),逐级计算!$X$192&gt;-1),IF(逐级计算!$X$192=0,GJ77+逐级计算!$C$192,GJ77+逐级计算!$C$192-(10/(逐级计算!$Q$192*LN(10))*(MAX((LN(10^(逐级计算!$Q$192/10)-1)+逐级计算!$Q$192*(GJ77-逐级计算!$P$192)*LN(10)/10),0)+LN(1+EXP(-ABS((LN(10^(逐级计算!$Q$192/10)-1)+逐级计算!$Q$192*(GJ77-逐级计算!$P$192)*LN(10)/10))))))),"")</f>
        <v>13.7930365742089</v>
      </c>
      <c r="GL77">
        <f>IF(AND(ISNUMBER(GK77),逐级计算!$X$193&gt;-1),IF(逐级计算!$X$193=0,GK77+逐级计算!$C$193,GK77+逐级计算!$C$193-(10/(逐级计算!$Q$193*LN(10))*(MAX((LN(10^(逐级计算!$Q$193/10)-1)+逐级计算!$Q$193*(GK77-逐级计算!$P$193)*LN(10)/10),0)+LN(1+EXP(-ABS((LN(10^(逐级计算!$Q$193/10)-1)+逐级计算!$Q$193*(GK77-逐级计算!$P$193)*LN(10)/10))))))),"")</f>
        <v>13.7930365742089</v>
      </c>
      <c r="GM77">
        <f>IF(AND(ISNUMBER(GL77),逐级计算!$X$194&gt;-1),IF(逐级计算!$X$194=0,GL77+逐级计算!$C$194,GL77+逐级计算!$C$194-(10/(逐级计算!$Q$194*LN(10))*(MAX((LN(10^(逐级计算!$Q$194/10)-1)+逐级计算!$Q$194*(GL77-逐级计算!$P$194)*LN(10)/10),0)+LN(1+EXP(-ABS((LN(10^(逐级计算!$Q$194/10)-1)+逐级计算!$Q$194*(GL77-逐级计算!$P$194)*LN(10)/10))))))),"")</f>
        <v>13.7930365742089</v>
      </c>
      <c r="GN77">
        <f>IF(AND(ISNUMBER(GM77),逐级计算!$X$195&gt;-1),IF(逐级计算!$X$195=0,GM77+逐级计算!$C$195,GM77+逐级计算!$C$195-(10/(逐级计算!$Q$195*LN(10))*(MAX((LN(10^(逐级计算!$Q$195/10)-1)+逐级计算!$Q$195*(GM77-逐级计算!$P$195)*LN(10)/10),0)+LN(1+EXP(-ABS((LN(10^(逐级计算!$Q$195/10)-1)+逐级计算!$Q$195*(GM77-逐级计算!$P$195)*LN(10)/10))))))),"")</f>
        <v>13.7930365742089</v>
      </c>
      <c r="GO77">
        <f>IF(AND(ISNUMBER(GN77),逐级计算!$X$196&gt;-1),IF(逐级计算!$X$196=0,GN77+逐级计算!$C$196,GN77+逐级计算!$C$196-(10/(逐级计算!$Q$196*LN(10))*(MAX((LN(10^(逐级计算!$Q$196/10)-1)+逐级计算!$Q$196*(GN77-逐级计算!$P$196)*LN(10)/10),0)+LN(1+EXP(-ABS((LN(10^(逐级计算!$Q$196/10)-1)+逐级计算!$Q$196*(GN77-逐级计算!$P$196)*LN(10)/10))))))),"")</f>
        <v>13.7930365742089</v>
      </c>
      <c r="GP77">
        <f>IF(AND(ISNUMBER(GO77),逐级计算!$X$197&gt;-1),IF(逐级计算!$X$197=0,GO77+逐级计算!$C$197,GO77+逐级计算!$C$197-(10/(逐级计算!$Q$197*LN(10))*(MAX((LN(10^(逐级计算!$Q$197/10)-1)+逐级计算!$Q$197*(GO77-逐级计算!$P$197)*LN(10)/10),0)+LN(1+EXP(-ABS((LN(10^(逐级计算!$Q$197/10)-1)+逐级计算!$Q$197*(GO77-逐级计算!$P$197)*LN(10)/10))))))),"")</f>
        <v>13.7930365742089</v>
      </c>
      <c r="GQ77">
        <f>IF(AND(ISNUMBER(GP77),逐级计算!$X$198&gt;-1),IF(逐级计算!$X$198=0,GP77+逐级计算!$C$198,GP77+逐级计算!$C$198-(10/(逐级计算!$Q$198*LN(10))*(MAX((LN(10^(逐级计算!$Q$198/10)-1)+逐级计算!$Q$198*(GP77-逐级计算!$P$198)*LN(10)/10),0)+LN(1+EXP(-ABS((LN(10^(逐级计算!$Q$198/10)-1)+逐级计算!$Q$198*(GP77-逐级计算!$P$198)*LN(10)/10))))))),"")</f>
        <v>13.7930365742089</v>
      </c>
      <c r="GR77">
        <f>IF(AND(ISNUMBER(GQ77),逐级计算!$X$199&gt;-1),IF(逐级计算!$X$199=0,GQ77+逐级计算!$C$199,GQ77+逐级计算!$C$199-(10/(逐级计算!$Q$199*LN(10))*(MAX((LN(10^(逐级计算!$Q$199/10)-1)+逐级计算!$Q$199*(GQ77-逐级计算!$P$199)*LN(10)/10),0)+LN(1+EXP(-ABS((LN(10^(逐级计算!$Q$199/10)-1)+逐级计算!$Q$199*(GQ77-逐级计算!$P$199)*LN(10)/10))))))),"")</f>
        <v>13.7930365742089</v>
      </c>
      <c r="GS77">
        <f>IF(AND(ISNUMBER(GR77),逐级计算!$X$200&gt;-1),IF(逐级计算!$X$200=0,GR77+逐级计算!$C$200,GR77+逐级计算!$C$200-(10/(逐级计算!$Q$200*LN(10))*(MAX((LN(10^(逐级计算!$Q$200/10)-1)+逐级计算!$Q$200*(GR77-逐级计算!$P$200)*LN(10)/10),0)+LN(1+EXP(-ABS((LN(10^(逐级计算!$Q$200/10)-1)+逐级计算!$Q$200*(GR77-逐级计算!$P$200)*LN(10)/10))))))),"")</f>
        <v>13.7930365742089</v>
      </c>
      <c r="GT77">
        <f>IF(AND(ISNUMBER(GS77),逐级计算!$X$201&gt;-1),IF(逐级计算!$X$201=0,GS77+逐级计算!$C$201,GS77+逐级计算!$C$201-(10/(逐级计算!$Q$201*LN(10))*(MAX((LN(10^(逐级计算!$Q$201/10)-1)+逐级计算!$Q$201*(GS77-逐级计算!$P$201)*LN(10)/10),0)+LN(1+EXP(-ABS((LN(10^(逐级计算!$Q$201/10)-1)+逐级计算!$Q$201*(GS77-逐级计算!$P$201)*LN(10)/10))))))),"")</f>
        <v>13.7930365742089</v>
      </c>
      <c r="GU77">
        <f>IF(AND(ISNUMBER(GT77),逐级计算!$X$202&gt;-1),IF(逐级计算!$X$202=0,GT77+逐级计算!$C$202,GT77+逐级计算!$C$202-(10/(逐级计算!$Q$202*LN(10))*(MAX((LN(10^(逐级计算!$Q$202/10)-1)+逐级计算!$Q$202*(GT77-逐级计算!$P$202)*LN(10)/10),0)+LN(1+EXP(-ABS((LN(10^(逐级计算!$Q$202/10)-1)+逐级计算!$Q$202*(GT77-逐级计算!$P$202)*LN(10)/10))))))),"")</f>
        <v>13.7930365742089</v>
      </c>
      <c r="GV77">
        <f>IF(AND(ISNUMBER(GU77),逐级计算!$X$203&gt;-1),IF(逐级计算!$X$203=0,GU77+逐级计算!$C$203,GU77+逐级计算!$C$203-(10/(逐级计算!$Q$203*LN(10))*(MAX((LN(10^(逐级计算!$Q$203/10)-1)+逐级计算!$Q$203*(GU77-逐级计算!$P$203)*LN(10)/10),0)+LN(1+EXP(-ABS((LN(10^(逐级计算!$Q$203/10)-1)+逐级计算!$Q$203*(GU77-逐级计算!$P$203)*LN(10)/10))))))),"")</f>
        <v>13.7930365742089</v>
      </c>
      <c r="GW77">
        <f t="shared" si="5"/>
        <v>-5.20696342579112</v>
      </c>
    </row>
    <row r="78" spans="1:205">
      <c r="A78">
        <v>71</v>
      </c>
      <c r="B78">
        <f t="shared" si="4"/>
        <v>-5.20696342579112</v>
      </c>
      <c r="C78">
        <f t="shared" si="3"/>
        <v>-5.20696342579112</v>
      </c>
      <c r="D78">
        <f>IF(AND(ISNUMBER(C78),ISNUMBER(逐级计算!$E$203),ISNUMBER(GV78)),C78+逐级计算!$E$203-GV78,"")</f>
        <v>1</v>
      </c>
      <c r="E78">
        <f>IF(AND(ISNUMBER(C78),逐级计算!$X$4&gt;-1),IF(逐级计算!$X$4=0,C78+逐级计算!$C$4,C78+逐级计算!$C$4-(10/(逐级计算!$Q$4*LN(10))*(MAX((LN(10^(逐级计算!$Q$4/10)-1)+逐级计算!$Q$4*(C78-逐级计算!$P$4)*LN(10)/10),0)+LN(1+EXP(-ABS((LN(10^(逐级计算!$Q$4/10)-1)+逐级计算!$Q$4*(C78-逐级计算!$P$4)*LN(10)/10))))))),"")</f>
        <v>4.68053982928311</v>
      </c>
      <c r="F78">
        <f>IF(AND(ISNUMBER(E78),逐级计算!$X$5&gt;-1),IF(逐级计算!$X$5=0,E78+逐级计算!$C$5,E78+逐级计算!$C$5-(10/(逐级计算!$Q$5*LN(10))*(MAX((LN(10^(逐级计算!$Q$5/10)-1)+逐级计算!$Q$5*(E78-逐级计算!$P$5)*LN(10)/10),0)+LN(1+EXP(-ABS((LN(10^(逐级计算!$Q$5/10)-1)+逐级计算!$Q$5*(E78-逐级计算!$P$5)*LN(10)/10))))))),"")</f>
        <v>13.7930365742089</v>
      </c>
      <c r="G78">
        <f>IF(AND(ISNUMBER(F78),逐级计算!$X$6&gt;-1),IF(逐级计算!$X$6=0,F78+逐级计算!$C$6,F78+逐级计算!$C$6-(10/(逐级计算!$Q$6*LN(10))*(MAX((LN(10^(逐级计算!$Q$6/10)-1)+逐级计算!$Q$6*(F78-逐级计算!$P$6)*LN(10)/10),0)+LN(1+EXP(-ABS((LN(10^(逐级计算!$Q$6/10)-1)+逐级计算!$Q$6*(F78-逐级计算!$P$6)*LN(10)/10))))))),"")</f>
        <v>13.7930365742089</v>
      </c>
      <c r="H78">
        <f>IF(AND(ISNUMBER(G78),逐级计算!$X$7&gt;-1),IF(逐级计算!$X$7=0,G78+逐级计算!$C$7,G78+逐级计算!$C$7-(10/(逐级计算!$Q$7*LN(10))*(MAX((LN(10^(逐级计算!$Q$7/10)-1)+逐级计算!$Q$7*(G78-逐级计算!$P$7)*LN(10)/10),0)+LN(1+EXP(-ABS((LN(10^(逐级计算!$Q$7/10)-1)+逐级计算!$Q$7*(G78-逐级计算!$P$7)*LN(10)/10))))))),"")</f>
        <v>13.7930365742089</v>
      </c>
      <c r="I78">
        <f>IF(AND(ISNUMBER(H78),逐级计算!$X$8&gt;-1),IF(逐级计算!$X$8=0,H78+逐级计算!$C$8,H78+逐级计算!$C$8-(10/(逐级计算!$Q$8*LN(10))*(MAX((LN(10^(逐级计算!$Q$8/10)-1)+逐级计算!$Q$8*(H78-逐级计算!$P$8)*LN(10)/10),0)+LN(1+EXP(-ABS((LN(10^(逐级计算!$Q$8/10)-1)+逐级计算!$Q$8*(H78-逐级计算!$P$8)*LN(10)/10))))))),"")</f>
        <v>13.7930365742089</v>
      </c>
      <c r="J78">
        <f>IF(AND(ISNUMBER(I78),逐级计算!$X$9&gt;-1),IF(逐级计算!$X$9=0,I78+逐级计算!$C$9,I78+逐级计算!$C$9-(10/(逐级计算!$Q$9*LN(10))*(MAX((LN(10^(逐级计算!$Q$9/10)-1)+逐级计算!$Q$9*(I78-逐级计算!$P$9)*LN(10)/10),0)+LN(1+EXP(-ABS((LN(10^(逐级计算!$Q$9/10)-1)+逐级计算!$Q$9*(I78-逐级计算!$P$9)*LN(10)/10))))))),"")</f>
        <v>13.7930365742089</v>
      </c>
      <c r="K78">
        <f>IF(AND(ISNUMBER(J78),逐级计算!$X$10&gt;-1),IF(逐级计算!$X$10=0,J78+逐级计算!$C$10,J78+逐级计算!$C$10-(10/(逐级计算!$Q$10*LN(10))*(MAX((LN(10^(逐级计算!$Q$10/10)-1)+逐级计算!$Q$10*(J78-逐级计算!$P$10)*LN(10)/10),0)+LN(1+EXP(-ABS((LN(10^(逐级计算!$Q$10/10)-1)+逐级计算!$Q$10*(J78-逐级计算!$P$10)*LN(10)/10))))))),"")</f>
        <v>13.7930365742089</v>
      </c>
      <c r="L78">
        <f>IF(AND(ISNUMBER(K78),逐级计算!$X$11&gt;-1),IF(逐级计算!$X$11=0,K78+逐级计算!$C$11,K78+逐级计算!$C$11-(10/(逐级计算!$Q$11*LN(10))*(MAX((LN(10^(逐级计算!$Q$11/10)-1)+逐级计算!$Q$11*(K78-逐级计算!$P$11)*LN(10)/10),0)+LN(1+EXP(-ABS((LN(10^(逐级计算!$Q$11/10)-1)+逐级计算!$Q$11*(K78-逐级计算!$P$11)*LN(10)/10))))))),"")</f>
        <v>13.7930365742089</v>
      </c>
      <c r="M78">
        <f>IF(AND(ISNUMBER(L78),逐级计算!$X$12&gt;-1),IF(逐级计算!$X$12=0,L78+逐级计算!$C$12,L78+逐级计算!$C$12-(10/(逐级计算!$Q$12*LN(10))*(MAX((LN(10^(逐级计算!$Q$12/10)-1)+逐级计算!$Q$12*(L78-逐级计算!$P$12)*LN(10)/10),0)+LN(1+EXP(-ABS((LN(10^(逐级计算!$Q$12/10)-1)+逐级计算!$Q$12*(L78-逐级计算!$P$12)*LN(10)/10))))))),"")</f>
        <v>13.7930365742089</v>
      </c>
      <c r="N78">
        <f>IF(AND(ISNUMBER(M78),逐级计算!$X$13&gt;-1),IF(逐级计算!$X$13=0,M78+逐级计算!$C$13,M78+逐级计算!$C$13-(10/(逐级计算!$Q$13*LN(10))*(MAX((LN(10^(逐级计算!$Q$13/10)-1)+逐级计算!$Q$13*(M78-逐级计算!$P$13)*LN(10)/10),0)+LN(1+EXP(-ABS((LN(10^(逐级计算!$Q$13/10)-1)+逐级计算!$Q$13*(M78-逐级计算!$P$13)*LN(10)/10))))))),"")</f>
        <v>13.7930365742089</v>
      </c>
      <c r="O78">
        <f>IF(AND(ISNUMBER(N78),逐级计算!$X$14&gt;-1),IF(逐级计算!$X$14=0,N78+逐级计算!$C$14,N78+逐级计算!$C$14-(10/(逐级计算!$Q$14*LN(10))*(MAX((LN(10^(逐级计算!$Q$14/10)-1)+逐级计算!$Q$14*(N78-逐级计算!$P$14)*LN(10)/10),0)+LN(1+EXP(-ABS((LN(10^(逐级计算!$Q$14/10)-1)+逐级计算!$Q$14*(N78-逐级计算!$P$14)*LN(10)/10))))))),"")</f>
        <v>13.7930365742089</v>
      </c>
      <c r="P78">
        <f>IF(AND(ISNUMBER(O78),逐级计算!$X$15&gt;-1),IF(逐级计算!$X$15=0,O78+逐级计算!$C$15,O78+逐级计算!$C$15-(10/(逐级计算!$Q$15*LN(10))*(MAX((LN(10^(逐级计算!$Q$15/10)-1)+逐级计算!$Q$15*(O78-逐级计算!$P$15)*LN(10)/10),0)+LN(1+EXP(-ABS((LN(10^(逐级计算!$Q$15/10)-1)+逐级计算!$Q$15*(O78-逐级计算!$P$15)*LN(10)/10))))))),"")</f>
        <v>13.7930365742089</v>
      </c>
      <c r="Q78">
        <f>IF(AND(ISNUMBER(P78),逐级计算!$X$16&gt;-1),IF(逐级计算!$X$16=0,P78+逐级计算!$C$16,P78+逐级计算!$C$16-(10/(逐级计算!$Q$16*LN(10))*(MAX((LN(10^(逐级计算!$Q$16/10)-1)+逐级计算!$Q$16*(P78-逐级计算!$P$16)*LN(10)/10),0)+LN(1+EXP(-ABS((LN(10^(逐级计算!$Q$16/10)-1)+逐级计算!$Q$16*(P78-逐级计算!$P$16)*LN(10)/10))))))),"")</f>
        <v>13.7930365742089</v>
      </c>
      <c r="R78">
        <f>IF(AND(ISNUMBER(Q78),逐级计算!$X$17&gt;-1),IF(逐级计算!$X$17=0,Q78+逐级计算!$C$17,Q78+逐级计算!$C$17-(10/(逐级计算!$Q$17*LN(10))*(MAX((LN(10^(逐级计算!$Q$17/10)-1)+逐级计算!$Q$17*(Q78-逐级计算!$P$17)*LN(10)/10),0)+LN(1+EXP(-ABS((LN(10^(逐级计算!$Q$17/10)-1)+逐级计算!$Q$17*(Q78-逐级计算!$P$17)*LN(10)/10))))))),"")</f>
        <v>13.7930365742089</v>
      </c>
      <c r="S78">
        <f>IF(AND(ISNUMBER(R78),逐级计算!$X$18&gt;-1),IF(逐级计算!$X$18=0,R78+逐级计算!$C$18,R78+逐级计算!$C$18-(10/(逐级计算!$Q$18*LN(10))*(MAX((LN(10^(逐级计算!$Q$18/10)-1)+逐级计算!$Q$18*(R78-逐级计算!$P$18)*LN(10)/10),0)+LN(1+EXP(-ABS((LN(10^(逐级计算!$Q$18/10)-1)+逐级计算!$Q$18*(R78-逐级计算!$P$18)*LN(10)/10))))))),"")</f>
        <v>13.7930365742089</v>
      </c>
      <c r="T78">
        <f>IF(AND(ISNUMBER(S78),逐级计算!$X$19&gt;-1),IF(逐级计算!$X$19=0,S78+逐级计算!$C$19,S78+逐级计算!$C$19-(10/(逐级计算!$Q$19*LN(10))*(MAX((LN(10^(逐级计算!$Q$19/10)-1)+逐级计算!$Q$19*(S78-逐级计算!$P$19)*LN(10)/10),0)+LN(1+EXP(-ABS((LN(10^(逐级计算!$Q$19/10)-1)+逐级计算!$Q$19*(S78-逐级计算!$P$19)*LN(10)/10))))))),"")</f>
        <v>13.7930365742089</v>
      </c>
      <c r="U78">
        <f>IF(AND(ISNUMBER(T78),逐级计算!$X$20&gt;-1),IF(逐级计算!$X$20=0,T78+逐级计算!$C$20,T78+逐级计算!$C$20-(10/(逐级计算!$Q$20*LN(10))*(MAX((LN(10^(逐级计算!$Q$20/10)-1)+逐级计算!$Q$20*(T78-逐级计算!$P$20)*LN(10)/10),0)+LN(1+EXP(-ABS((LN(10^(逐级计算!$Q$20/10)-1)+逐级计算!$Q$20*(T78-逐级计算!$P$20)*LN(10)/10))))))),"")</f>
        <v>13.7930365742089</v>
      </c>
      <c r="V78">
        <f>IF(AND(ISNUMBER(U78),逐级计算!$X$21&gt;-1),IF(逐级计算!$X$21=0,U78+逐级计算!$C$21,U78+逐级计算!$C$21-(10/(逐级计算!$Q$21*LN(10))*(MAX((LN(10^(逐级计算!$Q$21/10)-1)+逐级计算!$Q$21*(U78-逐级计算!$P$21)*LN(10)/10),0)+LN(1+EXP(-ABS((LN(10^(逐级计算!$Q$21/10)-1)+逐级计算!$Q$21*(U78-逐级计算!$P$21)*LN(10)/10))))))),"")</f>
        <v>13.7930365742089</v>
      </c>
      <c r="W78">
        <f>IF(AND(ISNUMBER(V78),逐级计算!$X$22&gt;-1),IF(逐级计算!$X$22=0,V78+逐级计算!$C$22,V78+逐级计算!$C$22-(10/(逐级计算!$Q$22*LN(10))*(MAX((LN(10^(逐级计算!$Q$22/10)-1)+逐级计算!$Q$22*(V78-逐级计算!$P$22)*LN(10)/10),0)+LN(1+EXP(-ABS((LN(10^(逐级计算!$Q$22/10)-1)+逐级计算!$Q$22*(V78-逐级计算!$P$22)*LN(10)/10))))))),"")</f>
        <v>13.7930365742089</v>
      </c>
      <c r="X78">
        <f>IF(AND(ISNUMBER(W78),逐级计算!$X$23&gt;-1),IF(逐级计算!$X$23=0,W78+逐级计算!$C$23,W78+逐级计算!$C$23-(10/(逐级计算!$Q$23*LN(10))*(MAX((LN(10^(逐级计算!$Q$23/10)-1)+逐级计算!$Q$23*(W78-逐级计算!$P$23)*LN(10)/10),0)+LN(1+EXP(-ABS((LN(10^(逐级计算!$Q$23/10)-1)+逐级计算!$Q$23*(W78-逐级计算!$P$23)*LN(10)/10))))))),"")</f>
        <v>13.7930365742089</v>
      </c>
      <c r="Y78">
        <f>IF(AND(ISNUMBER(X78),逐级计算!$X$24&gt;-1),IF(逐级计算!$X$24=0,X78+逐级计算!$C$24,X78+逐级计算!$C$24-(10/(逐级计算!$Q$24*LN(10))*(MAX((LN(10^(逐级计算!$Q$24/10)-1)+逐级计算!$Q$24*(X78-逐级计算!$P$24)*LN(10)/10),0)+LN(1+EXP(-ABS((LN(10^(逐级计算!$Q$24/10)-1)+逐级计算!$Q$24*(X78-逐级计算!$P$24)*LN(10)/10))))))),"")</f>
        <v>13.7930365742089</v>
      </c>
      <c r="Z78">
        <f>IF(AND(ISNUMBER(Y78),逐级计算!$X$25&gt;-1),IF(逐级计算!$X$25=0,Y78+逐级计算!$C$25,Y78+逐级计算!$C$25-(10/(逐级计算!$Q$25*LN(10))*(MAX((LN(10^(逐级计算!$Q$25/10)-1)+逐级计算!$Q$25*(Y78-逐级计算!$P$25)*LN(10)/10),0)+LN(1+EXP(-ABS((LN(10^(逐级计算!$Q$25/10)-1)+逐级计算!$Q$25*(Y78-逐级计算!$P$25)*LN(10)/10))))))),"")</f>
        <v>13.7930365742089</v>
      </c>
      <c r="AA78">
        <f>IF(AND(ISNUMBER(Z78),逐级计算!$X$26&gt;-1),IF(逐级计算!$X$26=0,Z78+逐级计算!$C$26,Z78+逐级计算!$C$26-(10/(逐级计算!$Q$26*LN(10))*(MAX((LN(10^(逐级计算!$Q$26/10)-1)+逐级计算!$Q$26*(Z78-逐级计算!$P$26)*LN(10)/10),0)+LN(1+EXP(-ABS((LN(10^(逐级计算!$Q$26/10)-1)+逐级计算!$Q$26*(Z78-逐级计算!$P$26)*LN(10)/10))))))),"")</f>
        <v>13.7930365742089</v>
      </c>
      <c r="AB78">
        <f>IF(AND(ISNUMBER(AA78),逐级计算!$X$27&gt;-1),IF(逐级计算!$X$27=0,AA78+逐级计算!$C$27,AA78+逐级计算!$C$27-(10/(逐级计算!$Q$27*LN(10))*(MAX((LN(10^(逐级计算!$Q$27/10)-1)+逐级计算!$Q$27*(AA78-逐级计算!$P$27)*LN(10)/10),0)+LN(1+EXP(-ABS((LN(10^(逐级计算!$Q$27/10)-1)+逐级计算!$Q$27*(AA78-逐级计算!$P$27)*LN(10)/10))))))),"")</f>
        <v>13.7930365742089</v>
      </c>
      <c r="AC78">
        <f>IF(AND(ISNUMBER(AB78),逐级计算!$X$28&gt;-1),IF(逐级计算!$X$28=0,AB78+逐级计算!$C$28,AB78+逐级计算!$C$28-(10/(逐级计算!$Q$28*LN(10))*(MAX((LN(10^(逐级计算!$Q$28/10)-1)+逐级计算!$Q$28*(AB78-逐级计算!$P$28)*LN(10)/10),0)+LN(1+EXP(-ABS((LN(10^(逐级计算!$Q$28/10)-1)+逐级计算!$Q$28*(AB78-逐级计算!$P$28)*LN(10)/10))))))),"")</f>
        <v>13.7930365742089</v>
      </c>
      <c r="AD78">
        <f>IF(AND(ISNUMBER(AC78),逐级计算!$X$29&gt;-1),IF(逐级计算!$X$29=0,AC78+逐级计算!$C$29,AC78+逐级计算!$C$29-(10/(逐级计算!$Q$29*LN(10))*(MAX((LN(10^(逐级计算!$Q$29/10)-1)+逐级计算!$Q$29*(AC78-逐级计算!$P$29)*LN(10)/10),0)+LN(1+EXP(-ABS((LN(10^(逐级计算!$Q$29/10)-1)+逐级计算!$Q$29*(AC78-逐级计算!$P$29)*LN(10)/10))))))),"")</f>
        <v>13.7930365742089</v>
      </c>
      <c r="AE78">
        <f>IF(AND(ISNUMBER(AD78),逐级计算!$X$30&gt;-1),IF(逐级计算!$X$30=0,AD78+逐级计算!$C$30,AD78+逐级计算!$C$30-(10/(逐级计算!$Q$30*LN(10))*(MAX((LN(10^(逐级计算!$Q$30/10)-1)+逐级计算!$Q$30*(AD78-逐级计算!$P$30)*LN(10)/10),0)+LN(1+EXP(-ABS((LN(10^(逐级计算!$Q$30/10)-1)+逐级计算!$Q$30*(AD78-逐级计算!$P$30)*LN(10)/10))))))),"")</f>
        <v>13.7930365742089</v>
      </c>
      <c r="AF78">
        <f>IF(AND(ISNUMBER(AE78),逐级计算!$X$31&gt;-1),IF(逐级计算!$X$31=0,AE78+逐级计算!$C$31,AE78+逐级计算!$C$31-(10/(逐级计算!$Q$31*LN(10))*(MAX((LN(10^(逐级计算!$Q$31/10)-1)+逐级计算!$Q$31*(AE78-逐级计算!$P$31)*LN(10)/10),0)+LN(1+EXP(-ABS((LN(10^(逐级计算!$Q$31/10)-1)+逐级计算!$Q$31*(AE78-逐级计算!$P$31)*LN(10)/10))))))),"")</f>
        <v>13.7930365742089</v>
      </c>
      <c r="AG78">
        <f>IF(AND(ISNUMBER(AF78),逐级计算!$X$32&gt;-1),IF(逐级计算!$X$32=0,AF78+逐级计算!$C$32,AF78+逐级计算!$C$32-(10/(逐级计算!$Q$32*LN(10))*(MAX((LN(10^(逐级计算!$Q$32/10)-1)+逐级计算!$Q$32*(AF78-逐级计算!$P$32)*LN(10)/10),0)+LN(1+EXP(-ABS((LN(10^(逐级计算!$Q$32/10)-1)+逐级计算!$Q$32*(AF78-逐级计算!$P$32)*LN(10)/10))))))),"")</f>
        <v>13.7930365742089</v>
      </c>
      <c r="AH78">
        <f>IF(AND(ISNUMBER(AG78),逐级计算!$X$33&gt;-1),IF(逐级计算!$X$33=0,AG78+逐级计算!$C$33,AG78+逐级计算!$C$33-(10/(逐级计算!$Q$33*LN(10))*(MAX((LN(10^(逐级计算!$Q$33/10)-1)+逐级计算!$Q$33*(AG78-逐级计算!$P$33)*LN(10)/10),0)+LN(1+EXP(-ABS((LN(10^(逐级计算!$Q$33/10)-1)+逐级计算!$Q$33*(AG78-逐级计算!$P$33)*LN(10)/10))))))),"")</f>
        <v>13.7930365742089</v>
      </c>
      <c r="AI78">
        <f>IF(AND(ISNUMBER(AH78),逐级计算!$X$34&gt;-1),IF(逐级计算!$X$34=0,AH78+逐级计算!$C$34,AH78+逐级计算!$C$34-(10/(逐级计算!$Q$34*LN(10))*(MAX((LN(10^(逐级计算!$Q$34/10)-1)+逐级计算!$Q$34*(AH78-逐级计算!$P$34)*LN(10)/10),0)+LN(1+EXP(-ABS((LN(10^(逐级计算!$Q$34/10)-1)+逐级计算!$Q$34*(AH78-逐级计算!$P$34)*LN(10)/10))))))),"")</f>
        <v>13.7930365742089</v>
      </c>
      <c r="AJ78">
        <f>IF(AND(ISNUMBER(AI78),逐级计算!$X$35&gt;-1),IF(逐级计算!$X$35=0,AI78+逐级计算!$C$35,AI78+逐级计算!$C$35-(10/(逐级计算!$Q$35*LN(10))*(MAX((LN(10^(逐级计算!$Q$35/10)-1)+逐级计算!$Q$35*(AI78-逐级计算!$P$35)*LN(10)/10),0)+LN(1+EXP(-ABS((LN(10^(逐级计算!$Q$35/10)-1)+逐级计算!$Q$35*(AI78-逐级计算!$P$35)*LN(10)/10))))))),"")</f>
        <v>13.7930365742089</v>
      </c>
      <c r="AK78">
        <f>IF(AND(ISNUMBER(AJ78),逐级计算!$X$36&gt;-1),IF(逐级计算!$X$36=0,AJ78+逐级计算!$C$36,AJ78+逐级计算!$C$36-(10/(逐级计算!$Q$36*LN(10))*(MAX((LN(10^(逐级计算!$Q$36/10)-1)+逐级计算!$Q$36*(AJ78-逐级计算!$P$36)*LN(10)/10),0)+LN(1+EXP(-ABS((LN(10^(逐级计算!$Q$36/10)-1)+逐级计算!$Q$36*(AJ78-逐级计算!$P$36)*LN(10)/10))))))),"")</f>
        <v>13.7930365742089</v>
      </c>
      <c r="AL78">
        <f>IF(AND(ISNUMBER(AK78),逐级计算!$X$37&gt;-1),IF(逐级计算!$X$37=0,AK78+逐级计算!$C$37,AK78+逐级计算!$C$37-(10/(逐级计算!$Q$37*LN(10))*(MAX((LN(10^(逐级计算!$Q$37/10)-1)+逐级计算!$Q$37*(AK78-逐级计算!$P$37)*LN(10)/10),0)+LN(1+EXP(-ABS((LN(10^(逐级计算!$Q$37/10)-1)+逐级计算!$Q$37*(AK78-逐级计算!$P$37)*LN(10)/10))))))),"")</f>
        <v>13.7930365742089</v>
      </c>
      <c r="AM78">
        <f>IF(AND(ISNUMBER(AL78),逐级计算!$X$38&gt;-1),IF(逐级计算!$X$38=0,AL78+逐级计算!$C$38,AL78+逐级计算!$C$38-(10/(逐级计算!$Q$38*LN(10))*(MAX((LN(10^(逐级计算!$Q$38/10)-1)+逐级计算!$Q$38*(AL78-逐级计算!$P$38)*LN(10)/10),0)+LN(1+EXP(-ABS((LN(10^(逐级计算!$Q$38/10)-1)+逐级计算!$Q$38*(AL78-逐级计算!$P$38)*LN(10)/10))))))),"")</f>
        <v>13.7930365742089</v>
      </c>
      <c r="AN78">
        <f>IF(AND(ISNUMBER(AM78),逐级计算!$X$39&gt;-1),IF(逐级计算!$X$39=0,AM78+逐级计算!$C$39,AM78+逐级计算!$C$39-(10/(逐级计算!$Q$39*LN(10))*(MAX((LN(10^(逐级计算!$Q$39/10)-1)+逐级计算!$Q$39*(AM78-逐级计算!$P$39)*LN(10)/10),0)+LN(1+EXP(-ABS((LN(10^(逐级计算!$Q$39/10)-1)+逐级计算!$Q$39*(AM78-逐级计算!$P$39)*LN(10)/10))))))),"")</f>
        <v>13.7930365742089</v>
      </c>
      <c r="AO78">
        <f>IF(AND(ISNUMBER(AN78),逐级计算!$X$40&gt;-1),IF(逐级计算!$X$40=0,AN78+逐级计算!$C$40,AN78+逐级计算!$C$40-(10/(逐级计算!$Q$40*LN(10))*(MAX((LN(10^(逐级计算!$Q$40/10)-1)+逐级计算!$Q$40*(AN78-逐级计算!$P$40)*LN(10)/10),0)+LN(1+EXP(-ABS((LN(10^(逐级计算!$Q$40/10)-1)+逐级计算!$Q$40*(AN78-逐级计算!$P$40)*LN(10)/10))))))),"")</f>
        <v>13.7930365742089</v>
      </c>
      <c r="AP78">
        <f>IF(AND(ISNUMBER(AO78),逐级计算!$X$41&gt;-1),IF(逐级计算!$X$41=0,AO78+逐级计算!$C$41,AO78+逐级计算!$C$41-(10/(逐级计算!$Q$41*LN(10))*(MAX((LN(10^(逐级计算!$Q$41/10)-1)+逐级计算!$Q$41*(AO78-逐级计算!$P$41)*LN(10)/10),0)+LN(1+EXP(-ABS((LN(10^(逐级计算!$Q$41/10)-1)+逐级计算!$Q$41*(AO78-逐级计算!$P$41)*LN(10)/10))))))),"")</f>
        <v>13.7930365742089</v>
      </c>
      <c r="AQ78">
        <f>IF(AND(ISNUMBER(AP78),逐级计算!$X$42&gt;-1),IF(逐级计算!$X$42=0,AP78+逐级计算!$C$42,AP78+逐级计算!$C$42-(10/(逐级计算!$Q$42*LN(10))*(MAX((LN(10^(逐级计算!$Q$42/10)-1)+逐级计算!$Q$42*(AP78-逐级计算!$P$42)*LN(10)/10),0)+LN(1+EXP(-ABS((LN(10^(逐级计算!$Q$42/10)-1)+逐级计算!$Q$42*(AP78-逐级计算!$P$42)*LN(10)/10))))))),"")</f>
        <v>13.7930365742089</v>
      </c>
      <c r="AR78">
        <f>IF(AND(ISNUMBER(AQ78),逐级计算!$X$43&gt;-1),IF(逐级计算!$X$43=0,AQ78+逐级计算!$C$43,AQ78+逐级计算!$C$43-(10/(逐级计算!$Q$43*LN(10))*(MAX((LN(10^(逐级计算!$Q$43/10)-1)+逐级计算!$Q$43*(AQ78-逐级计算!$P$43)*LN(10)/10),0)+LN(1+EXP(-ABS((LN(10^(逐级计算!$Q$43/10)-1)+逐级计算!$Q$43*(AQ78-逐级计算!$P$43)*LN(10)/10))))))),"")</f>
        <v>13.7930365742089</v>
      </c>
      <c r="AS78">
        <f>IF(AND(ISNUMBER(AR78),逐级计算!$X$44&gt;-1),IF(逐级计算!$X$44=0,AR78+逐级计算!$C$44,AR78+逐级计算!$C$44-(10/(逐级计算!$Q$44*LN(10))*(MAX((LN(10^(逐级计算!$Q$44/10)-1)+逐级计算!$Q$44*(AR78-逐级计算!$P$44)*LN(10)/10),0)+LN(1+EXP(-ABS((LN(10^(逐级计算!$Q$44/10)-1)+逐级计算!$Q$44*(AR78-逐级计算!$P$44)*LN(10)/10))))))),"")</f>
        <v>13.7930365742089</v>
      </c>
      <c r="AT78">
        <f>IF(AND(ISNUMBER(AS78),逐级计算!$X$45&gt;-1),IF(逐级计算!$X$45=0,AS78+逐级计算!$C$45,AS78+逐级计算!$C$45-(10/(逐级计算!$Q$45*LN(10))*(MAX((LN(10^(逐级计算!$Q$45/10)-1)+逐级计算!$Q$45*(AS78-逐级计算!$P$45)*LN(10)/10),0)+LN(1+EXP(-ABS((LN(10^(逐级计算!$Q$45/10)-1)+逐级计算!$Q$45*(AS78-逐级计算!$P$45)*LN(10)/10))))))),"")</f>
        <v>13.7930365742089</v>
      </c>
      <c r="AU78">
        <f>IF(AND(ISNUMBER(AT78),逐级计算!$X$46&gt;-1),IF(逐级计算!$X$46=0,AT78+逐级计算!$C$46,AT78+逐级计算!$C$46-(10/(逐级计算!$Q$46*LN(10))*(MAX((LN(10^(逐级计算!$Q$46/10)-1)+逐级计算!$Q$46*(AT78-逐级计算!$P$46)*LN(10)/10),0)+LN(1+EXP(-ABS((LN(10^(逐级计算!$Q$46/10)-1)+逐级计算!$Q$46*(AT78-逐级计算!$P$46)*LN(10)/10))))))),"")</f>
        <v>13.7930365742089</v>
      </c>
      <c r="AV78">
        <f>IF(AND(ISNUMBER(AU78),逐级计算!$X$47&gt;-1),IF(逐级计算!$X$47=0,AU78+逐级计算!$C$47,AU78+逐级计算!$C$47-(10/(逐级计算!$Q$47*LN(10))*(MAX((LN(10^(逐级计算!$Q$47/10)-1)+逐级计算!$Q$47*(AU78-逐级计算!$P$47)*LN(10)/10),0)+LN(1+EXP(-ABS((LN(10^(逐级计算!$Q$47/10)-1)+逐级计算!$Q$47*(AU78-逐级计算!$P$47)*LN(10)/10))))))),"")</f>
        <v>13.7930365742089</v>
      </c>
      <c r="AW78">
        <f>IF(AND(ISNUMBER(AV78),逐级计算!$X$48&gt;-1),IF(逐级计算!$X$48=0,AV78+逐级计算!$C$48,AV78+逐级计算!$C$48-(10/(逐级计算!$Q$48*LN(10))*(MAX((LN(10^(逐级计算!$Q$48/10)-1)+逐级计算!$Q$48*(AV78-逐级计算!$P$48)*LN(10)/10),0)+LN(1+EXP(-ABS((LN(10^(逐级计算!$Q$48/10)-1)+逐级计算!$Q$48*(AV78-逐级计算!$P$48)*LN(10)/10))))))),"")</f>
        <v>13.7930365742089</v>
      </c>
      <c r="AX78">
        <f>IF(AND(ISNUMBER(AW78),逐级计算!$X$49&gt;-1),IF(逐级计算!$X$49=0,AW78+逐级计算!$C$49,AW78+逐级计算!$C$49-(10/(逐级计算!$Q$49*LN(10))*(MAX((LN(10^(逐级计算!$Q$49/10)-1)+逐级计算!$Q$49*(AW78-逐级计算!$P$49)*LN(10)/10),0)+LN(1+EXP(-ABS((LN(10^(逐级计算!$Q$49/10)-1)+逐级计算!$Q$49*(AW78-逐级计算!$P$49)*LN(10)/10))))))),"")</f>
        <v>13.7930365742089</v>
      </c>
      <c r="AY78">
        <f>IF(AND(ISNUMBER(AX78),逐级计算!$X$50&gt;-1),IF(逐级计算!$X$50=0,AX78+逐级计算!$C$50,AX78+逐级计算!$C$50-(10/(逐级计算!$Q$50*LN(10))*(MAX((LN(10^(逐级计算!$Q$50/10)-1)+逐级计算!$Q$50*(AX78-逐级计算!$P$50)*LN(10)/10),0)+LN(1+EXP(-ABS((LN(10^(逐级计算!$Q$50/10)-1)+逐级计算!$Q$50*(AX78-逐级计算!$P$50)*LN(10)/10))))))),"")</f>
        <v>13.7930365742089</v>
      </c>
      <c r="AZ78">
        <f>IF(AND(ISNUMBER(AY78),逐级计算!$X$51&gt;-1),IF(逐级计算!$X$51=0,AY78+逐级计算!$C$51,AY78+逐级计算!$C$51-(10/(逐级计算!$Q$51*LN(10))*(MAX((LN(10^(逐级计算!$Q$51/10)-1)+逐级计算!$Q$51*(AY78-逐级计算!$P$51)*LN(10)/10),0)+LN(1+EXP(-ABS((LN(10^(逐级计算!$Q$51/10)-1)+逐级计算!$Q$51*(AY78-逐级计算!$P$51)*LN(10)/10))))))),"")</f>
        <v>13.7930365742089</v>
      </c>
      <c r="BA78">
        <f>IF(AND(ISNUMBER(AZ78),逐级计算!$X$52&gt;-1),IF(逐级计算!$X$52=0,AZ78+逐级计算!$C$52,AZ78+逐级计算!$C$52-(10/(逐级计算!$Q$52*LN(10))*(MAX((LN(10^(逐级计算!$Q$52/10)-1)+逐级计算!$Q$52*(AZ78-逐级计算!$P$52)*LN(10)/10),0)+LN(1+EXP(-ABS((LN(10^(逐级计算!$Q$52/10)-1)+逐级计算!$Q$52*(AZ78-逐级计算!$P$52)*LN(10)/10))))))),"")</f>
        <v>13.7930365742089</v>
      </c>
      <c r="BB78">
        <f>IF(AND(ISNUMBER(BA78),逐级计算!$X$53&gt;-1),IF(逐级计算!$X$53=0,BA78+逐级计算!$C$53,BA78+逐级计算!$C$53-(10/(逐级计算!$Q$53*LN(10))*(MAX((LN(10^(逐级计算!$Q$53/10)-1)+逐级计算!$Q$53*(BA78-逐级计算!$P$53)*LN(10)/10),0)+LN(1+EXP(-ABS((LN(10^(逐级计算!$Q$53/10)-1)+逐级计算!$Q$53*(BA78-逐级计算!$P$53)*LN(10)/10))))))),"")</f>
        <v>13.7930365742089</v>
      </c>
      <c r="BC78">
        <f>IF(AND(ISNUMBER(BB78),逐级计算!$X$54&gt;-1),IF(逐级计算!$X$54=0,BB78+逐级计算!$C$54,BB78+逐级计算!$C$54-(10/(逐级计算!$Q$54*LN(10))*(MAX((LN(10^(逐级计算!$Q$54/10)-1)+逐级计算!$Q$54*(BB78-逐级计算!$P$54)*LN(10)/10),0)+LN(1+EXP(-ABS((LN(10^(逐级计算!$Q$54/10)-1)+逐级计算!$Q$54*(BB78-逐级计算!$P$54)*LN(10)/10))))))),"")</f>
        <v>13.7930365742089</v>
      </c>
      <c r="BD78">
        <f>IF(AND(ISNUMBER(BC78),逐级计算!$X$55&gt;-1),IF(逐级计算!$X$55=0,BC78+逐级计算!$C$55,BC78+逐级计算!$C$55-(10/(逐级计算!$Q$55*LN(10))*(MAX((LN(10^(逐级计算!$Q$55/10)-1)+逐级计算!$Q$55*(BC78-逐级计算!$P$55)*LN(10)/10),0)+LN(1+EXP(-ABS((LN(10^(逐级计算!$Q$55/10)-1)+逐级计算!$Q$55*(BC78-逐级计算!$P$55)*LN(10)/10))))))),"")</f>
        <v>13.7930365742089</v>
      </c>
      <c r="BE78">
        <f>IF(AND(ISNUMBER(BD78),逐级计算!$X$56&gt;-1),IF(逐级计算!$X$56=0,BD78+逐级计算!$C$56,BD78+逐级计算!$C$56-(10/(逐级计算!$Q$56*LN(10))*(MAX((LN(10^(逐级计算!$Q$56/10)-1)+逐级计算!$Q$56*(BD78-逐级计算!$P$56)*LN(10)/10),0)+LN(1+EXP(-ABS((LN(10^(逐级计算!$Q$56/10)-1)+逐级计算!$Q$56*(BD78-逐级计算!$P$56)*LN(10)/10))))))),"")</f>
        <v>13.7930365742089</v>
      </c>
      <c r="BF78">
        <f>IF(AND(ISNUMBER(BE78),逐级计算!$X$57&gt;-1),IF(逐级计算!$X$57=0,BE78+逐级计算!$C$57,BE78+逐级计算!$C$57-(10/(逐级计算!$Q$57*LN(10))*(MAX((LN(10^(逐级计算!$Q$57/10)-1)+逐级计算!$Q$57*(BE78-逐级计算!$P$57)*LN(10)/10),0)+LN(1+EXP(-ABS((LN(10^(逐级计算!$Q$57/10)-1)+逐级计算!$Q$57*(BE78-逐级计算!$P$57)*LN(10)/10))))))),"")</f>
        <v>13.7930365742089</v>
      </c>
      <c r="BG78">
        <f>IF(AND(ISNUMBER(BF78),逐级计算!$X$58&gt;-1),IF(逐级计算!$X$58=0,BF78+逐级计算!$C$58,BF78+逐级计算!$C$58-(10/(逐级计算!$Q$58*LN(10))*(MAX((LN(10^(逐级计算!$Q$58/10)-1)+逐级计算!$Q$58*(BF78-逐级计算!$P$58)*LN(10)/10),0)+LN(1+EXP(-ABS((LN(10^(逐级计算!$Q$58/10)-1)+逐级计算!$Q$58*(BF78-逐级计算!$P$58)*LN(10)/10))))))),"")</f>
        <v>13.7930365742089</v>
      </c>
      <c r="BH78">
        <f>IF(AND(ISNUMBER(BG78),逐级计算!$X$59&gt;-1),IF(逐级计算!$X$59=0,BG78+逐级计算!$C$59,BG78+逐级计算!$C$59-(10/(逐级计算!$Q$59*LN(10))*(MAX((LN(10^(逐级计算!$Q$59/10)-1)+逐级计算!$Q$59*(BG78-逐级计算!$P$59)*LN(10)/10),0)+LN(1+EXP(-ABS((LN(10^(逐级计算!$Q$59/10)-1)+逐级计算!$Q$59*(BG78-逐级计算!$P$59)*LN(10)/10))))))),"")</f>
        <v>13.7930365742089</v>
      </c>
      <c r="BI78">
        <f>IF(AND(ISNUMBER(BH78),逐级计算!$X$60&gt;-1),IF(逐级计算!$X$60=0,BH78+逐级计算!$C$60,BH78+逐级计算!$C$60-(10/(逐级计算!$Q$60*LN(10))*(MAX((LN(10^(逐级计算!$Q$60/10)-1)+逐级计算!$Q$60*(BH78-逐级计算!$P$60)*LN(10)/10),0)+LN(1+EXP(-ABS((LN(10^(逐级计算!$Q$60/10)-1)+逐级计算!$Q$60*(BH78-逐级计算!$P$60)*LN(10)/10))))))),"")</f>
        <v>13.7930365742089</v>
      </c>
      <c r="BJ78">
        <f>IF(AND(ISNUMBER(BI78),逐级计算!$X$61&gt;-1),IF(逐级计算!$X$61=0,BI78+逐级计算!$C$61,BI78+逐级计算!$C$61-(10/(逐级计算!$Q$61*LN(10))*(MAX((LN(10^(逐级计算!$Q$61/10)-1)+逐级计算!$Q$61*(BI78-逐级计算!$P$61)*LN(10)/10),0)+LN(1+EXP(-ABS((LN(10^(逐级计算!$Q$61/10)-1)+逐级计算!$Q$61*(BI78-逐级计算!$P$61)*LN(10)/10))))))),"")</f>
        <v>13.7930365742089</v>
      </c>
      <c r="BK78">
        <f>IF(AND(ISNUMBER(BJ78),逐级计算!$X$62&gt;-1),IF(逐级计算!$X$62=0,BJ78+逐级计算!$C$62,BJ78+逐级计算!$C$62-(10/(逐级计算!$Q$62*LN(10))*(MAX((LN(10^(逐级计算!$Q$62/10)-1)+逐级计算!$Q$62*(BJ78-逐级计算!$P$62)*LN(10)/10),0)+LN(1+EXP(-ABS((LN(10^(逐级计算!$Q$62/10)-1)+逐级计算!$Q$62*(BJ78-逐级计算!$P$62)*LN(10)/10))))))),"")</f>
        <v>13.7930365742089</v>
      </c>
      <c r="BL78">
        <f>IF(AND(ISNUMBER(BK78),逐级计算!$X$63&gt;-1),IF(逐级计算!$X$63=0,BK78+逐级计算!$C$63,BK78+逐级计算!$C$63-(10/(逐级计算!$Q$63*LN(10))*(MAX((LN(10^(逐级计算!$Q$63/10)-1)+逐级计算!$Q$63*(BK78-逐级计算!$P$63)*LN(10)/10),0)+LN(1+EXP(-ABS((LN(10^(逐级计算!$Q$63/10)-1)+逐级计算!$Q$63*(BK78-逐级计算!$P$63)*LN(10)/10))))))),"")</f>
        <v>13.7930365742089</v>
      </c>
      <c r="BM78">
        <f>IF(AND(ISNUMBER(BL78),逐级计算!$X$64&gt;-1),IF(逐级计算!$X$64=0,BL78+逐级计算!$C$64,BL78+逐级计算!$C$64-(10/(逐级计算!$Q$64*LN(10))*(MAX((LN(10^(逐级计算!$Q$64/10)-1)+逐级计算!$Q$64*(BL78-逐级计算!$P$64)*LN(10)/10),0)+LN(1+EXP(-ABS((LN(10^(逐级计算!$Q$64/10)-1)+逐级计算!$Q$64*(BL78-逐级计算!$P$64)*LN(10)/10))))))),"")</f>
        <v>13.7930365742089</v>
      </c>
      <c r="BN78">
        <f>IF(AND(ISNUMBER(BM78),逐级计算!$X$65&gt;-1),IF(逐级计算!$X$65=0,BM78+逐级计算!$C$65,BM78+逐级计算!$C$65-(10/(逐级计算!$Q$65*LN(10))*(MAX((LN(10^(逐级计算!$Q$65/10)-1)+逐级计算!$Q$65*(BM78-逐级计算!$P$65)*LN(10)/10),0)+LN(1+EXP(-ABS((LN(10^(逐级计算!$Q$65/10)-1)+逐级计算!$Q$65*(BM78-逐级计算!$P$65)*LN(10)/10))))))),"")</f>
        <v>13.7930365742089</v>
      </c>
      <c r="BO78">
        <f>IF(AND(ISNUMBER(BN78),逐级计算!$X$66&gt;-1),IF(逐级计算!$X$66=0,BN78+逐级计算!$C$66,BN78+逐级计算!$C$66-(10/(逐级计算!$Q$66*LN(10))*(MAX((LN(10^(逐级计算!$Q$66/10)-1)+逐级计算!$Q$66*(BN78-逐级计算!$P$66)*LN(10)/10),0)+LN(1+EXP(-ABS((LN(10^(逐级计算!$Q$66/10)-1)+逐级计算!$Q$66*(BN78-逐级计算!$P$66)*LN(10)/10))))))),"")</f>
        <v>13.7930365742089</v>
      </c>
      <c r="BP78">
        <f>IF(AND(ISNUMBER(BO78),逐级计算!$X$67&gt;-1),IF(逐级计算!$X$67=0,BO78+逐级计算!$C$67,BO78+逐级计算!$C$67-(10/(逐级计算!$Q$67*LN(10))*(MAX((LN(10^(逐级计算!$Q$67/10)-1)+逐级计算!$Q$67*(BO78-逐级计算!$P$67)*LN(10)/10),0)+LN(1+EXP(-ABS((LN(10^(逐级计算!$Q$67/10)-1)+逐级计算!$Q$67*(BO78-逐级计算!$P$67)*LN(10)/10))))))),"")</f>
        <v>13.7930365742089</v>
      </c>
      <c r="BQ78">
        <f>IF(AND(ISNUMBER(BP78),逐级计算!$X$68&gt;-1),IF(逐级计算!$X$68=0,BP78+逐级计算!$C$68,BP78+逐级计算!$C$68-(10/(逐级计算!$Q$68*LN(10))*(MAX((LN(10^(逐级计算!$Q$68/10)-1)+逐级计算!$Q$68*(BP78-逐级计算!$P$68)*LN(10)/10),0)+LN(1+EXP(-ABS((LN(10^(逐级计算!$Q$68/10)-1)+逐级计算!$Q$68*(BP78-逐级计算!$P$68)*LN(10)/10))))))),"")</f>
        <v>13.7930365742089</v>
      </c>
      <c r="BR78">
        <f>IF(AND(ISNUMBER(BQ78),逐级计算!$X$69&gt;-1),IF(逐级计算!$X$69=0,BQ78+逐级计算!$C$69,BQ78+逐级计算!$C$69-(10/(逐级计算!$Q$69*LN(10))*(MAX((LN(10^(逐级计算!$Q$69/10)-1)+逐级计算!$Q$69*(BQ78-逐级计算!$P$69)*LN(10)/10),0)+LN(1+EXP(-ABS((LN(10^(逐级计算!$Q$69/10)-1)+逐级计算!$Q$69*(BQ78-逐级计算!$P$69)*LN(10)/10))))))),"")</f>
        <v>13.7930365742089</v>
      </c>
      <c r="BS78">
        <f>IF(AND(ISNUMBER(BR78),逐级计算!$X$70&gt;-1),IF(逐级计算!$X$70=0,BR78+逐级计算!$C$70,BR78+逐级计算!$C$70-(10/(逐级计算!$Q$70*LN(10))*(MAX((LN(10^(逐级计算!$Q$70/10)-1)+逐级计算!$Q$70*(BR78-逐级计算!$P$70)*LN(10)/10),0)+LN(1+EXP(-ABS((LN(10^(逐级计算!$Q$70/10)-1)+逐级计算!$Q$70*(BR78-逐级计算!$P$70)*LN(10)/10))))))),"")</f>
        <v>13.7930365742089</v>
      </c>
      <c r="BT78">
        <f>IF(AND(ISNUMBER(BS78),逐级计算!$X$71&gt;-1),IF(逐级计算!$X$71=0,BS78+逐级计算!$C$71,BS78+逐级计算!$C$71-(10/(逐级计算!$Q$71*LN(10))*(MAX((LN(10^(逐级计算!$Q$71/10)-1)+逐级计算!$Q$71*(BS78-逐级计算!$P$71)*LN(10)/10),0)+LN(1+EXP(-ABS((LN(10^(逐级计算!$Q$71/10)-1)+逐级计算!$Q$71*(BS78-逐级计算!$P$71)*LN(10)/10))))))),"")</f>
        <v>13.7930365742089</v>
      </c>
      <c r="BU78">
        <f>IF(AND(ISNUMBER(BT78),逐级计算!$X$72&gt;-1),IF(逐级计算!$X$72=0,BT78+逐级计算!$C$72,BT78+逐级计算!$C$72-(10/(逐级计算!$Q$72*LN(10))*(MAX((LN(10^(逐级计算!$Q$72/10)-1)+逐级计算!$Q$72*(BT78-逐级计算!$P$72)*LN(10)/10),0)+LN(1+EXP(-ABS((LN(10^(逐级计算!$Q$72/10)-1)+逐级计算!$Q$72*(BT78-逐级计算!$P$72)*LN(10)/10))))))),"")</f>
        <v>13.7930365742089</v>
      </c>
      <c r="BV78">
        <f>IF(AND(ISNUMBER(BU78),逐级计算!$X$73&gt;-1),IF(逐级计算!$X$73=0,BU78+逐级计算!$C$73,BU78+逐级计算!$C$73-(10/(逐级计算!$Q$73*LN(10))*(MAX((LN(10^(逐级计算!$Q$73/10)-1)+逐级计算!$Q$73*(BU78-逐级计算!$P$73)*LN(10)/10),0)+LN(1+EXP(-ABS((LN(10^(逐级计算!$Q$73/10)-1)+逐级计算!$Q$73*(BU78-逐级计算!$P$73)*LN(10)/10))))))),"")</f>
        <v>13.7930365742089</v>
      </c>
      <c r="BW78">
        <f>IF(AND(ISNUMBER(BV78),逐级计算!$X$74&gt;-1),IF(逐级计算!$X$74=0,BV78+逐级计算!$C$74,BV78+逐级计算!$C$74-(10/(逐级计算!$Q$74*LN(10))*(MAX((LN(10^(逐级计算!$Q$74/10)-1)+逐级计算!$Q$74*(BV78-逐级计算!$P$74)*LN(10)/10),0)+LN(1+EXP(-ABS((LN(10^(逐级计算!$Q$74/10)-1)+逐级计算!$Q$74*(BV78-逐级计算!$P$74)*LN(10)/10))))))),"")</f>
        <v>13.7930365742089</v>
      </c>
      <c r="BX78">
        <f>IF(AND(ISNUMBER(BW78),逐级计算!$X$75&gt;-1),IF(逐级计算!$X$75=0,BW78+逐级计算!$C$75,BW78+逐级计算!$C$75-(10/(逐级计算!$Q$75*LN(10))*(MAX((LN(10^(逐级计算!$Q$75/10)-1)+逐级计算!$Q$75*(BW78-逐级计算!$P$75)*LN(10)/10),0)+LN(1+EXP(-ABS((LN(10^(逐级计算!$Q$75/10)-1)+逐级计算!$Q$75*(BW78-逐级计算!$P$75)*LN(10)/10))))))),"")</f>
        <v>13.7930365742089</v>
      </c>
      <c r="BY78">
        <f>IF(AND(ISNUMBER(BX78),逐级计算!$X$76&gt;-1),IF(逐级计算!$X$76=0,BX78+逐级计算!$C$76,BX78+逐级计算!$C$76-(10/(逐级计算!$Q$76*LN(10))*(MAX((LN(10^(逐级计算!$Q$76/10)-1)+逐级计算!$Q$76*(BX78-逐级计算!$P$76)*LN(10)/10),0)+LN(1+EXP(-ABS((LN(10^(逐级计算!$Q$76/10)-1)+逐级计算!$Q$76*(BX78-逐级计算!$P$76)*LN(10)/10))))))),"")</f>
        <v>13.7930365742089</v>
      </c>
      <c r="BZ78">
        <f>IF(AND(ISNUMBER(BY78),逐级计算!$X$77&gt;-1),IF(逐级计算!$X$77=0,BY78+逐级计算!$C$77,BY78+逐级计算!$C$77-(10/(逐级计算!$Q$77*LN(10))*(MAX((LN(10^(逐级计算!$Q$77/10)-1)+逐级计算!$Q$77*(BY78-逐级计算!$P$77)*LN(10)/10),0)+LN(1+EXP(-ABS((LN(10^(逐级计算!$Q$77/10)-1)+逐级计算!$Q$77*(BY78-逐级计算!$P$77)*LN(10)/10))))))),"")</f>
        <v>13.7930365742089</v>
      </c>
      <c r="CA78">
        <f>IF(AND(ISNUMBER(BZ78),逐级计算!$X$78&gt;-1),IF(逐级计算!$X$78=0,BZ78+逐级计算!$C$78,BZ78+逐级计算!$C$78-(10/(逐级计算!$Q$78*LN(10))*(MAX((LN(10^(逐级计算!$Q$78/10)-1)+逐级计算!$Q$78*(BZ78-逐级计算!$P$78)*LN(10)/10),0)+LN(1+EXP(-ABS((LN(10^(逐级计算!$Q$78/10)-1)+逐级计算!$Q$78*(BZ78-逐级计算!$P$78)*LN(10)/10))))))),"")</f>
        <v>13.7930365742089</v>
      </c>
      <c r="CB78">
        <f>IF(AND(ISNUMBER(CA78),逐级计算!$X$79&gt;-1),IF(逐级计算!$X$79=0,CA78+逐级计算!$C$79,CA78+逐级计算!$C$79-(10/(逐级计算!$Q$79*LN(10))*(MAX((LN(10^(逐级计算!$Q$79/10)-1)+逐级计算!$Q$79*(CA78-逐级计算!$P$79)*LN(10)/10),0)+LN(1+EXP(-ABS((LN(10^(逐级计算!$Q$79/10)-1)+逐级计算!$Q$79*(CA78-逐级计算!$P$79)*LN(10)/10))))))),"")</f>
        <v>13.7930365742089</v>
      </c>
      <c r="CC78">
        <f>IF(AND(ISNUMBER(CB78),逐级计算!$X$80&gt;-1),IF(逐级计算!$X$80=0,CB78+逐级计算!$C$80,CB78+逐级计算!$C$80-(10/(逐级计算!$Q$80*LN(10))*(MAX((LN(10^(逐级计算!$Q$80/10)-1)+逐级计算!$Q$80*(CB78-逐级计算!$P$80)*LN(10)/10),0)+LN(1+EXP(-ABS((LN(10^(逐级计算!$Q$80/10)-1)+逐级计算!$Q$80*(CB78-逐级计算!$P$80)*LN(10)/10))))))),"")</f>
        <v>13.7930365742089</v>
      </c>
      <c r="CD78">
        <f>IF(AND(ISNUMBER(CC78),逐级计算!$X$81&gt;-1),IF(逐级计算!$X$81=0,CC78+逐级计算!$C$81,CC78+逐级计算!$C$81-(10/(逐级计算!$Q$81*LN(10))*(MAX((LN(10^(逐级计算!$Q$81/10)-1)+逐级计算!$Q$81*(CC78-逐级计算!$P$81)*LN(10)/10),0)+LN(1+EXP(-ABS((LN(10^(逐级计算!$Q$81/10)-1)+逐级计算!$Q$81*(CC78-逐级计算!$P$81)*LN(10)/10))))))),"")</f>
        <v>13.7930365742089</v>
      </c>
      <c r="CE78">
        <f>IF(AND(ISNUMBER(CD78),逐级计算!$X$82&gt;-1),IF(逐级计算!$X$82=0,CD78+逐级计算!$C$82,CD78+逐级计算!$C$82-(10/(逐级计算!$Q$82*LN(10))*(MAX((LN(10^(逐级计算!$Q$82/10)-1)+逐级计算!$Q$82*(CD78-逐级计算!$P$82)*LN(10)/10),0)+LN(1+EXP(-ABS((LN(10^(逐级计算!$Q$82/10)-1)+逐级计算!$Q$82*(CD78-逐级计算!$P$82)*LN(10)/10))))))),"")</f>
        <v>13.7930365742089</v>
      </c>
      <c r="CF78">
        <f>IF(AND(ISNUMBER(CE78),逐级计算!$X$83&gt;-1),IF(逐级计算!$X$83=0,CE78+逐级计算!$C$83,CE78+逐级计算!$C$83-(10/(逐级计算!$Q$83*LN(10))*(MAX((LN(10^(逐级计算!$Q$83/10)-1)+逐级计算!$Q$83*(CE78-逐级计算!$P$83)*LN(10)/10),0)+LN(1+EXP(-ABS((LN(10^(逐级计算!$Q$83/10)-1)+逐级计算!$Q$83*(CE78-逐级计算!$P$83)*LN(10)/10))))))),"")</f>
        <v>13.7930365742089</v>
      </c>
      <c r="CG78">
        <f>IF(AND(ISNUMBER(CF78),逐级计算!$X$84&gt;-1),IF(逐级计算!$X$84=0,CF78+逐级计算!$C$84,CF78+逐级计算!$C$84-(10/(逐级计算!$Q$84*LN(10))*(MAX((LN(10^(逐级计算!$Q$84/10)-1)+逐级计算!$Q$84*(CF78-逐级计算!$P$84)*LN(10)/10),0)+LN(1+EXP(-ABS((LN(10^(逐级计算!$Q$84/10)-1)+逐级计算!$Q$84*(CF78-逐级计算!$P$84)*LN(10)/10))))))),"")</f>
        <v>13.7930365742089</v>
      </c>
      <c r="CH78">
        <f>IF(AND(ISNUMBER(CG78),逐级计算!$X$85&gt;-1),IF(逐级计算!$X$85=0,CG78+逐级计算!$C$85,CG78+逐级计算!$C$85-(10/(逐级计算!$Q$85*LN(10))*(MAX((LN(10^(逐级计算!$Q$85/10)-1)+逐级计算!$Q$85*(CG78-逐级计算!$P$85)*LN(10)/10),0)+LN(1+EXP(-ABS((LN(10^(逐级计算!$Q$85/10)-1)+逐级计算!$Q$85*(CG78-逐级计算!$P$85)*LN(10)/10))))))),"")</f>
        <v>13.7930365742089</v>
      </c>
      <c r="CI78">
        <f>IF(AND(ISNUMBER(CH78),逐级计算!$X$86&gt;-1),IF(逐级计算!$X$86=0,CH78+逐级计算!$C$86,CH78+逐级计算!$C$86-(10/(逐级计算!$Q$86*LN(10))*(MAX((LN(10^(逐级计算!$Q$86/10)-1)+逐级计算!$Q$86*(CH78-逐级计算!$P$86)*LN(10)/10),0)+LN(1+EXP(-ABS((LN(10^(逐级计算!$Q$86/10)-1)+逐级计算!$Q$86*(CH78-逐级计算!$P$86)*LN(10)/10))))))),"")</f>
        <v>13.7930365742089</v>
      </c>
      <c r="CJ78">
        <f>IF(AND(ISNUMBER(CI78),逐级计算!$X$87&gt;-1),IF(逐级计算!$X$87=0,CI78+逐级计算!$C$87,CI78+逐级计算!$C$87-(10/(逐级计算!$Q$87*LN(10))*(MAX((LN(10^(逐级计算!$Q$87/10)-1)+逐级计算!$Q$87*(CI78-逐级计算!$P$87)*LN(10)/10),0)+LN(1+EXP(-ABS((LN(10^(逐级计算!$Q$87/10)-1)+逐级计算!$Q$87*(CI78-逐级计算!$P$87)*LN(10)/10))))))),"")</f>
        <v>13.7930365742089</v>
      </c>
      <c r="CK78">
        <f>IF(AND(ISNUMBER(CJ78),逐级计算!$X$88&gt;-1),IF(逐级计算!$X$88=0,CJ78+逐级计算!$C$88,CJ78+逐级计算!$C$88-(10/(逐级计算!$Q$88*LN(10))*(MAX((LN(10^(逐级计算!$Q$88/10)-1)+逐级计算!$Q$88*(CJ78-逐级计算!$P$88)*LN(10)/10),0)+LN(1+EXP(-ABS((LN(10^(逐级计算!$Q$88/10)-1)+逐级计算!$Q$88*(CJ78-逐级计算!$P$88)*LN(10)/10))))))),"")</f>
        <v>13.7930365742089</v>
      </c>
      <c r="CL78">
        <f>IF(AND(ISNUMBER(CK78),逐级计算!$X$89&gt;-1),IF(逐级计算!$X$89=0,CK78+逐级计算!$C$89,CK78+逐级计算!$C$89-(10/(逐级计算!$Q$89*LN(10))*(MAX((LN(10^(逐级计算!$Q$89/10)-1)+逐级计算!$Q$89*(CK78-逐级计算!$P$89)*LN(10)/10),0)+LN(1+EXP(-ABS((LN(10^(逐级计算!$Q$89/10)-1)+逐级计算!$Q$89*(CK78-逐级计算!$P$89)*LN(10)/10))))))),"")</f>
        <v>13.7930365742089</v>
      </c>
      <c r="CM78">
        <f>IF(AND(ISNUMBER(CL78),逐级计算!$X$90&gt;-1),IF(逐级计算!$X$90=0,CL78+逐级计算!$C$90,CL78+逐级计算!$C$90-(10/(逐级计算!$Q$90*LN(10))*(MAX((LN(10^(逐级计算!$Q$90/10)-1)+逐级计算!$Q$90*(CL78-逐级计算!$P$90)*LN(10)/10),0)+LN(1+EXP(-ABS((LN(10^(逐级计算!$Q$90/10)-1)+逐级计算!$Q$90*(CL78-逐级计算!$P$90)*LN(10)/10))))))),"")</f>
        <v>13.7930365742089</v>
      </c>
      <c r="CN78">
        <f>IF(AND(ISNUMBER(CM78),逐级计算!$X$91&gt;-1),IF(逐级计算!$X$91=0,CM78+逐级计算!$C$91,CM78+逐级计算!$C$91-(10/(逐级计算!$Q$91*LN(10))*(MAX((LN(10^(逐级计算!$Q$91/10)-1)+逐级计算!$Q$91*(CM78-逐级计算!$P$91)*LN(10)/10),0)+LN(1+EXP(-ABS((LN(10^(逐级计算!$Q$91/10)-1)+逐级计算!$Q$91*(CM78-逐级计算!$P$91)*LN(10)/10))))))),"")</f>
        <v>13.7930365742089</v>
      </c>
      <c r="CO78">
        <f>IF(AND(ISNUMBER(CN78),逐级计算!$X$92&gt;-1),IF(逐级计算!$X$92=0,CN78+逐级计算!$C$92,CN78+逐级计算!$C$92-(10/(逐级计算!$Q$92*LN(10))*(MAX((LN(10^(逐级计算!$Q$92/10)-1)+逐级计算!$Q$92*(CN78-逐级计算!$P$92)*LN(10)/10),0)+LN(1+EXP(-ABS((LN(10^(逐级计算!$Q$92/10)-1)+逐级计算!$Q$92*(CN78-逐级计算!$P$92)*LN(10)/10))))))),"")</f>
        <v>13.7930365742089</v>
      </c>
      <c r="CP78">
        <f>IF(AND(ISNUMBER(CO78),逐级计算!$X$93&gt;-1),IF(逐级计算!$X$93=0,CO78+逐级计算!$C$93,CO78+逐级计算!$C$93-(10/(逐级计算!$Q$93*LN(10))*(MAX((LN(10^(逐级计算!$Q$93/10)-1)+逐级计算!$Q$93*(CO78-逐级计算!$P$93)*LN(10)/10),0)+LN(1+EXP(-ABS((LN(10^(逐级计算!$Q$93/10)-1)+逐级计算!$Q$93*(CO78-逐级计算!$P$93)*LN(10)/10))))))),"")</f>
        <v>13.7930365742089</v>
      </c>
      <c r="CQ78">
        <f>IF(AND(ISNUMBER(CP78),逐级计算!$X$94&gt;-1),IF(逐级计算!$X$94=0,CP78+逐级计算!$C$94,CP78+逐级计算!$C$94-(10/(逐级计算!$Q$94*LN(10))*(MAX((LN(10^(逐级计算!$Q$94/10)-1)+逐级计算!$Q$94*(CP78-逐级计算!$P$94)*LN(10)/10),0)+LN(1+EXP(-ABS((LN(10^(逐级计算!$Q$94/10)-1)+逐级计算!$Q$94*(CP78-逐级计算!$P$94)*LN(10)/10))))))),"")</f>
        <v>13.7930365742089</v>
      </c>
      <c r="CR78">
        <f>IF(AND(ISNUMBER(CQ78),逐级计算!$X$95&gt;-1),IF(逐级计算!$X$95=0,CQ78+逐级计算!$C$95,CQ78+逐级计算!$C$95-(10/(逐级计算!$Q$95*LN(10))*(MAX((LN(10^(逐级计算!$Q$95/10)-1)+逐级计算!$Q$95*(CQ78-逐级计算!$P$95)*LN(10)/10),0)+LN(1+EXP(-ABS((LN(10^(逐级计算!$Q$95/10)-1)+逐级计算!$Q$95*(CQ78-逐级计算!$P$95)*LN(10)/10))))))),"")</f>
        <v>13.7930365742089</v>
      </c>
      <c r="CS78">
        <f>IF(AND(ISNUMBER(CR78),逐级计算!$X$96&gt;-1),IF(逐级计算!$X$96=0,CR78+逐级计算!$C$96,CR78+逐级计算!$C$96-(10/(逐级计算!$Q$96*LN(10))*(MAX((LN(10^(逐级计算!$Q$96/10)-1)+逐级计算!$Q$96*(CR78-逐级计算!$P$96)*LN(10)/10),0)+LN(1+EXP(-ABS((LN(10^(逐级计算!$Q$96/10)-1)+逐级计算!$Q$96*(CR78-逐级计算!$P$96)*LN(10)/10))))))),"")</f>
        <v>13.7930365742089</v>
      </c>
      <c r="CT78">
        <f>IF(AND(ISNUMBER(CS78),逐级计算!$X$97&gt;-1),IF(逐级计算!$X$97=0,CS78+逐级计算!$C$97,CS78+逐级计算!$C$97-(10/(逐级计算!$Q$97*LN(10))*(MAX((LN(10^(逐级计算!$Q$97/10)-1)+逐级计算!$Q$97*(CS78-逐级计算!$P$97)*LN(10)/10),0)+LN(1+EXP(-ABS((LN(10^(逐级计算!$Q$97/10)-1)+逐级计算!$Q$97*(CS78-逐级计算!$P$97)*LN(10)/10))))))),"")</f>
        <v>13.7930365742089</v>
      </c>
      <c r="CU78">
        <f>IF(AND(ISNUMBER(CT78),逐级计算!$X$98&gt;-1),IF(逐级计算!$X$98=0,CT78+逐级计算!$C$98,CT78+逐级计算!$C$98-(10/(逐级计算!$Q$98*LN(10))*(MAX((LN(10^(逐级计算!$Q$98/10)-1)+逐级计算!$Q$98*(CT78-逐级计算!$P$98)*LN(10)/10),0)+LN(1+EXP(-ABS((LN(10^(逐级计算!$Q$98/10)-1)+逐级计算!$Q$98*(CT78-逐级计算!$P$98)*LN(10)/10))))))),"")</f>
        <v>13.7930365742089</v>
      </c>
      <c r="CV78">
        <f>IF(AND(ISNUMBER(CU78),逐级计算!$X$99&gt;-1),IF(逐级计算!$X$99=0,CU78+逐级计算!$C$99,CU78+逐级计算!$C$99-(10/(逐级计算!$Q$99*LN(10))*(MAX((LN(10^(逐级计算!$Q$99/10)-1)+逐级计算!$Q$99*(CU78-逐级计算!$P$99)*LN(10)/10),0)+LN(1+EXP(-ABS((LN(10^(逐级计算!$Q$99/10)-1)+逐级计算!$Q$99*(CU78-逐级计算!$P$99)*LN(10)/10))))))),"")</f>
        <v>13.7930365742089</v>
      </c>
      <c r="CW78">
        <f>IF(AND(ISNUMBER(CV78),逐级计算!$X$100&gt;-1),IF(逐级计算!$X$100=0,CV78+逐级计算!$C$100,CV78+逐级计算!$C$100-(10/(逐级计算!$Q$100*LN(10))*(MAX((LN(10^(逐级计算!$Q$100/10)-1)+逐级计算!$Q$100*(CV78-逐级计算!$P$100)*LN(10)/10),0)+LN(1+EXP(-ABS((LN(10^(逐级计算!$Q$100/10)-1)+逐级计算!$Q$100*(CV78-逐级计算!$P$100)*LN(10)/10))))))),"")</f>
        <v>13.7930365742089</v>
      </c>
      <c r="CX78">
        <f>IF(AND(ISNUMBER(CW78),逐级计算!$X$101&gt;-1),IF(逐级计算!$X$101=0,CW78+逐级计算!$C$101,CW78+逐级计算!$C$101-(10/(逐级计算!$Q$101*LN(10))*(MAX((LN(10^(逐级计算!$Q$101/10)-1)+逐级计算!$Q$101*(CW78-逐级计算!$P$101)*LN(10)/10),0)+LN(1+EXP(-ABS((LN(10^(逐级计算!$Q$101/10)-1)+逐级计算!$Q$101*(CW78-逐级计算!$P$101)*LN(10)/10))))))),"")</f>
        <v>13.7930365742089</v>
      </c>
      <c r="CY78">
        <f>IF(AND(ISNUMBER(CX78),逐级计算!$X$102&gt;-1),IF(逐级计算!$X$102=0,CX78+逐级计算!$C$102,CX78+逐级计算!$C$102-(10/(逐级计算!$Q$102*LN(10))*(MAX((LN(10^(逐级计算!$Q$102/10)-1)+逐级计算!$Q$102*(CX78-逐级计算!$P$102)*LN(10)/10),0)+LN(1+EXP(-ABS((LN(10^(逐级计算!$Q$102/10)-1)+逐级计算!$Q$102*(CX78-逐级计算!$P$102)*LN(10)/10))))))),"")</f>
        <v>13.7930365742089</v>
      </c>
      <c r="CZ78">
        <f>IF(AND(ISNUMBER(CY78),逐级计算!$X$103&gt;-1),IF(逐级计算!$X$103=0,CY78+逐级计算!$C$103,CY78+逐级计算!$C$103-(10/(逐级计算!$Q$103*LN(10))*(MAX((LN(10^(逐级计算!$Q$103/10)-1)+逐级计算!$Q$103*(CY78-逐级计算!$P$103)*LN(10)/10),0)+LN(1+EXP(-ABS((LN(10^(逐级计算!$Q$103/10)-1)+逐级计算!$Q$103*(CY78-逐级计算!$P$103)*LN(10)/10))))))),"")</f>
        <v>13.7930365742089</v>
      </c>
      <c r="DA78">
        <f>IF(AND(ISNUMBER(CZ78),逐级计算!$X$104&gt;-1),IF(逐级计算!$X$104=0,CZ78+逐级计算!$C$104,CZ78+逐级计算!$C$104-(10/(逐级计算!$Q$104*LN(10))*(MAX((LN(10^(逐级计算!$Q$104/10)-1)+逐级计算!$Q$104*(CZ78-逐级计算!$P$104)*LN(10)/10),0)+LN(1+EXP(-ABS((LN(10^(逐级计算!$Q$104/10)-1)+逐级计算!$Q$104*(CZ78-逐级计算!$P$104)*LN(10)/10))))))),"")</f>
        <v>13.7930365742089</v>
      </c>
      <c r="DB78">
        <f>IF(AND(ISNUMBER(DA78),逐级计算!$X$105&gt;-1),IF(逐级计算!$X$105=0,DA78+逐级计算!$C$105,DA78+逐级计算!$C$105-(10/(逐级计算!$Q$105*LN(10))*(MAX((LN(10^(逐级计算!$Q$105/10)-1)+逐级计算!$Q$105*(DA78-逐级计算!$P$105)*LN(10)/10),0)+LN(1+EXP(-ABS((LN(10^(逐级计算!$Q$105/10)-1)+逐级计算!$Q$105*(DA78-逐级计算!$P$105)*LN(10)/10))))))),"")</f>
        <v>13.7930365742089</v>
      </c>
      <c r="DC78">
        <f>IF(AND(ISNUMBER(DB78),逐级计算!$X$106&gt;-1),IF(逐级计算!$X$106=0,DB78+逐级计算!$C$106,DB78+逐级计算!$C$106-(10/(逐级计算!$Q$106*LN(10))*(MAX((LN(10^(逐级计算!$Q$106/10)-1)+逐级计算!$Q$106*(DB78-逐级计算!$P$106)*LN(10)/10),0)+LN(1+EXP(-ABS((LN(10^(逐级计算!$Q$106/10)-1)+逐级计算!$Q$106*(DB78-逐级计算!$P$106)*LN(10)/10))))))),"")</f>
        <v>13.7930365742089</v>
      </c>
      <c r="DD78">
        <f>IF(AND(ISNUMBER(DC78),逐级计算!$X$107&gt;-1),IF(逐级计算!$X$107=0,DC78+逐级计算!$C$107,DC78+逐级计算!$C$107-(10/(逐级计算!$Q$107*LN(10))*(MAX((LN(10^(逐级计算!$Q$107/10)-1)+逐级计算!$Q$107*(DC78-逐级计算!$P$107)*LN(10)/10),0)+LN(1+EXP(-ABS((LN(10^(逐级计算!$Q$107/10)-1)+逐级计算!$Q$107*(DC78-逐级计算!$P$107)*LN(10)/10))))))),"")</f>
        <v>13.7930365742089</v>
      </c>
      <c r="DE78">
        <f>IF(AND(ISNUMBER(DD78),逐级计算!$X$108&gt;-1),IF(逐级计算!$X$108=0,DD78+逐级计算!$C$108,DD78+逐级计算!$C$108-(10/(逐级计算!$Q$108*LN(10))*(MAX((LN(10^(逐级计算!$Q$108/10)-1)+逐级计算!$Q$108*(DD78-逐级计算!$P$108)*LN(10)/10),0)+LN(1+EXP(-ABS((LN(10^(逐级计算!$Q$108/10)-1)+逐级计算!$Q$108*(DD78-逐级计算!$P$108)*LN(10)/10))))))),"")</f>
        <v>13.7930365742089</v>
      </c>
      <c r="DF78">
        <f>IF(AND(ISNUMBER(DE78),逐级计算!$X$109&gt;-1),IF(逐级计算!$X$109=0,DE78+逐级计算!$C$109,DE78+逐级计算!$C$109-(10/(逐级计算!$Q$109*LN(10))*(MAX((LN(10^(逐级计算!$Q$109/10)-1)+逐级计算!$Q$109*(DE78-逐级计算!$P$109)*LN(10)/10),0)+LN(1+EXP(-ABS((LN(10^(逐级计算!$Q$109/10)-1)+逐级计算!$Q$109*(DE78-逐级计算!$P$109)*LN(10)/10))))))),"")</f>
        <v>13.7930365742089</v>
      </c>
      <c r="DG78">
        <f>IF(AND(ISNUMBER(DF78),逐级计算!$X$110&gt;-1),IF(逐级计算!$X$110=0,DF78+逐级计算!$C$110,DF78+逐级计算!$C$110-(10/(逐级计算!$Q$110*LN(10))*(MAX((LN(10^(逐级计算!$Q$110/10)-1)+逐级计算!$Q$110*(DF78-逐级计算!$P$110)*LN(10)/10),0)+LN(1+EXP(-ABS((LN(10^(逐级计算!$Q$110/10)-1)+逐级计算!$Q$110*(DF78-逐级计算!$P$110)*LN(10)/10))))))),"")</f>
        <v>13.7930365742089</v>
      </c>
      <c r="DH78">
        <f>IF(AND(ISNUMBER(DG78),逐级计算!$X$111&gt;-1),IF(逐级计算!$X$111=0,DG78+逐级计算!$C$111,DG78+逐级计算!$C$111-(10/(逐级计算!$Q$111*LN(10))*(MAX((LN(10^(逐级计算!$Q$111/10)-1)+逐级计算!$Q$111*(DG78-逐级计算!$P$111)*LN(10)/10),0)+LN(1+EXP(-ABS((LN(10^(逐级计算!$Q$111/10)-1)+逐级计算!$Q$111*(DG78-逐级计算!$P$111)*LN(10)/10))))))),"")</f>
        <v>13.7930365742089</v>
      </c>
      <c r="DI78">
        <f>IF(AND(ISNUMBER(DH78),逐级计算!$X$112&gt;-1),IF(逐级计算!$X$112=0,DH78+逐级计算!$C$112,DH78+逐级计算!$C$112-(10/(逐级计算!$Q$112*LN(10))*(MAX((LN(10^(逐级计算!$Q$112/10)-1)+逐级计算!$Q$112*(DH78-逐级计算!$P$112)*LN(10)/10),0)+LN(1+EXP(-ABS((LN(10^(逐级计算!$Q$112/10)-1)+逐级计算!$Q$112*(DH78-逐级计算!$P$112)*LN(10)/10))))))),"")</f>
        <v>13.7930365742089</v>
      </c>
      <c r="DJ78">
        <f>IF(AND(ISNUMBER(DI78),逐级计算!$X$113&gt;-1),IF(逐级计算!$X$113=0,DI78+逐级计算!$C$113,DI78+逐级计算!$C$113-(10/(逐级计算!$Q$113*LN(10))*(MAX((LN(10^(逐级计算!$Q$113/10)-1)+逐级计算!$Q$113*(DI78-逐级计算!$P$113)*LN(10)/10),0)+LN(1+EXP(-ABS((LN(10^(逐级计算!$Q$113/10)-1)+逐级计算!$Q$113*(DI78-逐级计算!$P$113)*LN(10)/10))))))),"")</f>
        <v>13.7930365742089</v>
      </c>
      <c r="DK78">
        <f>IF(AND(ISNUMBER(DJ78),逐级计算!$X$114&gt;-1),IF(逐级计算!$X$114=0,DJ78+逐级计算!$C$114,DJ78+逐级计算!$C$114-(10/(逐级计算!$Q$114*LN(10))*(MAX((LN(10^(逐级计算!$Q$114/10)-1)+逐级计算!$Q$114*(DJ78-逐级计算!$P$114)*LN(10)/10),0)+LN(1+EXP(-ABS((LN(10^(逐级计算!$Q$114/10)-1)+逐级计算!$Q$114*(DJ78-逐级计算!$P$114)*LN(10)/10))))))),"")</f>
        <v>13.7930365742089</v>
      </c>
      <c r="DL78">
        <f>IF(AND(ISNUMBER(DK78),逐级计算!$X$115&gt;-1),IF(逐级计算!$X$115=0,DK78+逐级计算!$C$115,DK78+逐级计算!$C$115-(10/(逐级计算!$Q$115*LN(10))*(MAX((LN(10^(逐级计算!$Q$115/10)-1)+逐级计算!$Q$115*(DK78-逐级计算!$P$115)*LN(10)/10),0)+LN(1+EXP(-ABS((LN(10^(逐级计算!$Q$115/10)-1)+逐级计算!$Q$115*(DK78-逐级计算!$P$115)*LN(10)/10))))))),"")</f>
        <v>13.7930365742089</v>
      </c>
      <c r="DM78">
        <f>IF(AND(ISNUMBER(DL78),逐级计算!$X$116&gt;-1),IF(逐级计算!$X$116=0,DL78+逐级计算!$C$116,DL78+逐级计算!$C$116-(10/(逐级计算!$Q$116*LN(10))*(MAX((LN(10^(逐级计算!$Q$116/10)-1)+逐级计算!$Q$116*(DL78-逐级计算!$P$116)*LN(10)/10),0)+LN(1+EXP(-ABS((LN(10^(逐级计算!$Q$116/10)-1)+逐级计算!$Q$116*(DL78-逐级计算!$P$116)*LN(10)/10))))))),"")</f>
        <v>13.7930365742089</v>
      </c>
      <c r="DN78">
        <f>IF(AND(ISNUMBER(DM78),逐级计算!$X$117&gt;-1),IF(逐级计算!$X$117=0,DM78+逐级计算!$C$117,DM78+逐级计算!$C$117-(10/(逐级计算!$Q$117*LN(10))*(MAX((LN(10^(逐级计算!$Q$117/10)-1)+逐级计算!$Q$117*(DM78-逐级计算!$P$117)*LN(10)/10),0)+LN(1+EXP(-ABS((LN(10^(逐级计算!$Q$117/10)-1)+逐级计算!$Q$117*(DM78-逐级计算!$P$117)*LN(10)/10))))))),"")</f>
        <v>13.7930365742089</v>
      </c>
      <c r="DO78">
        <f>IF(AND(ISNUMBER(DN78),逐级计算!$X$118&gt;-1),IF(逐级计算!$X$118=0,DN78+逐级计算!$C$118,DN78+逐级计算!$C$118-(10/(逐级计算!$Q$118*LN(10))*(MAX((LN(10^(逐级计算!$Q$118/10)-1)+逐级计算!$Q$118*(DN78-逐级计算!$P$118)*LN(10)/10),0)+LN(1+EXP(-ABS((LN(10^(逐级计算!$Q$118/10)-1)+逐级计算!$Q$118*(DN78-逐级计算!$P$118)*LN(10)/10))))))),"")</f>
        <v>13.7930365742089</v>
      </c>
      <c r="DP78">
        <f>IF(AND(ISNUMBER(DO78),逐级计算!$X$119&gt;-1),IF(逐级计算!$X$119=0,DO78+逐级计算!$C$119,DO78+逐级计算!$C$119-(10/(逐级计算!$Q$119*LN(10))*(MAX((LN(10^(逐级计算!$Q$119/10)-1)+逐级计算!$Q$119*(DO78-逐级计算!$P$119)*LN(10)/10),0)+LN(1+EXP(-ABS((LN(10^(逐级计算!$Q$119/10)-1)+逐级计算!$Q$119*(DO78-逐级计算!$P$119)*LN(10)/10))))))),"")</f>
        <v>13.7930365742089</v>
      </c>
      <c r="DQ78">
        <f>IF(AND(ISNUMBER(DP78),逐级计算!$X$120&gt;-1),IF(逐级计算!$X$120=0,DP78+逐级计算!$C$120,DP78+逐级计算!$C$120-(10/(逐级计算!$Q$120*LN(10))*(MAX((LN(10^(逐级计算!$Q$120/10)-1)+逐级计算!$Q$120*(DP78-逐级计算!$P$120)*LN(10)/10),0)+LN(1+EXP(-ABS((LN(10^(逐级计算!$Q$120/10)-1)+逐级计算!$Q$120*(DP78-逐级计算!$P$120)*LN(10)/10))))))),"")</f>
        <v>13.7930365742089</v>
      </c>
      <c r="DR78">
        <f>IF(AND(ISNUMBER(DQ78),逐级计算!$X$121&gt;-1),IF(逐级计算!$X$121=0,DQ78+逐级计算!$C$121,DQ78+逐级计算!$C$121-(10/(逐级计算!$Q$121*LN(10))*(MAX((LN(10^(逐级计算!$Q$121/10)-1)+逐级计算!$Q$121*(DQ78-逐级计算!$P$121)*LN(10)/10),0)+LN(1+EXP(-ABS((LN(10^(逐级计算!$Q$121/10)-1)+逐级计算!$Q$121*(DQ78-逐级计算!$P$121)*LN(10)/10))))))),"")</f>
        <v>13.7930365742089</v>
      </c>
      <c r="DS78">
        <f>IF(AND(ISNUMBER(DR78),逐级计算!$X$122&gt;-1),IF(逐级计算!$X$122=0,DR78+逐级计算!$C$122,DR78+逐级计算!$C$122-(10/(逐级计算!$Q$122*LN(10))*(MAX((LN(10^(逐级计算!$Q$122/10)-1)+逐级计算!$Q$122*(DR78-逐级计算!$P$122)*LN(10)/10),0)+LN(1+EXP(-ABS((LN(10^(逐级计算!$Q$122/10)-1)+逐级计算!$Q$122*(DR78-逐级计算!$P$122)*LN(10)/10))))))),"")</f>
        <v>13.7930365742089</v>
      </c>
      <c r="DT78">
        <f>IF(AND(ISNUMBER(DS78),逐级计算!$X$123&gt;-1),IF(逐级计算!$X$123=0,DS78+逐级计算!$C$123,DS78+逐级计算!$C$123-(10/(逐级计算!$Q$123*LN(10))*(MAX((LN(10^(逐级计算!$Q$123/10)-1)+逐级计算!$Q$123*(DS78-逐级计算!$P$123)*LN(10)/10),0)+LN(1+EXP(-ABS((LN(10^(逐级计算!$Q$123/10)-1)+逐级计算!$Q$123*(DS78-逐级计算!$P$123)*LN(10)/10))))))),"")</f>
        <v>13.7930365742089</v>
      </c>
      <c r="DU78">
        <f>IF(AND(ISNUMBER(DT78),逐级计算!$X$124&gt;-1),IF(逐级计算!$X$124=0,DT78+逐级计算!$C$124,DT78+逐级计算!$C$124-(10/(逐级计算!$Q$124*LN(10))*(MAX((LN(10^(逐级计算!$Q$124/10)-1)+逐级计算!$Q$124*(DT78-逐级计算!$P$124)*LN(10)/10),0)+LN(1+EXP(-ABS((LN(10^(逐级计算!$Q$124/10)-1)+逐级计算!$Q$124*(DT78-逐级计算!$P$124)*LN(10)/10))))))),"")</f>
        <v>13.7930365742089</v>
      </c>
      <c r="DV78">
        <f>IF(AND(ISNUMBER(DU78),逐级计算!$X$125&gt;-1),IF(逐级计算!$X$125=0,DU78+逐级计算!$C$125,DU78+逐级计算!$C$125-(10/(逐级计算!$Q$125*LN(10))*(MAX((LN(10^(逐级计算!$Q$125/10)-1)+逐级计算!$Q$125*(DU78-逐级计算!$P$125)*LN(10)/10),0)+LN(1+EXP(-ABS((LN(10^(逐级计算!$Q$125/10)-1)+逐级计算!$Q$125*(DU78-逐级计算!$P$125)*LN(10)/10))))))),"")</f>
        <v>13.7930365742089</v>
      </c>
      <c r="DW78">
        <f>IF(AND(ISNUMBER(DV78),逐级计算!$X$126&gt;-1),IF(逐级计算!$X$126=0,DV78+逐级计算!$C$126,DV78+逐级计算!$C$126-(10/(逐级计算!$Q$126*LN(10))*(MAX((LN(10^(逐级计算!$Q$126/10)-1)+逐级计算!$Q$126*(DV78-逐级计算!$P$126)*LN(10)/10),0)+LN(1+EXP(-ABS((LN(10^(逐级计算!$Q$126/10)-1)+逐级计算!$Q$126*(DV78-逐级计算!$P$126)*LN(10)/10))))))),"")</f>
        <v>13.7930365742089</v>
      </c>
      <c r="DX78">
        <f>IF(AND(ISNUMBER(DW78),逐级计算!$X$127&gt;-1),IF(逐级计算!$X$127=0,DW78+逐级计算!$C$127,DW78+逐级计算!$C$127-(10/(逐级计算!$Q$127*LN(10))*(MAX((LN(10^(逐级计算!$Q$127/10)-1)+逐级计算!$Q$127*(DW78-逐级计算!$P$127)*LN(10)/10),0)+LN(1+EXP(-ABS((LN(10^(逐级计算!$Q$127/10)-1)+逐级计算!$Q$127*(DW78-逐级计算!$P$127)*LN(10)/10))))))),"")</f>
        <v>13.7930365742089</v>
      </c>
      <c r="DY78">
        <f>IF(AND(ISNUMBER(DX78),逐级计算!$X$128&gt;-1),IF(逐级计算!$X$128=0,DX78+逐级计算!$C$128,DX78+逐级计算!$C$128-(10/(逐级计算!$Q$128*LN(10))*(MAX((LN(10^(逐级计算!$Q$128/10)-1)+逐级计算!$Q$128*(DX78-逐级计算!$P$128)*LN(10)/10),0)+LN(1+EXP(-ABS((LN(10^(逐级计算!$Q$128/10)-1)+逐级计算!$Q$128*(DX78-逐级计算!$P$128)*LN(10)/10))))))),"")</f>
        <v>13.7930365742089</v>
      </c>
      <c r="DZ78">
        <f>IF(AND(ISNUMBER(DY78),逐级计算!$X$129&gt;-1),IF(逐级计算!$X$129=0,DY78+逐级计算!$C$129,DY78+逐级计算!$C$129-(10/(逐级计算!$Q$129*LN(10))*(MAX((LN(10^(逐级计算!$Q$129/10)-1)+逐级计算!$Q$129*(DY78-逐级计算!$P$129)*LN(10)/10),0)+LN(1+EXP(-ABS((LN(10^(逐级计算!$Q$129/10)-1)+逐级计算!$Q$129*(DY78-逐级计算!$P$129)*LN(10)/10))))))),"")</f>
        <v>13.7930365742089</v>
      </c>
      <c r="EA78">
        <f>IF(AND(ISNUMBER(DZ78),逐级计算!$X$130&gt;-1),IF(逐级计算!$X$130=0,DZ78+逐级计算!$C$130,DZ78+逐级计算!$C$130-(10/(逐级计算!$Q$130*LN(10))*(MAX((LN(10^(逐级计算!$Q$130/10)-1)+逐级计算!$Q$130*(DZ78-逐级计算!$P$130)*LN(10)/10),0)+LN(1+EXP(-ABS((LN(10^(逐级计算!$Q$130/10)-1)+逐级计算!$Q$130*(DZ78-逐级计算!$P$130)*LN(10)/10))))))),"")</f>
        <v>13.7930365742089</v>
      </c>
      <c r="EB78">
        <f>IF(AND(ISNUMBER(EA78),逐级计算!$X$131&gt;-1),IF(逐级计算!$X$131=0,EA78+逐级计算!$C$131,EA78+逐级计算!$C$131-(10/(逐级计算!$Q$131*LN(10))*(MAX((LN(10^(逐级计算!$Q$131/10)-1)+逐级计算!$Q$131*(EA78-逐级计算!$P$131)*LN(10)/10),0)+LN(1+EXP(-ABS((LN(10^(逐级计算!$Q$131/10)-1)+逐级计算!$Q$131*(EA78-逐级计算!$P$131)*LN(10)/10))))))),"")</f>
        <v>13.7930365742089</v>
      </c>
      <c r="EC78">
        <f>IF(AND(ISNUMBER(EB78),逐级计算!$X$132&gt;-1),IF(逐级计算!$X$132=0,EB78+逐级计算!$C$132,EB78+逐级计算!$C$132-(10/(逐级计算!$Q$132*LN(10))*(MAX((LN(10^(逐级计算!$Q$132/10)-1)+逐级计算!$Q$132*(EB78-逐级计算!$P$132)*LN(10)/10),0)+LN(1+EXP(-ABS((LN(10^(逐级计算!$Q$132/10)-1)+逐级计算!$Q$132*(EB78-逐级计算!$P$132)*LN(10)/10))))))),"")</f>
        <v>13.7930365742089</v>
      </c>
      <c r="ED78">
        <f>IF(AND(ISNUMBER(EC78),逐级计算!$X$133&gt;-1),IF(逐级计算!$X$133=0,EC78+逐级计算!$C$133,EC78+逐级计算!$C$133-(10/(逐级计算!$Q$133*LN(10))*(MAX((LN(10^(逐级计算!$Q$133/10)-1)+逐级计算!$Q$133*(EC78-逐级计算!$P$133)*LN(10)/10),0)+LN(1+EXP(-ABS((LN(10^(逐级计算!$Q$133/10)-1)+逐级计算!$Q$133*(EC78-逐级计算!$P$133)*LN(10)/10))))))),"")</f>
        <v>13.7930365742089</v>
      </c>
      <c r="EE78">
        <f>IF(AND(ISNUMBER(ED78),逐级计算!$X$134&gt;-1),IF(逐级计算!$X$134=0,ED78+逐级计算!$C$134,ED78+逐级计算!$C$134-(10/(逐级计算!$Q$134*LN(10))*(MAX((LN(10^(逐级计算!$Q$134/10)-1)+逐级计算!$Q$134*(ED78-逐级计算!$P$134)*LN(10)/10),0)+LN(1+EXP(-ABS((LN(10^(逐级计算!$Q$134/10)-1)+逐级计算!$Q$134*(ED78-逐级计算!$P$134)*LN(10)/10))))))),"")</f>
        <v>13.7930365742089</v>
      </c>
      <c r="EF78">
        <f>IF(AND(ISNUMBER(EE78),逐级计算!$X$135&gt;-1),IF(逐级计算!$X$135=0,EE78+逐级计算!$C$135,EE78+逐级计算!$C$135-(10/(逐级计算!$Q$135*LN(10))*(MAX((LN(10^(逐级计算!$Q$135/10)-1)+逐级计算!$Q$135*(EE78-逐级计算!$P$135)*LN(10)/10),0)+LN(1+EXP(-ABS((LN(10^(逐级计算!$Q$135/10)-1)+逐级计算!$Q$135*(EE78-逐级计算!$P$135)*LN(10)/10))))))),"")</f>
        <v>13.7930365742089</v>
      </c>
      <c r="EG78">
        <f>IF(AND(ISNUMBER(EF78),逐级计算!$X$136&gt;-1),IF(逐级计算!$X$136=0,EF78+逐级计算!$C$136,EF78+逐级计算!$C$136-(10/(逐级计算!$Q$136*LN(10))*(MAX((LN(10^(逐级计算!$Q$136/10)-1)+逐级计算!$Q$136*(EF78-逐级计算!$P$136)*LN(10)/10),0)+LN(1+EXP(-ABS((LN(10^(逐级计算!$Q$136/10)-1)+逐级计算!$Q$136*(EF78-逐级计算!$P$136)*LN(10)/10))))))),"")</f>
        <v>13.7930365742089</v>
      </c>
      <c r="EH78">
        <f>IF(AND(ISNUMBER(EG78),逐级计算!$X$137&gt;-1),IF(逐级计算!$X$137=0,EG78+逐级计算!$C$137,EG78+逐级计算!$C$137-(10/(逐级计算!$Q$137*LN(10))*(MAX((LN(10^(逐级计算!$Q$137/10)-1)+逐级计算!$Q$137*(EG78-逐级计算!$P$137)*LN(10)/10),0)+LN(1+EXP(-ABS((LN(10^(逐级计算!$Q$137/10)-1)+逐级计算!$Q$137*(EG78-逐级计算!$P$137)*LN(10)/10))))))),"")</f>
        <v>13.7930365742089</v>
      </c>
      <c r="EI78">
        <f>IF(AND(ISNUMBER(EH78),逐级计算!$X$138&gt;-1),IF(逐级计算!$X$138=0,EH78+逐级计算!$C$138,EH78+逐级计算!$C$138-(10/(逐级计算!$Q$138*LN(10))*(MAX((LN(10^(逐级计算!$Q$138/10)-1)+逐级计算!$Q$138*(EH78-逐级计算!$P$138)*LN(10)/10),0)+LN(1+EXP(-ABS((LN(10^(逐级计算!$Q$138/10)-1)+逐级计算!$Q$138*(EH78-逐级计算!$P$138)*LN(10)/10))))))),"")</f>
        <v>13.7930365742089</v>
      </c>
      <c r="EJ78">
        <f>IF(AND(ISNUMBER(EI78),逐级计算!$X$139&gt;-1),IF(逐级计算!$X$139=0,EI78+逐级计算!$C$139,EI78+逐级计算!$C$139-(10/(逐级计算!$Q$139*LN(10))*(MAX((LN(10^(逐级计算!$Q$139/10)-1)+逐级计算!$Q$139*(EI78-逐级计算!$P$139)*LN(10)/10),0)+LN(1+EXP(-ABS((LN(10^(逐级计算!$Q$139/10)-1)+逐级计算!$Q$139*(EI78-逐级计算!$P$139)*LN(10)/10))))))),"")</f>
        <v>13.7930365742089</v>
      </c>
      <c r="EK78">
        <f>IF(AND(ISNUMBER(EJ78),逐级计算!$X$140&gt;-1),IF(逐级计算!$X$140=0,EJ78+逐级计算!$C$140,EJ78+逐级计算!$C$140-(10/(逐级计算!$Q$140*LN(10))*(MAX((LN(10^(逐级计算!$Q$140/10)-1)+逐级计算!$Q$140*(EJ78-逐级计算!$P$140)*LN(10)/10),0)+LN(1+EXP(-ABS((LN(10^(逐级计算!$Q$140/10)-1)+逐级计算!$Q$140*(EJ78-逐级计算!$P$140)*LN(10)/10))))))),"")</f>
        <v>13.7930365742089</v>
      </c>
      <c r="EL78">
        <f>IF(AND(ISNUMBER(EK78),逐级计算!$X$141&gt;-1),IF(逐级计算!$X$141=0,EK78+逐级计算!$C$141,EK78+逐级计算!$C$141-(10/(逐级计算!$Q$141*LN(10))*(MAX((LN(10^(逐级计算!$Q$141/10)-1)+逐级计算!$Q$141*(EK78-逐级计算!$P$141)*LN(10)/10),0)+LN(1+EXP(-ABS((LN(10^(逐级计算!$Q$141/10)-1)+逐级计算!$Q$141*(EK78-逐级计算!$P$141)*LN(10)/10))))))),"")</f>
        <v>13.7930365742089</v>
      </c>
      <c r="EM78">
        <f>IF(AND(ISNUMBER(EL78),逐级计算!$X$142&gt;-1),IF(逐级计算!$X$142=0,EL78+逐级计算!$C$142,EL78+逐级计算!$C$142-(10/(逐级计算!$Q$142*LN(10))*(MAX((LN(10^(逐级计算!$Q$142/10)-1)+逐级计算!$Q$142*(EL78-逐级计算!$P$142)*LN(10)/10),0)+LN(1+EXP(-ABS((LN(10^(逐级计算!$Q$142/10)-1)+逐级计算!$Q$142*(EL78-逐级计算!$P$142)*LN(10)/10))))))),"")</f>
        <v>13.7930365742089</v>
      </c>
      <c r="EN78">
        <f>IF(AND(ISNUMBER(EM78),逐级计算!$X$143&gt;-1),IF(逐级计算!$X$143=0,EM78+逐级计算!$C$143,EM78+逐级计算!$C$143-(10/(逐级计算!$Q$143*LN(10))*(MAX((LN(10^(逐级计算!$Q$143/10)-1)+逐级计算!$Q$143*(EM78-逐级计算!$P$143)*LN(10)/10),0)+LN(1+EXP(-ABS((LN(10^(逐级计算!$Q$143/10)-1)+逐级计算!$Q$143*(EM78-逐级计算!$P$143)*LN(10)/10))))))),"")</f>
        <v>13.7930365742089</v>
      </c>
      <c r="EO78">
        <f>IF(AND(ISNUMBER(EN78),逐级计算!$X$144&gt;-1),IF(逐级计算!$X$144=0,EN78+逐级计算!$C$144,EN78+逐级计算!$C$144-(10/(逐级计算!$Q$144*LN(10))*(MAX((LN(10^(逐级计算!$Q$144/10)-1)+逐级计算!$Q$144*(EN78-逐级计算!$P$144)*LN(10)/10),0)+LN(1+EXP(-ABS((LN(10^(逐级计算!$Q$144/10)-1)+逐级计算!$Q$144*(EN78-逐级计算!$P$144)*LN(10)/10))))))),"")</f>
        <v>13.7930365742089</v>
      </c>
      <c r="EP78">
        <f>IF(AND(ISNUMBER(EO78),逐级计算!$X$145&gt;-1),IF(逐级计算!$X$145=0,EO78+逐级计算!$C$145,EO78+逐级计算!$C$145-(10/(逐级计算!$Q$145*LN(10))*(MAX((LN(10^(逐级计算!$Q$145/10)-1)+逐级计算!$Q$145*(EO78-逐级计算!$P$145)*LN(10)/10),0)+LN(1+EXP(-ABS((LN(10^(逐级计算!$Q$145/10)-1)+逐级计算!$Q$145*(EO78-逐级计算!$P$145)*LN(10)/10))))))),"")</f>
        <v>13.7930365742089</v>
      </c>
      <c r="EQ78">
        <f>IF(AND(ISNUMBER(EP78),逐级计算!$X$146&gt;-1),IF(逐级计算!$X$146=0,EP78+逐级计算!$C$146,EP78+逐级计算!$C$146-(10/(逐级计算!$Q$146*LN(10))*(MAX((LN(10^(逐级计算!$Q$146/10)-1)+逐级计算!$Q$146*(EP78-逐级计算!$P$146)*LN(10)/10),0)+LN(1+EXP(-ABS((LN(10^(逐级计算!$Q$146/10)-1)+逐级计算!$Q$146*(EP78-逐级计算!$P$146)*LN(10)/10))))))),"")</f>
        <v>13.7930365742089</v>
      </c>
      <c r="ER78">
        <f>IF(AND(ISNUMBER(EQ78),逐级计算!$X$147&gt;-1),IF(逐级计算!$X$147=0,EQ78+逐级计算!$C$147,EQ78+逐级计算!$C$147-(10/(逐级计算!$Q$147*LN(10))*(MAX((LN(10^(逐级计算!$Q$147/10)-1)+逐级计算!$Q$147*(EQ78-逐级计算!$P$147)*LN(10)/10),0)+LN(1+EXP(-ABS((LN(10^(逐级计算!$Q$147/10)-1)+逐级计算!$Q$147*(EQ78-逐级计算!$P$147)*LN(10)/10))))))),"")</f>
        <v>13.7930365742089</v>
      </c>
      <c r="ES78">
        <f>IF(AND(ISNUMBER(ER78),逐级计算!$X$148&gt;-1),IF(逐级计算!$X$148=0,ER78+逐级计算!$C$148,ER78+逐级计算!$C$148-(10/(逐级计算!$Q$148*LN(10))*(MAX((LN(10^(逐级计算!$Q$148/10)-1)+逐级计算!$Q$148*(ER78-逐级计算!$P$148)*LN(10)/10),0)+LN(1+EXP(-ABS((LN(10^(逐级计算!$Q$148/10)-1)+逐级计算!$Q$148*(ER78-逐级计算!$P$148)*LN(10)/10))))))),"")</f>
        <v>13.7930365742089</v>
      </c>
      <c r="ET78">
        <f>IF(AND(ISNUMBER(ES78),逐级计算!$X$149&gt;-1),IF(逐级计算!$X$149=0,ES78+逐级计算!$C$149,ES78+逐级计算!$C$149-(10/(逐级计算!$Q$149*LN(10))*(MAX((LN(10^(逐级计算!$Q$149/10)-1)+逐级计算!$Q$149*(ES78-逐级计算!$P$149)*LN(10)/10),0)+LN(1+EXP(-ABS((LN(10^(逐级计算!$Q$149/10)-1)+逐级计算!$Q$149*(ES78-逐级计算!$P$149)*LN(10)/10))))))),"")</f>
        <v>13.7930365742089</v>
      </c>
      <c r="EU78">
        <f>IF(AND(ISNUMBER(ET78),逐级计算!$X$150&gt;-1),IF(逐级计算!$X$150=0,ET78+逐级计算!$C$150,ET78+逐级计算!$C$150-(10/(逐级计算!$Q$150*LN(10))*(MAX((LN(10^(逐级计算!$Q$150/10)-1)+逐级计算!$Q$150*(ET78-逐级计算!$P$150)*LN(10)/10),0)+LN(1+EXP(-ABS((LN(10^(逐级计算!$Q$150/10)-1)+逐级计算!$Q$150*(ET78-逐级计算!$P$150)*LN(10)/10))))))),"")</f>
        <v>13.7930365742089</v>
      </c>
      <c r="EV78">
        <f>IF(AND(ISNUMBER(EU78),逐级计算!$X$151&gt;-1),IF(逐级计算!$X$151=0,EU78+逐级计算!$C$151,EU78+逐级计算!$C$151-(10/(逐级计算!$Q$151*LN(10))*(MAX((LN(10^(逐级计算!$Q$151/10)-1)+逐级计算!$Q$151*(EU78-逐级计算!$P$151)*LN(10)/10),0)+LN(1+EXP(-ABS((LN(10^(逐级计算!$Q$151/10)-1)+逐级计算!$Q$151*(EU78-逐级计算!$P$151)*LN(10)/10))))))),"")</f>
        <v>13.7930365742089</v>
      </c>
      <c r="EW78">
        <f>IF(AND(ISNUMBER(EV78),逐级计算!$X$152&gt;-1),IF(逐级计算!$X$152=0,EV78+逐级计算!$C$152,EV78+逐级计算!$C$152-(10/(逐级计算!$Q$152*LN(10))*(MAX((LN(10^(逐级计算!$Q$152/10)-1)+逐级计算!$Q$152*(EV78-逐级计算!$P$152)*LN(10)/10),0)+LN(1+EXP(-ABS((LN(10^(逐级计算!$Q$152/10)-1)+逐级计算!$Q$152*(EV78-逐级计算!$P$152)*LN(10)/10))))))),"")</f>
        <v>13.7930365742089</v>
      </c>
      <c r="EX78">
        <f>IF(AND(ISNUMBER(EW78),逐级计算!$X$153&gt;-1),IF(逐级计算!$X$153=0,EW78+逐级计算!$C$153,EW78+逐级计算!$C$153-(10/(逐级计算!$Q$153*LN(10))*(MAX((LN(10^(逐级计算!$Q$153/10)-1)+逐级计算!$Q$153*(EW78-逐级计算!$P$153)*LN(10)/10),0)+LN(1+EXP(-ABS((LN(10^(逐级计算!$Q$153/10)-1)+逐级计算!$Q$153*(EW78-逐级计算!$P$153)*LN(10)/10))))))),"")</f>
        <v>13.7930365742089</v>
      </c>
      <c r="EY78">
        <f>IF(AND(ISNUMBER(EX78),逐级计算!$X$154&gt;-1),IF(逐级计算!$X$154=0,EX78+逐级计算!$C$154,EX78+逐级计算!$C$154-(10/(逐级计算!$Q$154*LN(10))*(MAX((LN(10^(逐级计算!$Q$154/10)-1)+逐级计算!$Q$154*(EX78-逐级计算!$P$154)*LN(10)/10),0)+LN(1+EXP(-ABS((LN(10^(逐级计算!$Q$154/10)-1)+逐级计算!$Q$154*(EX78-逐级计算!$P$154)*LN(10)/10))))))),"")</f>
        <v>13.7930365742089</v>
      </c>
      <c r="EZ78">
        <f>IF(AND(ISNUMBER(EY78),逐级计算!$X$155&gt;-1),IF(逐级计算!$X$155=0,EY78+逐级计算!$C$155,EY78+逐级计算!$C$155-(10/(逐级计算!$Q$155*LN(10))*(MAX((LN(10^(逐级计算!$Q$155/10)-1)+逐级计算!$Q$155*(EY78-逐级计算!$P$155)*LN(10)/10),0)+LN(1+EXP(-ABS((LN(10^(逐级计算!$Q$155/10)-1)+逐级计算!$Q$155*(EY78-逐级计算!$P$155)*LN(10)/10))))))),"")</f>
        <v>13.7930365742089</v>
      </c>
      <c r="FA78">
        <f>IF(AND(ISNUMBER(EZ78),逐级计算!$X$156&gt;-1),IF(逐级计算!$X$156=0,EZ78+逐级计算!$C$156,EZ78+逐级计算!$C$156-(10/(逐级计算!$Q$156*LN(10))*(MAX((LN(10^(逐级计算!$Q$156/10)-1)+逐级计算!$Q$156*(EZ78-逐级计算!$P$156)*LN(10)/10),0)+LN(1+EXP(-ABS((LN(10^(逐级计算!$Q$156/10)-1)+逐级计算!$Q$156*(EZ78-逐级计算!$P$156)*LN(10)/10))))))),"")</f>
        <v>13.7930365742089</v>
      </c>
      <c r="FB78">
        <f>IF(AND(ISNUMBER(FA78),逐级计算!$X$157&gt;-1),IF(逐级计算!$X$157=0,FA78+逐级计算!$C$157,FA78+逐级计算!$C$157-(10/(逐级计算!$Q$157*LN(10))*(MAX((LN(10^(逐级计算!$Q$157/10)-1)+逐级计算!$Q$157*(FA78-逐级计算!$P$157)*LN(10)/10),0)+LN(1+EXP(-ABS((LN(10^(逐级计算!$Q$157/10)-1)+逐级计算!$Q$157*(FA78-逐级计算!$P$157)*LN(10)/10))))))),"")</f>
        <v>13.7930365742089</v>
      </c>
      <c r="FC78">
        <f>IF(AND(ISNUMBER(FB78),逐级计算!$X$158&gt;-1),IF(逐级计算!$X$158=0,FB78+逐级计算!$C$158,FB78+逐级计算!$C$158-(10/(逐级计算!$Q$158*LN(10))*(MAX((LN(10^(逐级计算!$Q$158/10)-1)+逐级计算!$Q$158*(FB78-逐级计算!$P$158)*LN(10)/10),0)+LN(1+EXP(-ABS((LN(10^(逐级计算!$Q$158/10)-1)+逐级计算!$Q$158*(FB78-逐级计算!$P$158)*LN(10)/10))))))),"")</f>
        <v>13.7930365742089</v>
      </c>
      <c r="FD78">
        <f>IF(AND(ISNUMBER(FC78),逐级计算!$X$159&gt;-1),IF(逐级计算!$X$159=0,FC78+逐级计算!$C$159,FC78+逐级计算!$C$159-(10/(逐级计算!$Q$159*LN(10))*(MAX((LN(10^(逐级计算!$Q$159/10)-1)+逐级计算!$Q$159*(FC78-逐级计算!$P$159)*LN(10)/10),0)+LN(1+EXP(-ABS((LN(10^(逐级计算!$Q$159/10)-1)+逐级计算!$Q$159*(FC78-逐级计算!$P$159)*LN(10)/10))))))),"")</f>
        <v>13.7930365742089</v>
      </c>
      <c r="FE78">
        <f>IF(AND(ISNUMBER(FD78),逐级计算!$X$160&gt;-1),IF(逐级计算!$X$160=0,FD78+逐级计算!$C$160,FD78+逐级计算!$C$160-(10/(逐级计算!$Q$160*LN(10))*(MAX((LN(10^(逐级计算!$Q$160/10)-1)+逐级计算!$Q$160*(FD78-逐级计算!$P$160)*LN(10)/10),0)+LN(1+EXP(-ABS((LN(10^(逐级计算!$Q$160/10)-1)+逐级计算!$Q$160*(FD78-逐级计算!$P$160)*LN(10)/10))))))),"")</f>
        <v>13.7930365742089</v>
      </c>
      <c r="FF78">
        <f>IF(AND(ISNUMBER(FE78),逐级计算!$X$161&gt;-1),IF(逐级计算!$X$161=0,FE78+逐级计算!$C$161,FE78+逐级计算!$C$161-(10/(逐级计算!$Q$161*LN(10))*(MAX((LN(10^(逐级计算!$Q$161/10)-1)+逐级计算!$Q$161*(FE78-逐级计算!$P$161)*LN(10)/10),0)+LN(1+EXP(-ABS((LN(10^(逐级计算!$Q$161/10)-1)+逐级计算!$Q$161*(FE78-逐级计算!$P$161)*LN(10)/10))))))),"")</f>
        <v>13.7930365742089</v>
      </c>
      <c r="FG78">
        <f>IF(AND(ISNUMBER(FF78),逐级计算!$X$162&gt;-1),IF(逐级计算!$X$162=0,FF78+逐级计算!$C$162,FF78+逐级计算!$C$162-(10/(逐级计算!$Q$162*LN(10))*(MAX((LN(10^(逐级计算!$Q$162/10)-1)+逐级计算!$Q$162*(FF78-逐级计算!$P$162)*LN(10)/10),0)+LN(1+EXP(-ABS((LN(10^(逐级计算!$Q$162/10)-1)+逐级计算!$Q$162*(FF78-逐级计算!$P$162)*LN(10)/10))))))),"")</f>
        <v>13.7930365742089</v>
      </c>
      <c r="FH78">
        <f>IF(AND(ISNUMBER(FG78),逐级计算!$X$163&gt;-1),IF(逐级计算!$X$163=0,FG78+逐级计算!$C$163,FG78+逐级计算!$C$163-(10/(逐级计算!$Q$163*LN(10))*(MAX((LN(10^(逐级计算!$Q$163/10)-1)+逐级计算!$Q$163*(FG78-逐级计算!$P$163)*LN(10)/10),0)+LN(1+EXP(-ABS((LN(10^(逐级计算!$Q$163/10)-1)+逐级计算!$Q$163*(FG78-逐级计算!$P$163)*LN(10)/10))))))),"")</f>
        <v>13.7930365742089</v>
      </c>
      <c r="FI78">
        <f>IF(AND(ISNUMBER(FH78),逐级计算!$X$164&gt;-1),IF(逐级计算!$X$164=0,FH78+逐级计算!$C$164,FH78+逐级计算!$C$164-(10/(逐级计算!$Q$164*LN(10))*(MAX((LN(10^(逐级计算!$Q$164/10)-1)+逐级计算!$Q$164*(FH78-逐级计算!$P$164)*LN(10)/10),0)+LN(1+EXP(-ABS((LN(10^(逐级计算!$Q$164/10)-1)+逐级计算!$Q$164*(FH78-逐级计算!$P$164)*LN(10)/10))))))),"")</f>
        <v>13.7930365742089</v>
      </c>
      <c r="FJ78">
        <f>IF(AND(ISNUMBER(FI78),逐级计算!$X$165&gt;-1),IF(逐级计算!$X$165=0,FI78+逐级计算!$C$165,FI78+逐级计算!$C$165-(10/(逐级计算!$Q$165*LN(10))*(MAX((LN(10^(逐级计算!$Q$165/10)-1)+逐级计算!$Q$165*(FI78-逐级计算!$P$165)*LN(10)/10),0)+LN(1+EXP(-ABS((LN(10^(逐级计算!$Q$165/10)-1)+逐级计算!$Q$165*(FI78-逐级计算!$P$165)*LN(10)/10))))))),"")</f>
        <v>13.7930365742089</v>
      </c>
      <c r="FK78">
        <f>IF(AND(ISNUMBER(FJ78),逐级计算!$X$166&gt;-1),IF(逐级计算!$X$166=0,FJ78+逐级计算!$C$166,FJ78+逐级计算!$C$166-(10/(逐级计算!$Q$166*LN(10))*(MAX((LN(10^(逐级计算!$Q$166/10)-1)+逐级计算!$Q$166*(FJ78-逐级计算!$P$166)*LN(10)/10),0)+LN(1+EXP(-ABS((LN(10^(逐级计算!$Q$166/10)-1)+逐级计算!$Q$166*(FJ78-逐级计算!$P$166)*LN(10)/10))))))),"")</f>
        <v>13.7930365742089</v>
      </c>
      <c r="FL78">
        <f>IF(AND(ISNUMBER(FK78),逐级计算!$X$167&gt;-1),IF(逐级计算!$X$167=0,FK78+逐级计算!$C$167,FK78+逐级计算!$C$167-(10/(逐级计算!$Q$167*LN(10))*(MAX((LN(10^(逐级计算!$Q$167/10)-1)+逐级计算!$Q$167*(FK78-逐级计算!$P$167)*LN(10)/10),0)+LN(1+EXP(-ABS((LN(10^(逐级计算!$Q$167/10)-1)+逐级计算!$Q$167*(FK78-逐级计算!$P$167)*LN(10)/10))))))),"")</f>
        <v>13.7930365742089</v>
      </c>
      <c r="FM78">
        <f>IF(AND(ISNUMBER(FL78),逐级计算!$X$168&gt;-1),IF(逐级计算!$X$168=0,FL78+逐级计算!$C$168,FL78+逐级计算!$C$168-(10/(逐级计算!$Q$168*LN(10))*(MAX((LN(10^(逐级计算!$Q$168/10)-1)+逐级计算!$Q$168*(FL78-逐级计算!$P$168)*LN(10)/10),0)+LN(1+EXP(-ABS((LN(10^(逐级计算!$Q$168/10)-1)+逐级计算!$Q$168*(FL78-逐级计算!$P$168)*LN(10)/10))))))),"")</f>
        <v>13.7930365742089</v>
      </c>
      <c r="FN78">
        <f>IF(AND(ISNUMBER(FM78),逐级计算!$X$169&gt;-1),IF(逐级计算!$X$169=0,FM78+逐级计算!$C$169,FM78+逐级计算!$C$169-(10/(逐级计算!$Q$169*LN(10))*(MAX((LN(10^(逐级计算!$Q$169/10)-1)+逐级计算!$Q$169*(FM78-逐级计算!$P$169)*LN(10)/10),0)+LN(1+EXP(-ABS((LN(10^(逐级计算!$Q$169/10)-1)+逐级计算!$Q$169*(FM78-逐级计算!$P$169)*LN(10)/10))))))),"")</f>
        <v>13.7930365742089</v>
      </c>
      <c r="FO78">
        <f>IF(AND(ISNUMBER(FN78),逐级计算!$X$170&gt;-1),IF(逐级计算!$X$170=0,FN78+逐级计算!$C$170,FN78+逐级计算!$C$170-(10/(逐级计算!$Q$170*LN(10))*(MAX((LN(10^(逐级计算!$Q$170/10)-1)+逐级计算!$Q$170*(FN78-逐级计算!$P$170)*LN(10)/10),0)+LN(1+EXP(-ABS((LN(10^(逐级计算!$Q$170/10)-1)+逐级计算!$Q$170*(FN78-逐级计算!$P$170)*LN(10)/10))))))),"")</f>
        <v>13.7930365742089</v>
      </c>
      <c r="FP78">
        <f>IF(AND(ISNUMBER(FO78),逐级计算!$X$171&gt;-1),IF(逐级计算!$X$171=0,FO78+逐级计算!$C$171,FO78+逐级计算!$C$171-(10/(逐级计算!$Q$171*LN(10))*(MAX((LN(10^(逐级计算!$Q$171/10)-1)+逐级计算!$Q$171*(FO78-逐级计算!$P$171)*LN(10)/10),0)+LN(1+EXP(-ABS((LN(10^(逐级计算!$Q$171/10)-1)+逐级计算!$Q$171*(FO78-逐级计算!$P$171)*LN(10)/10))))))),"")</f>
        <v>13.7930365742089</v>
      </c>
      <c r="FQ78">
        <f>IF(AND(ISNUMBER(FP78),逐级计算!$X$172&gt;-1),IF(逐级计算!$X$172=0,FP78+逐级计算!$C$172,FP78+逐级计算!$C$172-(10/(逐级计算!$Q$172*LN(10))*(MAX((LN(10^(逐级计算!$Q$172/10)-1)+逐级计算!$Q$172*(FP78-逐级计算!$P$172)*LN(10)/10),0)+LN(1+EXP(-ABS((LN(10^(逐级计算!$Q$172/10)-1)+逐级计算!$Q$172*(FP78-逐级计算!$P$172)*LN(10)/10))))))),"")</f>
        <v>13.7930365742089</v>
      </c>
      <c r="FR78">
        <f>IF(AND(ISNUMBER(FQ78),逐级计算!$X$173&gt;-1),IF(逐级计算!$X$173=0,FQ78+逐级计算!$C$173,FQ78+逐级计算!$C$173-(10/(逐级计算!$Q$173*LN(10))*(MAX((LN(10^(逐级计算!$Q$173/10)-1)+逐级计算!$Q$173*(FQ78-逐级计算!$P$173)*LN(10)/10),0)+LN(1+EXP(-ABS((LN(10^(逐级计算!$Q$173/10)-1)+逐级计算!$Q$173*(FQ78-逐级计算!$P$173)*LN(10)/10))))))),"")</f>
        <v>13.7930365742089</v>
      </c>
      <c r="FS78">
        <f>IF(AND(ISNUMBER(FR78),逐级计算!$X$174&gt;-1),IF(逐级计算!$X$174=0,FR78+逐级计算!$C$174,FR78+逐级计算!$C$174-(10/(逐级计算!$Q$174*LN(10))*(MAX((LN(10^(逐级计算!$Q$174/10)-1)+逐级计算!$Q$174*(FR78-逐级计算!$P$174)*LN(10)/10),0)+LN(1+EXP(-ABS((LN(10^(逐级计算!$Q$174/10)-1)+逐级计算!$Q$174*(FR78-逐级计算!$P$174)*LN(10)/10))))))),"")</f>
        <v>13.7930365742089</v>
      </c>
      <c r="FT78">
        <f>IF(AND(ISNUMBER(FS78),逐级计算!$X$175&gt;-1),IF(逐级计算!$X$175=0,FS78+逐级计算!$C$175,FS78+逐级计算!$C$175-(10/(逐级计算!$Q$175*LN(10))*(MAX((LN(10^(逐级计算!$Q$175/10)-1)+逐级计算!$Q$175*(FS78-逐级计算!$P$175)*LN(10)/10),0)+LN(1+EXP(-ABS((LN(10^(逐级计算!$Q$175/10)-1)+逐级计算!$Q$175*(FS78-逐级计算!$P$175)*LN(10)/10))))))),"")</f>
        <v>13.7930365742089</v>
      </c>
      <c r="FU78">
        <f>IF(AND(ISNUMBER(FT78),逐级计算!$X$176&gt;-1),IF(逐级计算!$X$176=0,FT78+逐级计算!$C$176,FT78+逐级计算!$C$176-(10/(逐级计算!$Q$176*LN(10))*(MAX((LN(10^(逐级计算!$Q$176/10)-1)+逐级计算!$Q$176*(FT78-逐级计算!$P$176)*LN(10)/10),0)+LN(1+EXP(-ABS((LN(10^(逐级计算!$Q$176/10)-1)+逐级计算!$Q$176*(FT78-逐级计算!$P$176)*LN(10)/10))))))),"")</f>
        <v>13.7930365742089</v>
      </c>
      <c r="FV78">
        <f>IF(AND(ISNUMBER(FU78),逐级计算!$X$177&gt;-1),IF(逐级计算!$X$177=0,FU78+逐级计算!$C$177,FU78+逐级计算!$C$177-(10/(逐级计算!$Q$177*LN(10))*(MAX((LN(10^(逐级计算!$Q$177/10)-1)+逐级计算!$Q$177*(FU78-逐级计算!$P$177)*LN(10)/10),0)+LN(1+EXP(-ABS((LN(10^(逐级计算!$Q$177/10)-1)+逐级计算!$Q$177*(FU78-逐级计算!$P$177)*LN(10)/10))))))),"")</f>
        <v>13.7930365742089</v>
      </c>
      <c r="FW78">
        <f>IF(AND(ISNUMBER(FV78),逐级计算!$X$178&gt;-1),IF(逐级计算!$X$178=0,FV78+逐级计算!$C$178,FV78+逐级计算!$C$178-(10/(逐级计算!$Q$178*LN(10))*(MAX((LN(10^(逐级计算!$Q$178/10)-1)+逐级计算!$Q$178*(FV78-逐级计算!$P$178)*LN(10)/10),0)+LN(1+EXP(-ABS((LN(10^(逐级计算!$Q$178/10)-1)+逐级计算!$Q$178*(FV78-逐级计算!$P$178)*LN(10)/10))))))),"")</f>
        <v>13.7930365742089</v>
      </c>
      <c r="FX78">
        <f>IF(AND(ISNUMBER(FW78),逐级计算!$X$179&gt;-1),IF(逐级计算!$X$179=0,FW78+逐级计算!$C$179,FW78+逐级计算!$C$179-(10/(逐级计算!$Q$179*LN(10))*(MAX((LN(10^(逐级计算!$Q$179/10)-1)+逐级计算!$Q$179*(FW78-逐级计算!$P$179)*LN(10)/10),0)+LN(1+EXP(-ABS((LN(10^(逐级计算!$Q$179/10)-1)+逐级计算!$Q$179*(FW78-逐级计算!$P$179)*LN(10)/10))))))),"")</f>
        <v>13.7930365742089</v>
      </c>
      <c r="FY78">
        <f>IF(AND(ISNUMBER(FX78),逐级计算!$X$180&gt;-1),IF(逐级计算!$X$180=0,FX78+逐级计算!$C$180,FX78+逐级计算!$C$180-(10/(逐级计算!$Q$180*LN(10))*(MAX((LN(10^(逐级计算!$Q$180/10)-1)+逐级计算!$Q$180*(FX78-逐级计算!$P$180)*LN(10)/10),0)+LN(1+EXP(-ABS((LN(10^(逐级计算!$Q$180/10)-1)+逐级计算!$Q$180*(FX78-逐级计算!$P$180)*LN(10)/10))))))),"")</f>
        <v>13.7930365742089</v>
      </c>
      <c r="FZ78">
        <f>IF(AND(ISNUMBER(FY78),逐级计算!$X$181&gt;-1),IF(逐级计算!$X$181=0,FY78+逐级计算!$C$181,FY78+逐级计算!$C$181-(10/(逐级计算!$Q$181*LN(10))*(MAX((LN(10^(逐级计算!$Q$181/10)-1)+逐级计算!$Q$181*(FY78-逐级计算!$P$181)*LN(10)/10),0)+LN(1+EXP(-ABS((LN(10^(逐级计算!$Q$181/10)-1)+逐级计算!$Q$181*(FY78-逐级计算!$P$181)*LN(10)/10))))))),"")</f>
        <v>13.7930365742089</v>
      </c>
      <c r="GA78">
        <f>IF(AND(ISNUMBER(FZ78),逐级计算!$X$182&gt;-1),IF(逐级计算!$X$182=0,FZ78+逐级计算!$C$182,FZ78+逐级计算!$C$182-(10/(逐级计算!$Q$182*LN(10))*(MAX((LN(10^(逐级计算!$Q$182/10)-1)+逐级计算!$Q$182*(FZ78-逐级计算!$P$182)*LN(10)/10),0)+LN(1+EXP(-ABS((LN(10^(逐级计算!$Q$182/10)-1)+逐级计算!$Q$182*(FZ78-逐级计算!$P$182)*LN(10)/10))))))),"")</f>
        <v>13.7930365742089</v>
      </c>
      <c r="GB78">
        <f>IF(AND(ISNUMBER(GA78),逐级计算!$X$183&gt;-1),IF(逐级计算!$X$183=0,GA78+逐级计算!$C$183,GA78+逐级计算!$C$183-(10/(逐级计算!$Q$183*LN(10))*(MAX((LN(10^(逐级计算!$Q$183/10)-1)+逐级计算!$Q$183*(GA78-逐级计算!$P$183)*LN(10)/10),0)+LN(1+EXP(-ABS((LN(10^(逐级计算!$Q$183/10)-1)+逐级计算!$Q$183*(GA78-逐级计算!$P$183)*LN(10)/10))))))),"")</f>
        <v>13.7930365742089</v>
      </c>
      <c r="GC78">
        <f>IF(AND(ISNUMBER(GB78),逐级计算!$X$184&gt;-1),IF(逐级计算!$X$184=0,GB78+逐级计算!$C$184,GB78+逐级计算!$C$184-(10/(逐级计算!$Q$184*LN(10))*(MAX((LN(10^(逐级计算!$Q$184/10)-1)+逐级计算!$Q$184*(GB78-逐级计算!$P$184)*LN(10)/10),0)+LN(1+EXP(-ABS((LN(10^(逐级计算!$Q$184/10)-1)+逐级计算!$Q$184*(GB78-逐级计算!$P$184)*LN(10)/10))))))),"")</f>
        <v>13.7930365742089</v>
      </c>
      <c r="GD78">
        <f>IF(AND(ISNUMBER(GC78),逐级计算!$X$185&gt;-1),IF(逐级计算!$X$185=0,GC78+逐级计算!$C$185,GC78+逐级计算!$C$185-(10/(逐级计算!$Q$185*LN(10))*(MAX((LN(10^(逐级计算!$Q$185/10)-1)+逐级计算!$Q$185*(GC78-逐级计算!$P$185)*LN(10)/10),0)+LN(1+EXP(-ABS((LN(10^(逐级计算!$Q$185/10)-1)+逐级计算!$Q$185*(GC78-逐级计算!$P$185)*LN(10)/10))))))),"")</f>
        <v>13.7930365742089</v>
      </c>
      <c r="GE78">
        <f>IF(AND(ISNUMBER(GD78),逐级计算!$X$186&gt;-1),IF(逐级计算!$X$186=0,GD78+逐级计算!$C$186,GD78+逐级计算!$C$186-(10/(逐级计算!$Q$186*LN(10))*(MAX((LN(10^(逐级计算!$Q$186/10)-1)+逐级计算!$Q$186*(GD78-逐级计算!$P$186)*LN(10)/10),0)+LN(1+EXP(-ABS((LN(10^(逐级计算!$Q$186/10)-1)+逐级计算!$Q$186*(GD78-逐级计算!$P$186)*LN(10)/10))))))),"")</f>
        <v>13.7930365742089</v>
      </c>
      <c r="GF78">
        <f>IF(AND(ISNUMBER(GE78),逐级计算!$X$187&gt;-1),IF(逐级计算!$X$187=0,GE78+逐级计算!$C$187,GE78+逐级计算!$C$187-(10/(逐级计算!$Q$187*LN(10))*(MAX((LN(10^(逐级计算!$Q$187/10)-1)+逐级计算!$Q$187*(GE78-逐级计算!$P$187)*LN(10)/10),0)+LN(1+EXP(-ABS((LN(10^(逐级计算!$Q$187/10)-1)+逐级计算!$Q$187*(GE78-逐级计算!$P$187)*LN(10)/10))))))),"")</f>
        <v>13.7930365742089</v>
      </c>
      <c r="GG78">
        <f>IF(AND(ISNUMBER(GF78),逐级计算!$X$188&gt;-1),IF(逐级计算!$X$188=0,GF78+逐级计算!$C$188,GF78+逐级计算!$C$188-(10/(逐级计算!$Q$188*LN(10))*(MAX((LN(10^(逐级计算!$Q$188/10)-1)+逐级计算!$Q$188*(GF78-逐级计算!$P$188)*LN(10)/10),0)+LN(1+EXP(-ABS((LN(10^(逐级计算!$Q$188/10)-1)+逐级计算!$Q$188*(GF78-逐级计算!$P$188)*LN(10)/10))))))),"")</f>
        <v>13.7930365742089</v>
      </c>
      <c r="GH78">
        <f>IF(AND(ISNUMBER(GG78),逐级计算!$X$189&gt;-1),IF(逐级计算!$X$189=0,GG78+逐级计算!$C$189,GG78+逐级计算!$C$189-(10/(逐级计算!$Q$189*LN(10))*(MAX((LN(10^(逐级计算!$Q$189/10)-1)+逐级计算!$Q$189*(GG78-逐级计算!$P$189)*LN(10)/10),0)+LN(1+EXP(-ABS((LN(10^(逐级计算!$Q$189/10)-1)+逐级计算!$Q$189*(GG78-逐级计算!$P$189)*LN(10)/10))))))),"")</f>
        <v>13.7930365742089</v>
      </c>
      <c r="GI78">
        <f>IF(AND(ISNUMBER(GH78),逐级计算!$X$190&gt;-1),IF(逐级计算!$X$190=0,GH78+逐级计算!$C$190,GH78+逐级计算!$C$190-(10/(逐级计算!$Q$190*LN(10))*(MAX((LN(10^(逐级计算!$Q$190/10)-1)+逐级计算!$Q$190*(GH78-逐级计算!$P$190)*LN(10)/10),0)+LN(1+EXP(-ABS((LN(10^(逐级计算!$Q$190/10)-1)+逐级计算!$Q$190*(GH78-逐级计算!$P$190)*LN(10)/10))))))),"")</f>
        <v>13.7930365742089</v>
      </c>
      <c r="GJ78">
        <f>IF(AND(ISNUMBER(GI78),逐级计算!$X$191&gt;-1),IF(逐级计算!$X$191=0,GI78+逐级计算!$C$191,GI78+逐级计算!$C$191-(10/(逐级计算!$Q$191*LN(10))*(MAX((LN(10^(逐级计算!$Q$191/10)-1)+逐级计算!$Q$191*(GI78-逐级计算!$P$191)*LN(10)/10),0)+LN(1+EXP(-ABS((LN(10^(逐级计算!$Q$191/10)-1)+逐级计算!$Q$191*(GI78-逐级计算!$P$191)*LN(10)/10))))))),"")</f>
        <v>13.7930365742089</v>
      </c>
      <c r="GK78">
        <f>IF(AND(ISNUMBER(GJ78),逐级计算!$X$192&gt;-1),IF(逐级计算!$X$192=0,GJ78+逐级计算!$C$192,GJ78+逐级计算!$C$192-(10/(逐级计算!$Q$192*LN(10))*(MAX((LN(10^(逐级计算!$Q$192/10)-1)+逐级计算!$Q$192*(GJ78-逐级计算!$P$192)*LN(10)/10),0)+LN(1+EXP(-ABS((LN(10^(逐级计算!$Q$192/10)-1)+逐级计算!$Q$192*(GJ78-逐级计算!$P$192)*LN(10)/10))))))),"")</f>
        <v>13.7930365742089</v>
      </c>
      <c r="GL78">
        <f>IF(AND(ISNUMBER(GK78),逐级计算!$X$193&gt;-1),IF(逐级计算!$X$193=0,GK78+逐级计算!$C$193,GK78+逐级计算!$C$193-(10/(逐级计算!$Q$193*LN(10))*(MAX((LN(10^(逐级计算!$Q$193/10)-1)+逐级计算!$Q$193*(GK78-逐级计算!$P$193)*LN(10)/10),0)+LN(1+EXP(-ABS((LN(10^(逐级计算!$Q$193/10)-1)+逐级计算!$Q$193*(GK78-逐级计算!$P$193)*LN(10)/10))))))),"")</f>
        <v>13.7930365742089</v>
      </c>
      <c r="GM78">
        <f>IF(AND(ISNUMBER(GL78),逐级计算!$X$194&gt;-1),IF(逐级计算!$X$194=0,GL78+逐级计算!$C$194,GL78+逐级计算!$C$194-(10/(逐级计算!$Q$194*LN(10))*(MAX((LN(10^(逐级计算!$Q$194/10)-1)+逐级计算!$Q$194*(GL78-逐级计算!$P$194)*LN(10)/10),0)+LN(1+EXP(-ABS((LN(10^(逐级计算!$Q$194/10)-1)+逐级计算!$Q$194*(GL78-逐级计算!$P$194)*LN(10)/10))))))),"")</f>
        <v>13.7930365742089</v>
      </c>
      <c r="GN78">
        <f>IF(AND(ISNUMBER(GM78),逐级计算!$X$195&gt;-1),IF(逐级计算!$X$195=0,GM78+逐级计算!$C$195,GM78+逐级计算!$C$195-(10/(逐级计算!$Q$195*LN(10))*(MAX((LN(10^(逐级计算!$Q$195/10)-1)+逐级计算!$Q$195*(GM78-逐级计算!$P$195)*LN(10)/10),0)+LN(1+EXP(-ABS((LN(10^(逐级计算!$Q$195/10)-1)+逐级计算!$Q$195*(GM78-逐级计算!$P$195)*LN(10)/10))))))),"")</f>
        <v>13.7930365742089</v>
      </c>
      <c r="GO78">
        <f>IF(AND(ISNUMBER(GN78),逐级计算!$X$196&gt;-1),IF(逐级计算!$X$196=0,GN78+逐级计算!$C$196,GN78+逐级计算!$C$196-(10/(逐级计算!$Q$196*LN(10))*(MAX((LN(10^(逐级计算!$Q$196/10)-1)+逐级计算!$Q$196*(GN78-逐级计算!$P$196)*LN(10)/10),0)+LN(1+EXP(-ABS((LN(10^(逐级计算!$Q$196/10)-1)+逐级计算!$Q$196*(GN78-逐级计算!$P$196)*LN(10)/10))))))),"")</f>
        <v>13.7930365742089</v>
      </c>
      <c r="GP78">
        <f>IF(AND(ISNUMBER(GO78),逐级计算!$X$197&gt;-1),IF(逐级计算!$X$197=0,GO78+逐级计算!$C$197,GO78+逐级计算!$C$197-(10/(逐级计算!$Q$197*LN(10))*(MAX((LN(10^(逐级计算!$Q$197/10)-1)+逐级计算!$Q$197*(GO78-逐级计算!$P$197)*LN(10)/10),0)+LN(1+EXP(-ABS((LN(10^(逐级计算!$Q$197/10)-1)+逐级计算!$Q$197*(GO78-逐级计算!$P$197)*LN(10)/10))))))),"")</f>
        <v>13.7930365742089</v>
      </c>
      <c r="GQ78">
        <f>IF(AND(ISNUMBER(GP78),逐级计算!$X$198&gt;-1),IF(逐级计算!$X$198=0,GP78+逐级计算!$C$198,GP78+逐级计算!$C$198-(10/(逐级计算!$Q$198*LN(10))*(MAX((LN(10^(逐级计算!$Q$198/10)-1)+逐级计算!$Q$198*(GP78-逐级计算!$P$198)*LN(10)/10),0)+LN(1+EXP(-ABS((LN(10^(逐级计算!$Q$198/10)-1)+逐级计算!$Q$198*(GP78-逐级计算!$P$198)*LN(10)/10))))))),"")</f>
        <v>13.7930365742089</v>
      </c>
      <c r="GR78">
        <f>IF(AND(ISNUMBER(GQ78),逐级计算!$X$199&gt;-1),IF(逐级计算!$X$199=0,GQ78+逐级计算!$C$199,GQ78+逐级计算!$C$199-(10/(逐级计算!$Q$199*LN(10))*(MAX((LN(10^(逐级计算!$Q$199/10)-1)+逐级计算!$Q$199*(GQ78-逐级计算!$P$199)*LN(10)/10),0)+LN(1+EXP(-ABS((LN(10^(逐级计算!$Q$199/10)-1)+逐级计算!$Q$199*(GQ78-逐级计算!$P$199)*LN(10)/10))))))),"")</f>
        <v>13.7930365742089</v>
      </c>
      <c r="GS78">
        <f>IF(AND(ISNUMBER(GR78),逐级计算!$X$200&gt;-1),IF(逐级计算!$X$200=0,GR78+逐级计算!$C$200,GR78+逐级计算!$C$200-(10/(逐级计算!$Q$200*LN(10))*(MAX((LN(10^(逐级计算!$Q$200/10)-1)+逐级计算!$Q$200*(GR78-逐级计算!$P$200)*LN(10)/10),0)+LN(1+EXP(-ABS((LN(10^(逐级计算!$Q$200/10)-1)+逐级计算!$Q$200*(GR78-逐级计算!$P$200)*LN(10)/10))))))),"")</f>
        <v>13.7930365742089</v>
      </c>
      <c r="GT78">
        <f>IF(AND(ISNUMBER(GS78),逐级计算!$X$201&gt;-1),IF(逐级计算!$X$201=0,GS78+逐级计算!$C$201,GS78+逐级计算!$C$201-(10/(逐级计算!$Q$201*LN(10))*(MAX((LN(10^(逐级计算!$Q$201/10)-1)+逐级计算!$Q$201*(GS78-逐级计算!$P$201)*LN(10)/10),0)+LN(1+EXP(-ABS((LN(10^(逐级计算!$Q$201/10)-1)+逐级计算!$Q$201*(GS78-逐级计算!$P$201)*LN(10)/10))))))),"")</f>
        <v>13.7930365742089</v>
      </c>
      <c r="GU78">
        <f>IF(AND(ISNUMBER(GT78),逐级计算!$X$202&gt;-1),IF(逐级计算!$X$202=0,GT78+逐级计算!$C$202,GT78+逐级计算!$C$202-(10/(逐级计算!$Q$202*LN(10))*(MAX((LN(10^(逐级计算!$Q$202/10)-1)+逐级计算!$Q$202*(GT78-逐级计算!$P$202)*LN(10)/10),0)+LN(1+EXP(-ABS((LN(10^(逐级计算!$Q$202/10)-1)+逐级计算!$Q$202*(GT78-逐级计算!$P$202)*LN(10)/10))))))),"")</f>
        <v>13.7930365742089</v>
      </c>
      <c r="GV78">
        <f>IF(AND(ISNUMBER(GU78),逐级计算!$X$203&gt;-1),IF(逐级计算!$X$203=0,GU78+逐级计算!$C$203,GU78+逐级计算!$C$203-(10/(逐级计算!$Q$203*LN(10))*(MAX((LN(10^(逐级计算!$Q$203/10)-1)+逐级计算!$Q$203*(GU78-逐级计算!$P$203)*LN(10)/10),0)+LN(1+EXP(-ABS((LN(10^(逐级计算!$Q$203/10)-1)+逐级计算!$Q$203*(GU78-逐级计算!$P$203)*LN(10)/10))))))),"")</f>
        <v>13.7930365742089</v>
      </c>
      <c r="GW78">
        <f t="shared" si="5"/>
        <v>-5.20696342579112</v>
      </c>
    </row>
    <row r="79" spans="1:205">
      <c r="A79">
        <v>72</v>
      </c>
      <c r="B79">
        <f t="shared" si="4"/>
        <v>-5.20696342579112</v>
      </c>
      <c r="C79">
        <f t="shared" si="3"/>
        <v>-5.20696342579112</v>
      </c>
      <c r="D79">
        <f>IF(AND(ISNUMBER(C79),ISNUMBER(逐级计算!$E$203),ISNUMBER(GV79)),C79+逐级计算!$E$203-GV79,"")</f>
        <v>1</v>
      </c>
      <c r="E79">
        <f>IF(AND(ISNUMBER(C79),逐级计算!$X$4&gt;-1),IF(逐级计算!$X$4=0,C79+逐级计算!$C$4,C79+逐级计算!$C$4-(10/(逐级计算!$Q$4*LN(10))*(MAX((LN(10^(逐级计算!$Q$4/10)-1)+逐级计算!$Q$4*(C79-逐级计算!$P$4)*LN(10)/10),0)+LN(1+EXP(-ABS((LN(10^(逐级计算!$Q$4/10)-1)+逐级计算!$Q$4*(C79-逐级计算!$P$4)*LN(10)/10))))))),"")</f>
        <v>4.68053982928311</v>
      </c>
      <c r="F79">
        <f>IF(AND(ISNUMBER(E79),逐级计算!$X$5&gt;-1),IF(逐级计算!$X$5=0,E79+逐级计算!$C$5,E79+逐级计算!$C$5-(10/(逐级计算!$Q$5*LN(10))*(MAX((LN(10^(逐级计算!$Q$5/10)-1)+逐级计算!$Q$5*(E79-逐级计算!$P$5)*LN(10)/10),0)+LN(1+EXP(-ABS((LN(10^(逐级计算!$Q$5/10)-1)+逐级计算!$Q$5*(E79-逐级计算!$P$5)*LN(10)/10))))))),"")</f>
        <v>13.7930365742089</v>
      </c>
      <c r="G79">
        <f>IF(AND(ISNUMBER(F79),逐级计算!$X$6&gt;-1),IF(逐级计算!$X$6=0,F79+逐级计算!$C$6,F79+逐级计算!$C$6-(10/(逐级计算!$Q$6*LN(10))*(MAX((LN(10^(逐级计算!$Q$6/10)-1)+逐级计算!$Q$6*(F79-逐级计算!$P$6)*LN(10)/10),0)+LN(1+EXP(-ABS((LN(10^(逐级计算!$Q$6/10)-1)+逐级计算!$Q$6*(F79-逐级计算!$P$6)*LN(10)/10))))))),"")</f>
        <v>13.7930365742089</v>
      </c>
      <c r="H79">
        <f>IF(AND(ISNUMBER(G79),逐级计算!$X$7&gt;-1),IF(逐级计算!$X$7=0,G79+逐级计算!$C$7,G79+逐级计算!$C$7-(10/(逐级计算!$Q$7*LN(10))*(MAX((LN(10^(逐级计算!$Q$7/10)-1)+逐级计算!$Q$7*(G79-逐级计算!$P$7)*LN(10)/10),0)+LN(1+EXP(-ABS((LN(10^(逐级计算!$Q$7/10)-1)+逐级计算!$Q$7*(G79-逐级计算!$P$7)*LN(10)/10))))))),"")</f>
        <v>13.7930365742089</v>
      </c>
      <c r="I79">
        <f>IF(AND(ISNUMBER(H79),逐级计算!$X$8&gt;-1),IF(逐级计算!$X$8=0,H79+逐级计算!$C$8,H79+逐级计算!$C$8-(10/(逐级计算!$Q$8*LN(10))*(MAX((LN(10^(逐级计算!$Q$8/10)-1)+逐级计算!$Q$8*(H79-逐级计算!$P$8)*LN(10)/10),0)+LN(1+EXP(-ABS((LN(10^(逐级计算!$Q$8/10)-1)+逐级计算!$Q$8*(H79-逐级计算!$P$8)*LN(10)/10))))))),"")</f>
        <v>13.7930365742089</v>
      </c>
      <c r="J79">
        <f>IF(AND(ISNUMBER(I79),逐级计算!$X$9&gt;-1),IF(逐级计算!$X$9=0,I79+逐级计算!$C$9,I79+逐级计算!$C$9-(10/(逐级计算!$Q$9*LN(10))*(MAX((LN(10^(逐级计算!$Q$9/10)-1)+逐级计算!$Q$9*(I79-逐级计算!$P$9)*LN(10)/10),0)+LN(1+EXP(-ABS((LN(10^(逐级计算!$Q$9/10)-1)+逐级计算!$Q$9*(I79-逐级计算!$P$9)*LN(10)/10))))))),"")</f>
        <v>13.7930365742089</v>
      </c>
      <c r="K79">
        <f>IF(AND(ISNUMBER(J79),逐级计算!$X$10&gt;-1),IF(逐级计算!$X$10=0,J79+逐级计算!$C$10,J79+逐级计算!$C$10-(10/(逐级计算!$Q$10*LN(10))*(MAX((LN(10^(逐级计算!$Q$10/10)-1)+逐级计算!$Q$10*(J79-逐级计算!$P$10)*LN(10)/10),0)+LN(1+EXP(-ABS((LN(10^(逐级计算!$Q$10/10)-1)+逐级计算!$Q$10*(J79-逐级计算!$P$10)*LN(10)/10))))))),"")</f>
        <v>13.7930365742089</v>
      </c>
      <c r="L79">
        <f>IF(AND(ISNUMBER(K79),逐级计算!$X$11&gt;-1),IF(逐级计算!$X$11=0,K79+逐级计算!$C$11,K79+逐级计算!$C$11-(10/(逐级计算!$Q$11*LN(10))*(MAX((LN(10^(逐级计算!$Q$11/10)-1)+逐级计算!$Q$11*(K79-逐级计算!$P$11)*LN(10)/10),0)+LN(1+EXP(-ABS((LN(10^(逐级计算!$Q$11/10)-1)+逐级计算!$Q$11*(K79-逐级计算!$P$11)*LN(10)/10))))))),"")</f>
        <v>13.7930365742089</v>
      </c>
      <c r="M79">
        <f>IF(AND(ISNUMBER(L79),逐级计算!$X$12&gt;-1),IF(逐级计算!$X$12=0,L79+逐级计算!$C$12,L79+逐级计算!$C$12-(10/(逐级计算!$Q$12*LN(10))*(MAX((LN(10^(逐级计算!$Q$12/10)-1)+逐级计算!$Q$12*(L79-逐级计算!$P$12)*LN(10)/10),0)+LN(1+EXP(-ABS((LN(10^(逐级计算!$Q$12/10)-1)+逐级计算!$Q$12*(L79-逐级计算!$P$12)*LN(10)/10))))))),"")</f>
        <v>13.7930365742089</v>
      </c>
      <c r="N79">
        <f>IF(AND(ISNUMBER(M79),逐级计算!$X$13&gt;-1),IF(逐级计算!$X$13=0,M79+逐级计算!$C$13,M79+逐级计算!$C$13-(10/(逐级计算!$Q$13*LN(10))*(MAX((LN(10^(逐级计算!$Q$13/10)-1)+逐级计算!$Q$13*(M79-逐级计算!$P$13)*LN(10)/10),0)+LN(1+EXP(-ABS((LN(10^(逐级计算!$Q$13/10)-1)+逐级计算!$Q$13*(M79-逐级计算!$P$13)*LN(10)/10))))))),"")</f>
        <v>13.7930365742089</v>
      </c>
      <c r="O79">
        <f>IF(AND(ISNUMBER(N79),逐级计算!$X$14&gt;-1),IF(逐级计算!$X$14=0,N79+逐级计算!$C$14,N79+逐级计算!$C$14-(10/(逐级计算!$Q$14*LN(10))*(MAX((LN(10^(逐级计算!$Q$14/10)-1)+逐级计算!$Q$14*(N79-逐级计算!$P$14)*LN(10)/10),0)+LN(1+EXP(-ABS((LN(10^(逐级计算!$Q$14/10)-1)+逐级计算!$Q$14*(N79-逐级计算!$P$14)*LN(10)/10))))))),"")</f>
        <v>13.7930365742089</v>
      </c>
      <c r="P79">
        <f>IF(AND(ISNUMBER(O79),逐级计算!$X$15&gt;-1),IF(逐级计算!$X$15=0,O79+逐级计算!$C$15,O79+逐级计算!$C$15-(10/(逐级计算!$Q$15*LN(10))*(MAX((LN(10^(逐级计算!$Q$15/10)-1)+逐级计算!$Q$15*(O79-逐级计算!$P$15)*LN(10)/10),0)+LN(1+EXP(-ABS((LN(10^(逐级计算!$Q$15/10)-1)+逐级计算!$Q$15*(O79-逐级计算!$P$15)*LN(10)/10))))))),"")</f>
        <v>13.7930365742089</v>
      </c>
      <c r="Q79">
        <f>IF(AND(ISNUMBER(P79),逐级计算!$X$16&gt;-1),IF(逐级计算!$X$16=0,P79+逐级计算!$C$16,P79+逐级计算!$C$16-(10/(逐级计算!$Q$16*LN(10))*(MAX((LN(10^(逐级计算!$Q$16/10)-1)+逐级计算!$Q$16*(P79-逐级计算!$P$16)*LN(10)/10),0)+LN(1+EXP(-ABS((LN(10^(逐级计算!$Q$16/10)-1)+逐级计算!$Q$16*(P79-逐级计算!$P$16)*LN(10)/10))))))),"")</f>
        <v>13.7930365742089</v>
      </c>
      <c r="R79">
        <f>IF(AND(ISNUMBER(Q79),逐级计算!$X$17&gt;-1),IF(逐级计算!$X$17=0,Q79+逐级计算!$C$17,Q79+逐级计算!$C$17-(10/(逐级计算!$Q$17*LN(10))*(MAX((LN(10^(逐级计算!$Q$17/10)-1)+逐级计算!$Q$17*(Q79-逐级计算!$P$17)*LN(10)/10),0)+LN(1+EXP(-ABS((LN(10^(逐级计算!$Q$17/10)-1)+逐级计算!$Q$17*(Q79-逐级计算!$P$17)*LN(10)/10))))))),"")</f>
        <v>13.7930365742089</v>
      </c>
      <c r="S79">
        <f>IF(AND(ISNUMBER(R79),逐级计算!$X$18&gt;-1),IF(逐级计算!$X$18=0,R79+逐级计算!$C$18,R79+逐级计算!$C$18-(10/(逐级计算!$Q$18*LN(10))*(MAX((LN(10^(逐级计算!$Q$18/10)-1)+逐级计算!$Q$18*(R79-逐级计算!$P$18)*LN(10)/10),0)+LN(1+EXP(-ABS((LN(10^(逐级计算!$Q$18/10)-1)+逐级计算!$Q$18*(R79-逐级计算!$P$18)*LN(10)/10))))))),"")</f>
        <v>13.7930365742089</v>
      </c>
      <c r="T79">
        <f>IF(AND(ISNUMBER(S79),逐级计算!$X$19&gt;-1),IF(逐级计算!$X$19=0,S79+逐级计算!$C$19,S79+逐级计算!$C$19-(10/(逐级计算!$Q$19*LN(10))*(MAX((LN(10^(逐级计算!$Q$19/10)-1)+逐级计算!$Q$19*(S79-逐级计算!$P$19)*LN(10)/10),0)+LN(1+EXP(-ABS((LN(10^(逐级计算!$Q$19/10)-1)+逐级计算!$Q$19*(S79-逐级计算!$P$19)*LN(10)/10))))))),"")</f>
        <v>13.7930365742089</v>
      </c>
      <c r="U79">
        <f>IF(AND(ISNUMBER(T79),逐级计算!$X$20&gt;-1),IF(逐级计算!$X$20=0,T79+逐级计算!$C$20,T79+逐级计算!$C$20-(10/(逐级计算!$Q$20*LN(10))*(MAX((LN(10^(逐级计算!$Q$20/10)-1)+逐级计算!$Q$20*(T79-逐级计算!$P$20)*LN(10)/10),0)+LN(1+EXP(-ABS((LN(10^(逐级计算!$Q$20/10)-1)+逐级计算!$Q$20*(T79-逐级计算!$P$20)*LN(10)/10))))))),"")</f>
        <v>13.7930365742089</v>
      </c>
      <c r="V79">
        <f>IF(AND(ISNUMBER(U79),逐级计算!$X$21&gt;-1),IF(逐级计算!$X$21=0,U79+逐级计算!$C$21,U79+逐级计算!$C$21-(10/(逐级计算!$Q$21*LN(10))*(MAX((LN(10^(逐级计算!$Q$21/10)-1)+逐级计算!$Q$21*(U79-逐级计算!$P$21)*LN(10)/10),0)+LN(1+EXP(-ABS((LN(10^(逐级计算!$Q$21/10)-1)+逐级计算!$Q$21*(U79-逐级计算!$P$21)*LN(10)/10))))))),"")</f>
        <v>13.7930365742089</v>
      </c>
      <c r="W79">
        <f>IF(AND(ISNUMBER(V79),逐级计算!$X$22&gt;-1),IF(逐级计算!$X$22=0,V79+逐级计算!$C$22,V79+逐级计算!$C$22-(10/(逐级计算!$Q$22*LN(10))*(MAX((LN(10^(逐级计算!$Q$22/10)-1)+逐级计算!$Q$22*(V79-逐级计算!$P$22)*LN(10)/10),0)+LN(1+EXP(-ABS((LN(10^(逐级计算!$Q$22/10)-1)+逐级计算!$Q$22*(V79-逐级计算!$P$22)*LN(10)/10))))))),"")</f>
        <v>13.7930365742089</v>
      </c>
      <c r="X79">
        <f>IF(AND(ISNUMBER(W79),逐级计算!$X$23&gt;-1),IF(逐级计算!$X$23=0,W79+逐级计算!$C$23,W79+逐级计算!$C$23-(10/(逐级计算!$Q$23*LN(10))*(MAX((LN(10^(逐级计算!$Q$23/10)-1)+逐级计算!$Q$23*(W79-逐级计算!$P$23)*LN(10)/10),0)+LN(1+EXP(-ABS((LN(10^(逐级计算!$Q$23/10)-1)+逐级计算!$Q$23*(W79-逐级计算!$P$23)*LN(10)/10))))))),"")</f>
        <v>13.7930365742089</v>
      </c>
      <c r="Y79">
        <f>IF(AND(ISNUMBER(X79),逐级计算!$X$24&gt;-1),IF(逐级计算!$X$24=0,X79+逐级计算!$C$24,X79+逐级计算!$C$24-(10/(逐级计算!$Q$24*LN(10))*(MAX((LN(10^(逐级计算!$Q$24/10)-1)+逐级计算!$Q$24*(X79-逐级计算!$P$24)*LN(10)/10),0)+LN(1+EXP(-ABS((LN(10^(逐级计算!$Q$24/10)-1)+逐级计算!$Q$24*(X79-逐级计算!$P$24)*LN(10)/10))))))),"")</f>
        <v>13.7930365742089</v>
      </c>
      <c r="Z79">
        <f>IF(AND(ISNUMBER(Y79),逐级计算!$X$25&gt;-1),IF(逐级计算!$X$25=0,Y79+逐级计算!$C$25,Y79+逐级计算!$C$25-(10/(逐级计算!$Q$25*LN(10))*(MAX((LN(10^(逐级计算!$Q$25/10)-1)+逐级计算!$Q$25*(Y79-逐级计算!$P$25)*LN(10)/10),0)+LN(1+EXP(-ABS((LN(10^(逐级计算!$Q$25/10)-1)+逐级计算!$Q$25*(Y79-逐级计算!$P$25)*LN(10)/10))))))),"")</f>
        <v>13.7930365742089</v>
      </c>
      <c r="AA79">
        <f>IF(AND(ISNUMBER(Z79),逐级计算!$X$26&gt;-1),IF(逐级计算!$X$26=0,Z79+逐级计算!$C$26,Z79+逐级计算!$C$26-(10/(逐级计算!$Q$26*LN(10))*(MAX((LN(10^(逐级计算!$Q$26/10)-1)+逐级计算!$Q$26*(Z79-逐级计算!$P$26)*LN(10)/10),0)+LN(1+EXP(-ABS((LN(10^(逐级计算!$Q$26/10)-1)+逐级计算!$Q$26*(Z79-逐级计算!$P$26)*LN(10)/10))))))),"")</f>
        <v>13.7930365742089</v>
      </c>
      <c r="AB79">
        <f>IF(AND(ISNUMBER(AA79),逐级计算!$X$27&gt;-1),IF(逐级计算!$X$27=0,AA79+逐级计算!$C$27,AA79+逐级计算!$C$27-(10/(逐级计算!$Q$27*LN(10))*(MAX((LN(10^(逐级计算!$Q$27/10)-1)+逐级计算!$Q$27*(AA79-逐级计算!$P$27)*LN(10)/10),0)+LN(1+EXP(-ABS((LN(10^(逐级计算!$Q$27/10)-1)+逐级计算!$Q$27*(AA79-逐级计算!$P$27)*LN(10)/10))))))),"")</f>
        <v>13.7930365742089</v>
      </c>
      <c r="AC79">
        <f>IF(AND(ISNUMBER(AB79),逐级计算!$X$28&gt;-1),IF(逐级计算!$X$28=0,AB79+逐级计算!$C$28,AB79+逐级计算!$C$28-(10/(逐级计算!$Q$28*LN(10))*(MAX((LN(10^(逐级计算!$Q$28/10)-1)+逐级计算!$Q$28*(AB79-逐级计算!$P$28)*LN(10)/10),0)+LN(1+EXP(-ABS((LN(10^(逐级计算!$Q$28/10)-1)+逐级计算!$Q$28*(AB79-逐级计算!$P$28)*LN(10)/10))))))),"")</f>
        <v>13.7930365742089</v>
      </c>
      <c r="AD79">
        <f>IF(AND(ISNUMBER(AC79),逐级计算!$X$29&gt;-1),IF(逐级计算!$X$29=0,AC79+逐级计算!$C$29,AC79+逐级计算!$C$29-(10/(逐级计算!$Q$29*LN(10))*(MAX((LN(10^(逐级计算!$Q$29/10)-1)+逐级计算!$Q$29*(AC79-逐级计算!$P$29)*LN(10)/10),0)+LN(1+EXP(-ABS((LN(10^(逐级计算!$Q$29/10)-1)+逐级计算!$Q$29*(AC79-逐级计算!$P$29)*LN(10)/10))))))),"")</f>
        <v>13.7930365742089</v>
      </c>
      <c r="AE79">
        <f>IF(AND(ISNUMBER(AD79),逐级计算!$X$30&gt;-1),IF(逐级计算!$X$30=0,AD79+逐级计算!$C$30,AD79+逐级计算!$C$30-(10/(逐级计算!$Q$30*LN(10))*(MAX((LN(10^(逐级计算!$Q$30/10)-1)+逐级计算!$Q$30*(AD79-逐级计算!$P$30)*LN(10)/10),0)+LN(1+EXP(-ABS((LN(10^(逐级计算!$Q$30/10)-1)+逐级计算!$Q$30*(AD79-逐级计算!$P$30)*LN(10)/10))))))),"")</f>
        <v>13.7930365742089</v>
      </c>
      <c r="AF79">
        <f>IF(AND(ISNUMBER(AE79),逐级计算!$X$31&gt;-1),IF(逐级计算!$X$31=0,AE79+逐级计算!$C$31,AE79+逐级计算!$C$31-(10/(逐级计算!$Q$31*LN(10))*(MAX((LN(10^(逐级计算!$Q$31/10)-1)+逐级计算!$Q$31*(AE79-逐级计算!$P$31)*LN(10)/10),0)+LN(1+EXP(-ABS((LN(10^(逐级计算!$Q$31/10)-1)+逐级计算!$Q$31*(AE79-逐级计算!$P$31)*LN(10)/10))))))),"")</f>
        <v>13.7930365742089</v>
      </c>
      <c r="AG79">
        <f>IF(AND(ISNUMBER(AF79),逐级计算!$X$32&gt;-1),IF(逐级计算!$X$32=0,AF79+逐级计算!$C$32,AF79+逐级计算!$C$32-(10/(逐级计算!$Q$32*LN(10))*(MAX((LN(10^(逐级计算!$Q$32/10)-1)+逐级计算!$Q$32*(AF79-逐级计算!$P$32)*LN(10)/10),0)+LN(1+EXP(-ABS((LN(10^(逐级计算!$Q$32/10)-1)+逐级计算!$Q$32*(AF79-逐级计算!$P$32)*LN(10)/10))))))),"")</f>
        <v>13.7930365742089</v>
      </c>
      <c r="AH79">
        <f>IF(AND(ISNUMBER(AG79),逐级计算!$X$33&gt;-1),IF(逐级计算!$X$33=0,AG79+逐级计算!$C$33,AG79+逐级计算!$C$33-(10/(逐级计算!$Q$33*LN(10))*(MAX((LN(10^(逐级计算!$Q$33/10)-1)+逐级计算!$Q$33*(AG79-逐级计算!$P$33)*LN(10)/10),0)+LN(1+EXP(-ABS((LN(10^(逐级计算!$Q$33/10)-1)+逐级计算!$Q$33*(AG79-逐级计算!$P$33)*LN(10)/10))))))),"")</f>
        <v>13.7930365742089</v>
      </c>
      <c r="AI79">
        <f>IF(AND(ISNUMBER(AH79),逐级计算!$X$34&gt;-1),IF(逐级计算!$X$34=0,AH79+逐级计算!$C$34,AH79+逐级计算!$C$34-(10/(逐级计算!$Q$34*LN(10))*(MAX((LN(10^(逐级计算!$Q$34/10)-1)+逐级计算!$Q$34*(AH79-逐级计算!$P$34)*LN(10)/10),0)+LN(1+EXP(-ABS((LN(10^(逐级计算!$Q$34/10)-1)+逐级计算!$Q$34*(AH79-逐级计算!$P$34)*LN(10)/10))))))),"")</f>
        <v>13.7930365742089</v>
      </c>
      <c r="AJ79">
        <f>IF(AND(ISNUMBER(AI79),逐级计算!$X$35&gt;-1),IF(逐级计算!$X$35=0,AI79+逐级计算!$C$35,AI79+逐级计算!$C$35-(10/(逐级计算!$Q$35*LN(10))*(MAX((LN(10^(逐级计算!$Q$35/10)-1)+逐级计算!$Q$35*(AI79-逐级计算!$P$35)*LN(10)/10),0)+LN(1+EXP(-ABS((LN(10^(逐级计算!$Q$35/10)-1)+逐级计算!$Q$35*(AI79-逐级计算!$P$35)*LN(10)/10))))))),"")</f>
        <v>13.7930365742089</v>
      </c>
      <c r="AK79">
        <f>IF(AND(ISNUMBER(AJ79),逐级计算!$X$36&gt;-1),IF(逐级计算!$X$36=0,AJ79+逐级计算!$C$36,AJ79+逐级计算!$C$36-(10/(逐级计算!$Q$36*LN(10))*(MAX((LN(10^(逐级计算!$Q$36/10)-1)+逐级计算!$Q$36*(AJ79-逐级计算!$P$36)*LN(10)/10),0)+LN(1+EXP(-ABS((LN(10^(逐级计算!$Q$36/10)-1)+逐级计算!$Q$36*(AJ79-逐级计算!$P$36)*LN(10)/10))))))),"")</f>
        <v>13.7930365742089</v>
      </c>
      <c r="AL79">
        <f>IF(AND(ISNUMBER(AK79),逐级计算!$X$37&gt;-1),IF(逐级计算!$X$37=0,AK79+逐级计算!$C$37,AK79+逐级计算!$C$37-(10/(逐级计算!$Q$37*LN(10))*(MAX((LN(10^(逐级计算!$Q$37/10)-1)+逐级计算!$Q$37*(AK79-逐级计算!$P$37)*LN(10)/10),0)+LN(1+EXP(-ABS((LN(10^(逐级计算!$Q$37/10)-1)+逐级计算!$Q$37*(AK79-逐级计算!$P$37)*LN(10)/10))))))),"")</f>
        <v>13.7930365742089</v>
      </c>
      <c r="AM79">
        <f>IF(AND(ISNUMBER(AL79),逐级计算!$X$38&gt;-1),IF(逐级计算!$X$38=0,AL79+逐级计算!$C$38,AL79+逐级计算!$C$38-(10/(逐级计算!$Q$38*LN(10))*(MAX((LN(10^(逐级计算!$Q$38/10)-1)+逐级计算!$Q$38*(AL79-逐级计算!$P$38)*LN(10)/10),0)+LN(1+EXP(-ABS((LN(10^(逐级计算!$Q$38/10)-1)+逐级计算!$Q$38*(AL79-逐级计算!$P$38)*LN(10)/10))))))),"")</f>
        <v>13.7930365742089</v>
      </c>
      <c r="AN79">
        <f>IF(AND(ISNUMBER(AM79),逐级计算!$X$39&gt;-1),IF(逐级计算!$X$39=0,AM79+逐级计算!$C$39,AM79+逐级计算!$C$39-(10/(逐级计算!$Q$39*LN(10))*(MAX((LN(10^(逐级计算!$Q$39/10)-1)+逐级计算!$Q$39*(AM79-逐级计算!$P$39)*LN(10)/10),0)+LN(1+EXP(-ABS((LN(10^(逐级计算!$Q$39/10)-1)+逐级计算!$Q$39*(AM79-逐级计算!$P$39)*LN(10)/10))))))),"")</f>
        <v>13.7930365742089</v>
      </c>
      <c r="AO79">
        <f>IF(AND(ISNUMBER(AN79),逐级计算!$X$40&gt;-1),IF(逐级计算!$X$40=0,AN79+逐级计算!$C$40,AN79+逐级计算!$C$40-(10/(逐级计算!$Q$40*LN(10))*(MAX((LN(10^(逐级计算!$Q$40/10)-1)+逐级计算!$Q$40*(AN79-逐级计算!$P$40)*LN(10)/10),0)+LN(1+EXP(-ABS((LN(10^(逐级计算!$Q$40/10)-1)+逐级计算!$Q$40*(AN79-逐级计算!$P$40)*LN(10)/10))))))),"")</f>
        <v>13.7930365742089</v>
      </c>
      <c r="AP79">
        <f>IF(AND(ISNUMBER(AO79),逐级计算!$X$41&gt;-1),IF(逐级计算!$X$41=0,AO79+逐级计算!$C$41,AO79+逐级计算!$C$41-(10/(逐级计算!$Q$41*LN(10))*(MAX((LN(10^(逐级计算!$Q$41/10)-1)+逐级计算!$Q$41*(AO79-逐级计算!$P$41)*LN(10)/10),0)+LN(1+EXP(-ABS((LN(10^(逐级计算!$Q$41/10)-1)+逐级计算!$Q$41*(AO79-逐级计算!$P$41)*LN(10)/10))))))),"")</f>
        <v>13.7930365742089</v>
      </c>
      <c r="AQ79">
        <f>IF(AND(ISNUMBER(AP79),逐级计算!$X$42&gt;-1),IF(逐级计算!$X$42=0,AP79+逐级计算!$C$42,AP79+逐级计算!$C$42-(10/(逐级计算!$Q$42*LN(10))*(MAX((LN(10^(逐级计算!$Q$42/10)-1)+逐级计算!$Q$42*(AP79-逐级计算!$P$42)*LN(10)/10),0)+LN(1+EXP(-ABS((LN(10^(逐级计算!$Q$42/10)-1)+逐级计算!$Q$42*(AP79-逐级计算!$P$42)*LN(10)/10))))))),"")</f>
        <v>13.7930365742089</v>
      </c>
      <c r="AR79">
        <f>IF(AND(ISNUMBER(AQ79),逐级计算!$X$43&gt;-1),IF(逐级计算!$X$43=0,AQ79+逐级计算!$C$43,AQ79+逐级计算!$C$43-(10/(逐级计算!$Q$43*LN(10))*(MAX((LN(10^(逐级计算!$Q$43/10)-1)+逐级计算!$Q$43*(AQ79-逐级计算!$P$43)*LN(10)/10),0)+LN(1+EXP(-ABS((LN(10^(逐级计算!$Q$43/10)-1)+逐级计算!$Q$43*(AQ79-逐级计算!$P$43)*LN(10)/10))))))),"")</f>
        <v>13.7930365742089</v>
      </c>
      <c r="AS79">
        <f>IF(AND(ISNUMBER(AR79),逐级计算!$X$44&gt;-1),IF(逐级计算!$X$44=0,AR79+逐级计算!$C$44,AR79+逐级计算!$C$44-(10/(逐级计算!$Q$44*LN(10))*(MAX((LN(10^(逐级计算!$Q$44/10)-1)+逐级计算!$Q$44*(AR79-逐级计算!$P$44)*LN(10)/10),0)+LN(1+EXP(-ABS((LN(10^(逐级计算!$Q$44/10)-1)+逐级计算!$Q$44*(AR79-逐级计算!$P$44)*LN(10)/10))))))),"")</f>
        <v>13.7930365742089</v>
      </c>
      <c r="AT79">
        <f>IF(AND(ISNUMBER(AS79),逐级计算!$X$45&gt;-1),IF(逐级计算!$X$45=0,AS79+逐级计算!$C$45,AS79+逐级计算!$C$45-(10/(逐级计算!$Q$45*LN(10))*(MAX((LN(10^(逐级计算!$Q$45/10)-1)+逐级计算!$Q$45*(AS79-逐级计算!$P$45)*LN(10)/10),0)+LN(1+EXP(-ABS((LN(10^(逐级计算!$Q$45/10)-1)+逐级计算!$Q$45*(AS79-逐级计算!$P$45)*LN(10)/10))))))),"")</f>
        <v>13.7930365742089</v>
      </c>
      <c r="AU79">
        <f>IF(AND(ISNUMBER(AT79),逐级计算!$X$46&gt;-1),IF(逐级计算!$X$46=0,AT79+逐级计算!$C$46,AT79+逐级计算!$C$46-(10/(逐级计算!$Q$46*LN(10))*(MAX((LN(10^(逐级计算!$Q$46/10)-1)+逐级计算!$Q$46*(AT79-逐级计算!$P$46)*LN(10)/10),0)+LN(1+EXP(-ABS((LN(10^(逐级计算!$Q$46/10)-1)+逐级计算!$Q$46*(AT79-逐级计算!$P$46)*LN(10)/10))))))),"")</f>
        <v>13.7930365742089</v>
      </c>
      <c r="AV79">
        <f>IF(AND(ISNUMBER(AU79),逐级计算!$X$47&gt;-1),IF(逐级计算!$X$47=0,AU79+逐级计算!$C$47,AU79+逐级计算!$C$47-(10/(逐级计算!$Q$47*LN(10))*(MAX((LN(10^(逐级计算!$Q$47/10)-1)+逐级计算!$Q$47*(AU79-逐级计算!$P$47)*LN(10)/10),0)+LN(1+EXP(-ABS((LN(10^(逐级计算!$Q$47/10)-1)+逐级计算!$Q$47*(AU79-逐级计算!$P$47)*LN(10)/10))))))),"")</f>
        <v>13.7930365742089</v>
      </c>
      <c r="AW79">
        <f>IF(AND(ISNUMBER(AV79),逐级计算!$X$48&gt;-1),IF(逐级计算!$X$48=0,AV79+逐级计算!$C$48,AV79+逐级计算!$C$48-(10/(逐级计算!$Q$48*LN(10))*(MAX((LN(10^(逐级计算!$Q$48/10)-1)+逐级计算!$Q$48*(AV79-逐级计算!$P$48)*LN(10)/10),0)+LN(1+EXP(-ABS((LN(10^(逐级计算!$Q$48/10)-1)+逐级计算!$Q$48*(AV79-逐级计算!$P$48)*LN(10)/10))))))),"")</f>
        <v>13.7930365742089</v>
      </c>
      <c r="AX79">
        <f>IF(AND(ISNUMBER(AW79),逐级计算!$X$49&gt;-1),IF(逐级计算!$X$49=0,AW79+逐级计算!$C$49,AW79+逐级计算!$C$49-(10/(逐级计算!$Q$49*LN(10))*(MAX((LN(10^(逐级计算!$Q$49/10)-1)+逐级计算!$Q$49*(AW79-逐级计算!$P$49)*LN(10)/10),0)+LN(1+EXP(-ABS((LN(10^(逐级计算!$Q$49/10)-1)+逐级计算!$Q$49*(AW79-逐级计算!$P$49)*LN(10)/10))))))),"")</f>
        <v>13.7930365742089</v>
      </c>
      <c r="AY79">
        <f>IF(AND(ISNUMBER(AX79),逐级计算!$X$50&gt;-1),IF(逐级计算!$X$50=0,AX79+逐级计算!$C$50,AX79+逐级计算!$C$50-(10/(逐级计算!$Q$50*LN(10))*(MAX((LN(10^(逐级计算!$Q$50/10)-1)+逐级计算!$Q$50*(AX79-逐级计算!$P$50)*LN(10)/10),0)+LN(1+EXP(-ABS((LN(10^(逐级计算!$Q$50/10)-1)+逐级计算!$Q$50*(AX79-逐级计算!$P$50)*LN(10)/10))))))),"")</f>
        <v>13.7930365742089</v>
      </c>
      <c r="AZ79">
        <f>IF(AND(ISNUMBER(AY79),逐级计算!$X$51&gt;-1),IF(逐级计算!$X$51=0,AY79+逐级计算!$C$51,AY79+逐级计算!$C$51-(10/(逐级计算!$Q$51*LN(10))*(MAX((LN(10^(逐级计算!$Q$51/10)-1)+逐级计算!$Q$51*(AY79-逐级计算!$P$51)*LN(10)/10),0)+LN(1+EXP(-ABS((LN(10^(逐级计算!$Q$51/10)-1)+逐级计算!$Q$51*(AY79-逐级计算!$P$51)*LN(10)/10))))))),"")</f>
        <v>13.7930365742089</v>
      </c>
      <c r="BA79">
        <f>IF(AND(ISNUMBER(AZ79),逐级计算!$X$52&gt;-1),IF(逐级计算!$X$52=0,AZ79+逐级计算!$C$52,AZ79+逐级计算!$C$52-(10/(逐级计算!$Q$52*LN(10))*(MAX((LN(10^(逐级计算!$Q$52/10)-1)+逐级计算!$Q$52*(AZ79-逐级计算!$P$52)*LN(10)/10),0)+LN(1+EXP(-ABS((LN(10^(逐级计算!$Q$52/10)-1)+逐级计算!$Q$52*(AZ79-逐级计算!$P$52)*LN(10)/10))))))),"")</f>
        <v>13.7930365742089</v>
      </c>
      <c r="BB79">
        <f>IF(AND(ISNUMBER(BA79),逐级计算!$X$53&gt;-1),IF(逐级计算!$X$53=0,BA79+逐级计算!$C$53,BA79+逐级计算!$C$53-(10/(逐级计算!$Q$53*LN(10))*(MAX((LN(10^(逐级计算!$Q$53/10)-1)+逐级计算!$Q$53*(BA79-逐级计算!$P$53)*LN(10)/10),0)+LN(1+EXP(-ABS((LN(10^(逐级计算!$Q$53/10)-1)+逐级计算!$Q$53*(BA79-逐级计算!$P$53)*LN(10)/10))))))),"")</f>
        <v>13.7930365742089</v>
      </c>
      <c r="BC79">
        <f>IF(AND(ISNUMBER(BB79),逐级计算!$X$54&gt;-1),IF(逐级计算!$X$54=0,BB79+逐级计算!$C$54,BB79+逐级计算!$C$54-(10/(逐级计算!$Q$54*LN(10))*(MAX((LN(10^(逐级计算!$Q$54/10)-1)+逐级计算!$Q$54*(BB79-逐级计算!$P$54)*LN(10)/10),0)+LN(1+EXP(-ABS((LN(10^(逐级计算!$Q$54/10)-1)+逐级计算!$Q$54*(BB79-逐级计算!$P$54)*LN(10)/10))))))),"")</f>
        <v>13.7930365742089</v>
      </c>
      <c r="BD79">
        <f>IF(AND(ISNUMBER(BC79),逐级计算!$X$55&gt;-1),IF(逐级计算!$X$55=0,BC79+逐级计算!$C$55,BC79+逐级计算!$C$55-(10/(逐级计算!$Q$55*LN(10))*(MAX((LN(10^(逐级计算!$Q$55/10)-1)+逐级计算!$Q$55*(BC79-逐级计算!$P$55)*LN(10)/10),0)+LN(1+EXP(-ABS((LN(10^(逐级计算!$Q$55/10)-1)+逐级计算!$Q$55*(BC79-逐级计算!$P$55)*LN(10)/10))))))),"")</f>
        <v>13.7930365742089</v>
      </c>
      <c r="BE79">
        <f>IF(AND(ISNUMBER(BD79),逐级计算!$X$56&gt;-1),IF(逐级计算!$X$56=0,BD79+逐级计算!$C$56,BD79+逐级计算!$C$56-(10/(逐级计算!$Q$56*LN(10))*(MAX((LN(10^(逐级计算!$Q$56/10)-1)+逐级计算!$Q$56*(BD79-逐级计算!$P$56)*LN(10)/10),0)+LN(1+EXP(-ABS((LN(10^(逐级计算!$Q$56/10)-1)+逐级计算!$Q$56*(BD79-逐级计算!$P$56)*LN(10)/10))))))),"")</f>
        <v>13.7930365742089</v>
      </c>
      <c r="BF79">
        <f>IF(AND(ISNUMBER(BE79),逐级计算!$X$57&gt;-1),IF(逐级计算!$X$57=0,BE79+逐级计算!$C$57,BE79+逐级计算!$C$57-(10/(逐级计算!$Q$57*LN(10))*(MAX((LN(10^(逐级计算!$Q$57/10)-1)+逐级计算!$Q$57*(BE79-逐级计算!$P$57)*LN(10)/10),0)+LN(1+EXP(-ABS((LN(10^(逐级计算!$Q$57/10)-1)+逐级计算!$Q$57*(BE79-逐级计算!$P$57)*LN(10)/10))))))),"")</f>
        <v>13.7930365742089</v>
      </c>
      <c r="BG79">
        <f>IF(AND(ISNUMBER(BF79),逐级计算!$X$58&gt;-1),IF(逐级计算!$X$58=0,BF79+逐级计算!$C$58,BF79+逐级计算!$C$58-(10/(逐级计算!$Q$58*LN(10))*(MAX((LN(10^(逐级计算!$Q$58/10)-1)+逐级计算!$Q$58*(BF79-逐级计算!$P$58)*LN(10)/10),0)+LN(1+EXP(-ABS((LN(10^(逐级计算!$Q$58/10)-1)+逐级计算!$Q$58*(BF79-逐级计算!$P$58)*LN(10)/10))))))),"")</f>
        <v>13.7930365742089</v>
      </c>
      <c r="BH79">
        <f>IF(AND(ISNUMBER(BG79),逐级计算!$X$59&gt;-1),IF(逐级计算!$X$59=0,BG79+逐级计算!$C$59,BG79+逐级计算!$C$59-(10/(逐级计算!$Q$59*LN(10))*(MAX((LN(10^(逐级计算!$Q$59/10)-1)+逐级计算!$Q$59*(BG79-逐级计算!$P$59)*LN(10)/10),0)+LN(1+EXP(-ABS((LN(10^(逐级计算!$Q$59/10)-1)+逐级计算!$Q$59*(BG79-逐级计算!$P$59)*LN(10)/10))))))),"")</f>
        <v>13.7930365742089</v>
      </c>
      <c r="BI79">
        <f>IF(AND(ISNUMBER(BH79),逐级计算!$X$60&gt;-1),IF(逐级计算!$X$60=0,BH79+逐级计算!$C$60,BH79+逐级计算!$C$60-(10/(逐级计算!$Q$60*LN(10))*(MAX((LN(10^(逐级计算!$Q$60/10)-1)+逐级计算!$Q$60*(BH79-逐级计算!$P$60)*LN(10)/10),0)+LN(1+EXP(-ABS((LN(10^(逐级计算!$Q$60/10)-1)+逐级计算!$Q$60*(BH79-逐级计算!$P$60)*LN(10)/10))))))),"")</f>
        <v>13.7930365742089</v>
      </c>
      <c r="BJ79">
        <f>IF(AND(ISNUMBER(BI79),逐级计算!$X$61&gt;-1),IF(逐级计算!$X$61=0,BI79+逐级计算!$C$61,BI79+逐级计算!$C$61-(10/(逐级计算!$Q$61*LN(10))*(MAX((LN(10^(逐级计算!$Q$61/10)-1)+逐级计算!$Q$61*(BI79-逐级计算!$P$61)*LN(10)/10),0)+LN(1+EXP(-ABS((LN(10^(逐级计算!$Q$61/10)-1)+逐级计算!$Q$61*(BI79-逐级计算!$P$61)*LN(10)/10))))))),"")</f>
        <v>13.7930365742089</v>
      </c>
      <c r="BK79">
        <f>IF(AND(ISNUMBER(BJ79),逐级计算!$X$62&gt;-1),IF(逐级计算!$X$62=0,BJ79+逐级计算!$C$62,BJ79+逐级计算!$C$62-(10/(逐级计算!$Q$62*LN(10))*(MAX((LN(10^(逐级计算!$Q$62/10)-1)+逐级计算!$Q$62*(BJ79-逐级计算!$P$62)*LN(10)/10),0)+LN(1+EXP(-ABS((LN(10^(逐级计算!$Q$62/10)-1)+逐级计算!$Q$62*(BJ79-逐级计算!$P$62)*LN(10)/10))))))),"")</f>
        <v>13.7930365742089</v>
      </c>
      <c r="BL79">
        <f>IF(AND(ISNUMBER(BK79),逐级计算!$X$63&gt;-1),IF(逐级计算!$X$63=0,BK79+逐级计算!$C$63,BK79+逐级计算!$C$63-(10/(逐级计算!$Q$63*LN(10))*(MAX((LN(10^(逐级计算!$Q$63/10)-1)+逐级计算!$Q$63*(BK79-逐级计算!$P$63)*LN(10)/10),0)+LN(1+EXP(-ABS((LN(10^(逐级计算!$Q$63/10)-1)+逐级计算!$Q$63*(BK79-逐级计算!$P$63)*LN(10)/10))))))),"")</f>
        <v>13.7930365742089</v>
      </c>
      <c r="BM79">
        <f>IF(AND(ISNUMBER(BL79),逐级计算!$X$64&gt;-1),IF(逐级计算!$X$64=0,BL79+逐级计算!$C$64,BL79+逐级计算!$C$64-(10/(逐级计算!$Q$64*LN(10))*(MAX((LN(10^(逐级计算!$Q$64/10)-1)+逐级计算!$Q$64*(BL79-逐级计算!$P$64)*LN(10)/10),0)+LN(1+EXP(-ABS((LN(10^(逐级计算!$Q$64/10)-1)+逐级计算!$Q$64*(BL79-逐级计算!$P$64)*LN(10)/10))))))),"")</f>
        <v>13.7930365742089</v>
      </c>
      <c r="BN79">
        <f>IF(AND(ISNUMBER(BM79),逐级计算!$X$65&gt;-1),IF(逐级计算!$X$65=0,BM79+逐级计算!$C$65,BM79+逐级计算!$C$65-(10/(逐级计算!$Q$65*LN(10))*(MAX((LN(10^(逐级计算!$Q$65/10)-1)+逐级计算!$Q$65*(BM79-逐级计算!$P$65)*LN(10)/10),0)+LN(1+EXP(-ABS((LN(10^(逐级计算!$Q$65/10)-1)+逐级计算!$Q$65*(BM79-逐级计算!$P$65)*LN(10)/10))))))),"")</f>
        <v>13.7930365742089</v>
      </c>
      <c r="BO79">
        <f>IF(AND(ISNUMBER(BN79),逐级计算!$X$66&gt;-1),IF(逐级计算!$X$66=0,BN79+逐级计算!$C$66,BN79+逐级计算!$C$66-(10/(逐级计算!$Q$66*LN(10))*(MAX((LN(10^(逐级计算!$Q$66/10)-1)+逐级计算!$Q$66*(BN79-逐级计算!$P$66)*LN(10)/10),0)+LN(1+EXP(-ABS((LN(10^(逐级计算!$Q$66/10)-1)+逐级计算!$Q$66*(BN79-逐级计算!$P$66)*LN(10)/10))))))),"")</f>
        <v>13.7930365742089</v>
      </c>
      <c r="BP79">
        <f>IF(AND(ISNUMBER(BO79),逐级计算!$X$67&gt;-1),IF(逐级计算!$X$67=0,BO79+逐级计算!$C$67,BO79+逐级计算!$C$67-(10/(逐级计算!$Q$67*LN(10))*(MAX((LN(10^(逐级计算!$Q$67/10)-1)+逐级计算!$Q$67*(BO79-逐级计算!$P$67)*LN(10)/10),0)+LN(1+EXP(-ABS((LN(10^(逐级计算!$Q$67/10)-1)+逐级计算!$Q$67*(BO79-逐级计算!$P$67)*LN(10)/10))))))),"")</f>
        <v>13.7930365742089</v>
      </c>
      <c r="BQ79">
        <f>IF(AND(ISNUMBER(BP79),逐级计算!$X$68&gt;-1),IF(逐级计算!$X$68=0,BP79+逐级计算!$C$68,BP79+逐级计算!$C$68-(10/(逐级计算!$Q$68*LN(10))*(MAX((LN(10^(逐级计算!$Q$68/10)-1)+逐级计算!$Q$68*(BP79-逐级计算!$P$68)*LN(10)/10),0)+LN(1+EXP(-ABS((LN(10^(逐级计算!$Q$68/10)-1)+逐级计算!$Q$68*(BP79-逐级计算!$P$68)*LN(10)/10))))))),"")</f>
        <v>13.7930365742089</v>
      </c>
      <c r="BR79">
        <f>IF(AND(ISNUMBER(BQ79),逐级计算!$X$69&gt;-1),IF(逐级计算!$X$69=0,BQ79+逐级计算!$C$69,BQ79+逐级计算!$C$69-(10/(逐级计算!$Q$69*LN(10))*(MAX((LN(10^(逐级计算!$Q$69/10)-1)+逐级计算!$Q$69*(BQ79-逐级计算!$P$69)*LN(10)/10),0)+LN(1+EXP(-ABS((LN(10^(逐级计算!$Q$69/10)-1)+逐级计算!$Q$69*(BQ79-逐级计算!$P$69)*LN(10)/10))))))),"")</f>
        <v>13.7930365742089</v>
      </c>
      <c r="BS79">
        <f>IF(AND(ISNUMBER(BR79),逐级计算!$X$70&gt;-1),IF(逐级计算!$X$70=0,BR79+逐级计算!$C$70,BR79+逐级计算!$C$70-(10/(逐级计算!$Q$70*LN(10))*(MAX((LN(10^(逐级计算!$Q$70/10)-1)+逐级计算!$Q$70*(BR79-逐级计算!$P$70)*LN(10)/10),0)+LN(1+EXP(-ABS((LN(10^(逐级计算!$Q$70/10)-1)+逐级计算!$Q$70*(BR79-逐级计算!$P$70)*LN(10)/10))))))),"")</f>
        <v>13.7930365742089</v>
      </c>
      <c r="BT79">
        <f>IF(AND(ISNUMBER(BS79),逐级计算!$X$71&gt;-1),IF(逐级计算!$X$71=0,BS79+逐级计算!$C$71,BS79+逐级计算!$C$71-(10/(逐级计算!$Q$71*LN(10))*(MAX((LN(10^(逐级计算!$Q$71/10)-1)+逐级计算!$Q$71*(BS79-逐级计算!$P$71)*LN(10)/10),0)+LN(1+EXP(-ABS((LN(10^(逐级计算!$Q$71/10)-1)+逐级计算!$Q$71*(BS79-逐级计算!$P$71)*LN(10)/10))))))),"")</f>
        <v>13.7930365742089</v>
      </c>
      <c r="BU79">
        <f>IF(AND(ISNUMBER(BT79),逐级计算!$X$72&gt;-1),IF(逐级计算!$X$72=0,BT79+逐级计算!$C$72,BT79+逐级计算!$C$72-(10/(逐级计算!$Q$72*LN(10))*(MAX((LN(10^(逐级计算!$Q$72/10)-1)+逐级计算!$Q$72*(BT79-逐级计算!$P$72)*LN(10)/10),0)+LN(1+EXP(-ABS((LN(10^(逐级计算!$Q$72/10)-1)+逐级计算!$Q$72*(BT79-逐级计算!$P$72)*LN(10)/10))))))),"")</f>
        <v>13.7930365742089</v>
      </c>
      <c r="BV79">
        <f>IF(AND(ISNUMBER(BU79),逐级计算!$X$73&gt;-1),IF(逐级计算!$X$73=0,BU79+逐级计算!$C$73,BU79+逐级计算!$C$73-(10/(逐级计算!$Q$73*LN(10))*(MAX((LN(10^(逐级计算!$Q$73/10)-1)+逐级计算!$Q$73*(BU79-逐级计算!$P$73)*LN(10)/10),0)+LN(1+EXP(-ABS((LN(10^(逐级计算!$Q$73/10)-1)+逐级计算!$Q$73*(BU79-逐级计算!$P$73)*LN(10)/10))))))),"")</f>
        <v>13.7930365742089</v>
      </c>
      <c r="BW79">
        <f>IF(AND(ISNUMBER(BV79),逐级计算!$X$74&gt;-1),IF(逐级计算!$X$74=0,BV79+逐级计算!$C$74,BV79+逐级计算!$C$74-(10/(逐级计算!$Q$74*LN(10))*(MAX((LN(10^(逐级计算!$Q$74/10)-1)+逐级计算!$Q$74*(BV79-逐级计算!$P$74)*LN(10)/10),0)+LN(1+EXP(-ABS((LN(10^(逐级计算!$Q$74/10)-1)+逐级计算!$Q$74*(BV79-逐级计算!$P$74)*LN(10)/10))))))),"")</f>
        <v>13.7930365742089</v>
      </c>
      <c r="BX79">
        <f>IF(AND(ISNUMBER(BW79),逐级计算!$X$75&gt;-1),IF(逐级计算!$X$75=0,BW79+逐级计算!$C$75,BW79+逐级计算!$C$75-(10/(逐级计算!$Q$75*LN(10))*(MAX((LN(10^(逐级计算!$Q$75/10)-1)+逐级计算!$Q$75*(BW79-逐级计算!$P$75)*LN(10)/10),0)+LN(1+EXP(-ABS((LN(10^(逐级计算!$Q$75/10)-1)+逐级计算!$Q$75*(BW79-逐级计算!$P$75)*LN(10)/10))))))),"")</f>
        <v>13.7930365742089</v>
      </c>
      <c r="BY79">
        <f>IF(AND(ISNUMBER(BX79),逐级计算!$X$76&gt;-1),IF(逐级计算!$X$76=0,BX79+逐级计算!$C$76,BX79+逐级计算!$C$76-(10/(逐级计算!$Q$76*LN(10))*(MAX((LN(10^(逐级计算!$Q$76/10)-1)+逐级计算!$Q$76*(BX79-逐级计算!$P$76)*LN(10)/10),0)+LN(1+EXP(-ABS((LN(10^(逐级计算!$Q$76/10)-1)+逐级计算!$Q$76*(BX79-逐级计算!$P$76)*LN(10)/10))))))),"")</f>
        <v>13.7930365742089</v>
      </c>
      <c r="BZ79">
        <f>IF(AND(ISNUMBER(BY79),逐级计算!$X$77&gt;-1),IF(逐级计算!$X$77=0,BY79+逐级计算!$C$77,BY79+逐级计算!$C$77-(10/(逐级计算!$Q$77*LN(10))*(MAX((LN(10^(逐级计算!$Q$77/10)-1)+逐级计算!$Q$77*(BY79-逐级计算!$P$77)*LN(10)/10),0)+LN(1+EXP(-ABS((LN(10^(逐级计算!$Q$77/10)-1)+逐级计算!$Q$77*(BY79-逐级计算!$P$77)*LN(10)/10))))))),"")</f>
        <v>13.7930365742089</v>
      </c>
      <c r="CA79">
        <f>IF(AND(ISNUMBER(BZ79),逐级计算!$X$78&gt;-1),IF(逐级计算!$X$78=0,BZ79+逐级计算!$C$78,BZ79+逐级计算!$C$78-(10/(逐级计算!$Q$78*LN(10))*(MAX((LN(10^(逐级计算!$Q$78/10)-1)+逐级计算!$Q$78*(BZ79-逐级计算!$P$78)*LN(10)/10),0)+LN(1+EXP(-ABS((LN(10^(逐级计算!$Q$78/10)-1)+逐级计算!$Q$78*(BZ79-逐级计算!$P$78)*LN(10)/10))))))),"")</f>
        <v>13.7930365742089</v>
      </c>
      <c r="CB79">
        <f>IF(AND(ISNUMBER(CA79),逐级计算!$X$79&gt;-1),IF(逐级计算!$X$79=0,CA79+逐级计算!$C$79,CA79+逐级计算!$C$79-(10/(逐级计算!$Q$79*LN(10))*(MAX((LN(10^(逐级计算!$Q$79/10)-1)+逐级计算!$Q$79*(CA79-逐级计算!$P$79)*LN(10)/10),0)+LN(1+EXP(-ABS((LN(10^(逐级计算!$Q$79/10)-1)+逐级计算!$Q$79*(CA79-逐级计算!$P$79)*LN(10)/10))))))),"")</f>
        <v>13.7930365742089</v>
      </c>
      <c r="CC79">
        <f>IF(AND(ISNUMBER(CB79),逐级计算!$X$80&gt;-1),IF(逐级计算!$X$80=0,CB79+逐级计算!$C$80,CB79+逐级计算!$C$80-(10/(逐级计算!$Q$80*LN(10))*(MAX((LN(10^(逐级计算!$Q$80/10)-1)+逐级计算!$Q$80*(CB79-逐级计算!$P$80)*LN(10)/10),0)+LN(1+EXP(-ABS((LN(10^(逐级计算!$Q$80/10)-1)+逐级计算!$Q$80*(CB79-逐级计算!$P$80)*LN(10)/10))))))),"")</f>
        <v>13.7930365742089</v>
      </c>
      <c r="CD79">
        <f>IF(AND(ISNUMBER(CC79),逐级计算!$X$81&gt;-1),IF(逐级计算!$X$81=0,CC79+逐级计算!$C$81,CC79+逐级计算!$C$81-(10/(逐级计算!$Q$81*LN(10))*(MAX((LN(10^(逐级计算!$Q$81/10)-1)+逐级计算!$Q$81*(CC79-逐级计算!$P$81)*LN(10)/10),0)+LN(1+EXP(-ABS((LN(10^(逐级计算!$Q$81/10)-1)+逐级计算!$Q$81*(CC79-逐级计算!$P$81)*LN(10)/10))))))),"")</f>
        <v>13.7930365742089</v>
      </c>
      <c r="CE79">
        <f>IF(AND(ISNUMBER(CD79),逐级计算!$X$82&gt;-1),IF(逐级计算!$X$82=0,CD79+逐级计算!$C$82,CD79+逐级计算!$C$82-(10/(逐级计算!$Q$82*LN(10))*(MAX((LN(10^(逐级计算!$Q$82/10)-1)+逐级计算!$Q$82*(CD79-逐级计算!$P$82)*LN(10)/10),0)+LN(1+EXP(-ABS((LN(10^(逐级计算!$Q$82/10)-1)+逐级计算!$Q$82*(CD79-逐级计算!$P$82)*LN(10)/10))))))),"")</f>
        <v>13.7930365742089</v>
      </c>
      <c r="CF79">
        <f>IF(AND(ISNUMBER(CE79),逐级计算!$X$83&gt;-1),IF(逐级计算!$X$83=0,CE79+逐级计算!$C$83,CE79+逐级计算!$C$83-(10/(逐级计算!$Q$83*LN(10))*(MAX((LN(10^(逐级计算!$Q$83/10)-1)+逐级计算!$Q$83*(CE79-逐级计算!$P$83)*LN(10)/10),0)+LN(1+EXP(-ABS((LN(10^(逐级计算!$Q$83/10)-1)+逐级计算!$Q$83*(CE79-逐级计算!$P$83)*LN(10)/10))))))),"")</f>
        <v>13.7930365742089</v>
      </c>
      <c r="CG79">
        <f>IF(AND(ISNUMBER(CF79),逐级计算!$X$84&gt;-1),IF(逐级计算!$X$84=0,CF79+逐级计算!$C$84,CF79+逐级计算!$C$84-(10/(逐级计算!$Q$84*LN(10))*(MAX((LN(10^(逐级计算!$Q$84/10)-1)+逐级计算!$Q$84*(CF79-逐级计算!$P$84)*LN(10)/10),0)+LN(1+EXP(-ABS((LN(10^(逐级计算!$Q$84/10)-1)+逐级计算!$Q$84*(CF79-逐级计算!$P$84)*LN(10)/10))))))),"")</f>
        <v>13.7930365742089</v>
      </c>
      <c r="CH79">
        <f>IF(AND(ISNUMBER(CG79),逐级计算!$X$85&gt;-1),IF(逐级计算!$X$85=0,CG79+逐级计算!$C$85,CG79+逐级计算!$C$85-(10/(逐级计算!$Q$85*LN(10))*(MAX((LN(10^(逐级计算!$Q$85/10)-1)+逐级计算!$Q$85*(CG79-逐级计算!$P$85)*LN(10)/10),0)+LN(1+EXP(-ABS((LN(10^(逐级计算!$Q$85/10)-1)+逐级计算!$Q$85*(CG79-逐级计算!$P$85)*LN(10)/10))))))),"")</f>
        <v>13.7930365742089</v>
      </c>
      <c r="CI79">
        <f>IF(AND(ISNUMBER(CH79),逐级计算!$X$86&gt;-1),IF(逐级计算!$X$86=0,CH79+逐级计算!$C$86,CH79+逐级计算!$C$86-(10/(逐级计算!$Q$86*LN(10))*(MAX((LN(10^(逐级计算!$Q$86/10)-1)+逐级计算!$Q$86*(CH79-逐级计算!$P$86)*LN(10)/10),0)+LN(1+EXP(-ABS((LN(10^(逐级计算!$Q$86/10)-1)+逐级计算!$Q$86*(CH79-逐级计算!$P$86)*LN(10)/10))))))),"")</f>
        <v>13.7930365742089</v>
      </c>
      <c r="CJ79">
        <f>IF(AND(ISNUMBER(CI79),逐级计算!$X$87&gt;-1),IF(逐级计算!$X$87=0,CI79+逐级计算!$C$87,CI79+逐级计算!$C$87-(10/(逐级计算!$Q$87*LN(10))*(MAX((LN(10^(逐级计算!$Q$87/10)-1)+逐级计算!$Q$87*(CI79-逐级计算!$P$87)*LN(10)/10),0)+LN(1+EXP(-ABS((LN(10^(逐级计算!$Q$87/10)-1)+逐级计算!$Q$87*(CI79-逐级计算!$P$87)*LN(10)/10))))))),"")</f>
        <v>13.7930365742089</v>
      </c>
      <c r="CK79">
        <f>IF(AND(ISNUMBER(CJ79),逐级计算!$X$88&gt;-1),IF(逐级计算!$X$88=0,CJ79+逐级计算!$C$88,CJ79+逐级计算!$C$88-(10/(逐级计算!$Q$88*LN(10))*(MAX((LN(10^(逐级计算!$Q$88/10)-1)+逐级计算!$Q$88*(CJ79-逐级计算!$P$88)*LN(10)/10),0)+LN(1+EXP(-ABS((LN(10^(逐级计算!$Q$88/10)-1)+逐级计算!$Q$88*(CJ79-逐级计算!$P$88)*LN(10)/10))))))),"")</f>
        <v>13.7930365742089</v>
      </c>
      <c r="CL79">
        <f>IF(AND(ISNUMBER(CK79),逐级计算!$X$89&gt;-1),IF(逐级计算!$X$89=0,CK79+逐级计算!$C$89,CK79+逐级计算!$C$89-(10/(逐级计算!$Q$89*LN(10))*(MAX((LN(10^(逐级计算!$Q$89/10)-1)+逐级计算!$Q$89*(CK79-逐级计算!$P$89)*LN(10)/10),0)+LN(1+EXP(-ABS((LN(10^(逐级计算!$Q$89/10)-1)+逐级计算!$Q$89*(CK79-逐级计算!$P$89)*LN(10)/10))))))),"")</f>
        <v>13.7930365742089</v>
      </c>
      <c r="CM79">
        <f>IF(AND(ISNUMBER(CL79),逐级计算!$X$90&gt;-1),IF(逐级计算!$X$90=0,CL79+逐级计算!$C$90,CL79+逐级计算!$C$90-(10/(逐级计算!$Q$90*LN(10))*(MAX((LN(10^(逐级计算!$Q$90/10)-1)+逐级计算!$Q$90*(CL79-逐级计算!$P$90)*LN(10)/10),0)+LN(1+EXP(-ABS((LN(10^(逐级计算!$Q$90/10)-1)+逐级计算!$Q$90*(CL79-逐级计算!$P$90)*LN(10)/10))))))),"")</f>
        <v>13.7930365742089</v>
      </c>
      <c r="CN79">
        <f>IF(AND(ISNUMBER(CM79),逐级计算!$X$91&gt;-1),IF(逐级计算!$X$91=0,CM79+逐级计算!$C$91,CM79+逐级计算!$C$91-(10/(逐级计算!$Q$91*LN(10))*(MAX((LN(10^(逐级计算!$Q$91/10)-1)+逐级计算!$Q$91*(CM79-逐级计算!$P$91)*LN(10)/10),0)+LN(1+EXP(-ABS((LN(10^(逐级计算!$Q$91/10)-1)+逐级计算!$Q$91*(CM79-逐级计算!$P$91)*LN(10)/10))))))),"")</f>
        <v>13.7930365742089</v>
      </c>
      <c r="CO79">
        <f>IF(AND(ISNUMBER(CN79),逐级计算!$X$92&gt;-1),IF(逐级计算!$X$92=0,CN79+逐级计算!$C$92,CN79+逐级计算!$C$92-(10/(逐级计算!$Q$92*LN(10))*(MAX((LN(10^(逐级计算!$Q$92/10)-1)+逐级计算!$Q$92*(CN79-逐级计算!$P$92)*LN(10)/10),0)+LN(1+EXP(-ABS((LN(10^(逐级计算!$Q$92/10)-1)+逐级计算!$Q$92*(CN79-逐级计算!$P$92)*LN(10)/10))))))),"")</f>
        <v>13.7930365742089</v>
      </c>
      <c r="CP79">
        <f>IF(AND(ISNUMBER(CO79),逐级计算!$X$93&gt;-1),IF(逐级计算!$X$93=0,CO79+逐级计算!$C$93,CO79+逐级计算!$C$93-(10/(逐级计算!$Q$93*LN(10))*(MAX((LN(10^(逐级计算!$Q$93/10)-1)+逐级计算!$Q$93*(CO79-逐级计算!$P$93)*LN(10)/10),0)+LN(1+EXP(-ABS((LN(10^(逐级计算!$Q$93/10)-1)+逐级计算!$Q$93*(CO79-逐级计算!$P$93)*LN(10)/10))))))),"")</f>
        <v>13.7930365742089</v>
      </c>
      <c r="CQ79">
        <f>IF(AND(ISNUMBER(CP79),逐级计算!$X$94&gt;-1),IF(逐级计算!$X$94=0,CP79+逐级计算!$C$94,CP79+逐级计算!$C$94-(10/(逐级计算!$Q$94*LN(10))*(MAX((LN(10^(逐级计算!$Q$94/10)-1)+逐级计算!$Q$94*(CP79-逐级计算!$P$94)*LN(10)/10),0)+LN(1+EXP(-ABS((LN(10^(逐级计算!$Q$94/10)-1)+逐级计算!$Q$94*(CP79-逐级计算!$P$94)*LN(10)/10))))))),"")</f>
        <v>13.7930365742089</v>
      </c>
      <c r="CR79">
        <f>IF(AND(ISNUMBER(CQ79),逐级计算!$X$95&gt;-1),IF(逐级计算!$X$95=0,CQ79+逐级计算!$C$95,CQ79+逐级计算!$C$95-(10/(逐级计算!$Q$95*LN(10))*(MAX((LN(10^(逐级计算!$Q$95/10)-1)+逐级计算!$Q$95*(CQ79-逐级计算!$P$95)*LN(10)/10),0)+LN(1+EXP(-ABS((LN(10^(逐级计算!$Q$95/10)-1)+逐级计算!$Q$95*(CQ79-逐级计算!$P$95)*LN(10)/10))))))),"")</f>
        <v>13.7930365742089</v>
      </c>
      <c r="CS79">
        <f>IF(AND(ISNUMBER(CR79),逐级计算!$X$96&gt;-1),IF(逐级计算!$X$96=0,CR79+逐级计算!$C$96,CR79+逐级计算!$C$96-(10/(逐级计算!$Q$96*LN(10))*(MAX((LN(10^(逐级计算!$Q$96/10)-1)+逐级计算!$Q$96*(CR79-逐级计算!$P$96)*LN(10)/10),0)+LN(1+EXP(-ABS((LN(10^(逐级计算!$Q$96/10)-1)+逐级计算!$Q$96*(CR79-逐级计算!$P$96)*LN(10)/10))))))),"")</f>
        <v>13.7930365742089</v>
      </c>
      <c r="CT79">
        <f>IF(AND(ISNUMBER(CS79),逐级计算!$X$97&gt;-1),IF(逐级计算!$X$97=0,CS79+逐级计算!$C$97,CS79+逐级计算!$C$97-(10/(逐级计算!$Q$97*LN(10))*(MAX((LN(10^(逐级计算!$Q$97/10)-1)+逐级计算!$Q$97*(CS79-逐级计算!$P$97)*LN(10)/10),0)+LN(1+EXP(-ABS((LN(10^(逐级计算!$Q$97/10)-1)+逐级计算!$Q$97*(CS79-逐级计算!$P$97)*LN(10)/10))))))),"")</f>
        <v>13.7930365742089</v>
      </c>
      <c r="CU79">
        <f>IF(AND(ISNUMBER(CT79),逐级计算!$X$98&gt;-1),IF(逐级计算!$X$98=0,CT79+逐级计算!$C$98,CT79+逐级计算!$C$98-(10/(逐级计算!$Q$98*LN(10))*(MAX((LN(10^(逐级计算!$Q$98/10)-1)+逐级计算!$Q$98*(CT79-逐级计算!$P$98)*LN(10)/10),0)+LN(1+EXP(-ABS((LN(10^(逐级计算!$Q$98/10)-1)+逐级计算!$Q$98*(CT79-逐级计算!$P$98)*LN(10)/10))))))),"")</f>
        <v>13.7930365742089</v>
      </c>
      <c r="CV79">
        <f>IF(AND(ISNUMBER(CU79),逐级计算!$X$99&gt;-1),IF(逐级计算!$X$99=0,CU79+逐级计算!$C$99,CU79+逐级计算!$C$99-(10/(逐级计算!$Q$99*LN(10))*(MAX((LN(10^(逐级计算!$Q$99/10)-1)+逐级计算!$Q$99*(CU79-逐级计算!$P$99)*LN(10)/10),0)+LN(1+EXP(-ABS((LN(10^(逐级计算!$Q$99/10)-1)+逐级计算!$Q$99*(CU79-逐级计算!$P$99)*LN(10)/10))))))),"")</f>
        <v>13.7930365742089</v>
      </c>
      <c r="CW79">
        <f>IF(AND(ISNUMBER(CV79),逐级计算!$X$100&gt;-1),IF(逐级计算!$X$100=0,CV79+逐级计算!$C$100,CV79+逐级计算!$C$100-(10/(逐级计算!$Q$100*LN(10))*(MAX((LN(10^(逐级计算!$Q$100/10)-1)+逐级计算!$Q$100*(CV79-逐级计算!$P$100)*LN(10)/10),0)+LN(1+EXP(-ABS((LN(10^(逐级计算!$Q$100/10)-1)+逐级计算!$Q$100*(CV79-逐级计算!$P$100)*LN(10)/10))))))),"")</f>
        <v>13.7930365742089</v>
      </c>
      <c r="CX79">
        <f>IF(AND(ISNUMBER(CW79),逐级计算!$X$101&gt;-1),IF(逐级计算!$X$101=0,CW79+逐级计算!$C$101,CW79+逐级计算!$C$101-(10/(逐级计算!$Q$101*LN(10))*(MAX((LN(10^(逐级计算!$Q$101/10)-1)+逐级计算!$Q$101*(CW79-逐级计算!$P$101)*LN(10)/10),0)+LN(1+EXP(-ABS((LN(10^(逐级计算!$Q$101/10)-1)+逐级计算!$Q$101*(CW79-逐级计算!$P$101)*LN(10)/10))))))),"")</f>
        <v>13.7930365742089</v>
      </c>
      <c r="CY79">
        <f>IF(AND(ISNUMBER(CX79),逐级计算!$X$102&gt;-1),IF(逐级计算!$X$102=0,CX79+逐级计算!$C$102,CX79+逐级计算!$C$102-(10/(逐级计算!$Q$102*LN(10))*(MAX((LN(10^(逐级计算!$Q$102/10)-1)+逐级计算!$Q$102*(CX79-逐级计算!$P$102)*LN(10)/10),0)+LN(1+EXP(-ABS((LN(10^(逐级计算!$Q$102/10)-1)+逐级计算!$Q$102*(CX79-逐级计算!$P$102)*LN(10)/10))))))),"")</f>
        <v>13.7930365742089</v>
      </c>
      <c r="CZ79">
        <f>IF(AND(ISNUMBER(CY79),逐级计算!$X$103&gt;-1),IF(逐级计算!$X$103=0,CY79+逐级计算!$C$103,CY79+逐级计算!$C$103-(10/(逐级计算!$Q$103*LN(10))*(MAX((LN(10^(逐级计算!$Q$103/10)-1)+逐级计算!$Q$103*(CY79-逐级计算!$P$103)*LN(10)/10),0)+LN(1+EXP(-ABS((LN(10^(逐级计算!$Q$103/10)-1)+逐级计算!$Q$103*(CY79-逐级计算!$P$103)*LN(10)/10))))))),"")</f>
        <v>13.7930365742089</v>
      </c>
      <c r="DA79">
        <f>IF(AND(ISNUMBER(CZ79),逐级计算!$X$104&gt;-1),IF(逐级计算!$X$104=0,CZ79+逐级计算!$C$104,CZ79+逐级计算!$C$104-(10/(逐级计算!$Q$104*LN(10))*(MAX((LN(10^(逐级计算!$Q$104/10)-1)+逐级计算!$Q$104*(CZ79-逐级计算!$P$104)*LN(10)/10),0)+LN(1+EXP(-ABS((LN(10^(逐级计算!$Q$104/10)-1)+逐级计算!$Q$104*(CZ79-逐级计算!$P$104)*LN(10)/10))))))),"")</f>
        <v>13.7930365742089</v>
      </c>
      <c r="DB79">
        <f>IF(AND(ISNUMBER(DA79),逐级计算!$X$105&gt;-1),IF(逐级计算!$X$105=0,DA79+逐级计算!$C$105,DA79+逐级计算!$C$105-(10/(逐级计算!$Q$105*LN(10))*(MAX((LN(10^(逐级计算!$Q$105/10)-1)+逐级计算!$Q$105*(DA79-逐级计算!$P$105)*LN(10)/10),0)+LN(1+EXP(-ABS((LN(10^(逐级计算!$Q$105/10)-1)+逐级计算!$Q$105*(DA79-逐级计算!$P$105)*LN(10)/10))))))),"")</f>
        <v>13.7930365742089</v>
      </c>
      <c r="DC79">
        <f>IF(AND(ISNUMBER(DB79),逐级计算!$X$106&gt;-1),IF(逐级计算!$X$106=0,DB79+逐级计算!$C$106,DB79+逐级计算!$C$106-(10/(逐级计算!$Q$106*LN(10))*(MAX((LN(10^(逐级计算!$Q$106/10)-1)+逐级计算!$Q$106*(DB79-逐级计算!$P$106)*LN(10)/10),0)+LN(1+EXP(-ABS((LN(10^(逐级计算!$Q$106/10)-1)+逐级计算!$Q$106*(DB79-逐级计算!$P$106)*LN(10)/10))))))),"")</f>
        <v>13.7930365742089</v>
      </c>
      <c r="DD79">
        <f>IF(AND(ISNUMBER(DC79),逐级计算!$X$107&gt;-1),IF(逐级计算!$X$107=0,DC79+逐级计算!$C$107,DC79+逐级计算!$C$107-(10/(逐级计算!$Q$107*LN(10))*(MAX((LN(10^(逐级计算!$Q$107/10)-1)+逐级计算!$Q$107*(DC79-逐级计算!$P$107)*LN(10)/10),0)+LN(1+EXP(-ABS((LN(10^(逐级计算!$Q$107/10)-1)+逐级计算!$Q$107*(DC79-逐级计算!$P$107)*LN(10)/10))))))),"")</f>
        <v>13.7930365742089</v>
      </c>
      <c r="DE79">
        <f>IF(AND(ISNUMBER(DD79),逐级计算!$X$108&gt;-1),IF(逐级计算!$X$108=0,DD79+逐级计算!$C$108,DD79+逐级计算!$C$108-(10/(逐级计算!$Q$108*LN(10))*(MAX((LN(10^(逐级计算!$Q$108/10)-1)+逐级计算!$Q$108*(DD79-逐级计算!$P$108)*LN(10)/10),0)+LN(1+EXP(-ABS((LN(10^(逐级计算!$Q$108/10)-1)+逐级计算!$Q$108*(DD79-逐级计算!$P$108)*LN(10)/10))))))),"")</f>
        <v>13.7930365742089</v>
      </c>
      <c r="DF79">
        <f>IF(AND(ISNUMBER(DE79),逐级计算!$X$109&gt;-1),IF(逐级计算!$X$109=0,DE79+逐级计算!$C$109,DE79+逐级计算!$C$109-(10/(逐级计算!$Q$109*LN(10))*(MAX((LN(10^(逐级计算!$Q$109/10)-1)+逐级计算!$Q$109*(DE79-逐级计算!$P$109)*LN(10)/10),0)+LN(1+EXP(-ABS((LN(10^(逐级计算!$Q$109/10)-1)+逐级计算!$Q$109*(DE79-逐级计算!$P$109)*LN(10)/10))))))),"")</f>
        <v>13.7930365742089</v>
      </c>
      <c r="DG79">
        <f>IF(AND(ISNUMBER(DF79),逐级计算!$X$110&gt;-1),IF(逐级计算!$X$110=0,DF79+逐级计算!$C$110,DF79+逐级计算!$C$110-(10/(逐级计算!$Q$110*LN(10))*(MAX((LN(10^(逐级计算!$Q$110/10)-1)+逐级计算!$Q$110*(DF79-逐级计算!$P$110)*LN(10)/10),0)+LN(1+EXP(-ABS((LN(10^(逐级计算!$Q$110/10)-1)+逐级计算!$Q$110*(DF79-逐级计算!$P$110)*LN(10)/10))))))),"")</f>
        <v>13.7930365742089</v>
      </c>
      <c r="DH79">
        <f>IF(AND(ISNUMBER(DG79),逐级计算!$X$111&gt;-1),IF(逐级计算!$X$111=0,DG79+逐级计算!$C$111,DG79+逐级计算!$C$111-(10/(逐级计算!$Q$111*LN(10))*(MAX((LN(10^(逐级计算!$Q$111/10)-1)+逐级计算!$Q$111*(DG79-逐级计算!$P$111)*LN(10)/10),0)+LN(1+EXP(-ABS((LN(10^(逐级计算!$Q$111/10)-1)+逐级计算!$Q$111*(DG79-逐级计算!$P$111)*LN(10)/10))))))),"")</f>
        <v>13.7930365742089</v>
      </c>
      <c r="DI79">
        <f>IF(AND(ISNUMBER(DH79),逐级计算!$X$112&gt;-1),IF(逐级计算!$X$112=0,DH79+逐级计算!$C$112,DH79+逐级计算!$C$112-(10/(逐级计算!$Q$112*LN(10))*(MAX((LN(10^(逐级计算!$Q$112/10)-1)+逐级计算!$Q$112*(DH79-逐级计算!$P$112)*LN(10)/10),0)+LN(1+EXP(-ABS((LN(10^(逐级计算!$Q$112/10)-1)+逐级计算!$Q$112*(DH79-逐级计算!$P$112)*LN(10)/10))))))),"")</f>
        <v>13.7930365742089</v>
      </c>
      <c r="DJ79">
        <f>IF(AND(ISNUMBER(DI79),逐级计算!$X$113&gt;-1),IF(逐级计算!$X$113=0,DI79+逐级计算!$C$113,DI79+逐级计算!$C$113-(10/(逐级计算!$Q$113*LN(10))*(MAX((LN(10^(逐级计算!$Q$113/10)-1)+逐级计算!$Q$113*(DI79-逐级计算!$P$113)*LN(10)/10),0)+LN(1+EXP(-ABS((LN(10^(逐级计算!$Q$113/10)-1)+逐级计算!$Q$113*(DI79-逐级计算!$P$113)*LN(10)/10))))))),"")</f>
        <v>13.7930365742089</v>
      </c>
      <c r="DK79">
        <f>IF(AND(ISNUMBER(DJ79),逐级计算!$X$114&gt;-1),IF(逐级计算!$X$114=0,DJ79+逐级计算!$C$114,DJ79+逐级计算!$C$114-(10/(逐级计算!$Q$114*LN(10))*(MAX((LN(10^(逐级计算!$Q$114/10)-1)+逐级计算!$Q$114*(DJ79-逐级计算!$P$114)*LN(10)/10),0)+LN(1+EXP(-ABS((LN(10^(逐级计算!$Q$114/10)-1)+逐级计算!$Q$114*(DJ79-逐级计算!$P$114)*LN(10)/10))))))),"")</f>
        <v>13.7930365742089</v>
      </c>
      <c r="DL79">
        <f>IF(AND(ISNUMBER(DK79),逐级计算!$X$115&gt;-1),IF(逐级计算!$X$115=0,DK79+逐级计算!$C$115,DK79+逐级计算!$C$115-(10/(逐级计算!$Q$115*LN(10))*(MAX((LN(10^(逐级计算!$Q$115/10)-1)+逐级计算!$Q$115*(DK79-逐级计算!$P$115)*LN(10)/10),0)+LN(1+EXP(-ABS((LN(10^(逐级计算!$Q$115/10)-1)+逐级计算!$Q$115*(DK79-逐级计算!$P$115)*LN(10)/10))))))),"")</f>
        <v>13.7930365742089</v>
      </c>
      <c r="DM79">
        <f>IF(AND(ISNUMBER(DL79),逐级计算!$X$116&gt;-1),IF(逐级计算!$X$116=0,DL79+逐级计算!$C$116,DL79+逐级计算!$C$116-(10/(逐级计算!$Q$116*LN(10))*(MAX((LN(10^(逐级计算!$Q$116/10)-1)+逐级计算!$Q$116*(DL79-逐级计算!$P$116)*LN(10)/10),0)+LN(1+EXP(-ABS((LN(10^(逐级计算!$Q$116/10)-1)+逐级计算!$Q$116*(DL79-逐级计算!$P$116)*LN(10)/10))))))),"")</f>
        <v>13.7930365742089</v>
      </c>
      <c r="DN79">
        <f>IF(AND(ISNUMBER(DM79),逐级计算!$X$117&gt;-1),IF(逐级计算!$X$117=0,DM79+逐级计算!$C$117,DM79+逐级计算!$C$117-(10/(逐级计算!$Q$117*LN(10))*(MAX((LN(10^(逐级计算!$Q$117/10)-1)+逐级计算!$Q$117*(DM79-逐级计算!$P$117)*LN(10)/10),0)+LN(1+EXP(-ABS((LN(10^(逐级计算!$Q$117/10)-1)+逐级计算!$Q$117*(DM79-逐级计算!$P$117)*LN(10)/10))))))),"")</f>
        <v>13.7930365742089</v>
      </c>
      <c r="DO79">
        <f>IF(AND(ISNUMBER(DN79),逐级计算!$X$118&gt;-1),IF(逐级计算!$X$118=0,DN79+逐级计算!$C$118,DN79+逐级计算!$C$118-(10/(逐级计算!$Q$118*LN(10))*(MAX((LN(10^(逐级计算!$Q$118/10)-1)+逐级计算!$Q$118*(DN79-逐级计算!$P$118)*LN(10)/10),0)+LN(1+EXP(-ABS((LN(10^(逐级计算!$Q$118/10)-1)+逐级计算!$Q$118*(DN79-逐级计算!$P$118)*LN(10)/10))))))),"")</f>
        <v>13.7930365742089</v>
      </c>
      <c r="DP79">
        <f>IF(AND(ISNUMBER(DO79),逐级计算!$X$119&gt;-1),IF(逐级计算!$X$119=0,DO79+逐级计算!$C$119,DO79+逐级计算!$C$119-(10/(逐级计算!$Q$119*LN(10))*(MAX((LN(10^(逐级计算!$Q$119/10)-1)+逐级计算!$Q$119*(DO79-逐级计算!$P$119)*LN(10)/10),0)+LN(1+EXP(-ABS((LN(10^(逐级计算!$Q$119/10)-1)+逐级计算!$Q$119*(DO79-逐级计算!$P$119)*LN(10)/10))))))),"")</f>
        <v>13.7930365742089</v>
      </c>
      <c r="DQ79">
        <f>IF(AND(ISNUMBER(DP79),逐级计算!$X$120&gt;-1),IF(逐级计算!$X$120=0,DP79+逐级计算!$C$120,DP79+逐级计算!$C$120-(10/(逐级计算!$Q$120*LN(10))*(MAX((LN(10^(逐级计算!$Q$120/10)-1)+逐级计算!$Q$120*(DP79-逐级计算!$P$120)*LN(10)/10),0)+LN(1+EXP(-ABS((LN(10^(逐级计算!$Q$120/10)-1)+逐级计算!$Q$120*(DP79-逐级计算!$P$120)*LN(10)/10))))))),"")</f>
        <v>13.7930365742089</v>
      </c>
      <c r="DR79">
        <f>IF(AND(ISNUMBER(DQ79),逐级计算!$X$121&gt;-1),IF(逐级计算!$X$121=0,DQ79+逐级计算!$C$121,DQ79+逐级计算!$C$121-(10/(逐级计算!$Q$121*LN(10))*(MAX((LN(10^(逐级计算!$Q$121/10)-1)+逐级计算!$Q$121*(DQ79-逐级计算!$P$121)*LN(10)/10),0)+LN(1+EXP(-ABS((LN(10^(逐级计算!$Q$121/10)-1)+逐级计算!$Q$121*(DQ79-逐级计算!$P$121)*LN(10)/10))))))),"")</f>
        <v>13.7930365742089</v>
      </c>
      <c r="DS79">
        <f>IF(AND(ISNUMBER(DR79),逐级计算!$X$122&gt;-1),IF(逐级计算!$X$122=0,DR79+逐级计算!$C$122,DR79+逐级计算!$C$122-(10/(逐级计算!$Q$122*LN(10))*(MAX((LN(10^(逐级计算!$Q$122/10)-1)+逐级计算!$Q$122*(DR79-逐级计算!$P$122)*LN(10)/10),0)+LN(1+EXP(-ABS((LN(10^(逐级计算!$Q$122/10)-1)+逐级计算!$Q$122*(DR79-逐级计算!$P$122)*LN(10)/10))))))),"")</f>
        <v>13.7930365742089</v>
      </c>
      <c r="DT79">
        <f>IF(AND(ISNUMBER(DS79),逐级计算!$X$123&gt;-1),IF(逐级计算!$X$123=0,DS79+逐级计算!$C$123,DS79+逐级计算!$C$123-(10/(逐级计算!$Q$123*LN(10))*(MAX((LN(10^(逐级计算!$Q$123/10)-1)+逐级计算!$Q$123*(DS79-逐级计算!$P$123)*LN(10)/10),0)+LN(1+EXP(-ABS((LN(10^(逐级计算!$Q$123/10)-1)+逐级计算!$Q$123*(DS79-逐级计算!$P$123)*LN(10)/10))))))),"")</f>
        <v>13.7930365742089</v>
      </c>
      <c r="DU79">
        <f>IF(AND(ISNUMBER(DT79),逐级计算!$X$124&gt;-1),IF(逐级计算!$X$124=0,DT79+逐级计算!$C$124,DT79+逐级计算!$C$124-(10/(逐级计算!$Q$124*LN(10))*(MAX((LN(10^(逐级计算!$Q$124/10)-1)+逐级计算!$Q$124*(DT79-逐级计算!$P$124)*LN(10)/10),0)+LN(1+EXP(-ABS((LN(10^(逐级计算!$Q$124/10)-1)+逐级计算!$Q$124*(DT79-逐级计算!$P$124)*LN(10)/10))))))),"")</f>
        <v>13.7930365742089</v>
      </c>
      <c r="DV79">
        <f>IF(AND(ISNUMBER(DU79),逐级计算!$X$125&gt;-1),IF(逐级计算!$X$125=0,DU79+逐级计算!$C$125,DU79+逐级计算!$C$125-(10/(逐级计算!$Q$125*LN(10))*(MAX((LN(10^(逐级计算!$Q$125/10)-1)+逐级计算!$Q$125*(DU79-逐级计算!$P$125)*LN(10)/10),0)+LN(1+EXP(-ABS((LN(10^(逐级计算!$Q$125/10)-1)+逐级计算!$Q$125*(DU79-逐级计算!$P$125)*LN(10)/10))))))),"")</f>
        <v>13.7930365742089</v>
      </c>
      <c r="DW79">
        <f>IF(AND(ISNUMBER(DV79),逐级计算!$X$126&gt;-1),IF(逐级计算!$X$126=0,DV79+逐级计算!$C$126,DV79+逐级计算!$C$126-(10/(逐级计算!$Q$126*LN(10))*(MAX((LN(10^(逐级计算!$Q$126/10)-1)+逐级计算!$Q$126*(DV79-逐级计算!$P$126)*LN(10)/10),0)+LN(1+EXP(-ABS((LN(10^(逐级计算!$Q$126/10)-1)+逐级计算!$Q$126*(DV79-逐级计算!$P$126)*LN(10)/10))))))),"")</f>
        <v>13.7930365742089</v>
      </c>
      <c r="DX79">
        <f>IF(AND(ISNUMBER(DW79),逐级计算!$X$127&gt;-1),IF(逐级计算!$X$127=0,DW79+逐级计算!$C$127,DW79+逐级计算!$C$127-(10/(逐级计算!$Q$127*LN(10))*(MAX((LN(10^(逐级计算!$Q$127/10)-1)+逐级计算!$Q$127*(DW79-逐级计算!$P$127)*LN(10)/10),0)+LN(1+EXP(-ABS((LN(10^(逐级计算!$Q$127/10)-1)+逐级计算!$Q$127*(DW79-逐级计算!$P$127)*LN(10)/10))))))),"")</f>
        <v>13.7930365742089</v>
      </c>
      <c r="DY79">
        <f>IF(AND(ISNUMBER(DX79),逐级计算!$X$128&gt;-1),IF(逐级计算!$X$128=0,DX79+逐级计算!$C$128,DX79+逐级计算!$C$128-(10/(逐级计算!$Q$128*LN(10))*(MAX((LN(10^(逐级计算!$Q$128/10)-1)+逐级计算!$Q$128*(DX79-逐级计算!$P$128)*LN(10)/10),0)+LN(1+EXP(-ABS((LN(10^(逐级计算!$Q$128/10)-1)+逐级计算!$Q$128*(DX79-逐级计算!$P$128)*LN(10)/10))))))),"")</f>
        <v>13.7930365742089</v>
      </c>
      <c r="DZ79">
        <f>IF(AND(ISNUMBER(DY79),逐级计算!$X$129&gt;-1),IF(逐级计算!$X$129=0,DY79+逐级计算!$C$129,DY79+逐级计算!$C$129-(10/(逐级计算!$Q$129*LN(10))*(MAX((LN(10^(逐级计算!$Q$129/10)-1)+逐级计算!$Q$129*(DY79-逐级计算!$P$129)*LN(10)/10),0)+LN(1+EXP(-ABS((LN(10^(逐级计算!$Q$129/10)-1)+逐级计算!$Q$129*(DY79-逐级计算!$P$129)*LN(10)/10))))))),"")</f>
        <v>13.7930365742089</v>
      </c>
      <c r="EA79">
        <f>IF(AND(ISNUMBER(DZ79),逐级计算!$X$130&gt;-1),IF(逐级计算!$X$130=0,DZ79+逐级计算!$C$130,DZ79+逐级计算!$C$130-(10/(逐级计算!$Q$130*LN(10))*(MAX((LN(10^(逐级计算!$Q$130/10)-1)+逐级计算!$Q$130*(DZ79-逐级计算!$P$130)*LN(10)/10),0)+LN(1+EXP(-ABS((LN(10^(逐级计算!$Q$130/10)-1)+逐级计算!$Q$130*(DZ79-逐级计算!$P$130)*LN(10)/10))))))),"")</f>
        <v>13.7930365742089</v>
      </c>
      <c r="EB79">
        <f>IF(AND(ISNUMBER(EA79),逐级计算!$X$131&gt;-1),IF(逐级计算!$X$131=0,EA79+逐级计算!$C$131,EA79+逐级计算!$C$131-(10/(逐级计算!$Q$131*LN(10))*(MAX((LN(10^(逐级计算!$Q$131/10)-1)+逐级计算!$Q$131*(EA79-逐级计算!$P$131)*LN(10)/10),0)+LN(1+EXP(-ABS((LN(10^(逐级计算!$Q$131/10)-1)+逐级计算!$Q$131*(EA79-逐级计算!$P$131)*LN(10)/10))))))),"")</f>
        <v>13.7930365742089</v>
      </c>
      <c r="EC79">
        <f>IF(AND(ISNUMBER(EB79),逐级计算!$X$132&gt;-1),IF(逐级计算!$X$132=0,EB79+逐级计算!$C$132,EB79+逐级计算!$C$132-(10/(逐级计算!$Q$132*LN(10))*(MAX((LN(10^(逐级计算!$Q$132/10)-1)+逐级计算!$Q$132*(EB79-逐级计算!$P$132)*LN(10)/10),0)+LN(1+EXP(-ABS((LN(10^(逐级计算!$Q$132/10)-1)+逐级计算!$Q$132*(EB79-逐级计算!$P$132)*LN(10)/10))))))),"")</f>
        <v>13.7930365742089</v>
      </c>
      <c r="ED79">
        <f>IF(AND(ISNUMBER(EC79),逐级计算!$X$133&gt;-1),IF(逐级计算!$X$133=0,EC79+逐级计算!$C$133,EC79+逐级计算!$C$133-(10/(逐级计算!$Q$133*LN(10))*(MAX((LN(10^(逐级计算!$Q$133/10)-1)+逐级计算!$Q$133*(EC79-逐级计算!$P$133)*LN(10)/10),0)+LN(1+EXP(-ABS((LN(10^(逐级计算!$Q$133/10)-1)+逐级计算!$Q$133*(EC79-逐级计算!$P$133)*LN(10)/10))))))),"")</f>
        <v>13.7930365742089</v>
      </c>
      <c r="EE79">
        <f>IF(AND(ISNUMBER(ED79),逐级计算!$X$134&gt;-1),IF(逐级计算!$X$134=0,ED79+逐级计算!$C$134,ED79+逐级计算!$C$134-(10/(逐级计算!$Q$134*LN(10))*(MAX((LN(10^(逐级计算!$Q$134/10)-1)+逐级计算!$Q$134*(ED79-逐级计算!$P$134)*LN(10)/10),0)+LN(1+EXP(-ABS((LN(10^(逐级计算!$Q$134/10)-1)+逐级计算!$Q$134*(ED79-逐级计算!$P$134)*LN(10)/10))))))),"")</f>
        <v>13.7930365742089</v>
      </c>
      <c r="EF79">
        <f>IF(AND(ISNUMBER(EE79),逐级计算!$X$135&gt;-1),IF(逐级计算!$X$135=0,EE79+逐级计算!$C$135,EE79+逐级计算!$C$135-(10/(逐级计算!$Q$135*LN(10))*(MAX((LN(10^(逐级计算!$Q$135/10)-1)+逐级计算!$Q$135*(EE79-逐级计算!$P$135)*LN(10)/10),0)+LN(1+EXP(-ABS((LN(10^(逐级计算!$Q$135/10)-1)+逐级计算!$Q$135*(EE79-逐级计算!$P$135)*LN(10)/10))))))),"")</f>
        <v>13.7930365742089</v>
      </c>
      <c r="EG79">
        <f>IF(AND(ISNUMBER(EF79),逐级计算!$X$136&gt;-1),IF(逐级计算!$X$136=0,EF79+逐级计算!$C$136,EF79+逐级计算!$C$136-(10/(逐级计算!$Q$136*LN(10))*(MAX((LN(10^(逐级计算!$Q$136/10)-1)+逐级计算!$Q$136*(EF79-逐级计算!$P$136)*LN(10)/10),0)+LN(1+EXP(-ABS((LN(10^(逐级计算!$Q$136/10)-1)+逐级计算!$Q$136*(EF79-逐级计算!$P$136)*LN(10)/10))))))),"")</f>
        <v>13.7930365742089</v>
      </c>
      <c r="EH79">
        <f>IF(AND(ISNUMBER(EG79),逐级计算!$X$137&gt;-1),IF(逐级计算!$X$137=0,EG79+逐级计算!$C$137,EG79+逐级计算!$C$137-(10/(逐级计算!$Q$137*LN(10))*(MAX((LN(10^(逐级计算!$Q$137/10)-1)+逐级计算!$Q$137*(EG79-逐级计算!$P$137)*LN(10)/10),0)+LN(1+EXP(-ABS((LN(10^(逐级计算!$Q$137/10)-1)+逐级计算!$Q$137*(EG79-逐级计算!$P$137)*LN(10)/10))))))),"")</f>
        <v>13.7930365742089</v>
      </c>
      <c r="EI79">
        <f>IF(AND(ISNUMBER(EH79),逐级计算!$X$138&gt;-1),IF(逐级计算!$X$138=0,EH79+逐级计算!$C$138,EH79+逐级计算!$C$138-(10/(逐级计算!$Q$138*LN(10))*(MAX((LN(10^(逐级计算!$Q$138/10)-1)+逐级计算!$Q$138*(EH79-逐级计算!$P$138)*LN(10)/10),0)+LN(1+EXP(-ABS((LN(10^(逐级计算!$Q$138/10)-1)+逐级计算!$Q$138*(EH79-逐级计算!$P$138)*LN(10)/10))))))),"")</f>
        <v>13.7930365742089</v>
      </c>
      <c r="EJ79">
        <f>IF(AND(ISNUMBER(EI79),逐级计算!$X$139&gt;-1),IF(逐级计算!$X$139=0,EI79+逐级计算!$C$139,EI79+逐级计算!$C$139-(10/(逐级计算!$Q$139*LN(10))*(MAX((LN(10^(逐级计算!$Q$139/10)-1)+逐级计算!$Q$139*(EI79-逐级计算!$P$139)*LN(10)/10),0)+LN(1+EXP(-ABS((LN(10^(逐级计算!$Q$139/10)-1)+逐级计算!$Q$139*(EI79-逐级计算!$P$139)*LN(10)/10))))))),"")</f>
        <v>13.7930365742089</v>
      </c>
      <c r="EK79">
        <f>IF(AND(ISNUMBER(EJ79),逐级计算!$X$140&gt;-1),IF(逐级计算!$X$140=0,EJ79+逐级计算!$C$140,EJ79+逐级计算!$C$140-(10/(逐级计算!$Q$140*LN(10))*(MAX((LN(10^(逐级计算!$Q$140/10)-1)+逐级计算!$Q$140*(EJ79-逐级计算!$P$140)*LN(10)/10),0)+LN(1+EXP(-ABS((LN(10^(逐级计算!$Q$140/10)-1)+逐级计算!$Q$140*(EJ79-逐级计算!$P$140)*LN(10)/10))))))),"")</f>
        <v>13.7930365742089</v>
      </c>
      <c r="EL79">
        <f>IF(AND(ISNUMBER(EK79),逐级计算!$X$141&gt;-1),IF(逐级计算!$X$141=0,EK79+逐级计算!$C$141,EK79+逐级计算!$C$141-(10/(逐级计算!$Q$141*LN(10))*(MAX((LN(10^(逐级计算!$Q$141/10)-1)+逐级计算!$Q$141*(EK79-逐级计算!$P$141)*LN(10)/10),0)+LN(1+EXP(-ABS((LN(10^(逐级计算!$Q$141/10)-1)+逐级计算!$Q$141*(EK79-逐级计算!$P$141)*LN(10)/10))))))),"")</f>
        <v>13.7930365742089</v>
      </c>
      <c r="EM79">
        <f>IF(AND(ISNUMBER(EL79),逐级计算!$X$142&gt;-1),IF(逐级计算!$X$142=0,EL79+逐级计算!$C$142,EL79+逐级计算!$C$142-(10/(逐级计算!$Q$142*LN(10))*(MAX((LN(10^(逐级计算!$Q$142/10)-1)+逐级计算!$Q$142*(EL79-逐级计算!$P$142)*LN(10)/10),0)+LN(1+EXP(-ABS((LN(10^(逐级计算!$Q$142/10)-1)+逐级计算!$Q$142*(EL79-逐级计算!$P$142)*LN(10)/10))))))),"")</f>
        <v>13.7930365742089</v>
      </c>
      <c r="EN79">
        <f>IF(AND(ISNUMBER(EM79),逐级计算!$X$143&gt;-1),IF(逐级计算!$X$143=0,EM79+逐级计算!$C$143,EM79+逐级计算!$C$143-(10/(逐级计算!$Q$143*LN(10))*(MAX((LN(10^(逐级计算!$Q$143/10)-1)+逐级计算!$Q$143*(EM79-逐级计算!$P$143)*LN(10)/10),0)+LN(1+EXP(-ABS((LN(10^(逐级计算!$Q$143/10)-1)+逐级计算!$Q$143*(EM79-逐级计算!$P$143)*LN(10)/10))))))),"")</f>
        <v>13.7930365742089</v>
      </c>
      <c r="EO79">
        <f>IF(AND(ISNUMBER(EN79),逐级计算!$X$144&gt;-1),IF(逐级计算!$X$144=0,EN79+逐级计算!$C$144,EN79+逐级计算!$C$144-(10/(逐级计算!$Q$144*LN(10))*(MAX((LN(10^(逐级计算!$Q$144/10)-1)+逐级计算!$Q$144*(EN79-逐级计算!$P$144)*LN(10)/10),0)+LN(1+EXP(-ABS((LN(10^(逐级计算!$Q$144/10)-1)+逐级计算!$Q$144*(EN79-逐级计算!$P$144)*LN(10)/10))))))),"")</f>
        <v>13.7930365742089</v>
      </c>
      <c r="EP79">
        <f>IF(AND(ISNUMBER(EO79),逐级计算!$X$145&gt;-1),IF(逐级计算!$X$145=0,EO79+逐级计算!$C$145,EO79+逐级计算!$C$145-(10/(逐级计算!$Q$145*LN(10))*(MAX((LN(10^(逐级计算!$Q$145/10)-1)+逐级计算!$Q$145*(EO79-逐级计算!$P$145)*LN(10)/10),0)+LN(1+EXP(-ABS((LN(10^(逐级计算!$Q$145/10)-1)+逐级计算!$Q$145*(EO79-逐级计算!$P$145)*LN(10)/10))))))),"")</f>
        <v>13.7930365742089</v>
      </c>
      <c r="EQ79">
        <f>IF(AND(ISNUMBER(EP79),逐级计算!$X$146&gt;-1),IF(逐级计算!$X$146=0,EP79+逐级计算!$C$146,EP79+逐级计算!$C$146-(10/(逐级计算!$Q$146*LN(10))*(MAX((LN(10^(逐级计算!$Q$146/10)-1)+逐级计算!$Q$146*(EP79-逐级计算!$P$146)*LN(10)/10),0)+LN(1+EXP(-ABS((LN(10^(逐级计算!$Q$146/10)-1)+逐级计算!$Q$146*(EP79-逐级计算!$P$146)*LN(10)/10))))))),"")</f>
        <v>13.7930365742089</v>
      </c>
      <c r="ER79">
        <f>IF(AND(ISNUMBER(EQ79),逐级计算!$X$147&gt;-1),IF(逐级计算!$X$147=0,EQ79+逐级计算!$C$147,EQ79+逐级计算!$C$147-(10/(逐级计算!$Q$147*LN(10))*(MAX((LN(10^(逐级计算!$Q$147/10)-1)+逐级计算!$Q$147*(EQ79-逐级计算!$P$147)*LN(10)/10),0)+LN(1+EXP(-ABS((LN(10^(逐级计算!$Q$147/10)-1)+逐级计算!$Q$147*(EQ79-逐级计算!$P$147)*LN(10)/10))))))),"")</f>
        <v>13.7930365742089</v>
      </c>
      <c r="ES79">
        <f>IF(AND(ISNUMBER(ER79),逐级计算!$X$148&gt;-1),IF(逐级计算!$X$148=0,ER79+逐级计算!$C$148,ER79+逐级计算!$C$148-(10/(逐级计算!$Q$148*LN(10))*(MAX((LN(10^(逐级计算!$Q$148/10)-1)+逐级计算!$Q$148*(ER79-逐级计算!$P$148)*LN(10)/10),0)+LN(1+EXP(-ABS((LN(10^(逐级计算!$Q$148/10)-1)+逐级计算!$Q$148*(ER79-逐级计算!$P$148)*LN(10)/10))))))),"")</f>
        <v>13.7930365742089</v>
      </c>
      <c r="ET79">
        <f>IF(AND(ISNUMBER(ES79),逐级计算!$X$149&gt;-1),IF(逐级计算!$X$149=0,ES79+逐级计算!$C$149,ES79+逐级计算!$C$149-(10/(逐级计算!$Q$149*LN(10))*(MAX((LN(10^(逐级计算!$Q$149/10)-1)+逐级计算!$Q$149*(ES79-逐级计算!$P$149)*LN(10)/10),0)+LN(1+EXP(-ABS((LN(10^(逐级计算!$Q$149/10)-1)+逐级计算!$Q$149*(ES79-逐级计算!$P$149)*LN(10)/10))))))),"")</f>
        <v>13.7930365742089</v>
      </c>
      <c r="EU79">
        <f>IF(AND(ISNUMBER(ET79),逐级计算!$X$150&gt;-1),IF(逐级计算!$X$150=0,ET79+逐级计算!$C$150,ET79+逐级计算!$C$150-(10/(逐级计算!$Q$150*LN(10))*(MAX((LN(10^(逐级计算!$Q$150/10)-1)+逐级计算!$Q$150*(ET79-逐级计算!$P$150)*LN(10)/10),0)+LN(1+EXP(-ABS((LN(10^(逐级计算!$Q$150/10)-1)+逐级计算!$Q$150*(ET79-逐级计算!$P$150)*LN(10)/10))))))),"")</f>
        <v>13.7930365742089</v>
      </c>
      <c r="EV79">
        <f>IF(AND(ISNUMBER(EU79),逐级计算!$X$151&gt;-1),IF(逐级计算!$X$151=0,EU79+逐级计算!$C$151,EU79+逐级计算!$C$151-(10/(逐级计算!$Q$151*LN(10))*(MAX((LN(10^(逐级计算!$Q$151/10)-1)+逐级计算!$Q$151*(EU79-逐级计算!$P$151)*LN(10)/10),0)+LN(1+EXP(-ABS((LN(10^(逐级计算!$Q$151/10)-1)+逐级计算!$Q$151*(EU79-逐级计算!$P$151)*LN(10)/10))))))),"")</f>
        <v>13.7930365742089</v>
      </c>
      <c r="EW79">
        <f>IF(AND(ISNUMBER(EV79),逐级计算!$X$152&gt;-1),IF(逐级计算!$X$152=0,EV79+逐级计算!$C$152,EV79+逐级计算!$C$152-(10/(逐级计算!$Q$152*LN(10))*(MAX((LN(10^(逐级计算!$Q$152/10)-1)+逐级计算!$Q$152*(EV79-逐级计算!$P$152)*LN(10)/10),0)+LN(1+EXP(-ABS((LN(10^(逐级计算!$Q$152/10)-1)+逐级计算!$Q$152*(EV79-逐级计算!$P$152)*LN(10)/10))))))),"")</f>
        <v>13.7930365742089</v>
      </c>
      <c r="EX79">
        <f>IF(AND(ISNUMBER(EW79),逐级计算!$X$153&gt;-1),IF(逐级计算!$X$153=0,EW79+逐级计算!$C$153,EW79+逐级计算!$C$153-(10/(逐级计算!$Q$153*LN(10))*(MAX((LN(10^(逐级计算!$Q$153/10)-1)+逐级计算!$Q$153*(EW79-逐级计算!$P$153)*LN(10)/10),0)+LN(1+EXP(-ABS((LN(10^(逐级计算!$Q$153/10)-1)+逐级计算!$Q$153*(EW79-逐级计算!$P$153)*LN(10)/10))))))),"")</f>
        <v>13.7930365742089</v>
      </c>
      <c r="EY79">
        <f>IF(AND(ISNUMBER(EX79),逐级计算!$X$154&gt;-1),IF(逐级计算!$X$154=0,EX79+逐级计算!$C$154,EX79+逐级计算!$C$154-(10/(逐级计算!$Q$154*LN(10))*(MAX((LN(10^(逐级计算!$Q$154/10)-1)+逐级计算!$Q$154*(EX79-逐级计算!$P$154)*LN(10)/10),0)+LN(1+EXP(-ABS((LN(10^(逐级计算!$Q$154/10)-1)+逐级计算!$Q$154*(EX79-逐级计算!$P$154)*LN(10)/10))))))),"")</f>
        <v>13.7930365742089</v>
      </c>
      <c r="EZ79">
        <f>IF(AND(ISNUMBER(EY79),逐级计算!$X$155&gt;-1),IF(逐级计算!$X$155=0,EY79+逐级计算!$C$155,EY79+逐级计算!$C$155-(10/(逐级计算!$Q$155*LN(10))*(MAX((LN(10^(逐级计算!$Q$155/10)-1)+逐级计算!$Q$155*(EY79-逐级计算!$P$155)*LN(10)/10),0)+LN(1+EXP(-ABS((LN(10^(逐级计算!$Q$155/10)-1)+逐级计算!$Q$155*(EY79-逐级计算!$P$155)*LN(10)/10))))))),"")</f>
        <v>13.7930365742089</v>
      </c>
      <c r="FA79">
        <f>IF(AND(ISNUMBER(EZ79),逐级计算!$X$156&gt;-1),IF(逐级计算!$X$156=0,EZ79+逐级计算!$C$156,EZ79+逐级计算!$C$156-(10/(逐级计算!$Q$156*LN(10))*(MAX((LN(10^(逐级计算!$Q$156/10)-1)+逐级计算!$Q$156*(EZ79-逐级计算!$P$156)*LN(10)/10),0)+LN(1+EXP(-ABS((LN(10^(逐级计算!$Q$156/10)-1)+逐级计算!$Q$156*(EZ79-逐级计算!$P$156)*LN(10)/10))))))),"")</f>
        <v>13.7930365742089</v>
      </c>
      <c r="FB79">
        <f>IF(AND(ISNUMBER(FA79),逐级计算!$X$157&gt;-1),IF(逐级计算!$X$157=0,FA79+逐级计算!$C$157,FA79+逐级计算!$C$157-(10/(逐级计算!$Q$157*LN(10))*(MAX((LN(10^(逐级计算!$Q$157/10)-1)+逐级计算!$Q$157*(FA79-逐级计算!$P$157)*LN(10)/10),0)+LN(1+EXP(-ABS((LN(10^(逐级计算!$Q$157/10)-1)+逐级计算!$Q$157*(FA79-逐级计算!$P$157)*LN(10)/10))))))),"")</f>
        <v>13.7930365742089</v>
      </c>
      <c r="FC79">
        <f>IF(AND(ISNUMBER(FB79),逐级计算!$X$158&gt;-1),IF(逐级计算!$X$158=0,FB79+逐级计算!$C$158,FB79+逐级计算!$C$158-(10/(逐级计算!$Q$158*LN(10))*(MAX((LN(10^(逐级计算!$Q$158/10)-1)+逐级计算!$Q$158*(FB79-逐级计算!$P$158)*LN(10)/10),0)+LN(1+EXP(-ABS((LN(10^(逐级计算!$Q$158/10)-1)+逐级计算!$Q$158*(FB79-逐级计算!$P$158)*LN(10)/10))))))),"")</f>
        <v>13.7930365742089</v>
      </c>
      <c r="FD79">
        <f>IF(AND(ISNUMBER(FC79),逐级计算!$X$159&gt;-1),IF(逐级计算!$X$159=0,FC79+逐级计算!$C$159,FC79+逐级计算!$C$159-(10/(逐级计算!$Q$159*LN(10))*(MAX((LN(10^(逐级计算!$Q$159/10)-1)+逐级计算!$Q$159*(FC79-逐级计算!$P$159)*LN(10)/10),0)+LN(1+EXP(-ABS((LN(10^(逐级计算!$Q$159/10)-1)+逐级计算!$Q$159*(FC79-逐级计算!$P$159)*LN(10)/10))))))),"")</f>
        <v>13.7930365742089</v>
      </c>
      <c r="FE79">
        <f>IF(AND(ISNUMBER(FD79),逐级计算!$X$160&gt;-1),IF(逐级计算!$X$160=0,FD79+逐级计算!$C$160,FD79+逐级计算!$C$160-(10/(逐级计算!$Q$160*LN(10))*(MAX((LN(10^(逐级计算!$Q$160/10)-1)+逐级计算!$Q$160*(FD79-逐级计算!$P$160)*LN(10)/10),0)+LN(1+EXP(-ABS((LN(10^(逐级计算!$Q$160/10)-1)+逐级计算!$Q$160*(FD79-逐级计算!$P$160)*LN(10)/10))))))),"")</f>
        <v>13.7930365742089</v>
      </c>
      <c r="FF79">
        <f>IF(AND(ISNUMBER(FE79),逐级计算!$X$161&gt;-1),IF(逐级计算!$X$161=0,FE79+逐级计算!$C$161,FE79+逐级计算!$C$161-(10/(逐级计算!$Q$161*LN(10))*(MAX((LN(10^(逐级计算!$Q$161/10)-1)+逐级计算!$Q$161*(FE79-逐级计算!$P$161)*LN(10)/10),0)+LN(1+EXP(-ABS((LN(10^(逐级计算!$Q$161/10)-1)+逐级计算!$Q$161*(FE79-逐级计算!$P$161)*LN(10)/10))))))),"")</f>
        <v>13.7930365742089</v>
      </c>
      <c r="FG79">
        <f>IF(AND(ISNUMBER(FF79),逐级计算!$X$162&gt;-1),IF(逐级计算!$X$162=0,FF79+逐级计算!$C$162,FF79+逐级计算!$C$162-(10/(逐级计算!$Q$162*LN(10))*(MAX((LN(10^(逐级计算!$Q$162/10)-1)+逐级计算!$Q$162*(FF79-逐级计算!$P$162)*LN(10)/10),0)+LN(1+EXP(-ABS((LN(10^(逐级计算!$Q$162/10)-1)+逐级计算!$Q$162*(FF79-逐级计算!$P$162)*LN(10)/10))))))),"")</f>
        <v>13.7930365742089</v>
      </c>
      <c r="FH79">
        <f>IF(AND(ISNUMBER(FG79),逐级计算!$X$163&gt;-1),IF(逐级计算!$X$163=0,FG79+逐级计算!$C$163,FG79+逐级计算!$C$163-(10/(逐级计算!$Q$163*LN(10))*(MAX((LN(10^(逐级计算!$Q$163/10)-1)+逐级计算!$Q$163*(FG79-逐级计算!$P$163)*LN(10)/10),0)+LN(1+EXP(-ABS((LN(10^(逐级计算!$Q$163/10)-1)+逐级计算!$Q$163*(FG79-逐级计算!$P$163)*LN(10)/10))))))),"")</f>
        <v>13.7930365742089</v>
      </c>
      <c r="FI79">
        <f>IF(AND(ISNUMBER(FH79),逐级计算!$X$164&gt;-1),IF(逐级计算!$X$164=0,FH79+逐级计算!$C$164,FH79+逐级计算!$C$164-(10/(逐级计算!$Q$164*LN(10))*(MAX((LN(10^(逐级计算!$Q$164/10)-1)+逐级计算!$Q$164*(FH79-逐级计算!$P$164)*LN(10)/10),0)+LN(1+EXP(-ABS((LN(10^(逐级计算!$Q$164/10)-1)+逐级计算!$Q$164*(FH79-逐级计算!$P$164)*LN(10)/10))))))),"")</f>
        <v>13.7930365742089</v>
      </c>
      <c r="FJ79">
        <f>IF(AND(ISNUMBER(FI79),逐级计算!$X$165&gt;-1),IF(逐级计算!$X$165=0,FI79+逐级计算!$C$165,FI79+逐级计算!$C$165-(10/(逐级计算!$Q$165*LN(10))*(MAX((LN(10^(逐级计算!$Q$165/10)-1)+逐级计算!$Q$165*(FI79-逐级计算!$P$165)*LN(10)/10),0)+LN(1+EXP(-ABS((LN(10^(逐级计算!$Q$165/10)-1)+逐级计算!$Q$165*(FI79-逐级计算!$P$165)*LN(10)/10))))))),"")</f>
        <v>13.7930365742089</v>
      </c>
      <c r="FK79">
        <f>IF(AND(ISNUMBER(FJ79),逐级计算!$X$166&gt;-1),IF(逐级计算!$X$166=0,FJ79+逐级计算!$C$166,FJ79+逐级计算!$C$166-(10/(逐级计算!$Q$166*LN(10))*(MAX((LN(10^(逐级计算!$Q$166/10)-1)+逐级计算!$Q$166*(FJ79-逐级计算!$P$166)*LN(10)/10),0)+LN(1+EXP(-ABS((LN(10^(逐级计算!$Q$166/10)-1)+逐级计算!$Q$166*(FJ79-逐级计算!$P$166)*LN(10)/10))))))),"")</f>
        <v>13.7930365742089</v>
      </c>
      <c r="FL79">
        <f>IF(AND(ISNUMBER(FK79),逐级计算!$X$167&gt;-1),IF(逐级计算!$X$167=0,FK79+逐级计算!$C$167,FK79+逐级计算!$C$167-(10/(逐级计算!$Q$167*LN(10))*(MAX((LN(10^(逐级计算!$Q$167/10)-1)+逐级计算!$Q$167*(FK79-逐级计算!$P$167)*LN(10)/10),0)+LN(1+EXP(-ABS((LN(10^(逐级计算!$Q$167/10)-1)+逐级计算!$Q$167*(FK79-逐级计算!$P$167)*LN(10)/10))))))),"")</f>
        <v>13.7930365742089</v>
      </c>
      <c r="FM79">
        <f>IF(AND(ISNUMBER(FL79),逐级计算!$X$168&gt;-1),IF(逐级计算!$X$168=0,FL79+逐级计算!$C$168,FL79+逐级计算!$C$168-(10/(逐级计算!$Q$168*LN(10))*(MAX((LN(10^(逐级计算!$Q$168/10)-1)+逐级计算!$Q$168*(FL79-逐级计算!$P$168)*LN(10)/10),0)+LN(1+EXP(-ABS((LN(10^(逐级计算!$Q$168/10)-1)+逐级计算!$Q$168*(FL79-逐级计算!$P$168)*LN(10)/10))))))),"")</f>
        <v>13.7930365742089</v>
      </c>
      <c r="FN79">
        <f>IF(AND(ISNUMBER(FM79),逐级计算!$X$169&gt;-1),IF(逐级计算!$X$169=0,FM79+逐级计算!$C$169,FM79+逐级计算!$C$169-(10/(逐级计算!$Q$169*LN(10))*(MAX((LN(10^(逐级计算!$Q$169/10)-1)+逐级计算!$Q$169*(FM79-逐级计算!$P$169)*LN(10)/10),0)+LN(1+EXP(-ABS((LN(10^(逐级计算!$Q$169/10)-1)+逐级计算!$Q$169*(FM79-逐级计算!$P$169)*LN(10)/10))))))),"")</f>
        <v>13.7930365742089</v>
      </c>
      <c r="FO79">
        <f>IF(AND(ISNUMBER(FN79),逐级计算!$X$170&gt;-1),IF(逐级计算!$X$170=0,FN79+逐级计算!$C$170,FN79+逐级计算!$C$170-(10/(逐级计算!$Q$170*LN(10))*(MAX((LN(10^(逐级计算!$Q$170/10)-1)+逐级计算!$Q$170*(FN79-逐级计算!$P$170)*LN(10)/10),0)+LN(1+EXP(-ABS((LN(10^(逐级计算!$Q$170/10)-1)+逐级计算!$Q$170*(FN79-逐级计算!$P$170)*LN(10)/10))))))),"")</f>
        <v>13.7930365742089</v>
      </c>
      <c r="FP79">
        <f>IF(AND(ISNUMBER(FO79),逐级计算!$X$171&gt;-1),IF(逐级计算!$X$171=0,FO79+逐级计算!$C$171,FO79+逐级计算!$C$171-(10/(逐级计算!$Q$171*LN(10))*(MAX((LN(10^(逐级计算!$Q$171/10)-1)+逐级计算!$Q$171*(FO79-逐级计算!$P$171)*LN(10)/10),0)+LN(1+EXP(-ABS((LN(10^(逐级计算!$Q$171/10)-1)+逐级计算!$Q$171*(FO79-逐级计算!$P$171)*LN(10)/10))))))),"")</f>
        <v>13.7930365742089</v>
      </c>
      <c r="FQ79">
        <f>IF(AND(ISNUMBER(FP79),逐级计算!$X$172&gt;-1),IF(逐级计算!$X$172=0,FP79+逐级计算!$C$172,FP79+逐级计算!$C$172-(10/(逐级计算!$Q$172*LN(10))*(MAX((LN(10^(逐级计算!$Q$172/10)-1)+逐级计算!$Q$172*(FP79-逐级计算!$P$172)*LN(10)/10),0)+LN(1+EXP(-ABS((LN(10^(逐级计算!$Q$172/10)-1)+逐级计算!$Q$172*(FP79-逐级计算!$P$172)*LN(10)/10))))))),"")</f>
        <v>13.7930365742089</v>
      </c>
      <c r="FR79">
        <f>IF(AND(ISNUMBER(FQ79),逐级计算!$X$173&gt;-1),IF(逐级计算!$X$173=0,FQ79+逐级计算!$C$173,FQ79+逐级计算!$C$173-(10/(逐级计算!$Q$173*LN(10))*(MAX((LN(10^(逐级计算!$Q$173/10)-1)+逐级计算!$Q$173*(FQ79-逐级计算!$P$173)*LN(10)/10),0)+LN(1+EXP(-ABS((LN(10^(逐级计算!$Q$173/10)-1)+逐级计算!$Q$173*(FQ79-逐级计算!$P$173)*LN(10)/10))))))),"")</f>
        <v>13.7930365742089</v>
      </c>
      <c r="FS79">
        <f>IF(AND(ISNUMBER(FR79),逐级计算!$X$174&gt;-1),IF(逐级计算!$X$174=0,FR79+逐级计算!$C$174,FR79+逐级计算!$C$174-(10/(逐级计算!$Q$174*LN(10))*(MAX((LN(10^(逐级计算!$Q$174/10)-1)+逐级计算!$Q$174*(FR79-逐级计算!$P$174)*LN(10)/10),0)+LN(1+EXP(-ABS((LN(10^(逐级计算!$Q$174/10)-1)+逐级计算!$Q$174*(FR79-逐级计算!$P$174)*LN(10)/10))))))),"")</f>
        <v>13.7930365742089</v>
      </c>
      <c r="FT79">
        <f>IF(AND(ISNUMBER(FS79),逐级计算!$X$175&gt;-1),IF(逐级计算!$X$175=0,FS79+逐级计算!$C$175,FS79+逐级计算!$C$175-(10/(逐级计算!$Q$175*LN(10))*(MAX((LN(10^(逐级计算!$Q$175/10)-1)+逐级计算!$Q$175*(FS79-逐级计算!$P$175)*LN(10)/10),0)+LN(1+EXP(-ABS((LN(10^(逐级计算!$Q$175/10)-1)+逐级计算!$Q$175*(FS79-逐级计算!$P$175)*LN(10)/10))))))),"")</f>
        <v>13.7930365742089</v>
      </c>
      <c r="FU79">
        <f>IF(AND(ISNUMBER(FT79),逐级计算!$X$176&gt;-1),IF(逐级计算!$X$176=0,FT79+逐级计算!$C$176,FT79+逐级计算!$C$176-(10/(逐级计算!$Q$176*LN(10))*(MAX((LN(10^(逐级计算!$Q$176/10)-1)+逐级计算!$Q$176*(FT79-逐级计算!$P$176)*LN(10)/10),0)+LN(1+EXP(-ABS((LN(10^(逐级计算!$Q$176/10)-1)+逐级计算!$Q$176*(FT79-逐级计算!$P$176)*LN(10)/10))))))),"")</f>
        <v>13.7930365742089</v>
      </c>
      <c r="FV79">
        <f>IF(AND(ISNUMBER(FU79),逐级计算!$X$177&gt;-1),IF(逐级计算!$X$177=0,FU79+逐级计算!$C$177,FU79+逐级计算!$C$177-(10/(逐级计算!$Q$177*LN(10))*(MAX((LN(10^(逐级计算!$Q$177/10)-1)+逐级计算!$Q$177*(FU79-逐级计算!$P$177)*LN(10)/10),0)+LN(1+EXP(-ABS((LN(10^(逐级计算!$Q$177/10)-1)+逐级计算!$Q$177*(FU79-逐级计算!$P$177)*LN(10)/10))))))),"")</f>
        <v>13.7930365742089</v>
      </c>
      <c r="FW79">
        <f>IF(AND(ISNUMBER(FV79),逐级计算!$X$178&gt;-1),IF(逐级计算!$X$178=0,FV79+逐级计算!$C$178,FV79+逐级计算!$C$178-(10/(逐级计算!$Q$178*LN(10))*(MAX((LN(10^(逐级计算!$Q$178/10)-1)+逐级计算!$Q$178*(FV79-逐级计算!$P$178)*LN(10)/10),0)+LN(1+EXP(-ABS((LN(10^(逐级计算!$Q$178/10)-1)+逐级计算!$Q$178*(FV79-逐级计算!$P$178)*LN(10)/10))))))),"")</f>
        <v>13.7930365742089</v>
      </c>
      <c r="FX79">
        <f>IF(AND(ISNUMBER(FW79),逐级计算!$X$179&gt;-1),IF(逐级计算!$X$179=0,FW79+逐级计算!$C$179,FW79+逐级计算!$C$179-(10/(逐级计算!$Q$179*LN(10))*(MAX((LN(10^(逐级计算!$Q$179/10)-1)+逐级计算!$Q$179*(FW79-逐级计算!$P$179)*LN(10)/10),0)+LN(1+EXP(-ABS((LN(10^(逐级计算!$Q$179/10)-1)+逐级计算!$Q$179*(FW79-逐级计算!$P$179)*LN(10)/10))))))),"")</f>
        <v>13.7930365742089</v>
      </c>
      <c r="FY79">
        <f>IF(AND(ISNUMBER(FX79),逐级计算!$X$180&gt;-1),IF(逐级计算!$X$180=0,FX79+逐级计算!$C$180,FX79+逐级计算!$C$180-(10/(逐级计算!$Q$180*LN(10))*(MAX((LN(10^(逐级计算!$Q$180/10)-1)+逐级计算!$Q$180*(FX79-逐级计算!$P$180)*LN(10)/10),0)+LN(1+EXP(-ABS((LN(10^(逐级计算!$Q$180/10)-1)+逐级计算!$Q$180*(FX79-逐级计算!$P$180)*LN(10)/10))))))),"")</f>
        <v>13.7930365742089</v>
      </c>
      <c r="FZ79">
        <f>IF(AND(ISNUMBER(FY79),逐级计算!$X$181&gt;-1),IF(逐级计算!$X$181=0,FY79+逐级计算!$C$181,FY79+逐级计算!$C$181-(10/(逐级计算!$Q$181*LN(10))*(MAX((LN(10^(逐级计算!$Q$181/10)-1)+逐级计算!$Q$181*(FY79-逐级计算!$P$181)*LN(10)/10),0)+LN(1+EXP(-ABS((LN(10^(逐级计算!$Q$181/10)-1)+逐级计算!$Q$181*(FY79-逐级计算!$P$181)*LN(10)/10))))))),"")</f>
        <v>13.7930365742089</v>
      </c>
      <c r="GA79">
        <f>IF(AND(ISNUMBER(FZ79),逐级计算!$X$182&gt;-1),IF(逐级计算!$X$182=0,FZ79+逐级计算!$C$182,FZ79+逐级计算!$C$182-(10/(逐级计算!$Q$182*LN(10))*(MAX((LN(10^(逐级计算!$Q$182/10)-1)+逐级计算!$Q$182*(FZ79-逐级计算!$P$182)*LN(10)/10),0)+LN(1+EXP(-ABS((LN(10^(逐级计算!$Q$182/10)-1)+逐级计算!$Q$182*(FZ79-逐级计算!$P$182)*LN(10)/10))))))),"")</f>
        <v>13.7930365742089</v>
      </c>
      <c r="GB79">
        <f>IF(AND(ISNUMBER(GA79),逐级计算!$X$183&gt;-1),IF(逐级计算!$X$183=0,GA79+逐级计算!$C$183,GA79+逐级计算!$C$183-(10/(逐级计算!$Q$183*LN(10))*(MAX((LN(10^(逐级计算!$Q$183/10)-1)+逐级计算!$Q$183*(GA79-逐级计算!$P$183)*LN(10)/10),0)+LN(1+EXP(-ABS((LN(10^(逐级计算!$Q$183/10)-1)+逐级计算!$Q$183*(GA79-逐级计算!$P$183)*LN(10)/10))))))),"")</f>
        <v>13.7930365742089</v>
      </c>
      <c r="GC79">
        <f>IF(AND(ISNUMBER(GB79),逐级计算!$X$184&gt;-1),IF(逐级计算!$X$184=0,GB79+逐级计算!$C$184,GB79+逐级计算!$C$184-(10/(逐级计算!$Q$184*LN(10))*(MAX((LN(10^(逐级计算!$Q$184/10)-1)+逐级计算!$Q$184*(GB79-逐级计算!$P$184)*LN(10)/10),0)+LN(1+EXP(-ABS((LN(10^(逐级计算!$Q$184/10)-1)+逐级计算!$Q$184*(GB79-逐级计算!$P$184)*LN(10)/10))))))),"")</f>
        <v>13.7930365742089</v>
      </c>
      <c r="GD79">
        <f>IF(AND(ISNUMBER(GC79),逐级计算!$X$185&gt;-1),IF(逐级计算!$X$185=0,GC79+逐级计算!$C$185,GC79+逐级计算!$C$185-(10/(逐级计算!$Q$185*LN(10))*(MAX((LN(10^(逐级计算!$Q$185/10)-1)+逐级计算!$Q$185*(GC79-逐级计算!$P$185)*LN(10)/10),0)+LN(1+EXP(-ABS((LN(10^(逐级计算!$Q$185/10)-1)+逐级计算!$Q$185*(GC79-逐级计算!$P$185)*LN(10)/10))))))),"")</f>
        <v>13.7930365742089</v>
      </c>
      <c r="GE79">
        <f>IF(AND(ISNUMBER(GD79),逐级计算!$X$186&gt;-1),IF(逐级计算!$X$186=0,GD79+逐级计算!$C$186,GD79+逐级计算!$C$186-(10/(逐级计算!$Q$186*LN(10))*(MAX((LN(10^(逐级计算!$Q$186/10)-1)+逐级计算!$Q$186*(GD79-逐级计算!$P$186)*LN(10)/10),0)+LN(1+EXP(-ABS((LN(10^(逐级计算!$Q$186/10)-1)+逐级计算!$Q$186*(GD79-逐级计算!$P$186)*LN(10)/10))))))),"")</f>
        <v>13.7930365742089</v>
      </c>
      <c r="GF79">
        <f>IF(AND(ISNUMBER(GE79),逐级计算!$X$187&gt;-1),IF(逐级计算!$X$187=0,GE79+逐级计算!$C$187,GE79+逐级计算!$C$187-(10/(逐级计算!$Q$187*LN(10))*(MAX((LN(10^(逐级计算!$Q$187/10)-1)+逐级计算!$Q$187*(GE79-逐级计算!$P$187)*LN(10)/10),0)+LN(1+EXP(-ABS((LN(10^(逐级计算!$Q$187/10)-1)+逐级计算!$Q$187*(GE79-逐级计算!$P$187)*LN(10)/10))))))),"")</f>
        <v>13.7930365742089</v>
      </c>
      <c r="GG79">
        <f>IF(AND(ISNUMBER(GF79),逐级计算!$X$188&gt;-1),IF(逐级计算!$X$188=0,GF79+逐级计算!$C$188,GF79+逐级计算!$C$188-(10/(逐级计算!$Q$188*LN(10))*(MAX((LN(10^(逐级计算!$Q$188/10)-1)+逐级计算!$Q$188*(GF79-逐级计算!$P$188)*LN(10)/10),0)+LN(1+EXP(-ABS((LN(10^(逐级计算!$Q$188/10)-1)+逐级计算!$Q$188*(GF79-逐级计算!$P$188)*LN(10)/10))))))),"")</f>
        <v>13.7930365742089</v>
      </c>
      <c r="GH79">
        <f>IF(AND(ISNUMBER(GG79),逐级计算!$X$189&gt;-1),IF(逐级计算!$X$189=0,GG79+逐级计算!$C$189,GG79+逐级计算!$C$189-(10/(逐级计算!$Q$189*LN(10))*(MAX((LN(10^(逐级计算!$Q$189/10)-1)+逐级计算!$Q$189*(GG79-逐级计算!$P$189)*LN(10)/10),0)+LN(1+EXP(-ABS((LN(10^(逐级计算!$Q$189/10)-1)+逐级计算!$Q$189*(GG79-逐级计算!$P$189)*LN(10)/10))))))),"")</f>
        <v>13.7930365742089</v>
      </c>
      <c r="GI79">
        <f>IF(AND(ISNUMBER(GH79),逐级计算!$X$190&gt;-1),IF(逐级计算!$X$190=0,GH79+逐级计算!$C$190,GH79+逐级计算!$C$190-(10/(逐级计算!$Q$190*LN(10))*(MAX((LN(10^(逐级计算!$Q$190/10)-1)+逐级计算!$Q$190*(GH79-逐级计算!$P$190)*LN(10)/10),0)+LN(1+EXP(-ABS((LN(10^(逐级计算!$Q$190/10)-1)+逐级计算!$Q$190*(GH79-逐级计算!$P$190)*LN(10)/10))))))),"")</f>
        <v>13.7930365742089</v>
      </c>
      <c r="GJ79">
        <f>IF(AND(ISNUMBER(GI79),逐级计算!$X$191&gt;-1),IF(逐级计算!$X$191=0,GI79+逐级计算!$C$191,GI79+逐级计算!$C$191-(10/(逐级计算!$Q$191*LN(10))*(MAX((LN(10^(逐级计算!$Q$191/10)-1)+逐级计算!$Q$191*(GI79-逐级计算!$P$191)*LN(10)/10),0)+LN(1+EXP(-ABS((LN(10^(逐级计算!$Q$191/10)-1)+逐级计算!$Q$191*(GI79-逐级计算!$P$191)*LN(10)/10))))))),"")</f>
        <v>13.7930365742089</v>
      </c>
      <c r="GK79">
        <f>IF(AND(ISNUMBER(GJ79),逐级计算!$X$192&gt;-1),IF(逐级计算!$X$192=0,GJ79+逐级计算!$C$192,GJ79+逐级计算!$C$192-(10/(逐级计算!$Q$192*LN(10))*(MAX((LN(10^(逐级计算!$Q$192/10)-1)+逐级计算!$Q$192*(GJ79-逐级计算!$P$192)*LN(10)/10),0)+LN(1+EXP(-ABS((LN(10^(逐级计算!$Q$192/10)-1)+逐级计算!$Q$192*(GJ79-逐级计算!$P$192)*LN(10)/10))))))),"")</f>
        <v>13.7930365742089</v>
      </c>
      <c r="GL79">
        <f>IF(AND(ISNUMBER(GK79),逐级计算!$X$193&gt;-1),IF(逐级计算!$X$193=0,GK79+逐级计算!$C$193,GK79+逐级计算!$C$193-(10/(逐级计算!$Q$193*LN(10))*(MAX((LN(10^(逐级计算!$Q$193/10)-1)+逐级计算!$Q$193*(GK79-逐级计算!$P$193)*LN(10)/10),0)+LN(1+EXP(-ABS((LN(10^(逐级计算!$Q$193/10)-1)+逐级计算!$Q$193*(GK79-逐级计算!$P$193)*LN(10)/10))))))),"")</f>
        <v>13.7930365742089</v>
      </c>
      <c r="GM79">
        <f>IF(AND(ISNUMBER(GL79),逐级计算!$X$194&gt;-1),IF(逐级计算!$X$194=0,GL79+逐级计算!$C$194,GL79+逐级计算!$C$194-(10/(逐级计算!$Q$194*LN(10))*(MAX((LN(10^(逐级计算!$Q$194/10)-1)+逐级计算!$Q$194*(GL79-逐级计算!$P$194)*LN(10)/10),0)+LN(1+EXP(-ABS((LN(10^(逐级计算!$Q$194/10)-1)+逐级计算!$Q$194*(GL79-逐级计算!$P$194)*LN(10)/10))))))),"")</f>
        <v>13.7930365742089</v>
      </c>
      <c r="GN79">
        <f>IF(AND(ISNUMBER(GM79),逐级计算!$X$195&gt;-1),IF(逐级计算!$X$195=0,GM79+逐级计算!$C$195,GM79+逐级计算!$C$195-(10/(逐级计算!$Q$195*LN(10))*(MAX((LN(10^(逐级计算!$Q$195/10)-1)+逐级计算!$Q$195*(GM79-逐级计算!$P$195)*LN(10)/10),0)+LN(1+EXP(-ABS((LN(10^(逐级计算!$Q$195/10)-1)+逐级计算!$Q$195*(GM79-逐级计算!$P$195)*LN(10)/10))))))),"")</f>
        <v>13.7930365742089</v>
      </c>
      <c r="GO79">
        <f>IF(AND(ISNUMBER(GN79),逐级计算!$X$196&gt;-1),IF(逐级计算!$X$196=0,GN79+逐级计算!$C$196,GN79+逐级计算!$C$196-(10/(逐级计算!$Q$196*LN(10))*(MAX((LN(10^(逐级计算!$Q$196/10)-1)+逐级计算!$Q$196*(GN79-逐级计算!$P$196)*LN(10)/10),0)+LN(1+EXP(-ABS((LN(10^(逐级计算!$Q$196/10)-1)+逐级计算!$Q$196*(GN79-逐级计算!$P$196)*LN(10)/10))))))),"")</f>
        <v>13.7930365742089</v>
      </c>
      <c r="GP79">
        <f>IF(AND(ISNUMBER(GO79),逐级计算!$X$197&gt;-1),IF(逐级计算!$X$197=0,GO79+逐级计算!$C$197,GO79+逐级计算!$C$197-(10/(逐级计算!$Q$197*LN(10))*(MAX((LN(10^(逐级计算!$Q$197/10)-1)+逐级计算!$Q$197*(GO79-逐级计算!$P$197)*LN(10)/10),0)+LN(1+EXP(-ABS((LN(10^(逐级计算!$Q$197/10)-1)+逐级计算!$Q$197*(GO79-逐级计算!$P$197)*LN(10)/10))))))),"")</f>
        <v>13.7930365742089</v>
      </c>
      <c r="GQ79">
        <f>IF(AND(ISNUMBER(GP79),逐级计算!$X$198&gt;-1),IF(逐级计算!$X$198=0,GP79+逐级计算!$C$198,GP79+逐级计算!$C$198-(10/(逐级计算!$Q$198*LN(10))*(MAX((LN(10^(逐级计算!$Q$198/10)-1)+逐级计算!$Q$198*(GP79-逐级计算!$P$198)*LN(10)/10),0)+LN(1+EXP(-ABS((LN(10^(逐级计算!$Q$198/10)-1)+逐级计算!$Q$198*(GP79-逐级计算!$P$198)*LN(10)/10))))))),"")</f>
        <v>13.7930365742089</v>
      </c>
      <c r="GR79">
        <f>IF(AND(ISNUMBER(GQ79),逐级计算!$X$199&gt;-1),IF(逐级计算!$X$199=0,GQ79+逐级计算!$C$199,GQ79+逐级计算!$C$199-(10/(逐级计算!$Q$199*LN(10))*(MAX((LN(10^(逐级计算!$Q$199/10)-1)+逐级计算!$Q$199*(GQ79-逐级计算!$P$199)*LN(10)/10),0)+LN(1+EXP(-ABS((LN(10^(逐级计算!$Q$199/10)-1)+逐级计算!$Q$199*(GQ79-逐级计算!$P$199)*LN(10)/10))))))),"")</f>
        <v>13.7930365742089</v>
      </c>
      <c r="GS79">
        <f>IF(AND(ISNUMBER(GR79),逐级计算!$X$200&gt;-1),IF(逐级计算!$X$200=0,GR79+逐级计算!$C$200,GR79+逐级计算!$C$200-(10/(逐级计算!$Q$200*LN(10))*(MAX((LN(10^(逐级计算!$Q$200/10)-1)+逐级计算!$Q$200*(GR79-逐级计算!$P$200)*LN(10)/10),0)+LN(1+EXP(-ABS((LN(10^(逐级计算!$Q$200/10)-1)+逐级计算!$Q$200*(GR79-逐级计算!$P$200)*LN(10)/10))))))),"")</f>
        <v>13.7930365742089</v>
      </c>
      <c r="GT79">
        <f>IF(AND(ISNUMBER(GS79),逐级计算!$X$201&gt;-1),IF(逐级计算!$X$201=0,GS79+逐级计算!$C$201,GS79+逐级计算!$C$201-(10/(逐级计算!$Q$201*LN(10))*(MAX((LN(10^(逐级计算!$Q$201/10)-1)+逐级计算!$Q$201*(GS79-逐级计算!$P$201)*LN(10)/10),0)+LN(1+EXP(-ABS((LN(10^(逐级计算!$Q$201/10)-1)+逐级计算!$Q$201*(GS79-逐级计算!$P$201)*LN(10)/10))))))),"")</f>
        <v>13.7930365742089</v>
      </c>
      <c r="GU79">
        <f>IF(AND(ISNUMBER(GT79),逐级计算!$X$202&gt;-1),IF(逐级计算!$X$202=0,GT79+逐级计算!$C$202,GT79+逐级计算!$C$202-(10/(逐级计算!$Q$202*LN(10))*(MAX((LN(10^(逐级计算!$Q$202/10)-1)+逐级计算!$Q$202*(GT79-逐级计算!$P$202)*LN(10)/10),0)+LN(1+EXP(-ABS((LN(10^(逐级计算!$Q$202/10)-1)+逐级计算!$Q$202*(GT79-逐级计算!$P$202)*LN(10)/10))))))),"")</f>
        <v>13.7930365742089</v>
      </c>
      <c r="GV79">
        <f>IF(AND(ISNUMBER(GU79),逐级计算!$X$203&gt;-1),IF(逐级计算!$X$203=0,GU79+逐级计算!$C$203,GU79+逐级计算!$C$203-(10/(逐级计算!$Q$203*LN(10))*(MAX((LN(10^(逐级计算!$Q$203/10)-1)+逐级计算!$Q$203*(GU79-逐级计算!$P$203)*LN(10)/10),0)+LN(1+EXP(-ABS((LN(10^(逐级计算!$Q$203/10)-1)+逐级计算!$Q$203*(GU79-逐级计算!$P$203)*LN(10)/10))))))),"")</f>
        <v>13.7930365742089</v>
      </c>
      <c r="GW79">
        <f t="shared" si="5"/>
        <v>-5.20696342579112</v>
      </c>
    </row>
    <row r="80" spans="1:205">
      <c r="A80">
        <v>73</v>
      </c>
      <c r="B80">
        <f t="shared" si="4"/>
        <v>-5.20696342579112</v>
      </c>
      <c r="C80">
        <f t="shared" si="3"/>
        <v>-5.20696342579112</v>
      </c>
      <c r="D80">
        <f>IF(AND(ISNUMBER(C80),ISNUMBER(逐级计算!$E$203),ISNUMBER(GV80)),C80+逐级计算!$E$203-GV80,"")</f>
        <v>1</v>
      </c>
      <c r="E80">
        <f>IF(AND(ISNUMBER(C80),逐级计算!$X$4&gt;-1),IF(逐级计算!$X$4=0,C80+逐级计算!$C$4,C80+逐级计算!$C$4-(10/(逐级计算!$Q$4*LN(10))*(MAX((LN(10^(逐级计算!$Q$4/10)-1)+逐级计算!$Q$4*(C80-逐级计算!$P$4)*LN(10)/10),0)+LN(1+EXP(-ABS((LN(10^(逐级计算!$Q$4/10)-1)+逐级计算!$Q$4*(C80-逐级计算!$P$4)*LN(10)/10))))))),"")</f>
        <v>4.68053982928311</v>
      </c>
      <c r="F80">
        <f>IF(AND(ISNUMBER(E80),逐级计算!$X$5&gt;-1),IF(逐级计算!$X$5=0,E80+逐级计算!$C$5,E80+逐级计算!$C$5-(10/(逐级计算!$Q$5*LN(10))*(MAX((LN(10^(逐级计算!$Q$5/10)-1)+逐级计算!$Q$5*(E80-逐级计算!$P$5)*LN(10)/10),0)+LN(1+EXP(-ABS((LN(10^(逐级计算!$Q$5/10)-1)+逐级计算!$Q$5*(E80-逐级计算!$P$5)*LN(10)/10))))))),"")</f>
        <v>13.7930365742089</v>
      </c>
      <c r="G80">
        <f>IF(AND(ISNUMBER(F80),逐级计算!$X$6&gt;-1),IF(逐级计算!$X$6=0,F80+逐级计算!$C$6,F80+逐级计算!$C$6-(10/(逐级计算!$Q$6*LN(10))*(MAX((LN(10^(逐级计算!$Q$6/10)-1)+逐级计算!$Q$6*(F80-逐级计算!$P$6)*LN(10)/10),0)+LN(1+EXP(-ABS((LN(10^(逐级计算!$Q$6/10)-1)+逐级计算!$Q$6*(F80-逐级计算!$P$6)*LN(10)/10))))))),"")</f>
        <v>13.7930365742089</v>
      </c>
      <c r="H80">
        <f>IF(AND(ISNUMBER(G80),逐级计算!$X$7&gt;-1),IF(逐级计算!$X$7=0,G80+逐级计算!$C$7,G80+逐级计算!$C$7-(10/(逐级计算!$Q$7*LN(10))*(MAX((LN(10^(逐级计算!$Q$7/10)-1)+逐级计算!$Q$7*(G80-逐级计算!$P$7)*LN(10)/10),0)+LN(1+EXP(-ABS((LN(10^(逐级计算!$Q$7/10)-1)+逐级计算!$Q$7*(G80-逐级计算!$P$7)*LN(10)/10))))))),"")</f>
        <v>13.7930365742089</v>
      </c>
      <c r="I80">
        <f>IF(AND(ISNUMBER(H80),逐级计算!$X$8&gt;-1),IF(逐级计算!$X$8=0,H80+逐级计算!$C$8,H80+逐级计算!$C$8-(10/(逐级计算!$Q$8*LN(10))*(MAX((LN(10^(逐级计算!$Q$8/10)-1)+逐级计算!$Q$8*(H80-逐级计算!$P$8)*LN(10)/10),0)+LN(1+EXP(-ABS((LN(10^(逐级计算!$Q$8/10)-1)+逐级计算!$Q$8*(H80-逐级计算!$P$8)*LN(10)/10))))))),"")</f>
        <v>13.7930365742089</v>
      </c>
      <c r="J80">
        <f>IF(AND(ISNUMBER(I80),逐级计算!$X$9&gt;-1),IF(逐级计算!$X$9=0,I80+逐级计算!$C$9,I80+逐级计算!$C$9-(10/(逐级计算!$Q$9*LN(10))*(MAX((LN(10^(逐级计算!$Q$9/10)-1)+逐级计算!$Q$9*(I80-逐级计算!$P$9)*LN(10)/10),0)+LN(1+EXP(-ABS((LN(10^(逐级计算!$Q$9/10)-1)+逐级计算!$Q$9*(I80-逐级计算!$P$9)*LN(10)/10))))))),"")</f>
        <v>13.7930365742089</v>
      </c>
      <c r="K80">
        <f>IF(AND(ISNUMBER(J80),逐级计算!$X$10&gt;-1),IF(逐级计算!$X$10=0,J80+逐级计算!$C$10,J80+逐级计算!$C$10-(10/(逐级计算!$Q$10*LN(10))*(MAX((LN(10^(逐级计算!$Q$10/10)-1)+逐级计算!$Q$10*(J80-逐级计算!$P$10)*LN(10)/10),0)+LN(1+EXP(-ABS((LN(10^(逐级计算!$Q$10/10)-1)+逐级计算!$Q$10*(J80-逐级计算!$P$10)*LN(10)/10))))))),"")</f>
        <v>13.7930365742089</v>
      </c>
      <c r="L80">
        <f>IF(AND(ISNUMBER(K80),逐级计算!$X$11&gt;-1),IF(逐级计算!$X$11=0,K80+逐级计算!$C$11,K80+逐级计算!$C$11-(10/(逐级计算!$Q$11*LN(10))*(MAX((LN(10^(逐级计算!$Q$11/10)-1)+逐级计算!$Q$11*(K80-逐级计算!$P$11)*LN(10)/10),0)+LN(1+EXP(-ABS((LN(10^(逐级计算!$Q$11/10)-1)+逐级计算!$Q$11*(K80-逐级计算!$P$11)*LN(10)/10))))))),"")</f>
        <v>13.7930365742089</v>
      </c>
      <c r="M80">
        <f>IF(AND(ISNUMBER(L80),逐级计算!$X$12&gt;-1),IF(逐级计算!$X$12=0,L80+逐级计算!$C$12,L80+逐级计算!$C$12-(10/(逐级计算!$Q$12*LN(10))*(MAX((LN(10^(逐级计算!$Q$12/10)-1)+逐级计算!$Q$12*(L80-逐级计算!$P$12)*LN(10)/10),0)+LN(1+EXP(-ABS((LN(10^(逐级计算!$Q$12/10)-1)+逐级计算!$Q$12*(L80-逐级计算!$P$12)*LN(10)/10))))))),"")</f>
        <v>13.7930365742089</v>
      </c>
      <c r="N80">
        <f>IF(AND(ISNUMBER(M80),逐级计算!$X$13&gt;-1),IF(逐级计算!$X$13=0,M80+逐级计算!$C$13,M80+逐级计算!$C$13-(10/(逐级计算!$Q$13*LN(10))*(MAX((LN(10^(逐级计算!$Q$13/10)-1)+逐级计算!$Q$13*(M80-逐级计算!$P$13)*LN(10)/10),0)+LN(1+EXP(-ABS((LN(10^(逐级计算!$Q$13/10)-1)+逐级计算!$Q$13*(M80-逐级计算!$P$13)*LN(10)/10))))))),"")</f>
        <v>13.7930365742089</v>
      </c>
      <c r="O80">
        <f>IF(AND(ISNUMBER(N80),逐级计算!$X$14&gt;-1),IF(逐级计算!$X$14=0,N80+逐级计算!$C$14,N80+逐级计算!$C$14-(10/(逐级计算!$Q$14*LN(10))*(MAX((LN(10^(逐级计算!$Q$14/10)-1)+逐级计算!$Q$14*(N80-逐级计算!$P$14)*LN(10)/10),0)+LN(1+EXP(-ABS((LN(10^(逐级计算!$Q$14/10)-1)+逐级计算!$Q$14*(N80-逐级计算!$P$14)*LN(10)/10))))))),"")</f>
        <v>13.7930365742089</v>
      </c>
      <c r="P80">
        <f>IF(AND(ISNUMBER(O80),逐级计算!$X$15&gt;-1),IF(逐级计算!$X$15=0,O80+逐级计算!$C$15,O80+逐级计算!$C$15-(10/(逐级计算!$Q$15*LN(10))*(MAX((LN(10^(逐级计算!$Q$15/10)-1)+逐级计算!$Q$15*(O80-逐级计算!$P$15)*LN(10)/10),0)+LN(1+EXP(-ABS((LN(10^(逐级计算!$Q$15/10)-1)+逐级计算!$Q$15*(O80-逐级计算!$P$15)*LN(10)/10))))))),"")</f>
        <v>13.7930365742089</v>
      </c>
      <c r="Q80">
        <f>IF(AND(ISNUMBER(P80),逐级计算!$X$16&gt;-1),IF(逐级计算!$X$16=0,P80+逐级计算!$C$16,P80+逐级计算!$C$16-(10/(逐级计算!$Q$16*LN(10))*(MAX((LN(10^(逐级计算!$Q$16/10)-1)+逐级计算!$Q$16*(P80-逐级计算!$P$16)*LN(10)/10),0)+LN(1+EXP(-ABS((LN(10^(逐级计算!$Q$16/10)-1)+逐级计算!$Q$16*(P80-逐级计算!$P$16)*LN(10)/10))))))),"")</f>
        <v>13.7930365742089</v>
      </c>
      <c r="R80">
        <f>IF(AND(ISNUMBER(Q80),逐级计算!$X$17&gt;-1),IF(逐级计算!$X$17=0,Q80+逐级计算!$C$17,Q80+逐级计算!$C$17-(10/(逐级计算!$Q$17*LN(10))*(MAX((LN(10^(逐级计算!$Q$17/10)-1)+逐级计算!$Q$17*(Q80-逐级计算!$P$17)*LN(10)/10),0)+LN(1+EXP(-ABS((LN(10^(逐级计算!$Q$17/10)-1)+逐级计算!$Q$17*(Q80-逐级计算!$P$17)*LN(10)/10))))))),"")</f>
        <v>13.7930365742089</v>
      </c>
      <c r="S80">
        <f>IF(AND(ISNUMBER(R80),逐级计算!$X$18&gt;-1),IF(逐级计算!$X$18=0,R80+逐级计算!$C$18,R80+逐级计算!$C$18-(10/(逐级计算!$Q$18*LN(10))*(MAX((LN(10^(逐级计算!$Q$18/10)-1)+逐级计算!$Q$18*(R80-逐级计算!$P$18)*LN(10)/10),0)+LN(1+EXP(-ABS((LN(10^(逐级计算!$Q$18/10)-1)+逐级计算!$Q$18*(R80-逐级计算!$P$18)*LN(10)/10))))))),"")</f>
        <v>13.7930365742089</v>
      </c>
      <c r="T80">
        <f>IF(AND(ISNUMBER(S80),逐级计算!$X$19&gt;-1),IF(逐级计算!$X$19=0,S80+逐级计算!$C$19,S80+逐级计算!$C$19-(10/(逐级计算!$Q$19*LN(10))*(MAX((LN(10^(逐级计算!$Q$19/10)-1)+逐级计算!$Q$19*(S80-逐级计算!$P$19)*LN(10)/10),0)+LN(1+EXP(-ABS((LN(10^(逐级计算!$Q$19/10)-1)+逐级计算!$Q$19*(S80-逐级计算!$P$19)*LN(10)/10))))))),"")</f>
        <v>13.7930365742089</v>
      </c>
      <c r="U80">
        <f>IF(AND(ISNUMBER(T80),逐级计算!$X$20&gt;-1),IF(逐级计算!$X$20=0,T80+逐级计算!$C$20,T80+逐级计算!$C$20-(10/(逐级计算!$Q$20*LN(10))*(MAX((LN(10^(逐级计算!$Q$20/10)-1)+逐级计算!$Q$20*(T80-逐级计算!$P$20)*LN(10)/10),0)+LN(1+EXP(-ABS((LN(10^(逐级计算!$Q$20/10)-1)+逐级计算!$Q$20*(T80-逐级计算!$P$20)*LN(10)/10))))))),"")</f>
        <v>13.7930365742089</v>
      </c>
      <c r="V80">
        <f>IF(AND(ISNUMBER(U80),逐级计算!$X$21&gt;-1),IF(逐级计算!$X$21=0,U80+逐级计算!$C$21,U80+逐级计算!$C$21-(10/(逐级计算!$Q$21*LN(10))*(MAX((LN(10^(逐级计算!$Q$21/10)-1)+逐级计算!$Q$21*(U80-逐级计算!$P$21)*LN(10)/10),0)+LN(1+EXP(-ABS((LN(10^(逐级计算!$Q$21/10)-1)+逐级计算!$Q$21*(U80-逐级计算!$P$21)*LN(10)/10))))))),"")</f>
        <v>13.7930365742089</v>
      </c>
      <c r="W80">
        <f>IF(AND(ISNUMBER(V80),逐级计算!$X$22&gt;-1),IF(逐级计算!$X$22=0,V80+逐级计算!$C$22,V80+逐级计算!$C$22-(10/(逐级计算!$Q$22*LN(10))*(MAX((LN(10^(逐级计算!$Q$22/10)-1)+逐级计算!$Q$22*(V80-逐级计算!$P$22)*LN(10)/10),0)+LN(1+EXP(-ABS((LN(10^(逐级计算!$Q$22/10)-1)+逐级计算!$Q$22*(V80-逐级计算!$P$22)*LN(10)/10))))))),"")</f>
        <v>13.7930365742089</v>
      </c>
      <c r="X80">
        <f>IF(AND(ISNUMBER(W80),逐级计算!$X$23&gt;-1),IF(逐级计算!$X$23=0,W80+逐级计算!$C$23,W80+逐级计算!$C$23-(10/(逐级计算!$Q$23*LN(10))*(MAX((LN(10^(逐级计算!$Q$23/10)-1)+逐级计算!$Q$23*(W80-逐级计算!$P$23)*LN(10)/10),0)+LN(1+EXP(-ABS((LN(10^(逐级计算!$Q$23/10)-1)+逐级计算!$Q$23*(W80-逐级计算!$P$23)*LN(10)/10))))))),"")</f>
        <v>13.7930365742089</v>
      </c>
      <c r="Y80">
        <f>IF(AND(ISNUMBER(X80),逐级计算!$X$24&gt;-1),IF(逐级计算!$X$24=0,X80+逐级计算!$C$24,X80+逐级计算!$C$24-(10/(逐级计算!$Q$24*LN(10))*(MAX((LN(10^(逐级计算!$Q$24/10)-1)+逐级计算!$Q$24*(X80-逐级计算!$P$24)*LN(10)/10),0)+LN(1+EXP(-ABS((LN(10^(逐级计算!$Q$24/10)-1)+逐级计算!$Q$24*(X80-逐级计算!$P$24)*LN(10)/10))))))),"")</f>
        <v>13.7930365742089</v>
      </c>
      <c r="Z80">
        <f>IF(AND(ISNUMBER(Y80),逐级计算!$X$25&gt;-1),IF(逐级计算!$X$25=0,Y80+逐级计算!$C$25,Y80+逐级计算!$C$25-(10/(逐级计算!$Q$25*LN(10))*(MAX((LN(10^(逐级计算!$Q$25/10)-1)+逐级计算!$Q$25*(Y80-逐级计算!$P$25)*LN(10)/10),0)+LN(1+EXP(-ABS((LN(10^(逐级计算!$Q$25/10)-1)+逐级计算!$Q$25*(Y80-逐级计算!$P$25)*LN(10)/10))))))),"")</f>
        <v>13.7930365742089</v>
      </c>
      <c r="AA80">
        <f>IF(AND(ISNUMBER(Z80),逐级计算!$X$26&gt;-1),IF(逐级计算!$X$26=0,Z80+逐级计算!$C$26,Z80+逐级计算!$C$26-(10/(逐级计算!$Q$26*LN(10))*(MAX((LN(10^(逐级计算!$Q$26/10)-1)+逐级计算!$Q$26*(Z80-逐级计算!$P$26)*LN(10)/10),0)+LN(1+EXP(-ABS((LN(10^(逐级计算!$Q$26/10)-1)+逐级计算!$Q$26*(Z80-逐级计算!$P$26)*LN(10)/10))))))),"")</f>
        <v>13.7930365742089</v>
      </c>
      <c r="AB80">
        <f>IF(AND(ISNUMBER(AA80),逐级计算!$X$27&gt;-1),IF(逐级计算!$X$27=0,AA80+逐级计算!$C$27,AA80+逐级计算!$C$27-(10/(逐级计算!$Q$27*LN(10))*(MAX((LN(10^(逐级计算!$Q$27/10)-1)+逐级计算!$Q$27*(AA80-逐级计算!$P$27)*LN(10)/10),0)+LN(1+EXP(-ABS((LN(10^(逐级计算!$Q$27/10)-1)+逐级计算!$Q$27*(AA80-逐级计算!$P$27)*LN(10)/10))))))),"")</f>
        <v>13.7930365742089</v>
      </c>
      <c r="AC80">
        <f>IF(AND(ISNUMBER(AB80),逐级计算!$X$28&gt;-1),IF(逐级计算!$X$28=0,AB80+逐级计算!$C$28,AB80+逐级计算!$C$28-(10/(逐级计算!$Q$28*LN(10))*(MAX((LN(10^(逐级计算!$Q$28/10)-1)+逐级计算!$Q$28*(AB80-逐级计算!$P$28)*LN(10)/10),0)+LN(1+EXP(-ABS((LN(10^(逐级计算!$Q$28/10)-1)+逐级计算!$Q$28*(AB80-逐级计算!$P$28)*LN(10)/10))))))),"")</f>
        <v>13.7930365742089</v>
      </c>
      <c r="AD80">
        <f>IF(AND(ISNUMBER(AC80),逐级计算!$X$29&gt;-1),IF(逐级计算!$X$29=0,AC80+逐级计算!$C$29,AC80+逐级计算!$C$29-(10/(逐级计算!$Q$29*LN(10))*(MAX((LN(10^(逐级计算!$Q$29/10)-1)+逐级计算!$Q$29*(AC80-逐级计算!$P$29)*LN(10)/10),0)+LN(1+EXP(-ABS((LN(10^(逐级计算!$Q$29/10)-1)+逐级计算!$Q$29*(AC80-逐级计算!$P$29)*LN(10)/10))))))),"")</f>
        <v>13.7930365742089</v>
      </c>
      <c r="AE80">
        <f>IF(AND(ISNUMBER(AD80),逐级计算!$X$30&gt;-1),IF(逐级计算!$X$30=0,AD80+逐级计算!$C$30,AD80+逐级计算!$C$30-(10/(逐级计算!$Q$30*LN(10))*(MAX((LN(10^(逐级计算!$Q$30/10)-1)+逐级计算!$Q$30*(AD80-逐级计算!$P$30)*LN(10)/10),0)+LN(1+EXP(-ABS((LN(10^(逐级计算!$Q$30/10)-1)+逐级计算!$Q$30*(AD80-逐级计算!$P$30)*LN(10)/10))))))),"")</f>
        <v>13.7930365742089</v>
      </c>
      <c r="AF80">
        <f>IF(AND(ISNUMBER(AE80),逐级计算!$X$31&gt;-1),IF(逐级计算!$X$31=0,AE80+逐级计算!$C$31,AE80+逐级计算!$C$31-(10/(逐级计算!$Q$31*LN(10))*(MAX((LN(10^(逐级计算!$Q$31/10)-1)+逐级计算!$Q$31*(AE80-逐级计算!$P$31)*LN(10)/10),0)+LN(1+EXP(-ABS((LN(10^(逐级计算!$Q$31/10)-1)+逐级计算!$Q$31*(AE80-逐级计算!$P$31)*LN(10)/10))))))),"")</f>
        <v>13.7930365742089</v>
      </c>
      <c r="AG80">
        <f>IF(AND(ISNUMBER(AF80),逐级计算!$X$32&gt;-1),IF(逐级计算!$X$32=0,AF80+逐级计算!$C$32,AF80+逐级计算!$C$32-(10/(逐级计算!$Q$32*LN(10))*(MAX((LN(10^(逐级计算!$Q$32/10)-1)+逐级计算!$Q$32*(AF80-逐级计算!$P$32)*LN(10)/10),0)+LN(1+EXP(-ABS((LN(10^(逐级计算!$Q$32/10)-1)+逐级计算!$Q$32*(AF80-逐级计算!$P$32)*LN(10)/10))))))),"")</f>
        <v>13.7930365742089</v>
      </c>
      <c r="AH80">
        <f>IF(AND(ISNUMBER(AG80),逐级计算!$X$33&gt;-1),IF(逐级计算!$X$33=0,AG80+逐级计算!$C$33,AG80+逐级计算!$C$33-(10/(逐级计算!$Q$33*LN(10))*(MAX((LN(10^(逐级计算!$Q$33/10)-1)+逐级计算!$Q$33*(AG80-逐级计算!$P$33)*LN(10)/10),0)+LN(1+EXP(-ABS((LN(10^(逐级计算!$Q$33/10)-1)+逐级计算!$Q$33*(AG80-逐级计算!$P$33)*LN(10)/10))))))),"")</f>
        <v>13.7930365742089</v>
      </c>
      <c r="AI80">
        <f>IF(AND(ISNUMBER(AH80),逐级计算!$X$34&gt;-1),IF(逐级计算!$X$34=0,AH80+逐级计算!$C$34,AH80+逐级计算!$C$34-(10/(逐级计算!$Q$34*LN(10))*(MAX((LN(10^(逐级计算!$Q$34/10)-1)+逐级计算!$Q$34*(AH80-逐级计算!$P$34)*LN(10)/10),0)+LN(1+EXP(-ABS((LN(10^(逐级计算!$Q$34/10)-1)+逐级计算!$Q$34*(AH80-逐级计算!$P$34)*LN(10)/10))))))),"")</f>
        <v>13.7930365742089</v>
      </c>
      <c r="AJ80">
        <f>IF(AND(ISNUMBER(AI80),逐级计算!$X$35&gt;-1),IF(逐级计算!$X$35=0,AI80+逐级计算!$C$35,AI80+逐级计算!$C$35-(10/(逐级计算!$Q$35*LN(10))*(MAX((LN(10^(逐级计算!$Q$35/10)-1)+逐级计算!$Q$35*(AI80-逐级计算!$P$35)*LN(10)/10),0)+LN(1+EXP(-ABS((LN(10^(逐级计算!$Q$35/10)-1)+逐级计算!$Q$35*(AI80-逐级计算!$P$35)*LN(10)/10))))))),"")</f>
        <v>13.7930365742089</v>
      </c>
      <c r="AK80">
        <f>IF(AND(ISNUMBER(AJ80),逐级计算!$X$36&gt;-1),IF(逐级计算!$X$36=0,AJ80+逐级计算!$C$36,AJ80+逐级计算!$C$36-(10/(逐级计算!$Q$36*LN(10))*(MAX((LN(10^(逐级计算!$Q$36/10)-1)+逐级计算!$Q$36*(AJ80-逐级计算!$P$36)*LN(10)/10),0)+LN(1+EXP(-ABS((LN(10^(逐级计算!$Q$36/10)-1)+逐级计算!$Q$36*(AJ80-逐级计算!$P$36)*LN(10)/10))))))),"")</f>
        <v>13.7930365742089</v>
      </c>
      <c r="AL80">
        <f>IF(AND(ISNUMBER(AK80),逐级计算!$X$37&gt;-1),IF(逐级计算!$X$37=0,AK80+逐级计算!$C$37,AK80+逐级计算!$C$37-(10/(逐级计算!$Q$37*LN(10))*(MAX((LN(10^(逐级计算!$Q$37/10)-1)+逐级计算!$Q$37*(AK80-逐级计算!$P$37)*LN(10)/10),0)+LN(1+EXP(-ABS((LN(10^(逐级计算!$Q$37/10)-1)+逐级计算!$Q$37*(AK80-逐级计算!$P$37)*LN(10)/10))))))),"")</f>
        <v>13.7930365742089</v>
      </c>
      <c r="AM80">
        <f>IF(AND(ISNUMBER(AL80),逐级计算!$X$38&gt;-1),IF(逐级计算!$X$38=0,AL80+逐级计算!$C$38,AL80+逐级计算!$C$38-(10/(逐级计算!$Q$38*LN(10))*(MAX((LN(10^(逐级计算!$Q$38/10)-1)+逐级计算!$Q$38*(AL80-逐级计算!$P$38)*LN(10)/10),0)+LN(1+EXP(-ABS((LN(10^(逐级计算!$Q$38/10)-1)+逐级计算!$Q$38*(AL80-逐级计算!$P$38)*LN(10)/10))))))),"")</f>
        <v>13.7930365742089</v>
      </c>
      <c r="AN80">
        <f>IF(AND(ISNUMBER(AM80),逐级计算!$X$39&gt;-1),IF(逐级计算!$X$39=0,AM80+逐级计算!$C$39,AM80+逐级计算!$C$39-(10/(逐级计算!$Q$39*LN(10))*(MAX((LN(10^(逐级计算!$Q$39/10)-1)+逐级计算!$Q$39*(AM80-逐级计算!$P$39)*LN(10)/10),0)+LN(1+EXP(-ABS((LN(10^(逐级计算!$Q$39/10)-1)+逐级计算!$Q$39*(AM80-逐级计算!$P$39)*LN(10)/10))))))),"")</f>
        <v>13.7930365742089</v>
      </c>
      <c r="AO80">
        <f>IF(AND(ISNUMBER(AN80),逐级计算!$X$40&gt;-1),IF(逐级计算!$X$40=0,AN80+逐级计算!$C$40,AN80+逐级计算!$C$40-(10/(逐级计算!$Q$40*LN(10))*(MAX((LN(10^(逐级计算!$Q$40/10)-1)+逐级计算!$Q$40*(AN80-逐级计算!$P$40)*LN(10)/10),0)+LN(1+EXP(-ABS((LN(10^(逐级计算!$Q$40/10)-1)+逐级计算!$Q$40*(AN80-逐级计算!$P$40)*LN(10)/10))))))),"")</f>
        <v>13.7930365742089</v>
      </c>
      <c r="AP80">
        <f>IF(AND(ISNUMBER(AO80),逐级计算!$X$41&gt;-1),IF(逐级计算!$X$41=0,AO80+逐级计算!$C$41,AO80+逐级计算!$C$41-(10/(逐级计算!$Q$41*LN(10))*(MAX((LN(10^(逐级计算!$Q$41/10)-1)+逐级计算!$Q$41*(AO80-逐级计算!$P$41)*LN(10)/10),0)+LN(1+EXP(-ABS((LN(10^(逐级计算!$Q$41/10)-1)+逐级计算!$Q$41*(AO80-逐级计算!$P$41)*LN(10)/10))))))),"")</f>
        <v>13.7930365742089</v>
      </c>
      <c r="AQ80">
        <f>IF(AND(ISNUMBER(AP80),逐级计算!$X$42&gt;-1),IF(逐级计算!$X$42=0,AP80+逐级计算!$C$42,AP80+逐级计算!$C$42-(10/(逐级计算!$Q$42*LN(10))*(MAX((LN(10^(逐级计算!$Q$42/10)-1)+逐级计算!$Q$42*(AP80-逐级计算!$P$42)*LN(10)/10),0)+LN(1+EXP(-ABS((LN(10^(逐级计算!$Q$42/10)-1)+逐级计算!$Q$42*(AP80-逐级计算!$P$42)*LN(10)/10))))))),"")</f>
        <v>13.7930365742089</v>
      </c>
      <c r="AR80">
        <f>IF(AND(ISNUMBER(AQ80),逐级计算!$X$43&gt;-1),IF(逐级计算!$X$43=0,AQ80+逐级计算!$C$43,AQ80+逐级计算!$C$43-(10/(逐级计算!$Q$43*LN(10))*(MAX((LN(10^(逐级计算!$Q$43/10)-1)+逐级计算!$Q$43*(AQ80-逐级计算!$P$43)*LN(10)/10),0)+LN(1+EXP(-ABS((LN(10^(逐级计算!$Q$43/10)-1)+逐级计算!$Q$43*(AQ80-逐级计算!$P$43)*LN(10)/10))))))),"")</f>
        <v>13.7930365742089</v>
      </c>
      <c r="AS80">
        <f>IF(AND(ISNUMBER(AR80),逐级计算!$X$44&gt;-1),IF(逐级计算!$X$44=0,AR80+逐级计算!$C$44,AR80+逐级计算!$C$44-(10/(逐级计算!$Q$44*LN(10))*(MAX((LN(10^(逐级计算!$Q$44/10)-1)+逐级计算!$Q$44*(AR80-逐级计算!$P$44)*LN(10)/10),0)+LN(1+EXP(-ABS((LN(10^(逐级计算!$Q$44/10)-1)+逐级计算!$Q$44*(AR80-逐级计算!$P$44)*LN(10)/10))))))),"")</f>
        <v>13.7930365742089</v>
      </c>
      <c r="AT80">
        <f>IF(AND(ISNUMBER(AS80),逐级计算!$X$45&gt;-1),IF(逐级计算!$X$45=0,AS80+逐级计算!$C$45,AS80+逐级计算!$C$45-(10/(逐级计算!$Q$45*LN(10))*(MAX((LN(10^(逐级计算!$Q$45/10)-1)+逐级计算!$Q$45*(AS80-逐级计算!$P$45)*LN(10)/10),0)+LN(1+EXP(-ABS((LN(10^(逐级计算!$Q$45/10)-1)+逐级计算!$Q$45*(AS80-逐级计算!$P$45)*LN(10)/10))))))),"")</f>
        <v>13.7930365742089</v>
      </c>
      <c r="AU80">
        <f>IF(AND(ISNUMBER(AT80),逐级计算!$X$46&gt;-1),IF(逐级计算!$X$46=0,AT80+逐级计算!$C$46,AT80+逐级计算!$C$46-(10/(逐级计算!$Q$46*LN(10))*(MAX((LN(10^(逐级计算!$Q$46/10)-1)+逐级计算!$Q$46*(AT80-逐级计算!$P$46)*LN(10)/10),0)+LN(1+EXP(-ABS((LN(10^(逐级计算!$Q$46/10)-1)+逐级计算!$Q$46*(AT80-逐级计算!$P$46)*LN(10)/10))))))),"")</f>
        <v>13.7930365742089</v>
      </c>
      <c r="AV80">
        <f>IF(AND(ISNUMBER(AU80),逐级计算!$X$47&gt;-1),IF(逐级计算!$X$47=0,AU80+逐级计算!$C$47,AU80+逐级计算!$C$47-(10/(逐级计算!$Q$47*LN(10))*(MAX((LN(10^(逐级计算!$Q$47/10)-1)+逐级计算!$Q$47*(AU80-逐级计算!$P$47)*LN(10)/10),0)+LN(1+EXP(-ABS((LN(10^(逐级计算!$Q$47/10)-1)+逐级计算!$Q$47*(AU80-逐级计算!$P$47)*LN(10)/10))))))),"")</f>
        <v>13.7930365742089</v>
      </c>
      <c r="AW80">
        <f>IF(AND(ISNUMBER(AV80),逐级计算!$X$48&gt;-1),IF(逐级计算!$X$48=0,AV80+逐级计算!$C$48,AV80+逐级计算!$C$48-(10/(逐级计算!$Q$48*LN(10))*(MAX((LN(10^(逐级计算!$Q$48/10)-1)+逐级计算!$Q$48*(AV80-逐级计算!$P$48)*LN(10)/10),0)+LN(1+EXP(-ABS((LN(10^(逐级计算!$Q$48/10)-1)+逐级计算!$Q$48*(AV80-逐级计算!$P$48)*LN(10)/10))))))),"")</f>
        <v>13.7930365742089</v>
      </c>
      <c r="AX80">
        <f>IF(AND(ISNUMBER(AW80),逐级计算!$X$49&gt;-1),IF(逐级计算!$X$49=0,AW80+逐级计算!$C$49,AW80+逐级计算!$C$49-(10/(逐级计算!$Q$49*LN(10))*(MAX((LN(10^(逐级计算!$Q$49/10)-1)+逐级计算!$Q$49*(AW80-逐级计算!$P$49)*LN(10)/10),0)+LN(1+EXP(-ABS((LN(10^(逐级计算!$Q$49/10)-1)+逐级计算!$Q$49*(AW80-逐级计算!$P$49)*LN(10)/10))))))),"")</f>
        <v>13.7930365742089</v>
      </c>
      <c r="AY80">
        <f>IF(AND(ISNUMBER(AX80),逐级计算!$X$50&gt;-1),IF(逐级计算!$X$50=0,AX80+逐级计算!$C$50,AX80+逐级计算!$C$50-(10/(逐级计算!$Q$50*LN(10))*(MAX((LN(10^(逐级计算!$Q$50/10)-1)+逐级计算!$Q$50*(AX80-逐级计算!$P$50)*LN(10)/10),0)+LN(1+EXP(-ABS((LN(10^(逐级计算!$Q$50/10)-1)+逐级计算!$Q$50*(AX80-逐级计算!$P$50)*LN(10)/10))))))),"")</f>
        <v>13.7930365742089</v>
      </c>
      <c r="AZ80">
        <f>IF(AND(ISNUMBER(AY80),逐级计算!$X$51&gt;-1),IF(逐级计算!$X$51=0,AY80+逐级计算!$C$51,AY80+逐级计算!$C$51-(10/(逐级计算!$Q$51*LN(10))*(MAX((LN(10^(逐级计算!$Q$51/10)-1)+逐级计算!$Q$51*(AY80-逐级计算!$P$51)*LN(10)/10),0)+LN(1+EXP(-ABS((LN(10^(逐级计算!$Q$51/10)-1)+逐级计算!$Q$51*(AY80-逐级计算!$P$51)*LN(10)/10))))))),"")</f>
        <v>13.7930365742089</v>
      </c>
      <c r="BA80">
        <f>IF(AND(ISNUMBER(AZ80),逐级计算!$X$52&gt;-1),IF(逐级计算!$X$52=0,AZ80+逐级计算!$C$52,AZ80+逐级计算!$C$52-(10/(逐级计算!$Q$52*LN(10))*(MAX((LN(10^(逐级计算!$Q$52/10)-1)+逐级计算!$Q$52*(AZ80-逐级计算!$P$52)*LN(10)/10),0)+LN(1+EXP(-ABS((LN(10^(逐级计算!$Q$52/10)-1)+逐级计算!$Q$52*(AZ80-逐级计算!$P$52)*LN(10)/10))))))),"")</f>
        <v>13.7930365742089</v>
      </c>
      <c r="BB80">
        <f>IF(AND(ISNUMBER(BA80),逐级计算!$X$53&gt;-1),IF(逐级计算!$X$53=0,BA80+逐级计算!$C$53,BA80+逐级计算!$C$53-(10/(逐级计算!$Q$53*LN(10))*(MAX((LN(10^(逐级计算!$Q$53/10)-1)+逐级计算!$Q$53*(BA80-逐级计算!$P$53)*LN(10)/10),0)+LN(1+EXP(-ABS((LN(10^(逐级计算!$Q$53/10)-1)+逐级计算!$Q$53*(BA80-逐级计算!$P$53)*LN(10)/10))))))),"")</f>
        <v>13.7930365742089</v>
      </c>
      <c r="BC80">
        <f>IF(AND(ISNUMBER(BB80),逐级计算!$X$54&gt;-1),IF(逐级计算!$X$54=0,BB80+逐级计算!$C$54,BB80+逐级计算!$C$54-(10/(逐级计算!$Q$54*LN(10))*(MAX((LN(10^(逐级计算!$Q$54/10)-1)+逐级计算!$Q$54*(BB80-逐级计算!$P$54)*LN(10)/10),0)+LN(1+EXP(-ABS((LN(10^(逐级计算!$Q$54/10)-1)+逐级计算!$Q$54*(BB80-逐级计算!$P$54)*LN(10)/10))))))),"")</f>
        <v>13.7930365742089</v>
      </c>
      <c r="BD80">
        <f>IF(AND(ISNUMBER(BC80),逐级计算!$X$55&gt;-1),IF(逐级计算!$X$55=0,BC80+逐级计算!$C$55,BC80+逐级计算!$C$55-(10/(逐级计算!$Q$55*LN(10))*(MAX((LN(10^(逐级计算!$Q$55/10)-1)+逐级计算!$Q$55*(BC80-逐级计算!$P$55)*LN(10)/10),0)+LN(1+EXP(-ABS((LN(10^(逐级计算!$Q$55/10)-1)+逐级计算!$Q$55*(BC80-逐级计算!$P$55)*LN(10)/10))))))),"")</f>
        <v>13.7930365742089</v>
      </c>
      <c r="BE80">
        <f>IF(AND(ISNUMBER(BD80),逐级计算!$X$56&gt;-1),IF(逐级计算!$X$56=0,BD80+逐级计算!$C$56,BD80+逐级计算!$C$56-(10/(逐级计算!$Q$56*LN(10))*(MAX((LN(10^(逐级计算!$Q$56/10)-1)+逐级计算!$Q$56*(BD80-逐级计算!$P$56)*LN(10)/10),0)+LN(1+EXP(-ABS((LN(10^(逐级计算!$Q$56/10)-1)+逐级计算!$Q$56*(BD80-逐级计算!$P$56)*LN(10)/10))))))),"")</f>
        <v>13.7930365742089</v>
      </c>
      <c r="BF80">
        <f>IF(AND(ISNUMBER(BE80),逐级计算!$X$57&gt;-1),IF(逐级计算!$X$57=0,BE80+逐级计算!$C$57,BE80+逐级计算!$C$57-(10/(逐级计算!$Q$57*LN(10))*(MAX((LN(10^(逐级计算!$Q$57/10)-1)+逐级计算!$Q$57*(BE80-逐级计算!$P$57)*LN(10)/10),0)+LN(1+EXP(-ABS((LN(10^(逐级计算!$Q$57/10)-1)+逐级计算!$Q$57*(BE80-逐级计算!$P$57)*LN(10)/10))))))),"")</f>
        <v>13.7930365742089</v>
      </c>
      <c r="BG80">
        <f>IF(AND(ISNUMBER(BF80),逐级计算!$X$58&gt;-1),IF(逐级计算!$X$58=0,BF80+逐级计算!$C$58,BF80+逐级计算!$C$58-(10/(逐级计算!$Q$58*LN(10))*(MAX((LN(10^(逐级计算!$Q$58/10)-1)+逐级计算!$Q$58*(BF80-逐级计算!$P$58)*LN(10)/10),0)+LN(1+EXP(-ABS((LN(10^(逐级计算!$Q$58/10)-1)+逐级计算!$Q$58*(BF80-逐级计算!$P$58)*LN(10)/10))))))),"")</f>
        <v>13.7930365742089</v>
      </c>
      <c r="BH80">
        <f>IF(AND(ISNUMBER(BG80),逐级计算!$X$59&gt;-1),IF(逐级计算!$X$59=0,BG80+逐级计算!$C$59,BG80+逐级计算!$C$59-(10/(逐级计算!$Q$59*LN(10))*(MAX((LN(10^(逐级计算!$Q$59/10)-1)+逐级计算!$Q$59*(BG80-逐级计算!$P$59)*LN(10)/10),0)+LN(1+EXP(-ABS((LN(10^(逐级计算!$Q$59/10)-1)+逐级计算!$Q$59*(BG80-逐级计算!$P$59)*LN(10)/10))))))),"")</f>
        <v>13.7930365742089</v>
      </c>
      <c r="BI80">
        <f>IF(AND(ISNUMBER(BH80),逐级计算!$X$60&gt;-1),IF(逐级计算!$X$60=0,BH80+逐级计算!$C$60,BH80+逐级计算!$C$60-(10/(逐级计算!$Q$60*LN(10))*(MAX((LN(10^(逐级计算!$Q$60/10)-1)+逐级计算!$Q$60*(BH80-逐级计算!$P$60)*LN(10)/10),0)+LN(1+EXP(-ABS((LN(10^(逐级计算!$Q$60/10)-1)+逐级计算!$Q$60*(BH80-逐级计算!$P$60)*LN(10)/10))))))),"")</f>
        <v>13.7930365742089</v>
      </c>
      <c r="BJ80">
        <f>IF(AND(ISNUMBER(BI80),逐级计算!$X$61&gt;-1),IF(逐级计算!$X$61=0,BI80+逐级计算!$C$61,BI80+逐级计算!$C$61-(10/(逐级计算!$Q$61*LN(10))*(MAX((LN(10^(逐级计算!$Q$61/10)-1)+逐级计算!$Q$61*(BI80-逐级计算!$P$61)*LN(10)/10),0)+LN(1+EXP(-ABS((LN(10^(逐级计算!$Q$61/10)-1)+逐级计算!$Q$61*(BI80-逐级计算!$P$61)*LN(10)/10))))))),"")</f>
        <v>13.7930365742089</v>
      </c>
      <c r="BK80">
        <f>IF(AND(ISNUMBER(BJ80),逐级计算!$X$62&gt;-1),IF(逐级计算!$X$62=0,BJ80+逐级计算!$C$62,BJ80+逐级计算!$C$62-(10/(逐级计算!$Q$62*LN(10))*(MAX((LN(10^(逐级计算!$Q$62/10)-1)+逐级计算!$Q$62*(BJ80-逐级计算!$P$62)*LN(10)/10),0)+LN(1+EXP(-ABS((LN(10^(逐级计算!$Q$62/10)-1)+逐级计算!$Q$62*(BJ80-逐级计算!$P$62)*LN(10)/10))))))),"")</f>
        <v>13.7930365742089</v>
      </c>
      <c r="BL80">
        <f>IF(AND(ISNUMBER(BK80),逐级计算!$X$63&gt;-1),IF(逐级计算!$X$63=0,BK80+逐级计算!$C$63,BK80+逐级计算!$C$63-(10/(逐级计算!$Q$63*LN(10))*(MAX((LN(10^(逐级计算!$Q$63/10)-1)+逐级计算!$Q$63*(BK80-逐级计算!$P$63)*LN(10)/10),0)+LN(1+EXP(-ABS((LN(10^(逐级计算!$Q$63/10)-1)+逐级计算!$Q$63*(BK80-逐级计算!$P$63)*LN(10)/10))))))),"")</f>
        <v>13.7930365742089</v>
      </c>
      <c r="BM80">
        <f>IF(AND(ISNUMBER(BL80),逐级计算!$X$64&gt;-1),IF(逐级计算!$X$64=0,BL80+逐级计算!$C$64,BL80+逐级计算!$C$64-(10/(逐级计算!$Q$64*LN(10))*(MAX((LN(10^(逐级计算!$Q$64/10)-1)+逐级计算!$Q$64*(BL80-逐级计算!$P$64)*LN(10)/10),0)+LN(1+EXP(-ABS((LN(10^(逐级计算!$Q$64/10)-1)+逐级计算!$Q$64*(BL80-逐级计算!$P$64)*LN(10)/10))))))),"")</f>
        <v>13.7930365742089</v>
      </c>
      <c r="BN80">
        <f>IF(AND(ISNUMBER(BM80),逐级计算!$X$65&gt;-1),IF(逐级计算!$X$65=0,BM80+逐级计算!$C$65,BM80+逐级计算!$C$65-(10/(逐级计算!$Q$65*LN(10))*(MAX((LN(10^(逐级计算!$Q$65/10)-1)+逐级计算!$Q$65*(BM80-逐级计算!$P$65)*LN(10)/10),0)+LN(1+EXP(-ABS((LN(10^(逐级计算!$Q$65/10)-1)+逐级计算!$Q$65*(BM80-逐级计算!$P$65)*LN(10)/10))))))),"")</f>
        <v>13.7930365742089</v>
      </c>
      <c r="BO80">
        <f>IF(AND(ISNUMBER(BN80),逐级计算!$X$66&gt;-1),IF(逐级计算!$X$66=0,BN80+逐级计算!$C$66,BN80+逐级计算!$C$66-(10/(逐级计算!$Q$66*LN(10))*(MAX((LN(10^(逐级计算!$Q$66/10)-1)+逐级计算!$Q$66*(BN80-逐级计算!$P$66)*LN(10)/10),0)+LN(1+EXP(-ABS((LN(10^(逐级计算!$Q$66/10)-1)+逐级计算!$Q$66*(BN80-逐级计算!$P$66)*LN(10)/10))))))),"")</f>
        <v>13.7930365742089</v>
      </c>
      <c r="BP80">
        <f>IF(AND(ISNUMBER(BO80),逐级计算!$X$67&gt;-1),IF(逐级计算!$X$67=0,BO80+逐级计算!$C$67,BO80+逐级计算!$C$67-(10/(逐级计算!$Q$67*LN(10))*(MAX((LN(10^(逐级计算!$Q$67/10)-1)+逐级计算!$Q$67*(BO80-逐级计算!$P$67)*LN(10)/10),0)+LN(1+EXP(-ABS((LN(10^(逐级计算!$Q$67/10)-1)+逐级计算!$Q$67*(BO80-逐级计算!$P$67)*LN(10)/10))))))),"")</f>
        <v>13.7930365742089</v>
      </c>
      <c r="BQ80">
        <f>IF(AND(ISNUMBER(BP80),逐级计算!$X$68&gt;-1),IF(逐级计算!$X$68=0,BP80+逐级计算!$C$68,BP80+逐级计算!$C$68-(10/(逐级计算!$Q$68*LN(10))*(MAX((LN(10^(逐级计算!$Q$68/10)-1)+逐级计算!$Q$68*(BP80-逐级计算!$P$68)*LN(10)/10),0)+LN(1+EXP(-ABS((LN(10^(逐级计算!$Q$68/10)-1)+逐级计算!$Q$68*(BP80-逐级计算!$P$68)*LN(10)/10))))))),"")</f>
        <v>13.7930365742089</v>
      </c>
      <c r="BR80">
        <f>IF(AND(ISNUMBER(BQ80),逐级计算!$X$69&gt;-1),IF(逐级计算!$X$69=0,BQ80+逐级计算!$C$69,BQ80+逐级计算!$C$69-(10/(逐级计算!$Q$69*LN(10))*(MAX((LN(10^(逐级计算!$Q$69/10)-1)+逐级计算!$Q$69*(BQ80-逐级计算!$P$69)*LN(10)/10),0)+LN(1+EXP(-ABS((LN(10^(逐级计算!$Q$69/10)-1)+逐级计算!$Q$69*(BQ80-逐级计算!$P$69)*LN(10)/10))))))),"")</f>
        <v>13.7930365742089</v>
      </c>
      <c r="BS80">
        <f>IF(AND(ISNUMBER(BR80),逐级计算!$X$70&gt;-1),IF(逐级计算!$X$70=0,BR80+逐级计算!$C$70,BR80+逐级计算!$C$70-(10/(逐级计算!$Q$70*LN(10))*(MAX((LN(10^(逐级计算!$Q$70/10)-1)+逐级计算!$Q$70*(BR80-逐级计算!$P$70)*LN(10)/10),0)+LN(1+EXP(-ABS((LN(10^(逐级计算!$Q$70/10)-1)+逐级计算!$Q$70*(BR80-逐级计算!$P$70)*LN(10)/10))))))),"")</f>
        <v>13.7930365742089</v>
      </c>
      <c r="BT80">
        <f>IF(AND(ISNUMBER(BS80),逐级计算!$X$71&gt;-1),IF(逐级计算!$X$71=0,BS80+逐级计算!$C$71,BS80+逐级计算!$C$71-(10/(逐级计算!$Q$71*LN(10))*(MAX((LN(10^(逐级计算!$Q$71/10)-1)+逐级计算!$Q$71*(BS80-逐级计算!$P$71)*LN(10)/10),0)+LN(1+EXP(-ABS((LN(10^(逐级计算!$Q$71/10)-1)+逐级计算!$Q$71*(BS80-逐级计算!$P$71)*LN(10)/10))))))),"")</f>
        <v>13.7930365742089</v>
      </c>
      <c r="BU80">
        <f>IF(AND(ISNUMBER(BT80),逐级计算!$X$72&gt;-1),IF(逐级计算!$X$72=0,BT80+逐级计算!$C$72,BT80+逐级计算!$C$72-(10/(逐级计算!$Q$72*LN(10))*(MAX((LN(10^(逐级计算!$Q$72/10)-1)+逐级计算!$Q$72*(BT80-逐级计算!$P$72)*LN(10)/10),0)+LN(1+EXP(-ABS((LN(10^(逐级计算!$Q$72/10)-1)+逐级计算!$Q$72*(BT80-逐级计算!$P$72)*LN(10)/10))))))),"")</f>
        <v>13.7930365742089</v>
      </c>
      <c r="BV80">
        <f>IF(AND(ISNUMBER(BU80),逐级计算!$X$73&gt;-1),IF(逐级计算!$X$73=0,BU80+逐级计算!$C$73,BU80+逐级计算!$C$73-(10/(逐级计算!$Q$73*LN(10))*(MAX((LN(10^(逐级计算!$Q$73/10)-1)+逐级计算!$Q$73*(BU80-逐级计算!$P$73)*LN(10)/10),0)+LN(1+EXP(-ABS((LN(10^(逐级计算!$Q$73/10)-1)+逐级计算!$Q$73*(BU80-逐级计算!$P$73)*LN(10)/10))))))),"")</f>
        <v>13.7930365742089</v>
      </c>
      <c r="BW80">
        <f>IF(AND(ISNUMBER(BV80),逐级计算!$X$74&gt;-1),IF(逐级计算!$X$74=0,BV80+逐级计算!$C$74,BV80+逐级计算!$C$74-(10/(逐级计算!$Q$74*LN(10))*(MAX((LN(10^(逐级计算!$Q$74/10)-1)+逐级计算!$Q$74*(BV80-逐级计算!$P$74)*LN(10)/10),0)+LN(1+EXP(-ABS((LN(10^(逐级计算!$Q$74/10)-1)+逐级计算!$Q$74*(BV80-逐级计算!$P$74)*LN(10)/10))))))),"")</f>
        <v>13.7930365742089</v>
      </c>
      <c r="BX80">
        <f>IF(AND(ISNUMBER(BW80),逐级计算!$X$75&gt;-1),IF(逐级计算!$X$75=0,BW80+逐级计算!$C$75,BW80+逐级计算!$C$75-(10/(逐级计算!$Q$75*LN(10))*(MAX((LN(10^(逐级计算!$Q$75/10)-1)+逐级计算!$Q$75*(BW80-逐级计算!$P$75)*LN(10)/10),0)+LN(1+EXP(-ABS((LN(10^(逐级计算!$Q$75/10)-1)+逐级计算!$Q$75*(BW80-逐级计算!$P$75)*LN(10)/10))))))),"")</f>
        <v>13.7930365742089</v>
      </c>
      <c r="BY80">
        <f>IF(AND(ISNUMBER(BX80),逐级计算!$X$76&gt;-1),IF(逐级计算!$X$76=0,BX80+逐级计算!$C$76,BX80+逐级计算!$C$76-(10/(逐级计算!$Q$76*LN(10))*(MAX((LN(10^(逐级计算!$Q$76/10)-1)+逐级计算!$Q$76*(BX80-逐级计算!$P$76)*LN(10)/10),0)+LN(1+EXP(-ABS((LN(10^(逐级计算!$Q$76/10)-1)+逐级计算!$Q$76*(BX80-逐级计算!$P$76)*LN(10)/10))))))),"")</f>
        <v>13.7930365742089</v>
      </c>
      <c r="BZ80">
        <f>IF(AND(ISNUMBER(BY80),逐级计算!$X$77&gt;-1),IF(逐级计算!$X$77=0,BY80+逐级计算!$C$77,BY80+逐级计算!$C$77-(10/(逐级计算!$Q$77*LN(10))*(MAX((LN(10^(逐级计算!$Q$77/10)-1)+逐级计算!$Q$77*(BY80-逐级计算!$P$77)*LN(10)/10),0)+LN(1+EXP(-ABS((LN(10^(逐级计算!$Q$77/10)-1)+逐级计算!$Q$77*(BY80-逐级计算!$P$77)*LN(10)/10))))))),"")</f>
        <v>13.7930365742089</v>
      </c>
      <c r="CA80">
        <f>IF(AND(ISNUMBER(BZ80),逐级计算!$X$78&gt;-1),IF(逐级计算!$X$78=0,BZ80+逐级计算!$C$78,BZ80+逐级计算!$C$78-(10/(逐级计算!$Q$78*LN(10))*(MAX((LN(10^(逐级计算!$Q$78/10)-1)+逐级计算!$Q$78*(BZ80-逐级计算!$P$78)*LN(10)/10),0)+LN(1+EXP(-ABS((LN(10^(逐级计算!$Q$78/10)-1)+逐级计算!$Q$78*(BZ80-逐级计算!$P$78)*LN(10)/10))))))),"")</f>
        <v>13.7930365742089</v>
      </c>
      <c r="CB80">
        <f>IF(AND(ISNUMBER(CA80),逐级计算!$X$79&gt;-1),IF(逐级计算!$X$79=0,CA80+逐级计算!$C$79,CA80+逐级计算!$C$79-(10/(逐级计算!$Q$79*LN(10))*(MAX((LN(10^(逐级计算!$Q$79/10)-1)+逐级计算!$Q$79*(CA80-逐级计算!$P$79)*LN(10)/10),0)+LN(1+EXP(-ABS((LN(10^(逐级计算!$Q$79/10)-1)+逐级计算!$Q$79*(CA80-逐级计算!$P$79)*LN(10)/10))))))),"")</f>
        <v>13.7930365742089</v>
      </c>
      <c r="CC80">
        <f>IF(AND(ISNUMBER(CB80),逐级计算!$X$80&gt;-1),IF(逐级计算!$X$80=0,CB80+逐级计算!$C$80,CB80+逐级计算!$C$80-(10/(逐级计算!$Q$80*LN(10))*(MAX((LN(10^(逐级计算!$Q$80/10)-1)+逐级计算!$Q$80*(CB80-逐级计算!$P$80)*LN(10)/10),0)+LN(1+EXP(-ABS((LN(10^(逐级计算!$Q$80/10)-1)+逐级计算!$Q$80*(CB80-逐级计算!$P$80)*LN(10)/10))))))),"")</f>
        <v>13.7930365742089</v>
      </c>
      <c r="CD80">
        <f>IF(AND(ISNUMBER(CC80),逐级计算!$X$81&gt;-1),IF(逐级计算!$X$81=0,CC80+逐级计算!$C$81,CC80+逐级计算!$C$81-(10/(逐级计算!$Q$81*LN(10))*(MAX((LN(10^(逐级计算!$Q$81/10)-1)+逐级计算!$Q$81*(CC80-逐级计算!$P$81)*LN(10)/10),0)+LN(1+EXP(-ABS((LN(10^(逐级计算!$Q$81/10)-1)+逐级计算!$Q$81*(CC80-逐级计算!$P$81)*LN(10)/10))))))),"")</f>
        <v>13.7930365742089</v>
      </c>
      <c r="CE80">
        <f>IF(AND(ISNUMBER(CD80),逐级计算!$X$82&gt;-1),IF(逐级计算!$X$82=0,CD80+逐级计算!$C$82,CD80+逐级计算!$C$82-(10/(逐级计算!$Q$82*LN(10))*(MAX((LN(10^(逐级计算!$Q$82/10)-1)+逐级计算!$Q$82*(CD80-逐级计算!$P$82)*LN(10)/10),0)+LN(1+EXP(-ABS((LN(10^(逐级计算!$Q$82/10)-1)+逐级计算!$Q$82*(CD80-逐级计算!$P$82)*LN(10)/10))))))),"")</f>
        <v>13.7930365742089</v>
      </c>
      <c r="CF80">
        <f>IF(AND(ISNUMBER(CE80),逐级计算!$X$83&gt;-1),IF(逐级计算!$X$83=0,CE80+逐级计算!$C$83,CE80+逐级计算!$C$83-(10/(逐级计算!$Q$83*LN(10))*(MAX((LN(10^(逐级计算!$Q$83/10)-1)+逐级计算!$Q$83*(CE80-逐级计算!$P$83)*LN(10)/10),0)+LN(1+EXP(-ABS((LN(10^(逐级计算!$Q$83/10)-1)+逐级计算!$Q$83*(CE80-逐级计算!$P$83)*LN(10)/10))))))),"")</f>
        <v>13.7930365742089</v>
      </c>
      <c r="CG80">
        <f>IF(AND(ISNUMBER(CF80),逐级计算!$X$84&gt;-1),IF(逐级计算!$X$84=0,CF80+逐级计算!$C$84,CF80+逐级计算!$C$84-(10/(逐级计算!$Q$84*LN(10))*(MAX((LN(10^(逐级计算!$Q$84/10)-1)+逐级计算!$Q$84*(CF80-逐级计算!$P$84)*LN(10)/10),0)+LN(1+EXP(-ABS((LN(10^(逐级计算!$Q$84/10)-1)+逐级计算!$Q$84*(CF80-逐级计算!$P$84)*LN(10)/10))))))),"")</f>
        <v>13.7930365742089</v>
      </c>
      <c r="CH80">
        <f>IF(AND(ISNUMBER(CG80),逐级计算!$X$85&gt;-1),IF(逐级计算!$X$85=0,CG80+逐级计算!$C$85,CG80+逐级计算!$C$85-(10/(逐级计算!$Q$85*LN(10))*(MAX((LN(10^(逐级计算!$Q$85/10)-1)+逐级计算!$Q$85*(CG80-逐级计算!$P$85)*LN(10)/10),0)+LN(1+EXP(-ABS((LN(10^(逐级计算!$Q$85/10)-1)+逐级计算!$Q$85*(CG80-逐级计算!$P$85)*LN(10)/10))))))),"")</f>
        <v>13.7930365742089</v>
      </c>
      <c r="CI80">
        <f>IF(AND(ISNUMBER(CH80),逐级计算!$X$86&gt;-1),IF(逐级计算!$X$86=0,CH80+逐级计算!$C$86,CH80+逐级计算!$C$86-(10/(逐级计算!$Q$86*LN(10))*(MAX((LN(10^(逐级计算!$Q$86/10)-1)+逐级计算!$Q$86*(CH80-逐级计算!$P$86)*LN(10)/10),0)+LN(1+EXP(-ABS((LN(10^(逐级计算!$Q$86/10)-1)+逐级计算!$Q$86*(CH80-逐级计算!$P$86)*LN(10)/10))))))),"")</f>
        <v>13.7930365742089</v>
      </c>
      <c r="CJ80">
        <f>IF(AND(ISNUMBER(CI80),逐级计算!$X$87&gt;-1),IF(逐级计算!$X$87=0,CI80+逐级计算!$C$87,CI80+逐级计算!$C$87-(10/(逐级计算!$Q$87*LN(10))*(MAX((LN(10^(逐级计算!$Q$87/10)-1)+逐级计算!$Q$87*(CI80-逐级计算!$P$87)*LN(10)/10),0)+LN(1+EXP(-ABS((LN(10^(逐级计算!$Q$87/10)-1)+逐级计算!$Q$87*(CI80-逐级计算!$P$87)*LN(10)/10))))))),"")</f>
        <v>13.7930365742089</v>
      </c>
      <c r="CK80">
        <f>IF(AND(ISNUMBER(CJ80),逐级计算!$X$88&gt;-1),IF(逐级计算!$X$88=0,CJ80+逐级计算!$C$88,CJ80+逐级计算!$C$88-(10/(逐级计算!$Q$88*LN(10))*(MAX((LN(10^(逐级计算!$Q$88/10)-1)+逐级计算!$Q$88*(CJ80-逐级计算!$P$88)*LN(10)/10),0)+LN(1+EXP(-ABS((LN(10^(逐级计算!$Q$88/10)-1)+逐级计算!$Q$88*(CJ80-逐级计算!$P$88)*LN(10)/10))))))),"")</f>
        <v>13.7930365742089</v>
      </c>
      <c r="CL80">
        <f>IF(AND(ISNUMBER(CK80),逐级计算!$X$89&gt;-1),IF(逐级计算!$X$89=0,CK80+逐级计算!$C$89,CK80+逐级计算!$C$89-(10/(逐级计算!$Q$89*LN(10))*(MAX((LN(10^(逐级计算!$Q$89/10)-1)+逐级计算!$Q$89*(CK80-逐级计算!$P$89)*LN(10)/10),0)+LN(1+EXP(-ABS((LN(10^(逐级计算!$Q$89/10)-1)+逐级计算!$Q$89*(CK80-逐级计算!$P$89)*LN(10)/10))))))),"")</f>
        <v>13.7930365742089</v>
      </c>
      <c r="CM80">
        <f>IF(AND(ISNUMBER(CL80),逐级计算!$X$90&gt;-1),IF(逐级计算!$X$90=0,CL80+逐级计算!$C$90,CL80+逐级计算!$C$90-(10/(逐级计算!$Q$90*LN(10))*(MAX((LN(10^(逐级计算!$Q$90/10)-1)+逐级计算!$Q$90*(CL80-逐级计算!$P$90)*LN(10)/10),0)+LN(1+EXP(-ABS((LN(10^(逐级计算!$Q$90/10)-1)+逐级计算!$Q$90*(CL80-逐级计算!$P$90)*LN(10)/10))))))),"")</f>
        <v>13.7930365742089</v>
      </c>
      <c r="CN80">
        <f>IF(AND(ISNUMBER(CM80),逐级计算!$X$91&gt;-1),IF(逐级计算!$X$91=0,CM80+逐级计算!$C$91,CM80+逐级计算!$C$91-(10/(逐级计算!$Q$91*LN(10))*(MAX((LN(10^(逐级计算!$Q$91/10)-1)+逐级计算!$Q$91*(CM80-逐级计算!$P$91)*LN(10)/10),0)+LN(1+EXP(-ABS((LN(10^(逐级计算!$Q$91/10)-1)+逐级计算!$Q$91*(CM80-逐级计算!$P$91)*LN(10)/10))))))),"")</f>
        <v>13.7930365742089</v>
      </c>
      <c r="CO80">
        <f>IF(AND(ISNUMBER(CN80),逐级计算!$X$92&gt;-1),IF(逐级计算!$X$92=0,CN80+逐级计算!$C$92,CN80+逐级计算!$C$92-(10/(逐级计算!$Q$92*LN(10))*(MAX((LN(10^(逐级计算!$Q$92/10)-1)+逐级计算!$Q$92*(CN80-逐级计算!$P$92)*LN(10)/10),0)+LN(1+EXP(-ABS((LN(10^(逐级计算!$Q$92/10)-1)+逐级计算!$Q$92*(CN80-逐级计算!$P$92)*LN(10)/10))))))),"")</f>
        <v>13.7930365742089</v>
      </c>
      <c r="CP80">
        <f>IF(AND(ISNUMBER(CO80),逐级计算!$X$93&gt;-1),IF(逐级计算!$X$93=0,CO80+逐级计算!$C$93,CO80+逐级计算!$C$93-(10/(逐级计算!$Q$93*LN(10))*(MAX((LN(10^(逐级计算!$Q$93/10)-1)+逐级计算!$Q$93*(CO80-逐级计算!$P$93)*LN(10)/10),0)+LN(1+EXP(-ABS((LN(10^(逐级计算!$Q$93/10)-1)+逐级计算!$Q$93*(CO80-逐级计算!$P$93)*LN(10)/10))))))),"")</f>
        <v>13.7930365742089</v>
      </c>
      <c r="CQ80">
        <f>IF(AND(ISNUMBER(CP80),逐级计算!$X$94&gt;-1),IF(逐级计算!$X$94=0,CP80+逐级计算!$C$94,CP80+逐级计算!$C$94-(10/(逐级计算!$Q$94*LN(10))*(MAX((LN(10^(逐级计算!$Q$94/10)-1)+逐级计算!$Q$94*(CP80-逐级计算!$P$94)*LN(10)/10),0)+LN(1+EXP(-ABS((LN(10^(逐级计算!$Q$94/10)-1)+逐级计算!$Q$94*(CP80-逐级计算!$P$94)*LN(10)/10))))))),"")</f>
        <v>13.7930365742089</v>
      </c>
      <c r="CR80">
        <f>IF(AND(ISNUMBER(CQ80),逐级计算!$X$95&gt;-1),IF(逐级计算!$X$95=0,CQ80+逐级计算!$C$95,CQ80+逐级计算!$C$95-(10/(逐级计算!$Q$95*LN(10))*(MAX((LN(10^(逐级计算!$Q$95/10)-1)+逐级计算!$Q$95*(CQ80-逐级计算!$P$95)*LN(10)/10),0)+LN(1+EXP(-ABS((LN(10^(逐级计算!$Q$95/10)-1)+逐级计算!$Q$95*(CQ80-逐级计算!$P$95)*LN(10)/10))))))),"")</f>
        <v>13.7930365742089</v>
      </c>
      <c r="CS80">
        <f>IF(AND(ISNUMBER(CR80),逐级计算!$X$96&gt;-1),IF(逐级计算!$X$96=0,CR80+逐级计算!$C$96,CR80+逐级计算!$C$96-(10/(逐级计算!$Q$96*LN(10))*(MAX((LN(10^(逐级计算!$Q$96/10)-1)+逐级计算!$Q$96*(CR80-逐级计算!$P$96)*LN(10)/10),0)+LN(1+EXP(-ABS((LN(10^(逐级计算!$Q$96/10)-1)+逐级计算!$Q$96*(CR80-逐级计算!$P$96)*LN(10)/10))))))),"")</f>
        <v>13.7930365742089</v>
      </c>
      <c r="CT80">
        <f>IF(AND(ISNUMBER(CS80),逐级计算!$X$97&gt;-1),IF(逐级计算!$X$97=0,CS80+逐级计算!$C$97,CS80+逐级计算!$C$97-(10/(逐级计算!$Q$97*LN(10))*(MAX((LN(10^(逐级计算!$Q$97/10)-1)+逐级计算!$Q$97*(CS80-逐级计算!$P$97)*LN(10)/10),0)+LN(1+EXP(-ABS((LN(10^(逐级计算!$Q$97/10)-1)+逐级计算!$Q$97*(CS80-逐级计算!$P$97)*LN(10)/10))))))),"")</f>
        <v>13.7930365742089</v>
      </c>
      <c r="CU80">
        <f>IF(AND(ISNUMBER(CT80),逐级计算!$X$98&gt;-1),IF(逐级计算!$X$98=0,CT80+逐级计算!$C$98,CT80+逐级计算!$C$98-(10/(逐级计算!$Q$98*LN(10))*(MAX((LN(10^(逐级计算!$Q$98/10)-1)+逐级计算!$Q$98*(CT80-逐级计算!$P$98)*LN(10)/10),0)+LN(1+EXP(-ABS((LN(10^(逐级计算!$Q$98/10)-1)+逐级计算!$Q$98*(CT80-逐级计算!$P$98)*LN(10)/10))))))),"")</f>
        <v>13.7930365742089</v>
      </c>
      <c r="CV80">
        <f>IF(AND(ISNUMBER(CU80),逐级计算!$X$99&gt;-1),IF(逐级计算!$X$99=0,CU80+逐级计算!$C$99,CU80+逐级计算!$C$99-(10/(逐级计算!$Q$99*LN(10))*(MAX((LN(10^(逐级计算!$Q$99/10)-1)+逐级计算!$Q$99*(CU80-逐级计算!$P$99)*LN(10)/10),0)+LN(1+EXP(-ABS((LN(10^(逐级计算!$Q$99/10)-1)+逐级计算!$Q$99*(CU80-逐级计算!$P$99)*LN(10)/10))))))),"")</f>
        <v>13.7930365742089</v>
      </c>
      <c r="CW80">
        <f>IF(AND(ISNUMBER(CV80),逐级计算!$X$100&gt;-1),IF(逐级计算!$X$100=0,CV80+逐级计算!$C$100,CV80+逐级计算!$C$100-(10/(逐级计算!$Q$100*LN(10))*(MAX((LN(10^(逐级计算!$Q$100/10)-1)+逐级计算!$Q$100*(CV80-逐级计算!$P$100)*LN(10)/10),0)+LN(1+EXP(-ABS((LN(10^(逐级计算!$Q$100/10)-1)+逐级计算!$Q$100*(CV80-逐级计算!$P$100)*LN(10)/10))))))),"")</f>
        <v>13.7930365742089</v>
      </c>
      <c r="CX80">
        <f>IF(AND(ISNUMBER(CW80),逐级计算!$X$101&gt;-1),IF(逐级计算!$X$101=0,CW80+逐级计算!$C$101,CW80+逐级计算!$C$101-(10/(逐级计算!$Q$101*LN(10))*(MAX((LN(10^(逐级计算!$Q$101/10)-1)+逐级计算!$Q$101*(CW80-逐级计算!$P$101)*LN(10)/10),0)+LN(1+EXP(-ABS((LN(10^(逐级计算!$Q$101/10)-1)+逐级计算!$Q$101*(CW80-逐级计算!$P$101)*LN(10)/10))))))),"")</f>
        <v>13.7930365742089</v>
      </c>
      <c r="CY80">
        <f>IF(AND(ISNUMBER(CX80),逐级计算!$X$102&gt;-1),IF(逐级计算!$X$102=0,CX80+逐级计算!$C$102,CX80+逐级计算!$C$102-(10/(逐级计算!$Q$102*LN(10))*(MAX((LN(10^(逐级计算!$Q$102/10)-1)+逐级计算!$Q$102*(CX80-逐级计算!$P$102)*LN(10)/10),0)+LN(1+EXP(-ABS((LN(10^(逐级计算!$Q$102/10)-1)+逐级计算!$Q$102*(CX80-逐级计算!$P$102)*LN(10)/10))))))),"")</f>
        <v>13.7930365742089</v>
      </c>
      <c r="CZ80">
        <f>IF(AND(ISNUMBER(CY80),逐级计算!$X$103&gt;-1),IF(逐级计算!$X$103=0,CY80+逐级计算!$C$103,CY80+逐级计算!$C$103-(10/(逐级计算!$Q$103*LN(10))*(MAX((LN(10^(逐级计算!$Q$103/10)-1)+逐级计算!$Q$103*(CY80-逐级计算!$P$103)*LN(10)/10),0)+LN(1+EXP(-ABS((LN(10^(逐级计算!$Q$103/10)-1)+逐级计算!$Q$103*(CY80-逐级计算!$P$103)*LN(10)/10))))))),"")</f>
        <v>13.7930365742089</v>
      </c>
      <c r="DA80">
        <f>IF(AND(ISNUMBER(CZ80),逐级计算!$X$104&gt;-1),IF(逐级计算!$X$104=0,CZ80+逐级计算!$C$104,CZ80+逐级计算!$C$104-(10/(逐级计算!$Q$104*LN(10))*(MAX((LN(10^(逐级计算!$Q$104/10)-1)+逐级计算!$Q$104*(CZ80-逐级计算!$P$104)*LN(10)/10),0)+LN(1+EXP(-ABS((LN(10^(逐级计算!$Q$104/10)-1)+逐级计算!$Q$104*(CZ80-逐级计算!$P$104)*LN(10)/10))))))),"")</f>
        <v>13.7930365742089</v>
      </c>
      <c r="DB80">
        <f>IF(AND(ISNUMBER(DA80),逐级计算!$X$105&gt;-1),IF(逐级计算!$X$105=0,DA80+逐级计算!$C$105,DA80+逐级计算!$C$105-(10/(逐级计算!$Q$105*LN(10))*(MAX((LN(10^(逐级计算!$Q$105/10)-1)+逐级计算!$Q$105*(DA80-逐级计算!$P$105)*LN(10)/10),0)+LN(1+EXP(-ABS((LN(10^(逐级计算!$Q$105/10)-1)+逐级计算!$Q$105*(DA80-逐级计算!$P$105)*LN(10)/10))))))),"")</f>
        <v>13.7930365742089</v>
      </c>
      <c r="DC80">
        <f>IF(AND(ISNUMBER(DB80),逐级计算!$X$106&gt;-1),IF(逐级计算!$X$106=0,DB80+逐级计算!$C$106,DB80+逐级计算!$C$106-(10/(逐级计算!$Q$106*LN(10))*(MAX((LN(10^(逐级计算!$Q$106/10)-1)+逐级计算!$Q$106*(DB80-逐级计算!$P$106)*LN(10)/10),0)+LN(1+EXP(-ABS((LN(10^(逐级计算!$Q$106/10)-1)+逐级计算!$Q$106*(DB80-逐级计算!$P$106)*LN(10)/10))))))),"")</f>
        <v>13.7930365742089</v>
      </c>
      <c r="DD80">
        <f>IF(AND(ISNUMBER(DC80),逐级计算!$X$107&gt;-1),IF(逐级计算!$X$107=0,DC80+逐级计算!$C$107,DC80+逐级计算!$C$107-(10/(逐级计算!$Q$107*LN(10))*(MAX((LN(10^(逐级计算!$Q$107/10)-1)+逐级计算!$Q$107*(DC80-逐级计算!$P$107)*LN(10)/10),0)+LN(1+EXP(-ABS((LN(10^(逐级计算!$Q$107/10)-1)+逐级计算!$Q$107*(DC80-逐级计算!$P$107)*LN(10)/10))))))),"")</f>
        <v>13.7930365742089</v>
      </c>
      <c r="DE80">
        <f>IF(AND(ISNUMBER(DD80),逐级计算!$X$108&gt;-1),IF(逐级计算!$X$108=0,DD80+逐级计算!$C$108,DD80+逐级计算!$C$108-(10/(逐级计算!$Q$108*LN(10))*(MAX((LN(10^(逐级计算!$Q$108/10)-1)+逐级计算!$Q$108*(DD80-逐级计算!$P$108)*LN(10)/10),0)+LN(1+EXP(-ABS((LN(10^(逐级计算!$Q$108/10)-1)+逐级计算!$Q$108*(DD80-逐级计算!$P$108)*LN(10)/10))))))),"")</f>
        <v>13.7930365742089</v>
      </c>
      <c r="DF80">
        <f>IF(AND(ISNUMBER(DE80),逐级计算!$X$109&gt;-1),IF(逐级计算!$X$109=0,DE80+逐级计算!$C$109,DE80+逐级计算!$C$109-(10/(逐级计算!$Q$109*LN(10))*(MAX((LN(10^(逐级计算!$Q$109/10)-1)+逐级计算!$Q$109*(DE80-逐级计算!$P$109)*LN(10)/10),0)+LN(1+EXP(-ABS((LN(10^(逐级计算!$Q$109/10)-1)+逐级计算!$Q$109*(DE80-逐级计算!$P$109)*LN(10)/10))))))),"")</f>
        <v>13.7930365742089</v>
      </c>
      <c r="DG80">
        <f>IF(AND(ISNUMBER(DF80),逐级计算!$X$110&gt;-1),IF(逐级计算!$X$110=0,DF80+逐级计算!$C$110,DF80+逐级计算!$C$110-(10/(逐级计算!$Q$110*LN(10))*(MAX((LN(10^(逐级计算!$Q$110/10)-1)+逐级计算!$Q$110*(DF80-逐级计算!$P$110)*LN(10)/10),0)+LN(1+EXP(-ABS((LN(10^(逐级计算!$Q$110/10)-1)+逐级计算!$Q$110*(DF80-逐级计算!$P$110)*LN(10)/10))))))),"")</f>
        <v>13.7930365742089</v>
      </c>
      <c r="DH80">
        <f>IF(AND(ISNUMBER(DG80),逐级计算!$X$111&gt;-1),IF(逐级计算!$X$111=0,DG80+逐级计算!$C$111,DG80+逐级计算!$C$111-(10/(逐级计算!$Q$111*LN(10))*(MAX((LN(10^(逐级计算!$Q$111/10)-1)+逐级计算!$Q$111*(DG80-逐级计算!$P$111)*LN(10)/10),0)+LN(1+EXP(-ABS((LN(10^(逐级计算!$Q$111/10)-1)+逐级计算!$Q$111*(DG80-逐级计算!$P$111)*LN(10)/10))))))),"")</f>
        <v>13.7930365742089</v>
      </c>
      <c r="DI80">
        <f>IF(AND(ISNUMBER(DH80),逐级计算!$X$112&gt;-1),IF(逐级计算!$X$112=0,DH80+逐级计算!$C$112,DH80+逐级计算!$C$112-(10/(逐级计算!$Q$112*LN(10))*(MAX((LN(10^(逐级计算!$Q$112/10)-1)+逐级计算!$Q$112*(DH80-逐级计算!$P$112)*LN(10)/10),0)+LN(1+EXP(-ABS((LN(10^(逐级计算!$Q$112/10)-1)+逐级计算!$Q$112*(DH80-逐级计算!$P$112)*LN(10)/10))))))),"")</f>
        <v>13.7930365742089</v>
      </c>
      <c r="DJ80">
        <f>IF(AND(ISNUMBER(DI80),逐级计算!$X$113&gt;-1),IF(逐级计算!$X$113=0,DI80+逐级计算!$C$113,DI80+逐级计算!$C$113-(10/(逐级计算!$Q$113*LN(10))*(MAX((LN(10^(逐级计算!$Q$113/10)-1)+逐级计算!$Q$113*(DI80-逐级计算!$P$113)*LN(10)/10),0)+LN(1+EXP(-ABS((LN(10^(逐级计算!$Q$113/10)-1)+逐级计算!$Q$113*(DI80-逐级计算!$P$113)*LN(10)/10))))))),"")</f>
        <v>13.7930365742089</v>
      </c>
      <c r="DK80">
        <f>IF(AND(ISNUMBER(DJ80),逐级计算!$X$114&gt;-1),IF(逐级计算!$X$114=0,DJ80+逐级计算!$C$114,DJ80+逐级计算!$C$114-(10/(逐级计算!$Q$114*LN(10))*(MAX((LN(10^(逐级计算!$Q$114/10)-1)+逐级计算!$Q$114*(DJ80-逐级计算!$P$114)*LN(10)/10),0)+LN(1+EXP(-ABS((LN(10^(逐级计算!$Q$114/10)-1)+逐级计算!$Q$114*(DJ80-逐级计算!$P$114)*LN(10)/10))))))),"")</f>
        <v>13.7930365742089</v>
      </c>
      <c r="DL80">
        <f>IF(AND(ISNUMBER(DK80),逐级计算!$X$115&gt;-1),IF(逐级计算!$X$115=0,DK80+逐级计算!$C$115,DK80+逐级计算!$C$115-(10/(逐级计算!$Q$115*LN(10))*(MAX((LN(10^(逐级计算!$Q$115/10)-1)+逐级计算!$Q$115*(DK80-逐级计算!$P$115)*LN(10)/10),0)+LN(1+EXP(-ABS((LN(10^(逐级计算!$Q$115/10)-1)+逐级计算!$Q$115*(DK80-逐级计算!$P$115)*LN(10)/10))))))),"")</f>
        <v>13.7930365742089</v>
      </c>
      <c r="DM80">
        <f>IF(AND(ISNUMBER(DL80),逐级计算!$X$116&gt;-1),IF(逐级计算!$X$116=0,DL80+逐级计算!$C$116,DL80+逐级计算!$C$116-(10/(逐级计算!$Q$116*LN(10))*(MAX((LN(10^(逐级计算!$Q$116/10)-1)+逐级计算!$Q$116*(DL80-逐级计算!$P$116)*LN(10)/10),0)+LN(1+EXP(-ABS((LN(10^(逐级计算!$Q$116/10)-1)+逐级计算!$Q$116*(DL80-逐级计算!$P$116)*LN(10)/10))))))),"")</f>
        <v>13.7930365742089</v>
      </c>
      <c r="DN80">
        <f>IF(AND(ISNUMBER(DM80),逐级计算!$X$117&gt;-1),IF(逐级计算!$X$117=0,DM80+逐级计算!$C$117,DM80+逐级计算!$C$117-(10/(逐级计算!$Q$117*LN(10))*(MAX((LN(10^(逐级计算!$Q$117/10)-1)+逐级计算!$Q$117*(DM80-逐级计算!$P$117)*LN(10)/10),0)+LN(1+EXP(-ABS((LN(10^(逐级计算!$Q$117/10)-1)+逐级计算!$Q$117*(DM80-逐级计算!$P$117)*LN(10)/10))))))),"")</f>
        <v>13.7930365742089</v>
      </c>
      <c r="DO80">
        <f>IF(AND(ISNUMBER(DN80),逐级计算!$X$118&gt;-1),IF(逐级计算!$X$118=0,DN80+逐级计算!$C$118,DN80+逐级计算!$C$118-(10/(逐级计算!$Q$118*LN(10))*(MAX((LN(10^(逐级计算!$Q$118/10)-1)+逐级计算!$Q$118*(DN80-逐级计算!$P$118)*LN(10)/10),0)+LN(1+EXP(-ABS((LN(10^(逐级计算!$Q$118/10)-1)+逐级计算!$Q$118*(DN80-逐级计算!$P$118)*LN(10)/10))))))),"")</f>
        <v>13.7930365742089</v>
      </c>
      <c r="DP80">
        <f>IF(AND(ISNUMBER(DO80),逐级计算!$X$119&gt;-1),IF(逐级计算!$X$119=0,DO80+逐级计算!$C$119,DO80+逐级计算!$C$119-(10/(逐级计算!$Q$119*LN(10))*(MAX((LN(10^(逐级计算!$Q$119/10)-1)+逐级计算!$Q$119*(DO80-逐级计算!$P$119)*LN(10)/10),0)+LN(1+EXP(-ABS((LN(10^(逐级计算!$Q$119/10)-1)+逐级计算!$Q$119*(DO80-逐级计算!$P$119)*LN(10)/10))))))),"")</f>
        <v>13.7930365742089</v>
      </c>
      <c r="DQ80">
        <f>IF(AND(ISNUMBER(DP80),逐级计算!$X$120&gt;-1),IF(逐级计算!$X$120=0,DP80+逐级计算!$C$120,DP80+逐级计算!$C$120-(10/(逐级计算!$Q$120*LN(10))*(MAX((LN(10^(逐级计算!$Q$120/10)-1)+逐级计算!$Q$120*(DP80-逐级计算!$P$120)*LN(10)/10),0)+LN(1+EXP(-ABS((LN(10^(逐级计算!$Q$120/10)-1)+逐级计算!$Q$120*(DP80-逐级计算!$P$120)*LN(10)/10))))))),"")</f>
        <v>13.7930365742089</v>
      </c>
      <c r="DR80">
        <f>IF(AND(ISNUMBER(DQ80),逐级计算!$X$121&gt;-1),IF(逐级计算!$X$121=0,DQ80+逐级计算!$C$121,DQ80+逐级计算!$C$121-(10/(逐级计算!$Q$121*LN(10))*(MAX((LN(10^(逐级计算!$Q$121/10)-1)+逐级计算!$Q$121*(DQ80-逐级计算!$P$121)*LN(10)/10),0)+LN(1+EXP(-ABS((LN(10^(逐级计算!$Q$121/10)-1)+逐级计算!$Q$121*(DQ80-逐级计算!$P$121)*LN(10)/10))))))),"")</f>
        <v>13.7930365742089</v>
      </c>
      <c r="DS80">
        <f>IF(AND(ISNUMBER(DR80),逐级计算!$X$122&gt;-1),IF(逐级计算!$X$122=0,DR80+逐级计算!$C$122,DR80+逐级计算!$C$122-(10/(逐级计算!$Q$122*LN(10))*(MAX((LN(10^(逐级计算!$Q$122/10)-1)+逐级计算!$Q$122*(DR80-逐级计算!$P$122)*LN(10)/10),0)+LN(1+EXP(-ABS((LN(10^(逐级计算!$Q$122/10)-1)+逐级计算!$Q$122*(DR80-逐级计算!$P$122)*LN(10)/10))))))),"")</f>
        <v>13.7930365742089</v>
      </c>
      <c r="DT80">
        <f>IF(AND(ISNUMBER(DS80),逐级计算!$X$123&gt;-1),IF(逐级计算!$X$123=0,DS80+逐级计算!$C$123,DS80+逐级计算!$C$123-(10/(逐级计算!$Q$123*LN(10))*(MAX((LN(10^(逐级计算!$Q$123/10)-1)+逐级计算!$Q$123*(DS80-逐级计算!$P$123)*LN(10)/10),0)+LN(1+EXP(-ABS((LN(10^(逐级计算!$Q$123/10)-1)+逐级计算!$Q$123*(DS80-逐级计算!$P$123)*LN(10)/10))))))),"")</f>
        <v>13.7930365742089</v>
      </c>
      <c r="DU80">
        <f>IF(AND(ISNUMBER(DT80),逐级计算!$X$124&gt;-1),IF(逐级计算!$X$124=0,DT80+逐级计算!$C$124,DT80+逐级计算!$C$124-(10/(逐级计算!$Q$124*LN(10))*(MAX((LN(10^(逐级计算!$Q$124/10)-1)+逐级计算!$Q$124*(DT80-逐级计算!$P$124)*LN(10)/10),0)+LN(1+EXP(-ABS((LN(10^(逐级计算!$Q$124/10)-1)+逐级计算!$Q$124*(DT80-逐级计算!$P$124)*LN(10)/10))))))),"")</f>
        <v>13.7930365742089</v>
      </c>
      <c r="DV80">
        <f>IF(AND(ISNUMBER(DU80),逐级计算!$X$125&gt;-1),IF(逐级计算!$X$125=0,DU80+逐级计算!$C$125,DU80+逐级计算!$C$125-(10/(逐级计算!$Q$125*LN(10))*(MAX((LN(10^(逐级计算!$Q$125/10)-1)+逐级计算!$Q$125*(DU80-逐级计算!$P$125)*LN(10)/10),0)+LN(1+EXP(-ABS((LN(10^(逐级计算!$Q$125/10)-1)+逐级计算!$Q$125*(DU80-逐级计算!$P$125)*LN(10)/10))))))),"")</f>
        <v>13.7930365742089</v>
      </c>
      <c r="DW80">
        <f>IF(AND(ISNUMBER(DV80),逐级计算!$X$126&gt;-1),IF(逐级计算!$X$126=0,DV80+逐级计算!$C$126,DV80+逐级计算!$C$126-(10/(逐级计算!$Q$126*LN(10))*(MAX((LN(10^(逐级计算!$Q$126/10)-1)+逐级计算!$Q$126*(DV80-逐级计算!$P$126)*LN(10)/10),0)+LN(1+EXP(-ABS((LN(10^(逐级计算!$Q$126/10)-1)+逐级计算!$Q$126*(DV80-逐级计算!$P$126)*LN(10)/10))))))),"")</f>
        <v>13.7930365742089</v>
      </c>
      <c r="DX80">
        <f>IF(AND(ISNUMBER(DW80),逐级计算!$X$127&gt;-1),IF(逐级计算!$X$127=0,DW80+逐级计算!$C$127,DW80+逐级计算!$C$127-(10/(逐级计算!$Q$127*LN(10))*(MAX((LN(10^(逐级计算!$Q$127/10)-1)+逐级计算!$Q$127*(DW80-逐级计算!$P$127)*LN(10)/10),0)+LN(1+EXP(-ABS((LN(10^(逐级计算!$Q$127/10)-1)+逐级计算!$Q$127*(DW80-逐级计算!$P$127)*LN(10)/10))))))),"")</f>
        <v>13.7930365742089</v>
      </c>
      <c r="DY80">
        <f>IF(AND(ISNUMBER(DX80),逐级计算!$X$128&gt;-1),IF(逐级计算!$X$128=0,DX80+逐级计算!$C$128,DX80+逐级计算!$C$128-(10/(逐级计算!$Q$128*LN(10))*(MAX((LN(10^(逐级计算!$Q$128/10)-1)+逐级计算!$Q$128*(DX80-逐级计算!$P$128)*LN(10)/10),0)+LN(1+EXP(-ABS((LN(10^(逐级计算!$Q$128/10)-1)+逐级计算!$Q$128*(DX80-逐级计算!$P$128)*LN(10)/10))))))),"")</f>
        <v>13.7930365742089</v>
      </c>
      <c r="DZ80">
        <f>IF(AND(ISNUMBER(DY80),逐级计算!$X$129&gt;-1),IF(逐级计算!$X$129=0,DY80+逐级计算!$C$129,DY80+逐级计算!$C$129-(10/(逐级计算!$Q$129*LN(10))*(MAX((LN(10^(逐级计算!$Q$129/10)-1)+逐级计算!$Q$129*(DY80-逐级计算!$P$129)*LN(10)/10),0)+LN(1+EXP(-ABS((LN(10^(逐级计算!$Q$129/10)-1)+逐级计算!$Q$129*(DY80-逐级计算!$P$129)*LN(10)/10))))))),"")</f>
        <v>13.7930365742089</v>
      </c>
      <c r="EA80">
        <f>IF(AND(ISNUMBER(DZ80),逐级计算!$X$130&gt;-1),IF(逐级计算!$X$130=0,DZ80+逐级计算!$C$130,DZ80+逐级计算!$C$130-(10/(逐级计算!$Q$130*LN(10))*(MAX((LN(10^(逐级计算!$Q$130/10)-1)+逐级计算!$Q$130*(DZ80-逐级计算!$P$130)*LN(10)/10),0)+LN(1+EXP(-ABS((LN(10^(逐级计算!$Q$130/10)-1)+逐级计算!$Q$130*(DZ80-逐级计算!$P$130)*LN(10)/10))))))),"")</f>
        <v>13.7930365742089</v>
      </c>
      <c r="EB80">
        <f>IF(AND(ISNUMBER(EA80),逐级计算!$X$131&gt;-1),IF(逐级计算!$X$131=0,EA80+逐级计算!$C$131,EA80+逐级计算!$C$131-(10/(逐级计算!$Q$131*LN(10))*(MAX((LN(10^(逐级计算!$Q$131/10)-1)+逐级计算!$Q$131*(EA80-逐级计算!$P$131)*LN(10)/10),0)+LN(1+EXP(-ABS((LN(10^(逐级计算!$Q$131/10)-1)+逐级计算!$Q$131*(EA80-逐级计算!$P$131)*LN(10)/10))))))),"")</f>
        <v>13.7930365742089</v>
      </c>
      <c r="EC80">
        <f>IF(AND(ISNUMBER(EB80),逐级计算!$X$132&gt;-1),IF(逐级计算!$X$132=0,EB80+逐级计算!$C$132,EB80+逐级计算!$C$132-(10/(逐级计算!$Q$132*LN(10))*(MAX((LN(10^(逐级计算!$Q$132/10)-1)+逐级计算!$Q$132*(EB80-逐级计算!$P$132)*LN(10)/10),0)+LN(1+EXP(-ABS((LN(10^(逐级计算!$Q$132/10)-1)+逐级计算!$Q$132*(EB80-逐级计算!$P$132)*LN(10)/10))))))),"")</f>
        <v>13.7930365742089</v>
      </c>
      <c r="ED80">
        <f>IF(AND(ISNUMBER(EC80),逐级计算!$X$133&gt;-1),IF(逐级计算!$X$133=0,EC80+逐级计算!$C$133,EC80+逐级计算!$C$133-(10/(逐级计算!$Q$133*LN(10))*(MAX((LN(10^(逐级计算!$Q$133/10)-1)+逐级计算!$Q$133*(EC80-逐级计算!$P$133)*LN(10)/10),0)+LN(1+EXP(-ABS((LN(10^(逐级计算!$Q$133/10)-1)+逐级计算!$Q$133*(EC80-逐级计算!$P$133)*LN(10)/10))))))),"")</f>
        <v>13.7930365742089</v>
      </c>
      <c r="EE80">
        <f>IF(AND(ISNUMBER(ED80),逐级计算!$X$134&gt;-1),IF(逐级计算!$X$134=0,ED80+逐级计算!$C$134,ED80+逐级计算!$C$134-(10/(逐级计算!$Q$134*LN(10))*(MAX((LN(10^(逐级计算!$Q$134/10)-1)+逐级计算!$Q$134*(ED80-逐级计算!$P$134)*LN(10)/10),0)+LN(1+EXP(-ABS((LN(10^(逐级计算!$Q$134/10)-1)+逐级计算!$Q$134*(ED80-逐级计算!$P$134)*LN(10)/10))))))),"")</f>
        <v>13.7930365742089</v>
      </c>
      <c r="EF80">
        <f>IF(AND(ISNUMBER(EE80),逐级计算!$X$135&gt;-1),IF(逐级计算!$X$135=0,EE80+逐级计算!$C$135,EE80+逐级计算!$C$135-(10/(逐级计算!$Q$135*LN(10))*(MAX((LN(10^(逐级计算!$Q$135/10)-1)+逐级计算!$Q$135*(EE80-逐级计算!$P$135)*LN(10)/10),0)+LN(1+EXP(-ABS((LN(10^(逐级计算!$Q$135/10)-1)+逐级计算!$Q$135*(EE80-逐级计算!$P$135)*LN(10)/10))))))),"")</f>
        <v>13.7930365742089</v>
      </c>
      <c r="EG80">
        <f>IF(AND(ISNUMBER(EF80),逐级计算!$X$136&gt;-1),IF(逐级计算!$X$136=0,EF80+逐级计算!$C$136,EF80+逐级计算!$C$136-(10/(逐级计算!$Q$136*LN(10))*(MAX((LN(10^(逐级计算!$Q$136/10)-1)+逐级计算!$Q$136*(EF80-逐级计算!$P$136)*LN(10)/10),0)+LN(1+EXP(-ABS((LN(10^(逐级计算!$Q$136/10)-1)+逐级计算!$Q$136*(EF80-逐级计算!$P$136)*LN(10)/10))))))),"")</f>
        <v>13.7930365742089</v>
      </c>
      <c r="EH80">
        <f>IF(AND(ISNUMBER(EG80),逐级计算!$X$137&gt;-1),IF(逐级计算!$X$137=0,EG80+逐级计算!$C$137,EG80+逐级计算!$C$137-(10/(逐级计算!$Q$137*LN(10))*(MAX((LN(10^(逐级计算!$Q$137/10)-1)+逐级计算!$Q$137*(EG80-逐级计算!$P$137)*LN(10)/10),0)+LN(1+EXP(-ABS((LN(10^(逐级计算!$Q$137/10)-1)+逐级计算!$Q$137*(EG80-逐级计算!$P$137)*LN(10)/10))))))),"")</f>
        <v>13.7930365742089</v>
      </c>
      <c r="EI80">
        <f>IF(AND(ISNUMBER(EH80),逐级计算!$X$138&gt;-1),IF(逐级计算!$X$138=0,EH80+逐级计算!$C$138,EH80+逐级计算!$C$138-(10/(逐级计算!$Q$138*LN(10))*(MAX((LN(10^(逐级计算!$Q$138/10)-1)+逐级计算!$Q$138*(EH80-逐级计算!$P$138)*LN(10)/10),0)+LN(1+EXP(-ABS((LN(10^(逐级计算!$Q$138/10)-1)+逐级计算!$Q$138*(EH80-逐级计算!$P$138)*LN(10)/10))))))),"")</f>
        <v>13.7930365742089</v>
      </c>
      <c r="EJ80">
        <f>IF(AND(ISNUMBER(EI80),逐级计算!$X$139&gt;-1),IF(逐级计算!$X$139=0,EI80+逐级计算!$C$139,EI80+逐级计算!$C$139-(10/(逐级计算!$Q$139*LN(10))*(MAX((LN(10^(逐级计算!$Q$139/10)-1)+逐级计算!$Q$139*(EI80-逐级计算!$P$139)*LN(10)/10),0)+LN(1+EXP(-ABS((LN(10^(逐级计算!$Q$139/10)-1)+逐级计算!$Q$139*(EI80-逐级计算!$P$139)*LN(10)/10))))))),"")</f>
        <v>13.7930365742089</v>
      </c>
      <c r="EK80">
        <f>IF(AND(ISNUMBER(EJ80),逐级计算!$X$140&gt;-1),IF(逐级计算!$X$140=0,EJ80+逐级计算!$C$140,EJ80+逐级计算!$C$140-(10/(逐级计算!$Q$140*LN(10))*(MAX((LN(10^(逐级计算!$Q$140/10)-1)+逐级计算!$Q$140*(EJ80-逐级计算!$P$140)*LN(10)/10),0)+LN(1+EXP(-ABS((LN(10^(逐级计算!$Q$140/10)-1)+逐级计算!$Q$140*(EJ80-逐级计算!$P$140)*LN(10)/10))))))),"")</f>
        <v>13.7930365742089</v>
      </c>
      <c r="EL80">
        <f>IF(AND(ISNUMBER(EK80),逐级计算!$X$141&gt;-1),IF(逐级计算!$X$141=0,EK80+逐级计算!$C$141,EK80+逐级计算!$C$141-(10/(逐级计算!$Q$141*LN(10))*(MAX((LN(10^(逐级计算!$Q$141/10)-1)+逐级计算!$Q$141*(EK80-逐级计算!$P$141)*LN(10)/10),0)+LN(1+EXP(-ABS((LN(10^(逐级计算!$Q$141/10)-1)+逐级计算!$Q$141*(EK80-逐级计算!$P$141)*LN(10)/10))))))),"")</f>
        <v>13.7930365742089</v>
      </c>
      <c r="EM80">
        <f>IF(AND(ISNUMBER(EL80),逐级计算!$X$142&gt;-1),IF(逐级计算!$X$142=0,EL80+逐级计算!$C$142,EL80+逐级计算!$C$142-(10/(逐级计算!$Q$142*LN(10))*(MAX((LN(10^(逐级计算!$Q$142/10)-1)+逐级计算!$Q$142*(EL80-逐级计算!$P$142)*LN(10)/10),0)+LN(1+EXP(-ABS((LN(10^(逐级计算!$Q$142/10)-1)+逐级计算!$Q$142*(EL80-逐级计算!$P$142)*LN(10)/10))))))),"")</f>
        <v>13.7930365742089</v>
      </c>
      <c r="EN80">
        <f>IF(AND(ISNUMBER(EM80),逐级计算!$X$143&gt;-1),IF(逐级计算!$X$143=0,EM80+逐级计算!$C$143,EM80+逐级计算!$C$143-(10/(逐级计算!$Q$143*LN(10))*(MAX((LN(10^(逐级计算!$Q$143/10)-1)+逐级计算!$Q$143*(EM80-逐级计算!$P$143)*LN(10)/10),0)+LN(1+EXP(-ABS((LN(10^(逐级计算!$Q$143/10)-1)+逐级计算!$Q$143*(EM80-逐级计算!$P$143)*LN(10)/10))))))),"")</f>
        <v>13.7930365742089</v>
      </c>
      <c r="EO80">
        <f>IF(AND(ISNUMBER(EN80),逐级计算!$X$144&gt;-1),IF(逐级计算!$X$144=0,EN80+逐级计算!$C$144,EN80+逐级计算!$C$144-(10/(逐级计算!$Q$144*LN(10))*(MAX((LN(10^(逐级计算!$Q$144/10)-1)+逐级计算!$Q$144*(EN80-逐级计算!$P$144)*LN(10)/10),0)+LN(1+EXP(-ABS((LN(10^(逐级计算!$Q$144/10)-1)+逐级计算!$Q$144*(EN80-逐级计算!$P$144)*LN(10)/10))))))),"")</f>
        <v>13.7930365742089</v>
      </c>
      <c r="EP80">
        <f>IF(AND(ISNUMBER(EO80),逐级计算!$X$145&gt;-1),IF(逐级计算!$X$145=0,EO80+逐级计算!$C$145,EO80+逐级计算!$C$145-(10/(逐级计算!$Q$145*LN(10))*(MAX((LN(10^(逐级计算!$Q$145/10)-1)+逐级计算!$Q$145*(EO80-逐级计算!$P$145)*LN(10)/10),0)+LN(1+EXP(-ABS((LN(10^(逐级计算!$Q$145/10)-1)+逐级计算!$Q$145*(EO80-逐级计算!$P$145)*LN(10)/10))))))),"")</f>
        <v>13.7930365742089</v>
      </c>
      <c r="EQ80">
        <f>IF(AND(ISNUMBER(EP80),逐级计算!$X$146&gt;-1),IF(逐级计算!$X$146=0,EP80+逐级计算!$C$146,EP80+逐级计算!$C$146-(10/(逐级计算!$Q$146*LN(10))*(MAX((LN(10^(逐级计算!$Q$146/10)-1)+逐级计算!$Q$146*(EP80-逐级计算!$P$146)*LN(10)/10),0)+LN(1+EXP(-ABS((LN(10^(逐级计算!$Q$146/10)-1)+逐级计算!$Q$146*(EP80-逐级计算!$P$146)*LN(10)/10))))))),"")</f>
        <v>13.7930365742089</v>
      </c>
      <c r="ER80">
        <f>IF(AND(ISNUMBER(EQ80),逐级计算!$X$147&gt;-1),IF(逐级计算!$X$147=0,EQ80+逐级计算!$C$147,EQ80+逐级计算!$C$147-(10/(逐级计算!$Q$147*LN(10))*(MAX((LN(10^(逐级计算!$Q$147/10)-1)+逐级计算!$Q$147*(EQ80-逐级计算!$P$147)*LN(10)/10),0)+LN(1+EXP(-ABS((LN(10^(逐级计算!$Q$147/10)-1)+逐级计算!$Q$147*(EQ80-逐级计算!$P$147)*LN(10)/10))))))),"")</f>
        <v>13.7930365742089</v>
      </c>
      <c r="ES80">
        <f>IF(AND(ISNUMBER(ER80),逐级计算!$X$148&gt;-1),IF(逐级计算!$X$148=0,ER80+逐级计算!$C$148,ER80+逐级计算!$C$148-(10/(逐级计算!$Q$148*LN(10))*(MAX((LN(10^(逐级计算!$Q$148/10)-1)+逐级计算!$Q$148*(ER80-逐级计算!$P$148)*LN(10)/10),0)+LN(1+EXP(-ABS((LN(10^(逐级计算!$Q$148/10)-1)+逐级计算!$Q$148*(ER80-逐级计算!$P$148)*LN(10)/10))))))),"")</f>
        <v>13.7930365742089</v>
      </c>
      <c r="ET80">
        <f>IF(AND(ISNUMBER(ES80),逐级计算!$X$149&gt;-1),IF(逐级计算!$X$149=0,ES80+逐级计算!$C$149,ES80+逐级计算!$C$149-(10/(逐级计算!$Q$149*LN(10))*(MAX((LN(10^(逐级计算!$Q$149/10)-1)+逐级计算!$Q$149*(ES80-逐级计算!$P$149)*LN(10)/10),0)+LN(1+EXP(-ABS((LN(10^(逐级计算!$Q$149/10)-1)+逐级计算!$Q$149*(ES80-逐级计算!$P$149)*LN(10)/10))))))),"")</f>
        <v>13.7930365742089</v>
      </c>
      <c r="EU80">
        <f>IF(AND(ISNUMBER(ET80),逐级计算!$X$150&gt;-1),IF(逐级计算!$X$150=0,ET80+逐级计算!$C$150,ET80+逐级计算!$C$150-(10/(逐级计算!$Q$150*LN(10))*(MAX((LN(10^(逐级计算!$Q$150/10)-1)+逐级计算!$Q$150*(ET80-逐级计算!$P$150)*LN(10)/10),0)+LN(1+EXP(-ABS((LN(10^(逐级计算!$Q$150/10)-1)+逐级计算!$Q$150*(ET80-逐级计算!$P$150)*LN(10)/10))))))),"")</f>
        <v>13.7930365742089</v>
      </c>
      <c r="EV80">
        <f>IF(AND(ISNUMBER(EU80),逐级计算!$X$151&gt;-1),IF(逐级计算!$X$151=0,EU80+逐级计算!$C$151,EU80+逐级计算!$C$151-(10/(逐级计算!$Q$151*LN(10))*(MAX((LN(10^(逐级计算!$Q$151/10)-1)+逐级计算!$Q$151*(EU80-逐级计算!$P$151)*LN(10)/10),0)+LN(1+EXP(-ABS((LN(10^(逐级计算!$Q$151/10)-1)+逐级计算!$Q$151*(EU80-逐级计算!$P$151)*LN(10)/10))))))),"")</f>
        <v>13.7930365742089</v>
      </c>
      <c r="EW80">
        <f>IF(AND(ISNUMBER(EV80),逐级计算!$X$152&gt;-1),IF(逐级计算!$X$152=0,EV80+逐级计算!$C$152,EV80+逐级计算!$C$152-(10/(逐级计算!$Q$152*LN(10))*(MAX((LN(10^(逐级计算!$Q$152/10)-1)+逐级计算!$Q$152*(EV80-逐级计算!$P$152)*LN(10)/10),0)+LN(1+EXP(-ABS((LN(10^(逐级计算!$Q$152/10)-1)+逐级计算!$Q$152*(EV80-逐级计算!$P$152)*LN(10)/10))))))),"")</f>
        <v>13.7930365742089</v>
      </c>
      <c r="EX80">
        <f>IF(AND(ISNUMBER(EW80),逐级计算!$X$153&gt;-1),IF(逐级计算!$X$153=0,EW80+逐级计算!$C$153,EW80+逐级计算!$C$153-(10/(逐级计算!$Q$153*LN(10))*(MAX((LN(10^(逐级计算!$Q$153/10)-1)+逐级计算!$Q$153*(EW80-逐级计算!$P$153)*LN(10)/10),0)+LN(1+EXP(-ABS((LN(10^(逐级计算!$Q$153/10)-1)+逐级计算!$Q$153*(EW80-逐级计算!$P$153)*LN(10)/10))))))),"")</f>
        <v>13.7930365742089</v>
      </c>
      <c r="EY80">
        <f>IF(AND(ISNUMBER(EX80),逐级计算!$X$154&gt;-1),IF(逐级计算!$X$154=0,EX80+逐级计算!$C$154,EX80+逐级计算!$C$154-(10/(逐级计算!$Q$154*LN(10))*(MAX((LN(10^(逐级计算!$Q$154/10)-1)+逐级计算!$Q$154*(EX80-逐级计算!$P$154)*LN(10)/10),0)+LN(1+EXP(-ABS((LN(10^(逐级计算!$Q$154/10)-1)+逐级计算!$Q$154*(EX80-逐级计算!$P$154)*LN(10)/10))))))),"")</f>
        <v>13.7930365742089</v>
      </c>
      <c r="EZ80">
        <f>IF(AND(ISNUMBER(EY80),逐级计算!$X$155&gt;-1),IF(逐级计算!$X$155=0,EY80+逐级计算!$C$155,EY80+逐级计算!$C$155-(10/(逐级计算!$Q$155*LN(10))*(MAX((LN(10^(逐级计算!$Q$155/10)-1)+逐级计算!$Q$155*(EY80-逐级计算!$P$155)*LN(10)/10),0)+LN(1+EXP(-ABS((LN(10^(逐级计算!$Q$155/10)-1)+逐级计算!$Q$155*(EY80-逐级计算!$P$155)*LN(10)/10))))))),"")</f>
        <v>13.7930365742089</v>
      </c>
      <c r="FA80">
        <f>IF(AND(ISNUMBER(EZ80),逐级计算!$X$156&gt;-1),IF(逐级计算!$X$156=0,EZ80+逐级计算!$C$156,EZ80+逐级计算!$C$156-(10/(逐级计算!$Q$156*LN(10))*(MAX((LN(10^(逐级计算!$Q$156/10)-1)+逐级计算!$Q$156*(EZ80-逐级计算!$P$156)*LN(10)/10),0)+LN(1+EXP(-ABS((LN(10^(逐级计算!$Q$156/10)-1)+逐级计算!$Q$156*(EZ80-逐级计算!$P$156)*LN(10)/10))))))),"")</f>
        <v>13.7930365742089</v>
      </c>
      <c r="FB80">
        <f>IF(AND(ISNUMBER(FA80),逐级计算!$X$157&gt;-1),IF(逐级计算!$X$157=0,FA80+逐级计算!$C$157,FA80+逐级计算!$C$157-(10/(逐级计算!$Q$157*LN(10))*(MAX((LN(10^(逐级计算!$Q$157/10)-1)+逐级计算!$Q$157*(FA80-逐级计算!$P$157)*LN(10)/10),0)+LN(1+EXP(-ABS((LN(10^(逐级计算!$Q$157/10)-1)+逐级计算!$Q$157*(FA80-逐级计算!$P$157)*LN(10)/10))))))),"")</f>
        <v>13.7930365742089</v>
      </c>
      <c r="FC80">
        <f>IF(AND(ISNUMBER(FB80),逐级计算!$X$158&gt;-1),IF(逐级计算!$X$158=0,FB80+逐级计算!$C$158,FB80+逐级计算!$C$158-(10/(逐级计算!$Q$158*LN(10))*(MAX((LN(10^(逐级计算!$Q$158/10)-1)+逐级计算!$Q$158*(FB80-逐级计算!$P$158)*LN(10)/10),0)+LN(1+EXP(-ABS((LN(10^(逐级计算!$Q$158/10)-1)+逐级计算!$Q$158*(FB80-逐级计算!$P$158)*LN(10)/10))))))),"")</f>
        <v>13.7930365742089</v>
      </c>
      <c r="FD80">
        <f>IF(AND(ISNUMBER(FC80),逐级计算!$X$159&gt;-1),IF(逐级计算!$X$159=0,FC80+逐级计算!$C$159,FC80+逐级计算!$C$159-(10/(逐级计算!$Q$159*LN(10))*(MAX((LN(10^(逐级计算!$Q$159/10)-1)+逐级计算!$Q$159*(FC80-逐级计算!$P$159)*LN(10)/10),0)+LN(1+EXP(-ABS((LN(10^(逐级计算!$Q$159/10)-1)+逐级计算!$Q$159*(FC80-逐级计算!$P$159)*LN(10)/10))))))),"")</f>
        <v>13.7930365742089</v>
      </c>
      <c r="FE80">
        <f>IF(AND(ISNUMBER(FD80),逐级计算!$X$160&gt;-1),IF(逐级计算!$X$160=0,FD80+逐级计算!$C$160,FD80+逐级计算!$C$160-(10/(逐级计算!$Q$160*LN(10))*(MAX((LN(10^(逐级计算!$Q$160/10)-1)+逐级计算!$Q$160*(FD80-逐级计算!$P$160)*LN(10)/10),0)+LN(1+EXP(-ABS((LN(10^(逐级计算!$Q$160/10)-1)+逐级计算!$Q$160*(FD80-逐级计算!$P$160)*LN(10)/10))))))),"")</f>
        <v>13.7930365742089</v>
      </c>
      <c r="FF80">
        <f>IF(AND(ISNUMBER(FE80),逐级计算!$X$161&gt;-1),IF(逐级计算!$X$161=0,FE80+逐级计算!$C$161,FE80+逐级计算!$C$161-(10/(逐级计算!$Q$161*LN(10))*(MAX((LN(10^(逐级计算!$Q$161/10)-1)+逐级计算!$Q$161*(FE80-逐级计算!$P$161)*LN(10)/10),0)+LN(1+EXP(-ABS((LN(10^(逐级计算!$Q$161/10)-1)+逐级计算!$Q$161*(FE80-逐级计算!$P$161)*LN(10)/10))))))),"")</f>
        <v>13.7930365742089</v>
      </c>
      <c r="FG80">
        <f>IF(AND(ISNUMBER(FF80),逐级计算!$X$162&gt;-1),IF(逐级计算!$X$162=0,FF80+逐级计算!$C$162,FF80+逐级计算!$C$162-(10/(逐级计算!$Q$162*LN(10))*(MAX((LN(10^(逐级计算!$Q$162/10)-1)+逐级计算!$Q$162*(FF80-逐级计算!$P$162)*LN(10)/10),0)+LN(1+EXP(-ABS((LN(10^(逐级计算!$Q$162/10)-1)+逐级计算!$Q$162*(FF80-逐级计算!$P$162)*LN(10)/10))))))),"")</f>
        <v>13.7930365742089</v>
      </c>
      <c r="FH80">
        <f>IF(AND(ISNUMBER(FG80),逐级计算!$X$163&gt;-1),IF(逐级计算!$X$163=0,FG80+逐级计算!$C$163,FG80+逐级计算!$C$163-(10/(逐级计算!$Q$163*LN(10))*(MAX((LN(10^(逐级计算!$Q$163/10)-1)+逐级计算!$Q$163*(FG80-逐级计算!$P$163)*LN(10)/10),0)+LN(1+EXP(-ABS((LN(10^(逐级计算!$Q$163/10)-1)+逐级计算!$Q$163*(FG80-逐级计算!$P$163)*LN(10)/10))))))),"")</f>
        <v>13.7930365742089</v>
      </c>
      <c r="FI80">
        <f>IF(AND(ISNUMBER(FH80),逐级计算!$X$164&gt;-1),IF(逐级计算!$X$164=0,FH80+逐级计算!$C$164,FH80+逐级计算!$C$164-(10/(逐级计算!$Q$164*LN(10))*(MAX((LN(10^(逐级计算!$Q$164/10)-1)+逐级计算!$Q$164*(FH80-逐级计算!$P$164)*LN(10)/10),0)+LN(1+EXP(-ABS((LN(10^(逐级计算!$Q$164/10)-1)+逐级计算!$Q$164*(FH80-逐级计算!$P$164)*LN(10)/10))))))),"")</f>
        <v>13.7930365742089</v>
      </c>
      <c r="FJ80">
        <f>IF(AND(ISNUMBER(FI80),逐级计算!$X$165&gt;-1),IF(逐级计算!$X$165=0,FI80+逐级计算!$C$165,FI80+逐级计算!$C$165-(10/(逐级计算!$Q$165*LN(10))*(MAX((LN(10^(逐级计算!$Q$165/10)-1)+逐级计算!$Q$165*(FI80-逐级计算!$P$165)*LN(10)/10),0)+LN(1+EXP(-ABS((LN(10^(逐级计算!$Q$165/10)-1)+逐级计算!$Q$165*(FI80-逐级计算!$P$165)*LN(10)/10))))))),"")</f>
        <v>13.7930365742089</v>
      </c>
      <c r="FK80">
        <f>IF(AND(ISNUMBER(FJ80),逐级计算!$X$166&gt;-1),IF(逐级计算!$X$166=0,FJ80+逐级计算!$C$166,FJ80+逐级计算!$C$166-(10/(逐级计算!$Q$166*LN(10))*(MAX((LN(10^(逐级计算!$Q$166/10)-1)+逐级计算!$Q$166*(FJ80-逐级计算!$P$166)*LN(10)/10),0)+LN(1+EXP(-ABS((LN(10^(逐级计算!$Q$166/10)-1)+逐级计算!$Q$166*(FJ80-逐级计算!$P$166)*LN(10)/10))))))),"")</f>
        <v>13.7930365742089</v>
      </c>
      <c r="FL80">
        <f>IF(AND(ISNUMBER(FK80),逐级计算!$X$167&gt;-1),IF(逐级计算!$X$167=0,FK80+逐级计算!$C$167,FK80+逐级计算!$C$167-(10/(逐级计算!$Q$167*LN(10))*(MAX((LN(10^(逐级计算!$Q$167/10)-1)+逐级计算!$Q$167*(FK80-逐级计算!$P$167)*LN(10)/10),0)+LN(1+EXP(-ABS((LN(10^(逐级计算!$Q$167/10)-1)+逐级计算!$Q$167*(FK80-逐级计算!$P$167)*LN(10)/10))))))),"")</f>
        <v>13.7930365742089</v>
      </c>
      <c r="FM80">
        <f>IF(AND(ISNUMBER(FL80),逐级计算!$X$168&gt;-1),IF(逐级计算!$X$168=0,FL80+逐级计算!$C$168,FL80+逐级计算!$C$168-(10/(逐级计算!$Q$168*LN(10))*(MAX((LN(10^(逐级计算!$Q$168/10)-1)+逐级计算!$Q$168*(FL80-逐级计算!$P$168)*LN(10)/10),0)+LN(1+EXP(-ABS((LN(10^(逐级计算!$Q$168/10)-1)+逐级计算!$Q$168*(FL80-逐级计算!$P$168)*LN(10)/10))))))),"")</f>
        <v>13.7930365742089</v>
      </c>
      <c r="FN80">
        <f>IF(AND(ISNUMBER(FM80),逐级计算!$X$169&gt;-1),IF(逐级计算!$X$169=0,FM80+逐级计算!$C$169,FM80+逐级计算!$C$169-(10/(逐级计算!$Q$169*LN(10))*(MAX((LN(10^(逐级计算!$Q$169/10)-1)+逐级计算!$Q$169*(FM80-逐级计算!$P$169)*LN(10)/10),0)+LN(1+EXP(-ABS((LN(10^(逐级计算!$Q$169/10)-1)+逐级计算!$Q$169*(FM80-逐级计算!$P$169)*LN(10)/10))))))),"")</f>
        <v>13.7930365742089</v>
      </c>
      <c r="FO80">
        <f>IF(AND(ISNUMBER(FN80),逐级计算!$X$170&gt;-1),IF(逐级计算!$X$170=0,FN80+逐级计算!$C$170,FN80+逐级计算!$C$170-(10/(逐级计算!$Q$170*LN(10))*(MAX((LN(10^(逐级计算!$Q$170/10)-1)+逐级计算!$Q$170*(FN80-逐级计算!$P$170)*LN(10)/10),0)+LN(1+EXP(-ABS((LN(10^(逐级计算!$Q$170/10)-1)+逐级计算!$Q$170*(FN80-逐级计算!$P$170)*LN(10)/10))))))),"")</f>
        <v>13.7930365742089</v>
      </c>
      <c r="FP80">
        <f>IF(AND(ISNUMBER(FO80),逐级计算!$X$171&gt;-1),IF(逐级计算!$X$171=0,FO80+逐级计算!$C$171,FO80+逐级计算!$C$171-(10/(逐级计算!$Q$171*LN(10))*(MAX((LN(10^(逐级计算!$Q$171/10)-1)+逐级计算!$Q$171*(FO80-逐级计算!$P$171)*LN(10)/10),0)+LN(1+EXP(-ABS((LN(10^(逐级计算!$Q$171/10)-1)+逐级计算!$Q$171*(FO80-逐级计算!$P$171)*LN(10)/10))))))),"")</f>
        <v>13.7930365742089</v>
      </c>
      <c r="FQ80">
        <f>IF(AND(ISNUMBER(FP80),逐级计算!$X$172&gt;-1),IF(逐级计算!$X$172=0,FP80+逐级计算!$C$172,FP80+逐级计算!$C$172-(10/(逐级计算!$Q$172*LN(10))*(MAX((LN(10^(逐级计算!$Q$172/10)-1)+逐级计算!$Q$172*(FP80-逐级计算!$P$172)*LN(10)/10),0)+LN(1+EXP(-ABS((LN(10^(逐级计算!$Q$172/10)-1)+逐级计算!$Q$172*(FP80-逐级计算!$P$172)*LN(10)/10))))))),"")</f>
        <v>13.7930365742089</v>
      </c>
      <c r="FR80">
        <f>IF(AND(ISNUMBER(FQ80),逐级计算!$X$173&gt;-1),IF(逐级计算!$X$173=0,FQ80+逐级计算!$C$173,FQ80+逐级计算!$C$173-(10/(逐级计算!$Q$173*LN(10))*(MAX((LN(10^(逐级计算!$Q$173/10)-1)+逐级计算!$Q$173*(FQ80-逐级计算!$P$173)*LN(10)/10),0)+LN(1+EXP(-ABS((LN(10^(逐级计算!$Q$173/10)-1)+逐级计算!$Q$173*(FQ80-逐级计算!$P$173)*LN(10)/10))))))),"")</f>
        <v>13.7930365742089</v>
      </c>
      <c r="FS80">
        <f>IF(AND(ISNUMBER(FR80),逐级计算!$X$174&gt;-1),IF(逐级计算!$X$174=0,FR80+逐级计算!$C$174,FR80+逐级计算!$C$174-(10/(逐级计算!$Q$174*LN(10))*(MAX((LN(10^(逐级计算!$Q$174/10)-1)+逐级计算!$Q$174*(FR80-逐级计算!$P$174)*LN(10)/10),0)+LN(1+EXP(-ABS((LN(10^(逐级计算!$Q$174/10)-1)+逐级计算!$Q$174*(FR80-逐级计算!$P$174)*LN(10)/10))))))),"")</f>
        <v>13.7930365742089</v>
      </c>
      <c r="FT80">
        <f>IF(AND(ISNUMBER(FS80),逐级计算!$X$175&gt;-1),IF(逐级计算!$X$175=0,FS80+逐级计算!$C$175,FS80+逐级计算!$C$175-(10/(逐级计算!$Q$175*LN(10))*(MAX((LN(10^(逐级计算!$Q$175/10)-1)+逐级计算!$Q$175*(FS80-逐级计算!$P$175)*LN(10)/10),0)+LN(1+EXP(-ABS((LN(10^(逐级计算!$Q$175/10)-1)+逐级计算!$Q$175*(FS80-逐级计算!$P$175)*LN(10)/10))))))),"")</f>
        <v>13.7930365742089</v>
      </c>
      <c r="FU80">
        <f>IF(AND(ISNUMBER(FT80),逐级计算!$X$176&gt;-1),IF(逐级计算!$X$176=0,FT80+逐级计算!$C$176,FT80+逐级计算!$C$176-(10/(逐级计算!$Q$176*LN(10))*(MAX((LN(10^(逐级计算!$Q$176/10)-1)+逐级计算!$Q$176*(FT80-逐级计算!$P$176)*LN(10)/10),0)+LN(1+EXP(-ABS((LN(10^(逐级计算!$Q$176/10)-1)+逐级计算!$Q$176*(FT80-逐级计算!$P$176)*LN(10)/10))))))),"")</f>
        <v>13.7930365742089</v>
      </c>
      <c r="FV80">
        <f>IF(AND(ISNUMBER(FU80),逐级计算!$X$177&gt;-1),IF(逐级计算!$X$177=0,FU80+逐级计算!$C$177,FU80+逐级计算!$C$177-(10/(逐级计算!$Q$177*LN(10))*(MAX((LN(10^(逐级计算!$Q$177/10)-1)+逐级计算!$Q$177*(FU80-逐级计算!$P$177)*LN(10)/10),0)+LN(1+EXP(-ABS((LN(10^(逐级计算!$Q$177/10)-1)+逐级计算!$Q$177*(FU80-逐级计算!$P$177)*LN(10)/10))))))),"")</f>
        <v>13.7930365742089</v>
      </c>
      <c r="FW80">
        <f>IF(AND(ISNUMBER(FV80),逐级计算!$X$178&gt;-1),IF(逐级计算!$X$178=0,FV80+逐级计算!$C$178,FV80+逐级计算!$C$178-(10/(逐级计算!$Q$178*LN(10))*(MAX((LN(10^(逐级计算!$Q$178/10)-1)+逐级计算!$Q$178*(FV80-逐级计算!$P$178)*LN(10)/10),0)+LN(1+EXP(-ABS((LN(10^(逐级计算!$Q$178/10)-1)+逐级计算!$Q$178*(FV80-逐级计算!$P$178)*LN(10)/10))))))),"")</f>
        <v>13.7930365742089</v>
      </c>
      <c r="FX80">
        <f>IF(AND(ISNUMBER(FW80),逐级计算!$X$179&gt;-1),IF(逐级计算!$X$179=0,FW80+逐级计算!$C$179,FW80+逐级计算!$C$179-(10/(逐级计算!$Q$179*LN(10))*(MAX((LN(10^(逐级计算!$Q$179/10)-1)+逐级计算!$Q$179*(FW80-逐级计算!$P$179)*LN(10)/10),0)+LN(1+EXP(-ABS((LN(10^(逐级计算!$Q$179/10)-1)+逐级计算!$Q$179*(FW80-逐级计算!$P$179)*LN(10)/10))))))),"")</f>
        <v>13.7930365742089</v>
      </c>
      <c r="FY80">
        <f>IF(AND(ISNUMBER(FX80),逐级计算!$X$180&gt;-1),IF(逐级计算!$X$180=0,FX80+逐级计算!$C$180,FX80+逐级计算!$C$180-(10/(逐级计算!$Q$180*LN(10))*(MAX((LN(10^(逐级计算!$Q$180/10)-1)+逐级计算!$Q$180*(FX80-逐级计算!$P$180)*LN(10)/10),0)+LN(1+EXP(-ABS((LN(10^(逐级计算!$Q$180/10)-1)+逐级计算!$Q$180*(FX80-逐级计算!$P$180)*LN(10)/10))))))),"")</f>
        <v>13.7930365742089</v>
      </c>
      <c r="FZ80">
        <f>IF(AND(ISNUMBER(FY80),逐级计算!$X$181&gt;-1),IF(逐级计算!$X$181=0,FY80+逐级计算!$C$181,FY80+逐级计算!$C$181-(10/(逐级计算!$Q$181*LN(10))*(MAX((LN(10^(逐级计算!$Q$181/10)-1)+逐级计算!$Q$181*(FY80-逐级计算!$P$181)*LN(10)/10),0)+LN(1+EXP(-ABS((LN(10^(逐级计算!$Q$181/10)-1)+逐级计算!$Q$181*(FY80-逐级计算!$P$181)*LN(10)/10))))))),"")</f>
        <v>13.7930365742089</v>
      </c>
      <c r="GA80">
        <f>IF(AND(ISNUMBER(FZ80),逐级计算!$X$182&gt;-1),IF(逐级计算!$X$182=0,FZ80+逐级计算!$C$182,FZ80+逐级计算!$C$182-(10/(逐级计算!$Q$182*LN(10))*(MAX((LN(10^(逐级计算!$Q$182/10)-1)+逐级计算!$Q$182*(FZ80-逐级计算!$P$182)*LN(10)/10),0)+LN(1+EXP(-ABS((LN(10^(逐级计算!$Q$182/10)-1)+逐级计算!$Q$182*(FZ80-逐级计算!$P$182)*LN(10)/10))))))),"")</f>
        <v>13.7930365742089</v>
      </c>
      <c r="GB80">
        <f>IF(AND(ISNUMBER(GA80),逐级计算!$X$183&gt;-1),IF(逐级计算!$X$183=0,GA80+逐级计算!$C$183,GA80+逐级计算!$C$183-(10/(逐级计算!$Q$183*LN(10))*(MAX((LN(10^(逐级计算!$Q$183/10)-1)+逐级计算!$Q$183*(GA80-逐级计算!$P$183)*LN(10)/10),0)+LN(1+EXP(-ABS((LN(10^(逐级计算!$Q$183/10)-1)+逐级计算!$Q$183*(GA80-逐级计算!$P$183)*LN(10)/10))))))),"")</f>
        <v>13.7930365742089</v>
      </c>
      <c r="GC80">
        <f>IF(AND(ISNUMBER(GB80),逐级计算!$X$184&gt;-1),IF(逐级计算!$X$184=0,GB80+逐级计算!$C$184,GB80+逐级计算!$C$184-(10/(逐级计算!$Q$184*LN(10))*(MAX((LN(10^(逐级计算!$Q$184/10)-1)+逐级计算!$Q$184*(GB80-逐级计算!$P$184)*LN(10)/10),0)+LN(1+EXP(-ABS((LN(10^(逐级计算!$Q$184/10)-1)+逐级计算!$Q$184*(GB80-逐级计算!$P$184)*LN(10)/10))))))),"")</f>
        <v>13.7930365742089</v>
      </c>
      <c r="GD80">
        <f>IF(AND(ISNUMBER(GC80),逐级计算!$X$185&gt;-1),IF(逐级计算!$X$185=0,GC80+逐级计算!$C$185,GC80+逐级计算!$C$185-(10/(逐级计算!$Q$185*LN(10))*(MAX((LN(10^(逐级计算!$Q$185/10)-1)+逐级计算!$Q$185*(GC80-逐级计算!$P$185)*LN(10)/10),0)+LN(1+EXP(-ABS((LN(10^(逐级计算!$Q$185/10)-1)+逐级计算!$Q$185*(GC80-逐级计算!$P$185)*LN(10)/10))))))),"")</f>
        <v>13.7930365742089</v>
      </c>
      <c r="GE80">
        <f>IF(AND(ISNUMBER(GD80),逐级计算!$X$186&gt;-1),IF(逐级计算!$X$186=0,GD80+逐级计算!$C$186,GD80+逐级计算!$C$186-(10/(逐级计算!$Q$186*LN(10))*(MAX((LN(10^(逐级计算!$Q$186/10)-1)+逐级计算!$Q$186*(GD80-逐级计算!$P$186)*LN(10)/10),0)+LN(1+EXP(-ABS((LN(10^(逐级计算!$Q$186/10)-1)+逐级计算!$Q$186*(GD80-逐级计算!$P$186)*LN(10)/10))))))),"")</f>
        <v>13.7930365742089</v>
      </c>
      <c r="GF80">
        <f>IF(AND(ISNUMBER(GE80),逐级计算!$X$187&gt;-1),IF(逐级计算!$X$187=0,GE80+逐级计算!$C$187,GE80+逐级计算!$C$187-(10/(逐级计算!$Q$187*LN(10))*(MAX((LN(10^(逐级计算!$Q$187/10)-1)+逐级计算!$Q$187*(GE80-逐级计算!$P$187)*LN(10)/10),0)+LN(1+EXP(-ABS((LN(10^(逐级计算!$Q$187/10)-1)+逐级计算!$Q$187*(GE80-逐级计算!$P$187)*LN(10)/10))))))),"")</f>
        <v>13.7930365742089</v>
      </c>
      <c r="GG80">
        <f>IF(AND(ISNUMBER(GF80),逐级计算!$X$188&gt;-1),IF(逐级计算!$X$188=0,GF80+逐级计算!$C$188,GF80+逐级计算!$C$188-(10/(逐级计算!$Q$188*LN(10))*(MAX((LN(10^(逐级计算!$Q$188/10)-1)+逐级计算!$Q$188*(GF80-逐级计算!$P$188)*LN(10)/10),0)+LN(1+EXP(-ABS((LN(10^(逐级计算!$Q$188/10)-1)+逐级计算!$Q$188*(GF80-逐级计算!$P$188)*LN(10)/10))))))),"")</f>
        <v>13.7930365742089</v>
      </c>
      <c r="GH80">
        <f>IF(AND(ISNUMBER(GG80),逐级计算!$X$189&gt;-1),IF(逐级计算!$X$189=0,GG80+逐级计算!$C$189,GG80+逐级计算!$C$189-(10/(逐级计算!$Q$189*LN(10))*(MAX((LN(10^(逐级计算!$Q$189/10)-1)+逐级计算!$Q$189*(GG80-逐级计算!$P$189)*LN(10)/10),0)+LN(1+EXP(-ABS((LN(10^(逐级计算!$Q$189/10)-1)+逐级计算!$Q$189*(GG80-逐级计算!$P$189)*LN(10)/10))))))),"")</f>
        <v>13.7930365742089</v>
      </c>
      <c r="GI80">
        <f>IF(AND(ISNUMBER(GH80),逐级计算!$X$190&gt;-1),IF(逐级计算!$X$190=0,GH80+逐级计算!$C$190,GH80+逐级计算!$C$190-(10/(逐级计算!$Q$190*LN(10))*(MAX((LN(10^(逐级计算!$Q$190/10)-1)+逐级计算!$Q$190*(GH80-逐级计算!$P$190)*LN(10)/10),0)+LN(1+EXP(-ABS((LN(10^(逐级计算!$Q$190/10)-1)+逐级计算!$Q$190*(GH80-逐级计算!$P$190)*LN(10)/10))))))),"")</f>
        <v>13.7930365742089</v>
      </c>
      <c r="GJ80">
        <f>IF(AND(ISNUMBER(GI80),逐级计算!$X$191&gt;-1),IF(逐级计算!$X$191=0,GI80+逐级计算!$C$191,GI80+逐级计算!$C$191-(10/(逐级计算!$Q$191*LN(10))*(MAX((LN(10^(逐级计算!$Q$191/10)-1)+逐级计算!$Q$191*(GI80-逐级计算!$P$191)*LN(10)/10),0)+LN(1+EXP(-ABS((LN(10^(逐级计算!$Q$191/10)-1)+逐级计算!$Q$191*(GI80-逐级计算!$P$191)*LN(10)/10))))))),"")</f>
        <v>13.7930365742089</v>
      </c>
      <c r="GK80">
        <f>IF(AND(ISNUMBER(GJ80),逐级计算!$X$192&gt;-1),IF(逐级计算!$X$192=0,GJ80+逐级计算!$C$192,GJ80+逐级计算!$C$192-(10/(逐级计算!$Q$192*LN(10))*(MAX((LN(10^(逐级计算!$Q$192/10)-1)+逐级计算!$Q$192*(GJ80-逐级计算!$P$192)*LN(10)/10),0)+LN(1+EXP(-ABS((LN(10^(逐级计算!$Q$192/10)-1)+逐级计算!$Q$192*(GJ80-逐级计算!$P$192)*LN(10)/10))))))),"")</f>
        <v>13.7930365742089</v>
      </c>
      <c r="GL80">
        <f>IF(AND(ISNUMBER(GK80),逐级计算!$X$193&gt;-1),IF(逐级计算!$X$193=0,GK80+逐级计算!$C$193,GK80+逐级计算!$C$193-(10/(逐级计算!$Q$193*LN(10))*(MAX((LN(10^(逐级计算!$Q$193/10)-1)+逐级计算!$Q$193*(GK80-逐级计算!$P$193)*LN(10)/10),0)+LN(1+EXP(-ABS((LN(10^(逐级计算!$Q$193/10)-1)+逐级计算!$Q$193*(GK80-逐级计算!$P$193)*LN(10)/10))))))),"")</f>
        <v>13.7930365742089</v>
      </c>
      <c r="GM80">
        <f>IF(AND(ISNUMBER(GL80),逐级计算!$X$194&gt;-1),IF(逐级计算!$X$194=0,GL80+逐级计算!$C$194,GL80+逐级计算!$C$194-(10/(逐级计算!$Q$194*LN(10))*(MAX((LN(10^(逐级计算!$Q$194/10)-1)+逐级计算!$Q$194*(GL80-逐级计算!$P$194)*LN(10)/10),0)+LN(1+EXP(-ABS((LN(10^(逐级计算!$Q$194/10)-1)+逐级计算!$Q$194*(GL80-逐级计算!$P$194)*LN(10)/10))))))),"")</f>
        <v>13.7930365742089</v>
      </c>
      <c r="GN80">
        <f>IF(AND(ISNUMBER(GM80),逐级计算!$X$195&gt;-1),IF(逐级计算!$X$195=0,GM80+逐级计算!$C$195,GM80+逐级计算!$C$195-(10/(逐级计算!$Q$195*LN(10))*(MAX((LN(10^(逐级计算!$Q$195/10)-1)+逐级计算!$Q$195*(GM80-逐级计算!$P$195)*LN(10)/10),0)+LN(1+EXP(-ABS((LN(10^(逐级计算!$Q$195/10)-1)+逐级计算!$Q$195*(GM80-逐级计算!$P$195)*LN(10)/10))))))),"")</f>
        <v>13.7930365742089</v>
      </c>
      <c r="GO80">
        <f>IF(AND(ISNUMBER(GN80),逐级计算!$X$196&gt;-1),IF(逐级计算!$X$196=0,GN80+逐级计算!$C$196,GN80+逐级计算!$C$196-(10/(逐级计算!$Q$196*LN(10))*(MAX((LN(10^(逐级计算!$Q$196/10)-1)+逐级计算!$Q$196*(GN80-逐级计算!$P$196)*LN(10)/10),0)+LN(1+EXP(-ABS((LN(10^(逐级计算!$Q$196/10)-1)+逐级计算!$Q$196*(GN80-逐级计算!$P$196)*LN(10)/10))))))),"")</f>
        <v>13.7930365742089</v>
      </c>
      <c r="GP80">
        <f>IF(AND(ISNUMBER(GO80),逐级计算!$X$197&gt;-1),IF(逐级计算!$X$197=0,GO80+逐级计算!$C$197,GO80+逐级计算!$C$197-(10/(逐级计算!$Q$197*LN(10))*(MAX((LN(10^(逐级计算!$Q$197/10)-1)+逐级计算!$Q$197*(GO80-逐级计算!$P$197)*LN(10)/10),0)+LN(1+EXP(-ABS((LN(10^(逐级计算!$Q$197/10)-1)+逐级计算!$Q$197*(GO80-逐级计算!$P$197)*LN(10)/10))))))),"")</f>
        <v>13.7930365742089</v>
      </c>
      <c r="GQ80">
        <f>IF(AND(ISNUMBER(GP80),逐级计算!$X$198&gt;-1),IF(逐级计算!$X$198=0,GP80+逐级计算!$C$198,GP80+逐级计算!$C$198-(10/(逐级计算!$Q$198*LN(10))*(MAX((LN(10^(逐级计算!$Q$198/10)-1)+逐级计算!$Q$198*(GP80-逐级计算!$P$198)*LN(10)/10),0)+LN(1+EXP(-ABS((LN(10^(逐级计算!$Q$198/10)-1)+逐级计算!$Q$198*(GP80-逐级计算!$P$198)*LN(10)/10))))))),"")</f>
        <v>13.7930365742089</v>
      </c>
      <c r="GR80">
        <f>IF(AND(ISNUMBER(GQ80),逐级计算!$X$199&gt;-1),IF(逐级计算!$X$199=0,GQ80+逐级计算!$C$199,GQ80+逐级计算!$C$199-(10/(逐级计算!$Q$199*LN(10))*(MAX((LN(10^(逐级计算!$Q$199/10)-1)+逐级计算!$Q$199*(GQ80-逐级计算!$P$199)*LN(10)/10),0)+LN(1+EXP(-ABS((LN(10^(逐级计算!$Q$199/10)-1)+逐级计算!$Q$199*(GQ80-逐级计算!$P$199)*LN(10)/10))))))),"")</f>
        <v>13.7930365742089</v>
      </c>
      <c r="GS80">
        <f>IF(AND(ISNUMBER(GR80),逐级计算!$X$200&gt;-1),IF(逐级计算!$X$200=0,GR80+逐级计算!$C$200,GR80+逐级计算!$C$200-(10/(逐级计算!$Q$200*LN(10))*(MAX((LN(10^(逐级计算!$Q$200/10)-1)+逐级计算!$Q$200*(GR80-逐级计算!$P$200)*LN(10)/10),0)+LN(1+EXP(-ABS((LN(10^(逐级计算!$Q$200/10)-1)+逐级计算!$Q$200*(GR80-逐级计算!$P$200)*LN(10)/10))))))),"")</f>
        <v>13.7930365742089</v>
      </c>
      <c r="GT80">
        <f>IF(AND(ISNUMBER(GS80),逐级计算!$X$201&gt;-1),IF(逐级计算!$X$201=0,GS80+逐级计算!$C$201,GS80+逐级计算!$C$201-(10/(逐级计算!$Q$201*LN(10))*(MAX((LN(10^(逐级计算!$Q$201/10)-1)+逐级计算!$Q$201*(GS80-逐级计算!$P$201)*LN(10)/10),0)+LN(1+EXP(-ABS((LN(10^(逐级计算!$Q$201/10)-1)+逐级计算!$Q$201*(GS80-逐级计算!$P$201)*LN(10)/10))))))),"")</f>
        <v>13.7930365742089</v>
      </c>
      <c r="GU80">
        <f>IF(AND(ISNUMBER(GT80),逐级计算!$X$202&gt;-1),IF(逐级计算!$X$202=0,GT80+逐级计算!$C$202,GT80+逐级计算!$C$202-(10/(逐级计算!$Q$202*LN(10))*(MAX((LN(10^(逐级计算!$Q$202/10)-1)+逐级计算!$Q$202*(GT80-逐级计算!$P$202)*LN(10)/10),0)+LN(1+EXP(-ABS((LN(10^(逐级计算!$Q$202/10)-1)+逐级计算!$Q$202*(GT80-逐级计算!$P$202)*LN(10)/10))))))),"")</f>
        <v>13.7930365742089</v>
      </c>
      <c r="GV80">
        <f>IF(AND(ISNUMBER(GU80),逐级计算!$X$203&gt;-1),IF(逐级计算!$X$203=0,GU80+逐级计算!$C$203,GU80+逐级计算!$C$203-(10/(逐级计算!$Q$203*LN(10))*(MAX((LN(10^(逐级计算!$Q$203/10)-1)+逐级计算!$Q$203*(GU80-逐级计算!$P$203)*LN(10)/10),0)+LN(1+EXP(-ABS((LN(10^(逐级计算!$Q$203/10)-1)+逐级计算!$Q$203*(GU80-逐级计算!$P$203)*LN(10)/10))))))),"")</f>
        <v>13.7930365742089</v>
      </c>
      <c r="GW80">
        <f t="shared" si="5"/>
        <v>-5.20696342579112</v>
      </c>
    </row>
    <row r="81" spans="1:205">
      <c r="A81">
        <v>74</v>
      </c>
      <c r="B81">
        <f t="shared" si="4"/>
        <v>-5.20696342579112</v>
      </c>
      <c r="C81">
        <f t="shared" si="3"/>
        <v>-5.20696342579112</v>
      </c>
      <c r="D81">
        <f>IF(AND(ISNUMBER(C81),ISNUMBER(逐级计算!$E$203),ISNUMBER(GV81)),C81+逐级计算!$E$203-GV81,"")</f>
        <v>1</v>
      </c>
      <c r="E81">
        <f>IF(AND(ISNUMBER(C81),逐级计算!$X$4&gt;-1),IF(逐级计算!$X$4=0,C81+逐级计算!$C$4,C81+逐级计算!$C$4-(10/(逐级计算!$Q$4*LN(10))*(MAX((LN(10^(逐级计算!$Q$4/10)-1)+逐级计算!$Q$4*(C81-逐级计算!$P$4)*LN(10)/10),0)+LN(1+EXP(-ABS((LN(10^(逐级计算!$Q$4/10)-1)+逐级计算!$Q$4*(C81-逐级计算!$P$4)*LN(10)/10))))))),"")</f>
        <v>4.68053982928311</v>
      </c>
      <c r="F81">
        <f>IF(AND(ISNUMBER(E81),逐级计算!$X$5&gt;-1),IF(逐级计算!$X$5=0,E81+逐级计算!$C$5,E81+逐级计算!$C$5-(10/(逐级计算!$Q$5*LN(10))*(MAX((LN(10^(逐级计算!$Q$5/10)-1)+逐级计算!$Q$5*(E81-逐级计算!$P$5)*LN(10)/10),0)+LN(1+EXP(-ABS((LN(10^(逐级计算!$Q$5/10)-1)+逐级计算!$Q$5*(E81-逐级计算!$P$5)*LN(10)/10))))))),"")</f>
        <v>13.7930365742089</v>
      </c>
      <c r="G81">
        <f>IF(AND(ISNUMBER(F81),逐级计算!$X$6&gt;-1),IF(逐级计算!$X$6=0,F81+逐级计算!$C$6,F81+逐级计算!$C$6-(10/(逐级计算!$Q$6*LN(10))*(MAX((LN(10^(逐级计算!$Q$6/10)-1)+逐级计算!$Q$6*(F81-逐级计算!$P$6)*LN(10)/10),0)+LN(1+EXP(-ABS((LN(10^(逐级计算!$Q$6/10)-1)+逐级计算!$Q$6*(F81-逐级计算!$P$6)*LN(10)/10))))))),"")</f>
        <v>13.7930365742089</v>
      </c>
      <c r="H81">
        <f>IF(AND(ISNUMBER(G81),逐级计算!$X$7&gt;-1),IF(逐级计算!$X$7=0,G81+逐级计算!$C$7,G81+逐级计算!$C$7-(10/(逐级计算!$Q$7*LN(10))*(MAX((LN(10^(逐级计算!$Q$7/10)-1)+逐级计算!$Q$7*(G81-逐级计算!$P$7)*LN(10)/10),0)+LN(1+EXP(-ABS((LN(10^(逐级计算!$Q$7/10)-1)+逐级计算!$Q$7*(G81-逐级计算!$P$7)*LN(10)/10))))))),"")</f>
        <v>13.7930365742089</v>
      </c>
      <c r="I81">
        <f>IF(AND(ISNUMBER(H81),逐级计算!$X$8&gt;-1),IF(逐级计算!$X$8=0,H81+逐级计算!$C$8,H81+逐级计算!$C$8-(10/(逐级计算!$Q$8*LN(10))*(MAX((LN(10^(逐级计算!$Q$8/10)-1)+逐级计算!$Q$8*(H81-逐级计算!$P$8)*LN(10)/10),0)+LN(1+EXP(-ABS((LN(10^(逐级计算!$Q$8/10)-1)+逐级计算!$Q$8*(H81-逐级计算!$P$8)*LN(10)/10))))))),"")</f>
        <v>13.7930365742089</v>
      </c>
      <c r="J81">
        <f>IF(AND(ISNUMBER(I81),逐级计算!$X$9&gt;-1),IF(逐级计算!$X$9=0,I81+逐级计算!$C$9,I81+逐级计算!$C$9-(10/(逐级计算!$Q$9*LN(10))*(MAX((LN(10^(逐级计算!$Q$9/10)-1)+逐级计算!$Q$9*(I81-逐级计算!$P$9)*LN(10)/10),0)+LN(1+EXP(-ABS((LN(10^(逐级计算!$Q$9/10)-1)+逐级计算!$Q$9*(I81-逐级计算!$P$9)*LN(10)/10))))))),"")</f>
        <v>13.7930365742089</v>
      </c>
      <c r="K81">
        <f>IF(AND(ISNUMBER(J81),逐级计算!$X$10&gt;-1),IF(逐级计算!$X$10=0,J81+逐级计算!$C$10,J81+逐级计算!$C$10-(10/(逐级计算!$Q$10*LN(10))*(MAX((LN(10^(逐级计算!$Q$10/10)-1)+逐级计算!$Q$10*(J81-逐级计算!$P$10)*LN(10)/10),0)+LN(1+EXP(-ABS((LN(10^(逐级计算!$Q$10/10)-1)+逐级计算!$Q$10*(J81-逐级计算!$P$10)*LN(10)/10))))))),"")</f>
        <v>13.7930365742089</v>
      </c>
      <c r="L81">
        <f>IF(AND(ISNUMBER(K81),逐级计算!$X$11&gt;-1),IF(逐级计算!$X$11=0,K81+逐级计算!$C$11,K81+逐级计算!$C$11-(10/(逐级计算!$Q$11*LN(10))*(MAX((LN(10^(逐级计算!$Q$11/10)-1)+逐级计算!$Q$11*(K81-逐级计算!$P$11)*LN(10)/10),0)+LN(1+EXP(-ABS((LN(10^(逐级计算!$Q$11/10)-1)+逐级计算!$Q$11*(K81-逐级计算!$P$11)*LN(10)/10))))))),"")</f>
        <v>13.7930365742089</v>
      </c>
      <c r="M81">
        <f>IF(AND(ISNUMBER(L81),逐级计算!$X$12&gt;-1),IF(逐级计算!$X$12=0,L81+逐级计算!$C$12,L81+逐级计算!$C$12-(10/(逐级计算!$Q$12*LN(10))*(MAX((LN(10^(逐级计算!$Q$12/10)-1)+逐级计算!$Q$12*(L81-逐级计算!$P$12)*LN(10)/10),0)+LN(1+EXP(-ABS((LN(10^(逐级计算!$Q$12/10)-1)+逐级计算!$Q$12*(L81-逐级计算!$P$12)*LN(10)/10))))))),"")</f>
        <v>13.7930365742089</v>
      </c>
      <c r="N81">
        <f>IF(AND(ISNUMBER(M81),逐级计算!$X$13&gt;-1),IF(逐级计算!$X$13=0,M81+逐级计算!$C$13,M81+逐级计算!$C$13-(10/(逐级计算!$Q$13*LN(10))*(MAX((LN(10^(逐级计算!$Q$13/10)-1)+逐级计算!$Q$13*(M81-逐级计算!$P$13)*LN(10)/10),0)+LN(1+EXP(-ABS((LN(10^(逐级计算!$Q$13/10)-1)+逐级计算!$Q$13*(M81-逐级计算!$P$13)*LN(10)/10))))))),"")</f>
        <v>13.7930365742089</v>
      </c>
      <c r="O81">
        <f>IF(AND(ISNUMBER(N81),逐级计算!$X$14&gt;-1),IF(逐级计算!$X$14=0,N81+逐级计算!$C$14,N81+逐级计算!$C$14-(10/(逐级计算!$Q$14*LN(10))*(MAX((LN(10^(逐级计算!$Q$14/10)-1)+逐级计算!$Q$14*(N81-逐级计算!$P$14)*LN(10)/10),0)+LN(1+EXP(-ABS((LN(10^(逐级计算!$Q$14/10)-1)+逐级计算!$Q$14*(N81-逐级计算!$P$14)*LN(10)/10))))))),"")</f>
        <v>13.7930365742089</v>
      </c>
      <c r="P81">
        <f>IF(AND(ISNUMBER(O81),逐级计算!$X$15&gt;-1),IF(逐级计算!$X$15=0,O81+逐级计算!$C$15,O81+逐级计算!$C$15-(10/(逐级计算!$Q$15*LN(10))*(MAX((LN(10^(逐级计算!$Q$15/10)-1)+逐级计算!$Q$15*(O81-逐级计算!$P$15)*LN(10)/10),0)+LN(1+EXP(-ABS((LN(10^(逐级计算!$Q$15/10)-1)+逐级计算!$Q$15*(O81-逐级计算!$P$15)*LN(10)/10))))))),"")</f>
        <v>13.7930365742089</v>
      </c>
      <c r="Q81">
        <f>IF(AND(ISNUMBER(P81),逐级计算!$X$16&gt;-1),IF(逐级计算!$X$16=0,P81+逐级计算!$C$16,P81+逐级计算!$C$16-(10/(逐级计算!$Q$16*LN(10))*(MAX((LN(10^(逐级计算!$Q$16/10)-1)+逐级计算!$Q$16*(P81-逐级计算!$P$16)*LN(10)/10),0)+LN(1+EXP(-ABS((LN(10^(逐级计算!$Q$16/10)-1)+逐级计算!$Q$16*(P81-逐级计算!$P$16)*LN(10)/10))))))),"")</f>
        <v>13.7930365742089</v>
      </c>
      <c r="R81">
        <f>IF(AND(ISNUMBER(Q81),逐级计算!$X$17&gt;-1),IF(逐级计算!$X$17=0,Q81+逐级计算!$C$17,Q81+逐级计算!$C$17-(10/(逐级计算!$Q$17*LN(10))*(MAX((LN(10^(逐级计算!$Q$17/10)-1)+逐级计算!$Q$17*(Q81-逐级计算!$P$17)*LN(10)/10),0)+LN(1+EXP(-ABS((LN(10^(逐级计算!$Q$17/10)-1)+逐级计算!$Q$17*(Q81-逐级计算!$P$17)*LN(10)/10))))))),"")</f>
        <v>13.7930365742089</v>
      </c>
      <c r="S81">
        <f>IF(AND(ISNUMBER(R81),逐级计算!$X$18&gt;-1),IF(逐级计算!$X$18=0,R81+逐级计算!$C$18,R81+逐级计算!$C$18-(10/(逐级计算!$Q$18*LN(10))*(MAX((LN(10^(逐级计算!$Q$18/10)-1)+逐级计算!$Q$18*(R81-逐级计算!$P$18)*LN(10)/10),0)+LN(1+EXP(-ABS((LN(10^(逐级计算!$Q$18/10)-1)+逐级计算!$Q$18*(R81-逐级计算!$P$18)*LN(10)/10))))))),"")</f>
        <v>13.7930365742089</v>
      </c>
      <c r="T81">
        <f>IF(AND(ISNUMBER(S81),逐级计算!$X$19&gt;-1),IF(逐级计算!$X$19=0,S81+逐级计算!$C$19,S81+逐级计算!$C$19-(10/(逐级计算!$Q$19*LN(10))*(MAX((LN(10^(逐级计算!$Q$19/10)-1)+逐级计算!$Q$19*(S81-逐级计算!$P$19)*LN(10)/10),0)+LN(1+EXP(-ABS((LN(10^(逐级计算!$Q$19/10)-1)+逐级计算!$Q$19*(S81-逐级计算!$P$19)*LN(10)/10))))))),"")</f>
        <v>13.7930365742089</v>
      </c>
      <c r="U81">
        <f>IF(AND(ISNUMBER(T81),逐级计算!$X$20&gt;-1),IF(逐级计算!$X$20=0,T81+逐级计算!$C$20,T81+逐级计算!$C$20-(10/(逐级计算!$Q$20*LN(10))*(MAX((LN(10^(逐级计算!$Q$20/10)-1)+逐级计算!$Q$20*(T81-逐级计算!$P$20)*LN(10)/10),0)+LN(1+EXP(-ABS((LN(10^(逐级计算!$Q$20/10)-1)+逐级计算!$Q$20*(T81-逐级计算!$P$20)*LN(10)/10))))))),"")</f>
        <v>13.7930365742089</v>
      </c>
      <c r="V81">
        <f>IF(AND(ISNUMBER(U81),逐级计算!$X$21&gt;-1),IF(逐级计算!$X$21=0,U81+逐级计算!$C$21,U81+逐级计算!$C$21-(10/(逐级计算!$Q$21*LN(10))*(MAX((LN(10^(逐级计算!$Q$21/10)-1)+逐级计算!$Q$21*(U81-逐级计算!$P$21)*LN(10)/10),0)+LN(1+EXP(-ABS((LN(10^(逐级计算!$Q$21/10)-1)+逐级计算!$Q$21*(U81-逐级计算!$P$21)*LN(10)/10))))))),"")</f>
        <v>13.7930365742089</v>
      </c>
      <c r="W81">
        <f>IF(AND(ISNUMBER(V81),逐级计算!$X$22&gt;-1),IF(逐级计算!$X$22=0,V81+逐级计算!$C$22,V81+逐级计算!$C$22-(10/(逐级计算!$Q$22*LN(10))*(MAX((LN(10^(逐级计算!$Q$22/10)-1)+逐级计算!$Q$22*(V81-逐级计算!$P$22)*LN(10)/10),0)+LN(1+EXP(-ABS((LN(10^(逐级计算!$Q$22/10)-1)+逐级计算!$Q$22*(V81-逐级计算!$P$22)*LN(10)/10))))))),"")</f>
        <v>13.7930365742089</v>
      </c>
      <c r="X81">
        <f>IF(AND(ISNUMBER(W81),逐级计算!$X$23&gt;-1),IF(逐级计算!$X$23=0,W81+逐级计算!$C$23,W81+逐级计算!$C$23-(10/(逐级计算!$Q$23*LN(10))*(MAX((LN(10^(逐级计算!$Q$23/10)-1)+逐级计算!$Q$23*(W81-逐级计算!$P$23)*LN(10)/10),0)+LN(1+EXP(-ABS((LN(10^(逐级计算!$Q$23/10)-1)+逐级计算!$Q$23*(W81-逐级计算!$P$23)*LN(10)/10))))))),"")</f>
        <v>13.7930365742089</v>
      </c>
      <c r="Y81">
        <f>IF(AND(ISNUMBER(X81),逐级计算!$X$24&gt;-1),IF(逐级计算!$X$24=0,X81+逐级计算!$C$24,X81+逐级计算!$C$24-(10/(逐级计算!$Q$24*LN(10))*(MAX((LN(10^(逐级计算!$Q$24/10)-1)+逐级计算!$Q$24*(X81-逐级计算!$P$24)*LN(10)/10),0)+LN(1+EXP(-ABS((LN(10^(逐级计算!$Q$24/10)-1)+逐级计算!$Q$24*(X81-逐级计算!$P$24)*LN(10)/10))))))),"")</f>
        <v>13.7930365742089</v>
      </c>
      <c r="Z81">
        <f>IF(AND(ISNUMBER(Y81),逐级计算!$X$25&gt;-1),IF(逐级计算!$X$25=0,Y81+逐级计算!$C$25,Y81+逐级计算!$C$25-(10/(逐级计算!$Q$25*LN(10))*(MAX((LN(10^(逐级计算!$Q$25/10)-1)+逐级计算!$Q$25*(Y81-逐级计算!$P$25)*LN(10)/10),0)+LN(1+EXP(-ABS((LN(10^(逐级计算!$Q$25/10)-1)+逐级计算!$Q$25*(Y81-逐级计算!$P$25)*LN(10)/10))))))),"")</f>
        <v>13.7930365742089</v>
      </c>
      <c r="AA81">
        <f>IF(AND(ISNUMBER(Z81),逐级计算!$X$26&gt;-1),IF(逐级计算!$X$26=0,Z81+逐级计算!$C$26,Z81+逐级计算!$C$26-(10/(逐级计算!$Q$26*LN(10))*(MAX((LN(10^(逐级计算!$Q$26/10)-1)+逐级计算!$Q$26*(Z81-逐级计算!$P$26)*LN(10)/10),0)+LN(1+EXP(-ABS((LN(10^(逐级计算!$Q$26/10)-1)+逐级计算!$Q$26*(Z81-逐级计算!$P$26)*LN(10)/10))))))),"")</f>
        <v>13.7930365742089</v>
      </c>
      <c r="AB81">
        <f>IF(AND(ISNUMBER(AA81),逐级计算!$X$27&gt;-1),IF(逐级计算!$X$27=0,AA81+逐级计算!$C$27,AA81+逐级计算!$C$27-(10/(逐级计算!$Q$27*LN(10))*(MAX((LN(10^(逐级计算!$Q$27/10)-1)+逐级计算!$Q$27*(AA81-逐级计算!$P$27)*LN(10)/10),0)+LN(1+EXP(-ABS((LN(10^(逐级计算!$Q$27/10)-1)+逐级计算!$Q$27*(AA81-逐级计算!$P$27)*LN(10)/10))))))),"")</f>
        <v>13.7930365742089</v>
      </c>
      <c r="AC81">
        <f>IF(AND(ISNUMBER(AB81),逐级计算!$X$28&gt;-1),IF(逐级计算!$X$28=0,AB81+逐级计算!$C$28,AB81+逐级计算!$C$28-(10/(逐级计算!$Q$28*LN(10))*(MAX((LN(10^(逐级计算!$Q$28/10)-1)+逐级计算!$Q$28*(AB81-逐级计算!$P$28)*LN(10)/10),0)+LN(1+EXP(-ABS((LN(10^(逐级计算!$Q$28/10)-1)+逐级计算!$Q$28*(AB81-逐级计算!$P$28)*LN(10)/10))))))),"")</f>
        <v>13.7930365742089</v>
      </c>
      <c r="AD81">
        <f>IF(AND(ISNUMBER(AC81),逐级计算!$X$29&gt;-1),IF(逐级计算!$X$29=0,AC81+逐级计算!$C$29,AC81+逐级计算!$C$29-(10/(逐级计算!$Q$29*LN(10))*(MAX((LN(10^(逐级计算!$Q$29/10)-1)+逐级计算!$Q$29*(AC81-逐级计算!$P$29)*LN(10)/10),0)+LN(1+EXP(-ABS((LN(10^(逐级计算!$Q$29/10)-1)+逐级计算!$Q$29*(AC81-逐级计算!$P$29)*LN(10)/10))))))),"")</f>
        <v>13.7930365742089</v>
      </c>
      <c r="AE81">
        <f>IF(AND(ISNUMBER(AD81),逐级计算!$X$30&gt;-1),IF(逐级计算!$X$30=0,AD81+逐级计算!$C$30,AD81+逐级计算!$C$30-(10/(逐级计算!$Q$30*LN(10))*(MAX((LN(10^(逐级计算!$Q$30/10)-1)+逐级计算!$Q$30*(AD81-逐级计算!$P$30)*LN(10)/10),0)+LN(1+EXP(-ABS((LN(10^(逐级计算!$Q$30/10)-1)+逐级计算!$Q$30*(AD81-逐级计算!$P$30)*LN(10)/10))))))),"")</f>
        <v>13.7930365742089</v>
      </c>
      <c r="AF81">
        <f>IF(AND(ISNUMBER(AE81),逐级计算!$X$31&gt;-1),IF(逐级计算!$X$31=0,AE81+逐级计算!$C$31,AE81+逐级计算!$C$31-(10/(逐级计算!$Q$31*LN(10))*(MAX((LN(10^(逐级计算!$Q$31/10)-1)+逐级计算!$Q$31*(AE81-逐级计算!$P$31)*LN(10)/10),0)+LN(1+EXP(-ABS((LN(10^(逐级计算!$Q$31/10)-1)+逐级计算!$Q$31*(AE81-逐级计算!$P$31)*LN(10)/10))))))),"")</f>
        <v>13.7930365742089</v>
      </c>
      <c r="AG81">
        <f>IF(AND(ISNUMBER(AF81),逐级计算!$X$32&gt;-1),IF(逐级计算!$X$32=0,AF81+逐级计算!$C$32,AF81+逐级计算!$C$32-(10/(逐级计算!$Q$32*LN(10))*(MAX((LN(10^(逐级计算!$Q$32/10)-1)+逐级计算!$Q$32*(AF81-逐级计算!$P$32)*LN(10)/10),0)+LN(1+EXP(-ABS((LN(10^(逐级计算!$Q$32/10)-1)+逐级计算!$Q$32*(AF81-逐级计算!$P$32)*LN(10)/10))))))),"")</f>
        <v>13.7930365742089</v>
      </c>
      <c r="AH81">
        <f>IF(AND(ISNUMBER(AG81),逐级计算!$X$33&gt;-1),IF(逐级计算!$X$33=0,AG81+逐级计算!$C$33,AG81+逐级计算!$C$33-(10/(逐级计算!$Q$33*LN(10))*(MAX((LN(10^(逐级计算!$Q$33/10)-1)+逐级计算!$Q$33*(AG81-逐级计算!$P$33)*LN(10)/10),0)+LN(1+EXP(-ABS((LN(10^(逐级计算!$Q$33/10)-1)+逐级计算!$Q$33*(AG81-逐级计算!$P$33)*LN(10)/10))))))),"")</f>
        <v>13.7930365742089</v>
      </c>
      <c r="AI81">
        <f>IF(AND(ISNUMBER(AH81),逐级计算!$X$34&gt;-1),IF(逐级计算!$X$34=0,AH81+逐级计算!$C$34,AH81+逐级计算!$C$34-(10/(逐级计算!$Q$34*LN(10))*(MAX((LN(10^(逐级计算!$Q$34/10)-1)+逐级计算!$Q$34*(AH81-逐级计算!$P$34)*LN(10)/10),0)+LN(1+EXP(-ABS((LN(10^(逐级计算!$Q$34/10)-1)+逐级计算!$Q$34*(AH81-逐级计算!$P$34)*LN(10)/10))))))),"")</f>
        <v>13.7930365742089</v>
      </c>
      <c r="AJ81">
        <f>IF(AND(ISNUMBER(AI81),逐级计算!$X$35&gt;-1),IF(逐级计算!$X$35=0,AI81+逐级计算!$C$35,AI81+逐级计算!$C$35-(10/(逐级计算!$Q$35*LN(10))*(MAX((LN(10^(逐级计算!$Q$35/10)-1)+逐级计算!$Q$35*(AI81-逐级计算!$P$35)*LN(10)/10),0)+LN(1+EXP(-ABS((LN(10^(逐级计算!$Q$35/10)-1)+逐级计算!$Q$35*(AI81-逐级计算!$P$35)*LN(10)/10))))))),"")</f>
        <v>13.7930365742089</v>
      </c>
      <c r="AK81">
        <f>IF(AND(ISNUMBER(AJ81),逐级计算!$X$36&gt;-1),IF(逐级计算!$X$36=0,AJ81+逐级计算!$C$36,AJ81+逐级计算!$C$36-(10/(逐级计算!$Q$36*LN(10))*(MAX((LN(10^(逐级计算!$Q$36/10)-1)+逐级计算!$Q$36*(AJ81-逐级计算!$P$36)*LN(10)/10),0)+LN(1+EXP(-ABS((LN(10^(逐级计算!$Q$36/10)-1)+逐级计算!$Q$36*(AJ81-逐级计算!$P$36)*LN(10)/10))))))),"")</f>
        <v>13.7930365742089</v>
      </c>
      <c r="AL81">
        <f>IF(AND(ISNUMBER(AK81),逐级计算!$X$37&gt;-1),IF(逐级计算!$X$37=0,AK81+逐级计算!$C$37,AK81+逐级计算!$C$37-(10/(逐级计算!$Q$37*LN(10))*(MAX((LN(10^(逐级计算!$Q$37/10)-1)+逐级计算!$Q$37*(AK81-逐级计算!$P$37)*LN(10)/10),0)+LN(1+EXP(-ABS((LN(10^(逐级计算!$Q$37/10)-1)+逐级计算!$Q$37*(AK81-逐级计算!$P$37)*LN(10)/10))))))),"")</f>
        <v>13.7930365742089</v>
      </c>
      <c r="AM81">
        <f>IF(AND(ISNUMBER(AL81),逐级计算!$X$38&gt;-1),IF(逐级计算!$X$38=0,AL81+逐级计算!$C$38,AL81+逐级计算!$C$38-(10/(逐级计算!$Q$38*LN(10))*(MAX((LN(10^(逐级计算!$Q$38/10)-1)+逐级计算!$Q$38*(AL81-逐级计算!$P$38)*LN(10)/10),0)+LN(1+EXP(-ABS((LN(10^(逐级计算!$Q$38/10)-1)+逐级计算!$Q$38*(AL81-逐级计算!$P$38)*LN(10)/10))))))),"")</f>
        <v>13.7930365742089</v>
      </c>
      <c r="AN81">
        <f>IF(AND(ISNUMBER(AM81),逐级计算!$X$39&gt;-1),IF(逐级计算!$X$39=0,AM81+逐级计算!$C$39,AM81+逐级计算!$C$39-(10/(逐级计算!$Q$39*LN(10))*(MAX((LN(10^(逐级计算!$Q$39/10)-1)+逐级计算!$Q$39*(AM81-逐级计算!$P$39)*LN(10)/10),0)+LN(1+EXP(-ABS((LN(10^(逐级计算!$Q$39/10)-1)+逐级计算!$Q$39*(AM81-逐级计算!$P$39)*LN(10)/10))))))),"")</f>
        <v>13.7930365742089</v>
      </c>
      <c r="AO81">
        <f>IF(AND(ISNUMBER(AN81),逐级计算!$X$40&gt;-1),IF(逐级计算!$X$40=0,AN81+逐级计算!$C$40,AN81+逐级计算!$C$40-(10/(逐级计算!$Q$40*LN(10))*(MAX((LN(10^(逐级计算!$Q$40/10)-1)+逐级计算!$Q$40*(AN81-逐级计算!$P$40)*LN(10)/10),0)+LN(1+EXP(-ABS((LN(10^(逐级计算!$Q$40/10)-1)+逐级计算!$Q$40*(AN81-逐级计算!$P$40)*LN(10)/10))))))),"")</f>
        <v>13.7930365742089</v>
      </c>
      <c r="AP81">
        <f>IF(AND(ISNUMBER(AO81),逐级计算!$X$41&gt;-1),IF(逐级计算!$X$41=0,AO81+逐级计算!$C$41,AO81+逐级计算!$C$41-(10/(逐级计算!$Q$41*LN(10))*(MAX((LN(10^(逐级计算!$Q$41/10)-1)+逐级计算!$Q$41*(AO81-逐级计算!$P$41)*LN(10)/10),0)+LN(1+EXP(-ABS((LN(10^(逐级计算!$Q$41/10)-1)+逐级计算!$Q$41*(AO81-逐级计算!$P$41)*LN(10)/10))))))),"")</f>
        <v>13.7930365742089</v>
      </c>
      <c r="AQ81">
        <f>IF(AND(ISNUMBER(AP81),逐级计算!$X$42&gt;-1),IF(逐级计算!$X$42=0,AP81+逐级计算!$C$42,AP81+逐级计算!$C$42-(10/(逐级计算!$Q$42*LN(10))*(MAX((LN(10^(逐级计算!$Q$42/10)-1)+逐级计算!$Q$42*(AP81-逐级计算!$P$42)*LN(10)/10),0)+LN(1+EXP(-ABS((LN(10^(逐级计算!$Q$42/10)-1)+逐级计算!$Q$42*(AP81-逐级计算!$P$42)*LN(10)/10))))))),"")</f>
        <v>13.7930365742089</v>
      </c>
      <c r="AR81">
        <f>IF(AND(ISNUMBER(AQ81),逐级计算!$X$43&gt;-1),IF(逐级计算!$X$43=0,AQ81+逐级计算!$C$43,AQ81+逐级计算!$C$43-(10/(逐级计算!$Q$43*LN(10))*(MAX((LN(10^(逐级计算!$Q$43/10)-1)+逐级计算!$Q$43*(AQ81-逐级计算!$P$43)*LN(10)/10),0)+LN(1+EXP(-ABS((LN(10^(逐级计算!$Q$43/10)-1)+逐级计算!$Q$43*(AQ81-逐级计算!$P$43)*LN(10)/10))))))),"")</f>
        <v>13.7930365742089</v>
      </c>
      <c r="AS81">
        <f>IF(AND(ISNUMBER(AR81),逐级计算!$X$44&gt;-1),IF(逐级计算!$X$44=0,AR81+逐级计算!$C$44,AR81+逐级计算!$C$44-(10/(逐级计算!$Q$44*LN(10))*(MAX((LN(10^(逐级计算!$Q$44/10)-1)+逐级计算!$Q$44*(AR81-逐级计算!$P$44)*LN(10)/10),0)+LN(1+EXP(-ABS((LN(10^(逐级计算!$Q$44/10)-1)+逐级计算!$Q$44*(AR81-逐级计算!$P$44)*LN(10)/10))))))),"")</f>
        <v>13.7930365742089</v>
      </c>
      <c r="AT81">
        <f>IF(AND(ISNUMBER(AS81),逐级计算!$X$45&gt;-1),IF(逐级计算!$X$45=0,AS81+逐级计算!$C$45,AS81+逐级计算!$C$45-(10/(逐级计算!$Q$45*LN(10))*(MAX((LN(10^(逐级计算!$Q$45/10)-1)+逐级计算!$Q$45*(AS81-逐级计算!$P$45)*LN(10)/10),0)+LN(1+EXP(-ABS((LN(10^(逐级计算!$Q$45/10)-1)+逐级计算!$Q$45*(AS81-逐级计算!$P$45)*LN(10)/10))))))),"")</f>
        <v>13.7930365742089</v>
      </c>
      <c r="AU81">
        <f>IF(AND(ISNUMBER(AT81),逐级计算!$X$46&gt;-1),IF(逐级计算!$X$46=0,AT81+逐级计算!$C$46,AT81+逐级计算!$C$46-(10/(逐级计算!$Q$46*LN(10))*(MAX((LN(10^(逐级计算!$Q$46/10)-1)+逐级计算!$Q$46*(AT81-逐级计算!$P$46)*LN(10)/10),0)+LN(1+EXP(-ABS((LN(10^(逐级计算!$Q$46/10)-1)+逐级计算!$Q$46*(AT81-逐级计算!$P$46)*LN(10)/10))))))),"")</f>
        <v>13.7930365742089</v>
      </c>
      <c r="AV81">
        <f>IF(AND(ISNUMBER(AU81),逐级计算!$X$47&gt;-1),IF(逐级计算!$X$47=0,AU81+逐级计算!$C$47,AU81+逐级计算!$C$47-(10/(逐级计算!$Q$47*LN(10))*(MAX((LN(10^(逐级计算!$Q$47/10)-1)+逐级计算!$Q$47*(AU81-逐级计算!$P$47)*LN(10)/10),0)+LN(1+EXP(-ABS((LN(10^(逐级计算!$Q$47/10)-1)+逐级计算!$Q$47*(AU81-逐级计算!$P$47)*LN(10)/10))))))),"")</f>
        <v>13.7930365742089</v>
      </c>
      <c r="AW81">
        <f>IF(AND(ISNUMBER(AV81),逐级计算!$X$48&gt;-1),IF(逐级计算!$X$48=0,AV81+逐级计算!$C$48,AV81+逐级计算!$C$48-(10/(逐级计算!$Q$48*LN(10))*(MAX((LN(10^(逐级计算!$Q$48/10)-1)+逐级计算!$Q$48*(AV81-逐级计算!$P$48)*LN(10)/10),0)+LN(1+EXP(-ABS((LN(10^(逐级计算!$Q$48/10)-1)+逐级计算!$Q$48*(AV81-逐级计算!$P$48)*LN(10)/10))))))),"")</f>
        <v>13.7930365742089</v>
      </c>
      <c r="AX81">
        <f>IF(AND(ISNUMBER(AW81),逐级计算!$X$49&gt;-1),IF(逐级计算!$X$49=0,AW81+逐级计算!$C$49,AW81+逐级计算!$C$49-(10/(逐级计算!$Q$49*LN(10))*(MAX((LN(10^(逐级计算!$Q$49/10)-1)+逐级计算!$Q$49*(AW81-逐级计算!$P$49)*LN(10)/10),0)+LN(1+EXP(-ABS((LN(10^(逐级计算!$Q$49/10)-1)+逐级计算!$Q$49*(AW81-逐级计算!$P$49)*LN(10)/10))))))),"")</f>
        <v>13.7930365742089</v>
      </c>
      <c r="AY81">
        <f>IF(AND(ISNUMBER(AX81),逐级计算!$X$50&gt;-1),IF(逐级计算!$X$50=0,AX81+逐级计算!$C$50,AX81+逐级计算!$C$50-(10/(逐级计算!$Q$50*LN(10))*(MAX((LN(10^(逐级计算!$Q$50/10)-1)+逐级计算!$Q$50*(AX81-逐级计算!$P$50)*LN(10)/10),0)+LN(1+EXP(-ABS((LN(10^(逐级计算!$Q$50/10)-1)+逐级计算!$Q$50*(AX81-逐级计算!$P$50)*LN(10)/10))))))),"")</f>
        <v>13.7930365742089</v>
      </c>
      <c r="AZ81">
        <f>IF(AND(ISNUMBER(AY81),逐级计算!$X$51&gt;-1),IF(逐级计算!$X$51=0,AY81+逐级计算!$C$51,AY81+逐级计算!$C$51-(10/(逐级计算!$Q$51*LN(10))*(MAX((LN(10^(逐级计算!$Q$51/10)-1)+逐级计算!$Q$51*(AY81-逐级计算!$P$51)*LN(10)/10),0)+LN(1+EXP(-ABS((LN(10^(逐级计算!$Q$51/10)-1)+逐级计算!$Q$51*(AY81-逐级计算!$P$51)*LN(10)/10))))))),"")</f>
        <v>13.7930365742089</v>
      </c>
      <c r="BA81">
        <f>IF(AND(ISNUMBER(AZ81),逐级计算!$X$52&gt;-1),IF(逐级计算!$X$52=0,AZ81+逐级计算!$C$52,AZ81+逐级计算!$C$52-(10/(逐级计算!$Q$52*LN(10))*(MAX((LN(10^(逐级计算!$Q$52/10)-1)+逐级计算!$Q$52*(AZ81-逐级计算!$P$52)*LN(10)/10),0)+LN(1+EXP(-ABS((LN(10^(逐级计算!$Q$52/10)-1)+逐级计算!$Q$52*(AZ81-逐级计算!$P$52)*LN(10)/10))))))),"")</f>
        <v>13.7930365742089</v>
      </c>
      <c r="BB81">
        <f>IF(AND(ISNUMBER(BA81),逐级计算!$X$53&gt;-1),IF(逐级计算!$X$53=0,BA81+逐级计算!$C$53,BA81+逐级计算!$C$53-(10/(逐级计算!$Q$53*LN(10))*(MAX((LN(10^(逐级计算!$Q$53/10)-1)+逐级计算!$Q$53*(BA81-逐级计算!$P$53)*LN(10)/10),0)+LN(1+EXP(-ABS((LN(10^(逐级计算!$Q$53/10)-1)+逐级计算!$Q$53*(BA81-逐级计算!$P$53)*LN(10)/10))))))),"")</f>
        <v>13.7930365742089</v>
      </c>
      <c r="BC81">
        <f>IF(AND(ISNUMBER(BB81),逐级计算!$X$54&gt;-1),IF(逐级计算!$X$54=0,BB81+逐级计算!$C$54,BB81+逐级计算!$C$54-(10/(逐级计算!$Q$54*LN(10))*(MAX((LN(10^(逐级计算!$Q$54/10)-1)+逐级计算!$Q$54*(BB81-逐级计算!$P$54)*LN(10)/10),0)+LN(1+EXP(-ABS((LN(10^(逐级计算!$Q$54/10)-1)+逐级计算!$Q$54*(BB81-逐级计算!$P$54)*LN(10)/10))))))),"")</f>
        <v>13.7930365742089</v>
      </c>
      <c r="BD81">
        <f>IF(AND(ISNUMBER(BC81),逐级计算!$X$55&gt;-1),IF(逐级计算!$X$55=0,BC81+逐级计算!$C$55,BC81+逐级计算!$C$55-(10/(逐级计算!$Q$55*LN(10))*(MAX((LN(10^(逐级计算!$Q$55/10)-1)+逐级计算!$Q$55*(BC81-逐级计算!$P$55)*LN(10)/10),0)+LN(1+EXP(-ABS((LN(10^(逐级计算!$Q$55/10)-1)+逐级计算!$Q$55*(BC81-逐级计算!$P$55)*LN(10)/10))))))),"")</f>
        <v>13.7930365742089</v>
      </c>
      <c r="BE81">
        <f>IF(AND(ISNUMBER(BD81),逐级计算!$X$56&gt;-1),IF(逐级计算!$X$56=0,BD81+逐级计算!$C$56,BD81+逐级计算!$C$56-(10/(逐级计算!$Q$56*LN(10))*(MAX((LN(10^(逐级计算!$Q$56/10)-1)+逐级计算!$Q$56*(BD81-逐级计算!$P$56)*LN(10)/10),0)+LN(1+EXP(-ABS((LN(10^(逐级计算!$Q$56/10)-1)+逐级计算!$Q$56*(BD81-逐级计算!$P$56)*LN(10)/10))))))),"")</f>
        <v>13.7930365742089</v>
      </c>
      <c r="BF81">
        <f>IF(AND(ISNUMBER(BE81),逐级计算!$X$57&gt;-1),IF(逐级计算!$X$57=0,BE81+逐级计算!$C$57,BE81+逐级计算!$C$57-(10/(逐级计算!$Q$57*LN(10))*(MAX((LN(10^(逐级计算!$Q$57/10)-1)+逐级计算!$Q$57*(BE81-逐级计算!$P$57)*LN(10)/10),0)+LN(1+EXP(-ABS((LN(10^(逐级计算!$Q$57/10)-1)+逐级计算!$Q$57*(BE81-逐级计算!$P$57)*LN(10)/10))))))),"")</f>
        <v>13.7930365742089</v>
      </c>
      <c r="BG81">
        <f>IF(AND(ISNUMBER(BF81),逐级计算!$X$58&gt;-1),IF(逐级计算!$X$58=0,BF81+逐级计算!$C$58,BF81+逐级计算!$C$58-(10/(逐级计算!$Q$58*LN(10))*(MAX((LN(10^(逐级计算!$Q$58/10)-1)+逐级计算!$Q$58*(BF81-逐级计算!$P$58)*LN(10)/10),0)+LN(1+EXP(-ABS((LN(10^(逐级计算!$Q$58/10)-1)+逐级计算!$Q$58*(BF81-逐级计算!$P$58)*LN(10)/10))))))),"")</f>
        <v>13.7930365742089</v>
      </c>
      <c r="BH81">
        <f>IF(AND(ISNUMBER(BG81),逐级计算!$X$59&gt;-1),IF(逐级计算!$X$59=0,BG81+逐级计算!$C$59,BG81+逐级计算!$C$59-(10/(逐级计算!$Q$59*LN(10))*(MAX((LN(10^(逐级计算!$Q$59/10)-1)+逐级计算!$Q$59*(BG81-逐级计算!$P$59)*LN(10)/10),0)+LN(1+EXP(-ABS((LN(10^(逐级计算!$Q$59/10)-1)+逐级计算!$Q$59*(BG81-逐级计算!$P$59)*LN(10)/10))))))),"")</f>
        <v>13.7930365742089</v>
      </c>
      <c r="BI81">
        <f>IF(AND(ISNUMBER(BH81),逐级计算!$X$60&gt;-1),IF(逐级计算!$X$60=0,BH81+逐级计算!$C$60,BH81+逐级计算!$C$60-(10/(逐级计算!$Q$60*LN(10))*(MAX((LN(10^(逐级计算!$Q$60/10)-1)+逐级计算!$Q$60*(BH81-逐级计算!$P$60)*LN(10)/10),0)+LN(1+EXP(-ABS((LN(10^(逐级计算!$Q$60/10)-1)+逐级计算!$Q$60*(BH81-逐级计算!$P$60)*LN(10)/10))))))),"")</f>
        <v>13.7930365742089</v>
      </c>
      <c r="BJ81">
        <f>IF(AND(ISNUMBER(BI81),逐级计算!$X$61&gt;-1),IF(逐级计算!$X$61=0,BI81+逐级计算!$C$61,BI81+逐级计算!$C$61-(10/(逐级计算!$Q$61*LN(10))*(MAX((LN(10^(逐级计算!$Q$61/10)-1)+逐级计算!$Q$61*(BI81-逐级计算!$P$61)*LN(10)/10),0)+LN(1+EXP(-ABS((LN(10^(逐级计算!$Q$61/10)-1)+逐级计算!$Q$61*(BI81-逐级计算!$P$61)*LN(10)/10))))))),"")</f>
        <v>13.7930365742089</v>
      </c>
      <c r="BK81">
        <f>IF(AND(ISNUMBER(BJ81),逐级计算!$X$62&gt;-1),IF(逐级计算!$X$62=0,BJ81+逐级计算!$C$62,BJ81+逐级计算!$C$62-(10/(逐级计算!$Q$62*LN(10))*(MAX((LN(10^(逐级计算!$Q$62/10)-1)+逐级计算!$Q$62*(BJ81-逐级计算!$P$62)*LN(10)/10),0)+LN(1+EXP(-ABS((LN(10^(逐级计算!$Q$62/10)-1)+逐级计算!$Q$62*(BJ81-逐级计算!$P$62)*LN(10)/10))))))),"")</f>
        <v>13.7930365742089</v>
      </c>
      <c r="BL81">
        <f>IF(AND(ISNUMBER(BK81),逐级计算!$X$63&gt;-1),IF(逐级计算!$X$63=0,BK81+逐级计算!$C$63,BK81+逐级计算!$C$63-(10/(逐级计算!$Q$63*LN(10))*(MAX((LN(10^(逐级计算!$Q$63/10)-1)+逐级计算!$Q$63*(BK81-逐级计算!$P$63)*LN(10)/10),0)+LN(1+EXP(-ABS((LN(10^(逐级计算!$Q$63/10)-1)+逐级计算!$Q$63*(BK81-逐级计算!$P$63)*LN(10)/10))))))),"")</f>
        <v>13.7930365742089</v>
      </c>
      <c r="BM81">
        <f>IF(AND(ISNUMBER(BL81),逐级计算!$X$64&gt;-1),IF(逐级计算!$X$64=0,BL81+逐级计算!$C$64,BL81+逐级计算!$C$64-(10/(逐级计算!$Q$64*LN(10))*(MAX((LN(10^(逐级计算!$Q$64/10)-1)+逐级计算!$Q$64*(BL81-逐级计算!$P$64)*LN(10)/10),0)+LN(1+EXP(-ABS((LN(10^(逐级计算!$Q$64/10)-1)+逐级计算!$Q$64*(BL81-逐级计算!$P$64)*LN(10)/10))))))),"")</f>
        <v>13.7930365742089</v>
      </c>
      <c r="BN81">
        <f>IF(AND(ISNUMBER(BM81),逐级计算!$X$65&gt;-1),IF(逐级计算!$X$65=0,BM81+逐级计算!$C$65,BM81+逐级计算!$C$65-(10/(逐级计算!$Q$65*LN(10))*(MAX((LN(10^(逐级计算!$Q$65/10)-1)+逐级计算!$Q$65*(BM81-逐级计算!$P$65)*LN(10)/10),0)+LN(1+EXP(-ABS((LN(10^(逐级计算!$Q$65/10)-1)+逐级计算!$Q$65*(BM81-逐级计算!$P$65)*LN(10)/10))))))),"")</f>
        <v>13.7930365742089</v>
      </c>
      <c r="BO81">
        <f>IF(AND(ISNUMBER(BN81),逐级计算!$X$66&gt;-1),IF(逐级计算!$X$66=0,BN81+逐级计算!$C$66,BN81+逐级计算!$C$66-(10/(逐级计算!$Q$66*LN(10))*(MAX((LN(10^(逐级计算!$Q$66/10)-1)+逐级计算!$Q$66*(BN81-逐级计算!$P$66)*LN(10)/10),0)+LN(1+EXP(-ABS((LN(10^(逐级计算!$Q$66/10)-1)+逐级计算!$Q$66*(BN81-逐级计算!$P$66)*LN(10)/10))))))),"")</f>
        <v>13.7930365742089</v>
      </c>
      <c r="BP81">
        <f>IF(AND(ISNUMBER(BO81),逐级计算!$X$67&gt;-1),IF(逐级计算!$X$67=0,BO81+逐级计算!$C$67,BO81+逐级计算!$C$67-(10/(逐级计算!$Q$67*LN(10))*(MAX((LN(10^(逐级计算!$Q$67/10)-1)+逐级计算!$Q$67*(BO81-逐级计算!$P$67)*LN(10)/10),0)+LN(1+EXP(-ABS((LN(10^(逐级计算!$Q$67/10)-1)+逐级计算!$Q$67*(BO81-逐级计算!$P$67)*LN(10)/10))))))),"")</f>
        <v>13.7930365742089</v>
      </c>
      <c r="BQ81">
        <f>IF(AND(ISNUMBER(BP81),逐级计算!$X$68&gt;-1),IF(逐级计算!$X$68=0,BP81+逐级计算!$C$68,BP81+逐级计算!$C$68-(10/(逐级计算!$Q$68*LN(10))*(MAX((LN(10^(逐级计算!$Q$68/10)-1)+逐级计算!$Q$68*(BP81-逐级计算!$P$68)*LN(10)/10),0)+LN(1+EXP(-ABS((LN(10^(逐级计算!$Q$68/10)-1)+逐级计算!$Q$68*(BP81-逐级计算!$P$68)*LN(10)/10))))))),"")</f>
        <v>13.7930365742089</v>
      </c>
      <c r="BR81">
        <f>IF(AND(ISNUMBER(BQ81),逐级计算!$X$69&gt;-1),IF(逐级计算!$X$69=0,BQ81+逐级计算!$C$69,BQ81+逐级计算!$C$69-(10/(逐级计算!$Q$69*LN(10))*(MAX((LN(10^(逐级计算!$Q$69/10)-1)+逐级计算!$Q$69*(BQ81-逐级计算!$P$69)*LN(10)/10),0)+LN(1+EXP(-ABS((LN(10^(逐级计算!$Q$69/10)-1)+逐级计算!$Q$69*(BQ81-逐级计算!$P$69)*LN(10)/10))))))),"")</f>
        <v>13.7930365742089</v>
      </c>
      <c r="BS81">
        <f>IF(AND(ISNUMBER(BR81),逐级计算!$X$70&gt;-1),IF(逐级计算!$X$70=0,BR81+逐级计算!$C$70,BR81+逐级计算!$C$70-(10/(逐级计算!$Q$70*LN(10))*(MAX((LN(10^(逐级计算!$Q$70/10)-1)+逐级计算!$Q$70*(BR81-逐级计算!$P$70)*LN(10)/10),0)+LN(1+EXP(-ABS((LN(10^(逐级计算!$Q$70/10)-1)+逐级计算!$Q$70*(BR81-逐级计算!$P$70)*LN(10)/10))))))),"")</f>
        <v>13.7930365742089</v>
      </c>
      <c r="BT81">
        <f>IF(AND(ISNUMBER(BS81),逐级计算!$X$71&gt;-1),IF(逐级计算!$X$71=0,BS81+逐级计算!$C$71,BS81+逐级计算!$C$71-(10/(逐级计算!$Q$71*LN(10))*(MAX((LN(10^(逐级计算!$Q$71/10)-1)+逐级计算!$Q$71*(BS81-逐级计算!$P$71)*LN(10)/10),0)+LN(1+EXP(-ABS((LN(10^(逐级计算!$Q$71/10)-1)+逐级计算!$Q$71*(BS81-逐级计算!$P$71)*LN(10)/10))))))),"")</f>
        <v>13.7930365742089</v>
      </c>
      <c r="BU81">
        <f>IF(AND(ISNUMBER(BT81),逐级计算!$X$72&gt;-1),IF(逐级计算!$X$72=0,BT81+逐级计算!$C$72,BT81+逐级计算!$C$72-(10/(逐级计算!$Q$72*LN(10))*(MAX((LN(10^(逐级计算!$Q$72/10)-1)+逐级计算!$Q$72*(BT81-逐级计算!$P$72)*LN(10)/10),0)+LN(1+EXP(-ABS((LN(10^(逐级计算!$Q$72/10)-1)+逐级计算!$Q$72*(BT81-逐级计算!$P$72)*LN(10)/10))))))),"")</f>
        <v>13.7930365742089</v>
      </c>
      <c r="BV81">
        <f>IF(AND(ISNUMBER(BU81),逐级计算!$X$73&gt;-1),IF(逐级计算!$X$73=0,BU81+逐级计算!$C$73,BU81+逐级计算!$C$73-(10/(逐级计算!$Q$73*LN(10))*(MAX((LN(10^(逐级计算!$Q$73/10)-1)+逐级计算!$Q$73*(BU81-逐级计算!$P$73)*LN(10)/10),0)+LN(1+EXP(-ABS((LN(10^(逐级计算!$Q$73/10)-1)+逐级计算!$Q$73*(BU81-逐级计算!$P$73)*LN(10)/10))))))),"")</f>
        <v>13.7930365742089</v>
      </c>
      <c r="BW81">
        <f>IF(AND(ISNUMBER(BV81),逐级计算!$X$74&gt;-1),IF(逐级计算!$X$74=0,BV81+逐级计算!$C$74,BV81+逐级计算!$C$74-(10/(逐级计算!$Q$74*LN(10))*(MAX((LN(10^(逐级计算!$Q$74/10)-1)+逐级计算!$Q$74*(BV81-逐级计算!$P$74)*LN(10)/10),0)+LN(1+EXP(-ABS((LN(10^(逐级计算!$Q$74/10)-1)+逐级计算!$Q$74*(BV81-逐级计算!$P$74)*LN(10)/10))))))),"")</f>
        <v>13.7930365742089</v>
      </c>
      <c r="BX81">
        <f>IF(AND(ISNUMBER(BW81),逐级计算!$X$75&gt;-1),IF(逐级计算!$X$75=0,BW81+逐级计算!$C$75,BW81+逐级计算!$C$75-(10/(逐级计算!$Q$75*LN(10))*(MAX((LN(10^(逐级计算!$Q$75/10)-1)+逐级计算!$Q$75*(BW81-逐级计算!$P$75)*LN(10)/10),0)+LN(1+EXP(-ABS((LN(10^(逐级计算!$Q$75/10)-1)+逐级计算!$Q$75*(BW81-逐级计算!$P$75)*LN(10)/10))))))),"")</f>
        <v>13.7930365742089</v>
      </c>
      <c r="BY81">
        <f>IF(AND(ISNUMBER(BX81),逐级计算!$X$76&gt;-1),IF(逐级计算!$X$76=0,BX81+逐级计算!$C$76,BX81+逐级计算!$C$76-(10/(逐级计算!$Q$76*LN(10))*(MAX((LN(10^(逐级计算!$Q$76/10)-1)+逐级计算!$Q$76*(BX81-逐级计算!$P$76)*LN(10)/10),0)+LN(1+EXP(-ABS((LN(10^(逐级计算!$Q$76/10)-1)+逐级计算!$Q$76*(BX81-逐级计算!$P$76)*LN(10)/10))))))),"")</f>
        <v>13.7930365742089</v>
      </c>
      <c r="BZ81">
        <f>IF(AND(ISNUMBER(BY81),逐级计算!$X$77&gt;-1),IF(逐级计算!$X$77=0,BY81+逐级计算!$C$77,BY81+逐级计算!$C$77-(10/(逐级计算!$Q$77*LN(10))*(MAX((LN(10^(逐级计算!$Q$77/10)-1)+逐级计算!$Q$77*(BY81-逐级计算!$P$77)*LN(10)/10),0)+LN(1+EXP(-ABS((LN(10^(逐级计算!$Q$77/10)-1)+逐级计算!$Q$77*(BY81-逐级计算!$P$77)*LN(10)/10))))))),"")</f>
        <v>13.7930365742089</v>
      </c>
      <c r="CA81">
        <f>IF(AND(ISNUMBER(BZ81),逐级计算!$X$78&gt;-1),IF(逐级计算!$X$78=0,BZ81+逐级计算!$C$78,BZ81+逐级计算!$C$78-(10/(逐级计算!$Q$78*LN(10))*(MAX((LN(10^(逐级计算!$Q$78/10)-1)+逐级计算!$Q$78*(BZ81-逐级计算!$P$78)*LN(10)/10),0)+LN(1+EXP(-ABS((LN(10^(逐级计算!$Q$78/10)-1)+逐级计算!$Q$78*(BZ81-逐级计算!$P$78)*LN(10)/10))))))),"")</f>
        <v>13.7930365742089</v>
      </c>
      <c r="CB81">
        <f>IF(AND(ISNUMBER(CA81),逐级计算!$X$79&gt;-1),IF(逐级计算!$X$79=0,CA81+逐级计算!$C$79,CA81+逐级计算!$C$79-(10/(逐级计算!$Q$79*LN(10))*(MAX((LN(10^(逐级计算!$Q$79/10)-1)+逐级计算!$Q$79*(CA81-逐级计算!$P$79)*LN(10)/10),0)+LN(1+EXP(-ABS((LN(10^(逐级计算!$Q$79/10)-1)+逐级计算!$Q$79*(CA81-逐级计算!$P$79)*LN(10)/10))))))),"")</f>
        <v>13.7930365742089</v>
      </c>
      <c r="CC81">
        <f>IF(AND(ISNUMBER(CB81),逐级计算!$X$80&gt;-1),IF(逐级计算!$X$80=0,CB81+逐级计算!$C$80,CB81+逐级计算!$C$80-(10/(逐级计算!$Q$80*LN(10))*(MAX((LN(10^(逐级计算!$Q$80/10)-1)+逐级计算!$Q$80*(CB81-逐级计算!$P$80)*LN(10)/10),0)+LN(1+EXP(-ABS((LN(10^(逐级计算!$Q$80/10)-1)+逐级计算!$Q$80*(CB81-逐级计算!$P$80)*LN(10)/10))))))),"")</f>
        <v>13.7930365742089</v>
      </c>
      <c r="CD81">
        <f>IF(AND(ISNUMBER(CC81),逐级计算!$X$81&gt;-1),IF(逐级计算!$X$81=0,CC81+逐级计算!$C$81,CC81+逐级计算!$C$81-(10/(逐级计算!$Q$81*LN(10))*(MAX((LN(10^(逐级计算!$Q$81/10)-1)+逐级计算!$Q$81*(CC81-逐级计算!$P$81)*LN(10)/10),0)+LN(1+EXP(-ABS((LN(10^(逐级计算!$Q$81/10)-1)+逐级计算!$Q$81*(CC81-逐级计算!$P$81)*LN(10)/10))))))),"")</f>
        <v>13.7930365742089</v>
      </c>
      <c r="CE81">
        <f>IF(AND(ISNUMBER(CD81),逐级计算!$X$82&gt;-1),IF(逐级计算!$X$82=0,CD81+逐级计算!$C$82,CD81+逐级计算!$C$82-(10/(逐级计算!$Q$82*LN(10))*(MAX((LN(10^(逐级计算!$Q$82/10)-1)+逐级计算!$Q$82*(CD81-逐级计算!$P$82)*LN(10)/10),0)+LN(1+EXP(-ABS((LN(10^(逐级计算!$Q$82/10)-1)+逐级计算!$Q$82*(CD81-逐级计算!$P$82)*LN(10)/10))))))),"")</f>
        <v>13.7930365742089</v>
      </c>
      <c r="CF81">
        <f>IF(AND(ISNUMBER(CE81),逐级计算!$X$83&gt;-1),IF(逐级计算!$X$83=0,CE81+逐级计算!$C$83,CE81+逐级计算!$C$83-(10/(逐级计算!$Q$83*LN(10))*(MAX((LN(10^(逐级计算!$Q$83/10)-1)+逐级计算!$Q$83*(CE81-逐级计算!$P$83)*LN(10)/10),0)+LN(1+EXP(-ABS((LN(10^(逐级计算!$Q$83/10)-1)+逐级计算!$Q$83*(CE81-逐级计算!$P$83)*LN(10)/10))))))),"")</f>
        <v>13.7930365742089</v>
      </c>
      <c r="CG81">
        <f>IF(AND(ISNUMBER(CF81),逐级计算!$X$84&gt;-1),IF(逐级计算!$X$84=0,CF81+逐级计算!$C$84,CF81+逐级计算!$C$84-(10/(逐级计算!$Q$84*LN(10))*(MAX((LN(10^(逐级计算!$Q$84/10)-1)+逐级计算!$Q$84*(CF81-逐级计算!$P$84)*LN(10)/10),0)+LN(1+EXP(-ABS((LN(10^(逐级计算!$Q$84/10)-1)+逐级计算!$Q$84*(CF81-逐级计算!$P$84)*LN(10)/10))))))),"")</f>
        <v>13.7930365742089</v>
      </c>
      <c r="CH81">
        <f>IF(AND(ISNUMBER(CG81),逐级计算!$X$85&gt;-1),IF(逐级计算!$X$85=0,CG81+逐级计算!$C$85,CG81+逐级计算!$C$85-(10/(逐级计算!$Q$85*LN(10))*(MAX((LN(10^(逐级计算!$Q$85/10)-1)+逐级计算!$Q$85*(CG81-逐级计算!$P$85)*LN(10)/10),0)+LN(1+EXP(-ABS((LN(10^(逐级计算!$Q$85/10)-1)+逐级计算!$Q$85*(CG81-逐级计算!$P$85)*LN(10)/10))))))),"")</f>
        <v>13.7930365742089</v>
      </c>
      <c r="CI81">
        <f>IF(AND(ISNUMBER(CH81),逐级计算!$X$86&gt;-1),IF(逐级计算!$X$86=0,CH81+逐级计算!$C$86,CH81+逐级计算!$C$86-(10/(逐级计算!$Q$86*LN(10))*(MAX((LN(10^(逐级计算!$Q$86/10)-1)+逐级计算!$Q$86*(CH81-逐级计算!$P$86)*LN(10)/10),0)+LN(1+EXP(-ABS((LN(10^(逐级计算!$Q$86/10)-1)+逐级计算!$Q$86*(CH81-逐级计算!$P$86)*LN(10)/10))))))),"")</f>
        <v>13.7930365742089</v>
      </c>
      <c r="CJ81">
        <f>IF(AND(ISNUMBER(CI81),逐级计算!$X$87&gt;-1),IF(逐级计算!$X$87=0,CI81+逐级计算!$C$87,CI81+逐级计算!$C$87-(10/(逐级计算!$Q$87*LN(10))*(MAX((LN(10^(逐级计算!$Q$87/10)-1)+逐级计算!$Q$87*(CI81-逐级计算!$P$87)*LN(10)/10),0)+LN(1+EXP(-ABS((LN(10^(逐级计算!$Q$87/10)-1)+逐级计算!$Q$87*(CI81-逐级计算!$P$87)*LN(10)/10))))))),"")</f>
        <v>13.7930365742089</v>
      </c>
      <c r="CK81">
        <f>IF(AND(ISNUMBER(CJ81),逐级计算!$X$88&gt;-1),IF(逐级计算!$X$88=0,CJ81+逐级计算!$C$88,CJ81+逐级计算!$C$88-(10/(逐级计算!$Q$88*LN(10))*(MAX((LN(10^(逐级计算!$Q$88/10)-1)+逐级计算!$Q$88*(CJ81-逐级计算!$P$88)*LN(10)/10),0)+LN(1+EXP(-ABS((LN(10^(逐级计算!$Q$88/10)-1)+逐级计算!$Q$88*(CJ81-逐级计算!$P$88)*LN(10)/10))))))),"")</f>
        <v>13.7930365742089</v>
      </c>
      <c r="CL81">
        <f>IF(AND(ISNUMBER(CK81),逐级计算!$X$89&gt;-1),IF(逐级计算!$X$89=0,CK81+逐级计算!$C$89,CK81+逐级计算!$C$89-(10/(逐级计算!$Q$89*LN(10))*(MAX((LN(10^(逐级计算!$Q$89/10)-1)+逐级计算!$Q$89*(CK81-逐级计算!$P$89)*LN(10)/10),0)+LN(1+EXP(-ABS((LN(10^(逐级计算!$Q$89/10)-1)+逐级计算!$Q$89*(CK81-逐级计算!$P$89)*LN(10)/10))))))),"")</f>
        <v>13.7930365742089</v>
      </c>
      <c r="CM81">
        <f>IF(AND(ISNUMBER(CL81),逐级计算!$X$90&gt;-1),IF(逐级计算!$X$90=0,CL81+逐级计算!$C$90,CL81+逐级计算!$C$90-(10/(逐级计算!$Q$90*LN(10))*(MAX((LN(10^(逐级计算!$Q$90/10)-1)+逐级计算!$Q$90*(CL81-逐级计算!$P$90)*LN(10)/10),0)+LN(1+EXP(-ABS((LN(10^(逐级计算!$Q$90/10)-1)+逐级计算!$Q$90*(CL81-逐级计算!$P$90)*LN(10)/10))))))),"")</f>
        <v>13.7930365742089</v>
      </c>
      <c r="CN81">
        <f>IF(AND(ISNUMBER(CM81),逐级计算!$X$91&gt;-1),IF(逐级计算!$X$91=0,CM81+逐级计算!$C$91,CM81+逐级计算!$C$91-(10/(逐级计算!$Q$91*LN(10))*(MAX((LN(10^(逐级计算!$Q$91/10)-1)+逐级计算!$Q$91*(CM81-逐级计算!$P$91)*LN(10)/10),0)+LN(1+EXP(-ABS((LN(10^(逐级计算!$Q$91/10)-1)+逐级计算!$Q$91*(CM81-逐级计算!$P$91)*LN(10)/10))))))),"")</f>
        <v>13.7930365742089</v>
      </c>
      <c r="CO81">
        <f>IF(AND(ISNUMBER(CN81),逐级计算!$X$92&gt;-1),IF(逐级计算!$X$92=0,CN81+逐级计算!$C$92,CN81+逐级计算!$C$92-(10/(逐级计算!$Q$92*LN(10))*(MAX((LN(10^(逐级计算!$Q$92/10)-1)+逐级计算!$Q$92*(CN81-逐级计算!$P$92)*LN(10)/10),0)+LN(1+EXP(-ABS((LN(10^(逐级计算!$Q$92/10)-1)+逐级计算!$Q$92*(CN81-逐级计算!$P$92)*LN(10)/10))))))),"")</f>
        <v>13.7930365742089</v>
      </c>
      <c r="CP81">
        <f>IF(AND(ISNUMBER(CO81),逐级计算!$X$93&gt;-1),IF(逐级计算!$X$93=0,CO81+逐级计算!$C$93,CO81+逐级计算!$C$93-(10/(逐级计算!$Q$93*LN(10))*(MAX((LN(10^(逐级计算!$Q$93/10)-1)+逐级计算!$Q$93*(CO81-逐级计算!$P$93)*LN(10)/10),0)+LN(1+EXP(-ABS((LN(10^(逐级计算!$Q$93/10)-1)+逐级计算!$Q$93*(CO81-逐级计算!$P$93)*LN(10)/10))))))),"")</f>
        <v>13.7930365742089</v>
      </c>
      <c r="CQ81">
        <f>IF(AND(ISNUMBER(CP81),逐级计算!$X$94&gt;-1),IF(逐级计算!$X$94=0,CP81+逐级计算!$C$94,CP81+逐级计算!$C$94-(10/(逐级计算!$Q$94*LN(10))*(MAX((LN(10^(逐级计算!$Q$94/10)-1)+逐级计算!$Q$94*(CP81-逐级计算!$P$94)*LN(10)/10),0)+LN(1+EXP(-ABS((LN(10^(逐级计算!$Q$94/10)-1)+逐级计算!$Q$94*(CP81-逐级计算!$P$94)*LN(10)/10))))))),"")</f>
        <v>13.7930365742089</v>
      </c>
      <c r="CR81">
        <f>IF(AND(ISNUMBER(CQ81),逐级计算!$X$95&gt;-1),IF(逐级计算!$X$95=0,CQ81+逐级计算!$C$95,CQ81+逐级计算!$C$95-(10/(逐级计算!$Q$95*LN(10))*(MAX((LN(10^(逐级计算!$Q$95/10)-1)+逐级计算!$Q$95*(CQ81-逐级计算!$P$95)*LN(10)/10),0)+LN(1+EXP(-ABS((LN(10^(逐级计算!$Q$95/10)-1)+逐级计算!$Q$95*(CQ81-逐级计算!$P$95)*LN(10)/10))))))),"")</f>
        <v>13.7930365742089</v>
      </c>
      <c r="CS81">
        <f>IF(AND(ISNUMBER(CR81),逐级计算!$X$96&gt;-1),IF(逐级计算!$X$96=0,CR81+逐级计算!$C$96,CR81+逐级计算!$C$96-(10/(逐级计算!$Q$96*LN(10))*(MAX((LN(10^(逐级计算!$Q$96/10)-1)+逐级计算!$Q$96*(CR81-逐级计算!$P$96)*LN(10)/10),0)+LN(1+EXP(-ABS((LN(10^(逐级计算!$Q$96/10)-1)+逐级计算!$Q$96*(CR81-逐级计算!$P$96)*LN(10)/10))))))),"")</f>
        <v>13.7930365742089</v>
      </c>
      <c r="CT81">
        <f>IF(AND(ISNUMBER(CS81),逐级计算!$X$97&gt;-1),IF(逐级计算!$X$97=0,CS81+逐级计算!$C$97,CS81+逐级计算!$C$97-(10/(逐级计算!$Q$97*LN(10))*(MAX((LN(10^(逐级计算!$Q$97/10)-1)+逐级计算!$Q$97*(CS81-逐级计算!$P$97)*LN(10)/10),0)+LN(1+EXP(-ABS((LN(10^(逐级计算!$Q$97/10)-1)+逐级计算!$Q$97*(CS81-逐级计算!$P$97)*LN(10)/10))))))),"")</f>
        <v>13.7930365742089</v>
      </c>
      <c r="CU81">
        <f>IF(AND(ISNUMBER(CT81),逐级计算!$X$98&gt;-1),IF(逐级计算!$X$98=0,CT81+逐级计算!$C$98,CT81+逐级计算!$C$98-(10/(逐级计算!$Q$98*LN(10))*(MAX((LN(10^(逐级计算!$Q$98/10)-1)+逐级计算!$Q$98*(CT81-逐级计算!$P$98)*LN(10)/10),0)+LN(1+EXP(-ABS((LN(10^(逐级计算!$Q$98/10)-1)+逐级计算!$Q$98*(CT81-逐级计算!$P$98)*LN(10)/10))))))),"")</f>
        <v>13.7930365742089</v>
      </c>
      <c r="CV81">
        <f>IF(AND(ISNUMBER(CU81),逐级计算!$X$99&gt;-1),IF(逐级计算!$X$99=0,CU81+逐级计算!$C$99,CU81+逐级计算!$C$99-(10/(逐级计算!$Q$99*LN(10))*(MAX((LN(10^(逐级计算!$Q$99/10)-1)+逐级计算!$Q$99*(CU81-逐级计算!$P$99)*LN(10)/10),0)+LN(1+EXP(-ABS((LN(10^(逐级计算!$Q$99/10)-1)+逐级计算!$Q$99*(CU81-逐级计算!$P$99)*LN(10)/10))))))),"")</f>
        <v>13.7930365742089</v>
      </c>
      <c r="CW81">
        <f>IF(AND(ISNUMBER(CV81),逐级计算!$X$100&gt;-1),IF(逐级计算!$X$100=0,CV81+逐级计算!$C$100,CV81+逐级计算!$C$100-(10/(逐级计算!$Q$100*LN(10))*(MAX((LN(10^(逐级计算!$Q$100/10)-1)+逐级计算!$Q$100*(CV81-逐级计算!$P$100)*LN(10)/10),0)+LN(1+EXP(-ABS((LN(10^(逐级计算!$Q$100/10)-1)+逐级计算!$Q$100*(CV81-逐级计算!$P$100)*LN(10)/10))))))),"")</f>
        <v>13.7930365742089</v>
      </c>
      <c r="CX81">
        <f>IF(AND(ISNUMBER(CW81),逐级计算!$X$101&gt;-1),IF(逐级计算!$X$101=0,CW81+逐级计算!$C$101,CW81+逐级计算!$C$101-(10/(逐级计算!$Q$101*LN(10))*(MAX((LN(10^(逐级计算!$Q$101/10)-1)+逐级计算!$Q$101*(CW81-逐级计算!$P$101)*LN(10)/10),0)+LN(1+EXP(-ABS((LN(10^(逐级计算!$Q$101/10)-1)+逐级计算!$Q$101*(CW81-逐级计算!$P$101)*LN(10)/10))))))),"")</f>
        <v>13.7930365742089</v>
      </c>
      <c r="CY81">
        <f>IF(AND(ISNUMBER(CX81),逐级计算!$X$102&gt;-1),IF(逐级计算!$X$102=0,CX81+逐级计算!$C$102,CX81+逐级计算!$C$102-(10/(逐级计算!$Q$102*LN(10))*(MAX((LN(10^(逐级计算!$Q$102/10)-1)+逐级计算!$Q$102*(CX81-逐级计算!$P$102)*LN(10)/10),0)+LN(1+EXP(-ABS((LN(10^(逐级计算!$Q$102/10)-1)+逐级计算!$Q$102*(CX81-逐级计算!$P$102)*LN(10)/10))))))),"")</f>
        <v>13.7930365742089</v>
      </c>
      <c r="CZ81">
        <f>IF(AND(ISNUMBER(CY81),逐级计算!$X$103&gt;-1),IF(逐级计算!$X$103=0,CY81+逐级计算!$C$103,CY81+逐级计算!$C$103-(10/(逐级计算!$Q$103*LN(10))*(MAX((LN(10^(逐级计算!$Q$103/10)-1)+逐级计算!$Q$103*(CY81-逐级计算!$P$103)*LN(10)/10),0)+LN(1+EXP(-ABS((LN(10^(逐级计算!$Q$103/10)-1)+逐级计算!$Q$103*(CY81-逐级计算!$P$103)*LN(10)/10))))))),"")</f>
        <v>13.7930365742089</v>
      </c>
      <c r="DA81">
        <f>IF(AND(ISNUMBER(CZ81),逐级计算!$X$104&gt;-1),IF(逐级计算!$X$104=0,CZ81+逐级计算!$C$104,CZ81+逐级计算!$C$104-(10/(逐级计算!$Q$104*LN(10))*(MAX((LN(10^(逐级计算!$Q$104/10)-1)+逐级计算!$Q$104*(CZ81-逐级计算!$P$104)*LN(10)/10),0)+LN(1+EXP(-ABS((LN(10^(逐级计算!$Q$104/10)-1)+逐级计算!$Q$104*(CZ81-逐级计算!$P$104)*LN(10)/10))))))),"")</f>
        <v>13.7930365742089</v>
      </c>
      <c r="DB81">
        <f>IF(AND(ISNUMBER(DA81),逐级计算!$X$105&gt;-1),IF(逐级计算!$X$105=0,DA81+逐级计算!$C$105,DA81+逐级计算!$C$105-(10/(逐级计算!$Q$105*LN(10))*(MAX((LN(10^(逐级计算!$Q$105/10)-1)+逐级计算!$Q$105*(DA81-逐级计算!$P$105)*LN(10)/10),0)+LN(1+EXP(-ABS((LN(10^(逐级计算!$Q$105/10)-1)+逐级计算!$Q$105*(DA81-逐级计算!$P$105)*LN(10)/10))))))),"")</f>
        <v>13.7930365742089</v>
      </c>
      <c r="DC81">
        <f>IF(AND(ISNUMBER(DB81),逐级计算!$X$106&gt;-1),IF(逐级计算!$X$106=0,DB81+逐级计算!$C$106,DB81+逐级计算!$C$106-(10/(逐级计算!$Q$106*LN(10))*(MAX((LN(10^(逐级计算!$Q$106/10)-1)+逐级计算!$Q$106*(DB81-逐级计算!$P$106)*LN(10)/10),0)+LN(1+EXP(-ABS((LN(10^(逐级计算!$Q$106/10)-1)+逐级计算!$Q$106*(DB81-逐级计算!$P$106)*LN(10)/10))))))),"")</f>
        <v>13.7930365742089</v>
      </c>
      <c r="DD81">
        <f>IF(AND(ISNUMBER(DC81),逐级计算!$X$107&gt;-1),IF(逐级计算!$X$107=0,DC81+逐级计算!$C$107,DC81+逐级计算!$C$107-(10/(逐级计算!$Q$107*LN(10))*(MAX((LN(10^(逐级计算!$Q$107/10)-1)+逐级计算!$Q$107*(DC81-逐级计算!$P$107)*LN(10)/10),0)+LN(1+EXP(-ABS((LN(10^(逐级计算!$Q$107/10)-1)+逐级计算!$Q$107*(DC81-逐级计算!$P$107)*LN(10)/10))))))),"")</f>
        <v>13.7930365742089</v>
      </c>
      <c r="DE81">
        <f>IF(AND(ISNUMBER(DD81),逐级计算!$X$108&gt;-1),IF(逐级计算!$X$108=0,DD81+逐级计算!$C$108,DD81+逐级计算!$C$108-(10/(逐级计算!$Q$108*LN(10))*(MAX((LN(10^(逐级计算!$Q$108/10)-1)+逐级计算!$Q$108*(DD81-逐级计算!$P$108)*LN(10)/10),0)+LN(1+EXP(-ABS((LN(10^(逐级计算!$Q$108/10)-1)+逐级计算!$Q$108*(DD81-逐级计算!$P$108)*LN(10)/10))))))),"")</f>
        <v>13.7930365742089</v>
      </c>
      <c r="DF81">
        <f>IF(AND(ISNUMBER(DE81),逐级计算!$X$109&gt;-1),IF(逐级计算!$X$109=0,DE81+逐级计算!$C$109,DE81+逐级计算!$C$109-(10/(逐级计算!$Q$109*LN(10))*(MAX((LN(10^(逐级计算!$Q$109/10)-1)+逐级计算!$Q$109*(DE81-逐级计算!$P$109)*LN(10)/10),0)+LN(1+EXP(-ABS((LN(10^(逐级计算!$Q$109/10)-1)+逐级计算!$Q$109*(DE81-逐级计算!$P$109)*LN(10)/10))))))),"")</f>
        <v>13.7930365742089</v>
      </c>
      <c r="DG81">
        <f>IF(AND(ISNUMBER(DF81),逐级计算!$X$110&gt;-1),IF(逐级计算!$X$110=0,DF81+逐级计算!$C$110,DF81+逐级计算!$C$110-(10/(逐级计算!$Q$110*LN(10))*(MAX((LN(10^(逐级计算!$Q$110/10)-1)+逐级计算!$Q$110*(DF81-逐级计算!$P$110)*LN(10)/10),0)+LN(1+EXP(-ABS((LN(10^(逐级计算!$Q$110/10)-1)+逐级计算!$Q$110*(DF81-逐级计算!$P$110)*LN(10)/10))))))),"")</f>
        <v>13.7930365742089</v>
      </c>
      <c r="DH81">
        <f>IF(AND(ISNUMBER(DG81),逐级计算!$X$111&gt;-1),IF(逐级计算!$X$111=0,DG81+逐级计算!$C$111,DG81+逐级计算!$C$111-(10/(逐级计算!$Q$111*LN(10))*(MAX((LN(10^(逐级计算!$Q$111/10)-1)+逐级计算!$Q$111*(DG81-逐级计算!$P$111)*LN(10)/10),0)+LN(1+EXP(-ABS((LN(10^(逐级计算!$Q$111/10)-1)+逐级计算!$Q$111*(DG81-逐级计算!$P$111)*LN(10)/10))))))),"")</f>
        <v>13.7930365742089</v>
      </c>
      <c r="DI81">
        <f>IF(AND(ISNUMBER(DH81),逐级计算!$X$112&gt;-1),IF(逐级计算!$X$112=0,DH81+逐级计算!$C$112,DH81+逐级计算!$C$112-(10/(逐级计算!$Q$112*LN(10))*(MAX((LN(10^(逐级计算!$Q$112/10)-1)+逐级计算!$Q$112*(DH81-逐级计算!$P$112)*LN(10)/10),0)+LN(1+EXP(-ABS((LN(10^(逐级计算!$Q$112/10)-1)+逐级计算!$Q$112*(DH81-逐级计算!$P$112)*LN(10)/10))))))),"")</f>
        <v>13.7930365742089</v>
      </c>
      <c r="DJ81">
        <f>IF(AND(ISNUMBER(DI81),逐级计算!$X$113&gt;-1),IF(逐级计算!$X$113=0,DI81+逐级计算!$C$113,DI81+逐级计算!$C$113-(10/(逐级计算!$Q$113*LN(10))*(MAX((LN(10^(逐级计算!$Q$113/10)-1)+逐级计算!$Q$113*(DI81-逐级计算!$P$113)*LN(10)/10),0)+LN(1+EXP(-ABS((LN(10^(逐级计算!$Q$113/10)-1)+逐级计算!$Q$113*(DI81-逐级计算!$P$113)*LN(10)/10))))))),"")</f>
        <v>13.7930365742089</v>
      </c>
      <c r="DK81">
        <f>IF(AND(ISNUMBER(DJ81),逐级计算!$X$114&gt;-1),IF(逐级计算!$X$114=0,DJ81+逐级计算!$C$114,DJ81+逐级计算!$C$114-(10/(逐级计算!$Q$114*LN(10))*(MAX((LN(10^(逐级计算!$Q$114/10)-1)+逐级计算!$Q$114*(DJ81-逐级计算!$P$114)*LN(10)/10),0)+LN(1+EXP(-ABS((LN(10^(逐级计算!$Q$114/10)-1)+逐级计算!$Q$114*(DJ81-逐级计算!$P$114)*LN(10)/10))))))),"")</f>
        <v>13.7930365742089</v>
      </c>
      <c r="DL81">
        <f>IF(AND(ISNUMBER(DK81),逐级计算!$X$115&gt;-1),IF(逐级计算!$X$115=0,DK81+逐级计算!$C$115,DK81+逐级计算!$C$115-(10/(逐级计算!$Q$115*LN(10))*(MAX((LN(10^(逐级计算!$Q$115/10)-1)+逐级计算!$Q$115*(DK81-逐级计算!$P$115)*LN(10)/10),0)+LN(1+EXP(-ABS((LN(10^(逐级计算!$Q$115/10)-1)+逐级计算!$Q$115*(DK81-逐级计算!$P$115)*LN(10)/10))))))),"")</f>
        <v>13.7930365742089</v>
      </c>
      <c r="DM81">
        <f>IF(AND(ISNUMBER(DL81),逐级计算!$X$116&gt;-1),IF(逐级计算!$X$116=0,DL81+逐级计算!$C$116,DL81+逐级计算!$C$116-(10/(逐级计算!$Q$116*LN(10))*(MAX((LN(10^(逐级计算!$Q$116/10)-1)+逐级计算!$Q$116*(DL81-逐级计算!$P$116)*LN(10)/10),0)+LN(1+EXP(-ABS((LN(10^(逐级计算!$Q$116/10)-1)+逐级计算!$Q$116*(DL81-逐级计算!$P$116)*LN(10)/10))))))),"")</f>
        <v>13.7930365742089</v>
      </c>
      <c r="DN81">
        <f>IF(AND(ISNUMBER(DM81),逐级计算!$X$117&gt;-1),IF(逐级计算!$X$117=0,DM81+逐级计算!$C$117,DM81+逐级计算!$C$117-(10/(逐级计算!$Q$117*LN(10))*(MAX((LN(10^(逐级计算!$Q$117/10)-1)+逐级计算!$Q$117*(DM81-逐级计算!$P$117)*LN(10)/10),0)+LN(1+EXP(-ABS((LN(10^(逐级计算!$Q$117/10)-1)+逐级计算!$Q$117*(DM81-逐级计算!$P$117)*LN(10)/10))))))),"")</f>
        <v>13.7930365742089</v>
      </c>
      <c r="DO81">
        <f>IF(AND(ISNUMBER(DN81),逐级计算!$X$118&gt;-1),IF(逐级计算!$X$118=0,DN81+逐级计算!$C$118,DN81+逐级计算!$C$118-(10/(逐级计算!$Q$118*LN(10))*(MAX((LN(10^(逐级计算!$Q$118/10)-1)+逐级计算!$Q$118*(DN81-逐级计算!$P$118)*LN(10)/10),0)+LN(1+EXP(-ABS((LN(10^(逐级计算!$Q$118/10)-1)+逐级计算!$Q$118*(DN81-逐级计算!$P$118)*LN(10)/10))))))),"")</f>
        <v>13.7930365742089</v>
      </c>
      <c r="DP81">
        <f>IF(AND(ISNUMBER(DO81),逐级计算!$X$119&gt;-1),IF(逐级计算!$X$119=0,DO81+逐级计算!$C$119,DO81+逐级计算!$C$119-(10/(逐级计算!$Q$119*LN(10))*(MAX((LN(10^(逐级计算!$Q$119/10)-1)+逐级计算!$Q$119*(DO81-逐级计算!$P$119)*LN(10)/10),0)+LN(1+EXP(-ABS((LN(10^(逐级计算!$Q$119/10)-1)+逐级计算!$Q$119*(DO81-逐级计算!$P$119)*LN(10)/10))))))),"")</f>
        <v>13.7930365742089</v>
      </c>
      <c r="DQ81">
        <f>IF(AND(ISNUMBER(DP81),逐级计算!$X$120&gt;-1),IF(逐级计算!$X$120=0,DP81+逐级计算!$C$120,DP81+逐级计算!$C$120-(10/(逐级计算!$Q$120*LN(10))*(MAX((LN(10^(逐级计算!$Q$120/10)-1)+逐级计算!$Q$120*(DP81-逐级计算!$P$120)*LN(10)/10),0)+LN(1+EXP(-ABS((LN(10^(逐级计算!$Q$120/10)-1)+逐级计算!$Q$120*(DP81-逐级计算!$P$120)*LN(10)/10))))))),"")</f>
        <v>13.7930365742089</v>
      </c>
      <c r="DR81">
        <f>IF(AND(ISNUMBER(DQ81),逐级计算!$X$121&gt;-1),IF(逐级计算!$X$121=0,DQ81+逐级计算!$C$121,DQ81+逐级计算!$C$121-(10/(逐级计算!$Q$121*LN(10))*(MAX((LN(10^(逐级计算!$Q$121/10)-1)+逐级计算!$Q$121*(DQ81-逐级计算!$P$121)*LN(10)/10),0)+LN(1+EXP(-ABS((LN(10^(逐级计算!$Q$121/10)-1)+逐级计算!$Q$121*(DQ81-逐级计算!$P$121)*LN(10)/10))))))),"")</f>
        <v>13.7930365742089</v>
      </c>
      <c r="DS81">
        <f>IF(AND(ISNUMBER(DR81),逐级计算!$X$122&gt;-1),IF(逐级计算!$X$122=0,DR81+逐级计算!$C$122,DR81+逐级计算!$C$122-(10/(逐级计算!$Q$122*LN(10))*(MAX((LN(10^(逐级计算!$Q$122/10)-1)+逐级计算!$Q$122*(DR81-逐级计算!$P$122)*LN(10)/10),0)+LN(1+EXP(-ABS((LN(10^(逐级计算!$Q$122/10)-1)+逐级计算!$Q$122*(DR81-逐级计算!$P$122)*LN(10)/10))))))),"")</f>
        <v>13.7930365742089</v>
      </c>
      <c r="DT81">
        <f>IF(AND(ISNUMBER(DS81),逐级计算!$X$123&gt;-1),IF(逐级计算!$X$123=0,DS81+逐级计算!$C$123,DS81+逐级计算!$C$123-(10/(逐级计算!$Q$123*LN(10))*(MAX((LN(10^(逐级计算!$Q$123/10)-1)+逐级计算!$Q$123*(DS81-逐级计算!$P$123)*LN(10)/10),0)+LN(1+EXP(-ABS((LN(10^(逐级计算!$Q$123/10)-1)+逐级计算!$Q$123*(DS81-逐级计算!$P$123)*LN(10)/10))))))),"")</f>
        <v>13.7930365742089</v>
      </c>
      <c r="DU81">
        <f>IF(AND(ISNUMBER(DT81),逐级计算!$X$124&gt;-1),IF(逐级计算!$X$124=0,DT81+逐级计算!$C$124,DT81+逐级计算!$C$124-(10/(逐级计算!$Q$124*LN(10))*(MAX((LN(10^(逐级计算!$Q$124/10)-1)+逐级计算!$Q$124*(DT81-逐级计算!$P$124)*LN(10)/10),0)+LN(1+EXP(-ABS((LN(10^(逐级计算!$Q$124/10)-1)+逐级计算!$Q$124*(DT81-逐级计算!$P$124)*LN(10)/10))))))),"")</f>
        <v>13.7930365742089</v>
      </c>
      <c r="DV81">
        <f>IF(AND(ISNUMBER(DU81),逐级计算!$X$125&gt;-1),IF(逐级计算!$X$125=0,DU81+逐级计算!$C$125,DU81+逐级计算!$C$125-(10/(逐级计算!$Q$125*LN(10))*(MAX((LN(10^(逐级计算!$Q$125/10)-1)+逐级计算!$Q$125*(DU81-逐级计算!$P$125)*LN(10)/10),0)+LN(1+EXP(-ABS((LN(10^(逐级计算!$Q$125/10)-1)+逐级计算!$Q$125*(DU81-逐级计算!$P$125)*LN(10)/10))))))),"")</f>
        <v>13.7930365742089</v>
      </c>
      <c r="DW81">
        <f>IF(AND(ISNUMBER(DV81),逐级计算!$X$126&gt;-1),IF(逐级计算!$X$126=0,DV81+逐级计算!$C$126,DV81+逐级计算!$C$126-(10/(逐级计算!$Q$126*LN(10))*(MAX((LN(10^(逐级计算!$Q$126/10)-1)+逐级计算!$Q$126*(DV81-逐级计算!$P$126)*LN(10)/10),0)+LN(1+EXP(-ABS((LN(10^(逐级计算!$Q$126/10)-1)+逐级计算!$Q$126*(DV81-逐级计算!$P$126)*LN(10)/10))))))),"")</f>
        <v>13.7930365742089</v>
      </c>
      <c r="DX81">
        <f>IF(AND(ISNUMBER(DW81),逐级计算!$X$127&gt;-1),IF(逐级计算!$X$127=0,DW81+逐级计算!$C$127,DW81+逐级计算!$C$127-(10/(逐级计算!$Q$127*LN(10))*(MAX((LN(10^(逐级计算!$Q$127/10)-1)+逐级计算!$Q$127*(DW81-逐级计算!$P$127)*LN(10)/10),0)+LN(1+EXP(-ABS((LN(10^(逐级计算!$Q$127/10)-1)+逐级计算!$Q$127*(DW81-逐级计算!$P$127)*LN(10)/10))))))),"")</f>
        <v>13.7930365742089</v>
      </c>
      <c r="DY81">
        <f>IF(AND(ISNUMBER(DX81),逐级计算!$X$128&gt;-1),IF(逐级计算!$X$128=0,DX81+逐级计算!$C$128,DX81+逐级计算!$C$128-(10/(逐级计算!$Q$128*LN(10))*(MAX((LN(10^(逐级计算!$Q$128/10)-1)+逐级计算!$Q$128*(DX81-逐级计算!$P$128)*LN(10)/10),0)+LN(1+EXP(-ABS((LN(10^(逐级计算!$Q$128/10)-1)+逐级计算!$Q$128*(DX81-逐级计算!$P$128)*LN(10)/10))))))),"")</f>
        <v>13.7930365742089</v>
      </c>
      <c r="DZ81">
        <f>IF(AND(ISNUMBER(DY81),逐级计算!$X$129&gt;-1),IF(逐级计算!$X$129=0,DY81+逐级计算!$C$129,DY81+逐级计算!$C$129-(10/(逐级计算!$Q$129*LN(10))*(MAX((LN(10^(逐级计算!$Q$129/10)-1)+逐级计算!$Q$129*(DY81-逐级计算!$P$129)*LN(10)/10),0)+LN(1+EXP(-ABS((LN(10^(逐级计算!$Q$129/10)-1)+逐级计算!$Q$129*(DY81-逐级计算!$P$129)*LN(10)/10))))))),"")</f>
        <v>13.7930365742089</v>
      </c>
      <c r="EA81">
        <f>IF(AND(ISNUMBER(DZ81),逐级计算!$X$130&gt;-1),IF(逐级计算!$X$130=0,DZ81+逐级计算!$C$130,DZ81+逐级计算!$C$130-(10/(逐级计算!$Q$130*LN(10))*(MAX((LN(10^(逐级计算!$Q$130/10)-1)+逐级计算!$Q$130*(DZ81-逐级计算!$P$130)*LN(10)/10),0)+LN(1+EXP(-ABS((LN(10^(逐级计算!$Q$130/10)-1)+逐级计算!$Q$130*(DZ81-逐级计算!$P$130)*LN(10)/10))))))),"")</f>
        <v>13.7930365742089</v>
      </c>
      <c r="EB81">
        <f>IF(AND(ISNUMBER(EA81),逐级计算!$X$131&gt;-1),IF(逐级计算!$X$131=0,EA81+逐级计算!$C$131,EA81+逐级计算!$C$131-(10/(逐级计算!$Q$131*LN(10))*(MAX((LN(10^(逐级计算!$Q$131/10)-1)+逐级计算!$Q$131*(EA81-逐级计算!$P$131)*LN(10)/10),0)+LN(1+EXP(-ABS((LN(10^(逐级计算!$Q$131/10)-1)+逐级计算!$Q$131*(EA81-逐级计算!$P$131)*LN(10)/10))))))),"")</f>
        <v>13.7930365742089</v>
      </c>
      <c r="EC81">
        <f>IF(AND(ISNUMBER(EB81),逐级计算!$X$132&gt;-1),IF(逐级计算!$X$132=0,EB81+逐级计算!$C$132,EB81+逐级计算!$C$132-(10/(逐级计算!$Q$132*LN(10))*(MAX((LN(10^(逐级计算!$Q$132/10)-1)+逐级计算!$Q$132*(EB81-逐级计算!$P$132)*LN(10)/10),0)+LN(1+EXP(-ABS((LN(10^(逐级计算!$Q$132/10)-1)+逐级计算!$Q$132*(EB81-逐级计算!$P$132)*LN(10)/10))))))),"")</f>
        <v>13.7930365742089</v>
      </c>
      <c r="ED81">
        <f>IF(AND(ISNUMBER(EC81),逐级计算!$X$133&gt;-1),IF(逐级计算!$X$133=0,EC81+逐级计算!$C$133,EC81+逐级计算!$C$133-(10/(逐级计算!$Q$133*LN(10))*(MAX((LN(10^(逐级计算!$Q$133/10)-1)+逐级计算!$Q$133*(EC81-逐级计算!$P$133)*LN(10)/10),0)+LN(1+EXP(-ABS((LN(10^(逐级计算!$Q$133/10)-1)+逐级计算!$Q$133*(EC81-逐级计算!$P$133)*LN(10)/10))))))),"")</f>
        <v>13.7930365742089</v>
      </c>
      <c r="EE81">
        <f>IF(AND(ISNUMBER(ED81),逐级计算!$X$134&gt;-1),IF(逐级计算!$X$134=0,ED81+逐级计算!$C$134,ED81+逐级计算!$C$134-(10/(逐级计算!$Q$134*LN(10))*(MAX((LN(10^(逐级计算!$Q$134/10)-1)+逐级计算!$Q$134*(ED81-逐级计算!$P$134)*LN(10)/10),0)+LN(1+EXP(-ABS((LN(10^(逐级计算!$Q$134/10)-1)+逐级计算!$Q$134*(ED81-逐级计算!$P$134)*LN(10)/10))))))),"")</f>
        <v>13.7930365742089</v>
      </c>
      <c r="EF81">
        <f>IF(AND(ISNUMBER(EE81),逐级计算!$X$135&gt;-1),IF(逐级计算!$X$135=0,EE81+逐级计算!$C$135,EE81+逐级计算!$C$135-(10/(逐级计算!$Q$135*LN(10))*(MAX((LN(10^(逐级计算!$Q$135/10)-1)+逐级计算!$Q$135*(EE81-逐级计算!$P$135)*LN(10)/10),0)+LN(1+EXP(-ABS((LN(10^(逐级计算!$Q$135/10)-1)+逐级计算!$Q$135*(EE81-逐级计算!$P$135)*LN(10)/10))))))),"")</f>
        <v>13.7930365742089</v>
      </c>
      <c r="EG81">
        <f>IF(AND(ISNUMBER(EF81),逐级计算!$X$136&gt;-1),IF(逐级计算!$X$136=0,EF81+逐级计算!$C$136,EF81+逐级计算!$C$136-(10/(逐级计算!$Q$136*LN(10))*(MAX((LN(10^(逐级计算!$Q$136/10)-1)+逐级计算!$Q$136*(EF81-逐级计算!$P$136)*LN(10)/10),0)+LN(1+EXP(-ABS((LN(10^(逐级计算!$Q$136/10)-1)+逐级计算!$Q$136*(EF81-逐级计算!$P$136)*LN(10)/10))))))),"")</f>
        <v>13.7930365742089</v>
      </c>
      <c r="EH81">
        <f>IF(AND(ISNUMBER(EG81),逐级计算!$X$137&gt;-1),IF(逐级计算!$X$137=0,EG81+逐级计算!$C$137,EG81+逐级计算!$C$137-(10/(逐级计算!$Q$137*LN(10))*(MAX((LN(10^(逐级计算!$Q$137/10)-1)+逐级计算!$Q$137*(EG81-逐级计算!$P$137)*LN(10)/10),0)+LN(1+EXP(-ABS((LN(10^(逐级计算!$Q$137/10)-1)+逐级计算!$Q$137*(EG81-逐级计算!$P$137)*LN(10)/10))))))),"")</f>
        <v>13.7930365742089</v>
      </c>
      <c r="EI81">
        <f>IF(AND(ISNUMBER(EH81),逐级计算!$X$138&gt;-1),IF(逐级计算!$X$138=0,EH81+逐级计算!$C$138,EH81+逐级计算!$C$138-(10/(逐级计算!$Q$138*LN(10))*(MAX((LN(10^(逐级计算!$Q$138/10)-1)+逐级计算!$Q$138*(EH81-逐级计算!$P$138)*LN(10)/10),0)+LN(1+EXP(-ABS((LN(10^(逐级计算!$Q$138/10)-1)+逐级计算!$Q$138*(EH81-逐级计算!$P$138)*LN(10)/10))))))),"")</f>
        <v>13.7930365742089</v>
      </c>
      <c r="EJ81">
        <f>IF(AND(ISNUMBER(EI81),逐级计算!$X$139&gt;-1),IF(逐级计算!$X$139=0,EI81+逐级计算!$C$139,EI81+逐级计算!$C$139-(10/(逐级计算!$Q$139*LN(10))*(MAX((LN(10^(逐级计算!$Q$139/10)-1)+逐级计算!$Q$139*(EI81-逐级计算!$P$139)*LN(10)/10),0)+LN(1+EXP(-ABS((LN(10^(逐级计算!$Q$139/10)-1)+逐级计算!$Q$139*(EI81-逐级计算!$P$139)*LN(10)/10))))))),"")</f>
        <v>13.7930365742089</v>
      </c>
      <c r="EK81">
        <f>IF(AND(ISNUMBER(EJ81),逐级计算!$X$140&gt;-1),IF(逐级计算!$X$140=0,EJ81+逐级计算!$C$140,EJ81+逐级计算!$C$140-(10/(逐级计算!$Q$140*LN(10))*(MAX((LN(10^(逐级计算!$Q$140/10)-1)+逐级计算!$Q$140*(EJ81-逐级计算!$P$140)*LN(10)/10),0)+LN(1+EXP(-ABS((LN(10^(逐级计算!$Q$140/10)-1)+逐级计算!$Q$140*(EJ81-逐级计算!$P$140)*LN(10)/10))))))),"")</f>
        <v>13.7930365742089</v>
      </c>
      <c r="EL81">
        <f>IF(AND(ISNUMBER(EK81),逐级计算!$X$141&gt;-1),IF(逐级计算!$X$141=0,EK81+逐级计算!$C$141,EK81+逐级计算!$C$141-(10/(逐级计算!$Q$141*LN(10))*(MAX((LN(10^(逐级计算!$Q$141/10)-1)+逐级计算!$Q$141*(EK81-逐级计算!$P$141)*LN(10)/10),0)+LN(1+EXP(-ABS((LN(10^(逐级计算!$Q$141/10)-1)+逐级计算!$Q$141*(EK81-逐级计算!$P$141)*LN(10)/10))))))),"")</f>
        <v>13.7930365742089</v>
      </c>
      <c r="EM81">
        <f>IF(AND(ISNUMBER(EL81),逐级计算!$X$142&gt;-1),IF(逐级计算!$X$142=0,EL81+逐级计算!$C$142,EL81+逐级计算!$C$142-(10/(逐级计算!$Q$142*LN(10))*(MAX((LN(10^(逐级计算!$Q$142/10)-1)+逐级计算!$Q$142*(EL81-逐级计算!$P$142)*LN(10)/10),0)+LN(1+EXP(-ABS((LN(10^(逐级计算!$Q$142/10)-1)+逐级计算!$Q$142*(EL81-逐级计算!$P$142)*LN(10)/10))))))),"")</f>
        <v>13.7930365742089</v>
      </c>
      <c r="EN81">
        <f>IF(AND(ISNUMBER(EM81),逐级计算!$X$143&gt;-1),IF(逐级计算!$X$143=0,EM81+逐级计算!$C$143,EM81+逐级计算!$C$143-(10/(逐级计算!$Q$143*LN(10))*(MAX((LN(10^(逐级计算!$Q$143/10)-1)+逐级计算!$Q$143*(EM81-逐级计算!$P$143)*LN(10)/10),0)+LN(1+EXP(-ABS((LN(10^(逐级计算!$Q$143/10)-1)+逐级计算!$Q$143*(EM81-逐级计算!$P$143)*LN(10)/10))))))),"")</f>
        <v>13.7930365742089</v>
      </c>
      <c r="EO81">
        <f>IF(AND(ISNUMBER(EN81),逐级计算!$X$144&gt;-1),IF(逐级计算!$X$144=0,EN81+逐级计算!$C$144,EN81+逐级计算!$C$144-(10/(逐级计算!$Q$144*LN(10))*(MAX((LN(10^(逐级计算!$Q$144/10)-1)+逐级计算!$Q$144*(EN81-逐级计算!$P$144)*LN(10)/10),0)+LN(1+EXP(-ABS((LN(10^(逐级计算!$Q$144/10)-1)+逐级计算!$Q$144*(EN81-逐级计算!$P$144)*LN(10)/10))))))),"")</f>
        <v>13.7930365742089</v>
      </c>
      <c r="EP81">
        <f>IF(AND(ISNUMBER(EO81),逐级计算!$X$145&gt;-1),IF(逐级计算!$X$145=0,EO81+逐级计算!$C$145,EO81+逐级计算!$C$145-(10/(逐级计算!$Q$145*LN(10))*(MAX((LN(10^(逐级计算!$Q$145/10)-1)+逐级计算!$Q$145*(EO81-逐级计算!$P$145)*LN(10)/10),0)+LN(1+EXP(-ABS((LN(10^(逐级计算!$Q$145/10)-1)+逐级计算!$Q$145*(EO81-逐级计算!$P$145)*LN(10)/10))))))),"")</f>
        <v>13.7930365742089</v>
      </c>
      <c r="EQ81">
        <f>IF(AND(ISNUMBER(EP81),逐级计算!$X$146&gt;-1),IF(逐级计算!$X$146=0,EP81+逐级计算!$C$146,EP81+逐级计算!$C$146-(10/(逐级计算!$Q$146*LN(10))*(MAX((LN(10^(逐级计算!$Q$146/10)-1)+逐级计算!$Q$146*(EP81-逐级计算!$P$146)*LN(10)/10),0)+LN(1+EXP(-ABS((LN(10^(逐级计算!$Q$146/10)-1)+逐级计算!$Q$146*(EP81-逐级计算!$P$146)*LN(10)/10))))))),"")</f>
        <v>13.7930365742089</v>
      </c>
      <c r="ER81">
        <f>IF(AND(ISNUMBER(EQ81),逐级计算!$X$147&gt;-1),IF(逐级计算!$X$147=0,EQ81+逐级计算!$C$147,EQ81+逐级计算!$C$147-(10/(逐级计算!$Q$147*LN(10))*(MAX((LN(10^(逐级计算!$Q$147/10)-1)+逐级计算!$Q$147*(EQ81-逐级计算!$P$147)*LN(10)/10),0)+LN(1+EXP(-ABS((LN(10^(逐级计算!$Q$147/10)-1)+逐级计算!$Q$147*(EQ81-逐级计算!$P$147)*LN(10)/10))))))),"")</f>
        <v>13.7930365742089</v>
      </c>
      <c r="ES81">
        <f>IF(AND(ISNUMBER(ER81),逐级计算!$X$148&gt;-1),IF(逐级计算!$X$148=0,ER81+逐级计算!$C$148,ER81+逐级计算!$C$148-(10/(逐级计算!$Q$148*LN(10))*(MAX((LN(10^(逐级计算!$Q$148/10)-1)+逐级计算!$Q$148*(ER81-逐级计算!$P$148)*LN(10)/10),0)+LN(1+EXP(-ABS((LN(10^(逐级计算!$Q$148/10)-1)+逐级计算!$Q$148*(ER81-逐级计算!$P$148)*LN(10)/10))))))),"")</f>
        <v>13.7930365742089</v>
      </c>
      <c r="ET81">
        <f>IF(AND(ISNUMBER(ES81),逐级计算!$X$149&gt;-1),IF(逐级计算!$X$149=0,ES81+逐级计算!$C$149,ES81+逐级计算!$C$149-(10/(逐级计算!$Q$149*LN(10))*(MAX((LN(10^(逐级计算!$Q$149/10)-1)+逐级计算!$Q$149*(ES81-逐级计算!$P$149)*LN(10)/10),0)+LN(1+EXP(-ABS((LN(10^(逐级计算!$Q$149/10)-1)+逐级计算!$Q$149*(ES81-逐级计算!$P$149)*LN(10)/10))))))),"")</f>
        <v>13.7930365742089</v>
      </c>
      <c r="EU81">
        <f>IF(AND(ISNUMBER(ET81),逐级计算!$X$150&gt;-1),IF(逐级计算!$X$150=0,ET81+逐级计算!$C$150,ET81+逐级计算!$C$150-(10/(逐级计算!$Q$150*LN(10))*(MAX((LN(10^(逐级计算!$Q$150/10)-1)+逐级计算!$Q$150*(ET81-逐级计算!$P$150)*LN(10)/10),0)+LN(1+EXP(-ABS((LN(10^(逐级计算!$Q$150/10)-1)+逐级计算!$Q$150*(ET81-逐级计算!$P$150)*LN(10)/10))))))),"")</f>
        <v>13.7930365742089</v>
      </c>
      <c r="EV81">
        <f>IF(AND(ISNUMBER(EU81),逐级计算!$X$151&gt;-1),IF(逐级计算!$X$151=0,EU81+逐级计算!$C$151,EU81+逐级计算!$C$151-(10/(逐级计算!$Q$151*LN(10))*(MAX((LN(10^(逐级计算!$Q$151/10)-1)+逐级计算!$Q$151*(EU81-逐级计算!$P$151)*LN(10)/10),0)+LN(1+EXP(-ABS((LN(10^(逐级计算!$Q$151/10)-1)+逐级计算!$Q$151*(EU81-逐级计算!$P$151)*LN(10)/10))))))),"")</f>
        <v>13.7930365742089</v>
      </c>
      <c r="EW81">
        <f>IF(AND(ISNUMBER(EV81),逐级计算!$X$152&gt;-1),IF(逐级计算!$X$152=0,EV81+逐级计算!$C$152,EV81+逐级计算!$C$152-(10/(逐级计算!$Q$152*LN(10))*(MAX((LN(10^(逐级计算!$Q$152/10)-1)+逐级计算!$Q$152*(EV81-逐级计算!$P$152)*LN(10)/10),0)+LN(1+EXP(-ABS((LN(10^(逐级计算!$Q$152/10)-1)+逐级计算!$Q$152*(EV81-逐级计算!$P$152)*LN(10)/10))))))),"")</f>
        <v>13.7930365742089</v>
      </c>
      <c r="EX81">
        <f>IF(AND(ISNUMBER(EW81),逐级计算!$X$153&gt;-1),IF(逐级计算!$X$153=0,EW81+逐级计算!$C$153,EW81+逐级计算!$C$153-(10/(逐级计算!$Q$153*LN(10))*(MAX((LN(10^(逐级计算!$Q$153/10)-1)+逐级计算!$Q$153*(EW81-逐级计算!$P$153)*LN(10)/10),0)+LN(1+EXP(-ABS((LN(10^(逐级计算!$Q$153/10)-1)+逐级计算!$Q$153*(EW81-逐级计算!$P$153)*LN(10)/10))))))),"")</f>
        <v>13.7930365742089</v>
      </c>
      <c r="EY81">
        <f>IF(AND(ISNUMBER(EX81),逐级计算!$X$154&gt;-1),IF(逐级计算!$X$154=0,EX81+逐级计算!$C$154,EX81+逐级计算!$C$154-(10/(逐级计算!$Q$154*LN(10))*(MAX((LN(10^(逐级计算!$Q$154/10)-1)+逐级计算!$Q$154*(EX81-逐级计算!$P$154)*LN(10)/10),0)+LN(1+EXP(-ABS((LN(10^(逐级计算!$Q$154/10)-1)+逐级计算!$Q$154*(EX81-逐级计算!$P$154)*LN(10)/10))))))),"")</f>
        <v>13.7930365742089</v>
      </c>
      <c r="EZ81">
        <f>IF(AND(ISNUMBER(EY81),逐级计算!$X$155&gt;-1),IF(逐级计算!$X$155=0,EY81+逐级计算!$C$155,EY81+逐级计算!$C$155-(10/(逐级计算!$Q$155*LN(10))*(MAX((LN(10^(逐级计算!$Q$155/10)-1)+逐级计算!$Q$155*(EY81-逐级计算!$P$155)*LN(10)/10),0)+LN(1+EXP(-ABS((LN(10^(逐级计算!$Q$155/10)-1)+逐级计算!$Q$155*(EY81-逐级计算!$P$155)*LN(10)/10))))))),"")</f>
        <v>13.7930365742089</v>
      </c>
      <c r="FA81">
        <f>IF(AND(ISNUMBER(EZ81),逐级计算!$X$156&gt;-1),IF(逐级计算!$X$156=0,EZ81+逐级计算!$C$156,EZ81+逐级计算!$C$156-(10/(逐级计算!$Q$156*LN(10))*(MAX((LN(10^(逐级计算!$Q$156/10)-1)+逐级计算!$Q$156*(EZ81-逐级计算!$P$156)*LN(10)/10),0)+LN(1+EXP(-ABS((LN(10^(逐级计算!$Q$156/10)-1)+逐级计算!$Q$156*(EZ81-逐级计算!$P$156)*LN(10)/10))))))),"")</f>
        <v>13.7930365742089</v>
      </c>
      <c r="FB81">
        <f>IF(AND(ISNUMBER(FA81),逐级计算!$X$157&gt;-1),IF(逐级计算!$X$157=0,FA81+逐级计算!$C$157,FA81+逐级计算!$C$157-(10/(逐级计算!$Q$157*LN(10))*(MAX((LN(10^(逐级计算!$Q$157/10)-1)+逐级计算!$Q$157*(FA81-逐级计算!$P$157)*LN(10)/10),0)+LN(1+EXP(-ABS((LN(10^(逐级计算!$Q$157/10)-1)+逐级计算!$Q$157*(FA81-逐级计算!$P$157)*LN(10)/10))))))),"")</f>
        <v>13.7930365742089</v>
      </c>
      <c r="FC81">
        <f>IF(AND(ISNUMBER(FB81),逐级计算!$X$158&gt;-1),IF(逐级计算!$X$158=0,FB81+逐级计算!$C$158,FB81+逐级计算!$C$158-(10/(逐级计算!$Q$158*LN(10))*(MAX((LN(10^(逐级计算!$Q$158/10)-1)+逐级计算!$Q$158*(FB81-逐级计算!$P$158)*LN(10)/10),0)+LN(1+EXP(-ABS((LN(10^(逐级计算!$Q$158/10)-1)+逐级计算!$Q$158*(FB81-逐级计算!$P$158)*LN(10)/10))))))),"")</f>
        <v>13.7930365742089</v>
      </c>
      <c r="FD81">
        <f>IF(AND(ISNUMBER(FC81),逐级计算!$X$159&gt;-1),IF(逐级计算!$X$159=0,FC81+逐级计算!$C$159,FC81+逐级计算!$C$159-(10/(逐级计算!$Q$159*LN(10))*(MAX((LN(10^(逐级计算!$Q$159/10)-1)+逐级计算!$Q$159*(FC81-逐级计算!$P$159)*LN(10)/10),0)+LN(1+EXP(-ABS((LN(10^(逐级计算!$Q$159/10)-1)+逐级计算!$Q$159*(FC81-逐级计算!$P$159)*LN(10)/10))))))),"")</f>
        <v>13.7930365742089</v>
      </c>
      <c r="FE81">
        <f>IF(AND(ISNUMBER(FD81),逐级计算!$X$160&gt;-1),IF(逐级计算!$X$160=0,FD81+逐级计算!$C$160,FD81+逐级计算!$C$160-(10/(逐级计算!$Q$160*LN(10))*(MAX((LN(10^(逐级计算!$Q$160/10)-1)+逐级计算!$Q$160*(FD81-逐级计算!$P$160)*LN(10)/10),0)+LN(1+EXP(-ABS((LN(10^(逐级计算!$Q$160/10)-1)+逐级计算!$Q$160*(FD81-逐级计算!$P$160)*LN(10)/10))))))),"")</f>
        <v>13.7930365742089</v>
      </c>
      <c r="FF81">
        <f>IF(AND(ISNUMBER(FE81),逐级计算!$X$161&gt;-1),IF(逐级计算!$X$161=0,FE81+逐级计算!$C$161,FE81+逐级计算!$C$161-(10/(逐级计算!$Q$161*LN(10))*(MAX((LN(10^(逐级计算!$Q$161/10)-1)+逐级计算!$Q$161*(FE81-逐级计算!$P$161)*LN(10)/10),0)+LN(1+EXP(-ABS((LN(10^(逐级计算!$Q$161/10)-1)+逐级计算!$Q$161*(FE81-逐级计算!$P$161)*LN(10)/10))))))),"")</f>
        <v>13.7930365742089</v>
      </c>
      <c r="FG81">
        <f>IF(AND(ISNUMBER(FF81),逐级计算!$X$162&gt;-1),IF(逐级计算!$X$162=0,FF81+逐级计算!$C$162,FF81+逐级计算!$C$162-(10/(逐级计算!$Q$162*LN(10))*(MAX((LN(10^(逐级计算!$Q$162/10)-1)+逐级计算!$Q$162*(FF81-逐级计算!$P$162)*LN(10)/10),0)+LN(1+EXP(-ABS((LN(10^(逐级计算!$Q$162/10)-1)+逐级计算!$Q$162*(FF81-逐级计算!$P$162)*LN(10)/10))))))),"")</f>
        <v>13.7930365742089</v>
      </c>
      <c r="FH81">
        <f>IF(AND(ISNUMBER(FG81),逐级计算!$X$163&gt;-1),IF(逐级计算!$X$163=0,FG81+逐级计算!$C$163,FG81+逐级计算!$C$163-(10/(逐级计算!$Q$163*LN(10))*(MAX((LN(10^(逐级计算!$Q$163/10)-1)+逐级计算!$Q$163*(FG81-逐级计算!$P$163)*LN(10)/10),0)+LN(1+EXP(-ABS((LN(10^(逐级计算!$Q$163/10)-1)+逐级计算!$Q$163*(FG81-逐级计算!$P$163)*LN(10)/10))))))),"")</f>
        <v>13.7930365742089</v>
      </c>
      <c r="FI81">
        <f>IF(AND(ISNUMBER(FH81),逐级计算!$X$164&gt;-1),IF(逐级计算!$X$164=0,FH81+逐级计算!$C$164,FH81+逐级计算!$C$164-(10/(逐级计算!$Q$164*LN(10))*(MAX((LN(10^(逐级计算!$Q$164/10)-1)+逐级计算!$Q$164*(FH81-逐级计算!$P$164)*LN(10)/10),0)+LN(1+EXP(-ABS((LN(10^(逐级计算!$Q$164/10)-1)+逐级计算!$Q$164*(FH81-逐级计算!$P$164)*LN(10)/10))))))),"")</f>
        <v>13.7930365742089</v>
      </c>
      <c r="FJ81">
        <f>IF(AND(ISNUMBER(FI81),逐级计算!$X$165&gt;-1),IF(逐级计算!$X$165=0,FI81+逐级计算!$C$165,FI81+逐级计算!$C$165-(10/(逐级计算!$Q$165*LN(10))*(MAX((LN(10^(逐级计算!$Q$165/10)-1)+逐级计算!$Q$165*(FI81-逐级计算!$P$165)*LN(10)/10),0)+LN(1+EXP(-ABS((LN(10^(逐级计算!$Q$165/10)-1)+逐级计算!$Q$165*(FI81-逐级计算!$P$165)*LN(10)/10))))))),"")</f>
        <v>13.7930365742089</v>
      </c>
      <c r="FK81">
        <f>IF(AND(ISNUMBER(FJ81),逐级计算!$X$166&gt;-1),IF(逐级计算!$X$166=0,FJ81+逐级计算!$C$166,FJ81+逐级计算!$C$166-(10/(逐级计算!$Q$166*LN(10))*(MAX((LN(10^(逐级计算!$Q$166/10)-1)+逐级计算!$Q$166*(FJ81-逐级计算!$P$166)*LN(10)/10),0)+LN(1+EXP(-ABS((LN(10^(逐级计算!$Q$166/10)-1)+逐级计算!$Q$166*(FJ81-逐级计算!$P$166)*LN(10)/10))))))),"")</f>
        <v>13.7930365742089</v>
      </c>
      <c r="FL81">
        <f>IF(AND(ISNUMBER(FK81),逐级计算!$X$167&gt;-1),IF(逐级计算!$X$167=0,FK81+逐级计算!$C$167,FK81+逐级计算!$C$167-(10/(逐级计算!$Q$167*LN(10))*(MAX((LN(10^(逐级计算!$Q$167/10)-1)+逐级计算!$Q$167*(FK81-逐级计算!$P$167)*LN(10)/10),0)+LN(1+EXP(-ABS((LN(10^(逐级计算!$Q$167/10)-1)+逐级计算!$Q$167*(FK81-逐级计算!$P$167)*LN(10)/10))))))),"")</f>
        <v>13.7930365742089</v>
      </c>
      <c r="FM81">
        <f>IF(AND(ISNUMBER(FL81),逐级计算!$X$168&gt;-1),IF(逐级计算!$X$168=0,FL81+逐级计算!$C$168,FL81+逐级计算!$C$168-(10/(逐级计算!$Q$168*LN(10))*(MAX((LN(10^(逐级计算!$Q$168/10)-1)+逐级计算!$Q$168*(FL81-逐级计算!$P$168)*LN(10)/10),0)+LN(1+EXP(-ABS((LN(10^(逐级计算!$Q$168/10)-1)+逐级计算!$Q$168*(FL81-逐级计算!$P$168)*LN(10)/10))))))),"")</f>
        <v>13.7930365742089</v>
      </c>
      <c r="FN81">
        <f>IF(AND(ISNUMBER(FM81),逐级计算!$X$169&gt;-1),IF(逐级计算!$X$169=0,FM81+逐级计算!$C$169,FM81+逐级计算!$C$169-(10/(逐级计算!$Q$169*LN(10))*(MAX((LN(10^(逐级计算!$Q$169/10)-1)+逐级计算!$Q$169*(FM81-逐级计算!$P$169)*LN(10)/10),0)+LN(1+EXP(-ABS((LN(10^(逐级计算!$Q$169/10)-1)+逐级计算!$Q$169*(FM81-逐级计算!$P$169)*LN(10)/10))))))),"")</f>
        <v>13.7930365742089</v>
      </c>
      <c r="FO81">
        <f>IF(AND(ISNUMBER(FN81),逐级计算!$X$170&gt;-1),IF(逐级计算!$X$170=0,FN81+逐级计算!$C$170,FN81+逐级计算!$C$170-(10/(逐级计算!$Q$170*LN(10))*(MAX((LN(10^(逐级计算!$Q$170/10)-1)+逐级计算!$Q$170*(FN81-逐级计算!$P$170)*LN(10)/10),0)+LN(1+EXP(-ABS((LN(10^(逐级计算!$Q$170/10)-1)+逐级计算!$Q$170*(FN81-逐级计算!$P$170)*LN(10)/10))))))),"")</f>
        <v>13.7930365742089</v>
      </c>
      <c r="FP81">
        <f>IF(AND(ISNUMBER(FO81),逐级计算!$X$171&gt;-1),IF(逐级计算!$X$171=0,FO81+逐级计算!$C$171,FO81+逐级计算!$C$171-(10/(逐级计算!$Q$171*LN(10))*(MAX((LN(10^(逐级计算!$Q$171/10)-1)+逐级计算!$Q$171*(FO81-逐级计算!$P$171)*LN(10)/10),0)+LN(1+EXP(-ABS((LN(10^(逐级计算!$Q$171/10)-1)+逐级计算!$Q$171*(FO81-逐级计算!$P$171)*LN(10)/10))))))),"")</f>
        <v>13.7930365742089</v>
      </c>
      <c r="FQ81">
        <f>IF(AND(ISNUMBER(FP81),逐级计算!$X$172&gt;-1),IF(逐级计算!$X$172=0,FP81+逐级计算!$C$172,FP81+逐级计算!$C$172-(10/(逐级计算!$Q$172*LN(10))*(MAX((LN(10^(逐级计算!$Q$172/10)-1)+逐级计算!$Q$172*(FP81-逐级计算!$P$172)*LN(10)/10),0)+LN(1+EXP(-ABS((LN(10^(逐级计算!$Q$172/10)-1)+逐级计算!$Q$172*(FP81-逐级计算!$P$172)*LN(10)/10))))))),"")</f>
        <v>13.7930365742089</v>
      </c>
      <c r="FR81">
        <f>IF(AND(ISNUMBER(FQ81),逐级计算!$X$173&gt;-1),IF(逐级计算!$X$173=0,FQ81+逐级计算!$C$173,FQ81+逐级计算!$C$173-(10/(逐级计算!$Q$173*LN(10))*(MAX((LN(10^(逐级计算!$Q$173/10)-1)+逐级计算!$Q$173*(FQ81-逐级计算!$P$173)*LN(10)/10),0)+LN(1+EXP(-ABS((LN(10^(逐级计算!$Q$173/10)-1)+逐级计算!$Q$173*(FQ81-逐级计算!$P$173)*LN(10)/10))))))),"")</f>
        <v>13.7930365742089</v>
      </c>
      <c r="FS81">
        <f>IF(AND(ISNUMBER(FR81),逐级计算!$X$174&gt;-1),IF(逐级计算!$X$174=0,FR81+逐级计算!$C$174,FR81+逐级计算!$C$174-(10/(逐级计算!$Q$174*LN(10))*(MAX((LN(10^(逐级计算!$Q$174/10)-1)+逐级计算!$Q$174*(FR81-逐级计算!$P$174)*LN(10)/10),0)+LN(1+EXP(-ABS((LN(10^(逐级计算!$Q$174/10)-1)+逐级计算!$Q$174*(FR81-逐级计算!$P$174)*LN(10)/10))))))),"")</f>
        <v>13.7930365742089</v>
      </c>
      <c r="FT81">
        <f>IF(AND(ISNUMBER(FS81),逐级计算!$X$175&gt;-1),IF(逐级计算!$X$175=0,FS81+逐级计算!$C$175,FS81+逐级计算!$C$175-(10/(逐级计算!$Q$175*LN(10))*(MAX((LN(10^(逐级计算!$Q$175/10)-1)+逐级计算!$Q$175*(FS81-逐级计算!$P$175)*LN(10)/10),0)+LN(1+EXP(-ABS((LN(10^(逐级计算!$Q$175/10)-1)+逐级计算!$Q$175*(FS81-逐级计算!$P$175)*LN(10)/10))))))),"")</f>
        <v>13.7930365742089</v>
      </c>
      <c r="FU81">
        <f>IF(AND(ISNUMBER(FT81),逐级计算!$X$176&gt;-1),IF(逐级计算!$X$176=0,FT81+逐级计算!$C$176,FT81+逐级计算!$C$176-(10/(逐级计算!$Q$176*LN(10))*(MAX((LN(10^(逐级计算!$Q$176/10)-1)+逐级计算!$Q$176*(FT81-逐级计算!$P$176)*LN(10)/10),0)+LN(1+EXP(-ABS((LN(10^(逐级计算!$Q$176/10)-1)+逐级计算!$Q$176*(FT81-逐级计算!$P$176)*LN(10)/10))))))),"")</f>
        <v>13.7930365742089</v>
      </c>
      <c r="FV81">
        <f>IF(AND(ISNUMBER(FU81),逐级计算!$X$177&gt;-1),IF(逐级计算!$X$177=0,FU81+逐级计算!$C$177,FU81+逐级计算!$C$177-(10/(逐级计算!$Q$177*LN(10))*(MAX((LN(10^(逐级计算!$Q$177/10)-1)+逐级计算!$Q$177*(FU81-逐级计算!$P$177)*LN(10)/10),0)+LN(1+EXP(-ABS((LN(10^(逐级计算!$Q$177/10)-1)+逐级计算!$Q$177*(FU81-逐级计算!$P$177)*LN(10)/10))))))),"")</f>
        <v>13.7930365742089</v>
      </c>
      <c r="FW81">
        <f>IF(AND(ISNUMBER(FV81),逐级计算!$X$178&gt;-1),IF(逐级计算!$X$178=0,FV81+逐级计算!$C$178,FV81+逐级计算!$C$178-(10/(逐级计算!$Q$178*LN(10))*(MAX((LN(10^(逐级计算!$Q$178/10)-1)+逐级计算!$Q$178*(FV81-逐级计算!$P$178)*LN(10)/10),0)+LN(1+EXP(-ABS((LN(10^(逐级计算!$Q$178/10)-1)+逐级计算!$Q$178*(FV81-逐级计算!$P$178)*LN(10)/10))))))),"")</f>
        <v>13.7930365742089</v>
      </c>
      <c r="FX81">
        <f>IF(AND(ISNUMBER(FW81),逐级计算!$X$179&gt;-1),IF(逐级计算!$X$179=0,FW81+逐级计算!$C$179,FW81+逐级计算!$C$179-(10/(逐级计算!$Q$179*LN(10))*(MAX((LN(10^(逐级计算!$Q$179/10)-1)+逐级计算!$Q$179*(FW81-逐级计算!$P$179)*LN(10)/10),0)+LN(1+EXP(-ABS((LN(10^(逐级计算!$Q$179/10)-1)+逐级计算!$Q$179*(FW81-逐级计算!$P$179)*LN(10)/10))))))),"")</f>
        <v>13.7930365742089</v>
      </c>
      <c r="FY81">
        <f>IF(AND(ISNUMBER(FX81),逐级计算!$X$180&gt;-1),IF(逐级计算!$X$180=0,FX81+逐级计算!$C$180,FX81+逐级计算!$C$180-(10/(逐级计算!$Q$180*LN(10))*(MAX((LN(10^(逐级计算!$Q$180/10)-1)+逐级计算!$Q$180*(FX81-逐级计算!$P$180)*LN(10)/10),0)+LN(1+EXP(-ABS((LN(10^(逐级计算!$Q$180/10)-1)+逐级计算!$Q$180*(FX81-逐级计算!$P$180)*LN(10)/10))))))),"")</f>
        <v>13.7930365742089</v>
      </c>
      <c r="FZ81">
        <f>IF(AND(ISNUMBER(FY81),逐级计算!$X$181&gt;-1),IF(逐级计算!$X$181=0,FY81+逐级计算!$C$181,FY81+逐级计算!$C$181-(10/(逐级计算!$Q$181*LN(10))*(MAX((LN(10^(逐级计算!$Q$181/10)-1)+逐级计算!$Q$181*(FY81-逐级计算!$P$181)*LN(10)/10),0)+LN(1+EXP(-ABS((LN(10^(逐级计算!$Q$181/10)-1)+逐级计算!$Q$181*(FY81-逐级计算!$P$181)*LN(10)/10))))))),"")</f>
        <v>13.7930365742089</v>
      </c>
      <c r="GA81">
        <f>IF(AND(ISNUMBER(FZ81),逐级计算!$X$182&gt;-1),IF(逐级计算!$X$182=0,FZ81+逐级计算!$C$182,FZ81+逐级计算!$C$182-(10/(逐级计算!$Q$182*LN(10))*(MAX((LN(10^(逐级计算!$Q$182/10)-1)+逐级计算!$Q$182*(FZ81-逐级计算!$P$182)*LN(10)/10),0)+LN(1+EXP(-ABS((LN(10^(逐级计算!$Q$182/10)-1)+逐级计算!$Q$182*(FZ81-逐级计算!$P$182)*LN(10)/10))))))),"")</f>
        <v>13.7930365742089</v>
      </c>
      <c r="GB81">
        <f>IF(AND(ISNUMBER(GA81),逐级计算!$X$183&gt;-1),IF(逐级计算!$X$183=0,GA81+逐级计算!$C$183,GA81+逐级计算!$C$183-(10/(逐级计算!$Q$183*LN(10))*(MAX((LN(10^(逐级计算!$Q$183/10)-1)+逐级计算!$Q$183*(GA81-逐级计算!$P$183)*LN(10)/10),0)+LN(1+EXP(-ABS((LN(10^(逐级计算!$Q$183/10)-1)+逐级计算!$Q$183*(GA81-逐级计算!$P$183)*LN(10)/10))))))),"")</f>
        <v>13.7930365742089</v>
      </c>
      <c r="GC81">
        <f>IF(AND(ISNUMBER(GB81),逐级计算!$X$184&gt;-1),IF(逐级计算!$X$184=0,GB81+逐级计算!$C$184,GB81+逐级计算!$C$184-(10/(逐级计算!$Q$184*LN(10))*(MAX((LN(10^(逐级计算!$Q$184/10)-1)+逐级计算!$Q$184*(GB81-逐级计算!$P$184)*LN(10)/10),0)+LN(1+EXP(-ABS((LN(10^(逐级计算!$Q$184/10)-1)+逐级计算!$Q$184*(GB81-逐级计算!$P$184)*LN(10)/10))))))),"")</f>
        <v>13.7930365742089</v>
      </c>
      <c r="GD81">
        <f>IF(AND(ISNUMBER(GC81),逐级计算!$X$185&gt;-1),IF(逐级计算!$X$185=0,GC81+逐级计算!$C$185,GC81+逐级计算!$C$185-(10/(逐级计算!$Q$185*LN(10))*(MAX((LN(10^(逐级计算!$Q$185/10)-1)+逐级计算!$Q$185*(GC81-逐级计算!$P$185)*LN(10)/10),0)+LN(1+EXP(-ABS((LN(10^(逐级计算!$Q$185/10)-1)+逐级计算!$Q$185*(GC81-逐级计算!$P$185)*LN(10)/10))))))),"")</f>
        <v>13.7930365742089</v>
      </c>
      <c r="GE81">
        <f>IF(AND(ISNUMBER(GD81),逐级计算!$X$186&gt;-1),IF(逐级计算!$X$186=0,GD81+逐级计算!$C$186,GD81+逐级计算!$C$186-(10/(逐级计算!$Q$186*LN(10))*(MAX((LN(10^(逐级计算!$Q$186/10)-1)+逐级计算!$Q$186*(GD81-逐级计算!$P$186)*LN(10)/10),0)+LN(1+EXP(-ABS((LN(10^(逐级计算!$Q$186/10)-1)+逐级计算!$Q$186*(GD81-逐级计算!$P$186)*LN(10)/10))))))),"")</f>
        <v>13.7930365742089</v>
      </c>
      <c r="GF81">
        <f>IF(AND(ISNUMBER(GE81),逐级计算!$X$187&gt;-1),IF(逐级计算!$X$187=0,GE81+逐级计算!$C$187,GE81+逐级计算!$C$187-(10/(逐级计算!$Q$187*LN(10))*(MAX((LN(10^(逐级计算!$Q$187/10)-1)+逐级计算!$Q$187*(GE81-逐级计算!$P$187)*LN(10)/10),0)+LN(1+EXP(-ABS((LN(10^(逐级计算!$Q$187/10)-1)+逐级计算!$Q$187*(GE81-逐级计算!$P$187)*LN(10)/10))))))),"")</f>
        <v>13.7930365742089</v>
      </c>
      <c r="GG81">
        <f>IF(AND(ISNUMBER(GF81),逐级计算!$X$188&gt;-1),IF(逐级计算!$X$188=0,GF81+逐级计算!$C$188,GF81+逐级计算!$C$188-(10/(逐级计算!$Q$188*LN(10))*(MAX((LN(10^(逐级计算!$Q$188/10)-1)+逐级计算!$Q$188*(GF81-逐级计算!$P$188)*LN(10)/10),0)+LN(1+EXP(-ABS((LN(10^(逐级计算!$Q$188/10)-1)+逐级计算!$Q$188*(GF81-逐级计算!$P$188)*LN(10)/10))))))),"")</f>
        <v>13.7930365742089</v>
      </c>
      <c r="GH81">
        <f>IF(AND(ISNUMBER(GG81),逐级计算!$X$189&gt;-1),IF(逐级计算!$X$189=0,GG81+逐级计算!$C$189,GG81+逐级计算!$C$189-(10/(逐级计算!$Q$189*LN(10))*(MAX((LN(10^(逐级计算!$Q$189/10)-1)+逐级计算!$Q$189*(GG81-逐级计算!$P$189)*LN(10)/10),0)+LN(1+EXP(-ABS((LN(10^(逐级计算!$Q$189/10)-1)+逐级计算!$Q$189*(GG81-逐级计算!$P$189)*LN(10)/10))))))),"")</f>
        <v>13.7930365742089</v>
      </c>
      <c r="GI81">
        <f>IF(AND(ISNUMBER(GH81),逐级计算!$X$190&gt;-1),IF(逐级计算!$X$190=0,GH81+逐级计算!$C$190,GH81+逐级计算!$C$190-(10/(逐级计算!$Q$190*LN(10))*(MAX((LN(10^(逐级计算!$Q$190/10)-1)+逐级计算!$Q$190*(GH81-逐级计算!$P$190)*LN(10)/10),0)+LN(1+EXP(-ABS((LN(10^(逐级计算!$Q$190/10)-1)+逐级计算!$Q$190*(GH81-逐级计算!$P$190)*LN(10)/10))))))),"")</f>
        <v>13.7930365742089</v>
      </c>
      <c r="GJ81">
        <f>IF(AND(ISNUMBER(GI81),逐级计算!$X$191&gt;-1),IF(逐级计算!$X$191=0,GI81+逐级计算!$C$191,GI81+逐级计算!$C$191-(10/(逐级计算!$Q$191*LN(10))*(MAX((LN(10^(逐级计算!$Q$191/10)-1)+逐级计算!$Q$191*(GI81-逐级计算!$P$191)*LN(10)/10),0)+LN(1+EXP(-ABS((LN(10^(逐级计算!$Q$191/10)-1)+逐级计算!$Q$191*(GI81-逐级计算!$P$191)*LN(10)/10))))))),"")</f>
        <v>13.7930365742089</v>
      </c>
      <c r="GK81">
        <f>IF(AND(ISNUMBER(GJ81),逐级计算!$X$192&gt;-1),IF(逐级计算!$X$192=0,GJ81+逐级计算!$C$192,GJ81+逐级计算!$C$192-(10/(逐级计算!$Q$192*LN(10))*(MAX((LN(10^(逐级计算!$Q$192/10)-1)+逐级计算!$Q$192*(GJ81-逐级计算!$P$192)*LN(10)/10),0)+LN(1+EXP(-ABS((LN(10^(逐级计算!$Q$192/10)-1)+逐级计算!$Q$192*(GJ81-逐级计算!$P$192)*LN(10)/10))))))),"")</f>
        <v>13.7930365742089</v>
      </c>
      <c r="GL81">
        <f>IF(AND(ISNUMBER(GK81),逐级计算!$X$193&gt;-1),IF(逐级计算!$X$193=0,GK81+逐级计算!$C$193,GK81+逐级计算!$C$193-(10/(逐级计算!$Q$193*LN(10))*(MAX((LN(10^(逐级计算!$Q$193/10)-1)+逐级计算!$Q$193*(GK81-逐级计算!$P$193)*LN(10)/10),0)+LN(1+EXP(-ABS((LN(10^(逐级计算!$Q$193/10)-1)+逐级计算!$Q$193*(GK81-逐级计算!$P$193)*LN(10)/10))))))),"")</f>
        <v>13.7930365742089</v>
      </c>
      <c r="GM81">
        <f>IF(AND(ISNUMBER(GL81),逐级计算!$X$194&gt;-1),IF(逐级计算!$X$194=0,GL81+逐级计算!$C$194,GL81+逐级计算!$C$194-(10/(逐级计算!$Q$194*LN(10))*(MAX((LN(10^(逐级计算!$Q$194/10)-1)+逐级计算!$Q$194*(GL81-逐级计算!$P$194)*LN(10)/10),0)+LN(1+EXP(-ABS((LN(10^(逐级计算!$Q$194/10)-1)+逐级计算!$Q$194*(GL81-逐级计算!$P$194)*LN(10)/10))))))),"")</f>
        <v>13.7930365742089</v>
      </c>
      <c r="GN81">
        <f>IF(AND(ISNUMBER(GM81),逐级计算!$X$195&gt;-1),IF(逐级计算!$X$195=0,GM81+逐级计算!$C$195,GM81+逐级计算!$C$195-(10/(逐级计算!$Q$195*LN(10))*(MAX((LN(10^(逐级计算!$Q$195/10)-1)+逐级计算!$Q$195*(GM81-逐级计算!$P$195)*LN(10)/10),0)+LN(1+EXP(-ABS((LN(10^(逐级计算!$Q$195/10)-1)+逐级计算!$Q$195*(GM81-逐级计算!$P$195)*LN(10)/10))))))),"")</f>
        <v>13.7930365742089</v>
      </c>
      <c r="GO81">
        <f>IF(AND(ISNUMBER(GN81),逐级计算!$X$196&gt;-1),IF(逐级计算!$X$196=0,GN81+逐级计算!$C$196,GN81+逐级计算!$C$196-(10/(逐级计算!$Q$196*LN(10))*(MAX((LN(10^(逐级计算!$Q$196/10)-1)+逐级计算!$Q$196*(GN81-逐级计算!$P$196)*LN(10)/10),0)+LN(1+EXP(-ABS((LN(10^(逐级计算!$Q$196/10)-1)+逐级计算!$Q$196*(GN81-逐级计算!$P$196)*LN(10)/10))))))),"")</f>
        <v>13.7930365742089</v>
      </c>
      <c r="GP81">
        <f>IF(AND(ISNUMBER(GO81),逐级计算!$X$197&gt;-1),IF(逐级计算!$X$197=0,GO81+逐级计算!$C$197,GO81+逐级计算!$C$197-(10/(逐级计算!$Q$197*LN(10))*(MAX((LN(10^(逐级计算!$Q$197/10)-1)+逐级计算!$Q$197*(GO81-逐级计算!$P$197)*LN(10)/10),0)+LN(1+EXP(-ABS((LN(10^(逐级计算!$Q$197/10)-1)+逐级计算!$Q$197*(GO81-逐级计算!$P$197)*LN(10)/10))))))),"")</f>
        <v>13.7930365742089</v>
      </c>
      <c r="GQ81">
        <f>IF(AND(ISNUMBER(GP81),逐级计算!$X$198&gt;-1),IF(逐级计算!$X$198=0,GP81+逐级计算!$C$198,GP81+逐级计算!$C$198-(10/(逐级计算!$Q$198*LN(10))*(MAX((LN(10^(逐级计算!$Q$198/10)-1)+逐级计算!$Q$198*(GP81-逐级计算!$P$198)*LN(10)/10),0)+LN(1+EXP(-ABS((LN(10^(逐级计算!$Q$198/10)-1)+逐级计算!$Q$198*(GP81-逐级计算!$P$198)*LN(10)/10))))))),"")</f>
        <v>13.7930365742089</v>
      </c>
      <c r="GR81">
        <f>IF(AND(ISNUMBER(GQ81),逐级计算!$X$199&gt;-1),IF(逐级计算!$X$199=0,GQ81+逐级计算!$C$199,GQ81+逐级计算!$C$199-(10/(逐级计算!$Q$199*LN(10))*(MAX((LN(10^(逐级计算!$Q$199/10)-1)+逐级计算!$Q$199*(GQ81-逐级计算!$P$199)*LN(10)/10),0)+LN(1+EXP(-ABS((LN(10^(逐级计算!$Q$199/10)-1)+逐级计算!$Q$199*(GQ81-逐级计算!$P$199)*LN(10)/10))))))),"")</f>
        <v>13.7930365742089</v>
      </c>
      <c r="GS81">
        <f>IF(AND(ISNUMBER(GR81),逐级计算!$X$200&gt;-1),IF(逐级计算!$X$200=0,GR81+逐级计算!$C$200,GR81+逐级计算!$C$200-(10/(逐级计算!$Q$200*LN(10))*(MAX((LN(10^(逐级计算!$Q$200/10)-1)+逐级计算!$Q$200*(GR81-逐级计算!$P$200)*LN(10)/10),0)+LN(1+EXP(-ABS((LN(10^(逐级计算!$Q$200/10)-1)+逐级计算!$Q$200*(GR81-逐级计算!$P$200)*LN(10)/10))))))),"")</f>
        <v>13.7930365742089</v>
      </c>
      <c r="GT81">
        <f>IF(AND(ISNUMBER(GS81),逐级计算!$X$201&gt;-1),IF(逐级计算!$X$201=0,GS81+逐级计算!$C$201,GS81+逐级计算!$C$201-(10/(逐级计算!$Q$201*LN(10))*(MAX((LN(10^(逐级计算!$Q$201/10)-1)+逐级计算!$Q$201*(GS81-逐级计算!$P$201)*LN(10)/10),0)+LN(1+EXP(-ABS((LN(10^(逐级计算!$Q$201/10)-1)+逐级计算!$Q$201*(GS81-逐级计算!$P$201)*LN(10)/10))))))),"")</f>
        <v>13.7930365742089</v>
      </c>
      <c r="GU81">
        <f>IF(AND(ISNUMBER(GT81),逐级计算!$X$202&gt;-1),IF(逐级计算!$X$202=0,GT81+逐级计算!$C$202,GT81+逐级计算!$C$202-(10/(逐级计算!$Q$202*LN(10))*(MAX((LN(10^(逐级计算!$Q$202/10)-1)+逐级计算!$Q$202*(GT81-逐级计算!$P$202)*LN(10)/10),0)+LN(1+EXP(-ABS((LN(10^(逐级计算!$Q$202/10)-1)+逐级计算!$Q$202*(GT81-逐级计算!$P$202)*LN(10)/10))))))),"")</f>
        <v>13.7930365742089</v>
      </c>
      <c r="GV81">
        <f>IF(AND(ISNUMBER(GU81),逐级计算!$X$203&gt;-1),IF(逐级计算!$X$203=0,GU81+逐级计算!$C$203,GU81+逐级计算!$C$203-(10/(逐级计算!$Q$203*LN(10))*(MAX((LN(10^(逐级计算!$Q$203/10)-1)+逐级计算!$Q$203*(GU81-逐级计算!$P$203)*LN(10)/10),0)+LN(1+EXP(-ABS((LN(10^(逐级计算!$Q$203/10)-1)+逐级计算!$Q$203*(GU81-逐级计算!$P$203)*LN(10)/10))))))),"")</f>
        <v>13.7930365742089</v>
      </c>
      <c r="GW81">
        <f t="shared" si="5"/>
        <v>-5.20696342579112</v>
      </c>
    </row>
    <row r="82" spans="1:205">
      <c r="A82">
        <v>75</v>
      </c>
      <c r="B82">
        <f t="shared" si="4"/>
        <v>-5.20696342579112</v>
      </c>
      <c r="C82">
        <f t="shared" si="3"/>
        <v>-5.20696342579112</v>
      </c>
      <c r="D82">
        <f>IF(AND(ISNUMBER(C82),ISNUMBER(逐级计算!$E$203),ISNUMBER(GV82)),C82+逐级计算!$E$203-GV82,"")</f>
        <v>1</v>
      </c>
      <c r="E82">
        <f>IF(AND(ISNUMBER(C82),逐级计算!$X$4&gt;-1),IF(逐级计算!$X$4=0,C82+逐级计算!$C$4,C82+逐级计算!$C$4-(10/(逐级计算!$Q$4*LN(10))*(MAX((LN(10^(逐级计算!$Q$4/10)-1)+逐级计算!$Q$4*(C82-逐级计算!$P$4)*LN(10)/10),0)+LN(1+EXP(-ABS((LN(10^(逐级计算!$Q$4/10)-1)+逐级计算!$Q$4*(C82-逐级计算!$P$4)*LN(10)/10))))))),"")</f>
        <v>4.68053982928311</v>
      </c>
      <c r="F82">
        <f>IF(AND(ISNUMBER(E82),逐级计算!$X$5&gt;-1),IF(逐级计算!$X$5=0,E82+逐级计算!$C$5,E82+逐级计算!$C$5-(10/(逐级计算!$Q$5*LN(10))*(MAX((LN(10^(逐级计算!$Q$5/10)-1)+逐级计算!$Q$5*(E82-逐级计算!$P$5)*LN(10)/10),0)+LN(1+EXP(-ABS((LN(10^(逐级计算!$Q$5/10)-1)+逐级计算!$Q$5*(E82-逐级计算!$P$5)*LN(10)/10))))))),"")</f>
        <v>13.7930365742089</v>
      </c>
      <c r="G82">
        <f>IF(AND(ISNUMBER(F82),逐级计算!$X$6&gt;-1),IF(逐级计算!$X$6=0,F82+逐级计算!$C$6,F82+逐级计算!$C$6-(10/(逐级计算!$Q$6*LN(10))*(MAX((LN(10^(逐级计算!$Q$6/10)-1)+逐级计算!$Q$6*(F82-逐级计算!$P$6)*LN(10)/10),0)+LN(1+EXP(-ABS((LN(10^(逐级计算!$Q$6/10)-1)+逐级计算!$Q$6*(F82-逐级计算!$P$6)*LN(10)/10))))))),"")</f>
        <v>13.7930365742089</v>
      </c>
      <c r="H82">
        <f>IF(AND(ISNUMBER(G82),逐级计算!$X$7&gt;-1),IF(逐级计算!$X$7=0,G82+逐级计算!$C$7,G82+逐级计算!$C$7-(10/(逐级计算!$Q$7*LN(10))*(MAX((LN(10^(逐级计算!$Q$7/10)-1)+逐级计算!$Q$7*(G82-逐级计算!$P$7)*LN(10)/10),0)+LN(1+EXP(-ABS((LN(10^(逐级计算!$Q$7/10)-1)+逐级计算!$Q$7*(G82-逐级计算!$P$7)*LN(10)/10))))))),"")</f>
        <v>13.7930365742089</v>
      </c>
      <c r="I82">
        <f>IF(AND(ISNUMBER(H82),逐级计算!$X$8&gt;-1),IF(逐级计算!$X$8=0,H82+逐级计算!$C$8,H82+逐级计算!$C$8-(10/(逐级计算!$Q$8*LN(10))*(MAX((LN(10^(逐级计算!$Q$8/10)-1)+逐级计算!$Q$8*(H82-逐级计算!$P$8)*LN(10)/10),0)+LN(1+EXP(-ABS((LN(10^(逐级计算!$Q$8/10)-1)+逐级计算!$Q$8*(H82-逐级计算!$P$8)*LN(10)/10))))))),"")</f>
        <v>13.7930365742089</v>
      </c>
      <c r="J82">
        <f>IF(AND(ISNUMBER(I82),逐级计算!$X$9&gt;-1),IF(逐级计算!$X$9=0,I82+逐级计算!$C$9,I82+逐级计算!$C$9-(10/(逐级计算!$Q$9*LN(10))*(MAX((LN(10^(逐级计算!$Q$9/10)-1)+逐级计算!$Q$9*(I82-逐级计算!$P$9)*LN(10)/10),0)+LN(1+EXP(-ABS((LN(10^(逐级计算!$Q$9/10)-1)+逐级计算!$Q$9*(I82-逐级计算!$P$9)*LN(10)/10))))))),"")</f>
        <v>13.7930365742089</v>
      </c>
      <c r="K82">
        <f>IF(AND(ISNUMBER(J82),逐级计算!$X$10&gt;-1),IF(逐级计算!$X$10=0,J82+逐级计算!$C$10,J82+逐级计算!$C$10-(10/(逐级计算!$Q$10*LN(10))*(MAX((LN(10^(逐级计算!$Q$10/10)-1)+逐级计算!$Q$10*(J82-逐级计算!$P$10)*LN(10)/10),0)+LN(1+EXP(-ABS((LN(10^(逐级计算!$Q$10/10)-1)+逐级计算!$Q$10*(J82-逐级计算!$P$10)*LN(10)/10))))))),"")</f>
        <v>13.7930365742089</v>
      </c>
      <c r="L82">
        <f>IF(AND(ISNUMBER(K82),逐级计算!$X$11&gt;-1),IF(逐级计算!$X$11=0,K82+逐级计算!$C$11,K82+逐级计算!$C$11-(10/(逐级计算!$Q$11*LN(10))*(MAX((LN(10^(逐级计算!$Q$11/10)-1)+逐级计算!$Q$11*(K82-逐级计算!$P$11)*LN(10)/10),0)+LN(1+EXP(-ABS((LN(10^(逐级计算!$Q$11/10)-1)+逐级计算!$Q$11*(K82-逐级计算!$P$11)*LN(10)/10))))))),"")</f>
        <v>13.7930365742089</v>
      </c>
      <c r="M82">
        <f>IF(AND(ISNUMBER(L82),逐级计算!$X$12&gt;-1),IF(逐级计算!$X$12=0,L82+逐级计算!$C$12,L82+逐级计算!$C$12-(10/(逐级计算!$Q$12*LN(10))*(MAX((LN(10^(逐级计算!$Q$12/10)-1)+逐级计算!$Q$12*(L82-逐级计算!$P$12)*LN(10)/10),0)+LN(1+EXP(-ABS((LN(10^(逐级计算!$Q$12/10)-1)+逐级计算!$Q$12*(L82-逐级计算!$P$12)*LN(10)/10))))))),"")</f>
        <v>13.7930365742089</v>
      </c>
      <c r="N82">
        <f>IF(AND(ISNUMBER(M82),逐级计算!$X$13&gt;-1),IF(逐级计算!$X$13=0,M82+逐级计算!$C$13,M82+逐级计算!$C$13-(10/(逐级计算!$Q$13*LN(10))*(MAX((LN(10^(逐级计算!$Q$13/10)-1)+逐级计算!$Q$13*(M82-逐级计算!$P$13)*LN(10)/10),0)+LN(1+EXP(-ABS((LN(10^(逐级计算!$Q$13/10)-1)+逐级计算!$Q$13*(M82-逐级计算!$P$13)*LN(10)/10))))))),"")</f>
        <v>13.7930365742089</v>
      </c>
      <c r="O82">
        <f>IF(AND(ISNUMBER(N82),逐级计算!$X$14&gt;-1),IF(逐级计算!$X$14=0,N82+逐级计算!$C$14,N82+逐级计算!$C$14-(10/(逐级计算!$Q$14*LN(10))*(MAX((LN(10^(逐级计算!$Q$14/10)-1)+逐级计算!$Q$14*(N82-逐级计算!$P$14)*LN(10)/10),0)+LN(1+EXP(-ABS((LN(10^(逐级计算!$Q$14/10)-1)+逐级计算!$Q$14*(N82-逐级计算!$P$14)*LN(10)/10))))))),"")</f>
        <v>13.7930365742089</v>
      </c>
      <c r="P82">
        <f>IF(AND(ISNUMBER(O82),逐级计算!$X$15&gt;-1),IF(逐级计算!$X$15=0,O82+逐级计算!$C$15,O82+逐级计算!$C$15-(10/(逐级计算!$Q$15*LN(10))*(MAX((LN(10^(逐级计算!$Q$15/10)-1)+逐级计算!$Q$15*(O82-逐级计算!$P$15)*LN(10)/10),0)+LN(1+EXP(-ABS((LN(10^(逐级计算!$Q$15/10)-1)+逐级计算!$Q$15*(O82-逐级计算!$P$15)*LN(10)/10))))))),"")</f>
        <v>13.7930365742089</v>
      </c>
      <c r="Q82">
        <f>IF(AND(ISNUMBER(P82),逐级计算!$X$16&gt;-1),IF(逐级计算!$X$16=0,P82+逐级计算!$C$16,P82+逐级计算!$C$16-(10/(逐级计算!$Q$16*LN(10))*(MAX((LN(10^(逐级计算!$Q$16/10)-1)+逐级计算!$Q$16*(P82-逐级计算!$P$16)*LN(10)/10),0)+LN(1+EXP(-ABS((LN(10^(逐级计算!$Q$16/10)-1)+逐级计算!$Q$16*(P82-逐级计算!$P$16)*LN(10)/10))))))),"")</f>
        <v>13.7930365742089</v>
      </c>
      <c r="R82">
        <f>IF(AND(ISNUMBER(Q82),逐级计算!$X$17&gt;-1),IF(逐级计算!$X$17=0,Q82+逐级计算!$C$17,Q82+逐级计算!$C$17-(10/(逐级计算!$Q$17*LN(10))*(MAX((LN(10^(逐级计算!$Q$17/10)-1)+逐级计算!$Q$17*(Q82-逐级计算!$P$17)*LN(10)/10),0)+LN(1+EXP(-ABS((LN(10^(逐级计算!$Q$17/10)-1)+逐级计算!$Q$17*(Q82-逐级计算!$P$17)*LN(10)/10))))))),"")</f>
        <v>13.7930365742089</v>
      </c>
      <c r="S82">
        <f>IF(AND(ISNUMBER(R82),逐级计算!$X$18&gt;-1),IF(逐级计算!$X$18=0,R82+逐级计算!$C$18,R82+逐级计算!$C$18-(10/(逐级计算!$Q$18*LN(10))*(MAX((LN(10^(逐级计算!$Q$18/10)-1)+逐级计算!$Q$18*(R82-逐级计算!$P$18)*LN(10)/10),0)+LN(1+EXP(-ABS((LN(10^(逐级计算!$Q$18/10)-1)+逐级计算!$Q$18*(R82-逐级计算!$P$18)*LN(10)/10))))))),"")</f>
        <v>13.7930365742089</v>
      </c>
      <c r="T82">
        <f>IF(AND(ISNUMBER(S82),逐级计算!$X$19&gt;-1),IF(逐级计算!$X$19=0,S82+逐级计算!$C$19,S82+逐级计算!$C$19-(10/(逐级计算!$Q$19*LN(10))*(MAX((LN(10^(逐级计算!$Q$19/10)-1)+逐级计算!$Q$19*(S82-逐级计算!$P$19)*LN(10)/10),0)+LN(1+EXP(-ABS((LN(10^(逐级计算!$Q$19/10)-1)+逐级计算!$Q$19*(S82-逐级计算!$P$19)*LN(10)/10))))))),"")</f>
        <v>13.7930365742089</v>
      </c>
      <c r="U82">
        <f>IF(AND(ISNUMBER(T82),逐级计算!$X$20&gt;-1),IF(逐级计算!$X$20=0,T82+逐级计算!$C$20,T82+逐级计算!$C$20-(10/(逐级计算!$Q$20*LN(10))*(MAX((LN(10^(逐级计算!$Q$20/10)-1)+逐级计算!$Q$20*(T82-逐级计算!$P$20)*LN(10)/10),0)+LN(1+EXP(-ABS((LN(10^(逐级计算!$Q$20/10)-1)+逐级计算!$Q$20*(T82-逐级计算!$P$20)*LN(10)/10))))))),"")</f>
        <v>13.7930365742089</v>
      </c>
      <c r="V82">
        <f>IF(AND(ISNUMBER(U82),逐级计算!$X$21&gt;-1),IF(逐级计算!$X$21=0,U82+逐级计算!$C$21,U82+逐级计算!$C$21-(10/(逐级计算!$Q$21*LN(10))*(MAX((LN(10^(逐级计算!$Q$21/10)-1)+逐级计算!$Q$21*(U82-逐级计算!$P$21)*LN(10)/10),0)+LN(1+EXP(-ABS((LN(10^(逐级计算!$Q$21/10)-1)+逐级计算!$Q$21*(U82-逐级计算!$P$21)*LN(10)/10))))))),"")</f>
        <v>13.7930365742089</v>
      </c>
      <c r="W82">
        <f>IF(AND(ISNUMBER(V82),逐级计算!$X$22&gt;-1),IF(逐级计算!$X$22=0,V82+逐级计算!$C$22,V82+逐级计算!$C$22-(10/(逐级计算!$Q$22*LN(10))*(MAX((LN(10^(逐级计算!$Q$22/10)-1)+逐级计算!$Q$22*(V82-逐级计算!$P$22)*LN(10)/10),0)+LN(1+EXP(-ABS((LN(10^(逐级计算!$Q$22/10)-1)+逐级计算!$Q$22*(V82-逐级计算!$P$22)*LN(10)/10))))))),"")</f>
        <v>13.7930365742089</v>
      </c>
      <c r="X82">
        <f>IF(AND(ISNUMBER(W82),逐级计算!$X$23&gt;-1),IF(逐级计算!$X$23=0,W82+逐级计算!$C$23,W82+逐级计算!$C$23-(10/(逐级计算!$Q$23*LN(10))*(MAX((LN(10^(逐级计算!$Q$23/10)-1)+逐级计算!$Q$23*(W82-逐级计算!$P$23)*LN(10)/10),0)+LN(1+EXP(-ABS((LN(10^(逐级计算!$Q$23/10)-1)+逐级计算!$Q$23*(W82-逐级计算!$P$23)*LN(10)/10))))))),"")</f>
        <v>13.7930365742089</v>
      </c>
      <c r="Y82">
        <f>IF(AND(ISNUMBER(X82),逐级计算!$X$24&gt;-1),IF(逐级计算!$X$24=0,X82+逐级计算!$C$24,X82+逐级计算!$C$24-(10/(逐级计算!$Q$24*LN(10))*(MAX((LN(10^(逐级计算!$Q$24/10)-1)+逐级计算!$Q$24*(X82-逐级计算!$P$24)*LN(10)/10),0)+LN(1+EXP(-ABS((LN(10^(逐级计算!$Q$24/10)-1)+逐级计算!$Q$24*(X82-逐级计算!$P$24)*LN(10)/10))))))),"")</f>
        <v>13.7930365742089</v>
      </c>
      <c r="Z82">
        <f>IF(AND(ISNUMBER(Y82),逐级计算!$X$25&gt;-1),IF(逐级计算!$X$25=0,Y82+逐级计算!$C$25,Y82+逐级计算!$C$25-(10/(逐级计算!$Q$25*LN(10))*(MAX((LN(10^(逐级计算!$Q$25/10)-1)+逐级计算!$Q$25*(Y82-逐级计算!$P$25)*LN(10)/10),0)+LN(1+EXP(-ABS((LN(10^(逐级计算!$Q$25/10)-1)+逐级计算!$Q$25*(Y82-逐级计算!$P$25)*LN(10)/10))))))),"")</f>
        <v>13.7930365742089</v>
      </c>
      <c r="AA82">
        <f>IF(AND(ISNUMBER(Z82),逐级计算!$X$26&gt;-1),IF(逐级计算!$X$26=0,Z82+逐级计算!$C$26,Z82+逐级计算!$C$26-(10/(逐级计算!$Q$26*LN(10))*(MAX((LN(10^(逐级计算!$Q$26/10)-1)+逐级计算!$Q$26*(Z82-逐级计算!$P$26)*LN(10)/10),0)+LN(1+EXP(-ABS((LN(10^(逐级计算!$Q$26/10)-1)+逐级计算!$Q$26*(Z82-逐级计算!$P$26)*LN(10)/10))))))),"")</f>
        <v>13.7930365742089</v>
      </c>
      <c r="AB82">
        <f>IF(AND(ISNUMBER(AA82),逐级计算!$X$27&gt;-1),IF(逐级计算!$X$27=0,AA82+逐级计算!$C$27,AA82+逐级计算!$C$27-(10/(逐级计算!$Q$27*LN(10))*(MAX((LN(10^(逐级计算!$Q$27/10)-1)+逐级计算!$Q$27*(AA82-逐级计算!$P$27)*LN(10)/10),0)+LN(1+EXP(-ABS((LN(10^(逐级计算!$Q$27/10)-1)+逐级计算!$Q$27*(AA82-逐级计算!$P$27)*LN(10)/10))))))),"")</f>
        <v>13.7930365742089</v>
      </c>
      <c r="AC82">
        <f>IF(AND(ISNUMBER(AB82),逐级计算!$X$28&gt;-1),IF(逐级计算!$X$28=0,AB82+逐级计算!$C$28,AB82+逐级计算!$C$28-(10/(逐级计算!$Q$28*LN(10))*(MAX((LN(10^(逐级计算!$Q$28/10)-1)+逐级计算!$Q$28*(AB82-逐级计算!$P$28)*LN(10)/10),0)+LN(1+EXP(-ABS((LN(10^(逐级计算!$Q$28/10)-1)+逐级计算!$Q$28*(AB82-逐级计算!$P$28)*LN(10)/10))))))),"")</f>
        <v>13.7930365742089</v>
      </c>
      <c r="AD82">
        <f>IF(AND(ISNUMBER(AC82),逐级计算!$X$29&gt;-1),IF(逐级计算!$X$29=0,AC82+逐级计算!$C$29,AC82+逐级计算!$C$29-(10/(逐级计算!$Q$29*LN(10))*(MAX((LN(10^(逐级计算!$Q$29/10)-1)+逐级计算!$Q$29*(AC82-逐级计算!$P$29)*LN(10)/10),0)+LN(1+EXP(-ABS((LN(10^(逐级计算!$Q$29/10)-1)+逐级计算!$Q$29*(AC82-逐级计算!$P$29)*LN(10)/10))))))),"")</f>
        <v>13.7930365742089</v>
      </c>
      <c r="AE82">
        <f>IF(AND(ISNUMBER(AD82),逐级计算!$X$30&gt;-1),IF(逐级计算!$X$30=0,AD82+逐级计算!$C$30,AD82+逐级计算!$C$30-(10/(逐级计算!$Q$30*LN(10))*(MAX((LN(10^(逐级计算!$Q$30/10)-1)+逐级计算!$Q$30*(AD82-逐级计算!$P$30)*LN(10)/10),0)+LN(1+EXP(-ABS((LN(10^(逐级计算!$Q$30/10)-1)+逐级计算!$Q$30*(AD82-逐级计算!$P$30)*LN(10)/10))))))),"")</f>
        <v>13.7930365742089</v>
      </c>
      <c r="AF82">
        <f>IF(AND(ISNUMBER(AE82),逐级计算!$X$31&gt;-1),IF(逐级计算!$X$31=0,AE82+逐级计算!$C$31,AE82+逐级计算!$C$31-(10/(逐级计算!$Q$31*LN(10))*(MAX((LN(10^(逐级计算!$Q$31/10)-1)+逐级计算!$Q$31*(AE82-逐级计算!$P$31)*LN(10)/10),0)+LN(1+EXP(-ABS((LN(10^(逐级计算!$Q$31/10)-1)+逐级计算!$Q$31*(AE82-逐级计算!$P$31)*LN(10)/10))))))),"")</f>
        <v>13.7930365742089</v>
      </c>
      <c r="AG82">
        <f>IF(AND(ISNUMBER(AF82),逐级计算!$X$32&gt;-1),IF(逐级计算!$X$32=0,AF82+逐级计算!$C$32,AF82+逐级计算!$C$32-(10/(逐级计算!$Q$32*LN(10))*(MAX((LN(10^(逐级计算!$Q$32/10)-1)+逐级计算!$Q$32*(AF82-逐级计算!$P$32)*LN(10)/10),0)+LN(1+EXP(-ABS((LN(10^(逐级计算!$Q$32/10)-1)+逐级计算!$Q$32*(AF82-逐级计算!$P$32)*LN(10)/10))))))),"")</f>
        <v>13.7930365742089</v>
      </c>
      <c r="AH82">
        <f>IF(AND(ISNUMBER(AG82),逐级计算!$X$33&gt;-1),IF(逐级计算!$X$33=0,AG82+逐级计算!$C$33,AG82+逐级计算!$C$33-(10/(逐级计算!$Q$33*LN(10))*(MAX((LN(10^(逐级计算!$Q$33/10)-1)+逐级计算!$Q$33*(AG82-逐级计算!$P$33)*LN(10)/10),0)+LN(1+EXP(-ABS((LN(10^(逐级计算!$Q$33/10)-1)+逐级计算!$Q$33*(AG82-逐级计算!$P$33)*LN(10)/10))))))),"")</f>
        <v>13.7930365742089</v>
      </c>
      <c r="AI82">
        <f>IF(AND(ISNUMBER(AH82),逐级计算!$X$34&gt;-1),IF(逐级计算!$X$34=0,AH82+逐级计算!$C$34,AH82+逐级计算!$C$34-(10/(逐级计算!$Q$34*LN(10))*(MAX((LN(10^(逐级计算!$Q$34/10)-1)+逐级计算!$Q$34*(AH82-逐级计算!$P$34)*LN(10)/10),0)+LN(1+EXP(-ABS((LN(10^(逐级计算!$Q$34/10)-1)+逐级计算!$Q$34*(AH82-逐级计算!$P$34)*LN(10)/10))))))),"")</f>
        <v>13.7930365742089</v>
      </c>
      <c r="AJ82">
        <f>IF(AND(ISNUMBER(AI82),逐级计算!$X$35&gt;-1),IF(逐级计算!$X$35=0,AI82+逐级计算!$C$35,AI82+逐级计算!$C$35-(10/(逐级计算!$Q$35*LN(10))*(MAX((LN(10^(逐级计算!$Q$35/10)-1)+逐级计算!$Q$35*(AI82-逐级计算!$P$35)*LN(10)/10),0)+LN(1+EXP(-ABS((LN(10^(逐级计算!$Q$35/10)-1)+逐级计算!$Q$35*(AI82-逐级计算!$P$35)*LN(10)/10))))))),"")</f>
        <v>13.7930365742089</v>
      </c>
      <c r="AK82">
        <f>IF(AND(ISNUMBER(AJ82),逐级计算!$X$36&gt;-1),IF(逐级计算!$X$36=0,AJ82+逐级计算!$C$36,AJ82+逐级计算!$C$36-(10/(逐级计算!$Q$36*LN(10))*(MAX((LN(10^(逐级计算!$Q$36/10)-1)+逐级计算!$Q$36*(AJ82-逐级计算!$P$36)*LN(10)/10),0)+LN(1+EXP(-ABS((LN(10^(逐级计算!$Q$36/10)-1)+逐级计算!$Q$36*(AJ82-逐级计算!$P$36)*LN(10)/10))))))),"")</f>
        <v>13.7930365742089</v>
      </c>
      <c r="AL82">
        <f>IF(AND(ISNUMBER(AK82),逐级计算!$X$37&gt;-1),IF(逐级计算!$X$37=0,AK82+逐级计算!$C$37,AK82+逐级计算!$C$37-(10/(逐级计算!$Q$37*LN(10))*(MAX((LN(10^(逐级计算!$Q$37/10)-1)+逐级计算!$Q$37*(AK82-逐级计算!$P$37)*LN(10)/10),0)+LN(1+EXP(-ABS((LN(10^(逐级计算!$Q$37/10)-1)+逐级计算!$Q$37*(AK82-逐级计算!$P$37)*LN(10)/10))))))),"")</f>
        <v>13.7930365742089</v>
      </c>
      <c r="AM82">
        <f>IF(AND(ISNUMBER(AL82),逐级计算!$X$38&gt;-1),IF(逐级计算!$X$38=0,AL82+逐级计算!$C$38,AL82+逐级计算!$C$38-(10/(逐级计算!$Q$38*LN(10))*(MAX((LN(10^(逐级计算!$Q$38/10)-1)+逐级计算!$Q$38*(AL82-逐级计算!$P$38)*LN(10)/10),0)+LN(1+EXP(-ABS((LN(10^(逐级计算!$Q$38/10)-1)+逐级计算!$Q$38*(AL82-逐级计算!$P$38)*LN(10)/10))))))),"")</f>
        <v>13.7930365742089</v>
      </c>
      <c r="AN82">
        <f>IF(AND(ISNUMBER(AM82),逐级计算!$X$39&gt;-1),IF(逐级计算!$X$39=0,AM82+逐级计算!$C$39,AM82+逐级计算!$C$39-(10/(逐级计算!$Q$39*LN(10))*(MAX((LN(10^(逐级计算!$Q$39/10)-1)+逐级计算!$Q$39*(AM82-逐级计算!$P$39)*LN(10)/10),0)+LN(1+EXP(-ABS((LN(10^(逐级计算!$Q$39/10)-1)+逐级计算!$Q$39*(AM82-逐级计算!$P$39)*LN(10)/10))))))),"")</f>
        <v>13.7930365742089</v>
      </c>
      <c r="AO82">
        <f>IF(AND(ISNUMBER(AN82),逐级计算!$X$40&gt;-1),IF(逐级计算!$X$40=0,AN82+逐级计算!$C$40,AN82+逐级计算!$C$40-(10/(逐级计算!$Q$40*LN(10))*(MAX((LN(10^(逐级计算!$Q$40/10)-1)+逐级计算!$Q$40*(AN82-逐级计算!$P$40)*LN(10)/10),0)+LN(1+EXP(-ABS((LN(10^(逐级计算!$Q$40/10)-1)+逐级计算!$Q$40*(AN82-逐级计算!$P$40)*LN(10)/10))))))),"")</f>
        <v>13.7930365742089</v>
      </c>
      <c r="AP82">
        <f>IF(AND(ISNUMBER(AO82),逐级计算!$X$41&gt;-1),IF(逐级计算!$X$41=0,AO82+逐级计算!$C$41,AO82+逐级计算!$C$41-(10/(逐级计算!$Q$41*LN(10))*(MAX((LN(10^(逐级计算!$Q$41/10)-1)+逐级计算!$Q$41*(AO82-逐级计算!$P$41)*LN(10)/10),0)+LN(1+EXP(-ABS((LN(10^(逐级计算!$Q$41/10)-1)+逐级计算!$Q$41*(AO82-逐级计算!$P$41)*LN(10)/10))))))),"")</f>
        <v>13.7930365742089</v>
      </c>
      <c r="AQ82">
        <f>IF(AND(ISNUMBER(AP82),逐级计算!$X$42&gt;-1),IF(逐级计算!$X$42=0,AP82+逐级计算!$C$42,AP82+逐级计算!$C$42-(10/(逐级计算!$Q$42*LN(10))*(MAX((LN(10^(逐级计算!$Q$42/10)-1)+逐级计算!$Q$42*(AP82-逐级计算!$P$42)*LN(10)/10),0)+LN(1+EXP(-ABS((LN(10^(逐级计算!$Q$42/10)-1)+逐级计算!$Q$42*(AP82-逐级计算!$P$42)*LN(10)/10))))))),"")</f>
        <v>13.7930365742089</v>
      </c>
      <c r="AR82">
        <f>IF(AND(ISNUMBER(AQ82),逐级计算!$X$43&gt;-1),IF(逐级计算!$X$43=0,AQ82+逐级计算!$C$43,AQ82+逐级计算!$C$43-(10/(逐级计算!$Q$43*LN(10))*(MAX((LN(10^(逐级计算!$Q$43/10)-1)+逐级计算!$Q$43*(AQ82-逐级计算!$P$43)*LN(10)/10),0)+LN(1+EXP(-ABS((LN(10^(逐级计算!$Q$43/10)-1)+逐级计算!$Q$43*(AQ82-逐级计算!$P$43)*LN(10)/10))))))),"")</f>
        <v>13.7930365742089</v>
      </c>
      <c r="AS82">
        <f>IF(AND(ISNUMBER(AR82),逐级计算!$X$44&gt;-1),IF(逐级计算!$X$44=0,AR82+逐级计算!$C$44,AR82+逐级计算!$C$44-(10/(逐级计算!$Q$44*LN(10))*(MAX((LN(10^(逐级计算!$Q$44/10)-1)+逐级计算!$Q$44*(AR82-逐级计算!$P$44)*LN(10)/10),0)+LN(1+EXP(-ABS((LN(10^(逐级计算!$Q$44/10)-1)+逐级计算!$Q$44*(AR82-逐级计算!$P$44)*LN(10)/10))))))),"")</f>
        <v>13.7930365742089</v>
      </c>
      <c r="AT82">
        <f>IF(AND(ISNUMBER(AS82),逐级计算!$X$45&gt;-1),IF(逐级计算!$X$45=0,AS82+逐级计算!$C$45,AS82+逐级计算!$C$45-(10/(逐级计算!$Q$45*LN(10))*(MAX((LN(10^(逐级计算!$Q$45/10)-1)+逐级计算!$Q$45*(AS82-逐级计算!$P$45)*LN(10)/10),0)+LN(1+EXP(-ABS((LN(10^(逐级计算!$Q$45/10)-1)+逐级计算!$Q$45*(AS82-逐级计算!$P$45)*LN(10)/10))))))),"")</f>
        <v>13.7930365742089</v>
      </c>
      <c r="AU82">
        <f>IF(AND(ISNUMBER(AT82),逐级计算!$X$46&gt;-1),IF(逐级计算!$X$46=0,AT82+逐级计算!$C$46,AT82+逐级计算!$C$46-(10/(逐级计算!$Q$46*LN(10))*(MAX((LN(10^(逐级计算!$Q$46/10)-1)+逐级计算!$Q$46*(AT82-逐级计算!$P$46)*LN(10)/10),0)+LN(1+EXP(-ABS((LN(10^(逐级计算!$Q$46/10)-1)+逐级计算!$Q$46*(AT82-逐级计算!$P$46)*LN(10)/10))))))),"")</f>
        <v>13.7930365742089</v>
      </c>
      <c r="AV82">
        <f>IF(AND(ISNUMBER(AU82),逐级计算!$X$47&gt;-1),IF(逐级计算!$X$47=0,AU82+逐级计算!$C$47,AU82+逐级计算!$C$47-(10/(逐级计算!$Q$47*LN(10))*(MAX((LN(10^(逐级计算!$Q$47/10)-1)+逐级计算!$Q$47*(AU82-逐级计算!$P$47)*LN(10)/10),0)+LN(1+EXP(-ABS((LN(10^(逐级计算!$Q$47/10)-1)+逐级计算!$Q$47*(AU82-逐级计算!$P$47)*LN(10)/10))))))),"")</f>
        <v>13.7930365742089</v>
      </c>
      <c r="AW82">
        <f>IF(AND(ISNUMBER(AV82),逐级计算!$X$48&gt;-1),IF(逐级计算!$X$48=0,AV82+逐级计算!$C$48,AV82+逐级计算!$C$48-(10/(逐级计算!$Q$48*LN(10))*(MAX((LN(10^(逐级计算!$Q$48/10)-1)+逐级计算!$Q$48*(AV82-逐级计算!$P$48)*LN(10)/10),0)+LN(1+EXP(-ABS((LN(10^(逐级计算!$Q$48/10)-1)+逐级计算!$Q$48*(AV82-逐级计算!$P$48)*LN(10)/10))))))),"")</f>
        <v>13.7930365742089</v>
      </c>
      <c r="AX82">
        <f>IF(AND(ISNUMBER(AW82),逐级计算!$X$49&gt;-1),IF(逐级计算!$X$49=0,AW82+逐级计算!$C$49,AW82+逐级计算!$C$49-(10/(逐级计算!$Q$49*LN(10))*(MAX((LN(10^(逐级计算!$Q$49/10)-1)+逐级计算!$Q$49*(AW82-逐级计算!$P$49)*LN(10)/10),0)+LN(1+EXP(-ABS((LN(10^(逐级计算!$Q$49/10)-1)+逐级计算!$Q$49*(AW82-逐级计算!$P$49)*LN(10)/10))))))),"")</f>
        <v>13.7930365742089</v>
      </c>
      <c r="AY82">
        <f>IF(AND(ISNUMBER(AX82),逐级计算!$X$50&gt;-1),IF(逐级计算!$X$50=0,AX82+逐级计算!$C$50,AX82+逐级计算!$C$50-(10/(逐级计算!$Q$50*LN(10))*(MAX((LN(10^(逐级计算!$Q$50/10)-1)+逐级计算!$Q$50*(AX82-逐级计算!$P$50)*LN(10)/10),0)+LN(1+EXP(-ABS((LN(10^(逐级计算!$Q$50/10)-1)+逐级计算!$Q$50*(AX82-逐级计算!$P$50)*LN(10)/10))))))),"")</f>
        <v>13.7930365742089</v>
      </c>
      <c r="AZ82">
        <f>IF(AND(ISNUMBER(AY82),逐级计算!$X$51&gt;-1),IF(逐级计算!$X$51=0,AY82+逐级计算!$C$51,AY82+逐级计算!$C$51-(10/(逐级计算!$Q$51*LN(10))*(MAX((LN(10^(逐级计算!$Q$51/10)-1)+逐级计算!$Q$51*(AY82-逐级计算!$P$51)*LN(10)/10),0)+LN(1+EXP(-ABS((LN(10^(逐级计算!$Q$51/10)-1)+逐级计算!$Q$51*(AY82-逐级计算!$P$51)*LN(10)/10))))))),"")</f>
        <v>13.7930365742089</v>
      </c>
      <c r="BA82">
        <f>IF(AND(ISNUMBER(AZ82),逐级计算!$X$52&gt;-1),IF(逐级计算!$X$52=0,AZ82+逐级计算!$C$52,AZ82+逐级计算!$C$52-(10/(逐级计算!$Q$52*LN(10))*(MAX((LN(10^(逐级计算!$Q$52/10)-1)+逐级计算!$Q$52*(AZ82-逐级计算!$P$52)*LN(10)/10),0)+LN(1+EXP(-ABS((LN(10^(逐级计算!$Q$52/10)-1)+逐级计算!$Q$52*(AZ82-逐级计算!$P$52)*LN(10)/10))))))),"")</f>
        <v>13.7930365742089</v>
      </c>
      <c r="BB82">
        <f>IF(AND(ISNUMBER(BA82),逐级计算!$X$53&gt;-1),IF(逐级计算!$X$53=0,BA82+逐级计算!$C$53,BA82+逐级计算!$C$53-(10/(逐级计算!$Q$53*LN(10))*(MAX((LN(10^(逐级计算!$Q$53/10)-1)+逐级计算!$Q$53*(BA82-逐级计算!$P$53)*LN(10)/10),0)+LN(1+EXP(-ABS((LN(10^(逐级计算!$Q$53/10)-1)+逐级计算!$Q$53*(BA82-逐级计算!$P$53)*LN(10)/10))))))),"")</f>
        <v>13.7930365742089</v>
      </c>
      <c r="BC82">
        <f>IF(AND(ISNUMBER(BB82),逐级计算!$X$54&gt;-1),IF(逐级计算!$X$54=0,BB82+逐级计算!$C$54,BB82+逐级计算!$C$54-(10/(逐级计算!$Q$54*LN(10))*(MAX((LN(10^(逐级计算!$Q$54/10)-1)+逐级计算!$Q$54*(BB82-逐级计算!$P$54)*LN(10)/10),0)+LN(1+EXP(-ABS((LN(10^(逐级计算!$Q$54/10)-1)+逐级计算!$Q$54*(BB82-逐级计算!$P$54)*LN(10)/10))))))),"")</f>
        <v>13.7930365742089</v>
      </c>
      <c r="BD82">
        <f>IF(AND(ISNUMBER(BC82),逐级计算!$X$55&gt;-1),IF(逐级计算!$X$55=0,BC82+逐级计算!$C$55,BC82+逐级计算!$C$55-(10/(逐级计算!$Q$55*LN(10))*(MAX((LN(10^(逐级计算!$Q$55/10)-1)+逐级计算!$Q$55*(BC82-逐级计算!$P$55)*LN(10)/10),0)+LN(1+EXP(-ABS((LN(10^(逐级计算!$Q$55/10)-1)+逐级计算!$Q$55*(BC82-逐级计算!$P$55)*LN(10)/10))))))),"")</f>
        <v>13.7930365742089</v>
      </c>
      <c r="BE82">
        <f>IF(AND(ISNUMBER(BD82),逐级计算!$X$56&gt;-1),IF(逐级计算!$X$56=0,BD82+逐级计算!$C$56,BD82+逐级计算!$C$56-(10/(逐级计算!$Q$56*LN(10))*(MAX((LN(10^(逐级计算!$Q$56/10)-1)+逐级计算!$Q$56*(BD82-逐级计算!$P$56)*LN(10)/10),0)+LN(1+EXP(-ABS((LN(10^(逐级计算!$Q$56/10)-1)+逐级计算!$Q$56*(BD82-逐级计算!$P$56)*LN(10)/10))))))),"")</f>
        <v>13.7930365742089</v>
      </c>
      <c r="BF82">
        <f>IF(AND(ISNUMBER(BE82),逐级计算!$X$57&gt;-1),IF(逐级计算!$X$57=0,BE82+逐级计算!$C$57,BE82+逐级计算!$C$57-(10/(逐级计算!$Q$57*LN(10))*(MAX((LN(10^(逐级计算!$Q$57/10)-1)+逐级计算!$Q$57*(BE82-逐级计算!$P$57)*LN(10)/10),0)+LN(1+EXP(-ABS((LN(10^(逐级计算!$Q$57/10)-1)+逐级计算!$Q$57*(BE82-逐级计算!$P$57)*LN(10)/10))))))),"")</f>
        <v>13.7930365742089</v>
      </c>
      <c r="BG82">
        <f>IF(AND(ISNUMBER(BF82),逐级计算!$X$58&gt;-1),IF(逐级计算!$X$58=0,BF82+逐级计算!$C$58,BF82+逐级计算!$C$58-(10/(逐级计算!$Q$58*LN(10))*(MAX((LN(10^(逐级计算!$Q$58/10)-1)+逐级计算!$Q$58*(BF82-逐级计算!$P$58)*LN(10)/10),0)+LN(1+EXP(-ABS((LN(10^(逐级计算!$Q$58/10)-1)+逐级计算!$Q$58*(BF82-逐级计算!$P$58)*LN(10)/10))))))),"")</f>
        <v>13.7930365742089</v>
      </c>
      <c r="BH82">
        <f>IF(AND(ISNUMBER(BG82),逐级计算!$X$59&gt;-1),IF(逐级计算!$X$59=0,BG82+逐级计算!$C$59,BG82+逐级计算!$C$59-(10/(逐级计算!$Q$59*LN(10))*(MAX((LN(10^(逐级计算!$Q$59/10)-1)+逐级计算!$Q$59*(BG82-逐级计算!$P$59)*LN(10)/10),0)+LN(1+EXP(-ABS((LN(10^(逐级计算!$Q$59/10)-1)+逐级计算!$Q$59*(BG82-逐级计算!$P$59)*LN(10)/10))))))),"")</f>
        <v>13.7930365742089</v>
      </c>
      <c r="BI82">
        <f>IF(AND(ISNUMBER(BH82),逐级计算!$X$60&gt;-1),IF(逐级计算!$X$60=0,BH82+逐级计算!$C$60,BH82+逐级计算!$C$60-(10/(逐级计算!$Q$60*LN(10))*(MAX((LN(10^(逐级计算!$Q$60/10)-1)+逐级计算!$Q$60*(BH82-逐级计算!$P$60)*LN(10)/10),0)+LN(1+EXP(-ABS((LN(10^(逐级计算!$Q$60/10)-1)+逐级计算!$Q$60*(BH82-逐级计算!$P$60)*LN(10)/10))))))),"")</f>
        <v>13.7930365742089</v>
      </c>
      <c r="BJ82">
        <f>IF(AND(ISNUMBER(BI82),逐级计算!$X$61&gt;-1),IF(逐级计算!$X$61=0,BI82+逐级计算!$C$61,BI82+逐级计算!$C$61-(10/(逐级计算!$Q$61*LN(10))*(MAX((LN(10^(逐级计算!$Q$61/10)-1)+逐级计算!$Q$61*(BI82-逐级计算!$P$61)*LN(10)/10),0)+LN(1+EXP(-ABS((LN(10^(逐级计算!$Q$61/10)-1)+逐级计算!$Q$61*(BI82-逐级计算!$P$61)*LN(10)/10))))))),"")</f>
        <v>13.7930365742089</v>
      </c>
      <c r="BK82">
        <f>IF(AND(ISNUMBER(BJ82),逐级计算!$X$62&gt;-1),IF(逐级计算!$X$62=0,BJ82+逐级计算!$C$62,BJ82+逐级计算!$C$62-(10/(逐级计算!$Q$62*LN(10))*(MAX((LN(10^(逐级计算!$Q$62/10)-1)+逐级计算!$Q$62*(BJ82-逐级计算!$P$62)*LN(10)/10),0)+LN(1+EXP(-ABS((LN(10^(逐级计算!$Q$62/10)-1)+逐级计算!$Q$62*(BJ82-逐级计算!$P$62)*LN(10)/10))))))),"")</f>
        <v>13.7930365742089</v>
      </c>
      <c r="BL82">
        <f>IF(AND(ISNUMBER(BK82),逐级计算!$X$63&gt;-1),IF(逐级计算!$X$63=0,BK82+逐级计算!$C$63,BK82+逐级计算!$C$63-(10/(逐级计算!$Q$63*LN(10))*(MAX((LN(10^(逐级计算!$Q$63/10)-1)+逐级计算!$Q$63*(BK82-逐级计算!$P$63)*LN(10)/10),0)+LN(1+EXP(-ABS((LN(10^(逐级计算!$Q$63/10)-1)+逐级计算!$Q$63*(BK82-逐级计算!$P$63)*LN(10)/10))))))),"")</f>
        <v>13.7930365742089</v>
      </c>
      <c r="BM82">
        <f>IF(AND(ISNUMBER(BL82),逐级计算!$X$64&gt;-1),IF(逐级计算!$X$64=0,BL82+逐级计算!$C$64,BL82+逐级计算!$C$64-(10/(逐级计算!$Q$64*LN(10))*(MAX((LN(10^(逐级计算!$Q$64/10)-1)+逐级计算!$Q$64*(BL82-逐级计算!$P$64)*LN(10)/10),0)+LN(1+EXP(-ABS((LN(10^(逐级计算!$Q$64/10)-1)+逐级计算!$Q$64*(BL82-逐级计算!$P$64)*LN(10)/10))))))),"")</f>
        <v>13.7930365742089</v>
      </c>
      <c r="BN82">
        <f>IF(AND(ISNUMBER(BM82),逐级计算!$X$65&gt;-1),IF(逐级计算!$X$65=0,BM82+逐级计算!$C$65,BM82+逐级计算!$C$65-(10/(逐级计算!$Q$65*LN(10))*(MAX((LN(10^(逐级计算!$Q$65/10)-1)+逐级计算!$Q$65*(BM82-逐级计算!$P$65)*LN(10)/10),0)+LN(1+EXP(-ABS((LN(10^(逐级计算!$Q$65/10)-1)+逐级计算!$Q$65*(BM82-逐级计算!$P$65)*LN(10)/10))))))),"")</f>
        <v>13.7930365742089</v>
      </c>
      <c r="BO82">
        <f>IF(AND(ISNUMBER(BN82),逐级计算!$X$66&gt;-1),IF(逐级计算!$X$66=0,BN82+逐级计算!$C$66,BN82+逐级计算!$C$66-(10/(逐级计算!$Q$66*LN(10))*(MAX((LN(10^(逐级计算!$Q$66/10)-1)+逐级计算!$Q$66*(BN82-逐级计算!$P$66)*LN(10)/10),0)+LN(1+EXP(-ABS((LN(10^(逐级计算!$Q$66/10)-1)+逐级计算!$Q$66*(BN82-逐级计算!$P$66)*LN(10)/10))))))),"")</f>
        <v>13.7930365742089</v>
      </c>
      <c r="BP82">
        <f>IF(AND(ISNUMBER(BO82),逐级计算!$X$67&gt;-1),IF(逐级计算!$X$67=0,BO82+逐级计算!$C$67,BO82+逐级计算!$C$67-(10/(逐级计算!$Q$67*LN(10))*(MAX((LN(10^(逐级计算!$Q$67/10)-1)+逐级计算!$Q$67*(BO82-逐级计算!$P$67)*LN(10)/10),0)+LN(1+EXP(-ABS((LN(10^(逐级计算!$Q$67/10)-1)+逐级计算!$Q$67*(BO82-逐级计算!$P$67)*LN(10)/10))))))),"")</f>
        <v>13.7930365742089</v>
      </c>
      <c r="BQ82">
        <f>IF(AND(ISNUMBER(BP82),逐级计算!$X$68&gt;-1),IF(逐级计算!$X$68=0,BP82+逐级计算!$C$68,BP82+逐级计算!$C$68-(10/(逐级计算!$Q$68*LN(10))*(MAX((LN(10^(逐级计算!$Q$68/10)-1)+逐级计算!$Q$68*(BP82-逐级计算!$P$68)*LN(10)/10),0)+LN(1+EXP(-ABS((LN(10^(逐级计算!$Q$68/10)-1)+逐级计算!$Q$68*(BP82-逐级计算!$P$68)*LN(10)/10))))))),"")</f>
        <v>13.7930365742089</v>
      </c>
      <c r="BR82">
        <f>IF(AND(ISNUMBER(BQ82),逐级计算!$X$69&gt;-1),IF(逐级计算!$X$69=0,BQ82+逐级计算!$C$69,BQ82+逐级计算!$C$69-(10/(逐级计算!$Q$69*LN(10))*(MAX((LN(10^(逐级计算!$Q$69/10)-1)+逐级计算!$Q$69*(BQ82-逐级计算!$P$69)*LN(10)/10),0)+LN(1+EXP(-ABS((LN(10^(逐级计算!$Q$69/10)-1)+逐级计算!$Q$69*(BQ82-逐级计算!$P$69)*LN(10)/10))))))),"")</f>
        <v>13.7930365742089</v>
      </c>
      <c r="BS82">
        <f>IF(AND(ISNUMBER(BR82),逐级计算!$X$70&gt;-1),IF(逐级计算!$X$70=0,BR82+逐级计算!$C$70,BR82+逐级计算!$C$70-(10/(逐级计算!$Q$70*LN(10))*(MAX((LN(10^(逐级计算!$Q$70/10)-1)+逐级计算!$Q$70*(BR82-逐级计算!$P$70)*LN(10)/10),0)+LN(1+EXP(-ABS((LN(10^(逐级计算!$Q$70/10)-1)+逐级计算!$Q$70*(BR82-逐级计算!$P$70)*LN(10)/10))))))),"")</f>
        <v>13.7930365742089</v>
      </c>
      <c r="BT82">
        <f>IF(AND(ISNUMBER(BS82),逐级计算!$X$71&gt;-1),IF(逐级计算!$X$71=0,BS82+逐级计算!$C$71,BS82+逐级计算!$C$71-(10/(逐级计算!$Q$71*LN(10))*(MAX((LN(10^(逐级计算!$Q$71/10)-1)+逐级计算!$Q$71*(BS82-逐级计算!$P$71)*LN(10)/10),0)+LN(1+EXP(-ABS((LN(10^(逐级计算!$Q$71/10)-1)+逐级计算!$Q$71*(BS82-逐级计算!$P$71)*LN(10)/10))))))),"")</f>
        <v>13.7930365742089</v>
      </c>
      <c r="BU82">
        <f>IF(AND(ISNUMBER(BT82),逐级计算!$X$72&gt;-1),IF(逐级计算!$X$72=0,BT82+逐级计算!$C$72,BT82+逐级计算!$C$72-(10/(逐级计算!$Q$72*LN(10))*(MAX((LN(10^(逐级计算!$Q$72/10)-1)+逐级计算!$Q$72*(BT82-逐级计算!$P$72)*LN(10)/10),0)+LN(1+EXP(-ABS((LN(10^(逐级计算!$Q$72/10)-1)+逐级计算!$Q$72*(BT82-逐级计算!$P$72)*LN(10)/10))))))),"")</f>
        <v>13.7930365742089</v>
      </c>
      <c r="BV82">
        <f>IF(AND(ISNUMBER(BU82),逐级计算!$X$73&gt;-1),IF(逐级计算!$X$73=0,BU82+逐级计算!$C$73,BU82+逐级计算!$C$73-(10/(逐级计算!$Q$73*LN(10))*(MAX((LN(10^(逐级计算!$Q$73/10)-1)+逐级计算!$Q$73*(BU82-逐级计算!$P$73)*LN(10)/10),0)+LN(1+EXP(-ABS((LN(10^(逐级计算!$Q$73/10)-1)+逐级计算!$Q$73*(BU82-逐级计算!$P$73)*LN(10)/10))))))),"")</f>
        <v>13.7930365742089</v>
      </c>
      <c r="BW82">
        <f>IF(AND(ISNUMBER(BV82),逐级计算!$X$74&gt;-1),IF(逐级计算!$X$74=0,BV82+逐级计算!$C$74,BV82+逐级计算!$C$74-(10/(逐级计算!$Q$74*LN(10))*(MAX((LN(10^(逐级计算!$Q$74/10)-1)+逐级计算!$Q$74*(BV82-逐级计算!$P$74)*LN(10)/10),0)+LN(1+EXP(-ABS((LN(10^(逐级计算!$Q$74/10)-1)+逐级计算!$Q$74*(BV82-逐级计算!$P$74)*LN(10)/10))))))),"")</f>
        <v>13.7930365742089</v>
      </c>
      <c r="BX82">
        <f>IF(AND(ISNUMBER(BW82),逐级计算!$X$75&gt;-1),IF(逐级计算!$X$75=0,BW82+逐级计算!$C$75,BW82+逐级计算!$C$75-(10/(逐级计算!$Q$75*LN(10))*(MAX((LN(10^(逐级计算!$Q$75/10)-1)+逐级计算!$Q$75*(BW82-逐级计算!$P$75)*LN(10)/10),0)+LN(1+EXP(-ABS((LN(10^(逐级计算!$Q$75/10)-1)+逐级计算!$Q$75*(BW82-逐级计算!$P$75)*LN(10)/10))))))),"")</f>
        <v>13.7930365742089</v>
      </c>
      <c r="BY82">
        <f>IF(AND(ISNUMBER(BX82),逐级计算!$X$76&gt;-1),IF(逐级计算!$X$76=0,BX82+逐级计算!$C$76,BX82+逐级计算!$C$76-(10/(逐级计算!$Q$76*LN(10))*(MAX((LN(10^(逐级计算!$Q$76/10)-1)+逐级计算!$Q$76*(BX82-逐级计算!$P$76)*LN(10)/10),0)+LN(1+EXP(-ABS((LN(10^(逐级计算!$Q$76/10)-1)+逐级计算!$Q$76*(BX82-逐级计算!$P$76)*LN(10)/10))))))),"")</f>
        <v>13.7930365742089</v>
      </c>
      <c r="BZ82">
        <f>IF(AND(ISNUMBER(BY82),逐级计算!$X$77&gt;-1),IF(逐级计算!$X$77=0,BY82+逐级计算!$C$77,BY82+逐级计算!$C$77-(10/(逐级计算!$Q$77*LN(10))*(MAX((LN(10^(逐级计算!$Q$77/10)-1)+逐级计算!$Q$77*(BY82-逐级计算!$P$77)*LN(10)/10),0)+LN(1+EXP(-ABS((LN(10^(逐级计算!$Q$77/10)-1)+逐级计算!$Q$77*(BY82-逐级计算!$P$77)*LN(10)/10))))))),"")</f>
        <v>13.7930365742089</v>
      </c>
      <c r="CA82">
        <f>IF(AND(ISNUMBER(BZ82),逐级计算!$X$78&gt;-1),IF(逐级计算!$X$78=0,BZ82+逐级计算!$C$78,BZ82+逐级计算!$C$78-(10/(逐级计算!$Q$78*LN(10))*(MAX((LN(10^(逐级计算!$Q$78/10)-1)+逐级计算!$Q$78*(BZ82-逐级计算!$P$78)*LN(10)/10),0)+LN(1+EXP(-ABS((LN(10^(逐级计算!$Q$78/10)-1)+逐级计算!$Q$78*(BZ82-逐级计算!$P$78)*LN(10)/10))))))),"")</f>
        <v>13.7930365742089</v>
      </c>
      <c r="CB82">
        <f>IF(AND(ISNUMBER(CA82),逐级计算!$X$79&gt;-1),IF(逐级计算!$X$79=0,CA82+逐级计算!$C$79,CA82+逐级计算!$C$79-(10/(逐级计算!$Q$79*LN(10))*(MAX((LN(10^(逐级计算!$Q$79/10)-1)+逐级计算!$Q$79*(CA82-逐级计算!$P$79)*LN(10)/10),0)+LN(1+EXP(-ABS((LN(10^(逐级计算!$Q$79/10)-1)+逐级计算!$Q$79*(CA82-逐级计算!$P$79)*LN(10)/10))))))),"")</f>
        <v>13.7930365742089</v>
      </c>
      <c r="CC82">
        <f>IF(AND(ISNUMBER(CB82),逐级计算!$X$80&gt;-1),IF(逐级计算!$X$80=0,CB82+逐级计算!$C$80,CB82+逐级计算!$C$80-(10/(逐级计算!$Q$80*LN(10))*(MAX((LN(10^(逐级计算!$Q$80/10)-1)+逐级计算!$Q$80*(CB82-逐级计算!$P$80)*LN(10)/10),0)+LN(1+EXP(-ABS((LN(10^(逐级计算!$Q$80/10)-1)+逐级计算!$Q$80*(CB82-逐级计算!$P$80)*LN(10)/10))))))),"")</f>
        <v>13.7930365742089</v>
      </c>
      <c r="CD82">
        <f>IF(AND(ISNUMBER(CC82),逐级计算!$X$81&gt;-1),IF(逐级计算!$X$81=0,CC82+逐级计算!$C$81,CC82+逐级计算!$C$81-(10/(逐级计算!$Q$81*LN(10))*(MAX((LN(10^(逐级计算!$Q$81/10)-1)+逐级计算!$Q$81*(CC82-逐级计算!$P$81)*LN(10)/10),0)+LN(1+EXP(-ABS((LN(10^(逐级计算!$Q$81/10)-1)+逐级计算!$Q$81*(CC82-逐级计算!$P$81)*LN(10)/10))))))),"")</f>
        <v>13.7930365742089</v>
      </c>
      <c r="CE82">
        <f>IF(AND(ISNUMBER(CD82),逐级计算!$X$82&gt;-1),IF(逐级计算!$X$82=0,CD82+逐级计算!$C$82,CD82+逐级计算!$C$82-(10/(逐级计算!$Q$82*LN(10))*(MAX((LN(10^(逐级计算!$Q$82/10)-1)+逐级计算!$Q$82*(CD82-逐级计算!$P$82)*LN(10)/10),0)+LN(1+EXP(-ABS((LN(10^(逐级计算!$Q$82/10)-1)+逐级计算!$Q$82*(CD82-逐级计算!$P$82)*LN(10)/10))))))),"")</f>
        <v>13.7930365742089</v>
      </c>
      <c r="CF82">
        <f>IF(AND(ISNUMBER(CE82),逐级计算!$X$83&gt;-1),IF(逐级计算!$X$83=0,CE82+逐级计算!$C$83,CE82+逐级计算!$C$83-(10/(逐级计算!$Q$83*LN(10))*(MAX((LN(10^(逐级计算!$Q$83/10)-1)+逐级计算!$Q$83*(CE82-逐级计算!$P$83)*LN(10)/10),0)+LN(1+EXP(-ABS((LN(10^(逐级计算!$Q$83/10)-1)+逐级计算!$Q$83*(CE82-逐级计算!$P$83)*LN(10)/10))))))),"")</f>
        <v>13.7930365742089</v>
      </c>
      <c r="CG82">
        <f>IF(AND(ISNUMBER(CF82),逐级计算!$X$84&gt;-1),IF(逐级计算!$X$84=0,CF82+逐级计算!$C$84,CF82+逐级计算!$C$84-(10/(逐级计算!$Q$84*LN(10))*(MAX((LN(10^(逐级计算!$Q$84/10)-1)+逐级计算!$Q$84*(CF82-逐级计算!$P$84)*LN(10)/10),0)+LN(1+EXP(-ABS((LN(10^(逐级计算!$Q$84/10)-1)+逐级计算!$Q$84*(CF82-逐级计算!$P$84)*LN(10)/10))))))),"")</f>
        <v>13.7930365742089</v>
      </c>
      <c r="CH82">
        <f>IF(AND(ISNUMBER(CG82),逐级计算!$X$85&gt;-1),IF(逐级计算!$X$85=0,CG82+逐级计算!$C$85,CG82+逐级计算!$C$85-(10/(逐级计算!$Q$85*LN(10))*(MAX((LN(10^(逐级计算!$Q$85/10)-1)+逐级计算!$Q$85*(CG82-逐级计算!$P$85)*LN(10)/10),0)+LN(1+EXP(-ABS((LN(10^(逐级计算!$Q$85/10)-1)+逐级计算!$Q$85*(CG82-逐级计算!$P$85)*LN(10)/10))))))),"")</f>
        <v>13.7930365742089</v>
      </c>
      <c r="CI82">
        <f>IF(AND(ISNUMBER(CH82),逐级计算!$X$86&gt;-1),IF(逐级计算!$X$86=0,CH82+逐级计算!$C$86,CH82+逐级计算!$C$86-(10/(逐级计算!$Q$86*LN(10))*(MAX((LN(10^(逐级计算!$Q$86/10)-1)+逐级计算!$Q$86*(CH82-逐级计算!$P$86)*LN(10)/10),0)+LN(1+EXP(-ABS((LN(10^(逐级计算!$Q$86/10)-1)+逐级计算!$Q$86*(CH82-逐级计算!$P$86)*LN(10)/10))))))),"")</f>
        <v>13.7930365742089</v>
      </c>
      <c r="CJ82">
        <f>IF(AND(ISNUMBER(CI82),逐级计算!$X$87&gt;-1),IF(逐级计算!$X$87=0,CI82+逐级计算!$C$87,CI82+逐级计算!$C$87-(10/(逐级计算!$Q$87*LN(10))*(MAX((LN(10^(逐级计算!$Q$87/10)-1)+逐级计算!$Q$87*(CI82-逐级计算!$P$87)*LN(10)/10),0)+LN(1+EXP(-ABS((LN(10^(逐级计算!$Q$87/10)-1)+逐级计算!$Q$87*(CI82-逐级计算!$P$87)*LN(10)/10))))))),"")</f>
        <v>13.7930365742089</v>
      </c>
      <c r="CK82">
        <f>IF(AND(ISNUMBER(CJ82),逐级计算!$X$88&gt;-1),IF(逐级计算!$X$88=0,CJ82+逐级计算!$C$88,CJ82+逐级计算!$C$88-(10/(逐级计算!$Q$88*LN(10))*(MAX((LN(10^(逐级计算!$Q$88/10)-1)+逐级计算!$Q$88*(CJ82-逐级计算!$P$88)*LN(10)/10),0)+LN(1+EXP(-ABS((LN(10^(逐级计算!$Q$88/10)-1)+逐级计算!$Q$88*(CJ82-逐级计算!$P$88)*LN(10)/10))))))),"")</f>
        <v>13.7930365742089</v>
      </c>
      <c r="CL82">
        <f>IF(AND(ISNUMBER(CK82),逐级计算!$X$89&gt;-1),IF(逐级计算!$X$89=0,CK82+逐级计算!$C$89,CK82+逐级计算!$C$89-(10/(逐级计算!$Q$89*LN(10))*(MAX((LN(10^(逐级计算!$Q$89/10)-1)+逐级计算!$Q$89*(CK82-逐级计算!$P$89)*LN(10)/10),0)+LN(1+EXP(-ABS((LN(10^(逐级计算!$Q$89/10)-1)+逐级计算!$Q$89*(CK82-逐级计算!$P$89)*LN(10)/10))))))),"")</f>
        <v>13.7930365742089</v>
      </c>
      <c r="CM82">
        <f>IF(AND(ISNUMBER(CL82),逐级计算!$X$90&gt;-1),IF(逐级计算!$X$90=0,CL82+逐级计算!$C$90,CL82+逐级计算!$C$90-(10/(逐级计算!$Q$90*LN(10))*(MAX((LN(10^(逐级计算!$Q$90/10)-1)+逐级计算!$Q$90*(CL82-逐级计算!$P$90)*LN(10)/10),0)+LN(1+EXP(-ABS((LN(10^(逐级计算!$Q$90/10)-1)+逐级计算!$Q$90*(CL82-逐级计算!$P$90)*LN(10)/10))))))),"")</f>
        <v>13.7930365742089</v>
      </c>
      <c r="CN82">
        <f>IF(AND(ISNUMBER(CM82),逐级计算!$X$91&gt;-1),IF(逐级计算!$X$91=0,CM82+逐级计算!$C$91,CM82+逐级计算!$C$91-(10/(逐级计算!$Q$91*LN(10))*(MAX((LN(10^(逐级计算!$Q$91/10)-1)+逐级计算!$Q$91*(CM82-逐级计算!$P$91)*LN(10)/10),0)+LN(1+EXP(-ABS((LN(10^(逐级计算!$Q$91/10)-1)+逐级计算!$Q$91*(CM82-逐级计算!$P$91)*LN(10)/10))))))),"")</f>
        <v>13.7930365742089</v>
      </c>
      <c r="CO82">
        <f>IF(AND(ISNUMBER(CN82),逐级计算!$X$92&gt;-1),IF(逐级计算!$X$92=0,CN82+逐级计算!$C$92,CN82+逐级计算!$C$92-(10/(逐级计算!$Q$92*LN(10))*(MAX((LN(10^(逐级计算!$Q$92/10)-1)+逐级计算!$Q$92*(CN82-逐级计算!$P$92)*LN(10)/10),0)+LN(1+EXP(-ABS((LN(10^(逐级计算!$Q$92/10)-1)+逐级计算!$Q$92*(CN82-逐级计算!$P$92)*LN(10)/10))))))),"")</f>
        <v>13.7930365742089</v>
      </c>
      <c r="CP82">
        <f>IF(AND(ISNUMBER(CO82),逐级计算!$X$93&gt;-1),IF(逐级计算!$X$93=0,CO82+逐级计算!$C$93,CO82+逐级计算!$C$93-(10/(逐级计算!$Q$93*LN(10))*(MAX((LN(10^(逐级计算!$Q$93/10)-1)+逐级计算!$Q$93*(CO82-逐级计算!$P$93)*LN(10)/10),0)+LN(1+EXP(-ABS((LN(10^(逐级计算!$Q$93/10)-1)+逐级计算!$Q$93*(CO82-逐级计算!$P$93)*LN(10)/10))))))),"")</f>
        <v>13.7930365742089</v>
      </c>
      <c r="CQ82">
        <f>IF(AND(ISNUMBER(CP82),逐级计算!$X$94&gt;-1),IF(逐级计算!$X$94=0,CP82+逐级计算!$C$94,CP82+逐级计算!$C$94-(10/(逐级计算!$Q$94*LN(10))*(MAX((LN(10^(逐级计算!$Q$94/10)-1)+逐级计算!$Q$94*(CP82-逐级计算!$P$94)*LN(10)/10),0)+LN(1+EXP(-ABS((LN(10^(逐级计算!$Q$94/10)-1)+逐级计算!$Q$94*(CP82-逐级计算!$P$94)*LN(10)/10))))))),"")</f>
        <v>13.7930365742089</v>
      </c>
      <c r="CR82">
        <f>IF(AND(ISNUMBER(CQ82),逐级计算!$X$95&gt;-1),IF(逐级计算!$X$95=0,CQ82+逐级计算!$C$95,CQ82+逐级计算!$C$95-(10/(逐级计算!$Q$95*LN(10))*(MAX((LN(10^(逐级计算!$Q$95/10)-1)+逐级计算!$Q$95*(CQ82-逐级计算!$P$95)*LN(10)/10),0)+LN(1+EXP(-ABS((LN(10^(逐级计算!$Q$95/10)-1)+逐级计算!$Q$95*(CQ82-逐级计算!$P$95)*LN(10)/10))))))),"")</f>
        <v>13.7930365742089</v>
      </c>
      <c r="CS82">
        <f>IF(AND(ISNUMBER(CR82),逐级计算!$X$96&gt;-1),IF(逐级计算!$X$96=0,CR82+逐级计算!$C$96,CR82+逐级计算!$C$96-(10/(逐级计算!$Q$96*LN(10))*(MAX((LN(10^(逐级计算!$Q$96/10)-1)+逐级计算!$Q$96*(CR82-逐级计算!$P$96)*LN(10)/10),0)+LN(1+EXP(-ABS((LN(10^(逐级计算!$Q$96/10)-1)+逐级计算!$Q$96*(CR82-逐级计算!$P$96)*LN(10)/10))))))),"")</f>
        <v>13.7930365742089</v>
      </c>
      <c r="CT82">
        <f>IF(AND(ISNUMBER(CS82),逐级计算!$X$97&gt;-1),IF(逐级计算!$X$97=0,CS82+逐级计算!$C$97,CS82+逐级计算!$C$97-(10/(逐级计算!$Q$97*LN(10))*(MAX((LN(10^(逐级计算!$Q$97/10)-1)+逐级计算!$Q$97*(CS82-逐级计算!$P$97)*LN(10)/10),0)+LN(1+EXP(-ABS((LN(10^(逐级计算!$Q$97/10)-1)+逐级计算!$Q$97*(CS82-逐级计算!$P$97)*LN(10)/10))))))),"")</f>
        <v>13.7930365742089</v>
      </c>
      <c r="CU82">
        <f>IF(AND(ISNUMBER(CT82),逐级计算!$X$98&gt;-1),IF(逐级计算!$X$98=0,CT82+逐级计算!$C$98,CT82+逐级计算!$C$98-(10/(逐级计算!$Q$98*LN(10))*(MAX((LN(10^(逐级计算!$Q$98/10)-1)+逐级计算!$Q$98*(CT82-逐级计算!$P$98)*LN(10)/10),0)+LN(1+EXP(-ABS((LN(10^(逐级计算!$Q$98/10)-1)+逐级计算!$Q$98*(CT82-逐级计算!$P$98)*LN(10)/10))))))),"")</f>
        <v>13.7930365742089</v>
      </c>
      <c r="CV82">
        <f>IF(AND(ISNUMBER(CU82),逐级计算!$X$99&gt;-1),IF(逐级计算!$X$99=0,CU82+逐级计算!$C$99,CU82+逐级计算!$C$99-(10/(逐级计算!$Q$99*LN(10))*(MAX((LN(10^(逐级计算!$Q$99/10)-1)+逐级计算!$Q$99*(CU82-逐级计算!$P$99)*LN(10)/10),0)+LN(1+EXP(-ABS((LN(10^(逐级计算!$Q$99/10)-1)+逐级计算!$Q$99*(CU82-逐级计算!$P$99)*LN(10)/10))))))),"")</f>
        <v>13.7930365742089</v>
      </c>
      <c r="CW82">
        <f>IF(AND(ISNUMBER(CV82),逐级计算!$X$100&gt;-1),IF(逐级计算!$X$100=0,CV82+逐级计算!$C$100,CV82+逐级计算!$C$100-(10/(逐级计算!$Q$100*LN(10))*(MAX((LN(10^(逐级计算!$Q$100/10)-1)+逐级计算!$Q$100*(CV82-逐级计算!$P$100)*LN(10)/10),0)+LN(1+EXP(-ABS((LN(10^(逐级计算!$Q$100/10)-1)+逐级计算!$Q$100*(CV82-逐级计算!$P$100)*LN(10)/10))))))),"")</f>
        <v>13.7930365742089</v>
      </c>
      <c r="CX82">
        <f>IF(AND(ISNUMBER(CW82),逐级计算!$X$101&gt;-1),IF(逐级计算!$X$101=0,CW82+逐级计算!$C$101,CW82+逐级计算!$C$101-(10/(逐级计算!$Q$101*LN(10))*(MAX((LN(10^(逐级计算!$Q$101/10)-1)+逐级计算!$Q$101*(CW82-逐级计算!$P$101)*LN(10)/10),0)+LN(1+EXP(-ABS((LN(10^(逐级计算!$Q$101/10)-1)+逐级计算!$Q$101*(CW82-逐级计算!$P$101)*LN(10)/10))))))),"")</f>
        <v>13.7930365742089</v>
      </c>
      <c r="CY82">
        <f>IF(AND(ISNUMBER(CX82),逐级计算!$X$102&gt;-1),IF(逐级计算!$X$102=0,CX82+逐级计算!$C$102,CX82+逐级计算!$C$102-(10/(逐级计算!$Q$102*LN(10))*(MAX((LN(10^(逐级计算!$Q$102/10)-1)+逐级计算!$Q$102*(CX82-逐级计算!$P$102)*LN(10)/10),0)+LN(1+EXP(-ABS((LN(10^(逐级计算!$Q$102/10)-1)+逐级计算!$Q$102*(CX82-逐级计算!$P$102)*LN(10)/10))))))),"")</f>
        <v>13.7930365742089</v>
      </c>
      <c r="CZ82">
        <f>IF(AND(ISNUMBER(CY82),逐级计算!$X$103&gt;-1),IF(逐级计算!$X$103=0,CY82+逐级计算!$C$103,CY82+逐级计算!$C$103-(10/(逐级计算!$Q$103*LN(10))*(MAX((LN(10^(逐级计算!$Q$103/10)-1)+逐级计算!$Q$103*(CY82-逐级计算!$P$103)*LN(10)/10),0)+LN(1+EXP(-ABS((LN(10^(逐级计算!$Q$103/10)-1)+逐级计算!$Q$103*(CY82-逐级计算!$P$103)*LN(10)/10))))))),"")</f>
        <v>13.7930365742089</v>
      </c>
      <c r="DA82">
        <f>IF(AND(ISNUMBER(CZ82),逐级计算!$X$104&gt;-1),IF(逐级计算!$X$104=0,CZ82+逐级计算!$C$104,CZ82+逐级计算!$C$104-(10/(逐级计算!$Q$104*LN(10))*(MAX((LN(10^(逐级计算!$Q$104/10)-1)+逐级计算!$Q$104*(CZ82-逐级计算!$P$104)*LN(10)/10),0)+LN(1+EXP(-ABS((LN(10^(逐级计算!$Q$104/10)-1)+逐级计算!$Q$104*(CZ82-逐级计算!$P$104)*LN(10)/10))))))),"")</f>
        <v>13.7930365742089</v>
      </c>
      <c r="DB82">
        <f>IF(AND(ISNUMBER(DA82),逐级计算!$X$105&gt;-1),IF(逐级计算!$X$105=0,DA82+逐级计算!$C$105,DA82+逐级计算!$C$105-(10/(逐级计算!$Q$105*LN(10))*(MAX((LN(10^(逐级计算!$Q$105/10)-1)+逐级计算!$Q$105*(DA82-逐级计算!$P$105)*LN(10)/10),0)+LN(1+EXP(-ABS((LN(10^(逐级计算!$Q$105/10)-1)+逐级计算!$Q$105*(DA82-逐级计算!$P$105)*LN(10)/10))))))),"")</f>
        <v>13.7930365742089</v>
      </c>
      <c r="DC82">
        <f>IF(AND(ISNUMBER(DB82),逐级计算!$X$106&gt;-1),IF(逐级计算!$X$106=0,DB82+逐级计算!$C$106,DB82+逐级计算!$C$106-(10/(逐级计算!$Q$106*LN(10))*(MAX((LN(10^(逐级计算!$Q$106/10)-1)+逐级计算!$Q$106*(DB82-逐级计算!$P$106)*LN(10)/10),0)+LN(1+EXP(-ABS((LN(10^(逐级计算!$Q$106/10)-1)+逐级计算!$Q$106*(DB82-逐级计算!$P$106)*LN(10)/10))))))),"")</f>
        <v>13.7930365742089</v>
      </c>
      <c r="DD82">
        <f>IF(AND(ISNUMBER(DC82),逐级计算!$X$107&gt;-1),IF(逐级计算!$X$107=0,DC82+逐级计算!$C$107,DC82+逐级计算!$C$107-(10/(逐级计算!$Q$107*LN(10))*(MAX((LN(10^(逐级计算!$Q$107/10)-1)+逐级计算!$Q$107*(DC82-逐级计算!$P$107)*LN(10)/10),0)+LN(1+EXP(-ABS((LN(10^(逐级计算!$Q$107/10)-1)+逐级计算!$Q$107*(DC82-逐级计算!$P$107)*LN(10)/10))))))),"")</f>
        <v>13.7930365742089</v>
      </c>
      <c r="DE82">
        <f>IF(AND(ISNUMBER(DD82),逐级计算!$X$108&gt;-1),IF(逐级计算!$X$108=0,DD82+逐级计算!$C$108,DD82+逐级计算!$C$108-(10/(逐级计算!$Q$108*LN(10))*(MAX((LN(10^(逐级计算!$Q$108/10)-1)+逐级计算!$Q$108*(DD82-逐级计算!$P$108)*LN(10)/10),0)+LN(1+EXP(-ABS((LN(10^(逐级计算!$Q$108/10)-1)+逐级计算!$Q$108*(DD82-逐级计算!$P$108)*LN(10)/10))))))),"")</f>
        <v>13.7930365742089</v>
      </c>
      <c r="DF82">
        <f>IF(AND(ISNUMBER(DE82),逐级计算!$X$109&gt;-1),IF(逐级计算!$X$109=0,DE82+逐级计算!$C$109,DE82+逐级计算!$C$109-(10/(逐级计算!$Q$109*LN(10))*(MAX((LN(10^(逐级计算!$Q$109/10)-1)+逐级计算!$Q$109*(DE82-逐级计算!$P$109)*LN(10)/10),0)+LN(1+EXP(-ABS((LN(10^(逐级计算!$Q$109/10)-1)+逐级计算!$Q$109*(DE82-逐级计算!$P$109)*LN(10)/10))))))),"")</f>
        <v>13.7930365742089</v>
      </c>
      <c r="DG82">
        <f>IF(AND(ISNUMBER(DF82),逐级计算!$X$110&gt;-1),IF(逐级计算!$X$110=0,DF82+逐级计算!$C$110,DF82+逐级计算!$C$110-(10/(逐级计算!$Q$110*LN(10))*(MAX((LN(10^(逐级计算!$Q$110/10)-1)+逐级计算!$Q$110*(DF82-逐级计算!$P$110)*LN(10)/10),0)+LN(1+EXP(-ABS((LN(10^(逐级计算!$Q$110/10)-1)+逐级计算!$Q$110*(DF82-逐级计算!$P$110)*LN(10)/10))))))),"")</f>
        <v>13.7930365742089</v>
      </c>
      <c r="DH82">
        <f>IF(AND(ISNUMBER(DG82),逐级计算!$X$111&gt;-1),IF(逐级计算!$X$111=0,DG82+逐级计算!$C$111,DG82+逐级计算!$C$111-(10/(逐级计算!$Q$111*LN(10))*(MAX((LN(10^(逐级计算!$Q$111/10)-1)+逐级计算!$Q$111*(DG82-逐级计算!$P$111)*LN(10)/10),0)+LN(1+EXP(-ABS((LN(10^(逐级计算!$Q$111/10)-1)+逐级计算!$Q$111*(DG82-逐级计算!$P$111)*LN(10)/10))))))),"")</f>
        <v>13.7930365742089</v>
      </c>
      <c r="DI82">
        <f>IF(AND(ISNUMBER(DH82),逐级计算!$X$112&gt;-1),IF(逐级计算!$X$112=0,DH82+逐级计算!$C$112,DH82+逐级计算!$C$112-(10/(逐级计算!$Q$112*LN(10))*(MAX((LN(10^(逐级计算!$Q$112/10)-1)+逐级计算!$Q$112*(DH82-逐级计算!$P$112)*LN(10)/10),0)+LN(1+EXP(-ABS((LN(10^(逐级计算!$Q$112/10)-1)+逐级计算!$Q$112*(DH82-逐级计算!$P$112)*LN(10)/10))))))),"")</f>
        <v>13.7930365742089</v>
      </c>
      <c r="DJ82">
        <f>IF(AND(ISNUMBER(DI82),逐级计算!$X$113&gt;-1),IF(逐级计算!$X$113=0,DI82+逐级计算!$C$113,DI82+逐级计算!$C$113-(10/(逐级计算!$Q$113*LN(10))*(MAX((LN(10^(逐级计算!$Q$113/10)-1)+逐级计算!$Q$113*(DI82-逐级计算!$P$113)*LN(10)/10),0)+LN(1+EXP(-ABS((LN(10^(逐级计算!$Q$113/10)-1)+逐级计算!$Q$113*(DI82-逐级计算!$P$113)*LN(10)/10))))))),"")</f>
        <v>13.7930365742089</v>
      </c>
      <c r="DK82">
        <f>IF(AND(ISNUMBER(DJ82),逐级计算!$X$114&gt;-1),IF(逐级计算!$X$114=0,DJ82+逐级计算!$C$114,DJ82+逐级计算!$C$114-(10/(逐级计算!$Q$114*LN(10))*(MAX((LN(10^(逐级计算!$Q$114/10)-1)+逐级计算!$Q$114*(DJ82-逐级计算!$P$114)*LN(10)/10),0)+LN(1+EXP(-ABS((LN(10^(逐级计算!$Q$114/10)-1)+逐级计算!$Q$114*(DJ82-逐级计算!$P$114)*LN(10)/10))))))),"")</f>
        <v>13.7930365742089</v>
      </c>
      <c r="DL82">
        <f>IF(AND(ISNUMBER(DK82),逐级计算!$X$115&gt;-1),IF(逐级计算!$X$115=0,DK82+逐级计算!$C$115,DK82+逐级计算!$C$115-(10/(逐级计算!$Q$115*LN(10))*(MAX((LN(10^(逐级计算!$Q$115/10)-1)+逐级计算!$Q$115*(DK82-逐级计算!$P$115)*LN(10)/10),0)+LN(1+EXP(-ABS((LN(10^(逐级计算!$Q$115/10)-1)+逐级计算!$Q$115*(DK82-逐级计算!$P$115)*LN(10)/10))))))),"")</f>
        <v>13.7930365742089</v>
      </c>
      <c r="DM82">
        <f>IF(AND(ISNUMBER(DL82),逐级计算!$X$116&gt;-1),IF(逐级计算!$X$116=0,DL82+逐级计算!$C$116,DL82+逐级计算!$C$116-(10/(逐级计算!$Q$116*LN(10))*(MAX((LN(10^(逐级计算!$Q$116/10)-1)+逐级计算!$Q$116*(DL82-逐级计算!$P$116)*LN(10)/10),0)+LN(1+EXP(-ABS((LN(10^(逐级计算!$Q$116/10)-1)+逐级计算!$Q$116*(DL82-逐级计算!$P$116)*LN(10)/10))))))),"")</f>
        <v>13.7930365742089</v>
      </c>
      <c r="DN82">
        <f>IF(AND(ISNUMBER(DM82),逐级计算!$X$117&gt;-1),IF(逐级计算!$X$117=0,DM82+逐级计算!$C$117,DM82+逐级计算!$C$117-(10/(逐级计算!$Q$117*LN(10))*(MAX((LN(10^(逐级计算!$Q$117/10)-1)+逐级计算!$Q$117*(DM82-逐级计算!$P$117)*LN(10)/10),0)+LN(1+EXP(-ABS((LN(10^(逐级计算!$Q$117/10)-1)+逐级计算!$Q$117*(DM82-逐级计算!$P$117)*LN(10)/10))))))),"")</f>
        <v>13.7930365742089</v>
      </c>
      <c r="DO82">
        <f>IF(AND(ISNUMBER(DN82),逐级计算!$X$118&gt;-1),IF(逐级计算!$X$118=0,DN82+逐级计算!$C$118,DN82+逐级计算!$C$118-(10/(逐级计算!$Q$118*LN(10))*(MAX((LN(10^(逐级计算!$Q$118/10)-1)+逐级计算!$Q$118*(DN82-逐级计算!$P$118)*LN(10)/10),0)+LN(1+EXP(-ABS((LN(10^(逐级计算!$Q$118/10)-1)+逐级计算!$Q$118*(DN82-逐级计算!$P$118)*LN(10)/10))))))),"")</f>
        <v>13.7930365742089</v>
      </c>
      <c r="DP82">
        <f>IF(AND(ISNUMBER(DO82),逐级计算!$X$119&gt;-1),IF(逐级计算!$X$119=0,DO82+逐级计算!$C$119,DO82+逐级计算!$C$119-(10/(逐级计算!$Q$119*LN(10))*(MAX((LN(10^(逐级计算!$Q$119/10)-1)+逐级计算!$Q$119*(DO82-逐级计算!$P$119)*LN(10)/10),0)+LN(1+EXP(-ABS((LN(10^(逐级计算!$Q$119/10)-1)+逐级计算!$Q$119*(DO82-逐级计算!$P$119)*LN(10)/10))))))),"")</f>
        <v>13.7930365742089</v>
      </c>
      <c r="DQ82">
        <f>IF(AND(ISNUMBER(DP82),逐级计算!$X$120&gt;-1),IF(逐级计算!$X$120=0,DP82+逐级计算!$C$120,DP82+逐级计算!$C$120-(10/(逐级计算!$Q$120*LN(10))*(MAX((LN(10^(逐级计算!$Q$120/10)-1)+逐级计算!$Q$120*(DP82-逐级计算!$P$120)*LN(10)/10),0)+LN(1+EXP(-ABS((LN(10^(逐级计算!$Q$120/10)-1)+逐级计算!$Q$120*(DP82-逐级计算!$P$120)*LN(10)/10))))))),"")</f>
        <v>13.7930365742089</v>
      </c>
      <c r="DR82">
        <f>IF(AND(ISNUMBER(DQ82),逐级计算!$X$121&gt;-1),IF(逐级计算!$X$121=0,DQ82+逐级计算!$C$121,DQ82+逐级计算!$C$121-(10/(逐级计算!$Q$121*LN(10))*(MAX((LN(10^(逐级计算!$Q$121/10)-1)+逐级计算!$Q$121*(DQ82-逐级计算!$P$121)*LN(10)/10),0)+LN(1+EXP(-ABS((LN(10^(逐级计算!$Q$121/10)-1)+逐级计算!$Q$121*(DQ82-逐级计算!$P$121)*LN(10)/10))))))),"")</f>
        <v>13.7930365742089</v>
      </c>
      <c r="DS82">
        <f>IF(AND(ISNUMBER(DR82),逐级计算!$X$122&gt;-1),IF(逐级计算!$X$122=0,DR82+逐级计算!$C$122,DR82+逐级计算!$C$122-(10/(逐级计算!$Q$122*LN(10))*(MAX((LN(10^(逐级计算!$Q$122/10)-1)+逐级计算!$Q$122*(DR82-逐级计算!$P$122)*LN(10)/10),0)+LN(1+EXP(-ABS((LN(10^(逐级计算!$Q$122/10)-1)+逐级计算!$Q$122*(DR82-逐级计算!$P$122)*LN(10)/10))))))),"")</f>
        <v>13.7930365742089</v>
      </c>
      <c r="DT82">
        <f>IF(AND(ISNUMBER(DS82),逐级计算!$X$123&gt;-1),IF(逐级计算!$X$123=0,DS82+逐级计算!$C$123,DS82+逐级计算!$C$123-(10/(逐级计算!$Q$123*LN(10))*(MAX((LN(10^(逐级计算!$Q$123/10)-1)+逐级计算!$Q$123*(DS82-逐级计算!$P$123)*LN(10)/10),0)+LN(1+EXP(-ABS((LN(10^(逐级计算!$Q$123/10)-1)+逐级计算!$Q$123*(DS82-逐级计算!$P$123)*LN(10)/10))))))),"")</f>
        <v>13.7930365742089</v>
      </c>
      <c r="DU82">
        <f>IF(AND(ISNUMBER(DT82),逐级计算!$X$124&gt;-1),IF(逐级计算!$X$124=0,DT82+逐级计算!$C$124,DT82+逐级计算!$C$124-(10/(逐级计算!$Q$124*LN(10))*(MAX((LN(10^(逐级计算!$Q$124/10)-1)+逐级计算!$Q$124*(DT82-逐级计算!$P$124)*LN(10)/10),0)+LN(1+EXP(-ABS((LN(10^(逐级计算!$Q$124/10)-1)+逐级计算!$Q$124*(DT82-逐级计算!$P$124)*LN(10)/10))))))),"")</f>
        <v>13.7930365742089</v>
      </c>
      <c r="DV82">
        <f>IF(AND(ISNUMBER(DU82),逐级计算!$X$125&gt;-1),IF(逐级计算!$X$125=0,DU82+逐级计算!$C$125,DU82+逐级计算!$C$125-(10/(逐级计算!$Q$125*LN(10))*(MAX((LN(10^(逐级计算!$Q$125/10)-1)+逐级计算!$Q$125*(DU82-逐级计算!$P$125)*LN(10)/10),0)+LN(1+EXP(-ABS((LN(10^(逐级计算!$Q$125/10)-1)+逐级计算!$Q$125*(DU82-逐级计算!$P$125)*LN(10)/10))))))),"")</f>
        <v>13.7930365742089</v>
      </c>
      <c r="DW82">
        <f>IF(AND(ISNUMBER(DV82),逐级计算!$X$126&gt;-1),IF(逐级计算!$X$126=0,DV82+逐级计算!$C$126,DV82+逐级计算!$C$126-(10/(逐级计算!$Q$126*LN(10))*(MAX((LN(10^(逐级计算!$Q$126/10)-1)+逐级计算!$Q$126*(DV82-逐级计算!$P$126)*LN(10)/10),0)+LN(1+EXP(-ABS((LN(10^(逐级计算!$Q$126/10)-1)+逐级计算!$Q$126*(DV82-逐级计算!$P$126)*LN(10)/10))))))),"")</f>
        <v>13.7930365742089</v>
      </c>
      <c r="DX82">
        <f>IF(AND(ISNUMBER(DW82),逐级计算!$X$127&gt;-1),IF(逐级计算!$X$127=0,DW82+逐级计算!$C$127,DW82+逐级计算!$C$127-(10/(逐级计算!$Q$127*LN(10))*(MAX((LN(10^(逐级计算!$Q$127/10)-1)+逐级计算!$Q$127*(DW82-逐级计算!$P$127)*LN(10)/10),0)+LN(1+EXP(-ABS((LN(10^(逐级计算!$Q$127/10)-1)+逐级计算!$Q$127*(DW82-逐级计算!$P$127)*LN(10)/10))))))),"")</f>
        <v>13.7930365742089</v>
      </c>
      <c r="DY82">
        <f>IF(AND(ISNUMBER(DX82),逐级计算!$X$128&gt;-1),IF(逐级计算!$X$128=0,DX82+逐级计算!$C$128,DX82+逐级计算!$C$128-(10/(逐级计算!$Q$128*LN(10))*(MAX((LN(10^(逐级计算!$Q$128/10)-1)+逐级计算!$Q$128*(DX82-逐级计算!$P$128)*LN(10)/10),0)+LN(1+EXP(-ABS((LN(10^(逐级计算!$Q$128/10)-1)+逐级计算!$Q$128*(DX82-逐级计算!$P$128)*LN(10)/10))))))),"")</f>
        <v>13.7930365742089</v>
      </c>
      <c r="DZ82">
        <f>IF(AND(ISNUMBER(DY82),逐级计算!$X$129&gt;-1),IF(逐级计算!$X$129=0,DY82+逐级计算!$C$129,DY82+逐级计算!$C$129-(10/(逐级计算!$Q$129*LN(10))*(MAX((LN(10^(逐级计算!$Q$129/10)-1)+逐级计算!$Q$129*(DY82-逐级计算!$P$129)*LN(10)/10),0)+LN(1+EXP(-ABS((LN(10^(逐级计算!$Q$129/10)-1)+逐级计算!$Q$129*(DY82-逐级计算!$P$129)*LN(10)/10))))))),"")</f>
        <v>13.7930365742089</v>
      </c>
      <c r="EA82">
        <f>IF(AND(ISNUMBER(DZ82),逐级计算!$X$130&gt;-1),IF(逐级计算!$X$130=0,DZ82+逐级计算!$C$130,DZ82+逐级计算!$C$130-(10/(逐级计算!$Q$130*LN(10))*(MAX((LN(10^(逐级计算!$Q$130/10)-1)+逐级计算!$Q$130*(DZ82-逐级计算!$P$130)*LN(10)/10),0)+LN(1+EXP(-ABS((LN(10^(逐级计算!$Q$130/10)-1)+逐级计算!$Q$130*(DZ82-逐级计算!$P$130)*LN(10)/10))))))),"")</f>
        <v>13.7930365742089</v>
      </c>
      <c r="EB82">
        <f>IF(AND(ISNUMBER(EA82),逐级计算!$X$131&gt;-1),IF(逐级计算!$X$131=0,EA82+逐级计算!$C$131,EA82+逐级计算!$C$131-(10/(逐级计算!$Q$131*LN(10))*(MAX((LN(10^(逐级计算!$Q$131/10)-1)+逐级计算!$Q$131*(EA82-逐级计算!$P$131)*LN(10)/10),0)+LN(1+EXP(-ABS((LN(10^(逐级计算!$Q$131/10)-1)+逐级计算!$Q$131*(EA82-逐级计算!$P$131)*LN(10)/10))))))),"")</f>
        <v>13.7930365742089</v>
      </c>
      <c r="EC82">
        <f>IF(AND(ISNUMBER(EB82),逐级计算!$X$132&gt;-1),IF(逐级计算!$X$132=0,EB82+逐级计算!$C$132,EB82+逐级计算!$C$132-(10/(逐级计算!$Q$132*LN(10))*(MAX((LN(10^(逐级计算!$Q$132/10)-1)+逐级计算!$Q$132*(EB82-逐级计算!$P$132)*LN(10)/10),0)+LN(1+EXP(-ABS((LN(10^(逐级计算!$Q$132/10)-1)+逐级计算!$Q$132*(EB82-逐级计算!$P$132)*LN(10)/10))))))),"")</f>
        <v>13.7930365742089</v>
      </c>
      <c r="ED82">
        <f>IF(AND(ISNUMBER(EC82),逐级计算!$X$133&gt;-1),IF(逐级计算!$X$133=0,EC82+逐级计算!$C$133,EC82+逐级计算!$C$133-(10/(逐级计算!$Q$133*LN(10))*(MAX((LN(10^(逐级计算!$Q$133/10)-1)+逐级计算!$Q$133*(EC82-逐级计算!$P$133)*LN(10)/10),0)+LN(1+EXP(-ABS((LN(10^(逐级计算!$Q$133/10)-1)+逐级计算!$Q$133*(EC82-逐级计算!$P$133)*LN(10)/10))))))),"")</f>
        <v>13.7930365742089</v>
      </c>
      <c r="EE82">
        <f>IF(AND(ISNUMBER(ED82),逐级计算!$X$134&gt;-1),IF(逐级计算!$X$134=0,ED82+逐级计算!$C$134,ED82+逐级计算!$C$134-(10/(逐级计算!$Q$134*LN(10))*(MAX((LN(10^(逐级计算!$Q$134/10)-1)+逐级计算!$Q$134*(ED82-逐级计算!$P$134)*LN(10)/10),0)+LN(1+EXP(-ABS((LN(10^(逐级计算!$Q$134/10)-1)+逐级计算!$Q$134*(ED82-逐级计算!$P$134)*LN(10)/10))))))),"")</f>
        <v>13.7930365742089</v>
      </c>
      <c r="EF82">
        <f>IF(AND(ISNUMBER(EE82),逐级计算!$X$135&gt;-1),IF(逐级计算!$X$135=0,EE82+逐级计算!$C$135,EE82+逐级计算!$C$135-(10/(逐级计算!$Q$135*LN(10))*(MAX((LN(10^(逐级计算!$Q$135/10)-1)+逐级计算!$Q$135*(EE82-逐级计算!$P$135)*LN(10)/10),0)+LN(1+EXP(-ABS((LN(10^(逐级计算!$Q$135/10)-1)+逐级计算!$Q$135*(EE82-逐级计算!$P$135)*LN(10)/10))))))),"")</f>
        <v>13.7930365742089</v>
      </c>
      <c r="EG82">
        <f>IF(AND(ISNUMBER(EF82),逐级计算!$X$136&gt;-1),IF(逐级计算!$X$136=0,EF82+逐级计算!$C$136,EF82+逐级计算!$C$136-(10/(逐级计算!$Q$136*LN(10))*(MAX((LN(10^(逐级计算!$Q$136/10)-1)+逐级计算!$Q$136*(EF82-逐级计算!$P$136)*LN(10)/10),0)+LN(1+EXP(-ABS((LN(10^(逐级计算!$Q$136/10)-1)+逐级计算!$Q$136*(EF82-逐级计算!$P$136)*LN(10)/10))))))),"")</f>
        <v>13.7930365742089</v>
      </c>
      <c r="EH82">
        <f>IF(AND(ISNUMBER(EG82),逐级计算!$X$137&gt;-1),IF(逐级计算!$X$137=0,EG82+逐级计算!$C$137,EG82+逐级计算!$C$137-(10/(逐级计算!$Q$137*LN(10))*(MAX((LN(10^(逐级计算!$Q$137/10)-1)+逐级计算!$Q$137*(EG82-逐级计算!$P$137)*LN(10)/10),0)+LN(1+EXP(-ABS((LN(10^(逐级计算!$Q$137/10)-1)+逐级计算!$Q$137*(EG82-逐级计算!$P$137)*LN(10)/10))))))),"")</f>
        <v>13.7930365742089</v>
      </c>
      <c r="EI82">
        <f>IF(AND(ISNUMBER(EH82),逐级计算!$X$138&gt;-1),IF(逐级计算!$X$138=0,EH82+逐级计算!$C$138,EH82+逐级计算!$C$138-(10/(逐级计算!$Q$138*LN(10))*(MAX((LN(10^(逐级计算!$Q$138/10)-1)+逐级计算!$Q$138*(EH82-逐级计算!$P$138)*LN(10)/10),0)+LN(1+EXP(-ABS((LN(10^(逐级计算!$Q$138/10)-1)+逐级计算!$Q$138*(EH82-逐级计算!$P$138)*LN(10)/10))))))),"")</f>
        <v>13.7930365742089</v>
      </c>
      <c r="EJ82">
        <f>IF(AND(ISNUMBER(EI82),逐级计算!$X$139&gt;-1),IF(逐级计算!$X$139=0,EI82+逐级计算!$C$139,EI82+逐级计算!$C$139-(10/(逐级计算!$Q$139*LN(10))*(MAX((LN(10^(逐级计算!$Q$139/10)-1)+逐级计算!$Q$139*(EI82-逐级计算!$P$139)*LN(10)/10),0)+LN(1+EXP(-ABS((LN(10^(逐级计算!$Q$139/10)-1)+逐级计算!$Q$139*(EI82-逐级计算!$P$139)*LN(10)/10))))))),"")</f>
        <v>13.7930365742089</v>
      </c>
      <c r="EK82">
        <f>IF(AND(ISNUMBER(EJ82),逐级计算!$X$140&gt;-1),IF(逐级计算!$X$140=0,EJ82+逐级计算!$C$140,EJ82+逐级计算!$C$140-(10/(逐级计算!$Q$140*LN(10))*(MAX((LN(10^(逐级计算!$Q$140/10)-1)+逐级计算!$Q$140*(EJ82-逐级计算!$P$140)*LN(10)/10),0)+LN(1+EXP(-ABS((LN(10^(逐级计算!$Q$140/10)-1)+逐级计算!$Q$140*(EJ82-逐级计算!$P$140)*LN(10)/10))))))),"")</f>
        <v>13.7930365742089</v>
      </c>
      <c r="EL82">
        <f>IF(AND(ISNUMBER(EK82),逐级计算!$X$141&gt;-1),IF(逐级计算!$X$141=0,EK82+逐级计算!$C$141,EK82+逐级计算!$C$141-(10/(逐级计算!$Q$141*LN(10))*(MAX((LN(10^(逐级计算!$Q$141/10)-1)+逐级计算!$Q$141*(EK82-逐级计算!$P$141)*LN(10)/10),0)+LN(1+EXP(-ABS((LN(10^(逐级计算!$Q$141/10)-1)+逐级计算!$Q$141*(EK82-逐级计算!$P$141)*LN(10)/10))))))),"")</f>
        <v>13.7930365742089</v>
      </c>
      <c r="EM82">
        <f>IF(AND(ISNUMBER(EL82),逐级计算!$X$142&gt;-1),IF(逐级计算!$X$142=0,EL82+逐级计算!$C$142,EL82+逐级计算!$C$142-(10/(逐级计算!$Q$142*LN(10))*(MAX((LN(10^(逐级计算!$Q$142/10)-1)+逐级计算!$Q$142*(EL82-逐级计算!$P$142)*LN(10)/10),0)+LN(1+EXP(-ABS((LN(10^(逐级计算!$Q$142/10)-1)+逐级计算!$Q$142*(EL82-逐级计算!$P$142)*LN(10)/10))))))),"")</f>
        <v>13.7930365742089</v>
      </c>
      <c r="EN82">
        <f>IF(AND(ISNUMBER(EM82),逐级计算!$X$143&gt;-1),IF(逐级计算!$X$143=0,EM82+逐级计算!$C$143,EM82+逐级计算!$C$143-(10/(逐级计算!$Q$143*LN(10))*(MAX((LN(10^(逐级计算!$Q$143/10)-1)+逐级计算!$Q$143*(EM82-逐级计算!$P$143)*LN(10)/10),0)+LN(1+EXP(-ABS((LN(10^(逐级计算!$Q$143/10)-1)+逐级计算!$Q$143*(EM82-逐级计算!$P$143)*LN(10)/10))))))),"")</f>
        <v>13.7930365742089</v>
      </c>
      <c r="EO82">
        <f>IF(AND(ISNUMBER(EN82),逐级计算!$X$144&gt;-1),IF(逐级计算!$X$144=0,EN82+逐级计算!$C$144,EN82+逐级计算!$C$144-(10/(逐级计算!$Q$144*LN(10))*(MAX((LN(10^(逐级计算!$Q$144/10)-1)+逐级计算!$Q$144*(EN82-逐级计算!$P$144)*LN(10)/10),0)+LN(1+EXP(-ABS((LN(10^(逐级计算!$Q$144/10)-1)+逐级计算!$Q$144*(EN82-逐级计算!$P$144)*LN(10)/10))))))),"")</f>
        <v>13.7930365742089</v>
      </c>
      <c r="EP82">
        <f>IF(AND(ISNUMBER(EO82),逐级计算!$X$145&gt;-1),IF(逐级计算!$X$145=0,EO82+逐级计算!$C$145,EO82+逐级计算!$C$145-(10/(逐级计算!$Q$145*LN(10))*(MAX((LN(10^(逐级计算!$Q$145/10)-1)+逐级计算!$Q$145*(EO82-逐级计算!$P$145)*LN(10)/10),0)+LN(1+EXP(-ABS((LN(10^(逐级计算!$Q$145/10)-1)+逐级计算!$Q$145*(EO82-逐级计算!$P$145)*LN(10)/10))))))),"")</f>
        <v>13.7930365742089</v>
      </c>
      <c r="EQ82">
        <f>IF(AND(ISNUMBER(EP82),逐级计算!$X$146&gt;-1),IF(逐级计算!$X$146=0,EP82+逐级计算!$C$146,EP82+逐级计算!$C$146-(10/(逐级计算!$Q$146*LN(10))*(MAX((LN(10^(逐级计算!$Q$146/10)-1)+逐级计算!$Q$146*(EP82-逐级计算!$P$146)*LN(10)/10),0)+LN(1+EXP(-ABS((LN(10^(逐级计算!$Q$146/10)-1)+逐级计算!$Q$146*(EP82-逐级计算!$P$146)*LN(10)/10))))))),"")</f>
        <v>13.7930365742089</v>
      </c>
      <c r="ER82">
        <f>IF(AND(ISNUMBER(EQ82),逐级计算!$X$147&gt;-1),IF(逐级计算!$X$147=0,EQ82+逐级计算!$C$147,EQ82+逐级计算!$C$147-(10/(逐级计算!$Q$147*LN(10))*(MAX((LN(10^(逐级计算!$Q$147/10)-1)+逐级计算!$Q$147*(EQ82-逐级计算!$P$147)*LN(10)/10),0)+LN(1+EXP(-ABS((LN(10^(逐级计算!$Q$147/10)-1)+逐级计算!$Q$147*(EQ82-逐级计算!$P$147)*LN(10)/10))))))),"")</f>
        <v>13.7930365742089</v>
      </c>
      <c r="ES82">
        <f>IF(AND(ISNUMBER(ER82),逐级计算!$X$148&gt;-1),IF(逐级计算!$X$148=0,ER82+逐级计算!$C$148,ER82+逐级计算!$C$148-(10/(逐级计算!$Q$148*LN(10))*(MAX((LN(10^(逐级计算!$Q$148/10)-1)+逐级计算!$Q$148*(ER82-逐级计算!$P$148)*LN(10)/10),0)+LN(1+EXP(-ABS((LN(10^(逐级计算!$Q$148/10)-1)+逐级计算!$Q$148*(ER82-逐级计算!$P$148)*LN(10)/10))))))),"")</f>
        <v>13.7930365742089</v>
      </c>
      <c r="ET82">
        <f>IF(AND(ISNUMBER(ES82),逐级计算!$X$149&gt;-1),IF(逐级计算!$X$149=0,ES82+逐级计算!$C$149,ES82+逐级计算!$C$149-(10/(逐级计算!$Q$149*LN(10))*(MAX((LN(10^(逐级计算!$Q$149/10)-1)+逐级计算!$Q$149*(ES82-逐级计算!$P$149)*LN(10)/10),0)+LN(1+EXP(-ABS((LN(10^(逐级计算!$Q$149/10)-1)+逐级计算!$Q$149*(ES82-逐级计算!$P$149)*LN(10)/10))))))),"")</f>
        <v>13.7930365742089</v>
      </c>
      <c r="EU82">
        <f>IF(AND(ISNUMBER(ET82),逐级计算!$X$150&gt;-1),IF(逐级计算!$X$150=0,ET82+逐级计算!$C$150,ET82+逐级计算!$C$150-(10/(逐级计算!$Q$150*LN(10))*(MAX((LN(10^(逐级计算!$Q$150/10)-1)+逐级计算!$Q$150*(ET82-逐级计算!$P$150)*LN(10)/10),0)+LN(1+EXP(-ABS((LN(10^(逐级计算!$Q$150/10)-1)+逐级计算!$Q$150*(ET82-逐级计算!$P$150)*LN(10)/10))))))),"")</f>
        <v>13.7930365742089</v>
      </c>
      <c r="EV82">
        <f>IF(AND(ISNUMBER(EU82),逐级计算!$X$151&gt;-1),IF(逐级计算!$X$151=0,EU82+逐级计算!$C$151,EU82+逐级计算!$C$151-(10/(逐级计算!$Q$151*LN(10))*(MAX((LN(10^(逐级计算!$Q$151/10)-1)+逐级计算!$Q$151*(EU82-逐级计算!$P$151)*LN(10)/10),0)+LN(1+EXP(-ABS((LN(10^(逐级计算!$Q$151/10)-1)+逐级计算!$Q$151*(EU82-逐级计算!$P$151)*LN(10)/10))))))),"")</f>
        <v>13.7930365742089</v>
      </c>
      <c r="EW82">
        <f>IF(AND(ISNUMBER(EV82),逐级计算!$X$152&gt;-1),IF(逐级计算!$X$152=0,EV82+逐级计算!$C$152,EV82+逐级计算!$C$152-(10/(逐级计算!$Q$152*LN(10))*(MAX((LN(10^(逐级计算!$Q$152/10)-1)+逐级计算!$Q$152*(EV82-逐级计算!$P$152)*LN(10)/10),0)+LN(1+EXP(-ABS((LN(10^(逐级计算!$Q$152/10)-1)+逐级计算!$Q$152*(EV82-逐级计算!$P$152)*LN(10)/10))))))),"")</f>
        <v>13.7930365742089</v>
      </c>
      <c r="EX82">
        <f>IF(AND(ISNUMBER(EW82),逐级计算!$X$153&gt;-1),IF(逐级计算!$X$153=0,EW82+逐级计算!$C$153,EW82+逐级计算!$C$153-(10/(逐级计算!$Q$153*LN(10))*(MAX((LN(10^(逐级计算!$Q$153/10)-1)+逐级计算!$Q$153*(EW82-逐级计算!$P$153)*LN(10)/10),0)+LN(1+EXP(-ABS((LN(10^(逐级计算!$Q$153/10)-1)+逐级计算!$Q$153*(EW82-逐级计算!$P$153)*LN(10)/10))))))),"")</f>
        <v>13.7930365742089</v>
      </c>
      <c r="EY82">
        <f>IF(AND(ISNUMBER(EX82),逐级计算!$X$154&gt;-1),IF(逐级计算!$X$154=0,EX82+逐级计算!$C$154,EX82+逐级计算!$C$154-(10/(逐级计算!$Q$154*LN(10))*(MAX((LN(10^(逐级计算!$Q$154/10)-1)+逐级计算!$Q$154*(EX82-逐级计算!$P$154)*LN(10)/10),0)+LN(1+EXP(-ABS((LN(10^(逐级计算!$Q$154/10)-1)+逐级计算!$Q$154*(EX82-逐级计算!$P$154)*LN(10)/10))))))),"")</f>
        <v>13.7930365742089</v>
      </c>
      <c r="EZ82">
        <f>IF(AND(ISNUMBER(EY82),逐级计算!$X$155&gt;-1),IF(逐级计算!$X$155=0,EY82+逐级计算!$C$155,EY82+逐级计算!$C$155-(10/(逐级计算!$Q$155*LN(10))*(MAX((LN(10^(逐级计算!$Q$155/10)-1)+逐级计算!$Q$155*(EY82-逐级计算!$P$155)*LN(10)/10),0)+LN(1+EXP(-ABS((LN(10^(逐级计算!$Q$155/10)-1)+逐级计算!$Q$155*(EY82-逐级计算!$P$155)*LN(10)/10))))))),"")</f>
        <v>13.7930365742089</v>
      </c>
      <c r="FA82">
        <f>IF(AND(ISNUMBER(EZ82),逐级计算!$X$156&gt;-1),IF(逐级计算!$X$156=0,EZ82+逐级计算!$C$156,EZ82+逐级计算!$C$156-(10/(逐级计算!$Q$156*LN(10))*(MAX((LN(10^(逐级计算!$Q$156/10)-1)+逐级计算!$Q$156*(EZ82-逐级计算!$P$156)*LN(10)/10),0)+LN(1+EXP(-ABS((LN(10^(逐级计算!$Q$156/10)-1)+逐级计算!$Q$156*(EZ82-逐级计算!$P$156)*LN(10)/10))))))),"")</f>
        <v>13.7930365742089</v>
      </c>
      <c r="FB82">
        <f>IF(AND(ISNUMBER(FA82),逐级计算!$X$157&gt;-1),IF(逐级计算!$X$157=0,FA82+逐级计算!$C$157,FA82+逐级计算!$C$157-(10/(逐级计算!$Q$157*LN(10))*(MAX((LN(10^(逐级计算!$Q$157/10)-1)+逐级计算!$Q$157*(FA82-逐级计算!$P$157)*LN(10)/10),0)+LN(1+EXP(-ABS((LN(10^(逐级计算!$Q$157/10)-1)+逐级计算!$Q$157*(FA82-逐级计算!$P$157)*LN(10)/10))))))),"")</f>
        <v>13.7930365742089</v>
      </c>
      <c r="FC82">
        <f>IF(AND(ISNUMBER(FB82),逐级计算!$X$158&gt;-1),IF(逐级计算!$X$158=0,FB82+逐级计算!$C$158,FB82+逐级计算!$C$158-(10/(逐级计算!$Q$158*LN(10))*(MAX((LN(10^(逐级计算!$Q$158/10)-1)+逐级计算!$Q$158*(FB82-逐级计算!$P$158)*LN(10)/10),0)+LN(1+EXP(-ABS((LN(10^(逐级计算!$Q$158/10)-1)+逐级计算!$Q$158*(FB82-逐级计算!$P$158)*LN(10)/10))))))),"")</f>
        <v>13.7930365742089</v>
      </c>
      <c r="FD82">
        <f>IF(AND(ISNUMBER(FC82),逐级计算!$X$159&gt;-1),IF(逐级计算!$X$159=0,FC82+逐级计算!$C$159,FC82+逐级计算!$C$159-(10/(逐级计算!$Q$159*LN(10))*(MAX((LN(10^(逐级计算!$Q$159/10)-1)+逐级计算!$Q$159*(FC82-逐级计算!$P$159)*LN(10)/10),0)+LN(1+EXP(-ABS((LN(10^(逐级计算!$Q$159/10)-1)+逐级计算!$Q$159*(FC82-逐级计算!$P$159)*LN(10)/10))))))),"")</f>
        <v>13.7930365742089</v>
      </c>
      <c r="FE82">
        <f>IF(AND(ISNUMBER(FD82),逐级计算!$X$160&gt;-1),IF(逐级计算!$X$160=0,FD82+逐级计算!$C$160,FD82+逐级计算!$C$160-(10/(逐级计算!$Q$160*LN(10))*(MAX((LN(10^(逐级计算!$Q$160/10)-1)+逐级计算!$Q$160*(FD82-逐级计算!$P$160)*LN(10)/10),0)+LN(1+EXP(-ABS((LN(10^(逐级计算!$Q$160/10)-1)+逐级计算!$Q$160*(FD82-逐级计算!$P$160)*LN(10)/10))))))),"")</f>
        <v>13.7930365742089</v>
      </c>
      <c r="FF82">
        <f>IF(AND(ISNUMBER(FE82),逐级计算!$X$161&gt;-1),IF(逐级计算!$X$161=0,FE82+逐级计算!$C$161,FE82+逐级计算!$C$161-(10/(逐级计算!$Q$161*LN(10))*(MAX((LN(10^(逐级计算!$Q$161/10)-1)+逐级计算!$Q$161*(FE82-逐级计算!$P$161)*LN(10)/10),0)+LN(1+EXP(-ABS((LN(10^(逐级计算!$Q$161/10)-1)+逐级计算!$Q$161*(FE82-逐级计算!$P$161)*LN(10)/10))))))),"")</f>
        <v>13.7930365742089</v>
      </c>
      <c r="FG82">
        <f>IF(AND(ISNUMBER(FF82),逐级计算!$X$162&gt;-1),IF(逐级计算!$X$162=0,FF82+逐级计算!$C$162,FF82+逐级计算!$C$162-(10/(逐级计算!$Q$162*LN(10))*(MAX((LN(10^(逐级计算!$Q$162/10)-1)+逐级计算!$Q$162*(FF82-逐级计算!$P$162)*LN(10)/10),0)+LN(1+EXP(-ABS((LN(10^(逐级计算!$Q$162/10)-1)+逐级计算!$Q$162*(FF82-逐级计算!$P$162)*LN(10)/10))))))),"")</f>
        <v>13.7930365742089</v>
      </c>
      <c r="FH82">
        <f>IF(AND(ISNUMBER(FG82),逐级计算!$X$163&gt;-1),IF(逐级计算!$X$163=0,FG82+逐级计算!$C$163,FG82+逐级计算!$C$163-(10/(逐级计算!$Q$163*LN(10))*(MAX((LN(10^(逐级计算!$Q$163/10)-1)+逐级计算!$Q$163*(FG82-逐级计算!$P$163)*LN(10)/10),0)+LN(1+EXP(-ABS((LN(10^(逐级计算!$Q$163/10)-1)+逐级计算!$Q$163*(FG82-逐级计算!$P$163)*LN(10)/10))))))),"")</f>
        <v>13.7930365742089</v>
      </c>
      <c r="FI82">
        <f>IF(AND(ISNUMBER(FH82),逐级计算!$X$164&gt;-1),IF(逐级计算!$X$164=0,FH82+逐级计算!$C$164,FH82+逐级计算!$C$164-(10/(逐级计算!$Q$164*LN(10))*(MAX((LN(10^(逐级计算!$Q$164/10)-1)+逐级计算!$Q$164*(FH82-逐级计算!$P$164)*LN(10)/10),0)+LN(1+EXP(-ABS((LN(10^(逐级计算!$Q$164/10)-1)+逐级计算!$Q$164*(FH82-逐级计算!$P$164)*LN(10)/10))))))),"")</f>
        <v>13.7930365742089</v>
      </c>
      <c r="FJ82">
        <f>IF(AND(ISNUMBER(FI82),逐级计算!$X$165&gt;-1),IF(逐级计算!$X$165=0,FI82+逐级计算!$C$165,FI82+逐级计算!$C$165-(10/(逐级计算!$Q$165*LN(10))*(MAX((LN(10^(逐级计算!$Q$165/10)-1)+逐级计算!$Q$165*(FI82-逐级计算!$P$165)*LN(10)/10),0)+LN(1+EXP(-ABS((LN(10^(逐级计算!$Q$165/10)-1)+逐级计算!$Q$165*(FI82-逐级计算!$P$165)*LN(10)/10))))))),"")</f>
        <v>13.7930365742089</v>
      </c>
      <c r="FK82">
        <f>IF(AND(ISNUMBER(FJ82),逐级计算!$X$166&gt;-1),IF(逐级计算!$X$166=0,FJ82+逐级计算!$C$166,FJ82+逐级计算!$C$166-(10/(逐级计算!$Q$166*LN(10))*(MAX((LN(10^(逐级计算!$Q$166/10)-1)+逐级计算!$Q$166*(FJ82-逐级计算!$P$166)*LN(10)/10),0)+LN(1+EXP(-ABS((LN(10^(逐级计算!$Q$166/10)-1)+逐级计算!$Q$166*(FJ82-逐级计算!$P$166)*LN(10)/10))))))),"")</f>
        <v>13.7930365742089</v>
      </c>
      <c r="FL82">
        <f>IF(AND(ISNUMBER(FK82),逐级计算!$X$167&gt;-1),IF(逐级计算!$X$167=0,FK82+逐级计算!$C$167,FK82+逐级计算!$C$167-(10/(逐级计算!$Q$167*LN(10))*(MAX((LN(10^(逐级计算!$Q$167/10)-1)+逐级计算!$Q$167*(FK82-逐级计算!$P$167)*LN(10)/10),0)+LN(1+EXP(-ABS((LN(10^(逐级计算!$Q$167/10)-1)+逐级计算!$Q$167*(FK82-逐级计算!$P$167)*LN(10)/10))))))),"")</f>
        <v>13.7930365742089</v>
      </c>
      <c r="FM82">
        <f>IF(AND(ISNUMBER(FL82),逐级计算!$X$168&gt;-1),IF(逐级计算!$X$168=0,FL82+逐级计算!$C$168,FL82+逐级计算!$C$168-(10/(逐级计算!$Q$168*LN(10))*(MAX((LN(10^(逐级计算!$Q$168/10)-1)+逐级计算!$Q$168*(FL82-逐级计算!$P$168)*LN(10)/10),0)+LN(1+EXP(-ABS((LN(10^(逐级计算!$Q$168/10)-1)+逐级计算!$Q$168*(FL82-逐级计算!$P$168)*LN(10)/10))))))),"")</f>
        <v>13.7930365742089</v>
      </c>
      <c r="FN82">
        <f>IF(AND(ISNUMBER(FM82),逐级计算!$X$169&gt;-1),IF(逐级计算!$X$169=0,FM82+逐级计算!$C$169,FM82+逐级计算!$C$169-(10/(逐级计算!$Q$169*LN(10))*(MAX((LN(10^(逐级计算!$Q$169/10)-1)+逐级计算!$Q$169*(FM82-逐级计算!$P$169)*LN(10)/10),0)+LN(1+EXP(-ABS((LN(10^(逐级计算!$Q$169/10)-1)+逐级计算!$Q$169*(FM82-逐级计算!$P$169)*LN(10)/10))))))),"")</f>
        <v>13.7930365742089</v>
      </c>
      <c r="FO82">
        <f>IF(AND(ISNUMBER(FN82),逐级计算!$X$170&gt;-1),IF(逐级计算!$X$170=0,FN82+逐级计算!$C$170,FN82+逐级计算!$C$170-(10/(逐级计算!$Q$170*LN(10))*(MAX((LN(10^(逐级计算!$Q$170/10)-1)+逐级计算!$Q$170*(FN82-逐级计算!$P$170)*LN(10)/10),0)+LN(1+EXP(-ABS((LN(10^(逐级计算!$Q$170/10)-1)+逐级计算!$Q$170*(FN82-逐级计算!$P$170)*LN(10)/10))))))),"")</f>
        <v>13.7930365742089</v>
      </c>
      <c r="FP82">
        <f>IF(AND(ISNUMBER(FO82),逐级计算!$X$171&gt;-1),IF(逐级计算!$X$171=0,FO82+逐级计算!$C$171,FO82+逐级计算!$C$171-(10/(逐级计算!$Q$171*LN(10))*(MAX((LN(10^(逐级计算!$Q$171/10)-1)+逐级计算!$Q$171*(FO82-逐级计算!$P$171)*LN(10)/10),0)+LN(1+EXP(-ABS((LN(10^(逐级计算!$Q$171/10)-1)+逐级计算!$Q$171*(FO82-逐级计算!$P$171)*LN(10)/10))))))),"")</f>
        <v>13.7930365742089</v>
      </c>
      <c r="FQ82">
        <f>IF(AND(ISNUMBER(FP82),逐级计算!$X$172&gt;-1),IF(逐级计算!$X$172=0,FP82+逐级计算!$C$172,FP82+逐级计算!$C$172-(10/(逐级计算!$Q$172*LN(10))*(MAX((LN(10^(逐级计算!$Q$172/10)-1)+逐级计算!$Q$172*(FP82-逐级计算!$P$172)*LN(10)/10),0)+LN(1+EXP(-ABS((LN(10^(逐级计算!$Q$172/10)-1)+逐级计算!$Q$172*(FP82-逐级计算!$P$172)*LN(10)/10))))))),"")</f>
        <v>13.7930365742089</v>
      </c>
      <c r="FR82">
        <f>IF(AND(ISNUMBER(FQ82),逐级计算!$X$173&gt;-1),IF(逐级计算!$X$173=0,FQ82+逐级计算!$C$173,FQ82+逐级计算!$C$173-(10/(逐级计算!$Q$173*LN(10))*(MAX((LN(10^(逐级计算!$Q$173/10)-1)+逐级计算!$Q$173*(FQ82-逐级计算!$P$173)*LN(10)/10),0)+LN(1+EXP(-ABS((LN(10^(逐级计算!$Q$173/10)-1)+逐级计算!$Q$173*(FQ82-逐级计算!$P$173)*LN(10)/10))))))),"")</f>
        <v>13.7930365742089</v>
      </c>
      <c r="FS82">
        <f>IF(AND(ISNUMBER(FR82),逐级计算!$X$174&gt;-1),IF(逐级计算!$X$174=0,FR82+逐级计算!$C$174,FR82+逐级计算!$C$174-(10/(逐级计算!$Q$174*LN(10))*(MAX((LN(10^(逐级计算!$Q$174/10)-1)+逐级计算!$Q$174*(FR82-逐级计算!$P$174)*LN(10)/10),0)+LN(1+EXP(-ABS((LN(10^(逐级计算!$Q$174/10)-1)+逐级计算!$Q$174*(FR82-逐级计算!$P$174)*LN(10)/10))))))),"")</f>
        <v>13.7930365742089</v>
      </c>
      <c r="FT82">
        <f>IF(AND(ISNUMBER(FS82),逐级计算!$X$175&gt;-1),IF(逐级计算!$X$175=0,FS82+逐级计算!$C$175,FS82+逐级计算!$C$175-(10/(逐级计算!$Q$175*LN(10))*(MAX((LN(10^(逐级计算!$Q$175/10)-1)+逐级计算!$Q$175*(FS82-逐级计算!$P$175)*LN(10)/10),0)+LN(1+EXP(-ABS((LN(10^(逐级计算!$Q$175/10)-1)+逐级计算!$Q$175*(FS82-逐级计算!$P$175)*LN(10)/10))))))),"")</f>
        <v>13.7930365742089</v>
      </c>
      <c r="FU82">
        <f>IF(AND(ISNUMBER(FT82),逐级计算!$X$176&gt;-1),IF(逐级计算!$X$176=0,FT82+逐级计算!$C$176,FT82+逐级计算!$C$176-(10/(逐级计算!$Q$176*LN(10))*(MAX((LN(10^(逐级计算!$Q$176/10)-1)+逐级计算!$Q$176*(FT82-逐级计算!$P$176)*LN(10)/10),0)+LN(1+EXP(-ABS((LN(10^(逐级计算!$Q$176/10)-1)+逐级计算!$Q$176*(FT82-逐级计算!$P$176)*LN(10)/10))))))),"")</f>
        <v>13.7930365742089</v>
      </c>
      <c r="FV82">
        <f>IF(AND(ISNUMBER(FU82),逐级计算!$X$177&gt;-1),IF(逐级计算!$X$177=0,FU82+逐级计算!$C$177,FU82+逐级计算!$C$177-(10/(逐级计算!$Q$177*LN(10))*(MAX((LN(10^(逐级计算!$Q$177/10)-1)+逐级计算!$Q$177*(FU82-逐级计算!$P$177)*LN(10)/10),0)+LN(1+EXP(-ABS((LN(10^(逐级计算!$Q$177/10)-1)+逐级计算!$Q$177*(FU82-逐级计算!$P$177)*LN(10)/10))))))),"")</f>
        <v>13.7930365742089</v>
      </c>
      <c r="FW82">
        <f>IF(AND(ISNUMBER(FV82),逐级计算!$X$178&gt;-1),IF(逐级计算!$X$178=0,FV82+逐级计算!$C$178,FV82+逐级计算!$C$178-(10/(逐级计算!$Q$178*LN(10))*(MAX((LN(10^(逐级计算!$Q$178/10)-1)+逐级计算!$Q$178*(FV82-逐级计算!$P$178)*LN(10)/10),0)+LN(1+EXP(-ABS((LN(10^(逐级计算!$Q$178/10)-1)+逐级计算!$Q$178*(FV82-逐级计算!$P$178)*LN(10)/10))))))),"")</f>
        <v>13.7930365742089</v>
      </c>
      <c r="FX82">
        <f>IF(AND(ISNUMBER(FW82),逐级计算!$X$179&gt;-1),IF(逐级计算!$X$179=0,FW82+逐级计算!$C$179,FW82+逐级计算!$C$179-(10/(逐级计算!$Q$179*LN(10))*(MAX((LN(10^(逐级计算!$Q$179/10)-1)+逐级计算!$Q$179*(FW82-逐级计算!$P$179)*LN(10)/10),0)+LN(1+EXP(-ABS((LN(10^(逐级计算!$Q$179/10)-1)+逐级计算!$Q$179*(FW82-逐级计算!$P$179)*LN(10)/10))))))),"")</f>
        <v>13.7930365742089</v>
      </c>
      <c r="FY82">
        <f>IF(AND(ISNUMBER(FX82),逐级计算!$X$180&gt;-1),IF(逐级计算!$X$180=0,FX82+逐级计算!$C$180,FX82+逐级计算!$C$180-(10/(逐级计算!$Q$180*LN(10))*(MAX((LN(10^(逐级计算!$Q$180/10)-1)+逐级计算!$Q$180*(FX82-逐级计算!$P$180)*LN(10)/10),0)+LN(1+EXP(-ABS((LN(10^(逐级计算!$Q$180/10)-1)+逐级计算!$Q$180*(FX82-逐级计算!$P$180)*LN(10)/10))))))),"")</f>
        <v>13.7930365742089</v>
      </c>
      <c r="FZ82">
        <f>IF(AND(ISNUMBER(FY82),逐级计算!$X$181&gt;-1),IF(逐级计算!$X$181=0,FY82+逐级计算!$C$181,FY82+逐级计算!$C$181-(10/(逐级计算!$Q$181*LN(10))*(MAX((LN(10^(逐级计算!$Q$181/10)-1)+逐级计算!$Q$181*(FY82-逐级计算!$P$181)*LN(10)/10),0)+LN(1+EXP(-ABS((LN(10^(逐级计算!$Q$181/10)-1)+逐级计算!$Q$181*(FY82-逐级计算!$P$181)*LN(10)/10))))))),"")</f>
        <v>13.7930365742089</v>
      </c>
      <c r="GA82">
        <f>IF(AND(ISNUMBER(FZ82),逐级计算!$X$182&gt;-1),IF(逐级计算!$X$182=0,FZ82+逐级计算!$C$182,FZ82+逐级计算!$C$182-(10/(逐级计算!$Q$182*LN(10))*(MAX((LN(10^(逐级计算!$Q$182/10)-1)+逐级计算!$Q$182*(FZ82-逐级计算!$P$182)*LN(10)/10),0)+LN(1+EXP(-ABS((LN(10^(逐级计算!$Q$182/10)-1)+逐级计算!$Q$182*(FZ82-逐级计算!$P$182)*LN(10)/10))))))),"")</f>
        <v>13.7930365742089</v>
      </c>
      <c r="GB82">
        <f>IF(AND(ISNUMBER(GA82),逐级计算!$X$183&gt;-1),IF(逐级计算!$X$183=0,GA82+逐级计算!$C$183,GA82+逐级计算!$C$183-(10/(逐级计算!$Q$183*LN(10))*(MAX((LN(10^(逐级计算!$Q$183/10)-1)+逐级计算!$Q$183*(GA82-逐级计算!$P$183)*LN(10)/10),0)+LN(1+EXP(-ABS((LN(10^(逐级计算!$Q$183/10)-1)+逐级计算!$Q$183*(GA82-逐级计算!$P$183)*LN(10)/10))))))),"")</f>
        <v>13.7930365742089</v>
      </c>
      <c r="GC82">
        <f>IF(AND(ISNUMBER(GB82),逐级计算!$X$184&gt;-1),IF(逐级计算!$X$184=0,GB82+逐级计算!$C$184,GB82+逐级计算!$C$184-(10/(逐级计算!$Q$184*LN(10))*(MAX((LN(10^(逐级计算!$Q$184/10)-1)+逐级计算!$Q$184*(GB82-逐级计算!$P$184)*LN(10)/10),0)+LN(1+EXP(-ABS((LN(10^(逐级计算!$Q$184/10)-1)+逐级计算!$Q$184*(GB82-逐级计算!$P$184)*LN(10)/10))))))),"")</f>
        <v>13.7930365742089</v>
      </c>
      <c r="GD82">
        <f>IF(AND(ISNUMBER(GC82),逐级计算!$X$185&gt;-1),IF(逐级计算!$X$185=0,GC82+逐级计算!$C$185,GC82+逐级计算!$C$185-(10/(逐级计算!$Q$185*LN(10))*(MAX((LN(10^(逐级计算!$Q$185/10)-1)+逐级计算!$Q$185*(GC82-逐级计算!$P$185)*LN(10)/10),0)+LN(1+EXP(-ABS((LN(10^(逐级计算!$Q$185/10)-1)+逐级计算!$Q$185*(GC82-逐级计算!$P$185)*LN(10)/10))))))),"")</f>
        <v>13.7930365742089</v>
      </c>
      <c r="GE82">
        <f>IF(AND(ISNUMBER(GD82),逐级计算!$X$186&gt;-1),IF(逐级计算!$X$186=0,GD82+逐级计算!$C$186,GD82+逐级计算!$C$186-(10/(逐级计算!$Q$186*LN(10))*(MAX((LN(10^(逐级计算!$Q$186/10)-1)+逐级计算!$Q$186*(GD82-逐级计算!$P$186)*LN(10)/10),0)+LN(1+EXP(-ABS((LN(10^(逐级计算!$Q$186/10)-1)+逐级计算!$Q$186*(GD82-逐级计算!$P$186)*LN(10)/10))))))),"")</f>
        <v>13.7930365742089</v>
      </c>
      <c r="GF82">
        <f>IF(AND(ISNUMBER(GE82),逐级计算!$X$187&gt;-1),IF(逐级计算!$X$187=0,GE82+逐级计算!$C$187,GE82+逐级计算!$C$187-(10/(逐级计算!$Q$187*LN(10))*(MAX((LN(10^(逐级计算!$Q$187/10)-1)+逐级计算!$Q$187*(GE82-逐级计算!$P$187)*LN(10)/10),0)+LN(1+EXP(-ABS((LN(10^(逐级计算!$Q$187/10)-1)+逐级计算!$Q$187*(GE82-逐级计算!$P$187)*LN(10)/10))))))),"")</f>
        <v>13.7930365742089</v>
      </c>
      <c r="GG82">
        <f>IF(AND(ISNUMBER(GF82),逐级计算!$X$188&gt;-1),IF(逐级计算!$X$188=0,GF82+逐级计算!$C$188,GF82+逐级计算!$C$188-(10/(逐级计算!$Q$188*LN(10))*(MAX((LN(10^(逐级计算!$Q$188/10)-1)+逐级计算!$Q$188*(GF82-逐级计算!$P$188)*LN(10)/10),0)+LN(1+EXP(-ABS((LN(10^(逐级计算!$Q$188/10)-1)+逐级计算!$Q$188*(GF82-逐级计算!$P$188)*LN(10)/10))))))),"")</f>
        <v>13.7930365742089</v>
      </c>
      <c r="GH82">
        <f>IF(AND(ISNUMBER(GG82),逐级计算!$X$189&gt;-1),IF(逐级计算!$X$189=0,GG82+逐级计算!$C$189,GG82+逐级计算!$C$189-(10/(逐级计算!$Q$189*LN(10))*(MAX((LN(10^(逐级计算!$Q$189/10)-1)+逐级计算!$Q$189*(GG82-逐级计算!$P$189)*LN(10)/10),0)+LN(1+EXP(-ABS((LN(10^(逐级计算!$Q$189/10)-1)+逐级计算!$Q$189*(GG82-逐级计算!$P$189)*LN(10)/10))))))),"")</f>
        <v>13.7930365742089</v>
      </c>
      <c r="GI82">
        <f>IF(AND(ISNUMBER(GH82),逐级计算!$X$190&gt;-1),IF(逐级计算!$X$190=0,GH82+逐级计算!$C$190,GH82+逐级计算!$C$190-(10/(逐级计算!$Q$190*LN(10))*(MAX((LN(10^(逐级计算!$Q$190/10)-1)+逐级计算!$Q$190*(GH82-逐级计算!$P$190)*LN(10)/10),0)+LN(1+EXP(-ABS((LN(10^(逐级计算!$Q$190/10)-1)+逐级计算!$Q$190*(GH82-逐级计算!$P$190)*LN(10)/10))))))),"")</f>
        <v>13.7930365742089</v>
      </c>
      <c r="GJ82">
        <f>IF(AND(ISNUMBER(GI82),逐级计算!$X$191&gt;-1),IF(逐级计算!$X$191=0,GI82+逐级计算!$C$191,GI82+逐级计算!$C$191-(10/(逐级计算!$Q$191*LN(10))*(MAX((LN(10^(逐级计算!$Q$191/10)-1)+逐级计算!$Q$191*(GI82-逐级计算!$P$191)*LN(10)/10),0)+LN(1+EXP(-ABS((LN(10^(逐级计算!$Q$191/10)-1)+逐级计算!$Q$191*(GI82-逐级计算!$P$191)*LN(10)/10))))))),"")</f>
        <v>13.7930365742089</v>
      </c>
      <c r="GK82">
        <f>IF(AND(ISNUMBER(GJ82),逐级计算!$X$192&gt;-1),IF(逐级计算!$X$192=0,GJ82+逐级计算!$C$192,GJ82+逐级计算!$C$192-(10/(逐级计算!$Q$192*LN(10))*(MAX((LN(10^(逐级计算!$Q$192/10)-1)+逐级计算!$Q$192*(GJ82-逐级计算!$P$192)*LN(10)/10),0)+LN(1+EXP(-ABS((LN(10^(逐级计算!$Q$192/10)-1)+逐级计算!$Q$192*(GJ82-逐级计算!$P$192)*LN(10)/10))))))),"")</f>
        <v>13.7930365742089</v>
      </c>
      <c r="GL82">
        <f>IF(AND(ISNUMBER(GK82),逐级计算!$X$193&gt;-1),IF(逐级计算!$X$193=0,GK82+逐级计算!$C$193,GK82+逐级计算!$C$193-(10/(逐级计算!$Q$193*LN(10))*(MAX((LN(10^(逐级计算!$Q$193/10)-1)+逐级计算!$Q$193*(GK82-逐级计算!$P$193)*LN(10)/10),0)+LN(1+EXP(-ABS((LN(10^(逐级计算!$Q$193/10)-1)+逐级计算!$Q$193*(GK82-逐级计算!$P$193)*LN(10)/10))))))),"")</f>
        <v>13.7930365742089</v>
      </c>
      <c r="GM82">
        <f>IF(AND(ISNUMBER(GL82),逐级计算!$X$194&gt;-1),IF(逐级计算!$X$194=0,GL82+逐级计算!$C$194,GL82+逐级计算!$C$194-(10/(逐级计算!$Q$194*LN(10))*(MAX((LN(10^(逐级计算!$Q$194/10)-1)+逐级计算!$Q$194*(GL82-逐级计算!$P$194)*LN(10)/10),0)+LN(1+EXP(-ABS((LN(10^(逐级计算!$Q$194/10)-1)+逐级计算!$Q$194*(GL82-逐级计算!$P$194)*LN(10)/10))))))),"")</f>
        <v>13.7930365742089</v>
      </c>
      <c r="GN82">
        <f>IF(AND(ISNUMBER(GM82),逐级计算!$X$195&gt;-1),IF(逐级计算!$X$195=0,GM82+逐级计算!$C$195,GM82+逐级计算!$C$195-(10/(逐级计算!$Q$195*LN(10))*(MAX((LN(10^(逐级计算!$Q$195/10)-1)+逐级计算!$Q$195*(GM82-逐级计算!$P$195)*LN(10)/10),0)+LN(1+EXP(-ABS((LN(10^(逐级计算!$Q$195/10)-1)+逐级计算!$Q$195*(GM82-逐级计算!$P$195)*LN(10)/10))))))),"")</f>
        <v>13.7930365742089</v>
      </c>
      <c r="GO82">
        <f>IF(AND(ISNUMBER(GN82),逐级计算!$X$196&gt;-1),IF(逐级计算!$X$196=0,GN82+逐级计算!$C$196,GN82+逐级计算!$C$196-(10/(逐级计算!$Q$196*LN(10))*(MAX((LN(10^(逐级计算!$Q$196/10)-1)+逐级计算!$Q$196*(GN82-逐级计算!$P$196)*LN(10)/10),0)+LN(1+EXP(-ABS((LN(10^(逐级计算!$Q$196/10)-1)+逐级计算!$Q$196*(GN82-逐级计算!$P$196)*LN(10)/10))))))),"")</f>
        <v>13.7930365742089</v>
      </c>
      <c r="GP82">
        <f>IF(AND(ISNUMBER(GO82),逐级计算!$X$197&gt;-1),IF(逐级计算!$X$197=0,GO82+逐级计算!$C$197,GO82+逐级计算!$C$197-(10/(逐级计算!$Q$197*LN(10))*(MAX((LN(10^(逐级计算!$Q$197/10)-1)+逐级计算!$Q$197*(GO82-逐级计算!$P$197)*LN(10)/10),0)+LN(1+EXP(-ABS((LN(10^(逐级计算!$Q$197/10)-1)+逐级计算!$Q$197*(GO82-逐级计算!$P$197)*LN(10)/10))))))),"")</f>
        <v>13.7930365742089</v>
      </c>
      <c r="GQ82">
        <f>IF(AND(ISNUMBER(GP82),逐级计算!$X$198&gt;-1),IF(逐级计算!$X$198=0,GP82+逐级计算!$C$198,GP82+逐级计算!$C$198-(10/(逐级计算!$Q$198*LN(10))*(MAX((LN(10^(逐级计算!$Q$198/10)-1)+逐级计算!$Q$198*(GP82-逐级计算!$P$198)*LN(10)/10),0)+LN(1+EXP(-ABS((LN(10^(逐级计算!$Q$198/10)-1)+逐级计算!$Q$198*(GP82-逐级计算!$P$198)*LN(10)/10))))))),"")</f>
        <v>13.7930365742089</v>
      </c>
      <c r="GR82">
        <f>IF(AND(ISNUMBER(GQ82),逐级计算!$X$199&gt;-1),IF(逐级计算!$X$199=0,GQ82+逐级计算!$C$199,GQ82+逐级计算!$C$199-(10/(逐级计算!$Q$199*LN(10))*(MAX((LN(10^(逐级计算!$Q$199/10)-1)+逐级计算!$Q$199*(GQ82-逐级计算!$P$199)*LN(10)/10),0)+LN(1+EXP(-ABS((LN(10^(逐级计算!$Q$199/10)-1)+逐级计算!$Q$199*(GQ82-逐级计算!$P$199)*LN(10)/10))))))),"")</f>
        <v>13.7930365742089</v>
      </c>
      <c r="GS82">
        <f>IF(AND(ISNUMBER(GR82),逐级计算!$X$200&gt;-1),IF(逐级计算!$X$200=0,GR82+逐级计算!$C$200,GR82+逐级计算!$C$200-(10/(逐级计算!$Q$200*LN(10))*(MAX((LN(10^(逐级计算!$Q$200/10)-1)+逐级计算!$Q$200*(GR82-逐级计算!$P$200)*LN(10)/10),0)+LN(1+EXP(-ABS((LN(10^(逐级计算!$Q$200/10)-1)+逐级计算!$Q$200*(GR82-逐级计算!$P$200)*LN(10)/10))))))),"")</f>
        <v>13.7930365742089</v>
      </c>
      <c r="GT82">
        <f>IF(AND(ISNUMBER(GS82),逐级计算!$X$201&gt;-1),IF(逐级计算!$X$201=0,GS82+逐级计算!$C$201,GS82+逐级计算!$C$201-(10/(逐级计算!$Q$201*LN(10))*(MAX((LN(10^(逐级计算!$Q$201/10)-1)+逐级计算!$Q$201*(GS82-逐级计算!$P$201)*LN(10)/10),0)+LN(1+EXP(-ABS((LN(10^(逐级计算!$Q$201/10)-1)+逐级计算!$Q$201*(GS82-逐级计算!$P$201)*LN(10)/10))))))),"")</f>
        <v>13.7930365742089</v>
      </c>
      <c r="GU82">
        <f>IF(AND(ISNUMBER(GT82),逐级计算!$X$202&gt;-1),IF(逐级计算!$X$202=0,GT82+逐级计算!$C$202,GT82+逐级计算!$C$202-(10/(逐级计算!$Q$202*LN(10))*(MAX((LN(10^(逐级计算!$Q$202/10)-1)+逐级计算!$Q$202*(GT82-逐级计算!$P$202)*LN(10)/10),0)+LN(1+EXP(-ABS((LN(10^(逐级计算!$Q$202/10)-1)+逐级计算!$Q$202*(GT82-逐级计算!$P$202)*LN(10)/10))))))),"")</f>
        <v>13.7930365742089</v>
      </c>
      <c r="GV82">
        <f>IF(AND(ISNUMBER(GU82),逐级计算!$X$203&gt;-1),IF(逐级计算!$X$203=0,GU82+逐级计算!$C$203,GU82+逐级计算!$C$203-(10/(逐级计算!$Q$203*LN(10))*(MAX((LN(10^(逐级计算!$Q$203/10)-1)+逐级计算!$Q$203*(GU82-逐级计算!$P$203)*LN(10)/10),0)+LN(1+EXP(-ABS((LN(10^(逐级计算!$Q$203/10)-1)+逐级计算!$Q$203*(GU82-逐级计算!$P$203)*LN(10)/10))))))),"")</f>
        <v>13.7930365742089</v>
      </c>
      <c r="GW82">
        <f t="shared" si="5"/>
        <v>-5.20696342579112</v>
      </c>
    </row>
    <row r="83" spans="1:205">
      <c r="A83">
        <v>76</v>
      </c>
      <c r="B83">
        <f t="shared" si="4"/>
        <v>-5.20696342579112</v>
      </c>
      <c r="C83">
        <f t="shared" si="3"/>
        <v>-5.20696342579112</v>
      </c>
      <c r="D83">
        <f>IF(AND(ISNUMBER(C83),ISNUMBER(逐级计算!$E$203),ISNUMBER(GV83)),C83+逐级计算!$E$203-GV83,"")</f>
        <v>1</v>
      </c>
      <c r="E83">
        <f>IF(AND(ISNUMBER(C83),逐级计算!$X$4&gt;-1),IF(逐级计算!$X$4=0,C83+逐级计算!$C$4,C83+逐级计算!$C$4-(10/(逐级计算!$Q$4*LN(10))*(MAX((LN(10^(逐级计算!$Q$4/10)-1)+逐级计算!$Q$4*(C83-逐级计算!$P$4)*LN(10)/10),0)+LN(1+EXP(-ABS((LN(10^(逐级计算!$Q$4/10)-1)+逐级计算!$Q$4*(C83-逐级计算!$P$4)*LN(10)/10))))))),"")</f>
        <v>4.68053982928311</v>
      </c>
      <c r="F83">
        <f>IF(AND(ISNUMBER(E83),逐级计算!$X$5&gt;-1),IF(逐级计算!$X$5=0,E83+逐级计算!$C$5,E83+逐级计算!$C$5-(10/(逐级计算!$Q$5*LN(10))*(MAX((LN(10^(逐级计算!$Q$5/10)-1)+逐级计算!$Q$5*(E83-逐级计算!$P$5)*LN(10)/10),0)+LN(1+EXP(-ABS((LN(10^(逐级计算!$Q$5/10)-1)+逐级计算!$Q$5*(E83-逐级计算!$P$5)*LN(10)/10))))))),"")</f>
        <v>13.7930365742089</v>
      </c>
      <c r="G83">
        <f>IF(AND(ISNUMBER(F83),逐级计算!$X$6&gt;-1),IF(逐级计算!$X$6=0,F83+逐级计算!$C$6,F83+逐级计算!$C$6-(10/(逐级计算!$Q$6*LN(10))*(MAX((LN(10^(逐级计算!$Q$6/10)-1)+逐级计算!$Q$6*(F83-逐级计算!$P$6)*LN(10)/10),0)+LN(1+EXP(-ABS((LN(10^(逐级计算!$Q$6/10)-1)+逐级计算!$Q$6*(F83-逐级计算!$P$6)*LN(10)/10))))))),"")</f>
        <v>13.7930365742089</v>
      </c>
      <c r="H83">
        <f>IF(AND(ISNUMBER(G83),逐级计算!$X$7&gt;-1),IF(逐级计算!$X$7=0,G83+逐级计算!$C$7,G83+逐级计算!$C$7-(10/(逐级计算!$Q$7*LN(10))*(MAX((LN(10^(逐级计算!$Q$7/10)-1)+逐级计算!$Q$7*(G83-逐级计算!$P$7)*LN(10)/10),0)+LN(1+EXP(-ABS((LN(10^(逐级计算!$Q$7/10)-1)+逐级计算!$Q$7*(G83-逐级计算!$P$7)*LN(10)/10))))))),"")</f>
        <v>13.7930365742089</v>
      </c>
      <c r="I83">
        <f>IF(AND(ISNUMBER(H83),逐级计算!$X$8&gt;-1),IF(逐级计算!$X$8=0,H83+逐级计算!$C$8,H83+逐级计算!$C$8-(10/(逐级计算!$Q$8*LN(10))*(MAX((LN(10^(逐级计算!$Q$8/10)-1)+逐级计算!$Q$8*(H83-逐级计算!$P$8)*LN(10)/10),0)+LN(1+EXP(-ABS((LN(10^(逐级计算!$Q$8/10)-1)+逐级计算!$Q$8*(H83-逐级计算!$P$8)*LN(10)/10))))))),"")</f>
        <v>13.7930365742089</v>
      </c>
      <c r="J83">
        <f>IF(AND(ISNUMBER(I83),逐级计算!$X$9&gt;-1),IF(逐级计算!$X$9=0,I83+逐级计算!$C$9,I83+逐级计算!$C$9-(10/(逐级计算!$Q$9*LN(10))*(MAX((LN(10^(逐级计算!$Q$9/10)-1)+逐级计算!$Q$9*(I83-逐级计算!$P$9)*LN(10)/10),0)+LN(1+EXP(-ABS((LN(10^(逐级计算!$Q$9/10)-1)+逐级计算!$Q$9*(I83-逐级计算!$P$9)*LN(10)/10))))))),"")</f>
        <v>13.7930365742089</v>
      </c>
      <c r="K83">
        <f>IF(AND(ISNUMBER(J83),逐级计算!$X$10&gt;-1),IF(逐级计算!$X$10=0,J83+逐级计算!$C$10,J83+逐级计算!$C$10-(10/(逐级计算!$Q$10*LN(10))*(MAX((LN(10^(逐级计算!$Q$10/10)-1)+逐级计算!$Q$10*(J83-逐级计算!$P$10)*LN(10)/10),0)+LN(1+EXP(-ABS((LN(10^(逐级计算!$Q$10/10)-1)+逐级计算!$Q$10*(J83-逐级计算!$P$10)*LN(10)/10))))))),"")</f>
        <v>13.7930365742089</v>
      </c>
      <c r="L83">
        <f>IF(AND(ISNUMBER(K83),逐级计算!$X$11&gt;-1),IF(逐级计算!$X$11=0,K83+逐级计算!$C$11,K83+逐级计算!$C$11-(10/(逐级计算!$Q$11*LN(10))*(MAX((LN(10^(逐级计算!$Q$11/10)-1)+逐级计算!$Q$11*(K83-逐级计算!$P$11)*LN(10)/10),0)+LN(1+EXP(-ABS((LN(10^(逐级计算!$Q$11/10)-1)+逐级计算!$Q$11*(K83-逐级计算!$P$11)*LN(10)/10))))))),"")</f>
        <v>13.7930365742089</v>
      </c>
      <c r="M83">
        <f>IF(AND(ISNUMBER(L83),逐级计算!$X$12&gt;-1),IF(逐级计算!$X$12=0,L83+逐级计算!$C$12,L83+逐级计算!$C$12-(10/(逐级计算!$Q$12*LN(10))*(MAX((LN(10^(逐级计算!$Q$12/10)-1)+逐级计算!$Q$12*(L83-逐级计算!$P$12)*LN(10)/10),0)+LN(1+EXP(-ABS((LN(10^(逐级计算!$Q$12/10)-1)+逐级计算!$Q$12*(L83-逐级计算!$P$12)*LN(10)/10))))))),"")</f>
        <v>13.7930365742089</v>
      </c>
      <c r="N83">
        <f>IF(AND(ISNUMBER(M83),逐级计算!$X$13&gt;-1),IF(逐级计算!$X$13=0,M83+逐级计算!$C$13,M83+逐级计算!$C$13-(10/(逐级计算!$Q$13*LN(10))*(MAX((LN(10^(逐级计算!$Q$13/10)-1)+逐级计算!$Q$13*(M83-逐级计算!$P$13)*LN(10)/10),0)+LN(1+EXP(-ABS((LN(10^(逐级计算!$Q$13/10)-1)+逐级计算!$Q$13*(M83-逐级计算!$P$13)*LN(10)/10))))))),"")</f>
        <v>13.7930365742089</v>
      </c>
      <c r="O83">
        <f>IF(AND(ISNUMBER(N83),逐级计算!$X$14&gt;-1),IF(逐级计算!$X$14=0,N83+逐级计算!$C$14,N83+逐级计算!$C$14-(10/(逐级计算!$Q$14*LN(10))*(MAX((LN(10^(逐级计算!$Q$14/10)-1)+逐级计算!$Q$14*(N83-逐级计算!$P$14)*LN(10)/10),0)+LN(1+EXP(-ABS((LN(10^(逐级计算!$Q$14/10)-1)+逐级计算!$Q$14*(N83-逐级计算!$P$14)*LN(10)/10))))))),"")</f>
        <v>13.7930365742089</v>
      </c>
      <c r="P83">
        <f>IF(AND(ISNUMBER(O83),逐级计算!$X$15&gt;-1),IF(逐级计算!$X$15=0,O83+逐级计算!$C$15,O83+逐级计算!$C$15-(10/(逐级计算!$Q$15*LN(10))*(MAX((LN(10^(逐级计算!$Q$15/10)-1)+逐级计算!$Q$15*(O83-逐级计算!$P$15)*LN(10)/10),0)+LN(1+EXP(-ABS((LN(10^(逐级计算!$Q$15/10)-1)+逐级计算!$Q$15*(O83-逐级计算!$P$15)*LN(10)/10))))))),"")</f>
        <v>13.7930365742089</v>
      </c>
      <c r="Q83">
        <f>IF(AND(ISNUMBER(P83),逐级计算!$X$16&gt;-1),IF(逐级计算!$X$16=0,P83+逐级计算!$C$16,P83+逐级计算!$C$16-(10/(逐级计算!$Q$16*LN(10))*(MAX((LN(10^(逐级计算!$Q$16/10)-1)+逐级计算!$Q$16*(P83-逐级计算!$P$16)*LN(10)/10),0)+LN(1+EXP(-ABS((LN(10^(逐级计算!$Q$16/10)-1)+逐级计算!$Q$16*(P83-逐级计算!$P$16)*LN(10)/10))))))),"")</f>
        <v>13.7930365742089</v>
      </c>
      <c r="R83">
        <f>IF(AND(ISNUMBER(Q83),逐级计算!$X$17&gt;-1),IF(逐级计算!$X$17=0,Q83+逐级计算!$C$17,Q83+逐级计算!$C$17-(10/(逐级计算!$Q$17*LN(10))*(MAX((LN(10^(逐级计算!$Q$17/10)-1)+逐级计算!$Q$17*(Q83-逐级计算!$P$17)*LN(10)/10),0)+LN(1+EXP(-ABS((LN(10^(逐级计算!$Q$17/10)-1)+逐级计算!$Q$17*(Q83-逐级计算!$P$17)*LN(10)/10))))))),"")</f>
        <v>13.7930365742089</v>
      </c>
      <c r="S83">
        <f>IF(AND(ISNUMBER(R83),逐级计算!$X$18&gt;-1),IF(逐级计算!$X$18=0,R83+逐级计算!$C$18,R83+逐级计算!$C$18-(10/(逐级计算!$Q$18*LN(10))*(MAX((LN(10^(逐级计算!$Q$18/10)-1)+逐级计算!$Q$18*(R83-逐级计算!$P$18)*LN(10)/10),0)+LN(1+EXP(-ABS((LN(10^(逐级计算!$Q$18/10)-1)+逐级计算!$Q$18*(R83-逐级计算!$P$18)*LN(10)/10))))))),"")</f>
        <v>13.7930365742089</v>
      </c>
      <c r="T83">
        <f>IF(AND(ISNUMBER(S83),逐级计算!$X$19&gt;-1),IF(逐级计算!$X$19=0,S83+逐级计算!$C$19,S83+逐级计算!$C$19-(10/(逐级计算!$Q$19*LN(10))*(MAX((LN(10^(逐级计算!$Q$19/10)-1)+逐级计算!$Q$19*(S83-逐级计算!$P$19)*LN(10)/10),0)+LN(1+EXP(-ABS((LN(10^(逐级计算!$Q$19/10)-1)+逐级计算!$Q$19*(S83-逐级计算!$P$19)*LN(10)/10))))))),"")</f>
        <v>13.7930365742089</v>
      </c>
      <c r="U83">
        <f>IF(AND(ISNUMBER(T83),逐级计算!$X$20&gt;-1),IF(逐级计算!$X$20=0,T83+逐级计算!$C$20,T83+逐级计算!$C$20-(10/(逐级计算!$Q$20*LN(10))*(MAX((LN(10^(逐级计算!$Q$20/10)-1)+逐级计算!$Q$20*(T83-逐级计算!$P$20)*LN(10)/10),0)+LN(1+EXP(-ABS((LN(10^(逐级计算!$Q$20/10)-1)+逐级计算!$Q$20*(T83-逐级计算!$P$20)*LN(10)/10))))))),"")</f>
        <v>13.7930365742089</v>
      </c>
      <c r="V83">
        <f>IF(AND(ISNUMBER(U83),逐级计算!$X$21&gt;-1),IF(逐级计算!$X$21=0,U83+逐级计算!$C$21,U83+逐级计算!$C$21-(10/(逐级计算!$Q$21*LN(10))*(MAX((LN(10^(逐级计算!$Q$21/10)-1)+逐级计算!$Q$21*(U83-逐级计算!$P$21)*LN(10)/10),0)+LN(1+EXP(-ABS((LN(10^(逐级计算!$Q$21/10)-1)+逐级计算!$Q$21*(U83-逐级计算!$P$21)*LN(10)/10))))))),"")</f>
        <v>13.7930365742089</v>
      </c>
      <c r="W83">
        <f>IF(AND(ISNUMBER(V83),逐级计算!$X$22&gt;-1),IF(逐级计算!$X$22=0,V83+逐级计算!$C$22,V83+逐级计算!$C$22-(10/(逐级计算!$Q$22*LN(10))*(MAX((LN(10^(逐级计算!$Q$22/10)-1)+逐级计算!$Q$22*(V83-逐级计算!$P$22)*LN(10)/10),0)+LN(1+EXP(-ABS((LN(10^(逐级计算!$Q$22/10)-1)+逐级计算!$Q$22*(V83-逐级计算!$P$22)*LN(10)/10))))))),"")</f>
        <v>13.7930365742089</v>
      </c>
      <c r="X83">
        <f>IF(AND(ISNUMBER(W83),逐级计算!$X$23&gt;-1),IF(逐级计算!$X$23=0,W83+逐级计算!$C$23,W83+逐级计算!$C$23-(10/(逐级计算!$Q$23*LN(10))*(MAX((LN(10^(逐级计算!$Q$23/10)-1)+逐级计算!$Q$23*(W83-逐级计算!$P$23)*LN(10)/10),0)+LN(1+EXP(-ABS((LN(10^(逐级计算!$Q$23/10)-1)+逐级计算!$Q$23*(W83-逐级计算!$P$23)*LN(10)/10))))))),"")</f>
        <v>13.7930365742089</v>
      </c>
      <c r="Y83">
        <f>IF(AND(ISNUMBER(X83),逐级计算!$X$24&gt;-1),IF(逐级计算!$X$24=0,X83+逐级计算!$C$24,X83+逐级计算!$C$24-(10/(逐级计算!$Q$24*LN(10))*(MAX((LN(10^(逐级计算!$Q$24/10)-1)+逐级计算!$Q$24*(X83-逐级计算!$P$24)*LN(10)/10),0)+LN(1+EXP(-ABS((LN(10^(逐级计算!$Q$24/10)-1)+逐级计算!$Q$24*(X83-逐级计算!$P$24)*LN(10)/10))))))),"")</f>
        <v>13.7930365742089</v>
      </c>
      <c r="Z83">
        <f>IF(AND(ISNUMBER(Y83),逐级计算!$X$25&gt;-1),IF(逐级计算!$X$25=0,Y83+逐级计算!$C$25,Y83+逐级计算!$C$25-(10/(逐级计算!$Q$25*LN(10))*(MAX((LN(10^(逐级计算!$Q$25/10)-1)+逐级计算!$Q$25*(Y83-逐级计算!$P$25)*LN(10)/10),0)+LN(1+EXP(-ABS((LN(10^(逐级计算!$Q$25/10)-1)+逐级计算!$Q$25*(Y83-逐级计算!$P$25)*LN(10)/10))))))),"")</f>
        <v>13.7930365742089</v>
      </c>
      <c r="AA83">
        <f>IF(AND(ISNUMBER(Z83),逐级计算!$X$26&gt;-1),IF(逐级计算!$X$26=0,Z83+逐级计算!$C$26,Z83+逐级计算!$C$26-(10/(逐级计算!$Q$26*LN(10))*(MAX((LN(10^(逐级计算!$Q$26/10)-1)+逐级计算!$Q$26*(Z83-逐级计算!$P$26)*LN(10)/10),0)+LN(1+EXP(-ABS((LN(10^(逐级计算!$Q$26/10)-1)+逐级计算!$Q$26*(Z83-逐级计算!$P$26)*LN(10)/10))))))),"")</f>
        <v>13.7930365742089</v>
      </c>
      <c r="AB83">
        <f>IF(AND(ISNUMBER(AA83),逐级计算!$X$27&gt;-1),IF(逐级计算!$X$27=0,AA83+逐级计算!$C$27,AA83+逐级计算!$C$27-(10/(逐级计算!$Q$27*LN(10))*(MAX((LN(10^(逐级计算!$Q$27/10)-1)+逐级计算!$Q$27*(AA83-逐级计算!$P$27)*LN(10)/10),0)+LN(1+EXP(-ABS((LN(10^(逐级计算!$Q$27/10)-1)+逐级计算!$Q$27*(AA83-逐级计算!$P$27)*LN(10)/10))))))),"")</f>
        <v>13.7930365742089</v>
      </c>
      <c r="AC83">
        <f>IF(AND(ISNUMBER(AB83),逐级计算!$X$28&gt;-1),IF(逐级计算!$X$28=0,AB83+逐级计算!$C$28,AB83+逐级计算!$C$28-(10/(逐级计算!$Q$28*LN(10))*(MAX((LN(10^(逐级计算!$Q$28/10)-1)+逐级计算!$Q$28*(AB83-逐级计算!$P$28)*LN(10)/10),0)+LN(1+EXP(-ABS((LN(10^(逐级计算!$Q$28/10)-1)+逐级计算!$Q$28*(AB83-逐级计算!$P$28)*LN(10)/10))))))),"")</f>
        <v>13.7930365742089</v>
      </c>
      <c r="AD83">
        <f>IF(AND(ISNUMBER(AC83),逐级计算!$X$29&gt;-1),IF(逐级计算!$X$29=0,AC83+逐级计算!$C$29,AC83+逐级计算!$C$29-(10/(逐级计算!$Q$29*LN(10))*(MAX((LN(10^(逐级计算!$Q$29/10)-1)+逐级计算!$Q$29*(AC83-逐级计算!$P$29)*LN(10)/10),0)+LN(1+EXP(-ABS((LN(10^(逐级计算!$Q$29/10)-1)+逐级计算!$Q$29*(AC83-逐级计算!$P$29)*LN(10)/10))))))),"")</f>
        <v>13.7930365742089</v>
      </c>
      <c r="AE83">
        <f>IF(AND(ISNUMBER(AD83),逐级计算!$X$30&gt;-1),IF(逐级计算!$X$30=0,AD83+逐级计算!$C$30,AD83+逐级计算!$C$30-(10/(逐级计算!$Q$30*LN(10))*(MAX((LN(10^(逐级计算!$Q$30/10)-1)+逐级计算!$Q$30*(AD83-逐级计算!$P$30)*LN(10)/10),0)+LN(1+EXP(-ABS((LN(10^(逐级计算!$Q$30/10)-1)+逐级计算!$Q$30*(AD83-逐级计算!$P$30)*LN(10)/10))))))),"")</f>
        <v>13.7930365742089</v>
      </c>
      <c r="AF83">
        <f>IF(AND(ISNUMBER(AE83),逐级计算!$X$31&gt;-1),IF(逐级计算!$X$31=0,AE83+逐级计算!$C$31,AE83+逐级计算!$C$31-(10/(逐级计算!$Q$31*LN(10))*(MAX((LN(10^(逐级计算!$Q$31/10)-1)+逐级计算!$Q$31*(AE83-逐级计算!$P$31)*LN(10)/10),0)+LN(1+EXP(-ABS((LN(10^(逐级计算!$Q$31/10)-1)+逐级计算!$Q$31*(AE83-逐级计算!$P$31)*LN(10)/10))))))),"")</f>
        <v>13.7930365742089</v>
      </c>
      <c r="AG83">
        <f>IF(AND(ISNUMBER(AF83),逐级计算!$X$32&gt;-1),IF(逐级计算!$X$32=0,AF83+逐级计算!$C$32,AF83+逐级计算!$C$32-(10/(逐级计算!$Q$32*LN(10))*(MAX((LN(10^(逐级计算!$Q$32/10)-1)+逐级计算!$Q$32*(AF83-逐级计算!$P$32)*LN(10)/10),0)+LN(1+EXP(-ABS((LN(10^(逐级计算!$Q$32/10)-1)+逐级计算!$Q$32*(AF83-逐级计算!$P$32)*LN(10)/10))))))),"")</f>
        <v>13.7930365742089</v>
      </c>
      <c r="AH83">
        <f>IF(AND(ISNUMBER(AG83),逐级计算!$X$33&gt;-1),IF(逐级计算!$X$33=0,AG83+逐级计算!$C$33,AG83+逐级计算!$C$33-(10/(逐级计算!$Q$33*LN(10))*(MAX((LN(10^(逐级计算!$Q$33/10)-1)+逐级计算!$Q$33*(AG83-逐级计算!$P$33)*LN(10)/10),0)+LN(1+EXP(-ABS((LN(10^(逐级计算!$Q$33/10)-1)+逐级计算!$Q$33*(AG83-逐级计算!$P$33)*LN(10)/10))))))),"")</f>
        <v>13.7930365742089</v>
      </c>
      <c r="AI83">
        <f>IF(AND(ISNUMBER(AH83),逐级计算!$X$34&gt;-1),IF(逐级计算!$X$34=0,AH83+逐级计算!$C$34,AH83+逐级计算!$C$34-(10/(逐级计算!$Q$34*LN(10))*(MAX((LN(10^(逐级计算!$Q$34/10)-1)+逐级计算!$Q$34*(AH83-逐级计算!$P$34)*LN(10)/10),0)+LN(1+EXP(-ABS((LN(10^(逐级计算!$Q$34/10)-1)+逐级计算!$Q$34*(AH83-逐级计算!$P$34)*LN(10)/10))))))),"")</f>
        <v>13.7930365742089</v>
      </c>
      <c r="AJ83">
        <f>IF(AND(ISNUMBER(AI83),逐级计算!$X$35&gt;-1),IF(逐级计算!$X$35=0,AI83+逐级计算!$C$35,AI83+逐级计算!$C$35-(10/(逐级计算!$Q$35*LN(10))*(MAX((LN(10^(逐级计算!$Q$35/10)-1)+逐级计算!$Q$35*(AI83-逐级计算!$P$35)*LN(10)/10),0)+LN(1+EXP(-ABS((LN(10^(逐级计算!$Q$35/10)-1)+逐级计算!$Q$35*(AI83-逐级计算!$P$35)*LN(10)/10))))))),"")</f>
        <v>13.7930365742089</v>
      </c>
      <c r="AK83">
        <f>IF(AND(ISNUMBER(AJ83),逐级计算!$X$36&gt;-1),IF(逐级计算!$X$36=0,AJ83+逐级计算!$C$36,AJ83+逐级计算!$C$36-(10/(逐级计算!$Q$36*LN(10))*(MAX((LN(10^(逐级计算!$Q$36/10)-1)+逐级计算!$Q$36*(AJ83-逐级计算!$P$36)*LN(10)/10),0)+LN(1+EXP(-ABS((LN(10^(逐级计算!$Q$36/10)-1)+逐级计算!$Q$36*(AJ83-逐级计算!$P$36)*LN(10)/10))))))),"")</f>
        <v>13.7930365742089</v>
      </c>
      <c r="AL83">
        <f>IF(AND(ISNUMBER(AK83),逐级计算!$X$37&gt;-1),IF(逐级计算!$X$37=0,AK83+逐级计算!$C$37,AK83+逐级计算!$C$37-(10/(逐级计算!$Q$37*LN(10))*(MAX((LN(10^(逐级计算!$Q$37/10)-1)+逐级计算!$Q$37*(AK83-逐级计算!$P$37)*LN(10)/10),0)+LN(1+EXP(-ABS((LN(10^(逐级计算!$Q$37/10)-1)+逐级计算!$Q$37*(AK83-逐级计算!$P$37)*LN(10)/10))))))),"")</f>
        <v>13.7930365742089</v>
      </c>
      <c r="AM83">
        <f>IF(AND(ISNUMBER(AL83),逐级计算!$X$38&gt;-1),IF(逐级计算!$X$38=0,AL83+逐级计算!$C$38,AL83+逐级计算!$C$38-(10/(逐级计算!$Q$38*LN(10))*(MAX((LN(10^(逐级计算!$Q$38/10)-1)+逐级计算!$Q$38*(AL83-逐级计算!$P$38)*LN(10)/10),0)+LN(1+EXP(-ABS((LN(10^(逐级计算!$Q$38/10)-1)+逐级计算!$Q$38*(AL83-逐级计算!$P$38)*LN(10)/10))))))),"")</f>
        <v>13.7930365742089</v>
      </c>
      <c r="AN83">
        <f>IF(AND(ISNUMBER(AM83),逐级计算!$X$39&gt;-1),IF(逐级计算!$X$39=0,AM83+逐级计算!$C$39,AM83+逐级计算!$C$39-(10/(逐级计算!$Q$39*LN(10))*(MAX((LN(10^(逐级计算!$Q$39/10)-1)+逐级计算!$Q$39*(AM83-逐级计算!$P$39)*LN(10)/10),0)+LN(1+EXP(-ABS((LN(10^(逐级计算!$Q$39/10)-1)+逐级计算!$Q$39*(AM83-逐级计算!$P$39)*LN(10)/10))))))),"")</f>
        <v>13.7930365742089</v>
      </c>
      <c r="AO83">
        <f>IF(AND(ISNUMBER(AN83),逐级计算!$X$40&gt;-1),IF(逐级计算!$X$40=0,AN83+逐级计算!$C$40,AN83+逐级计算!$C$40-(10/(逐级计算!$Q$40*LN(10))*(MAX((LN(10^(逐级计算!$Q$40/10)-1)+逐级计算!$Q$40*(AN83-逐级计算!$P$40)*LN(10)/10),0)+LN(1+EXP(-ABS((LN(10^(逐级计算!$Q$40/10)-1)+逐级计算!$Q$40*(AN83-逐级计算!$P$40)*LN(10)/10))))))),"")</f>
        <v>13.7930365742089</v>
      </c>
      <c r="AP83">
        <f>IF(AND(ISNUMBER(AO83),逐级计算!$X$41&gt;-1),IF(逐级计算!$X$41=0,AO83+逐级计算!$C$41,AO83+逐级计算!$C$41-(10/(逐级计算!$Q$41*LN(10))*(MAX((LN(10^(逐级计算!$Q$41/10)-1)+逐级计算!$Q$41*(AO83-逐级计算!$P$41)*LN(10)/10),0)+LN(1+EXP(-ABS((LN(10^(逐级计算!$Q$41/10)-1)+逐级计算!$Q$41*(AO83-逐级计算!$P$41)*LN(10)/10))))))),"")</f>
        <v>13.7930365742089</v>
      </c>
      <c r="AQ83">
        <f>IF(AND(ISNUMBER(AP83),逐级计算!$X$42&gt;-1),IF(逐级计算!$X$42=0,AP83+逐级计算!$C$42,AP83+逐级计算!$C$42-(10/(逐级计算!$Q$42*LN(10))*(MAX((LN(10^(逐级计算!$Q$42/10)-1)+逐级计算!$Q$42*(AP83-逐级计算!$P$42)*LN(10)/10),0)+LN(1+EXP(-ABS((LN(10^(逐级计算!$Q$42/10)-1)+逐级计算!$Q$42*(AP83-逐级计算!$P$42)*LN(10)/10))))))),"")</f>
        <v>13.7930365742089</v>
      </c>
      <c r="AR83">
        <f>IF(AND(ISNUMBER(AQ83),逐级计算!$X$43&gt;-1),IF(逐级计算!$X$43=0,AQ83+逐级计算!$C$43,AQ83+逐级计算!$C$43-(10/(逐级计算!$Q$43*LN(10))*(MAX((LN(10^(逐级计算!$Q$43/10)-1)+逐级计算!$Q$43*(AQ83-逐级计算!$P$43)*LN(10)/10),0)+LN(1+EXP(-ABS((LN(10^(逐级计算!$Q$43/10)-1)+逐级计算!$Q$43*(AQ83-逐级计算!$P$43)*LN(10)/10))))))),"")</f>
        <v>13.7930365742089</v>
      </c>
      <c r="AS83">
        <f>IF(AND(ISNUMBER(AR83),逐级计算!$X$44&gt;-1),IF(逐级计算!$X$44=0,AR83+逐级计算!$C$44,AR83+逐级计算!$C$44-(10/(逐级计算!$Q$44*LN(10))*(MAX((LN(10^(逐级计算!$Q$44/10)-1)+逐级计算!$Q$44*(AR83-逐级计算!$P$44)*LN(10)/10),0)+LN(1+EXP(-ABS((LN(10^(逐级计算!$Q$44/10)-1)+逐级计算!$Q$44*(AR83-逐级计算!$P$44)*LN(10)/10))))))),"")</f>
        <v>13.7930365742089</v>
      </c>
      <c r="AT83">
        <f>IF(AND(ISNUMBER(AS83),逐级计算!$X$45&gt;-1),IF(逐级计算!$X$45=0,AS83+逐级计算!$C$45,AS83+逐级计算!$C$45-(10/(逐级计算!$Q$45*LN(10))*(MAX((LN(10^(逐级计算!$Q$45/10)-1)+逐级计算!$Q$45*(AS83-逐级计算!$P$45)*LN(10)/10),0)+LN(1+EXP(-ABS((LN(10^(逐级计算!$Q$45/10)-1)+逐级计算!$Q$45*(AS83-逐级计算!$P$45)*LN(10)/10))))))),"")</f>
        <v>13.7930365742089</v>
      </c>
      <c r="AU83">
        <f>IF(AND(ISNUMBER(AT83),逐级计算!$X$46&gt;-1),IF(逐级计算!$X$46=0,AT83+逐级计算!$C$46,AT83+逐级计算!$C$46-(10/(逐级计算!$Q$46*LN(10))*(MAX((LN(10^(逐级计算!$Q$46/10)-1)+逐级计算!$Q$46*(AT83-逐级计算!$P$46)*LN(10)/10),0)+LN(1+EXP(-ABS((LN(10^(逐级计算!$Q$46/10)-1)+逐级计算!$Q$46*(AT83-逐级计算!$P$46)*LN(10)/10))))))),"")</f>
        <v>13.7930365742089</v>
      </c>
      <c r="AV83">
        <f>IF(AND(ISNUMBER(AU83),逐级计算!$X$47&gt;-1),IF(逐级计算!$X$47=0,AU83+逐级计算!$C$47,AU83+逐级计算!$C$47-(10/(逐级计算!$Q$47*LN(10))*(MAX((LN(10^(逐级计算!$Q$47/10)-1)+逐级计算!$Q$47*(AU83-逐级计算!$P$47)*LN(10)/10),0)+LN(1+EXP(-ABS((LN(10^(逐级计算!$Q$47/10)-1)+逐级计算!$Q$47*(AU83-逐级计算!$P$47)*LN(10)/10))))))),"")</f>
        <v>13.7930365742089</v>
      </c>
      <c r="AW83">
        <f>IF(AND(ISNUMBER(AV83),逐级计算!$X$48&gt;-1),IF(逐级计算!$X$48=0,AV83+逐级计算!$C$48,AV83+逐级计算!$C$48-(10/(逐级计算!$Q$48*LN(10))*(MAX((LN(10^(逐级计算!$Q$48/10)-1)+逐级计算!$Q$48*(AV83-逐级计算!$P$48)*LN(10)/10),0)+LN(1+EXP(-ABS((LN(10^(逐级计算!$Q$48/10)-1)+逐级计算!$Q$48*(AV83-逐级计算!$P$48)*LN(10)/10))))))),"")</f>
        <v>13.7930365742089</v>
      </c>
      <c r="AX83">
        <f>IF(AND(ISNUMBER(AW83),逐级计算!$X$49&gt;-1),IF(逐级计算!$X$49=0,AW83+逐级计算!$C$49,AW83+逐级计算!$C$49-(10/(逐级计算!$Q$49*LN(10))*(MAX((LN(10^(逐级计算!$Q$49/10)-1)+逐级计算!$Q$49*(AW83-逐级计算!$P$49)*LN(10)/10),0)+LN(1+EXP(-ABS((LN(10^(逐级计算!$Q$49/10)-1)+逐级计算!$Q$49*(AW83-逐级计算!$P$49)*LN(10)/10))))))),"")</f>
        <v>13.7930365742089</v>
      </c>
      <c r="AY83">
        <f>IF(AND(ISNUMBER(AX83),逐级计算!$X$50&gt;-1),IF(逐级计算!$X$50=0,AX83+逐级计算!$C$50,AX83+逐级计算!$C$50-(10/(逐级计算!$Q$50*LN(10))*(MAX((LN(10^(逐级计算!$Q$50/10)-1)+逐级计算!$Q$50*(AX83-逐级计算!$P$50)*LN(10)/10),0)+LN(1+EXP(-ABS((LN(10^(逐级计算!$Q$50/10)-1)+逐级计算!$Q$50*(AX83-逐级计算!$P$50)*LN(10)/10))))))),"")</f>
        <v>13.7930365742089</v>
      </c>
      <c r="AZ83">
        <f>IF(AND(ISNUMBER(AY83),逐级计算!$X$51&gt;-1),IF(逐级计算!$X$51=0,AY83+逐级计算!$C$51,AY83+逐级计算!$C$51-(10/(逐级计算!$Q$51*LN(10))*(MAX((LN(10^(逐级计算!$Q$51/10)-1)+逐级计算!$Q$51*(AY83-逐级计算!$P$51)*LN(10)/10),0)+LN(1+EXP(-ABS((LN(10^(逐级计算!$Q$51/10)-1)+逐级计算!$Q$51*(AY83-逐级计算!$P$51)*LN(10)/10))))))),"")</f>
        <v>13.7930365742089</v>
      </c>
      <c r="BA83">
        <f>IF(AND(ISNUMBER(AZ83),逐级计算!$X$52&gt;-1),IF(逐级计算!$X$52=0,AZ83+逐级计算!$C$52,AZ83+逐级计算!$C$52-(10/(逐级计算!$Q$52*LN(10))*(MAX((LN(10^(逐级计算!$Q$52/10)-1)+逐级计算!$Q$52*(AZ83-逐级计算!$P$52)*LN(10)/10),0)+LN(1+EXP(-ABS((LN(10^(逐级计算!$Q$52/10)-1)+逐级计算!$Q$52*(AZ83-逐级计算!$P$52)*LN(10)/10))))))),"")</f>
        <v>13.7930365742089</v>
      </c>
      <c r="BB83">
        <f>IF(AND(ISNUMBER(BA83),逐级计算!$X$53&gt;-1),IF(逐级计算!$X$53=0,BA83+逐级计算!$C$53,BA83+逐级计算!$C$53-(10/(逐级计算!$Q$53*LN(10))*(MAX((LN(10^(逐级计算!$Q$53/10)-1)+逐级计算!$Q$53*(BA83-逐级计算!$P$53)*LN(10)/10),0)+LN(1+EXP(-ABS((LN(10^(逐级计算!$Q$53/10)-1)+逐级计算!$Q$53*(BA83-逐级计算!$P$53)*LN(10)/10))))))),"")</f>
        <v>13.7930365742089</v>
      </c>
      <c r="BC83">
        <f>IF(AND(ISNUMBER(BB83),逐级计算!$X$54&gt;-1),IF(逐级计算!$X$54=0,BB83+逐级计算!$C$54,BB83+逐级计算!$C$54-(10/(逐级计算!$Q$54*LN(10))*(MAX((LN(10^(逐级计算!$Q$54/10)-1)+逐级计算!$Q$54*(BB83-逐级计算!$P$54)*LN(10)/10),0)+LN(1+EXP(-ABS((LN(10^(逐级计算!$Q$54/10)-1)+逐级计算!$Q$54*(BB83-逐级计算!$P$54)*LN(10)/10))))))),"")</f>
        <v>13.7930365742089</v>
      </c>
      <c r="BD83">
        <f>IF(AND(ISNUMBER(BC83),逐级计算!$X$55&gt;-1),IF(逐级计算!$X$55=0,BC83+逐级计算!$C$55,BC83+逐级计算!$C$55-(10/(逐级计算!$Q$55*LN(10))*(MAX((LN(10^(逐级计算!$Q$55/10)-1)+逐级计算!$Q$55*(BC83-逐级计算!$P$55)*LN(10)/10),0)+LN(1+EXP(-ABS((LN(10^(逐级计算!$Q$55/10)-1)+逐级计算!$Q$55*(BC83-逐级计算!$P$55)*LN(10)/10))))))),"")</f>
        <v>13.7930365742089</v>
      </c>
      <c r="BE83">
        <f>IF(AND(ISNUMBER(BD83),逐级计算!$X$56&gt;-1),IF(逐级计算!$X$56=0,BD83+逐级计算!$C$56,BD83+逐级计算!$C$56-(10/(逐级计算!$Q$56*LN(10))*(MAX((LN(10^(逐级计算!$Q$56/10)-1)+逐级计算!$Q$56*(BD83-逐级计算!$P$56)*LN(10)/10),0)+LN(1+EXP(-ABS((LN(10^(逐级计算!$Q$56/10)-1)+逐级计算!$Q$56*(BD83-逐级计算!$P$56)*LN(10)/10))))))),"")</f>
        <v>13.7930365742089</v>
      </c>
      <c r="BF83">
        <f>IF(AND(ISNUMBER(BE83),逐级计算!$X$57&gt;-1),IF(逐级计算!$X$57=0,BE83+逐级计算!$C$57,BE83+逐级计算!$C$57-(10/(逐级计算!$Q$57*LN(10))*(MAX((LN(10^(逐级计算!$Q$57/10)-1)+逐级计算!$Q$57*(BE83-逐级计算!$P$57)*LN(10)/10),0)+LN(1+EXP(-ABS((LN(10^(逐级计算!$Q$57/10)-1)+逐级计算!$Q$57*(BE83-逐级计算!$P$57)*LN(10)/10))))))),"")</f>
        <v>13.7930365742089</v>
      </c>
      <c r="BG83">
        <f>IF(AND(ISNUMBER(BF83),逐级计算!$X$58&gt;-1),IF(逐级计算!$X$58=0,BF83+逐级计算!$C$58,BF83+逐级计算!$C$58-(10/(逐级计算!$Q$58*LN(10))*(MAX((LN(10^(逐级计算!$Q$58/10)-1)+逐级计算!$Q$58*(BF83-逐级计算!$P$58)*LN(10)/10),0)+LN(1+EXP(-ABS((LN(10^(逐级计算!$Q$58/10)-1)+逐级计算!$Q$58*(BF83-逐级计算!$P$58)*LN(10)/10))))))),"")</f>
        <v>13.7930365742089</v>
      </c>
      <c r="BH83">
        <f>IF(AND(ISNUMBER(BG83),逐级计算!$X$59&gt;-1),IF(逐级计算!$X$59=0,BG83+逐级计算!$C$59,BG83+逐级计算!$C$59-(10/(逐级计算!$Q$59*LN(10))*(MAX((LN(10^(逐级计算!$Q$59/10)-1)+逐级计算!$Q$59*(BG83-逐级计算!$P$59)*LN(10)/10),0)+LN(1+EXP(-ABS((LN(10^(逐级计算!$Q$59/10)-1)+逐级计算!$Q$59*(BG83-逐级计算!$P$59)*LN(10)/10))))))),"")</f>
        <v>13.7930365742089</v>
      </c>
      <c r="BI83">
        <f>IF(AND(ISNUMBER(BH83),逐级计算!$X$60&gt;-1),IF(逐级计算!$X$60=0,BH83+逐级计算!$C$60,BH83+逐级计算!$C$60-(10/(逐级计算!$Q$60*LN(10))*(MAX((LN(10^(逐级计算!$Q$60/10)-1)+逐级计算!$Q$60*(BH83-逐级计算!$P$60)*LN(10)/10),0)+LN(1+EXP(-ABS((LN(10^(逐级计算!$Q$60/10)-1)+逐级计算!$Q$60*(BH83-逐级计算!$P$60)*LN(10)/10))))))),"")</f>
        <v>13.7930365742089</v>
      </c>
      <c r="BJ83">
        <f>IF(AND(ISNUMBER(BI83),逐级计算!$X$61&gt;-1),IF(逐级计算!$X$61=0,BI83+逐级计算!$C$61,BI83+逐级计算!$C$61-(10/(逐级计算!$Q$61*LN(10))*(MAX((LN(10^(逐级计算!$Q$61/10)-1)+逐级计算!$Q$61*(BI83-逐级计算!$P$61)*LN(10)/10),0)+LN(1+EXP(-ABS((LN(10^(逐级计算!$Q$61/10)-1)+逐级计算!$Q$61*(BI83-逐级计算!$P$61)*LN(10)/10))))))),"")</f>
        <v>13.7930365742089</v>
      </c>
      <c r="BK83">
        <f>IF(AND(ISNUMBER(BJ83),逐级计算!$X$62&gt;-1),IF(逐级计算!$X$62=0,BJ83+逐级计算!$C$62,BJ83+逐级计算!$C$62-(10/(逐级计算!$Q$62*LN(10))*(MAX((LN(10^(逐级计算!$Q$62/10)-1)+逐级计算!$Q$62*(BJ83-逐级计算!$P$62)*LN(10)/10),0)+LN(1+EXP(-ABS((LN(10^(逐级计算!$Q$62/10)-1)+逐级计算!$Q$62*(BJ83-逐级计算!$P$62)*LN(10)/10))))))),"")</f>
        <v>13.7930365742089</v>
      </c>
      <c r="BL83">
        <f>IF(AND(ISNUMBER(BK83),逐级计算!$X$63&gt;-1),IF(逐级计算!$X$63=0,BK83+逐级计算!$C$63,BK83+逐级计算!$C$63-(10/(逐级计算!$Q$63*LN(10))*(MAX((LN(10^(逐级计算!$Q$63/10)-1)+逐级计算!$Q$63*(BK83-逐级计算!$P$63)*LN(10)/10),0)+LN(1+EXP(-ABS((LN(10^(逐级计算!$Q$63/10)-1)+逐级计算!$Q$63*(BK83-逐级计算!$P$63)*LN(10)/10))))))),"")</f>
        <v>13.7930365742089</v>
      </c>
      <c r="BM83">
        <f>IF(AND(ISNUMBER(BL83),逐级计算!$X$64&gt;-1),IF(逐级计算!$X$64=0,BL83+逐级计算!$C$64,BL83+逐级计算!$C$64-(10/(逐级计算!$Q$64*LN(10))*(MAX((LN(10^(逐级计算!$Q$64/10)-1)+逐级计算!$Q$64*(BL83-逐级计算!$P$64)*LN(10)/10),0)+LN(1+EXP(-ABS((LN(10^(逐级计算!$Q$64/10)-1)+逐级计算!$Q$64*(BL83-逐级计算!$P$64)*LN(10)/10))))))),"")</f>
        <v>13.7930365742089</v>
      </c>
      <c r="BN83">
        <f>IF(AND(ISNUMBER(BM83),逐级计算!$X$65&gt;-1),IF(逐级计算!$X$65=0,BM83+逐级计算!$C$65,BM83+逐级计算!$C$65-(10/(逐级计算!$Q$65*LN(10))*(MAX((LN(10^(逐级计算!$Q$65/10)-1)+逐级计算!$Q$65*(BM83-逐级计算!$P$65)*LN(10)/10),0)+LN(1+EXP(-ABS((LN(10^(逐级计算!$Q$65/10)-1)+逐级计算!$Q$65*(BM83-逐级计算!$P$65)*LN(10)/10))))))),"")</f>
        <v>13.7930365742089</v>
      </c>
      <c r="BO83">
        <f>IF(AND(ISNUMBER(BN83),逐级计算!$X$66&gt;-1),IF(逐级计算!$X$66=0,BN83+逐级计算!$C$66,BN83+逐级计算!$C$66-(10/(逐级计算!$Q$66*LN(10))*(MAX((LN(10^(逐级计算!$Q$66/10)-1)+逐级计算!$Q$66*(BN83-逐级计算!$P$66)*LN(10)/10),0)+LN(1+EXP(-ABS((LN(10^(逐级计算!$Q$66/10)-1)+逐级计算!$Q$66*(BN83-逐级计算!$P$66)*LN(10)/10))))))),"")</f>
        <v>13.7930365742089</v>
      </c>
      <c r="BP83">
        <f>IF(AND(ISNUMBER(BO83),逐级计算!$X$67&gt;-1),IF(逐级计算!$X$67=0,BO83+逐级计算!$C$67,BO83+逐级计算!$C$67-(10/(逐级计算!$Q$67*LN(10))*(MAX((LN(10^(逐级计算!$Q$67/10)-1)+逐级计算!$Q$67*(BO83-逐级计算!$P$67)*LN(10)/10),0)+LN(1+EXP(-ABS((LN(10^(逐级计算!$Q$67/10)-1)+逐级计算!$Q$67*(BO83-逐级计算!$P$67)*LN(10)/10))))))),"")</f>
        <v>13.7930365742089</v>
      </c>
      <c r="BQ83">
        <f>IF(AND(ISNUMBER(BP83),逐级计算!$X$68&gt;-1),IF(逐级计算!$X$68=0,BP83+逐级计算!$C$68,BP83+逐级计算!$C$68-(10/(逐级计算!$Q$68*LN(10))*(MAX((LN(10^(逐级计算!$Q$68/10)-1)+逐级计算!$Q$68*(BP83-逐级计算!$P$68)*LN(10)/10),0)+LN(1+EXP(-ABS((LN(10^(逐级计算!$Q$68/10)-1)+逐级计算!$Q$68*(BP83-逐级计算!$P$68)*LN(10)/10))))))),"")</f>
        <v>13.7930365742089</v>
      </c>
      <c r="BR83">
        <f>IF(AND(ISNUMBER(BQ83),逐级计算!$X$69&gt;-1),IF(逐级计算!$X$69=0,BQ83+逐级计算!$C$69,BQ83+逐级计算!$C$69-(10/(逐级计算!$Q$69*LN(10))*(MAX((LN(10^(逐级计算!$Q$69/10)-1)+逐级计算!$Q$69*(BQ83-逐级计算!$P$69)*LN(10)/10),0)+LN(1+EXP(-ABS((LN(10^(逐级计算!$Q$69/10)-1)+逐级计算!$Q$69*(BQ83-逐级计算!$P$69)*LN(10)/10))))))),"")</f>
        <v>13.7930365742089</v>
      </c>
      <c r="BS83">
        <f>IF(AND(ISNUMBER(BR83),逐级计算!$X$70&gt;-1),IF(逐级计算!$X$70=0,BR83+逐级计算!$C$70,BR83+逐级计算!$C$70-(10/(逐级计算!$Q$70*LN(10))*(MAX((LN(10^(逐级计算!$Q$70/10)-1)+逐级计算!$Q$70*(BR83-逐级计算!$P$70)*LN(10)/10),0)+LN(1+EXP(-ABS((LN(10^(逐级计算!$Q$70/10)-1)+逐级计算!$Q$70*(BR83-逐级计算!$P$70)*LN(10)/10))))))),"")</f>
        <v>13.7930365742089</v>
      </c>
      <c r="BT83">
        <f>IF(AND(ISNUMBER(BS83),逐级计算!$X$71&gt;-1),IF(逐级计算!$X$71=0,BS83+逐级计算!$C$71,BS83+逐级计算!$C$71-(10/(逐级计算!$Q$71*LN(10))*(MAX((LN(10^(逐级计算!$Q$71/10)-1)+逐级计算!$Q$71*(BS83-逐级计算!$P$71)*LN(10)/10),0)+LN(1+EXP(-ABS((LN(10^(逐级计算!$Q$71/10)-1)+逐级计算!$Q$71*(BS83-逐级计算!$P$71)*LN(10)/10))))))),"")</f>
        <v>13.7930365742089</v>
      </c>
      <c r="BU83">
        <f>IF(AND(ISNUMBER(BT83),逐级计算!$X$72&gt;-1),IF(逐级计算!$X$72=0,BT83+逐级计算!$C$72,BT83+逐级计算!$C$72-(10/(逐级计算!$Q$72*LN(10))*(MAX((LN(10^(逐级计算!$Q$72/10)-1)+逐级计算!$Q$72*(BT83-逐级计算!$P$72)*LN(10)/10),0)+LN(1+EXP(-ABS((LN(10^(逐级计算!$Q$72/10)-1)+逐级计算!$Q$72*(BT83-逐级计算!$P$72)*LN(10)/10))))))),"")</f>
        <v>13.7930365742089</v>
      </c>
      <c r="BV83">
        <f>IF(AND(ISNUMBER(BU83),逐级计算!$X$73&gt;-1),IF(逐级计算!$X$73=0,BU83+逐级计算!$C$73,BU83+逐级计算!$C$73-(10/(逐级计算!$Q$73*LN(10))*(MAX((LN(10^(逐级计算!$Q$73/10)-1)+逐级计算!$Q$73*(BU83-逐级计算!$P$73)*LN(10)/10),0)+LN(1+EXP(-ABS((LN(10^(逐级计算!$Q$73/10)-1)+逐级计算!$Q$73*(BU83-逐级计算!$P$73)*LN(10)/10))))))),"")</f>
        <v>13.7930365742089</v>
      </c>
      <c r="BW83">
        <f>IF(AND(ISNUMBER(BV83),逐级计算!$X$74&gt;-1),IF(逐级计算!$X$74=0,BV83+逐级计算!$C$74,BV83+逐级计算!$C$74-(10/(逐级计算!$Q$74*LN(10))*(MAX((LN(10^(逐级计算!$Q$74/10)-1)+逐级计算!$Q$74*(BV83-逐级计算!$P$74)*LN(10)/10),0)+LN(1+EXP(-ABS((LN(10^(逐级计算!$Q$74/10)-1)+逐级计算!$Q$74*(BV83-逐级计算!$P$74)*LN(10)/10))))))),"")</f>
        <v>13.7930365742089</v>
      </c>
      <c r="BX83">
        <f>IF(AND(ISNUMBER(BW83),逐级计算!$X$75&gt;-1),IF(逐级计算!$X$75=0,BW83+逐级计算!$C$75,BW83+逐级计算!$C$75-(10/(逐级计算!$Q$75*LN(10))*(MAX((LN(10^(逐级计算!$Q$75/10)-1)+逐级计算!$Q$75*(BW83-逐级计算!$P$75)*LN(10)/10),0)+LN(1+EXP(-ABS((LN(10^(逐级计算!$Q$75/10)-1)+逐级计算!$Q$75*(BW83-逐级计算!$P$75)*LN(10)/10))))))),"")</f>
        <v>13.7930365742089</v>
      </c>
      <c r="BY83">
        <f>IF(AND(ISNUMBER(BX83),逐级计算!$X$76&gt;-1),IF(逐级计算!$X$76=0,BX83+逐级计算!$C$76,BX83+逐级计算!$C$76-(10/(逐级计算!$Q$76*LN(10))*(MAX((LN(10^(逐级计算!$Q$76/10)-1)+逐级计算!$Q$76*(BX83-逐级计算!$P$76)*LN(10)/10),0)+LN(1+EXP(-ABS((LN(10^(逐级计算!$Q$76/10)-1)+逐级计算!$Q$76*(BX83-逐级计算!$P$76)*LN(10)/10))))))),"")</f>
        <v>13.7930365742089</v>
      </c>
      <c r="BZ83">
        <f>IF(AND(ISNUMBER(BY83),逐级计算!$X$77&gt;-1),IF(逐级计算!$X$77=0,BY83+逐级计算!$C$77,BY83+逐级计算!$C$77-(10/(逐级计算!$Q$77*LN(10))*(MAX((LN(10^(逐级计算!$Q$77/10)-1)+逐级计算!$Q$77*(BY83-逐级计算!$P$77)*LN(10)/10),0)+LN(1+EXP(-ABS((LN(10^(逐级计算!$Q$77/10)-1)+逐级计算!$Q$77*(BY83-逐级计算!$P$77)*LN(10)/10))))))),"")</f>
        <v>13.7930365742089</v>
      </c>
      <c r="CA83">
        <f>IF(AND(ISNUMBER(BZ83),逐级计算!$X$78&gt;-1),IF(逐级计算!$X$78=0,BZ83+逐级计算!$C$78,BZ83+逐级计算!$C$78-(10/(逐级计算!$Q$78*LN(10))*(MAX((LN(10^(逐级计算!$Q$78/10)-1)+逐级计算!$Q$78*(BZ83-逐级计算!$P$78)*LN(10)/10),0)+LN(1+EXP(-ABS((LN(10^(逐级计算!$Q$78/10)-1)+逐级计算!$Q$78*(BZ83-逐级计算!$P$78)*LN(10)/10))))))),"")</f>
        <v>13.7930365742089</v>
      </c>
      <c r="CB83">
        <f>IF(AND(ISNUMBER(CA83),逐级计算!$X$79&gt;-1),IF(逐级计算!$X$79=0,CA83+逐级计算!$C$79,CA83+逐级计算!$C$79-(10/(逐级计算!$Q$79*LN(10))*(MAX((LN(10^(逐级计算!$Q$79/10)-1)+逐级计算!$Q$79*(CA83-逐级计算!$P$79)*LN(10)/10),0)+LN(1+EXP(-ABS((LN(10^(逐级计算!$Q$79/10)-1)+逐级计算!$Q$79*(CA83-逐级计算!$P$79)*LN(10)/10))))))),"")</f>
        <v>13.7930365742089</v>
      </c>
      <c r="CC83">
        <f>IF(AND(ISNUMBER(CB83),逐级计算!$X$80&gt;-1),IF(逐级计算!$X$80=0,CB83+逐级计算!$C$80,CB83+逐级计算!$C$80-(10/(逐级计算!$Q$80*LN(10))*(MAX((LN(10^(逐级计算!$Q$80/10)-1)+逐级计算!$Q$80*(CB83-逐级计算!$P$80)*LN(10)/10),0)+LN(1+EXP(-ABS((LN(10^(逐级计算!$Q$80/10)-1)+逐级计算!$Q$80*(CB83-逐级计算!$P$80)*LN(10)/10))))))),"")</f>
        <v>13.7930365742089</v>
      </c>
      <c r="CD83">
        <f>IF(AND(ISNUMBER(CC83),逐级计算!$X$81&gt;-1),IF(逐级计算!$X$81=0,CC83+逐级计算!$C$81,CC83+逐级计算!$C$81-(10/(逐级计算!$Q$81*LN(10))*(MAX((LN(10^(逐级计算!$Q$81/10)-1)+逐级计算!$Q$81*(CC83-逐级计算!$P$81)*LN(10)/10),0)+LN(1+EXP(-ABS((LN(10^(逐级计算!$Q$81/10)-1)+逐级计算!$Q$81*(CC83-逐级计算!$P$81)*LN(10)/10))))))),"")</f>
        <v>13.7930365742089</v>
      </c>
      <c r="CE83">
        <f>IF(AND(ISNUMBER(CD83),逐级计算!$X$82&gt;-1),IF(逐级计算!$X$82=0,CD83+逐级计算!$C$82,CD83+逐级计算!$C$82-(10/(逐级计算!$Q$82*LN(10))*(MAX((LN(10^(逐级计算!$Q$82/10)-1)+逐级计算!$Q$82*(CD83-逐级计算!$P$82)*LN(10)/10),0)+LN(1+EXP(-ABS((LN(10^(逐级计算!$Q$82/10)-1)+逐级计算!$Q$82*(CD83-逐级计算!$P$82)*LN(10)/10))))))),"")</f>
        <v>13.7930365742089</v>
      </c>
      <c r="CF83">
        <f>IF(AND(ISNUMBER(CE83),逐级计算!$X$83&gt;-1),IF(逐级计算!$X$83=0,CE83+逐级计算!$C$83,CE83+逐级计算!$C$83-(10/(逐级计算!$Q$83*LN(10))*(MAX((LN(10^(逐级计算!$Q$83/10)-1)+逐级计算!$Q$83*(CE83-逐级计算!$P$83)*LN(10)/10),0)+LN(1+EXP(-ABS((LN(10^(逐级计算!$Q$83/10)-1)+逐级计算!$Q$83*(CE83-逐级计算!$P$83)*LN(10)/10))))))),"")</f>
        <v>13.7930365742089</v>
      </c>
      <c r="CG83">
        <f>IF(AND(ISNUMBER(CF83),逐级计算!$X$84&gt;-1),IF(逐级计算!$X$84=0,CF83+逐级计算!$C$84,CF83+逐级计算!$C$84-(10/(逐级计算!$Q$84*LN(10))*(MAX((LN(10^(逐级计算!$Q$84/10)-1)+逐级计算!$Q$84*(CF83-逐级计算!$P$84)*LN(10)/10),0)+LN(1+EXP(-ABS((LN(10^(逐级计算!$Q$84/10)-1)+逐级计算!$Q$84*(CF83-逐级计算!$P$84)*LN(10)/10))))))),"")</f>
        <v>13.7930365742089</v>
      </c>
      <c r="CH83">
        <f>IF(AND(ISNUMBER(CG83),逐级计算!$X$85&gt;-1),IF(逐级计算!$X$85=0,CG83+逐级计算!$C$85,CG83+逐级计算!$C$85-(10/(逐级计算!$Q$85*LN(10))*(MAX((LN(10^(逐级计算!$Q$85/10)-1)+逐级计算!$Q$85*(CG83-逐级计算!$P$85)*LN(10)/10),0)+LN(1+EXP(-ABS((LN(10^(逐级计算!$Q$85/10)-1)+逐级计算!$Q$85*(CG83-逐级计算!$P$85)*LN(10)/10))))))),"")</f>
        <v>13.7930365742089</v>
      </c>
      <c r="CI83">
        <f>IF(AND(ISNUMBER(CH83),逐级计算!$X$86&gt;-1),IF(逐级计算!$X$86=0,CH83+逐级计算!$C$86,CH83+逐级计算!$C$86-(10/(逐级计算!$Q$86*LN(10))*(MAX((LN(10^(逐级计算!$Q$86/10)-1)+逐级计算!$Q$86*(CH83-逐级计算!$P$86)*LN(10)/10),0)+LN(1+EXP(-ABS((LN(10^(逐级计算!$Q$86/10)-1)+逐级计算!$Q$86*(CH83-逐级计算!$P$86)*LN(10)/10))))))),"")</f>
        <v>13.7930365742089</v>
      </c>
      <c r="CJ83">
        <f>IF(AND(ISNUMBER(CI83),逐级计算!$X$87&gt;-1),IF(逐级计算!$X$87=0,CI83+逐级计算!$C$87,CI83+逐级计算!$C$87-(10/(逐级计算!$Q$87*LN(10))*(MAX((LN(10^(逐级计算!$Q$87/10)-1)+逐级计算!$Q$87*(CI83-逐级计算!$P$87)*LN(10)/10),0)+LN(1+EXP(-ABS((LN(10^(逐级计算!$Q$87/10)-1)+逐级计算!$Q$87*(CI83-逐级计算!$P$87)*LN(10)/10))))))),"")</f>
        <v>13.7930365742089</v>
      </c>
      <c r="CK83">
        <f>IF(AND(ISNUMBER(CJ83),逐级计算!$X$88&gt;-1),IF(逐级计算!$X$88=0,CJ83+逐级计算!$C$88,CJ83+逐级计算!$C$88-(10/(逐级计算!$Q$88*LN(10))*(MAX((LN(10^(逐级计算!$Q$88/10)-1)+逐级计算!$Q$88*(CJ83-逐级计算!$P$88)*LN(10)/10),0)+LN(1+EXP(-ABS((LN(10^(逐级计算!$Q$88/10)-1)+逐级计算!$Q$88*(CJ83-逐级计算!$P$88)*LN(10)/10))))))),"")</f>
        <v>13.7930365742089</v>
      </c>
      <c r="CL83">
        <f>IF(AND(ISNUMBER(CK83),逐级计算!$X$89&gt;-1),IF(逐级计算!$X$89=0,CK83+逐级计算!$C$89,CK83+逐级计算!$C$89-(10/(逐级计算!$Q$89*LN(10))*(MAX((LN(10^(逐级计算!$Q$89/10)-1)+逐级计算!$Q$89*(CK83-逐级计算!$P$89)*LN(10)/10),0)+LN(1+EXP(-ABS((LN(10^(逐级计算!$Q$89/10)-1)+逐级计算!$Q$89*(CK83-逐级计算!$P$89)*LN(10)/10))))))),"")</f>
        <v>13.7930365742089</v>
      </c>
      <c r="CM83">
        <f>IF(AND(ISNUMBER(CL83),逐级计算!$X$90&gt;-1),IF(逐级计算!$X$90=0,CL83+逐级计算!$C$90,CL83+逐级计算!$C$90-(10/(逐级计算!$Q$90*LN(10))*(MAX((LN(10^(逐级计算!$Q$90/10)-1)+逐级计算!$Q$90*(CL83-逐级计算!$P$90)*LN(10)/10),0)+LN(1+EXP(-ABS((LN(10^(逐级计算!$Q$90/10)-1)+逐级计算!$Q$90*(CL83-逐级计算!$P$90)*LN(10)/10))))))),"")</f>
        <v>13.7930365742089</v>
      </c>
      <c r="CN83">
        <f>IF(AND(ISNUMBER(CM83),逐级计算!$X$91&gt;-1),IF(逐级计算!$X$91=0,CM83+逐级计算!$C$91,CM83+逐级计算!$C$91-(10/(逐级计算!$Q$91*LN(10))*(MAX((LN(10^(逐级计算!$Q$91/10)-1)+逐级计算!$Q$91*(CM83-逐级计算!$P$91)*LN(10)/10),0)+LN(1+EXP(-ABS((LN(10^(逐级计算!$Q$91/10)-1)+逐级计算!$Q$91*(CM83-逐级计算!$P$91)*LN(10)/10))))))),"")</f>
        <v>13.7930365742089</v>
      </c>
      <c r="CO83">
        <f>IF(AND(ISNUMBER(CN83),逐级计算!$X$92&gt;-1),IF(逐级计算!$X$92=0,CN83+逐级计算!$C$92,CN83+逐级计算!$C$92-(10/(逐级计算!$Q$92*LN(10))*(MAX((LN(10^(逐级计算!$Q$92/10)-1)+逐级计算!$Q$92*(CN83-逐级计算!$P$92)*LN(10)/10),0)+LN(1+EXP(-ABS((LN(10^(逐级计算!$Q$92/10)-1)+逐级计算!$Q$92*(CN83-逐级计算!$P$92)*LN(10)/10))))))),"")</f>
        <v>13.7930365742089</v>
      </c>
      <c r="CP83">
        <f>IF(AND(ISNUMBER(CO83),逐级计算!$X$93&gt;-1),IF(逐级计算!$X$93=0,CO83+逐级计算!$C$93,CO83+逐级计算!$C$93-(10/(逐级计算!$Q$93*LN(10))*(MAX((LN(10^(逐级计算!$Q$93/10)-1)+逐级计算!$Q$93*(CO83-逐级计算!$P$93)*LN(10)/10),0)+LN(1+EXP(-ABS((LN(10^(逐级计算!$Q$93/10)-1)+逐级计算!$Q$93*(CO83-逐级计算!$P$93)*LN(10)/10))))))),"")</f>
        <v>13.7930365742089</v>
      </c>
      <c r="CQ83">
        <f>IF(AND(ISNUMBER(CP83),逐级计算!$X$94&gt;-1),IF(逐级计算!$X$94=0,CP83+逐级计算!$C$94,CP83+逐级计算!$C$94-(10/(逐级计算!$Q$94*LN(10))*(MAX((LN(10^(逐级计算!$Q$94/10)-1)+逐级计算!$Q$94*(CP83-逐级计算!$P$94)*LN(10)/10),0)+LN(1+EXP(-ABS((LN(10^(逐级计算!$Q$94/10)-1)+逐级计算!$Q$94*(CP83-逐级计算!$P$94)*LN(10)/10))))))),"")</f>
        <v>13.7930365742089</v>
      </c>
      <c r="CR83">
        <f>IF(AND(ISNUMBER(CQ83),逐级计算!$X$95&gt;-1),IF(逐级计算!$X$95=0,CQ83+逐级计算!$C$95,CQ83+逐级计算!$C$95-(10/(逐级计算!$Q$95*LN(10))*(MAX((LN(10^(逐级计算!$Q$95/10)-1)+逐级计算!$Q$95*(CQ83-逐级计算!$P$95)*LN(10)/10),0)+LN(1+EXP(-ABS((LN(10^(逐级计算!$Q$95/10)-1)+逐级计算!$Q$95*(CQ83-逐级计算!$P$95)*LN(10)/10))))))),"")</f>
        <v>13.7930365742089</v>
      </c>
      <c r="CS83">
        <f>IF(AND(ISNUMBER(CR83),逐级计算!$X$96&gt;-1),IF(逐级计算!$X$96=0,CR83+逐级计算!$C$96,CR83+逐级计算!$C$96-(10/(逐级计算!$Q$96*LN(10))*(MAX((LN(10^(逐级计算!$Q$96/10)-1)+逐级计算!$Q$96*(CR83-逐级计算!$P$96)*LN(10)/10),0)+LN(1+EXP(-ABS((LN(10^(逐级计算!$Q$96/10)-1)+逐级计算!$Q$96*(CR83-逐级计算!$P$96)*LN(10)/10))))))),"")</f>
        <v>13.7930365742089</v>
      </c>
      <c r="CT83">
        <f>IF(AND(ISNUMBER(CS83),逐级计算!$X$97&gt;-1),IF(逐级计算!$X$97=0,CS83+逐级计算!$C$97,CS83+逐级计算!$C$97-(10/(逐级计算!$Q$97*LN(10))*(MAX((LN(10^(逐级计算!$Q$97/10)-1)+逐级计算!$Q$97*(CS83-逐级计算!$P$97)*LN(10)/10),0)+LN(1+EXP(-ABS((LN(10^(逐级计算!$Q$97/10)-1)+逐级计算!$Q$97*(CS83-逐级计算!$P$97)*LN(10)/10))))))),"")</f>
        <v>13.7930365742089</v>
      </c>
      <c r="CU83">
        <f>IF(AND(ISNUMBER(CT83),逐级计算!$X$98&gt;-1),IF(逐级计算!$X$98=0,CT83+逐级计算!$C$98,CT83+逐级计算!$C$98-(10/(逐级计算!$Q$98*LN(10))*(MAX((LN(10^(逐级计算!$Q$98/10)-1)+逐级计算!$Q$98*(CT83-逐级计算!$P$98)*LN(10)/10),0)+LN(1+EXP(-ABS((LN(10^(逐级计算!$Q$98/10)-1)+逐级计算!$Q$98*(CT83-逐级计算!$P$98)*LN(10)/10))))))),"")</f>
        <v>13.7930365742089</v>
      </c>
      <c r="CV83">
        <f>IF(AND(ISNUMBER(CU83),逐级计算!$X$99&gt;-1),IF(逐级计算!$X$99=0,CU83+逐级计算!$C$99,CU83+逐级计算!$C$99-(10/(逐级计算!$Q$99*LN(10))*(MAX((LN(10^(逐级计算!$Q$99/10)-1)+逐级计算!$Q$99*(CU83-逐级计算!$P$99)*LN(10)/10),0)+LN(1+EXP(-ABS((LN(10^(逐级计算!$Q$99/10)-1)+逐级计算!$Q$99*(CU83-逐级计算!$P$99)*LN(10)/10))))))),"")</f>
        <v>13.7930365742089</v>
      </c>
      <c r="CW83">
        <f>IF(AND(ISNUMBER(CV83),逐级计算!$X$100&gt;-1),IF(逐级计算!$X$100=0,CV83+逐级计算!$C$100,CV83+逐级计算!$C$100-(10/(逐级计算!$Q$100*LN(10))*(MAX((LN(10^(逐级计算!$Q$100/10)-1)+逐级计算!$Q$100*(CV83-逐级计算!$P$100)*LN(10)/10),0)+LN(1+EXP(-ABS((LN(10^(逐级计算!$Q$100/10)-1)+逐级计算!$Q$100*(CV83-逐级计算!$P$100)*LN(10)/10))))))),"")</f>
        <v>13.7930365742089</v>
      </c>
      <c r="CX83">
        <f>IF(AND(ISNUMBER(CW83),逐级计算!$X$101&gt;-1),IF(逐级计算!$X$101=0,CW83+逐级计算!$C$101,CW83+逐级计算!$C$101-(10/(逐级计算!$Q$101*LN(10))*(MAX((LN(10^(逐级计算!$Q$101/10)-1)+逐级计算!$Q$101*(CW83-逐级计算!$P$101)*LN(10)/10),0)+LN(1+EXP(-ABS((LN(10^(逐级计算!$Q$101/10)-1)+逐级计算!$Q$101*(CW83-逐级计算!$P$101)*LN(10)/10))))))),"")</f>
        <v>13.7930365742089</v>
      </c>
      <c r="CY83">
        <f>IF(AND(ISNUMBER(CX83),逐级计算!$X$102&gt;-1),IF(逐级计算!$X$102=0,CX83+逐级计算!$C$102,CX83+逐级计算!$C$102-(10/(逐级计算!$Q$102*LN(10))*(MAX((LN(10^(逐级计算!$Q$102/10)-1)+逐级计算!$Q$102*(CX83-逐级计算!$P$102)*LN(10)/10),0)+LN(1+EXP(-ABS((LN(10^(逐级计算!$Q$102/10)-1)+逐级计算!$Q$102*(CX83-逐级计算!$P$102)*LN(10)/10))))))),"")</f>
        <v>13.7930365742089</v>
      </c>
      <c r="CZ83">
        <f>IF(AND(ISNUMBER(CY83),逐级计算!$X$103&gt;-1),IF(逐级计算!$X$103=0,CY83+逐级计算!$C$103,CY83+逐级计算!$C$103-(10/(逐级计算!$Q$103*LN(10))*(MAX((LN(10^(逐级计算!$Q$103/10)-1)+逐级计算!$Q$103*(CY83-逐级计算!$P$103)*LN(10)/10),0)+LN(1+EXP(-ABS((LN(10^(逐级计算!$Q$103/10)-1)+逐级计算!$Q$103*(CY83-逐级计算!$P$103)*LN(10)/10))))))),"")</f>
        <v>13.7930365742089</v>
      </c>
      <c r="DA83">
        <f>IF(AND(ISNUMBER(CZ83),逐级计算!$X$104&gt;-1),IF(逐级计算!$X$104=0,CZ83+逐级计算!$C$104,CZ83+逐级计算!$C$104-(10/(逐级计算!$Q$104*LN(10))*(MAX((LN(10^(逐级计算!$Q$104/10)-1)+逐级计算!$Q$104*(CZ83-逐级计算!$P$104)*LN(10)/10),0)+LN(1+EXP(-ABS((LN(10^(逐级计算!$Q$104/10)-1)+逐级计算!$Q$104*(CZ83-逐级计算!$P$104)*LN(10)/10))))))),"")</f>
        <v>13.7930365742089</v>
      </c>
      <c r="DB83">
        <f>IF(AND(ISNUMBER(DA83),逐级计算!$X$105&gt;-1),IF(逐级计算!$X$105=0,DA83+逐级计算!$C$105,DA83+逐级计算!$C$105-(10/(逐级计算!$Q$105*LN(10))*(MAX((LN(10^(逐级计算!$Q$105/10)-1)+逐级计算!$Q$105*(DA83-逐级计算!$P$105)*LN(10)/10),0)+LN(1+EXP(-ABS((LN(10^(逐级计算!$Q$105/10)-1)+逐级计算!$Q$105*(DA83-逐级计算!$P$105)*LN(10)/10))))))),"")</f>
        <v>13.7930365742089</v>
      </c>
      <c r="DC83">
        <f>IF(AND(ISNUMBER(DB83),逐级计算!$X$106&gt;-1),IF(逐级计算!$X$106=0,DB83+逐级计算!$C$106,DB83+逐级计算!$C$106-(10/(逐级计算!$Q$106*LN(10))*(MAX((LN(10^(逐级计算!$Q$106/10)-1)+逐级计算!$Q$106*(DB83-逐级计算!$P$106)*LN(10)/10),0)+LN(1+EXP(-ABS((LN(10^(逐级计算!$Q$106/10)-1)+逐级计算!$Q$106*(DB83-逐级计算!$P$106)*LN(10)/10))))))),"")</f>
        <v>13.7930365742089</v>
      </c>
      <c r="DD83">
        <f>IF(AND(ISNUMBER(DC83),逐级计算!$X$107&gt;-1),IF(逐级计算!$X$107=0,DC83+逐级计算!$C$107,DC83+逐级计算!$C$107-(10/(逐级计算!$Q$107*LN(10))*(MAX((LN(10^(逐级计算!$Q$107/10)-1)+逐级计算!$Q$107*(DC83-逐级计算!$P$107)*LN(10)/10),0)+LN(1+EXP(-ABS((LN(10^(逐级计算!$Q$107/10)-1)+逐级计算!$Q$107*(DC83-逐级计算!$P$107)*LN(10)/10))))))),"")</f>
        <v>13.7930365742089</v>
      </c>
      <c r="DE83">
        <f>IF(AND(ISNUMBER(DD83),逐级计算!$X$108&gt;-1),IF(逐级计算!$X$108=0,DD83+逐级计算!$C$108,DD83+逐级计算!$C$108-(10/(逐级计算!$Q$108*LN(10))*(MAX((LN(10^(逐级计算!$Q$108/10)-1)+逐级计算!$Q$108*(DD83-逐级计算!$P$108)*LN(10)/10),0)+LN(1+EXP(-ABS((LN(10^(逐级计算!$Q$108/10)-1)+逐级计算!$Q$108*(DD83-逐级计算!$P$108)*LN(10)/10))))))),"")</f>
        <v>13.7930365742089</v>
      </c>
      <c r="DF83">
        <f>IF(AND(ISNUMBER(DE83),逐级计算!$X$109&gt;-1),IF(逐级计算!$X$109=0,DE83+逐级计算!$C$109,DE83+逐级计算!$C$109-(10/(逐级计算!$Q$109*LN(10))*(MAX((LN(10^(逐级计算!$Q$109/10)-1)+逐级计算!$Q$109*(DE83-逐级计算!$P$109)*LN(10)/10),0)+LN(1+EXP(-ABS((LN(10^(逐级计算!$Q$109/10)-1)+逐级计算!$Q$109*(DE83-逐级计算!$P$109)*LN(10)/10))))))),"")</f>
        <v>13.7930365742089</v>
      </c>
      <c r="DG83">
        <f>IF(AND(ISNUMBER(DF83),逐级计算!$X$110&gt;-1),IF(逐级计算!$X$110=0,DF83+逐级计算!$C$110,DF83+逐级计算!$C$110-(10/(逐级计算!$Q$110*LN(10))*(MAX((LN(10^(逐级计算!$Q$110/10)-1)+逐级计算!$Q$110*(DF83-逐级计算!$P$110)*LN(10)/10),0)+LN(1+EXP(-ABS((LN(10^(逐级计算!$Q$110/10)-1)+逐级计算!$Q$110*(DF83-逐级计算!$P$110)*LN(10)/10))))))),"")</f>
        <v>13.7930365742089</v>
      </c>
      <c r="DH83">
        <f>IF(AND(ISNUMBER(DG83),逐级计算!$X$111&gt;-1),IF(逐级计算!$X$111=0,DG83+逐级计算!$C$111,DG83+逐级计算!$C$111-(10/(逐级计算!$Q$111*LN(10))*(MAX((LN(10^(逐级计算!$Q$111/10)-1)+逐级计算!$Q$111*(DG83-逐级计算!$P$111)*LN(10)/10),0)+LN(1+EXP(-ABS((LN(10^(逐级计算!$Q$111/10)-1)+逐级计算!$Q$111*(DG83-逐级计算!$P$111)*LN(10)/10))))))),"")</f>
        <v>13.7930365742089</v>
      </c>
      <c r="DI83">
        <f>IF(AND(ISNUMBER(DH83),逐级计算!$X$112&gt;-1),IF(逐级计算!$X$112=0,DH83+逐级计算!$C$112,DH83+逐级计算!$C$112-(10/(逐级计算!$Q$112*LN(10))*(MAX((LN(10^(逐级计算!$Q$112/10)-1)+逐级计算!$Q$112*(DH83-逐级计算!$P$112)*LN(10)/10),0)+LN(1+EXP(-ABS((LN(10^(逐级计算!$Q$112/10)-1)+逐级计算!$Q$112*(DH83-逐级计算!$P$112)*LN(10)/10))))))),"")</f>
        <v>13.7930365742089</v>
      </c>
      <c r="DJ83">
        <f>IF(AND(ISNUMBER(DI83),逐级计算!$X$113&gt;-1),IF(逐级计算!$X$113=0,DI83+逐级计算!$C$113,DI83+逐级计算!$C$113-(10/(逐级计算!$Q$113*LN(10))*(MAX((LN(10^(逐级计算!$Q$113/10)-1)+逐级计算!$Q$113*(DI83-逐级计算!$P$113)*LN(10)/10),0)+LN(1+EXP(-ABS((LN(10^(逐级计算!$Q$113/10)-1)+逐级计算!$Q$113*(DI83-逐级计算!$P$113)*LN(10)/10))))))),"")</f>
        <v>13.7930365742089</v>
      </c>
      <c r="DK83">
        <f>IF(AND(ISNUMBER(DJ83),逐级计算!$X$114&gt;-1),IF(逐级计算!$X$114=0,DJ83+逐级计算!$C$114,DJ83+逐级计算!$C$114-(10/(逐级计算!$Q$114*LN(10))*(MAX((LN(10^(逐级计算!$Q$114/10)-1)+逐级计算!$Q$114*(DJ83-逐级计算!$P$114)*LN(10)/10),0)+LN(1+EXP(-ABS((LN(10^(逐级计算!$Q$114/10)-1)+逐级计算!$Q$114*(DJ83-逐级计算!$P$114)*LN(10)/10))))))),"")</f>
        <v>13.7930365742089</v>
      </c>
      <c r="DL83">
        <f>IF(AND(ISNUMBER(DK83),逐级计算!$X$115&gt;-1),IF(逐级计算!$X$115=0,DK83+逐级计算!$C$115,DK83+逐级计算!$C$115-(10/(逐级计算!$Q$115*LN(10))*(MAX((LN(10^(逐级计算!$Q$115/10)-1)+逐级计算!$Q$115*(DK83-逐级计算!$P$115)*LN(10)/10),0)+LN(1+EXP(-ABS((LN(10^(逐级计算!$Q$115/10)-1)+逐级计算!$Q$115*(DK83-逐级计算!$P$115)*LN(10)/10))))))),"")</f>
        <v>13.7930365742089</v>
      </c>
      <c r="DM83">
        <f>IF(AND(ISNUMBER(DL83),逐级计算!$X$116&gt;-1),IF(逐级计算!$X$116=0,DL83+逐级计算!$C$116,DL83+逐级计算!$C$116-(10/(逐级计算!$Q$116*LN(10))*(MAX((LN(10^(逐级计算!$Q$116/10)-1)+逐级计算!$Q$116*(DL83-逐级计算!$P$116)*LN(10)/10),0)+LN(1+EXP(-ABS((LN(10^(逐级计算!$Q$116/10)-1)+逐级计算!$Q$116*(DL83-逐级计算!$P$116)*LN(10)/10))))))),"")</f>
        <v>13.7930365742089</v>
      </c>
      <c r="DN83">
        <f>IF(AND(ISNUMBER(DM83),逐级计算!$X$117&gt;-1),IF(逐级计算!$X$117=0,DM83+逐级计算!$C$117,DM83+逐级计算!$C$117-(10/(逐级计算!$Q$117*LN(10))*(MAX((LN(10^(逐级计算!$Q$117/10)-1)+逐级计算!$Q$117*(DM83-逐级计算!$P$117)*LN(10)/10),0)+LN(1+EXP(-ABS((LN(10^(逐级计算!$Q$117/10)-1)+逐级计算!$Q$117*(DM83-逐级计算!$P$117)*LN(10)/10))))))),"")</f>
        <v>13.7930365742089</v>
      </c>
      <c r="DO83">
        <f>IF(AND(ISNUMBER(DN83),逐级计算!$X$118&gt;-1),IF(逐级计算!$X$118=0,DN83+逐级计算!$C$118,DN83+逐级计算!$C$118-(10/(逐级计算!$Q$118*LN(10))*(MAX((LN(10^(逐级计算!$Q$118/10)-1)+逐级计算!$Q$118*(DN83-逐级计算!$P$118)*LN(10)/10),0)+LN(1+EXP(-ABS((LN(10^(逐级计算!$Q$118/10)-1)+逐级计算!$Q$118*(DN83-逐级计算!$P$118)*LN(10)/10))))))),"")</f>
        <v>13.7930365742089</v>
      </c>
      <c r="DP83">
        <f>IF(AND(ISNUMBER(DO83),逐级计算!$X$119&gt;-1),IF(逐级计算!$X$119=0,DO83+逐级计算!$C$119,DO83+逐级计算!$C$119-(10/(逐级计算!$Q$119*LN(10))*(MAX((LN(10^(逐级计算!$Q$119/10)-1)+逐级计算!$Q$119*(DO83-逐级计算!$P$119)*LN(10)/10),0)+LN(1+EXP(-ABS((LN(10^(逐级计算!$Q$119/10)-1)+逐级计算!$Q$119*(DO83-逐级计算!$P$119)*LN(10)/10))))))),"")</f>
        <v>13.7930365742089</v>
      </c>
      <c r="DQ83">
        <f>IF(AND(ISNUMBER(DP83),逐级计算!$X$120&gt;-1),IF(逐级计算!$X$120=0,DP83+逐级计算!$C$120,DP83+逐级计算!$C$120-(10/(逐级计算!$Q$120*LN(10))*(MAX((LN(10^(逐级计算!$Q$120/10)-1)+逐级计算!$Q$120*(DP83-逐级计算!$P$120)*LN(10)/10),0)+LN(1+EXP(-ABS((LN(10^(逐级计算!$Q$120/10)-1)+逐级计算!$Q$120*(DP83-逐级计算!$P$120)*LN(10)/10))))))),"")</f>
        <v>13.7930365742089</v>
      </c>
      <c r="DR83">
        <f>IF(AND(ISNUMBER(DQ83),逐级计算!$X$121&gt;-1),IF(逐级计算!$X$121=0,DQ83+逐级计算!$C$121,DQ83+逐级计算!$C$121-(10/(逐级计算!$Q$121*LN(10))*(MAX((LN(10^(逐级计算!$Q$121/10)-1)+逐级计算!$Q$121*(DQ83-逐级计算!$P$121)*LN(10)/10),0)+LN(1+EXP(-ABS((LN(10^(逐级计算!$Q$121/10)-1)+逐级计算!$Q$121*(DQ83-逐级计算!$P$121)*LN(10)/10))))))),"")</f>
        <v>13.7930365742089</v>
      </c>
      <c r="DS83">
        <f>IF(AND(ISNUMBER(DR83),逐级计算!$X$122&gt;-1),IF(逐级计算!$X$122=0,DR83+逐级计算!$C$122,DR83+逐级计算!$C$122-(10/(逐级计算!$Q$122*LN(10))*(MAX((LN(10^(逐级计算!$Q$122/10)-1)+逐级计算!$Q$122*(DR83-逐级计算!$P$122)*LN(10)/10),0)+LN(1+EXP(-ABS((LN(10^(逐级计算!$Q$122/10)-1)+逐级计算!$Q$122*(DR83-逐级计算!$P$122)*LN(10)/10))))))),"")</f>
        <v>13.7930365742089</v>
      </c>
      <c r="DT83">
        <f>IF(AND(ISNUMBER(DS83),逐级计算!$X$123&gt;-1),IF(逐级计算!$X$123=0,DS83+逐级计算!$C$123,DS83+逐级计算!$C$123-(10/(逐级计算!$Q$123*LN(10))*(MAX((LN(10^(逐级计算!$Q$123/10)-1)+逐级计算!$Q$123*(DS83-逐级计算!$P$123)*LN(10)/10),0)+LN(1+EXP(-ABS((LN(10^(逐级计算!$Q$123/10)-1)+逐级计算!$Q$123*(DS83-逐级计算!$P$123)*LN(10)/10))))))),"")</f>
        <v>13.7930365742089</v>
      </c>
      <c r="DU83">
        <f>IF(AND(ISNUMBER(DT83),逐级计算!$X$124&gt;-1),IF(逐级计算!$X$124=0,DT83+逐级计算!$C$124,DT83+逐级计算!$C$124-(10/(逐级计算!$Q$124*LN(10))*(MAX((LN(10^(逐级计算!$Q$124/10)-1)+逐级计算!$Q$124*(DT83-逐级计算!$P$124)*LN(10)/10),0)+LN(1+EXP(-ABS((LN(10^(逐级计算!$Q$124/10)-1)+逐级计算!$Q$124*(DT83-逐级计算!$P$124)*LN(10)/10))))))),"")</f>
        <v>13.7930365742089</v>
      </c>
      <c r="DV83">
        <f>IF(AND(ISNUMBER(DU83),逐级计算!$X$125&gt;-1),IF(逐级计算!$X$125=0,DU83+逐级计算!$C$125,DU83+逐级计算!$C$125-(10/(逐级计算!$Q$125*LN(10))*(MAX((LN(10^(逐级计算!$Q$125/10)-1)+逐级计算!$Q$125*(DU83-逐级计算!$P$125)*LN(10)/10),0)+LN(1+EXP(-ABS((LN(10^(逐级计算!$Q$125/10)-1)+逐级计算!$Q$125*(DU83-逐级计算!$P$125)*LN(10)/10))))))),"")</f>
        <v>13.7930365742089</v>
      </c>
      <c r="DW83">
        <f>IF(AND(ISNUMBER(DV83),逐级计算!$X$126&gt;-1),IF(逐级计算!$X$126=0,DV83+逐级计算!$C$126,DV83+逐级计算!$C$126-(10/(逐级计算!$Q$126*LN(10))*(MAX((LN(10^(逐级计算!$Q$126/10)-1)+逐级计算!$Q$126*(DV83-逐级计算!$P$126)*LN(10)/10),0)+LN(1+EXP(-ABS((LN(10^(逐级计算!$Q$126/10)-1)+逐级计算!$Q$126*(DV83-逐级计算!$P$126)*LN(10)/10))))))),"")</f>
        <v>13.7930365742089</v>
      </c>
      <c r="DX83">
        <f>IF(AND(ISNUMBER(DW83),逐级计算!$X$127&gt;-1),IF(逐级计算!$X$127=0,DW83+逐级计算!$C$127,DW83+逐级计算!$C$127-(10/(逐级计算!$Q$127*LN(10))*(MAX((LN(10^(逐级计算!$Q$127/10)-1)+逐级计算!$Q$127*(DW83-逐级计算!$P$127)*LN(10)/10),0)+LN(1+EXP(-ABS((LN(10^(逐级计算!$Q$127/10)-1)+逐级计算!$Q$127*(DW83-逐级计算!$P$127)*LN(10)/10))))))),"")</f>
        <v>13.7930365742089</v>
      </c>
      <c r="DY83">
        <f>IF(AND(ISNUMBER(DX83),逐级计算!$X$128&gt;-1),IF(逐级计算!$X$128=0,DX83+逐级计算!$C$128,DX83+逐级计算!$C$128-(10/(逐级计算!$Q$128*LN(10))*(MAX((LN(10^(逐级计算!$Q$128/10)-1)+逐级计算!$Q$128*(DX83-逐级计算!$P$128)*LN(10)/10),0)+LN(1+EXP(-ABS((LN(10^(逐级计算!$Q$128/10)-1)+逐级计算!$Q$128*(DX83-逐级计算!$P$128)*LN(10)/10))))))),"")</f>
        <v>13.7930365742089</v>
      </c>
      <c r="DZ83">
        <f>IF(AND(ISNUMBER(DY83),逐级计算!$X$129&gt;-1),IF(逐级计算!$X$129=0,DY83+逐级计算!$C$129,DY83+逐级计算!$C$129-(10/(逐级计算!$Q$129*LN(10))*(MAX((LN(10^(逐级计算!$Q$129/10)-1)+逐级计算!$Q$129*(DY83-逐级计算!$P$129)*LN(10)/10),0)+LN(1+EXP(-ABS((LN(10^(逐级计算!$Q$129/10)-1)+逐级计算!$Q$129*(DY83-逐级计算!$P$129)*LN(10)/10))))))),"")</f>
        <v>13.7930365742089</v>
      </c>
      <c r="EA83">
        <f>IF(AND(ISNUMBER(DZ83),逐级计算!$X$130&gt;-1),IF(逐级计算!$X$130=0,DZ83+逐级计算!$C$130,DZ83+逐级计算!$C$130-(10/(逐级计算!$Q$130*LN(10))*(MAX((LN(10^(逐级计算!$Q$130/10)-1)+逐级计算!$Q$130*(DZ83-逐级计算!$P$130)*LN(10)/10),0)+LN(1+EXP(-ABS((LN(10^(逐级计算!$Q$130/10)-1)+逐级计算!$Q$130*(DZ83-逐级计算!$P$130)*LN(10)/10))))))),"")</f>
        <v>13.7930365742089</v>
      </c>
      <c r="EB83">
        <f>IF(AND(ISNUMBER(EA83),逐级计算!$X$131&gt;-1),IF(逐级计算!$X$131=0,EA83+逐级计算!$C$131,EA83+逐级计算!$C$131-(10/(逐级计算!$Q$131*LN(10))*(MAX((LN(10^(逐级计算!$Q$131/10)-1)+逐级计算!$Q$131*(EA83-逐级计算!$P$131)*LN(10)/10),0)+LN(1+EXP(-ABS((LN(10^(逐级计算!$Q$131/10)-1)+逐级计算!$Q$131*(EA83-逐级计算!$P$131)*LN(10)/10))))))),"")</f>
        <v>13.7930365742089</v>
      </c>
      <c r="EC83">
        <f>IF(AND(ISNUMBER(EB83),逐级计算!$X$132&gt;-1),IF(逐级计算!$X$132=0,EB83+逐级计算!$C$132,EB83+逐级计算!$C$132-(10/(逐级计算!$Q$132*LN(10))*(MAX((LN(10^(逐级计算!$Q$132/10)-1)+逐级计算!$Q$132*(EB83-逐级计算!$P$132)*LN(10)/10),0)+LN(1+EXP(-ABS((LN(10^(逐级计算!$Q$132/10)-1)+逐级计算!$Q$132*(EB83-逐级计算!$P$132)*LN(10)/10))))))),"")</f>
        <v>13.7930365742089</v>
      </c>
      <c r="ED83">
        <f>IF(AND(ISNUMBER(EC83),逐级计算!$X$133&gt;-1),IF(逐级计算!$X$133=0,EC83+逐级计算!$C$133,EC83+逐级计算!$C$133-(10/(逐级计算!$Q$133*LN(10))*(MAX((LN(10^(逐级计算!$Q$133/10)-1)+逐级计算!$Q$133*(EC83-逐级计算!$P$133)*LN(10)/10),0)+LN(1+EXP(-ABS((LN(10^(逐级计算!$Q$133/10)-1)+逐级计算!$Q$133*(EC83-逐级计算!$P$133)*LN(10)/10))))))),"")</f>
        <v>13.7930365742089</v>
      </c>
      <c r="EE83">
        <f>IF(AND(ISNUMBER(ED83),逐级计算!$X$134&gt;-1),IF(逐级计算!$X$134=0,ED83+逐级计算!$C$134,ED83+逐级计算!$C$134-(10/(逐级计算!$Q$134*LN(10))*(MAX((LN(10^(逐级计算!$Q$134/10)-1)+逐级计算!$Q$134*(ED83-逐级计算!$P$134)*LN(10)/10),0)+LN(1+EXP(-ABS((LN(10^(逐级计算!$Q$134/10)-1)+逐级计算!$Q$134*(ED83-逐级计算!$P$134)*LN(10)/10))))))),"")</f>
        <v>13.7930365742089</v>
      </c>
      <c r="EF83">
        <f>IF(AND(ISNUMBER(EE83),逐级计算!$X$135&gt;-1),IF(逐级计算!$X$135=0,EE83+逐级计算!$C$135,EE83+逐级计算!$C$135-(10/(逐级计算!$Q$135*LN(10))*(MAX((LN(10^(逐级计算!$Q$135/10)-1)+逐级计算!$Q$135*(EE83-逐级计算!$P$135)*LN(10)/10),0)+LN(1+EXP(-ABS((LN(10^(逐级计算!$Q$135/10)-1)+逐级计算!$Q$135*(EE83-逐级计算!$P$135)*LN(10)/10))))))),"")</f>
        <v>13.7930365742089</v>
      </c>
      <c r="EG83">
        <f>IF(AND(ISNUMBER(EF83),逐级计算!$X$136&gt;-1),IF(逐级计算!$X$136=0,EF83+逐级计算!$C$136,EF83+逐级计算!$C$136-(10/(逐级计算!$Q$136*LN(10))*(MAX((LN(10^(逐级计算!$Q$136/10)-1)+逐级计算!$Q$136*(EF83-逐级计算!$P$136)*LN(10)/10),0)+LN(1+EXP(-ABS((LN(10^(逐级计算!$Q$136/10)-1)+逐级计算!$Q$136*(EF83-逐级计算!$P$136)*LN(10)/10))))))),"")</f>
        <v>13.7930365742089</v>
      </c>
      <c r="EH83">
        <f>IF(AND(ISNUMBER(EG83),逐级计算!$X$137&gt;-1),IF(逐级计算!$X$137=0,EG83+逐级计算!$C$137,EG83+逐级计算!$C$137-(10/(逐级计算!$Q$137*LN(10))*(MAX((LN(10^(逐级计算!$Q$137/10)-1)+逐级计算!$Q$137*(EG83-逐级计算!$P$137)*LN(10)/10),0)+LN(1+EXP(-ABS((LN(10^(逐级计算!$Q$137/10)-1)+逐级计算!$Q$137*(EG83-逐级计算!$P$137)*LN(10)/10))))))),"")</f>
        <v>13.7930365742089</v>
      </c>
      <c r="EI83">
        <f>IF(AND(ISNUMBER(EH83),逐级计算!$X$138&gt;-1),IF(逐级计算!$X$138=0,EH83+逐级计算!$C$138,EH83+逐级计算!$C$138-(10/(逐级计算!$Q$138*LN(10))*(MAX((LN(10^(逐级计算!$Q$138/10)-1)+逐级计算!$Q$138*(EH83-逐级计算!$P$138)*LN(10)/10),0)+LN(1+EXP(-ABS((LN(10^(逐级计算!$Q$138/10)-1)+逐级计算!$Q$138*(EH83-逐级计算!$P$138)*LN(10)/10))))))),"")</f>
        <v>13.7930365742089</v>
      </c>
      <c r="EJ83">
        <f>IF(AND(ISNUMBER(EI83),逐级计算!$X$139&gt;-1),IF(逐级计算!$X$139=0,EI83+逐级计算!$C$139,EI83+逐级计算!$C$139-(10/(逐级计算!$Q$139*LN(10))*(MAX((LN(10^(逐级计算!$Q$139/10)-1)+逐级计算!$Q$139*(EI83-逐级计算!$P$139)*LN(10)/10),0)+LN(1+EXP(-ABS((LN(10^(逐级计算!$Q$139/10)-1)+逐级计算!$Q$139*(EI83-逐级计算!$P$139)*LN(10)/10))))))),"")</f>
        <v>13.7930365742089</v>
      </c>
      <c r="EK83">
        <f>IF(AND(ISNUMBER(EJ83),逐级计算!$X$140&gt;-1),IF(逐级计算!$X$140=0,EJ83+逐级计算!$C$140,EJ83+逐级计算!$C$140-(10/(逐级计算!$Q$140*LN(10))*(MAX((LN(10^(逐级计算!$Q$140/10)-1)+逐级计算!$Q$140*(EJ83-逐级计算!$P$140)*LN(10)/10),0)+LN(1+EXP(-ABS((LN(10^(逐级计算!$Q$140/10)-1)+逐级计算!$Q$140*(EJ83-逐级计算!$P$140)*LN(10)/10))))))),"")</f>
        <v>13.7930365742089</v>
      </c>
      <c r="EL83">
        <f>IF(AND(ISNUMBER(EK83),逐级计算!$X$141&gt;-1),IF(逐级计算!$X$141=0,EK83+逐级计算!$C$141,EK83+逐级计算!$C$141-(10/(逐级计算!$Q$141*LN(10))*(MAX((LN(10^(逐级计算!$Q$141/10)-1)+逐级计算!$Q$141*(EK83-逐级计算!$P$141)*LN(10)/10),0)+LN(1+EXP(-ABS((LN(10^(逐级计算!$Q$141/10)-1)+逐级计算!$Q$141*(EK83-逐级计算!$P$141)*LN(10)/10))))))),"")</f>
        <v>13.7930365742089</v>
      </c>
      <c r="EM83">
        <f>IF(AND(ISNUMBER(EL83),逐级计算!$X$142&gt;-1),IF(逐级计算!$X$142=0,EL83+逐级计算!$C$142,EL83+逐级计算!$C$142-(10/(逐级计算!$Q$142*LN(10))*(MAX((LN(10^(逐级计算!$Q$142/10)-1)+逐级计算!$Q$142*(EL83-逐级计算!$P$142)*LN(10)/10),0)+LN(1+EXP(-ABS((LN(10^(逐级计算!$Q$142/10)-1)+逐级计算!$Q$142*(EL83-逐级计算!$P$142)*LN(10)/10))))))),"")</f>
        <v>13.7930365742089</v>
      </c>
      <c r="EN83">
        <f>IF(AND(ISNUMBER(EM83),逐级计算!$X$143&gt;-1),IF(逐级计算!$X$143=0,EM83+逐级计算!$C$143,EM83+逐级计算!$C$143-(10/(逐级计算!$Q$143*LN(10))*(MAX((LN(10^(逐级计算!$Q$143/10)-1)+逐级计算!$Q$143*(EM83-逐级计算!$P$143)*LN(10)/10),0)+LN(1+EXP(-ABS((LN(10^(逐级计算!$Q$143/10)-1)+逐级计算!$Q$143*(EM83-逐级计算!$P$143)*LN(10)/10))))))),"")</f>
        <v>13.7930365742089</v>
      </c>
      <c r="EO83">
        <f>IF(AND(ISNUMBER(EN83),逐级计算!$X$144&gt;-1),IF(逐级计算!$X$144=0,EN83+逐级计算!$C$144,EN83+逐级计算!$C$144-(10/(逐级计算!$Q$144*LN(10))*(MAX((LN(10^(逐级计算!$Q$144/10)-1)+逐级计算!$Q$144*(EN83-逐级计算!$P$144)*LN(10)/10),0)+LN(1+EXP(-ABS((LN(10^(逐级计算!$Q$144/10)-1)+逐级计算!$Q$144*(EN83-逐级计算!$P$144)*LN(10)/10))))))),"")</f>
        <v>13.7930365742089</v>
      </c>
      <c r="EP83">
        <f>IF(AND(ISNUMBER(EO83),逐级计算!$X$145&gt;-1),IF(逐级计算!$X$145=0,EO83+逐级计算!$C$145,EO83+逐级计算!$C$145-(10/(逐级计算!$Q$145*LN(10))*(MAX((LN(10^(逐级计算!$Q$145/10)-1)+逐级计算!$Q$145*(EO83-逐级计算!$P$145)*LN(10)/10),0)+LN(1+EXP(-ABS((LN(10^(逐级计算!$Q$145/10)-1)+逐级计算!$Q$145*(EO83-逐级计算!$P$145)*LN(10)/10))))))),"")</f>
        <v>13.7930365742089</v>
      </c>
      <c r="EQ83">
        <f>IF(AND(ISNUMBER(EP83),逐级计算!$X$146&gt;-1),IF(逐级计算!$X$146=0,EP83+逐级计算!$C$146,EP83+逐级计算!$C$146-(10/(逐级计算!$Q$146*LN(10))*(MAX((LN(10^(逐级计算!$Q$146/10)-1)+逐级计算!$Q$146*(EP83-逐级计算!$P$146)*LN(10)/10),0)+LN(1+EXP(-ABS((LN(10^(逐级计算!$Q$146/10)-1)+逐级计算!$Q$146*(EP83-逐级计算!$P$146)*LN(10)/10))))))),"")</f>
        <v>13.7930365742089</v>
      </c>
      <c r="ER83">
        <f>IF(AND(ISNUMBER(EQ83),逐级计算!$X$147&gt;-1),IF(逐级计算!$X$147=0,EQ83+逐级计算!$C$147,EQ83+逐级计算!$C$147-(10/(逐级计算!$Q$147*LN(10))*(MAX((LN(10^(逐级计算!$Q$147/10)-1)+逐级计算!$Q$147*(EQ83-逐级计算!$P$147)*LN(10)/10),0)+LN(1+EXP(-ABS((LN(10^(逐级计算!$Q$147/10)-1)+逐级计算!$Q$147*(EQ83-逐级计算!$P$147)*LN(10)/10))))))),"")</f>
        <v>13.7930365742089</v>
      </c>
      <c r="ES83">
        <f>IF(AND(ISNUMBER(ER83),逐级计算!$X$148&gt;-1),IF(逐级计算!$X$148=0,ER83+逐级计算!$C$148,ER83+逐级计算!$C$148-(10/(逐级计算!$Q$148*LN(10))*(MAX((LN(10^(逐级计算!$Q$148/10)-1)+逐级计算!$Q$148*(ER83-逐级计算!$P$148)*LN(10)/10),0)+LN(1+EXP(-ABS((LN(10^(逐级计算!$Q$148/10)-1)+逐级计算!$Q$148*(ER83-逐级计算!$P$148)*LN(10)/10))))))),"")</f>
        <v>13.7930365742089</v>
      </c>
      <c r="ET83">
        <f>IF(AND(ISNUMBER(ES83),逐级计算!$X$149&gt;-1),IF(逐级计算!$X$149=0,ES83+逐级计算!$C$149,ES83+逐级计算!$C$149-(10/(逐级计算!$Q$149*LN(10))*(MAX((LN(10^(逐级计算!$Q$149/10)-1)+逐级计算!$Q$149*(ES83-逐级计算!$P$149)*LN(10)/10),0)+LN(1+EXP(-ABS((LN(10^(逐级计算!$Q$149/10)-1)+逐级计算!$Q$149*(ES83-逐级计算!$P$149)*LN(10)/10))))))),"")</f>
        <v>13.7930365742089</v>
      </c>
      <c r="EU83">
        <f>IF(AND(ISNUMBER(ET83),逐级计算!$X$150&gt;-1),IF(逐级计算!$X$150=0,ET83+逐级计算!$C$150,ET83+逐级计算!$C$150-(10/(逐级计算!$Q$150*LN(10))*(MAX((LN(10^(逐级计算!$Q$150/10)-1)+逐级计算!$Q$150*(ET83-逐级计算!$P$150)*LN(10)/10),0)+LN(1+EXP(-ABS((LN(10^(逐级计算!$Q$150/10)-1)+逐级计算!$Q$150*(ET83-逐级计算!$P$150)*LN(10)/10))))))),"")</f>
        <v>13.7930365742089</v>
      </c>
      <c r="EV83">
        <f>IF(AND(ISNUMBER(EU83),逐级计算!$X$151&gt;-1),IF(逐级计算!$X$151=0,EU83+逐级计算!$C$151,EU83+逐级计算!$C$151-(10/(逐级计算!$Q$151*LN(10))*(MAX((LN(10^(逐级计算!$Q$151/10)-1)+逐级计算!$Q$151*(EU83-逐级计算!$P$151)*LN(10)/10),0)+LN(1+EXP(-ABS((LN(10^(逐级计算!$Q$151/10)-1)+逐级计算!$Q$151*(EU83-逐级计算!$P$151)*LN(10)/10))))))),"")</f>
        <v>13.7930365742089</v>
      </c>
      <c r="EW83">
        <f>IF(AND(ISNUMBER(EV83),逐级计算!$X$152&gt;-1),IF(逐级计算!$X$152=0,EV83+逐级计算!$C$152,EV83+逐级计算!$C$152-(10/(逐级计算!$Q$152*LN(10))*(MAX((LN(10^(逐级计算!$Q$152/10)-1)+逐级计算!$Q$152*(EV83-逐级计算!$P$152)*LN(10)/10),0)+LN(1+EXP(-ABS((LN(10^(逐级计算!$Q$152/10)-1)+逐级计算!$Q$152*(EV83-逐级计算!$P$152)*LN(10)/10))))))),"")</f>
        <v>13.7930365742089</v>
      </c>
      <c r="EX83">
        <f>IF(AND(ISNUMBER(EW83),逐级计算!$X$153&gt;-1),IF(逐级计算!$X$153=0,EW83+逐级计算!$C$153,EW83+逐级计算!$C$153-(10/(逐级计算!$Q$153*LN(10))*(MAX((LN(10^(逐级计算!$Q$153/10)-1)+逐级计算!$Q$153*(EW83-逐级计算!$P$153)*LN(10)/10),0)+LN(1+EXP(-ABS((LN(10^(逐级计算!$Q$153/10)-1)+逐级计算!$Q$153*(EW83-逐级计算!$P$153)*LN(10)/10))))))),"")</f>
        <v>13.7930365742089</v>
      </c>
      <c r="EY83">
        <f>IF(AND(ISNUMBER(EX83),逐级计算!$X$154&gt;-1),IF(逐级计算!$X$154=0,EX83+逐级计算!$C$154,EX83+逐级计算!$C$154-(10/(逐级计算!$Q$154*LN(10))*(MAX((LN(10^(逐级计算!$Q$154/10)-1)+逐级计算!$Q$154*(EX83-逐级计算!$P$154)*LN(10)/10),0)+LN(1+EXP(-ABS((LN(10^(逐级计算!$Q$154/10)-1)+逐级计算!$Q$154*(EX83-逐级计算!$P$154)*LN(10)/10))))))),"")</f>
        <v>13.7930365742089</v>
      </c>
      <c r="EZ83">
        <f>IF(AND(ISNUMBER(EY83),逐级计算!$X$155&gt;-1),IF(逐级计算!$X$155=0,EY83+逐级计算!$C$155,EY83+逐级计算!$C$155-(10/(逐级计算!$Q$155*LN(10))*(MAX((LN(10^(逐级计算!$Q$155/10)-1)+逐级计算!$Q$155*(EY83-逐级计算!$P$155)*LN(10)/10),0)+LN(1+EXP(-ABS((LN(10^(逐级计算!$Q$155/10)-1)+逐级计算!$Q$155*(EY83-逐级计算!$P$155)*LN(10)/10))))))),"")</f>
        <v>13.7930365742089</v>
      </c>
      <c r="FA83">
        <f>IF(AND(ISNUMBER(EZ83),逐级计算!$X$156&gt;-1),IF(逐级计算!$X$156=0,EZ83+逐级计算!$C$156,EZ83+逐级计算!$C$156-(10/(逐级计算!$Q$156*LN(10))*(MAX((LN(10^(逐级计算!$Q$156/10)-1)+逐级计算!$Q$156*(EZ83-逐级计算!$P$156)*LN(10)/10),0)+LN(1+EXP(-ABS((LN(10^(逐级计算!$Q$156/10)-1)+逐级计算!$Q$156*(EZ83-逐级计算!$P$156)*LN(10)/10))))))),"")</f>
        <v>13.7930365742089</v>
      </c>
      <c r="FB83">
        <f>IF(AND(ISNUMBER(FA83),逐级计算!$X$157&gt;-1),IF(逐级计算!$X$157=0,FA83+逐级计算!$C$157,FA83+逐级计算!$C$157-(10/(逐级计算!$Q$157*LN(10))*(MAX((LN(10^(逐级计算!$Q$157/10)-1)+逐级计算!$Q$157*(FA83-逐级计算!$P$157)*LN(10)/10),0)+LN(1+EXP(-ABS((LN(10^(逐级计算!$Q$157/10)-1)+逐级计算!$Q$157*(FA83-逐级计算!$P$157)*LN(10)/10))))))),"")</f>
        <v>13.7930365742089</v>
      </c>
      <c r="FC83">
        <f>IF(AND(ISNUMBER(FB83),逐级计算!$X$158&gt;-1),IF(逐级计算!$X$158=0,FB83+逐级计算!$C$158,FB83+逐级计算!$C$158-(10/(逐级计算!$Q$158*LN(10))*(MAX((LN(10^(逐级计算!$Q$158/10)-1)+逐级计算!$Q$158*(FB83-逐级计算!$P$158)*LN(10)/10),0)+LN(1+EXP(-ABS((LN(10^(逐级计算!$Q$158/10)-1)+逐级计算!$Q$158*(FB83-逐级计算!$P$158)*LN(10)/10))))))),"")</f>
        <v>13.7930365742089</v>
      </c>
      <c r="FD83">
        <f>IF(AND(ISNUMBER(FC83),逐级计算!$X$159&gt;-1),IF(逐级计算!$X$159=0,FC83+逐级计算!$C$159,FC83+逐级计算!$C$159-(10/(逐级计算!$Q$159*LN(10))*(MAX((LN(10^(逐级计算!$Q$159/10)-1)+逐级计算!$Q$159*(FC83-逐级计算!$P$159)*LN(10)/10),0)+LN(1+EXP(-ABS((LN(10^(逐级计算!$Q$159/10)-1)+逐级计算!$Q$159*(FC83-逐级计算!$P$159)*LN(10)/10))))))),"")</f>
        <v>13.7930365742089</v>
      </c>
      <c r="FE83">
        <f>IF(AND(ISNUMBER(FD83),逐级计算!$X$160&gt;-1),IF(逐级计算!$X$160=0,FD83+逐级计算!$C$160,FD83+逐级计算!$C$160-(10/(逐级计算!$Q$160*LN(10))*(MAX((LN(10^(逐级计算!$Q$160/10)-1)+逐级计算!$Q$160*(FD83-逐级计算!$P$160)*LN(10)/10),0)+LN(1+EXP(-ABS((LN(10^(逐级计算!$Q$160/10)-1)+逐级计算!$Q$160*(FD83-逐级计算!$P$160)*LN(10)/10))))))),"")</f>
        <v>13.7930365742089</v>
      </c>
      <c r="FF83">
        <f>IF(AND(ISNUMBER(FE83),逐级计算!$X$161&gt;-1),IF(逐级计算!$X$161=0,FE83+逐级计算!$C$161,FE83+逐级计算!$C$161-(10/(逐级计算!$Q$161*LN(10))*(MAX((LN(10^(逐级计算!$Q$161/10)-1)+逐级计算!$Q$161*(FE83-逐级计算!$P$161)*LN(10)/10),0)+LN(1+EXP(-ABS((LN(10^(逐级计算!$Q$161/10)-1)+逐级计算!$Q$161*(FE83-逐级计算!$P$161)*LN(10)/10))))))),"")</f>
        <v>13.7930365742089</v>
      </c>
      <c r="FG83">
        <f>IF(AND(ISNUMBER(FF83),逐级计算!$X$162&gt;-1),IF(逐级计算!$X$162=0,FF83+逐级计算!$C$162,FF83+逐级计算!$C$162-(10/(逐级计算!$Q$162*LN(10))*(MAX((LN(10^(逐级计算!$Q$162/10)-1)+逐级计算!$Q$162*(FF83-逐级计算!$P$162)*LN(10)/10),0)+LN(1+EXP(-ABS((LN(10^(逐级计算!$Q$162/10)-1)+逐级计算!$Q$162*(FF83-逐级计算!$P$162)*LN(10)/10))))))),"")</f>
        <v>13.7930365742089</v>
      </c>
      <c r="FH83">
        <f>IF(AND(ISNUMBER(FG83),逐级计算!$X$163&gt;-1),IF(逐级计算!$X$163=0,FG83+逐级计算!$C$163,FG83+逐级计算!$C$163-(10/(逐级计算!$Q$163*LN(10))*(MAX((LN(10^(逐级计算!$Q$163/10)-1)+逐级计算!$Q$163*(FG83-逐级计算!$P$163)*LN(10)/10),0)+LN(1+EXP(-ABS((LN(10^(逐级计算!$Q$163/10)-1)+逐级计算!$Q$163*(FG83-逐级计算!$P$163)*LN(10)/10))))))),"")</f>
        <v>13.7930365742089</v>
      </c>
      <c r="FI83">
        <f>IF(AND(ISNUMBER(FH83),逐级计算!$X$164&gt;-1),IF(逐级计算!$X$164=0,FH83+逐级计算!$C$164,FH83+逐级计算!$C$164-(10/(逐级计算!$Q$164*LN(10))*(MAX((LN(10^(逐级计算!$Q$164/10)-1)+逐级计算!$Q$164*(FH83-逐级计算!$P$164)*LN(10)/10),0)+LN(1+EXP(-ABS((LN(10^(逐级计算!$Q$164/10)-1)+逐级计算!$Q$164*(FH83-逐级计算!$P$164)*LN(10)/10))))))),"")</f>
        <v>13.7930365742089</v>
      </c>
      <c r="FJ83">
        <f>IF(AND(ISNUMBER(FI83),逐级计算!$X$165&gt;-1),IF(逐级计算!$X$165=0,FI83+逐级计算!$C$165,FI83+逐级计算!$C$165-(10/(逐级计算!$Q$165*LN(10))*(MAX((LN(10^(逐级计算!$Q$165/10)-1)+逐级计算!$Q$165*(FI83-逐级计算!$P$165)*LN(10)/10),0)+LN(1+EXP(-ABS((LN(10^(逐级计算!$Q$165/10)-1)+逐级计算!$Q$165*(FI83-逐级计算!$P$165)*LN(10)/10))))))),"")</f>
        <v>13.7930365742089</v>
      </c>
      <c r="FK83">
        <f>IF(AND(ISNUMBER(FJ83),逐级计算!$X$166&gt;-1),IF(逐级计算!$X$166=0,FJ83+逐级计算!$C$166,FJ83+逐级计算!$C$166-(10/(逐级计算!$Q$166*LN(10))*(MAX((LN(10^(逐级计算!$Q$166/10)-1)+逐级计算!$Q$166*(FJ83-逐级计算!$P$166)*LN(10)/10),0)+LN(1+EXP(-ABS((LN(10^(逐级计算!$Q$166/10)-1)+逐级计算!$Q$166*(FJ83-逐级计算!$P$166)*LN(10)/10))))))),"")</f>
        <v>13.7930365742089</v>
      </c>
      <c r="FL83">
        <f>IF(AND(ISNUMBER(FK83),逐级计算!$X$167&gt;-1),IF(逐级计算!$X$167=0,FK83+逐级计算!$C$167,FK83+逐级计算!$C$167-(10/(逐级计算!$Q$167*LN(10))*(MAX((LN(10^(逐级计算!$Q$167/10)-1)+逐级计算!$Q$167*(FK83-逐级计算!$P$167)*LN(10)/10),0)+LN(1+EXP(-ABS((LN(10^(逐级计算!$Q$167/10)-1)+逐级计算!$Q$167*(FK83-逐级计算!$P$167)*LN(10)/10))))))),"")</f>
        <v>13.7930365742089</v>
      </c>
      <c r="FM83">
        <f>IF(AND(ISNUMBER(FL83),逐级计算!$X$168&gt;-1),IF(逐级计算!$X$168=0,FL83+逐级计算!$C$168,FL83+逐级计算!$C$168-(10/(逐级计算!$Q$168*LN(10))*(MAX((LN(10^(逐级计算!$Q$168/10)-1)+逐级计算!$Q$168*(FL83-逐级计算!$P$168)*LN(10)/10),0)+LN(1+EXP(-ABS((LN(10^(逐级计算!$Q$168/10)-1)+逐级计算!$Q$168*(FL83-逐级计算!$P$168)*LN(10)/10))))))),"")</f>
        <v>13.7930365742089</v>
      </c>
      <c r="FN83">
        <f>IF(AND(ISNUMBER(FM83),逐级计算!$X$169&gt;-1),IF(逐级计算!$X$169=0,FM83+逐级计算!$C$169,FM83+逐级计算!$C$169-(10/(逐级计算!$Q$169*LN(10))*(MAX((LN(10^(逐级计算!$Q$169/10)-1)+逐级计算!$Q$169*(FM83-逐级计算!$P$169)*LN(10)/10),0)+LN(1+EXP(-ABS((LN(10^(逐级计算!$Q$169/10)-1)+逐级计算!$Q$169*(FM83-逐级计算!$P$169)*LN(10)/10))))))),"")</f>
        <v>13.7930365742089</v>
      </c>
      <c r="FO83">
        <f>IF(AND(ISNUMBER(FN83),逐级计算!$X$170&gt;-1),IF(逐级计算!$X$170=0,FN83+逐级计算!$C$170,FN83+逐级计算!$C$170-(10/(逐级计算!$Q$170*LN(10))*(MAX((LN(10^(逐级计算!$Q$170/10)-1)+逐级计算!$Q$170*(FN83-逐级计算!$P$170)*LN(10)/10),0)+LN(1+EXP(-ABS((LN(10^(逐级计算!$Q$170/10)-1)+逐级计算!$Q$170*(FN83-逐级计算!$P$170)*LN(10)/10))))))),"")</f>
        <v>13.7930365742089</v>
      </c>
      <c r="FP83">
        <f>IF(AND(ISNUMBER(FO83),逐级计算!$X$171&gt;-1),IF(逐级计算!$X$171=0,FO83+逐级计算!$C$171,FO83+逐级计算!$C$171-(10/(逐级计算!$Q$171*LN(10))*(MAX((LN(10^(逐级计算!$Q$171/10)-1)+逐级计算!$Q$171*(FO83-逐级计算!$P$171)*LN(10)/10),0)+LN(1+EXP(-ABS((LN(10^(逐级计算!$Q$171/10)-1)+逐级计算!$Q$171*(FO83-逐级计算!$P$171)*LN(10)/10))))))),"")</f>
        <v>13.7930365742089</v>
      </c>
      <c r="FQ83">
        <f>IF(AND(ISNUMBER(FP83),逐级计算!$X$172&gt;-1),IF(逐级计算!$X$172=0,FP83+逐级计算!$C$172,FP83+逐级计算!$C$172-(10/(逐级计算!$Q$172*LN(10))*(MAX((LN(10^(逐级计算!$Q$172/10)-1)+逐级计算!$Q$172*(FP83-逐级计算!$P$172)*LN(10)/10),0)+LN(1+EXP(-ABS((LN(10^(逐级计算!$Q$172/10)-1)+逐级计算!$Q$172*(FP83-逐级计算!$P$172)*LN(10)/10))))))),"")</f>
        <v>13.7930365742089</v>
      </c>
      <c r="FR83">
        <f>IF(AND(ISNUMBER(FQ83),逐级计算!$X$173&gt;-1),IF(逐级计算!$X$173=0,FQ83+逐级计算!$C$173,FQ83+逐级计算!$C$173-(10/(逐级计算!$Q$173*LN(10))*(MAX((LN(10^(逐级计算!$Q$173/10)-1)+逐级计算!$Q$173*(FQ83-逐级计算!$P$173)*LN(10)/10),0)+LN(1+EXP(-ABS((LN(10^(逐级计算!$Q$173/10)-1)+逐级计算!$Q$173*(FQ83-逐级计算!$P$173)*LN(10)/10))))))),"")</f>
        <v>13.7930365742089</v>
      </c>
      <c r="FS83">
        <f>IF(AND(ISNUMBER(FR83),逐级计算!$X$174&gt;-1),IF(逐级计算!$X$174=0,FR83+逐级计算!$C$174,FR83+逐级计算!$C$174-(10/(逐级计算!$Q$174*LN(10))*(MAX((LN(10^(逐级计算!$Q$174/10)-1)+逐级计算!$Q$174*(FR83-逐级计算!$P$174)*LN(10)/10),0)+LN(1+EXP(-ABS((LN(10^(逐级计算!$Q$174/10)-1)+逐级计算!$Q$174*(FR83-逐级计算!$P$174)*LN(10)/10))))))),"")</f>
        <v>13.7930365742089</v>
      </c>
      <c r="FT83">
        <f>IF(AND(ISNUMBER(FS83),逐级计算!$X$175&gt;-1),IF(逐级计算!$X$175=0,FS83+逐级计算!$C$175,FS83+逐级计算!$C$175-(10/(逐级计算!$Q$175*LN(10))*(MAX((LN(10^(逐级计算!$Q$175/10)-1)+逐级计算!$Q$175*(FS83-逐级计算!$P$175)*LN(10)/10),0)+LN(1+EXP(-ABS((LN(10^(逐级计算!$Q$175/10)-1)+逐级计算!$Q$175*(FS83-逐级计算!$P$175)*LN(10)/10))))))),"")</f>
        <v>13.7930365742089</v>
      </c>
      <c r="FU83">
        <f>IF(AND(ISNUMBER(FT83),逐级计算!$X$176&gt;-1),IF(逐级计算!$X$176=0,FT83+逐级计算!$C$176,FT83+逐级计算!$C$176-(10/(逐级计算!$Q$176*LN(10))*(MAX((LN(10^(逐级计算!$Q$176/10)-1)+逐级计算!$Q$176*(FT83-逐级计算!$P$176)*LN(10)/10),0)+LN(1+EXP(-ABS((LN(10^(逐级计算!$Q$176/10)-1)+逐级计算!$Q$176*(FT83-逐级计算!$P$176)*LN(10)/10))))))),"")</f>
        <v>13.7930365742089</v>
      </c>
      <c r="FV83">
        <f>IF(AND(ISNUMBER(FU83),逐级计算!$X$177&gt;-1),IF(逐级计算!$X$177=0,FU83+逐级计算!$C$177,FU83+逐级计算!$C$177-(10/(逐级计算!$Q$177*LN(10))*(MAX((LN(10^(逐级计算!$Q$177/10)-1)+逐级计算!$Q$177*(FU83-逐级计算!$P$177)*LN(10)/10),0)+LN(1+EXP(-ABS((LN(10^(逐级计算!$Q$177/10)-1)+逐级计算!$Q$177*(FU83-逐级计算!$P$177)*LN(10)/10))))))),"")</f>
        <v>13.7930365742089</v>
      </c>
      <c r="FW83">
        <f>IF(AND(ISNUMBER(FV83),逐级计算!$X$178&gt;-1),IF(逐级计算!$X$178=0,FV83+逐级计算!$C$178,FV83+逐级计算!$C$178-(10/(逐级计算!$Q$178*LN(10))*(MAX((LN(10^(逐级计算!$Q$178/10)-1)+逐级计算!$Q$178*(FV83-逐级计算!$P$178)*LN(10)/10),0)+LN(1+EXP(-ABS((LN(10^(逐级计算!$Q$178/10)-1)+逐级计算!$Q$178*(FV83-逐级计算!$P$178)*LN(10)/10))))))),"")</f>
        <v>13.7930365742089</v>
      </c>
      <c r="FX83">
        <f>IF(AND(ISNUMBER(FW83),逐级计算!$X$179&gt;-1),IF(逐级计算!$X$179=0,FW83+逐级计算!$C$179,FW83+逐级计算!$C$179-(10/(逐级计算!$Q$179*LN(10))*(MAX((LN(10^(逐级计算!$Q$179/10)-1)+逐级计算!$Q$179*(FW83-逐级计算!$P$179)*LN(10)/10),0)+LN(1+EXP(-ABS((LN(10^(逐级计算!$Q$179/10)-1)+逐级计算!$Q$179*(FW83-逐级计算!$P$179)*LN(10)/10))))))),"")</f>
        <v>13.7930365742089</v>
      </c>
      <c r="FY83">
        <f>IF(AND(ISNUMBER(FX83),逐级计算!$X$180&gt;-1),IF(逐级计算!$X$180=0,FX83+逐级计算!$C$180,FX83+逐级计算!$C$180-(10/(逐级计算!$Q$180*LN(10))*(MAX((LN(10^(逐级计算!$Q$180/10)-1)+逐级计算!$Q$180*(FX83-逐级计算!$P$180)*LN(10)/10),0)+LN(1+EXP(-ABS((LN(10^(逐级计算!$Q$180/10)-1)+逐级计算!$Q$180*(FX83-逐级计算!$P$180)*LN(10)/10))))))),"")</f>
        <v>13.7930365742089</v>
      </c>
      <c r="FZ83">
        <f>IF(AND(ISNUMBER(FY83),逐级计算!$X$181&gt;-1),IF(逐级计算!$X$181=0,FY83+逐级计算!$C$181,FY83+逐级计算!$C$181-(10/(逐级计算!$Q$181*LN(10))*(MAX((LN(10^(逐级计算!$Q$181/10)-1)+逐级计算!$Q$181*(FY83-逐级计算!$P$181)*LN(10)/10),0)+LN(1+EXP(-ABS((LN(10^(逐级计算!$Q$181/10)-1)+逐级计算!$Q$181*(FY83-逐级计算!$P$181)*LN(10)/10))))))),"")</f>
        <v>13.7930365742089</v>
      </c>
      <c r="GA83">
        <f>IF(AND(ISNUMBER(FZ83),逐级计算!$X$182&gt;-1),IF(逐级计算!$X$182=0,FZ83+逐级计算!$C$182,FZ83+逐级计算!$C$182-(10/(逐级计算!$Q$182*LN(10))*(MAX((LN(10^(逐级计算!$Q$182/10)-1)+逐级计算!$Q$182*(FZ83-逐级计算!$P$182)*LN(10)/10),0)+LN(1+EXP(-ABS((LN(10^(逐级计算!$Q$182/10)-1)+逐级计算!$Q$182*(FZ83-逐级计算!$P$182)*LN(10)/10))))))),"")</f>
        <v>13.7930365742089</v>
      </c>
      <c r="GB83">
        <f>IF(AND(ISNUMBER(GA83),逐级计算!$X$183&gt;-1),IF(逐级计算!$X$183=0,GA83+逐级计算!$C$183,GA83+逐级计算!$C$183-(10/(逐级计算!$Q$183*LN(10))*(MAX((LN(10^(逐级计算!$Q$183/10)-1)+逐级计算!$Q$183*(GA83-逐级计算!$P$183)*LN(10)/10),0)+LN(1+EXP(-ABS((LN(10^(逐级计算!$Q$183/10)-1)+逐级计算!$Q$183*(GA83-逐级计算!$P$183)*LN(10)/10))))))),"")</f>
        <v>13.7930365742089</v>
      </c>
      <c r="GC83">
        <f>IF(AND(ISNUMBER(GB83),逐级计算!$X$184&gt;-1),IF(逐级计算!$X$184=0,GB83+逐级计算!$C$184,GB83+逐级计算!$C$184-(10/(逐级计算!$Q$184*LN(10))*(MAX((LN(10^(逐级计算!$Q$184/10)-1)+逐级计算!$Q$184*(GB83-逐级计算!$P$184)*LN(10)/10),0)+LN(1+EXP(-ABS((LN(10^(逐级计算!$Q$184/10)-1)+逐级计算!$Q$184*(GB83-逐级计算!$P$184)*LN(10)/10))))))),"")</f>
        <v>13.7930365742089</v>
      </c>
      <c r="GD83">
        <f>IF(AND(ISNUMBER(GC83),逐级计算!$X$185&gt;-1),IF(逐级计算!$X$185=0,GC83+逐级计算!$C$185,GC83+逐级计算!$C$185-(10/(逐级计算!$Q$185*LN(10))*(MAX((LN(10^(逐级计算!$Q$185/10)-1)+逐级计算!$Q$185*(GC83-逐级计算!$P$185)*LN(10)/10),0)+LN(1+EXP(-ABS((LN(10^(逐级计算!$Q$185/10)-1)+逐级计算!$Q$185*(GC83-逐级计算!$P$185)*LN(10)/10))))))),"")</f>
        <v>13.7930365742089</v>
      </c>
      <c r="GE83">
        <f>IF(AND(ISNUMBER(GD83),逐级计算!$X$186&gt;-1),IF(逐级计算!$X$186=0,GD83+逐级计算!$C$186,GD83+逐级计算!$C$186-(10/(逐级计算!$Q$186*LN(10))*(MAX((LN(10^(逐级计算!$Q$186/10)-1)+逐级计算!$Q$186*(GD83-逐级计算!$P$186)*LN(10)/10),0)+LN(1+EXP(-ABS((LN(10^(逐级计算!$Q$186/10)-1)+逐级计算!$Q$186*(GD83-逐级计算!$P$186)*LN(10)/10))))))),"")</f>
        <v>13.7930365742089</v>
      </c>
      <c r="GF83">
        <f>IF(AND(ISNUMBER(GE83),逐级计算!$X$187&gt;-1),IF(逐级计算!$X$187=0,GE83+逐级计算!$C$187,GE83+逐级计算!$C$187-(10/(逐级计算!$Q$187*LN(10))*(MAX((LN(10^(逐级计算!$Q$187/10)-1)+逐级计算!$Q$187*(GE83-逐级计算!$P$187)*LN(10)/10),0)+LN(1+EXP(-ABS((LN(10^(逐级计算!$Q$187/10)-1)+逐级计算!$Q$187*(GE83-逐级计算!$P$187)*LN(10)/10))))))),"")</f>
        <v>13.7930365742089</v>
      </c>
      <c r="GG83">
        <f>IF(AND(ISNUMBER(GF83),逐级计算!$X$188&gt;-1),IF(逐级计算!$X$188=0,GF83+逐级计算!$C$188,GF83+逐级计算!$C$188-(10/(逐级计算!$Q$188*LN(10))*(MAX((LN(10^(逐级计算!$Q$188/10)-1)+逐级计算!$Q$188*(GF83-逐级计算!$P$188)*LN(10)/10),0)+LN(1+EXP(-ABS((LN(10^(逐级计算!$Q$188/10)-1)+逐级计算!$Q$188*(GF83-逐级计算!$P$188)*LN(10)/10))))))),"")</f>
        <v>13.7930365742089</v>
      </c>
      <c r="GH83">
        <f>IF(AND(ISNUMBER(GG83),逐级计算!$X$189&gt;-1),IF(逐级计算!$X$189=0,GG83+逐级计算!$C$189,GG83+逐级计算!$C$189-(10/(逐级计算!$Q$189*LN(10))*(MAX((LN(10^(逐级计算!$Q$189/10)-1)+逐级计算!$Q$189*(GG83-逐级计算!$P$189)*LN(10)/10),0)+LN(1+EXP(-ABS((LN(10^(逐级计算!$Q$189/10)-1)+逐级计算!$Q$189*(GG83-逐级计算!$P$189)*LN(10)/10))))))),"")</f>
        <v>13.7930365742089</v>
      </c>
      <c r="GI83">
        <f>IF(AND(ISNUMBER(GH83),逐级计算!$X$190&gt;-1),IF(逐级计算!$X$190=0,GH83+逐级计算!$C$190,GH83+逐级计算!$C$190-(10/(逐级计算!$Q$190*LN(10))*(MAX((LN(10^(逐级计算!$Q$190/10)-1)+逐级计算!$Q$190*(GH83-逐级计算!$P$190)*LN(10)/10),0)+LN(1+EXP(-ABS((LN(10^(逐级计算!$Q$190/10)-1)+逐级计算!$Q$190*(GH83-逐级计算!$P$190)*LN(10)/10))))))),"")</f>
        <v>13.7930365742089</v>
      </c>
      <c r="GJ83">
        <f>IF(AND(ISNUMBER(GI83),逐级计算!$X$191&gt;-1),IF(逐级计算!$X$191=0,GI83+逐级计算!$C$191,GI83+逐级计算!$C$191-(10/(逐级计算!$Q$191*LN(10))*(MAX((LN(10^(逐级计算!$Q$191/10)-1)+逐级计算!$Q$191*(GI83-逐级计算!$P$191)*LN(10)/10),0)+LN(1+EXP(-ABS((LN(10^(逐级计算!$Q$191/10)-1)+逐级计算!$Q$191*(GI83-逐级计算!$P$191)*LN(10)/10))))))),"")</f>
        <v>13.7930365742089</v>
      </c>
      <c r="GK83">
        <f>IF(AND(ISNUMBER(GJ83),逐级计算!$X$192&gt;-1),IF(逐级计算!$X$192=0,GJ83+逐级计算!$C$192,GJ83+逐级计算!$C$192-(10/(逐级计算!$Q$192*LN(10))*(MAX((LN(10^(逐级计算!$Q$192/10)-1)+逐级计算!$Q$192*(GJ83-逐级计算!$P$192)*LN(10)/10),0)+LN(1+EXP(-ABS((LN(10^(逐级计算!$Q$192/10)-1)+逐级计算!$Q$192*(GJ83-逐级计算!$P$192)*LN(10)/10))))))),"")</f>
        <v>13.7930365742089</v>
      </c>
      <c r="GL83">
        <f>IF(AND(ISNUMBER(GK83),逐级计算!$X$193&gt;-1),IF(逐级计算!$X$193=0,GK83+逐级计算!$C$193,GK83+逐级计算!$C$193-(10/(逐级计算!$Q$193*LN(10))*(MAX((LN(10^(逐级计算!$Q$193/10)-1)+逐级计算!$Q$193*(GK83-逐级计算!$P$193)*LN(10)/10),0)+LN(1+EXP(-ABS((LN(10^(逐级计算!$Q$193/10)-1)+逐级计算!$Q$193*(GK83-逐级计算!$P$193)*LN(10)/10))))))),"")</f>
        <v>13.7930365742089</v>
      </c>
      <c r="GM83">
        <f>IF(AND(ISNUMBER(GL83),逐级计算!$X$194&gt;-1),IF(逐级计算!$X$194=0,GL83+逐级计算!$C$194,GL83+逐级计算!$C$194-(10/(逐级计算!$Q$194*LN(10))*(MAX((LN(10^(逐级计算!$Q$194/10)-1)+逐级计算!$Q$194*(GL83-逐级计算!$P$194)*LN(10)/10),0)+LN(1+EXP(-ABS((LN(10^(逐级计算!$Q$194/10)-1)+逐级计算!$Q$194*(GL83-逐级计算!$P$194)*LN(10)/10))))))),"")</f>
        <v>13.7930365742089</v>
      </c>
      <c r="GN83">
        <f>IF(AND(ISNUMBER(GM83),逐级计算!$X$195&gt;-1),IF(逐级计算!$X$195=0,GM83+逐级计算!$C$195,GM83+逐级计算!$C$195-(10/(逐级计算!$Q$195*LN(10))*(MAX((LN(10^(逐级计算!$Q$195/10)-1)+逐级计算!$Q$195*(GM83-逐级计算!$P$195)*LN(10)/10),0)+LN(1+EXP(-ABS((LN(10^(逐级计算!$Q$195/10)-1)+逐级计算!$Q$195*(GM83-逐级计算!$P$195)*LN(10)/10))))))),"")</f>
        <v>13.7930365742089</v>
      </c>
      <c r="GO83">
        <f>IF(AND(ISNUMBER(GN83),逐级计算!$X$196&gt;-1),IF(逐级计算!$X$196=0,GN83+逐级计算!$C$196,GN83+逐级计算!$C$196-(10/(逐级计算!$Q$196*LN(10))*(MAX((LN(10^(逐级计算!$Q$196/10)-1)+逐级计算!$Q$196*(GN83-逐级计算!$P$196)*LN(10)/10),0)+LN(1+EXP(-ABS((LN(10^(逐级计算!$Q$196/10)-1)+逐级计算!$Q$196*(GN83-逐级计算!$P$196)*LN(10)/10))))))),"")</f>
        <v>13.7930365742089</v>
      </c>
      <c r="GP83">
        <f>IF(AND(ISNUMBER(GO83),逐级计算!$X$197&gt;-1),IF(逐级计算!$X$197=0,GO83+逐级计算!$C$197,GO83+逐级计算!$C$197-(10/(逐级计算!$Q$197*LN(10))*(MAX((LN(10^(逐级计算!$Q$197/10)-1)+逐级计算!$Q$197*(GO83-逐级计算!$P$197)*LN(10)/10),0)+LN(1+EXP(-ABS((LN(10^(逐级计算!$Q$197/10)-1)+逐级计算!$Q$197*(GO83-逐级计算!$P$197)*LN(10)/10))))))),"")</f>
        <v>13.7930365742089</v>
      </c>
      <c r="GQ83">
        <f>IF(AND(ISNUMBER(GP83),逐级计算!$X$198&gt;-1),IF(逐级计算!$X$198=0,GP83+逐级计算!$C$198,GP83+逐级计算!$C$198-(10/(逐级计算!$Q$198*LN(10))*(MAX((LN(10^(逐级计算!$Q$198/10)-1)+逐级计算!$Q$198*(GP83-逐级计算!$P$198)*LN(10)/10),0)+LN(1+EXP(-ABS((LN(10^(逐级计算!$Q$198/10)-1)+逐级计算!$Q$198*(GP83-逐级计算!$P$198)*LN(10)/10))))))),"")</f>
        <v>13.7930365742089</v>
      </c>
      <c r="GR83">
        <f>IF(AND(ISNUMBER(GQ83),逐级计算!$X$199&gt;-1),IF(逐级计算!$X$199=0,GQ83+逐级计算!$C$199,GQ83+逐级计算!$C$199-(10/(逐级计算!$Q$199*LN(10))*(MAX((LN(10^(逐级计算!$Q$199/10)-1)+逐级计算!$Q$199*(GQ83-逐级计算!$P$199)*LN(10)/10),0)+LN(1+EXP(-ABS((LN(10^(逐级计算!$Q$199/10)-1)+逐级计算!$Q$199*(GQ83-逐级计算!$P$199)*LN(10)/10))))))),"")</f>
        <v>13.7930365742089</v>
      </c>
      <c r="GS83">
        <f>IF(AND(ISNUMBER(GR83),逐级计算!$X$200&gt;-1),IF(逐级计算!$X$200=0,GR83+逐级计算!$C$200,GR83+逐级计算!$C$200-(10/(逐级计算!$Q$200*LN(10))*(MAX((LN(10^(逐级计算!$Q$200/10)-1)+逐级计算!$Q$200*(GR83-逐级计算!$P$200)*LN(10)/10),0)+LN(1+EXP(-ABS((LN(10^(逐级计算!$Q$200/10)-1)+逐级计算!$Q$200*(GR83-逐级计算!$P$200)*LN(10)/10))))))),"")</f>
        <v>13.7930365742089</v>
      </c>
      <c r="GT83">
        <f>IF(AND(ISNUMBER(GS83),逐级计算!$X$201&gt;-1),IF(逐级计算!$X$201=0,GS83+逐级计算!$C$201,GS83+逐级计算!$C$201-(10/(逐级计算!$Q$201*LN(10))*(MAX((LN(10^(逐级计算!$Q$201/10)-1)+逐级计算!$Q$201*(GS83-逐级计算!$P$201)*LN(10)/10),0)+LN(1+EXP(-ABS((LN(10^(逐级计算!$Q$201/10)-1)+逐级计算!$Q$201*(GS83-逐级计算!$P$201)*LN(10)/10))))))),"")</f>
        <v>13.7930365742089</v>
      </c>
      <c r="GU83">
        <f>IF(AND(ISNUMBER(GT83),逐级计算!$X$202&gt;-1),IF(逐级计算!$X$202=0,GT83+逐级计算!$C$202,GT83+逐级计算!$C$202-(10/(逐级计算!$Q$202*LN(10))*(MAX((LN(10^(逐级计算!$Q$202/10)-1)+逐级计算!$Q$202*(GT83-逐级计算!$P$202)*LN(10)/10),0)+LN(1+EXP(-ABS((LN(10^(逐级计算!$Q$202/10)-1)+逐级计算!$Q$202*(GT83-逐级计算!$P$202)*LN(10)/10))))))),"")</f>
        <v>13.7930365742089</v>
      </c>
      <c r="GV83">
        <f>IF(AND(ISNUMBER(GU83),逐级计算!$X$203&gt;-1),IF(逐级计算!$X$203=0,GU83+逐级计算!$C$203,GU83+逐级计算!$C$203-(10/(逐级计算!$Q$203*LN(10))*(MAX((LN(10^(逐级计算!$Q$203/10)-1)+逐级计算!$Q$203*(GU83-逐级计算!$P$203)*LN(10)/10),0)+LN(1+EXP(-ABS((LN(10^(逐级计算!$Q$203/10)-1)+逐级计算!$Q$203*(GU83-逐级计算!$P$203)*LN(10)/10))))))),"")</f>
        <v>13.7930365742089</v>
      </c>
      <c r="GW83">
        <f t="shared" si="5"/>
        <v>-5.20696342579112</v>
      </c>
    </row>
    <row r="84" spans="1:205">
      <c r="A84">
        <v>77</v>
      </c>
      <c r="B84">
        <f t="shared" si="4"/>
        <v>-5.20696342579112</v>
      </c>
      <c r="C84">
        <f t="shared" si="3"/>
        <v>-5.20696342579112</v>
      </c>
      <c r="D84">
        <f>IF(AND(ISNUMBER(C84),ISNUMBER(逐级计算!$E$203),ISNUMBER(GV84)),C84+逐级计算!$E$203-GV84,"")</f>
        <v>1</v>
      </c>
      <c r="E84">
        <f>IF(AND(ISNUMBER(C84),逐级计算!$X$4&gt;-1),IF(逐级计算!$X$4=0,C84+逐级计算!$C$4,C84+逐级计算!$C$4-(10/(逐级计算!$Q$4*LN(10))*(MAX((LN(10^(逐级计算!$Q$4/10)-1)+逐级计算!$Q$4*(C84-逐级计算!$P$4)*LN(10)/10),0)+LN(1+EXP(-ABS((LN(10^(逐级计算!$Q$4/10)-1)+逐级计算!$Q$4*(C84-逐级计算!$P$4)*LN(10)/10))))))),"")</f>
        <v>4.68053982928311</v>
      </c>
      <c r="F84">
        <f>IF(AND(ISNUMBER(E84),逐级计算!$X$5&gt;-1),IF(逐级计算!$X$5=0,E84+逐级计算!$C$5,E84+逐级计算!$C$5-(10/(逐级计算!$Q$5*LN(10))*(MAX((LN(10^(逐级计算!$Q$5/10)-1)+逐级计算!$Q$5*(E84-逐级计算!$P$5)*LN(10)/10),0)+LN(1+EXP(-ABS((LN(10^(逐级计算!$Q$5/10)-1)+逐级计算!$Q$5*(E84-逐级计算!$P$5)*LN(10)/10))))))),"")</f>
        <v>13.7930365742089</v>
      </c>
      <c r="G84">
        <f>IF(AND(ISNUMBER(F84),逐级计算!$X$6&gt;-1),IF(逐级计算!$X$6=0,F84+逐级计算!$C$6,F84+逐级计算!$C$6-(10/(逐级计算!$Q$6*LN(10))*(MAX((LN(10^(逐级计算!$Q$6/10)-1)+逐级计算!$Q$6*(F84-逐级计算!$P$6)*LN(10)/10),0)+LN(1+EXP(-ABS((LN(10^(逐级计算!$Q$6/10)-1)+逐级计算!$Q$6*(F84-逐级计算!$P$6)*LN(10)/10))))))),"")</f>
        <v>13.7930365742089</v>
      </c>
      <c r="H84">
        <f>IF(AND(ISNUMBER(G84),逐级计算!$X$7&gt;-1),IF(逐级计算!$X$7=0,G84+逐级计算!$C$7,G84+逐级计算!$C$7-(10/(逐级计算!$Q$7*LN(10))*(MAX((LN(10^(逐级计算!$Q$7/10)-1)+逐级计算!$Q$7*(G84-逐级计算!$P$7)*LN(10)/10),0)+LN(1+EXP(-ABS((LN(10^(逐级计算!$Q$7/10)-1)+逐级计算!$Q$7*(G84-逐级计算!$P$7)*LN(10)/10))))))),"")</f>
        <v>13.7930365742089</v>
      </c>
      <c r="I84">
        <f>IF(AND(ISNUMBER(H84),逐级计算!$X$8&gt;-1),IF(逐级计算!$X$8=0,H84+逐级计算!$C$8,H84+逐级计算!$C$8-(10/(逐级计算!$Q$8*LN(10))*(MAX((LN(10^(逐级计算!$Q$8/10)-1)+逐级计算!$Q$8*(H84-逐级计算!$P$8)*LN(10)/10),0)+LN(1+EXP(-ABS((LN(10^(逐级计算!$Q$8/10)-1)+逐级计算!$Q$8*(H84-逐级计算!$P$8)*LN(10)/10))))))),"")</f>
        <v>13.7930365742089</v>
      </c>
      <c r="J84">
        <f>IF(AND(ISNUMBER(I84),逐级计算!$X$9&gt;-1),IF(逐级计算!$X$9=0,I84+逐级计算!$C$9,I84+逐级计算!$C$9-(10/(逐级计算!$Q$9*LN(10))*(MAX((LN(10^(逐级计算!$Q$9/10)-1)+逐级计算!$Q$9*(I84-逐级计算!$P$9)*LN(10)/10),0)+LN(1+EXP(-ABS((LN(10^(逐级计算!$Q$9/10)-1)+逐级计算!$Q$9*(I84-逐级计算!$P$9)*LN(10)/10))))))),"")</f>
        <v>13.7930365742089</v>
      </c>
      <c r="K84">
        <f>IF(AND(ISNUMBER(J84),逐级计算!$X$10&gt;-1),IF(逐级计算!$X$10=0,J84+逐级计算!$C$10,J84+逐级计算!$C$10-(10/(逐级计算!$Q$10*LN(10))*(MAX((LN(10^(逐级计算!$Q$10/10)-1)+逐级计算!$Q$10*(J84-逐级计算!$P$10)*LN(10)/10),0)+LN(1+EXP(-ABS((LN(10^(逐级计算!$Q$10/10)-1)+逐级计算!$Q$10*(J84-逐级计算!$P$10)*LN(10)/10))))))),"")</f>
        <v>13.7930365742089</v>
      </c>
      <c r="L84">
        <f>IF(AND(ISNUMBER(K84),逐级计算!$X$11&gt;-1),IF(逐级计算!$X$11=0,K84+逐级计算!$C$11,K84+逐级计算!$C$11-(10/(逐级计算!$Q$11*LN(10))*(MAX((LN(10^(逐级计算!$Q$11/10)-1)+逐级计算!$Q$11*(K84-逐级计算!$P$11)*LN(10)/10),0)+LN(1+EXP(-ABS((LN(10^(逐级计算!$Q$11/10)-1)+逐级计算!$Q$11*(K84-逐级计算!$P$11)*LN(10)/10))))))),"")</f>
        <v>13.7930365742089</v>
      </c>
      <c r="M84">
        <f>IF(AND(ISNUMBER(L84),逐级计算!$X$12&gt;-1),IF(逐级计算!$X$12=0,L84+逐级计算!$C$12,L84+逐级计算!$C$12-(10/(逐级计算!$Q$12*LN(10))*(MAX((LN(10^(逐级计算!$Q$12/10)-1)+逐级计算!$Q$12*(L84-逐级计算!$P$12)*LN(10)/10),0)+LN(1+EXP(-ABS((LN(10^(逐级计算!$Q$12/10)-1)+逐级计算!$Q$12*(L84-逐级计算!$P$12)*LN(10)/10))))))),"")</f>
        <v>13.7930365742089</v>
      </c>
      <c r="N84">
        <f>IF(AND(ISNUMBER(M84),逐级计算!$X$13&gt;-1),IF(逐级计算!$X$13=0,M84+逐级计算!$C$13,M84+逐级计算!$C$13-(10/(逐级计算!$Q$13*LN(10))*(MAX((LN(10^(逐级计算!$Q$13/10)-1)+逐级计算!$Q$13*(M84-逐级计算!$P$13)*LN(10)/10),0)+LN(1+EXP(-ABS((LN(10^(逐级计算!$Q$13/10)-1)+逐级计算!$Q$13*(M84-逐级计算!$P$13)*LN(10)/10))))))),"")</f>
        <v>13.7930365742089</v>
      </c>
      <c r="O84">
        <f>IF(AND(ISNUMBER(N84),逐级计算!$X$14&gt;-1),IF(逐级计算!$X$14=0,N84+逐级计算!$C$14,N84+逐级计算!$C$14-(10/(逐级计算!$Q$14*LN(10))*(MAX((LN(10^(逐级计算!$Q$14/10)-1)+逐级计算!$Q$14*(N84-逐级计算!$P$14)*LN(10)/10),0)+LN(1+EXP(-ABS((LN(10^(逐级计算!$Q$14/10)-1)+逐级计算!$Q$14*(N84-逐级计算!$P$14)*LN(10)/10))))))),"")</f>
        <v>13.7930365742089</v>
      </c>
      <c r="P84">
        <f>IF(AND(ISNUMBER(O84),逐级计算!$X$15&gt;-1),IF(逐级计算!$X$15=0,O84+逐级计算!$C$15,O84+逐级计算!$C$15-(10/(逐级计算!$Q$15*LN(10))*(MAX((LN(10^(逐级计算!$Q$15/10)-1)+逐级计算!$Q$15*(O84-逐级计算!$P$15)*LN(10)/10),0)+LN(1+EXP(-ABS((LN(10^(逐级计算!$Q$15/10)-1)+逐级计算!$Q$15*(O84-逐级计算!$P$15)*LN(10)/10))))))),"")</f>
        <v>13.7930365742089</v>
      </c>
      <c r="Q84">
        <f>IF(AND(ISNUMBER(P84),逐级计算!$X$16&gt;-1),IF(逐级计算!$X$16=0,P84+逐级计算!$C$16,P84+逐级计算!$C$16-(10/(逐级计算!$Q$16*LN(10))*(MAX((LN(10^(逐级计算!$Q$16/10)-1)+逐级计算!$Q$16*(P84-逐级计算!$P$16)*LN(10)/10),0)+LN(1+EXP(-ABS((LN(10^(逐级计算!$Q$16/10)-1)+逐级计算!$Q$16*(P84-逐级计算!$P$16)*LN(10)/10))))))),"")</f>
        <v>13.7930365742089</v>
      </c>
      <c r="R84">
        <f>IF(AND(ISNUMBER(Q84),逐级计算!$X$17&gt;-1),IF(逐级计算!$X$17=0,Q84+逐级计算!$C$17,Q84+逐级计算!$C$17-(10/(逐级计算!$Q$17*LN(10))*(MAX((LN(10^(逐级计算!$Q$17/10)-1)+逐级计算!$Q$17*(Q84-逐级计算!$P$17)*LN(10)/10),0)+LN(1+EXP(-ABS((LN(10^(逐级计算!$Q$17/10)-1)+逐级计算!$Q$17*(Q84-逐级计算!$P$17)*LN(10)/10))))))),"")</f>
        <v>13.7930365742089</v>
      </c>
      <c r="S84">
        <f>IF(AND(ISNUMBER(R84),逐级计算!$X$18&gt;-1),IF(逐级计算!$X$18=0,R84+逐级计算!$C$18,R84+逐级计算!$C$18-(10/(逐级计算!$Q$18*LN(10))*(MAX((LN(10^(逐级计算!$Q$18/10)-1)+逐级计算!$Q$18*(R84-逐级计算!$P$18)*LN(10)/10),0)+LN(1+EXP(-ABS((LN(10^(逐级计算!$Q$18/10)-1)+逐级计算!$Q$18*(R84-逐级计算!$P$18)*LN(10)/10))))))),"")</f>
        <v>13.7930365742089</v>
      </c>
      <c r="T84">
        <f>IF(AND(ISNUMBER(S84),逐级计算!$X$19&gt;-1),IF(逐级计算!$X$19=0,S84+逐级计算!$C$19,S84+逐级计算!$C$19-(10/(逐级计算!$Q$19*LN(10))*(MAX((LN(10^(逐级计算!$Q$19/10)-1)+逐级计算!$Q$19*(S84-逐级计算!$P$19)*LN(10)/10),0)+LN(1+EXP(-ABS((LN(10^(逐级计算!$Q$19/10)-1)+逐级计算!$Q$19*(S84-逐级计算!$P$19)*LN(10)/10))))))),"")</f>
        <v>13.7930365742089</v>
      </c>
      <c r="U84">
        <f>IF(AND(ISNUMBER(T84),逐级计算!$X$20&gt;-1),IF(逐级计算!$X$20=0,T84+逐级计算!$C$20,T84+逐级计算!$C$20-(10/(逐级计算!$Q$20*LN(10))*(MAX((LN(10^(逐级计算!$Q$20/10)-1)+逐级计算!$Q$20*(T84-逐级计算!$P$20)*LN(10)/10),0)+LN(1+EXP(-ABS((LN(10^(逐级计算!$Q$20/10)-1)+逐级计算!$Q$20*(T84-逐级计算!$P$20)*LN(10)/10))))))),"")</f>
        <v>13.7930365742089</v>
      </c>
      <c r="V84">
        <f>IF(AND(ISNUMBER(U84),逐级计算!$X$21&gt;-1),IF(逐级计算!$X$21=0,U84+逐级计算!$C$21,U84+逐级计算!$C$21-(10/(逐级计算!$Q$21*LN(10))*(MAX((LN(10^(逐级计算!$Q$21/10)-1)+逐级计算!$Q$21*(U84-逐级计算!$P$21)*LN(10)/10),0)+LN(1+EXP(-ABS((LN(10^(逐级计算!$Q$21/10)-1)+逐级计算!$Q$21*(U84-逐级计算!$P$21)*LN(10)/10))))))),"")</f>
        <v>13.7930365742089</v>
      </c>
      <c r="W84">
        <f>IF(AND(ISNUMBER(V84),逐级计算!$X$22&gt;-1),IF(逐级计算!$X$22=0,V84+逐级计算!$C$22,V84+逐级计算!$C$22-(10/(逐级计算!$Q$22*LN(10))*(MAX((LN(10^(逐级计算!$Q$22/10)-1)+逐级计算!$Q$22*(V84-逐级计算!$P$22)*LN(10)/10),0)+LN(1+EXP(-ABS((LN(10^(逐级计算!$Q$22/10)-1)+逐级计算!$Q$22*(V84-逐级计算!$P$22)*LN(10)/10))))))),"")</f>
        <v>13.7930365742089</v>
      </c>
      <c r="X84">
        <f>IF(AND(ISNUMBER(W84),逐级计算!$X$23&gt;-1),IF(逐级计算!$X$23=0,W84+逐级计算!$C$23,W84+逐级计算!$C$23-(10/(逐级计算!$Q$23*LN(10))*(MAX((LN(10^(逐级计算!$Q$23/10)-1)+逐级计算!$Q$23*(W84-逐级计算!$P$23)*LN(10)/10),0)+LN(1+EXP(-ABS((LN(10^(逐级计算!$Q$23/10)-1)+逐级计算!$Q$23*(W84-逐级计算!$P$23)*LN(10)/10))))))),"")</f>
        <v>13.7930365742089</v>
      </c>
      <c r="Y84">
        <f>IF(AND(ISNUMBER(X84),逐级计算!$X$24&gt;-1),IF(逐级计算!$X$24=0,X84+逐级计算!$C$24,X84+逐级计算!$C$24-(10/(逐级计算!$Q$24*LN(10))*(MAX((LN(10^(逐级计算!$Q$24/10)-1)+逐级计算!$Q$24*(X84-逐级计算!$P$24)*LN(10)/10),0)+LN(1+EXP(-ABS((LN(10^(逐级计算!$Q$24/10)-1)+逐级计算!$Q$24*(X84-逐级计算!$P$24)*LN(10)/10))))))),"")</f>
        <v>13.7930365742089</v>
      </c>
      <c r="Z84">
        <f>IF(AND(ISNUMBER(Y84),逐级计算!$X$25&gt;-1),IF(逐级计算!$X$25=0,Y84+逐级计算!$C$25,Y84+逐级计算!$C$25-(10/(逐级计算!$Q$25*LN(10))*(MAX((LN(10^(逐级计算!$Q$25/10)-1)+逐级计算!$Q$25*(Y84-逐级计算!$P$25)*LN(10)/10),0)+LN(1+EXP(-ABS((LN(10^(逐级计算!$Q$25/10)-1)+逐级计算!$Q$25*(Y84-逐级计算!$P$25)*LN(10)/10))))))),"")</f>
        <v>13.7930365742089</v>
      </c>
      <c r="AA84">
        <f>IF(AND(ISNUMBER(Z84),逐级计算!$X$26&gt;-1),IF(逐级计算!$X$26=0,Z84+逐级计算!$C$26,Z84+逐级计算!$C$26-(10/(逐级计算!$Q$26*LN(10))*(MAX((LN(10^(逐级计算!$Q$26/10)-1)+逐级计算!$Q$26*(Z84-逐级计算!$P$26)*LN(10)/10),0)+LN(1+EXP(-ABS((LN(10^(逐级计算!$Q$26/10)-1)+逐级计算!$Q$26*(Z84-逐级计算!$P$26)*LN(10)/10))))))),"")</f>
        <v>13.7930365742089</v>
      </c>
      <c r="AB84">
        <f>IF(AND(ISNUMBER(AA84),逐级计算!$X$27&gt;-1),IF(逐级计算!$X$27=0,AA84+逐级计算!$C$27,AA84+逐级计算!$C$27-(10/(逐级计算!$Q$27*LN(10))*(MAX((LN(10^(逐级计算!$Q$27/10)-1)+逐级计算!$Q$27*(AA84-逐级计算!$P$27)*LN(10)/10),0)+LN(1+EXP(-ABS((LN(10^(逐级计算!$Q$27/10)-1)+逐级计算!$Q$27*(AA84-逐级计算!$P$27)*LN(10)/10))))))),"")</f>
        <v>13.7930365742089</v>
      </c>
      <c r="AC84">
        <f>IF(AND(ISNUMBER(AB84),逐级计算!$X$28&gt;-1),IF(逐级计算!$X$28=0,AB84+逐级计算!$C$28,AB84+逐级计算!$C$28-(10/(逐级计算!$Q$28*LN(10))*(MAX((LN(10^(逐级计算!$Q$28/10)-1)+逐级计算!$Q$28*(AB84-逐级计算!$P$28)*LN(10)/10),0)+LN(1+EXP(-ABS((LN(10^(逐级计算!$Q$28/10)-1)+逐级计算!$Q$28*(AB84-逐级计算!$P$28)*LN(10)/10))))))),"")</f>
        <v>13.7930365742089</v>
      </c>
      <c r="AD84">
        <f>IF(AND(ISNUMBER(AC84),逐级计算!$X$29&gt;-1),IF(逐级计算!$X$29=0,AC84+逐级计算!$C$29,AC84+逐级计算!$C$29-(10/(逐级计算!$Q$29*LN(10))*(MAX((LN(10^(逐级计算!$Q$29/10)-1)+逐级计算!$Q$29*(AC84-逐级计算!$P$29)*LN(10)/10),0)+LN(1+EXP(-ABS((LN(10^(逐级计算!$Q$29/10)-1)+逐级计算!$Q$29*(AC84-逐级计算!$P$29)*LN(10)/10))))))),"")</f>
        <v>13.7930365742089</v>
      </c>
      <c r="AE84">
        <f>IF(AND(ISNUMBER(AD84),逐级计算!$X$30&gt;-1),IF(逐级计算!$X$30=0,AD84+逐级计算!$C$30,AD84+逐级计算!$C$30-(10/(逐级计算!$Q$30*LN(10))*(MAX((LN(10^(逐级计算!$Q$30/10)-1)+逐级计算!$Q$30*(AD84-逐级计算!$P$30)*LN(10)/10),0)+LN(1+EXP(-ABS((LN(10^(逐级计算!$Q$30/10)-1)+逐级计算!$Q$30*(AD84-逐级计算!$P$30)*LN(10)/10))))))),"")</f>
        <v>13.7930365742089</v>
      </c>
      <c r="AF84">
        <f>IF(AND(ISNUMBER(AE84),逐级计算!$X$31&gt;-1),IF(逐级计算!$X$31=0,AE84+逐级计算!$C$31,AE84+逐级计算!$C$31-(10/(逐级计算!$Q$31*LN(10))*(MAX((LN(10^(逐级计算!$Q$31/10)-1)+逐级计算!$Q$31*(AE84-逐级计算!$P$31)*LN(10)/10),0)+LN(1+EXP(-ABS((LN(10^(逐级计算!$Q$31/10)-1)+逐级计算!$Q$31*(AE84-逐级计算!$P$31)*LN(10)/10))))))),"")</f>
        <v>13.7930365742089</v>
      </c>
      <c r="AG84">
        <f>IF(AND(ISNUMBER(AF84),逐级计算!$X$32&gt;-1),IF(逐级计算!$X$32=0,AF84+逐级计算!$C$32,AF84+逐级计算!$C$32-(10/(逐级计算!$Q$32*LN(10))*(MAX((LN(10^(逐级计算!$Q$32/10)-1)+逐级计算!$Q$32*(AF84-逐级计算!$P$32)*LN(10)/10),0)+LN(1+EXP(-ABS((LN(10^(逐级计算!$Q$32/10)-1)+逐级计算!$Q$32*(AF84-逐级计算!$P$32)*LN(10)/10))))))),"")</f>
        <v>13.7930365742089</v>
      </c>
      <c r="AH84">
        <f>IF(AND(ISNUMBER(AG84),逐级计算!$X$33&gt;-1),IF(逐级计算!$X$33=0,AG84+逐级计算!$C$33,AG84+逐级计算!$C$33-(10/(逐级计算!$Q$33*LN(10))*(MAX((LN(10^(逐级计算!$Q$33/10)-1)+逐级计算!$Q$33*(AG84-逐级计算!$P$33)*LN(10)/10),0)+LN(1+EXP(-ABS((LN(10^(逐级计算!$Q$33/10)-1)+逐级计算!$Q$33*(AG84-逐级计算!$P$33)*LN(10)/10))))))),"")</f>
        <v>13.7930365742089</v>
      </c>
      <c r="AI84">
        <f>IF(AND(ISNUMBER(AH84),逐级计算!$X$34&gt;-1),IF(逐级计算!$X$34=0,AH84+逐级计算!$C$34,AH84+逐级计算!$C$34-(10/(逐级计算!$Q$34*LN(10))*(MAX((LN(10^(逐级计算!$Q$34/10)-1)+逐级计算!$Q$34*(AH84-逐级计算!$P$34)*LN(10)/10),0)+LN(1+EXP(-ABS((LN(10^(逐级计算!$Q$34/10)-1)+逐级计算!$Q$34*(AH84-逐级计算!$P$34)*LN(10)/10))))))),"")</f>
        <v>13.7930365742089</v>
      </c>
      <c r="AJ84">
        <f>IF(AND(ISNUMBER(AI84),逐级计算!$X$35&gt;-1),IF(逐级计算!$X$35=0,AI84+逐级计算!$C$35,AI84+逐级计算!$C$35-(10/(逐级计算!$Q$35*LN(10))*(MAX((LN(10^(逐级计算!$Q$35/10)-1)+逐级计算!$Q$35*(AI84-逐级计算!$P$35)*LN(10)/10),0)+LN(1+EXP(-ABS((LN(10^(逐级计算!$Q$35/10)-1)+逐级计算!$Q$35*(AI84-逐级计算!$P$35)*LN(10)/10))))))),"")</f>
        <v>13.7930365742089</v>
      </c>
      <c r="AK84">
        <f>IF(AND(ISNUMBER(AJ84),逐级计算!$X$36&gt;-1),IF(逐级计算!$X$36=0,AJ84+逐级计算!$C$36,AJ84+逐级计算!$C$36-(10/(逐级计算!$Q$36*LN(10))*(MAX((LN(10^(逐级计算!$Q$36/10)-1)+逐级计算!$Q$36*(AJ84-逐级计算!$P$36)*LN(10)/10),0)+LN(1+EXP(-ABS((LN(10^(逐级计算!$Q$36/10)-1)+逐级计算!$Q$36*(AJ84-逐级计算!$P$36)*LN(10)/10))))))),"")</f>
        <v>13.7930365742089</v>
      </c>
      <c r="AL84">
        <f>IF(AND(ISNUMBER(AK84),逐级计算!$X$37&gt;-1),IF(逐级计算!$X$37=0,AK84+逐级计算!$C$37,AK84+逐级计算!$C$37-(10/(逐级计算!$Q$37*LN(10))*(MAX((LN(10^(逐级计算!$Q$37/10)-1)+逐级计算!$Q$37*(AK84-逐级计算!$P$37)*LN(10)/10),0)+LN(1+EXP(-ABS((LN(10^(逐级计算!$Q$37/10)-1)+逐级计算!$Q$37*(AK84-逐级计算!$P$37)*LN(10)/10))))))),"")</f>
        <v>13.7930365742089</v>
      </c>
      <c r="AM84">
        <f>IF(AND(ISNUMBER(AL84),逐级计算!$X$38&gt;-1),IF(逐级计算!$X$38=0,AL84+逐级计算!$C$38,AL84+逐级计算!$C$38-(10/(逐级计算!$Q$38*LN(10))*(MAX((LN(10^(逐级计算!$Q$38/10)-1)+逐级计算!$Q$38*(AL84-逐级计算!$P$38)*LN(10)/10),0)+LN(1+EXP(-ABS((LN(10^(逐级计算!$Q$38/10)-1)+逐级计算!$Q$38*(AL84-逐级计算!$P$38)*LN(10)/10))))))),"")</f>
        <v>13.7930365742089</v>
      </c>
      <c r="AN84">
        <f>IF(AND(ISNUMBER(AM84),逐级计算!$X$39&gt;-1),IF(逐级计算!$X$39=0,AM84+逐级计算!$C$39,AM84+逐级计算!$C$39-(10/(逐级计算!$Q$39*LN(10))*(MAX((LN(10^(逐级计算!$Q$39/10)-1)+逐级计算!$Q$39*(AM84-逐级计算!$P$39)*LN(10)/10),0)+LN(1+EXP(-ABS((LN(10^(逐级计算!$Q$39/10)-1)+逐级计算!$Q$39*(AM84-逐级计算!$P$39)*LN(10)/10))))))),"")</f>
        <v>13.7930365742089</v>
      </c>
      <c r="AO84">
        <f>IF(AND(ISNUMBER(AN84),逐级计算!$X$40&gt;-1),IF(逐级计算!$X$40=0,AN84+逐级计算!$C$40,AN84+逐级计算!$C$40-(10/(逐级计算!$Q$40*LN(10))*(MAX((LN(10^(逐级计算!$Q$40/10)-1)+逐级计算!$Q$40*(AN84-逐级计算!$P$40)*LN(10)/10),0)+LN(1+EXP(-ABS((LN(10^(逐级计算!$Q$40/10)-1)+逐级计算!$Q$40*(AN84-逐级计算!$P$40)*LN(10)/10))))))),"")</f>
        <v>13.7930365742089</v>
      </c>
      <c r="AP84">
        <f>IF(AND(ISNUMBER(AO84),逐级计算!$X$41&gt;-1),IF(逐级计算!$X$41=0,AO84+逐级计算!$C$41,AO84+逐级计算!$C$41-(10/(逐级计算!$Q$41*LN(10))*(MAX((LN(10^(逐级计算!$Q$41/10)-1)+逐级计算!$Q$41*(AO84-逐级计算!$P$41)*LN(10)/10),0)+LN(1+EXP(-ABS((LN(10^(逐级计算!$Q$41/10)-1)+逐级计算!$Q$41*(AO84-逐级计算!$P$41)*LN(10)/10))))))),"")</f>
        <v>13.7930365742089</v>
      </c>
      <c r="AQ84">
        <f>IF(AND(ISNUMBER(AP84),逐级计算!$X$42&gt;-1),IF(逐级计算!$X$42=0,AP84+逐级计算!$C$42,AP84+逐级计算!$C$42-(10/(逐级计算!$Q$42*LN(10))*(MAX((LN(10^(逐级计算!$Q$42/10)-1)+逐级计算!$Q$42*(AP84-逐级计算!$P$42)*LN(10)/10),0)+LN(1+EXP(-ABS((LN(10^(逐级计算!$Q$42/10)-1)+逐级计算!$Q$42*(AP84-逐级计算!$P$42)*LN(10)/10))))))),"")</f>
        <v>13.7930365742089</v>
      </c>
      <c r="AR84">
        <f>IF(AND(ISNUMBER(AQ84),逐级计算!$X$43&gt;-1),IF(逐级计算!$X$43=0,AQ84+逐级计算!$C$43,AQ84+逐级计算!$C$43-(10/(逐级计算!$Q$43*LN(10))*(MAX((LN(10^(逐级计算!$Q$43/10)-1)+逐级计算!$Q$43*(AQ84-逐级计算!$P$43)*LN(10)/10),0)+LN(1+EXP(-ABS((LN(10^(逐级计算!$Q$43/10)-1)+逐级计算!$Q$43*(AQ84-逐级计算!$P$43)*LN(10)/10))))))),"")</f>
        <v>13.7930365742089</v>
      </c>
      <c r="AS84">
        <f>IF(AND(ISNUMBER(AR84),逐级计算!$X$44&gt;-1),IF(逐级计算!$X$44=0,AR84+逐级计算!$C$44,AR84+逐级计算!$C$44-(10/(逐级计算!$Q$44*LN(10))*(MAX((LN(10^(逐级计算!$Q$44/10)-1)+逐级计算!$Q$44*(AR84-逐级计算!$P$44)*LN(10)/10),0)+LN(1+EXP(-ABS((LN(10^(逐级计算!$Q$44/10)-1)+逐级计算!$Q$44*(AR84-逐级计算!$P$44)*LN(10)/10))))))),"")</f>
        <v>13.7930365742089</v>
      </c>
      <c r="AT84">
        <f>IF(AND(ISNUMBER(AS84),逐级计算!$X$45&gt;-1),IF(逐级计算!$X$45=0,AS84+逐级计算!$C$45,AS84+逐级计算!$C$45-(10/(逐级计算!$Q$45*LN(10))*(MAX((LN(10^(逐级计算!$Q$45/10)-1)+逐级计算!$Q$45*(AS84-逐级计算!$P$45)*LN(10)/10),0)+LN(1+EXP(-ABS((LN(10^(逐级计算!$Q$45/10)-1)+逐级计算!$Q$45*(AS84-逐级计算!$P$45)*LN(10)/10))))))),"")</f>
        <v>13.7930365742089</v>
      </c>
      <c r="AU84">
        <f>IF(AND(ISNUMBER(AT84),逐级计算!$X$46&gt;-1),IF(逐级计算!$X$46=0,AT84+逐级计算!$C$46,AT84+逐级计算!$C$46-(10/(逐级计算!$Q$46*LN(10))*(MAX((LN(10^(逐级计算!$Q$46/10)-1)+逐级计算!$Q$46*(AT84-逐级计算!$P$46)*LN(10)/10),0)+LN(1+EXP(-ABS((LN(10^(逐级计算!$Q$46/10)-1)+逐级计算!$Q$46*(AT84-逐级计算!$P$46)*LN(10)/10))))))),"")</f>
        <v>13.7930365742089</v>
      </c>
      <c r="AV84">
        <f>IF(AND(ISNUMBER(AU84),逐级计算!$X$47&gt;-1),IF(逐级计算!$X$47=0,AU84+逐级计算!$C$47,AU84+逐级计算!$C$47-(10/(逐级计算!$Q$47*LN(10))*(MAX((LN(10^(逐级计算!$Q$47/10)-1)+逐级计算!$Q$47*(AU84-逐级计算!$P$47)*LN(10)/10),0)+LN(1+EXP(-ABS((LN(10^(逐级计算!$Q$47/10)-1)+逐级计算!$Q$47*(AU84-逐级计算!$P$47)*LN(10)/10))))))),"")</f>
        <v>13.7930365742089</v>
      </c>
      <c r="AW84">
        <f>IF(AND(ISNUMBER(AV84),逐级计算!$X$48&gt;-1),IF(逐级计算!$X$48=0,AV84+逐级计算!$C$48,AV84+逐级计算!$C$48-(10/(逐级计算!$Q$48*LN(10))*(MAX((LN(10^(逐级计算!$Q$48/10)-1)+逐级计算!$Q$48*(AV84-逐级计算!$P$48)*LN(10)/10),0)+LN(1+EXP(-ABS((LN(10^(逐级计算!$Q$48/10)-1)+逐级计算!$Q$48*(AV84-逐级计算!$P$48)*LN(10)/10))))))),"")</f>
        <v>13.7930365742089</v>
      </c>
      <c r="AX84">
        <f>IF(AND(ISNUMBER(AW84),逐级计算!$X$49&gt;-1),IF(逐级计算!$X$49=0,AW84+逐级计算!$C$49,AW84+逐级计算!$C$49-(10/(逐级计算!$Q$49*LN(10))*(MAX((LN(10^(逐级计算!$Q$49/10)-1)+逐级计算!$Q$49*(AW84-逐级计算!$P$49)*LN(10)/10),0)+LN(1+EXP(-ABS((LN(10^(逐级计算!$Q$49/10)-1)+逐级计算!$Q$49*(AW84-逐级计算!$P$49)*LN(10)/10))))))),"")</f>
        <v>13.7930365742089</v>
      </c>
      <c r="AY84">
        <f>IF(AND(ISNUMBER(AX84),逐级计算!$X$50&gt;-1),IF(逐级计算!$X$50=0,AX84+逐级计算!$C$50,AX84+逐级计算!$C$50-(10/(逐级计算!$Q$50*LN(10))*(MAX((LN(10^(逐级计算!$Q$50/10)-1)+逐级计算!$Q$50*(AX84-逐级计算!$P$50)*LN(10)/10),0)+LN(1+EXP(-ABS((LN(10^(逐级计算!$Q$50/10)-1)+逐级计算!$Q$50*(AX84-逐级计算!$P$50)*LN(10)/10))))))),"")</f>
        <v>13.7930365742089</v>
      </c>
      <c r="AZ84">
        <f>IF(AND(ISNUMBER(AY84),逐级计算!$X$51&gt;-1),IF(逐级计算!$X$51=0,AY84+逐级计算!$C$51,AY84+逐级计算!$C$51-(10/(逐级计算!$Q$51*LN(10))*(MAX((LN(10^(逐级计算!$Q$51/10)-1)+逐级计算!$Q$51*(AY84-逐级计算!$P$51)*LN(10)/10),0)+LN(1+EXP(-ABS((LN(10^(逐级计算!$Q$51/10)-1)+逐级计算!$Q$51*(AY84-逐级计算!$P$51)*LN(10)/10))))))),"")</f>
        <v>13.7930365742089</v>
      </c>
      <c r="BA84">
        <f>IF(AND(ISNUMBER(AZ84),逐级计算!$X$52&gt;-1),IF(逐级计算!$X$52=0,AZ84+逐级计算!$C$52,AZ84+逐级计算!$C$52-(10/(逐级计算!$Q$52*LN(10))*(MAX((LN(10^(逐级计算!$Q$52/10)-1)+逐级计算!$Q$52*(AZ84-逐级计算!$P$52)*LN(10)/10),0)+LN(1+EXP(-ABS((LN(10^(逐级计算!$Q$52/10)-1)+逐级计算!$Q$52*(AZ84-逐级计算!$P$52)*LN(10)/10))))))),"")</f>
        <v>13.7930365742089</v>
      </c>
      <c r="BB84">
        <f>IF(AND(ISNUMBER(BA84),逐级计算!$X$53&gt;-1),IF(逐级计算!$X$53=0,BA84+逐级计算!$C$53,BA84+逐级计算!$C$53-(10/(逐级计算!$Q$53*LN(10))*(MAX((LN(10^(逐级计算!$Q$53/10)-1)+逐级计算!$Q$53*(BA84-逐级计算!$P$53)*LN(10)/10),0)+LN(1+EXP(-ABS((LN(10^(逐级计算!$Q$53/10)-1)+逐级计算!$Q$53*(BA84-逐级计算!$P$53)*LN(10)/10))))))),"")</f>
        <v>13.7930365742089</v>
      </c>
      <c r="BC84">
        <f>IF(AND(ISNUMBER(BB84),逐级计算!$X$54&gt;-1),IF(逐级计算!$X$54=0,BB84+逐级计算!$C$54,BB84+逐级计算!$C$54-(10/(逐级计算!$Q$54*LN(10))*(MAX((LN(10^(逐级计算!$Q$54/10)-1)+逐级计算!$Q$54*(BB84-逐级计算!$P$54)*LN(10)/10),0)+LN(1+EXP(-ABS((LN(10^(逐级计算!$Q$54/10)-1)+逐级计算!$Q$54*(BB84-逐级计算!$P$54)*LN(10)/10))))))),"")</f>
        <v>13.7930365742089</v>
      </c>
      <c r="BD84">
        <f>IF(AND(ISNUMBER(BC84),逐级计算!$X$55&gt;-1),IF(逐级计算!$X$55=0,BC84+逐级计算!$C$55,BC84+逐级计算!$C$55-(10/(逐级计算!$Q$55*LN(10))*(MAX((LN(10^(逐级计算!$Q$55/10)-1)+逐级计算!$Q$55*(BC84-逐级计算!$P$55)*LN(10)/10),0)+LN(1+EXP(-ABS((LN(10^(逐级计算!$Q$55/10)-1)+逐级计算!$Q$55*(BC84-逐级计算!$P$55)*LN(10)/10))))))),"")</f>
        <v>13.7930365742089</v>
      </c>
      <c r="BE84">
        <f>IF(AND(ISNUMBER(BD84),逐级计算!$X$56&gt;-1),IF(逐级计算!$X$56=0,BD84+逐级计算!$C$56,BD84+逐级计算!$C$56-(10/(逐级计算!$Q$56*LN(10))*(MAX((LN(10^(逐级计算!$Q$56/10)-1)+逐级计算!$Q$56*(BD84-逐级计算!$P$56)*LN(10)/10),0)+LN(1+EXP(-ABS((LN(10^(逐级计算!$Q$56/10)-1)+逐级计算!$Q$56*(BD84-逐级计算!$P$56)*LN(10)/10))))))),"")</f>
        <v>13.7930365742089</v>
      </c>
      <c r="BF84">
        <f>IF(AND(ISNUMBER(BE84),逐级计算!$X$57&gt;-1),IF(逐级计算!$X$57=0,BE84+逐级计算!$C$57,BE84+逐级计算!$C$57-(10/(逐级计算!$Q$57*LN(10))*(MAX((LN(10^(逐级计算!$Q$57/10)-1)+逐级计算!$Q$57*(BE84-逐级计算!$P$57)*LN(10)/10),0)+LN(1+EXP(-ABS((LN(10^(逐级计算!$Q$57/10)-1)+逐级计算!$Q$57*(BE84-逐级计算!$P$57)*LN(10)/10))))))),"")</f>
        <v>13.7930365742089</v>
      </c>
      <c r="BG84">
        <f>IF(AND(ISNUMBER(BF84),逐级计算!$X$58&gt;-1),IF(逐级计算!$X$58=0,BF84+逐级计算!$C$58,BF84+逐级计算!$C$58-(10/(逐级计算!$Q$58*LN(10))*(MAX((LN(10^(逐级计算!$Q$58/10)-1)+逐级计算!$Q$58*(BF84-逐级计算!$P$58)*LN(10)/10),0)+LN(1+EXP(-ABS((LN(10^(逐级计算!$Q$58/10)-1)+逐级计算!$Q$58*(BF84-逐级计算!$P$58)*LN(10)/10))))))),"")</f>
        <v>13.7930365742089</v>
      </c>
      <c r="BH84">
        <f>IF(AND(ISNUMBER(BG84),逐级计算!$X$59&gt;-1),IF(逐级计算!$X$59=0,BG84+逐级计算!$C$59,BG84+逐级计算!$C$59-(10/(逐级计算!$Q$59*LN(10))*(MAX((LN(10^(逐级计算!$Q$59/10)-1)+逐级计算!$Q$59*(BG84-逐级计算!$P$59)*LN(10)/10),0)+LN(1+EXP(-ABS((LN(10^(逐级计算!$Q$59/10)-1)+逐级计算!$Q$59*(BG84-逐级计算!$P$59)*LN(10)/10))))))),"")</f>
        <v>13.7930365742089</v>
      </c>
      <c r="BI84">
        <f>IF(AND(ISNUMBER(BH84),逐级计算!$X$60&gt;-1),IF(逐级计算!$X$60=0,BH84+逐级计算!$C$60,BH84+逐级计算!$C$60-(10/(逐级计算!$Q$60*LN(10))*(MAX((LN(10^(逐级计算!$Q$60/10)-1)+逐级计算!$Q$60*(BH84-逐级计算!$P$60)*LN(10)/10),0)+LN(1+EXP(-ABS((LN(10^(逐级计算!$Q$60/10)-1)+逐级计算!$Q$60*(BH84-逐级计算!$P$60)*LN(10)/10))))))),"")</f>
        <v>13.7930365742089</v>
      </c>
      <c r="BJ84">
        <f>IF(AND(ISNUMBER(BI84),逐级计算!$X$61&gt;-1),IF(逐级计算!$X$61=0,BI84+逐级计算!$C$61,BI84+逐级计算!$C$61-(10/(逐级计算!$Q$61*LN(10))*(MAX((LN(10^(逐级计算!$Q$61/10)-1)+逐级计算!$Q$61*(BI84-逐级计算!$P$61)*LN(10)/10),0)+LN(1+EXP(-ABS((LN(10^(逐级计算!$Q$61/10)-1)+逐级计算!$Q$61*(BI84-逐级计算!$P$61)*LN(10)/10))))))),"")</f>
        <v>13.7930365742089</v>
      </c>
      <c r="BK84">
        <f>IF(AND(ISNUMBER(BJ84),逐级计算!$X$62&gt;-1),IF(逐级计算!$X$62=0,BJ84+逐级计算!$C$62,BJ84+逐级计算!$C$62-(10/(逐级计算!$Q$62*LN(10))*(MAX((LN(10^(逐级计算!$Q$62/10)-1)+逐级计算!$Q$62*(BJ84-逐级计算!$P$62)*LN(10)/10),0)+LN(1+EXP(-ABS((LN(10^(逐级计算!$Q$62/10)-1)+逐级计算!$Q$62*(BJ84-逐级计算!$P$62)*LN(10)/10))))))),"")</f>
        <v>13.7930365742089</v>
      </c>
      <c r="BL84">
        <f>IF(AND(ISNUMBER(BK84),逐级计算!$X$63&gt;-1),IF(逐级计算!$X$63=0,BK84+逐级计算!$C$63,BK84+逐级计算!$C$63-(10/(逐级计算!$Q$63*LN(10))*(MAX((LN(10^(逐级计算!$Q$63/10)-1)+逐级计算!$Q$63*(BK84-逐级计算!$P$63)*LN(10)/10),0)+LN(1+EXP(-ABS((LN(10^(逐级计算!$Q$63/10)-1)+逐级计算!$Q$63*(BK84-逐级计算!$P$63)*LN(10)/10))))))),"")</f>
        <v>13.7930365742089</v>
      </c>
      <c r="BM84">
        <f>IF(AND(ISNUMBER(BL84),逐级计算!$X$64&gt;-1),IF(逐级计算!$X$64=0,BL84+逐级计算!$C$64,BL84+逐级计算!$C$64-(10/(逐级计算!$Q$64*LN(10))*(MAX((LN(10^(逐级计算!$Q$64/10)-1)+逐级计算!$Q$64*(BL84-逐级计算!$P$64)*LN(10)/10),0)+LN(1+EXP(-ABS((LN(10^(逐级计算!$Q$64/10)-1)+逐级计算!$Q$64*(BL84-逐级计算!$P$64)*LN(10)/10))))))),"")</f>
        <v>13.7930365742089</v>
      </c>
      <c r="BN84">
        <f>IF(AND(ISNUMBER(BM84),逐级计算!$X$65&gt;-1),IF(逐级计算!$X$65=0,BM84+逐级计算!$C$65,BM84+逐级计算!$C$65-(10/(逐级计算!$Q$65*LN(10))*(MAX((LN(10^(逐级计算!$Q$65/10)-1)+逐级计算!$Q$65*(BM84-逐级计算!$P$65)*LN(10)/10),0)+LN(1+EXP(-ABS((LN(10^(逐级计算!$Q$65/10)-1)+逐级计算!$Q$65*(BM84-逐级计算!$P$65)*LN(10)/10))))))),"")</f>
        <v>13.7930365742089</v>
      </c>
      <c r="BO84">
        <f>IF(AND(ISNUMBER(BN84),逐级计算!$X$66&gt;-1),IF(逐级计算!$X$66=0,BN84+逐级计算!$C$66,BN84+逐级计算!$C$66-(10/(逐级计算!$Q$66*LN(10))*(MAX((LN(10^(逐级计算!$Q$66/10)-1)+逐级计算!$Q$66*(BN84-逐级计算!$P$66)*LN(10)/10),0)+LN(1+EXP(-ABS((LN(10^(逐级计算!$Q$66/10)-1)+逐级计算!$Q$66*(BN84-逐级计算!$P$66)*LN(10)/10))))))),"")</f>
        <v>13.7930365742089</v>
      </c>
      <c r="BP84">
        <f>IF(AND(ISNUMBER(BO84),逐级计算!$X$67&gt;-1),IF(逐级计算!$X$67=0,BO84+逐级计算!$C$67,BO84+逐级计算!$C$67-(10/(逐级计算!$Q$67*LN(10))*(MAX((LN(10^(逐级计算!$Q$67/10)-1)+逐级计算!$Q$67*(BO84-逐级计算!$P$67)*LN(10)/10),0)+LN(1+EXP(-ABS((LN(10^(逐级计算!$Q$67/10)-1)+逐级计算!$Q$67*(BO84-逐级计算!$P$67)*LN(10)/10))))))),"")</f>
        <v>13.7930365742089</v>
      </c>
      <c r="BQ84">
        <f>IF(AND(ISNUMBER(BP84),逐级计算!$X$68&gt;-1),IF(逐级计算!$X$68=0,BP84+逐级计算!$C$68,BP84+逐级计算!$C$68-(10/(逐级计算!$Q$68*LN(10))*(MAX((LN(10^(逐级计算!$Q$68/10)-1)+逐级计算!$Q$68*(BP84-逐级计算!$P$68)*LN(10)/10),0)+LN(1+EXP(-ABS((LN(10^(逐级计算!$Q$68/10)-1)+逐级计算!$Q$68*(BP84-逐级计算!$P$68)*LN(10)/10))))))),"")</f>
        <v>13.7930365742089</v>
      </c>
      <c r="BR84">
        <f>IF(AND(ISNUMBER(BQ84),逐级计算!$X$69&gt;-1),IF(逐级计算!$X$69=0,BQ84+逐级计算!$C$69,BQ84+逐级计算!$C$69-(10/(逐级计算!$Q$69*LN(10))*(MAX((LN(10^(逐级计算!$Q$69/10)-1)+逐级计算!$Q$69*(BQ84-逐级计算!$P$69)*LN(10)/10),0)+LN(1+EXP(-ABS((LN(10^(逐级计算!$Q$69/10)-1)+逐级计算!$Q$69*(BQ84-逐级计算!$P$69)*LN(10)/10))))))),"")</f>
        <v>13.7930365742089</v>
      </c>
      <c r="BS84">
        <f>IF(AND(ISNUMBER(BR84),逐级计算!$X$70&gt;-1),IF(逐级计算!$X$70=0,BR84+逐级计算!$C$70,BR84+逐级计算!$C$70-(10/(逐级计算!$Q$70*LN(10))*(MAX((LN(10^(逐级计算!$Q$70/10)-1)+逐级计算!$Q$70*(BR84-逐级计算!$P$70)*LN(10)/10),0)+LN(1+EXP(-ABS((LN(10^(逐级计算!$Q$70/10)-1)+逐级计算!$Q$70*(BR84-逐级计算!$P$70)*LN(10)/10))))))),"")</f>
        <v>13.7930365742089</v>
      </c>
      <c r="BT84">
        <f>IF(AND(ISNUMBER(BS84),逐级计算!$X$71&gt;-1),IF(逐级计算!$X$71=0,BS84+逐级计算!$C$71,BS84+逐级计算!$C$71-(10/(逐级计算!$Q$71*LN(10))*(MAX((LN(10^(逐级计算!$Q$71/10)-1)+逐级计算!$Q$71*(BS84-逐级计算!$P$71)*LN(10)/10),0)+LN(1+EXP(-ABS((LN(10^(逐级计算!$Q$71/10)-1)+逐级计算!$Q$71*(BS84-逐级计算!$P$71)*LN(10)/10))))))),"")</f>
        <v>13.7930365742089</v>
      </c>
      <c r="BU84">
        <f>IF(AND(ISNUMBER(BT84),逐级计算!$X$72&gt;-1),IF(逐级计算!$X$72=0,BT84+逐级计算!$C$72,BT84+逐级计算!$C$72-(10/(逐级计算!$Q$72*LN(10))*(MAX((LN(10^(逐级计算!$Q$72/10)-1)+逐级计算!$Q$72*(BT84-逐级计算!$P$72)*LN(10)/10),0)+LN(1+EXP(-ABS((LN(10^(逐级计算!$Q$72/10)-1)+逐级计算!$Q$72*(BT84-逐级计算!$P$72)*LN(10)/10))))))),"")</f>
        <v>13.7930365742089</v>
      </c>
      <c r="BV84">
        <f>IF(AND(ISNUMBER(BU84),逐级计算!$X$73&gt;-1),IF(逐级计算!$X$73=0,BU84+逐级计算!$C$73,BU84+逐级计算!$C$73-(10/(逐级计算!$Q$73*LN(10))*(MAX((LN(10^(逐级计算!$Q$73/10)-1)+逐级计算!$Q$73*(BU84-逐级计算!$P$73)*LN(10)/10),0)+LN(1+EXP(-ABS((LN(10^(逐级计算!$Q$73/10)-1)+逐级计算!$Q$73*(BU84-逐级计算!$P$73)*LN(10)/10))))))),"")</f>
        <v>13.7930365742089</v>
      </c>
      <c r="BW84">
        <f>IF(AND(ISNUMBER(BV84),逐级计算!$X$74&gt;-1),IF(逐级计算!$X$74=0,BV84+逐级计算!$C$74,BV84+逐级计算!$C$74-(10/(逐级计算!$Q$74*LN(10))*(MAX((LN(10^(逐级计算!$Q$74/10)-1)+逐级计算!$Q$74*(BV84-逐级计算!$P$74)*LN(10)/10),0)+LN(1+EXP(-ABS((LN(10^(逐级计算!$Q$74/10)-1)+逐级计算!$Q$74*(BV84-逐级计算!$P$74)*LN(10)/10))))))),"")</f>
        <v>13.7930365742089</v>
      </c>
      <c r="BX84">
        <f>IF(AND(ISNUMBER(BW84),逐级计算!$X$75&gt;-1),IF(逐级计算!$X$75=0,BW84+逐级计算!$C$75,BW84+逐级计算!$C$75-(10/(逐级计算!$Q$75*LN(10))*(MAX((LN(10^(逐级计算!$Q$75/10)-1)+逐级计算!$Q$75*(BW84-逐级计算!$P$75)*LN(10)/10),0)+LN(1+EXP(-ABS((LN(10^(逐级计算!$Q$75/10)-1)+逐级计算!$Q$75*(BW84-逐级计算!$P$75)*LN(10)/10))))))),"")</f>
        <v>13.7930365742089</v>
      </c>
      <c r="BY84">
        <f>IF(AND(ISNUMBER(BX84),逐级计算!$X$76&gt;-1),IF(逐级计算!$X$76=0,BX84+逐级计算!$C$76,BX84+逐级计算!$C$76-(10/(逐级计算!$Q$76*LN(10))*(MAX((LN(10^(逐级计算!$Q$76/10)-1)+逐级计算!$Q$76*(BX84-逐级计算!$P$76)*LN(10)/10),0)+LN(1+EXP(-ABS((LN(10^(逐级计算!$Q$76/10)-1)+逐级计算!$Q$76*(BX84-逐级计算!$P$76)*LN(10)/10))))))),"")</f>
        <v>13.7930365742089</v>
      </c>
      <c r="BZ84">
        <f>IF(AND(ISNUMBER(BY84),逐级计算!$X$77&gt;-1),IF(逐级计算!$X$77=0,BY84+逐级计算!$C$77,BY84+逐级计算!$C$77-(10/(逐级计算!$Q$77*LN(10))*(MAX((LN(10^(逐级计算!$Q$77/10)-1)+逐级计算!$Q$77*(BY84-逐级计算!$P$77)*LN(10)/10),0)+LN(1+EXP(-ABS((LN(10^(逐级计算!$Q$77/10)-1)+逐级计算!$Q$77*(BY84-逐级计算!$P$77)*LN(10)/10))))))),"")</f>
        <v>13.7930365742089</v>
      </c>
      <c r="CA84">
        <f>IF(AND(ISNUMBER(BZ84),逐级计算!$X$78&gt;-1),IF(逐级计算!$X$78=0,BZ84+逐级计算!$C$78,BZ84+逐级计算!$C$78-(10/(逐级计算!$Q$78*LN(10))*(MAX((LN(10^(逐级计算!$Q$78/10)-1)+逐级计算!$Q$78*(BZ84-逐级计算!$P$78)*LN(10)/10),0)+LN(1+EXP(-ABS((LN(10^(逐级计算!$Q$78/10)-1)+逐级计算!$Q$78*(BZ84-逐级计算!$P$78)*LN(10)/10))))))),"")</f>
        <v>13.7930365742089</v>
      </c>
      <c r="CB84">
        <f>IF(AND(ISNUMBER(CA84),逐级计算!$X$79&gt;-1),IF(逐级计算!$X$79=0,CA84+逐级计算!$C$79,CA84+逐级计算!$C$79-(10/(逐级计算!$Q$79*LN(10))*(MAX((LN(10^(逐级计算!$Q$79/10)-1)+逐级计算!$Q$79*(CA84-逐级计算!$P$79)*LN(10)/10),0)+LN(1+EXP(-ABS((LN(10^(逐级计算!$Q$79/10)-1)+逐级计算!$Q$79*(CA84-逐级计算!$P$79)*LN(10)/10))))))),"")</f>
        <v>13.7930365742089</v>
      </c>
      <c r="CC84">
        <f>IF(AND(ISNUMBER(CB84),逐级计算!$X$80&gt;-1),IF(逐级计算!$X$80=0,CB84+逐级计算!$C$80,CB84+逐级计算!$C$80-(10/(逐级计算!$Q$80*LN(10))*(MAX((LN(10^(逐级计算!$Q$80/10)-1)+逐级计算!$Q$80*(CB84-逐级计算!$P$80)*LN(10)/10),0)+LN(1+EXP(-ABS((LN(10^(逐级计算!$Q$80/10)-1)+逐级计算!$Q$80*(CB84-逐级计算!$P$80)*LN(10)/10))))))),"")</f>
        <v>13.7930365742089</v>
      </c>
      <c r="CD84">
        <f>IF(AND(ISNUMBER(CC84),逐级计算!$X$81&gt;-1),IF(逐级计算!$X$81=0,CC84+逐级计算!$C$81,CC84+逐级计算!$C$81-(10/(逐级计算!$Q$81*LN(10))*(MAX((LN(10^(逐级计算!$Q$81/10)-1)+逐级计算!$Q$81*(CC84-逐级计算!$P$81)*LN(10)/10),0)+LN(1+EXP(-ABS((LN(10^(逐级计算!$Q$81/10)-1)+逐级计算!$Q$81*(CC84-逐级计算!$P$81)*LN(10)/10))))))),"")</f>
        <v>13.7930365742089</v>
      </c>
      <c r="CE84">
        <f>IF(AND(ISNUMBER(CD84),逐级计算!$X$82&gt;-1),IF(逐级计算!$X$82=0,CD84+逐级计算!$C$82,CD84+逐级计算!$C$82-(10/(逐级计算!$Q$82*LN(10))*(MAX((LN(10^(逐级计算!$Q$82/10)-1)+逐级计算!$Q$82*(CD84-逐级计算!$P$82)*LN(10)/10),0)+LN(1+EXP(-ABS((LN(10^(逐级计算!$Q$82/10)-1)+逐级计算!$Q$82*(CD84-逐级计算!$P$82)*LN(10)/10))))))),"")</f>
        <v>13.7930365742089</v>
      </c>
      <c r="CF84">
        <f>IF(AND(ISNUMBER(CE84),逐级计算!$X$83&gt;-1),IF(逐级计算!$X$83=0,CE84+逐级计算!$C$83,CE84+逐级计算!$C$83-(10/(逐级计算!$Q$83*LN(10))*(MAX((LN(10^(逐级计算!$Q$83/10)-1)+逐级计算!$Q$83*(CE84-逐级计算!$P$83)*LN(10)/10),0)+LN(1+EXP(-ABS((LN(10^(逐级计算!$Q$83/10)-1)+逐级计算!$Q$83*(CE84-逐级计算!$P$83)*LN(10)/10))))))),"")</f>
        <v>13.7930365742089</v>
      </c>
      <c r="CG84">
        <f>IF(AND(ISNUMBER(CF84),逐级计算!$X$84&gt;-1),IF(逐级计算!$X$84=0,CF84+逐级计算!$C$84,CF84+逐级计算!$C$84-(10/(逐级计算!$Q$84*LN(10))*(MAX((LN(10^(逐级计算!$Q$84/10)-1)+逐级计算!$Q$84*(CF84-逐级计算!$P$84)*LN(10)/10),0)+LN(1+EXP(-ABS((LN(10^(逐级计算!$Q$84/10)-1)+逐级计算!$Q$84*(CF84-逐级计算!$P$84)*LN(10)/10))))))),"")</f>
        <v>13.7930365742089</v>
      </c>
      <c r="CH84">
        <f>IF(AND(ISNUMBER(CG84),逐级计算!$X$85&gt;-1),IF(逐级计算!$X$85=0,CG84+逐级计算!$C$85,CG84+逐级计算!$C$85-(10/(逐级计算!$Q$85*LN(10))*(MAX((LN(10^(逐级计算!$Q$85/10)-1)+逐级计算!$Q$85*(CG84-逐级计算!$P$85)*LN(10)/10),0)+LN(1+EXP(-ABS((LN(10^(逐级计算!$Q$85/10)-1)+逐级计算!$Q$85*(CG84-逐级计算!$P$85)*LN(10)/10))))))),"")</f>
        <v>13.7930365742089</v>
      </c>
      <c r="CI84">
        <f>IF(AND(ISNUMBER(CH84),逐级计算!$X$86&gt;-1),IF(逐级计算!$X$86=0,CH84+逐级计算!$C$86,CH84+逐级计算!$C$86-(10/(逐级计算!$Q$86*LN(10))*(MAX((LN(10^(逐级计算!$Q$86/10)-1)+逐级计算!$Q$86*(CH84-逐级计算!$P$86)*LN(10)/10),0)+LN(1+EXP(-ABS((LN(10^(逐级计算!$Q$86/10)-1)+逐级计算!$Q$86*(CH84-逐级计算!$P$86)*LN(10)/10))))))),"")</f>
        <v>13.7930365742089</v>
      </c>
      <c r="CJ84">
        <f>IF(AND(ISNUMBER(CI84),逐级计算!$X$87&gt;-1),IF(逐级计算!$X$87=0,CI84+逐级计算!$C$87,CI84+逐级计算!$C$87-(10/(逐级计算!$Q$87*LN(10))*(MAX((LN(10^(逐级计算!$Q$87/10)-1)+逐级计算!$Q$87*(CI84-逐级计算!$P$87)*LN(10)/10),0)+LN(1+EXP(-ABS((LN(10^(逐级计算!$Q$87/10)-1)+逐级计算!$Q$87*(CI84-逐级计算!$P$87)*LN(10)/10))))))),"")</f>
        <v>13.7930365742089</v>
      </c>
      <c r="CK84">
        <f>IF(AND(ISNUMBER(CJ84),逐级计算!$X$88&gt;-1),IF(逐级计算!$X$88=0,CJ84+逐级计算!$C$88,CJ84+逐级计算!$C$88-(10/(逐级计算!$Q$88*LN(10))*(MAX((LN(10^(逐级计算!$Q$88/10)-1)+逐级计算!$Q$88*(CJ84-逐级计算!$P$88)*LN(10)/10),0)+LN(1+EXP(-ABS((LN(10^(逐级计算!$Q$88/10)-1)+逐级计算!$Q$88*(CJ84-逐级计算!$P$88)*LN(10)/10))))))),"")</f>
        <v>13.7930365742089</v>
      </c>
      <c r="CL84">
        <f>IF(AND(ISNUMBER(CK84),逐级计算!$X$89&gt;-1),IF(逐级计算!$X$89=0,CK84+逐级计算!$C$89,CK84+逐级计算!$C$89-(10/(逐级计算!$Q$89*LN(10))*(MAX((LN(10^(逐级计算!$Q$89/10)-1)+逐级计算!$Q$89*(CK84-逐级计算!$P$89)*LN(10)/10),0)+LN(1+EXP(-ABS((LN(10^(逐级计算!$Q$89/10)-1)+逐级计算!$Q$89*(CK84-逐级计算!$P$89)*LN(10)/10))))))),"")</f>
        <v>13.7930365742089</v>
      </c>
      <c r="CM84">
        <f>IF(AND(ISNUMBER(CL84),逐级计算!$X$90&gt;-1),IF(逐级计算!$X$90=0,CL84+逐级计算!$C$90,CL84+逐级计算!$C$90-(10/(逐级计算!$Q$90*LN(10))*(MAX((LN(10^(逐级计算!$Q$90/10)-1)+逐级计算!$Q$90*(CL84-逐级计算!$P$90)*LN(10)/10),0)+LN(1+EXP(-ABS((LN(10^(逐级计算!$Q$90/10)-1)+逐级计算!$Q$90*(CL84-逐级计算!$P$90)*LN(10)/10))))))),"")</f>
        <v>13.7930365742089</v>
      </c>
      <c r="CN84">
        <f>IF(AND(ISNUMBER(CM84),逐级计算!$X$91&gt;-1),IF(逐级计算!$X$91=0,CM84+逐级计算!$C$91,CM84+逐级计算!$C$91-(10/(逐级计算!$Q$91*LN(10))*(MAX((LN(10^(逐级计算!$Q$91/10)-1)+逐级计算!$Q$91*(CM84-逐级计算!$P$91)*LN(10)/10),0)+LN(1+EXP(-ABS((LN(10^(逐级计算!$Q$91/10)-1)+逐级计算!$Q$91*(CM84-逐级计算!$P$91)*LN(10)/10))))))),"")</f>
        <v>13.7930365742089</v>
      </c>
      <c r="CO84">
        <f>IF(AND(ISNUMBER(CN84),逐级计算!$X$92&gt;-1),IF(逐级计算!$X$92=0,CN84+逐级计算!$C$92,CN84+逐级计算!$C$92-(10/(逐级计算!$Q$92*LN(10))*(MAX((LN(10^(逐级计算!$Q$92/10)-1)+逐级计算!$Q$92*(CN84-逐级计算!$P$92)*LN(10)/10),0)+LN(1+EXP(-ABS((LN(10^(逐级计算!$Q$92/10)-1)+逐级计算!$Q$92*(CN84-逐级计算!$P$92)*LN(10)/10))))))),"")</f>
        <v>13.7930365742089</v>
      </c>
      <c r="CP84">
        <f>IF(AND(ISNUMBER(CO84),逐级计算!$X$93&gt;-1),IF(逐级计算!$X$93=0,CO84+逐级计算!$C$93,CO84+逐级计算!$C$93-(10/(逐级计算!$Q$93*LN(10))*(MAX((LN(10^(逐级计算!$Q$93/10)-1)+逐级计算!$Q$93*(CO84-逐级计算!$P$93)*LN(10)/10),0)+LN(1+EXP(-ABS((LN(10^(逐级计算!$Q$93/10)-1)+逐级计算!$Q$93*(CO84-逐级计算!$P$93)*LN(10)/10))))))),"")</f>
        <v>13.7930365742089</v>
      </c>
      <c r="CQ84">
        <f>IF(AND(ISNUMBER(CP84),逐级计算!$X$94&gt;-1),IF(逐级计算!$X$94=0,CP84+逐级计算!$C$94,CP84+逐级计算!$C$94-(10/(逐级计算!$Q$94*LN(10))*(MAX((LN(10^(逐级计算!$Q$94/10)-1)+逐级计算!$Q$94*(CP84-逐级计算!$P$94)*LN(10)/10),0)+LN(1+EXP(-ABS((LN(10^(逐级计算!$Q$94/10)-1)+逐级计算!$Q$94*(CP84-逐级计算!$P$94)*LN(10)/10))))))),"")</f>
        <v>13.7930365742089</v>
      </c>
      <c r="CR84">
        <f>IF(AND(ISNUMBER(CQ84),逐级计算!$X$95&gt;-1),IF(逐级计算!$X$95=0,CQ84+逐级计算!$C$95,CQ84+逐级计算!$C$95-(10/(逐级计算!$Q$95*LN(10))*(MAX((LN(10^(逐级计算!$Q$95/10)-1)+逐级计算!$Q$95*(CQ84-逐级计算!$P$95)*LN(10)/10),0)+LN(1+EXP(-ABS((LN(10^(逐级计算!$Q$95/10)-1)+逐级计算!$Q$95*(CQ84-逐级计算!$P$95)*LN(10)/10))))))),"")</f>
        <v>13.7930365742089</v>
      </c>
      <c r="CS84">
        <f>IF(AND(ISNUMBER(CR84),逐级计算!$X$96&gt;-1),IF(逐级计算!$X$96=0,CR84+逐级计算!$C$96,CR84+逐级计算!$C$96-(10/(逐级计算!$Q$96*LN(10))*(MAX((LN(10^(逐级计算!$Q$96/10)-1)+逐级计算!$Q$96*(CR84-逐级计算!$P$96)*LN(10)/10),0)+LN(1+EXP(-ABS((LN(10^(逐级计算!$Q$96/10)-1)+逐级计算!$Q$96*(CR84-逐级计算!$P$96)*LN(10)/10))))))),"")</f>
        <v>13.7930365742089</v>
      </c>
      <c r="CT84">
        <f>IF(AND(ISNUMBER(CS84),逐级计算!$X$97&gt;-1),IF(逐级计算!$X$97=0,CS84+逐级计算!$C$97,CS84+逐级计算!$C$97-(10/(逐级计算!$Q$97*LN(10))*(MAX((LN(10^(逐级计算!$Q$97/10)-1)+逐级计算!$Q$97*(CS84-逐级计算!$P$97)*LN(10)/10),0)+LN(1+EXP(-ABS((LN(10^(逐级计算!$Q$97/10)-1)+逐级计算!$Q$97*(CS84-逐级计算!$P$97)*LN(10)/10))))))),"")</f>
        <v>13.7930365742089</v>
      </c>
      <c r="CU84">
        <f>IF(AND(ISNUMBER(CT84),逐级计算!$X$98&gt;-1),IF(逐级计算!$X$98=0,CT84+逐级计算!$C$98,CT84+逐级计算!$C$98-(10/(逐级计算!$Q$98*LN(10))*(MAX((LN(10^(逐级计算!$Q$98/10)-1)+逐级计算!$Q$98*(CT84-逐级计算!$P$98)*LN(10)/10),0)+LN(1+EXP(-ABS((LN(10^(逐级计算!$Q$98/10)-1)+逐级计算!$Q$98*(CT84-逐级计算!$P$98)*LN(10)/10))))))),"")</f>
        <v>13.7930365742089</v>
      </c>
      <c r="CV84">
        <f>IF(AND(ISNUMBER(CU84),逐级计算!$X$99&gt;-1),IF(逐级计算!$X$99=0,CU84+逐级计算!$C$99,CU84+逐级计算!$C$99-(10/(逐级计算!$Q$99*LN(10))*(MAX((LN(10^(逐级计算!$Q$99/10)-1)+逐级计算!$Q$99*(CU84-逐级计算!$P$99)*LN(10)/10),0)+LN(1+EXP(-ABS((LN(10^(逐级计算!$Q$99/10)-1)+逐级计算!$Q$99*(CU84-逐级计算!$P$99)*LN(10)/10))))))),"")</f>
        <v>13.7930365742089</v>
      </c>
      <c r="CW84">
        <f>IF(AND(ISNUMBER(CV84),逐级计算!$X$100&gt;-1),IF(逐级计算!$X$100=0,CV84+逐级计算!$C$100,CV84+逐级计算!$C$100-(10/(逐级计算!$Q$100*LN(10))*(MAX((LN(10^(逐级计算!$Q$100/10)-1)+逐级计算!$Q$100*(CV84-逐级计算!$P$100)*LN(10)/10),0)+LN(1+EXP(-ABS((LN(10^(逐级计算!$Q$100/10)-1)+逐级计算!$Q$100*(CV84-逐级计算!$P$100)*LN(10)/10))))))),"")</f>
        <v>13.7930365742089</v>
      </c>
      <c r="CX84">
        <f>IF(AND(ISNUMBER(CW84),逐级计算!$X$101&gt;-1),IF(逐级计算!$X$101=0,CW84+逐级计算!$C$101,CW84+逐级计算!$C$101-(10/(逐级计算!$Q$101*LN(10))*(MAX((LN(10^(逐级计算!$Q$101/10)-1)+逐级计算!$Q$101*(CW84-逐级计算!$P$101)*LN(10)/10),0)+LN(1+EXP(-ABS((LN(10^(逐级计算!$Q$101/10)-1)+逐级计算!$Q$101*(CW84-逐级计算!$P$101)*LN(10)/10))))))),"")</f>
        <v>13.7930365742089</v>
      </c>
      <c r="CY84">
        <f>IF(AND(ISNUMBER(CX84),逐级计算!$X$102&gt;-1),IF(逐级计算!$X$102=0,CX84+逐级计算!$C$102,CX84+逐级计算!$C$102-(10/(逐级计算!$Q$102*LN(10))*(MAX((LN(10^(逐级计算!$Q$102/10)-1)+逐级计算!$Q$102*(CX84-逐级计算!$P$102)*LN(10)/10),0)+LN(1+EXP(-ABS((LN(10^(逐级计算!$Q$102/10)-1)+逐级计算!$Q$102*(CX84-逐级计算!$P$102)*LN(10)/10))))))),"")</f>
        <v>13.7930365742089</v>
      </c>
      <c r="CZ84">
        <f>IF(AND(ISNUMBER(CY84),逐级计算!$X$103&gt;-1),IF(逐级计算!$X$103=0,CY84+逐级计算!$C$103,CY84+逐级计算!$C$103-(10/(逐级计算!$Q$103*LN(10))*(MAX((LN(10^(逐级计算!$Q$103/10)-1)+逐级计算!$Q$103*(CY84-逐级计算!$P$103)*LN(10)/10),0)+LN(1+EXP(-ABS((LN(10^(逐级计算!$Q$103/10)-1)+逐级计算!$Q$103*(CY84-逐级计算!$P$103)*LN(10)/10))))))),"")</f>
        <v>13.7930365742089</v>
      </c>
      <c r="DA84">
        <f>IF(AND(ISNUMBER(CZ84),逐级计算!$X$104&gt;-1),IF(逐级计算!$X$104=0,CZ84+逐级计算!$C$104,CZ84+逐级计算!$C$104-(10/(逐级计算!$Q$104*LN(10))*(MAX((LN(10^(逐级计算!$Q$104/10)-1)+逐级计算!$Q$104*(CZ84-逐级计算!$P$104)*LN(10)/10),0)+LN(1+EXP(-ABS((LN(10^(逐级计算!$Q$104/10)-1)+逐级计算!$Q$104*(CZ84-逐级计算!$P$104)*LN(10)/10))))))),"")</f>
        <v>13.7930365742089</v>
      </c>
      <c r="DB84">
        <f>IF(AND(ISNUMBER(DA84),逐级计算!$X$105&gt;-1),IF(逐级计算!$X$105=0,DA84+逐级计算!$C$105,DA84+逐级计算!$C$105-(10/(逐级计算!$Q$105*LN(10))*(MAX((LN(10^(逐级计算!$Q$105/10)-1)+逐级计算!$Q$105*(DA84-逐级计算!$P$105)*LN(10)/10),0)+LN(1+EXP(-ABS((LN(10^(逐级计算!$Q$105/10)-1)+逐级计算!$Q$105*(DA84-逐级计算!$P$105)*LN(10)/10))))))),"")</f>
        <v>13.7930365742089</v>
      </c>
      <c r="DC84">
        <f>IF(AND(ISNUMBER(DB84),逐级计算!$X$106&gt;-1),IF(逐级计算!$X$106=0,DB84+逐级计算!$C$106,DB84+逐级计算!$C$106-(10/(逐级计算!$Q$106*LN(10))*(MAX((LN(10^(逐级计算!$Q$106/10)-1)+逐级计算!$Q$106*(DB84-逐级计算!$P$106)*LN(10)/10),0)+LN(1+EXP(-ABS((LN(10^(逐级计算!$Q$106/10)-1)+逐级计算!$Q$106*(DB84-逐级计算!$P$106)*LN(10)/10))))))),"")</f>
        <v>13.7930365742089</v>
      </c>
      <c r="DD84">
        <f>IF(AND(ISNUMBER(DC84),逐级计算!$X$107&gt;-1),IF(逐级计算!$X$107=0,DC84+逐级计算!$C$107,DC84+逐级计算!$C$107-(10/(逐级计算!$Q$107*LN(10))*(MAX((LN(10^(逐级计算!$Q$107/10)-1)+逐级计算!$Q$107*(DC84-逐级计算!$P$107)*LN(10)/10),0)+LN(1+EXP(-ABS((LN(10^(逐级计算!$Q$107/10)-1)+逐级计算!$Q$107*(DC84-逐级计算!$P$107)*LN(10)/10))))))),"")</f>
        <v>13.7930365742089</v>
      </c>
      <c r="DE84">
        <f>IF(AND(ISNUMBER(DD84),逐级计算!$X$108&gt;-1),IF(逐级计算!$X$108=0,DD84+逐级计算!$C$108,DD84+逐级计算!$C$108-(10/(逐级计算!$Q$108*LN(10))*(MAX((LN(10^(逐级计算!$Q$108/10)-1)+逐级计算!$Q$108*(DD84-逐级计算!$P$108)*LN(10)/10),0)+LN(1+EXP(-ABS((LN(10^(逐级计算!$Q$108/10)-1)+逐级计算!$Q$108*(DD84-逐级计算!$P$108)*LN(10)/10))))))),"")</f>
        <v>13.7930365742089</v>
      </c>
      <c r="DF84">
        <f>IF(AND(ISNUMBER(DE84),逐级计算!$X$109&gt;-1),IF(逐级计算!$X$109=0,DE84+逐级计算!$C$109,DE84+逐级计算!$C$109-(10/(逐级计算!$Q$109*LN(10))*(MAX((LN(10^(逐级计算!$Q$109/10)-1)+逐级计算!$Q$109*(DE84-逐级计算!$P$109)*LN(10)/10),0)+LN(1+EXP(-ABS((LN(10^(逐级计算!$Q$109/10)-1)+逐级计算!$Q$109*(DE84-逐级计算!$P$109)*LN(10)/10))))))),"")</f>
        <v>13.7930365742089</v>
      </c>
      <c r="DG84">
        <f>IF(AND(ISNUMBER(DF84),逐级计算!$X$110&gt;-1),IF(逐级计算!$X$110=0,DF84+逐级计算!$C$110,DF84+逐级计算!$C$110-(10/(逐级计算!$Q$110*LN(10))*(MAX((LN(10^(逐级计算!$Q$110/10)-1)+逐级计算!$Q$110*(DF84-逐级计算!$P$110)*LN(10)/10),0)+LN(1+EXP(-ABS((LN(10^(逐级计算!$Q$110/10)-1)+逐级计算!$Q$110*(DF84-逐级计算!$P$110)*LN(10)/10))))))),"")</f>
        <v>13.7930365742089</v>
      </c>
      <c r="DH84">
        <f>IF(AND(ISNUMBER(DG84),逐级计算!$X$111&gt;-1),IF(逐级计算!$X$111=0,DG84+逐级计算!$C$111,DG84+逐级计算!$C$111-(10/(逐级计算!$Q$111*LN(10))*(MAX((LN(10^(逐级计算!$Q$111/10)-1)+逐级计算!$Q$111*(DG84-逐级计算!$P$111)*LN(10)/10),0)+LN(1+EXP(-ABS((LN(10^(逐级计算!$Q$111/10)-1)+逐级计算!$Q$111*(DG84-逐级计算!$P$111)*LN(10)/10))))))),"")</f>
        <v>13.7930365742089</v>
      </c>
      <c r="DI84">
        <f>IF(AND(ISNUMBER(DH84),逐级计算!$X$112&gt;-1),IF(逐级计算!$X$112=0,DH84+逐级计算!$C$112,DH84+逐级计算!$C$112-(10/(逐级计算!$Q$112*LN(10))*(MAX((LN(10^(逐级计算!$Q$112/10)-1)+逐级计算!$Q$112*(DH84-逐级计算!$P$112)*LN(10)/10),0)+LN(1+EXP(-ABS((LN(10^(逐级计算!$Q$112/10)-1)+逐级计算!$Q$112*(DH84-逐级计算!$P$112)*LN(10)/10))))))),"")</f>
        <v>13.7930365742089</v>
      </c>
      <c r="DJ84">
        <f>IF(AND(ISNUMBER(DI84),逐级计算!$X$113&gt;-1),IF(逐级计算!$X$113=0,DI84+逐级计算!$C$113,DI84+逐级计算!$C$113-(10/(逐级计算!$Q$113*LN(10))*(MAX((LN(10^(逐级计算!$Q$113/10)-1)+逐级计算!$Q$113*(DI84-逐级计算!$P$113)*LN(10)/10),0)+LN(1+EXP(-ABS((LN(10^(逐级计算!$Q$113/10)-1)+逐级计算!$Q$113*(DI84-逐级计算!$P$113)*LN(10)/10))))))),"")</f>
        <v>13.7930365742089</v>
      </c>
      <c r="DK84">
        <f>IF(AND(ISNUMBER(DJ84),逐级计算!$X$114&gt;-1),IF(逐级计算!$X$114=0,DJ84+逐级计算!$C$114,DJ84+逐级计算!$C$114-(10/(逐级计算!$Q$114*LN(10))*(MAX((LN(10^(逐级计算!$Q$114/10)-1)+逐级计算!$Q$114*(DJ84-逐级计算!$P$114)*LN(10)/10),0)+LN(1+EXP(-ABS((LN(10^(逐级计算!$Q$114/10)-1)+逐级计算!$Q$114*(DJ84-逐级计算!$P$114)*LN(10)/10))))))),"")</f>
        <v>13.7930365742089</v>
      </c>
      <c r="DL84">
        <f>IF(AND(ISNUMBER(DK84),逐级计算!$X$115&gt;-1),IF(逐级计算!$X$115=0,DK84+逐级计算!$C$115,DK84+逐级计算!$C$115-(10/(逐级计算!$Q$115*LN(10))*(MAX((LN(10^(逐级计算!$Q$115/10)-1)+逐级计算!$Q$115*(DK84-逐级计算!$P$115)*LN(10)/10),0)+LN(1+EXP(-ABS((LN(10^(逐级计算!$Q$115/10)-1)+逐级计算!$Q$115*(DK84-逐级计算!$P$115)*LN(10)/10))))))),"")</f>
        <v>13.7930365742089</v>
      </c>
      <c r="DM84">
        <f>IF(AND(ISNUMBER(DL84),逐级计算!$X$116&gt;-1),IF(逐级计算!$X$116=0,DL84+逐级计算!$C$116,DL84+逐级计算!$C$116-(10/(逐级计算!$Q$116*LN(10))*(MAX((LN(10^(逐级计算!$Q$116/10)-1)+逐级计算!$Q$116*(DL84-逐级计算!$P$116)*LN(10)/10),0)+LN(1+EXP(-ABS((LN(10^(逐级计算!$Q$116/10)-1)+逐级计算!$Q$116*(DL84-逐级计算!$P$116)*LN(10)/10))))))),"")</f>
        <v>13.7930365742089</v>
      </c>
      <c r="DN84">
        <f>IF(AND(ISNUMBER(DM84),逐级计算!$X$117&gt;-1),IF(逐级计算!$X$117=0,DM84+逐级计算!$C$117,DM84+逐级计算!$C$117-(10/(逐级计算!$Q$117*LN(10))*(MAX((LN(10^(逐级计算!$Q$117/10)-1)+逐级计算!$Q$117*(DM84-逐级计算!$P$117)*LN(10)/10),0)+LN(1+EXP(-ABS((LN(10^(逐级计算!$Q$117/10)-1)+逐级计算!$Q$117*(DM84-逐级计算!$P$117)*LN(10)/10))))))),"")</f>
        <v>13.7930365742089</v>
      </c>
      <c r="DO84">
        <f>IF(AND(ISNUMBER(DN84),逐级计算!$X$118&gt;-1),IF(逐级计算!$X$118=0,DN84+逐级计算!$C$118,DN84+逐级计算!$C$118-(10/(逐级计算!$Q$118*LN(10))*(MAX((LN(10^(逐级计算!$Q$118/10)-1)+逐级计算!$Q$118*(DN84-逐级计算!$P$118)*LN(10)/10),0)+LN(1+EXP(-ABS((LN(10^(逐级计算!$Q$118/10)-1)+逐级计算!$Q$118*(DN84-逐级计算!$P$118)*LN(10)/10))))))),"")</f>
        <v>13.7930365742089</v>
      </c>
      <c r="DP84">
        <f>IF(AND(ISNUMBER(DO84),逐级计算!$X$119&gt;-1),IF(逐级计算!$X$119=0,DO84+逐级计算!$C$119,DO84+逐级计算!$C$119-(10/(逐级计算!$Q$119*LN(10))*(MAX((LN(10^(逐级计算!$Q$119/10)-1)+逐级计算!$Q$119*(DO84-逐级计算!$P$119)*LN(10)/10),0)+LN(1+EXP(-ABS((LN(10^(逐级计算!$Q$119/10)-1)+逐级计算!$Q$119*(DO84-逐级计算!$P$119)*LN(10)/10))))))),"")</f>
        <v>13.7930365742089</v>
      </c>
      <c r="DQ84">
        <f>IF(AND(ISNUMBER(DP84),逐级计算!$X$120&gt;-1),IF(逐级计算!$X$120=0,DP84+逐级计算!$C$120,DP84+逐级计算!$C$120-(10/(逐级计算!$Q$120*LN(10))*(MAX((LN(10^(逐级计算!$Q$120/10)-1)+逐级计算!$Q$120*(DP84-逐级计算!$P$120)*LN(10)/10),0)+LN(1+EXP(-ABS((LN(10^(逐级计算!$Q$120/10)-1)+逐级计算!$Q$120*(DP84-逐级计算!$P$120)*LN(10)/10))))))),"")</f>
        <v>13.7930365742089</v>
      </c>
      <c r="DR84">
        <f>IF(AND(ISNUMBER(DQ84),逐级计算!$X$121&gt;-1),IF(逐级计算!$X$121=0,DQ84+逐级计算!$C$121,DQ84+逐级计算!$C$121-(10/(逐级计算!$Q$121*LN(10))*(MAX((LN(10^(逐级计算!$Q$121/10)-1)+逐级计算!$Q$121*(DQ84-逐级计算!$P$121)*LN(10)/10),0)+LN(1+EXP(-ABS((LN(10^(逐级计算!$Q$121/10)-1)+逐级计算!$Q$121*(DQ84-逐级计算!$P$121)*LN(10)/10))))))),"")</f>
        <v>13.7930365742089</v>
      </c>
      <c r="DS84">
        <f>IF(AND(ISNUMBER(DR84),逐级计算!$X$122&gt;-1),IF(逐级计算!$X$122=0,DR84+逐级计算!$C$122,DR84+逐级计算!$C$122-(10/(逐级计算!$Q$122*LN(10))*(MAX((LN(10^(逐级计算!$Q$122/10)-1)+逐级计算!$Q$122*(DR84-逐级计算!$P$122)*LN(10)/10),0)+LN(1+EXP(-ABS((LN(10^(逐级计算!$Q$122/10)-1)+逐级计算!$Q$122*(DR84-逐级计算!$P$122)*LN(10)/10))))))),"")</f>
        <v>13.7930365742089</v>
      </c>
      <c r="DT84">
        <f>IF(AND(ISNUMBER(DS84),逐级计算!$X$123&gt;-1),IF(逐级计算!$X$123=0,DS84+逐级计算!$C$123,DS84+逐级计算!$C$123-(10/(逐级计算!$Q$123*LN(10))*(MAX((LN(10^(逐级计算!$Q$123/10)-1)+逐级计算!$Q$123*(DS84-逐级计算!$P$123)*LN(10)/10),0)+LN(1+EXP(-ABS((LN(10^(逐级计算!$Q$123/10)-1)+逐级计算!$Q$123*(DS84-逐级计算!$P$123)*LN(10)/10))))))),"")</f>
        <v>13.7930365742089</v>
      </c>
      <c r="DU84">
        <f>IF(AND(ISNUMBER(DT84),逐级计算!$X$124&gt;-1),IF(逐级计算!$X$124=0,DT84+逐级计算!$C$124,DT84+逐级计算!$C$124-(10/(逐级计算!$Q$124*LN(10))*(MAX((LN(10^(逐级计算!$Q$124/10)-1)+逐级计算!$Q$124*(DT84-逐级计算!$P$124)*LN(10)/10),0)+LN(1+EXP(-ABS((LN(10^(逐级计算!$Q$124/10)-1)+逐级计算!$Q$124*(DT84-逐级计算!$P$124)*LN(10)/10))))))),"")</f>
        <v>13.7930365742089</v>
      </c>
      <c r="DV84">
        <f>IF(AND(ISNUMBER(DU84),逐级计算!$X$125&gt;-1),IF(逐级计算!$X$125=0,DU84+逐级计算!$C$125,DU84+逐级计算!$C$125-(10/(逐级计算!$Q$125*LN(10))*(MAX((LN(10^(逐级计算!$Q$125/10)-1)+逐级计算!$Q$125*(DU84-逐级计算!$P$125)*LN(10)/10),0)+LN(1+EXP(-ABS((LN(10^(逐级计算!$Q$125/10)-1)+逐级计算!$Q$125*(DU84-逐级计算!$P$125)*LN(10)/10))))))),"")</f>
        <v>13.7930365742089</v>
      </c>
      <c r="DW84">
        <f>IF(AND(ISNUMBER(DV84),逐级计算!$X$126&gt;-1),IF(逐级计算!$X$126=0,DV84+逐级计算!$C$126,DV84+逐级计算!$C$126-(10/(逐级计算!$Q$126*LN(10))*(MAX((LN(10^(逐级计算!$Q$126/10)-1)+逐级计算!$Q$126*(DV84-逐级计算!$P$126)*LN(10)/10),0)+LN(1+EXP(-ABS((LN(10^(逐级计算!$Q$126/10)-1)+逐级计算!$Q$126*(DV84-逐级计算!$P$126)*LN(10)/10))))))),"")</f>
        <v>13.7930365742089</v>
      </c>
      <c r="DX84">
        <f>IF(AND(ISNUMBER(DW84),逐级计算!$X$127&gt;-1),IF(逐级计算!$X$127=0,DW84+逐级计算!$C$127,DW84+逐级计算!$C$127-(10/(逐级计算!$Q$127*LN(10))*(MAX((LN(10^(逐级计算!$Q$127/10)-1)+逐级计算!$Q$127*(DW84-逐级计算!$P$127)*LN(10)/10),0)+LN(1+EXP(-ABS((LN(10^(逐级计算!$Q$127/10)-1)+逐级计算!$Q$127*(DW84-逐级计算!$P$127)*LN(10)/10))))))),"")</f>
        <v>13.7930365742089</v>
      </c>
      <c r="DY84">
        <f>IF(AND(ISNUMBER(DX84),逐级计算!$X$128&gt;-1),IF(逐级计算!$X$128=0,DX84+逐级计算!$C$128,DX84+逐级计算!$C$128-(10/(逐级计算!$Q$128*LN(10))*(MAX((LN(10^(逐级计算!$Q$128/10)-1)+逐级计算!$Q$128*(DX84-逐级计算!$P$128)*LN(10)/10),0)+LN(1+EXP(-ABS((LN(10^(逐级计算!$Q$128/10)-1)+逐级计算!$Q$128*(DX84-逐级计算!$P$128)*LN(10)/10))))))),"")</f>
        <v>13.7930365742089</v>
      </c>
      <c r="DZ84">
        <f>IF(AND(ISNUMBER(DY84),逐级计算!$X$129&gt;-1),IF(逐级计算!$X$129=0,DY84+逐级计算!$C$129,DY84+逐级计算!$C$129-(10/(逐级计算!$Q$129*LN(10))*(MAX((LN(10^(逐级计算!$Q$129/10)-1)+逐级计算!$Q$129*(DY84-逐级计算!$P$129)*LN(10)/10),0)+LN(1+EXP(-ABS((LN(10^(逐级计算!$Q$129/10)-1)+逐级计算!$Q$129*(DY84-逐级计算!$P$129)*LN(10)/10))))))),"")</f>
        <v>13.7930365742089</v>
      </c>
      <c r="EA84">
        <f>IF(AND(ISNUMBER(DZ84),逐级计算!$X$130&gt;-1),IF(逐级计算!$X$130=0,DZ84+逐级计算!$C$130,DZ84+逐级计算!$C$130-(10/(逐级计算!$Q$130*LN(10))*(MAX((LN(10^(逐级计算!$Q$130/10)-1)+逐级计算!$Q$130*(DZ84-逐级计算!$P$130)*LN(10)/10),0)+LN(1+EXP(-ABS((LN(10^(逐级计算!$Q$130/10)-1)+逐级计算!$Q$130*(DZ84-逐级计算!$P$130)*LN(10)/10))))))),"")</f>
        <v>13.7930365742089</v>
      </c>
      <c r="EB84">
        <f>IF(AND(ISNUMBER(EA84),逐级计算!$X$131&gt;-1),IF(逐级计算!$X$131=0,EA84+逐级计算!$C$131,EA84+逐级计算!$C$131-(10/(逐级计算!$Q$131*LN(10))*(MAX((LN(10^(逐级计算!$Q$131/10)-1)+逐级计算!$Q$131*(EA84-逐级计算!$P$131)*LN(10)/10),0)+LN(1+EXP(-ABS((LN(10^(逐级计算!$Q$131/10)-1)+逐级计算!$Q$131*(EA84-逐级计算!$P$131)*LN(10)/10))))))),"")</f>
        <v>13.7930365742089</v>
      </c>
      <c r="EC84">
        <f>IF(AND(ISNUMBER(EB84),逐级计算!$X$132&gt;-1),IF(逐级计算!$X$132=0,EB84+逐级计算!$C$132,EB84+逐级计算!$C$132-(10/(逐级计算!$Q$132*LN(10))*(MAX((LN(10^(逐级计算!$Q$132/10)-1)+逐级计算!$Q$132*(EB84-逐级计算!$P$132)*LN(10)/10),0)+LN(1+EXP(-ABS((LN(10^(逐级计算!$Q$132/10)-1)+逐级计算!$Q$132*(EB84-逐级计算!$P$132)*LN(10)/10))))))),"")</f>
        <v>13.7930365742089</v>
      </c>
      <c r="ED84">
        <f>IF(AND(ISNUMBER(EC84),逐级计算!$X$133&gt;-1),IF(逐级计算!$X$133=0,EC84+逐级计算!$C$133,EC84+逐级计算!$C$133-(10/(逐级计算!$Q$133*LN(10))*(MAX((LN(10^(逐级计算!$Q$133/10)-1)+逐级计算!$Q$133*(EC84-逐级计算!$P$133)*LN(10)/10),0)+LN(1+EXP(-ABS((LN(10^(逐级计算!$Q$133/10)-1)+逐级计算!$Q$133*(EC84-逐级计算!$P$133)*LN(10)/10))))))),"")</f>
        <v>13.7930365742089</v>
      </c>
      <c r="EE84">
        <f>IF(AND(ISNUMBER(ED84),逐级计算!$X$134&gt;-1),IF(逐级计算!$X$134=0,ED84+逐级计算!$C$134,ED84+逐级计算!$C$134-(10/(逐级计算!$Q$134*LN(10))*(MAX((LN(10^(逐级计算!$Q$134/10)-1)+逐级计算!$Q$134*(ED84-逐级计算!$P$134)*LN(10)/10),0)+LN(1+EXP(-ABS((LN(10^(逐级计算!$Q$134/10)-1)+逐级计算!$Q$134*(ED84-逐级计算!$P$134)*LN(10)/10))))))),"")</f>
        <v>13.7930365742089</v>
      </c>
      <c r="EF84">
        <f>IF(AND(ISNUMBER(EE84),逐级计算!$X$135&gt;-1),IF(逐级计算!$X$135=0,EE84+逐级计算!$C$135,EE84+逐级计算!$C$135-(10/(逐级计算!$Q$135*LN(10))*(MAX((LN(10^(逐级计算!$Q$135/10)-1)+逐级计算!$Q$135*(EE84-逐级计算!$P$135)*LN(10)/10),0)+LN(1+EXP(-ABS((LN(10^(逐级计算!$Q$135/10)-1)+逐级计算!$Q$135*(EE84-逐级计算!$P$135)*LN(10)/10))))))),"")</f>
        <v>13.7930365742089</v>
      </c>
      <c r="EG84">
        <f>IF(AND(ISNUMBER(EF84),逐级计算!$X$136&gt;-1),IF(逐级计算!$X$136=0,EF84+逐级计算!$C$136,EF84+逐级计算!$C$136-(10/(逐级计算!$Q$136*LN(10))*(MAX((LN(10^(逐级计算!$Q$136/10)-1)+逐级计算!$Q$136*(EF84-逐级计算!$P$136)*LN(10)/10),0)+LN(1+EXP(-ABS((LN(10^(逐级计算!$Q$136/10)-1)+逐级计算!$Q$136*(EF84-逐级计算!$P$136)*LN(10)/10))))))),"")</f>
        <v>13.7930365742089</v>
      </c>
      <c r="EH84">
        <f>IF(AND(ISNUMBER(EG84),逐级计算!$X$137&gt;-1),IF(逐级计算!$X$137=0,EG84+逐级计算!$C$137,EG84+逐级计算!$C$137-(10/(逐级计算!$Q$137*LN(10))*(MAX((LN(10^(逐级计算!$Q$137/10)-1)+逐级计算!$Q$137*(EG84-逐级计算!$P$137)*LN(10)/10),0)+LN(1+EXP(-ABS((LN(10^(逐级计算!$Q$137/10)-1)+逐级计算!$Q$137*(EG84-逐级计算!$P$137)*LN(10)/10))))))),"")</f>
        <v>13.7930365742089</v>
      </c>
      <c r="EI84">
        <f>IF(AND(ISNUMBER(EH84),逐级计算!$X$138&gt;-1),IF(逐级计算!$X$138=0,EH84+逐级计算!$C$138,EH84+逐级计算!$C$138-(10/(逐级计算!$Q$138*LN(10))*(MAX((LN(10^(逐级计算!$Q$138/10)-1)+逐级计算!$Q$138*(EH84-逐级计算!$P$138)*LN(10)/10),0)+LN(1+EXP(-ABS((LN(10^(逐级计算!$Q$138/10)-1)+逐级计算!$Q$138*(EH84-逐级计算!$P$138)*LN(10)/10))))))),"")</f>
        <v>13.7930365742089</v>
      </c>
      <c r="EJ84">
        <f>IF(AND(ISNUMBER(EI84),逐级计算!$X$139&gt;-1),IF(逐级计算!$X$139=0,EI84+逐级计算!$C$139,EI84+逐级计算!$C$139-(10/(逐级计算!$Q$139*LN(10))*(MAX((LN(10^(逐级计算!$Q$139/10)-1)+逐级计算!$Q$139*(EI84-逐级计算!$P$139)*LN(10)/10),0)+LN(1+EXP(-ABS((LN(10^(逐级计算!$Q$139/10)-1)+逐级计算!$Q$139*(EI84-逐级计算!$P$139)*LN(10)/10))))))),"")</f>
        <v>13.7930365742089</v>
      </c>
      <c r="EK84">
        <f>IF(AND(ISNUMBER(EJ84),逐级计算!$X$140&gt;-1),IF(逐级计算!$X$140=0,EJ84+逐级计算!$C$140,EJ84+逐级计算!$C$140-(10/(逐级计算!$Q$140*LN(10))*(MAX((LN(10^(逐级计算!$Q$140/10)-1)+逐级计算!$Q$140*(EJ84-逐级计算!$P$140)*LN(10)/10),0)+LN(1+EXP(-ABS((LN(10^(逐级计算!$Q$140/10)-1)+逐级计算!$Q$140*(EJ84-逐级计算!$P$140)*LN(10)/10))))))),"")</f>
        <v>13.7930365742089</v>
      </c>
      <c r="EL84">
        <f>IF(AND(ISNUMBER(EK84),逐级计算!$X$141&gt;-1),IF(逐级计算!$X$141=0,EK84+逐级计算!$C$141,EK84+逐级计算!$C$141-(10/(逐级计算!$Q$141*LN(10))*(MAX((LN(10^(逐级计算!$Q$141/10)-1)+逐级计算!$Q$141*(EK84-逐级计算!$P$141)*LN(10)/10),0)+LN(1+EXP(-ABS((LN(10^(逐级计算!$Q$141/10)-1)+逐级计算!$Q$141*(EK84-逐级计算!$P$141)*LN(10)/10))))))),"")</f>
        <v>13.7930365742089</v>
      </c>
      <c r="EM84">
        <f>IF(AND(ISNUMBER(EL84),逐级计算!$X$142&gt;-1),IF(逐级计算!$X$142=0,EL84+逐级计算!$C$142,EL84+逐级计算!$C$142-(10/(逐级计算!$Q$142*LN(10))*(MAX((LN(10^(逐级计算!$Q$142/10)-1)+逐级计算!$Q$142*(EL84-逐级计算!$P$142)*LN(10)/10),0)+LN(1+EXP(-ABS((LN(10^(逐级计算!$Q$142/10)-1)+逐级计算!$Q$142*(EL84-逐级计算!$P$142)*LN(10)/10))))))),"")</f>
        <v>13.7930365742089</v>
      </c>
      <c r="EN84">
        <f>IF(AND(ISNUMBER(EM84),逐级计算!$X$143&gt;-1),IF(逐级计算!$X$143=0,EM84+逐级计算!$C$143,EM84+逐级计算!$C$143-(10/(逐级计算!$Q$143*LN(10))*(MAX((LN(10^(逐级计算!$Q$143/10)-1)+逐级计算!$Q$143*(EM84-逐级计算!$P$143)*LN(10)/10),0)+LN(1+EXP(-ABS((LN(10^(逐级计算!$Q$143/10)-1)+逐级计算!$Q$143*(EM84-逐级计算!$P$143)*LN(10)/10))))))),"")</f>
        <v>13.7930365742089</v>
      </c>
      <c r="EO84">
        <f>IF(AND(ISNUMBER(EN84),逐级计算!$X$144&gt;-1),IF(逐级计算!$X$144=0,EN84+逐级计算!$C$144,EN84+逐级计算!$C$144-(10/(逐级计算!$Q$144*LN(10))*(MAX((LN(10^(逐级计算!$Q$144/10)-1)+逐级计算!$Q$144*(EN84-逐级计算!$P$144)*LN(10)/10),0)+LN(1+EXP(-ABS((LN(10^(逐级计算!$Q$144/10)-1)+逐级计算!$Q$144*(EN84-逐级计算!$P$144)*LN(10)/10))))))),"")</f>
        <v>13.7930365742089</v>
      </c>
      <c r="EP84">
        <f>IF(AND(ISNUMBER(EO84),逐级计算!$X$145&gt;-1),IF(逐级计算!$X$145=0,EO84+逐级计算!$C$145,EO84+逐级计算!$C$145-(10/(逐级计算!$Q$145*LN(10))*(MAX((LN(10^(逐级计算!$Q$145/10)-1)+逐级计算!$Q$145*(EO84-逐级计算!$P$145)*LN(10)/10),0)+LN(1+EXP(-ABS((LN(10^(逐级计算!$Q$145/10)-1)+逐级计算!$Q$145*(EO84-逐级计算!$P$145)*LN(10)/10))))))),"")</f>
        <v>13.7930365742089</v>
      </c>
      <c r="EQ84">
        <f>IF(AND(ISNUMBER(EP84),逐级计算!$X$146&gt;-1),IF(逐级计算!$X$146=0,EP84+逐级计算!$C$146,EP84+逐级计算!$C$146-(10/(逐级计算!$Q$146*LN(10))*(MAX((LN(10^(逐级计算!$Q$146/10)-1)+逐级计算!$Q$146*(EP84-逐级计算!$P$146)*LN(10)/10),0)+LN(1+EXP(-ABS((LN(10^(逐级计算!$Q$146/10)-1)+逐级计算!$Q$146*(EP84-逐级计算!$P$146)*LN(10)/10))))))),"")</f>
        <v>13.7930365742089</v>
      </c>
      <c r="ER84">
        <f>IF(AND(ISNUMBER(EQ84),逐级计算!$X$147&gt;-1),IF(逐级计算!$X$147=0,EQ84+逐级计算!$C$147,EQ84+逐级计算!$C$147-(10/(逐级计算!$Q$147*LN(10))*(MAX((LN(10^(逐级计算!$Q$147/10)-1)+逐级计算!$Q$147*(EQ84-逐级计算!$P$147)*LN(10)/10),0)+LN(1+EXP(-ABS((LN(10^(逐级计算!$Q$147/10)-1)+逐级计算!$Q$147*(EQ84-逐级计算!$P$147)*LN(10)/10))))))),"")</f>
        <v>13.7930365742089</v>
      </c>
      <c r="ES84">
        <f>IF(AND(ISNUMBER(ER84),逐级计算!$X$148&gt;-1),IF(逐级计算!$X$148=0,ER84+逐级计算!$C$148,ER84+逐级计算!$C$148-(10/(逐级计算!$Q$148*LN(10))*(MAX((LN(10^(逐级计算!$Q$148/10)-1)+逐级计算!$Q$148*(ER84-逐级计算!$P$148)*LN(10)/10),0)+LN(1+EXP(-ABS((LN(10^(逐级计算!$Q$148/10)-1)+逐级计算!$Q$148*(ER84-逐级计算!$P$148)*LN(10)/10))))))),"")</f>
        <v>13.7930365742089</v>
      </c>
      <c r="ET84">
        <f>IF(AND(ISNUMBER(ES84),逐级计算!$X$149&gt;-1),IF(逐级计算!$X$149=0,ES84+逐级计算!$C$149,ES84+逐级计算!$C$149-(10/(逐级计算!$Q$149*LN(10))*(MAX((LN(10^(逐级计算!$Q$149/10)-1)+逐级计算!$Q$149*(ES84-逐级计算!$P$149)*LN(10)/10),0)+LN(1+EXP(-ABS((LN(10^(逐级计算!$Q$149/10)-1)+逐级计算!$Q$149*(ES84-逐级计算!$P$149)*LN(10)/10))))))),"")</f>
        <v>13.7930365742089</v>
      </c>
      <c r="EU84">
        <f>IF(AND(ISNUMBER(ET84),逐级计算!$X$150&gt;-1),IF(逐级计算!$X$150=0,ET84+逐级计算!$C$150,ET84+逐级计算!$C$150-(10/(逐级计算!$Q$150*LN(10))*(MAX((LN(10^(逐级计算!$Q$150/10)-1)+逐级计算!$Q$150*(ET84-逐级计算!$P$150)*LN(10)/10),0)+LN(1+EXP(-ABS((LN(10^(逐级计算!$Q$150/10)-1)+逐级计算!$Q$150*(ET84-逐级计算!$P$150)*LN(10)/10))))))),"")</f>
        <v>13.7930365742089</v>
      </c>
      <c r="EV84">
        <f>IF(AND(ISNUMBER(EU84),逐级计算!$X$151&gt;-1),IF(逐级计算!$X$151=0,EU84+逐级计算!$C$151,EU84+逐级计算!$C$151-(10/(逐级计算!$Q$151*LN(10))*(MAX((LN(10^(逐级计算!$Q$151/10)-1)+逐级计算!$Q$151*(EU84-逐级计算!$P$151)*LN(10)/10),0)+LN(1+EXP(-ABS((LN(10^(逐级计算!$Q$151/10)-1)+逐级计算!$Q$151*(EU84-逐级计算!$P$151)*LN(10)/10))))))),"")</f>
        <v>13.7930365742089</v>
      </c>
      <c r="EW84">
        <f>IF(AND(ISNUMBER(EV84),逐级计算!$X$152&gt;-1),IF(逐级计算!$X$152=0,EV84+逐级计算!$C$152,EV84+逐级计算!$C$152-(10/(逐级计算!$Q$152*LN(10))*(MAX((LN(10^(逐级计算!$Q$152/10)-1)+逐级计算!$Q$152*(EV84-逐级计算!$P$152)*LN(10)/10),0)+LN(1+EXP(-ABS((LN(10^(逐级计算!$Q$152/10)-1)+逐级计算!$Q$152*(EV84-逐级计算!$P$152)*LN(10)/10))))))),"")</f>
        <v>13.7930365742089</v>
      </c>
      <c r="EX84">
        <f>IF(AND(ISNUMBER(EW84),逐级计算!$X$153&gt;-1),IF(逐级计算!$X$153=0,EW84+逐级计算!$C$153,EW84+逐级计算!$C$153-(10/(逐级计算!$Q$153*LN(10))*(MAX((LN(10^(逐级计算!$Q$153/10)-1)+逐级计算!$Q$153*(EW84-逐级计算!$P$153)*LN(10)/10),0)+LN(1+EXP(-ABS((LN(10^(逐级计算!$Q$153/10)-1)+逐级计算!$Q$153*(EW84-逐级计算!$P$153)*LN(10)/10))))))),"")</f>
        <v>13.7930365742089</v>
      </c>
      <c r="EY84">
        <f>IF(AND(ISNUMBER(EX84),逐级计算!$X$154&gt;-1),IF(逐级计算!$X$154=0,EX84+逐级计算!$C$154,EX84+逐级计算!$C$154-(10/(逐级计算!$Q$154*LN(10))*(MAX((LN(10^(逐级计算!$Q$154/10)-1)+逐级计算!$Q$154*(EX84-逐级计算!$P$154)*LN(10)/10),0)+LN(1+EXP(-ABS((LN(10^(逐级计算!$Q$154/10)-1)+逐级计算!$Q$154*(EX84-逐级计算!$P$154)*LN(10)/10))))))),"")</f>
        <v>13.7930365742089</v>
      </c>
      <c r="EZ84">
        <f>IF(AND(ISNUMBER(EY84),逐级计算!$X$155&gt;-1),IF(逐级计算!$X$155=0,EY84+逐级计算!$C$155,EY84+逐级计算!$C$155-(10/(逐级计算!$Q$155*LN(10))*(MAX((LN(10^(逐级计算!$Q$155/10)-1)+逐级计算!$Q$155*(EY84-逐级计算!$P$155)*LN(10)/10),0)+LN(1+EXP(-ABS((LN(10^(逐级计算!$Q$155/10)-1)+逐级计算!$Q$155*(EY84-逐级计算!$P$155)*LN(10)/10))))))),"")</f>
        <v>13.7930365742089</v>
      </c>
      <c r="FA84">
        <f>IF(AND(ISNUMBER(EZ84),逐级计算!$X$156&gt;-1),IF(逐级计算!$X$156=0,EZ84+逐级计算!$C$156,EZ84+逐级计算!$C$156-(10/(逐级计算!$Q$156*LN(10))*(MAX((LN(10^(逐级计算!$Q$156/10)-1)+逐级计算!$Q$156*(EZ84-逐级计算!$P$156)*LN(10)/10),0)+LN(1+EXP(-ABS((LN(10^(逐级计算!$Q$156/10)-1)+逐级计算!$Q$156*(EZ84-逐级计算!$P$156)*LN(10)/10))))))),"")</f>
        <v>13.7930365742089</v>
      </c>
      <c r="FB84">
        <f>IF(AND(ISNUMBER(FA84),逐级计算!$X$157&gt;-1),IF(逐级计算!$X$157=0,FA84+逐级计算!$C$157,FA84+逐级计算!$C$157-(10/(逐级计算!$Q$157*LN(10))*(MAX((LN(10^(逐级计算!$Q$157/10)-1)+逐级计算!$Q$157*(FA84-逐级计算!$P$157)*LN(10)/10),0)+LN(1+EXP(-ABS((LN(10^(逐级计算!$Q$157/10)-1)+逐级计算!$Q$157*(FA84-逐级计算!$P$157)*LN(10)/10))))))),"")</f>
        <v>13.7930365742089</v>
      </c>
      <c r="FC84">
        <f>IF(AND(ISNUMBER(FB84),逐级计算!$X$158&gt;-1),IF(逐级计算!$X$158=0,FB84+逐级计算!$C$158,FB84+逐级计算!$C$158-(10/(逐级计算!$Q$158*LN(10))*(MAX((LN(10^(逐级计算!$Q$158/10)-1)+逐级计算!$Q$158*(FB84-逐级计算!$P$158)*LN(10)/10),0)+LN(1+EXP(-ABS((LN(10^(逐级计算!$Q$158/10)-1)+逐级计算!$Q$158*(FB84-逐级计算!$P$158)*LN(10)/10))))))),"")</f>
        <v>13.7930365742089</v>
      </c>
      <c r="FD84">
        <f>IF(AND(ISNUMBER(FC84),逐级计算!$X$159&gt;-1),IF(逐级计算!$X$159=0,FC84+逐级计算!$C$159,FC84+逐级计算!$C$159-(10/(逐级计算!$Q$159*LN(10))*(MAX((LN(10^(逐级计算!$Q$159/10)-1)+逐级计算!$Q$159*(FC84-逐级计算!$P$159)*LN(10)/10),0)+LN(1+EXP(-ABS((LN(10^(逐级计算!$Q$159/10)-1)+逐级计算!$Q$159*(FC84-逐级计算!$P$159)*LN(10)/10))))))),"")</f>
        <v>13.7930365742089</v>
      </c>
      <c r="FE84">
        <f>IF(AND(ISNUMBER(FD84),逐级计算!$X$160&gt;-1),IF(逐级计算!$X$160=0,FD84+逐级计算!$C$160,FD84+逐级计算!$C$160-(10/(逐级计算!$Q$160*LN(10))*(MAX((LN(10^(逐级计算!$Q$160/10)-1)+逐级计算!$Q$160*(FD84-逐级计算!$P$160)*LN(10)/10),0)+LN(1+EXP(-ABS((LN(10^(逐级计算!$Q$160/10)-1)+逐级计算!$Q$160*(FD84-逐级计算!$P$160)*LN(10)/10))))))),"")</f>
        <v>13.7930365742089</v>
      </c>
      <c r="FF84">
        <f>IF(AND(ISNUMBER(FE84),逐级计算!$X$161&gt;-1),IF(逐级计算!$X$161=0,FE84+逐级计算!$C$161,FE84+逐级计算!$C$161-(10/(逐级计算!$Q$161*LN(10))*(MAX((LN(10^(逐级计算!$Q$161/10)-1)+逐级计算!$Q$161*(FE84-逐级计算!$P$161)*LN(10)/10),0)+LN(1+EXP(-ABS((LN(10^(逐级计算!$Q$161/10)-1)+逐级计算!$Q$161*(FE84-逐级计算!$P$161)*LN(10)/10))))))),"")</f>
        <v>13.7930365742089</v>
      </c>
      <c r="FG84">
        <f>IF(AND(ISNUMBER(FF84),逐级计算!$X$162&gt;-1),IF(逐级计算!$X$162=0,FF84+逐级计算!$C$162,FF84+逐级计算!$C$162-(10/(逐级计算!$Q$162*LN(10))*(MAX((LN(10^(逐级计算!$Q$162/10)-1)+逐级计算!$Q$162*(FF84-逐级计算!$P$162)*LN(10)/10),0)+LN(1+EXP(-ABS((LN(10^(逐级计算!$Q$162/10)-1)+逐级计算!$Q$162*(FF84-逐级计算!$P$162)*LN(10)/10))))))),"")</f>
        <v>13.7930365742089</v>
      </c>
      <c r="FH84">
        <f>IF(AND(ISNUMBER(FG84),逐级计算!$X$163&gt;-1),IF(逐级计算!$X$163=0,FG84+逐级计算!$C$163,FG84+逐级计算!$C$163-(10/(逐级计算!$Q$163*LN(10))*(MAX((LN(10^(逐级计算!$Q$163/10)-1)+逐级计算!$Q$163*(FG84-逐级计算!$P$163)*LN(10)/10),0)+LN(1+EXP(-ABS((LN(10^(逐级计算!$Q$163/10)-1)+逐级计算!$Q$163*(FG84-逐级计算!$P$163)*LN(10)/10))))))),"")</f>
        <v>13.7930365742089</v>
      </c>
      <c r="FI84">
        <f>IF(AND(ISNUMBER(FH84),逐级计算!$X$164&gt;-1),IF(逐级计算!$X$164=0,FH84+逐级计算!$C$164,FH84+逐级计算!$C$164-(10/(逐级计算!$Q$164*LN(10))*(MAX((LN(10^(逐级计算!$Q$164/10)-1)+逐级计算!$Q$164*(FH84-逐级计算!$P$164)*LN(10)/10),0)+LN(1+EXP(-ABS((LN(10^(逐级计算!$Q$164/10)-1)+逐级计算!$Q$164*(FH84-逐级计算!$P$164)*LN(10)/10))))))),"")</f>
        <v>13.7930365742089</v>
      </c>
      <c r="FJ84">
        <f>IF(AND(ISNUMBER(FI84),逐级计算!$X$165&gt;-1),IF(逐级计算!$X$165=0,FI84+逐级计算!$C$165,FI84+逐级计算!$C$165-(10/(逐级计算!$Q$165*LN(10))*(MAX((LN(10^(逐级计算!$Q$165/10)-1)+逐级计算!$Q$165*(FI84-逐级计算!$P$165)*LN(10)/10),0)+LN(1+EXP(-ABS((LN(10^(逐级计算!$Q$165/10)-1)+逐级计算!$Q$165*(FI84-逐级计算!$P$165)*LN(10)/10))))))),"")</f>
        <v>13.7930365742089</v>
      </c>
      <c r="FK84">
        <f>IF(AND(ISNUMBER(FJ84),逐级计算!$X$166&gt;-1),IF(逐级计算!$X$166=0,FJ84+逐级计算!$C$166,FJ84+逐级计算!$C$166-(10/(逐级计算!$Q$166*LN(10))*(MAX((LN(10^(逐级计算!$Q$166/10)-1)+逐级计算!$Q$166*(FJ84-逐级计算!$P$166)*LN(10)/10),0)+LN(1+EXP(-ABS((LN(10^(逐级计算!$Q$166/10)-1)+逐级计算!$Q$166*(FJ84-逐级计算!$P$166)*LN(10)/10))))))),"")</f>
        <v>13.7930365742089</v>
      </c>
      <c r="FL84">
        <f>IF(AND(ISNUMBER(FK84),逐级计算!$X$167&gt;-1),IF(逐级计算!$X$167=0,FK84+逐级计算!$C$167,FK84+逐级计算!$C$167-(10/(逐级计算!$Q$167*LN(10))*(MAX((LN(10^(逐级计算!$Q$167/10)-1)+逐级计算!$Q$167*(FK84-逐级计算!$P$167)*LN(10)/10),0)+LN(1+EXP(-ABS((LN(10^(逐级计算!$Q$167/10)-1)+逐级计算!$Q$167*(FK84-逐级计算!$P$167)*LN(10)/10))))))),"")</f>
        <v>13.7930365742089</v>
      </c>
      <c r="FM84">
        <f>IF(AND(ISNUMBER(FL84),逐级计算!$X$168&gt;-1),IF(逐级计算!$X$168=0,FL84+逐级计算!$C$168,FL84+逐级计算!$C$168-(10/(逐级计算!$Q$168*LN(10))*(MAX((LN(10^(逐级计算!$Q$168/10)-1)+逐级计算!$Q$168*(FL84-逐级计算!$P$168)*LN(10)/10),0)+LN(1+EXP(-ABS((LN(10^(逐级计算!$Q$168/10)-1)+逐级计算!$Q$168*(FL84-逐级计算!$P$168)*LN(10)/10))))))),"")</f>
        <v>13.7930365742089</v>
      </c>
      <c r="FN84">
        <f>IF(AND(ISNUMBER(FM84),逐级计算!$X$169&gt;-1),IF(逐级计算!$X$169=0,FM84+逐级计算!$C$169,FM84+逐级计算!$C$169-(10/(逐级计算!$Q$169*LN(10))*(MAX((LN(10^(逐级计算!$Q$169/10)-1)+逐级计算!$Q$169*(FM84-逐级计算!$P$169)*LN(10)/10),0)+LN(1+EXP(-ABS((LN(10^(逐级计算!$Q$169/10)-1)+逐级计算!$Q$169*(FM84-逐级计算!$P$169)*LN(10)/10))))))),"")</f>
        <v>13.7930365742089</v>
      </c>
      <c r="FO84">
        <f>IF(AND(ISNUMBER(FN84),逐级计算!$X$170&gt;-1),IF(逐级计算!$X$170=0,FN84+逐级计算!$C$170,FN84+逐级计算!$C$170-(10/(逐级计算!$Q$170*LN(10))*(MAX((LN(10^(逐级计算!$Q$170/10)-1)+逐级计算!$Q$170*(FN84-逐级计算!$P$170)*LN(10)/10),0)+LN(1+EXP(-ABS((LN(10^(逐级计算!$Q$170/10)-1)+逐级计算!$Q$170*(FN84-逐级计算!$P$170)*LN(10)/10))))))),"")</f>
        <v>13.7930365742089</v>
      </c>
      <c r="FP84">
        <f>IF(AND(ISNUMBER(FO84),逐级计算!$X$171&gt;-1),IF(逐级计算!$X$171=0,FO84+逐级计算!$C$171,FO84+逐级计算!$C$171-(10/(逐级计算!$Q$171*LN(10))*(MAX((LN(10^(逐级计算!$Q$171/10)-1)+逐级计算!$Q$171*(FO84-逐级计算!$P$171)*LN(10)/10),0)+LN(1+EXP(-ABS((LN(10^(逐级计算!$Q$171/10)-1)+逐级计算!$Q$171*(FO84-逐级计算!$P$171)*LN(10)/10))))))),"")</f>
        <v>13.7930365742089</v>
      </c>
      <c r="FQ84">
        <f>IF(AND(ISNUMBER(FP84),逐级计算!$X$172&gt;-1),IF(逐级计算!$X$172=0,FP84+逐级计算!$C$172,FP84+逐级计算!$C$172-(10/(逐级计算!$Q$172*LN(10))*(MAX((LN(10^(逐级计算!$Q$172/10)-1)+逐级计算!$Q$172*(FP84-逐级计算!$P$172)*LN(10)/10),0)+LN(1+EXP(-ABS((LN(10^(逐级计算!$Q$172/10)-1)+逐级计算!$Q$172*(FP84-逐级计算!$P$172)*LN(10)/10))))))),"")</f>
        <v>13.7930365742089</v>
      </c>
      <c r="FR84">
        <f>IF(AND(ISNUMBER(FQ84),逐级计算!$X$173&gt;-1),IF(逐级计算!$X$173=0,FQ84+逐级计算!$C$173,FQ84+逐级计算!$C$173-(10/(逐级计算!$Q$173*LN(10))*(MAX((LN(10^(逐级计算!$Q$173/10)-1)+逐级计算!$Q$173*(FQ84-逐级计算!$P$173)*LN(10)/10),0)+LN(1+EXP(-ABS((LN(10^(逐级计算!$Q$173/10)-1)+逐级计算!$Q$173*(FQ84-逐级计算!$P$173)*LN(10)/10))))))),"")</f>
        <v>13.7930365742089</v>
      </c>
      <c r="FS84">
        <f>IF(AND(ISNUMBER(FR84),逐级计算!$X$174&gt;-1),IF(逐级计算!$X$174=0,FR84+逐级计算!$C$174,FR84+逐级计算!$C$174-(10/(逐级计算!$Q$174*LN(10))*(MAX((LN(10^(逐级计算!$Q$174/10)-1)+逐级计算!$Q$174*(FR84-逐级计算!$P$174)*LN(10)/10),0)+LN(1+EXP(-ABS((LN(10^(逐级计算!$Q$174/10)-1)+逐级计算!$Q$174*(FR84-逐级计算!$P$174)*LN(10)/10))))))),"")</f>
        <v>13.7930365742089</v>
      </c>
      <c r="FT84">
        <f>IF(AND(ISNUMBER(FS84),逐级计算!$X$175&gt;-1),IF(逐级计算!$X$175=0,FS84+逐级计算!$C$175,FS84+逐级计算!$C$175-(10/(逐级计算!$Q$175*LN(10))*(MAX((LN(10^(逐级计算!$Q$175/10)-1)+逐级计算!$Q$175*(FS84-逐级计算!$P$175)*LN(10)/10),0)+LN(1+EXP(-ABS((LN(10^(逐级计算!$Q$175/10)-1)+逐级计算!$Q$175*(FS84-逐级计算!$P$175)*LN(10)/10))))))),"")</f>
        <v>13.7930365742089</v>
      </c>
      <c r="FU84">
        <f>IF(AND(ISNUMBER(FT84),逐级计算!$X$176&gt;-1),IF(逐级计算!$X$176=0,FT84+逐级计算!$C$176,FT84+逐级计算!$C$176-(10/(逐级计算!$Q$176*LN(10))*(MAX((LN(10^(逐级计算!$Q$176/10)-1)+逐级计算!$Q$176*(FT84-逐级计算!$P$176)*LN(10)/10),0)+LN(1+EXP(-ABS((LN(10^(逐级计算!$Q$176/10)-1)+逐级计算!$Q$176*(FT84-逐级计算!$P$176)*LN(10)/10))))))),"")</f>
        <v>13.7930365742089</v>
      </c>
      <c r="FV84">
        <f>IF(AND(ISNUMBER(FU84),逐级计算!$X$177&gt;-1),IF(逐级计算!$X$177=0,FU84+逐级计算!$C$177,FU84+逐级计算!$C$177-(10/(逐级计算!$Q$177*LN(10))*(MAX((LN(10^(逐级计算!$Q$177/10)-1)+逐级计算!$Q$177*(FU84-逐级计算!$P$177)*LN(10)/10),0)+LN(1+EXP(-ABS((LN(10^(逐级计算!$Q$177/10)-1)+逐级计算!$Q$177*(FU84-逐级计算!$P$177)*LN(10)/10))))))),"")</f>
        <v>13.7930365742089</v>
      </c>
      <c r="FW84">
        <f>IF(AND(ISNUMBER(FV84),逐级计算!$X$178&gt;-1),IF(逐级计算!$X$178=0,FV84+逐级计算!$C$178,FV84+逐级计算!$C$178-(10/(逐级计算!$Q$178*LN(10))*(MAX((LN(10^(逐级计算!$Q$178/10)-1)+逐级计算!$Q$178*(FV84-逐级计算!$P$178)*LN(10)/10),0)+LN(1+EXP(-ABS((LN(10^(逐级计算!$Q$178/10)-1)+逐级计算!$Q$178*(FV84-逐级计算!$P$178)*LN(10)/10))))))),"")</f>
        <v>13.7930365742089</v>
      </c>
      <c r="FX84">
        <f>IF(AND(ISNUMBER(FW84),逐级计算!$X$179&gt;-1),IF(逐级计算!$X$179=0,FW84+逐级计算!$C$179,FW84+逐级计算!$C$179-(10/(逐级计算!$Q$179*LN(10))*(MAX((LN(10^(逐级计算!$Q$179/10)-1)+逐级计算!$Q$179*(FW84-逐级计算!$P$179)*LN(10)/10),0)+LN(1+EXP(-ABS((LN(10^(逐级计算!$Q$179/10)-1)+逐级计算!$Q$179*(FW84-逐级计算!$P$179)*LN(10)/10))))))),"")</f>
        <v>13.7930365742089</v>
      </c>
      <c r="FY84">
        <f>IF(AND(ISNUMBER(FX84),逐级计算!$X$180&gt;-1),IF(逐级计算!$X$180=0,FX84+逐级计算!$C$180,FX84+逐级计算!$C$180-(10/(逐级计算!$Q$180*LN(10))*(MAX((LN(10^(逐级计算!$Q$180/10)-1)+逐级计算!$Q$180*(FX84-逐级计算!$P$180)*LN(10)/10),0)+LN(1+EXP(-ABS((LN(10^(逐级计算!$Q$180/10)-1)+逐级计算!$Q$180*(FX84-逐级计算!$P$180)*LN(10)/10))))))),"")</f>
        <v>13.7930365742089</v>
      </c>
      <c r="FZ84">
        <f>IF(AND(ISNUMBER(FY84),逐级计算!$X$181&gt;-1),IF(逐级计算!$X$181=0,FY84+逐级计算!$C$181,FY84+逐级计算!$C$181-(10/(逐级计算!$Q$181*LN(10))*(MAX((LN(10^(逐级计算!$Q$181/10)-1)+逐级计算!$Q$181*(FY84-逐级计算!$P$181)*LN(10)/10),0)+LN(1+EXP(-ABS((LN(10^(逐级计算!$Q$181/10)-1)+逐级计算!$Q$181*(FY84-逐级计算!$P$181)*LN(10)/10))))))),"")</f>
        <v>13.7930365742089</v>
      </c>
      <c r="GA84">
        <f>IF(AND(ISNUMBER(FZ84),逐级计算!$X$182&gt;-1),IF(逐级计算!$X$182=0,FZ84+逐级计算!$C$182,FZ84+逐级计算!$C$182-(10/(逐级计算!$Q$182*LN(10))*(MAX((LN(10^(逐级计算!$Q$182/10)-1)+逐级计算!$Q$182*(FZ84-逐级计算!$P$182)*LN(10)/10),0)+LN(1+EXP(-ABS((LN(10^(逐级计算!$Q$182/10)-1)+逐级计算!$Q$182*(FZ84-逐级计算!$P$182)*LN(10)/10))))))),"")</f>
        <v>13.7930365742089</v>
      </c>
      <c r="GB84">
        <f>IF(AND(ISNUMBER(GA84),逐级计算!$X$183&gt;-1),IF(逐级计算!$X$183=0,GA84+逐级计算!$C$183,GA84+逐级计算!$C$183-(10/(逐级计算!$Q$183*LN(10))*(MAX((LN(10^(逐级计算!$Q$183/10)-1)+逐级计算!$Q$183*(GA84-逐级计算!$P$183)*LN(10)/10),0)+LN(1+EXP(-ABS((LN(10^(逐级计算!$Q$183/10)-1)+逐级计算!$Q$183*(GA84-逐级计算!$P$183)*LN(10)/10))))))),"")</f>
        <v>13.7930365742089</v>
      </c>
      <c r="GC84">
        <f>IF(AND(ISNUMBER(GB84),逐级计算!$X$184&gt;-1),IF(逐级计算!$X$184=0,GB84+逐级计算!$C$184,GB84+逐级计算!$C$184-(10/(逐级计算!$Q$184*LN(10))*(MAX((LN(10^(逐级计算!$Q$184/10)-1)+逐级计算!$Q$184*(GB84-逐级计算!$P$184)*LN(10)/10),0)+LN(1+EXP(-ABS((LN(10^(逐级计算!$Q$184/10)-1)+逐级计算!$Q$184*(GB84-逐级计算!$P$184)*LN(10)/10))))))),"")</f>
        <v>13.7930365742089</v>
      </c>
      <c r="GD84">
        <f>IF(AND(ISNUMBER(GC84),逐级计算!$X$185&gt;-1),IF(逐级计算!$X$185=0,GC84+逐级计算!$C$185,GC84+逐级计算!$C$185-(10/(逐级计算!$Q$185*LN(10))*(MAX((LN(10^(逐级计算!$Q$185/10)-1)+逐级计算!$Q$185*(GC84-逐级计算!$P$185)*LN(10)/10),0)+LN(1+EXP(-ABS((LN(10^(逐级计算!$Q$185/10)-1)+逐级计算!$Q$185*(GC84-逐级计算!$P$185)*LN(10)/10))))))),"")</f>
        <v>13.7930365742089</v>
      </c>
      <c r="GE84">
        <f>IF(AND(ISNUMBER(GD84),逐级计算!$X$186&gt;-1),IF(逐级计算!$X$186=0,GD84+逐级计算!$C$186,GD84+逐级计算!$C$186-(10/(逐级计算!$Q$186*LN(10))*(MAX((LN(10^(逐级计算!$Q$186/10)-1)+逐级计算!$Q$186*(GD84-逐级计算!$P$186)*LN(10)/10),0)+LN(1+EXP(-ABS((LN(10^(逐级计算!$Q$186/10)-1)+逐级计算!$Q$186*(GD84-逐级计算!$P$186)*LN(10)/10))))))),"")</f>
        <v>13.7930365742089</v>
      </c>
      <c r="GF84">
        <f>IF(AND(ISNUMBER(GE84),逐级计算!$X$187&gt;-1),IF(逐级计算!$X$187=0,GE84+逐级计算!$C$187,GE84+逐级计算!$C$187-(10/(逐级计算!$Q$187*LN(10))*(MAX((LN(10^(逐级计算!$Q$187/10)-1)+逐级计算!$Q$187*(GE84-逐级计算!$P$187)*LN(10)/10),0)+LN(1+EXP(-ABS((LN(10^(逐级计算!$Q$187/10)-1)+逐级计算!$Q$187*(GE84-逐级计算!$P$187)*LN(10)/10))))))),"")</f>
        <v>13.7930365742089</v>
      </c>
      <c r="GG84">
        <f>IF(AND(ISNUMBER(GF84),逐级计算!$X$188&gt;-1),IF(逐级计算!$X$188=0,GF84+逐级计算!$C$188,GF84+逐级计算!$C$188-(10/(逐级计算!$Q$188*LN(10))*(MAX((LN(10^(逐级计算!$Q$188/10)-1)+逐级计算!$Q$188*(GF84-逐级计算!$P$188)*LN(10)/10),0)+LN(1+EXP(-ABS((LN(10^(逐级计算!$Q$188/10)-1)+逐级计算!$Q$188*(GF84-逐级计算!$P$188)*LN(10)/10))))))),"")</f>
        <v>13.7930365742089</v>
      </c>
      <c r="GH84">
        <f>IF(AND(ISNUMBER(GG84),逐级计算!$X$189&gt;-1),IF(逐级计算!$X$189=0,GG84+逐级计算!$C$189,GG84+逐级计算!$C$189-(10/(逐级计算!$Q$189*LN(10))*(MAX((LN(10^(逐级计算!$Q$189/10)-1)+逐级计算!$Q$189*(GG84-逐级计算!$P$189)*LN(10)/10),0)+LN(1+EXP(-ABS((LN(10^(逐级计算!$Q$189/10)-1)+逐级计算!$Q$189*(GG84-逐级计算!$P$189)*LN(10)/10))))))),"")</f>
        <v>13.7930365742089</v>
      </c>
      <c r="GI84">
        <f>IF(AND(ISNUMBER(GH84),逐级计算!$X$190&gt;-1),IF(逐级计算!$X$190=0,GH84+逐级计算!$C$190,GH84+逐级计算!$C$190-(10/(逐级计算!$Q$190*LN(10))*(MAX((LN(10^(逐级计算!$Q$190/10)-1)+逐级计算!$Q$190*(GH84-逐级计算!$P$190)*LN(10)/10),0)+LN(1+EXP(-ABS((LN(10^(逐级计算!$Q$190/10)-1)+逐级计算!$Q$190*(GH84-逐级计算!$P$190)*LN(10)/10))))))),"")</f>
        <v>13.7930365742089</v>
      </c>
      <c r="GJ84">
        <f>IF(AND(ISNUMBER(GI84),逐级计算!$X$191&gt;-1),IF(逐级计算!$X$191=0,GI84+逐级计算!$C$191,GI84+逐级计算!$C$191-(10/(逐级计算!$Q$191*LN(10))*(MAX((LN(10^(逐级计算!$Q$191/10)-1)+逐级计算!$Q$191*(GI84-逐级计算!$P$191)*LN(10)/10),0)+LN(1+EXP(-ABS((LN(10^(逐级计算!$Q$191/10)-1)+逐级计算!$Q$191*(GI84-逐级计算!$P$191)*LN(10)/10))))))),"")</f>
        <v>13.7930365742089</v>
      </c>
      <c r="GK84">
        <f>IF(AND(ISNUMBER(GJ84),逐级计算!$X$192&gt;-1),IF(逐级计算!$X$192=0,GJ84+逐级计算!$C$192,GJ84+逐级计算!$C$192-(10/(逐级计算!$Q$192*LN(10))*(MAX((LN(10^(逐级计算!$Q$192/10)-1)+逐级计算!$Q$192*(GJ84-逐级计算!$P$192)*LN(10)/10),0)+LN(1+EXP(-ABS((LN(10^(逐级计算!$Q$192/10)-1)+逐级计算!$Q$192*(GJ84-逐级计算!$P$192)*LN(10)/10))))))),"")</f>
        <v>13.7930365742089</v>
      </c>
      <c r="GL84">
        <f>IF(AND(ISNUMBER(GK84),逐级计算!$X$193&gt;-1),IF(逐级计算!$X$193=0,GK84+逐级计算!$C$193,GK84+逐级计算!$C$193-(10/(逐级计算!$Q$193*LN(10))*(MAX((LN(10^(逐级计算!$Q$193/10)-1)+逐级计算!$Q$193*(GK84-逐级计算!$P$193)*LN(10)/10),0)+LN(1+EXP(-ABS((LN(10^(逐级计算!$Q$193/10)-1)+逐级计算!$Q$193*(GK84-逐级计算!$P$193)*LN(10)/10))))))),"")</f>
        <v>13.7930365742089</v>
      </c>
      <c r="GM84">
        <f>IF(AND(ISNUMBER(GL84),逐级计算!$X$194&gt;-1),IF(逐级计算!$X$194=0,GL84+逐级计算!$C$194,GL84+逐级计算!$C$194-(10/(逐级计算!$Q$194*LN(10))*(MAX((LN(10^(逐级计算!$Q$194/10)-1)+逐级计算!$Q$194*(GL84-逐级计算!$P$194)*LN(10)/10),0)+LN(1+EXP(-ABS((LN(10^(逐级计算!$Q$194/10)-1)+逐级计算!$Q$194*(GL84-逐级计算!$P$194)*LN(10)/10))))))),"")</f>
        <v>13.7930365742089</v>
      </c>
      <c r="GN84">
        <f>IF(AND(ISNUMBER(GM84),逐级计算!$X$195&gt;-1),IF(逐级计算!$X$195=0,GM84+逐级计算!$C$195,GM84+逐级计算!$C$195-(10/(逐级计算!$Q$195*LN(10))*(MAX((LN(10^(逐级计算!$Q$195/10)-1)+逐级计算!$Q$195*(GM84-逐级计算!$P$195)*LN(10)/10),0)+LN(1+EXP(-ABS((LN(10^(逐级计算!$Q$195/10)-1)+逐级计算!$Q$195*(GM84-逐级计算!$P$195)*LN(10)/10))))))),"")</f>
        <v>13.7930365742089</v>
      </c>
      <c r="GO84">
        <f>IF(AND(ISNUMBER(GN84),逐级计算!$X$196&gt;-1),IF(逐级计算!$X$196=0,GN84+逐级计算!$C$196,GN84+逐级计算!$C$196-(10/(逐级计算!$Q$196*LN(10))*(MAX((LN(10^(逐级计算!$Q$196/10)-1)+逐级计算!$Q$196*(GN84-逐级计算!$P$196)*LN(10)/10),0)+LN(1+EXP(-ABS((LN(10^(逐级计算!$Q$196/10)-1)+逐级计算!$Q$196*(GN84-逐级计算!$P$196)*LN(10)/10))))))),"")</f>
        <v>13.7930365742089</v>
      </c>
      <c r="GP84">
        <f>IF(AND(ISNUMBER(GO84),逐级计算!$X$197&gt;-1),IF(逐级计算!$X$197=0,GO84+逐级计算!$C$197,GO84+逐级计算!$C$197-(10/(逐级计算!$Q$197*LN(10))*(MAX((LN(10^(逐级计算!$Q$197/10)-1)+逐级计算!$Q$197*(GO84-逐级计算!$P$197)*LN(10)/10),0)+LN(1+EXP(-ABS((LN(10^(逐级计算!$Q$197/10)-1)+逐级计算!$Q$197*(GO84-逐级计算!$P$197)*LN(10)/10))))))),"")</f>
        <v>13.7930365742089</v>
      </c>
      <c r="GQ84">
        <f>IF(AND(ISNUMBER(GP84),逐级计算!$X$198&gt;-1),IF(逐级计算!$X$198=0,GP84+逐级计算!$C$198,GP84+逐级计算!$C$198-(10/(逐级计算!$Q$198*LN(10))*(MAX((LN(10^(逐级计算!$Q$198/10)-1)+逐级计算!$Q$198*(GP84-逐级计算!$P$198)*LN(10)/10),0)+LN(1+EXP(-ABS((LN(10^(逐级计算!$Q$198/10)-1)+逐级计算!$Q$198*(GP84-逐级计算!$P$198)*LN(10)/10))))))),"")</f>
        <v>13.7930365742089</v>
      </c>
      <c r="GR84">
        <f>IF(AND(ISNUMBER(GQ84),逐级计算!$X$199&gt;-1),IF(逐级计算!$X$199=0,GQ84+逐级计算!$C$199,GQ84+逐级计算!$C$199-(10/(逐级计算!$Q$199*LN(10))*(MAX((LN(10^(逐级计算!$Q$199/10)-1)+逐级计算!$Q$199*(GQ84-逐级计算!$P$199)*LN(10)/10),0)+LN(1+EXP(-ABS((LN(10^(逐级计算!$Q$199/10)-1)+逐级计算!$Q$199*(GQ84-逐级计算!$P$199)*LN(10)/10))))))),"")</f>
        <v>13.7930365742089</v>
      </c>
      <c r="GS84">
        <f>IF(AND(ISNUMBER(GR84),逐级计算!$X$200&gt;-1),IF(逐级计算!$X$200=0,GR84+逐级计算!$C$200,GR84+逐级计算!$C$200-(10/(逐级计算!$Q$200*LN(10))*(MAX((LN(10^(逐级计算!$Q$200/10)-1)+逐级计算!$Q$200*(GR84-逐级计算!$P$200)*LN(10)/10),0)+LN(1+EXP(-ABS((LN(10^(逐级计算!$Q$200/10)-1)+逐级计算!$Q$200*(GR84-逐级计算!$P$200)*LN(10)/10))))))),"")</f>
        <v>13.7930365742089</v>
      </c>
      <c r="GT84">
        <f>IF(AND(ISNUMBER(GS84),逐级计算!$X$201&gt;-1),IF(逐级计算!$X$201=0,GS84+逐级计算!$C$201,GS84+逐级计算!$C$201-(10/(逐级计算!$Q$201*LN(10))*(MAX((LN(10^(逐级计算!$Q$201/10)-1)+逐级计算!$Q$201*(GS84-逐级计算!$P$201)*LN(10)/10),0)+LN(1+EXP(-ABS((LN(10^(逐级计算!$Q$201/10)-1)+逐级计算!$Q$201*(GS84-逐级计算!$P$201)*LN(10)/10))))))),"")</f>
        <v>13.7930365742089</v>
      </c>
      <c r="GU84">
        <f>IF(AND(ISNUMBER(GT84),逐级计算!$X$202&gt;-1),IF(逐级计算!$X$202=0,GT84+逐级计算!$C$202,GT84+逐级计算!$C$202-(10/(逐级计算!$Q$202*LN(10))*(MAX((LN(10^(逐级计算!$Q$202/10)-1)+逐级计算!$Q$202*(GT84-逐级计算!$P$202)*LN(10)/10),0)+LN(1+EXP(-ABS((LN(10^(逐级计算!$Q$202/10)-1)+逐级计算!$Q$202*(GT84-逐级计算!$P$202)*LN(10)/10))))))),"")</f>
        <v>13.7930365742089</v>
      </c>
      <c r="GV84">
        <f>IF(AND(ISNUMBER(GU84),逐级计算!$X$203&gt;-1),IF(逐级计算!$X$203=0,GU84+逐级计算!$C$203,GU84+逐级计算!$C$203-(10/(逐级计算!$Q$203*LN(10))*(MAX((LN(10^(逐级计算!$Q$203/10)-1)+逐级计算!$Q$203*(GU84-逐级计算!$P$203)*LN(10)/10),0)+LN(1+EXP(-ABS((LN(10^(逐级计算!$Q$203/10)-1)+逐级计算!$Q$203*(GU84-逐级计算!$P$203)*LN(10)/10))))))),"")</f>
        <v>13.7930365742089</v>
      </c>
      <c r="GW84">
        <f t="shared" si="5"/>
        <v>-5.20696342579112</v>
      </c>
    </row>
    <row r="85" spans="1:205">
      <c r="A85">
        <v>78</v>
      </c>
      <c r="B85">
        <f t="shared" si="4"/>
        <v>-5.20696342579112</v>
      </c>
      <c r="C85">
        <f t="shared" si="3"/>
        <v>-5.20696342579112</v>
      </c>
      <c r="D85">
        <f>IF(AND(ISNUMBER(C85),ISNUMBER(逐级计算!$E$203),ISNUMBER(GV85)),C85+逐级计算!$E$203-GV85,"")</f>
        <v>1</v>
      </c>
      <c r="E85">
        <f>IF(AND(ISNUMBER(C85),逐级计算!$X$4&gt;-1),IF(逐级计算!$X$4=0,C85+逐级计算!$C$4,C85+逐级计算!$C$4-(10/(逐级计算!$Q$4*LN(10))*(MAX((LN(10^(逐级计算!$Q$4/10)-1)+逐级计算!$Q$4*(C85-逐级计算!$P$4)*LN(10)/10),0)+LN(1+EXP(-ABS((LN(10^(逐级计算!$Q$4/10)-1)+逐级计算!$Q$4*(C85-逐级计算!$P$4)*LN(10)/10))))))),"")</f>
        <v>4.68053982928311</v>
      </c>
      <c r="F85">
        <f>IF(AND(ISNUMBER(E85),逐级计算!$X$5&gt;-1),IF(逐级计算!$X$5=0,E85+逐级计算!$C$5,E85+逐级计算!$C$5-(10/(逐级计算!$Q$5*LN(10))*(MAX((LN(10^(逐级计算!$Q$5/10)-1)+逐级计算!$Q$5*(E85-逐级计算!$P$5)*LN(10)/10),0)+LN(1+EXP(-ABS((LN(10^(逐级计算!$Q$5/10)-1)+逐级计算!$Q$5*(E85-逐级计算!$P$5)*LN(10)/10))))))),"")</f>
        <v>13.7930365742089</v>
      </c>
      <c r="G85">
        <f>IF(AND(ISNUMBER(F85),逐级计算!$X$6&gt;-1),IF(逐级计算!$X$6=0,F85+逐级计算!$C$6,F85+逐级计算!$C$6-(10/(逐级计算!$Q$6*LN(10))*(MAX((LN(10^(逐级计算!$Q$6/10)-1)+逐级计算!$Q$6*(F85-逐级计算!$P$6)*LN(10)/10),0)+LN(1+EXP(-ABS((LN(10^(逐级计算!$Q$6/10)-1)+逐级计算!$Q$6*(F85-逐级计算!$P$6)*LN(10)/10))))))),"")</f>
        <v>13.7930365742089</v>
      </c>
      <c r="H85">
        <f>IF(AND(ISNUMBER(G85),逐级计算!$X$7&gt;-1),IF(逐级计算!$X$7=0,G85+逐级计算!$C$7,G85+逐级计算!$C$7-(10/(逐级计算!$Q$7*LN(10))*(MAX((LN(10^(逐级计算!$Q$7/10)-1)+逐级计算!$Q$7*(G85-逐级计算!$P$7)*LN(10)/10),0)+LN(1+EXP(-ABS((LN(10^(逐级计算!$Q$7/10)-1)+逐级计算!$Q$7*(G85-逐级计算!$P$7)*LN(10)/10))))))),"")</f>
        <v>13.7930365742089</v>
      </c>
      <c r="I85">
        <f>IF(AND(ISNUMBER(H85),逐级计算!$X$8&gt;-1),IF(逐级计算!$X$8=0,H85+逐级计算!$C$8,H85+逐级计算!$C$8-(10/(逐级计算!$Q$8*LN(10))*(MAX((LN(10^(逐级计算!$Q$8/10)-1)+逐级计算!$Q$8*(H85-逐级计算!$P$8)*LN(10)/10),0)+LN(1+EXP(-ABS((LN(10^(逐级计算!$Q$8/10)-1)+逐级计算!$Q$8*(H85-逐级计算!$P$8)*LN(10)/10))))))),"")</f>
        <v>13.7930365742089</v>
      </c>
      <c r="J85">
        <f>IF(AND(ISNUMBER(I85),逐级计算!$X$9&gt;-1),IF(逐级计算!$X$9=0,I85+逐级计算!$C$9,I85+逐级计算!$C$9-(10/(逐级计算!$Q$9*LN(10))*(MAX((LN(10^(逐级计算!$Q$9/10)-1)+逐级计算!$Q$9*(I85-逐级计算!$P$9)*LN(10)/10),0)+LN(1+EXP(-ABS((LN(10^(逐级计算!$Q$9/10)-1)+逐级计算!$Q$9*(I85-逐级计算!$P$9)*LN(10)/10))))))),"")</f>
        <v>13.7930365742089</v>
      </c>
      <c r="K85">
        <f>IF(AND(ISNUMBER(J85),逐级计算!$X$10&gt;-1),IF(逐级计算!$X$10=0,J85+逐级计算!$C$10,J85+逐级计算!$C$10-(10/(逐级计算!$Q$10*LN(10))*(MAX((LN(10^(逐级计算!$Q$10/10)-1)+逐级计算!$Q$10*(J85-逐级计算!$P$10)*LN(10)/10),0)+LN(1+EXP(-ABS((LN(10^(逐级计算!$Q$10/10)-1)+逐级计算!$Q$10*(J85-逐级计算!$P$10)*LN(10)/10))))))),"")</f>
        <v>13.7930365742089</v>
      </c>
      <c r="L85">
        <f>IF(AND(ISNUMBER(K85),逐级计算!$X$11&gt;-1),IF(逐级计算!$X$11=0,K85+逐级计算!$C$11,K85+逐级计算!$C$11-(10/(逐级计算!$Q$11*LN(10))*(MAX((LN(10^(逐级计算!$Q$11/10)-1)+逐级计算!$Q$11*(K85-逐级计算!$P$11)*LN(10)/10),0)+LN(1+EXP(-ABS((LN(10^(逐级计算!$Q$11/10)-1)+逐级计算!$Q$11*(K85-逐级计算!$P$11)*LN(10)/10))))))),"")</f>
        <v>13.7930365742089</v>
      </c>
      <c r="M85">
        <f>IF(AND(ISNUMBER(L85),逐级计算!$X$12&gt;-1),IF(逐级计算!$X$12=0,L85+逐级计算!$C$12,L85+逐级计算!$C$12-(10/(逐级计算!$Q$12*LN(10))*(MAX((LN(10^(逐级计算!$Q$12/10)-1)+逐级计算!$Q$12*(L85-逐级计算!$P$12)*LN(10)/10),0)+LN(1+EXP(-ABS((LN(10^(逐级计算!$Q$12/10)-1)+逐级计算!$Q$12*(L85-逐级计算!$P$12)*LN(10)/10))))))),"")</f>
        <v>13.7930365742089</v>
      </c>
      <c r="N85">
        <f>IF(AND(ISNUMBER(M85),逐级计算!$X$13&gt;-1),IF(逐级计算!$X$13=0,M85+逐级计算!$C$13,M85+逐级计算!$C$13-(10/(逐级计算!$Q$13*LN(10))*(MAX((LN(10^(逐级计算!$Q$13/10)-1)+逐级计算!$Q$13*(M85-逐级计算!$P$13)*LN(10)/10),0)+LN(1+EXP(-ABS((LN(10^(逐级计算!$Q$13/10)-1)+逐级计算!$Q$13*(M85-逐级计算!$P$13)*LN(10)/10))))))),"")</f>
        <v>13.7930365742089</v>
      </c>
      <c r="O85">
        <f>IF(AND(ISNUMBER(N85),逐级计算!$X$14&gt;-1),IF(逐级计算!$X$14=0,N85+逐级计算!$C$14,N85+逐级计算!$C$14-(10/(逐级计算!$Q$14*LN(10))*(MAX((LN(10^(逐级计算!$Q$14/10)-1)+逐级计算!$Q$14*(N85-逐级计算!$P$14)*LN(10)/10),0)+LN(1+EXP(-ABS((LN(10^(逐级计算!$Q$14/10)-1)+逐级计算!$Q$14*(N85-逐级计算!$P$14)*LN(10)/10))))))),"")</f>
        <v>13.7930365742089</v>
      </c>
      <c r="P85">
        <f>IF(AND(ISNUMBER(O85),逐级计算!$X$15&gt;-1),IF(逐级计算!$X$15=0,O85+逐级计算!$C$15,O85+逐级计算!$C$15-(10/(逐级计算!$Q$15*LN(10))*(MAX((LN(10^(逐级计算!$Q$15/10)-1)+逐级计算!$Q$15*(O85-逐级计算!$P$15)*LN(10)/10),0)+LN(1+EXP(-ABS((LN(10^(逐级计算!$Q$15/10)-1)+逐级计算!$Q$15*(O85-逐级计算!$P$15)*LN(10)/10))))))),"")</f>
        <v>13.7930365742089</v>
      </c>
      <c r="Q85">
        <f>IF(AND(ISNUMBER(P85),逐级计算!$X$16&gt;-1),IF(逐级计算!$X$16=0,P85+逐级计算!$C$16,P85+逐级计算!$C$16-(10/(逐级计算!$Q$16*LN(10))*(MAX((LN(10^(逐级计算!$Q$16/10)-1)+逐级计算!$Q$16*(P85-逐级计算!$P$16)*LN(10)/10),0)+LN(1+EXP(-ABS((LN(10^(逐级计算!$Q$16/10)-1)+逐级计算!$Q$16*(P85-逐级计算!$P$16)*LN(10)/10))))))),"")</f>
        <v>13.7930365742089</v>
      </c>
      <c r="R85">
        <f>IF(AND(ISNUMBER(Q85),逐级计算!$X$17&gt;-1),IF(逐级计算!$X$17=0,Q85+逐级计算!$C$17,Q85+逐级计算!$C$17-(10/(逐级计算!$Q$17*LN(10))*(MAX((LN(10^(逐级计算!$Q$17/10)-1)+逐级计算!$Q$17*(Q85-逐级计算!$P$17)*LN(10)/10),0)+LN(1+EXP(-ABS((LN(10^(逐级计算!$Q$17/10)-1)+逐级计算!$Q$17*(Q85-逐级计算!$P$17)*LN(10)/10))))))),"")</f>
        <v>13.7930365742089</v>
      </c>
      <c r="S85">
        <f>IF(AND(ISNUMBER(R85),逐级计算!$X$18&gt;-1),IF(逐级计算!$X$18=0,R85+逐级计算!$C$18,R85+逐级计算!$C$18-(10/(逐级计算!$Q$18*LN(10))*(MAX((LN(10^(逐级计算!$Q$18/10)-1)+逐级计算!$Q$18*(R85-逐级计算!$P$18)*LN(10)/10),0)+LN(1+EXP(-ABS((LN(10^(逐级计算!$Q$18/10)-1)+逐级计算!$Q$18*(R85-逐级计算!$P$18)*LN(10)/10))))))),"")</f>
        <v>13.7930365742089</v>
      </c>
      <c r="T85">
        <f>IF(AND(ISNUMBER(S85),逐级计算!$X$19&gt;-1),IF(逐级计算!$X$19=0,S85+逐级计算!$C$19,S85+逐级计算!$C$19-(10/(逐级计算!$Q$19*LN(10))*(MAX((LN(10^(逐级计算!$Q$19/10)-1)+逐级计算!$Q$19*(S85-逐级计算!$P$19)*LN(10)/10),0)+LN(1+EXP(-ABS((LN(10^(逐级计算!$Q$19/10)-1)+逐级计算!$Q$19*(S85-逐级计算!$P$19)*LN(10)/10))))))),"")</f>
        <v>13.7930365742089</v>
      </c>
      <c r="U85">
        <f>IF(AND(ISNUMBER(T85),逐级计算!$X$20&gt;-1),IF(逐级计算!$X$20=0,T85+逐级计算!$C$20,T85+逐级计算!$C$20-(10/(逐级计算!$Q$20*LN(10))*(MAX((LN(10^(逐级计算!$Q$20/10)-1)+逐级计算!$Q$20*(T85-逐级计算!$P$20)*LN(10)/10),0)+LN(1+EXP(-ABS((LN(10^(逐级计算!$Q$20/10)-1)+逐级计算!$Q$20*(T85-逐级计算!$P$20)*LN(10)/10))))))),"")</f>
        <v>13.7930365742089</v>
      </c>
      <c r="V85">
        <f>IF(AND(ISNUMBER(U85),逐级计算!$X$21&gt;-1),IF(逐级计算!$X$21=0,U85+逐级计算!$C$21,U85+逐级计算!$C$21-(10/(逐级计算!$Q$21*LN(10))*(MAX((LN(10^(逐级计算!$Q$21/10)-1)+逐级计算!$Q$21*(U85-逐级计算!$P$21)*LN(10)/10),0)+LN(1+EXP(-ABS((LN(10^(逐级计算!$Q$21/10)-1)+逐级计算!$Q$21*(U85-逐级计算!$P$21)*LN(10)/10))))))),"")</f>
        <v>13.7930365742089</v>
      </c>
      <c r="W85">
        <f>IF(AND(ISNUMBER(V85),逐级计算!$X$22&gt;-1),IF(逐级计算!$X$22=0,V85+逐级计算!$C$22,V85+逐级计算!$C$22-(10/(逐级计算!$Q$22*LN(10))*(MAX((LN(10^(逐级计算!$Q$22/10)-1)+逐级计算!$Q$22*(V85-逐级计算!$P$22)*LN(10)/10),0)+LN(1+EXP(-ABS((LN(10^(逐级计算!$Q$22/10)-1)+逐级计算!$Q$22*(V85-逐级计算!$P$22)*LN(10)/10))))))),"")</f>
        <v>13.7930365742089</v>
      </c>
      <c r="X85">
        <f>IF(AND(ISNUMBER(W85),逐级计算!$X$23&gt;-1),IF(逐级计算!$X$23=0,W85+逐级计算!$C$23,W85+逐级计算!$C$23-(10/(逐级计算!$Q$23*LN(10))*(MAX((LN(10^(逐级计算!$Q$23/10)-1)+逐级计算!$Q$23*(W85-逐级计算!$P$23)*LN(10)/10),0)+LN(1+EXP(-ABS((LN(10^(逐级计算!$Q$23/10)-1)+逐级计算!$Q$23*(W85-逐级计算!$P$23)*LN(10)/10))))))),"")</f>
        <v>13.7930365742089</v>
      </c>
      <c r="Y85">
        <f>IF(AND(ISNUMBER(X85),逐级计算!$X$24&gt;-1),IF(逐级计算!$X$24=0,X85+逐级计算!$C$24,X85+逐级计算!$C$24-(10/(逐级计算!$Q$24*LN(10))*(MAX((LN(10^(逐级计算!$Q$24/10)-1)+逐级计算!$Q$24*(X85-逐级计算!$P$24)*LN(10)/10),0)+LN(1+EXP(-ABS((LN(10^(逐级计算!$Q$24/10)-1)+逐级计算!$Q$24*(X85-逐级计算!$P$24)*LN(10)/10))))))),"")</f>
        <v>13.7930365742089</v>
      </c>
      <c r="Z85">
        <f>IF(AND(ISNUMBER(Y85),逐级计算!$X$25&gt;-1),IF(逐级计算!$X$25=0,Y85+逐级计算!$C$25,Y85+逐级计算!$C$25-(10/(逐级计算!$Q$25*LN(10))*(MAX((LN(10^(逐级计算!$Q$25/10)-1)+逐级计算!$Q$25*(Y85-逐级计算!$P$25)*LN(10)/10),0)+LN(1+EXP(-ABS((LN(10^(逐级计算!$Q$25/10)-1)+逐级计算!$Q$25*(Y85-逐级计算!$P$25)*LN(10)/10))))))),"")</f>
        <v>13.7930365742089</v>
      </c>
      <c r="AA85">
        <f>IF(AND(ISNUMBER(Z85),逐级计算!$X$26&gt;-1),IF(逐级计算!$X$26=0,Z85+逐级计算!$C$26,Z85+逐级计算!$C$26-(10/(逐级计算!$Q$26*LN(10))*(MAX((LN(10^(逐级计算!$Q$26/10)-1)+逐级计算!$Q$26*(Z85-逐级计算!$P$26)*LN(10)/10),0)+LN(1+EXP(-ABS((LN(10^(逐级计算!$Q$26/10)-1)+逐级计算!$Q$26*(Z85-逐级计算!$P$26)*LN(10)/10))))))),"")</f>
        <v>13.7930365742089</v>
      </c>
      <c r="AB85">
        <f>IF(AND(ISNUMBER(AA85),逐级计算!$X$27&gt;-1),IF(逐级计算!$X$27=0,AA85+逐级计算!$C$27,AA85+逐级计算!$C$27-(10/(逐级计算!$Q$27*LN(10))*(MAX((LN(10^(逐级计算!$Q$27/10)-1)+逐级计算!$Q$27*(AA85-逐级计算!$P$27)*LN(10)/10),0)+LN(1+EXP(-ABS((LN(10^(逐级计算!$Q$27/10)-1)+逐级计算!$Q$27*(AA85-逐级计算!$P$27)*LN(10)/10))))))),"")</f>
        <v>13.7930365742089</v>
      </c>
      <c r="AC85">
        <f>IF(AND(ISNUMBER(AB85),逐级计算!$X$28&gt;-1),IF(逐级计算!$X$28=0,AB85+逐级计算!$C$28,AB85+逐级计算!$C$28-(10/(逐级计算!$Q$28*LN(10))*(MAX((LN(10^(逐级计算!$Q$28/10)-1)+逐级计算!$Q$28*(AB85-逐级计算!$P$28)*LN(10)/10),0)+LN(1+EXP(-ABS((LN(10^(逐级计算!$Q$28/10)-1)+逐级计算!$Q$28*(AB85-逐级计算!$P$28)*LN(10)/10))))))),"")</f>
        <v>13.7930365742089</v>
      </c>
      <c r="AD85">
        <f>IF(AND(ISNUMBER(AC85),逐级计算!$X$29&gt;-1),IF(逐级计算!$X$29=0,AC85+逐级计算!$C$29,AC85+逐级计算!$C$29-(10/(逐级计算!$Q$29*LN(10))*(MAX((LN(10^(逐级计算!$Q$29/10)-1)+逐级计算!$Q$29*(AC85-逐级计算!$P$29)*LN(10)/10),0)+LN(1+EXP(-ABS((LN(10^(逐级计算!$Q$29/10)-1)+逐级计算!$Q$29*(AC85-逐级计算!$P$29)*LN(10)/10))))))),"")</f>
        <v>13.7930365742089</v>
      </c>
      <c r="AE85">
        <f>IF(AND(ISNUMBER(AD85),逐级计算!$X$30&gt;-1),IF(逐级计算!$X$30=0,AD85+逐级计算!$C$30,AD85+逐级计算!$C$30-(10/(逐级计算!$Q$30*LN(10))*(MAX((LN(10^(逐级计算!$Q$30/10)-1)+逐级计算!$Q$30*(AD85-逐级计算!$P$30)*LN(10)/10),0)+LN(1+EXP(-ABS((LN(10^(逐级计算!$Q$30/10)-1)+逐级计算!$Q$30*(AD85-逐级计算!$P$30)*LN(10)/10))))))),"")</f>
        <v>13.7930365742089</v>
      </c>
      <c r="AF85">
        <f>IF(AND(ISNUMBER(AE85),逐级计算!$X$31&gt;-1),IF(逐级计算!$X$31=0,AE85+逐级计算!$C$31,AE85+逐级计算!$C$31-(10/(逐级计算!$Q$31*LN(10))*(MAX((LN(10^(逐级计算!$Q$31/10)-1)+逐级计算!$Q$31*(AE85-逐级计算!$P$31)*LN(10)/10),0)+LN(1+EXP(-ABS((LN(10^(逐级计算!$Q$31/10)-1)+逐级计算!$Q$31*(AE85-逐级计算!$P$31)*LN(10)/10))))))),"")</f>
        <v>13.7930365742089</v>
      </c>
      <c r="AG85">
        <f>IF(AND(ISNUMBER(AF85),逐级计算!$X$32&gt;-1),IF(逐级计算!$X$32=0,AF85+逐级计算!$C$32,AF85+逐级计算!$C$32-(10/(逐级计算!$Q$32*LN(10))*(MAX((LN(10^(逐级计算!$Q$32/10)-1)+逐级计算!$Q$32*(AF85-逐级计算!$P$32)*LN(10)/10),0)+LN(1+EXP(-ABS((LN(10^(逐级计算!$Q$32/10)-1)+逐级计算!$Q$32*(AF85-逐级计算!$P$32)*LN(10)/10))))))),"")</f>
        <v>13.7930365742089</v>
      </c>
      <c r="AH85">
        <f>IF(AND(ISNUMBER(AG85),逐级计算!$X$33&gt;-1),IF(逐级计算!$X$33=0,AG85+逐级计算!$C$33,AG85+逐级计算!$C$33-(10/(逐级计算!$Q$33*LN(10))*(MAX((LN(10^(逐级计算!$Q$33/10)-1)+逐级计算!$Q$33*(AG85-逐级计算!$P$33)*LN(10)/10),0)+LN(1+EXP(-ABS((LN(10^(逐级计算!$Q$33/10)-1)+逐级计算!$Q$33*(AG85-逐级计算!$P$33)*LN(10)/10))))))),"")</f>
        <v>13.7930365742089</v>
      </c>
      <c r="AI85">
        <f>IF(AND(ISNUMBER(AH85),逐级计算!$X$34&gt;-1),IF(逐级计算!$X$34=0,AH85+逐级计算!$C$34,AH85+逐级计算!$C$34-(10/(逐级计算!$Q$34*LN(10))*(MAX((LN(10^(逐级计算!$Q$34/10)-1)+逐级计算!$Q$34*(AH85-逐级计算!$P$34)*LN(10)/10),0)+LN(1+EXP(-ABS((LN(10^(逐级计算!$Q$34/10)-1)+逐级计算!$Q$34*(AH85-逐级计算!$P$34)*LN(10)/10))))))),"")</f>
        <v>13.7930365742089</v>
      </c>
      <c r="AJ85">
        <f>IF(AND(ISNUMBER(AI85),逐级计算!$X$35&gt;-1),IF(逐级计算!$X$35=0,AI85+逐级计算!$C$35,AI85+逐级计算!$C$35-(10/(逐级计算!$Q$35*LN(10))*(MAX((LN(10^(逐级计算!$Q$35/10)-1)+逐级计算!$Q$35*(AI85-逐级计算!$P$35)*LN(10)/10),0)+LN(1+EXP(-ABS((LN(10^(逐级计算!$Q$35/10)-1)+逐级计算!$Q$35*(AI85-逐级计算!$P$35)*LN(10)/10))))))),"")</f>
        <v>13.7930365742089</v>
      </c>
      <c r="AK85">
        <f>IF(AND(ISNUMBER(AJ85),逐级计算!$X$36&gt;-1),IF(逐级计算!$X$36=0,AJ85+逐级计算!$C$36,AJ85+逐级计算!$C$36-(10/(逐级计算!$Q$36*LN(10))*(MAX((LN(10^(逐级计算!$Q$36/10)-1)+逐级计算!$Q$36*(AJ85-逐级计算!$P$36)*LN(10)/10),0)+LN(1+EXP(-ABS((LN(10^(逐级计算!$Q$36/10)-1)+逐级计算!$Q$36*(AJ85-逐级计算!$P$36)*LN(10)/10))))))),"")</f>
        <v>13.7930365742089</v>
      </c>
      <c r="AL85">
        <f>IF(AND(ISNUMBER(AK85),逐级计算!$X$37&gt;-1),IF(逐级计算!$X$37=0,AK85+逐级计算!$C$37,AK85+逐级计算!$C$37-(10/(逐级计算!$Q$37*LN(10))*(MAX((LN(10^(逐级计算!$Q$37/10)-1)+逐级计算!$Q$37*(AK85-逐级计算!$P$37)*LN(10)/10),0)+LN(1+EXP(-ABS((LN(10^(逐级计算!$Q$37/10)-1)+逐级计算!$Q$37*(AK85-逐级计算!$P$37)*LN(10)/10))))))),"")</f>
        <v>13.7930365742089</v>
      </c>
      <c r="AM85">
        <f>IF(AND(ISNUMBER(AL85),逐级计算!$X$38&gt;-1),IF(逐级计算!$X$38=0,AL85+逐级计算!$C$38,AL85+逐级计算!$C$38-(10/(逐级计算!$Q$38*LN(10))*(MAX((LN(10^(逐级计算!$Q$38/10)-1)+逐级计算!$Q$38*(AL85-逐级计算!$P$38)*LN(10)/10),0)+LN(1+EXP(-ABS((LN(10^(逐级计算!$Q$38/10)-1)+逐级计算!$Q$38*(AL85-逐级计算!$P$38)*LN(10)/10))))))),"")</f>
        <v>13.7930365742089</v>
      </c>
      <c r="AN85">
        <f>IF(AND(ISNUMBER(AM85),逐级计算!$X$39&gt;-1),IF(逐级计算!$X$39=0,AM85+逐级计算!$C$39,AM85+逐级计算!$C$39-(10/(逐级计算!$Q$39*LN(10))*(MAX((LN(10^(逐级计算!$Q$39/10)-1)+逐级计算!$Q$39*(AM85-逐级计算!$P$39)*LN(10)/10),0)+LN(1+EXP(-ABS((LN(10^(逐级计算!$Q$39/10)-1)+逐级计算!$Q$39*(AM85-逐级计算!$P$39)*LN(10)/10))))))),"")</f>
        <v>13.7930365742089</v>
      </c>
      <c r="AO85">
        <f>IF(AND(ISNUMBER(AN85),逐级计算!$X$40&gt;-1),IF(逐级计算!$X$40=0,AN85+逐级计算!$C$40,AN85+逐级计算!$C$40-(10/(逐级计算!$Q$40*LN(10))*(MAX((LN(10^(逐级计算!$Q$40/10)-1)+逐级计算!$Q$40*(AN85-逐级计算!$P$40)*LN(10)/10),0)+LN(1+EXP(-ABS((LN(10^(逐级计算!$Q$40/10)-1)+逐级计算!$Q$40*(AN85-逐级计算!$P$40)*LN(10)/10))))))),"")</f>
        <v>13.7930365742089</v>
      </c>
      <c r="AP85">
        <f>IF(AND(ISNUMBER(AO85),逐级计算!$X$41&gt;-1),IF(逐级计算!$X$41=0,AO85+逐级计算!$C$41,AO85+逐级计算!$C$41-(10/(逐级计算!$Q$41*LN(10))*(MAX((LN(10^(逐级计算!$Q$41/10)-1)+逐级计算!$Q$41*(AO85-逐级计算!$P$41)*LN(10)/10),0)+LN(1+EXP(-ABS((LN(10^(逐级计算!$Q$41/10)-1)+逐级计算!$Q$41*(AO85-逐级计算!$P$41)*LN(10)/10))))))),"")</f>
        <v>13.7930365742089</v>
      </c>
      <c r="AQ85">
        <f>IF(AND(ISNUMBER(AP85),逐级计算!$X$42&gt;-1),IF(逐级计算!$X$42=0,AP85+逐级计算!$C$42,AP85+逐级计算!$C$42-(10/(逐级计算!$Q$42*LN(10))*(MAX((LN(10^(逐级计算!$Q$42/10)-1)+逐级计算!$Q$42*(AP85-逐级计算!$P$42)*LN(10)/10),0)+LN(1+EXP(-ABS((LN(10^(逐级计算!$Q$42/10)-1)+逐级计算!$Q$42*(AP85-逐级计算!$P$42)*LN(10)/10))))))),"")</f>
        <v>13.7930365742089</v>
      </c>
      <c r="AR85">
        <f>IF(AND(ISNUMBER(AQ85),逐级计算!$X$43&gt;-1),IF(逐级计算!$X$43=0,AQ85+逐级计算!$C$43,AQ85+逐级计算!$C$43-(10/(逐级计算!$Q$43*LN(10))*(MAX((LN(10^(逐级计算!$Q$43/10)-1)+逐级计算!$Q$43*(AQ85-逐级计算!$P$43)*LN(10)/10),0)+LN(1+EXP(-ABS((LN(10^(逐级计算!$Q$43/10)-1)+逐级计算!$Q$43*(AQ85-逐级计算!$P$43)*LN(10)/10))))))),"")</f>
        <v>13.7930365742089</v>
      </c>
      <c r="AS85">
        <f>IF(AND(ISNUMBER(AR85),逐级计算!$X$44&gt;-1),IF(逐级计算!$X$44=0,AR85+逐级计算!$C$44,AR85+逐级计算!$C$44-(10/(逐级计算!$Q$44*LN(10))*(MAX((LN(10^(逐级计算!$Q$44/10)-1)+逐级计算!$Q$44*(AR85-逐级计算!$P$44)*LN(10)/10),0)+LN(1+EXP(-ABS((LN(10^(逐级计算!$Q$44/10)-1)+逐级计算!$Q$44*(AR85-逐级计算!$P$44)*LN(10)/10))))))),"")</f>
        <v>13.7930365742089</v>
      </c>
      <c r="AT85">
        <f>IF(AND(ISNUMBER(AS85),逐级计算!$X$45&gt;-1),IF(逐级计算!$X$45=0,AS85+逐级计算!$C$45,AS85+逐级计算!$C$45-(10/(逐级计算!$Q$45*LN(10))*(MAX((LN(10^(逐级计算!$Q$45/10)-1)+逐级计算!$Q$45*(AS85-逐级计算!$P$45)*LN(10)/10),0)+LN(1+EXP(-ABS((LN(10^(逐级计算!$Q$45/10)-1)+逐级计算!$Q$45*(AS85-逐级计算!$P$45)*LN(10)/10))))))),"")</f>
        <v>13.7930365742089</v>
      </c>
      <c r="AU85">
        <f>IF(AND(ISNUMBER(AT85),逐级计算!$X$46&gt;-1),IF(逐级计算!$X$46=0,AT85+逐级计算!$C$46,AT85+逐级计算!$C$46-(10/(逐级计算!$Q$46*LN(10))*(MAX((LN(10^(逐级计算!$Q$46/10)-1)+逐级计算!$Q$46*(AT85-逐级计算!$P$46)*LN(10)/10),0)+LN(1+EXP(-ABS((LN(10^(逐级计算!$Q$46/10)-1)+逐级计算!$Q$46*(AT85-逐级计算!$P$46)*LN(10)/10))))))),"")</f>
        <v>13.7930365742089</v>
      </c>
      <c r="AV85">
        <f>IF(AND(ISNUMBER(AU85),逐级计算!$X$47&gt;-1),IF(逐级计算!$X$47=0,AU85+逐级计算!$C$47,AU85+逐级计算!$C$47-(10/(逐级计算!$Q$47*LN(10))*(MAX((LN(10^(逐级计算!$Q$47/10)-1)+逐级计算!$Q$47*(AU85-逐级计算!$P$47)*LN(10)/10),0)+LN(1+EXP(-ABS((LN(10^(逐级计算!$Q$47/10)-1)+逐级计算!$Q$47*(AU85-逐级计算!$P$47)*LN(10)/10))))))),"")</f>
        <v>13.7930365742089</v>
      </c>
      <c r="AW85">
        <f>IF(AND(ISNUMBER(AV85),逐级计算!$X$48&gt;-1),IF(逐级计算!$X$48=0,AV85+逐级计算!$C$48,AV85+逐级计算!$C$48-(10/(逐级计算!$Q$48*LN(10))*(MAX((LN(10^(逐级计算!$Q$48/10)-1)+逐级计算!$Q$48*(AV85-逐级计算!$P$48)*LN(10)/10),0)+LN(1+EXP(-ABS((LN(10^(逐级计算!$Q$48/10)-1)+逐级计算!$Q$48*(AV85-逐级计算!$P$48)*LN(10)/10))))))),"")</f>
        <v>13.7930365742089</v>
      </c>
      <c r="AX85">
        <f>IF(AND(ISNUMBER(AW85),逐级计算!$X$49&gt;-1),IF(逐级计算!$X$49=0,AW85+逐级计算!$C$49,AW85+逐级计算!$C$49-(10/(逐级计算!$Q$49*LN(10))*(MAX((LN(10^(逐级计算!$Q$49/10)-1)+逐级计算!$Q$49*(AW85-逐级计算!$P$49)*LN(10)/10),0)+LN(1+EXP(-ABS((LN(10^(逐级计算!$Q$49/10)-1)+逐级计算!$Q$49*(AW85-逐级计算!$P$49)*LN(10)/10))))))),"")</f>
        <v>13.7930365742089</v>
      </c>
      <c r="AY85">
        <f>IF(AND(ISNUMBER(AX85),逐级计算!$X$50&gt;-1),IF(逐级计算!$X$50=0,AX85+逐级计算!$C$50,AX85+逐级计算!$C$50-(10/(逐级计算!$Q$50*LN(10))*(MAX((LN(10^(逐级计算!$Q$50/10)-1)+逐级计算!$Q$50*(AX85-逐级计算!$P$50)*LN(10)/10),0)+LN(1+EXP(-ABS((LN(10^(逐级计算!$Q$50/10)-1)+逐级计算!$Q$50*(AX85-逐级计算!$P$50)*LN(10)/10))))))),"")</f>
        <v>13.7930365742089</v>
      </c>
      <c r="AZ85">
        <f>IF(AND(ISNUMBER(AY85),逐级计算!$X$51&gt;-1),IF(逐级计算!$X$51=0,AY85+逐级计算!$C$51,AY85+逐级计算!$C$51-(10/(逐级计算!$Q$51*LN(10))*(MAX((LN(10^(逐级计算!$Q$51/10)-1)+逐级计算!$Q$51*(AY85-逐级计算!$P$51)*LN(10)/10),0)+LN(1+EXP(-ABS((LN(10^(逐级计算!$Q$51/10)-1)+逐级计算!$Q$51*(AY85-逐级计算!$P$51)*LN(10)/10))))))),"")</f>
        <v>13.7930365742089</v>
      </c>
      <c r="BA85">
        <f>IF(AND(ISNUMBER(AZ85),逐级计算!$X$52&gt;-1),IF(逐级计算!$X$52=0,AZ85+逐级计算!$C$52,AZ85+逐级计算!$C$52-(10/(逐级计算!$Q$52*LN(10))*(MAX((LN(10^(逐级计算!$Q$52/10)-1)+逐级计算!$Q$52*(AZ85-逐级计算!$P$52)*LN(10)/10),0)+LN(1+EXP(-ABS((LN(10^(逐级计算!$Q$52/10)-1)+逐级计算!$Q$52*(AZ85-逐级计算!$P$52)*LN(10)/10))))))),"")</f>
        <v>13.7930365742089</v>
      </c>
      <c r="BB85">
        <f>IF(AND(ISNUMBER(BA85),逐级计算!$X$53&gt;-1),IF(逐级计算!$X$53=0,BA85+逐级计算!$C$53,BA85+逐级计算!$C$53-(10/(逐级计算!$Q$53*LN(10))*(MAX((LN(10^(逐级计算!$Q$53/10)-1)+逐级计算!$Q$53*(BA85-逐级计算!$P$53)*LN(10)/10),0)+LN(1+EXP(-ABS((LN(10^(逐级计算!$Q$53/10)-1)+逐级计算!$Q$53*(BA85-逐级计算!$P$53)*LN(10)/10))))))),"")</f>
        <v>13.7930365742089</v>
      </c>
      <c r="BC85">
        <f>IF(AND(ISNUMBER(BB85),逐级计算!$X$54&gt;-1),IF(逐级计算!$X$54=0,BB85+逐级计算!$C$54,BB85+逐级计算!$C$54-(10/(逐级计算!$Q$54*LN(10))*(MAX((LN(10^(逐级计算!$Q$54/10)-1)+逐级计算!$Q$54*(BB85-逐级计算!$P$54)*LN(10)/10),0)+LN(1+EXP(-ABS((LN(10^(逐级计算!$Q$54/10)-1)+逐级计算!$Q$54*(BB85-逐级计算!$P$54)*LN(10)/10))))))),"")</f>
        <v>13.7930365742089</v>
      </c>
      <c r="BD85">
        <f>IF(AND(ISNUMBER(BC85),逐级计算!$X$55&gt;-1),IF(逐级计算!$X$55=0,BC85+逐级计算!$C$55,BC85+逐级计算!$C$55-(10/(逐级计算!$Q$55*LN(10))*(MAX((LN(10^(逐级计算!$Q$55/10)-1)+逐级计算!$Q$55*(BC85-逐级计算!$P$55)*LN(10)/10),0)+LN(1+EXP(-ABS((LN(10^(逐级计算!$Q$55/10)-1)+逐级计算!$Q$55*(BC85-逐级计算!$P$55)*LN(10)/10))))))),"")</f>
        <v>13.7930365742089</v>
      </c>
      <c r="BE85">
        <f>IF(AND(ISNUMBER(BD85),逐级计算!$X$56&gt;-1),IF(逐级计算!$X$56=0,BD85+逐级计算!$C$56,BD85+逐级计算!$C$56-(10/(逐级计算!$Q$56*LN(10))*(MAX((LN(10^(逐级计算!$Q$56/10)-1)+逐级计算!$Q$56*(BD85-逐级计算!$P$56)*LN(10)/10),0)+LN(1+EXP(-ABS((LN(10^(逐级计算!$Q$56/10)-1)+逐级计算!$Q$56*(BD85-逐级计算!$P$56)*LN(10)/10))))))),"")</f>
        <v>13.7930365742089</v>
      </c>
      <c r="BF85">
        <f>IF(AND(ISNUMBER(BE85),逐级计算!$X$57&gt;-1),IF(逐级计算!$X$57=0,BE85+逐级计算!$C$57,BE85+逐级计算!$C$57-(10/(逐级计算!$Q$57*LN(10))*(MAX((LN(10^(逐级计算!$Q$57/10)-1)+逐级计算!$Q$57*(BE85-逐级计算!$P$57)*LN(10)/10),0)+LN(1+EXP(-ABS((LN(10^(逐级计算!$Q$57/10)-1)+逐级计算!$Q$57*(BE85-逐级计算!$P$57)*LN(10)/10))))))),"")</f>
        <v>13.7930365742089</v>
      </c>
      <c r="BG85">
        <f>IF(AND(ISNUMBER(BF85),逐级计算!$X$58&gt;-1),IF(逐级计算!$X$58=0,BF85+逐级计算!$C$58,BF85+逐级计算!$C$58-(10/(逐级计算!$Q$58*LN(10))*(MAX((LN(10^(逐级计算!$Q$58/10)-1)+逐级计算!$Q$58*(BF85-逐级计算!$P$58)*LN(10)/10),0)+LN(1+EXP(-ABS((LN(10^(逐级计算!$Q$58/10)-1)+逐级计算!$Q$58*(BF85-逐级计算!$P$58)*LN(10)/10))))))),"")</f>
        <v>13.7930365742089</v>
      </c>
      <c r="BH85">
        <f>IF(AND(ISNUMBER(BG85),逐级计算!$X$59&gt;-1),IF(逐级计算!$X$59=0,BG85+逐级计算!$C$59,BG85+逐级计算!$C$59-(10/(逐级计算!$Q$59*LN(10))*(MAX((LN(10^(逐级计算!$Q$59/10)-1)+逐级计算!$Q$59*(BG85-逐级计算!$P$59)*LN(10)/10),0)+LN(1+EXP(-ABS((LN(10^(逐级计算!$Q$59/10)-1)+逐级计算!$Q$59*(BG85-逐级计算!$P$59)*LN(10)/10))))))),"")</f>
        <v>13.7930365742089</v>
      </c>
      <c r="BI85">
        <f>IF(AND(ISNUMBER(BH85),逐级计算!$X$60&gt;-1),IF(逐级计算!$X$60=0,BH85+逐级计算!$C$60,BH85+逐级计算!$C$60-(10/(逐级计算!$Q$60*LN(10))*(MAX((LN(10^(逐级计算!$Q$60/10)-1)+逐级计算!$Q$60*(BH85-逐级计算!$P$60)*LN(10)/10),0)+LN(1+EXP(-ABS((LN(10^(逐级计算!$Q$60/10)-1)+逐级计算!$Q$60*(BH85-逐级计算!$P$60)*LN(10)/10))))))),"")</f>
        <v>13.7930365742089</v>
      </c>
      <c r="BJ85">
        <f>IF(AND(ISNUMBER(BI85),逐级计算!$X$61&gt;-1),IF(逐级计算!$X$61=0,BI85+逐级计算!$C$61,BI85+逐级计算!$C$61-(10/(逐级计算!$Q$61*LN(10))*(MAX((LN(10^(逐级计算!$Q$61/10)-1)+逐级计算!$Q$61*(BI85-逐级计算!$P$61)*LN(10)/10),0)+LN(1+EXP(-ABS((LN(10^(逐级计算!$Q$61/10)-1)+逐级计算!$Q$61*(BI85-逐级计算!$P$61)*LN(10)/10))))))),"")</f>
        <v>13.7930365742089</v>
      </c>
      <c r="BK85">
        <f>IF(AND(ISNUMBER(BJ85),逐级计算!$X$62&gt;-1),IF(逐级计算!$X$62=0,BJ85+逐级计算!$C$62,BJ85+逐级计算!$C$62-(10/(逐级计算!$Q$62*LN(10))*(MAX((LN(10^(逐级计算!$Q$62/10)-1)+逐级计算!$Q$62*(BJ85-逐级计算!$P$62)*LN(10)/10),0)+LN(1+EXP(-ABS((LN(10^(逐级计算!$Q$62/10)-1)+逐级计算!$Q$62*(BJ85-逐级计算!$P$62)*LN(10)/10))))))),"")</f>
        <v>13.7930365742089</v>
      </c>
      <c r="BL85">
        <f>IF(AND(ISNUMBER(BK85),逐级计算!$X$63&gt;-1),IF(逐级计算!$X$63=0,BK85+逐级计算!$C$63,BK85+逐级计算!$C$63-(10/(逐级计算!$Q$63*LN(10))*(MAX((LN(10^(逐级计算!$Q$63/10)-1)+逐级计算!$Q$63*(BK85-逐级计算!$P$63)*LN(10)/10),0)+LN(1+EXP(-ABS((LN(10^(逐级计算!$Q$63/10)-1)+逐级计算!$Q$63*(BK85-逐级计算!$P$63)*LN(10)/10))))))),"")</f>
        <v>13.7930365742089</v>
      </c>
      <c r="BM85">
        <f>IF(AND(ISNUMBER(BL85),逐级计算!$X$64&gt;-1),IF(逐级计算!$X$64=0,BL85+逐级计算!$C$64,BL85+逐级计算!$C$64-(10/(逐级计算!$Q$64*LN(10))*(MAX((LN(10^(逐级计算!$Q$64/10)-1)+逐级计算!$Q$64*(BL85-逐级计算!$P$64)*LN(10)/10),0)+LN(1+EXP(-ABS((LN(10^(逐级计算!$Q$64/10)-1)+逐级计算!$Q$64*(BL85-逐级计算!$P$64)*LN(10)/10))))))),"")</f>
        <v>13.7930365742089</v>
      </c>
      <c r="BN85">
        <f>IF(AND(ISNUMBER(BM85),逐级计算!$X$65&gt;-1),IF(逐级计算!$X$65=0,BM85+逐级计算!$C$65,BM85+逐级计算!$C$65-(10/(逐级计算!$Q$65*LN(10))*(MAX((LN(10^(逐级计算!$Q$65/10)-1)+逐级计算!$Q$65*(BM85-逐级计算!$P$65)*LN(10)/10),0)+LN(1+EXP(-ABS((LN(10^(逐级计算!$Q$65/10)-1)+逐级计算!$Q$65*(BM85-逐级计算!$P$65)*LN(10)/10))))))),"")</f>
        <v>13.7930365742089</v>
      </c>
      <c r="BO85">
        <f>IF(AND(ISNUMBER(BN85),逐级计算!$X$66&gt;-1),IF(逐级计算!$X$66=0,BN85+逐级计算!$C$66,BN85+逐级计算!$C$66-(10/(逐级计算!$Q$66*LN(10))*(MAX((LN(10^(逐级计算!$Q$66/10)-1)+逐级计算!$Q$66*(BN85-逐级计算!$P$66)*LN(10)/10),0)+LN(1+EXP(-ABS((LN(10^(逐级计算!$Q$66/10)-1)+逐级计算!$Q$66*(BN85-逐级计算!$P$66)*LN(10)/10))))))),"")</f>
        <v>13.7930365742089</v>
      </c>
      <c r="BP85">
        <f>IF(AND(ISNUMBER(BO85),逐级计算!$X$67&gt;-1),IF(逐级计算!$X$67=0,BO85+逐级计算!$C$67,BO85+逐级计算!$C$67-(10/(逐级计算!$Q$67*LN(10))*(MAX((LN(10^(逐级计算!$Q$67/10)-1)+逐级计算!$Q$67*(BO85-逐级计算!$P$67)*LN(10)/10),0)+LN(1+EXP(-ABS((LN(10^(逐级计算!$Q$67/10)-1)+逐级计算!$Q$67*(BO85-逐级计算!$P$67)*LN(10)/10))))))),"")</f>
        <v>13.7930365742089</v>
      </c>
      <c r="BQ85">
        <f>IF(AND(ISNUMBER(BP85),逐级计算!$X$68&gt;-1),IF(逐级计算!$X$68=0,BP85+逐级计算!$C$68,BP85+逐级计算!$C$68-(10/(逐级计算!$Q$68*LN(10))*(MAX((LN(10^(逐级计算!$Q$68/10)-1)+逐级计算!$Q$68*(BP85-逐级计算!$P$68)*LN(10)/10),0)+LN(1+EXP(-ABS((LN(10^(逐级计算!$Q$68/10)-1)+逐级计算!$Q$68*(BP85-逐级计算!$P$68)*LN(10)/10))))))),"")</f>
        <v>13.7930365742089</v>
      </c>
      <c r="BR85">
        <f>IF(AND(ISNUMBER(BQ85),逐级计算!$X$69&gt;-1),IF(逐级计算!$X$69=0,BQ85+逐级计算!$C$69,BQ85+逐级计算!$C$69-(10/(逐级计算!$Q$69*LN(10))*(MAX((LN(10^(逐级计算!$Q$69/10)-1)+逐级计算!$Q$69*(BQ85-逐级计算!$P$69)*LN(10)/10),0)+LN(1+EXP(-ABS((LN(10^(逐级计算!$Q$69/10)-1)+逐级计算!$Q$69*(BQ85-逐级计算!$P$69)*LN(10)/10))))))),"")</f>
        <v>13.7930365742089</v>
      </c>
      <c r="BS85">
        <f>IF(AND(ISNUMBER(BR85),逐级计算!$X$70&gt;-1),IF(逐级计算!$X$70=0,BR85+逐级计算!$C$70,BR85+逐级计算!$C$70-(10/(逐级计算!$Q$70*LN(10))*(MAX((LN(10^(逐级计算!$Q$70/10)-1)+逐级计算!$Q$70*(BR85-逐级计算!$P$70)*LN(10)/10),0)+LN(1+EXP(-ABS((LN(10^(逐级计算!$Q$70/10)-1)+逐级计算!$Q$70*(BR85-逐级计算!$P$70)*LN(10)/10))))))),"")</f>
        <v>13.7930365742089</v>
      </c>
      <c r="BT85">
        <f>IF(AND(ISNUMBER(BS85),逐级计算!$X$71&gt;-1),IF(逐级计算!$X$71=0,BS85+逐级计算!$C$71,BS85+逐级计算!$C$71-(10/(逐级计算!$Q$71*LN(10))*(MAX((LN(10^(逐级计算!$Q$71/10)-1)+逐级计算!$Q$71*(BS85-逐级计算!$P$71)*LN(10)/10),0)+LN(1+EXP(-ABS((LN(10^(逐级计算!$Q$71/10)-1)+逐级计算!$Q$71*(BS85-逐级计算!$P$71)*LN(10)/10))))))),"")</f>
        <v>13.7930365742089</v>
      </c>
      <c r="BU85">
        <f>IF(AND(ISNUMBER(BT85),逐级计算!$X$72&gt;-1),IF(逐级计算!$X$72=0,BT85+逐级计算!$C$72,BT85+逐级计算!$C$72-(10/(逐级计算!$Q$72*LN(10))*(MAX((LN(10^(逐级计算!$Q$72/10)-1)+逐级计算!$Q$72*(BT85-逐级计算!$P$72)*LN(10)/10),0)+LN(1+EXP(-ABS((LN(10^(逐级计算!$Q$72/10)-1)+逐级计算!$Q$72*(BT85-逐级计算!$P$72)*LN(10)/10))))))),"")</f>
        <v>13.7930365742089</v>
      </c>
      <c r="BV85">
        <f>IF(AND(ISNUMBER(BU85),逐级计算!$X$73&gt;-1),IF(逐级计算!$X$73=0,BU85+逐级计算!$C$73,BU85+逐级计算!$C$73-(10/(逐级计算!$Q$73*LN(10))*(MAX((LN(10^(逐级计算!$Q$73/10)-1)+逐级计算!$Q$73*(BU85-逐级计算!$P$73)*LN(10)/10),0)+LN(1+EXP(-ABS((LN(10^(逐级计算!$Q$73/10)-1)+逐级计算!$Q$73*(BU85-逐级计算!$P$73)*LN(10)/10))))))),"")</f>
        <v>13.7930365742089</v>
      </c>
      <c r="BW85">
        <f>IF(AND(ISNUMBER(BV85),逐级计算!$X$74&gt;-1),IF(逐级计算!$X$74=0,BV85+逐级计算!$C$74,BV85+逐级计算!$C$74-(10/(逐级计算!$Q$74*LN(10))*(MAX((LN(10^(逐级计算!$Q$74/10)-1)+逐级计算!$Q$74*(BV85-逐级计算!$P$74)*LN(10)/10),0)+LN(1+EXP(-ABS((LN(10^(逐级计算!$Q$74/10)-1)+逐级计算!$Q$74*(BV85-逐级计算!$P$74)*LN(10)/10))))))),"")</f>
        <v>13.7930365742089</v>
      </c>
      <c r="BX85">
        <f>IF(AND(ISNUMBER(BW85),逐级计算!$X$75&gt;-1),IF(逐级计算!$X$75=0,BW85+逐级计算!$C$75,BW85+逐级计算!$C$75-(10/(逐级计算!$Q$75*LN(10))*(MAX((LN(10^(逐级计算!$Q$75/10)-1)+逐级计算!$Q$75*(BW85-逐级计算!$P$75)*LN(10)/10),0)+LN(1+EXP(-ABS((LN(10^(逐级计算!$Q$75/10)-1)+逐级计算!$Q$75*(BW85-逐级计算!$P$75)*LN(10)/10))))))),"")</f>
        <v>13.7930365742089</v>
      </c>
      <c r="BY85">
        <f>IF(AND(ISNUMBER(BX85),逐级计算!$X$76&gt;-1),IF(逐级计算!$X$76=0,BX85+逐级计算!$C$76,BX85+逐级计算!$C$76-(10/(逐级计算!$Q$76*LN(10))*(MAX((LN(10^(逐级计算!$Q$76/10)-1)+逐级计算!$Q$76*(BX85-逐级计算!$P$76)*LN(10)/10),0)+LN(1+EXP(-ABS((LN(10^(逐级计算!$Q$76/10)-1)+逐级计算!$Q$76*(BX85-逐级计算!$P$76)*LN(10)/10))))))),"")</f>
        <v>13.7930365742089</v>
      </c>
      <c r="BZ85">
        <f>IF(AND(ISNUMBER(BY85),逐级计算!$X$77&gt;-1),IF(逐级计算!$X$77=0,BY85+逐级计算!$C$77,BY85+逐级计算!$C$77-(10/(逐级计算!$Q$77*LN(10))*(MAX((LN(10^(逐级计算!$Q$77/10)-1)+逐级计算!$Q$77*(BY85-逐级计算!$P$77)*LN(10)/10),0)+LN(1+EXP(-ABS((LN(10^(逐级计算!$Q$77/10)-1)+逐级计算!$Q$77*(BY85-逐级计算!$P$77)*LN(10)/10))))))),"")</f>
        <v>13.7930365742089</v>
      </c>
      <c r="CA85">
        <f>IF(AND(ISNUMBER(BZ85),逐级计算!$X$78&gt;-1),IF(逐级计算!$X$78=0,BZ85+逐级计算!$C$78,BZ85+逐级计算!$C$78-(10/(逐级计算!$Q$78*LN(10))*(MAX((LN(10^(逐级计算!$Q$78/10)-1)+逐级计算!$Q$78*(BZ85-逐级计算!$P$78)*LN(10)/10),0)+LN(1+EXP(-ABS((LN(10^(逐级计算!$Q$78/10)-1)+逐级计算!$Q$78*(BZ85-逐级计算!$P$78)*LN(10)/10))))))),"")</f>
        <v>13.7930365742089</v>
      </c>
      <c r="CB85">
        <f>IF(AND(ISNUMBER(CA85),逐级计算!$X$79&gt;-1),IF(逐级计算!$X$79=0,CA85+逐级计算!$C$79,CA85+逐级计算!$C$79-(10/(逐级计算!$Q$79*LN(10))*(MAX((LN(10^(逐级计算!$Q$79/10)-1)+逐级计算!$Q$79*(CA85-逐级计算!$P$79)*LN(10)/10),0)+LN(1+EXP(-ABS((LN(10^(逐级计算!$Q$79/10)-1)+逐级计算!$Q$79*(CA85-逐级计算!$P$79)*LN(10)/10))))))),"")</f>
        <v>13.7930365742089</v>
      </c>
      <c r="CC85">
        <f>IF(AND(ISNUMBER(CB85),逐级计算!$X$80&gt;-1),IF(逐级计算!$X$80=0,CB85+逐级计算!$C$80,CB85+逐级计算!$C$80-(10/(逐级计算!$Q$80*LN(10))*(MAX((LN(10^(逐级计算!$Q$80/10)-1)+逐级计算!$Q$80*(CB85-逐级计算!$P$80)*LN(10)/10),0)+LN(1+EXP(-ABS((LN(10^(逐级计算!$Q$80/10)-1)+逐级计算!$Q$80*(CB85-逐级计算!$P$80)*LN(10)/10))))))),"")</f>
        <v>13.7930365742089</v>
      </c>
      <c r="CD85">
        <f>IF(AND(ISNUMBER(CC85),逐级计算!$X$81&gt;-1),IF(逐级计算!$X$81=0,CC85+逐级计算!$C$81,CC85+逐级计算!$C$81-(10/(逐级计算!$Q$81*LN(10))*(MAX((LN(10^(逐级计算!$Q$81/10)-1)+逐级计算!$Q$81*(CC85-逐级计算!$P$81)*LN(10)/10),0)+LN(1+EXP(-ABS((LN(10^(逐级计算!$Q$81/10)-1)+逐级计算!$Q$81*(CC85-逐级计算!$P$81)*LN(10)/10))))))),"")</f>
        <v>13.7930365742089</v>
      </c>
      <c r="CE85">
        <f>IF(AND(ISNUMBER(CD85),逐级计算!$X$82&gt;-1),IF(逐级计算!$X$82=0,CD85+逐级计算!$C$82,CD85+逐级计算!$C$82-(10/(逐级计算!$Q$82*LN(10))*(MAX((LN(10^(逐级计算!$Q$82/10)-1)+逐级计算!$Q$82*(CD85-逐级计算!$P$82)*LN(10)/10),0)+LN(1+EXP(-ABS((LN(10^(逐级计算!$Q$82/10)-1)+逐级计算!$Q$82*(CD85-逐级计算!$P$82)*LN(10)/10))))))),"")</f>
        <v>13.7930365742089</v>
      </c>
      <c r="CF85">
        <f>IF(AND(ISNUMBER(CE85),逐级计算!$X$83&gt;-1),IF(逐级计算!$X$83=0,CE85+逐级计算!$C$83,CE85+逐级计算!$C$83-(10/(逐级计算!$Q$83*LN(10))*(MAX((LN(10^(逐级计算!$Q$83/10)-1)+逐级计算!$Q$83*(CE85-逐级计算!$P$83)*LN(10)/10),0)+LN(1+EXP(-ABS((LN(10^(逐级计算!$Q$83/10)-1)+逐级计算!$Q$83*(CE85-逐级计算!$P$83)*LN(10)/10))))))),"")</f>
        <v>13.7930365742089</v>
      </c>
      <c r="CG85">
        <f>IF(AND(ISNUMBER(CF85),逐级计算!$X$84&gt;-1),IF(逐级计算!$X$84=0,CF85+逐级计算!$C$84,CF85+逐级计算!$C$84-(10/(逐级计算!$Q$84*LN(10))*(MAX((LN(10^(逐级计算!$Q$84/10)-1)+逐级计算!$Q$84*(CF85-逐级计算!$P$84)*LN(10)/10),0)+LN(1+EXP(-ABS((LN(10^(逐级计算!$Q$84/10)-1)+逐级计算!$Q$84*(CF85-逐级计算!$P$84)*LN(10)/10))))))),"")</f>
        <v>13.7930365742089</v>
      </c>
      <c r="CH85">
        <f>IF(AND(ISNUMBER(CG85),逐级计算!$X$85&gt;-1),IF(逐级计算!$X$85=0,CG85+逐级计算!$C$85,CG85+逐级计算!$C$85-(10/(逐级计算!$Q$85*LN(10))*(MAX((LN(10^(逐级计算!$Q$85/10)-1)+逐级计算!$Q$85*(CG85-逐级计算!$P$85)*LN(10)/10),0)+LN(1+EXP(-ABS((LN(10^(逐级计算!$Q$85/10)-1)+逐级计算!$Q$85*(CG85-逐级计算!$P$85)*LN(10)/10))))))),"")</f>
        <v>13.7930365742089</v>
      </c>
      <c r="CI85">
        <f>IF(AND(ISNUMBER(CH85),逐级计算!$X$86&gt;-1),IF(逐级计算!$X$86=0,CH85+逐级计算!$C$86,CH85+逐级计算!$C$86-(10/(逐级计算!$Q$86*LN(10))*(MAX((LN(10^(逐级计算!$Q$86/10)-1)+逐级计算!$Q$86*(CH85-逐级计算!$P$86)*LN(10)/10),0)+LN(1+EXP(-ABS((LN(10^(逐级计算!$Q$86/10)-1)+逐级计算!$Q$86*(CH85-逐级计算!$P$86)*LN(10)/10))))))),"")</f>
        <v>13.7930365742089</v>
      </c>
      <c r="CJ85">
        <f>IF(AND(ISNUMBER(CI85),逐级计算!$X$87&gt;-1),IF(逐级计算!$X$87=0,CI85+逐级计算!$C$87,CI85+逐级计算!$C$87-(10/(逐级计算!$Q$87*LN(10))*(MAX((LN(10^(逐级计算!$Q$87/10)-1)+逐级计算!$Q$87*(CI85-逐级计算!$P$87)*LN(10)/10),0)+LN(1+EXP(-ABS((LN(10^(逐级计算!$Q$87/10)-1)+逐级计算!$Q$87*(CI85-逐级计算!$P$87)*LN(10)/10))))))),"")</f>
        <v>13.7930365742089</v>
      </c>
      <c r="CK85">
        <f>IF(AND(ISNUMBER(CJ85),逐级计算!$X$88&gt;-1),IF(逐级计算!$X$88=0,CJ85+逐级计算!$C$88,CJ85+逐级计算!$C$88-(10/(逐级计算!$Q$88*LN(10))*(MAX((LN(10^(逐级计算!$Q$88/10)-1)+逐级计算!$Q$88*(CJ85-逐级计算!$P$88)*LN(10)/10),0)+LN(1+EXP(-ABS((LN(10^(逐级计算!$Q$88/10)-1)+逐级计算!$Q$88*(CJ85-逐级计算!$P$88)*LN(10)/10))))))),"")</f>
        <v>13.7930365742089</v>
      </c>
      <c r="CL85">
        <f>IF(AND(ISNUMBER(CK85),逐级计算!$X$89&gt;-1),IF(逐级计算!$X$89=0,CK85+逐级计算!$C$89,CK85+逐级计算!$C$89-(10/(逐级计算!$Q$89*LN(10))*(MAX((LN(10^(逐级计算!$Q$89/10)-1)+逐级计算!$Q$89*(CK85-逐级计算!$P$89)*LN(10)/10),0)+LN(1+EXP(-ABS((LN(10^(逐级计算!$Q$89/10)-1)+逐级计算!$Q$89*(CK85-逐级计算!$P$89)*LN(10)/10))))))),"")</f>
        <v>13.7930365742089</v>
      </c>
      <c r="CM85">
        <f>IF(AND(ISNUMBER(CL85),逐级计算!$X$90&gt;-1),IF(逐级计算!$X$90=0,CL85+逐级计算!$C$90,CL85+逐级计算!$C$90-(10/(逐级计算!$Q$90*LN(10))*(MAX((LN(10^(逐级计算!$Q$90/10)-1)+逐级计算!$Q$90*(CL85-逐级计算!$P$90)*LN(10)/10),0)+LN(1+EXP(-ABS((LN(10^(逐级计算!$Q$90/10)-1)+逐级计算!$Q$90*(CL85-逐级计算!$P$90)*LN(10)/10))))))),"")</f>
        <v>13.7930365742089</v>
      </c>
      <c r="CN85">
        <f>IF(AND(ISNUMBER(CM85),逐级计算!$X$91&gt;-1),IF(逐级计算!$X$91=0,CM85+逐级计算!$C$91,CM85+逐级计算!$C$91-(10/(逐级计算!$Q$91*LN(10))*(MAX((LN(10^(逐级计算!$Q$91/10)-1)+逐级计算!$Q$91*(CM85-逐级计算!$P$91)*LN(10)/10),0)+LN(1+EXP(-ABS((LN(10^(逐级计算!$Q$91/10)-1)+逐级计算!$Q$91*(CM85-逐级计算!$P$91)*LN(10)/10))))))),"")</f>
        <v>13.7930365742089</v>
      </c>
      <c r="CO85">
        <f>IF(AND(ISNUMBER(CN85),逐级计算!$X$92&gt;-1),IF(逐级计算!$X$92=0,CN85+逐级计算!$C$92,CN85+逐级计算!$C$92-(10/(逐级计算!$Q$92*LN(10))*(MAX((LN(10^(逐级计算!$Q$92/10)-1)+逐级计算!$Q$92*(CN85-逐级计算!$P$92)*LN(10)/10),0)+LN(1+EXP(-ABS((LN(10^(逐级计算!$Q$92/10)-1)+逐级计算!$Q$92*(CN85-逐级计算!$P$92)*LN(10)/10))))))),"")</f>
        <v>13.7930365742089</v>
      </c>
      <c r="CP85">
        <f>IF(AND(ISNUMBER(CO85),逐级计算!$X$93&gt;-1),IF(逐级计算!$X$93=0,CO85+逐级计算!$C$93,CO85+逐级计算!$C$93-(10/(逐级计算!$Q$93*LN(10))*(MAX((LN(10^(逐级计算!$Q$93/10)-1)+逐级计算!$Q$93*(CO85-逐级计算!$P$93)*LN(10)/10),0)+LN(1+EXP(-ABS((LN(10^(逐级计算!$Q$93/10)-1)+逐级计算!$Q$93*(CO85-逐级计算!$P$93)*LN(10)/10))))))),"")</f>
        <v>13.7930365742089</v>
      </c>
      <c r="CQ85">
        <f>IF(AND(ISNUMBER(CP85),逐级计算!$X$94&gt;-1),IF(逐级计算!$X$94=0,CP85+逐级计算!$C$94,CP85+逐级计算!$C$94-(10/(逐级计算!$Q$94*LN(10))*(MAX((LN(10^(逐级计算!$Q$94/10)-1)+逐级计算!$Q$94*(CP85-逐级计算!$P$94)*LN(10)/10),0)+LN(1+EXP(-ABS((LN(10^(逐级计算!$Q$94/10)-1)+逐级计算!$Q$94*(CP85-逐级计算!$P$94)*LN(10)/10))))))),"")</f>
        <v>13.7930365742089</v>
      </c>
      <c r="CR85">
        <f>IF(AND(ISNUMBER(CQ85),逐级计算!$X$95&gt;-1),IF(逐级计算!$X$95=0,CQ85+逐级计算!$C$95,CQ85+逐级计算!$C$95-(10/(逐级计算!$Q$95*LN(10))*(MAX((LN(10^(逐级计算!$Q$95/10)-1)+逐级计算!$Q$95*(CQ85-逐级计算!$P$95)*LN(10)/10),0)+LN(1+EXP(-ABS((LN(10^(逐级计算!$Q$95/10)-1)+逐级计算!$Q$95*(CQ85-逐级计算!$P$95)*LN(10)/10))))))),"")</f>
        <v>13.7930365742089</v>
      </c>
      <c r="CS85">
        <f>IF(AND(ISNUMBER(CR85),逐级计算!$X$96&gt;-1),IF(逐级计算!$X$96=0,CR85+逐级计算!$C$96,CR85+逐级计算!$C$96-(10/(逐级计算!$Q$96*LN(10))*(MAX((LN(10^(逐级计算!$Q$96/10)-1)+逐级计算!$Q$96*(CR85-逐级计算!$P$96)*LN(10)/10),0)+LN(1+EXP(-ABS((LN(10^(逐级计算!$Q$96/10)-1)+逐级计算!$Q$96*(CR85-逐级计算!$P$96)*LN(10)/10))))))),"")</f>
        <v>13.7930365742089</v>
      </c>
      <c r="CT85">
        <f>IF(AND(ISNUMBER(CS85),逐级计算!$X$97&gt;-1),IF(逐级计算!$X$97=0,CS85+逐级计算!$C$97,CS85+逐级计算!$C$97-(10/(逐级计算!$Q$97*LN(10))*(MAX((LN(10^(逐级计算!$Q$97/10)-1)+逐级计算!$Q$97*(CS85-逐级计算!$P$97)*LN(10)/10),0)+LN(1+EXP(-ABS((LN(10^(逐级计算!$Q$97/10)-1)+逐级计算!$Q$97*(CS85-逐级计算!$P$97)*LN(10)/10))))))),"")</f>
        <v>13.7930365742089</v>
      </c>
      <c r="CU85">
        <f>IF(AND(ISNUMBER(CT85),逐级计算!$X$98&gt;-1),IF(逐级计算!$X$98=0,CT85+逐级计算!$C$98,CT85+逐级计算!$C$98-(10/(逐级计算!$Q$98*LN(10))*(MAX((LN(10^(逐级计算!$Q$98/10)-1)+逐级计算!$Q$98*(CT85-逐级计算!$P$98)*LN(10)/10),0)+LN(1+EXP(-ABS((LN(10^(逐级计算!$Q$98/10)-1)+逐级计算!$Q$98*(CT85-逐级计算!$P$98)*LN(10)/10))))))),"")</f>
        <v>13.7930365742089</v>
      </c>
      <c r="CV85">
        <f>IF(AND(ISNUMBER(CU85),逐级计算!$X$99&gt;-1),IF(逐级计算!$X$99=0,CU85+逐级计算!$C$99,CU85+逐级计算!$C$99-(10/(逐级计算!$Q$99*LN(10))*(MAX((LN(10^(逐级计算!$Q$99/10)-1)+逐级计算!$Q$99*(CU85-逐级计算!$P$99)*LN(10)/10),0)+LN(1+EXP(-ABS((LN(10^(逐级计算!$Q$99/10)-1)+逐级计算!$Q$99*(CU85-逐级计算!$P$99)*LN(10)/10))))))),"")</f>
        <v>13.7930365742089</v>
      </c>
      <c r="CW85">
        <f>IF(AND(ISNUMBER(CV85),逐级计算!$X$100&gt;-1),IF(逐级计算!$X$100=0,CV85+逐级计算!$C$100,CV85+逐级计算!$C$100-(10/(逐级计算!$Q$100*LN(10))*(MAX((LN(10^(逐级计算!$Q$100/10)-1)+逐级计算!$Q$100*(CV85-逐级计算!$P$100)*LN(10)/10),0)+LN(1+EXP(-ABS((LN(10^(逐级计算!$Q$100/10)-1)+逐级计算!$Q$100*(CV85-逐级计算!$P$100)*LN(10)/10))))))),"")</f>
        <v>13.7930365742089</v>
      </c>
      <c r="CX85">
        <f>IF(AND(ISNUMBER(CW85),逐级计算!$X$101&gt;-1),IF(逐级计算!$X$101=0,CW85+逐级计算!$C$101,CW85+逐级计算!$C$101-(10/(逐级计算!$Q$101*LN(10))*(MAX((LN(10^(逐级计算!$Q$101/10)-1)+逐级计算!$Q$101*(CW85-逐级计算!$P$101)*LN(10)/10),0)+LN(1+EXP(-ABS((LN(10^(逐级计算!$Q$101/10)-1)+逐级计算!$Q$101*(CW85-逐级计算!$P$101)*LN(10)/10))))))),"")</f>
        <v>13.7930365742089</v>
      </c>
      <c r="CY85">
        <f>IF(AND(ISNUMBER(CX85),逐级计算!$X$102&gt;-1),IF(逐级计算!$X$102=0,CX85+逐级计算!$C$102,CX85+逐级计算!$C$102-(10/(逐级计算!$Q$102*LN(10))*(MAX((LN(10^(逐级计算!$Q$102/10)-1)+逐级计算!$Q$102*(CX85-逐级计算!$P$102)*LN(10)/10),0)+LN(1+EXP(-ABS((LN(10^(逐级计算!$Q$102/10)-1)+逐级计算!$Q$102*(CX85-逐级计算!$P$102)*LN(10)/10))))))),"")</f>
        <v>13.7930365742089</v>
      </c>
      <c r="CZ85">
        <f>IF(AND(ISNUMBER(CY85),逐级计算!$X$103&gt;-1),IF(逐级计算!$X$103=0,CY85+逐级计算!$C$103,CY85+逐级计算!$C$103-(10/(逐级计算!$Q$103*LN(10))*(MAX((LN(10^(逐级计算!$Q$103/10)-1)+逐级计算!$Q$103*(CY85-逐级计算!$P$103)*LN(10)/10),0)+LN(1+EXP(-ABS((LN(10^(逐级计算!$Q$103/10)-1)+逐级计算!$Q$103*(CY85-逐级计算!$P$103)*LN(10)/10))))))),"")</f>
        <v>13.7930365742089</v>
      </c>
      <c r="DA85">
        <f>IF(AND(ISNUMBER(CZ85),逐级计算!$X$104&gt;-1),IF(逐级计算!$X$104=0,CZ85+逐级计算!$C$104,CZ85+逐级计算!$C$104-(10/(逐级计算!$Q$104*LN(10))*(MAX((LN(10^(逐级计算!$Q$104/10)-1)+逐级计算!$Q$104*(CZ85-逐级计算!$P$104)*LN(10)/10),0)+LN(1+EXP(-ABS((LN(10^(逐级计算!$Q$104/10)-1)+逐级计算!$Q$104*(CZ85-逐级计算!$P$104)*LN(10)/10))))))),"")</f>
        <v>13.7930365742089</v>
      </c>
      <c r="DB85">
        <f>IF(AND(ISNUMBER(DA85),逐级计算!$X$105&gt;-1),IF(逐级计算!$X$105=0,DA85+逐级计算!$C$105,DA85+逐级计算!$C$105-(10/(逐级计算!$Q$105*LN(10))*(MAX((LN(10^(逐级计算!$Q$105/10)-1)+逐级计算!$Q$105*(DA85-逐级计算!$P$105)*LN(10)/10),0)+LN(1+EXP(-ABS((LN(10^(逐级计算!$Q$105/10)-1)+逐级计算!$Q$105*(DA85-逐级计算!$P$105)*LN(10)/10))))))),"")</f>
        <v>13.7930365742089</v>
      </c>
      <c r="DC85">
        <f>IF(AND(ISNUMBER(DB85),逐级计算!$X$106&gt;-1),IF(逐级计算!$X$106=0,DB85+逐级计算!$C$106,DB85+逐级计算!$C$106-(10/(逐级计算!$Q$106*LN(10))*(MAX((LN(10^(逐级计算!$Q$106/10)-1)+逐级计算!$Q$106*(DB85-逐级计算!$P$106)*LN(10)/10),0)+LN(1+EXP(-ABS((LN(10^(逐级计算!$Q$106/10)-1)+逐级计算!$Q$106*(DB85-逐级计算!$P$106)*LN(10)/10))))))),"")</f>
        <v>13.7930365742089</v>
      </c>
      <c r="DD85">
        <f>IF(AND(ISNUMBER(DC85),逐级计算!$X$107&gt;-1),IF(逐级计算!$X$107=0,DC85+逐级计算!$C$107,DC85+逐级计算!$C$107-(10/(逐级计算!$Q$107*LN(10))*(MAX((LN(10^(逐级计算!$Q$107/10)-1)+逐级计算!$Q$107*(DC85-逐级计算!$P$107)*LN(10)/10),0)+LN(1+EXP(-ABS((LN(10^(逐级计算!$Q$107/10)-1)+逐级计算!$Q$107*(DC85-逐级计算!$P$107)*LN(10)/10))))))),"")</f>
        <v>13.7930365742089</v>
      </c>
      <c r="DE85">
        <f>IF(AND(ISNUMBER(DD85),逐级计算!$X$108&gt;-1),IF(逐级计算!$X$108=0,DD85+逐级计算!$C$108,DD85+逐级计算!$C$108-(10/(逐级计算!$Q$108*LN(10))*(MAX((LN(10^(逐级计算!$Q$108/10)-1)+逐级计算!$Q$108*(DD85-逐级计算!$P$108)*LN(10)/10),0)+LN(1+EXP(-ABS((LN(10^(逐级计算!$Q$108/10)-1)+逐级计算!$Q$108*(DD85-逐级计算!$P$108)*LN(10)/10))))))),"")</f>
        <v>13.7930365742089</v>
      </c>
      <c r="DF85">
        <f>IF(AND(ISNUMBER(DE85),逐级计算!$X$109&gt;-1),IF(逐级计算!$X$109=0,DE85+逐级计算!$C$109,DE85+逐级计算!$C$109-(10/(逐级计算!$Q$109*LN(10))*(MAX((LN(10^(逐级计算!$Q$109/10)-1)+逐级计算!$Q$109*(DE85-逐级计算!$P$109)*LN(10)/10),0)+LN(1+EXP(-ABS((LN(10^(逐级计算!$Q$109/10)-1)+逐级计算!$Q$109*(DE85-逐级计算!$P$109)*LN(10)/10))))))),"")</f>
        <v>13.7930365742089</v>
      </c>
      <c r="DG85">
        <f>IF(AND(ISNUMBER(DF85),逐级计算!$X$110&gt;-1),IF(逐级计算!$X$110=0,DF85+逐级计算!$C$110,DF85+逐级计算!$C$110-(10/(逐级计算!$Q$110*LN(10))*(MAX((LN(10^(逐级计算!$Q$110/10)-1)+逐级计算!$Q$110*(DF85-逐级计算!$P$110)*LN(10)/10),0)+LN(1+EXP(-ABS((LN(10^(逐级计算!$Q$110/10)-1)+逐级计算!$Q$110*(DF85-逐级计算!$P$110)*LN(10)/10))))))),"")</f>
        <v>13.7930365742089</v>
      </c>
      <c r="DH85">
        <f>IF(AND(ISNUMBER(DG85),逐级计算!$X$111&gt;-1),IF(逐级计算!$X$111=0,DG85+逐级计算!$C$111,DG85+逐级计算!$C$111-(10/(逐级计算!$Q$111*LN(10))*(MAX((LN(10^(逐级计算!$Q$111/10)-1)+逐级计算!$Q$111*(DG85-逐级计算!$P$111)*LN(10)/10),0)+LN(1+EXP(-ABS((LN(10^(逐级计算!$Q$111/10)-1)+逐级计算!$Q$111*(DG85-逐级计算!$P$111)*LN(10)/10))))))),"")</f>
        <v>13.7930365742089</v>
      </c>
      <c r="DI85">
        <f>IF(AND(ISNUMBER(DH85),逐级计算!$X$112&gt;-1),IF(逐级计算!$X$112=0,DH85+逐级计算!$C$112,DH85+逐级计算!$C$112-(10/(逐级计算!$Q$112*LN(10))*(MAX((LN(10^(逐级计算!$Q$112/10)-1)+逐级计算!$Q$112*(DH85-逐级计算!$P$112)*LN(10)/10),0)+LN(1+EXP(-ABS((LN(10^(逐级计算!$Q$112/10)-1)+逐级计算!$Q$112*(DH85-逐级计算!$P$112)*LN(10)/10))))))),"")</f>
        <v>13.7930365742089</v>
      </c>
      <c r="DJ85">
        <f>IF(AND(ISNUMBER(DI85),逐级计算!$X$113&gt;-1),IF(逐级计算!$X$113=0,DI85+逐级计算!$C$113,DI85+逐级计算!$C$113-(10/(逐级计算!$Q$113*LN(10))*(MAX((LN(10^(逐级计算!$Q$113/10)-1)+逐级计算!$Q$113*(DI85-逐级计算!$P$113)*LN(10)/10),0)+LN(1+EXP(-ABS((LN(10^(逐级计算!$Q$113/10)-1)+逐级计算!$Q$113*(DI85-逐级计算!$P$113)*LN(10)/10))))))),"")</f>
        <v>13.7930365742089</v>
      </c>
      <c r="DK85">
        <f>IF(AND(ISNUMBER(DJ85),逐级计算!$X$114&gt;-1),IF(逐级计算!$X$114=0,DJ85+逐级计算!$C$114,DJ85+逐级计算!$C$114-(10/(逐级计算!$Q$114*LN(10))*(MAX((LN(10^(逐级计算!$Q$114/10)-1)+逐级计算!$Q$114*(DJ85-逐级计算!$P$114)*LN(10)/10),0)+LN(1+EXP(-ABS((LN(10^(逐级计算!$Q$114/10)-1)+逐级计算!$Q$114*(DJ85-逐级计算!$P$114)*LN(10)/10))))))),"")</f>
        <v>13.7930365742089</v>
      </c>
      <c r="DL85">
        <f>IF(AND(ISNUMBER(DK85),逐级计算!$X$115&gt;-1),IF(逐级计算!$X$115=0,DK85+逐级计算!$C$115,DK85+逐级计算!$C$115-(10/(逐级计算!$Q$115*LN(10))*(MAX((LN(10^(逐级计算!$Q$115/10)-1)+逐级计算!$Q$115*(DK85-逐级计算!$P$115)*LN(10)/10),0)+LN(1+EXP(-ABS((LN(10^(逐级计算!$Q$115/10)-1)+逐级计算!$Q$115*(DK85-逐级计算!$P$115)*LN(10)/10))))))),"")</f>
        <v>13.7930365742089</v>
      </c>
      <c r="DM85">
        <f>IF(AND(ISNUMBER(DL85),逐级计算!$X$116&gt;-1),IF(逐级计算!$X$116=0,DL85+逐级计算!$C$116,DL85+逐级计算!$C$116-(10/(逐级计算!$Q$116*LN(10))*(MAX((LN(10^(逐级计算!$Q$116/10)-1)+逐级计算!$Q$116*(DL85-逐级计算!$P$116)*LN(10)/10),0)+LN(1+EXP(-ABS((LN(10^(逐级计算!$Q$116/10)-1)+逐级计算!$Q$116*(DL85-逐级计算!$P$116)*LN(10)/10))))))),"")</f>
        <v>13.7930365742089</v>
      </c>
      <c r="DN85">
        <f>IF(AND(ISNUMBER(DM85),逐级计算!$X$117&gt;-1),IF(逐级计算!$X$117=0,DM85+逐级计算!$C$117,DM85+逐级计算!$C$117-(10/(逐级计算!$Q$117*LN(10))*(MAX((LN(10^(逐级计算!$Q$117/10)-1)+逐级计算!$Q$117*(DM85-逐级计算!$P$117)*LN(10)/10),0)+LN(1+EXP(-ABS((LN(10^(逐级计算!$Q$117/10)-1)+逐级计算!$Q$117*(DM85-逐级计算!$P$117)*LN(10)/10))))))),"")</f>
        <v>13.7930365742089</v>
      </c>
      <c r="DO85">
        <f>IF(AND(ISNUMBER(DN85),逐级计算!$X$118&gt;-1),IF(逐级计算!$X$118=0,DN85+逐级计算!$C$118,DN85+逐级计算!$C$118-(10/(逐级计算!$Q$118*LN(10))*(MAX((LN(10^(逐级计算!$Q$118/10)-1)+逐级计算!$Q$118*(DN85-逐级计算!$P$118)*LN(10)/10),0)+LN(1+EXP(-ABS((LN(10^(逐级计算!$Q$118/10)-1)+逐级计算!$Q$118*(DN85-逐级计算!$P$118)*LN(10)/10))))))),"")</f>
        <v>13.7930365742089</v>
      </c>
      <c r="DP85">
        <f>IF(AND(ISNUMBER(DO85),逐级计算!$X$119&gt;-1),IF(逐级计算!$X$119=0,DO85+逐级计算!$C$119,DO85+逐级计算!$C$119-(10/(逐级计算!$Q$119*LN(10))*(MAX((LN(10^(逐级计算!$Q$119/10)-1)+逐级计算!$Q$119*(DO85-逐级计算!$P$119)*LN(10)/10),0)+LN(1+EXP(-ABS((LN(10^(逐级计算!$Q$119/10)-1)+逐级计算!$Q$119*(DO85-逐级计算!$P$119)*LN(10)/10))))))),"")</f>
        <v>13.7930365742089</v>
      </c>
      <c r="DQ85">
        <f>IF(AND(ISNUMBER(DP85),逐级计算!$X$120&gt;-1),IF(逐级计算!$X$120=0,DP85+逐级计算!$C$120,DP85+逐级计算!$C$120-(10/(逐级计算!$Q$120*LN(10))*(MAX((LN(10^(逐级计算!$Q$120/10)-1)+逐级计算!$Q$120*(DP85-逐级计算!$P$120)*LN(10)/10),0)+LN(1+EXP(-ABS((LN(10^(逐级计算!$Q$120/10)-1)+逐级计算!$Q$120*(DP85-逐级计算!$P$120)*LN(10)/10))))))),"")</f>
        <v>13.7930365742089</v>
      </c>
      <c r="DR85">
        <f>IF(AND(ISNUMBER(DQ85),逐级计算!$X$121&gt;-1),IF(逐级计算!$X$121=0,DQ85+逐级计算!$C$121,DQ85+逐级计算!$C$121-(10/(逐级计算!$Q$121*LN(10))*(MAX((LN(10^(逐级计算!$Q$121/10)-1)+逐级计算!$Q$121*(DQ85-逐级计算!$P$121)*LN(10)/10),0)+LN(1+EXP(-ABS((LN(10^(逐级计算!$Q$121/10)-1)+逐级计算!$Q$121*(DQ85-逐级计算!$P$121)*LN(10)/10))))))),"")</f>
        <v>13.7930365742089</v>
      </c>
      <c r="DS85">
        <f>IF(AND(ISNUMBER(DR85),逐级计算!$X$122&gt;-1),IF(逐级计算!$X$122=0,DR85+逐级计算!$C$122,DR85+逐级计算!$C$122-(10/(逐级计算!$Q$122*LN(10))*(MAX((LN(10^(逐级计算!$Q$122/10)-1)+逐级计算!$Q$122*(DR85-逐级计算!$P$122)*LN(10)/10),0)+LN(1+EXP(-ABS((LN(10^(逐级计算!$Q$122/10)-1)+逐级计算!$Q$122*(DR85-逐级计算!$P$122)*LN(10)/10))))))),"")</f>
        <v>13.7930365742089</v>
      </c>
      <c r="DT85">
        <f>IF(AND(ISNUMBER(DS85),逐级计算!$X$123&gt;-1),IF(逐级计算!$X$123=0,DS85+逐级计算!$C$123,DS85+逐级计算!$C$123-(10/(逐级计算!$Q$123*LN(10))*(MAX((LN(10^(逐级计算!$Q$123/10)-1)+逐级计算!$Q$123*(DS85-逐级计算!$P$123)*LN(10)/10),0)+LN(1+EXP(-ABS((LN(10^(逐级计算!$Q$123/10)-1)+逐级计算!$Q$123*(DS85-逐级计算!$P$123)*LN(10)/10))))))),"")</f>
        <v>13.7930365742089</v>
      </c>
      <c r="DU85">
        <f>IF(AND(ISNUMBER(DT85),逐级计算!$X$124&gt;-1),IF(逐级计算!$X$124=0,DT85+逐级计算!$C$124,DT85+逐级计算!$C$124-(10/(逐级计算!$Q$124*LN(10))*(MAX((LN(10^(逐级计算!$Q$124/10)-1)+逐级计算!$Q$124*(DT85-逐级计算!$P$124)*LN(10)/10),0)+LN(1+EXP(-ABS((LN(10^(逐级计算!$Q$124/10)-1)+逐级计算!$Q$124*(DT85-逐级计算!$P$124)*LN(10)/10))))))),"")</f>
        <v>13.7930365742089</v>
      </c>
      <c r="DV85">
        <f>IF(AND(ISNUMBER(DU85),逐级计算!$X$125&gt;-1),IF(逐级计算!$X$125=0,DU85+逐级计算!$C$125,DU85+逐级计算!$C$125-(10/(逐级计算!$Q$125*LN(10))*(MAX((LN(10^(逐级计算!$Q$125/10)-1)+逐级计算!$Q$125*(DU85-逐级计算!$P$125)*LN(10)/10),0)+LN(1+EXP(-ABS((LN(10^(逐级计算!$Q$125/10)-1)+逐级计算!$Q$125*(DU85-逐级计算!$P$125)*LN(10)/10))))))),"")</f>
        <v>13.7930365742089</v>
      </c>
      <c r="DW85">
        <f>IF(AND(ISNUMBER(DV85),逐级计算!$X$126&gt;-1),IF(逐级计算!$X$126=0,DV85+逐级计算!$C$126,DV85+逐级计算!$C$126-(10/(逐级计算!$Q$126*LN(10))*(MAX((LN(10^(逐级计算!$Q$126/10)-1)+逐级计算!$Q$126*(DV85-逐级计算!$P$126)*LN(10)/10),0)+LN(1+EXP(-ABS((LN(10^(逐级计算!$Q$126/10)-1)+逐级计算!$Q$126*(DV85-逐级计算!$P$126)*LN(10)/10))))))),"")</f>
        <v>13.7930365742089</v>
      </c>
      <c r="DX85">
        <f>IF(AND(ISNUMBER(DW85),逐级计算!$X$127&gt;-1),IF(逐级计算!$X$127=0,DW85+逐级计算!$C$127,DW85+逐级计算!$C$127-(10/(逐级计算!$Q$127*LN(10))*(MAX((LN(10^(逐级计算!$Q$127/10)-1)+逐级计算!$Q$127*(DW85-逐级计算!$P$127)*LN(10)/10),0)+LN(1+EXP(-ABS((LN(10^(逐级计算!$Q$127/10)-1)+逐级计算!$Q$127*(DW85-逐级计算!$P$127)*LN(10)/10))))))),"")</f>
        <v>13.7930365742089</v>
      </c>
      <c r="DY85">
        <f>IF(AND(ISNUMBER(DX85),逐级计算!$X$128&gt;-1),IF(逐级计算!$X$128=0,DX85+逐级计算!$C$128,DX85+逐级计算!$C$128-(10/(逐级计算!$Q$128*LN(10))*(MAX((LN(10^(逐级计算!$Q$128/10)-1)+逐级计算!$Q$128*(DX85-逐级计算!$P$128)*LN(10)/10),0)+LN(1+EXP(-ABS((LN(10^(逐级计算!$Q$128/10)-1)+逐级计算!$Q$128*(DX85-逐级计算!$P$128)*LN(10)/10))))))),"")</f>
        <v>13.7930365742089</v>
      </c>
      <c r="DZ85">
        <f>IF(AND(ISNUMBER(DY85),逐级计算!$X$129&gt;-1),IF(逐级计算!$X$129=0,DY85+逐级计算!$C$129,DY85+逐级计算!$C$129-(10/(逐级计算!$Q$129*LN(10))*(MAX((LN(10^(逐级计算!$Q$129/10)-1)+逐级计算!$Q$129*(DY85-逐级计算!$P$129)*LN(10)/10),0)+LN(1+EXP(-ABS((LN(10^(逐级计算!$Q$129/10)-1)+逐级计算!$Q$129*(DY85-逐级计算!$P$129)*LN(10)/10))))))),"")</f>
        <v>13.7930365742089</v>
      </c>
      <c r="EA85">
        <f>IF(AND(ISNUMBER(DZ85),逐级计算!$X$130&gt;-1),IF(逐级计算!$X$130=0,DZ85+逐级计算!$C$130,DZ85+逐级计算!$C$130-(10/(逐级计算!$Q$130*LN(10))*(MAX((LN(10^(逐级计算!$Q$130/10)-1)+逐级计算!$Q$130*(DZ85-逐级计算!$P$130)*LN(10)/10),0)+LN(1+EXP(-ABS((LN(10^(逐级计算!$Q$130/10)-1)+逐级计算!$Q$130*(DZ85-逐级计算!$P$130)*LN(10)/10))))))),"")</f>
        <v>13.7930365742089</v>
      </c>
      <c r="EB85">
        <f>IF(AND(ISNUMBER(EA85),逐级计算!$X$131&gt;-1),IF(逐级计算!$X$131=0,EA85+逐级计算!$C$131,EA85+逐级计算!$C$131-(10/(逐级计算!$Q$131*LN(10))*(MAX((LN(10^(逐级计算!$Q$131/10)-1)+逐级计算!$Q$131*(EA85-逐级计算!$P$131)*LN(10)/10),0)+LN(1+EXP(-ABS((LN(10^(逐级计算!$Q$131/10)-1)+逐级计算!$Q$131*(EA85-逐级计算!$P$131)*LN(10)/10))))))),"")</f>
        <v>13.7930365742089</v>
      </c>
      <c r="EC85">
        <f>IF(AND(ISNUMBER(EB85),逐级计算!$X$132&gt;-1),IF(逐级计算!$X$132=0,EB85+逐级计算!$C$132,EB85+逐级计算!$C$132-(10/(逐级计算!$Q$132*LN(10))*(MAX((LN(10^(逐级计算!$Q$132/10)-1)+逐级计算!$Q$132*(EB85-逐级计算!$P$132)*LN(10)/10),0)+LN(1+EXP(-ABS((LN(10^(逐级计算!$Q$132/10)-1)+逐级计算!$Q$132*(EB85-逐级计算!$P$132)*LN(10)/10))))))),"")</f>
        <v>13.7930365742089</v>
      </c>
      <c r="ED85">
        <f>IF(AND(ISNUMBER(EC85),逐级计算!$X$133&gt;-1),IF(逐级计算!$X$133=0,EC85+逐级计算!$C$133,EC85+逐级计算!$C$133-(10/(逐级计算!$Q$133*LN(10))*(MAX((LN(10^(逐级计算!$Q$133/10)-1)+逐级计算!$Q$133*(EC85-逐级计算!$P$133)*LN(10)/10),0)+LN(1+EXP(-ABS((LN(10^(逐级计算!$Q$133/10)-1)+逐级计算!$Q$133*(EC85-逐级计算!$P$133)*LN(10)/10))))))),"")</f>
        <v>13.7930365742089</v>
      </c>
      <c r="EE85">
        <f>IF(AND(ISNUMBER(ED85),逐级计算!$X$134&gt;-1),IF(逐级计算!$X$134=0,ED85+逐级计算!$C$134,ED85+逐级计算!$C$134-(10/(逐级计算!$Q$134*LN(10))*(MAX((LN(10^(逐级计算!$Q$134/10)-1)+逐级计算!$Q$134*(ED85-逐级计算!$P$134)*LN(10)/10),0)+LN(1+EXP(-ABS((LN(10^(逐级计算!$Q$134/10)-1)+逐级计算!$Q$134*(ED85-逐级计算!$P$134)*LN(10)/10))))))),"")</f>
        <v>13.7930365742089</v>
      </c>
      <c r="EF85">
        <f>IF(AND(ISNUMBER(EE85),逐级计算!$X$135&gt;-1),IF(逐级计算!$X$135=0,EE85+逐级计算!$C$135,EE85+逐级计算!$C$135-(10/(逐级计算!$Q$135*LN(10))*(MAX((LN(10^(逐级计算!$Q$135/10)-1)+逐级计算!$Q$135*(EE85-逐级计算!$P$135)*LN(10)/10),0)+LN(1+EXP(-ABS((LN(10^(逐级计算!$Q$135/10)-1)+逐级计算!$Q$135*(EE85-逐级计算!$P$135)*LN(10)/10))))))),"")</f>
        <v>13.7930365742089</v>
      </c>
      <c r="EG85">
        <f>IF(AND(ISNUMBER(EF85),逐级计算!$X$136&gt;-1),IF(逐级计算!$X$136=0,EF85+逐级计算!$C$136,EF85+逐级计算!$C$136-(10/(逐级计算!$Q$136*LN(10))*(MAX((LN(10^(逐级计算!$Q$136/10)-1)+逐级计算!$Q$136*(EF85-逐级计算!$P$136)*LN(10)/10),0)+LN(1+EXP(-ABS((LN(10^(逐级计算!$Q$136/10)-1)+逐级计算!$Q$136*(EF85-逐级计算!$P$136)*LN(10)/10))))))),"")</f>
        <v>13.7930365742089</v>
      </c>
      <c r="EH85">
        <f>IF(AND(ISNUMBER(EG85),逐级计算!$X$137&gt;-1),IF(逐级计算!$X$137=0,EG85+逐级计算!$C$137,EG85+逐级计算!$C$137-(10/(逐级计算!$Q$137*LN(10))*(MAX((LN(10^(逐级计算!$Q$137/10)-1)+逐级计算!$Q$137*(EG85-逐级计算!$P$137)*LN(10)/10),0)+LN(1+EXP(-ABS((LN(10^(逐级计算!$Q$137/10)-1)+逐级计算!$Q$137*(EG85-逐级计算!$P$137)*LN(10)/10))))))),"")</f>
        <v>13.7930365742089</v>
      </c>
      <c r="EI85">
        <f>IF(AND(ISNUMBER(EH85),逐级计算!$X$138&gt;-1),IF(逐级计算!$X$138=0,EH85+逐级计算!$C$138,EH85+逐级计算!$C$138-(10/(逐级计算!$Q$138*LN(10))*(MAX((LN(10^(逐级计算!$Q$138/10)-1)+逐级计算!$Q$138*(EH85-逐级计算!$P$138)*LN(10)/10),0)+LN(1+EXP(-ABS((LN(10^(逐级计算!$Q$138/10)-1)+逐级计算!$Q$138*(EH85-逐级计算!$P$138)*LN(10)/10))))))),"")</f>
        <v>13.7930365742089</v>
      </c>
      <c r="EJ85">
        <f>IF(AND(ISNUMBER(EI85),逐级计算!$X$139&gt;-1),IF(逐级计算!$X$139=0,EI85+逐级计算!$C$139,EI85+逐级计算!$C$139-(10/(逐级计算!$Q$139*LN(10))*(MAX((LN(10^(逐级计算!$Q$139/10)-1)+逐级计算!$Q$139*(EI85-逐级计算!$P$139)*LN(10)/10),0)+LN(1+EXP(-ABS((LN(10^(逐级计算!$Q$139/10)-1)+逐级计算!$Q$139*(EI85-逐级计算!$P$139)*LN(10)/10))))))),"")</f>
        <v>13.7930365742089</v>
      </c>
      <c r="EK85">
        <f>IF(AND(ISNUMBER(EJ85),逐级计算!$X$140&gt;-1),IF(逐级计算!$X$140=0,EJ85+逐级计算!$C$140,EJ85+逐级计算!$C$140-(10/(逐级计算!$Q$140*LN(10))*(MAX((LN(10^(逐级计算!$Q$140/10)-1)+逐级计算!$Q$140*(EJ85-逐级计算!$P$140)*LN(10)/10),0)+LN(1+EXP(-ABS((LN(10^(逐级计算!$Q$140/10)-1)+逐级计算!$Q$140*(EJ85-逐级计算!$P$140)*LN(10)/10))))))),"")</f>
        <v>13.7930365742089</v>
      </c>
      <c r="EL85">
        <f>IF(AND(ISNUMBER(EK85),逐级计算!$X$141&gt;-1),IF(逐级计算!$X$141=0,EK85+逐级计算!$C$141,EK85+逐级计算!$C$141-(10/(逐级计算!$Q$141*LN(10))*(MAX((LN(10^(逐级计算!$Q$141/10)-1)+逐级计算!$Q$141*(EK85-逐级计算!$P$141)*LN(10)/10),0)+LN(1+EXP(-ABS((LN(10^(逐级计算!$Q$141/10)-1)+逐级计算!$Q$141*(EK85-逐级计算!$P$141)*LN(10)/10))))))),"")</f>
        <v>13.7930365742089</v>
      </c>
      <c r="EM85">
        <f>IF(AND(ISNUMBER(EL85),逐级计算!$X$142&gt;-1),IF(逐级计算!$X$142=0,EL85+逐级计算!$C$142,EL85+逐级计算!$C$142-(10/(逐级计算!$Q$142*LN(10))*(MAX((LN(10^(逐级计算!$Q$142/10)-1)+逐级计算!$Q$142*(EL85-逐级计算!$P$142)*LN(10)/10),0)+LN(1+EXP(-ABS((LN(10^(逐级计算!$Q$142/10)-1)+逐级计算!$Q$142*(EL85-逐级计算!$P$142)*LN(10)/10))))))),"")</f>
        <v>13.7930365742089</v>
      </c>
      <c r="EN85">
        <f>IF(AND(ISNUMBER(EM85),逐级计算!$X$143&gt;-1),IF(逐级计算!$X$143=0,EM85+逐级计算!$C$143,EM85+逐级计算!$C$143-(10/(逐级计算!$Q$143*LN(10))*(MAX((LN(10^(逐级计算!$Q$143/10)-1)+逐级计算!$Q$143*(EM85-逐级计算!$P$143)*LN(10)/10),0)+LN(1+EXP(-ABS((LN(10^(逐级计算!$Q$143/10)-1)+逐级计算!$Q$143*(EM85-逐级计算!$P$143)*LN(10)/10))))))),"")</f>
        <v>13.7930365742089</v>
      </c>
      <c r="EO85">
        <f>IF(AND(ISNUMBER(EN85),逐级计算!$X$144&gt;-1),IF(逐级计算!$X$144=0,EN85+逐级计算!$C$144,EN85+逐级计算!$C$144-(10/(逐级计算!$Q$144*LN(10))*(MAX((LN(10^(逐级计算!$Q$144/10)-1)+逐级计算!$Q$144*(EN85-逐级计算!$P$144)*LN(10)/10),0)+LN(1+EXP(-ABS((LN(10^(逐级计算!$Q$144/10)-1)+逐级计算!$Q$144*(EN85-逐级计算!$P$144)*LN(10)/10))))))),"")</f>
        <v>13.7930365742089</v>
      </c>
      <c r="EP85">
        <f>IF(AND(ISNUMBER(EO85),逐级计算!$X$145&gt;-1),IF(逐级计算!$X$145=0,EO85+逐级计算!$C$145,EO85+逐级计算!$C$145-(10/(逐级计算!$Q$145*LN(10))*(MAX((LN(10^(逐级计算!$Q$145/10)-1)+逐级计算!$Q$145*(EO85-逐级计算!$P$145)*LN(10)/10),0)+LN(1+EXP(-ABS((LN(10^(逐级计算!$Q$145/10)-1)+逐级计算!$Q$145*(EO85-逐级计算!$P$145)*LN(10)/10))))))),"")</f>
        <v>13.7930365742089</v>
      </c>
      <c r="EQ85">
        <f>IF(AND(ISNUMBER(EP85),逐级计算!$X$146&gt;-1),IF(逐级计算!$X$146=0,EP85+逐级计算!$C$146,EP85+逐级计算!$C$146-(10/(逐级计算!$Q$146*LN(10))*(MAX((LN(10^(逐级计算!$Q$146/10)-1)+逐级计算!$Q$146*(EP85-逐级计算!$P$146)*LN(10)/10),0)+LN(1+EXP(-ABS((LN(10^(逐级计算!$Q$146/10)-1)+逐级计算!$Q$146*(EP85-逐级计算!$P$146)*LN(10)/10))))))),"")</f>
        <v>13.7930365742089</v>
      </c>
      <c r="ER85">
        <f>IF(AND(ISNUMBER(EQ85),逐级计算!$X$147&gt;-1),IF(逐级计算!$X$147=0,EQ85+逐级计算!$C$147,EQ85+逐级计算!$C$147-(10/(逐级计算!$Q$147*LN(10))*(MAX((LN(10^(逐级计算!$Q$147/10)-1)+逐级计算!$Q$147*(EQ85-逐级计算!$P$147)*LN(10)/10),0)+LN(1+EXP(-ABS((LN(10^(逐级计算!$Q$147/10)-1)+逐级计算!$Q$147*(EQ85-逐级计算!$P$147)*LN(10)/10))))))),"")</f>
        <v>13.7930365742089</v>
      </c>
      <c r="ES85">
        <f>IF(AND(ISNUMBER(ER85),逐级计算!$X$148&gt;-1),IF(逐级计算!$X$148=0,ER85+逐级计算!$C$148,ER85+逐级计算!$C$148-(10/(逐级计算!$Q$148*LN(10))*(MAX((LN(10^(逐级计算!$Q$148/10)-1)+逐级计算!$Q$148*(ER85-逐级计算!$P$148)*LN(10)/10),0)+LN(1+EXP(-ABS((LN(10^(逐级计算!$Q$148/10)-1)+逐级计算!$Q$148*(ER85-逐级计算!$P$148)*LN(10)/10))))))),"")</f>
        <v>13.7930365742089</v>
      </c>
      <c r="ET85">
        <f>IF(AND(ISNUMBER(ES85),逐级计算!$X$149&gt;-1),IF(逐级计算!$X$149=0,ES85+逐级计算!$C$149,ES85+逐级计算!$C$149-(10/(逐级计算!$Q$149*LN(10))*(MAX((LN(10^(逐级计算!$Q$149/10)-1)+逐级计算!$Q$149*(ES85-逐级计算!$P$149)*LN(10)/10),0)+LN(1+EXP(-ABS((LN(10^(逐级计算!$Q$149/10)-1)+逐级计算!$Q$149*(ES85-逐级计算!$P$149)*LN(10)/10))))))),"")</f>
        <v>13.7930365742089</v>
      </c>
      <c r="EU85">
        <f>IF(AND(ISNUMBER(ET85),逐级计算!$X$150&gt;-1),IF(逐级计算!$X$150=0,ET85+逐级计算!$C$150,ET85+逐级计算!$C$150-(10/(逐级计算!$Q$150*LN(10))*(MAX((LN(10^(逐级计算!$Q$150/10)-1)+逐级计算!$Q$150*(ET85-逐级计算!$P$150)*LN(10)/10),0)+LN(1+EXP(-ABS((LN(10^(逐级计算!$Q$150/10)-1)+逐级计算!$Q$150*(ET85-逐级计算!$P$150)*LN(10)/10))))))),"")</f>
        <v>13.7930365742089</v>
      </c>
      <c r="EV85">
        <f>IF(AND(ISNUMBER(EU85),逐级计算!$X$151&gt;-1),IF(逐级计算!$X$151=0,EU85+逐级计算!$C$151,EU85+逐级计算!$C$151-(10/(逐级计算!$Q$151*LN(10))*(MAX((LN(10^(逐级计算!$Q$151/10)-1)+逐级计算!$Q$151*(EU85-逐级计算!$P$151)*LN(10)/10),0)+LN(1+EXP(-ABS((LN(10^(逐级计算!$Q$151/10)-1)+逐级计算!$Q$151*(EU85-逐级计算!$P$151)*LN(10)/10))))))),"")</f>
        <v>13.7930365742089</v>
      </c>
      <c r="EW85">
        <f>IF(AND(ISNUMBER(EV85),逐级计算!$X$152&gt;-1),IF(逐级计算!$X$152=0,EV85+逐级计算!$C$152,EV85+逐级计算!$C$152-(10/(逐级计算!$Q$152*LN(10))*(MAX((LN(10^(逐级计算!$Q$152/10)-1)+逐级计算!$Q$152*(EV85-逐级计算!$P$152)*LN(10)/10),0)+LN(1+EXP(-ABS((LN(10^(逐级计算!$Q$152/10)-1)+逐级计算!$Q$152*(EV85-逐级计算!$P$152)*LN(10)/10))))))),"")</f>
        <v>13.7930365742089</v>
      </c>
      <c r="EX85">
        <f>IF(AND(ISNUMBER(EW85),逐级计算!$X$153&gt;-1),IF(逐级计算!$X$153=0,EW85+逐级计算!$C$153,EW85+逐级计算!$C$153-(10/(逐级计算!$Q$153*LN(10))*(MAX((LN(10^(逐级计算!$Q$153/10)-1)+逐级计算!$Q$153*(EW85-逐级计算!$P$153)*LN(10)/10),0)+LN(1+EXP(-ABS((LN(10^(逐级计算!$Q$153/10)-1)+逐级计算!$Q$153*(EW85-逐级计算!$P$153)*LN(10)/10))))))),"")</f>
        <v>13.7930365742089</v>
      </c>
      <c r="EY85">
        <f>IF(AND(ISNUMBER(EX85),逐级计算!$X$154&gt;-1),IF(逐级计算!$X$154=0,EX85+逐级计算!$C$154,EX85+逐级计算!$C$154-(10/(逐级计算!$Q$154*LN(10))*(MAX((LN(10^(逐级计算!$Q$154/10)-1)+逐级计算!$Q$154*(EX85-逐级计算!$P$154)*LN(10)/10),0)+LN(1+EXP(-ABS((LN(10^(逐级计算!$Q$154/10)-1)+逐级计算!$Q$154*(EX85-逐级计算!$P$154)*LN(10)/10))))))),"")</f>
        <v>13.7930365742089</v>
      </c>
      <c r="EZ85">
        <f>IF(AND(ISNUMBER(EY85),逐级计算!$X$155&gt;-1),IF(逐级计算!$X$155=0,EY85+逐级计算!$C$155,EY85+逐级计算!$C$155-(10/(逐级计算!$Q$155*LN(10))*(MAX((LN(10^(逐级计算!$Q$155/10)-1)+逐级计算!$Q$155*(EY85-逐级计算!$P$155)*LN(10)/10),0)+LN(1+EXP(-ABS((LN(10^(逐级计算!$Q$155/10)-1)+逐级计算!$Q$155*(EY85-逐级计算!$P$155)*LN(10)/10))))))),"")</f>
        <v>13.7930365742089</v>
      </c>
      <c r="FA85">
        <f>IF(AND(ISNUMBER(EZ85),逐级计算!$X$156&gt;-1),IF(逐级计算!$X$156=0,EZ85+逐级计算!$C$156,EZ85+逐级计算!$C$156-(10/(逐级计算!$Q$156*LN(10))*(MAX((LN(10^(逐级计算!$Q$156/10)-1)+逐级计算!$Q$156*(EZ85-逐级计算!$P$156)*LN(10)/10),0)+LN(1+EXP(-ABS((LN(10^(逐级计算!$Q$156/10)-1)+逐级计算!$Q$156*(EZ85-逐级计算!$P$156)*LN(10)/10))))))),"")</f>
        <v>13.7930365742089</v>
      </c>
      <c r="FB85">
        <f>IF(AND(ISNUMBER(FA85),逐级计算!$X$157&gt;-1),IF(逐级计算!$X$157=0,FA85+逐级计算!$C$157,FA85+逐级计算!$C$157-(10/(逐级计算!$Q$157*LN(10))*(MAX((LN(10^(逐级计算!$Q$157/10)-1)+逐级计算!$Q$157*(FA85-逐级计算!$P$157)*LN(10)/10),0)+LN(1+EXP(-ABS((LN(10^(逐级计算!$Q$157/10)-1)+逐级计算!$Q$157*(FA85-逐级计算!$P$157)*LN(10)/10))))))),"")</f>
        <v>13.7930365742089</v>
      </c>
      <c r="FC85">
        <f>IF(AND(ISNUMBER(FB85),逐级计算!$X$158&gt;-1),IF(逐级计算!$X$158=0,FB85+逐级计算!$C$158,FB85+逐级计算!$C$158-(10/(逐级计算!$Q$158*LN(10))*(MAX((LN(10^(逐级计算!$Q$158/10)-1)+逐级计算!$Q$158*(FB85-逐级计算!$P$158)*LN(10)/10),0)+LN(1+EXP(-ABS((LN(10^(逐级计算!$Q$158/10)-1)+逐级计算!$Q$158*(FB85-逐级计算!$P$158)*LN(10)/10))))))),"")</f>
        <v>13.7930365742089</v>
      </c>
      <c r="FD85">
        <f>IF(AND(ISNUMBER(FC85),逐级计算!$X$159&gt;-1),IF(逐级计算!$X$159=0,FC85+逐级计算!$C$159,FC85+逐级计算!$C$159-(10/(逐级计算!$Q$159*LN(10))*(MAX((LN(10^(逐级计算!$Q$159/10)-1)+逐级计算!$Q$159*(FC85-逐级计算!$P$159)*LN(10)/10),0)+LN(1+EXP(-ABS((LN(10^(逐级计算!$Q$159/10)-1)+逐级计算!$Q$159*(FC85-逐级计算!$P$159)*LN(10)/10))))))),"")</f>
        <v>13.7930365742089</v>
      </c>
      <c r="FE85">
        <f>IF(AND(ISNUMBER(FD85),逐级计算!$X$160&gt;-1),IF(逐级计算!$X$160=0,FD85+逐级计算!$C$160,FD85+逐级计算!$C$160-(10/(逐级计算!$Q$160*LN(10))*(MAX((LN(10^(逐级计算!$Q$160/10)-1)+逐级计算!$Q$160*(FD85-逐级计算!$P$160)*LN(10)/10),0)+LN(1+EXP(-ABS((LN(10^(逐级计算!$Q$160/10)-1)+逐级计算!$Q$160*(FD85-逐级计算!$P$160)*LN(10)/10))))))),"")</f>
        <v>13.7930365742089</v>
      </c>
      <c r="FF85">
        <f>IF(AND(ISNUMBER(FE85),逐级计算!$X$161&gt;-1),IF(逐级计算!$X$161=0,FE85+逐级计算!$C$161,FE85+逐级计算!$C$161-(10/(逐级计算!$Q$161*LN(10))*(MAX((LN(10^(逐级计算!$Q$161/10)-1)+逐级计算!$Q$161*(FE85-逐级计算!$P$161)*LN(10)/10),0)+LN(1+EXP(-ABS((LN(10^(逐级计算!$Q$161/10)-1)+逐级计算!$Q$161*(FE85-逐级计算!$P$161)*LN(10)/10))))))),"")</f>
        <v>13.7930365742089</v>
      </c>
      <c r="FG85">
        <f>IF(AND(ISNUMBER(FF85),逐级计算!$X$162&gt;-1),IF(逐级计算!$X$162=0,FF85+逐级计算!$C$162,FF85+逐级计算!$C$162-(10/(逐级计算!$Q$162*LN(10))*(MAX((LN(10^(逐级计算!$Q$162/10)-1)+逐级计算!$Q$162*(FF85-逐级计算!$P$162)*LN(10)/10),0)+LN(1+EXP(-ABS((LN(10^(逐级计算!$Q$162/10)-1)+逐级计算!$Q$162*(FF85-逐级计算!$P$162)*LN(10)/10))))))),"")</f>
        <v>13.7930365742089</v>
      </c>
      <c r="FH85">
        <f>IF(AND(ISNUMBER(FG85),逐级计算!$X$163&gt;-1),IF(逐级计算!$X$163=0,FG85+逐级计算!$C$163,FG85+逐级计算!$C$163-(10/(逐级计算!$Q$163*LN(10))*(MAX((LN(10^(逐级计算!$Q$163/10)-1)+逐级计算!$Q$163*(FG85-逐级计算!$P$163)*LN(10)/10),0)+LN(1+EXP(-ABS((LN(10^(逐级计算!$Q$163/10)-1)+逐级计算!$Q$163*(FG85-逐级计算!$P$163)*LN(10)/10))))))),"")</f>
        <v>13.7930365742089</v>
      </c>
      <c r="FI85">
        <f>IF(AND(ISNUMBER(FH85),逐级计算!$X$164&gt;-1),IF(逐级计算!$X$164=0,FH85+逐级计算!$C$164,FH85+逐级计算!$C$164-(10/(逐级计算!$Q$164*LN(10))*(MAX((LN(10^(逐级计算!$Q$164/10)-1)+逐级计算!$Q$164*(FH85-逐级计算!$P$164)*LN(10)/10),0)+LN(1+EXP(-ABS((LN(10^(逐级计算!$Q$164/10)-1)+逐级计算!$Q$164*(FH85-逐级计算!$P$164)*LN(10)/10))))))),"")</f>
        <v>13.7930365742089</v>
      </c>
      <c r="FJ85">
        <f>IF(AND(ISNUMBER(FI85),逐级计算!$X$165&gt;-1),IF(逐级计算!$X$165=0,FI85+逐级计算!$C$165,FI85+逐级计算!$C$165-(10/(逐级计算!$Q$165*LN(10))*(MAX((LN(10^(逐级计算!$Q$165/10)-1)+逐级计算!$Q$165*(FI85-逐级计算!$P$165)*LN(10)/10),0)+LN(1+EXP(-ABS((LN(10^(逐级计算!$Q$165/10)-1)+逐级计算!$Q$165*(FI85-逐级计算!$P$165)*LN(10)/10))))))),"")</f>
        <v>13.7930365742089</v>
      </c>
      <c r="FK85">
        <f>IF(AND(ISNUMBER(FJ85),逐级计算!$X$166&gt;-1),IF(逐级计算!$X$166=0,FJ85+逐级计算!$C$166,FJ85+逐级计算!$C$166-(10/(逐级计算!$Q$166*LN(10))*(MAX((LN(10^(逐级计算!$Q$166/10)-1)+逐级计算!$Q$166*(FJ85-逐级计算!$P$166)*LN(10)/10),0)+LN(1+EXP(-ABS((LN(10^(逐级计算!$Q$166/10)-1)+逐级计算!$Q$166*(FJ85-逐级计算!$P$166)*LN(10)/10))))))),"")</f>
        <v>13.7930365742089</v>
      </c>
      <c r="FL85">
        <f>IF(AND(ISNUMBER(FK85),逐级计算!$X$167&gt;-1),IF(逐级计算!$X$167=0,FK85+逐级计算!$C$167,FK85+逐级计算!$C$167-(10/(逐级计算!$Q$167*LN(10))*(MAX((LN(10^(逐级计算!$Q$167/10)-1)+逐级计算!$Q$167*(FK85-逐级计算!$P$167)*LN(10)/10),0)+LN(1+EXP(-ABS((LN(10^(逐级计算!$Q$167/10)-1)+逐级计算!$Q$167*(FK85-逐级计算!$P$167)*LN(10)/10))))))),"")</f>
        <v>13.7930365742089</v>
      </c>
      <c r="FM85">
        <f>IF(AND(ISNUMBER(FL85),逐级计算!$X$168&gt;-1),IF(逐级计算!$X$168=0,FL85+逐级计算!$C$168,FL85+逐级计算!$C$168-(10/(逐级计算!$Q$168*LN(10))*(MAX((LN(10^(逐级计算!$Q$168/10)-1)+逐级计算!$Q$168*(FL85-逐级计算!$P$168)*LN(10)/10),0)+LN(1+EXP(-ABS((LN(10^(逐级计算!$Q$168/10)-1)+逐级计算!$Q$168*(FL85-逐级计算!$P$168)*LN(10)/10))))))),"")</f>
        <v>13.7930365742089</v>
      </c>
      <c r="FN85">
        <f>IF(AND(ISNUMBER(FM85),逐级计算!$X$169&gt;-1),IF(逐级计算!$X$169=0,FM85+逐级计算!$C$169,FM85+逐级计算!$C$169-(10/(逐级计算!$Q$169*LN(10))*(MAX((LN(10^(逐级计算!$Q$169/10)-1)+逐级计算!$Q$169*(FM85-逐级计算!$P$169)*LN(10)/10),0)+LN(1+EXP(-ABS((LN(10^(逐级计算!$Q$169/10)-1)+逐级计算!$Q$169*(FM85-逐级计算!$P$169)*LN(10)/10))))))),"")</f>
        <v>13.7930365742089</v>
      </c>
      <c r="FO85">
        <f>IF(AND(ISNUMBER(FN85),逐级计算!$X$170&gt;-1),IF(逐级计算!$X$170=0,FN85+逐级计算!$C$170,FN85+逐级计算!$C$170-(10/(逐级计算!$Q$170*LN(10))*(MAX((LN(10^(逐级计算!$Q$170/10)-1)+逐级计算!$Q$170*(FN85-逐级计算!$P$170)*LN(10)/10),0)+LN(1+EXP(-ABS((LN(10^(逐级计算!$Q$170/10)-1)+逐级计算!$Q$170*(FN85-逐级计算!$P$170)*LN(10)/10))))))),"")</f>
        <v>13.7930365742089</v>
      </c>
      <c r="FP85">
        <f>IF(AND(ISNUMBER(FO85),逐级计算!$X$171&gt;-1),IF(逐级计算!$X$171=0,FO85+逐级计算!$C$171,FO85+逐级计算!$C$171-(10/(逐级计算!$Q$171*LN(10))*(MAX((LN(10^(逐级计算!$Q$171/10)-1)+逐级计算!$Q$171*(FO85-逐级计算!$P$171)*LN(10)/10),0)+LN(1+EXP(-ABS((LN(10^(逐级计算!$Q$171/10)-1)+逐级计算!$Q$171*(FO85-逐级计算!$P$171)*LN(10)/10))))))),"")</f>
        <v>13.7930365742089</v>
      </c>
      <c r="FQ85">
        <f>IF(AND(ISNUMBER(FP85),逐级计算!$X$172&gt;-1),IF(逐级计算!$X$172=0,FP85+逐级计算!$C$172,FP85+逐级计算!$C$172-(10/(逐级计算!$Q$172*LN(10))*(MAX((LN(10^(逐级计算!$Q$172/10)-1)+逐级计算!$Q$172*(FP85-逐级计算!$P$172)*LN(10)/10),0)+LN(1+EXP(-ABS((LN(10^(逐级计算!$Q$172/10)-1)+逐级计算!$Q$172*(FP85-逐级计算!$P$172)*LN(10)/10))))))),"")</f>
        <v>13.7930365742089</v>
      </c>
      <c r="FR85">
        <f>IF(AND(ISNUMBER(FQ85),逐级计算!$X$173&gt;-1),IF(逐级计算!$X$173=0,FQ85+逐级计算!$C$173,FQ85+逐级计算!$C$173-(10/(逐级计算!$Q$173*LN(10))*(MAX((LN(10^(逐级计算!$Q$173/10)-1)+逐级计算!$Q$173*(FQ85-逐级计算!$P$173)*LN(10)/10),0)+LN(1+EXP(-ABS((LN(10^(逐级计算!$Q$173/10)-1)+逐级计算!$Q$173*(FQ85-逐级计算!$P$173)*LN(10)/10))))))),"")</f>
        <v>13.7930365742089</v>
      </c>
      <c r="FS85">
        <f>IF(AND(ISNUMBER(FR85),逐级计算!$X$174&gt;-1),IF(逐级计算!$X$174=0,FR85+逐级计算!$C$174,FR85+逐级计算!$C$174-(10/(逐级计算!$Q$174*LN(10))*(MAX((LN(10^(逐级计算!$Q$174/10)-1)+逐级计算!$Q$174*(FR85-逐级计算!$P$174)*LN(10)/10),0)+LN(1+EXP(-ABS((LN(10^(逐级计算!$Q$174/10)-1)+逐级计算!$Q$174*(FR85-逐级计算!$P$174)*LN(10)/10))))))),"")</f>
        <v>13.7930365742089</v>
      </c>
      <c r="FT85">
        <f>IF(AND(ISNUMBER(FS85),逐级计算!$X$175&gt;-1),IF(逐级计算!$X$175=0,FS85+逐级计算!$C$175,FS85+逐级计算!$C$175-(10/(逐级计算!$Q$175*LN(10))*(MAX((LN(10^(逐级计算!$Q$175/10)-1)+逐级计算!$Q$175*(FS85-逐级计算!$P$175)*LN(10)/10),0)+LN(1+EXP(-ABS((LN(10^(逐级计算!$Q$175/10)-1)+逐级计算!$Q$175*(FS85-逐级计算!$P$175)*LN(10)/10))))))),"")</f>
        <v>13.7930365742089</v>
      </c>
      <c r="FU85">
        <f>IF(AND(ISNUMBER(FT85),逐级计算!$X$176&gt;-1),IF(逐级计算!$X$176=0,FT85+逐级计算!$C$176,FT85+逐级计算!$C$176-(10/(逐级计算!$Q$176*LN(10))*(MAX((LN(10^(逐级计算!$Q$176/10)-1)+逐级计算!$Q$176*(FT85-逐级计算!$P$176)*LN(10)/10),0)+LN(1+EXP(-ABS((LN(10^(逐级计算!$Q$176/10)-1)+逐级计算!$Q$176*(FT85-逐级计算!$P$176)*LN(10)/10))))))),"")</f>
        <v>13.7930365742089</v>
      </c>
      <c r="FV85">
        <f>IF(AND(ISNUMBER(FU85),逐级计算!$X$177&gt;-1),IF(逐级计算!$X$177=0,FU85+逐级计算!$C$177,FU85+逐级计算!$C$177-(10/(逐级计算!$Q$177*LN(10))*(MAX((LN(10^(逐级计算!$Q$177/10)-1)+逐级计算!$Q$177*(FU85-逐级计算!$P$177)*LN(10)/10),0)+LN(1+EXP(-ABS((LN(10^(逐级计算!$Q$177/10)-1)+逐级计算!$Q$177*(FU85-逐级计算!$P$177)*LN(10)/10))))))),"")</f>
        <v>13.7930365742089</v>
      </c>
      <c r="FW85">
        <f>IF(AND(ISNUMBER(FV85),逐级计算!$X$178&gt;-1),IF(逐级计算!$X$178=0,FV85+逐级计算!$C$178,FV85+逐级计算!$C$178-(10/(逐级计算!$Q$178*LN(10))*(MAX((LN(10^(逐级计算!$Q$178/10)-1)+逐级计算!$Q$178*(FV85-逐级计算!$P$178)*LN(10)/10),0)+LN(1+EXP(-ABS((LN(10^(逐级计算!$Q$178/10)-1)+逐级计算!$Q$178*(FV85-逐级计算!$P$178)*LN(10)/10))))))),"")</f>
        <v>13.7930365742089</v>
      </c>
      <c r="FX85">
        <f>IF(AND(ISNUMBER(FW85),逐级计算!$X$179&gt;-1),IF(逐级计算!$X$179=0,FW85+逐级计算!$C$179,FW85+逐级计算!$C$179-(10/(逐级计算!$Q$179*LN(10))*(MAX((LN(10^(逐级计算!$Q$179/10)-1)+逐级计算!$Q$179*(FW85-逐级计算!$P$179)*LN(10)/10),0)+LN(1+EXP(-ABS((LN(10^(逐级计算!$Q$179/10)-1)+逐级计算!$Q$179*(FW85-逐级计算!$P$179)*LN(10)/10))))))),"")</f>
        <v>13.7930365742089</v>
      </c>
      <c r="FY85">
        <f>IF(AND(ISNUMBER(FX85),逐级计算!$X$180&gt;-1),IF(逐级计算!$X$180=0,FX85+逐级计算!$C$180,FX85+逐级计算!$C$180-(10/(逐级计算!$Q$180*LN(10))*(MAX((LN(10^(逐级计算!$Q$180/10)-1)+逐级计算!$Q$180*(FX85-逐级计算!$P$180)*LN(10)/10),0)+LN(1+EXP(-ABS((LN(10^(逐级计算!$Q$180/10)-1)+逐级计算!$Q$180*(FX85-逐级计算!$P$180)*LN(10)/10))))))),"")</f>
        <v>13.7930365742089</v>
      </c>
      <c r="FZ85">
        <f>IF(AND(ISNUMBER(FY85),逐级计算!$X$181&gt;-1),IF(逐级计算!$X$181=0,FY85+逐级计算!$C$181,FY85+逐级计算!$C$181-(10/(逐级计算!$Q$181*LN(10))*(MAX((LN(10^(逐级计算!$Q$181/10)-1)+逐级计算!$Q$181*(FY85-逐级计算!$P$181)*LN(10)/10),0)+LN(1+EXP(-ABS((LN(10^(逐级计算!$Q$181/10)-1)+逐级计算!$Q$181*(FY85-逐级计算!$P$181)*LN(10)/10))))))),"")</f>
        <v>13.7930365742089</v>
      </c>
      <c r="GA85">
        <f>IF(AND(ISNUMBER(FZ85),逐级计算!$X$182&gt;-1),IF(逐级计算!$X$182=0,FZ85+逐级计算!$C$182,FZ85+逐级计算!$C$182-(10/(逐级计算!$Q$182*LN(10))*(MAX((LN(10^(逐级计算!$Q$182/10)-1)+逐级计算!$Q$182*(FZ85-逐级计算!$P$182)*LN(10)/10),0)+LN(1+EXP(-ABS((LN(10^(逐级计算!$Q$182/10)-1)+逐级计算!$Q$182*(FZ85-逐级计算!$P$182)*LN(10)/10))))))),"")</f>
        <v>13.7930365742089</v>
      </c>
      <c r="GB85">
        <f>IF(AND(ISNUMBER(GA85),逐级计算!$X$183&gt;-1),IF(逐级计算!$X$183=0,GA85+逐级计算!$C$183,GA85+逐级计算!$C$183-(10/(逐级计算!$Q$183*LN(10))*(MAX((LN(10^(逐级计算!$Q$183/10)-1)+逐级计算!$Q$183*(GA85-逐级计算!$P$183)*LN(10)/10),0)+LN(1+EXP(-ABS((LN(10^(逐级计算!$Q$183/10)-1)+逐级计算!$Q$183*(GA85-逐级计算!$P$183)*LN(10)/10))))))),"")</f>
        <v>13.7930365742089</v>
      </c>
      <c r="GC85">
        <f>IF(AND(ISNUMBER(GB85),逐级计算!$X$184&gt;-1),IF(逐级计算!$X$184=0,GB85+逐级计算!$C$184,GB85+逐级计算!$C$184-(10/(逐级计算!$Q$184*LN(10))*(MAX((LN(10^(逐级计算!$Q$184/10)-1)+逐级计算!$Q$184*(GB85-逐级计算!$P$184)*LN(10)/10),0)+LN(1+EXP(-ABS((LN(10^(逐级计算!$Q$184/10)-1)+逐级计算!$Q$184*(GB85-逐级计算!$P$184)*LN(10)/10))))))),"")</f>
        <v>13.7930365742089</v>
      </c>
      <c r="GD85">
        <f>IF(AND(ISNUMBER(GC85),逐级计算!$X$185&gt;-1),IF(逐级计算!$X$185=0,GC85+逐级计算!$C$185,GC85+逐级计算!$C$185-(10/(逐级计算!$Q$185*LN(10))*(MAX((LN(10^(逐级计算!$Q$185/10)-1)+逐级计算!$Q$185*(GC85-逐级计算!$P$185)*LN(10)/10),0)+LN(1+EXP(-ABS((LN(10^(逐级计算!$Q$185/10)-1)+逐级计算!$Q$185*(GC85-逐级计算!$P$185)*LN(10)/10))))))),"")</f>
        <v>13.7930365742089</v>
      </c>
      <c r="GE85">
        <f>IF(AND(ISNUMBER(GD85),逐级计算!$X$186&gt;-1),IF(逐级计算!$X$186=0,GD85+逐级计算!$C$186,GD85+逐级计算!$C$186-(10/(逐级计算!$Q$186*LN(10))*(MAX((LN(10^(逐级计算!$Q$186/10)-1)+逐级计算!$Q$186*(GD85-逐级计算!$P$186)*LN(10)/10),0)+LN(1+EXP(-ABS((LN(10^(逐级计算!$Q$186/10)-1)+逐级计算!$Q$186*(GD85-逐级计算!$P$186)*LN(10)/10))))))),"")</f>
        <v>13.7930365742089</v>
      </c>
      <c r="GF85">
        <f>IF(AND(ISNUMBER(GE85),逐级计算!$X$187&gt;-1),IF(逐级计算!$X$187=0,GE85+逐级计算!$C$187,GE85+逐级计算!$C$187-(10/(逐级计算!$Q$187*LN(10))*(MAX((LN(10^(逐级计算!$Q$187/10)-1)+逐级计算!$Q$187*(GE85-逐级计算!$P$187)*LN(10)/10),0)+LN(1+EXP(-ABS((LN(10^(逐级计算!$Q$187/10)-1)+逐级计算!$Q$187*(GE85-逐级计算!$P$187)*LN(10)/10))))))),"")</f>
        <v>13.7930365742089</v>
      </c>
      <c r="GG85">
        <f>IF(AND(ISNUMBER(GF85),逐级计算!$X$188&gt;-1),IF(逐级计算!$X$188=0,GF85+逐级计算!$C$188,GF85+逐级计算!$C$188-(10/(逐级计算!$Q$188*LN(10))*(MAX((LN(10^(逐级计算!$Q$188/10)-1)+逐级计算!$Q$188*(GF85-逐级计算!$P$188)*LN(10)/10),0)+LN(1+EXP(-ABS((LN(10^(逐级计算!$Q$188/10)-1)+逐级计算!$Q$188*(GF85-逐级计算!$P$188)*LN(10)/10))))))),"")</f>
        <v>13.7930365742089</v>
      </c>
      <c r="GH85">
        <f>IF(AND(ISNUMBER(GG85),逐级计算!$X$189&gt;-1),IF(逐级计算!$X$189=0,GG85+逐级计算!$C$189,GG85+逐级计算!$C$189-(10/(逐级计算!$Q$189*LN(10))*(MAX((LN(10^(逐级计算!$Q$189/10)-1)+逐级计算!$Q$189*(GG85-逐级计算!$P$189)*LN(10)/10),0)+LN(1+EXP(-ABS((LN(10^(逐级计算!$Q$189/10)-1)+逐级计算!$Q$189*(GG85-逐级计算!$P$189)*LN(10)/10))))))),"")</f>
        <v>13.7930365742089</v>
      </c>
      <c r="GI85">
        <f>IF(AND(ISNUMBER(GH85),逐级计算!$X$190&gt;-1),IF(逐级计算!$X$190=0,GH85+逐级计算!$C$190,GH85+逐级计算!$C$190-(10/(逐级计算!$Q$190*LN(10))*(MAX((LN(10^(逐级计算!$Q$190/10)-1)+逐级计算!$Q$190*(GH85-逐级计算!$P$190)*LN(10)/10),0)+LN(1+EXP(-ABS((LN(10^(逐级计算!$Q$190/10)-1)+逐级计算!$Q$190*(GH85-逐级计算!$P$190)*LN(10)/10))))))),"")</f>
        <v>13.7930365742089</v>
      </c>
      <c r="GJ85">
        <f>IF(AND(ISNUMBER(GI85),逐级计算!$X$191&gt;-1),IF(逐级计算!$X$191=0,GI85+逐级计算!$C$191,GI85+逐级计算!$C$191-(10/(逐级计算!$Q$191*LN(10))*(MAX((LN(10^(逐级计算!$Q$191/10)-1)+逐级计算!$Q$191*(GI85-逐级计算!$P$191)*LN(10)/10),0)+LN(1+EXP(-ABS((LN(10^(逐级计算!$Q$191/10)-1)+逐级计算!$Q$191*(GI85-逐级计算!$P$191)*LN(10)/10))))))),"")</f>
        <v>13.7930365742089</v>
      </c>
      <c r="GK85">
        <f>IF(AND(ISNUMBER(GJ85),逐级计算!$X$192&gt;-1),IF(逐级计算!$X$192=0,GJ85+逐级计算!$C$192,GJ85+逐级计算!$C$192-(10/(逐级计算!$Q$192*LN(10))*(MAX((LN(10^(逐级计算!$Q$192/10)-1)+逐级计算!$Q$192*(GJ85-逐级计算!$P$192)*LN(10)/10),0)+LN(1+EXP(-ABS((LN(10^(逐级计算!$Q$192/10)-1)+逐级计算!$Q$192*(GJ85-逐级计算!$P$192)*LN(10)/10))))))),"")</f>
        <v>13.7930365742089</v>
      </c>
      <c r="GL85">
        <f>IF(AND(ISNUMBER(GK85),逐级计算!$X$193&gt;-1),IF(逐级计算!$X$193=0,GK85+逐级计算!$C$193,GK85+逐级计算!$C$193-(10/(逐级计算!$Q$193*LN(10))*(MAX((LN(10^(逐级计算!$Q$193/10)-1)+逐级计算!$Q$193*(GK85-逐级计算!$P$193)*LN(10)/10),0)+LN(1+EXP(-ABS((LN(10^(逐级计算!$Q$193/10)-1)+逐级计算!$Q$193*(GK85-逐级计算!$P$193)*LN(10)/10))))))),"")</f>
        <v>13.7930365742089</v>
      </c>
      <c r="GM85">
        <f>IF(AND(ISNUMBER(GL85),逐级计算!$X$194&gt;-1),IF(逐级计算!$X$194=0,GL85+逐级计算!$C$194,GL85+逐级计算!$C$194-(10/(逐级计算!$Q$194*LN(10))*(MAX((LN(10^(逐级计算!$Q$194/10)-1)+逐级计算!$Q$194*(GL85-逐级计算!$P$194)*LN(10)/10),0)+LN(1+EXP(-ABS((LN(10^(逐级计算!$Q$194/10)-1)+逐级计算!$Q$194*(GL85-逐级计算!$P$194)*LN(10)/10))))))),"")</f>
        <v>13.7930365742089</v>
      </c>
      <c r="GN85">
        <f>IF(AND(ISNUMBER(GM85),逐级计算!$X$195&gt;-1),IF(逐级计算!$X$195=0,GM85+逐级计算!$C$195,GM85+逐级计算!$C$195-(10/(逐级计算!$Q$195*LN(10))*(MAX((LN(10^(逐级计算!$Q$195/10)-1)+逐级计算!$Q$195*(GM85-逐级计算!$P$195)*LN(10)/10),0)+LN(1+EXP(-ABS((LN(10^(逐级计算!$Q$195/10)-1)+逐级计算!$Q$195*(GM85-逐级计算!$P$195)*LN(10)/10))))))),"")</f>
        <v>13.7930365742089</v>
      </c>
      <c r="GO85">
        <f>IF(AND(ISNUMBER(GN85),逐级计算!$X$196&gt;-1),IF(逐级计算!$X$196=0,GN85+逐级计算!$C$196,GN85+逐级计算!$C$196-(10/(逐级计算!$Q$196*LN(10))*(MAX((LN(10^(逐级计算!$Q$196/10)-1)+逐级计算!$Q$196*(GN85-逐级计算!$P$196)*LN(10)/10),0)+LN(1+EXP(-ABS((LN(10^(逐级计算!$Q$196/10)-1)+逐级计算!$Q$196*(GN85-逐级计算!$P$196)*LN(10)/10))))))),"")</f>
        <v>13.7930365742089</v>
      </c>
      <c r="GP85">
        <f>IF(AND(ISNUMBER(GO85),逐级计算!$X$197&gt;-1),IF(逐级计算!$X$197=0,GO85+逐级计算!$C$197,GO85+逐级计算!$C$197-(10/(逐级计算!$Q$197*LN(10))*(MAX((LN(10^(逐级计算!$Q$197/10)-1)+逐级计算!$Q$197*(GO85-逐级计算!$P$197)*LN(10)/10),0)+LN(1+EXP(-ABS((LN(10^(逐级计算!$Q$197/10)-1)+逐级计算!$Q$197*(GO85-逐级计算!$P$197)*LN(10)/10))))))),"")</f>
        <v>13.7930365742089</v>
      </c>
      <c r="GQ85">
        <f>IF(AND(ISNUMBER(GP85),逐级计算!$X$198&gt;-1),IF(逐级计算!$X$198=0,GP85+逐级计算!$C$198,GP85+逐级计算!$C$198-(10/(逐级计算!$Q$198*LN(10))*(MAX((LN(10^(逐级计算!$Q$198/10)-1)+逐级计算!$Q$198*(GP85-逐级计算!$P$198)*LN(10)/10),0)+LN(1+EXP(-ABS((LN(10^(逐级计算!$Q$198/10)-1)+逐级计算!$Q$198*(GP85-逐级计算!$P$198)*LN(10)/10))))))),"")</f>
        <v>13.7930365742089</v>
      </c>
      <c r="GR85">
        <f>IF(AND(ISNUMBER(GQ85),逐级计算!$X$199&gt;-1),IF(逐级计算!$X$199=0,GQ85+逐级计算!$C$199,GQ85+逐级计算!$C$199-(10/(逐级计算!$Q$199*LN(10))*(MAX((LN(10^(逐级计算!$Q$199/10)-1)+逐级计算!$Q$199*(GQ85-逐级计算!$P$199)*LN(10)/10),0)+LN(1+EXP(-ABS((LN(10^(逐级计算!$Q$199/10)-1)+逐级计算!$Q$199*(GQ85-逐级计算!$P$199)*LN(10)/10))))))),"")</f>
        <v>13.7930365742089</v>
      </c>
      <c r="GS85">
        <f>IF(AND(ISNUMBER(GR85),逐级计算!$X$200&gt;-1),IF(逐级计算!$X$200=0,GR85+逐级计算!$C$200,GR85+逐级计算!$C$200-(10/(逐级计算!$Q$200*LN(10))*(MAX((LN(10^(逐级计算!$Q$200/10)-1)+逐级计算!$Q$200*(GR85-逐级计算!$P$200)*LN(10)/10),0)+LN(1+EXP(-ABS((LN(10^(逐级计算!$Q$200/10)-1)+逐级计算!$Q$200*(GR85-逐级计算!$P$200)*LN(10)/10))))))),"")</f>
        <v>13.7930365742089</v>
      </c>
      <c r="GT85">
        <f>IF(AND(ISNUMBER(GS85),逐级计算!$X$201&gt;-1),IF(逐级计算!$X$201=0,GS85+逐级计算!$C$201,GS85+逐级计算!$C$201-(10/(逐级计算!$Q$201*LN(10))*(MAX((LN(10^(逐级计算!$Q$201/10)-1)+逐级计算!$Q$201*(GS85-逐级计算!$P$201)*LN(10)/10),0)+LN(1+EXP(-ABS((LN(10^(逐级计算!$Q$201/10)-1)+逐级计算!$Q$201*(GS85-逐级计算!$P$201)*LN(10)/10))))))),"")</f>
        <v>13.7930365742089</v>
      </c>
      <c r="GU85">
        <f>IF(AND(ISNUMBER(GT85),逐级计算!$X$202&gt;-1),IF(逐级计算!$X$202=0,GT85+逐级计算!$C$202,GT85+逐级计算!$C$202-(10/(逐级计算!$Q$202*LN(10))*(MAX((LN(10^(逐级计算!$Q$202/10)-1)+逐级计算!$Q$202*(GT85-逐级计算!$P$202)*LN(10)/10),0)+LN(1+EXP(-ABS((LN(10^(逐级计算!$Q$202/10)-1)+逐级计算!$Q$202*(GT85-逐级计算!$P$202)*LN(10)/10))))))),"")</f>
        <v>13.7930365742089</v>
      </c>
      <c r="GV85">
        <f>IF(AND(ISNUMBER(GU85),逐级计算!$X$203&gt;-1),IF(逐级计算!$X$203=0,GU85+逐级计算!$C$203,GU85+逐级计算!$C$203-(10/(逐级计算!$Q$203*LN(10))*(MAX((LN(10^(逐级计算!$Q$203/10)-1)+逐级计算!$Q$203*(GU85-逐级计算!$P$203)*LN(10)/10),0)+LN(1+EXP(-ABS((LN(10^(逐级计算!$Q$203/10)-1)+逐级计算!$Q$203*(GU85-逐级计算!$P$203)*LN(10)/10))))))),"")</f>
        <v>13.7930365742089</v>
      </c>
      <c r="GW85">
        <f t="shared" si="5"/>
        <v>-5.20696342579112</v>
      </c>
    </row>
    <row r="86" spans="1:205">
      <c r="A86">
        <v>79</v>
      </c>
      <c r="B86">
        <f t="shared" si="4"/>
        <v>-5.20696342579112</v>
      </c>
      <c r="C86">
        <f t="shared" si="3"/>
        <v>-5.20696342579112</v>
      </c>
      <c r="D86">
        <f>IF(AND(ISNUMBER(C86),ISNUMBER(逐级计算!$E$203),ISNUMBER(GV86)),C86+逐级计算!$E$203-GV86,"")</f>
        <v>1</v>
      </c>
      <c r="E86">
        <f>IF(AND(ISNUMBER(C86),逐级计算!$X$4&gt;-1),IF(逐级计算!$X$4=0,C86+逐级计算!$C$4,C86+逐级计算!$C$4-(10/(逐级计算!$Q$4*LN(10))*(MAX((LN(10^(逐级计算!$Q$4/10)-1)+逐级计算!$Q$4*(C86-逐级计算!$P$4)*LN(10)/10),0)+LN(1+EXP(-ABS((LN(10^(逐级计算!$Q$4/10)-1)+逐级计算!$Q$4*(C86-逐级计算!$P$4)*LN(10)/10))))))),"")</f>
        <v>4.68053982928311</v>
      </c>
      <c r="F86">
        <f>IF(AND(ISNUMBER(E86),逐级计算!$X$5&gt;-1),IF(逐级计算!$X$5=0,E86+逐级计算!$C$5,E86+逐级计算!$C$5-(10/(逐级计算!$Q$5*LN(10))*(MAX((LN(10^(逐级计算!$Q$5/10)-1)+逐级计算!$Q$5*(E86-逐级计算!$P$5)*LN(10)/10),0)+LN(1+EXP(-ABS((LN(10^(逐级计算!$Q$5/10)-1)+逐级计算!$Q$5*(E86-逐级计算!$P$5)*LN(10)/10))))))),"")</f>
        <v>13.7930365742089</v>
      </c>
      <c r="G86">
        <f>IF(AND(ISNUMBER(F86),逐级计算!$X$6&gt;-1),IF(逐级计算!$X$6=0,F86+逐级计算!$C$6,F86+逐级计算!$C$6-(10/(逐级计算!$Q$6*LN(10))*(MAX((LN(10^(逐级计算!$Q$6/10)-1)+逐级计算!$Q$6*(F86-逐级计算!$P$6)*LN(10)/10),0)+LN(1+EXP(-ABS((LN(10^(逐级计算!$Q$6/10)-1)+逐级计算!$Q$6*(F86-逐级计算!$P$6)*LN(10)/10))))))),"")</f>
        <v>13.7930365742089</v>
      </c>
      <c r="H86">
        <f>IF(AND(ISNUMBER(G86),逐级计算!$X$7&gt;-1),IF(逐级计算!$X$7=0,G86+逐级计算!$C$7,G86+逐级计算!$C$7-(10/(逐级计算!$Q$7*LN(10))*(MAX((LN(10^(逐级计算!$Q$7/10)-1)+逐级计算!$Q$7*(G86-逐级计算!$P$7)*LN(10)/10),0)+LN(1+EXP(-ABS((LN(10^(逐级计算!$Q$7/10)-1)+逐级计算!$Q$7*(G86-逐级计算!$P$7)*LN(10)/10))))))),"")</f>
        <v>13.7930365742089</v>
      </c>
      <c r="I86">
        <f>IF(AND(ISNUMBER(H86),逐级计算!$X$8&gt;-1),IF(逐级计算!$X$8=0,H86+逐级计算!$C$8,H86+逐级计算!$C$8-(10/(逐级计算!$Q$8*LN(10))*(MAX((LN(10^(逐级计算!$Q$8/10)-1)+逐级计算!$Q$8*(H86-逐级计算!$P$8)*LN(10)/10),0)+LN(1+EXP(-ABS((LN(10^(逐级计算!$Q$8/10)-1)+逐级计算!$Q$8*(H86-逐级计算!$P$8)*LN(10)/10))))))),"")</f>
        <v>13.7930365742089</v>
      </c>
      <c r="J86">
        <f>IF(AND(ISNUMBER(I86),逐级计算!$X$9&gt;-1),IF(逐级计算!$X$9=0,I86+逐级计算!$C$9,I86+逐级计算!$C$9-(10/(逐级计算!$Q$9*LN(10))*(MAX((LN(10^(逐级计算!$Q$9/10)-1)+逐级计算!$Q$9*(I86-逐级计算!$P$9)*LN(10)/10),0)+LN(1+EXP(-ABS((LN(10^(逐级计算!$Q$9/10)-1)+逐级计算!$Q$9*(I86-逐级计算!$P$9)*LN(10)/10))))))),"")</f>
        <v>13.7930365742089</v>
      </c>
      <c r="K86">
        <f>IF(AND(ISNUMBER(J86),逐级计算!$X$10&gt;-1),IF(逐级计算!$X$10=0,J86+逐级计算!$C$10,J86+逐级计算!$C$10-(10/(逐级计算!$Q$10*LN(10))*(MAX((LN(10^(逐级计算!$Q$10/10)-1)+逐级计算!$Q$10*(J86-逐级计算!$P$10)*LN(10)/10),0)+LN(1+EXP(-ABS((LN(10^(逐级计算!$Q$10/10)-1)+逐级计算!$Q$10*(J86-逐级计算!$P$10)*LN(10)/10))))))),"")</f>
        <v>13.7930365742089</v>
      </c>
      <c r="L86">
        <f>IF(AND(ISNUMBER(K86),逐级计算!$X$11&gt;-1),IF(逐级计算!$X$11=0,K86+逐级计算!$C$11,K86+逐级计算!$C$11-(10/(逐级计算!$Q$11*LN(10))*(MAX((LN(10^(逐级计算!$Q$11/10)-1)+逐级计算!$Q$11*(K86-逐级计算!$P$11)*LN(10)/10),0)+LN(1+EXP(-ABS((LN(10^(逐级计算!$Q$11/10)-1)+逐级计算!$Q$11*(K86-逐级计算!$P$11)*LN(10)/10))))))),"")</f>
        <v>13.7930365742089</v>
      </c>
      <c r="M86">
        <f>IF(AND(ISNUMBER(L86),逐级计算!$X$12&gt;-1),IF(逐级计算!$X$12=0,L86+逐级计算!$C$12,L86+逐级计算!$C$12-(10/(逐级计算!$Q$12*LN(10))*(MAX((LN(10^(逐级计算!$Q$12/10)-1)+逐级计算!$Q$12*(L86-逐级计算!$P$12)*LN(10)/10),0)+LN(1+EXP(-ABS((LN(10^(逐级计算!$Q$12/10)-1)+逐级计算!$Q$12*(L86-逐级计算!$P$12)*LN(10)/10))))))),"")</f>
        <v>13.7930365742089</v>
      </c>
      <c r="N86">
        <f>IF(AND(ISNUMBER(M86),逐级计算!$X$13&gt;-1),IF(逐级计算!$X$13=0,M86+逐级计算!$C$13,M86+逐级计算!$C$13-(10/(逐级计算!$Q$13*LN(10))*(MAX((LN(10^(逐级计算!$Q$13/10)-1)+逐级计算!$Q$13*(M86-逐级计算!$P$13)*LN(10)/10),0)+LN(1+EXP(-ABS((LN(10^(逐级计算!$Q$13/10)-1)+逐级计算!$Q$13*(M86-逐级计算!$P$13)*LN(10)/10))))))),"")</f>
        <v>13.7930365742089</v>
      </c>
      <c r="O86">
        <f>IF(AND(ISNUMBER(N86),逐级计算!$X$14&gt;-1),IF(逐级计算!$X$14=0,N86+逐级计算!$C$14,N86+逐级计算!$C$14-(10/(逐级计算!$Q$14*LN(10))*(MAX((LN(10^(逐级计算!$Q$14/10)-1)+逐级计算!$Q$14*(N86-逐级计算!$P$14)*LN(10)/10),0)+LN(1+EXP(-ABS((LN(10^(逐级计算!$Q$14/10)-1)+逐级计算!$Q$14*(N86-逐级计算!$P$14)*LN(10)/10))))))),"")</f>
        <v>13.7930365742089</v>
      </c>
      <c r="P86">
        <f>IF(AND(ISNUMBER(O86),逐级计算!$X$15&gt;-1),IF(逐级计算!$X$15=0,O86+逐级计算!$C$15,O86+逐级计算!$C$15-(10/(逐级计算!$Q$15*LN(10))*(MAX((LN(10^(逐级计算!$Q$15/10)-1)+逐级计算!$Q$15*(O86-逐级计算!$P$15)*LN(10)/10),0)+LN(1+EXP(-ABS((LN(10^(逐级计算!$Q$15/10)-1)+逐级计算!$Q$15*(O86-逐级计算!$P$15)*LN(10)/10))))))),"")</f>
        <v>13.7930365742089</v>
      </c>
      <c r="Q86">
        <f>IF(AND(ISNUMBER(P86),逐级计算!$X$16&gt;-1),IF(逐级计算!$X$16=0,P86+逐级计算!$C$16,P86+逐级计算!$C$16-(10/(逐级计算!$Q$16*LN(10))*(MAX((LN(10^(逐级计算!$Q$16/10)-1)+逐级计算!$Q$16*(P86-逐级计算!$P$16)*LN(10)/10),0)+LN(1+EXP(-ABS((LN(10^(逐级计算!$Q$16/10)-1)+逐级计算!$Q$16*(P86-逐级计算!$P$16)*LN(10)/10))))))),"")</f>
        <v>13.7930365742089</v>
      </c>
      <c r="R86">
        <f>IF(AND(ISNUMBER(Q86),逐级计算!$X$17&gt;-1),IF(逐级计算!$X$17=0,Q86+逐级计算!$C$17,Q86+逐级计算!$C$17-(10/(逐级计算!$Q$17*LN(10))*(MAX((LN(10^(逐级计算!$Q$17/10)-1)+逐级计算!$Q$17*(Q86-逐级计算!$P$17)*LN(10)/10),0)+LN(1+EXP(-ABS((LN(10^(逐级计算!$Q$17/10)-1)+逐级计算!$Q$17*(Q86-逐级计算!$P$17)*LN(10)/10))))))),"")</f>
        <v>13.7930365742089</v>
      </c>
      <c r="S86">
        <f>IF(AND(ISNUMBER(R86),逐级计算!$X$18&gt;-1),IF(逐级计算!$X$18=0,R86+逐级计算!$C$18,R86+逐级计算!$C$18-(10/(逐级计算!$Q$18*LN(10))*(MAX((LN(10^(逐级计算!$Q$18/10)-1)+逐级计算!$Q$18*(R86-逐级计算!$P$18)*LN(10)/10),0)+LN(1+EXP(-ABS((LN(10^(逐级计算!$Q$18/10)-1)+逐级计算!$Q$18*(R86-逐级计算!$P$18)*LN(10)/10))))))),"")</f>
        <v>13.7930365742089</v>
      </c>
      <c r="T86">
        <f>IF(AND(ISNUMBER(S86),逐级计算!$X$19&gt;-1),IF(逐级计算!$X$19=0,S86+逐级计算!$C$19,S86+逐级计算!$C$19-(10/(逐级计算!$Q$19*LN(10))*(MAX((LN(10^(逐级计算!$Q$19/10)-1)+逐级计算!$Q$19*(S86-逐级计算!$P$19)*LN(10)/10),0)+LN(1+EXP(-ABS((LN(10^(逐级计算!$Q$19/10)-1)+逐级计算!$Q$19*(S86-逐级计算!$P$19)*LN(10)/10))))))),"")</f>
        <v>13.7930365742089</v>
      </c>
      <c r="U86">
        <f>IF(AND(ISNUMBER(T86),逐级计算!$X$20&gt;-1),IF(逐级计算!$X$20=0,T86+逐级计算!$C$20,T86+逐级计算!$C$20-(10/(逐级计算!$Q$20*LN(10))*(MAX((LN(10^(逐级计算!$Q$20/10)-1)+逐级计算!$Q$20*(T86-逐级计算!$P$20)*LN(10)/10),0)+LN(1+EXP(-ABS((LN(10^(逐级计算!$Q$20/10)-1)+逐级计算!$Q$20*(T86-逐级计算!$P$20)*LN(10)/10))))))),"")</f>
        <v>13.7930365742089</v>
      </c>
      <c r="V86">
        <f>IF(AND(ISNUMBER(U86),逐级计算!$X$21&gt;-1),IF(逐级计算!$X$21=0,U86+逐级计算!$C$21,U86+逐级计算!$C$21-(10/(逐级计算!$Q$21*LN(10))*(MAX((LN(10^(逐级计算!$Q$21/10)-1)+逐级计算!$Q$21*(U86-逐级计算!$P$21)*LN(10)/10),0)+LN(1+EXP(-ABS((LN(10^(逐级计算!$Q$21/10)-1)+逐级计算!$Q$21*(U86-逐级计算!$P$21)*LN(10)/10))))))),"")</f>
        <v>13.7930365742089</v>
      </c>
      <c r="W86">
        <f>IF(AND(ISNUMBER(V86),逐级计算!$X$22&gt;-1),IF(逐级计算!$X$22=0,V86+逐级计算!$C$22,V86+逐级计算!$C$22-(10/(逐级计算!$Q$22*LN(10))*(MAX((LN(10^(逐级计算!$Q$22/10)-1)+逐级计算!$Q$22*(V86-逐级计算!$P$22)*LN(10)/10),0)+LN(1+EXP(-ABS((LN(10^(逐级计算!$Q$22/10)-1)+逐级计算!$Q$22*(V86-逐级计算!$P$22)*LN(10)/10))))))),"")</f>
        <v>13.7930365742089</v>
      </c>
      <c r="X86">
        <f>IF(AND(ISNUMBER(W86),逐级计算!$X$23&gt;-1),IF(逐级计算!$X$23=0,W86+逐级计算!$C$23,W86+逐级计算!$C$23-(10/(逐级计算!$Q$23*LN(10))*(MAX((LN(10^(逐级计算!$Q$23/10)-1)+逐级计算!$Q$23*(W86-逐级计算!$P$23)*LN(10)/10),0)+LN(1+EXP(-ABS((LN(10^(逐级计算!$Q$23/10)-1)+逐级计算!$Q$23*(W86-逐级计算!$P$23)*LN(10)/10))))))),"")</f>
        <v>13.7930365742089</v>
      </c>
      <c r="Y86">
        <f>IF(AND(ISNUMBER(X86),逐级计算!$X$24&gt;-1),IF(逐级计算!$X$24=0,X86+逐级计算!$C$24,X86+逐级计算!$C$24-(10/(逐级计算!$Q$24*LN(10))*(MAX((LN(10^(逐级计算!$Q$24/10)-1)+逐级计算!$Q$24*(X86-逐级计算!$P$24)*LN(10)/10),0)+LN(1+EXP(-ABS((LN(10^(逐级计算!$Q$24/10)-1)+逐级计算!$Q$24*(X86-逐级计算!$P$24)*LN(10)/10))))))),"")</f>
        <v>13.7930365742089</v>
      </c>
      <c r="Z86">
        <f>IF(AND(ISNUMBER(Y86),逐级计算!$X$25&gt;-1),IF(逐级计算!$X$25=0,Y86+逐级计算!$C$25,Y86+逐级计算!$C$25-(10/(逐级计算!$Q$25*LN(10))*(MAX((LN(10^(逐级计算!$Q$25/10)-1)+逐级计算!$Q$25*(Y86-逐级计算!$P$25)*LN(10)/10),0)+LN(1+EXP(-ABS((LN(10^(逐级计算!$Q$25/10)-1)+逐级计算!$Q$25*(Y86-逐级计算!$P$25)*LN(10)/10))))))),"")</f>
        <v>13.7930365742089</v>
      </c>
      <c r="AA86">
        <f>IF(AND(ISNUMBER(Z86),逐级计算!$X$26&gt;-1),IF(逐级计算!$X$26=0,Z86+逐级计算!$C$26,Z86+逐级计算!$C$26-(10/(逐级计算!$Q$26*LN(10))*(MAX((LN(10^(逐级计算!$Q$26/10)-1)+逐级计算!$Q$26*(Z86-逐级计算!$P$26)*LN(10)/10),0)+LN(1+EXP(-ABS((LN(10^(逐级计算!$Q$26/10)-1)+逐级计算!$Q$26*(Z86-逐级计算!$P$26)*LN(10)/10))))))),"")</f>
        <v>13.7930365742089</v>
      </c>
      <c r="AB86">
        <f>IF(AND(ISNUMBER(AA86),逐级计算!$X$27&gt;-1),IF(逐级计算!$X$27=0,AA86+逐级计算!$C$27,AA86+逐级计算!$C$27-(10/(逐级计算!$Q$27*LN(10))*(MAX((LN(10^(逐级计算!$Q$27/10)-1)+逐级计算!$Q$27*(AA86-逐级计算!$P$27)*LN(10)/10),0)+LN(1+EXP(-ABS((LN(10^(逐级计算!$Q$27/10)-1)+逐级计算!$Q$27*(AA86-逐级计算!$P$27)*LN(10)/10))))))),"")</f>
        <v>13.7930365742089</v>
      </c>
      <c r="AC86">
        <f>IF(AND(ISNUMBER(AB86),逐级计算!$X$28&gt;-1),IF(逐级计算!$X$28=0,AB86+逐级计算!$C$28,AB86+逐级计算!$C$28-(10/(逐级计算!$Q$28*LN(10))*(MAX((LN(10^(逐级计算!$Q$28/10)-1)+逐级计算!$Q$28*(AB86-逐级计算!$P$28)*LN(10)/10),0)+LN(1+EXP(-ABS((LN(10^(逐级计算!$Q$28/10)-1)+逐级计算!$Q$28*(AB86-逐级计算!$P$28)*LN(10)/10))))))),"")</f>
        <v>13.7930365742089</v>
      </c>
      <c r="AD86">
        <f>IF(AND(ISNUMBER(AC86),逐级计算!$X$29&gt;-1),IF(逐级计算!$X$29=0,AC86+逐级计算!$C$29,AC86+逐级计算!$C$29-(10/(逐级计算!$Q$29*LN(10))*(MAX((LN(10^(逐级计算!$Q$29/10)-1)+逐级计算!$Q$29*(AC86-逐级计算!$P$29)*LN(10)/10),0)+LN(1+EXP(-ABS((LN(10^(逐级计算!$Q$29/10)-1)+逐级计算!$Q$29*(AC86-逐级计算!$P$29)*LN(10)/10))))))),"")</f>
        <v>13.7930365742089</v>
      </c>
      <c r="AE86">
        <f>IF(AND(ISNUMBER(AD86),逐级计算!$X$30&gt;-1),IF(逐级计算!$X$30=0,AD86+逐级计算!$C$30,AD86+逐级计算!$C$30-(10/(逐级计算!$Q$30*LN(10))*(MAX((LN(10^(逐级计算!$Q$30/10)-1)+逐级计算!$Q$30*(AD86-逐级计算!$P$30)*LN(10)/10),0)+LN(1+EXP(-ABS((LN(10^(逐级计算!$Q$30/10)-1)+逐级计算!$Q$30*(AD86-逐级计算!$P$30)*LN(10)/10))))))),"")</f>
        <v>13.7930365742089</v>
      </c>
      <c r="AF86">
        <f>IF(AND(ISNUMBER(AE86),逐级计算!$X$31&gt;-1),IF(逐级计算!$X$31=0,AE86+逐级计算!$C$31,AE86+逐级计算!$C$31-(10/(逐级计算!$Q$31*LN(10))*(MAX((LN(10^(逐级计算!$Q$31/10)-1)+逐级计算!$Q$31*(AE86-逐级计算!$P$31)*LN(10)/10),0)+LN(1+EXP(-ABS((LN(10^(逐级计算!$Q$31/10)-1)+逐级计算!$Q$31*(AE86-逐级计算!$P$31)*LN(10)/10))))))),"")</f>
        <v>13.7930365742089</v>
      </c>
      <c r="AG86">
        <f>IF(AND(ISNUMBER(AF86),逐级计算!$X$32&gt;-1),IF(逐级计算!$X$32=0,AF86+逐级计算!$C$32,AF86+逐级计算!$C$32-(10/(逐级计算!$Q$32*LN(10))*(MAX((LN(10^(逐级计算!$Q$32/10)-1)+逐级计算!$Q$32*(AF86-逐级计算!$P$32)*LN(10)/10),0)+LN(1+EXP(-ABS((LN(10^(逐级计算!$Q$32/10)-1)+逐级计算!$Q$32*(AF86-逐级计算!$P$32)*LN(10)/10))))))),"")</f>
        <v>13.7930365742089</v>
      </c>
      <c r="AH86">
        <f>IF(AND(ISNUMBER(AG86),逐级计算!$X$33&gt;-1),IF(逐级计算!$X$33=0,AG86+逐级计算!$C$33,AG86+逐级计算!$C$33-(10/(逐级计算!$Q$33*LN(10))*(MAX((LN(10^(逐级计算!$Q$33/10)-1)+逐级计算!$Q$33*(AG86-逐级计算!$P$33)*LN(10)/10),0)+LN(1+EXP(-ABS((LN(10^(逐级计算!$Q$33/10)-1)+逐级计算!$Q$33*(AG86-逐级计算!$P$33)*LN(10)/10))))))),"")</f>
        <v>13.7930365742089</v>
      </c>
      <c r="AI86">
        <f>IF(AND(ISNUMBER(AH86),逐级计算!$X$34&gt;-1),IF(逐级计算!$X$34=0,AH86+逐级计算!$C$34,AH86+逐级计算!$C$34-(10/(逐级计算!$Q$34*LN(10))*(MAX((LN(10^(逐级计算!$Q$34/10)-1)+逐级计算!$Q$34*(AH86-逐级计算!$P$34)*LN(10)/10),0)+LN(1+EXP(-ABS((LN(10^(逐级计算!$Q$34/10)-1)+逐级计算!$Q$34*(AH86-逐级计算!$P$34)*LN(10)/10))))))),"")</f>
        <v>13.7930365742089</v>
      </c>
      <c r="AJ86">
        <f>IF(AND(ISNUMBER(AI86),逐级计算!$X$35&gt;-1),IF(逐级计算!$X$35=0,AI86+逐级计算!$C$35,AI86+逐级计算!$C$35-(10/(逐级计算!$Q$35*LN(10))*(MAX((LN(10^(逐级计算!$Q$35/10)-1)+逐级计算!$Q$35*(AI86-逐级计算!$P$35)*LN(10)/10),0)+LN(1+EXP(-ABS((LN(10^(逐级计算!$Q$35/10)-1)+逐级计算!$Q$35*(AI86-逐级计算!$P$35)*LN(10)/10))))))),"")</f>
        <v>13.7930365742089</v>
      </c>
      <c r="AK86">
        <f>IF(AND(ISNUMBER(AJ86),逐级计算!$X$36&gt;-1),IF(逐级计算!$X$36=0,AJ86+逐级计算!$C$36,AJ86+逐级计算!$C$36-(10/(逐级计算!$Q$36*LN(10))*(MAX((LN(10^(逐级计算!$Q$36/10)-1)+逐级计算!$Q$36*(AJ86-逐级计算!$P$36)*LN(10)/10),0)+LN(1+EXP(-ABS((LN(10^(逐级计算!$Q$36/10)-1)+逐级计算!$Q$36*(AJ86-逐级计算!$P$36)*LN(10)/10))))))),"")</f>
        <v>13.7930365742089</v>
      </c>
      <c r="AL86">
        <f>IF(AND(ISNUMBER(AK86),逐级计算!$X$37&gt;-1),IF(逐级计算!$X$37=0,AK86+逐级计算!$C$37,AK86+逐级计算!$C$37-(10/(逐级计算!$Q$37*LN(10))*(MAX((LN(10^(逐级计算!$Q$37/10)-1)+逐级计算!$Q$37*(AK86-逐级计算!$P$37)*LN(10)/10),0)+LN(1+EXP(-ABS((LN(10^(逐级计算!$Q$37/10)-1)+逐级计算!$Q$37*(AK86-逐级计算!$P$37)*LN(10)/10))))))),"")</f>
        <v>13.7930365742089</v>
      </c>
      <c r="AM86">
        <f>IF(AND(ISNUMBER(AL86),逐级计算!$X$38&gt;-1),IF(逐级计算!$X$38=0,AL86+逐级计算!$C$38,AL86+逐级计算!$C$38-(10/(逐级计算!$Q$38*LN(10))*(MAX((LN(10^(逐级计算!$Q$38/10)-1)+逐级计算!$Q$38*(AL86-逐级计算!$P$38)*LN(10)/10),0)+LN(1+EXP(-ABS((LN(10^(逐级计算!$Q$38/10)-1)+逐级计算!$Q$38*(AL86-逐级计算!$P$38)*LN(10)/10))))))),"")</f>
        <v>13.7930365742089</v>
      </c>
      <c r="AN86">
        <f>IF(AND(ISNUMBER(AM86),逐级计算!$X$39&gt;-1),IF(逐级计算!$X$39=0,AM86+逐级计算!$C$39,AM86+逐级计算!$C$39-(10/(逐级计算!$Q$39*LN(10))*(MAX((LN(10^(逐级计算!$Q$39/10)-1)+逐级计算!$Q$39*(AM86-逐级计算!$P$39)*LN(10)/10),0)+LN(1+EXP(-ABS((LN(10^(逐级计算!$Q$39/10)-1)+逐级计算!$Q$39*(AM86-逐级计算!$P$39)*LN(10)/10))))))),"")</f>
        <v>13.7930365742089</v>
      </c>
      <c r="AO86">
        <f>IF(AND(ISNUMBER(AN86),逐级计算!$X$40&gt;-1),IF(逐级计算!$X$40=0,AN86+逐级计算!$C$40,AN86+逐级计算!$C$40-(10/(逐级计算!$Q$40*LN(10))*(MAX((LN(10^(逐级计算!$Q$40/10)-1)+逐级计算!$Q$40*(AN86-逐级计算!$P$40)*LN(10)/10),0)+LN(1+EXP(-ABS((LN(10^(逐级计算!$Q$40/10)-1)+逐级计算!$Q$40*(AN86-逐级计算!$P$40)*LN(10)/10))))))),"")</f>
        <v>13.7930365742089</v>
      </c>
      <c r="AP86">
        <f>IF(AND(ISNUMBER(AO86),逐级计算!$X$41&gt;-1),IF(逐级计算!$X$41=0,AO86+逐级计算!$C$41,AO86+逐级计算!$C$41-(10/(逐级计算!$Q$41*LN(10))*(MAX((LN(10^(逐级计算!$Q$41/10)-1)+逐级计算!$Q$41*(AO86-逐级计算!$P$41)*LN(10)/10),0)+LN(1+EXP(-ABS((LN(10^(逐级计算!$Q$41/10)-1)+逐级计算!$Q$41*(AO86-逐级计算!$P$41)*LN(10)/10))))))),"")</f>
        <v>13.7930365742089</v>
      </c>
      <c r="AQ86">
        <f>IF(AND(ISNUMBER(AP86),逐级计算!$X$42&gt;-1),IF(逐级计算!$X$42=0,AP86+逐级计算!$C$42,AP86+逐级计算!$C$42-(10/(逐级计算!$Q$42*LN(10))*(MAX((LN(10^(逐级计算!$Q$42/10)-1)+逐级计算!$Q$42*(AP86-逐级计算!$P$42)*LN(10)/10),0)+LN(1+EXP(-ABS((LN(10^(逐级计算!$Q$42/10)-1)+逐级计算!$Q$42*(AP86-逐级计算!$P$42)*LN(10)/10))))))),"")</f>
        <v>13.7930365742089</v>
      </c>
      <c r="AR86">
        <f>IF(AND(ISNUMBER(AQ86),逐级计算!$X$43&gt;-1),IF(逐级计算!$X$43=0,AQ86+逐级计算!$C$43,AQ86+逐级计算!$C$43-(10/(逐级计算!$Q$43*LN(10))*(MAX((LN(10^(逐级计算!$Q$43/10)-1)+逐级计算!$Q$43*(AQ86-逐级计算!$P$43)*LN(10)/10),0)+LN(1+EXP(-ABS((LN(10^(逐级计算!$Q$43/10)-1)+逐级计算!$Q$43*(AQ86-逐级计算!$P$43)*LN(10)/10))))))),"")</f>
        <v>13.7930365742089</v>
      </c>
      <c r="AS86">
        <f>IF(AND(ISNUMBER(AR86),逐级计算!$X$44&gt;-1),IF(逐级计算!$X$44=0,AR86+逐级计算!$C$44,AR86+逐级计算!$C$44-(10/(逐级计算!$Q$44*LN(10))*(MAX((LN(10^(逐级计算!$Q$44/10)-1)+逐级计算!$Q$44*(AR86-逐级计算!$P$44)*LN(10)/10),0)+LN(1+EXP(-ABS((LN(10^(逐级计算!$Q$44/10)-1)+逐级计算!$Q$44*(AR86-逐级计算!$P$44)*LN(10)/10))))))),"")</f>
        <v>13.7930365742089</v>
      </c>
      <c r="AT86">
        <f>IF(AND(ISNUMBER(AS86),逐级计算!$X$45&gt;-1),IF(逐级计算!$X$45=0,AS86+逐级计算!$C$45,AS86+逐级计算!$C$45-(10/(逐级计算!$Q$45*LN(10))*(MAX((LN(10^(逐级计算!$Q$45/10)-1)+逐级计算!$Q$45*(AS86-逐级计算!$P$45)*LN(10)/10),0)+LN(1+EXP(-ABS((LN(10^(逐级计算!$Q$45/10)-1)+逐级计算!$Q$45*(AS86-逐级计算!$P$45)*LN(10)/10))))))),"")</f>
        <v>13.7930365742089</v>
      </c>
      <c r="AU86">
        <f>IF(AND(ISNUMBER(AT86),逐级计算!$X$46&gt;-1),IF(逐级计算!$X$46=0,AT86+逐级计算!$C$46,AT86+逐级计算!$C$46-(10/(逐级计算!$Q$46*LN(10))*(MAX((LN(10^(逐级计算!$Q$46/10)-1)+逐级计算!$Q$46*(AT86-逐级计算!$P$46)*LN(10)/10),0)+LN(1+EXP(-ABS((LN(10^(逐级计算!$Q$46/10)-1)+逐级计算!$Q$46*(AT86-逐级计算!$P$46)*LN(10)/10))))))),"")</f>
        <v>13.7930365742089</v>
      </c>
      <c r="AV86">
        <f>IF(AND(ISNUMBER(AU86),逐级计算!$X$47&gt;-1),IF(逐级计算!$X$47=0,AU86+逐级计算!$C$47,AU86+逐级计算!$C$47-(10/(逐级计算!$Q$47*LN(10))*(MAX((LN(10^(逐级计算!$Q$47/10)-1)+逐级计算!$Q$47*(AU86-逐级计算!$P$47)*LN(10)/10),0)+LN(1+EXP(-ABS((LN(10^(逐级计算!$Q$47/10)-1)+逐级计算!$Q$47*(AU86-逐级计算!$P$47)*LN(10)/10))))))),"")</f>
        <v>13.7930365742089</v>
      </c>
      <c r="AW86">
        <f>IF(AND(ISNUMBER(AV86),逐级计算!$X$48&gt;-1),IF(逐级计算!$X$48=0,AV86+逐级计算!$C$48,AV86+逐级计算!$C$48-(10/(逐级计算!$Q$48*LN(10))*(MAX((LN(10^(逐级计算!$Q$48/10)-1)+逐级计算!$Q$48*(AV86-逐级计算!$P$48)*LN(10)/10),0)+LN(1+EXP(-ABS((LN(10^(逐级计算!$Q$48/10)-1)+逐级计算!$Q$48*(AV86-逐级计算!$P$48)*LN(10)/10))))))),"")</f>
        <v>13.7930365742089</v>
      </c>
      <c r="AX86">
        <f>IF(AND(ISNUMBER(AW86),逐级计算!$X$49&gt;-1),IF(逐级计算!$X$49=0,AW86+逐级计算!$C$49,AW86+逐级计算!$C$49-(10/(逐级计算!$Q$49*LN(10))*(MAX((LN(10^(逐级计算!$Q$49/10)-1)+逐级计算!$Q$49*(AW86-逐级计算!$P$49)*LN(10)/10),0)+LN(1+EXP(-ABS((LN(10^(逐级计算!$Q$49/10)-1)+逐级计算!$Q$49*(AW86-逐级计算!$P$49)*LN(10)/10))))))),"")</f>
        <v>13.7930365742089</v>
      </c>
      <c r="AY86">
        <f>IF(AND(ISNUMBER(AX86),逐级计算!$X$50&gt;-1),IF(逐级计算!$X$50=0,AX86+逐级计算!$C$50,AX86+逐级计算!$C$50-(10/(逐级计算!$Q$50*LN(10))*(MAX((LN(10^(逐级计算!$Q$50/10)-1)+逐级计算!$Q$50*(AX86-逐级计算!$P$50)*LN(10)/10),0)+LN(1+EXP(-ABS((LN(10^(逐级计算!$Q$50/10)-1)+逐级计算!$Q$50*(AX86-逐级计算!$P$50)*LN(10)/10))))))),"")</f>
        <v>13.7930365742089</v>
      </c>
      <c r="AZ86">
        <f>IF(AND(ISNUMBER(AY86),逐级计算!$X$51&gt;-1),IF(逐级计算!$X$51=0,AY86+逐级计算!$C$51,AY86+逐级计算!$C$51-(10/(逐级计算!$Q$51*LN(10))*(MAX((LN(10^(逐级计算!$Q$51/10)-1)+逐级计算!$Q$51*(AY86-逐级计算!$P$51)*LN(10)/10),0)+LN(1+EXP(-ABS((LN(10^(逐级计算!$Q$51/10)-1)+逐级计算!$Q$51*(AY86-逐级计算!$P$51)*LN(10)/10))))))),"")</f>
        <v>13.7930365742089</v>
      </c>
      <c r="BA86">
        <f>IF(AND(ISNUMBER(AZ86),逐级计算!$X$52&gt;-1),IF(逐级计算!$X$52=0,AZ86+逐级计算!$C$52,AZ86+逐级计算!$C$52-(10/(逐级计算!$Q$52*LN(10))*(MAX((LN(10^(逐级计算!$Q$52/10)-1)+逐级计算!$Q$52*(AZ86-逐级计算!$P$52)*LN(10)/10),0)+LN(1+EXP(-ABS((LN(10^(逐级计算!$Q$52/10)-1)+逐级计算!$Q$52*(AZ86-逐级计算!$P$52)*LN(10)/10))))))),"")</f>
        <v>13.7930365742089</v>
      </c>
      <c r="BB86">
        <f>IF(AND(ISNUMBER(BA86),逐级计算!$X$53&gt;-1),IF(逐级计算!$X$53=0,BA86+逐级计算!$C$53,BA86+逐级计算!$C$53-(10/(逐级计算!$Q$53*LN(10))*(MAX((LN(10^(逐级计算!$Q$53/10)-1)+逐级计算!$Q$53*(BA86-逐级计算!$P$53)*LN(10)/10),0)+LN(1+EXP(-ABS((LN(10^(逐级计算!$Q$53/10)-1)+逐级计算!$Q$53*(BA86-逐级计算!$P$53)*LN(10)/10))))))),"")</f>
        <v>13.7930365742089</v>
      </c>
      <c r="BC86">
        <f>IF(AND(ISNUMBER(BB86),逐级计算!$X$54&gt;-1),IF(逐级计算!$X$54=0,BB86+逐级计算!$C$54,BB86+逐级计算!$C$54-(10/(逐级计算!$Q$54*LN(10))*(MAX((LN(10^(逐级计算!$Q$54/10)-1)+逐级计算!$Q$54*(BB86-逐级计算!$P$54)*LN(10)/10),0)+LN(1+EXP(-ABS((LN(10^(逐级计算!$Q$54/10)-1)+逐级计算!$Q$54*(BB86-逐级计算!$P$54)*LN(10)/10))))))),"")</f>
        <v>13.7930365742089</v>
      </c>
      <c r="BD86">
        <f>IF(AND(ISNUMBER(BC86),逐级计算!$X$55&gt;-1),IF(逐级计算!$X$55=0,BC86+逐级计算!$C$55,BC86+逐级计算!$C$55-(10/(逐级计算!$Q$55*LN(10))*(MAX((LN(10^(逐级计算!$Q$55/10)-1)+逐级计算!$Q$55*(BC86-逐级计算!$P$55)*LN(10)/10),0)+LN(1+EXP(-ABS((LN(10^(逐级计算!$Q$55/10)-1)+逐级计算!$Q$55*(BC86-逐级计算!$P$55)*LN(10)/10))))))),"")</f>
        <v>13.7930365742089</v>
      </c>
      <c r="BE86">
        <f>IF(AND(ISNUMBER(BD86),逐级计算!$X$56&gt;-1),IF(逐级计算!$X$56=0,BD86+逐级计算!$C$56,BD86+逐级计算!$C$56-(10/(逐级计算!$Q$56*LN(10))*(MAX((LN(10^(逐级计算!$Q$56/10)-1)+逐级计算!$Q$56*(BD86-逐级计算!$P$56)*LN(10)/10),0)+LN(1+EXP(-ABS((LN(10^(逐级计算!$Q$56/10)-1)+逐级计算!$Q$56*(BD86-逐级计算!$P$56)*LN(10)/10))))))),"")</f>
        <v>13.7930365742089</v>
      </c>
      <c r="BF86">
        <f>IF(AND(ISNUMBER(BE86),逐级计算!$X$57&gt;-1),IF(逐级计算!$X$57=0,BE86+逐级计算!$C$57,BE86+逐级计算!$C$57-(10/(逐级计算!$Q$57*LN(10))*(MAX((LN(10^(逐级计算!$Q$57/10)-1)+逐级计算!$Q$57*(BE86-逐级计算!$P$57)*LN(10)/10),0)+LN(1+EXP(-ABS((LN(10^(逐级计算!$Q$57/10)-1)+逐级计算!$Q$57*(BE86-逐级计算!$P$57)*LN(10)/10))))))),"")</f>
        <v>13.7930365742089</v>
      </c>
      <c r="BG86">
        <f>IF(AND(ISNUMBER(BF86),逐级计算!$X$58&gt;-1),IF(逐级计算!$X$58=0,BF86+逐级计算!$C$58,BF86+逐级计算!$C$58-(10/(逐级计算!$Q$58*LN(10))*(MAX((LN(10^(逐级计算!$Q$58/10)-1)+逐级计算!$Q$58*(BF86-逐级计算!$P$58)*LN(10)/10),0)+LN(1+EXP(-ABS((LN(10^(逐级计算!$Q$58/10)-1)+逐级计算!$Q$58*(BF86-逐级计算!$P$58)*LN(10)/10))))))),"")</f>
        <v>13.7930365742089</v>
      </c>
      <c r="BH86">
        <f>IF(AND(ISNUMBER(BG86),逐级计算!$X$59&gt;-1),IF(逐级计算!$X$59=0,BG86+逐级计算!$C$59,BG86+逐级计算!$C$59-(10/(逐级计算!$Q$59*LN(10))*(MAX((LN(10^(逐级计算!$Q$59/10)-1)+逐级计算!$Q$59*(BG86-逐级计算!$P$59)*LN(10)/10),0)+LN(1+EXP(-ABS((LN(10^(逐级计算!$Q$59/10)-1)+逐级计算!$Q$59*(BG86-逐级计算!$P$59)*LN(10)/10))))))),"")</f>
        <v>13.7930365742089</v>
      </c>
      <c r="BI86">
        <f>IF(AND(ISNUMBER(BH86),逐级计算!$X$60&gt;-1),IF(逐级计算!$X$60=0,BH86+逐级计算!$C$60,BH86+逐级计算!$C$60-(10/(逐级计算!$Q$60*LN(10))*(MAX((LN(10^(逐级计算!$Q$60/10)-1)+逐级计算!$Q$60*(BH86-逐级计算!$P$60)*LN(10)/10),0)+LN(1+EXP(-ABS((LN(10^(逐级计算!$Q$60/10)-1)+逐级计算!$Q$60*(BH86-逐级计算!$P$60)*LN(10)/10))))))),"")</f>
        <v>13.7930365742089</v>
      </c>
      <c r="BJ86">
        <f>IF(AND(ISNUMBER(BI86),逐级计算!$X$61&gt;-1),IF(逐级计算!$X$61=0,BI86+逐级计算!$C$61,BI86+逐级计算!$C$61-(10/(逐级计算!$Q$61*LN(10))*(MAX((LN(10^(逐级计算!$Q$61/10)-1)+逐级计算!$Q$61*(BI86-逐级计算!$P$61)*LN(10)/10),0)+LN(1+EXP(-ABS((LN(10^(逐级计算!$Q$61/10)-1)+逐级计算!$Q$61*(BI86-逐级计算!$P$61)*LN(10)/10))))))),"")</f>
        <v>13.7930365742089</v>
      </c>
      <c r="BK86">
        <f>IF(AND(ISNUMBER(BJ86),逐级计算!$X$62&gt;-1),IF(逐级计算!$X$62=0,BJ86+逐级计算!$C$62,BJ86+逐级计算!$C$62-(10/(逐级计算!$Q$62*LN(10))*(MAX((LN(10^(逐级计算!$Q$62/10)-1)+逐级计算!$Q$62*(BJ86-逐级计算!$P$62)*LN(10)/10),0)+LN(1+EXP(-ABS((LN(10^(逐级计算!$Q$62/10)-1)+逐级计算!$Q$62*(BJ86-逐级计算!$P$62)*LN(10)/10))))))),"")</f>
        <v>13.7930365742089</v>
      </c>
      <c r="BL86">
        <f>IF(AND(ISNUMBER(BK86),逐级计算!$X$63&gt;-1),IF(逐级计算!$X$63=0,BK86+逐级计算!$C$63,BK86+逐级计算!$C$63-(10/(逐级计算!$Q$63*LN(10))*(MAX((LN(10^(逐级计算!$Q$63/10)-1)+逐级计算!$Q$63*(BK86-逐级计算!$P$63)*LN(10)/10),0)+LN(1+EXP(-ABS((LN(10^(逐级计算!$Q$63/10)-1)+逐级计算!$Q$63*(BK86-逐级计算!$P$63)*LN(10)/10))))))),"")</f>
        <v>13.7930365742089</v>
      </c>
      <c r="BM86">
        <f>IF(AND(ISNUMBER(BL86),逐级计算!$X$64&gt;-1),IF(逐级计算!$X$64=0,BL86+逐级计算!$C$64,BL86+逐级计算!$C$64-(10/(逐级计算!$Q$64*LN(10))*(MAX((LN(10^(逐级计算!$Q$64/10)-1)+逐级计算!$Q$64*(BL86-逐级计算!$P$64)*LN(10)/10),0)+LN(1+EXP(-ABS((LN(10^(逐级计算!$Q$64/10)-1)+逐级计算!$Q$64*(BL86-逐级计算!$P$64)*LN(10)/10))))))),"")</f>
        <v>13.7930365742089</v>
      </c>
      <c r="BN86">
        <f>IF(AND(ISNUMBER(BM86),逐级计算!$X$65&gt;-1),IF(逐级计算!$X$65=0,BM86+逐级计算!$C$65,BM86+逐级计算!$C$65-(10/(逐级计算!$Q$65*LN(10))*(MAX((LN(10^(逐级计算!$Q$65/10)-1)+逐级计算!$Q$65*(BM86-逐级计算!$P$65)*LN(10)/10),0)+LN(1+EXP(-ABS((LN(10^(逐级计算!$Q$65/10)-1)+逐级计算!$Q$65*(BM86-逐级计算!$P$65)*LN(10)/10))))))),"")</f>
        <v>13.7930365742089</v>
      </c>
      <c r="BO86">
        <f>IF(AND(ISNUMBER(BN86),逐级计算!$X$66&gt;-1),IF(逐级计算!$X$66=0,BN86+逐级计算!$C$66,BN86+逐级计算!$C$66-(10/(逐级计算!$Q$66*LN(10))*(MAX((LN(10^(逐级计算!$Q$66/10)-1)+逐级计算!$Q$66*(BN86-逐级计算!$P$66)*LN(10)/10),0)+LN(1+EXP(-ABS((LN(10^(逐级计算!$Q$66/10)-1)+逐级计算!$Q$66*(BN86-逐级计算!$P$66)*LN(10)/10))))))),"")</f>
        <v>13.7930365742089</v>
      </c>
      <c r="BP86">
        <f>IF(AND(ISNUMBER(BO86),逐级计算!$X$67&gt;-1),IF(逐级计算!$X$67=0,BO86+逐级计算!$C$67,BO86+逐级计算!$C$67-(10/(逐级计算!$Q$67*LN(10))*(MAX((LN(10^(逐级计算!$Q$67/10)-1)+逐级计算!$Q$67*(BO86-逐级计算!$P$67)*LN(10)/10),0)+LN(1+EXP(-ABS((LN(10^(逐级计算!$Q$67/10)-1)+逐级计算!$Q$67*(BO86-逐级计算!$P$67)*LN(10)/10))))))),"")</f>
        <v>13.7930365742089</v>
      </c>
      <c r="BQ86">
        <f>IF(AND(ISNUMBER(BP86),逐级计算!$X$68&gt;-1),IF(逐级计算!$X$68=0,BP86+逐级计算!$C$68,BP86+逐级计算!$C$68-(10/(逐级计算!$Q$68*LN(10))*(MAX((LN(10^(逐级计算!$Q$68/10)-1)+逐级计算!$Q$68*(BP86-逐级计算!$P$68)*LN(10)/10),0)+LN(1+EXP(-ABS((LN(10^(逐级计算!$Q$68/10)-1)+逐级计算!$Q$68*(BP86-逐级计算!$P$68)*LN(10)/10))))))),"")</f>
        <v>13.7930365742089</v>
      </c>
      <c r="BR86">
        <f>IF(AND(ISNUMBER(BQ86),逐级计算!$X$69&gt;-1),IF(逐级计算!$X$69=0,BQ86+逐级计算!$C$69,BQ86+逐级计算!$C$69-(10/(逐级计算!$Q$69*LN(10))*(MAX((LN(10^(逐级计算!$Q$69/10)-1)+逐级计算!$Q$69*(BQ86-逐级计算!$P$69)*LN(10)/10),0)+LN(1+EXP(-ABS((LN(10^(逐级计算!$Q$69/10)-1)+逐级计算!$Q$69*(BQ86-逐级计算!$P$69)*LN(10)/10))))))),"")</f>
        <v>13.7930365742089</v>
      </c>
      <c r="BS86">
        <f>IF(AND(ISNUMBER(BR86),逐级计算!$X$70&gt;-1),IF(逐级计算!$X$70=0,BR86+逐级计算!$C$70,BR86+逐级计算!$C$70-(10/(逐级计算!$Q$70*LN(10))*(MAX((LN(10^(逐级计算!$Q$70/10)-1)+逐级计算!$Q$70*(BR86-逐级计算!$P$70)*LN(10)/10),0)+LN(1+EXP(-ABS((LN(10^(逐级计算!$Q$70/10)-1)+逐级计算!$Q$70*(BR86-逐级计算!$P$70)*LN(10)/10))))))),"")</f>
        <v>13.7930365742089</v>
      </c>
      <c r="BT86">
        <f>IF(AND(ISNUMBER(BS86),逐级计算!$X$71&gt;-1),IF(逐级计算!$X$71=0,BS86+逐级计算!$C$71,BS86+逐级计算!$C$71-(10/(逐级计算!$Q$71*LN(10))*(MAX((LN(10^(逐级计算!$Q$71/10)-1)+逐级计算!$Q$71*(BS86-逐级计算!$P$71)*LN(10)/10),0)+LN(1+EXP(-ABS((LN(10^(逐级计算!$Q$71/10)-1)+逐级计算!$Q$71*(BS86-逐级计算!$P$71)*LN(10)/10))))))),"")</f>
        <v>13.7930365742089</v>
      </c>
      <c r="BU86">
        <f>IF(AND(ISNUMBER(BT86),逐级计算!$X$72&gt;-1),IF(逐级计算!$X$72=0,BT86+逐级计算!$C$72,BT86+逐级计算!$C$72-(10/(逐级计算!$Q$72*LN(10))*(MAX((LN(10^(逐级计算!$Q$72/10)-1)+逐级计算!$Q$72*(BT86-逐级计算!$P$72)*LN(10)/10),0)+LN(1+EXP(-ABS((LN(10^(逐级计算!$Q$72/10)-1)+逐级计算!$Q$72*(BT86-逐级计算!$P$72)*LN(10)/10))))))),"")</f>
        <v>13.7930365742089</v>
      </c>
      <c r="BV86">
        <f>IF(AND(ISNUMBER(BU86),逐级计算!$X$73&gt;-1),IF(逐级计算!$X$73=0,BU86+逐级计算!$C$73,BU86+逐级计算!$C$73-(10/(逐级计算!$Q$73*LN(10))*(MAX((LN(10^(逐级计算!$Q$73/10)-1)+逐级计算!$Q$73*(BU86-逐级计算!$P$73)*LN(10)/10),0)+LN(1+EXP(-ABS((LN(10^(逐级计算!$Q$73/10)-1)+逐级计算!$Q$73*(BU86-逐级计算!$P$73)*LN(10)/10))))))),"")</f>
        <v>13.7930365742089</v>
      </c>
      <c r="BW86">
        <f>IF(AND(ISNUMBER(BV86),逐级计算!$X$74&gt;-1),IF(逐级计算!$X$74=0,BV86+逐级计算!$C$74,BV86+逐级计算!$C$74-(10/(逐级计算!$Q$74*LN(10))*(MAX((LN(10^(逐级计算!$Q$74/10)-1)+逐级计算!$Q$74*(BV86-逐级计算!$P$74)*LN(10)/10),0)+LN(1+EXP(-ABS((LN(10^(逐级计算!$Q$74/10)-1)+逐级计算!$Q$74*(BV86-逐级计算!$P$74)*LN(10)/10))))))),"")</f>
        <v>13.7930365742089</v>
      </c>
      <c r="BX86">
        <f>IF(AND(ISNUMBER(BW86),逐级计算!$X$75&gt;-1),IF(逐级计算!$X$75=0,BW86+逐级计算!$C$75,BW86+逐级计算!$C$75-(10/(逐级计算!$Q$75*LN(10))*(MAX((LN(10^(逐级计算!$Q$75/10)-1)+逐级计算!$Q$75*(BW86-逐级计算!$P$75)*LN(10)/10),0)+LN(1+EXP(-ABS((LN(10^(逐级计算!$Q$75/10)-1)+逐级计算!$Q$75*(BW86-逐级计算!$P$75)*LN(10)/10))))))),"")</f>
        <v>13.7930365742089</v>
      </c>
      <c r="BY86">
        <f>IF(AND(ISNUMBER(BX86),逐级计算!$X$76&gt;-1),IF(逐级计算!$X$76=0,BX86+逐级计算!$C$76,BX86+逐级计算!$C$76-(10/(逐级计算!$Q$76*LN(10))*(MAX((LN(10^(逐级计算!$Q$76/10)-1)+逐级计算!$Q$76*(BX86-逐级计算!$P$76)*LN(10)/10),0)+LN(1+EXP(-ABS((LN(10^(逐级计算!$Q$76/10)-1)+逐级计算!$Q$76*(BX86-逐级计算!$P$76)*LN(10)/10))))))),"")</f>
        <v>13.7930365742089</v>
      </c>
      <c r="BZ86">
        <f>IF(AND(ISNUMBER(BY86),逐级计算!$X$77&gt;-1),IF(逐级计算!$X$77=0,BY86+逐级计算!$C$77,BY86+逐级计算!$C$77-(10/(逐级计算!$Q$77*LN(10))*(MAX((LN(10^(逐级计算!$Q$77/10)-1)+逐级计算!$Q$77*(BY86-逐级计算!$P$77)*LN(10)/10),0)+LN(1+EXP(-ABS((LN(10^(逐级计算!$Q$77/10)-1)+逐级计算!$Q$77*(BY86-逐级计算!$P$77)*LN(10)/10))))))),"")</f>
        <v>13.7930365742089</v>
      </c>
      <c r="CA86">
        <f>IF(AND(ISNUMBER(BZ86),逐级计算!$X$78&gt;-1),IF(逐级计算!$X$78=0,BZ86+逐级计算!$C$78,BZ86+逐级计算!$C$78-(10/(逐级计算!$Q$78*LN(10))*(MAX((LN(10^(逐级计算!$Q$78/10)-1)+逐级计算!$Q$78*(BZ86-逐级计算!$P$78)*LN(10)/10),0)+LN(1+EXP(-ABS((LN(10^(逐级计算!$Q$78/10)-1)+逐级计算!$Q$78*(BZ86-逐级计算!$P$78)*LN(10)/10))))))),"")</f>
        <v>13.7930365742089</v>
      </c>
      <c r="CB86">
        <f>IF(AND(ISNUMBER(CA86),逐级计算!$X$79&gt;-1),IF(逐级计算!$X$79=0,CA86+逐级计算!$C$79,CA86+逐级计算!$C$79-(10/(逐级计算!$Q$79*LN(10))*(MAX((LN(10^(逐级计算!$Q$79/10)-1)+逐级计算!$Q$79*(CA86-逐级计算!$P$79)*LN(10)/10),0)+LN(1+EXP(-ABS((LN(10^(逐级计算!$Q$79/10)-1)+逐级计算!$Q$79*(CA86-逐级计算!$P$79)*LN(10)/10))))))),"")</f>
        <v>13.7930365742089</v>
      </c>
      <c r="CC86">
        <f>IF(AND(ISNUMBER(CB86),逐级计算!$X$80&gt;-1),IF(逐级计算!$X$80=0,CB86+逐级计算!$C$80,CB86+逐级计算!$C$80-(10/(逐级计算!$Q$80*LN(10))*(MAX((LN(10^(逐级计算!$Q$80/10)-1)+逐级计算!$Q$80*(CB86-逐级计算!$P$80)*LN(10)/10),0)+LN(1+EXP(-ABS((LN(10^(逐级计算!$Q$80/10)-1)+逐级计算!$Q$80*(CB86-逐级计算!$P$80)*LN(10)/10))))))),"")</f>
        <v>13.7930365742089</v>
      </c>
      <c r="CD86">
        <f>IF(AND(ISNUMBER(CC86),逐级计算!$X$81&gt;-1),IF(逐级计算!$X$81=0,CC86+逐级计算!$C$81,CC86+逐级计算!$C$81-(10/(逐级计算!$Q$81*LN(10))*(MAX((LN(10^(逐级计算!$Q$81/10)-1)+逐级计算!$Q$81*(CC86-逐级计算!$P$81)*LN(10)/10),0)+LN(1+EXP(-ABS((LN(10^(逐级计算!$Q$81/10)-1)+逐级计算!$Q$81*(CC86-逐级计算!$P$81)*LN(10)/10))))))),"")</f>
        <v>13.7930365742089</v>
      </c>
      <c r="CE86">
        <f>IF(AND(ISNUMBER(CD86),逐级计算!$X$82&gt;-1),IF(逐级计算!$X$82=0,CD86+逐级计算!$C$82,CD86+逐级计算!$C$82-(10/(逐级计算!$Q$82*LN(10))*(MAX((LN(10^(逐级计算!$Q$82/10)-1)+逐级计算!$Q$82*(CD86-逐级计算!$P$82)*LN(10)/10),0)+LN(1+EXP(-ABS((LN(10^(逐级计算!$Q$82/10)-1)+逐级计算!$Q$82*(CD86-逐级计算!$P$82)*LN(10)/10))))))),"")</f>
        <v>13.7930365742089</v>
      </c>
      <c r="CF86">
        <f>IF(AND(ISNUMBER(CE86),逐级计算!$X$83&gt;-1),IF(逐级计算!$X$83=0,CE86+逐级计算!$C$83,CE86+逐级计算!$C$83-(10/(逐级计算!$Q$83*LN(10))*(MAX((LN(10^(逐级计算!$Q$83/10)-1)+逐级计算!$Q$83*(CE86-逐级计算!$P$83)*LN(10)/10),0)+LN(1+EXP(-ABS((LN(10^(逐级计算!$Q$83/10)-1)+逐级计算!$Q$83*(CE86-逐级计算!$P$83)*LN(10)/10))))))),"")</f>
        <v>13.7930365742089</v>
      </c>
      <c r="CG86">
        <f>IF(AND(ISNUMBER(CF86),逐级计算!$X$84&gt;-1),IF(逐级计算!$X$84=0,CF86+逐级计算!$C$84,CF86+逐级计算!$C$84-(10/(逐级计算!$Q$84*LN(10))*(MAX((LN(10^(逐级计算!$Q$84/10)-1)+逐级计算!$Q$84*(CF86-逐级计算!$P$84)*LN(10)/10),0)+LN(1+EXP(-ABS((LN(10^(逐级计算!$Q$84/10)-1)+逐级计算!$Q$84*(CF86-逐级计算!$P$84)*LN(10)/10))))))),"")</f>
        <v>13.7930365742089</v>
      </c>
      <c r="CH86">
        <f>IF(AND(ISNUMBER(CG86),逐级计算!$X$85&gt;-1),IF(逐级计算!$X$85=0,CG86+逐级计算!$C$85,CG86+逐级计算!$C$85-(10/(逐级计算!$Q$85*LN(10))*(MAX((LN(10^(逐级计算!$Q$85/10)-1)+逐级计算!$Q$85*(CG86-逐级计算!$P$85)*LN(10)/10),0)+LN(1+EXP(-ABS((LN(10^(逐级计算!$Q$85/10)-1)+逐级计算!$Q$85*(CG86-逐级计算!$P$85)*LN(10)/10))))))),"")</f>
        <v>13.7930365742089</v>
      </c>
      <c r="CI86">
        <f>IF(AND(ISNUMBER(CH86),逐级计算!$X$86&gt;-1),IF(逐级计算!$X$86=0,CH86+逐级计算!$C$86,CH86+逐级计算!$C$86-(10/(逐级计算!$Q$86*LN(10))*(MAX((LN(10^(逐级计算!$Q$86/10)-1)+逐级计算!$Q$86*(CH86-逐级计算!$P$86)*LN(10)/10),0)+LN(1+EXP(-ABS((LN(10^(逐级计算!$Q$86/10)-1)+逐级计算!$Q$86*(CH86-逐级计算!$P$86)*LN(10)/10))))))),"")</f>
        <v>13.7930365742089</v>
      </c>
      <c r="CJ86">
        <f>IF(AND(ISNUMBER(CI86),逐级计算!$X$87&gt;-1),IF(逐级计算!$X$87=0,CI86+逐级计算!$C$87,CI86+逐级计算!$C$87-(10/(逐级计算!$Q$87*LN(10))*(MAX((LN(10^(逐级计算!$Q$87/10)-1)+逐级计算!$Q$87*(CI86-逐级计算!$P$87)*LN(10)/10),0)+LN(1+EXP(-ABS((LN(10^(逐级计算!$Q$87/10)-1)+逐级计算!$Q$87*(CI86-逐级计算!$P$87)*LN(10)/10))))))),"")</f>
        <v>13.7930365742089</v>
      </c>
      <c r="CK86">
        <f>IF(AND(ISNUMBER(CJ86),逐级计算!$X$88&gt;-1),IF(逐级计算!$X$88=0,CJ86+逐级计算!$C$88,CJ86+逐级计算!$C$88-(10/(逐级计算!$Q$88*LN(10))*(MAX((LN(10^(逐级计算!$Q$88/10)-1)+逐级计算!$Q$88*(CJ86-逐级计算!$P$88)*LN(10)/10),0)+LN(1+EXP(-ABS((LN(10^(逐级计算!$Q$88/10)-1)+逐级计算!$Q$88*(CJ86-逐级计算!$P$88)*LN(10)/10))))))),"")</f>
        <v>13.7930365742089</v>
      </c>
      <c r="CL86">
        <f>IF(AND(ISNUMBER(CK86),逐级计算!$X$89&gt;-1),IF(逐级计算!$X$89=0,CK86+逐级计算!$C$89,CK86+逐级计算!$C$89-(10/(逐级计算!$Q$89*LN(10))*(MAX((LN(10^(逐级计算!$Q$89/10)-1)+逐级计算!$Q$89*(CK86-逐级计算!$P$89)*LN(10)/10),0)+LN(1+EXP(-ABS((LN(10^(逐级计算!$Q$89/10)-1)+逐级计算!$Q$89*(CK86-逐级计算!$P$89)*LN(10)/10))))))),"")</f>
        <v>13.7930365742089</v>
      </c>
      <c r="CM86">
        <f>IF(AND(ISNUMBER(CL86),逐级计算!$X$90&gt;-1),IF(逐级计算!$X$90=0,CL86+逐级计算!$C$90,CL86+逐级计算!$C$90-(10/(逐级计算!$Q$90*LN(10))*(MAX((LN(10^(逐级计算!$Q$90/10)-1)+逐级计算!$Q$90*(CL86-逐级计算!$P$90)*LN(10)/10),0)+LN(1+EXP(-ABS((LN(10^(逐级计算!$Q$90/10)-1)+逐级计算!$Q$90*(CL86-逐级计算!$P$90)*LN(10)/10))))))),"")</f>
        <v>13.7930365742089</v>
      </c>
      <c r="CN86">
        <f>IF(AND(ISNUMBER(CM86),逐级计算!$X$91&gt;-1),IF(逐级计算!$X$91=0,CM86+逐级计算!$C$91,CM86+逐级计算!$C$91-(10/(逐级计算!$Q$91*LN(10))*(MAX((LN(10^(逐级计算!$Q$91/10)-1)+逐级计算!$Q$91*(CM86-逐级计算!$P$91)*LN(10)/10),0)+LN(1+EXP(-ABS((LN(10^(逐级计算!$Q$91/10)-1)+逐级计算!$Q$91*(CM86-逐级计算!$P$91)*LN(10)/10))))))),"")</f>
        <v>13.7930365742089</v>
      </c>
      <c r="CO86">
        <f>IF(AND(ISNUMBER(CN86),逐级计算!$X$92&gt;-1),IF(逐级计算!$X$92=0,CN86+逐级计算!$C$92,CN86+逐级计算!$C$92-(10/(逐级计算!$Q$92*LN(10))*(MAX((LN(10^(逐级计算!$Q$92/10)-1)+逐级计算!$Q$92*(CN86-逐级计算!$P$92)*LN(10)/10),0)+LN(1+EXP(-ABS((LN(10^(逐级计算!$Q$92/10)-1)+逐级计算!$Q$92*(CN86-逐级计算!$P$92)*LN(10)/10))))))),"")</f>
        <v>13.7930365742089</v>
      </c>
      <c r="CP86">
        <f>IF(AND(ISNUMBER(CO86),逐级计算!$X$93&gt;-1),IF(逐级计算!$X$93=0,CO86+逐级计算!$C$93,CO86+逐级计算!$C$93-(10/(逐级计算!$Q$93*LN(10))*(MAX((LN(10^(逐级计算!$Q$93/10)-1)+逐级计算!$Q$93*(CO86-逐级计算!$P$93)*LN(10)/10),0)+LN(1+EXP(-ABS((LN(10^(逐级计算!$Q$93/10)-1)+逐级计算!$Q$93*(CO86-逐级计算!$P$93)*LN(10)/10))))))),"")</f>
        <v>13.7930365742089</v>
      </c>
      <c r="CQ86">
        <f>IF(AND(ISNUMBER(CP86),逐级计算!$X$94&gt;-1),IF(逐级计算!$X$94=0,CP86+逐级计算!$C$94,CP86+逐级计算!$C$94-(10/(逐级计算!$Q$94*LN(10))*(MAX((LN(10^(逐级计算!$Q$94/10)-1)+逐级计算!$Q$94*(CP86-逐级计算!$P$94)*LN(10)/10),0)+LN(1+EXP(-ABS((LN(10^(逐级计算!$Q$94/10)-1)+逐级计算!$Q$94*(CP86-逐级计算!$P$94)*LN(10)/10))))))),"")</f>
        <v>13.7930365742089</v>
      </c>
      <c r="CR86">
        <f>IF(AND(ISNUMBER(CQ86),逐级计算!$X$95&gt;-1),IF(逐级计算!$X$95=0,CQ86+逐级计算!$C$95,CQ86+逐级计算!$C$95-(10/(逐级计算!$Q$95*LN(10))*(MAX((LN(10^(逐级计算!$Q$95/10)-1)+逐级计算!$Q$95*(CQ86-逐级计算!$P$95)*LN(10)/10),0)+LN(1+EXP(-ABS((LN(10^(逐级计算!$Q$95/10)-1)+逐级计算!$Q$95*(CQ86-逐级计算!$P$95)*LN(10)/10))))))),"")</f>
        <v>13.7930365742089</v>
      </c>
      <c r="CS86">
        <f>IF(AND(ISNUMBER(CR86),逐级计算!$X$96&gt;-1),IF(逐级计算!$X$96=0,CR86+逐级计算!$C$96,CR86+逐级计算!$C$96-(10/(逐级计算!$Q$96*LN(10))*(MAX((LN(10^(逐级计算!$Q$96/10)-1)+逐级计算!$Q$96*(CR86-逐级计算!$P$96)*LN(10)/10),0)+LN(1+EXP(-ABS((LN(10^(逐级计算!$Q$96/10)-1)+逐级计算!$Q$96*(CR86-逐级计算!$P$96)*LN(10)/10))))))),"")</f>
        <v>13.7930365742089</v>
      </c>
      <c r="CT86">
        <f>IF(AND(ISNUMBER(CS86),逐级计算!$X$97&gt;-1),IF(逐级计算!$X$97=0,CS86+逐级计算!$C$97,CS86+逐级计算!$C$97-(10/(逐级计算!$Q$97*LN(10))*(MAX((LN(10^(逐级计算!$Q$97/10)-1)+逐级计算!$Q$97*(CS86-逐级计算!$P$97)*LN(10)/10),0)+LN(1+EXP(-ABS((LN(10^(逐级计算!$Q$97/10)-1)+逐级计算!$Q$97*(CS86-逐级计算!$P$97)*LN(10)/10))))))),"")</f>
        <v>13.7930365742089</v>
      </c>
      <c r="CU86">
        <f>IF(AND(ISNUMBER(CT86),逐级计算!$X$98&gt;-1),IF(逐级计算!$X$98=0,CT86+逐级计算!$C$98,CT86+逐级计算!$C$98-(10/(逐级计算!$Q$98*LN(10))*(MAX((LN(10^(逐级计算!$Q$98/10)-1)+逐级计算!$Q$98*(CT86-逐级计算!$P$98)*LN(10)/10),0)+LN(1+EXP(-ABS((LN(10^(逐级计算!$Q$98/10)-1)+逐级计算!$Q$98*(CT86-逐级计算!$P$98)*LN(10)/10))))))),"")</f>
        <v>13.7930365742089</v>
      </c>
      <c r="CV86">
        <f>IF(AND(ISNUMBER(CU86),逐级计算!$X$99&gt;-1),IF(逐级计算!$X$99=0,CU86+逐级计算!$C$99,CU86+逐级计算!$C$99-(10/(逐级计算!$Q$99*LN(10))*(MAX((LN(10^(逐级计算!$Q$99/10)-1)+逐级计算!$Q$99*(CU86-逐级计算!$P$99)*LN(10)/10),0)+LN(1+EXP(-ABS((LN(10^(逐级计算!$Q$99/10)-1)+逐级计算!$Q$99*(CU86-逐级计算!$P$99)*LN(10)/10))))))),"")</f>
        <v>13.7930365742089</v>
      </c>
      <c r="CW86">
        <f>IF(AND(ISNUMBER(CV86),逐级计算!$X$100&gt;-1),IF(逐级计算!$X$100=0,CV86+逐级计算!$C$100,CV86+逐级计算!$C$100-(10/(逐级计算!$Q$100*LN(10))*(MAX((LN(10^(逐级计算!$Q$100/10)-1)+逐级计算!$Q$100*(CV86-逐级计算!$P$100)*LN(10)/10),0)+LN(1+EXP(-ABS((LN(10^(逐级计算!$Q$100/10)-1)+逐级计算!$Q$100*(CV86-逐级计算!$P$100)*LN(10)/10))))))),"")</f>
        <v>13.7930365742089</v>
      </c>
      <c r="CX86">
        <f>IF(AND(ISNUMBER(CW86),逐级计算!$X$101&gt;-1),IF(逐级计算!$X$101=0,CW86+逐级计算!$C$101,CW86+逐级计算!$C$101-(10/(逐级计算!$Q$101*LN(10))*(MAX((LN(10^(逐级计算!$Q$101/10)-1)+逐级计算!$Q$101*(CW86-逐级计算!$P$101)*LN(10)/10),0)+LN(1+EXP(-ABS((LN(10^(逐级计算!$Q$101/10)-1)+逐级计算!$Q$101*(CW86-逐级计算!$P$101)*LN(10)/10))))))),"")</f>
        <v>13.7930365742089</v>
      </c>
      <c r="CY86">
        <f>IF(AND(ISNUMBER(CX86),逐级计算!$X$102&gt;-1),IF(逐级计算!$X$102=0,CX86+逐级计算!$C$102,CX86+逐级计算!$C$102-(10/(逐级计算!$Q$102*LN(10))*(MAX((LN(10^(逐级计算!$Q$102/10)-1)+逐级计算!$Q$102*(CX86-逐级计算!$P$102)*LN(10)/10),0)+LN(1+EXP(-ABS((LN(10^(逐级计算!$Q$102/10)-1)+逐级计算!$Q$102*(CX86-逐级计算!$P$102)*LN(10)/10))))))),"")</f>
        <v>13.7930365742089</v>
      </c>
      <c r="CZ86">
        <f>IF(AND(ISNUMBER(CY86),逐级计算!$X$103&gt;-1),IF(逐级计算!$X$103=0,CY86+逐级计算!$C$103,CY86+逐级计算!$C$103-(10/(逐级计算!$Q$103*LN(10))*(MAX((LN(10^(逐级计算!$Q$103/10)-1)+逐级计算!$Q$103*(CY86-逐级计算!$P$103)*LN(10)/10),0)+LN(1+EXP(-ABS((LN(10^(逐级计算!$Q$103/10)-1)+逐级计算!$Q$103*(CY86-逐级计算!$P$103)*LN(10)/10))))))),"")</f>
        <v>13.7930365742089</v>
      </c>
      <c r="DA86">
        <f>IF(AND(ISNUMBER(CZ86),逐级计算!$X$104&gt;-1),IF(逐级计算!$X$104=0,CZ86+逐级计算!$C$104,CZ86+逐级计算!$C$104-(10/(逐级计算!$Q$104*LN(10))*(MAX((LN(10^(逐级计算!$Q$104/10)-1)+逐级计算!$Q$104*(CZ86-逐级计算!$P$104)*LN(10)/10),0)+LN(1+EXP(-ABS((LN(10^(逐级计算!$Q$104/10)-1)+逐级计算!$Q$104*(CZ86-逐级计算!$P$104)*LN(10)/10))))))),"")</f>
        <v>13.7930365742089</v>
      </c>
      <c r="DB86">
        <f>IF(AND(ISNUMBER(DA86),逐级计算!$X$105&gt;-1),IF(逐级计算!$X$105=0,DA86+逐级计算!$C$105,DA86+逐级计算!$C$105-(10/(逐级计算!$Q$105*LN(10))*(MAX((LN(10^(逐级计算!$Q$105/10)-1)+逐级计算!$Q$105*(DA86-逐级计算!$P$105)*LN(10)/10),0)+LN(1+EXP(-ABS((LN(10^(逐级计算!$Q$105/10)-1)+逐级计算!$Q$105*(DA86-逐级计算!$P$105)*LN(10)/10))))))),"")</f>
        <v>13.7930365742089</v>
      </c>
      <c r="DC86">
        <f>IF(AND(ISNUMBER(DB86),逐级计算!$X$106&gt;-1),IF(逐级计算!$X$106=0,DB86+逐级计算!$C$106,DB86+逐级计算!$C$106-(10/(逐级计算!$Q$106*LN(10))*(MAX((LN(10^(逐级计算!$Q$106/10)-1)+逐级计算!$Q$106*(DB86-逐级计算!$P$106)*LN(10)/10),0)+LN(1+EXP(-ABS((LN(10^(逐级计算!$Q$106/10)-1)+逐级计算!$Q$106*(DB86-逐级计算!$P$106)*LN(10)/10))))))),"")</f>
        <v>13.7930365742089</v>
      </c>
      <c r="DD86">
        <f>IF(AND(ISNUMBER(DC86),逐级计算!$X$107&gt;-1),IF(逐级计算!$X$107=0,DC86+逐级计算!$C$107,DC86+逐级计算!$C$107-(10/(逐级计算!$Q$107*LN(10))*(MAX((LN(10^(逐级计算!$Q$107/10)-1)+逐级计算!$Q$107*(DC86-逐级计算!$P$107)*LN(10)/10),0)+LN(1+EXP(-ABS((LN(10^(逐级计算!$Q$107/10)-1)+逐级计算!$Q$107*(DC86-逐级计算!$P$107)*LN(10)/10))))))),"")</f>
        <v>13.7930365742089</v>
      </c>
      <c r="DE86">
        <f>IF(AND(ISNUMBER(DD86),逐级计算!$X$108&gt;-1),IF(逐级计算!$X$108=0,DD86+逐级计算!$C$108,DD86+逐级计算!$C$108-(10/(逐级计算!$Q$108*LN(10))*(MAX((LN(10^(逐级计算!$Q$108/10)-1)+逐级计算!$Q$108*(DD86-逐级计算!$P$108)*LN(10)/10),0)+LN(1+EXP(-ABS((LN(10^(逐级计算!$Q$108/10)-1)+逐级计算!$Q$108*(DD86-逐级计算!$P$108)*LN(10)/10))))))),"")</f>
        <v>13.7930365742089</v>
      </c>
      <c r="DF86">
        <f>IF(AND(ISNUMBER(DE86),逐级计算!$X$109&gt;-1),IF(逐级计算!$X$109=0,DE86+逐级计算!$C$109,DE86+逐级计算!$C$109-(10/(逐级计算!$Q$109*LN(10))*(MAX((LN(10^(逐级计算!$Q$109/10)-1)+逐级计算!$Q$109*(DE86-逐级计算!$P$109)*LN(10)/10),0)+LN(1+EXP(-ABS((LN(10^(逐级计算!$Q$109/10)-1)+逐级计算!$Q$109*(DE86-逐级计算!$P$109)*LN(10)/10))))))),"")</f>
        <v>13.7930365742089</v>
      </c>
      <c r="DG86">
        <f>IF(AND(ISNUMBER(DF86),逐级计算!$X$110&gt;-1),IF(逐级计算!$X$110=0,DF86+逐级计算!$C$110,DF86+逐级计算!$C$110-(10/(逐级计算!$Q$110*LN(10))*(MAX((LN(10^(逐级计算!$Q$110/10)-1)+逐级计算!$Q$110*(DF86-逐级计算!$P$110)*LN(10)/10),0)+LN(1+EXP(-ABS((LN(10^(逐级计算!$Q$110/10)-1)+逐级计算!$Q$110*(DF86-逐级计算!$P$110)*LN(10)/10))))))),"")</f>
        <v>13.7930365742089</v>
      </c>
      <c r="DH86">
        <f>IF(AND(ISNUMBER(DG86),逐级计算!$X$111&gt;-1),IF(逐级计算!$X$111=0,DG86+逐级计算!$C$111,DG86+逐级计算!$C$111-(10/(逐级计算!$Q$111*LN(10))*(MAX((LN(10^(逐级计算!$Q$111/10)-1)+逐级计算!$Q$111*(DG86-逐级计算!$P$111)*LN(10)/10),0)+LN(1+EXP(-ABS((LN(10^(逐级计算!$Q$111/10)-1)+逐级计算!$Q$111*(DG86-逐级计算!$P$111)*LN(10)/10))))))),"")</f>
        <v>13.7930365742089</v>
      </c>
      <c r="DI86">
        <f>IF(AND(ISNUMBER(DH86),逐级计算!$X$112&gt;-1),IF(逐级计算!$X$112=0,DH86+逐级计算!$C$112,DH86+逐级计算!$C$112-(10/(逐级计算!$Q$112*LN(10))*(MAX((LN(10^(逐级计算!$Q$112/10)-1)+逐级计算!$Q$112*(DH86-逐级计算!$P$112)*LN(10)/10),0)+LN(1+EXP(-ABS((LN(10^(逐级计算!$Q$112/10)-1)+逐级计算!$Q$112*(DH86-逐级计算!$P$112)*LN(10)/10))))))),"")</f>
        <v>13.7930365742089</v>
      </c>
      <c r="DJ86">
        <f>IF(AND(ISNUMBER(DI86),逐级计算!$X$113&gt;-1),IF(逐级计算!$X$113=0,DI86+逐级计算!$C$113,DI86+逐级计算!$C$113-(10/(逐级计算!$Q$113*LN(10))*(MAX((LN(10^(逐级计算!$Q$113/10)-1)+逐级计算!$Q$113*(DI86-逐级计算!$P$113)*LN(10)/10),0)+LN(1+EXP(-ABS((LN(10^(逐级计算!$Q$113/10)-1)+逐级计算!$Q$113*(DI86-逐级计算!$P$113)*LN(10)/10))))))),"")</f>
        <v>13.7930365742089</v>
      </c>
      <c r="DK86">
        <f>IF(AND(ISNUMBER(DJ86),逐级计算!$X$114&gt;-1),IF(逐级计算!$X$114=0,DJ86+逐级计算!$C$114,DJ86+逐级计算!$C$114-(10/(逐级计算!$Q$114*LN(10))*(MAX((LN(10^(逐级计算!$Q$114/10)-1)+逐级计算!$Q$114*(DJ86-逐级计算!$P$114)*LN(10)/10),0)+LN(1+EXP(-ABS((LN(10^(逐级计算!$Q$114/10)-1)+逐级计算!$Q$114*(DJ86-逐级计算!$P$114)*LN(10)/10))))))),"")</f>
        <v>13.7930365742089</v>
      </c>
      <c r="DL86">
        <f>IF(AND(ISNUMBER(DK86),逐级计算!$X$115&gt;-1),IF(逐级计算!$X$115=0,DK86+逐级计算!$C$115,DK86+逐级计算!$C$115-(10/(逐级计算!$Q$115*LN(10))*(MAX((LN(10^(逐级计算!$Q$115/10)-1)+逐级计算!$Q$115*(DK86-逐级计算!$P$115)*LN(10)/10),0)+LN(1+EXP(-ABS((LN(10^(逐级计算!$Q$115/10)-1)+逐级计算!$Q$115*(DK86-逐级计算!$P$115)*LN(10)/10))))))),"")</f>
        <v>13.7930365742089</v>
      </c>
      <c r="DM86">
        <f>IF(AND(ISNUMBER(DL86),逐级计算!$X$116&gt;-1),IF(逐级计算!$X$116=0,DL86+逐级计算!$C$116,DL86+逐级计算!$C$116-(10/(逐级计算!$Q$116*LN(10))*(MAX((LN(10^(逐级计算!$Q$116/10)-1)+逐级计算!$Q$116*(DL86-逐级计算!$P$116)*LN(10)/10),0)+LN(1+EXP(-ABS((LN(10^(逐级计算!$Q$116/10)-1)+逐级计算!$Q$116*(DL86-逐级计算!$P$116)*LN(10)/10))))))),"")</f>
        <v>13.7930365742089</v>
      </c>
      <c r="DN86">
        <f>IF(AND(ISNUMBER(DM86),逐级计算!$X$117&gt;-1),IF(逐级计算!$X$117=0,DM86+逐级计算!$C$117,DM86+逐级计算!$C$117-(10/(逐级计算!$Q$117*LN(10))*(MAX((LN(10^(逐级计算!$Q$117/10)-1)+逐级计算!$Q$117*(DM86-逐级计算!$P$117)*LN(10)/10),0)+LN(1+EXP(-ABS((LN(10^(逐级计算!$Q$117/10)-1)+逐级计算!$Q$117*(DM86-逐级计算!$P$117)*LN(10)/10))))))),"")</f>
        <v>13.7930365742089</v>
      </c>
      <c r="DO86">
        <f>IF(AND(ISNUMBER(DN86),逐级计算!$X$118&gt;-1),IF(逐级计算!$X$118=0,DN86+逐级计算!$C$118,DN86+逐级计算!$C$118-(10/(逐级计算!$Q$118*LN(10))*(MAX((LN(10^(逐级计算!$Q$118/10)-1)+逐级计算!$Q$118*(DN86-逐级计算!$P$118)*LN(10)/10),0)+LN(1+EXP(-ABS((LN(10^(逐级计算!$Q$118/10)-1)+逐级计算!$Q$118*(DN86-逐级计算!$P$118)*LN(10)/10))))))),"")</f>
        <v>13.7930365742089</v>
      </c>
      <c r="DP86">
        <f>IF(AND(ISNUMBER(DO86),逐级计算!$X$119&gt;-1),IF(逐级计算!$X$119=0,DO86+逐级计算!$C$119,DO86+逐级计算!$C$119-(10/(逐级计算!$Q$119*LN(10))*(MAX((LN(10^(逐级计算!$Q$119/10)-1)+逐级计算!$Q$119*(DO86-逐级计算!$P$119)*LN(10)/10),0)+LN(1+EXP(-ABS((LN(10^(逐级计算!$Q$119/10)-1)+逐级计算!$Q$119*(DO86-逐级计算!$P$119)*LN(10)/10))))))),"")</f>
        <v>13.7930365742089</v>
      </c>
      <c r="DQ86">
        <f>IF(AND(ISNUMBER(DP86),逐级计算!$X$120&gt;-1),IF(逐级计算!$X$120=0,DP86+逐级计算!$C$120,DP86+逐级计算!$C$120-(10/(逐级计算!$Q$120*LN(10))*(MAX((LN(10^(逐级计算!$Q$120/10)-1)+逐级计算!$Q$120*(DP86-逐级计算!$P$120)*LN(10)/10),0)+LN(1+EXP(-ABS((LN(10^(逐级计算!$Q$120/10)-1)+逐级计算!$Q$120*(DP86-逐级计算!$P$120)*LN(10)/10))))))),"")</f>
        <v>13.7930365742089</v>
      </c>
      <c r="DR86">
        <f>IF(AND(ISNUMBER(DQ86),逐级计算!$X$121&gt;-1),IF(逐级计算!$X$121=0,DQ86+逐级计算!$C$121,DQ86+逐级计算!$C$121-(10/(逐级计算!$Q$121*LN(10))*(MAX((LN(10^(逐级计算!$Q$121/10)-1)+逐级计算!$Q$121*(DQ86-逐级计算!$P$121)*LN(10)/10),0)+LN(1+EXP(-ABS((LN(10^(逐级计算!$Q$121/10)-1)+逐级计算!$Q$121*(DQ86-逐级计算!$P$121)*LN(10)/10))))))),"")</f>
        <v>13.7930365742089</v>
      </c>
      <c r="DS86">
        <f>IF(AND(ISNUMBER(DR86),逐级计算!$X$122&gt;-1),IF(逐级计算!$X$122=0,DR86+逐级计算!$C$122,DR86+逐级计算!$C$122-(10/(逐级计算!$Q$122*LN(10))*(MAX((LN(10^(逐级计算!$Q$122/10)-1)+逐级计算!$Q$122*(DR86-逐级计算!$P$122)*LN(10)/10),0)+LN(1+EXP(-ABS((LN(10^(逐级计算!$Q$122/10)-1)+逐级计算!$Q$122*(DR86-逐级计算!$P$122)*LN(10)/10))))))),"")</f>
        <v>13.7930365742089</v>
      </c>
      <c r="DT86">
        <f>IF(AND(ISNUMBER(DS86),逐级计算!$X$123&gt;-1),IF(逐级计算!$X$123=0,DS86+逐级计算!$C$123,DS86+逐级计算!$C$123-(10/(逐级计算!$Q$123*LN(10))*(MAX((LN(10^(逐级计算!$Q$123/10)-1)+逐级计算!$Q$123*(DS86-逐级计算!$P$123)*LN(10)/10),0)+LN(1+EXP(-ABS((LN(10^(逐级计算!$Q$123/10)-1)+逐级计算!$Q$123*(DS86-逐级计算!$P$123)*LN(10)/10))))))),"")</f>
        <v>13.7930365742089</v>
      </c>
      <c r="DU86">
        <f>IF(AND(ISNUMBER(DT86),逐级计算!$X$124&gt;-1),IF(逐级计算!$X$124=0,DT86+逐级计算!$C$124,DT86+逐级计算!$C$124-(10/(逐级计算!$Q$124*LN(10))*(MAX((LN(10^(逐级计算!$Q$124/10)-1)+逐级计算!$Q$124*(DT86-逐级计算!$P$124)*LN(10)/10),0)+LN(1+EXP(-ABS((LN(10^(逐级计算!$Q$124/10)-1)+逐级计算!$Q$124*(DT86-逐级计算!$P$124)*LN(10)/10))))))),"")</f>
        <v>13.7930365742089</v>
      </c>
      <c r="DV86">
        <f>IF(AND(ISNUMBER(DU86),逐级计算!$X$125&gt;-1),IF(逐级计算!$X$125=0,DU86+逐级计算!$C$125,DU86+逐级计算!$C$125-(10/(逐级计算!$Q$125*LN(10))*(MAX((LN(10^(逐级计算!$Q$125/10)-1)+逐级计算!$Q$125*(DU86-逐级计算!$P$125)*LN(10)/10),0)+LN(1+EXP(-ABS((LN(10^(逐级计算!$Q$125/10)-1)+逐级计算!$Q$125*(DU86-逐级计算!$P$125)*LN(10)/10))))))),"")</f>
        <v>13.7930365742089</v>
      </c>
      <c r="DW86">
        <f>IF(AND(ISNUMBER(DV86),逐级计算!$X$126&gt;-1),IF(逐级计算!$X$126=0,DV86+逐级计算!$C$126,DV86+逐级计算!$C$126-(10/(逐级计算!$Q$126*LN(10))*(MAX((LN(10^(逐级计算!$Q$126/10)-1)+逐级计算!$Q$126*(DV86-逐级计算!$P$126)*LN(10)/10),0)+LN(1+EXP(-ABS((LN(10^(逐级计算!$Q$126/10)-1)+逐级计算!$Q$126*(DV86-逐级计算!$P$126)*LN(10)/10))))))),"")</f>
        <v>13.7930365742089</v>
      </c>
      <c r="DX86">
        <f>IF(AND(ISNUMBER(DW86),逐级计算!$X$127&gt;-1),IF(逐级计算!$X$127=0,DW86+逐级计算!$C$127,DW86+逐级计算!$C$127-(10/(逐级计算!$Q$127*LN(10))*(MAX((LN(10^(逐级计算!$Q$127/10)-1)+逐级计算!$Q$127*(DW86-逐级计算!$P$127)*LN(10)/10),0)+LN(1+EXP(-ABS((LN(10^(逐级计算!$Q$127/10)-1)+逐级计算!$Q$127*(DW86-逐级计算!$P$127)*LN(10)/10))))))),"")</f>
        <v>13.7930365742089</v>
      </c>
      <c r="DY86">
        <f>IF(AND(ISNUMBER(DX86),逐级计算!$X$128&gt;-1),IF(逐级计算!$X$128=0,DX86+逐级计算!$C$128,DX86+逐级计算!$C$128-(10/(逐级计算!$Q$128*LN(10))*(MAX((LN(10^(逐级计算!$Q$128/10)-1)+逐级计算!$Q$128*(DX86-逐级计算!$P$128)*LN(10)/10),0)+LN(1+EXP(-ABS((LN(10^(逐级计算!$Q$128/10)-1)+逐级计算!$Q$128*(DX86-逐级计算!$P$128)*LN(10)/10))))))),"")</f>
        <v>13.7930365742089</v>
      </c>
      <c r="DZ86">
        <f>IF(AND(ISNUMBER(DY86),逐级计算!$X$129&gt;-1),IF(逐级计算!$X$129=0,DY86+逐级计算!$C$129,DY86+逐级计算!$C$129-(10/(逐级计算!$Q$129*LN(10))*(MAX((LN(10^(逐级计算!$Q$129/10)-1)+逐级计算!$Q$129*(DY86-逐级计算!$P$129)*LN(10)/10),0)+LN(1+EXP(-ABS((LN(10^(逐级计算!$Q$129/10)-1)+逐级计算!$Q$129*(DY86-逐级计算!$P$129)*LN(10)/10))))))),"")</f>
        <v>13.7930365742089</v>
      </c>
      <c r="EA86">
        <f>IF(AND(ISNUMBER(DZ86),逐级计算!$X$130&gt;-1),IF(逐级计算!$X$130=0,DZ86+逐级计算!$C$130,DZ86+逐级计算!$C$130-(10/(逐级计算!$Q$130*LN(10))*(MAX((LN(10^(逐级计算!$Q$130/10)-1)+逐级计算!$Q$130*(DZ86-逐级计算!$P$130)*LN(10)/10),0)+LN(1+EXP(-ABS((LN(10^(逐级计算!$Q$130/10)-1)+逐级计算!$Q$130*(DZ86-逐级计算!$P$130)*LN(10)/10))))))),"")</f>
        <v>13.7930365742089</v>
      </c>
      <c r="EB86">
        <f>IF(AND(ISNUMBER(EA86),逐级计算!$X$131&gt;-1),IF(逐级计算!$X$131=0,EA86+逐级计算!$C$131,EA86+逐级计算!$C$131-(10/(逐级计算!$Q$131*LN(10))*(MAX((LN(10^(逐级计算!$Q$131/10)-1)+逐级计算!$Q$131*(EA86-逐级计算!$P$131)*LN(10)/10),0)+LN(1+EXP(-ABS((LN(10^(逐级计算!$Q$131/10)-1)+逐级计算!$Q$131*(EA86-逐级计算!$P$131)*LN(10)/10))))))),"")</f>
        <v>13.7930365742089</v>
      </c>
      <c r="EC86">
        <f>IF(AND(ISNUMBER(EB86),逐级计算!$X$132&gt;-1),IF(逐级计算!$X$132=0,EB86+逐级计算!$C$132,EB86+逐级计算!$C$132-(10/(逐级计算!$Q$132*LN(10))*(MAX((LN(10^(逐级计算!$Q$132/10)-1)+逐级计算!$Q$132*(EB86-逐级计算!$P$132)*LN(10)/10),0)+LN(1+EXP(-ABS((LN(10^(逐级计算!$Q$132/10)-1)+逐级计算!$Q$132*(EB86-逐级计算!$P$132)*LN(10)/10))))))),"")</f>
        <v>13.7930365742089</v>
      </c>
      <c r="ED86">
        <f>IF(AND(ISNUMBER(EC86),逐级计算!$X$133&gt;-1),IF(逐级计算!$X$133=0,EC86+逐级计算!$C$133,EC86+逐级计算!$C$133-(10/(逐级计算!$Q$133*LN(10))*(MAX((LN(10^(逐级计算!$Q$133/10)-1)+逐级计算!$Q$133*(EC86-逐级计算!$P$133)*LN(10)/10),0)+LN(1+EXP(-ABS((LN(10^(逐级计算!$Q$133/10)-1)+逐级计算!$Q$133*(EC86-逐级计算!$P$133)*LN(10)/10))))))),"")</f>
        <v>13.7930365742089</v>
      </c>
      <c r="EE86">
        <f>IF(AND(ISNUMBER(ED86),逐级计算!$X$134&gt;-1),IF(逐级计算!$X$134=0,ED86+逐级计算!$C$134,ED86+逐级计算!$C$134-(10/(逐级计算!$Q$134*LN(10))*(MAX((LN(10^(逐级计算!$Q$134/10)-1)+逐级计算!$Q$134*(ED86-逐级计算!$P$134)*LN(10)/10),0)+LN(1+EXP(-ABS((LN(10^(逐级计算!$Q$134/10)-1)+逐级计算!$Q$134*(ED86-逐级计算!$P$134)*LN(10)/10))))))),"")</f>
        <v>13.7930365742089</v>
      </c>
      <c r="EF86">
        <f>IF(AND(ISNUMBER(EE86),逐级计算!$X$135&gt;-1),IF(逐级计算!$X$135=0,EE86+逐级计算!$C$135,EE86+逐级计算!$C$135-(10/(逐级计算!$Q$135*LN(10))*(MAX((LN(10^(逐级计算!$Q$135/10)-1)+逐级计算!$Q$135*(EE86-逐级计算!$P$135)*LN(10)/10),0)+LN(1+EXP(-ABS((LN(10^(逐级计算!$Q$135/10)-1)+逐级计算!$Q$135*(EE86-逐级计算!$P$135)*LN(10)/10))))))),"")</f>
        <v>13.7930365742089</v>
      </c>
      <c r="EG86">
        <f>IF(AND(ISNUMBER(EF86),逐级计算!$X$136&gt;-1),IF(逐级计算!$X$136=0,EF86+逐级计算!$C$136,EF86+逐级计算!$C$136-(10/(逐级计算!$Q$136*LN(10))*(MAX((LN(10^(逐级计算!$Q$136/10)-1)+逐级计算!$Q$136*(EF86-逐级计算!$P$136)*LN(10)/10),0)+LN(1+EXP(-ABS((LN(10^(逐级计算!$Q$136/10)-1)+逐级计算!$Q$136*(EF86-逐级计算!$P$136)*LN(10)/10))))))),"")</f>
        <v>13.7930365742089</v>
      </c>
      <c r="EH86">
        <f>IF(AND(ISNUMBER(EG86),逐级计算!$X$137&gt;-1),IF(逐级计算!$X$137=0,EG86+逐级计算!$C$137,EG86+逐级计算!$C$137-(10/(逐级计算!$Q$137*LN(10))*(MAX((LN(10^(逐级计算!$Q$137/10)-1)+逐级计算!$Q$137*(EG86-逐级计算!$P$137)*LN(10)/10),0)+LN(1+EXP(-ABS((LN(10^(逐级计算!$Q$137/10)-1)+逐级计算!$Q$137*(EG86-逐级计算!$P$137)*LN(10)/10))))))),"")</f>
        <v>13.7930365742089</v>
      </c>
      <c r="EI86">
        <f>IF(AND(ISNUMBER(EH86),逐级计算!$X$138&gt;-1),IF(逐级计算!$X$138=0,EH86+逐级计算!$C$138,EH86+逐级计算!$C$138-(10/(逐级计算!$Q$138*LN(10))*(MAX((LN(10^(逐级计算!$Q$138/10)-1)+逐级计算!$Q$138*(EH86-逐级计算!$P$138)*LN(10)/10),0)+LN(1+EXP(-ABS((LN(10^(逐级计算!$Q$138/10)-1)+逐级计算!$Q$138*(EH86-逐级计算!$P$138)*LN(10)/10))))))),"")</f>
        <v>13.7930365742089</v>
      </c>
      <c r="EJ86">
        <f>IF(AND(ISNUMBER(EI86),逐级计算!$X$139&gt;-1),IF(逐级计算!$X$139=0,EI86+逐级计算!$C$139,EI86+逐级计算!$C$139-(10/(逐级计算!$Q$139*LN(10))*(MAX((LN(10^(逐级计算!$Q$139/10)-1)+逐级计算!$Q$139*(EI86-逐级计算!$P$139)*LN(10)/10),0)+LN(1+EXP(-ABS((LN(10^(逐级计算!$Q$139/10)-1)+逐级计算!$Q$139*(EI86-逐级计算!$P$139)*LN(10)/10))))))),"")</f>
        <v>13.7930365742089</v>
      </c>
      <c r="EK86">
        <f>IF(AND(ISNUMBER(EJ86),逐级计算!$X$140&gt;-1),IF(逐级计算!$X$140=0,EJ86+逐级计算!$C$140,EJ86+逐级计算!$C$140-(10/(逐级计算!$Q$140*LN(10))*(MAX((LN(10^(逐级计算!$Q$140/10)-1)+逐级计算!$Q$140*(EJ86-逐级计算!$P$140)*LN(10)/10),0)+LN(1+EXP(-ABS((LN(10^(逐级计算!$Q$140/10)-1)+逐级计算!$Q$140*(EJ86-逐级计算!$P$140)*LN(10)/10))))))),"")</f>
        <v>13.7930365742089</v>
      </c>
      <c r="EL86">
        <f>IF(AND(ISNUMBER(EK86),逐级计算!$X$141&gt;-1),IF(逐级计算!$X$141=0,EK86+逐级计算!$C$141,EK86+逐级计算!$C$141-(10/(逐级计算!$Q$141*LN(10))*(MAX((LN(10^(逐级计算!$Q$141/10)-1)+逐级计算!$Q$141*(EK86-逐级计算!$P$141)*LN(10)/10),0)+LN(1+EXP(-ABS((LN(10^(逐级计算!$Q$141/10)-1)+逐级计算!$Q$141*(EK86-逐级计算!$P$141)*LN(10)/10))))))),"")</f>
        <v>13.7930365742089</v>
      </c>
      <c r="EM86">
        <f>IF(AND(ISNUMBER(EL86),逐级计算!$X$142&gt;-1),IF(逐级计算!$X$142=0,EL86+逐级计算!$C$142,EL86+逐级计算!$C$142-(10/(逐级计算!$Q$142*LN(10))*(MAX((LN(10^(逐级计算!$Q$142/10)-1)+逐级计算!$Q$142*(EL86-逐级计算!$P$142)*LN(10)/10),0)+LN(1+EXP(-ABS((LN(10^(逐级计算!$Q$142/10)-1)+逐级计算!$Q$142*(EL86-逐级计算!$P$142)*LN(10)/10))))))),"")</f>
        <v>13.7930365742089</v>
      </c>
      <c r="EN86">
        <f>IF(AND(ISNUMBER(EM86),逐级计算!$X$143&gt;-1),IF(逐级计算!$X$143=0,EM86+逐级计算!$C$143,EM86+逐级计算!$C$143-(10/(逐级计算!$Q$143*LN(10))*(MAX((LN(10^(逐级计算!$Q$143/10)-1)+逐级计算!$Q$143*(EM86-逐级计算!$P$143)*LN(10)/10),0)+LN(1+EXP(-ABS((LN(10^(逐级计算!$Q$143/10)-1)+逐级计算!$Q$143*(EM86-逐级计算!$P$143)*LN(10)/10))))))),"")</f>
        <v>13.7930365742089</v>
      </c>
      <c r="EO86">
        <f>IF(AND(ISNUMBER(EN86),逐级计算!$X$144&gt;-1),IF(逐级计算!$X$144=0,EN86+逐级计算!$C$144,EN86+逐级计算!$C$144-(10/(逐级计算!$Q$144*LN(10))*(MAX((LN(10^(逐级计算!$Q$144/10)-1)+逐级计算!$Q$144*(EN86-逐级计算!$P$144)*LN(10)/10),0)+LN(1+EXP(-ABS((LN(10^(逐级计算!$Q$144/10)-1)+逐级计算!$Q$144*(EN86-逐级计算!$P$144)*LN(10)/10))))))),"")</f>
        <v>13.7930365742089</v>
      </c>
      <c r="EP86">
        <f>IF(AND(ISNUMBER(EO86),逐级计算!$X$145&gt;-1),IF(逐级计算!$X$145=0,EO86+逐级计算!$C$145,EO86+逐级计算!$C$145-(10/(逐级计算!$Q$145*LN(10))*(MAX((LN(10^(逐级计算!$Q$145/10)-1)+逐级计算!$Q$145*(EO86-逐级计算!$P$145)*LN(10)/10),0)+LN(1+EXP(-ABS((LN(10^(逐级计算!$Q$145/10)-1)+逐级计算!$Q$145*(EO86-逐级计算!$P$145)*LN(10)/10))))))),"")</f>
        <v>13.7930365742089</v>
      </c>
      <c r="EQ86">
        <f>IF(AND(ISNUMBER(EP86),逐级计算!$X$146&gt;-1),IF(逐级计算!$X$146=0,EP86+逐级计算!$C$146,EP86+逐级计算!$C$146-(10/(逐级计算!$Q$146*LN(10))*(MAX((LN(10^(逐级计算!$Q$146/10)-1)+逐级计算!$Q$146*(EP86-逐级计算!$P$146)*LN(10)/10),0)+LN(1+EXP(-ABS((LN(10^(逐级计算!$Q$146/10)-1)+逐级计算!$Q$146*(EP86-逐级计算!$P$146)*LN(10)/10))))))),"")</f>
        <v>13.7930365742089</v>
      </c>
      <c r="ER86">
        <f>IF(AND(ISNUMBER(EQ86),逐级计算!$X$147&gt;-1),IF(逐级计算!$X$147=0,EQ86+逐级计算!$C$147,EQ86+逐级计算!$C$147-(10/(逐级计算!$Q$147*LN(10))*(MAX((LN(10^(逐级计算!$Q$147/10)-1)+逐级计算!$Q$147*(EQ86-逐级计算!$P$147)*LN(10)/10),0)+LN(1+EXP(-ABS((LN(10^(逐级计算!$Q$147/10)-1)+逐级计算!$Q$147*(EQ86-逐级计算!$P$147)*LN(10)/10))))))),"")</f>
        <v>13.7930365742089</v>
      </c>
      <c r="ES86">
        <f>IF(AND(ISNUMBER(ER86),逐级计算!$X$148&gt;-1),IF(逐级计算!$X$148=0,ER86+逐级计算!$C$148,ER86+逐级计算!$C$148-(10/(逐级计算!$Q$148*LN(10))*(MAX((LN(10^(逐级计算!$Q$148/10)-1)+逐级计算!$Q$148*(ER86-逐级计算!$P$148)*LN(10)/10),0)+LN(1+EXP(-ABS((LN(10^(逐级计算!$Q$148/10)-1)+逐级计算!$Q$148*(ER86-逐级计算!$P$148)*LN(10)/10))))))),"")</f>
        <v>13.7930365742089</v>
      </c>
      <c r="ET86">
        <f>IF(AND(ISNUMBER(ES86),逐级计算!$X$149&gt;-1),IF(逐级计算!$X$149=0,ES86+逐级计算!$C$149,ES86+逐级计算!$C$149-(10/(逐级计算!$Q$149*LN(10))*(MAX((LN(10^(逐级计算!$Q$149/10)-1)+逐级计算!$Q$149*(ES86-逐级计算!$P$149)*LN(10)/10),0)+LN(1+EXP(-ABS((LN(10^(逐级计算!$Q$149/10)-1)+逐级计算!$Q$149*(ES86-逐级计算!$P$149)*LN(10)/10))))))),"")</f>
        <v>13.7930365742089</v>
      </c>
      <c r="EU86">
        <f>IF(AND(ISNUMBER(ET86),逐级计算!$X$150&gt;-1),IF(逐级计算!$X$150=0,ET86+逐级计算!$C$150,ET86+逐级计算!$C$150-(10/(逐级计算!$Q$150*LN(10))*(MAX((LN(10^(逐级计算!$Q$150/10)-1)+逐级计算!$Q$150*(ET86-逐级计算!$P$150)*LN(10)/10),0)+LN(1+EXP(-ABS((LN(10^(逐级计算!$Q$150/10)-1)+逐级计算!$Q$150*(ET86-逐级计算!$P$150)*LN(10)/10))))))),"")</f>
        <v>13.7930365742089</v>
      </c>
      <c r="EV86">
        <f>IF(AND(ISNUMBER(EU86),逐级计算!$X$151&gt;-1),IF(逐级计算!$X$151=0,EU86+逐级计算!$C$151,EU86+逐级计算!$C$151-(10/(逐级计算!$Q$151*LN(10))*(MAX((LN(10^(逐级计算!$Q$151/10)-1)+逐级计算!$Q$151*(EU86-逐级计算!$P$151)*LN(10)/10),0)+LN(1+EXP(-ABS((LN(10^(逐级计算!$Q$151/10)-1)+逐级计算!$Q$151*(EU86-逐级计算!$P$151)*LN(10)/10))))))),"")</f>
        <v>13.7930365742089</v>
      </c>
      <c r="EW86">
        <f>IF(AND(ISNUMBER(EV86),逐级计算!$X$152&gt;-1),IF(逐级计算!$X$152=0,EV86+逐级计算!$C$152,EV86+逐级计算!$C$152-(10/(逐级计算!$Q$152*LN(10))*(MAX((LN(10^(逐级计算!$Q$152/10)-1)+逐级计算!$Q$152*(EV86-逐级计算!$P$152)*LN(10)/10),0)+LN(1+EXP(-ABS((LN(10^(逐级计算!$Q$152/10)-1)+逐级计算!$Q$152*(EV86-逐级计算!$P$152)*LN(10)/10))))))),"")</f>
        <v>13.7930365742089</v>
      </c>
      <c r="EX86">
        <f>IF(AND(ISNUMBER(EW86),逐级计算!$X$153&gt;-1),IF(逐级计算!$X$153=0,EW86+逐级计算!$C$153,EW86+逐级计算!$C$153-(10/(逐级计算!$Q$153*LN(10))*(MAX((LN(10^(逐级计算!$Q$153/10)-1)+逐级计算!$Q$153*(EW86-逐级计算!$P$153)*LN(10)/10),0)+LN(1+EXP(-ABS((LN(10^(逐级计算!$Q$153/10)-1)+逐级计算!$Q$153*(EW86-逐级计算!$P$153)*LN(10)/10))))))),"")</f>
        <v>13.7930365742089</v>
      </c>
      <c r="EY86">
        <f>IF(AND(ISNUMBER(EX86),逐级计算!$X$154&gt;-1),IF(逐级计算!$X$154=0,EX86+逐级计算!$C$154,EX86+逐级计算!$C$154-(10/(逐级计算!$Q$154*LN(10))*(MAX((LN(10^(逐级计算!$Q$154/10)-1)+逐级计算!$Q$154*(EX86-逐级计算!$P$154)*LN(10)/10),0)+LN(1+EXP(-ABS((LN(10^(逐级计算!$Q$154/10)-1)+逐级计算!$Q$154*(EX86-逐级计算!$P$154)*LN(10)/10))))))),"")</f>
        <v>13.7930365742089</v>
      </c>
      <c r="EZ86">
        <f>IF(AND(ISNUMBER(EY86),逐级计算!$X$155&gt;-1),IF(逐级计算!$X$155=0,EY86+逐级计算!$C$155,EY86+逐级计算!$C$155-(10/(逐级计算!$Q$155*LN(10))*(MAX((LN(10^(逐级计算!$Q$155/10)-1)+逐级计算!$Q$155*(EY86-逐级计算!$P$155)*LN(10)/10),0)+LN(1+EXP(-ABS((LN(10^(逐级计算!$Q$155/10)-1)+逐级计算!$Q$155*(EY86-逐级计算!$P$155)*LN(10)/10))))))),"")</f>
        <v>13.7930365742089</v>
      </c>
      <c r="FA86">
        <f>IF(AND(ISNUMBER(EZ86),逐级计算!$X$156&gt;-1),IF(逐级计算!$X$156=0,EZ86+逐级计算!$C$156,EZ86+逐级计算!$C$156-(10/(逐级计算!$Q$156*LN(10))*(MAX((LN(10^(逐级计算!$Q$156/10)-1)+逐级计算!$Q$156*(EZ86-逐级计算!$P$156)*LN(10)/10),0)+LN(1+EXP(-ABS((LN(10^(逐级计算!$Q$156/10)-1)+逐级计算!$Q$156*(EZ86-逐级计算!$P$156)*LN(10)/10))))))),"")</f>
        <v>13.7930365742089</v>
      </c>
      <c r="FB86">
        <f>IF(AND(ISNUMBER(FA86),逐级计算!$X$157&gt;-1),IF(逐级计算!$X$157=0,FA86+逐级计算!$C$157,FA86+逐级计算!$C$157-(10/(逐级计算!$Q$157*LN(10))*(MAX((LN(10^(逐级计算!$Q$157/10)-1)+逐级计算!$Q$157*(FA86-逐级计算!$P$157)*LN(10)/10),0)+LN(1+EXP(-ABS((LN(10^(逐级计算!$Q$157/10)-1)+逐级计算!$Q$157*(FA86-逐级计算!$P$157)*LN(10)/10))))))),"")</f>
        <v>13.7930365742089</v>
      </c>
      <c r="FC86">
        <f>IF(AND(ISNUMBER(FB86),逐级计算!$X$158&gt;-1),IF(逐级计算!$X$158=0,FB86+逐级计算!$C$158,FB86+逐级计算!$C$158-(10/(逐级计算!$Q$158*LN(10))*(MAX((LN(10^(逐级计算!$Q$158/10)-1)+逐级计算!$Q$158*(FB86-逐级计算!$P$158)*LN(10)/10),0)+LN(1+EXP(-ABS((LN(10^(逐级计算!$Q$158/10)-1)+逐级计算!$Q$158*(FB86-逐级计算!$P$158)*LN(10)/10))))))),"")</f>
        <v>13.7930365742089</v>
      </c>
      <c r="FD86">
        <f>IF(AND(ISNUMBER(FC86),逐级计算!$X$159&gt;-1),IF(逐级计算!$X$159=0,FC86+逐级计算!$C$159,FC86+逐级计算!$C$159-(10/(逐级计算!$Q$159*LN(10))*(MAX((LN(10^(逐级计算!$Q$159/10)-1)+逐级计算!$Q$159*(FC86-逐级计算!$P$159)*LN(10)/10),0)+LN(1+EXP(-ABS((LN(10^(逐级计算!$Q$159/10)-1)+逐级计算!$Q$159*(FC86-逐级计算!$P$159)*LN(10)/10))))))),"")</f>
        <v>13.7930365742089</v>
      </c>
      <c r="FE86">
        <f>IF(AND(ISNUMBER(FD86),逐级计算!$X$160&gt;-1),IF(逐级计算!$X$160=0,FD86+逐级计算!$C$160,FD86+逐级计算!$C$160-(10/(逐级计算!$Q$160*LN(10))*(MAX((LN(10^(逐级计算!$Q$160/10)-1)+逐级计算!$Q$160*(FD86-逐级计算!$P$160)*LN(10)/10),0)+LN(1+EXP(-ABS((LN(10^(逐级计算!$Q$160/10)-1)+逐级计算!$Q$160*(FD86-逐级计算!$P$160)*LN(10)/10))))))),"")</f>
        <v>13.7930365742089</v>
      </c>
      <c r="FF86">
        <f>IF(AND(ISNUMBER(FE86),逐级计算!$X$161&gt;-1),IF(逐级计算!$X$161=0,FE86+逐级计算!$C$161,FE86+逐级计算!$C$161-(10/(逐级计算!$Q$161*LN(10))*(MAX((LN(10^(逐级计算!$Q$161/10)-1)+逐级计算!$Q$161*(FE86-逐级计算!$P$161)*LN(10)/10),0)+LN(1+EXP(-ABS((LN(10^(逐级计算!$Q$161/10)-1)+逐级计算!$Q$161*(FE86-逐级计算!$P$161)*LN(10)/10))))))),"")</f>
        <v>13.7930365742089</v>
      </c>
      <c r="FG86">
        <f>IF(AND(ISNUMBER(FF86),逐级计算!$X$162&gt;-1),IF(逐级计算!$X$162=0,FF86+逐级计算!$C$162,FF86+逐级计算!$C$162-(10/(逐级计算!$Q$162*LN(10))*(MAX((LN(10^(逐级计算!$Q$162/10)-1)+逐级计算!$Q$162*(FF86-逐级计算!$P$162)*LN(10)/10),0)+LN(1+EXP(-ABS((LN(10^(逐级计算!$Q$162/10)-1)+逐级计算!$Q$162*(FF86-逐级计算!$P$162)*LN(10)/10))))))),"")</f>
        <v>13.7930365742089</v>
      </c>
      <c r="FH86">
        <f>IF(AND(ISNUMBER(FG86),逐级计算!$X$163&gt;-1),IF(逐级计算!$X$163=0,FG86+逐级计算!$C$163,FG86+逐级计算!$C$163-(10/(逐级计算!$Q$163*LN(10))*(MAX((LN(10^(逐级计算!$Q$163/10)-1)+逐级计算!$Q$163*(FG86-逐级计算!$P$163)*LN(10)/10),0)+LN(1+EXP(-ABS((LN(10^(逐级计算!$Q$163/10)-1)+逐级计算!$Q$163*(FG86-逐级计算!$P$163)*LN(10)/10))))))),"")</f>
        <v>13.7930365742089</v>
      </c>
      <c r="FI86">
        <f>IF(AND(ISNUMBER(FH86),逐级计算!$X$164&gt;-1),IF(逐级计算!$X$164=0,FH86+逐级计算!$C$164,FH86+逐级计算!$C$164-(10/(逐级计算!$Q$164*LN(10))*(MAX((LN(10^(逐级计算!$Q$164/10)-1)+逐级计算!$Q$164*(FH86-逐级计算!$P$164)*LN(10)/10),0)+LN(1+EXP(-ABS((LN(10^(逐级计算!$Q$164/10)-1)+逐级计算!$Q$164*(FH86-逐级计算!$P$164)*LN(10)/10))))))),"")</f>
        <v>13.7930365742089</v>
      </c>
      <c r="FJ86">
        <f>IF(AND(ISNUMBER(FI86),逐级计算!$X$165&gt;-1),IF(逐级计算!$X$165=0,FI86+逐级计算!$C$165,FI86+逐级计算!$C$165-(10/(逐级计算!$Q$165*LN(10))*(MAX((LN(10^(逐级计算!$Q$165/10)-1)+逐级计算!$Q$165*(FI86-逐级计算!$P$165)*LN(10)/10),0)+LN(1+EXP(-ABS((LN(10^(逐级计算!$Q$165/10)-1)+逐级计算!$Q$165*(FI86-逐级计算!$P$165)*LN(10)/10))))))),"")</f>
        <v>13.7930365742089</v>
      </c>
      <c r="FK86">
        <f>IF(AND(ISNUMBER(FJ86),逐级计算!$X$166&gt;-1),IF(逐级计算!$X$166=0,FJ86+逐级计算!$C$166,FJ86+逐级计算!$C$166-(10/(逐级计算!$Q$166*LN(10))*(MAX((LN(10^(逐级计算!$Q$166/10)-1)+逐级计算!$Q$166*(FJ86-逐级计算!$P$166)*LN(10)/10),0)+LN(1+EXP(-ABS((LN(10^(逐级计算!$Q$166/10)-1)+逐级计算!$Q$166*(FJ86-逐级计算!$P$166)*LN(10)/10))))))),"")</f>
        <v>13.7930365742089</v>
      </c>
      <c r="FL86">
        <f>IF(AND(ISNUMBER(FK86),逐级计算!$X$167&gt;-1),IF(逐级计算!$X$167=0,FK86+逐级计算!$C$167,FK86+逐级计算!$C$167-(10/(逐级计算!$Q$167*LN(10))*(MAX((LN(10^(逐级计算!$Q$167/10)-1)+逐级计算!$Q$167*(FK86-逐级计算!$P$167)*LN(10)/10),0)+LN(1+EXP(-ABS((LN(10^(逐级计算!$Q$167/10)-1)+逐级计算!$Q$167*(FK86-逐级计算!$P$167)*LN(10)/10))))))),"")</f>
        <v>13.7930365742089</v>
      </c>
      <c r="FM86">
        <f>IF(AND(ISNUMBER(FL86),逐级计算!$X$168&gt;-1),IF(逐级计算!$X$168=0,FL86+逐级计算!$C$168,FL86+逐级计算!$C$168-(10/(逐级计算!$Q$168*LN(10))*(MAX((LN(10^(逐级计算!$Q$168/10)-1)+逐级计算!$Q$168*(FL86-逐级计算!$P$168)*LN(10)/10),0)+LN(1+EXP(-ABS((LN(10^(逐级计算!$Q$168/10)-1)+逐级计算!$Q$168*(FL86-逐级计算!$P$168)*LN(10)/10))))))),"")</f>
        <v>13.7930365742089</v>
      </c>
      <c r="FN86">
        <f>IF(AND(ISNUMBER(FM86),逐级计算!$X$169&gt;-1),IF(逐级计算!$X$169=0,FM86+逐级计算!$C$169,FM86+逐级计算!$C$169-(10/(逐级计算!$Q$169*LN(10))*(MAX((LN(10^(逐级计算!$Q$169/10)-1)+逐级计算!$Q$169*(FM86-逐级计算!$P$169)*LN(10)/10),0)+LN(1+EXP(-ABS((LN(10^(逐级计算!$Q$169/10)-1)+逐级计算!$Q$169*(FM86-逐级计算!$P$169)*LN(10)/10))))))),"")</f>
        <v>13.7930365742089</v>
      </c>
      <c r="FO86">
        <f>IF(AND(ISNUMBER(FN86),逐级计算!$X$170&gt;-1),IF(逐级计算!$X$170=0,FN86+逐级计算!$C$170,FN86+逐级计算!$C$170-(10/(逐级计算!$Q$170*LN(10))*(MAX((LN(10^(逐级计算!$Q$170/10)-1)+逐级计算!$Q$170*(FN86-逐级计算!$P$170)*LN(10)/10),0)+LN(1+EXP(-ABS((LN(10^(逐级计算!$Q$170/10)-1)+逐级计算!$Q$170*(FN86-逐级计算!$P$170)*LN(10)/10))))))),"")</f>
        <v>13.7930365742089</v>
      </c>
      <c r="FP86">
        <f>IF(AND(ISNUMBER(FO86),逐级计算!$X$171&gt;-1),IF(逐级计算!$X$171=0,FO86+逐级计算!$C$171,FO86+逐级计算!$C$171-(10/(逐级计算!$Q$171*LN(10))*(MAX((LN(10^(逐级计算!$Q$171/10)-1)+逐级计算!$Q$171*(FO86-逐级计算!$P$171)*LN(10)/10),0)+LN(1+EXP(-ABS((LN(10^(逐级计算!$Q$171/10)-1)+逐级计算!$Q$171*(FO86-逐级计算!$P$171)*LN(10)/10))))))),"")</f>
        <v>13.7930365742089</v>
      </c>
      <c r="FQ86">
        <f>IF(AND(ISNUMBER(FP86),逐级计算!$X$172&gt;-1),IF(逐级计算!$X$172=0,FP86+逐级计算!$C$172,FP86+逐级计算!$C$172-(10/(逐级计算!$Q$172*LN(10))*(MAX((LN(10^(逐级计算!$Q$172/10)-1)+逐级计算!$Q$172*(FP86-逐级计算!$P$172)*LN(10)/10),0)+LN(1+EXP(-ABS((LN(10^(逐级计算!$Q$172/10)-1)+逐级计算!$Q$172*(FP86-逐级计算!$P$172)*LN(10)/10))))))),"")</f>
        <v>13.7930365742089</v>
      </c>
      <c r="FR86">
        <f>IF(AND(ISNUMBER(FQ86),逐级计算!$X$173&gt;-1),IF(逐级计算!$X$173=0,FQ86+逐级计算!$C$173,FQ86+逐级计算!$C$173-(10/(逐级计算!$Q$173*LN(10))*(MAX((LN(10^(逐级计算!$Q$173/10)-1)+逐级计算!$Q$173*(FQ86-逐级计算!$P$173)*LN(10)/10),0)+LN(1+EXP(-ABS((LN(10^(逐级计算!$Q$173/10)-1)+逐级计算!$Q$173*(FQ86-逐级计算!$P$173)*LN(10)/10))))))),"")</f>
        <v>13.7930365742089</v>
      </c>
      <c r="FS86">
        <f>IF(AND(ISNUMBER(FR86),逐级计算!$X$174&gt;-1),IF(逐级计算!$X$174=0,FR86+逐级计算!$C$174,FR86+逐级计算!$C$174-(10/(逐级计算!$Q$174*LN(10))*(MAX((LN(10^(逐级计算!$Q$174/10)-1)+逐级计算!$Q$174*(FR86-逐级计算!$P$174)*LN(10)/10),0)+LN(1+EXP(-ABS((LN(10^(逐级计算!$Q$174/10)-1)+逐级计算!$Q$174*(FR86-逐级计算!$P$174)*LN(10)/10))))))),"")</f>
        <v>13.7930365742089</v>
      </c>
      <c r="FT86">
        <f>IF(AND(ISNUMBER(FS86),逐级计算!$X$175&gt;-1),IF(逐级计算!$X$175=0,FS86+逐级计算!$C$175,FS86+逐级计算!$C$175-(10/(逐级计算!$Q$175*LN(10))*(MAX((LN(10^(逐级计算!$Q$175/10)-1)+逐级计算!$Q$175*(FS86-逐级计算!$P$175)*LN(10)/10),0)+LN(1+EXP(-ABS((LN(10^(逐级计算!$Q$175/10)-1)+逐级计算!$Q$175*(FS86-逐级计算!$P$175)*LN(10)/10))))))),"")</f>
        <v>13.7930365742089</v>
      </c>
      <c r="FU86">
        <f>IF(AND(ISNUMBER(FT86),逐级计算!$X$176&gt;-1),IF(逐级计算!$X$176=0,FT86+逐级计算!$C$176,FT86+逐级计算!$C$176-(10/(逐级计算!$Q$176*LN(10))*(MAX((LN(10^(逐级计算!$Q$176/10)-1)+逐级计算!$Q$176*(FT86-逐级计算!$P$176)*LN(10)/10),0)+LN(1+EXP(-ABS((LN(10^(逐级计算!$Q$176/10)-1)+逐级计算!$Q$176*(FT86-逐级计算!$P$176)*LN(10)/10))))))),"")</f>
        <v>13.7930365742089</v>
      </c>
      <c r="FV86">
        <f>IF(AND(ISNUMBER(FU86),逐级计算!$X$177&gt;-1),IF(逐级计算!$X$177=0,FU86+逐级计算!$C$177,FU86+逐级计算!$C$177-(10/(逐级计算!$Q$177*LN(10))*(MAX((LN(10^(逐级计算!$Q$177/10)-1)+逐级计算!$Q$177*(FU86-逐级计算!$P$177)*LN(10)/10),0)+LN(1+EXP(-ABS((LN(10^(逐级计算!$Q$177/10)-1)+逐级计算!$Q$177*(FU86-逐级计算!$P$177)*LN(10)/10))))))),"")</f>
        <v>13.7930365742089</v>
      </c>
      <c r="FW86">
        <f>IF(AND(ISNUMBER(FV86),逐级计算!$X$178&gt;-1),IF(逐级计算!$X$178=0,FV86+逐级计算!$C$178,FV86+逐级计算!$C$178-(10/(逐级计算!$Q$178*LN(10))*(MAX((LN(10^(逐级计算!$Q$178/10)-1)+逐级计算!$Q$178*(FV86-逐级计算!$P$178)*LN(10)/10),0)+LN(1+EXP(-ABS((LN(10^(逐级计算!$Q$178/10)-1)+逐级计算!$Q$178*(FV86-逐级计算!$P$178)*LN(10)/10))))))),"")</f>
        <v>13.7930365742089</v>
      </c>
      <c r="FX86">
        <f>IF(AND(ISNUMBER(FW86),逐级计算!$X$179&gt;-1),IF(逐级计算!$X$179=0,FW86+逐级计算!$C$179,FW86+逐级计算!$C$179-(10/(逐级计算!$Q$179*LN(10))*(MAX((LN(10^(逐级计算!$Q$179/10)-1)+逐级计算!$Q$179*(FW86-逐级计算!$P$179)*LN(10)/10),0)+LN(1+EXP(-ABS((LN(10^(逐级计算!$Q$179/10)-1)+逐级计算!$Q$179*(FW86-逐级计算!$P$179)*LN(10)/10))))))),"")</f>
        <v>13.7930365742089</v>
      </c>
      <c r="FY86">
        <f>IF(AND(ISNUMBER(FX86),逐级计算!$X$180&gt;-1),IF(逐级计算!$X$180=0,FX86+逐级计算!$C$180,FX86+逐级计算!$C$180-(10/(逐级计算!$Q$180*LN(10))*(MAX((LN(10^(逐级计算!$Q$180/10)-1)+逐级计算!$Q$180*(FX86-逐级计算!$P$180)*LN(10)/10),0)+LN(1+EXP(-ABS((LN(10^(逐级计算!$Q$180/10)-1)+逐级计算!$Q$180*(FX86-逐级计算!$P$180)*LN(10)/10))))))),"")</f>
        <v>13.7930365742089</v>
      </c>
      <c r="FZ86">
        <f>IF(AND(ISNUMBER(FY86),逐级计算!$X$181&gt;-1),IF(逐级计算!$X$181=0,FY86+逐级计算!$C$181,FY86+逐级计算!$C$181-(10/(逐级计算!$Q$181*LN(10))*(MAX((LN(10^(逐级计算!$Q$181/10)-1)+逐级计算!$Q$181*(FY86-逐级计算!$P$181)*LN(10)/10),0)+LN(1+EXP(-ABS((LN(10^(逐级计算!$Q$181/10)-1)+逐级计算!$Q$181*(FY86-逐级计算!$P$181)*LN(10)/10))))))),"")</f>
        <v>13.7930365742089</v>
      </c>
      <c r="GA86">
        <f>IF(AND(ISNUMBER(FZ86),逐级计算!$X$182&gt;-1),IF(逐级计算!$X$182=0,FZ86+逐级计算!$C$182,FZ86+逐级计算!$C$182-(10/(逐级计算!$Q$182*LN(10))*(MAX((LN(10^(逐级计算!$Q$182/10)-1)+逐级计算!$Q$182*(FZ86-逐级计算!$P$182)*LN(10)/10),0)+LN(1+EXP(-ABS((LN(10^(逐级计算!$Q$182/10)-1)+逐级计算!$Q$182*(FZ86-逐级计算!$P$182)*LN(10)/10))))))),"")</f>
        <v>13.7930365742089</v>
      </c>
      <c r="GB86">
        <f>IF(AND(ISNUMBER(GA86),逐级计算!$X$183&gt;-1),IF(逐级计算!$X$183=0,GA86+逐级计算!$C$183,GA86+逐级计算!$C$183-(10/(逐级计算!$Q$183*LN(10))*(MAX((LN(10^(逐级计算!$Q$183/10)-1)+逐级计算!$Q$183*(GA86-逐级计算!$P$183)*LN(10)/10),0)+LN(1+EXP(-ABS((LN(10^(逐级计算!$Q$183/10)-1)+逐级计算!$Q$183*(GA86-逐级计算!$P$183)*LN(10)/10))))))),"")</f>
        <v>13.7930365742089</v>
      </c>
      <c r="GC86">
        <f>IF(AND(ISNUMBER(GB86),逐级计算!$X$184&gt;-1),IF(逐级计算!$X$184=0,GB86+逐级计算!$C$184,GB86+逐级计算!$C$184-(10/(逐级计算!$Q$184*LN(10))*(MAX((LN(10^(逐级计算!$Q$184/10)-1)+逐级计算!$Q$184*(GB86-逐级计算!$P$184)*LN(10)/10),0)+LN(1+EXP(-ABS((LN(10^(逐级计算!$Q$184/10)-1)+逐级计算!$Q$184*(GB86-逐级计算!$P$184)*LN(10)/10))))))),"")</f>
        <v>13.7930365742089</v>
      </c>
      <c r="GD86">
        <f>IF(AND(ISNUMBER(GC86),逐级计算!$X$185&gt;-1),IF(逐级计算!$X$185=0,GC86+逐级计算!$C$185,GC86+逐级计算!$C$185-(10/(逐级计算!$Q$185*LN(10))*(MAX((LN(10^(逐级计算!$Q$185/10)-1)+逐级计算!$Q$185*(GC86-逐级计算!$P$185)*LN(10)/10),0)+LN(1+EXP(-ABS((LN(10^(逐级计算!$Q$185/10)-1)+逐级计算!$Q$185*(GC86-逐级计算!$P$185)*LN(10)/10))))))),"")</f>
        <v>13.7930365742089</v>
      </c>
      <c r="GE86">
        <f>IF(AND(ISNUMBER(GD86),逐级计算!$X$186&gt;-1),IF(逐级计算!$X$186=0,GD86+逐级计算!$C$186,GD86+逐级计算!$C$186-(10/(逐级计算!$Q$186*LN(10))*(MAX((LN(10^(逐级计算!$Q$186/10)-1)+逐级计算!$Q$186*(GD86-逐级计算!$P$186)*LN(10)/10),0)+LN(1+EXP(-ABS((LN(10^(逐级计算!$Q$186/10)-1)+逐级计算!$Q$186*(GD86-逐级计算!$P$186)*LN(10)/10))))))),"")</f>
        <v>13.7930365742089</v>
      </c>
      <c r="GF86">
        <f>IF(AND(ISNUMBER(GE86),逐级计算!$X$187&gt;-1),IF(逐级计算!$X$187=0,GE86+逐级计算!$C$187,GE86+逐级计算!$C$187-(10/(逐级计算!$Q$187*LN(10))*(MAX((LN(10^(逐级计算!$Q$187/10)-1)+逐级计算!$Q$187*(GE86-逐级计算!$P$187)*LN(10)/10),0)+LN(1+EXP(-ABS((LN(10^(逐级计算!$Q$187/10)-1)+逐级计算!$Q$187*(GE86-逐级计算!$P$187)*LN(10)/10))))))),"")</f>
        <v>13.7930365742089</v>
      </c>
      <c r="GG86">
        <f>IF(AND(ISNUMBER(GF86),逐级计算!$X$188&gt;-1),IF(逐级计算!$X$188=0,GF86+逐级计算!$C$188,GF86+逐级计算!$C$188-(10/(逐级计算!$Q$188*LN(10))*(MAX((LN(10^(逐级计算!$Q$188/10)-1)+逐级计算!$Q$188*(GF86-逐级计算!$P$188)*LN(10)/10),0)+LN(1+EXP(-ABS((LN(10^(逐级计算!$Q$188/10)-1)+逐级计算!$Q$188*(GF86-逐级计算!$P$188)*LN(10)/10))))))),"")</f>
        <v>13.7930365742089</v>
      </c>
      <c r="GH86">
        <f>IF(AND(ISNUMBER(GG86),逐级计算!$X$189&gt;-1),IF(逐级计算!$X$189=0,GG86+逐级计算!$C$189,GG86+逐级计算!$C$189-(10/(逐级计算!$Q$189*LN(10))*(MAX((LN(10^(逐级计算!$Q$189/10)-1)+逐级计算!$Q$189*(GG86-逐级计算!$P$189)*LN(10)/10),0)+LN(1+EXP(-ABS((LN(10^(逐级计算!$Q$189/10)-1)+逐级计算!$Q$189*(GG86-逐级计算!$P$189)*LN(10)/10))))))),"")</f>
        <v>13.7930365742089</v>
      </c>
      <c r="GI86">
        <f>IF(AND(ISNUMBER(GH86),逐级计算!$X$190&gt;-1),IF(逐级计算!$X$190=0,GH86+逐级计算!$C$190,GH86+逐级计算!$C$190-(10/(逐级计算!$Q$190*LN(10))*(MAX((LN(10^(逐级计算!$Q$190/10)-1)+逐级计算!$Q$190*(GH86-逐级计算!$P$190)*LN(10)/10),0)+LN(1+EXP(-ABS((LN(10^(逐级计算!$Q$190/10)-1)+逐级计算!$Q$190*(GH86-逐级计算!$P$190)*LN(10)/10))))))),"")</f>
        <v>13.7930365742089</v>
      </c>
      <c r="GJ86">
        <f>IF(AND(ISNUMBER(GI86),逐级计算!$X$191&gt;-1),IF(逐级计算!$X$191=0,GI86+逐级计算!$C$191,GI86+逐级计算!$C$191-(10/(逐级计算!$Q$191*LN(10))*(MAX((LN(10^(逐级计算!$Q$191/10)-1)+逐级计算!$Q$191*(GI86-逐级计算!$P$191)*LN(10)/10),0)+LN(1+EXP(-ABS((LN(10^(逐级计算!$Q$191/10)-1)+逐级计算!$Q$191*(GI86-逐级计算!$P$191)*LN(10)/10))))))),"")</f>
        <v>13.7930365742089</v>
      </c>
      <c r="GK86">
        <f>IF(AND(ISNUMBER(GJ86),逐级计算!$X$192&gt;-1),IF(逐级计算!$X$192=0,GJ86+逐级计算!$C$192,GJ86+逐级计算!$C$192-(10/(逐级计算!$Q$192*LN(10))*(MAX((LN(10^(逐级计算!$Q$192/10)-1)+逐级计算!$Q$192*(GJ86-逐级计算!$P$192)*LN(10)/10),0)+LN(1+EXP(-ABS((LN(10^(逐级计算!$Q$192/10)-1)+逐级计算!$Q$192*(GJ86-逐级计算!$P$192)*LN(10)/10))))))),"")</f>
        <v>13.7930365742089</v>
      </c>
      <c r="GL86">
        <f>IF(AND(ISNUMBER(GK86),逐级计算!$X$193&gt;-1),IF(逐级计算!$X$193=0,GK86+逐级计算!$C$193,GK86+逐级计算!$C$193-(10/(逐级计算!$Q$193*LN(10))*(MAX((LN(10^(逐级计算!$Q$193/10)-1)+逐级计算!$Q$193*(GK86-逐级计算!$P$193)*LN(10)/10),0)+LN(1+EXP(-ABS((LN(10^(逐级计算!$Q$193/10)-1)+逐级计算!$Q$193*(GK86-逐级计算!$P$193)*LN(10)/10))))))),"")</f>
        <v>13.7930365742089</v>
      </c>
      <c r="GM86">
        <f>IF(AND(ISNUMBER(GL86),逐级计算!$X$194&gt;-1),IF(逐级计算!$X$194=0,GL86+逐级计算!$C$194,GL86+逐级计算!$C$194-(10/(逐级计算!$Q$194*LN(10))*(MAX((LN(10^(逐级计算!$Q$194/10)-1)+逐级计算!$Q$194*(GL86-逐级计算!$P$194)*LN(10)/10),0)+LN(1+EXP(-ABS((LN(10^(逐级计算!$Q$194/10)-1)+逐级计算!$Q$194*(GL86-逐级计算!$P$194)*LN(10)/10))))))),"")</f>
        <v>13.7930365742089</v>
      </c>
      <c r="GN86">
        <f>IF(AND(ISNUMBER(GM86),逐级计算!$X$195&gt;-1),IF(逐级计算!$X$195=0,GM86+逐级计算!$C$195,GM86+逐级计算!$C$195-(10/(逐级计算!$Q$195*LN(10))*(MAX((LN(10^(逐级计算!$Q$195/10)-1)+逐级计算!$Q$195*(GM86-逐级计算!$P$195)*LN(10)/10),0)+LN(1+EXP(-ABS((LN(10^(逐级计算!$Q$195/10)-1)+逐级计算!$Q$195*(GM86-逐级计算!$P$195)*LN(10)/10))))))),"")</f>
        <v>13.7930365742089</v>
      </c>
      <c r="GO86">
        <f>IF(AND(ISNUMBER(GN86),逐级计算!$X$196&gt;-1),IF(逐级计算!$X$196=0,GN86+逐级计算!$C$196,GN86+逐级计算!$C$196-(10/(逐级计算!$Q$196*LN(10))*(MAX((LN(10^(逐级计算!$Q$196/10)-1)+逐级计算!$Q$196*(GN86-逐级计算!$P$196)*LN(10)/10),0)+LN(1+EXP(-ABS((LN(10^(逐级计算!$Q$196/10)-1)+逐级计算!$Q$196*(GN86-逐级计算!$P$196)*LN(10)/10))))))),"")</f>
        <v>13.7930365742089</v>
      </c>
      <c r="GP86">
        <f>IF(AND(ISNUMBER(GO86),逐级计算!$X$197&gt;-1),IF(逐级计算!$X$197=0,GO86+逐级计算!$C$197,GO86+逐级计算!$C$197-(10/(逐级计算!$Q$197*LN(10))*(MAX((LN(10^(逐级计算!$Q$197/10)-1)+逐级计算!$Q$197*(GO86-逐级计算!$P$197)*LN(10)/10),0)+LN(1+EXP(-ABS((LN(10^(逐级计算!$Q$197/10)-1)+逐级计算!$Q$197*(GO86-逐级计算!$P$197)*LN(10)/10))))))),"")</f>
        <v>13.7930365742089</v>
      </c>
      <c r="GQ86">
        <f>IF(AND(ISNUMBER(GP86),逐级计算!$X$198&gt;-1),IF(逐级计算!$X$198=0,GP86+逐级计算!$C$198,GP86+逐级计算!$C$198-(10/(逐级计算!$Q$198*LN(10))*(MAX((LN(10^(逐级计算!$Q$198/10)-1)+逐级计算!$Q$198*(GP86-逐级计算!$P$198)*LN(10)/10),0)+LN(1+EXP(-ABS((LN(10^(逐级计算!$Q$198/10)-1)+逐级计算!$Q$198*(GP86-逐级计算!$P$198)*LN(10)/10))))))),"")</f>
        <v>13.7930365742089</v>
      </c>
      <c r="GR86">
        <f>IF(AND(ISNUMBER(GQ86),逐级计算!$X$199&gt;-1),IF(逐级计算!$X$199=0,GQ86+逐级计算!$C$199,GQ86+逐级计算!$C$199-(10/(逐级计算!$Q$199*LN(10))*(MAX((LN(10^(逐级计算!$Q$199/10)-1)+逐级计算!$Q$199*(GQ86-逐级计算!$P$199)*LN(10)/10),0)+LN(1+EXP(-ABS((LN(10^(逐级计算!$Q$199/10)-1)+逐级计算!$Q$199*(GQ86-逐级计算!$P$199)*LN(10)/10))))))),"")</f>
        <v>13.7930365742089</v>
      </c>
      <c r="GS86">
        <f>IF(AND(ISNUMBER(GR86),逐级计算!$X$200&gt;-1),IF(逐级计算!$X$200=0,GR86+逐级计算!$C$200,GR86+逐级计算!$C$200-(10/(逐级计算!$Q$200*LN(10))*(MAX((LN(10^(逐级计算!$Q$200/10)-1)+逐级计算!$Q$200*(GR86-逐级计算!$P$200)*LN(10)/10),0)+LN(1+EXP(-ABS((LN(10^(逐级计算!$Q$200/10)-1)+逐级计算!$Q$200*(GR86-逐级计算!$P$200)*LN(10)/10))))))),"")</f>
        <v>13.7930365742089</v>
      </c>
      <c r="GT86">
        <f>IF(AND(ISNUMBER(GS86),逐级计算!$X$201&gt;-1),IF(逐级计算!$X$201=0,GS86+逐级计算!$C$201,GS86+逐级计算!$C$201-(10/(逐级计算!$Q$201*LN(10))*(MAX((LN(10^(逐级计算!$Q$201/10)-1)+逐级计算!$Q$201*(GS86-逐级计算!$P$201)*LN(10)/10),0)+LN(1+EXP(-ABS((LN(10^(逐级计算!$Q$201/10)-1)+逐级计算!$Q$201*(GS86-逐级计算!$P$201)*LN(10)/10))))))),"")</f>
        <v>13.7930365742089</v>
      </c>
      <c r="GU86">
        <f>IF(AND(ISNUMBER(GT86),逐级计算!$X$202&gt;-1),IF(逐级计算!$X$202=0,GT86+逐级计算!$C$202,GT86+逐级计算!$C$202-(10/(逐级计算!$Q$202*LN(10))*(MAX((LN(10^(逐级计算!$Q$202/10)-1)+逐级计算!$Q$202*(GT86-逐级计算!$P$202)*LN(10)/10),0)+LN(1+EXP(-ABS((LN(10^(逐级计算!$Q$202/10)-1)+逐级计算!$Q$202*(GT86-逐级计算!$P$202)*LN(10)/10))))))),"")</f>
        <v>13.7930365742089</v>
      </c>
      <c r="GV86">
        <f>IF(AND(ISNUMBER(GU86),逐级计算!$X$203&gt;-1),IF(逐级计算!$X$203=0,GU86+逐级计算!$C$203,GU86+逐级计算!$C$203-(10/(逐级计算!$Q$203*LN(10))*(MAX((LN(10^(逐级计算!$Q$203/10)-1)+逐级计算!$Q$203*(GU86-逐级计算!$P$203)*LN(10)/10),0)+LN(1+EXP(-ABS((LN(10^(逐级计算!$Q$203/10)-1)+逐级计算!$Q$203*(GU86-逐级计算!$P$203)*LN(10)/10))))))),"")</f>
        <v>13.7930365742089</v>
      </c>
      <c r="GW86">
        <f t="shared" si="5"/>
        <v>-5.20696342579112</v>
      </c>
    </row>
    <row r="87" spans="1:205">
      <c r="A87">
        <v>80</v>
      </c>
      <c r="B87">
        <f t="shared" si="4"/>
        <v>-5.20696342579112</v>
      </c>
      <c r="C87">
        <f t="shared" si="3"/>
        <v>-5.20696342579112</v>
      </c>
      <c r="D87">
        <f>IF(AND(ISNUMBER(C87),ISNUMBER(逐级计算!$E$203),ISNUMBER(GV87)),C87+逐级计算!$E$203-GV87,"")</f>
        <v>1</v>
      </c>
      <c r="E87">
        <f>IF(AND(ISNUMBER(C87),逐级计算!$X$4&gt;-1),IF(逐级计算!$X$4=0,C87+逐级计算!$C$4,C87+逐级计算!$C$4-(10/(逐级计算!$Q$4*LN(10))*(MAX((LN(10^(逐级计算!$Q$4/10)-1)+逐级计算!$Q$4*(C87-逐级计算!$P$4)*LN(10)/10),0)+LN(1+EXP(-ABS((LN(10^(逐级计算!$Q$4/10)-1)+逐级计算!$Q$4*(C87-逐级计算!$P$4)*LN(10)/10))))))),"")</f>
        <v>4.68053982928311</v>
      </c>
      <c r="F87">
        <f>IF(AND(ISNUMBER(E87),逐级计算!$X$5&gt;-1),IF(逐级计算!$X$5=0,E87+逐级计算!$C$5,E87+逐级计算!$C$5-(10/(逐级计算!$Q$5*LN(10))*(MAX((LN(10^(逐级计算!$Q$5/10)-1)+逐级计算!$Q$5*(E87-逐级计算!$P$5)*LN(10)/10),0)+LN(1+EXP(-ABS((LN(10^(逐级计算!$Q$5/10)-1)+逐级计算!$Q$5*(E87-逐级计算!$P$5)*LN(10)/10))))))),"")</f>
        <v>13.7930365742089</v>
      </c>
      <c r="G87">
        <f>IF(AND(ISNUMBER(F87),逐级计算!$X$6&gt;-1),IF(逐级计算!$X$6=0,F87+逐级计算!$C$6,F87+逐级计算!$C$6-(10/(逐级计算!$Q$6*LN(10))*(MAX((LN(10^(逐级计算!$Q$6/10)-1)+逐级计算!$Q$6*(F87-逐级计算!$P$6)*LN(10)/10),0)+LN(1+EXP(-ABS((LN(10^(逐级计算!$Q$6/10)-1)+逐级计算!$Q$6*(F87-逐级计算!$P$6)*LN(10)/10))))))),"")</f>
        <v>13.7930365742089</v>
      </c>
      <c r="H87">
        <f>IF(AND(ISNUMBER(G87),逐级计算!$X$7&gt;-1),IF(逐级计算!$X$7=0,G87+逐级计算!$C$7,G87+逐级计算!$C$7-(10/(逐级计算!$Q$7*LN(10))*(MAX((LN(10^(逐级计算!$Q$7/10)-1)+逐级计算!$Q$7*(G87-逐级计算!$P$7)*LN(10)/10),0)+LN(1+EXP(-ABS((LN(10^(逐级计算!$Q$7/10)-1)+逐级计算!$Q$7*(G87-逐级计算!$P$7)*LN(10)/10))))))),"")</f>
        <v>13.7930365742089</v>
      </c>
      <c r="I87">
        <f>IF(AND(ISNUMBER(H87),逐级计算!$X$8&gt;-1),IF(逐级计算!$X$8=0,H87+逐级计算!$C$8,H87+逐级计算!$C$8-(10/(逐级计算!$Q$8*LN(10))*(MAX((LN(10^(逐级计算!$Q$8/10)-1)+逐级计算!$Q$8*(H87-逐级计算!$P$8)*LN(10)/10),0)+LN(1+EXP(-ABS((LN(10^(逐级计算!$Q$8/10)-1)+逐级计算!$Q$8*(H87-逐级计算!$P$8)*LN(10)/10))))))),"")</f>
        <v>13.7930365742089</v>
      </c>
      <c r="J87">
        <f>IF(AND(ISNUMBER(I87),逐级计算!$X$9&gt;-1),IF(逐级计算!$X$9=0,I87+逐级计算!$C$9,I87+逐级计算!$C$9-(10/(逐级计算!$Q$9*LN(10))*(MAX((LN(10^(逐级计算!$Q$9/10)-1)+逐级计算!$Q$9*(I87-逐级计算!$P$9)*LN(10)/10),0)+LN(1+EXP(-ABS((LN(10^(逐级计算!$Q$9/10)-1)+逐级计算!$Q$9*(I87-逐级计算!$P$9)*LN(10)/10))))))),"")</f>
        <v>13.7930365742089</v>
      </c>
      <c r="K87">
        <f>IF(AND(ISNUMBER(J87),逐级计算!$X$10&gt;-1),IF(逐级计算!$X$10=0,J87+逐级计算!$C$10,J87+逐级计算!$C$10-(10/(逐级计算!$Q$10*LN(10))*(MAX((LN(10^(逐级计算!$Q$10/10)-1)+逐级计算!$Q$10*(J87-逐级计算!$P$10)*LN(10)/10),0)+LN(1+EXP(-ABS((LN(10^(逐级计算!$Q$10/10)-1)+逐级计算!$Q$10*(J87-逐级计算!$P$10)*LN(10)/10))))))),"")</f>
        <v>13.7930365742089</v>
      </c>
      <c r="L87">
        <f>IF(AND(ISNUMBER(K87),逐级计算!$X$11&gt;-1),IF(逐级计算!$X$11=0,K87+逐级计算!$C$11,K87+逐级计算!$C$11-(10/(逐级计算!$Q$11*LN(10))*(MAX((LN(10^(逐级计算!$Q$11/10)-1)+逐级计算!$Q$11*(K87-逐级计算!$P$11)*LN(10)/10),0)+LN(1+EXP(-ABS((LN(10^(逐级计算!$Q$11/10)-1)+逐级计算!$Q$11*(K87-逐级计算!$P$11)*LN(10)/10))))))),"")</f>
        <v>13.7930365742089</v>
      </c>
      <c r="M87">
        <f>IF(AND(ISNUMBER(L87),逐级计算!$X$12&gt;-1),IF(逐级计算!$X$12=0,L87+逐级计算!$C$12,L87+逐级计算!$C$12-(10/(逐级计算!$Q$12*LN(10))*(MAX((LN(10^(逐级计算!$Q$12/10)-1)+逐级计算!$Q$12*(L87-逐级计算!$P$12)*LN(10)/10),0)+LN(1+EXP(-ABS((LN(10^(逐级计算!$Q$12/10)-1)+逐级计算!$Q$12*(L87-逐级计算!$P$12)*LN(10)/10))))))),"")</f>
        <v>13.7930365742089</v>
      </c>
      <c r="N87">
        <f>IF(AND(ISNUMBER(M87),逐级计算!$X$13&gt;-1),IF(逐级计算!$X$13=0,M87+逐级计算!$C$13,M87+逐级计算!$C$13-(10/(逐级计算!$Q$13*LN(10))*(MAX((LN(10^(逐级计算!$Q$13/10)-1)+逐级计算!$Q$13*(M87-逐级计算!$P$13)*LN(10)/10),0)+LN(1+EXP(-ABS((LN(10^(逐级计算!$Q$13/10)-1)+逐级计算!$Q$13*(M87-逐级计算!$P$13)*LN(10)/10))))))),"")</f>
        <v>13.7930365742089</v>
      </c>
      <c r="O87">
        <f>IF(AND(ISNUMBER(N87),逐级计算!$X$14&gt;-1),IF(逐级计算!$X$14=0,N87+逐级计算!$C$14,N87+逐级计算!$C$14-(10/(逐级计算!$Q$14*LN(10))*(MAX((LN(10^(逐级计算!$Q$14/10)-1)+逐级计算!$Q$14*(N87-逐级计算!$P$14)*LN(10)/10),0)+LN(1+EXP(-ABS((LN(10^(逐级计算!$Q$14/10)-1)+逐级计算!$Q$14*(N87-逐级计算!$P$14)*LN(10)/10))))))),"")</f>
        <v>13.7930365742089</v>
      </c>
      <c r="P87">
        <f>IF(AND(ISNUMBER(O87),逐级计算!$X$15&gt;-1),IF(逐级计算!$X$15=0,O87+逐级计算!$C$15,O87+逐级计算!$C$15-(10/(逐级计算!$Q$15*LN(10))*(MAX((LN(10^(逐级计算!$Q$15/10)-1)+逐级计算!$Q$15*(O87-逐级计算!$P$15)*LN(10)/10),0)+LN(1+EXP(-ABS((LN(10^(逐级计算!$Q$15/10)-1)+逐级计算!$Q$15*(O87-逐级计算!$P$15)*LN(10)/10))))))),"")</f>
        <v>13.7930365742089</v>
      </c>
      <c r="Q87">
        <f>IF(AND(ISNUMBER(P87),逐级计算!$X$16&gt;-1),IF(逐级计算!$X$16=0,P87+逐级计算!$C$16,P87+逐级计算!$C$16-(10/(逐级计算!$Q$16*LN(10))*(MAX((LN(10^(逐级计算!$Q$16/10)-1)+逐级计算!$Q$16*(P87-逐级计算!$P$16)*LN(10)/10),0)+LN(1+EXP(-ABS((LN(10^(逐级计算!$Q$16/10)-1)+逐级计算!$Q$16*(P87-逐级计算!$P$16)*LN(10)/10))))))),"")</f>
        <v>13.7930365742089</v>
      </c>
      <c r="R87">
        <f>IF(AND(ISNUMBER(Q87),逐级计算!$X$17&gt;-1),IF(逐级计算!$X$17=0,Q87+逐级计算!$C$17,Q87+逐级计算!$C$17-(10/(逐级计算!$Q$17*LN(10))*(MAX((LN(10^(逐级计算!$Q$17/10)-1)+逐级计算!$Q$17*(Q87-逐级计算!$P$17)*LN(10)/10),0)+LN(1+EXP(-ABS((LN(10^(逐级计算!$Q$17/10)-1)+逐级计算!$Q$17*(Q87-逐级计算!$P$17)*LN(10)/10))))))),"")</f>
        <v>13.7930365742089</v>
      </c>
      <c r="S87">
        <f>IF(AND(ISNUMBER(R87),逐级计算!$X$18&gt;-1),IF(逐级计算!$X$18=0,R87+逐级计算!$C$18,R87+逐级计算!$C$18-(10/(逐级计算!$Q$18*LN(10))*(MAX((LN(10^(逐级计算!$Q$18/10)-1)+逐级计算!$Q$18*(R87-逐级计算!$P$18)*LN(10)/10),0)+LN(1+EXP(-ABS((LN(10^(逐级计算!$Q$18/10)-1)+逐级计算!$Q$18*(R87-逐级计算!$P$18)*LN(10)/10))))))),"")</f>
        <v>13.7930365742089</v>
      </c>
      <c r="T87">
        <f>IF(AND(ISNUMBER(S87),逐级计算!$X$19&gt;-1),IF(逐级计算!$X$19=0,S87+逐级计算!$C$19,S87+逐级计算!$C$19-(10/(逐级计算!$Q$19*LN(10))*(MAX((LN(10^(逐级计算!$Q$19/10)-1)+逐级计算!$Q$19*(S87-逐级计算!$P$19)*LN(10)/10),0)+LN(1+EXP(-ABS((LN(10^(逐级计算!$Q$19/10)-1)+逐级计算!$Q$19*(S87-逐级计算!$P$19)*LN(10)/10))))))),"")</f>
        <v>13.7930365742089</v>
      </c>
      <c r="U87">
        <f>IF(AND(ISNUMBER(T87),逐级计算!$X$20&gt;-1),IF(逐级计算!$X$20=0,T87+逐级计算!$C$20,T87+逐级计算!$C$20-(10/(逐级计算!$Q$20*LN(10))*(MAX((LN(10^(逐级计算!$Q$20/10)-1)+逐级计算!$Q$20*(T87-逐级计算!$P$20)*LN(10)/10),0)+LN(1+EXP(-ABS((LN(10^(逐级计算!$Q$20/10)-1)+逐级计算!$Q$20*(T87-逐级计算!$P$20)*LN(10)/10))))))),"")</f>
        <v>13.7930365742089</v>
      </c>
      <c r="V87">
        <f>IF(AND(ISNUMBER(U87),逐级计算!$X$21&gt;-1),IF(逐级计算!$X$21=0,U87+逐级计算!$C$21,U87+逐级计算!$C$21-(10/(逐级计算!$Q$21*LN(10))*(MAX((LN(10^(逐级计算!$Q$21/10)-1)+逐级计算!$Q$21*(U87-逐级计算!$P$21)*LN(10)/10),0)+LN(1+EXP(-ABS((LN(10^(逐级计算!$Q$21/10)-1)+逐级计算!$Q$21*(U87-逐级计算!$P$21)*LN(10)/10))))))),"")</f>
        <v>13.7930365742089</v>
      </c>
      <c r="W87">
        <f>IF(AND(ISNUMBER(V87),逐级计算!$X$22&gt;-1),IF(逐级计算!$X$22=0,V87+逐级计算!$C$22,V87+逐级计算!$C$22-(10/(逐级计算!$Q$22*LN(10))*(MAX((LN(10^(逐级计算!$Q$22/10)-1)+逐级计算!$Q$22*(V87-逐级计算!$P$22)*LN(10)/10),0)+LN(1+EXP(-ABS((LN(10^(逐级计算!$Q$22/10)-1)+逐级计算!$Q$22*(V87-逐级计算!$P$22)*LN(10)/10))))))),"")</f>
        <v>13.7930365742089</v>
      </c>
      <c r="X87">
        <f>IF(AND(ISNUMBER(W87),逐级计算!$X$23&gt;-1),IF(逐级计算!$X$23=0,W87+逐级计算!$C$23,W87+逐级计算!$C$23-(10/(逐级计算!$Q$23*LN(10))*(MAX((LN(10^(逐级计算!$Q$23/10)-1)+逐级计算!$Q$23*(W87-逐级计算!$P$23)*LN(10)/10),0)+LN(1+EXP(-ABS((LN(10^(逐级计算!$Q$23/10)-1)+逐级计算!$Q$23*(W87-逐级计算!$P$23)*LN(10)/10))))))),"")</f>
        <v>13.7930365742089</v>
      </c>
      <c r="Y87">
        <f>IF(AND(ISNUMBER(X87),逐级计算!$X$24&gt;-1),IF(逐级计算!$X$24=0,X87+逐级计算!$C$24,X87+逐级计算!$C$24-(10/(逐级计算!$Q$24*LN(10))*(MAX((LN(10^(逐级计算!$Q$24/10)-1)+逐级计算!$Q$24*(X87-逐级计算!$P$24)*LN(10)/10),0)+LN(1+EXP(-ABS((LN(10^(逐级计算!$Q$24/10)-1)+逐级计算!$Q$24*(X87-逐级计算!$P$24)*LN(10)/10))))))),"")</f>
        <v>13.7930365742089</v>
      </c>
      <c r="Z87">
        <f>IF(AND(ISNUMBER(Y87),逐级计算!$X$25&gt;-1),IF(逐级计算!$X$25=0,Y87+逐级计算!$C$25,Y87+逐级计算!$C$25-(10/(逐级计算!$Q$25*LN(10))*(MAX((LN(10^(逐级计算!$Q$25/10)-1)+逐级计算!$Q$25*(Y87-逐级计算!$P$25)*LN(10)/10),0)+LN(1+EXP(-ABS((LN(10^(逐级计算!$Q$25/10)-1)+逐级计算!$Q$25*(Y87-逐级计算!$P$25)*LN(10)/10))))))),"")</f>
        <v>13.7930365742089</v>
      </c>
      <c r="AA87">
        <f>IF(AND(ISNUMBER(Z87),逐级计算!$X$26&gt;-1),IF(逐级计算!$X$26=0,Z87+逐级计算!$C$26,Z87+逐级计算!$C$26-(10/(逐级计算!$Q$26*LN(10))*(MAX((LN(10^(逐级计算!$Q$26/10)-1)+逐级计算!$Q$26*(Z87-逐级计算!$P$26)*LN(10)/10),0)+LN(1+EXP(-ABS((LN(10^(逐级计算!$Q$26/10)-1)+逐级计算!$Q$26*(Z87-逐级计算!$P$26)*LN(10)/10))))))),"")</f>
        <v>13.7930365742089</v>
      </c>
      <c r="AB87">
        <f>IF(AND(ISNUMBER(AA87),逐级计算!$X$27&gt;-1),IF(逐级计算!$X$27=0,AA87+逐级计算!$C$27,AA87+逐级计算!$C$27-(10/(逐级计算!$Q$27*LN(10))*(MAX((LN(10^(逐级计算!$Q$27/10)-1)+逐级计算!$Q$27*(AA87-逐级计算!$P$27)*LN(10)/10),0)+LN(1+EXP(-ABS((LN(10^(逐级计算!$Q$27/10)-1)+逐级计算!$Q$27*(AA87-逐级计算!$P$27)*LN(10)/10))))))),"")</f>
        <v>13.7930365742089</v>
      </c>
      <c r="AC87">
        <f>IF(AND(ISNUMBER(AB87),逐级计算!$X$28&gt;-1),IF(逐级计算!$X$28=0,AB87+逐级计算!$C$28,AB87+逐级计算!$C$28-(10/(逐级计算!$Q$28*LN(10))*(MAX((LN(10^(逐级计算!$Q$28/10)-1)+逐级计算!$Q$28*(AB87-逐级计算!$P$28)*LN(10)/10),0)+LN(1+EXP(-ABS((LN(10^(逐级计算!$Q$28/10)-1)+逐级计算!$Q$28*(AB87-逐级计算!$P$28)*LN(10)/10))))))),"")</f>
        <v>13.7930365742089</v>
      </c>
      <c r="AD87">
        <f>IF(AND(ISNUMBER(AC87),逐级计算!$X$29&gt;-1),IF(逐级计算!$X$29=0,AC87+逐级计算!$C$29,AC87+逐级计算!$C$29-(10/(逐级计算!$Q$29*LN(10))*(MAX((LN(10^(逐级计算!$Q$29/10)-1)+逐级计算!$Q$29*(AC87-逐级计算!$P$29)*LN(10)/10),0)+LN(1+EXP(-ABS((LN(10^(逐级计算!$Q$29/10)-1)+逐级计算!$Q$29*(AC87-逐级计算!$P$29)*LN(10)/10))))))),"")</f>
        <v>13.7930365742089</v>
      </c>
      <c r="AE87">
        <f>IF(AND(ISNUMBER(AD87),逐级计算!$X$30&gt;-1),IF(逐级计算!$X$30=0,AD87+逐级计算!$C$30,AD87+逐级计算!$C$30-(10/(逐级计算!$Q$30*LN(10))*(MAX((LN(10^(逐级计算!$Q$30/10)-1)+逐级计算!$Q$30*(AD87-逐级计算!$P$30)*LN(10)/10),0)+LN(1+EXP(-ABS((LN(10^(逐级计算!$Q$30/10)-1)+逐级计算!$Q$30*(AD87-逐级计算!$P$30)*LN(10)/10))))))),"")</f>
        <v>13.7930365742089</v>
      </c>
      <c r="AF87">
        <f>IF(AND(ISNUMBER(AE87),逐级计算!$X$31&gt;-1),IF(逐级计算!$X$31=0,AE87+逐级计算!$C$31,AE87+逐级计算!$C$31-(10/(逐级计算!$Q$31*LN(10))*(MAX((LN(10^(逐级计算!$Q$31/10)-1)+逐级计算!$Q$31*(AE87-逐级计算!$P$31)*LN(10)/10),0)+LN(1+EXP(-ABS((LN(10^(逐级计算!$Q$31/10)-1)+逐级计算!$Q$31*(AE87-逐级计算!$P$31)*LN(10)/10))))))),"")</f>
        <v>13.7930365742089</v>
      </c>
      <c r="AG87">
        <f>IF(AND(ISNUMBER(AF87),逐级计算!$X$32&gt;-1),IF(逐级计算!$X$32=0,AF87+逐级计算!$C$32,AF87+逐级计算!$C$32-(10/(逐级计算!$Q$32*LN(10))*(MAX((LN(10^(逐级计算!$Q$32/10)-1)+逐级计算!$Q$32*(AF87-逐级计算!$P$32)*LN(10)/10),0)+LN(1+EXP(-ABS((LN(10^(逐级计算!$Q$32/10)-1)+逐级计算!$Q$32*(AF87-逐级计算!$P$32)*LN(10)/10))))))),"")</f>
        <v>13.7930365742089</v>
      </c>
      <c r="AH87">
        <f>IF(AND(ISNUMBER(AG87),逐级计算!$X$33&gt;-1),IF(逐级计算!$X$33=0,AG87+逐级计算!$C$33,AG87+逐级计算!$C$33-(10/(逐级计算!$Q$33*LN(10))*(MAX((LN(10^(逐级计算!$Q$33/10)-1)+逐级计算!$Q$33*(AG87-逐级计算!$P$33)*LN(10)/10),0)+LN(1+EXP(-ABS((LN(10^(逐级计算!$Q$33/10)-1)+逐级计算!$Q$33*(AG87-逐级计算!$P$33)*LN(10)/10))))))),"")</f>
        <v>13.7930365742089</v>
      </c>
      <c r="AI87">
        <f>IF(AND(ISNUMBER(AH87),逐级计算!$X$34&gt;-1),IF(逐级计算!$X$34=0,AH87+逐级计算!$C$34,AH87+逐级计算!$C$34-(10/(逐级计算!$Q$34*LN(10))*(MAX((LN(10^(逐级计算!$Q$34/10)-1)+逐级计算!$Q$34*(AH87-逐级计算!$P$34)*LN(10)/10),0)+LN(1+EXP(-ABS((LN(10^(逐级计算!$Q$34/10)-1)+逐级计算!$Q$34*(AH87-逐级计算!$P$34)*LN(10)/10))))))),"")</f>
        <v>13.7930365742089</v>
      </c>
      <c r="AJ87">
        <f>IF(AND(ISNUMBER(AI87),逐级计算!$X$35&gt;-1),IF(逐级计算!$X$35=0,AI87+逐级计算!$C$35,AI87+逐级计算!$C$35-(10/(逐级计算!$Q$35*LN(10))*(MAX((LN(10^(逐级计算!$Q$35/10)-1)+逐级计算!$Q$35*(AI87-逐级计算!$P$35)*LN(10)/10),0)+LN(1+EXP(-ABS((LN(10^(逐级计算!$Q$35/10)-1)+逐级计算!$Q$35*(AI87-逐级计算!$P$35)*LN(10)/10))))))),"")</f>
        <v>13.7930365742089</v>
      </c>
      <c r="AK87">
        <f>IF(AND(ISNUMBER(AJ87),逐级计算!$X$36&gt;-1),IF(逐级计算!$X$36=0,AJ87+逐级计算!$C$36,AJ87+逐级计算!$C$36-(10/(逐级计算!$Q$36*LN(10))*(MAX((LN(10^(逐级计算!$Q$36/10)-1)+逐级计算!$Q$36*(AJ87-逐级计算!$P$36)*LN(10)/10),0)+LN(1+EXP(-ABS((LN(10^(逐级计算!$Q$36/10)-1)+逐级计算!$Q$36*(AJ87-逐级计算!$P$36)*LN(10)/10))))))),"")</f>
        <v>13.7930365742089</v>
      </c>
      <c r="AL87">
        <f>IF(AND(ISNUMBER(AK87),逐级计算!$X$37&gt;-1),IF(逐级计算!$X$37=0,AK87+逐级计算!$C$37,AK87+逐级计算!$C$37-(10/(逐级计算!$Q$37*LN(10))*(MAX((LN(10^(逐级计算!$Q$37/10)-1)+逐级计算!$Q$37*(AK87-逐级计算!$P$37)*LN(10)/10),0)+LN(1+EXP(-ABS((LN(10^(逐级计算!$Q$37/10)-1)+逐级计算!$Q$37*(AK87-逐级计算!$P$37)*LN(10)/10))))))),"")</f>
        <v>13.7930365742089</v>
      </c>
      <c r="AM87">
        <f>IF(AND(ISNUMBER(AL87),逐级计算!$X$38&gt;-1),IF(逐级计算!$X$38=0,AL87+逐级计算!$C$38,AL87+逐级计算!$C$38-(10/(逐级计算!$Q$38*LN(10))*(MAX((LN(10^(逐级计算!$Q$38/10)-1)+逐级计算!$Q$38*(AL87-逐级计算!$P$38)*LN(10)/10),0)+LN(1+EXP(-ABS((LN(10^(逐级计算!$Q$38/10)-1)+逐级计算!$Q$38*(AL87-逐级计算!$P$38)*LN(10)/10))))))),"")</f>
        <v>13.7930365742089</v>
      </c>
      <c r="AN87">
        <f>IF(AND(ISNUMBER(AM87),逐级计算!$X$39&gt;-1),IF(逐级计算!$X$39=0,AM87+逐级计算!$C$39,AM87+逐级计算!$C$39-(10/(逐级计算!$Q$39*LN(10))*(MAX((LN(10^(逐级计算!$Q$39/10)-1)+逐级计算!$Q$39*(AM87-逐级计算!$P$39)*LN(10)/10),0)+LN(1+EXP(-ABS((LN(10^(逐级计算!$Q$39/10)-1)+逐级计算!$Q$39*(AM87-逐级计算!$P$39)*LN(10)/10))))))),"")</f>
        <v>13.7930365742089</v>
      </c>
      <c r="AO87">
        <f>IF(AND(ISNUMBER(AN87),逐级计算!$X$40&gt;-1),IF(逐级计算!$X$40=0,AN87+逐级计算!$C$40,AN87+逐级计算!$C$40-(10/(逐级计算!$Q$40*LN(10))*(MAX((LN(10^(逐级计算!$Q$40/10)-1)+逐级计算!$Q$40*(AN87-逐级计算!$P$40)*LN(10)/10),0)+LN(1+EXP(-ABS((LN(10^(逐级计算!$Q$40/10)-1)+逐级计算!$Q$40*(AN87-逐级计算!$P$40)*LN(10)/10))))))),"")</f>
        <v>13.7930365742089</v>
      </c>
      <c r="AP87">
        <f>IF(AND(ISNUMBER(AO87),逐级计算!$X$41&gt;-1),IF(逐级计算!$X$41=0,AO87+逐级计算!$C$41,AO87+逐级计算!$C$41-(10/(逐级计算!$Q$41*LN(10))*(MAX((LN(10^(逐级计算!$Q$41/10)-1)+逐级计算!$Q$41*(AO87-逐级计算!$P$41)*LN(10)/10),0)+LN(1+EXP(-ABS((LN(10^(逐级计算!$Q$41/10)-1)+逐级计算!$Q$41*(AO87-逐级计算!$P$41)*LN(10)/10))))))),"")</f>
        <v>13.7930365742089</v>
      </c>
      <c r="AQ87">
        <f>IF(AND(ISNUMBER(AP87),逐级计算!$X$42&gt;-1),IF(逐级计算!$X$42=0,AP87+逐级计算!$C$42,AP87+逐级计算!$C$42-(10/(逐级计算!$Q$42*LN(10))*(MAX((LN(10^(逐级计算!$Q$42/10)-1)+逐级计算!$Q$42*(AP87-逐级计算!$P$42)*LN(10)/10),0)+LN(1+EXP(-ABS((LN(10^(逐级计算!$Q$42/10)-1)+逐级计算!$Q$42*(AP87-逐级计算!$P$42)*LN(10)/10))))))),"")</f>
        <v>13.7930365742089</v>
      </c>
      <c r="AR87">
        <f>IF(AND(ISNUMBER(AQ87),逐级计算!$X$43&gt;-1),IF(逐级计算!$X$43=0,AQ87+逐级计算!$C$43,AQ87+逐级计算!$C$43-(10/(逐级计算!$Q$43*LN(10))*(MAX((LN(10^(逐级计算!$Q$43/10)-1)+逐级计算!$Q$43*(AQ87-逐级计算!$P$43)*LN(10)/10),0)+LN(1+EXP(-ABS((LN(10^(逐级计算!$Q$43/10)-1)+逐级计算!$Q$43*(AQ87-逐级计算!$P$43)*LN(10)/10))))))),"")</f>
        <v>13.7930365742089</v>
      </c>
      <c r="AS87">
        <f>IF(AND(ISNUMBER(AR87),逐级计算!$X$44&gt;-1),IF(逐级计算!$X$44=0,AR87+逐级计算!$C$44,AR87+逐级计算!$C$44-(10/(逐级计算!$Q$44*LN(10))*(MAX((LN(10^(逐级计算!$Q$44/10)-1)+逐级计算!$Q$44*(AR87-逐级计算!$P$44)*LN(10)/10),0)+LN(1+EXP(-ABS((LN(10^(逐级计算!$Q$44/10)-1)+逐级计算!$Q$44*(AR87-逐级计算!$P$44)*LN(10)/10))))))),"")</f>
        <v>13.7930365742089</v>
      </c>
      <c r="AT87">
        <f>IF(AND(ISNUMBER(AS87),逐级计算!$X$45&gt;-1),IF(逐级计算!$X$45=0,AS87+逐级计算!$C$45,AS87+逐级计算!$C$45-(10/(逐级计算!$Q$45*LN(10))*(MAX((LN(10^(逐级计算!$Q$45/10)-1)+逐级计算!$Q$45*(AS87-逐级计算!$P$45)*LN(10)/10),0)+LN(1+EXP(-ABS((LN(10^(逐级计算!$Q$45/10)-1)+逐级计算!$Q$45*(AS87-逐级计算!$P$45)*LN(10)/10))))))),"")</f>
        <v>13.7930365742089</v>
      </c>
      <c r="AU87">
        <f>IF(AND(ISNUMBER(AT87),逐级计算!$X$46&gt;-1),IF(逐级计算!$X$46=0,AT87+逐级计算!$C$46,AT87+逐级计算!$C$46-(10/(逐级计算!$Q$46*LN(10))*(MAX((LN(10^(逐级计算!$Q$46/10)-1)+逐级计算!$Q$46*(AT87-逐级计算!$P$46)*LN(10)/10),0)+LN(1+EXP(-ABS((LN(10^(逐级计算!$Q$46/10)-1)+逐级计算!$Q$46*(AT87-逐级计算!$P$46)*LN(10)/10))))))),"")</f>
        <v>13.7930365742089</v>
      </c>
      <c r="AV87">
        <f>IF(AND(ISNUMBER(AU87),逐级计算!$X$47&gt;-1),IF(逐级计算!$X$47=0,AU87+逐级计算!$C$47,AU87+逐级计算!$C$47-(10/(逐级计算!$Q$47*LN(10))*(MAX((LN(10^(逐级计算!$Q$47/10)-1)+逐级计算!$Q$47*(AU87-逐级计算!$P$47)*LN(10)/10),0)+LN(1+EXP(-ABS((LN(10^(逐级计算!$Q$47/10)-1)+逐级计算!$Q$47*(AU87-逐级计算!$P$47)*LN(10)/10))))))),"")</f>
        <v>13.7930365742089</v>
      </c>
      <c r="AW87">
        <f>IF(AND(ISNUMBER(AV87),逐级计算!$X$48&gt;-1),IF(逐级计算!$X$48=0,AV87+逐级计算!$C$48,AV87+逐级计算!$C$48-(10/(逐级计算!$Q$48*LN(10))*(MAX((LN(10^(逐级计算!$Q$48/10)-1)+逐级计算!$Q$48*(AV87-逐级计算!$P$48)*LN(10)/10),0)+LN(1+EXP(-ABS((LN(10^(逐级计算!$Q$48/10)-1)+逐级计算!$Q$48*(AV87-逐级计算!$P$48)*LN(10)/10))))))),"")</f>
        <v>13.7930365742089</v>
      </c>
      <c r="AX87">
        <f>IF(AND(ISNUMBER(AW87),逐级计算!$X$49&gt;-1),IF(逐级计算!$X$49=0,AW87+逐级计算!$C$49,AW87+逐级计算!$C$49-(10/(逐级计算!$Q$49*LN(10))*(MAX((LN(10^(逐级计算!$Q$49/10)-1)+逐级计算!$Q$49*(AW87-逐级计算!$P$49)*LN(10)/10),0)+LN(1+EXP(-ABS((LN(10^(逐级计算!$Q$49/10)-1)+逐级计算!$Q$49*(AW87-逐级计算!$P$49)*LN(10)/10))))))),"")</f>
        <v>13.7930365742089</v>
      </c>
      <c r="AY87">
        <f>IF(AND(ISNUMBER(AX87),逐级计算!$X$50&gt;-1),IF(逐级计算!$X$50=0,AX87+逐级计算!$C$50,AX87+逐级计算!$C$50-(10/(逐级计算!$Q$50*LN(10))*(MAX((LN(10^(逐级计算!$Q$50/10)-1)+逐级计算!$Q$50*(AX87-逐级计算!$P$50)*LN(10)/10),0)+LN(1+EXP(-ABS((LN(10^(逐级计算!$Q$50/10)-1)+逐级计算!$Q$50*(AX87-逐级计算!$P$50)*LN(10)/10))))))),"")</f>
        <v>13.7930365742089</v>
      </c>
      <c r="AZ87">
        <f>IF(AND(ISNUMBER(AY87),逐级计算!$X$51&gt;-1),IF(逐级计算!$X$51=0,AY87+逐级计算!$C$51,AY87+逐级计算!$C$51-(10/(逐级计算!$Q$51*LN(10))*(MAX((LN(10^(逐级计算!$Q$51/10)-1)+逐级计算!$Q$51*(AY87-逐级计算!$P$51)*LN(10)/10),0)+LN(1+EXP(-ABS((LN(10^(逐级计算!$Q$51/10)-1)+逐级计算!$Q$51*(AY87-逐级计算!$P$51)*LN(10)/10))))))),"")</f>
        <v>13.7930365742089</v>
      </c>
      <c r="BA87">
        <f>IF(AND(ISNUMBER(AZ87),逐级计算!$X$52&gt;-1),IF(逐级计算!$X$52=0,AZ87+逐级计算!$C$52,AZ87+逐级计算!$C$52-(10/(逐级计算!$Q$52*LN(10))*(MAX((LN(10^(逐级计算!$Q$52/10)-1)+逐级计算!$Q$52*(AZ87-逐级计算!$P$52)*LN(10)/10),0)+LN(1+EXP(-ABS((LN(10^(逐级计算!$Q$52/10)-1)+逐级计算!$Q$52*(AZ87-逐级计算!$P$52)*LN(10)/10))))))),"")</f>
        <v>13.7930365742089</v>
      </c>
      <c r="BB87">
        <f>IF(AND(ISNUMBER(BA87),逐级计算!$X$53&gt;-1),IF(逐级计算!$X$53=0,BA87+逐级计算!$C$53,BA87+逐级计算!$C$53-(10/(逐级计算!$Q$53*LN(10))*(MAX((LN(10^(逐级计算!$Q$53/10)-1)+逐级计算!$Q$53*(BA87-逐级计算!$P$53)*LN(10)/10),0)+LN(1+EXP(-ABS((LN(10^(逐级计算!$Q$53/10)-1)+逐级计算!$Q$53*(BA87-逐级计算!$P$53)*LN(10)/10))))))),"")</f>
        <v>13.7930365742089</v>
      </c>
      <c r="BC87">
        <f>IF(AND(ISNUMBER(BB87),逐级计算!$X$54&gt;-1),IF(逐级计算!$X$54=0,BB87+逐级计算!$C$54,BB87+逐级计算!$C$54-(10/(逐级计算!$Q$54*LN(10))*(MAX((LN(10^(逐级计算!$Q$54/10)-1)+逐级计算!$Q$54*(BB87-逐级计算!$P$54)*LN(10)/10),0)+LN(1+EXP(-ABS((LN(10^(逐级计算!$Q$54/10)-1)+逐级计算!$Q$54*(BB87-逐级计算!$P$54)*LN(10)/10))))))),"")</f>
        <v>13.7930365742089</v>
      </c>
      <c r="BD87">
        <f>IF(AND(ISNUMBER(BC87),逐级计算!$X$55&gt;-1),IF(逐级计算!$X$55=0,BC87+逐级计算!$C$55,BC87+逐级计算!$C$55-(10/(逐级计算!$Q$55*LN(10))*(MAX((LN(10^(逐级计算!$Q$55/10)-1)+逐级计算!$Q$55*(BC87-逐级计算!$P$55)*LN(10)/10),0)+LN(1+EXP(-ABS((LN(10^(逐级计算!$Q$55/10)-1)+逐级计算!$Q$55*(BC87-逐级计算!$P$55)*LN(10)/10))))))),"")</f>
        <v>13.7930365742089</v>
      </c>
      <c r="BE87">
        <f>IF(AND(ISNUMBER(BD87),逐级计算!$X$56&gt;-1),IF(逐级计算!$X$56=0,BD87+逐级计算!$C$56,BD87+逐级计算!$C$56-(10/(逐级计算!$Q$56*LN(10))*(MAX((LN(10^(逐级计算!$Q$56/10)-1)+逐级计算!$Q$56*(BD87-逐级计算!$P$56)*LN(10)/10),0)+LN(1+EXP(-ABS((LN(10^(逐级计算!$Q$56/10)-1)+逐级计算!$Q$56*(BD87-逐级计算!$P$56)*LN(10)/10))))))),"")</f>
        <v>13.7930365742089</v>
      </c>
      <c r="BF87">
        <f>IF(AND(ISNUMBER(BE87),逐级计算!$X$57&gt;-1),IF(逐级计算!$X$57=0,BE87+逐级计算!$C$57,BE87+逐级计算!$C$57-(10/(逐级计算!$Q$57*LN(10))*(MAX((LN(10^(逐级计算!$Q$57/10)-1)+逐级计算!$Q$57*(BE87-逐级计算!$P$57)*LN(10)/10),0)+LN(1+EXP(-ABS((LN(10^(逐级计算!$Q$57/10)-1)+逐级计算!$Q$57*(BE87-逐级计算!$P$57)*LN(10)/10))))))),"")</f>
        <v>13.7930365742089</v>
      </c>
      <c r="BG87">
        <f>IF(AND(ISNUMBER(BF87),逐级计算!$X$58&gt;-1),IF(逐级计算!$X$58=0,BF87+逐级计算!$C$58,BF87+逐级计算!$C$58-(10/(逐级计算!$Q$58*LN(10))*(MAX((LN(10^(逐级计算!$Q$58/10)-1)+逐级计算!$Q$58*(BF87-逐级计算!$P$58)*LN(10)/10),0)+LN(1+EXP(-ABS((LN(10^(逐级计算!$Q$58/10)-1)+逐级计算!$Q$58*(BF87-逐级计算!$P$58)*LN(10)/10))))))),"")</f>
        <v>13.7930365742089</v>
      </c>
      <c r="BH87">
        <f>IF(AND(ISNUMBER(BG87),逐级计算!$X$59&gt;-1),IF(逐级计算!$X$59=0,BG87+逐级计算!$C$59,BG87+逐级计算!$C$59-(10/(逐级计算!$Q$59*LN(10))*(MAX((LN(10^(逐级计算!$Q$59/10)-1)+逐级计算!$Q$59*(BG87-逐级计算!$P$59)*LN(10)/10),0)+LN(1+EXP(-ABS((LN(10^(逐级计算!$Q$59/10)-1)+逐级计算!$Q$59*(BG87-逐级计算!$P$59)*LN(10)/10))))))),"")</f>
        <v>13.7930365742089</v>
      </c>
      <c r="BI87">
        <f>IF(AND(ISNUMBER(BH87),逐级计算!$X$60&gt;-1),IF(逐级计算!$X$60=0,BH87+逐级计算!$C$60,BH87+逐级计算!$C$60-(10/(逐级计算!$Q$60*LN(10))*(MAX((LN(10^(逐级计算!$Q$60/10)-1)+逐级计算!$Q$60*(BH87-逐级计算!$P$60)*LN(10)/10),0)+LN(1+EXP(-ABS((LN(10^(逐级计算!$Q$60/10)-1)+逐级计算!$Q$60*(BH87-逐级计算!$P$60)*LN(10)/10))))))),"")</f>
        <v>13.7930365742089</v>
      </c>
      <c r="BJ87">
        <f>IF(AND(ISNUMBER(BI87),逐级计算!$X$61&gt;-1),IF(逐级计算!$X$61=0,BI87+逐级计算!$C$61,BI87+逐级计算!$C$61-(10/(逐级计算!$Q$61*LN(10))*(MAX((LN(10^(逐级计算!$Q$61/10)-1)+逐级计算!$Q$61*(BI87-逐级计算!$P$61)*LN(10)/10),0)+LN(1+EXP(-ABS((LN(10^(逐级计算!$Q$61/10)-1)+逐级计算!$Q$61*(BI87-逐级计算!$P$61)*LN(10)/10))))))),"")</f>
        <v>13.7930365742089</v>
      </c>
      <c r="BK87">
        <f>IF(AND(ISNUMBER(BJ87),逐级计算!$X$62&gt;-1),IF(逐级计算!$X$62=0,BJ87+逐级计算!$C$62,BJ87+逐级计算!$C$62-(10/(逐级计算!$Q$62*LN(10))*(MAX((LN(10^(逐级计算!$Q$62/10)-1)+逐级计算!$Q$62*(BJ87-逐级计算!$P$62)*LN(10)/10),0)+LN(1+EXP(-ABS((LN(10^(逐级计算!$Q$62/10)-1)+逐级计算!$Q$62*(BJ87-逐级计算!$P$62)*LN(10)/10))))))),"")</f>
        <v>13.7930365742089</v>
      </c>
      <c r="BL87">
        <f>IF(AND(ISNUMBER(BK87),逐级计算!$X$63&gt;-1),IF(逐级计算!$X$63=0,BK87+逐级计算!$C$63,BK87+逐级计算!$C$63-(10/(逐级计算!$Q$63*LN(10))*(MAX((LN(10^(逐级计算!$Q$63/10)-1)+逐级计算!$Q$63*(BK87-逐级计算!$P$63)*LN(10)/10),0)+LN(1+EXP(-ABS((LN(10^(逐级计算!$Q$63/10)-1)+逐级计算!$Q$63*(BK87-逐级计算!$P$63)*LN(10)/10))))))),"")</f>
        <v>13.7930365742089</v>
      </c>
      <c r="BM87">
        <f>IF(AND(ISNUMBER(BL87),逐级计算!$X$64&gt;-1),IF(逐级计算!$X$64=0,BL87+逐级计算!$C$64,BL87+逐级计算!$C$64-(10/(逐级计算!$Q$64*LN(10))*(MAX((LN(10^(逐级计算!$Q$64/10)-1)+逐级计算!$Q$64*(BL87-逐级计算!$P$64)*LN(10)/10),0)+LN(1+EXP(-ABS((LN(10^(逐级计算!$Q$64/10)-1)+逐级计算!$Q$64*(BL87-逐级计算!$P$64)*LN(10)/10))))))),"")</f>
        <v>13.7930365742089</v>
      </c>
      <c r="BN87">
        <f>IF(AND(ISNUMBER(BM87),逐级计算!$X$65&gt;-1),IF(逐级计算!$X$65=0,BM87+逐级计算!$C$65,BM87+逐级计算!$C$65-(10/(逐级计算!$Q$65*LN(10))*(MAX((LN(10^(逐级计算!$Q$65/10)-1)+逐级计算!$Q$65*(BM87-逐级计算!$P$65)*LN(10)/10),0)+LN(1+EXP(-ABS((LN(10^(逐级计算!$Q$65/10)-1)+逐级计算!$Q$65*(BM87-逐级计算!$P$65)*LN(10)/10))))))),"")</f>
        <v>13.7930365742089</v>
      </c>
      <c r="BO87">
        <f>IF(AND(ISNUMBER(BN87),逐级计算!$X$66&gt;-1),IF(逐级计算!$X$66=0,BN87+逐级计算!$C$66,BN87+逐级计算!$C$66-(10/(逐级计算!$Q$66*LN(10))*(MAX((LN(10^(逐级计算!$Q$66/10)-1)+逐级计算!$Q$66*(BN87-逐级计算!$P$66)*LN(10)/10),0)+LN(1+EXP(-ABS((LN(10^(逐级计算!$Q$66/10)-1)+逐级计算!$Q$66*(BN87-逐级计算!$P$66)*LN(10)/10))))))),"")</f>
        <v>13.7930365742089</v>
      </c>
      <c r="BP87">
        <f>IF(AND(ISNUMBER(BO87),逐级计算!$X$67&gt;-1),IF(逐级计算!$X$67=0,BO87+逐级计算!$C$67,BO87+逐级计算!$C$67-(10/(逐级计算!$Q$67*LN(10))*(MAX((LN(10^(逐级计算!$Q$67/10)-1)+逐级计算!$Q$67*(BO87-逐级计算!$P$67)*LN(10)/10),0)+LN(1+EXP(-ABS((LN(10^(逐级计算!$Q$67/10)-1)+逐级计算!$Q$67*(BO87-逐级计算!$P$67)*LN(10)/10))))))),"")</f>
        <v>13.7930365742089</v>
      </c>
      <c r="BQ87">
        <f>IF(AND(ISNUMBER(BP87),逐级计算!$X$68&gt;-1),IF(逐级计算!$X$68=0,BP87+逐级计算!$C$68,BP87+逐级计算!$C$68-(10/(逐级计算!$Q$68*LN(10))*(MAX((LN(10^(逐级计算!$Q$68/10)-1)+逐级计算!$Q$68*(BP87-逐级计算!$P$68)*LN(10)/10),0)+LN(1+EXP(-ABS((LN(10^(逐级计算!$Q$68/10)-1)+逐级计算!$Q$68*(BP87-逐级计算!$P$68)*LN(10)/10))))))),"")</f>
        <v>13.7930365742089</v>
      </c>
      <c r="BR87">
        <f>IF(AND(ISNUMBER(BQ87),逐级计算!$X$69&gt;-1),IF(逐级计算!$X$69=0,BQ87+逐级计算!$C$69,BQ87+逐级计算!$C$69-(10/(逐级计算!$Q$69*LN(10))*(MAX((LN(10^(逐级计算!$Q$69/10)-1)+逐级计算!$Q$69*(BQ87-逐级计算!$P$69)*LN(10)/10),0)+LN(1+EXP(-ABS((LN(10^(逐级计算!$Q$69/10)-1)+逐级计算!$Q$69*(BQ87-逐级计算!$P$69)*LN(10)/10))))))),"")</f>
        <v>13.7930365742089</v>
      </c>
      <c r="BS87">
        <f>IF(AND(ISNUMBER(BR87),逐级计算!$X$70&gt;-1),IF(逐级计算!$X$70=0,BR87+逐级计算!$C$70,BR87+逐级计算!$C$70-(10/(逐级计算!$Q$70*LN(10))*(MAX((LN(10^(逐级计算!$Q$70/10)-1)+逐级计算!$Q$70*(BR87-逐级计算!$P$70)*LN(10)/10),0)+LN(1+EXP(-ABS((LN(10^(逐级计算!$Q$70/10)-1)+逐级计算!$Q$70*(BR87-逐级计算!$P$70)*LN(10)/10))))))),"")</f>
        <v>13.7930365742089</v>
      </c>
      <c r="BT87">
        <f>IF(AND(ISNUMBER(BS87),逐级计算!$X$71&gt;-1),IF(逐级计算!$X$71=0,BS87+逐级计算!$C$71,BS87+逐级计算!$C$71-(10/(逐级计算!$Q$71*LN(10))*(MAX((LN(10^(逐级计算!$Q$71/10)-1)+逐级计算!$Q$71*(BS87-逐级计算!$P$71)*LN(10)/10),0)+LN(1+EXP(-ABS((LN(10^(逐级计算!$Q$71/10)-1)+逐级计算!$Q$71*(BS87-逐级计算!$P$71)*LN(10)/10))))))),"")</f>
        <v>13.7930365742089</v>
      </c>
      <c r="BU87">
        <f>IF(AND(ISNUMBER(BT87),逐级计算!$X$72&gt;-1),IF(逐级计算!$X$72=0,BT87+逐级计算!$C$72,BT87+逐级计算!$C$72-(10/(逐级计算!$Q$72*LN(10))*(MAX((LN(10^(逐级计算!$Q$72/10)-1)+逐级计算!$Q$72*(BT87-逐级计算!$P$72)*LN(10)/10),0)+LN(1+EXP(-ABS((LN(10^(逐级计算!$Q$72/10)-1)+逐级计算!$Q$72*(BT87-逐级计算!$P$72)*LN(10)/10))))))),"")</f>
        <v>13.7930365742089</v>
      </c>
      <c r="BV87">
        <f>IF(AND(ISNUMBER(BU87),逐级计算!$X$73&gt;-1),IF(逐级计算!$X$73=0,BU87+逐级计算!$C$73,BU87+逐级计算!$C$73-(10/(逐级计算!$Q$73*LN(10))*(MAX((LN(10^(逐级计算!$Q$73/10)-1)+逐级计算!$Q$73*(BU87-逐级计算!$P$73)*LN(10)/10),0)+LN(1+EXP(-ABS((LN(10^(逐级计算!$Q$73/10)-1)+逐级计算!$Q$73*(BU87-逐级计算!$P$73)*LN(10)/10))))))),"")</f>
        <v>13.7930365742089</v>
      </c>
      <c r="BW87">
        <f>IF(AND(ISNUMBER(BV87),逐级计算!$X$74&gt;-1),IF(逐级计算!$X$74=0,BV87+逐级计算!$C$74,BV87+逐级计算!$C$74-(10/(逐级计算!$Q$74*LN(10))*(MAX((LN(10^(逐级计算!$Q$74/10)-1)+逐级计算!$Q$74*(BV87-逐级计算!$P$74)*LN(10)/10),0)+LN(1+EXP(-ABS((LN(10^(逐级计算!$Q$74/10)-1)+逐级计算!$Q$74*(BV87-逐级计算!$P$74)*LN(10)/10))))))),"")</f>
        <v>13.7930365742089</v>
      </c>
      <c r="BX87">
        <f>IF(AND(ISNUMBER(BW87),逐级计算!$X$75&gt;-1),IF(逐级计算!$X$75=0,BW87+逐级计算!$C$75,BW87+逐级计算!$C$75-(10/(逐级计算!$Q$75*LN(10))*(MAX((LN(10^(逐级计算!$Q$75/10)-1)+逐级计算!$Q$75*(BW87-逐级计算!$P$75)*LN(10)/10),0)+LN(1+EXP(-ABS((LN(10^(逐级计算!$Q$75/10)-1)+逐级计算!$Q$75*(BW87-逐级计算!$P$75)*LN(10)/10))))))),"")</f>
        <v>13.7930365742089</v>
      </c>
      <c r="BY87">
        <f>IF(AND(ISNUMBER(BX87),逐级计算!$X$76&gt;-1),IF(逐级计算!$X$76=0,BX87+逐级计算!$C$76,BX87+逐级计算!$C$76-(10/(逐级计算!$Q$76*LN(10))*(MAX((LN(10^(逐级计算!$Q$76/10)-1)+逐级计算!$Q$76*(BX87-逐级计算!$P$76)*LN(10)/10),0)+LN(1+EXP(-ABS((LN(10^(逐级计算!$Q$76/10)-1)+逐级计算!$Q$76*(BX87-逐级计算!$P$76)*LN(10)/10))))))),"")</f>
        <v>13.7930365742089</v>
      </c>
      <c r="BZ87">
        <f>IF(AND(ISNUMBER(BY87),逐级计算!$X$77&gt;-1),IF(逐级计算!$X$77=0,BY87+逐级计算!$C$77,BY87+逐级计算!$C$77-(10/(逐级计算!$Q$77*LN(10))*(MAX((LN(10^(逐级计算!$Q$77/10)-1)+逐级计算!$Q$77*(BY87-逐级计算!$P$77)*LN(10)/10),0)+LN(1+EXP(-ABS((LN(10^(逐级计算!$Q$77/10)-1)+逐级计算!$Q$77*(BY87-逐级计算!$P$77)*LN(10)/10))))))),"")</f>
        <v>13.7930365742089</v>
      </c>
      <c r="CA87">
        <f>IF(AND(ISNUMBER(BZ87),逐级计算!$X$78&gt;-1),IF(逐级计算!$X$78=0,BZ87+逐级计算!$C$78,BZ87+逐级计算!$C$78-(10/(逐级计算!$Q$78*LN(10))*(MAX((LN(10^(逐级计算!$Q$78/10)-1)+逐级计算!$Q$78*(BZ87-逐级计算!$P$78)*LN(10)/10),0)+LN(1+EXP(-ABS((LN(10^(逐级计算!$Q$78/10)-1)+逐级计算!$Q$78*(BZ87-逐级计算!$P$78)*LN(10)/10))))))),"")</f>
        <v>13.7930365742089</v>
      </c>
      <c r="CB87">
        <f>IF(AND(ISNUMBER(CA87),逐级计算!$X$79&gt;-1),IF(逐级计算!$X$79=0,CA87+逐级计算!$C$79,CA87+逐级计算!$C$79-(10/(逐级计算!$Q$79*LN(10))*(MAX((LN(10^(逐级计算!$Q$79/10)-1)+逐级计算!$Q$79*(CA87-逐级计算!$P$79)*LN(10)/10),0)+LN(1+EXP(-ABS((LN(10^(逐级计算!$Q$79/10)-1)+逐级计算!$Q$79*(CA87-逐级计算!$P$79)*LN(10)/10))))))),"")</f>
        <v>13.7930365742089</v>
      </c>
      <c r="CC87">
        <f>IF(AND(ISNUMBER(CB87),逐级计算!$X$80&gt;-1),IF(逐级计算!$X$80=0,CB87+逐级计算!$C$80,CB87+逐级计算!$C$80-(10/(逐级计算!$Q$80*LN(10))*(MAX((LN(10^(逐级计算!$Q$80/10)-1)+逐级计算!$Q$80*(CB87-逐级计算!$P$80)*LN(10)/10),0)+LN(1+EXP(-ABS((LN(10^(逐级计算!$Q$80/10)-1)+逐级计算!$Q$80*(CB87-逐级计算!$P$80)*LN(10)/10))))))),"")</f>
        <v>13.7930365742089</v>
      </c>
      <c r="CD87">
        <f>IF(AND(ISNUMBER(CC87),逐级计算!$X$81&gt;-1),IF(逐级计算!$X$81=0,CC87+逐级计算!$C$81,CC87+逐级计算!$C$81-(10/(逐级计算!$Q$81*LN(10))*(MAX((LN(10^(逐级计算!$Q$81/10)-1)+逐级计算!$Q$81*(CC87-逐级计算!$P$81)*LN(10)/10),0)+LN(1+EXP(-ABS((LN(10^(逐级计算!$Q$81/10)-1)+逐级计算!$Q$81*(CC87-逐级计算!$P$81)*LN(10)/10))))))),"")</f>
        <v>13.7930365742089</v>
      </c>
      <c r="CE87">
        <f>IF(AND(ISNUMBER(CD87),逐级计算!$X$82&gt;-1),IF(逐级计算!$X$82=0,CD87+逐级计算!$C$82,CD87+逐级计算!$C$82-(10/(逐级计算!$Q$82*LN(10))*(MAX((LN(10^(逐级计算!$Q$82/10)-1)+逐级计算!$Q$82*(CD87-逐级计算!$P$82)*LN(10)/10),0)+LN(1+EXP(-ABS((LN(10^(逐级计算!$Q$82/10)-1)+逐级计算!$Q$82*(CD87-逐级计算!$P$82)*LN(10)/10))))))),"")</f>
        <v>13.7930365742089</v>
      </c>
      <c r="CF87">
        <f>IF(AND(ISNUMBER(CE87),逐级计算!$X$83&gt;-1),IF(逐级计算!$X$83=0,CE87+逐级计算!$C$83,CE87+逐级计算!$C$83-(10/(逐级计算!$Q$83*LN(10))*(MAX((LN(10^(逐级计算!$Q$83/10)-1)+逐级计算!$Q$83*(CE87-逐级计算!$P$83)*LN(10)/10),0)+LN(1+EXP(-ABS((LN(10^(逐级计算!$Q$83/10)-1)+逐级计算!$Q$83*(CE87-逐级计算!$P$83)*LN(10)/10))))))),"")</f>
        <v>13.7930365742089</v>
      </c>
      <c r="CG87">
        <f>IF(AND(ISNUMBER(CF87),逐级计算!$X$84&gt;-1),IF(逐级计算!$X$84=0,CF87+逐级计算!$C$84,CF87+逐级计算!$C$84-(10/(逐级计算!$Q$84*LN(10))*(MAX((LN(10^(逐级计算!$Q$84/10)-1)+逐级计算!$Q$84*(CF87-逐级计算!$P$84)*LN(10)/10),0)+LN(1+EXP(-ABS((LN(10^(逐级计算!$Q$84/10)-1)+逐级计算!$Q$84*(CF87-逐级计算!$P$84)*LN(10)/10))))))),"")</f>
        <v>13.7930365742089</v>
      </c>
      <c r="CH87">
        <f>IF(AND(ISNUMBER(CG87),逐级计算!$X$85&gt;-1),IF(逐级计算!$X$85=0,CG87+逐级计算!$C$85,CG87+逐级计算!$C$85-(10/(逐级计算!$Q$85*LN(10))*(MAX((LN(10^(逐级计算!$Q$85/10)-1)+逐级计算!$Q$85*(CG87-逐级计算!$P$85)*LN(10)/10),0)+LN(1+EXP(-ABS((LN(10^(逐级计算!$Q$85/10)-1)+逐级计算!$Q$85*(CG87-逐级计算!$P$85)*LN(10)/10))))))),"")</f>
        <v>13.7930365742089</v>
      </c>
      <c r="CI87">
        <f>IF(AND(ISNUMBER(CH87),逐级计算!$X$86&gt;-1),IF(逐级计算!$X$86=0,CH87+逐级计算!$C$86,CH87+逐级计算!$C$86-(10/(逐级计算!$Q$86*LN(10))*(MAX((LN(10^(逐级计算!$Q$86/10)-1)+逐级计算!$Q$86*(CH87-逐级计算!$P$86)*LN(10)/10),0)+LN(1+EXP(-ABS((LN(10^(逐级计算!$Q$86/10)-1)+逐级计算!$Q$86*(CH87-逐级计算!$P$86)*LN(10)/10))))))),"")</f>
        <v>13.7930365742089</v>
      </c>
      <c r="CJ87">
        <f>IF(AND(ISNUMBER(CI87),逐级计算!$X$87&gt;-1),IF(逐级计算!$X$87=0,CI87+逐级计算!$C$87,CI87+逐级计算!$C$87-(10/(逐级计算!$Q$87*LN(10))*(MAX((LN(10^(逐级计算!$Q$87/10)-1)+逐级计算!$Q$87*(CI87-逐级计算!$P$87)*LN(10)/10),0)+LN(1+EXP(-ABS((LN(10^(逐级计算!$Q$87/10)-1)+逐级计算!$Q$87*(CI87-逐级计算!$P$87)*LN(10)/10))))))),"")</f>
        <v>13.7930365742089</v>
      </c>
      <c r="CK87">
        <f>IF(AND(ISNUMBER(CJ87),逐级计算!$X$88&gt;-1),IF(逐级计算!$X$88=0,CJ87+逐级计算!$C$88,CJ87+逐级计算!$C$88-(10/(逐级计算!$Q$88*LN(10))*(MAX((LN(10^(逐级计算!$Q$88/10)-1)+逐级计算!$Q$88*(CJ87-逐级计算!$P$88)*LN(10)/10),0)+LN(1+EXP(-ABS((LN(10^(逐级计算!$Q$88/10)-1)+逐级计算!$Q$88*(CJ87-逐级计算!$P$88)*LN(10)/10))))))),"")</f>
        <v>13.7930365742089</v>
      </c>
      <c r="CL87">
        <f>IF(AND(ISNUMBER(CK87),逐级计算!$X$89&gt;-1),IF(逐级计算!$X$89=0,CK87+逐级计算!$C$89,CK87+逐级计算!$C$89-(10/(逐级计算!$Q$89*LN(10))*(MAX((LN(10^(逐级计算!$Q$89/10)-1)+逐级计算!$Q$89*(CK87-逐级计算!$P$89)*LN(10)/10),0)+LN(1+EXP(-ABS((LN(10^(逐级计算!$Q$89/10)-1)+逐级计算!$Q$89*(CK87-逐级计算!$P$89)*LN(10)/10))))))),"")</f>
        <v>13.7930365742089</v>
      </c>
      <c r="CM87">
        <f>IF(AND(ISNUMBER(CL87),逐级计算!$X$90&gt;-1),IF(逐级计算!$X$90=0,CL87+逐级计算!$C$90,CL87+逐级计算!$C$90-(10/(逐级计算!$Q$90*LN(10))*(MAX((LN(10^(逐级计算!$Q$90/10)-1)+逐级计算!$Q$90*(CL87-逐级计算!$P$90)*LN(10)/10),0)+LN(1+EXP(-ABS((LN(10^(逐级计算!$Q$90/10)-1)+逐级计算!$Q$90*(CL87-逐级计算!$P$90)*LN(10)/10))))))),"")</f>
        <v>13.7930365742089</v>
      </c>
      <c r="CN87">
        <f>IF(AND(ISNUMBER(CM87),逐级计算!$X$91&gt;-1),IF(逐级计算!$X$91=0,CM87+逐级计算!$C$91,CM87+逐级计算!$C$91-(10/(逐级计算!$Q$91*LN(10))*(MAX((LN(10^(逐级计算!$Q$91/10)-1)+逐级计算!$Q$91*(CM87-逐级计算!$P$91)*LN(10)/10),0)+LN(1+EXP(-ABS((LN(10^(逐级计算!$Q$91/10)-1)+逐级计算!$Q$91*(CM87-逐级计算!$P$91)*LN(10)/10))))))),"")</f>
        <v>13.7930365742089</v>
      </c>
      <c r="CO87">
        <f>IF(AND(ISNUMBER(CN87),逐级计算!$X$92&gt;-1),IF(逐级计算!$X$92=0,CN87+逐级计算!$C$92,CN87+逐级计算!$C$92-(10/(逐级计算!$Q$92*LN(10))*(MAX((LN(10^(逐级计算!$Q$92/10)-1)+逐级计算!$Q$92*(CN87-逐级计算!$P$92)*LN(10)/10),0)+LN(1+EXP(-ABS((LN(10^(逐级计算!$Q$92/10)-1)+逐级计算!$Q$92*(CN87-逐级计算!$P$92)*LN(10)/10))))))),"")</f>
        <v>13.7930365742089</v>
      </c>
      <c r="CP87">
        <f>IF(AND(ISNUMBER(CO87),逐级计算!$X$93&gt;-1),IF(逐级计算!$X$93=0,CO87+逐级计算!$C$93,CO87+逐级计算!$C$93-(10/(逐级计算!$Q$93*LN(10))*(MAX((LN(10^(逐级计算!$Q$93/10)-1)+逐级计算!$Q$93*(CO87-逐级计算!$P$93)*LN(10)/10),0)+LN(1+EXP(-ABS((LN(10^(逐级计算!$Q$93/10)-1)+逐级计算!$Q$93*(CO87-逐级计算!$P$93)*LN(10)/10))))))),"")</f>
        <v>13.7930365742089</v>
      </c>
      <c r="CQ87">
        <f>IF(AND(ISNUMBER(CP87),逐级计算!$X$94&gt;-1),IF(逐级计算!$X$94=0,CP87+逐级计算!$C$94,CP87+逐级计算!$C$94-(10/(逐级计算!$Q$94*LN(10))*(MAX((LN(10^(逐级计算!$Q$94/10)-1)+逐级计算!$Q$94*(CP87-逐级计算!$P$94)*LN(10)/10),0)+LN(1+EXP(-ABS((LN(10^(逐级计算!$Q$94/10)-1)+逐级计算!$Q$94*(CP87-逐级计算!$P$94)*LN(10)/10))))))),"")</f>
        <v>13.7930365742089</v>
      </c>
      <c r="CR87">
        <f>IF(AND(ISNUMBER(CQ87),逐级计算!$X$95&gt;-1),IF(逐级计算!$X$95=0,CQ87+逐级计算!$C$95,CQ87+逐级计算!$C$95-(10/(逐级计算!$Q$95*LN(10))*(MAX((LN(10^(逐级计算!$Q$95/10)-1)+逐级计算!$Q$95*(CQ87-逐级计算!$P$95)*LN(10)/10),0)+LN(1+EXP(-ABS((LN(10^(逐级计算!$Q$95/10)-1)+逐级计算!$Q$95*(CQ87-逐级计算!$P$95)*LN(10)/10))))))),"")</f>
        <v>13.7930365742089</v>
      </c>
      <c r="CS87">
        <f>IF(AND(ISNUMBER(CR87),逐级计算!$X$96&gt;-1),IF(逐级计算!$X$96=0,CR87+逐级计算!$C$96,CR87+逐级计算!$C$96-(10/(逐级计算!$Q$96*LN(10))*(MAX((LN(10^(逐级计算!$Q$96/10)-1)+逐级计算!$Q$96*(CR87-逐级计算!$P$96)*LN(10)/10),0)+LN(1+EXP(-ABS((LN(10^(逐级计算!$Q$96/10)-1)+逐级计算!$Q$96*(CR87-逐级计算!$P$96)*LN(10)/10))))))),"")</f>
        <v>13.7930365742089</v>
      </c>
      <c r="CT87">
        <f>IF(AND(ISNUMBER(CS87),逐级计算!$X$97&gt;-1),IF(逐级计算!$X$97=0,CS87+逐级计算!$C$97,CS87+逐级计算!$C$97-(10/(逐级计算!$Q$97*LN(10))*(MAX((LN(10^(逐级计算!$Q$97/10)-1)+逐级计算!$Q$97*(CS87-逐级计算!$P$97)*LN(10)/10),0)+LN(1+EXP(-ABS((LN(10^(逐级计算!$Q$97/10)-1)+逐级计算!$Q$97*(CS87-逐级计算!$P$97)*LN(10)/10))))))),"")</f>
        <v>13.7930365742089</v>
      </c>
      <c r="CU87">
        <f>IF(AND(ISNUMBER(CT87),逐级计算!$X$98&gt;-1),IF(逐级计算!$X$98=0,CT87+逐级计算!$C$98,CT87+逐级计算!$C$98-(10/(逐级计算!$Q$98*LN(10))*(MAX((LN(10^(逐级计算!$Q$98/10)-1)+逐级计算!$Q$98*(CT87-逐级计算!$P$98)*LN(10)/10),0)+LN(1+EXP(-ABS((LN(10^(逐级计算!$Q$98/10)-1)+逐级计算!$Q$98*(CT87-逐级计算!$P$98)*LN(10)/10))))))),"")</f>
        <v>13.7930365742089</v>
      </c>
      <c r="CV87">
        <f>IF(AND(ISNUMBER(CU87),逐级计算!$X$99&gt;-1),IF(逐级计算!$X$99=0,CU87+逐级计算!$C$99,CU87+逐级计算!$C$99-(10/(逐级计算!$Q$99*LN(10))*(MAX((LN(10^(逐级计算!$Q$99/10)-1)+逐级计算!$Q$99*(CU87-逐级计算!$P$99)*LN(10)/10),0)+LN(1+EXP(-ABS((LN(10^(逐级计算!$Q$99/10)-1)+逐级计算!$Q$99*(CU87-逐级计算!$P$99)*LN(10)/10))))))),"")</f>
        <v>13.7930365742089</v>
      </c>
      <c r="CW87">
        <f>IF(AND(ISNUMBER(CV87),逐级计算!$X$100&gt;-1),IF(逐级计算!$X$100=0,CV87+逐级计算!$C$100,CV87+逐级计算!$C$100-(10/(逐级计算!$Q$100*LN(10))*(MAX((LN(10^(逐级计算!$Q$100/10)-1)+逐级计算!$Q$100*(CV87-逐级计算!$P$100)*LN(10)/10),0)+LN(1+EXP(-ABS((LN(10^(逐级计算!$Q$100/10)-1)+逐级计算!$Q$100*(CV87-逐级计算!$P$100)*LN(10)/10))))))),"")</f>
        <v>13.7930365742089</v>
      </c>
      <c r="CX87">
        <f>IF(AND(ISNUMBER(CW87),逐级计算!$X$101&gt;-1),IF(逐级计算!$X$101=0,CW87+逐级计算!$C$101,CW87+逐级计算!$C$101-(10/(逐级计算!$Q$101*LN(10))*(MAX((LN(10^(逐级计算!$Q$101/10)-1)+逐级计算!$Q$101*(CW87-逐级计算!$P$101)*LN(10)/10),0)+LN(1+EXP(-ABS((LN(10^(逐级计算!$Q$101/10)-1)+逐级计算!$Q$101*(CW87-逐级计算!$P$101)*LN(10)/10))))))),"")</f>
        <v>13.7930365742089</v>
      </c>
      <c r="CY87">
        <f>IF(AND(ISNUMBER(CX87),逐级计算!$X$102&gt;-1),IF(逐级计算!$X$102=0,CX87+逐级计算!$C$102,CX87+逐级计算!$C$102-(10/(逐级计算!$Q$102*LN(10))*(MAX((LN(10^(逐级计算!$Q$102/10)-1)+逐级计算!$Q$102*(CX87-逐级计算!$P$102)*LN(10)/10),0)+LN(1+EXP(-ABS((LN(10^(逐级计算!$Q$102/10)-1)+逐级计算!$Q$102*(CX87-逐级计算!$P$102)*LN(10)/10))))))),"")</f>
        <v>13.7930365742089</v>
      </c>
      <c r="CZ87">
        <f>IF(AND(ISNUMBER(CY87),逐级计算!$X$103&gt;-1),IF(逐级计算!$X$103=0,CY87+逐级计算!$C$103,CY87+逐级计算!$C$103-(10/(逐级计算!$Q$103*LN(10))*(MAX((LN(10^(逐级计算!$Q$103/10)-1)+逐级计算!$Q$103*(CY87-逐级计算!$P$103)*LN(10)/10),0)+LN(1+EXP(-ABS((LN(10^(逐级计算!$Q$103/10)-1)+逐级计算!$Q$103*(CY87-逐级计算!$P$103)*LN(10)/10))))))),"")</f>
        <v>13.7930365742089</v>
      </c>
      <c r="DA87">
        <f>IF(AND(ISNUMBER(CZ87),逐级计算!$X$104&gt;-1),IF(逐级计算!$X$104=0,CZ87+逐级计算!$C$104,CZ87+逐级计算!$C$104-(10/(逐级计算!$Q$104*LN(10))*(MAX((LN(10^(逐级计算!$Q$104/10)-1)+逐级计算!$Q$104*(CZ87-逐级计算!$P$104)*LN(10)/10),0)+LN(1+EXP(-ABS((LN(10^(逐级计算!$Q$104/10)-1)+逐级计算!$Q$104*(CZ87-逐级计算!$P$104)*LN(10)/10))))))),"")</f>
        <v>13.7930365742089</v>
      </c>
      <c r="DB87">
        <f>IF(AND(ISNUMBER(DA87),逐级计算!$X$105&gt;-1),IF(逐级计算!$X$105=0,DA87+逐级计算!$C$105,DA87+逐级计算!$C$105-(10/(逐级计算!$Q$105*LN(10))*(MAX((LN(10^(逐级计算!$Q$105/10)-1)+逐级计算!$Q$105*(DA87-逐级计算!$P$105)*LN(10)/10),0)+LN(1+EXP(-ABS((LN(10^(逐级计算!$Q$105/10)-1)+逐级计算!$Q$105*(DA87-逐级计算!$P$105)*LN(10)/10))))))),"")</f>
        <v>13.7930365742089</v>
      </c>
      <c r="DC87">
        <f>IF(AND(ISNUMBER(DB87),逐级计算!$X$106&gt;-1),IF(逐级计算!$X$106=0,DB87+逐级计算!$C$106,DB87+逐级计算!$C$106-(10/(逐级计算!$Q$106*LN(10))*(MAX((LN(10^(逐级计算!$Q$106/10)-1)+逐级计算!$Q$106*(DB87-逐级计算!$P$106)*LN(10)/10),0)+LN(1+EXP(-ABS((LN(10^(逐级计算!$Q$106/10)-1)+逐级计算!$Q$106*(DB87-逐级计算!$P$106)*LN(10)/10))))))),"")</f>
        <v>13.7930365742089</v>
      </c>
      <c r="DD87">
        <f>IF(AND(ISNUMBER(DC87),逐级计算!$X$107&gt;-1),IF(逐级计算!$X$107=0,DC87+逐级计算!$C$107,DC87+逐级计算!$C$107-(10/(逐级计算!$Q$107*LN(10))*(MAX((LN(10^(逐级计算!$Q$107/10)-1)+逐级计算!$Q$107*(DC87-逐级计算!$P$107)*LN(10)/10),0)+LN(1+EXP(-ABS((LN(10^(逐级计算!$Q$107/10)-1)+逐级计算!$Q$107*(DC87-逐级计算!$P$107)*LN(10)/10))))))),"")</f>
        <v>13.7930365742089</v>
      </c>
      <c r="DE87">
        <f>IF(AND(ISNUMBER(DD87),逐级计算!$X$108&gt;-1),IF(逐级计算!$X$108=0,DD87+逐级计算!$C$108,DD87+逐级计算!$C$108-(10/(逐级计算!$Q$108*LN(10))*(MAX((LN(10^(逐级计算!$Q$108/10)-1)+逐级计算!$Q$108*(DD87-逐级计算!$P$108)*LN(10)/10),0)+LN(1+EXP(-ABS((LN(10^(逐级计算!$Q$108/10)-1)+逐级计算!$Q$108*(DD87-逐级计算!$P$108)*LN(10)/10))))))),"")</f>
        <v>13.7930365742089</v>
      </c>
      <c r="DF87">
        <f>IF(AND(ISNUMBER(DE87),逐级计算!$X$109&gt;-1),IF(逐级计算!$X$109=0,DE87+逐级计算!$C$109,DE87+逐级计算!$C$109-(10/(逐级计算!$Q$109*LN(10))*(MAX((LN(10^(逐级计算!$Q$109/10)-1)+逐级计算!$Q$109*(DE87-逐级计算!$P$109)*LN(10)/10),0)+LN(1+EXP(-ABS((LN(10^(逐级计算!$Q$109/10)-1)+逐级计算!$Q$109*(DE87-逐级计算!$P$109)*LN(10)/10))))))),"")</f>
        <v>13.7930365742089</v>
      </c>
      <c r="DG87">
        <f>IF(AND(ISNUMBER(DF87),逐级计算!$X$110&gt;-1),IF(逐级计算!$X$110=0,DF87+逐级计算!$C$110,DF87+逐级计算!$C$110-(10/(逐级计算!$Q$110*LN(10))*(MAX((LN(10^(逐级计算!$Q$110/10)-1)+逐级计算!$Q$110*(DF87-逐级计算!$P$110)*LN(10)/10),0)+LN(1+EXP(-ABS((LN(10^(逐级计算!$Q$110/10)-1)+逐级计算!$Q$110*(DF87-逐级计算!$P$110)*LN(10)/10))))))),"")</f>
        <v>13.7930365742089</v>
      </c>
      <c r="DH87">
        <f>IF(AND(ISNUMBER(DG87),逐级计算!$X$111&gt;-1),IF(逐级计算!$X$111=0,DG87+逐级计算!$C$111,DG87+逐级计算!$C$111-(10/(逐级计算!$Q$111*LN(10))*(MAX((LN(10^(逐级计算!$Q$111/10)-1)+逐级计算!$Q$111*(DG87-逐级计算!$P$111)*LN(10)/10),0)+LN(1+EXP(-ABS((LN(10^(逐级计算!$Q$111/10)-1)+逐级计算!$Q$111*(DG87-逐级计算!$P$111)*LN(10)/10))))))),"")</f>
        <v>13.7930365742089</v>
      </c>
      <c r="DI87">
        <f>IF(AND(ISNUMBER(DH87),逐级计算!$X$112&gt;-1),IF(逐级计算!$X$112=0,DH87+逐级计算!$C$112,DH87+逐级计算!$C$112-(10/(逐级计算!$Q$112*LN(10))*(MAX((LN(10^(逐级计算!$Q$112/10)-1)+逐级计算!$Q$112*(DH87-逐级计算!$P$112)*LN(10)/10),0)+LN(1+EXP(-ABS((LN(10^(逐级计算!$Q$112/10)-1)+逐级计算!$Q$112*(DH87-逐级计算!$P$112)*LN(10)/10))))))),"")</f>
        <v>13.7930365742089</v>
      </c>
      <c r="DJ87">
        <f>IF(AND(ISNUMBER(DI87),逐级计算!$X$113&gt;-1),IF(逐级计算!$X$113=0,DI87+逐级计算!$C$113,DI87+逐级计算!$C$113-(10/(逐级计算!$Q$113*LN(10))*(MAX((LN(10^(逐级计算!$Q$113/10)-1)+逐级计算!$Q$113*(DI87-逐级计算!$P$113)*LN(10)/10),0)+LN(1+EXP(-ABS((LN(10^(逐级计算!$Q$113/10)-1)+逐级计算!$Q$113*(DI87-逐级计算!$P$113)*LN(10)/10))))))),"")</f>
        <v>13.7930365742089</v>
      </c>
      <c r="DK87">
        <f>IF(AND(ISNUMBER(DJ87),逐级计算!$X$114&gt;-1),IF(逐级计算!$X$114=0,DJ87+逐级计算!$C$114,DJ87+逐级计算!$C$114-(10/(逐级计算!$Q$114*LN(10))*(MAX((LN(10^(逐级计算!$Q$114/10)-1)+逐级计算!$Q$114*(DJ87-逐级计算!$P$114)*LN(10)/10),0)+LN(1+EXP(-ABS((LN(10^(逐级计算!$Q$114/10)-1)+逐级计算!$Q$114*(DJ87-逐级计算!$P$114)*LN(10)/10))))))),"")</f>
        <v>13.7930365742089</v>
      </c>
      <c r="DL87">
        <f>IF(AND(ISNUMBER(DK87),逐级计算!$X$115&gt;-1),IF(逐级计算!$X$115=0,DK87+逐级计算!$C$115,DK87+逐级计算!$C$115-(10/(逐级计算!$Q$115*LN(10))*(MAX((LN(10^(逐级计算!$Q$115/10)-1)+逐级计算!$Q$115*(DK87-逐级计算!$P$115)*LN(10)/10),0)+LN(1+EXP(-ABS((LN(10^(逐级计算!$Q$115/10)-1)+逐级计算!$Q$115*(DK87-逐级计算!$P$115)*LN(10)/10))))))),"")</f>
        <v>13.7930365742089</v>
      </c>
      <c r="DM87">
        <f>IF(AND(ISNUMBER(DL87),逐级计算!$X$116&gt;-1),IF(逐级计算!$X$116=0,DL87+逐级计算!$C$116,DL87+逐级计算!$C$116-(10/(逐级计算!$Q$116*LN(10))*(MAX((LN(10^(逐级计算!$Q$116/10)-1)+逐级计算!$Q$116*(DL87-逐级计算!$P$116)*LN(10)/10),0)+LN(1+EXP(-ABS((LN(10^(逐级计算!$Q$116/10)-1)+逐级计算!$Q$116*(DL87-逐级计算!$P$116)*LN(10)/10))))))),"")</f>
        <v>13.7930365742089</v>
      </c>
      <c r="DN87">
        <f>IF(AND(ISNUMBER(DM87),逐级计算!$X$117&gt;-1),IF(逐级计算!$X$117=0,DM87+逐级计算!$C$117,DM87+逐级计算!$C$117-(10/(逐级计算!$Q$117*LN(10))*(MAX((LN(10^(逐级计算!$Q$117/10)-1)+逐级计算!$Q$117*(DM87-逐级计算!$P$117)*LN(10)/10),0)+LN(1+EXP(-ABS((LN(10^(逐级计算!$Q$117/10)-1)+逐级计算!$Q$117*(DM87-逐级计算!$P$117)*LN(10)/10))))))),"")</f>
        <v>13.7930365742089</v>
      </c>
      <c r="DO87">
        <f>IF(AND(ISNUMBER(DN87),逐级计算!$X$118&gt;-1),IF(逐级计算!$X$118=0,DN87+逐级计算!$C$118,DN87+逐级计算!$C$118-(10/(逐级计算!$Q$118*LN(10))*(MAX((LN(10^(逐级计算!$Q$118/10)-1)+逐级计算!$Q$118*(DN87-逐级计算!$P$118)*LN(10)/10),0)+LN(1+EXP(-ABS((LN(10^(逐级计算!$Q$118/10)-1)+逐级计算!$Q$118*(DN87-逐级计算!$P$118)*LN(10)/10))))))),"")</f>
        <v>13.7930365742089</v>
      </c>
      <c r="DP87">
        <f>IF(AND(ISNUMBER(DO87),逐级计算!$X$119&gt;-1),IF(逐级计算!$X$119=0,DO87+逐级计算!$C$119,DO87+逐级计算!$C$119-(10/(逐级计算!$Q$119*LN(10))*(MAX((LN(10^(逐级计算!$Q$119/10)-1)+逐级计算!$Q$119*(DO87-逐级计算!$P$119)*LN(10)/10),0)+LN(1+EXP(-ABS((LN(10^(逐级计算!$Q$119/10)-1)+逐级计算!$Q$119*(DO87-逐级计算!$P$119)*LN(10)/10))))))),"")</f>
        <v>13.7930365742089</v>
      </c>
      <c r="DQ87">
        <f>IF(AND(ISNUMBER(DP87),逐级计算!$X$120&gt;-1),IF(逐级计算!$X$120=0,DP87+逐级计算!$C$120,DP87+逐级计算!$C$120-(10/(逐级计算!$Q$120*LN(10))*(MAX((LN(10^(逐级计算!$Q$120/10)-1)+逐级计算!$Q$120*(DP87-逐级计算!$P$120)*LN(10)/10),0)+LN(1+EXP(-ABS((LN(10^(逐级计算!$Q$120/10)-1)+逐级计算!$Q$120*(DP87-逐级计算!$P$120)*LN(10)/10))))))),"")</f>
        <v>13.7930365742089</v>
      </c>
      <c r="DR87">
        <f>IF(AND(ISNUMBER(DQ87),逐级计算!$X$121&gt;-1),IF(逐级计算!$X$121=0,DQ87+逐级计算!$C$121,DQ87+逐级计算!$C$121-(10/(逐级计算!$Q$121*LN(10))*(MAX((LN(10^(逐级计算!$Q$121/10)-1)+逐级计算!$Q$121*(DQ87-逐级计算!$P$121)*LN(10)/10),0)+LN(1+EXP(-ABS((LN(10^(逐级计算!$Q$121/10)-1)+逐级计算!$Q$121*(DQ87-逐级计算!$P$121)*LN(10)/10))))))),"")</f>
        <v>13.7930365742089</v>
      </c>
      <c r="DS87">
        <f>IF(AND(ISNUMBER(DR87),逐级计算!$X$122&gt;-1),IF(逐级计算!$X$122=0,DR87+逐级计算!$C$122,DR87+逐级计算!$C$122-(10/(逐级计算!$Q$122*LN(10))*(MAX((LN(10^(逐级计算!$Q$122/10)-1)+逐级计算!$Q$122*(DR87-逐级计算!$P$122)*LN(10)/10),0)+LN(1+EXP(-ABS((LN(10^(逐级计算!$Q$122/10)-1)+逐级计算!$Q$122*(DR87-逐级计算!$P$122)*LN(10)/10))))))),"")</f>
        <v>13.7930365742089</v>
      </c>
      <c r="DT87">
        <f>IF(AND(ISNUMBER(DS87),逐级计算!$X$123&gt;-1),IF(逐级计算!$X$123=0,DS87+逐级计算!$C$123,DS87+逐级计算!$C$123-(10/(逐级计算!$Q$123*LN(10))*(MAX((LN(10^(逐级计算!$Q$123/10)-1)+逐级计算!$Q$123*(DS87-逐级计算!$P$123)*LN(10)/10),0)+LN(1+EXP(-ABS((LN(10^(逐级计算!$Q$123/10)-1)+逐级计算!$Q$123*(DS87-逐级计算!$P$123)*LN(10)/10))))))),"")</f>
        <v>13.7930365742089</v>
      </c>
      <c r="DU87">
        <f>IF(AND(ISNUMBER(DT87),逐级计算!$X$124&gt;-1),IF(逐级计算!$X$124=0,DT87+逐级计算!$C$124,DT87+逐级计算!$C$124-(10/(逐级计算!$Q$124*LN(10))*(MAX((LN(10^(逐级计算!$Q$124/10)-1)+逐级计算!$Q$124*(DT87-逐级计算!$P$124)*LN(10)/10),0)+LN(1+EXP(-ABS((LN(10^(逐级计算!$Q$124/10)-1)+逐级计算!$Q$124*(DT87-逐级计算!$P$124)*LN(10)/10))))))),"")</f>
        <v>13.7930365742089</v>
      </c>
      <c r="DV87">
        <f>IF(AND(ISNUMBER(DU87),逐级计算!$X$125&gt;-1),IF(逐级计算!$X$125=0,DU87+逐级计算!$C$125,DU87+逐级计算!$C$125-(10/(逐级计算!$Q$125*LN(10))*(MAX((LN(10^(逐级计算!$Q$125/10)-1)+逐级计算!$Q$125*(DU87-逐级计算!$P$125)*LN(10)/10),0)+LN(1+EXP(-ABS((LN(10^(逐级计算!$Q$125/10)-1)+逐级计算!$Q$125*(DU87-逐级计算!$P$125)*LN(10)/10))))))),"")</f>
        <v>13.7930365742089</v>
      </c>
      <c r="DW87">
        <f>IF(AND(ISNUMBER(DV87),逐级计算!$X$126&gt;-1),IF(逐级计算!$X$126=0,DV87+逐级计算!$C$126,DV87+逐级计算!$C$126-(10/(逐级计算!$Q$126*LN(10))*(MAX((LN(10^(逐级计算!$Q$126/10)-1)+逐级计算!$Q$126*(DV87-逐级计算!$P$126)*LN(10)/10),0)+LN(1+EXP(-ABS((LN(10^(逐级计算!$Q$126/10)-1)+逐级计算!$Q$126*(DV87-逐级计算!$P$126)*LN(10)/10))))))),"")</f>
        <v>13.7930365742089</v>
      </c>
      <c r="DX87">
        <f>IF(AND(ISNUMBER(DW87),逐级计算!$X$127&gt;-1),IF(逐级计算!$X$127=0,DW87+逐级计算!$C$127,DW87+逐级计算!$C$127-(10/(逐级计算!$Q$127*LN(10))*(MAX((LN(10^(逐级计算!$Q$127/10)-1)+逐级计算!$Q$127*(DW87-逐级计算!$P$127)*LN(10)/10),0)+LN(1+EXP(-ABS((LN(10^(逐级计算!$Q$127/10)-1)+逐级计算!$Q$127*(DW87-逐级计算!$P$127)*LN(10)/10))))))),"")</f>
        <v>13.7930365742089</v>
      </c>
      <c r="DY87">
        <f>IF(AND(ISNUMBER(DX87),逐级计算!$X$128&gt;-1),IF(逐级计算!$X$128=0,DX87+逐级计算!$C$128,DX87+逐级计算!$C$128-(10/(逐级计算!$Q$128*LN(10))*(MAX((LN(10^(逐级计算!$Q$128/10)-1)+逐级计算!$Q$128*(DX87-逐级计算!$P$128)*LN(10)/10),0)+LN(1+EXP(-ABS((LN(10^(逐级计算!$Q$128/10)-1)+逐级计算!$Q$128*(DX87-逐级计算!$P$128)*LN(10)/10))))))),"")</f>
        <v>13.7930365742089</v>
      </c>
      <c r="DZ87">
        <f>IF(AND(ISNUMBER(DY87),逐级计算!$X$129&gt;-1),IF(逐级计算!$X$129=0,DY87+逐级计算!$C$129,DY87+逐级计算!$C$129-(10/(逐级计算!$Q$129*LN(10))*(MAX((LN(10^(逐级计算!$Q$129/10)-1)+逐级计算!$Q$129*(DY87-逐级计算!$P$129)*LN(10)/10),0)+LN(1+EXP(-ABS((LN(10^(逐级计算!$Q$129/10)-1)+逐级计算!$Q$129*(DY87-逐级计算!$P$129)*LN(10)/10))))))),"")</f>
        <v>13.7930365742089</v>
      </c>
      <c r="EA87">
        <f>IF(AND(ISNUMBER(DZ87),逐级计算!$X$130&gt;-1),IF(逐级计算!$X$130=0,DZ87+逐级计算!$C$130,DZ87+逐级计算!$C$130-(10/(逐级计算!$Q$130*LN(10))*(MAX((LN(10^(逐级计算!$Q$130/10)-1)+逐级计算!$Q$130*(DZ87-逐级计算!$P$130)*LN(10)/10),0)+LN(1+EXP(-ABS((LN(10^(逐级计算!$Q$130/10)-1)+逐级计算!$Q$130*(DZ87-逐级计算!$P$130)*LN(10)/10))))))),"")</f>
        <v>13.7930365742089</v>
      </c>
      <c r="EB87">
        <f>IF(AND(ISNUMBER(EA87),逐级计算!$X$131&gt;-1),IF(逐级计算!$X$131=0,EA87+逐级计算!$C$131,EA87+逐级计算!$C$131-(10/(逐级计算!$Q$131*LN(10))*(MAX((LN(10^(逐级计算!$Q$131/10)-1)+逐级计算!$Q$131*(EA87-逐级计算!$P$131)*LN(10)/10),0)+LN(1+EXP(-ABS((LN(10^(逐级计算!$Q$131/10)-1)+逐级计算!$Q$131*(EA87-逐级计算!$P$131)*LN(10)/10))))))),"")</f>
        <v>13.7930365742089</v>
      </c>
      <c r="EC87">
        <f>IF(AND(ISNUMBER(EB87),逐级计算!$X$132&gt;-1),IF(逐级计算!$X$132=0,EB87+逐级计算!$C$132,EB87+逐级计算!$C$132-(10/(逐级计算!$Q$132*LN(10))*(MAX((LN(10^(逐级计算!$Q$132/10)-1)+逐级计算!$Q$132*(EB87-逐级计算!$P$132)*LN(10)/10),0)+LN(1+EXP(-ABS((LN(10^(逐级计算!$Q$132/10)-1)+逐级计算!$Q$132*(EB87-逐级计算!$P$132)*LN(10)/10))))))),"")</f>
        <v>13.7930365742089</v>
      </c>
      <c r="ED87">
        <f>IF(AND(ISNUMBER(EC87),逐级计算!$X$133&gt;-1),IF(逐级计算!$X$133=0,EC87+逐级计算!$C$133,EC87+逐级计算!$C$133-(10/(逐级计算!$Q$133*LN(10))*(MAX((LN(10^(逐级计算!$Q$133/10)-1)+逐级计算!$Q$133*(EC87-逐级计算!$P$133)*LN(10)/10),0)+LN(1+EXP(-ABS((LN(10^(逐级计算!$Q$133/10)-1)+逐级计算!$Q$133*(EC87-逐级计算!$P$133)*LN(10)/10))))))),"")</f>
        <v>13.7930365742089</v>
      </c>
      <c r="EE87">
        <f>IF(AND(ISNUMBER(ED87),逐级计算!$X$134&gt;-1),IF(逐级计算!$X$134=0,ED87+逐级计算!$C$134,ED87+逐级计算!$C$134-(10/(逐级计算!$Q$134*LN(10))*(MAX((LN(10^(逐级计算!$Q$134/10)-1)+逐级计算!$Q$134*(ED87-逐级计算!$P$134)*LN(10)/10),0)+LN(1+EXP(-ABS((LN(10^(逐级计算!$Q$134/10)-1)+逐级计算!$Q$134*(ED87-逐级计算!$P$134)*LN(10)/10))))))),"")</f>
        <v>13.7930365742089</v>
      </c>
      <c r="EF87">
        <f>IF(AND(ISNUMBER(EE87),逐级计算!$X$135&gt;-1),IF(逐级计算!$X$135=0,EE87+逐级计算!$C$135,EE87+逐级计算!$C$135-(10/(逐级计算!$Q$135*LN(10))*(MAX((LN(10^(逐级计算!$Q$135/10)-1)+逐级计算!$Q$135*(EE87-逐级计算!$P$135)*LN(10)/10),0)+LN(1+EXP(-ABS((LN(10^(逐级计算!$Q$135/10)-1)+逐级计算!$Q$135*(EE87-逐级计算!$P$135)*LN(10)/10))))))),"")</f>
        <v>13.7930365742089</v>
      </c>
      <c r="EG87">
        <f>IF(AND(ISNUMBER(EF87),逐级计算!$X$136&gt;-1),IF(逐级计算!$X$136=0,EF87+逐级计算!$C$136,EF87+逐级计算!$C$136-(10/(逐级计算!$Q$136*LN(10))*(MAX((LN(10^(逐级计算!$Q$136/10)-1)+逐级计算!$Q$136*(EF87-逐级计算!$P$136)*LN(10)/10),0)+LN(1+EXP(-ABS((LN(10^(逐级计算!$Q$136/10)-1)+逐级计算!$Q$136*(EF87-逐级计算!$P$136)*LN(10)/10))))))),"")</f>
        <v>13.7930365742089</v>
      </c>
      <c r="EH87">
        <f>IF(AND(ISNUMBER(EG87),逐级计算!$X$137&gt;-1),IF(逐级计算!$X$137=0,EG87+逐级计算!$C$137,EG87+逐级计算!$C$137-(10/(逐级计算!$Q$137*LN(10))*(MAX((LN(10^(逐级计算!$Q$137/10)-1)+逐级计算!$Q$137*(EG87-逐级计算!$P$137)*LN(10)/10),0)+LN(1+EXP(-ABS((LN(10^(逐级计算!$Q$137/10)-1)+逐级计算!$Q$137*(EG87-逐级计算!$P$137)*LN(10)/10))))))),"")</f>
        <v>13.7930365742089</v>
      </c>
      <c r="EI87">
        <f>IF(AND(ISNUMBER(EH87),逐级计算!$X$138&gt;-1),IF(逐级计算!$X$138=0,EH87+逐级计算!$C$138,EH87+逐级计算!$C$138-(10/(逐级计算!$Q$138*LN(10))*(MAX((LN(10^(逐级计算!$Q$138/10)-1)+逐级计算!$Q$138*(EH87-逐级计算!$P$138)*LN(10)/10),0)+LN(1+EXP(-ABS((LN(10^(逐级计算!$Q$138/10)-1)+逐级计算!$Q$138*(EH87-逐级计算!$P$138)*LN(10)/10))))))),"")</f>
        <v>13.7930365742089</v>
      </c>
      <c r="EJ87">
        <f>IF(AND(ISNUMBER(EI87),逐级计算!$X$139&gt;-1),IF(逐级计算!$X$139=0,EI87+逐级计算!$C$139,EI87+逐级计算!$C$139-(10/(逐级计算!$Q$139*LN(10))*(MAX((LN(10^(逐级计算!$Q$139/10)-1)+逐级计算!$Q$139*(EI87-逐级计算!$P$139)*LN(10)/10),0)+LN(1+EXP(-ABS((LN(10^(逐级计算!$Q$139/10)-1)+逐级计算!$Q$139*(EI87-逐级计算!$P$139)*LN(10)/10))))))),"")</f>
        <v>13.7930365742089</v>
      </c>
      <c r="EK87">
        <f>IF(AND(ISNUMBER(EJ87),逐级计算!$X$140&gt;-1),IF(逐级计算!$X$140=0,EJ87+逐级计算!$C$140,EJ87+逐级计算!$C$140-(10/(逐级计算!$Q$140*LN(10))*(MAX((LN(10^(逐级计算!$Q$140/10)-1)+逐级计算!$Q$140*(EJ87-逐级计算!$P$140)*LN(10)/10),0)+LN(1+EXP(-ABS((LN(10^(逐级计算!$Q$140/10)-1)+逐级计算!$Q$140*(EJ87-逐级计算!$P$140)*LN(10)/10))))))),"")</f>
        <v>13.7930365742089</v>
      </c>
      <c r="EL87">
        <f>IF(AND(ISNUMBER(EK87),逐级计算!$X$141&gt;-1),IF(逐级计算!$X$141=0,EK87+逐级计算!$C$141,EK87+逐级计算!$C$141-(10/(逐级计算!$Q$141*LN(10))*(MAX((LN(10^(逐级计算!$Q$141/10)-1)+逐级计算!$Q$141*(EK87-逐级计算!$P$141)*LN(10)/10),0)+LN(1+EXP(-ABS((LN(10^(逐级计算!$Q$141/10)-1)+逐级计算!$Q$141*(EK87-逐级计算!$P$141)*LN(10)/10))))))),"")</f>
        <v>13.7930365742089</v>
      </c>
      <c r="EM87">
        <f>IF(AND(ISNUMBER(EL87),逐级计算!$X$142&gt;-1),IF(逐级计算!$X$142=0,EL87+逐级计算!$C$142,EL87+逐级计算!$C$142-(10/(逐级计算!$Q$142*LN(10))*(MAX((LN(10^(逐级计算!$Q$142/10)-1)+逐级计算!$Q$142*(EL87-逐级计算!$P$142)*LN(10)/10),0)+LN(1+EXP(-ABS((LN(10^(逐级计算!$Q$142/10)-1)+逐级计算!$Q$142*(EL87-逐级计算!$P$142)*LN(10)/10))))))),"")</f>
        <v>13.7930365742089</v>
      </c>
      <c r="EN87">
        <f>IF(AND(ISNUMBER(EM87),逐级计算!$X$143&gt;-1),IF(逐级计算!$X$143=0,EM87+逐级计算!$C$143,EM87+逐级计算!$C$143-(10/(逐级计算!$Q$143*LN(10))*(MAX((LN(10^(逐级计算!$Q$143/10)-1)+逐级计算!$Q$143*(EM87-逐级计算!$P$143)*LN(10)/10),0)+LN(1+EXP(-ABS((LN(10^(逐级计算!$Q$143/10)-1)+逐级计算!$Q$143*(EM87-逐级计算!$P$143)*LN(10)/10))))))),"")</f>
        <v>13.7930365742089</v>
      </c>
      <c r="EO87">
        <f>IF(AND(ISNUMBER(EN87),逐级计算!$X$144&gt;-1),IF(逐级计算!$X$144=0,EN87+逐级计算!$C$144,EN87+逐级计算!$C$144-(10/(逐级计算!$Q$144*LN(10))*(MAX((LN(10^(逐级计算!$Q$144/10)-1)+逐级计算!$Q$144*(EN87-逐级计算!$P$144)*LN(10)/10),0)+LN(1+EXP(-ABS((LN(10^(逐级计算!$Q$144/10)-1)+逐级计算!$Q$144*(EN87-逐级计算!$P$144)*LN(10)/10))))))),"")</f>
        <v>13.7930365742089</v>
      </c>
      <c r="EP87">
        <f>IF(AND(ISNUMBER(EO87),逐级计算!$X$145&gt;-1),IF(逐级计算!$X$145=0,EO87+逐级计算!$C$145,EO87+逐级计算!$C$145-(10/(逐级计算!$Q$145*LN(10))*(MAX((LN(10^(逐级计算!$Q$145/10)-1)+逐级计算!$Q$145*(EO87-逐级计算!$P$145)*LN(10)/10),0)+LN(1+EXP(-ABS((LN(10^(逐级计算!$Q$145/10)-1)+逐级计算!$Q$145*(EO87-逐级计算!$P$145)*LN(10)/10))))))),"")</f>
        <v>13.7930365742089</v>
      </c>
      <c r="EQ87">
        <f>IF(AND(ISNUMBER(EP87),逐级计算!$X$146&gt;-1),IF(逐级计算!$X$146=0,EP87+逐级计算!$C$146,EP87+逐级计算!$C$146-(10/(逐级计算!$Q$146*LN(10))*(MAX((LN(10^(逐级计算!$Q$146/10)-1)+逐级计算!$Q$146*(EP87-逐级计算!$P$146)*LN(10)/10),0)+LN(1+EXP(-ABS((LN(10^(逐级计算!$Q$146/10)-1)+逐级计算!$Q$146*(EP87-逐级计算!$P$146)*LN(10)/10))))))),"")</f>
        <v>13.7930365742089</v>
      </c>
      <c r="ER87">
        <f>IF(AND(ISNUMBER(EQ87),逐级计算!$X$147&gt;-1),IF(逐级计算!$X$147=0,EQ87+逐级计算!$C$147,EQ87+逐级计算!$C$147-(10/(逐级计算!$Q$147*LN(10))*(MAX((LN(10^(逐级计算!$Q$147/10)-1)+逐级计算!$Q$147*(EQ87-逐级计算!$P$147)*LN(10)/10),0)+LN(1+EXP(-ABS((LN(10^(逐级计算!$Q$147/10)-1)+逐级计算!$Q$147*(EQ87-逐级计算!$P$147)*LN(10)/10))))))),"")</f>
        <v>13.7930365742089</v>
      </c>
      <c r="ES87">
        <f>IF(AND(ISNUMBER(ER87),逐级计算!$X$148&gt;-1),IF(逐级计算!$X$148=0,ER87+逐级计算!$C$148,ER87+逐级计算!$C$148-(10/(逐级计算!$Q$148*LN(10))*(MAX((LN(10^(逐级计算!$Q$148/10)-1)+逐级计算!$Q$148*(ER87-逐级计算!$P$148)*LN(10)/10),0)+LN(1+EXP(-ABS((LN(10^(逐级计算!$Q$148/10)-1)+逐级计算!$Q$148*(ER87-逐级计算!$P$148)*LN(10)/10))))))),"")</f>
        <v>13.7930365742089</v>
      </c>
      <c r="ET87">
        <f>IF(AND(ISNUMBER(ES87),逐级计算!$X$149&gt;-1),IF(逐级计算!$X$149=0,ES87+逐级计算!$C$149,ES87+逐级计算!$C$149-(10/(逐级计算!$Q$149*LN(10))*(MAX((LN(10^(逐级计算!$Q$149/10)-1)+逐级计算!$Q$149*(ES87-逐级计算!$P$149)*LN(10)/10),0)+LN(1+EXP(-ABS((LN(10^(逐级计算!$Q$149/10)-1)+逐级计算!$Q$149*(ES87-逐级计算!$P$149)*LN(10)/10))))))),"")</f>
        <v>13.7930365742089</v>
      </c>
      <c r="EU87">
        <f>IF(AND(ISNUMBER(ET87),逐级计算!$X$150&gt;-1),IF(逐级计算!$X$150=0,ET87+逐级计算!$C$150,ET87+逐级计算!$C$150-(10/(逐级计算!$Q$150*LN(10))*(MAX((LN(10^(逐级计算!$Q$150/10)-1)+逐级计算!$Q$150*(ET87-逐级计算!$P$150)*LN(10)/10),0)+LN(1+EXP(-ABS((LN(10^(逐级计算!$Q$150/10)-1)+逐级计算!$Q$150*(ET87-逐级计算!$P$150)*LN(10)/10))))))),"")</f>
        <v>13.7930365742089</v>
      </c>
      <c r="EV87">
        <f>IF(AND(ISNUMBER(EU87),逐级计算!$X$151&gt;-1),IF(逐级计算!$X$151=0,EU87+逐级计算!$C$151,EU87+逐级计算!$C$151-(10/(逐级计算!$Q$151*LN(10))*(MAX((LN(10^(逐级计算!$Q$151/10)-1)+逐级计算!$Q$151*(EU87-逐级计算!$P$151)*LN(10)/10),0)+LN(1+EXP(-ABS((LN(10^(逐级计算!$Q$151/10)-1)+逐级计算!$Q$151*(EU87-逐级计算!$P$151)*LN(10)/10))))))),"")</f>
        <v>13.7930365742089</v>
      </c>
      <c r="EW87">
        <f>IF(AND(ISNUMBER(EV87),逐级计算!$X$152&gt;-1),IF(逐级计算!$X$152=0,EV87+逐级计算!$C$152,EV87+逐级计算!$C$152-(10/(逐级计算!$Q$152*LN(10))*(MAX((LN(10^(逐级计算!$Q$152/10)-1)+逐级计算!$Q$152*(EV87-逐级计算!$P$152)*LN(10)/10),0)+LN(1+EXP(-ABS((LN(10^(逐级计算!$Q$152/10)-1)+逐级计算!$Q$152*(EV87-逐级计算!$P$152)*LN(10)/10))))))),"")</f>
        <v>13.7930365742089</v>
      </c>
      <c r="EX87">
        <f>IF(AND(ISNUMBER(EW87),逐级计算!$X$153&gt;-1),IF(逐级计算!$X$153=0,EW87+逐级计算!$C$153,EW87+逐级计算!$C$153-(10/(逐级计算!$Q$153*LN(10))*(MAX((LN(10^(逐级计算!$Q$153/10)-1)+逐级计算!$Q$153*(EW87-逐级计算!$P$153)*LN(10)/10),0)+LN(1+EXP(-ABS((LN(10^(逐级计算!$Q$153/10)-1)+逐级计算!$Q$153*(EW87-逐级计算!$P$153)*LN(10)/10))))))),"")</f>
        <v>13.7930365742089</v>
      </c>
      <c r="EY87">
        <f>IF(AND(ISNUMBER(EX87),逐级计算!$X$154&gt;-1),IF(逐级计算!$X$154=0,EX87+逐级计算!$C$154,EX87+逐级计算!$C$154-(10/(逐级计算!$Q$154*LN(10))*(MAX((LN(10^(逐级计算!$Q$154/10)-1)+逐级计算!$Q$154*(EX87-逐级计算!$P$154)*LN(10)/10),0)+LN(1+EXP(-ABS((LN(10^(逐级计算!$Q$154/10)-1)+逐级计算!$Q$154*(EX87-逐级计算!$P$154)*LN(10)/10))))))),"")</f>
        <v>13.7930365742089</v>
      </c>
      <c r="EZ87">
        <f>IF(AND(ISNUMBER(EY87),逐级计算!$X$155&gt;-1),IF(逐级计算!$X$155=0,EY87+逐级计算!$C$155,EY87+逐级计算!$C$155-(10/(逐级计算!$Q$155*LN(10))*(MAX((LN(10^(逐级计算!$Q$155/10)-1)+逐级计算!$Q$155*(EY87-逐级计算!$P$155)*LN(10)/10),0)+LN(1+EXP(-ABS((LN(10^(逐级计算!$Q$155/10)-1)+逐级计算!$Q$155*(EY87-逐级计算!$P$155)*LN(10)/10))))))),"")</f>
        <v>13.7930365742089</v>
      </c>
      <c r="FA87">
        <f>IF(AND(ISNUMBER(EZ87),逐级计算!$X$156&gt;-1),IF(逐级计算!$X$156=0,EZ87+逐级计算!$C$156,EZ87+逐级计算!$C$156-(10/(逐级计算!$Q$156*LN(10))*(MAX((LN(10^(逐级计算!$Q$156/10)-1)+逐级计算!$Q$156*(EZ87-逐级计算!$P$156)*LN(10)/10),0)+LN(1+EXP(-ABS((LN(10^(逐级计算!$Q$156/10)-1)+逐级计算!$Q$156*(EZ87-逐级计算!$P$156)*LN(10)/10))))))),"")</f>
        <v>13.7930365742089</v>
      </c>
      <c r="FB87">
        <f>IF(AND(ISNUMBER(FA87),逐级计算!$X$157&gt;-1),IF(逐级计算!$X$157=0,FA87+逐级计算!$C$157,FA87+逐级计算!$C$157-(10/(逐级计算!$Q$157*LN(10))*(MAX((LN(10^(逐级计算!$Q$157/10)-1)+逐级计算!$Q$157*(FA87-逐级计算!$P$157)*LN(10)/10),0)+LN(1+EXP(-ABS((LN(10^(逐级计算!$Q$157/10)-1)+逐级计算!$Q$157*(FA87-逐级计算!$P$157)*LN(10)/10))))))),"")</f>
        <v>13.7930365742089</v>
      </c>
      <c r="FC87">
        <f>IF(AND(ISNUMBER(FB87),逐级计算!$X$158&gt;-1),IF(逐级计算!$X$158=0,FB87+逐级计算!$C$158,FB87+逐级计算!$C$158-(10/(逐级计算!$Q$158*LN(10))*(MAX((LN(10^(逐级计算!$Q$158/10)-1)+逐级计算!$Q$158*(FB87-逐级计算!$P$158)*LN(10)/10),0)+LN(1+EXP(-ABS((LN(10^(逐级计算!$Q$158/10)-1)+逐级计算!$Q$158*(FB87-逐级计算!$P$158)*LN(10)/10))))))),"")</f>
        <v>13.7930365742089</v>
      </c>
      <c r="FD87">
        <f>IF(AND(ISNUMBER(FC87),逐级计算!$X$159&gt;-1),IF(逐级计算!$X$159=0,FC87+逐级计算!$C$159,FC87+逐级计算!$C$159-(10/(逐级计算!$Q$159*LN(10))*(MAX((LN(10^(逐级计算!$Q$159/10)-1)+逐级计算!$Q$159*(FC87-逐级计算!$P$159)*LN(10)/10),0)+LN(1+EXP(-ABS((LN(10^(逐级计算!$Q$159/10)-1)+逐级计算!$Q$159*(FC87-逐级计算!$P$159)*LN(10)/10))))))),"")</f>
        <v>13.7930365742089</v>
      </c>
      <c r="FE87">
        <f>IF(AND(ISNUMBER(FD87),逐级计算!$X$160&gt;-1),IF(逐级计算!$X$160=0,FD87+逐级计算!$C$160,FD87+逐级计算!$C$160-(10/(逐级计算!$Q$160*LN(10))*(MAX((LN(10^(逐级计算!$Q$160/10)-1)+逐级计算!$Q$160*(FD87-逐级计算!$P$160)*LN(10)/10),0)+LN(1+EXP(-ABS((LN(10^(逐级计算!$Q$160/10)-1)+逐级计算!$Q$160*(FD87-逐级计算!$P$160)*LN(10)/10))))))),"")</f>
        <v>13.7930365742089</v>
      </c>
      <c r="FF87">
        <f>IF(AND(ISNUMBER(FE87),逐级计算!$X$161&gt;-1),IF(逐级计算!$X$161=0,FE87+逐级计算!$C$161,FE87+逐级计算!$C$161-(10/(逐级计算!$Q$161*LN(10))*(MAX((LN(10^(逐级计算!$Q$161/10)-1)+逐级计算!$Q$161*(FE87-逐级计算!$P$161)*LN(10)/10),0)+LN(1+EXP(-ABS((LN(10^(逐级计算!$Q$161/10)-1)+逐级计算!$Q$161*(FE87-逐级计算!$P$161)*LN(10)/10))))))),"")</f>
        <v>13.7930365742089</v>
      </c>
      <c r="FG87">
        <f>IF(AND(ISNUMBER(FF87),逐级计算!$X$162&gt;-1),IF(逐级计算!$X$162=0,FF87+逐级计算!$C$162,FF87+逐级计算!$C$162-(10/(逐级计算!$Q$162*LN(10))*(MAX((LN(10^(逐级计算!$Q$162/10)-1)+逐级计算!$Q$162*(FF87-逐级计算!$P$162)*LN(10)/10),0)+LN(1+EXP(-ABS((LN(10^(逐级计算!$Q$162/10)-1)+逐级计算!$Q$162*(FF87-逐级计算!$P$162)*LN(10)/10))))))),"")</f>
        <v>13.7930365742089</v>
      </c>
      <c r="FH87">
        <f>IF(AND(ISNUMBER(FG87),逐级计算!$X$163&gt;-1),IF(逐级计算!$X$163=0,FG87+逐级计算!$C$163,FG87+逐级计算!$C$163-(10/(逐级计算!$Q$163*LN(10))*(MAX((LN(10^(逐级计算!$Q$163/10)-1)+逐级计算!$Q$163*(FG87-逐级计算!$P$163)*LN(10)/10),0)+LN(1+EXP(-ABS((LN(10^(逐级计算!$Q$163/10)-1)+逐级计算!$Q$163*(FG87-逐级计算!$P$163)*LN(10)/10))))))),"")</f>
        <v>13.7930365742089</v>
      </c>
      <c r="FI87">
        <f>IF(AND(ISNUMBER(FH87),逐级计算!$X$164&gt;-1),IF(逐级计算!$X$164=0,FH87+逐级计算!$C$164,FH87+逐级计算!$C$164-(10/(逐级计算!$Q$164*LN(10))*(MAX((LN(10^(逐级计算!$Q$164/10)-1)+逐级计算!$Q$164*(FH87-逐级计算!$P$164)*LN(10)/10),0)+LN(1+EXP(-ABS((LN(10^(逐级计算!$Q$164/10)-1)+逐级计算!$Q$164*(FH87-逐级计算!$P$164)*LN(10)/10))))))),"")</f>
        <v>13.7930365742089</v>
      </c>
      <c r="FJ87">
        <f>IF(AND(ISNUMBER(FI87),逐级计算!$X$165&gt;-1),IF(逐级计算!$X$165=0,FI87+逐级计算!$C$165,FI87+逐级计算!$C$165-(10/(逐级计算!$Q$165*LN(10))*(MAX((LN(10^(逐级计算!$Q$165/10)-1)+逐级计算!$Q$165*(FI87-逐级计算!$P$165)*LN(10)/10),0)+LN(1+EXP(-ABS((LN(10^(逐级计算!$Q$165/10)-1)+逐级计算!$Q$165*(FI87-逐级计算!$P$165)*LN(10)/10))))))),"")</f>
        <v>13.7930365742089</v>
      </c>
      <c r="FK87">
        <f>IF(AND(ISNUMBER(FJ87),逐级计算!$X$166&gt;-1),IF(逐级计算!$X$166=0,FJ87+逐级计算!$C$166,FJ87+逐级计算!$C$166-(10/(逐级计算!$Q$166*LN(10))*(MAX((LN(10^(逐级计算!$Q$166/10)-1)+逐级计算!$Q$166*(FJ87-逐级计算!$P$166)*LN(10)/10),0)+LN(1+EXP(-ABS((LN(10^(逐级计算!$Q$166/10)-1)+逐级计算!$Q$166*(FJ87-逐级计算!$P$166)*LN(10)/10))))))),"")</f>
        <v>13.7930365742089</v>
      </c>
      <c r="FL87">
        <f>IF(AND(ISNUMBER(FK87),逐级计算!$X$167&gt;-1),IF(逐级计算!$X$167=0,FK87+逐级计算!$C$167,FK87+逐级计算!$C$167-(10/(逐级计算!$Q$167*LN(10))*(MAX((LN(10^(逐级计算!$Q$167/10)-1)+逐级计算!$Q$167*(FK87-逐级计算!$P$167)*LN(10)/10),0)+LN(1+EXP(-ABS((LN(10^(逐级计算!$Q$167/10)-1)+逐级计算!$Q$167*(FK87-逐级计算!$P$167)*LN(10)/10))))))),"")</f>
        <v>13.7930365742089</v>
      </c>
      <c r="FM87">
        <f>IF(AND(ISNUMBER(FL87),逐级计算!$X$168&gt;-1),IF(逐级计算!$X$168=0,FL87+逐级计算!$C$168,FL87+逐级计算!$C$168-(10/(逐级计算!$Q$168*LN(10))*(MAX((LN(10^(逐级计算!$Q$168/10)-1)+逐级计算!$Q$168*(FL87-逐级计算!$P$168)*LN(10)/10),0)+LN(1+EXP(-ABS((LN(10^(逐级计算!$Q$168/10)-1)+逐级计算!$Q$168*(FL87-逐级计算!$P$168)*LN(10)/10))))))),"")</f>
        <v>13.7930365742089</v>
      </c>
      <c r="FN87">
        <f>IF(AND(ISNUMBER(FM87),逐级计算!$X$169&gt;-1),IF(逐级计算!$X$169=0,FM87+逐级计算!$C$169,FM87+逐级计算!$C$169-(10/(逐级计算!$Q$169*LN(10))*(MAX((LN(10^(逐级计算!$Q$169/10)-1)+逐级计算!$Q$169*(FM87-逐级计算!$P$169)*LN(10)/10),0)+LN(1+EXP(-ABS((LN(10^(逐级计算!$Q$169/10)-1)+逐级计算!$Q$169*(FM87-逐级计算!$P$169)*LN(10)/10))))))),"")</f>
        <v>13.7930365742089</v>
      </c>
      <c r="FO87">
        <f>IF(AND(ISNUMBER(FN87),逐级计算!$X$170&gt;-1),IF(逐级计算!$X$170=0,FN87+逐级计算!$C$170,FN87+逐级计算!$C$170-(10/(逐级计算!$Q$170*LN(10))*(MAX((LN(10^(逐级计算!$Q$170/10)-1)+逐级计算!$Q$170*(FN87-逐级计算!$P$170)*LN(10)/10),0)+LN(1+EXP(-ABS((LN(10^(逐级计算!$Q$170/10)-1)+逐级计算!$Q$170*(FN87-逐级计算!$P$170)*LN(10)/10))))))),"")</f>
        <v>13.7930365742089</v>
      </c>
      <c r="FP87">
        <f>IF(AND(ISNUMBER(FO87),逐级计算!$X$171&gt;-1),IF(逐级计算!$X$171=0,FO87+逐级计算!$C$171,FO87+逐级计算!$C$171-(10/(逐级计算!$Q$171*LN(10))*(MAX((LN(10^(逐级计算!$Q$171/10)-1)+逐级计算!$Q$171*(FO87-逐级计算!$P$171)*LN(10)/10),0)+LN(1+EXP(-ABS((LN(10^(逐级计算!$Q$171/10)-1)+逐级计算!$Q$171*(FO87-逐级计算!$P$171)*LN(10)/10))))))),"")</f>
        <v>13.7930365742089</v>
      </c>
      <c r="FQ87">
        <f>IF(AND(ISNUMBER(FP87),逐级计算!$X$172&gt;-1),IF(逐级计算!$X$172=0,FP87+逐级计算!$C$172,FP87+逐级计算!$C$172-(10/(逐级计算!$Q$172*LN(10))*(MAX((LN(10^(逐级计算!$Q$172/10)-1)+逐级计算!$Q$172*(FP87-逐级计算!$P$172)*LN(10)/10),0)+LN(1+EXP(-ABS((LN(10^(逐级计算!$Q$172/10)-1)+逐级计算!$Q$172*(FP87-逐级计算!$P$172)*LN(10)/10))))))),"")</f>
        <v>13.7930365742089</v>
      </c>
      <c r="FR87">
        <f>IF(AND(ISNUMBER(FQ87),逐级计算!$X$173&gt;-1),IF(逐级计算!$X$173=0,FQ87+逐级计算!$C$173,FQ87+逐级计算!$C$173-(10/(逐级计算!$Q$173*LN(10))*(MAX((LN(10^(逐级计算!$Q$173/10)-1)+逐级计算!$Q$173*(FQ87-逐级计算!$P$173)*LN(10)/10),0)+LN(1+EXP(-ABS((LN(10^(逐级计算!$Q$173/10)-1)+逐级计算!$Q$173*(FQ87-逐级计算!$P$173)*LN(10)/10))))))),"")</f>
        <v>13.7930365742089</v>
      </c>
      <c r="FS87">
        <f>IF(AND(ISNUMBER(FR87),逐级计算!$X$174&gt;-1),IF(逐级计算!$X$174=0,FR87+逐级计算!$C$174,FR87+逐级计算!$C$174-(10/(逐级计算!$Q$174*LN(10))*(MAX((LN(10^(逐级计算!$Q$174/10)-1)+逐级计算!$Q$174*(FR87-逐级计算!$P$174)*LN(10)/10),0)+LN(1+EXP(-ABS((LN(10^(逐级计算!$Q$174/10)-1)+逐级计算!$Q$174*(FR87-逐级计算!$P$174)*LN(10)/10))))))),"")</f>
        <v>13.7930365742089</v>
      </c>
      <c r="FT87">
        <f>IF(AND(ISNUMBER(FS87),逐级计算!$X$175&gt;-1),IF(逐级计算!$X$175=0,FS87+逐级计算!$C$175,FS87+逐级计算!$C$175-(10/(逐级计算!$Q$175*LN(10))*(MAX((LN(10^(逐级计算!$Q$175/10)-1)+逐级计算!$Q$175*(FS87-逐级计算!$P$175)*LN(10)/10),0)+LN(1+EXP(-ABS((LN(10^(逐级计算!$Q$175/10)-1)+逐级计算!$Q$175*(FS87-逐级计算!$P$175)*LN(10)/10))))))),"")</f>
        <v>13.7930365742089</v>
      </c>
      <c r="FU87">
        <f>IF(AND(ISNUMBER(FT87),逐级计算!$X$176&gt;-1),IF(逐级计算!$X$176=0,FT87+逐级计算!$C$176,FT87+逐级计算!$C$176-(10/(逐级计算!$Q$176*LN(10))*(MAX((LN(10^(逐级计算!$Q$176/10)-1)+逐级计算!$Q$176*(FT87-逐级计算!$P$176)*LN(10)/10),0)+LN(1+EXP(-ABS((LN(10^(逐级计算!$Q$176/10)-1)+逐级计算!$Q$176*(FT87-逐级计算!$P$176)*LN(10)/10))))))),"")</f>
        <v>13.7930365742089</v>
      </c>
      <c r="FV87">
        <f>IF(AND(ISNUMBER(FU87),逐级计算!$X$177&gt;-1),IF(逐级计算!$X$177=0,FU87+逐级计算!$C$177,FU87+逐级计算!$C$177-(10/(逐级计算!$Q$177*LN(10))*(MAX((LN(10^(逐级计算!$Q$177/10)-1)+逐级计算!$Q$177*(FU87-逐级计算!$P$177)*LN(10)/10),0)+LN(1+EXP(-ABS((LN(10^(逐级计算!$Q$177/10)-1)+逐级计算!$Q$177*(FU87-逐级计算!$P$177)*LN(10)/10))))))),"")</f>
        <v>13.7930365742089</v>
      </c>
      <c r="FW87">
        <f>IF(AND(ISNUMBER(FV87),逐级计算!$X$178&gt;-1),IF(逐级计算!$X$178=0,FV87+逐级计算!$C$178,FV87+逐级计算!$C$178-(10/(逐级计算!$Q$178*LN(10))*(MAX((LN(10^(逐级计算!$Q$178/10)-1)+逐级计算!$Q$178*(FV87-逐级计算!$P$178)*LN(10)/10),0)+LN(1+EXP(-ABS((LN(10^(逐级计算!$Q$178/10)-1)+逐级计算!$Q$178*(FV87-逐级计算!$P$178)*LN(10)/10))))))),"")</f>
        <v>13.7930365742089</v>
      </c>
      <c r="FX87">
        <f>IF(AND(ISNUMBER(FW87),逐级计算!$X$179&gt;-1),IF(逐级计算!$X$179=0,FW87+逐级计算!$C$179,FW87+逐级计算!$C$179-(10/(逐级计算!$Q$179*LN(10))*(MAX((LN(10^(逐级计算!$Q$179/10)-1)+逐级计算!$Q$179*(FW87-逐级计算!$P$179)*LN(10)/10),0)+LN(1+EXP(-ABS((LN(10^(逐级计算!$Q$179/10)-1)+逐级计算!$Q$179*(FW87-逐级计算!$P$179)*LN(10)/10))))))),"")</f>
        <v>13.7930365742089</v>
      </c>
      <c r="FY87">
        <f>IF(AND(ISNUMBER(FX87),逐级计算!$X$180&gt;-1),IF(逐级计算!$X$180=0,FX87+逐级计算!$C$180,FX87+逐级计算!$C$180-(10/(逐级计算!$Q$180*LN(10))*(MAX((LN(10^(逐级计算!$Q$180/10)-1)+逐级计算!$Q$180*(FX87-逐级计算!$P$180)*LN(10)/10),0)+LN(1+EXP(-ABS((LN(10^(逐级计算!$Q$180/10)-1)+逐级计算!$Q$180*(FX87-逐级计算!$P$180)*LN(10)/10))))))),"")</f>
        <v>13.7930365742089</v>
      </c>
      <c r="FZ87">
        <f>IF(AND(ISNUMBER(FY87),逐级计算!$X$181&gt;-1),IF(逐级计算!$X$181=0,FY87+逐级计算!$C$181,FY87+逐级计算!$C$181-(10/(逐级计算!$Q$181*LN(10))*(MAX((LN(10^(逐级计算!$Q$181/10)-1)+逐级计算!$Q$181*(FY87-逐级计算!$P$181)*LN(10)/10),0)+LN(1+EXP(-ABS((LN(10^(逐级计算!$Q$181/10)-1)+逐级计算!$Q$181*(FY87-逐级计算!$P$181)*LN(10)/10))))))),"")</f>
        <v>13.7930365742089</v>
      </c>
      <c r="GA87">
        <f>IF(AND(ISNUMBER(FZ87),逐级计算!$X$182&gt;-1),IF(逐级计算!$X$182=0,FZ87+逐级计算!$C$182,FZ87+逐级计算!$C$182-(10/(逐级计算!$Q$182*LN(10))*(MAX((LN(10^(逐级计算!$Q$182/10)-1)+逐级计算!$Q$182*(FZ87-逐级计算!$P$182)*LN(10)/10),0)+LN(1+EXP(-ABS((LN(10^(逐级计算!$Q$182/10)-1)+逐级计算!$Q$182*(FZ87-逐级计算!$P$182)*LN(10)/10))))))),"")</f>
        <v>13.7930365742089</v>
      </c>
      <c r="GB87">
        <f>IF(AND(ISNUMBER(GA87),逐级计算!$X$183&gt;-1),IF(逐级计算!$X$183=0,GA87+逐级计算!$C$183,GA87+逐级计算!$C$183-(10/(逐级计算!$Q$183*LN(10))*(MAX((LN(10^(逐级计算!$Q$183/10)-1)+逐级计算!$Q$183*(GA87-逐级计算!$P$183)*LN(10)/10),0)+LN(1+EXP(-ABS((LN(10^(逐级计算!$Q$183/10)-1)+逐级计算!$Q$183*(GA87-逐级计算!$P$183)*LN(10)/10))))))),"")</f>
        <v>13.7930365742089</v>
      </c>
      <c r="GC87">
        <f>IF(AND(ISNUMBER(GB87),逐级计算!$X$184&gt;-1),IF(逐级计算!$X$184=0,GB87+逐级计算!$C$184,GB87+逐级计算!$C$184-(10/(逐级计算!$Q$184*LN(10))*(MAX((LN(10^(逐级计算!$Q$184/10)-1)+逐级计算!$Q$184*(GB87-逐级计算!$P$184)*LN(10)/10),0)+LN(1+EXP(-ABS((LN(10^(逐级计算!$Q$184/10)-1)+逐级计算!$Q$184*(GB87-逐级计算!$P$184)*LN(10)/10))))))),"")</f>
        <v>13.7930365742089</v>
      </c>
      <c r="GD87">
        <f>IF(AND(ISNUMBER(GC87),逐级计算!$X$185&gt;-1),IF(逐级计算!$X$185=0,GC87+逐级计算!$C$185,GC87+逐级计算!$C$185-(10/(逐级计算!$Q$185*LN(10))*(MAX((LN(10^(逐级计算!$Q$185/10)-1)+逐级计算!$Q$185*(GC87-逐级计算!$P$185)*LN(10)/10),0)+LN(1+EXP(-ABS((LN(10^(逐级计算!$Q$185/10)-1)+逐级计算!$Q$185*(GC87-逐级计算!$P$185)*LN(10)/10))))))),"")</f>
        <v>13.7930365742089</v>
      </c>
      <c r="GE87">
        <f>IF(AND(ISNUMBER(GD87),逐级计算!$X$186&gt;-1),IF(逐级计算!$X$186=0,GD87+逐级计算!$C$186,GD87+逐级计算!$C$186-(10/(逐级计算!$Q$186*LN(10))*(MAX((LN(10^(逐级计算!$Q$186/10)-1)+逐级计算!$Q$186*(GD87-逐级计算!$P$186)*LN(10)/10),0)+LN(1+EXP(-ABS((LN(10^(逐级计算!$Q$186/10)-1)+逐级计算!$Q$186*(GD87-逐级计算!$P$186)*LN(10)/10))))))),"")</f>
        <v>13.7930365742089</v>
      </c>
      <c r="GF87">
        <f>IF(AND(ISNUMBER(GE87),逐级计算!$X$187&gt;-1),IF(逐级计算!$X$187=0,GE87+逐级计算!$C$187,GE87+逐级计算!$C$187-(10/(逐级计算!$Q$187*LN(10))*(MAX((LN(10^(逐级计算!$Q$187/10)-1)+逐级计算!$Q$187*(GE87-逐级计算!$P$187)*LN(10)/10),0)+LN(1+EXP(-ABS((LN(10^(逐级计算!$Q$187/10)-1)+逐级计算!$Q$187*(GE87-逐级计算!$P$187)*LN(10)/10))))))),"")</f>
        <v>13.7930365742089</v>
      </c>
      <c r="GG87">
        <f>IF(AND(ISNUMBER(GF87),逐级计算!$X$188&gt;-1),IF(逐级计算!$X$188=0,GF87+逐级计算!$C$188,GF87+逐级计算!$C$188-(10/(逐级计算!$Q$188*LN(10))*(MAX((LN(10^(逐级计算!$Q$188/10)-1)+逐级计算!$Q$188*(GF87-逐级计算!$P$188)*LN(10)/10),0)+LN(1+EXP(-ABS((LN(10^(逐级计算!$Q$188/10)-1)+逐级计算!$Q$188*(GF87-逐级计算!$P$188)*LN(10)/10))))))),"")</f>
        <v>13.7930365742089</v>
      </c>
      <c r="GH87">
        <f>IF(AND(ISNUMBER(GG87),逐级计算!$X$189&gt;-1),IF(逐级计算!$X$189=0,GG87+逐级计算!$C$189,GG87+逐级计算!$C$189-(10/(逐级计算!$Q$189*LN(10))*(MAX((LN(10^(逐级计算!$Q$189/10)-1)+逐级计算!$Q$189*(GG87-逐级计算!$P$189)*LN(10)/10),0)+LN(1+EXP(-ABS((LN(10^(逐级计算!$Q$189/10)-1)+逐级计算!$Q$189*(GG87-逐级计算!$P$189)*LN(10)/10))))))),"")</f>
        <v>13.7930365742089</v>
      </c>
      <c r="GI87">
        <f>IF(AND(ISNUMBER(GH87),逐级计算!$X$190&gt;-1),IF(逐级计算!$X$190=0,GH87+逐级计算!$C$190,GH87+逐级计算!$C$190-(10/(逐级计算!$Q$190*LN(10))*(MAX((LN(10^(逐级计算!$Q$190/10)-1)+逐级计算!$Q$190*(GH87-逐级计算!$P$190)*LN(10)/10),0)+LN(1+EXP(-ABS((LN(10^(逐级计算!$Q$190/10)-1)+逐级计算!$Q$190*(GH87-逐级计算!$P$190)*LN(10)/10))))))),"")</f>
        <v>13.7930365742089</v>
      </c>
      <c r="GJ87">
        <f>IF(AND(ISNUMBER(GI87),逐级计算!$X$191&gt;-1),IF(逐级计算!$X$191=0,GI87+逐级计算!$C$191,GI87+逐级计算!$C$191-(10/(逐级计算!$Q$191*LN(10))*(MAX((LN(10^(逐级计算!$Q$191/10)-1)+逐级计算!$Q$191*(GI87-逐级计算!$P$191)*LN(10)/10),0)+LN(1+EXP(-ABS((LN(10^(逐级计算!$Q$191/10)-1)+逐级计算!$Q$191*(GI87-逐级计算!$P$191)*LN(10)/10))))))),"")</f>
        <v>13.7930365742089</v>
      </c>
      <c r="GK87">
        <f>IF(AND(ISNUMBER(GJ87),逐级计算!$X$192&gt;-1),IF(逐级计算!$X$192=0,GJ87+逐级计算!$C$192,GJ87+逐级计算!$C$192-(10/(逐级计算!$Q$192*LN(10))*(MAX((LN(10^(逐级计算!$Q$192/10)-1)+逐级计算!$Q$192*(GJ87-逐级计算!$P$192)*LN(10)/10),0)+LN(1+EXP(-ABS((LN(10^(逐级计算!$Q$192/10)-1)+逐级计算!$Q$192*(GJ87-逐级计算!$P$192)*LN(10)/10))))))),"")</f>
        <v>13.7930365742089</v>
      </c>
      <c r="GL87">
        <f>IF(AND(ISNUMBER(GK87),逐级计算!$X$193&gt;-1),IF(逐级计算!$X$193=0,GK87+逐级计算!$C$193,GK87+逐级计算!$C$193-(10/(逐级计算!$Q$193*LN(10))*(MAX((LN(10^(逐级计算!$Q$193/10)-1)+逐级计算!$Q$193*(GK87-逐级计算!$P$193)*LN(10)/10),0)+LN(1+EXP(-ABS((LN(10^(逐级计算!$Q$193/10)-1)+逐级计算!$Q$193*(GK87-逐级计算!$P$193)*LN(10)/10))))))),"")</f>
        <v>13.7930365742089</v>
      </c>
      <c r="GM87">
        <f>IF(AND(ISNUMBER(GL87),逐级计算!$X$194&gt;-1),IF(逐级计算!$X$194=0,GL87+逐级计算!$C$194,GL87+逐级计算!$C$194-(10/(逐级计算!$Q$194*LN(10))*(MAX((LN(10^(逐级计算!$Q$194/10)-1)+逐级计算!$Q$194*(GL87-逐级计算!$P$194)*LN(10)/10),0)+LN(1+EXP(-ABS((LN(10^(逐级计算!$Q$194/10)-1)+逐级计算!$Q$194*(GL87-逐级计算!$P$194)*LN(10)/10))))))),"")</f>
        <v>13.7930365742089</v>
      </c>
      <c r="GN87">
        <f>IF(AND(ISNUMBER(GM87),逐级计算!$X$195&gt;-1),IF(逐级计算!$X$195=0,GM87+逐级计算!$C$195,GM87+逐级计算!$C$195-(10/(逐级计算!$Q$195*LN(10))*(MAX((LN(10^(逐级计算!$Q$195/10)-1)+逐级计算!$Q$195*(GM87-逐级计算!$P$195)*LN(10)/10),0)+LN(1+EXP(-ABS((LN(10^(逐级计算!$Q$195/10)-1)+逐级计算!$Q$195*(GM87-逐级计算!$P$195)*LN(10)/10))))))),"")</f>
        <v>13.7930365742089</v>
      </c>
      <c r="GO87">
        <f>IF(AND(ISNUMBER(GN87),逐级计算!$X$196&gt;-1),IF(逐级计算!$X$196=0,GN87+逐级计算!$C$196,GN87+逐级计算!$C$196-(10/(逐级计算!$Q$196*LN(10))*(MAX((LN(10^(逐级计算!$Q$196/10)-1)+逐级计算!$Q$196*(GN87-逐级计算!$P$196)*LN(10)/10),0)+LN(1+EXP(-ABS((LN(10^(逐级计算!$Q$196/10)-1)+逐级计算!$Q$196*(GN87-逐级计算!$P$196)*LN(10)/10))))))),"")</f>
        <v>13.7930365742089</v>
      </c>
      <c r="GP87">
        <f>IF(AND(ISNUMBER(GO87),逐级计算!$X$197&gt;-1),IF(逐级计算!$X$197=0,GO87+逐级计算!$C$197,GO87+逐级计算!$C$197-(10/(逐级计算!$Q$197*LN(10))*(MAX((LN(10^(逐级计算!$Q$197/10)-1)+逐级计算!$Q$197*(GO87-逐级计算!$P$197)*LN(10)/10),0)+LN(1+EXP(-ABS((LN(10^(逐级计算!$Q$197/10)-1)+逐级计算!$Q$197*(GO87-逐级计算!$P$197)*LN(10)/10))))))),"")</f>
        <v>13.7930365742089</v>
      </c>
      <c r="GQ87">
        <f>IF(AND(ISNUMBER(GP87),逐级计算!$X$198&gt;-1),IF(逐级计算!$X$198=0,GP87+逐级计算!$C$198,GP87+逐级计算!$C$198-(10/(逐级计算!$Q$198*LN(10))*(MAX((LN(10^(逐级计算!$Q$198/10)-1)+逐级计算!$Q$198*(GP87-逐级计算!$P$198)*LN(10)/10),0)+LN(1+EXP(-ABS((LN(10^(逐级计算!$Q$198/10)-1)+逐级计算!$Q$198*(GP87-逐级计算!$P$198)*LN(10)/10))))))),"")</f>
        <v>13.7930365742089</v>
      </c>
      <c r="GR87">
        <f>IF(AND(ISNUMBER(GQ87),逐级计算!$X$199&gt;-1),IF(逐级计算!$X$199=0,GQ87+逐级计算!$C$199,GQ87+逐级计算!$C$199-(10/(逐级计算!$Q$199*LN(10))*(MAX((LN(10^(逐级计算!$Q$199/10)-1)+逐级计算!$Q$199*(GQ87-逐级计算!$P$199)*LN(10)/10),0)+LN(1+EXP(-ABS((LN(10^(逐级计算!$Q$199/10)-1)+逐级计算!$Q$199*(GQ87-逐级计算!$P$199)*LN(10)/10))))))),"")</f>
        <v>13.7930365742089</v>
      </c>
      <c r="GS87">
        <f>IF(AND(ISNUMBER(GR87),逐级计算!$X$200&gt;-1),IF(逐级计算!$X$200=0,GR87+逐级计算!$C$200,GR87+逐级计算!$C$200-(10/(逐级计算!$Q$200*LN(10))*(MAX((LN(10^(逐级计算!$Q$200/10)-1)+逐级计算!$Q$200*(GR87-逐级计算!$P$200)*LN(10)/10),0)+LN(1+EXP(-ABS((LN(10^(逐级计算!$Q$200/10)-1)+逐级计算!$Q$200*(GR87-逐级计算!$P$200)*LN(10)/10))))))),"")</f>
        <v>13.7930365742089</v>
      </c>
      <c r="GT87">
        <f>IF(AND(ISNUMBER(GS87),逐级计算!$X$201&gt;-1),IF(逐级计算!$X$201=0,GS87+逐级计算!$C$201,GS87+逐级计算!$C$201-(10/(逐级计算!$Q$201*LN(10))*(MAX((LN(10^(逐级计算!$Q$201/10)-1)+逐级计算!$Q$201*(GS87-逐级计算!$P$201)*LN(10)/10),0)+LN(1+EXP(-ABS((LN(10^(逐级计算!$Q$201/10)-1)+逐级计算!$Q$201*(GS87-逐级计算!$P$201)*LN(10)/10))))))),"")</f>
        <v>13.7930365742089</v>
      </c>
      <c r="GU87">
        <f>IF(AND(ISNUMBER(GT87),逐级计算!$X$202&gt;-1),IF(逐级计算!$X$202=0,GT87+逐级计算!$C$202,GT87+逐级计算!$C$202-(10/(逐级计算!$Q$202*LN(10))*(MAX((LN(10^(逐级计算!$Q$202/10)-1)+逐级计算!$Q$202*(GT87-逐级计算!$P$202)*LN(10)/10),0)+LN(1+EXP(-ABS((LN(10^(逐级计算!$Q$202/10)-1)+逐级计算!$Q$202*(GT87-逐级计算!$P$202)*LN(10)/10))))))),"")</f>
        <v>13.7930365742089</v>
      </c>
      <c r="GV87">
        <f>IF(AND(ISNUMBER(GU87),逐级计算!$X$203&gt;-1),IF(逐级计算!$X$203=0,GU87+逐级计算!$C$203,GU87+逐级计算!$C$203-(10/(逐级计算!$Q$203*LN(10))*(MAX((LN(10^(逐级计算!$Q$203/10)-1)+逐级计算!$Q$203*(GU87-逐级计算!$P$203)*LN(10)/10),0)+LN(1+EXP(-ABS((LN(10^(逐级计算!$Q$203/10)-1)+逐级计算!$Q$203*(GU87-逐级计算!$P$203)*LN(10)/10))))))),"")</f>
        <v>13.7930365742089</v>
      </c>
      <c r="GW87">
        <f t="shared" si="5"/>
        <v>-5.20696342579112</v>
      </c>
    </row>
    <row r="89" spans="1:205">
      <c r="A89" t="s">
        <v>606</v>
      </c>
      <c r="B89">
        <f>IF(AND(ISNUMBER(C87),ISNUMBER(B3)),ABS(C87-B3),"")</f>
        <v>7.99360577730113e-15</v>
      </c>
    </row>
    <row r="90" spans="1:205">
      <c r="A90" t="s">
        <v>607</v>
      </c>
      <c r="B90" t="str">
        <f>IF(ISNUMBER(B89),IF(B89&lt;0.00001,"通过","公式偏差，禁止采信"),"不同p或无可用闭式")</f>
        <v>通过</v>
      </c>
    </row>
  </sheetData>
  <pageMargins left="0.75" right="0.75" top="1" bottom="1" header="0.5" footer="0.5"/>
  <pageSetup paperSize="8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8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5"/>
  <cols>
    <col min="1" max="1" width="40" customWidth="1"/>
    <col min="2" max="2" width="35" customWidth="1"/>
    <col min="3" max="6" width="20" customWidth="1"/>
  </cols>
  <sheetData>
    <row r="1" ht="18" spans="1:6">
      <c r="A1" s="1" t="s">
        <v>608</v>
      </c>
      <c r="B1" s="1"/>
      <c r="C1" s="1"/>
      <c r="D1" s="1"/>
      <c r="E1" s="1"/>
      <c r="F1" s="1"/>
    </row>
    <row r="2" spans="1:6">
      <c r="A2" s="2" t="s">
        <v>609</v>
      </c>
      <c r="B2" s="2" t="s">
        <v>610</v>
      </c>
      <c r="C2" s="2"/>
      <c r="D2" s="2"/>
      <c r="E2" s="2"/>
      <c r="F2" s="2"/>
    </row>
    <row r="3" ht="28" spans="1:6">
      <c r="A3" s="2" t="s">
        <v>611</v>
      </c>
      <c r="B3" s="2" t="s">
        <v>612</v>
      </c>
      <c r="C3" s="2"/>
      <c r="D3" s="2"/>
      <c r="E3" s="2"/>
      <c r="F3" s="2"/>
    </row>
    <row r="4" ht="28" spans="1:6">
      <c r="A4" s="2" t="s">
        <v>613</v>
      </c>
      <c r="B4" s="2" t="s">
        <v>614</v>
      </c>
      <c r="C4" s="2"/>
      <c r="D4" s="2"/>
      <c r="E4" s="2"/>
      <c r="F4" s="2"/>
    </row>
    <row r="5" spans="1:6">
      <c r="A5" s="2" t="s">
        <v>338</v>
      </c>
      <c r="B5" s="2" t="s">
        <v>615</v>
      </c>
      <c r="C5" s="2" t="s">
        <v>20</v>
      </c>
      <c r="D5" s="2" t="s">
        <v>616</v>
      </c>
      <c r="E5" s="2" t="s">
        <v>617</v>
      </c>
      <c r="F5" s="2"/>
    </row>
    <row r="6" spans="1:6">
      <c r="A6" s="2" t="s">
        <v>392</v>
      </c>
      <c r="B6" s="3">
        <v>100000000</v>
      </c>
      <c r="C6" s="2" t="s">
        <v>26</v>
      </c>
      <c r="D6" s="2" t="s">
        <v>618</v>
      </c>
      <c r="E6" s="2" t="s">
        <v>45</v>
      </c>
      <c r="F6" s="2"/>
    </row>
    <row r="7" spans="1:6">
      <c r="A7" s="2" t="s">
        <v>342</v>
      </c>
      <c r="B7" s="3">
        <v>20</v>
      </c>
      <c r="C7" s="2" t="s">
        <v>38</v>
      </c>
      <c r="D7" s="2" t="s">
        <v>618</v>
      </c>
      <c r="E7" s="2" t="s">
        <v>45</v>
      </c>
      <c r="F7" s="2"/>
    </row>
    <row r="8" spans="1:6">
      <c r="A8" s="2" t="s">
        <v>344</v>
      </c>
      <c r="B8" s="3">
        <v>-10</v>
      </c>
      <c r="C8" s="2" t="s">
        <v>23</v>
      </c>
      <c r="D8" s="2" t="s">
        <v>618</v>
      </c>
      <c r="E8" s="2" t="s">
        <v>45</v>
      </c>
      <c r="F8" s="2"/>
    </row>
    <row r="9" spans="1:6">
      <c r="A9" s="2" t="s">
        <v>346</v>
      </c>
      <c r="B9" s="3">
        <v>3.604740296957</v>
      </c>
      <c r="C9" s="2" t="s">
        <v>38</v>
      </c>
      <c r="D9" s="2" t="s">
        <v>618</v>
      </c>
      <c r="E9" s="2" t="s">
        <v>45</v>
      </c>
      <c r="F9" s="2"/>
    </row>
    <row r="10" spans="1:6">
      <c r="A10" s="2" t="s">
        <v>348</v>
      </c>
      <c r="B10" s="3">
        <v>375.077150801489</v>
      </c>
      <c r="C10" s="2" t="s">
        <v>33</v>
      </c>
      <c r="D10" s="2" t="s">
        <v>618</v>
      </c>
      <c r="E10" s="2" t="s">
        <v>45</v>
      </c>
      <c r="F10" s="2"/>
    </row>
    <row r="11" spans="1:6">
      <c r="A11" s="2" t="s">
        <v>350</v>
      </c>
      <c r="B11" s="3">
        <v>-110.370446897271</v>
      </c>
      <c r="C11" s="2" t="s">
        <v>23</v>
      </c>
      <c r="D11" s="2" t="s">
        <v>618</v>
      </c>
      <c r="E11" s="2" t="s">
        <v>45</v>
      </c>
      <c r="F11" s="2"/>
    </row>
    <row r="12" spans="1:6">
      <c r="A12" s="2" t="s">
        <v>352</v>
      </c>
      <c r="B12" s="3">
        <v>-90.3704468972711</v>
      </c>
      <c r="C12" s="2" t="s">
        <v>23</v>
      </c>
      <c r="D12" s="2" t="s">
        <v>618</v>
      </c>
      <c r="E12" s="2" t="s">
        <v>45</v>
      </c>
      <c r="F12" s="2"/>
    </row>
    <row r="13" spans="1:6">
      <c r="A13" s="2" t="s">
        <v>354</v>
      </c>
      <c r="B13" s="3">
        <v>80.3704468972711</v>
      </c>
      <c r="C13" s="2" t="s">
        <v>38</v>
      </c>
      <c r="D13" s="2" t="s">
        <v>618</v>
      </c>
      <c r="E13" s="2" t="s">
        <v>45</v>
      </c>
      <c r="F13" s="2"/>
    </row>
    <row r="14" spans="1:6">
      <c r="A14" s="2" t="s">
        <v>356</v>
      </c>
      <c r="B14" s="3">
        <v>6.98970004336019</v>
      </c>
      <c r="C14" s="2" t="s">
        <v>23</v>
      </c>
      <c r="D14" s="2" t="s">
        <v>618</v>
      </c>
      <c r="E14" s="2" t="s">
        <v>45</v>
      </c>
      <c r="F14" s="2"/>
    </row>
    <row r="15" spans="1:6">
      <c r="A15" s="2" t="s">
        <v>358</v>
      </c>
      <c r="B15" s="3">
        <v>26.9897000433602</v>
      </c>
      <c r="C15" s="2" t="s">
        <v>23</v>
      </c>
      <c r="D15" s="2" t="s">
        <v>618</v>
      </c>
      <c r="E15" s="2" t="s">
        <v>45</v>
      </c>
      <c r="F15" s="2"/>
    </row>
    <row r="16" spans="1:6">
      <c r="A16" s="2" t="s">
        <v>364</v>
      </c>
      <c r="B16" s="3">
        <v>-10.0000139708288</v>
      </c>
      <c r="C16" s="2" t="s">
        <v>23</v>
      </c>
      <c r="D16" s="2" t="s">
        <v>619</v>
      </c>
      <c r="E16" s="2" t="s">
        <v>45</v>
      </c>
      <c r="F16" s="2"/>
    </row>
    <row r="17" spans="1:6">
      <c r="A17" s="2" t="s">
        <v>366</v>
      </c>
      <c r="B17" s="3">
        <v>1.39708287854035e-5</v>
      </c>
      <c r="C17" s="2" t="s">
        <v>38</v>
      </c>
      <c r="D17" s="2" t="s">
        <v>619</v>
      </c>
      <c r="E17" s="2" t="s">
        <v>45</v>
      </c>
      <c r="F17" s="2"/>
    </row>
    <row r="18" spans="1:6">
      <c r="A18" s="2" t="s">
        <v>385</v>
      </c>
      <c r="B18" s="3">
        <v>-10</v>
      </c>
      <c r="C18" s="2" t="s">
        <v>23</v>
      </c>
      <c r="D18" s="2" t="s">
        <v>618</v>
      </c>
      <c r="E18" s="2" t="s">
        <v>45</v>
      </c>
      <c r="F18" s="2"/>
    </row>
    <row r="19" ht="28" spans="1:6">
      <c r="A19" s="2" t="s">
        <v>387</v>
      </c>
      <c r="B19" s="3">
        <v>-83.9794000867204</v>
      </c>
      <c r="C19" s="2" t="s">
        <v>23</v>
      </c>
      <c r="D19" s="2" t="s">
        <v>618</v>
      </c>
      <c r="E19" s="2" t="s">
        <v>620</v>
      </c>
      <c r="F19" s="2"/>
    </row>
    <row r="20" spans="1:6">
      <c r="A20" s="2" t="s">
        <v>360</v>
      </c>
      <c r="B20" s="3">
        <v>-5.20696342529845</v>
      </c>
      <c r="C20" s="2" t="s">
        <v>23</v>
      </c>
      <c r="D20" s="2" t="s">
        <v>619</v>
      </c>
      <c r="E20" s="2" t="s">
        <v>45</v>
      </c>
      <c r="F20" s="2"/>
    </row>
    <row r="21" spans="1:6">
      <c r="A21" s="2" t="s">
        <v>362</v>
      </c>
      <c r="B21" s="3">
        <v>13.7930365747015</v>
      </c>
      <c r="C21" s="2" t="s">
        <v>23</v>
      </c>
      <c r="D21" s="2" t="s">
        <v>619</v>
      </c>
      <c r="E21" s="2" t="s">
        <v>45</v>
      </c>
      <c r="F21" s="2"/>
    </row>
    <row r="22" spans="1:6">
      <c r="A22" s="2" t="s">
        <v>368</v>
      </c>
      <c r="B22" s="3">
        <v>-100.370446897271</v>
      </c>
      <c r="C22" s="2" t="s">
        <v>23</v>
      </c>
      <c r="D22" s="2" t="s">
        <v>618</v>
      </c>
      <c r="E22" s="2" t="s">
        <v>45</v>
      </c>
      <c r="F22" s="2"/>
    </row>
    <row r="23" spans="1:6">
      <c r="A23" s="2" t="s">
        <v>370</v>
      </c>
      <c r="B23" s="3">
        <v>92.1634834719726</v>
      </c>
      <c r="C23" s="2" t="s">
        <v>38</v>
      </c>
      <c r="D23" s="2" t="s">
        <v>619</v>
      </c>
      <c r="E23" s="2" t="s">
        <v>45</v>
      </c>
      <c r="F23" s="2"/>
    </row>
    <row r="24" spans="1:6">
      <c r="A24" s="2" t="s">
        <v>372</v>
      </c>
      <c r="B24" s="3">
        <v>78.2400979604208</v>
      </c>
      <c r="C24" s="2" t="s">
        <v>38</v>
      </c>
      <c r="D24" s="2" t="s">
        <v>618</v>
      </c>
      <c r="E24" s="2" t="s">
        <v>45</v>
      </c>
      <c r="F24" s="2"/>
    </row>
    <row r="25" spans="1:6">
      <c r="A25" s="2" t="s">
        <v>374</v>
      </c>
      <c r="B25" s="3">
        <v>118.240097960421</v>
      </c>
      <c r="C25" s="2" t="s">
        <v>375</v>
      </c>
      <c r="D25" s="2" t="s">
        <v>618</v>
      </c>
      <c r="E25" s="2" t="s">
        <v>45</v>
      </c>
      <c r="F25" s="2"/>
    </row>
    <row r="26" spans="1:6">
      <c r="A26" s="2" t="s">
        <v>377</v>
      </c>
      <c r="B26" s="3">
        <v>-32.1303489368502</v>
      </c>
      <c r="C26" s="2" t="s">
        <v>23</v>
      </c>
      <c r="D26" s="2" t="s">
        <v>618</v>
      </c>
      <c r="E26" s="2" t="s">
        <v>45</v>
      </c>
      <c r="F26" s="2"/>
    </row>
    <row r="27" spans="1:6">
      <c r="A27" s="2" t="s">
        <v>379</v>
      </c>
      <c r="B27" s="3">
        <v>68.2400979604209</v>
      </c>
      <c r="C27" s="2" t="s">
        <v>38</v>
      </c>
      <c r="D27" s="2" t="s">
        <v>618</v>
      </c>
      <c r="E27" s="2" t="s">
        <v>45</v>
      </c>
      <c r="F27" s="2"/>
    </row>
    <row r="28" spans="1:6">
      <c r="A28" s="2" t="s">
        <v>381</v>
      </c>
      <c r="B28" s="3">
        <v>-30</v>
      </c>
      <c r="C28" s="2" t="s">
        <v>23</v>
      </c>
      <c r="D28" s="2" t="s">
        <v>618</v>
      </c>
      <c r="E28" s="2" t="s">
        <v>45</v>
      </c>
      <c r="F28" s="2"/>
    </row>
    <row r="29" spans="1:6">
      <c r="A29" s="2" t="s">
        <v>383</v>
      </c>
      <c r="B29" s="3">
        <v>-26.9897000433602</v>
      </c>
      <c r="C29" s="2" t="s">
        <v>23</v>
      </c>
      <c r="D29" s="2" t="s">
        <v>618</v>
      </c>
      <c r="E29" s="2" t="s">
        <v>45</v>
      </c>
      <c r="F29" s="2"/>
    </row>
    <row r="30" ht="28" spans="1:6">
      <c r="A30" s="2" t="s">
        <v>389</v>
      </c>
      <c r="B30" s="3">
        <v>-73.9794000867204</v>
      </c>
      <c r="C30" s="2" t="s">
        <v>390</v>
      </c>
      <c r="D30" s="2" t="s">
        <v>618</v>
      </c>
      <c r="E30" s="2" t="s">
        <v>620</v>
      </c>
      <c r="F30" s="2"/>
    </row>
    <row r="31" spans="1:6">
      <c r="A31" s="2" t="s">
        <v>621</v>
      </c>
      <c r="B31" s="3">
        <v>99950000</v>
      </c>
      <c r="C31" s="2" t="s">
        <v>26</v>
      </c>
      <c r="D31" s="2" t="s">
        <v>618</v>
      </c>
      <c r="E31" s="2" t="s">
        <v>45</v>
      </c>
      <c r="F31" s="2"/>
    </row>
    <row r="32" spans="1:6">
      <c r="A32" s="2" t="s">
        <v>622</v>
      </c>
      <c r="B32" s="3">
        <v>100050000</v>
      </c>
      <c r="C32" s="2" t="s">
        <v>26</v>
      </c>
      <c r="D32" s="2" t="s">
        <v>618</v>
      </c>
      <c r="E32" s="2" t="s">
        <v>45</v>
      </c>
      <c r="F32" s="2"/>
    </row>
    <row r="33" spans="1:6">
      <c r="A33" s="2" t="s">
        <v>623</v>
      </c>
      <c r="B33" s="3">
        <v>99850000</v>
      </c>
      <c r="C33" s="2" t="s">
        <v>26</v>
      </c>
      <c r="D33" s="2" t="s">
        <v>618</v>
      </c>
      <c r="E33" s="2" t="s">
        <v>45</v>
      </c>
      <c r="F33" s="2"/>
    </row>
    <row r="34" spans="1:6">
      <c r="A34" s="2" t="s">
        <v>624</v>
      </c>
      <c r="B34" s="3">
        <v>100150000</v>
      </c>
      <c r="C34" s="2" t="s">
        <v>26</v>
      </c>
      <c r="D34" s="2" t="s">
        <v>618</v>
      </c>
      <c r="E34" s="2" t="s">
        <v>45</v>
      </c>
      <c r="F34" s="2"/>
    </row>
    <row r="35" spans="1:6">
      <c r="A35" s="2" t="s">
        <v>625</v>
      </c>
      <c r="B35" s="2"/>
      <c r="C35" s="2"/>
      <c r="D35" s="2"/>
      <c r="E35" s="2"/>
      <c r="F35" s="2"/>
    </row>
    <row r="36" spans="1:6">
      <c r="A36" s="2" t="s">
        <v>626</v>
      </c>
      <c r="B36" s="2" t="s">
        <v>302</v>
      </c>
      <c r="C36" s="2" t="s">
        <v>303</v>
      </c>
      <c r="D36" s="2" t="s">
        <v>301</v>
      </c>
      <c r="E36" s="2" t="s">
        <v>306</v>
      </c>
      <c r="F36" s="2" t="s">
        <v>627</v>
      </c>
    </row>
    <row r="37" spans="1:6">
      <c r="A37" s="2" t="s">
        <v>85</v>
      </c>
      <c r="B37" s="3">
        <v>-30</v>
      </c>
      <c r="C37" s="3">
        <v>-20</v>
      </c>
      <c r="D37" s="3">
        <v>3</v>
      </c>
      <c r="E37" s="3">
        <v>10</v>
      </c>
      <c r="F37" s="3">
        <v>-20.0000012700791</v>
      </c>
    </row>
    <row r="38" spans="1:6">
      <c r="A38" s="2" t="s">
        <v>92</v>
      </c>
      <c r="B38" s="3">
        <v>-20</v>
      </c>
      <c r="C38" s="3">
        <v>-10</v>
      </c>
      <c r="D38" s="3">
        <v>3.604740296957</v>
      </c>
      <c r="E38" s="3">
        <v>6.98970004336019</v>
      </c>
      <c r="F38" s="3">
        <v>-10.0000139708288</v>
      </c>
    </row>
  </sheetData>
  <pageMargins left="0.75" right="0.75" top="1" bottom="1" header="0.5" footer="0.5"/>
  <pageSetup paperSize="8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15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20" customWidth="1"/>
  </cols>
  <sheetData>
    <row r="1" ht="18" spans="1:1">
      <c r="A1" s="1" t="s">
        <v>628</v>
      </c>
    </row>
    <row r="2" spans="1:1">
      <c r="A2" s="2" t="s">
        <v>629</v>
      </c>
    </row>
    <row r="3" spans="1:1">
      <c r="A3" s="2" t="s">
        <v>630</v>
      </c>
    </row>
    <row r="4" spans="1:1">
      <c r="A4" s="2" t="s">
        <v>631</v>
      </c>
    </row>
    <row r="5" spans="1:1">
      <c r="A5" s="2" t="s">
        <v>632</v>
      </c>
    </row>
    <row r="6" spans="1:1">
      <c r="A6" s="2" t="s">
        <v>633</v>
      </c>
    </row>
    <row r="7" spans="1:1">
      <c r="A7" s="2" t="s">
        <v>634</v>
      </c>
    </row>
    <row r="8" spans="1:1">
      <c r="A8" s="2" t="s">
        <v>635</v>
      </c>
    </row>
    <row r="9" spans="1:1">
      <c r="A9" s="2" t="s">
        <v>636</v>
      </c>
    </row>
    <row r="10" spans="1:1">
      <c r="A10" s="2" t="s">
        <v>637</v>
      </c>
    </row>
    <row r="11" spans="1:1">
      <c r="A11" s="2" t="s">
        <v>638</v>
      </c>
    </row>
    <row r="12" spans="1:1">
      <c r="A12" s="2" t="s">
        <v>639</v>
      </c>
    </row>
    <row r="13" spans="1:1">
      <c r="A13" s="2" t="s">
        <v>640</v>
      </c>
    </row>
    <row r="14" spans="1:1">
      <c r="A14" s="2" t="s">
        <v>641</v>
      </c>
    </row>
    <row r="15" spans="1:1">
      <c r="A15" s="2" t="s">
        <v>642</v>
      </c>
    </row>
  </sheetData>
  <pageMargins left="0.75" right="0.75" top="1" bottom="1" header="0.5" footer="0.5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输入配置</vt:lpstr>
      <vt:lpstr>器件参数</vt:lpstr>
      <vt:lpstr>逐级计算</vt:lpstr>
      <vt:lpstr>系统汇总</vt:lpstr>
      <vt:lpstr>压缩求解</vt:lpstr>
      <vt:lpstr>结果快照</vt:lpstr>
      <vt:lpstr>公式与来源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张驰</cp:lastModifiedBy>
  <dcterms:created xsi:type="dcterms:W3CDTF">2026-09-23T08:56:00Z</dcterms:created>
  <dcterms:modified xsi:type="dcterms:W3CDTF">2026-09-23T08:56:26Z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FBF34868CDF8469189E035F6AC594641_12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